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old_Dashboard" sheetId="1" state="visible" r:id="rId3"/>
    <sheet name="Asset_Signals" sheetId="2" state="visible" r:id="rId4"/>
    <sheet name="Coin_Bubble" sheetId="3" state="visible" r:id="rId5"/>
    <sheet name="Gold_Input" sheetId="4" state="visible" r:id="rId6"/>
    <sheet name="Gold_History" sheetId="5" state="visible" r:id="rId7"/>
    <sheet name="Hist_Gram18" sheetId="6" state="visible" r:id="rId8"/>
    <sheet name="Hist_Ons" sheetId="7" state="visible" r:id="rId9"/>
    <sheet name="Settings" sheetId="8" state="visible" r:id="rId10"/>
    <sheet name="Documentation" sheetId="9" state="visible" r:id="rId11"/>
  </sheets>
  <definedNames>
    <definedName function="false" hidden="true" localSheetId="4" name="_xlnm._FilterDatabase" vbProcedure="false">Gold_History!$A$4:$Q$1204</definedName>
    <definedName function="false" hidden="true" localSheetId="5" name="_xlnm._FilterDatabase" vbProcedure="false">Hist_Gram18!$A$4:$Q$1204</definedName>
    <definedName function="false" hidden="true" localSheetId="6" name="_xlnm._FilterDatabase" vbProcedure="false">Hist_Ons!$A$4:$O$1204</definedName>
    <definedName function="false" hidden="false" name="ATR_PER" vbProcedure="false">Settings!$C$9</definedName>
    <definedName function="false" hidden="false" name="ATR_STOP_MULT" vbProcedure="false">Settings!$C$10</definedName>
    <definedName function="false" hidden="false" name="AW_MOM" vbProcedure="false">Settings!$C$25</definedName>
    <definedName function="false" hidden="false" name="AW_SUM" vbProcedure="false">Settings!$C$28</definedName>
    <definedName function="false" hidden="false" name="AW_TREND" vbProcedure="false">Settings!$C$24</definedName>
    <definedName function="false" hidden="false" name="AW_VAL" vbProcedure="false">Settings!$C$27</definedName>
    <definedName function="false" hidden="false" name="AW_VOL" vbProcedure="false">Settings!$C$26</definedName>
    <definedName function="false" hidden="false" name="BUBBLE_FULL" vbProcedure="false">Coin_Bubble!$H$5</definedName>
    <definedName function="false" hidden="false" name="COIN_FULL" vbProcedure="false">Gold_Input!$B$13</definedName>
    <definedName function="false" hidden="false" name="COIN_FULL_0" vbProcedure="false">Gold_Input!$B$21</definedName>
    <definedName function="false" hidden="false" name="COIN_HALF" vbProcedure="false">Gold_Input!$B$14</definedName>
    <definedName function="false" hidden="false" name="COIN_QTR" vbProcedure="false">Gold_Input!$B$15</definedName>
    <definedName function="false" hidden="false" name="GOLD_OZ" vbProcedure="false">Gold_Input!$B$5</definedName>
    <definedName function="false" hidden="false" name="GOLD_OZ_0" vbProcedure="false">Gold_Input!$B$19</definedName>
    <definedName function="false" hidden="false" name="GRAM_18K" vbProcedure="false">Gold_Input!$B$16</definedName>
    <definedName function="false" hidden="false" name="MA_LONG1" vbProcedure="false">Settings!$C$7</definedName>
    <definedName function="false" hidden="false" name="MA_LONG2" vbProcedure="false">Settings!$C$8</definedName>
    <definedName function="false" hidden="false" name="MA_MED" vbProcedure="false">Settings!$C$6</definedName>
    <definedName function="false" hidden="false" name="MA_SHORT" vbProcedure="false">Settings!$C$5</definedName>
    <definedName function="false" hidden="false" name="MIN_LIQ_B" vbProcedure="false">Settings!$C$34</definedName>
    <definedName function="false" hidden="false" name="PRICE_BAND" vbProcedure="false">Settings!$C$33</definedName>
    <definedName function="false" hidden="false" name="SILVER_OZ" vbProcedure="false">Gold_Input!$B$6</definedName>
    <definedName function="false" hidden="false" name="STRUCT_L" vbProcedure="false">Settings!$C$32</definedName>
    <definedName function="false" hidden="false" name="STRUCT_S" vbProcedure="false">Settings!$C$31</definedName>
    <definedName function="false" hidden="false" name="TH_BUY" vbProcedure="false">Settings!$C$19</definedName>
    <definedName function="false" hidden="false" name="TH_SBUY" vbProcedure="false">Settings!$C$18</definedName>
    <definedName function="false" hidden="false" name="TH_SELL" vbProcedure="false">Settings!$C$20</definedName>
    <definedName function="false" hidden="false" name="TH_SSELL" vbProcedure="false">Settings!$C$21</definedName>
    <definedName function="false" hidden="false" name="USD_FREE" vbProcedure="false">Gold_Input!$B$9</definedName>
    <definedName function="false" hidden="false" name="USD_FREE_0" vbProcedure="false">Gold_Input!$B$20</definedName>
    <definedName function="false" hidden="false" name="USD_NIMA" vbProcedure="false">Gold_Input!$B$10</definedName>
    <definedName function="false" hidden="false" name="VOL_DRY" vbProcedure="false">Settings!$C$15</definedName>
    <definedName function="false" hidden="false" name="VOL_HIGH" vbProcedure="false">Settings!$C$13</definedName>
    <definedName function="false" hidden="false" name="VOL_MOD" vbProcedure="false">Settings!$C$14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<sst xmlns="http://schemas.openxmlformats.org/spreadsheetml/2006/main" count="1827" uniqueCount="727">
  <si>
    <t xml:space="preserve">داشبورد طلا و سکه</t>
  </si>
  <si>
    <t xml:space="preserve">⚠️ داده‌های نمونه‌اند. ورودی‌ها را در شیت Gold_Input به‌روز کنید.</t>
  </si>
  <si>
    <t xml:space="preserve">۱) قیمت‌ها و ارزش‌گذاری</t>
  </si>
  <si>
    <t xml:space="preserve">اونس جهانی (دلار)</t>
  </si>
  <si>
    <t xml:space="preserve">شکاف دلار آزاد و نیمایی</t>
  </si>
  <si>
    <t xml:space="preserve">دلار آزاد (ریال)</t>
  </si>
  <si>
    <t xml:space="preserve">نسبت طلا به نقره</t>
  </si>
  <si>
    <t xml:space="preserve">سکه تمام — بازار</t>
  </si>
  <si>
    <t xml:space="preserve">ارزش خام گرم ۱۸ عیار</t>
  </si>
  <si>
    <t xml:space="preserve">سکه تمام — ارزش ذاتی</t>
  </si>
  <si>
    <t xml:space="preserve">حباب گرم ۱۸ عیار</t>
  </si>
  <si>
    <t xml:space="preserve">حباب سکه تمام</t>
  </si>
  <si>
    <t xml:space="preserve">حباب ربع سکه</t>
  </si>
  <si>
    <t xml:space="preserve">۲) روند قیمت سکه (از شیت Gold_History)</t>
  </si>
  <si>
    <t xml:space="preserve">آخرین ردیف داده</t>
  </si>
  <si>
    <t xml:space="preserve">تاریخ آخرین داده</t>
  </si>
  <si>
    <t xml:space="preserve">تاریخ شمسی</t>
  </si>
  <si>
    <t xml:space="preserve">قیمت</t>
  </si>
  <si>
    <t xml:space="preserve">بازده روز</t>
  </si>
  <si>
    <t xml:space="preserve">MA کوتاه</t>
  </si>
  <si>
    <t xml:space="preserve">MA میان‌مدت</t>
  </si>
  <si>
    <t xml:space="preserve">MA بلند</t>
  </si>
  <si>
    <t xml:space="preserve">نوسان سالانه</t>
  </si>
  <si>
    <t xml:space="preserve">سقف ۶۰ روزه</t>
  </si>
  <si>
    <t xml:space="preserve">کف ۶۰ روزه</t>
  </si>
  <si>
    <t xml:space="preserve">افت از سقف</t>
  </si>
  <si>
    <t xml:space="preserve">امتیاز روند (−۱۰ تا +۱۰)</t>
  </si>
  <si>
    <t xml:space="preserve">وضعیت روند</t>
  </si>
  <si>
    <t xml:space="preserve">۳) تفکیک بازده — این رشد از کجا آمده؟</t>
  </si>
  <si>
    <t xml:space="preserve">بازده کل ریالی</t>
  </si>
  <si>
    <t xml:space="preserve">سهم طلای جهانی</t>
  </si>
  <si>
    <t xml:space="preserve">سهم نرخ ارز</t>
  </si>
  <si>
    <t xml:space="preserve">سهم تغییر حباب</t>
  </si>
  <si>
    <t xml:space="preserve">اگر «سهم نرخ ارز» بزرگ‌ترین جزء باشد، این یک موقعیت ارزی است که لباس طلا پوشیده. حباب هم می‌تواند ماه‌ها بالا بماند — سنجه ارزش‌گذاری است، نه زمان‌بندی.</t>
  </si>
  <si>
    <t xml:space="preserve">سیگنال طلا و سکه</t>
  </si>
  <si>
    <t xml:space="preserve">همان انضباط سیگنال سهام، به‌علاوه یک بُعد که در سهام معادل ندارد: ارزش‌گذاری نسبی. حباب ۱۸٪ به‌تنهایی معنا ندارد — صدک آن در توزیع تاریخی معنا دارد.</t>
  </si>
  <si>
    <t xml:space="preserve">دارایی</t>
  </si>
  <si>
    <t xml:space="preserve">شیت تاریخچه</t>
  </si>
  <si>
    <t xml:space="preserve">ردیف آخر</t>
  </si>
  <si>
    <t xml:space="preserve">MA زیر قیمت</t>
  </si>
  <si>
    <t xml:space="preserve">فاصله از MA میان</t>
  </si>
  <si>
    <t xml:space="preserve">بازده ۵ روزه</t>
  </si>
  <si>
    <t xml:space="preserve">بازده ۲۰ روزه</t>
  </si>
  <si>
    <t xml:space="preserve">بازده ۶۰ روزه</t>
  </si>
  <si>
    <t xml:space="preserve">میانه نوسان</t>
  </si>
  <si>
    <t xml:space="preserve">افت از سقف ۶۰ روزه</t>
  </si>
  <si>
    <t xml:space="preserve">سنجه ارزش‌گذاری</t>
  </si>
  <si>
    <t xml:space="preserve">صدک ارزش‌گذاری</t>
  </si>
  <si>
    <t xml:space="preserve">امتیاز روند (T)</t>
  </si>
  <si>
    <t xml:space="preserve">امتیاز مومنتوم (M)</t>
  </si>
  <si>
    <t xml:space="preserve">امتیاز نوسان (V)</t>
  </si>
  <si>
    <t xml:space="preserve">امتیاز ارزش‌گذاری (P)</t>
  </si>
  <si>
    <t xml:space="preserve">امتیاز کل</t>
  </si>
  <si>
    <t xml:space="preserve">سیگنال</t>
  </si>
  <si>
    <t xml:space="preserve">قدرت</t>
  </si>
  <si>
    <t xml:space="preserve">دلیل</t>
  </si>
  <si>
    <t xml:space="preserve">ورودی</t>
  </si>
  <si>
    <t xml:space="preserve">COUNT</t>
  </si>
  <si>
    <t xml:space="preserve">تاریخچه!C</t>
  </si>
  <si>
    <t xml:space="preserve">تاریخچه!I</t>
  </si>
  <si>
    <t xml:space="preserve">تاریخچه!J</t>
  </si>
  <si>
    <t xml:space="preserve">تاریخچه!K</t>
  </si>
  <si>
    <t xml:space="preserve">شمارش</t>
  </si>
  <si>
    <t xml:space="preserve">—</t>
  </si>
  <si>
    <t xml:space="preserve">تاریخچه!L</t>
  </si>
  <si>
    <t xml:space="preserve">MEDIAN</t>
  </si>
  <si>
    <t xml:space="preserve">تاریخچه!O</t>
  </si>
  <si>
    <t xml:space="preserve">تاریخچه!P</t>
  </si>
  <si>
    <t xml:space="preserve">تاریخچه!Q</t>
  </si>
  <si>
    <t xml:space="preserve">±۱۰</t>
  </si>
  <si>
    <t xml:space="preserve">میانگین وزنی</t>
  </si>
  <si>
    <t xml:space="preserve">آستانه Settings</t>
  </si>
  <si>
    <t xml:space="preserve">۱ تا ۵</t>
  </si>
  <si>
    <t xml:space="preserve">سکه تمام بهار آزادی</t>
  </si>
  <si>
    <t xml:space="preserve">Gold_History</t>
  </si>
  <si>
    <t xml:space="preserve">طلای ۱۸ عیار</t>
  </si>
  <si>
    <t xml:space="preserve">Hist_Gram18</t>
  </si>
  <si>
    <t xml:space="preserve">اونس طلای جهانی</t>
  </si>
  <si>
    <t xml:space="preserve">Hist_Ons</t>
  </si>
  <si>
    <t xml:space="preserve">سنجه ارزش‌گذاری برای سکه و گرم، حباب نسبت به ارزش ذاتی فلز است. برای اونس جهانی سنجه ارزش‌گذاری تعریف نشده — طلای جهانی «ارزش ذاتی» قابل‌محاسبه‌ای ندارد که بتوان با آن سنجید، پس امتیاز ارزش‌گذاری آن صفر می‌ماند.</t>
  </si>
  <si>
    <t xml:space="preserve">ستون «سنجه ارزش‌گذاری» را اسکریپت پایتون پر می‌کند، چون ساختن آن نیازمند هم‌تراز کردن چند سری زمانی با تاریخ‌های ناهمسان است — کاری که در اکسل شکننده می‌شود ولی در پایتون بدیهی است. صدک آن اما در اکسل حساب می‌شود تا با تغییر داده زنده به‌روز بماند.</t>
  </si>
  <si>
    <t xml:space="preserve">⚠️ هیچ‌کدام از آستانه‌ها و وزن‌ها بک‌تست نشده‌اند. برای آزمودنشان روی سری واقعی:  python -m timeframe backtest --csv &lt;سری&gt;.csv --name &lt;دارایی&gt;</t>
  </si>
  <si>
    <t xml:space="preserve">ارزش ذاتی و حباب مسکوکات</t>
  </si>
  <si>
    <t xml:space="preserve">ارزش ذاتی یک محاسبه قطعی است: محتوای طلای خالص × قیمت جهانی × نرخ ارز. حباب همان اختلاف قیمت بازار با این عدد است.</t>
  </si>
  <si>
    <t xml:space="preserve">مسکوک</t>
  </si>
  <si>
    <t xml:space="preserve">وزن (گرم)</t>
  </si>
  <si>
    <t xml:space="preserve">عیار</t>
  </si>
  <si>
    <t xml:space="preserve">طلای خالص (گرم)</t>
  </si>
  <si>
    <t xml:space="preserve">ارزش ذاتی (ریال)</t>
  </si>
  <si>
    <t xml:space="preserve">قیمت بازار (ریال)</t>
  </si>
  <si>
    <t xml:space="preserve">حباب (ریال)</t>
  </si>
  <si>
    <t xml:space="preserve">حباب ٪</t>
  </si>
  <si>
    <t xml:space="preserve">-</t>
  </si>
  <si>
    <t xml:space="preserve">وزن × عیار</t>
  </si>
  <si>
    <t xml:space="preserve">GOLD_OZ · USD_FREE</t>
  </si>
  <si>
    <t xml:space="preserve">بازار − ذاتی</t>
  </si>
  <si>
    <t xml:space="preserve">÷ ذاتی − ۱</t>
  </si>
  <si>
    <t xml:space="preserve">نیم سکه</t>
  </si>
  <si>
    <t xml:space="preserve">ربع سکه</t>
  </si>
  <si>
    <t xml:space="preserve">سکه گرمی</t>
  </si>
  <si>
    <t xml:space="preserve">طلای ۱۸ عیار (هر گرم)</t>
  </si>
  <si>
    <t xml:space="preserve">تفکیک بازده ریالی سکه به سه محرک</t>
  </si>
  <si>
    <t xml:space="preserve">بازده کل ریالی سکه</t>
  </si>
  <si>
    <t xml:space="preserve">حباب مبنا</t>
  </si>
  <si>
    <t xml:space="preserve">حباب کنونی</t>
  </si>
  <si>
    <t xml:space="preserve">کنترل صحت (باید با بازده کل یکی باشد)</t>
  </si>
  <si>
    <t xml:space="preserve">اختلاف کنترل با بازده کل</t>
  </si>
  <si>
    <t xml:space="preserve">چرا این تفکیک مهم است: رشد ریالی طلا در ایران اغلب اصلاً درباره طلا نیست. اگر «سهم نرخ ارز» بزرگ‌ترین جزء باشد، شما روی ریال شرط بسته‌اید، نه روی طلا.</t>
  </si>
  <si>
    <t xml:space="preserve">ورودی‌های لحظه‌ای طلا</t>
  </si>
  <si>
    <t xml:space="preserve">سلول‌های زرد را پر کنید. همه محاسبات فایل از همین چند عدد می‌آیند.</t>
  </si>
  <si>
    <t xml:space="preserve">بازار جهانی</t>
  </si>
  <si>
    <t xml:space="preserve">اونس طلا (دلار)</t>
  </si>
  <si>
    <t xml:space="preserve">منبع: بازار جهانی</t>
  </si>
  <si>
    <t xml:space="preserve">اونس نقره (دلار)</t>
  </si>
  <si>
    <t xml:space="preserve">اختیاری — برای نسبت طلا به نقره</t>
  </si>
  <si>
    <t xml:space="preserve">نرخ ارز</t>
  </si>
  <si>
    <t xml:space="preserve">نرخ بازار آزاد</t>
  </si>
  <si>
    <t xml:space="preserve">دلار نیمایی / مرجع (ریال)</t>
  </si>
  <si>
    <t xml:space="preserve">برای محاسبه شکاف</t>
  </si>
  <si>
    <t xml:space="preserve">قیمت بازار داخلی</t>
  </si>
  <si>
    <t xml:space="preserve">سکه تمام بهار آزادی (ریال)</t>
  </si>
  <si>
    <t xml:space="preserve">قیمت بازار</t>
  </si>
  <si>
    <t xml:space="preserve">نیم سکه (ریال)</t>
  </si>
  <si>
    <t xml:space="preserve">ربع سکه (ریال)</t>
  </si>
  <si>
    <t xml:space="preserve">طلای ۱۸ عیار هر گرم (ریال)</t>
  </si>
  <si>
    <t xml:space="preserve">شامل اجرت و مالیات</t>
  </si>
  <si>
    <t xml:space="preserve">مبنای مقایسه (برای تفکیک بازده)</t>
  </si>
  <si>
    <t xml:space="preserve">اونس در تاریخ مبنا (دلار)</t>
  </si>
  <si>
    <t xml:space="preserve">مثلاً ابتدای سال</t>
  </si>
  <si>
    <t xml:space="preserve">دلار در تاریخ مبنا (ریال)</t>
  </si>
  <si>
    <t xml:space="preserve">سکه در تاریخ مبنا (ریال)</t>
  </si>
  <si>
    <t xml:space="preserve">⚠️ اعداد بالا نمونه‌اند. قیمت واقعی روز را جایگزین کنید — همه خروجی‌های فایل مستقیماً از همین سلول‌ها می‌آیند.</t>
  </si>
  <si>
    <t xml:space="preserve">تاریخچه روزانه سکه تمام بهار آزادی</t>
  </si>
  <si>
    <t xml:space="preserve">ستون‌های A تا F ورودی؛ بقیه فرمول. ستون P (حباب) را اسکریپت پایتون پر می‌کند.</t>
  </si>
  <si>
    <t xml:space="preserve">تاریخ میلادی</t>
  </si>
  <si>
    <t xml:space="preserve">بیشترین</t>
  </si>
  <si>
    <t xml:space="preserve">کمترین</t>
  </si>
  <si>
    <t xml:space="preserve">حجم / یادداشت</t>
  </si>
  <si>
    <t xml:space="preserve">شمارنده</t>
  </si>
  <si>
    <t xml:space="preserve">بازده روزانه</t>
  </si>
  <si>
    <t xml:space="preserve">نوسان ۲۰ روزه (سالانه)</t>
  </si>
  <si>
    <t xml:space="preserve">حباب سکه</t>
  </si>
  <si>
    <t xml:space="preserve">صدک تاریخی سنجه</t>
  </si>
  <si>
    <t xml:space="preserve">close</t>
  </si>
  <si>
    <t xml:space="preserve">high</t>
  </si>
  <si>
    <t xml:space="preserve">low</t>
  </si>
  <si>
    <t xml:space="preserve">volume</t>
  </si>
  <si>
    <t xml:space="preserve">n</t>
  </si>
  <si>
    <t xml:space="preserve">MA_SHORT</t>
  </si>
  <si>
    <t xml:space="preserve">MA_MED</t>
  </si>
  <si>
    <t xml:space="preserve">MA_LONG2</t>
  </si>
  <si>
    <t xml:space="preserve">پایتون</t>
  </si>
  <si>
    <t xml:space="preserve">PERCENTRANK</t>
  </si>
  <si>
    <t xml:space="preserve">1403/07/14</t>
  </si>
  <si>
    <t xml:space="preserve">1403/07/15</t>
  </si>
  <si>
    <t xml:space="preserve">1403/07/16</t>
  </si>
  <si>
    <t xml:space="preserve">1403/07/17</t>
  </si>
  <si>
    <t xml:space="preserve">1403/07/18</t>
  </si>
  <si>
    <t xml:space="preserve">1403/07/21</t>
  </si>
  <si>
    <t xml:space="preserve">1403/07/22</t>
  </si>
  <si>
    <t xml:space="preserve">1403/07/23</t>
  </si>
  <si>
    <t xml:space="preserve">1403/07/24</t>
  </si>
  <si>
    <t xml:space="preserve">1403/07/25</t>
  </si>
  <si>
    <t xml:space="preserve">1403/07/28</t>
  </si>
  <si>
    <t xml:space="preserve">1403/07/29</t>
  </si>
  <si>
    <t xml:space="preserve">1403/07/30</t>
  </si>
  <si>
    <t xml:space="preserve">1403/08/01</t>
  </si>
  <si>
    <t xml:space="preserve">1403/08/02</t>
  </si>
  <si>
    <t xml:space="preserve">1403/08/05</t>
  </si>
  <si>
    <t xml:space="preserve">1403/08/06</t>
  </si>
  <si>
    <t xml:space="preserve">1403/08/07</t>
  </si>
  <si>
    <t xml:space="preserve">1403/08/08</t>
  </si>
  <si>
    <t xml:space="preserve">1403/08/09</t>
  </si>
  <si>
    <t xml:space="preserve">1403/08/12</t>
  </si>
  <si>
    <t xml:space="preserve">1403/08/13</t>
  </si>
  <si>
    <t xml:space="preserve">1403/08/14</t>
  </si>
  <si>
    <t xml:space="preserve">1403/08/15</t>
  </si>
  <si>
    <t xml:space="preserve">1403/08/16</t>
  </si>
  <si>
    <t xml:space="preserve">1403/08/19</t>
  </si>
  <si>
    <t xml:space="preserve">1403/08/20</t>
  </si>
  <si>
    <t xml:space="preserve">1403/08/21</t>
  </si>
  <si>
    <t xml:space="preserve">1403/08/22</t>
  </si>
  <si>
    <t xml:space="preserve">1403/08/23</t>
  </si>
  <si>
    <t xml:space="preserve">1403/08/26</t>
  </si>
  <si>
    <t xml:space="preserve">1403/08/27</t>
  </si>
  <si>
    <t xml:space="preserve">1403/08/28</t>
  </si>
  <si>
    <t xml:space="preserve">1403/08/29</t>
  </si>
  <si>
    <t xml:space="preserve">1403/08/30</t>
  </si>
  <si>
    <t xml:space="preserve">1403/09/03</t>
  </si>
  <si>
    <t xml:space="preserve">1403/09/04</t>
  </si>
  <si>
    <t xml:space="preserve">1403/09/05</t>
  </si>
  <si>
    <t xml:space="preserve">1403/09/06</t>
  </si>
  <si>
    <t xml:space="preserve">1403/09/07</t>
  </si>
  <si>
    <t xml:space="preserve">1403/09/10</t>
  </si>
  <si>
    <t xml:space="preserve">1403/09/11</t>
  </si>
  <si>
    <t xml:space="preserve">1403/09/12</t>
  </si>
  <si>
    <t xml:space="preserve">1403/09/13</t>
  </si>
  <si>
    <t xml:space="preserve">1403/09/14</t>
  </si>
  <si>
    <t xml:space="preserve">1403/09/17</t>
  </si>
  <si>
    <t xml:space="preserve">1403/09/18</t>
  </si>
  <si>
    <t xml:space="preserve">1403/09/19</t>
  </si>
  <si>
    <t xml:space="preserve">1403/09/20</t>
  </si>
  <si>
    <t xml:space="preserve">1403/09/21</t>
  </si>
  <si>
    <t xml:space="preserve">1403/09/24</t>
  </si>
  <si>
    <t xml:space="preserve">1403/09/25</t>
  </si>
  <si>
    <t xml:space="preserve">1403/09/26</t>
  </si>
  <si>
    <t xml:space="preserve">1403/09/27</t>
  </si>
  <si>
    <t xml:space="preserve">1403/09/28</t>
  </si>
  <si>
    <t xml:space="preserve">1403/10/01</t>
  </si>
  <si>
    <t xml:space="preserve">1403/10/02</t>
  </si>
  <si>
    <t xml:space="preserve">1403/10/03</t>
  </si>
  <si>
    <t xml:space="preserve">1403/10/04</t>
  </si>
  <si>
    <t xml:space="preserve">1403/10/05</t>
  </si>
  <si>
    <t xml:space="preserve">1403/10/08</t>
  </si>
  <si>
    <t xml:space="preserve">1403/10/09</t>
  </si>
  <si>
    <t xml:space="preserve">1403/10/10</t>
  </si>
  <si>
    <t xml:space="preserve">1403/10/11</t>
  </si>
  <si>
    <t xml:space="preserve">1403/10/12</t>
  </si>
  <si>
    <t xml:space="preserve">1403/10/15</t>
  </si>
  <si>
    <t xml:space="preserve">1403/10/16</t>
  </si>
  <si>
    <t xml:space="preserve">1403/10/17</t>
  </si>
  <si>
    <t xml:space="preserve">1403/10/18</t>
  </si>
  <si>
    <t xml:space="preserve">1403/10/19</t>
  </si>
  <si>
    <t xml:space="preserve">1403/10/22</t>
  </si>
  <si>
    <t xml:space="preserve">1403/10/23</t>
  </si>
  <si>
    <t xml:space="preserve">1403/10/24</t>
  </si>
  <si>
    <t xml:space="preserve">1403/10/25</t>
  </si>
  <si>
    <t xml:space="preserve">1403/10/26</t>
  </si>
  <si>
    <t xml:space="preserve">1403/10/29</t>
  </si>
  <si>
    <t xml:space="preserve">1403/10/30</t>
  </si>
  <si>
    <t xml:space="preserve">1403/11/01</t>
  </si>
  <si>
    <t xml:space="preserve">1403/11/02</t>
  </si>
  <si>
    <t xml:space="preserve">1403/11/03</t>
  </si>
  <si>
    <t xml:space="preserve">1403/11/06</t>
  </si>
  <si>
    <t xml:space="preserve">1403/11/07</t>
  </si>
  <si>
    <t xml:space="preserve">1403/11/08</t>
  </si>
  <si>
    <t xml:space="preserve">1403/11/09</t>
  </si>
  <si>
    <t xml:space="preserve">1403/11/10</t>
  </si>
  <si>
    <t xml:space="preserve">1403/11/13</t>
  </si>
  <si>
    <t xml:space="preserve">1403/11/14</t>
  </si>
  <si>
    <t xml:space="preserve">1403/11/15</t>
  </si>
  <si>
    <t xml:space="preserve">1403/11/16</t>
  </si>
  <si>
    <t xml:space="preserve">1403/11/17</t>
  </si>
  <si>
    <t xml:space="preserve">1403/11/20</t>
  </si>
  <si>
    <t xml:space="preserve">1403/11/21</t>
  </si>
  <si>
    <t xml:space="preserve">1403/11/22</t>
  </si>
  <si>
    <t xml:space="preserve">1403/11/23</t>
  </si>
  <si>
    <t xml:space="preserve">1403/11/24</t>
  </si>
  <si>
    <t xml:space="preserve">1403/11/27</t>
  </si>
  <si>
    <t xml:space="preserve">1403/11/28</t>
  </si>
  <si>
    <t xml:space="preserve">1403/11/29</t>
  </si>
  <si>
    <t xml:space="preserve">1403/11/30</t>
  </si>
  <si>
    <t xml:space="preserve">1403/12/01</t>
  </si>
  <si>
    <t xml:space="preserve">1403/12/04</t>
  </si>
  <si>
    <t xml:space="preserve">1403/12/05</t>
  </si>
  <si>
    <t xml:space="preserve">1403/12/06</t>
  </si>
  <si>
    <t xml:space="preserve">1403/12/07</t>
  </si>
  <si>
    <t xml:space="preserve">1403/12/08</t>
  </si>
  <si>
    <t xml:space="preserve">1403/12/11</t>
  </si>
  <si>
    <t xml:space="preserve">1403/12/12</t>
  </si>
  <si>
    <t xml:space="preserve">1403/12/13</t>
  </si>
  <si>
    <t xml:space="preserve">1403/12/14</t>
  </si>
  <si>
    <t xml:space="preserve">1403/12/15</t>
  </si>
  <si>
    <t xml:space="preserve">1403/12/18</t>
  </si>
  <si>
    <t xml:space="preserve">1403/12/19</t>
  </si>
  <si>
    <t xml:space="preserve">1403/12/20</t>
  </si>
  <si>
    <t xml:space="preserve">1403/12/21</t>
  </si>
  <si>
    <t xml:space="preserve">1403/12/22</t>
  </si>
  <si>
    <t xml:space="preserve">1403/12/25</t>
  </si>
  <si>
    <t xml:space="preserve">1403/12/26</t>
  </si>
  <si>
    <t xml:space="preserve">1403/12/27</t>
  </si>
  <si>
    <t xml:space="preserve">1403/12/28</t>
  </si>
  <si>
    <t xml:space="preserve">1403/12/29</t>
  </si>
  <si>
    <t xml:space="preserve">1404/01/02</t>
  </si>
  <si>
    <t xml:space="preserve">1404/01/03</t>
  </si>
  <si>
    <t xml:space="preserve">1404/01/04</t>
  </si>
  <si>
    <t xml:space="preserve">1404/01/05</t>
  </si>
  <si>
    <t xml:space="preserve">1404/01/06</t>
  </si>
  <si>
    <t xml:space="preserve">1404/01/09</t>
  </si>
  <si>
    <t xml:space="preserve">1404/01/10</t>
  </si>
  <si>
    <t xml:space="preserve">1404/01/11</t>
  </si>
  <si>
    <t xml:space="preserve">1404/01/12</t>
  </si>
  <si>
    <t xml:space="preserve">1404/01/13</t>
  </si>
  <si>
    <t xml:space="preserve">1404/01/16</t>
  </si>
  <si>
    <t xml:space="preserve">1404/01/17</t>
  </si>
  <si>
    <t xml:space="preserve">1404/01/18</t>
  </si>
  <si>
    <t xml:space="preserve">1404/01/19</t>
  </si>
  <si>
    <t xml:space="preserve">1404/01/20</t>
  </si>
  <si>
    <t xml:space="preserve">1404/01/23</t>
  </si>
  <si>
    <t xml:space="preserve">1404/01/24</t>
  </si>
  <si>
    <t xml:space="preserve">1404/01/25</t>
  </si>
  <si>
    <t xml:space="preserve">1404/01/26</t>
  </si>
  <si>
    <t xml:space="preserve">1404/01/27</t>
  </si>
  <si>
    <t xml:space="preserve">1404/01/30</t>
  </si>
  <si>
    <t xml:space="preserve">1404/01/31</t>
  </si>
  <si>
    <t xml:space="preserve">1404/02/01</t>
  </si>
  <si>
    <t xml:space="preserve">1404/02/02</t>
  </si>
  <si>
    <t xml:space="preserve">1404/02/03</t>
  </si>
  <si>
    <t xml:space="preserve">1404/02/06</t>
  </si>
  <si>
    <t xml:space="preserve">1404/02/07</t>
  </si>
  <si>
    <t xml:space="preserve">1404/02/08</t>
  </si>
  <si>
    <t xml:space="preserve">1404/02/09</t>
  </si>
  <si>
    <t xml:space="preserve">1404/02/10</t>
  </si>
  <si>
    <t xml:space="preserve">1404/02/13</t>
  </si>
  <si>
    <t xml:space="preserve">1404/02/14</t>
  </si>
  <si>
    <t xml:space="preserve">1404/02/15</t>
  </si>
  <si>
    <t xml:space="preserve">1404/02/16</t>
  </si>
  <si>
    <t xml:space="preserve">1404/02/17</t>
  </si>
  <si>
    <t xml:space="preserve">1404/02/20</t>
  </si>
  <si>
    <t xml:space="preserve">1404/02/21</t>
  </si>
  <si>
    <t xml:space="preserve">1404/02/22</t>
  </si>
  <si>
    <t xml:space="preserve">1404/02/23</t>
  </si>
  <si>
    <t xml:space="preserve">1404/02/24</t>
  </si>
  <si>
    <t xml:space="preserve">1404/02/27</t>
  </si>
  <si>
    <t xml:space="preserve">1404/02/28</t>
  </si>
  <si>
    <t xml:space="preserve">1404/02/29</t>
  </si>
  <si>
    <t xml:space="preserve">1404/02/30</t>
  </si>
  <si>
    <t xml:space="preserve">1404/02/31</t>
  </si>
  <si>
    <t xml:space="preserve">1404/03/03</t>
  </si>
  <si>
    <t xml:space="preserve">1404/03/04</t>
  </si>
  <si>
    <t xml:space="preserve">1404/03/05</t>
  </si>
  <si>
    <t xml:space="preserve">1404/03/06</t>
  </si>
  <si>
    <t xml:space="preserve">1404/03/07</t>
  </si>
  <si>
    <t xml:space="preserve">1404/03/10</t>
  </si>
  <si>
    <t xml:space="preserve">1404/03/11</t>
  </si>
  <si>
    <t xml:space="preserve">1404/03/12</t>
  </si>
  <si>
    <t xml:space="preserve">1404/03/13</t>
  </si>
  <si>
    <t xml:space="preserve">1404/03/14</t>
  </si>
  <si>
    <t xml:space="preserve">1404/03/17</t>
  </si>
  <si>
    <t xml:space="preserve">1404/03/18</t>
  </si>
  <si>
    <t xml:space="preserve">1404/03/19</t>
  </si>
  <si>
    <t xml:space="preserve">1404/03/20</t>
  </si>
  <si>
    <t xml:space="preserve">1404/03/21</t>
  </si>
  <si>
    <t xml:space="preserve">1404/03/24</t>
  </si>
  <si>
    <t xml:space="preserve">1404/03/25</t>
  </si>
  <si>
    <t xml:space="preserve">1404/03/26</t>
  </si>
  <si>
    <t xml:space="preserve">1404/03/27</t>
  </si>
  <si>
    <t xml:space="preserve">1404/03/28</t>
  </si>
  <si>
    <t xml:space="preserve">1404/03/31</t>
  </si>
  <si>
    <t xml:space="preserve">1404/04/01</t>
  </si>
  <si>
    <t xml:space="preserve">1404/04/02</t>
  </si>
  <si>
    <t xml:space="preserve">1404/04/03</t>
  </si>
  <si>
    <t xml:space="preserve">1404/04/04</t>
  </si>
  <si>
    <t xml:space="preserve">1404/04/07</t>
  </si>
  <si>
    <t xml:space="preserve">1404/04/08</t>
  </si>
  <si>
    <t xml:space="preserve">1404/04/09</t>
  </si>
  <si>
    <t xml:space="preserve">1404/04/10</t>
  </si>
  <si>
    <t xml:space="preserve">1404/04/11</t>
  </si>
  <si>
    <t xml:space="preserve">1404/04/14</t>
  </si>
  <si>
    <t xml:space="preserve">1404/04/15</t>
  </si>
  <si>
    <t xml:space="preserve">1404/04/16</t>
  </si>
  <si>
    <t xml:space="preserve">1404/04/17</t>
  </si>
  <si>
    <t xml:space="preserve">1404/04/18</t>
  </si>
  <si>
    <t xml:space="preserve">1404/04/21</t>
  </si>
  <si>
    <t xml:space="preserve">1404/04/22</t>
  </si>
  <si>
    <t xml:space="preserve">1404/04/23</t>
  </si>
  <si>
    <t xml:space="preserve">1404/04/24</t>
  </si>
  <si>
    <t xml:space="preserve">1404/04/25</t>
  </si>
  <si>
    <t xml:space="preserve">1404/04/28</t>
  </si>
  <si>
    <t xml:space="preserve">1404/04/29</t>
  </si>
  <si>
    <t xml:space="preserve">1404/04/30</t>
  </si>
  <si>
    <t xml:space="preserve">1404/04/31</t>
  </si>
  <si>
    <t xml:space="preserve">1404/05/01</t>
  </si>
  <si>
    <t xml:space="preserve">1404/05/04</t>
  </si>
  <si>
    <t xml:space="preserve">1404/05/05</t>
  </si>
  <si>
    <t xml:space="preserve">1404/05/06</t>
  </si>
  <si>
    <t xml:space="preserve">1404/05/07</t>
  </si>
  <si>
    <t xml:space="preserve">1404/05/08</t>
  </si>
  <si>
    <t xml:space="preserve">1404/05/11</t>
  </si>
  <si>
    <t xml:space="preserve">1404/05/12</t>
  </si>
  <si>
    <t xml:space="preserve">1404/05/13</t>
  </si>
  <si>
    <t xml:space="preserve">1404/05/14</t>
  </si>
  <si>
    <t xml:space="preserve">1404/05/15</t>
  </si>
  <si>
    <t xml:space="preserve">1404/05/18</t>
  </si>
  <si>
    <t xml:space="preserve">1404/05/19</t>
  </si>
  <si>
    <t xml:space="preserve">1404/05/20</t>
  </si>
  <si>
    <t xml:space="preserve">1404/05/21</t>
  </si>
  <si>
    <t xml:space="preserve">1404/05/22</t>
  </si>
  <si>
    <t xml:space="preserve">1404/05/25</t>
  </si>
  <si>
    <t xml:space="preserve">1404/05/26</t>
  </si>
  <si>
    <t xml:space="preserve">1404/05/27</t>
  </si>
  <si>
    <t xml:space="preserve">1404/05/28</t>
  </si>
  <si>
    <t xml:space="preserve">1404/05/29</t>
  </si>
  <si>
    <t xml:space="preserve">1404/06/01</t>
  </si>
  <si>
    <t xml:space="preserve">1404/06/02</t>
  </si>
  <si>
    <t xml:space="preserve">1404/06/03</t>
  </si>
  <si>
    <t xml:space="preserve">1404/06/04</t>
  </si>
  <si>
    <t xml:space="preserve">1404/06/05</t>
  </si>
  <si>
    <t xml:space="preserve">1404/06/08</t>
  </si>
  <si>
    <t xml:space="preserve">1404/06/09</t>
  </si>
  <si>
    <t xml:space="preserve">1404/06/10</t>
  </si>
  <si>
    <t xml:space="preserve">1404/06/11</t>
  </si>
  <si>
    <t xml:space="preserve">1404/06/12</t>
  </si>
  <si>
    <t xml:space="preserve">1404/06/15</t>
  </si>
  <si>
    <t xml:space="preserve">1404/06/16</t>
  </si>
  <si>
    <t xml:space="preserve">1404/06/17</t>
  </si>
  <si>
    <t xml:space="preserve">1404/06/18</t>
  </si>
  <si>
    <t xml:space="preserve">1404/06/19</t>
  </si>
  <si>
    <t xml:space="preserve">1404/06/22</t>
  </si>
  <si>
    <t xml:space="preserve">1404/06/23</t>
  </si>
  <si>
    <t xml:space="preserve">1404/06/24</t>
  </si>
  <si>
    <t xml:space="preserve">1404/06/25</t>
  </si>
  <si>
    <t xml:space="preserve">1404/06/26</t>
  </si>
  <si>
    <t xml:space="preserve">1404/06/29</t>
  </si>
  <si>
    <t xml:space="preserve">1404/06/30</t>
  </si>
  <si>
    <t xml:space="preserve">1404/06/31</t>
  </si>
  <si>
    <t xml:space="preserve">1404/07/01</t>
  </si>
  <si>
    <t xml:space="preserve">1404/07/02</t>
  </si>
  <si>
    <t xml:space="preserve">1404/07/05</t>
  </si>
  <si>
    <t xml:space="preserve">1404/07/06</t>
  </si>
  <si>
    <t xml:space="preserve">1404/07/07</t>
  </si>
  <si>
    <t xml:space="preserve">1404/07/08</t>
  </si>
  <si>
    <t xml:space="preserve">1404/07/09</t>
  </si>
  <si>
    <t xml:space="preserve">1404/07/12</t>
  </si>
  <si>
    <t xml:space="preserve">1404/07/13</t>
  </si>
  <si>
    <t xml:space="preserve">1404/07/14</t>
  </si>
  <si>
    <t xml:space="preserve">1404/07/15</t>
  </si>
  <si>
    <t xml:space="preserve">1404/07/16</t>
  </si>
  <si>
    <t xml:space="preserve">1404/07/19</t>
  </si>
  <si>
    <t xml:space="preserve">1404/07/20</t>
  </si>
  <si>
    <t xml:space="preserve">1404/07/21</t>
  </si>
  <si>
    <t xml:space="preserve">1404/07/22</t>
  </si>
  <si>
    <t xml:space="preserve">1404/07/23</t>
  </si>
  <si>
    <t xml:space="preserve">1404/07/26</t>
  </si>
  <si>
    <t xml:space="preserve">1404/07/27</t>
  </si>
  <si>
    <t xml:space="preserve">1404/07/28</t>
  </si>
  <si>
    <t xml:space="preserve">1404/07/29</t>
  </si>
  <si>
    <t xml:space="preserve">1404/07/30</t>
  </si>
  <si>
    <t xml:space="preserve">1404/08/03</t>
  </si>
  <si>
    <t xml:space="preserve">1404/08/04</t>
  </si>
  <si>
    <t xml:space="preserve">1404/08/05</t>
  </si>
  <si>
    <t xml:space="preserve">1404/08/06</t>
  </si>
  <si>
    <t xml:space="preserve">1404/08/07</t>
  </si>
  <si>
    <t xml:space="preserve">1404/08/10</t>
  </si>
  <si>
    <t xml:space="preserve">1404/08/11</t>
  </si>
  <si>
    <t xml:space="preserve">1404/08/12</t>
  </si>
  <si>
    <t xml:space="preserve">1404/08/13</t>
  </si>
  <si>
    <t xml:space="preserve">1404/08/14</t>
  </si>
  <si>
    <t xml:space="preserve">1404/08/17</t>
  </si>
  <si>
    <t xml:space="preserve">1404/08/18</t>
  </si>
  <si>
    <t xml:space="preserve">1404/08/19</t>
  </si>
  <si>
    <t xml:space="preserve">1404/08/20</t>
  </si>
  <si>
    <t xml:space="preserve">1404/08/21</t>
  </si>
  <si>
    <t xml:space="preserve">1404/08/24</t>
  </si>
  <si>
    <t xml:space="preserve">1404/08/25</t>
  </si>
  <si>
    <t xml:space="preserve">1404/08/26</t>
  </si>
  <si>
    <t xml:space="preserve">1404/08/27</t>
  </si>
  <si>
    <t xml:space="preserve">1404/08/28</t>
  </si>
  <si>
    <t xml:space="preserve">1404/09/01</t>
  </si>
  <si>
    <t xml:space="preserve">1404/09/02</t>
  </si>
  <si>
    <t xml:space="preserve">1404/09/03</t>
  </si>
  <si>
    <t xml:space="preserve">1404/09/04</t>
  </si>
  <si>
    <t xml:space="preserve">1404/09/05</t>
  </si>
  <si>
    <t xml:space="preserve">1404/09/08</t>
  </si>
  <si>
    <t xml:space="preserve">1404/09/09</t>
  </si>
  <si>
    <t xml:space="preserve">1404/09/10</t>
  </si>
  <si>
    <t xml:space="preserve">1404/09/11</t>
  </si>
  <si>
    <t xml:space="preserve">1404/09/12</t>
  </si>
  <si>
    <t xml:space="preserve">1404/09/15</t>
  </si>
  <si>
    <t xml:space="preserve">1404/09/16</t>
  </si>
  <si>
    <t xml:space="preserve">1404/09/17</t>
  </si>
  <si>
    <t xml:space="preserve">1404/09/18</t>
  </si>
  <si>
    <t xml:space="preserve">1404/09/19</t>
  </si>
  <si>
    <t xml:space="preserve">1404/09/22</t>
  </si>
  <si>
    <t xml:space="preserve">1404/09/23</t>
  </si>
  <si>
    <t xml:space="preserve">1404/09/24</t>
  </si>
  <si>
    <t xml:space="preserve">1404/09/25</t>
  </si>
  <si>
    <t xml:space="preserve">1404/09/26</t>
  </si>
  <si>
    <t xml:space="preserve">1404/09/29</t>
  </si>
  <si>
    <t xml:space="preserve">1404/09/30</t>
  </si>
  <si>
    <t xml:space="preserve">1404/10/01</t>
  </si>
  <si>
    <t xml:space="preserve">1404/10/02</t>
  </si>
  <si>
    <t xml:space="preserve">1404/10/03</t>
  </si>
  <si>
    <t xml:space="preserve">1404/10/06</t>
  </si>
  <si>
    <t xml:space="preserve">1404/10/07</t>
  </si>
  <si>
    <t xml:space="preserve">1404/10/08</t>
  </si>
  <si>
    <t xml:space="preserve">1404/10/09</t>
  </si>
  <si>
    <t xml:space="preserve">1404/10/10</t>
  </si>
  <si>
    <t xml:space="preserve">1404/10/13</t>
  </si>
  <si>
    <t xml:space="preserve">1404/10/14</t>
  </si>
  <si>
    <t xml:space="preserve">1404/10/15</t>
  </si>
  <si>
    <t xml:space="preserve">1404/10/16</t>
  </si>
  <si>
    <t xml:space="preserve">1404/10/17</t>
  </si>
  <si>
    <t xml:space="preserve">1404/10/20</t>
  </si>
  <si>
    <t xml:space="preserve">1404/10/21</t>
  </si>
  <si>
    <t xml:space="preserve">1404/10/22</t>
  </si>
  <si>
    <t xml:space="preserve">1404/10/23</t>
  </si>
  <si>
    <t xml:space="preserve">1404/10/24</t>
  </si>
  <si>
    <t xml:space="preserve">1404/10/27</t>
  </si>
  <si>
    <t xml:space="preserve">1404/10/28</t>
  </si>
  <si>
    <t xml:space="preserve">1404/10/29</t>
  </si>
  <si>
    <t xml:space="preserve">1404/10/30</t>
  </si>
  <si>
    <t xml:space="preserve">1404/11/01</t>
  </si>
  <si>
    <t xml:space="preserve">1404/11/04</t>
  </si>
  <si>
    <t xml:space="preserve">1404/11/05</t>
  </si>
  <si>
    <t xml:space="preserve">1404/11/06</t>
  </si>
  <si>
    <t xml:space="preserve">1404/11/07</t>
  </si>
  <si>
    <t xml:space="preserve">1404/11/08</t>
  </si>
  <si>
    <t xml:space="preserve">1404/11/11</t>
  </si>
  <si>
    <t xml:space="preserve">1404/11/12</t>
  </si>
  <si>
    <t xml:space="preserve">1404/11/13</t>
  </si>
  <si>
    <t xml:space="preserve">1404/11/14</t>
  </si>
  <si>
    <t xml:space="preserve">1404/11/15</t>
  </si>
  <si>
    <t xml:space="preserve">1404/11/18</t>
  </si>
  <si>
    <t xml:space="preserve">1404/11/19</t>
  </si>
  <si>
    <t xml:space="preserve">1404/11/20</t>
  </si>
  <si>
    <t xml:space="preserve">1404/11/21</t>
  </si>
  <si>
    <t xml:space="preserve">1404/11/22</t>
  </si>
  <si>
    <t xml:space="preserve">1404/11/25</t>
  </si>
  <si>
    <t xml:space="preserve">1404/11/26</t>
  </si>
  <si>
    <t xml:space="preserve">1404/11/27</t>
  </si>
  <si>
    <t xml:space="preserve">1404/11/28</t>
  </si>
  <si>
    <t xml:space="preserve">1404/11/29</t>
  </si>
  <si>
    <t xml:space="preserve">1404/12/02</t>
  </si>
  <si>
    <t xml:space="preserve">1404/12/03</t>
  </si>
  <si>
    <t xml:space="preserve">1404/12/04</t>
  </si>
  <si>
    <t xml:space="preserve">1404/12/05</t>
  </si>
  <si>
    <t xml:space="preserve">1404/12/06</t>
  </si>
  <si>
    <t xml:space="preserve">1404/12/09</t>
  </si>
  <si>
    <t xml:space="preserve">1404/12/10</t>
  </si>
  <si>
    <t xml:space="preserve">1404/12/11</t>
  </si>
  <si>
    <t xml:space="preserve">1404/12/12</t>
  </si>
  <si>
    <t xml:space="preserve">1404/12/13</t>
  </si>
  <si>
    <t xml:space="preserve">1404/12/16</t>
  </si>
  <si>
    <t xml:space="preserve">1404/12/17</t>
  </si>
  <si>
    <t xml:space="preserve">1404/12/18</t>
  </si>
  <si>
    <t xml:space="preserve">1404/12/19</t>
  </si>
  <si>
    <t xml:space="preserve">1404/12/20</t>
  </si>
  <si>
    <t xml:space="preserve">1404/12/23</t>
  </si>
  <si>
    <t xml:space="preserve">1404/12/24</t>
  </si>
  <si>
    <t xml:space="preserve">1404/12/25</t>
  </si>
  <si>
    <t xml:space="preserve">1404/12/26</t>
  </si>
  <si>
    <t xml:space="preserve">1404/12/27</t>
  </si>
  <si>
    <t xml:space="preserve">1405/01/01</t>
  </si>
  <si>
    <t xml:space="preserve">1405/01/02</t>
  </si>
  <si>
    <t xml:space="preserve">1405/01/03</t>
  </si>
  <si>
    <t xml:space="preserve">1405/01/04</t>
  </si>
  <si>
    <t xml:space="preserve">1405/01/05</t>
  </si>
  <si>
    <t xml:space="preserve">1405/01/08</t>
  </si>
  <si>
    <t xml:space="preserve">1405/01/09</t>
  </si>
  <si>
    <t xml:space="preserve">1405/01/10</t>
  </si>
  <si>
    <t xml:space="preserve">1405/01/11</t>
  </si>
  <si>
    <t xml:space="preserve">1405/01/12</t>
  </si>
  <si>
    <t xml:space="preserve">1405/01/15</t>
  </si>
  <si>
    <t xml:space="preserve">1405/01/16</t>
  </si>
  <si>
    <t xml:space="preserve">1405/01/17</t>
  </si>
  <si>
    <t xml:space="preserve">1405/01/18</t>
  </si>
  <si>
    <t xml:space="preserve">1405/01/19</t>
  </si>
  <si>
    <t xml:space="preserve">1405/01/22</t>
  </si>
  <si>
    <t xml:space="preserve">1405/01/23</t>
  </si>
  <si>
    <t xml:space="preserve">1405/01/24</t>
  </si>
  <si>
    <t xml:space="preserve">1405/01/25</t>
  </si>
  <si>
    <t xml:space="preserve">1405/01/26</t>
  </si>
  <si>
    <t xml:space="preserve">1405/01/29</t>
  </si>
  <si>
    <t xml:space="preserve">1405/01/30</t>
  </si>
  <si>
    <t xml:space="preserve">1405/01/31</t>
  </si>
  <si>
    <t xml:space="preserve">1405/02/01</t>
  </si>
  <si>
    <t xml:space="preserve">1405/02/02</t>
  </si>
  <si>
    <t xml:space="preserve">1405/02/05</t>
  </si>
  <si>
    <t xml:space="preserve">1405/02/06</t>
  </si>
  <si>
    <t xml:space="preserve">1405/02/07</t>
  </si>
  <si>
    <t xml:space="preserve">1405/02/08</t>
  </si>
  <si>
    <t xml:space="preserve">1405/02/09</t>
  </si>
  <si>
    <t xml:space="preserve">1405/02/12</t>
  </si>
  <si>
    <t xml:space="preserve">1405/02/13</t>
  </si>
  <si>
    <t xml:space="preserve">1405/02/14</t>
  </si>
  <si>
    <t xml:space="preserve">1405/02/15</t>
  </si>
  <si>
    <t xml:space="preserve">1405/02/16</t>
  </si>
  <si>
    <t xml:space="preserve">1405/02/19</t>
  </si>
  <si>
    <t xml:space="preserve">1405/02/20</t>
  </si>
  <si>
    <t xml:space="preserve">1405/02/21</t>
  </si>
  <si>
    <t xml:space="preserve">1405/02/22</t>
  </si>
  <si>
    <t xml:space="preserve">1405/02/23</t>
  </si>
  <si>
    <t xml:space="preserve">1405/02/26</t>
  </si>
  <si>
    <t xml:space="preserve">1405/02/27</t>
  </si>
  <si>
    <t xml:space="preserve">1405/02/28</t>
  </si>
  <si>
    <t xml:space="preserve">1405/02/29</t>
  </si>
  <si>
    <t xml:space="preserve">1405/02/30</t>
  </si>
  <si>
    <t xml:space="preserve">1405/03/02</t>
  </si>
  <si>
    <t xml:space="preserve">1405/03/03</t>
  </si>
  <si>
    <t xml:space="preserve">1405/03/04</t>
  </si>
  <si>
    <t xml:space="preserve">1405/03/05</t>
  </si>
  <si>
    <t xml:space="preserve">1405/03/06</t>
  </si>
  <si>
    <t xml:space="preserve">1405/03/09</t>
  </si>
  <si>
    <t xml:space="preserve">1405/03/10</t>
  </si>
  <si>
    <t xml:space="preserve">1405/03/11</t>
  </si>
  <si>
    <t xml:space="preserve">1405/03/12</t>
  </si>
  <si>
    <t xml:space="preserve">1405/03/13</t>
  </si>
  <si>
    <t xml:space="preserve">1405/03/16</t>
  </si>
  <si>
    <t xml:space="preserve">1405/03/17</t>
  </si>
  <si>
    <t xml:space="preserve">1405/03/18</t>
  </si>
  <si>
    <t xml:space="preserve">1405/03/19</t>
  </si>
  <si>
    <t xml:space="preserve">1405/03/20</t>
  </si>
  <si>
    <t xml:space="preserve">1405/03/23</t>
  </si>
  <si>
    <t xml:space="preserve">1405/03/24</t>
  </si>
  <si>
    <t xml:space="preserve">1405/03/25</t>
  </si>
  <si>
    <t xml:space="preserve">1405/03/26</t>
  </si>
  <si>
    <t xml:space="preserve">1405/03/27</t>
  </si>
  <si>
    <t xml:space="preserve">1405/03/30</t>
  </si>
  <si>
    <t xml:space="preserve">1405/03/31</t>
  </si>
  <si>
    <t xml:space="preserve">1405/04/01</t>
  </si>
  <si>
    <t xml:space="preserve">1405/04/02</t>
  </si>
  <si>
    <t xml:space="preserve">1405/04/03</t>
  </si>
  <si>
    <t xml:space="preserve">1405/04/06</t>
  </si>
  <si>
    <t xml:space="preserve">1405/04/07</t>
  </si>
  <si>
    <t xml:space="preserve">1405/04/08</t>
  </si>
  <si>
    <t xml:space="preserve">1405/04/09</t>
  </si>
  <si>
    <t xml:space="preserve">1405/04/10</t>
  </si>
  <si>
    <t xml:space="preserve">1405/04/13</t>
  </si>
  <si>
    <t xml:space="preserve">1405/04/14</t>
  </si>
  <si>
    <t xml:space="preserve">1405/04/15</t>
  </si>
  <si>
    <t xml:space="preserve">1405/04/16</t>
  </si>
  <si>
    <t xml:space="preserve">1405/04/17</t>
  </si>
  <si>
    <t xml:space="preserve">1405/04/20</t>
  </si>
  <si>
    <t xml:space="preserve">1405/04/21</t>
  </si>
  <si>
    <t xml:space="preserve">1405/04/22</t>
  </si>
  <si>
    <t xml:space="preserve">1405/04/23</t>
  </si>
  <si>
    <t xml:space="preserve">1405/04/24</t>
  </si>
  <si>
    <t xml:space="preserve">1405/04/27</t>
  </si>
  <si>
    <t xml:space="preserve">1405/04/28</t>
  </si>
  <si>
    <t xml:space="preserve">1405/04/29</t>
  </si>
  <si>
    <t xml:space="preserve">1405/04/30</t>
  </si>
  <si>
    <t xml:space="preserve">1405/04/31</t>
  </si>
  <si>
    <t xml:space="preserve">1405/05/03</t>
  </si>
  <si>
    <t xml:space="preserve">1405/05/04</t>
  </si>
  <si>
    <t xml:space="preserve">1405/05/05</t>
  </si>
  <si>
    <t xml:space="preserve">1405/05/06</t>
  </si>
  <si>
    <t xml:space="preserve">1405/05/07</t>
  </si>
  <si>
    <t xml:space="preserve">1405/05/10</t>
  </si>
  <si>
    <t xml:space="preserve">1405/05/11</t>
  </si>
  <si>
    <t xml:space="preserve">1405/05/12</t>
  </si>
  <si>
    <t xml:space="preserve">1405/05/13</t>
  </si>
  <si>
    <t xml:space="preserve">1405/05/14</t>
  </si>
  <si>
    <t xml:space="preserve">1405/05/17</t>
  </si>
  <si>
    <t xml:space="preserve">1405/05/18</t>
  </si>
  <si>
    <t xml:space="preserve">1405/05/19</t>
  </si>
  <si>
    <t xml:space="preserve">1405/05/20</t>
  </si>
  <si>
    <t xml:space="preserve">1405/05/21</t>
  </si>
  <si>
    <t xml:space="preserve">1405/05/24</t>
  </si>
  <si>
    <t xml:space="preserve">1405/05/25</t>
  </si>
  <si>
    <t xml:space="preserve">1405/05/26</t>
  </si>
  <si>
    <t xml:space="preserve">1405/05/27</t>
  </si>
  <si>
    <t xml:space="preserve">1405/05/28</t>
  </si>
  <si>
    <t xml:space="preserve">1405/05/31</t>
  </si>
  <si>
    <t xml:space="preserve">1405/06/01</t>
  </si>
  <si>
    <t xml:space="preserve">1405/06/02</t>
  </si>
  <si>
    <t xml:space="preserve">1405/06/03</t>
  </si>
  <si>
    <t xml:space="preserve">1405/06/04</t>
  </si>
  <si>
    <t xml:space="preserve">1405/06/07</t>
  </si>
  <si>
    <t xml:space="preserve">1405/06/08</t>
  </si>
  <si>
    <t xml:space="preserve">1405/06/09</t>
  </si>
  <si>
    <t xml:space="preserve">1405/06/10</t>
  </si>
  <si>
    <t xml:space="preserve">1405/06/11</t>
  </si>
  <si>
    <t xml:space="preserve">تاریخچه روزانه طلای ۱۸ عیار</t>
  </si>
  <si>
    <t xml:space="preserve">با  python scripts/fetch_gold_fx.py --history  پر می‌شود.</t>
  </si>
  <si>
    <t xml:space="preserve">حباب گرم نسبت به فلز</t>
  </si>
  <si>
    <t xml:space="preserve">تاریخچه روزانه اونس طلای جهانی</t>
  </si>
  <si>
    <t xml:space="preserve">تنظیمات و پارامترهای سیستم</t>
  </si>
  <si>
    <t xml:space="preserve">هر عدد آبی‌رنگ قابل تغییر است؛ همه فرمول‌های فایل از همین سلول‌ها می‌خوانند.</t>
  </si>
  <si>
    <t xml:space="preserve">۱) پارامترهای میانگین متحرک و نوسان</t>
  </si>
  <si>
    <t xml:space="preserve">دوره میانگین متحرک کوتاه</t>
  </si>
  <si>
    <t xml:space="preserve">روزهای معاملاتی</t>
  </si>
  <si>
    <t xml:space="preserve">دوره میانگین متحرک میان‌مدت</t>
  </si>
  <si>
    <t xml:space="preserve">ستون فقرات تشخیص روند میان‌مدت</t>
  </si>
  <si>
    <t xml:space="preserve">دوره میانگین متحرک بلند ۱</t>
  </si>
  <si>
    <t xml:space="preserve">دوره میانگین متحرک بلند ۲</t>
  </si>
  <si>
    <t xml:space="preserve">مرز روند بلندمدت</t>
  </si>
  <si>
    <t xml:space="preserve">دوره ATR</t>
  </si>
  <si>
    <t xml:space="preserve">برای حد ضرر و نرمال‌سازی نوسان</t>
  </si>
  <si>
    <t xml:space="preserve">ضریب حد ضرر بر مبنای ATR</t>
  </si>
  <si>
    <t xml:space="preserve">حد ضرر = قیمت − ضریب × ATR</t>
  </si>
  <si>
    <t xml:space="preserve">۲) آستانه‌های حجم معاملات (نسبت به میانگین ۲۰ روزه)</t>
  </si>
  <si>
    <t xml:space="preserve">حجم مشکوک — بسیار بالا</t>
  </si>
  <si>
    <t xml:space="preserve">≥ ۲ برابر میانگین ۲۰ روزه</t>
  </si>
  <si>
    <t xml:space="preserve">حجم بالاتر از عادی</t>
  </si>
  <si>
    <t xml:space="preserve">حجم خشک (بی‌رمقی)</t>
  </si>
  <si>
    <t xml:space="preserve">سیگنال را تضعیف می‌کند</t>
  </si>
  <si>
    <t xml:space="preserve">۵) آستانه سیگنال (امتیاز کل از −۱۰ تا +۱۰)</t>
  </si>
  <si>
    <t xml:space="preserve">حد «خرید قوی» (≥)</t>
  </si>
  <si>
    <t xml:space="preserve">حد «خرید» (≥)</t>
  </si>
  <si>
    <t xml:space="preserve">حد «فروش» (≤)</t>
  </si>
  <si>
    <t xml:space="preserve">حد «فروش قوی» (≤)</t>
  </si>
  <si>
    <t xml:space="preserve">۹) وزن سیگنال دارایی‌های تک‌سری (طلا، سکه، دلار، تتر)</t>
  </si>
  <si>
    <t xml:space="preserve">وزن روند</t>
  </si>
  <si>
    <t xml:space="preserve">قیمت نسبت به سه میانگین متحرک</t>
  </si>
  <si>
    <t xml:space="preserve">وزن مومنتوم</t>
  </si>
  <si>
    <t xml:space="preserve">بازده ۵ و ۲۰ و ۶۰ روزه</t>
  </si>
  <si>
    <t xml:space="preserve">وزن نوسان</t>
  </si>
  <si>
    <t xml:space="preserve">نوسان جاری نسبت به میانه تاریخی</t>
  </si>
  <si>
    <t xml:space="preserve">وزن ارزش‌گذاری</t>
  </si>
  <si>
    <t xml:space="preserve">صدک تاریخی حباب یا پریمیوم</t>
  </si>
  <si>
    <t xml:space="preserve">جمع وزن‌های دارایی</t>
  </si>
  <si>
    <t xml:space="preserve">۸) سایر</t>
  </si>
  <si>
    <t xml:space="preserve">پنجره ساختار روند کوتاه (سقف/کف)</t>
  </si>
  <si>
    <t xml:space="preserve">برای تشخیص Higher High / Lower Low</t>
  </si>
  <si>
    <t xml:space="preserve">پنجره ساختار روند بلند (سقف/کف)</t>
  </si>
  <si>
    <t xml:space="preserve">روند میان‌مدت</t>
  </si>
  <si>
    <t xml:space="preserve">دامنه نوسان روزانه بازار</t>
  </si>
  <si>
    <t xml:space="preserve">⚠️ مقدار جاری را تأیید کنید</t>
  </si>
  <si>
    <t xml:space="preserve">حداقل ارزش معاملات روزانه معتبر (میلیارد ریال)</t>
  </si>
  <si>
    <t xml:space="preserve">زیر این حد، سیگنال «کم‌اعتبار» علامت می‌خورد</t>
  </si>
  <si>
    <t xml:space="preserve">راهنمای رنگ: سلول زرد با متن آبی = ورودی قابل تغییر شما · متن مشکی = فرمول · متن سبز = ارجاع به شیت دیگر.</t>
  </si>
  <si>
    <t xml:space="preserve">راهنمای سیستم سیگنال‌دهی بازار سرمایه ایران</t>
  </si>
  <si>
    <t xml:space="preserve">نسخه ۱٫۰ · ساخته‌شده در ۱۴۰۵/۰۶/۱۴ · بدون VBA · همه محاسبات با فرمول اکسل</t>
  </si>
  <si>
    <t xml:space="preserve">⚠️ داده‌های داخل فایل نمونه (DEMO) و ساختگی‌اند. هیچ عددی در این فایل داده واقعی بازار نیست. InsCode و ISIN نمادها هم تأییدنشده‌اند. پیش از هر تصمیم معاملاتی، داده‌ها را با scripts/tse_updater.py جایگزین کنید.</t>
  </si>
  <si>
    <t xml:space="preserve">۱) فلسفه طراحی</t>
  </si>
  <si>
    <t xml:space="preserve">این فایل برای معامله‌گر میان‌مدت ساخته شده، نه روزانه. سه پرسش را پشت سر هم می‌پرسد:</t>
  </si>
  <si>
    <t xml:space="preserve">۱. بازار کجاست؟ (رژیم بازار از شاخص کل و هم‌وزن) — اگر بازار نزولی است، سیگنال خرید تک‌سهم کم‌ارزش‌تر است.</t>
  </si>
  <si>
    <t xml:space="preserve">۲. سهم در چه روندی است؟ (میانگین‌های متحرک + ساختار سقف/کف + شیب)</t>
  </si>
  <si>
    <t xml:space="preserve">۳. پول هوشمند چه می‌کند؟ (سرانه خرید و فروش حقیقی، خالص جریان نرمال‌شده)</t>
  </si>
  <si>
    <t xml:space="preserve">تحلیل بنیادی عمداً وارد نشده است. این یک انتخاب است، نه فراموشی.</t>
  </si>
  <si>
    <t xml:space="preserve">۸) محدودیت‌هایی که باید بدانید</t>
  </si>
  <si>
    <t xml:space="preserve">• سیستم trend-following است. در بازار رِنج، سیگنال‌های کاذب می‌دهد و این ذاتی روش است، نه ایراد فایل.</t>
  </si>
  <si>
    <t xml:space="preserve">• هیچ بک‌تستی روی این وزن‌ها انجام نشده. وزن‌های پیش‌فرض بر پایه استدلال ساختاری‌اند، نه بهینه‌سازی تاریخی.</t>
  </si>
  <si>
    <t xml:space="preserve">• نمادهای متوقف: ستون cEtavalTitle را چک کنید. برای نماد متوقف، خالی‌بودن داده تاریخی طبیعی است.</t>
  </si>
  <si>
    <t xml:space="preserve">• صف خرید/فروش: endpoint مربوطه یک delta feed است نه اسنپ‌شات؛ بازسازی دقیق عمق بازار نیاز به نگهداری وضعیت دارد.</t>
  </si>
  <si>
    <t xml:space="preserve">• تعدیل قیمت (افزایش سرمایه/سود نقدی) در تاریخچه لحاظ نشده — میانگین‌های متحرک پس از تعدیل چند روز نامعتبرند.</t>
  </si>
  <si>
    <t xml:space="preserve">• بلک-شولز در شیت آپشن برای اختیار اروپایی است و قیمت نظری اختیار فروش آمریکایی را کم‌برآورد می‌کند.</t>
  </si>
  <si>
    <t xml:space="preserve">راهنمای فایل تحلیل طلا و سکه</t>
  </si>
  <si>
    <t xml:space="preserve">⚠️ داده‌های داخل فایل نمونه (DEMO) و ساختگی‌اند. قیمت‌های واقعی را در شیت Gold_Input و Gold_History وارد کنید.</t>
  </si>
  <si>
    <t xml:space="preserve">۱) منطق تفکیک قیمت</t>
  </si>
  <si>
    <t xml:space="preserve">قیمت سکه = ارزش ذاتی طلای داخل آن + حباب. ارزش ذاتی از اونس جهانی و نرخ ارز به‌دست می‌آید و هیچ فرضی ندارد — یک محاسبه قطعی است.</t>
  </si>
  <si>
    <t xml:space="preserve">ارزش ذاتی</t>
  </si>
  <si>
    <t xml:space="preserve">طلای خالص (گرم) × (اونس ÷ ۳۱٫۱۰۳۴۷۶۸) × نرخ ارز</t>
  </si>
  <si>
    <t xml:space="preserve">حباب</t>
  </si>
  <si>
    <t xml:space="preserve">قیمت بازار ÷ ارزش ذاتی − ۱</t>
  </si>
  <si>
    <t xml:space="preserve">سکه تمام بهار آزادی: ۸٫۱۳۳ گرم با عیار ۹۰۰ ← ۷٫۳۱۹۷ گرم طلای خالص.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</si>
</sst>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"/>
    <numFmt numFmtId="166" formatCode="0.0%;\(0.0%\);\-"/>
    <numFmt numFmtId="167" formatCode="#,##0"/>
    <numFmt numFmtId="168" formatCode="0.0;\(0.0\);\-"/>
    <numFmt numFmtId="169" formatCode="0"/>
    <numFmt numFmtId="170" formatCode="yyyy\-mm\-dd"/>
    <numFmt numFmtId="171" formatCode="#,##0;\(#,##0\);\-"/>
    <numFmt numFmtId="172" formatCode="0.00%;\(0.00%\);\-"/>
    <numFmt numFmtId="173" formatCode="General"/>
    <numFmt numFmtId="174" formatCode="0.00;\(0.00\);\-"/>
    <numFmt numFmtId="175" formatCode="0.000"/>
    <numFmt numFmtId="176" formatCode="0.0000"/>
    <numFmt numFmtId="177" formatCode="0.0000%"/>
    <numFmt numFmtId="178" formatCode="0.00\x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8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name val="Arial"/>
      <family val="0"/>
      <charset val="1"/>
    </font>
    <font>
      <sz val="8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F3F3F"/>
      </patternFill>
    </fill>
    <fill>
      <patternFill patternType="solid">
        <fgColor rgb="FF2E5C8A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3F3F3F"/>
      </font>
      <fill>
        <patternFill>
          <bgColor rgb="FFD9D9D9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6100"/>
      <rgbColor rgb="FF404040"/>
      <rgbColor rgb="FF993300"/>
      <rgbColor rgb="FF993366"/>
      <rgbColor rgb="FF2E5C8A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n">
        <f aca="false">GOLD_OZ</f>
        <v>3400</v>
      </c>
      <c r="D5" s="4" t="s">
        <v>4</v>
      </c>
      <c r="E5" s="6" t="n">
        <f aca="false">IFERROR(USD_FREE/USD_NIMA-1,"")</f>
        <v>0.319444444444444</v>
      </c>
    </row>
    <row r="6" customFormat="false" ht="15" hidden="false" customHeight="false" outlineLevel="0" collapsed="false">
      <c r="A6" s="4" t="s">
        <v>5</v>
      </c>
      <c r="B6" s="7" t="n">
        <f aca="false">USD_FREE</f>
        <v>950000</v>
      </c>
      <c r="D6" s="4" t="s">
        <v>6</v>
      </c>
      <c r="E6" s="8" t="n">
        <f aca="false">IFERROR(GOLD_OZ/SILVER_OZ,"")</f>
        <v>85</v>
      </c>
    </row>
    <row r="7" customFormat="false" ht="15" hidden="false" customHeight="false" outlineLevel="0" collapsed="false">
      <c r="A7" s="4" t="s">
        <v>7</v>
      </c>
      <c r="B7" s="7" t="n">
        <f aca="false">COIN_FULL</f>
        <v>900000000</v>
      </c>
      <c r="D7" s="4" t="s">
        <v>8</v>
      </c>
      <c r="E7" s="7" t="n">
        <f aca="false">Coin_Bubble!$E$9</f>
        <v>77885183.5625013</v>
      </c>
    </row>
    <row r="8" customFormat="false" ht="15" hidden="false" customHeight="false" outlineLevel="0" collapsed="false">
      <c r="A8" s="4" t="s">
        <v>9</v>
      </c>
      <c r="B8" s="7" t="n">
        <f aca="false">Coin_Bubble!$E$5</f>
        <v>760128237.496587</v>
      </c>
      <c r="D8" s="4" t="s">
        <v>10</v>
      </c>
      <c r="E8" s="6" t="n">
        <f aca="false">Coin_Bubble!$H$9</f>
        <v>0.0528318256346749</v>
      </c>
    </row>
    <row r="9" customFormat="false" ht="15" hidden="false" customHeight="false" outlineLevel="0" collapsed="false">
      <c r="A9" s="4" t="s">
        <v>11</v>
      </c>
      <c r="B9" s="9" t="n">
        <f aca="false">BUBBLE_FULL</f>
        <v>0.18401074398192</v>
      </c>
      <c r="D9" s="4" t="s">
        <v>12</v>
      </c>
      <c r="E9" s="6" t="n">
        <f aca="false">Coin_Bubble!$H$7</f>
        <v>0.499746942377099</v>
      </c>
    </row>
    <row r="11" customFormat="false" ht="21.75" hidden="false" customHeight="true" outlineLevel="0" collapsed="false">
      <c r="A11" s="3" t="s">
        <v>13</v>
      </c>
      <c r="B11" s="3"/>
      <c r="C11" s="3"/>
      <c r="D11" s="3"/>
      <c r="E11" s="3"/>
    </row>
    <row r="12" customFormat="false" ht="15" hidden="false" customHeight="false" outlineLevel="0" collapsed="false">
      <c r="A12" s="4" t="s">
        <v>14</v>
      </c>
      <c r="B12" s="10" t="n">
        <f aca="false">COUNT($A$5:$A$1204)+4</f>
        <v>4</v>
      </c>
    </row>
    <row r="13" customFormat="false" ht="15" hidden="false" customHeight="false" outlineLevel="0" collapsed="false">
      <c r="A13" s="4" t="s">
        <v>15</v>
      </c>
      <c r="B13" s="11" t="str">
        <f aca="false">IFERROR(INDEX(Gold_History!$A$1:$A$1204,$B$12),"")</f>
        <v>-</v>
      </c>
    </row>
    <row r="14" customFormat="false" ht="15" hidden="false" customHeight="false" outlineLevel="0" collapsed="false">
      <c r="A14" s="4" t="s">
        <v>16</v>
      </c>
      <c r="B14" s="12" t="str">
        <f aca="false">IFERROR(INDEX(Gold_History!$B$1:$B$1204,$B$12),"")</f>
        <v>-</v>
      </c>
    </row>
    <row r="15" customFormat="false" ht="15" hidden="false" customHeight="false" outlineLevel="0" collapsed="false">
      <c r="A15" s="4" t="s">
        <v>17</v>
      </c>
      <c r="B15" s="13" t="str">
        <f aca="false">IFERROR(INDEX(Gold_History!$C$1:$C$1204,$B$12),"")</f>
        <v>close</v>
      </c>
    </row>
    <row r="16" customFormat="false" ht="15" hidden="false" customHeight="false" outlineLevel="0" collapsed="false">
      <c r="A16" s="4" t="s">
        <v>18</v>
      </c>
      <c r="B16" s="14" t="str">
        <f aca="false">IFERROR(INDEX(Gold_History!$H$1:$H$1204,$B$12),"")</f>
        <v>-</v>
      </c>
    </row>
    <row r="17" customFormat="false" ht="15" hidden="false" customHeight="false" outlineLevel="0" collapsed="false">
      <c r="A17" s="4" t="s">
        <v>19</v>
      </c>
      <c r="B17" s="13" t="str">
        <f aca="false">IFERROR(INDEX(Gold_History!$I$1:$I$1204,$B$12),"")</f>
        <v>MA_SHORT</v>
      </c>
    </row>
    <row r="18" customFormat="false" ht="15" hidden="false" customHeight="false" outlineLevel="0" collapsed="false">
      <c r="A18" s="4" t="s">
        <v>20</v>
      </c>
      <c r="B18" s="13" t="str">
        <f aca="false">IFERROR(INDEX(Gold_History!$J$1:$J$1204,$B$12),"")</f>
        <v>MA_MED</v>
      </c>
    </row>
    <row r="19" customFormat="false" ht="15" hidden="false" customHeight="false" outlineLevel="0" collapsed="false">
      <c r="A19" s="4" t="s">
        <v>21</v>
      </c>
      <c r="B19" s="13" t="str">
        <f aca="false">IFERROR(INDEX(Gold_History!$K$1:$K$1204,$B$12),"")</f>
        <v>MA_LONG2</v>
      </c>
    </row>
    <row r="20" customFormat="false" ht="15" hidden="false" customHeight="false" outlineLevel="0" collapsed="false">
      <c r="A20" s="4" t="s">
        <v>22</v>
      </c>
      <c r="B20" s="6" t="str">
        <f aca="false">IFERROR(INDEX(Gold_History!$L$1:$L$1204,$B$12),"")</f>
        <v>-</v>
      </c>
    </row>
    <row r="21" customFormat="false" ht="15" hidden="false" customHeight="false" outlineLevel="0" collapsed="false">
      <c r="A21" s="4" t="s">
        <v>23</v>
      </c>
      <c r="B21" s="13" t="str">
        <f aca="false">IFERROR(INDEX(Gold_History!$M$1:$M$1204,$B$12),"")</f>
        <v>-</v>
      </c>
    </row>
    <row r="22" customFormat="false" ht="15" hidden="false" customHeight="false" outlineLevel="0" collapsed="false">
      <c r="A22" s="4" t="s">
        <v>24</v>
      </c>
      <c r="B22" s="13" t="str">
        <f aca="false">IFERROR(INDEX(Gold_History!$N$1:$N$1204,$B$12),"")</f>
        <v>-</v>
      </c>
    </row>
    <row r="23" customFormat="false" ht="15" hidden="false" customHeight="false" outlineLevel="0" collapsed="false">
      <c r="A23" s="4" t="s">
        <v>25</v>
      </c>
      <c r="B23" s="6" t="str">
        <f aca="false">IFERROR(INDEX(Gold_History!$O$1:$O$1204,$B$12),"")</f>
        <v>-</v>
      </c>
    </row>
    <row r="24" customFormat="false" ht="15" hidden="false" customHeight="false" outlineLevel="0" collapsed="false">
      <c r="A24" s="15" t="s">
        <v>26</v>
      </c>
      <c r="B24" s="16" t="n">
        <f aca="false">IFERROR(MAX(-10,MIN(10,IF($B$15&gt;$B$17,2.5,-2.5)+IF($B$15&gt;$B$18,3.5,-3.5)+IF($B$15&gt;$B$19,4,-4))),0)</f>
        <v>-10</v>
      </c>
    </row>
    <row r="25" customFormat="false" ht="15" hidden="false" customHeight="false" outlineLevel="0" collapsed="false">
      <c r="A25" s="15" t="s">
        <v>27</v>
      </c>
      <c r="B25" s="17" t="str">
        <f aca="false">IF($B$24&gt;=5,"صعودی قوی",IF($B$24&gt;=2,"صعودی",IF($B$24&lt;=-5,"نزولی قوی",IF($B$24&lt;=-2,"نزولی","خنثی"))))</f>
        <v>نزولی قوی</v>
      </c>
    </row>
    <row r="27" customFormat="false" ht="21.75" hidden="false" customHeight="true" outlineLevel="0" collapsed="false">
      <c r="A27" s="3" t="s">
        <v>28</v>
      </c>
      <c r="B27" s="3"/>
      <c r="C27" s="3"/>
      <c r="D27" s="3"/>
      <c r="E27" s="3"/>
    </row>
    <row r="28" customFormat="false" ht="15" hidden="false" customHeight="false" outlineLevel="0" collapsed="false">
      <c r="A28" s="4" t="s">
        <v>29</v>
      </c>
      <c r="B28" s="6" t="n">
        <f aca="false">Coin_Bubble!$B$13</f>
        <v>0.8</v>
      </c>
    </row>
    <row r="29" customFormat="false" ht="15" hidden="false" customHeight="false" outlineLevel="0" collapsed="false">
      <c r="A29" s="4" t="s">
        <v>30</v>
      </c>
      <c r="B29" s="6" t="n">
        <f aca="false">Coin_Bubble!$B$14</f>
        <v>0.307692307692308</v>
      </c>
    </row>
    <row r="30" customFormat="false" ht="15" hidden="false" customHeight="false" outlineLevel="0" collapsed="false">
      <c r="A30" s="4" t="s">
        <v>31</v>
      </c>
      <c r="B30" s="6" t="n">
        <f aca="false">Coin_Bubble!$B$15</f>
        <v>0.583333333333333</v>
      </c>
    </row>
    <row r="31" customFormat="false" ht="15" hidden="false" customHeight="false" outlineLevel="0" collapsed="false">
      <c r="A31" s="4" t="s">
        <v>32</v>
      </c>
      <c r="B31" s="6" t="n">
        <f aca="false">Coin_Bubble!$B$18</f>
        <v>-0.130650154798762</v>
      </c>
    </row>
    <row r="33" customFormat="false" ht="15" hidden="false" customHeight="true" outlineLevel="0" collapsed="false">
      <c r="A33" s="18" t="s">
        <v>33</v>
      </c>
      <c r="B33" s="18"/>
      <c r="C33" s="18"/>
      <c r="D33" s="18"/>
      <c r="E33" s="18"/>
    </row>
  </sheetData>
  <mergeCells count="3">
    <mergeCell ref="A1:E1"/>
    <mergeCell ref="A2:E2"/>
    <mergeCell ref="A33:E33"/>
  </mergeCells>
  <conditionalFormatting sqref="B9">
    <cfRule type="colorScale" priority="2">
      <colorScale>
        <cfvo type="num" val="-0.05"/>
        <cfvo type="num" val="0.15"/>
        <cfvo type="num" val="0.45"/>
        <color rgb="FF00B050"/>
        <color rgb="FFFFFFFF"/>
        <color rgb="FFC00000"/>
      </colorScale>
    </cfRule>
  </conditionalFormatting>
  <conditionalFormatting sqref="B24">
    <cfRule type="colorScale" priority="3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B25">
    <cfRule type="cellIs" priority="4" operator="equal" aboveAverage="0" equalAverage="0" bottom="0" percent="0" rank="0" text="" dxfId="0">
      <formula>"صعودی قوی"</formula>
    </cfRule>
    <cfRule type="cellIs" priority="5" operator="equal" aboveAverage="0" equalAverage="0" bottom="0" percent="0" rank="0" text="" dxfId="1">
      <formula>"صعودی"</formula>
    </cfRule>
    <cfRule type="cellIs" priority="6" operator="equal" aboveAverage="0" equalAverage="0" bottom="0" percent="0" rank="0" text="" dxfId="2">
      <formula>"خنثی"</formula>
    </cfRule>
    <cfRule type="cellIs" priority="7" operator="equal" aboveAverage="0" equalAverage="0" bottom="0" percent="0" rank="0" text="" dxfId="3">
      <formula>"نزولی"</formula>
    </cfRule>
    <cfRule type="cellIs" priority="8" operator="equal" aboveAverage="0" equalAverage="0" bottom="0" percent="0" rank="0" text="" dxfId="4">
      <formula>"نزولی قوی"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4" min="10" style="0" width="12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20" min="18" style="0" width="12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4" min="24" style="0" width="9"/>
    <col collapsed="false" customWidth="true" hidden="false" outlineLevel="0" max="25" min="25" style="0" width="74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8" hidden="false" customHeight="true" outlineLevel="0" collapsed="false">
      <c r="A2" s="19" t="s">
        <v>35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customFormat="false" ht="30" hidden="false" customHeight="true" outlineLevel="0" collapsed="false">
      <c r="A3" s="20" t="s">
        <v>36</v>
      </c>
      <c r="B3" s="20" t="s">
        <v>37</v>
      </c>
      <c r="C3" s="20" t="s">
        <v>38</v>
      </c>
      <c r="D3" s="20" t="s">
        <v>17</v>
      </c>
      <c r="E3" s="20" t="s">
        <v>19</v>
      </c>
      <c r="F3" s="20" t="s">
        <v>20</v>
      </c>
      <c r="G3" s="20" t="s">
        <v>21</v>
      </c>
      <c r="H3" s="20" t="s">
        <v>39</v>
      </c>
      <c r="I3" s="20" t="s">
        <v>40</v>
      </c>
      <c r="J3" s="20" t="s">
        <v>41</v>
      </c>
      <c r="K3" s="20" t="s">
        <v>42</v>
      </c>
      <c r="L3" s="20" t="s">
        <v>43</v>
      </c>
      <c r="M3" s="20" t="s">
        <v>22</v>
      </c>
      <c r="N3" s="20" t="s">
        <v>44</v>
      </c>
      <c r="O3" s="20" t="s">
        <v>45</v>
      </c>
      <c r="P3" s="20" t="s">
        <v>46</v>
      </c>
      <c r="Q3" s="20" t="s">
        <v>47</v>
      </c>
      <c r="R3" s="20" t="s">
        <v>48</v>
      </c>
      <c r="S3" s="20" t="s">
        <v>49</v>
      </c>
      <c r="T3" s="20" t="s">
        <v>50</v>
      </c>
      <c r="U3" s="20" t="s">
        <v>51</v>
      </c>
      <c r="V3" s="20" t="s">
        <v>52</v>
      </c>
      <c r="W3" s="20" t="s">
        <v>53</v>
      </c>
      <c r="X3" s="20" t="s">
        <v>54</v>
      </c>
      <c r="Y3" s="20" t="s">
        <v>55</v>
      </c>
    </row>
    <row r="4" customFormat="false" ht="21.75" hidden="false" customHeight="true" outlineLevel="0" collapsed="false">
      <c r="A4" s="21" t="s">
        <v>56</v>
      </c>
      <c r="B4" s="21" t="s">
        <v>56</v>
      </c>
      <c r="C4" s="21" t="s">
        <v>57</v>
      </c>
      <c r="D4" s="21" t="s">
        <v>58</v>
      </c>
      <c r="E4" s="21" t="s">
        <v>59</v>
      </c>
      <c r="F4" s="21" t="s">
        <v>60</v>
      </c>
      <c r="G4" s="21" t="s">
        <v>61</v>
      </c>
      <c r="H4" s="21" t="s">
        <v>62</v>
      </c>
      <c r="I4" s="21" t="s">
        <v>63</v>
      </c>
      <c r="J4" s="21" t="s">
        <v>63</v>
      </c>
      <c r="K4" s="21" t="s">
        <v>63</v>
      </c>
      <c r="L4" s="21" t="s">
        <v>63</v>
      </c>
      <c r="M4" s="21" t="s">
        <v>64</v>
      </c>
      <c r="N4" s="21" t="s">
        <v>65</v>
      </c>
      <c r="O4" s="21" t="s">
        <v>66</v>
      </c>
      <c r="P4" s="21" t="s">
        <v>67</v>
      </c>
      <c r="Q4" s="21" t="s">
        <v>68</v>
      </c>
      <c r="R4" s="21" t="s">
        <v>69</v>
      </c>
      <c r="S4" s="21" t="s">
        <v>69</v>
      </c>
      <c r="T4" s="21" t="s">
        <v>69</v>
      </c>
      <c r="U4" s="21" t="s">
        <v>69</v>
      </c>
      <c r="V4" s="21" t="s">
        <v>70</v>
      </c>
      <c r="W4" s="21" t="s">
        <v>71</v>
      </c>
      <c r="X4" s="21" t="s">
        <v>72</v>
      </c>
      <c r="Y4" s="21" t="s">
        <v>63</v>
      </c>
    </row>
    <row r="5" customFormat="false" ht="25.5" hidden="false" customHeight="true" outlineLevel="0" collapsed="false">
      <c r="A5" s="22" t="s">
        <v>73</v>
      </c>
      <c r="B5" s="23" t="s">
        <v>74</v>
      </c>
      <c r="C5" s="24" t="n">
        <f aca="true">COUNT(INDIRECT($B5&amp;"!$A$5:$A$5000"))+4</f>
        <v>504</v>
      </c>
      <c r="D5" s="25" t="n">
        <f aca="true">IFERROR(INDEX(INDIRECT($B5&amp;"!$C:$C"),$C5),"")</f>
        <v>1156997319</v>
      </c>
      <c r="E5" s="25" t="n">
        <f aca="true">IFERROR(INDEX(INDIRECT($B5&amp;"!$I:$I"),$C5),"")</f>
        <v>1148543523.85</v>
      </c>
      <c r="F5" s="25" t="n">
        <f aca="true">IFERROR(INDEX(INDIRECT($B5&amp;"!$J:$J"),$C5),"")</f>
        <v>1110313121.42</v>
      </c>
      <c r="G5" s="25" t="n">
        <f aca="true">IFERROR(INDEX(INDIRECT($B5&amp;"!$K:$K"),$C5),"")</f>
        <v>1016175136.725</v>
      </c>
      <c r="H5" s="24" t="n">
        <f aca="false">IF(NOT(ISNUMBER($D5)),"",IF($D5&gt;$E5,1,0)+IF($D5&gt;$F5,1,0)+IF($D5&gt;$G5,1,0))</f>
        <v>3</v>
      </c>
      <c r="I5" s="26" t="n">
        <f aca="false">IFERROR($D5/$F5-1,"")</f>
        <v>0.0420459748510353</v>
      </c>
      <c r="J5" s="26" t="n">
        <f aca="true">IFERROR($D5/INDEX(INDIRECT($B5&amp;"!$C:$C"),$C5-5)-1,"")</f>
        <v>-0.000654360430489276</v>
      </c>
      <c r="K5" s="26" t="n">
        <f aca="true">IFERROR($D5/INDEX(INDIRECT($B5&amp;"!$C:$C"),$C5-20)-1,"")</f>
        <v>0.048395040255024</v>
      </c>
      <c r="L5" s="26" t="n">
        <f aca="true">IFERROR($D5/INDEX(INDIRECT($B5&amp;"!$C:$C"),$C5-60)-1,"")</f>
        <v>0.0822207847162368</v>
      </c>
      <c r="M5" s="26" t="n">
        <f aca="true">IFERROR(INDEX(INDIRECT($B5&amp;"!$L:$L"),$C5),"")</f>
        <v>0.17099497711346</v>
      </c>
      <c r="N5" s="26" t="n">
        <f aca="true">IFERROR(MEDIAN(INDIRECT($B5&amp;"!$L$5:$L$5000")),"")</f>
        <v>0.194172557026051</v>
      </c>
      <c r="O5" s="26" t="n">
        <f aca="true">IFERROR(INDEX(INDIRECT($B5&amp;"!$O:$O"),$C5),"")</f>
        <v>-0.0226305627880193</v>
      </c>
      <c r="P5" s="26" t="str">
        <f aca="true">IFERROR(IF(ISBLANK(INDEX(INDIRECT($B5&amp;"!$P:$P"),$C5)),"",INDEX(INDIRECT($B5&amp;"!$P:$P"),$C5)),"")</f>
        <v/>
      </c>
      <c r="Q5" s="26" t="str">
        <f aca="true">IFERROR(IF(ISBLANK(INDEX(INDIRECT($B5&amp;"!$Q:$Q"),$C5)),"",INDEX(INDIRECT($B5&amp;"!$Q:$Q"),$C5)),"")</f>
        <v/>
      </c>
      <c r="R5" s="27" t="n">
        <f aca="false">IF(NOT(ISNUMBER($D5)),0,IFERROR(MAX(-10,MIN(10,IF($D5&gt;$E5,2.5,-2.5)+IF($D5&gt;$F5,3.5,-3.5)+IF($D5&gt;$G5,4,-4))),0))</f>
        <v>10</v>
      </c>
      <c r="S5" s="27" t="n">
        <f aca="false">IF(NOT(ISNUMBER($D5)),0,IFERROR(MAX(-10,MIN(10,IF($J5&gt;0.02,2,IF($J5&gt;0,1,IF($J5&lt;-0.02,-2,-1)))+IF($K5&gt;0.05,4,IF($K5&gt;0,2,IF($K5&lt;-0.05,-4,-2)))+IF($L5&gt;0.1,4,IF($L5&gt;0,2,IF($L5&lt;-0.1,-4,-2))))),0))</f>
        <v>3</v>
      </c>
      <c r="T5" s="27" t="n">
        <f aca="false">IF(OR(NOT(ISNUMBER($M5)),NOT(ISNUMBER($N5)),$N5=0),0,IFERROR(MAX(-10,MIN(10,IF($M5/$N5&gt;2,-6,IF($M5/$N5&gt;1.4,-3,IF($M5/$N5&lt;0.7,3,1))))),0))</f>
        <v>1</v>
      </c>
      <c r="U5" s="27" t="n">
        <f aca="false">IF(NOT(ISNUMBER($Q5)),0,IFERROR(MAX(-10,MIN(10,IF($Q5&gt;=0.9,-8,IF($Q5&gt;=0.75,-4,IF($Q5&lt;=0.1,8,IF($Q5&lt;=0.25,4,0)))))),0))</f>
        <v>0</v>
      </c>
      <c r="V5" s="27" t="n">
        <f aca="false">IF(NOT(ISNUMBER($D5)),"",IFERROR(($R5*AW_TREND+$S5*AW_MOM+$T5*AW_VOL+IF(ISNUMBER($Q5),$U5*AW_VAL,0))/(AW_TREND+AW_MOM+AW_VOL+IF(ISNUMBER($Q5),AW_VAL,0)),0))</f>
        <v>5.86666666666667</v>
      </c>
      <c r="W5" s="28" t="str">
        <f aca="false">IF(NOT(ISNUMBER($V5)),"",IF($V5&gt;=TH_SBUY,"خرید قوی",IF($V5&gt;=TH_BUY,"خرید",IF($V5&lt;=TH_SSELL,"فروش قوی",IF($V5&lt;=TH_SELL,"فروش","نگهداری")))))</f>
        <v>خرید قوی</v>
      </c>
      <c r="X5" s="29" t="n">
        <f aca="false">IF(NOT(ISNUMBER($V5)),"",IF(ABS($V5)&gt;=8,5,IF(ABS($V5)&gt;=5,4,IF(ABS($V5)&gt;=3,3,IF(ABS($V5)&gt;=1.5,2,1)))))</f>
        <v>4</v>
      </c>
      <c r="Y5" s="30" t="str">
        <f aca="false">IF(NOT(ISNUMBER($D5)),"","روند: "&amp;IF($R5&gt;=5,"صعودی قوی",IF($R5&gt;=2,"صعودی",IF($R5&lt;=-5,"نزولی قوی",IF($R5&lt;=-2,"نزولی","خنثی"))))&amp;" | MA: "&amp;$H5&amp;"/3"&amp;" | مومنتوم ۲۰ روزه: "&amp;IFERROR(TEXT($K5,"0.0%"),"—")&amp;" | نوسان: "&amp;IFERROR(TEXT($M5,"0%"),"—")&amp;" (میانه "&amp;IFERROR(TEXT($N5,"0%"),"—")&amp;")"&amp;" | ارزش‌گذاری: صدک "&amp;IFERROR(TEXT($Q5,"0%"),"—"))</f>
        <v>روند: صعودی قوی | MA: 3/3 | مومنتوم ۲۰ روزه: 4.8% | نوسان: 17% (میانه 19%) | ارزش‌گذاری: صدک </v>
      </c>
    </row>
    <row r="6" customFormat="false" ht="25.5" hidden="false" customHeight="true" outlineLevel="0" collapsed="false">
      <c r="A6" s="22" t="s">
        <v>75</v>
      </c>
      <c r="B6" s="23" t="s">
        <v>76</v>
      </c>
      <c r="C6" s="24" t="n">
        <f aca="true">COUNT(INDIRECT($B6&amp;"!$A$5:$A$5000"))+4</f>
        <v>504</v>
      </c>
      <c r="D6" s="25" t="n">
        <f aca="true">IFERROR(INDEX(INDIRECT($B6&amp;"!$C:$C"),$C6),"")</f>
        <v>107465892</v>
      </c>
      <c r="E6" s="25" t="n">
        <f aca="true">IFERROR(INDEX(INDIRECT($B6&amp;"!$I:$I"),$C6),"")</f>
        <v>104204454.8</v>
      </c>
      <c r="F6" s="25" t="n">
        <f aca="true">IFERROR(INDEX(INDIRECT($B6&amp;"!$J:$J"),$C6),"")</f>
        <v>105232743.84</v>
      </c>
      <c r="G6" s="25" t="n">
        <f aca="true">IFERROR(INDEX(INDIRECT($B6&amp;"!$K:$K"),$C6),"")</f>
        <v>109713047.575</v>
      </c>
      <c r="H6" s="24" t="n">
        <f aca="false">IF(NOT(ISNUMBER($D6)),"",IF($D6&gt;$E6,1,0)+IF($D6&gt;$F6,1,0)+IF($D6&gt;$G6,1,0))</f>
        <v>2</v>
      </c>
      <c r="I6" s="26" t="n">
        <f aca="false">IFERROR($D6/$F6-1,"")</f>
        <v>0.0212210389894933</v>
      </c>
      <c r="J6" s="26" t="n">
        <f aca="true">IFERROR($D6/INDEX(INDIRECT($B6&amp;"!$C:$C"),$C6-5)-1,"")</f>
        <v>0.0240983839858777</v>
      </c>
      <c r="K6" s="26" t="n">
        <f aca="true">IFERROR($D6/INDEX(INDIRECT($B6&amp;"!$C:$C"),$C6-20)-1,"")</f>
        <v>0.0616853899560841</v>
      </c>
      <c r="L6" s="26" t="n">
        <f aca="true">IFERROR($D6/INDEX(INDIRECT($B6&amp;"!$C:$C"),$C6-60)-1,"")</f>
        <v>-0.00199703875156732</v>
      </c>
      <c r="M6" s="26" t="n">
        <f aca="true">IFERROR(INDEX(INDIRECT($B6&amp;"!$L:$L"),$C6),"")</f>
        <v>0.135573783102082</v>
      </c>
      <c r="N6" s="26" t="n">
        <f aca="true">IFERROR(MEDIAN(INDIRECT($B6&amp;"!$L$5:$L$5000")),"")</f>
        <v>0.203994906527074</v>
      </c>
      <c r="O6" s="26" t="n">
        <f aca="true">IFERROR(INDEX(INDIRECT($B6&amp;"!$O:$O"),$C6),"")</f>
        <v>-0.0237615280279495</v>
      </c>
      <c r="P6" s="26" t="str">
        <f aca="true">IFERROR(IF(ISBLANK(INDEX(INDIRECT($B6&amp;"!$P:$P"),$C6)),"",INDEX(INDIRECT($B6&amp;"!$P:$P"),$C6)),"")</f>
        <v/>
      </c>
      <c r="Q6" s="26" t="str">
        <f aca="true">IFERROR(IF(ISBLANK(INDEX(INDIRECT($B6&amp;"!$Q:$Q"),$C6)),"",INDEX(INDIRECT($B6&amp;"!$Q:$Q"),$C6)),"")</f>
        <v/>
      </c>
      <c r="R6" s="27" t="n">
        <f aca="false">IF(NOT(ISNUMBER($D6)),0,IFERROR(MAX(-10,MIN(10,IF($D6&gt;$E6,2.5,-2.5)+IF($D6&gt;$F6,3.5,-3.5)+IF($D6&gt;$G6,4,-4))),0))</f>
        <v>2</v>
      </c>
      <c r="S6" s="27" t="n">
        <f aca="false">IF(NOT(ISNUMBER($D6)),0,IFERROR(MAX(-10,MIN(10,IF($J6&gt;0.02,2,IF($J6&gt;0,1,IF($J6&lt;-0.02,-2,-1)))+IF($K6&gt;0.05,4,IF($K6&gt;0,2,IF($K6&lt;-0.05,-4,-2)))+IF($L6&gt;0.1,4,IF($L6&gt;0,2,IF($L6&lt;-0.1,-4,-2))))),0))</f>
        <v>4</v>
      </c>
      <c r="T6" s="27" t="n">
        <f aca="false">IF(OR(NOT(ISNUMBER($M6)),NOT(ISNUMBER($N6)),$N6=0),0,IFERROR(MAX(-10,MIN(10,IF($M6/$N6&gt;2,-6,IF($M6/$N6&gt;1.4,-3,IF($M6/$N6&lt;0.7,3,1))))),0))</f>
        <v>3</v>
      </c>
      <c r="U6" s="27" t="n">
        <f aca="false">IF(NOT(ISNUMBER($Q6)),0,IFERROR(MAX(-10,MIN(10,IF($Q6&gt;=0.9,-8,IF($Q6&gt;=0.75,-4,IF($Q6&lt;=0.1,8,IF($Q6&lt;=0.25,4,0)))))),0))</f>
        <v>0</v>
      </c>
      <c r="V6" s="27" t="n">
        <f aca="false">IF(NOT(ISNUMBER($D6)),"",IFERROR(($R6*AW_TREND+$S6*AW_MOM+$T6*AW_VOL+IF(ISNUMBER($Q6),$U6*AW_VAL,0))/(AW_TREND+AW_MOM+AW_VOL+IF(ISNUMBER($Q6),AW_VAL,0)),0))</f>
        <v>2.86666666666667</v>
      </c>
      <c r="W6" s="28" t="str">
        <f aca="false">IF(NOT(ISNUMBER($V6)),"",IF($V6&gt;=TH_SBUY,"خرید قوی",IF($V6&gt;=TH_BUY,"خرید",IF($V6&lt;=TH_SSELL,"فروش قوی",IF($V6&lt;=TH_SELL,"فروش","نگهداری")))))</f>
        <v>خرید</v>
      </c>
      <c r="X6" s="29" t="n">
        <f aca="false">IF(NOT(ISNUMBER($V6)),"",IF(ABS($V6)&gt;=8,5,IF(ABS($V6)&gt;=5,4,IF(ABS($V6)&gt;=3,3,IF(ABS($V6)&gt;=1.5,2,1)))))</f>
        <v>2</v>
      </c>
      <c r="Y6" s="30" t="str">
        <f aca="false">IF(NOT(ISNUMBER($D6)),"","روند: "&amp;IF($R6&gt;=5,"صعودی قوی",IF($R6&gt;=2,"صعودی",IF($R6&lt;=-5,"نزولی قوی",IF($R6&lt;=-2,"نزولی","خنثی"))))&amp;" | MA: "&amp;$H6&amp;"/3"&amp;" | مومنتوم ۲۰ روزه: "&amp;IFERROR(TEXT($K6,"0.0%"),"—")&amp;" | نوسان: "&amp;IFERROR(TEXT($M6,"0%"),"—")&amp;" (میانه "&amp;IFERROR(TEXT($N6,"0%"),"—")&amp;")"&amp;" | ارزش‌گذاری: صدک "&amp;IFERROR(TEXT($Q6,"0%"),"—"))</f>
        <v>روند: صعودی | MA: 2/3 | مومنتوم ۲۰ روزه: 6.2% | نوسان: 14% (میانه 20%) | ارزش‌گذاری: صدک </v>
      </c>
    </row>
    <row r="7" customFormat="false" ht="25.5" hidden="false" customHeight="true" outlineLevel="0" collapsed="false">
      <c r="A7" s="22" t="s">
        <v>77</v>
      </c>
      <c r="B7" s="23" t="s">
        <v>78</v>
      </c>
      <c r="C7" s="24" t="n">
        <f aca="true">COUNT(INDIRECT($B7&amp;"!$A$5:$A$5000"))+4</f>
        <v>504</v>
      </c>
      <c r="D7" s="25" t="n">
        <f aca="true">IFERROR(INDEX(INDIRECT($B7&amp;"!$C:$C"),$C7),"")</f>
        <v>7916</v>
      </c>
      <c r="E7" s="25" t="n">
        <f aca="true">IFERROR(INDEX(INDIRECT($B7&amp;"!$I:$I"),$C7),"")</f>
        <v>7545.1</v>
      </c>
      <c r="F7" s="25" t="n">
        <f aca="true">IFERROR(INDEX(INDIRECT($B7&amp;"!$J:$J"),$C7),"")</f>
        <v>7360.68</v>
      </c>
      <c r="G7" s="25" t="n">
        <f aca="true">IFERROR(INDEX(INDIRECT($B7&amp;"!$K:$K"),$C7),"")</f>
        <v>6918.65</v>
      </c>
      <c r="H7" s="24" t="n">
        <f aca="false">IF(NOT(ISNUMBER($D7)),"",IF($D7&gt;$E7,1,0)+IF($D7&gt;$F7,1,0)+IF($D7&gt;$G7,1,0))</f>
        <v>3</v>
      </c>
      <c r="I7" s="26" t="n">
        <f aca="false">IFERROR($D7/$F7-1,"")</f>
        <v>0.0754441165761859</v>
      </c>
      <c r="J7" s="26" t="n">
        <f aca="true">IFERROR($D7/INDEX(INDIRECT($B7&amp;"!$C:$C"),$C7-5)-1,"")</f>
        <v>0.0190525231719876</v>
      </c>
      <c r="K7" s="26" t="n">
        <f aca="true">IFERROR($D7/INDEX(INDIRECT($B7&amp;"!$C:$C"),$C7-20)-1,"")</f>
        <v>0.100514388989295</v>
      </c>
      <c r="L7" s="26" t="n">
        <f aca="true">IFERROR($D7/INDEX(INDIRECT($B7&amp;"!$C:$C"),$C7-60)-1,"")</f>
        <v>0.0625503355704697</v>
      </c>
      <c r="M7" s="26" t="n">
        <f aca="true">IFERROR(INDEX(INDIRECT($B7&amp;"!$L:$L"),$C7),"")</f>
        <v>0.16757101669043</v>
      </c>
      <c r="N7" s="26" t="n">
        <f aca="true">IFERROR(MEDIAN(INDIRECT($B7&amp;"!$L$5:$L$5000")),"")</f>
        <v>0.19495266154838</v>
      </c>
      <c r="O7" s="26" t="n">
        <f aca="true">IFERROR(INDEX(INDIRECT($B7&amp;"!$O:$O"),$C7),"")</f>
        <v>-0.0170122935551968</v>
      </c>
      <c r="P7" s="26" t="str">
        <f aca="true">IFERROR(IF(ISBLANK(INDEX(INDIRECT($B7&amp;"!$P:$P"),$C7)),"",INDEX(INDIRECT($B7&amp;"!$P:$P"),$C7)),"")</f>
        <v/>
      </c>
      <c r="Q7" s="26" t="str">
        <f aca="true">IFERROR(IF(ISBLANK(INDEX(INDIRECT($B7&amp;"!$Q:$Q"),$C7)),"",INDEX(INDIRECT($B7&amp;"!$Q:$Q"),$C7)),"")</f>
        <v/>
      </c>
      <c r="R7" s="27" t="n">
        <f aca="false">IF(NOT(ISNUMBER($D7)),0,IFERROR(MAX(-10,MIN(10,IF($D7&gt;$E7,2.5,-2.5)+IF($D7&gt;$F7,3.5,-3.5)+IF($D7&gt;$G7,4,-4))),0))</f>
        <v>10</v>
      </c>
      <c r="S7" s="27" t="n">
        <f aca="false">IF(NOT(ISNUMBER($D7)),0,IFERROR(MAX(-10,MIN(10,IF($J7&gt;0.02,2,IF($J7&gt;0,1,IF($J7&lt;-0.02,-2,-1)))+IF($K7&gt;0.05,4,IF($K7&gt;0,2,IF($K7&lt;-0.05,-4,-2)))+IF($L7&gt;0.1,4,IF($L7&gt;0,2,IF($L7&lt;-0.1,-4,-2))))),0))</f>
        <v>7</v>
      </c>
      <c r="T7" s="27" t="n">
        <f aca="false">IF(OR(NOT(ISNUMBER($M7)),NOT(ISNUMBER($N7)),$N7=0),0,IFERROR(MAX(-10,MIN(10,IF($M7/$N7&gt;2,-6,IF($M7/$N7&gt;1.4,-3,IF($M7/$N7&lt;0.7,3,1))))),0))</f>
        <v>1</v>
      </c>
      <c r="U7" s="27" t="n">
        <f aca="false">IF(NOT(ISNUMBER($Q7)),0,IFERROR(MAX(-10,MIN(10,IF($Q7&gt;=0.9,-8,IF($Q7&gt;=0.75,-4,IF($Q7&lt;=0.1,8,IF($Q7&lt;=0.25,4,0)))))),0))</f>
        <v>0</v>
      </c>
      <c r="V7" s="27" t="n">
        <f aca="false">IF(NOT(ISNUMBER($D7)),"",IFERROR(($R7*AW_TREND+$S7*AW_MOM+$T7*AW_VOL+IF(ISNUMBER($Q7),$U7*AW_VAL,0))/(AW_TREND+AW_MOM+AW_VOL+IF(ISNUMBER($Q7),AW_VAL,0)),0))</f>
        <v>7.2</v>
      </c>
      <c r="W7" s="28" t="str">
        <f aca="false">IF(NOT(ISNUMBER($V7)),"",IF($V7&gt;=TH_SBUY,"خرید قوی",IF($V7&gt;=TH_BUY,"خرید",IF($V7&lt;=TH_SSELL,"فروش قوی",IF($V7&lt;=TH_SELL,"فروش","نگهداری")))))</f>
        <v>خرید قوی</v>
      </c>
      <c r="X7" s="29" t="n">
        <f aca="false">IF(NOT(ISNUMBER($V7)),"",IF(ABS($V7)&gt;=8,5,IF(ABS($V7)&gt;=5,4,IF(ABS($V7)&gt;=3,3,IF(ABS($V7)&gt;=1.5,2,1)))))</f>
        <v>4</v>
      </c>
      <c r="Y7" s="30" t="str">
        <f aca="false">IF(NOT(ISNUMBER($D7)),"","روند: "&amp;IF($R7&gt;=5,"صعودی قوی",IF($R7&gt;=2,"صعودی",IF($R7&lt;=-5,"نزولی قوی",IF($R7&lt;=-2,"نزولی","خنثی"))))&amp;" | MA: "&amp;$H7&amp;"/3"&amp;" | مومنتوم ۲۰ روزه: "&amp;IFERROR(TEXT($K7,"0.0%"),"—")&amp;" | نوسان: "&amp;IFERROR(TEXT($M7,"0%"),"—")&amp;" (میانه "&amp;IFERROR(TEXT($N7,"0%"),"—")&amp;")"&amp;" | ارزش‌گذاری: صدک "&amp;IFERROR(TEXT($Q7,"0%"),"—"))</f>
        <v>روند: صعودی قوی | MA: 3/3 | مومنتوم ۲۰ روزه: 10.1% | نوسان: 17% (میانه 19%) | ارزش‌گذاری: صدک </v>
      </c>
    </row>
    <row r="9" customFormat="false" ht="30" hidden="false" customHeight="true" outlineLevel="0" collapsed="false">
      <c r="A9" s="31" t="s">
        <v>79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customFormat="false" ht="30" hidden="false" customHeight="true" outlineLevel="0" collapsed="false">
      <c r="A10" s="31" t="s">
        <v>80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customFormat="false" ht="30" hidden="false" customHeight="true" outlineLevel="0" collapsed="false">
      <c r="A11" s="31" t="s">
        <v>81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</sheetData>
  <mergeCells count="5">
    <mergeCell ref="A1:Y1"/>
    <mergeCell ref="A2:Y2"/>
    <mergeCell ref="A9:Y9"/>
    <mergeCell ref="A10:Y10"/>
    <mergeCell ref="A11:Y11"/>
  </mergeCells>
  <conditionalFormatting sqref="R5:R7">
    <cfRule type="colorScale" priority="2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S5:S7">
    <cfRule type="colorScale" priority="3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T5:T7">
    <cfRule type="colorScale" priority="4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U5:U7">
    <cfRule type="colorScale" priority="5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V5:V7">
    <cfRule type="colorScale" priority="6">
      <colorScale>
        <cfvo type="num" val="-10"/>
        <cfvo type="num" val="0"/>
        <cfvo type="num" val="10"/>
        <color rgb="FFC00000"/>
        <color rgb="FFFFFFFF"/>
        <color rgb="FF00B050"/>
      </colorScale>
    </cfRule>
  </conditionalFormatting>
  <conditionalFormatting sqref="W5:W7">
    <cfRule type="cellIs" priority="7" operator="equal" aboveAverage="0" equalAverage="0" bottom="0" percent="0" rank="0" text="" dxfId="0">
      <formula>"خرید قوی"</formula>
    </cfRule>
    <cfRule type="cellIs" priority="8" operator="equal" aboveAverage="0" equalAverage="0" bottom="0" percent="0" rank="0" text="" dxfId="1">
      <formula>"خرید"</formula>
    </cfRule>
    <cfRule type="cellIs" priority="9" operator="equal" aboveAverage="0" equalAverage="0" bottom="0" percent="0" rank="0" text="" dxfId="2">
      <formula>"نگهداری"</formula>
    </cfRule>
    <cfRule type="cellIs" priority="10" operator="equal" aboveAverage="0" equalAverage="0" bottom="0" percent="0" rank="0" text="" dxfId="3">
      <formula>"فروش"</formula>
    </cfRule>
    <cfRule type="cellIs" priority="11" operator="equal" aboveAverage="0" equalAverage="0" bottom="0" percent="0" rank="0" text="" dxfId="4">
      <formula>"فروش قوی"</formula>
    </cfRule>
  </conditionalFormatting>
  <conditionalFormatting sqref="Q5:Q7">
    <cfRule type="colorScale" priority="12">
      <colorScale>
        <cfvo type="num" val="0"/>
        <cfvo type="num" val="0.5"/>
        <cfvo type="num" val="1"/>
        <color rgb="FF00B05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7" min="5" style="0" width="2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9" t="s">
        <v>83</v>
      </c>
      <c r="B2" s="19"/>
      <c r="C2" s="19"/>
      <c r="D2" s="19"/>
      <c r="E2" s="19"/>
      <c r="F2" s="19"/>
      <c r="G2" s="19"/>
      <c r="H2" s="19"/>
    </row>
    <row r="3" customFormat="false" ht="30" hidden="false" customHeight="true" outlineLevel="0" collapsed="false">
      <c r="A3" s="20" t="s">
        <v>84</v>
      </c>
      <c r="B3" s="20" t="s">
        <v>85</v>
      </c>
      <c r="C3" s="20" t="s">
        <v>86</v>
      </c>
      <c r="D3" s="20" t="s">
        <v>87</v>
      </c>
      <c r="E3" s="20" t="s">
        <v>88</v>
      </c>
      <c r="F3" s="20" t="s">
        <v>89</v>
      </c>
      <c r="G3" s="20" t="s">
        <v>90</v>
      </c>
      <c r="H3" s="20" t="s">
        <v>91</v>
      </c>
    </row>
    <row r="4" customFormat="false" ht="21.75" hidden="false" customHeight="true" outlineLevel="0" collapsed="false">
      <c r="A4" s="21" t="s">
        <v>92</v>
      </c>
      <c r="B4" s="21" t="s">
        <v>56</v>
      </c>
      <c r="C4" s="21" t="s">
        <v>56</v>
      </c>
      <c r="D4" s="21" t="s">
        <v>93</v>
      </c>
      <c r="E4" s="21" t="s">
        <v>94</v>
      </c>
      <c r="F4" s="21" t="s">
        <v>56</v>
      </c>
      <c r="G4" s="21" t="s">
        <v>95</v>
      </c>
      <c r="H4" s="21" t="s">
        <v>96</v>
      </c>
    </row>
    <row r="5" customFormat="false" ht="15" hidden="false" customHeight="false" outlineLevel="0" collapsed="false">
      <c r="A5" s="32" t="s">
        <v>73</v>
      </c>
      <c r="B5" s="33" t="n">
        <v>8.133</v>
      </c>
      <c r="C5" s="34" t="n">
        <v>0.9</v>
      </c>
      <c r="D5" s="35" t="n">
        <f aca="false">$B5*$C5</f>
        <v>7.3197</v>
      </c>
      <c r="E5" s="36" t="n">
        <f aca="false">$D5*(GOLD_OZ/31.1034768)*USD_FREE</f>
        <v>760128237.496587</v>
      </c>
      <c r="F5" s="36" t="n">
        <f aca="false">COIN_FULL</f>
        <v>900000000</v>
      </c>
      <c r="G5" s="36" t="n">
        <f aca="false">IFERROR($F5-$E5,"")</f>
        <v>139871762.503413</v>
      </c>
      <c r="H5" s="37" t="n">
        <f aca="false">IFERROR($F5/$E5-1,"")</f>
        <v>0.18401074398192</v>
      </c>
    </row>
    <row r="6" customFormat="false" ht="15" hidden="false" customHeight="false" outlineLevel="0" collapsed="false">
      <c r="A6" s="32" t="s">
        <v>97</v>
      </c>
      <c r="B6" s="33" t="n">
        <v>4.0665</v>
      </c>
      <c r="C6" s="34" t="n">
        <v>0.9</v>
      </c>
      <c r="D6" s="35" t="n">
        <f aca="false">$B6*$C6</f>
        <v>3.65985</v>
      </c>
      <c r="E6" s="36" t="n">
        <f aca="false">$D6*(GOLD_OZ/31.1034768)*USD_FREE</f>
        <v>380064118.748294</v>
      </c>
      <c r="F6" s="36" t="n">
        <f aca="false">COIN_HALF</f>
        <v>470000000</v>
      </c>
      <c r="G6" s="36" t="n">
        <f aca="false">IFERROR($F6-$E6,"")</f>
        <v>89935881.2517063</v>
      </c>
      <c r="H6" s="37" t="n">
        <f aca="false">IFERROR($F6/$E6-1,"")</f>
        <v>0.23663344371445</v>
      </c>
    </row>
    <row r="7" customFormat="false" ht="15" hidden="false" customHeight="false" outlineLevel="0" collapsed="false">
      <c r="A7" s="32" t="s">
        <v>98</v>
      </c>
      <c r="B7" s="33" t="n">
        <v>2.03325</v>
      </c>
      <c r="C7" s="34" t="n">
        <v>0.9</v>
      </c>
      <c r="D7" s="35" t="n">
        <f aca="false">$B7*$C7</f>
        <v>1.829925</v>
      </c>
      <c r="E7" s="36" t="n">
        <f aca="false">$D7*(GOLD_OZ/31.1034768)*USD_FREE</f>
        <v>190032059.374147</v>
      </c>
      <c r="F7" s="36" t="n">
        <f aca="false">COIN_QTR</f>
        <v>285000000</v>
      </c>
      <c r="G7" s="36" t="n">
        <f aca="false">IFERROR($F7-$E7,"")</f>
        <v>94967940.6258532</v>
      </c>
      <c r="H7" s="37" t="n">
        <f aca="false">IFERROR($F7/$E7-1,"")</f>
        <v>0.499746942377099</v>
      </c>
    </row>
    <row r="8" customFormat="false" ht="15" hidden="false" customHeight="false" outlineLevel="0" collapsed="false">
      <c r="A8" s="32" t="s">
        <v>99</v>
      </c>
      <c r="B8" s="33" t="n">
        <v>1.0166</v>
      </c>
      <c r="C8" s="34" t="n">
        <v>0.9</v>
      </c>
      <c r="D8" s="35" t="n">
        <f aca="false">$B8*$C8</f>
        <v>0.91494</v>
      </c>
      <c r="E8" s="36" t="n">
        <f aca="false">$D8*(GOLD_OZ/31.1034768)*USD_FREE</f>
        <v>95013693.1315666</v>
      </c>
      <c r="F8" s="38"/>
      <c r="G8" s="36" t="n">
        <f aca="false">IFERROR($F8-$E8,"")</f>
        <v>-95013693.1315666</v>
      </c>
      <c r="H8" s="37" t="n">
        <f aca="false">IFERROR($F8/$E8-1,"")</f>
        <v>-1</v>
      </c>
    </row>
    <row r="9" customFormat="false" ht="15" hidden="false" customHeight="false" outlineLevel="0" collapsed="false">
      <c r="A9" s="32" t="s">
        <v>100</v>
      </c>
      <c r="B9" s="33" t="n">
        <v>1</v>
      </c>
      <c r="C9" s="34" t="n">
        <v>0.75</v>
      </c>
      <c r="D9" s="35" t="n">
        <f aca="false">$B9*$C9</f>
        <v>0.75</v>
      </c>
      <c r="E9" s="36" t="n">
        <f aca="false">$D9*(GOLD_OZ/31.1034768)*USD_FREE</f>
        <v>77885183.5625013</v>
      </c>
      <c r="F9" s="36" t="n">
        <f aca="false">GRAM_18K</f>
        <v>82000000</v>
      </c>
      <c r="G9" s="36" t="n">
        <f aca="false">IFERROR($F9-$E9,"")</f>
        <v>4114816.43749872</v>
      </c>
      <c r="H9" s="37" t="n">
        <f aca="false">IFERROR($F9/$E9-1,"")</f>
        <v>0.0528318256346749</v>
      </c>
    </row>
    <row r="12" customFormat="false" ht="15" hidden="false" customHeight="false" outlineLevel="0" collapsed="false">
      <c r="A12" s="39" t="s">
        <v>101</v>
      </c>
      <c r="B12" s="39"/>
      <c r="C12" s="39"/>
      <c r="D12" s="39"/>
      <c r="E12" s="39"/>
      <c r="F12" s="39"/>
      <c r="G12" s="39"/>
      <c r="H12" s="39"/>
    </row>
    <row r="13" customFormat="false" ht="15" hidden="false" customHeight="false" outlineLevel="0" collapsed="false">
      <c r="A13" s="40" t="s">
        <v>102</v>
      </c>
      <c r="B13" s="6" t="n">
        <f aca="false">IFERROR(COIN_FULL/COIN_FULL_0-1,"")</f>
        <v>0.8</v>
      </c>
    </row>
    <row r="14" customFormat="false" ht="15" hidden="false" customHeight="false" outlineLevel="0" collapsed="false">
      <c r="A14" s="4" t="s">
        <v>30</v>
      </c>
      <c r="B14" s="6" t="n">
        <f aca="false">IFERROR(GOLD_OZ/GOLD_OZ_0-1,"")</f>
        <v>0.307692307692308</v>
      </c>
    </row>
    <row r="15" customFormat="false" ht="15" hidden="false" customHeight="false" outlineLevel="0" collapsed="false">
      <c r="A15" s="4" t="s">
        <v>31</v>
      </c>
      <c r="B15" s="6" t="n">
        <f aca="false">IFERROR(USD_FREE/USD_FREE_0-1,"")</f>
        <v>0.583333333333333</v>
      </c>
    </row>
    <row r="16" customFormat="false" ht="15" hidden="false" customHeight="false" outlineLevel="0" collapsed="false">
      <c r="A16" s="4" t="s">
        <v>103</v>
      </c>
      <c r="B16" s="6" t="n">
        <f aca="false">IFERROR(COIN_FULL_0/(7.3197*(GOLD_OZ_0/31.1034768)*USD_FREE_0)-1,"")</f>
        <v>0.361949680577493</v>
      </c>
    </row>
    <row r="17" customFormat="false" ht="15" hidden="false" customHeight="false" outlineLevel="0" collapsed="false">
      <c r="A17" s="4" t="s">
        <v>104</v>
      </c>
      <c r="B17" s="6" t="n">
        <f aca="false">IFERROR($H$5,"")</f>
        <v>0.18401074398192</v>
      </c>
    </row>
    <row r="18" customFormat="false" ht="15" hidden="false" customHeight="false" outlineLevel="0" collapsed="false">
      <c r="A18" s="4" t="s">
        <v>32</v>
      </c>
      <c r="B18" s="6" t="n">
        <f aca="false">IFERROR((1+$B17)/(1+$B16)-1,"")</f>
        <v>-0.130650154798762</v>
      </c>
    </row>
    <row r="19" customFormat="false" ht="15" hidden="false" customHeight="false" outlineLevel="0" collapsed="false">
      <c r="A19" s="40" t="s">
        <v>105</v>
      </c>
      <c r="B19" s="6" t="n">
        <f aca="false">IFERROR((1+$B14)*(1+$B15)*(1+$B18)-1,"")</f>
        <v>0.8</v>
      </c>
    </row>
    <row r="20" customFormat="false" ht="15" hidden="false" customHeight="false" outlineLevel="0" collapsed="false">
      <c r="A20" s="41" t="s">
        <v>106</v>
      </c>
      <c r="B20" s="42" t="n">
        <f aca="false">IFERROR($B19-$B13,"")</f>
        <v>0</v>
      </c>
    </row>
    <row r="22" customFormat="false" ht="15" hidden="false" customHeight="true" outlineLevel="0" collapsed="false">
      <c r="A22" s="18" t="s">
        <v>107</v>
      </c>
      <c r="B22" s="18"/>
      <c r="C22" s="18"/>
      <c r="D22" s="18"/>
      <c r="E22" s="18"/>
      <c r="F22" s="18"/>
      <c r="G22" s="18"/>
      <c r="H22" s="18"/>
    </row>
  </sheetData>
  <mergeCells count="3">
    <mergeCell ref="A1:H1"/>
    <mergeCell ref="A2:H2"/>
    <mergeCell ref="A22:H22"/>
  </mergeCells>
  <conditionalFormatting sqref="H5:H9">
    <cfRule type="colorScale" priority="2">
      <colorScale>
        <cfvo type="num" val="-0.05"/>
        <cfvo type="num" val="0.15"/>
        <cfvo type="num" val="0.45"/>
        <color rgb="FF00B050"/>
        <color rgb="FFFFFFFF"/>
        <color rgb="FFC00000"/>
      </colorScale>
    </cfRule>
  </conditionalFormatting>
  <conditionalFormatting sqref="B20">
    <cfRule type="cellIs" priority="3" operator="between" aboveAverage="0" equalAverage="0" bottom="0" percent="0" rank="0" text="" dxfId="1">
      <formula>-0.0001</formula>
      <formula>0.0001</formula>
    </cfRule>
    <cfRule type="cellIs" priority="4" operator="notBetween" aboveAverage="0" equalAverage="0" bottom="0" percent="0" rank="0" text="" dxfId="4">
      <formula>-0.0001</formula>
      <formula>0.0001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"/>
  </cols>
  <sheetData>
    <row r="1" customFormat="false" ht="27.75" hidden="false" customHeight="true" outlineLevel="0" collapsed="false">
      <c r="A1" s="1" t="s">
        <v>108</v>
      </c>
      <c r="B1" s="1"/>
      <c r="C1" s="1"/>
      <c r="D1" s="1"/>
    </row>
    <row r="2" customFormat="false" ht="18" hidden="false" customHeight="true" outlineLevel="0" collapsed="false">
      <c r="A2" s="19" t="s">
        <v>109</v>
      </c>
      <c r="B2" s="19"/>
      <c r="C2" s="19"/>
      <c r="D2" s="19"/>
    </row>
    <row r="4" customFormat="false" ht="19.5" hidden="false" customHeight="true" outlineLevel="0" collapsed="false">
      <c r="A4" s="39" t="s">
        <v>110</v>
      </c>
      <c r="B4" s="39"/>
      <c r="C4" s="39"/>
    </row>
    <row r="5" customFormat="false" ht="15" hidden="false" customHeight="false" outlineLevel="0" collapsed="false">
      <c r="A5" s="4" t="s">
        <v>111</v>
      </c>
      <c r="B5" s="43" t="n">
        <v>3400</v>
      </c>
      <c r="C5" s="44" t="s">
        <v>112</v>
      </c>
    </row>
    <row r="6" customFormat="false" ht="15" hidden="false" customHeight="false" outlineLevel="0" collapsed="false">
      <c r="A6" s="4" t="s">
        <v>113</v>
      </c>
      <c r="B6" s="43" t="n">
        <v>40</v>
      </c>
      <c r="C6" s="44" t="s">
        <v>114</v>
      </c>
    </row>
    <row r="8" customFormat="false" ht="19.5" hidden="false" customHeight="true" outlineLevel="0" collapsed="false">
      <c r="A8" s="39" t="s">
        <v>115</v>
      </c>
      <c r="B8" s="39"/>
      <c r="C8" s="39"/>
    </row>
    <row r="9" customFormat="false" ht="15" hidden="false" customHeight="false" outlineLevel="0" collapsed="false">
      <c r="A9" s="4" t="s">
        <v>5</v>
      </c>
      <c r="B9" s="45" t="n">
        <v>950000</v>
      </c>
      <c r="C9" s="44" t="s">
        <v>116</v>
      </c>
    </row>
    <row r="10" customFormat="false" ht="15" hidden="false" customHeight="false" outlineLevel="0" collapsed="false">
      <c r="A10" s="4" t="s">
        <v>117</v>
      </c>
      <c r="B10" s="45" t="n">
        <v>720000</v>
      </c>
      <c r="C10" s="44" t="s">
        <v>118</v>
      </c>
    </row>
    <row r="12" customFormat="false" ht="19.5" hidden="false" customHeight="true" outlineLevel="0" collapsed="false">
      <c r="A12" s="39" t="s">
        <v>119</v>
      </c>
      <c r="B12" s="39"/>
      <c r="C12" s="39"/>
    </row>
    <row r="13" customFormat="false" ht="15" hidden="false" customHeight="false" outlineLevel="0" collapsed="false">
      <c r="A13" s="4" t="s">
        <v>120</v>
      </c>
      <c r="B13" s="45" t="n">
        <v>900000000</v>
      </c>
      <c r="C13" s="44" t="s">
        <v>121</v>
      </c>
    </row>
    <row r="14" customFormat="false" ht="15" hidden="false" customHeight="false" outlineLevel="0" collapsed="false">
      <c r="A14" s="4" t="s">
        <v>122</v>
      </c>
      <c r="B14" s="45" t="n">
        <v>470000000</v>
      </c>
      <c r="C14" s="44"/>
    </row>
    <row r="15" customFormat="false" ht="15" hidden="false" customHeight="false" outlineLevel="0" collapsed="false">
      <c r="A15" s="4" t="s">
        <v>123</v>
      </c>
      <c r="B15" s="45" t="n">
        <v>285000000</v>
      </c>
      <c r="C15" s="44"/>
    </row>
    <row r="16" customFormat="false" ht="15" hidden="false" customHeight="false" outlineLevel="0" collapsed="false">
      <c r="A16" s="4" t="s">
        <v>124</v>
      </c>
      <c r="B16" s="45" t="n">
        <v>82000000</v>
      </c>
      <c r="C16" s="44" t="s">
        <v>125</v>
      </c>
    </row>
    <row r="18" customFormat="false" ht="19.5" hidden="false" customHeight="true" outlineLevel="0" collapsed="false">
      <c r="A18" s="39" t="s">
        <v>126</v>
      </c>
      <c r="B18" s="39"/>
      <c r="C18" s="39"/>
    </row>
    <row r="19" customFormat="false" ht="15" hidden="false" customHeight="false" outlineLevel="0" collapsed="false">
      <c r="A19" s="4" t="s">
        <v>127</v>
      </c>
      <c r="B19" s="43" t="n">
        <v>2600</v>
      </c>
      <c r="C19" s="44" t="s">
        <v>128</v>
      </c>
    </row>
    <row r="20" customFormat="false" ht="15" hidden="false" customHeight="false" outlineLevel="0" collapsed="false">
      <c r="A20" s="4" t="s">
        <v>129</v>
      </c>
      <c r="B20" s="45" t="n">
        <v>600000</v>
      </c>
      <c r="C20" s="44"/>
    </row>
    <row r="21" customFormat="false" ht="15" hidden="false" customHeight="false" outlineLevel="0" collapsed="false">
      <c r="A21" s="4" t="s">
        <v>130</v>
      </c>
      <c r="B21" s="45" t="n">
        <v>500000000</v>
      </c>
      <c r="C21" s="44"/>
    </row>
    <row r="23" customFormat="false" ht="15" hidden="false" customHeight="true" outlineLevel="0" collapsed="false">
      <c r="A23" s="46" t="s">
        <v>131</v>
      </c>
      <c r="B23" s="46"/>
      <c r="C23" s="46"/>
    </row>
  </sheetData>
  <mergeCells count="3">
    <mergeCell ref="A1:D1"/>
    <mergeCell ref="A2:D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5"/>
  </cols>
  <sheetData>
    <row r="1" customFormat="false" ht="27.7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19" t="s">
        <v>133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customFormat="false" ht="30" hidden="false" customHeight="true" outlineLevel="0" collapsed="false">
      <c r="A3" s="20" t="s">
        <v>134</v>
      </c>
      <c r="B3" s="20" t="s">
        <v>16</v>
      </c>
      <c r="C3" s="20" t="s">
        <v>17</v>
      </c>
      <c r="D3" s="20" t="s">
        <v>135</v>
      </c>
      <c r="E3" s="20" t="s">
        <v>136</v>
      </c>
      <c r="F3" s="20" t="s">
        <v>137</v>
      </c>
      <c r="G3" s="20" t="s">
        <v>138</v>
      </c>
      <c r="H3" s="20" t="s">
        <v>139</v>
      </c>
      <c r="I3" s="20" t="s">
        <v>19</v>
      </c>
      <c r="J3" s="20" t="s">
        <v>20</v>
      </c>
      <c r="K3" s="20" t="s">
        <v>21</v>
      </c>
      <c r="L3" s="20" t="s">
        <v>140</v>
      </c>
      <c r="M3" s="20" t="s">
        <v>23</v>
      </c>
      <c r="N3" s="20" t="s">
        <v>24</v>
      </c>
      <c r="O3" s="20" t="s">
        <v>25</v>
      </c>
      <c r="P3" s="20" t="s">
        <v>141</v>
      </c>
      <c r="Q3" s="20" t="s">
        <v>142</v>
      </c>
    </row>
    <row r="4" customFormat="false" ht="21.75" hidden="false" customHeight="true" outlineLevel="0" collapsed="false">
      <c r="A4" s="21" t="s">
        <v>92</v>
      </c>
      <c r="B4" s="21" t="s">
        <v>92</v>
      </c>
      <c r="C4" s="21" t="s">
        <v>143</v>
      </c>
      <c r="D4" s="21" t="s">
        <v>144</v>
      </c>
      <c r="E4" s="21" t="s">
        <v>145</v>
      </c>
      <c r="F4" s="21" t="s">
        <v>146</v>
      </c>
      <c r="G4" s="21" t="s">
        <v>147</v>
      </c>
      <c r="H4" s="21" t="s">
        <v>92</v>
      </c>
      <c r="I4" s="21" t="s">
        <v>148</v>
      </c>
      <c r="J4" s="21" t="s">
        <v>149</v>
      </c>
      <c r="K4" s="21" t="s">
        <v>150</v>
      </c>
      <c r="L4" s="21" t="s">
        <v>92</v>
      </c>
      <c r="M4" s="21" t="s">
        <v>92</v>
      </c>
      <c r="N4" s="21" t="s">
        <v>92</v>
      </c>
      <c r="O4" s="21" t="s">
        <v>92</v>
      </c>
      <c r="P4" s="21" t="s">
        <v>151</v>
      </c>
      <c r="Q4" s="21" t="s">
        <v>152</v>
      </c>
    </row>
    <row r="5" customFormat="false" ht="15" hidden="false" customHeight="false" outlineLevel="0" collapsed="false">
      <c r="A5" s="47" t="n">
        <v>45570</v>
      </c>
      <c r="B5" s="48" t="s">
        <v>153</v>
      </c>
      <c r="C5" s="49" t="n">
        <v>626838716</v>
      </c>
      <c r="D5" s="49" t="n">
        <v>630140094</v>
      </c>
      <c r="E5" s="49" t="n">
        <v>624944947</v>
      </c>
      <c r="F5" s="49" t="n">
        <v>0</v>
      </c>
      <c r="G5" s="50" t="n">
        <f aca="false">IF($A5="","",IF(ISNUMBER($G4),$G4+1,1))</f>
        <v>1</v>
      </c>
      <c r="H5" s="51" t="str">
        <f aca="false">IF(OR(NOT(ISNUMBER($G5)),$G5&lt;2,NOT(ISNUMBER($C4)),$C4=0),"",$C5/$C4-1)</f>
        <v/>
      </c>
      <c r="I5" s="52" t="str">
        <f aca="false">IF(AND(ISNUMBER($G5),$G5&gt;=MA_SHORT),AVERAGE(INDEX($C$5:$C5,2-MA_SHORT):$C5),"")</f>
        <v/>
      </c>
      <c r="J5" s="52" t="str">
        <f aca="false">IF(AND(ISNUMBER($G5),$G5&gt;=MA_MED),AVERAGE(INDEX($C$5:$C5,2-MA_MED):$C5),"")</f>
        <v/>
      </c>
      <c r="K5" s="52" t="str">
        <f aca="false">IF(AND(ISNUMBER($G5),$G5&gt;=MA_LONG2),AVERAGE(INDEX($C$5:$C5,2-MA_LONG2):$C5),"")</f>
        <v/>
      </c>
      <c r="L5" s="53" t="str">
        <f aca="false">IF(AND(ISNUMBER($G5),$G5&gt;=21),STDEV(INDEX($H$5:$H5,2-20):$H5)*SQRT(245),"")</f>
        <v/>
      </c>
      <c r="M5" s="52" t="str">
        <f aca="false">IF(AND(ISNUMBER($G5),$G5&gt;=60),MAX(INDEX($D$5:$D5,2-60):$D5),"")</f>
        <v/>
      </c>
      <c r="N5" s="52" t="str">
        <f aca="false">IF(AND(ISNUMBER($G5),$G5&gt;=60),MIN(INDEX($E$5:$E5,2-60):$E5),"")</f>
        <v/>
      </c>
      <c r="O5" s="53" t="str">
        <f aca="false">IF(OR(NOT(ISNUMBER($C5)),NOT(ISNUMBER($M5)),$M5=0),"",$C5/$M5-1)</f>
        <v/>
      </c>
      <c r="P5" s="54"/>
      <c r="Q5" s="53" t="str">
        <f aca="false">IF(NOT(ISNUMBER($P5)),"",IFERROR(PERCENTRANK($P$5:$P$1204,$P5),""))</f>
        <v/>
      </c>
    </row>
    <row r="6" customFormat="false" ht="15" hidden="false" customHeight="false" outlineLevel="0" collapsed="false">
      <c r="A6" s="47" t="n">
        <v>45571</v>
      </c>
      <c r="B6" s="48" t="s">
        <v>154</v>
      </c>
      <c r="C6" s="49" t="n">
        <v>620421683</v>
      </c>
      <c r="D6" s="49" t="n">
        <v>621354578</v>
      </c>
      <c r="E6" s="49" t="n">
        <v>616119534</v>
      </c>
      <c r="F6" s="49" t="n">
        <v>0</v>
      </c>
      <c r="G6" s="50" t="n">
        <f aca="false">IF($A6="","",IF(ISNUMBER($G5),$G5+1,1))</f>
        <v>2</v>
      </c>
      <c r="H6" s="51" t="n">
        <f aca="false">IF(OR(NOT(ISNUMBER($G6)),$G6&lt;2,NOT(ISNUMBER($C5)),$C5=0),"",$C6/$C5-1)</f>
        <v>-0.01023713570366</v>
      </c>
      <c r="I6" s="52" t="str">
        <f aca="false">IF(AND(ISNUMBER($G6),$G6&gt;=MA_SHORT),AVERAGE(INDEX($C$5:$C6,3-MA_SHORT):$C6),"")</f>
        <v/>
      </c>
      <c r="J6" s="52" t="str">
        <f aca="false">IF(AND(ISNUMBER($G6),$G6&gt;=MA_MED),AVERAGE(INDEX($C$5:$C6,3-MA_MED):$C6),"")</f>
        <v/>
      </c>
      <c r="K6" s="52" t="str">
        <f aca="false">IF(AND(ISNUMBER($G6),$G6&gt;=MA_LONG2),AVERAGE(INDEX($C$5:$C6,3-MA_LONG2):$C6),"")</f>
        <v/>
      </c>
      <c r="L6" s="53" t="str">
        <f aca="false">IF(AND(ISNUMBER($G6),$G6&gt;=21),STDEV(INDEX($H$5:$H6,3-20):$H6)*SQRT(245),"")</f>
        <v/>
      </c>
      <c r="M6" s="52" t="str">
        <f aca="false">IF(AND(ISNUMBER($G6),$G6&gt;=60),MAX(INDEX($D$5:$D6,3-60):$D6),"")</f>
        <v/>
      </c>
      <c r="N6" s="52" t="str">
        <f aca="false">IF(AND(ISNUMBER($G6),$G6&gt;=60),MIN(INDEX($E$5:$E6,3-60):$E6),"")</f>
        <v/>
      </c>
      <c r="O6" s="53" t="str">
        <f aca="false">IF(OR(NOT(ISNUMBER($C6)),NOT(ISNUMBER($M6)),$M6=0),"",$C6/$M6-1)</f>
        <v/>
      </c>
      <c r="P6" s="54"/>
      <c r="Q6" s="53" t="str">
        <f aca="false">IF(NOT(ISNUMBER($P6)),"",IFERROR(PERCENTRANK($P$5:$P$1204,$P6),""))</f>
        <v/>
      </c>
    </row>
    <row r="7" customFormat="false" ht="15" hidden="false" customHeight="false" outlineLevel="0" collapsed="false">
      <c r="A7" s="47" t="n">
        <v>45572</v>
      </c>
      <c r="B7" s="48" t="s">
        <v>155</v>
      </c>
      <c r="C7" s="49" t="n">
        <v>624417457</v>
      </c>
      <c r="D7" s="49" t="n">
        <v>627215646</v>
      </c>
      <c r="E7" s="49" t="n">
        <v>622585500</v>
      </c>
      <c r="F7" s="49" t="n">
        <v>0</v>
      </c>
      <c r="G7" s="50" t="n">
        <f aca="false">IF($A7="","",IF(ISNUMBER($G6),$G6+1,1))</f>
        <v>3</v>
      </c>
      <c r="H7" s="51" t="n">
        <f aca="false">IF(OR(NOT(ISNUMBER($G7)),$G7&lt;2,NOT(ISNUMBER($C6)),$C6=0),"",$C7/$C6-1)</f>
        <v>0.00644041642883719</v>
      </c>
      <c r="I7" s="52" t="str">
        <f aca="false">IF(AND(ISNUMBER($G7),$G7&gt;=MA_SHORT),AVERAGE(INDEX($C$5:$C7,4-MA_SHORT):$C7),"")</f>
        <v/>
      </c>
      <c r="J7" s="52" t="str">
        <f aca="false">IF(AND(ISNUMBER($G7),$G7&gt;=MA_MED),AVERAGE(INDEX($C$5:$C7,4-MA_MED):$C7),"")</f>
        <v/>
      </c>
      <c r="K7" s="52" t="str">
        <f aca="false">IF(AND(ISNUMBER($G7),$G7&gt;=MA_LONG2),AVERAGE(INDEX($C$5:$C7,4-MA_LONG2):$C7),"")</f>
        <v/>
      </c>
      <c r="L7" s="53" t="str">
        <f aca="false">IF(AND(ISNUMBER($G7),$G7&gt;=21),STDEV(INDEX($H$5:$H7,4-20):$H7)*SQRT(245),"")</f>
        <v/>
      </c>
      <c r="M7" s="52" t="str">
        <f aca="false">IF(AND(ISNUMBER($G7),$G7&gt;=60),MAX(INDEX($D$5:$D7,4-60):$D7),"")</f>
        <v/>
      </c>
      <c r="N7" s="52" t="str">
        <f aca="false">IF(AND(ISNUMBER($G7),$G7&gt;=60),MIN(INDEX($E$5:$E7,4-60):$E7),"")</f>
        <v/>
      </c>
      <c r="O7" s="53" t="str">
        <f aca="false">IF(OR(NOT(ISNUMBER($C7)),NOT(ISNUMBER($M7)),$M7=0),"",$C7/$M7-1)</f>
        <v/>
      </c>
      <c r="P7" s="54"/>
      <c r="Q7" s="53" t="str">
        <f aca="false">IF(NOT(ISNUMBER($P7)),"",IFERROR(PERCENTRANK($P$5:$P$1204,$P7),""))</f>
        <v/>
      </c>
    </row>
    <row r="8" customFormat="false" ht="15" hidden="false" customHeight="false" outlineLevel="0" collapsed="false">
      <c r="A8" s="47" t="n">
        <v>45573</v>
      </c>
      <c r="B8" s="48" t="s">
        <v>156</v>
      </c>
      <c r="C8" s="49" t="n">
        <v>624789174</v>
      </c>
      <c r="D8" s="49" t="n">
        <v>627195417</v>
      </c>
      <c r="E8" s="49" t="n">
        <v>624741080</v>
      </c>
      <c r="F8" s="49" t="n">
        <v>0</v>
      </c>
      <c r="G8" s="50" t="n">
        <f aca="false">IF($A8="","",IF(ISNUMBER($G7),$G7+1,1))</f>
        <v>4</v>
      </c>
      <c r="H8" s="51" t="n">
        <f aca="false">IF(OR(NOT(ISNUMBER($G8)),$G8&lt;2,NOT(ISNUMBER($C7)),$C7=0),"",$C8/$C7-1)</f>
        <v>0.000595302062478931</v>
      </c>
      <c r="I8" s="52" t="str">
        <f aca="false">IF(AND(ISNUMBER($G8),$G8&gt;=MA_SHORT),AVERAGE(INDEX($C$5:$C8,5-MA_SHORT):$C8),"")</f>
        <v/>
      </c>
      <c r="J8" s="52" t="str">
        <f aca="false">IF(AND(ISNUMBER($G8),$G8&gt;=MA_MED),AVERAGE(INDEX($C$5:$C8,5-MA_MED):$C8),"")</f>
        <v/>
      </c>
      <c r="K8" s="52" t="str">
        <f aca="false">IF(AND(ISNUMBER($G8),$G8&gt;=MA_LONG2),AVERAGE(INDEX($C$5:$C8,5-MA_LONG2):$C8),"")</f>
        <v/>
      </c>
      <c r="L8" s="53" t="str">
        <f aca="false">IF(AND(ISNUMBER($G8),$G8&gt;=21),STDEV(INDEX($H$5:$H8,5-20):$H8)*SQRT(245),"")</f>
        <v/>
      </c>
      <c r="M8" s="52" t="str">
        <f aca="false">IF(AND(ISNUMBER($G8),$G8&gt;=60),MAX(INDEX($D$5:$D8,5-60):$D8),"")</f>
        <v/>
      </c>
      <c r="N8" s="52" t="str">
        <f aca="false">IF(AND(ISNUMBER($G8),$G8&gt;=60),MIN(INDEX($E$5:$E8,5-60):$E8),"")</f>
        <v/>
      </c>
      <c r="O8" s="53" t="str">
        <f aca="false">IF(OR(NOT(ISNUMBER($C8)),NOT(ISNUMBER($M8)),$M8=0),"",$C8/$M8-1)</f>
        <v/>
      </c>
      <c r="P8" s="54"/>
      <c r="Q8" s="53" t="str">
        <f aca="false">IF(NOT(ISNUMBER($P8)),"",IFERROR(PERCENTRANK($P$5:$P$1204,$P8),""))</f>
        <v/>
      </c>
    </row>
    <row r="9" customFormat="false" ht="15" hidden="false" customHeight="false" outlineLevel="0" collapsed="false">
      <c r="A9" s="47" t="n">
        <v>45574</v>
      </c>
      <c r="B9" s="48" t="s">
        <v>157</v>
      </c>
      <c r="C9" s="49" t="n">
        <v>622706145</v>
      </c>
      <c r="D9" s="49" t="n">
        <v>623188407</v>
      </c>
      <c r="E9" s="49" t="n">
        <v>622214574</v>
      </c>
      <c r="F9" s="49" t="n">
        <v>0</v>
      </c>
      <c r="G9" s="50" t="n">
        <f aca="false">IF($A9="","",IF(ISNUMBER($G8),$G8+1,1))</f>
        <v>5</v>
      </c>
      <c r="H9" s="51" t="n">
        <f aca="false">IF(OR(NOT(ISNUMBER($G9)),$G9&lt;2,NOT(ISNUMBER($C8)),$C8=0),"",$C9/$C8-1)</f>
        <v>-0.00333397102043898</v>
      </c>
      <c r="I9" s="52" t="str">
        <f aca="false">IF(AND(ISNUMBER($G9),$G9&gt;=MA_SHORT),AVERAGE(INDEX($C$5:$C9,6-MA_SHORT):$C9),"")</f>
        <v/>
      </c>
      <c r="J9" s="52" t="str">
        <f aca="false">IF(AND(ISNUMBER($G9),$G9&gt;=MA_MED),AVERAGE(INDEX($C$5:$C9,6-MA_MED):$C9),"")</f>
        <v/>
      </c>
      <c r="K9" s="52" t="str">
        <f aca="false">IF(AND(ISNUMBER($G9),$G9&gt;=MA_LONG2),AVERAGE(INDEX($C$5:$C9,6-MA_LONG2):$C9),"")</f>
        <v/>
      </c>
      <c r="L9" s="53" t="str">
        <f aca="false">IF(AND(ISNUMBER($G9),$G9&gt;=21),STDEV(INDEX($H$5:$H9,6-20):$H9)*SQRT(245),"")</f>
        <v/>
      </c>
      <c r="M9" s="52" t="str">
        <f aca="false">IF(AND(ISNUMBER($G9),$G9&gt;=60),MAX(INDEX($D$5:$D9,6-60):$D9),"")</f>
        <v/>
      </c>
      <c r="N9" s="52" t="str">
        <f aca="false">IF(AND(ISNUMBER($G9),$G9&gt;=60),MIN(INDEX($E$5:$E9,6-60):$E9),"")</f>
        <v/>
      </c>
      <c r="O9" s="53" t="str">
        <f aca="false">IF(OR(NOT(ISNUMBER($C9)),NOT(ISNUMBER($M9)),$M9=0),"",$C9/$M9-1)</f>
        <v/>
      </c>
      <c r="P9" s="54"/>
      <c r="Q9" s="53" t="str">
        <f aca="false">IF(NOT(ISNUMBER($P9)),"",IFERROR(PERCENTRANK($P$5:$P$1204,$P9),""))</f>
        <v/>
      </c>
    </row>
    <row r="10" customFormat="false" ht="15" hidden="false" customHeight="false" outlineLevel="0" collapsed="false">
      <c r="A10" s="47" t="n">
        <v>45577</v>
      </c>
      <c r="B10" s="48" t="s">
        <v>158</v>
      </c>
      <c r="C10" s="49" t="n">
        <v>617602030</v>
      </c>
      <c r="D10" s="49" t="n">
        <v>617680882</v>
      </c>
      <c r="E10" s="49" t="n">
        <v>616879688</v>
      </c>
      <c r="F10" s="49" t="n">
        <v>0</v>
      </c>
      <c r="G10" s="50" t="n">
        <f aca="false">IF($A10="","",IF(ISNUMBER($G9),$G9+1,1))</f>
        <v>6</v>
      </c>
      <c r="H10" s="51" t="n">
        <f aca="false">IF(OR(NOT(ISNUMBER($G10)),$G10&lt;2,NOT(ISNUMBER($C9)),$C9=0),"",$C10/$C9-1)</f>
        <v>-0.00819666714546397</v>
      </c>
      <c r="I10" s="52" t="str">
        <f aca="false">IF(AND(ISNUMBER($G10),$G10&gt;=MA_SHORT),AVERAGE(INDEX($C$5:$C10,7-MA_SHORT):$C10),"")</f>
        <v/>
      </c>
      <c r="J10" s="52" t="str">
        <f aca="false">IF(AND(ISNUMBER($G10),$G10&gt;=MA_MED),AVERAGE(INDEX($C$5:$C10,7-MA_MED):$C10),"")</f>
        <v/>
      </c>
      <c r="K10" s="52" t="str">
        <f aca="false">IF(AND(ISNUMBER($G10),$G10&gt;=MA_LONG2),AVERAGE(INDEX($C$5:$C10,7-MA_LONG2):$C10),"")</f>
        <v/>
      </c>
      <c r="L10" s="53" t="str">
        <f aca="false">IF(AND(ISNUMBER($G10),$G10&gt;=21),STDEV(INDEX($H$5:$H10,7-20):$H10)*SQRT(245),"")</f>
        <v/>
      </c>
      <c r="M10" s="52" t="str">
        <f aca="false">IF(AND(ISNUMBER($G10),$G10&gt;=60),MAX(INDEX($D$5:$D10,7-60):$D10),"")</f>
        <v/>
      </c>
      <c r="N10" s="52" t="str">
        <f aca="false">IF(AND(ISNUMBER($G10),$G10&gt;=60),MIN(INDEX($E$5:$E10,7-60):$E10),"")</f>
        <v/>
      </c>
      <c r="O10" s="53" t="str">
        <f aca="false">IF(OR(NOT(ISNUMBER($C10)),NOT(ISNUMBER($M10)),$M10=0),"",$C10/$M10-1)</f>
        <v/>
      </c>
      <c r="P10" s="54"/>
      <c r="Q10" s="53" t="str">
        <f aca="false">IF(NOT(ISNUMBER($P10)),"",IFERROR(PERCENTRANK($P$5:$P$1204,$P10),""))</f>
        <v/>
      </c>
    </row>
    <row r="11" customFormat="false" ht="15" hidden="false" customHeight="false" outlineLevel="0" collapsed="false">
      <c r="A11" s="47" t="n">
        <v>45578</v>
      </c>
      <c r="B11" s="48" t="s">
        <v>159</v>
      </c>
      <c r="C11" s="49" t="n">
        <v>631310081</v>
      </c>
      <c r="D11" s="49" t="n">
        <v>631373473</v>
      </c>
      <c r="E11" s="49" t="n">
        <v>628839340</v>
      </c>
      <c r="F11" s="49" t="n">
        <v>0</v>
      </c>
      <c r="G11" s="50" t="n">
        <f aca="false">IF($A11="","",IF(ISNUMBER($G10),$G10+1,1))</f>
        <v>7</v>
      </c>
      <c r="H11" s="51" t="n">
        <f aca="false">IF(OR(NOT(ISNUMBER($G11)),$G11&lt;2,NOT(ISNUMBER($C10)),$C10=0),"",$C11/$C10-1)</f>
        <v>0.0221956054775274</v>
      </c>
      <c r="I11" s="52" t="str">
        <f aca="false">IF(AND(ISNUMBER($G11),$G11&gt;=MA_SHORT),AVERAGE(INDEX($C$5:$C11,8-MA_SHORT):$C11),"")</f>
        <v/>
      </c>
      <c r="J11" s="52" t="str">
        <f aca="false">IF(AND(ISNUMBER($G11),$G11&gt;=MA_MED),AVERAGE(INDEX($C$5:$C11,8-MA_MED):$C11),"")</f>
        <v/>
      </c>
      <c r="K11" s="52" t="str">
        <f aca="false">IF(AND(ISNUMBER($G11),$G11&gt;=MA_LONG2),AVERAGE(INDEX($C$5:$C11,8-MA_LONG2):$C11),"")</f>
        <v/>
      </c>
      <c r="L11" s="53" t="str">
        <f aca="false">IF(AND(ISNUMBER($G11),$G11&gt;=21),STDEV(INDEX($H$5:$H11,8-20):$H11)*SQRT(245),"")</f>
        <v/>
      </c>
      <c r="M11" s="52" t="str">
        <f aca="false">IF(AND(ISNUMBER($G11),$G11&gt;=60),MAX(INDEX($D$5:$D11,8-60):$D11),"")</f>
        <v/>
      </c>
      <c r="N11" s="52" t="str">
        <f aca="false">IF(AND(ISNUMBER($G11),$G11&gt;=60),MIN(INDEX($E$5:$E11,8-60):$E11),"")</f>
        <v/>
      </c>
      <c r="O11" s="53" t="str">
        <f aca="false">IF(OR(NOT(ISNUMBER($C11)),NOT(ISNUMBER($M11)),$M11=0),"",$C11/$M11-1)</f>
        <v/>
      </c>
      <c r="P11" s="54"/>
      <c r="Q11" s="53" t="str">
        <f aca="false">IF(NOT(ISNUMBER($P11)),"",IFERROR(PERCENTRANK($P$5:$P$1204,$P11),""))</f>
        <v/>
      </c>
    </row>
    <row r="12" customFormat="false" ht="15" hidden="false" customHeight="false" outlineLevel="0" collapsed="false">
      <c r="A12" s="47" t="n">
        <v>45579</v>
      </c>
      <c r="B12" s="48" t="s">
        <v>160</v>
      </c>
      <c r="C12" s="49" t="n">
        <v>623852340</v>
      </c>
      <c r="D12" s="49" t="n">
        <v>626030304</v>
      </c>
      <c r="E12" s="49" t="n">
        <v>623378852</v>
      </c>
      <c r="F12" s="49" t="n">
        <v>0</v>
      </c>
      <c r="G12" s="50" t="n">
        <f aca="false">IF($A12="","",IF(ISNUMBER($G11),$G11+1,1))</f>
        <v>8</v>
      </c>
      <c r="H12" s="51" t="n">
        <f aca="false">IF(OR(NOT(ISNUMBER($G12)),$G12&lt;2,NOT(ISNUMBER($C11)),$C11=0),"",$C12/$C11-1)</f>
        <v>-0.0118131188213989</v>
      </c>
      <c r="I12" s="52" t="str">
        <f aca="false">IF(AND(ISNUMBER($G12),$G12&gt;=MA_SHORT),AVERAGE(INDEX($C$5:$C12,9-MA_SHORT):$C12),"")</f>
        <v/>
      </c>
      <c r="J12" s="52" t="str">
        <f aca="false">IF(AND(ISNUMBER($G12),$G12&gt;=MA_MED),AVERAGE(INDEX($C$5:$C12,9-MA_MED):$C12),"")</f>
        <v/>
      </c>
      <c r="K12" s="52" t="str">
        <f aca="false">IF(AND(ISNUMBER($G12),$G12&gt;=MA_LONG2),AVERAGE(INDEX($C$5:$C12,9-MA_LONG2):$C12),"")</f>
        <v/>
      </c>
      <c r="L12" s="53" t="str">
        <f aca="false">IF(AND(ISNUMBER($G12),$G12&gt;=21),STDEV(INDEX($H$5:$H12,9-20):$H12)*SQRT(245),"")</f>
        <v/>
      </c>
      <c r="M12" s="52" t="str">
        <f aca="false">IF(AND(ISNUMBER($G12),$G12&gt;=60),MAX(INDEX($D$5:$D12,9-60):$D12),"")</f>
        <v/>
      </c>
      <c r="N12" s="52" t="str">
        <f aca="false">IF(AND(ISNUMBER($G12),$G12&gt;=60),MIN(INDEX($E$5:$E12,9-60):$E12),"")</f>
        <v/>
      </c>
      <c r="O12" s="53" t="str">
        <f aca="false">IF(OR(NOT(ISNUMBER($C12)),NOT(ISNUMBER($M12)),$M12=0),"",$C12/$M12-1)</f>
        <v/>
      </c>
      <c r="P12" s="54"/>
      <c r="Q12" s="53" t="str">
        <f aca="false">IF(NOT(ISNUMBER($P12)),"",IFERROR(PERCENTRANK($P$5:$P$1204,$P12),""))</f>
        <v/>
      </c>
    </row>
    <row r="13" customFormat="false" ht="15" hidden="false" customHeight="false" outlineLevel="0" collapsed="false">
      <c r="A13" s="47" t="n">
        <v>45580</v>
      </c>
      <c r="B13" s="48" t="s">
        <v>161</v>
      </c>
      <c r="C13" s="49" t="n">
        <v>620390455</v>
      </c>
      <c r="D13" s="49" t="n">
        <v>620409390</v>
      </c>
      <c r="E13" s="49" t="n">
        <v>618118873</v>
      </c>
      <c r="F13" s="49" t="n">
        <v>0</v>
      </c>
      <c r="G13" s="50" t="n">
        <f aca="false">IF($A13="","",IF(ISNUMBER($G12),$G12+1,1))</f>
        <v>9</v>
      </c>
      <c r="H13" s="51" t="n">
        <f aca="false">IF(OR(NOT(ISNUMBER($G13)),$G13&lt;2,NOT(ISNUMBER($C12)),$C12=0),"",$C13/$C12-1)</f>
        <v>-0.00554920576237639</v>
      </c>
      <c r="I13" s="52" t="str">
        <f aca="false">IF(AND(ISNUMBER($G13),$G13&gt;=MA_SHORT),AVERAGE(INDEX($C$5:$C13,10-MA_SHORT):$C13),"")</f>
        <v/>
      </c>
      <c r="J13" s="52" t="str">
        <f aca="false">IF(AND(ISNUMBER($G13),$G13&gt;=MA_MED),AVERAGE(INDEX($C$5:$C13,10-MA_MED):$C13),"")</f>
        <v/>
      </c>
      <c r="K13" s="52" t="str">
        <f aca="false">IF(AND(ISNUMBER($G13),$G13&gt;=MA_LONG2),AVERAGE(INDEX($C$5:$C13,10-MA_LONG2):$C13),"")</f>
        <v/>
      </c>
      <c r="L13" s="53" t="str">
        <f aca="false">IF(AND(ISNUMBER($G13),$G13&gt;=21),STDEV(INDEX($H$5:$H13,10-20):$H13)*SQRT(245),"")</f>
        <v/>
      </c>
      <c r="M13" s="52" t="str">
        <f aca="false">IF(AND(ISNUMBER($G13),$G13&gt;=60),MAX(INDEX($D$5:$D13,10-60):$D13),"")</f>
        <v/>
      </c>
      <c r="N13" s="52" t="str">
        <f aca="false">IF(AND(ISNUMBER($G13),$G13&gt;=60),MIN(INDEX($E$5:$E13,10-60):$E13),"")</f>
        <v/>
      </c>
      <c r="O13" s="53" t="str">
        <f aca="false">IF(OR(NOT(ISNUMBER($C13)),NOT(ISNUMBER($M13)),$M13=0),"",$C13/$M13-1)</f>
        <v/>
      </c>
      <c r="P13" s="54"/>
      <c r="Q13" s="53" t="str">
        <f aca="false">IF(NOT(ISNUMBER($P13)),"",IFERROR(PERCENTRANK($P$5:$P$1204,$P13),""))</f>
        <v/>
      </c>
    </row>
    <row r="14" customFormat="false" ht="15" hidden="false" customHeight="false" outlineLevel="0" collapsed="false">
      <c r="A14" s="47" t="n">
        <v>45581</v>
      </c>
      <c r="B14" s="48" t="s">
        <v>162</v>
      </c>
      <c r="C14" s="49" t="n">
        <v>618650370</v>
      </c>
      <c r="D14" s="49" t="n">
        <v>621220352</v>
      </c>
      <c r="E14" s="49" t="n">
        <v>614878295</v>
      </c>
      <c r="F14" s="49" t="n">
        <v>0</v>
      </c>
      <c r="G14" s="50" t="n">
        <f aca="false">IF($A14="","",IF(ISNUMBER($G13),$G13+1,1))</f>
        <v>10</v>
      </c>
      <c r="H14" s="51" t="n">
        <f aca="false">IF(OR(NOT(ISNUMBER($G14)),$G14&lt;2,NOT(ISNUMBER($C13)),$C13=0),"",$C14/$C13-1)</f>
        <v>-0.00280482232757751</v>
      </c>
      <c r="I14" s="52" t="str">
        <f aca="false">IF(AND(ISNUMBER($G14),$G14&gt;=MA_SHORT),AVERAGE(INDEX($C$5:$C14,11-MA_SHORT):$C14),"")</f>
        <v/>
      </c>
      <c r="J14" s="52" t="str">
        <f aca="false">IF(AND(ISNUMBER($G14),$G14&gt;=MA_MED),AVERAGE(INDEX($C$5:$C14,11-MA_MED):$C14),"")</f>
        <v/>
      </c>
      <c r="K14" s="52" t="str">
        <f aca="false">IF(AND(ISNUMBER($G14),$G14&gt;=MA_LONG2),AVERAGE(INDEX($C$5:$C14,11-MA_LONG2):$C14),"")</f>
        <v/>
      </c>
      <c r="L14" s="53" t="str">
        <f aca="false">IF(AND(ISNUMBER($G14),$G14&gt;=21),STDEV(INDEX($H$5:$H14,11-20):$H14)*SQRT(245),"")</f>
        <v/>
      </c>
      <c r="M14" s="52" t="str">
        <f aca="false">IF(AND(ISNUMBER($G14),$G14&gt;=60),MAX(INDEX($D$5:$D14,11-60):$D14),"")</f>
        <v/>
      </c>
      <c r="N14" s="52" t="str">
        <f aca="false">IF(AND(ISNUMBER($G14),$G14&gt;=60),MIN(INDEX($E$5:$E14,11-60):$E14),"")</f>
        <v/>
      </c>
      <c r="O14" s="53" t="str">
        <f aca="false">IF(OR(NOT(ISNUMBER($C14)),NOT(ISNUMBER($M14)),$M14=0),"",$C14/$M14-1)</f>
        <v/>
      </c>
      <c r="P14" s="54"/>
      <c r="Q14" s="53" t="str">
        <f aca="false">IF(NOT(ISNUMBER($P14)),"",IFERROR(PERCENTRANK($P$5:$P$1204,$P14),""))</f>
        <v/>
      </c>
    </row>
    <row r="15" customFormat="false" ht="15" hidden="false" customHeight="false" outlineLevel="0" collapsed="false">
      <c r="A15" s="47" t="n">
        <v>45584</v>
      </c>
      <c r="B15" s="48" t="s">
        <v>163</v>
      </c>
      <c r="C15" s="49" t="n">
        <v>632260662</v>
      </c>
      <c r="D15" s="49" t="n">
        <v>636359153</v>
      </c>
      <c r="E15" s="49" t="n">
        <v>629193707</v>
      </c>
      <c r="F15" s="49" t="n">
        <v>0</v>
      </c>
      <c r="G15" s="50" t="n">
        <f aca="false">IF($A15="","",IF(ISNUMBER($G14),$G14+1,1))</f>
        <v>11</v>
      </c>
      <c r="H15" s="51" t="n">
        <f aca="false">IF(OR(NOT(ISNUMBER($G15)),$G15&lt;2,NOT(ISNUMBER($C14)),$C14=0),"",$C15/$C14-1)</f>
        <v>0.0219999739109507</v>
      </c>
      <c r="I15" s="52" t="str">
        <f aca="false">IF(AND(ISNUMBER($G15),$G15&gt;=MA_SHORT),AVERAGE(INDEX($C$5:$C15,12-MA_SHORT):$C15),"")</f>
        <v/>
      </c>
      <c r="J15" s="52" t="str">
        <f aca="false">IF(AND(ISNUMBER($G15),$G15&gt;=MA_MED),AVERAGE(INDEX($C$5:$C15,12-MA_MED):$C15),"")</f>
        <v/>
      </c>
      <c r="K15" s="52" t="str">
        <f aca="false">IF(AND(ISNUMBER($G15),$G15&gt;=MA_LONG2),AVERAGE(INDEX($C$5:$C15,12-MA_LONG2):$C15),"")</f>
        <v/>
      </c>
      <c r="L15" s="53" t="str">
        <f aca="false">IF(AND(ISNUMBER($G15),$G15&gt;=21),STDEV(INDEX($H$5:$H15,12-20):$H15)*SQRT(245),"")</f>
        <v/>
      </c>
      <c r="M15" s="52" t="str">
        <f aca="false">IF(AND(ISNUMBER($G15),$G15&gt;=60),MAX(INDEX($D$5:$D15,12-60):$D15),"")</f>
        <v/>
      </c>
      <c r="N15" s="52" t="str">
        <f aca="false">IF(AND(ISNUMBER($G15),$G15&gt;=60),MIN(INDEX($E$5:$E15,12-60):$E15),"")</f>
        <v/>
      </c>
      <c r="O15" s="53" t="str">
        <f aca="false">IF(OR(NOT(ISNUMBER($C15)),NOT(ISNUMBER($M15)),$M15=0),"",$C15/$M15-1)</f>
        <v/>
      </c>
      <c r="P15" s="54"/>
      <c r="Q15" s="53" t="str">
        <f aca="false">IF(NOT(ISNUMBER($P15)),"",IFERROR(PERCENTRANK($P$5:$P$1204,$P15),""))</f>
        <v/>
      </c>
    </row>
    <row r="16" customFormat="false" ht="15" hidden="false" customHeight="false" outlineLevel="0" collapsed="false">
      <c r="A16" s="47" t="n">
        <v>45585</v>
      </c>
      <c r="B16" s="48" t="s">
        <v>164</v>
      </c>
      <c r="C16" s="49" t="n">
        <v>635853159</v>
      </c>
      <c r="D16" s="49" t="n">
        <v>637467624</v>
      </c>
      <c r="E16" s="49" t="n">
        <v>633409494</v>
      </c>
      <c r="F16" s="49" t="n">
        <v>0</v>
      </c>
      <c r="G16" s="50" t="n">
        <f aca="false">IF($A16="","",IF(ISNUMBER($G15),$G15+1,1))</f>
        <v>12</v>
      </c>
      <c r="H16" s="51" t="n">
        <f aca="false">IF(OR(NOT(ISNUMBER($G16)),$G16&lt;2,NOT(ISNUMBER($C15)),$C15=0),"",$C16/$C15-1)</f>
        <v>0.00568198721811353</v>
      </c>
      <c r="I16" s="52" t="str">
        <f aca="false">IF(AND(ISNUMBER($G16),$G16&gt;=MA_SHORT),AVERAGE(INDEX($C$5:$C16,13-MA_SHORT):$C16),"")</f>
        <v/>
      </c>
      <c r="J16" s="52" t="str">
        <f aca="false">IF(AND(ISNUMBER($G16),$G16&gt;=MA_MED),AVERAGE(INDEX($C$5:$C16,13-MA_MED):$C16),"")</f>
        <v/>
      </c>
      <c r="K16" s="52" t="str">
        <f aca="false">IF(AND(ISNUMBER($G16),$G16&gt;=MA_LONG2),AVERAGE(INDEX($C$5:$C16,13-MA_LONG2):$C16),"")</f>
        <v/>
      </c>
      <c r="L16" s="53" t="str">
        <f aca="false">IF(AND(ISNUMBER($G16),$G16&gt;=21),STDEV(INDEX($H$5:$H16,13-20):$H16)*SQRT(245),"")</f>
        <v/>
      </c>
      <c r="M16" s="52" t="str">
        <f aca="false">IF(AND(ISNUMBER($G16),$G16&gt;=60),MAX(INDEX($D$5:$D16,13-60):$D16),"")</f>
        <v/>
      </c>
      <c r="N16" s="52" t="str">
        <f aca="false">IF(AND(ISNUMBER($G16),$G16&gt;=60),MIN(INDEX($E$5:$E16,13-60):$E16),"")</f>
        <v/>
      </c>
      <c r="O16" s="53" t="str">
        <f aca="false">IF(OR(NOT(ISNUMBER($C16)),NOT(ISNUMBER($M16)),$M16=0),"",$C16/$M16-1)</f>
        <v/>
      </c>
      <c r="P16" s="54"/>
      <c r="Q16" s="53" t="str">
        <f aca="false">IF(NOT(ISNUMBER($P16)),"",IFERROR(PERCENTRANK($P$5:$P$1204,$P16),""))</f>
        <v/>
      </c>
    </row>
    <row r="17" customFormat="false" ht="15" hidden="false" customHeight="false" outlineLevel="0" collapsed="false">
      <c r="A17" s="47" t="n">
        <v>45586</v>
      </c>
      <c r="B17" s="48" t="s">
        <v>165</v>
      </c>
      <c r="C17" s="49" t="n">
        <v>637303526</v>
      </c>
      <c r="D17" s="49" t="n">
        <v>637950489</v>
      </c>
      <c r="E17" s="49" t="n">
        <v>636062214</v>
      </c>
      <c r="F17" s="49" t="n">
        <v>0</v>
      </c>
      <c r="G17" s="50" t="n">
        <f aca="false">IF($A17="","",IF(ISNUMBER($G16),$G16+1,1))</f>
        <v>13</v>
      </c>
      <c r="H17" s="51" t="n">
        <f aca="false">IF(OR(NOT(ISNUMBER($G17)),$G17&lt;2,NOT(ISNUMBER($C16)),$C16=0),"",$C17/$C16-1)</f>
        <v>0.00228097789477211</v>
      </c>
      <c r="I17" s="52" t="str">
        <f aca="false">IF(AND(ISNUMBER($G17),$G17&gt;=MA_SHORT),AVERAGE(INDEX($C$5:$C17,14-MA_SHORT):$C17),"")</f>
        <v/>
      </c>
      <c r="J17" s="52" t="str">
        <f aca="false">IF(AND(ISNUMBER($G17),$G17&gt;=MA_MED),AVERAGE(INDEX($C$5:$C17,14-MA_MED):$C17),"")</f>
        <v/>
      </c>
      <c r="K17" s="52" t="str">
        <f aca="false">IF(AND(ISNUMBER($G17),$G17&gt;=MA_LONG2),AVERAGE(INDEX($C$5:$C17,14-MA_LONG2):$C17),"")</f>
        <v/>
      </c>
      <c r="L17" s="53" t="str">
        <f aca="false">IF(AND(ISNUMBER($G17),$G17&gt;=21),STDEV(INDEX($H$5:$H17,14-20):$H17)*SQRT(245),"")</f>
        <v/>
      </c>
      <c r="M17" s="52" t="str">
        <f aca="false">IF(AND(ISNUMBER($G17),$G17&gt;=60),MAX(INDEX($D$5:$D17,14-60):$D17),"")</f>
        <v/>
      </c>
      <c r="N17" s="52" t="str">
        <f aca="false">IF(AND(ISNUMBER($G17),$G17&gt;=60),MIN(INDEX($E$5:$E17,14-60):$E17),"")</f>
        <v/>
      </c>
      <c r="O17" s="53" t="str">
        <f aca="false">IF(OR(NOT(ISNUMBER($C17)),NOT(ISNUMBER($M17)),$M17=0),"",$C17/$M17-1)</f>
        <v/>
      </c>
      <c r="P17" s="54"/>
      <c r="Q17" s="53" t="str">
        <f aca="false">IF(NOT(ISNUMBER($P17)),"",IFERROR(PERCENTRANK($P$5:$P$1204,$P17),""))</f>
        <v/>
      </c>
    </row>
    <row r="18" customFormat="false" ht="15" hidden="false" customHeight="false" outlineLevel="0" collapsed="false">
      <c r="A18" s="47" t="n">
        <v>45587</v>
      </c>
      <c r="B18" s="48" t="s">
        <v>166</v>
      </c>
      <c r="C18" s="49" t="n">
        <v>633352131</v>
      </c>
      <c r="D18" s="49" t="n">
        <v>633679591</v>
      </c>
      <c r="E18" s="49" t="n">
        <v>631650592</v>
      </c>
      <c r="F18" s="49" t="n">
        <v>0</v>
      </c>
      <c r="G18" s="50" t="n">
        <f aca="false">IF($A18="","",IF(ISNUMBER($G17),$G17+1,1))</f>
        <v>14</v>
      </c>
      <c r="H18" s="51" t="n">
        <f aca="false">IF(OR(NOT(ISNUMBER($G18)),$G18&lt;2,NOT(ISNUMBER($C17)),$C17=0),"",$C18/$C17-1)</f>
        <v>-0.00620017752734037</v>
      </c>
      <c r="I18" s="52" t="str">
        <f aca="false">IF(AND(ISNUMBER($G18),$G18&gt;=MA_SHORT),AVERAGE(INDEX($C$5:$C18,15-MA_SHORT):$C18),"")</f>
        <v/>
      </c>
      <c r="J18" s="52" t="str">
        <f aca="false">IF(AND(ISNUMBER($G18),$G18&gt;=MA_MED),AVERAGE(INDEX($C$5:$C18,15-MA_MED):$C18),"")</f>
        <v/>
      </c>
      <c r="K18" s="52" t="str">
        <f aca="false">IF(AND(ISNUMBER($G18),$G18&gt;=MA_LONG2),AVERAGE(INDEX($C$5:$C18,15-MA_LONG2):$C18),"")</f>
        <v/>
      </c>
      <c r="L18" s="53" t="str">
        <f aca="false">IF(AND(ISNUMBER($G18),$G18&gt;=21),STDEV(INDEX($H$5:$H18,15-20):$H18)*SQRT(245),"")</f>
        <v/>
      </c>
      <c r="M18" s="52" t="str">
        <f aca="false">IF(AND(ISNUMBER($G18),$G18&gt;=60),MAX(INDEX($D$5:$D18,15-60):$D18),"")</f>
        <v/>
      </c>
      <c r="N18" s="52" t="str">
        <f aca="false">IF(AND(ISNUMBER($G18),$G18&gt;=60),MIN(INDEX($E$5:$E18,15-60):$E18),"")</f>
        <v/>
      </c>
      <c r="O18" s="53" t="str">
        <f aca="false">IF(OR(NOT(ISNUMBER($C18)),NOT(ISNUMBER($M18)),$M18=0),"",$C18/$M18-1)</f>
        <v/>
      </c>
      <c r="P18" s="54"/>
      <c r="Q18" s="53" t="str">
        <f aca="false">IF(NOT(ISNUMBER($P18)),"",IFERROR(PERCENTRANK($P$5:$P$1204,$P18),""))</f>
        <v/>
      </c>
    </row>
    <row r="19" customFormat="false" ht="15" hidden="false" customHeight="false" outlineLevel="0" collapsed="false">
      <c r="A19" s="47" t="n">
        <v>45588</v>
      </c>
      <c r="B19" s="48" t="s">
        <v>167</v>
      </c>
      <c r="C19" s="49" t="n">
        <v>651030125</v>
      </c>
      <c r="D19" s="49" t="n">
        <v>652105753</v>
      </c>
      <c r="E19" s="49" t="n">
        <v>650897125</v>
      </c>
      <c r="F19" s="49" t="n">
        <v>0</v>
      </c>
      <c r="G19" s="50" t="n">
        <f aca="false">IF($A19="","",IF(ISNUMBER($G18),$G18+1,1))</f>
        <v>15</v>
      </c>
      <c r="H19" s="51" t="n">
        <f aca="false">IF(OR(NOT(ISNUMBER($G19)),$G19&lt;2,NOT(ISNUMBER($C18)),$C18=0),"",$C19/$C18-1)</f>
        <v>0.0279117936685367</v>
      </c>
      <c r="I19" s="52" t="str">
        <f aca="false">IF(AND(ISNUMBER($G19),$G19&gt;=MA_SHORT),AVERAGE(INDEX($C$5:$C19,16-MA_SHORT):$C19),"")</f>
        <v/>
      </c>
      <c r="J19" s="52" t="str">
        <f aca="false">IF(AND(ISNUMBER($G19),$G19&gt;=MA_MED),AVERAGE(INDEX($C$5:$C19,16-MA_MED):$C19),"")</f>
        <v/>
      </c>
      <c r="K19" s="52" t="str">
        <f aca="false">IF(AND(ISNUMBER($G19),$G19&gt;=MA_LONG2),AVERAGE(INDEX($C$5:$C19,16-MA_LONG2):$C19),"")</f>
        <v/>
      </c>
      <c r="L19" s="53" t="str">
        <f aca="false">IF(AND(ISNUMBER($G19),$G19&gt;=21),STDEV(INDEX($H$5:$H19,16-20):$H19)*SQRT(245),"")</f>
        <v/>
      </c>
      <c r="M19" s="52" t="str">
        <f aca="false">IF(AND(ISNUMBER($G19),$G19&gt;=60),MAX(INDEX($D$5:$D19,16-60):$D19),"")</f>
        <v/>
      </c>
      <c r="N19" s="52" t="str">
        <f aca="false">IF(AND(ISNUMBER($G19),$G19&gt;=60),MIN(INDEX($E$5:$E19,16-60):$E19),"")</f>
        <v/>
      </c>
      <c r="O19" s="53" t="str">
        <f aca="false">IF(OR(NOT(ISNUMBER($C19)),NOT(ISNUMBER($M19)),$M19=0),"",$C19/$M19-1)</f>
        <v/>
      </c>
      <c r="P19" s="54"/>
      <c r="Q19" s="53" t="str">
        <f aca="false">IF(NOT(ISNUMBER($P19)),"",IFERROR(PERCENTRANK($P$5:$P$1204,$P19),""))</f>
        <v/>
      </c>
    </row>
    <row r="20" customFormat="false" ht="15" hidden="false" customHeight="false" outlineLevel="0" collapsed="false">
      <c r="A20" s="47" t="n">
        <v>45591</v>
      </c>
      <c r="B20" s="48" t="s">
        <v>168</v>
      </c>
      <c r="C20" s="49" t="n">
        <v>637265592</v>
      </c>
      <c r="D20" s="49" t="n">
        <v>640869489</v>
      </c>
      <c r="E20" s="49" t="n">
        <v>635261693</v>
      </c>
      <c r="F20" s="49" t="n">
        <v>0</v>
      </c>
      <c r="G20" s="50" t="n">
        <f aca="false">IF($A20="","",IF(ISNUMBER($G19),$G19+1,1))</f>
        <v>16</v>
      </c>
      <c r="H20" s="51" t="n">
        <f aca="false">IF(OR(NOT(ISNUMBER($G20)),$G20&lt;2,NOT(ISNUMBER($C19)),$C19=0),"",$C20/$C19-1)</f>
        <v>-0.0211426975057414</v>
      </c>
      <c r="I20" s="52" t="str">
        <f aca="false">IF(AND(ISNUMBER($G20),$G20&gt;=MA_SHORT),AVERAGE(INDEX($C$5:$C20,17-MA_SHORT):$C20),"")</f>
        <v/>
      </c>
      <c r="J20" s="52" t="str">
        <f aca="false">IF(AND(ISNUMBER($G20),$G20&gt;=MA_MED),AVERAGE(INDEX($C$5:$C20,17-MA_MED):$C20),"")</f>
        <v/>
      </c>
      <c r="K20" s="52" t="str">
        <f aca="false">IF(AND(ISNUMBER($G20),$G20&gt;=MA_LONG2),AVERAGE(INDEX($C$5:$C20,17-MA_LONG2):$C20),"")</f>
        <v/>
      </c>
      <c r="L20" s="53" t="str">
        <f aca="false">IF(AND(ISNUMBER($G20),$G20&gt;=21),STDEV(INDEX($H$5:$H20,17-20):$H20)*SQRT(245),"")</f>
        <v/>
      </c>
      <c r="M20" s="52" t="str">
        <f aca="false">IF(AND(ISNUMBER($G20),$G20&gt;=60),MAX(INDEX($D$5:$D20,17-60):$D20),"")</f>
        <v/>
      </c>
      <c r="N20" s="52" t="str">
        <f aca="false">IF(AND(ISNUMBER($G20),$G20&gt;=60),MIN(INDEX($E$5:$E20,17-60):$E20),"")</f>
        <v/>
      </c>
      <c r="O20" s="53" t="str">
        <f aca="false">IF(OR(NOT(ISNUMBER($C20)),NOT(ISNUMBER($M20)),$M20=0),"",$C20/$M20-1)</f>
        <v/>
      </c>
      <c r="P20" s="54"/>
      <c r="Q20" s="53" t="str">
        <f aca="false">IF(NOT(ISNUMBER($P20)),"",IFERROR(PERCENTRANK($P$5:$P$1204,$P20),""))</f>
        <v/>
      </c>
    </row>
    <row r="21" customFormat="false" ht="15" hidden="false" customHeight="false" outlineLevel="0" collapsed="false">
      <c r="A21" s="47" t="n">
        <v>45592</v>
      </c>
      <c r="B21" s="48" t="s">
        <v>169</v>
      </c>
      <c r="C21" s="49" t="n">
        <v>644606995</v>
      </c>
      <c r="D21" s="49" t="n">
        <v>646647680</v>
      </c>
      <c r="E21" s="49" t="n">
        <v>643803172</v>
      </c>
      <c r="F21" s="49" t="n">
        <v>0</v>
      </c>
      <c r="G21" s="50" t="n">
        <f aca="false">IF($A21="","",IF(ISNUMBER($G20),$G20+1,1))</f>
        <v>17</v>
      </c>
      <c r="H21" s="51" t="n">
        <f aca="false">IF(OR(NOT(ISNUMBER($G21)),$G21&lt;2,NOT(ISNUMBER($C20)),$C20=0),"",$C21/$C20-1)</f>
        <v>0.0115201622246066</v>
      </c>
      <c r="I21" s="52" t="str">
        <f aca="false">IF(AND(ISNUMBER($G21),$G21&gt;=MA_SHORT),AVERAGE(INDEX($C$5:$C21,18-MA_SHORT):$C21),"")</f>
        <v/>
      </c>
      <c r="J21" s="52" t="str">
        <f aca="false">IF(AND(ISNUMBER($G21),$G21&gt;=MA_MED),AVERAGE(INDEX($C$5:$C21,18-MA_MED):$C21),"")</f>
        <v/>
      </c>
      <c r="K21" s="52" t="str">
        <f aca="false">IF(AND(ISNUMBER($G21),$G21&gt;=MA_LONG2),AVERAGE(INDEX($C$5:$C21,18-MA_LONG2):$C21),"")</f>
        <v/>
      </c>
      <c r="L21" s="53" t="str">
        <f aca="false">IF(AND(ISNUMBER($G21),$G21&gt;=21),STDEV(INDEX($H$5:$H21,18-20):$H21)*SQRT(245),"")</f>
        <v/>
      </c>
      <c r="M21" s="52" t="str">
        <f aca="false">IF(AND(ISNUMBER($G21),$G21&gt;=60),MAX(INDEX($D$5:$D21,18-60):$D21),"")</f>
        <v/>
      </c>
      <c r="N21" s="52" t="str">
        <f aca="false">IF(AND(ISNUMBER($G21),$G21&gt;=60),MIN(INDEX($E$5:$E21,18-60):$E21),"")</f>
        <v/>
      </c>
      <c r="O21" s="53" t="str">
        <f aca="false">IF(OR(NOT(ISNUMBER($C21)),NOT(ISNUMBER($M21)),$M21=0),"",$C21/$M21-1)</f>
        <v/>
      </c>
      <c r="P21" s="54"/>
      <c r="Q21" s="53" t="str">
        <f aca="false">IF(NOT(ISNUMBER($P21)),"",IFERROR(PERCENTRANK($P$5:$P$1204,$P21),""))</f>
        <v/>
      </c>
    </row>
    <row r="22" customFormat="false" ht="15" hidden="false" customHeight="false" outlineLevel="0" collapsed="false">
      <c r="A22" s="47" t="n">
        <v>45593</v>
      </c>
      <c r="B22" s="48" t="s">
        <v>170</v>
      </c>
      <c r="C22" s="49" t="n">
        <v>640216798</v>
      </c>
      <c r="D22" s="49" t="n">
        <v>644958753</v>
      </c>
      <c r="E22" s="49" t="n">
        <v>637731468</v>
      </c>
      <c r="F22" s="49" t="n">
        <v>0</v>
      </c>
      <c r="G22" s="50" t="n">
        <f aca="false">IF($A22="","",IF(ISNUMBER($G21),$G21+1,1))</f>
        <v>18</v>
      </c>
      <c r="H22" s="51" t="n">
        <f aca="false">IF(OR(NOT(ISNUMBER($G22)),$G22&lt;2,NOT(ISNUMBER($C21)),$C21=0),"",$C22/$C21-1)</f>
        <v>-0.00681065677855386</v>
      </c>
      <c r="I22" s="52" t="str">
        <f aca="false">IF(AND(ISNUMBER($G22),$G22&gt;=MA_SHORT),AVERAGE(INDEX($C$5:$C22,19-MA_SHORT):$C22),"")</f>
        <v/>
      </c>
      <c r="J22" s="52" t="str">
        <f aca="false">IF(AND(ISNUMBER($G22),$G22&gt;=MA_MED),AVERAGE(INDEX($C$5:$C22,19-MA_MED):$C22),"")</f>
        <v/>
      </c>
      <c r="K22" s="52" t="str">
        <f aca="false">IF(AND(ISNUMBER($G22),$G22&gt;=MA_LONG2),AVERAGE(INDEX($C$5:$C22,19-MA_LONG2):$C22),"")</f>
        <v/>
      </c>
      <c r="L22" s="53" t="str">
        <f aca="false">IF(AND(ISNUMBER($G22),$G22&gt;=21),STDEV(INDEX($H$5:$H22,19-20):$H22)*SQRT(245),"")</f>
        <v/>
      </c>
      <c r="M22" s="52" t="str">
        <f aca="false">IF(AND(ISNUMBER($G22),$G22&gt;=60),MAX(INDEX($D$5:$D22,19-60):$D22),"")</f>
        <v/>
      </c>
      <c r="N22" s="52" t="str">
        <f aca="false">IF(AND(ISNUMBER($G22),$G22&gt;=60),MIN(INDEX($E$5:$E22,19-60):$E22),"")</f>
        <v/>
      </c>
      <c r="O22" s="53" t="str">
        <f aca="false">IF(OR(NOT(ISNUMBER($C22)),NOT(ISNUMBER($M22)),$M22=0),"",$C22/$M22-1)</f>
        <v/>
      </c>
      <c r="P22" s="54"/>
      <c r="Q22" s="53" t="str">
        <f aca="false">IF(NOT(ISNUMBER($P22)),"",IFERROR(PERCENTRANK($P$5:$P$1204,$P22),""))</f>
        <v/>
      </c>
    </row>
    <row r="23" customFormat="false" ht="15" hidden="false" customHeight="false" outlineLevel="0" collapsed="false">
      <c r="A23" s="47" t="n">
        <v>45594</v>
      </c>
      <c r="B23" s="48" t="s">
        <v>171</v>
      </c>
      <c r="C23" s="49" t="n">
        <v>634103994</v>
      </c>
      <c r="D23" s="49" t="n">
        <v>635404835</v>
      </c>
      <c r="E23" s="49" t="n">
        <v>631715968</v>
      </c>
      <c r="F23" s="49" t="n">
        <v>0</v>
      </c>
      <c r="G23" s="50" t="n">
        <f aca="false">IF($A23="","",IF(ISNUMBER($G22),$G22+1,1))</f>
        <v>19</v>
      </c>
      <c r="H23" s="51" t="n">
        <f aca="false">IF(OR(NOT(ISNUMBER($G23)),$G23&lt;2,NOT(ISNUMBER($C22)),$C22=0),"",$C23/$C22-1)</f>
        <v>-0.00954802188742321</v>
      </c>
      <c r="I23" s="52" t="str">
        <f aca="false">IF(AND(ISNUMBER($G23),$G23&gt;=MA_SHORT),AVERAGE(INDEX($C$5:$C23,20-MA_SHORT):$C23),"")</f>
        <v/>
      </c>
      <c r="J23" s="52" t="str">
        <f aca="false">IF(AND(ISNUMBER($G23),$G23&gt;=MA_MED),AVERAGE(INDEX($C$5:$C23,20-MA_MED):$C23),"")</f>
        <v/>
      </c>
      <c r="K23" s="52" t="str">
        <f aca="false">IF(AND(ISNUMBER($G23),$G23&gt;=MA_LONG2),AVERAGE(INDEX($C$5:$C23,20-MA_LONG2):$C23),"")</f>
        <v/>
      </c>
      <c r="L23" s="53" t="str">
        <f aca="false">IF(AND(ISNUMBER($G23),$G23&gt;=21),STDEV(INDEX($H$5:$H23,20-20):$H23)*SQRT(245),"")</f>
        <v/>
      </c>
      <c r="M23" s="52" t="str">
        <f aca="false">IF(AND(ISNUMBER($G23),$G23&gt;=60),MAX(INDEX($D$5:$D23,20-60):$D23),"")</f>
        <v/>
      </c>
      <c r="N23" s="52" t="str">
        <f aca="false">IF(AND(ISNUMBER($G23),$G23&gt;=60),MIN(INDEX($E$5:$E23,20-60):$E23),"")</f>
        <v/>
      </c>
      <c r="O23" s="53" t="str">
        <f aca="false">IF(OR(NOT(ISNUMBER($C23)),NOT(ISNUMBER($M23)),$M23=0),"",$C23/$M23-1)</f>
        <v/>
      </c>
      <c r="P23" s="54"/>
      <c r="Q23" s="53" t="str">
        <f aca="false">IF(NOT(ISNUMBER($P23)),"",IFERROR(PERCENTRANK($P$5:$P$1204,$P23),""))</f>
        <v/>
      </c>
    </row>
    <row r="24" customFormat="false" ht="15" hidden="false" customHeight="false" outlineLevel="0" collapsed="false">
      <c r="A24" s="47" t="n">
        <v>45595</v>
      </c>
      <c r="B24" s="48" t="s">
        <v>172</v>
      </c>
      <c r="C24" s="49" t="n">
        <v>637125355</v>
      </c>
      <c r="D24" s="49" t="n">
        <v>639643641</v>
      </c>
      <c r="E24" s="49" t="n">
        <v>637043723</v>
      </c>
      <c r="F24" s="49" t="n">
        <v>0</v>
      </c>
      <c r="G24" s="50" t="n">
        <f aca="false">IF($A24="","",IF(ISNUMBER($G23),$G23+1,1))</f>
        <v>20</v>
      </c>
      <c r="H24" s="51" t="n">
        <f aca="false">IF(OR(NOT(ISNUMBER($G24)),$G24&lt;2,NOT(ISNUMBER($C23)),$C23=0),"",$C24/$C23-1)</f>
        <v>0.00476477206986337</v>
      </c>
      <c r="I24" s="52" t="n">
        <f aca="false">IF(AND(ISNUMBER($G24),$G24&gt;=MA_SHORT),AVERAGE(INDEX($C$5:$C24,21-MA_SHORT):$C24),"")</f>
        <v>630704839.4</v>
      </c>
      <c r="J24" s="52" t="str">
        <f aca="false">IF(AND(ISNUMBER($G24),$G24&gt;=MA_MED),AVERAGE(INDEX($C$5:$C24,21-MA_MED):$C24),"")</f>
        <v/>
      </c>
      <c r="K24" s="52" t="str">
        <f aca="false">IF(AND(ISNUMBER($G24),$G24&gt;=MA_LONG2),AVERAGE(INDEX($C$5:$C24,21-MA_LONG2):$C24),"")</f>
        <v/>
      </c>
      <c r="L24" s="53" t="str">
        <f aca="false">IF(AND(ISNUMBER($G24),$G24&gt;=21),STDEV(INDEX($H$5:$H24,21-20):$H24)*SQRT(245),"")</f>
        <v/>
      </c>
      <c r="M24" s="52" t="str">
        <f aca="false">IF(AND(ISNUMBER($G24),$G24&gt;=60),MAX(INDEX($D$5:$D24,21-60):$D24),"")</f>
        <v/>
      </c>
      <c r="N24" s="52" t="str">
        <f aca="false">IF(AND(ISNUMBER($G24),$G24&gt;=60),MIN(INDEX($E$5:$E24,21-60):$E24),"")</f>
        <v/>
      </c>
      <c r="O24" s="53" t="str">
        <f aca="false">IF(OR(NOT(ISNUMBER($C24)),NOT(ISNUMBER($M24)),$M24=0),"",$C24/$M24-1)</f>
        <v/>
      </c>
      <c r="P24" s="54"/>
      <c r="Q24" s="53" t="str">
        <f aca="false">IF(NOT(ISNUMBER($P24)),"",IFERROR(PERCENTRANK($P$5:$P$1204,$P24),""))</f>
        <v/>
      </c>
    </row>
    <row r="25" customFormat="false" ht="15" hidden="false" customHeight="false" outlineLevel="0" collapsed="false">
      <c r="A25" s="47" t="n">
        <v>45598</v>
      </c>
      <c r="B25" s="48" t="s">
        <v>173</v>
      </c>
      <c r="C25" s="49" t="n">
        <v>641311840</v>
      </c>
      <c r="D25" s="49" t="n">
        <v>641502330</v>
      </c>
      <c r="E25" s="49" t="n">
        <v>639706632</v>
      </c>
      <c r="F25" s="49" t="n">
        <v>0</v>
      </c>
      <c r="G25" s="50" t="n">
        <f aca="false">IF($A25="","",IF(ISNUMBER($G24),$G24+1,1))</f>
        <v>21</v>
      </c>
      <c r="H25" s="51" t="n">
        <f aca="false">IF(OR(NOT(ISNUMBER($G25)),$G25&lt;2,NOT(ISNUMBER($C24)),$C24=0),"",$C25/$C24-1)</f>
        <v>0.00657089686848211</v>
      </c>
      <c r="I25" s="52" t="n">
        <f aca="false">IF(AND(ISNUMBER($G25),$G25&gt;=MA_SHORT),AVERAGE(INDEX($C$5:$C25,22-MA_SHORT):$C25),"")</f>
        <v>631428495.6</v>
      </c>
      <c r="J25" s="52" t="str">
        <f aca="false">IF(AND(ISNUMBER($G25),$G25&gt;=MA_MED),AVERAGE(INDEX($C$5:$C25,22-MA_MED):$C25),"")</f>
        <v/>
      </c>
      <c r="K25" s="52" t="str">
        <f aca="false">IF(AND(ISNUMBER($G25),$G25&gt;=MA_LONG2),AVERAGE(INDEX($C$5:$C25,22-MA_LONG2):$C25),"")</f>
        <v/>
      </c>
      <c r="L25" s="53" t="n">
        <f aca="false">IF(AND(ISNUMBER($G25),$G25&gt;=21),STDEV(INDEX($H$5:$H25,22-20):$H25)*SQRT(245),"")</f>
        <v>0.196300970751057</v>
      </c>
      <c r="M25" s="52" t="str">
        <f aca="false">IF(AND(ISNUMBER($G25),$G25&gt;=60),MAX(INDEX($D$5:$D25,22-60):$D25),"")</f>
        <v/>
      </c>
      <c r="N25" s="52" t="str">
        <f aca="false">IF(AND(ISNUMBER($G25),$G25&gt;=60),MIN(INDEX($E$5:$E25,22-60):$E25),"")</f>
        <v/>
      </c>
      <c r="O25" s="53" t="str">
        <f aca="false">IF(OR(NOT(ISNUMBER($C25)),NOT(ISNUMBER($M25)),$M25=0),"",$C25/$M25-1)</f>
        <v/>
      </c>
      <c r="P25" s="54"/>
      <c r="Q25" s="53" t="str">
        <f aca="false">IF(NOT(ISNUMBER($P25)),"",IFERROR(PERCENTRANK($P$5:$P$1204,$P25),""))</f>
        <v/>
      </c>
    </row>
    <row r="26" customFormat="false" ht="15" hidden="false" customHeight="false" outlineLevel="0" collapsed="false">
      <c r="A26" s="47" t="n">
        <v>45599</v>
      </c>
      <c r="B26" s="48" t="s">
        <v>174</v>
      </c>
      <c r="C26" s="49" t="n">
        <v>616216450</v>
      </c>
      <c r="D26" s="49" t="n">
        <v>619082365</v>
      </c>
      <c r="E26" s="49" t="n">
        <v>616144601</v>
      </c>
      <c r="F26" s="49" t="n">
        <v>0</v>
      </c>
      <c r="G26" s="50" t="n">
        <f aca="false">IF($A26="","",IF(ISNUMBER($G25),$G25+1,1))</f>
        <v>22</v>
      </c>
      <c r="H26" s="51" t="n">
        <f aca="false">IF(OR(NOT(ISNUMBER($G26)),$G26&lt;2,NOT(ISNUMBER($C25)),$C25=0),"",$C26/$C25-1)</f>
        <v>-0.0391313374161313</v>
      </c>
      <c r="I26" s="52" t="n">
        <f aca="false">IF(AND(ISNUMBER($G26),$G26&gt;=MA_SHORT),AVERAGE(INDEX($C$5:$C26,23-MA_SHORT):$C26),"")</f>
        <v>631218233.95</v>
      </c>
      <c r="J26" s="52" t="str">
        <f aca="false">IF(AND(ISNUMBER($G26),$G26&gt;=MA_MED),AVERAGE(INDEX($C$5:$C26,23-MA_MED):$C26),"")</f>
        <v/>
      </c>
      <c r="K26" s="52" t="str">
        <f aca="false">IF(AND(ISNUMBER($G26),$G26&gt;=MA_LONG2),AVERAGE(INDEX($C$5:$C26,23-MA_LONG2):$C26),"")</f>
        <v/>
      </c>
      <c r="L26" s="53" t="n">
        <f aca="false">IF(AND(ISNUMBER($G26),$G26&gt;=21),STDEV(INDEX($H$5:$H26,23-20):$H26)*SQRT(245),"")</f>
        <v>0.239365788033698</v>
      </c>
      <c r="M26" s="52" t="str">
        <f aca="false">IF(AND(ISNUMBER($G26),$G26&gt;=60),MAX(INDEX($D$5:$D26,23-60):$D26),"")</f>
        <v/>
      </c>
      <c r="N26" s="52" t="str">
        <f aca="false">IF(AND(ISNUMBER($G26),$G26&gt;=60),MIN(INDEX($E$5:$E26,23-60):$E26),"")</f>
        <v/>
      </c>
      <c r="O26" s="53" t="str">
        <f aca="false">IF(OR(NOT(ISNUMBER($C26)),NOT(ISNUMBER($M26)),$M26=0),"",$C26/$M26-1)</f>
        <v/>
      </c>
      <c r="P26" s="54"/>
      <c r="Q26" s="53" t="str">
        <f aca="false">IF(NOT(ISNUMBER($P26)),"",IFERROR(PERCENTRANK($P$5:$P$1204,$P26),""))</f>
        <v/>
      </c>
    </row>
    <row r="27" customFormat="false" ht="15" hidden="false" customHeight="false" outlineLevel="0" collapsed="false">
      <c r="A27" s="47" t="n">
        <v>45600</v>
      </c>
      <c r="B27" s="48" t="s">
        <v>175</v>
      </c>
      <c r="C27" s="49" t="n">
        <v>604129498</v>
      </c>
      <c r="D27" s="49" t="n">
        <v>605379975</v>
      </c>
      <c r="E27" s="49" t="n">
        <v>603550631</v>
      </c>
      <c r="F27" s="49" t="n">
        <v>0</v>
      </c>
      <c r="G27" s="50" t="n">
        <f aca="false">IF($A27="","",IF(ISNUMBER($G26),$G26+1,1))</f>
        <v>23</v>
      </c>
      <c r="H27" s="51" t="n">
        <f aca="false">IF(OR(NOT(ISNUMBER($G27)),$G27&lt;2,NOT(ISNUMBER($C26)),$C26=0),"",$C27/$C26-1)</f>
        <v>-0.0196147830847424</v>
      </c>
      <c r="I27" s="52" t="n">
        <f aca="false">IF(AND(ISNUMBER($G27),$G27&gt;=MA_SHORT),AVERAGE(INDEX($C$5:$C27,24-MA_SHORT):$C27),"")</f>
        <v>630203836</v>
      </c>
      <c r="J27" s="52" t="str">
        <f aca="false">IF(AND(ISNUMBER($G27),$G27&gt;=MA_MED),AVERAGE(INDEX($C$5:$C27,24-MA_MED):$C27),"")</f>
        <v/>
      </c>
      <c r="K27" s="52" t="str">
        <f aca="false">IF(AND(ISNUMBER($G27),$G27&gt;=MA_LONG2),AVERAGE(INDEX($C$5:$C27,24-MA_LONG2):$C27),"")</f>
        <v/>
      </c>
      <c r="L27" s="53" t="n">
        <f aca="false">IF(AND(ISNUMBER($G27),$G27&gt;=21),STDEV(INDEX($H$5:$H27,24-20):$H27)*SQRT(245),"")</f>
        <v>0.247246927171619</v>
      </c>
      <c r="M27" s="52" t="str">
        <f aca="false">IF(AND(ISNUMBER($G27),$G27&gt;=60),MAX(INDEX($D$5:$D27,24-60):$D27),"")</f>
        <v/>
      </c>
      <c r="N27" s="52" t="str">
        <f aca="false">IF(AND(ISNUMBER($G27),$G27&gt;=60),MIN(INDEX($E$5:$E27,24-60):$E27),"")</f>
        <v/>
      </c>
      <c r="O27" s="53" t="str">
        <f aca="false">IF(OR(NOT(ISNUMBER($C27)),NOT(ISNUMBER($M27)),$M27=0),"",$C27/$M27-1)</f>
        <v/>
      </c>
      <c r="P27" s="54"/>
      <c r="Q27" s="53" t="str">
        <f aca="false">IF(NOT(ISNUMBER($P27)),"",IFERROR(PERCENTRANK($P$5:$P$1204,$P27),""))</f>
        <v/>
      </c>
    </row>
    <row r="28" customFormat="false" ht="15" hidden="false" customHeight="false" outlineLevel="0" collapsed="false">
      <c r="A28" s="47" t="n">
        <v>45601</v>
      </c>
      <c r="B28" s="48" t="s">
        <v>176</v>
      </c>
      <c r="C28" s="49" t="n">
        <v>615269021</v>
      </c>
      <c r="D28" s="49" t="n">
        <v>618490724</v>
      </c>
      <c r="E28" s="49" t="n">
        <v>614075019</v>
      </c>
      <c r="F28" s="49" t="n">
        <v>0</v>
      </c>
      <c r="G28" s="50" t="n">
        <f aca="false">IF($A28="","",IF(ISNUMBER($G27),$G27+1,1))</f>
        <v>24</v>
      </c>
      <c r="H28" s="51" t="n">
        <f aca="false">IF(OR(NOT(ISNUMBER($G28)),$G28&lt;2,NOT(ISNUMBER($C27)),$C27=0),"",$C28/$C27-1)</f>
        <v>0.0184389655477475</v>
      </c>
      <c r="I28" s="52" t="n">
        <f aca="false">IF(AND(ISNUMBER($G28),$G28&gt;=MA_SHORT),AVERAGE(INDEX($C$5:$C28,25-MA_SHORT):$C28),"")</f>
        <v>629727828.35</v>
      </c>
      <c r="J28" s="52" t="str">
        <f aca="false">IF(AND(ISNUMBER($G28),$G28&gt;=MA_MED),AVERAGE(INDEX($C$5:$C28,25-MA_MED):$C28),"")</f>
        <v/>
      </c>
      <c r="K28" s="52" t="str">
        <f aca="false">IF(AND(ISNUMBER($G28),$G28&gt;=MA_LONG2),AVERAGE(INDEX($C$5:$C28,25-MA_LONG2):$C28),"")</f>
        <v/>
      </c>
      <c r="L28" s="53" t="n">
        <f aca="false">IF(AND(ISNUMBER($G28),$G28&gt;=21),STDEV(INDEX($H$5:$H28,25-20):$H28)*SQRT(245),"")</f>
        <v>0.256924052300826</v>
      </c>
      <c r="M28" s="52" t="str">
        <f aca="false">IF(AND(ISNUMBER($G28),$G28&gt;=60),MAX(INDEX($D$5:$D28,25-60):$D28),"")</f>
        <v/>
      </c>
      <c r="N28" s="52" t="str">
        <f aca="false">IF(AND(ISNUMBER($G28),$G28&gt;=60),MIN(INDEX($E$5:$E28,25-60):$E28),"")</f>
        <v/>
      </c>
      <c r="O28" s="53" t="str">
        <f aca="false">IF(OR(NOT(ISNUMBER($C28)),NOT(ISNUMBER($M28)),$M28=0),"",$C28/$M28-1)</f>
        <v/>
      </c>
      <c r="P28" s="54"/>
      <c r="Q28" s="53" t="str">
        <f aca="false">IF(NOT(ISNUMBER($P28)),"",IFERROR(PERCENTRANK($P$5:$P$1204,$P28),""))</f>
        <v/>
      </c>
    </row>
    <row r="29" customFormat="false" ht="15" hidden="false" customHeight="false" outlineLevel="0" collapsed="false">
      <c r="A29" s="47" t="n">
        <v>45602</v>
      </c>
      <c r="B29" s="48" t="s">
        <v>177</v>
      </c>
      <c r="C29" s="49" t="n">
        <v>617883526</v>
      </c>
      <c r="D29" s="49" t="n">
        <v>619251828</v>
      </c>
      <c r="E29" s="49" t="n">
        <v>614610898</v>
      </c>
      <c r="F29" s="49" t="n">
        <v>0</v>
      </c>
      <c r="G29" s="50" t="n">
        <f aca="false">IF($A29="","",IF(ISNUMBER($G28),$G28+1,1))</f>
        <v>25</v>
      </c>
      <c r="H29" s="51" t="n">
        <f aca="false">IF(OR(NOT(ISNUMBER($G29)),$G29&lt;2,NOT(ISNUMBER($C28)),$C28=0),"",$C29/$C28-1)</f>
        <v>0.00424936883015925</v>
      </c>
      <c r="I29" s="52" t="n">
        <f aca="false">IF(AND(ISNUMBER($G29),$G29&gt;=MA_SHORT),AVERAGE(INDEX($C$5:$C29,26-MA_SHORT):$C29),"")</f>
        <v>629486697.4</v>
      </c>
      <c r="J29" s="52" t="str">
        <f aca="false">IF(AND(ISNUMBER($G29),$G29&gt;=MA_MED),AVERAGE(INDEX($C$5:$C29,26-MA_MED):$C29),"")</f>
        <v/>
      </c>
      <c r="K29" s="52" t="str">
        <f aca="false">IF(AND(ISNUMBER($G29),$G29&gt;=MA_LONG2),AVERAGE(INDEX($C$5:$C29,26-MA_LONG2):$C29),"")</f>
        <v/>
      </c>
      <c r="L29" s="53" t="n">
        <f aca="false">IF(AND(ISNUMBER($G29),$G29&gt;=21),STDEV(INDEX($H$5:$H29,26-20):$H29)*SQRT(245),"")</f>
        <v>0.257269074501508</v>
      </c>
      <c r="M29" s="52" t="str">
        <f aca="false">IF(AND(ISNUMBER($G29),$G29&gt;=60),MAX(INDEX($D$5:$D29,26-60):$D29),"")</f>
        <v/>
      </c>
      <c r="N29" s="52" t="str">
        <f aca="false">IF(AND(ISNUMBER($G29),$G29&gt;=60),MIN(INDEX($E$5:$E29,26-60):$E29),"")</f>
        <v/>
      </c>
      <c r="O29" s="53" t="str">
        <f aca="false">IF(OR(NOT(ISNUMBER($C29)),NOT(ISNUMBER($M29)),$M29=0),"",$C29/$M29-1)</f>
        <v/>
      </c>
      <c r="P29" s="54"/>
      <c r="Q29" s="53" t="str">
        <f aca="false">IF(NOT(ISNUMBER($P29)),"",IFERROR(PERCENTRANK($P$5:$P$1204,$P29),""))</f>
        <v/>
      </c>
    </row>
    <row r="30" customFormat="false" ht="15" hidden="false" customHeight="false" outlineLevel="0" collapsed="false">
      <c r="A30" s="47" t="n">
        <v>45605</v>
      </c>
      <c r="B30" s="48" t="s">
        <v>178</v>
      </c>
      <c r="C30" s="49" t="n">
        <v>633431119</v>
      </c>
      <c r="D30" s="49" t="n">
        <v>635380345</v>
      </c>
      <c r="E30" s="49" t="n">
        <v>630624546</v>
      </c>
      <c r="F30" s="49" t="n">
        <v>0</v>
      </c>
      <c r="G30" s="50" t="n">
        <f aca="false">IF($A30="","",IF(ISNUMBER($G29),$G29+1,1))</f>
        <v>26</v>
      </c>
      <c r="H30" s="51" t="n">
        <f aca="false">IF(OR(NOT(ISNUMBER($G30)),$G30&lt;2,NOT(ISNUMBER($C29)),$C29=0),"",$C30/$C29-1)</f>
        <v>0.0251626598635031</v>
      </c>
      <c r="I30" s="52" t="n">
        <f aca="false">IF(AND(ISNUMBER($G30),$G30&gt;=MA_SHORT),AVERAGE(INDEX($C$5:$C30,27-MA_SHORT):$C30),"")</f>
        <v>630278151.85</v>
      </c>
      <c r="J30" s="52" t="str">
        <f aca="false">IF(AND(ISNUMBER($G30),$G30&gt;=MA_MED),AVERAGE(INDEX($C$5:$C30,27-MA_MED):$C30),"")</f>
        <v/>
      </c>
      <c r="K30" s="52" t="str">
        <f aca="false">IF(AND(ISNUMBER($G30),$G30&gt;=MA_LONG2),AVERAGE(INDEX($C$5:$C30,27-MA_LONG2):$C30),"")</f>
        <v/>
      </c>
      <c r="L30" s="53" t="n">
        <f aca="false">IF(AND(ISNUMBER($G30),$G30&gt;=21),STDEV(INDEX($H$5:$H30,27-20):$H30)*SQRT(245),"")</f>
        <v>0.270169437833713</v>
      </c>
      <c r="M30" s="52" t="str">
        <f aca="false">IF(AND(ISNUMBER($G30),$G30&gt;=60),MAX(INDEX($D$5:$D30,27-60):$D30),"")</f>
        <v/>
      </c>
      <c r="N30" s="52" t="str">
        <f aca="false">IF(AND(ISNUMBER($G30),$G30&gt;=60),MIN(INDEX($E$5:$E30,27-60):$E30),"")</f>
        <v/>
      </c>
      <c r="O30" s="53" t="str">
        <f aca="false">IF(OR(NOT(ISNUMBER($C30)),NOT(ISNUMBER($M30)),$M30=0),"",$C30/$M30-1)</f>
        <v/>
      </c>
      <c r="P30" s="54"/>
      <c r="Q30" s="53" t="str">
        <f aca="false">IF(NOT(ISNUMBER($P30)),"",IFERROR(PERCENTRANK($P$5:$P$1204,$P30),""))</f>
        <v/>
      </c>
    </row>
    <row r="31" customFormat="false" ht="15" hidden="false" customHeight="false" outlineLevel="0" collapsed="false">
      <c r="A31" s="47" t="n">
        <v>45606</v>
      </c>
      <c r="B31" s="48" t="s">
        <v>179</v>
      </c>
      <c r="C31" s="49" t="n">
        <v>632662194</v>
      </c>
      <c r="D31" s="49" t="n">
        <v>633769817</v>
      </c>
      <c r="E31" s="49" t="n">
        <v>628411969</v>
      </c>
      <c r="F31" s="49" t="n">
        <v>0</v>
      </c>
      <c r="G31" s="50" t="n">
        <f aca="false">IF($A31="","",IF(ISNUMBER($G30),$G30+1,1))</f>
        <v>27</v>
      </c>
      <c r="H31" s="51" t="n">
        <f aca="false">IF(OR(NOT(ISNUMBER($G31)),$G31&lt;2,NOT(ISNUMBER($C30)),$C30=0),"",$C31/$C30-1)</f>
        <v>-0.00121390468029725</v>
      </c>
      <c r="I31" s="52" t="n">
        <f aca="false">IF(AND(ISNUMBER($G31),$G31&gt;=MA_SHORT),AVERAGE(INDEX($C$5:$C31,28-MA_SHORT):$C31),"")</f>
        <v>630345757.5</v>
      </c>
      <c r="J31" s="52" t="str">
        <f aca="false">IF(AND(ISNUMBER($G31),$G31&gt;=MA_MED),AVERAGE(INDEX($C$5:$C31,28-MA_MED):$C31),"")</f>
        <v/>
      </c>
      <c r="K31" s="52" t="str">
        <f aca="false">IF(AND(ISNUMBER($G31),$G31&gt;=MA_LONG2),AVERAGE(INDEX($C$5:$C31,28-MA_LONG2):$C31),"")</f>
        <v/>
      </c>
      <c r="L31" s="53" t="n">
        <f aca="false">IF(AND(ISNUMBER($G31),$G31&gt;=21),STDEV(INDEX($H$5:$H31,28-20):$H31)*SQRT(245),"")</f>
        <v>0.259142408451131</v>
      </c>
      <c r="M31" s="52" t="str">
        <f aca="false">IF(AND(ISNUMBER($G31),$G31&gt;=60),MAX(INDEX($D$5:$D31,28-60):$D31),"")</f>
        <v/>
      </c>
      <c r="N31" s="52" t="str">
        <f aca="false">IF(AND(ISNUMBER($G31),$G31&gt;=60),MIN(INDEX($E$5:$E31,28-60):$E31),"")</f>
        <v/>
      </c>
      <c r="O31" s="53" t="str">
        <f aca="false">IF(OR(NOT(ISNUMBER($C31)),NOT(ISNUMBER($M31)),$M31=0),"",$C31/$M31-1)</f>
        <v/>
      </c>
      <c r="P31" s="54"/>
      <c r="Q31" s="53" t="str">
        <f aca="false">IF(NOT(ISNUMBER($P31)),"",IFERROR(PERCENTRANK($P$5:$P$1204,$P31),""))</f>
        <v/>
      </c>
    </row>
    <row r="32" customFormat="false" ht="15" hidden="false" customHeight="false" outlineLevel="0" collapsed="false">
      <c r="A32" s="47" t="n">
        <v>45607</v>
      </c>
      <c r="B32" s="48" t="s">
        <v>180</v>
      </c>
      <c r="C32" s="49" t="n">
        <v>639275580</v>
      </c>
      <c r="D32" s="49" t="n">
        <v>639694350</v>
      </c>
      <c r="E32" s="49" t="n">
        <v>636832524</v>
      </c>
      <c r="F32" s="49" t="n">
        <v>0</v>
      </c>
      <c r="G32" s="50" t="n">
        <f aca="false">IF($A32="","",IF(ISNUMBER($G31),$G31+1,1))</f>
        <v>28</v>
      </c>
      <c r="H32" s="51" t="n">
        <f aca="false">IF(OR(NOT(ISNUMBER($G32)),$G32&lt;2,NOT(ISNUMBER($C31)),$C31=0),"",$C32/$C31-1)</f>
        <v>0.0104532656806737</v>
      </c>
      <c r="I32" s="52" t="n">
        <f aca="false">IF(AND(ISNUMBER($G32),$G32&gt;=MA_SHORT),AVERAGE(INDEX($C$5:$C32,29-MA_SHORT):$C32),"")</f>
        <v>631116919.5</v>
      </c>
      <c r="J32" s="52" t="str">
        <f aca="false">IF(AND(ISNUMBER($G32),$G32&gt;=MA_MED),AVERAGE(INDEX($C$5:$C32,29-MA_MED):$C32),"")</f>
        <v/>
      </c>
      <c r="K32" s="52" t="str">
        <f aca="false">IF(AND(ISNUMBER($G32),$G32&gt;=MA_LONG2),AVERAGE(INDEX($C$5:$C32,29-MA_LONG2):$C32),"")</f>
        <v/>
      </c>
      <c r="L32" s="53" t="n">
        <f aca="false">IF(AND(ISNUMBER($G32),$G32&gt;=21),STDEV(INDEX($H$5:$H32,29-20):$H32)*SQRT(245),"")</f>
        <v>0.257503844123612</v>
      </c>
      <c r="M32" s="52" t="str">
        <f aca="false">IF(AND(ISNUMBER($G32),$G32&gt;=60),MAX(INDEX($D$5:$D32,29-60):$D32),"")</f>
        <v/>
      </c>
      <c r="N32" s="52" t="str">
        <f aca="false">IF(AND(ISNUMBER($G32),$G32&gt;=60),MIN(INDEX($E$5:$E32,29-60):$E32),"")</f>
        <v/>
      </c>
      <c r="O32" s="53" t="str">
        <f aca="false">IF(OR(NOT(ISNUMBER($C32)),NOT(ISNUMBER($M32)),$M32=0),"",$C32/$M32-1)</f>
        <v/>
      </c>
      <c r="P32" s="54"/>
      <c r="Q32" s="53" t="str">
        <f aca="false">IF(NOT(ISNUMBER($P32)),"",IFERROR(PERCENTRANK($P$5:$P$1204,$P32),""))</f>
        <v/>
      </c>
    </row>
    <row r="33" customFormat="false" ht="15" hidden="false" customHeight="false" outlineLevel="0" collapsed="false">
      <c r="A33" s="47" t="n">
        <v>45608</v>
      </c>
      <c r="B33" s="48" t="s">
        <v>181</v>
      </c>
      <c r="C33" s="49" t="n">
        <v>634778073</v>
      </c>
      <c r="D33" s="49" t="n">
        <v>638260286</v>
      </c>
      <c r="E33" s="49" t="n">
        <v>629631198</v>
      </c>
      <c r="F33" s="49" t="n">
        <v>0</v>
      </c>
      <c r="G33" s="50" t="n">
        <f aca="false">IF($A33="","",IF(ISNUMBER($G32),$G32+1,1))</f>
        <v>29</v>
      </c>
      <c r="H33" s="51" t="n">
        <f aca="false">IF(OR(NOT(ISNUMBER($G33)),$G33&lt;2,NOT(ISNUMBER($C32)),$C32=0),"",$C33/$C32-1)</f>
        <v>-0.0070353180079239</v>
      </c>
      <c r="I33" s="52" t="n">
        <f aca="false">IF(AND(ISNUMBER($G33),$G33&gt;=MA_SHORT),AVERAGE(INDEX($C$5:$C33,30-MA_SHORT):$C33),"")</f>
        <v>631836300.4</v>
      </c>
      <c r="J33" s="52" t="str">
        <f aca="false">IF(AND(ISNUMBER($G33),$G33&gt;=MA_MED),AVERAGE(INDEX($C$5:$C33,30-MA_MED):$C33),"")</f>
        <v/>
      </c>
      <c r="K33" s="52" t="str">
        <f aca="false">IF(AND(ISNUMBER($G33),$G33&gt;=MA_LONG2),AVERAGE(INDEX($C$5:$C33,30-MA_LONG2):$C33),"")</f>
        <v/>
      </c>
      <c r="L33" s="53" t="n">
        <f aca="false">IF(AND(ISNUMBER($G33),$G33&gt;=21),STDEV(INDEX($H$5:$H33,30-20):$H33)*SQRT(245),"")</f>
        <v>0.258069254996821</v>
      </c>
      <c r="M33" s="52" t="str">
        <f aca="false">IF(AND(ISNUMBER($G33),$G33&gt;=60),MAX(INDEX($D$5:$D33,30-60):$D33),"")</f>
        <v/>
      </c>
      <c r="N33" s="52" t="str">
        <f aca="false">IF(AND(ISNUMBER($G33),$G33&gt;=60),MIN(INDEX($E$5:$E33,30-60):$E33),"")</f>
        <v/>
      </c>
      <c r="O33" s="53" t="str">
        <f aca="false">IF(OR(NOT(ISNUMBER($C33)),NOT(ISNUMBER($M33)),$M33=0),"",$C33/$M33-1)</f>
        <v/>
      </c>
      <c r="P33" s="54"/>
      <c r="Q33" s="53" t="str">
        <f aca="false">IF(NOT(ISNUMBER($P33)),"",IFERROR(PERCENTRANK($P$5:$P$1204,$P33),""))</f>
        <v/>
      </c>
    </row>
    <row r="34" customFormat="false" ht="15" hidden="false" customHeight="false" outlineLevel="0" collapsed="false">
      <c r="A34" s="47" t="n">
        <v>45609</v>
      </c>
      <c r="B34" s="48" t="s">
        <v>182</v>
      </c>
      <c r="C34" s="49" t="n">
        <v>622985857</v>
      </c>
      <c r="D34" s="49" t="n">
        <v>629235422</v>
      </c>
      <c r="E34" s="49" t="n">
        <v>618853324</v>
      </c>
      <c r="F34" s="49" t="n">
        <v>0</v>
      </c>
      <c r="G34" s="50" t="n">
        <f aca="false">IF($A34="","",IF(ISNUMBER($G33),$G33+1,1))</f>
        <v>30</v>
      </c>
      <c r="H34" s="51" t="n">
        <f aca="false">IF(OR(NOT(ISNUMBER($G34)),$G34&lt;2,NOT(ISNUMBER($C33)),$C33=0),"",$C34/$C33-1)</f>
        <v>-0.0185769113672583</v>
      </c>
      <c r="I34" s="52" t="n">
        <f aca="false">IF(AND(ISNUMBER($G34),$G34&gt;=MA_SHORT),AVERAGE(INDEX($C$5:$C34,31-MA_SHORT):$C34),"")</f>
        <v>632053074.75</v>
      </c>
      <c r="J34" s="52" t="str">
        <f aca="false">IF(AND(ISNUMBER($G34),$G34&gt;=MA_MED),AVERAGE(INDEX($C$5:$C34,31-MA_MED):$C34),"")</f>
        <v/>
      </c>
      <c r="K34" s="52" t="str">
        <f aca="false">IF(AND(ISNUMBER($G34),$G34&gt;=MA_LONG2),AVERAGE(INDEX($C$5:$C34,31-MA_LONG2):$C34),"")</f>
        <v/>
      </c>
      <c r="L34" s="53" t="n">
        <f aca="false">IF(AND(ISNUMBER($G34),$G34&gt;=21),STDEV(INDEX($H$5:$H34,31-20):$H34)*SQRT(245),"")</f>
        <v>0.2670340659866</v>
      </c>
      <c r="M34" s="52" t="str">
        <f aca="false">IF(AND(ISNUMBER($G34),$G34&gt;=60),MAX(INDEX($D$5:$D34,31-60):$D34),"")</f>
        <v/>
      </c>
      <c r="N34" s="52" t="str">
        <f aca="false">IF(AND(ISNUMBER($G34),$G34&gt;=60),MIN(INDEX($E$5:$E34,31-60):$E34),"")</f>
        <v/>
      </c>
      <c r="O34" s="53" t="str">
        <f aca="false">IF(OR(NOT(ISNUMBER($C34)),NOT(ISNUMBER($M34)),$M34=0),"",$C34/$M34-1)</f>
        <v/>
      </c>
      <c r="P34" s="54"/>
      <c r="Q34" s="53" t="str">
        <f aca="false">IF(NOT(ISNUMBER($P34)),"",IFERROR(PERCENTRANK($P$5:$P$1204,$P34),""))</f>
        <v/>
      </c>
    </row>
    <row r="35" customFormat="false" ht="15" hidden="false" customHeight="false" outlineLevel="0" collapsed="false">
      <c r="A35" s="47" t="n">
        <v>45612</v>
      </c>
      <c r="B35" s="48" t="s">
        <v>183</v>
      </c>
      <c r="C35" s="49" t="n">
        <v>634052831</v>
      </c>
      <c r="D35" s="49" t="n">
        <v>634866159</v>
      </c>
      <c r="E35" s="49" t="n">
        <v>631864735</v>
      </c>
      <c r="F35" s="49" t="n">
        <v>0</v>
      </c>
      <c r="G35" s="50" t="n">
        <f aca="false">IF($A35="","",IF(ISNUMBER($G34),$G34+1,1))</f>
        <v>31</v>
      </c>
      <c r="H35" s="51" t="n">
        <f aca="false">IF(OR(NOT(ISNUMBER($G35)),$G35&lt;2,NOT(ISNUMBER($C34)),$C34=0),"",$C35/$C34-1)</f>
        <v>0.017764406487963</v>
      </c>
      <c r="I35" s="52" t="n">
        <f aca="false">IF(AND(ISNUMBER($G35),$G35&gt;=MA_SHORT),AVERAGE(INDEX($C$5:$C35,32-MA_SHORT):$C35),"")</f>
        <v>632142683.2</v>
      </c>
      <c r="J35" s="52" t="str">
        <f aca="false">IF(AND(ISNUMBER($G35),$G35&gt;=MA_MED),AVERAGE(INDEX($C$5:$C35,32-MA_MED):$C35),"")</f>
        <v/>
      </c>
      <c r="K35" s="52" t="str">
        <f aca="false">IF(AND(ISNUMBER($G35),$G35&gt;=MA_LONG2),AVERAGE(INDEX($C$5:$C35,32-MA_LONG2):$C35),"")</f>
        <v/>
      </c>
      <c r="L35" s="53" t="n">
        <f aca="false">IF(AND(ISNUMBER($G35),$G35&gt;=21),STDEV(INDEX($H$5:$H35,32-20):$H35)*SQRT(245),"")</f>
        <v>0.263015483779443</v>
      </c>
      <c r="M35" s="52" t="str">
        <f aca="false">IF(AND(ISNUMBER($G35),$G35&gt;=60),MAX(INDEX($D$5:$D35,32-60):$D35),"")</f>
        <v/>
      </c>
      <c r="N35" s="52" t="str">
        <f aca="false">IF(AND(ISNUMBER($G35),$G35&gt;=60),MIN(INDEX($E$5:$E35,32-60):$E35),"")</f>
        <v/>
      </c>
      <c r="O35" s="53" t="str">
        <f aca="false">IF(OR(NOT(ISNUMBER($C35)),NOT(ISNUMBER($M35)),$M35=0),"",$C35/$M35-1)</f>
        <v/>
      </c>
      <c r="P35" s="54"/>
      <c r="Q35" s="53" t="str">
        <f aca="false">IF(NOT(ISNUMBER($P35)),"",IFERROR(PERCENTRANK($P$5:$P$1204,$P35),""))</f>
        <v/>
      </c>
    </row>
    <row r="36" customFormat="false" ht="15" hidden="false" customHeight="false" outlineLevel="0" collapsed="false">
      <c r="A36" s="47" t="n">
        <v>45613</v>
      </c>
      <c r="B36" s="48" t="s">
        <v>184</v>
      </c>
      <c r="C36" s="49" t="n">
        <v>628207170</v>
      </c>
      <c r="D36" s="49" t="n">
        <v>629550922</v>
      </c>
      <c r="E36" s="49" t="n">
        <v>626872843</v>
      </c>
      <c r="F36" s="49" t="n">
        <v>0</v>
      </c>
      <c r="G36" s="50" t="n">
        <f aca="false">IF($A36="","",IF(ISNUMBER($G35),$G35+1,1))</f>
        <v>32</v>
      </c>
      <c r="H36" s="51" t="n">
        <f aca="false">IF(OR(NOT(ISNUMBER($G36)),$G36&lt;2,NOT(ISNUMBER($C35)),$C35=0),"",$C36/$C35-1)</f>
        <v>-0.00921951722978742</v>
      </c>
      <c r="I36" s="52" t="n">
        <f aca="false">IF(AND(ISNUMBER($G36),$G36&gt;=MA_SHORT),AVERAGE(INDEX($C$5:$C36,33-MA_SHORT):$C36),"")</f>
        <v>631760383.75</v>
      </c>
      <c r="J36" s="52" t="str">
        <f aca="false">IF(AND(ISNUMBER($G36),$G36&gt;=MA_MED),AVERAGE(INDEX($C$5:$C36,33-MA_MED):$C36),"")</f>
        <v/>
      </c>
      <c r="K36" s="52" t="str">
        <f aca="false">IF(AND(ISNUMBER($G36),$G36&gt;=MA_LONG2),AVERAGE(INDEX($C$5:$C36,33-MA_LONG2):$C36),"")</f>
        <v/>
      </c>
      <c r="L36" s="53" t="n">
        <f aca="false">IF(AND(ISNUMBER($G36),$G36&gt;=21),STDEV(INDEX($H$5:$H36,33-20):$H36)*SQRT(245),"")</f>
        <v>0.26423453531567</v>
      </c>
      <c r="M36" s="52" t="str">
        <f aca="false">IF(AND(ISNUMBER($G36),$G36&gt;=60),MAX(INDEX($D$5:$D36,33-60):$D36),"")</f>
        <v/>
      </c>
      <c r="N36" s="52" t="str">
        <f aca="false">IF(AND(ISNUMBER($G36),$G36&gt;=60),MIN(INDEX($E$5:$E36,33-60):$E36),"")</f>
        <v/>
      </c>
      <c r="O36" s="53" t="str">
        <f aca="false">IF(OR(NOT(ISNUMBER($C36)),NOT(ISNUMBER($M36)),$M36=0),"",$C36/$M36-1)</f>
        <v/>
      </c>
      <c r="P36" s="54"/>
      <c r="Q36" s="53" t="str">
        <f aca="false">IF(NOT(ISNUMBER($P36)),"",IFERROR(PERCENTRANK($P$5:$P$1204,$P36),""))</f>
        <v/>
      </c>
    </row>
    <row r="37" customFormat="false" ht="15" hidden="false" customHeight="false" outlineLevel="0" collapsed="false">
      <c r="A37" s="47" t="n">
        <v>45614</v>
      </c>
      <c r="B37" s="48" t="s">
        <v>185</v>
      </c>
      <c r="C37" s="49" t="n">
        <v>632233861</v>
      </c>
      <c r="D37" s="49" t="n">
        <v>633290397</v>
      </c>
      <c r="E37" s="49" t="n">
        <v>628086366</v>
      </c>
      <c r="F37" s="49" t="n">
        <v>0</v>
      </c>
      <c r="G37" s="50" t="n">
        <f aca="false">IF($A37="","",IF(ISNUMBER($G36),$G36+1,1))</f>
        <v>33</v>
      </c>
      <c r="H37" s="51" t="n">
        <f aca="false">IF(OR(NOT(ISNUMBER($G37)),$G37&lt;2,NOT(ISNUMBER($C36)),$C36=0),"",$C37/$C36-1)</f>
        <v>0.00640981381985828</v>
      </c>
      <c r="I37" s="52" t="n">
        <f aca="false">IF(AND(ISNUMBER($G37),$G37&gt;=MA_SHORT),AVERAGE(INDEX($C$5:$C37,34-MA_SHORT):$C37),"")</f>
        <v>631506900.5</v>
      </c>
      <c r="J37" s="52" t="str">
        <f aca="false">IF(AND(ISNUMBER($G37),$G37&gt;=MA_MED),AVERAGE(INDEX($C$5:$C37,34-MA_MED):$C37),"")</f>
        <v/>
      </c>
      <c r="K37" s="52" t="str">
        <f aca="false">IF(AND(ISNUMBER($G37),$G37&gt;=MA_LONG2),AVERAGE(INDEX($C$5:$C37,34-MA_LONG2):$C37),"")</f>
        <v/>
      </c>
      <c r="L37" s="53" t="n">
        <f aca="false">IF(AND(ISNUMBER($G37),$G37&gt;=21),STDEV(INDEX($H$5:$H37,34-20):$H37)*SQRT(245),"")</f>
        <v>0.265182044920549</v>
      </c>
      <c r="M37" s="52" t="str">
        <f aca="false">IF(AND(ISNUMBER($G37),$G37&gt;=60),MAX(INDEX($D$5:$D37,34-60):$D37),"")</f>
        <v/>
      </c>
      <c r="N37" s="52" t="str">
        <f aca="false">IF(AND(ISNUMBER($G37),$G37&gt;=60),MIN(INDEX($E$5:$E37,34-60):$E37),"")</f>
        <v/>
      </c>
      <c r="O37" s="53" t="str">
        <f aca="false">IF(OR(NOT(ISNUMBER($C37)),NOT(ISNUMBER($M37)),$M37=0),"",$C37/$M37-1)</f>
        <v/>
      </c>
      <c r="P37" s="54"/>
      <c r="Q37" s="53" t="str">
        <f aca="false">IF(NOT(ISNUMBER($P37)),"",IFERROR(PERCENTRANK($P$5:$P$1204,$P37),""))</f>
        <v/>
      </c>
    </row>
    <row r="38" customFormat="false" ht="15" hidden="false" customHeight="false" outlineLevel="0" collapsed="false">
      <c r="A38" s="47" t="n">
        <v>45615</v>
      </c>
      <c r="B38" s="48" t="s">
        <v>186</v>
      </c>
      <c r="C38" s="49" t="n">
        <v>639077133</v>
      </c>
      <c r="D38" s="49" t="n">
        <v>639516836</v>
      </c>
      <c r="E38" s="49" t="n">
        <v>636173154</v>
      </c>
      <c r="F38" s="49" t="n">
        <v>0</v>
      </c>
      <c r="G38" s="50" t="n">
        <f aca="false">IF($A38="","",IF(ISNUMBER($G37),$G37+1,1))</f>
        <v>34</v>
      </c>
      <c r="H38" s="51" t="n">
        <f aca="false">IF(OR(NOT(ISNUMBER($G38)),$G38&lt;2,NOT(ISNUMBER($C37)),$C37=0),"",$C38/$C37-1)</f>
        <v>0.0108239568016431</v>
      </c>
      <c r="I38" s="52" t="n">
        <f aca="false">IF(AND(ISNUMBER($G38),$G38&gt;=MA_SHORT),AVERAGE(INDEX($C$5:$C38,35-MA_SHORT):$C38),"")</f>
        <v>631793150.6</v>
      </c>
      <c r="J38" s="52" t="str">
        <f aca="false">IF(AND(ISNUMBER($G38),$G38&gt;=MA_MED),AVERAGE(INDEX($C$5:$C38,35-MA_MED):$C38),"")</f>
        <v/>
      </c>
      <c r="K38" s="52" t="str">
        <f aca="false">IF(AND(ISNUMBER($G38),$G38&gt;=MA_LONG2),AVERAGE(INDEX($C$5:$C38,35-MA_LONG2):$C38),"")</f>
        <v/>
      </c>
      <c r="L38" s="53" t="n">
        <f aca="false">IF(AND(ISNUMBER($G38),$G38&gt;=21),STDEV(INDEX($H$5:$H38,35-20):$H38)*SQRT(245),"")</f>
        <v>0.266954802358732</v>
      </c>
      <c r="M38" s="52" t="str">
        <f aca="false">IF(AND(ISNUMBER($G38),$G38&gt;=60),MAX(INDEX($D$5:$D38,35-60):$D38),"")</f>
        <v/>
      </c>
      <c r="N38" s="52" t="str">
        <f aca="false">IF(AND(ISNUMBER($G38),$G38&gt;=60),MIN(INDEX($E$5:$E38,35-60):$E38),"")</f>
        <v/>
      </c>
      <c r="O38" s="53" t="str">
        <f aca="false">IF(OR(NOT(ISNUMBER($C38)),NOT(ISNUMBER($M38)),$M38=0),"",$C38/$M38-1)</f>
        <v/>
      </c>
      <c r="P38" s="54"/>
      <c r="Q38" s="53" t="str">
        <f aca="false">IF(NOT(ISNUMBER($P38)),"",IFERROR(PERCENTRANK($P$5:$P$1204,$P38),""))</f>
        <v/>
      </c>
    </row>
    <row r="39" customFormat="false" ht="15" hidden="false" customHeight="false" outlineLevel="0" collapsed="false">
      <c r="A39" s="47" t="n">
        <v>45616</v>
      </c>
      <c r="B39" s="48" t="s">
        <v>187</v>
      </c>
      <c r="C39" s="49" t="n">
        <v>641066058</v>
      </c>
      <c r="D39" s="49" t="n">
        <v>641783185</v>
      </c>
      <c r="E39" s="49" t="n">
        <v>640959765</v>
      </c>
      <c r="F39" s="49" t="n">
        <v>0</v>
      </c>
      <c r="G39" s="50" t="n">
        <f aca="false">IF($A39="","",IF(ISNUMBER($G38),$G38+1,1))</f>
        <v>35</v>
      </c>
      <c r="H39" s="51" t="n">
        <f aca="false">IF(OR(NOT(ISNUMBER($G39)),$G39&lt;2,NOT(ISNUMBER($C38)),$C38=0),"",$C39/$C38-1)</f>
        <v>0.00311218301719451</v>
      </c>
      <c r="I39" s="52" t="n">
        <f aca="false">IF(AND(ISNUMBER($G39),$G39&gt;=MA_SHORT),AVERAGE(INDEX($C$5:$C39,36-MA_SHORT):$C39),"")</f>
        <v>631294947.25</v>
      </c>
      <c r="J39" s="52" t="str">
        <f aca="false">IF(AND(ISNUMBER($G39),$G39&gt;=MA_MED),AVERAGE(INDEX($C$5:$C39,36-MA_MED):$C39),"")</f>
        <v/>
      </c>
      <c r="K39" s="52" t="str">
        <f aca="false">IF(AND(ISNUMBER($G39),$G39&gt;=MA_LONG2),AVERAGE(INDEX($C$5:$C39,36-MA_LONG2):$C39),"")</f>
        <v/>
      </c>
      <c r="L39" s="53" t="n">
        <f aca="false">IF(AND(ISNUMBER($G39),$G39&gt;=21),STDEV(INDEX($H$5:$H39,36-20):$H39)*SQRT(245),"")</f>
        <v>0.24763675410694</v>
      </c>
      <c r="M39" s="52" t="str">
        <f aca="false">IF(AND(ISNUMBER($G39),$G39&gt;=60),MAX(INDEX($D$5:$D39,36-60):$D39),"")</f>
        <v/>
      </c>
      <c r="N39" s="52" t="str">
        <f aca="false">IF(AND(ISNUMBER($G39),$G39&gt;=60),MIN(INDEX($E$5:$E39,36-60):$E39),"")</f>
        <v/>
      </c>
      <c r="O39" s="53" t="str">
        <f aca="false">IF(OR(NOT(ISNUMBER($C39)),NOT(ISNUMBER($M39)),$M39=0),"",$C39/$M39-1)</f>
        <v/>
      </c>
      <c r="P39" s="54"/>
      <c r="Q39" s="53" t="str">
        <f aca="false">IF(NOT(ISNUMBER($P39)),"",IFERROR(PERCENTRANK($P$5:$P$1204,$P39),""))</f>
        <v/>
      </c>
    </row>
    <row r="40" customFormat="false" ht="15" hidden="false" customHeight="false" outlineLevel="0" collapsed="false">
      <c r="A40" s="47" t="n">
        <v>45619</v>
      </c>
      <c r="B40" s="48" t="s">
        <v>188</v>
      </c>
      <c r="C40" s="49" t="n">
        <v>648529979</v>
      </c>
      <c r="D40" s="49" t="n">
        <v>649918363</v>
      </c>
      <c r="E40" s="49" t="n">
        <v>647761604</v>
      </c>
      <c r="F40" s="49" t="n">
        <v>0</v>
      </c>
      <c r="G40" s="50" t="n">
        <f aca="false">IF($A40="","",IF(ISNUMBER($G39),$G39+1,1))</f>
        <v>36</v>
      </c>
      <c r="H40" s="51" t="n">
        <f aca="false">IF(OR(NOT(ISNUMBER($G40)),$G40&lt;2,NOT(ISNUMBER($C39)),$C39=0),"",$C40/$C39-1)</f>
        <v>0.0116429826643545</v>
      </c>
      <c r="I40" s="52" t="n">
        <f aca="false">IF(AND(ISNUMBER($G40),$G40&gt;=MA_SHORT),AVERAGE(INDEX($C$5:$C40,37-MA_SHORT):$C40),"")</f>
        <v>631858166.6</v>
      </c>
      <c r="J40" s="52" t="str">
        <f aca="false">IF(AND(ISNUMBER($G40),$G40&gt;=MA_MED),AVERAGE(INDEX($C$5:$C40,37-MA_MED):$C40),"")</f>
        <v/>
      </c>
      <c r="K40" s="52" t="str">
        <f aca="false">IF(AND(ISNUMBER($G40),$G40&gt;=MA_LONG2),AVERAGE(INDEX($C$5:$C40,37-MA_LONG2):$C40),"")</f>
        <v/>
      </c>
      <c r="L40" s="53" t="n">
        <f aca="false">IF(AND(ISNUMBER($G40),$G40&gt;=21),STDEV(INDEX($H$5:$H40,37-20):$H40)*SQRT(245),"")</f>
        <v>0.239092784546964</v>
      </c>
      <c r="M40" s="52" t="str">
        <f aca="false">IF(AND(ISNUMBER($G40),$G40&gt;=60),MAX(INDEX($D$5:$D40,37-60):$D40),"")</f>
        <v/>
      </c>
      <c r="N40" s="52" t="str">
        <f aca="false">IF(AND(ISNUMBER($G40),$G40&gt;=60),MIN(INDEX($E$5:$E40,37-60):$E40),"")</f>
        <v/>
      </c>
      <c r="O40" s="53" t="str">
        <f aca="false">IF(OR(NOT(ISNUMBER($C40)),NOT(ISNUMBER($M40)),$M40=0),"",$C40/$M40-1)</f>
        <v/>
      </c>
      <c r="P40" s="54"/>
      <c r="Q40" s="53" t="str">
        <f aca="false">IF(NOT(ISNUMBER($P40)),"",IFERROR(PERCENTRANK($P$5:$P$1204,$P40),""))</f>
        <v/>
      </c>
    </row>
    <row r="41" customFormat="false" ht="15" hidden="false" customHeight="false" outlineLevel="0" collapsed="false">
      <c r="A41" s="47" t="n">
        <v>45620</v>
      </c>
      <c r="B41" s="48" t="s">
        <v>189</v>
      </c>
      <c r="C41" s="49" t="n">
        <v>656054744</v>
      </c>
      <c r="D41" s="49" t="n">
        <v>657062314</v>
      </c>
      <c r="E41" s="49" t="n">
        <v>649998219</v>
      </c>
      <c r="F41" s="49" t="n">
        <v>0</v>
      </c>
      <c r="G41" s="50" t="n">
        <f aca="false">IF($A41="","",IF(ISNUMBER($G40),$G40+1,1))</f>
        <v>37</v>
      </c>
      <c r="H41" s="51" t="n">
        <f aca="false">IF(OR(NOT(ISNUMBER($G41)),$G41&lt;2,NOT(ISNUMBER($C40)),$C40=0),"",$C41/$C40-1)</f>
        <v>0.0116028020965242</v>
      </c>
      <c r="I41" s="52" t="n">
        <f aca="false">IF(AND(ISNUMBER($G41),$G41&gt;=MA_SHORT),AVERAGE(INDEX($C$5:$C41,38-MA_SHORT):$C41),"")</f>
        <v>632430554.05</v>
      </c>
      <c r="J41" s="52" t="str">
        <f aca="false">IF(AND(ISNUMBER($G41),$G41&gt;=MA_MED),AVERAGE(INDEX($C$5:$C41,38-MA_MED):$C41),"")</f>
        <v/>
      </c>
      <c r="K41" s="52" t="str">
        <f aca="false">IF(AND(ISNUMBER($G41),$G41&gt;=MA_LONG2),AVERAGE(INDEX($C$5:$C41,38-MA_LONG2):$C41),"")</f>
        <v/>
      </c>
      <c r="L41" s="53" t="n">
        <f aca="false">IF(AND(ISNUMBER($G41),$G41&gt;=21),STDEV(INDEX($H$5:$H41,38-20):$H41)*SQRT(245),"")</f>
        <v>0.239139895284795</v>
      </c>
      <c r="M41" s="52" t="str">
        <f aca="false">IF(AND(ISNUMBER($G41),$G41&gt;=60),MAX(INDEX($D$5:$D41,38-60):$D41),"")</f>
        <v/>
      </c>
      <c r="N41" s="52" t="str">
        <f aca="false">IF(AND(ISNUMBER($G41),$G41&gt;=60),MIN(INDEX($E$5:$E41,38-60):$E41),"")</f>
        <v/>
      </c>
      <c r="O41" s="53" t="str">
        <f aca="false">IF(OR(NOT(ISNUMBER($C41)),NOT(ISNUMBER($M41)),$M41=0),"",$C41/$M41-1)</f>
        <v/>
      </c>
      <c r="P41" s="54"/>
      <c r="Q41" s="53" t="str">
        <f aca="false">IF(NOT(ISNUMBER($P41)),"",IFERROR(PERCENTRANK($P$5:$P$1204,$P41),""))</f>
        <v/>
      </c>
    </row>
    <row r="42" customFormat="false" ht="15" hidden="false" customHeight="false" outlineLevel="0" collapsed="false">
      <c r="A42" s="47" t="n">
        <v>45621</v>
      </c>
      <c r="B42" s="48" t="s">
        <v>190</v>
      </c>
      <c r="C42" s="49" t="n">
        <v>642181987</v>
      </c>
      <c r="D42" s="49" t="n">
        <v>642258504</v>
      </c>
      <c r="E42" s="49" t="n">
        <v>639249787</v>
      </c>
      <c r="F42" s="49" t="n">
        <v>0</v>
      </c>
      <c r="G42" s="50" t="n">
        <f aca="false">IF($A42="","",IF(ISNUMBER($G41),$G41+1,1))</f>
        <v>38</v>
      </c>
      <c r="H42" s="51" t="n">
        <f aca="false">IF(OR(NOT(ISNUMBER($G42)),$G42&lt;2,NOT(ISNUMBER($C41)),$C41=0),"",$C42/$C41-1)</f>
        <v>-0.0211457307898074</v>
      </c>
      <c r="I42" s="52" t="n">
        <f aca="false">IF(AND(ISNUMBER($G42),$G42&gt;=MA_SHORT),AVERAGE(INDEX($C$5:$C42,39-MA_SHORT):$C42),"")</f>
        <v>632528813.5</v>
      </c>
      <c r="J42" s="52" t="str">
        <f aca="false">IF(AND(ISNUMBER($G42),$G42&gt;=MA_MED),AVERAGE(INDEX($C$5:$C42,39-MA_MED):$C42),"")</f>
        <v/>
      </c>
      <c r="K42" s="52" t="str">
        <f aca="false">IF(AND(ISNUMBER($G42),$G42&gt;=MA_LONG2),AVERAGE(INDEX($C$5:$C42,39-MA_LONG2):$C42),"")</f>
        <v/>
      </c>
      <c r="L42" s="53" t="n">
        <f aca="false">IF(AND(ISNUMBER($G42),$G42&gt;=21),STDEV(INDEX($H$5:$H42,39-20):$H42)*SQRT(245),"")</f>
        <v>0.250179724829004</v>
      </c>
      <c r="M42" s="52" t="str">
        <f aca="false">IF(AND(ISNUMBER($G42),$G42&gt;=60),MAX(INDEX($D$5:$D42,39-60):$D42),"")</f>
        <v/>
      </c>
      <c r="N42" s="52" t="str">
        <f aca="false">IF(AND(ISNUMBER($G42),$G42&gt;=60),MIN(INDEX($E$5:$E42,39-60):$E42),"")</f>
        <v/>
      </c>
      <c r="O42" s="53" t="str">
        <f aca="false">IF(OR(NOT(ISNUMBER($C42)),NOT(ISNUMBER($M42)),$M42=0),"",$C42/$M42-1)</f>
        <v/>
      </c>
      <c r="P42" s="54"/>
      <c r="Q42" s="53" t="str">
        <f aca="false">IF(NOT(ISNUMBER($P42)),"",IFERROR(PERCENTRANK($P$5:$P$1204,$P42),""))</f>
        <v/>
      </c>
    </row>
    <row r="43" customFormat="false" ht="15" hidden="false" customHeight="false" outlineLevel="0" collapsed="false">
      <c r="A43" s="47" t="n">
        <v>45622</v>
      </c>
      <c r="B43" s="48" t="s">
        <v>191</v>
      </c>
      <c r="C43" s="49" t="n">
        <v>642466461</v>
      </c>
      <c r="D43" s="49" t="n">
        <v>648958191</v>
      </c>
      <c r="E43" s="49" t="n">
        <v>638369692</v>
      </c>
      <c r="F43" s="49" t="n">
        <v>0</v>
      </c>
      <c r="G43" s="50" t="n">
        <f aca="false">IF($A43="","",IF(ISNUMBER($G42),$G42+1,1))</f>
        <v>39</v>
      </c>
      <c r="H43" s="51" t="n">
        <f aca="false">IF(OR(NOT(ISNUMBER($G43)),$G43&lt;2,NOT(ISNUMBER($C42)),$C42=0),"",$C43/$C42-1)</f>
        <v>0.000442980347874489</v>
      </c>
      <c r="I43" s="52" t="n">
        <f aca="false">IF(AND(ISNUMBER($G43),$G43&gt;=MA_SHORT),AVERAGE(INDEX($C$5:$C43,40-MA_SHORT):$C43),"")</f>
        <v>632946936.85</v>
      </c>
      <c r="J43" s="52" t="str">
        <f aca="false">IF(AND(ISNUMBER($G43),$G43&gt;=MA_MED),AVERAGE(INDEX($C$5:$C43,40-MA_MED):$C43),"")</f>
        <v/>
      </c>
      <c r="K43" s="52" t="str">
        <f aca="false">IF(AND(ISNUMBER($G43),$G43&gt;=MA_LONG2),AVERAGE(INDEX($C$5:$C43,40-MA_LONG2):$C43),"")</f>
        <v/>
      </c>
      <c r="L43" s="53" t="n">
        <f aca="false">IF(AND(ISNUMBER($G43),$G43&gt;=21),STDEV(INDEX($H$5:$H43,40-20):$H43)*SQRT(245),"")</f>
        <v>0.247551063643906</v>
      </c>
      <c r="M43" s="52" t="str">
        <f aca="false">IF(AND(ISNUMBER($G43),$G43&gt;=60),MAX(INDEX($D$5:$D43,40-60):$D43),"")</f>
        <v/>
      </c>
      <c r="N43" s="52" t="str">
        <f aca="false">IF(AND(ISNUMBER($G43),$G43&gt;=60),MIN(INDEX($E$5:$E43,40-60):$E43),"")</f>
        <v/>
      </c>
      <c r="O43" s="53" t="str">
        <f aca="false">IF(OR(NOT(ISNUMBER($C43)),NOT(ISNUMBER($M43)),$M43=0),"",$C43/$M43-1)</f>
        <v/>
      </c>
      <c r="P43" s="54"/>
      <c r="Q43" s="53" t="str">
        <f aca="false">IF(NOT(ISNUMBER($P43)),"",IFERROR(PERCENTRANK($P$5:$P$1204,$P43),""))</f>
        <v/>
      </c>
    </row>
    <row r="44" customFormat="false" ht="15" hidden="false" customHeight="false" outlineLevel="0" collapsed="false">
      <c r="A44" s="47" t="n">
        <v>45623</v>
      </c>
      <c r="B44" s="48" t="s">
        <v>192</v>
      </c>
      <c r="C44" s="49" t="n">
        <v>640881999</v>
      </c>
      <c r="D44" s="49" t="n">
        <v>642624127</v>
      </c>
      <c r="E44" s="49" t="n">
        <v>640568924</v>
      </c>
      <c r="F44" s="49" t="n">
        <v>0</v>
      </c>
      <c r="G44" s="50" t="n">
        <f aca="false">IF($A44="","",IF(ISNUMBER($G43),$G43+1,1))</f>
        <v>40</v>
      </c>
      <c r="H44" s="51" t="n">
        <f aca="false">IF(OR(NOT(ISNUMBER($G44)),$G44&lt;2,NOT(ISNUMBER($C43)),$C43=0),"",$C44/$C43-1)</f>
        <v>-0.00246621745442366</v>
      </c>
      <c r="I44" s="52" t="n">
        <f aca="false">IF(AND(ISNUMBER($G44),$G44&gt;=MA_SHORT),AVERAGE(INDEX($C$5:$C44,41-MA_SHORT):$C44),"")</f>
        <v>633134769.05</v>
      </c>
      <c r="J44" s="52" t="str">
        <f aca="false">IF(AND(ISNUMBER($G44),$G44&gt;=MA_MED),AVERAGE(INDEX($C$5:$C44,41-MA_MED):$C44),"")</f>
        <v/>
      </c>
      <c r="K44" s="52" t="str">
        <f aca="false">IF(AND(ISNUMBER($G44),$G44&gt;=MA_LONG2),AVERAGE(INDEX($C$5:$C44,41-MA_LONG2):$C44),"")</f>
        <v/>
      </c>
      <c r="L44" s="53" t="n">
        <f aca="false">IF(AND(ISNUMBER($G44),$G44&gt;=21),STDEV(INDEX($H$5:$H44,41-20):$H44)*SQRT(245),"")</f>
        <v>0.247341940595172</v>
      </c>
      <c r="M44" s="52" t="str">
        <f aca="false">IF(AND(ISNUMBER($G44),$G44&gt;=60),MAX(INDEX($D$5:$D44,41-60):$D44),"")</f>
        <v/>
      </c>
      <c r="N44" s="52" t="str">
        <f aca="false">IF(AND(ISNUMBER($G44),$G44&gt;=60),MIN(INDEX($E$5:$E44,41-60):$E44),"")</f>
        <v/>
      </c>
      <c r="O44" s="53" t="str">
        <f aca="false">IF(OR(NOT(ISNUMBER($C44)),NOT(ISNUMBER($M44)),$M44=0),"",$C44/$M44-1)</f>
        <v/>
      </c>
      <c r="P44" s="54"/>
      <c r="Q44" s="53" t="str">
        <f aca="false">IF(NOT(ISNUMBER($P44)),"",IFERROR(PERCENTRANK($P$5:$P$1204,$P44),""))</f>
        <v/>
      </c>
    </row>
    <row r="45" customFormat="false" ht="15" hidden="false" customHeight="false" outlineLevel="0" collapsed="false">
      <c r="A45" s="47" t="n">
        <v>45626</v>
      </c>
      <c r="B45" s="48" t="s">
        <v>193</v>
      </c>
      <c r="C45" s="49" t="n">
        <v>649272014</v>
      </c>
      <c r="D45" s="49" t="n">
        <v>653203973</v>
      </c>
      <c r="E45" s="49" t="n">
        <v>646682494</v>
      </c>
      <c r="F45" s="49" t="n">
        <v>0</v>
      </c>
      <c r="G45" s="50" t="n">
        <f aca="false">IF($A45="","",IF(ISNUMBER($G44),$G44+1,1))</f>
        <v>41</v>
      </c>
      <c r="H45" s="51" t="n">
        <f aca="false">IF(OR(NOT(ISNUMBER($G45)),$G45&lt;2,NOT(ISNUMBER($C44)),$C44=0),"",$C45/$C44-1)</f>
        <v>0.0130913569316837</v>
      </c>
      <c r="I45" s="52" t="n">
        <f aca="false">IF(AND(ISNUMBER($G45),$G45&gt;=MA_SHORT),AVERAGE(INDEX($C$5:$C45,42-MA_SHORT):$C45),"")</f>
        <v>633532777.75</v>
      </c>
      <c r="J45" s="52" t="str">
        <f aca="false">IF(AND(ISNUMBER($G45),$G45&gt;=MA_MED),AVERAGE(INDEX($C$5:$C45,42-MA_MED):$C45),"")</f>
        <v/>
      </c>
      <c r="K45" s="52" t="str">
        <f aca="false">IF(AND(ISNUMBER($G45),$G45&gt;=MA_LONG2),AVERAGE(INDEX($C$5:$C45,42-MA_LONG2):$C45),"")</f>
        <v/>
      </c>
      <c r="L45" s="53" t="n">
        <f aca="false">IF(AND(ISNUMBER($G45),$G45&gt;=21),STDEV(INDEX($H$5:$H45,42-20):$H45)*SQRT(245),"")</f>
        <v>0.250468121486954</v>
      </c>
      <c r="M45" s="52" t="str">
        <f aca="false">IF(AND(ISNUMBER($G45),$G45&gt;=60),MAX(INDEX($D$5:$D45,42-60):$D45),"")</f>
        <v/>
      </c>
      <c r="N45" s="52" t="str">
        <f aca="false">IF(AND(ISNUMBER($G45),$G45&gt;=60),MIN(INDEX($E$5:$E45,42-60):$E45),"")</f>
        <v/>
      </c>
      <c r="O45" s="53" t="str">
        <f aca="false">IF(OR(NOT(ISNUMBER($C45)),NOT(ISNUMBER($M45)),$M45=0),"",$C45/$M45-1)</f>
        <v/>
      </c>
      <c r="P45" s="54"/>
      <c r="Q45" s="53" t="str">
        <f aca="false">IF(NOT(ISNUMBER($P45)),"",IFERROR(PERCENTRANK($P$5:$P$1204,$P45),""))</f>
        <v/>
      </c>
    </row>
    <row r="46" customFormat="false" ht="15" hidden="false" customHeight="false" outlineLevel="0" collapsed="false">
      <c r="A46" s="47" t="n">
        <v>45627</v>
      </c>
      <c r="B46" s="48" t="s">
        <v>194</v>
      </c>
      <c r="C46" s="49" t="n">
        <v>642096609</v>
      </c>
      <c r="D46" s="49" t="n">
        <v>645126051</v>
      </c>
      <c r="E46" s="49" t="n">
        <v>640578897</v>
      </c>
      <c r="F46" s="49" t="n">
        <v>0</v>
      </c>
      <c r="G46" s="50" t="n">
        <f aca="false">IF($A46="","",IF(ISNUMBER($G45),$G45+1,1))</f>
        <v>42</v>
      </c>
      <c r="H46" s="51" t="n">
        <f aca="false">IF(OR(NOT(ISNUMBER($G46)),$G46&lt;2,NOT(ISNUMBER($C45)),$C45=0),"",$C46/$C45-1)</f>
        <v>-0.0110514620148097</v>
      </c>
      <c r="I46" s="52" t="n">
        <f aca="false">IF(AND(ISNUMBER($G46),$G46&gt;=MA_SHORT),AVERAGE(INDEX($C$5:$C46,43-MA_SHORT):$C46),"")</f>
        <v>634826785.7</v>
      </c>
      <c r="J46" s="52" t="str">
        <f aca="false">IF(AND(ISNUMBER($G46),$G46&gt;=MA_MED),AVERAGE(INDEX($C$5:$C46,43-MA_MED):$C46),"")</f>
        <v/>
      </c>
      <c r="K46" s="52" t="str">
        <f aca="false">IF(AND(ISNUMBER($G46),$G46&gt;=MA_LONG2),AVERAGE(INDEX($C$5:$C46,43-MA_LONG2):$C46),"")</f>
        <v/>
      </c>
      <c r="L46" s="53" t="n">
        <f aca="false">IF(AND(ISNUMBER($G46),$G46&gt;=21),STDEV(INDEX($H$5:$H46,43-20):$H46)*SQRT(245),"")</f>
        <v>0.208614578340442</v>
      </c>
      <c r="M46" s="52" t="str">
        <f aca="false">IF(AND(ISNUMBER($G46),$G46&gt;=60),MAX(INDEX($D$5:$D46,43-60):$D46),"")</f>
        <v/>
      </c>
      <c r="N46" s="52" t="str">
        <f aca="false">IF(AND(ISNUMBER($G46),$G46&gt;=60),MIN(INDEX($E$5:$E46,43-60):$E46),"")</f>
        <v/>
      </c>
      <c r="O46" s="53" t="str">
        <f aca="false">IF(OR(NOT(ISNUMBER($C46)),NOT(ISNUMBER($M46)),$M46=0),"",$C46/$M46-1)</f>
        <v/>
      </c>
      <c r="P46" s="54"/>
      <c r="Q46" s="53" t="str">
        <f aca="false">IF(NOT(ISNUMBER($P46)),"",IFERROR(PERCENTRANK($P$5:$P$1204,$P46),""))</f>
        <v/>
      </c>
    </row>
    <row r="47" customFormat="false" ht="15" hidden="false" customHeight="false" outlineLevel="0" collapsed="false">
      <c r="A47" s="47" t="n">
        <v>45628</v>
      </c>
      <c r="B47" s="48" t="s">
        <v>195</v>
      </c>
      <c r="C47" s="49" t="n">
        <v>646860503</v>
      </c>
      <c r="D47" s="49" t="n">
        <v>648662054</v>
      </c>
      <c r="E47" s="49" t="n">
        <v>644829268</v>
      </c>
      <c r="F47" s="49" t="n">
        <v>0</v>
      </c>
      <c r="G47" s="50" t="n">
        <f aca="false">IF($A47="","",IF(ISNUMBER($G46),$G46+1,1))</f>
        <v>43</v>
      </c>
      <c r="H47" s="51" t="n">
        <f aca="false">IF(OR(NOT(ISNUMBER($G47)),$G47&lt;2,NOT(ISNUMBER($C46)),$C46=0),"",$C47/$C46-1)</f>
        <v>0.00741927917579144</v>
      </c>
      <c r="I47" s="52" t="n">
        <f aca="false">IF(AND(ISNUMBER($G47),$G47&gt;=MA_SHORT),AVERAGE(INDEX($C$5:$C47,44-MA_SHORT):$C47),"")</f>
        <v>636963335.95</v>
      </c>
      <c r="J47" s="52" t="str">
        <f aca="false">IF(AND(ISNUMBER($G47),$G47&gt;=MA_MED),AVERAGE(INDEX($C$5:$C47,44-MA_MED):$C47),"")</f>
        <v/>
      </c>
      <c r="K47" s="52" t="str">
        <f aca="false">IF(AND(ISNUMBER($G47),$G47&gt;=MA_LONG2),AVERAGE(INDEX($C$5:$C47,44-MA_LONG2):$C47),"")</f>
        <v/>
      </c>
      <c r="L47" s="53" t="n">
        <f aca="false">IF(AND(ISNUMBER($G47),$G47&gt;=21),STDEV(INDEX($H$5:$H47,44-20):$H47)*SQRT(245),"")</f>
        <v>0.19313999541829</v>
      </c>
      <c r="M47" s="52" t="str">
        <f aca="false">IF(AND(ISNUMBER($G47),$G47&gt;=60),MAX(INDEX($D$5:$D47,44-60):$D47),"")</f>
        <v/>
      </c>
      <c r="N47" s="52" t="str">
        <f aca="false">IF(AND(ISNUMBER($G47),$G47&gt;=60),MIN(INDEX($E$5:$E47,44-60):$E47),"")</f>
        <v/>
      </c>
      <c r="O47" s="53" t="str">
        <f aca="false">IF(OR(NOT(ISNUMBER($C47)),NOT(ISNUMBER($M47)),$M47=0),"",$C47/$M47-1)</f>
        <v/>
      </c>
      <c r="P47" s="54"/>
      <c r="Q47" s="53" t="str">
        <f aca="false">IF(NOT(ISNUMBER($P47)),"",IFERROR(PERCENTRANK($P$5:$P$1204,$P47),""))</f>
        <v/>
      </c>
    </row>
    <row r="48" customFormat="false" ht="15" hidden="false" customHeight="false" outlineLevel="0" collapsed="false">
      <c r="A48" s="47" t="n">
        <v>45629</v>
      </c>
      <c r="B48" s="48" t="s">
        <v>196</v>
      </c>
      <c r="C48" s="49" t="n">
        <v>645996008</v>
      </c>
      <c r="D48" s="49" t="n">
        <v>646038427</v>
      </c>
      <c r="E48" s="49" t="n">
        <v>645627819</v>
      </c>
      <c r="F48" s="49" t="n">
        <v>0</v>
      </c>
      <c r="G48" s="50" t="n">
        <f aca="false">IF($A48="","",IF(ISNUMBER($G47),$G47+1,1))</f>
        <v>44</v>
      </c>
      <c r="H48" s="51" t="n">
        <f aca="false">IF(OR(NOT(ISNUMBER($G48)),$G48&lt;2,NOT(ISNUMBER($C47)),$C47=0),"",$C48/$C47-1)</f>
        <v>-0.00133644734218685</v>
      </c>
      <c r="I48" s="52" t="n">
        <f aca="false">IF(AND(ISNUMBER($G48),$G48&gt;=MA_SHORT),AVERAGE(INDEX($C$5:$C48,45-MA_SHORT):$C48),"")</f>
        <v>638499685.3</v>
      </c>
      <c r="J48" s="52" t="str">
        <f aca="false">IF(AND(ISNUMBER($G48),$G48&gt;=MA_MED),AVERAGE(INDEX($C$5:$C48,45-MA_MED):$C48),"")</f>
        <v/>
      </c>
      <c r="K48" s="52" t="str">
        <f aca="false">IF(AND(ISNUMBER($G48),$G48&gt;=MA_LONG2),AVERAGE(INDEX($C$5:$C48,45-MA_LONG2):$C48),"")</f>
        <v/>
      </c>
      <c r="L48" s="53" t="n">
        <f aca="false">IF(AND(ISNUMBER($G48),$G48&gt;=21),STDEV(INDEX($H$5:$H48,45-20):$H48)*SQRT(245),"")</f>
        <v>0.185667362710876</v>
      </c>
      <c r="M48" s="52" t="str">
        <f aca="false">IF(AND(ISNUMBER($G48),$G48&gt;=60),MAX(INDEX($D$5:$D48,45-60):$D48),"")</f>
        <v/>
      </c>
      <c r="N48" s="52" t="str">
        <f aca="false">IF(AND(ISNUMBER($G48),$G48&gt;=60),MIN(INDEX($E$5:$E48,45-60):$E48),"")</f>
        <v/>
      </c>
      <c r="O48" s="53" t="str">
        <f aca="false">IF(OR(NOT(ISNUMBER($C48)),NOT(ISNUMBER($M48)),$M48=0),"",$C48/$M48-1)</f>
        <v/>
      </c>
      <c r="P48" s="54"/>
      <c r="Q48" s="53" t="str">
        <f aca="false">IF(NOT(ISNUMBER($P48)),"",IFERROR(PERCENTRANK($P$5:$P$1204,$P48),""))</f>
        <v/>
      </c>
    </row>
    <row r="49" customFormat="false" ht="15" hidden="false" customHeight="false" outlineLevel="0" collapsed="false">
      <c r="A49" s="47" t="n">
        <v>45630</v>
      </c>
      <c r="B49" s="48" t="s">
        <v>197</v>
      </c>
      <c r="C49" s="49" t="n">
        <v>638337436</v>
      </c>
      <c r="D49" s="49" t="n">
        <v>644156826</v>
      </c>
      <c r="E49" s="49" t="n">
        <v>634947849</v>
      </c>
      <c r="F49" s="49" t="n">
        <v>0</v>
      </c>
      <c r="G49" s="50" t="n">
        <f aca="false">IF($A49="","",IF(ISNUMBER($G48),$G48+1,1))</f>
        <v>45</v>
      </c>
      <c r="H49" s="51" t="n">
        <f aca="false">IF(OR(NOT(ISNUMBER($G49)),$G49&lt;2,NOT(ISNUMBER($C48)),$C48=0),"",$C49/$C48-1)</f>
        <v>-0.0118554478745324</v>
      </c>
      <c r="I49" s="52" t="n">
        <f aca="false">IF(AND(ISNUMBER($G49),$G49&gt;=MA_SHORT),AVERAGE(INDEX($C$5:$C49,46-MA_SHORT):$C49),"")</f>
        <v>639522380.8</v>
      </c>
      <c r="J49" s="52" t="str">
        <f aca="false">IF(AND(ISNUMBER($G49),$G49&gt;=MA_MED),AVERAGE(INDEX($C$5:$C49,46-MA_MED):$C49),"")</f>
        <v/>
      </c>
      <c r="K49" s="52" t="str">
        <f aca="false">IF(AND(ISNUMBER($G49),$G49&gt;=MA_LONG2),AVERAGE(INDEX($C$5:$C49,46-MA_LONG2):$C49),"")</f>
        <v/>
      </c>
      <c r="L49" s="53" t="n">
        <f aca="false">IF(AND(ISNUMBER($G49),$G49&gt;=21),STDEV(INDEX($H$5:$H49,46-20):$H49)*SQRT(245),"")</f>
        <v>0.192160633103184</v>
      </c>
      <c r="M49" s="52" t="str">
        <f aca="false">IF(AND(ISNUMBER($G49),$G49&gt;=60),MAX(INDEX($D$5:$D49,46-60):$D49),"")</f>
        <v/>
      </c>
      <c r="N49" s="52" t="str">
        <f aca="false">IF(AND(ISNUMBER($G49),$G49&gt;=60),MIN(INDEX($E$5:$E49,46-60):$E49),"")</f>
        <v/>
      </c>
      <c r="O49" s="53" t="str">
        <f aca="false">IF(OR(NOT(ISNUMBER($C49)),NOT(ISNUMBER($M49)),$M49=0),"",$C49/$M49-1)</f>
        <v/>
      </c>
      <c r="P49" s="54"/>
      <c r="Q49" s="53" t="str">
        <f aca="false">IF(NOT(ISNUMBER($P49)),"",IFERROR(PERCENTRANK($P$5:$P$1204,$P49),""))</f>
        <v/>
      </c>
    </row>
    <row r="50" customFormat="false" ht="15" hidden="false" customHeight="false" outlineLevel="0" collapsed="false">
      <c r="A50" s="47" t="n">
        <v>45633</v>
      </c>
      <c r="B50" s="48" t="s">
        <v>198</v>
      </c>
      <c r="C50" s="49" t="n">
        <v>640550501</v>
      </c>
      <c r="D50" s="49" t="n">
        <v>643646794</v>
      </c>
      <c r="E50" s="49" t="n">
        <v>636617339</v>
      </c>
      <c r="F50" s="49" t="n">
        <v>0</v>
      </c>
      <c r="G50" s="50" t="n">
        <f aca="false">IF($A50="","",IF(ISNUMBER($G49),$G49+1,1))</f>
        <v>46</v>
      </c>
      <c r="H50" s="51" t="n">
        <f aca="false">IF(OR(NOT(ISNUMBER($G50)),$G50&lt;2,NOT(ISNUMBER($C49)),$C49=0),"",$C50/$C49-1)</f>
        <v>0.00346692027631601</v>
      </c>
      <c r="I50" s="52" t="n">
        <f aca="false">IF(AND(ISNUMBER($G50),$G50&gt;=MA_SHORT),AVERAGE(INDEX($C$5:$C50,47-MA_SHORT):$C50),"")</f>
        <v>639878349.9</v>
      </c>
      <c r="J50" s="52" t="str">
        <f aca="false">IF(AND(ISNUMBER($G50),$G50&gt;=MA_MED),AVERAGE(INDEX($C$5:$C50,47-MA_MED):$C50),"")</f>
        <v/>
      </c>
      <c r="K50" s="52" t="str">
        <f aca="false">IF(AND(ISNUMBER($G50),$G50&gt;=MA_LONG2),AVERAGE(INDEX($C$5:$C50,47-MA_LONG2):$C50),"")</f>
        <v/>
      </c>
      <c r="L50" s="53" t="n">
        <f aca="false">IF(AND(ISNUMBER($G50),$G50&gt;=21),STDEV(INDEX($H$5:$H50,47-20):$H50)*SQRT(245),"")</f>
        <v>0.171943801826605</v>
      </c>
      <c r="M50" s="52" t="str">
        <f aca="false">IF(AND(ISNUMBER($G50),$G50&gt;=60),MAX(INDEX($D$5:$D50,47-60):$D50),"")</f>
        <v/>
      </c>
      <c r="N50" s="52" t="str">
        <f aca="false">IF(AND(ISNUMBER($G50),$G50&gt;=60),MIN(INDEX($E$5:$E50,47-60):$E50),"")</f>
        <v/>
      </c>
      <c r="O50" s="53" t="str">
        <f aca="false">IF(OR(NOT(ISNUMBER($C50)),NOT(ISNUMBER($M50)),$M50=0),"",$C50/$M50-1)</f>
        <v/>
      </c>
      <c r="P50" s="54"/>
      <c r="Q50" s="53" t="str">
        <f aca="false">IF(NOT(ISNUMBER($P50)),"",IFERROR(PERCENTRANK($P$5:$P$1204,$P50),""))</f>
        <v/>
      </c>
    </row>
    <row r="51" customFormat="false" ht="15" hidden="false" customHeight="false" outlineLevel="0" collapsed="false">
      <c r="A51" s="47" t="n">
        <v>45634</v>
      </c>
      <c r="B51" s="48" t="s">
        <v>199</v>
      </c>
      <c r="C51" s="49" t="n">
        <v>635586361</v>
      </c>
      <c r="D51" s="49" t="n">
        <v>636577327</v>
      </c>
      <c r="E51" s="49" t="n">
        <v>630263781</v>
      </c>
      <c r="F51" s="49" t="n">
        <v>0</v>
      </c>
      <c r="G51" s="50" t="n">
        <f aca="false">IF($A51="","",IF(ISNUMBER($G50),$G50+1,1))</f>
        <v>47</v>
      </c>
      <c r="H51" s="51" t="n">
        <f aca="false">IF(OR(NOT(ISNUMBER($G51)),$G51&lt;2,NOT(ISNUMBER($C50)),$C50=0),"",$C51/$C50-1)</f>
        <v>-0.00774980269666514</v>
      </c>
      <c r="I51" s="52" t="n">
        <f aca="false">IF(AND(ISNUMBER($G51),$G51&gt;=MA_SHORT),AVERAGE(INDEX($C$5:$C51,48-MA_SHORT):$C51),"")</f>
        <v>640024558.25</v>
      </c>
      <c r="J51" s="52" t="str">
        <f aca="false">IF(AND(ISNUMBER($G51),$G51&gt;=MA_MED),AVERAGE(INDEX($C$5:$C51,48-MA_MED):$C51),"")</f>
        <v/>
      </c>
      <c r="K51" s="52" t="str">
        <f aca="false">IF(AND(ISNUMBER($G51),$G51&gt;=MA_LONG2),AVERAGE(INDEX($C$5:$C51,48-MA_LONG2):$C51),"")</f>
        <v/>
      </c>
      <c r="L51" s="53" t="n">
        <f aca="false">IF(AND(ISNUMBER($G51),$G51&gt;=21),STDEV(INDEX($H$5:$H51,48-20):$H51)*SQRT(245),"")</f>
        <v>0.174345879569955</v>
      </c>
      <c r="M51" s="52" t="str">
        <f aca="false">IF(AND(ISNUMBER($G51),$G51&gt;=60),MAX(INDEX($D$5:$D51,48-60):$D51),"")</f>
        <v/>
      </c>
      <c r="N51" s="52" t="str">
        <f aca="false">IF(AND(ISNUMBER($G51),$G51&gt;=60),MIN(INDEX($E$5:$E51,48-60):$E51),"")</f>
        <v/>
      </c>
      <c r="O51" s="53" t="str">
        <f aca="false">IF(OR(NOT(ISNUMBER($C51)),NOT(ISNUMBER($M51)),$M51=0),"",$C51/$M51-1)</f>
        <v/>
      </c>
      <c r="P51" s="54"/>
      <c r="Q51" s="53" t="str">
        <f aca="false">IF(NOT(ISNUMBER($P51)),"",IFERROR(PERCENTRANK($P$5:$P$1204,$P51),""))</f>
        <v/>
      </c>
    </row>
    <row r="52" customFormat="false" ht="15" hidden="false" customHeight="false" outlineLevel="0" collapsed="false">
      <c r="A52" s="47" t="n">
        <v>45635</v>
      </c>
      <c r="B52" s="48" t="s">
        <v>200</v>
      </c>
      <c r="C52" s="49" t="n">
        <v>647818273</v>
      </c>
      <c r="D52" s="49" t="n">
        <v>648968743</v>
      </c>
      <c r="E52" s="49" t="n">
        <v>647042809</v>
      </c>
      <c r="F52" s="49" t="n">
        <v>0</v>
      </c>
      <c r="G52" s="50" t="n">
        <f aca="false">IF($A52="","",IF(ISNUMBER($G51),$G51+1,1))</f>
        <v>48</v>
      </c>
      <c r="H52" s="51" t="n">
        <f aca="false">IF(OR(NOT(ISNUMBER($G52)),$G52&lt;2,NOT(ISNUMBER($C51)),$C51=0),"",$C52/$C51-1)</f>
        <v>0.0192450825734443</v>
      </c>
      <c r="I52" s="52" t="n">
        <f aca="false">IF(AND(ISNUMBER($G52),$G52&gt;=MA_SHORT),AVERAGE(INDEX($C$5:$C52,49-MA_SHORT):$C52),"")</f>
        <v>640451692.9</v>
      </c>
      <c r="J52" s="52" t="str">
        <f aca="false">IF(AND(ISNUMBER($G52),$G52&gt;=MA_MED),AVERAGE(INDEX($C$5:$C52,49-MA_MED):$C52),"")</f>
        <v/>
      </c>
      <c r="K52" s="52" t="str">
        <f aca="false">IF(AND(ISNUMBER($G52),$G52&gt;=MA_LONG2),AVERAGE(INDEX($C$5:$C52,49-MA_LONG2):$C52),"")</f>
        <v/>
      </c>
      <c r="L52" s="53" t="n">
        <f aca="false">IF(AND(ISNUMBER($G52),$G52&gt;=21),STDEV(INDEX($H$5:$H52,49-20):$H52)*SQRT(245),"")</f>
        <v>0.183433426995866</v>
      </c>
      <c r="M52" s="52" t="str">
        <f aca="false">IF(AND(ISNUMBER($G52),$G52&gt;=60),MAX(INDEX($D$5:$D52,49-60):$D52),"")</f>
        <v/>
      </c>
      <c r="N52" s="52" t="str">
        <f aca="false">IF(AND(ISNUMBER($G52),$G52&gt;=60),MIN(INDEX($E$5:$E52,49-60):$E52),"")</f>
        <v/>
      </c>
      <c r="O52" s="53" t="str">
        <f aca="false">IF(OR(NOT(ISNUMBER($C52)),NOT(ISNUMBER($M52)),$M52=0),"",$C52/$M52-1)</f>
        <v/>
      </c>
      <c r="P52" s="54"/>
      <c r="Q52" s="53" t="str">
        <f aca="false">IF(NOT(ISNUMBER($P52)),"",IFERROR(PERCENTRANK($P$5:$P$1204,$P52),""))</f>
        <v/>
      </c>
    </row>
    <row r="53" customFormat="false" ht="15" hidden="false" customHeight="false" outlineLevel="0" collapsed="false">
      <c r="A53" s="47" t="n">
        <v>45636</v>
      </c>
      <c r="B53" s="48" t="s">
        <v>201</v>
      </c>
      <c r="C53" s="49" t="n">
        <v>651497320</v>
      </c>
      <c r="D53" s="49" t="n">
        <v>652146981</v>
      </c>
      <c r="E53" s="49" t="n">
        <v>648697176</v>
      </c>
      <c r="F53" s="49" t="n">
        <v>0</v>
      </c>
      <c r="G53" s="50" t="n">
        <f aca="false">IF($A53="","",IF(ISNUMBER($G52),$G52+1,1))</f>
        <v>49</v>
      </c>
      <c r="H53" s="51" t="n">
        <f aca="false">IF(OR(NOT(ISNUMBER($G53)),$G53&lt;2,NOT(ISNUMBER($C52)),$C52=0),"",$C53/$C52-1)</f>
        <v>0.00567913433957745</v>
      </c>
      <c r="I53" s="52" t="n">
        <f aca="false">IF(AND(ISNUMBER($G53),$G53&gt;=MA_SHORT),AVERAGE(INDEX($C$5:$C53,50-MA_SHORT):$C53),"")</f>
        <v>641287655.25</v>
      </c>
      <c r="J53" s="52" t="str">
        <f aca="false">IF(AND(ISNUMBER($G53),$G53&gt;=MA_MED),AVERAGE(INDEX($C$5:$C53,50-MA_MED):$C53),"")</f>
        <v/>
      </c>
      <c r="K53" s="52" t="str">
        <f aca="false">IF(AND(ISNUMBER($G53),$G53&gt;=MA_LONG2),AVERAGE(INDEX($C$5:$C53,50-MA_LONG2):$C53),"")</f>
        <v/>
      </c>
      <c r="L53" s="53" t="n">
        <f aca="false">IF(AND(ISNUMBER($G53),$G53&gt;=21),STDEV(INDEX($H$5:$H53,50-20):$H53)*SQRT(245),"")</f>
        <v>0.181884939399044</v>
      </c>
      <c r="M53" s="52" t="str">
        <f aca="false">IF(AND(ISNUMBER($G53),$G53&gt;=60),MAX(INDEX($D$5:$D53,50-60):$D53),"")</f>
        <v/>
      </c>
      <c r="N53" s="52" t="str">
        <f aca="false">IF(AND(ISNUMBER($G53),$G53&gt;=60),MIN(INDEX($E$5:$E53,50-60):$E53),"")</f>
        <v/>
      </c>
      <c r="O53" s="53" t="str">
        <f aca="false">IF(OR(NOT(ISNUMBER($C53)),NOT(ISNUMBER($M53)),$M53=0),"",$C53/$M53-1)</f>
        <v/>
      </c>
      <c r="P53" s="54"/>
      <c r="Q53" s="53" t="str">
        <f aca="false">IF(NOT(ISNUMBER($P53)),"",IFERROR(PERCENTRANK($P$5:$P$1204,$P53),""))</f>
        <v/>
      </c>
    </row>
    <row r="54" customFormat="false" ht="15" hidden="false" customHeight="false" outlineLevel="0" collapsed="false">
      <c r="A54" s="47" t="n">
        <v>45637</v>
      </c>
      <c r="B54" s="48" t="s">
        <v>202</v>
      </c>
      <c r="C54" s="49" t="n">
        <v>653543627</v>
      </c>
      <c r="D54" s="49" t="n">
        <v>656871816</v>
      </c>
      <c r="E54" s="49" t="n">
        <v>649477759</v>
      </c>
      <c r="F54" s="49" t="n">
        <v>0</v>
      </c>
      <c r="G54" s="50" t="n">
        <f aca="false">IF($A54="","",IF(ISNUMBER($G53),$G53+1,1))</f>
        <v>50</v>
      </c>
      <c r="H54" s="51" t="n">
        <f aca="false">IF(OR(NOT(ISNUMBER($G54)),$G54&lt;2,NOT(ISNUMBER($C53)),$C53=0),"",$C54/$C53-1)</f>
        <v>0.00314092926736831</v>
      </c>
      <c r="I54" s="52" t="n">
        <f aca="false">IF(AND(ISNUMBER($G54),$G54&gt;=MA_SHORT),AVERAGE(INDEX($C$5:$C54,51-MA_SHORT):$C54),"")</f>
        <v>642815543.75</v>
      </c>
      <c r="J54" s="52" t="n">
        <f aca="false">IF(AND(ISNUMBER($G54),$G54&gt;=MA_MED),AVERAGE(INDEX($C$5:$C54,51-MA_MED):$C54),"")</f>
        <v>634567016.42</v>
      </c>
      <c r="K54" s="52" t="str">
        <f aca="false">IF(AND(ISNUMBER($G54),$G54&gt;=MA_LONG2),AVERAGE(INDEX($C$5:$C54,51-MA_LONG2):$C54),"")</f>
        <v/>
      </c>
      <c r="L54" s="53" t="n">
        <f aca="false">IF(AND(ISNUMBER($G54),$G54&gt;=21),STDEV(INDEX($H$5:$H54,51-20):$H54)*SQRT(245),"")</f>
        <v>0.16640535386692</v>
      </c>
      <c r="M54" s="52" t="str">
        <f aca="false">IF(AND(ISNUMBER($G54),$G54&gt;=60),MAX(INDEX($D$5:$D54,51-60):$D54),"")</f>
        <v/>
      </c>
      <c r="N54" s="52" t="str">
        <f aca="false">IF(AND(ISNUMBER($G54),$G54&gt;=60),MIN(INDEX($E$5:$E54,51-60):$E54),"")</f>
        <v/>
      </c>
      <c r="O54" s="53" t="str">
        <f aca="false">IF(OR(NOT(ISNUMBER($C54)),NOT(ISNUMBER($M54)),$M54=0),"",$C54/$M54-1)</f>
        <v/>
      </c>
      <c r="P54" s="54"/>
      <c r="Q54" s="53" t="str">
        <f aca="false">IF(NOT(ISNUMBER($P54)),"",IFERROR(PERCENTRANK($P$5:$P$1204,$P54),""))</f>
        <v/>
      </c>
    </row>
    <row r="55" customFormat="false" ht="15" hidden="false" customHeight="false" outlineLevel="0" collapsed="false">
      <c r="A55" s="47" t="n">
        <v>45640</v>
      </c>
      <c r="B55" s="48" t="s">
        <v>203</v>
      </c>
      <c r="C55" s="49" t="n">
        <v>651655259</v>
      </c>
      <c r="D55" s="49" t="n">
        <v>652778193</v>
      </c>
      <c r="E55" s="49" t="n">
        <v>649415090</v>
      </c>
      <c r="F55" s="49" t="n">
        <v>0</v>
      </c>
      <c r="G55" s="50" t="n">
        <f aca="false">IF($A55="","",IF(ISNUMBER($G54),$G54+1,1))</f>
        <v>51</v>
      </c>
      <c r="H55" s="51" t="n">
        <f aca="false">IF(OR(NOT(ISNUMBER($G55)),$G55&lt;2,NOT(ISNUMBER($C54)),$C54=0),"",$C55/$C54-1)</f>
        <v>-0.00288942913982393</v>
      </c>
      <c r="I55" s="52" t="n">
        <f aca="false">IF(AND(ISNUMBER($G55),$G55&gt;=MA_SHORT),AVERAGE(INDEX($C$5:$C55,52-MA_SHORT):$C55),"")</f>
        <v>643695665.15</v>
      </c>
      <c r="J55" s="52" t="n">
        <f aca="false">IF(AND(ISNUMBER($G55),$G55&gt;=MA_MED),AVERAGE(INDEX($C$5:$C55,52-MA_MED):$C55),"")</f>
        <v>635063347.28</v>
      </c>
      <c r="K55" s="52" t="str">
        <f aca="false">IF(AND(ISNUMBER($G55),$G55&gt;=MA_LONG2),AVERAGE(INDEX($C$5:$C55,52-MA_LONG2):$C55),"")</f>
        <v/>
      </c>
      <c r="L55" s="53" t="n">
        <f aca="false">IF(AND(ISNUMBER($G55),$G55&gt;=21),STDEV(INDEX($H$5:$H55,52-20):$H55)*SQRT(245),"")</f>
        <v>0.157351752216762</v>
      </c>
      <c r="M55" s="52" t="str">
        <f aca="false">IF(AND(ISNUMBER($G55),$G55&gt;=60),MAX(INDEX($D$5:$D55,52-60):$D55),"")</f>
        <v/>
      </c>
      <c r="N55" s="52" t="str">
        <f aca="false">IF(AND(ISNUMBER($G55),$G55&gt;=60),MIN(INDEX($E$5:$E55,52-60):$E55),"")</f>
        <v/>
      </c>
      <c r="O55" s="53" t="str">
        <f aca="false">IF(OR(NOT(ISNUMBER($C55)),NOT(ISNUMBER($M55)),$M55=0),"",$C55/$M55-1)</f>
        <v/>
      </c>
      <c r="P55" s="54"/>
      <c r="Q55" s="53" t="str">
        <f aca="false">IF(NOT(ISNUMBER($P55)),"",IFERROR(PERCENTRANK($P$5:$P$1204,$P55),""))</f>
        <v/>
      </c>
    </row>
    <row r="56" customFormat="false" ht="15" hidden="false" customHeight="false" outlineLevel="0" collapsed="false">
      <c r="A56" s="47" t="n">
        <v>45641</v>
      </c>
      <c r="B56" s="48" t="s">
        <v>204</v>
      </c>
      <c r="C56" s="49" t="n">
        <v>650437689</v>
      </c>
      <c r="D56" s="49" t="n">
        <v>652268518</v>
      </c>
      <c r="E56" s="49" t="n">
        <v>650367101</v>
      </c>
      <c r="F56" s="49" t="n">
        <v>0</v>
      </c>
      <c r="G56" s="50" t="n">
        <f aca="false">IF($A56="","",IF(ISNUMBER($G55),$G55+1,1))</f>
        <v>52</v>
      </c>
      <c r="H56" s="51" t="n">
        <f aca="false">IF(OR(NOT(ISNUMBER($G56)),$G56&lt;2,NOT(ISNUMBER($C55)),$C55=0),"",$C56/$C55-1)</f>
        <v>-0.00186842656939257</v>
      </c>
      <c r="I56" s="52" t="n">
        <f aca="false">IF(AND(ISNUMBER($G56),$G56&gt;=MA_SHORT),AVERAGE(INDEX($C$5:$C56,53-MA_SHORT):$C56),"")</f>
        <v>644807191.1</v>
      </c>
      <c r="J56" s="52" t="n">
        <f aca="false">IF(AND(ISNUMBER($G56),$G56&gt;=MA_MED),AVERAGE(INDEX($C$5:$C56,53-MA_MED):$C56),"")</f>
        <v>635663667.4</v>
      </c>
      <c r="K56" s="52" t="str">
        <f aca="false">IF(AND(ISNUMBER($G56),$G56&gt;=MA_LONG2),AVERAGE(INDEX($C$5:$C56,53-MA_LONG2):$C56),"")</f>
        <v/>
      </c>
      <c r="L56" s="53" t="n">
        <f aca="false">IF(AND(ISNUMBER($G56),$G56&gt;=21),STDEV(INDEX($H$5:$H56,53-20):$H56)*SQRT(245),"")</f>
        <v>0.152986422470886</v>
      </c>
      <c r="M56" s="52" t="str">
        <f aca="false">IF(AND(ISNUMBER($G56),$G56&gt;=60),MAX(INDEX($D$5:$D56,53-60):$D56),"")</f>
        <v/>
      </c>
      <c r="N56" s="52" t="str">
        <f aca="false">IF(AND(ISNUMBER($G56),$G56&gt;=60),MIN(INDEX($E$5:$E56,53-60):$E56),"")</f>
        <v/>
      </c>
      <c r="O56" s="53" t="str">
        <f aca="false">IF(OR(NOT(ISNUMBER($C56)),NOT(ISNUMBER($M56)),$M56=0),"",$C56/$M56-1)</f>
        <v/>
      </c>
      <c r="P56" s="54"/>
      <c r="Q56" s="53" t="str">
        <f aca="false">IF(NOT(ISNUMBER($P56)),"",IFERROR(PERCENTRANK($P$5:$P$1204,$P56),""))</f>
        <v/>
      </c>
    </row>
    <row r="57" customFormat="false" ht="15" hidden="false" customHeight="false" outlineLevel="0" collapsed="false">
      <c r="A57" s="47" t="n">
        <v>45642</v>
      </c>
      <c r="B57" s="48" t="s">
        <v>205</v>
      </c>
      <c r="C57" s="49" t="n">
        <v>653735965</v>
      </c>
      <c r="D57" s="49" t="n">
        <v>655176814</v>
      </c>
      <c r="E57" s="49" t="n">
        <v>650775762</v>
      </c>
      <c r="F57" s="49" t="n">
        <v>0</v>
      </c>
      <c r="G57" s="50" t="n">
        <f aca="false">IF($A57="","",IF(ISNUMBER($G56),$G56+1,1))</f>
        <v>53</v>
      </c>
      <c r="H57" s="51" t="n">
        <f aca="false">IF(OR(NOT(ISNUMBER($G57)),$G57&lt;2,NOT(ISNUMBER($C56)),$C56=0),"",$C57/$C56-1)</f>
        <v>0.00507085621848091</v>
      </c>
      <c r="I57" s="52" t="n">
        <f aca="false">IF(AND(ISNUMBER($G57),$G57&gt;=MA_SHORT),AVERAGE(INDEX($C$5:$C57,54-MA_SHORT):$C57),"")</f>
        <v>645882296.3</v>
      </c>
      <c r="J57" s="52" t="n">
        <f aca="false">IF(AND(ISNUMBER($G57),$G57&gt;=MA_MED),AVERAGE(INDEX($C$5:$C57,54-MA_MED):$C57),"")</f>
        <v>636250037.56</v>
      </c>
      <c r="K57" s="52" t="str">
        <f aca="false">IF(AND(ISNUMBER($G57),$G57&gt;=MA_LONG2),AVERAGE(INDEX($C$5:$C57,54-MA_LONG2):$C57),"")</f>
        <v/>
      </c>
      <c r="L57" s="53" t="n">
        <f aca="false">IF(AND(ISNUMBER($G57),$G57&gt;=21),STDEV(INDEX($H$5:$H57,54-20):$H57)*SQRT(245),"")</f>
        <v>0.152535677179428</v>
      </c>
      <c r="M57" s="52" t="str">
        <f aca="false">IF(AND(ISNUMBER($G57),$G57&gt;=60),MAX(INDEX($D$5:$D57,54-60):$D57),"")</f>
        <v/>
      </c>
      <c r="N57" s="52" t="str">
        <f aca="false">IF(AND(ISNUMBER($G57),$G57&gt;=60),MIN(INDEX($E$5:$E57,54-60):$E57),"")</f>
        <v/>
      </c>
      <c r="O57" s="53" t="str">
        <f aca="false">IF(OR(NOT(ISNUMBER($C57)),NOT(ISNUMBER($M57)),$M57=0),"",$C57/$M57-1)</f>
        <v/>
      </c>
      <c r="P57" s="54"/>
      <c r="Q57" s="53" t="str">
        <f aca="false">IF(NOT(ISNUMBER($P57)),"",IFERROR(PERCENTRANK($P$5:$P$1204,$P57),""))</f>
        <v/>
      </c>
    </row>
    <row r="58" customFormat="false" ht="15" hidden="false" customHeight="false" outlineLevel="0" collapsed="false">
      <c r="A58" s="47" t="n">
        <v>45643</v>
      </c>
      <c r="B58" s="48" t="s">
        <v>206</v>
      </c>
      <c r="C58" s="49" t="n">
        <v>663611043</v>
      </c>
      <c r="D58" s="49" t="n">
        <v>664387308</v>
      </c>
      <c r="E58" s="49" t="n">
        <v>663358625</v>
      </c>
      <c r="F58" s="49" t="n">
        <v>0</v>
      </c>
      <c r="G58" s="50" t="n">
        <f aca="false">IF($A58="","",IF(ISNUMBER($G57),$G57+1,1))</f>
        <v>54</v>
      </c>
      <c r="H58" s="51" t="n">
        <f aca="false">IF(OR(NOT(ISNUMBER($G58)),$G58&lt;2,NOT(ISNUMBER($C57)),$C57=0),"",$C58/$C57-1)</f>
        <v>0.0151056061295327</v>
      </c>
      <c r="I58" s="52" t="n">
        <f aca="false">IF(AND(ISNUMBER($G58),$G58&gt;=MA_SHORT),AVERAGE(INDEX($C$5:$C58,55-MA_SHORT):$C58),"")</f>
        <v>647108991.8</v>
      </c>
      <c r="J58" s="52" t="n">
        <f aca="false">IF(AND(ISNUMBER($G58),$G58&gt;=MA_MED),AVERAGE(INDEX($C$5:$C58,55-MA_MED):$C58),"")</f>
        <v>637026474.94</v>
      </c>
      <c r="K58" s="52" t="str">
        <f aca="false">IF(AND(ISNUMBER($G58),$G58&gt;=MA_LONG2),AVERAGE(INDEX($C$5:$C58,55-MA_LONG2):$C58),"")</f>
        <v/>
      </c>
      <c r="L58" s="53" t="n">
        <f aca="false">IF(AND(ISNUMBER($G58),$G58&gt;=21),STDEV(INDEX($H$5:$H58,55-20):$H58)*SQRT(245),"")</f>
        <v>0.156515538748923</v>
      </c>
      <c r="M58" s="52" t="str">
        <f aca="false">IF(AND(ISNUMBER($G58),$G58&gt;=60),MAX(INDEX($D$5:$D58,55-60):$D58),"")</f>
        <v/>
      </c>
      <c r="N58" s="52" t="str">
        <f aca="false">IF(AND(ISNUMBER($G58),$G58&gt;=60),MIN(INDEX($E$5:$E58,55-60):$E58),"")</f>
        <v/>
      </c>
      <c r="O58" s="53" t="str">
        <f aca="false">IF(OR(NOT(ISNUMBER($C58)),NOT(ISNUMBER($M58)),$M58=0),"",$C58/$M58-1)</f>
        <v/>
      </c>
      <c r="P58" s="54"/>
      <c r="Q58" s="53" t="str">
        <f aca="false">IF(NOT(ISNUMBER($P58)),"",IFERROR(PERCENTRANK($P$5:$P$1204,$P58),""))</f>
        <v/>
      </c>
    </row>
    <row r="59" customFormat="false" ht="15" hidden="false" customHeight="false" outlineLevel="0" collapsed="false">
      <c r="A59" s="47" t="n">
        <v>45644</v>
      </c>
      <c r="B59" s="48" t="s">
        <v>207</v>
      </c>
      <c r="C59" s="49" t="n">
        <v>659936183</v>
      </c>
      <c r="D59" s="49" t="n">
        <v>665146346</v>
      </c>
      <c r="E59" s="49" t="n">
        <v>659227586</v>
      </c>
      <c r="F59" s="49" t="n">
        <v>0</v>
      </c>
      <c r="G59" s="50" t="n">
        <f aca="false">IF($A59="","",IF(ISNUMBER($G58),$G58+1,1))</f>
        <v>55</v>
      </c>
      <c r="H59" s="51" t="n">
        <f aca="false">IF(OR(NOT(ISNUMBER($G59)),$G59&lt;2,NOT(ISNUMBER($C58)),$C58=0),"",$C59/$C58-1)</f>
        <v>-0.0055376715604174</v>
      </c>
      <c r="I59" s="52" t="n">
        <f aca="false">IF(AND(ISNUMBER($G59),$G59&gt;=MA_SHORT),AVERAGE(INDEX($C$5:$C59,56-MA_SHORT):$C59),"")</f>
        <v>648052498.05</v>
      </c>
      <c r="J59" s="52" t="n">
        <f aca="false">IF(AND(ISNUMBER($G59),$G59&gt;=MA_MED),AVERAGE(INDEX($C$5:$C59,56-MA_MED):$C59),"")</f>
        <v>637771075.7</v>
      </c>
      <c r="K59" s="52" t="str">
        <f aca="false">IF(AND(ISNUMBER($G59),$G59&gt;=MA_LONG2),AVERAGE(INDEX($C$5:$C59,56-MA_LONG2):$C59),"")</f>
        <v/>
      </c>
      <c r="L59" s="53" t="n">
        <f aca="false">IF(AND(ISNUMBER($G59),$G59&gt;=21),STDEV(INDEX($H$5:$H59,56-20):$H59)*SQRT(245),"")</f>
        <v>0.158589345149665</v>
      </c>
      <c r="M59" s="52" t="str">
        <f aca="false">IF(AND(ISNUMBER($G59),$G59&gt;=60),MAX(INDEX($D$5:$D59,56-60):$D59),"")</f>
        <v/>
      </c>
      <c r="N59" s="52" t="str">
        <f aca="false">IF(AND(ISNUMBER($G59),$G59&gt;=60),MIN(INDEX($E$5:$E59,56-60):$E59),"")</f>
        <v/>
      </c>
      <c r="O59" s="53" t="str">
        <f aca="false">IF(OR(NOT(ISNUMBER($C59)),NOT(ISNUMBER($M59)),$M59=0),"",$C59/$M59-1)</f>
        <v/>
      </c>
      <c r="P59" s="54"/>
      <c r="Q59" s="53" t="str">
        <f aca="false">IF(NOT(ISNUMBER($P59)),"",IFERROR(PERCENTRANK($P$5:$P$1204,$P59),""))</f>
        <v/>
      </c>
    </row>
    <row r="60" customFormat="false" ht="15" hidden="false" customHeight="false" outlineLevel="0" collapsed="false">
      <c r="A60" s="47" t="n">
        <v>45647</v>
      </c>
      <c r="B60" s="48" t="s">
        <v>208</v>
      </c>
      <c r="C60" s="49" t="n">
        <v>645532126</v>
      </c>
      <c r="D60" s="49" t="n">
        <v>648411846</v>
      </c>
      <c r="E60" s="49" t="n">
        <v>645390467</v>
      </c>
      <c r="F60" s="49" t="n">
        <v>0</v>
      </c>
      <c r="G60" s="50" t="n">
        <f aca="false">IF($A60="","",IF(ISNUMBER($G59),$G59+1,1))</f>
        <v>56</v>
      </c>
      <c r="H60" s="51" t="n">
        <f aca="false">IF(OR(NOT(ISNUMBER($G60)),$G60&lt;2,NOT(ISNUMBER($C59)),$C59=0),"",$C60/$C59-1)</f>
        <v>-0.0218264392392014</v>
      </c>
      <c r="I60" s="52" t="n">
        <f aca="false">IF(AND(ISNUMBER($G60),$G60&gt;=MA_SHORT),AVERAGE(INDEX($C$5:$C60,57-MA_SHORT):$C60),"")</f>
        <v>647902605.4</v>
      </c>
      <c r="J60" s="52" t="n">
        <f aca="false">IF(AND(ISNUMBER($G60),$G60&gt;=MA_MED),AVERAGE(INDEX($C$5:$C60,57-MA_MED):$C60),"")</f>
        <v>638329677.62</v>
      </c>
      <c r="K60" s="52" t="str">
        <f aca="false">IF(AND(ISNUMBER($G60),$G60&gt;=MA_LONG2),AVERAGE(INDEX($C$5:$C60,57-MA_LONG2):$C60),"")</f>
        <v/>
      </c>
      <c r="L60" s="53" t="n">
        <f aca="false">IF(AND(ISNUMBER($G60),$G60&gt;=21),STDEV(INDEX($H$5:$H60,57-20):$H60)*SQRT(245),"")</f>
        <v>0.173546442486682</v>
      </c>
      <c r="M60" s="52" t="str">
        <f aca="false">IF(AND(ISNUMBER($G60),$G60&gt;=60),MAX(INDEX($D$5:$D60,57-60):$D60),"")</f>
        <v/>
      </c>
      <c r="N60" s="52" t="str">
        <f aca="false">IF(AND(ISNUMBER($G60),$G60&gt;=60),MIN(INDEX($E$5:$E60,57-60):$E60),"")</f>
        <v/>
      </c>
      <c r="O60" s="53" t="str">
        <f aca="false">IF(OR(NOT(ISNUMBER($C60)),NOT(ISNUMBER($M60)),$M60=0),"",$C60/$M60-1)</f>
        <v/>
      </c>
      <c r="P60" s="54"/>
      <c r="Q60" s="53" t="str">
        <f aca="false">IF(NOT(ISNUMBER($P60)),"",IFERROR(PERCENTRANK($P$5:$P$1204,$P60),""))</f>
        <v/>
      </c>
    </row>
    <row r="61" customFormat="false" ht="15" hidden="false" customHeight="false" outlineLevel="0" collapsed="false">
      <c r="A61" s="47" t="n">
        <v>45648</v>
      </c>
      <c r="B61" s="48" t="s">
        <v>209</v>
      </c>
      <c r="C61" s="49" t="n">
        <v>659252708</v>
      </c>
      <c r="D61" s="49" t="n">
        <v>660993160</v>
      </c>
      <c r="E61" s="49" t="n">
        <v>657372018</v>
      </c>
      <c r="F61" s="49" t="n">
        <v>0</v>
      </c>
      <c r="G61" s="50" t="n">
        <f aca="false">IF($A61="","",IF(ISNUMBER($G60),$G60+1,1))</f>
        <v>57</v>
      </c>
      <c r="H61" s="51" t="n">
        <f aca="false">IF(OR(NOT(ISNUMBER($G61)),$G61&lt;2,NOT(ISNUMBER($C60)),$C60=0),"",$C61/$C60-1)</f>
        <v>0.021254685006955</v>
      </c>
      <c r="I61" s="52" t="n">
        <f aca="false">IF(AND(ISNUMBER($G61),$G61&gt;=MA_SHORT),AVERAGE(INDEX($C$5:$C61,58-MA_SHORT):$C61),"")</f>
        <v>648062503.6</v>
      </c>
      <c r="J61" s="52" t="n">
        <f aca="false">IF(AND(ISNUMBER($G61),$G61&gt;=MA_MED),AVERAGE(INDEX($C$5:$C61,58-MA_MED):$C61),"")</f>
        <v>638888530.16</v>
      </c>
      <c r="K61" s="52" t="str">
        <f aca="false">IF(AND(ISNUMBER($G61),$G61&gt;=MA_LONG2),AVERAGE(INDEX($C$5:$C61,58-MA_LONG2):$C61),"")</f>
        <v/>
      </c>
      <c r="L61" s="53" t="n">
        <f aca="false">IF(AND(ISNUMBER($G61),$G61&gt;=21),STDEV(INDEX($H$5:$H61,58-20):$H61)*SQRT(245),"")</f>
        <v>0.184907509610632</v>
      </c>
      <c r="M61" s="52" t="str">
        <f aca="false">IF(AND(ISNUMBER($G61),$G61&gt;=60),MAX(INDEX($D$5:$D61,58-60):$D61),"")</f>
        <v/>
      </c>
      <c r="N61" s="52" t="str">
        <f aca="false">IF(AND(ISNUMBER($G61),$G61&gt;=60),MIN(INDEX($E$5:$E61,58-60):$E61),"")</f>
        <v/>
      </c>
      <c r="O61" s="53" t="str">
        <f aca="false">IF(OR(NOT(ISNUMBER($C61)),NOT(ISNUMBER($M61)),$M61=0),"",$C61/$M61-1)</f>
        <v/>
      </c>
      <c r="P61" s="54"/>
      <c r="Q61" s="53" t="str">
        <f aca="false">IF(NOT(ISNUMBER($P61)),"",IFERROR(PERCENTRANK($P$5:$P$1204,$P61),""))</f>
        <v/>
      </c>
    </row>
    <row r="62" customFormat="false" ht="15" hidden="false" customHeight="false" outlineLevel="0" collapsed="false">
      <c r="A62" s="47" t="n">
        <v>45649</v>
      </c>
      <c r="B62" s="48" t="s">
        <v>210</v>
      </c>
      <c r="C62" s="49" t="n">
        <v>671897558</v>
      </c>
      <c r="D62" s="49" t="n">
        <v>671973358</v>
      </c>
      <c r="E62" s="49" t="n">
        <v>667746568</v>
      </c>
      <c r="F62" s="49" t="n">
        <v>0</v>
      </c>
      <c r="G62" s="50" t="n">
        <f aca="false">IF($A62="","",IF(ISNUMBER($G61),$G61+1,1))</f>
        <v>58</v>
      </c>
      <c r="H62" s="51" t="n">
        <f aca="false">IF(OR(NOT(ISNUMBER($G62)),$G62&lt;2,NOT(ISNUMBER($C61)),$C61=0),"",$C62/$C61-1)</f>
        <v>0.019180581052691</v>
      </c>
      <c r="I62" s="52" t="n">
        <f aca="false">IF(AND(ISNUMBER($G62),$G62&gt;=MA_SHORT),AVERAGE(INDEX($C$5:$C62,59-MA_SHORT):$C62),"")</f>
        <v>649548282.15</v>
      </c>
      <c r="J62" s="52" t="n">
        <f aca="false">IF(AND(ISNUMBER($G62),$G62&gt;=MA_MED),AVERAGE(INDEX($C$5:$C62,59-MA_MED):$C62),"")</f>
        <v>639849434.52</v>
      </c>
      <c r="K62" s="52" t="str">
        <f aca="false">IF(AND(ISNUMBER($G62),$G62&gt;=MA_LONG2),AVERAGE(INDEX($C$5:$C62,59-MA_LONG2):$C62),"")</f>
        <v/>
      </c>
      <c r="L62" s="53" t="n">
        <f aca="false">IF(AND(ISNUMBER($G62),$G62&gt;=21),STDEV(INDEX($H$5:$H62,59-20):$H62)*SQRT(245),"")</f>
        <v>0.178321537752692</v>
      </c>
      <c r="M62" s="52" t="str">
        <f aca="false">IF(AND(ISNUMBER($G62),$G62&gt;=60),MAX(INDEX($D$5:$D62,59-60):$D62),"")</f>
        <v/>
      </c>
      <c r="N62" s="52" t="str">
        <f aca="false">IF(AND(ISNUMBER($G62),$G62&gt;=60),MIN(INDEX($E$5:$E62,59-60):$E62),"")</f>
        <v/>
      </c>
      <c r="O62" s="53" t="str">
        <f aca="false">IF(OR(NOT(ISNUMBER($C62)),NOT(ISNUMBER($M62)),$M62=0),"",$C62/$M62-1)</f>
        <v/>
      </c>
      <c r="P62" s="54"/>
      <c r="Q62" s="53" t="str">
        <f aca="false">IF(NOT(ISNUMBER($P62)),"",IFERROR(PERCENTRANK($P$5:$P$1204,$P62),""))</f>
        <v/>
      </c>
    </row>
    <row r="63" customFormat="false" ht="15" hidden="false" customHeight="false" outlineLevel="0" collapsed="false">
      <c r="A63" s="47" t="n">
        <v>45650</v>
      </c>
      <c r="B63" s="48" t="s">
        <v>211</v>
      </c>
      <c r="C63" s="49" t="n">
        <v>671507580</v>
      </c>
      <c r="D63" s="49" t="n">
        <v>672231620</v>
      </c>
      <c r="E63" s="49" t="n">
        <v>669737211</v>
      </c>
      <c r="F63" s="49" t="n">
        <v>0</v>
      </c>
      <c r="G63" s="50" t="n">
        <f aca="false">IF($A63="","",IF(ISNUMBER($G62),$G62+1,1))</f>
        <v>59</v>
      </c>
      <c r="H63" s="51" t="n">
        <f aca="false">IF(OR(NOT(ISNUMBER($G63)),$G63&lt;2,NOT(ISNUMBER($C62)),$C62=0),"",$C63/$C62-1)</f>
        <v>-0.000580412884905845</v>
      </c>
      <c r="I63" s="52" t="n">
        <f aca="false">IF(AND(ISNUMBER($G63),$G63&gt;=MA_SHORT),AVERAGE(INDEX($C$5:$C63,60-MA_SHORT):$C63),"")</f>
        <v>651000338.1</v>
      </c>
      <c r="J63" s="52" t="n">
        <f aca="false">IF(AND(ISNUMBER($G63),$G63&gt;=MA_MED),AVERAGE(INDEX($C$5:$C63,60-MA_MED):$C63),"")</f>
        <v>640871777.02</v>
      </c>
      <c r="K63" s="52" t="str">
        <f aca="false">IF(AND(ISNUMBER($G63),$G63&gt;=MA_LONG2),AVERAGE(INDEX($C$5:$C63,60-MA_LONG2):$C63),"")</f>
        <v/>
      </c>
      <c r="L63" s="53" t="n">
        <f aca="false">IF(AND(ISNUMBER($G63),$G63&gt;=21),STDEV(INDEX($H$5:$H63,60-20):$H63)*SQRT(245),"")</f>
        <v>0.178496760712309</v>
      </c>
      <c r="M63" s="52" t="str">
        <f aca="false">IF(AND(ISNUMBER($G63),$G63&gt;=60),MAX(INDEX($D$5:$D63,60-60):$D63),"")</f>
        <v/>
      </c>
      <c r="N63" s="52" t="str">
        <f aca="false">IF(AND(ISNUMBER($G63),$G63&gt;=60),MIN(INDEX($E$5:$E63,60-60):$E63),"")</f>
        <v/>
      </c>
      <c r="O63" s="53" t="str">
        <f aca="false">IF(OR(NOT(ISNUMBER($C63)),NOT(ISNUMBER($M63)),$M63=0),"",$C63/$M63-1)</f>
        <v/>
      </c>
      <c r="P63" s="54"/>
      <c r="Q63" s="53" t="str">
        <f aca="false">IF(NOT(ISNUMBER($P63)),"",IFERROR(PERCENTRANK($P$5:$P$1204,$P63),""))</f>
        <v/>
      </c>
    </row>
    <row r="64" customFormat="false" ht="15" hidden="false" customHeight="false" outlineLevel="0" collapsed="false">
      <c r="A64" s="47" t="n">
        <v>45651</v>
      </c>
      <c r="B64" s="48" t="s">
        <v>212</v>
      </c>
      <c r="C64" s="49" t="n">
        <v>676940965</v>
      </c>
      <c r="D64" s="49" t="n">
        <v>678779003</v>
      </c>
      <c r="E64" s="49" t="n">
        <v>675618816</v>
      </c>
      <c r="F64" s="49" t="n">
        <v>0</v>
      </c>
      <c r="G64" s="50" t="n">
        <f aca="false">IF($A64="","",IF(ISNUMBER($G63),$G63+1,1))</f>
        <v>60</v>
      </c>
      <c r="H64" s="51" t="n">
        <f aca="false">IF(OR(NOT(ISNUMBER($G64)),$G64&lt;2,NOT(ISNUMBER($C63)),$C63=0),"",$C64/$C63-1)</f>
        <v>0.0080913234069524</v>
      </c>
      <c r="I64" s="52" t="n">
        <f aca="false">IF(AND(ISNUMBER($G64),$G64&gt;=MA_SHORT),AVERAGE(INDEX($C$5:$C64,61-MA_SHORT):$C64),"")</f>
        <v>652803286.4</v>
      </c>
      <c r="J64" s="52" t="n">
        <f aca="false">IF(AND(ISNUMBER($G64),$G64&gt;=MA_MED),AVERAGE(INDEX($C$5:$C64,61-MA_MED):$C64),"")</f>
        <v>642037588.92</v>
      </c>
      <c r="K64" s="52" t="str">
        <f aca="false">IF(AND(ISNUMBER($G64),$G64&gt;=MA_LONG2),AVERAGE(INDEX($C$5:$C64,61-MA_LONG2):$C64),"")</f>
        <v/>
      </c>
      <c r="L64" s="53" t="n">
        <f aca="false">IF(AND(ISNUMBER($G64),$G64&gt;=21),STDEV(INDEX($H$5:$H64,61-20):$H64)*SQRT(245),"")</f>
        <v>0.178705599408181</v>
      </c>
      <c r="M64" s="52" t="n">
        <f aca="false">IF(AND(ISNUMBER($G64),$G64&gt;=60),MAX(INDEX($D$5:$D64,61-60):$D64),"")</f>
        <v>678779003</v>
      </c>
      <c r="N64" s="52" t="n">
        <f aca="false">IF(AND(ISNUMBER($G64),$G64&gt;=60),MIN(INDEX($E$5:$E64,61-60):$E64),"")</f>
        <v>603550631</v>
      </c>
      <c r="O64" s="53" t="n">
        <f aca="false">IF(OR(NOT(ISNUMBER($C64)),NOT(ISNUMBER($M64)),$M64=0),"",$C64/$M64-1)</f>
        <v>-0.00270785924708394</v>
      </c>
      <c r="P64" s="54"/>
      <c r="Q64" s="53" t="str">
        <f aca="false">IF(NOT(ISNUMBER($P64)),"",IFERROR(PERCENTRANK($P$5:$P$1204,$P64),""))</f>
        <v/>
      </c>
    </row>
    <row r="65" customFormat="false" ht="15" hidden="false" customHeight="false" outlineLevel="0" collapsed="false">
      <c r="A65" s="47" t="n">
        <v>45654</v>
      </c>
      <c r="B65" s="48" t="s">
        <v>213</v>
      </c>
      <c r="C65" s="49" t="n">
        <v>666441553</v>
      </c>
      <c r="D65" s="49" t="n">
        <v>666507554</v>
      </c>
      <c r="E65" s="49" t="n">
        <v>665290861</v>
      </c>
      <c r="F65" s="49" t="n">
        <v>0</v>
      </c>
      <c r="G65" s="50" t="n">
        <f aca="false">IF($A65="","",IF(ISNUMBER($G64),$G64+1,1))</f>
        <v>61</v>
      </c>
      <c r="H65" s="51" t="n">
        <f aca="false">IF(OR(NOT(ISNUMBER($G65)),$G65&lt;2,NOT(ISNUMBER($C64)),$C64=0),"",$C65/$C64-1)</f>
        <v>-0.0155100851371877</v>
      </c>
      <c r="I65" s="52" t="n">
        <f aca="false">IF(AND(ISNUMBER($G65),$G65&gt;=MA_SHORT),AVERAGE(INDEX($C$5:$C65,62-MA_SHORT):$C65),"")</f>
        <v>653661763.35</v>
      </c>
      <c r="J65" s="52" t="n">
        <f aca="false">IF(AND(ISNUMBER($G65),$G65&gt;=MA_MED),AVERAGE(INDEX($C$5:$C65,62-MA_MED):$C65),"")</f>
        <v>642721206.74</v>
      </c>
      <c r="K65" s="52" t="str">
        <f aca="false">IF(AND(ISNUMBER($G65),$G65&gt;=MA_LONG2),AVERAGE(INDEX($C$5:$C65,62-MA_LONG2):$C65),"")</f>
        <v/>
      </c>
      <c r="L65" s="53" t="n">
        <f aca="false">IF(AND(ISNUMBER($G65),$G65&gt;=21),STDEV(INDEX($H$5:$H65,62-20):$H65)*SQRT(245),"")</f>
        <v>0.18538471556341</v>
      </c>
      <c r="M65" s="52" t="n">
        <f aca="false">IF(AND(ISNUMBER($G65),$G65&gt;=60),MAX(INDEX($D$5:$D65,62-60):$D65),"")</f>
        <v>678779003</v>
      </c>
      <c r="N65" s="52" t="n">
        <f aca="false">IF(AND(ISNUMBER($G65),$G65&gt;=60),MIN(INDEX($E$5:$E65,62-60):$E65),"")</f>
        <v>603550631</v>
      </c>
      <c r="O65" s="53" t="n">
        <f aca="false">IF(OR(NOT(ISNUMBER($C65)),NOT(ISNUMBER($M65)),$M65=0),"",$C65/$M65-1)</f>
        <v>-0.0181759452568099</v>
      </c>
      <c r="P65" s="54"/>
      <c r="Q65" s="53" t="str">
        <f aca="false">IF(NOT(ISNUMBER($P65)),"",IFERROR(PERCENTRANK($P$5:$P$1204,$P65),""))</f>
        <v/>
      </c>
    </row>
    <row r="66" customFormat="false" ht="15" hidden="false" customHeight="false" outlineLevel="0" collapsed="false">
      <c r="A66" s="47" t="n">
        <v>45655</v>
      </c>
      <c r="B66" s="48" t="s">
        <v>214</v>
      </c>
      <c r="C66" s="49" t="n">
        <v>665779743</v>
      </c>
      <c r="D66" s="49" t="n">
        <v>668332718</v>
      </c>
      <c r="E66" s="49" t="n">
        <v>663895833</v>
      </c>
      <c r="F66" s="49" t="n">
        <v>0</v>
      </c>
      <c r="G66" s="50" t="n">
        <f aca="false">IF($A66="","",IF(ISNUMBER($G65),$G65+1,1))</f>
        <v>62</v>
      </c>
      <c r="H66" s="51" t="n">
        <f aca="false">IF(OR(NOT(ISNUMBER($G66)),$G66&lt;2,NOT(ISNUMBER($C65)),$C65=0),"",$C66/$C65-1)</f>
        <v>-0.000993050323799372</v>
      </c>
      <c r="I66" s="52" t="n">
        <f aca="false">IF(AND(ISNUMBER($G66),$G66&gt;=MA_SHORT),AVERAGE(INDEX($C$5:$C66,63-MA_SHORT):$C66),"")</f>
        <v>654845920.05</v>
      </c>
      <c r="J66" s="52" t="n">
        <f aca="false">IF(AND(ISNUMBER($G66),$G66&gt;=MA_MED),AVERAGE(INDEX($C$5:$C66,63-MA_MED):$C66),"")</f>
        <v>643319738.42</v>
      </c>
      <c r="K66" s="52" t="str">
        <f aca="false">IF(AND(ISNUMBER($G66),$G66&gt;=MA_LONG2),AVERAGE(INDEX($C$5:$C66,63-MA_LONG2):$C66),"")</f>
        <v/>
      </c>
      <c r="L66" s="53" t="n">
        <f aca="false">IF(AND(ISNUMBER($G66),$G66&gt;=21),STDEV(INDEX($H$6:$H66,62-20):$H66)*SQRT(245),"")</f>
        <v>0.179955748406427</v>
      </c>
      <c r="M66" s="52" t="n">
        <f aca="false">IF(AND(ISNUMBER($G66),$G66&gt;=60),MAX(INDEX($D$5:$D66,63-60):$D66),"")</f>
        <v>678779003</v>
      </c>
      <c r="N66" s="52" t="n">
        <f aca="false">IF(AND(ISNUMBER($G66),$G66&gt;=60),MIN(INDEX($E$5:$E66,63-60):$E66),"")</f>
        <v>603550631</v>
      </c>
      <c r="O66" s="53" t="n">
        <f aca="false">IF(OR(NOT(ISNUMBER($C66)),NOT(ISNUMBER($M66)),$M66=0),"",$C66/$M66-1)</f>
        <v>-0.0191509459522866</v>
      </c>
      <c r="P66" s="54"/>
      <c r="Q66" s="53" t="str">
        <f aca="false">IF(NOT(ISNUMBER($P66)),"",IFERROR(PERCENTRANK($P$5:$P$1204,$P66),""))</f>
        <v/>
      </c>
    </row>
    <row r="67" customFormat="false" ht="15" hidden="false" customHeight="false" outlineLevel="0" collapsed="false">
      <c r="A67" s="47" t="n">
        <v>45656</v>
      </c>
      <c r="B67" s="48" t="s">
        <v>215</v>
      </c>
      <c r="C67" s="49" t="n">
        <v>664189911</v>
      </c>
      <c r="D67" s="49" t="n">
        <v>671100187</v>
      </c>
      <c r="E67" s="49" t="n">
        <v>662669644</v>
      </c>
      <c r="F67" s="49" t="n">
        <v>0</v>
      </c>
      <c r="G67" s="50" t="n">
        <f aca="false">IF($A67="","",IF(ISNUMBER($G66),$G66+1,1))</f>
        <v>63</v>
      </c>
      <c r="H67" s="51" t="n">
        <f aca="false">IF(OR(NOT(ISNUMBER($G67)),$G67&lt;2,NOT(ISNUMBER($C66)),$C66=0),"",$C67/$C66-1)</f>
        <v>-0.00238792486060968</v>
      </c>
      <c r="I67" s="52" t="n">
        <f aca="false">IF(AND(ISNUMBER($G67),$G67&gt;=MA_SHORT),AVERAGE(INDEX($C$5:$C67,64-MA_SHORT):$C67),"")</f>
        <v>655712390.45</v>
      </c>
      <c r="J67" s="52" t="n">
        <f aca="false">IF(AND(ISNUMBER($G67),$G67&gt;=MA_MED),AVERAGE(INDEX($C$5:$C67,64-MA_MED):$C67),"")</f>
        <v>643857466.12</v>
      </c>
      <c r="K67" s="52" t="str">
        <f aca="false">IF(AND(ISNUMBER($G67),$G67&gt;=MA_LONG2),AVERAGE(INDEX($C$5:$C67,64-MA_LONG2):$C67),"")</f>
        <v/>
      </c>
      <c r="L67" s="53" t="n">
        <f aca="false">IF(AND(ISNUMBER($G67),$G67&gt;=21),STDEV(INDEX($H$7:$H67,62-20):$H67)*SQRT(245),"")</f>
        <v>0.179332397783899</v>
      </c>
      <c r="M67" s="52" t="n">
        <f aca="false">IF(AND(ISNUMBER($G67),$G67&gt;=60),MAX(INDEX($D$5:$D67,64-60):$D67),"")</f>
        <v>678779003</v>
      </c>
      <c r="N67" s="52" t="n">
        <f aca="false">IF(AND(ISNUMBER($G67),$G67&gt;=60),MIN(INDEX($E$5:$E67,64-60):$E67),"")</f>
        <v>603550631</v>
      </c>
      <c r="O67" s="53" t="n">
        <f aca="false">IF(OR(NOT(ISNUMBER($C67)),NOT(ISNUMBER($M67)),$M67=0),"",$C67/$M67-1)</f>
        <v>-0.0214931397929526</v>
      </c>
      <c r="P67" s="54"/>
      <c r="Q67" s="53" t="str">
        <f aca="false">IF(NOT(ISNUMBER($P67)),"",IFERROR(PERCENTRANK($P$5:$P$1204,$P67),""))</f>
        <v/>
      </c>
    </row>
    <row r="68" customFormat="false" ht="15" hidden="false" customHeight="false" outlineLevel="0" collapsed="false">
      <c r="A68" s="47" t="n">
        <v>45657</v>
      </c>
      <c r="B68" s="48" t="s">
        <v>216</v>
      </c>
      <c r="C68" s="49" t="n">
        <v>677230962</v>
      </c>
      <c r="D68" s="49" t="n">
        <v>680659899</v>
      </c>
      <c r="E68" s="49" t="n">
        <v>676670484</v>
      </c>
      <c r="F68" s="49" t="n">
        <v>0</v>
      </c>
      <c r="G68" s="50" t="n">
        <f aca="false">IF($A68="","",IF(ISNUMBER($G67),$G67+1,1))</f>
        <v>64</v>
      </c>
      <c r="H68" s="51" t="n">
        <f aca="false">IF(OR(NOT(ISNUMBER($G68)),$G68&lt;2,NOT(ISNUMBER($C67)),$C67=0),"",$C68/$C67-1)</f>
        <v>0.0196345213680911</v>
      </c>
      <c r="I68" s="52" t="n">
        <f aca="false">IF(AND(ISNUMBER($G68),$G68&gt;=MA_SHORT),AVERAGE(INDEX($C$5:$C68,65-MA_SHORT):$C68),"")</f>
        <v>657274138.15</v>
      </c>
      <c r="J68" s="52" t="n">
        <f aca="false">IF(AND(ISNUMBER($G68),$G68&gt;=MA_MED),AVERAGE(INDEX($C$5:$C68,65-MA_MED):$C68),"")</f>
        <v>644735042.74</v>
      </c>
      <c r="K68" s="52" t="str">
        <f aca="false">IF(AND(ISNUMBER($G68),$G68&gt;=MA_LONG2),AVERAGE(INDEX($C$5:$C68,65-MA_LONG2):$C68),"")</f>
        <v/>
      </c>
      <c r="L68" s="53" t="n">
        <f aca="false">IF(AND(ISNUMBER($G68),$G68&gt;=21),STDEV(INDEX($H$8:$H68,62-20):$H68)*SQRT(245),"")</f>
        <v>0.189935757848834</v>
      </c>
      <c r="M68" s="52" t="n">
        <f aca="false">IF(AND(ISNUMBER($G68),$G68&gt;=60),MAX(INDEX($D$5:$D68,65-60):$D68),"")</f>
        <v>680659899</v>
      </c>
      <c r="N68" s="52" t="n">
        <f aca="false">IF(AND(ISNUMBER($G68),$G68&gt;=60),MIN(INDEX($E$5:$E68,65-60):$E68),"")</f>
        <v>603550631</v>
      </c>
      <c r="O68" s="53" t="n">
        <f aca="false">IF(OR(NOT(ISNUMBER($C68)),NOT(ISNUMBER($M68)),$M68=0),"",$C68/$M68-1)</f>
        <v>-0.00503766566098229</v>
      </c>
      <c r="P68" s="54"/>
      <c r="Q68" s="53" t="str">
        <f aca="false">IF(NOT(ISNUMBER($P68)),"",IFERROR(PERCENTRANK($P$5:$P$1204,$P68),""))</f>
        <v/>
      </c>
    </row>
    <row r="69" customFormat="false" ht="15" hidden="false" customHeight="false" outlineLevel="0" collapsed="false">
      <c r="A69" s="47" t="n">
        <v>45658</v>
      </c>
      <c r="B69" s="48" t="s">
        <v>217</v>
      </c>
      <c r="C69" s="49" t="n">
        <v>692727368</v>
      </c>
      <c r="D69" s="49" t="n">
        <v>694710473</v>
      </c>
      <c r="E69" s="49" t="n">
        <v>690158828</v>
      </c>
      <c r="F69" s="49" t="n">
        <v>0</v>
      </c>
      <c r="G69" s="50" t="n">
        <f aca="false">IF($A69="","",IF(ISNUMBER($G68),$G68+1,1))</f>
        <v>65</v>
      </c>
      <c r="H69" s="51" t="n">
        <f aca="false">IF(OR(NOT(ISNUMBER($G69)),$G69&lt;2,NOT(ISNUMBER($C68)),$C68=0),"",$C69/$C68-1)</f>
        <v>0.0228820105244982</v>
      </c>
      <c r="I69" s="52" t="n">
        <f aca="false">IF(AND(ISNUMBER($G69),$G69&gt;=MA_SHORT),AVERAGE(INDEX($C$5:$C69,66-MA_SHORT):$C69),"")</f>
        <v>659993634.75</v>
      </c>
      <c r="J69" s="52" t="n">
        <f aca="false">IF(AND(ISNUMBER($G69),$G69&gt;=MA_MED),AVERAGE(INDEX($C$5:$C69,66-MA_MED):$C69),"")</f>
        <v>645568987.6</v>
      </c>
      <c r="K69" s="52" t="str">
        <f aca="false">IF(AND(ISNUMBER($G69),$G69&gt;=MA_LONG2),AVERAGE(INDEX($C$5:$C69,66-MA_LONG2):$C69),"")</f>
        <v/>
      </c>
      <c r="L69" s="53" t="n">
        <f aca="false">IF(AND(ISNUMBER($G69),$G69&gt;=21),STDEV(INDEX($H$9:$H69,62-20):$H69)*SQRT(245),"")</f>
        <v>0.19508102597902</v>
      </c>
      <c r="M69" s="52" t="n">
        <f aca="false">IF(AND(ISNUMBER($G69),$G69&gt;=60),MAX(INDEX($D$5:$D69,66-60):$D69),"")</f>
        <v>694710473</v>
      </c>
      <c r="N69" s="52" t="n">
        <f aca="false">IF(AND(ISNUMBER($G69),$G69&gt;=60),MIN(INDEX($E$5:$E69,66-60):$E69),"")</f>
        <v>603550631</v>
      </c>
      <c r="O69" s="53" t="n">
        <f aca="false">IF(OR(NOT(ISNUMBER($C69)),NOT(ISNUMBER($M69)),$M69=0),"",$C69/$M69-1)</f>
        <v>-0.00285457766519093</v>
      </c>
      <c r="P69" s="54"/>
      <c r="Q69" s="53" t="str">
        <f aca="false">IF(NOT(ISNUMBER($P69)),"",IFERROR(PERCENTRANK($P$5:$P$1204,$P69),""))</f>
        <v/>
      </c>
    </row>
    <row r="70" customFormat="false" ht="15" hidden="false" customHeight="false" outlineLevel="0" collapsed="false">
      <c r="A70" s="47" t="n">
        <v>45661</v>
      </c>
      <c r="B70" s="48" t="s">
        <v>218</v>
      </c>
      <c r="C70" s="49" t="n">
        <v>692127834</v>
      </c>
      <c r="D70" s="49" t="n">
        <v>695758125</v>
      </c>
      <c r="E70" s="49" t="n">
        <v>684167555</v>
      </c>
      <c r="F70" s="49" t="n">
        <v>0</v>
      </c>
      <c r="G70" s="50" t="n">
        <f aca="false">IF($A70="","",IF(ISNUMBER($G69),$G69+1,1))</f>
        <v>66</v>
      </c>
      <c r="H70" s="51" t="n">
        <f aca="false">IF(OR(NOT(ISNUMBER($G70)),$G70&lt;2,NOT(ISNUMBER($C69)),$C69=0),"",$C70/$C69-1)</f>
        <v>-0.000865468909841072</v>
      </c>
      <c r="I70" s="52" t="n">
        <f aca="false">IF(AND(ISNUMBER($G70),$G70&gt;=MA_SHORT),AVERAGE(INDEX($C$5:$C70,67-MA_SHORT):$C70),"")</f>
        <v>662572501.4</v>
      </c>
      <c r="J70" s="52" t="n">
        <f aca="false">IF(AND(ISNUMBER($G70),$G70&gt;=MA_MED),AVERAGE(INDEX($C$5:$C70,67-MA_MED):$C70),"")</f>
        <v>646666232.44</v>
      </c>
      <c r="K70" s="52" t="str">
        <f aca="false">IF(AND(ISNUMBER($G70),$G70&gt;=MA_LONG2),AVERAGE(INDEX($C$5:$C70,67-MA_LONG2):$C70),"")</f>
        <v/>
      </c>
      <c r="L70" s="53" t="n">
        <f aca="false">IF(AND(ISNUMBER($G70),$G70&gt;=21),STDEV(INDEX($H$10:$H70,62-20):$H70)*SQRT(245),"")</f>
        <v>0.195870202792979</v>
      </c>
      <c r="M70" s="52" t="n">
        <f aca="false">IF(AND(ISNUMBER($G70),$G70&gt;=60),MAX(INDEX($D$5:$D70,67-60):$D70),"")</f>
        <v>695758125</v>
      </c>
      <c r="N70" s="52" t="n">
        <f aca="false">IF(AND(ISNUMBER($G70),$G70&gt;=60),MIN(INDEX($E$5:$E70,67-60):$E70),"")</f>
        <v>603550631</v>
      </c>
      <c r="O70" s="53" t="n">
        <f aca="false">IF(OR(NOT(ISNUMBER($C70)),NOT(ISNUMBER($M70)),$M70=0),"",$C70/$M70-1)</f>
        <v>-0.00521774862492619</v>
      </c>
      <c r="P70" s="54"/>
      <c r="Q70" s="53" t="str">
        <f aca="false">IF(NOT(ISNUMBER($P70)),"",IFERROR(PERCENTRANK($P$5:$P$1204,$P70),""))</f>
        <v/>
      </c>
    </row>
    <row r="71" customFormat="false" ht="15" hidden="false" customHeight="false" outlineLevel="0" collapsed="false">
      <c r="A71" s="47" t="n">
        <v>45662</v>
      </c>
      <c r="B71" s="48" t="s">
        <v>219</v>
      </c>
      <c r="C71" s="49" t="n">
        <v>695543293</v>
      </c>
      <c r="D71" s="49" t="n">
        <v>696236020</v>
      </c>
      <c r="E71" s="49" t="n">
        <v>690970178</v>
      </c>
      <c r="F71" s="49" t="n">
        <v>0</v>
      </c>
      <c r="G71" s="50" t="n">
        <f aca="false">IF($A71="","",IF(ISNUMBER($G70),$G70+1,1))</f>
        <v>67</v>
      </c>
      <c r="H71" s="51" t="n">
        <f aca="false">IF(OR(NOT(ISNUMBER($G71)),$G71&lt;2,NOT(ISNUMBER($C70)),$C70=0),"",$C71/$C70-1)</f>
        <v>0.00493472279573148</v>
      </c>
      <c r="I71" s="52" t="n">
        <f aca="false">IF(AND(ISNUMBER($G71),$G71&gt;=MA_SHORT),AVERAGE(INDEX($C$5:$C71,68-MA_SHORT):$C71),"")</f>
        <v>665570348</v>
      </c>
      <c r="J71" s="52" t="n">
        <f aca="false">IF(AND(ISNUMBER($G71),$G71&gt;=MA_MED),AVERAGE(INDEX($C$5:$C71,68-MA_MED):$C71),"")</f>
        <v>647684958.4</v>
      </c>
      <c r="K71" s="52" t="str">
        <f aca="false">IF(AND(ISNUMBER($G71),$G71&gt;=MA_LONG2),AVERAGE(INDEX($C$5:$C71,68-MA_LONG2):$C71),"")</f>
        <v/>
      </c>
      <c r="L71" s="53" t="n">
        <f aca="false">IF(AND(ISNUMBER($G71),$G71&gt;=21),STDEV(INDEX($H$11:$H71,62-20):$H71)*SQRT(245),"")</f>
        <v>0.191069514504435</v>
      </c>
      <c r="M71" s="52" t="n">
        <f aca="false">IF(AND(ISNUMBER($G71),$G71&gt;=60),MAX(INDEX($D$5:$D71,68-60):$D71),"")</f>
        <v>696236020</v>
      </c>
      <c r="N71" s="52" t="n">
        <f aca="false">IF(AND(ISNUMBER($G71),$G71&gt;=60),MIN(INDEX($E$5:$E71,68-60):$E71),"")</f>
        <v>603550631</v>
      </c>
      <c r="O71" s="53" t="n">
        <f aca="false">IF(OR(NOT(ISNUMBER($C71)),NOT(ISNUMBER($M71)),$M71=0),"",$C71/$M71-1)</f>
        <v>-0.000994960013703361</v>
      </c>
      <c r="P71" s="54"/>
      <c r="Q71" s="53" t="str">
        <f aca="false">IF(NOT(ISNUMBER($P71)),"",IFERROR(PERCENTRANK($P$5:$P$1204,$P71),""))</f>
        <v/>
      </c>
    </row>
    <row r="72" customFormat="false" ht="15" hidden="false" customHeight="false" outlineLevel="0" collapsed="false">
      <c r="A72" s="47" t="n">
        <v>45663</v>
      </c>
      <c r="B72" s="48" t="s">
        <v>220</v>
      </c>
      <c r="C72" s="49" t="n">
        <v>703546981</v>
      </c>
      <c r="D72" s="49" t="n">
        <v>703737968</v>
      </c>
      <c r="E72" s="49" t="n">
        <v>700484785</v>
      </c>
      <c r="F72" s="49" t="n">
        <v>0</v>
      </c>
      <c r="G72" s="50" t="n">
        <f aca="false">IF($A72="","",IF(ISNUMBER($G71),$G71+1,1))</f>
        <v>68</v>
      </c>
      <c r="H72" s="51" t="n">
        <f aca="false">IF(OR(NOT(ISNUMBER($G72)),$G72&lt;2,NOT(ISNUMBER($C71)),$C71=0),"",$C72/$C71-1)</f>
        <v>0.0115071025492586</v>
      </c>
      <c r="I72" s="52" t="n">
        <f aca="false">IF(AND(ISNUMBER($G72),$G72&gt;=MA_SHORT),AVERAGE(INDEX($C$5:$C72,69-MA_SHORT):$C72),"")</f>
        <v>668356783.4</v>
      </c>
      <c r="J72" s="52" t="n">
        <f aca="false">IF(AND(ISNUMBER($G72),$G72&gt;=MA_MED),AVERAGE(INDEX($C$5:$C72,69-MA_MED):$C72),"")</f>
        <v>648951562.06</v>
      </c>
      <c r="K72" s="52" t="str">
        <f aca="false">IF(AND(ISNUMBER($G72),$G72&gt;=MA_LONG2),AVERAGE(INDEX($C$5:$C72,69-MA_LONG2):$C72),"")</f>
        <v/>
      </c>
      <c r="L72" s="53" t="n">
        <f aca="false">IF(AND(ISNUMBER($G72),$G72&gt;=21),STDEV(INDEX($H$12:$H72,62-20):$H72)*SQRT(245),"")</f>
        <v>0.185246067392748</v>
      </c>
      <c r="M72" s="52" t="n">
        <f aca="false">IF(AND(ISNUMBER($G72),$G72&gt;=60),MAX(INDEX($D$5:$D72,69-60):$D72),"")</f>
        <v>703737968</v>
      </c>
      <c r="N72" s="52" t="n">
        <f aca="false">IF(AND(ISNUMBER($G72),$G72&gt;=60),MIN(INDEX($E$5:$E72,69-60):$E72),"")</f>
        <v>603550631</v>
      </c>
      <c r="O72" s="53" t="n">
        <f aca="false">IF(OR(NOT(ISNUMBER($C72)),NOT(ISNUMBER($M72)),$M72=0),"",$C72/$M72-1)</f>
        <v>-0.000271389364627783</v>
      </c>
      <c r="P72" s="54"/>
      <c r="Q72" s="53" t="str">
        <f aca="false">IF(NOT(ISNUMBER($P72)),"",IFERROR(PERCENTRANK($P$5:$P$1204,$P72),""))</f>
        <v/>
      </c>
    </row>
    <row r="73" customFormat="false" ht="15" hidden="false" customHeight="false" outlineLevel="0" collapsed="false">
      <c r="A73" s="47" t="n">
        <v>45664</v>
      </c>
      <c r="B73" s="48" t="s">
        <v>221</v>
      </c>
      <c r="C73" s="49" t="n">
        <v>702858471</v>
      </c>
      <c r="D73" s="49" t="n">
        <v>703246731</v>
      </c>
      <c r="E73" s="49" t="n">
        <v>700990011</v>
      </c>
      <c r="F73" s="49" t="n">
        <v>0</v>
      </c>
      <c r="G73" s="50" t="n">
        <f aca="false">IF($A73="","",IF(ISNUMBER($G72),$G72+1,1))</f>
        <v>69</v>
      </c>
      <c r="H73" s="51" t="n">
        <f aca="false">IF(OR(NOT(ISNUMBER($G73)),$G73&lt;2,NOT(ISNUMBER($C72)),$C72=0),"",$C73/$C72-1)</f>
        <v>-0.000978626898549662</v>
      </c>
      <c r="I73" s="52" t="n">
        <f aca="false">IF(AND(ISNUMBER($G73),$G73&gt;=MA_SHORT),AVERAGE(INDEX($C$5:$C73,70-MA_SHORT):$C73),"")</f>
        <v>670924840.95</v>
      </c>
      <c r="J73" s="52" t="n">
        <f aca="false">IF(AND(ISNUMBER($G73),$G73&gt;=MA_MED),AVERAGE(INDEX($C$5:$C73,70-MA_MED):$C73),"")</f>
        <v>650326651.6</v>
      </c>
      <c r="K73" s="52" t="str">
        <f aca="false">IF(AND(ISNUMBER($G73),$G73&gt;=MA_LONG2),AVERAGE(INDEX($C$5:$C73,70-MA_LONG2):$C73),"")</f>
        <v/>
      </c>
      <c r="L73" s="53" t="n">
        <f aca="false">IF(AND(ISNUMBER($G73),$G73&gt;=21),STDEV(INDEX($H$13:$H73,62-20):$H73)*SQRT(245),"")</f>
        <v>0.18602505868656</v>
      </c>
      <c r="M73" s="52" t="n">
        <f aca="false">IF(AND(ISNUMBER($G73),$G73&gt;=60),MAX(INDEX($D$5:$D73,70-60):$D73),"")</f>
        <v>703737968</v>
      </c>
      <c r="N73" s="52" t="n">
        <f aca="false">IF(AND(ISNUMBER($G73),$G73&gt;=60),MIN(INDEX($E$5:$E73,70-60):$E73),"")</f>
        <v>603550631</v>
      </c>
      <c r="O73" s="53" t="n">
        <f aca="false">IF(OR(NOT(ISNUMBER($C73)),NOT(ISNUMBER($M73)),$M73=0),"",$C73/$M73-1)</f>
        <v>-0.00124975067424526</v>
      </c>
      <c r="P73" s="54"/>
      <c r="Q73" s="53" t="str">
        <f aca="false">IF(NOT(ISNUMBER($P73)),"",IFERROR(PERCENTRANK($P$5:$P$1204,$P73),""))</f>
        <v/>
      </c>
    </row>
    <row r="74" customFormat="false" ht="15" hidden="false" customHeight="false" outlineLevel="0" collapsed="false">
      <c r="A74" s="47" t="n">
        <v>45665</v>
      </c>
      <c r="B74" s="48" t="s">
        <v>222</v>
      </c>
      <c r="C74" s="49" t="n">
        <v>695698208</v>
      </c>
      <c r="D74" s="49" t="n">
        <v>698445785</v>
      </c>
      <c r="E74" s="49" t="n">
        <v>695396158</v>
      </c>
      <c r="F74" s="49" t="n">
        <v>0</v>
      </c>
      <c r="G74" s="50" t="n">
        <f aca="false">IF($A74="","",IF(ISNUMBER($G73),$G73+1,1))</f>
        <v>70</v>
      </c>
      <c r="H74" s="51" t="n">
        <f aca="false">IF(OR(NOT(ISNUMBER($G74)),$G74&lt;2,NOT(ISNUMBER($C73)),$C73=0),"",$C74/$C73-1)</f>
        <v>-0.0101873468065522</v>
      </c>
      <c r="I74" s="52" t="n">
        <f aca="false">IF(AND(ISNUMBER($G74),$G74&gt;=MA_SHORT),AVERAGE(INDEX($C$5:$C74,71-MA_SHORT):$C74),"")</f>
        <v>673032570</v>
      </c>
      <c r="J74" s="52" t="n">
        <f aca="false">IF(AND(ISNUMBER($G74),$G74&gt;=MA_MED),AVERAGE(INDEX($C$5:$C74,71-MA_MED):$C74),"")</f>
        <v>651498108.66</v>
      </c>
      <c r="K74" s="52" t="str">
        <f aca="false">IF(AND(ISNUMBER($G74),$G74&gt;=MA_LONG2),AVERAGE(INDEX($C$5:$C74,71-MA_LONG2):$C74),"")</f>
        <v/>
      </c>
      <c r="L74" s="53" t="n">
        <f aca="false">IF(AND(ISNUMBER($G74),$G74&gt;=21),STDEV(INDEX($H$14:$H74,62-20):$H74)*SQRT(245),"")</f>
        <v>0.192435564579171</v>
      </c>
      <c r="M74" s="52" t="n">
        <f aca="false">IF(AND(ISNUMBER($G74),$G74&gt;=60),MAX(INDEX($D$5:$D74,71-60):$D74),"")</f>
        <v>703737968</v>
      </c>
      <c r="N74" s="52" t="n">
        <f aca="false">IF(AND(ISNUMBER($G74),$G74&gt;=60),MIN(INDEX($E$5:$E74,71-60):$E74),"")</f>
        <v>603550631</v>
      </c>
      <c r="O74" s="53" t="n">
        <f aca="false">IF(OR(NOT(ISNUMBER($C74)),NOT(ISNUMBER($M74)),$M74=0),"",$C74/$M74-1)</f>
        <v>-0.0114243658372571</v>
      </c>
      <c r="P74" s="54"/>
      <c r="Q74" s="53" t="str">
        <f aca="false">IF(NOT(ISNUMBER($P74)),"",IFERROR(PERCENTRANK($P$5:$P$1204,$P74),""))</f>
        <v/>
      </c>
    </row>
    <row r="75" customFormat="false" ht="15" hidden="false" customHeight="false" outlineLevel="0" collapsed="false">
      <c r="A75" s="47" t="n">
        <v>45668</v>
      </c>
      <c r="B75" s="48" t="s">
        <v>223</v>
      </c>
      <c r="C75" s="49" t="n">
        <v>691057858</v>
      </c>
      <c r="D75" s="49" t="n">
        <v>692204102</v>
      </c>
      <c r="E75" s="49" t="n">
        <v>688246671</v>
      </c>
      <c r="F75" s="49" t="n">
        <v>0</v>
      </c>
      <c r="G75" s="50" t="n">
        <f aca="false">IF($A75="","",IF(ISNUMBER($G74),$G74+1,1))</f>
        <v>71</v>
      </c>
      <c r="H75" s="51" t="n">
        <f aca="false">IF(OR(NOT(ISNUMBER($G75)),$G75&lt;2,NOT(ISNUMBER($C74)),$C74=0),"",$C75/$C74-1)</f>
        <v>-0.00667006174033435</v>
      </c>
      <c r="I75" s="52" t="n">
        <f aca="false">IF(AND(ISNUMBER($G75),$G75&gt;=MA_SHORT),AVERAGE(INDEX($C$5:$C75,72-MA_SHORT):$C75),"")</f>
        <v>675002699.95</v>
      </c>
      <c r="J75" s="52" t="n">
        <f aca="false">IF(AND(ISNUMBER($G75),$G75&gt;=MA_MED),AVERAGE(INDEX($C$5:$C75,72-MA_MED):$C75),"")</f>
        <v>652493029.02</v>
      </c>
      <c r="K75" s="52" t="str">
        <f aca="false">IF(AND(ISNUMBER($G75),$G75&gt;=MA_LONG2),AVERAGE(INDEX($C$5:$C75,72-MA_LONG2):$C75),"")</f>
        <v/>
      </c>
      <c r="L75" s="53" t="n">
        <f aca="false">IF(AND(ISNUMBER($G75),$G75&gt;=21),STDEV(INDEX($H$15:$H75,62-20):$H75)*SQRT(245),"")</f>
        <v>0.194423348936054</v>
      </c>
      <c r="M75" s="52" t="n">
        <f aca="false">IF(AND(ISNUMBER($G75),$G75&gt;=60),MAX(INDEX($D$5:$D75,72-60):$D75),"")</f>
        <v>703737968</v>
      </c>
      <c r="N75" s="52" t="n">
        <f aca="false">IF(AND(ISNUMBER($G75),$G75&gt;=60),MIN(INDEX($E$5:$E75,72-60):$E75),"")</f>
        <v>603550631</v>
      </c>
      <c r="O75" s="53" t="n">
        <f aca="false">IF(OR(NOT(ISNUMBER($C75)),NOT(ISNUMBER($M75)),$M75=0),"",$C75/$M75-1)</f>
        <v>-0.0180182263521129</v>
      </c>
      <c r="P75" s="54"/>
      <c r="Q75" s="53" t="str">
        <f aca="false">IF(NOT(ISNUMBER($P75)),"",IFERROR(PERCENTRANK($P$5:$P$1204,$P75),""))</f>
        <v/>
      </c>
    </row>
    <row r="76" customFormat="false" ht="15" hidden="false" customHeight="false" outlineLevel="0" collapsed="false">
      <c r="A76" s="47" t="n">
        <v>45669</v>
      </c>
      <c r="B76" s="48" t="s">
        <v>224</v>
      </c>
      <c r="C76" s="49" t="n">
        <v>694573679</v>
      </c>
      <c r="D76" s="49" t="n">
        <v>694653860</v>
      </c>
      <c r="E76" s="49" t="n">
        <v>690238141</v>
      </c>
      <c r="F76" s="49" t="n">
        <v>0</v>
      </c>
      <c r="G76" s="50" t="n">
        <f aca="false">IF($A76="","",IF(ISNUMBER($G75),$G75+1,1))</f>
        <v>72</v>
      </c>
      <c r="H76" s="51" t="n">
        <f aca="false">IF(OR(NOT(ISNUMBER($G76)),$G76&lt;2,NOT(ISNUMBER($C75)),$C75=0),"",$C76/$C75-1)</f>
        <v>0.00508759282497007</v>
      </c>
      <c r="I76" s="52" t="n">
        <f aca="false">IF(AND(ISNUMBER($G76),$G76&gt;=MA_SHORT),AVERAGE(INDEX($C$5:$C76,73-MA_SHORT):$C76),"")</f>
        <v>677209499.45</v>
      </c>
      <c r="J76" s="52" t="n">
        <f aca="false">IF(AND(ISNUMBER($G76),$G76&gt;=MA_MED),AVERAGE(INDEX($C$5:$C76,73-MA_MED):$C76),"")</f>
        <v>654060173.6</v>
      </c>
      <c r="K76" s="52" t="str">
        <f aca="false">IF(AND(ISNUMBER($G76),$G76&gt;=MA_LONG2),AVERAGE(INDEX($C$5:$C76,73-MA_LONG2):$C76),"")</f>
        <v/>
      </c>
      <c r="L76" s="53" t="n">
        <f aca="false">IF(AND(ISNUMBER($G76),$G76&gt;=21),STDEV(INDEX($H$16:$H76,62-20):$H76)*SQRT(245),"")</f>
        <v>0.193694391244306</v>
      </c>
      <c r="M76" s="52" t="n">
        <f aca="false">IF(AND(ISNUMBER($G76),$G76&gt;=60),MAX(INDEX($D$5:$D76,73-60):$D76),"")</f>
        <v>703737968</v>
      </c>
      <c r="N76" s="52" t="n">
        <f aca="false">IF(AND(ISNUMBER($G76),$G76&gt;=60),MIN(INDEX($E$5:$E76,73-60):$E76),"")</f>
        <v>603550631</v>
      </c>
      <c r="O76" s="53" t="n">
        <f aca="false">IF(OR(NOT(ISNUMBER($C76)),NOT(ISNUMBER($M76)),$M76=0),"",$C76/$M76-1)</f>
        <v>-0.0130223029262505</v>
      </c>
      <c r="P76" s="54"/>
      <c r="Q76" s="53" t="str">
        <f aca="false">IF(NOT(ISNUMBER($P76)),"",IFERROR(PERCENTRANK($P$5:$P$1204,$P76),""))</f>
        <v/>
      </c>
    </row>
    <row r="77" customFormat="false" ht="15" hidden="false" customHeight="false" outlineLevel="0" collapsed="false">
      <c r="A77" s="47" t="n">
        <v>45670</v>
      </c>
      <c r="B77" s="48" t="s">
        <v>225</v>
      </c>
      <c r="C77" s="49" t="n">
        <v>701142129</v>
      </c>
      <c r="D77" s="49" t="n">
        <v>705244590</v>
      </c>
      <c r="E77" s="49" t="n">
        <v>699160369</v>
      </c>
      <c r="F77" s="49" t="n">
        <v>0</v>
      </c>
      <c r="G77" s="50" t="n">
        <f aca="false">IF($A77="","",IF(ISNUMBER($G76),$G76+1,1))</f>
        <v>73</v>
      </c>
      <c r="H77" s="51" t="n">
        <f aca="false">IF(OR(NOT(ISNUMBER($G77)),$G77&lt;2,NOT(ISNUMBER($C76)),$C76=0),"",$C77/$C76-1)</f>
        <v>0.00945680810919414</v>
      </c>
      <c r="I77" s="52" t="n">
        <f aca="false">IF(AND(ISNUMBER($G77),$G77&gt;=MA_SHORT),AVERAGE(INDEX($C$5:$C77,74-MA_SHORT):$C77),"")</f>
        <v>679579807.65</v>
      </c>
      <c r="J77" s="52" t="n">
        <f aca="false">IF(AND(ISNUMBER($G77),$G77&gt;=MA_MED),AVERAGE(INDEX($C$5:$C77,74-MA_MED):$C77),"")</f>
        <v>656000426.22</v>
      </c>
      <c r="K77" s="52" t="str">
        <f aca="false">IF(AND(ISNUMBER($G77),$G77&gt;=MA_LONG2),AVERAGE(INDEX($C$5:$C77,74-MA_LONG2):$C77),"")</f>
        <v/>
      </c>
      <c r="L77" s="53" t="n">
        <f aca="false">IF(AND(ISNUMBER($G77),$G77&gt;=21),STDEV(INDEX($H$17:$H77,62-20):$H77)*SQRT(245),"")</f>
        <v>0.194798909595454</v>
      </c>
      <c r="M77" s="52" t="n">
        <f aca="false">IF(AND(ISNUMBER($G77),$G77&gt;=60),MAX(INDEX($D$5:$D77,74-60):$D77),"")</f>
        <v>705244590</v>
      </c>
      <c r="N77" s="52" t="n">
        <f aca="false">IF(AND(ISNUMBER($G77),$G77&gt;=60),MIN(INDEX($E$5:$E77,74-60):$E77),"")</f>
        <v>603550631</v>
      </c>
      <c r="O77" s="53" t="n">
        <f aca="false">IF(OR(NOT(ISNUMBER($C77)),NOT(ISNUMBER($M77)),$M77=0),"",$C77/$M77-1)</f>
        <v>-0.00581707546313826</v>
      </c>
      <c r="P77" s="54"/>
      <c r="Q77" s="53" t="str">
        <f aca="false">IF(NOT(ISNUMBER($P77)),"",IFERROR(PERCENTRANK($P$5:$P$1204,$P77),""))</f>
        <v/>
      </c>
    </row>
    <row r="78" customFormat="false" ht="15" hidden="false" customHeight="false" outlineLevel="0" collapsed="false">
      <c r="A78" s="47" t="n">
        <v>45671</v>
      </c>
      <c r="B78" s="48" t="s">
        <v>226</v>
      </c>
      <c r="C78" s="49" t="n">
        <v>703600897</v>
      </c>
      <c r="D78" s="49" t="n">
        <v>706044811</v>
      </c>
      <c r="E78" s="49" t="n">
        <v>701457380</v>
      </c>
      <c r="F78" s="49" t="n">
        <v>0</v>
      </c>
      <c r="G78" s="50" t="n">
        <f aca="false">IF($A78="","",IF(ISNUMBER($G77),$G77+1,1))</f>
        <v>74</v>
      </c>
      <c r="H78" s="51" t="n">
        <f aca="false">IF(OR(NOT(ISNUMBER($G78)),$G78&lt;2,NOT(ISNUMBER($C77)),$C77=0),"",$C78/$C77-1)</f>
        <v>0.00350680396784431</v>
      </c>
      <c r="I78" s="52" t="n">
        <f aca="false">IF(AND(ISNUMBER($G78),$G78&gt;=MA_SHORT),AVERAGE(INDEX($C$5:$C78,75-MA_SHORT):$C78),"")</f>
        <v>681579300.35</v>
      </c>
      <c r="J78" s="52" t="n">
        <f aca="false">IF(AND(ISNUMBER($G78),$G78&gt;=MA_MED),AVERAGE(INDEX($C$5:$C78,75-MA_MED):$C78),"")</f>
        <v>657767063.74</v>
      </c>
      <c r="K78" s="52" t="str">
        <f aca="false">IF(AND(ISNUMBER($G78),$G78&gt;=MA_LONG2),AVERAGE(INDEX($C$5:$C78,75-MA_LONG2):$C78),"")</f>
        <v/>
      </c>
      <c r="L78" s="53" t="n">
        <f aca="false">IF(AND(ISNUMBER($G78),$G78&gt;=21),STDEV(INDEX($H$18:$H78,62-20):$H78)*SQRT(245),"")</f>
        <v>0.190123598811776</v>
      </c>
      <c r="M78" s="52" t="n">
        <f aca="false">IF(AND(ISNUMBER($G78),$G78&gt;=60),MAX(INDEX($D$5:$D78,75-60):$D78),"")</f>
        <v>706044811</v>
      </c>
      <c r="N78" s="52" t="n">
        <f aca="false">IF(AND(ISNUMBER($G78),$G78&gt;=60),MIN(INDEX($E$5:$E78,75-60):$E78),"")</f>
        <v>603550631</v>
      </c>
      <c r="O78" s="53" t="n">
        <f aca="false">IF(OR(NOT(ISNUMBER($C78)),NOT(ISNUMBER($M78)),$M78=0),"",$C78/$M78-1)</f>
        <v>-0.00346141485911999</v>
      </c>
      <c r="P78" s="54"/>
      <c r="Q78" s="53" t="str">
        <f aca="false">IF(NOT(ISNUMBER($P78)),"",IFERROR(PERCENTRANK($P$5:$P$1204,$P78),""))</f>
        <v/>
      </c>
    </row>
    <row r="79" customFormat="false" ht="15" hidden="false" customHeight="false" outlineLevel="0" collapsed="false">
      <c r="A79" s="47" t="n">
        <v>45672</v>
      </c>
      <c r="B79" s="48" t="s">
        <v>227</v>
      </c>
      <c r="C79" s="49" t="n">
        <v>688345031</v>
      </c>
      <c r="D79" s="49" t="n">
        <v>693556750</v>
      </c>
      <c r="E79" s="49" t="n">
        <v>685639988</v>
      </c>
      <c r="F79" s="49" t="n">
        <v>0</v>
      </c>
      <c r="G79" s="50" t="n">
        <f aca="false">IF($A79="","",IF(ISNUMBER($G78),$G78+1,1))</f>
        <v>75</v>
      </c>
      <c r="H79" s="51" t="n">
        <f aca="false">IF(OR(NOT(ISNUMBER($G79)),$G79&lt;2,NOT(ISNUMBER($C78)),$C78=0),"",$C79/$C78-1)</f>
        <v>-0.0216825562119771</v>
      </c>
      <c r="I79" s="52" t="n">
        <f aca="false">IF(AND(ISNUMBER($G79),$G79&gt;=MA_SHORT),AVERAGE(INDEX($C$5:$C79,76-MA_SHORT):$C79),"")</f>
        <v>682999742.75</v>
      </c>
      <c r="J79" s="52" t="n">
        <f aca="false">IF(AND(ISNUMBER($G79),$G79&gt;=MA_MED),AVERAGE(INDEX($C$5:$C79,76-MA_MED):$C79),"")</f>
        <v>659176293.84</v>
      </c>
      <c r="K79" s="52" t="str">
        <f aca="false">IF(AND(ISNUMBER($G79),$G79&gt;=MA_LONG2),AVERAGE(INDEX($C$5:$C79,76-MA_LONG2):$C79),"")</f>
        <v/>
      </c>
      <c r="L79" s="53" t="n">
        <f aca="false">IF(AND(ISNUMBER($G79),$G79&gt;=21),STDEV(INDEX($H$19:$H79,62-20):$H79)*SQRT(245),"")</f>
        <v>0.207110668847404</v>
      </c>
      <c r="M79" s="52" t="n">
        <f aca="false">IF(AND(ISNUMBER($G79),$G79&gt;=60),MAX(INDEX($D$5:$D79,76-60):$D79),"")</f>
        <v>706044811</v>
      </c>
      <c r="N79" s="52" t="n">
        <f aca="false">IF(AND(ISNUMBER($G79),$G79&gt;=60),MIN(INDEX($E$5:$E79,76-60):$E79),"")</f>
        <v>603550631</v>
      </c>
      <c r="O79" s="53" t="n">
        <f aca="false">IF(OR(NOT(ISNUMBER($C79)),NOT(ISNUMBER($M79)),$M79=0),"",$C79/$M79-1)</f>
        <v>-0.0250689187488413</v>
      </c>
      <c r="P79" s="54"/>
      <c r="Q79" s="53" t="str">
        <f aca="false">IF(NOT(ISNUMBER($P79)),"",IFERROR(PERCENTRANK($P$5:$P$1204,$P79),""))</f>
        <v/>
      </c>
    </row>
    <row r="80" customFormat="false" ht="15" hidden="false" customHeight="false" outlineLevel="0" collapsed="false">
      <c r="A80" s="47" t="n">
        <v>45675</v>
      </c>
      <c r="B80" s="48" t="s">
        <v>228</v>
      </c>
      <c r="C80" s="49" t="n">
        <v>694194089</v>
      </c>
      <c r="D80" s="49" t="n">
        <v>698601458</v>
      </c>
      <c r="E80" s="49" t="n">
        <v>693969169</v>
      </c>
      <c r="F80" s="49" t="n">
        <v>0</v>
      </c>
      <c r="G80" s="50" t="n">
        <f aca="false">IF($A80="","",IF(ISNUMBER($G79),$G79+1,1))</f>
        <v>76</v>
      </c>
      <c r="H80" s="51" t="n">
        <f aca="false">IF(OR(NOT(ISNUMBER($G80)),$G80&lt;2,NOT(ISNUMBER($C79)),$C79=0),"",$C80/$C79-1)</f>
        <v>0.00849727641892417</v>
      </c>
      <c r="I80" s="52" t="n">
        <f aca="false">IF(AND(ISNUMBER($G80),$G80&gt;=MA_SHORT),AVERAGE(INDEX($C$5:$C80,77-MA_SHORT):$C80),"")</f>
        <v>685432840.9</v>
      </c>
      <c r="J80" s="52" t="n">
        <f aca="false">IF(AND(ISNUMBER($G80),$G80&gt;=MA_MED),AVERAGE(INDEX($C$5:$C80,77-MA_MED):$C80),"")</f>
        <v>660391553.24</v>
      </c>
      <c r="K80" s="52" t="str">
        <f aca="false">IF(AND(ISNUMBER($G80),$G80&gt;=MA_LONG2),AVERAGE(INDEX($C$5:$C80,77-MA_LONG2):$C80),"")</f>
        <v/>
      </c>
      <c r="L80" s="53" t="n">
        <f aca="false">IF(AND(ISNUMBER($G80),$G80&gt;=21),STDEV(INDEX($H$20:$H80,62-20):$H80)*SQRT(245),"")</f>
        <v>0.188083187335066</v>
      </c>
      <c r="M80" s="52" t="n">
        <f aca="false">IF(AND(ISNUMBER($G80),$G80&gt;=60),MAX(INDEX($D$5:$D80,77-60):$D80),"")</f>
        <v>706044811</v>
      </c>
      <c r="N80" s="52" t="n">
        <f aca="false">IF(AND(ISNUMBER($G80),$G80&gt;=60),MIN(INDEX($E$5:$E80,77-60):$E80),"")</f>
        <v>603550631</v>
      </c>
      <c r="O80" s="53" t="n">
        <f aca="false">IF(OR(NOT(ISNUMBER($C80)),NOT(ISNUMBER($M80)),$M80=0),"",$C80/$M80-1)</f>
        <v>-0.0167846598620495</v>
      </c>
      <c r="P80" s="54"/>
      <c r="Q80" s="53" t="str">
        <f aca="false">IF(NOT(ISNUMBER($P80)),"",IFERROR(PERCENTRANK($P$5:$P$1204,$P80),""))</f>
        <v/>
      </c>
    </row>
    <row r="81" customFormat="false" ht="15" hidden="false" customHeight="false" outlineLevel="0" collapsed="false">
      <c r="A81" s="47" t="n">
        <v>45676</v>
      </c>
      <c r="B81" s="48" t="s">
        <v>229</v>
      </c>
      <c r="C81" s="49" t="n">
        <v>706940989</v>
      </c>
      <c r="D81" s="49" t="n">
        <v>710063785</v>
      </c>
      <c r="E81" s="49" t="n">
        <v>703608644</v>
      </c>
      <c r="F81" s="49" t="n">
        <v>0</v>
      </c>
      <c r="G81" s="50" t="n">
        <f aca="false">IF($A81="","",IF(ISNUMBER($G80),$G80+1,1))</f>
        <v>77</v>
      </c>
      <c r="H81" s="51" t="n">
        <f aca="false">IF(OR(NOT(ISNUMBER($G81)),$G81&lt;2,NOT(ISNUMBER($C80)),$C80=0),"",$C81/$C80-1)</f>
        <v>0.0183621557745646</v>
      </c>
      <c r="I81" s="52" t="n">
        <f aca="false">IF(AND(ISNUMBER($G81),$G81&gt;=MA_SHORT),AVERAGE(INDEX($C$5:$C81,78-MA_SHORT):$C81),"")</f>
        <v>687817254.95</v>
      </c>
      <c r="J81" s="52" t="n">
        <f aca="false">IF(AND(ISNUMBER($G81),$G81&gt;=MA_MED),AVERAGE(INDEX($C$5:$C81,78-MA_MED):$C81),"")</f>
        <v>661877129.14</v>
      </c>
      <c r="K81" s="52" t="str">
        <f aca="false">IF(AND(ISNUMBER($G81),$G81&gt;=MA_LONG2),AVERAGE(INDEX($C$5:$C81,78-MA_LONG2):$C81),"")</f>
        <v/>
      </c>
      <c r="L81" s="53" t="n">
        <f aca="false">IF(AND(ISNUMBER($G81),$G81&gt;=21),STDEV(INDEX($H$21:$H81,62-20):$H81)*SQRT(245),"")</f>
        <v>0.184848364396219</v>
      </c>
      <c r="M81" s="52" t="n">
        <f aca="false">IF(AND(ISNUMBER($G81),$G81&gt;=60),MAX(INDEX($D$5:$D81,78-60):$D81),"")</f>
        <v>710063785</v>
      </c>
      <c r="N81" s="52" t="n">
        <f aca="false">IF(AND(ISNUMBER($G81),$G81&gt;=60),MIN(INDEX($E$5:$E81,78-60):$E81),"")</f>
        <v>603550631</v>
      </c>
      <c r="O81" s="53" t="n">
        <f aca="false">IF(OR(NOT(ISNUMBER($C81)),NOT(ISNUMBER($M81)),$M81=0),"",$C81/$M81-1)</f>
        <v>-0.00439790912586813</v>
      </c>
      <c r="P81" s="54"/>
      <c r="Q81" s="53" t="str">
        <f aca="false">IF(NOT(ISNUMBER($P81)),"",IFERROR(PERCENTRANK($P$5:$P$1204,$P81),""))</f>
        <v/>
      </c>
    </row>
    <row r="82" customFormat="false" ht="15" hidden="false" customHeight="false" outlineLevel="0" collapsed="false">
      <c r="A82" s="47" t="n">
        <v>45677</v>
      </c>
      <c r="B82" s="48" t="s">
        <v>230</v>
      </c>
      <c r="C82" s="49" t="n">
        <v>696498266</v>
      </c>
      <c r="D82" s="49" t="n">
        <v>699214118</v>
      </c>
      <c r="E82" s="49" t="n">
        <v>691699903</v>
      </c>
      <c r="F82" s="49" t="n">
        <v>0</v>
      </c>
      <c r="G82" s="50" t="n">
        <f aca="false">IF($A82="","",IF(ISNUMBER($G81),$G81+1,1))</f>
        <v>78</v>
      </c>
      <c r="H82" s="51" t="n">
        <f aca="false">IF(OR(NOT(ISNUMBER($G82)),$G82&lt;2,NOT(ISNUMBER($C81)),$C81=0),"",$C82/$C81-1)</f>
        <v>-0.014771703950526</v>
      </c>
      <c r="I82" s="52" t="n">
        <f aca="false">IF(AND(ISNUMBER($G82),$G82&gt;=MA_SHORT),AVERAGE(INDEX($C$5:$C82,79-MA_SHORT):$C82),"")</f>
        <v>689047290.35</v>
      </c>
      <c r="J82" s="52" t="n">
        <f aca="false">IF(AND(ISNUMBER($G82),$G82&gt;=MA_MED),AVERAGE(INDEX($C$5:$C82,79-MA_MED):$C82),"")</f>
        <v>663021582.86</v>
      </c>
      <c r="K82" s="52" t="str">
        <f aca="false">IF(AND(ISNUMBER($G82),$G82&gt;=MA_LONG2),AVERAGE(INDEX($C$5:$C82,79-MA_LONG2):$C82),"")</f>
        <v/>
      </c>
      <c r="L82" s="53" t="n">
        <f aca="false">IF(AND(ISNUMBER($G82),$G82&gt;=21),STDEV(INDEX($H$22:$H82,62-20):$H82)*SQRT(245),"")</f>
        <v>0.18605476369653</v>
      </c>
      <c r="M82" s="52" t="n">
        <f aca="false">IF(AND(ISNUMBER($G82),$G82&gt;=60),MAX(INDEX($D$5:$D82,79-60):$D82),"")</f>
        <v>710063785</v>
      </c>
      <c r="N82" s="52" t="n">
        <f aca="false">IF(AND(ISNUMBER($G82),$G82&gt;=60),MIN(INDEX($E$5:$E82,79-60):$E82),"")</f>
        <v>603550631</v>
      </c>
      <c r="O82" s="53" t="n">
        <f aca="false">IF(OR(NOT(ISNUMBER($C82)),NOT(ISNUMBER($M82)),$M82=0),"",$C82/$M82-1)</f>
        <v>-0.0191046484647854</v>
      </c>
      <c r="P82" s="54"/>
      <c r="Q82" s="53" t="str">
        <f aca="false">IF(NOT(ISNUMBER($P82)),"",IFERROR(PERCENTRANK($P$5:$P$1204,$P82),""))</f>
        <v/>
      </c>
    </row>
    <row r="83" customFormat="false" ht="15" hidden="false" customHeight="false" outlineLevel="0" collapsed="false">
      <c r="A83" s="47" t="n">
        <v>45678</v>
      </c>
      <c r="B83" s="48" t="s">
        <v>231</v>
      </c>
      <c r="C83" s="49" t="n">
        <v>692804213</v>
      </c>
      <c r="D83" s="49" t="n">
        <v>696791127</v>
      </c>
      <c r="E83" s="49" t="n">
        <v>692622037</v>
      </c>
      <c r="F83" s="49" t="n">
        <v>0</v>
      </c>
      <c r="G83" s="50" t="n">
        <f aca="false">IF($A83="","",IF(ISNUMBER($G82),$G82+1,1))</f>
        <v>79</v>
      </c>
      <c r="H83" s="51" t="n">
        <f aca="false">IF(OR(NOT(ISNUMBER($G83)),$G83&lt;2,NOT(ISNUMBER($C82)),$C82=0),"",$C83/$C82-1)</f>
        <v>-0.00530375046188558</v>
      </c>
      <c r="I83" s="52" t="n">
        <f aca="false">IF(AND(ISNUMBER($G83),$G83&gt;=MA_SHORT),AVERAGE(INDEX($C$5:$C83,80-MA_SHORT):$C83),"")</f>
        <v>690112122</v>
      </c>
      <c r="J83" s="52" t="n">
        <f aca="false">IF(AND(ISNUMBER($G83),$G83&gt;=MA_MED),AVERAGE(INDEX($C$5:$C83,80-MA_MED):$C83),"")</f>
        <v>664182105.66</v>
      </c>
      <c r="K83" s="52" t="str">
        <f aca="false">IF(AND(ISNUMBER($G83),$G83&gt;=MA_LONG2),AVERAGE(INDEX($C$5:$C83,80-MA_LONG2):$C83),"")</f>
        <v/>
      </c>
      <c r="L83" s="53" t="n">
        <f aca="false">IF(AND(ISNUMBER($G83),$G83&gt;=21),STDEV(INDEX($H$23:$H83,62-20):$H83)*SQRT(245),"")</f>
        <v>0.187583993598116</v>
      </c>
      <c r="M83" s="52" t="n">
        <f aca="false">IF(AND(ISNUMBER($G83),$G83&gt;=60),MAX(INDEX($D$5:$D83,80-60):$D83),"")</f>
        <v>710063785</v>
      </c>
      <c r="N83" s="52" t="n">
        <f aca="false">IF(AND(ISNUMBER($G83),$G83&gt;=60),MIN(INDEX($E$5:$E83,80-60):$E83),"")</f>
        <v>603550631</v>
      </c>
      <c r="O83" s="53" t="n">
        <f aca="false">IF(OR(NOT(ISNUMBER($C83)),NOT(ISNUMBER($M83)),$M83=0),"",$C83/$M83-1)</f>
        <v>-0.0243070726385518</v>
      </c>
      <c r="P83" s="54"/>
      <c r="Q83" s="53" t="str">
        <f aca="false">IF(NOT(ISNUMBER($P83)),"",IFERROR(PERCENTRANK($P$5:$P$1204,$P83),""))</f>
        <v/>
      </c>
    </row>
    <row r="84" customFormat="false" ht="15" hidden="false" customHeight="false" outlineLevel="0" collapsed="false">
      <c r="A84" s="47" t="n">
        <v>45679</v>
      </c>
      <c r="B84" s="48" t="s">
        <v>232</v>
      </c>
      <c r="C84" s="49" t="n">
        <v>713497759</v>
      </c>
      <c r="D84" s="49" t="n">
        <v>716470043</v>
      </c>
      <c r="E84" s="49" t="n">
        <v>710908791</v>
      </c>
      <c r="F84" s="49" t="n">
        <v>0</v>
      </c>
      <c r="G84" s="50" t="n">
        <f aca="false">IF($A84="","",IF(ISNUMBER($G83),$G83+1,1))</f>
        <v>80</v>
      </c>
      <c r="H84" s="51" t="n">
        <f aca="false">IF(OR(NOT(ISNUMBER($G84)),$G84&lt;2,NOT(ISNUMBER($C83)),$C83=0),"",$C84/$C83-1)</f>
        <v>0.0298692554284452</v>
      </c>
      <c r="I84" s="52" t="n">
        <f aca="false">IF(AND(ISNUMBER($G84),$G84&gt;=MA_SHORT),AVERAGE(INDEX($C$5:$C84,81-MA_SHORT):$C84),"")</f>
        <v>691939961.7</v>
      </c>
      <c r="J84" s="52" t="n">
        <f aca="false">IF(AND(ISNUMBER($G84),$G84&gt;=MA_MED),AVERAGE(INDEX($C$5:$C84,81-MA_MED):$C84),"")</f>
        <v>665992343.7</v>
      </c>
      <c r="K84" s="52" t="str">
        <f aca="false">IF(AND(ISNUMBER($G84),$G84&gt;=MA_LONG2),AVERAGE(INDEX($C$5:$C84,81-MA_LONG2):$C84),"")</f>
        <v/>
      </c>
      <c r="L84" s="53" t="n">
        <f aca="false">IF(AND(ISNUMBER($G84),$G84&gt;=21),STDEV(INDEX($H$24:$H84,62-20):$H84)*SQRT(245),"")</f>
        <v>0.211249466933446</v>
      </c>
      <c r="M84" s="52" t="n">
        <f aca="false">IF(AND(ISNUMBER($G84),$G84&gt;=60),MAX(INDEX($D$5:$D84,81-60):$D84),"")</f>
        <v>716470043</v>
      </c>
      <c r="N84" s="52" t="n">
        <f aca="false">IF(AND(ISNUMBER($G84),$G84&gt;=60),MIN(INDEX($E$5:$E84,81-60):$E84),"")</f>
        <v>603550631</v>
      </c>
      <c r="O84" s="53" t="n">
        <f aca="false">IF(OR(NOT(ISNUMBER($C84)),NOT(ISNUMBER($M84)),$M84=0),"",$C84/$M84-1)</f>
        <v>-0.00414851120300086</v>
      </c>
      <c r="P84" s="54"/>
      <c r="Q84" s="53" t="str">
        <f aca="false">IF(NOT(ISNUMBER($P84)),"",IFERROR(PERCENTRANK($P$5:$P$1204,$P84),""))</f>
        <v/>
      </c>
    </row>
    <row r="85" customFormat="false" ht="15" hidden="false" customHeight="false" outlineLevel="0" collapsed="false">
      <c r="A85" s="47" t="n">
        <v>45682</v>
      </c>
      <c r="B85" s="48" t="s">
        <v>233</v>
      </c>
      <c r="C85" s="49" t="n">
        <v>724962291</v>
      </c>
      <c r="D85" s="49" t="n">
        <v>731619806</v>
      </c>
      <c r="E85" s="49" t="n">
        <v>724634812</v>
      </c>
      <c r="F85" s="49" t="n">
        <v>0</v>
      </c>
      <c r="G85" s="50" t="n">
        <f aca="false">IF($A85="","",IF(ISNUMBER($G84),$G84+1,1))</f>
        <v>81</v>
      </c>
      <c r="H85" s="51" t="n">
        <f aca="false">IF(OR(NOT(ISNUMBER($G85)),$G85&lt;2,NOT(ISNUMBER($C84)),$C84=0),"",$C85/$C84-1)</f>
        <v>0.016068070089061</v>
      </c>
      <c r="I85" s="52" t="n">
        <f aca="false">IF(AND(ISNUMBER($G85),$G85&gt;=MA_SHORT),AVERAGE(INDEX($C$5:$C85,82-MA_SHORT):$C85),"")</f>
        <v>694865998.6</v>
      </c>
      <c r="J85" s="52" t="n">
        <f aca="false">IF(AND(ISNUMBER($G85),$G85&gt;=MA_MED),AVERAGE(INDEX($C$5:$C85,82-MA_MED):$C85),"")</f>
        <v>667810532.9</v>
      </c>
      <c r="K85" s="52" t="str">
        <f aca="false">IF(AND(ISNUMBER($G85),$G85&gt;=MA_LONG2),AVERAGE(INDEX($C$5:$C85,82-MA_LONG2):$C85),"")</f>
        <v/>
      </c>
      <c r="L85" s="53" t="n">
        <f aca="false">IF(AND(ISNUMBER($G85),$G85&gt;=21),STDEV(INDEX($H$25:$H85,62-20):$H85)*SQRT(245),"")</f>
        <v>0.204929263588233</v>
      </c>
      <c r="M85" s="52" t="n">
        <f aca="false">IF(AND(ISNUMBER($G85),$G85&gt;=60),MAX(INDEX($D$5:$D85,82-60):$D85),"")</f>
        <v>731619806</v>
      </c>
      <c r="N85" s="52" t="n">
        <f aca="false">IF(AND(ISNUMBER($G85),$G85&gt;=60),MIN(INDEX($E$5:$E85,82-60):$E85),"")</f>
        <v>603550631</v>
      </c>
      <c r="O85" s="53" t="n">
        <f aca="false">IF(OR(NOT(ISNUMBER($C85)),NOT(ISNUMBER($M85)),$M85=0),"",$C85/$M85-1)</f>
        <v>-0.00909969214256068</v>
      </c>
      <c r="P85" s="54"/>
      <c r="Q85" s="53" t="str">
        <f aca="false">IF(NOT(ISNUMBER($P85)),"",IFERROR(PERCENTRANK($P$5:$P$1204,$P85),""))</f>
        <v/>
      </c>
    </row>
    <row r="86" customFormat="false" ht="15" hidden="false" customHeight="false" outlineLevel="0" collapsed="false">
      <c r="A86" s="47" t="n">
        <v>45683</v>
      </c>
      <c r="B86" s="48" t="s">
        <v>234</v>
      </c>
      <c r="C86" s="49" t="n">
        <v>725542482</v>
      </c>
      <c r="D86" s="49" t="n">
        <v>726504168</v>
      </c>
      <c r="E86" s="49" t="n">
        <v>723225556</v>
      </c>
      <c r="F86" s="49" t="n">
        <v>0</v>
      </c>
      <c r="G86" s="50" t="n">
        <f aca="false">IF($A86="","",IF(ISNUMBER($G85),$G85+1,1))</f>
        <v>82</v>
      </c>
      <c r="H86" s="51" t="n">
        <f aca="false">IF(OR(NOT(ISNUMBER($G86)),$G86&lt;2,NOT(ISNUMBER($C85)),$C85=0),"",$C86/$C85-1)</f>
        <v>0.000800305074074581</v>
      </c>
      <c r="I86" s="52" t="n">
        <f aca="false">IF(AND(ISNUMBER($G86),$G86&gt;=MA_SHORT),AVERAGE(INDEX($C$5:$C86,83-MA_SHORT):$C86),"")</f>
        <v>697854135.55</v>
      </c>
      <c r="J86" s="52" t="n">
        <f aca="false">IF(AND(ISNUMBER($G86),$G86&gt;=MA_MED),AVERAGE(INDEX($C$5:$C86,83-MA_MED):$C86),"")</f>
        <v>669757239.14</v>
      </c>
      <c r="K86" s="52" t="str">
        <f aca="false">IF(AND(ISNUMBER($G86),$G86&gt;=MA_LONG2),AVERAGE(INDEX($C$5:$C86,83-MA_LONG2):$C86),"")</f>
        <v/>
      </c>
      <c r="L86" s="53" t="n">
        <f aca="false">IF(AND(ISNUMBER($G86),$G86&gt;=21),STDEV(INDEX($H$26:$H86,62-20):$H86)*SQRT(245),"")</f>
        <v>0.204427683205243</v>
      </c>
      <c r="M86" s="52" t="n">
        <f aca="false">IF(AND(ISNUMBER($G86),$G86&gt;=60),MAX(INDEX($D$5:$D86,83-60):$D86),"")</f>
        <v>731619806</v>
      </c>
      <c r="N86" s="52" t="n">
        <f aca="false">IF(AND(ISNUMBER($G86),$G86&gt;=60),MIN(INDEX($E$5:$E86,83-60):$E86),"")</f>
        <v>603550631</v>
      </c>
      <c r="O86" s="53" t="n">
        <f aca="false">IF(OR(NOT(ISNUMBER($C86)),NOT(ISNUMBER($M86)),$M86=0),"",$C86/$M86-1)</f>
        <v>-0.00830666959828041</v>
      </c>
      <c r="P86" s="54"/>
      <c r="Q86" s="53" t="str">
        <f aca="false">IF(NOT(ISNUMBER($P86)),"",IFERROR(PERCENTRANK($P$5:$P$1204,$P86),""))</f>
        <v/>
      </c>
    </row>
    <row r="87" customFormat="false" ht="15" hidden="false" customHeight="false" outlineLevel="0" collapsed="false">
      <c r="A87" s="47" t="n">
        <v>45684</v>
      </c>
      <c r="B87" s="48" t="s">
        <v>235</v>
      </c>
      <c r="C87" s="49" t="n">
        <v>722095379</v>
      </c>
      <c r="D87" s="49" t="n">
        <v>723117930</v>
      </c>
      <c r="E87" s="49" t="n">
        <v>720984765</v>
      </c>
      <c r="F87" s="49" t="n">
        <v>0</v>
      </c>
      <c r="G87" s="50" t="n">
        <f aca="false">IF($A87="","",IF(ISNUMBER($G86),$G86+1,1))</f>
        <v>83</v>
      </c>
      <c r="H87" s="51" t="n">
        <f aca="false">IF(OR(NOT(ISNUMBER($G87)),$G87&lt;2,NOT(ISNUMBER($C86)),$C86=0),"",$C87/$C86-1)</f>
        <v>-0.00475106983466755</v>
      </c>
      <c r="I87" s="52" t="n">
        <f aca="false">IF(AND(ISNUMBER($G87),$G87&gt;=MA_SHORT),AVERAGE(INDEX($C$5:$C87,84-MA_SHORT):$C87),"")</f>
        <v>700749408.95</v>
      </c>
      <c r="J87" s="52" t="n">
        <f aca="false">IF(AND(ISNUMBER($G87),$G87&gt;=MA_MED),AVERAGE(INDEX($C$5:$C87,84-MA_MED):$C87),"")</f>
        <v>671554469.5</v>
      </c>
      <c r="K87" s="52" t="str">
        <f aca="false">IF(AND(ISNUMBER($G87),$G87&gt;=MA_LONG2),AVERAGE(INDEX($C$5:$C87,84-MA_LONG2):$C87),"")</f>
        <v/>
      </c>
      <c r="L87" s="53" t="n">
        <f aca="false">IF(AND(ISNUMBER($G87),$G87&gt;=21),STDEV(INDEX($H$27:$H87,62-20):$H87)*SQRT(245),"")</f>
        <v>0.205601650047235</v>
      </c>
      <c r="M87" s="52" t="n">
        <f aca="false">IF(AND(ISNUMBER($G87),$G87&gt;=60),MAX(INDEX($D$5:$D87,84-60):$D87),"")</f>
        <v>731619806</v>
      </c>
      <c r="N87" s="52" t="n">
        <f aca="false">IF(AND(ISNUMBER($G87),$G87&gt;=60),MIN(INDEX($E$5:$E87,84-60):$E87),"")</f>
        <v>614075019</v>
      </c>
      <c r="O87" s="53" t="n">
        <f aca="false">IF(OR(NOT(ISNUMBER($C87)),NOT(ISNUMBER($M87)),$M87=0),"",$C87/$M87-1)</f>
        <v>-0.013018273865593</v>
      </c>
      <c r="P87" s="54"/>
      <c r="Q87" s="53" t="str">
        <f aca="false">IF(NOT(ISNUMBER($P87)),"",IFERROR(PERCENTRANK($P$5:$P$1204,$P87),""))</f>
        <v/>
      </c>
    </row>
    <row r="88" customFormat="false" ht="15" hidden="false" customHeight="false" outlineLevel="0" collapsed="false">
      <c r="A88" s="47" t="n">
        <v>45685</v>
      </c>
      <c r="B88" s="48" t="s">
        <v>236</v>
      </c>
      <c r="C88" s="49" t="n">
        <v>721490584</v>
      </c>
      <c r="D88" s="49" t="n">
        <v>723735987</v>
      </c>
      <c r="E88" s="49" t="n">
        <v>714946039</v>
      </c>
      <c r="F88" s="49" t="n">
        <v>0</v>
      </c>
      <c r="G88" s="50" t="n">
        <f aca="false">IF($A88="","",IF(ISNUMBER($G87),$G87+1,1))</f>
        <v>84</v>
      </c>
      <c r="H88" s="51" t="n">
        <f aca="false">IF(OR(NOT(ISNUMBER($G88)),$G88&lt;2,NOT(ISNUMBER($C87)),$C87=0),"",$C88/$C87-1)</f>
        <v>-0.000837555560648462</v>
      </c>
      <c r="I88" s="52" t="n">
        <f aca="false">IF(AND(ISNUMBER($G88),$G88&gt;=MA_SHORT),AVERAGE(INDEX($C$5:$C88,85-MA_SHORT):$C88),"")</f>
        <v>702962390.05</v>
      </c>
      <c r="J88" s="52" t="n">
        <f aca="false">IF(AND(ISNUMBER($G88),$G88&gt;=MA_MED),AVERAGE(INDEX($C$5:$C88,85-MA_MED):$C88),"")</f>
        <v>673202738.52</v>
      </c>
      <c r="K88" s="52" t="str">
        <f aca="false">IF(AND(ISNUMBER($G88),$G88&gt;=MA_LONG2),AVERAGE(INDEX($C$5:$C88,85-MA_LONG2):$C88),"")</f>
        <v/>
      </c>
      <c r="L88" s="53" t="n">
        <f aca="false">IF(AND(ISNUMBER($G88),$G88&gt;=21),STDEV(INDEX($H$28:$H88,62-20):$H88)*SQRT(245),"")</f>
        <v>0.198227309235132</v>
      </c>
      <c r="M88" s="52" t="n">
        <f aca="false">IF(AND(ISNUMBER($G88),$G88&gt;=60),MAX(INDEX($D$5:$D88,85-60):$D88),"")</f>
        <v>731619806</v>
      </c>
      <c r="N88" s="52" t="n">
        <f aca="false">IF(AND(ISNUMBER($G88),$G88&gt;=60),MIN(INDEX($E$5:$E88,85-60):$E88),"")</f>
        <v>614610898</v>
      </c>
      <c r="O88" s="53" t="n">
        <f aca="false">IF(OR(NOT(ISNUMBER($C88)),NOT(ISNUMBER($M88)),$M88=0),"",$C88/$M88-1)</f>
        <v>-0.0138449258985752</v>
      </c>
      <c r="P88" s="54"/>
      <c r="Q88" s="53" t="str">
        <f aca="false">IF(NOT(ISNUMBER($P88)),"",IFERROR(PERCENTRANK($P$5:$P$1204,$P88),""))</f>
        <v/>
      </c>
    </row>
    <row r="89" customFormat="false" ht="15" hidden="false" customHeight="false" outlineLevel="0" collapsed="false">
      <c r="A89" s="47" t="n">
        <v>45686</v>
      </c>
      <c r="B89" s="48" t="s">
        <v>237</v>
      </c>
      <c r="C89" s="49" t="n">
        <v>721638233</v>
      </c>
      <c r="D89" s="49" t="n">
        <v>724850267</v>
      </c>
      <c r="E89" s="49" t="n">
        <v>716028023</v>
      </c>
      <c r="F89" s="49" t="n">
        <v>0</v>
      </c>
      <c r="G89" s="50" t="n">
        <f aca="false">IF($A89="","",IF(ISNUMBER($G88),$G88+1,1))</f>
        <v>85</v>
      </c>
      <c r="H89" s="51" t="n">
        <f aca="false">IF(OR(NOT(ISNUMBER($G89)),$G89&lt;2,NOT(ISNUMBER($C88)),$C88=0),"",$C89/$C88-1)</f>
        <v>0.000204644389371511</v>
      </c>
      <c r="I89" s="52" t="n">
        <f aca="false">IF(AND(ISNUMBER($G89),$G89&gt;=MA_SHORT),AVERAGE(INDEX($C$5:$C89,86-MA_SHORT):$C89),"")</f>
        <v>704407933.3</v>
      </c>
      <c r="J89" s="52" t="n">
        <f aca="false">IF(AND(ISNUMBER($G89),$G89&gt;=MA_MED),AVERAGE(INDEX($C$5:$C89,86-MA_MED):$C89),"")</f>
        <v>674814182.02</v>
      </c>
      <c r="K89" s="52" t="str">
        <f aca="false">IF(AND(ISNUMBER($G89),$G89&gt;=MA_LONG2),AVERAGE(INDEX($C$5:$C89,86-MA_LONG2):$C89),"")</f>
        <v/>
      </c>
      <c r="L89" s="53" t="n">
        <f aca="false">IF(AND(ISNUMBER($G89),$G89&gt;=21),STDEV(INDEX($H$29:$H89,62-20):$H89)*SQRT(245),"")</f>
        <v>0.184689011208798</v>
      </c>
      <c r="M89" s="52" t="n">
        <f aca="false">IF(AND(ISNUMBER($G89),$G89&gt;=60),MAX(INDEX($D$5:$D89,86-60):$D89),"")</f>
        <v>731619806</v>
      </c>
      <c r="N89" s="52" t="n">
        <f aca="false">IF(AND(ISNUMBER($G89),$G89&gt;=60),MIN(INDEX($E$5:$E89,86-60):$E89),"")</f>
        <v>618853324</v>
      </c>
      <c r="O89" s="53" t="n">
        <f aca="false">IF(OR(NOT(ISNUMBER($C89)),NOT(ISNUMBER($M89)),$M89=0),"",$C89/$M89-1)</f>
        <v>-0.0136431147956101</v>
      </c>
      <c r="P89" s="54"/>
      <c r="Q89" s="53" t="str">
        <f aca="false">IF(NOT(ISNUMBER($P89)),"",IFERROR(PERCENTRANK($P$5:$P$1204,$P89),""))</f>
        <v/>
      </c>
    </row>
    <row r="90" customFormat="false" ht="15" hidden="false" customHeight="false" outlineLevel="0" collapsed="false">
      <c r="A90" s="47" t="n">
        <v>45689</v>
      </c>
      <c r="B90" s="48" t="s">
        <v>238</v>
      </c>
      <c r="C90" s="49" t="n">
        <v>737030836</v>
      </c>
      <c r="D90" s="49" t="n">
        <v>737601883</v>
      </c>
      <c r="E90" s="49" t="n">
        <v>735112589</v>
      </c>
      <c r="F90" s="49" t="n">
        <v>0</v>
      </c>
      <c r="G90" s="50" t="n">
        <f aca="false">IF($A90="","",IF(ISNUMBER($G89),$G89+1,1))</f>
        <v>86</v>
      </c>
      <c r="H90" s="51" t="n">
        <f aca="false">IF(OR(NOT(ISNUMBER($G90)),$G90&lt;2,NOT(ISNUMBER($C89)),$C89=0),"",$C90/$C89-1)</f>
        <v>0.0213300824375806</v>
      </c>
      <c r="I90" s="52" t="n">
        <f aca="false">IF(AND(ISNUMBER($G90),$G90&gt;=MA_SHORT),AVERAGE(INDEX($C$5:$C90,87-MA_SHORT):$C90),"")</f>
        <v>706653083.4</v>
      </c>
      <c r="J90" s="52" t="n">
        <f aca="false">IF(AND(ISNUMBER($G90),$G90&gt;=MA_MED),AVERAGE(INDEX($C$5:$C90,87-MA_MED):$C90),"")</f>
        <v>676584199.16</v>
      </c>
      <c r="K90" s="52" t="str">
        <f aca="false">IF(AND(ISNUMBER($G90),$G90&gt;=MA_LONG2),AVERAGE(INDEX($C$5:$C90,87-MA_LONG2):$C90),"")</f>
        <v/>
      </c>
      <c r="L90" s="53" t="n">
        <f aca="false">IF(AND(ISNUMBER($G90),$G90&gt;=21),STDEV(INDEX($H$30:$H90,62-20):$H90)*SQRT(245),"")</f>
        <v>0.196062171173403</v>
      </c>
      <c r="M90" s="52" t="n">
        <f aca="false">IF(AND(ISNUMBER($G90),$G90&gt;=60),MAX(INDEX($D$5:$D90,87-60):$D90),"")</f>
        <v>737601883</v>
      </c>
      <c r="N90" s="52" t="n">
        <f aca="false">IF(AND(ISNUMBER($G90),$G90&gt;=60),MIN(INDEX($E$5:$E90,87-60):$E90),"")</f>
        <v>618853324</v>
      </c>
      <c r="O90" s="53" t="n">
        <f aca="false">IF(OR(NOT(ISNUMBER($C90)),NOT(ISNUMBER($M90)),$M90=0),"",$C90/$M90-1)</f>
        <v>-0.000774194064794731</v>
      </c>
      <c r="P90" s="54"/>
      <c r="Q90" s="53" t="str">
        <f aca="false">IF(NOT(ISNUMBER($P90)),"",IFERROR(PERCENTRANK($P$5:$P$1204,$P90),""))</f>
        <v/>
      </c>
    </row>
    <row r="91" customFormat="false" ht="15" hidden="false" customHeight="false" outlineLevel="0" collapsed="false">
      <c r="A91" s="47" t="n">
        <v>45690</v>
      </c>
      <c r="B91" s="48" t="s">
        <v>239</v>
      </c>
      <c r="C91" s="49" t="n">
        <v>730685548</v>
      </c>
      <c r="D91" s="49" t="n">
        <v>734285412</v>
      </c>
      <c r="E91" s="49" t="n">
        <v>729739073</v>
      </c>
      <c r="F91" s="49" t="n">
        <v>0</v>
      </c>
      <c r="G91" s="50" t="n">
        <f aca="false">IF($A91="","",IF(ISNUMBER($G90),$G90+1,1))</f>
        <v>87</v>
      </c>
      <c r="H91" s="51" t="n">
        <f aca="false">IF(OR(NOT(ISNUMBER($G91)),$G91&lt;2,NOT(ISNUMBER($C90)),$C90=0),"",$C91/$C90-1)</f>
        <v>-0.00860925715732197</v>
      </c>
      <c r="I91" s="52" t="n">
        <f aca="false">IF(AND(ISNUMBER($G91),$G91&gt;=MA_SHORT),AVERAGE(INDEX($C$5:$C91,88-MA_SHORT):$C91),"")</f>
        <v>708410196.15</v>
      </c>
      <c r="J91" s="52" t="n">
        <f aca="false">IF(AND(ISNUMBER($G91),$G91&gt;=MA_MED),AVERAGE(INDEX($C$5:$C91,88-MA_MED):$C91),"")</f>
        <v>678076815.24</v>
      </c>
      <c r="K91" s="52" t="str">
        <f aca="false">IF(AND(ISNUMBER($G91),$G91&gt;=MA_LONG2),AVERAGE(INDEX($C$5:$C91,88-MA_LONG2):$C91),"")</f>
        <v/>
      </c>
      <c r="L91" s="53" t="n">
        <f aca="false">IF(AND(ISNUMBER($G91),$G91&gt;=21),STDEV(INDEX($H$31:$H91,62-20):$H91)*SQRT(245),"")</f>
        <v>0.200223136732345</v>
      </c>
      <c r="M91" s="52" t="n">
        <f aca="false">IF(AND(ISNUMBER($G91),$G91&gt;=60),MAX(INDEX($D$5:$D91,88-60):$D91),"")</f>
        <v>737601883</v>
      </c>
      <c r="N91" s="52" t="n">
        <f aca="false">IF(AND(ISNUMBER($G91),$G91&gt;=60),MIN(INDEX($E$5:$E91,88-60):$E91),"")</f>
        <v>618853324</v>
      </c>
      <c r="O91" s="53" t="n">
        <f aca="false">IF(OR(NOT(ISNUMBER($C91)),NOT(ISNUMBER($M91)),$M91=0),"",$C91/$M91-1)</f>
        <v>-0.00937678598632319</v>
      </c>
      <c r="P91" s="54"/>
      <c r="Q91" s="53" t="str">
        <f aca="false">IF(NOT(ISNUMBER($P91)),"",IFERROR(PERCENTRANK($P$5:$P$1204,$P91),""))</f>
        <v/>
      </c>
    </row>
    <row r="92" customFormat="false" ht="15" hidden="false" customHeight="false" outlineLevel="0" collapsed="false">
      <c r="A92" s="47" t="n">
        <v>45691</v>
      </c>
      <c r="B92" s="48" t="s">
        <v>240</v>
      </c>
      <c r="C92" s="49" t="n">
        <v>724628470</v>
      </c>
      <c r="D92" s="49" t="n">
        <v>727065317</v>
      </c>
      <c r="E92" s="49" t="n">
        <v>723857602</v>
      </c>
      <c r="F92" s="49" t="n">
        <v>0</v>
      </c>
      <c r="G92" s="50" t="n">
        <f aca="false">IF($A92="","",IF(ISNUMBER($G91),$G91+1,1))</f>
        <v>88</v>
      </c>
      <c r="H92" s="51" t="n">
        <f aca="false">IF(OR(NOT(ISNUMBER($G92)),$G92&lt;2,NOT(ISNUMBER($C91)),$C91=0),"",$C92/$C91-1)</f>
        <v>-0.00828958231975319</v>
      </c>
      <c r="I92" s="52" t="n">
        <f aca="false">IF(AND(ISNUMBER($G92),$G92&gt;=MA_SHORT),AVERAGE(INDEX($C$5:$C92,89-MA_SHORT):$C92),"")</f>
        <v>709464270.6</v>
      </c>
      <c r="J92" s="52" t="n">
        <f aca="false">IF(AND(ISNUMBER($G92),$G92&gt;=MA_MED),AVERAGE(INDEX($C$5:$C92,89-MA_MED):$C92),"")</f>
        <v>679725744.9</v>
      </c>
      <c r="K92" s="52" t="str">
        <f aca="false">IF(AND(ISNUMBER($G92),$G92&gt;=MA_LONG2),AVERAGE(INDEX($C$5:$C92,89-MA_LONG2):$C92),"")</f>
        <v/>
      </c>
      <c r="L92" s="53" t="n">
        <f aca="false">IF(AND(ISNUMBER($G92),$G92&gt;=21),STDEV(INDEX($H$32:$H92,62-20):$H92)*SQRT(245),"")</f>
        <v>0.200784893198246</v>
      </c>
      <c r="M92" s="52" t="n">
        <f aca="false">IF(AND(ISNUMBER($G92),$G92&gt;=60),MAX(INDEX($D$5:$D92,89-60):$D92),"")</f>
        <v>737601883</v>
      </c>
      <c r="N92" s="52" t="n">
        <f aca="false">IF(AND(ISNUMBER($G92),$G92&gt;=60),MIN(INDEX($E$5:$E92,89-60):$E92),"")</f>
        <v>618853324</v>
      </c>
      <c r="O92" s="53" t="n">
        <f aca="false">IF(OR(NOT(ISNUMBER($C92)),NOT(ISNUMBER($M92)),$M92=0),"",$C92/$M92-1)</f>
        <v>-0.0175886386667481</v>
      </c>
      <c r="P92" s="54"/>
      <c r="Q92" s="53" t="str">
        <f aca="false">IF(NOT(ISNUMBER($P92)),"",IFERROR(PERCENTRANK($P$5:$P$1204,$P92),""))</f>
        <v/>
      </c>
    </row>
    <row r="93" customFormat="false" ht="15" hidden="false" customHeight="false" outlineLevel="0" collapsed="false">
      <c r="A93" s="47" t="n">
        <v>45692</v>
      </c>
      <c r="B93" s="48" t="s">
        <v>241</v>
      </c>
      <c r="C93" s="49" t="n">
        <v>724795910</v>
      </c>
      <c r="D93" s="49" t="n">
        <v>730395773</v>
      </c>
      <c r="E93" s="49" t="n">
        <v>722295820</v>
      </c>
      <c r="F93" s="49" t="n">
        <v>0</v>
      </c>
      <c r="G93" s="50" t="n">
        <f aca="false">IF($A93="","",IF(ISNUMBER($G92),$G92+1,1))</f>
        <v>89</v>
      </c>
      <c r="H93" s="51" t="n">
        <f aca="false">IF(OR(NOT(ISNUMBER($G93)),$G93&lt;2,NOT(ISNUMBER($C92)),$C92=0),"",$C93/$C92-1)</f>
        <v>0.000231070137225009</v>
      </c>
      <c r="I93" s="52" t="n">
        <f aca="false">IF(AND(ISNUMBER($G93),$G93&gt;=MA_SHORT),AVERAGE(INDEX($C$5:$C93,90-MA_SHORT):$C93),"")</f>
        <v>710561142.55</v>
      </c>
      <c r="J93" s="52" t="n">
        <f aca="false">IF(AND(ISNUMBER($G93),$G93&gt;=MA_MED),AVERAGE(INDEX($C$5:$C93,90-MA_MED):$C93),"")</f>
        <v>681372333.88</v>
      </c>
      <c r="K93" s="52" t="str">
        <f aca="false">IF(AND(ISNUMBER($G93),$G93&gt;=MA_LONG2),AVERAGE(INDEX($C$5:$C93,90-MA_LONG2):$C93),"")</f>
        <v/>
      </c>
      <c r="L93" s="53" t="n">
        <f aca="false">IF(AND(ISNUMBER($G93),$G93&gt;=21),STDEV(INDEX($H$33:$H93,62-20):$H93)*SQRT(245),"")</f>
        <v>0.200632635852299</v>
      </c>
      <c r="M93" s="52" t="n">
        <f aca="false">IF(AND(ISNUMBER($G93),$G93&gt;=60),MAX(INDEX($D$5:$D93,90-60):$D93),"")</f>
        <v>737601883</v>
      </c>
      <c r="N93" s="52" t="n">
        <f aca="false">IF(AND(ISNUMBER($G93),$G93&gt;=60),MIN(INDEX($E$5:$E93,90-60):$E93),"")</f>
        <v>618853324</v>
      </c>
      <c r="O93" s="53" t="n">
        <f aca="false">IF(OR(NOT(ISNUMBER($C93)),NOT(ISNUMBER($M93)),$M93=0),"",$C93/$M93-1)</f>
        <v>-0.0173616327386735</v>
      </c>
      <c r="P93" s="54"/>
      <c r="Q93" s="53" t="str">
        <f aca="false">IF(NOT(ISNUMBER($P93)),"",IFERROR(PERCENTRANK($P$5:$P$1204,$P93),""))</f>
        <v/>
      </c>
    </row>
    <row r="94" customFormat="false" ht="15" hidden="false" customHeight="false" outlineLevel="0" collapsed="false">
      <c r="A94" s="47" t="n">
        <v>45693</v>
      </c>
      <c r="B94" s="48" t="s">
        <v>242</v>
      </c>
      <c r="C94" s="49" t="n">
        <v>737150601</v>
      </c>
      <c r="D94" s="49" t="n">
        <v>738383492</v>
      </c>
      <c r="E94" s="49" t="n">
        <v>733365783</v>
      </c>
      <c r="F94" s="49" t="n">
        <v>0</v>
      </c>
      <c r="G94" s="50" t="n">
        <f aca="false">IF($A94="","",IF(ISNUMBER($G93),$G93+1,1))</f>
        <v>90</v>
      </c>
      <c r="H94" s="51" t="n">
        <f aca="false">IF(OR(NOT(ISNUMBER($G94)),$G94&lt;2,NOT(ISNUMBER($C93)),$C93=0),"",$C94/$C93-1)</f>
        <v>0.0170457515412856</v>
      </c>
      <c r="I94" s="52" t="n">
        <f aca="false">IF(AND(ISNUMBER($G94),$G94&gt;=MA_SHORT),AVERAGE(INDEX($C$5:$C94,91-MA_SHORT):$C94),"")</f>
        <v>712633762.2</v>
      </c>
      <c r="J94" s="52" t="n">
        <f aca="false">IF(AND(ISNUMBER($G94),$G94&gt;=MA_MED),AVERAGE(INDEX($C$5:$C94,91-MA_MED):$C94),"")</f>
        <v>683297705.92</v>
      </c>
      <c r="K94" s="52" t="str">
        <f aca="false">IF(AND(ISNUMBER($G94),$G94&gt;=MA_LONG2),AVERAGE(INDEX($C$5:$C94,91-MA_LONG2):$C94),"")</f>
        <v/>
      </c>
      <c r="L94" s="53" t="n">
        <f aca="false">IF(AND(ISNUMBER($G94),$G94&gt;=21),STDEV(INDEX($H$34:$H94,62-20):$H94)*SQRT(245),"")</f>
        <v>0.202605681203311</v>
      </c>
      <c r="M94" s="52" t="n">
        <f aca="false">IF(AND(ISNUMBER($G94),$G94&gt;=60),MAX(INDEX($D$5:$D94,91-60):$D94),"")</f>
        <v>738383492</v>
      </c>
      <c r="N94" s="52" t="n">
        <f aca="false">IF(AND(ISNUMBER($G94),$G94&gt;=60),MIN(INDEX($E$5:$E94,91-60):$E94),"")</f>
        <v>626872843</v>
      </c>
      <c r="O94" s="53" t="n">
        <f aca="false">IF(OR(NOT(ISNUMBER($C94)),NOT(ISNUMBER($M94)),$M94=0),"",$C94/$M94-1)</f>
        <v>-0.00166971636467739</v>
      </c>
      <c r="P94" s="54"/>
      <c r="Q94" s="53" t="str">
        <f aca="false">IF(NOT(ISNUMBER($P94)),"",IFERROR(PERCENTRANK($P$5:$P$1204,$P94),""))</f>
        <v/>
      </c>
    </row>
    <row r="95" customFormat="false" ht="15" hidden="false" customHeight="false" outlineLevel="0" collapsed="false">
      <c r="A95" s="47" t="n">
        <v>45696</v>
      </c>
      <c r="B95" s="48" t="s">
        <v>243</v>
      </c>
      <c r="C95" s="49" t="n">
        <v>736210923</v>
      </c>
      <c r="D95" s="49" t="n">
        <v>739042950</v>
      </c>
      <c r="E95" s="49" t="n">
        <v>733133940</v>
      </c>
      <c r="F95" s="49" t="n">
        <v>0</v>
      </c>
      <c r="G95" s="50" t="n">
        <f aca="false">IF($A95="","",IF(ISNUMBER($G94),$G94+1,1))</f>
        <v>91</v>
      </c>
      <c r="H95" s="51" t="n">
        <f aca="false">IF(OR(NOT(ISNUMBER($G95)),$G95&lt;2,NOT(ISNUMBER($C94)),$C94=0),"",$C95/$C94-1)</f>
        <v>-0.00127474358526636</v>
      </c>
      <c r="I95" s="52" t="n">
        <f aca="false">IF(AND(ISNUMBER($G95),$G95&gt;=MA_SHORT),AVERAGE(INDEX($C$5:$C95,92-MA_SHORT):$C95),"")</f>
        <v>714891415.45</v>
      </c>
      <c r="J95" s="52" t="n">
        <f aca="false">IF(AND(ISNUMBER($G95),$G95&gt;=MA_MED),AVERAGE(INDEX($C$5:$C95,92-MA_MED):$C95),"")</f>
        <v>685036484.1</v>
      </c>
      <c r="K95" s="52" t="str">
        <f aca="false">IF(AND(ISNUMBER($G95),$G95&gt;=MA_LONG2),AVERAGE(INDEX($C$5:$C95,92-MA_LONG2):$C95),"")</f>
        <v/>
      </c>
      <c r="L95" s="53" t="n">
        <f aca="false">IF(AND(ISNUMBER($G95),$G95&gt;=21),STDEV(INDEX($H$35:$H95,62-20):$H95)*SQRT(245),"")</f>
        <v>0.200158206609918</v>
      </c>
      <c r="M95" s="52" t="n">
        <f aca="false">IF(AND(ISNUMBER($G95),$G95&gt;=60),MAX(INDEX($D$5:$D95,92-60):$D95),"")</f>
        <v>739042950</v>
      </c>
      <c r="N95" s="52" t="n">
        <f aca="false">IF(AND(ISNUMBER($G95),$G95&gt;=60),MIN(INDEX($E$5:$E95,92-60):$E95),"")</f>
        <v>626872843</v>
      </c>
      <c r="O95" s="53" t="n">
        <f aca="false">IF(OR(NOT(ISNUMBER($C95)),NOT(ISNUMBER($M95)),$M95=0),"",$C95/$M95-1)</f>
        <v>-0.00383201950576761</v>
      </c>
      <c r="P95" s="54"/>
      <c r="Q95" s="53" t="str">
        <f aca="false">IF(NOT(ISNUMBER($P95)),"",IFERROR(PERCENTRANK($P$5:$P$1204,$P95),""))</f>
        <v/>
      </c>
    </row>
    <row r="96" customFormat="false" ht="15" hidden="false" customHeight="false" outlineLevel="0" collapsed="false">
      <c r="A96" s="47" t="n">
        <v>45697</v>
      </c>
      <c r="B96" s="48" t="s">
        <v>244</v>
      </c>
      <c r="C96" s="49" t="n">
        <v>732967263</v>
      </c>
      <c r="D96" s="49" t="n">
        <v>736714389</v>
      </c>
      <c r="E96" s="49" t="n">
        <v>731398050</v>
      </c>
      <c r="F96" s="49" t="n">
        <v>0</v>
      </c>
      <c r="G96" s="50" t="n">
        <f aca="false">IF($A96="","",IF(ISNUMBER($G95),$G95+1,1))</f>
        <v>92</v>
      </c>
      <c r="H96" s="51" t="n">
        <f aca="false">IF(OR(NOT(ISNUMBER($G96)),$G96&lt;2,NOT(ISNUMBER($C95)),$C95=0),"",$C96/$C95-1)</f>
        <v>-0.00440588410014664</v>
      </c>
      <c r="I96" s="52" t="n">
        <f aca="false">IF(AND(ISNUMBER($G96),$G96&gt;=MA_SHORT),AVERAGE(INDEX($C$5:$C96,93-MA_SHORT):$C96),"")</f>
        <v>716811094.65</v>
      </c>
      <c r="J96" s="52" t="n">
        <f aca="false">IF(AND(ISNUMBER($G96),$G96&gt;=MA_MED),AVERAGE(INDEX($C$5:$C96,93-MA_MED):$C96),"")</f>
        <v>686853897.18</v>
      </c>
      <c r="K96" s="52" t="str">
        <f aca="false">IF(AND(ISNUMBER($G96),$G96&gt;=MA_LONG2),AVERAGE(INDEX($C$5:$C96,93-MA_LONG2):$C96),"")</f>
        <v/>
      </c>
      <c r="L96" s="53" t="n">
        <f aca="false">IF(AND(ISNUMBER($G96),$G96&gt;=21),STDEV(INDEX($H$36:$H96,62-20):$H96)*SQRT(245),"")</f>
        <v>0.201783824702418</v>
      </c>
      <c r="M96" s="52" t="n">
        <f aca="false">IF(AND(ISNUMBER($G96),$G96&gt;=60),MAX(INDEX($D$5:$D96,93-60):$D96),"")</f>
        <v>739042950</v>
      </c>
      <c r="N96" s="52" t="n">
        <f aca="false">IF(AND(ISNUMBER($G96),$G96&gt;=60),MIN(INDEX($E$5:$E96,93-60):$E96),"")</f>
        <v>628086366</v>
      </c>
      <c r="O96" s="53" t="n">
        <f aca="false">IF(OR(NOT(ISNUMBER($C96)),NOT(ISNUMBER($M96)),$M96=0),"",$C96/$M96-1)</f>
        <v>-0.00822102017210236</v>
      </c>
      <c r="P96" s="54"/>
      <c r="Q96" s="53" t="str">
        <f aca="false">IF(NOT(ISNUMBER($P96)),"",IFERROR(PERCENTRANK($P$5:$P$1204,$P96),""))</f>
        <v/>
      </c>
    </row>
    <row r="97" customFormat="false" ht="15" hidden="false" customHeight="false" outlineLevel="0" collapsed="false">
      <c r="A97" s="47" t="n">
        <v>45698</v>
      </c>
      <c r="B97" s="48" t="s">
        <v>245</v>
      </c>
      <c r="C97" s="49" t="n">
        <v>732498892</v>
      </c>
      <c r="D97" s="49" t="n">
        <v>734279080</v>
      </c>
      <c r="E97" s="49" t="n">
        <v>730749675</v>
      </c>
      <c r="F97" s="49" t="n">
        <v>0</v>
      </c>
      <c r="G97" s="50" t="n">
        <f aca="false">IF($A97="","",IF(ISNUMBER($G96),$G96+1,1))</f>
        <v>93</v>
      </c>
      <c r="H97" s="51" t="n">
        <f aca="false">IF(OR(NOT(ISNUMBER($G97)),$G97&lt;2,NOT(ISNUMBER($C96)),$C96=0),"",$C97/$C96-1)</f>
        <v>-0.00063900671099959</v>
      </c>
      <c r="I97" s="52" t="n">
        <f aca="false">IF(AND(ISNUMBER($G97),$G97&gt;=MA_SHORT),AVERAGE(INDEX($C$5:$C97,94-MA_SHORT):$C97),"")</f>
        <v>718378932.8</v>
      </c>
      <c r="J97" s="52" t="n">
        <f aca="false">IF(AND(ISNUMBER($G97),$G97&gt;=MA_MED),AVERAGE(INDEX($C$5:$C97,94-MA_MED):$C97),"")</f>
        <v>688566664.96</v>
      </c>
      <c r="K97" s="52" t="str">
        <f aca="false">IF(AND(ISNUMBER($G97),$G97&gt;=MA_LONG2),AVERAGE(INDEX($C$5:$C97,94-MA_LONG2):$C97),"")</f>
        <v/>
      </c>
      <c r="L97" s="53" t="n">
        <f aca="false">IF(AND(ISNUMBER($G97),$G97&gt;=21),STDEV(INDEX($H$37:$H97,62-20):$H97)*SQRT(245),"")</f>
        <v>0.200561421007512</v>
      </c>
      <c r="M97" s="52" t="n">
        <f aca="false">IF(AND(ISNUMBER($G97),$G97&gt;=60),MAX(INDEX($D$5:$D97,94-60):$D97),"")</f>
        <v>739042950</v>
      </c>
      <c r="N97" s="52" t="n">
        <f aca="false">IF(AND(ISNUMBER($G97),$G97&gt;=60),MIN(INDEX($E$5:$E97,94-60):$E97),"")</f>
        <v>630263781</v>
      </c>
      <c r="O97" s="53" t="n">
        <f aca="false">IF(OR(NOT(ISNUMBER($C97)),NOT(ISNUMBER($M97)),$M97=0),"",$C97/$M97-1)</f>
        <v>-0.0088547735960407</v>
      </c>
      <c r="P97" s="54"/>
      <c r="Q97" s="53" t="str">
        <f aca="false">IF(NOT(ISNUMBER($P97)),"",IFERROR(PERCENTRANK($P$5:$P$1204,$P97),""))</f>
        <v/>
      </c>
    </row>
    <row r="98" customFormat="false" ht="15" hidden="false" customHeight="false" outlineLevel="0" collapsed="false">
      <c r="A98" s="47" t="n">
        <v>45699</v>
      </c>
      <c r="B98" s="48" t="s">
        <v>246</v>
      </c>
      <c r="C98" s="49" t="n">
        <v>738193361</v>
      </c>
      <c r="D98" s="49" t="n">
        <v>741027465</v>
      </c>
      <c r="E98" s="49" t="n">
        <v>731233182</v>
      </c>
      <c r="F98" s="49" t="n">
        <v>0</v>
      </c>
      <c r="G98" s="50" t="n">
        <f aca="false">IF($A98="","",IF(ISNUMBER($G97),$G97+1,1))</f>
        <v>94</v>
      </c>
      <c r="H98" s="51" t="n">
        <f aca="false">IF(OR(NOT(ISNUMBER($G98)),$G98&lt;2,NOT(ISNUMBER($C97)),$C97=0),"",$C98/$C97-1)</f>
        <v>0.00777403087184458</v>
      </c>
      <c r="I98" s="52" t="n">
        <f aca="false">IF(AND(ISNUMBER($G98),$G98&gt;=MA_SHORT),AVERAGE(INDEX($C$5:$C98,95-MA_SHORT):$C98),"")</f>
        <v>720108556</v>
      </c>
      <c r="J98" s="52" t="n">
        <f aca="false">IF(AND(ISNUMBER($G98),$G98&gt;=MA_MED),AVERAGE(INDEX($C$5:$C98,95-MA_MED):$C98),"")</f>
        <v>690410612.02</v>
      </c>
      <c r="K98" s="52" t="str">
        <f aca="false">IF(AND(ISNUMBER($G98),$G98&gt;=MA_LONG2),AVERAGE(INDEX($C$5:$C98,95-MA_LONG2):$C98),"")</f>
        <v/>
      </c>
      <c r="L98" s="53" t="n">
        <f aca="false">IF(AND(ISNUMBER($G98),$G98&gt;=21),STDEV(INDEX($H$38:$H98,62-20):$H98)*SQRT(245),"")</f>
        <v>0.201455527982255</v>
      </c>
      <c r="M98" s="52" t="n">
        <f aca="false">IF(AND(ISNUMBER($G98),$G98&gt;=60),MAX(INDEX($D$5:$D98,95-60):$D98),"")</f>
        <v>741027465</v>
      </c>
      <c r="N98" s="52" t="n">
        <f aca="false">IF(AND(ISNUMBER($G98),$G98&gt;=60),MIN(INDEX($E$5:$E98,95-60):$E98),"")</f>
        <v>630263781</v>
      </c>
      <c r="O98" s="53" t="n">
        <f aca="false">IF(OR(NOT(ISNUMBER($C98)),NOT(ISNUMBER($M98)),$M98=0),"",$C98/$M98-1)</f>
        <v>-0.00382455999792131</v>
      </c>
      <c r="P98" s="54"/>
      <c r="Q98" s="53" t="str">
        <f aca="false">IF(NOT(ISNUMBER($P98)),"",IFERROR(PERCENTRANK($P$5:$P$1204,$P98),""))</f>
        <v/>
      </c>
    </row>
    <row r="99" customFormat="false" ht="15" hidden="false" customHeight="false" outlineLevel="0" collapsed="false">
      <c r="A99" s="47" t="n">
        <v>45700</v>
      </c>
      <c r="B99" s="48" t="s">
        <v>247</v>
      </c>
      <c r="C99" s="49" t="n">
        <v>755952615</v>
      </c>
      <c r="D99" s="49" t="n">
        <v>757134500</v>
      </c>
      <c r="E99" s="49" t="n">
        <v>751621726</v>
      </c>
      <c r="F99" s="49" t="n">
        <v>0</v>
      </c>
      <c r="G99" s="50" t="n">
        <f aca="false">IF($A99="","",IF(ISNUMBER($G98),$G98+1,1))</f>
        <v>95</v>
      </c>
      <c r="H99" s="51" t="n">
        <f aca="false">IF(OR(NOT(ISNUMBER($G99)),$G99&lt;2,NOT(ISNUMBER($C98)),$C98=0),"",$C99/$C98-1)</f>
        <v>0.0240577265229565</v>
      </c>
      <c r="I99" s="52" t="n">
        <f aca="false">IF(AND(ISNUMBER($G99),$G99&gt;=MA_SHORT),AVERAGE(INDEX($C$5:$C99,96-MA_SHORT):$C99),"")</f>
        <v>723488935.2</v>
      </c>
      <c r="J99" s="52" t="n">
        <f aca="false">IF(AND(ISNUMBER($G99),$G99&gt;=MA_MED),AVERAGE(INDEX($C$5:$C99,96-MA_MED):$C99),"")</f>
        <v>692762915.6</v>
      </c>
      <c r="K99" s="52" t="str">
        <f aca="false">IF(AND(ISNUMBER($G99),$G99&gt;=MA_LONG2),AVERAGE(INDEX($C$5:$C99,96-MA_LONG2):$C99),"")</f>
        <v/>
      </c>
      <c r="L99" s="53" t="n">
        <f aca="false">IF(AND(ISNUMBER($G99),$G99&gt;=21),STDEV(INDEX($H$39:$H99,62-20):$H99)*SQRT(245),"")</f>
        <v>0.194190212920992</v>
      </c>
      <c r="M99" s="52" t="n">
        <f aca="false">IF(AND(ISNUMBER($G99),$G99&gt;=60),MAX(INDEX($D$5:$D99,96-60):$D99),"")</f>
        <v>757134500</v>
      </c>
      <c r="N99" s="52" t="n">
        <f aca="false">IF(AND(ISNUMBER($G99),$G99&gt;=60),MIN(INDEX($E$5:$E99,96-60):$E99),"")</f>
        <v>630263781</v>
      </c>
      <c r="O99" s="53" t="n">
        <f aca="false">IF(OR(NOT(ISNUMBER($C99)),NOT(ISNUMBER($M99)),$M99=0),"",$C99/$M99-1)</f>
        <v>-0.00156099741855642</v>
      </c>
      <c r="P99" s="54"/>
      <c r="Q99" s="53" t="str">
        <f aca="false">IF(NOT(ISNUMBER($P99)),"",IFERROR(PERCENTRANK($P$5:$P$1204,$P99),""))</f>
        <v/>
      </c>
    </row>
    <row r="100" customFormat="false" ht="15" hidden="false" customHeight="false" outlineLevel="0" collapsed="false">
      <c r="A100" s="47" t="n">
        <v>45703</v>
      </c>
      <c r="B100" s="48" t="s">
        <v>248</v>
      </c>
      <c r="C100" s="49" t="n">
        <v>750515722</v>
      </c>
      <c r="D100" s="49" t="n">
        <v>754031343</v>
      </c>
      <c r="E100" s="49" t="n">
        <v>750094292</v>
      </c>
      <c r="F100" s="49" t="n">
        <v>0</v>
      </c>
      <c r="G100" s="50" t="n">
        <f aca="false">IF($A100="","",IF(ISNUMBER($G99),$G99+1,1))</f>
        <v>96</v>
      </c>
      <c r="H100" s="51" t="n">
        <f aca="false">IF(OR(NOT(ISNUMBER($G100)),$G100&lt;2,NOT(ISNUMBER($C99)),$C99=0),"",$C100/$C99-1)</f>
        <v>-0.00719210819847482</v>
      </c>
      <c r="I100" s="52" t="n">
        <f aca="false">IF(AND(ISNUMBER($G100),$G100&gt;=MA_SHORT),AVERAGE(INDEX($C$5:$C100,97-MA_SHORT):$C100),"")</f>
        <v>726305016.85</v>
      </c>
      <c r="J100" s="52" t="n">
        <f aca="false">IF(AND(ISNUMBER($G100),$G100&gt;=MA_MED),AVERAGE(INDEX($C$5:$C100,97-MA_MED):$C100),"")</f>
        <v>694962220.02</v>
      </c>
      <c r="K100" s="52" t="str">
        <f aca="false">IF(AND(ISNUMBER($G100),$G100&gt;=MA_LONG2),AVERAGE(INDEX($C$5:$C100,97-MA_LONG2):$C100),"")</f>
        <v/>
      </c>
      <c r="L100" s="53" t="n">
        <f aca="false">IF(AND(ISNUMBER($G100),$G100&gt;=21),STDEV(INDEX($H$40:$H100,62-20):$H100)*SQRT(245),"")</f>
        <v>0.198030987006139</v>
      </c>
      <c r="M100" s="52" t="n">
        <f aca="false">IF(AND(ISNUMBER($G100),$G100&gt;=60),MAX(INDEX($D$5:$D100,97-60):$D100),"")</f>
        <v>757134500</v>
      </c>
      <c r="N100" s="52" t="n">
        <f aca="false">IF(AND(ISNUMBER($G100),$G100&gt;=60),MIN(INDEX($E$5:$E100,97-60):$E100),"")</f>
        <v>630263781</v>
      </c>
      <c r="O100" s="53" t="n">
        <f aca="false">IF(OR(NOT(ISNUMBER($C100)),NOT(ISNUMBER($M100)),$M100=0),"",$C100/$M100-1)</f>
        <v>-0.00874187875469945</v>
      </c>
      <c r="P100" s="54"/>
      <c r="Q100" s="53" t="str">
        <f aca="false">IF(NOT(ISNUMBER($P100)),"",IFERROR(PERCENTRANK($P$5:$P$1204,$P100),""))</f>
        <v/>
      </c>
    </row>
    <row r="101" customFormat="false" ht="15" hidden="false" customHeight="false" outlineLevel="0" collapsed="false">
      <c r="A101" s="47" t="n">
        <v>45704</v>
      </c>
      <c r="B101" s="48" t="s">
        <v>249</v>
      </c>
      <c r="C101" s="49" t="n">
        <v>764137121</v>
      </c>
      <c r="D101" s="49" t="n">
        <v>765158592</v>
      </c>
      <c r="E101" s="49" t="n">
        <v>763442502</v>
      </c>
      <c r="F101" s="49" t="n">
        <v>0</v>
      </c>
      <c r="G101" s="50" t="n">
        <f aca="false">IF($A101="","",IF(ISNUMBER($G100),$G100+1,1))</f>
        <v>97</v>
      </c>
      <c r="H101" s="51" t="n">
        <f aca="false">IF(OR(NOT(ISNUMBER($G101)),$G101&lt;2,NOT(ISNUMBER($C100)),$C100=0),"",$C101/$C100-1)</f>
        <v>0.0181493852836303</v>
      </c>
      <c r="I101" s="52" t="n">
        <f aca="false">IF(AND(ISNUMBER($G101),$G101&gt;=MA_SHORT),AVERAGE(INDEX($C$5:$C101,98-MA_SHORT):$C101),"")</f>
        <v>729164823.45</v>
      </c>
      <c r="J101" s="52" t="n">
        <f aca="false">IF(AND(ISNUMBER($G101),$G101&gt;=MA_MED),AVERAGE(INDEX($C$5:$C101,98-MA_MED):$C101),"")</f>
        <v>697533235.22</v>
      </c>
      <c r="K101" s="52" t="str">
        <f aca="false">IF(AND(ISNUMBER($G101),$G101&gt;=MA_LONG2),AVERAGE(INDEX($C$5:$C101,98-MA_LONG2):$C101),"")</f>
        <v/>
      </c>
      <c r="L101" s="53" t="n">
        <f aca="false">IF(AND(ISNUMBER($G101),$G101&gt;=21),STDEV(INDEX($H$41:$H101,62-20):$H101)*SQRT(245),"")</f>
        <v>0.197833078216931</v>
      </c>
      <c r="M101" s="52" t="n">
        <f aca="false">IF(AND(ISNUMBER($G101),$G101&gt;=60),MAX(INDEX($D$5:$D101,98-60):$D101),"")</f>
        <v>765158592</v>
      </c>
      <c r="N101" s="52" t="n">
        <f aca="false">IF(AND(ISNUMBER($G101),$G101&gt;=60),MIN(INDEX($E$5:$E101,98-60):$E101),"")</f>
        <v>630263781</v>
      </c>
      <c r="O101" s="53" t="n">
        <f aca="false">IF(OR(NOT(ISNUMBER($C101)),NOT(ISNUMBER($M101)),$M101=0),"",$C101/$M101-1)</f>
        <v>-0.00133497945482131</v>
      </c>
      <c r="P101" s="54"/>
      <c r="Q101" s="53" t="str">
        <f aca="false">IF(NOT(ISNUMBER($P101)),"",IFERROR(PERCENTRANK($P$5:$P$1204,$P101),""))</f>
        <v/>
      </c>
    </row>
    <row r="102" customFormat="false" ht="15" hidden="false" customHeight="false" outlineLevel="0" collapsed="false">
      <c r="A102" s="47" t="n">
        <v>45705</v>
      </c>
      <c r="B102" s="48" t="s">
        <v>250</v>
      </c>
      <c r="C102" s="49" t="n">
        <v>757815882</v>
      </c>
      <c r="D102" s="49" t="n">
        <v>761612490</v>
      </c>
      <c r="E102" s="49" t="n">
        <v>757634401</v>
      </c>
      <c r="F102" s="49" t="n">
        <v>0</v>
      </c>
      <c r="G102" s="50" t="n">
        <f aca="false">IF($A102="","",IF(ISNUMBER($G101),$G101+1,1))</f>
        <v>98</v>
      </c>
      <c r="H102" s="51" t="n">
        <f aca="false">IF(OR(NOT(ISNUMBER($G102)),$G102&lt;2,NOT(ISNUMBER($C101)),$C101=0),"",$C102/$C101-1)</f>
        <v>-0.00827238832701593</v>
      </c>
      <c r="I102" s="52" t="n">
        <f aca="false">IF(AND(ISNUMBER($G102),$G102&gt;=MA_SHORT),AVERAGE(INDEX($C$5:$C102,99-MA_SHORT):$C102),"")</f>
        <v>732230704.25</v>
      </c>
      <c r="J102" s="52" t="n">
        <f aca="false">IF(AND(ISNUMBER($G102),$G102&gt;=MA_MED),AVERAGE(INDEX($C$5:$C102,99-MA_MED):$C102),"")</f>
        <v>699733187.4</v>
      </c>
      <c r="K102" s="52" t="str">
        <f aca="false">IF(AND(ISNUMBER($G102),$G102&gt;=MA_LONG2),AVERAGE(INDEX($C$5:$C102,99-MA_LONG2):$C102),"")</f>
        <v/>
      </c>
      <c r="L102" s="53" t="n">
        <f aca="false">IF(AND(ISNUMBER($G102),$G102&gt;=21),STDEV(INDEX($H$42:$H102,62-20):$H102)*SQRT(245),"")</f>
        <v>0.191085172755804</v>
      </c>
      <c r="M102" s="52" t="n">
        <f aca="false">IF(AND(ISNUMBER($G102),$G102&gt;=60),MAX(INDEX($D$5:$D102,99-60):$D102),"")</f>
        <v>765158592</v>
      </c>
      <c r="N102" s="52" t="n">
        <f aca="false">IF(AND(ISNUMBER($G102),$G102&gt;=60),MIN(INDEX($E$5:$E102,99-60):$E102),"")</f>
        <v>630263781</v>
      </c>
      <c r="O102" s="53" t="n">
        <f aca="false">IF(OR(NOT(ISNUMBER($C102)),NOT(ISNUMBER($M102)),$M102=0),"",$C102/$M102-1)</f>
        <v>-0.00959632431337842</v>
      </c>
      <c r="P102" s="54"/>
      <c r="Q102" s="53" t="str">
        <f aca="false">IF(NOT(ISNUMBER($P102)),"",IFERROR(PERCENTRANK($P$5:$P$1204,$P102),""))</f>
        <v/>
      </c>
    </row>
    <row r="103" customFormat="false" ht="15" hidden="false" customHeight="false" outlineLevel="0" collapsed="false">
      <c r="A103" s="47" t="n">
        <v>45706</v>
      </c>
      <c r="B103" s="48" t="s">
        <v>251</v>
      </c>
      <c r="C103" s="49" t="n">
        <v>765517356</v>
      </c>
      <c r="D103" s="49" t="n">
        <v>766990469</v>
      </c>
      <c r="E103" s="49" t="n">
        <v>759291866</v>
      </c>
      <c r="F103" s="49" t="n">
        <v>0</v>
      </c>
      <c r="G103" s="50" t="n">
        <f aca="false">IF($A103="","",IF(ISNUMBER($G102),$G102+1,1))</f>
        <v>99</v>
      </c>
      <c r="H103" s="51" t="n">
        <f aca="false">IF(OR(NOT(ISNUMBER($G103)),$G103&lt;2,NOT(ISNUMBER($C102)),$C102=0),"",$C103/$C102-1)</f>
        <v>0.0101627244597653</v>
      </c>
      <c r="I103" s="52" t="n">
        <f aca="false">IF(AND(ISNUMBER($G103),$G103&gt;=MA_SHORT),AVERAGE(INDEX($C$5:$C103,100-MA_SHORT):$C103),"")</f>
        <v>735866361.4</v>
      </c>
      <c r="J103" s="52" t="n">
        <f aca="false">IF(AND(ISNUMBER($G103),$G103&gt;=MA_MED),AVERAGE(INDEX($C$5:$C103,100-MA_MED):$C103),"")</f>
        <v>702013588.12</v>
      </c>
      <c r="K103" s="52" t="str">
        <f aca="false">IF(AND(ISNUMBER($G103),$G103&gt;=MA_LONG2),AVERAGE(INDEX($C$5:$C103,100-MA_LONG2):$C103),"")</f>
        <v/>
      </c>
      <c r="L103" s="53" t="n">
        <f aca="false">IF(AND(ISNUMBER($G103),$G103&gt;=21),STDEV(INDEX($H$43:$H103,62-20):$H103)*SQRT(245),"")</f>
        <v>0.188717028330227</v>
      </c>
      <c r="M103" s="52" t="n">
        <f aca="false">IF(AND(ISNUMBER($G103),$G103&gt;=60),MAX(INDEX($D$5:$D103,100-60):$D103),"")</f>
        <v>766990469</v>
      </c>
      <c r="N103" s="52" t="n">
        <f aca="false">IF(AND(ISNUMBER($G103),$G103&gt;=60),MIN(INDEX($E$5:$E103,100-60):$E103),"")</f>
        <v>630263781</v>
      </c>
      <c r="O103" s="53" t="n">
        <f aca="false">IF(OR(NOT(ISNUMBER($C103)),NOT(ISNUMBER($M103)),$M103=0),"",$C103/$M103-1)</f>
        <v>-0.00192064055492192</v>
      </c>
      <c r="P103" s="54"/>
      <c r="Q103" s="53" t="str">
        <f aca="false">IF(NOT(ISNUMBER($P103)),"",IFERROR(PERCENTRANK($P$5:$P$1204,$P103),""))</f>
        <v/>
      </c>
    </row>
    <row r="104" customFormat="false" ht="15" hidden="false" customHeight="false" outlineLevel="0" collapsed="false">
      <c r="A104" s="47" t="n">
        <v>45707</v>
      </c>
      <c r="B104" s="48" t="s">
        <v>252</v>
      </c>
      <c r="C104" s="49" t="n">
        <v>772208169</v>
      </c>
      <c r="D104" s="49" t="n">
        <v>773347057</v>
      </c>
      <c r="E104" s="49" t="n">
        <v>770996051</v>
      </c>
      <c r="F104" s="49" t="n">
        <v>0</v>
      </c>
      <c r="G104" s="50" t="n">
        <f aca="false">IF($A104="","",IF(ISNUMBER($G103),$G103+1,1))</f>
        <v>100</v>
      </c>
      <c r="H104" s="51" t="n">
        <f aca="false">IF(OR(NOT(ISNUMBER($G104)),$G104&lt;2,NOT(ISNUMBER($C103)),$C103=0),"",$C104/$C103-1)</f>
        <v>0.00874024990754085</v>
      </c>
      <c r="I104" s="52" t="n">
        <f aca="false">IF(AND(ISNUMBER($G104),$G104&gt;=MA_SHORT),AVERAGE(INDEX($C$5:$C104,101-MA_SHORT):$C104),"")</f>
        <v>738801881.9</v>
      </c>
      <c r="J104" s="52" t="n">
        <f aca="false">IF(AND(ISNUMBER($G104),$G104&gt;=MA_MED),AVERAGE(INDEX($C$5:$C104,101-MA_MED):$C104),"")</f>
        <v>704386878.96</v>
      </c>
      <c r="K104" s="52" t="str">
        <f aca="false">IF(AND(ISNUMBER($G104),$G104&gt;=MA_LONG2),AVERAGE(INDEX($C$5:$C104,101-MA_LONG2):$C104),"")</f>
        <v/>
      </c>
      <c r="L104" s="53" t="n">
        <f aca="false">IF(AND(ISNUMBER($G104),$G104&gt;=21),STDEV(INDEX($H$44:$H104,62-20):$H104)*SQRT(245),"")</f>
        <v>0.166042967412285</v>
      </c>
      <c r="M104" s="52" t="n">
        <f aca="false">IF(AND(ISNUMBER($G104),$G104&gt;=60),MAX(INDEX($D$5:$D104,101-60):$D104),"")</f>
        <v>773347057</v>
      </c>
      <c r="N104" s="52" t="n">
        <f aca="false">IF(AND(ISNUMBER($G104),$G104&gt;=60),MIN(INDEX($E$5:$E104,101-60):$E104),"")</f>
        <v>630263781</v>
      </c>
      <c r="O104" s="53" t="n">
        <f aca="false">IF(OR(NOT(ISNUMBER($C104)),NOT(ISNUMBER($M104)),$M104=0),"",$C104/$M104-1)</f>
        <v>-0.00147267386575189</v>
      </c>
      <c r="P104" s="54"/>
      <c r="Q104" s="53" t="str">
        <f aca="false">IF(NOT(ISNUMBER($P104)),"",IFERROR(PERCENTRANK($P$5:$P$1204,$P104),""))</f>
        <v/>
      </c>
    </row>
    <row r="105" customFormat="false" ht="15" hidden="false" customHeight="false" outlineLevel="0" collapsed="false">
      <c r="A105" s="47" t="n">
        <v>45710</v>
      </c>
      <c r="B105" s="48" t="s">
        <v>253</v>
      </c>
      <c r="C105" s="49" t="n">
        <v>777738574</v>
      </c>
      <c r="D105" s="49" t="n">
        <v>783324299</v>
      </c>
      <c r="E105" s="49" t="n">
        <v>776767616</v>
      </c>
      <c r="F105" s="49" t="n">
        <v>0</v>
      </c>
      <c r="G105" s="50" t="n">
        <f aca="false">IF($A105="","",IF(ISNUMBER($G104),$G104+1,1))</f>
        <v>101</v>
      </c>
      <c r="H105" s="51" t="n">
        <f aca="false">IF(OR(NOT(ISNUMBER($G105)),$G105&lt;2,NOT(ISNUMBER($C104)),$C104=0),"",$C105/$C104-1)</f>
        <v>0.0071618058731</v>
      </c>
      <c r="I105" s="52" t="n">
        <f aca="false">IF(AND(ISNUMBER($G105),$G105&gt;=MA_SHORT),AVERAGE(INDEX($C$5:$C105,102-MA_SHORT):$C105),"")</f>
        <v>741440696.05</v>
      </c>
      <c r="J105" s="52" t="n">
        <f aca="false">IF(AND(ISNUMBER($G105),$G105&gt;=MA_MED),AVERAGE(INDEX($C$5:$C105,102-MA_MED):$C105),"")</f>
        <v>706908545.26</v>
      </c>
      <c r="K105" s="52" t="str">
        <f aca="false">IF(AND(ISNUMBER($G105),$G105&gt;=MA_LONG2),AVERAGE(INDEX($C$5:$C105,102-MA_LONG2):$C105),"")</f>
        <v/>
      </c>
      <c r="L105" s="53" t="n">
        <f aca="false">IF(AND(ISNUMBER($G105),$G105&gt;=21),STDEV(INDEX($H$45:$H105,62-20):$H105)*SQRT(245),"")</f>
        <v>0.160541038988629</v>
      </c>
      <c r="M105" s="52" t="n">
        <f aca="false">IF(AND(ISNUMBER($G105),$G105&gt;=60),MAX(INDEX($D$5:$D105,102-60):$D105),"")</f>
        <v>783324299</v>
      </c>
      <c r="N105" s="52" t="n">
        <f aca="false">IF(AND(ISNUMBER($G105),$G105&gt;=60),MIN(INDEX($E$5:$E105,102-60):$E105),"")</f>
        <v>630263781</v>
      </c>
      <c r="O105" s="53" t="n">
        <f aca="false">IF(OR(NOT(ISNUMBER($C105)),NOT(ISNUMBER($M105)),$M105=0),"",$C105/$M105-1)</f>
        <v>-0.00713079500678171</v>
      </c>
      <c r="P105" s="54"/>
      <c r="Q105" s="53" t="str">
        <f aca="false">IF(NOT(ISNUMBER($P105)),"",IFERROR(PERCENTRANK($P$5:$P$1204,$P105),""))</f>
        <v/>
      </c>
    </row>
    <row r="106" customFormat="false" ht="15" hidden="false" customHeight="false" outlineLevel="0" collapsed="false">
      <c r="A106" s="47" t="n">
        <v>45711</v>
      </c>
      <c r="B106" s="48" t="s">
        <v>254</v>
      </c>
      <c r="C106" s="49" t="n">
        <v>777848575</v>
      </c>
      <c r="D106" s="49" t="n">
        <v>779056552</v>
      </c>
      <c r="E106" s="49" t="n">
        <v>774928426</v>
      </c>
      <c r="F106" s="49" t="n">
        <v>0</v>
      </c>
      <c r="G106" s="50" t="n">
        <f aca="false">IF($A106="","",IF(ISNUMBER($G105),$G105+1,1))</f>
        <v>102</v>
      </c>
      <c r="H106" s="51" t="n">
        <f aca="false">IF(OR(NOT(ISNUMBER($G106)),$G106&lt;2,NOT(ISNUMBER($C105)),$C105=0),"",$C106/$C105-1)</f>
        <v>0.000141436986254018</v>
      </c>
      <c r="I106" s="52" t="n">
        <f aca="false">IF(AND(ISNUMBER($G106),$G106&gt;=MA_SHORT),AVERAGE(INDEX($C$5:$C106,103-MA_SHORT):$C106),"")</f>
        <v>744056000.7</v>
      </c>
      <c r="J106" s="52" t="n">
        <f aca="false">IF(AND(ISNUMBER($G106),$G106&gt;=MA_MED),AVERAGE(INDEX($C$5:$C106,103-MA_MED):$C106),"")</f>
        <v>709456762.98</v>
      </c>
      <c r="K106" s="52" t="str">
        <f aca="false">IF(AND(ISNUMBER($G106),$G106&gt;=MA_LONG2),AVERAGE(INDEX($C$5:$C106,103-MA_LONG2):$C106),"")</f>
        <v/>
      </c>
      <c r="L106" s="53" t="n">
        <f aca="false">IF(AND(ISNUMBER($G106),$G106&gt;=21),STDEV(INDEX($H$46:$H106,62-20):$H106)*SQRT(245),"")</f>
        <v>0.160704055777156</v>
      </c>
      <c r="M106" s="52" t="n">
        <f aca="false">IF(AND(ISNUMBER($G106),$G106&gt;=60),MAX(INDEX($D$5:$D106,103-60):$D106),"")</f>
        <v>783324299</v>
      </c>
      <c r="N106" s="52" t="n">
        <f aca="false">IF(AND(ISNUMBER($G106),$G106&gt;=60),MIN(INDEX($E$5:$E106,103-60):$E106),"")</f>
        <v>630263781</v>
      </c>
      <c r="O106" s="53" t="n">
        <f aca="false">IF(OR(NOT(ISNUMBER($C106)),NOT(ISNUMBER($M106)),$M106=0),"",$C106/$M106-1)</f>
        <v>-0.00699036657868313</v>
      </c>
      <c r="P106" s="54"/>
      <c r="Q106" s="53" t="str">
        <f aca="false">IF(NOT(ISNUMBER($P106)),"",IFERROR(PERCENTRANK($P$5:$P$1204,$P106),""))</f>
        <v/>
      </c>
    </row>
    <row r="107" customFormat="false" ht="15" hidden="false" customHeight="false" outlineLevel="0" collapsed="false">
      <c r="A107" s="47" t="n">
        <v>45712</v>
      </c>
      <c r="B107" s="48" t="s">
        <v>255</v>
      </c>
      <c r="C107" s="49" t="n">
        <v>771707124</v>
      </c>
      <c r="D107" s="49" t="n">
        <v>772413359</v>
      </c>
      <c r="E107" s="49" t="n">
        <v>769785859</v>
      </c>
      <c r="F107" s="49" t="n">
        <v>0</v>
      </c>
      <c r="G107" s="50" t="n">
        <f aca="false">IF($A107="","",IF(ISNUMBER($G106),$G106+1,1))</f>
        <v>103</v>
      </c>
      <c r="H107" s="51" t="n">
        <f aca="false">IF(OR(NOT(ISNUMBER($G107)),$G107&lt;2,NOT(ISNUMBER($C106)),$C106=0),"",$C107/$C106-1)</f>
        <v>-0.00789543260396153</v>
      </c>
      <c r="I107" s="52" t="n">
        <f aca="false">IF(AND(ISNUMBER($G107),$G107&gt;=MA_SHORT),AVERAGE(INDEX($C$5:$C107,104-MA_SHORT):$C107),"")</f>
        <v>746536587.95</v>
      </c>
      <c r="J107" s="52" t="n">
        <f aca="false">IF(AND(ISNUMBER($G107),$G107&gt;=MA_MED),AVERAGE(INDEX($C$5:$C107,104-MA_MED):$C107),"")</f>
        <v>711816186.16</v>
      </c>
      <c r="K107" s="52" t="str">
        <f aca="false">IF(AND(ISNUMBER($G107),$G107&gt;=MA_LONG2),AVERAGE(INDEX($C$5:$C107,104-MA_LONG2):$C107),"")</f>
        <v/>
      </c>
      <c r="L107" s="53" t="n">
        <f aca="false">IF(AND(ISNUMBER($G107),$G107&gt;=21),STDEV(INDEX($H$47:$H107,62-20):$H107)*SQRT(245),"")</f>
        <v>0.163153148155894</v>
      </c>
      <c r="M107" s="52" t="n">
        <f aca="false">IF(AND(ISNUMBER($G107),$G107&gt;=60),MAX(INDEX($D$5:$D107,104-60):$D107),"")</f>
        <v>783324299</v>
      </c>
      <c r="N107" s="52" t="n">
        <f aca="false">IF(AND(ISNUMBER($G107),$G107&gt;=60),MIN(INDEX($E$5:$E107,104-60):$E107),"")</f>
        <v>630263781</v>
      </c>
      <c r="O107" s="53" t="n">
        <f aca="false">IF(OR(NOT(ISNUMBER($C107)),NOT(ISNUMBER($M107)),$M107=0),"",$C107/$M107-1)</f>
        <v>-0.0148306072144456</v>
      </c>
      <c r="P107" s="54"/>
      <c r="Q107" s="53" t="str">
        <f aca="false">IF(NOT(ISNUMBER($P107)),"",IFERROR(PERCENTRANK($P$5:$P$1204,$P107),""))</f>
        <v/>
      </c>
    </row>
    <row r="108" customFormat="false" ht="15" hidden="false" customHeight="false" outlineLevel="0" collapsed="false">
      <c r="A108" s="47" t="n">
        <v>45713</v>
      </c>
      <c r="B108" s="48" t="s">
        <v>256</v>
      </c>
      <c r="C108" s="49" t="n">
        <v>754116794</v>
      </c>
      <c r="D108" s="49" t="n">
        <v>759693439</v>
      </c>
      <c r="E108" s="49" t="n">
        <v>751282479</v>
      </c>
      <c r="F108" s="49" t="n">
        <v>0</v>
      </c>
      <c r="G108" s="50" t="n">
        <f aca="false">IF($A108="","",IF(ISNUMBER($G107),$G107+1,1))</f>
        <v>104</v>
      </c>
      <c r="H108" s="51" t="n">
        <f aca="false">IF(OR(NOT(ISNUMBER($G108)),$G108&lt;2,NOT(ISNUMBER($C107)),$C107=0),"",$C108/$C107-1)</f>
        <v>-0.0227940490024555</v>
      </c>
      <c r="I108" s="52" t="n">
        <f aca="false">IF(AND(ISNUMBER($G108),$G108&gt;=MA_SHORT),AVERAGE(INDEX($C$5:$C108,105-MA_SHORT):$C108),"")</f>
        <v>748167898.45</v>
      </c>
      <c r="J108" s="52" t="n">
        <f aca="false">IF(AND(ISNUMBER($G108),$G108&gt;=MA_MED),AVERAGE(INDEX($C$5:$C108,105-MA_MED):$C108),"")</f>
        <v>713626301.18</v>
      </c>
      <c r="K108" s="52" t="str">
        <f aca="false">IF(AND(ISNUMBER($G108),$G108&gt;=MA_LONG2),AVERAGE(INDEX($C$5:$C108,105-MA_LONG2):$C108),"")</f>
        <v/>
      </c>
      <c r="L108" s="53" t="n">
        <f aca="false">IF(AND(ISNUMBER($G108),$G108&gt;=21),STDEV(INDEX($H$48:$H108,62-20):$H108)*SQRT(245),"")</f>
        <v>0.186848109089659</v>
      </c>
      <c r="M108" s="52" t="n">
        <f aca="false">IF(AND(ISNUMBER($G108),$G108&gt;=60),MAX(INDEX($D$5:$D108,105-60):$D108),"")</f>
        <v>783324299</v>
      </c>
      <c r="N108" s="52" t="n">
        <f aca="false">IF(AND(ISNUMBER($G108),$G108&gt;=60),MIN(INDEX($E$5:$E108,105-60):$E108),"")</f>
        <v>630263781</v>
      </c>
      <c r="O108" s="53" t="n">
        <f aca="false">IF(OR(NOT(ISNUMBER($C108)),NOT(ISNUMBER($M108)),$M108=0),"",$C108/$M108-1)</f>
        <v>-0.0372866066293189</v>
      </c>
      <c r="P108" s="54"/>
      <c r="Q108" s="53" t="str">
        <f aca="false">IF(NOT(ISNUMBER($P108)),"",IFERROR(PERCENTRANK($P$5:$P$1204,$P108),""))</f>
        <v/>
      </c>
    </row>
    <row r="109" customFormat="false" ht="15" hidden="false" customHeight="false" outlineLevel="0" collapsed="false">
      <c r="A109" s="47" t="n">
        <v>45714</v>
      </c>
      <c r="B109" s="48" t="s">
        <v>257</v>
      </c>
      <c r="C109" s="49" t="n">
        <v>767666206</v>
      </c>
      <c r="D109" s="49" t="n">
        <v>768113982</v>
      </c>
      <c r="E109" s="49" t="n">
        <v>761904614</v>
      </c>
      <c r="F109" s="49" t="n">
        <v>0</v>
      </c>
      <c r="G109" s="50" t="n">
        <f aca="false">IF($A109="","",IF(ISNUMBER($G108),$G108+1,1))</f>
        <v>105</v>
      </c>
      <c r="H109" s="51" t="n">
        <f aca="false">IF(OR(NOT(ISNUMBER($G109)),$G109&lt;2,NOT(ISNUMBER($C108)),$C108=0),"",$C109/$C108-1)</f>
        <v>0.0179672593261462</v>
      </c>
      <c r="I109" s="52" t="n">
        <f aca="false">IF(AND(ISNUMBER($G109),$G109&gt;=MA_SHORT),AVERAGE(INDEX($C$5:$C109,106-MA_SHORT):$C109),"")</f>
        <v>750469297.1</v>
      </c>
      <c r="J109" s="52" t="n">
        <f aca="false">IF(AND(ISNUMBER($G109),$G109&gt;=MA_MED),AVERAGE(INDEX($C$5:$C109,106-MA_MED):$C109),"")</f>
        <v>715780901.64</v>
      </c>
      <c r="K109" s="52" t="str">
        <f aca="false">IF(AND(ISNUMBER($G109),$G109&gt;=MA_LONG2),AVERAGE(INDEX($C$5:$C109,106-MA_LONG2):$C109),"")</f>
        <v/>
      </c>
      <c r="L109" s="53" t="n">
        <f aca="false">IF(AND(ISNUMBER($G109),$G109&gt;=21),STDEV(INDEX($H$49:$H109,62-20):$H109)*SQRT(245),"")</f>
        <v>0.194488860549463</v>
      </c>
      <c r="M109" s="52" t="n">
        <f aca="false">IF(AND(ISNUMBER($G109),$G109&gt;=60),MAX(INDEX($D$5:$D109,106-60):$D109),"")</f>
        <v>783324299</v>
      </c>
      <c r="N109" s="52" t="n">
        <f aca="false">IF(AND(ISNUMBER($G109),$G109&gt;=60),MIN(INDEX($E$5:$E109,106-60):$E109),"")</f>
        <v>630263781</v>
      </c>
      <c r="O109" s="53" t="n">
        <f aca="false">IF(OR(NOT(ISNUMBER($C109)),NOT(ISNUMBER($M109)),$M109=0),"",$C109/$M109-1)</f>
        <v>-0.0199892854338737</v>
      </c>
      <c r="P109" s="54"/>
      <c r="Q109" s="53" t="str">
        <f aca="false">IF(NOT(ISNUMBER($P109)),"",IFERROR(PERCENTRANK($P$5:$P$1204,$P109),""))</f>
        <v/>
      </c>
    </row>
    <row r="110" customFormat="false" ht="15" hidden="false" customHeight="false" outlineLevel="0" collapsed="false">
      <c r="A110" s="47" t="n">
        <v>45717</v>
      </c>
      <c r="B110" s="48" t="s">
        <v>258</v>
      </c>
      <c r="C110" s="49" t="n">
        <v>778719082</v>
      </c>
      <c r="D110" s="49" t="n">
        <v>778820567</v>
      </c>
      <c r="E110" s="49" t="n">
        <v>773463201</v>
      </c>
      <c r="F110" s="49" t="n">
        <v>0</v>
      </c>
      <c r="G110" s="50" t="n">
        <f aca="false">IF($A110="","",IF(ISNUMBER($G109),$G109+1,1))</f>
        <v>106</v>
      </c>
      <c r="H110" s="51" t="n">
        <f aca="false">IF(OR(NOT(ISNUMBER($G110)),$G110&lt;2,NOT(ISNUMBER($C109)),$C109=0),"",$C110/$C109-1)</f>
        <v>0.0143980234034167</v>
      </c>
      <c r="I110" s="52" t="n">
        <f aca="false">IF(AND(ISNUMBER($G110),$G110&gt;=MA_SHORT),AVERAGE(INDEX($C$5:$C110,107-MA_SHORT):$C110),"")</f>
        <v>752553709.4</v>
      </c>
      <c r="J110" s="52" t="n">
        <f aca="false">IF(AND(ISNUMBER($G110),$G110&gt;=MA_MED),AVERAGE(INDEX($C$5:$C110,107-MA_MED):$C110),"")</f>
        <v>718444640.76</v>
      </c>
      <c r="K110" s="52" t="str">
        <f aca="false">IF(AND(ISNUMBER($G110),$G110&gt;=MA_LONG2),AVERAGE(INDEX($C$5:$C110,107-MA_LONG2):$C110),"")</f>
        <v/>
      </c>
      <c r="L110" s="53" t="n">
        <f aca="false">IF(AND(ISNUMBER($G110),$G110&gt;=21),STDEV(INDEX($H$50:$H110,62-20):$H110)*SQRT(245),"")</f>
        <v>0.187531118710317</v>
      </c>
      <c r="M110" s="52" t="n">
        <f aca="false">IF(AND(ISNUMBER($G110),$G110&gt;=60),MAX(INDEX($D$5:$D110,107-60):$D110),"")</f>
        <v>783324299</v>
      </c>
      <c r="N110" s="52" t="n">
        <f aca="false">IF(AND(ISNUMBER($G110),$G110&gt;=60),MIN(INDEX($E$5:$E110,107-60):$E110),"")</f>
        <v>630263781</v>
      </c>
      <c r="O110" s="53" t="n">
        <f aca="false">IF(OR(NOT(ISNUMBER($C110)),NOT(ISNUMBER($M110)),$M110=0),"",$C110/$M110-1)</f>
        <v>-0.00587906822995155</v>
      </c>
      <c r="P110" s="54"/>
      <c r="Q110" s="53" t="str">
        <f aca="false">IF(NOT(ISNUMBER($P110)),"",IFERROR(PERCENTRANK($P$5:$P$1204,$P110),""))</f>
        <v/>
      </c>
    </row>
    <row r="111" customFormat="false" ht="15" hidden="false" customHeight="false" outlineLevel="0" collapsed="false">
      <c r="A111" s="47" t="n">
        <v>45718</v>
      </c>
      <c r="B111" s="48" t="s">
        <v>259</v>
      </c>
      <c r="C111" s="49" t="n">
        <v>780762218</v>
      </c>
      <c r="D111" s="49" t="n">
        <v>781776202</v>
      </c>
      <c r="E111" s="49" t="n">
        <v>779063187</v>
      </c>
      <c r="F111" s="49" t="n">
        <v>0</v>
      </c>
      <c r="G111" s="50" t="n">
        <f aca="false">IF($A111="","",IF(ISNUMBER($G110),$G110+1,1))</f>
        <v>107</v>
      </c>
      <c r="H111" s="51" t="n">
        <f aca="false">IF(OR(NOT(ISNUMBER($G111)),$G111&lt;2,NOT(ISNUMBER($C110)),$C110=0),"",$C111/$C110-1)</f>
        <v>0.00262371379773119</v>
      </c>
      <c r="I111" s="52" t="n">
        <f aca="false">IF(AND(ISNUMBER($G111),$G111&gt;=MA_SHORT),AVERAGE(INDEX($C$5:$C111,108-MA_SHORT):$C111),"")</f>
        <v>755057542.9</v>
      </c>
      <c r="J111" s="52" t="n">
        <f aca="false">IF(AND(ISNUMBER($G111),$G111&gt;=MA_MED),AVERAGE(INDEX($C$5:$C111,108-MA_MED):$C111),"")</f>
        <v>720874830.96</v>
      </c>
      <c r="K111" s="52" t="str">
        <f aca="false">IF(AND(ISNUMBER($G111),$G111&gt;=MA_LONG2),AVERAGE(INDEX($C$5:$C111,108-MA_LONG2):$C111),"")</f>
        <v/>
      </c>
      <c r="L111" s="53" t="n">
        <f aca="false">IF(AND(ISNUMBER($G111),$G111&gt;=21),STDEV(INDEX($H$51:$H111,62-20):$H111)*SQRT(245),"")</f>
        <v>0.182761664997839</v>
      </c>
      <c r="M111" s="52" t="n">
        <f aca="false">IF(AND(ISNUMBER($G111),$G111&gt;=60),MAX(INDEX($D$5:$D111,108-60):$D111),"")</f>
        <v>783324299</v>
      </c>
      <c r="N111" s="52" t="n">
        <f aca="false">IF(AND(ISNUMBER($G111),$G111&gt;=60),MIN(INDEX($E$5:$E111,108-60):$E111),"")</f>
        <v>645390467</v>
      </c>
      <c r="O111" s="53" t="n">
        <f aca="false">IF(OR(NOT(ISNUMBER($C111)),NOT(ISNUMBER($M111)),$M111=0),"",$C111/$M111-1)</f>
        <v>-0.00327077942465304</v>
      </c>
      <c r="P111" s="54"/>
      <c r="Q111" s="53" t="str">
        <f aca="false">IF(NOT(ISNUMBER($P111)),"",IFERROR(PERCENTRANK($P$5:$P$1204,$P111),""))</f>
        <v/>
      </c>
    </row>
    <row r="112" customFormat="false" ht="15" hidden="false" customHeight="false" outlineLevel="0" collapsed="false">
      <c r="A112" s="47" t="n">
        <v>45719</v>
      </c>
      <c r="B112" s="48" t="s">
        <v>260</v>
      </c>
      <c r="C112" s="49" t="n">
        <v>768749201</v>
      </c>
      <c r="D112" s="49" t="n">
        <v>771275031</v>
      </c>
      <c r="E112" s="49" t="n">
        <v>766368845</v>
      </c>
      <c r="F112" s="49" t="n">
        <v>0</v>
      </c>
      <c r="G112" s="50" t="n">
        <f aca="false">IF($A112="","",IF(ISNUMBER($G111),$G111+1,1))</f>
        <v>108</v>
      </c>
      <c r="H112" s="51" t="n">
        <f aca="false">IF(OR(NOT(ISNUMBER($G112)),$G112&lt;2,NOT(ISNUMBER($C111)),$C111=0),"",$C112/$C111-1)</f>
        <v>-0.0153862683452749</v>
      </c>
      <c r="I112" s="52" t="n">
        <f aca="false">IF(AND(ISNUMBER($G112),$G112&gt;=MA_SHORT),AVERAGE(INDEX($C$5:$C112,109-MA_SHORT):$C112),"")</f>
        <v>757263579.45</v>
      </c>
      <c r="J112" s="52" t="n">
        <f aca="false">IF(AND(ISNUMBER($G112),$G112&gt;=MA_MED),AVERAGE(INDEX($C$5:$C112,109-MA_MED):$C112),"")</f>
        <v>722811863.82</v>
      </c>
      <c r="K112" s="52" t="str">
        <f aca="false">IF(AND(ISNUMBER($G112),$G112&gt;=MA_LONG2),AVERAGE(INDEX($C$5:$C112,109-MA_LONG2):$C112),"")</f>
        <v/>
      </c>
      <c r="L112" s="53" t="n">
        <f aca="false">IF(AND(ISNUMBER($G112),$G112&gt;=21),STDEV(INDEX($H$52:$H112,62-20):$H112)*SQRT(245),"")</f>
        <v>0.190145629427705</v>
      </c>
      <c r="M112" s="52" t="n">
        <f aca="false">IF(AND(ISNUMBER($G112),$G112&gt;=60),MAX(INDEX($D$5:$D112,109-60):$D112),"")</f>
        <v>783324299</v>
      </c>
      <c r="N112" s="52" t="n">
        <f aca="false">IF(AND(ISNUMBER($G112),$G112&gt;=60),MIN(INDEX($E$5:$E112,109-60):$E112),"")</f>
        <v>645390467</v>
      </c>
      <c r="O112" s="53" t="n">
        <f aca="false">IF(OR(NOT(ISNUMBER($C112)),NOT(ISNUMBER($M112)),$M112=0),"",$C112/$M112-1)</f>
        <v>-0.0186067226800021</v>
      </c>
      <c r="P112" s="54"/>
      <c r="Q112" s="53" t="str">
        <f aca="false">IF(NOT(ISNUMBER($P112)),"",IFERROR(PERCENTRANK($P$5:$P$1204,$P112),""))</f>
        <v/>
      </c>
    </row>
    <row r="113" customFormat="false" ht="15" hidden="false" customHeight="false" outlineLevel="0" collapsed="false">
      <c r="A113" s="47" t="n">
        <v>45720</v>
      </c>
      <c r="B113" s="48" t="s">
        <v>261</v>
      </c>
      <c r="C113" s="49" t="n">
        <v>772252181</v>
      </c>
      <c r="D113" s="49" t="n">
        <v>774919918</v>
      </c>
      <c r="E113" s="49" t="n">
        <v>771895691</v>
      </c>
      <c r="F113" s="49" t="n">
        <v>0</v>
      </c>
      <c r="G113" s="50" t="n">
        <f aca="false">IF($A113="","",IF(ISNUMBER($G112),$G112+1,1))</f>
        <v>109</v>
      </c>
      <c r="H113" s="51" t="n">
        <f aca="false">IF(OR(NOT(ISNUMBER($G113)),$G113&lt;2,NOT(ISNUMBER($C112)),$C112=0),"",$C113/$C112-1)</f>
        <v>0.00455672668725149</v>
      </c>
      <c r="I113" s="52" t="n">
        <f aca="false">IF(AND(ISNUMBER($G113),$G113&gt;=MA_SHORT),AVERAGE(INDEX($C$5:$C113,110-MA_SHORT):$C113),"")</f>
        <v>759636393</v>
      </c>
      <c r="J113" s="52" t="n">
        <f aca="false">IF(AND(ISNUMBER($G113),$G113&gt;=MA_MED),AVERAGE(INDEX($C$5:$C113,110-MA_MED):$C113),"")</f>
        <v>724826755.84</v>
      </c>
      <c r="K113" s="52" t="str">
        <f aca="false">IF(AND(ISNUMBER($G113),$G113&gt;=MA_LONG2),AVERAGE(INDEX($C$5:$C113,110-MA_LONG2):$C113),"")</f>
        <v/>
      </c>
      <c r="L113" s="53" t="n">
        <f aca="false">IF(AND(ISNUMBER($G113),$G113&gt;=21),STDEV(INDEX($H$53:$H113,62-20):$H113)*SQRT(245),"")</f>
        <v>0.189927282671553</v>
      </c>
      <c r="M113" s="52" t="n">
        <f aca="false">IF(AND(ISNUMBER($G113),$G113&gt;=60),MAX(INDEX($D$5:$D113,110-60):$D113),"")</f>
        <v>783324299</v>
      </c>
      <c r="N113" s="52" t="n">
        <f aca="false">IF(AND(ISNUMBER($G113),$G113&gt;=60),MIN(INDEX($E$5:$E113,110-60):$E113),"")</f>
        <v>645390467</v>
      </c>
      <c r="O113" s="53" t="n">
        <f aca="false">IF(OR(NOT(ISNUMBER($C113)),NOT(ISNUMBER($M113)),$M113=0),"",$C113/$M113-1)</f>
        <v>-0.0141347817425488</v>
      </c>
      <c r="P113" s="54"/>
      <c r="Q113" s="53" t="str">
        <f aca="false">IF(NOT(ISNUMBER($P113)),"",IFERROR(PERCENTRANK($P$5:$P$1204,$P113),""))</f>
        <v/>
      </c>
    </row>
    <row r="114" customFormat="false" ht="15" hidden="false" customHeight="false" outlineLevel="0" collapsed="false">
      <c r="A114" s="47" t="n">
        <v>45721</v>
      </c>
      <c r="B114" s="48" t="s">
        <v>262</v>
      </c>
      <c r="C114" s="49" t="n">
        <v>782245823</v>
      </c>
      <c r="D114" s="49" t="n">
        <v>783551004</v>
      </c>
      <c r="E114" s="49" t="n">
        <v>778049101</v>
      </c>
      <c r="F114" s="49" t="n">
        <v>0</v>
      </c>
      <c r="G114" s="50" t="n">
        <f aca="false">IF($A114="","",IF(ISNUMBER($G113),$G113+1,1))</f>
        <v>110</v>
      </c>
      <c r="H114" s="51" t="n">
        <f aca="false">IF(OR(NOT(ISNUMBER($G114)),$G114&lt;2,NOT(ISNUMBER($C113)),$C113=0),"",$C114/$C113-1)</f>
        <v>0.0129409048570883</v>
      </c>
      <c r="I114" s="52" t="n">
        <f aca="false">IF(AND(ISNUMBER($G114),$G114&gt;=MA_SHORT),AVERAGE(INDEX($C$5:$C114,111-MA_SHORT):$C114),"")</f>
        <v>761891154.1</v>
      </c>
      <c r="J114" s="52" t="n">
        <f aca="false">IF(AND(ISNUMBER($G114),$G114&gt;=MA_MED),AVERAGE(INDEX($C$5:$C114,111-MA_MED):$C114),"")</f>
        <v>726932853</v>
      </c>
      <c r="K114" s="52" t="str">
        <f aca="false">IF(AND(ISNUMBER($G114),$G114&gt;=MA_LONG2),AVERAGE(INDEX($C$5:$C114,111-MA_LONG2):$C114),"")</f>
        <v/>
      </c>
      <c r="L114" s="53" t="n">
        <f aca="false">IF(AND(ISNUMBER($G114),$G114&gt;=21),STDEV(INDEX($H$54:$H114,62-20):$H114)*SQRT(245),"")</f>
        <v>0.186595578121055</v>
      </c>
      <c r="M114" s="52" t="n">
        <f aca="false">IF(AND(ISNUMBER($G114),$G114&gt;=60),MAX(INDEX($D$5:$D114,111-60):$D114),"")</f>
        <v>783551004</v>
      </c>
      <c r="N114" s="52" t="n">
        <f aca="false">IF(AND(ISNUMBER($G114),$G114&gt;=60),MIN(INDEX($E$5:$E114,111-60):$E114),"")</f>
        <v>645390467</v>
      </c>
      <c r="O114" s="53" t="n">
        <f aca="false">IF(OR(NOT(ISNUMBER($C114)),NOT(ISNUMBER($M114)),$M114=0),"",$C114/$M114-1)</f>
        <v>-0.00166572564304956</v>
      </c>
      <c r="P114" s="54"/>
      <c r="Q114" s="53" t="str">
        <f aca="false">IF(NOT(ISNUMBER($P114)),"",IFERROR(PERCENTRANK($P$5:$P$1204,$P114),""))</f>
        <v/>
      </c>
    </row>
    <row r="115" customFormat="false" ht="15" hidden="false" customHeight="false" outlineLevel="0" collapsed="false">
      <c r="A115" s="47" t="n">
        <v>45724</v>
      </c>
      <c r="B115" s="48" t="s">
        <v>263</v>
      </c>
      <c r="C115" s="49" t="n">
        <v>785959630</v>
      </c>
      <c r="D115" s="49" t="n">
        <v>786727954</v>
      </c>
      <c r="E115" s="49" t="n">
        <v>782529857</v>
      </c>
      <c r="F115" s="49" t="n">
        <v>0</v>
      </c>
      <c r="G115" s="50" t="n">
        <f aca="false">IF($A115="","",IF(ISNUMBER($G114),$G114+1,1))</f>
        <v>111</v>
      </c>
      <c r="H115" s="51" t="n">
        <f aca="false">IF(OR(NOT(ISNUMBER($G115)),$G115&lt;2,NOT(ISNUMBER($C114)),$C114=0),"",$C115/$C114-1)</f>
        <v>0.00474762138806595</v>
      </c>
      <c r="I115" s="52" t="n">
        <f aca="false">IF(AND(ISNUMBER($G115),$G115&gt;=MA_SHORT),AVERAGE(INDEX($C$5:$C115,112-MA_SHORT):$C115),"")</f>
        <v>764378589.45</v>
      </c>
      <c r="J115" s="52" t="n">
        <f aca="false">IF(AND(ISNUMBER($G115),$G115&gt;=MA_MED),AVERAGE(INDEX($C$5:$C115,112-MA_MED):$C115),"")</f>
        <v>729323214.54</v>
      </c>
      <c r="K115" s="52" t="str">
        <f aca="false">IF(AND(ISNUMBER($G115),$G115&gt;=MA_LONG2),AVERAGE(INDEX($C$5:$C115,112-MA_LONG2):$C115),"")</f>
        <v/>
      </c>
      <c r="L115" s="53" t="n">
        <f aca="false">IF(AND(ISNUMBER($G115),$G115&gt;=21),STDEV(INDEX($H$55:$H115,62-20):$H115)*SQRT(245),"")</f>
        <v>0.185989127485909</v>
      </c>
      <c r="M115" s="52" t="n">
        <f aca="false">IF(AND(ISNUMBER($G115),$G115&gt;=60),MAX(INDEX($D$5:$D115,112-60):$D115),"")</f>
        <v>786727954</v>
      </c>
      <c r="N115" s="52" t="n">
        <f aca="false">IF(AND(ISNUMBER($G115),$G115&gt;=60),MIN(INDEX($E$5:$E115,112-60):$E115),"")</f>
        <v>645390467</v>
      </c>
      <c r="O115" s="53" t="n">
        <f aca="false">IF(OR(NOT(ISNUMBER($C115)),NOT(ISNUMBER($M115)),$M115=0),"",$C115/$M115-1)</f>
        <v>-0.000976606965716109</v>
      </c>
      <c r="P115" s="54"/>
      <c r="Q115" s="53" t="str">
        <f aca="false">IF(NOT(ISNUMBER($P115)),"",IFERROR(PERCENTRANK($P$5:$P$1204,$P115),""))</f>
        <v/>
      </c>
    </row>
    <row r="116" customFormat="false" ht="15" hidden="false" customHeight="false" outlineLevel="0" collapsed="false">
      <c r="A116" s="47" t="n">
        <v>45725</v>
      </c>
      <c r="B116" s="48" t="s">
        <v>264</v>
      </c>
      <c r="C116" s="49" t="n">
        <v>791711007</v>
      </c>
      <c r="D116" s="49" t="n">
        <v>792608981</v>
      </c>
      <c r="E116" s="49" t="n">
        <v>789863073</v>
      </c>
      <c r="F116" s="49" t="n">
        <v>0</v>
      </c>
      <c r="G116" s="50" t="n">
        <f aca="false">IF($A116="","",IF(ISNUMBER($G115),$G115+1,1))</f>
        <v>112</v>
      </c>
      <c r="H116" s="51" t="n">
        <f aca="false">IF(OR(NOT(ISNUMBER($G116)),$G116&lt;2,NOT(ISNUMBER($C115)),$C115=0),"",$C116/$C115-1)</f>
        <v>0.00731764938105028</v>
      </c>
      <c r="I116" s="52" t="n">
        <f aca="false">IF(AND(ISNUMBER($G116),$G116&gt;=MA_SHORT),AVERAGE(INDEX($C$5:$C116,113-MA_SHORT):$C116),"")</f>
        <v>767315776.65</v>
      </c>
      <c r="J116" s="52" t="n">
        <f aca="false">IF(AND(ISNUMBER($G116),$G116&gt;=MA_MED),AVERAGE(INDEX($C$5:$C116,113-MA_MED):$C116),"")</f>
        <v>731841839.82</v>
      </c>
      <c r="K116" s="52" t="str">
        <f aca="false">IF(AND(ISNUMBER($G116),$G116&gt;=MA_LONG2),AVERAGE(INDEX($C$5:$C116,113-MA_LONG2):$C116),"")</f>
        <v/>
      </c>
      <c r="L116" s="53" t="n">
        <f aca="false">IF(AND(ISNUMBER($G116),$G116&gt;=21),STDEV(INDEX($H$56:$H116,62-20):$H116)*SQRT(245),"")</f>
        <v>0.184209499307338</v>
      </c>
      <c r="M116" s="52" t="n">
        <f aca="false">IF(AND(ISNUMBER($G116),$G116&gt;=60),MAX(INDEX($D$5:$D116,113-60):$D116),"")</f>
        <v>792608981</v>
      </c>
      <c r="N116" s="52" t="n">
        <f aca="false">IF(AND(ISNUMBER($G116),$G116&gt;=60),MIN(INDEX($E$5:$E116,113-60):$E116),"")</f>
        <v>645390467</v>
      </c>
      <c r="O116" s="53" t="n">
        <f aca="false">IF(OR(NOT(ISNUMBER($C116)),NOT(ISNUMBER($M116)),$M116=0),"",$C116/$M116-1)</f>
        <v>-0.00113293442482454</v>
      </c>
      <c r="P116" s="54"/>
      <c r="Q116" s="53" t="str">
        <f aca="false">IF(NOT(ISNUMBER($P116)),"",IFERROR(PERCENTRANK($P$5:$P$1204,$P116),""))</f>
        <v/>
      </c>
    </row>
    <row r="117" customFormat="false" ht="15" hidden="false" customHeight="false" outlineLevel="0" collapsed="false">
      <c r="A117" s="47" t="n">
        <v>45726</v>
      </c>
      <c r="B117" s="48" t="s">
        <v>265</v>
      </c>
      <c r="C117" s="49" t="n">
        <v>791977774</v>
      </c>
      <c r="D117" s="49" t="n">
        <v>793071685</v>
      </c>
      <c r="E117" s="49" t="n">
        <v>788374818</v>
      </c>
      <c r="F117" s="49" t="n">
        <v>0</v>
      </c>
      <c r="G117" s="50" t="n">
        <f aca="false">IF($A117="","",IF(ISNUMBER($G116),$G116+1,1))</f>
        <v>113</v>
      </c>
      <c r="H117" s="51" t="n">
        <f aca="false">IF(OR(NOT(ISNUMBER($G117)),$G117&lt;2,NOT(ISNUMBER($C116)),$C116=0),"",$C117/$C116-1)</f>
        <v>0.000336949969927503</v>
      </c>
      <c r="I117" s="52" t="n">
        <f aca="false">IF(AND(ISNUMBER($G117),$G117&gt;=MA_SHORT),AVERAGE(INDEX($C$5:$C117,114-MA_SHORT):$C117),"")</f>
        <v>770289720.75</v>
      </c>
      <c r="J117" s="52" t="n">
        <f aca="false">IF(AND(ISNUMBER($G117),$G117&gt;=MA_MED),AVERAGE(INDEX($C$5:$C117,114-MA_MED):$C117),"")</f>
        <v>734397597.08</v>
      </c>
      <c r="K117" s="52" t="str">
        <f aca="false">IF(AND(ISNUMBER($G117),$G117&gt;=MA_LONG2),AVERAGE(INDEX($C$5:$C117,114-MA_LONG2):$C117),"")</f>
        <v/>
      </c>
      <c r="L117" s="53" t="n">
        <f aca="false">IF(AND(ISNUMBER($G117),$G117&gt;=21),STDEV(INDEX($H$57:$H117,62-20):$H117)*SQRT(245),"")</f>
        <v>0.183928950379733</v>
      </c>
      <c r="M117" s="52" t="n">
        <f aca="false">IF(AND(ISNUMBER($G117),$G117&gt;=60),MAX(INDEX($D$5:$D117,114-60):$D117),"")</f>
        <v>793071685</v>
      </c>
      <c r="N117" s="52" t="n">
        <f aca="false">IF(AND(ISNUMBER($G117),$G117&gt;=60),MIN(INDEX($E$5:$E117,114-60):$E117),"")</f>
        <v>645390467</v>
      </c>
      <c r="O117" s="53" t="n">
        <f aca="false">IF(OR(NOT(ISNUMBER($C117)),NOT(ISNUMBER($M117)),$M117=0),"",$C117/$M117-1)</f>
        <v>-0.00137933432839676</v>
      </c>
      <c r="P117" s="54"/>
      <c r="Q117" s="53" t="str">
        <f aca="false">IF(NOT(ISNUMBER($P117)),"",IFERROR(PERCENTRANK($P$5:$P$1204,$P117),""))</f>
        <v/>
      </c>
    </row>
    <row r="118" customFormat="false" ht="15" hidden="false" customHeight="false" outlineLevel="0" collapsed="false">
      <c r="A118" s="47" t="n">
        <v>45727</v>
      </c>
      <c r="B118" s="48" t="s">
        <v>266</v>
      </c>
      <c r="C118" s="49" t="n">
        <v>795474381</v>
      </c>
      <c r="D118" s="49" t="n">
        <v>797426029</v>
      </c>
      <c r="E118" s="49" t="n">
        <v>791275181</v>
      </c>
      <c r="F118" s="49" t="n">
        <v>0</v>
      </c>
      <c r="G118" s="50" t="n">
        <f aca="false">IF($A118="","",IF(ISNUMBER($G117),$G117+1,1))</f>
        <v>114</v>
      </c>
      <c r="H118" s="51" t="n">
        <f aca="false">IF(OR(NOT(ISNUMBER($G118)),$G118&lt;2,NOT(ISNUMBER($C117)),$C117=0),"",$C118/$C117-1)</f>
        <v>0.00441503172789792</v>
      </c>
      <c r="I118" s="52" t="n">
        <f aca="false">IF(AND(ISNUMBER($G118),$G118&gt;=MA_SHORT),AVERAGE(INDEX($C$5:$C118,115-MA_SHORT):$C118),"")</f>
        <v>773153771.75</v>
      </c>
      <c r="J118" s="52" t="n">
        <f aca="false">IF(AND(ISNUMBER($G118),$G118&gt;=MA_MED),AVERAGE(INDEX($C$5:$C118,115-MA_MED):$C118),"")</f>
        <v>736762465.46</v>
      </c>
      <c r="K118" s="52" t="str">
        <f aca="false">IF(AND(ISNUMBER($G118),$G118&gt;=MA_LONG2),AVERAGE(INDEX($C$5:$C118,115-MA_LONG2):$C118),"")</f>
        <v/>
      </c>
      <c r="L118" s="53" t="n">
        <f aca="false">IF(AND(ISNUMBER($G118),$G118&gt;=21),STDEV(INDEX($H$58:$H118,62-20):$H118)*SQRT(245),"")</f>
        <v>0.183409737502383</v>
      </c>
      <c r="M118" s="52" t="n">
        <f aca="false">IF(AND(ISNUMBER($G118),$G118&gt;=60),MAX(INDEX($D$5:$D118,115-60):$D118),"")</f>
        <v>797426029</v>
      </c>
      <c r="N118" s="52" t="n">
        <f aca="false">IF(AND(ISNUMBER($G118),$G118&gt;=60),MIN(INDEX($E$5:$E118,115-60):$E118),"")</f>
        <v>645390467</v>
      </c>
      <c r="O118" s="53" t="n">
        <f aca="false">IF(OR(NOT(ISNUMBER($C118)),NOT(ISNUMBER($M118)),$M118=0),"",$C118/$M118-1)</f>
        <v>-0.00244743453188689</v>
      </c>
      <c r="P118" s="54"/>
      <c r="Q118" s="53" t="str">
        <f aca="false">IF(NOT(ISNUMBER($P118)),"",IFERROR(PERCENTRANK($P$5:$P$1204,$P118),""))</f>
        <v/>
      </c>
    </row>
    <row r="119" customFormat="false" ht="15" hidden="false" customHeight="false" outlineLevel="0" collapsed="false">
      <c r="A119" s="47" t="n">
        <v>45728</v>
      </c>
      <c r="B119" s="48" t="s">
        <v>267</v>
      </c>
      <c r="C119" s="49" t="n">
        <v>798835018</v>
      </c>
      <c r="D119" s="49" t="n">
        <v>800090860</v>
      </c>
      <c r="E119" s="49" t="n">
        <v>795230040</v>
      </c>
      <c r="F119" s="49" t="n">
        <v>0</v>
      </c>
      <c r="G119" s="50" t="n">
        <f aca="false">IF($A119="","",IF(ISNUMBER($G118),$G118+1,1))</f>
        <v>115</v>
      </c>
      <c r="H119" s="51" t="n">
        <f aca="false">IF(OR(NOT(ISNUMBER($G119)),$G119&lt;2,NOT(ISNUMBER($C118)),$C118=0),"",$C119/$C118-1)</f>
        <v>0.00422469545251136</v>
      </c>
      <c r="I119" s="52" t="n">
        <f aca="false">IF(AND(ISNUMBER($G119),$G119&gt;=MA_SHORT),AVERAGE(INDEX($C$5:$C119,116-MA_SHORT):$C119),"")</f>
        <v>775297891.9</v>
      </c>
      <c r="J119" s="52" t="n">
        <f aca="false">IF(AND(ISNUMBER($G119),$G119&gt;=MA_MED),AVERAGE(INDEX($C$5:$C119,116-MA_MED):$C119),"")</f>
        <v>738884618.46</v>
      </c>
      <c r="K119" s="52" t="str">
        <f aca="false">IF(AND(ISNUMBER($G119),$G119&gt;=MA_LONG2),AVERAGE(INDEX($C$5:$C119,116-MA_LONG2):$C119),"")</f>
        <v/>
      </c>
      <c r="L119" s="53" t="n">
        <f aca="false">IF(AND(ISNUMBER($G119),$G119&gt;=21),STDEV(INDEX($H$59:$H119,62-20):$H119)*SQRT(245),"")</f>
        <v>0.167632612366491</v>
      </c>
      <c r="M119" s="52" t="n">
        <f aca="false">IF(AND(ISNUMBER($G119),$G119&gt;=60),MAX(INDEX($D$5:$D119,116-60):$D119),"")</f>
        <v>800090860</v>
      </c>
      <c r="N119" s="52" t="n">
        <f aca="false">IF(AND(ISNUMBER($G119),$G119&gt;=60),MIN(INDEX($E$5:$E119,116-60):$E119),"")</f>
        <v>645390467</v>
      </c>
      <c r="O119" s="53" t="n">
        <f aca="false">IF(OR(NOT(ISNUMBER($C119)),NOT(ISNUMBER($M119)),$M119=0),"",$C119/$M119-1)</f>
        <v>-0.00156962422992812</v>
      </c>
      <c r="P119" s="54"/>
      <c r="Q119" s="53" t="str">
        <f aca="false">IF(NOT(ISNUMBER($P119)),"",IFERROR(PERCENTRANK($P$5:$P$1204,$P119),""))</f>
        <v/>
      </c>
    </row>
    <row r="120" customFormat="false" ht="15" hidden="false" customHeight="false" outlineLevel="0" collapsed="false">
      <c r="A120" s="47" t="n">
        <v>45731</v>
      </c>
      <c r="B120" s="48" t="s">
        <v>268</v>
      </c>
      <c r="C120" s="49" t="n">
        <v>794118343</v>
      </c>
      <c r="D120" s="49" t="n">
        <v>798201811</v>
      </c>
      <c r="E120" s="49" t="n">
        <v>791469588</v>
      </c>
      <c r="F120" s="49" t="n">
        <v>0</v>
      </c>
      <c r="G120" s="50" t="n">
        <f aca="false">IF($A120="","",IF(ISNUMBER($G119),$G119+1,1))</f>
        <v>116</v>
      </c>
      <c r="H120" s="51" t="n">
        <f aca="false">IF(OR(NOT(ISNUMBER($G120)),$G120&lt;2,NOT(ISNUMBER($C119)),$C119=0),"",$C120/$C119-1)</f>
        <v>-0.00590444196075546</v>
      </c>
      <c r="I120" s="52" t="n">
        <f aca="false">IF(AND(ISNUMBER($G120),$G120&gt;=MA_SHORT),AVERAGE(INDEX($C$5:$C120,117-MA_SHORT):$C120),"")</f>
        <v>777478022.95</v>
      </c>
      <c r="J120" s="52" t="n">
        <f aca="false">IF(AND(ISNUMBER($G120),$G120&gt;=MA_MED),AVERAGE(INDEX($C$5:$C120,117-MA_MED):$C120),"")</f>
        <v>740924428.64</v>
      </c>
      <c r="K120" s="52" t="str">
        <f aca="false">IF(AND(ISNUMBER($G120),$G120&gt;=MA_LONG2),AVERAGE(INDEX($C$5:$C120,117-MA_LONG2):$C120),"")</f>
        <v/>
      </c>
      <c r="L120" s="53" t="n">
        <f aca="false">IF(AND(ISNUMBER($G120),$G120&gt;=21),STDEV(INDEX($H$60:$H120,62-20):$H120)*SQRT(245),"")</f>
        <v>0.16669916892561</v>
      </c>
      <c r="M120" s="52" t="n">
        <f aca="false">IF(AND(ISNUMBER($G120),$G120&gt;=60),MAX(INDEX($D$5:$D120,117-60):$D120),"")</f>
        <v>800090860</v>
      </c>
      <c r="N120" s="52" t="n">
        <f aca="false">IF(AND(ISNUMBER($G120),$G120&gt;=60),MIN(INDEX($E$5:$E120,117-60):$E120),"")</f>
        <v>657372018</v>
      </c>
      <c r="O120" s="53" t="n">
        <f aca="false">IF(OR(NOT(ISNUMBER($C120)),NOT(ISNUMBER($M120)),$M120=0),"",$C120/$M120-1)</f>
        <v>-0.00746479843551773</v>
      </c>
      <c r="P120" s="54"/>
      <c r="Q120" s="53" t="str">
        <f aca="false">IF(NOT(ISNUMBER($P120)),"",IFERROR(PERCENTRANK($P$5:$P$1204,$P120),""))</f>
        <v/>
      </c>
    </row>
    <row r="121" customFormat="false" ht="15" hidden="false" customHeight="false" outlineLevel="0" collapsed="false">
      <c r="A121" s="47" t="n">
        <v>45732</v>
      </c>
      <c r="B121" s="48" t="s">
        <v>269</v>
      </c>
      <c r="C121" s="49" t="n">
        <v>793083906</v>
      </c>
      <c r="D121" s="49" t="n">
        <v>796914960</v>
      </c>
      <c r="E121" s="49" t="n">
        <v>787844030</v>
      </c>
      <c r="F121" s="49" t="n">
        <v>0</v>
      </c>
      <c r="G121" s="50" t="n">
        <f aca="false">IF($A121="","",IF(ISNUMBER($G120),$G120+1,1))</f>
        <v>117</v>
      </c>
      <c r="H121" s="51" t="n">
        <f aca="false">IF(OR(NOT(ISNUMBER($G121)),$G121&lt;2,NOT(ISNUMBER($C120)),$C120=0),"",$C121/$C120-1)</f>
        <v>-0.00130262322878993</v>
      </c>
      <c r="I121" s="52" t="n">
        <f aca="false">IF(AND(ISNUMBER($G121),$G121&gt;=MA_SHORT),AVERAGE(INDEX($C$5:$C121,118-MA_SHORT):$C121),"")</f>
        <v>778925362.2</v>
      </c>
      <c r="J121" s="52" t="n">
        <f aca="false">IF(AND(ISNUMBER($G121),$G121&gt;=MA_MED),AVERAGE(INDEX($C$5:$C121,118-MA_MED):$C121),"")</f>
        <v>742875240.9</v>
      </c>
      <c r="K121" s="52" t="str">
        <f aca="false">IF(AND(ISNUMBER($G121),$G121&gt;=MA_LONG2),AVERAGE(INDEX($C$5:$C121,118-MA_LONG2):$C121),"")</f>
        <v/>
      </c>
      <c r="L121" s="53" t="n">
        <f aca="false">IF(AND(ISNUMBER($G121),$G121&gt;=21),STDEV(INDEX($H$61:$H121,62-20):$H121)*SQRT(245),"")</f>
        <v>0.157367637465502</v>
      </c>
      <c r="M121" s="52" t="n">
        <f aca="false">IF(AND(ISNUMBER($G121),$G121&gt;=60),MAX(INDEX($D$5:$D121,118-60):$D121),"")</f>
        <v>800090860</v>
      </c>
      <c r="N121" s="52" t="n">
        <f aca="false">IF(AND(ISNUMBER($G121),$G121&gt;=60),MIN(INDEX($E$5:$E121,118-60):$E121),"")</f>
        <v>662669644</v>
      </c>
      <c r="O121" s="53" t="n">
        <f aca="false">IF(OR(NOT(ISNUMBER($C121)),NOT(ISNUMBER($M121)),$M121=0),"",$C121/$M121-1)</f>
        <v>-0.00875769784446734</v>
      </c>
      <c r="P121" s="54"/>
      <c r="Q121" s="53" t="str">
        <f aca="false">IF(NOT(ISNUMBER($P121)),"",IFERROR(PERCENTRANK($P$5:$P$1204,$P121),""))</f>
        <v/>
      </c>
    </row>
    <row r="122" customFormat="false" ht="15" hidden="false" customHeight="false" outlineLevel="0" collapsed="false">
      <c r="A122" s="47" t="n">
        <v>45733</v>
      </c>
      <c r="B122" s="48" t="s">
        <v>270</v>
      </c>
      <c r="C122" s="49" t="n">
        <v>802925873</v>
      </c>
      <c r="D122" s="49" t="n">
        <v>803134546</v>
      </c>
      <c r="E122" s="49" t="n">
        <v>802026492</v>
      </c>
      <c r="F122" s="49" t="n">
        <v>0</v>
      </c>
      <c r="G122" s="50" t="n">
        <f aca="false">IF($A122="","",IF(ISNUMBER($G121),$G121+1,1))</f>
        <v>118</v>
      </c>
      <c r="H122" s="51" t="n">
        <f aca="false">IF(OR(NOT(ISNUMBER($G122)),$G122&lt;2,NOT(ISNUMBER($C121)),$C121=0),"",$C122/$C121-1)</f>
        <v>0.0124097424314646</v>
      </c>
      <c r="I122" s="52" t="n">
        <f aca="false">IF(AND(ISNUMBER($G122),$G122&gt;=MA_SHORT),AVERAGE(INDEX($C$5:$C122,119-MA_SHORT):$C122),"")</f>
        <v>781180861.75</v>
      </c>
      <c r="J122" s="52" t="n">
        <f aca="false">IF(AND(ISNUMBER($G122),$G122&gt;=MA_MED),AVERAGE(INDEX($C$5:$C122,119-MA_MED):$C122),"")</f>
        <v>744862818.74</v>
      </c>
      <c r="K122" s="52" t="str">
        <f aca="false">IF(AND(ISNUMBER($G122),$G122&gt;=MA_LONG2),AVERAGE(INDEX($C$5:$C122,119-MA_LONG2):$C122),"")</f>
        <v/>
      </c>
      <c r="L122" s="53" t="n">
        <f aca="false">IF(AND(ISNUMBER($G122),$G122&gt;=21),STDEV(INDEX($H$62:$H122,62-20):$H122)*SQRT(245),"")</f>
        <v>0.156760857624652</v>
      </c>
      <c r="M122" s="52" t="n">
        <f aca="false">IF(AND(ISNUMBER($G122),$G122&gt;=60),MAX(INDEX($D$5:$D122,119-60):$D122),"")</f>
        <v>803134546</v>
      </c>
      <c r="N122" s="52" t="n">
        <f aca="false">IF(AND(ISNUMBER($G122),$G122&gt;=60),MIN(INDEX($E$5:$E122,119-60):$E122),"")</f>
        <v>662669644</v>
      </c>
      <c r="O122" s="53" t="n">
        <f aca="false">IF(OR(NOT(ISNUMBER($C122)),NOT(ISNUMBER($M122)),$M122=0),"",$C122/$M122-1)</f>
        <v>-0.000259823215224997</v>
      </c>
      <c r="P122" s="54"/>
      <c r="Q122" s="53" t="str">
        <f aca="false">IF(NOT(ISNUMBER($P122)),"",IFERROR(PERCENTRANK($P$5:$P$1204,$P122),""))</f>
        <v/>
      </c>
    </row>
    <row r="123" customFormat="false" ht="15" hidden="false" customHeight="false" outlineLevel="0" collapsed="false">
      <c r="A123" s="47" t="n">
        <v>45734</v>
      </c>
      <c r="B123" s="48" t="s">
        <v>271</v>
      </c>
      <c r="C123" s="49" t="n">
        <v>795934112</v>
      </c>
      <c r="D123" s="49" t="n">
        <v>799077330</v>
      </c>
      <c r="E123" s="49" t="n">
        <v>794570221</v>
      </c>
      <c r="F123" s="49" t="n">
        <v>0</v>
      </c>
      <c r="G123" s="50" t="n">
        <f aca="false">IF($A123="","",IF(ISNUMBER($G122),$G122+1,1))</f>
        <v>119</v>
      </c>
      <c r="H123" s="51" t="n">
        <f aca="false">IF(OR(NOT(ISNUMBER($G123)),$G123&lt;2,NOT(ISNUMBER($C122)),$C122=0),"",$C123/$C122-1)</f>
        <v>-0.00870785365761906</v>
      </c>
      <c r="I123" s="52" t="n">
        <f aca="false">IF(AND(ISNUMBER($G123),$G123&gt;=MA_SHORT),AVERAGE(INDEX($C$5:$C123,120-MA_SHORT):$C123),"")</f>
        <v>782701699.55</v>
      </c>
      <c r="J123" s="52" t="n">
        <f aca="false">IF(AND(ISNUMBER($G123),$G123&gt;=MA_MED),AVERAGE(INDEX($C$5:$C123,120-MA_MED):$C123),"")</f>
        <v>746724331.56</v>
      </c>
      <c r="K123" s="52" t="str">
        <f aca="false">IF(AND(ISNUMBER($G123),$G123&gt;=MA_LONG2),AVERAGE(INDEX($C$5:$C123,120-MA_LONG2):$C123),"")</f>
        <v/>
      </c>
      <c r="L123" s="53" t="n">
        <f aca="false">IF(AND(ISNUMBER($G123),$G123&gt;=21),STDEV(INDEX($H$63:$H123,62-20):$H123)*SQRT(245),"")</f>
        <v>0.159444818352768</v>
      </c>
      <c r="M123" s="52" t="n">
        <f aca="false">IF(AND(ISNUMBER($G123),$G123&gt;=60),MAX(INDEX($D$5:$D123,120-60):$D123),"")</f>
        <v>803134546</v>
      </c>
      <c r="N123" s="52" t="n">
        <f aca="false">IF(AND(ISNUMBER($G123),$G123&gt;=60),MIN(INDEX($E$5:$E123,120-60):$E123),"")</f>
        <v>662669644</v>
      </c>
      <c r="O123" s="53" t="n">
        <f aca="false">IF(OR(NOT(ISNUMBER($C123)),NOT(ISNUMBER($M123)),$M123=0),"",$C123/$M123-1)</f>
        <v>-0.00896541437030896</v>
      </c>
      <c r="P123" s="54"/>
      <c r="Q123" s="53" t="str">
        <f aca="false">IF(NOT(ISNUMBER($P123)),"",IFERROR(PERCENTRANK($P$5:$P$1204,$P123),""))</f>
        <v/>
      </c>
    </row>
    <row r="124" customFormat="false" ht="15" hidden="false" customHeight="false" outlineLevel="0" collapsed="false">
      <c r="A124" s="47" t="n">
        <v>45735</v>
      </c>
      <c r="B124" s="48" t="s">
        <v>272</v>
      </c>
      <c r="C124" s="49" t="n">
        <v>792034324</v>
      </c>
      <c r="D124" s="49" t="n">
        <v>792962038</v>
      </c>
      <c r="E124" s="49" t="n">
        <v>788455663</v>
      </c>
      <c r="F124" s="49" t="n">
        <v>0</v>
      </c>
      <c r="G124" s="50" t="n">
        <f aca="false">IF($A124="","",IF(ISNUMBER($G123),$G123+1,1))</f>
        <v>120</v>
      </c>
      <c r="H124" s="51" t="n">
        <f aca="false">IF(OR(NOT(ISNUMBER($G124)),$G124&lt;2,NOT(ISNUMBER($C123)),$C123=0),"",$C124/$C123-1)</f>
        <v>-0.00489963671766835</v>
      </c>
      <c r="I124" s="52" t="n">
        <f aca="false">IF(AND(ISNUMBER($G124),$G124&gt;=MA_SHORT),AVERAGE(INDEX($C$5:$C124,121-MA_SHORT):$C124),"")</f>
        <v>783693007.3</v>
      </c>
      <c r="J124" s="52" t="n">
        <f aca="false">IF(AND(ISNUMBER($G124),$G124&gt;=MA_MED),AVERAGE(INDEX($C$5:$C124,121-MA_MED):$C124),"")</f>
        <v>748651053.88</v>
      </c>
      <c r="K124" s="52" t="str">
        <f aca="false">IF(AND(ISNUMBER($G124),$G124&gt;=MA_LONG2),AVERAGE(INDEX($C$5:$C124,121-MA_LONG2):$C124),"")</f>
        <v/>
      </c>
      <c r="L124" s="53" t="n">
        <f aca="false">IF(AND(ISNUMBER($G124),$G124&gt;=21),STDEV(INDEX($H$64:$H124,62-20):$H124)*SQRT(245),"")</f>
        <v>0.159155825096754</v>
      </c>
      <c r="M124" s="52" t="n">
        <f aca="false">IF(AND(ISNUMBER($G124),$G124&gt;=60),MAX(INDEX($D$5:$D124,121-60):$D124),"")</f>
        <v>803134546</v>
      </c>
      <c r="N124" s="52" t="n">
        <f aca="false">IF(AND(ISNUMBER($G124),$G124&gt;=60),MIN(INDEX($E$5:$E124,121-60):$E124),"")</f>
        <v>662669644</v>
      </c>
      <c r="O124" s="53" t="n">
        <f aca="false">IF(OR(NOT(ISNUMBER($C124)),NOT(ISNUMBER($M124)),$M124=0),"",$C124/$M124-1)</f>
        <v>-0.0138211238145396</v>
      </c>
      <c r="P124" s="54"/>
      <c r="Q124" s="53" t="str">
        <f aca="false">IF(NOT(ISNUMBER($P124)),"",IFERROR(PERCENTRANK($P$5:$P$1204,$P124),""))</f>
        <v/>
      </c>
    </row>
    <row r="125" customFormat="false" ht="15" hidden="false" customHeight="false" outlineLevel="0" collapsed="false">
      <c r="A125" s="47" t="n">
        <v>45738</v>
      </c>
      <c r="B125" s="48" t="s">
        <v>273</v>
      </c>
      <c r="C125" s="49" t="n">
        <v>803296791</v>
      </c>
      <c r="D125" s="49" t="n">
        <v>808632263</v>
      </c>
      <c r="E125" s="49" t="n">
        <v>800856165</v>
      </c>
      <c r="F125" s="49" t="n">
        <v>0</v>
      </c>
      <c r="G125" s="50" t="n">
        <f aca="false">IF($A125="","",IF(ISNUMBER($G124),$G124+1,1))</f>
        <v>121</v>
      </c>
      <c r="H125" s="51" t="n">
        <f aca="false">IF(OR(NOT(ISNUMBER($G125)),$G125&lt;2,NOT(ISNUMBER($C124)),$C124=0),"",$C125/$C124-1)</f>
        <v>0.0142196703586295</v>
      </c>
      <c r="I125" s="52" t="n">
        <f aca="false">IF(AND(ISNUMBER($G125),$G125&gt;=MA_SHORT),AVERAGE(INDEX($C$5:$C125,122-MA_SHORT):$C125),"")</f>
        <v>784970918.15</v>
      </c>
      <c r="J125" s="52" t="n">
        <f aca="false">IF(AND(ISNUMBER($G125),$G125&gt;=MA_MED),AVERAGE(INDEX($C$5:$C125,122-MA_MED):$C125),"")</f>
        <v>750895832.54</v>
      </c>
      <c r="K125" s="52" t="str">
        <f aca="false">IF(AND(ISNUMBER($G125),$G125&gt;=MA_LONG2),AVERAGE(INDEX($C$5:$C125,122-MA_LONG2):$C125),"")</f>
        <v/>
      </c>
      <c r="L125" s="53" t="n">
        <f aca="false">IF(AND(ISNUMBER($G125),$G125&gt;=21),STDEV(INDEX($H$65:$H125,62-20):$H125)*SQRT(245),"")</f>
        <v>0.164330619311775</v>
      </c>
      <c r="M125" s="52" t="n">
        <f aca="false">IF(AND(ISNUMBER($G125),$G125&gt;=60),MAX(INDEX($D$5:$D125,122-60):$D125),"")</f>
        <v>808632263</v>
      </c>
      <c r="N125" s="52" t="n">
        <f aca="false">IF(AND(ISNUMBER($G125),$G125&gt;=60),MIN(INDEX($E$5:$E125,122-60):$E125),"")</f>
        <v>662669644</v>
      </c>
      <c r="O125" s="53" t="n">
        <f aca="false">IF(OR(NOT(ISNUMBER($C125)),NOT(ISNUMBER($M125)),$M125=0),"",$C125/$M125-1)</f>
        <v>-0.00659814385862567</v>
      </c>
      <c r="P125" s="54"/>
      <c r="Q125" s="53" t="str">
        <f aca="false">IF(NOT(ISNUMBER($P125)),"",IFERROR(PERCENTRANK($P$5:$P$1204,$P125),""))</f>
        <v/>
      </c>
    </row>
    <row r="126" customFormat="false" ht="15" hidden="false" customHeight="false" outlineLevel="0" collapsed="false">
      <c r="A126" s="47" t="n">
        <v>45739</v>
      </c>
      <c r="B126" s="48" t="s">
        <v>274</v>
      </c>
      <c r="C126" s="49" t="n">
        <v>782720900</v>
      </c>
      <c r="D126" s="49" t="n">
        <v>783660582</v>
      </c>
      <c r="E126" s="49" t="n">
        <v>780740839</v>
      </c>
      <c r="F126" s="49" t="n">
        <v>0</v>
      </c>
      <c r="G126" s="50" t="n">
        <f aca="false">IF($A126="","",IF(ISNUMBER($G125),$G125+1,1))</f>
        <v>122</v>
      </c>
      <c r="H126" s="51" t="n">
        <f aca="false">IF(OR(NOT(ISNUMBER($G126)),$G126&lt;2,NOT(ISNUMBER($C125)),$C125=0),"",$C126/$C125-1)</f>
        <v>-0.0256143074770481</v>
      </c>
      <c r="I126" s="52" t="n">
        <f aca="false">IF(AND(ISNUMBER($G126),$G126&gt;=MA_SHORT),AVERAGE(INDEX($C$5:$C126,123-MA_SHORT):$C126),"")</f>
        <v>785214534.4</v>
      </c>
      <c r="J126" s="52" t="n">
        <f aca="false">IF(AND(ISNUMBER($G126),$G126&gt;=MA_MED),AVERAGE(INDEX($C$5:$C126,123-MA_MED):$C126),"")</f>
        <v>752658776.96</v>
      </c>
      <c r="K126" s="52" t="str">
        <f aca="false">IF(AND(ISNUMBER($G126),$G126&gt;=MA_LONG2),AVERAGE(INDEX($C$5:$C126,123-MA_LONG2):$C126),"")</f>
        <v/>
      </c>
      <c r="L126" s="53" t="n">
        <f aca="false">IF(AND(ISNUMBER($G126),$G126&gt;=21),STDEV(INDEX($H$66:$H126,62-20):$H126)*SQRT(245),"")</f>
        <v>0.19012182508986</v>
      </c>
      <c r="M126" s="52" t="n">
        <f aca="false">IF(AND(ISNUMBER($G126),$G126&gt;=60),MAX(INDEX($D$5:$D126,123-60):$D126),"")</f>
        <v>808632263</v>
      </c>
      <c r="N126" s="52" t="n">
        <f aca="false">IF(AND(ISNUMBER($G126),$G126&gt;=60),MIN(INDEX($E$5:$E126,123-60):$E126),"")</f>
        <v>662669644</v>
      </c>
      <c r="O126" s="53" t="n">
        <f aca="false">IF(OR(NOT(ISNUMBER($C126)),NOT(ISNUMBER($M126)),$M126=0),"",$C126/$M126-1)</f>
        <v>-0.0320434444501011</v>
      </c>
      <c r="P126" s="54"/>
      <c r="Q126" s="53" t="str">
        <f aca="false">IF(NOT(ISNUMBER($P126)),"",IFERROR(PERCENTRANK($P$5:$P$1204,$P126),""))</f>
        <v/>
      </c>
    </row>
    <row r="127" customFormat="false" ht="15" hidden="false" customHeight="false" outlineLevel="0" collapsed="false">
      <c r="A127" s="47" t="n">
        <v>45740</v>
      </c>
      <c r="B127" s="48" t="s">
        <v>275</v>
      </c>
      <c r="C127" s="49" t="n">
        <v>787226470</v>
      </c>
      <c r="D127" s="49" t="n">
        <v>793922317</v>
      </c>
      <c r="E127" s="49" t="n">
        <v>780490128</v>
      </c>
      <c r="F127" s="49" t="n">
        <v>0</v>
      </c>
      <c r="G127" s="50" t="n">
        <f aca="false">IF($A127="","",IF(ISNUMBER($G126),$G126+1,1))</f>
        <v>123</v>
      </c>
      <c r="H127" s="51" t="n">
        <f aca="false">IF(OR(NOT(ISNUMBER($G127)),$G127&lt;2,NOT(ISNUMBER($C126)),$C126=0),"",$C127/$C126-1)</f>
        <v>0.00575629192985638</v>
      </c>
      <c r="I127" s="52" t="n">
        <f aca="false">IF(AND(ISNUMBER($G127),$G127&gt;=MA_SHORT),AVERAGE(INDEX($C$5:$C127,124-MA_SHORT):$C127),"")</f>
        <v>785990501.7</v>
      </c>
      <c r="J127" s="52" t="n">
        <f aca="false">IF(AND(ISNUMBER($G127),$G127&gt;=MA_MED),AVERAGE(INDEX($C$5:$C127,124-MA_MED):$C127),"")</f>
        <v>754380463.78</v>
      </c>
      <c r="K127" s="52" t="str">
        <f aca="false">IF(AND(ISNUMBER($G127),$G127&gt;=MA_LONG2),AVERAGE(INDEX($C$5:$C127,124-MA_LONG2):$C127),"")</f>
        <v/>
      </c>
      <c r="L127" s="53" t="n">
        <f aca="false">IF(AND(ISNUMBER($G127),$G127&gt;=21),STDEV(INDEX($H$67:$H127,62-20):$H127)*SQRT(245),"")</f>
        <v>0.188453861891599</v>
      </c>
      <c r="M127" s="52" t="n">
        <f aca="false">IF(AND(ISNUMBER($G127),$G127&gt;=60),MAX(INDEX($D$5:$D127,124-60):$D127),"")</f>
        <v>808632263</v>
      </c>
      <c r="N127" s="52" t="n">
        <f aca="false">IF(AND(ISNUMBER($G127),$G127&gt;=60),MIN(INDEX($E$5:$E127,124-60):$E127),"")</f>
        <v>676670484</v>
      </c>
      <c r="O127" s="53" t="n">
        <f aca="false">IF(OR(NOT(ISNUMBER($C127)),NOT(ISNUMBER($M127)),$M127=0),"",$C127/$M127-1)</f>
        <v>-0.0264716039409375</v>
      </c>
      <c r="P127" s="54"/>
      <c r="Q127" s="53" t="str">
        <f aca="false">IF(NOT(ISNUMBER($P127)),"",IFERROR(PERCENTRANK($P$5:$P$1204,$P127),""))</f>
        <v/>
      </c>
    </row>
    <row r="128" customFormat="false" ht="15" hidden="false" customHeight="false" outlineLevel="0" collapsed="false">
      <c r="A128" s="47" t="n">
        <v>45741</v>
      </c>
      <c r="B128" s="48" t="s">
        <v>276</v>
      </c>
      <c r="C128" s="49" t="n">
        <v>783292700</v>
      </c>
      <c r="D128" s="49" t="n">
        <v>786354155</v>
      </c>
      <c r="E128" s="49" t="n">
        <v>782712213</v>
      </c>
      <c r="F128" s="49" t="n">
        <v>0</v>
      </c>
      <c r="G128" s="50" t="n">
        <f aca="false">IF($A128="","",IF(ISNUMBER($G127),$G127+1,1))</f>
        <v>124</v>
      </c>
      <c r="H128" s="51" t="n">
        <f aca="false">IF(OR(NOT(ISNUMBER($G128)),$G128&lt;2,NOT(ISNUMBER($C127)),$C127=0),"",$C128/$C127-1)</f>
        <v>-0.00499699914816132</v>
      </c>
      <c r="I128" s="52" t="n">
        <f aca="false">IF(AND(ISNUMBER($G128),$G128&gt;=MA_SHORT),AVERAGE(INDEX($C$5:$C128,125-MA_SHORT):$C128),"")</f>
        <v>787449297</v>
      </c>
      <c r="J128" s="52" t="n">
        <f aca="false">IF(AND(ISNUMBER($G128),$G128&gt;=MA_MED),AVERAGE(INDEX($C$5:$C128,125-MA_MED):$C128),"")</f>
        <v>755974299.84</v>
      </c>
      <c r="K128" s="52" t="str">
        <f aca="false">IF(AND(ISNUMBER($G128),$G128&gt;=MA_LONG2),AVERAGE(INDEX($C$5:$C128,125-MA_LONG2):$C128),"")</f>
        <v/>
      </c>
      <c r="L128" s="53" t="n">
        <f aca="false">IF(AND(ISNUMBER($G128),$G128&gt;=21),STDEV(INDEX($H$68:$H128,62-20):$H128)*SQRT(245),"")</f>
        <v>0.168653492679444</v>
      </c>
      <c r="M128" s="52" t="n">
        <f aca="false">IF(AND(ISNUMBER($G128),$G128&gt;=60),MAX(INDEX($D$5:$D128,125-60):$D128),"")</f>
        <v>808632263</v>
      </c>
      <c r="N128" s="52" t="n">
        <f aca="false">IF(AND(ISNUMBER($G128),$G128&gt;=60),MIN(INDEX($E$5:$E128,125-60):$E128),"")</f>
        <v>684167555</v>
      </c>
      <c r="O128" s="53" t="n">
        <f aca="false">IF(OR(NOT(ISNUMBER($C128)),NOT(ISNUMBER($M128)),$M128=0),"",$C128/$M128-1)</f>
        <v>-0.0313363245067554</v>
      </c>
      <c r="P128" s="54"/>
      <c r="Q128" s="53" t="str">
        <f aca="false">IF(NOT(ISNUMBER($P128)),"",IFERROR(PERCENTRANK($P$5:$P$1204,$P128),""))</f>
        <v/>
      </c>
    </row>
    <row r="129" customFormat="false" ht="15" hidden="false" customHeight="false" outlineLevel="0" collapsed="false">
      <c r="A129" s="47" t="n">
        <v>45742</v>
      </c>
      <c r="B129" s="48" t="s">
        <v>277</v>
      </c>
      <c r="C129" s="49" t="n">
        <v>806346205</v>
      </c>
      <c r="D129" s="49" t="n">
        <v>809055000</v>
      </c>
      <c r="E129" s="49" t="n">
        <v>806214174</v>
      </c>
      <c r="F129" s="49" t="n">
        <v>0</v>
      </c>
      <c r="G129" s="50" t="n">
        <f aca="false">IF($A129="","",IF(ISNUMBER($G128),$G128+1,1))</f>
        <v>125</v>
      </c>
      <c r="H129" s="51" t="n">
        <f aca="false">IF(OR(NOT(ISNUMBER($G129)),$G129&lt;2,NOT(ISNUMBER($C128)),$C128=0),"",$C129/$C128-1)</f>
        <v>0.0294315330654811</v>
      </c>
      <c r="I129" s="52" t="n">
        <f aca="false">IF(AND(ISNUMBER($G129),$G129&gt;=MA_SHORT),AVERAGE(INDEX($C$5:$C129,126-MA_SHORT):$C129),"")</f>
        <v>789383296.95</v>
      </c>
      <c r="J129" s="52" t="n">
        <f aca="false">IF(AND(ISNUMBER($G129),$G129&gt;=MA_MED),AVERAGE(INDEX($C$5:$C129,126-MA_MED):$C129),"")</f>
        <v>758334323.32</v>
      </c>
      <c r="K129" s="52" t="str">
        <f aca="false">IF(AND(ISNUMBER($G129),$G129&gt;=MA_LONG2),AVERAGE(INDEX($C$5:$C129,126-MA_LONG2):$C129),"")</f>
        <v/>
      </c>
      <c r="L129" s="53" t="n">
        <f aca="false">IF(AND(ISNUMBER($G129),$G129&gt;=21),STDEV(INDEX($H$69:$H129,62-20):$H129)*SQRT(245),"")</f>
        <v>0.186515755382875</v>
      </c>
      <c r="M129" s="52" t="n">
        <f aca="false">IF(AND(ISNUMBER($G129),$G129&gt;=60),MAX(INDEX($D$5:$D129,126-60):$D129),"")</f>
        <v>809055000</v>
      </c>
      <c r="N129" s="52" t="n">
        <f aca="false">IF(AND(ISNUMBER($G129),$G129&gt;=60),MIN(INDEX($E$5:$E129,126-60):$E129),"")</f>
        <v>684167555</v>
      </c>
      <c r="O129" s="53" t="n">
        <f aca="false">IF(OR(NOT(ISNUMBER($C129)),NOT(ISNUMBER($M129)),$M129=0),"",$C129/$M129-1)</f>
        <v>-0.0033480974717417</v>
      </c>
      <c r="P129" s="54"/>
      <c r="Q129" s="53" t="str">
        <f aca="false">IF(NOT(ISNUMBER($P129)),"",IFERROR(PERCENTRANK($P$5:$P$1204,$P129),""))</f>
        <v/>
      </c>
    </row>
    <row r="130" customFormat="false" ht="15" hidden="false" customHeight="false" outlineLevel="0" collapsed="false">
      <c r="A130" s="47" t="n">
        <v>45745</v>
      </c>
      <c r="B130" s="48" t="s">
        <v>278</v>
      </c>
      <c r="C130" s="49" t="n">
        <v>805554943</v>
      </c>
      <c r="D130" s="49" t="n">
        <v>808209939</v>
      </c>
      <c r="E130" s="49" t="n">
        <v>801991775</v>
      </c>
      <c r="F130" s="49" t="n">
        <v>0</v>
      </c>
      <c r="G130" s="50" t="n">
        <f aca="false">IF($A130="","",IF(ISNUMBER($G129),$G129+1,1))</f>
        <v>126</v>
      </c>
      <c r="H130" s="51" t="n">
        <f aca="false">IF(OR(NOT(ISNUMBER($G130)),$G130&lt;2,NOT(ISNUMBER($C129)),$C129=0),"",$C130/$C129-1)</f>
        <v>-0.000981293140704942</v>
      </c>
      <c r="I130" s="52" t="n">
        <f aca="false">IF(AND(ISNUMBER($G130),$G130&gt;=MA_SHORT),AVERAGE(INDEX($C$5:$C130,127-MA_SHORT):$C130),"")</f>
        <v>790725090</v>
      </c>
      <c r="J130" s="52" t="n">
        <f aca="false">IF(AND(ISNUMBER($G130),$G130&gt;=MA_MED),AVERAGE(INDEX($C$5:$C130,127-MA_MED):$C130),"")</f>
        <v>760561540.4</v>
      </c>
      <c r="K130" s="52" t="str">
        <f aca="false">IF(AND(ISNUMBER($G130),$G130&gt;=MA_LONG2),AVERAGE(INDEX($C$5:$C130,127-MA_LONG2):$C130),"")</f>
        <v/>
      </c>
      <c r="L130" s="53" t="n">
        <f aca="false">IF(AND(ISNUMBER($G130),$G130&gt;=21),STDEV(INDEX($H$70:$H130,62-20):$H130)*SQRT(245),"")</f>
        <v>0.181597698006463</v>
      </c>
      <c r="M130" s="52" t="n">
        <f aca="false">IF(AND(ISNUMBER($G130),$G130&gt;=60),MAX(INDEX($D$5:$D130,127-60):$D130),"")</f>
        <v>809055000</v>
      </c>
      <c r="N130" s="52" t="n">
        <f aca="false">IF(AND(ISNUMBER($G130),$G130&gt;=60),MIN(INDEX($E$5:$E130,127-60):$E130),"")</f>
        <v>685639988</v>
      </c>
      <c r="O130" s="53" t="n">
        <f aca="false">IF(OR(NOT(ISNUMBER($C130)),NOT(ISNUMBER($M130)),$M130=0),"",$C130/$M130-1)</f>
        <v>-0.00432610514736331</v>
      </c>
      <c r="P130" s="54"/>
      <c r="Q130" s="53" t="str">
        <f aca="false">IF(NOT(ISNUMBER($P130)),"",IFERROR(PERCENTRANK($P$5:$P$1204,$P130),""))</f>
        <v/>
      </c>
    </row>
    <row r="131" customFormat="false" ht="15" hidden="false" customHeight="false" outlineLevel="0" collapsed="false">
      <c r="A131" s="47" t="n">
        <v>45746</v>
      </c>
      <c r="B131" s="48" t="s">
        <v>279</v>
      </c>
      <c r="C131" s="49" t="n">
        <v>792537515</v>
      </c>
      <c r="D131" s="49" t="n">
        <v>795857036</v>
      </c>
      <c r="E131" s="49" t="n">
        <v>791401828</v>
      </c>
      <c r="F131" s="49" t="n">
        <v>0</v>
      </c>
      <c r="G131" s="50" t="n">
        <f aca="false">IF($A131="","",IF(ISNUMBER($G130),$G130+1,1))</f>
        <v>127</v>
      </c>
      <c r="H131" s="51" t="n">
        <f aca="false">IF(OR(NOT(ISNUMBER($G131)),$G131&lt;2,NOT(ISNUMBER($C130)),$C130=0),"",$C131/$C130-1)</f>
        <v>-0.0161595780810695</v>
      </c>
      <c r="I131" s="52" t="n">
        <f aca="false">IF(AND(ISNUMBER($G131),$G131&gt;=MA_SHORT),AVERAGE(INDEX($C$5:$C131,128-MA_SHORT):$C131),"")</f>
        <v>791313854.85</v>
      </c>
      <c r="J131" s="52" t="n">
        <f aca="false">IF(AND(ISNUMBER($G131),$G131&gt;=MA_MED),AVERAGE(INDEX($C$5:$C131,128-MA_MED):$C131),"")</f>
        <v>762273470.92</v>
      </c>
      <c r="K131" s="52" t="str">
        <f aca="false">IF(AND(ISNUMBER($G131),$G131&gt;=MA_LONG2),AVERAGE(INDEX($C$5:$C131,128-MA_LONG2):$C131),"")</f>
        <v/>
      </c>
      <c r="L131" s="53" t="n">
        <f aca="false">IF(AND(ISNUMBER($G131),$G131&gt;=21),STDEV(INDEX($H$71:$H131,62-20):$H131)*SQRT(245),"")</f>
        <v>0.192044178944327</v>
      </c>
      <c r="M131" s="52" t="n">
        <f aca="false">IF(AND(ISNUMBER($G131),$G131&gt;=60),MAX(INDEX($D$5:$D131,128-60):$D131),"")</f>
        <v>809055000</v>
      </c>
      <c r="N131" s="52" t="n">
        <f aca="false">IF(AND(ISNUMBER($G131),$G131&gt;=60),MIN(INDEX($E$5:$E131,128-60):$E131),"")</f>
        <v>685639988</v>
      </c>
      <c r="O131" s="53" t="n">
        <f aca="false">IF(OR(NOT(ISNUMBER($C131)),NOT(ISNUMBER($M131)),$M131=0),"",$C131/$M131-1)</f>
        <v>-0.0204157751945171</v>
      </c>
      <c r="P131" s="54"/>
      <c r="Q131" s="53" t="str">
        <f aca="false">IF(NOT(ISNUMBER($P131)),"",IFERROR(PERCENTRANK($P$5:$P$1204,$P131),""))</f>
        <v/>
      </c>
    </row>
    <row r="132" customFormat="false" ht="15" hidden="false" customHeight="false" outlineLevel="0" collapsed="false">
      <c r="A132" s="47" t="n">
        <v>45747</v>
      </c>
      <c r="B132" s="48" t="s">
        <v>280</v>
      </c>
      <c r="C132" s="49" t="n">
        <v>788375831</v>
      </c>
      <c r="D132" s="49" t="n">
        <v>791921309</v>
      </c>
      <c r="E132" s="49" t="n">
        <v>786729133</v>
      </c>
      <c r="F132" s="49" t="n">
        <v>0</v>
      </c>
      <c r="G132" s="50" t="n">
        <f aca="false">IF($A132="","",IF(ISNUMBER($G131),$G131+1,1))</f>
        <v>128</v>
      </c>
      <c r="H132" s="51" t="n">
        <f aca="false">IF(OR(NOT(ISNUMBER($G132)),$G132&lt;2,NOT(ISNUMBER($C131)),$C131=0),"",$C132/$C131-1)</f>
        <v>-0.00525108770403127</v>
      </c>
      <c r="I132" s="52" t="n">
        <f aca="false">IF(AND(ISNUMBER($G132),$G132&gt;=MA_SHORT),AVERAGE(INDEX($C$5:$C132,129-MA_SHORT):$C132),"")</f>
        <v>792295186.35</v>
      </c>
      <c r="J132" s="52" t="n">
        <f aca="false">IF(AND(ISNUMBER($G132),$G132&gt;=MA_MED),AVERAGE(INDEX($C$5:$C132,129-MA_MED):$C132),"")</f>
        <v>764111022.22</v>
      </c>
      <c r="K132" s="52" t="str">
        <f aca="false">IF(AND(ISNUMBER($G132),$G132&gt;=MA_LONG2),AVERAGE(INDEX($C$5:$C132,129-MA_LONG2):$C132),"")</f>
        <v/>
      </c>
      <c r="L132" s="53" t="n">
        <f aca="false">IF(AND(ISNUMBER($G132),$G132&gt;=21),STDEV(INDEX($H$72:$H132,62-20):$H132)*SQRT(245),"")</f>
        <v>0.184128351159667</v>
      </c>
      <c r="M132" s="52" t="n">
        <f aca="false">IF(AND(ISNUMBER($G132),$G132&gt;=60),MAX(INDEX($D$5:$D132,129-60):$D132),"")</f>
        <v>809055000</v>
      </c>
      <c r="N132" s="52" t="n">
        <f aca="false">IF(AND(ISNUMBER($G132),$G132&gt;=60),MIN(INDEX($E$5:$E132,129-60):$E132),"")</f>
        <v>685639988</v>
      </c>
      <c r="O132" s="53" t="n">
        <f aca="false">IF(OR(NOT(ISNUMBER($C132)),NOT(ISNUMBER($M132)),$M132=0),"",$C132/$M132-1)</f>
        <v>-0.0255596578724562</v>
      </c>
      <c r="P132" s="54"/>
      <c r="Q132" s="53" t="str">
        <f aca="false">IF(NOT(ISNUMBER($P132)),"",IFERROR(PERCENTRANK($P$5:$P$1204,$P132),""))</f>
        <v/>
      </c>
    </row>
    <row r="133" customFormat="false" ht="15" hidden="false" customHeight="false" outlineLevel="0" collapsed="false">
      <c r="A133" s="47" t="n">
        <v>45748</v>
      </c>
      <c r="B133" s="48" t="s">
        <v>281</v>
      </c>
      <c r="C133" s="49" t="n">
        <v>794221861</v>
      </c>
      <c r="D133" s="49" t="n">
        <v>795685504</v>
      </c>
      <c r="E133" s="49" t="n">
        <v>790180228</v>
      </c>
      <c r="F133" s="49" t="n">
        <v>0</v>
      </c>
      <c r="G133" s="50" t="n">
        <f aca="false">IF($A133="","",IF(ISNUMBER($G132),$G132+1,1))</f>
        <v>129</v>
      </c>
      <c r="H133" s="51" t="n">
        <f aca="false">IF(OR(NOT(ISNUMBER($G133)),$G133&lt;2,NOT(ISNUMBER($C132)),$C132=0),"",$C133/$C132-1)</f>
        <v>0.00741528313036266</v>
      </c>
      <c r="I133" s="52" t="n">
        <f aca="false">IF(AND(ISNUMBER($G133),$G133&gt;=MA_SHORT),AVERAGE(INDEX($C$5:$C133,130-MA_SHORT):$C133),"")</f>
        <v>793393670.35</v>
      </c>
      <c r="J133" s="52" t="n">
        <f aca="false">IF(AND(ISNUMBER($G133),$G133&gt;=MA_MED),AVERAGE(INDEX($C$5:$C133,130-MA_MED):$C133),"")</f>
        <v>766139375.18</v>
      </c>
      <c r="K133" s="52" t="str">
        <f aca="false">IF(AND(ISNUMBER($G133),$G133&gt;=MA_LONG2),AVERAGE(INDEX($C$5:$C133,130-MA_LONG2):$C133),"")</f>
        <v/>
      </c>
      <c r="L133" s="53" t="n">
        <f aca="false">IF(AND(ISNUMBER($G133),$G133&gt;=21),STDEV(INDEX($H$73:$H133,62-20):$H133)*SQRT(245),"")</f>
        <v>0.185044454062997</v>
      </c>
      <c r="M133" s="52" t="n">
        <f aca="false">IF(AND(ISNUMBER($G133),$G133&gt;=60),MAX(INDEX($D$5:$D133,130-60):$D133),"")</f>
        <v>809055000</v>
      </c>
      <c r="N133" s="52" t="n">
        <f aca="false">IF(AND(ISNUMBER($G133),$G133&gt;=60),MIN(INDEX($E$5:$E133,130-60):$E133),"")</f>
        <v>685639988</v>
      </c>
      <c r="O133" s="53" t="n">
        <f aca="false">IF(OR(NOT(ISNUMBER($C133)),NOT(ISNUMBER($M133)),$M133=0),"",$C133/$M133-1)</f>
        <v>-0.0183339068419329</v>
      </c>
      <c r="P133" s="54"/>
      <c r="Q133" s="53" t="str">
        <f aca="false">IF(NOT(ISNUMBER($P133)),"",IFERROR(PERCENTRANK($P$5:$P$1204,$P133),""))</f>
        <v/>
      </c>
    </row>
    <row r="134" customFormat="false" ht="15" hidden="false" customHeight="false" outlineLevel="0" collapsed="false">
      <c r="A134" s="47" t="n">
        <v>45749</v>
      </c>
      <c r="B134" s="48" t="s">
        <v>282</v>
      </c>
      <c r="C134" s="49" t="n">
        <v>794776574</v>
      </c>
      <c r="D134" s="49" t="n">
        <v>795611549</v>
      </c>
      <c r="E134" s="49" t="n">
        <v>789625959</v>
      </c>
      <c r="F134" s="49" t="n">
        <v>0</v>
      </c>
      <c r="G134" s="50" t="n">
        <f aca="false">IF($A134="","",IF(ISNUMBER($G133),$G133+1,1))</f>
        <v>130</v>
      </c>
      <c r="H134" s="51" t="n">
        <f aca="false">IF(OR(NOT(ISNUMBER($G134)),$G134&lt;2,NOT(ISNUMBER($C133)),$C133=0),"",$C134/$C133-1)</f>
        <v>0.00069843582409268</v>
      </c>
      <c r="I134" s="52" t="n">
        <f aca="false">IF(AND(ISNUMBER($G134),$G134&gt;=MA_SHORT),AVERAGE(INDEX($C$5:$C134,131-MA_SHORT):$C134),"")</f>
        <v>794020207.9</v>
      </c>
      <c r="J134" s="52" t="n">
        <f aca="false">IF(AND(ISNUMBER($G134),$G134&gt;=MA_MED),AVERAGE(INDEX($C$5:$C134,131-MA_MED):$C134),"")</f>
        <v>767764951.48</v>
      </c>
      <c r="K134" s="52" t="str">
        <f aca="false">IF(AND(ISNUMBER($G134),$G134&gt;=MA_LONG2),AVERAGE(INDEX($C$5:$C134,131-MA_LONG2):$C134),"")</f>
        <v/>
      </c>
      <c r="L134" s="53" t="n">
        <f aca="false">IF(AND(ISNUMBER($G134),$G134&gt;=21),STDEV(INDEX($H$74:$H134,62-20):$H134)*SQRT(245),"")</f>
        <v>0.18015478059222</v>
      </c>
      <c r="M134" s="52" t="n">
        <f aca="false">IF(AND(ISNUMBER($G134),$G134&gt;=60),MAX(INDEX($D$5:$D134,131-60):$D134),"")</f>
        <v>809055000</v>
      </c>
      <c r="N134" s="52" t="n">
        <f aca="false">IF(AND(ISNUMBER($G134),$G134&gt;=60),MIN(INDEX($E$5:$E134,131-60):$E134),"")</f>
        <v>685639988</v>
      </c>
      <c r="O134" s="53" t="n">
        <f aca="false">IF(OR(NOT(ISNUMBER($C134)),NOT(ISNUMBER($M134)),$M134=0),"",$C134/$M134-1)</f>
        <v>-0.0176482760751742</v>
      </c>
      <c r="P134" s="54"/>
      <c r="Q134" s="53" t="str">
        <f aca="false">IF(NOT(ISNUMBER($P134)),"",IFERROR(PERCENTRANK($P$5:$P$1204,$P134),""))</f>
        <v/>
      </c>
    </row>
    <row r="135" customFormat="false" ht="15" hidden="false" customHeight="false" outlineLevel="0" collapsed="false">
      <c r="A135" s="47" t="n">
        <v>45752</v>
      </c>
      <c r="B135" s="48" t="s">
        <v>283</v>
      </c>
      <c r="C135" s="49" t="n">
        <v>802753384</v>
      </c>
      <c r="D135" s="49" t="n">
        <v>804799424</v>
      </c>
      <c r="E135" s="49" t="n">
        <v>799911763</v>
      </c>
      <c r="F135" s="49" t="n">
        <v>0</v>
      </c>
      <c r="G135" s="50" t="n">
        <f aca="false">IF($A135="","",IF(ISNUMBER($G134),$G134+1,1))</f>
        <v>131</v>
      </c>
      <c r="H135" s="51" t="n">
        <f aca="false">IF(OR(NOT(ISNUMBER($G135)),$G135&lt;2,NOT(ISNUMBER($C134)),$C134=0),"",$C135/$C134-1)</f>
        <v>0.0100365439306469</v>
      </c>
      <c r="I135" s="52" t="n">
        <f aca="false">IF(AND(ISNUMBER($G135),$G135&gt;=MA_SHORT),AVERAGE(INDEX($C$5:$C135,132-MA_SHORT):$C135),"")</f>
        <v>794859895.6</v>
      </c>
      <c r="J135" s="52" t="n">
        <f aca="false">IF(AND(ISNUMBER($G135),$G135&gt;=MA_MED),AVERAGE(INDEX($C$5:$C135,132-MA_MED):$C135),"")</f>
        <v>769320773.34</v>
      </c>
      <c r="K135" s="52" t="str">
        <f aca="false">IF(AND(ISNUMBER($G135),$G135&gt;=MA_LONG2),AVERAGE(INDEX($C$5:$C135,132-MA_LONG2):$C135),"")</f>
        <v/>
      </c>
      <c r="L135" s="53" t="n">
        <f aca="false">IF(AND(ISNUMBER($G135),$G135&gt;=21),STDEV(INDEX($H$75:$H135,62-20):$H135)*SQRT(245),"")</f>
        <v>0.182562270828621</v>
      </c>
      <c r="M135" s="52" t="n">
        <f aca="false">IF(AND(ISNUMBER($G135),$G135&gt;=60),MAX(INDEX($D$5:$D135,132-60):$D135),"")</f>
        <v>809055000</v>
      </c>
      <c r="N135" s="52" t="n">
        <f aca="false">IF(AND(ISNUMBER($G135),$G135&gt;=60),MIN(INDEX($E$5:$E135,132-60):$E135),"")</f>
        <v>685639988</v>
      </c>
      <c r="O135" s="53" t="n">
        <f aca="false">IF(OR(NOT(ISNUMBER($C135)),NOT(ISNUMBER($M135)),$M135=0),"",$C135/$M135-1)</f>
        <v>-0.00778885984265598</v>
      </c>
      <c r="P135" s="54"/>
      <c r="Q135" s="53" t="str">
        <f aca="false">IF(NOT(ISNUMBER($P135)),"",IFERROR(PERCENTRANK($P$5:$P$1204,$P135),""))</f>
        <v/>
      </c>
    </row>
    <row r="136" customFormat="false" ht="15" hidden="false" customHeight="false" outlineLevel="0" collapsed="false">
      <c r="A136" s="47" t="n">
        <v>45753</v>
      </c>
      <c r="B136" s="48" t="s">
        <v>284</v>
      </c>
      <c r="C136" s="49" t="n">
        <v>808767980</v>
      </c>
      <c r="D136" s="49" t="n">
        <v>810523817</v>
      </c>
      <c r="E136" s="49" t="n">
        <v>805139781</v>
      </c>
      <c r="F136" s="49" t="n">
        <v>0</v>
      </c>
      <c r="G136" s="50" t="n">
        <f aca="false">IF($A136="","",IF(ISNUMBER($G135),$G135+1,1))</f>
        <v>132</v>
      </c>
      <c r="H136" s="51" t="n">
        <f aca="false">IF(OR(NOT(ISNUMBER($G136)),$G136&lt;2,NOT(ISNUMBER($C135)),$C135=0),"",$C136/$C135-1)</f>
        <v>0.00749245798258769</v>
      </c>
      <c r="I136" s="52" t="n">
        <f aca="false">IF(AND(ISNUMBER($G136),$G136&gt;=MA_SHORT),AVERAGE(INDEX($C$5:$C136,133-MA_SHORT):$C136),"")</f>
        <v>795712744.25</v>
      </c>
      <c r="J136" s="52" t="n">
        <f aca="false">IF(AND(ISNUMBER($G136),$G136&gt;=MA_MED),AVERAGE(INDEX($C$5:$C136,133-MA_MED):$C136),"")</f>
        <v>770985283.3</v>
      </c>
      <c r="K136" s="52" t="str">
        <f aca="false">IF(AND(ISNUMBER($G136),$G136&gt;=MA_LONG2),AVERAGE(INDEX($C$5:$C136,133-MA_LONG2):$C136),"")</f>
        <v/>
      </c>
      <c r="L136" s="53" t="n">
        <f aca="false">IF(AND(ISNUMBER($G136),$G136&gt;=21),STDEV(INDEX($H$76:$H136,62-20):$H136)*SQRT(245),"")</f>
        <v>0.182639775309076</v>
      </c>
      <c r="M136" s="52" t="n">
        <f aca="false">IF(AND(ISNUMBER($G136),$G136&gt;=60),MAX(INDEX($D$5:$D136,133-60):$D136),"")</f>
        <v>810523817</v>
      </c>
      <c r="N136" s="52" t="n">
        <f aca="false">IF(AND(ISNUMBER($G136),$G136&gt;=60),MIN(INDEX($E$5:$E136,133-60):$E136),"")</f>
        <v>685639988</v>
      </c>
      <c r="O136" s="53" t="n">
        <f aca="false">IF(OR(NOT(ISNUMBER($C136)),NOT(ISNUMBER($M136)),$M136=0),"",$C136/$M136-1)</f>
        <v>-0.00216629908112864</v>
      </c>
      <c r="P136" s="54"/>
      <c r="Q136" s="53" t="str">
        <f aca="false">IF(NOT(ISNUMBER($P136)),"",IFERROR(PERCENTRANK($P$5:$P$1204,$P136),""))</f>
        <v/>
      </c>
    </row>
    <row r="137" customFormat="false" ht="15" hidden="false" customHeight="false" outlineLevel="0" collapsed="false">
      <c r="A137" s="47" t="n">
        <v>45754</v>
      </c>
      <c r="B137" s="48" t="s">
        <v>285</v>
      </c>
      <c r="C137" s="49" t="n">
        <v>813454690</v>
      </c>
      <c r="D137" s="49" t="n">
        <v>816287098</v>
      </c>
      <c r="E137" s="49" t="n">
        <v>812937242</v>
      </c>
      <c r="F137" s="49" t="n">
        <v>0</v>
      </c>
      <c r="G137" s="50" t="n">
        <f aca="false">IF($A137="","",IF(ISNUMBER($G136),$G136+1,1))</f>
        <v>133</v>
      </c>
      <c r="H137" s="51" t="n">
        <f aca="false">IF(OR(NOT(ISNUMBER($G137)),$G137&lt;2,NOT(ISNUMBER($C136)),$C136=0),"",$C137/$C136-1)</f>
        <v>0.00579487580603777</v>
      </c>
      <c r="I137" s="52" t="n">
        <f aca="false">IF(AND(ISNUMBER($G137),$G137&gt;=MA_SHORT),AVERAGE(INDEX($C$5:$C137,134-MA_SHORT):$C137),"")</f>
        <v>796786590.05</v>
      </c>
      <c r="J137" s="52" t="n">
        <f aca="false">IF(AND(ISNUMBER($G137),$G137&gt;=MA_MED),AVERAGE(INDEX($C$5:$C137,134-MA_MED):$C137),"")</f>
        <v>772812469.52</v>
      </c>
      <c r="K137" s="52" t="str">
        <f aca="false">IF(AND(ISNUMBER($G137),$G137&gt;=MA_LONG2),AVERAGE(INDEX($C$5:$C137,134-MA_LONG2):$C137),"")</f>
        <v/>
      </c>
      <c r="L137" s="53" t="n">
        <f aca="false">IF(AND(ISNUMBER($G137),$G137&gt;=21),STDEV(INDEX($H$77:$H137,62-20):$H137)*SQRT(245),"")</f>
        <v>0.183331509651635</v>
      </c>
      <c r="M137" s="52" t="n">
        <f aca="false">IF(AND(ISNUMBER($G137),$G137&gt;=60),MAX(INDEX($D$5:$D137,134-60):$D137),"")</f>
        <v>816287098</v>
      </c>
      <c r="N137" s="52" t="n">
        <f aca="false">IF(AND(ISNUMBER($G137),$G137&gt;=60),MIN(INDEX($E$5:$E137,134-60):$E137),"")</f>
        <v>685639988</v>
      </c>
      <c r="O137" s="53" t="n">
        <f aca="false">IF(OR(NOT(ISNUMBER($C137)),NOT(ISNUMBER($M137)),$M137=0),"",$C137/$M137-1)</f>
        <v>-0.0034698674117718</v>
      </c>
      <c r="P137" s="54"/>
      <c r="Q137" s="53" t="str">
        <f aca="false">IF(NOT(ISNUMBER($P137)),"",IFERROR(PERCENTRANK($P$5:$P$1204,$P137),""))</f>
        <v/>
      </c>
    </row>
    <row r="138" customFormat="false" ht="15" hidden="false" customHeight="false" outlineLevel="0" collapsed="false">
      <c r="A138" s="47" t="n">
        <v>45755</v>
      </c>
      <c r="B138" s="48" t="s">
        <v>286</v>
      </c>
      <c r="C138" s="49" t="n">
        <v>816001564</v>
      </c>
      <c r="D138" s="49" t="n">
        <v>819809091</v>
      </c>
      <c r="E138" s="49" t="n">
        <v>813999356</v>
      </c>
      <c r="F138" s="49" t="n">
        <v>0</v>
      </c>
      <c r="G138" s="50" t="n">
        <f aca="false">IF($A138="","",IF(ISNUMBER($G137),$G137+1,1))</f>
        <v>134</v>
      </c>
      <c r="H138" s="51" t="n">
        <f aca="false">IF(OR(NOT(ISNUMBER($G138)),$G138&lt;2,NOT(ISNUMBER($C137)),$C137=0),"",$C138/$C137-1)</f>
        <v>0.00313093529524067</v>
      </c>
      <c r="I138" s="52" t="n">
        <f aca="false">IF(AND(ISNUMBER($G138),$G138&gt;=MA_SHORT),AVERAGE(INDEX($C$5:$C138,135-MA_SHORT):$C138),"")</f>
        <v>797812949.2</v>
      </c>
      <c r="J138" s="52" t="n">
        <f aca="false">IF(AND(ISNUMBER($G138),$G138&gt;=MA_MED),AVERAGE(INDEX($C$5:$C138,135-MA_MED):$C138),"")</f>
        <v>774702689.12</v>
      </c>
      <c r="K138" s="52" t="str">
        <f aca="false">IF(AND(ISNUMBER($G138),$G138&gt;=MA_LONG2),AVERAGE(INDEX($C$5:$C138,135-MA_LONG2):$C138),"")</f>
        <v/>
      </c>
      <c r="L138" s="53" t="n">
        <f aca="false">IF(AND(ISNUMBER($G138),$G138&gt;=21),STDEV(INDEX($H$78:$H138,62-20):$H138)*SQRT(245),"")</f>
        <v>0.183114505874625</v>
      </c>
      <c r="M138" s="52" t="n">
        <f aca="false">IF(AND(ISNUMBER($G138),$G138&gt;=60),MAX(INDEX($D$5:$D138,135-60):$D138),"")</f>
        <v>819809091</v>
      </c>
      <c r="N138" s="52" t="n">
        <f aca="false">IF(AND(ISNUMBER($G138),$G138&gt;=60),MIN(INDEX($E$5:$E138,135-60):$E138),"")</f>
        <v>685639988</v>
      </c>
      <c r="O138" s="53" t="n">
        <f aca="false">IF(OR(NOT(ISNUMBER($C138)),NOT(ISNUMBER($M138)),$M138=0),"",$C138/$M138-1)</f>
        <v>-0.00464440690131351</v>
      </c>
      <c r="P138" s="54"/>
      <c r="Q138" s="53" t="str">
        <f aca="false">IF(NOT(ISNUMBER($P138)),"",IFERROR(PERCENTRANK($P$5:$P$1204,$P138),""))</f>
        <v/>
      </c>
    </row>
    <row r="139" customFormat="false" ht="15" hidden="false" customHeight="false" outlineLevel="0" collapsed="false">
      <c r="A139" s="47" t="n">
        <v>45756</v>
      </c>
      <c r="B139" s="48" t="s">
        <v>287</v>
      </c>
      <c r="C139" s="49" t="n">
        <v>832220195</v>
      </c>
      <c r="D139" s="49" t="n">
        <v>833030376</v>
      </c>
      <c r="E139" s="49" t="n">
        <v>831834643</v>
      </c>
      <c r="F139" s="49" t="n">
        <v>0</v>
      </c>
      <c r="G139" s="50" t="n">
        <f aca="false">IF($A139="","",IF(ISNUMBER($G138),$G138+1,1))</f>
        <v>135</v>
      </c>
      <c r="H139" s="51" t="n">
        <f aca="false">IF(OR(NOT(ISNUMBER($G139)),$G139&lt;2,NOT(ISNUMBER($C138)),$C138=0),"",$C139/$C138-1)</f>
        <v>0.0198757351891545</v>
      </c>
      <c r="I139" s="52" t="n">
        <f aca="false">IF(AND(ISNUMBER($G139),$G139&gt;=MA_SHORT),AVERAGE(INDEX($C$5:$C139,136-MA_SHORT):$C139),"")</f>
        <v>799482208.05</v>
      </c>
      <c r="J139" s="52" t="n">
        <f aca="false">IF(AND(ISNUMBER($G139),$G139&gt;=MA_MED),AVERAGE(INDEX($C$5:$C139,136-MA_MED):$C139),"")</f>
        <v>776914328.36</v>
      </c>
      <c r="K139" s="52" t="str">
        <f aca="false">IF(AND(ISNUMBER($G139),$G139&gt;=MA_LONG2),AVERAGE(INDEX($C$5:$C139,136-MA_LONG2):$C139),"")</f>
        <v/>
      </c>
      <c r="L139" s="53" t="n">
        <f aca="false">IF(AND(ISNUMBER($G139),$G139&gt;=21),STDEV(INDEX($H$79:$H139,62-20):$H139)*SQRT(245),"")</f>
        <v>0.19415490113111</v>
      </c>
      <c r="M139" s="52" t="n">
        <f aca="false">IF(AND(ISNUMBER($G139),$G139&gt;=60),MAX(INDEX($D$5:$D139,136-60):$D139),"")</f>
        <v>833030376</v>
      </c>
      <c r="N139" s="52" t="n">
        <f aca="false">IF(AND(ISNUMBER($G139),$G139&gt;=60),MIN(INDEX($E$5:$E139,136-60):$E139),"")</f>
        <v>691699903</v>
      </c>
      <c r="O139" s="53" t="n">
        <f aca="false">IF(OR(NOT(ISNUMBER($C139)),NOT(ISNUMBER($M139)),$M139=0),"",$C139/$M139-1)</f>
        <v>-0.000972570776938908</v>
      </c>
      <c r="P139" s="54"/>
      <c r="Q139" s="53" t="str">
        <f aca="false">IF(NOT(ISNUMBER($P139)),"",IFERROR(PERCENTRANK($P$5:$P$1204,$P139),""))</f>
        <v/>
      </c>
    </row>
    <row r="140" customFormat="false" ht="15" hidden="false" customHeight="false" outlineLevel="0" collapsed="false">
      <c r="A140" s="47" t="n">
        <v>45759</v>
      </c>
      <c r="B140" s="48" t="s">
        <v>288</v>
      </c>
      <c r="C140" s="49" t="n">
        <v>837962500</v>
      </c>
      <c r="D140" s="49" t="n">
        <v>841627375</v>
      </c>
      <c r="E140" s="49" t="n">
        <v>836172761</v>
      </c>
      <c r="F140" s="49" t="n">
        <v>0</v>
      </c>
      <c r="G140" s="50" t="n">
        <f aca="false">IF($A140="","",IF(ISNUMBER($G139),$G139+1,1))</f>
        <v>136</v>
      </c>
      <c r="H140" s="51" t="n">
        <f aca="false">IF(OR(NOT(ISNUMBER($G140)),$G140&lt;2,NOT(ISNUMBER($C139)),$C139=0),"",$C140/$C139-1)</f>
        <v>0.00689998276237458</v>
      </c>
      <c r="I140" s="52" t="n">
        <f aca="false">IF(AND(ISNUMBER($G140),$G140&gt;=MA_SHORT),AVERAGE(INDEX($C$5:$C140,137-MA_SHORT):$C140),"")</f>
        <v>801674415.9</v>
      </c>
      <c r="J140" s="52" t="n">
        <f aca="false">IF(AND(ISNUMBER($G140),$G140&gt;=MA_MED),AVERAGE(INDEX($C$5:$C140,137-MA_MED):$C140),"")</f>
        <v>778932961.64</v>
      </c>
      <c r="K140" s="52" t="str">
        <f aca="false">IF(AND(ISNUMBER($G140),$G140&gt;=MA_LONG2),AVERAGE(INDEX($C$5:$C140,137-MA_LONG2):$C140),"")</f>
        <v/>
      </c>
      <c r="L140" s="53" t="n">
        <f aca="false">IF(AND(ISNUMBER($G140),$G140&gt;=21),STDEV(INDEX($H$80:$H140,62-20):$H140)*SQRT(245),"")</f>
        <v>0.192494171338835</v>
      </c>
      <c r="M140" s="52" t="n">
        <f aca="false">IF(AND(ISNUMBER($G140),$G140&gt;=60),MAX(INDEX($D$5:$D140,137-60):$D140),"")</f>
        <v>841627375</v>
      </c>
      <c r="N140" s="52" t="n">
        <f aca="false">IF(AND(ISNUMBER($G140),$G140&gt;=60),MIN(INDEX($E$5:$E140,137-60):$E140),"")</f>
        <v>691699903</v>
      </c>
      <c r="O140" s="53" t="n">
        <f aca="false">IF(OR(NOT(ISNUMBER($C140)),NOT(ISNUMBER($M140)),$M140=0),"",$C140/$M140-1)</f>
        <v>-0.00435451021302624</v>
      </c>
      <c r="P140" s="54"/>
      <c r="Q140" s="53" t="str">
        <f aca="false">IF(NOT(ISNUMBER($P140)),"",IFERROR(PERCENTRANK($P$5:$P$1204,$P140),""))</f>
        <v/>
      </c>
    </row>
    <row r="141" customFormat="false" ht="15" hidden="false" customHeight="false" outlineLevel="0" collapsed="false">
      <c r="A141" s="47" t="n">
        <v>45760</v>
      </c>
      <c r="B141" s="48" t="s">
        <v>289</v>
      </c>
      <c r="C141" s="49" t="n">
        <v>849059662</v>
      </c>
      <c r="D141" s="49" t="n">
        <v>851558488</v>
      </c>
      <c r="E141" s="49" t="n">
        <v>847256381</v>
      </c>
      <c r="F141" s="49" t="n">
        <v>0</v>
      </c>
      <c r="G141" s="50" t="n">
        <f aca="false">IF($A141="","",IF(ISNUMBER($G140),$G140+1,1))</f>
        <v>137</v>
      </c>
      <c r="H141" s="51" t="n">
        <f aca="false">IF(OR(NOT(ISNUMBER($G141)),$G141&lt;2,NOT(ISNUMBER($C140)),$C140=0),"",$C141/$C140-1)</f>
        <v>0.0132430293718395</v>
      </c>
      <c r="I141" s="52" t="n">
        <f aca="false">IF(AND(ISNUMBER($G141),$G141&gt;=MA_SHORT),AVERAGE(INDEX($C$5:$C141,138-MA_SHORT):$C141),"")</f>
        <v>804473203.7</v>
      </c>
      <c r="J141" s="52" t="n">
        <f aca="false">IF(AND(ISNUMBER($G141),$G141&gt;=MA_MED),AVERAGE(INDEX($C$5:$C141,138-MA_MED):$C141),"")</f>
        <v>781300443.92</v>
      </c>
      <c r="K141" s="52" t="str">
        <f aca="false">IF(AND(ISNUMBER($G141),$G141&gt;=MA_LONG2),AVERAGE(INDEX($C$5:$C141,138-MA_LONG2):$C141),"")</f>
        <v/>
      </c>
      <c r="L141" s="53" t="n">
        <f aca="false">IF(AND(ISNUMBER($G141),$G141&gt;=21),STDEV(INDEX($H$81:$H141,62-20):$H141)*SQRT(245),"")</f>
        <v>0.195245792169977</v>
      </c>
      <c r="M141" s="52" t="n">
        <f aca="false">IF(AND(ISNUMBER($G141),$G141&gt;=60),MAX(INDEX($D$5:$D141,138-60):$D141),"")</f>
        <v>851558488</v>
      </c>
      <c r="N141" s="52" t="n">
        <f aca="false">IF(AND(ISNUMBER($G141),$G141&gt;=60),MIN(INDEX($E$5:$E141,138-60):$E141),"")</f>
        <v>691699903</v>
      </c>
      <c r="O141" s="53" t="n">
        <f aca="false">IF(OR(NOT(ISNUMBER($C141)),NOT(ISNUMBER($M141)),$M141=0),"",$C141/$M141-1)</f>
        <v>-0.00293441499933711</v>
      </c>
      <c r="P141" s="54"/>
      <c r="Q141" s="53" t="str">
        <f aca="false">IF(NOT(ISNUMBER($P141)),"",IFERROR(PERCENTRANK($P$5:$P$1204,$P141),""))</f>
        <v/>
      </c>
    </row>
    <row r="142" customFormat="false" ht="15" hidden="false" customHeight="false" outlineLevel="0" collapsed="false">
      <c r="A142" s="47" t="n">
        <v>45761</v>
      </c>
      <c r="B142" s="48" t="s">
        <v>290</v>
      </c>
      <c r="C142" s="49" t="n">
        <v>855528051</v>
      </c>
      <c r="D142" s="49" t="n">
        <v>859881352</v>
      </c>
      <c r="E142" s="49" t="n">
        <v>853284357</v>
      </c>
      <c r="F142" s="49" t="n">
        <v>0</v>
      </c>
      <c r="G142" s="50" t="n">
        <f aca="false">IF($A142="","",IF(ISNUMBER($G141),$G141+1,1))</f>
        <v>138</v>
      </c>
      <c r="H142" s="51" t="n">
        <f aca="false">IF(OR(NOT(ISNUMBER($G142)),$G142&lt;2,NOT(ISNUMBER($C141)),$C141=0),"",$C142/$C141-1)</f>
        <v>0.00761829738179221</v>
      </c>
      <c r="I142" s="52" t="n">
        <f aca="false">IF(AND(ISNUMBER($G142),$G142&gt;=MA_SHORT),AVERAGE(INDEX($C$5:$C142,139-MA_SHORT):$C142),"")</f>
        <v>807103312.6</v>
      </c>
      <c r="J142" s="52" t="n">
        <f aca="false">IF(AND(ISNUMBER($G142),$G142&gt;=MA_MED),AVERAGE(INDEX($C$5:$C142,139-MA_MED):$C142),"")</f>
        <v>783918435.54</v>
      </c>
      <c r="K142" s="52" t="str">
        <f aca="false">IF(AND(ISNUMBER($G142),$G142&gt;=MA_LONG2),AVERAGE(INDEX($C$5:$C142,139-MA_LONG2):$C142),"")</f>
        <v/>
      </c>
      <c r="L142" s="53" t="n">
        <f aca="false">IF(AND(ISNUMBER($G142),$G142&gt;=21),STDEV(INDEX($H$82:$H142,62-20):$H142)*SQRT(245),"")</f>
        <v>0.193131854879168</v>
      </c>
      <c r="M142" s="52" t="n">
        <f aca="false">IF(AND(ISNUMBER($G142),$G142&gt;=60),MAX(INDEX($D$5:$D142,139-60):$D142),"")</f>
        <v>859881352</v>
      </c>
      <c r="N142" s="52" t="n">
        <f aca="false">IF(AND(ISNUMBER($G142),$G142&gt;=60),MIN(INDEX($E$5:$E142,139-60):$E142),"")</f>
        <v>692622037</v>
      </c>
      <c r="O142" s="53" t="n">
        <f aca="false">IF(OR(NOT(ISNUMBER($C142)),NOT(ISNUMBER($M142)),$M142=0),"",$C142/$M142-1)</f>
        <v>-0.00506267636793689</v>
      </c>
      <c r="P142" s="54"/>
      <c r="Q142" s="53" t="str">
        <f aca="false">IF(NOT(ISNUMBER($P142)),"",IFERROR(PERCENTRANK($P$5:$P$1204,$P142),""))</f>
        <v/>
      </c>
    </row>
    <row r="143" customFormat="false" ht="15" hidden="false" customHeight="false" outlineLevel="0" collapsed="false">
      <c r="A143" s="47" t="n">
        <v>45762</v>
      </c>
      <c r="B143" s="48" t="s">
        <v>291</v>
      </c>
      <c r="C143" s="49" t="n">
        <v>858725202</v>
      </c>
      <c r="D143" s="49" t="n">
        <v>864406858</v>
      </c>
      <c r="E143" s="49" t="n">
        <v>857193691</v>
      </c>
      <c r="F143" s="49" t="n">
        <v>0</v>
      </c>
      <c r="G143" s="50" t="n">
        <f aca="false">IF($A143="","",IF(ISNUMBER($G142),$G142+1,1))</f>
        <v>139</v>
      </c>
      <c r="H143" s="51" t="n">
        <f aca="false">IF(OR(NOT(ISNUMBER($G143)),$G143&lt;2,NOT(ISNUMBER($C142)),$C142=0),"",$C143/$C142-1)</f>
        <v>0.00373704987961876</v>
      </c>
      <c r="I143" s="52" t="n">
        <f aca="false">IF(AND(ISNUMBER($G143),$G143&gt;=MA_SHORT),AVERAGE(INDEX($C$5:$C143,140-MA_SHORT):$C143),"")</f>
        <v>810242867.1</v>
      </c>
      <c r="J143" s="52" t="n">
        <f aca="false">IF(AND(ISNUMBER($G143),$G143&gt;=MA_MED),AVERAGE(INDEX($C$5:$C143,140-MA_MED):$C143),"")</f>
        <v>786597021.38</v>
      </c>
      <c r="K143" s="52" t="str">
        <f aca="false">IF(AND(ISNUMBER($G143),$G143&gt;=MA_LONG2),AVERAGE(INDEX($C$5:$C143,140-MA_LONG2):$C143),"")</f>
        <v/>
      </c>
      <c r="L143" s="53" t="n">
        <f aca="false">IF(AND(ISNUMBER($G143),$G143&gt;=21),STDEV(INDEX($H$83:$H143,62-20):$H143)*SQRT(245),"")</f>
        <v>0.188040578633348</v>
      </c>
      <c r="M143" s="52" t="n">
        <f aca="false">IF(AND(ISNUMBER($G143),$G143&gt;=60),MAX(INDEX($D$5:$D143,140-60):$D143),"")</f>
        <v>864406858</v>
      </c>
      <c r="N143" s="52" t="n">
        <f aca="false">IF(AND(ISNUMBER($G143),$G143&gt;=60),MIN(INDEX($E$5:$E143,140-60):$E143),"")</f>
        <v>710908791</v>
      </c>
      <c r="O143" s="53" t="n">
        <f aca="false">IF(OR(NOT(ISNUMBER($C143)),NOT(ISNUMBER($M143)),$M143=0),"",$C143/$M143-1)</f>
        <v>-0.00657289556117802</v>
      </c>
      <c r="P143" s="54"/>
      <c r="Q143" s="53" t="str">
        <f aca="false">IF(NOT(ISNUMBER($P143)),"",IFERROR(PERCENTRANK($P$5:$P$1204,$P143),""))</f>
        <v/>
      </c>
    </row>
    <row r="144" customFormat="false" ht="15" hidden="false" customHeight="false" outlineLevel="0" collapsed="false">
      <c r="A144" s="47" t="n">
        <v>45763</v>
      </c>
      <c r="B144" s="48" t="s">
        <v>292</v>
      </c>
      <c r="C144" s="49" t="n">
        <v>852576255</v>
      </c>
      <c r="D144" s="49" t="n">
        <v>855584628</v>
      </c>
      <c r="E144" s="49" t="n">
        <v>851163612</v>
      </c>
      <c r="F144" s="49" t="n">
        <v>0</v>
      </c>
      <c r="G144" s="50" t="n">
        <f aca="false">IF($A144="","",IF(ISNUMBER($G143),$G143+1,1))</f>
        <v>140</v>
      </c>
      <c r="H144" s="51" t="n">
        <f aca="false">IF(OR(NOT(ISNUMBER($G144)),$G144&lt;2,NOT(ISNUMBER($C143)),$C143=0),"",$C144/$C143-1)</f>
        <v>-0.00716055262577464</v>
      </c>
      <c r="I144" s="52" t="n">
        <f aca="false">IF(AND(ISNUMBER($G144),$G144&gt;=MA_SHORT),AVERAGE(INDEX($C$5:$C144,141-MA_SHORT):$C144),"")</f>
        <v>813269963.65</v>
      </c>
      <c r="J144" s="52" t="n">
        <f aca="false">IF(AND(ISNUMBER($G144),$G144&gt;=MA_MED),AVERAGE(INDEX($C$5:$C144,141-MA_MED):$C144),"")</f>
        <v>788905534.46</v>
      </c>
      <c r="K144" s="52" t="str">
        <f aca="false">IF(AND(ISNUMBER($G144),$G144&gt;=MA_LONG2),AVERAGE(INDEX($C$5:$C144,141-MA_LONG2):$C144),"")</f>
        <v/>
      </c>
      <c r="L144" s="53" t="n">
        <f aca="false">IF(AND(ISNUMBER($G144),$G144&gt;=21),STDEV(INDEX($H$84:$H144,62-20):$H144)*SQRT(245),"")</f>
        <v>0.189560951145091</v>
      </c>
      <c r="M144" s="52" t="n">
        <f aca="false">IF(AND(ISNUMBER($G144),$G144&gt;=60),MAX(INDEX($D$5:$D144,141-60):$D144),"")</f>
        <v>864406858</v>
      </c>
      <c r="N144" s="52" t="n">
        <f aca="false">IF(AND(ISNUMBER($G144),$G144&gt;=60),MIN(INDEX($E$5:$E144,141-60):$E144),"")</f>
        <v>714946039</v>
      </c>
      <c r="O144" s="53" t="n">
        <f aca="false">IF(OR(NOT(ISNUMBER($C144)),NOT(ISNUMBER($M144)),$M144=0),"",$C144/$M144-1)</f>
        <v>-0.0136863826223831</v>
      </c>
      <c r="P144" s="54"/>
      <c r="Q144" s="53" t="str">
        <f aca="false">IF(NOT(ISNUMBER($P144)),"",IFERROR(PERCENTRANK($P$5:$P$1204,$P144),""))</f>
        <v/>
      </c>
    </row>
    <row r="145" customFormat="false" ht="15" hidden="false" customHeight="false" outlineLevel="0" collapsed="false">
      <c r="A145" s="47" t="n">
        <v>45766</v>
      </c>
      <c r="B145" s="48" t="s">
        <v>293</v>
      </c>
      <c r="C145" s="49" t="n">
        <v>844655551</v>
      </c>
      <c r="D145" s="49" t="n">
        <v>844829226</v>
      </c>
      <c r="E145" s="49" t="n">
        <v>841016929</v>
      </c>
      <c r="F145" s="49" t="n">
        <v>0</v>
      </c>
      <c r="G145" s="50" t="n">
        <f aca="false">IF($A145="","",IF(ISNUMBER($G144),$G144+1,1))</f>
        <v>141</v>
      </c>
      <c r="H145" s="51" t="n">
        <f aca="false">IF(OR(NOT(ISNUMBER($G145)),$G145&lt;2,NOT(ISNUMBER($C144)),$C144=0),"",$C145/$C144-1)</f>
        <v>-0.00929031738046704</v>
      </c>
      <c r="I145" s="52" t="n">
        <f aca="false">IF(AND(ISNUMBER($G145),$G145&gt;=MA_SHORT),AVERAGE(INDEX($C$5:$C145,142-MA_SHORT):$C145),"")</f>
        <v>815337901.65</v>
      </c>
      <c r="J145" s="52" t="n">
        <f aca="false">IF(AND(ISNUMBER($G145),$G145&gt;=MA_MED),AVERAGE(INDEX($C$5:$C145,142-MA_MED):$C145),"")</f>
        <v>791074427.02</v>
      </c>
      <c r="K145" s="52" t="str">
        <f aca="false">IF(AND(ISNUMBER($G145),$G145&gt;=MA_LONG2),AVERAGE(INDEX($C$5:$C145,142-MA_LONG2):$C145),"")</f>
        <v/>
      </c>
      <c r="L145" s="53" t="n">
        <f aca="false">IF(AND(ISNUMBER($G145),$G145&gt;=21),STDEV(INDEX($H$85:$H145,62-20):$H145)*SQRT(245),"")</f>
        <v>0.190688091446651</v>
      </c>
      <c r="M145" s="52" t="n">
        <f aca="false">IF(AND(ISNUMBER($G145),$G145&gt;=60),MAX(INDEX($D$5:$D145,142-60):$D145),"")</f>
        <v>864406858</v>
      </c>
      <c r="N145" s="52" t="n">
        <f aca="false">IF(AND(ISNUMBER($G145),$G145&gt;=60),MIN(INDEX($E$5:$E145,142-60):$E145),"")</f>
        <v>714946039</v>
      </c>
      <c r="O145" s="53" t="n">
        <f aca="false">IF(OR(NOT(ISNUMBER($C145)),NOT(ISNUMBER($M145)),$M145=0),"",$C145/$M145-1)</f>
        <v>-0.0228495491644978</v>
      </c>
      <c r="P145" s="54"/>
      <c r="Q145" s="53" t="str">
        <f aca="false">IF(NOT(ISNUMBER($P145)),"",IFERROR(PERCENTRANK($P$5:$P$1204,$P145),""))</f>
        <v/>
      </c>
    </row>
    <row r="146" customFormat="false" ht="15" hidden="false" customHeight="false" outlineLevel="0" collapsed="false">
      <c r="A146" s="47" t="n">
        <v>45767</v>
      </c>
      <c r="B146" s="48" t="s">
        <v>294</v>
      </c>
      <c r="C146" s="49" t="n">
        <v>842551635</v>
      </c>
      <c r="D146" s="49" t="n">
        <v>848666627</v>
      </c>
      <c r="E146" s="49" t="n">
        <v>841162490</v>
      </c>
      <c r="F146" s="49" t="n">
        <v>0</v>
      </c>
      <c r="G146" s="50" t="n">
        <f aca="false">IF($A146="","",IF(ISNUMBER($G145),$G145+1,1))</f>
        <v>142</v>
      </c>
      <c r="H146" s="51" t="n">
        <f aca="false">IF(OR(NOT(ISNUMBER($G146)),$G146&lt;2,NOT(ISNUMBER($C145)),$C145=0),"",$C146/$C145-1)</f>
        <v>-0.00249085677292848</v>
      </c>
      <c r="I146" s="52" t="n">
        <f aca="false">IF(AND(ISNUMBER($G146),$G146&gt;=MA_SHORT),AVERAGE(INDEX($C$5:$C146,143-MA_SHORT):$C146),"")</f>
        <v>818329438.4</v>
      </c>
      <c r="J146" s="52" t="n">
        <f aca="false">IF(AND(ISNUMBER($G146),$G146&gt;=MA_MED),AVERAGE(INDEX($C$5:$C146,143-MA_MED):$C146),"")</f>
        <v>793266114.46</v>
      </c>
      <c r="K146" s="52" t="str">
        <f aca="false">IF(AND(ISNUMBER($G146),$G146&gt;=MA_LONG2),AVERAGE(INDEX($C$5:$C146,143-MA_LONG2):$C146),"")</f>
        <v/>
      </c>
      <c r="L146" s="53" t="n">
        <f aca="false">IF(AND(ISNUMBER($G146),$G146&gt;=21),STDEV(INDEX($H$86:$H146,62-20):$H146)*SQRT(245),"")</f>
        <v>0.161543290699512</v>
      </c>
      <c r="M146" s="52" t="n">
        <f aca="false">IF(AND(ISNUMBER($G146),$G146&gt;=60),MAX(INDEX($D$5:$D146,143-60):$D146),"")</f>
        <v>864406858</v>
      </c>
      <c r="N146" s="52" t="n">
        <f aca="false">IF(AND(ISNUMBER($G146),$G146&gt;=60),MIN(INDEX($E$5:$E146,143-60):$E146),"")</f>
        <v>714946039</v>
      </c>
      <c r="O146" s="53" t="n">
        <f aca="false">IF(OR(NOT(ISNUMBER($C146)),NOT(ISNUMBER($M146)),$M146=0),"",$C146/$M146-1)</f>
        <v>-0.0252834909831314</v>
      </c>
      <c r="P146" s="54"/>
      <c r="Q146" s="53" t="str">
        <f aca="false">IF(NOT(ISNUMBER($P146)),"",IFERROR(PERCENTRANK($P$5:$P$1204,$P146),""))</f>
        <v/>
      </c>
    </row>
    <row r="147" customFormat="false" ht="15" hidden="false" customHeight="false" outlineLevel="0" collapsed="false">
      <c r="A147" s="47" t="n">
        <v>45768</v>
      </c>
      <c r="B147" s="48" t="s">
        <v>295</v>
      </c>
      <c r="C147" s="49" t="n">
        <v>826414215</v>
      </c>
      <c r="D147" s="49" t="n">
        <v>829492486</v>
      </c>
      <c r="E147" s="49" t="n">
        <v>825961940</v>
      </c>
      <c r="F147" s="49" t="n">
        <v>0</v>
      </c>
      <c r="G147" s="50" t="n">
        <f aca="false">IF($A147="","",IF(ISNUMBER($G146),$G146+1,1))</f>
        <v>143</v>
      </c>
      <c r="H147" s="51" t="n">
        <f aca="false">IF(OR(NOT(ISNUMBER($G147)),$G147&lt;2,NOT(ISNUMBER($C146)),$C146=0),"",$C147/$C146-1)</f>
        <v>-0.0191530338671766</v>
      </c>
      <c r="I147" s="52" t="n">
        <f aca="false">IF(AND(ISNUMBER($G147),$G147&gt;=MA_SHORT),AVERAGE(INDEX($C$5:$C147,144-MA_SHORT):$C147),"")</f>
        <v>820288825.65</v>
      </c>
      <c r="J147" s="52" t="n">
        <f aca="false">IF(AND(ISNUMBER($G147),$G147&gt;=MA_MED),AVERAGE(INDEX($C$5:$C147,144-MA_MED):$C147),"")</f>
        <v>795144420.92</v>
      </c>
      <c r="K147" s="52" t="str">
        <f aca="false">IF(AND(ISNUMBER($G147),$G147&gt;=MA_LONG2),AVERAGE(INDEX($C$5:$C147,144-MA_LONG2):$C147),"")</f>
        <v/>
      </c>
      <c r="L147" s="53" t="n">
        <f aca="false">IF(AND(ISNUMBER($G147),$G147&gt;=21),STDEV(INDEX($H$87:$H147,62-20):$H147)*SQRT(245),"")</f>
        <v>0.180004936960664</v>
      </c>
      <c r="M147" s="52" t="n">
        <f aca="false">IF(AND(ISNUMBER($G147),$G147&gt;=60),MAX(INDEX($D$5:$D147,144-60):$D147),"")</f>
        <v>864406858</v>
      </c>
      <c r="N147" s="52" t="n">
        <f aca="false">IF(AND(ISNUMBER($G147),$G147&gt;=60),MIN(INDEX($E$5:$E147,144-60):$E147),"")</f>
        <v>714946039</v>
      </c>
      <c r="O147" s="53" t="n">
        <f aca="false">IF(OR(NOT(ISNUMBER($C147)),NOT(ISNUMBER($M147)),$M147=0),"",$C147/$M147-1)</f>
        <v>-0.0439522692912276</v>
      </c>
      <c r="P147" s="54"/>
      <c r="Q147" s="53" t="str">
        <f aca="false">IF(NOT(ISNUMBER($P147)),"",IFERROR(PERCENTRANK($P$5:$P$1204,$P147),""))</f>
        <v/>
      </c>
    </row>
    <row r="148" customFormat="false" ht="15" hidden="false" customHeight="false" outlineLevel="0" collapsed="false">
      <c r="A148" s="47" t="n">
        <v>45769</v>
      </c>
      <c r="B148" s="48" t="s">
        <v>296</v>
      </c>
      <c r="C148" s="49" t="n">
        <v>809814361</v>
      </c>
      <c r="D148" s="49" t="n">
        <v>812962299</v>
      </c>
      <c r="E148" s="49" t="n">
        <v>809684886</v>
      </c>
      <c r="F148" s="49" t="n">
        <v>0</v>
      </c>
      <c r="G148" s="50" t="n">
        <f aca="false">IF($A148="","",IF(ISNUMBER($G147),$G147+1,1))</f>
        <v>144</v>
      </c>
      <c r="H148" s="51" t="n">
        <f aca="false">IF(OR(NOT(ISNUMBER($G148)),$G148&lt;2,NOT(ISNUMBER($C147)),$C147=0),"",$C148/$C147-1)</f>
        <v>-0.0200866026971717</v>
      </c>
      <c r="I148" s="52" t="n">
        <f aca="false">IF(AND(ISNUMBER($G148),$G148&gt;=MA_SHORT),AVERAGE(INDEX($C$5:$C148,145-MA_SHORT):$C148),"")</f>
        <v>821614908.7</v>
      </c>
      <c r="J148" s="52" t="n">
        <f aca="false">IF(AND(ISNUMBER($G148),$G148&gt;=MA_MED),AVERAGE(INDEX($C$5:$C148,145-MA_MED):$C148),"")</f>
        <v>796576840.92</v>
      </c>
      <c r="K148" s="52" t="str">
        <f aca="false">IF(AND(ISNUMBER($G148),$G148&gt;=MA_LONG2),AVERAGE(INDEX($C$5:$C148,145-MA_LONG2):$C148),"")</f>
        <v/>
      </c>
      <c r="L148" s="53" t="n">
        <f aca="false">IF(AND(ISNUMBER($G148),$G148&gt;=21),STDEV(INDEX($H$88:$H148,62-20):$H148)*SQRT(245),"")</f>
        <v>0.195208612609412</v>
      </c>
      <c r="M148" s="52" t="n">
        <f aca="false">IF(AND(ISNUMBER($G148),$G148&gt;=60),MAX(INDEX($D$5:$D148,145-60):$D148),"")</f>
        <v>864406858</v>
      </c>
      <c r="N148" s="52" t="n">
        <f aca="false">IF(AND(ISNUMBER($G148),$G148&gt;=60),MIN(INDEX($E$5:$E148,145-60):$E148),"")</f>
        <v>716028023</v>
      </c>
      <c r="O148" s="53" t="n">
        <f aca="false">IF(OR(NOT(ISNUMBER($C148)),NOT(ISNUMBER($M148)),$M148=0),"",$C148/$M148-1)</f>
        <v>-0.0631560202175073</v>
      </c>
      <c r="P148" s="54"/>
      <c r="Q148" s="53" t="str">
        <f aca="false">IF(NOT(ISNUMBER($P148)),"",IFERROR(PERCENTRANK($P$5:$P$1204,$P148),""))</f>
        <v/>
      </c>
    </row>
    <row r="149" customFormat="false" ht="15" hidden="false" customHeight="false" outlineLevel="0" collapsed="false">
      <c r="A149" s="47" t="n">
        <v>45770</v>
      </c>
      <c r="B149" s="48" t="s">
        <v>297</v>
      </c>
      <c r="C149" s="49" t="n">
        <v>809827463</v>
      </c>
      <c r="D149" s="49" t="n">
        <v>810001388</v>
      </c>
      <c r="E149" s="49" t="n">
        <v>807635943</v>
      </c>
      <c r="F149" s="49" t="n">
        <v>0</v>
      </c>
      <c r="G149" s="50" t="n">
        <f aca="false">IF($A149="","",IF(ISNUMBER($G148),$G148+1,1))</f>
        <v>145</v>
      </c>
      <c r="H149" s="51" t="n">
        <f aca="false">IF(OR(NOT(ISNUMBER($G149)),$G149&lt;2,NOT(ISNUMBER($C148)),$C148=0),"",$C149/$C148-1)</f>
        <v>1.61790166128828E-005</v>
      </c>
      <c r="I149" s="52" t="n">
        <f aca="false">IF(AND(ISNUMBER($G149),$G149&gt;=MA_SHORT),AVERAGE(INDEX($C$5:$C149,146-MA_SHORT):$C149),"")</f>
        <v>821788971.6</v>
      </c>
      <c r="J149" s="52" t="n">
        <f aca="false">IF(AND(ISNUMBER($G149),$G149&gt;=MA_MED),AVERAGE(INDEX($C$5:$C149,146-MA_MED):$C149),"")</f>
        <v>797654337.88</v>
      </c>
      <c r="K149" s="52" t="str">
        <f aca="false">IF(AND(ISNUMBER($G149),$G149&gt;=MA_LONG2),AVERAGE(INDEX($C$5:$C149,146-MA_LONG2):$C149),"")</f>
        <v/>
      </c>
      <c r="L149" s="53" t="n">
        <f aca="false">IF(AND(ISNUMBER($G149),$G149&gt;=21),STDEV(INDEX($H$89:$H149,62-20):$H149)*SQRT(245),"")</f>
        <v>0.166429954191256</v>
      </c>
      <c r="M149" s="52" t="n">
        <f aca="false">IF(AND(ISNUMBER($G149),$G149&gt;=60),MAX(INDEX($D$5:$D149,146-60):$D149),"")</f>
        <v>864406858</v>
      </c>
      <c r="N149" s="52" t="n">
        <f aca="false">IF(AND(ISNUMBER($G149),$G149&gt;=60),MIN(INDEX($E$5:$E149,146-60):$E149),"")</f>
        <v>722295820</v>
      </c>
      <c r="O149" s="53" t="n">
        <f aca="false">IF(OR(NOT(ISNUMBER($C149)),NOT(ISNUMBER($M149)),$M149=0),"",$C149/$M149-1)</f>
        <v>-0.0631408630031948</v>
      </c>
      <c r="P149" s="54"/>
      <c r="Q149" s="53" t="str">
        <f aca="false">IF(NOT(ISNUMBER($P149)),"",IFERROR(PERCENTRANK($P$5:$P$1204,$P149),""))</f>
        <v/>
      </c>
    </row>
    <row r="150" customFormat="false" ht="15" hidden="false" customHeight="false" outlineLevel="0" collapsed="false">
      <c r="A150" s="47" t="n">
        <v>45773</v>
      </c>
      <c r="B150" s="48" t="s">
        <v>298</v>
      </c>
      <c r="C150" s="49" t="n">
        <v>798625174</v>
      </c>
      <c r="D150" s="49" t="n">
        <v>808482653</v>
      </c>
      <c r="E150" s="49" t="n">
        <v>793489896</v>
      </c>
      <c r="F150" s="49" t="n">
        <v>0</v>
      </c>
      <c r="G150" s="50" t="n">
        <f aca="false">IF($A150="","",IF(ISNUMBER($G149),$G149+1,1))</f>
        <v>146</v>
      </c>
      <c r="H150" s="51" t="n">
        <f aca="false">IF(OR(NOT(ISNUMBER($G150)),$G150&lt;2,NOT(ISNUMBER($C149)),$C149=0),"",$C150/$C149-1)</f>
        <v>-0.0138329329540161</v>
      </c>
      <c r="I150" s="52" t="n">
        <f aca="false">IF(AND(ISNUMBER($G150),$G150&gt;=MA_SHORT),AVERAGE(INDEX($C$5:$C150,147-MA_SHORT):$C150),"")</f>
        <v>821442483.15</v>
      </c>
      <c r="J150" s="52" t="n">
        <f aca="false">IF(AND(ISNUMBER($G150),$G150&gt;=MA_MED),AVERAGE(INDEX($C$5:$C150,147-MA_MED):$C150),"")</f>
        <v>798616526.92</v>
      </c>
      <c r="K150" s="52" t="str">
        <f aca="false">IF(AND(ISNUMBER($G150),$G150&gt;=MA_LONG2),AVERAGE(INDEX($C$5:$C150,147-MA_LONG2):$C150),"")</f>
        <v/>
      </c>
      <c r="L150" s="53" t="n">
        <f aca="false">IF(AND(ISNUMBER($G150),$G150&gt;=21),STDEV(INDEX($H$90:$H150,62-20):$H150)*SQRT(245),"")</f>
        <v>0.173599196063398</v>
      </c>
      <c r="M150" s="52" t="n">
        <f aca="false">IF(AND(ISNUMBER($G150),$G150&gt;=60),MAX(INDEX($D$5:$D150,147-60):$D150),"")</f>
        <v>864406858</v>
      </c>
      <c r="N150" s="52" t="n">
        <f aca="false">IF(AND(ISNUMBER($G150),$G150&gt;=60),MIN(INDEX($E$5:$E150,147-60):$E150),"")</f>
        <v>722295820</v>
      </c>
      <c r="O150" s="53" t="n">
        <f aca="false">IF(OR(NOT(ISNUMBER($C150)),NOT(ISNUMBER($M150)),$M150=0),"",$C150/$M150-1)</f>
        <v>-0.0761003726326289</v>
      </c>
      <c r="P150" s="54"/>
      <c r="Q150" s="53" t="str">
        <f aca="false">IF(NOT(ISNUMBER($P150)),"",IFERROR(PERCENTRANK($P$5:$P$1204,$P150),""))</f>
        <v/>
      </c>
    </row>
    <row r="151" customFormat="false" ht="15" hidden="false" customHeight="false" outlineLevel="0" collapsed="false">
      <c r="A151" s="47" t="n">
        <v>45774</v>
      </c>
      <c r="B151" s="48" t="s">
        <v>299</v>
      </c>
      <c r="C151" s="49" t="n">
        <v>801784121</v>
      </c>
      <c r="D151" s="49" t="n">
        <v>803960269</v>
      </c>
      <c r="E151" s="49" t="n">
        <v>801200540</v>
      </c>
      <c r="F151" s="49" t="n">
        <v>0</v>
      </c>
      <c r="G151" s="50" t="n">
        <f aca="false">IF($A151="","",IF(ISNUMBER($G150),$G150+1,1))</f>
        <v>147</v>
      </c>
      <c r="H151" s="51" t="n">
        <f aca="false">IF(OR(NOT(ISNUMBER($G151)),$G151&lt;2,NOT(ISNUMBER($C150)),$C150=0),"",$C151/$C150-1)</f>
        <v>0.00395548137329316</v>
      </c>
      <c r="I151" s="52" t="n">
        <f aca="false">IF(AND(ISNUMBER($G151),$G151&gt;=MA_SHORT),AVERAGE(INDEX($C$5:$C151,148-MA_SHORT):$C151),"")</f>
        <v>821904813.45</v>
      </c>
      <c r="J151" s="52" t="n">
        <f aca="false">IF(AND(ISNUMBER($G151),$G151&gt;=MA_MED),AVERAGE(INDEX($C$5:$C151,148-MA_MED):$C151),"")</f>
        <v>799369466.92</v>
      </c>
      <c r="K151" s="52" t="str">
        <f aca="false">IF(AND(ISNUMBER($G151),$G151&gt;=MA_LONG2),AVERAGE(INDEX($C$5:$C151,148-MA_LONG2):$C151),"")</f>
        <v/>
      </c>
      <c r="L151" s="53" t="n">
        <f aca="false">IF(AND(ISNUMBER($G151),$G151&gt;=21),STDEV(INDEX($H$91:$H151,62-20):$H151)*SQRT(245),"")</f>
        <v>0.164024349395493</v>
      </c>
      <c r="M151" s="52" t="n">
        <f aca="false">IF(AND(ISNUMBER($G151),$G151&gt;=60),MAX(INDEX($D$5:$D151,148-60):$D151),"")</f>
        <v>864406858</v>
      </c>
      <c r="N151" s="52" t="n">
        <f aca="false">IF(AND(ISNUMBER($G151),$G151&gt;=60),MIN(INDEX($E$5:$E151,148-60):$E151),"")</f>
        <v>722295820</v>
      </c>
      <c r="O151" s="53" t="n">
        <f aca="false">IF(OR(NOT(ISNUMBER($C151)),NOT(ISNUMBER($M151)),$M151=0),"",$C151/$M151-1)</f>
        <v>-0.0724459048657848</v>
      </c>
      <c r="P151" s="54"/>
      <c r="Q151" s="53" t="str">
        <f aca="false">IF(NOT(ISNUMBER($P151)),"",IFERROR(PERCENTRANK($P$5:$P$1204,$P151),""))</f>
        <v/>
      </c>
    </row>
    <row r="152" customFormat="false" ht="15" hidden="false" customHeight="false" outlineLevel="0" collapsed="false">
      <c r="A152" s="47" t="n">
        <v>45775</v>
      </c>
      <c r="B152" s="48" t="s">
        <v>300</v>
      </c>
      <c r="C152" s="49" t="n">
        <v>783532275</v>
      </c>
      <c r="D152" s="49" t="n">
        <v>784579915</v>
      </c>
      <c r="E152" s="49" t="n">
        <v>783418841</v>
      </c>
      <c r="F152" s="49" t="n">
        <v>0</v>
      </c>
      <c r="G152" s="50" t="n">
        <f aca="false">IF($A152="","",IF(ISNUMBER($G151),$G151+1,1))</f>
        <v>148</v>
      </c>
      <c r="H152" s="51" t="n">
        <f aca="false">IF(OR(NOT(ISNUMBER($G152)),$G152&lt;2,NOT(ISNUMBER($C151)),$C151=0),"",$C152/$C151-1)</f>
        <v>-0.0227640402471877</v>
      </c>
      <c r="I152" s="52" t="n">
        <f aca="false">IF(AND(ISNUMBER($G152),$G152&gt;=MA_SHORT),AVERAGE(INDEX($C$5:$C152,149-MA_SHORT):$C152),"")</f>
        <v>821662635.65</v>
      </c>
      <c r="J152" s="52" t="n">
        <f aca="false">IF(AND(ISNUMBER($G152),$G152&gt;=MA_MED),AVERAGE(INDEX($C$5:$C152,149-MA_MED):$C152),"")</f>
        <v>799883794.78</v>
      </c>
      <c r="K152" s="52" t="str">
        <f aca="false">IF(AND(ISNUMBER($G152),$G152&gt;=MA_LONG2),AVERAGE(INDEX($C$5:$C152,149-MA_LONG2):$C152),"")</f>
        <v/>
      </c>
      <c r="L152" s="53" t="n">
        <f aca="false">IF(AND(ISNUMBER($G152),$G152&gt;=21),STDEV(INDEX($H$92:$H152,62-20):$H152)*SQRT(245),"")</f>
        <v>0.18253328944958</v>
      </c>
      <c r="M152" s="52" t="n">
        <f aca="false">IF(AND(ISNUMBER($G152),$G152&gt;=60),MAX(INDEX($D$5:$D152,149-60):$D152),"")</f>
        <v>864406858</v>
      </c>
      <c r="N152" s="52" t="n">
        <f aca="false">IF(AND(ISNUMBER($G152),$G152&gt;=60),MIN(INDEX($E$5:$E152,149-60):$E152),"")</f>
        <v>722295820</v>
      </c>
      <c r="O152" s="53" t="n">
        <f aca="false">IF(OR(NOT(ISNUMBER($C152)),NOT(ISNUMBER($M152)),$M152=0),"",$C152/$M152-1)</f>
        <v>-0.0935607836188639</v>
      </c>
      <c r="P152" s="54"/>
      <c r="Q152" s="53" t="str">
        <f aca="false">IF(NOT(ISNUMBER($P152)),"",IFERROR(PERCENTRANK($P$5:$P$1204,$P152),""))</f>
        <v/>
      </c>
    </row>
    <row r="153" customFormat="false" ht="15" hidden="false" customHeight="false" outlineLevel="0" collapsed="false">
      <c r="A153" s="47" t="n">
        <v>45776</v>
      </c>
      <c r="B153" s="48" t="s">
        <v>301</v>
      </c>
      <c r="C153" s="49" t="n">
        <v>771152730</v>
      </c>
      <c r="D153" s="49" t="n">
        <v>775349886</v>
      </c>
      <c r="E153" s="49" t="n">
        <v>767720746</v>
      </c>
      <c r="F153" s="49" t="n">
        <v>0</v>
      </c>
      <c r="G153" s="50" t="n">
        <f aca="false">IF($A153="","",IF(ISNUMBER($G152),$G152+1,1))</f>
        <v>149</v>
      </c>
      <c r="H153" s="51" t="n">
        <f aca="false">IF(OR(NOT(ISNUMBER($G153)),$G153&lt;2,NOT(ISNUMBER($C152)),$C152=0),"",$C153/$C152-1)</f>
        <v>-0.0157996618582177</v>
      </c>
      <c r="I153" s="52" t="n">
        <f aca="false">IF(AND(ISNUMBER($G153),$G153&gt;=MA_SHORT),AVERAGE(INDEX($C$5:$C153,150-MA_SHORT):$C153),"")</f>
        <v>820509179.1</v>
      </c>
      <c r="J153" s="52" t="n">
        <f aca="false">IF(AND(ISNUMBER($G153),$G153&gt;=MA_MED),AVERAGE(INDEX($C$5:$C153,150-MA_MED):$C153),"")</f>
        <v>799996502.26</v>
      </c>
      <c r="K153" s="52" t="str">
        <f aca="false">IF(AND(ISNUMBER($G153),$G153&gt;=MA_LONG2),AVERAGE(INDEX($C$5:$C153,150-MA_LONG2):$C153),"")</f>
        <v/>
      </c>
      <c r="L153" s="53" t="n">
        <f aca="false">IF(AND(ISNUMBER($G153),$G153&gt;=21),STDEV(INDEX($H$93:$H153,62-20):$H153)*SQRT(245),"")</f>
        <v>0.187976579927423</v>
      </c>
      <c r="M153" s="52" t="n">
        <f aca="false">IF(AND(ISNUMBER($G153),$G153&gt;=60),MAX(INDEX($D$5:$D153,150-60):$D153),"")</f>
        <v>864406858</v>
      </c>
      <c r="N153" s="52" t="n">
        <f aca="false">IF(AND(ISNUMBER($G153),$G153&gt;=60),MIN(INDEX($E$5:$E153,150-60):$E153),"")</f>
        <v>730749675</v>
      </c>
      <c r="O153" s="53" t="n">
        <f aca="false">IF(OR(NOT(ISNUMBER($C153)),NOT(ISNUMBER($M153)),$M153=0),"",$C153/$M153-1)</f>
        <v>-0.107882216732714</v>
      </c>
      <c r="P153" s="54"/>
      <c r="Q153" s="53" t="str">
        <f aca="false">IF(NOT(ISNUMBER($P153)),"",IFERROR(PERCENTRANK($P$5:$P$1204,$P153),""))</f>
        <v/>
      </c>
    </row>
    <row r="154" customFormat="false" ht="15" hidden="false" customHeight="false" outlineLevel="0" collapsed="false">
      <c r="A154" s="47" t="n">
        <v>45777</v>
      </c>
      <c r="B154" s="48" t="s">
        <v>302</v>
      </c>
      <c r="C154" s="49" t="n">
        <v>771858380</v>
      </c>
      <c r="D154" s="49" t="n">
        <v>775196480</v>
      </c>
      <c r="E154" s="49" t="n">
        <v>769077444</v>
      </c>
      <c r="F154" s="49" t="n">
        <v>0</v>
      </c>
      <c r="G154" s="50" t="n">
        <f aca="false">IF($A154="","",IF(ISNUMBER($G153),$G153+1,1))</f>
        <v>150</v>
      </c>
      <c r="H154" s="51" t="n">
        <f aca="false">IF(OR(NOT(ISNUMBER($G154)),$G154&lt;2,NOT(ISNUMBER($C153)),$C153=0),"",$C154/$C153-1)</f>
        <v>0.000915058681047576</v>
      </c>
      <c r="I154" s="52" t="n">
        <f aca="false">IF(AND(ISNUMBER($G154),$G154&gt;=MA_SHORT),AVERAGE(INDEX($C$5:$C154,151-MA_SHORT):$C154),"")</f>
        <v>819363269.4</v>
      </c>
      <c r="J154" s="52" t="n">
        <f aca="false">IF(AND(ISNUMBER($G154),$G154&gt;=MA_MED),AVERAGE(INDEX($C$5:$C154,151-MA_MED):$C154),"")</f>
        <v>799989506.48</v>
      </c>
      <c r="K154" s="52" t="str">
        <f aca="false">IF(AND(ISNUMBER($G154),$G154&gt;=MA_LONG2),AVERAGE(INDEX($C$5:$C154,151-MA_LONG2):$C154),"")</f>
        <v/>
      </c>
      <c r="L154" s="53" t="n">
        <f aca="false">IF(AND(ISNUMBER($G154),$G154&gt;=21),STDEV(INDEX($H$94:$H154,62-20):$H154)*SQRT(245),"")</f>
        <v>0.188009347116347</v>
      </c>
      <c r="M154" s="52" t="n">
        <f aca="false">IF(AND(ISNUMBER($G154),$G154&gt;=60),MAX(INDEX($D$5:$D154,151-60):$D154),"")</f>
        <v>864406858</v>
      </c>
      <c r="N154" s="52" t="n">
        <f aca="false">IF(AND(ISNUMBER($G154),$G154&gt;=60),MIN(INDEX($E$5:$E154,151-60):$E154),"")</f>
        <v>730749675</v>
      </c>
      <c r="O154" s="53" t="n">
        <f aca="false">IF(OR(NOT(ISNUMBER($C154)),NOT(ISNUMBER($M154)),$M154=0),"",$C154/$M154-1)</f>
        <v>-0.107065876610618</v>
      </c>
      <c r="P154" s="54"/>
      <c r="Q154" s="53" t="str">
        <f aca="false">IF(NOT(ISNUMBER($P154)),"",IFERROR(PERCENTRANK($P$5:$P$1204,$P154),""))</f>
        <v/>
      </c>
    </row>
    <row r="155" customFormat="false" ht="15" hidden="false" customHeight="false" outlineLevel="0" collapsed="false">
      <c r="A155" s="47" t="n">
        <v>45780</v>
      </c>
      <c r="B155" s="48" t="s">
        <v>303</v>
      </c>
      <c r="C155" s="49" t="n">
        <v>759991430</v>
      </c>
      <c r="D155" s="49" t="n">
        <v>762701644</v>
      </c>
      <c r="E155" s="49" t="n">
        <v>756631166</v>
      </c>
      <c r="F155" s="49" t="n">
        <v>0</v>
      </c>
      <c r="G155" s="50" t="n">
        <f aca="false">IF($A155="","",IF(ISNUMBER($G154),$G154+1,1))</f>
        <v>151</v>
      </c>
      <c r="H155" s="51" t="n">
        <f aca="false">IF(OR(NOT(ISNUMBER($G155)),$G155&lt;2,NOT(ISNUMBER($C154)),$C154=0),"",$C155/$C154-1)</f>
        <v>-0.0153745172786749</v>
      </c>
      <c r="I155" s="52" t="n">
        <f aca="false">IF(AND(ISNUMBER($G155),$G155&gt;=MA_SHORT),AVERAGE(INDEX($C$5:$C155,152-MA_SHORT):$C155),"")</f>
        <v>817225171.7</v>
      </c>
      <c r="J155" s="52" t="n">
        <f aca="false">IF(AND(ISNUMBER($G155),$G155&gt;=MA_MED),AVERAGE(INDEX($C$5:$C155,152-MA_MED):$C155),"")</f>
        <v>799634563.6</v>
      </c>
      <c r="K155" s="52" t="str">
        <f aca="false">IF(AND(ISNUMBER($G155),$G155&gt;=MA_LONG2),AVERAGE(INDEX($C$5:$C155,152-MA_LONG2):$C155),"")</f>
        <v/>
      </c>
      <c r="L155" s="53" t="n">
        <f aca="false">IF(AND(ISNUMBER($G155),$G155&gt;=21),STDEV(INDEX($H$95:$H155,62-20):$H155)*SQRT(245),"")</f>
        <v>0.18912249608471</v>
      </c>
      <c r="M155" s="52" t="n">
        <f aca="false">IF(AND(ISNUMBER($G155),$G155&gt;=60),MAX(INDEX($D$5:$D155,152-60):$D155),"")</f>
        <v>864406858</v>
      </c>
      <c r="N155" s="52" t="n">
        <f aca="false">IF(AND(ISNUMBER($G155),$G155&gt;=60),MIN(INDEX($E$5:$E155,152-60):$E155),"")</f>
        <v>730749675</v>
      </c>
      <c r="O155" s="53" t="n">
        <f aca="false">IF(OR(NOT(ISNUMBER($C155)),NOT(ISNUMBER($M155)),$M155=0),"",$C155/$M155-1)</f>
        <v>-0.120794307719386</v>
      </c>
      <c r="P155" s="54"/>
      <c r="Q155" s="53" t="str">
        <f aca="false">IF(NOT(ISNUMBER($P155)),"",IFERROR(PERCENTRANK($P$5:$P$1204,$P155),""))</f>
        <v/>
      </c>
    </row>
    <row r="156" customFormat="false" ht="15" hidden="false" customHeight="false" outlineLevel="0" collapsed="false">
      <c r="A156" s="47" t="n">
        <v>45781</v>
      </c>
      <c r="B156" s="48" t="s">
        <v>304</v>
      </c>
      <c r="C156" s="49" t="n">
        <v>748330911</v>
      </c>
      <c r="D156" s="49" t="n">
        <v>749937015</v>
      </c>
      <c r="E156" s="49" t="n">
        <v>746723094</v>
      </c>
      <c r="F156" s="49" t="n">
        <v>0</v>
      </c>
      <c r="G156" s="50" t="n">
        <f aca="false">IF($A156="","",IF(ISNUMBER($G155),$G155+1,1))</f>
        <v>152</v>
      </c>
      <c r="H156" s="51" t="n">
        <f aca="false">IF(OR(NOT(ISNUMBER($G156)),$G156&lt;2,NOT(ISNUMBER($C155)),$C155=0),"",$C156/$C155-1)</f>
        <v>-0.01534296116997</v>
      </c>
      <c r="I156" s="52" t="n">
        <f aca="false">IF(AND(ISNUMBER($G156),$G156&gt;=MA_SHORT),AVERAGE(INDEX($C$5:$C156,153-MA_SHORT):$C156),"")</f>
        <v>814203318.25</v>
      </c>
      <c r="J156" s="52" t="n">
        <f aca="false">IF(AND(ISNUMBER($G156),$G156&gt;=MA_MED),AVERAGE(INDEX($C$5:$C156,153-MA_MED):$C156),"")</f>
        <v>799044210.32</v>
      </c>
      <c r="K156" s="52" t="str">
        <f aca="false">IF(AND(ISNUMBER($G156),$G156&gt;=MA_LONG2),AVERAGE(INDEX($C$5:$C156,153-MA_LONG2):$C156),"")</f>
        <v/>
      </c>
      <c r="L156" s="53" t="n">
        <f aca="false">IF(AND(ISNUMBER($G156),$G156&gt;=21),STDEV(INDEX($H$96:$H156,62-20):$H156)*SQRT(245),"")</f>
        <v>0.190194841626207</v>
      </c>
      <c r="M156" s="52" t="n">
        <f aca="false">IF(AND(ISNUMBER($G156),$G156&gt;=60),MAX(INDEX($D$5:$D156,153-60):$D156),"")</f>
        <v>864406858</v>
      </c>
      <c r="N156" s="52" t="n">
        <f aca="false">IF(AND(ISNUMBER($G156),$G156&gt;=60),MIN(INDEX($E$5:$E156,153-60):$E156),"")</f>
        <v>730749675</v>
      </c>
      <c r="O156" s="53" t="n">
        <f aca="false">IF(OR(NOT(ISNUMBER($C156)),NOT(ISNUMBER($M156)),$M156=0),"",$C156/$M156-1)</f>
        <v>-0.134283926516465</v>
      </c>
      <c r="P156" s="54"/>
      <c r="Q156" s="53" t="str">
        <f aca="false">IF(NOT(ISNUMBER($P156)),"",IFERROR(PERCENTRANK($P$5:$P$1204,$P156),""))</f>
        <v/>
      </c>
    </row>
    <row r="157" customFormat="false" ht="15" hidden="false" customHeight="false" outlineLevel="0" collapsed="false">
      <c r="A157" s="47" t="n">
        <v>45782</v>
      </c>
      <c r="B157" s="48" t="s">
        <v>305</v>
      </c>
      <c r="C157" s="49" t="n">
        <v>752440653</v>
      </c>
      <c r="D157" s="49" t="n">
        <v>757674982</v>
      </c>
      <c r="E157" s="49" t="n">
        <v>750637539</v>
      </c>
      <c r="F157" s="49" t="n">
        <v>0</v>
      </c>
      <c r="G157" s="50" t="n">
        <f aca="false">IF($A157="","",IF(ISNUMBER($G156),$G156+1,1))</f>
        <v>153</v>
      </c>
      <c r="H157" s="51" t="n">
        <f aca="false">IF(OR(NOT(ISNUMBER($G157)),$G157&lt;2,NOT(ISNUMBER($C156)),$C156=0),"",$C157/$C156-1)</f>
        <v>0.00549187791068007</v>
      </c>
      <c r="I157" s="52" t="n">
        <f aca="false">IF(AND(ISNUMBER($G157),$G157&gt;=MA_SHORT),AVERAGE(INDEX($C$5:$C157,154-MA_SHORT):$C157),"")</f>
        <v>811152616.4</v>
      </c>
      <c r="J157" s="52" t="n">
        <f aca="false">IF(AND(ISNUMBER($G157),$G157&gt;=MA_MED),AVERAGE(INDEX($C$5:$C157,154-MA_MED):$C157),"")</f>
        <v>798658880.9</v>
      </c>
      <c r="K157" s="52" t="str">
        <f aca="false">IF(AND(ISNUMBER($G157),$G157&gt;=MA_LONG2),AVERAGE(INDEX($C$5:$C157,154-MA_LONG2):$C157),"")</f>
        <v/>
      </c>
      <c r="L157" s="53" t="n">
        <f aca="false">IF(AND(ISNUMBER($G157),$G157&gt;=21),STDEV(INDEX($H$97:$H157,62-20):$H157)*SQRT(245),"")</f>
        <v>0.190000484309239</v>
      </c>
      <c r="M157" s="52" t="n">
        <f aca="false">IF(AND(ISNUMBER($G157),$G157&gt;=60),MAX(INDEX($D$5:$D157,154-60):$D157),"")</f>
        <v>864406858</v>
      </c>
      <c r="N157" s="52" t="n">
        <f aca="false">IF(AND(ISNUMBER($G157),$G157&gt;=60),MIN(INDEX($E$5:$E157,154-60):$E157),"")</f>
        <v>731233182</v>
      </c>
      <c r="O157" s="53" t="n">
        <f aca="false">IF(OR(NOT(ISNUMBER($C157)),NOT(ISNUMBER($M157)),$M157=0),"",$C157/$M157-1)</f>
        <v>-0.12952951953558</v>
      </c>
      <c r="P157" s="54"/>
      <c r="Q157" s="53" t="str">
        <f aca="false">IF(NOT(ISNUMBER($P157)),"",IFERROR(PERCENTRANK($P$5:$P$1204,$P157),""))</f>
        <v/>
      </c>
    </row>
    <row r="158" customFormat="false" ht="15" hidden="false" customHeight="false" outlineLevel="0" collapsed="false">
      <c r="A158" s="47" t="n">
        <v>45783</v>
      </c>
      <c r="B158" s="48" t="s">
        <v>306</v>
      </c>
      <c r="C158" s="49" t="n">
        <v>750276821</v>
      </c>
      <c r="D158" s="49" t="n">
        <v>753913290</v>
      </c>
      <c r="E158" s="49" t="n">
        <v>745115955</v>
      </c>
      <c r="F158" s="49" t="n">
        <v>0</v>
      </c>
      <c r="G158" s="50" t="n">
        <f aca="false">IF($A158="","",IF(ISNUMBER($G157),$G157+1,1))</f>
        <v>154</v>
      </c>
      <c r="H158" s="51" t="n">
        <f aca="false">IF(OR(NOT(ISNUMBER($G158)),$G158&lt;2,NOT(ISNUMBER($C157)),$C157=0),"",$C158/$C157-1)</f>
        <v>-0.00287575105275451</v>
      </c>
      <c r="I158" s="52" t="n">
        <f aca="false">IF(AND(ISNUMBER($G158),$G158&gt;=MA_SHORT),AVERAGE(INDEX($C$5:$C158,155-MA_SHORT):$C158),"")</f>
        <v>807866379.25</v>
      </c>
      <c r="J158" s="52" t="n">
        <f aca="false">IF(AND(ISNUMBER($G158),$G158&gt;=MA_MED),AVERAGE(INDEX($C$5:$C158,155-MA_MED):$C158),"")</f>
        <v>798582081.44</v>
      </c>
      <c r="K158" s="52" t="str">
        <f aca="false">IF(AND(ISNUMBER($G158),$G158&gt;=MA_LONG2),AVERAGE(INDEX($C$5:$C158,155-MA_LONG2):$C158),"")</f>
        <v/>
      </c>
      <c r="L158" s="53" t="n">
        <f aca="false">IF(AND(ISNUMBER($G158),$G158&gt;=21),STDEV(INDEX($H$98:$H158,62-20):$H158)*SQRT(245),"")</f>
        <v>0.188322360107479</v>
      </c>
      <c r="M158" s="52" t="n">
        <f aca="false">IF(AND(ISNUMBER($G158),$G158&gt;=60),MAX(INDEX($D$5:$D158,155-60):$D158),"")</f>
        <v>864406858</v>
      </c>
      <c r="N158" s="52" t="n">
        <f aca="false">IF(AND(ISNUMBER($G158),$G158&gt;=60),MIN(INDEX($E$5:$E158,155-60):$E158),"")</f>
        <v>745115955</v>
      </c>
      <c r="O158" s="53" t="n">
        <f aca="false">IF(OR(NOT(ISNUMBER($C158)),NOT(ISNUMBER($M158)),$M158=0),"",$C158/$M158-1)</f>
        <v>-0.132032775936167</v>
      </c>
      <c r="P158" s="54"/>
      <c r="Q158" s="53" t="str">
        <f aca="false">IF(NOT(ISNUMBER($P158)),"",IFERROR(PERCENTRANK($P$5:$P$1204,$P158),""))</f>
        <v/>
      </c>
    </row>
    <row r="159" customFormat="false" ht="15" hidden="false" customHeight="false" outlineLevel="0" collapsed="false">
      <c r="A159" s="47" t="n">
        <v>45784</v>
      </c>
      <c r="B159" s="48" t="s">
        <v>307</v>
      </c>
      <c r="C159" s="49" t="n">
        <v>758355330</v>
      </c>
      <c r="D159" s="49" t="n">
        <v>759569255</v>
      </c>
      <c r="E159" s="49" t="n">
        <v>757216984</v>
      </c>
      <c r="F159" s="49" t="n">
        <v>0</v>
      </c>
      <c r="G159" s="50" t="n">
        <f aca="false">IF($A159="","",IF(ISNUMBER($G158),$G158+1,1))</f>
        <v>155</v>
      </c>
      <c r="H159" s="51" t="n">
        <f aca="false">IF(OR(NOT(ISNUMBER($G159)),$G159&lt;2,NOT(ISNUMBER($C158)),$C158=0),"",$C159/$C158-1)</f>
        <v>0.0107673711540663</v>
      </c>
      <c r="I159" s="52" t="n">
        <f aca="false">IF(AND(ISNUMBER($G159),$G159&gt;=MA_SHORT),AVERAGE(INDEX($C$5:$C159,156-MA_SHORT):$C159),"")</f>
        <v>804173136</v>
      </c>
      <c r="J159" s="52" t="n">
        <f aca="false">IF(AND(ISNUMBER($G159),$G159&gt;=MA_MED),AVERAGE(INDEX($C$5:$C159,156-MA_MED):$C159),"")</f>
        <v>798395863.92</v>
      </c>
      <c r="K159" s="52" t="str">
        <f aca="false">IF(AND(ISNUMBER($G159),$G159&gt;=MA_LONG2),AVERAGE(INDEX($C$5:$C159,156-MA_LONG2):$C159),"")</f>
        <v/>
      </c>
      <c r="L159" s="53" t="n">
        <f aca="false">IF(AND(ISNUMBER($G159),$G159&gt;=21),STDEV(INDEX($H$99:$H159,62-20):$H159)*SQRT(245),"")</f>
        <v>0.17562683615952</v>
      </c>
      <c r="M159" s="52" t="n">
        <f aca="false">IF(AND(ISNUMBER($G159),$G159&gt;=60),MAX(INDEX($D$5:$D159,156-60):$D159),"")</f>
        <v>864406858</v>
      </c>
      <c r="N159" s="52" t="n">
        <f aca="false">IF(AND(ISNUMBER($G159),$G159&gt;=60),MIN(INDEX($E$5:$E159,156-60):$E159),"")</f>
        <v>745115955</v>
      </c>
      <c r="O159" s="53" t="n">
        <f aca="false">IF(OR(NOT(ISNUMBER($C159)),NOT(ISNUMBER($M159)),$M159=0),"",$C159/$M159-1)</f>
        <v>-0.122687050685107</v>
      </c>
      <c r="P159" s="54"/>
      <c r="Q159" s="53" t="str">
        <f aca="false">IF(NOT(ISNUMBER($P159)),"",IFERROR(PERCENTRANK($P$5:$P$1204,$P159),""))</f>
        <v/>
      </c>
    </row>
    <row r="160" customFormat="false" ht="15" hidden="false" customHeight="false" outlineLevel="0" collapsed="false">
      <c r="A160" s="47" t="n">
        <v>45787</v>
      </c>
      <c r="B160" s="48" t="s">
        <v>308</v>
      </c>
      <c r="C160" s="49" t="n">
        <v>754911371</v>
      </c>
      <c r="D160" s="49" t="n">
        <v>756067602</v>
      </c>
      <c r="E160" s="49" t="n">
        <v>752844022</v>
      </c>
      <c r="F160" s="49" t="n">
        <v>0</v>
      </c>
      <c r="G160" s="50" t="n">
        <f aca="false">IF($A160="","",IF(ISNUMBER($G159),$G159+1,1))</f>
        <v>156</v>
      </c>
      <c r="H160" s="51" t="n">
        <f aca="false">IF(OR(NOT(ISNUMBER($G160)),$G160&lt;2,NOT(ISNUMBER($C159)),$C159=0),"",$C160/$C159-1)</f>
        <v>-0.00454135266643407</v>
      </c>
      <c r="I160" s="52" t="n">
        <f aca="false">IF(AND(ISNUMBER($G160),$G160&gt;=MA_SHORT),AVERAGE(INDEX($C$5:$C160,157-MA_SHORT):$C160),"")</f>
        <v>800020579.55</v>
      </c>
      <c r="J160" s="52" t="n">
        <f aca="false">IF(AND(ISNUMBER($G160),$G160&gt;=MA_MED),AVERAGE(INDEX($C$5:$C160,157-MA_MED):$C160),"")</f>
        <v>797919709.7</v>
      </c>
      <c r="K160" s="52" t="str">
        <f aca="false">IF(AND(ISNUMBER($G160),$G160&gt;=MA_LONG2),AVERAGE(INDEX($C$5:$C160,157-MA_LONG2):$C160),"")</f>
        <v/>
      </c>
      <c r="L160" s="53" t="n">
        <f aca="false">IF(AND(ISNUMBER($G160),$G160&gt;=21),STDEV(INDEX($H$100:$H160,62-20):$H160)*SQRT(245),"")</f>
        <v>0.1704760603272</v>
      </c>
      <c r="M160" s="52" t="n">
        <f aca="false">IF(AND(ISNUMBER($G160),$G160&gt;=60),MAX(INDEX($D$5:$D160,157-60):$D160),"")</f>
        <v>864406858</v>
      </c>
      <c r="N160" s="52" t="n">
        <f aca="false">IF(AND(ISNUMBER($G160),$G160&gt;=60),MIN(INDEX($E$5:$E160,157-60):$E160),"")</f>
        <v>745115955</v>
      </c>
      <c r="O160" s="53" t="n">
        <f aca="false">IF(OR(NOT(ISNUMBER($C160)),NOT(ISNUMBER($M160)),$M160=0),"",$C160/$M160-1)</f>
        <v>-0.126671238186775</v>
      </c>
      <c r="P160" s="54"/>
      <c r="Q160" s="53" t="str">
        <f aca="false">IF(NOT(ISNUMBER($P160)),"",IFERROR(PERCENTRANK($P$5:$P$1204,$P160),""))</f>
        <v/>
      </c>
    </row>
    <row r="161" customFormat="false" ht="15" hidden="false" customHeight="false" outlineLevel="0" collapsed="false">
      <c r="A161" s="47" t="n">
        <v>45788</v>
      </c>
      <c r="B161" s="48" t="s">
        <v>309</v>
      </c>
      <c r="C161" s="49" t="n">
        <v>752201542</v>
      </c>
      <c r="D161" s="49" t="n">
        <v>754497184</v>
      </c>
      <c r="E161" s="49" t="n">
        <v>751794941</v>
      </c>
      <c r="F161" s="49" t="n">
        <v>0</v>
      </c>
      <c r="G161" s="50" t="n">
        <f aca="false">IF($A161="","",IF(ISNUMBER($G160),$G160+1,1))</f>
        <v>157</v>
      </c>
      <c r="H161" s="51" t="n">
        <f aca="false">IF(OR(NOT(ISNUMBER($G161)),$G161&lt;2,NOT(ISNUMBER($C160)),$C160=0),"",$C161/$C160-1)</f>
        <v>-0.00358959886431487</v>
      </c>
      <c r="I161" s="52" t="n">
        <f aca="false">IF(AND(ISNUMBER($G161),$G161&gt;=MA_SHORT),AVERAGE(INDEX($C$5:$C161,158-MA_SHORT):$C161),"")</f>
        <v>795177673.55</v>
      </c>
      <c r="J161" s="52" t="n">
        <f aca="false">IF(AND(ISNUMBER($G161),$G161&gt;=MA_MED),AVERAGE(INDEX($C$5:$C161,158-MA_MED):$C161),"")</f>
        <v>797348496.18</v>
      </c>
      <c r="K161" s="52" t="str">
        <f aca="false">IF(AND(ISNUMBER($G161),$G161&gt;=MA_LONG2),AVERAGE(INDEX($C$5:$C161,158-MA_LONG2):$C161),"")</f>
        <v/>
      </c>
      <c r="L161" s="53" t="n">
        <f aca="false">IF(AND(ISNUMBER($G161),$G161&gt;=21),STDEV(INDEX($H$101:$H161,62-20):$H161)*SQRT(245),"")</f>
        <v>0.15668171666558</v>
      </c>
      <c r="M161" s="52" t="n">
        <f aca="false">IF(AND(ISNUMBER($G161),$G161&gt;=60),MAX(INDEX($D$5:$D161,158-60):$D161),"")</f>
        <v>864406858</v>
      </c>
      <c r="N161" s="52" t="n">
        <f aca="false">IF(AND(ISNUMBER($G161),$G161&gt;=60),MIN(INDEX($E$5:$E161,158-60):$E161),"")</f>
        <v>745115955</v>
      </c>
      <c r="O161" s="53" t="n">
        <f aca="false">IF(OR(NOT(ISNUMBER($C161)),NOT(ISNUMBER($M161)),$M161=0),"",$C161/$M161-1)</f>
        <v>-0.129806138118354</v>
      </c>
      <c r="P161" s="54"/>
      <c r="Q161" s="53" t="str">
        <f aca="false">IF(NOT(ISNUMBER($P161)),"",IFERROR(PERCENTRANK($P$5:$P$1204,$P161),""))</f>
        <v/>
      </c>
    </row>
    <row r="162" customFormat="false" ht="15" hidden="false" customHeight="false" outlineLevel="0" collapsed="false">
      <c r="A162" s="47" t="n">
        <v>45789</v>
      </c>
      <c r="B162" s="48" t="s">
        <v>310</v>
      </c>
      <c r="C162" s="49" t="n">
        <v>759405407</v>
      </c>
      <c r="D162" s="49" t="n">
        <v>764204761</v>
      </c>
      <c r="E162" s="49" t="n">
        <v>759332012</v>
      </c>
      <c r="F162" s="49" t="n">
        <v>0</v>
      </c>
      <c r="G162" s="50" t="n">
        <f aca="false">IF($A162="","",IF(ISNUMBER($G161),$G161+1,1))</f>
        <v>158</v>
      </c>
      <c r="H162" s="51" t="n">
        <f aca="false">IF(OR(NOT(ISNUMBER($G162)),$G162&lt;2,NOT(ISNUMBER($C161)),$C161=0),"",$C162/$C161-1)</f>
        <v>0.00957704098936829</v>
      </c>
      <c r="I162" s="52" t="n">
        <f aca="false">IF(AND(ISNUMBER($G162),$G162&gt;=MA_SHORT),AVERAGE(INDEX($C$5:$C162,159-MA_SHORT):$C162),"")</f>
        <v>790371541.35</v>
      </c>
      <c r="J162" s="52" t="n">
        <f aca="false">IF(AND(ISNUMBER($G162),$G162&gt;=MA_MED),AVERAGE(INDEX($C$5:$C162,159-MA_MED):$C162),"")</f>
        <v>797161620.3</v>
      </c>
      <c r="K162" s="52" t="str">
        <f aca="false">IF(AND(ISNUMBER($G162),$G162&gt;=MA_LONG2),AVERAGE(INDEX($C$5:$C162,159-MA_LONG2):$C162),"")</f>
        <v/>
      </c>
      <c r="L162" s="53" t="n">
        <f aca="false">IF(AND(ISNUMBER($G162),$G162&gt;=21),STDEV(INDEX($H$102:$H162,62-20):$H162)*SQRT(245),"")</f>
        <v>0.159008127139365</v>
      </c>
      <c r="M162" s="52" t="n">
        <f aca="false">IF(AND(ISNUMBER($G162),$G162&gt;=60),MAX(INDEX($D$5:$D162,159-60):$D162),"")</f>
        <v>864406858</v>
      </c>
      <c r="N162" s="52" t="n">
        <f aca="false">IF(AND(ISNUMBER($G162),$G162&gt;=60),MIN(INDEX($E$5:$E162,159-60):$E162),"")</f>
        <v>745115955</v>
      </c>
      <c r="O162" s="53" t="n">
        <f aca="false">IF(OR(NOT(ISNUMBER($C162)),NOT(ISNUMBER($M162)),$M162=0),"",$C162/$M162-1)</f>
        <v>-0.121472255834416</v>
      </c>
      <c r="P162" s="54"/>
      <c r="Q162" s="53" t="str">
        <f aca="false">IF(NOT(ISNUMBER($P162)),"",IFERROR(PERCENTRANK($P$5:$P$1204,$P162),""))</f>
        <v/>
      </c>
    </row>
    <row r="163" customFormat="false" ht="15" hidden="false" customHeight="false" outlineLevel="0" collapsed="false">
      <c r="A163" s="47" t="n">
        <v>45790</v>
      </c>
      <c r="B163" s="48" t="s">
        <v>311</v>
      </c>
      <c r="C163" s="49" t="n">
        <v>763104061</v>
      </c>
      <c r="D163" s="49" t="n">
        <v>767658245</v>
      </c>
      <c r="E163" s="49" t="n">
        <v>760852361</v>
      </c>
      <c r="F163" s="49" t="n">
        <v>0</v>
      </c>
      <c r="G163" s="50" t="n">
        <f aca="false">IF($A163="","",IF(ISNUMBER($G162),$G162+1,1))</f>
        <v>159</v>
      </c>
      <c r="H163" s="51" t="n">
        <f aca="false">IF(OR(NOT(ISNUMBER($G163)),$G163&lt;2,NOT(ISNUMBER($C162)),$C162=0),"",$C163/$C162-1)</f>
        <v>0.00487046044959216</v>
      </c>
      <c r="I163" s="52" t="n">
        <f aca="false">IF(AND(ISNUMBER($G163),$G163&gt;=MA_SHORT),AVERAGE(INDEX($C$5:$C163,160-MA_SHORT):$C163),"")</f>
        <v>785590484.3</v>
      </c>
      <c r="J163" s="52" t="n">
        <f aca="false">IF(AND(ISNUMBER($G163),$G163&gt;=MA_MED),AVERAGE(INDEX($C$5:$C163,160-MA_MED):$C163),"")</f>
        <v>796978657.9</v>
      </c>
      <c r="K163" s="52" t="str">
        <f aca="false">IF(AND(ISNUMBER($G163),$G163&gt;=MA_LONG2),AVERAGE(INDEX($C$5:$C163,160-MA_LONG2):$C163),"")</f>
        <v/>
      </c>
      <c r="L163" s="53" t="n">
        <f aca="false">IF(AND(ISNUMBER($G163),$G163&gt;=21),STDEV(INDEX($H$103:$H163,62-20):$H163)*SQRT(245),"")</f>
        <v>0.159939932193746</v>
      </c>
      <c r="M163" s="52" t="n">
        <f aca="false">IF(AND(ISNUMBER($G163),$G163&gt;=60),MAX(INDEX($D$5:$D163,160-60):$D163),"")</f>
        <v>864406858</v>
      </c>
      <c r="N163" s="52" t="n">
        <f aca="false">IF(AND(ISNUMBER($G163),$G163&gt;=60),MIN(INDEX($E$5:$E163,160-60):$E163),"")</f>
        <v>745115955</v>
      </c>
      <c r="O163" s="53" t="n">
        <f aca="false">IF(OR(NOT(ISNUMBER($C163)),NOT(ISNUMBER($M163)),$M163=0),"",$C163/$M163-1)</f>
        <v>-0.117193421202588</v>
      </c>
      <c r="P163" s="54"/>
      <c r="Q163" s="53" t="str">
        <f aca="false">IF(NOT(ISNUMBER($P163)),"",IFERROR(PERCENTRANK($P$5:$P$1204,$P163),""))</f>
        <v/>
      </c>
    </row>
    <row r="164" customFormat="false" ht="15" hidden="false" customHeight="false" outlineLevel="0" collapsed="false">
      <c r="A164" s="47" t="n">
        <v>45791</v>
      </c>
      <c r="B164" s="48" t="s">
        <v>312</v>
      </c>
      <c r="C164" s="49" t="n">
        <v>776146603</v>
      </c>
      <c r="D164" s="49" t="n">
        <v>777522414</v>
      </c>
      <c r="E164" s="49" t="n">
        <v>774647652</v>
      </c>
      <c r="F164" s="49" t="n">
        <v>0</v>
      </c>
      <c r="G164" s="50" t="n">
        <f aca="false">IF($A164="","",IF(ISNUMBER($G163),$G163+1,1))</f>
        <v>160</v>
      </c>
      <c r="H164" s="51" t="n">
        <f aca="false">IF(OR(NOT(ISNUMBER($G164)),$G164&lt;2,NOT(ISNUMBER($C163)),$C163=0),"",$C164/$C163-1)</f>
        <v>0.017091433090932</v>
      </c>
      <c r="I164" s="52" t="n">
        <f aca="false">IF(AND(ISNUMBER($G164),$G164&gt;=MA_SHORT),AVERAGE(INDEX($C$5:$C164,161-MA_SHORT):$C164),"")</f>
        <v>781769001.7</v>
      </c>
      <c r="J164" s="52" t="n">
        <f aca="false">IF(AND(ISNUMBER($G164),$G164&gt;=MA_MED),AVERAGE(INDEX($C$5:$C164,161-MA_MED):$C164),"")</f>
        <v>796856673.5</v>
      </c>
      <c r="K164" s="52" t="str">
        <f aca="false">IF(AND(ISNUMBER($G164),$G164&gt;=MA_LONG2),AVERAGE(INDEX($C$5:$C164,161-MA_LONG2):$C164),"")</f>
        <v/>
      </c>
      <c r="L164" s="53" t="n">
        <f aca="false">IF(AND(ISNUMBER($G164),$G164&gt;=21),STDEV(INDEX($H$104:$H164,62-20):$H164)*SQRT(245),"")</f>
        <v>0.178765036309759</v>
      </c>
      <c r="M164" s="52" t="n">
        <f aca="false">IF(AND(ISNUMBER($G164),$G164&gt;=60),MAX(INDEX($D$5:$D164,161-60):$D164),"")</f>
        <v>864406858</v>
      </c>
      <c r="N164" s="52" t="n">
        <f aca="false">IF(AND(ISNUMBER($G164),$G164&gt;=60),MIN(INDEX($E$5:$E164,161-60):$E164),"")</f>
        <v>745115955</v>
      </c>
      <c r="O164" s="53" t="n">
        <f aca="false">IF(OR(NOT(ISNUMBER($C164)),NOT(ISNUMBER($M164)),$M164=0),"",$C164/$M164-1)</f>
        <v>-0.102104991628838</v>
      </c>
      <c r="P164" s="54"/>
      <c r="Q164" s="53" t="str">
        <f aca="false">IF(NOT(ISNUMBER($P164)),"",IFERROR(PERCENTRANK($P$5:$P$1204,$P164),""))</f>
        <v/>
      </c>
    </row>
    <row r="165" customFormat="false" ht="15" hidden="false" customHeight="false" outlineLevel="0" collapsed="false">
      <c r="A165" s="47" t="n">
        <v>45794</v>
      </c>
      <c r="B165" s="48" t="s">
        <v>313</v>
      </c>
      <c r="C165" s="49" t="n">
        <v>779046044</v>
      </c>
      <c r="D165" s="49" t="n">
        <v>779878628</v>
      </c>
      <c r="E165" s="49" t="n">
        <v>777980982</v>
      </c>
      <c r="F165" s="49" t="n">
        <v>0</v>
      </c>
      <c r="G165" s="50" t="n">
        <f aca="false">IF($A165="","",IF(ISNUMBER($G164),$G164+1,1))</f>
        <v>161</v>
      </c>
      <c r="H165" s="51" t="n">
        <f aca="false">IF(OR(NOT(ISNUMBER($G165)),$G165&lt;2,NOT(ISNUMBER($C164)),$C164=0),"",$C165/$C164-1)</f>
        <v>0.00373568728999518</v>
      </c>
      <c r="I165" s="52" t="n">
        <f aca="false">IF(AND(ISNUMBER($G165),$G165&gt;=MA_SHORT),AVERAGE(INDEX($C$5:$C165,162-MA_SHORT):$C165),"")</f>
        <v>778488526.35</v>
      </c>
      <c r="J165" s="52" t="n">
        <f aca="false">IF(AND(ISNUMBER($G165),$G165&gt;=MA_MED),AVERAGE(INDEX($C$5:$C165,162-MA_MED):$C165),"")</f>
        <v>796718401.78</v>
      </c>
      <c r="K165" s="52" t="str">
        <f aca="false">IF(AND(ISNUMBER($G165),$G165&gt;=MA_LONG2),AVERAGE(INDEX($C$5:$C165,162-MA_LONG2):$C165),"")</f>
        <v/>
      </c>
      <c r="L165" s="53" t="n">
        <f aca="false">IF(AND(ISNUMBER($G165),$G165&gt;=21),STDEV(INDEX($H$105:$H165,62-20):$H165)*SQRT(245),"")</f>
        <v>0.180187442041978</v>
      </c>
      <c r="M165" s="52" t="n">
        <f aca="false">IF(AND(ISNUMBER($G165),$G165&gt;=60),MAX(INDEX($D$5:$D165,162-60):$D165),"")</f>
        <v>864406858</v>
      </c>
      <c r="N165" s="52" t="n">
        <f aca="false">IF(AND(ISNUMBER($G165),$G165&gt;=60),MIN(INDEX($E$5:$E165,162-60):$E165),"")</f>
        <v>745115955</v>
      </c>
      <c r="O165" s="53" t="n">
        <f aca="false">IF(OR(NOT(ISNUMBER($C165)),NOT(ISNUMBER($M165)),$M165=0),"",$C165/$M165-1)</f>
        <v>-0.0987507366583156</v>
      </c>
      <c r="P165" s="54"/>
      <c r="Q165" s="53" t="str">
        <f aca="false">IF(NOT(ISNUMBER($P165)),"",IFERROR(PERCENTRANK($P$5:$P$1204,$P165),""))</f>
        <v/>
      </c>
    </row>
    <row r="166" customFormat="false" ht="15" hidden="false" customHeight="false" outlineLevel="0" collapsed="false">
      <c r="A166" s="47" t="n">
        <v>45795</v>
      </c>
      <c r="B166" s="48" t="s">
        <v>314</v>
      </c>
      <c r="C166" s="49" t="n">
        <v>769871241</v>
      </c>
      <c r="D166" s="49" t="n">
        <v>774409505</v>
      </c>
      <c r="E166" s="49" t="n">
        <v>765432053</v>
      </c>
      <c r="F166" s="49" t="n">
        <v>0</v>
      </c>
      <c r="G166" s="50" t="n">
        <f aca="false">IF($A166="","",IF(ISNUMBER($G165),$G165+1,1))</f>
        <v>162</v>
      </c>
      <c r="H166" s="51" t="n">
        <f aca="false">IF(OR(NOT(ISNUMBER($G166)),$G166&lt;2,NOT(ISNUMBER($C165)),$C165=0),"",$C166/$C165-1)</f>
        <v>-0.0117769714263513</v>
      </c>
      <c r="I166" s="52" t="n">
        <f aca="false">IF(AND(ISNUMBER($G166),$G166&gt;=MA_SHORT),AVERAGE(INDEX($C$5:$C166,163-MA_SHORT):$C166),"")</f>
        <v>774854506.65</v>
      </c>
      <c r="J166" s="52" t="n">
        <f aca="false">IF(AND(ISNUMBER($G166),$G166&gt;=MA_MED),AVERAGE(INDEX($C$5:$C166,163-MA_MED):$C166),"")</f>
        <v>796281606.46</v>
      </c>
      <c r="K166" s="52" t="str">
        <f aca="false">IF(AND(ISNUMBER($G166),$G166&gt;=MA_LONG2),AVERAGE(INDEX($C$5:$C166,163-MA_LONG2):$C166),"")</f>
        <v/>
      </c>
      <c r="L166" s="53" t="n">
        <f aca="false">IF(AND(ISNUMBER($G166),$G166&gt;=21),STDEV(INDEX($H$106:$H166,62-20):$H166)*SQRT(245),"")</f>
        <v>0.182124288230588</v>
      </c>
      <c r="M166" s="52" t="n">
        <f aca="false">IF(AND(ISNUMBER($G166),$G166&gt;=60),MAX(INDEX($D$5:$D166,163-60):$D166),"")</f>
        <v>864406858</v>
      </c>
      <c r="N166" s="52" t="n">
        <f aca="false">IF(AND(ISNUMBER($G166),$G166&gt;=60),MIN(INDEX($E$5:$E166,163-60):$E166),"")</f>
        <v>745115955</v>
      </c>
      <c r="O166" s="53" t="n">
        <f aca="false">IF(OR(NOT(ISNUMBER($C166)),NOT(ISNUMBER($M166)),$M166=0),"",$C166/$M166-1)</f>
        <v>-0.109364723480711</v>
      </c>
      <c r="P166" s="54"/>
      <c r="Q166" s="53" t="str">
        <f aca="false">IF(NOT(ISNUMBER($P166)),"",IFERROR(PERCENTRANK($P$5:$P$1204,$P166),""))</f>
        <v/>
      </c>
    </row>
    <row r="167" customFormat="false" ht="15" hidden="false" customHeight="false" outlineLevel="0" collapsed="false">
      <c r="A167" s="47" t="n">
        <v>45796</v>
      </c>
      <c r="B167" s="48" t="s">
        <v>315</v>
      </c>
      <c r="C167" s="49" t="n">
        <v>769398592</v>
      </c>
      <c r="D167" s="49" t="n">
        <v>769924526</v>
      </c>
      <c r="E167" s="49" t="n">
        <v>768745047</v>
      </c>
      <c r="F167" s="49" t="n">
        <v>0</v>
      </c>
      <c r="G167" s="50" t="n">
        <f aca="false">IF($A167="","",IF(ISNUMBER($G166),$G166+1,1))</f>
        <v>163</v>
      </c>
      <c r="H167" s="51" t="n">
        <f aca="false">IF(OR(NOT(ISNUMBER($G167)),$G167&lt;2,NOT(ISNUMBER($C166)),$C166=0),"",$C167/$C166-1)</f>
        <v>-0.000613932531608907</v>
      </c>
      <c r="I167" s="52" t="n">
        <f aca="false">IF(AND(ISNUMBER($G167),$G167&gt;=MA_SHORT),AVERAGE(INDEX($C$5:$C167,164-MA_SHORT):$C167),"")</f>
        <v>772003725.5</v>
      </c>
      <c r="J167" s="52" t="n">
        <f aca="false">IF(AND(ISNUMBER($G167),$G167&gt;=MA_MED),AVERAGE(INDEX($C$5:$C167,164-MA_MED):$C167),"")</f>
        <v>795830022.82</v>
      </c>
      <c r="K167" s="52" t="str">
        <f aca="false">IF(AND(ISNUMBER($G167),$G167&gt;=MA_LONG2),AVERAGE(INDEX($C$5:$C167,164-MA_LONG2):$C167),"")</f>
        <v/>
      </c>
      <c r="L167" s="53" t="n">
        <f aca="false">IF(AND(ISNUMBER($G167),$G167&gt;=21),STDEV(INDEX($H$107:$H167,62-20):$H167)*SQRT(245),"")</f>
        <v>0.174192622046595</v>
      </c>
      <c r="M167" s="52" t="n">
        <f aca="false">IF(AND(ISNUMBER($G167),$G167&gt;=60),MAX(INDEX($D$5:$D167,164-60):$D167),"")</f>
        <v>864406858</v>
      </c>
      <c r="N167" s="52" t="n">
        <f aca="false">IF(AND(ISNUMBER($G167),$G167&gt;=60),MIN(INDEX($E$5:$E167,164-60):$E167),"")</f>
        <v>745115955</v>
      </c>
      <c r="O167" s="53" t="n">
        <f aca="false">IF(OR(NOT(ISNUMBER($C167)),NOT(ISNUMBER($M167)),$M167=0),"",$C167/$M167-1)</f>
        <v>-0.109911513450764</v>
      </c>
      <c r="P167" s="54"/>
      <c r="Q167" s="53" t="str">
        <f aca="false">IF(NOT(ISNUMBER($P167)),"",IFERROR(PERCENTRANK($P$5:$P$1204,$P167),""))</f>
        <v/>
      </c>
    </row>
    <row r="168" customFormat="false" ht="15" hidden="false" customHeight="false" outlineLevel="0" collapsed="false">
      <c r="A168" s="47" t="n">
        <v>45797</v>
      </c>
      <c r="B168" s="48" t="s">
        <v>316</v>
      </c>
      <c r="C168" s="49" t="n">
        <v>756818251</v>
      </c>
      <c r="D168" s="49" t="n">
        <v>760165336</v>
      </c>
      <c r="E168" s="49" t="n">
        <v>755583502</v>
      </c>
      <c r="F168" s="49" t="n">
        <v>0</v>
      </c>
      <c r="G168" s="50" t="n">
        <f aca="false">IF($A168="","",IF(ISNUMBER($G167),$G167+1,1))</f>
        <v>164</v>
      </c>
      <c r="H168" s="51" t="n">
        <f aca="false">IF(OR(NOT(ISNUMBER($G168)),$G168&lt;2,NOT(ISNUMBER($C167)),$C167=0),"",$C168/$C167-1)</f>
        <v>-0.0163508760359156</v>
      </c>
      <c r="I168" s="52" t="n">
        <f aca="false">IF(AND(ISNUMBER($G168),$G168&gt;=MA_SHORT),AVERAGE(INDEX($C$5:$C168,165-MA_SHORT):$C168),"")</f>
        <v>769353920</v>
      </c>
      <c r="J168" s="52" t="n">
        <f aca="false">IF(AND(ISNUMBER($G168),$G168&gt;=MA_MED),AVERAGE(INDEX($C$5:$C168,165-MA_MED):$C168),"")</f>
        <v>795056900.22</v>
      </c>
      <c r="K168" s="52" t="str">
        <f aca="false">IF(AND(ISNUMBER($G168),$G168&gt;=MA_LONG2),AVERAGE(INDEX($C$5:$C168,165-MA_LONG2):$C168),"")</f>
        <v/>
      </c>
      <c r="L168" s="53" t="n">
        <f aca="false">IF(AND(ISNUMBER($G168),$G168&gt;=21),STDEV(INDEX($H$108:$H168,62-20):$H168)*SQRT(245),"")</f>
        <v>0.170049666206003</v>
      </c>
      <c r="M168" s="52" t="n">
        <f aca="false">IF(AND(ISNUMBER($G168),$G168&gt;=60),MAX(INDEX($D$5:$D168,165-60):$D168),"")</f>
        <v>864406858</v>
      </c>
      <c r="N168" s="52" t="n">
        <f aca="false">IF(AND(ISNUMBER($G168),$G168&gt;=60),MIN(INDEX($E$5:$E168,165-60):$E168),"")</f>
        <v>745115955</v>
      </c>
      <c r="O168" s="53" t="n">
        <f aca="false">IF(OR(NOT(ISNUMBER($C168)),NOT(ISNUMBER($M168)),$M168=0),"",$C168/$M168-1)</f>
        <v>-0.124465239955327</v>
      </c>
      <c r="P168" s="54"/>
      <c r="Q168" s="53" t="str">
        <f aca="false">IF(NOT(ISNUMBER($P168)),"",IFERROR(PERCENTRANK($P$5:$P$1204,$P168),""))</f>
        <v/>
      </c>
    </row>
    <row r="169" customFormat="false" ht="15" hidden="false" customHeight="false" outlineLevel="0" collapsed="false">
      <c r="A169" s="47" t="n">
        <v>45798</v>
      </c>
      <c r="B169" s="48" t="s">
        <v>317</v>
      </c>
      <c r="C169" s="49" t="n">
        <v>766753402</v>
      </c>
      <c r="D169" s="49" t="n">
        <v>767451425</v>
      </c>
      <c r="E169" s="49" t="n">
        <v>763895952</v>
      </c>
      <c r="F169" s="49" t="n">
        <v>0</v>
      </c>
      <c r="G169" s="50" t="n">
        <f aca="false">IF($A169="","",IF(ISNUMBER($G168),$G168+1,1))</f>
        <v>165</v>
      </c>
      <c r="H169" s="51" t="n">
        <f aca="false">IF(OR(NOT(ISNUMBER($G169)),$G169&lt;2,NOT(ISNUMBER($C168)),$C168=0),"",$C169/$C168-1)</f>
        <v>0.0131275256468413</v>
      </c>
      <c r="I169" s="52" t="n">
        <f aca="false">IF(AND(ISNUMBER($G169),$G169&gt;=MA_SHORT),AVERAGE(INDEX($C$5:$C169,166-MA_SHORT):$C169),"")</f>
        <v>767200216.95</v>
      </c>
      <c r="J169" s="52" t="n">
        <f aca="false">IF(AND(ISNUMBER($G169),$G169&gt;=MA_MED),AVERAGE(INDEX($C$5:$C169,166-MA_MED):$C169),"")</f>
        <v>794415267.9</v>
      </c>
      <c r="K169" s="52" t="str">
        <f aca="false">IF(AND(ISNUMBER($G169),$G169&gt;=MA_LONG2),AVERAGE(INDEX($C$5:$C169,166-MA_LONG2):$C169),"")</f>
        <v/>
      </c>
      <c r="L169" s="53" t="n">
        <f aca="false">IF(AND(ISNUMBER($G169),$G169&gt;=21),STDEV(INDEX($H$109:$H169,62-20):$H169)*SQRT(245),"")</f>
        <v>0.179308513263436</v>
      </c>
      <c r="M169" s="52" t="n">
        <f aca="false">IF(AND(ISNUMBER($G169),$G169&gt;=60),MAX(INDEX($D$5:$D169,166-60):$D169),"")</f>
        <v>864406858</v>
      </c>
      <c r="N169" s="52" t="n">
        <f aca="false">IF(AND(ISNUMBER($G169),$G169&gt;=60),MIN(INDEX($E$5:$E169,166-60):$E169),"")</f>
        <v>745115955</v>
      </c>
      <c r="O169" s="53" t="n">
        <f aca="false">IF(OR(NOT(ISNUMBER($C169)),NOT(ISNUMBER($M169)),$M169=0),"",$C169/$M169-1)</f>
        <v>-0.112971634938139</v>
      </c>
      <c r="P169" s="54"/>
      <c r="Q169" s="53" t="str">
        <f aca="false">IF(NOT(ISNUMBER($P169)),"",IFERROR(PERCENTRANK($P$5:$P$1204,$P169),""))</f>
        <v/>
      </c>
    </row>
    <row r="170" customFormat="false" ht="15" hidden="false" customHeight="false" outlineLevel="0" collapsed="false">
      <c r="A170" s="47" t="n">
        <v>45801</v>
      </c>
      <c r="B170" s="48" t="s">
        <v>318</v>
      </c>
      <c r="C170" s="49" t="n">
        <v>756746402</v>
      </c>
      <c r="D170" s="49" t="n">
        <v>758602014</v>
      </c>
      <c r="E170" s="49" t="n">
        <v>754660959</v>
      </c>
      <c r="F170" s="49" t="n">
        <v>0</v>
      </c>
      <c r="G170" s="50" t="n">
        <f aca="false">IF($A170="","",IF(ISNUMBER($G169),$G169+1,1))</f>
        <v>166</v>
      </c>
      <c r="H170" s="51" t="n">
        <f aca="false">IF(OR(NOT(ISNUMBER($G170)),$G170&lt;2,NOT(ISNUMBER($C169)),$C169=0),"",$C170/$C169-1)</f>
        <v>-0.0130511321813477</v>
      </c>
      <c r="I170" s="52" t="n">
        <f aca="false">IF(AND(ISNUMBER($G170),$G170&gt;=MA_SHORT),AVERAGE(INDEX($C$5:$C170,167-MA_SHORT):$C170),"")</f>
        <v>765106278.35</v>
      </c>
      <c r="J170" s="52" t="n">
        <f aca="false">IF(AND(ISNUMBER($G170),$G170&gt;=MA_MED),AVERAGE(INDEX($C$5:$C170,167-MA_MED):$C170),"")</f>
        <v>793667829.08</v>
      </c>
      <c r="K170" s="52" t="str">
        <f aca="false">IF(AND(ISNUMBER($G170),$G170&gt;=MA_LONG2),AVERAGE(INDEX($C$5:$C170,167-MA_LONG2):$C170),"")</f>
        <v/>
      </c>
      <c r="L170" s="53" t="n">
        <f aca="false">IF(AND(ISNUMBER($G170),$G170&gt;=21),STDEV(INDEX($H$110:$H170,62-20):$H170)*SQRT(245),"")</f>
        <v>0.178700561698965</v>
      </c>
      <c r="M170" s="52" t="n">
        <f aca="false">IF(AND(ISNUMBER($G170),$G170&gt;=60),MAX(INDEX($D$5:$D170,167-60):$D170),"")</f>
        <v>864406858</v>
      </c>
      <c r="N170" s="52" t="n">
        <f aca="false">IF(AND(ISNUMBER($G170),$G170&gt;=60),MIN(INDEX($E$5:$E170,167-60):$E170),"")</f>
        <v>745115955</v>
      </c>
      <c r="O170" s="53" t="n">
        <f aca="false">IF(OR(NOT(ISNUMBER($C170)),NOT(ISNUMBER($M170)),$M170=0),"",$C170/$M170-1)</f>
        <v>-0.124548359379166</v>
      </c>
      <c r="P170" s="54"/>
      <c r="Q170" s="53" t="str">
        <f aca="false">IF(NOT(ISNUMBER($P170)),"",IFERROR(PERCENTRANK($P$5:$P$1204,$P170),""))</f>
        <v/>
      </c>
    </row>
    <row r="171" customFormat="false" ht="15" hidden="false" customHeight="false" outlineLevel="0" collapsed="false">
      <c r="A171" s="47" t="n">
        <v>45802</v>
      </c>
      <c r="B171" s="48" t="s">
        <v>319</v>
      </c>
      <c r="C171" s="49" t="n">
        <v>757864478</v>
      </c>
      <c r="D171" s="49" t="n">
        <v>762170763</v>
      </c>
      <c r="E171" s="49" t="n">
        <v>754356537</v>
      </c>
      <c r="F171" s="49" t="n">
        <v>0</v>
      </c>
      <c r="G171" s="50" t="n">
        <f aca="false">IF($A171="","",IF(ISNUMBER($G170),$G170+1,1))</f>
        <v>167</v>
      </c>
      <c r="H171" s="51" t="n">
        <f aca="false">IF(OR(NOT(ISNUMBER($G171)),$G171&lt;2,NOT(ISNUMBER($C170)),$C170=0),"",$C171/$C170-1)</f>
        <v>0.00147747778786278</v>
      </c>
      <c r="I171" s="52" t="n">
        <f aca="false">IF(AND(ISNUMBER($G171),$G171&gt;=MA_SHORT),AVERAGE(INDEX($C$5:$C171,168-MA_SHORT):$C171),"")</f>
        <v>762910296.2</v>
      </c>
      <c r="J171" s="52" t="n">
        <f aca="false">IF(AND(ISNUMBER($G171),$G171&gt;=MA_MED),AVERAGE(INDEX($C$5:$C171,168-MA_MED):$C171),"")</f>
        <v>792963440.52</v>
      </c>
      <c r="K171" s="52" t="str">
        <f aca="false">IF(AND(ISNUMBER($G171),$G171&gt;=MA_LONG2),AVERAGE(INDEX($C$5:$C171,168-MA_LONG2):$C171),"")</f>
        <v/>
      </c>
      <c r="L171" s="53" t="n">
        <f aca="false">IF(AND(ISNUMBER($G171),$G171&gt;=21),STDEV(INDEX($H$111:$H171,62-20):$H171)*SQRT(245),"")</f>
        <v>0.1777313164576</v>
      </c>
      <c r="M171" s="52" t="n">
        <f aca="false">IF(AND(ISNUMBER($G171),$G171&gt;=60),MAX(INDEX($D$5:$D171,168-60):$D171),"")</f>
        <v>864406858</v>
      </c>
      <c r="N171" s="52" t="n">
        <f aca="false">IF(AND(ISNUMBER($G171),$G171&gt;=60),MIN(INDEX($E$5:$E171,168-60):$E171),"")</f>
        <v>745115955</v>
      </c>
      <c r="O171" s="53" t="n">
        <f aca="false">IF(OR(NOT(ISNUMBER($C171)),NOT(ISNUMBER($M171)),$M171=0),"",$C171/$M171-1)</f>
        <v>-0.123254899025801</v>
      </c>
      <c r="P171" s="54"/>
      <c r="Q171" s="53" t="str">
        <f aca="false">IF(NOT(ISNUMBER($P171)),"",IFERROR(PERCENTRANK($P$5:$P$1204,$P171),""))</f>
        <v/>
      </c>
    </row>
    <row r="172" customFormat="false" ht="15" hidden="false" customHeight="false" outlineLevel="0" collapsed="false">
      <c r="A172" s="47" t="n">
        <v>45803</v>
      </c>
      <c r="B172" s="48" t="s">
        <v>320</v>
      </c>
      <c r="C172" s="49" t="n">
        <v>761710361</v>
      </c>
      <c r="D172" s="49" t="n">
        <v>762601621</v>
      </c>
      <c r="E172" s="49" t="n">
        <v>756406675</v>
      </c>
      <c r="F172" s="49" t="n">
        <v>0</v>
      </c>
      <c r="G172" s="50" t="n">
        <f aca="false">IF($A172="","",IF(ISNUMBER($G171),$G171+1,1))</f>
        <v>168</v>
      </c>
      <c r="H172" s="51" t="n">
        <f aca="false">IF(OR(NOT(ISNUMBER($G172)),$G172&lt;2,NOT(ISNUMBER($C171)),$C171=0),"",$C172/$C171-1)</f>
        <v>0.0050746315622936</v>
      </c>
      <c r="I172" s="52" t="n">
        <f aca="false">IF(AND(ISNUMBER($G172),$G172&gt;=MA_SHORT),AVERAGE(INDEX($C$5:$C172,169-MA_SHORT):$C172),"")</f>
        <v>761819200.5</v>
      </c>
      <c r="J172" s="52" t="n">
        <f aca="false">IF(AND(ISNUMBER($G172),$G172&gt;=MA_MED),AVERAGE(INDEX($C$5:$C172,169-MA_MED):$C172),"")</f>
        <v>792139130.28</v>
      </c>
      <c r="K172" s="52" t="str">
        <f aca="false">IF(AND(ISNUMBER($G172),$G172&gt;=MA_LONG2),AVERAGE(INDEX($C$5:$C172,169-MA_LONG2):$C172),"")</f>
        <v/>
      </c>
      <c r="L172" s="53" t="n">
        <f aca="false">IF(AND(ISNUMBER($G172),$G172&gt;=21),STDEV(INDEX($H$112:$H172,62-20):$H172)*SQRT(245),"")</f>
        <v>0.163444360013596</v>
      </c>
      <c r="M172" s="52" t="n">
        <f aca="false">IF(AND(ISNUMBER($G172),$G172&gt;=60),MAX(INDEX($D$5:$D172,169-60):$D172),"")</f>
        <v>864406858</v>
      </c>
      <c r="N172" s="52" t="n">
        <f aca="false">IF(AND(ISNUMBER($G172),$G172&gt;=60),MIN(INDEX($E$5:$E172,169-60):$E172),"")</f>
        <v>745115955</v>
      </c>
      <c r="O172" s="53" t="n">
        <f aca="false">IF(OR(NOT(ISNUMBER($C172)),NOT(ISNUMBER($M172)),$M172=0),"",$C172/$M172-1)</f>
        <v>-0.118805740664311</v>
      </c>
      <c r="P172" s="54"/>
      <c r="Q172" s="53" t="str">
        <f aca="false">IF(NOT(ISNUMBER($P172)),"",IFERROR(PERCENTRANK($P$5:$P$1204,$P172),""))</f>
        <v/>
      </c>
    </row>
    <row r="173" customFormat="false" ht="15" hidden="false" customHeight="false" outlineLevel="0" collapsed="false">
      <c r="A173" s="47" t="n">
        <v>45804</v>
      </c>
      <c r="B173" s="48" t="s">
        <v>321</v>
      </c>
      <c r="C173" s="49" t="n">
        <v>776501300</v>
      </c>
      <c r="D173" s="49" t="n">
        <v>777056745</v>
      </c>
      <c r="E173" s="49" t="n">
        <v>774391429</v>
      </c>
      <c r="F173" s="49" t="n">
        <v>0</v>
      </c>
      <c r="G173" s="50" t="n">
        <f aca="false">IF($A173="","",IF(ISNUMBER($G172),$G172+1,1))</f>
        <v>169</v>
      </c>
      <c r="H173" s="51" t="n">
        <f aca="false">IF(OR(NOT(ISNUMBER($G173)),$G173&lt;2,NOT(ISNUMBER($C172)),$C172=0),"",$C173/$C172-1)</f>
        <v>0.0194180619790729</v>
      </c>
      <c r="I173" s="52" t="n">
        <f aca="false">IF(AND(ISNUMBER($G173),$G173&gt;=MA_SHORT),AVERAGE(INDEX($C$5:$C173,170-MA_SHORT):$C173),"")</f>
        <v>762086629</v>
      </c>
      <c r="J173" s="52" t="n">
        <f aca="false">IF(AND(ISNUMBER($G173),$G173&gt;=MA_MED),AVERAGE(INDEX($C$5:$C173,170-MA_MED):$C173),"")</f>
        <v>791750474.04</v>
      </c>
      <c r="K173" s="52" t="str">
        <f aca="false">IF(AND(ISNUMBER($G173),$G173&gt;=MA_LONG2),AVERAGE(INDEX($C$5:$C173,170-MA_LONG2):$C173),"")</f>
        <v/>
      </c>
      <c r="L173" s="53" t="n">
        <f aca="false">IF(AND(ISNUMBER($G173),$G173&gt;=21),STDEV(INDEX($H$113:$H173,62-20):$H173)*SQRT(245),"")</f>
        <v>0.169682875293966</v>
      </c>
      <c r="M173" s="52" t="n">
        <f aca="false">IF(AND(ISNUMBER($G173),$G173&gt;=60),MAX(INDEX($D$5:$D173,170-60):$D173),"")</f>
        <v>864406858</v>
      </c>
      <c r="N173" s="52" t="n">
        <f aca="false">IF(AND(ISNUMBER($G173),$G173&gt;=60),MIN(INDEX($E$5:$E173,170-60):$E173),"")</f>
        <v>745115955</v>
      </c>
      <c r="O173" s="53" t="n">
        <f aca="false">IF(OR(NOT(ISNUMBER($C173)),NOT(ISNUMBER($M173)),$M173=0),"",$C173/$M173-1)</f>
        <v>-0.101694655920927</v>
      </c>
      <c r="P173" s="54"/>
      <c r="Q173" s="53" t="str">
        <f aca="false">IF(NOT(ISNUMBER($P173)),"",IFERROR(PERCENTRANK($P$5:$P$1204,$P173),""))</f>
        <v/>
      </c>
    </row>
    <row r="174" customFormat="false" ht="15" hidden="false" customHeight="false" outlineLevel="0" collapsed="false">
      <c r="A174" s="47" t="n">
        <v>45805</v>
      </c>
      <c r="B174" s="48" t="s">
        <v>322</v>
      </c>
      <c r="C174" s="49" t="n">
        <v>779194753</v>
      </c>
      <c r="D174" s="49" t="n">
        <v>782719223</v>
      </c>
      <c r="E174" s="49" t="n">
        <v>777056244</v>
      </c>
      <c r="F174" s="49" t="n">
        <v>0</v>
      </c>
      <c r="G174" s="50" t="n">
        <f aca="false">IF($A174="","",IF(ISNUMBER($G173),$G173+1,1))</f>
        <v>170</v>
      </c>
      <c r="H174" s="51" t="n">
        <f aca="false">IF(OR(NOT(ISNUMBER($G174)),$G174&lt;2,NOT(ISNUMBER($C173)),$C173=0),"",$C174/$C173-1)</f>
        <v>0.0034687037871024</v>
      </c>
      <c r="I174" s="52" t="n">
        <f aca="false">IF(AND(ISNUMBER($G174),$G174&gt;=MA_SHORT),AVERAGE(INDEX($C$5:$C174,171-MA_SHORT):$C174),"")</f>
        <v>762453447.65</v>
      </c>
      <c r="J174" s="52" t="n">
        <f aca="false">IF(AND(ISNUMBER($G174),$G174&gt;=MA_MED),AVERAGE(INDEX($C$5:$C174,171-MA_MED):$C174),"")</f>
        <v>791493682.62</v>
      </c>
      <c r="K174" s="52" t="str">
        <f aca="false">IF(AND(ISNUMBER($G174),$G174&gt;=MA_LONG2),AVERAGE(INDEX($C$5:$C174,171-MA_LONG2):$C174),"")</f>
        <v/>
      </c>
      <c r="L174" s="53" t="n">
        <f aca="false">IF(AND(ISNUMBER($G174),$G174&gt;=21),STDEV(INDEX($H$114:$H174,62-20):$H174)*SQRT(245),"")</f>
        <v>0.17001760126045</v>
      </c>
      <c r="M174" s="52" t="n">
        <f aca="false">IF(AND(ISNUMBER($G174),$G174&gt;=60),MAX(INDEX($D$5:$D174,171-60):$D174),"")</f>
        <v>864406858</v>
      </c>
      <c r="N174" s="52" t="n">
        <f aca="false">IF(AND(ISNUMBER($G174),$G174&gt;=60),MIN(INDEX($E$5:$E174,171-60):$E174),"")</f>
        <v>745115955</v>
      </c>
      <c r="O174" s="53" t="n">
        <f aca="false">IF(OR(NOT(ISNUMBER($C174)),NOT(ISNUMBER($M174)),$M174=0),"",$C174/$M174-1)</f>
        <v>-0.098578700771946</v>
      </c>
      <c r="P174" s="54"/>
      <c r="Q174" s="53" t="str">
        <f aca="false">IF(NOT(ISNUMBER($P174)),"",IFERROR(PERCENTRANK($P$5:$P$1204,$P174),""))</f>
        <v/>
      </c>
    </row>
    <row r="175" customFormat="false" ht="15" hidden="false" customHeight="false" outlineLevel="0" collapsed="false">
      <c r="A175" s="47" t="n">
        <v>45808</v>
      </c>
      <c r="B175" s="48" t="s">
        <v>323</v>
      </c>
      <c r="C175" s="49" t="n">
        <v>789948134</v>
      </c>
      <c r="D175" s="49" t="n">
        <v>791850190</v>
      </c>
      <c r="E175" s="49" t="n">
        <v>787068625</v>
      </c>
      <c r="F175" s="49" t="n">
        <v>0</v>
      </c>
      <c r="G175" s="50" t="n">
        <f aca="false">IF($A175="","",IF(ISNUMBER($G174),$G174+1,1))</f>
        <v>171</v>
      </c>
      <c r="H175" s="51" t="n">
        <f aca="false">IF(OR(NOT(ISNUMBER($G175)),$G175&lt;2,NOT(ISNUMBER($C174)),$C174=0),"",$C175/$C174-1)</f>
        <v>0.0138006332288534</v>
      </c>
      <c r="I175" s="52" t="n">
        <f aca="false">IF(AND(ISNUMBER($G175),$G175&gt;=MA_SHORT),AVERAGE(INDEX($C$5:$C175,172-MA_SHORT):$C175),"")</f>
        <v>763951282.85</v>
      </c>
      <c r="J175" s="52" t="n">
        <f aca="false">IF(AND(ISNUMBER($G175),$G175&gt;=MA_MED),AVERAGE(INDEX($C$5:$C175,172-MA_MED):$C175),"")</f>
        <v>791226709.48</v>
      </c>
      <c r="K175" s="52" t="str">
        <f aca="false">IF(AND(ISNUMBER($G175),$G175&gt;=MA_LONG2),AVERAGE(INDEX($C$5:$C175,172-MA_LONG2):$C175),"")</f>
        <v/>
      </c>
      <c r="L175" s="53" t="n">
        <f aca="false">IF(AND(ISNUMBER($G175),$G175&gt;=21),STDEV(INDEX($H$115:$H175,62-20):$H175)*SQRT(245),"")</f>
        <v>0.165429567238644</v>
      </c>
      <c r="M175" s="52" t="n">
        <f aca="false">IF(AND(ISNUMBER($G175),$G175&gt;=60),MAX(INDEX($D$5:$D175,172-60):$D175),"")</f>
        <v>864406858</v>
      </c>
      <c r="N175" s="52" t="n">
        <f aca="false">IF(AND(ISNUMBER($G175),$G175&gt;=60),MIN(INDEX($E$5:$E175,172-60):$E175),"")</f>
        <v>745115955</v>
      </c>
      <c r="O175" s="53" t="n">
        <f aca="false">IF(OR(NOT(ISNUMBER($C175)),NOT(ISNUMBER($M175)),$M175=0),"",$C175/$M175-1)</f>
        <v>-0.0861385160366232</v>
      </c>
      <c r="P175" s="54"/>
      <c r="Q175" s="53" t="str">
        <f aca="false">IF(NOT(ISNUMBER($P175)),"",IFERROR(PERCENTRANK($P$5:$P$1204,$P175),""))</f>
        <v/>
      </c>
    </row>
    <row r="176" customFormat="false" ht="15" hidden="false" customHeight="false" outlineLevel="0" collapsed="false">
      <c r="A176" s="47" t="n">
        <v>45809</v>
      </c>
      <c r="B176" s="48" t="s">
        <v>324</v>
      </c>
      <c r="C176" s="49" t="n">
        <v>806499864</v>
      </c>
      <c r="D176" s="49" t="n">
        <v>807837706</v>
      </c>
      <c r="E176" s="49" t="n">
        <v>803951420</v>
      </c>
      <c r="F176" s="49" t="n">
        <v>0</v>
      </c>
      <c r="G176" s="50" t="n">
        <f aca="false">IF($A176="","",IF(ISNUMBER($G175),$G175+1,1))</f>
        <v>172</v>
      </c>
      <c r="H176" s="51" t="n">
        <f aca="false">IF(OR(NOT(ISNUMBER($G176)),$G176&lt;2,NOT(ISNUMBER($C175)),$C175=0),"",$C176/$C175-1)</f>
        <v>0.0209529325883564</v>
      </c>
      <c r="I176" s="52" t="n">
        <f aca="false">IF(AND(ISNUMBER($G176),$G176&gt;=MA_SHORT),AVERAGE(INDEX($C$5:$C176,173-MA_SHORT):$C176),"")</f>
        <v>766859730.5</v>
      </c>
      <c r="J176" s="52" t="n">
        <f aca="false">IF(AND(ISNUMBER($G176),$G176&gt;=MA_MED),AVERAGE(INDEX($C$5:$C176,173-MA_MED):$C176),"")</f>
        <v>791702288.76</v>
      </c>
      <c r="K176" s="52" t="str">
        <f aca="false">IF(AND(ISNUMBER($G176),$G176&gt;=MA_LONG2),AVERAGE(INDEX($C$5:$C176,173-MA_LONG2):$C176),"")</f>
        <v/>
      </c>
      <c r="L176" s="53" t="n">
        <f aca="false">IF(AND(ISNUMBER($G176),$G176&gt;=21),STDEV(INDEX($H$116:$H176,62-20):$H176)*SQRT(245),"")</f>
        <v>0.165173817341242</v>
      </c>
      <c r="M176" s="52" t="n">
        <f aca="false">IF(AND(ISNUMBER($G176),$G176&gt;=60),MAX(INDEX($D$5:$D176,173-60):$D176),"")</f>
        <v>864406858</v>
      </c>
      <c r="N176" s="52" t="n">
        <f aca="false">IF(AND(ISNUMBER($G176),$G176&gt;=60),MIN(INDEX($E$5:$E176,173-60):$E176),"")</f>
        <v>745115955</v>
      </c>
      <c r="O176" s="53" t="n">
        <f aca="false">IF(OR(NOT(ISNUMBER($C176)),NOT(ISNUMBER($M176)),$M176=0),"",$C176/$M176-1)</f>
        <v>-0.0669904379680431</v>
      </c>
      <c r="P176" s="54"/>
      <c r="Q176" s="53" t="str">
        <f aca="false">IF(NOT(ISNUMBER($P176)),"",IFERROR(PERCENTRANK($P$5:$P$1204,$P176),""))</f>
        <v/>
      </c>
    </row>
    <row r="177" customFormat="false" ht="15" hidden="false" customHeight="false" outlineLevel="0" collapsed="false">
      <c r="A177" s="47" t="n">
        <v>45810</v>
      </c>
      <c r="B177" s="48" t="s">
        <v>325</v>
      </c>
      <c r="C177" s="49" t="n">
        <v>807936114</v>
      </c>
      <c r="D177" s="49" t="n">
        <v>808927254</v>
      </c>
      <c r="E177" s="49" t="n">
        <v>807217796</v>
      </c>
      <c r="F177" s="49" t="n">
        <v>0</v>
      </c>
      <c r="G177" s="50" t="n">
        <f aca="false">IF($A177="","",IF(ISNUMBER($G176),$G176+1,1))</f>
        <v>173</v>
      </c>
      <c r="H177" s="51" t="n">
        <f aca="false">IF(OR(NOT(ISNUMBER($G177)),$G177&lt;2,NOT(ISNUMBER($C176)),$C176=0),"",$C177/$C176-1)</f>
        <v>0.00178084344971441</v>
      </c>
      <c r="I177" s="52" t="n">
        <f aca="false">IF(AND(ISNUMBER($G177),$G177&gt;=MA_SHORT),AVERAGE(INDEX($C$5:$C177,174-MA_SHORT):$C177),"")</f>
        <v>769634503.55</v>
      </c>
      <c r="J177" s="52" t="n">
        <f aca="false">IF(AND(ISNUMBER($G177),$G177&gt;=MA_MED),AVERAGE(INDEX($C$5:$C177,174-MA_MED):$C177),"")</f>
        <v>792116481.64</v>
      </c>
      <c r="K177" s="52" t="str">
        <f aca="false">IF(AND(ISNUMBER($G177),$G177&gt;=MA_LONG2),AVERAGE(INDEX($C$5:$C177,174-MA_LONG2):$C177),"")</f>
        <v/>
      </c>
      <c r="L177" s="53" t="n">
        <f aca="false">IF(AND(ISNUMBER($G177),$G177&gt;=21),STDEV(INDEX($H$117:$H177,62-20):$H177)*SQRT(245),"")</f>
        <v>0.165195131397944</v>
      </c>
      <c r="M177" s="52" t="n">
        <f aca="false">IF(AND(ISNUMBER($G177),$G177&gt;=60),MAX(INDEX($D$5:$D177,174-60):$D177),"")</f>
        <v>864406858</v>
      </c>
      <c r="N177" s="52" t="n">
        <f aca="false">IF(AND(ISNUMBER($G177),$G177&gt;=60),MIN(INDEX($E$5:$E177,174-60):$E177),"")</f>
        <v>745115955</v>
      </c>
      <c r="O177" s="53" t="n">
        <f aca="false">IF(OR(NOT(ISNUMBER($C177)),NOT(ISNUMBER($M177)),$M177=0),"",$C177/$M177-1)</f>
        <v>-0.0653288940009775</v>
      </c>
      <c r="P177" s="54"/>
      <c r="Q177" s="53" t="str">
        <f aca="false">IF(NOT(ISNUMBER($P177)),"",IFERROR(PERCENTRANK($P$5:$P$1204,$P177),""))</f>
        <v/>
      </c>
    </row>
    <row r="178" customFormat="false" ht="15" hidden="false" customHeight="false" outlineLevel="0" collapsed="false">
      <c r="A178" s="47" t="n">
        <v>45811</v>
      </c>
      <c r="B178" s="48" t="s">
        <v>326</v>
      </c>
      <c r="C178" s="49" t="n">
        <v>814216926</v>
      </c>
      <c r="D178" s="49" t="n">
        <v>818705063</v>
      </c>
      <c r="E178" s="49" t="n">
        <v>809774981</v>
      </c>
      <c r="F178" s="49" t="n">
        <v>0</v>
      </c>
      <c r="G178" s="50" t="n">
        <f aca="false">IF($A178="","",IF(ISNUMBER($G177),$G177+1,1))</f>
        <v>174</v>
      </c>
      <c r="H178" s="51" t="n">
        <f aca="false">IF(OR(NOT(ISNUMBER($G178)),$G178&lt;2,NOT(ISNUMBER($C177)),$C177=0),"",$C178/$C177-1)</f>
        <v>0.00777389683561047</v>
      </c>
      <c r="I178" s="52" t="n">
        <f aca="false">IF(AND(ISNUMBER($G178),$G178&gt;=MA_SHORT),AVERAGE(INDEX($C$5:$C178,175-MA_SHORT):$C178),"")</f>
        <v>772831508.8</v>
      </c>
      <c r="J178" s="52" t="n">
        <f aca="false">IF(AND(ISNUMBER($G178),$G178&gt;=MA_MED),AVERAGE(INDEX($C$5:$C178,175-MA_MED):$C178),"")</f>
        <v>792734966.16</v>
      </c>
      <c r="K178" s="52" t="str">
        <f aca="false">IF(AND(ISNUMBER($G178),$G178&gt;=MA_LONG2),AVERAGE(INDEX($C$5:$C178,175-MA_LONG2):$C178),"")</f>
        <v/>
      </c>
      <c r="L178" s="53" t="n">
        <f aca="false">IF(AND(ISNUMBER($G178),$G178&gt;=21),STDEV(INDEX($H$118:$H178,62-20):$H178)*SQRT(245),"")</f>
        <v>0.163998460453102</v>
      </c>
      <c r="M178" s="52" t="n">
        <f aca="false">IF(AND(ISNUMBER($G178),$G178&gt;=60),MAX(INDEX($D$5:$D178,175-60):$D178),"")</f>
        <v>864406858</v>
      </c>
      <c r="N178" s="52" t="n">
        <f aca="false">IF(AND(ISNUMBER($G178),$G178&gt;=60),MIN(INDEX($E$5:$E178,175-60):$E178),"")</f>
        <v>745115955</v>
      </c>
      <c r="O178" s="53" t="n">
        <f aca="false">IF(OR(NOT(ISNUMBER($C178)),NOT(ISNUMBER($M178)),$M178=0),"",$C178/$M178-1)</f>
        <v>-0.0580628572477152</v>
      </c>
      <c r="P178" s="54"/>
      <c r="Q178" s="53" t="str">
        <f aca="false">IF(NOT(ISNUMBER($P178)),"",IFERROR(PERCENTRANK($P$5:$P$1204,$P178),""))</f>
        <v/>
      </c>
    </row>
    <row r="179" customFormat="false" ht="15" hidden="false" customHeight="false" outlineLevel="0" collapsed="false">
      <c r="A179" s="47" t="n">
        <v>45812</v>
      </c>
      <c r="B179" s="48" t="s">
        <v>327</v>
      </c>
      <c r="C179" s="49" t="n">
        <v>815882992</v>
      </c>
      <c r="D179" s="49" t="n">
        <v>817445553</v>
      </c>
      <c r="E179" s="49" t="n">
        <v>814303077</v>
      </c>
      <c r="F179" s="49" t="n">
        <v>0</v>
      </c>
      <c r="G179" s="50" t="n">
        <f aca="false">IF($A179="","",IF(ISNUMBER($G178),$G178+1,1))</f>
        <v>175</v>
      </c>
      <c r="H179" s="51" t="n">
        <f aca="false">IF(OR(NOT(ISNUMBER($G179)),$G179&lt;2,NOT(ISNUMBER($C178)),$C178=0),"",$C179/$C178-1)</f>
        <v>0.00204621882301681</v>
      </c>
      <c r="I179" s="52" t="n">
        <f aca="false">IF(AND(ISNUMBER($G179),$G179&gt;=MA_SHORT),AVERAGE(INDEX($C$5:$C179,176-MA_SHORT):$C179),"")</f>
        <v>775707891.9</v>
      </c>
      <c r="J179" s="52" t="n">
        <f aca="false">IF(AND(ISNUMBER($G179),$G179&gt;=MA_MED),AVERAGE(INDEX($C$5:$C179,176-MA_MED):$C179),"")</f>
        <v>792925701.9</v>
      </c>
      <c r="K179" s="52" t="str">
        <f aca="false">IF(AND(ISNUMBER($G179),$G179&gt;=MA_LONG2),AVERAGE(INDEX($C$5:$C179,176-MA_LONG2):$C179),"")</f>
        <v/>
      </c>
      <c r="L179" s="53" t="n">
        <f aca="false">IF(AND(ISNUMBER($G179),$G179&gt;=21),STDEV(INDEX($H$119:$H179,62-20):$H179)*SQRT(245),"")</f>
        <v>0.16229230457955</v>
      </c>
      <c r="M179" s="52" t="n">
        <f aca="false">IF(AND(ISNUMBER($G179),$G179&gt;=60),MAX(INDEX($D$5:$D179,176-60):$D179),"")</f>
        <v>864406858</v>
      </c>
      <c r="N179" s="52" t="n">
        <f aca="false">IF(AND(ISNUMBER($G179),$G179&gt;=60),MIN(INDEX($E$5:$E179,176-60):$E179),"")</f>
        <v>745115955</v>
      </c>
      <c r="O179" s="53" t="n">
        <f aca="false">IF(OR(NOT(ISNUMBER($C179)),NOT(ISNUMBER($M179)),$M179=0),"",$C179/$M179-1)</f>
        <v>-0.0561354477361169</v>
      </c>
      <c r="P179" s="54"/>
      <c r="Q179" s="53" t="str">
        <f aca="false">IF(NOT(ISNUMBER($P179)),"",IFERROR(PERCENTRANK($P$5:$P$1204,$P179),""))</f>
        <v/>
      </c>
    </row>
    <row r="180" customFormat="false" ht="15" hidden="false" customHeight="false" outlineLevel="0" collapsed="false">
      <c r="A180" s="47" t="n">
        <v>45815</v>
      </c>
      <c r="B180" s="48" t="s">
        <v>328</v>
      </c>
      <c r="C180" s="49" t="n">
        <v>815487723</v>
      </c>
      <c r="D180" s="49" t="n">
        <v>820056000</v>
      </c>
      <c r="E180" s="49" t="n">
        <v>812392879</v>
      </c>
      <c r="F180" s="49" t="n">
        <v>0</v>
      </c>
      <c r="G180" s="50" t="n">
        <f aca="false">IF($A180="","",IF(ISNUMBER($G179),$G179+1,1))</f>
        <v>176</v>
      </c>
      <c r="H180" s="51" t="n">
        <f aca="false">IF(OR(NOT(ISNUMBER($G180)),$G180&lt;2,NOT(ISNUMBER($C179)),$C179=0),"",$C180/$C179-1)</f>
        <v>-0.000484467753189777</v>
      </c>
      <c r="I180" s="52" t="n">
        <f aca="false">IF(AND(ISNUMBER($G180),$G180&gt;=MA_SHORT),AVERAGE(INDEX($C$5:$C180,177-MA_SHORT):$C180),"")</f>
        <v>778736709.5</v>
      </c>
      <c r="J180" s="52" t="n">
        <f aca="false">IF(AND(ISNUMBER($G180),$G180&gt;=MA_MED),AVERAGE(INDEX($C$5:$C180,177-MA_MED):$C180),"")</f>
        <v>793124357.5</v>
      </c>
      <c r="K180" s="52" t="str">
        <f aca="false">IF(AND(ISNUMBER($G180),$G180&gt;=MA_LONG2),AVERAGE(INDEX($C$5:$C180,177-MA_LONG2):$C180),"")</f>
        <v/>
      </c>
      <c r="L180" s="53" t="n">
        <f aca="false">IF(AND(ISNUMBER($G180),$G180&gt;=21),STDEV(INDEX($H$120:$H180,62-20):$H180)*SQRT(245),"")</f>
        <v>0.160239615336905</v>
      </c>
      <c r="M180" s="52" t="n">
        <f aca="false">IF(AND(ISNUMBER($G180),$G180&gt;=60),MAX(INDEX($D$5:$D180,177-60):$D180),"")</f>
        <v>864406858</v>
      </c>
      <c r="N180" s="52" t="n">
        <f aca="false">IF(AND(ISNUMBER($G180),$G180&gt;=60),MIN(INDEX($E$5:$E180,177-60):$E180),"")</f>
        <v>745115955</v>
      </c>
      <c r="O180" s="53" t="n">
        <f aca="false">IF(OR(NOT(ISNUMBER($C180)),NOT(ISNUMBER($M180)),$M180=0),"",$C180/$M180-1)</f>
        <v>-0.0565927196750676</v>
      </c>
      <c r="P180" s="54"/>
      <c r="Q180" s="53" t="str">
        <f aca="false">IF(NOT(ISNUMBER($P180)),"",IFERROR(PERCENTRANK($P$5:$P$1204,$P180),""))</f>
        <v/>
      </c>
    </row>
    <row r="181" customFormat="false" ht="15" hidden="false" customHeight="false" outlineLevel="0" collapsed="false">
      <c r="A181" s="47" t="n">
        <v>45816</v>
      </c>
      <c r="B181" s="48" t="s">
        <v>329</v>
      </c>
      <c r="C181" s="49" t="n">
        <v>820991523</v>
      </c>
      <c r="D181" s="49" t="n">
        <v>825865879</v>
      </c>
      <c r="E181" s="49" t="n">
        <v>819648163</v>
      </c>
      <c r="F181" s="49" t="n">
        <v>0</v>
      </c>
      <c r="G181" s="50" t="n">
        <f aca="false">IF($A181="","",IF(ISNUMBER($G180),$G180+1,1))</f>
        <v>177</v>
      </c>
      <c r="H181" s="51" t="n">
        <f aca="false">IF(OR(NOT(ISNUMBER($G181)),$G181&lt;2,NOT(ISNUMBER($C180)),$C180=0),"",$C181/$C180-1)</f>
        <v>0.00674908995533707</v>
      </c>
      <c r="I181" s="52" t="n">
        <f aca="false">IF(AND(ISNUMBER($G181),$G181&gt;=MA_SHORT),AVERAGE(INDEX($C$5:$C181,178-MA_SHORT):$C181),"")</f>
        <v>782176208.55</v>
      </c>
      <c r="J181" s="52" t="n">
        <f aca="false">IF(AND(ISNUMBER($G181),$G181&gt;=MA_MED),AVERAGE(INDEX($C$5:$C181,178-MA_MED):$C181),"")</f>
        <v>793693437.66</v>
      </c>
      <c r="K181" s="52" t="str">
        <f aca="false">IF(AND(ISNUMBER($G181),$G181&gt;=MA_LONG2),AVERAGE(INDEX($C$5:$C181,178-MA_LONG2):$C181),"")</f>
        <v/>
      </c>
      <c r="L181" s="53" t="n">
        <f aca="false">IF(AND(ISNUMBER($G181),$G181&gt;=21),STDEV(INDEX($H$121:$H181,62-20):$H181)*SQRT(245),"")</f>
        <v>0.158065781096557</v>
      </c>
      <c r="M181" s="52" t="n">
        <f aca="false">IF(AND(ISNUMBER($G181),$G181&gt;=60),MAX(INDEX($D$5:$D181,178-60):$D181),"")</f>
        <v>864406858</v>
      </c>
      <c r="N181" s="52" t="n">
        <f aca="false">IF(AND(ISNUMBER($G181),$G181&gt;=60),MIN(INDEX($E$5:$E181,178-60):$E181),"")</f>
        <v>745115955</v>
      </c>
      <c r="O181" s="53" t="n">
        <f aca="false">IF(OR(NOT(ISNUMBER($C181)),NOT(ISNUMBER($M181)),$M181=0),"",$C181/$M181-1)</f>
        <v>-0.0502255790756347</v>
      </c>
      <c r="P181" s="54"/>
      <c r="Q181" s="53" t="str">
        <f aca="false">IF(NOT(ISNUMBER($P181)),"",IFERROR(PERCENTRANK($P$5:$P$1204,$P181),""))</f>
        <v/>
      </c>
    </row>
    <row r="182" customFormat="false" ht="15" hidden="false" customHeight="false" outlineLevel="0" collapsed="false">
      <c r="A182" s="47" t="n">
        <v>45817</v>
      </c>
      <c r="B182" s="48" t="s">
        <v>330</v>
      </c>
      <c r="C182" s="49" t="n">
        <v>820647279</v>
      </c>
      <c r="D182" s="49" t="n">
        <v>820855340</v>
      </c>
      <c r="E182" s="49" t="n">
        <v>816212097</v>
      </c>
      <c r="F182" s="49" t="n">
        <v>0</v>
      </c>
      <c r="G182" s="50" t="n">
        <f aca="false">IF($A182="","",IF(ISNUMBER($G181),$G181+1,1))</f>
        <v>178</v>
      </c>
      <c r="H182" s="51" t="n">
        <f aca="false">IF(OR(NOT(ISNUMBER($G182)),$G182&lt;2,NOT(ISNUMBER($C181)),$C181=0),"",$C182/$C181-1)</f>
        <v>-0.000419302745955363</v>
      </c>
      <c r="I182" s="52" t="n">
        <f aca="false">IF(AND(ISNUMBER($G182),$G182&gt;=MA_SHORT),AVERAGE(INDEX($C$5:$C182,179-MA_SHORT):$C182),"")</f>
        <v>785238302.15</v>
      </c>
      <c r="J182" s="52" t="n">
        <f aca="false">IF(AND(ISNUMBER($G182),$G182&gt;=MA_MED),AVERAGE(INDEX($C$5:$C182,179-MA_MED):$C182),"")</f>
        <v>794338866.62</v>
      </c>
      <c r="K182" s="52" t="str">
        <f aca="false">IF(AND(ISNUMBER($G182),$G182&gt;=MA_LONG2),AVERAGE(INDEX($C$5:$C182,179-MA_LONG2):$C182),"")</f>
        <v/>
      </c>
      <c r="L182" s="53" t="n">
        <f aca="false">IF(AND(ISNUMBER($G182),$G182&gt;=21),STDEV(INDEX($H$122:$H182,62-20):$H182)*SQRT(245),"")</f>
        <v>0.157742996779261</v>
      </c>
      <c r="M182" s="52" t="n">
        <f aca="false">IF(AND(ISNUMBER($G182),$G182&gt;=60),MAX(INDEX($D$5:$D182,179-60):$D182),"")</f>
        <v>864406858</v>
      </c>
      <c r="N182" s="52" t="n">
        <f aca="false">IF(AND(ISNUMBER($G182),$G182&gt;=60),MIN(INDEX($E$5:$E182,179-60):$E182),"")</f>
        <v>745115955</v>
      </c>
      <c r="O182" s="53" t="n">
        <f aca="false">IF(OR(NOT(ISNUMBER($C182)),NOT(ISNUMBER($M182)),$M182=0),"",$C182/$M182-1)</f>
        <v>-0.0506238220983666</v>
      </c>
      <c r="P182" s="54"/>
      <c r="Q182" s="53" t="str">
        <f aca="false">IF(NOT(ISNUMBER($P182)),"",IFERROR(PERCENTRANK($P$5:$P$1204,$P182),""))</f>
        <v/>
      </c>
    </row>
    <row r="183" customFormat="false" ht="15" hidden="false" customHeight="false" outlineLevel="0" collapsed="false">
      <c r="A183" s="47" t="n">
        <v>45818</v>
      </c>
      <c r="B183" s="48" t="s">
        <v>331</v>
      </c>
      <c r="C183" s="49" t="n">
        <v>827308851</v>
      </c>
      <c r="D183" s="49" t="n">
        <v>828578738</v>
      </c>
      <c r="E183" s="49" t="n">
        <v>821895657</v>
      </c>
      <c r="F183" s="49" t="n">
        <v>0</v>
      </c>
      <c r="G183" s="50" t="n">
        <f aca="false">IF($A183="","",IF(ISNUMBER($G182),$G182+1,1))</f>
        <v>179</v>
      </c>
      <c r="H183" s="51" t="n">
        <f aca="false">IF(OR(NOT(ISNUMBER($G183)),$G183&lt;2,NOT(ISNUMBER($C182)),$C182=0),"",$C183/$C182-1)</f>
        <v>0.00811746065632168</v>
      </c>
      <c r="I183" s="52" t="n">
        <f aca="false">IF(AND(ISNUMBER($G183),$G183&gt;=MA_SHORT),AVERAGE(INDEX($C$5:$C183,180-MA_SHORT):$C183),"")</f>
        <v>788448541.65</v>
      </c>
      <c r="J183" s="52" t="n">
        <f aca="false">IF(AND(ISNUMBER($G183),$G183&gt;=MA_MED),AVERAGE(INDEX($C$5:$C183,180-MA_MED):$C183),"")</f>
        <v>795000606.42</v>
      </c>
      <c r="K183" s="52" t="str">
        <f aca="false">IF(AND(ISNUMBER($G183),$G183&gt;=MA_LONG2),AVERAGE(INDEX($C$5:$C183,180-MA_LONG2):$C183),"")</f>
        <v/>
      </c>
      <c r="L183" s="53" t="n">
        <f aca="false">IF(AND(ISNUMBER($G183),$G183&gt;=21),STDEV(INDEX($H$123:$H183,62-20):$H183)*SQRT(245),"")</f>
        <v>0.158399686480816</v>
      </c>
      <c r="M183" s="52" t="n">
        <f aca="false">IF(AND(ISNUMBER($G183),$G183&gt;=60),MAX(INDEX($D$5:$D183,180-60):$D183),"")</f>
        <v>864406858</v>
      </c>
      <c r="N183" s="52" t="n">
        <f aca="false">IF(AND(ISNUMBER($G183),$G183&gt;=60),MIN(INDEX($E$5:$E183,180-60):$E183),"")</f>
        <v>745115955</v>
      </c>
      <c r="O183" s="53" t="n">
        <f aca="false">IF(OR(NOT(ISNUMBER($C183)),NOT(ISNUMBER($M183)),$M183=0),"",$C183/$M183-1)</f>
        <v>-0.042917298326201</v>
      </c>
      <c r="P183" s="54"/>
      <c r="Q183" s="53" t="str">
        <f aca="false">IF(NOT(ISNUMBER($P183)),"",IFERROR(PERCENTRANK($P$5:$P$1204,$P183),""))</f>
        <v/>
      </c>
    </row>
    <row r="184" customFormat="false" ht="15" hidden="false" customHeight="false" outlineLevel="0" collapsed="false">
      <c r="A184" s="47" t="n">
        <v>45819</v>
      </c>
      <c r="B184" s="48" t="s">
        <v>332</v>
      </c>
      <c r="C184" s="49" t="n">
        <v>818847050</v>
      </c>
      <c r="D184" s="49" t="n">
        <v>823641571</v>
      </c>
      <c r="E184" s="49" t="n">
        <v>818228489</v>
      </c>
      <c r="F184" s="49" t="n">
        <v>0</v>
      </c>
      <c r="G184" s="50" t="n">
        <f aca="false">IF($A184="","",IF(ISNUMBER($G183),$G183+1,1))</f>
        <v>180</v>
      </c>
      <c r="H184" s="51" t="n">
        <f aca="false">IF(OR(NOT(ISNUMBER($G184)),$G184&lt;2,NOT(ISNUMBER($C183)),$C183=0),"",$C184/$C183-1)</f>
        <v>-0.0102281040385002</v>
      </c>
      <c r="I184" s="52" t="n">
        <f aca="false">IF(AND(ISNUMBER($G184),$G184&gt;=MA_SHORT),AVERAGE(INDEX($C$5:$C184,181-MA_SHORT):$C184),"")</f>
        <v>790583564</v>
      </c>
      <c r="J184" s="52" t="n">
        <f aca="false">IF(AND(ISNUMBER($G184),$G184&gt;=MA_MED),AVERAGE(INDEX($C$5:$C184,181-MA_MED):$C184),"")</f>
        <v>795482015.94</v>
      </c>
      <c r="K184" s="52" t="str">
        <f aca="false">IF(AND(ISNUMBER($G184),$G184&gt;=MA_LONG2),AVERAGE(INDEX($C$5:$C184,181-MA_LONG2):$C184),"")</f>
        <v/>
      </c>
      <c r="L184" s="53" t="n">
        <f aca="false">IF(AND(ISNUMBER($G184),$G184&gt;=21),STDEV(INDEX($H$124:$H184,62-20):$H184)*SQRT(245),"")</f>
        <v>0.158357965168229</v>
      </c>
      <c r="M184" s="52" t="n">
        <f aca="false">IF(AND(ISNUMBER($G184),$G184&gt;=60),MAX(INDEX($D$5:$D184,181-60):$D184),"")</f>
        <v>864406858</v>
      </c>
      <c r="N184" s="52" t="n">
        <f aca="false">IF(AND(ISNUMBER($G184),$G184&gt;=60),MIN(INDEX($E$5:$E184,181-60):$E184),"")</f>
        <v>745115955</v>
      </c>
      <c r="O184" s="53" t="n">
        <f aca="false">IF(OR(NOT(ISNUMBER($C184)),NOT(ISNUMBER($M184)),$M184=0),"",$C184/$M184-1)</f>
        <v>-0.0527064397723693</v>
      </c>
      <c r="P184" s="54"/>
      <c r="Q184" s="53" t="str">
        <f aca="false">IF(NOT(ISNUMBER($P184)),"",IFERROR(PERCENTRANK($P$5:$P$1204,$P184),""))</f>
        <v/>
      </c>
    </row>
    <row r="185" customFormat="false" ht="15" hidden="false" customHeight="false" outlineLevel="0" collapsed="false">
      <c r="A185" s="47" t="n">
        <v>45822</v>
      </c>
      <c r="B185" s="48" t="s">
        <v>333</v>
      </c>
      <c r="C185" s="49" t="n">
        <v>828606970</v>
      </c>
      <c r="D185" s="49" t="n">
        <v>828767248</v>
      </c>
      <c r="E185" s="49" t="n">
        <v>825562927</v>
      </c>
      <c r="F185" s="49" t="n">
        <v>0</v>
      </c>
      <c r="G185" s="50" t="n">
        <f aca="false">IF($A185="","",IF(ISNUMBER($G184),$G184+1,1))</f>
        <v>181</v>
      </c>
      <c r="H185" s="51" t="n">
        <f aca="false">IF(OR(NOT(ISNUMBER($G185)),$G185&lt;2,NOT(ISNUMBER($C184)),$C184=0),"",$C185/$C184-1)</f>
        <v>0.0119191001542962</v>
      </c>
      <c r="I185" s="52" t="n">
        <f aca="false">IF(AND(ISNUMBER($G185),$G185&gt;=MA_SHORT),AVERAGE(INDEX($C$5:$C185,182-MA_SHORT):$C185),"")</f>
        <v>793061610.3</v>
      </c>
      <c r="J185" s="52" t="n">
        <f aca="false">IF(AND(ISNUMBER($G185),$G185&gt;=MA_MED),AVERAGE(INDEX($C$5:$C185,182-MA_MED):$C185),"")</f>
        <v>795999087.66</v>
      </c>
      <c r="K185" s="52" t="str">
        <f aca="false">IF(AND(ISNUMBER($G185),$G185&gt;=MA_LONG2),AVERAGE(INDEX($C$5:$C185,182-MA_LONG2):$C185),"")</f>
        <v/>
      </c>
      <c r="L185" s="53" t="n">
        <f aca="false">IF(AND(ISNUMBER($G185),$G185&gt;=21),STDEV(INDEX($H$125:$H185,62-20):$H185)*SQRT(245),"")</f>
        <v>0.161585486553452</v>
      </c>
      <c r="M185" s="52" t="n">
        <f aca="false">IF(AND(ISNUMBER($G185),$G185&gt;=60),MAX(INDEX($D$5:$D185,182-60):$D185),"")</f>
        <v>864406858</v>
      </c>
      <c r="N185" s="52" t="n">
        <f aca="false">IF(AND(ISNUMBER($G185),$G185&gt;=60),MIN(INDEX($E$5:$E185,182-60):$E185),"")</f>
        <v>745115955</v>
      </c>
      <c r="O185" s="53" t="n">
        <f aca="false">IF(OR(NOT(ISNUMBER($C185)),NOT(ISNUMBER($M185)),$M185=0),"",$C185/$M185-1)</f>
        <v>-0.0414155529524963</v>
      </c>
      <c r="P185" s="54"/>
      <c r="Q185" s="53" t="str">
        <f aca="false">IF(NOT(ISNUMBER($P185)),"",IFERROR(PERCENTRANK($P$5:$P$1204,$P185),""))</f>
        <v/>
      </c>
    </row>
    <row r="186" customFormat="false" ht="15" hidden="false" customHeight="false" outlineLevel="0" collapsed="false">
      <c r="A186" s="47" t="n">
        <v>45823</v>
      </c>
      <c r="B186" s="48" t="s">
        <v>334</v>
      </c>
      <c r="C186" s="49" t="n">
        <v>851030561</v>
      </c>
      <c r="D186" s="49" t="n">
        <v>854761792</v>
      </c>
      <c r="E186" s="49" t="n">
        <v>846374233</v>
      </c>
      <c r="F186" s="49" t="n">
        <v>0</v>
      </c>
      <c r="G186" s="50" t="n">
        <f aca="false">IF($A186="","",IF(ISNUMBER($G185),$G185+1,1))</f>
        <v>182</v>
      </c>
      <c r="H186" s="51" t="n">
        <f aca="false">IF(OR(NOT(ISNUMBER($G186)),$G186&lt;2,NOT(ISNUMBER($C185)),$C185=0),"",$C186/$C185-1)</f>
        <v>0.0270617938441913</v>
      </c>
      <c r="I186" s="52" t="n">
        <f aca="false">IF(AND(ISNUMBER($G186),$G186&gt;=MA_SHORT),AVERAGE(INDEX($C$5:$C186,183-MA_SHORT):$C186),"")</f>
        <v>797119576.3</v>
      </c>
      <c r="J186" s="52" t="n">
        <f aca="false">IF(AND(ISNUMBER($G186),$G186&gt;=MA_MED),AVERAGE(INDEX($C$5:$C186,183-MA_MED):$C186),"")</f>
        <v>796844339.28</v>
      </c>
      <c r="K186" s="52" t="str">
        <f aca="false">IF(AND(ISNUMBER($G186),$G186&gt;=MA_LONG2),AVERAGE(INDEX($C$5:$C186,183-MA_LONG2):$C186),"")</f>
        <v/>
      </c>
      <c r="L186" s="53" t="n">
        <f aca="false">IF(AND(ISNUMBER($G186),$G186&gt;=21),STDEV(INDEX($H$126:$H186,62-20):$H186)*SQRT(245),"")</f>
        <v>0.172185900799382</v>
      </c>
      <c r="M186" s="52" t="n">
        <f aca="false">IF(AND(ISNUMBER($G186),$G186&gt;=60),MAX(INDEX($D$5:$D186,183-60):$D186),"")</f>
        <v>864406858</v>
      </c>
      <c r="N186" s="52" t="n">
        <f aca="false">IF(AND(ISNUMBER($G186),$G186&gt;=60),MIN(INDEX($E$5:$E186,183-60):$E186),"")</f>
        <v>745115955</v>
      </c>
      <c r="O186" s="53" t="n">
        <f aca="false">IF(OR(NOT(ISNUMBER($C186)),NOT(ISNUMBER($M186)),$M186=0),"",$C186/$M186-1)</f>
        <v>-0.0154745382642487</v>
      </c>
      <c r="P186" s="54"/>
      <c r="Q186" s="53" t="str">
        <f aca="false">IF(NOT(ISNUMBER($P186)),"",IFERROR(PERCENTRANK($P$5:$P$1204,$P186),""))</f>
        <v/>
      </c>
    </row>
    <row r="187" customFormat="false" ht="15" hidden="false" customHeight="false" outlineLevel="0" collapsed="false">
      <c r="A187" s="47" t="n">
        <v>45824</v>
      </c>
      <c r="B187" s="48" t="s">
        <v>335</v>
      </c>
      <c r="C187" s="49" t="n">
        <v>864492057</v>
      </c>
      <c r="D187" s="49" t="n">
        <v>865361213</v>
      </c>
      <c r="E187" s="49" t="n">
        <v>859880900</v>
      </c>
      <c r="F187" s="49" t="n">
        <v>0</v>
      </c>
      <c r="G187" s="50" t="n">
        <f aca="false">IF($A187="","",IF(ISNUMBER($G186),$G186+1,1))</f>
        <v>183</v>
      </c>
      <c r="H187" s="51" t="n">
        <f aca="false">IF(OR(NOT(ISNUMBER($G187)),$G187&lt;2,NOT(ISNUMBER($C186)),$C186=0),"",$C187/$C186-1)</f>
        <v>0.0158178761338279</v>
      </c>
      <c r="I187" s="52" t="n">
        <f aca="false">IF(AND(ISNUMBER($G187),$G187&gt;=MA_SHORT),AVERAGE(INDEX($C$5:$C187,184-MA_SHORT):$C187),"")</f>
        <v>801874249.55</v>
      </c>
      <c r="J187" s="52" t="n">
        <f aca="false">IF(AND(ISNUMBER($G187),$G187&gt;=MA_MED),AVERAGE(INDEX($C$5:$C187,184-MA_MED):$C187),"")</f>
        <v>797865086.62</v>
      </c>
      <c r="K187" s="52" t="str">
        <f aca="false">IF(AND(ISNUMBER($G187),$G187&gt;=MA_LONG2),AVERAGE(INDEX($C$5:$C187,184-MA_LONG2):$C187),"")</f>
        <v/>
      </c>
      <c r="L187" s="53" t="n">
        <f aca="false">IF(AND(ISNUMBER($G187),$G187&gt;=21),STDEV(INDEX($H$127:$H187,62-20):$H187)*SQRT(245),"")</f>
        <v>0.174763260859041</v>
      </c>
      <c r="M187" s="52" t="n">
        <f aca="false">IF(AND(ISNUMBER($G187),$G187&gt;=60),MAX(INDEX($D$5:$D187,184-60):$D187),"")</f>
        <v>865361213</v>
      </c>
      <c r="N187" s="52" t="n">
        <f aca="false">IF(AND(ISNUMBER($G187),$G187&gt;=60),MIN(INDEX($E$5:$E187,184-60):$E187),"")</f>
        <v>745115955</v>
      </c>
      <c r="O187" s="53" t="n">
        <f aca="false">IF(OR(NOT(ISNUMBER($C187)),NOT(ISNUMBER($M187)),$M187=0),"",$C187/$M187-1)</f>
        <v>-0.00100438520578805</v>
      </c>
      <c r="P187" s="54"/>
      <c r="Q187" s="53" t="str">
        <f aca="false">IF(NOT(ISNUMBER($P187)),"",IFERROR(PERCENTRANK($P$5:$P$1204,$P187),""))</f>
        <v/>
      </c>
    </row>
    <row r="188" customFormat="false" ht="15" hidden="false" customHeight="false" outlineLevel="0" collapsed="false">
      <c r="A188" s="47" t="n">
        <v>45825</v>
      </c>
      <c r="B188" s="48" t="s">
        <v>336</v>
      </c>
      <c r="C188" s="49" t="n">
        <v>853100528</v>
      </c>
      <c r="D188" s="49" t="n">
        <v>854998973</v>
      </c>
      <c r="E188" s="49" t="n">
        <v>852062025</v>
      </c>
      <c r="F188" s="49" t="n">
        <v>0</v>
      </c>
      <c r="G188" s="50" t="n">
        <f aca="false">IF($A188="","",IF(ISNUMBER($G187),$G187+1,1))</f>
        <v>184</v>
      </c>
      <c r="H188" s="51" t="n">
        <f aca="false">IF(OR(NOT(ISNUMBER($G188)),$G188&lt;2,NOT(ISNUMBER($C187)),$C187=0),"",$C188/$C187-1)</f>
        <v>-0.0131771355303499</v>
      </c>
      <c r="I188" s="52" t="n">
        <f aca="false">IF(AND(ISNUMBER($G188),$G188&gt;=MA_SHORT),AVERAGE(INDEX($C$5:$C188,185-MA_SHORT):$C188),"")</f>
        <v>806688363.4</v>
      </c>
      <c r="J188" s="52" t="n">
        <f aca="false">IF(AND(ISNUMBER($G188),$G188&gt;=MA_MED),AVERAGE(INDEX($C$5:$C188,185-MA_MED):$C188),"")</f>
        <v>798607065.9</v>
      </c>
      <c r="K188" s="52" t="str">
        <f aca="false">IF(AND(ISNUMBER($G188),$G188&gt;=MA_LONG2),AVERAGE(INDEX($C$5:$C188,185-MA_LONG2):$C188),"")</f>
        <v/>
      </c>
      <c r="L188" s="53" t="n">
        <f aca="false">IF(AND(ISNUMBER($G188),$G188&gt;=21),STDEV(INDEX($H$128:$H188,62-20):$H188)*SQRT(245),"")</f>
        <v>0.169835681281414</v>
      </c>
      <c r="M188" s="52" t="n">
        <f aca="false">IF(AND(ISNUMBER($G188),$G188&gt;=60),MAX(INDEX($D$5:$D188,185-60):$D188),"")</f>
        <v>865361213</v>
      </c>
      <c r="N188" s="52" t="n">
        <f aca="false">IF(AND(ISNUMBER($G188),$G188&gt;=60),MIN(INDEX($E$5:$E188,185-60):$E188),"")</f>
        <v>745115955</v>
      </c>
      <c r="O188" s="53" t="n">
        <f aca="false">IF(OR(NOT(ISNUMBER($C188)),NOT(ISNUMBER($M188)),$M188=0),"",$C188/$M188-1)</f>
        <v>-0.0141682858161566</v>
      </c>
      <c r="P188" s="54"/>
      <c r="Q188" s="53" t="str">
        <f aca="false">IF(NOT(ISNUMBER($P188)),"",IFERROR(PERCENTRANK($P$5:$P$1204,$P188),""))</f>
        <v/>
      </c>
    </row>
    <row r="189" customFormat="false" ht="15" hidden="false" customHeight="false" outlineLevel="0" collapsed="false">
      <c r="A189" s="47" t="n">
        <v>45826</v>
      </c>
      <c r="B189" s="48" t="s">
        <v>337</v>
      </c>
      <c r="C189" s="49" t="n">
        <v>857913781</v>
      </c>
      <c r="D189" s="49" t="n">
        <v>858539492</v>
      </c>
      <c r="E189" s="49" t="n">
        <v>852121135</v>
      </c>
      <c r="F189" s="49" t="n">
        <v>0</v>
      </c>
      <c r="G189" s="50" t="n">
        <f aca="false">IF($A189="","",IF(ISNUMBER($G188),$G188+1,1))</f>
        <v>185</v>
      </c>
      <c r="H189" s="51" t="n">
        <f aca="false">IF(OR(NOT(ISNUMBER($G189)),$G189&lt;2,NOT(ISNUMBER($C188)),$C188=0),"",$C189/$C188-1)</f>
        <v>0.00564207012189311</v>
      </c>
      <c r="I189" s="52" t="n">
        <f aca="false">IF(AND(ISNUMBER($G189),$G189&gt;=MA_SHORT),AVERAGE(INDEX($C$5:$C189,186-MA_SHORT):$C189),"")</f>
        <v>811246382.35</v>
      </c>
      <c r="J189" s="52" t="n">
        <f aca="false">IF(AND(ISNUMBER($G189),$G189&gt;=MA_MED),AVERAGE(INDEX($C$5:$C189,186-MA_MED):$C189),"")</f>
        <v>799120937.62</v>
      </c>
      <c r="K189" s="52" t="str">
        <f aca="false">IF(AND(ISNUMBER($G189),$G189&gt;=MA_LONG2),AVERAGE(INDEX($C$5:$C189,186-MA_LONG2):$C189),"")</f>
        <v/>
      </c>
      <c r="L189" s="53" t="n">
        <f aca="false">IF(AND(ISNUMBER($G189),$G189&gt;=21),STDEV(INDEX($H$129:$H189,62-20):$H189)*SQRT(245),"")</f>
        <v>0.167828620576602</v>
      </c>
      <c r="M189" s="52" t="n">
        <f aca="false">IF(AND(ISNUMBER($G189),$G189&gt;=60),MAX(INDEX($D$5:$D189,186-60):$D189),"")</f>
        <v>865361213</v>
      </c>
      <c r="N189" s="52" t="n">
        <f aca="false">IF(AND(ISNUMBER($G189),$G189&gt;=60),MIN(INDEX($E$5:$E189,186-60):$E189),"")</f>
        <v>745115955</v>
      </c>
      <c r="O189" s="53" t="n">
        <f aca="false">IF(OR(NOT(ISNUMBER($C189)),NOT(ISNUMBER($M189)),$M189=0),"",$C189/$M189-1)</f>
        <v>-0.00860615415634536</v>
      </c>
      <c r="P189" s="54"/>
      <c r="Q189" s="53" t="str">
        <f aca="false">IF(NOT(ISNUMBER($P189)),"",IFERROR(PERCENTRANK($P$5:$P$1204,$P189),""))</f>
        <v/>
      </c>
    </row>
    <row r="190" customFormat="false" ht="15" hidden="false" customHeight="false" outlineLevel="0" collapsed="false">
      <c r="A190" s="47" t="n">
        <v>45829</v>
      </c>
      <c r="B190" s="48" t="s">
        <v>338</v>
      </c>
      <c r="C190" s="49" t="n">
        <v>854440915</v>
      </c>
      <c r="D190" s="49" t="n">
        <v>855236208</v>
      </c>
      <c r="E190" s="49" t="n">
        <v>850313213</v>
      </c>
      <c r="F190" s="49" t="n">
        <v>0</v>
      </c>
      <c r="G190" s="50" t="n">
        <f aca="false">IF($A190="","",IF(ISNUMBER($G189),$G189+1,1))</f>
        <v>186</v>
      </c>
      <c r="H190" s="51" t="n">
        <f aca="false">IF(OR(NOT(ISNUMBER($G190)),$G190&lt;2,NOT(ISNUMBER($C189)),$C189=0),"",$C190/$C189-1)</f>
        <v>-0.00404803615108262</v>
      </c>
      <c r="I190" s="52" t="n">
        <f aca="false">IF(AND(ISNUMBER($G190),$G190&gt;=MA_SHORT),AVERAGE(INDEX($C$5:$C190,187-MA_SHORT):$C190),"")</f>
        <v>816131108</v>
      </c>
      <c r="J190" s="52" t="n">
        <f aca="false">IF(AND(ISNUMBER($G190),$G190&gt;=MA_MED),AVERAGE(INDEX($C$5:$C190,187-MA_MED):$C190),"")</f>
        <v>799450505.92</v>
      </c>
      <c r="K190" s="52" t="str">
        <f aca="false">IF(AND(ISNUMBER($G190),$G190&gt;=MA_LONG2),AVERAGE(INDEX($C$5:$C190,187-MA_LONG2):$C190),"")</f>
        <v/>
      </c>
      <c r="L190" s="53" t="n">
        <f aca="false">IF(AND(ISNUMBER($G190),$G190&gt;=21),STDEV(INDEX($H$130:$H190,62-20):$H190)*SQRT(245),"")</f>
        <v>0.157507637590255</v>
      </c>
      <c r="M190" s="52" t="n">
        <f aca="false">IF(AND(ISNUMBER($G190),$G190&gt;=60),MAX(INDEX($D$5:$D190,187-60):$D190),"")</f>
        <v>865361213</v>
      </c>
      <c r="N190" s="52" t="n">
        <f aca="false">IF(AND(ISNUMBER($G190),$G190&gt;=60),MIN(INDEX($E$5:$E190,187-60):$E190),"")</f>
        <v>745115955</v>
      </c>
      <c r="O190" s="53" t="n">
        <f aca="false">IF(OR(NOT(ISNUMBER($C190)),NOT(ISNUMBER($M190)),$M190=0),"",$C190/$M190-1)</f>
        <v>-0.0126193522842813</v>
      </c>
      <c r="P190" s="54"/>
      <c r="Q190" s="53" t="str">
        <f aca="false">IF(NOT(ISNUMBER($P190)),"",IFERROR(PERCENTRANK($P$5:$P$1204,$P190),""))</f>
        <v/>
      </c>
    </row>
    <row r="191" customFormat="false" ht="15" hidden="false" customHeight="false" outlineLevel="0" collapsed="false">
      <c r="A191" s="47" t="n">
        <v>45830</v>
      </c>
      <c r="B191" s="48" t="s">
        <v>339</v>
      </c>
      <c r="C191" s="49" t="n">
        <v>860428447</v>
      </c>
      <c r="D191" s="49" t="n">
        <v>863122922</v>
      </c>
      <c r="E191" s="49" t="n">
        <v>857840576</v>
      </c>
      <c r="F191" s="49" t="n">
        <v>0</v>
      </c>
      <c r="G191" s="50" t="n">
        <f aca="false">IF($A191="","",IF(ISNUMBER($G190),$G190+1,1))</f>
        <v>187</v>
      </c>
      <c r="H191" s="51" t="n">
        <f aca="false">IF(OR(NOT(ISNUMBER($G191)),$G191&lt;2,NOT(ISNUMBER($C190)),$C190=0),"",$C191/$C190-1)</f>
        <v>0.00700754364039313</v>
      </c>
      <c r="I191" s="52" t="n">
        <f aca="false">IF(AND(ISNUMBER($G191),$G191&gt;=MA_SHORT),AVERAGE(INDEX($C$5:$C191,188-MA_SHORT):$C191),"")</f>
        <v>821259306.45</v>
      </c>
      <c r="J191" s="52" t="n">
        <f aca="false">IF(AND(ISNUMBER($G191),$G191&gt;=MA_MED),AVERAGE(INDEX($C$5:$C191,188-MA_MED):$C191),"")</f>
        <v>799677881.62</v>
      </c>
      <c r="K191" s="52" t="str">
        <f aca="false">IF(AND(ISNUMBER($G191),$G191&gt;=MA_LONG2),AVERAGE(INDEX($C$5:$C191,188-MA_LONG2):$C191),"")</f>
        <v/>
      </c>
      <c r="L191" s="53" t="n">
        <f aca="false">IF(AND(ISNUMBER($G191),$G191&gt;=21),STDEV(INDEX($H$131:$H191,62-20):$H191)*SQRT(245),"")</f>
        <v>0.156584561152469</v>
      </c>
      <c r="M191" s="52" t="n">
        <f aca="false">IF(AND(ISNUMBER($G191),$G191&gt;=60),MAX(INDEX($D$5:$D191,188-60):$D191),"")</f>
        <v>865361213</v>
      </c>
      <c r="N191" s="52" t="n">
        <f aca="false">IF(AND(ISNUMBER($G191),$G191&gt;=60),MIN(INDEX($E$5:$E191,188-60):$E191),"")</f>
        <v>745115955</v>
      </c>
      <c r="O191" s="53" t="n">
        <f aca="false">IF(OR(NOT(ISNUMBER($C191)),NOT(ISNUMBER($M191)),$M191=0),"",$C191/$M191-1)</f>
        <v>-0.00570023930573371</v>
      </c>
      <c r="P191" s="54"/>
      <c r="Q191" s="53" t="str">
        <f aca="false">IF(NOT(ISNUMBER($P191)),"",IFERROR(PERCENTRANK($P$5:$P$1204,$P191),""))</f>
        <v/>
      </c>
    </row>
    <row r="192" customFormat="false" ht="15" hidden="false" customHeight="false" outlineLevel="0" collapsed="false">
      <c r="A192" s="47" t="n">
        <v>45831</v>
      </c>
      <c r="B192" s="48" t="s">
        <v>340</v>
      </c>
      <c r="C192" s="49" t="n">
        <v>847192931</v>
      </c>
      <c r="D192" s="49" t="n">
        <v>851869560</v>
      </c>
      <c r="E192" s="49" t="n">
        <v>843289971</v>
      </c>
      <c r="F192" s="49" t="n">
        <v>0</v>
      </c>
      <c r="G192" s="50" t="n">
        <f aca="false">IF($A192="","",IF(ISNUMBER($G191),$G191+1,1))</f>
        <v>188</v>
      </c>
      <c r="H192" s="51" t="n">
        <f aca="false">IF(OR(NOT(ISNUMBER($G192)),$G192&lt;2,NOT(ISNUMBER($C191)),$C191=0),"",$C192/$C191-1)</f>
        <v>-0.0153824714258896</v>
      </c>
      <c r="I192" s="52" t="n">
        <f aca="false">IF(AND(ISNUMBER($G192),$G192&gt;=MA_SHORT),AVERAGE(INDEX($C$5:$C192,189-MA_SHORT):$C192),"")</f>
        <v>825533434.95</v>
      </c>
      <c r="J192" s="52" t="n">
        <f aca="false">IF(AND(ISNUMBER($G192),$G192&gt;=MA_MED),AVERAGE(INDEX($C$5:$C192,189-MA_MED):$C192),"")</f>
        <v>799511179.22</v>
      </c>
      <c r="K192" s="52" t="str">
        <f aca="false">IF(AND(ISNUMBER($G192),$G192&gt;=MA_LONG2),AVERAGE(INDEX($C$5:$C192,189-MA_LONG2):$C192),"")</f>
        <v/>
      </c>
      <c r="L192" s="53" t="n">
        <f aca="false">IF(AND(ISNUMBER($G192),$G192&gt;=21),STDEV(INDEX($H$132:$H192,62-20):$H192)*SQRT(245),"")</f>
        <v>0.174217458227596</v>
      </c>
      <c r="M192" s="52" t="n">
        <f aca="false">IF(AND(ISNUMBER($G192),$G192&gt;=60),MAX(INDEX($D$5:$D192,189-60):$D192),"")</f>
        <v>865361213</v>
      </c>
      <c r="N192" s="52" t="n">
        <f aca="false">IF(AND(ISNUMBER($G192),$G192&gt;=60),MIN(INDEX($E$5:$E192,189-60):$E192),"")</f>
        <v>745115955</v>
      </c>
      <c r="O192" s="53" t="n">
        <f aca="false">IF(OR(NOT(ISNUMBER($C192)),NOT(ISNUMBER($M192)),$M192=0),"",$C192/$M192-1)</f>
        <v>-0.0209950269633821</v>
      </c>
      <c r="P192" s="54"/>
      <c r="Q192" s="53" t="str">
        <f aca="false">IF(NOT(ISNUMBER($P192)),"",IFERROR(PERCENTRANK($P$5:$P$1204,$P192),""))</f>
        <v/>
      </c>
    </row>
    <row r="193" customFormat="false" ht="15" hidden="false" customHeight="false" outlineLevel="0" collapsed="false">
      <c r="A193" s="47" t="n">
        <v>45832</v>
      </c>
      <c r="B193" s="48" t="s">
        <v>341</v>
      </c>
      <c r="C193" s="49" t="n">
        <v>856513469</v>
      </c>
      <c r="D193" s="49" t="n">
        <v>857442077</v>
      </c>
      <c r="E193" s="49" t="n">
        <v>853954149</v>
      </c>
      <c r="F193" s="49" t="n">
        <v>0</v>
      </c>
      <c r="G193" s="50" t="n">
        <f aca="false">IF($A193="","",IF(ISNUMBER($G192),$G192+1,1))</f>
        <v>189</v>
      </c>
      <c r="H193" s="51" t="n">
        <f aca="false">IF(OR(NOT(ISNUMBER($G193)),$G193&lt;2,NOT(ISNUMBER($C192)),$C192=0),"",$C193/$C192-1)</f>
        <v>0.0110016711175793</v>
      </c>
      <c r="I193" s="52" t="n">
        <f aca="false">IF(AND(ISNUMBER($G193),$G193&gt;=MA_SHORT),AVERAGE(INDEX($C$5:$C193,190-MA_SHORT):$C193),"")</f>
        <v>829534043.4</v>
      </c>
      <c r="J193" s="52" t="n">
        <f aca="false">IF(AND(ISNUMBER($G193),$G193&gt;=MA_MED),AVERAGE(INDEX($C$5:$C193,190-MA_MED):$C193),"")</f>
        <v>799466944.56</v>
      </c>
      <c r="K193" s="52" t="str">
        <f aca="false">IF(AND(ISNUMBER($G193),$G193&gt;=MA_LONG2),AVERAGE(INDEX($C$5:$C193,190-MA_LONG2):$C193),"")</f>
        <v/>
      </c>
      <c r="L193" s="53" t="n">
        <f aca="false">IF(AND(ISNUMBER($G193),$G193&gt;=21),STDEV(INDEX($H$133:$H193,62-20):$H193)*SQRT(245),"")</f>
        <v>0.16785347646704</v>
      </c>
      <c r="M193" s="52" t="n">
        <f aca="false">IF(AND(ISNUMBER($G193),$G193&gt;=60),MAX(INDEX($D$5:$D193,190-60):$D193),"")</f>
        <v>865361213</v>
      </c>
      <c r="N193" s="52" t="n">
        <f aca="false">IF(AND(ISNUMBER($G193),$G193&gt;=60),MIN(INDEX($E$5:$E193,190-60):$E193),"")</f>
        <v>745115955</v>
      </c>
      <c r="O193" s="53" t="n">
        <f aca="false">IF(OR(NOT(ISNUMBER($C193)),NOT(ISNUMBER($M193)),$M193=0),"",$C193/$M193-1)</f>
        <v>-0.0102243362275587</v>
      </c>
      <c r="P193" s="54"/>
      <c r="Q193" s="53" t="str">
        <f aca="false">IF(NOT(ISNUMBER($P193)),"",IFERROR(PERCENTRANK($P$5:$P$1204,$P193),""))</f>
        <v/>
      </c>
    </row>
    <row r="194" customFormat="false" ht="15" hidden="false" customHeight="false" outlineLevel="0" collapsed="false">
      <c r="A194" s="47" t="n">
        <v>45833</v>
      </c>
      <c r="B194" s="48" t="s">
        <v>342</v>
      </c>
      <c r="C194" s="49" t="n">
        <v>862595355</v>
      </c>
      <c r="D194" s="49" t="n">
        <v>864134139</v>
      </c>
      <c r="E194" s="49" t="n">
        <v>857030180</v>
      </c>
      <c r="F194" s="49" t="n">
        <v>0</v>
      </c>
      <c r="G194" s="50" t="n">
        <f aca="false">IF($A194="","",IF(ISNUMBER($G193),$G193+1,1))</f>
        <v>190</v>
      </c>
      <c r="H194" s="51" t="n">
        <f aca="false">IF(OR(NOT(ISNUMBER($G194)),$G194&lt;2,NOT(ISNUMBER($C193)),$C193=0),"",$C194/$C193-1)</f>
        <v>0.00710074764743718</v>
      </c>
      <c r="I194" s="52" t="n">
        <f aca="false">IF(AND(ISNUMBER($G194),$G194&gt;=MA_SHORT),AVERAGE(INDEX($C$5:$C194,191-MA_SHORT):$C194),"")</f>
        <v>833704073.5</v>
      </c>
      <c r="J194" s="52" t="n">
        <f aca="false">IF(AND(ISNUMBER($G194),$G194&gt;=MA_MED),AVERAGE(INDEX($C$5:$C194,191-MA_MED):$C194),"")</f>
        <v>799667326.56</v>
      </c>
      <c r="K194" s="52" t="str">
        <f aca="false">IF(AND(ISNUMBER($G194),$G194&gt;=MA_LONG2),AVERAGE(INDEX($C$5:$C194,191-MA_LONG2):$C194),"")</f>
        <v/>
      </c>
      <c r="L194" s="53" t="n">
        <f aca="false">IF(AND(ISNUMBER($G194),$G194&gt;=21),STDEV(INDEX($H$134:$H194,62-20):$H194)*SQRT(245),"")</f>
        <v>0.167915939571295</v>
      </c>
      <c r="M194" s="52" t="n">
        <f aca="false">IF(AND(ISNUMBER($G194),$G194&gt;=60),MAX(INDEX($D$5:$D194,191-60):$D194),"")</f>
        <v>865361213</v>
      </c>
      <c r="N194" s="52" t="n">
        <f aca="false">IF(AND(ISNUMBER($G194),$G194&gt;=60),MIN(INDEX($E$5:$E194,191-60):$E194),"")</f>
        <v>745115955</v>
      </c>
      <c r="O194" s="53" t="n">
        <f aca="false">IF(OR(NOT(ISNUMBER($C194)),NOT(ISNUMBER($M194)),$M194=0),"",$C194/$M194-1)</f>
        <v>-0.00319618901153596</v>
      </c>
      <c r="P194" s="54"/>
      <c r="Q194" s="53" t="str">
        <f aca="false">IF(NOT(ISNUMBER($P194)),"",IFERROR(PERCENTRANK($P$5:$P$1204,$P194),""))</f>
        <v/>
      </c>
    </row>
    <row r="195" customFormat="false" ht="15" hidden="false" customHeight="false" outlineLevel="0" collapsed="false">
      <c r="A195" s="47" t="n">
        <v>45836</v>
      </c>
      <c r="B195" s="48" t="s">
        <v>343</v>
      </c>
      <c r="C195" s="49" t="n">
        <v>869062740</v>
      </c>
      <c r="D195" s="49" t="n">
        <v>871470925</v>
      </c>
      <c r="E195" s="49" t="n">
        <v>865161927</v>
      </c>
      <c r="F195" s="49" t="n">
        <v>0</v>
      </c>
      <c r="G195" s="50" t="n">
        <f aca="false">IF($A195="","",IF(ISNUMBER($G194),$G194+1,1))</f>
        <v>191</v>
      </c>
      <c r="H195" s="51" t="n">
        <f aca="false">IF(OR(NOT(ISNUMBER($G195)),$G195&lt;2,NOT(ISNUMBER($C194)),$C194=0),"",$C195/$C194-1)</f>
        <v>0.00749758848400006</v>
      </c>
      <c r="I195" s="52" t="n">
        <f aca="false">IF(AND(ISNUMBER($G195),$G195&gt;=MA_SHORT),AVERAGE(INDEX($C$5:$C195,192-MA_SHORT):$C195),"")</f>
        <v>837659803.8</v>
      </c>
      <c r="J195" s="52" t="n">
        <f aca="false">IF(AND(ISNUMBER($G195),$G195&gt;=MA_MED),AVERAGE(INDEX($C$5:$C195,192-MA_MED):$C195),"")</f>
        <v>800155470.34</v>
      </c>
      <c r="K195" s="52" t="str">
        <f aca="false">IF(AND(ISNUMBER($G195),$G195&gt;=MA_LONG2),AVERAGE(INDEX($C$5:$C195,192-MA_LONG2):$C195),"")</f>
        <v/>
      </c>
      <c r="L195" s="53" t="n">
        <f aca="false">IF(AND(ISNUMBER($G195),$G195&gt;=21),STDEV(INDEX($H$135:$H195,62-20):$H195)*SQRT(245),"")</f>
        <v>0.165156043868677</v>
      </c>
      <c r="M195" s="52" t="n">
        <f aca="false">IF(AND(ISNUMBER($G195),$G195&gt;=60),MAX(INDEX($D$5:$D195,192-60):$D195),"")</f>
        <v>871470925</v>
      </c>
      <c r="N195" s="52" t="n">
        <f aca="false">IF(AND(ISNUMBER($G195),$G195&gt;=60),MIN(INDEX($E$5:$E195,192-60):$E195),"")</f>
        <v>745115955</v>
      </c>
      <c r="O195" s="53" t="n">
        <f aca="false">IF(OR(NOT(ISNUMBER($C195)),NOT(ISNUMBER($M195)),$M195=0),"",$C195/$M195-1)</f>
        <v>-0.00276335667767691</v>
      </c>
      <c r="P195" s="54"/>
      <c r="Q195" s="53" t="str">
        <f aca="false">IF(NOT(ISNUMBER($P195)),"",IFERROR(PERCENTRANK($P$5:$P$1204,$P195),""))</f>
        <v/>
      </c>
    </row>
    <row r="196" customFormat="false" ht="15" hidden="false" customHeight="false" outlineLevel="0" collapsed="false">
      <c r="A196" s="47" t="n">
        <v>45837</v>
      </c>
      <c r="B196" s="48" t="s">
        <v>344</v>
      </c>
      <c r="C196" s="49" t="n">
        <v>880620542</v>
      </c>
      <c r="D196" s="49" t="n">
        <v>883012711</v>
      </c>
      <c r="E196" s="49" t="n">
        <v>879718034</v>
      </c>
      <c r="F196" s="49" t="n">
        <v>0</v>
      </c>
      <c r="G196" s="50" t="n">
        <f aca="false">IF($A196="","",IF(ISNUMBER($G195),$G195+1,1))</f>
        <v>192</v>
      </c>
      <c r="H196" s="51" t="n">
        <f aca="false">IF(OR(NOT(ISNUMBER($G196)),$G196&lt;2,NOT(ISNUMBER($C195)),$C195=0),"",$C196/$C195-1)</f>
        <v>0.0132991572046917</v>
      </c>
      <c r="I196" s="52" t="n">
        <f aca="false">IF(AND(ISNUMBER($G196),$G196&gt;=MA_SHORT),AVERAGE(INDEX($C$5:$C196,193-MA_SHORT):$C196),"")</f>
        <v>841365837.7</v>
      </c>
      <c r="J196" s="52" t="n">
        <f aca="false">IF(AND(ISNUMBER($G196),$G196&gt;=MA_MED),AVERAGE(INDEX($C$5:$C196,193-MA_MED):$C196),"")</f>
        <v>800916848.48</v>
      </c>
      <c r="K196" s="52" t="str">
        <f aca="false">IF(AND(ISNUMBER($G196),$G196&gt;=MA_LONG2),AVERAGE(INDEX($C$5:$C196,193-MA_LONG2):$C196),"")</f>
        <v/>
      </c>
      <c r="L196" s="53" t="n">
        <f aca="false">IF(AND(ISNUMBER($G196),$G196&gt;=21),STDEV(INDEX($H$136:$H196,62-20):$H196)*SQRT(245),"")</f>
        <v>0.157521264573018</v>
      </c>
      <c r="M196" s="52" t="n">
        <f aca="false">IF(AND(ISNUMBER($G196),$G196&gt;=60),MAX(INDEX($D$5:$D196,193-60):$D196),"")</f>
        <v>883012711</v>
      </c>
      <c r="N196" s="52" t="n">
        <f aca="false">IF(AND(ISNUMBER($G196),$G196&gt;=60),MIN(INDEX($E$5:$E196,193-60):$E196),"")</f>
        <v>745115955</v>
      </c>
      <c r="O196" s="53" t="n">
        <f aca="false">IF(OR(NOT(ISNUMBER($C196)),NOT(ISNUMBER($M196)),$M196=0),"",$C196/$M196-1)</f>
        <v>-0.0027090991672033</v>
      </c>
      <c r="P196" s="54"/>
      <c r="Q196" s="53" t="str">
        <f aca="false">IF(NOT(ISNUMBER($P196)),"",IFERROR(PERCENTRANK($P$5:$P$1204,$P196),""))</f>
        <v/>
      </c>
    </row>
    <row r="197" customFormat="false" ht="15" hidden="false" customHeight="false" outlineLevel="0" collapsed="false">
      <c r="A197" s="47" t="n">
        <v>45838</v>
      </c>
      <c r="B197" s="48" t="s">
        <v>345</v>
      </c>
      <c r="C197" s="49" t="n">
        <v>865291279</v>
      </c>
      <c r="D197" s="49" t="n">
        <v>870216391</v>
      </c>
      <c r="E197" s="49" t="n">
        <v>860563777</v>
      </c>
      <c r="F197" s="49" t="n">
        <v>0</v>
      </c>
      <c r="G197" s="50" t="n">
        <f aca="false">IF($A197="","",IF(ISNUMBER($G196),$G196+1,1))</f>
        <v>193</v>
      </c>
      <c r="H197" s="51" t="n">
        <f aca="false">IF(OR(NOT(ISNUMBER($G197)),$G197&lt;2,NOT(ISNUMBER($C196)),$C196=0),"",$C197/$C196-1)</f>
        <v>-0.01740734206039</v>
      </c>
      <c r="I197" s="52" t="n">
        <f aca="false">IF(AND(ISNUMBER($G197),$G197&gt;=MA_SHORT),AVERAGE(INDEX($C$5:$C197,194-MA_SHORT):$C197),"")</f>
        <v>844233595.95</v>
      </c>
      <c r="J197" s="52" t="n">
        <f aca="false">IF(AND(ISNUMBER($G197),$G197&gt;=MA_MED),AVERAGE(INDEX($C$5:$C197,194-MA_MED):$C197),"")</f>
        <v>801694389.76</v>
      </c>
      <c r="K197" s="52" t="str">
        <f aca="false">IF(AND(ISNUMBER($G197),$G197&gt;=MA_LONG2),AVERAGE(INDEX($C$5:$C197,194-MA_LONG2):$C197),"")</f>
        <v/>
      </c>
      <c r="L197" s="53" t="n">
        <f aca="false">IF(AND(ISNUMBER($G197),$G197&gt;=21),STDEV(INDEX($H$137:$H197,62-20):$H197)*SQRT(245),"")</f>
        <v>0.175059826093252</v>
      </c>
      <c r="M197" s="52" t="n">
        <f aca="false">IF(AND(ISNUMBER($G197),$G197&gt;=60),MAX(INDEX($D$5:$D197,194-60):$D197),"")</f>
        <v>883012711</v>
      </c>
      <c r="N197" s="52" t="n">
        <f aca="false">IF(AND(ISNUMBER($G197),$G197&gt;=60),MIN(INDEX($E$5:$E197,194-60):$E197),"")</f>
        <v>745115955</v>
      </c>
      <c r="O197" s="53" t="n">
        <f aca="false">IF(OR(NOT(ISNUMBER($C197)),NOT(ISNUMBER($M197)),$M197=0),"",$C197/$M197-1)</f>
        <v>-0.0200692830117142</v>
      </c>
      <c r="P197" s="54"/>
      <c r="Q197" s="53" t="str">
        <f aca="false">IF(NOT(ISNUMBER($P197)),"",IFERROR(PERCENTRANK($P$5:$P$1204,$P197),""))</f>
        <v/>
      </c>
    </row>
    <row r="198" customFormat="false" ht="15" hidden="false" customHeight="false" outlineLevel="0" collapsed="false">
      <c r="A198" s="47" t="n">
        <v>45839</v>
      </c>
      <c r="B198" s="48" t="s">
        <v>346</v>
      </c>
      <c r="C198" s="49" t="n">
        <v>873881756</v>
      </c>
      <c r="D198" s="49" t="n">
        <v>876633888</v>
      </c>
      <c r="E198" s="49" t="n">
        <v>871034349</v>
      </c>
      <c r="F198" s="49" t="n">
        <v>0</v>
      </c>
      <c r="G198" s="50" t="n">
        <f aca="false">IF($A198="","",IF(ISNUMBER($G197),$G197+1,1))</f>
        <v>194</v>
      </c>
      <c r="H198" s="51" t="n">
        <f aca="false">IF(OR(NOT(ISNUMBER($G198)),$G198&lt;2,NOT(ISNUMBER($C197)),$C197=0),"",$C198/$C197-1)</f>
        <v>0.00992784419360815</v>
      </c>
      <c r="I198" s="52" t="n">
        <f aca="false">IF(AND(ISNUMBER($G198),$G198&gt;=MA_SHORT),AVERAGE(INDEX($C$5:$C198,195-MA_SHORT):$C198),"")</f>
        <v>847216837.45</v>
      </c>
      <c r="J198" s="52" t="n">
        <f aca="false">IF(AND(ISNUMBER($G198),$G198&gt;=MA_MED),AVERAGE(INDEX($C$5:$C198,195-MA_MED):$C198),"")</f>
        <v>802975737.66</v>
      </c>
      <c r="K198" s="52" t="str">
        <f aca="false">IF(AND(ISNUMBER($G198),$G198&gt;=MA_LONG2),AVERAGE(INDEX($C$5:$C198,195-MA_LONG2):$C198),"")</f>
        <v/>
      </c>
      <c r="L198" s="53" t="n">
        <f aca="false">IF(AND(ISNUMBER($G198),$G198&gt;=21),STDEV(INDEX($H$138:$H198,62-20):$H198)*SQRT(245),"")</f>
        <v>0.175899120913545</v>
      </c>
      <c r="M198" s="52" t="n">
        <f aca="false">IF(AND(ISNUMBER($G198),$G198&gt;=60),MAX(INDEX($D$5:$D198,195-60):$D198),"")</f>
        <v>883012711</v>
      </c>
      <c r="N198" s="52" t="n">
        <f aca="false">IF(AND(ISNUMBER($G198),$G198&gt;=60),MIN(INDEX($E$5:$E198,195-60):$E198),"")</f>
        <v>745115955</v>
      </c>
      <c r="O198" s="53" t="n">
        <f aca="false">IF(OR(NOT(ISNUMBER($C198)),NOT(ISNUMBER($M198)),$M198=0),"",$C198/$M198-1)</f>
        <v>-0.0103406835329237</v>
      </c>
      <c r="P198" s="54"/>
      <c r="Q198" s="53" t="str">
        <f aca="false">IF(NOT(ISNUMBER($P198)),"",IFERROR(PERCENTRANK($P$5:$P$1204,$P198),""))</f>
        <v/>
      </c>
    </row>
    <row r="199" customFormat="false" ht="15" hidden="false" customHeight="false" outlineLevel="0" collapsed="false">
      <c r="A199" s="47" t="n">
        <v>45840</v>
      </c>
      <c r="B199" s="48" t="s">
        <v>347</v>
      </c>
      <c r="C199" s="49" t="n">
        <v>864535007</v>
      </c>
      <c r="D199" s="49" t="n">
        <v>865676451</v>
      </c>
      <c r="E199" s="49" t="n">
        <v>863247543</v>
      </c>
      <c r="F199" s="49" t="n">
        <v>0</v>
      </c>
      <c r="G199" s="50" t="n">
        <f aca="false">IF($A199="","",IF(ISNUMBER($G198),$G198+1,1))</f>
        <v>195</v>
      </c>
      <c r="H199" s="51" t="n">
        <f aca="false">IF(OR(NOT(ISNUMBER($G199)),$G199&lt;2,NOT(ISNUMBER($C198)),$C198=0),"",$C199/$C198-1)</f>
        <v>-0.01069566784731</v>
      </c>
      <c r="I199" s="52" t="n">
        <f aca="false">IF(AND(ISNUMBER($G199),$G199&gt;=MA_SHORT),AVERAGE(INDEX($C$5:$C199,196-MA_SHORT):$C199),"")</f>
        <v>849649438.2</v>
      </c>
      <c r="J199" s="52" t="n">
        <f aca="false">IF(AND(ISNUMBER($G199),$G199&gt;=MA_MED),AVERAGE(INDEX($C$5:$C199,196-MA_MED):$C199),"")</f>
        <v>804069888.54</v>
      </c>
      <c r="K199" s="52" t="str">
        <f aca="false">IF(AND(ISNUMBER($G199),$G199&gt;=MA_LONG2),AVERAGE(INDEX($C$5:$C199,196-MA_LONG2):$C199),"")</f>
        <v/>
      </c>
      <c r="L199" s="53" t="n">
        <f aca="false">IF(AND(ISNUMBER($G199),$G199&gt;=21),STDEV(INDEX($H$139:$H199,62-20):$H199)*SQRT(245),"")</f>
        <v>0.182867763839199</v>
      </c>
      <c r="M199" s="52" t="n">
        <f aca="false">IF(AND(ISNUMBER($G199),$G199&gt;=60),MAX(INDEX($D$5:$D199,196-60):$D199),"")</f>
        <v>883012711</v>
      </c>
      <c r="N199" s="52" t="n">
        <f aca="false">IF(AND(ISNUMBER($G199),$G199&gt;=60),MIN(INDEX($E$5:$E199,196-60):$E199),"")</f>
        <v>745115955</v>
      </c>
      <c r="O199" s="53" t="n">
        <f aca="false">IF(OR(NOT(ISNUMBER($C199)),NOT(ISNUMBER($M199)),$M199=0),"",$C199/$M199-1)</f>
        <v>-0.0209257508638514</v>
      </c>
      <c r="P199" s="54"/>
      <c r="Q199" s="53" t="str">
        <f aca="false">IF(NOT(ISNUMBER($P199)),"",IFERROR(PERCENTRANK($P$5:$P$1204,$P199),""))</f>
        <v/>
      </c>
    </row>
    <row r="200" customFormat="false" ht="15" hidden="false" customHeight="false" outlineLevel="0" collapsed="false">
      <c r="A200" s="47" t="n">
        <v>45843</v>
      </c>
      <c r="B200" s="48" t="s">
        <v>348</v>
      </c>
      <c r="C200" s="49" t="n">
        <v>877754876</v>
      </c>
      <c r="D200" s="49" t="n">
        <v>878810186</v>
      </c>
      <c r="E200" s="49" t="n">
        <v>874794636</v>
      </c>
      <c r="F200" s="49" t="n">
        <v>0</v>
      </c>
      <c r="G200" s="50" t="n">
        <f aca="false">IF($A200="","",IF(ISNUMBER($G199),$G199+1,1))</f>
        <v>196</v>
      </c>
      <c r="H200" s="51" t="n">
        <f aca="false">IF(OR(NOT(ISNUMBER($G200)),$G200&lt;2,NOT(ISNUMBER($C199)),$C199=0),"",$C200/$C199-1)</f>
        <v>0.0152913056070152</v>
      </c>
      <c r="I200" s="52" t="n">
        <f aca="false">IF(AND(ISNUMBER($G200),$G200&gt;=MA_SHORT),AVERAGE(INDEX($C$5:$C200,197-MA_SHORT):$C200),"")</f>
        <v>852762795.85</v>
      </c>
      <c r="J200" s="52" t="n">
        <f aca="false">IF(AND(ISNUMBER($G200),$G200&gt;=MA_MED),AVERAGE(INDEX($C$5:$C200,197-MA_MED):$C200),"")</f>
        <v>805652482.58</v>
      </c>
      <c r="K200" s="52" t="str">
        <f aca="false">IF(AND(ISNUMBER($G200),$G200&gt;=MA_LONG2),AVERAGE(INDEX($C$5:$C200,197-MA_LONG2):$C200),"")</f>
        <v/>
      </c>
      <c r="L200" s="53" t="n">
        <f aca="false">IF(AND(ISNUMBER($G200),$G200&gt;=21),STDEV(INDEX($H$140:$H200,62-20):$H200)*SQRT(245),"")</f>
        <v>0.187312407128255</v>
      </c>
      <c r="M200" s="52" t="n">
        <f aca="false">IF(AND(ISNUMBER($G200),$G200&gt;=60),MAX(INDEX($D$5:$D200,197-60):$D200),"")</f>
        <v>883012711</v>
      </c>
      <c r="N200" s="52" t="n">
        <f aca="false">IF(AND(ISNUMBER($G200),$G200&gt;=60),MIN(INDEX($E$5:$E200,197-60):$E200),"")</f>
        <v>745115955</v>
      </c>
      <c r="O200" s="53" t="n">
        <f aca="false">IF(OR(NOT(ISNUMBER($C200)),NOT(ISNUMBER($M200)),$M200=0),"",$C200/$M200-1)</f>
        <v>-0.00595442730835161</v>
      </c>
      <c r="P200" s="54"/>
      <c r="Q200" s="53" t="str">
        <f aca="false">IF(NOT(ISNUMBER($P200)),"",IFERROR(PERCENTRANK($P$5:$P$1204,$P200),""))</f>
        <v/>
      </c>
    </row>
    <row r="201" customFormat="false" ht="15" hidden="false" customHeight="false" outlineLevel="0" collapsed="false">
      <c r="A201" s="47" t="n">
        <v>45844</v>
      </c>
      <c r="B201" s="48" t="s">
        <v>349</v>
      </c>
      <c r="C201" s="49" t="n">
        <v>888342913</v>
      </c>
      <c r="D201" s="49" t="n">
        <v>895585720</v>
      </c>
      <c r="E201" s="49" t="n">
        <v>886222870</v>
      </c>
      <c r="F201" s="49" t="n">
        <v>0</v>
      </c>
      <c r="G201" s="50" t="n">
        <f aca="false">IF($A201="","",IF(ISNUMBER($G200),$G200+1,1))</f>
        <v>197</v>
      </c>
      <c r="H201" s="51" t="n">
        <f aca="false">IF(OR(NOT(ISNUMBER($G201)),$G201&lt;2,NOT(ISNUMBER($C200)),$C200=0),"",$C201/$C200-1)</f>
        <v>0.0120626353547024</v>
      </c>
      <c r="I201" s="52" t="n">
        <f aca="false">IF(AND(ISNUMBER($G201),$G201&gt;=MA_SHORT),AVERAGE(INDEX($C$5:$C201,198-MA_SHORT):$C201),"")</f>
        <v>856130365.35</v>
      </c>
      <c r="J201" s="52" t="n">
        <f aca="false">IF(AND(ISNUMBER($G201),$G201&gt;=MA_MED),AVERAGE(INDEX($C$5:$C201,198-MA_MED):$C201),"")</f>
        <v>807383658.42</v>
      </c>
      <c r="K201" s="52" t="str">
        <f aca="false">IF(AND(ISNUMBER($G201),$G201&gt;=MA_LONG2),AVERAGE(INDEX($C$5:$C201,198-MA_LONG2):$C201),"")</f>
        <v/>
      </c>
      <c r="L201" s="53" t="n">
        <f aca="false">IF(AND(ISNUMBER($G201),$G201&gt;=21),STDEV(INDEX($H$141:$H201,62-20):$H201)*SQRT(245),"")</f>
        <v>0.189320527736744</v>
      </c>
      <c r="M201" s="52" t="n">
        <f aca="false">IF(AND(ISNUMBER($G201),$G201&gt;=60),MAX(INDEX($D$5:$D201,198-60):$D201),"")</f>
        <v>895585720</v>
      </c>
      <c r="N201" s="52" t="n">
        <f aca="false">IF(AND(ISNUMBER($G201),$G201&gt;=60),MIN(INDEX($E$5:$E201,198-60):$E201),"")</f>
        <v>745115955</v>
      </c>
      <c r="O201" s="53" t="n">
        <f aca="false">IF(OR(NOT(ISNUMBER($C201)),NOT(ISNUMBER($M201)),$M201=0),"",$C201/$M201-1)</f>
        <v>-0.00808722921575833</v>
      </c>
      <c r="P201" s="54"/>
      <c r="Q201" s="53" t="str">
        <f aca="false">IF(NOT(ISNUMBER($P201)),"",IFERROR(PERCENTRANK($P$5:$P$1204,$P201),""))</f>
        <v/>
      </c>
    </row>
    <row r="202" customFormat="false" ht="15" hidden="false" customHeight="false" outlineLevel="0" collapsed="false">
      <c r="A202" s="47" t="n">
        <v>45845</v>
      </c>
      <c r="B202" s="48" t="s">
        <v>350</v>
      </c>
      <c r="C202" s="49" t="n">
        <v>892625086</v>
      </c>
      <c r="D202" s="49" t="n">
        <v>895055340</v>
      </c>
      <c r="E202" s="49" t="n">
        <v>892134094</v>
      </c>
      <c r="F202" s="49" t="n">
        <v>0</v>
      </c>
      <c r="G202" s="50" t="n">
        <f aca="false">IF($A202="","",IF(ISNUMBER($G201),$G201+1,1))</f>
        <v>198</v>
      </c>
      <c r="H202" s="51" t="n">
        <f aca="false">IF(OR(NOT(ISNUMBER($G202)),$G202&lt;2,NOT(ISNUMBER($C201)),$C201=0),"",$C202/$C201-1)</f>
        <v>0.00482040542828077</v>
      </c>
      <c r="I202" s="52" t="n">
        <f aca="false">IF(AND(ISNUMBER($G202),$G202&gt;=MA_SHORT),AVERAGE(INDEX($C$5:$C202,199-MA_SHORT):$C202),"")</f>
        <v>859729255.7</v>
      </c>
      <c r="J202" s="52" t="n">
        <f aca="false">IF(AND(ISNUMBER($G202),$G202&gt;=MA_MED),AVERAGE(INDEX($C$5:$C202,199-MA_MED):$C202),"")</f>
        <v>809565514.64</v>
      </c>
      <c r="K202" s="52" t="str">
        <f aca="false">IF(AND(ISNUMBER($G202),$G202&gt;=MA_LONG2),AVERAGE(INDEX($C$5:$C202,199-MA_LONG2):$C202),"")</f>
        <v/>
      </c>
      <c r="L202" s="53" t="n">
        <f aca="false">IF(AND(ISNUMBER($G202),$G202&gt;=21),STDEV(INDEX($H$142:$H202,62-20):$H202)*SQRT(245),"")</f>
        <v>0.188623372175825</v>
      </c>
      <c r="M202" s="52" t="n">
        <f aca="false">IF(AND(ISNUMBER($G202),$G202&gt;=60),MAX(INDEX($D$5:$D202,199-60):$D202),"")</f>
        <v>895585720</v>
      </c>
      <c r="N202" s="52" t="n">
        <f aca="false">IF(AND(ISNUMBER($G202),$G202&gt;=60),MIN(INDEX($E$5:$E202,199-60):$E202),"")</f>
        <v>745115955</v>
      </c>
      <c r="O202" s="53" t="n">
        <f aca="false">IF(OR(NOT(ISNUMBER($C202)),NOT(ISNUMBER($M202)),$M202=0),"",$C202/$M202-1)</f>
        <v>-0.003305807511089</v>
      </c>
      <c r="P202" s="54"/>
      <c r="Q202" s="53" t="str">
        <f aca="false">IF(NOT(ISNUMBER($P202)),"",IFERROR(PERCENTRANK($P$5:$P$1204,$P202),""))</f>
        <v/>
      </c>
    </row>
    <row r="203" customFormat="false" ht="15" hidden="false" customHeight="false" outlineLevel="0" collapsed="false">
      <c r="A203" s="47" t="n">
        <v>45846</v>
      </c>
      <c r="B203" s="48" t="s">
        <v>351</v>
      </c>
      <c r="C203" s="49" t="n">
        <v>900554716</v>
      </c>
      <c r="D203" s="49" t="n">
        <v>902956200</v>
      </c>
      <c r="E203" s="49" t="n">
        <v>899256399</v>
      </c>
      <c r="F203" s="49" t="n">
        <v>0</v>
      </c>
      <c r="G203" s="50" t="n">
        <f aca="false">IF($A203="","",IF(ISNUMBER($G202),$G202+1,1))</f>
        <v>199</v>
      </c>
      <c r="H203" s="51" t="n">
        <f aca="false">IF(OR(NOT(ISNUMBER($G203)),$G203&lt;2,NOT(ISNUMBER($C202)),$C202=0),"",$C203/$C202-1)</f>
        <v>0.00888349445289949</v>
      </c>
      <c r="I203" s="52" t="n">
        <f aca="false">IF(AND(ISNUMBER($G203),$G203&gt;=MA_SHORT),AVERAGE(INDEX($C$5:$C203,200-MA_SHORT):$C203),"")</f>
        <v>863391548.95</v>
      </c>
      <c r="J203" s="52" t="n">
        <f aca="false">IF(AND(ISNUMBER($G203),$G203&gt;=MA_MED),AVERAGE(INDEX($C$5:$C203,200-MA_MED):$C203),"")</f>
        <v>812153554.36</v>
      </c>
      <c r="K203" s="52" t="str">
        <f aca="false">IF(AND(ISNUMBER($G203),$G203&gt;=MA_LONG2),AVERAGE(INDEX($C$5:$C203,200-MA_LONG2):$C203),"")</f>
        <v/>
      </c>
      <c r="L203" s="53" t="n">
        <f aca="false">IF(AND(ISNUMBER($G203),$G203&gt;=21),STDEV(INDEX($H$143:$H203,62-20):$H203)*SQRT(245),"")</f>
        <v>0.188843184153937</v>
      </c>
      <c r="M203" s="52" t="n">
        <f aca="false">IF(AND(ISNUMBER($G203),$G203&gt;=60),MAX(INDEX($D$5:$D203,200-60):$D203),"")</f>
        <v>902956200</v>
      </c>
      <c r="N203" s="52" t="n">
        <f aca="false">IF(AND(ISNUMBER($G203),$G203&gt;=60),MIN(INDEX($E$5:$E203,200-60):$E203),"")</f>
        <v>745115955</v>
      </c>
      <c r="O203" s="53" t="n">
        <f aca="false">IF(OR(NOT(ISNUMBER($C203)),NOT(ISNUMBER($M203)),$M203=0),"",$C203/$M203-1)</f>
        <v>-0.00265957972269304</v>
      </c>
      <c r="P203" s="54"/>
      <c r="Q203" s="53" t="str">
        <f aca="false">IF(NOT(ISNUMBER($P203)),"",IFERROR(PERCENTRANK($P$5:$P$1204,$P203),""))</f>
        <v/>
      </c>
    </row>
    <row r="204" customFormat="false" ht="15" hidden="false" customHeight="false" outlineLevel="0" collapsed="false">
      <c r="A204" s="47" t="n">
        <v>45847</v>
      </c>
      <c r="B204" s="48" t="s">
        <v>352</v>
      </c>
      <c r="C204" s="49" t="n">
        <v>894015304</v>
      </c>
      <c r="D204" s="49" t="n">
        <v>896302375</v>
      </c>
      <c r="E204" s="49" t="n">
        <v>890841820</v>
      </c>
      <c r="F204" s="49" t="n">
        <v>0</v>
      </c>
      <c r="G204" s="50" t="n">
        <f aca="false">IF($A204="","",IF(ISNUMBER($G203),$G203+1,1))</f>
        <v>200</v>
      </c>
      <c r="H204" s="51" t="n">
        <f aca="false">IF(OR(NOT(ISNUMBER($G204)),$G204&lt;2,NOT(ISNUMBER($C203)),$C203=0),"",$C204/$C203-1)</f>
        <v>-0.00726153767651805</v>
      </c>
      <c r="I204" s="52" t="n">
        <f aca="false">IF(AND(ISNUMBER($G204),$G204&gt;=MA_SHORT),AVERAGE(INDEX($C$5:$C204,201-MA_SHORT):$C204),"")</f>
        <v>867149961.65</v>
      </c>
      <c r="J204" s="52" t="n">
        <f aca="false">IF(AND(ISNUMBER($G204),$G204&gt;=MA_MED),AVERAGE(INDEX($C$5:$C204,201-MA_MED):$C204),"")</f>
        <v>814596692.84</v>
      </c>
      <c r="K204" s="52" t="n">
        <f aca="false">IF(AND(ISNUMBER($G204),$G204&gt;=MA_LONG2),AVERAGE(INDEX($C$5:$C204,201-MA_LONG2):$C204),"")</f>
        <v>738385023.675</v>
      </c>
      <c r="L204" s="53" t="n">
        <f aca="false">IF(AND(ISNUMBER($G204),$G204&gt;=21),STDEV(INDEX($H$144:$H204,62-20):$H204)*SQRT(245),"")</f>
        <v>0.186162712998898</v>
      </c>
      <c r="M204" s="52" t="n">
        <f aca="false">IF(AND(ISNUMBER($G204),$G204&gt;=60),MAX(INDEX($D$5:$D204,201-60):$D204),"")</f>
        <v>902956200</v>
      </c>
      <c r="N204" s="52" t="n">
        <f aca="false">IF(AND(ISNUMBER($G204),$G204&gt;=60),MIN(INDEX($E$5:$E204,201-60):$E204),"")</f>
        <v>745115955</v>
      </c>
      <c r="O204" s="53" t="n">
        <f aca="false">IF(OR(NOT(ISNUMBER($C204)),NOT(ISNUMBER($M204)),$M204=0),"",$C204/$M204-1)</f>
        <v>-0.00990180476085112</v>
      </c>
      <c r="P204" s="54"/>
      <c r="Q204" s="53" t="str">
        <f aca="false">IF(NOT(ISNUMBER($P204)),"",IFERROR(PERCENTRANK($P$5:$P$1204,$P204),""))</f>
        <v/>
      </c>
    </row>
    <row r="205" customFormat="false" ht="15" hidden="false" customHeight="false" outlineLevel="0" collapsed="false">
      <c r="A205" s="47" t="n">
        <v>45850</v>
      </c>
      <c r="B205" s="48" t="s">
        <v>353</v>
      </c>
      <c r="C205" s="49" t="n">
        <v>893602870</v>
      </c>
      <c r="D205" s="49" t="n">
        <v>897969622</v>
      </c>
      <c r="E205" s="49" t="n">
        <v>891548845</v>
      </c>
      <c r="F205" s="49" t="n">
        <v>0</v>
      </c>
      <c r="G205" s="50" t="n">
        <f aca="false">IF($A205="","",IF(ISNUMBER($G204),$G204+1,1))</f>
        <v>201</v>
      </c>
      <c r="H205" s="51" t="n">
        <f aca="false">IF(OR(NOT(ISNUMBER($G205)),$G205&lt;2,NOT(ISNUMBER($C204)),$C204=0),"",$C205/$C204-1)</f>
        <v>-0.000461327673200507</v>
      </c>
      <c r="I205" s="52" t="n">
        <f aca="false">IF(AND(ISNUMBER($G205),$G205&gt;=MA_SHORT),AVERAGE(INDEX($C$5:$C205,202-MA_SHORT):$C205),"")</f>
        <v>870399756.65</v>
      </c>
      <c r="J205" s="52" t="n">
        <f aca="false">IF(AND(ISNUMBER($G205),$G205&gt;=MA_MED),AVERAGE(INDEX($C$5:$C205,202-MA_MED):$C205),"")</f>
        <v>817268921.64</v>
      </c>
      <c r="K205" s="52" t="n">
        <f aca="false">IF(AND(ISNUMBER($G205),$G205&gt;=MA_LONG2),AVERAGE(INDEX($C$5:$C205,202-MA_LONG2):$C205),"")</f>
        <v>739718844.445</v>
      </c>
      <c r="L205" s="53" t="n">
        <f aca="false">IF(AND(ISNUMBER($G205),$G205&gt;=21),STDEV(INDEX($H$145:$H205,62-20):$H205)*SQRT(245),"")</f>
        <v>0.184811170156235</v>
      </c>
      <c r="M205" s="52" t="n">
        <f aca="false">IF(AND(ISNUMBER($G205),$G205&gt;=60),MAX(INDEX($D$5:$D205,202-60):$D205),"")</f>
        <v>902956200</v>
      </c>
      <c r="N205" s="52" t="n">
        <f aca="false">IF(AND(ISNUMBER($G205),$G205&gt;=60),MIN(INDEX($E$5:$E205,202-60):$E205),"")</f>
        <v>745115955</v>
      </c>
      <c r="O205" s="53" t="n">
        <f aca="false">IF(OR(NOT(ISNUMBER($C205)),NOT(ISNUMBER($M205)),$M205=0),"",$C205/$M205-1)</f>
        <v>-0.0103585644575008</v>
      </c>
      <c r="P205" s="54"/>
      <c r="Q205" s="53" t="str">
        <f aca="false">IF(NOT(ISNUMBER($P205)),"",IFERROR(PERCENTRANK($P$5:$P$1204,$P205),""))</f>
        <v/>
      </c>
    </row>
    <row r="206" customFormat="false" ht="15" hidden="false" customHeight="false" outlineLevel="0" collapsed="false">
      <c r="A206" s="47" t="n">
        <v>45851</v>
      </c>
      <c r="B206" s="48" t="s">
        <v>354</v>
      </c>
      <c r="C206" s="49" t="n">
        <v>901050839</v>
      </c>
      <c r="D206" s="49" t="n">
        <v>906697774</v>
      </c>
      <c r="E206" s="49" t="n">
        <v>897251319</v>
      </c>
      <c r="F206" s="49" t="n">
        <v>0</v>
      </c>
      <c r="G206" s="50" t="n">
        <f aca="false">IF($A206="","",IF(ISNUMBER($G205),$G205+1,1))</f>
        <v>202</v>
      </c>
      <c r="H206" s="51" t="n">
        <f aca="false">IF(OR(NOT(ISNUMBER($G206)),$G206&lt;2,NOT(ISNUMBER($C205)),$C205=0),"",$C206/$C205-1)</f>
        <v>0.00833476396511568</v>
      </c>
      <c r="I206" s="52" t="n">
        <f aca="false">IF(AND(ISNUMBER($G206),$G206&gt;=MA_SHORT),AVERAGE(INDEX($C$5:$C206,203-MA_SHORT):$C206),"")</f>
        <v>872900770.55</v>
      </c>
      <c r="J206" s="52" t="n">
        <f aca="false">IF(AND(ISNUMBER($G206),$G206&gt;=MA_MED),AVERAGE(INDEX($C$5:$C206,203-MA_MED):$C206),"")</f>
        <v>820323320.2</v>
      </c>
      <c r="K206" s="52" t="n">
        <f aca="false">IF(AND(ISNUMBER($G206),$G206&gt;=MA_LONG2),AVERAGE(INDEX($C$5:$C206,203-MA_LONG2):$C206),"")</f>
        <v>741121990.225</v>
      </c>
      <c r="L206" s="53" t="n">
        <f aca="false">IF(AND(ISNUMBER($G206),$G206&gt;=21),STDEV(INDEX($H$146:$H206,62-20):$H206)*SQRT(245),"")</f>
        <v>0.165046726919124</v>
      </c>
      <c r="M206" s="52" t="n">
        <f aca="false">IF(AND(ISNUMBER($G206),$G206&gt;=60),MAX(INDEX($D$6:$D206,202-60):$D206),"")</f>
        <v>906697774</v>
      </c>
      <c r="N206" s="52" t="n">
        <f aca="false">IF(AND(ISNUMBER($G206),$G206&gt;=60),MIN(INDEX($E$6:$E206,202-60):$E206),"")</f>
        <v>745115955</v>
      </c>
      <c r="O206" s="53" t="n">
        <f aca="false">IF(OR(NOT(ISNUMBER($C206)),NOT(ISNUMBER($M206)),$M206=0),"",$C206/$M206-1)</f>
        <v>-0.00622802345161599</v>
      </c>
      <c r="P206" s="54"/>
      <c r="Q206" s="53" t="str">
        <f aca="false">IF(NOT(ISNUMBER($P206)),"",IFERROR(PERCENTRANK($P$5:$P$1204,$P206),""))</f>
        <v/>
      </c>
    </row>
    <row r="207" customFormat="false" ht="15" hidden="false" customHeight="false" outlineLevel="0" collapsed="false">
      <c r="A207" s="47" t="n">
        <v>45852</v>
      </c>
      <c r="B207" s="48" t="s">
        <v>355</v>
      </c>
      <c r="C207" s="49" t="n">
        <v>897054047</v>
      </c>
      <c r="D207" s="49" t="n">
        <v>900884963</v>
      </c>
      <c r="E207" s="49" t="n">
        <v>893473514</v>
      </c>
      <c r="F207" s="49" t="n">
        <v>0</v>
      </c>
      <c r="G207" s="50" t="n">
        <f aca="false">IF($A207="","",IF(ISNUMBER($G206),$G206+1,1))</f>
        <v>203</v>
      </c>
      <c r="H207" s="51" t="n">
        <f aca="false">IF(OR(NOT(ISNUMBER($G207)),$G207&lt;2,NOT(ISNUMBER($C206)),$C206=0),"",$C207/$C206-1)</f>
        <v>-0.00443570088058043</v>
      </c>
      <c r="I207" s="52" t="n">
        <f aca="false">IF(AND(ISNUMBER($G207),$G207&gt;=MA_SHORT),AVERAGE(INDEX($C$5:$C207,204-MA_SHORT):$C207),"")</f>
        <v>874528870.05</v>
      </c>
      <c r="J207" s="52" t="n">
        <f aca="false">IF(AND(ISNUMBER($G207),$G207&gt;=MA_MED),AVERAGE(INDEX($C$5:$C207,204-MA_MED):$C207),"")</f>
        <v>823215588.08</v>
      </c>
      <c r="K207" s="52" t="n">
        <f aca="false">IF(AND(ISNUMBER($G207),$G207&gt;=MA_LONG2),AVERAGE(INDEX($C$5:$C207,204-MA_LONG2):$C207),"")</f>
        <v>742485173.175</v>
      </c>
      <c r="L207" s="53" t="n">
        <f aca="false">IF(AND(ISNUMBER($G207),$G207&gt;=21),STDEV(INDEX($H$147:$H207,62-20):$H207)*SQRT(245),"")</f>
        <v>0.159764522755838</v>
      </c>
      <c r="M207" s="52" t="n">
        <f aca="false">IF(AND(ISNUMBER($G207),$G207&gt;=60),MAX(INDEX($D$7:$D207,202-60):$D207),"")</f>
        <v>906697774</v>
      </c>
      <c r="N207" s="52" t="n">
        <f aca="false">IF(AND(ISNUMBER($G207),$G207&gt;=60),MIN(INDEX($E$7:$E207,202-60):$E207),"")</f>
        <v>745115955</v>
      </c>
      <c r="O207" s="53" t="n">
        <f aca="false">IF(OR(NOT(ISNUMBER($C207)),NOT(ISNUMBER($M207)),$M207=0),"",$C207/$M207-1)</f>
        <v>-0.0106360986830878</v>
      </c>
      <c r="P207" s="54"/>
      <c r="Q207" s="53" t="str">
        <f aca="false">IF(NOT(ISNUMBER($P207)),"",IFERROR(PERCENTRANK($P$5:$P$1204,$P207),""))</f>
        <v/>
      </c>
    </row>
    <row r="208" customFormat="false" ht="15" hidden="false" customHeight="false" outlineLevel="0" collapsed="false">
      <c r="A208" s="47" t="n">
        <v>45853</v>
      </c>
      <c r="B208" s="48" t="s">
        <v>356</v>
      </c>
      <c r="C208" s="49" t="n">
        <v>919506148</v>
      </c>
      <c r="D208" s="49" t="n">
        <v>920679902</v>
      </c>
      <c r="E208" s="49" t="n">
        <v>917807307</v>
      </c>
      <c r="F208" s="49" t="n">
        <v>0</v>
      </c>
      <c r="G208" s="50" t="n">
        <f aca="false">IF($A208="","",IF(ISNUMBER($G207),$G207+1,1))</f>
        <v>204</v>
      </c>
      <c r="H208" s="51" t="n">
        <f aca="false">IF(OR(NOT(ISNUMBER($G208)),$G208&lt;2,NOT(ISNUMBER($C207)),$C207=0),"",$C208/$C207-1)</f>
        <v>0.0250287048757945</v>
      </c>
      <c r="I208" s="52" t="n">
        <f aca="false">IF(AND(ISNUMBER($G208),$G208&gt;=MA_SHORT),AVERAGE(INDEX($C$5:$C208,205-MA_SHORT):$C208),"")</f>
        <v>877849151.05</v>
      </c>
      <c r="J208" s="52" t="n">
        <f aca="false">IF(AND(ISNUMBER($G208),$G208&gt;=MA_MED),AVERAGE(INDEX($C$5:$C208,205-MA_MED):$C208),"")</f>
        <v>826600174.62</v>
      </c>
      <c r="K208" s="52" t="n">
        <f aca="false">IF(AND(ISNUMBER($G208),$G208&gt;=MA_LONG2),AVERAGE(INDEX($C$5:$C208,205-MA_LONG2):$C208),"")</f>
        <v>743958758.045</v>
      </c>
      <c r="L208" s="53" t="n">
        <f aca="false">IF(AND(ISNUMBER($G208),$G208&gt;=21),STDEV(INDEX($H$148:$H208,62-20):$H208)*SQRT(245),"")</f>
        <v>0.16896812942571</v>
      </c>
      <c r="M208" s="52" t="n">
        <f aca="false">IF(AND(ISNUMBER($G208),$G208&gt;=60),MAX(INDEX($D$8:$D208,202-60):$D208),"")</f>
        <v>920679902</v>
      </c>
      <c r="N208" s="52" t="n">
        <f aca="false">IF(AND(ISNUMBER($G208),$G208&gt;=60),MIN(INDEX($E$8:$E208,202-60):$E208),"")</f>
        <v>745115955</v>
      </c>
      <c r="O208" s="53" t="n">
        <f aca="false">IF(OR(NOT(ISNUMBER($C208)),NOT(ISNUMBER($M208)),$M208=0),"",$C208/$M208-1)</f>
        <v>-0.00127487740033239</v>
      </c>
      <c r="P208" s="54"/>
      <c r="Q208" s="53" t="str">
        <f aca="false">IF(NOT(ISNUMBER($P208)),"",IFERROR(PERCENTRANK($P$5:$P$1204,$P208),""))</f>
        <v/>
      </c>
    </row>
    <row r="209" customFormat="false" ht="15" hidden="false" customHeight="false" outlineLevel="0" collapsed="false">
      <c r="A209" s="47" t="n">
        <v>45854</v>
      </c>
      <c r="B209" s="48" t="s">
        <v>357</v>
      </c>
      <c r="C209" s="49" t="n">
        <v>911492274</v>
      </c>
      <c r="D209" s="49" t="n">
        <v>917152875</v>
      </c>
      <c r="E209" s="49" t="n">
        <v>907259551</v>
      </c>
      <c r="F209" s="49" t="n">
        <v>0</v>
      </c>
      <c r="G209" s="50" t="n">
        <f aca="false">IF($A209="","",IF(ISNUMBER($G208),$G208+1,1))</f>
        <v>205</v>
      </c>
      <c r="H209" s="51" t="n">
        <f aca="false">IF(OR(NOT(ISNUMBER($G209)),$G209&lt;2,NOT(ISNUMBER($C208)),$C208=0),"",$C209/$C208-1)</f>
        <v>-0.00871541100342921</v>
      </c>
      <c r="I209" s="52" t="n">
        <f aca="false">IF(AND(ISNUMBER($G209),$G209&gt;=MA_SHORT),AVERAGE(INDEX($C$5:$C209,206-MA_SHORT):$C209),"")</f>
        <v>880528075.7</v>
      </c>
      <c r="J209" s="52" t="n">
        <f aca="false">IF(AND(ISNUMBER($G209),$G209&gt;=MA_MED),AVERAGE(INDEX($C$5:$C209,206-MA_MED):$C209),"")</f>
        <v>829662913.5</v>
      </c>
      <c r="K209" s="52" t="n">
        <f aca="false">IF(AND(ISNUMBER($G209),$G209&gt;=MA_LONG2),AVERAGE(INDEX($C$5:$C209,206-MA_LONG2):$C209),"")</f>
        <v>745402688.69</v>
      </c>
      <c r="L209" s="53" t="n">
        <f aca="false">IF(AND(ISNUMBER($G209),$G209&gt;=21),STDEV(INDEX($H$149:$H209,62-20):$H209)*SQRT(245),"")</f>
        <v>0.174347797439509</v>
      </c>
      <c r="M209" s="52" t="n">
        <f aca="false">IF(AND(ISNUMBER($G209),$G209&gt;=60),MAX(INDEX($D$9:$D209,202-60):$D209),"")</f>
        <v>920679902</v>
      </c>
      <c r="N209" s="52" t="n">
        <f aca="false">IF(AND(ISNUMBER($G209),$G209&gt;=60),MIN(INDEX($E$9:$E209,202-60):$E209),"")</f>
        <v>745115955</v>
      </c>
      <c r="O209" s="53" t="n">
        <f aca="false">IF(OR(NOT(ISNUMBER($C209)),NOT(ISNUMBER($M209)),$M209=0),"",$C209/$M209-1)</f>
        <v>-0.00997917732323872</v>
      </c>
      <c r="P209" s="54"/>
      <c r="Q209" s="53" t="str">
        <f aca="false">IF(NOT(ISNUMBER($P209)),"",IFERROR(PERCENTRANK($P$5:$P$1204,$P209),""))</f>
        <v/>
      </c>
    </row>
    <row r="210" customFormat="false" ht="15" hidden="false" customHeight="false" outlineLevel="0" collapsed="false">
      <c r="A210" s="47" t="n">
        <v>45857</v>
      </c>
      <c r="B210" s="48" t="s">
        <v>358</v>
      </c>
      <c r="C210" s="49" t="n">
        <v>884982293</v>
      </c>
      <c r="D210" s="49" t="n">
        <v>886910326</v>
      </c>
      <c r="E210" s="49" t="n">
        <v>883148868</v>
      </c>
      <c r="F210" s="49" t="n">
        <v>0</v>
      </c>
      <c r="G210" s="50" t="n">
        <f aca="false">IF($A210="","",IF(ISNUMBER($G209),$G209+1,1))</f>
        <v>206</v>
      </c>
      <c r="H210" s="51" t="n">
        <f aca="false">IF(OR(NOT(ISNUMBER($G210)),$G210&lt;2,NOT(ISNUMBER($C209)),$C209=0),"",$C210/$C209-1)</f>
        <v>-0.0290841532684236</v>
      </c>
      <c r="I210" s="52" t="n">
        <f aca="false">IF(AND(ISNUMBER($G210),$G210&gt;=MA_SHORT),AVERAGE(INDEX($C$5:$C210,207-MA_SHORT):$C210),"")</f>
        <v>882055144.6</v>
      </c>
      <c r="J210" s="52" t="n">
        <f aca="false">IF(AND(ISNUMBER($G210),$G210&gt;=MA_MED),AVERAGE(INDEX($C$5:$C210,207-MA_MED):$C210),"")</f>
        <v>832264331.94</v>
      </c>
      <c r="K210" s="52" t="n">
        <f aca="false">IF(AND(ISNUMBER($G210),$G210&gt;=MA_LONG2),AVERAGE(INDEX($C$5:$C210,207-MA_LONG2):$C210),"")</f>
        <v>746739590.005</v>
      </c>
      <c r="L210" s="53" t="n">
        <f aca="false">IF(AND(ISNUMBER($G210),$G210&gt;=21),STDEV(INDEX($H$150:$H210,62-20):$H210)*SQRT(245),"")</f>
        <v>0.206605680453164</v>
      </c>
      <c r="M210" s="52" t="n">
        <f aca="false">IF(AND(ISNUMBER($G210),$G210&gt;=60),MAX(INDEX($D$10:$D210,202-60):$D210),"")</f>
        <v>920679902</v>
      </c>
      <c r="N210" s="52" t="n">
        <f aca="false">IF(AND(ISNUMBER($G210),$G210&gt;=60),MIN(INDEX($E$10:$E210,202-60):$E210),"")</f>
        <v>745115955</v>
      </c>
      <c r="O210" s="53" t="n">
        <f aca="false">IF(OR(NOT(ISNUMBER($C210)),NOT(ISNUMBER($M210)),$M210=0),"",$C210/$M210-1)</f>
        <v>-0.0387730946689004</v>
      </c>
      <c r="P210" s="54"/>
      <c r="Q210" s="53" t="str">
        <f aca="false">IF(NOT(ISNUMBER($P210)),"",IFERROR(PERCENTRANK($P$5:$P$1204,$P210),""))</f>
        <v/>
      </c>
    </row>
    <row r="211" customFormat="false" ht="15" hidden="false" customHeight="false" outlineLevel="0" collapsed="false">
      <c r="A211" s="47" t="n">
        <v>45858</v>
      </c>
      <c r="B211" s="48" t="s">
        <v>359</v>
      </c>
      <c r="C211" s="49" t="n">
        <v>896027687</v>
      </c>
      <c r="D211" s="49" t="n">
        <v>896093095</v>
      </c>
      <c r="E211" s="49" t="n">
        <v>888883976</v>
      </c>
      <c r="F211" s="49" t="n">
        <v>0</v>
      </c>
      <c r="G211" s="50" t="n">
        <f aca="false">IF($A211="","",IF(ISNUMBER($G210),$G210+1,1))</f>
        <v>207</v>
      </c>
      <c r="H211" s="51" t="n">
        <f aca="false">IF(OR(NOT(ISNUMBER($G211)),$G211&lt;2,NOT(ISNUMBER($C210)),$C210=0),"",$C211/$C210-1)</f>
        <v>0.0124809209035779</v>
      </c>
      <c r="I211" s="52" t="n">
        <f aca="false">IF(AND(ISNUMBER($G211),$G211&gt;=MA_SHORT),AVERAGE(INDEX($C$5:$C211,208-MA_SHORT):$C211),"")</f>
        <v>883835106.6</v>
      </c>
      <c r="J211" s="52" t="n">
        <f aca="false">IF(AND(ISNUMBER($G211),$G211&gt;=MA_MED),AVERAGE(INDEX($C$5:$C211,208-MA_MED):$C211),"")</f>
        <v>835140854.84</v>
      </c>
      <c r="K211" s="52" t="n">
        <f aca="false">IF(AND(ISNUMBER($G211),$G211&gt;=MA_LONG2),AVERAGE(INDEX($C$5:$C211,208-MA_LONG2):$C211),"")</f>
        <v>748063178.035</v>
      </c>
      <c r="L211" s="53" t="n">
        <f aca="false">IF(AND(ISNUMBER($G211),$G211&gt;=21),STDEV(INDEX($H$151:$H211,62-20):$H211)*SQRT(245),"")</f>
        <v>0.209242041209241</v>
      </c>
      <c r="M211" s="52" t="n">
        <f aca="false">IF(AND(ISNUMBER($G211),$G211&gt;=60),MAX(INDEX($D$11:$D211,202-60):$D211),"")</f>
        <v>920679902</v>
      </c>
      <c r="N211" s="52" t="n">
        <f aca="false">IF(AND(ISNUMBER($G211),$G211&gt;=60),MIN(INDEX($E$11:$E211,202-60):$E211),"")</f>
        <v>745115955</v>
      </c>
      <c r="O211" s="53" t="n">
        <f aca="false">IF(OR(NOT(ISNUMBER($C211)),NOT(ISNUMBER($M211)),$M211=0),"",$C211/$M211-1)</f>
        <v>-0.0267760976930721</v>
      </c>
      <c r="P211" s="54"/>
      <c r="Q211" s="53" t="str">
        <f aca="false">IF(NOT(ISNUMBER($P211)),"",IFERROR(PERCENTRANK($P$5:$P$1204,$P211),""))</f>
        <v/>
      </c>
    </row>
    <row r="212" customFormat="false" ht="15" hidden="false" customHeight="false" outlineLevel="0" collapsed="false">
      <c r="A212" s="47" t="n">
        <v>45859</v>
      </c>
      <c r="B212" s="48" t="s">
        <v>360</v>
      </c>
      <c r="C212" s="49" t="n">
        <v>918687513</v>
      </c>
      <c r="D212" s="49" t="n">
        <v>920518800</v>
      </c>
      <c r="E212" s="49" t="n">
        <v>915487840</v>
      </c>
      <c r="F212" s="49" t="n">
        <v>0</v>
      </c>
      <c r="G212" s="50" t="n">
        <f aca="false">IF($A212="","",IF(ISNUMBER($G211),$G211+1,1))</f>
        <v>208</v>
      </c>
      <c r="H212" s="51" t="n">
        <f aca="false">IF(OR(NOT(ISNUMBER($G212)),$G212&lt;2,NOT(ISNUMBER($C211)),$C211=0),"",$C212/$C211-1)</f>
        <v>0.0252892029216949</v>
      </c>
      <c r="I212" s="52" t="n">
        <f aca="false">IF(AND(ISNUMBER($G212),$G212&gt;=MA_SHORT),AVERAGE(INDEX($C$5:$C212,209-MA_SHORT):$C212),"")</f>
        <v>887409835.7</v>
      </c>
      <c r="J212" s="52" t="n">
        <f aca="false">IF(AND(ISNUMBER($G212),$G212&gt;=MA_MED),AVERAGE(INDEX($C$5:$C212,209-MA_MED):$C212),"")</f>
        <v>838326496.96</v>
      </c>
      <c r="K212" s="52" t="n">
        <f aca="false">IF(AND(ISNUMBER($G212),$G212&gt;=MA_LONG2),AVERAGE(INDEX($C$5:$C212,209-MA_LONG2):$C212),"")</f>
        <v>749537353.9</v>
      </c>
      <c r="L212" s="53" t="n">
        <f aca="false">IF(AND(ISNUMBER($G212),$G212&gt;=21),STDEV(INDEX($H$152:$H212,62-20):$H212)*SQRT(245),"")</f>
        <v>0.213760698895613</v>
      </c>
      <c r="M212" s="52" t="n">
        <f aca="false">IF(AND(ISNUMBER($G212),$G212&gt;=60),MAX(INDEX($D$12:$D212,202-60):$D212),"")</f>
        <v>920679902</v>
      </c>
      <c r="N212" s="52" t="n">
        <f aca="false">IF(AND(ISNUMBER($G212),$G212&gt;=60),MIN(INDEX($E$12:$E212,202-60):$E212),"")</f>
        <v>745115955</v>
      </c>
      <c r="O212" s="53" t="n">
        <f aca="false">IF(OR(NOT(ISNUMBER($C212)),NOT(ISNUMBER($M212)),$M212=0),"",$C212/$M212-1)</f>
        <v>-0.00216404093938827</v>
      </c>
      <c r="P212" s="54"/>
      <c r="Q212" s="53" t="str">
        <f aca="false">IF(NOT(ISNUMBER($P212)),"",IFERROR(PERCENTRANK($P$5:$P$1204,$P212),""))</f>
        <v/>
      </c>
    </row>
    <row r="213" customFormat="false" ht="15" hidden="false" customHeight="false" outlineLevel="0" collapsed="false">
      <c r="A213" s="47" t="n">
        <v>45860</v>
      </c>
      <c r="B213" s="48" t="s">
        <v>361</v>
      </c>
      <c r="C213" s="49" t="n">
        <v>912811171</v>
      </c>
      <c r="D213" s="49" t="n">
        <v>914884187</v>
      </c>
      <c r="E213" s="49" t="n">
        <v>912118209</v>
      </c>
      <c r="F213" s="49" t="n">
        <v>0</v>
      </c>
      <c r="G213" s="50" t="n">
        <f aca="false">IF($A213="","",IF(ISNUMBER($G212),$G212+1,1))</f>
        <v>209</v>
      </c>
      <c r="H213" s="51" t="n">
        <f aca="false">IF(OR(NOT(ISNUMBER($G213)),$G213&lt;2,NOT(ISNUMBER($C212)),$C212=0),"",$C213/$C212-1)</f>
        <v>-0.00639645354578799</v>
      </c>
      <c r="I213" s="52" t="n">
        <f aca="false">IF(AND(ISNUMBER($G213),$G213&gt;=MA_SHORT),AVERAGE(INDEX($C$5:$C213,210-MA_SHORT):$C213),"")</f>
        <v>890224720.8</v>
      </c>
      <c r="J213" s="52" t="n">
        <f aca="false">IF(AND(ISNUMBER($G213),$G213&gt;=MA_MED),AVERAGE(INDEX($C$5:$C213,210-MA_MED):$C213),"")</f>
        <v>841320639.16</v>
      </c>
      <c r="K213" s="52" t="n">
        <f aca="false">IF(AND(ISNUMBER($G213),$G213&gt;=MA_LONG2),AVERAGE(INDEX($C$5:$C213,210-MA_LONG2):$C213),"")</f>
        <v>750999457.48</v>
      </c>
      <c r="L213" s="53" t="n">
        <f aca="false">IF(AND(ISNUMBER($G213),$G213&gt;=21),STDEV(INDEX($H$153:$H213,62-20):$H213)*SQRT(245),"")</f>
        <v>0.215235738626501</v>
      </c>
      <c r="M213" s="52" t="n">
        <f aca="false">IF(AND(ISNUMBER($G213),$G213&gt;=60),MAX(INDEX($D$13:$D213,202-60):$D213),"")</f>
        <v>920679902</v>
      </c>
      <c r="N213" s="52" t="n">
        <f aca="false">IF(AND(ISNUMBER($G213),$G213&gt;=60),MIN(INDEX($E$13:$E213,202-60):$E213),"")</f>
        <v>745115955</v>
      </c>
      <c r="O213" s="53" t="n">
        <f aca="false">IF(OR(NOT(ISNUMBER($C213)),NOT(ISNUMBER($M213)),$M213=0),"",$C213/$M213-1)</f>
        <v>-0.00854665229783636</v>
      </c>
      <c r="P213" s="54"/>
      <c r="Q213" s="53" t="str">
        <f aca="false">IF(NOT(ISNUMBER($P213)),"",IFERROR(PERCENTRANK($P$5:$P$1204,$P213),""))</f>
        <v/>
      </c>
    </row>
    <row r="214" customFormat="false" ht="15" hidden="false" customHeight="false" outlineLevel="0" collapsed="false">
      <c r="A214" s="47" t="n">
        <v>45861</v>
      </c>
      <c r="B214" s="48" t="s">
        <v>362</v>
      </c>
      <c r="C214" s="49" t="n">
        <v>934612514</v>
      </c>
      <c r="D214" s="49" t="n">
        <v>939303858</v>
      </c>
      <c r="E214" s="49" t="n">
        <v>930604787</v>
      </c>
      <c r="F214" s="49" t="n">
        <v>0</v>
      </c>
      <c r="G214" s="50" t="n">
        <f aca="false">IF($A214="","",IF(ISNUMBER($G213),$G213+1,1))</f>
        <v>210</v>
      </c>
      <c r="H214" s="51" t="n">
        <f aca="false">IF(OR(NOT(ISNUMBER($G214)),$G214&lt;2,NOT(ISNUMBER($C213)),$C213=0),"",$C214/$C213-1)</f>
        <v>0.0238837381625339</v>
      </c>
      <c r="I214" s="52" t="n">
        <f aca="false">IF(AND(ISNUMBER($G214),$G214&gt;=MA_SHORT),AVERAGE(INDEX($C$5:$C214,211-MA_SHORT):$C214),"")</f>
        <v>893825578.75</v>
      </c>
      <c r="J214" s="52" t="n">
        <f aca="false">IF(AND(ISNUMBER($G214),$G214&gt;=MA_MED),AVERAGE(INDEX($C$5:$C214,211-MA_MED):$C214),"")</f>
        <v>844489957.38</v>
      </c>
      <c r="K214" s="52" t="n">
        <f aca="false">IF(AND(ISNUMBER($G214),$G214&gt;=MA_LONG2),AVERAGE(INDEX($C$5:$C214,211-MA_LONG2):$C214),"")</f>
        <v>752579268.2</v>
      </c>
      <c r="L214" s="53" t="n">
        <f aca="false">IF(AND(ISNUMBER($G214),$G214&gt;=21),STDEV(INDEX($H$154:$H214,62-20):$H214)*SQRT(245),"")</f>
        <v>0.226785057357555</v>
      </c>
      <c r="M214" s="52" t="n">
        <f aca="false">IF(AND(ISNUMBER($G214),$G214&gt;=60),MAX(INDEX($D$14:$D214,202-60):$D214),"")</f>
        <v>939303858</v>
      </c>
      <c r="N214" s="52" t="n">
        <f aca="false">IF(AND(ISNUMBER($G214),$G214&gt;=60),MIN(INDEX($E$14:$E214,202-60):$E214),"")</f>
        <v>745115955</v>
      </c>
      <c r="O214" s="53" t="n">
        <f aca="false">IF(OR(NOT(ISNUMBER($C214)),NOT(ISNUMBER($M214)),$M214=0),"",$C214/$M214-1)</f>
        <v>-0.00499449029197963</v>
      </c>
      <c r="P214" s="54"/>
      <c r="Q214" s="53" t="str">
        <f aca="false">IF(NOT(ISNUMBER($P214)),"",IFERROR(PERCENTRANK($P$5:$P$1204,$P214),""))</f>
        <v/>
      </c>
    </row>
    <row r="215" customFormat="false" ht="15" hidden="false" customHeight="false" outlineLevel="0" collapsed="false">
      <c r="A215" s="47" t="n">
        <v>45864</v>
      </c>
      <c r="B215" s="48" t="s">
        <v>363</v>
      </c>
      <c r="C215" s="49" t="n">
        <v>941569304</v>
      </c>
      <c r="D215" s="49" t="n">
        <v>948968936</v>
      </c>
      <c r="E215" s="49" t="n">
        <v>936066102</v>
      </c>
      <c r="F215" s="49" t="n">
        <v>0</v>
      </c>
      <c r="G215" s="50" t="n">
        <f aca="false">IF($A215="","",IF(ISNUMBER($G214),$G214+1,1))</f>
        <v>211</v>
      </c>
      <c r="H215" s="51" t="n">
        <f aca="false">IF(OR(NOT(ISNUMBER($G215)),$G215&lt;2,NOT(ISNUMBER($C214)),$C214=0),"",$C215/$C214-1)</f>
        <v>0.00744350187461751</v>
      </c>
      <c r="I215" s="52" t="n">
        <f aca="false">IF(AND(ISNUMBER($G215),$G215&gt;=MA_SHORT),AVERAGE(INDEX($C$5:$C215,212-MA_SHORT):$C215),"")</f>
        <v>897450906.95</v>
      </c>
      <c r="J215" s="52" t="n">
        <f aca="false">IF(AND(ISNUMBER($G215),$G215&gt;=MA_MED),AVERAGE(INDEX($C$5:$C215,212-MA_MED):$C215),"")</f>
        <v>847740422.58</v>
      </c>
      <c r="K215" s="52" t="n">
        <f aca="false">IF(AND(ISNUMBER($G215),$G215&gt;=MA_LONG2),AVERAGE(INDEX($C$5:$C215,212-MA_LONG2):$C215),"")</f>
        <v>754125811.41</v>
      </c>
      <c r="L215" s="53" t="n">
        <f aca="false">IF(AND(ISNUMBER($G215),$G215&gt;=21),STDEV(INDEX($H$155:$H215,62-20):$H215)*SQRT(245),"")</f>
        <v>0.226774740132857</v>
      </c>
      <c r="M215" s="52" t="n">
        <f aca="false">IF(AND(ISNUMBER($G215),$G215&gt;=60),MAX(INDEX($D$15:$D215,202-60):$D215),"")</f>
        <v>948968936</v>
      </c>
      <c r="N215" s="52" t="n">
        <f aca="false">IF(AND(ISNUMBER($G215),$G215&gt;=60),MIN(INDEX($E$15:$E215,202-60):$E215),"")</f>
        <v>745115955</v>
      </c>
      <c r="O215" s="53" t="n">
        <f aca="false">IF(OR(NOT(ISNUMBER($C215)),NOT(ISNUMBER($M215)),$M215=0),"",$C215/$M215-1)</f>
        <v>-0.00779754923400355</v>
      </c>
      <c r="P215" s="54"/>
      <c r="Q215" s="53" t="str">
        <f aca="false">IF(NOT(ISNUMBER($P215)),"",IFERROR(PERCENTRANK($P$5:$P$1204,$P215),""))</f>
        <v/>
      </c>
    </row>
    <row r="216" customFormat="false" ht="15" hidden="false" customHeight="false" outlineLevel="0" collapsed="false">
      <c r="A216" s="47" t="n">
        <v>45865</v>
      </c>
      <c r="B216" s="48" t="s">
        <v>364</v>
      </c>
      <c r="C216" s="49" t="n">
        <v>928287372</v>
      </c>
      <c r="D216" s="49" t="n">
        <v>932614949</v>
      </c>
      <c r="E216" s="49" t="n">
        <v>927697782</v>
      </c>
      <c r="F216" s="49" t="n">
        <v>0</v>
      </c>
      <c r="G216" s="50" t="n">
        <f aca="false">IF($A216="","",IF(ISNUMBER($G215),$G215+1,1))</f>
        <v>212</v>
      </c>
      <c r="H216" s="51" t="n">
        <f aca="false">IF(OR(NOT(ISNUMBER($G216)),$G216&lt;2,NOT(ISNUMBER($C215)),$C215=0),"",$C216/$C215-1)</f>
        <v>-0.0141061650412512</v>
      </c>
      <c r="I216" s="52" t="n">
        <f aca="false">IF(AND(ISNUMBER($G216),$G216&gt;=MA_SHORT),AVERAGE(INDEX($C$5:$C216,213-MA_SHORT):$C216),"")</f>
        <v>899834248.45</v>
      </c>
      <c r="J216" s="52" t="n">
        <f aca="false">IF(AND(ISNUMBER($G216),$G216&gt;=MA_MED),AVERAGE(INDEX($C$5:$C216,213-MA_MED):$C216),"")</f>
        <v>850908745.2</v>
      </c>
      <c r="K216" s="52" t="n">
        <f aca="false">IF(AND(ISNUMBER($G216),$G216&gt;=MA_LONG2),AVERAGE(INDEX($C$5:$C216,213-MA_LONG2):$C216),"")</f>
        <v>755587982.475</v>
      </c>
      <c r="L216" s="53" t="n">
        <f aca="false">IF(AND(ISNUMBER($G216),$G216&gt;=21),STDEV(INDEX($H$156:$H216,62-20):$H216)*SQRT(245),"")</f>
        <v>0.232670730064098</v>
      </c>
      <c r="M216" s="52" t="n">
        <f aca="false">IF(AND(ISNUMBER($G216),$G216&gt;=60),MAX(INDEX($D$16:$D216,202-60):$D216),"")</f>
        <v>948968936</v>
      </c>
      <c r="N216" s="52" t="n">
        <f aca="false">IF(AND(ISNUMBER($G216),$G216&gt;=60),MIN(INDEX($E$16:$E216,202-60):$E216),"")</f>
        <v>745115955</v>
      </c>
      <c r="O216" s="53" t="n">
        <f aca="false">IF(OR(NOT(ISNUMBER($C216)),NOT(ISNUMBER($M216)),$M216=0),"",$C216/$M216-1)</f>
        <v>-0.0217937207588427</v>
      </c>
      <c r="P216" s="54"/>
      <c r="Q216" s="53" t="str">
        <f aca="false">IF(NOT(ISNUMBER($P216)),"",IFERROR(PERCENTRANK($P$5:$P$1204,$P216),""))</f>
        <v/>
      </c>
    </row>
    <row r="217" customFormat="false" ht="15" hidden="false" customHeight="false" outlineLevel="0" collapsed="false">
      <c r="A217" s="47" t="n">
        <v>45866</v>
      </c>
      <c r="B217" s="48" t="s">
        <v>365</v>
      </c>
      <c r="C217" s="49" t="n">
        <v>924781483</v>
      </c>
      <c r="D217" s="49" t="n">
        <v>929020356</v>
      </c>
      <c r="E217" s="49" t="n">
        <v>919484664</v>
      </c>
      <c r="F217" s="49" t="n">
        <v>0</v>
      </c>
      <c r="G217" s="50" t="n">
        <f aca="false">IF($A217="","",IF(ISNUMBER($G216),$G216+1,1))</f>
        <v>213</v>
      </c>
      <c r="H217" s="51" t="n">
        <f aca="false">IF(OR(NOT(ISNUMBER($G217)),$G217&lt;2,NOT(ISNUMBER($C216)),$C216=0),"",$C217/$C216-1)</f>
        <v>-0.00377672809708329</v>
      </c>
      <c r="I217" s="52" t="n">
        <f aca="false">IF(AND(ISNUMBER($G217),$G217&gt;=MA_SHORT),AVERAGE(INDEX($C$5:$C217,214-MA_SHORT):$C217),"")</f>
        <v>902808758.65</v>
      </c>
      <c r="J217" s="52" t="n">
        <f aca="false">IF(AND(ISNUMBER($G217),$G217&gt;=MA_MED),AVERAGE(INDEX($C$5:$C217,214-MA_MED):$C217),"")</f>
        <v>854016403.02</v>
      </c>
      <c r="K217" s="52" t="n">
        <f aca="false">IF(AND(ISNUMBER($G217),$G217&gt;=MA_LONG2),AVERAGE(INDEX($C$5:$C217,214-MA_LONG2):$C217),"")</f>
        <v>757025372.26</v>
      </c>
      <c r="L217" s="53" t="n">
        <f aca="false">IF(AND(ISNUMBER($G217),$G217&gt;=21),STDEV(INDEX($H$157:$H217,62-20):$H217)*SQRT(245),"")</f>
        <v>0.222098771423268</v>
      </c>
      <c r="M217" s="52" t="n">
        <f aca="false">IF(AND(ISNUMBER($G217),$G217&gt;=60),MAX(INDEX($D$17:$D217,202-60):$D217),"")</f>
        <v>948968936</v>
      </c>
      <c r="N217" s="52" t="n">
        <f aca="false">IF(AND(ISNUMBER($G217),$G217&gt;=60),MIN(INDEX($E$17:$E217,202-60):$E217),"")</f>
        <v>745115955</v>
      </c>
      <c r="O217" s="53" t="n">
        <f aca="false">IF(OR(NOT(ISNUMBER($C217)),NOT(ISNUMBER($M217)),$M217=0),"",$C217/$M217-1)</f>
        <v>-0.025488139898396</v>
      </c>
      <c r="P217" s="54"/>
      <c r="Q217" s="53" t="str">
        <f aca="false">IF(NOT(ISNUMBER($P217)),"",IFERROR(PERCENTRANK($P$5:$P$1204,$P217),""))</f>
        <v/>
      </c>
    </row>
    <row r="218" customFormat="false" ht="15" hidden="false" customHeight="false" outlineLevel="0" collapsed="false">
      <c r="A218" s="47" t="n">
        <v>45867</v>
      </c>
      <c r="B218" s="48" t="s">
        <v>366</v>
      </c>
      <c r="C218" s="49" t="n">
        <v>922250691</v>
      </c>
      <c r="D218" s="49" t="n">
        <v>927189150</v>
      </c>
      <c r="E218" s="49" t="n">
        <v>919948665</v>
      </c>
      <c r="F218" s="49" t="n">
        <v>0</v>
      </c>
      <c r="G218" s="50" t="n">
        <f aca="false">IF($A218="","",IF(ISNUMBER($G217),$G217+1,1))</f>
        <v>214</v>
      </c>
      <c r="H218" s="51" t="n">
        <f aca="false">IF(OR(NOT(ISNUMBER($G218)),$G218&lt;2,NOT(ISNUMBER($C217)),$C217=0),"",$C218/$C217-1)</f>
        <v>-0.00273663783988198</v>
      </c>
      <c r="I218" s="52" t="n">
        <f aca="false">IF(AND(ISNUMBER($G218),$G218&gt;=MA_SHORT),AVERAGE(INDEX($C$5:$C218,215-MA_SHORT):$C218),"")</f>
        <v>905227205.4</v>
      </c>
      <c r="J218" s="52" t="n">
        <f aca="false">IF(AND(ISNUMBER($G218),$G218&gt;=MA_MED),AVERAGE(INDEX($C$5:$C218,215-MA_MED):$C218),"")</f>
        <v>857325051.82</v>
      </c>
      <c r="K218" s="52" t="n">
        <f aca="false">IF(AND(ISNUMBER($G218),$G218&gt;=MA_LONG2),AVERAGE(INDEX($C$5:$C218,215-MA_LONG2):$C218),"")</f>
        <v>758469865.06</v>
      </c>
      <c r="L218" s="53" t="n">
        <f aca="false">IF(AND(ISNUMBER($G218),$G218&gt;=21),STDEV(INDEX($H$158:$H218,62-20):$H218)*SQRT(245),"")</f>
        <v>0.221740734026271</v>
      </c>
      <c r="M218" s="52" t="n">
        <f aca="false">IF(AND(ISNUMBER($G218),$G218&gt;=60),MAX(INDEX($D$18:$D218,202-60):$D218),"")</f>
        <v>948968936</v>
      </c>
      <c r="N218" s="52" t="n">
        <f aca="false">IF(AND(ISNUMBER($G218),$G218&gt;=60),MIN(INDEX($E$18:$E218,202-60):$E218),"")</f>
        <v>751794941</v>
      </c>
      <c r="O218" s="53" t="n">
        <f aca="false">IF(OR(NOT(ISNUMBER($C218)),NOT(ISNUMBER($M218)),$M218=0),"",$C218/$M218-1)</f>
        <v>-0.0281550259301638</v>
      </c>
      <c r="P218" s="54"/>
      <c r="Q218" s="53" t="str">
        <f aca="false">IF(NOT(ISNUMBER($P218)),"",IFERROR(PERCENTRANK($P$5:$P$1204,$P218),""))</f>
        <v/>
      </c>
    </row>
    <row r="219" customFormat="false" ht="15" hidden="false" customHeight="false" outlineLevel="0" collapsed="false">
      <c r="A219" s="47" t="n">
        <v>45868</v>
      </c>
      <c r="B219" s="48" t="s">
        <v>367</v>
      </c>
      <c r="C219" s="49" t="n">
        <v>921323651</v>
      </c>
      <c r="D219" s="49" t="n">
        <v>923187747</v>
      </c>
      <c r="E219" s="49" t="n">
        <v>919812957</v>
      </c>
      <c r="F219" s="49" t="n">
        <v>0</v>
      </c>
      <c r="G219" s="50" t="n">
        <f aca="false">IF($A219="","",IF(ISNUMBER($G218),$G218+1,1))</f>
        <v>215</v>
      </c>
      <c r="H219" s="51" t="n">
        <f aca="false">IF(OR(NOT(ISNUMBER($G219)),$G219&lt;2,NOT(ISNUMBER($C218)),$C218=0),"",$C219/$C218-1)</f>
        <v>-0.00100519306631786</v>
      </c>
      <c r="I219" s="52" t="n">
        <f aca="false">IF(AND(ISNUMBER($G219),$G219&gt;=MA_SHORT),AVERAGE(INDEX($C$5:$C219,216-MA_SHORT):$C219),"")</f>
        <v>908066637.6</v>
      </c>
      <c r="J219" s="52" t="n">
        <f aca="false">IF(AND(ISNUMBER($G219),$G219&gt;=MA_MED),AVERAGE(INDEX($C$5:$C219,216-MA_MED):$C219),"")</f>
        <v>860416456.8</v>
      </c>
      <c r="K219" s="52" t="n">
        <f aca="false">IF(AND(ISNUMBER($G219),$G219&gt;=MA_LONG2),AVERAGE(INDEX($C$5:$C219,216-MA_LONG2):$C219),"")</f>
        <v>759821332.69</v>
      </c>
      <c r="L219" s="53" t="n">
        <f aca="false">IF(AND(ISNUMBER($G219),$G219&gt;=21),STDEV(INDEX($H$159:$H219,62-20):$H219)*SQRT(245),"")</f>
        <v>0.21667590690351</v>
      </c>
      <c r="M219" s="52" t="n">
        <f aca="false">IF(AND(ISNUMBER($G219),$G219&gt;=60),MAX(INDEX($D$19:$D219,202-60):$D219),"")</f>
        <v>948968936</v>
      </c>
      <c r="N219" s="52" t="n">
        <f aca="false">IF(AND(ISNUMBER($G219),$G219&gt;=60),MIN(INDEX($E$19:$E219,202-60):$E219),"")</f>
        <v>751794941</v>
      </c>
      <c r="O219" s="53" t="n">
        <f aca="false">IF(OR(NOT(ISNUMBER($C219)),NOT(ISNUMBER($M219)),$M219=0),"",$C219/$M219-1)</f>
        <v>-0.0291319177596346</v>
      </c>
      <c r="P219" s="54"/>
      <c r="Q219" s="53" t="str">
        <f aca="false">IF(NOT(ISNUMBER($P219)),"",IFERROR(PERCENTRANK($P$5:$P$1204,$P219),""))</f>
        <v/>
      </c>
    </row>
    <row r="220" customFormat="false" ht="15" hidden="false" customHeight="false" outlineLevel="0" collapsed="false">
      <c r="A220" s="47" t="n">
        <v>45871</v>
      </c>
      <c r="B220" s="48" t="s">
        <v>368</v>
      </c>
      <c r="C220" s="49" t="n">
        <v>926410614</v>
      </c>
      <c r="D220" s="49" t="n">
        <v>928043095</v>
      </c>
      <c r="E220" s="49" t="n">
        <v>926369439</v>
      </c>
      <c r="F220" s="49" t="n">
        <v>0</v>
      </c>
      <c r="G220" s="50" t="n">
        <f aca="false">IF($A220="","",IF(ISNUMBER($G219),$G219+1,1))</f>
        <v>216</v>
      </c>
      <c r="H220" s="51" t="n">
        <f aca="false">IF(OR(NOT(ISNUMBER($G220)),$G220&lt;2,NOT(ISNUMBER($C219)),$C219=0),"",$C220/$C219-1)</f>
        <v>0.00552136374061241</v>
      </c>
      <c r="I220" s="52" t="n">
        <f aca="false">IF(AND(ISNUMBER($G220),$G220&gt;=MA_SHORT),AVERAGE(INDEX($C$5:$C220,217-MA_SHORT):$C220),"")</f>
        <v>910499424.5</v>
      </c>
      <c r="J220" s="52" t="n">
        <f aca="false">IF(AND(ISNUMBER($G220),$G220&gt;=MA_MED),AVERAGE(INDEX($C$5:$C220,217-MA_MED):$C220),"")</f>
        <v>863809741.04</v>
      </c>
      <c r="K220" s="52" t="n">
        <f aca="false">IF(AND(ISNUMBER($G220),$G220&gt;=MA_LONG2),AVERAGE(INDEX($C$5:$C220,217-MA_LONG2):$C220),"")</f>
        <v>761267057.8</v>
      </c>
      <c r="L220" s="53" t="n">
        <f aca="false">IF(AND(ISNUMBER($G220),$G220&gt;=21),STDEV(INDEX($H$160:$H220,62-20):$H220)*SQRT(245),"")</f>
        <v>0.212345427028451</v>
      </c>
      <c r="M220" s="52" t="n">
        <f aca="false">IF(AND(ISNUMBER($G220),$G220&gt;=60),MAX(INDEX($D$20:$D220,202-60):$D220),"")</f>
        <v>948968936</v>
      </c>
      <c r="N220" s="52" t="n">
        <f aca="false">IF(AND(ISNUMBER($G220),$G220&gt;=60),MIN(INDEX($E$20:$E220,202-60):$E220),"")</f>
        <v>751794941</v>
      </c>
      <c r="O220" s="53" t="n">
        <f aca="false">IF(OR(NOT(ISNUMBER($C220)),NOT(ISNUMBER($M220)),$M220=0),"",$C220/$M220-1)</f>
        <v>-0.0237714019334349</v>
      </c>
      <c r="P220" s="54"/>
      <c r="Q220" s="53" t="str">
        <f aca="false">IF(NOT(ISNUMBER($P220)),"",IFERROR(PERCENTRANK($P$5:$P$1204,$P220),""))</f>
        <v/>
      </c>
    </row>
    <row r="221" customFormat="false" ht="15" hidden="false" customHeight="false" outlineLevel="0" collapsed="false">
      <c r="A221" s="47" t="n">
        <v>45872</v>
      </c>
      <c r="B221" s="48" t="s">
        <v>369</v>
      </c>
      <c r="C221" s="49" t="n">
        <v>907633406</v>
      </c>
      <c r="D221" s="49" t="n">
        <v>909377135</v>
      </c>
      <c r="E221" s="49" t="n">
        <v>902705271</v>
      </c>
      <c r="F221" s="49" t="n">
        <v>0</v>
      </c>
      <c r="G221" s="50" t="n">
        <f aca="false">IF($A221="","",IF(ISNUMBER($G220),$G220+1,1))</f>
        <v>217</v>
      </c>
      <c r="H221" s="51" t="n">
        <f aca="false">IF(OR(NOT(ISNUMBER($G221)),$G221&lt;2,NOT(ISNUMBER($C220)),$C220=0),"",$C221/$C220-1)</f>
        <v>-0.0202687746839654</v>
      </c>
      <c r="I221" s="52" t="n">
        <f aca="false">IF(AND(ISNUMBER($G221),$G221&gt;=MA_SHORT),AVERAGE(INDEX($C$5:$C221,218-MA_SHORT):$C221),"")</f>
        <v>911463949.15</v>
      </c>
      <c r="J221" s="52" t="n">
        <f aca="false">IF(AND(ISNUMBER($G221),$G221&gt;=MA_MED),AVERAGE(INDEX($C$5:$C221,218-MA_MED):$C221),"")</f>
        <v>866805119.6</v>
      </c>
      <c r="K221" s="52" t="n">
        <f aca="false">IF(AND(ISNUMBER($G221),$G221&gt;=MA_LONG2),AVERAGE(INDEX($C$5:$C221,218-MA_LONG2):$C221),"")</f>
        <v>762582189.855</v>
      </c>
      <c r="L221" s="53" t="n">
        <f aca="false">IF(AND(ISNUMBER($G221),$G221&gt;=21),STDEV(INDEX($H$161:$H221,62-20):$H221)*SQRT(245),"")</f>
        <v>0.223970667767327</v>
      </c>
      <c r="M221" s="52" t="n">
        <f aca="false">IF(AND(ISNUMBER($G221),$G221&gt;=60),MAX(INDEX($D$21:$D221,202-60):$D221),"")</f>
        <v>948968936</v>
      </c>
      <c r="N221" s="52" t="n">
        <f aca="false">IF(AND(ISNUMBER($G221),$G221&gt;=60),MIN(INDEX($E$21:$E221,202-60):$E221),"")</f>
        <v>754356537</v>
      </c>
      <c r="O221" s="53" t="n">
        <f aca="false">IF(OR(NOT(ISNUMBER($C221)),NOT(ISNUMBER($M221)),$M221=0),"",$C221/$M221-1)</f>
        <v>-0.0435583594276894</v>
      </c>
      <c r="P221" s="54"/>
      <c r="Q221" s="53" t="str">
        <f aca="false">IF(NOT(ISNUMBER($P221)),"",IFERROR(PERCENTRANK($P$5:$P$1204,$P221),""))</f>
        <v/>
      </c>
    </row>
    <row r="222" customFormat="false" ht="15" hidden="false" customHeight="false" outlineLevel="0" collapsed="false">
      <c r="A222" s="47" t="n">
        <v>45873</v>
      </c>
      <c r="B222" s="48" t="s">
        <v>370</v>
      </c>
      <c r="C222" s="49" t="n">
        <v>913490229</v>
      </c>
      <c r="D222" s="49" t="n">
        <v>916831555</v>
      </c>
      <c r="E222" s="49" t="n">
        <v>910678930</v>
      </c>
      <c r="F222" s="49" t="n">
        <v>0</v>
      </c>
      <c r="G222" s="50" t="n">
        <f aca="false">IF($A222="","",IF(ISNUMBER($G221),$G221+1,1))</f>
        <v>218</v>
      </c>
      <c r="H222" s="51" t="n">
        <f aca="false">IF(OR(NOT(ISNUMBER($G222)),$G222&lt;2,NOT(ISNUMBER($C221)),$C221=0),"",$C222/$C221-1)</f>
        <v>0.00645285085507319</v>
      </c>
      <c r="I222" s="52" t="n">
        <f aca="false">IF(AND(ISNUMBER($G222),$G222&gt;=MA_SHORT),AVERAGE(INDEX($C$5:$C222,219-MA_SHORT):$C222),"")</f>
        <v>912507206.3</v>
      </c>
      <c r="J222" s="52" t="n">
        <f aca="false">IF(AND(ISNUMBER($G222),$G222&gt;=MA_MED),AVERAGE(INDEX($C$5:$C222,219-MA_MED):$C222),"")</f>
        <v>869840716.96</v>
      </c>
      <c r="K222" s="52" t="n">
        <f aca="false">IF(AND(ISNUMBER($G222),$G222&gt;=MA_LONG2),AVERAGE(INDEX($C$5:$C222,219-MA_LONG2):$C222),"")</f>
        <v>763948557.01</v>
      </c>
      <c r="L222" s="53" t="n">
        <f aca="false">IF(AND(ISNUMBER($G222),$G222&gt;=21),STDEV(INDEX($H$162:$H222,62-20):$H222)*SQRT(245),"")</f>
        <v>0.224386065726539</v>
      </c>
      <c r="M222" s="52" t="n">
        <f aca="false">IF(AND(ISNUMBER($G222),$G222&gt;=60),MAX(INDEX($D$22:$D222,202-60):$D222),"")</f>
        <v>948968936</v>
      </c>
      <c r="N222" s="52" t="n">
        <f aca="false">IF(AND(ISNUMBER($G222),$G222&gt;=60),MIN(INDEX($E$22:$E222,202-60):$E222),"")</f>
        <v>754356537</v>
      </c>
      <c r="O222" s="53" t="n">
        <f aca="false">IF(OR(NOT(ISNUMBER($C222)),NOT(ISNUMBER($M222)),$M222=0),"",$C222/$M222-1)</f>
        <v>-0.0373865841694949</v>
      </c>
      <c r="P222" s="54"/>
      <c r="Q222" s="53" t="str">
        <f aca="false">IF(NOT(ISNUMBER($P222)),"",IFERROR(PERCENTRANK($P$5:$P$1204,$P222),""))</f>
        <v/>
      </c>
    </row>
    <row r="223" customFormat="false" ht="15" hidden="false" customHeight="false" outlineLevel="0" collapsed="false">
      <c r="A223" s="47" t="n">
        <v>45874</v>
      </c>
      <c r="B223" s="48" t="s">
        <v>371</v>
      </c>
      <c r="C223" s="49" t="n">
        <v>910650637</v>
      </c>
      <c r="D223" s="49" t="n">
        <v>914446521</v>
      </c>
      <c r="E223" s="49" t="n">
        <v>909759185</v>
      </c>
      <c r="F223" s="49" t="n">
        <v>0</v>
      </c>
      <c r="G223" s="50" t="n">
        <f aca="false">IF($A223="","",IF(ISNUMBER($G222),$G222+1,1))</f>
        <v>219</v>
      </c>
      <c r="H223" s="51" t="n">
        <f aca="false">IF(OR(NOT(ISNUMBER($G223)),$G223&lt;2,NOT(ISNUMBER($C222)),$C222=0),"",$C223/$C222-1)</f>
        <v>-0.00310850834508492</v>
      </c>
      <c r="I223" s="52" t="n">
        <f aca="false">IF(AND(ISNUMBER($G223),$G223&gt;=MA_SHORT),AVERAGE(INDEX($C$5:$C223,220-MA_SHORT):$C223),"")</f>
        <v>913012002.35</v>
      </c>
      <c r="J223" s="52" t="n">
        <f aca="false">IF(AND(ISNUMBER($G223),$G223&gt;=MA_MED),AVERAGE(INDEX($C$5:$C223,220-MA_MED):$C223),"")</f>
        <v>872523703.7</v>
      </c>
      <c r="K223" s="52" t="n">
        <f aca="false">IF(AND(ISNUMBER($G223),$G223&gt;=MA_LONG2),AVERAGE(INDEX($C$5:$C223,220-MA_LONG2):$C223),"")</f>
        <v>765331290.225</v>
      </c>
      <c r="L223" s="53" t="n">
        <f aca="false">IF(AND(ISNUMBER($G223),$G223&gt;=21),STDEV(INDEX($H$163:$H223,62-20):$H223)*SQRT(245),"")</f>
        <v>0.223049443710397</v>
      </c>
      <c r="M223" s="52" t="n">
        <f aca="false">IF(AND(ISNUMBER($G223),$G223&gt;=60),MAX(INDEX($D$23:$D223,202-60):$D223),"")</f>
        <v>948968936</v>
      </c>
      <c r="N223" s="52" t="n">
        <f aca="false">IF(AND(ISNUMBER($G223),$G223&gt;=60),MIN(INDEX($E$23:$E223,202-60):$E223),"")</f>
        <v>754356537</v>
      </c>
      <c r="O223" s="53" t="n">
        <f aca="false">IF(OR(NOT(ISNUMBER($C223)),NOT(ISNUMBER($M223)),$M223=0),"",$C223/$M223-1)</f>
        <v>-0.0403788760056947</v>
      </c>
      <c r="P223" s="54"/>
      <c r="Q223" s="53" t="str">
        <f aca="false">IF(NOT(ISNUMBER($P223)),"",IFERROR(PERCENTRANK($P$5:$P$1204,$P223),""))</f>
        <v/>
      </c>
    </row>
    <row r="224" customFormat="false" ht="15" hidden="false" customHeight="false" outlineLevel="0" collapsed="false">
      <c r="A224" s="47" t="n">
        <v>45875</v>
      </c>
      <c r="B224" s="48" t="s">
        <v>372</v>
      </c>
      <c r="C224" s="49" t="n">
        <v>899590527</v>
      </c>
      <c r="D224" s="49" t="n">
        <v>904108318</v>
      </c>
      <c r="E224" s="49" t="n">
        <v>895935912</v>
      </c>
      <c r="F224" s="49" t="n">
        <v>0</v>
      </c>
      <c r="G224" s="50" t="n">
        <f aca="false">IF($A224="","",IF(ISNUMBER($G223),$G223+1,1))</f>
        <v>220</v>
      </c>
      <c r="H224" s="51" t="n">
        <f aca="false">IF(OR(NOT(ISNUMBER($G224)),$G224&lt;2,NOT(ISNUMBER($C223)),$C223=0),"",$C224/$C223-1)</f>
        <v>-0.012145283328891</v>
      </c>
      <c r="I224" s="52" t="n">
        <f aca="false">IF(AND(ISNUMBER($G224),$G224&gt;=MA_SHORT),AVERAGE(INDEX($C$5:$C224,221-MA_SHORT):$C224),"")</f>
        <v>913290763.5</v>
      </c>
      <c r="J224" s="52" t="n">
        <f aca="false">IF(AND(ISNUMBER($G224),$G224&gt;=MA_MED),AVERAGE(INDEX($C$5:$C224,221-MA_MED):$C224),"")</f>
        <v>874931619.18</v>
      </c>
      <c r="K224" s="52" t="n">
        <f aca="false">IF(AND(ISNUMBER($G224),$G224&gt;=MA_LONG2),AVERAGE(INDEX($C$5:$C224,221-MA_LONG2):$C224),"")</f>
        <v>766643616.085</v>
      </c>
      <c r="L224" s="53" t="n">
        <f aca="false">IF(AND(ISNUMBER($G224),$G224&gt;=21),STDEV(INDEX($H$164:$H224,62-20):$H224)*SQRT(245),"")</f>
        <v>0.225920727014305</v>
      </c>
      <c r="M224" s="52" t="n">
        <f aca="false">IF(AND(ISNUMBER($G224),$G224&gt;=60),MAX(INDEX($D$24:$D224,202-60):$D224),"")</f>
        <v>948968936</v>
      </c>
      <c r="N224" s="52" t="n">
        <f aca="false">IF(AND(ISNUMBER($G224),$G224&gt;=60),MIN(INDEX($E$24:$E224,202-60):$E224),"")</f>
        <v>754356537</v>
      </c>
      <c r="O224" s="53" t="n">
        <f aca="false">IF(OR(NOT(ISNUMBER($C224)),NOT(ISNUMBER($M224)),$M224=0),"",$C224/$M224-1)</f>
        <v>-0.0520337464449943</v>
      </c>
      <c r="P224" s="54"/>
      <c r="Q224" s="53" t="str">
        <f aca="false">IF(NOT(ISNUMBER($P224)),"",IFERROR(PERCENTRANK($P$5:$P$1204,$P224),""))</f>
        <v/>
      </c>
    </row>
    <row r="225" customFormat="false" ht="15" hidden="false" customHeight="false" outlineLevel="0" collapsed="false">
      <c r="A225" s="47" t="n">
        <v>45878</v>
      </c>
      <c r="B225" s="48" t="s">
        <v>373</v>
      </c>
      <c r="C225" s="49" t="n">
        <v>908488438</v>
      </c>
      <c r="D225" s="49" t="n">
        <v>910728415</v>
      </c>
      <c r="E225" s="49" t="n">
        <v>906432296</v>
      </c>
      <c r="F225" s="49" t="n">
        <v>0</v>
      </c>
      <c r="G225" s="50" t="n">
        <f aca="false">IF($A225="","",IF(ISNUMBER($G224),$G224+1,1))</f>
        <v>221</v>
      </c>
      <c r="H225" s="51" t="n">
        <f aca="false">IF(OR(NOT(ISNUMBER($G225)),$G225&lt;2,NOT(ISNUMBER($C224)),$C224=0),"",$C225/$C224-1)</f>
        <v>0.00989106791694794</v>
      </c>
      <c r="I225" s="52" t="n">
        <f aca="false">IF(AND(ISNUMBER($G225),$G225&gt;=MA_SHORT),AVERAGE(INDEX($C$5:$C225,222-MA_SHORT):$C225),"")</f>
        <v>914035041.9</v>
      </c>
      <c r="J225" s="52" t="n">
        <f aca="false">IF(AND(ISNUMBER($G225),$G225&gt;=MA_MED),AVERAGE(INDEX($C$5:$C225,222-MA_MED):$C225),"")</f>
        <v>877302425.26</v>
      </c>
      <c r="K225" s="52" t="n">
        <f aca="false">IF(AND(ISNUMBER($G225),$G225&gt;=MA_LONG2),AVERAGE(INDEX($C$5:$C225,222-MA_LONG2):$C225),"")</f>
        <v>767979499.075</v>
      </c>
      <c r="L225" s="53" t="n">
        <f aca="false">IF(AND(ISNUMBER($G225),$G225&gt;=21),STDEV(INDEX($H$165:$H225,62-20):$H225)*SQRT(245),"")</f>
        <v>0.228299089202024</v>
      </c>
      <c r="M225" s="52" t="n">
        <f aca="false">IF(AND(ISNUMBER($G225),$G225&gt;=60),MAX(INDEX($D$25:$D225,202-60):$D225),"")</f>
        <v>948968936</v>
      </c>
      <c r="N225" s="52" t="n">
        <f aca="false">IF(AND(ISNUMBER($G225),$G225&gt;=60),MIN(INDEX($E$25:$E225,202-60):$E225),"")</f>
        <v>754356537</v>
      </c>
      <c r="O225" s="53" t="n">
        <f aca="false">IF(OR(NOT(ISNUMBER($C225)),NOT(ISNUMBER($M225)),$M225=0),"",$C225/$M225-1)</f>
        <v>-0.042657347848107</v>
      </c>
      <c r="P225" s="54"/>
      <c r="Q225" s="53" t="str">
        <f aca="false">IF(NOT(ISNUMBER($P225)),"",IFERROR(PERCENTRANK($P$5:$P$1204,$P225),""))</f>
        <v/>
      </c>
    </row>
    <row r="226" customFormat="false" ht="15" hidden="false" customHeight="false" outlineLevel="0" collapsed="false">
      <c r="A226" s="47" t="n">
        <v>45879</v>
      </c>
      <c r="B226" s="48" t="s">
        <v>374</v>
      </c>
      <c r="C226" s="49" t="n">
        <v>887908271</v>
      </c>
      <c r="D226" s="49" t="n">
        <v>890623902</v>
      </c>
      <c r="E226" s="49" t="n">
        <v>887555049</v>
      </c>
      <c r="F226" s="49" t="n">
        <v>0</v>
      </c>
      <c r="G226" s="50" t="n">
        <f aca="false">IF($A226="","",IF(ISNUMBER($G225),$G225+1,1))</f>
        <v>222</v>
      </c>
      <c r="H226" s="51" t="n">
        <f aca="false">IF(OR(NOT(ISNUMBER($G226)),$G226&lt;2,NOT(ISNUMBER($C225)),$C225=0),"",$C226/$C225-1)</f>
        <v>-0.0226531963855329</v>
      </c>
      <c r="I226" s="52" t="n">
        <f aca="false">IF(AND(ISNUMBER($G226),$G226&gt;=MA_SHORT),AVERAGE(INDEX($C$5:$C226,223-MA_SHORT):$C226),"")</f>
        <v>913377913.5</v>
      </c>
      <c r="J226" s="52" t="n">
        <f aca="false">IF(AND(ISNUMBER($G226),$G226&gt;=MA_MED),AVERAGE(INDEX($C$5:$C226,223-MA_MED):$C226),"")</f>
        <v>878930593.4</v>
      </c>
      <c r="K226" s="52" t="n">
        <f aca="false">IF(AND(ISNUMBER($G226),$G226&gt;=MA_LONG2),AVERAGE(INDEX($C$5:$C226,223-MA_LONG2):$C226),"")</f>
        <v>769337958.18</v>
      </c>
      <c r="L226" s="53" t="n">
        <f aca="false">IF(AND(ISNUMBER($G226),$G226&gt;=21),STDEV(INDEX($H$166:$H226,62-20):$H226)*SQRT(245),"")</f>
        <v>0.240756834738937</v>
      </c>
      <c r="M226" s="52" t="n">
        <f aca="false">IF(AND(ISNUMBER($G226),$G226&gt;=60),MAX(INDEX($D$26:$D226,202-60):$D226),"")</f>
        <v>948968936</v>
      </c>
      <c r="N226" s="52" t="n">
        <f aca="false">IF(AND(ISNUMBER($G226),$G226&gt;=60),MIN(INDEX($E$26:$E226,202-60):$E226),"")</f>
        <v>754356537</v>
      </c>
      <c r="O226" s="53" t="n">
        <f aca="false">IF(OR(NOT(ISNUMBER($C226)),NOT(ISNUMBER($M226)),$M226=0),"",$C226/$M226-1)</f>
        <v>-0.0643442189555508</v>
      </c>
      <c r="P226" s="54"/>
      <c r="Q226" s="53" t="str">
        <f aca="false">IF(NOT(ISNUMBER($P226)),"",IFERROR(PERCENTRANK($P$5:$P$1204,$P226),""))</f>
        <v/>
      </c>
    </row>
    <row r="227" customFormat="false" ht="15" hidden="false" customHeight="false" outlineLevel="0" collapsed="false">
      <c r="A227" s="47" t="n">
        <v>45880</v>
      </c>
      <c r="B227" s="48" t="s">
        <v>375</v>
      </c>
      <c r="C227" s="49" t="n">
        <v>881648943</v>
      </c>
      <c r="D227" s="49" t="n">
        <v>883810856</v>
      </c>
      <c r="E227" s="49" t="n">
        <v>879615398</v>
      </c>
      <c r="F227" s="49" t="n">
        <v>0</v>
      </c>
      <c r="G227" s="50" t="n">
        <f aca="false">IF($A227="","",IF(ISNUMBER($G226),$G226+1,1))</f>
        <v>223</v>
      </c>
      <c r="H227" s="51" t="n">
        <f aca="false">IF(OR(NOT(ISNUMBER($G227)),$G227&lt;2,NOT(ISNUMBER($C226)),$C226=0),"",$C227/$C226-1)</f>
        <v>-0.00704952099719769</v>
      </c>
      <c r="I227" s="52" t="n">
        <f aca="false">IF(AND(ISNUMBER($G227),$G227&gt;=MA_SHORT),AVERAGE(INDEX($C$5:$C227,224-MA_SHORT):$C227),"")</f>
        <v>912607658.3</v>
      </c>
      <c r="J227" s="52" t="n">
        <f aca="false">IF(AND(ISNUMBER($G227),$G227&gt;=MA_MED),AVERAGE(INDEX($C$5:$C227,224-MA_MED):$C227),"")</f>
        <v>880404849.98</v>
      </c>
      <c r="K227" s="52" t="n">
        <f aca="false">IF(AND(ISNUMBER($G227),$G227&gt;=MA_LONG2),AVERAGE(INDEX($C$5:$C227,224-MA_LONG2):$C227),"")</f>
        <v>770725555.405</v>
      </c>
      <c r="L227" s="53" t="n">
        <f aca="false">IF(AND(ISNUMBER($G227),$G227&gt;=21),STDEV(INDEX($H$167:$H227,62-20):$H227)*SQRT(245),"")</f>
        <v>0.241463498711882</v>
      </c>
      <c r="M227" s="52" t="n">
        <f aca="false">IF(AND(ISNUMBER($G227),$G227&gt;=60),MAX(INDEX($D$27:$D227,202-60):$D227),"")</f>
        <v>948968936</v>
      </c>
      <c r="N227" s="52" t="n">
        <f aca="false">IF(AND(ISNUMBER($G227),$G227&gt;=60),MIN(INDEX($E$27:$E227,202-60):$E227),"")</f>
        <v>754356537</v>
      </c>
      <c r="O227" s="53" t="n">
        <f aca="false">IF(OR(NOT(ISNUMBER($C227)),NOT(ISNUMBER($M227)),$M227=0),"",$C227/$M227-1)</f>
        <v>-0.070940144030173</v>
      </c>
      <c r="P227" s="54"/>
      <c r="Q227" s="53" t="str">
        <f aca="false">IF(NOT(ISNUMBER($P227)),"",IFERROR(PERCENTRANK($P$5:$P$1204,$P227),""))</f>
        <v/>
      </c>
    </row>
    <row r="228" customFormat="false" ht="15" hidden="false" customHeight="false" outlineLevel="0" collapsed="false">
      <c r="A228" s="47" t="n">
        <v>45881</v>
      </c>
      <c r="B228" s="48" t="s">
        <v>376</v>
      </c>
      <c r="C228" s="49" t="n">
        <v>861272625</v>
      </c>
      <c r="D228" s="49" t="n">
        <v>863367223</v>
      </c>
      <c r="E228" s="49" t="n">
        <v>858894281</v>
      </c>
      <c r="F228" s="49" t="n">
        <v>0</v>
      </c>
      <c r="G228" s="50" t="n">
        <f aca="false">IF($A228="","",IF(ISNUMBER($G227),$G227+1,1))</f>
        <v>224</v>
      </c>
      <c r="H228" s="51" t="n">
        <f aca="false">IF(OR(NOT(ISNUMBER($G228)),$G228&lt;2,NOT(ISNUMBER($C227)),$C227=0),"",$C228/$C227-1)</f>
        <v>-0.0231116003277508</v>
      </c>
      <c r="I228" s="52" t="n">
        <f aca="false">IF(AND(ISNUMBER($G228),$G228&gt;=MA_SHORT),AVERAGE(INDEX($C$5:$C228,225-MA_SHORT):$C228),"")</f>
        <v>909695982.15</v>
      </c>
      <c r="J228" s="52" t="n">
        <f aca="false">IF(AND(ISNUMBER($G228),$G228&gt;=MA_MED),AVERAGE(INDEX($C$5:$C228,225-MA_MED):$C228),"")</f>
        <v>881345963.96</v>
      </c>
      <c r="K228" s="52" t="n">
        <f aca="false">IF(AND(ISNUMBER($G228),$G228&gt;=MA_LONG2),AVERAGE(INDEX($C$5:$C228,225-MA_LONG2):$C228),"")</f>
        <v>771955573.425</v>
      </c>
      <c r="L228" s="53" t="n">
        <f aca="false">IF(AND(ISNUMBER($G228),$G228&gt;=21),STDEV(INDEX($H$168:$H228,62-20):$H228)*SQRT(245),"")</f>
        <v>0.233850094388172</v>
      </c>
      <c r="M228" s="52" t="n">
        <f aca="false">IF(AND(ISNUMBER($G228),$G228&gt;=60),MAX(INDEX($D$28:$D228,202-60):$D228),"")</f>
        <v>948968936</v>
      </c>
      <c r="N228" s="52" t="n">
        <f aca="false">IF(AND(ISNUMBER($G228),$G228&gt;=60),MIN(INDEX($E$28:$E228,202-60):$E228),"")</f>
        <v>754356537</v>
      </c>
      <c r="O228" s="53" t="n">
        <f aca="false">IF(OR(NOT(ISNUMBER($C228)),NOT(ISNUMBER($M228)),$M228=0),"",$C228/$M228-1)</f>
        <v>-0.0924122041019054</v>
      </c>
      <c r="P228" s="54"/>
      <c r="Q228" s="53" t="str">
        <f aca="false">IF(NOT(ISNUMBER($P228)),"",IFERROR(PERCENTRANK($P$5:$P$1204,$P228),""))</f>
        <v/>
      </c>
    </row>
    <row r="229" customFormat="false" ht="15" hidden="false" customHeight="false" outlineLevel="0" collapsed="false">
      <c r="A229" s="47" t="n">
        <v>45882</v>
      </c>
      <c r="B229" s="48" t="s">
        <v>377</v>
      </c>
      <c r="C229" s="49" t="n">
        <v>871658554</v>
      </c>
      <c r="D229" s="49" t="n">
        <v>872926056</v>
      </c>
      <c r="E229" s="49" t="n">
        <v>867313260</v>
      </c>
      <c r="F229" s="49" t="n">
        <v>0</v>
      </c>
      <c r="G229" s="50" t="n">
        <f aca="false">IF($A229="","",IF(ISNUMBER($G228),$G228+1,1))</f>
        <v>225</v>
      </c>
      <c r="H229" s="51" t="n">
        <f aca="false">IF(OR(NOT(ISNUMBER($G229)),$G229&lt;2,NOT(ISNUMBER($C228)),$C228=0),"",$C229/$C228-1)</f>
        <v>0.012058817032528</v>
      </c>
      <c r="I229" s="52" t="n">
        <f aca="false">IF(AND(ISNUMBER($G229),$G229&gt;=MA_SHORT),AVERAGE(INDEX($C$5:$C229,226-MA_SHORT):$C229),"")</f>
        <v>907704296.15</v>
      </c>
      <c r="J229" s="52" t="n">
        <f aca="false">IF(AND(ISNUMBER($G229),$G229&gt;=MA_MED),AVERAGE(INDEX($C$5:$C229,226-MA_MED):$C229),"")</f>
        <v>882461475.2</v>
      </c>
      <c r="K229" s="52" t="n">
        <f aca="false">IF(AND(ISNUMBER($G229),$G229&gt;=MA_LONG2),AVERAGE(INDEX($C$5:$C229,226-MA_LONG2):$C229),"")</f>
        <v>773224448.565</v>
      </c>
      <c r="L229" s="53" t="n">
        <f aca="false">IF(AND(ISNUMBER($G229),$G229&gt;=21),STDEV(INDEX($H$169:$H229,62-20):$H229)*SQRT(245),"")</f>
        <v>0.238738559646611</v>
      </c>
      <c r="M229" s="52" t="n">
        <f aca="false">IF(AND(ISNUMBER($G229),$G229&gt;=60),MAX(INDEX($D$29:$D229,202-60):$D229),"")</f>
        <v>948968936</v>
      </c>
      <c r="N229" s="52" t="n">
        <f aca="false">IF(AND(ISNUMBER($G229),$G229&gt;=60),MIN(INDEX($E$29:$E229,202-60):$E229),"")</f>
        <v>754356537</v>
      </c>
      <c r="O229" s="53" t="n">
        <f aca="false">IF(OR(NOT(ISNUMBER($C229)),NOT(ISNUMBER($M229)),$M229=0),"",$C229/$M229-1)</f>
        <v>-0.081467768930215</v>
      </c>
      <c r="P229" s="54"/>
      <c r="Q229" s="53" t="str">
        <f aca="false">IF(NOT(ISNUMBER($P229)),"",IFERROR(PERCENTRANK($P$5:$P$1204,$P229),""))</f>
        <v/>
      </c>
    </row>
    <row r="230" customFormat="false" ht="15" hidden="false" customHeight="false" outlineLevel="0" collapsed="false">
      <c r="A230" s="47" t="n">
        <v>45885</v>
      </c>
      <c r="B230" s="48" t="s">
        <v>378</v>
      </c>
      <c r="C230" s="49" t="n">
        <v>856989381</v>
      </c>
      <c r="D230" s="49" t="n">
        <v>858064554</v>
      </c>
      <c r="E230" s="49" t="n">
        <v>851090305</v>
      </c>
      <c r="F230" s="49" t="n">
        <v>0</v>
      </c>
      <c r="G230" s="50" t="n">
        <f aca="false">IF($A230="","",IF(ISNUMBER($G229),$G229+1,1))</f>
        <v>226</v>
      </c>
      <c r="H230" s="51" t="n">
        <f aca="false">IF(OR(NOT(ISNUMBER($G230)),$G230&lt;2,NOT(ISNUMBER($C229)),$C229=0),"",$C230/$C229-1)</f>
        <v>-0.0168290357877908</v>
      </c>
      <c r="I230" s="52" t="n">
        <f aca="false">IF(AND(ISNUMBER($G230),$G230&gt;=MA_SHORT),AVERAGE(INDEX($C$5:$C230,227-MA_SHORT):$C230),"")</f>
        <v>906304650.55</v>
      </c>
      <c r="J230" s="52" t="n">
        <f aca="false">IF(AND(ISNUMBER($G230),$G230&gt;=MA_MED),AVERAGE(INDEX($C$5:$C230,227-MA_MED):$C230),"")</f>
        <v>883291508.36</v>
      </c>
      <c r="K230" s="52" t="n">
        <f aca="false">IF(AND(ISNUMBER($G230),$G230&gt;=MA_LONG2),AVERAGE(INDEX($C$5:$C230,227-MA_LONG2):$C230),"")</f>
        <v>774342239.875</v>
      </c>
      <c r="L230" s="53" t="n">
        <f aca="false">IF(AND(ISNUMBER($G230),$G230&gt;=21),STDEV(INDEX($H$170:$H230,62-20):$H230)*SQRT(245),"")</f>
        <v>0.224308107934951</v>
      </c>
      <c r="M230" s="52" t="n">
        <f aca="false">IF(AND(ISNUMBER($G230),$G230&gt;=60),MAX(INDEX($D$30:$D230,202-60):$D230),"")</f>
        <v>948968936</v>
      </c>
      <c r="N230" s="52" t="n">
        <f aca="false">IF(AND(ISNUMBER($G230),$G230&gt;=60),MIN(INDEX($E$30:$E230,202-60):$E230),"")</f>
        <v>754356537</v>
      </c>
      <c r="O230" s="53" t="n">
        <f aca="false">IF(OR(NOT(ISNUMBER($C230)),NOT(ISNUMBER($M230)),$M230=0),"",$C230/$M230-1)</f>
        <v>-0.0969257807191278</v>
      </c>
      <c r="P230" s="54"/>
      <c r="Q230" s="53" t="str">
        <f aca="false">IF(NOT(ISNUMBER($P230)),"",IFERROR(PERCENTRANK($P$5:$P$1204,$P230),""))</f>
        <v/>
      </c>
    </row>
    <row r="231" customFormat="false" ht="15" hidden="false" customHeight="false" outlineLevel="0" collapsed="false">
      <c r="A231" s="47" t="n">
        <v>45886</v>
      </c>
      <c r="B231" s="48" t="s">
        <v>379</v>
      </c>
      <c r="C231" s="49" t="n">
        <v>867922425</v>
      </c>
      <c r="D231" s="49" t="n">
        <v>867994696</v>
      </c>
      <c r="E231" s="49" t="n">
        <v>866327127</v>
      </c>
      <c r="F231" s="49" t="n">
        <v>0</v>
      </c>
      <c r="G231" s="50" t="n">
        <f aca="false">IF($A231="","",IF(ISNUMBER($G230),$G230+1,1))</f>
        <v>227</v>
      </c>
      <c r="H231" s="51" t="n">
        <f aca="false">IF(OR(NOT(ISNUMBER($G231)),$G231&lt;2,NOT(ISNUMBER($C230)),$C230=0),"",$C231/$C230-1)</f>
        <v>0.0127575023009532</v>
      </c>
      <c r="I231" s="52" t="n">
        <f aca="false">IF(AND(ISNUMBER($G231),$G231&gt;=MA_SHORT),AVERAGE(INDEX($C$5:$C231,228-MA_SHORT):$C231),"")</f>
        <v>904899387.45</v>
      </c>
      <c r="J231" s="52" t="n">
        <f aca="false">IF(AND(ISNUMBER($G231),$G231&gt;=MA_MED),AVERAGE(INDEX($C$5:$C231,228-MA_MED):$C231),"")</f>
        <v>884230126.4</v>
      </c>
      <c r="K231" s="52" t="n">
        <f aca="false">IF(AND(ISNUMBER($G231),$G231&gt;=MA_LONG2),AVERAGE(INDEX($C$5:$C231,228-MA_LONG2):$C231),"")</f>
        <v>775518541.03</v>
      </c>
      <c r="L231" s="53" t="n">
        <f aca="false">IF(AND(ISNUMBER($G231),$G231&gt;=21),STDEV(INDEX($H$171:$H231,62-20):$H231)*SQRT(245),"")</f>
        <v>0.224532509453894</v>
      </c>
      <c r="M231" s="52" t="n">
        <f aca="false">IF(AND(ISNUMBER($G231),$G231&gt;=60),MAX(INDEX($D$31:$D231,202-60):$D231),"")</f>
        <v>948968936</v>
      </c>
      <c r="N231" s="52" t="n">
        <f aca="false">IF(AND(ISNUMBER($G231),$G231&gt;=60),MIN(INDEX($E$31:$E231,202-60):$E231),"")</f>
        <v>756406675</v>
      </c>
      <c r="O231" s="53" t="n">
        <f aca="false">IF(OR(NOT(ISNUMBER($C231)),NOT(ISNUMBER($M231)),$M231=0),"",$C231/$M231-1)</f>
        <v>-0.0854048092887205</v>
      </c>
      <c r="P231" s="54"/>
      <c r="Q231" s="53" t="str">
        <f aca="false">IF(NOT(ISNUMBER($P231)),"",IFERROR(PERCENTRANK($P$5:$P$1204,$P231),""))</f>
        <v/>
      </c>
    </row>
    <row r="232" customFormat="false" ht="15" hidden="false" customHeight="false" outlineLevel="0" collapsed="false">
      <c r="A232" s="47" t="n">
        <v>45887</v>
      </c>
      <c r="B232" s="48" t="s">
        <v>380</v>
      </c>
      <c r="C232" s="49" t="n">
        <v>877713710</v>
      </c>
      <c r="D232" s="49" t="n">
        <v>877896320</v>
      </c>
      <c r="E232" s="49" t="n">
        <v>876939551</v>
      </c>
      <c r="F232" s="49" t="n">
        <v>0</v>
      </c>
      <c r="G232" s="50" t="n">
        <f aca="false">IF($A232="","",IF(ISNUMBER($G231),$G231+1,1))</f>
        <v>228</v>
      </c>
      <c r="H232" s="51" t="n">
        <f aca="false">IF(OR(NOT(ISNUMBER($G232)),$G232&lt;2,NOT(ISNUMBER($C231)),$C231=0),"",$C232/$C231-1)</f>
        <v>0.0112812904909099</v>
      </c>
      <c r="I232" s="52" t="n">
        <f aca="false">IF(AND(ISNUMBER($G232),$G232&gt;=MA_SHORT),AVERAGE(INDEX($C$5:$C232,229-MA_SHORT):$C232),"")</f>
        <v>902850697.3</v>
      </c>
      <c r="J232" s="52" t="n">
        <f aca="false">IF(AND(ISNUMBER($G232),$G232&gt;=MA_MED),AVERAGE(INDEX($C$5:$C232,229-MA_MED):$C232),"")</f>
        <v>885371455.02</v>
      </c>
      <c r="K232" s="52" t="n">
        <f aca="false">IF(AND(ISNUMBER($G232),$G232&gt;=MA_LONG2),AVERAGE(INDEX($C$5:$C232,229-MA_LONG2):$C232),"")</f>
        <v>776710731.68</v>
      </c>
      <c r="L232" s="53" t="n">
        <f aca="false">IF(AND(ISNUMBER($G232),$G232&gt;=21),STDEV(INDEX($H$172:$H232,62-20):$H232)*SQRT(245),"")</f>
        <v>0.20770842016529</v>
      </c>
      <c r="M232" s="52" t="n">
        <f aca="false">IF(AND(ISNUMBER($G232),$G232&gt;=60),MAX(INDEX($D$32:$D232,202-60):$D232),"")</f>
        <v>948968936</v>
      </c>
      <c r="N232" s="52" t="n">
        <f aca="false">IF(AND(ISNUMBER($G232),$G232&gt;=60),MIN(INDEX($E$32:$E232,202-60):$E232),"")</f>
        <v>774391429</v>
      </c>
      <c r="O232" s="53" t="n">
        <f aca="false">IF(OR(NOT(ISNUMBER($C232)),NOT(ISNUMBER($M232)),$M232=0),"",$C232/$M232-1)</f>
        <v>-0.0750869952607174</v>
      </c>
      <c r="P232" s="54"/>
      <c r="Q232" s="53" t="str">
        <f aca="false">IF(NOT(ISNUMBER($P232)),"",IFERROR(PERCENTRANK($P$5:$P$1204,$P232),""))</f>
        <v/>
      </c>
    </row>
    <row r="233" customFormat="false" ht="15" hidden="false" customHeight="false" outlineLevel="0" collapsed="false">
      <c r="A233" s="47" t="n">
        <v>45888</v>
      </c>
      <c r="B233" s="48" t="s">
        <v>381</v>
      </c>
      <c r="C233" s="49" t="n">
        <v>880811775</v>
      </c>
      <c r="D233" s="49" t="n">
        <v>882866719</v>
      </c>
      <c r="E233" s="49" t="n">
        <v>876798739</v>
      </c>
      <c r="F233" s="49" t="n">
        <v>0</v>
      </c>
      <c r="G233" s="50" t="n">
        <f aca="false">IF($A233="","",IF(ISNUMBER($G232),$G232+1,1))</f>
        <v>229</v>
      </c>
      <c r="H233" s="51" t="n">
        <f aca="false">IF(OR(NOT(ISNUMBER($G233)),$G233&lt;2,NOT(ISNUMBER($C232)),$C232=0),"",$C233/$C232-1)</f>
        <v>0.00352969876703879</v>
      </c>
      <c r="I233" s="52" t="n">
        <f aca="false">IF(AND(ISNUMBER($G233),$G233&gt;=MA_SHORT),AVERAGE(INDEX($C$5:$C233,230-MA_SHORT):$C233),"")</f>
        <v>901250727.5</v>
      </c>
      <c r="J233" s="52" t="n">
        <f aca="false">IF(AND(ISNUMBER($G233),$G233&gt;=MA_MED),AVERAGE(INDEX($C$5:$C233,230-MA_MED):$C233),"")</f>
        <v>886441513.5</v>
      </c>
      <c r="K233" s="52" t="n">
        <f aca="false">IF(AND(ISNUMBER($G233),$G233&gt;=MA_LONG2),AVERAGE(INDEX($C$5:$C233,230-MA_LONG2):$C233),"")</f>
        <v>777940900.19</v>
      </c>
      <c r="L233" s="53" t="n">
        <f aca="false">IF(AND(ISNUMBER($G233),$G233&gt;=21),STDEV(INDEX($H$173:$H233,62-20):$H233)*SQRT(245),"")</f>
        <v>0.208024498475565</v>
      </c>
      <c r="M233" s="52" t="n">
        <f aca="false">IF(AND(ISNUMBER($G233),$G233&gt;=60),MAX(INDEX($D$33:$D233,202-60):$D233),"")</f>
        <v>948968936</v>
      </c>
      <c r="N233" s="52" t="n">
        <f aca="false">IF(AND(ISNUMBER($G233),$G233&gt;=60),MIN(INDEX($E$33:$E233,202-60):$E233),"")</f>
        <v>777056244</v>
      </c>
      <c r="O233" s="53" t="n">
        <f aca="false">IF(OR(NOT(ISNUMBER($C233)),NOT(ISNUMBER($M233)),$M233=0),"",$C233/$M233-1)</f>
        <v>-0.0718223309682711</v>
      </c>
      <c r="P233" s="54"/>
      <c r="Q233" s="53" t="str">
        <f aca="false">IF(NOT(ISNUMBER($P233)),"",IFERROR(PERCENTRANK($P$5:$P$1204,$P233),""))</f>
        <v/>
      </c>
    </row>
    <row r="234" customFormat="false" ht="15" hidden="false" customHeight="false" outlineLevel="0" collapsed="false">
      <c r="A234" s="47" t="n">
        <v>45889</v>
      </c>
      <c r="B234" s="48" t="s">
        <v>382</v>
      </c>
      <c r="C234" s="49" t="n">
        <v>875144237</v>
      </c>
      <c r="D234" s="49" t="n">
        <v>879113211</v>
      </c>
      <c r="E234" s="49" t="n">
        <v>869644319</v>
      </c>
      <c r="F234" s="49" t="n">
        <v>0</v>
      </c>
      <c r="G234" s="50" t="n">
        <f aca="false">IF($A234="","",IF(ISNUMBER($G233),$G233+1,1))</f>
        <v>230</v>
      </c>
      <c r="H234" s="51" t="n">
        <f aca="false">IF(OR(NOT(ISNUMBER($G234)),$G234&lt;2,NOT(ISNUMBER($C233)),$C233=0),"",$C234/$C233-1)</f>
        <v>-0.00643444849496933</v>
      </c>
      <c r="I234" s="52" t="n">
        <f aca="false">IF(AND(ISNUMBER($G234),$G234&gt;=MA_SHORT),AVERAGE(INDEX($C$5:$C234,231-MA_SHORT):$C234),"")</f>
        <v>898277313.65</v>
      </c>
      <c r="J234" s="52" t="n">
        <f aca="false">IF(AND(ISNUMBER($G234),$G234&gt;=MA_MED),AVERAGE(INDEX($C$5:$C234,231-MA_MED):$C234),"")</f>
        <v>887567457.24</v>
      </c>
      <c r="K234" s="52" t="n">
        <f aca="false">IF(AND(ISNUMBER($G234),$G234&gt;=MA_LONG2),AVERAGE(INDEX($C$5:$C234,231-MA_LONG2):$C234),"")</f>
        <v>779201692.09</v>
      </c>
      <c r="L234" s="53" t="n">
        <f aca="false">IF(AND(ISNUMBER($G234),$G234&gt;=21),STDEV(INDEX($H$174:$H234,62-20):$H234)*SQRT(245),"")</f>
        <v>0.185827256996633</v>
      </c>
      <c r="M234" s="52" t="n">
        <f aca="false">IF(AND(ISNUMBER($G234),$G234&gt;=60),MAX(INDEX($D$34:$D234,202-60):$D234),"")</f>
        <v>948968936</v>
      </c>
      <c r="N234" s="52" t="n">
        <f aca="false">IF(AND(ISNUMBER($G234),$G234&gt;=60),MIN(INDEX($E$34:$E234,202-60):$E234),"")</f>
        <v>787068625</v>
      </c>
      <c r="O234" s="53" t="n">
        <f aca="false">IF(OR(NOT(ISNUMBER($C234)),NOT(ISNUMBER($M234)),$M234=0),"",$C234/$M234-1)</f>
        <v>-0.0777946423738364</v>
      </c>
      <c r="P234" s="54"/>
      <c r="Q234" s="53" t="str">
        <f aca="false">IF(NOT(ISNUMBER($P234)),"",IFERROR(PERCENTRANK($P$5:$P$1204,$P234),""))</f>
        <v/>
      </c>
    </row>
    <row r="235" customFormat="false" ht="15" hidden="false" customHeight="false" outlineLevel="0" collapsed="false">
      <c r="A235" s="47" t="n">
        <v>45892</v>
      </c>
      <c r="B235" s="48" t="s">
        <v>383</v>
      </c>
      <c r="C235" s="49" t="n">
        <v>870936086</v>
      </c>
      <c r="D235" s="49" t="n">
        <v>872402687</v>
      </c>
      <c r="E235" s="49" t="n">
        <v>870828686</v>
      </c>
      <c r="F235" s="49" t="n">
        <v>0</v>
      </c>
      <c r="G235" s="50" t="n">
        <f aca="false">IF($A235="","",IF(ISNUMBER($G234),$G234+1,1))</f>
        <v>231</v>
      </c>
      <c r="H235" s="51" t="n">
        <f aca="false">IF(OR(NOT(ISNUMBER($G235)),$G235&lt;2,NOT(ISNUMBER($C234)),$C234=0),"",$C235/$C234-1)</f>
        <v>-0.00480852278068533</v>
      </c>
      <c r="I235" s="52" t="n">
        <f aca="false">IF(AND(ISNUMBER($G235),$G235&gt;=MA_SHORT),AVERAGE(INDEX($C$5:$C235,232-MA_SHORT):$C235),"")</f>
        <v>894745652.75</v>
      </c>
      <c r="J235" s="52" t="n">
        <f aca="false">IF(AND(ISNUMBER($G235),$G235&gt;=MA_MED),AVERAGE(INDEX($C$5:$C235,232-MA_MED):$C235),"")</f>
        <v>888414039.56</v>
      </c>
      <c r="K235" s="52" t="n">
        <f aca="false">IF(AND(ISNUMBER($G235),$G235&gt;=MA_LONG2),AVERAGE(INDEX($C$5:$C235,232-MA_LONG2):$C235),"")</f>
        <v>780386108.365</v>
      </c>
      <c r="L235" s="53" t="n">
        <f aca="false">IF(AND(ISNUMBER($G235),$G235&gt;=21),STDEV(INDEX($H$175:$H235,62-20):$H235)*SQRT(245),"")</f>
        <v>0.181667319292977</v>
      </c>
      <c r="M235" s="52" t="n">
        <f aca="false">IF(AND(ISNUMBER($G235),$G235&gt;=60),MAX(INDEX($D$35:$D235,202-60):$D235),"")</f>
        <v>948968936</v>
      </c>
      <c r="N235" s="52" t="n">
        <f aca="false">IF(AND(ISNUMBER($G235),$G235&gt;=60),MIN(INDEX($E$35:$E235,202-60):$E235),"")</f>
        <v>803951420</v>
      </c>
      <c r="O235" s="53" t="n">
        <f aca="false">IF(OR(NOT(ISNUMBER($C235)),NOT(ISNUMBER($M235)),$M235=0),"",$C235/$M235-1)</f>
        <v>-0.0822290878444518</v>
      </c>
      <c r="P235" s="54"/>
      <c r="Q235" s="53" t="str">
        <f aca="false">IF(NOT(ISNUMBER($P235)),"",IFERROR(PERCENTRANK($P$5:$P$1204,$P235),""))</f>
        <v/>
      </c>
    </row>
    <row r="236" customFormat="false" ht="15" hidden="false" customHeight="false" outlineLevel="0" collapsed="false">
      <c r="A236" s="47" t="n">
        <v>45893</v>
      </c>
      <c r="B236" s="48" t="s">
        <v>384</v>
      </c>
      <c r="C236" s="49" t="n">
        <v>866603231</v>
      </c>
      <c r="D236" s="49" t="n">
        <v>869285166</v>
      </c>
      <c r="E236" s="49" t="n">
        <v>865311699</v>
      </c>
      <c r="F236" s="49" t="n">
        <v>0</v>
      </c>
      <c r="G236" s="50" t="n">
        <f aca="false">IF($A236="","",IF(ISNUMBER($G235),$G235+1,1))</f>
        <v>232</v>
      </c>
      <c r="H236" s="51" t="n">
        <f aca="false">IF(OR(NOT(ISNUMBER($G236)),$G236&lt;2,NOT(ISNUMBER($C235)),$C235=0),"",$C236/$C235-1)</f>
        <v>-0.00497494026214917</v>
      </c>
      <c r="I236" s="52" t="n">
        <f aca="false">IF(AND(ISNUMBER($G236),$G236&gt;=MA_SHORT),AVERAGE(INDEX($C$5:$C236,233-MA_SHORT):$C236),"")</f>
        <v>891661445.7</v>
      </c>
      <c r="J236" s="52" t="n">
        <f aca="false">IF(AND(ISNUMBER($G236),$G236&gt;=MA_MED),AVERAGE(INDEX($C$5:$C236,233-MA_MED):$C236),"")</f>
        <v>888725492.96</v>
      </c>
      <c r="K236" s="52" t="n">
        <f aca="false">IF(AND(ISNUMBER($G236),$G236&gt;=MA_LONG2),AVERAGE(INDEX($C$5:$C236,233-MA_LONG2):$C236),"")</f>
        <v>781578088.67</v>
      </c>
      <c r="L236" s="53" t="n">
        <f aca="false">IF(AND(ISNUMBER($G236),$G236&gt;=21),STDEV(INDEX($H$176:$H236,62-20):$H236)*SQRT(245),"")</f>
        <v>0.177774541830175</v>
      </c>
      <c r="M236" s="52" t="n">
        <f aca="false">IF(AND(ISNUMBER($G236),$G236&gt;=60),MAX(INDEX($D$36:$D236,202-60):$D236),"")</f>
        <v>948968936</v>
      </c>
      <c r="N236" s="52" t="n">
        <f aca="false">IF(AND(ISNUMBER($G236),$G236&gt;=60),MIN(INDEX($E$36:$E236,202-60):$E236),"")</f>
        <v>807217796</v>
      </c>
      <c r="O236" s="53" t="n">
        <f aca="false">IF(OR(NOT(ISNUMBER($C236)),NOT(ISNUMBER($M236)),$M236=0),"",$C236/$M236-1)</f>
        <v>-0.0867949433067639</v>
      </c>
      <c r="P236" s="54"/>
      <c r="Q236" s="53" t="str">
        <f aca="false">IF(NOT(ISNUMBER($P236)),"",IFERROR(PERCENTRANK($P$5:$P$1204,$P236),""))</f>
        <v/>
      </c>
    </row>
    <row r="237" customFormat="false" ht="15" hidden="false" customHeight="false" outlineLevel="0" collapsed="false">
      <c r="A237" s="47" t="n">
        <v>45894</v>
      </c>
      <c r="B237" s="48" t="s">
        <v>385</v>
      </c>
      <c r="C237" s="49" t="n">
        <v>867246345</v>
      </c>
      <c r="D237" s="49" t="n">
        <v>869669894</v>
      </c>
      <c r="E237" s="49" t="n">
        <v>862365954</v>
      </c>
      <c r="F237" s="49" t="n">
        <v>0</v>
      </c>
      <c r="G237" s="50" t="n">
        <f aca="false">IF($A237="","",IF(ISNUMBER($G236),$G236+1,1))</f>
        <v>233</v>
      </c>
      <c r="H237" s="51" t="n">
        <f aca="false">IF(OR(NOT(ISNUMBER($G237)),$G237&lt;2,NOT(ISNUMBER($C236)),$C236=0),"",$C237/$C236-1)</f>
        <v>0.000742108934048025</v>
      </c>
      <c r="I237" s="52" t="n">
        <f aca="false">IF(AND(ISNUMBER($G237),$G237&gt;=MA_SHORT),AVERAGE(INDEX($C$5:$C237,234-MA_SHORT):$C237),"")</f>
        <v>888784688.8</v>
      </c>
      <c r="J237" s="52" t="n">
        <f aca="false">IF(AND(ISNUMBER($G237),$G237&gt;=MA_MED),AVERAGE(INDEX($C$5:$C237,234-MA_MED):$C237),"")</f>
        <v>888780578.72</v>
      </c>
      <c r="K237" s="52" t="n">
        <f aca="false">IF(AND(ISNUMBER($G237),$G237&gt;=MA_LONG2),AVERAGE(INDEX($C$5:$C237,234-MA_LONG2):$C237),"")</f>
        <v>782753151.09</v>
      </c>
      <c r="L237" s="53" t="n">
        <f aca="false">IF(AND(ISNUMBER($G237),$G237&gt;=21),STDEV(INDEX($H$177:$H237,62-20):$H237)*SQRT(245),"")</f>
        <v>0.178344018679334</v>
      </c>
      <c r="M237" s="52" t="n">
        <f aca="false">IF(AND(ISNUMBER($G237),$G237&gt;=60),MAX(INDEX($D$37:$D237,202-60):$D237),"")</f>
        <v>948968936</v>
      </c>
      <c r="N237" s="52" t="n">
        <f aca="false">IF(AND(ISNUMBER($G237),$G237&gt;=60),MIN(INDEX($E$37:$E237,202-60):$E237),"")</f>
        <v>809774981</v>
      </c>
      <c r="O237" s="53" t="n">
        <f aca="false">IF(OR(NOT(ISNUMBER($C237)),NOT(ISNUMBER($M237)),$M237=0),"",$C237/$M237-1)</f>
        <v>-0.0861172456755739</v>
      </c>
      <c r="P237" s="54"/>
      <c r="Q237" s="53" t="str">
        <f aca="false">IF(NOT(ISNUMBER($P237)),"",IFERROR(PERCENTRANK($P$5:$P$1204,$P237),""))</f>
        <v/>
      </c>
    </row>
    <row r="238" customFormat="false" ht="15" hidden="false" customHeight="false" outlineLevel="0" collapsed="false">
      <c r="A238" s="47" t="n">
        <v>45895</v>
      </c>
      <c r="B238" s="48" t="s">
        <v>386</v>
      </c>
      <c r="C238" s="49" t="n">
        <v>880152253</v>
      </c>
      <c r="D238" s="49" t="n">
        <v>883721782</v>
      </c>
      <c r="E238" s="49" t="n">
        <v>875543968</v>
      </c>
      <c r="F238" s="49" t="n">
        <v>0</v>
      </c>
      <c r="G238" s="50" t="n">
        <f aca="false">IF($A238="","",IF(ISNUMBER($G237),$G237+1,1))</f>
        <v>234</v>
      </c>
      <c r="H238" s="51" t="n">
        <f aca="false">IF(OR(NOT(ISNUMBER($G238)),$G238&lt;2,NOT(ISNUMBER($C237)),$C237=0),"",$C238/$C237-1)</f>
        <v>0.0148814786875811</v>
      </c>
      <c r="I238" s="52" t="n">
        <f aca="false">IF(AND(ISNUMBER($G238),$G238&gt;=MA_SHORT),AVERAGE(INDEX($C$5:$C238,235-MA_SHORT):$C238),"")</f>
        <v>886679766.9</v>
      </c>
      <c r="J238" s="52" t="n">
        <f aca="false">IF(AND(ISNUMBER($G238),$G238&gt;=MA_MED),AVERAGE(INDEX($C$5:$C238,235-MA_MED):$C238),"")</f>
        <v>889321613.22</v>
      </c>
      <c r="K238" s="52" t="n">
        <f aca="false">IF(AND(ISNUMBER($G238),$G238&gt;=MA_LONG2),AVERAGE(INDEX($C$5:$C238,235-MA_LONG2):$C238),"")</f>
        <v>783958526.69</v>
      </c>
      <c r="L238" s="53" t="n">
        <f aca="false">IF(AND(ISNUMBER($G238),$G238&gt;=21),STDEV(INDEX($H$178:$H238,62-20):$H238)*SQRT(245),"")</f>
        <v>0.18919382594075</v>
      </c>
      <c r="M238" s="52" t="n">
        <f aca="false">IF(AND(ISNUMBER($G238),$G238&gt;=60),MAX(INDEX($D$38:$D238,202-60):$D238),"")</f>
        <v>948968936</v>
      </c>
      <c r="N238" s="52" t="n">
        <f aca="false">IF(AND(ISNUMBER($G238),$G238&gt;=60),MIN(INDEX($E$38:$E238,202-60):$E238),"")</f>
        <v>812392879</v>
      </c>
      <c r="O238" s="53" t="n">
        <f aca="false">IF(OR(NOT(ISNUMBER($C238)),NOT(ISNUMBER($M238)),$M238=0),"",$C238/$M238-1)</f>
        <v>-0.0725173189441472</v>
      </c>
      <c r="P238" s="54"/>
      <c r="Q238" s="53" t="str">
        <f aca="false">IF(NOT(ISNUMBER($P238)),"",IFERROR(PERCENTRANK($P$5:$P$1204,$P238),""))</f>
        <v/>
      </c>
    </row>
    <row r="239" customFormat="false" ht="15" hidden="false" customHeight="false" outlineLevel="0" collapsed="false">
      <c r="A239" s="47" t="n">
        <v>45896</v>
      </c>
      <c r="B239" s="48" t="s">
        <v>387</v>
      </c>
      <c r="C239" s="49" t="n">
        <v>879835085</v>
      </c>
      <c r="D239" s="49" t="n">
        <v>882445721</v>
      </c>
      <c r="E239" s="49" t="n">
        <v>878538453</v>
      </c>
      <c r="F239" s="49" t="n">
        <v>0</v>
      </c>
      <c r="G239" s="50" t="n">
        <f aca="false">IF($A239="","",IF(ISNUMBER($G238),$G238+1,1))</f>
        <v>235</v>
      </c>
      <c r="H239" s="51" t="n">
        <f aca="false">IF(OR(NOT(ISNUMBER($G239)),$G239&lt;2,NOT(ISNUMBER($C238)),$C238=0),"",$C239/$C238-1)</f>
        <v>-0.000360355834935322</v>
      </c>
      <c r="I239" s="52" t="n">
        <f aca="false">IF(AND(ISNUMBER($G239),$G239&gt;=MA_SHORT),AVERAGE(INDEX($C$5:$C239,236-MA_SHORT):$C239),"")</f>
        <v>884605338.6</v>
      </c>
      <c r="J239" s="52" t="n">
        <f aca="false">IF(AND(ISNUMBER($G239),$G239&gt;=MA_MED),AVERAGE(INDEX($C$5:$C239,236-MA_MED):$C239),"")</f>
        <v>889760039.3</v>
      </c>
      <c r="K239" s="52" t="n">
        <f aca="false">IF(AND(ISNUMBER($G239),$G239&gt;=MA_LONG2),AVERAGE(INDEX($C$5:$C239,236-MA_LONG2):$C239),"")</f>
        <v>785152371.825</v>
      </c>
      <c r="L239" s="53" t="n">
        <f aca="false">IF(AND(ISNUMBER($G239),$G239&gt;=21),STDEV(INDEX($H$179:$H239,62-20):$H239)*SQRT(245),"")</f>
        <v>0.18926258355834</v>
      </c>
      <c r="M239" s="52" t="n">
        <f aca="false">IF(AND(ISNUMBER($G239),$G239&gt;=60),MAX(INDEX($D$39:$D239,202-60):$D239),"")</f>
        <v>948968936</v>
      </c>
      <c r="N239" s="52" t="n">
        <f aca="false">IF(AND(ISNUMBER($G239),$G239&gt;=60),MIN(INDEX($E$39:$E239,202-60):$E239),"")</f>
        <v>812392879</v>
      </c>
      <c r="O239" s="53" t="n">
        <f aca="false">IF(OR(NOT(ISNUMBER($C239)),NOT(ISNUMBER($M239)),$M239=0),"",$C239/$M239-1)</f>
        <v>-0.0728515427400671</v>
      </c>
      <c r="P239" s="54"/>
      <c r="Q239" s="53" t="str">
        <f aca="false">IF(NOT(ISNUMBER($P239)),"",IFERROR(PERCENTRANK($P$5:$P$1204,$P239),""))</f>
        <v/>
      </c>
    </row>
    <row r="240" customFormat="false" ht="15" hidden="false" customHeight="false" outlineLevel="0" collapsed="false">
      <c r="A240" s="47" t="n">
        <v>45899</v>
      </c>
      <c r="B240" s="48" t="s">
        <v>388</v>
      </c>
      <c r="C240" s="49" t="n">
        <v>889410377</v>
      </c>
      <c r="D240" s="49" t="n">
        <v>896031845</v>
      </c>
      <c r="E240" s="49" t="n">
        <v>886462679</v>
      </c>
      <c r="F240" s="49" t="n">
        <v>0</v>
      </c>
      <c r="G240" s="50" t="n">
        <f aca="false">IF($A240="","",IF(ISNUMBER($G239),$G239+1,1))</f>
        <v>236</v>
      </c>
      <c r="H240" s="51" t="n">
        <f aca="false">IF(OR(NOT(ISNUMBER($G240)),$G240&lt;2,NOT(ISNUMBER($C239)),$C239=0),"",$C240/$C239-1)</f>
        <v>0.0108830531576267</v>
      </c>
      <c r="I240" s="52" t="n">
        <f aca="false">IF(AND(ISNUMBER($G240),$G240&gt;=MA_SHORT),AVERAGE(INDEX($C$5:$C240,237-MA_SHORT):$C240),"")</f>
        <v>882755326.75</v>
      </c>
      <c r="J240" s="52" t="n">
        <f aca="false">IF(AND(ISNUMBER($G240),$G240&gt;=MA_MED),AVERAGE(INDEX($C$5:$C240,237-MA_MED):$C240),"")</f>
        <v>890459428.54</v>
      </c>
      <c r="K240" s="52" t="n">
        <f aca="false">IF(AND(ISNUMBER($G240),$G240&gt;=MA_LONG2),AVERAGE(INDEX($C$5:$C240,237-MA_LONG2):$C240),"")</f>
        <v>786356773.815</v>
      </c>
      <c r="L240" s="53" t="n">
        <f aca="false">IF(AND(ISNUMBER($G240),$G240&gt;=21),STDEV(INDEX($H$180:$H240,62-20):$H240)*SQRT(245),"")</f>
        <v>0.192988340678312</v>
      </c>
      <c r="M240" s="52" t="n">
        <f aca="false">IF(AND(ISNUMBER($G240),$G240&gt;=60),MAX(INDEX($D$40:$D240,202-60):$D240),"")</f>
        <v>948968936</v>
      </c>
      <c r="N240" s="52" t="n">
        <f aca="false">IF(AND(ISNUMBER($G240),$G240&gt;=60),MIN(INDEX($E$40:$E240,202-60):$E240),"")</f>
        <v>816212097</v>
      </c>
      <c r="O240" s="53" t="n">
        <f aca="false">IF(OR(NOT(ISNUMBER($C240)),NOT(ISNUMBER($M240)),$M240=0),"",$C240/$M240-1)</f>
        <v>-0.0627613367946956</v>
      </c>
      <c r="P240" s="54"/>
      <c r="Q240" s="53" t="str">
        <f aca="false">IF(NOT(ISNUMBER($P240)),"",IFERROR(PERCENTRANK($P$5:$P$1204,$P240),""))</f>
        <v/>
      </c>
    </row>
    <row r="241" customFormat="false" ht="15" hidden="false" customHeight="false" outlineLevel="0" collapsed="false">
      <c r="A241" s="47" t="n">
        <v>45900</v>
      </c>
      <c r="B241" s="48" t="s">
        <v>389</v>
      </c>
      <c r="C241" s="49" t="n">
        <v>895045371</v>
      </c>
      <c r="D241" s="49" t="n">
        <v>895083432</v>
      </c>
      <c r="E241" s="49" t="n">
        <v>887228769</v>
      </c>
      <c r="F241" s="49" t="n">
        <v>0</v>
      </c>
      <c r="G241" s="50" t="n">
        <f aca="false">IF($A241="","",IF(ISNUMBER($G240),$G240+1,1))</f>
        <v>237</v>
      </c>
      <c r="H241" s="51" t="n">
        <f aca="false">IF(OR(NOT(ISNUMBER($G241)),$G241&lt;2,NOT(ISNUMBER($C240)),$C240=0),"",$C241/$C240-1)</f>
        <v>0.00633565128732472</v>
      </c>
      <c r="I241" s="52" t="n">
        <f aca="false">IF(AND(ISNUMBER($G241),$G241&gt;=MA_SHORT),AVERAGE(INDEX($C$5:$C241,238-MA_SHORT):$C241),"")</f>
        <v>882125925</v>
      </c>
      <c r="J241" s="52" t="n">
        <f aca="false">IF(AND(ISNUMBER($G241),$G241&gt;=MA_MED),AVERAGE(INDEX($C$5:$C241,238-MA_MED):$C241),"")</f>
        <v>891151767.02</v>
      </c>
      <c r="K241" s="52" t="n">
        <f aca="false">IF(AND(ISNUMBER($G241),$G241&gt;=MA_LONG2),AVERAGE(INDEX($C$5:$C241,238-MA_LONG2):$C241),"")</f>
        <v>787551726.95</v>
      </c>
      <c r="L241" s="53" t="n">
        <f aca="false">IF(AND(ISNUMBER($G241),$G241&gt;=21),STDEV(INDEX($H$181:$H241,62-20):$H241)*SQRT(245),"")</f>
        <v>0.182634498784054</v>
      </c>
      <c r="M241" s="52" t="n">
        <f aca="false">IF(AND(ISNUMBER($G241),$G241&gt;=60),MAX(INDEX($D$41:$D241,202-60):$D241),"")</f>
        <v>948968936</v>
      </c>
      <c r="N241" s="52" t="n">
        <f aca="false">IF(AND(ISNUMBER($G241),$G241&gt;=60),MIN(INDEX($E$41:$E241,202-60):$E241),"")</f>
        <v>816212097</v>
      </c>
      <c r="O241" s="53" t="n">
        <f aca="false">IF(OR(NOT(ISNUMBER($C241)),NOT(ISNUMBER($M241)),$M241=0),"",$C241/$M241-1)</f>
        <v>-0.0568233194516286</v>
      </c>
      <c r="P241" s="54"/>
      <c r="Q241" s="53" t="str">
        <f aca="false">IF(NOT(ISNUMBER($P241)),"",IFERROR(PERCENTRANK($P$5:$P$1204,$P241),""))</f>
        <v/>
      </c>
    </row>
    <row r="242" customFormat="false" ht="15" hidden="false" customHeight="false" outlineLevel="0" collapsed="false">
      <c r="A242" s="47" t="n">
        <v>45901</v>
      </c>
      <c r="B242" s="48" t="s">
        <v>390</v>
      </c>
      <c r="C242" s="49" t="n">
        <v>890101478</v>
      </c>
      <c r="D242" s="49" t="n">
        <v>895407598</v>
      </c>
      <c r="E242" s="49" t="n">
        <v>888771692</v>
      </c>
      <c r="F242" s="49" t="n">
        <v>0</v>
      </c>
      <c r="G242" s="50" t="n">
        <f aca="false">IF($A242="","",IF(ISNUMBER($G241),$G241+1,1))</f>
        <v>238</v>
      </c>
      <c r="H242" s="51" t="n">
        <f aca="false">IF(OR(NOT(ISNUMBER($G242)),$G242&lt;2,NOT(ISNUMBER($C241)),$C241=0),"",$C242/$C241-1)</f>
        <v>-0.0055236227795652</v>
      </c>
      <c r="I242" s="52" t="n">
        <f aca="false">IF(AND(ISNUMBER($G242),$G242&gt;=MA_SHORT),AVERAGE(INDEX($C$5:$C242,239-MA_SHORT):$C242),"")</f>
        <v>880956487.45</v>
      </c>
      <c r="J242" s="52" t="n">
        <f aca="false">IF(AND(ISNUMBER($G242),$G242&gt;=MA_MED),AVERAGE(INDEX($C$5:$C242,239-MA_MED):$C242),"")</f>
        <v>892009937.96</v>
      </c>
      <c r="K242" s="52" t="n">
        <f aca="false">IF(AND(ISNUMBER($G242),$G242&gt;=MA_LONG2),AVERAGE(INDEX($C$5:$C242,239-MA_LONG2):$C242),"")</f>
        <v>788791324.405</v>
      </c>
      <c r="L242" s="53" t="n">
        <f aca="false">IF(AND(ISNUMBER($G242),$G242&gt;=21),STDEV(INDEX($H$182:$H242,62-20):$H242)*SQRT(245),"")</f>
        <v>0.181449265045611</v>
      </c>
      <c r="M242" s="52" t="n">
        <f aca="false">IF(AND(ISNUMBER($G242),$G242&gt;=60),MAX(INDEX($D$42:$D242,202-60):$D242),"")</f>
        <v>948968936</v>
      </c>
      <c r="N242" s="52" t="n">
        <f aca="false">IF(AND(ISNUMBER($G242),$G242&gt;=60),MIN(INDEX($E$42:$E242,202-60):$E242),"")</f>
        <v>818228489</v>
      </c>
      <c r="O242" s="53" t="n">
        <f aca="false">IF(OR(NOT(ISNUMBER($C242)),NOT(ISNUMBER($M242)),$M242=0),"",$C242/$M242-1)</f>
        <v>-0.0620330716494602</v>
      </c>
      <c r="P242" s="54"/>
      <c r="Q242" s="53" t="str">
        <f aca="false">IF(NOT(ISNUMBER($P242)),"",IFERROR(PERCENTRANK($P$5:$P$1204,$P242),""))</f>
        <v/>
      </c>
    </row>
    <row r="243" customFormat="false" ht="15" hidden="false" customHeight="false" outlineLevel="0" collapsed="false">
      <c r="A243" s="47" t="n">
        <v>45902</v>
      </c>
      <c r="B243" s="48" t="s">
        <v>391</v>
      </c>
      <c r="C243" s="49" t="n">
        <v>892503217</v>
      </c>
      <c r="D243" s="49" t="n">
        <v>894745735</v>
      </c>
      <c r="E243" s="49" t="n">
        <v>884963721</v>
      </c>
      <c r="F243" s="49" t="n">
        <v>0</v>
      </c>
      <c r="G243" s="50" t="n">
        <f aca="false">IF($A243="","",IF(ISNUMBER($G242),$G242+1,1))</f>
        <v>239</v>
      </c>
      <c r="H243" s="51" t="n">
        <f aca="false">IF(OR(NOT(ISNUMBER($G243)),$G243&lt;2,NOT(ISNUMBER($C242)),$C242=0),"",$C243/$C242-1)</f>
        <v>0.00269827548808999</v>
      </c>
      <c r="I243" s="52" t="n">
        <f aca="false">IF(AND(ISNUMBER($G243),$G243&gt;=MA_SHORT),AVERAGE(INDEX($C$5:$C243,240-MA_SHORT):$C243),"")</f>
        <v>880049116.45</v>
      </c>
      <c r="J243" s="52" t="n">
        <f aca="false">IF(AND(ISNUMBER($G243),$G243&gt;=MA_MED),AVERAGE(INDEX($C$5:$C243,240-MA_MED):$C243),"")</f>
        <v>892729732.92</v>
      </c>
      <c r="K243" s="52" t="n">
        <f aca="false">IF(AND(ISNUMBER($G243),$G243&gt;=MA_LONG2),AVERAGE(INDEX($C$5:$C243,240-MA_LONG2):$C243),"")</f>
        <v>790041508.185</v>
      </c>
      <c r="L243" s="53" t="n">
        <f aca="false">IF(AND(ISNUMBER($G243),$G243&gt;=21),STDEV(INDEX($H$183:$H243,62-20):$H243)*SQRT(245),"")</f>
        <v>0.181812715897003</v>
      </c>
      <c r="M243" s="52" t="n">
        <f aca="false">IF(AND(ISNUMBER($G243),$G243&gt;=60),MAX(INDEX($D$43:$D243,202-60):$D243),"")</f>
        <v>948968936</v>
      </c>
      <c r="N243" s="52" t="n">
        <f aca="false">IF(AND(ISNUMBER($G243),$G243&gt;=60),MIN(INDEX($E$43:$E243,202-60):$E243),"")</f>
        <v>818228489</v>
      </c>
      <c r="O243" s="53" t="n">
        <f aca="false">IF(OR(NOT(ISNUMBER($C243)),NOT(ISNUMBER($M243)),$M243=0),"",$C243/$M243-1)</f>
        <v>-0.059502178478053</v>
      </c>
      <c r="P243" s="54"/>
      <c r="Q243" s="53" t="str">
        <f aca="false">IF(NOT(ISNUMBER($P243)),"",IFERROR(PERCENTRANK($P$5:$P$1204,$P243),""))</f>
        <v/>
      </c>
    </row>
    <row r="244" customFormat="false" ht="15" hidden="false" customHeight="false" outlineLevel="0" collapsed="false">
      <c r="A244" s="47" t="n">
        <v>45903</v>
      </c>
      <c r="B244" s="48" t="s">
        <v>392</v>
      </c>
      <c r="C244" s="49" t="n">
        <v>871472367</v>
      </c>
      <c r="D244" s="49" t="n">
        <v>877081760</v>
      </c>
      <c r="E244" s="49" t="n">
        <v>866229326</v>
      </c>
      <c r="F244" s="49" t="n">
        <v>0</v>
      </c>
      <c r="G244" s="50" t="n">
        <f aca="false">IF($A244="","",IF(ISNUMBER($G243),$G243+1,1))</f>
        <v>240</v>
      </c>
      <c r="H244" s="51" t="n">
        <f aca="false">IF(OR(NOT(ISNUMBER($G244)),$G244&lt;2,NOT(ISNUMBER($C243)),$C243=0),"",$C244/$C243-1)</f>
        <v>-0.0235638926554144</v>
      </c>
      <c r="I244" s="52" t="n">
        <f aca="false">IF(AND(ISNUMBER($G244),$G244&gt;=MA_SHORT),AVERAGE(INDEX($C$5:$C244,241-MA_SHORT):$C244),"")</f>
        <v>878643208.45</v>
      </c>
      <c r="J244" s="52" t="n">
        <f aca="false">IF(AND(ISNUMBER($G244),$G244&gt;=MA_MED),AVERAGE(INDEX($C$5:$C244,241-MA_MED):$C244),"")</f>
        <v>892907273.16</v>
      </c>
      <c r="K244" s="52" t="n">
        <f aca="false">IF(AND(ISNUMBER($G244),$G244&gt;=MA_LONG2),AVERAGE(INDEX($C$5:$C244,241-MA_LONG2):$C244),"")</f>
        <v>791194460.025</v>
      </c>
      <c r="L244" s="53" t="n">
        <f aca="false">IF(AND(ISNUMBER($G244),$G244&gt;=21),STDEV(INDEX($H$184:$H244,62-20):$H244)*SQRT(245),"")</f>
        <v>0.19481360695189</v>
      </c>
      <c r="M244" s="52" t="n">
        <f aca="false">IF(AND(ISNUMBER($G244),$G244&gt;=60),MAX(INDEX($D$44:$D244,202-60):$D244),"")</f>
        <v>948968936</v>
      </c>
      <c r="N244" s="52" t="n">
        <f aca="false">IF(AND(ISNUMBER($G244),$G244&gt;=60),MIN(INDEX($E$44:$E244,202-60):$E244),"")</f>
        <v>825562927</v>
      </c>
      <c r="O244" s="53" t="n">
        <f aca="false">IF(OR(NOT(ISNUMBER($C244)),NOT(ISNUMBER($M244)),$M244=0),"",$C244/$M244-1)</f>
        <v>-0.0816639681870471</v>
      </c>
      <c r="P244" s="54"/>
      <c r="Q244" s="53" t="str">
        <f aca="false">IF(NOT(ISNUMBER($P244)),"",IFERROR(PERCENTRANK($P$5:$P$1204,$P244),""))</f>
        <v/>
      </c>
    </row>
    <row r="245" customFormat="false" ht="15" hidden="false" customHeight="false" outlineLevel="0" collapsed="false">
      <c r="A245" s="47" t="n">
        <v>45906</v>
      </c>
      <c r="B245" s="48" t="s">
        <v>393</v>
      </c>
      <c r="C245" s="49" t="n">
        <v>887715314</v>
      </c>
      <c r="D245" s="49" t="n">
        <v>890569895</v>
      </c>
      <c r="E245" s="49" t="n">
        <v>879964827</v>
      </c>
      <c r="F245" s="49" t="n">
        <v>0</v>
      </c>
      <c r="G245" s="50" t="n">
        <f aca="false">IF($A245="","",IF(ISNUMBER($G244),$G244+1,1))</f>
        <v>241</v>
      </c>
      <c r="H245" s="51" t="n">
        <f aca="false">IF(OR(NOT(ISNUMBER($G245)),$G245&lt;2,NOT(ISNUMBER($C244)),$C244=0),"",$C245/$C244-1)</f>
        <v>0.0186385106574469</v>
      </c>
      <c r="I245" s="52" t="n">
        <f aca="false">IF(AND(ISNUMBER($G245),$G245&gt;=MA_SHORT),AVERAGE(INDEX($C$5:$C245,242-MA_SHORT):$C245),"")</f>
        <v>877604552.25</v>
      </c>
      <c r="J245" s="52" t="n">
        <f aca="false">IF(AND(ISNUMBER($G245),$G245&gt;=MA_MED),AVERAGE(INDEX($C$5:$C245,242-MA_MED):$C245),"")</f>
        <v>893280324.64</v>
      </c>
      <c r="K245" s="52" t="n">
        <f aca="false">IF(AND(ISNUMBER($G245),$G245&gt;=MA_LONG2),AVERAGE(INDEX($C$5:$C245,242-MA_LONG2):$C245),"")</f>
        <v>792386676.525</v>
      </c>
      <c r="L245" s="53" t="n">
        <f aca="false">IF(AND(ISNUMBER($G245),$G245&gt;=21),STDEV(INDEX($H$185:$H245,62-20):$H245)*SQRT(245),"")</f>
        <v>0.203622786479463</v>
      </c>
      <c r="M245" s="52" t="n">
        <f aca="false">IF(AND(ISNUMBER($G245),$G245&gt;=60),MAX(INDEX($D$45:$D245,202-60):$D245),"")</f>
        <v>948968936</v>
      </c>
      <c r="N245" s="52" t="n">
        <f aca="false">IF(AND(ISNUMBER($G245),$G245&gt;=60),MIN(INDEX($E$45:$E245,202-60):$E245),"")</f>
        <v>843289971</v>
      </c>
      <c r="O245" s="53" t="n">
        <f aca="false">IF(OR(NOT(ISNUMBER($C245)),NOT(ISNUMBER($M245)),$M245=0),"",$C245/$M245-1)</f>
        <v>-0.064547552270984</v>
      </c>
      <c r="P245" s="54"/>
      <c r="Q245" s="53" t="str">
        <f aca="false">IF(NOT(ISNUMBER($P245)),"",IFERROR(PERCENTRANK($P$5:$P$1204,$P245),""))</f>
        <v/>
      </c>
    </row>
    <row r="246" customFormat="false" ht="15" hidden="false" customHeight="false" outlineLevel="0" collapsed="false">
      <c r="A246" s="47" t="n">
        <v>45907</v>
      </c>
      <c r="B246" s="48" t="s">
        <v>394</v>
      </c>
      <c r="C246" s="49" t="n">
        <v>890652639</v>
      </c>
      <c r="D246" s="49" t="n">
        <v>892894521</v>
      </c>
      <c r="E246" s="49" t="n">
        <v>886757079</v>
      </c>
      <c r="F246" s="49" t="n">
        <v>0</v>
      </c>
      <c r="G246" s="50" t="n">
        <f aca="false">IF($A246="","",IF(ISNUMBER($G245),$G245+1,1))</f>
        <v>242</v>
      </c>
      <c r="H246" s="51" t="n">
        <f aca="false">IF(OR(NOT(ISNUMBER($G246)),$G246&lt;2,NOT(ISNUMBER($C245)),$C245=0),"",$C246/$C245-1)</f>
        <v>0.00330885921835078</v>
      </c>
      <c r="I246" s="52" t="n">
        <f aca="false">IF(AND(ISNUMBER($G246),$G246&gt;=MA_SHORT),AVERAGE(INDEX($C$5:$C246,243-MA_SHORT):$C246),"")</f>
        <v>877741770.65</v>
      </c>
      <c r="J246" s="52" t="n">
        <f aca="false">IF(AND(ISNUMBER($G246),$G246&gt;=MA_MED),AVERAGE(INDEX($C$5:$C246,243-MA_MED):$C246),"")</f>
        <v>893480966.58</v>
      </c>
      <c r="K246" s="52" t="n">
        <f aca="false">IF(AND(ISNUMBER($G246),$G246&gt;=MA_LONG2),AVERAGE(INDEX($C$5:$C246,243-MA_LONG2):$C246),"")</f>
        <v>793629456.675</v>
      </c>
      <c r="L246" s="53" t="n">
        <f aca="false">IF(AND(ISNUMBER($G246),$G246&gt;=21),STDEV(INDEX($H$186:$H246,62-20):$H246)*SQRT(245),"")</f>
        <v>0.187807202850225</v>
      </c>
      <c r="M246" s="52" t="n">
        <f aca="false">IF(AND(ISNUMBER($G246),$G246&gt;=60),MAX(INDEX($D$46:$D246,202-60):$D246),"")</f>
        <v>948968936</v>
      </c>
      <c r="N246" s="52" t="n">
        <f aca="false">IF(AND(ISNUMBER($G246),$G246&gt;=60),MIN(INDEX($E$46:$E246,202-60):$E246),"")</f>
        <v>843289971</v>
      </c>
      <c r="O246" s="53" t="n">
        <f aca="false">IF(OR(NOT(ISNUMBER($C246)),NOT(ISNUMBER($M246)),$M246=0),"",$C246/$M246-1)</f>
        <v>-0.061452271815987</v>
      </c>
      <c r="P246" s="54"/>
      <c r="Q246" s="53" t="str">
        <f aca="false">IF(NOT(ISNUMBER($P246)),"",IFERROR(PERCENTRANK($P$5:$P$1204,$P246),""))</f>
        <v/>
      </c>
    </row>
    <row r="247" customFormat="false" ht="15" hidden="false" customHeight="false" outlineLevel="0" collapsed="false">
      <c r="A247" s="47" t="n">
        <v>45908</v>
      </c>
      <c r="B247" s="48" t="s">
        <v>395</v>
      </c>
      <c r="C247" s="49" t="n">
        <v>906646997</v>
      </c>
      <c r="D247" s="49" t="n">
        <v>911149466</v>
      </c>
      <c r="E247" s="49" t="n">
        <v>906490528</v>
      </c>
      <c r="F247" s="49" t="n">
        <v>0</v>
      </c>
      <c r="G247" s="50" t="n">
        <f aca="false">IF($A247="","",IF(ISNUMBER($G246),$G246+1,1))</f>
        <v>243</v>
      </c>
      <c r="H247" s="51" t="n">
        <f aca="false">IF(OR(NOT(ISNUMBER($G247)),$G247&lt;2,NOT(ISNUMBER($C246)),$C246=0),"",$C247/$C246-1)</f>
        <v>0.0179580201075449</v>
      </c>
      <c r="I247" s="52" t="n">
        <f aca="false">IF(AND(ISNUMBER($G247),$G247&gt;=MA_SHORT),AVERAGE(INDEX($C$5:$C247,244-MA_SHORT):$C247),"")</f>
        <v>878991673.35</v>
      </c>
      <c r="J247" s="52" t="n">
        <f aca="false">IF(AND(ISNUMBER($G247),$G247&gt;=MA_MED),AVERAGE(INDEX($C$5:$C247,244-MA_MED):$C247),"")</f>
        <v>894308080.94</v>
      </c>
      <c r="K247" s="52" t="n">
        <f aca="false">IF(AND(ISNUMBER($G247),$G247&gt;=MA_LONG2),AVERAGE(INDEX($C$5:$C247,244-MA_LONG2):$C247),"")</f>
        <v>794928389.145</v>
      </c>
      <c r="L247" s="53" t="n">
        <f aca="false">IF(AND(ISNUMBER($G247),$G247&gt;=21),STDEV(INDEX($H$187:$H247,62-20):$H247)*SQRT(245),"")</f>
        <v>0.19555602995469</v>
      </c>
      <c r="M247" s="52" t="n">
        <f aca="false">IF(AND(ISNUMBER($G247),$G247&gt;=60),MAX(INDEX($D$47:$D247,202-60):$D247),"")</f>
        <v>948968936</v>
      </c>
      <c r="N247" s="52" t="n">
        <f aca="false">IF(AND(ISNUMBER($G247),$G247&gt;=60),MIN(INDEX($E$47:$E247,202-60):$E247),"")</f>
        <v>843289971</v>
      </c>
      <c r="O247" s="53" t="n">
        <f aca="false">IF(OR(NOT(ISNUMBER($C247)),NOT(ISNUMBER($M247)),$M247=0),"",$C247/$M247-1)</f>
        <v>-0.0445978128413679</v>
      </c>
      <c r="P247" s="54"/>
      <c r="Q247" s="53" t="str">
        <f aca="false">IF(NOT(ISNUMBER($P247)),"",IFERROR(PERCENTRANK($P$5:$P$1204,$P247),""))</f>
        <v/>
      </c>
    </row>
    <row r="248" customFormat="false" ht="15" hidden="false" customHeight="false" outlineLevel="0" collapsed="false">
      <c r="A248" s="47" t="n">
        <v>45909</v>
      </c>
      <c r="B248" s="48" t="s">
        <v>396</v>
      </c>
      <c r="C248" s="49" t="n">
        <v>904541802</v>
      </c>
      <c r="D248" s="49" t="n">
        <v>905273000</v>
      </c>
      <c r="E248" s="49" t="n">
        <v>902681088</v>
      </c>
      <c r="F248" s="49" t="n">
        <v>0</v>
      </c>
      <c r="G248" s="50" t="n">
        <f aca="false">IF($A248="","",IF(ISNUMBER($G247),$G247+1,1))</f>
        <v>244</v>
      </c>
      <c r="H248" s="51" t="n">
        <f aca="false">IF(OR(NOT(ISNUMBER($G248)),$G248&lt;2,NOT(ISNUMBER($C247)),$C247=0),"",$C248/$C247-1)</f>
        <v>-0.00232195662365386</v>
      </c>
      <c r="I248" s="52" t="n">
        <f aca="false">IF(AND(ISNUMBER($G248),$G248&gt;=MA_SHORT),AVERAGE(INDEX($C$5:$C248,245-MA_SHORT):$C248),"")</f>
        <v>881155132.2</v>
      </c>
      <c r="J248" s="52" t="n">
        <f aca="false">IF(AND(ISNUMBER($G248),$G248&gt;=MA_MED),AVERAGE(INDEX($C$5:$C248,245-MA_MED):$C248),"")</f>
        <v>894921281.86</v>
      </c>
      <c r="K248" s="52" t="n">
        <f aca="false">IF(AND(ISNUMBER($G248),$G248&gt;=MA_LONG2),AVERAGE(INDEX($C$5:$C248,245-MA_LONG2):$C248),"")</f>
        <v>796221118.115</v>
      </c>
      <c r="L248" s="53" t="n">
        <f aca="false">IF(AND(ISNUMBER($G248),$G248&gt;=21),STDEV(INDEX($H$188:$H248,62-20):$H248)*SQRT(245),"")</f>
        <v>0.174228040200389</v>
      </c>
      <c r="M248" s="52" t="n">
        <f aca="false">IF(AND(ISNUMBER($G248),$G248&gt;=60),MAX(INDEX($D$48:$D248,202-60):$D248),"")</f>
        <v>948968936</v>
      </c>
      <c r="N248" s="52" t="n">
        <f aca="false">IF(AND(ISNUMBER($G248),$G248&gt;=60),MIN(INDEX($E$48:$E248,202-60):$E248),"")</f>
        <v>843289971</v>
      </c>
      <c r="O248" s="53" t="n">
        <f aca="false">IF(OR(NOT(ISNUMBER($C248)),NOT(ISNUMBER($M248)),$M248=0),"",$C248/$M248-1)</f>
        <v>-0.0468162152780942</v>
      </c>
      <c r="P248" s="54"/>
      <c r="Q248" s="53" t="str">
        <f aca="false">IF(NOT(ISNUMBER($P248)),"",IFERROR(PERCENTRANK($P$5:$P$1204,$P248),""))</f>
        <v/>
      </c>
    </row>
    <row r="249" customFormat="false" ht="15" hidden="false" customHeight="false" outlineLevel="0" collapsed="false">
      <c r="A249" s="47" t="n">
        <v>45910</v>
      </c>
      <c r="B249" s="48" t="s">
        <v>397</v>
      </c>
      <c r="C249" s="49" t="n">
        <v>894426288</v>
      </c>
      <c r="D249" s="49" t="n">
        <v>898220155</v>
      </c>
      <c r="E249" s="49" t="n">
        <v>886314825</v>
      </c>
      <c r="F249" s="49" t="n">
        <v>0</v>
      </c>
      <c r="G249" s="50" t="n">
        <f aca="false">IF($A249="","",IF(ISNUMBER($G248),$G248+1,1))</f>
        <v>245</v>
      </c>
      <c r="H249" s="51" t="n">
        <f aca="false">IF(OR(NOT(ISNUMBER($G249)),$G249&lt;2,NOT(ISNUMBER($C248)),$C248=0),"",$C249/$C248-1)</f>
        <v>-0.011183025458452</v>
      </c>
      <c r="I249" s="52" t="n">
        <f aca="false">IF(AND(ISNUMBER($G249),$G249&gt;=MA_SHORT),AVERAGE(INDEX($C$5:$C249,246-MA_SHORT):$C249),"")</f>
        <v>882293518.9</v>
      </c>
      <c r="J249" s="52" t="n">
        <f aca="false">IF(AND(ISNUMBER($G249),$G249&gt;=MA_MED),AVERAGE(INDEX($C$5:$C249,246-MA_MED):$C249),"")</f>
        <v>895519107.48</v>
      </c>
      <c r="K249" s="52" t="n">
        <f aca="false">IF(AND(ISNUMBER($G249),$G249&gt;=MA_LONG2),AVERAGE(INDEX($C$5:$C249,246-MA_LONG2):$C249),"")</f>
        <v>797501562.375</v>
      </c>
      <c r="L249" s="53" t="n">
        <f aca="false">IF(AND(ISNUMBER($G249),$G249&gt;=21),STDEV(INDEX($H$189:$H249,62-20):$H249)*SQRT(245),"")</f>
        <v>0.176779058825983</v>
      </c>
      <c r="M249" s="52" t="n">
        <f aca="false">IF(AND(ISNUMBER($G249),$G249&gt;=60),MAX(INDEX($D$49:$D249,202-60):$D249),"")</f>
        <v>948968936</v>
      </c>
      <c r="N249" s="52" t="n">
        <f aca="false">IF(AND(ISNUMBER($G249),$G249&gt;=60),MIN(INDEX($E$49:$E249,202-60):$E249),"")</f>
        <v>843289971</v>
      </c>
      <c r="O249" s="53" t="n">
        <f aca="false">IF(OR(NOT(ISNUMBER($C249)),NOT(ISNUMBER($M249)),$M249=0),"",$C249/$M249-1)</f>
        <v>-0.0574756938092229</v>
      </c>
      <c r="P249" s="54"/>
      <c r="Q249" s="53" t="str">
        <f aca="false">IF(NOT(ISNUMBER($P249)),"",IFERROR(PERCENTRANK($P$5:$P$1204,$P249),""))</f>
        <v/>
      </c>
    </row>
    <row r="250" customFormat="false" ht="15" hidden="false" customHeight="false" outlineLevel="0" collapsed="false">
      <c r="A250" s="47" t="n">
        <v>45913</v>
      </c>
      <c r="B250" s="48" t="s">
        <v>398</v>
      </c>
      <c r="C250" s="49" t="n">
        <v>906182045</v>
      </c>
      <c r="D250" s="49" t="n">
        <v>909996816</v>
      </c>
      <c r="E250" s="49" t="n">
        <v>905336020</v>
      </c>
      <c r="F250" s="49" t="n">
        <v>0</v>
      </c>
      <c r="G250" s="50" t="n">
        <f aca="false">IF($A250="","",IF(ISNUMBER($G249),$G249+1,1))</f>
        <v>246</v>
      </c>
      <c r="H250" s="51" t="n">
        <f aca="false">IF(OR(NOT(ISNUMBER($G250)),$G250&lt;2,NOT(ISNUMBER($C249)),$C249=0),"",$C250/$C249-1)</f>
        <v>0.0131433491588073</v>
      </c>
      <c r="I250" s="52" t="n">
        <f aca="false">IF(AND(ISNUMBER($G250),$G250&gt;=MA_SHORT),AVERAGE(INDEX($C$5:$C250,247-MA_SHORT):$C250),"")</f>
        <v>884753152.1</v>
      </c>
      <c r="J250" s="52" t="n">
        <f aca="false">IF(AND(ISNUMBER($G250),$G250&gt;=MA_MED),AVERAGE(INDEX($C$5:$C250,247-MA_MED):$C250),"")</f>
        <v>896087650.86</v>
      </c>
      <c r="K250" s="52" t="n">
        <f aca="false">IF(AND(ISNUMBER($G250),$G250&gt;=MA_LONG2),AVERAGE(INDEX($C$5:$C250,247-MA_LONG2):$C250),"")</f>
        <v>798829720.095</v>
      </c>
      <c r="L250" s="53" t="n">
        <f aca="false">IF(AND(ISNUMBER($G250),$G250&gt;=21),STDEV(INDEX($H$190:$H250,62-20):$H250)*SQRT(245),"")</f>
        <v>0.167937772785432</v>
      </c>
      <c r="M250" s="52" t="n">
        <f aca="false">IF(AND(ISNUMBER($G250),$G250&gt;=60),MAX(INDEX($D$50:$D250,202-60):$D250),"")</f>
        <v>948968936</v>
      </c>
      <c r="N250" s="52" t="n">
        <f aca="false">IF(AND(ISNUMBER($G250),$G250&gt;=60),MIN(INDEX($E$50:$E250,202-60):$E250),"")</f>
        <v>843289971</v>
      </c>
      <c r="O250" s="53" t="n">
        <f aca="false">IF(OR(NOT(ISNUMBER($C250)),NOT(ISNUMBER($M250)),$M250=0),"",$C250/$M250-1)</f>
        <v>-0.0450877677622948</v>
      </c>
      <c r="P250" s="54"/>
      <c r="Q250" s="53" t="str">
        <f aca="false">IF(NOT(ISNUMBER($P250)),"",IFERROR(PERCENTRANK($P$5:$P$1204,$P250),""))</f>
        <v/>
      </c>
    </row>
    <row r="251" customFormat="false" ht="15" hidden="false" customHeight="false" outlineLevel="0" collapsed="false">
      <c r="A251" s="47" t="n">
        <v>45914</v>
      </c>
      <c r="B251" s="48" t="s">
        <v>399</v>
      </c>
      <c r="C251" s="49" t="n">
        <v>896994519</v>
      </c>
      <c r="D251" s="49" t="n">
        <v>898526771</v>
      </c>
      <c r="E251" s="49" t="n">
        <v>894152739</v>
      </c>
      <c r="F251" s="49" t="n">
        <v>0</v>
      </c>
      <c r="G251" s="50" t="n">
        <f aca="false">IF($A251="","",IF(ISNUMBER($G250),$G250+1,1))</f>
        <v>247</v>
      </c>
      <c r="H251" s="51" t="n">
        <f aca="false">IF(OR(NOT(ISNUMBER($G251)),$G251&lt;2,NOT(ISNUMBER($C250)),$C250=0),"",$C251/$C250-1)</f>
        <v>-0.0101387199743072</v>
      </c>
      <c r="I251" s="52" t="n">
        <f aca="false">IF(AND(ISNUMBER($G251),$G251&gt;=MA_SHORT),AVERAGE(INDEX($C$5:$C251,248-MA_SHORT):$C251),"")</f>
        <v>886206756.8</v>
      </c>
      <c r="J251" s="52" t="n">
        <f aca="false">IF(AND(ISNUMBER($G251),$G251&gt;=MA_MED),AVERAGE(INDEX($C$5:$C251,248-MA_MED):$C251),"")</f>
        <v>896260682.98</v>
      </c>
      <c r="K251" s="52" t="n">
        <f aca="false">IF(AND(ISNUMBER($G251),$G251&gt;=MA_LONG2),AVERAGE(INDEX($C$5:$C251,248-MA_LONG2):$C251),"")</f>
        <v>800136760.885</v>
      </c>
      <c r="L251" s="53" t="n">
        <f aca="false">IF(AND(ISNUMBER($G251),$G251&gt;=21),STDEV(INDEX($H$191:$H251,62-20):$H251)*SQRT(245),"")</f>
        <v>0.169630241544188</v>
      </c>
      <c r="M251" s="52" t="n">
        <f aca="false">IF(AND(ISNUMBER($G251),$G251&gt;=60),MAX(INDEX($D$51:$D251,202-60):$D251),"")</f>
        <v>948968936</v>
      </c>
      <c r="N251" s="52" t="n">
        <f aca="false">IF(AND(ISNUMBER($G251),$G251&gt;=60),MIN(INDEX($E$51:$E251,202-60):$E251),"")</f>
        <v>843289971</v>
      </c>
      <c r="O251" s="53" t="n">
        <f aca="false">IF(OR(NOT(ISNUMBER($C251)),NOT(ISNUMBER($M251)),$M251=0),"",$C251/$M251-1)</f>
        <v>-0.0547693554849934</v>
      </c>
      <c r="P251" s="54"/>
      <c r="Q251" s="53" t="str">
        <f aca="false">IF(NOT(ISNUMBER($P251)),"",IFERROR(PERCENTRANK($P$5:$P$1204,$P251),""))</f>
        <v/>
      </c>
    </row>
    <row r="252" customFormat="false" ht="15" hidden="false" customHeight="false" outlineLevel="0" collapsed="false">
      <c r="A252" s="47" t="n">
        <v>45915</v>
      </c>
      <c r="B252" s="48" t="s">
        <v>400</v>
      </c>
      <c r="C252" s="49" t="n">
        <v>890528377</v>
      </c>
      <c r="D252" s="49" t="n">
        <v>896051129</v>
      </c>
      <c r="E252" s="49" t="n">
        <v>888370803</v>
      </c>
      <c r="F252" s="49" t="n">
        <v>0</v>
      </c>
      <c r="G252" s="50" t="n">
        <f aca="false">IF($A252="","",IF(ISNUMBER($G251),$G251+1,1))</f>
        <v>248</v>
      </c>
      <c r="H252" s="51" t="n">
        <f aca="false">IF(OR(NOT(ISNUMBER($G252)),$G252&lt;2,NOT(ISNUMBER($C251)),$C251=0),"",$C252/$C251-1)</f>
        <v>-0.00720867503985267</v>
      </c>
      <c r="I252" s="52" t="n">
        <f aca="false">IF(AND(ISNUMBER($G252),$G252&gt;=MA_SHORT),AVERAGE(INDEX($C$5:$C252,249-MA_SHORT):$C252),"")</f>
        <v>886847490.15</v>
      </c>
      <c r="J252" s="52" t="n">
        <f aca="false">IF(AND(ISNUMBER($G252),$G252&gt;=MA_MED),AVERAGE(INDEX($C$5:$C252,249-MA_MED):$C252),"")</f>
        <v>896218748.8</v>
      </c>
      <c r="K252" s="52" t="n">
        <f aca="false">IF(AND(ISNUMBER($G252),$G252&gt;=MA_LONG2),AVERAGE(INDEX($C$5:$C252,249-MA_LONG2):$C252),"")</f>
        <v>801350311.405</v>
      </c>
      <c r="L252" s="53" t="n">
        <f aca="false">IF(AND(ISNUMBER($G252),$G252&gt;=21),STDEV(INDEX($H$192:$H252,62-20):$H252)*SQRT(245),"")</f>
        <v>0.168510518854516</v>
      </c>
      <c r="M252" s="52" t="n">
        <f aca="false">IF(AND(ISNUMBER($G252),$G252&gt;=60),MAX(INDEX($D$52:$D252,202-60):$D252),"")</f>
        <v>948968936</v>
      </c>
      <c r="N252" s="52" t="n">
        <f aca="false">IF(AND(ISNUMBER($G252),$G252&gt;=60),MIN(INDEX($E$52:$E252,202-60):$E252),"")</f>
        <v>851090305</v>
      </c>
      <c r="O252" s="53" t="n">
        <f aca="false">IF(OR(NOT(ISNUMBER($C252)),NOT(ISNUMBER($M252)),$M252=0),"",$C252/$M252-1)</f>
        <v>-0.0615832160390127</v>
      </c>
      <c r="P252" s="54"/>
      <c r="Q252" s="53" t="str">
        <f aca="false">IF(NOT(ISNUMBER($P252)),"",IFERROR(PERCENTRANK($P$5:$P$1204,$P252),""))</f>
        <v/>
      </c>
    </row>
    <row r="253" customFormat="false" ht="15" hidden="false" customHeight="false" outlineLevel="0" collapsed="false">
      <c r="A253" s="47" t="n">
        <v>45916</v>
      </c>
      <c r="B253" s="48" t="s">
        <v>401</v>
      </c>
      <c r="C253" s="49" t="n">
        <v>895117772</v>
      </c>
      <c r="D253" s="49" t="n">
        <v>897894410</v>
      </c>
      <c r="E253" s="49" t="n">
        <v>894898559</v>
      </c>
      <c r="F253" s="49" t="n">
        <v>0</v>
      </c>
      <c r="G253" s="50" t="n">
        <f aca="false">IF($A253="","",IF(ISNUMBER($G252),$G252+1,1))</f>
        <v>249</v>
      </c>
      <c r="H253" s="51" t="n">
        <f aca="false">IF(OR(NOT(ISNUMBER($G253)),$G253&lt;2,NOT(ISNUMBER($C252)),$C252=0),"",$C253/$C252-1)</f>
        <v>0.00515356401719691</v>
      </c>
      <c r="I253" s="52" t="n">
        <f aca="false">IF(AND(ISNUMBER($G253),$G253&gt;=MA_SHORT),AVERAGE(INDEX($C$5:$C253,250-MA_SHORT):$C253),"")</f>
        <v>887562790</v>
      </c>
      <c r="J253" s="52" t="n">
        <f aca="false">IF(AND(ISNUMBER($G253),$G253&gt;=MA_MED),AVERAGE(INDEX($C$5:$C253,250-MA_MED):$C253),"")</f>
        <v>896110009.92</v>
      </c>
      <c r="K253" s="52" t="n">
        <f aca="false">IF(AND(ISNUMBER($G253),$G253&gt;=MA_LONG2),AVERAGE(INDEX($C$5:$C253,250-MA_LONG2):$C253),"")</f>
        <v>802568413.665</v>
      </c>
      <c r="L253" s="53" t="n">
        <f aca="false">IF(AND(ISNUMBER($G253),$G253&gt;=21),STDEV(INDEX($H$193:$H253,62-20):$H253)*SQRT(245),"")</f>
        <v>0.168947474993025</v>
      </c>
      <c r="M253" s="52" t="n">
        <f aca="false">IF(AND(ISNUMBER($G253),$G253&gt;=60),MAX(INDEX($D$53:$D253,202-60):$D253),"")</f>
        <v>948968936</v>
      </c>
      <c r="N253" s="52" t="n">
        <f aca="false">IF(AND(ISNUMBER($G253),$G253&gt;=60),MIN(INDEX($E$53:$E253,202-60):$E253),"")</f>
        <v>851090305</v>
      </c>
      <c r="O253" s="53" t="n">
        <f aca="false">IF(OR(NOT(ISNUMBER($C253)),NOT(ISNUMBER($M253)),$M253=0),"",$C253/$M253-1)</f>
        <v>-0.0567470250680576</v>
      </c>
      <c r="P253" s="54"/>
      <c r="Q253" s="53" t="str">
        <f aca="false">IF(NOT(ISNUMBER($P253)),"",IFERROR(PERCENTRANK($P$5:$P$1204,$P253),""))</f>
        <v/>
      </c>
    </row>
    <row r="254" customFormat="false" ht="15" hidden="false" customHeight="false" outlineLevel="0" collapsed="false">
      <c r="A254" s="47" t="n">
        <v>45917</v>
      </c>
      <c r="B254" s="48" t="s">
        <v>402</v>
      </c>
      <c r="C254" s="49" t="n">
        <v>887646476</v>
      </c>
      <c r="D254" s="49" t="n">
        <v>894746920</v>
      </c>
      <c r="E254" s="49" t="n">
        <v>884370143</v>
      </c>
      <c r="F254" s="49" t="n">
        <v>0</v>
      </c>
      <c r="G254" s="50" t="n">
        <f aca="false">IF($A254="","",IF(ISNUMBER($G253),$G253+1,1))</f>
        <v>250</v>
      </c>
      <c r="H254" s="51" t="n">
        <f aca="false">IF(OR(NOT(ISNUMBER($G254)),$G254&lt;2,NOT(ISNUMBER($C253)),$C253=0),"",$C254/$C253-1)</f>
        <v>-0.00834671842489121</v>
      </c>
      <c r="I254" s="52" t="n">
        <f aca="false">IF(AND(ISNUMBER($G254),$G254&gt;=MA_SHORT),AVERAGE(INDEX($C$5:$C254,251-MA_SHORT):$C254),"")</f>
        <v>888187901.95</v>
      </c>
      <c r="J254" s="52" t="n">
        <f aca="false">IF(AND(ISNUMBER($G254),$G254&gt;=MA_MED),AVERAGE(INDEX($C$5:$C254,251-MA_MED):$C254),"")</f>
        <v>895982633.36</v>
      </c>
      <c r="K254" s="52" t="n">
        <f aca="false">IF(AND(ISNUMBER($G254),$G254&gt;=MA_LONG2),AVERAGE(INDEX($C$5:$C254,251-MA_LONG2):$C254),"")</f>
        <v>803738927.91</v>
      </c>
      <c r="L254" s="53" t="n">
        <f aca="false">IF(AND(ISNUMBER($G254),$G254&gt;=21),STDEV(INDEX($H$194:$H254,62-20):$H254)*SQRT(245),"")</f>
        <v>0.170140653412929</v>
      </c>
      <c r="M254" s="52" t="n">
        <f aca="false">IF(AND(ISNUMBER($G254),$G254&gt;=60),MAX(INDEX($D$54:$D254,202-60):$D254),"")</f>
        <v>948968936</v>
      </c>
      <c r="N254" s="52" t="n">
        <f aca="false">IF(AND(ISNUMBER($G254),$G254&gt;=60),MIN(INDEX($E$54:$E254,202-60):$E254),"")</f>
        <v>851090305</v>
      </c>
      <c r="O254" s="53" t="n">
        <f aca="false">IF(OR(NOT(ISNUMBER($C254)),NOT(ISNUMBER($M254)),$M254=0),"",$C254/$M254-1)</f>
        <v>-0.0646200920532556</v>
      </c>
      <c r="P254" s="54"/>
      <c r="Q254" s="53" t="str">
        <f aca="false">IF(NOT(ISNUMBER($P254)),"",IFERROR(PERCENTRANK($P$5:$P$1204,$P254),""))</f>
        <v/>
      </c>
    </row>
    <row r="255" customFormat="false" ht="15" hidden="false" customHeight="false" outlineLevel="0" collapsed="false">
      <c r="A255" s="47" t="n">
        <v>45920</v>
      </c>
      <c r="B255" s="48" t="s">
        <v>403</v>
      </c>
      <c r="C255" s="49" t="n">
        <v>894838653</v>
      </c>
      <c r="D255" s="49" t="n">
        <v>897942356</v>
      </c>
      <c r="E255" s="49" t="n">
        <v>893755739</v>
      </c>
      <c r="F255" s="49" t="n">
        <v>0</v>
      </c>
      <c r="G255" s="50" t="n">
        <f aca="false">IF($A255="","",IF(ISNUMBER($G254),$G254+1,1))</f>
        <v>251</v>
      </c>
      <c r="H255" s="51" t="n">
        <f aca="false">IF(OR(NOT(ISNUMBER($G255)),$G255&lt;2,NOT(ISNUMBER($C254)),$C254=0),"",$C255/$C254-1)</f>
        <v>0.00810252414047774</v>
      </c>
      <c r="I255" s="52" t="n">
        <f aca="false">IF(AND(ISNUMBER($G255),$G255&gt;=MA_SHORT),AVERAGE(INDEX($C$5:$C255,252-MA_SHORT):$C255),"")</f>
        <v>889383030.3</v>
      </c>
      <c r="J255" s="52" t="n">
        <f aca="false">IF(AND(ISNUMBER($G255),$G255&gt;=MA_MED),AVERAGE(INDEX($C$5:$C255,252-MA_MED):$C255),"")</f>
        <v>896007349.02</v>
      </c>
      <c r="K255" s="52" t="n">
        <f aca="false">IF(AND(ISNUMBER($G255),$G255&gt;=MA_LONG2),AVERAGE(INDEX($C$5:$C255,252-MA_LONG2):$C255),"")</f>
        <v>804954844.88</v>
      </c>
      <c r="L255" s="53" t="n">
        <f aca="false">IF(AND(ISNUMBER($G255),$G255&gt;=21),STDEV(INDEX($H$195:$H255,62-20):$H255)*SQRT(245),"")</f>
        <v>0.170686377036311</v>
      </c>
      <c r="M255" s="52" t="n">
        <f aca="false">IF(AND(ISNUMBER($G255),$G255&gt;=60),MAX(INDEX($D$55:$D255,202-60):$D255),"")</f>
        <v>948968936</v>
      </c>
      <c r="N255" s="52" t="n">
        <f aca="false">IF(AND(ISNUMBER($G255),$G255&gt;=60),MIN(INDEX($E$55:$E255,202-60):$E255),"")</f>
        <v>851090305</v>
      </c>
      <c r="O255" s="53" t="n">
        <f aca="false">IF(OR(NOT(ISNUMBER($C255)),NOT(ISNUMBER($M255)),$M255=0),"",$C255/$M255-1)</f>
        <v>-0.0570411537685992</v>
      </c>
      <c r="P255" s="54"/>
      <c r="Q255" s="53" t="str">
        <f aca="false">IF(NOT(ISNUMBER($P255)),"",IFERROR(PERCENTRANK($P$5:$P$1204,$P255),""))</f>
        <v/>
      </c>
    </row>
    <row r="256" customFormat="false" ht="15" hidden="false" customHeight="false" outlineLevel="0" collapsed="false">
      <c r="A256" s="47" t="n">
        <v>45921</v>
      </c>
      <c r="B256" s="48" t="s">
        <v>404</v>
      </c>
      <c r="C256" s="49" t="n">
        <v>903994112</v>
      </c>
      <c r="D256" s="49" t="n">
        <v>906688632</v>
      </c>
      <c r="E256" s="49" t="n">
        <v>900403068</v>
      </c>
      <c r="F256" s="49" t="n">
        <v>0</v>
      </c>
      <c r="G256" s="50" t="n">
        <f aca="false">IF($A256="","",IF(ISNUMBER($G255),$G255+1,1))</f>
        <v>252</v>
      </c>
      <c r="H256" s="51" t="n">
        <f aca="false">IF(OR(NOT(ISNUMBER($G256)),$G256&lt;2,NOT(ISNUMBER($C255)),$C255=0),"",$C256/$C255-1)</f>
        <v>0.0102314076055006</v>
      </c>
      <c r="I256" s="52" t="n">
        <f aca="false">IF(AND(ISNUMBER($G256),$G256&gt;=MA_SHORT),AVERAGE(INDEX($C$5:$C256,253-MA_SHORT):$C256),"")</f>
        <v>891252574.35</v>
      </c>
      <c r="J256" s="52" t="n">
        <f aca="false">IF(AND(ISNUMBER($G256),$G256&gt;=MA_MED),AVERAGE(INDEX($C$5:$C256,253-MA_MED):$C256),"")</f>
        <v>896066214.48</v>
      </c>
      <c r="K256" s="52" t="n">
        <f aca="false">IF(AND(ISNUMBER($G256),$G256&gt;=MA_LONG2),AVERAGE(INDEX($C$5:$C256,253-MA_LONG2):$C256),"")</f>
        <v>806222626.995</v>
      </c>
      <c r="L256" s="53" t="n">
        <f aca="false">IF(AND(ISNUMBER($G256),$G256&gt;=21),STDEV(INDEX($H$196:$H256,62-20):$H256)*SQRT(245),"")</f>
        <v>0.171645102879547</v>
      </c>
      <c r="M256" s="52" t="n">
        <f aca="false">IF(AND(ISNUMBER($G256),$G256&gt;=60),MAX(INDEX($D$56:$D256,202-60):$D256),"")</f>
        <v>948968936</v>
      </c>
      <c r="N256" s="52" t="n">
        <f aca="false">IF(AND(ISNUMBER($G256),$G256&gt;=60),MIN(INDEX($E$56:$E256,202-60):$E256),"")</f>
        <v>851090305</v>
      </c>
      <c r="O256" s="53" t="n">
        <f aca="false">IF(OR(NOT(ISNUMBER($C256)),NOT(ISNUMBER($M256)),$M256=0),"",$C256/$M256-1)</f>
        <v>-0.0473933574575933</v>
      </c>
      <c r="P256" s="54"/>
      <c r="Q256" s="53" t="str">
        <f aca="false">IF(NOT(ISNUMBER($P256)),"",IFERROR(PERCENTRANK($P$5:$P$1204,$P256),""))</f>
        <v/>
      </c>
    </row>
    <row r="257" customFormat="false" ht="15" hidden="false" customHeight="false" outlineLevel="0" collapsed="false">
      <c r="A257" s="47" t="n">
        <v>45922</v>
      </c>
      <c r="B257" s="48" t="s">
        <v>405</v>
      </c>
      <c r="C257" s="49" t="n">
        <v>915625850</v>
      </c>
      <c r="D257" s="49" t="n">
        <v>918638237</v>
      </c>
      <c r="E257" s="49" t="n">
        <v>914216706</v>
      </c>
      <c r="F257" s="49" t="n">
        <v>0</v>
      </c>
      <c r="G257" s="50" t="n">
        <f aca="false">IF($A257="","",IF(ISNUMBER($G256),$G256+1,1))</f>
        <v>253</v>
      </c>
      <c r="H257" s="51" t="n">
        <f aca="false">IF(OR(NOT(ISNUMBER($G257)),$G257&lt;2,NOT(ISNUMBER($C256)),$C256=0),"",$C257/$C256-1)</f>
        <v>0.01286705062079</v>
      </c>
      <c r="I257" s="52" t="n">
        <f aca="false">IF(AND(ISNUMBER($G257),$G257&gt;=MA_SHORT),AVERAGE(INDEX($C$5:$C257,254-MA_SHORT):$C257),"")</f>
        <v>893671549.6</v>
      </c>
      <c r="J257" s="52" t="n">
        <f aca="false">IF(AND(ISNUMBER($G257),$G257&gt;=MA_MED),AVERAGE(INDEX($C$5:$C257,254-MA_MED):$C257),"")</f>
        <v>896437650.54</v>
      </c>
      <c r="K257" s="52" t="n">
        <f aca="false">IF(AND(ISNUMBER($G257),$G257&gt;=MA_LONG2),AVERAGE(INDEX($C$5:$C257,254-MA_LONG2):$C257),"")</f>
        <v>807532076.42</v>
      </c>
      <c r="L257" s="53" t="n">
        <f aca="false">IF(AND(ISNUMBER($G257),$G257&gt;=21),STDEV(INDEX($H$197:$H257,62-20):$H257)*SQRT(245),"")</f>
        <v>0.175544875516975</v>
      </c>
      <c r="M257" s="52" t="n">
        <f aca="false">IF(AND(ISNUMBER($G257),$G257&gt;=60),MAX(INDEX($D$57:$D257,202-60):$D257),"")</f>
        <v>948968936</v>
      </c>
      <c r="N257" s="52" t="n">
        <f aca="false">IF(AND(ISNUMBER($G257),$G257&gt;=60),MIN(INDEX($E$57:$E257,202-60):$E257),"")</f>
        <v>851090305</v>
      </c>
      <c r="O257" s="53" t="n">
        <f aca="false">IF(OR(NOT(ISNUMBER($C257)),NOT(ISNUMBER($M257)),$M257=0),"",$C257/$M257-1)</f>
        <v>-0.0351361195662995</v>
      </c>
      <c r="P257" s="54"/>
      <c r="Q257" s="53" t="str">
        <f aca="false">IF(NOT(ISNUMBER($P257)),"",IFERROR(PERCENTRANK($P$5:$P$1204,$P257),""))</f>
        <v/>
      </c>
    </row>
    <row r="258" customFormat="false" ht="15" hidden="false" customHeight="false" outlineLevel="0" collapsed="false">
      <c r="A258" s="47" t="n">
        <v>45923</v>
      </c>
      <c r="B258" s="48" t="s">
        <v>406</v>
      </c>
      <c r="C258" s="49" t="n">
        <v>917972144</v>
      </c>
      <c r="D258" s="49" t="n">
        <v>918778139</v>
      </c>
      <c r="E258" s="49" t="n">
        <v>915371972</v>
      </c>
      <c r="F258" s="49" t="n">
        <v>0</v>
      </c>
      <c r="G258" s="50" t="n">
        <f aca="false">IF($A258="","",IF(ISNUMBER($G257),$G257+1,1))</f>
        <v>254</v>
      </c>
      <c r="H258" s="51" t="n">
        <f aca="false">IF(OR(NOT(ISNUMBER($G258)),$G258&lt;2,NOT(ISNUMBER($C257)),$C257=0),"",$C258/$C257-1)</f>
        <v>0.00256250301364913</v>
      </c>
      <c r="I258" s="52" t="n">
        <f aca="false">IF(AND(ISNUMBER($G258),$G258&gt;=MA_SHORT),AVERAGE(INDEX($C$5:$C258,255-MA_SHORT):$C258),"")</f>
        <v>895562544.15</v>
      </c>
      <c r="J258" s="52" t="n">
        <f aca="false">IF(AND(ISNUMBER($G258),$G258&gt;=MA_MED),AVERAGE(INDEX($C$5:$C258,255-MA_MED):$C258),"")</f>
        <v>896406970.46</v>
      </c>
      <c r="K258" s="52" t="n">
        <f aca="false">IF(AND(ISNUMBER($G258),$G258&gt;=MA_LONG2),AVERAGE(INDEX($C$5:$C258,255-MA_LONG2):$C258),"")</f>
        <v>808803881.925</v>
      </c>
      <c r="L258" s="53" t="n">
        <f aca="false">IF(AND(ISNUMBER($G258),$G258&gt;=21),STDEV(INDEX($H$198:$H258,62-20):$H258)*SQRT(245),"")</f>
        <v>0.169793025866093</v>
      </c>
      <c r="M258" s="52" t="n">
        <f aca="false">IF(AND(ISNUMBER($G258),$G258&gt;=60),MAX(INDEX($D$58:$D258,202-60):$D258),"")</f>
        <v>948968936</v>
      </c>
      <c r="N258" s="52" t="n">
        <f aca="false">IF(AND(ISNUMBER($G258),$G258&gt;=60),MIN(INDEX($E$58:$E258,202-60):$E258),"")</f>
        <v>851090305</v>
      </c>
      <c r="O258" s="53" t="n">
        <f aca="false">IF(OR(NOT(ISNUMBER($C258)),NOT(ISNUMBER($M258)),$M258=0),"",$C258/$M258-1)</f>
        <v>-0.032663652964927</v>
      </c>
      <c r="P258" s="54"/>
      <c r="Q258" s="53" t="str">
        <f aca="false">IF(NOT(ISNUMBER($P258)),"",IFERROR(PERCENTRANK($P$5:$P$1204,$P258),""))</f>
        <v/>
      </c>
    </row>
    <row r="259" customFormat="false" ht="15" hidden="false" customHeight="false" outlineLevel="0" collapsed="false">
      <c r="A259" s="47" t="n">
        <v>45924</v>
      </c>
      <c r="B259" s="48" t="s">
        <v>407</v>
      </c>
      <c r="C259" s="49" t="n">
        <v>913412204</v>
      </c>
      <c r="D259" s="49" t="n">
        <v>915956212</v>
      </c>
      <c r="E259" s="49" t="n">
        <v>910634152</v>
      </c>
      <c r="F259" s="49" t="n">
        <v>0</v>
      </c>
      <c r="G259" s="50" t="n">
        <f aca="false">IF($A259="","",IF(ISNUMBER($G258),$G258+1,1))</f>
        <v>255</v>
      </c>
      <c r="H259" s="51" t="n">
        <f aca="false">IF(OR(NOT(ISNUMBER($G259)),$G259&lt;2,NOT(ISNUMBER($C258)),$C258=0),"",$C259/$C258-1)</f>
        <v>-0.00496740563404285</v>
      </c>
      <c r="I259" s="52" t="n">
        <f aca="false">IF(AND(ISNUMBER($G259),$G259&gt;=MA_SHORT),AVERAGE(INDEX($C$5:$C259,256-MA_SHORT):$C259),"")</f>
        <v>897241400.1</v>
      </c>
      <c r="J259" s="52" t="n">
        <f aca="false">IF(AND(ISNUMBER($G259),$G259&gt;=MA_MED),AVERAGE(INDEX($C$5:$C259,256-MA_MED):$C259),"")</f>
        <v>896445369.06</v>
      </c>
      <c r="K259" s="52" t="n">
        <f aca="false">IF(AND(ISNUMBER($G259),$G259&gt;=MA_LONG2),AVERAGE(INDEX($C$5:$C259,256-MA_LONG2):$C259),"")</f>
        <v>810071262.03</v>
      </c>
      <c r="L259" s="53" t="n">
        <f aca="false">IF(AND(ISNUMBER($G259),$G259&gt;=21),STDEV(INDEX($H$199:$H259,62-20):$H259)*SQRT(245),"")</f>
        <v>0.171433198242165</v>
      </c>
      <c r="M259" s="52" t="n">
        <f aca="false">IF(AND(ISNUMBER($G259),$G259&gt;=60),MAX(INDEX($D$59:$D259,202-60):$D259),"")</f>
        <v>948968936</v>
      </c>
      <c r="N259" s="52" t="n">
        <f aca="false">IF(AND(ISNUMBER($G259),$G259&gt;=60),MIN(INDEX($E$59:$E259,202-60):$E259),"")</f>
        <v>851090305</v>
      </c>
      <c r="O259" s="53" t="n">
        <f aca="false">IF(OR(NOT(ISNUMBER($C259)),NOT(ISNUMBER($M259)),$M259=0),"",$C259/$M259-1)</f>
        <v>-0.0374688049852034</v>
      </c>
      <c r="P259" s="54"/>
      <c r="Q259" s="53" t="str">
        <f aca="false">IF(NOT(ISNUMBER($P259)),"",IFERROR(PERCENTRANK($P$5:$P$1204,$P259),""))</f>
        <v/>
      </c>
    </row>
    <row r="260" customFormat="false" ht="15" hidden="false" customHeight="false" outlineLevel="0" collapsed="false">
      <c r="A260" s="47" t="n">
        <v>45927</v>
      </c>
      <c r="B260" s="48" t="s">
        <v>408</v>
      </c>
      <c r="C260" s="49" t="n">
        <v>899366297</v>
      </c>
      <c r="D260" s="49" t="n">
        <v>905459023</v>
      </c>
      <c r="E260" s="49" t="n">
        <v>898329686</v>
      </c>
      <c r="F260" s="49" t="n">
        <v>0</v>
      </c>
      <c r="G260" s="50" t="n">
        <f aca="false">IF($A260="","",IF(ISNUMBER($G259),$G259+1,1))</f>
        <v>256</v>
      </c>
      <c r="H260" s="51" t="n">
        <f aca="false">IF(OR(NOT(ISNUMBER($G260)),$G260&lt;2,NOT(ISNUMBER($C259)),$C259=0),"",$C260/$C259-1)</f>
        <v>-0.0153774023803168</v>
      </c>
      <c r="I260" s="52" t="n">
        <f aca="false">IF(AND(ISNUMBER($G260),$G260&gt;=MA_SHORT),AVERAGE(INDEX($C$5:$C260,257-MA_SHORT):$C260),"")</f>
        <v>897739196.1</v>
      </c>
      <c r="J260" s="52" t="n">
        <f aca="false">IF(AND(ISNUMBER($G260),$G260&gt;=MA_MED),AVERAGE(INDEX($C$5:$C260,257-MA_MED):$C260),"")</f>
        <v>896733049.14</v>
      </c>
      <c r="K260" s="52" t="n">
        <f aca="false">IF(AND(ISNUMBER($G260),$G260&gt;=MA_LONG2),AVERAGE(INDEX($C$5:$C260,257-MA_LONG2):$C260),"")</f>
        <v>811340432.885</v>
      </c>
      <c r="L260" s="53" t="n">
        <f aca="false">IF(AND(ISNUMBER($G260),$G260&gt;=21),STDEV(INDEX($H$200:$H260,62-20):$H260)*SQRT(245),"")</f>
        <v>0.178254483071256</v>
      </c>
      <c r="M260" s="52" t="n">
        <f aca="false">IF(AND(ISNUMBER($G260),$G260&gt;=60),MAX(INDEX($D$60:$D260,202-60):$D260),"")</f>
        <v>948968936</v>
      </c>
      <c r="N260" s="52" t="n">
        <f aca="false">IF(AND(ISNUMBER($G260),$G260&gt;=60),MIN(INDEX($E$60:$E260,202-60):$E260),"")</f>
        <v>851090305</v>
      </c>
      <c r="O260" s="53" t="n">
        <f aca="false">IF(OR(NOT(ISNUMBER($C260)),NOT(ISNUMBER($M260)),$M260=0),"",$C260/$M260-1)</f>
        <v>-0.0522700344745531</v>
      </c>
      <c r="P260" s="54"/>
      <c r="Q260" s="53" t="str">
        <f aca="false">IF(NOT(ISNUMBER($P260)),"",IFERROR(PERCENTRANK($P$5:$P$1204,$P260),""))</f>
        <v/>
      </c>
    </row>
    <row r="261" customFormat="false" ht="15" hidden="false" customHeight="false" outlineLevel="0" collapsed="false">
      <c r="A261" s="47" t="n">
        <v>45928</v>
      </c>
      <c r="B261" s="48" t="s">
        <v>409</v>
      </c>
      <c r="C261" s="49" t="n">
        <v>896185104</v>
      </c>
      <c r="D261" s="49" t="n">
        <v>899055769</v>
      </c>
      <c r="E261" s="49" t="n">
        <v>891758887</v>
      </c>
      <c r="F261" s="49" t="n">
        <v>0</v>
      </c>
      <c r="G261" s="50" t="n">
        <f aca="false">IF($A261="","",IF(ISNUMBER($G260),$G260+1,1))</f>
        <v>257</v>
      </c>
      <c r="H261" s="51" t="n">
        <f aca="false">IF(OR(NOT(ISNUMBER($G261)),$G261&lt;2,NOT(ISNUMBER($C260)),$C260=0),"",$C261/$C260-1)</f>
        <v>-0.00353714944690664</v>
      </c>
      <c r="I261" s="52" t="n">
        <f aca="false">IF(AND(ISNUMBER($G261),$G261&gt;=MA_SHORT),AVERAGE(INDEX($C$5:$C261,258-MA_SHORT):$C261),"")</f>
        <v>897796182.75</v>
      </c>
      <c r="J261" s="52" t="n">
        <f aca="false">IF(AND(ISNUMBER($G261),$G261&gt;=MA_MED),AVERAGE(INDEX($C$5:$C261,258-MA_MED):$C261),"")</f>
        <v>896736197.48</v>
      </c>
      <c r="K261" s="52" t="n">
        <f aca="false">IF(AND(ISNUMBER($G261),$G261&gt;=MA_LONG2),AVERAGE(INDEX($C$5:$C261,258-MA_LONG2):$C261),"")</f>
        <v>812525094.865</v>
      </c>
      <c r="L261" s="53" t="n">
        <f aca="false">IF(AND(ISNUMBER($G261),$G261&gt;=21),STDEV(INDEX($H$201:$H261,62-20):$H261)*SQRT(245),"")</f>
        <v>0.177519026460101</v>
      </c>
      <c r="M261" s="52" t="n">
        <f aca="false">IF(AND(ISNUMBER($G261),$G261&gt;=60),MAX(INDEX($D$61:$D261,202-60):$D261),"")</f>
        <v>948968936</v>
      </c>
      <c r="N261" s="52" t="n">
        <f aca="false">IF(AND(ISNUMBER($G261),$G261&gt;=60),MIN(INDEX($E$61:$E261,202-60):$E261),"")</f>
        <v>851090305</v>
      </c>
      <c r="O261" s="53" t="n">
        <f aca="false">IF(OR(NOT(ISNUMBER($C261)),NOT(ISNUMBER($M261)),$M261=0),"",$C261/$M261-1)</f>
        <v>-0.0556222969979283</v>
      </c>
      <c r="P261" s="54"/>
      <c r="Q261" s="53" t="str">
        <f aca="false">IF(NOT(ISNUMBER($P261)),"",IFERROR(PERCENTRANK($P$5:$P$1204,$P261),""))</f>
        <v/>
      </c>
    </row>
    <row r="262" customFormat="false" ht="15" hidden="false" customHeight="false" outlineLevel="0" collapsed="false">
      <c r="A262" s="47" t="n">
        <v>45929</v>
      </c>
      <c r="B262" s="48" t="s">
        <v>410</v>
      </c>
      <c r="C262" s="49" t="n">
        <v>884166127</v>
      </c>
      <c r="D262" s="49" t="n">
        <v>889939566</v>
      </c>
      <c r="E262" s="49" t="n">
        <v>882901039</v>
      </c>
      <c r="F262" s="49" t="n">
        <v>0</v>
      </c>
      <c r="G262" s="50" t="n">
        <f aca="false">IF($A262="","",IF(ISNUMBER($G261),$G261+1,1))</f>
        <v>258</v>
      </c>
      <c r="H262" s="51" t="n">
        <f aca="false">IF(OR(NOT(ISNUMBER($G262)),$G262&lt;2,NOT(ISNUMBER($C261)),$C261=0),"",$C262/$C261-1)</f>
        <v>-0.0134112662064511</v>
      </c>
      <c r="I262" s="52" t="n">
        <f aca="false">IF(AND(ISNUMBER($G262),$G262&gt;=MA_SHORT),AVERAGE(INDEX($C$5:$C262,259-MA_SHORT):$C262),"")</f>
        <v>897499415.2</v>
      </c>
      <c r="J262" s="52" t="n">
        <f aca="false">IF(AND(ISNUMBER($G262),$G262&gt;=MA_MED),AVERAGE(INDEX($C$5:$C262,259-MA_MED):$C262),"")</f>
        <v>896045769.76</v>
      </c>
      <c r="K262" s="52" t="n">
        <f aca="false">IF(AND(ISNUMBER($G262),$G262&gt;=MA_LONG2),AVERAGE(INDEX($C$5:$C262,259-MA_LONG2):$C262),"")</f>
        <v>813586437.71</v>
      </c>
      <c r="L262" s="53" t="n">
        <f aca="false">IF(AND(ISNUMBER($G262),$G262&gt;=21),STDEV(INDEX($H$202:$H262,62-20):$H262)*SQRT(245),"")</f>
        <v>0.182822657842867</v>
      </c>
      <c r="M262" s="52" t="n">
        <f aca="false">IF(AND(ISNUMBER($G262),$G262&gt;=60),MAX(INDEX($D$62:$D262,202-60):$D262),"")</f>
        <v>948968936</v>
      </c>
      <c r="N262" s="52" t="n">
        <f aca="false">IF(AND(ISNUMBER($G262),$G262&gt;=60),MIN(INDEX($E$62:$E262,202-60):$E262),"")</f>
        <v>851090305</v>
      </c>
      <c r="O262" s="53" t="n">
        <f aca="false">IF(OR(NOT(ISNUMBER($C262)),NOT(ISNUMBER($M262)),$M262=0),"",$C262/$M262-1)</f>
        <v>-0.0682875977723259</v>
      </c>
      <c r="P262" s="54"/>
      <c r="Q262" s="53" t="str">
        <f aca="false">IF(NOT(ISNUMBER($P262)),"",IFERROR(PERCENTRANK($P$5:$P$1204,$P262),""))</f>
        <v/>
      </c>
    </row>
    <row r="263" customFormat="false" ht="15" hidden="false" customHeight="false" outlineLevel="0" collapsed="false">
      <c r="A263" s="47" t="n">
        <v>45930</v>
      </c>
      <c r="B263" s="48" t="s">
        <v>411</v>
      </c>
      <c r="C263" s="49" t="n">
        <v>867257516</v>
      </c>
      <c r="D263" s="49" t="n">
        <v>873151541</v>
      </c>
      <c r="E263" s="49" t="n">
        <v>866798852</v>
      </c>
      <c r="F263" s="49" t="n">
        <v>0</v>
      </c>
      <c r="G263" s="50" t="n">
        <f aca="false">IF($A263="","",IF(ISNUMBER($G262),$G262+1,1))</f>
        <v>259</v>
      </c>
      <c r="H263" s="51" t="n">
        <f aca="false">IF(OR(NOT(ISNUMBER($G263)),$G263&lt;2,NOT(ISNUMBER($C262)),$C262=0),"",$C263/$C262-1)</f>
        <v>-0.0191237941419125</v>
      </c>
      <c r="I263" s="52" t="n">
        <f aca="false">IF(AND(ISNUMBER($G263),$G263&gt;=MA_SHORT),AVERAGE(INDEX($C$5:$C263,260-MA_SHORT):$C263),"")</f>
        <v>896237130.15</v>
      </c>
      <c r="J263" s="52" t="n">
        <f aca="false">IF(AND(ISNUMBER($G263),$G263&gt;=MA_MED),AVERAGE(INDEX($C$5:$C263,260-MA_MED):$C263),"")</f>
        <v>895134696.66</v>
      </c>
      <c r="K263" s="52" t="n">
        <f aca="false">IF(AND(ISNUMBER($G263),$G263&gt;=MA_LONG2),AVERAGE(INDEX($C$5:$C263,260-MA_LONG2):$C263),"")</f>
        <v>814565187.39</v>
      </c>
      <c r="L263" s="53" t="n">
        <f aca="false">IF(AND(ISNUMBER($G263),$G263&gt;=21),STDEV(INDEX($H$203:$H263,62-20):$H263)*SQRT(245),"")</f>
        <v>0.193874555753959</v>
      </c>
      <c r="M263" s="52" t="n">
        <f aca="false">IF(AND(ISNUMBER($G263),$G263&gt;=60),MAX(INDEX($D$63:$D263,202-60):$D263),"")</f>
        <v>948968936</v>
      </c>
      <c r="N263" s="52" t="n">
        <f aca="false">IF(AND(ISNUMBER($G263),$G263&gt;=60),MIN(INDEX($E$63:$E263,202-60):$E263),"")</f>
        <v>851090305</v>
      </c>
      <c r="O263" s="53" t="n">
        <f aca="false">IF(OR(NOT(ISNUMBER($C263)),NOT(ISNUMBER($M263)),$M263=0),"",$C263/$M263-1)</f>
        <v>-0.0861054739519945</v>
      </c>
      <c r="P263" s="54"/>
      <c r="Q263" s="53" t="str">
        <f aca="false">IF(NOT(ISNUMBER($P263)),"",IFERROR(PERCENTRANK($P$5:$P$1204,$P263),""))</f>
        <v/>
      </c>
    </row>
    <row r="264" customFormat="false" ht="15" hidden="false" customHeight="false" outlineLevel="0" collapsed="false">
      <c r="A264" s="47" t="n">
        <v>45931</v>
      </c>
      <c r="B264" s="48" t="s">
        <v>412</v>
      </c>
      <c r="C264" s="49" t="n">
        <v>884796243</v>
      </c>
      <c r="D264" s="49" t="n">
        <v>889087812</v>
      </c>
      <c r="E264" s="49" t="n">
        <v>884167120</v>
      </c>
      <c r="F264" s="49" t="n">
        <v>0</v>
      </c>
      <c r="G264" s="50" t="n">
        <f aca="false">IF($A264="","",IF(ISNUMBER($G263),$G263+1,1))</f>
        <v>260</v>
      </c>
      <c r="H264" s="51" t="n">
        <f aca="false">IF(OR(NOT(ISNUMBER($G264)),$G264&lt;2,NOT(ISNUMBER($C263)),$C263=0),"",$C264/$C263-1)</f>
        <v>0.0202232055374889</v>
      </c>
      <c r="I264" s="52" t="n">
        <f aca="false">IF(AND(ISNUMBER($G264),$G264&gt;=MA_SHORT),AVERAGE(INDEX($C$5:$C264,261-MA_SHORT):$C264),"")</f>
        <v>896903323.95</v>
      </c>
      <c r="J264" s="52" t="n">
        <f aca="false">IF(AND(ISNUMBER($G264),$G264&gt;=MA_MED),AVERAGE(INDEX($C$5:$C264,261-MA_MED):$C264),"")</f>
        <v>894138371.24</v>
      </c>
      <c r="K264" s="52" t="n">
        <f aca="false">IF(AND(ISNUMBER($G264),$G264&gt;=MA_LONG2),AVERAGE(INDEX($C$5:$C264,261-MA_LONG2):$C264),"")</f>
        <v>815604463.78</v>
      </c>
      <c r="L264" s="53" t="n">
        <f aca="false">IF(AND(ISNUMBER($G264),$G264&gt;=21),STDEV(INDEX($H$204:$H264,62-20):$H264)*SQRT(245),"")</f>
        <v>0.189740695304616</v>
      </c>
      <c r="M264" s="52" t="n">
        <f aca="false">IF(AND(ISNUMBER($G264),$G264&gt;=60),MAX(INDEX($D$64:$D264,202-60):$D264),"")</f>
        <v>948968936</v>
      </c>
      <c r="N264" s="52" t="n">
        <f aca="false">IF(AND(ISNUMBER($G264),$G264&gt;=60),MIN(INDEX($E$64:$E264,202-60):$E264),"")</f>
        <v>851090305</v>
      </c>
      <c r="O264" s="53" t="n">
        <f aca="false">IF(OR(NOT(ISNUMBER($C264)),NOT(ISNUMBER($M264)),$M264=0),"",$C264/$M264-1)</f>
        <v>-0.0676235971121398</v>
      </c>
      <c r="P264" s="54"/>
      <c r="Q264" s="53" t="str">
        <f aca="false">IF(NOT(ISNUMBER($P264)),"",IFERROR(PERCENTRANK($P$5:$P$1204,$P264),""))</f>
        <v/>
      </c>
    </row>
    <row r="265" customFormat="false" ht="15" hidden="false" customHeight="false" outlineLevel="0" collapsed="false">
      <c r="A265" s="47" t="n">
        <v>45934</v>
      </c>
      <c r="B265" s="48" t="s">
        <v>413</v>
      </c>
      <c r="C265" s="49" t="n">
        <v>889840514</v>
      </c>
      <c r="D265" s="49" t="n">
        <v>890731003</v>
      </c>
      <c r="E265" s="49" t="n">
        <v>889377818</v>
      </c>
      <c r="F265" s="49" t="n">
        <v>0</v>
      </c>
      <c r="G265" s="50" t="n">
        <f aca="false">IF($A265="","",IF(ISNUMBER($G264),$G264+1,1))</f>
        <v>261</v>
      </c>
      <c r="H265" s="51" t="n">
        <f aca="false">IF(OR(NOT(ISNUMBER($G265)),$G265&lt;2,NOT(ISNUMBER($C264)),$C264=0),"",$C265/$C264-1)</f>
        <v>0.00570105381878294</v>
      </c>
      <c r="I265" s="52" t="n">
        <f aca="false">IF(AND(ISNUMBER($G265),$G265&gt;=MA_SHORT),AVERAGE(INDEX($C$5:$C265,262-MA_SHORT):$C265),"")</f>
        <v>897009583.95</v>
      </c>
      <c r="J265" s="52" t="n">
        <f aca="false">IF(AND(ISNUMBER($G265),$G265&gt;=MA_MED),AVERAGE(INDEX($C$5:$C265,262-MA_MED):$C265),"")</f>
        <v>893103795.44</v>
      </c>
      <c r="K265" s="52" t="n">
        <f aca="false">IF(AND(ISNUMBER($G265),$G265&gt;=MA_LONG2),AVERAGE(INDEX($C$5:$C265,262-MA_LONG2):$C265),"")</f>
        <v>816721458.585</v>
      </c>
      <c r="L265" s="53" t="n">
        <f aca="false">IF(AND(ISNUMBER($G265),$G265&gt;=21),STDEV(INDEX($H$205:$H265,62-20):$H265)*SQRT(245),"")</f>
        <v>0.179191639782491</v>
      </c>
      <c r="M265" s="52" t="n">
        <f aca="false">IF(AND(ISNUMBER($G265),$G265&gt;=60),MAX(INDEX($D$65:$D265,202-60):$D265),"")</f>
        <v>948968936</v>
      </c>
      <c r="N265" s="52" t="n">
        <f aca="false">IF(AND(ISNUMBER($G265),$G265&gt;=60),MIN(INDEX($E$65:$E265,202-60):$E265),"")</f>
        <v>851090305</v>
      </c>
      <c r="O265" s="53" t="n">
        <f aca="false">IF(OR(NOT(ISNUMBER($C265)),NOT(ISNUMBER($M265)),$M265=0),"",$C265/$M265-1)</f>
        <v>-0.0623080690599128</v>
      </c>
      <c r="P265" s="54"/>
      <c r="Q265" s="53" t="str">
        <f aca="false">IF(NOT(ISNUMBER($P265)),"",IFERROR(PERCENTRANK($P$5:$P$1204,$P265),""))</f>
        <v/>
      </c>
    </row>
    <row r="266" customFormat="false" ht="15" hidden="false" customHeight="false" outlineLevel="0" collapsed="false">
      <c r="A266" s="47" t="n">
        <v>45935</v>
      </c>
      <c r="B266" s="48" t="s">
        <v>414</v>
      </c>
      <c r="C266" s="49" t="n">
        <v>881681870</v>
      </c>
      <c r="D266" s="49" t="n">
        <v>881688564</v>
      </c>
      <c r="E266" s="49" t="n">
        <v>877980514</v>
      </c>
      <c r="F266" s="49" t="n">
        <v>0</v>
      </c>
      <c r="G266" s="50" t="n">
        <f aca="false">IF($A266="","",IF(ISNUMBER($G265),$G265+1,1))</f>
        <v>262</v>
      </c>
      <c r="H266" s="51" t="n">
        <f aca="false">IF(OR(NOT(ISNUMBER($G266)),$G266&lt;2,NOT(ISNUMBER($C265)),$C265=0),"",$C266/$C265-1)</f>
        <v>-0.00916865873337835</v>
      </c>
      <c r="I266" s="52" t="n">
        <f aca="false">IF(AND(ISNUMBER($G266),$G266&gt;=MA_SHORT),AVERAGE(INDEX($C$5:$C266,263-MA_SHORT):$C266),"")</f>
        <v>896561045.5</v>
      </c>
      <c r="J266" s="52" t="n">
        <f aca="false">IF(AND(ISNUMBER($G266),$G266&gt;=MA_MED),AVERAGE(INDEX($C$5:$C266,263-MA_MED):$C266),"")</f>
        <v>892171685.4</v>
      </c>
      <c r="K266" s="52" t="n">
        <f aca="false">IF(AND(ISNUMBER($G266),$G266&gt;=MA_LONG2),AVERAGE(INDEX($C$5:$C266,263-MA_LONG2):$C266),"")</f>
        <v>817800969.22</v>
      </c>
      <c r="L266" s="53" t="n">
        <f aca="false">IF(AND(ISNUMBER($G266),$G266&gt;=21),STDEV(INDEX($H$206:$H266,62-20):$H266)*SQRT(245),"")</f>
        <v>0.181688100848977</v>
      </c>
      <c r="M266" s="52" t="n">
        <f aca="false">IF(AND(ISNUMBER($G266),$G266&gt;=60),MAX(INDEX($D$66:$D266,202-60):$D266),"")</f>
        <v>948968936</v>
      </c>
      <c r="N266" s="52" t="n">
        <f aca="false">IF(AND(ISNUMBER($G266),$G266&gt;=60),MIN(INDEX($E$66:$E266,202-60):$E266),"")</f>
        <v>851090305</v>
      </c>
      <c r="O266" s="53" t="n">
        <f aca="false">IF(OR(NOT(ISNUMBER($C266)),NOT(ISNUMBER($M266)),$M266=0),"",$C266/$M266-1)</f>
        <v>-0.0709054463717451</v>
      </c>
      <c r="P266" s="54"/>
      <c r="Q266" s="53" t="str">
        <f aca="false">IF(NOT(ISNUMBER($P266)),"",IFERROR(PERCENTRANK($P$5:$P$1204,$P266),""))</f>
        <v/>
      </c>
    </row>
    <row r="267" customFormat="false" ht="15" hidden="false" customHeight="false" outlineLevel="0" collapsed="false">
      <c r="A267" s="47" t="n">
        <v>45936</v>
      </c>
      <c r="B267" s="48" t="s">
        <v>415</v>
      </c>
      <c r="C267" s="49" t="n">
        <v>874019994</v>
      </c>
      <c r="D267" s="49" t="n">
        <v>874596962</v>
      </c>
      <c r="E267" s="49" t="n">
        <v>873710316</v>
      </c>
      <c r="F267" s="49" t="n">
        <v>0</v>
      </c>
      <c r="G267" s="50" t="n">
        <f aca="false">IF($A267="","",IF(ISNUMBER($G266),$G266+1,1))</f>
        <v>263</v>
      </c>
      <c r="H267" s="51" t="n">
        <f aca="false">IF(OR(NOT(ISNUMBER($G267)),$G267&lt;2,NOT(ISNUMBER($C266)),$C266=0),"",$C267/$C266-1)</f>
        <v>-0.00869006867522404</v>
      </c>
      <c r="I267" s="52" t="n">
        <f aca="false">IF(AND(ISNUMBER($G267),$G267&gt;=MA_SHORT),AVERAGE(INDEX($C$5:$C267,264-MA_SHORT):$C267),"")</f>
        <v>894929695.35</v>
      </c>
      <c r="J267" s="52" t="n">
        <f aca="false">IF(AND(ISNUMBER($G267),$G267&gt;=MA_MED),AVERAGE(INDEX($C$5:$C267,264-MA_MED):$C267),"")</f>
        <v>891156455.62</v>
      </c>
      <c r="K267" s="52" t="n">
        <f aca="false">IF(AND(ISNUMBER($G267),$G267&gt;=MA_LONG2),AVERAGE(INDEX($C$5:$C267,264-MA_LONG2):$C267),"")</f>
        <v>818850119.635</v>
      </c>
      <c r="L267" s="53" t="n">
        <f aca="false">IF(AND(ISNUMBER($G267),$G267&gt;=21),STDEV(INDEX($H$207:$H267,62-20):$H267)*SQRT(245),"")</f>
        <v>0.170482370382266</v>
      </c>
      <c r="M267" s="52" t="n">
        <f aca="false">IF(AND(ISNUMBER($G267),$G267&gt;=60),MAX(INDEX($D$67:$D267,202-60):$D267),"")</f>
        <v>948968936</v>
      </c>
      <c r="N267" s="52" t="n">
        <f aca="false">IF(AND(ISNUMBER($G267),$G267&gt;=60),MIN(INDEX($E$67:$E267,202-60):$E267),"")</f>
        <v>851090305</v>
      </c>
      <c r="O267" s="53" t="n">
        <f aca="false">IF(OR(NOT(ISNUMBER($C267)),NOT(ISNUMBER($M267)),$M267=0),"",$C267/$M267-1)</f>
        <v>-0.0789793418485513</v>
      </c>
      <c r="P267" s="54"/>
      <c r="Q267" s="53" t="str">
        <f aca="false">IF(NOT(ISNUMBER($P267)),"",IFERROR(PERCENTRANK($P$5:$P$1204,$P267),""))</f>
        <v/>
      </c>
    </row>
    <row r="268" customFormat="false" ht="15" hidden="false" customHeight="false" outlineLevel="0" collapsed="false">
      <c r="A268" s="47" t="n">
        <v>45937</v>
      </c>
      <c r="B268" s="48" t="s">
        <v>416</v>
      </c>
      <c r="C268" s="49" t="n">
        <v>897543648</v>
      </c>
      <c r="D268" s="49" t="n">
        <v>900683206</v>
      </c>
      <c r="E268" s="49" t="n">
        <v>893583082</v>
      </c>
      <c r="F268" s="49" t="n">
        <v>0</v>
      </c>
      <c r="G268" s="50" t="n">
        <f aca="false">IF($A268="","",IF(ISNUMBER($G267),$G267+1,1))</f>
        <v>264</v>
      </c>
      <c r="H268" s="51" t="n">
        <f aca="false">IF(OR(NOT(ISNUMBER($G268)),$G268&lt;2,NOT(ISNUMBER($C267)),$C267=0),"",$C268/$C267-1)</f>
        <v>0.0269143202232054</v>
      </c>
      <c r="I268" s="52" t="n">
        <f aca="false">IF(AND(ISNUMBER($G268),$G268&gt;=MA_SHORT),AVERAGE(INDEX($C$5:$C268,265-MA_SHORT):$C268),"")</f>
        <v>894579787.65</v>
      </c>
      <c r="J268" s="52" t="n">
        <f aca="false">IF(AND(ISNUMBER($G268),$G268&gt;=MA_MED),AVERAGE(INDEX($C$5:$C268,265-MA_MED):$C268),"")</f>
        <v>890662314.76</v>
      </c>
      <c r="K268" s="52" t="n">
        <f aca="false">IF(AND(ISNUMBER($G268),$G268&gt;=MA_LONG2),AVERAGE(INDEX($C$5:$C268,265-MA_LONG2):$C268),"")</f>
        <v>819951683.065</v>
      </c>
      <c r="L268" s="53" t="n">
        <f aca="false">IF(AND(ISNUMBER($G268),$G268&gt;=21),STDEV(INDEX($H$208:$H268,62-20):$H268)*SQRT(245),"")</f>
        <v>0.197793524289618</v>
      </c>
      <c r="M268" s="52" t="n">
        <f aca="false">IF(AND(ISNUMBER($G268),$G268&gt;=60),MAX(INDEX($D$68:$D268,202-60):$D268),"")</f>
        <v>948968936</v>
      </c>
      <c r="N268" s="52" t="n">
        <f aca="false">IF(AND(ISNUMBER($G268),$G268&gt;=60),MIN(INDEX($E$68:$E268,202-60):$E268),"")</f>
        <v>851090305</v>
      </c>
      <c r="O268" s="53" t="n">
        <f aca="false">IF(OR(NOT(ISNUMBER($C268)),NOT(ISNUMBER($M268)),$M268=0),"",$C268/$M268-1)</f>
        <v>-0.0541906969228759</v>
      </c>
      <c r="P268" s="54"/>
      <c r="Q268" s="53" t="str">
        <f aca="false">IF(NOT(ISNUMBER($P268)),"",IFERROR(PERCENTRANK($P$5:$P$1204,$P268),""))</f>
        <v/>
      </c>
    </row>
    <row r="269" customFormat="false" ht="15" hidden="false" customHeight="false" outlineLevel="0" collapsed="false">
      <c r="A269" s="47" t="n">
        <v>45938</v>
      </c>
      <c r="B269" s="48" t="s">
        <v>417</v>
      </c>
      <c r="C269" s="49" t="n">
        <v>905611565</v>
      </c>
      <c r="D269" s="49" t="n">
        <v>907617286</v>
      </c>
      <c r="E269" s="49" t="n">
        <v>903218553</v>
      </c>
      <c r="F269" s="49" t="n">
        <v>0</v>
      </c>
      <c r="G269" s="50" t="n">
        <f aca="false">IF($A269="","",IF(ISNUMBER($G268),$G268+1,1))</f>
        <v>265</v>
      </c>
      <c r="H269" s="51" t="n">
        <f aca="false">IF(OR(NOT(ISNUMBER($G269)),$G269&lt;2,NOT(ISNUMBER($C268)),$C268=0),"",$C269/$C268-1)</f>
        <v>0.00898888540738696</v>
      </c>
      <c r="I269" s="52" t="n">
        <f aca="false">IF(AND(ISNUMBER($G269),$G269&gt;=MA_SHORT),AVERAGE(INDEX($C$5:$C269,266-MA_SHORT):$C269),"")</f>
        <v>895139051.5</v>
      </c>
      <c r="J269" s="52" t="n">
        <f aca="false">IF(AND(ISNUMBER($G269),$G269&gt;=MA_MED),AVERAGE(INDEX($C$5:$C269,266-MA_MED):$C269),"")</f>
        <v>890348073.04</v>
      </c>
      <c r="K269" s="52" t="n">
        <f aca="false">IF(AND(ISNUMBER($G269),$G269&gt;=MA_LONG2),AVERAGE(INDEX($C$5:$C269,266-MA_LONG2):$C269),"")</f>
        <v>821016104.05</v>
      </c>
      <c r="L269" s="53" t="n">
        <f aca="false">IF(AND(ISNUMBER($G269),$G269&gt;=21),STDEV(INDEX($H$209:$H269,62-20):$H269)*SQRT(245),"")</f>
        <v>0.196091512370412</v>
      </c>
      <c r="M269" s="52" t="n">
        <f aca="false">IF(AND(ISNUMBER($G269),$G269&gt;=60),MAX(INDEX($D$69:$D269,202-60):$D269),"")</f>
        <v>948968936</v>
      </c>
      <c r="N269" s="52" t="n">
        <f aca="false">IF(AND(ISNUMBER($G269),$G269&gt;=60),MIN(INDEX($E$69:$E269,202-60):$E269),"")</f>
        <v>851090305</v>
      </c>
      <c r="O269" s="53" t="n">
        <f aca="false">IF(OR(NOT(ISNUMBER($C269)),NOT(ISNUMBER($M269)),$M269=0),"",$C269/$M269-1)</f>
        <v>-0.0456889254802751</v>
      </c>
      <c r="P269" s="54"/>
      <c r="Q269" s="53" t="str">
        <f aca="false">IF(NOT(ISNUMBER($P269)),"",IFERROR(PERCENTRANK($P$5:$P$1204,$P269),""))</f>
        <v/>
      </c>
    </row>
    <row r="270" customFormat="false" ht="15" hidden="false" customHeight="false" outlineLevel="0" collapsed="false">
      <c r="A270" s="47" t="n">
        <v>45941</v>
      </c>
      <c r="B270" s="48" t="s">
        <v>418</v>
      </c>
      <c r="C270" s="49" t="n">
        <v>904847436</v>
      </c>
      <c r="D270" s="49" t="n">
        <v>910280226</v>
      </c>
      <c r="E270" s="49" t="n">
        <v>903531672</v>
      </c>
      <c r="F270" s="49" t="n">
        <v>0</v>
      </c>
      <c r="G270" s="50" t="n">
        <f aca="false">IF($A270="","",IF(ISNUMBER($G269),$G269+1,1))</f>
        <v>266</v>
      </c>
      <c r="H270" s="51" t="n">
        <f aca="false">IF(OR(NOT(ISNUMBER($G270)),$G270&lt;2,NOT(ISNUMBER($C269)),$C269=0),"",$C270/$C269-1)</f>
        <v>-0.000843771247554637</v>
      </c>
      <c r="I270" s="52" t="n">
        <f aca="false">IF(AND(ISNUMBER($G270),$G270&gt;=MA_SHORT),AVERAGE(INDEX($C$5:$C270,267-MA_SHORT):$C270),"")</f>
        <v>895072321.05</v>
      </c>
      <c r="J270" s="52" t="n">
        <f aca="false">IF(AND(ISNUMBER($G270),$G270&gt;=MA_MED),AVERAGE(INDEX($C$5:$C270,267-MA_MED):$C270),"")</f>
        <v>889916809.48</v>
      </c>
      <c r="K270" s="52" t="n">
        <f aca="false">IF(AND(ISNUMBER($G270),$G270&gt;=MA_LONG2),AVERAGE(INDEX($C$5:$C270,267-MA_LONG2):$C270),"")</f>
        <v>822079702.06</v>
      </c>
      <c r="L270" s="53" t="n">
        <f aca="false">IF(AND(ISNUMBER($G270),$G270&gt;=21),STDEV(INDEX($H$210:$H270,62-20):$H270)*SQRT(245),"")</f>
        <v>0.190678829152984</v>
      </c>
      <c r="M270" s="52" t="n">
        <f aca="false">IF(AND(ISNUMBER($G270),$G270&gt;=60),MAX(INDEX($D$70:$D270,202-60):$D270),"")</f>
        <v>948968936</v>
      </c>
      <c r="N270" s="52" t="n">
        <f aca="false">IF(AND(ISNUMBER($G270),$G270&gt;=60),MIN(INDEX($E$70:$E270,202-60):$E270),"")</f>
        <v>851090305</v>
      </c>
      <c r="O270" s="53" t="n">
        <f aca="false">IF(OR(NOT(ISNUMBER($C270)),NOT(ISNUMBER($M270)),$M270=0),"",$C270/$M270-1)</f>
        <v>-0.0464941457261779</v>
      </c>
      <c r="P270" s="54"/>
      <c r="Q270" s="53" t="str">
        <f aca="false">IF(NOT(ISNUMBER($P270)),"",IFERROR(PERCENTRANK($P$5:$P$1204,$P270),""))</f>
        <v/>
      </c>
    </row>
    <row r="271" customFormat="false" ht="15" hidden="false" customHeight="false" outlineLevel="0" collapsed="false">
      <c r="A271" s="47" t="n">
        <v>45942</v>
      </c>
      <c r="B271" s="48" t="s">
        <v>419</v>
      </c>
      <c r="C271" s="49" t="n">
        <v>890740753</v>
      </c>
      <c r="D271" s="49" t="n">
        <v>891038960</v>
      </c>
      <c r="E271" s="49" t="n">
        <v>884636208</v>
      </c>
      <c r="F271" s="49" t="n">
        <v>0</v>
      </c>
      <c r="G271" s="50" t="n">
        <f aca="false">IF($A271="","",IF(ISNUMBER($G270),$G270+1,1))</f>
        <v>267</v>
      </c>
      <c r="H271" s="51" t="n">
        <f aca="false">IF(OR(NOT(ISNUMBER($G271)),$G271&lt;2,NOT(ISNUMBER($C270)),$C270=0),"",$C271/$C270-1)</f>
        <v>-0.0155901231950886</v>
      </c>
      <c r="I271" s="52" t="n">
        <f aca="false">IF(AND(ISNUMBER($G271),$G271&gt;=MA_SHORT),AVERAGE(INDEX($C$5:$C271,268-MA_SHORT):$C271),"")</f>
        <v>894759632.75</v>
      </c>
      <c r="J271" s="52" t="n">
        <f aca="false">IF(AND(ISNUMBER($G271),$G271&gt;=MA_MED),AVERAGE(INDEX($C$5:$C271,268-MA_MED):$C271),"")</f>
        <v>889578956.42</v>
      </c>
      <c r="K271" s="52" t="n">
        <f aca="false">IF(AND(ISNUMBER($G271),$G271&gt;=MA_LONG2),AVERAGE(INDEX($C$5:$C271,268-MA_LONG2):$C271),"")</f>
        <v>823055689.36</v>
      </c>
      <c r="L271" s="53" t="n">
        <f aca="false">IF(AND(ISNUMBER($G271),$G271&gt;=21),STDEV(INDEX($H$211:$H271,62-20):$H271)*SQRT(245),"")</f>
        <v>0.195313501157459</v>
      </c>
      <c r="M271" s="52" t="n">
        <f aca="false">IF(AND(ISNUMBER($G271),$G271&gt;=60),MAX(INDEX($D$71:$D271,202-60):$D271),"")</f>
        <v>948968936</v>
      </c>
      <c r="N271" s="52" t="n">
        <f aca="false">IF(AND(ISNUMBER($G271),$G271&gt;=60),MIN(INDEX($E$71:$E271,202-60):$E271),"")</f>
        <v>851090305</v>
      </c>
      <c r="O271" s="53" t="n">
        <f aca="false">IF(OR(NOT(ISNUMBER($C271)),NOT(ISNUMBER($M271)),$M271=0),"",$C271/$M271-1)</f>
        <v>-0.061359419461545</v>
      </c>
      <c r="P271" s="54"/>
      <c r="Q271" s="53" t="str">
        <f aca="false">IF(NOT(ISNUMBER($P271)),"",IFERROR(PERCENTRANK($P$5:$P$1204,$P271),""))</f>
        <v/>
      </c>
    </row>
    <row r="272" customFormat="false" ht="15" hidden="false" customHeight="false" outlineLevel="0" collapsed="false">
      <c r="A272" s="47" t="n">
        <v>45943</v>
      </c>
      <c r="B272" s="48" t="s">
        <v>420</v>
      </c>
      <c r="C272" s="49" t="n">
        <v>887780519</v>
      </c>
      <c r="D272" s="49" t="n">
        <v>888087181</v>
      </c>
      <c r="E272" s="49" t="n">
        <v>884026515</v>
      </c>
      <c r="F272" s="49" t="n">
        <v>0</v>
      </c>
      <c r="G272" s="50" t="n">
        <f aca="false">IF($A272="","",IF(ISNUMBER($G271),$G271+1,1))</f>
        <v>268</v>
      </c>
      <c r="H272" s="51" t="n">
        <f aca="false">IF(OR(NOT(ISNUMBER($G272)),$G272&lt;2,NOT(ISNUMBER($C271)),$C271=0),"",$C272/$C271-1)</f>
        <v>-0.0033233395800405</v>
      </c>
      <c r="I272" s="52" t="n">
        <f aca="false">IF(AND(ISNUMBER($G272),$G272&gt;=MA_SHORT),AVERAGE(INDEX($C$5:$C272,269-MA_SHORT):$C272),"")</f>
        <v>894622239.85</v>
      </c>
      <c r="J272" s="52" t="n">
        <f aca="false">IF(AND(ISNUMBER($G272),$G272&gt;=MA_MED),AVERAGE(INDEX($C$5:$C272,269-MA_MED):$C272),"")</f>
        <v>889064762.22</v>
      </c>
      <c r="K272" s="52" t="n">
        <f aca="false">IF(AND(ISNUMBER($G272),$G272&gt;=MA_LONG2),AVERAGE(INDEX($C$5:$C272,269-MA_LONG2):$C272),"")</f>
        <v>823976857.05</v>
      </c>
      <c r="L272" s="53" t="n">
        <f aca="false">IF(AND(ISNUMBER($G272),$G272&gt;=21),STDEV(INDEX($H$212:$H272,62-20):$H272)*SQRT(245),"")</f>
        <v>0.194004203528192</v>
      </c>
      <c r="M272" s="52" t="n">
        <f aca="false">IF(AND(ISNUMBER($G272),$G272&gt;=60),MAX(INDEX($D$72:$D272,202-60):$D272),"")</f>
        <v>948968936</v>
      </c>
      <c r="N272" s="52" t="n">
        <f aca="false">IF(AND(ISNUMBER($G272),$G272&gt;=60),MIN(INDEX($E$72:$E272,202-60):$E272),"")</f>
        <v>851090305</v>
      </c>
      <c r="O272" s="53" t="n">
        <f aca="false">IF(OR(NOT(ISNUMBER($C272)),NOT(ISNUMBER($M272)),$M272=0),"",$C272/$M272-1)</f>
        <v>-0.0644788408542806</v>
      </c>
      <c r="P272" s="54"/>
      <c r="Q272" s="53" t="str">
        <f aca="false">IF(NOT(ISNUMBER($P272)),"",IFERROR(PERCENTRANK($P$5:$P$1204,$P272),""))</f>
        <v/>
      </c>
    </row>
    <row r="273" customFormat="false" ht="15" hidden="false" customHeight="false" outlineLevel="0" collapsed="false">
      <c r="A273" s="47" t="n">
        <v>45944</v>
      </c>
      <c r="B273" s="48" t="s">
        <v>421</v>
      </c>
      <c r="C273" s="49" t="n">
        <v>873249389</v>
      </c>
      <c r="D273" s="49" t="n">
        <v>875811629</v>
      </c>
      <c r="E273" s="49" t="n">
        <v>872015702</v>
      </c>
      <c r="F273" s="49" t="n">
        <v>0</v>
      </c>
      <c r="G273" s="50" t="n">
        <f aca="false">IF($A273="","",IF(ISNUMBER($G272),$G272+1,1))</f>
        <v>269</v>
      </c>
      <c r="H273" s="51" t="n">
        <f aca="false">IF(OR(NOT(ISNUMBER($G273)),$G273&lt;2,NOT(ISNUMBER($C272)),$C272=0),"",$C273/$C272-1)</f>
        <v>-0.0163679306867062</v>
      </c>
      <c r="I273" s="52" t="n">
        <f aca="false">IF(AND(ISNUMBER($G273),$G273&gt;=MA_SHORT),AVERAGE(INDEX($C$5:$C273,270-MA_SHORT):$C273),"")</f>
        <v>893528820.7</v>
      </c>
      <c r="J273" s="52" t="n">
        <f aca="false">IF(AND(ISNUMBER($G273),$G273&gt;=MA_MED),AVERAGE(INDEX($C$5:$C273,270-MA_MED):$C273),"")</f>
        <v>888316737.26</v>
      </c>
      <c r="K273" s="52" t="n">
        <f aca="false">IF(AND(ISNUMBER($G273),$G273&gt;=MA_LONG2),AVERAGE(INDEX($C$5:$C273,270-MA_LONG2):$C273),"")</f>
        <v>824828811.64</v>
      </c>
      <c r="L273" s="53" t="n">
        <f aca="false">IF(AND(ISNUMBER($G273),$G273&gt;=21),STDEV(INDEX($H$213:$H273,62-20):$H273)*SQRT(245),"")</f>
        <v>0.201011866354802</v>
      </c>
      <c r="M273" s="52" t="n">
        <f aca="false">IF(AND(ISNUMBER($G273),$G273&gt;=60),MAX(INDEX($D$73:$D273,202-60):$D273),"")</f>
        <v>948968936</v>
      </c>
      <c r="N273" s="52" t="n">
        <f aca="false">IF(AND(ISNUMBER($G273),$G273&gt;=60),MIN(INDEX($E$73:$E273,202-60):$E273),"")</f>
        <v>851090305</v>
      </c>
      <c r="O273" s="53" t="n">
        <f aca="false">IF(OR(NOT(ISNUMBER($C273)),NOT(ISNUMBER($M273)),$M273=0),"",$C273/$M273-1)</f>
        <v>-0.0797913863431248</v>
      </c>
      <c r="P273" s="54"/>
      <c r="Q273" s="53" t="str">
        <f aca="false">IF(NOT(ISNUMBER($P273)),"",IFERROR(PERCENTRANK($P$5:$P$1204,$P273),""))</f>
        <v/>
      </c>
    </row>
    <row r="274" customFormat="false" ht="15" hidden="false" customHeight="false" outlineLevel="0" collapsed="false">
      <c r="A274" s="47" t="n">
        <v>45945</v>
      </c>
      <c r="B274" s="48" t="s">
        <v>422</v>
      </c>
      <c r="C274" s="49" t="n">
        <v>866169060</v>
      </c>
      <c r="D274" s="49" t="n">
        <v>867472113</v>
      </c>
      <c r="E274" s="49" t="n">
        <v>862726691</v>
      </c>
      <c r="F274" s="49" t="n">
        <v>0</v>
      </c>
      <c r="G274" s="50" t="n">
        <f aca="false">IF($A274="","",IF(ISNUMBER($G273),$G273+1,1))</f>
        <v>270</v>
      </c>
      <c r="H274" s="51" t="n">
        <f aca="false">IF(OR(NOT(ISNUMBER($G274)),$G274&lt;2,NOT(ISNUMBER($C273)),$C273=0),"",$C274/$C273-1)</f>
        <v>-0.00810802628571894</v>
      </c>
      <c r="I274" s="52" t="n">
        <f aca="false">IF(AND(ISNUMBER($G274),$G274&gt;=MA_SHORT),AVERAGE(INDEX($C$5:$C274,271-MA_SHORT):$C274),"")</f>
        <v>892454949.9</v>
      </c>
      <c r="J274" s="52" t="n">
        <f aca="false">IF(AND(ISNUMBER($G274),$G274&gt;=MA_MED),AVERAGE(INDEX($C$5:$C274,271-MA_MED):$C274),"")</f>
        <v>887648307.92</v>
      </c>
      <c r="K274" s="52" t="n">
        <f aca="false">IF(AND(ISNUMBER($G274),$G274&gt;=MA_LONG2),AVERAGE(INDEX($C$5:$C274,271-MA_LONG2):$C274),"")</f>
        <v>825681165.9</v>
      </c>
      <c r="L274" s="53" t="n">
        <f aca="false">IF(AND(ISNUMBER($G274),$G274&gt;=21),STDEV(INDEX($H$214:$H274,62-20):$H274)*SQRT(245),"")</f>
        <v>0.200903497751467</v>
      </c>
      <c r="M274" s="52" t="n">
        <f aca="false">IF(AND(ISNUMBER($G274),$G274&gt;=60),MAX(INDEX($D$74:$D274,202-60):$D274),"")</f>
        <v>948968936</v>
      </c>
      <c r="N274" s="52" t="n">
        <f aca="false">IF(AND(ISNUMBER($G274),$G274&gt;=60),MIN(INDEX($E$74:$E274,202-60):$E274),"")</f>
        <v>851090305</v>
      </c>
      <c r="O274" s="53" t="n">
        <f aca="false">IF(OR(NOT(ISNUMBER($C274)),NOT(ISNUMBER($M274)),$M274=0),"",$C274/$M274-1)</f>
        <v>-0.0872524619709997</v>
      </c>
      <c r="P274" s="54"/>
      <c r="Q274" s="53" t="str">
        <f aca="false">IF(NOT(ISNUMBER($P274)),"",IFERROR(PERCENTRANK($P$5:$P$1204,$P274),""))</f>
        <v/>
      </c>
    </row>
    <row r="275" customFormat="false" ht="15" hidden="false" customHeight="false" outlineLevel="0" collapsed="false">
      <c r="A275" s="47" t="n">
        <v>45948</v>
      </c>
      <c r="B275" s="48" t="s">
        <v>423</v>
      </c>
      <c r="C275" s="49" t="n">
        <v>876260371</v>
      </c>
      <c r="D275" s="49" t="n">
        <v>876539294</v>
      </c>
      <c r="E275" s="49" t="n">
        <v>874599721</v>
      </c>
      <c r="F275" s="49" t="n">
        <v>0</v>
      </c>
      <c r="G275" s="50" t="n">
        <f aca="false">IF($A275="","",IF(ISNUMBER($G274),$G274+1,1))</f>
        <v>271</v>
      </c>
      <c r="H275" s="51" t="n">
        <f aca="false">IF(OR(NOT(ISNUMBER($G275)),$G275&lt;2,NOT(ISNUMBER($C274)),$C274=0),"",$C275/$C274-1)</f>
        <v>0.0116505096591653</v>
      </c>
      <c r="I275" s="52" t="n">
        <f aca="false">IF(AND(ISNUMBER($G275),$G275&gt;=MA_SHORT),AVERAGE(INDEX($C$5:$C275,272-MA_SHORT):$C275),"")</f>
        <v>891526035.8</v>
      </c>
      <c r="J275" s="52" t="n">
        <f aca="false">IF(AND(ISNUMBER($G275),$G275&gt;=MA_MED),AVERAGE(INDEX($C$5:$C275,272-MA_MED):$C275),"")</f>
        <v>887003746.58</v>
      </c>
      <c r="K275" s="52" t="n">
        <f aca="false">IF(AND(ISNUMBER($G275),$G275&gt;=MA_LONG2),AVERAGE(INDEX($C$5:$C275,272-MA_LONG2):$C275),"")</f>
        <v>826607178.465</v>
      </c>
      <c r="L275" s="53" t="n">
        <f aca="false">IF(AND(ISNUMBER($G275),$G275&gt;=21),STDEV(INDEX($H$215:$H275,62-20):$H275)*SQRT(245),"")</f>
        <v>0.203378115585943</v>
      </c>
      <c r="M275" s="52" t="n">
        <f aca="false">IF(AND(ISNUMBER($G275),$G275&gt;=60),MAX(INDEX($D$75:$D275,202-60):$D275),"")</f>
        <v>932614949</v>
      </c>
      <c r="N275" s="52" t="n">
        <f aca="false">IF(AND(ISNUMBER($G275),$G275&gt;=60),MIN(INDEX($E$75:$E275,202-60):$E275),"")</f>
        <v>851090305</v>
      </c>
      <c r="O275" s="53" t="n">
        <f aca="false">IF(OR(NOT(ISNUMBER($C275)),NOT(ISNUMBER($M275)),$M275=0),"",$C275/$M275-1)</f>
        <v>-0.0604264150606061</v>
      </c>
      <c r="P275" s="54"/>
      <c r="Q275" s="53" t="str">
        <f aca="false">IF(NOT(ISNUMBER($P275)),"",IFERROR(PERCENTRANK($P$5:$P$1204,$P275),""))</f>
        <v/>
      </c>
    </row>
    <row r="276" customFormat="false" ht="15" hidden="false" customHeight="false" outlineLevel="0" collapsed="false">
      <c r="A276" s="47" t="n">
        <v>45949</v>
      </c>
      <c r="B276" s="48" t="s">
        <v>424</v>
      </c>
      <c r="C276" s="49" t="n">
        <v>882320447</v>
      </c>
      <c r="D276" s="49" t="n">
        <v>887586855</v>
      </c>
      <c r="E276" s="49" t="n">
        <v>872638622</v>
      </c>
      <c r="F276" s="49" t="n">
        <v>0</v>
      </c>
      <c r="G276" s="50" t="n">
        <f aca="false">IF($A276="","",IF(ISNUMBER($G275),$G275+1,1))</f>
        <v>272</v>
      </c>
      <c r="H276" s="51" t="n">
        <f aca="false">IF(OR(NOT(ISNUMBER($G276)),$G276&lt;2,NOT(ISNUMBER($C275)),$C275=0),"",$C276/$C275-1)</f>
        <v>0.00691583940180274</v>
      </c>
      <c r="I276" s="52" t="n">
        <f aca="false">IF(AND(ISNUMBER($G276),$G276&gt;=MA_SHORT),AVERAGE(INDEX($C$5:$C276,273-MA_SHORT):$C276),"")</f>
        <v>890442352.55</v>
      </c>
      <c r="J276" s="52" t="n">
        <f aca="false">IF(AND(ISNUMBER($G276),$G276&gt;=MA_MED),AVERAGE(INDEX($C$5:$C276,273-MA_MED):$C276),"")</f>
        <v>886891990.1</v>
      </c>
      <c r="K276" s="52" t="n">
        <f aca="false">IF(AND(ISNUMBER($G276),$G276&gt;=MA_LONG2),AVERAGE(INDEX($C$5:$C276,273-MA_LONG2):$C276),"")</f>
        <v>827545912.305</v>
      </c>
      <c r="L276" s="53" t="n">
        <f aca="false">IF(AND(ISNUMBER($G276),$G276&gt;=21),STDEV(INDEX($H$216:$H276,62-20):$H276)*SQRT(245),"")</f>
        <v>0.20134461566288</v>
      </c>
      <c r="M276" s="52" t="n">
        <f aca="false">IF(AND(ISNUMBER($G276),$G276&gt;=60),MAX(INDEX($D$76:$D276,202-60):$D276),"")</f>
        <v>929020356</v>
      </c>
      <c r="N276" s="52" t="n">
        <f aca="false">IF(AND(ISNUMBER($G276),$G276&gt;=60),MIN(INDEX($E$76:$E276,202-60):$E276),"")</f>
        <v>851090305</v>
      </c>
      <c r="O276" s="53" t="n">
        <f aca="false">IF(OR(NOT(ISNUMBER($C276)),NOT(ISNUMBER($M276)),$M276=0),"",$C276/$M276-1)</f>
        <v>-0.0502679071544477</v>
      </c>
      <c r="P276" s="54"/>
      <c r="Q276" s="53" t="str">
        <f aca="false">IF(NOT(ISNUMBER($P276)),"",IFERROR(PERCENTRANK($P$5:$P$1204,$P276),""))</f>
        <v/>
      </c>
    </row>
    <row r="277" customFormat="false" ht="15" hidden="false" customHeight="false" outlineLevel="0" collapsed="false">
      <c r="A277" s="47" t="n">
        <v>45950</v>
      </c>
      <c r="B277" s="48" t="s">
        <v>425</v>
      </c>
      <c r="C277" s="49" t="n">
        <v>897807407</v>
      </c>
      <c r="D277" s="49" t="n">
        <v>899918705</v>
      </c>
      <c r="E277" s="49" t="n">
        <v>895201083</v>
      </c>
      <c r="F277" s="49" t="n">
        <v>0</v>
      </c>
      <c r="G277" s="50" t="n">
        <f aca="false">IF($A277="","",IF(ISNUMBER($G276),$G276+1,1))</f>
        <v>273</v>
      </c>
      <c r="H277" s="51" t="n">
        <f aca="false">IF(OR(NOT(ISNUMBER($G277)),$G277&lt;2,NOT(ISNUMBER($C276)),$C276=0),"",$C277/$C276-1)</f>
        <v>0.0175525344025038</v>
      </c>
      <c r="I277" s="52" t="n">
        <f aca="false">IF(AND(ISNUMBER($G277),$G277&gt;=MA_SHORT),AVERAGE(INDEX($C$5:$C277,274-MA_SHORT):$C277),"")</f>
        <v>889551430.4</v>
      </c>
      <c r="J277" s="52" t="n">
        <f aca="false">IF(AND(ISNUMBER($G277),$G277&gt;=MA_MED),AVERAGE(INDEX($C$5:$C277,274-MA_MED):$C277),"")</f>
        <v>887215159.38</v>
      </c>
      <c r="K277" s="52" t="n">
        <f aca="false">IF(AND(ISNUMBER($G277),$G277&gt;=MA_LONG2),AVERAGE(INDEX($C$5:$C277,274-MA_LONG2):$C277),"")</f>
        <v>828529238.695</v>
      </c>
      <c r="L277" s="53" t="n">
        <f aca="false">IF(AND(ISNUMBER($G277),$G277&gt;=21),STDEV(INDEX($H$217:$H277,62-20):$H277)*SQRT(245),"")</f>
        <v>0.206156383946292</v>
      </c>
      <c r="M277" s="52" t="n">
        <f aca="false">IF(AND(ISNUMBER($G277),$G277&gt;=60),MAX(INDEX($D$77:$D277,202-60):$D277),"")</f>
        <v>928043095</v>
      </c>
      <c r="N277" s="52" t="n">
        <f aca="false">IF(AND(ISNUMBER($G277),$G277&gt;=60),MIN(INDEX($E$77:$E277,202-60):$E277),"")</f>
        <v>851090305</v>
      </c>
      <c r="O277" s="53" t="n">
        <f aca="false">IF(OR(NOT(ISNUMBER($C277)),NOT(ISNUMBER($M277)),$M277=0),"",$C277/$M277-1)</f>
        <v>-0.0325800473737699</v>
      </c>
      <c r="P277" s="54"/>
      <c r="Q277" s="53" t="str">
        <f aca="false">IF(NOT(ISNUMBER($P277)),"",IFERROR(PERCENTRANK($P$5:$P$1204,$P277),""))</f>
        <v/>
      </c>
    </row>
    <row r="278" customFormat="false" ht="15" hidden="false" customHeight="false" outlineLevel="0" collapsed="false">
      <c r="A278" s="47" t="n">
        <v>45951</v>
      </c>
      <c r="B278" s="48" t="s">
        <v>426</v>
      </c>
      <c r="C278" s="49" t="n">
        <v>888004723</v>
      </c>
      <c r="D278" s="49" t="n">
        <v>894439347</v>
      </c>
      <c r="E278" s="49" t="n">
        <v>884110619</v>
      </c>
      <c r="F278" s="49" t="n">
        <v>0</v>
      </c>
      <c r="G278" s="50" t="n">
        <f aca="false">IF($A278="","",IF(ISNUMBER($G277),$G277+1,1))</f>
        <v>274</v>
      </c>
      <c r="H278" s="51" t="n">
        <f aca="false">IF(OR(NOT(ISNUMBER($G278)),$G278&lt;2,NOT(ISNUMBER($C277)),$C277=0),"",$C278/$C277-1)</f>
        <v>-0.0109184708475011</v>
      </c>
      <c r="I278" s="52" t="n">
        <f aca="false">IF(AND(ISNUMBER($G278),$G278&gt;=MA_SHORT),AVERAGE(INDEX($C$5:$C278,275-MA_SHORT):$C278),"")</f>
        <v>888053059.35</v>
      </c>
      <c r="J278" s="52" t="n">
        <f aca="false">IF(AND(ISNUMBER($G278),$G278&gt;=MA_MED),AVERAGE(INDEX($C$5:$C278,275-MA_MED):$C278),"")</f>
        <v>887749801.34</v>
      </c>
      <c r="K278" s="52" t="n">
        <f aca="false">IF(AND(ISNUMBER($G278),$G278&gt;=MA_LONG2),AVERAGE(INDEX($C$5:$C278,275-MA_LONG2):$C278),"")</f>
        <v>829451257.825</v>
      </c>
      <c r="L278" s="53" t="n">
        <f aca="false">IF(AND(ISNUMBER($G278),$G278&gt;=21),STDEV(INDEX($H$218:$H278,62-20):$H278)*SQRT(245),"")</f>
        <v>0.208621495556922</v>
      </c>
      <c r="M278" s="52" t="n">
        <f aca="false">IF(AND(ISNUMBER($G278),$G278&gt;=60),MAX(INDEX($D$78:$D278,202-60):$D278),"")</f>
        <v>928043095</v>
      </c>
      <c r="N278" s="52" t="n">
        <f aca="false">IF(AND(ISNUMBER($G278),$G278&gt;=60),MIN(INDEX($E$78:$E278,202-60):$E278),"")</f>
        <v>851090305</v>
      </c>
      <c r="O278" s="53" t="n">
        <f aca="false">IF(OR(NOT(ISNUMBER($C278)),NOT(ISNUMBER($M278)),$M278=0),"",$C278/$M278-1)</f>
        <v>-0.0431427939238102</v>
      </c>
      <c r="P278" s="54"/>
      <c r="Q278" s="53" t="str">
        <f aca="false">IF(NOT(ISNUMBER($P278)),"",IFERROR(PERCENTRANK($P$5:$P$1204,$P278),""))</f>
        <v/>
      </c>
    </row>
    <row r="279" customFormat="false" ht="15" hidden="false" customHeight="false" outlineLevel="0" collapsed="false">
      <c r="A279" s="47" t="n">
        <v>45952</v>
      </c>
      <c r="B279" s="48" t="s">
        <v>427</v>
      </c>
      <c r="C279" s="49" t="n">
        <v>898993779</v>
      </c>
      <c r="D279" s="49" t="n">
        <v>900242984</v>
      </c>
      <c r="E279" s="49" t="n">
        <v>896684667</v>
      </c>
      <c r="F279" s="49" t="n">
        <v>0</v>
      </c>
      <c r="G279" s="50" t="n">
        <f aca="false">IF($A279="","",IF(ISNUMBER($G278),$G278+1,1))</f>
        <v>275</v>
      </c>
      <c r="H279" s="51" t="n">
        <f aca="false">IF(OR(NOT(ISNUMBER($G279)),$G279&lt;2,NOT(ISNUMBER($C278)),$C278=0),"",$C279/$C278-1)</f>
        <v>0.0123749972442433</v>
      </c>
      <c r="I279" s="52" t="n">
        <f aca="false">IF(AND(ISNUMBER($G279),$G279&gt;=MA_SHORT),AVERAGE(INDEX($C$5:$C279,276-MA_SHORT):$C279),"")</f>
        <v>887332138.1</v>
      </c>
      <c r="J279" s="52" t="n">
        <f aca="false">IF(AND(ISNUMBER($G279),$G279&gt;=MA_MED),AVERAGE(INDEX($C$5:$C279,276-MA_MED):$C279),"")</f>
        <v>888296505.84</v>
      </c>
      <c r="K279" s="52" t="n">
        <f aca="false">IF(AND(ISNUMBER($G279),$G279&gt;=MA_LONG2),AVERAGE(INDEX($C$5:$C279,276-MA_LONG2):$C279),"")</f>
        <v>830504501.565</v>
      </c>
      <c r="L279" s="53" t="n">
        <f aca="false">IF(AND(ISNUMBER($G279),$G279&gt;=21),STDEV(INDEX($H$219:$H279,62-20):$H279)*SQRT(245),"")</f>
        <v>0.21375112514756</v>
      </c>
      <c r="M279" s="52" t="n">
        <f aca="false">IF(AND(ISNUMBER($G279),$G279&gt;=60),MAX(INDEX($D$79:$D279,202-60):$D279),"")</f>
        <v>928043095</v>
      </c>
      <c r="N279" s="52" t="n">
        <f aca="false">IF(AND(ISNUMBER($G279),$G279&gt;=60),MIN(INDEX($E$79:$E279,202-60):$E279),"")</f>
        <v>851090305</v>
      </c>
      <c r="O279" s="53" t="n">
        <f aca="false">IF(OR(NOT(ISNUMBER($C279)),NOT(ISNUMBER($M279)),$M279=0),"",$C279/$M279-1)</f>
        <v>-0.031301688635483</v>
      </c>
      <c r="P279" s="54"/>
      <c r="Q279" s="53" t="str">
        <f aca="false">IF(NOT(ISNUMBER($P279)),"",IFERROR(PERCENTRANK($P$5:$P$1204,$P279),""))</f>
        <v/>
      </c>
    </row>
    <row r="280" customFormat="false" ht="15" hidden="false" customHeight="false" outlineLevel="0" collapsed="false">
      <c r="A280" s="47" t="n">
        <v>45955</v>
      </c>
      <c r="B280" s="48" t="s">
        <v>428</v>
      </c>
      <c r="C280" s="49" t="n">
        <v>907393341</v>
      </c>
      <c r="D280" s="49" t="n">
        <v>908512846</v>
      </c>
      <c r="E280" s="49" t="n">
        <v>906847752</v>
      </c>
      <c r="F280" s="49" t="n">
        <v>0</v>
      </c>
      <c r="G280" s="50" t="n">
        <f aca="false">IF($A280="","",IF(ISNUMBER($G279),$G279+1,1))</f>
        <v>276</v>
      </c>
      <c r="H280" s="51" t="n">
        <f aca="false">IF(OR(NOT(ISNUMBER($G280)),$G280&lt;2,NOT(ISNUMBER($C279)),$C279=0),"",$C280/$C279-1)</f>
        <v>0.00934329268589962</v>
      </c>
      <c r="I280" s="52" t="n">
        <f aca="false">IF(AND(ISNUMBER($G280),$G280&gt;=MA_SHORT),AVERAGE(INDEX($C$5:$C280,277-MA_SHORT):$C280),"")</f>
        <v>887733490.3</v>
      </c>
      <c r="J280" s="52" t="n">
        <f aca="false">IF(AND(ISNUMBER($G280),$G280&gt;=MA_MED),AVERAGE(INDEX($C$5:$C280,277-MA_MED):$C280),"")</f>
        <v>889304585.04</v>
      </c>
      <c r="K280" s="52" t="n">
        <f aca="false">IF(AND(ISNUMBER($G280),$G280&gt;=MA_LONG2),AVERAGE(INDEX($C$5:$C280,277-MA_LONG2):$C280),"")</f>
        <v>831570497.825</v>
      </c>
      <c r="L280" s="53" t="n">
        <f aca="false">IF(AND(ISNUMBER($G280),$G280&gt;=21),STDEV(INDEX($H$220:$H280,62-20):$H280)*SQRT(245),"")</f>
        <v>0.20933885422628</v>
      </c>
      <c r="M280" s="52" t="n">
        <f aca="false">IF(AND(ISNUMBER($G280),$G280&gt;=60),MAX(INDEX($D$80:$D280,202-60):$D280),"")</f>
        <v>918778139</v>
      </c>
      <c r="N280" s="52" t="n">
        <f aca="false">IF(AND(ISNUMBER($G280),$G280&gt;=60),MIN(INDEX($E$80:$E280,202-60):$E280),"")</f>
        <v>851090305</v>
      </c>
      <c r="O280" s="53" t="n">
        <f aca="false">IF(OR(NOT(ISNUMBER($C280)),NOT(ISNUMBER($M280)),$M280=0),"",$C280/$M280-1)</f>
        <v>-0.0123912373583368</v>
      </c>
      <c r="P280" s="54"/>
      <c r="Q280" s="53" t="str">
        <f aca="false">IF(NOT(ISNUMBER($P280)),"",IFERROR(PERCENTRANK($P$5:$P$1204,$P280),""))</f>
        <v/>
      </c>
    </row>
    <row r="281" customFormat="false" ht="15" hidden="false" customHeight="false" outlineLevel="0" collapsed="false">
      <c r="A281" s="47" t="n">
        <v>45956</v>
      </c>
      <c r="B281" s="48" t="s">
        <v>429</v>
      </c>
      <c r="C281" s="49" t="n">
        <v>895462131</v>
      </c>
      <c r="D281" s="49" t="n">
        <v>903563240</v>
      </c>
      <c r="E281" s="49" t="n">
        <v>895234261</v>
      </c>
      <c r="F281" s="49" t="n">
        <v>0</v>
      </c>
      <c r="G281" s="50" t="n">
        <f aca="false">IF($A281="","",IF(ISNUMBER($G280),$G280+1,1))</f>
        <v>277</v>
      </c>
      <c r="H281" s="51" t="n">
        <f aca="false">IF(OR(NOT(ISNUMBER($G281)),$G281&lt;2,NOT(ISNUMBER($C280)),$C280=0),"",$C281/$C280-1)</f>
        <v>-0.0131488842389466</v>
      </c>
      <c r="I281" s="52" t="n">
        <f aca="false">IF(AND(ISNUMBER($G281),$G281&gt;=MA_SHORT),AVERAGE(INDEX($C$5:$C281,278-MA_SHORT):$C281),"")</f>
        <v>887697341.65</v>
      </c>
      <c r="J281" s="52" t="n">
        <f aca="false">IF(AND(ISNUMBER($G281),$G281&gt;=MA_MED),AVERAGE(INDEX($C$5:$C281,278-MA_MED):$C281),"")</f>
        <v>889855379.16</v>
      </c>
      <c r="K281" s="52" t="n">
        <f aca="false">IF(AND(ISNUMBER($G281),$G281&gt;=MA_LONG2),AVERAGE(INDEX($C$5:$C281,278-MA_LONG2):$C281),"")</f>
        <v>832513103.535</v>
      </c>
      <c r="L281" s="53" t="n">
        <f aca="false">IF(AND(ISNUMBER($G281),$G281&gt;=21),STDEV(INDEX($H$221:$H281,62-20):$H281)*SQRT(245),"")</f>
        <v>0.214388494163856</v>
      </c>
      <c r="M281" s="52" t="n">
        <f aca="false">IF(AND(ISNUMBER($G281),$G281&gt;=60),MAX(INDEX($D$81:$D281,202-60):$D281),"")</f>
        <v>918778139</v>
      </c>
      <c r="N281" s="52" t="n">
        <f aca="false">IF(AND(ISNUMBER($G281),$G281&gt;=60),MIN(INDEX($E$81:$E281,202-60):$E281),"")</f>
        <v>851090305</v>
      </c>
      <c r="O281" s="53" t="n">
        <f aca="false">IF(OR(NOT(ISNUMBER($C281)),NOT(ISNUMBER($M281)),$M281=0),"",$C281/$M281-1)</f>
        <v>-0.0253771906516813</v>
      </c>
      <c r="P281" s="54"/>
      <c r="Q281" s="53" t="str">
        <f aca="false">IF(NOT(ISNUMBER($P281)),"",IFERROR(PERCENTRANK($P$5:$P$1204,$P281),""))</f>
        <v/>
      </c>
    </row>
    <row r="282" customFormat="false" ht="15" hidden="false" customHeight="false" outlineLevel="0" collapsed="false">
      <c r="A282" s="47" t="n">
        <v>45957</v>
      </c>
      <c r="B282" s="48" t="s">
        <v>430</v>
      </c>
      <c r="C282" s="49" t="n">
        <v>903693746</v>
      </c>
      <c r="D282" s="49" t="n">
        <v>906965378</v>
      </c>
      <c r="E282" s="49" t="n">
        <v>898135017</v>
      </c>
      <c r="F282" s="49" t="n">
        <v>0</v>
      </c>
      <c r="G282" s="50" t="n">
        <f aca="false">IF($A282="","",IF(ISNUMBER($G281),$G281+1,1))</f>
        <v>278</v>
      </c>
      <c r="H282" s="51" t="n">
        <f aca="false">IF(OR(NOT(ISNUMBER($G282)),$G282&lt;2,NOT(ISNUMBER($C281)),$C281=0),"",$C282/$C281-1)</f>
        <v>0.00919258862550376</v>
      </c>
      <c r="I282" s="52" t="n">
        <f aca="false">IF(AND(ISNUMBER($G282),$G282&gt;=MA_SHORT),AVERAGE(INDEX($C$5:$C282,279-MA_SHORT):$C282),"")</f>
        <v>888673722.6</v>
      </c>
      <c r="J282" s="52" t="n">
        <f aca="false">IF(AND(ISNUMBER($G282),$G282&gt;=MA_MED),AVERAGE(INDEX($C$5:$C282,279-MA_MED):$C282),"")</f>
        <v>890374979.88</v>
      </c>
      <c r="K282" s="52" t="n">
        <f aca="false">IF(AND(ISNUMBER($G282),$G282&gt;=MA_LONG2),AVERAGE(INDEX($C$5:$C282,279-MA_LONG2):$C282),"")</f>
        <v>833549080.935</v>
      </c>
      <c r="L282" s="53" t="n">
        <f aca="false">IF(AND(ISNUMBER($G282),$G282&gt;=21),STDEV(INDEX($H$222:$H282,62-20):$H282)*SQRT(245),"")</f>
        <v>0.210653994961722</v>
      </c>
      <c r="M282" s="52" t="n">
        <f aca="false">IF(AND(ISNUMBER($G282),$G282&gt;=60),MAX(INDEX($D$82:$D282,202-60):$D282),"")</f>
        <v>918778139</v>
      </c>
      <c r="N282" s="52" t="n">
        <f aca="false">IF(AND(ISNUMBER($G282),$G282&gt;=60),MIN(INDEX($E$82:$E282,202-60):$E282),"")</f>
        <v>851090305</v>
      </c>
      <c r="O282" s="53" t="n">
        <f aca="false">IF(OR(NOT(ISNUMBER($C282)),NOT(ISNUMBER($M282)),$M282=0),"",$C282/$M282-1)</f>
        <v>-0.0164178841003094</v>
      </c>
      <c r="P282" s="54"/>
      <c r="Q282" s="53" t="str">
        <f aca="false">IF(NOT(ISNUMBER($P282)),"",IFERROR(PERCENTRANK($P$5:$P$1204,$P282),""))</f>
        <v/>
      </c>
    </row>
    <row r="283" customFormat="false" ht="15" hidden="false" customHeight="false" outlineLevel="0" collapsed="false">
      <c r="A283" s="47" t="n">
        <v>45958</v>
      </c>
      <c r="B283" s="48" t="s">
        <v>431</v>
      </c>
      <c r="C283" s="49" t="n">
        <v>907473526</v>
      </c>
      <c r="D283" s="49" t="n">
        <v>913637489</v>
      </c>
      <c r="E283" s="49" t="n">
        <v>905195245</v>
      </c>
      <c r="F283" s="49" t="n">
        <v>0</v>
      </c>
      <c r="G283" s="50" t="n">
        <f aca="false">IF($A283="","",IF(ISNUMBER($G282),$G282+1,1))</f>
        <v>279</v>
      </c>
      <c r="H283" s="51" t="n">
        <f aca="false">IF(OR(NOT(ISNUMBER($G283)),$G283&lt;2,NOT(ISNUMBER($C282)),$C282=0),"",$C283/$C282-1)</f>
        <v>0.00418258952961703</v>
      </c>
      <c r="I283" s="52" t="n">
        <f aca="false">IF(AND(ISNUMBER($G283),$G283&gt;=MA_SHORT),AVERAGE(INDEX($C$5:$C283,280-MA_SHORT):$C283),"")</f>
        <v>890684523.1</v>
      </c>
      <c r="J283" s="52" t="n">
        <f aca="false">IF(AND(ISNUMBER($G283),$G283&gt;=MA_MED),AVERAGE(INDEX($C$5:$C283,280-MA_MED):$C283),"")</f>
        <v>890908214.9</v>
      </c>
      <c r="K283" s="52" t="n">
        <f aca="false">IF(AND(ISNUMBER($G283),$G283&gt;=MA_LONG2),AVERAGE(INDEX($C$5:$C283,280-MA_LONG2):$C283),"")</f>
        <v>834622427.5</v>
      </c>
      <c r="L283" s="53" t="n">
        <f aca="false">IF(AND(ISNUMBER($G283),$G283&gt;=21),STDEV(INDEX($H$223:$H283,62-20):$H283)*SQRT(245),"")</f>
        <v>0.197043506912751</v>
      </c>
      <c r="M283" s="52" t="n">
        <f aca="false">IF(AND(ISNUMBER($G283),$G283&gt;=60),MAX(INDEX($D$83:$D283,202-60):$D283),"")</f>
        <v>918778139</v>
      </c>
      <c r="N283" s="52" t="n">
        <f aca="false">IF(AND(ISNUMBER($G283),$G283&gt;=60),MIN(INDEX($E$83:$E283,202-60):$E283),"")</f>
        <v>851090305</v>
      </c>
      <c r="O283" s="53" t="n">
        <f aca="false">IF(OR(NOT(ISNUMBER($C283)),NOT(ISNUMBER($M283)),$M283=0),"",$C283/$M283-1)</f>
        <v>-0.0123039638408289</v>
      </c>
      <c r="P283" s="54"/>
      <c r="Q283" s="53" t="str">
        <f aca="false">IF(NOT(ISNUMBER($P283)),"",IFERROR(PERCENTRANK($P$5:$P$1204,$P283),""))</f>
        <v/>
      </c>
    </row>
    <row r="284" customFormat="false" ht="15" hidden="false" customHeight="false" outlineLevel="0" collapsed="false">
      <c r="A284" s="47" t="n">
        <v>45959</v>
      </c>
      <c r="B284" s="48" t="s">
        <v>432</v>
      </c>
      <c r="C284" s="49" t="n">
        <v>922318676</v>
      </c>
      <c r="D284" s="49" t="n">
        <v>923313581</v>
      </c>
      <c r="E284" s="49" t="n">
        <v>916886365</v>
      </c>
      <c r="F284" s="49" t="n">
        <v>0</v>
      </c>
      <c r="G284" s="50" t="n">
        <f aca="false">IF($A284="","",IF(ISNUMBER($G283),$G283+1,1))</f>
        <v>280</v>
      </c>
      <c r="H284" s="51" t="n">
        <f aca="false">IF(OR(NOT(ISNUMBER($G284)),$G284&lt;2,NOT(ISNUMBER($C283)),$C283=0),"",$C284/$C283-1)</f>
        <v>0.0163587692364262</v>
      </c>
      <c r="I284" s="52" t="n">
        <f aca="false">IF(AND(ISNUMBER($G284),$G284&gt;=MA_SHORT),AVERAGE(INDEX($C$5:$C284,281-MA_SHORT):$C284),"")</f>
        <v>892560644.75</v>
      </c>
      <c r="J284" s="52" t="n">
        <f aca="false">IF(AND(ISNUMBER($G284),$G284&gt;=MA_MED),AVERAGE(INDEX($C$5:$C284,281-MA_MED):$C284),"")</f>
        <v>891851703.68</v>
      </c>
      <c r="K284" s="52" t="n">
        <f aca="false">IF(AND(ISNUMBER($G284),$G284&gt;=MA_LONG2),AVERAGE(INDEX($C$5:$C284,281-MA_LONG2):$C284),"")</f>
        <v>835666532.085</v>
      </c>
      <c r="L284" s="53" t="n">
        <f aca="false">IF(AND(ISNUMBER($G284),$G284&gt;=21),STDEV(INDEX($H$224:$H284,62-20):$H284)*SQRT(245),"")</f>
        <v>0.192943548185243</v>
      </c>
      <c r="M284" s="52" t="n">
        <f aca="false">IF(AND(ISNUMBER($G284),$G284&gt;=60),MAX(INDEX($D$84:$D284,202-60):$D284),"")</f>
        <v>923313581</v>
      </c>
      <c r="N284" s="52" t="n">
        <f aca="false">IF(AND(ISNUMBER($G284),$G284&gt;=60),MIN(INDEX($E$84:$E284,202-60):$E284),"")</f>
        <v>851090305</v>
      </c>
      <c r="O284" s="53" t="n">
        <f aca="false">IF(OR(NOT(ISNUMBER($C284)),NOT(ISNUMBER($M284)),$M284=0),"",$C284/$M284-1)</f>
        <v>-0.00107753749156647</v>
      </c>
      <c r="P284" s="54"/>
      <c r="Q284" s="53" t="str">
        <f aca="false">IF(NOT(ISNUMBER($P284)),"",IFERROR(PERCENTRANK($P$5:$P$1204,$P284),""))</f>
        <v/>
      </c>
    </row>
    <row r="285" customFormat="false" ht="15" hidden="false" customHeight="false" outlineLevel="0" collapsed="false">
      <c r="A285" s="47" t="n">
        <v>45962</v>
      </c>
      <c r="B285" s="48" t="s">
        <v>433</v>
      </c>
      <c r="C285" s="49" t="n">
        <v>949057372</v>
      </c>
      <c r="D285" s="49" t="n">
        <v>953870113</v>
      </c>
      <c r="E285" s="49" t="n">
        <v>946546855</v>
      </c>
      <c r="F285" s="49" t="n">
        <v>0</v>
      </c>
      <c r="G285" s="50" t="n">
        <f aca="false">IF($A285="","",IF(ISNUMBER($G284),$G284+1,1))</f>
        <v>281</v>
      </c>
      <c r="H285" s="51" t="n">
        <f aca="false">IF(OR(NOT(ISNUMBER($G285)),$G285&lt;2,NOT(ISNUMBER($C284)),$C284=0),"",$C285/$C284-1)</f>
        <v>0.028990734651458</v>
      </c>
      <c r="I285" s="52" t="n">
        <f aca="false">IF(AND(ISNUMBER($G285),$G285&gt;=MA_SHORT),AVERAGE(INDEX($C$5:$C285,282-MA_SHORT):$C285),"")</f>
        <v>895521487.65</v>
      </c>
      <c r="J285" s="52" t="n">
        <f aca="false">IF(AND(ISNUMBER($G285),$G285&gt;=MA_MED),AVERAGE(INDEX($C$5:$C285,282-MA_MED):$C285),"")</f>
        <v>893414129.4</v>
      </c>
      <c r="K285" s="52" t="n">
        <f aca="false">IF(AND(ISNUMBER($G285),$G285&gt;=MA_LONG2),AVERAGE(INDEX($C$5:$C285,282-MA_LONG2):$C285),"")</f>
        <v>836787007.49</v>
      </c>
      <c r="L285" s="53" t="n">
        <f aca="false">IF(AND(ISNUMBER($G285),$G285&gt;=21),STDEV(INDEX($H$225:$H285,62-20):$H285)*SQRT(245),"")</f>
        <v>0.214485679494202</v>
      </c>
      <c r="M285" s="52" t="n">
        <f aca="false">IF(AND(ISNUMBER($G285),$G285&gt;=60),MAX(INDEX($D$85:$D285,202-60):$D285),"")</f>
        <v>953870113</v>
      </c>
      <c r="N285" s="52" t="n">
        <f aca="false">IF(AND(ISNUMBER($G285),$G285&gt;=60),MIN(INDEX($E$85:$E285,202-60):$E285),"")</f>
        <v>851090305</v>
      </c>
      <c r="O285" s="53" t="n">
        <f aca="false">IF(OR(NOT(ISNUMBER($C285)),NOT(ISNUMBER($M285)),$M285=0),"",$C285/$M285-1)</f>
        <v>-0.00504548882956768</v>
      </c>
      <c r="P285" s="54"/>
      <c r="Q285" s="53" t="str">
        <f aca="false">IF(NOT(ISNUMBER($P285)),"",IFERROR(PERCENTRANK($P$5:$P$1204,$P285),""))</f>
        <v/>
      </c>
    </row>
    <row r="286" customFormat="false" ht="15" hidden="false" customHeight="false" outlineLevel="0" collapsed="false">
      <c r="A286" s="47" t="n">
        <v>45963</v>
      </c>
      <c r="B286" s="48" t="s">
        <v>434</v>
      </c>
      <c r="C286" s="49" t="n">
        <v>938375157</v>
      </c>
      <c r="D286" s="49" t="n">
        <v>941603728</v>
      </c>
      <c r="E286" s="49" t="n">
        <v>934442669</v>
      </c>
      <c r="F286" s="49" t="n">
        <v>0</v>
      </c>
      <c r="G286" s="50" t="n">
        <f aca="false">IF($A286="","",IF(ISNUMBER($G285),$G285+1,1))</f>
        <v>282</v>
      </c>
      <c r="H286" s="51" t="n">
        <f aca="false">IF(OR(NOT(ISNUMBER($G286)),$G286&lt;2,NOT(ISNUMBER($C285)),$C285=0),"",$C286/$C285-1)</f>
        <v>-0.0112556051037134</v>
      </c>
      <c r="I286" s="52" t="n">
        <f aca="false">IF(AND(ISNUMBER($G286),$G286&gt;=MA_SHORT),AVERAGE(INDEX($C$5:$C286,283-MA_SHORT):$C286),"")</f>
        <v>898356152</v>
      </c>
      <c r="J286" s="52" t="n">
        <f aca="false">IF(AND(ISNUMBER($G286),$G286&gt;=MA_MED),AVERAGE(INDEX($C$5:$C286,283-MA_MED):$C286),"")</f>
        <v>894849567.92</v>
      </c>
      <c r="K286" s="52" t="n">
        <f aca="false">IF(AND(ISNUMBER($G286),$G286&gt;=MA_LONG2),AVERAGE(INDEX($C$5:$C286,283-MA_LONG2):$C286),"")</f>
        <v>837851170.865</v>
      </c>
      <c r="L286" s="53" t="n">
        <f aca="false">IF(AND(ISNUMBER($G286),$G286&gt;=21),STDEV(INDEX($H$226:$H286,62-20):$H286)*SQRT(245),"")</f>
        <v>0.216169751259966</v>
      </c>
      <c r="M286" s="52" t="n">
        <f aca="false">IF(AND(ISNUMBER($G286),$G286&gt;=60),MAX(INDEX($D$86:$D286,202-60):$D286),"")</f>
        <v>953870113</v>
      </c>
      <c r="N286" s="52" t="n">
        <f aca="false">IF(AND(ISNUMBER($G286),$G286&gt;=60),MIN(INDEX($E$86:$E286,202-60):$E286),"")</f>
        <v>851090305</v>
      </c>
      <c r="O286" s="53" t="n">
        <f aca="false">IF(OR(NOT(ISNUMBER($C286)),NOT(ISNUMBER($M286)),$M286=0),"",$C286/$M286-1)</f>
        <v>-0.0162443039034603</v>
      </c>
      <c r="P286" s="54"/>
      <c r="Q286" s="53" t="str">
        <f aca="false">IF(NOT(ISNUMBER($P286)),"",IFERROR(PERCENTRANK($P$5:$P$1204,$P286),""))</f>
        <v/>
      </c>
    </row>
    <row r="287" customFormat="false" ht="15" hidden="false" customHeight="false" outlineLevel="0" collapsed="false">
      <c r="A287" s="47" t="n">
        <v>45964</v>
      </c>
      <c r="B287" s="48" t="s">
        <v>435</v>
      </c>
      <c r="C287" s="49" t="n">
        <v>945225905</v>
      </c>
      <c r="D287" s="49" t="n">
        <v>948541433</v>
      </c>
      <c r="E287" s="49" t="n">
        <v>943410563</v>
      </c>
      <c r="F287" s="49" t="n">
        <v>0</v>
      </c>
      <c r="G287" s="50" t="n">
        <f aca="false">IF($A287="","",IF(ISNUMBER($G286),$G286+1,1))</f>
        <v>283</v>
      </c>
      <c r="H287" s="51" t="n">
        <f aca="false">IF(OR(NOT(ISNUMBER($G287)),$G287&lt;2,NOT(ISNUMBER($C286)),$C286=0),"",$C287/$C286-1)</f>
        <v>0.00730064937130459</v>
      </c>
      <c r="I287" s="52" t="n">
        <f aca="false">IF(AND(ISNUMBER($G287),$G287&gt;=MA_SHORT),AVERAGE(INDEX($C$5:$C287,284-MA_SHORT):$C287),"")</f>
        <v>901916447.55</v>
      </c>
      <c r="J287" s="52" t="n">
        <f aca="false">IF(AND(ISNUMBER($G287),$G287&gt;=MA_MED),AVERAGE(INDEX($C$5:$C287,284-MA_MED):$C287),"")</f>
        <v>896409159.12</v>
      </c>
      <c r="K287" s="52" t="n">
        <f aca="false">IF(AND(ISNUMBER($G287),$G287&gt;=MA_LONG2),AVERAGE(INDEX($C$5:$C287,284-MA_LONG2):$C287),"")</f>
        <v>838966823.495</v>
      </c>
      <c r="L287" s="53" t="n">
        <f aca="false">IF(AND(ISNUMBER($G287),$G287&gt;=21),STDEV(INDEX($H$227:$H287,62-20):$H287)*SQRT(245),"")</f>
        <v>0.212023205954349</v>
      </c>
      <c r="M287" s="52" t="n">
        <f aca="false">IF(AND(ISNUMBER($G287),$G287&gt;=60),MAX(INDEX($D$87:$D287,202-60):$D287),"")</f>
        <v>953870113</v>
      </c>
      <c r="N287" s="52" t="n">
        <f aca="false">IF(AND(ISNUMBER($G287),$G287&gt;=60),MIN(INDEX($E$87:$E287,202-60):$E287),"")</f>
        <v>851090305</v>
      </c>
      <c r="O287" s="53" t="n">
        <f aca="false">IF(OR(NOT(ISNUMBER($C287)),NOT(ISNUMBER($M287)),$M287=0),"",$C287/$M287-1)</f>
        <v>-0.00906224849923565</v>
      </c>
      <c r="P287" s="54"/>
      <c r="Q287" s="53" t="str">
        <f aca="false">IF(NOT(ISNUMBER($P287)),"",IFERROR(PERCENTRANK($P$5:$P$1204,$P287),""))</f>
        <v/>
      </c>
    </row>
    <row r="288" customFormat="false" ht="15" hidden="false" customHeight="false" outlineLevel="0" collapsed="false">
      <c r="A288" s="47" t="n">
        <v>45965</v>
      </c>
      <c r="B288" s="48" t="s">
        <v>436</v>
      </c>
      <c r="C288" s="49" t="n">
        <v>933692133</v>
      </c>
      <c r="D288" s="49" t="n">
        <v>935863357</v>
      </c>
      <c r="E288" s="49" t="n">
        <v>933107000</v>
      </c>
      <c r="F288" s="49" t="n">
        <v>0</v>
      </c>
      <c r="G288" s="50" t="n">
        <f aca="false">IF($A288="","",IF(ISNUMBER($G287),$G287+1,1))</f>
        <v>284</v>
      </c>
      <c r="H288" s="51" t="n">
        <f aca="false">IF(OR(NOT(ISNUMBER($G288)),$G288&lt;2,NOT(ISNUMBER($C287)),$C287=0),"",$C288/$C287-1)</f>
        <v>-0.0122021327800999</v>
      </c>
      <c r="I288" s="52" t="n">
        <f aca="false">IF(AND(ISNUMBER($G288),$G288&gt;=MA_SHORT),AVERAGE(INDEX($C$5:$C288,285-MA_SHORT):$C288),"")</f>
        <v>903723871.8</v>
      </c>
      <c r="J288" s="52" t="n">
        <f aca="false">IF(AND(ISNUMBER($G288),$G288&gt;=MA_MED),AVERAGE(INDEX($C$5:$C288,285-MA_MED):$C288),"")</f>
        <v>897479956.72</v>
      </c>
      <c r="K288" s="52" t="n">
        <f aca="false">IF(AND(ISNUMBER($G288),$G288&gt;=MA_LONG2),AVERAGE(INDEX($C$5:$C288,285-MA_LONG2):$C288),"")</f>
        <v>840027831.24</v>
      </c>
      <c r="L288" s="53" t="n">
        <f aca="false">IF(AND(ISNUMBER($G288),$G288&gt;=21),STDEV(INDEX($H$228:$H288,62-20):$H288)*SQRT(245),"")</f>
        <v>0.20147530158748</v>
      </c>
      <c r="M288" s="52" t="n">
        <f aca="false">IF(AND(ISNUMBER($G288),$G288&gt;=60),MAX(INDEX($D$88:$D288,202-60):$D288),"")</f>
        <v>953870113</v>
      </c>
      <c r="N288" s="52" t="n">
        <f aca="false">IF(AND(ISNUMBER($G288),$G288&gt;=60),MIN(INDEX($E$88:$E288,202-60):$E288),"")</f>
        <v>851090305</v>
      </c>
      <c r="O288" s="53" t="n">
        <f aca="false">IF(OR(NOT(ISNUMBER($C288)),NOT(ISNUMBER($M288)),$M288=0),"",$C288/$M288-1)</f>
        <v>-0.0211538025198615</v>
      </c>
      <c r="P288" s="54"/>
      <c r="Q288" s="53" t="str">
        <f aca="false">IF(NOT(ISNUMBER($P288)),"",IFERROR(PERCENTRANK($P$5:$P$1204,$P288),""))</f>
        <v/>
      </c>
    </row>
    <row r="289" customFormat="false" ht="15" hidden="false" customHeight="false" outlineLevel="0" collapsed="false">
      <c r="A289" s="47" t="n">
        <v>45966</v>
      </c>
      <c r="B289" s="48" t="s">
        <v>437</v>
      </c>
      <c r="C289" s="49" t="n">
        <v>940822608</v>
      </c>
      <c r="D289" s="49" t="n">
        <v>945424313</v>
      </c>
      <c r="E289" s="49" t="n">
        <v>938284238</v>
      </c>
      <c r="F289" s="49" t="n">
        <v>0</v>
      </c>
      <c r="G289" s="50" t="n">
        <f aca="false">IF($A289="","",IF(ISNUMBER($G288),$G288+1,1))</f>
        <v>285</v>
      </c>
      <c r="H289" s="51" t="n">
        <f aca="false">IF(OR(NOT(ISNUMBER($G289)),$G289&lt;2,NOT(ISNUMBER($C288)),$C288=0),"",$C289/$C288-1)</f>
        <v>0.00763685881885867</v>
      </c>
      <c r="I289" s="52" t="n">
        <f aca="false">IF(AND(ISNUMBER($G289),$G289&gt;=MA_SHORT),AVERAGE(INDEX($C$5:$C289,286-MA_SHORT):$C289),"")</f>
        <v>905484423.95</v>
      </c>
      <c r="J289" s="52" t="n">
        <f aca="false">IF(AND(ISNUMBER($G289),$G289&gt;=MA_MED),AVERAGE(INDEX($C$5:$C289,286-MA_MED):$C289),"")</f>
        <v>898699707.18</v>
      </c>
      <c r="K289" s="52" t="n">
        <f aca="false">IF(AND(ISNUMBER($G289),$G289&gt;=MA_LONG2),AVERAGE(INDEX($C$5:$C289,286-MA_LONG2):$C289),"")</f>
        <v>841123753.115</v>
      </c>
      <c r="L289" s="53" t="n">
        <f aca="false">IF(AND(ISNUMBER($G289),$G289&gt;=21),STDEV(INDEX($H$229:$H289,62-20):$H289)*SQRT(245),"")</f>
        <v>0.200930104126355</v>
      </c>
      <c r="M289" s="52" t="n">
        <f aca="false">IF(AND(ISNUMBER($G289),$G289&gt;=60),MAX(INDEX($D$89:$D289,202-60):$D289),"")</f>
        <v>953870113</v>
      </c>
      <c r="N289" s="52" t="n">
        <f aca="false">IF(AND(ISNUMBER($G289),$G289&gt;=60),MIN(INDEX($E$89:$E289,202-60):$E289),"")</f>
        <v>851090305</v>
      </c>
      <c r="O289" s="53" t="n">
        <f aca="false">IF(OR(NOT(ISNUMBER($C289)),NOT(ISNUMBER($M289)),$M289=0),"",$C289/$M289-1)</f>
        <v>-0.013678492304329</v>
      </c>
      <c r="P289" s="54"/>
      <c r="Q289" s="53" t="str">
        <f aca="false">IF(NOT(ISNUMBER($P289)),"",IFERROR(PERCENTRANK($P$5:$P$1204,$P289),""))</f>
        <v/>
      </c>
    </row>
    <row r="290" customFormat="false" ht="15" hidden="false" customHeight="false" outlineLevel="0" collapsed="false">
      <c r="A290" s="47" t="n">
        <v>45969</v>
      </c>
      <c r="B290" s="48" t="s">
        <v>438</v>
      </c>
      <c r="C290" s="49" t="n">
        <v>931198329</v>
      </c>
      <c r="D290" s="49" t="n">
        <v>939060414</v>
      </c>
      <c r="E290" s="49" t="n">
        <v>925764511</v>
      </c>
      <c r="F290" s="49" t="n">
        <v>0</v>
      </c>
      <c r="G290" s="50" t="n">
        <f aca="false">IF($A290="","",IF(ISNUMBER($G289),$G289+1,1))</f>
        <v>286</v>
      </c>
      <c r="H290" s="51" t="n">
        <f aca="false">IF(OR(NOT(ISNUMBER($G290)),$G290&lt;2,NOT(ISNUMBER($C289)),$C289=0),"",$C290/$C289-1)</f>
        <v>-0.0102296425682832</v>
      </c>
      <c r="I290" s="52" t="n">
        <f aca="false">IF(AND(ISNUMBER($G290),$G290&gt;=MA_SHORT),AVERAGE(INDEX($C$5:$C290,287-MA_SHORT):$C290),"")</f>
        <v>906801968.6</v>
      </c>
      <c r="J290" s="52" t="n">
        <f aca="false">IF(AND(ISNUMBER($G290),$G290&gt;=MA_MED),AVERAGE(INDEX($C$5:$C290,287-MA_MED):$C290),"")</f>
        <v>899535466.22</v>
      </c>
      <c r="K290" s="52" t="n">
        <f aca="false">IF(AND(ISNUMBER($G290),$G290&gt;=MA_LONG2),AVERAGE(INDEX($C$5:$C290,287-MA_LONG2):$C290),"")</f>
        <v>842094590.58</v>
      </c>
      <c r="L290" s="53" t="n">
        <f aca="false">IF(AND(ISNUMBER($G290),$G290&gt;=21),STDEV(INDEX($H$230:$H290,62-20):$H290)*SQRT(245),"")</f>
        <v>0.205273684420978</v>
      </c>
      <c r="M290" s="52" t="n">
        <f aca="false">IF(AND(ISNUMBER($G290),$G290&gt;=60),MAX(INDEX($D$90:$D290,202-60):$D290),"")</f>
        <v>953870113</v>
      </c>
      <c r="N290" s="52" t="n">
        <f aca="false">IF(AND(ISNUMBER($G290),$G290&gt;=60),MIN(INDEX($E$90:$E290,202-60):$E290),"")</f>
        <v>862365954</v>
      </c>
      <c r="O290" s="53" t="n">
        <f aca="false">IF(OR(NOT(ISNUMBER($C290)),NOT(ISNUMBER($M290)),$M290=0),"",$C290/$M290-1)</f>
        <v>-0.0237682087854659</v>
      </c>
      <c r="P290" s="54"/>
      <c r="Q290" s="53" t="str">
        <f aca="false">IF(NOT(ISNUMBER($P290)),"",IFERROR(PERCENTRANK($P$5:$P$1204,$P290),""))</f>
        <v/>
      </c>
    </row>
    <row r="291" customFormat="false" ht="15" hidden="false" customHeight="false" outlineLevel="0" collapsed="false">
      <c r="A291" s="47" t="n">
        <v>45970</v>
      </c>
      <c r="B291" s="48" t="s">
        <v>439</v>
      </c>
      <c r="C291" s="49" t="n">
        <v>922076635</v>
      </c>
      <c r="D291" s="49" t="n">
        <v>926672659</v>
      </c>
      <c r="E291" s="49" t="n">
        <v>920828857</v>
      </c>
      <c r="F291" s="49" t="n">
        <v>0</v>
      </c>
      <c r="G291" s="50" t="n">
        <f aca="false">IF($A291="","",IF(ISNUMBER($G290),$G290+1,1))</f>
        <v>287</v>
      </c>
      <c r="H291" s="51" t="n">
        <f aca="false">IF(OR(NOT(ISNUMBER($G291)),$G291&lt;2,NOT(ISNUMBER($C290)),$C290=0),"",$C291/$C290-1)</f>
        <v>-0.00979565116895742</v>
      </c>
      <c r="I291" s="52" t="n">
        <f aca="false">IF(AND(ISNUMBER($G291),$G291&gt;=MA_SHORT),AVERAGE(INDEX($C$5:$C291,288-MA_SHORT):$C291),"")</f>
        <v>908368762.7</v>
      </c>
      <c r="J291" s="52" t="n">
        <f aca="false">IF(AND(ISNUMBER($G291),$G291&gt;=MA_MED),AVERAGE(INDEX($C$5:$C291,288-MA_MED):$C291),"")</f>
        <v>900076091.5</v>
      </c>
      <c r="K291" s="52" t="n">
        <f aca="false">IF(AND(ISNUMBER($G291),$G291&gt;=MA_LONG2),AVERAGE(INDEX($C$5:$C291,288-MA_LONG2):$C291),"")</f>
        <v>843051546.015</v>
      </c>
      <c r="L291" s="53" t="n">
        <f aca="false">IF(AND(ISNUMBER($G291),$G291&gt;=21),STDEV(INDEX($H$231:$H291,62-20):$H291)*SQRT(245),"")</f>
        <v>0.199980124269906</v>
      </c>
      <c r="M291" s="52" t="n">
        <f aca="false">IF(AND(ISNUMBER($G291),$G291&gt;=60),MAX(INDEX($D$91:$D291,202-60):$D291),"")</f>
        <v>953870113</v>
      </c>
      <c r="N291" s="52" t="n">
        <f aca="false">IF(AND(ISNUMBER($G291),$G291&gt;=60),MIN(INDEX($E$91:$E291,202-60):$E291),"")</f>
        <v>862365954</v>
      </c>
      <c r="O291" s="53" t="n">
        <f aca="false">IF(OR(NOT(ISNUMBER($C291)),NOT(ISNUMBER($M291)),$M291=0),"",$C291/$M291-1)</f>
        <v>-0.03333103487225</v>
      </c>
      <c r="P291" s="54"/>
      <c r="Q291" s="53" t="str">
        <f aca="false">IF(NOT(ISNUMBER($P291)),"",IFERROR(PERCENTRANK($P$5:$P$1204,$P291),""))</f>
        <v/>
      </c>
    </row>
    <row r="292" customFormat="false" ht="15" hidden="false" customHeight="false" outlineLevel="0" collapsed="false">
      <c r="A292" s="47" t="n">
        <v>45971</v>
      </c>
      <c r="B292" s="48" t="s">
        <v>440</v>
      </c>
      <c r="C292" s="49" t="n">
        <v>936725024</v>
      </c>
      <c r="D292" s="49" t="n">
        <v>937511533</v>
      </c>
      <c r="E292" s="49" t="n">
        <v>935064179</v>
      </c>
      <c r="F292" s="49" t="n">
        <v>0</v>
      </c>
      <c r="G292" s="50" t="n">
        <f aca="false">IF($A292="","",IF(ISNUMBER($G291),$G291+1,1))</f>
        <v>288</v>
      </c>
      <c r="H292" s="51" t="n">
        <f aca="false">IF(OR(NOT(ISNUMBER($G292)),$G292&lt;2,NOT(ISNUMBER($C291)),$C291=0),"",$C292/$C291-1)</f>
        <v>0.015886303202987</v>
      </c>
      <c r="I292" s="52" t="n">
        <f aca="false">IF(AND(ISNUMBER($G292),$G292&gt;=MA_SHORT),AVERAGE(INDEX($C$5:$C292,289-MA_SHORT):$C292),"")</f>
        <v>910815987.95</v>
      </c>
      <c r="J292" s="52" t="n">
        <f aca="false">IF(AND(ISNUMBER($G292),$G292&gt;=MA_MED),AVERAGE(INDEX($C$5:$C292,289-MA_MED):$C292),"")</f>
        <v>901008562.42</v>
      </c>
      <c r="K292" s="52" t="n">
        <f aca="false">IF(AND(ISNUMBER($G292),$G292&gt;=MA_LONG2),AVERAGE(INDEX($C$5:$C292,289-MA_LONG2):$C292),"")</f>
        <v>844112028.785</v>
      </c>
      <c r="L292" s="53" t="n">
        <f aca="false">IF(AND(ISNUMBER($G292),$G292&gt;=21),STDEV(INDEX($H$232:$H292,62-20):$H292)*SQRT(245),"")</f>
        <v>0.204867233717202</v>
      </c>
      <c r="M292" s="52" t="n">
        <f aca="false">IF(AND(ISNUMBER($G292),$G292&gt;=60),MAX(INDEX($D$92:$D292,202-60):$D292),"")</f>
        <v>953870113</v>
      </c>
      <c r="N292" s="52" t="n">
        <f aca="false">IF(AND(ISNUMBER($G292),$G292&gt;=60),MIN(INDEX($E$92:$E292,202-60):$E292),"")</f>
        <v>862365954</v>
      </c>
      <c r="O292" s="53" t="n">
        <f aca="false">IF(OR(NOT(ISNUMBER($C292)),NOT(ISNUMBER($M292)),$M292=0),"",$C292/$M292-1)</f>
        <v>-0.0179742385953128</v>
      </c>
      <c r="P292" s="54"/>
      <c r="Q292" s="53" t="str">
        <f aca="false">IF(NOT(ISNUMBER($P292)),"",IFERROR(PERCENTRANK($P$5:$P$1204,$P292),""))</f>
        <v/>
      </c>
    </row>
    <row r="293" customFormat="false" ht="15" hidden="false" customHeight="false" outlineLevel="0" collapsed="false">
      <c r="A293" s="47" t="n">
        <v>45972</v>
      </c>
      <c r="B293" s="48" t="s">
        <v>441</v>
      </c>
      <c r="C293" s="49" t="n">
        <v>934447495</v>
      </c>
      <c r="D293" s="49" t="n">
        <v>936027571</v>
      </c>
      <c r="E293" s="49" t="n">
        <v>930456091</v>
      </c>
      <c r="F293" s="49" t="n">
        <v>0</v>
      </c>
      <c r="G293" s="50" t="n">
        <f aca="false">IF($A293="","",IF(ISNUMBER($G292),$G292+1,1))</f>
        <v>289</v>
      </c>
      <c r="H293" s="51" t="n">
        <f aca="false">IF(OR(NOT(ISNUMBER($G293)),$G293&lt;2,NOT(ISNUMBER($C292)),$C292=0),"",$C293/$C292-1)</f>
        <v>-0.00243137414037953</v>
      </c>
      <c r="I293" s="52" t="n">
        <f aca="false">IF(AND(ISNUMBER($G293),$G293&gt;=MA_SHORT),AVERAGE(INDEX($C$5:$C293,290-MA_SHORT):$C293),"")</f>
        <v>913875893.25</v>
      </c>
      <c r="J293" s="52" t="n">
        <f aca="false">IF(AND(ISNUMBER($G293),$G293&gt;=MA_MED),AVERAGE(INDEX($C$5:$C293,290-MA_MED):$C293),"")</f>
        <v>901847447.98</v>
      </c>
      <c r="K293" s="52" t="n">
        <f aca="false">IF(AND(ISNUMBER($G293),$G293&gt;=MA_LONG2),AVERAGE(INDEX($C$5:$C293,290-MA_LONG2):$C293),"")</f>
        <v>845160286.71</v>
      </c>
      <c r="L293" s="53" t="n">
        <f aca="false">IF(AND(ISNUMBER($G293),$G293&gt;=21),STDEV(INDEX($H$233:$H293,62-20):$H293)*SQRT(245),"")</f>
        <v>0.193577156150519</v>
      </c>
      <c r="M293" s="52" t="n">
        <f aca="false">IF(AND(ISNUMBER($G293),$G293&gt;=60),MAX(INDEX($D$93:$D293,202-60):$D293),"")</f>
        <v>953870113</v>
      </c>
      <c r="N293" s="52" t="n">
        <f aca="false">IF(AND(ISNUMBER($G293),$G293&gt;=60),MIN(INDEX($E$93:$E293,202-60):$E293),"")</f>
        <v>862365954</v>
      </c>
      <c r="O293" s="53" t="n">
        <f aca="false">IF(OR(NOT(ISNUMBER($C293)),NOT(ISNUMBER($M293)),$M293=0),"",$C293/$M293-1)</f>
        <v>-0.0203619106367787</v>
      </c>
      <c r="P293" s="54"/>
      <c r="Q293" s="53" t="str">
        <f aca="false">IF(NOT(ISNUMBER($P293)),"",IFERROR(PERCENTRANK($P$5:$P$1204,$P293),""))</f>
        <v/>
      </c>
    </row>
    <row r="294" customFormat="false" ht="15" hidden="false" customHeight="false" outlineLevel="0" collapsed="false">
      <c r="A294" s="47" t="n">
        <v>45973</v>
      </c>
      <c r="B294" s="48" t="s">
        <v>442</v>
      </c>
      <c r="C294" s="49" t="n">
        <v>947289427</v>
      </c>
      <c r="D294" s="49" t="n">
        <v>953722890</v>
      </c>
      <c r="E294" s="49" t="n">
        <v>945238580</v>
      </c>
      <c r="F294" s="49" t="n">
        <v>0</v>
      </c>
      <c r="G294" s="50" t="n">
        <f aca="false">IF($A294="","",IF(ISNUMBER($G293),$G293+1,1))</f>
        <v>290</v>
      </c>
      <c r="H294" s="51" t="n">
        <f aca="false">IF(OR(NOT(ISNUMBER($G294)),$G294&lt;2,NOT(ISNUMBER($C293)),$C293=0),"",$C294/$C293-1)</f>
        <v>0.0137428074543664</v>
      </c>
      <c r="I294" s="52" t="n">
        <f aca="false">IF(AND(ISNUMBER($G294),$G294&gt;=MA_SHORT),AVERAGE(INDEX($C$5:$C294,291-MA_SHORT):$C294),"")</f>
        <v>917931911.6</v>
      </c>
      <c r="J294" s="52" t="n">
        <f aca="false">IF(AND(ISNUMBER($G294),$G294&gt;=MA_MED),AVERAGE(INDEX($C$5:$C294,291-MA_MED):$C294),"")</f>
        <v>903363789.18</v>
      </c>
      <c r="K294" s="52" t="n">
        <f aca="false">IF(AND(ISNUMBER($G294),$G294&gt;=MA_LONG2),AVERAGE(INDEX($C$5:$C294,291-MA_LONG2):$C294),"")</f>
        <v>846210980.84</v>
      </c>
      <c r="L294" s="53" t="n">
        <f aca="false">IF(AND(ISNUMBER($G294),$G294&gt;=21),STDEV(INDEX($H$234:$H294,62-20):$H294)*SQRT(245),"")</f>
        <v>0.191831838548216</v>
      </c>
      <c r="M294" s="52" t="n">
        <f aca="false">IF(AND(ISNUMBER($G294),$G294&gt;=60),MAX(INDEX($D$94:$D294,202-60):$D294),"")</f>
        <v>953870113</v>
      </c>
      <c r="N294" s="52" t="n">
        <f aca="false">IF(AND(ISNUMBER($G294),$G294&gt;=60),MIN(INDEX($E$94:$E294,202-60):$E294),"")</f>
        <v>862365954</v>
      </c>
      <c r="O294" s="53" t="n">
        <f aca="false">IF(OR(NOT(ISNUMBER($C294)),NOT(ISNUMBER($M294)),$M294=0),"",$C294/$M294-1)</f>
        <v>-0.00689893299969657</v>
      </c>
      <c r="P294" s="54"/>
      <c r="Q294" s="53" t="str">
        <f aca="false">IF(NOT(ISNUMBER($P294)),"",IFERROR(PERCENTRANK($P$5:$P$1204,$P294),""))</f>
        <v/>
      </c>
    </row>
    <row r="295" customFormat="false" ht="15" hidden="false" customHeight="false" outlineLevel="0" collapsed="false">
      <c r="A295" s="47" t="n">
        <v>45976</v>
      </c>
      <c r="B295" s="48" t="s">
        <v>443</v>
      </c>
      <c r="C295" s="49" t="n">
        <v>943032945</v>
      </c>
      <c r="D295" s="49" t="n">
        <v>943257810</v>
      </c>
      <c r="E295" s="49" t="n">
        <v>942490606</v>
      </c>
      <c r="F295" s="49" t="n">
        <v>0</v>
      </c>
      <c r="G295" s="50" t="n">
        <f aca="false">IF($A295="","",IF(ISNUMBER($G294),$G294+1,1))</f>
        <v>291</v>
      </c>
      <c r="H295" s="51" t="n">
        <f aca="false">IF(OR(NOT(ISNUMBER($G295)),$G295&lt;2,NOT(ISNUMBER($C294)),$C294=0),"",$C295/$C294-1)</f>
        <v>-0.00449332788763412</v>
      </c>
      <c r="I295" s="52" t="n">
        <f aca="false">IF(AND(ISNUMBER($G295),$G295&gt;=MA_SHORT),AVERAGE(INDEX($C$5:$C295,292-MA_SHORT):$C295),"")</f>
        <v>921270540.3</v>
      </c>
      <c r="J295" s="52" t="n">
        <f aca="false">IF(AND(ISNUMBER($G295),$G295&gt;=MA_MED),AVERAGE(INDEX($C$5:$C295,292-MA_MED):$C295),"")</f>
        <v>904470141.8</v>
      </c>
      <c r="K295" s="52" t="n">
        <f aca="false">IF(AND(ISNUMBER($G295),$G295&gt;=MA_LONG2),AVERAGE(INDEX($C$5:$C295,292-MA_LONG2):$C295),"")</f>
        <v>847245090.95</v>
      </c>
      <c r="L295" s="53" t="n">
        <f aca="false">IF(AND(ISNUMBER($G295),$G295&gt;=21),STDEV(INDEX($H$235:$H295,62-20):$H295)*SQRT(245),"")</f>
        <v>0.192454961924528</v>
      </c>
      <c r="M295" s="52" t="n">
        <f aca="false">IF(AND(ISNUMBER($G295),$G295&gt;=60),MAX(INDEX($D$95:$D295,202-60):$D295),"")</f>
        <v>953870113</v>
      </c>
      <c r="N295" s="52" t="n">
        <f aca="false">IF(AND(ISNUMBER($G295),$G295&gt;=60),MIN(INDEX($E$95:$E295,202-60):$E295),"")</f>
        <v>862365954</v>
      </c>
      <c r="O295" s="53" t="n">
        <f aca="false">IF(OR(NOT(ISNUMBER($C295)),NOT(ISNUMBER($M295)),$M295=0),"",$C295/$M295-1)</f>
        <v>-0.0113612617192882</v>
      </c>
      <c r="P295" s="54"/>
      <c r="Q295" s="53" t="str">
        <f aca="false">IF(NOT(ISNUMBER($P295)),"",IFERROR(PERCENTRANK($P$5:$P$1204,$P295),""))</f>
        <v/>
      </c>
    </row>
    <row r="296" customFormat="false" ht="15" hidden="false" customHeight="false" outlineLevel="0" collapsed="false">
      <c r="A296" s="47" t="n">
        <v>45977</v>
      </c>
      <c r="B296" s="48" t="s">
        <v>444</v>
      </c>
      <c r="C296" s="49" t="n">
        <v>931575047</v>
      </c>
      <c r="D296" s="49" t="n">
        <v>931669934</v>
      </c>
      <c r="E296" s="49" t="n">
        <v>921432518</v>
      </c>
      <c r="F296" s="49" t="n">
        <v>0</v>
      </c>
      <c r="G296" s="50" t="n">
        <f aca="false">IF($A296="","",IF(ISNUMBER($G295),$G295+1,1))</f>
        <v>292</v>
      </c>
      <c r="H296" s="51" t="n">
        <f aca="false">IF(OR(NOT(ISNUMBER($G296)),$G296&lt;2,NOT(ISNUMBER($C295)),$C295=0),"",$C296/$C295-1)</f>
        <v>-0.0121500506008303</v>
      </c>
      <c r="I296" s="52" t="n">
        <f aca="false">IF(AND(ISNUMBER($G296),$G296&gt;=MA_SHORT),AVERAGE(INDEX($C$5:$C296,293-MA_SHORT):$C296),"")</f>
        <v>923733270.3</v>
      </c>
      <c r="J296" s="52" t="n">
        <f aca="false">IF(AND(ISNUMBER($G296),$G296&gt;=MA_MED),AVERAGE(INDEX($C$5:$C296,293-MA_MED):$C296),"")</f>
        <v>905288589.96</v>
      </c>
      <c r="K296" s="52" t="n">
        <f aca="false">IF(AND(ISNUMBER($G296),$G296&gt;=MA_LONG2),AVERAGE(INDEX($C$5:$C296,293-MA_LONG2):$C296),"")</f>
        <v>848238129.87</v>
      </c>
      <c r="L296" s="53" t="n">
        <f aca="false">IF(AND(ISNUMBER($G296),$G296&gt;=21),STDEV(INDEX($H$236:$H296,62-20):$H296)*SQRT(245),"")</f>
        <v>0.199838227410315</v>
      </c>
      <c r="M296" s="52" t="n">
        <f aca="false">IF(AND(ISNUMBER($G296),$G296&gt;=60),MAX(INDEX($D$96:$D296,202-60):$D296),"")</f>
        <v>953870113</v>
      </c>
      <c r="N296" s="52" t="n">
        <f aca="false">IF(AND(ISNUMBER($G296),$G296&gt;=60),MIN(INDEX($E$96:$E296,202-60):$E296),"")</f>
        <v>862365954</v>
      </c>
      <c r="O296" s="53" t="n">
        <f aca="false">IF(OR(NOT(ISNUMBER($C296)),NOT(ISNUMBER($M296)),$M296=0),"",$C296/$M296-1)</f>
        <v>-0.0233732724153398</v>
      </c>
      <c r="P296" s="54"/>
      <c r="Q296" s="53" t="str">
        <f aca="false">IF(NOT(ISNUMBER($P296)),"",IFERROR(PERCENTRANK($P$5:$P$1204,$P296),""))</f>
        <v/>
      </c>
    </row>
    <row r="297" customFormat="false" ht="15" hidden="false" customHeight="false" outlineLevel="0" collapsed="false">
      <c r="A297" s="47" t="n">
        <v>45978</v>
      </c>
      <c r="B297" s="48" t="s">
        <v>445</v>
      </c>
      <c r="C297" s="49" t="n">
        <v>923324545</v>
      </c>
      <c r="D297" s="49" t="n">
        <v>923749634</v>
      </c>
      <c r="E297" s="49" t="n">
        <v>920604446</v>
      </c>
      <c r="F297" s="49" t="n">
        <v>0</v>
      </c>
      <c r="G297" s="50" t="n">
        <f aca="false">IF($A297="","",IF(ISNUMBER($G296),$G296+1,1))</f>
        <v>293</v>
      </c>
      <c r="H297" s="51" t="n">
        <f aca="false">IF(OR(NOT(ISNUMBER($G297)),$G297&lt;2,NOT(ISNUMBER($C296)),$C296=0),"",$C297/$C296-1)</f>
        <v>-0.00885650815419492</v>
      </c>
      <c r="I297" s="52" t="n">
        <f aca="false">IF(AND(ISNUMBER($G297),$G297&gt;=MA_SHORT),AVERAGE(INDEX($C$5:$C297,294-MA_SHORT):$C297),"")</f>
        <v>925009127.2</v>
      </c>
      <c r="J297" s="52" t="n">
        <f aca="false">IF(AND(ISNUMBER($G297),$G297&gt;=MA_MED),AVERAGE(INDEX($C$5:$C297,294-MA_MED):$C297),"")</f>
        <v>905622140.92</v>
      </c>
      <c r="K297" s="52" t="n">
        <f aca="false">IF(AND(ISNUMBER($G297),$G297&gt;=MA_LONG2),AVERAGE(INDEX($C$5:$C297,294-MA_LONG2):$C297),"")</f>
        <v>849192258.135</v>
      </c>
      <c r="L297" s="53" t="n">
        <f aca="false">IF(AND(ISNUMBER($G297),$G297&gt;=21),STDEV(INDEX($H$237:$H297,62-20):$H297)*SQRT(245),"")</f>
        <v>0.196033655481463</v>
      </c>
      <c r="M297" s="52" t="n">
        <f aca="false">IF(AND(ISNUMBER($G297),$G297&gt;=60),MAX(INDEX($D$97:$D297,202-60):$D297),"")</f>
        <v>953870113</v>
      </c>
      <c r="N297" s="52" t="n">
        <f aca="false">IF(AND(ISNUMBER($G297),$G297&gt;=60),MIN(INDEX($E$97:$E297,202-60):$E297),"")</f>
        <v>862726691</v>
      </c>
      <c r="O297" s="53" t="n">
        <f aca="false">IF(OR(NOT(ISNUMBER($C297)),NOT(ISNUMBER($M297)),$M297=0),"",$C297/$M297-1)</f>
        <v>-0.0320227749917981</v>
      </c>
      <c r="P297" s="54"/>
      <c r="Q297" s="53" t="str">
        <f aca="false">IF(NOT(ISNUMBER($P297)),"",IFERROR(PERCENTRANK($P$5:$P$1204,$P297),""))</f>
        <v/>
      </c>
    </row>
    <row r="298" customFormat="false" ht="15" hidden="false" customHeight="false" outlineLevel="0" collapsed="false">
      <c r="A298" s="47" t="n">
        <v>45979</v>
      </c>
      <c r="B298" s="48" t="s">
        <v>446</v>
      </c>
      <c r="C298" s="49" t="n">
        <v>935143871</v>
      </c>
      <c r="D298" s="49" t="n">
        <v>935872073</v>
      </c>
      <c r="E298" s="49" t="n">
        <v>933574716</v>
      </c>
      <c r="F298" s="49" t="n">
        <v>0</v>
      </c>
      <c r="G298" s="50" t="n">
        <f aca="false">IF($A298="","",IF(ISNUMBER($G297),$G297+1,1))</f>
        <v>294</v>
      </c>
      <c r="H298" s="51" t="n">
        <f aca="false">IF(OR(NOT(ISNUMBER($G298)),$G298&lt;2,NOT(ISNUMBER($C297)),$C297=0),"",$C298/$C297-1)</f>
        <v>0.0128008359184257</v>
      </c>
      <c r="I298" s="52" t="n">
        <f aca="false">IF(AND(ISNUMBER($G298),$G298&gt;=MA_SHORT),AVERAGE(INDEX($C$5:$C298,295-MA_SHORT):$C298),"")</f>
        <v>927366084.6</v>
      </c>
      <c r="J298" s="52" t="n">
        <f aca="false">IF(AND(ISNUMBER($G298),$G298&gt;=MA_MED),AVERAGE(INDEX($C$5:$C298,295-MA_MED):$C298),"")</f>
        <v>906234182.3</v>
      </c>
      <c r="K298" s="52" t="n">
        <f aca="false">IF(AND(ISNUMBER($G298),$G298&gt;=MA_LONG2),AVERAGE(INDEX($C$5:$C298,295-MA_LONG2):$C298),"")</f>
        <v>850177010.685</v>
      </c>
      <c r="L298" s="53" t="n">
        <f aca="false">IF(AND(ISNUMBER($G298),$G298&gt;=21),STDEV(INDEX($H$238:$H298,62-20):$H298)*SQRT(245),"")</f>
        <v>0.194265453113944</v>
      </c>
      <c r="M298" s="52" t="n">
        <f aca="false">IF(AND(ISNUMBER($G298),$G298&gt;=60),MAX(INDEX($D$98:$D298,202-60):$D298),"")</f>
        <v>953870113</v>
      </c>
      <c r="N298" s="52" t="n">
        <f aca="false">IF(AND(ISNUMBER($G298),$G298&gt;=60),MIN(INDEX($E$98:$E298,202-60):$E298),"")</f>
        <v>862726691</v>
      </c>
      <c r="O298" s="53" t="n">
        <f aca="false">IF(OR(NOT(ISNUMBER($C298)),NOT(ISNUMBER($M298)),$M298=0),"",$C298/$M298-1)</f>
        <v>-0.0196318573616952</v>
      </c>
      <c r="P298" s="54"/>
      <c r="Q298" s="53" t="str">
        <f aca="false">IF(NOT(ISNUMBER($P298)),"",IFERROR(PERCENTRANK($P$5:$P$1204,$P298),""))</f>
        <v/>
      </c>
    </row>
    <row r="299" customFormat="false" ht="15" hidden="false" customHeight="false" outlineLevel="0" collapsed="false">
      <c r="A299" s="47" t="n">
        <v>45980</v>
      </c>
      <c r="B299" s="48" t="s">
        <v>447</v>
      </c>
      <c r="C299" s="49" t="n">
        <v>921718657</v>
      </c>
      <c r="D299" s="49" t="n">
        <v>924928167</v>
      </c>
      <c r="E299" s="49" t="n">
        <v>919202619</v>
      </c>
      <c r="F299" s="49" t="n">
        <v>0</v>
      </c>
      <c r="G299" s="50" t="n">
        <f aca="false">IF($A299="","",IF(ISNUMBER($G298),$G298+1,1))</f>
        <v>295</v>
      </c>
      <c r="H299" s="51" t="n">
        <f aca="false">IF(OR(NOT(ISNUMBER($G299)),$G299&lt;2,NOT(ISNUMBER($C298)),$C298=0),"",$C299/$C298-1)</f>
        <v>-0.0143563086027005</v>
      </c>
      <c r="I299" s="52" t="n">
        <f aca="false">IF(AND(ISNUMBER($G299),$G299&gt;=MA_SHORT),AVERAGE(INDEX($C$5:$C299,296-MA_SHORT):$C299),"")</f>
        <v>928502328.5</v>
      </c>
      <c r="J299" s="52" t="n">
        <f aca="false">IF(AND(ISNUMBER($G299),$G299&gt;=MA_MED),AVERAGE(INDEX($C$5:$C299,296-MA_MED):$C299),"")</f>
        <v>906780029.68</v>
      </c>
      <c r="K299" s="52" t="n">
        <f aca="false">IF(AND(ISNUMBER($G299),$G299&gt;=MA_LONG2),AVERAGE(INDEX($C$5:$C299,296-MA_LONG2):$C299),"")</f>
        <v>851005840.895</v>
      </c>
      <c r="L299" s="53" t="n">
        <f aca="false">IF(AND(ISNUMBER($G299),$G299&gt;=21),STDEV(INDEX($H$239:$H299,62-20):$H299)*SQRT(245),"")</f>
        <v>0.199491107792826</v>
      </c>
      <c r="M299" s="52" t="n">
        <f aca="false">IF(AND(ISNUMBER($G299),$G299&gt;=60),MAX(INDEX($D$99:$D299,202-60):$D299),"")</f>
        <v>953870113</v>
      </c>
      <c r="N299" s="52" t="n">
        <f aca="false">IF(AND(ISNUMBER($G299),$G299&gt;=60),MIN(INDEX($E$99:$E299,202-60):$E299),"")</f>
        <v>862726691</v>
      </c>
      <c r="O299" s="53" t="n">
        <f aca="false">IF(OR(NOT(ISNUMBER($C299)),NOT(ISNUMBER($M299)),$M299=0),"",$C299/$M299-1)</f>
        <v>-0.0337063249616669</v>
      </c>
      <c r="P299" s="54"/>
      <c r="Q299" s="53" t="str">
        <f aca="false">IF(NOT(ISNUMBER($P299)),"",IFERROR(PERCENTRANK($P$5:$P$1204,$P299),""))</f>
        <v/>
      </c>
    </row>
    <row r="300" customFormat="false" ht="15" hidden="false" customHeight="false" outlineLevel="0" collapsed="false">
      <c r="A300" s="47" t="n">
        <v>45983</v>
      </c>
      <c r="B300" s="48" t="s">
        <v>448</v>
      </c>
      <c r="C300" s="49" t="n">
        <v>903976574</v>
      </c>
      <c r="D300" s="49" t="n">
        <v>908826949</v>
      </c>
      <c r="E300" s="49" t="n">
        <v>899648740</v>
      </c>
      <c r="F300" s="49" t="n">
        <v>0</v>
      </c>
      <c r="G300" s="50" t="n">
        <f aca="false">IF($A300="","",IF(ISNUMBER($G299),$G299+1,1))</f>
        <v>296</v>
      </c>
      <c r="H300" s="51" t="n">
        <f aca="false">IF(OR(NOT(ISNUMBER($G300)),$G300&lt;2,NOT(ISNUMBER($C299)),$C299=0),"",$C300/$C299-1)</f>
        <v>-0.0192489138255558</v>
      </c>
      <c r="I300" s="52" t="n">
        <f aca="false">IF(AND(ISNUMBER($G300),$G300&gt;=MA_SHORT),AVERAGE(INDEX($C$5:$C300,297-MA_SHORT):$C300),"")</f>
        <v>928331490.15</v>
      </c>
      <c r="J300" s="52" t="n">
        <f aca="false">IF(AND(ISNUMBER($G300),$G300&gt;=MA_MED),AVERAGE(INDEX($C$5:$C300,297-MA_MED):$C300),"")</f>
        <v>906735920.26</v>
      </c>
      <c r="K300" s="52" t="n">
        <f aca="false">IF(AND(ISNUMBER($G300),$G300&gt;=MA_LONG2),AVERAGE(INDEX($C$5:$C300,297-MA_LONG2):$C300),"")</f>
        <v>851773145.155</v>
      </c>
      <c r="L300" s="53" t="n">
        <f aca="false">IF(AND(ISNUMBER($G300),$G300&gt;=21),STDEV(INDEX($H$240:$H300,62-20):$H300)*SQRT(245),"")</f>
        <v>0.209521663556192</v>
      </c>
      <c r="M300" s="52" t="n">
        <f aca="false">IF(AND(ISNUMBER($G300),$G300&gt;=60),MAX(INDEX($D$100:$D300,202-60):$D300),"")</f>
        <v>953870113</v>
      </c>
      <c r="N300" s="52" t="n">
        <f aca="false">IF(AND(ISNUMBER($G300),$G300&gt;=60),MIN(INDEX($E$100:$E300,202-60):$E300),"")</f>
        <v>862726691</v>
      </c>
      <c r="O300" s="53" t="n">
        <f aca="false">IF(OR(NOT(ISNUMBER($C300)),NOT(ISNUMBER($M300)),$M300=0),"",$C300/$M300-1)</f>
        <v>-0.0523064286426594</v>
      </c>
      <c r="P300" s="54"/>
      <c r="Q300" s="53" t="str">
        <f aca="false">IF(NOT(ISNUMBER($P300)),"",IFERROR(PERCENTRANK($P$5:$P$1204,$P300),""))</f>
        <v/>
      </c>
    </row>
    <row r="301" customFormat="false" ht="15" hidden="false" customHeight="false" outlineLevel="0" collapsed="false">
      <c r="A301" s="47" t="n">
        <v>45984</v>
      </c>
      <c r="B301" s="48" t="s">
        <v>449</v>
      </c>
      <c r="C301" s="49" t="n">
        <v>890444294</v>
      </c>
      <c r="D301" s="49" t="n">
        <v>893150533</v>
      </c>
      <c r="E301" s="49" t="n">
        <v>884475364</v>
      </c>
      <c r="F301" s="49" t="n">
        <v>0</v>
      </c>
      <c r="G301" s="50" t="n">
        <f aca="false">IF($A301="","",IF(ISNUMBER($G300),$G300+1,1))</f>
        <v>297</v>
      </c>
      <c r="H301" s="51" t="n">
        <f aca="false">IF(OR(NOT(ISNUMBER($G301)),$G301&lt;2,NOT(ISNUMBER($C300)),$C300=0),"",$C301/$C300-1)</f>
        <v>-0.0149697242043797</v>
      </c>
      <c r="I301" s="52" t="n">
        <f aca="false">IF(AND(ISNUMBER($G301),$G301&gt;=MA_SHORT),AVERAGE(INDEX($C$5:$C301,298-MA_SHORT):$C301),"")</f>
        <v>928080598.3</v>
      </c>
      <c r="J301" s="52" t="n">
        <f aca="false">IF(AND(ISNUMBER($G301),$G301&gt;=MA_MED),AVERAGE(INDEX($C$5:$C301,298-MA_MED):$C301),"")</f>
        <v>906604915.76</v>
      </c>
      <c r="K301" s="52" t="n">
        <f aca="false">IF(AND(ISNUMBER($G301),$G301&gt;=MA_LONG2),AVERAGE(INDEX($C$5:$C301,298-MA_LONG2):$C301),"")</f>
        <v>852404681.02</v>
      </c>
      <c r="L301" s="53" t="n">
        <f aca="false">IF(AND(ISNUMBER($G301),$G301&gt;=21),STDEV(INDEX($H$241:$H301,62-20):$H301)*SQRT(245),"")</f>
        <v>0.211074676101959</v>
      </c>
      <c r="M301" s="52" t="n">
        <f aca="false">IF(AND(ISNUMBER($G301),$G301&gt;=60),MAX(INDEX($D$101:$D301,202-60):$D301),"")</f>
        <v>953870113</v>
      </c>
      <c r="N301" s="52" t="n">
        <f aca="false">IF(AND(ISNUMBER($G301),$G301&gt;=60),MIN(INDEX($E$101:$E301,202-60):$E301),"")</f>
        <v>862726691</v>
      </c>
      <c r="O301" s="53" t="n">
        <f aca="false">IF(OR(NOT(ISNUMBER($C301)),NOT(ISNUMBER($M301)),$M301=0),"",$C301/$M301-1)</f>
        <v>-0.0664931400361424</v>
      </c>
      <c r="P301" s="54"/>
      <c r="Q301" s="53" t="str">
        <f aca="false">IF(NOT(ISNUMBER($P301)),"",IFERROR(PERCENTRANK($P$5:$P$1204,$P301),""))</f>
        <v/>
      </c>
    </row>
    <row r="302" customFormat="false" ht="15" hidden="false" customHeight="false" outlineLevel="0" collapsed="false">
      <c r="A302" s="47" t="n">
        <v>45985</v>
      </c>
      <c r="B302" s="48" t="s">
        <v>450</v>
      </c>
      <c r="C302" s="49" t="n">
        <v>898110621</v>
      </c>
      <c r="D302" s="49" t="n">
        <v>898846597</v>
      </c>
      <c r="E302" s="49" t="n">
        <v>895387529</v>
      </c>
      <c r="F302" s="49" t="n">
        <v>0</v>
      </c>
      <c r="G302" s="50" t="n">
        <f aca="false">IF($A302="","",IF(ISNUMBER($G301),$G301+1,1))</f>
        <v>298</v>
      </c>
      <c r="H302" s="51" t="n">
        <f aca="false">IF(OR(NOT(ISNUMBER($G302)),$G302&lt;2,NOT(ISNUMBER($C301)),$C301=0),"",$C302/$C301-1)</f>
        <v>0.00860955261509044</v>
      </c>
      <c r="I302" s="52" t="n">
        <f aca="false">IF(AND(ISNUMBER($G302),$G302&gt;=MA_SHORT),AVERAGE(INDEX($C$5:$C302,299-MA_SHORT):$C302),"")</f>
        <v>927801442.05</v>
      </c>
      <c r="J302" s="52" t="n">
        <f aca="false">IF(AND(ISNUMBER($G302),$G302&gt;=MA_MED),AVERAGE(INDEX($C$5:$C302,299-MA_MED):$C302),"")</f>
        <v>906756560.64</v>
      </c>
      <c r="K302" s="52" t="n">
        <f aca="false">IF(AND(ISNUMBER($G302),$G302&gt;=MA_LONG2),AVERAGE(INDEX($C$5:$C302,299-MA_LONG2):$C302),"")</f>
        <v>853106154.715</v>
      </c>
      <c r="L302" s="53" t="n">
        <f aca="false">IF(AND(ISNUMBER($G302),$G302&gt;=21),STDEV(INDEX($H$242:$H302,62-20):$H302)*SQRT(245),"")</f>
        <v>0.210749926788082</v>
      </c>
      <c r="M302" s="52" t="n">
        <f aca="false">IF(AND(ISNUMBER($G302),$G302&gt;=60),MAX(INDEX($D$102:$D302,202-60):$D302),"")</f>
        <v>953870113</v>
      </c>
      <c r="N302" s="52" t="n">
        <f aca="false">IF(AND(ISNUMBER($G302),$G302&gt;=60),MIN(INDEX($E$102:$E302,202-60):$E302),"")</f>
        <v>862726691</v>
      </c>
      <c r="O302" s="53" t="n">
        <f aca="false">IF(OR(NOT(ISNUMBER($C302)),NOT(ISNUMBER($M302)),$M302=0),"",$C302/$M302-1)</f>
        <v>-0.0584560636087358</v>
      </c>
      <c r="P302" s="54"/>
      <c r="Q302" s="53" t="str">
        <f aca="false">IF(NOT(ISNUMBER($P302)),"",IFERROR(PERCENTRANK($P$5:$P$1204,$P302),""))</f>
        <v/>
      </c>
    </row>
    <row r="303" customFormat="false" ht="15" hidden="false" customHeight="false" outlineLevel="0" collapsed="false">
      <c r="A303" s="47" t="n">
        <v>45986</v>
      </c>
      <c r="B303" s="48" t="s">
        <v>451</v>
      </c>
      <c r="C303" s="49" t="n">
        <v>889761747</v>
      </c>
      <c r="D303" s="49" t="n">
        <v>890253060</v>
      </c>
      <c r="E303" s="49" t="n">
        <v>888711756</v>
      </c>
      <c r="F303" s="49" t="n">
        <v>0</v>
      </c>
      <c r="G303" s="50" t="n">
        <f aca="false">IF($A303="","",IF(ISNUMBER($G302),$G302+1,1))</f>
        <v>299</v>
      </c>
      <c r="H303" s="51" t="n">
        <f aca="false">IF(OR(NOT(ISNUMBER($G303)),$G303&lt;2,NOT(ISNUMBER($C302)),$C302=0),"",$C303/$C302-1)</f>
        <v>-0.00929604194047273</v>
      </c>
      <c r="I303" s="52" t="n">
        <f aca="false">IF(AND(ISNUMBER($G303),$G303&gt;=MA_SHORT),AVERAGE(INDEX($C$5:$C303,300-MA_SHORT):$C303),"")</f>
        <v>926915853.1</v>
      </c>
      <c r="J303" s="52" t="n">
        <f aca="false">IF(AND(ISNUMBER($G303),$G303&gt;=MA_MED),AVERAGE(INDEX($C$5:$C303,300-MA_MED):$C303),"")</f>
        <v>906649440.14</v>
      </c>
      <c r="K303" s="52" t="n">
        <f aca="false">IF(AND(ISNUMBER($G303),$G303&gt;=MA_LONG2),AVERAGE(INDEX($C$5:$C303,300-MA_LONG2):$C303),"")</f>
        <v>853727376.67</v>
      </c>
      <c r="L303" s="53" t="n">
        <f aca="false">IF(AND(ISNUMBER($G303),$G303&gt;=21),STDEV(INDEX($H$243:$H303,62-20):$H303)*SQRT(245),"")</f>
        <v>0.212389428066471</v>
      </c>
      <c r="M303" s="52" t="n">
        <f aca="false">IF(AND(ISNUMBER($G303),$G303&gt;=60),MAX(INDEX($D$103:$D303,202-60):$D303),"")</f>
        <v>953870113</v>
      </c>
      <c r="N303" s="52" t="n">
        <f aca="false">IF(AND(ISNUMBER($G303),$G303&gt;=60),MIN(INDEX($E$103:$E303,202-60):$E303),"")</f>
        <v>862726691</v>
      </c>
      <c r="O303" s="53" t="n">
        <f aca="false">IF(OR(NOT(ISNUMBER($C303)),NOT(ISNUMBER($M303)),$M303=0),"",$C303/$M303-1)</f>
        <v>-0.0672086955302268</v>
      </c>
      <c r="P303" s="54"/>
      <c r="Q303" s="53" t="str">
        <f aca="false">IF(NOT(ISNUMBER($P303)),"",IFERROR(PERCENTRANK($P$5:$P$1204,$P303),""))</f>
        <v/>
      </c>
    </row>
    <row r="304" customFormat="false" ht="15" hidden="false" customHeight="false" outlineLevel="0" collapsed="false">
      <c r="A304" s="47" t="n">
        <v>45987</v>
      </c>
      <c r="B304" s="48" t="s">
        <v>452</v>
      </c>
      <c r="C304" s="49" t="n">
        <v>878848299</v>
      </c>
      <c r="D304" s="49" t="n">
        <v>880389236</v>
      </c>
      <c r="E304" s="49" t="n">
        <v>871020053</v>
      </c>
      <c r="F304" s="49" t="n">
        <v>0</v>
      </c>
      <c r="G304" s="50" t="n">
        <f aca="false">IF($A304="","",IF(ISNUMBER($G303),$G303+1,1))</f>
        <v>300</v>
      </c>
      <c r="H304" s="51" t="n">
        <f aca="false">IF(OR(NOT(ISNUMBER($G304)),$G304&lt;2,NOT(ISNUMBER($C303)),$C303=0),"",$C304/$C303-1)</f>
        <v>-0.0122655846205985</v>
      </c>
      <c r="I304" s="52" t="n">
        <f aca="false">IF(AND(ISNUMBER($G304),$G304&gt;=MA_SHORT),AVERAGE(INDEX($C$5:$C304,301-MA_SHORT):$C304),"")</f>
        <v>924742334.25</v>
      </c>
      <c r="J304" s="52" t="n">
        <f aca="false">IF(AND(ISNUMBER($G304),$G304&gt;=MA_MED),AVERAGE(INDEX($C$5:$C304,301-MA_MED):$C304),"")</f>
        <v>906473476.6</v>
      </c>
      <c r="K304" s="52" t="n">
        <f aca="false">IF(AND(ISNUMBER($G304),$G304&gt;=MA_LONG2),AVERAGE(INDEX($C$5:$C304,301-MA_LONG2):$C304),"")</f>
        <v>854260577.32</v>
      </c>
      <c r="L304" s="53" t="n">
        <f aca="false">IF(AND(ISNUMBER($G304),$G304&gt;=21),STDEV(INDEX($H$244:$H304,62-20):$H304)*SQRT(245),"")</f>
        <v>0.205930396921486</v>
      </c>
      <c r="M304" s="52" t="n">
        <f aca="false">IF(AND(ISNUMBER($G304),$G304&gt;=60),MAX(INDEX($D$104:$D304,202-60):$D304),"")</f>
        <v>953870113</v>
      </c>
      <c r="N304" s="52" t="n">
        <f aca="false">IF(AND(ISNUMBER($G304),$G304&gt;=60),MIN(INDEX($E$104:$E304,202-60):$E304),"")</f>
        <v>862726691</v>
      </c>
      <c r="O304" s="53" t="n">
        <f aca="false">IF(OR(NOT(ISNUMBER($C304)),NOT(ISNUMBER($M304)),$M304=0),"",$C304/$M304-1)</f>
        <v>-0.0786499262085592</v>
      </c>
      <c r="P304" s="54"/>
      <c r="Q304" s="53" t="str">
        <f aca="false">IF(NOT(ISNUMBER($P304)),"",IFERROR(PERCENTRANK($P$5:$P$1204,$P304),""))</f>
        <v/>
      </c>
    </row>
    <row r="305" customFormat="false" ht="15" hidden="false" customHeight="false" outlineLevel="0" collapsed="false">
      <c r="A305" s="47" t="n">
        <v>45990</v>
      </c>
      <c r="B305" s="48" t="s">
        <v>453</v>
      </c>
      <c r="C305" s="49" t="n">
        <v>881571046</v>
      </c>
      <c r="D305" s="49" t="n">
        <v>884967802</v>
      </c>
      <c r="E305" s="49" t="n">
        <v>876899587</v>
      </c>
      <c r="F305" s="49" t="n">
        <v>0</v>
      </c>
      <c r="G305" s="50" t="n">
        <f aca="false">IF($A305="","",IF(ISNUMBER($G304),$G304+1,1))</f>
        <v>301</v>
      </c>
      <c r="H305" s="51" t="n">
        <f aca="false">IF(OR(NOT(ISNUMBER($G305)),$G305&lt;2,NOT(ISNUMBER($C304)),$C304=0),"",$C305/$C304-1)</f>
        <v>0.00309808530448108</v>
      </c>
      <c r="I305" s="52" t="n">
        <f aca="false">IF(AND(ISNUMBER($G305),$G305&gt;=MA_SHORT),AVERAGE(INDEX($C$5:$C305,302-MA_SHORT):$C305),"")</f>
        <v>921368017.95</v>
      </c>
      <c r="J305" s="52" t="n">
        <f aca="false">IF(AND(ISNUMBER($G305),$G305&gt;=MA_MED),AVERAGE(INDEX($C$5:$C305,302-MA_MED):$C305),"")</f>
        <v>906208124.46</v>
      </c>
      <c r="K305" s="52" t="n">
        <f aca="false">IF(AND(ISNUMBER($G305),$G305&gt;=MA_LONG2),AVERAGE(INDEX($C$5:$C305,302-MA_LONG2):$C305),"")</f>
        <v>854779739.68</v>
      </c>
      <c r="L305" s="53" t="n">
        <f aca="false">IF(AND(ISNUMBER($G305),$G305&gt;=21),STDEV(INDEX($H$245:$H305,62-20):$H305)*SQRT(245),"")</f>
        <v>0.172354245139189</v>
      </c>
      <c r="M305" s="52" t="n">
        <f aca="false">IF(AND(ISNUMBER($G305),$G305&gt;=60),MAX(INDEX($D$105:$D305,202-60):$D305),"")</f>
        <v>953870113</v>
      </c>
      <c r="N305" s="52" t="n">
        <f aca="false">IF(AND(ISNUMBER($G305),$G305&gt;=60),MIN(INDEX($E$105:$E305,202-60):$E305),"")</f>
        <v>862726691</v>
      </c>
      <c r="O305" s="53" t="n">
        <f aca="false">IF(OR(NOT(ISNUMBER($C305)),NOT(ISNUMBER($M305)),$M305=0),"",$C305/$M305-1)</f>
        <v>-0.0757955050846635</v>
      </c>
      <c r="P305" s="54"/>
      <c r="Q305" s="53" t="str">
        <f aca="false">IF(NOT(ISNUMBER($P305)),"",IFERROR(PERCENTRANK($P$5:$P$1204,$P305),""))</f>
        <v/>
      </c>
    </row>
    <row r="306" customFormat="false" ht="15" hidden="false" customHeight="false" outlineLevel="0" collapsed="false">
      <c r="A306" s="47" t="n">
        <v>45991</v>
      </c>
      <c r="B306" s="48" t="s">
        <v>454</v>
      </c>
      <c r="C306" s="49" t="n">
        <v>905500566</v>
      </c>
      <c r="D306" s="49" t="n">
        <v>907439490</v>
      </c>
      <c r="E306" s="49" t="n">
        <v>904174171</v>
      </c>
      <c r="F306" s="49" t="n">
        <v>0</v>
      </c>
      <c r="G306" s="50" t="n">
        <f aca="false">IF($A306="","",IF(ISNUMBER($G305),$G305+1,1))</f>
        <v>302</v>
      </c>
      <c r="H306" s="51" t="n">
        <f aca="false">IF(OR(NOT(ISNUMBER($G306)),$G306&lt;2,NOT(ISNUMBER($C305)),$C305=0),"",$C306/$C305-1)</f>
        <v>0.0271441764206943</v>
      </c>
      <c r="I306" s="52" t="n">
        <f aca="false">IF(AND(ISNUMBER($G306),$G306&gt;=MA_SHORT),AVERAGE(INDEX($C$5:$C306,303-MA_SHORT):$C306),"")</f>
        <v>919724288.4</v>
      </c>
      <c r="J306" s="52" t="n">
        <f aca="false">IF(AND(ISNUMBER($G306),$G306&gt;=MA_MED),AVERAGE(INDEX($C$5:$C306,303-MA_MED):$C306),"")</f>
        <v>906238253.54</v>
      </c>
      <c r="K306" s="52" t="n">
        <f aca="false">IF(AND(ISNUMBER($G306),$G306&gt;=MA_LONG2),AVERAGE(INDEX($C$5:$C306,303-MA_LONG2):$C306),"")</f>
        <v>855417999.635</v>
      </c>
      <c r="L306" s="53" t="n">
        <f aca="false">IF(AND(ISNUMBER($G306),$G306&gt;=21),STDEV(INDEX($H$246:$H306,62-20):$H306)*SQRT(245),"")</f>
        <v>0.200527491720981</v>
      </c>
      <c r="M306" s="52" t="n">
        <f aca="false">IF(AND(ISNUMBER($G306),$G306&gt;=60),MAX(INDEX($D$106:$D306,202-60):$D306),"")</f>
        <v>953870113</v>
      </c>
      <c r="N306" s="52" t="n">
        <f aca="false">IF(AND(ISNUMBER($G306),$G306&gt;=60),MIN(INDEX($E$106:$E306,202-60):$E306),"")</f>
        <v>862726691</v>
      </c>
      <c r="O306" s="53" t="n">
        <f aca="false">IF(OR(NOT(ISNUMBER($C306)),NOT(ISNUMBER($M306)),$M306=0),"",$C306/$M306-1)</f>
        <v>-0.0507087352258829</v>
      </c>
      <c r="P306" s="54"/>
      <c r="Q306" s="53" t="str">
        <f aca="false">IF(NOT(ISNUMBER($P306)),"",IFERROR(PERCENTRANK($P$5:$P$1204,$P306),""))</f>
        <v/>
      </c>
    </row>
    <row r="307" customFormat="false" ht="15" hidden="false" customHeight="false" outlineLevel="0" collapsed="false">
      <c r="A307" s="47" t="n">
        <v>45992</v>
      </c>
      <c r="B307" s="48" t="s">
        <v>455</v>
      </c>
      <c r="C307" s="49" t="n">
        <v>892874514</v>
      </c>
      <c r="D307" s="49" t="n">
        <v>897666073</v>
      </c>
      <c r="E307" s="49" t="n">
        <v>892756737</v>
      </c>
      <c r="F307" s="49" t="n">
        <v>0</v>
      </c>
      <c r="G307" s="50" t="n">
        <f aca="false">IF($A307="","",IF(ISNUMBER($G306),$G306+1,1))</f>
        <v>303</v>
      </c>
      <c r="H307" s="51" t="n">
        <f aca="false">IF(OR(NOT(ISNUMBER($G307)),$G307&lt;2,NOT(ISNUMBER($C306)),$C306=0),"",$C307/$C306-1)</f>
        <v>-0.0139437262372732</v>
      </c>
      <c r="I307" s="52" t="n">
        <f aca="false">IF(AND(ISNUMBER($G307),$G307&gt;=MA_SHORT),AVERAGE(INDEX($C$5:$C307,304-MA_SHORT):$C307),"")</f>
        <v>917106718.85</v>
      </c>
      <c r="J307" s="52" t="n">
        <f aca="false">IF(AND(ISNUMBER($G307),$G307&gt;=MA_MED),AVERAGE(INDEX($C$5:$C307,304-MA_MED):$C307),"")</f>
        <v>905783226.82</v>
      </c>
      <c r="K307" s="52" t="n">
        <f aca="false">IF(AND(ISNUMBER($G307),$G307&gt;=MA_LONG2),AVERAGE(INDEX($C$5:$C307,304-MA_LONG2):$C307),"")</f>
        <v>856023836.585</v>
      </c>
      <c r="L307" s="53" t="n">
        <f aca="false">IF(AND(ISNUMBER($G307),$G307&gt;=21),STDEV(INDEX($H$247:$H307,62-20):$H307)*SQRT(245),"")</f>
        <v>0.202006482240355</v>
      </c>
      <c r="M307" s="52" t="n">
        <f aca="false">IF(AND(ISNUMBER($G307),$G307&gt;=60),MAX(INDEX($D$107:$D307,202-60):$D307),"")</f>
        <v>953870113</v>
      </c>
      <c r="N307" s="52" t="n">
        <f aca="false">IF(AND(ISNUMBER($G307),$G307&gt;=60),MIN(INDEX($E$107:$E307,202-60):$E307),"")</f>
        <v>862726691</v>
      </c>
      <c r="O307" s="53" t="n">
        <f aca="false">IF(OR(NOT(ISNUMBER($C307)),NOT(ISNUMBER($M307)),$M307=0),"",$C307/$M307-1)</f>
        <v>-0.063945392741328</v>
      </c>
      <c r="P307" s="54"/>
      <c r="Q307" s="53" t="str">
        <f aca="false">IF(NOT(ISNUMBER($P307)),"",IFERROR(PERCENTRANK($P$5:$P$1204,$P307),""))</f>
        <v/>
      </c>
    </row>
    <row r="308" customFormat="false" ht="15" hidden="false" customHeight="false" outlineLevel="0" collapsed="false">
      <c r="A308" s="47" t="n">
        <v>45993</v>
      </c>
      <c r="B308" s="48" t="s">
        <v>456</v>
      </c>
      <c r="C308" s="49" t="n">
        <v>884215150</v>
      </c>
      <c r="D308" s="49" t="n">
        <v>892738264</v>
      </c>
      <c r="E308" s="49" t="n">
        <v>881223836</v>
      </c>
      <c r="F308" s="49" t="n">
        <v>0</v>
      </c>
      <c r="G308" s="50" t="n">
        <f aca="false">IF($A308="","",IF(ISNUMBER($G307),$G307+1,1))</f>
        <v>304</v>
      </c>
      <c r="H308" s="51" t="n">
        <f aca="false">IF(OR(NOT(ISNUMBER($G308)),$G308&lt;2,NOT(ISNUMBER($C307)),$C307=0),"",$C308/$C307-1)</f>
        <v>-0.00969829899299823</v>
      </c>
      <c r="I308" s="52" t="n">
        <f aca="false">IF(AND(ISNUMBER($G308),$G308&gt;=MA_SHORT),AVERAGE(INDEX($C$5:$C308,305-MA_SHORT):$C308),"")</f>
        <v>914632869.7</v>
      </c>
      <c r="J308" s="52" t="n">
        <f aca="false">IF(AND(ISNUMBER($G308),$G308&gt;=MA_MED),AVERAGE(INDEX($C$5:$C308,305-MA_MED):$C308),"")</f>
        <v>905108086.94</v>
      </c>
      <c r="K308" s="52" t="n">
        <f aca="false">IF(AND(ISNUMBER($G308),$G308&gt;=MA_LONG2),AVERAGE(INDEX($C$5:$C308,305-MA_LONG2):$C308),"")</f>
        <v>856674328.365</v>
      </c>
      <c r="L308" s="53" t="n">
        <f aca="false">IF(AND(ISNUMBER($G308),$G308&gt;=21),STDEV(INDEX($H$248:$H308,62-20):$H308)*SQRT(245),"")</f>
        <v>0.200684085924353</v>
      </c>
      <c r="M308" s="52" t="n">
        <f aca="false">IF(AND(ISNUMBER($G308),$G308&gt;=60),MAX(INDEX($D$108:$D308,202-60):$D308),"")</f>
        <v>953870113</v>
      </c>
      <c r="N308" s="52" t="n">
        <f aca="false">IF(AND(ISNUMBER($G308),$G308&gt;=60),MIN(INDEX($E$108:$E308,202-60):$E308),"")</f>
        <v>862726691</v>
      </c>
      <c r="O308" s="53" t="n">
        <f aca="false">IF(OR(NOT(ISNUMBER($C308)),NOT(ISNUMBER($M308)),$M308=0),"",$C308/$M308-1)</f>
        <v>-0.0730235301962963</v>
      </c>
      <c r="P308" s="54"/>
      <c r="Q308" s="53" t="str">
        <f aca="false">IF(NOT(ISNUMBER($P308)),"",IFERROR(PERCENTRANK($P$5:$P$1204,$P308),""))</f>
        <v/>
      </c>
    </row>
    <row r="309" customFormat="false" ht="15" hidden="false" customHeight="false" outlineLevel="0" collapsed="false">
      <c r="A309" s="47" t="n">
        <v>45994</v>
      </c>
      <c r="B309" s="48" t="s">
        <v>457</v>
      </c>
      <c r="C309" s="49" t="n">
        <v>892772347</v>
      </c>
      <c r="D309" s="49" t="n">
        <v>894307009</v>
      </c>
      <c r="E309" s="49" t="n">
        <v>888775864</v>
      </c>
      <c r="F309" s="49" t="n">
        <v>0</v>
      </c>
      <c r="G309" s="50" t="n">
        <f aca="false">IF($A309="","",IF(ISNUMBER($G308),$G308+1,1))</f>
        <v>305</v>
      </c>
      <c r="H309" s="51" t="n">
        <f aca="false">IF(OR(NOT(ISNUMBER($G309)),$G309&lt;2,NOT(ISNUMBER($C308)),$C308=0),"",$C309/$C308-1)</f>
        <v>0.00967773171495656</v>
      </c>
      <c r="I309" s="52" t="n">
        <f aca="false">IF(AND(ISNUMBER($G309),$G309&gt;=MA_SHORT),AVERAGE(INDEX($C$5:$C309,306-MA_SHORT):$C309),"")</f>
        <v>912230356.65</v>
      </c>
      <c r="J309" s="52" t="n">
        <f aca="false">IF(AND(ISNUMBER($G309),$G309&gt;=MA_MED),AVERAGE(INDEX($C$5:$C309,306-MA_MED):$C309),"")</f>
        <v>904695289.8</v>
      </c>
      <c r="K309" s="52" t="n">
        <f aca="false">IF(AND(ISNUMBER($G309),$G309&gt;=MA_LONG2),AVERAGE(INDEX($C$5:$C309,306-MA_LONG2):$C309),"")</f>
        <v>857299859.07</v>
      </c>
      <c r="L309" s="53" t="n">
        <f aca="false">IF(AND(ISNUMBER($G309),$G309&gt;=21),STDEV(INDEX($H$249:$H309,62-20):$H309)*SQRT(245),"")</f>
        <v>0.20215358366545</v>
      </c>
      <c r="M309" s="52" t="n">
        <f aca="false">IF(AND(ISNUMBER($G309),$G309&gt;=60),MAX(INDEX($D$109:$D309,202-60):$D309),"")</f>
        <v>953870113</v>
      </c>
      <c r="N309" s="52" t="n">
        <f aca="false">IF(AND(ISNUMBER($G309),$G309&gt;=60),MIN(INDEX($E$109:$E309,202-60):$E309),"")</f>
        <v>862726691</v>
      </c>
      <c r="O309" s="53" t="n">
        <f aca="false">IF(OR(NOT(ISNUMBER($C309)),NOT(ISNUMBER($M309)),$M309=0),"",$C309/$M309-1)</f>
        <v>-0.0640525006154585</v>
      </c>
      <c r="P309" s="54"/>
      <c r="Q309" s="53" t="str">
        <f aca="false">IF(NOT(ISNUMBER($P309)),"",IFERROR(PERCENTRANK($P$5:$P$1204,$P309),""))</f>
        <v/>
      </c>
    </row>
    <row r="310" customFormat="false" ht="15" hidden="false" customHeight="false" outlineLevel="0" collapsed="false">
      <c r="A310" s="47" t="n">
        <v>45997</v>
      </c>
      <c r="B310" s="48" t="s">
        <v>458</v>
      </c>
      <c r="C310" s="49" t="n">
        <v>871837674</v>
      </c>
      <c r="D310" s="49" t="n">
        <v>875547100</v>
      </c>
      <c r="E310" s="49" t="n">
        <v>870551178</v>
      </c>
      <c r="F310" s="49" t="n">
        <v>0</v>
      </c>
      <c r="G310" s="50" t="n">
        <f aca="false">IF($A310="","",IF(ISNUMBER($G309),$G309+1,1))</f>
        <v>306</v>
      </c>
      <c r="H310" s="51" t="n">
        <f aca="false">IF(OR(NOT(ISNUMBER($G310)),$G310&lt;2,NOT(ISNUMBER($C309)),$C309=0),"",$C310/$C309-1)</f>
        <v>-0.0234490607491901</v>
      </c>
      <c r="I310" s="52" t="n">
        <f aca="false">IF(AND(ISNUMBER($G310),$G310&gt;=MA_SHORT),AVERAGE(INDEX($C$5:$C310,307-MA_SHORT):$C310),"")</f>
        <v>909262323.9</v>
      </c>
      <c r="J310" s="52" t="n">
        <f aca="false">IF(AND(ISNUMBER($G310),$G310&gt;=MA_MED),AVERAGE(INDEX($C$5:$C310,307-MA_MED):$C310),"")</f>
        <v>904144717.34</v>
      </c>
      <c r="K310" s="52" t="n">
        <f aca="false">IF(AND(ISNUMBER($G310),$G310&gt;=MA_LONG2),AVERAGE(INDEX($C$5:$C310,307-MA_LONG2):$C310),"")</f>
        <v>857765452.03</v>
      </c>
      <c r="L310" s="53" t="n">
        <f aca="false">IF(AND(ISNUMBER($G310),$G310&gt;=21),STDEV(INDEX($H$250:$H310,62-20):$H310)*SQRT(245),"")</f>
        <v>0.213608936649705</v>
      </c>
      <c r="M310" s="52" t="n">
        <f aca="false">IF(AND(ISNUMBER($G310),$G310&gt;=60),MAX(INDEX($D$110:$D310,202-60):$D310),"")</f>
        <v>953870113</v>
      </c>
      <c r="N310" s="52" t="n">
        <f aca="false">IF(AND(ISNUMBER($G310),$G310&gt;=60),MIN(INDEX($E$110:$E310,202-60):$E310),"")</f>
        <v>862726691</v>
      </c>
      <c r="O310" s="53" t="n">
        <f aca="false">IF(OR(NOT(ISNUMBER($C310)),NOT(ISNUMBER($M310)),$M310=0),"",$C310/$M310-1)</f>
        <v>-0.0859995903865792</v>
      </c>
      <c r="P310" s="54"/>
      <c r="Q310" s="53" t="str">
        <f aca="false">IF(NOT(ISNUMBER($P310)),"",IFERROR(PERCENTRANK($P$5:$P$1204,$P310),""))</f>
        <v/>
      </c>
    </row>
    <row r="311" customFormat="false" ht="15" hidden="false" customHeight="false" outlineLevel="0" collapsed="false">
      <c r="A311" s="47" t="n">
        <v>45998</v>
      </c>
      <c r="B311" s="48" t="s">
        <v>459</v>
      </c>
      <c r="C311" s="49" t="n">
        <v>880224879</v>
      </c>
      <c r="D311" s="49" t="n">
        <v>889354664</v>
      </c>
      <c r="E311" s="49" t="n">
        <v>879013627</v>
      </c>
      <c r="F311" s="49" t="n">
        <v>0</v>
      </c>
      <c r="G311" s="50" t="n">
        <f aca="false">IF($A311="","",IF(ISNUMBER($G310),$G310+1,1))</f>
        <v>307</v>
      </c>
      <c r="H311" s="51" t="n">
        <f aca="false">IF(OR(NOT(ISNUMBER($G311)),$G311&lt;2,NOT(ISNUMBER($C310)),$C310=0),"",$C311/$C310-1)</f>
        <v>0.00962014518312726</v>
      </c>
      <c r="I311" s="52" t="n">
        <f aca="false">IF(AND(ISNUMBER($G311),$G311&gt;=MA_SHORT),AVERAGE(INDEX($C$5:$C311,308-MA_SHORT):$C311),"")</f>
        <v>907169736.1</v>
      </c>
      <c r="J311" s="52" t="n">
        <f aca="false">IF(AND(ISNUMBER($G311),$G311&gt;=MA_MED),AVERAGE(INDEX($C$5:$C311,308-MA_MED):$C311),"")</f>
        <v>903825512.84</v>
      </c>
      <c r="K311" s="52" t="n">
        <f aca="false">IF(AND(ISNUMBER($G311),$G311&gt;=MA_LONG2),AVERAGE(INDEX($C$5:$C311,308-MA_LONG2):$C311),"")</f>
        <v>858262765.335</v>
      </c>
      <c r="L311" s="53" t="n">
        <f aca="false">IF(AND(ISNUMBER($G311),$G311&gt;=21),STDEV(INDEX($H$251:$H311,62-20):$H311)*SQRT(245),"")</f>
        <v>0.216665595580781</v>
      </c>
      <c r="M311" s="52" t="n">
        <f aca="false">IF(AND(ISNUMBER($G311),$G311&gt;=60),MAX(INDEX($D$111:$D311,202-60):$D311),"")</f>
        <v>953870113</v>
      </c>
      <c r="N311" s="52" t="n">
        <f aca="false">IF(AND(ISNUMBER($G311),$G311&gt;=60),MIN(INDEX($E$111:$E311,202-60):$E311),"")</f>
        <v>862726691</v>
      </c>
      <c r="O311" s="53" t="n">
        <f aca="false">IF(OR(NOT(ISNUMBER($C311)),NOT(ISNUMBER($M311)),$M311=0),"",$C311/$M311-1)</f>
        <v>-0.0772067737486603</v>
      </c>
      <c r="P311" s="54"/>
      <c r="Q311" s="53" t="str">
        <f aca="false">IF(NOT(ISNUMBER($P311)),"",IFERROR(PERCENTRANK($P$5:$P$1204,$P311),""))</f>
        <v/>
      </c>
    </row>
    <row r="312" customFormat="false" ht="15" hidden="false" customHeight="false" outlineLevel="0" collapsed="false">
      <c r="A312" s="47" t="n">
        <v>45999</v>
      </c>
      <c r="B312" s="48" t="s">
        <v>460</v>
      </c>
      <c r="C312" s="49" t="n">
        <v>888234672</v>
      </c>
      <c r="D312" s="49" t="n">
        <v>888607334</v>
      </c>
      <c r="E312" s="49" t="n">
        <v>882040307</v>
      </c>
      <c r="F312" s="49" t="n">
        <v>0</v>
      </c>
      <c r="G312" s="50" t="n">
        <f aca="false">IF($A312="","",IF(ISNUMBER($G311),$G311+1,1))</f>
        <v>308</v>
      </c>
      <c r="H312" s="51" t="n">
        <f aca="false">IF(OR(NOT(ISNUMBER($G312)),$G312&lt;2,NOT(ISNUMBER($C311)),$C311=0),"",$C312/$C311-1)</f>
        <v>0.0090997121202705</v>
      </c>
      <c r="I312" s="52" t="n">
        <f aca="false">IF(AND(ISNUMBER($G312),$G312&gt;=MA_SHORT),AVERAGE(INDEX($C$5:$C312,309-MA_SHORT):$C312),"")</f>
        <v>904745218.5</v>
      </c>
      <c r="J312" s="52" t="n">
        <f aca="false">IF(AND(ISNUMBER($G312),$G312&gt;=MA_MED),AVERAGE(INDEX($C$5:$C312,309-MA_MED):$C312),"")</f>
        <v>903906883.74</v>
      </c>
      <c r="K312" s="52" t="n">
        <f aca="false">IF(AND(ISNUMBER($G312),$G312&gt;=MA_LONG2),AVERAGE(INDEX($C$5:$C312,309-MA_LONG2):$C312),"")</f>
        <v>858860192.69</v>
      </c>
      <c r="L312" s="53" t="n">
        <f aca="false">IF(AND(ISNUMBER($G312),$G312&gt;=21),STDEV(INDEX($H$252:$H312,62-20):$H312)*SQRT(245),"")</f>
        <v>0.210564971401205</v>
      </c>
      <c r="M312" s="52" t="n">
        <f aca="false">IF(AND(ISNUMBER($G312),$G312&gt;=60),MAX(INDEX($D$112:$D312,202-60):$D312),"")</f>
        <v>953870113</v>
      </c>
      <c r="N312" s="52" t="n">
        <f aca="false">IF(AND(ISNUMBER($G312),$G312&gt;=60),MIN(INDEX($E$112:$E312,202-60):$E312),"")</f>
        <v>862726691</v>
      </c>
      <c r="O312" s="53" t="n">
        <f aca="false">IF(OR(NOT(ISNUMBER($C312)),NOT(ISNUMBER($M312)),$M312=0),"",$C312/$M312-1)</f>
        <v>-0.0688096210432374</v>
      </c>
      <c r="P312" s="54"/>
      <c r="Q312" s="53" t="str">
        <f aca="false">IF(NOT(ISNUMBER($P312)),"",IFERROR(PERCENTRANK($P$5:$P$1204,$P312),""))</f>
        <v/>
      </c>
    </row>
    <row r="313" customFormat="false" ht="15" hidden="false" customHeight="false" outlineLevel="0" collapsed="false">
      <c r="A313" s="47" t="n">
        <v>46000</v>
      </c>
      <c r="B313" s="48" t="s">
        <v>461</v>
      </c>
      <c r="C313" s="49" t="n">
        <v>898324168</v>
      </c>
      <c r="D313" s="49" t="n">
        <v>901798763</v>
      </c>
      <c r="E313" s="49" t="n">
        <v>896147189</v>
      </c>
      <c r="F313" s="49" t="n">
        <v>0</v>
      </c>
      <c r="G313" s="50" t="n">
        <f aca="false">IF($A313="","",IF(ISNUMBER($G312),$G312+1,1))</f>
        <v>309</v>
      </c>
      <c r="H313" s="51" t="n">
        <f aca="false">IF(OR(NOT(ISNUMBER($G313)),$G313&lt;2,NOT(ISNUMBER($C312)),$C312=0),"",$C313/$C312-1)</f>
        <v>0.0113590431876318</v>
      </c>
      <c r="I313" s="52" t="n">
        <f aca="false">IF(AND(ISNUMBER($G313),$G313&gt;=MA_SHORT),AVERAGE(INDEX($C$5:$C313,310-MA_SHORT):$C313),"")</f>
        <v>902939052.15</v>
      </c>
      <c r="J313" s="52" t="n">
        <f aca="false">IF(AND(ISNUMBER($G313),$G313&gt;=MA_MED),AVERAGE(INDEX($C$5:$C313,310-MA_MED):$C313),"")</f>
        <v>904528216.78</v>
      </c>
      <c r="K313" s="52" t="n">
        <f aca="false">IF(AND(ISNUMBER($G313),$G313&gt;=MA_LONG2),AVERAGE(INDEX($C$5:$C313,310-MA_LONG2):$C313),"")</f>
        <v>859490552.625</v>
      </c>
      <c r="L313" s="53" t="n">
        <f aca="false">IF(AND(ISNUMBER($G313),$G313&gt;=21),STDEV(INDEX($H$253:$H313,62-20):$H313)*SQRT(245),"")</f>
        <v>0.216138736704738</v>
      </c>
      <c r="M313" s="52" t="n">
        <f aca="false">IF(AND(ISNUMBER($G313),$G313&gt;=60),MAX(INDEX($D$113:$D313,202-60):$D313),"")</f>
        <v>953870113</v>
      </c>
      <c r="N313" s="52" t="n">
        <f aca="false">IF(AND(ISNUMBER($G313),$G313&gt;=60),MIN(INDEX($E$113:$E313,202-60):$E313),"")</f>
        <v>862726691</v>
      </c>
      <c r="O313" s="53" t="n">
        <f aca="false">IF(OR(NOT(ISNUMBER($C313)),NOT(ISNUMBER($M313)),$M313=0),"",$C313/$M313-1)</f>
        <v>-0.0582321893127602</v>
      </c>
      <c r="P313" s="54"/>
      <c r="Q313" s="53" t="str">
        <f aca="false">IF(NOT(ISNUMBER($P313)),"",IFERROR(PERCENTRANK($P$5:$P$1204,$P313),""))</f>
        <v/>
      </c>
    </row>
    <row r="314" customFormat="false" ht="15" hidden="false" customHeight="false" outlineLevel="0" collapsed="false">
      <c r="A314" s="47" t="n">
        <v>46001</v>
      </c>
      <c r="B314" s="48" t="s">
        <v>462</v>
      </c>
      <c r="C314" s="49" t="n">
        <v>895791741</v>
      </c>
      <c r="D314" s="49" t="n">
        <v>898830420</v>
      </c>
      <c r="E314" s="49" t="n">
        <v>892606364</v>
      </c>
      <c r="F314" s="49" t="n">
        <v>0</v>
      </c>
      <c r="G314" s="50" t="n">
        <f aca="false">IF($A314="","",IF(ISNUMBER($G313),$G313+1,1))</f>
        <v>310</v>
      </c>
      <c r="H314" s="51" t="n">
        <f aca="false">IF(OR(NOT(ISNUMBER($G314)),$G314&lt;2,NOT(ISNUMBER($C313)),$C313=0),"",$C314/$C313-1)</f>
        <v>-0.0028190569620743</v>
      </c>
      <c r="I314" s="52" t="n">
        <f aca="false">IF(AND(ISNUMBER($G314),$G314&gt;=MA_SHORT),AVERAGE(INDEX($C$5:$C314,311-MA_SHORT):$C314),"")</f>
        <v>900364167.85</v>
      </c>
      <c r="J314" s="52" t="n">
        <f aca="false">IF(AND(ISNUMBER($G314),$G314&gt;=MA_MED),AVERAGE(INDEX($C$5:$C314,311-MA_MED):$C314),"")</f>
        <v>904748126.74</v>
      </c>
      <c r="K314" s="52" t="n">
        <f aca="false">IF(AND(ISNUMBER($G314),$G314&gt;=MA_LONG2),AVERAGE(INDEX($C$5:$C314,311-MA_LONG2):$C314),"")</f>
        <v>860058282.215</v>
      </c>
      <c r="L314" s="53" t="n">
        <f aca="false">IF(AND(ISNUMBER($G314),$G314&gt;=21),STDEV(INDEX($H$254:$H314,62-20):$H314)*SQRT(245),"")</f>
        <v>0.208335677755685</v>
      </c>
      <c r="M314" s="52" t="n">
        <f aca="false">IF(AND(ISNUMBER($G314),$G314&gt;=60),MAX(INDEX($D$114:$D314,202-60):$D314),"")</f>
        <v>953870113</v>
      </c>
      <c r="N314" s="52" t="n">
        <f aca="false">IF(AND(ISNUMBER($G314),$G314&gt;=60),MIN(INDEX($E$114:$E314,202-60):$E314),"")</f>
        <v>862726691</v>
      </c>
      <c r="O314" s="53" t="n">
        <f aca="false">IF(OR(NOT(ISNUMBER($C314)),NOT(ISNUMBER($M314)),$M314=0),"",$C314/$M314-1)</f>
        <v>-0.0608870864161356</v>
      </c>
      <c r="P314" s="54"/>
      <c r="Q314" s="53" t="str">
        <f aca="false">IF(NOT(ISNUMBER($P314)),"",IFERROR(PERCENTRANK($P$5:$P$1204,$P314),""))</f>
        <v/>
      </c>
    </row>
    <row r="315" customFormat="false" ht="15" hidden="false" customHeight="false" outlineLevel="0" collapsed="false">
      <c r="A315" s="47" t="n">
        <v>46004</v>
      </c>
      <c r="B315" s="48" t="s">
        <v>463</v>
      </c>
      <c r="C315" s="49" t="n">
        <v>910264598</v>
      </c>
      <c r="D315" s="49" t="n">
        <v>911182936</v>
      </c>
      <c r="E315" s="49" t="n">
        <v>902403149</v>
      </c>
      <c r="F315" s="49" t="n">
        <v>0</v>
      </c>
      <c r="G315" s="50" t="n">
        <f aca="false">IF($A315="","",IF(ISNUMBER($G314),$G314+1,1))</f>
        <v>311</v>
      </c>
      <c r="H315" s="51" t="n">
        <f aca="false">IF(OR(NOT(ISNUMBER($G315)),$G315&lt;2,NOT(ISNUMBER($C314)),$C314=0),"",$C315/$C314-1)</f>
        <v>0.0161564974732225</v>
      </c>
      <c r="I315" s="52" t="n">
        <f aca="false">IF(AND(ISNUMBER($G315),$G315&gt;=MA_SHORT),AVERAGE(INDEX($C$5:$C315,312-MA_SHORT):$C315),"")</f>
        <v>898725750.5</v>
      </c>
      <c r="J315" s="52" t="n">
        <f aca="false">IF(AND(ISNUMBER($G315),$G315&gt;=MA_MED),AVERAGE(INDEX($C$5:$C315,312-MA_MED):$C315),"")</f>
        <v>905156608.42</v>
      </c>
      <c r="K315" s="52" t="n">
        <f aca="false">IF(AND(ISNUMBER($G315),$G315&gt;=MA_LONG2),AVERAGE(INDEX($C$5:$C315,312-MA_LONG2):$C315),"")</f>
        <v>860679807.055</v>
      </c>
      <c r="L315" s="53" t="n">
        <f aca="false">IF(AND(ISNUMBER($G315),$G315&gt;=21),STDEV(INDEX($H$255:$H315,62-20):$H315)*SQRT(245),"")</f>
        <v>0.218348265328145</v>
      </c>
      <c r="M315" s="52" t="n">
        <f aca="false">IF(AND(ISNUMBER($G315),$G315&gt;=60),MAX(INDEX($D$115:$D315,202-60):$D315),"")</f>
        <v>953870113</v>
      </c>
      <c r="N315" s="52" t="n">
        <f aca="false">IF(AND(ISNUMBER($G315),$G315&gt;=60),MIN(INDEX($E$115:$E315,202-60):$E315),"")</f>
        <v>862726691</v>
      </c>
      <c r="O315" s="53" t="n">
        <f aca="false">IF(OR(NOT(ISNUMBER($C315)),NOT(ISNUMBER($M315)),$M315=0),"",$C315/$M315-1)</f>
        <v>-0.0457143110007473</v>
      </c>
      <c r="P315" s="54"/>
      <c r="Q315" s="53" t="str">
        <f aca="false">IF(NOT(ISNUMBER($P315)),"",IFERROR(PERCENTRANK($P$5:$P$1204,$P315),""))</f>
        <v/>
      </c>
    </row>
    <row r="316" customFormat="false" ht="15" hidden="false" customHeight="false" outlineLevel="0" collapsed="false">
      <c r="A316" s="47" t="n">
        <v>46005</v>
      </c>
      <c r="B316" s="48" t="s">
        <v>464</v>
      </c>
      <c r="C316" s="49" t="n">
        <v>912551209</v>
      </c>
      <c r="D316" s="49" t="n">
        <v>912581040</v>
      </c>
      <c r="E316" s="49" t="n">
        <v>910506890</v>
      </c>
      <c r="F316" s="49" t="n">
        <v>0</v>
      </c>
      <c r="G316" s="50" t="n">
        <f aca="false">IF($A316="","",IF(ISNUMBER($G315),$G315+1,1))</f>
        <v>312</v>
      </c>
      <c r="H316" s="51" t="n">
        <f aca="false">IF(OR(NOT(ISNUMBER($G316)),$G316&lt;2,NOT(ISNUMBER($C315)),$C315=0),"",$C316/$C315-1)</f>
        <v>0.00251202892546187</v>
      </c>
      <c r="I316" s="52" t="n">
        <f aca="false">IF(AND(ISNUMBER($G316),$G316&gt;=MA_SHORT),AVERAGE(INDEX($C$5:$C316,313-MA_SHORT):$C316),"")</f>
        <v>897774558.6</v>
      </c>
      <c r="J316" s="52" t="n">
        <f aca="false">IF(AND(ISNUMBER($G316),$G316&gt;=MA_MED),AVERAGE(INDEX($C$5:$C316,313-MA_MED):$C316),"")</f>
        <v>905773995.2</v>
      </c>
      <c r="K316" s="52" t="n">
        <f aca="false">IF(AND(ISNUMBER($G316),$G316&gt;=MA_LONG2),AVERAGE(INDEX($C$5:$C316,313-MA_LONG2):$C316),"")</f>
        <v>861284008.065</v>
      </c>
      <c r="L316" s="53" t="n">
        <f aca="false">IF(AND(ISNUMBER($G316),$G316&gt;=21),STDEV(INDEX($H$256:$H316,62-20):$H316)*SQRT(245),"")</f>
        <v>0.215286527340878</v>
      </c>
      <c r="M316" s="52" t="n">
        <f aca="false">IF(AND(ISNUMBER($G316),$G316&gt;=60),MAX(INDEX($D$116:$D316,202-60):$D316),"")</f>
        <v>953870113</v>
      </c>
      <c r="N316" s="52" t="n">
        <f aca="false">IF(AND(ISNUMBER($G316),$G316&gt;=60),MIN(INDEX($E$116:$E316,202-60):$E316),"")</f>
        <v>862726691</v>
      </c>
      <c r="O316" s="53" t="n">
        <f aca="false">IF(OR(NOT(ISNUMBER($C316)),NOT(ISNUMBER($M316)),$M316=0),"",$C316/$M316-1)</f>
        <v>-0.0433171177468268</v>
      </c>
      <c r="P316" s="54"/>
      <c r="Q316" s="53" t="str">
        <f aca="false">IF(NOT(ISNUMBER($P316)),"",IFERROR(PERCENTRANK($P$5:$P$1204,$P316),""))</f>
        <v/>
      </c>
    </row>
    <row r="317" customFormat="false" ht="15" hidden="false" customHeight="false" outlineLevel="0" collapsed="false">
      <c r="A317" s="47" t="n">
        <v>46006</v>
      </c>
      <c r="B317" s="48" t="s">
        <v>465</v>
      </c>
      <c r="C317" s="49" t="n">
        <v>917343292</v>
      </c>
      <c r="D317" s="49" t="n">
        <v>920837542</v>
      </c>
      <c r="E317" s="49" t="n">
        <v>908099518</v>
      </c>
      <c r="F317" s="49" t="n">
        <v>0</v>
      </c>
      <c r="G317" s="50" t="n">
        <f aca="false">IF($A317="","",IF(ISNUMBER($G316),$G316+1,1))</f>
        <v>313</v>
      </c>
      <c r="H317" s="51" t="n">
        <f aca="false">IF(OR(NOT(ISNUMBER($G317)),$G317&lt;2,NOT(ISNUMBER($C316)),$C316=0),"",$C317/$C316-1)</f>
        <v>0.00525130310796618</v>
      </c>
      <c r="I317" s="52" t="n">
        <f aca="false">IF(AND(ISNUMBER($G317),$G317&gt;=MA_SHORT),AVERAGE(INDEX($C$5:$C317,314-MA_SHORT):$C317),"")</f>
        <v>897475495.95</v>
      </c>
      <c r="J317" s="52" t="n">
        <f aca="false">IF(AND(ISNUMBER($G317),$G317&gt;=MA_MED),AVERAGE(INDEX($C$5:$C317,314-MA_MED):$C317),"")</f>
        <v>906640461.16</v>
      </c>
      <c r="K317" s="52" t="n">
        <f aca="false">IF(AND(ISNUMBER($G317),$G317&gt;=MA_LONG2),AVERAGE(INDEX($C$5:$C317,314-MA_LONG2):$C317),"")</f>
        <v>861910835.655</v>
      </c>
      <c r="L317" s="53" t="n">
        <f aca="false">IF(AND(ISNUMBER($G317),$G317&gt;=21),STDEV(INDEX($H$257:$H317,62-20):$H317)*SQRT(245),"")</f>
        <v>0.214258222067992</v>
      </c>
      <c r="M317" s="52" t="n">
        <f aca="false">IF(AND(ISNUMBER($G317),$G317&gt;=60),MAX(INDEX($D$117:$D317,202-60):$D317),"")</f>
        <v>953870113</v>
      </c>
      <c r="N317" s="52" t="n">
        <f aca="false">IF(AND(ISNUMBER($G317),$G317&gt;=60),MIN(INDEX($E$117:$E317,202-60):$E317),"")</f>
        <v>862726691</v>
      </c>
      <c r="O317" s="53" t="n">
        <f aca="false">IF(OR(NOT(ISNUMBER($C317)),NOT(ISNUMBER($M317)),$M317=0),"",$C317/$M317-1)</f>
        <v>-0.0382932859539127</v>
      </c>
      <c r="P317" s="54"/>
      <c r="Q317" s="53" t="str">
        <f aca="false">IF(NOT(ISNUMBER($P317)),"",IFERROR(PERCENTRANK($P$5:$P$1204,$P317),""))</f>
        <v/>
      </c>
    </row>
    <row r="318" customFormat="false" ht="15" hidden="false" customHeight="false" outlineLevel="0" collapsed="false">
      <c r="A318" s="47" t="n">
        <v>46007</v>
      </c>
      <c r="B318" s="48" t="s">
        <v>466</v>
      </c>
      <c r="C318" s="49" t="n">
        <v>912188865</v>
      </c>
      <c r="D318" s="49" t="n">
        <v>915970271</v>
      </c>
      <c r="E318" s="49" t="n">
        <v>912027655</v>
      </c>
      <c r="F318" s="49" t="n">
        <v>0</v>
      </c>
      <c r="G318" s="50" t="n">
        <f aca="false">IF($A318="","",IF(ISNUMBER($G317),$G317+1,1))</f>
        <v>314</v>
      </c>
      <c r="H318" s="51" t="n">
        <f aca="false">IF(OR(NOT(ISNUMBER($G318)),$G318&lt;2,NOT(ISNUMBER($C317)),$C317=0),"",$C318/$C317-1)</f>
        <v>-0.00561886378300347</v>
      </c>
      <c r="I318" s="52" t="n">
        <f aca="false">IF(AND(ISNUMBER($G318),$G318&gt;=MA_SHORT),AVERAGE(INDEX($C$5:$C318,315-MA_SHORT):$C318),"")</f>
        <v>896327745.65</v>
      </c>
      <c r="J318" s="52" t="n">
        <f aca="false">IF(AND(ISNUMBER($G318),$G318&gt;=MA_MED),AVERAGE(INDEX($C$5:$C318,315-MA_MED):$C318),"")</f>
        <v>906933365.5</v>
      </c>
      <c r="K318" s="52" t="n">
        <f aca="false">IF(AND(ISNUMBER($G318),$G318&gt;=MA_LONG2),AVERAGE(INDEX($C$5:$C318,315-MA_LONG2):$C318),"")</f>
        <v>862494408.075</v>
      </c>
      <c r="L318" s="53" t="n">
        <f aca="false">IF(AND(ISNUMBER($G318),$G318&gt;=21),STDEV(INDEX($H$258:$H318,62-20):$H318)*SQRT(245),"")</f>
        <v>0.209451528979829</v>
      </c>
      <c r="M318" s="52" t="n">
        <f aca="false">IF(AND(ISNUMBER($G318),$G318&gt;=60),MAX(INDEX($D$118:$D318,202-60):$D318),"")</f>
        <v>953870113</v>
      </c>
      <c r="N318" s="52" t="n">
        <f aca="false">IF(AND(ISNUMBER($G318),$G318&gt;=60),MIN(INDEX($E$118:$E318,202-60):$E318),"")</f>
        <v>862726691</v>
      </c>
      <c r="O318" s="53" t="n">
        <f aca="false">IF(OR(NOT(ISNUMBER($C318)),NOT(ISNUMBER($M318)),$M318=0),"",$C318/$M318-1)</f>
        <v>-0.0436969849793375</v>
      </c>
      <c r="P318" s="54"/>
      <c r="Q318" s="53" t="str">
        <f aca="false">IF(NOT(ISNUMBER($P318)),"",IFERROR(PERCENTRANK($P$5:$P$1204,$P318),""))</f>
        <v/>
      </c>
    </row>
    <row r="319" customFormat="false" ht="15" hidden="false" customHeight="false" outlineLevel="0" collapsed="false">
      <c r="A319" s="47" t="n">
        <v>46008</v>
      </c>
      <c r="B319" s="48" t="s">
        <v>467</v>
      </c>
      <c r="C319" s="49" t="n">
        <v>914383009</v>
      </c>
      <c r="D319" s="49" t="n">
        <v>917293438</v>
      </c>
      <c r="E319" s="49" t="n">
        <v>913778567</v>
      </c>
      <c r="F319" s="49" t="n">
        <v>0</v>
      </c>
      <c r="G319" s="50" t="n">
        <f aca="false">IF($A319="","",IF(ISNUMBER($G318),$G318+1,1))</f>
        <v>315</v>
      </c>
      <c r="H319" s="51" t="n">
        <f aca="false">IF(OR(NOT(ISNUMBER($G319)),$G319&lt;2,NOT(ISNUMBER($C318)),$C318=0),"",$C319/$C318-1)</f>
        <v>0.00240536152565296</v>
      </c>
      <c r="I319" s="52" t="n">
        <f aca="false">IF(AND(ISNUMBER($G319),$G319&gt;=MA_SHORT),AVERAGE(INDEX($C$5:$C319,316-MA_SHORT):$C319),"")</f>
        <v>895960963.25</v>
      </c>
      <c r="J319" s="52" t="n">
        <f aca="false">IF(AND(ISNUMBER($G319),$G319&gt;=MA_MED),AVERAGE(INDEX($C$5:$C319,316-MA_MED):$C319),"")</f>
        <v>907108794.38</v>
      </c>
      <c r="K319" s="52" t="n">
        <f aca="false">IF(AND(ISNUMBER($G319),$G319&gt;=MA_LONG2),AVERAGE(INDEX($C$5:$C319,316-MA_LONG2):$C319),"")</f>
        <v>863072148.03</v>
      </c>
      <c r="L319" s="53" t="n">
        <f aca="false">IF(AND(ISNUMBER($G319),$G319&gt;=21),STDEV(INDEX($H$259:$H319,62-20):$H319)*SQRT(245),"")</f>
        <v>0.203975095600657</v>
      </c>
      <c r="M319" s="52" t="n">
        <f aca="false">IF(AND(ISNUMBER($G319),$G319&gt;=60),MAX(INDEX($D$119:$D319,202-60):$D319),"")</f>
        <v>953870113</v>
      </c>
      <c r="N319" s="52" t="n">
        <f aca="false">IF(AND(ISNUMBER($G319),$G319&gt;=60),MIN(INDEX($E$119:$E319,202-60):$E319),"")</f>
        <v>862726691</v>
      </c>
      <c r="O319" s="53" t="n">
        <f aca="false">IF(OR(NOT(ISNUMBER($C319)),NOT(ISNUMBER($M319)),$M319=0),"",$C319/$M319-1)</f>
        <v>-0.0413967305001409</v>
      </c>
      <c r="P319" s="54"/>
      <c r="Q319" s="53" t="str">
        <f aca="false">IF(NOT(ISNUMBER($P319)),"",IFERROR(PERCENTRANK($P$5:$P$1204,$P319),""))</f>
        <v/>
      </c>
    </row>
    <row r="320" customFormat="false" ht="15" hidden="false" customHeight="false" outlineLevel="0" collapsed="false">
      <c r="A320" s="47" t="n">
        <v>46011</v>
      </c>
      <c r="B320" s="48" t="s">
        <v>468</v>
      </c>
      <c r="C320" s="49" t="n">
        <v>922147269</v>
      </c>
      <c r="D320" s="49" t="n">
        <v>922296057</v>
      </c>
      <c r="E320" s="49" t="n">
        <v>920958858</v>
      </c>
      <c r="F320" s="49" t="n">
        <v>0</v>
      </c>
      <c r="G320" s="50" t="n">
        <f aca="false">IF($A320="","",IF(ISNUMBER($G319),$G319+1,1))</f>
        <v>316</v>
      </c>
      <c r="H320" s="51" t="n">
        <f aca="false">IF(OR(NOT(ISNUMBER($G320)),$G320&lt;2,NOT(ISNUMBER($C319)),$C319=0),"",$C320/$C319-1)</f>
        <v>0.00849125576873</v>
      </c>
      <c r="I320" s="52" t="n">
        <f aca="false">IF(AND(ISNUMBER($G320),$G320&gt;=MA_SHORT),AVERAGE(INDEX($C$5:$C320,317-MA_SHORT):$C320),"")</f>
        <v>896869498</v>
      </c>
      <c r="J320" s="52" t="n">
        <f aca="false">IF(AND(ISNUMBER($G320),$G320&gt;=MA_MED),AVERAGE(INDEX($C$5:$C320,317-MA_MED):$C320),"")</f>
        <v>907454791.04</v>
      </c>
      <c r="K320" s="52" t="n">
        <f aca="false">IF(AND(ISNUMBER($G320),$G320&gt;=MA_LONG2),AVERAGE(INDEX($C$5:$C320,317-MA_LONG2):$C320),"")</f>
        <v>863712292.66</v>
      </c>
      <c r="L320" s="53" t="n">
        <f aca="false">IF(AND(ISNUMBER($G320),$G320&gt;=21),STDEV(INDEX($H$260:$H320,62-20):$H320)*SQRT(245),"")</f>
        <v>0.193622632094928</v>
      </c>
      <c r="M320" s="52" t="n">
        <f aca="false">IF(AND(ISNUMBER($G320),$G320&gt;=60),MAX(INDEX($D$120:$D320,202-60):$D320),"")</f>
        <v>953870113</v>
      </c>
      <c r="N320" s="52" t="n">
        <f aca="false">IF(AND(ISNUMBER($G320),$G320&gt;=60),MIN(INDEX($E$120:$E320,202-60):$E320),"")</f>
        <v>862726691</v>
      </c>
      <c r="O320" s="53" t="n">
        <f aca="false">IF(OR(NOT(ISNUMBER($C320)),NOT(ISNUMBER($M320)),$M320=0),"",$C320/$M320-1)</f>
        <v>-0.0332569849580768</v>
      </c>
      <c r="P320" s="54"/>
      <c r="Q320" s="53" t="str">
        <f aca="false">IF(NOT(ISNUMBER($P320)),"",IFERROR(PERCENTRANK($P$5:$P$1204,$P320),""))</f>
        <v/>
      </c>
    </row>
    <row r="321" customFormat="false" ht="15" hidden="false" customHeight="false" outlineLevel="0" collapsed="false">
      <c r="A321" s="47" t="n">
        <v>46012</v>
      </c>
      <c r="B321" s="48" t="s">
        <v>469</v>
      </c>
      <c r="C321" s="49" t="n">
        <v>909813776</v>
      </c>
      <c r="D321" s="49" t="n">
        <v>912670316</v>
      </c>
      <c r="E321" s="49" t="n">
        <v>909387327</v>
      </c>
      <c r="F321" s="49" t="n">
        <v>0</v>
      </c>
      <c r="G321" s="50" t="n">
        <f aca="false">IF($A321="","",IF(ISNUMBER($G320),$G320+1,1))</f>
        <v>317</v>
      </c>
      <c r="H321" s="51" t="n">
        <f aca="false">IF(OR(NOT(ISNUMBER($G321)),$G321&lt;2,NOT(ISNUMBER($C320)),$C320=0),"",$C321/$C320-1)</f>
        <v>-0.0133747541359361</v>
      </c>
      <c r="I321" s="52" t="n">
        <f aca="false">IF(AND(ISNUMBER($G321),$G321&gt;=MA_SHORT),AVERAGE(INDEX($C$5:$C321,318-MA_SHORT):$C321),"")</f>
        <v>897837972.1</v>
      </c>
      <c r="J321" s="52" t="n">
        <f aca="false">IF(AND(ISNUMBER($G321),$G321&gt;=MA_MED),AVERAGE(INDEX($C$5:$C321,318-MA_MED):$C321),"")</f>
        <v>907836251.5</v>
      </c>
      <c r="K321" s="52" t="n">
        <f aca="false">IF(AND(ISNUMBER($G321),$G321&gt;=MA_LONG2),AVERAGE(INDEX($C$5:$C321,318-MA_LONG2):$C321),"")</f>
        <v>864295942.01</v>
      </c>
      <c r="L321" s="53" t="n">
        <f aca="false">IF(AND(ISNUMBER($G321),$G321&gt;=21),STDEV(INDEX($H$261:$H321,62-20):$H321)*SQRT(245),"")</f>
        <v>0.19199268403574</v>
      </c>
      <c r="M321" s="52" t="n">
        <f aca="false">IF(AND(ISNUMBER($G321),$G321&gt;=60),MAX(INDEX($D$121:$D321,202-60):$D321),"")</f>
        <v>953870113</v>
      </c>
      <c r="N321" s="52" t="n">
        <f aca="false">IF(AND(ISNUMBER($G321),$G321&gt;=60),MIN(INDEX($E$121:$E321,202-60):$E321),"")</f>
        <v>862726691</v>
      </c>
      <c r="O321" s="53" t="n">
        <f aca="false">IF(OR(NOT(ISNUMBER($C321)),NOT(ISNUMBER($M321)),$M321=0),"",$C321/$M321-1)</f>
        <v>-0.0461869350968962</v>
      </c>
      <c r="P321" s="54"/>
      <c r="Q321" s="53" t="str">
        <f aca="false">IF(NOT(ISNUMBER($P321)),"",IFERROR(PERCENTRANK($P$5:$P$1204,$P321),""))</f>
        <v/>
      </c>
    </row>
    <row r="322" customFormat="false" ht="15" hidden="false" customHeight="false" outlineLevel="0" collapsed="false">
      <c r="A322" s="47" t="n">
        <v>46013</v>
      </c>
      <c r="B322" s="48" t="s">
        <v>470</v>
      </c>
      <c r="C322" s="49" t="n">
        <v>895383364</v>
      </c>
      <c r="D322" s="49" t="n">
        <v>897995520</v>
      </c>
      <c r="E322" s="49" t="n">
        <v>894099175</v>
      </c>
      <c r="F322" s="49" t="n">
        <v>0</v>
      </c>
      <c r="G322" s="50" t="n">
        <f aca="false">IF($A322="","",IF(ISNUMBER($G321),$G321+1,1))</f>
        <v>318</v>
      </c>
      <c r="H322" s="51" t="n">
        <f aca="false">IF(OR(NOT(ISNUMBER($G322)),$G322&lt;2,NOT(ISNUMBER($C321)),$C321=0),"",$C322/$C321-1)</f>
        <v>-0.0158608413948659</v>
      </c>
      <c r="I322" s="52" t="n">
        <f aca="false">IF(AND(ISNUMBER($G322),$G322&gt;=MA_SHORT),AVERAGE(INDEX($C$5:$C322,319-MA_SHORT):$C322),"")</f>
        <v>897701609.25</v>
      </c>
      <c r="J322" s="52" t="n">
        <f aca="false">IF(AND(ISNUMBER($G322),$G322&gt;=MA_MED),AVERAGE(INDEX($C$5:$C322,319-MA_MED):$C322),"")</f>
        <v>907988308.4</v>
      </c>
      <c r="K322" s="52" t="n">
        <f aca="false">IF(AND(ISNUMBER($G322),$G322&gt;=MA_LONG2),AVERAGE(INDEX($C$5:$C322,319-MA_LONG2):$C322),"")</f>
        <v>864758229.465</v>
      </c>
      <c r="L322" s="53" t="n">
        <f aca="false">IF(AND(ISNUMBER($G322),$G322&gt;=21),STDEV(INDEX($H$262:$H322,62-20):$H322)*SQRT(245),"")</f>
        <v>0.198715000260406</v>
      </c>
      <c r="M322" s="52" t="n">
        <f aca="false">IF(AND(ISNUMBER($G322),$G322&gt;=60),MAX(INDEX($D$122:$D322,202-60):$D322),"")</f>
        <v>953870113</v>
      </c>
      <c r="N322" s="52" t="n">
        <f aca="false">IF(AND(ISNUMBER($G322),$G322&gt;=60),MIN(INDEX($E$122:$E322,202-60):$E322),"")</f>
        <v>862726691</v>
      </c>
      <c r="O322" s="53" t="n">
        <f aca="false">IF(OR(NOT(ISNUMBER($C322)),NOT(ISNUMBER($M322)),$M322=0),"",$C322/$M322-1)</f>
        <v>-0.0613152128396751</v>
      </c>
      <c r="P322" s="54"/>
      <c r="Q322" s="53" t="str">
        <f aca="false">IF(NOT(ISNUMBER($P322)),"",IFERROR(PERCENTRANK($P$5:$P$1204,$P322),""))</f>
        <v/>
      </c>
    </row>
    <row r="323" customFormat="false" ht="15" hidden="false" customHeight="false" outlineLevel="0" collapsed="false">
      <c r="A323" s="47" t="n">
        <v>46014</v>
      </c>
      <c r="B323" s="48" t="s">
        <v>471</v>
      </c>
      <c r="C323" s="49" t="n">
        <v>909016180</v>
      </c>
      <c r="D323" s="49" t="n">
        <v>911670306</v>
      </c>
      <c r="E323" s="49" t="n">
        <v>907704212</v>
      </c>
      <c r="F323" s="49" t="n">
        <v>0</v>
      </c>
      <c r="G323" s="50" t="n">
        <f aca="false">IF($A323="","",IF(ISNUMBER($G322),$G322+1,1))</f>
        <v>319</v>
      </c>
      <c r="H323" s="51" t="n">
        <f aca="false">IF(OR(NOT(ISNUMBER($G323)),$G323&lt;2,NOT(ISNUMBER($C322)),$C322=0),"",$C323/$C322-1)</f>
        <v>0.015225674887567</v>
      </c>
      <c r="I323" s="52" t="n">
        <f aca="false">IF(AND(ISNUMBER($G323),$G323&gt;=MA_SHORT),AVERAGE(INDEX($C$5:$C323,320-MA_SHORT):$C323),"")</f>
        <v>898664330.9</v>
      </c>
      <c r="J323" s="52" t="n">
        <f aca="false">IF(AND(ISNUMBER($G323),$G323&gt;=MA_MED),AVERAGE(INDEX($C$5:$C323,320-MA_MED):$C323),"")</f>
        <v>908703644.22</v>
      </c>
      <c r="K323" s="52" t="n">
        <f aca="false">IF(AND(ISNUMBER($G323),$G323&gt;=MA_LONG2),AVERAGE(INDEX($C$5:$C323,320-MA_LONG2):$C323),"")</f>
        <v>865323639.805</v>
      </c>
      <c r="L323" s="53" t="n">
        <f aca="false">IF(AND(ISNUMBER($G323),$G323&gt;=21),STDEV(INDEX($H$263:$H323,62-20):$H323)*SQRT(245),"")</f>
        <v>0.202540594631858</v>
      </c>
      <c r="M323" s="52" t="n">
        <f aca="false">IF(AND(ISNUMBER($G323),$G323&gt;=60),MAX(INDEX($D$123:$D323,202-60):$D323),"")</f>
        <v>953870113</v>
      </c>
      <c r="N323" s="52" t="n">
        <f aca="false">IF(AND(ISNUMBER($G323),$G323&gt;=60),MIN(INDEX($E$123:$E323,202-60):$E323),"")</f>
        <v>862726691</v>
      </c>
      <c r="O323" s="53" t="n">
        <f aca="false">IF(OR(NOT(ISNUMBER($C323)),NOT(ISNUMBER($M323)),$M323=0),"",$C323/$M323-1)</f>
        <v>-0.0470231034484671</v>
      </c>
      <c r="P323" s="54"/>
      <c r="Q323" s="53" t="str">
        <f aca="false">IF(NOT(ISNUMBER($P323)),"",IFERROR(PERCENTRANK($P$5:$P$1204,$P323),""))</f>
        <v/>
      </c>
    </row>
    <row r="324" customFormat="false" ht="15" hidden="false" customHeight="false" outlineLevel="0" collapsed="false">
      <c r="A324" s="47" t="n">
        <v>46015</v>
      </c>
      <c r="B324" s="48" t="s">
        <v>472</v>
      </c>
      <c r="C324" s="49" t="n">
        <v>944760470</v>
      </c>
      <c r="D324" s="49" t="n">
        <v>949842998</v>
      </c>
      <c r="E324" s="49" t="n">
        <v>942040521</v>
      </c>
      <c r="F324" s="49" t="n">
        <v>0</v>
      </c>
      <c r="G324" s="50" t="n">
        <f aca="false">IF($A324="","",IF(ISNUMBER($G323),$G323+1,1))</f>
        <v>320</v>
      </c>
      <c r="H324" s="51" t="n">
        <f aca="false">IF(OR(NOT(ISNUMBER($G324)),$G324&lt;2,NOT(ISNUMBER($C323)),$C323=0),"",$C324/$C323-1)</f>
        <v>0.0393219513430443</v>
      </c>
      <c r="I324" s="52" t="n">
        <f aca="false">IF(AND(ISNUMBER($G324),$G324&gt;=MA_SHORT),AVERAGE(INDEX($C$5:$C324,321-MA_SHORT):$C324),"")</f>
        <v>901959939.45</v>
      </c>
      <c r="J324" s="52" t="n">
        <f aca="false">IF(AND(ISNUMBER($G324),$G324&gt;=MA_MED),AVERAGE(INDEX($C$5:$C324,321-MA_MED):$C324),"")</f>
        <v>910275472.42</v>
      </c>
      <c r="K324" s="52" t="n">
        <f aca="false">IF(AND(ISNUMBER($G324),$G324&gt;=MA_LONG2),AVERAGE(INDEX($C$5:$C324,321-MA_LONG2):$C324),"")</f>
        <v>866087270.535</v>
      </c>
      <c r="L324" s="53" t="n">
        <f aca="false">IF(AND(ISNUMBER($G324),$G324&gt;=21),STDEV(INDEX($H$264:$H324,62-20):$H324)*SQRT(245),"")</f>
        <v>0.236165782049049</v>
      </c>
      <c r="M324" s="52" t="n">
        <f aca="false">IF(AND(ISNUMBER($G324),$G324&gt;=60),MAX(INDEX($D$124:$D324,202-60):$D324),"")</f>
        <v>953870113</v>
      </c>
      <c r="N324" s="52" t="n">
        <f aca="false">IF(AND(ISNUMBER($G324),$G324&gt;=60),MIN(INDEX($E$124:$E324,202-60):$E324),"")</f>
        <v>862726691</v>
      </c>
      <c r="O324" s="53" t="n">
        <f aca="false">IF(OR(NOT(ISNUMBER($C324)),NOT(ISNUMBER($M324)),$M324=0),"",$C324/$M324-1)</f>
        <v>-0.00955019229122234</v>
      </c>
      <c r="P324" s="54"/>
      <c r="Q324" s="53" t="str">
        <f aca="false">IF(NOT(ISNUMBER($P324)),"",IFERROR(PERCENTRANK($P$5:$P$1204,$P324),""))</f>
        <v/>
      </c>
    </row>
    <row r="325" customFormat="false" ht="15" hidden="false" customHeight="false" outlineLevel="0" collapsed="false">
      <c r="A325" s="47" t="n">
        <v>46018</v>
      </c>
      <c r="B325" s="48" t="s">
        <v>473</v>
      </c>
      <c r="C325" s="49" t="n">
        <v>950224238</v>
      </c>
      <c r="D325" s="49" t="n">
        <v>952685755</v>
      </c>
      <c r="E325" s="49" t="n">
        <v>946506633</v>
      </c>
      <c r="F325" s="49" t="n">
        <v>0</v>
      </c>
      <c r="G325" s="50" t="n">
        <f aca="false">IF($A325="","",IF(ISNUMBER($G324),$G324+1,1))</f>
        <v>321</v>
      </c>
      <c r="H325" s="51" t="n">
        <f aca="false">IF(OR(NOT(ISNUMBER($G325)),$G325&lt;2,NOT(ISNUMBER($C324)),$C324=0),"",$C325/$C324-1)</f>
        <v>0.00578323096011846</v>
      </c>
      <c r="I325" s="52" t="n">
        <f aca="false">IF(AND(ISNUMBER($G325),$G325&gt;=MA_SHORT),AVERAGE(INDEX($C$5:$C325,322-MA_SHORT):$C325),"")</f>
        <v>905392599.05</v>
      </c>
      <c r="J325" s="52" t="n">
        <f aca="false">IF(AND(ISNUMBER($G325),$G325&gt;=MA_MED),AVERAGE(INDEX($C$5:$C325,322-MA_MED):$C325),"")</f>
        <v>911754749.76</v>
      </c>
      <c r="K325" s="52" t="n">
        <f aca="false">IF(AND(ISNUMBER($G325),$G325&gt;=MA_LONG2),AVERAGE(INDEX($C$5:$C325,322-MA_LONG2):$C325),"")</f>
        <v>866821907.77</v>
      </c>
      <c r="L325" s="53" t="n">
        <f aca="false">IF(AND(ISNUMBER($G325),$G325&gt;=21),STDEV(INDEX($H$265:$H325,62-20):$H325)*SQRT(245),"")</f>
        <v>0.236260123001125</v>
      </c>
      <c r="M325" s="52" t="n">
        <f aca="false">IF(AND(ISNUMBER($G325),$G325&gt;=60),MAX(INDEX($D$125:$D325,202-60):$D325),"")</f>
        <v>953870113</v>
      </c>
      <c r="N325" s="52" t="n">
        <f aca="false">IF(AND(ISNUMBER($G325),$G325&gt;=60),MIN(INDEX($E$125:$E325,202-60):$E325),"")</f>
        <v>862726691</v>
      </c>
      <c r="O325" s="53" t="n">
        <f aca="false">IF(OR(NOT(ISNUMBER($C325)),NOT(ISNUMBER($M325)),$M325=0),"",$C325/$M325-1)</f>
        <v>-0.00382219229883762</v>
      </c>
      <c r="P325" s="54"/>
      <c r="Q325" s="53" t="str">
        <f aca="false">IF(NOT(ISNUMBER($P325)),"",IFERROR(PERCENTRANK($P$5:$P$1204,$P325),""))</f>
        <v/>
      </c>
    </row>
    <row r="326" customFormat="false" ht="15" hidden="false" customHeight="false" outlineLevel="0" collapsed="false">
      <c r="A326" s="47" t="n">
        <v>46019</v>
      </c>
      <c r="B326" s="48" t="s">
        <v>474</v>
      </c>
      <c r="C326" s="49" t="n">
        <v>952223668</v>
      </c>
      <c r="D326" s="49" t="n">
        <v>954298631</v>
      </c>
      <c r="E326" s="49" t="n">
        <v>949177823</v>
      </c>
      <c r="F326" s="49" t="n">
        <v>0</v>
      </c>
      <c r="G326" s="50" t="n">
        <f aca="false">IF($A326="","",IF(ISNUMBER($G325),$G325+1,1))</f>
        <v>322</v>
      </c>
      <c r="H326" s="51" t="n">
        <f aca="false">IF(OR(NOT(ISNUMBER($G326)),$G326&lt;2,NOT(ISNUMBER($C325)),$C325=0),"",$C326/$C325-1)</f>
        <v>0.00210416649043643</v>
      </c>
      <c r="I326" s="52" t="n">
        <f aca="false">IF(AND(ISNUMBER($G326),$G326&gt;=MA_SHORT),AVERAGE(INDEX($C$5:$C326,323-MA_SHORT):$C326),"")</f>
        <v>907728754.15</v>
      </c>
      <c r="J326" s="52" t="n">
        <f aca="false">IF(AND(ISNUMBER($G326),$G326&gt;=MA_MED),AVERAGE(INDEX($C$5:$C326,323-MA_MED):$C326),"")</f>
        <v>913152814.18</v>
      </c>
      <c r="K326" s="52" t="n">
        <f aca="false">IF(AND(ISNUMBER($G326),$G326&gt;=MA_LONG2),AVERAGE(INDEX($C$5:$C326,323-MA_LONG2):$C326),"")</f>
        <v>867669421.61</v>
      </c>
      <c r="L326" s="53" t="n">
        <f aca="false">IF(AND(ISNUMBER($G326),$G326&gt;=21),STDEV(INDEX($H$266:$H326,62-20):$H326)*SQRT(245),"")</f>
        <v>0.220150235125171</v>
      </c>
      <c r="M326" s="52" t="n">
        <f aca="false">IF(AND(ISNUMBER($G326),$G326&gt;=60),MAX(INDEX($D$126:$D326,202-60):$D326),"")</f>
        <v>954298631</v>
      </c>
      <c r="N326" s="52" t="n">
        <f aca="false">IF(AND(ISNUMBER($G326),$G326&gt;=60),MIN(INDEX($E$126:$E326,202-60):$E326),"")</f>
        <v>862726691</v>
      </c>
      <c r="O326" s="53" t="n">
        <f aca="false">IF(OR(NOT(ISNUMBER($C326)),NOT(ISNUMBER($M326)),$M326=0),"",$C326/$M326-1)</f>
        <v>-0.00217433299451097</v>
      </c>
      <c r="P326" s="54"/>
      <c r="Q326" s="53" t="str">
        <f aca="false">IF(NOT(ISNUMBER($P326)),"",IFERROR(PERCENTRANK($P$5:$P$1204,$P326),""))</f>
        <v/>
      </c>
    </row>
    <row r="327" customFormat="false" ht="15" hidden="false" customHeight="false" outlineLevel="0" collapsed="false">
      <c r="A327" s="47" t="n">
        <v>46020</v>
      </c>
      <c r="B327" s="48" t="s">
        <v>475</v>
      </c>
      <c r="C327" s="49" t="n">
        <v>935221748</v>
      </c>
      <c r="D327" s="49" t="n">
        <v>935981268</v>
      </c>
      <c r="E327" s="49" t="n">
        <v>930622411</v>
      </c>
      <c r="F327" s="49" t="n">
        <v>0</v>
      </c>
      <c r="G327" s="50" t="n">
        <f aca="false">IF($A327="","",IF(ISNUMBER($G326),$G326+1,1))</f>
        <v>323</v>
      </c>
      <c r="H327" s="51" t="n">
        <f aca="false">IF(OR(NOT(ISNUMBER($G327)),$G327&lt;2,NOT(ISNUMBER($C326)),$C326=0),"",$C327/$C326-1)</f>
        <v>-0.017854964722427</v>
      </c>
      <c r="I327" s="52" t="n">
        <f aca="false">IF(AND(ISNUMBER($G327),$G327&gt;=MA_SHORT),AVERAGE(INDEX($C$5:$C327,324-MA_SHORT):$C327),"")</f>
        <v>909846115.85</v>
      </c>
      <c r="J327" s="52" t="n">
        <f aca="false">IF(AND(ISNUMBER($G327),$G327&gt;=MA_MED),AVERAGE(INDEX($C$5:$C327,324-MA_MED):$C327),"")</f>
        <v>913901101</v>
      </c>
      <c r="K327" s="52" t="n">
        <f aca="false">IF(AND(ISNUMBER($G327),$G327&gt;=MA_LONG2),AVERAGE(INDEX($C$5:$C327,324-MA_LONG2):$C327),"")</f>
        <v>868409398</v>
      </c>
      <c r="L327" s="53" t="n">
        <f aca="false">IF(AND(ISNUMBER($G327),$G327&gt;=21),STDEV(INDEX($H$267:$H327,62-20):$H327)*SQRT(245),"")</f>
        <v>0.224328993901374</v>
      </c>
      <c r="M327" s="52" t="n">
        <f aca="false">IF(AND(ISNUMBER($G327),$G327&gt;=60),MAX(INDEX($D$127:$D327,202-60):$D327),"")</f>
        <v>954298631</v>
      </c>
      <c r="N327" s="52" t="n">
        <f aca="false">IF(AND(ISNUMBER($G327),$G327&gt;=60),MIN(INDEX($E$127:$E327,202-60):$E327),"")</f>
        <v>862726691</v>
      </c>
      <c r="O327" s="53" t="n">
        <f aca="false">IF(OR(NOT(ISNUMBER($C327)),NOT(ISNUMBER($M327)),$M327=0),"",$C327/$M327-1)</f>
        <v>-0.0199904750780262</v>
      </c>
      <c r="P327" s="54"/>
      <c r="Q327" s="53" t="str">
        <f aca="false">IF(NOT(ISNUMBER($P327)),"",IFERROR(PERCENTRANK($P$5:$P$1204,$P327),""))</f>
        <v/>
      </c>
    </row>
    <row r="328" customFormat="false" ht="15" hidden="false" customHeight="false" outlineLevel="0" collapsed="false">
      <c r="A328" s="47" t="n">
        <v>46021</v>
      </c>
      <c r="B328" s="48" t="s">
        <v>476</v>
      </c>
      <c r="C328" s="49" t="n">
        <v>938448199</v>
      </c>
      <c r="D328" s="49" t="n">
        <v>945306688</v>
      </c>
      <c r="E328" s="49" t="n">
        <v>931334072</v>
      </c>
      <c r="F328" s="49" t="n">
        <v>0</v>
      </c>
      <c r="G328" s="50" t="n">
        <f aca="false">IF($A328="","",IF(ISNUMBER($G327),$G327+1,1))</f>
        <v>324</v>
      </c>
      <c r="H328" s="51" t="n">
        <f aca="false">IF(OR(NOT(ISNUMBER($G328)),$G328&lt;2,NOT(ISNUMBER($C327)),$C327=0),"",$C328/$C327-1)</f>
        <v>0.00344993153431239</v>
      </c>
      <c r="I328" s="52" t="n">
        <f aca="false">IF(AND(ISNUMBER($G328),$G328&gt;=MA_SHORT),AVERAGE(INDEX($C$5:$C328,325-MA_SHORT):$C328),"")</f>
        <v>912557768.3</v>
      </c>
      <c r="J328" s="52" t="n">
        <f aca="false">IF(AND(ISNUMBER($G328),$G328&gt;=MA_MED),AVERAGE(INDEX($C$5:$C328,325-MA_MED):$C328),"")</f>
        <v>914909970.52</v>
      </c>
      <c r="K328" s="52" t="n">
        <f aca="false">IF(AND(ISNUMBER($G328),$G328&gt;=MA_LONG2),AVERAGE(INDEX($C$5:$C328,325-MA_LONG2):$C328),"")</f>
        <v>869185175.495</v>
      </c>
      <c r="L328" s="53" t="n">
        <f aca="false">IF(AND(ISNUMBER($G328),$G328&gt;=21),STDEV(INDEX($H$268:$H328,62-20):$H328)*SQRT(245),"")</f>
        <v>0.219848201428572</v>
      </c>
      <c r="M328" s="52" t="n">
        <f aca="false">IF(AND(ISNUMBER($G328),$G328&gt;=60),MAX(INDEX($D$128:$D328,202-60):$D328),"")</f>
        <v>954298631</v>
      </c>
      <c r="N328" s="52" t="n">
        <f aca="false">IF(AND(ISNUMBER($G328),$G328&gt;=60),MIN(INDEX($E$128:$E328,202-60):$E328),"")</f>
        <v>862726691</v>
      </c>
      <c r="O328" s="53" t="n">
        <f aca="false">IF(OR(NOT(ISNUMBER($C328)),NOT(ISNUMBER($M328)),$M328=0),"",$C328/$M328-1)</f>
        <v>-0.0166095093140713</v>
      </c>
      <c r="P328" s="54"/>
      <c r="Q328" s="53" t="str">
        <f aca="false">IF(NOT(ISNUMBER($P328)),"",IFERROR(PERCENTRANK($P$5:$P$1204,$P328),""))</f>
        <v/>
      </c>
    </row>
    <row r="329" customFormat="false" ht="15" hidden="false" customHeight="false" outlineLevel="0" collapsed="false">
      <c r="A329" s="47" t="n">
        <v>46022</v>
      </c>
      <c r="B329" s="48" t="s">
        <v>477</v>
      </c>
      <c r="C329" s="49" t="n">
        <v>923872605</v>
      </c>
      <c r="D329" s="49" t="n">
        <v>925447436</v>
      </c>
      <c r="E329" s="49" t="n">
        <v>921575807</v>
      </c>
      <c r="F329" s="49" t="n">
        <v>0</v>
      </c>
      <c r="G329" s="50" t="n">
        <f aca="false">IF($A329="","",IF(ISNUMBER($G328),$G328+1,1))</f>
        <v>325</v>
      </c>
      <c r="H329" s="51" t="n">
        <f aca="false">IF(OR(NOT(ISNUMBER($G329)),$G329&lt;2,NOT(ISNUMBER($C328)),$C328=0),"",$C329/$C328-1)</f>
        <v>-0.0155315914245789</v>
      </c>
      <c r="I329" s="52" t="n">
        <f aca="false">IF(AND(ISNUMBER($G329),$G329&gt;=MA_SHORT),AVERAGE(INDEX($C$5:$C329,326-MA_SHORT):$C329),"")</f>
        <v>914112781.2</v>
      </c>
      <c r="J329" s="52" t="n">
        <f aca="false">IF(AND(ISNUMBER($G329),$G329&gt;=MA_MED),AVERAGE(INDEX($C$5:$C329,326-MA_MED):$C329),"")</f>
        <v>915407547.04</v>
      </c>
      <c r="K329" s="52" t="n">
        <f aca="false">IF(AND(ISNUMBER($G329),$G329&gt;=MA_LONG2),AVERAGE(INDEX($C$5:$C329,326-MA_LONG2):$C329),"")</f>
        <v>869772807.495</v>
      </c>
      <c r="L329" s="53" t="n">
        <f aca="false">IF(AND(ISNUMBER($G329),$G329&gt;=21),STDEV(INDEX($H$269:$H329,62-20):$H329)*SQRT(245),"")</f>
        <v>0.227650887484479</v>
      </c>
      <c r="M329" s="52" t="n">
        <f aca="false">IF(AND(ISNUMBER($G329),$G329&gt;=60),MAX(INDEX($D$129:$D329,202-60):$D329),"")</f>
        <v>954298631</v>
      </c>
      <c r="N329" s="52" t="n">
        <f aca="false">IF(AND(ISNUMBER($G329),$G329&gt;=60),MIN(INDEX($E$129:$E329,202-60):$E329),"")</f>
        <v>862726691</v>
      </c>
      <c r="O329" s="53" t="n">
        <f aca="false">IF(OR(NOT(ISNUMBER($C329)),NOT(ISNUMBER($M329)),$M329=0),"",$C329/$M329-1)</f>
        <v>-0.0318831286262214</v>
      </c>
      <c r="P329" s="54"/>
      <c r="Q329" s="53" t="str">
        <f aca="false">IF(NOT(ISNUMBER($P329)),"",IFERROR(PERCENTRANK($P$5:$P$1204,$P329),""))</f>
        <v/>
      </c>
    </row>
    <row r="330" customFormat="false" ht="15" hidden="false" customHeight="false" outlineLevel="0" collapsed="false">
      <c r="A330" s="47" t="n">
        <v>46025</v>
      </c>
      <c r="B330" s="48" t="s">
        <v>478</v>
      </c>
      <c r="C330" s="49" t="n">
        <v>941943521</v>
      </c>
      <c r="D330" s="49" t="n">
        <v>943999114</v>
      </c>
      <c r="E330" s="49" t="n">
        <v>933932765</v>
      </c>
      <c r="F330" s="49" t="n">
        <v>0</v>
      </c>
      <c r="G330" s="50" t="n">
        <f aca="false">IF($A330="","",IF(ISNUMBER($G329),$G329+1,1))</f>
        <v>326</v>
      </c>
      <c r="H330" s="51" t="n">
        <f aca="false">IF(OR(NOT(ISNUMBER($G330)),$G330&lt;2,NOT(ISNUMBER($C329)),$C329=0),"",$C330/$C329-1)</f>
        <v>0.0195599651967167</v>
      </c>
      <c r="I330" s="52" t="n">
        <f aca="false">IF(AND(ISNUMBER($G330),$G330&gt;=MA_SHORT),AVERAGE(INDEX($C$5:$C330,327-MA_SHORT):$C330),"")</f>
        <v>917618073.55</v>
      </c>
      <c r="J330" s="52" t="n">
        <f aca="false">IF(AND(ISNUMBER($G330),$G330&gt;=MA_MED),AVERAGE(INDEX($C$5:$C330,327-MA_MED):$C330),"")</f>
        <v>916098550.64</v>
      </c>
      <c r="K330" s="52" t="n">
        <f aca="false">IF(AND(ISNUMBER($G330),$G330&gt;=MA_LONG2),AVERAGE(INDEX($C$5:$C330,327-MA_LONG2):$C330),"")</f>
        <v>870454750.385</v>
      </c>
      <c r="L330" s="53" t="n">
        <f aca="false">IF(AND(ISNUMBER($G330),$G330&gt;=21),STDEV(INDEX($H$270:$H330,62-20):$H330)*SQRT(245),"")</f>
        <v>0.215554844099146</v>
      </c>
      <c r="M330" s="52" t="n">
        <f aca="false">IF(AND(ISNUMBER($G330),$G330&gt;=60),MAX(INDEX($D$130:$D330,202-60):$D330),"")</f>
        <v>954298631</v>
      </c>
      <c r="N330" s="52" t="n">
        <f aca="false">IF(AND(ISNUMBER($G330),$G330&gt;=60),MIN(INDEX($E$130:$E330,202-60):$E330),"")</f>
        <v>862726691</v>
      </c>
      <c r="O330" s="53" t="n">
        <f aca="false">IF(OR(NOT(ISNUMBER($C330)),NOT(ISNUMBER($M330)),$M330=0),"",$C330/$M330-1)</f>
        <v>-0.012946796315796</v>
      </c>
      <c r="P330" s="54"/>
      <c r="Q330" s="53" t="str">
        <f aca="false">IF(NOT(ISNUMBER($P330)),"",IFERROR(PERCENTRANK($P$5:$P$1204,$P330),""))</f>
        <v/>
      </c>
    </row>
    <row r="331" customFormat="false" ht="15" hidden="false" customHeight="false" outlineLevel="0" collapsed="false">
      <c r="A331" s="47" t="n">
        <v>46026</v>
      </c>
      <c r="B331" s="48" t="s">
        <v>479</v>
      </c>
      <c r="C331" s="49" t="n">
        <v>934301443</v>
      </c>
      <c r="D331" s="49" t="n">
        <v>935740068</v>
      </c>
      <c r="E331" s="49" t="n">
        <v>933471368</v>
      </c>
      <c r="F331" s="49" t="n">
        <v>0</v>
      </c>
      <c r="G331" s="50" t="n">
        <f aca="false">IF($A331="","",IF(ISNUMBER($G330),$G330+1,1))</f>
        <v>327</v>
      </c>
      <c r="H331" s="51" t="n">
        <f aca="false">IF(OR(NOT(ISNUMBER($G331)),$G331&lt;2,NOT(ISNUMBER($C330)),$C330=0),"",$C331/$C330-1)</f>
        <v>-0.00811309577445463</v>
      </c>
      <c r="I331" s="52" t="n">
        <f aca="false">IF(AND(ISNUMBER($G331),$G331&gt;=MA_SHORT),AVERAGE(INDEX($C$5:$C331,328-MA_SHORT):$C331),"")</f>
        <v>920321901.75</v>
      </c>
      <c r="J331" s="52" t="n">
        <f aca="false">IF(AND(ISNUMBER($G331),$G331&gt;=MA_MED),AVERAGE(INDEX($C$5:$C331,328-MA_MED):$C331),"")</f>
        <v>916875336.88</v>
      </c>
      <c r="K331" s="52" t="n">
        <f aca="false">IF(AND(ISNUMBER($G331),$G331&gt;=MA_LONG2),AVERAGE(INDEX($C$5:$C331,328-MA_LONG2):$C331),"")</f>
        <v>871163570.025</v>
      </c>
      <c r="L331" s="53" t="n">
        <f aca="false">IF(AND(ISNUMBER($G331),$G331&gt;=21),STDEV(INDEX($H$271:$H331,62-20):$H331)*SQRT(245),"")</f>
        <v>0.218470583835424</v>
      </c>
      <c r="M331" s="52" t="n">
        <f aca="false">IF(AND(ISNUMBER($G331),$G331&gt;=60),MAX(INDEX($D$131:$D331,202-60):$D331),"")</f>
        <v>954298631</v>
      </c>
      <c r="N331" s="52" t="n">
        <f aca="false">IF(AND(ISNUMBER($G331),$G331&gt;=60),MIN(INDEX($E$131:$E331,202-60):$E331),"")</f>
        <v>862726691</v>
      </c>
      <c r="O331" s="53" t="n">
        <f aca="false">IF(OR(NOT(ISNUMBER($C331)),NOT(ISNUMBER($M331)),$M331=0),"",$C331/$M331-1)</f>
        <v>-0.0209548534917683</v>
      </c>
      <c r="P331" s="54"/>
      <c r="Q331" s="53" t="str">
        <f aca="false">IF(NOT(ISNUMBER($P331)),"",IFERROR(PERCENTRANK($P$5:$P$1204,$P331),""))</f>
        <v/>
      </c>
    </row>
    <row r="332" customFormat="false" ht="15" hidden="false" customHeight="false" outlineLevel="0" collapsed="false">
      <c r="A332" s="47" t="n">
        <v>46027</v>
      </c>
      <c r="B332" s="48" t="s">
        <v>480</v>
      </c>
      <c r="C332" s="49" t="n">
        <v>932321053</v>
      </c>
      <c r="D332" s="49" t="n">
        <v>932440435</v>
      </c>
      <c r="E332" s="49" t="n">
        <v>929131639</v>
      </c>
      <c r="F332" s="49" t="n">
        <v>0</v>
      </c>
      <c r="G332" s="50" t="n">
        <f aca="false">IF($A332="","",IF(ISNUMBER($G331),$G331+1,1))</f>
        <v>328</v>
      </c>
      <c r="H332" s="51" t="n">
        <f aca="false">IF(OR(NOT(ISNUMBER($G332)),$G332&lt;2,NOT(ISNUMBER($C331)),$C331=0),"",$C332/$C331-1)</f>
        <v>-0.00211964780193541</v>
      </c>
      <c r="I332" s="52" t="n">
        <f aca="false">IF(AND(ISNUMBER($G332),$G332&gt;=MA_SHORT),AVERAGE(INDEX($C$5:$C332,329-MA_SHORT):$C332),"")</f>
        <v>922526220.8</v>
      </c>
      <c r="J332" s="52" t="n">
        <f aca="false">IF(AND(ISNUMBER($G332),$G332&gt;=MA_MED),AVERAGE(INDEX($C$5:$C332,329-MA_MED):$C332),"")</f>
        <v>917447883.02</v>
      </c>
      <c r="K332" s="52" t="n">
        <f aca="false">IF(AND(ISNUMBER($G332),$G332&gt;=MA_LONG2),AVERAGE(INDEX($C$5:$C332,329-MA_LONG2):$C332),"")</f>
        <v>871883296.135</v>
      </c>
      <c r="L332" s="53" t="n">
        <f aca="false">IF(AND(ISNUMBER($G332),$G332&gt;=21),STDEV(INDEX($H$272:$H332,62-20):$H332)*SQRT(245),"")</f>
        <v>0.218011086146815</v>
      </c>
      <c r="M332" s="52" t="n">
        <f aca="false">IF(AND(ISNUMBER($G332),$G332&gt;=60),MAX(INDEX($D$132:$D332,202-60):$D332),"")</f>
        <v>954298631</v>
      </c>
      <c r="N332" s="52" t="n">
        <f aca="false">IF(AND(ISNUMBER($G332),$G332&gt;=60),MIN(INDEX($E$132:$E332,202-60):$E332),"")</f>
        <v>862726691</v>
      </c>
      <c r="O332" s="53" t="n">
        <f aca="false">IF(OR(NOT(ISNUMBER($C332)),NOT(ISNUMBER($M332)),$M332=0),"",$C332/$M332-1)</f>
        <v>-0.0230300843845599</v>
      </c>
      <c r="P332" s="54"/>
      <c r="Q332" s="53" t="str">
        <f aca="false">IF(NOT(ISNUMBER($P332)),"",IFERROR(PERCENTRANK($P$5:$P$1204,$P332),""))</f>
        <v/>
      </c>
    </row>
    <row r="333" customFormat="false" ht="15" hidden="false" customHeight="false" outlineLevel="0" collapsed="false">
      <c r="A333" s="47" t="n">
        <v>46028</v>
      </c>
      <c r="B333" s="48" t="s">
        <v>481</v>
      </c>
      <c r="C333" s="49" t="n">
        <v>931927478</v>
      </c>
      <c r="D333" s="49" t="n">
        <v>933873859</v>
      </c>
      <c r="E333" s="49" t="n">
        <v>930071460</v>
      </c>
      <c r="F333" s="49" t="n">
        <v>0</v>
      </c>
      <c r="G333" s="50" t="n">
        <f aca="false">IF($A333="","",IF(ISNUMBER($G332),$G332+1,1))</f>
        <v>329</v>
      </c>
      <c r="H333" s="51" t="n">
        <f aca="false">IF(OR(NOT(ISNUMBER($G333)),$G333&lt;2,NOT(ISNUMBER($C332)),$C332=0),"",$C333/$C332-1)</f>
        <v>-0.000422145352969916</v>
      </c>
      <c r="I333" s="52" t="n">
        <f aca="false">IF(AND(ISNUMBER($G333),$G333&gt;=MA_SHORT),AVERAGE(INDEX($C$5:$C333,330-MA_SHORT):$C333),"")</f>
        <v>924206386.3</v>
      </c>
      <c r="J333" s="52" t="n">
        <f aca="false">IF(AND(ISNUMBER($G333),$G333&gt;=MA_MED),AVERAGE(INDEX($C$5:$C333,330-MA_MED):$C333),"")</f>
        <v>917936962.06</v>
      </c>
      <c r="K333" s="52" t="n">
        <f aca="false">IF(AND(ISNUMBER($G333),$G333&gt;=MA_LONG2),AVERAGE(INDEX($C$5:$C333,330-MA_LONG2):$C333),"")</f>
        <v>872571824.22</v>
      </c>
      <c r="L333" s="53" t="n">
        <f aca="false">IF(AND(ISNUMBER($G333),$G333&gt;=21),STDEV(INDEX($H$273:$H333,62-20):$H333)*SQRT(245),"")</f>
        <v>0.21573691714587</v>
      </c>
      <c r="M333" s="52" t="n">
        <f aca="false">IF(AND(ISNUMBER($G333),$G333&gt;=60),MAX(INDEX($D$133:$D333,202-60):$D333),"")</f>
        <v>954298631</v>
      </c>
      <c r="N333" s="52" t="n">
        <f aca="false">IF(AND(ISNUMBER($G333),$G333&gt;=60),MIN(INDEX($E$133:$E333,202-60):$E333),"")</f>
        <v>862726691</v>
      </c>
      <c r="O333" s="53" t="n">
        <f aca="false">IF(OR(NOT(ISNUMBER($C333)),NOT(ISNUMBER($M333)),$M333=0),"",$C333/$M333-1)</f>
        <v>-0.0234425076944285</v>
      </c>
      <c r="P333" s="54"/>
      <c r="Q333" s="53" t="str">
        <f aca="false">IF(NOT(ISNUMBER($P333)),"",IFERROR(PERCENTRANK($P$5:$P$1204,$P333),""))</f>
        <v/>
      </c>
    </row>
    <row r="334" customFormat="false" ht="15" hidden="false" customHeight="false" outlineLevel="0" collapsed="false">
      <c r="A334" s="47" t="n">
        <v>46029</v>
      </c>
      <c r="B334" s="48" t="s">
        <v>482</v>
      </c>
      <c r="C334" s="49" t="n">
        <v>928526193</v>
      </c>
      <c r="D334" s="49" t="n">
        <v>931356474</v>
      </c>
      <c r="E334" s="49" t="n">
        <v>927864623</v>
      </c>
      <c r="F334" s="49" t="n">
        <v>0</v>
      </c>
      <c r="G334" s="50" t="n">
        <f aca="false">IF($A334="","",IF(ISNUMBER($G333),$G333+1,1))</f>
        <v>330</v>
      </c>
      <c r="H334" s="51" t="n">
        <f aca="false">IF(OR(NOT(ISNUMBER($G334)),$G334&lt;2,NOT(ISNUMBER($C333)),$C333=0),"",$C334/$C333-1)</f>
        <v>-0.00364973142255609</v>
      </c>
      <c r="I334" s="52" t="n">
        <f aca="false">IF(AND(ISNUMBER($G334),$G334&gt;=MA_SHORT),AVERAGE(INDEX($C$5:$C334,331-MA_SHORT):$C334),"")</f>
        <v>925843108.9</v>
      </c>
      <c r="J334" s="52" t="n">
        <f aca="false">IF(AND(ISNUMBER($G334),$G334&gt;=MA_MED),AVERAGE(INDEX($C$5:$C334,331-MA_MED):$C334),"")</f>
        <v>918061112.4</v>
      </c>
      <c r="K334" s="52" t="n">
        <f aca="false">IF(AND(ISNUMBER($G334),$G334&gt;=MA_LONG2),AVERAGE(INDEX($C$5:$C334,331-MA_LONG2):$C334),"")</f>
        <v>873240572.315</v>
      </c>
      <c r="L334" s="53" t="n">
        <f aca="false">IF(AND(ISNUMBER($G334),$G334&gt;=21),STDEV(INDEX($H$274:$H334,62-20):$H334)*SQRT(245),"")</f>
        <v>0.215992014153111</v>
      </c>
      <c r="M334" s="52" t="n">
        <f aca="false">IF(AND(ISNUMBER($G334),$G334&gt;=60),MAX(INDEX($D$134:$D334,202-60):$D334),"")</f>
        <v>954298631</v>
      </c>
      <c r="N334" s="52" t="n">
        <f aca="false">IF(AND(ISNUMBER($G334),$G334&gt;=60),MIN(INDEX($E$134:$E334,202-60):$E334),"")</f>
        <v>870551178</v>
      </c>
      <c r="O334" s="53" t="n">
        <f aca="false">IF(OR(NOT(ISNUMBER($C334)),NOT(ISNUMBER($M334)),$M334=0),"",$C334/$M334-1)</f>
        <v>-0.0270066802600286</v>
      </c>
      <c r="P334" s="54"/>
      <c r="Q334" s="53" t="str">
        <f aca="false">IF(NOT(ISNUMBER($P334)),"",IFERROR(PERCENTRANK($P$5:$P$1204,$P334),""))</f>
        <v/>
      </c>
    </row>
    <row r="335" customFormat="false" ht="15" hidden="false" customHeight="false" outlineLevel="0" collapsed="false">
      <c r="A335" s="47" t="n">
        <v>46032</v>
      </c>
      <c r="B335" s="48" t="s">
        <v>483</v>
      </c>
      <c r="C335" s="49" t="n">
        <v>936303963</v>
      </c>
      <c r="D335" s="49" t="n">
        <v>939331347</v>
      </c>
      <c r="E335" s="49" t="n">
        <v>929751847</v>
      </c>
      <c r="F335" s="49" t="n">
        <v>0</v>
      </c>
      <c r="G335" s="50" t="n">
        <f aca="false">IF($A335="","",IF(ISNUMBER($G334),$G334+1,1))</f>
        <v>331</v>
      </c>
      <c r="H335" s="51" t="n">
        <f aca="false">IF(OR(NOT(ISNUMBER($G335)),$G335&lt;2,NOT(ISNUMBER($C334)),$C334=0),"",$C335/$C334-1)</f>
        <v>0.00837646806157455</v>
      </c>
      <c r="I335" s="52" t="n">
        <f aca="false">IF(AND(ISNUMBER($G335),$G335&gt;=MA_SHORT),AVERAGE(INDEX($C$5:$C335,332-MA_SHORT):$C335),"")</f>
        <v>927145077.15</v>
      </c>
      <c r="J335" s="52" t="n">
        <f aca="false">IF(AND(ISNUMBER($G335),$G335&gt;=MA_MED),AVERAGE(INDEX($C$5:$C335,332-MA_MED):$C335),"")</f>
        <v>917806044.22</v>
      </c>
      <c r="K335" s="52" t="n">
        <f aca="false">IF(AND(ISNUMBER($G335),$G335&gt;=MA_LONG2),AVERAGE(INDEX($C$5:$C335,332-MA_LONG2):$C335),"")</f>
        <v>873908325.21</v>
      </c>
      <c r="L335" s="53" t="n">
        <f aca="false">IF(AND(ISNUMBER($G335),$G335&gt;=21),STDEV(INDEX($H$275:$H335,62-20):$H335)*SQRT(245),"")</f>
        <v>0.211023013864301</v>
      </c>
      <c r="M335" s="52" t="n">
        <f aca="false">IF(AND(ISNUMBER($G335),$G335&gt;=60),MAX(INDEX($D$135:$D335,202-60):$D335),"")</f>
        <v>954298631</v>
      </c>
      <c r="N335" s="52" t="n">
        <f aca="false">IF(AND(ISNUMBER($G335),$G335&gt;=60),MIN(INDEX($E$135:$E335,202-60):$E335),"")</f>
        <v>870551178</v>
      </c>
      <c r="O335" s="53" t="n">
        <f aca="false">IF(OR(NOT(ISNUMBER($C335)),NOT(ISNUMBER($M335)),$M335=0),"",$C335/$M335-1)</f>
        <v>-0.0188564327931012</v>
      </c>
      <c r="P335" s="54"/>
      <c r="Q335" s="53" t="str">
        <f aca="false">IF(NOT(ISNUMBER($P335)),"",IFERROR(PERCENTRANK($P$5:$P$1204,$P335),""))</f>
        <v/>
      </c>
    </row>
    <row r="336" customFormat="false" ht="15" hidden="false" customHeight="false" outlineLevel="0" collapsed="false">
      <c r="A336" s="47" t="n">
        <v>46033</v>
      </c>
      <c r="B336" s="48" t="s">
        <v>484</v>
      </c>
      <c r="C336" s="49" t="n">
        <v>934071833</v>
      </c>
      <c r="D336" s="49" t="n">
        <v>936938926</v>
      </c>
      <c r="E336" s="49" t="n">
        <v>933679698</v>
      </c>
      <c r="F336" s="49" t="n">
        <v>0</v>
      </c>
      <c r="G336" s="50" t="n">
        <f aca="false">IF($A336="","",IF(ISNUMBER($G335),$G335+1,1))</f>
        <v>332</v>
      </c>
      <c r="H336" s="51" t="n">
        <f aca="false">IF(OR(NOT(ISNUMBER($G336)),$G336&lt;2,NOT(ISNUMBER($C335)),$C335=0),"",$C336/$C335-1)</f>
        <v>-0.00238398008361307</v>
      </c>
      <c r="I336" s="52" t="n">
        <f aca="false">IF(AND(ISNUMBER($G336),$G336&gt;=MA_SHORT),AVERAGE(INDEX($C$5:$C336,333-MA_SHORT):$C336),"")</f>
        <v>928221108.35</v>
      </c>
      <c r="J336" s="52" t="n">
        <f aca="false">IF(AND(ISNUMBER($G336),$G336&gt;=MA_MED),AVERAGE(INDEX($C$5:$C336,333-MA_MED):$C336),"")</f>
        <v>917719977.74</v>
      </c>
      <c r="K336" s="52" t="n">
        <f aca="false">IF(AND(ISNUMBER($G336),$G336&gt;=MA_LONG2),AVERAGE(INDEX($C$5:$C336,333-MA_LONG2):$C336),"")</f>
        <v>874534844.475</v>
      </c>
      <c r="L336" s="53" t="n">
        <f aca="false">IF(AND(ISNUMBER($G336),$G336&gt;=21),STDEV(INDEX($H$276:$H336,62-20):$H336)*SQRT(245),"")</f>
        <v>0.211414677097613</v>
      </c>
      <c r="M336" s="52" t="n">
        <f aca="false">IF(AND(ISNUMBER($G336),$G336&gt;=60),MAX(INDEX($D$136:$D336,202-60):$D336),"")</f>
        <v>954298631</v>
      </c>
      <c r="N336" s="52" t="n">
        <f aca="false">IF(AND(ISNUMBER($G336),$G336&gt;=60),MIN(INDEX($E$136:$E336,202-60):$E336),"")</f>
        <v>870551178</v>
      </c>
      <c r="O336" s="53" t="n">
        <f aca="false">IF(OR(NOT(ISNUMBER($C336)),NOT(ISNUMBER($M336)),$M336=0),"",$C336/$M336-1)</f>
        <v>-0.0211954595164876</v>
      </c>
      <c r="P336" s="54"/>
      <c r="Q336" s="53" t="str">
        <f aca="false">IF(NOT(ISNUMBER($P336)),"",IFERROR(PERCENTRANK($P$5:$P$1204,$P336),""))</f>
        <v/>
      </c>
    </row>
    <row r="337" customFormat="false" ht="15" hidden="false" customHeight="false" outlineLevel="0" collapsed="false">
      <c r="A337" s="47" t="n">
        <v>46034</v>
      </c>
      <c r="B337" s="48" t="s">
        <v>485</v>
      </c>
      <c r="C337" s="49" t="n">
        <v>927617890</v>
      </c>
      <c r="D337" s="49" t="n">
        <v>933696682</v>
      </c>
      <c r="E337" s="49" t="n">
        <v>926686182</v>
      </c>
      <c r="F337" s="49" t="n">
        <v>0</v>
      </c>
      <c r="G337" s="50" t="n">
        <f aca="false">IF($A337="","",IF(ISNUMBER($G336),$G336+1,1))</f>
        <v>333</v>
      </c>
      <c r="H337" s="51" t="n">
        <f aca="false">IF(OR(NOT(ISNUMBER($G337)),$G337&lt;2,NOT(ISNUMBER($C336)),$C336=0),"",$C337/$C336-1)</f>
        <v>-0.00690947181146828</v>
      </c>
      <c r="I337" s="52" t="n">
        <f aca="false">IF(AND(ISNUMBER($G337),$G337&gt;=MA_SHORT),AVERAGE(INDEX($C$5:$C337,334-MA_SHORT):$C337),"")</f>
        <v>928734838.25</v>
      </c>
      <c r="J337" s="52" t="n">
        <f aca="false">IF(AND(ISNUMBER($G337),$G337&gt;=MA_MED),AVERAGE(INDEX($C$5:$C337,334-MA_MED):$C337),"")</f>
        <v>917367817.44</v>
      </c>
      <c r="K337" s="52" t="n">
        <f aca="false">IF(AND(ISNUMBER($G337),$G337&gt;=MA_LONG2),AVERAGE(INDEX($C$5:$C337,334-MA_LONG2):$C337),"")</f>
        <v>875105660.475</v>
      </c>
      <c r="L337" s="53" t="n">
        <f aca="false">IF(AND(ISNUMBER($G337),$G337&gt;=21),STDEV(INDEX($H$277:$H337,62-20):$H337)*SQRT(245),"")</f>
        <v>0.212728662783062</v>
      </c>
      <c r="M337" s="52" t="n">
        <f aca="false">IF(AND(ISNUMBER($G337),$G337&gt;=60),MAX(INDEX($D$137:$D337,202-60):$D337),"")</f>
        <v>954298631</v>
      </c>
      <c r="N337" s="52" t="n">
        <f aca="false">IF(AND(ISNUMBER($G337),$G337&gt;=60),MIN(INDEX($E$137:$E337,202-60):$E337),"")</f>
        <v>870551178</v>
      </c>
      <c r="O337" s="53" t="n">
        <f aca="false">IF(OR(NOT(ISNUMBER($C337)),NOT(ISNUMBER($M337)),$M337=0),"",$C337/$M337-1)</f>
        <v>-0.0279584818978955</v>
      </c>
      <c r="P337" s="54"/>
      <c r="Q337" s="53" t="str">
        <f aca="false">IF(NOT(ISNUMBER($P337)),"",IFERROR(PERCENTRANK($P$5:$P$1204,$P337),""))</f>
        <v/>
      </c>
    </row>
    <row r="338" customFormat="false" ht="15" hidden="false" customHeight="false" outlineLevel="0" collapsed="false">
      <c r="A338" s="47" t="n">
        <v>46035</v>
      </c>
      <c r="B338" s="48" t="s">
        <v>486</v>
      </c>
      <c r="C338" s="49" t="n">
        <v>917743433</v>
      </c>
      <c r="D338" s="49" t="n">
        <v>924086439</v>
      </c>
      <c r="E338" s="49" t="n">
        <v>916713139</v>
      </c>
      <c r="F338" s="49" t="n">
        <v>0</v>
      </c>
      <c r="G338" s="50" t="n">
        <f aca="false">IF($A338="","",IF(ISNUMBER($G337),$G337+1,1))</f>
        <v>334</v>
      </c>
      <c r="H338" s="51" t="n">
        <f aca="false">IF(OR(NOT(ISNUMBER($G338)),$G338&lt;2,NOT(ISNUMBER($C337)),$C337=0),"",$C338/$C337-1)</f>
        <v>-0.0106449617956377</v>
      </c>
      <c r="I338" s="52" t="n">
        <f aca="false">IF(AND(ISNUMBER($G338),$G338&gt;=MA_SHORT),AVERAGE(INDEX($C$5:$C338,335-MA_SHORT):$C338),"")</f>
        <v>929012566.65</v>
      </c>
      <c r="J338" s="52" t="n">
        <f aca="false">IF(AND(ISNUMBER($G338),$G338&gt;=MA_MED),AVERAGE(INDEX($C$5:$C338,335-MA_MED):$C338),"")</f>
        <v>917048843.44</v>
      </c>
      <c r="K338" s="52" t="n">
        <f aca="false">IF(AND(ISNUMBER($G338),$G338&gt;=MA_LONG2),AVERAGE(INDEX($C$5:$C338,335-MA_LONG2):$C338),"")</f>
        <v>875614369.82</v>
      </c>
      <c r="L338" s="53" t="n">
        <f aca="false">IF(AND(ISNUMBER($G338),$G338&gt;=21),STDEV(INDEX($H$278:$H338,62-20):$H338)*SQRT(245),"")</f>
        <v>0.215347921644665</v>
      </c>
      <c r="M338" s="52" t="n">
        <f aca="false">IF(AND(ISNUMBER($G338),$G338&gt;=60),MAX(INDEX($D$138:$D338,202-60):$D338),"")</f>
        <v>954298631</v>
      </c>
      <c r="N338" s="52" t="n">
        <f aca="false">IF(AND(ISNUMBER($G338),$G338&gt;=60),MIN(INDEX($E$138:$E338,202-60):$E338),"")</f>
        <v>870551178</v>
      </c>
      <c r="O338" s="53" t="n">
        <f aca="false">IF(OR(NOT(ISNUMBER($C338)),NOT(ISNUMBER($M338)),$M338=0),"",$C338/$M338-1)</f>
        <v>-0.0383058267218661</v>
      </c>
      <c r="P338" s="54"/>
      <c r="Q338" s="53" t="str">
        <f aca="false">IF(NOT(ISNUMBER($P338)),"",IFERROR(PERCENTRANK($P$5:$P$1204,$P338),""))</f>
        <v/>
      </c>
    </row>
    <row r="339" customFormat="false" ht="15" hidden="false" customHeight="false" outlineLevel="0" collapsed="false">
      <c r="A339" s="47" t="n">
        <v>46036</v>
      </c>
      <c r="B339" s="48" t="s">
        <v>487</v>
      </c>
      <c r="C339" s="49" t="n">
        <v>918497602</v>
      </c>
      <c r="D339" s="49" t="n">
        <v>922734587</v>
      </c>
      <c r="E339" s="49" t="n">
        <v>913704559</v>
      </c>
      <c r="F339" s="49" t="n">
        <v>0</v>
      </c>
      <c r="G339" s="50" t="n">
        <f aca="false">IF($A339="","",IF(ISNUMBER($G338),$G338+1,1))</f>
        <v>335</v>
      </c>
      <c r="H339" s="51" t="n">
        <f aca="false">IF(OR(NOT(ISNUMBER($G339)),$G339&lt;2,NOT(ISNUMBER($C338)),$C338=0),"",$C339/$C338-1)</f>
        <v>0.000821764529041369</v>
      </c>
      <c r="I339" s="52" t="n">
        <f aca="false">IF(AND(ISNUMBER($G339),$G339&gt;=MA_SHORT),AVERAGE(INDEX($C$5:$C339,336-MA_SHORT):$C339),"")</f>
        <v>929218296.3</v>
      </c>
      <c r="J339" s="52" t="n">
        <f aca="false">IF(AND(ISNUMBER($G339),$G339&gt;=MA_MED),AVERAGE(INDEX($C$5:$C339,336-MA_MED):$C339),"")</f>
        <v>916602343.32</v>
      </c>
      <c r="K339" s="52" t="n">
        <f aca="false">IF(AND(ISNUMBER($G339),$G339&gt;=MA_LONG2),AVERAGE(INDEX($C$5:$C339,336-MA_LONG2):$C339),"")</f>
        <v>876045756.855</v>
      </c>
      <c r="L339" s="53" t="n">
        <f aca="false">IF(AND(ISNUMBER($G339),$G339&gt;=21),STDEV(INDEX($H$279:$H339,62-20):$H339)*SQRT(245),"")</f>
        <v>0.215228362166576</v>
      </c>
      <c r="M339" s="52" t="n">
        <f aca="false">IF(AND(ISNUMBER($G339),$G339&gt;=60),MAX(INDEX($D$139:$D339,202-60):$D339),"")</f>
        <v>954298631</v>
      </c>
      <c r="N339" s="52" t="n">
        <f aca="false">IF(AND(ISNUMBER($G339),$G339&gt;=60),MIN(INDEX($E$139:$E339,202-60):$E339),"")</f>
        <v>870551178</v>
      </c>
      <c r="O339" s="53" t="n">
        <f aca="false">IF(OR(NOT(ISNUMBER($C339)),NOT(ISNUMBER($M339)),$M339=0),"",$C339/$M339-1)</f>
        <v>-0.0375155405624804</v>
      </c>
      <c r="P339" s="54"/>
      <c r="Q339" s="53" t="str">
        <f aca="false">IF(NOT(ISNUMBER($P339)),"",IFERROR(PERCENTRANK($P$5:$P$1204,$P339),""))</f>
        <v/>
      </c>
    </row>
    <row r="340" customFormat="false" ht="15" hidden="false" customHeight="false" outlineLevel="0" collapsed="false">
      <c r="A340" s="47" t="n">
        <v>46039</v>
      </c>
      <c r="B340" s="48" t="s">
        <v>488</v>
      </c>
      <c r="C340" s="49" t="n">
        <v>901983808</v>
      </c>
      <c r="D340" s="49" t="n">
        <v>902192136</v>
      </c>
      <c r="E340" s="49" t="n">
        <v>896649453</v>
      </c>
      <c r="F340" s="49" t="n">
        <v>0</v>
      </c>
      <c r="G340" s="50" t="n">
        <f aca="false">IF($A340="","",IF(ISNUMBER($G339),$G339+1,1))</f>
        <v>336</v>
      </c>
      <c r="H340" s="51" t="n">
        <f aca="false">IF(OR(NOT(ISNUMBER($G340)),$G340&lt;2,NOT(ISNUMBER($C339)),$C339=0),"",$C340/$C339-1)</f>
        <v>-0.0179791367599019</v>
      </c>
      <c r="I340" s="52" t="n">
        <f aca="false">IF(AND(ISNUMBER($G340),$G340&gt;=MA_SHORT),AVERAGE(INDEX($C$5:$C340,337-MA_SHORT):$C340),"")</f>
        <v>928210123.25</v>
      </c>
      <c r="J340" s="52" t="n">
        <f aca="false">IF(AND(ISNUMBER($G340),$G340&gt;=MA_MED),AVERAGE(INDEX($C$5:$C340,337-MA_MED):$C340),"")</f>
        <v>916018052.9</v>
      </c>
      <c r="K340" s="52" t="n">
        <f aca="false">IF(AND(ISNUMBER($G340),$G340&gt;=MA_LONG2),AVERAGE(INDEX($C$5:$C340,337-MA_LONG2):$C340),"")</f>
        <v>876365863.395</v>
      </c>
      <c r="L340" s="53" t="n">
        <f aca="false">IF(AND(ISNUMBER($G340),$G340&gt;=21),STDEV(INDEX($H$280:$H340,62-20):$H340)*SQRT(245),"")</f>
        <v>0.222089994618379</v>
      </c>
      <c r="M340" s="52" t="n">
        <f aca="false">IF(AND(ISNUMBER($G340),$G340&gt;=60),MAX(INDEX($D$140:$D340,202-60):$D340),"")</f>
        <v>954298631</v>
      </c>
      <c r="N340" s="52" t="n">
        <f aca="false">IF(AND(ISNUMBER($G340),$G340&gt;=60),MIN(INDEX($E$140:$E340,202-60):$E340),"")</f>
        <v>870551178</v>
      </c>
      <c r="O340" s="53" t="n">
        <f aca="false">IF(OR(NOT(ISNUMBER($C340)),NOT(ISNUMBER($M340)),$M340=0),"",$C340/$M340-1)</f>
        <v>-0.0548201802879879</v>
      </c>
      <c r="P340" s="54"/>
      <c r="Q340" s="53" t="str">
        <f aca="false">IF(NOT(ISNUMBER($P340)),"",IFERROR(PERCENTRANK($P$5:$P$1204,$P340),""))</f>
        <v/>
      </c>
    </row>
    <row r="341" customFormat="false" ht="15" hidden="false" customHeight="false" outlineLevel="0" collapsed="false">
      <c r="A341" s="47" t="n">
        <v>46040</v>
      </c>
      <c r="B341" s="48" t="s">
        <v>489</v>
      </c>
      <c r="C341" s="49" t="n">
        <v>904200174</v>
      </c>
      <c r="D341" s="49" t="n">
        <v>906268254</v>
      </c>
      <c r="E341" s="49" t="n">
        <v>899029329</v>
      </c>
      <c r="F341" s="49" t="n">
        <v>0</v>
      </c>
      <c r="G341" s="50" t="n">
        <f aca="false">IF($A341="","",IF(ISNUMBER($G340),$G340+1,1))</f>
        <v>337</v>
      </c>
      <c r="H341" s="51" t="n">
        <f aca="false">IF(OR(NOT(ISNUMBER($G341)),$G341&lt;2,NOT(ISNUMBER($C340)),$C340=0),"",$C341/$C340-1)</f>
        <v>0.00245721262437559</v>
      </c>
      <c r="I341" s="52" t="n">
        <f aca="false">IF(AND(ISNUMBER($G341),$G341&gt;=MA_SHORT),AVERAGE(INDEX($C$5:$C341,338-MA_SHORT):$C341),"")</f>
        <v>927929443.15</v>
      </c>
      <c r="J341" s="52" t="n">
        <f aca="false">IF(AND(ISNUMBER($G341),$G341&gt;=MA_MED),AVERAGE(INDEX($C$5:$C341,338-MA_MED):$C341),"")</f>
        <v>915660523.68</v>
      </c>
      <c r="K341" s="52" t="n">
        <f aca="false">IF(AND(ISNUMBER($G341),$G341&gt;=MA_LONG2),AVERAGE(INDEX($C$5:$C341,338-MA_LONG2):$C341),"")</f>
        <v>876641565.955</v>
      </c>
      <c r="L341" s="53" t="n">
        <f aca="false">IF(AND(ISNUMBER($G341),$G341&gt;=21),STDEV(INDEX($H$281:$H341,62-20):$H341)*SQRT(245),"")</f>
        <v>0.217591270359246</v>
      </c>
      <c r="M341" s="52" t="n">
        <f aca="false">IF(AND(ISNUMBER($G341),$G341&gt;=60),MAX(INDEX($D$141:$D341,202-60):$D341),"")</f>
        <v>954298631</v>
      </c>
      <c r="N341" s="52" t="n">
        <f aca="false">IF(AND(ISNUMBER($G341),$G341&gt;=60),MIN(INDEX($E$141:$E341,202-60):$E341),"")</f>
        <v>870551178</v>
      </c>
      <c r="O341" s="53" t="n">
        <f aca="false">IF(OR(NOT(ISNUMBER($C341)),NOT(ISNUMBER($M341)),$M341=0),"",$C341/$M341-1)</f>
        <v>-0.0524976725026864</v>
      </c>
      <c r="P341" s="54"/>
      <c r="Q341" s="53" t="str">
        <f aca="false">IF(NOT(ISNUMBER($P341)),"",IFERROR(PERCENTRANK($P$5:$P$1204,$P341),""))</f>
        <v/>
      </c>
    </row>
    <row r="342" customFormat="false" ht="15" hidden="false" customHeight="false" outlineLevel="0" collapsed="false">
      <c r="A342" s="47" t="n">
        <v>46041</v>
      </c>
      <c r="B342" s="48" t="s">
        <v>490</v>
      </c>
      <c r="C342" s="49" t="n">
        <v>907455650</v>
      </c>
      <c r="D342" s="49" t="n">
        <v>913077144</v>
      </c>
      <c r="E342" s="49" t="n">
        <v>900647647</v>
      </c>
      <c r="F342" s="49" t="n">
        <v>0</v>
      </c>
      <c r="G342" s="50" t="n">
        <f aca="false">IF($A342="","",IF(ISNUMBER($G341),$G341+1,1))</f>
        <v>338</v>
      </c>
      <c r="H342" s="51" t="n">
        <f aca="false">IF(OR(NOT(ISNUMBER($G342)),$G342&lt;2,NOT(ISNUMBER($C341)),$C341=0),"",$C342/$C341-1)</f>
        <v>0.00360039302536119</v>
      </c>
      <c r="I342" s="52" t="n">
        <f aca="false">IF(AND(ISNUMBER($G342),$G342&gt;=MA_SHORT),AVERAGE(INDEX($C$5:$C342,339-MA_SHORT):$C342),"")</f>
        <v>928533057.45</v>
      </c>
      <c r="J342" s="52" t="n">
        <f aca="false">IF(AND(ISNUMBER($G342),$G342&gt;=MA_MED),AVERAGE(INDEX($C$5:$C342,339-MA_MED):$C342),"")</f>
        <v>915075136.2</v>
      </c>
      <c r="K342" s="52" t="n">
        <f aca="false">IF(AND(ISNUMBER($G342),$G342&gt;=MA_LONG2),AVERAGE(INDEX($C$5:$C342,339-MA_LONG2):$C342),"")</f>
        <v>876901203.95</v>
      </c>
      <c r="L342" s="53" t="n">
        <f aca="false">IF(AND(ISNUMBER($G342),$G342&gt;=21),STDEV(INDEX($H$282:$H342,62-20):$H342)*SQRT(245),"")</f>
        <v>0.210082576046072</v>
      </c>
      <c r="M342" s="52" t="n">
        <f aca="false">IF(AND(ISNUMBER($G342),$G342&gt;=60),MAX(INDEX($D$142:$D342,202-60):$D342),"")</f>
        <v>954298631</v>
      </c>
      <c r="N342" s="52" t="n">
        <f aca="false">IF(AND(ISNUMBER($G342),$G342&gt;=60),MIN(INDEX($E$142:$E342,202-60):$E342),"")</f>
        <v>870551178</v>
      </c>
      <c r="O342" s="53" t="n">
        <f aca="false">IF(OR(NOT(ISNUMBER($C342)),NOT(ISNUMBER($M342)),$M342=0),"",$C342/$M342-1)</f>
        <v>-0.0490862917312516</v>
      </c>
      <c r="P342" s="54"/>
      <c r="Q342" s="53" t="str">
        <f aca="false">IF(NOT(ISNUMBER($P342)),"",IFERROR(PERCENTRANK($P$5:$P$1204,$P342),""))</f>
        <v/>
      </c>
    </row>
    <row r="343" customFormat="false" ht="15" hidden="false" customHeight="false" outlineLevel="0" collapsed="false">
      <c r="A343" s="47" t="n">
        <v>46042</v>
      </c>
      <c r="B343" s="48" t="s">
        <v>491</v>
      </c>
      <c r="C343" s="49" t="n">
        <v>915708659</v>
      </c>
      <c r="D343" s="49" t="n">
        <v>919574811</v>
      </c>
      <c r="E343" s="49" t="n">
        <v>912895782</v>
      </c>
      <c r="F343" s="49" t="n">
        <v>0</v>
      </c>
      <c r="G343" s="50" t="n">
        <f aca="false">IF($A343="","",IF(ISNUMBER($G342),$G342+1,1))</f>
        <v>339</v>
      </c>
      <c r="H343" s="51" t="n">
        <f aca="false">IF(OR(NOT(ISNUMBER($G343)),$G343&lt;2,NOT(ISNUMBER($C342)),$C342=0),"",$C343/$C342-1)</f>
        <v>0.0090946692546352</v>
      </c>
      <c r="I343" s="52" t="n">
        <f aca="false">IF(AND(ISNUMBER($G343),$G343&gt;=MA_SHORT),AVERAGE(INDEX($C$5:$C343,340-MA_SHORT):$C343),"")</f>
        <v>928867681.4</v>
      </c>
      <c r="J343" s="52" t="n">
        <f aca="false">IF(AND(ISNUMBER($G343),$G343&gt;=MA_MED),AVERAGE(INDEX($C$5:$C343,340-MA_MED):$C343),"")</f>
        <v>914700359.48</v>
      </c>
      <c r="K343" s="52" t="n">
        <f aca="false">IF(AND(ISNUMBER($G343),$G343&gt;=MA_LONG2),AVERAGE(INDEX($C$5:$C343,340-MA_LONG2):$C343),"")</f>
        <v>877186121.235</v>
      </c>
      <c r="L343" s="53" t="n">
        <f aca="false">IF(AND(ISNUMBER($G343),$G343&gt;=21),STDEV(INDEX($H$283:$H343,62-20):$H343)*SQRT(245),"")</f>
        <v>0.205686793841795</v>
      </c>
      <c r="M343" s="52" t="n">
        <f aca="false">IF(AND(ISNUMBER($G343),$G343&gt;=60),MAX(INDEX($D$143:$D343,202-60):$D343),"")</f>
        <v>954298631</v>
      </c>
      <c r="N343" s="52" t="n">
        <f aca="false">IF(AND(ISNUMBER($G343),$G343&gt;=60),MIN(INDEX($E$143:$E343,202-60):$E343),"")</f>
        <v>870551178</v>
      </c>
      <c r="O343" s="53" t="n">
        <f aca="false">IF(OR(NOT(ISNUMBER($C343)),NOT(ISNUMBER($M343)),$M343=0),"",$C343/$M343-1)</f>
        <v>-0.0404380460648487</v>
      </c>
      <c r="P343" s="54"/>
      <c r="Q343" s="53" t="str">
        <f aca="false">IF(NOT(ISNUMBER($P343)),"",IFERROR(PERCENTRANK($P$5:$P$1204,$P343),""))</f>
        <v/>
      </c>
    </row>
    <row r="344" customFormat="false" ht="15" hidden="false" customHeight="false" outlineLevel="0" collapsed="false">
      <c r="A344" s="47" t="n">
        <v>46043</v>
      </c>
      <c r="B344" s="48" t="s">
        <v>492</v>
      </c>
      <c r="C344" s="49" t="n">
        <v>917686301</v>
      </c>
      <c r="D344" s="49" t="n">
        <v>919464425</v>
      </c>
      <c r="E344" s="49" t="n">
        <v>916674610</v>
      </c>
      <c r="F344" s="49" t="n">
        <v>0</v>
      </c>
      <c r="G344" s="50" t="n">
        <f aca="false">IF($A344="","",IF(ISNUMBER($G343),$G343+1,1))</f>
        <v>340</v>
      </c>
      <c r="H344" s="51" t="n">
        <f aca="false">IF(OR(NOT(ISNUMBER($G344)),$G344&lt;2,NOT(ISNUMBER($C343)),$C343=0),"",$C344/$C343-1)</f>
        <v>0.00215968472129524</v>
      </c>
      <c r="I344" s="52" t="n">
        <f aca="false">IF(AND(ISNUMBER($G344),$G344&gt;=MA_SHORT),AVERAGE(INDEX($C$5:$C344,341-MA_SHORT):$C344),"")</f>
        <v>927513972.95</v>
      </c>
      <c r="J344" s="52" t="n">
        <f aca="false">IF(AND(ISNUMBER($G344),$G344&gt;=MA_MED),AVERAGE(INDEX($C$5:$C344,341-MA_MED):$C344),"")</f>
        <v>914108296.96</v>
      </c>
      <c r="K344" s="52" t="n">
        <f aca="false">IF(AND(ISNUMBER($G344),$G344&gt;=MA_LONG2),AVERAGE(INDEX($C$5:$C344,341-MA_LONG2):$C344),"")</f>
        <v>877511671.465</v>
      </c>
      <c r="L344" s="53" t="n">
        <f aca="false">IF(AND(ISNUMBER($G344),$G344&gt;=21),STDEV(INDEX($H$284:$H344,62-20):$H344)*SQRT(245),"")</f>
        <v>0.148216603065551</v>
      </c>
      <c r="M344" s="52" t="n">
        <f aca="false">IF(AND(ISNUMBER($G344),$G344&gt;=60),MAX(INDEX($D$144:$D344,202-60):$D344),"")</f>
        <v>954298631</v>
      </c>
      <c r="N344" s="52" t="n">
        <f aca="false">IF(AND(ISNUMBER($G344),$G344&gt;=60),MIN(INDEX($E$144:$E344,202-60):$E344),"")</f>
        <v>870551178</v>
      </c>
      <c r="O344" s="53" t="n">
        <f aca="false">IF(OR(NOT(ISNUMBER($C344)),NOT(ISNUMBER($M344)),$M344=0),"",$C344/$M344-1)</f>
        <v>-0.0383656947737987</v>
      </c>
      <c r="P344" s="54"/>
      <c r="Q344" s="53" t="str">
        <f aca="false">IF(NOT(ISNUMBER($P344)),"",IFERROR(PERCENTRANK($P$5:$P$1204,$P344),""))</f>
        <v/>
      </c>
    </row>
    <row r="345" customFormat="false" ht="15" hidden="false" customHeight="false" outlineLevel="0" collapsed="false">
      <c r="A345" s="47" t="n">
        <v>46046</v>
      </c>
      <c r="B345" s="48" t="s">
        <v>493</v>
      </c>
      <c r="C345" s="49" t="n">
        <v>918284908</v>
      </c>
      <c r="D345" s="49" t="n">
        <v>919337199</v>
      </c>
      <c r="E345" s="49" t="n">
        <v>914952385</v>
      </c>
      <c r="F345" s="49" t="n">
        <v>0</v>
      </c>
      <c r="G345" s="50" t="n">
        <f aca="false">IF($A345="","",IF(ISNUMBER($G344),$G344+1,1))</f>
        <v>341</v>
      </c>
      <c r="H345" s="51" t="n">
        <f aca="false">IF(OR(NOT(ISNUMBER($G345)),$G345&lt;2,NOT(ISNUMBER($C344)),$C344=0),"",$C345/$C344-1)</f>
        <v>0.000652300246116511</v>
      </c>
      <c r="I345" s="52" t="n">
        <f aca="false">IF(AND(ISNUMBER($G345),$G345&gt;=MA_SHORT),AVERAGE(INDEX($C$5:$C345,342-MA_SHORT):$C345),"")</f>
        <v>925917006.45</v>
      </c>
      <c r="J345" s="52" t="n">
        <f aca="false">IF(AND(ISNUMBER($G345),$G345&gt;=MA_MED),AVERAGE(INDEX($C$5:$C345,342-MA_MED):$C345),"")</f>
        <v>913613336.22</v>
      </c>
      <c r="K345" s="52" t="n">
        <f aca="false">IF(AND(ISNUMBER($G345),$G345&gt;=MA_LONG2),AVERAGE(INDEX($C$5:$C345,342-MA_LONG2):$C345),"")</f>
        <v>877879818.25</v>
      </c>
      <c r="L345" s="53" t="n">
        <f aca="false">IF(AND(ISNUMBER($G345),$G345&gt;=21),STDEV(INDEX($H$285:$H345,62-20):$H345)*SQRT(245),"")</f>
        <v>0.146078113064585</v>
      </c>
      <c r="M345" s="52" t="n">
        <f aca="false">IF(AND(ISNUMBER($G345),$G345&gt;=60),MAX(INDEX($D$145:$D345,202-60):$D345),"")</f>
        <v>954298631</v>
      </c>
      <c r="N345" s="52" t="n">
        <f aca="false">IF(AND(ISNUMBER($G345),$G345&gt;=60),MIN(INDEX($E$145:$E345,202-60):$E345),"")</f>
        <v>870551178</v>
      </c>
      <c r="O345" s="53" t="n">
        <f aca="false">IF(OR(NOT(ISNUMBER($C345)),NOT(ISNUMBER($M345)),$M345=0),"",$C345/$M345-1)</f>
        <v>-0.0377384204798257</v>
      </c>
      <c r="P345" s="54"/>
      <c r="Q345" s="53" t="str">
        <f aca="false">IF(NOT(ISNUMBER($P345)),"",IFERROR(PERCENTRANK($P$5:$P$1204,$P345),""))</f>
        <v/>
      </c>
    </row>
    <row r="346" customFormat="false" ht="15" hidden="false" customHeight="false" outlineLevel="0" collapsed="false">
      <c r="A346" s="47" t="n">
        <v>46047</v>
      </c>
      <c r="B346" s="48" t="s">
        <v>494</v>
      </c>
      <c r="C346" s="49" t="n">
        <v>905391162</v>
      </c>
      <c r="D346" s="49" t="n">
        <v>906738870</v>
      </c>
      <c r="E346" s="49" t="n">
        <v>897326366</v>
      </c>
      <c r="F346" s="49" t="n">
        <v>0</v>
      </c>
      <c r="G346" s="50" t="n">
        <f aca="false">IF($A346="","",IF(ISNUMBER($G345),$G345+1,1))</f>
        <v>342</v>
      </c>
      <c r="H346" s="51" t="n">
        <f aca="false">IF(OR(NOT(ISNUMBER($G346)),$G346&lt;2,NOT(ISNUMBER($C345)),$C345=0),"",$C346/$C345-1)</f>
        <v>-0.0140411171823375</v>
      </c>
      <c r="I346" s="52" t="n">
        <f aca="false">IF(AND(ISNUMBER($G346),$G346&gt;=MA_SHORT),AVERAGE(INDEX($C$5:$C346,343-MA_SHORT):$C346),"")</f>
        <v>923575381.15</v>
      </c>
      <c r="J346" s="52" t="n">
        <f aca="false">IF(AND(ISNUMBER($G346),$G346&gt;=MA_MED),AVERAGE(INDEX($C$5:$C346,343-MA_MED):$C346),"")</f>
        <v>913089658.52</v>
      </c>
      <c r="K346" s="52" t="n">
        <f aca="false">IF(AND(ISNUMBER($G346),$G346&gt;=MA_LONG2),AVERAGE(INDEX($C$5:$C346,343-MA_LONG2):$C346),"")</f>
        <v>878194015.885</v>
      </c>
      <c r="L346" s="53" t="n">
        <f aca="false">IF(AND(ISNUMBER($G346),$G346&gt;=21),STDEV(INDEX($H$286:$H346,62-20):$H346)*SQRT(245),"")</f>
        <v>0.151532028682841</v>
      </c>
      <c r="M346" s="52" t="n">
        <f aca="false">IF(AND(ISNUMBER($G346),$G346&gt;=60),MAX(INDEX($D$146:$D346,202-60):$D346),"")</f>
        <v>954298631</v>
      </c>
      <c r="N346" s="52" t="n">
        <f aca="false">IF(AND(ISNUMBER($G346),$G346&gt;=60),MIN(INDEX($E$146:$E346,202-60):$E346),"")</f>
        <v>870551178</v>
      </c>
      <c r="O346" s="53" t="n">
        <f aca="false">IF(OR(NOT(ISNUMBER($C346)),NOT(ISNUMBER($M346)),$M346=0),"",$C346/$M346-1)</f>
        <v>-0.0512496480779296</v>
      </c>
      <c r="P346" s="54"/>
      <c r="Q346" s="53" t="str">
        <f aca="false">IF(NOT(ISNUMBER($P346)),"",IFERROR(PERCENTRANK($P$5:$P$1204,$P346),""))</f>
        <v/>
      </c>
    </row>
    <row r="347" customFormat="false" ht="15" hidden="false" customHeight="false" outlineLevel="0" collapsed="false">
      <c r="A347" s="47" t="n">
        <v>46048</v>
      </c>
      <c r="B347" s="48" t="s">
        <v>495</v>
      </c>
      <c r="C347" s="49" t="n">
        <v>900976905</v>
      </c>
      <c r="D347" s="49" t="n">
        <v>902789240</v>
      </c>
      <c r="E347" s="49" t="n">
        <v>894384130</v>
      </c>
      <c r="F347" s="49" t="n">
        <v>0</v>
      </c>
      <c r="G347" s="50" t="n">
        <f aca="false">IF($A347="","",IF(ISNUMBER($G346),$G346+1,1))</f>
        <v>343</v>
      </c>
      <c r="H347" s="51" t="n">
        <f aca="false">IF(OR(NOT(ISNUMBER($G347)),$G347&lt;2,NOT(ISNUMBER($C346)),$C346=0),"",$C347/$C346-1)</f>
        <v>-0.00487552472927721</v>
      </c>
      <c r="I347" s="52" t="n">
        <f aca="false">IF(AND(ISNUMBER($G347),$G347&gt;=MA_SHORT),AVERAGE(INDEX($C$5:$C347,344-MA_SHORT):$C347),"")</f>
        <v>921863139</v>
      </c>
      <c r="J347" s="52" t="n">
        <f aca="false">IF(AND(ISNUMBER($G347),$G347&gt;=MA_MED),AVERAGE(INDEX($C$5:$C347,344-MA_MED):$C347),"")</f>
        <v>912642705.72</v>
      </c>
      <c r="K347" s="52" t="n">
        <f aca="false">IF(AND(ISNUMBER($G347),$G347&gt;=MA_LONG2),AVERAGE(INDEX($C$5:$C347,344-MA_LONG2):$C347),"")</f>
        <v>878566829.335</v>
      </c>
      <c r="L347" s="53" t="n">
        <f aca="false">IF(AND(ISNUMBER($G347),$G347&gt;=21),STDEV(INDEX($H$287:$H347,62-20):$H347)*SQRT(245),"")</f>
        <v>0.140986185878705</v>
      </c>
      <c r="M347" s="52" t="n">
        <f aca="false">IF(AND(ISNUMBER($G347),$G347&gt;=60),MAX(INDEX($D$147:$D347,202-60):$D347),"")</f>
        <v>954298631</v>
      </c>
      <c r="N347" s="52" t="n">
        <f aca="false">IF(AND(ISNUMBER($G347),$G347&gt;=60),MIN(INDEX($E$147:$E347,202-60):$E347),"")</f>
        <v>870551178</v>
      </c>
      <c r="O347" s="53" t="n">
        <f aca="false">IF(OR(NOT(ISNUMBER($C347)),NOT(ISNUMBER($M347)),$M347=0),"",$C347/$M347-1)</f>
        <v>-0.0558753038806361</v>
      </c>
      <c r="P347" s="54"/>
      <c r="Q347" s="53" t="str">
        <f aca="false">IF(NOT(ISNUMBER($P347)),"",IFERROR(PERCENTRANK($P$5:$P$1204,$P347),""))</f>
        <v/>
      </c>
    </row>
    <row r="348" customFormat="false" ht="15" hidden="false" customHeight="false" outlineLevel="0" collapsed="false">
      <c r="A348" s="47" t="n">
        <v>46049</v>
      </c>
      <c r="B348" s="48" t="s">
        <v>496</v>
      </c>
      <c r="C348" s="49" t="n">
        <v>893565802</v>
      </c>
      <c r="D348" s="49" t="n">
        <v>896357745</v>
      </c>
      <c r="E348" s="49" t="n">
        <v>886981184</v>
      </c>
      <c r="F348" s="49" t="n">
        <v>0</v>
      </c>
      <c r="G348" s="50" t="n">
        <f aca="false">IF($A348="","",IF(ISNUMBER($G347),$G347+1,1))</f>
        <v>344</v>
      </c>
      <c r="H348" s="51" t="n">
        <f aca="false">IF(OR(NOT(ISNUMBER($G348)),$G348&lt;2,NOT(ISNUMBER($C347)),$C347=0),"",$C348/$C347-1)</f>
        <v>-0.00822563037839463</v>
      </c>
      <c r="I348" s="52" t="n">
        <f aca="false">IF(AND(ISNUMBER($G348),$G348&gt;=MA_SHORT),AVERAGE(INDEX($C$5:$C348,345-MA_SHORT):$C348),"")</f>
        <v>919619019.15</v>
      </c>
      <c r="J348" s="52" t="n">
        <f aca="false">IF(AND(ISNUMBER($G348),$G348&gt;=MA_MED),AVERAGE(INDEX($C$5:$C348,345-MA_MED):$C348),"")</f>
        <v>911811144.34</v>
      </c>
      <c r="K348" s="52" t="n">
        <f aca="false">IF(AND(ISNUMBER($G348),$G348&gt;=MA_LONG2),AVERAGE(INDEX($C$5:$C348,345-MA_LONG2):$C348),"")</f>
        <v>878985586.54</v>
      </c>
      <c r="L348" s="53" t="n">
        <f aca="false">IF(AND(ISNUMBER($G348),$G348&gt;=21),STDEV(INDEX($H$288:$H348,62-20):$H348)*SQRT(245),"")</f>
        <v>0.141275342683711</v>
      </c>
      <c r="M348" s="52" t="n">
        <f aca="false">IF(AND(ISNUMBER($G348),$G348&gt;=60),MAX(INDEX($D$148:$D348,202-60):$D348),"")</f>
        <v>954298631</v>
      </c>
      <c r="N348" s="52" t="n">
        <f aca="false">IF(AND(ISNUMBER($G348),$G348&gt;=60),MIN(INDEX($E$148:$E348,202-60):$E348),"")</f>
        <v>870551178</v>
      </c>
      <c r="O348" s="53" t="n">
        <f aca="false">IF(OR(NOT(ISNUMBER($C348)),NOT(ISNUMBER($M348)),$M348=0),"",$C348/$M348-1)</f>
        <v>-0.0636413246620281</v>
      </c>
      <c r="P348" s="54"/>
      <c r="Q348" s="53" t="str">
        <f aca="false">IF(NOT(ISNUMBER($P348)),"",IFERROR(PERCENTRANK($P$5:$P$1204,$P348),""))</f>
        <v/>
      </c>
    </row>
    <row r="349" customFormat="false" ht="15" hidden="false" customHeight="false" outlineLevel="0" collapsed="false">
      <c r="A349" s="47" t="n">
        <v>46050</v>
      </c>
      <c r="B349" s="48" t="s">
        <v>497</v>
      </c>
      <c r="C349" s="49" t="n">
        <v>901709038</v>
      </c>
      <c r="D349" s="49" t="n">
        <v>904144347</v>
      </c>
      <c r="E349" s="49" t="n">
        <v>893868506</v>
      </c>
      <c r="F349" s="49" t="n">
        <v>0</v>
      </c>
      <c r="G349" s="50" t="n">
        <f aca="false">IF($A349="","",IF(ISNUMBER($G348),$G348+1,1))</f>
        <v>345</v>
      </c>
      <c r="H349" s="51" t="n">
        <f aca="false">IF(OR(NOT(ISNUMBER($G349)),$G349&lt;2,NOT(ISNUMBER($C348)),$C348=0),"",$C349/$C348-1)</f>
        <v>0.00911319119618681</v>
      </c>
      <c r="I349" s="52" t="n">
        <f aca="false">IF(AND(ISNUMBER($G349),$G349&gt;=MA_SHORT),AVERAGE(INDEX($C$5:$C349,346-MA_SHORT):$C349),"")</f>
        <v>918510840.8</v>
      </c>
      <c r="J349" s="52" t="n">
        <f aca="false">IF(AND(ISNUMBER($G349),$G349&gt;=MA_MED),AVERAGE(INDEX($C$5:$C349,346-MA_MED):$C349),"")</f>
        <v>911410951.96</v>
      </c>
      <c r="K349" s="52" t="n">
        <f aca="false">IF(AND(ISNUMBER($G349),$G349&gt;=MA_LONG2),AVERAGE(INDEX($C$5:$C349,346-MA_LONG2):$C349),"")</f>
        <v>879444994.415</v>
      </c>
      <c r="L349" s="53" t="n">
        <f aca="false">IF(AND(ISNUMBER($G349),$G349&gt;=21),STDEV(INDEX($H$289:$H349,62-20):$H349)*SQRT(245),"")</f>
        <v>0.138051945195859</v>
      </c>
      <c r="M349" s="52" t="n">
        <f aca="false">IF(AND(ISNUMBER($G349),$G349&gt;=60),MAX(INDEX($D$149:$D349,202-60):$D349),"")</f>
        <v>954298631</v>
      </c>
      <c r="N349" s="52" t="n">
        <f aca="false">IF(AND(ISNUMBER($G349),$G349&gt;=60),MIN(INDEX($E$149:$E349,202-60):$E349),"")</f>
        <v>870551178</v>
      </c>
      <c r="O349" s="53" t="n">
        <f aca="false">IF(OR(NOT(ISNUMBER($C349)),NOT(ISNUMBER($M349)),$M349=0),"",$C349/$M349-1)</f>
        <v>-0.055108109025465</v>
      </c>
      <c r="P349" s="54"/>
      <c r="Q349" s="53" t="str">
        <f aca="false">IF(NOT(ISNUMBER($P349)),"",IFERROR(PERCENTRANK($P$5:$P$1204,$P349),""))</f>
        <v/>
      </c>
    </row>
    <row r="350" customFormat="false" ht="15" hidden="false" customHeight="false" outlineLevel="0" collapsed="false">
      <c r="A350" s="47" t="n">
        <v>46053</v>
      </c>
      <c r="B350" s="48" t="s">
        <v>498</v>
      </c>
      <c r="C350" s="49" t="n">
        <v>916774731</v>
      </c>
      <c r="D350" s="49" t="n">
        <v>917866394</v>
      </c>
      <c r="E350" s="49" t="n">
        <v>913322688</v>
      </c>
      <c r="F350" s="49" t="n">
        <v>0</v>
      </c>
      <c r="G350" s="50" t="n">
        <f aca="false">IF($A350="","",IF(ISNUMBER($G349),$G349+1,1))</f>
        <v>346</v>
      </c>
      <c r="H350" s="51" t="n">
        <f aca="false">IF(OR(NOT(ISNUMBER($G350)),$G350&lt;2,NOT(ISNUMBER($C349)),$C349=0),"",$C350/$C349-1)</f>
        <v>0.016707931677624</v>
      </c>
      <c r="I350" s="52" t="n">
        <f aca="false">IF(AND(ISNUMBER($G350),$G350&gt;=MA_SHORT),AVERAGE(INDEX($C$5:$C350,347-MA_SHORT):$C350),"")</f>
        <v>917252401.3</v>
      </c>
      <c r="J350" s="52" t="n">
        <f aca="false">IF(AND(ISNUMBER($G350),$G350&gt;=MA_MED),AVERAGE(INDEX($C$5:$C350,347-MA_MED):$C350),"")</f>
        <v>911666915.1</v>
      </c>
      <c r="K350" s="52" t="n">
        <f aca="false">IF(AND(ISNUMBER($G350),$G350&gt;=MA_LONG2),AVERAGE(INDEX($C$5:$C350,347-MA_LONG2):$C350),"")</f>
        <v>880035742.2</v>
      </c>
      <c r="L350" s="53" t="n">
        <f aca="false">IF(AND(ISNUMBER($G350),$G350&gt;=21),STDEV(INDEX($H$290:$H350,62-20):$H350)*SQRT(245),"")</f>
        <v>0.13278843696044</v>
      </c>
      <c r="M350" s="52" t="n">
        <f aca="false">IF(AND(ISNUMBER($G350),$G350&gt;=60),MAX(INDEX($D$150:$D350,202-60):$D350),"")</f>
        <v>954298631</v>
      </c>
      <c r="N350" s="52" t="n">
        <f aca="false">IF(AND(ISNUMBER($G350),$G350&gt;=60),MIN(INDEX($E$150:$E350,202-60):$E350),"")</f>
        <v>870551178</v>
      </c>
      <c r="O350" s="53" t="n">
        <f aca="false">IF(OR(NOT(ISNUMBER($C350)),NOT(ISNUMBER($M350)),$M350=0),"",$C350/$M350-1)</f>
        <v>-0.0393209198683217</v>
      </c>
      <c r="P350" s="54"/>
      <c r="Q350" s="53" t="str">
        <f aca="false">IF(NOT(ISNUMBER($P350)),"",IFERROR(PERCENTRANK($P$5:$P$1204,$P350),""))</f>
        <v/>
      </c>
    </row>
    <row r="351" customFormat="false" ht="15" hidden="false" customHeight="false" outlineLevel="0" collapsed="false">
      <c r="A351" s="47" t="n">
        <v>46054</v>
      </c>
      <c r="B351" s="48" t="s">
        <v>499</v>
      </c>
      <c r="C351" s="49" t="n">
        <v>923448574</v>
      </c>
      <c r="D351" s="49" t="n">
        <v>930037956</v>
      </c>
      <c r="E351" s="49" t="n">
        <v>920541288</v>
      </c>
      <c r="F351" s="49" t="n">
        <v>0</v>
      </c>
      <c r="G351" s="50" t="n">
        <f aca="false">IF($A351="","",IF(ISNUMBER($G350),$G350+1,1))</f>
        <v>347</v>
      </c>
      <c r="H351" s="51" t="n">
        <f aca="false">IF(OR(NOT(ISNUMBER($G351)),$G351&lt;2,NOT(ISNUMBER($C350)),$C350=0),"",$C351/$C350-1)</f>
        <v>0.00727969780833759</v>
      </c>
      <c r="I351" s="52" t="n">
        <f aca="false">IF(AND(ISNUMBER($G351),$G351&gt;=MA_SHORT),AVERAGE(INDEX($C$5:$C351,348-MA_SHORT):$C351),"")</f>
        <v>916709757.85</v>
      </c>
      <c r="J351" s="52" t="n">
        <f aca="false">IF(AND(ISNUMBER($G351),$G351&gt;=MA_MED),AVERAGE(INDEX($C$5:$C351,348-MA_MED):$C351),"")</f>
        <v>912327000.7</v>
      </c>
      <c r="K351" s="52" t="n">
        <f aca="false">IF(AND(ISNUMBER($G351),$G351&gt;=MA_LONG2),AVERAGE(INDEX($C$5:$C351,348-MA_LONG2):$C351),"")</f>
        <v>880644064.465</v>
      </c>
      <c r="L351" s="53" t="n">
        <f aca="false">IF(AND(ISNUMBER($G351),$G351&gt;=21),STDEV(INDEX($H$291:$H351,62-20):$H351)*SQRT(245),"")</f>
        <v>0.133559765578742</v>
      </c>
      <c r="M351" s="52" t="n">
        <f aca="false">IF(AND(ISNUMBER($G351),$G351&gt;=60),MAX(INDEX($D$151:$D351,202-60):$D351),"")</f>
        <v>954298631</v>
      </c>
      <c r="N351" s="52" t="n">
        <f aca="false">IF(AND(ISNUMBER($G351),$G351&gt;=60),MIN(INDEX($E$151:$E351,202-60):$E351),"")</f>
        <v>870551178</v>
      </c>
      <c r="O351" s="53" t="n">
        <f aca="false">IF(OR(NOT(ISNUMBER($C351)),NOT(ISNUMBER($M351)),$M351=0),"",$C351/$M351-1)</f>
        <v>-0.0323274664741712</v>
      </c>
      <c r="P351" s="54"/>
      <c r="Q351" s="53" t="str">
        <f aca="false">IF(NOT(ISNUMBER($P351)),"",IFERROR(PERCENTRANK($P$5:$P$1204,$P351),""))</f>
        <v/>
      </c>
    </row>
    <row r="352" customFormat="false" ht="15" hidden="false" customHeight="false" outlineLevel="0" collapsed="false">
      <c r="A352" s="47" t="n">
        <v>46055</v>
      </c>
      <c r="B352" s="48" t="s">
        <v>500</v>
      </c>
      <c r="C352" s="49" t="n">
        <v>945567079</v>
      </c>
      <c r="D352" s="49" t="n">
        <v>948149986</v>
      </c>
      <c r="E352" s="49" t="n">
        <v>941546093</v>
      </c>
      <c r="F352" s="49" t="n">
        <v>0</v>
      </c>
      <c r="G352" s="50" t="n">
        <f aca="false">IF($A352="","",IF(ISNUMBER($G351),$G351+1,1))</f>
        <v>348</v>
      </c>
      <c r="H352" s="51" t="n">
        <f aca="false">IF(OR(NOT(ISNUMBER($G352)),$G352&lt;2,NOT(ISNUMBER($C351)),$C351=0),"",$C352/$C351-1)</f>
        <v>0.0239520701236147</v>
      </c>
      <c r="I352" s="52" t="n">
        <f aca="false">IF(AND(ISNUMBER($G352),$G352&gt;=MA_SHORT),AVERAGE(INDEX($C$5:$C352,349-MA_SHORT):$C352),"")</f>
        <v>917372059.15</v>
      </c>
      <c r="J352" s="52" t="n">
        <f aca="false">IF(AND(ISNUMBER($G352),$G352&gt;=MA_MED),AVERAGE(INDEX($C$5:$C352,349-MA_MED):$C352),"")</f>
        <v>913276129.86</v>
      </c>
      <c r="K352" s="52" t="n">
        <f aca="false">IF(AND(ISNUMBER($G352),$G352&gt;=MA_LONG2),AVERAGE(INDEX($C$5:$C352,349-MA_LONG2):$C352),"")</f>
        <v>881454238.485</v>
      </c>
      <c r="L352" s="53" t="n">
        <f aca="false">IF(AND(ISNUMBER($G352),$G352&gt;=21),STDEV(INDEX($H$292:$H352,62-20):$H352)*SQRT(245),"")</f>
        <v>0.158458709774499</v>
      </c>
      <c r="M352" s="52" t="n">
        <f aca="false">IF(AND(ISNUMBER($G352),$G352&gt;=60),MAX(INDEX($D$152:$D352,202-60):$D352),"")</f>
        <v>954298631</v>
      </c>
      <c r="N352" s="52" t="n">
        <f aca="false">IF(AND(ISNUMBER($G352),$G352&gt;=60),MIN(INDEX($E$152:$E352,202-60):$E352),"")</f>
        <v>870551178</v>
      </c>
      <c r="O352" s="53" t="n">
        <f aca="false">IF(OR(NOT(ISNUMBER($C352)),NOT(ISNUMBER($M352)),$M352=0),"",$C352/$M352-1)</f>
        <v>-0.00914970609446464</v>
      </c>
      <c r="P352" s="54"/>
      <c r="Q352" s="53" t="str">
        <f aca="false">IF(NOT(ISNUMBER($P352)),"",IFERROR(PERCENTRANK($P$5:$P$1204,$P352),""))</f>
        <v/>
      </c>
    </row>
    <row r="353" customFormat="false" ht="15" hidden="false" customHeight="false" outlineLevel="0" collapsed="false">
      <c r="A353" s="47" t="n">
        <v>46056</v>
      </c>
      <c r="B353" s="48" t="s">
        <v>501</v>
      </c>
      <c r="C353" s="49" t="n">
        <v>953331811</v>
      </c>
      <c r="D353" s="49" t="n">
        <v>955434239</v>
      </c>
      <c r="E353" s="49" t="n">
        <v>947998270</v>
      </c>
      <c r="F353" s="49" t="n">
        <v>0</v>
      </c>
      <c r="G353" s="50" t="n">
        <f aca="false">IF($A353="","",IF(ISNUMBER($G352),$G352+1,1))</f>
        <v>349</v>
      </c>
      <c r="H353" s="51" t="n">
        <f aca="false">IF(OR(NOT(ISNUMBER($G353)),$G353&lt;2,NOT(ISNUMBER($C352)),$C352=0),"",$C353/$C352-1)</f>
        <v>0.00821171990062486</v>
      </c>
      <c r="I353" s="52" t="n">
        <f aca="false">IF(AND(ISNUMBER($G353),$G353&gt;=MA_SHORT),AVERAGE(INDEX($C$5:$C353,350-MA_SHORT):$C353),"")</f>
        <v>918442275.8</v>
      </c>
      <c r="J353" s="52" t="n">
        <f aca="false">IF(AND(ISNUMBER($G353),$G353&gt;=MA_MED),AVERAGE(INDEX($C$5:$C353,350-MA_MED):$C353),"")</f>
        <v>914547531.14</v>
      </c>
      <c r="K353" s="52" t="n">
        <f aca="false">IF(AND(ISNUMBER($G353),$G353&gt;=MA_LONG2),AVERAGE(INDEX($C$5:$C353,350-MA_LONG2):$C353),"")</f>
        <v>882365133.89</v>
      </c>
      <c r="L353" s="53" t="n">
        <f aca="false">IF(AND(ISNUMBER($G353),$G353&gt;=21),STDEV(INDEX($H$293:$H353,62-20):$H353)*SQRT(245),"")</f>
        <v>0.160500458828464</v>
      </c>
      <c r="M353" s="52" t="n">
        <f aca="false">IF(AND(ISNUMBER($G353),$G353&gt;=60),MAX(INDEX($D$153:$D353,202-60):$D353),"")</f>
        <v>955434239</v>
      </c>
      <c r="N353" s="52" t="n">
        <f aca="false">IF(AND(ISNUMBER($G353),$G353&gt;=60),MIN(INDEX($E$153:$E353,202-60):$E353),"")</f>
        <v>870551178</v>
      </c>
      <c r="O353" s="53" t="n">
        <f aca="false">IF(OR(NOT(ISNUMBER($C353)),NOT(ISNUMBER($M353)),$M353=0),"",$C353/$M353-1)</f>
        <v>-0.00220049472185602</v>
      </c>
      <c r="P353" s="54"/>
      <c r="Q353" s="53" t="str">
        <f aca="false">IF(NOT(ISNUMBER($P353)),"",IFERROR(PERCENTRANK($P$5:$P$1204,$P353),""))</f>
        <v/>
      </c>
    </row>
    <row r="354" customFormat="false" ht="15" hidden="false" customHeight="false" outlineLevel="0" collapsed="false">
      <c r="A354" s="47" t="n">
        <v>46057</v>
      </c>
      <c r="B354" s="48" t="s">
        <v>502</v>
      </c>
      <c r="C354" s="49" t="n">
        <v>951036804</v>
      </c>
      <c r="D354" s="49" t="n">
        <v>954473505</v>
      </c>
      <c r="E354" s="49" t="n">
        <v>949211543</v>
      </c>
      <c r="F354" s="49" t="n">
        <v>0</v>
      </c>
      <c r="G354" s="50" t="n">
        <f aca="false">IF($A354="","",IF(ISNUMBER($G353),$G353+1,1))</f>
        <v>350</v>
      </c>
      <c r="H354" s="51" t="n">
        <f aca="false">IF(OR(NOT(ISNUMBER($G354)),$G354&lt;2,NOT(ISNUMBER($C353)),$C353=0),"",$C354/$C353-1)</f>
        <v>-0.00240735384419055</v>
      </c>
      <c r="I354" s="52" t="n">
        <f aca="false">IF(AND(ISNUMBER($G354),$G354&gt;=MA_SHORT),AVERAGE(INDEX($C$5:$C354,351-MA_SHORT):$C354),"")</f>
        <v>919567806.35</v>
      </c>
      <c r="J354" s="52" t="n">
        <f aca="false">IF(AND(ISNUMBER($G354),$G354&gt;=MA_MED),AVERAGE(INDEX($C$5:$C354,351-MA_MED):$C354),"")</f>
        <v>915991301.24</v>
      </c>
      <c r="K354" s="52" t="n">
        <f aca="false">IF(AND(ISNUMBER($G354),$G354&gt;=MA_LONG2),AVERAGE(INDEX($C$5:$C354,351-MA_LONG2):$C354),"")</f>
        <v>883261026.01</v>
      </c>
      <c r="L354" s="53" t="n">
        <f aca="false">IF(AND(ISNUMBER($G354),$G354&gt;=21),STDEV(INDEX($H$294:$H354,62-20):$H354)*SQRT(245),"")</f>
        <v>0.160076141257845</v>
      </c>
      <c r="M354" s="52" t="n">
        <f aca="false">IF(AND(ISNUMBER($G354),$G354&gt;=60),MAX(INDEX($D$154:$D354,202-60):$D354),"")</f>
        <v>955434239</v>
      </c>
      <c r="N354" s="52" t="n">
        <f aca="false">IF(AND(ISNUMBER($G354),$G354&gt;=60),MIN(INDEX($E$154:$E354,202-60):$E354),"")</f>
        <v>870551178</v>
      </c>
      <c r="O354" s="53" t="n">
        <f aca="false">IF(OR(NOT(ISNUMBER($C354)),NOT(ISNUMBER($M354)),$M354=0),"",$C354/$M354-1)</f>
        <v>-0.00460255119661879</v>
      </c>
      <c r="P354" s="54"/>
      <c r="Q354" s="53" t="str">
        <f aca="false">IF(NOT(ISNUMBER($P354)),"",IFERROR(PERCENTRANK($P$5:$P$1204,$P354),""))</f>
        <v/>
      </c>
    </row>
    <row r="355" customFormat="false" ht="15" hidden="false" customHeight="false" outlineLevel="0" collapsed="false">
      <c r="A355" s="47" t="n">
        <v>46060</v>
      </c>
      <c r="B355" s="48" t="s">
        <v>503</v>
      </c>
      <c r="C355" s="49" t="n">
        <v>945356809</v>
      </c>
      <c r="D355" s="49" t="n">
        <v>947965760</v>
      </c>
      <c r="E355" s="49" t="n">
        <v>945072057</v>
      </c>
      <c r="F355" s="49" t="n">
        <v>0</v>
      </c>
      <c r="G355" s="50" t="n">
        <f aca="false">IF($A355="","",IF(ISNUMBER($G354),$G354+1,1))</f>
        <v>351</v>
      </c>
      <c r="H355" s="51" t="n">
        <f aca="false">IF(OR(NOT(ISNUMBER($G355)),$G355&lt;2,NOT(ISNUMBER($C354)),$C354=0),"",$C355/$C354-1)</f>
        <v>-0.00597242396520337</v>
      </c>
      <c r="I355" s="52" t="n">
        <f aca="false">IF(AND(ISNUMBER($G355),$G355&gt;=MA_SHORT),AVERAGE(INDEX($C$5:$C355,352-MA_SHORT):$C355),"")</f>
        <v>920020448.65</v>
      </c>
      <c r="J355" s="52" t="n">
        <f aca="false">IF(AND(ISNUMBER($G355),$G355&gt;=MA_MED),AVERAGE(INDEX($C$5:$C355,352-MA_MED):$C355),"")</f>
        <v>917267016.5</v>
      </c>
      <c r="K355" s="52" t="n">
        <f aca="false">IF(AND(ISNUMBER($G355),$G355&gt;=MA_LONG2),AVERAGE(INDEX($C$5:$C355,352-MA_LONG2):$C355),"")</f>
        <v>884187852.905</v>
      </c>
      <c r="L355" s="53" t="n">
        <f aca="false">IF(AND(ISNUMBER($G355),$G355&gt;=21),STDEV(INDEX($H$295:$H355,62-20):$H355)*SQRT(245),"")</f>
        <v>0.159714240061968</v>
      </c>
      <c r="M355" s="52" t="n">
        <f aca="false">IF(AND(ISNUMBER($G355),$G355&gt;=60),MAX(INDEX($D$155:$D355,202-60):$D355),"")</f>
        <v>955434239</v>
      </c>
      <c r="N355" s="52" t="n">
        <f aca="false">IF(AND(ISNUMBER($G355),$G355&gt;=60),MIN(INDEX($E$155:$E355,202-60):$E355),"")</f>
        <v>870551178</v>
      </c>
      <c r="O355" s="53" t="n">
        <f aca="false">IF(OR(NOT(ISNUMBER($C355)),NOT(ISNUMBER($M355)),$M355=0),"",$C355/$M355-1)</f>
        <v>-0.0105474867747544</v>
      </c>
      <c r="P355" s="54"/>
      <c r="Q355" s="53" t="str">
        <f aca="false">IF(NOT(ISNUMBER($P355)),"",IFERROR(PERCENTRANK($P$5:$P$1204,$P355),""))</f>
        <v/>
      </c>
    </row>
    <row r="356" customFormat="false" ht="15" hidden="false" customHeight="false" outlineLevel="0" collapsed="false">
      <c r="A356" s="47" t="n">
        <v>46061</v>
      </c>
      <c r="B356" s="48" t="s">
        <v>504</v>
      </c>
      <c r="C356" s="49" t="n">
        <v>947570256</v>
      </c>
      <c r="D356" s="49" t="n">
        <v>951468976</v>
      </c>
      <c r="E356" s="49" t="n">
        <v>944515655</v>
      </c>
      <c r="F356" s="49" t="n">
        <v>0</v>
      </c>
      <c r="G356" s="50" t="n">
        <f aca="false">IF($A356="","",IF(ISNUMBER($G355),$G355+1,1))</f>
        <v>352</v>
      </c>
      <c r="H356" s="51" t="n">
        <f aca="false">IF(OR(NOT(ISNUMBER($G356)),$G356&lt;2,NOT(ISNUMBER($C355)),$C355=0),"",$C356/$C355-1)</f>
        <v>0.00234138790658456</v>
      </c>
      <c r="I356" s="52" t="n">
        <f aca="false">IF(AND(ISNUMBER($G356),$G356&gt;=MA_SHORT),AVERAGE(INDEX($C$5:$C356,353-MA_SHORT):$C356),"")</f>
        <v>920695369.8</v>
      </c>
      <c r="J356" s="52" t="n">
        <f aca="false">IF(AND(ISNUMBER($G356),$G356&gt;=MA_MED),AVERAGE(INDEX($C$5:$C356,353-MA_MED):$C356),"")</f>
        <v>918108410.3</v>
      </c>
      <c r="K356" s="52" t="n">
        <f aca="false">IF(AND(ISNUMBER($G356),$G356&gt;=MA_LONG2),AVERAGE(INDEX($C$5:$C356,353-MA_LONG2):$C356),"")</f>
        <v>885184049.63</v>
      </c>
      <c r="L356" s="53" t="n">
        <f aca="false">IF(AND(ISNUMBER($G356),$G356&gt;=21),STDEV(INDEX($H$296:$H356,62-20):$H356)*SQRT(245),"")</f>
        <v>0.159458431214448</v>
      </c>
      <c r="M356" s="52" t="n">
        <f aca="false">IF(AND(ISNUMBER($G356),$G356&gt;=60),MAX(INDEX($D$156:$D356,202-60):$D356),"")</f>
        <v>955434239</v>
      </c>
      <c r="N356" s="52" t="n">
        <f aca="false">IF(AND(ISNUMBER($G356),$G356&gt;=60),MIN(INDEX($E$156:$E356,202-60):$E356),"")</f>
        <v>870551178</v>
      </c>
      <c r="O356" s="53" t="n">
        <f aca="false">IF(OR(NOT(ISNUMBER($C356)),NOT(ISNUMBER($M356)),$M356=0),"",$C356/$M356-1)</f>
        <v>-0.00823079462614906</v>
      </c>
      <c r="P356" s="54"/>
      <c r="Q356" s="53" t="str">
        <f aca="false">IF(NOT(ISNUMBER($P356)),"",IFERROR(PERCENTRANK($P$5:$P$1204,$P356),""))</f>
        <v/>
      </c>
    </row>
    <row r="357" customFormat="false" ht="15" hidden="false" customHeight="false" outlineLevel="0" collapsed="false">
      <c r="A357" s="47" t="n">
        <v>46062</v>
      </c>
      <c r="B357" s="48" t="s">
        <v>505</v>
      </c>
      <c r="C357" s="49" t="n">
        <v>950629165</v>
      </c>
      <c r="D357" s="49" t="n">
        <v>952742879</v>
      </c>
      <c r="E357" s="49" t="n">
        <v>948681906</v>
      </c>
      <c r="F357" s="49" t="n">
        <v>0</v>
      </c>
      <c r="G357" s="50" t="n">
        <f aca="false">IF($A357="","",IF(ISNUMBER($G356),$G356+1,1))</f>
        <v>353</v>
      </c>
      <c r="H357" s="51" t="n">
        <f aca="false">IF(OR(NOT(ISNUMBER($G357)),$G357&lt;2,NOT(ISNUMBER($C356)),$C356=0),"",$C357/$C356-1)</f>
        <v>0.00322816063572184</v>
      </c>
      <c r="I357" s="52" t="n">
        <f aca="false">IF(AND(ISNUMBER($G357),$G357&gt;=MA_SHORT),AVERAGE(INDEX($C$5:$C357,354-MA_SHORT):$C357),"")</f>
        <v>921845933.55</v>
      </c>
      <c r="J357" s="52" t="n">
        <f aca="false">IF(AND(ISNUMBER($G357),$G357&gt;=MA_MED),AVERAGE(INDEX($C$5:$C357,354-MA_MED):$C357),"")</f>
        <v>919263503.32</v>
      </c>
      <c r="K357" s="52" t="n">
        <f aca="false">IF(AND(ISNUMBER($G357),$G357&gt;=MA_LONG2),AVERAGE(INDEX($C$5:$C357,354-MA_LONG2):$C357),"")</f>
        <v>886174992.19</v>
      </c>
      <c r="L357" s="53" t="n">
        <f aca="false">IF(AND(ISNUMBER($G357),$G357&gt;=21),STDEV(INDEX($H$297:$H357,62-20):$H357)*SQRT(245),"")</f>
        <v>0.157095579943964</v>
      </c>
      <c r="M357" s="52" t="n">
        <f aca="false">IF(AND(ISNUMBER($G357),$G357&gt;=60),MAX(INDEX($D$157:$D357,202-60):$D357),"")</f>
        <v>955434239</v>
      </c>
      <c r="N357" s="52" t="n">
        <f aca="false">IF(AND(ISNUMBER($G357),$G357&gt;=60),MIN(INDEX($E$157:$E357,202-60):$E357),"")</f>
        <v>870551178</v>
      </c>
      <c r="O357" s="53" t="n">
        <f aca="false">IF(OR(NOT(ISNUMBER($C357)),NOT(ISNUMBER($M357)),$M357=0),"",$C357/$M357-1)</f>
        <v>-0.00502920431764009</v>
      </c>
      <c r="P357" s="54"/>
      <c r="Q357" s="53" t="str">
        <f aca="false">IF(NOT(ISNUMBER($P357)),"",IFERROR(PERCENTRANK($P$5:$P$1204,$P357),""))</f>
        <v/>
      </c>
    </row>
    <row r="358" customFormat="false" ht="15" hidden="false" customHeight="false" outlineLevel="0" collapsed="false">
      <c r="A358" s="47" t="n">
        <v>46063</v>
      </c>
      <c r="B358" s="48" t="s">
        <v>506</v>
      </c>
      <c r="C358" s="49" t="n">
        <v>939467785</v>
      </c>
      <c r="D358" s="49" t="n">
        <v>946471921</v>
      </c>
      <c r="E358" s="49" t="n">
        <v>938357500</v>
      </c>
      <c r="F358" s="49" t="n">
        <v>0</v>
      </c>
      <c r="G358" s="50" t="n">
        <f aca="false">IF($A358="","",IF(ISNUMBER($G357),$G357+1,1))</f>
        <v>354</v>
      </c>
      <c r="H358" s="51" t="n">
        <f aca="false">IF(OR(NOT(ISNUMBER($G358)),$G358&lt;2,NOT(ISNUMBER($C357)),$C357=0),"",$C358/$C357-1)</f>
        <v>-0.0117410452055718</v>
      </c>
      <c r="I358" s="52" t="n">
        <f aca="false">IF(AND(ISNUMBER($G358),$G358&gt;=MA_SHORT),AVERAGE(INDEX($C$5:$C358,355-MA_SHORT):$C358),"")</f>
        <v>922932151.15</v>
      </c>
      <c r="J358" s="52" t="n">
        <f aca="false">IF(AND(ISNUMBER($G358),$G358&gt;=MA_MED),AVERAGE(INDEX($C$5:$C358,355-MA_MED):$C358),"")</f>
        <v>920368556.02</v>
      </c>
      <c r="K358" s="52" t="n">
        <f aca="false">IF(AND(ISNUMBER($G358),$G358&gt;=MA_LONG2),AVERAGE(INDEX($C$5:$C358,355-MA_LONG2):$C358),"")</f>
        <v>887120947.01</v>
      </c>
      <c r="L358" s="53" t="n">
        <f aca="false">IF(AND(ISNUMBER($G358),$G358&gt;=21),STDEV(INDEX($H$298:$H358,62-20):$H358)*SQRT(245),"")</f>
        <v>0.158210771357566</v>
      </c>
      <c r="M358" s="52" t="n">
        <f aca="false">IF(AND(ISNUMBER($G358),$G358&gt;=60),MAX(INDEX($D$158:$D358,202-60):$D358),"")</f>
        <v>955434239</v>
      </c>
      <c r="N358" s="52" t="n">
        <f aca="false">IF(AND(ISNUMBER($G358),$G358&gt;=60),MIN(INDEX($E$158:$E358,202-60):$E358),"")</f>
        <v>870551178</v>
      </c>
      <c r="O358" s="53" t="n">
        <f aca="false">IF(OR(NOT(ISNUMBER($C358)),NOT(ISNUMBER($M358)),$M358=0),"",$C358/$M358-1)</f>
        <v>-0.0167112014079704</v>
      </c>
      <c r="P358" s="54"/>
      <c r="Q358" s="53" t="str">
        <f aca="false">IF(NOT(ISNUMBER($P358)),"",IFERROR(PERCENTRANK($P$5:$P$1204,$P358),""))</f>
        <v/>
      </c>
    </row>
    <row r="359" customFormat="false" ht="15" hidden="false" customHeight="false" outlineLevel="0" collapsed="false">
      <c r="A359" s="47" t="n">
        <v>46064</v>
      </c>
      <c r="B359" s="48" t="s">
        <v>507</v>
      </c>
      <c r="C359" s="49" t="n">
        <v>927343063</v>
      </c>
      <c r="D359" s="49" t="n">
        <v>927816716</v>
      </c>
      <c r="E359" s="49" t="n">
        <v>926063576</v>
      </c>
      <c r="F359" s="49" t="n">
        <v>0</v>
      </c>
      <c r="G359" s="50" t="n">
        <f aca="false">IF($A359="","",IF(ISNUMBER($G358),$G358+1,1))</f>
        <v>355</v>
      </c>
      <c r="H359" s="51" t="n">
        <f aca="false">IF(OR(NOT(ISNUMBER($G359)),$G359&lt;2,NOT(ISNUMBER($C358)),$C358=0),"",$C359/$C358-1)</f>
        <v>-0.0129059475945734</v>
      </c>
      <c r="I359" s="52" t="n">
        <f aca="false">IF(AND(ISNUMBER($G359),$G359&gt;=MA_SHORT),AVERAGE(INDEX($C$5:$C359,356-MA_SHORT):$C359),"")</f>
        <v>923374424.2</v>
      </c>
      <c r="J359" s="52" t="n">
        <f aca="false">IF(AND(ISNUMBER($G359),$G359&gt;=MA_MED),AVERAGE(INDEX($C$5:$C359,356-MA_MED):$C359),"")</f>
        <v>921059970.34</v>
      </c>
      <c r="K359" s="52" t="n">
        <f aca="false">IF(AND(ISNUMBER($G359),$G359&gt;=MA_LONG2),AVERAGE(INDEX($C$5:$C359,356-MA_LONG2):$C359),"")</f>
        <v>887965885.675</v>
      </c>
      <c r="L359" s="53" t="n">
        <f aca="false">IF(AND(ISNUMBER($G359),$G359&gt;=21),STDEV(INDEX($H$299:$H359,62-20):$H359)*SQRT(245),"")</f>
        <v>0.165770198938205</v>
      </c>
      <c r="M359" s="52" t="n">
        <f aca="false">IF(AND(ISNUMBER($G359),$G359&gt;=60),MAX(INDEX($D$159:$D359,202-60):$D359),"")</f>
        <v>955434239</v>
      </c>
      <c r="N359" s="52" t="n">
        <f aca="false">IF(AND(ISNUMBER($G359),$G359&gt;=60),MIN(INDEX($E$159:$E359,202-60):$E359),"")</f>
        <v>870551178</v>
      </c>
      <c r="O359" s="53" t="n">
        <f aca="false">IF(OR(NOT(ISNUMBER($C359)),NOT(ISNUMBER($M359)),$M359=0),"",$C359/$M359-1)</f>
        <v>-0.0294014751129303</v>
      </c>
      <c r="P359" s="54"/>
      <c r="Q359" s="53" t="str">
        <f aca="false">IF(NOT(ISNUMBER($P359)),"",IFERROR(PERCENTRANK($P$5:$P$1204,$P359),""))</f>
        <v/>
      </c>
    </row>
    <row r="360" customFormat="false" ht="15" hidden="false" customHeight="false" outlineLevel="0" collapsed="false">
      <c r="A360" s="47" t="n">
        <v>46067</v>
      </c>
      <c r="B360" s="48" t="s">
        <v>508</v>
      </c>
      <c r="C360" s="49" t="n">
        <v>922773205</v>
      </c>
      <c r="D360" s="49" t="n">
        <v>925879486</v>
      </c>
      <c r="E360" s="49" t="n">
        <v>919578791</v>
      </c>
      <c r="F360" s="49" t="n">
        <v>0</v>
      </c>
      <c r="G360" s="50" t="n">
        <f aca="false">IF($A360="","",IF(ISNUMBER($G359),$G359+1,1))</f>
        <v>356</v>
      </c>
      <c r="H360" s="51" t="n">
        <f aca="false">IF(OR(NOT(ISNUMBER($G360)),$G360&lt;2,NOT(ISNUMBER($C359)),$C359=0),"",$C360/$C359-1)</f>
        <v>-0.00492790444263025</v>
      </c>
      <c r="I360" s="52" t="n">
        <f aca="false">IF(AND(ISNUMBER($G360),$G360&gt;=MA_SHORT),AVERAGE(INDEX($C$5:$C360,357-MA_SHORT):$C360),"")</f>
        <v>924413894.05</v>
      </c>
      <c r="J360" s="52" t="n">
        <f aca="false">IF(AND(ISNUMBER($G360),$G360&gt;=MA_MED),AVERAGE(INDEX($C$5:$C360,357-MA_MED):$C360),"")</f>
        <v>922078680.96</v>
      </c>
      <c r="K360" s="52" t="n">
        <f aca="false">IF(AND(ISNUMBER($G360),$G360&gt;=MA_LONG2),AVERAGE(INDEX($C$5:$C360,357-MA_LONG2):$C360),"")</f>
        <v>888805194.845</v>
      </c>
      <c r="L360" s="53" t="n">
        <f aca="false">IF(AND(ISNUMBER($G360),$G360&gt;=21),STDEV(INDEX($H$300:$H360,62-20):$H360)*SQRT(245),"")</f>
        <v>0.152760027792128</v>
      </c>
      <c r="M360" s="52" t="n">
        <f aca="false">IF(AND(ISNUMBER($G360),$G360&gt;=60),MAX(INDEX($D$160:$D360,202-60):$D360),"")</f>
        <v>955434239</v>
      </c>
      <c r="N360" s="52" t="n">
        <f aca="false">IF(AND(ISNUMBER($G360),$G360&gt;=60),MIN(INDEX($E$160:$E360,202-60):$E360),"")</f>
        <v>870551178</v>
      </c>
      <c r="O360" s="53" t="n">
        <f aca="false">IF(OR(NOT(ISNUMBER($C360)),NOT(ISNUMBER($M360)),$M360=0),"",$C360/$M360-1)</f>
        <v>-0.0341844918957316</v>
      </c>
      <c r="P360" s="54"/>
      <c r="Q360" s="53" t="str">
        <f aca="false">IF(NOT(ISNUMBER($P360)),"",IFERROR(PERCENTRANK($P$5:$P$1204,$P360),""))</f>
        <v/>
      </c>
    </row>
    <row r="361" customFormat="false" ht="15" hidden="false" customHeight="false" outlineLevel="0" collapsed="false">
      <c r="A361" s="47" t="n">
        <v>46068</v>
      </c>
      <c r="B361" s="48" t="s">
        <v>509</v>
      </c>
      <c r="C361" s="49" t="n">
        <v>936867297</v>
      </c>
      <c r="D361" s="49" t="n">
        <v>937997712</v>
      </c>
      <c r="E361" s="49" t="n">
        <v>927067484</v>
      </c>
      <c r="F361" s="49" t="n">
        <v>0</v>
      </c>
      <c r="G361" s="50" t="n">
        <f aca="false">IF($A361="","",IF(ISNUMBER($G360),$G360+1,1))</f>
        <v>357</v>
      </c>
      <c r="H361" s="51" t="n">
        <f aca="false">IF(OR(NOT(ISNUMBER($G361)),$G361&lt;2,NOT(ISNUMBER($C360)),$C360=0),"",$C361/$C360-1)</f>
        <v>0.0152736251157184</v>
      </c>
      <c r="I361" s="52" t="n">
        <f aca="false">IF(AND(ISNUMBER($G361),$G361&gt;=MA_SHORT),AVERAGE(INDEX($C$5:$C361,358-MA_SHORT):$C361),"")</f>
        <v>926047250.2</v>
      </c>
      <c r="J361" s="52" t="n">
        <f aca="false">IF(AND(ISNUMBER($G361),$G361&gt;=MA_MED),AVERAGE(INDEX($C$5:$C361,358-MA_MED):$C361),"")</f>
        <v>923211529.32</v>
      </c>
      <c r="K361" s="52" t="n">
        <f aca="false">IF(AND(ISNUMBER($G361),$G361&gt;=MA_LONG2),AVERAGE(INDEX($C$5:$C361,358-MA_LONG2):$C361),"")</f>
        <v>889728523.62</v>
      </c>
      <c r="L361" s="53" t="n">
        <f aca="false">IF(AND(ISNUMBER($G361),$G361&gt;=21),STDEV(INDEX($H$301:$H361,62-20):$H361)*SQRT(245),"")</f>
        <v>0.16052505909316</v>
      </c>
      <c r="M361" s="52" t="n">
        <f aca="false">IF(AND(ISNUMBER($G361),$G361&gt;=60),MAX(INDEX($D$161:$D361,202-60):$D361),"")</f>
        <v>955434239</v>
      </c>
      <c r="N361" s="52" t="n">
        <f aca="false">IF(AND(ISNUMBER($G361),$G361&gt;=60),MIN(INDEX($E$161:$E361,202-60):$E361),"")</f>
        <v>870551178</v>
      </c>
      <c r="O361" s="53" t="n">
        <f aca="false">IF(OR(NOT(ISNUMBER($C361)),NOT(ISNUMBER($M361)),$M361=0),"",$C361/$M361-1)</f>
        <v>-0.0194329878939999</v>
      </c>
      <c r="P361" s="54"/>
      <c r="Q361" s="53" t="str">
        <f aca="false">IF(NOT(ISNUMBER($P361)),"",IFERROR(PERCENTRANK($P$5:$P$1204,$P361),""))</f>
        <v/>
      </c>
    </row>
    <row r="362" customFormat="false" ht="15" hidden="false" customHeight="false" outlineLevel="0" collapsed="false">
      <c r="A362" s="47" t="n">
        <v>46069</v>
      </c>
      <c r="B362" s="48" t="s">
        <v>510</v>
      </c>
      <c r="C362" s="49" t="n">
        <v>926357717</v>
      </c>
      <c r="D362" s="49" t="n">
        <v>928961809</v>
      </c>
      <c r="E362" s="49" t="n">
        <v>925057789</v>
      </c>
      <c r="F362" s="49" t="n">
        <v>0</v>
      </c>
      <c r="G362" s="50" t="n">
        <f aca="false">IF($A362="","",IF(ISNUMBER($G361),$G361+1,1))</f>
        <v>358</v>
      </c>
      <c r="H362" s="51" t="n">
        <f aca="false">IF(OR(NOT(ISNUMBER($G362)),$G362&lt;2,NOT(ISNUMBER($C361)),$C361=0),"",$C362/$C361-1)</f>
        <v>-0.0112177893642498</v>
      </c>
      <c r="I362" s="52" t="n">
        <f aca="false">IF(AND(ISNUMBER($G362),$G362&gt;=MA_SHORT),AVERAGE(INDEX($C$5:$C362,359-MA_SHORT):$C362),"")</f>
        <v>926992353.55</v>
      </c>
      <c r="J362" s="52" t="n">
        <f aca="false">IF(AND(ISNUMBER($G362),$G362&gt;=MA_MED),AVERAGE(INDEX($C$5:$C362,359-MA_MED):$C362),"")</f>
        <v>923973990.22</v>
      </c>
      <c r="K362" s="52" t="n">
        <f aca="false">IF(AND(ISNUMBER($G362),$G362&gt;=MA_LONG2),AVERAGE(INDEX($C$5:$C362,359-MA_LONG2):$C362),"")</f>
        <v>890563285.17</v>
      </c>
      <c r="L362" s="53" t="n">
        <f aca="false">IF(AND(ISNUMBER($G362),$G362&gt;=21),STDEV(INDEX($H$302:$H362,62-20):$H362)*SQRT(245),"")</f>
        <v>0.166673337145719</v>
      </c>
      <c r="M362" s="52" t="n">
        <f aca="false">IF(AND(ISNUMBER($G362),$G362&gt;=60),MAX(INDEX($D$162:$D362,202-60):$D362),"")</f>
        <v>955434239</v>
      </c>
      <c r="N362" s="52" t="n">
        <f aca="false">IF(AND(ISNUMBER($G362),$G362&gt;=60),MIN(INDEX($E$162:$E362,202-60):$E362),"")</f>
        <v>870551178</v>
      </c>
      <c r="O362" s="53" t="n">
        <f aca="false">IF(OR(NOT(ISNUMBER($C362)),NOT(ISNUMBER($M362)),$M362=0),"",$C362/$M362-1)</f>
        <v>-0.0304327820933368</v>
      </c>
      <c r="P362" s="54"/>
      <c r="Q362" s="53" t="str">
        <f aca="false">IF(NOT(ISNUMBER($P362)),"",IFERROR(PERCENTRANK($P$5:$P$1204,$P362),""))</f>
        <v/>
      </c>
    </row>
    <row r="363" customFormat="false" ht="15" hidden="false" customHeight="false" outlineLevel="0" collapsed="false">
      <c r="A363" s="47" t="n">
        <v>46070</v>
      </c>
      <c r="B363" s="48" t="s">
        <v>511</v>
      </c>
      <c r="C363" s="49" t="n">
        <v>936265988</v>
      </c>
      <c r="D363" s="49" t="n">
        <v>937458617</v>
      </c>
      <c r="E363" s="49" t="n">
        <v>933462521</v>
      </c>
      <c r="F363" s="49" t="n">
        <v>0</v>
      </c>
      <c r="G363" s="50" t="n">
        <f aca="false">IF($A363="","",IF(ISNUMBER($G362),$G362+1,1))</f>
        <v>359</v>
      </c>
      <c r="H363" s="51" t="n">
        <f aca="false">IF(OR(NOT(ISNUMBER($G363)),$G363&lt;2,NOT(ISNUMBER($C362)),$C362=0),"",$C363/$C362-1)</f>
        <v>0.0106959447934301</v>
      </c>
      <c r="I363" s="52" t="n">
        <f aca="false">IF(AND(ISNUMBER($G363),$G363&gt;=MA_SHORT),AVERAGE(INDEX($C$5:$C363,360-MA_SHORT):$C363),"")</f>
        <v>928020220</v>
      </c>
      <c r="J363" s="52" t="n">
        <f aca="false">IF(AND(ISNUMBER($G363),$G363&gt;=MA_MED),AVERAGE(INDEX($C$5:$C363,360-MA_MED):$C363),"")</f>
        <v>924732826.62</v>
      </c>
      <c r="K363" s="52" t="n">
        <f aca="false">IF(AND(ISNUMBER($G363),$G363&gt;=MA_LONG2),AVERAGE(INDEX($C$5:$C363,360-MA_LONG2):$C363),"")</f>
        <v>891429094.805</v>
      </c>
      <c r="L363" s="53" t="n">
        <f aca="false">IF(AND(ISNUMBER($G363),$G363&gt;=21),STDEV(INDEX($H$303:$H363,62-20):$H363)*SQRT(245),"")</f>
        <v>0.167756310405623</v>
      </c>
      <c r="M363" s="52" t="n">
        <f aca="false">IF(AND(ISNUMBER($G363),$G363&gt;=60),MAX(INDEX($D$163:$D363,202-60):$D363),"")</f>
        <v>955434239</v>
      </c>
      <c r="N363" s="52" t="n">
        <f aca="false">IF(AND(ISNUMBER($G363),$G363&gt;=60),MIN(INDEX($E$163:$E363,202-60):$E363),"")</f>
        <v>870551178</v>
      </c>
      <c r="O363" s="53" t="n">
        <f aca="false">IF(OR(NOT(ISNUMBER($C363)),NOT(ISNUMBER($M363)),$M363=0),"",$C363/$M363-1)</f>
        <v>-0.0200623446570873</v>
      </c>
      <c r="P363" s="54"/>
      <c r="Q363" s="53" t="str">
        <f aca="false">IF(NOT(ISNUMBER($P363)),"",IFERROR(PERCENTRANK($P$5:$P$1204,$P363),""))</f>
        <v/>
      </c>
    </row>
    <row r="364" customFormat="false" ht="15" hidden="false" customHeight="false" outlineLevel="0" collapsed="false">
      <c r="A364" s="47" t="n">
        <v>46071</v>
      </c>
      <c r="B364" s="48" t="s">
        <v>512</v>
      </c>
      <c r="C364" s="49" t="n">
        <v>938139681</v>
      </c>
      <c r="D364" s="49" t="n">
        <v>943659543</v>
      </c>
      <c r="E364" s="49" t="n">
        <v>937110660</v>
      </c>
      <c r="F364" s="49" t="n">
        <v>0</v>
      </c>
      <c r="G364" s="50" t="n">
        <f aca="false">IF($A364="","",IF(ISNUMBER($G363),$G363+1,1))</f>
        <v>360</v>
      </c>
      <c r="H364" s="51" t="n">
        <f aca="false">IF(OR(NOT(ISNUMBER($G364)),$G364&lt;2,NOT(ISNUMBER($C363)),$C363=0),"",$C364/$C363-1)</f>
        <v>0.00200124005786262</v>
      </c>
      <c r="I364" s="52" t="n">
        <f aca="false">IF(AND(ISNUMBER($G364),$G364&gt;=MA_SHORT),AVERAGE(INDEX($C$5:$C364,361-MA_SHORT):$C364),"")</f>
        <v>929042889</v>
      </c>
      <c r="J364" s="52" t="n">
        <f aca="false">IF(AND(ISNUMBER($G364),$G364&gt;=MA_MED),AVERAGE(INDEX($C$5:$C364,361-MA_MED):$C364),"")</f>
        <v>925579785.42</v>
      </c>
      <c r="K364" s="52" t="n">
        <f aca="false">IF(AND(ISNUMBER($G364),$G364&gt;=MA_LONG2),AVERAGE(INDEX($C$5:$C364,361-MA_LONG2):$C364),"")</f>
        <v>892239060.195</v>
      </c>
      <c r="L364" s="53" t="n">
        <f aca="false">IF(AND(ISNUMBER($G364),$G364&gt;=21),STDEV(INDEX($H$304:$H364,62-20):$H364)*SQRT(245),"")</f>
        <v>0.16774511297846</v>
      </c>
      <c r="M364" s="52" t="n">
        <f aca="false">IF(AND(ISNUMBER($G364),$G364&gt;=60),MAX(INDEX($D$164:$D364,202-60):$D364),"")</f>
        <v>955434239</v>
      </c>
      <c r="N364" s="52" t="n">
        <f aca="false">IF(AND(ISNUMBER($G364),$G364&gt;=60),MIN(INDEX($E$164:$E364,202-60):$E364),"")</f>
        <v>870551178</v>
      </c>
      <c r="O364" s="53" t="n">
        <f aca="false">IF(OR(NOT(ISNUMBER($C364)),NOT(ISNUMBER($M364)),$M364=0),"",$C364/$M364-1)</f>
        <v>-0.0181012541670071</v>
      </c>
      <c r="P364" s="54"/>
      <c r="Q364" s="53" t="str">
        <f aca="false">IF(NOT(ISNUMBER($P364)),"",IFERROR(PERCENTRANK($P$5:$P$1204,$P364),""))</f>
        <v/>
      </c>
    </row>
    <row r="365" customFormat="false" ht="15" hidden="false" customHeight="false" outlineLevel="0" collapsed="false">
      <c r="A365" s="47" t="n">
        <v>46074</v>
      </c>
      <c r="B365" s="48" t="s">
        <v>513</v>
      </c>
      <c r="C365" s="49" t="n">
        <v>949028632</v>
      </c>
      <c r="D365" s="49" t="n">
        <v>950426411</v>
      </c>
      <c r="E365" s="49" t="n">
        <v>948540876</v>
      </c>
      <c r="F365" s="49" t="n">
        <v>0</v>
      </c>
      <c r="G365" s="50" t="n">
        <f aca="false">IF($A365="","",IF(ISNUMBER($G364),$G364+1,1))</f>
        <v>361</v>
      </c>
      <c r="H365" s="51" t="n">
        <f aca="false">IF(OR(NOT(ISNUMBER($G365)),$G365&lt;2,NOT(ISNUMBER($C364)),$C364=0),"",$C365/$C364-1)</f>
        <v>0.011606961330527</v>
      </c>
      <c r="I365" s="52" t="n">
        <f aca="false">IF(AND(ISNUMBER($G365),$G365&gt;=MA_SHORT),AVERAGE(INDEX($C$5:$C365,362-MA_SHORT):$C365),"")</f>
        <v>930580075.2</v>
      </c>
      <c r="J365" s="52" t="n">
        <f aca="false">IF(AND(ISNUMBER($G365),$G365&gt;=MA_MED),AVERAGE(INDEX($C$5:$C365,362-MA_MED):$C365),"")</f>
        <v>926355066.1</v>
      </c>
      <c r="K365" s="52" t="n">
        <f aca="false">IF(AND(ISNUMBER($G365),$G365&gt;=MA_LONG2),AVERAGE(INDEX($C$5:$C365,362-MA_LONG2):$C365),"")</f>
        <v>893088973.135</v>
      </c>
      <c r="L365" s="53" t="n">
        <f aca="false">IF(AND(ISNUMBER($G365),$G365&gt;=21),STDEV(INDEX($H$305:$H365,62-20):$H365)*SQRT(245),"")</f>
        <v>0.171656221186627</v>
      </c>
      <c r="M365" s="52" t="n">
        <f aca="false">IF(AND(ISNUMBER($G365),$G365&gt;=60),MAX(INDEX($D$165:$D365,202-60):$D365),"")</f>
        <v>955434239</v>
      </c>
      <c r="N365" s="52" t="n">
        <f aca="false">IF(AND(ISNUMBER($G365),$G365&gt;=60),MIN(INDEX($E$165:$E365,202-60):$E365),"")</f>
        <v>870551178</v>
      </c>
      <c r="O365" s="53" t="n">
        <f aca="false">IF(OR(NOT(ISNUMBER($C365)),NOT(ISNUMBER($M365)),$M365=0),"",$C365/$M365-1)</f>
        <v>-0.00670439339363049</v>
      </c>
      <c r="P365" s="54"/>
      <c r="Q365" s="53" t="str">
        <f aca="false">IF(NOT(ISNUMBER($P365)),"",IFERROR(PERCENTRANK($P$5:$P$1204,$P365),""))</f>
        <v/>
      </c>
    </row>
    <row r="366" customFormat="false" ht="15" hidden="false" customHeight="false" outlineLevel="0" collapsed="false">
      <c r="A366" s="47" t="n">
        <v>46075</v>
      </c>
      <c r="B366" s="48" t="s">
        <v>514</v>
      </c>
      <c r="C366" s="49" t="n">
        <v>938657245</v>
      </c>
      <c r="D366" s="49" t="n">
        <v>941322592</v>
      </c>
      <c r="E366" s="49" t="n">
        <v>933374385</v>
      </c>
      <c r="F366" s="49" t="n">
        <v>0</v>
      </c>
      <c r="G366" s="50" t="n">
        <f aca="false">IF($A366="","",IF(ISNUMBER($G365),$G365+1,1))</f>
        <v>362</v>
      </c>
      <c r="H366" s="51" t="n">
        <f aca="false">IF(OR(NOT(ISNUMBER($G366)),$G366&lt;2,NOT(ISNUMBER($C365)),$C365=0),"",$C366/$C365-1)</f>
        <v>-0.0109284237063988</v>
      </c>
      <c r="I366" s="52" t="n">
        <f aca="false">IF(AND(ISNUMBER($G366),$G366&gt;=MA_SHORT),AVERAGE(INDEX($C$5:$C366,363-MA_SHORT):$C366),"")</f>
        <v>932243379.35</v>
      </c>
      <c r="J366" s="52" t="n">
        <f aca="false">IF(AND(ISNUMBER($G366),$G366&gt;=MA_MED),AVERAGE(INDEX($C$5:$C366,363-MA_MED):$C366),"")</f>
        <v>926877186.82</v>
      </c>
      <c r="K366" s="52" t="n">
        <f aca="false">IF(AND(ISNUMBER($G366),$G366&gt;=MA_LONG2),AVERAGE(INDEX($C$5:$C366,363-MA_LONG2):$C366),"")</f>
        <v>893932903.155</v>
      </c>
      <c r="L366" s="53" t="n">
        <f aca="false">IF(AND(ISNUMBER($G366),$G366&gt;=21),STDEV(INDEX($H$306:$H366,62-20):$H366)*SQRT(245),"")</f>
        <v>0.168287084556484</v>
      </c>
      <c r="M366" s="52" t="n">
        <f aca="false">IF(AND(ISNUMBER($G366),$G366&gt;=60),MAX(INDEX($D$166:$D366,202-60):$D366),"")</f>
        <v>955434239</v>
      </c>
      <c r="N366" s="52" t="n">
        <f aca="false">IF(AND(ISNUMBER($G366),$G366&gt;=60),MIN(INDEX($E$166:$E366,202-60):$E366),"")</f>
        <v>870551178</v>
      </c>
      <c r="O366" s="53" t="n">
        <f aca="false">IF(OR(NOT(ISNUMBER($C366)),NOT(ISNUMBER($M366)),$M366=0),"",$C366/$M366-1)</f>
        <v>-0.0175595486483293</v>
      </c>
      <c r="P366" s="54"/>
      <c r="Q366" s="53" t="str">
        <f aca="false">IF(NOT(ISNUMBER($P366)),"",IFERROR(PERCENTRANK($P$5:$P$1204,$P366),""))</f>
        <v/>
      </c>
    </row>
    <row r="367" customFormat="false" ht="15" hidden="false" customHeight="false" outlineLevel="0" collapsed="false">
      <c r="A367" s="47" t="n">
        <v>46076</v>
      </c>
      <c r="B367" s="48" t="s">
        <v>515</v>
      </c>
      <c r="C367" s="49" t="n">
        <v>922170818</v>
      </c>
      <c r="D367" s="49" t="n">
        <v>924377386</v>
      </c>
      <c r="E367" s="49" t="n">
        <v>915454932</v>
      </c>
      <c r="F367" s="49" t="n">
        <v>0</v>
      </c>
      <c r="G367" s="50" t="n">
        <f aca="false">IF($A367="","",IF(ISNUMBER($G366),$G366+1,1))</f>
        <v>363</v>
      </c>
      <c r="H367" s="51" t="n">
        <f aca="false">IF(OR(NOT(ISNUMBER($G367)),$G367&lt;2,NOT(ISNUMBER($C366)),$C366=0),"",$C367/$C366-1)</f>
        <v>-0.0175638414211569</v>
      </c>
      <c r="I367" s="52" t="n">
        <f aca="false">IF(AND(ISNUMBER($G367),$G367&gt;=MA_SHORT),AVERAGE(INDEX($C$5:$C367,364-MA_SHORT):$C367),"")</f>
        <v>933303075</v>
      </c>
      <c r="J367" s="52" t="n">
        <f aca="false">IF(AND(ISNUMBER($G367),$G367&gt;=MA_MED),AVERAGE(INDEX($C$5:$C367,364-MA_MED):$C367),"")</f>
        <v>926973737.34</v>
      </c>
      <c r="K367" s="52" t="n">
        <f aca="false">IF(AND(ISNUMBER($G367),$G367&gt;=MA_LONG2),AVERAGE(INDEX($C$5:$C367,364-MA_LONG2):$C367),"")</f>
        <v>894696764.285</v>
      </c>
      <c r="L367" s="53" t="n">
        <f aca="false">IF(AND(ISNUMBER($G367),$G367&gt;=21),STDEV(INDEX($H$307:$H367,62-20):$H367)*SQRT(245),"")</f>
        <v>0.180268981389397</v>
      </c>
      <c r="M367" s="52" t="n">
        <f aca="false">IF(AND(ISNUMBER($G367),$G367&gt;=60),MAX(INDEX($D$167:$D367,202-60):$D367),"")</f>
        <v>955434239</v>
      </c>
      <c r="N367" s="52" t="n">
        <f aca="false">IF(AND(ISNUMBER($G367),$G367&gt;=60),MIN(INDEX($E$167:$E367,202-60):$E367),"")</f>
        <v>870551178</v>
      </c>
      <c r="O367" s="53" t="n">
        <f aca="false">IF(OR(NOT(ISNUMBER($C367)),NOT(ISNUMBER($M367)),$M367=0),"",$C367/$M367-1)</f>
        <v>-0.0348149769415999</v>
      </c>
      <c r="P367" s="54"/>
      <c r="Q367" s="53" t="str">
        <f aca="false">IF(NOT(ISNUMBER($P367)),"",IFERROR(PERCENTRANK($P$5:$P$1204,$P367),""))</f>
        <v/>
      </c>
    </row>
    <row r="368" customFormat="false" ht="15" hidden="false" customHeight="false" outlineLevel="0" collapsed="false">
      <c r="A368" s="47" t="n">
        <v>46077</v>
      </c>
      <c r="B368" s="48" t="s">
        <v>516</v>
      </c>
      <c r="C368" s="49" t="n">
        <v>925166742</v>
      </c>
      <c r="D368" s="49" t="n">
        <v>935190095</v>
      </c>
      <c r="E368" s="49" t="n">
        <v>924404995</v>
      </c>
      <c r="F368" s="49" t="n">
        <v>0</v>
      </c>
      <c r="G368" s="50" t="n">
        <f aca="false">IF($A368="","",IF(ISNUMBER($G367),$G367+1,1))</f>
        <v>364</v>
      </c>
      <c r="H368" s="51" t="n">
        <f aca="false">IF(OR(NOT(ISNUMBER($G368)),$G368&lt;2,NOT(ISNUMBER($C367)),$C367=0),"",$C368/$C367-1)</f>
        <v>0.00324877337421881</v>
      </c>
      <c r="I368" s="52" t="n">
        <f aca="false">IF(AND(ISNUMBER($G368),$G368&gt;=MA_SHORT),AVERAGE(INDEX($C$5:$C368,365-MA_SHORT):$C368),"")</f>
        <v>934883122</v>
      </c>
      <c r="J368" s="52" t="n">
        <f aca="false">IF(AND(ISNUMBER($G368),$G368&gt;=MA_MED),AVERAGE(INDEX($C$5:$C368,365-MA_MED):$C368),"")</f>
        <v>927233294.88</v>
      </c>
      <c r="K368" s="52" t="n">
        <f aca="false">IF(AND(ISNUMBER($G368),$G368&gt;=MA_LONG2),AVERAGE(INDEX($C$5:$C368,365-MA_LONG2):$C368),"")</f>
        <v>895538506.74</v>
      </c>
      <c r="L368" s="53" t="n">
        <f aca="false">IF(AND(ISNUMBER($G368),$G368&gt;=21),STDEV(INDEX($H$308:$H368,62-20):$H368)*SQRT(245),"")</f>
        <v>0.176954304152329</v>
      </c>
      <c r="M368" s="52" t="n">
        <f aca="false">IF(AND(ISNUMBER($G368),$G368&gt;=60),MAX(INDEX($D$168:$D368,202-60):$D368),"")</f>
        <v>955434239</v>
      </c>
      <c r="N368" s="52" t="n">
        <f aca="false">IF(AND(ISNUMBER($G368),$G368&gt;=60),MIN(INDEX($E$168:$E368,202-60):$E368),"")</f>
        <v>870551178</v>
      </c>
      <c r="O368" s="53" t="n">
        <f aca="false">IF(OR(NOT(ISNUMBER($C368)),NOT(ISNUMBER($M368)),$M368=0),"",$C368/$M368-1)</f>
        <v>-0.031679309537493</v>
      </c>
      <c r="P368" s="54"/>
      <c r="Q368" s="53" t="str">
        <f aca="false">IF(NOT(ISNUMBER($P368)),"",IFERROR(PERCENTRANK($P$5:$P$1204,$P368),""))</f>
        <v/>
      </c>
    </row>
    <row r="369" customFormat="false" ht="15" hidden="false" customHeight="false" outlineLevel="0" collapsed="false">
      <c r="A369" s="47" t="n">
        <v>46078</v>
      </c>
      <c r="B369" s="48" t="s">
        <v>517</v>
      </c>
      <c r="C369" s="49" t="n">
        <v>933428405</v>
      </c>
      <c r="D369" s="49" t="n">
        <v>938936412</v>
      </c>
      <c r="E369" s="49" t="n">
        <v>928316994</v>
      </c>
      <c r="F369" s="49" t="n">
        <v>0</v>
      </c>
      <c r="G369" s="50" t="n">
        <f aca="false">IF($A369="","",IF(ISNUMBER($G368),$G368+1,1))</f>
        <v>365</v>
      </c>
      <c r="H369" s="51" t="n">
        <f aca="false">IF(OR(NOT(ISNUMBER($G369)),$G369&lt;2,NOT(ISNUMBER($C368)),$C368=0),"",$C369/$C368-1)</f>
        <v>0.00892991784609576</v>
      </c>
      <c r="I369" s="52" t="n">
        <f aca="false">IF(AND(ISNUMBER($G369),$G369&gt;=MA_SHORT),AVERAGE(INDEX($C$5:$C369,366-MA_SHORT):$C369),"")</f>
        <v>936469090.35</v>
      </c>
      <c r="J369" s="52" t="n">
        <f aca="false">IF(AND(ISNUMBER($G369),$G369&gt;=MA_MED),AVERAGE(INDEX($C$5:$C369,366-MA_MED):$C369),"")</f>
        <v>927614202.8</v>
      </c>
      <c r="K369" s="52" t="n">
        <f aca="false">IF(AND(ISNUMBER($G369),$G369&gt;=MA_LONG2),AVERAGE(INDEX($C$5:$C369,366-MA_LONG2):$C369),"")</f>
        <v>896371881.755</v>
      </c>
      <c r="L369" s="53" t="n">
        <f aca="false">IF(AND(ISNUMBER($G369),$G369&gt;=21),STDEV(INDEX($H$309:$H369,62-20):$H369)*SQRT(245),"")</f>
        <v>0.176857768574818</v>
      </c>
      <c r="M369" s="52" t="n">
        <f aca="false">IF(AND(ISNUMBER($G369),$G369&gt;=60),MAX(INDEX($D$169:$D369,202-60):$D369),"")</f>
        <v>955434239</v>
      </c>
      <c r="N369" s="52" t="n">
        <f aca="false">IF(AND(ISNUMBER($G369),$G369&gt;=60),MIN(INDEX($E$169:$E369,202-60):$E369),"")</f>
        <v>870551178</v>
      </c>
      <c r="O369" s="53" t="n">
        <f aca="false">IF(OR(NOT(ISNUMBER($C369)),NOT(ISNUMBER($M369)),$M369=0),"",$C369/$M369-1)</f>
        <v>-0.0230322853229881</v>
      </c>
      <c r="P369" s="54"/>
      <c r="Q369" s="53" t="str">
        <f aca="false">IF(NOT(ISNUMBER($P369)),"",IFERROR(PERCENTRANK($P$5:$P$1204,$P369),""))</f>
        <v/>
      </c>
    </row>
    <row r="370" customFormat="false" ht="15" hidden="false" customHeight="false" outlineLevel="0" collapsed="false">
      <c r="A370" s="47" t="n">
        <v>46081</v>
      </c>
      <c r="B370" s="48" t="s">
        <v>518</v>
      </c>
      <c r="C370" s="49" t="n">
        <v>935280568</v>
      </c>
      <c r="D370" s="49" t="n">
        <v>936345715</v>
      </c>
      <c r="E370" s="49" t="n">
        <v>934237380</v>
      </c>
      <c r="F370" s="49" t="n">
        <v>0</v>
      </c>
      <c r="G370" s="50" t="n">
        <f aca="false">IF($A370="","",IF(ISNUMBER($G369),$G369+1,1))</f>
        <v>366</v>
      </c>
      <c r="H370" s="51" t="n">
        <f aca="false">IF(OR(NOT(ISNUMBER($G370)),$G370&lt;2,NOT(ISNUMBER($C369)),$C369=0),"",$C370/$C369-1)</f>
        <v>0.00198425823563841</v>
      </c>
      <c r="I370" s="52" t="n">
        <f aca="false">IF(AND(ISNUMBER($G370),$G370&gt;=MA_SHORT),AVERAGE(INDEX($C$5:$C370,367-MA_SHORT):$C370),"")</f>
        <v>937394382.2</v>
      </c>
      <c r="J370" s="52" t="n">
        <f aca="false">IF(AND(ISNUMBER($G370),$G370&gt;=MA_MED),AVERAGE(INDEX($C$5:$C370,367-MA_MED):$C370),"")</f>
        <v>927876868.78</v>
      </c>
      <c r="K370" s="52" t="n">
        <f aca="false">IF(AND(ISNUMBER($G370),$G370&gt;=MA_LONG2),AVERAGE(INDEX($C$5:$C370,367-MA_LONG2):$C370),"")</f>
        <v>897264552.585</v>
      </c>
      <c r="L370" s="53" t="n">
        <f aca="false">IF(AND(ISNUMBER($G370),$G370&gt;=21),STDEV(INDEX($H$310:$H370,62-20):$H370)*SQRT(245),"")</f>
        <v>0.168136767561282</v>
      </c>
      <c r="M370" s="52" t="n">
        <f aca="false">IF(AND(ISNUMBER($G370),$G370&gt;=60),MAX(INDEX($D$170:$D370,202-60):$D370),"")</f>
        <v>955434239</v>
      </c>
      <c r="N370" s="52" t="n">
        <f aca="false">IF(AND(ISNUMBER($G370),$G370&gt;=60),MIN(INDEX($E$170:$E370,202-60):$E370),"")</f>
        <v>879013627</v>
      </c>
      <c r="O370" s="53" t="n">
        <f aca="false">IF(OR(NOT(ISNUMBER($C370)),NOT(ISNUMBER($M370)),$M370=0),"",$C370/$M370-1)</f>
        <v>-0.0210937290891875</v>
      </c>
      <c r="P370" s="54"/>
      <c r="Q370" s="53" t="str">
        <f aca="false">IF(NOT(ISNUMBER($P370)),"",IFERROR(PERCENTRANK($P$5:$P$1204,$P370),""))</f>
        <v/>
      </c>
    </row>
    <row r="371" customFormat="false" ht="15" hidden="false" customHeight="false" outlineLevel="0" collapsed="false">
      <c r="A371" s="47" t="n">
        <v>46082</v>
      </c>
      <c r="B371" s="48" t="s">
        <v>519</v>
      </c>
      <c r="C371" s="49" t="n">
        <v>952644250</v>
      </c>
      <c r="D371" s="49" t="n">
        <v>957229546</v>
      </c>
      <c r="E371" s="49" t="n">
        <v>951841659</v>
      </c>
      <c r="F371" s="49" t="n">
        <v>0</v>
      </c>
      <c r="G371" s="50" t="n">
        <f aca="false">IF($A371="","",IF(ISNUMBER($G370),$G370+1,1))</f>
        <v>367</v>
      </c>
      <c r="H371" s="51" t="n">
        <f aca="false">IF(OR(NOT(ISNUMBER($G371)),$G371&lt;2,NOT(ISNUMBER($C370)),$C370=0),"",$C371/$C370-1)</f>
        <v>0.018565211973911</v>
      </c>
      <c r="I371" s="52" t="n">
        <f aca="false">IF(AND(ISNUMBER($G371),$G371&gt;=MA_SHORT),AVERAGE(INDEX($C$5:$C371,368-MA_SHORT):$C371),"")</f>
        <v>938854166</v>
      </c>
      <c r="J371" s="52" t="n">
        <f aca="false">IF(AND(ISNUMBER($G371),$G371&gt;=MA_MED),AVERAGE(INDEX($C$5:$C371,368-MA_MED):$C371),"")</f>
        <v>928733478.26</v>
      </c>
      <c r="K371" s="52" t="n">
        <f aca="false">IF(AND(ISNUMBER($G371),$G371&gt;=MA_LONG2),AVERAGE(INDEX($C$5:$C371,368-MA_LONG2):$C371),"")</f>
        <v>898238451.445</v>
      </c>
      <c r="L371" s="53" t="n">
        <f aca="false">IF(AND(ISNUMBER($G371),$G371&gt;=21),STDEV(INDEX($H$311:$H371,62-20):$H371)*SQRT(245),"")</f>
        <v>0.177882010052159</v>
      </c>
      <c r="M371" s="52" t="n">
        <f aca="false">IF(AND(ISNUMBER($G371),$G371&gt;=60),MAX(INDEX($D$171:$D371,202-60):$D371),"")</f>
        <v>957229546</v>
      </c>
      <c r="N371" s="52" t="n">
        <f aca="false">IF(AND(ISNUMBER($G371),$G371&gt;=60),MIN(INDEX($E$171:$E371,202-60):$E371),"")</f>
        <v>882040307</v>
      </c>
      <c r="O371" s="53" t="n">
        <f aca="false">IF(OR(NOT(ISNUMBER($C371)),NOT(ISNUMBER($M371)),$M371=0),"",$C371/$M371-1)</f>
        <v>-0.00479017391299785</v>
      </c>
      <c r="P371" s="54"/>
      <c r="Q371" s="53" t="str">
        <f aca="false">IF(NOT(ISNUMBER($P371)),"",IFERROR(PERCENTRANK($P$5:$P$1204,$P371),""))</f>
        <v/>
      </c>
    </row>
    <row r="372" customFormat="false" ht="15" hidden="false" customHeight="false" outlineLevel="0" collapsed="false">
      <c r="A372" s="47" t="n">
        <v>46083</v>
      </c>
      <c r="B372" s="48" t="s">
        <v>520</v>
      </c>
      <c r="C372" s="49" t="n">
        <v>929119500</v>
      </c>
      <c r="D372" s="49" t="n">
        <v>940500754</v>
      </c>
      <c r="E372" s="49" t="n">
        <v>925350978</v>
      </c>
      <c r="F372" s="49" t="n">
        <v>0</v>
      </c>
      <c r="G372" s="50" t="n">
        <f aca="false">IF($A372="","",IF(ISNUMBER($G371),$G371+1,1))</f>
        <v>368</v>
      </c>
      <c r="H372" s="51" t="n">
        <f aca="false">IF(OR(NOT(ISNUMBER($G372)),$G372&lt;2,NOT(ISNUMBER($C371)),$C371=0),"",$C372/$C371-1)</f>
        <v>-0.0246941604906553</v>
      </c>
      <c r="I372" s="52" t="n">
        <f aca="false">IF(AND(ISNUMBER($G372),$G372&gt;=MA_SHORT),AVERAGE(INDEX($C$5:$C372,369-MA_SHORT):$C372),"")</f>
        <v>938031787.05</v>
      </c>
      <c r="J372" s="52" t="n">
        <f aca="false">IF(AND(ISNUMBER($G372),$G372&gt;=MA_MED),AVERAGE(INDEX($C$5:$C372,369-MA_MED):$C372),"")</f>
        <v>929408200.98</v>
      </c>
      <c r="K372" s="52" t="n">
        <f aca="false">IF(AND(ISNUMBER($G372),$G372&gt;=MA_LONG2),AVERAGE(INDEX($C$5:$C372,369-MA_LONG2):$C372),"")</f>
        <v>899075497.14</v>
      </c>
      <c r="L372" s="53" t="n">
        <f aca="false">IF(AND(ISNUMBER($G372),$G372&gt;=21),STDEV(INDEX($H$312:$H372,62-20):$H372)*SQRT(245),"")</f>
        <v>0.180589474645941</v>
      </c>
      <c r="M372" s="52" t="n">
        <f aca="false">IF(AND(ISNUMBER($G372),$G372&gt;=60),MAX(INDEX($D$172:$D372,202-60):$D372),"")</f>
        <v>957229546</v>
      </c>
      <c r="N372" s="52" t="n">
        <f aca="false">IF(AND(ISNUMBER($G372),$G372&gt;=60),MIN(INDEX($E$172:$E372,202-60):$E372),"")</f>
        <v>886981184</v>
      </c>
      <c r="O372" s="53" t="n">
        <f aca="false">IF(OR(NOT(ISNUMBER($C372)),NOT(ISNUMBER($M372)),$M372=0),"",$C372/$M372-1)</f>
        <v>-0.0293660450802675</v>
      </c>
      <c r="P372" s="54"/>
      <c r="Q372" s="53" t="str">
        <f aca="false">IF(NOT(ISNUMBER($P372)),"",IFERROR(PERCENTRANK($P$5:$P$1204,$P372),""))</f>
        <v/>
      </c>
    </row>
    <row r="373" customFormat="false" ht="15" hidden="false" customHeight="false" outlineLevel="0" collapsed="false">
      <c r="A373" s="47" t="n">
        <v>46084</v>
      </c>
      <c r="B373" s="48" t="s">
        <v>521</v>
      </c>
      <c r="C373" s="49" t="n">
        <v>896501754</v>
      </c>
      <c r="D373" s="49" t="n">
        <v>898188739</v>
      </c>
      <c r="E373" s="49" t="n">
        <v>893444963</v>
      </c>
      <c r="F373" s="49" t="n">
        <v>0</v>
      </c>
      <c r="G373" s="50" t="n">
        <f aca="false">IF($A373="","",IF(ISNUMBER($G372),$G372+1,1))</f>
        <v>369</v>
      </c>
      <c r="H373" s="51" t="n">
        <f aca="false">IF(OR(NOT(ISNUMBER($G373)),$G373&lt;2,NOT(ISNUMBER($C372)),$C372=0),"",$C373/$C372-1)</f>
        <v>-0.035106082694422</v>
      </c>
      <c r="I373" s="52" t="n">
        <f aca="false">IF(AND(ISNUMBER($G373),$G373&gt;=MA_SHORT),AVERAGE(INDEX($C$5:$C373,370-MA_SHORT):$C373),"")</f>
        <v>935190284.2</v>
      </c>
      <c r="J373" s="52" t="n">
        <f aca="false">IF(AND(ISNUMBER($G373),$G373&gt;=MA_MED),AVERAGE(INDEX($C$5:$C373,370-MA_MED):$C373),"")</f>
        <v>929157912.46</v>
      </c>
      <c r="K373" s="52" t="n">
        <f aca="false">IF(AND(ISNUMBER($G373),$G373&gt;=MA_LONG2),AVERAGE(INDEX($C$5:$C373,370-MA_LONG2):$C373),"")</f>
        <v>899675499.41</v>
      </c>
      <c r="L373" s="53" t="n">
        <f aca="false">IF(AND(ISNUMBER($G373),$G373&gt;=21),STDEV(INDEX($H$313:$H373,62-20):$H373)*SQRT(245),"")</f>
        <v>0.213345475856852</v>
      </c>
      <c r="M373" s="52" t="n">
        <f aca="false">IF(AND(ISNUMBER($G373),$G373&gt;=60),MAX(INDEX($D$173:$D373,202-60):$D373),"")</f>
        <v>957229546</v>
      </c>
      <c r="N373" s="52" t="n">
        <f aca="false">IF(AND(ISNUMBER($G373),$G373&gt;=60),MIN(INDEX($E$173:$E373,202-60):$E373),"")</f>
        <v>886981184</v>
      </c>
      <c r="O373" s="53" t="n">
        <f aca="false">IF(OR(NOT(ISNUMBER($C373)),NOT(ISNUMBER($M373)),$M373=0),"",$C373/$M373-1)</f>
        <v>-0.0634412009676935</v>
      </c>
      <c r="P373" s="54"/>
      <c r="Q373" s="53" t="str">
        <f aca="false">IF(NOT(ISNUMBER($P373)),"",IFERROR(PERCENTRANK($P$5:$P$1204,$P373),""))</f>
        <v/>
      </c>
    </row>
    <row r="374" customFormat="false" ht="15" hidden="false" customHeight="false" outlineLevel="0" collapsed="false">
      <c r="A374" s="47" t="n">
        <v>46085</v>
      </c>
      <c r="B374" s="48" t="s">
        <v>522</v>
      </c>
      <c r="C374" s="49" t="n">
        <v>902828442</v>
      </c>
      <c r="D374" s="49" t="n">
        <v>908844176</v>
      </c>
      <c r="E374" s="49" t="n">
        <v>899946259</v>
      </c>
      <c r="F374" s="49" t="n">
        <v>0</v>
      </c>
      <c r="G374" s="50" t="n">
        <f aca="false">IF($A374="","",IF(ISNUMBER($G373),$G373+1,1))</f>
        <v>370</v>
      </c>
      <c r="H374" s="51" t="n">
        <f aca="false">IF(OR(NOT(ISNUMBER($G374)),$G374&lt;2,NOT(ISNUMBER($C373)),$C373=0),"",$C374/$C373-1)</f>
        <v>0.007057083794618</v>
      </c>
      <c r="I374" s="52" t="n">
        <f aca="false">IF(AND(ISNUMBER($G374),$G374&gt;=MA_SHORT),AVERAGE(INDEX($C$5:$C374,371-MA_SHORT):$C374),"")</f>
        <v>932779866.1</v>
      </c>
      <c r="J374" s="52" t="n">
        <f aca="false">IF(AND(ISNUMBER($G374),$G374&gt;=MA_MED),AVERAGE(INDEX($C$5:$C374,371-MA_MED):$C374),"")</f>
        <v>928319271.9</v>
      </c>
      <c r="K374" s="52" t="n">
        <f aca="false">IF(AND(ISNUMBER($G374),$G374&gt;=MA_LONG2),AVERAGE(INDEX($C$5:$C374,371-MA_LONG2):$C374),"")</f>
        <v>900293667.855</v>
      </c>
      <c r="L374" s="53" t="n">
        <f aca="false">IF(AND(ISNUMBER($G374),$G374&gt;=21),STDEV(INDEX($H$314:$H374,62-20):$H374)*SQRT(245),"")</f>
        <v>0.216224970316139</v>
      </c>
      <c r="M374" s="52" t="n">
        <f aca="false">IF(AND(ISNUMBER($G374),$G374&gt;=60),MAX(INDEX($D$174:$D374,202-60):$D374),"")</f>
        <v>957229546</v>
      </c>
      <c r="N374" s="52" t="n">
        <f aca="false">IF(AND(ISNUMBER($G374),$G374&gt;=60),MIN(INDEX($E$174:$E374,202-60):$E374),"")</f>
        <v>886981184</v>
      </c>
      <c r="O374" s="53" t="n">
        <f aca="false">IF(OR(NOT(ISNUMBER($C374)),NOT(ISNUMBER($M374)),$M374=0),"",$C374/$M374-1)</f>
        <v>-0.0568318270443358</v>
      </c>
      <c r="P374" s="54"/>
      <c r="Q374" s="53" t="str">
        <f aca="false">IF(NOT(ISNUMBER($P374)),"",IFERROR(PERCENTRANK($P$5:$P$1204,$P374),""))</f>
        <v/>
      </c>
    </row>
    <row r="375" customFormat="false" ht="15" hidden="false" customHeight="false" outlineLevel="0" collapsed="false">
      <c r="A375" s="47" t="n">
        <v>46088</v>
      </c>
      <c r="B375" s="48" t="s">
        <v>523</v>
      </c>
      <c r="C375" s="49" t="n">
        <v>883074257</v>
      </c>
      <c r="D375" s="49" t="n">
        <v>883886529</v>
      </c>
      <c r="E375" s="49" t="n">
        <v>879348159</v>
      </c>
      <c r="F375" s="49" t="n">
        <v>0</v>
      </c>
      <c r="G375" s="50" t="n">
        <f aca="false">IF($A375="","",IF(ISNUMBER($G374),$G374+1,1))</f>
        <v>371</v>
      </c>
      <c r="H375" s="51" t="n">
        <f aca="false">IF(OR(NOT(ISNUMBER($G375)),$G375&lt;2,NOT(ISNUMBER($C374)),$C374=0),"",$C375/$C374-1)</f>
        <v>-0.0218803308369853</v>
      </c>
      <c r="I375" s="52" t="n">
        <f aca="false">IF(AND(ISNUMBER($G375),$G375&gt;=MA_SHORT),AVERAGE(INDEX($C$5:$C375,372-MA_SHORT):$C375),"")</f>
        <v>929665738.5</v>
      </c>
      <c r="J375" s="52" t="n">
        <f aca="false">IF(AND(ISNUMBER($G375),$G375&gt;=MA_MED),AVERAGE(INDEX($C$5:$C375,372-MA_MED):$C375),"")</f>
        <v>926976272.28</v>
      </c>
      <c r="K375" s="52" t="n">
        <f aca="false">IF(AND(ISNUMBER($G375),$G375&gt;=MA_LONG2),AVERAGE(INDEX($C$5:$C375,372-MA_LONG2):$C375),"")</f>
        <v>900759298.47</v>
      </c>
      <c r="L375" s="53" t="n">
        <f aca="false">IF(AND(ISNUMBER($G375),$G375&gt;=21),STDEV(INDEX($H$315:$H375,62-20):$H375)*SQRT(245),"")</f>
        <v>0.226440412977705</v>
      </c>
      <c r="M375" s="52" t="n">
        <f aca="false">IF(AND(ISNUMBER($G375),$G375&gt;=60),MAX(INDEX($D$175:$D375,202-60):$D375),"")</f>
        <v>957229546</v>
      </c>
      <c r="N375" s="52" t="n">
        <f aca="false">IF(AND(ISNUMBER($G375),$G375&gt;=60),MIN(INDEX($E$175:$E375,202-60):$E375),"")</f>
        <v>879348159</v>
      </c>
      <c r="O375" s="53" t="n">
        <f aca="false">IF(OR(NOT(ISNUMBER($C375)),NOT(ISNUMBER($M375)),$M375=0),"",$C375/$M375-1)</f>
        <v>-0.0774686587035206</v>
      </c>
      <c r="P375" s="54"/>
      <c r="Q375" s="53" t="str">
        <f aca="false">IF(NOT(ISNUMBER($P375)),"",IFERROR(PERCENTRANK($P$5:$P$1204,$P375),""))</f>
        <v/>
      </c>
    </row>
    <row r="376" customFormat="false" ht="15" hidden="false" customHeight="false" outlineLevel="0" collapsed="false">
      <c r="A376" s="47" t="n">
        <v>46089</v>
      </c>
      <c r="B376" s="48" t="s">
        <v>524</v>
      </c>
      <c r="C376" s="49" t="n">
        <v>896167825</v>
      </c>
      <c r="D376" s="49" t="n">
        <v>897568778</v>
      </c>
      <c r="E376" s="49" t="n">
        <v>891520257</v>
      </c>
      <c r="F376" s="49" t="n">
        <v>0</v>
      </c>
      <c r="G376" s="50" t="n">
        <f aca="false">IF($A376="","",IF(ISNUMBER($G375),$G375+1,1))</f>
        <v>372</v>
      </c>
      <c r="H376" s="51" t="n">
        <f aca="false">IF(OR(NOT(ISNUMBER($G376)),$G376&lt;2,NOT(ISNUMBER($C375)),$C375=0),"",$C376/$C375-1)</f>
        <v>0.014827255914448</v>
      </c>
      <c r="I376" s="52" t="n">
        <f aca="false">IF(AND(ISNUMBER($G376),$G376&gt;=MA_SHORT),AVERAGE(INDEX($C$5:$C376,373-MA_SHORT):$C376),"")</f>
        <v>927095616.95</v>
      </c>
      <c r="J376" s="52" t="n">
        <f aca="false">IF(AND(ISNUMBER($G376),$G376&gt;=MA_MED),AVERAGE(INDEX($C$5:$C376,373-MA_MED):$C376),"")</f>
        <v>925855155.42</v>
      </c>
      <c r="K376" s="52" t="n">
        <f aca="false">IF(AND(ISNUMBER($G376),$G376&gt;=MA_LONG2),AVERAGE(INDEX($C$5:$C376,373-MA_LONG2):$C376),"")</f>
        <v>901207638.275</v>
      </c>
      <c r="L376" s="53" t="n">
        <f aca="false">IF(AND(ISNUMBER($G376),$G376&gt;=21),STDEV(INDEX($H$316:$H376,62-20):$H376)*SQRT(245),"")</f>
        <v>0.234525217402739</v>
      </c>
      <c r="M376" s="52" t="n">
        <f aca="false">IF(AND(ISNUMBER($G376),$G376&gt;=60),MAX(INDEX($D$176:$D376,202-60):$D376),"")</f>
        <v>957229546</v>
      </c>
      <c r="N376" s="52" t="n">
        <f aca="false">IF(AND(ISNUMBER($G376),$G376&gt;=60),MIN(INDEX($E$176:$E376,202-60):$E376),"")</f>
        <v>879348159</v>
      </c>
      <c r="O376" s="53" t="n">
        <f aca="false">IF(OR(NOT(ISNUMBER($C376)),NOT(ISNUMBER($M376)),$M376=0),"",$C376/$M376-1)</f>
        <v>-0.0637900504170188</v>
      </c>
      <c r="P376" s="54"/>
      <c r="Q376" s="53" t="str">
        <f aca="false">IF(NOT(ISNUMBER($P376)),"",IFERROR(PERCENTRANK($P$5:$P$1204,$P376),""))</f>
        <v/>
      </c>
    </row>
    <row r="377" customFormat="false" ht="15" hidden="false" customHeight="false" outlineLevel="0" collapsed="false">
      <c r="A377" s="47" t="n">
        <v>46090</v>
      </c>
      <c r="B377" s="48" t="s">
        <v>525</v>
      </c>
      <c r="C377" s="49" t="n">
        <v>913870752</v>
      </c>
      <c r="D377" s="49" t="n">
        <v>914568474</v>
      </c>
      <c r="E377" s="49" t="n">
        <v>910765633</v>
      </c>
      <c r="F377" s="49" t="n">
        <v>0</v>
      </c>
      <c r="G377" s="50" t="n">
        <f aca="false">IF($A377="","",IF(ISNUMBER($G376),$G376+1,1))</f>
        <v>373</v>
      </c>
      <c r="H377" s="51" t="n">
        <f aca="false">IF(OR(NOT(ISNUMBER($G377)),$G377&lt;2,NOT(ISNUMBER($C376)),$C376=0),"",$C377/$C376-1)</f>
        <v>0.0197540310041817</v>
      </c>
      <c r="I377" s="52" t="n">
        <f aca="false">IF(AND(ISNUMBER($G377),$G377&gt;=MA_SHORT),AVERAGE(INDEX($C$5:$C377,374-MA_SHORT):$C377),"")</f>
        <v>925257696.3</v>
      </c>
      <c r="J377" s="52" t="n">
        <f aca="false">IF(AND(ISNUMBER($G377),$G377&gt;=MA_MED),AVERAGE(INDEX($C$5:$C377,374-MA_MED):$C377),"")</f>
        <v>925428135.5</v>
      </c>
      <c r="K377" s="52" t="n">
        <f aca="false">IF(AND(ISNUMBER($G377),$G377&gt;=MA_LONG2),AVERAGE(INDEX($C$5:$C377,374-MA_LONG2):$C377),"")</f>
        <v>901737311.465</v>
      </c>
      <c r="L377" s="53" t="n">
        <f aca="false">IF(AND(ISNUMBER($G377),$G377&gt;=21),STDEV(INDEX($H$317:$H377,62-20):$H377)*SQRT(245),"")</f>
        <v>0.246707313651291</v>
      </c>
      <c r="M377" s="52" t="n">
        <f aca="false">IF(AND(ISNUMBER($G377),$G377&gt;=60),MAX(INDEX($D$177:$D377,202-60):$D377),"")</f>
        <v>957229546</v>
      </c>
      <c r="N377" s="52" t="n">
        <f aca="false">IF(AND(ISNUMBER($G377),$G377&gt;=60),MIN(INDEX($E$177:$E377,202-60):$E377),"")</f>
        <v>879348159</v>
      </c>
      <c r="O377" s="53" t="n">
        <f aca="false">IF(OR(NOT(ISNUMBER($C377)),NOT(ISNUMBER($M377)),$M377=0),"",$C377/$M377-1)</f>
        <v>-0.0452961300465333</v>
      </c>
      <c r="P377" s="54"/>
      <c r="Q377" s="53" t="str">
        <f aca="false">IF(NOT(ISNUMBER($P377)),"",IFERROR(PERCENTRANK($P$5:$P$1204,$P377),""))</f>
        <v/>
      </c>
    </row>
    <row r="378" customFormat="false" ht="15" hidden="false" customHeight="false" outlineLevel="0" collapsed="false">
      <c r="A378" s="47" t="n">
        <v>46091</v>
      </c>
      <c r="B378" s="48" t="s">
        <v>526</v>
      </c>
      <c r="C378" s="49" t="n">
        <v>914701411</v>
      </c>
      <c r="D378" s="49" t="n">
        <v>919369455</v>
      </c>
      <c r="E378" s="49" t="n">
        <v>910601825</v>
      </c>
      <c r="F378" s="49" t="n">
        <v>0</v>
      </c>
      <c r="G378" s="50" t="n">
        <f aca="false">IF($A378="","",IF(ISNUMBER($G377),$G377+1,1))</f>
        <v>374</v>
      </c>
      <c r="H378" s="51" t="n">
        <f aca="false">IF(OR(NOT(ISNUMBER($G378)),$G378&lt;2,NOT(ISNUMBER($C377)),$C377=0),"",$C378/$C377-1)</f>
        <v>0.000908945819944496</v>
      </c>
      <c r="I378" s="52" t="n">
        <f aca="false">IF(AND(ISNUMBER($G378),$G378&gt;=MA_SHORT),AVERAGE(INDEX($C$5:$C378,375-MA_SHORT):$C378),"")</f>
        <v>924019377.6</v>
      </c>
      <c r="J378" s="52" t="n">
        <f aca="false">IF(AND(ISNUMBER($G378),$G378&gt;=MA_MED),AVERAGE(INDEX($C$5:$C378,375-MA_MED):$C378),"")</f>
        <v>924953199.74</v>
      </c>
      <c r="K378" s="52" t="n">
        <f aca="false">IF(AND(ISNUMBER($G378),$G378&gt;=MA_LONG2),AVERAGE(INDEX($C$5:$C378,375-MA_LONG2):$C378),"")</f>
        <v>902239733.89</v>
      </c>
      <c r="L378" s="53" t="n">
        <f aca="false">IF(AND(ISNUMBER($G378),$G378&gt;=21),STDEV(INDEX($H$318:$H378,62-20):$H378)*SQRT(245),"")</f>
        <v>0.24412762351629</v>
      </c>
      <c r="M378" s="52" t="n">
        <f aca="false">IF(AND(ISNUMBER($G378),$G378&gt;=60),MAX(INDEX($D$178:$D378,202-60):$D378),"")</f>
        <v>957229546</v>
      </c>
      <c r="N378" s="52" t="n">
        <f aca="false">IF(AND(ISNUMBER($G378),$G378&gt;=60),MIN(INDEX($E$178:$E378,202-60):$E378),"")</f>
        <v>879348159</v>
      </c>
      <c r="O378" s="53" t="n">
        <f aca="false">IF(OR(NOT(ISNUMBER($C378)),NOT(ISNUMBER($M378)),$M378=0),"",$C378/$M378-1)</f>
        <v>-0.0444283559546541</v>
      </c>
      <c r="P378" s="54"/>
      <c r="Q378" s="53" t="str">
        <f aca="false">IF(NOT(ISNUMBER($P378)),"",IFERROR(PERCENTRANK($P$5:$P$1204,$P378),""))</f>
        <v/>
      </c>
    </row>
    <row r="379" customFormat="false" ht="15" hidden="false" customHeight="false" outlineLevel="0" collapsed="false">
      <c r="A379" s="47" t="n">
        <v>46092</v>
      </c>
      <c r="B379" s="48" t="s">
        <v>527</v>
      </c>
      <c r="C379" s="49" t="n">
        <v>924829077</v>
      </c>
      <c r="D379" s="49" t="n">
        <v>929965630</v>
      </c>
      <c r="E379" s="49" t="n">
        <v>922565298</v>
      </c>
      <c r="F379" s="49" t="n">
        <v>0</v>
      </c>
      <c r="G379" s="50" t="n">
        <f aca="false">IF($A379="","",IF(ISNUMBER($G378),$G378+1,1))</f>
        <v>375</v>
      </c>
      <c r="H379" s="51" t="n">
        <f aca="false">IF(OR(NOT(ISNUMBER($G379)),$G379&lt;2,NOT(ISNUMBER($C378)),$C378=0),"",$C379/$C378-1)</f>
        <v>0.0110721005545711</v>
      </c>
      <c r="I379" s="52" t="n">
        <f aca="false">IF(AND(ISNUMBER($G379),$G379&gt;=MA_SHORT),AVERAGE(INDEX($C$5:$C379,376-MA_SHORT):$C379),"")</f>
        <v>923893678.3</v>
      </c>
      <c r="J379" s="52" t="n">
        <f aca="false">IF(AND(ISNUMBER($G379),$G379&gt;=MA_MED),AVERAGE(INDEX($C$5:$C379,376-MA_MED):$C379),"")</f>
        <v>924972329.18</v>
      </c>
      <c r="K379" s="52" t="n">
        <f aca="false">IF(AND(ISNUMBER($G379),$G379&gt;=MA_LONG2),AVERAGE(INDEX($C$5:$C379,376-MA_LONG2):$C379),"")</f>
        <v>902784464.315</v>
      </c>
      <c r="L379" s="53" t="n">
        <f aca="false">IF(AND(ISNUMBER($G379),$G379&gt;=21),STDEV(INDEX($H$319:$H379,62-20):$H379)*SQRT(245),"")</f>
        <v>0.243750147676909</v>
      </c>
      <c r="M379" s="52" t="n">
        <f aca="false">IF(AND(ISNUMBER($G379),$G379&gt;=60),MAX(INDEX($D$179:$D379,202-60):$D379),"")</f>
        <v>957229546</v>
      </c>
      <c r="N379" s="52" t="n">
        <f aca="false">IF(AND(ISNUMBER($G379),$G379&gt;=60),MIN(INDEX($E$179:$E379,202-60):$E379),"")</f>
        <v>879348159</v>
      </c>
      <c r="O379" s="53" t="n">
        <f aca="false">IF(OR(NOT(ISNUMBER($C379)),NOT(ISNUMBER($M379)),$M379=0),"",$C379/$M379-1)</f>
        <v>-0.0338481706246874</v>
      </c>
      <c r="P379" s="54"/>
      <c r="Q379" s="53" t="str">
        <f aca="false">IF(NOT(ISNUMBER($P379)),"",IFERROR(PERCENTRANK($P$5:$P$1204,$P379),""))</f>
        <v/>
      </c>
    </row>
    <row r="380" customFormat="false" ht="15" hidden="false" customHeight="false" outlineLevel="0" collapsed="false">
      <c r="A380" s="47" t="n">
        <v>46095</v>
      </c>
      <c r="B380" s="48" t="s">
        <v>528</v>
      </c>
      <c r="C380" s="49" t="n">
        <v>929253929</v>
      </c>
      <c r="D380" s="49" t="n">
        <v>932112872</v>
      </c>
      <c r="E380" s="49" t="n">
        <v>921301978</v>
      </c>
      <c r="F380" s="49" t="n">
        <v>0</v>
      </c>
      <c r="G380" s="50" t="n">
        <f aca="false">IF($A380="","",IF(ISNUMBER($G379),$G379+1,1))</f>
        <v>376</v>
      </c>
      <c r="H380" s="51" t="n">
        <f aca="false">IF(OR(NOT(ISNUMBER($G380)),$G380&lt;2,NOT(ISNUMBER($C379)),$C379=0),"",$C380/$C379-1)</f>
        <v>0.00478450787290718</v>
      </c>
      <c r="I380" s="52" t="n">
        <f aca="false">IF(AND(ISNUMBER($G380),$G380&gt;=MA_SHORT),AVERAGE(INDEX($C$5:$C380,377-MA_SHORT):$C380),"")</f>
        <v>924217714.5</v>
      </c>
      <c r="J380" s="52" t="n">
        <f aca="false">IF(AND(ISNUMBER($G380),$G380&gt;=MA_MED),AVERAGE(INDEX($C$5:$C380,377-MA_MED):$C380),"")</f>
        <v>924718537.34</v>
      </c>
      <c r="K380" s="52" t="n">
        <f aca="false">IF(AND(ISNUMBER($G380),$G380&gt;=MA_LONG2),AVERAGE(INDEX($C$5:$C380,377-MA_LONG2):$C380),"")</f>
        <v>903353295.345</v>
      </c>
      <c r="L380" s="53" t="n">
        <f aca="false">IF(AND(ISNUMBER($G380),$G380&gt;=21),STDEV(INDEX($H$320:$H380,62-20):$H380)*SQRT(245),"")</f>
        <v>0.243598606718155</v>
      </c>
      <c r="M380" s="52" t="n">
        <f aca="false">IF(AND(ISNUMBER($G380),$G380&gt;=60),MAX(INDEX($D$180:$D380,202-60):$D380),"")</f>
        <v>957229546</v>
      </c>
      <c r="N380" s="52" t="n">
        <f aca="false">IF(AND(ISNUMBER($G380),$G380&gt;=60),MIN(INDEX($E$180:$E380,202-60):$E380),"")</f>
        <v>879348159</v>
      </c>
      <c r="O380" s="53" t="n">
        <f aca="false">IF(OR(NOT(ISNUMBER($C380)),NOT(ISNUMBER($M380)),$M380=0),"",$C380/$M380-1)</f>
        <v>-0.0292256095906175</v>
      </c>
      <c r="P380" s="54"/>
      <c r="Q380" s="53" t="str">
        <f aca="false">IF(NOT(ISNUMBER($P380)),"",IFERROR(PERCENTRANK($P$5:$P$1204,$P380),""))</f>
        <v/>
      </c>
    </row>
    <row r="381" customFormat="false" ht="15" hidden="false" customHeight="false" outlineLevel="0" collapsed="false">
      <c r="A381" s="47" t="n">
        <v>46096</v>
      </c>
      <c r="B381" s="48" t="s">
        <v>529</v>
      </c>
      <c r="C381" s="49" t="n">
        <v>945110265</v>
      </c>
      <c r="D381" s="49" t="n">
        <v>947377895</v>
      </c>
      <c r="E381" s="49" t="n">
        <v>940895636</v>
      </c>
      <c r="F381" s="49" t="n">
        <v>0</v>
      </c>
      <c r="G381" s="50" t="n">
        <f aca="false">IF($A381="","",IF(ISNUMBER($G380),$G380+1,1))</f>
        <v>377</v>
      </c>
      <c r="H381" s="51" t="n">
        <f aca="false">IF(OR(NOT(ISNUMBER($G381)),$G381&lt;2,NOT(ISNUMBER($C380)),$C380=0),"",$C381/$C380-1)</f>
        <v>0.0170635124643095</v>
      </c>
      <c r="I381" s="52" t="n">
        <f aca="false">IF(AND(ISNUMBER($G381),$G381&gt;=MA_SHORT),AVERAGE(INDEX($C$5:$C381,378-MA_SHORT):$C381),"")</f>
        <v>924629862.9</v>
      </c>
      <c r="J381" s="52" t="n">
        <f aca="false">IF(AND(ISNUMBER($G381),$G381&gt;=MA_MED),AVERAGE(INDEX($C$5:$C381,378-MA_MED):$C381),"")</f>
        <v>924934713.78</v>
      </c>
      <c r="K381" s="52" t="n">
        <f aca="false">IF(AND(ISNUMBER($G381),$G381&gt;=MA_LONG2),AVERAGE(INDEX($C$5:$C381,378-MA_LONG2):$C381),"")</f>
        <v>903973889.055</v>
      </c>
      <c r="L381" s="53" t="n">
        <f aca="false">IF(AND(ISNUMBER($G381),$G381&gt;=21),STDEV(INDEX($H$321:$H381,62-20):$H381)*SQRT(245),"")</f>
        <v>0.245077644789925</v>
      </c>
      <c r="M381" s="52" t="n">
        <f aca="false">IF(AND(ISNUMBER($G381),$G381&gt;=60),MAX(INDEX($D$181:$D381,202-60):$D381),"")</f>
        <v>957229546</v>
      </c>
      <c r="N381" s="52" t="n">
        <f aca="false">IF(AND(ISNUMBER($G381),$G381&gt;=60),MIN(INDEX($E$181:$E381,202-60):$E381),"")</f>
        <v>879348159</v>
      </c>
      <c r="O381" s="53" t="n">
        <f aca="false">IF(OR(NOT(ISNUMBER($C381)),NOT(ISNUMBER($M381)),$M381=0),"",$C381/$M381-1)</f>
        <v>-0.0126607886798346</v>
      </c>
      <c r="P381" s="54"/>
      <c r="Q381" s="53" t="str">
        <f aca="false">IF(NOT(ISNUMBER($P381)),"",IFERROR(PERCENTRANK($P$5:$P$1204,$P381),""))</f>
        <v/>
      </c>
    </row>
    <row r="382" customFormat="false" ht="15" hidden="false" customHeight="false" outlineLevel="0" collapsed="false">
      <c r="A382" s="47" t="n">
        <v>46097</v>
      </c>
      <c r="B382" s="48" t="s">
        <v>530</v>
      </c>
      <c r="C382" s="49" t="n">
        <v>956257753</v>
      </c>
      <c r="D382" s="49" t="n">
        <v>956880137</v>
      </c>
      <c r="E382" s="49" t="n">
        <v>955929382</v>
      </c>
      <c r="F382" s="49" t="n">
        <v>0</v>
      </c>
      <c r="G382" s="50" t="n">
        <f aca="false">IF($A382="","",IF(ISNUMBER($G381),$G381+1,1))</f>
        <v>378</v>
      </c>
      <c r="H382" s="51" t="n">
        <f aca="false">IF(OR(NOT(ISNUMBER($G382)),$G382&lt;2,NOT(ISNUMBER($C381)),$C381=0),"",$C382/$C381-1)</f>
        <v>0.01179490733814</v>
      </c>
      <c r="I382" s="52" t="n">
        <f aca="false">IF(AND(ISNUMBER($G382),$G382&gt;=MA_SHORT),AVERAGE(INDEX($C$5:$C382,379-MA_SHORT):$C382),"")</f>
        <v>926124864.7</v>
      </c>
      <c r="J382" s="52" t="n">
        <f aca="false">IF(AND(ISNUMBER($G382),$G382&gt;=MA_MED),AVERAGE(INDEX($C$5:$C382,379-MA_MED):$C382),"")</f>
        <v>925413447.78</v>
      </c>
      <c r="K382" s="52" t="n">
        <f aca="false">IF(AND(ISNUMBER($G382),$G382&gt;=MA_LONG2),AVERAGE(INDEX($C$5:$C382,379-MA_LONG2):$C382),"")</f>
        <v>904651941.425</v>
      </c>
      <c r="L382" s="53" t="n">
        <f aca="false">IF(AND(ISNUMBER($G382),$G382&gt;=21),STDEV(INDEX($H$322:$H382,62-20):$H382)*SQRT(245),"")</f>
        <v>0.244055752164572</v>
      </c>
      <c r="M382" s="52" t="n">
        <f aca="false">IF(AND(ISNUMBER($G382),$G382&gt;=60),MAX(INDEX($D$182:$D382,202-60):$D382),"")</f>
        <v>957229546</v>
      </c>
      <c r="N382" s="52" t="n">
        <f aca="false">IF(AND(ISNUMBER($G382),$G382&gt;=60),MIN(INDEX($E$182:$E382,202-60):$E382),"")</f>
        <v>879348159</v>
      </c>
      <c r="O382" s="53" t="n">
        <f aca="false">IF(OR(NOT(ISNUMBER($C382)),NOT(ISNUMBER($M382)),$M382=0),"",$C382/$M382-1)</f>
        <v>-0.00101521417100092</v>
      </c>
      <c r="P382" s="54"/>
      <c r="Q382" s="53" t="str">
        <f aca="false">IF(NOT(ISNUMBER($P382)),"",IFERROR(PERCENTRANK($P$5:$P$1204,$P382),""))</f>
        <v/>
      </c>
    </row>
    <row r="383" customFormat="false" ht="15" hidden="false" customHeight="false" outlineLevel="0" collapsed="false">
      <c r="A383" s="47" t="n">
        <v>46098</v>
      </c>
      <c r="B383" s="48" t="s">
        <v>531</v>
      </c>
      <c r="C383" s="49" t="n">
        <v>980158860</v>
      </c>
      <c r="D383" s="49" t="n">
        <v>984077611</v>
      </c>
      <c r="E383" s="49" t="n">
        <v>974769846</v>
      </c>
      <c r="F383" s="49" t="n">
        <v>0</v>
      </c>
      <c r="G383" s="50" t="n">
        <f aca="false">IF($A383="","",IF(ISNUMBER($G382),$G382+1,1))</f>
        <v>379</v>
      </c>
      <c r="H383" s="51" t="n">
        <f aca="false">IF(OR(NOT(ISNUMBER($G383)),$G383&lt;2,NOT(ISNUMBER($C382)),$C382=0),"",$C383/$C382-1)</f>
        <v>0.0249944190517846</v>
      </c>
      <c r="I383" s="52" t="n">
        <f aca="false">IF(AND(ISNUMBER($G383),$G383&gt;=MA_SHORT),AVERAGE(INDEX($C$5:$C383,380-MA_SHORT):$C383),"")</f>
        <v>928319508.3</v>
      </c>
      <c r="J383" s="52" t="n">
        <f aca="false">IF(AND(ISNUMBER($G383),$G383&gt;=MA_MED),AVERAGE(INDEX($C$5:$C383,380-MA_MED):$C383),"")</f>
        <v>926378075.42</v>
      </c>
      <c r="K383" s="52" t="n">
        <f aca="false">IF(AND(ISNUMBER($G383),$G383&gt;=MA_LONG2),AVERAGE(INDEX($C$5:$C383,380-MA_LONG2):$C383),"")</f>
        <v>905416191.47</v>
      </c>
      <c r="L383" s="53" t="n">
        <f aca="false">IF(AND(ISNUMBER($G383),$G383&gt;=21),STDEV(INDEX($H$323:$H383,62-20):$H383)*SQRT(245),"")</f>
        <v>0.255700387152623</v>
      </c>
      <c r="M383" s="52" t="n">
        <f aca="false">IF(AND(ISNUMBER($G383),$G383&gt;=60),MAX(INDEX($D$183:$D383,202-60):$D383),"")</f>
        <v>984077611</v>
      </c>
      <c r="N383" s="52" t="n">
        <f aca="false">IF(AND(ISNUMBER($G383),$G383&gt;=60),MIN(INDEX($E$183:$E383,202-60):$E383),"")</f>
        <v>879348159</v>
      </c>
      <c r="O383" s="53" t="n">
        <f aca="false">IF(OR(NOT(ISNUMBER($C383)),NOT(ISNUMBER($M383)),$M383=0),"",$C383/$M383-1)</f>
        <v>-0.00398215644395961</v>
      </c>
      <c r="P383" s="54"/>
      <c r="Q383" s="53" t="str">
        <f aca="false">IF(NOT(ISNUMBER($P383)),"",IFERROR(PERCENTRANK($P$5:$P$1204,$P383),""))</f>
        <v/>
      </c>
    </row>
    <row r="384" customFormat="false" ht="15" hidden="false" customHeight="false" outlineLevel="0" collapsed="false">
      <c r="A384" s="47" t="n">
        <v>46099</v>
      </c>
      <c r="B384" s="48" t="s">
        <v>532</v>
      </c>
      <c r="C384" s="49" t="n">
        <v>982085616</v>
      </c>
      <c r="D384" s="49" t="n">
        <v>986083705</v>
      </c>
      <c r="E384" s="49" t="n">
        <v>977641555</v>
      </c>
      <c r="F384" s="49" t="n">
        <v>0</v>
      </c>
      <c r="G384" s="50" t="n">
        <f aca="false">IF($A384="","",IF(ISNUMBER($G383),$G383+1,1))</f>
        <v>380</v>
      </c>
      <c r="H384" s="51" t="n">
        <f aca="false">IF(OR(NOT(ISNUMBER($G384)),$G384&lt;2,NOT(ISNUMBER($C383)),$C383=0),"",$C384/$C383-1)</f>
        <v>0.00196575889749129</v>
      </c>
      <c r="I384" s="52" t="n">
        <f aca="false">IF(AND(ISNUMBER($G384),$G384&gt;=MA_SHORT),AVERAGE(INDEX($C$5:$C384,381-MA_SHORT):$C384),"")</f>
        <v>930516805.05</v>
      </c>
      <c r="J384" s="52" t="n">
        <f aca="false">IF(AND(ISNUMBER($G384),$G384&gt;=MA_MED),AVERAGE(INDEX($C$5:$C384,381-MA_MED):$C384),"")</f>
        <v>927449263.88</v>
      </c>
      <c r="K384" s="52" t="n">
        <f aca="false">IF(AND(ISNUMBER($G384),$G384&gt;=MA_LONG2),AVERAGE(INDEX($C$5:$C384,381-MA_LONG2):$C384),"")</f>
        <v>906232384.3</v>
      </c>
      <c r="L384" s="53" t="n">
        <f aca="false">IF(AND(ISNUMBER($G384),$G384&gt;=21),STDEV(INDEX($H$324:$H384,62-20):$H384)*SQRT(245),"")</f>
        <v>0.255701168402028</v>
      </c>
      <c r="M384" s="52" t="n">
        <f aca="false">IF(AND(ISNUMBER($G384),$G384&gt;=60),MAX(INDEX($D$184:$D384,202-60):$D384),"")</f>
        <v>986083705</v>
      </c>
      <c r="N384" s="52" t="n">
        <f aca="false">IF(AND(ISNUMBER($G384),$G384&gt;=60),MIN(INDEX($E$184:$E384,202-60):$E384),"")</f>
        <v>879348159</v>
      </c>
      <c r="O384" s="53" t="n">
        <f aca="false">IF(OR(NOT(ISNUMBER($C384)),NOT(ISNUMBER($M384)),$M384=0),"",$C384/$M384-1)</f>
        <v>-0.00405451279615254</v>
      </c>
      <c r="P384" s="54"/>
      <c r="Q384" s="53" t="str">
        <f aca="false">IF(NOT(ISNUMBER($P384)),"",IFERROR(PERCENTRANK($P$5:$P$1204,$P384),""))</f>
        <v/>
      </c>
    </row>
    <row r="385" customFormat="false" ht="15" hidden="false" customHeight="false" outlineLevel="0" collapsed="false">
      <c r="A385" s="47" t="n">
        <v>46102</v>
      </c>
      <c r="B385" s="48" t="s">
        <v>533</v>
      </c>
      <c r="C385" s="49" t="n">
        <v>989862886</v>
      </c>
      <c r="D385" s="49" t="n">
        <v>991394029</v>
      </c>
      <c r="E385" s="49" t="n">
        <v>988393320</v>
      </c>
      <c r="F385" s="49" t="n">
        <v>0</v>
      </c>
      <c r="G385" s="50" t="n">
        <f aca="false">IF($A385="","",IF(ISNUMBER($G384),$G384+1,1))</f>
        <v>381</v>
      </c>
      <c r="H385" s="51" t="n">
        <f aca="false">IF(OR(NOT(ISNUMBER($G385)),$G385&lt;2,NOT(ISNUMBER($C384)),$C384=0),"",$C385/$C384-1)</f>
        <v>0.00791913645133757</v>
      </c>
      <c r="I385" s="52" t="n">
        <f aca="false">IF(AND(ISNUMBER($G385),$G385&gt;=MA_SHORT),AVERAGE(INDEX($C$5:$C385,382-MA_SHORT):$C385),"")</f>
        <v>932558517.75</v>
      </c>
      <c r="J385" s="52" t="n">
        <f aca="false">IF(AND(ISNUMBER($G385),$G385&gt;=MA_MED),AVERAGE(INDEX($C$5:$C385,382-MA_MED):$C385),"")</f>
        <v>928520442.34</v>
      </c>
      <c r="K385" s="52" t="n">
        <f aca="false">IF(AND(ISNUMBER($G385),$G385&gt;=MA_LONG2),AVERAGE(INDEX($C$5:$C385,382-MA_LONG2):$C385),"")</f>
        <v>907038663.88</v>
      </c>
      <c r="L385" s="53" t="n">
        <f aca="false">IF(AND(ISNUMBER($G385),$G385&gt;=21),STDEV(INDEX($H$325:$H385,62-20):$H385)*SQRT(245),"")</f>
        <v>0.254314511982661</v>
      </c>
      <c r="M385" s="52" t="n">
        <f aca="false">IF(AND(ISNUMBER($G385),$G385&gt;=60),MAX(INDEX($D$185:$D385,202-60):$D385),"")</f>
        <v>991394029</v>
      </c>
      <c r="N385" s="52" t="n">
        <f aca="false">IF(AND(ISNUMBER($G385),$G385&gt;=60),MIN(INDEX($E$185:$E385,202-60):$E385),"")</f>
        <v>879348159</v>
      </c>
      <c r="O385" s="53" t="n">
        <f aca="false">IF(OR(NOT(ISNUMBER($C385)),NOT(ISNUMBER($M385)),$M385=0),"",$C385/$M385-1)</f>
        <v>-0.00154443435729024</v>
      </c>
      <c r="P385" s="54"/>
      <c r="Q385" s="53" t="str">
        <f aca="false">IF(NOT(ISNUMBER($P385)),"",IFERROR(PERCENTRANK($P$5:$P$1204,$P385),""))</f>
        <v/>
      </c>
    </row>
    <row r="386" customFormat="false" ht="15" hidden="false" customHeight="false" outlineLevel="0" collapsed="false">
      <c r="A386" s="47" t="n">
        <v>46103</v>
      </c>
      <c r="B386" s="48" t="s">
        <v>534</v>
      </c>
      <c r="C386" s="49" t="n">
        <v>966215208</v>
      </c>
      <c r="D386" s="49" t="n">
        <v>971201434</v>
      </c>
      <c r="E386" s="49" t="n">
        <v>965970633</v>
      </c>
      <c r="F386" s="49" t="n">
        <v>0</v>
      </c>
      <c r="G386" s="50" t="n">
        <f aca="false">IF($A386="","",IF(ISNUMBER($G385),$G385+1,1))</f>
        <v>382</v>
      </c>
      <c r="H386" s="51" t="n">
        <f aca="false">IF(OR(NOT(ISNUMBER($G386)),$G386&lt;2,NOT(ISNUMBER($C385)),$C385=0),"",$C386/$C385-1)</f>
        <v>-0.0238898521547357</v>
      </c>
      <c r="I386" s="52" t="n">
        <f aca="false">IF(AND(ISNUMBER($G386),$G386&gt;=MA_SHORT),AVERAGE(INDEX($C$5:$C386,383-MA_SHORT):$C386),"")</f>
        <v>933936415.9</v>
      </c>
      <c r="J386" s="52" t="n">
        <f aca="false">IF(AND(ISNUMBER($G386),$G386&gt;=MA_MED),AVERAGE(INDEX($C$5:$C386,383-MA_MED):$C386),"")</f>
        <v>929163309.84</v>
      </c>
      <c r="K386" s="52" t="n">
        <f aca="false">IF(AND(ISNUMBER($G386),$G386&gt;=MA_LONG2),AVERAGE(INDEX($C$5:$C386,383-MA_LONG2):$C386),"")</f>
        <v>907614587.115</v>
      </c>
      <c r="L386" s="53" t="n">
        <f aca="false">IF(AND(ISNUMBER($G386),$G386&gt;=21),STDEV(INDEX($H$326:$H386,62-20):$H386)*SQRT(245),"")</f>
        <v>0.26670943094816</v>
      </c>
      <c r="M386" s="52" t="n">
        <f aca="false">IF(AND(ISNUMBER($G386),$G386&gt;=60),MAX(INDEX($D$186:$D386,202-60):$D386),"")</f>
        <v>991394029</v>
      </c>
      <c r="N386" s="52" t="n">
        <f aca="false">IF(AND(ISNUMBER($G386),$G386&gt;=60),MIN(INDEX($E$186:$E386,202-60):$E386),"")</f>
        <v>879348159</v>
      </c>
      <c r="O386" s="53" t="n">
        <f aca="false">IF(OR(NOT(ISNUMBER($C386)),NOT(ISNUMBER($M386)),$M386=0),"",$C386/$M386-1)</f>
        <v>-0.0253973902035676</v>
      </c>
      <c r="P386" s="54"/>
      <c r="Q386" s="53" t="str">
        <f aca="false">IF(NOT(ISNUMBER($P386)),"",IFERROR(PERCENTRANK($P$5:$P$1204,$P386),""))</f>
        <v/>
      </c>
    </row>
    <row r="387" customFormat="false" ht="15" hidden="false" customHeight="false" outlineLevel="0" collapsed="false">
      <c r="A387" s="47" t="n">
        <v>46104</v>
      </c>
      <c r="B387" s="48" t="s">
        <v>535</v>
      </c>
      <c r="C387" s="49" t="n">
        <v>960004010</v>
      </c>
      <c r="D387" s="49" t="n">
        <v>962794446</v>
      </c>
      <c r="E387" s="49" t="n">
        <v>959365744</v>
      </c>
      <c r="F387" s="49" t="n">
        <v>0</v>
      </c>
      <c r="G387" s="50" t="n">
        <f aca="false">IF($A387="","",IF(ISNUMBER($G386),$G386+1,1))</f>
        <v>383</v>
      </c>
      <c r="H387" s="51" t="n">
        <f aca="false">IF(OR(NOT(ISNUMBER($G387)),$G387&lt;2,NOT(ISNUMBER($C386)),$C386=0),"",$C387/$C386-1)</f>
        <v>-0.00642837946305641</v>
      </c>
      <c r="I387" s="52" t="n">
        <f aca="false">IF(AND(ISNUMBER($G387),$G387&gt;=MA_SHORT),AVERAGE(INDEX($C$5:$C387,384-MA_SHORT):$C387),"")</f>
        <v>935828075.5</v>
      </c>
      <c r="J387" s="52" t="n">
        <f aca="false">IF(AND(ISNUMBER($G387),$G387&gt;=MA_MED),AVERAGE(INDEX($C$5:$C387,384-MA_MED):$C387),"")</f>
        <v>929811032.24</v>
      </c>
      <c r="K387" s="52" t="n">
        <f aca="false">IF(AND(ISNUMBER($G387),$G387&gt;=MA_LONG2),AVERAGE(INDEX($C$5:$C387,384-MA_LONG2):$C387),"")</f>
        <v>908092146.88</v>
      </c>
      <c r="L387" s="53" t="n">
        <f aca="false">IF(AND(ISNUMBER($G387),$G387&gt;=21),STDEV(INDEX($H$327:$H387,62-20):$H387)*SQRT(245),"")</f>
        <v>0.259139482794268</v>
      </c>
      <c r="M387" s="52" t="n">
        <f aca="false">IF(AND(ISNUMBER($G387),$G387&gt;=60),MAX(INDEX($D$187:$D387,202-60):$D387),"")</f>
        <v>991394029</v>
      </c>
      <c r="N387" s="52" t="n">
        <f aca="false">IF(AND(ISNUMBER($G387),$G387&gt;=60),MIN(INDEX($E$187:$E387,202-60):$E387),"")</f>
        <v>879348159</v>
      </c>
      <c r="O387" s="53" t="n">
        <f aca="false">IF(OR(NOT(ISNUMBER($C387)),NOT(ISNUMBER($M387)),$M387=0),"",$C387/$M387-1)</f>
        <v>-0.0316625056050242</v>
      </c>
      <c r="P387" s="54"/>
      <c r="Q387" s="53" t="str">
        <f aca="false">IF(NOT(ISNUMBER($P387)),"",IFERROR(PERCENTRANK($P$5:$P$1204,$P387),""))</f>
        <v/>
      </c>
    </row>
    <row r="388" customFormat="false" ht="15" hidden="false" customHeight="false" outlineLevel="0" collapsed="false">
      <c r="A388" s="47" t="n">
        <v>46105</v>
      </c>
      <c r="B388" s="48" t="s">
        <v>536</v>
      </c>
      <c r="C388" s="49" t="n">
        <v>950308512</v>
      </c>
      <c r="D388" s="49" t="n">
        <v>954115200</v>
      </c>
      <c r="E388" s="49" t="n">
        <v>946569097</v>
      </c>
      <c r="F388" s="49" t="n">
        <v>0</v>
      </c>
      <c r="G388" s="50" t="n">
        <f aca="false">IF($A388="","",IF(ISNUMBER($G387),$G387+1,1))</f>
        <v>384</v>
      </c>
      <c r="H388" s="51" t="n">
        <f aca="false">IF(OR(NOT(ISNUMBER($G388)),$G388&lt;2,NOT(ISNUMBER($C387)),$C387=0),"",$C388/$C387-1)</f>
        <v>-0.0100994348971521</v>
      </c>
      <c r="I388" s="52" t="n">
        <f aca="false">IF(AND(ISNUMBER($G388),$G388&gt;=MA_SHORT),AVERAGE(INDEX($C$5:$C388,385-MA_SHORT):$C388),"")</f>
        <v>937085164</v>
      </c>
      <c r="J388" s="52" t="n">
        <f aca="false">IF(AND(ISNUMBER($G388),$G388&gt;=MA_MED),AVERAGE(INDEX($C$5:$C388,385-MA_MED):$C388),"")</f>
        <v>930462333.82</v>
      </c>
      <c r="K388" s="52" t="n">
        <f aca="false">IF(AND(ISNUMBER($G388),$G388&gt;=MA_LONG2),AVERAGE(INDEX($C$5:$C388,385-MA_LONG2):$C388),"")</f>
        <v>908578186.8</v>
      </c>
      <c r="L388" s="53" t="n">
        <f aca="false">IF(AND(ISNUMBER($G388),$G388&gt;=21),STDEV(INDEX($H$328:$H388,62-20):$H388)*SQRT(245),"")</f>
        <v>0.262593689434859</v>
      </c>
      <c r="M388" s="52" t="n">
        <f aca="false">IF(AND(ISNUMBER($G388),$G388&gt;=60),MAX(INDEX($D$188:$D388,202-60):$D388),"")</f>
        <v>991394029</v>
      </c>
      <c r="N388" s="52" t="n">
        <f aca="false">IF(AND(ISNUMBER($G388),$G388&gt;=60),MIN(INDEX($E$188:$E388,202-60):$E388),"")</f>
        <v>879348159</v>
      </c>
      <c r="O388" s="53" t="n">
        <f aca="false">IF(OR(NOT(ISNUMBER($C388)),NOT(ISNUMBER($M388)),$M388=0),"",$C388/$M388-1)</f>
        <v>-0.0414421670881376</v>
      </c>
      <c r="P388" s="54"/>
      <c r="Q388" s="53" t="str">
        <f aca="false">IF(NOT(ISNUMBER($P388)),"",IFERROR(PERCENTRANK($P$5:$P$1204,$P388),""))</f>
        <v/>
      </c>
    </row>
    <row r="389" customFormat="false" ht="15" hidden="false" customHeight="false" outlineLevel="0" collapsed="false">
      <c r="A389" s="47" t="n">
        <v>46106</v>
      </c>
      <c r="B389" s="48" t="s">
        <v>537</v>
      </c>
      <c r="C389" s="49" t="n">
        <v>972848940</v>
      </c>
      <c r="D389" s="49" t="n">
        <v>973308148</v>
      </c>
      <c r="E389" s="49" t="n">
        <v>970847633</v>
      </c>
      <c r="F389" s="49" t="n">
        <v>0</v>
      </c>
      <c r="G389" s="50" t="n">
        <f aca="false">IF($A389="","",IF(ISNUMBER($G388),$G388+1,1))</f>
        <v>385</v>
      </c>
      <c r="H389" s="51" t="n">
        <f aca="false">IF(OR(NOT(ISNUMBER($G389)),$G389&lt;2,NOT(ISNUMBER($C388)),$C388=0),"",$C389/$C388-1)</f>
        <v>0.0237190635623814</v>
      </c>
      <c r="I389" s="52" t="n">
        <f aca="false">IF(AND(ISNUMBER($G389),$G389&gt;=MA_SHORT),AVERAGE(INDEX($C$5:$C389,386-MA_SHORT):$C389),"")</f>
        <v>939056190.75</v>
      </c>
      <c r="J389" s="52" t="n">
        <f aca="false">IF(AND(ISNUMBER($G389),$G389&gt;=MA_MED),AVERAGE(INDEX($C$5:$C389,386-MA_MED):$C389),"")</f>
        <v>931549360.58</v>
      </c>
      <c r="K389" s="52" t="n">
        <f aca="false">IF(AND(ISNUMBER($G389),$G389&gt;=MA_LONG2),AVERAGE(INDEX($C$5:$C389,386-MA_LONG2):$C389),"")</f>
        <v>909152862.595</v>
      </c>
      <c r="L389" s="53" t="n">
        <f aca="false">IF(AND(ISNUMBER($G389),$G389&gt;=21),STDEV(INDEX($H$329:$H389,62-20):$H389)*SQRT(245),"")</f>
        <v>0.272905943665543</v>
      </c>
      <c r="M389" s="52" t="n">
        <f aca="false">IF(AND(ISNUMBER($G389),$G389&gt;=60),MAX(INDEX($D$189:$D389,202-60):$D389),"")</f>
        <v>991394029</v>
      </c>
      <c r="N389" s="52" t="n">
        <f aca="false">IF(AND(ISNUMBER($G389),$G389&gt;=60),MIN(INDEX($E$189:$E389,202-60):$E389),"")</f>
        <v>879348159</v>
      </c>
      <c r="O389" s="53" t="n">
        <f aca="false">IF(OR(NOT(ISNUMBER($C389)),NOT(ISNUMBER($M389)),$M389=0),"",$C389/$M389-1)</f>
        <v>-0.0187060729210827</v>
      </c>
      <c r="P389" s="54"/>
      <c r="Q389" s="53" t="str">
        <f aca="false">IF(NOT(ISNUMBER($P389)),"",IFERROR(PERCENTRANK($P$5:$P$1204,$P389),""))</f>
        <v/>
      </c>
    </row>
    <row r="390" customFormat="false" ht="15" hidden="false" customHeight="false" outlineLevel="0" collapsed="false">
      <c r="A390" s="47" t="n">
        <v>46109</v>
      </c>
      <c r="B390" s="48" t="s">
        <v>538</v>
      </c>
      <c r="C390" s="49" t="n">
        <v>978199608</v>
      </c>
      <c r="D390" s="49" t="n">
        <v>980651588</v>
      </c>
      <c r="E390" s="49" t="n">
        <v>975126991</v>
      </c>
      <c r="F390" s="49" t="n">
        <v>0</v>
      </c>
      <c r="G390" s="50" t="n">
        <f aca="false">IF($A390="","",IF(ISNUMBER($G389),$G389+1,1))</f>
        <v>386</v>
      </c>
      <c r="H390" s="51" t="n">
        <f aca="false">IF(OR(NOT(ISNUMBER($G390)),$G390&lt;2,NOT(ISNUMBER($C389)),$C389=0),"",$C390/$C389-1)</f>
        <v>0.00549999879734675</v>
      </c>
      <c r="I390" s="52" t="n">
        <f aca="false">IF(AND(ISNUMBER($G390),$G390&gt;=MA_SHORT),AVERAGE(INDEX($C$5:$C390,387-MA_SHORT):$C390),"")</f>
        <v>941202142.75</v>
      </c>
      <c r="J390" s="52" t="n">
        <f aca="false">IF(AND(ISNUMBER($G390),$G390&gt;=MA_MED),AVERAGE(INDEX($C$5:$C390,387-MA_MED):$C390),"")</f>
        <v>933073676.58</v>
      </c>
      <c r="K390" s="52" t="n">
        <f aca="false">IF(AND(ISNUMBER($G390),$G390&gt;=MA_LONG2),AVERAGE(INDEX($C$5:$C390,387-MA_LONG2):$C390),"")</f>
        <v>909771656.06</v>
      </c>
      <c r="L390" s="53" t="n">
        <f aca="false">IF(AND(ISNUMBER($G390),$G390&gt;=21),STDEV(INDEX($H$330:$H390,62-20):$H390)*SQRT(245),"")</f>
        <v>0.273144822471166</v>
      </c>
      <c r="M390" s="52" t="n">
        <f aca="false">IF(AND(ISNUMBER($G390),$G390&gt;=60),MAX(INDEX($D$190:$D390,202-60):$D390),"")</f>
        <v>991394029</v>
      </c>
      <c r="N390" s="52" t="n">
        <f aca="false">IF(AND(ISNUMBER($G390),$G390&gt;=60),MIN(INDEX($E$190:$E390,202-60):$E390),"")</f>
        <v>879348159</v>
      </c>
      <c r="O390" s="53" t="n">
        <f aca="false">IF(OR(NOT(ISNUMBER($C390)),NOT(ISNUMBER($M390)),$M390=0),"",$C390/$M390-1)</f>
        <v>-0.0133089575023051</v>
      </c>
      <c r="P390" s="54"/>
      <c r="Q390" s="53" t="str">
        <f aca="false">IF(NOT(ISNUMBER($P390)),"",IFERROR(PERCENTRANK($P$5:$P$1204,$P390),""))</f>
        <v/>
      </c>
    </row>
    <row r="391" customFormat="false" ht="15" hidden="false" customHeight="false" outlineLevel="0" collapsed="false">
      <c r="A391" s="47" t="n">
        <v>46110</v>
      </c>
      <c r="B391" s="48" t="s">
        <v>539</v>
      </c>
      <c r="C391" s="49" t="n">
        <v>977038106</v>
      </c>
      <c r="D391" s="49" t="n">
        <v>980003072</v>
      </c>
      <c r="E391" s="49" t="n">
        <v>973041915</v>
      </c>
      <c r="F391" s="49" t="n">
        <v>0</v>
      </c>
      <c r="G391" s="50" t="n">
        <f aca="false">IF($A391="","",IF(ISNUMBER($G390),$G390+1,1))</f>
        <v>387</v>
      </c>
      <c r="H391" s="51" t="n">
        <f aca="false">IF(OR(NOT(ISNUMBER($G391)),$G391&lt;2,NOT(ISNUMBER($C390)),$C390=0),"",$C391/$C390-1)</f>
        <v>-0.00118738751324465</v>
      </c>
      <c r="I391" s="52" t="n">
        <f aca="false">IF(AND(ISNUMBER($G391),$G391&gt;=MA_SHORT),AVERAGE(INDEX($C$5:$C391,388-MA_SHORT):$C391),"")</f>
        <v>942421835.55</v>
      </c>
      <c r="J391" s="52" t="n">
        <f aca="false">IF(AND(ISNUMBER($G391),$G391&gt;=MA_MED),AVERAGE(INDEX($C$5:$C391,388-MA_MED):$C391),"")</f>
        <v>934530435.22</v>
      </c>
      <c r="K391" s="52" t="n">
        <f aca="false">IF(AND(ISNUMBER($G391),$G391&gt;=MA_LONG2),AVERAGE(INDEX($C$5:$C391,388-MA_LONG2):$C391),"")</f>
        <v>910354704.355</v>
      </c>
      <c r="L391" s="53" t="n">
        <f aca="false">IF(AND(ISNUMBER($G391),$G391&gt;=21),STDEV(INDEX($H$331:$H391,62-20):$H391)*SQRT(245),"")</f>
        <v>0.266736802922518</v>
      </c>
      <c r="M391" s="52" t="n">
        <f aca="false">IF(AND(ISNUMBER($G391),$G391&gt;=60),MAX(INDEX($D$191:$D391,202-60):$D391),"")</f>
        <v>991394029</v>
      </c>
      <c r="N391" s="52" t="n">
        <f aca="false">IF(AND(ISNUMBER($G391),$G391&gt;=60),MIN(INDEX($E$191:$E391,202-60):$E391),"")</f>
        <v>879348159</v>
      </c>
      <c r="O391" s="53" t="n">
        <f aca="false">IF(OR(NOT(ISNUMBER($C391)),NOT(ISNUMBER($M391)),$M391=0),"",$C391/$M391-1)</f>
        <v>-0.0144805421255971</v>
      </c>
      <c r="P391" s="54"/>
      <c r="Q391" s="53" t="str">
        <f aca="false">IF(NOT(ISNUMBER($P391)),"",IFERROR(PERCENTRANK($P$5:$P$1204,$P391),""))</f>
        <v/>
      </c>
    </row>
    <row r="392" customFormat="false" ht="15" hidden="false" customHeight="false" outlineLevel="0" collapsed="false">
      <c r="A392" s="47" t="n">
        <v>46111</v>
      </c>
      <c r="B392" s="48" t="s">
        <v>540</v>
      </c>
      <c r="C392" s="49" t="n">
        <v>972872515</v>
      </c>
      <c r="D392" s="49" t="n">
        <v>974770742</v>
      </c>
      <c r="E392" s="49" t="n">
        <v>967624380</v>
      </c>
      <c r="F392" s="49" t="n">
        <v>0</v>
      </c>
      <c r="G392" s="50" t="n">
        <f aca="false">IF($A392="","",IF(ISNUMBER($G391),$G391+1,1))</f>
        <v>388</v>
      </c>
      <c r="H392" s="51" t="n">
        <f aca="false">IF(OR(NOT(ISNUMBER($G392)),$G392&lt;2,NOT(ISNUMBER($C391)),$C391=0),"",$C392/$C391-1)</f>
        <v>-0.00426348877737626</v>
      </c>
      <c r="I392" s="52" t="n">
        <f aca="false">IF(AND(ISNUMBER($G392),$G392&gt;=MA_SHORT),AVERAGE(INDEX($C$5:$C392,389-MA_SHORT):$C392),"")</f>
        <v>944609486.3</v>
      </c>
      <c r="J392" s="52" t="n">
        <f aca="false">IF(AND(ISNUMBER($G392),$G392&gt;=MA_MED),AVERAGE(INDEX($C$5:$C392,389-MA_MED):$C392),"")</f>
        <v>935838772.52</v>
      </c>
      <c r="K392" s="52" t="n">
        <f aca="false">IF(AND(ISNUMBER($G392),$G392&gt;=MA_LONG2),AVERAGE(INDEX($C$5:$C392,389-MA_LONG2):$C392),"")</f>
        <v>910983102.275</v>
      </c>
      <c r="L392" s="53" t="n">
        <f aca="false">IF(AND(ISNUMBER($G392),$G392&gt;=21),STDEV(INDEX($H$332:$H392,62-20):$H392)*SQRT(245),"")</f>
        <v>0.250021857268413</v>
      </c>
      <c r="M392" s="52" t="n">
        <f aca="false">IF(AND(ISNUMBER($G392),$G392&gt;=60),MAX(INDEX($D$192:$D392,202-60):$D392),"")</f>
        <v>991394029</v>
      </c>
      <c r="N392" s="52" t="n">
        <f aca="false">IF(AND(ISNUMBER($G392),$G392&gt;=60),MIN(INDEX($E$192:$E392,202-60):$E392),"")</f>
        <v>879348159</v>
      </c>
      <c r="O392" s="53" t="n">
        <f aca="false">IF(OR(NOT(ISNUMBER($C392)),NOT(ISNUMBER($M392)),$M392=0),"",$C392/$M392-1)</f>
        <v>-0.0186822932741306</v>
      </c>
      <c r="P392" s="54"/>
      <c r="Q392" s="53" t="str">
        <f aca="false">IF(NOT(ISNUMBER($P392)),"",IFERROR(PERCENTRANK($P$5:$P$1204,$P392),""))</f>
        <v/>
      </c>
    </row>
    <row r="393" customFormat="false" ht="15" hidden="false" customHeight="false" outlineLevel="0" collapsed="false">
      <c r="A393" s="47" t="n">
        <v>46112</v>
      </c>
      <c r="B393" s="48" t="s">
        <v>541</v>
      </c>
      <c r="C393" s="49" t="n">
        <v>941447852</v>
      </c>
      <c r="D393" s="49" t="n">
        <v>945677936</v>
      </c>
      <c r="E393" s="49" t="n">
        <v>935902491</v>
      </c>
      <c r="F393" s="49" t="n">
        <v>0</v>
      </c>
      <c r="G393" s="50" t="n">
        <f aca="false">IF($A393="","",IF(ISNUMBER($G392),$G392+1,1))</f>
        <v>389</v>
      </c>
      <c r="H393" s="51" t="n">
        <f aca="false">IF(OR(NOT(ISNUMBER($G393)),$G393&lt;2,NOT(ISNUMBER($C392)),$C392=0),"",$C393/$C392-1)</f>
        <v>-0.0323009053246818</v>
      </c>
      <c r="I393" s="52" t="n">
        <f aca="false">IF(AND(ISNUMBER($G393),$G393&gt;=MA_SHORT),AVERAGE(INDEX($C$5:$C393,390-MA_SHORT):$C393),"")</f>
        <v>946856791.2</v>
      </c>
      <c r="J393" s="52" t="n">
        <f aca="false">IF(AND(ISNUMBER($G393),$G393&gt;=MA_MED),AVERAGE(INDEX($C$5:$C393,390-MA_MED):$C393),"")</f>
        <v>936353556.38</v>
      </c>
      <c r="K393" s="52" t="n">
        <f aca="false">IF(AND(ISNUMBER($G393),$G393&gt;=MA_LONG2),AVERAGE(INDEX($C$5:$C393,390-MA_LONG2):$C393),"")</f>
        <v>911407774.19</v>
      </c>
      <c r="L393" s="53" t="n">
        <f aca="false">IF(AND(ISNUMBER($G393),$G393&gt;=21),STDEV(INDEX($H$333:$H393,62-20):$H393)*SQRT(245),"")</f>
        <v>0.244728734127656</v>
      </c>
      <c r="M393" s="52" t="n">
        <f aca="false">IF(AND(ISNUMBER($G393),$G393&gt;=60),MAX(INDEX($D$193:$D393,202-60):$D393),"")</f>
        <v>991394029</v>
      </c>
      <c r="N393" s="52" t="n">
        <f aca="false">IF(AND(ISNUMBER($G393),$G393&gt;=60),MIN(INDEX($E$193:$E393,202-60):$E393),"")</f>
        <v>879348159</v>
      </c>
      <c r="O393" s="53" t="n">
        <f aca="false">IF(OR(NOT(ISNUMBER($C393)),NOT(ISNUMBER($M393)),$M393=0),"",$C393/$M393-1)</f>
        <v>-0.0503797436125167</v>
      </c>
      <c r="P393" s="54"/>
      <c r="Q393" s="53" t="str">
        <f aca="false">IF(NOT(ISNUMBER($P393)),"",IFERROR(PERCENTRANK($P$5:$P$1204,$P393),""))</f>
        <v/>
      </c>
    </row>
    <row r="394" customFormat="false" ht="15" hidden="false" customHeight="false" outlineLevel="0" collapsed="false">
      <c r="A394" s="47" t="n">
        <v>46113</v>
      </c>
      <c r="B394" s="48" t="s">
        <v>542</v>
      </c>
      <c r="C394" s="49" t="n">
        <v>961309170</v>
      </c>
      <c r="D394" s="49" t="n">
        <v>964084240</v>
      </c>
      <c r="E394" s="49" t="n">
        <v>958074068</v>
      </c>
      <c r="F394" s="49" t="n">
        <v>0</v>
      </c>
      <c r="G394" s="50" t="n">
        <f aca="false">IF($A394="","",IF(ISNUMBER($G393),$G393+1,1))</f>
        <v>390</v>
      </c>
      <c r="H394" s="51" t="n">
        <f aca="false">IF(OR(NOT(ISNUMBER($G394)),$G394&lt;2,NOT(ISNUMBER($C393)),$C393=0),"",$C394/$C393-1)</f>
        <v>0.0210965673327597</v>
      </c>
      <c r="I394" s="52" t="n">
        <f aca="false">IF(AND(ISNUMBER($G394),$G394&gt;=MA_SHORT),AVERAGE(INDEX($C$5:$C394,391-MA_SHORT):$C394),"")</f>
        <v>949780827.6</v>
      </c>
      <c r="J394" s="52" t="n">
        <f aca="false">IF(AND(ISNUMBER($G394),$G394&gt;=MA_MED),AVERAGE(INDEX($C$5:$C394,391-MA_MED):$C394),"")</f>
        <v>937226013.76</v>
      </c>
      <c r="K394" s="52" t="n">
        <f aca="false">IF(AND(ISNUMBER($G394),$G394&gt;=MA_LONG2),AVERAGE(INDEX($C$5:$C394,391-MA_LONG2):$C394),"")</f>
        <v>911901343.265</v>
      </c>
      <c r="L394" s="53" t="n">
        <f aca="false">IF(AND(ISNUMBER($G394),$G394&gt;=21),STDEV(INDEX($H$334:$H394,62-20):$H394)*SQRT(245),"")</f>
        <v>0.252849698323847</v>
      </c>
      <c r="M394" s="52" t="n">
        <f aca="false">IF(AND(ISNUMBER($G394),$G394&gt;=60),MAX(INDEX($D$194:$D394,202-60):$D394),"")</f>
        <v>991394029</v>
      </c>
      <c r="N394" s="52" t="n">
        <f aca="false">IF(AND(ISNUMBER($G394),$G394&gt;=60),MIN(INDEX($E$194:$E394,202-60):$E394),"")</f>
        <v>879348159</v>
      </c>
      <c r="O394" s="53" t="n">
        <f aca="false">IF(OR(NOT(ISNUMBER($C394)),NOT(ISNUMBER($M394)),$M394=0),"",$C394/$M394-1)</f>
        <v>-0.0303460159330857</v>
      </c>
      <c r="P394" s="54"/>
      <c r="Q394" s="53" t="str">
        <f aca="false">IF(NOT(ISNUMBER($P394)),"",IFERROR(PERCENTRANK($P$5:$P$1204,$P394),""))</f>
        <v/>
      </c>
    </row>
    <row r="395" customFormat="false" ht="15" hidden="false" customHeight="false" outlineLevel="0" collapsed="false">
      <c r="A395" s="47" t="n">
        <v>46116</v>
      </c>
      <c r="B395" s="48" t="s">
        <v>543</v>
      </c>
      <c r="C395" s="49" t="n">
        <v>978090498</v>
      </c>
      <c r="D395" s="49" t="n">
        <v>980743941</v>
      </c>
      <c r="E395" s="49" t="n">
        <v>976897386</v>
      </c>
      <c r="F395" s="49" t="n">
        <v>0</v>
      </c>
      <c r="G395" s="50" t="n">
        <f aca="false">IF($A395="","",IF(ISNUMBER($G394),$G394+1,1))</f>
        <v>391</v>
      </c>
      <c r="H395" s="51" t="n">
        <f aca="false">IF(OR(NOT(ISNUMBER($G395)),$G395&lt;2,NOT(ISNUMBER($C394)),$C394=0),"",$C395/$C394-1)</f>
        <v>0.0174567439110147</v>
      </c>
      <c r="I395" s="52" t="n">
        <f aca="false">IF(AND(ISNUMBER($G395),$G395&gt;=MA_SHORT),AVERAGE(INDEX($C$5:$C395,392-MA_SHORT):$C395),"")</f>
        <v>954531639.65</v>
      </c>
      <c r="J395" s="52" t="n">
        <f aca="false">IF(AND(ISNUMBER($G395),$G395&gt;=MA_MED),AVERAGE(INDEX($C$5:$C395,392-MA_MED):$C395),"")</f>
        <v>938422125.56</v>
      </c>
      <c r="K395" s="52" t="n">
        <f aca="false">IF(AND(ISNUMBER($G395),$G395&gt;=MA_LONG2),AVERAGE(INDEX($C$5:$C395,392-MA_LONG2):$C395),"")</f>
        <v>912446482.055</v>
      </c>
      <c r="L395" s="53" t="n">
        <f aca="false">IF(AND(ISNUMBER($G395),$G395&gt;=21),STDEV(INDEX($H$335:$H395,62-20):$H395)*SQRT(245),"")</f>
        <v>0.239534197866227</v>
      </c>
      <c r="M395" s="52" t="n">
        <f aca="false">IF(AND(ISNUMBER($G395),$G395&gt;=60),MAX(INDEX($D$195:$D395,202-60):$D395),"")</f>
        <v>991394029</v>
      </c>
      <c r="N395" s="52" t="n">
        <f aca="false">IF(AND(ISNUMBER($G395),$G395&gt;=60),MIN(INDEX($E$195:$E395,202-60):$E395),"")</f>
        <v>879348159</v>
      </c>
      <c r="O395" s="53" t="n">
        <f aca="false">IF(OR(NOT(ISNUMBER($C395)),NOT(ISNUMBER($M395)),$M395=0),"",$C395/$M395-1)</f>
        <v>-0.0134190146509345</v>
      </c>
      <c r="P395" s="54"/>
      <c r="Q395" s="53" t="str">
        <f aca="false">IF(NOT(ISNUMBER($P395)),"",IFERROR(PERCENTRANK($P$5:$P$1204,$P395),""))</f>
        <v/>
      </c>
    </row>
    <row r="396" customFormat="false" ht="15" hidden="false" customHeight="false" outlineLevel="0" collapsed="false">
      <c r="A396" s="47" t="n">
        <v>46117</v>
      </c>
      <c r="B396" s="48" t="s">
        <v>544</v>
      </c>
      <c r="C396" s="49" t="n">
        <v>967827649</v>
      </c>
      <c r="D396" s="49" t="n">
        <v>968940671</v>
      </c>
      <c r="E396" s="49" t="n">
        <v>963190855</v>
      </c>
      <c r="F396" s="49" t="n">
        <v>0</v>
      </c>
      <c r="G396" s="50" t="n">
        <f aca="false">IF($A396="","",IF(ISNUMBER($G395),$G395+1,1))</f>
        <v>392</v>
      </c>
      <c r="H396" s="51" t="n">
        <f aca="false">IF(OR(NOT(ISNUMBER($G396)),$G396&lt;2,NOT(ISNUMBER($C395)),$C395=0),"",$C396/$C395-1)</f>
        <v>-0.0104927397014749</v>
      </c>
      <c r="I396" s="52" t="n">
        <f aca="false">IF(AND(ISNUMBER($G396),$G396&gt;=MA_SHORT),AVERAGE(INDEX($C$5:$C396,393-MA_SHORT):$C396),"")</f>
        <v>958114630.85</v>
      </c>
      <c r="J396" s="52" t="n">
        <f aca="false">IF(AND(ISNUMBER($G396),$G396&gt;=MA_MED),AVERAGE(INDEX($C$5:$C396,393-MA_MED):$C396),"")</f>
        <v>939670855.3</v>
      </c>
      <c r="K396" s="52" t="n">
        <f aca="false">IF(AND(ISNUMBER($G396),$G396&gt;=MA_LONG2),AVERAGE(INDEX($C$5:$C396,393-MA_LONG2):$C396),"")</f>
        <v>912882517.59</v>
      </c>
      <c r="L396" s="53" t="n">
        <f aca="false">IF(AND(ISNUMBER($G396),$G396&gt;=21),STDEV(INDEX($H$336:$H396,62-20):$H396)*SQRT(245),"")</f>
        <v>0.242829332001843</v>
      </c>
      <c r="M396" s="52" t="n">
        <f aca="false">IF(AND(ISNUMBER($G396),$G396&gt;=60),MAX(INDEX($D$196:$D396,202-60):$D396),"")</f>
        <v>991394029</v>
      </c>
      <c r="N396" s="52" t="n">
        <f aca="false">IF(AND(ISNUMBER($G396),$G396&gt;=60),MIN(INDEX($E$196:$E396,202-60):$E396),"")</f>
        <v>879348159</v>
      </c>
      <c r="O396" s="53" t="n">
        <f aca="false">IF(OR(NOT(ISNUMBER($C396)),NOT(ISNUMBER($M396)),$M396=0),"",$C396/$M396-1)</f>
        <v>-0.0237709521246269</v>
      </c>
      <c r="P396" s="54"/>
      <c r="Q396" s="53" t="str">
        <f aca="false">IF(NOT(ISNUMBER($P396)),"",IFERROR(PERCENTRANK($P$5:$P$1204,$P396),""))</f>
        <v/>
      </c>
    </row>
    <row r="397" customFormat="false" ht="15" hidden="false" customHeight="false" outlineLevel="0" collapsed="false">
      <c r="A397" s="47" t="n">
        <v>46118</v>
      </c>
      <c r="B397" s="48" t="s">
        <v>545</v>
      </c>
      <c r="C397" s="49" t="n">
        <v>989718829</v>
      </c>
      <c r="D397" s="49" t="n">
        <v>993930994</v>
      </c>
      <c r="E397" s="49" t="n">
        <v>988002082</v>
      </c>
      <c r="F397" s="49" t="n">
        <v>0</v>
      </c>
      <c r="G397" s="50" t="n">
        <f aca="false">IF($A397="","",IF(ISNUMBER($G396),$G396+1,1))</f>
        <v>393</v>
      </c>
      <c r="H397" s="51" t="n">
        <f aca="false">IF(OR(NOT(ISNUMBER($G397)),$G397&lt;2,NOT(ISNUMBER($C396)),$C396=0),"",$C397/$C396-1)</f>
        <v>0.0226188826312401</v>
      </c>
      <c r="I397" s="52" t="n">
        <f aca="false">IF(AND(ISNUMBER($G397),$G397&gt;=MA_SHORT),AVERAGE(INDEX($C$5:$C397,394-MA_SHORT):$C397),"")</f>
        <v>961907034.7</v>
      </c>
      <c r="J397" s="52" t="n">
        <f aca="false">IF(AND(ISNUMBER($G397),$G397&gt;=MA_MED),AVERAGE(INDEX($C$5:$C397,394-MA_MED):$C397),"")</f>
        <v>941445693.78</v>
      </c>
      <c r="K397" s="52" t="n">
        <f aca="false">IF(AND(ISNUMBER($G397),$G397&gt;=MA_LONG2),AVERAGE(INDEX($C$5:$C397,394-MA_LONG2):$C397),"")</f>
        <v>913504655.34</v>
      </c>
      <c r="L397" s="53" t="n">
        <f aca="false">IF(AND(ISNUMBER($G397),$G397&gt;=21),STDEV(INDEX($H$337:$H397,62-20):$H397)*SQRT(245),"")</f>
        <v>0.245423952931519</v>
      </c>
      <c r="M397" s="52" t="n">
        <f aca="false">IF(AND(ISNUMBER($G397),$G397&gt;=60),MAX(INDEX($D$197:$D397,202-60):$D397),"")</f>
        <v>993930994</v>
      </c>
      <c r="N397" s="52" t="n">
        <f aca="false">IF(AND(ISNUMBER($G397),$G397&gt;=60),MIN(INDEX($E$197:$E397,202-60):$E397),"")</f>
        <v>879348159</v>
      </c>
      <c r="O397" s="53" t="n">
        <f aca="false">IF(OR(NOT(ISNUMBER($C397)),NOT(ISNUMBER($M397)),$M397=0),"",$C397/$M397-1)</f>
        <v>-0.00423788474796272</v>
      </c>
      <c r="P397" s="54"/>
      <c r="Q397" s="53" t="str">
        <f aca="false">IF(NOT(ISNUMBER($P397)),"",IFERROR(PERCENTRANK($P$5:$P$1204,$P397),""))</f>
        <v/>
      </c>
    </row>
    <row r="398" customFormat="false" ht="15" hidden="false" customHeight="false" outlineLevel="0" collapsed="false">
      <c r="A398" s="47" t="n">
        <v>46119</v>
      </c>
      <c r="B398" s="48" t="s">
        <v>546</v>
      </c>
      <c r="C398" s="49" t="n">
        <v>1004231853</v>
      </c>
      <c r="D398" s="49" t="n">
        <v>1004823385</v>
      </c>
      <c r="E398" s="49" t="n">
        <v>996045355</v>
      </c>
      <c r="F398" s="49" t="n">
        <v>0</v>
      </c>
      <c r="G398" s="50" t="n">
        <f aca="false">IF($A398="","",IF(ISNUMBER($G397),$G397+1,1))</f>
        <v>394</v>
      </c>
      <c r="H398" s="51" t="n">
        <f aca="false">IF(OR(NOT(ISNUMBER($G398)),$G398&lt;2,NOT(ISNUMBER($C397)),$C397=0),"",$C398/$C397-1)</f>
        <v>0.014663784879857</v>
      </c>
      <c r="I398" s="52" t="n">
        <f aca="false">IF(AND(ISNUMBER($G398),$G398&gt;=MA_SHORT),AVERAGE(INDEX($C$5:$C398,395-MA_SHORT):$C398),"")</f>
        <v>966383556.8</v>
      </c>
      <c r="J398" s="52" t="n">
        <f aca="false">IF(AND(ISNUMBER($G398),$G398&gt;=MA_MED),AVERAGE(INDEX($C$5:$C398,395-MA_MED):$C398),"")</f>
        <v>943659014.8</v>
      </c>
      <c r="K398" s="52" t="n">
        <f aca="false">IF(AND(ISNUMBER($G398),$G398&gt;=MA_LONG2),AVERAGE(INDEX($C$5:$C398,395-MA_LONG2):$C398),"")</f>
        <v>914156405.825</v>
      </c>
      <c r="L398" s="53" t="n">
        <f aca="false">IF(AND(ISNUMBER($G398),$G398&gt;=21),STDEV(INDEX($H$338:$H398,62-20):$H398)*SQRT(245),"")</f>
        <v>0.247819447792173</v>
      </c>
      <c r="M398" s="52" t="n">
        <f aca="false">IF(AND(ISNUMBER($G398),$G398&gt;=60),MAX(INDEX($D$198:$D398,202-60):$D398),"")</f>
        <v>1004823385</v>
      </c>
      <c r="N398" s="52" t="n">
        <f aca="false">IF(AND(ISNUMBER($G398),$G398&gt;=60),MIN(INDEX($E$198:$E398,202-60):$E398),"")</f>
        <v>879348159</v>
      </c>
      <c r="O398" s="53" t="n">
        <f aca="false">IF(OR(NOT(ISNUMBER($C398)),NOT(ISNUMBER($M398)),$M398=0),"",$C398/$M398-1)</f>
        <v>-0.000588692509380651</v>
      </c>
      <c r="P398" s="54"/>
      <c r="Q398" s="53" t="str">
        <f aca="false">IF(NOT(ISNUMBER($P398)),"",IFERROR(PERCENTRANK($P$5:$P$1204,$P398),""))</f>
        <v/>
      </c>
    </row>
    <row r="399" customFormat="false" ht="15" hidden="false" customHeight="false" outlineLevel="0" collapsed="false">
      <c r="A399" s="47" t="n">
        <v>46120</v>
      </c>
      <c r="B399" s="48" t="s">
        <v>547</v>
      </c>
      <c r="C399" s="49" t="n">
        <v>1012725958</v>
      </c>
      <c r="D399" s="49" t="n">
        <v>1015806328</v>
      </c>
      <c r="E399" s="49" t="n">
        <v>1011388394</v>
      </c>
      <c r="F399" s="49" t="n">
        <v>0</v>
      </c>
      <c r="G399" s="50" t="n">
        <f aca="false">IF($A399="","",IF(ISNUMBER($G398),$G398+1,1))</f>
        <v>395</v>
      </c>
      <c r="H399" s="51" t="n">
        <f aca="false">IF(OR(NOT(ISNUMBER($G399)),$G399&lt;2,NOT(ISNUMBER($C398)),$C398=0),"",$C399/$C398-1)</f>
        <v>0.00845831067260527</v>
      </c>
      <c r="I399" s="52" t="n">
        <f aca="false">IF(AND(ISNUMBER($G399),$G399&gt;=MA_SHORT),AVERAGE(INDEX($C$5:$C399,396-MA_SHORT):$C399),"")</f>
        <v>970778400.85</v>
      </c>
      <c r="J399" s="52" t="n">
        <f aca="false">IF(AND(ISNUMBER($G399),$G399&gt;=MA_MED),AVERAGE(INDEX($C$5:$C399,396-MA_MED):$C399),"")</f>
        <v>945879353.2</v>
      </c>
      <c r="K399" s="52" t="n">
        <f aca="false">IF(AND(ISNUMBER($G399),$G399&gt;=MA_LONG2),AVERAGE(INDEX($C$5:$C399,396-MA_LONG2):$C399),"")</f>
        <v>914897360.58</v>
      </c>
      <c r="L399" s="53" t="n">
        <f aca="false">IF(AND(ISNUMBER($G399),$G399&gt;=21),STDEV(INDEX($H$339:$H399,62-20):$H399)*SQRT(245),"")</f>
        <v>0.247134244642971</v>
      </c>
      <c r="M399" s="52" t="n">
        <f aca="false">IF(AND(ISNUMBER($G399),$G399&gt;=60),MAX(INDEX($D$199:$D399,202-60):$D399),"")</f>
        <v>1015806328</v>
      </c>
      <c r="N399" s="52" t="n">
        <f aca="false">IF(AND(ISNUMBER($G399),$G399&gt;=60),MIN(INDEX($E$199:$E399,202-60):$E399),"")</f>
        <v>879348159</v>
      </c>
      <c r="O399" s="53" t="n">
        <f aca="false">IF(OR(NOT(ISNUMBER($C399)),NOT(ISNUMBER($M399)),$M399=0),"",$C399/$M399-1)</f>
        <v>-0.00303243828581468</v>
      </c>
      <c r="P399" s="54"/>
      <c r="Q399" s="53" t="str">
        <f aca="false">IF(NOT(ISNUMBER($P399)),"",IFERROR(PERCENTRANK($P$5:$P$1204,$P399),""))</f>
        <v/>
      </c>
    </row>
    <row r="400" customFormat="false" ht="15" hidden="false" customHeight="false" outlineLevel="0" collapsed="false">
      <c r="A400" s="47" t="n">
        <v>46123</v>
      </c>
      <c r="B400" s="48" t="s">
        <v>548</v>
      </c>
      <c r="C400" s="49" t="n">
        <v>1007425704</v>
      </c>
      <c r="D400" s="49" t="n">
        <v>1011490336</v>
      </c>
      <c r="E400" s="49" t="n">
        <v>1006057365</v>
      </c>
      <c r="F400" s="49" t="n">
        <v>0</v>
      </c>
      <c r="G400" s="50" t="n">
        <f aca="false">IF($A400="","",IF(ISNUMBER($G399),$G399+1,1))</f>
        <v>396</v>
      </c>
      <c r="H400" s="51" t="n">
        <f aca="false">IF(OR(NOT(ISNUMBER($G400)),$G400&lt;2,NOT(ISNUMBER($C399)),$C399=0),"",$C400/$C399-1)</f>
        <v>-0.00523365077998716</v>
      </c>
      <c r="I400" s="52" t="n">
        <f aca="false">IF(AND(ISNUMBER($G400),$G400&gt;=MA_SHORT),AVERAGE(INDEX($C$5:$C400,397-MA_SHORT):$C400),"")</f>
        <v>974686989.6</v>
      </c>
      <c r="J400" s="52" t="n">
        <f aca="false">IF(AND(ISNUMBER($G400),$G400&gt;=MA_MED),AVERAGE(INDEX($C$5:$C400,397-MA_MED):$C400),"")</f>
        <v>947692372.66</v>
      </c>
      <c r="K400" s="52" t="n">
        <f aca="false">IF(AND(ISNUMBER($G400),$G400&gt;=MA_LONG2),AVERAGE(INDEX($C$5:$C400,397-MA_LONG2):$C400),"")</f>
        <v>915545714.72</v>
      </c>
      <c r="L400" s="53" t="n">
        <f aca="false">IF(AND(ISNUMBER($G400),$G400&gt;=21),STDEV(INDEX($H$340:$H400,62-20):$H400)*SQRT(245),"")</f>
        <v>0.249549313037587</v>
      </c>
      <c r="M400" s="52" t="n">
        <f aca="false">IF(AND(ISNUMBER($G400),$G400&gt;=60),MAX(INDEX($D$200:$D400,202-60):$D400),"")</f>
        <v>1015806328</v>
      </c>
      <c r="N400" s="52" t="n">
        <f aca="false">IF(AND(ISNUMBER($G400),$G400&gt;=60),MIN(INDEX($E$200:$E400,202-60):$E400),"")</f>
        <v>879348159</v>
      </c>
      <c r="O400" s="53" t="n">
        <f aca="false">IF(OR(NOT(ISNUMBER($C400)),NOT(ISNUMBER($M400)),$M400=0),"",$C400/$M400-1)</f>
        <v>-0.00825021834280204</v>
      </c>
      <c r="P400" s="54"/>
      <c r="Q400" s="53" t="str">
        <f aca="false">IF(NOT(ISNUMBER($P400)),"",IFERROR(PERCENTRANK($P$5:$P$1204,$P400),""))</f>
        <v/>
      </c>
    </row>
    <row r="401" customFormat="false" ht="15" hidden="false" customHeight="false" outlineLevel="0" collapsed="false">
      <c r="A401" s="47" t="n">
        <v>46124</v>
      </c>
      <c r="B401" s="48" t="s">
        <v>549</v>
      </c>
      <c r="C401" s="49" t="n">
        <v>1022298035</v>
      </c>
      <c r="D401" s="49" t="n">
        <v>1027179506</v>
      </c>
      <c r="E401" s="49" t="n">
        <v>1018261866</v>
      </c>
      <c r="F401" s="49" t="n">
        <v>0</v>
      </c>
      <c r="G401" s="50" t="n">
        <f aca="false">IF($A401="","",IF(ISNUMBER($G400),$G400+1,1))</f>
        <v>397</v>
      </c>
      <c r="H401" s="51" t="n">
        <f aca="false">IF(OR(NOT(ISNUMBER($G401)),$G401&lt;2,NOT(ISNUMBER($C400)),$C400=0),"",$C401/$C400-1)</f>
        <v>0.0147627075038379</v>
      </c>
      <c r="I401" s="52" t="n">
        <f aca="false">IF(AND(ISNUMBER($G401),$G401&gt;=MA_SHORT),AVERAGE(INDEX($C$5:$C401,398-MA_SHORT):$C401),"")</f>
        <v>978546378.1</v>
      </c>
      <c r="J401" s="52" t="n">
        <f aca="false">IF(AND(ISNUMBER($G401),$G401&gt;=MA_MED),AVERAGE(INDEX($C$5:$C401,398-MA_MED):$C401),"")</f>
        <v>949669361.88</v>
      </c>
      <c r="K401" s="52" t="n">
        <f aca="false">IF(AND(ISNUMBER($G401),$G401&gt;=MA_LONG2),AVERAGE(INDEX($C$5:$C401,398-MA_LONG2):$C401),"")</f>
        <v>916215490.33</v>
      </c>
      <c r="L401" s="53" t="n">
        <f aca="false">IF(AND(ISNUMBER($G401),$G401&gt;=21),STDEV(INDEX($H$341:$H401,62-20):$H401)*SQRT(245),"")</f>
        <v>0.248142133056471</v>
      </c>
      <c r="M401" s="52" t="n">
        <f aca="false">IF(AND(ISNUMBER($G401),$G401&gt;=60),MAX(INDEX($D$201:$D401,202-60):$D401),"")</f>
        <v>1027179506</v>
      </c>
      <c r="N401" s="52" t="n">
        <f aca="false">IF(AND(ISNUMBER($G401),$G401&gt;=60),MIN(INDEX($E$201:$E401,202-60):$E401),"")</f>
        <v>879348159</v>
      </c>
      <c r="O401" s="53" t="n">
        <f aca="false">IF(OR(NOT(ISNUMBER($C401)),NOT(ISNUMBER($M401)),$M401=0),"",$C401/$M401-1)</f>
        <v>-0.00475230567927631</v>
      </c>
      <c r="P401" s="54"/>
      <c r="Q401" s="53" t="str">
        <f aca="false">IF(NOT(ISNUMBER($P401)),"",IFERROR(PERCENTRANK($P$5:$P$1204,$P401),""))</f>
        <v/>
      </c>
    </row>
    <row r="402" customFormat="false" ht="15" hidden="false" customHeight="false" outlineLevel="0" collapsed="false">
      <c r="A402" s="47" t="n">
        <v>46125</v>
      </c>
      <c r="B402" s="48" t="s">
        <v>550</v>
      </c>
      <c r="C402" s="49" t="n">
        <v>1002819631</v>
      </c>
      <c r="D402" s="49" t="n">
        <v>1005322300</v>
      </c>
      <c r="E402" s="49" t="n">
        <v>999265875</v>
      </c>
      <c r="F402" s="49" t="n">
        <v>0</v>
      </c>
      <c r="G402" s="50" t="n">
        <f aca="false">IF($A402="","",IF(ISNUMBER($G401),$G401+1,1))</f>
        <v>398</v>
      </c>
      <c r="H402" s="51" t="n">
        <f aca="false">IF(OR(NOT(ISNUMBER($G402)),$G402&lt;2,NOT(ISNUMBER($C401)),$C401=0),"",$C402/$C401-1)</f>
        <v>-0.0190535473346577</v>
      </c>
      <c r="I402" s="52" t="n">
        <f aca="false">IF(AND(ISNUMBER($G402),$G402&gt;=MA_SHORT),AVERAGE(INDEX($C$5:$C402,399-MA_SHORT):$C402),"")</f>
        <v>980874472</v>
      </c>
      <c r="J402" s="52" t="n">
        <f aca="false">IF(AND(ISNUMBER($G402),$G402&gt;=MA_MED),AVERAGE(INDEX($C$5:$C402,399-MA_MED):$C402),"")</f>
        <v>950814412.92</v>
      </c>
      <c r="K402" s="52" t="n">
        <f aca="false">IF(AND(ISNUMBER($G402),$G402&gt;=MA_LONG2),AVERAGE(INDEX($C$5:$C402,399-MA_LONG2):$C402),"")</f>
        <v>916766463.055</v>
      </c>
      <c r="L402" s="53" t="n">
        <f aca="false">IF(AND(ISNUMBER($G402),$G402&gt;=21),STDEV(INDEX($H$342:$H402,62-20):$H402)*SQRT(245),"")</f>
        <v>0.258983659906613</v>
      </c>
      <c r="M402" s="52" t="n">
        <f aca="false">IF(AND(ISNUMBER($G402),$G402&gt;=60),MAX(INDEX($D$202:$D402,202-60):$D402),"")</f>
        <v>1027179506</v>
      </c>
      <c r="N402" s="52" t="n">
        <f aca="false">IF(AND(ISNUMBER($G402),$G402&gt;=60),MIN(INDEX($E$202:$E402,202-60):$E402),"")</f>
        <v>879348159</v>
      </c>
      <c r="O402" s="53" t="n">
        <f aca="false">IF(OR(NOT(ISNUMBER($C402)),NOT(ISNUMBER($M402)),$M402=0),"",$C402/$M402-1)</f>
        <v>-0.0237153047327251</v>
      </c>
      <c r="P402" s="54"/>
      <c r="Q402" s="53" t="str">
        <f aca="false">IF(NOT(ISNUMBER($P402)),"",IFERROR(PERCENTRANK($P$5:$P$1204,$P402),""))</f>
        <v/>
      </c>
    </row>
    <row r="403" customFormat="false" ht="15" hidden="false" customHeight="false" outlineLevel="0" collapsed="false">
      <c r="A403" s="47" t="n">
        <v>46126</v>
      </c>
      <c r="B403" s="48" t="s">
        <v>551</v>
      </c>
      <c r="C403" s="49" t="n">
        <v>1013394438</v>
      </c>
      <c r="D403" s="49" t="n">
        <v>1015663442</v>
      </c>
      <c r="E403" s="49" t="n">
        <v>1011342573</v>
      </c>
      <c r="F403" s="49" t="n">
        <v>0</v>
      </c>
      <c r="G403" s="50" t="n">
        <f aca="false">IF($A403="","",IF(ISNUMBER($G402),$G402+1,1))</f>
        <v>399</v>
      </c>
      <c r="H403" s="51" t="n">
        <f aca="false">IF(OR(NOT(ISNUMBER($G403)),$G403&lt;2,NOT(ISNUMBER($C402)),$C402=0),"",$C403/$C402-1)</f>
        <v>0.0105450737830639</v>
      </c>
      <c r="I403" s="52" t="n">
        <f aca="false">IF(AND(ISNUMBER($G403),$G403&gt;=MA_SHORT),AVERAGE(INDEX($C$5:$C403,400-MA_SHORT):$C403),"")</f>
        <v>982536250.9</v>
      </c>
      <c r="J403" s="52" t="n">
        <f aca="false">IF(AND(ISNUMBER($G403),$G403&gt;=MA_MED),AVERAGE(INDEX($C$5:$C403,400-MA_MED):$C403),"")</f>
        <v>952015665.46</v>
      </c>
      <c r="K403" s="52" t="n">
        <f aca="false">IF(AND(ISNUMBER($G403),$G403&gt;=MA_LONG2),AVERAGE(INDEX($C$5:$C403,400-MA_LONG2):$C403),"")</f>
        <v>917330661.665</v>
      </c>
      <c r="L403" s="53" t="n">
        <f aca="false">IF(AND(ISNUMBER($G403),$G403&gt;=21),STDEV(INDEX($H$343:$H403,62-20):$H403)*SQRT(245),"")</f>
        <v>0.247490666261863</v>
      </c>
      <c r="M403" s="52" t="n">
        <f aca="false">IF(AND(ISNUMBER($G403),$G403&gt;=60),MAX(INDEX($D$203:$D403,202-60):$D403),"")</f>
        <v>1027179506</v>
      </c>
      <c r="N403" s="52" t="n">
        <f aca="false">IF(AND(ISNUMBER($G403),$G403&gt;=60),MIN(INDEX($E$203:$E403,202-60):$E403),"")</f>
        <v>879348159</v>
      </c>
      <c r="O403" s="53" t="n">
        <f aca="false">IF(OR(NOT(ISNUMBER($C403)),NOT(ISNUMBER($M403)),$M403=0),"",$C403/$M403-1)</f>
        <v>-0.0134203105878555</v>
      </c>
      <c r="P403" s="54"/>
      <c r="Q403" s="53" t="str">
        <f aca="false">IF(NOT(ISNUMBER($P403)),"",IFERROR(PERCENTRANK($P$5:$P$1204,$P403),""))</f>
        <v/>
      </c>
    </row>
    <row r="404" customFormat="false" ht="15" hidden="false" customHeight="false" outlineLevel="0" collapsed="false">
      <c r="A404" s="47" t="n">
        <v>46127</v>
      </c>
      <c r="B404" s="48" t="s">
        <v>552</v>
      </c>
      <c r="C404" s="49" t="n">
        <v>1034598472</v>
      </c>
      <c r="D404" s="49" t="n">
        <v>1040912630</v>
      </c>
      <c r="E404" s="49" t="n">
        <v>1027924053</v>
      </c>
      <c r="F404" s="49" t="n">
        <v>0</v>
      </c>
      <c r="G404" s="50" t="n">
        <f aca="false">IF($A404="","",IF(ISNUMBER($G403),$G403+1,1))</f>
        <v>400</v>
      </c>
      <c r="H404" s="51" t="n">
        <f aca="false">IF(OR(NOT(ISNUMBER($G404)),$G404&lt;2,NOT(ISNUMBER($C403)),$C403=0),"",$C404/$C403-1)</f>
        <v>0.0209237718354243</v>
      </c>
      <c r="I404" s="52" t="n">
        <f aca="false">IF(AND(ISNUMBER($G404),$G404&gt;=MA_SHORT),AVERAGE(INDEX($C$5:$C404,401-MA_SHORT):$C404),"")</f>
        <v>985161893.7</v>
      </c>
      <c r="J404" s="52" t="n">
        <f aca="false">IF(AND(ISNUMBER($G404),$G404&gt;=MA_MED),AVERAGE(INDEX($C$5:$C404,401-MA_MED):$C404),"")</f>
        <v>953686898.82</v>
      </c>
      <c r="K404" s="52" t="n">
        <f aca="false">IF(AND(ISNUMBER($G404),$G404&gt;=MA_LONG2),AVERAGE(INDEX($C$5:$C404,401-MA_LONG2):$C404),"")</f>
        <v>918033577.505</v>
      </c>
      <c r="L404" s="53" t="n">
        <f aca="false">IF(AND(ISNUMBER($G404),$G404&gt;=21),STDEV(INDEX($H$344:$H404,62-20):$H404)*SQRT(245),"")</f>
        <v>0.256400756552531</v>
      </c>
      <c r="M404" s="52" t="n">
        <f aca="false">IF(AND(ISNUMBER($G404),$G404&gt;=60),MAX(INDEX($D$204:$D404,202-60):$D404),"")</f>
        <v>1040912630</v>
      </c>
      <c r="N404" s="52" t="n">
        <f aca="false">IF(AND(ISNUMBER($G404),$G404&gt;=60),MIN(INDEX($E$204:$E404,202-60):$E404),"")</f>
        <v>879348159</v>
      </c>
      <c r="O404" s="53" t="n">
        <f aca="false">IF(OR(NOT(ISNUMBER($C404)),NOT(ISNUMBER($M404)),$M404=0),"",$C404/$M404-1)</f>
        <v>-0.00606598269443615</v>
      </c>
      <c r="P404" s="54"/>
      <c r="Q404" s="53" t="str">
        <f aca="false">IF(NOT(ISNUMBER($P404)),"",IFERROR(PERCENTRANK($P$5:$P$1204,$P404),""))</f>
        <v/>
      </c>
    </row>
    <row r="405" customFormat="false" ht="15" hidden="false" customHeight="false" outlineLevel="0" collapsed="false">
      <c r="A405" s="47" t="n">
        <v>46130</v>
      </c>
      <c r="B405" s="48" t="s">
        <v>553</v>
      </c>
      <c r="C405" s="49" t="n">
        <v>1023711867</v>
      </c>
      <c r="D405" s="49" t="n">
        <v>1026333162</v>
      </c>
      <c r="E405" s="49" t="n">
        <v>1020450939</v>
      </c>
      <c r="F405" s="49" t="n">
        <v>0</v>
      </c>
      <c r="G405" s="50" t="n">
        <f aca="false">IF($A405="","",IF(ISNUMBER($G404),$G404+1,1))</f>
        <v>401</v>
      </c>
      <c r="H405" s="51" t="n">
        <f aca="false">IF(OR(NOT(ISNUMBER($G405)),$G405&lt;2,NOT(ISNUMBER($C404)),$C404=0),"",$C405/$C404-1)</f>
        <v>-0.0105225411544972</v>
      </c>
      <c r="I405" s="52" t="n">
        <f aca="false">IF(AND(ISNUMBER($G405),$G405&gt;=MA_SHORT),AVERAGE(INDEX($C$5:$C405,402-MA_SHORT):$C405),"")</f>
        <v>986854342.75</v>
      </c>
      <c r="J405" s="52" t="n">
        <f aca="false">IF(AND(ISNUMBER($G405),$G405&gt;=MA_MED),AVERAGE(INDEX($C$5:$C405,402-MA_MED):$C405),"")</f>
        <v>955253999.98</v>
      </c>
      <c r="K405" s="52" t="n">
        <f aca="false">IF(AND(ISNUMBER($G405),$G405&gt;=MA_LONG2),AVERAGE(INDEX($C$5:$C405,402-MA_LONG2):$C405),"")</f>
        <v>918684122.49</v>
      </c>
      <c r="L405" s="53" t="n">
        <f aca="false">IF(AND(ISNUMBER($G405),$G405&gt;=21),STDEV(INDEX($H$345:$H405,62-20):$H405)*SQRT(245),"")</f>
        <v>0.259696524243755</v>
      </c>
      <c r="M405" s="52" t="n">
        <f aca="false">IF(AND(ISNUMBER($G405),$G405&gt;=60),MAX(INDEX($D$205:$D405,202-60):$D405),"")</f>
        <v>1040912630</v>
      </c>
      <c r="N405" s="52" t="n">
        <f aca="false">IF(AND(ISNUMBER($G405),$G405&gt;=60),MIN(INDEX($E$205:$E405,202-60):$E405),"")</f>
        <v>879348159</v>
      </c>
      <c r="O405" s="53" t="n">
        <f aca="false">IF(OR(NOT(ISNUMBER($C405)),NOT(ISNUMBER($M405)),$M405=0),"",$C405/$M405-1)</f>
        <v>-0.0165246942963887</v>
      </c>
      <c r="P405" s="54"/>
      <c r="Q405" s="53" t="str">
        <f aca="false">IF(NOT(ISNUMBER($P405)),"",IFERROR(PERCENTRANK($P$5:$P$1204,$P405),""))</f>
        <v/>
      </c>
    </row>
    <row r="406" customFormat="false" ht="15" hidden="false" customHeight="false" outlineLevel="0" collapsed="false">
      <c r="A406" s="47" t="n">
        <v>46131</v>
      </c>
      <c r="B406" s="48" t="s">
        <v>554</v>
      </c>
      <c r="C406" s="49" t="n">
        <v>1034494526</v>
      </c>
      <c r="D406" s="49" t="n">
        <v>1036619867</v>
      </c>
      <c r="E406" s="49" t="n">
        <v>1033593860</v>
      </c>
      <c r="F406" s="49" t="n">
        <v>0</v>
      </c>
      <c r="G406" s="50" t="n">
        <f aca="false">IF($A406="","",IF(ISNUMBER($G405),$G405+1,1))</f>
        <v>402</v>
      </c>
      <c r="H406" s="51" t="n">
        <f aca="false">IF(OR(NOT(ISNUMBER($G406)),$G406&lt;2,NOT(ISNUMBER($C405)),$C405=0),"",$C406/$C405-1)</f>
        <v>0.0105329041770306</v>
      </c>
      <c r="I406" s="52" t="n">
        <f aca="false">IF(AND(ISNUMBER($G406),$G406&gt;=MA_SHORT),AVERAGE(INDEX($C$6:$C406,402-MA_SHORT):$C406),"")</f>
        <v>990268308.65</v>
      </c>
      <c r="J406" s="52" t="n">
        <f aca="false">IF(AND(ISNUMBER($G406),$G406&gt;=MA_MED),AVERAGE(INDEX($C$6:$C406,402-MA_MED):$C406),"")</f>
        <v>956992485.38</v>
      </c>
      <c r="K406" s="52" t="n">
        <f aca="false">IF(AND(ISNUMBER($G406),$G406&gt;=MA_LONG2),AVERAGE(INDEX($C$6:$C406,402-MA_LONG2):$C406),"")</f>
        <v>919351340.925</v>
      </c>
      <c r="L406" s="53" t="n">
        <f aca="false">IF(AND(ISNUMBER($G406),$G406&gt;=21),STDEV(INDEX($H$346:$H406,62-20):$H406)*SQRT(245),"")</f>
        <v>0.243186104656384</v>
      </c>
      <c r="M406" s="52" t="n">
        <f aca="false">IF(AND(ISNUMBER($G406),$G406&gt;=60),MAX(INDEX($D$206:$D406,202-60):$D406),"")</f>
        <v>1040912630</v>
      </c>
      <c r="N406" s="52" t="n">
        <f aca="false">IF(AND(ISNUMBER($G406),$G406&gt;=60),MIN(INDEX($E$206:$E406,202-60):$E406),"")</f>
        <v>879348159</v>
      </c>
      <c r="O406" s="53" t="n">
        <f aca="false">IF(OR(NOT(ISNUMBER($C406)),NOT(ISNUMBER($M406)),$M406=0),"",$C406/$M406-1)</f>
        <v>-0.00616584314093682</v>
      </c>
      <c r="P406" s="54"/>
      <c r="Q406" s="53" t="str">
        <f aca="false">IF(NOT(ISNUMBER($P406)),"",IFERROR(PERCENTRANK($P$5:$P$1204,$P406),""))</f>
        <v/>
      </c>
    </row>
    <row r="407" customFormat="false" ht="15" hidden="false" customHeight="false" outlineLevel="0" collapsed="false">
      <c r="A407" s="47" t="n">
        <v>46132</v>
      </c>
      <c r="B407" s="48" t="s">
        <v>555</v>
      </c>
      <c r="C407" s="49" t="n">
        <v>1048012897</v>
      </c>
      <c r="D407" s="49" t="n">
        <v>1048594816</v>
      </c>
      <c r="E407" s="49" t="n">
        <v>1044864527</v>
      </c>
      <c r="F407" s="49" t="n">
        <v>0</v>
      </c>
      <c r="G407" s="50" t="n">
        <f aca="false">IF($A407="","",IF(ISNUMBER($G406),$G406+1,1))</f>
        <v>403</v>
      </c>
      <c r="H407" s="51" t="n">
        <f aca="false">IF(OR(NOT(ISNUMBER($G407)),$G407&lt;2,NOT(ISNUMBER($C406)),$C406=0),"",$C407/$C406-1)</f>
        <v>0.0130676099875273</v>
      </c>
      <c r="I407" s="52" t="n">
        <f aca="false">IF(AND(ISNUMBER($G407),$G407&gt;=MA_SHORT),AVERAGE(INDEX($C$7:$C407,402-MA_SHORT):$C407),"")</f>
        <v>994668753</v>
      </c>
      <c r="J407" s="52" t="n">
        <f aca="false">IF(AND(ISNUMBER($G407),$G407&gt;=MA_MED),AVERAGE(INDEX($C$7:$C407,402-MA_MED):$C407),"")</f>
        <v>958940160.02</v>
      </c>
      <c r="K407" s="52" t="n">
        <f aca="false">IF(AND(ISNUMBER($G407),$G407&gt;=MA_LONG2),AVERAGE(INDEX($C$7:$C407,402-MA_LONG2):$C407),"")</f>
        <v>920106135.175</v>
      </c>
      <c r="L407" s="53" t="n">
        <f aca="false">IF(AND(ISNUMBER($G407),$G407&gt;=21),STDEV(INDEX($H$347:$H407,62-20):$H407)*SQRT(245),"")</f>
        <v>0.242458728066545</v>
      </c>
      <c r="M407" s="52" t="n">
        <f aca="false">IF(AND(ISNUMBER($G407),$G407&gt;=60),MAX(INDEX($D$207:$D407,202-60):$D407),"")</f>
        <v>1048594816</v>
      </c>
      <c r="N407" s="52" t="n">
        <f aca="false">IF(AND(ISNUMBER($G407),$G407&gt;=60),MIN(INDEX($E$207:$E407,202-60):$E407),"")</f>
        <v>879348159</v>
      </c>
      <c r="O407" s="53" t="n">
        <f aca="false">IF(OR(NOT(ISNUMBER($C407)),NOT(ISNUMBER($M407)),$M407=0),"",$C407/$M407-1)</f>
        <v>-0.000554951246297231</v>
      </c>
      <c r="P407" s="54"/>
      <c r="Q407" s="53" t="str">
        <f aca="false">IF(NOT(ISNUMBER($P407)),"",IFERROR(PERCENTRANK($P$5:$P$1204,$P407),""))</f>
        <v/>
      </c>
    </row>
    <row r="408" customFormat="false" ht="15" hidden="false" customHeight="false" outlineLevel="0" collapsed="false">
      <c r="A408" s="47" t="n">
        <v>46133</v>
      </c>
      <c r="B408" s="48" t="s">
        <v>556</v>
      </c>
      <c r="C408" s="49" t="n">
        <v>1053418520</v>
      </c>
      <c r="D408" s="49" t="n">
        <v>1055786620</v>
      </c>
      <c r="E408" s="49" t="n">
        <v>1050992854</v>
      </c>
      <c r="F408" s="49" t="n">
        <v>0</v>
      </c>
      <c r="G408" s="50" t="n">
        <f aca="false">IF($A408="","",IF(ISNUMBER($G407),$G407+1,1))</f>
        <v>404</v>
      </c>
      <c r="H408" s="51" t="n">
        <f aca="false">IF(OR(NOT(ISNUMBER($G408)),$G408&lt;2,NOT(ISNUMBER($C407)),$C407=0),"",$C408/$C407-1)</f>
        <v>0.00515797373818017</v>
      </c>
      <c r="I408" s="52" t="n">
        <f aca="false">IF(AND(ISNUMBER($G408),$G408&gt;=MA_SHORT),AVERAGE(INDEX($C$8:$C408,402-MA_SHORT):$C408),"")</f>
        <v>999824253.4</v>
      </c>
      <c r="J408" s="52" t="n">
        <f aca="false">IF(AND(ISNUMBER($G408),$G408&gt;=MA_MED),AVERAGE(INDEX($C$8:$C408,402-MA_MED):$C408),"")</f>
        <v>961219174.72</v>
      </c>
      <c r="K408" s="52" t="n">
        <f aca="false">IF(AND(ISNUMBER($G408),$G408&gt;=MA_LONG2),AVERAGE(INDEX($C$8:$C408,402-MA_LONG2):$C408),"")</f>
        <v>920775697.035</v>
      </c>
      <c r="L408" s="53" t="n">
        <f aca="false">IF(AND(ISNUMBER($G408),$G408&gt;=21),STDEV(INDEX($H$348:$H408,62-20):$H408)*SQRT(245),"")</f>
        <v>0.236409662840427</v>
      </c>
      <c r="M408" s="52" t="n">
        <f aca="false">IF(AND(ISNUMBER($G408),$G408&gt;=60),MAX(INDEX($D$208:$D408,202-60):$D408),"")</f>
        <v>1055786620</v>
      </c>
      <c r="N408" s="52" t="n">
        <f aca="false">IF(AND(ISNUMBER($G408),$G408&gt;=60),MIN(INDEX($E$208:$E408,202-60):$E408),"")</f>
        <v>879348159</v>
      </c>
      <c r="O408" s="53" t="n">
        <f aca="false">IF(OR(NOT(ISNUMBER($C408)),NOT(ISNUMBER($M408)),$M408=0),"",$C408/$M408-1)</f>
        <v>-0.00224297216420488</v>
      </c>
      <c r="P408" s="54"/>
      <c r="Q408" s="53" t="str">
        <f aca="false">IF(NOT(ISNUMBER($P408)),"",IFERROR(PERCENTRANK($P$5:$P$1204,$P408),""))</f>
        <v/>
      </c>
    </row>
    <row r="409" customFormat="false" ht="15" hidden="false" customHeight="false" outlineLevel="0" collapsed="false">
      <c r="A409" s="47" t="n">
        <v>46134</v>
      </c>
      <c r="B409" s="48" t="s">
        <v>557</v>
      </c>
      <c r="C409" s="49" t="n">
        <v>1057579381</v>
      </c>
      <c r="D409" s="49" t="n">
        <v>1058874089</v>
      </c>
      <c r="E409" s="49" t="n">
        <v>1053811851</v>
      </c>
      <c r="F409" s="49" t="n">
        <v>0</v>
      </c>
      <c r="G409" s="50" t="n">
        <f aca="false">IF($A409="","",IF(ISNUMBER($G408),$G408+1,1))</f>
        <v>405</v>
      </c>
      <c r="H409" s="51" t="n">
        <f aca="false">IF(OR(NOT(ISNUMBER($G409)),$G409&lt;2,NOT(ISNUMBER($C408)),$C408=0),"",$C409/$C408-1)</f>
        <v>0.00394986505458439</v>
      </c>
      <c r="I409" s="52" t="n">
        <f aca="false">IF(AND(ISNUMBER($G409),$G409&gt;=MA_SHORT),AVERAGE(INDEX($C$9:$C409,402-MA_SHORT):$C409),"")</f>
        <v>1004060775.45</v>
      </c>
      <c r="J409" s="52" t="n">
        <f aca="false">IF(AND(ISNUMBER($G409),$G409&gt;=MA_MED),AVERAGE(INDEX($C$9:$C409,402-MA_MED):$C409),"")</f>
        <v>963823901.08</v>
      </c>
      <c r="K409" s="52" t="n">
        <f aca="false">IF(AND(ISNUMBER($G409),$G409&gt;=MA_LONG2),AVERAGE(INDEX($C$9:$C409,402-MA_LONG2):$C409),"")</f>
        <v>921506132.57</v>
      </c>
      <c r="L409" s="53" t="n">
        <f aca="false">IF(AND(ISNUMBER($G409),$G409&gt;=21),STDEV(INDEX($H$349:$H409,62-20):$H409)*SQRT(245),"")</f>
        <v>0.226433923275259</v>
      </c>
      <c r="M409" s="52" t="n">
        <f aca="false">IF(AND(ISNUMBER($G409),$G409&gt;=60),MAX(INDEX($D$209:$D409,202-60):$D409),"")</f>
        <v>1058874089</v>
      </c>
      <c r="N409" s="52" t="n">
        <f aca="false">IF(AND(ISNUMBER($G409),$G409&gt;=60),MIN(INDEX($E$209:$E409,202-60):$E409),"")</f>
        <v>879348159</v>
      </c>
      <c r="O409" s="53" t="n">
        <f aca="false">IF(OR(NOT(ISNUMBER($C409)),NOT(ISNUMBER($M409)),$M409=0),"",$C409/$M409-1)</f>
        <v>-0.00122272139194823</v>
      </c>
      <c r="P409" s="54"/>
      <c r="Q409" s="53" t="str">
        <f aca="false">IF(NOT(ISNUMBER($P409)),"",IFERROR(PERCENTRANK($P$5:$P$1204,$P409),""))</f>
        <v/>
      </c>
    </row>
    <row r="410" customFormat="false" ht="15" hidden="false" customHeight="false" outlineLevel="0" collapsed="false">
      <c r="A410" s="47" t="n">
        <v>46137</v>
      </c>
      <c r="B410" s="48" t="s">
        <v>558</v>
      </c>
      <c r="C410" s="49" t="n">
        <v>1072466183</v>
      </c>
      <c r="D410" s="49" t="n">
        <v>1076233737</v>
      </c>
      <c r="E410" s="49" t="n">
        <v>1071978171</v>
      </c>
      <c r="F410" s="49" t="n">
        <v>0</v>
      </c>
      <c r="G410" s="50" t="n">
        <f aca="false">IF($A410="","",IF(ISNUMBER($G409),$G409+1,1))</f>
        <v>406</v>
      </c>
      <c r="H410" s="51" t="n">
        <f aca="false">IF(OR(NOT(ISNUMBER($G410)),$G410&lt;2,NOT(ISNUMBER($C409)),$C409=0),"",$C410/$C409-1)</f>
        <v>0.0140762975030051</v>
      </c>
      <c r="I410" s="52" t="n">
        <f aca="false">IF(AND(ISNUMBER($G410),$G410&gt;=MA_SHORT),AVERAGE(INDEX($C$10:$C410,402-MA_SHORT):$C410),"")</f>
        <v>1008774104.2</v>
      </c>
      <c r="J410" s="52" t="n">
        <f aca="false">IF(AND(ISNUMBER($G410),$G410&gt;=MA_MED),AVERAGE(INDEX($C$10:$C410,402-MA_MED):$C410),"")</f>
        <v>966817760.64</v>
      </c>
      <c r="K410" s="52" t="n">
        <f aca="false">IF(AND(ISNUMBER($G410),$G410&gt;=MA_LONG2),AVERAGE(INDEX($C$10:$C410,402-MA_LONG2):$C410),"")</f>
        <v>922443552.02</v>
      </c>
      <c r="L410" s="53" t="n">
        <f aca="false">IF(AND(ISNUMBER($G410),$G410&gt;=21),STDEV(INDEX($H$350:$H410,62-20):$H410)*SQRT(245),"")</f>
        <v>0.229002833657079</v>
      </c>
      <c r="M410" s="52" t="n">
        <f aca="false">IF(AND(ISNUMBER($G410),$G410&gt;=60),MAX(INDEX($D$210:$D410,202-60):$D410),"")</f>
        <v>1076233737</v>
      </c>
      <c r="N410" s="52" t="n">
        <f aca="false">IF(AND(ISNUMBER($G410),$G410&gt;=60),MIN(INDEX($E$210:$E410,202-60):$E410),"")</f>
        <v>879348159</v>
      </c>
      <c r="O410" s="53" t="n">
        <f aca="false">IF(OR(NOT(ISNUMBER($C410)),NOT(ISNUMBER($M410)),$M410=0),"",$C410/$M410-1)</f>
        <v>-0.0035006837924465</v>
      </c>
      <c r="P410" s="54"/>
      <c r="Q410" s="53" t="str">
        <f aca="false">IF(NOT(ISNUMBER($P410)),"",IFERROR(PERCENTRANK($P$5:$P$1204,$P410),""))</f>
        <v/>
      </c>
    </row>
    <row r="411" customFormat="false" ht="15" hidden="false" customHeight="false" outlineLevel="0" collapsed="false">
      <c r="A411" s="47" t="n">
        <v>46138</v>
      </c>
      <c r="B411" s="48" t="s">
        <v>559</v>
      </c>
      <c r="C411" s="49" t="n">
        <v>1068445493</v>
      </c>
      <c r="D411" s="49" t="n">
        <v>1068598613</v>
      </c>
      <c r="E411" s="49" t="n">
        <v>1066836436</v>
      </c>
      <c r="F411" s="49" t="n">
        <v>0</v>
      </c>
      <c r="G411" s="50" t="n">
        <f aca="false">IF($A411="","",IF(ISNUMBER($G410),$G410+1,1))</f>
        <v>407</v>
      </c>
      <c r="H411" s="51" t="n">
        <f aca="false">IF(OR(NOT(ISNUMBER($G411)),$G411&lt;2,NOT(ISNUMBER($C410)),$C410=0),"",$C411/$C410-1)</f>
        <v>-0.00374901331504263</v>
      </c>
      <c r="I411" s="52" t="n">
        <f aca="false">IF(AND(ISNUMBER($G411),$G411&gt;=MA_SHORT),AVERAGE(INDEX($C$11:$C411,402-MA_SHORT):$C411),"")</f>
        <v>1013344473.55</v>
      </c>
      <c r="J411" s="52" t="n">
        <f aca="false">IF(AND(ISNUMBER($G411),$G411&gt;=MA_MED),AVERAGE(INDEX($C$11:$C411,402-MA_MED):$C411),"")</f>
        <v>969449324.56</v>
      </c>
      <c r="K411" s="52" t="n">
        <f aca="false">IF(AND(ISNUMBER($G411),$G411&gt;=MA_LONG2),AVERAGE(INDEX($C$11:$C411,402-MA_LONG2):$C411),"")</f>
        <v>923305641.05</v>
      </c>
      <c r="L411" s="53" t="n">
        <f aca="false">IF(AND(ISNUMBER($G411),$G411&gt;=21),STDEV(INDEX($H$351:$H411,62-20):$H411)*SQRT(245),"")</f>
        <v>0.230027098773516</v>
      </c>
      <c r="M411" s="52" t="n">
        <f aca="false">IF(AND(ISNUMBER($G411),$G411&gt;=60),MAX(INDEX($D$211:$D411,202-60):$D411),"")</f>
        <v>1076233737</v>
      </c>
      <c r="N411" s="52" t="n">
        <f aca="false">IF(AND(ISNUMBER($G411),$G411&gt;=60),MIN(INDEX($E$211:$E411,202-60):$E411),"")</f>
        <v>879348159</v>
      </c>
      <c r="O411" s="53" t="n">
        <f aca="false">IF(OR(NOT(ISNUMBER($C411)),NOT(ISNUMBER($M411)),$M411=0),"",$C411/$M411-1)</f>
        <v>-0.00723657299733949</v>
      </c>
      <c r="P411" s="54"/>
      <c r="Q411" s="53" t="str">
        <f aca="false">IF(NOT(ISNUMBER($P411)),"",IFERROR(PERCENTRANK($P$5:$P$1204,$P411),""))</f>
        <v/>
      </c>
    </row>
    <row r="412" customFormat="false" ht="15" hidden="false" customHeight="false" outlineLevel="0" collapsed="false">
      <c r="A412" s="47" t="n">
        <v>46139</v>
      </c>
      <c r="B412" s="48" t="s">
        <v>560</v>
      </c>
      <c r="C412" s="49" t="n">
        <v>1083301800</v>
      </c>
      <c r="D412" s="49" t="n">
        <v>1083782634</v>
      </c>
      <c r="E412" s="49" t="n">
        <v>1078731010</v>
      </c>
      <c r="F412" s="49" t="n">
        <v>0</v>
      </c>
      <c r="G412" s="50" t="n">
        <f aca="false">IF($A412="","",IF(ISNUMBER($G411),$G411+1,1))</f>
        <v>408</v>
      </c>
      <c r="H412" s="51" t="n">
        <f aca="false">IF(OR(NOT(ISNUMBER($G412)),$G412&lt;2,NOT(ISNUMBER($C411)),$C411=0),"",$C412/$C411-1)</f>
        <v>0.0139045998109704</v>
      </c>
      <c r="I412" s="52" t="n">
        <f aca="false">IF(AND(ISNUMBER($G412),$G412&gt;=MA_SHORT),AVERAGE(INDEX($C$12:$C412,402-MA_SHORT):$C412),"")</f>
        <v>1018865937.8</v>
      </c>
      <c r="J412" s="52" t="n">
        <f aca="false">IF(AND(ISNUMBER($G412),$G412&gt;=MA_MED),AVERAGE(INDEX($C$12:$C412,402-MA_MED):$C412),"")</f>
        <v>972588206.22</v>
      </c>
      <c r="K412" s="52" t="n">
        <f aca="false">IF(AND(ISNUMBER($G412),$G412&gt;=MA_LONG2),AVERAGE(INDEX($C$12:$C412,402-MA_LONG2):$C412),"")</f>
        <v>924128712.485</v>
      </c>
      <c r="L412" s="53" t="n">
        <f aca="false">IF(AND(ISNUMBER($G412),$G412&gt;=21),STDEV(INDEX($H$352:$H412,62-20):$H412)*SQRT(245),"")</f>
        <v>0.229804583523593</v>
      </c>
      <c r="M412" s="52" t="n">
        <f aca="false">IF(AND(ISNUMBER($G412),$G412&gt;=60),MAX(INDEX($D$212:$D412,202-60):$D412),"")</f>
        <v>1083782634</v>
      </c>
      <c r="N412" s="52" t="n">
        <f aca="false">IF(AND(ISNUMBER($G412),$G412&gt;=60),MIN(INDEX($E$212:$E412,202-60):$E412),"")</f>
        <v>879348159</v>
      </c>
      <c r="O412" s="53" t="n">
        <f aca="false">IF(OR(NOT(ISNUMBER($C412)),NOT(ISNUMBER($M412)),$M412=0),"",$C412/$M412-1)</f>
        <v>-0.000443662764945119</v>
      </c>
      <c r="P412" s="54"/>
      <c r="Q412" s="53" t="str">
        <f aca="false">IF(NOT(ISNUMBER($P412)),"",IFERROR(PERCENTRANK($P$5:$P$1204,$P412),""))</f>
        <v/>
      </c>
    </row>
    <row r="413" customFormat="false" ht="15" hidden="false" customHeight="false" outlineLevel="0" collapsed="false">
      <c r="A413" s="47" t="n">
        <v>46140</v>
      </c>
      <c r="B413" s="48" t="s">
        <v>561</v>
      </c>
      <c r="C413" s="49" t="n">
        <v>1066596317</v>
      </c>
      <c r="D413" s="49" t="n">
        <v>1069751385</v>
      </c>
      <c r="E413" s="49" t="n">
        <v>1065697165</v>
      </c>
      <c r="F413" s="49" t="n">
        <v>0</v>
      </c>
      <c r="G413" s="50" t="n">
        <f aca="false">IF($A413="","",IF(ISNUMBER($G412),$G412+1,1))</f>
        <v>409</v>
      </c>
      <c r="H413" s="51" t="n">
        <f aca="false">IF(OR(NOT(ISNUMBER($G413)),$G413&lt;2,NOT(ISNUMBER($C412)),$C412=0),"",$C413/$C412-1)</f>
        <v>-0.0154208947128123</v>
      </c>
      <c r="I413" s="52" t="n">
        <f aca="false">IF(AND(ISNUMBER($G413),$G413&gt;=MA_SHORT),AVERAGE(INDEX($C$13:$C413,402-MA_SHORT):$C413),"")</f>
        <v>1025123361.05</v>
      </c>
      <c r="J413" s="52" t="n">
        <f aca="false">IF(AND(ISNUMBER($G413),$G413&gt;=MA_MED),AVERAGE(INDEX($C$13:$C413,402-MA_MED):$C413),"")</f>
        <v>975194812.8</v>
      </c>
      <c r="K413" s="52" t="n">
        <f aca="false">IF(AND(ISNUMBER($G413),$G413&gt;=MA_LONG2),AVERAGE(INDEX($C$13:$C413,402-MA_LONG2):$C413),"")</f>
        <v>924897638.215</v>
      </c>
      <c r="L413" s="53" t="n">
        <f aca="false">IF(AND(ISNUMBER($G413),$G413&gt;=21),STDEV(INDEX($H$353:$H413,62-20):$H413)*SQRT(245),"")</f>
        <v>0.199619254644269</v>
      </c>
      <c r="M413" s="52" t="n">
        <f aca="false">IF(AND(ISNUMBER($G413),$G413&gt;=60),MAX(INDEX($D$213:$D413,202-60):$D413),"")</f>
        <v>1083782634</v>
      </c>
      <c r="N413" s="52" t="n">
        <f aca="false">IF(AND(ISNUMBER($G413),$G413&gt;=60),MIN(INDEX($E$213:$E413,202-60):$E413),"")</f>
        <v>879348159</v>
      </c>
      <c r="O413" s="53" t="n">
        <f aca="false">IF(OR(NOT(ISNUMBER($C413)),NOT(ISNUMBER($M413)),$M413=0),"",$C413/$M413-1)</f>
        <v>-0.0158577158009712</v>
      </c>
      <c r="P413" s="54"/>
      <c r="Q413" s="53" t="str">
        <f aca="false">IF(NOT(ISNUMBER($P413)),"",IFERROR(PERCENTRANK($P$5:$P$1204,$P413),""))</f>
        <v/>
      </c>
    </row>
    <row r="414" customFormat="false" ht="15" hidden="false" customHeight="false" outlineLevel="0" collapsed="false">
      <c r="A414" s="47" t="n">
        <v>46141</v>
      </c>
      <c r="B414" s="48" t="s">
        <v>562</v>
      </c>
      <c r="C414" s="49" t="n">
        <v>1084838389</v>
      </c>
      <c r="D414" s="49" t="n">
        <v>1086883873</v>
      </c>
      <c r="E414" s="49" t="n">
        <v>1079183858</v>
      </c>
      <c r="F414" s="49" t="n">
        <v>0</v>
      </c>
      <c r="G414" s="50" t="n">
        <f aca="false">IF($A414="","",IF(ISNUMBER($G413),$G413+1,1))</f>
        <v>410</v>
      </c>
      <c r="H414" s="51" t="n">
        <f aca="false">IF(OR(NOT(ISNUMBER($G414)),$G414&lt;2,NOT(ISNUMBER($C413)),$C413=0),"",$C414/$C413-1)</f>
        <v>0.0171030704956017</v>
      </c>
      <c r="I414" s="52" t="n">
        <f aca="false">IF(AND(ISNUMBER($G414),$G414&gt;=MA_SHORT),AVERAGE(INDEX($C$14:$C414,402-MA_SHORT):$C414),"")</f>
        <v>1031299822</v>
      </c>
      <c r="J414" s="52" t="n">
        <f aca="false">IF(AND(ISNUMBER($G414),$G414&gt;=MA_MED),AVERAGE(INDEX($C$14:$C414,402-MA_MED):$C414),"")</f>
        <v>978128786.96</v>
      </c>
      <c r="K414" s="52" t="n">
        <f aca="false">IF(AND(ISNUMBER($G414),$G414&gt;=MA_LONG2),AVERAGE(INDEX($C$14:$C414,402-MA_LONG2):$C414),"")</f>
        <v>925648767.59</v>
      </c>
      <c r="L414" s="53" t="n">
        <f aca="false">IF(AND(ISNUMBER($G414),$G414&gt;=21),STDEV(INDEX($H$354:$H414,62-20):$H414)*SQRT(245),"")</f>
        <v>0.196273109331642</v>
      </c>
      <c r="M414" s="52" t="n">
        <f aca="false">IF(AND(ISNUMBER($G414),$G414&gt;=60),MAX(INDEX($D$214:$D414,202-60):$D414),"")</f>
        <v>1086883873</v>
      </c>
      <c r="N414" s="52" t="n">
        <f aca="false">IF(AND(ISNUMBER($G414),$G414&gt;=60),MIN(INDEX($E$214:$E414,202-60):$E414),"")</f>
        <v>879348159</v>
      </c>
      <c r="O414" s="53" t="n">
        <f aca="false">IF(OR(NOT(ISNUMBER($C414)),NOT(ISNUMBER($M414)),$M414=0),"",$C414/$M414-1)</f>
        <v>-0.00188197106499899</v>
      </c>
      <c r="P414" s="54"/>
      <c r="Q414" s="53" t="str">
        <f aca="false">IF(NOT(ISNUMBER($P414)),"",IFERROR(PERCENTRANK($P$5:$P$1204,$P414),""))</f>
        <v/>
      </c>
    </row>
    <row r="415" customFormat="false" ht="15" hidden="false" customHeight="false" outlineLevel="0" collapsed="false">
      <c r="A415" s="47" t="n">
        <v>46144</v>
      </c>
      <c r="B415" s="48" t="s">
        <v>563</v>
      </c>
      <c r="C415" s="49" t="n">
        <v>1065883289</v>
      </c>
      <c r="D415" s="49" t="n">
        <v>1067393159</v>
      </c>
      <c r="E415" s="49" t="n">
        <v>1060523213</v>
      </c>
      <c r="F415" s="49" t="n">
        <v>0</v>
      </c>
      <c r="G415" s="50" t="n">
        <f aca="false">IF($A415="","",IF(ISNUMBER($G414),$G414+1,1))</f>
        <v>411</v>
      </c>
      <c r="H415" s="51" t="n">
        <f aca="false">IF(OR(NOT(ISNUMBER($G415)),$G415&lt;2,NOT(ISNUMBER($C414)),$C414=0),"",$C415/$C414-1)</f>
        <v>-0.0174727408176187</v>
      </c>
      <c r="I415" s="52" t="n">
        <f aca="false">IF(AND(ISNUMBER($G415),$G415&gt;=MA_SHORT),AVERAGE(INDEX($C$15:$C415,402-MA_SHORT):$C415),"")</f>
        <v>1035689461.55</v>
      </c>
      <c r="J415" s="52" t="n">
        <f aca="false">IF(AND(ISNUMBER($G415),$G415&gt;=MA_MED),AVERAGE(INDEX($C$15:$C415,402-MA_MED):$C415),"")</f>
        <v>980465880.1</v>
      </c>
      <c r="K415" s="52" t="n">
        <f aca="false">IF(AND(ISNUMBER($G415),$G415&gt;=MA_LONG2),AVERAGE(INDEX($C$15:$C415,402-MA_LONG2):$C415),"")</f>
        <v>926270337.515</v>
      </c>
      <c r="L415" s="53" t="n">
        <f aca="false">IF(AND(ISNUMBER($G415),$G415&gt;=21),STDEV(INDEX($H$355:$H415,62-20):$H415)*SQRT(245),"")</f>
        <v>0.208020238227951</v>
      </c>
      <c r="M415" s="52" t="n">
        <f aca="false">IF(AND(ISNUMBER($G415),$G415&gt;=60),MAX(INDEX($D$215:$D415,202-60):$D415),"")</f>
        <v>1086883873</v>
      </c>
      <c r="N415" s="52" t="n">
        <f aca="false">IF(AND(ISNUMBER($G415),$G415&gt;=60),MIN(INDEX($E$215:$E415,202-60):$E415),"")</f>
        <v>879348159</v>
      </c>
      <c r="O415" s="53" t="n">
        <f aca="false">IF(OR(NOT(ISNUMBER($C415)),NOT(ISNUMBER($M415)),$M415=0),"",$C415/$M415-1)</f>
        <v>-0.0193218286899727</v>
      </c>
      <c r="P415" s="54"/>
      <c r="Q415" s="53" t="str">
        <f aca="false">IF(NOT(ISNUMBER($P415)),"",IFERROR(PERCENTRANK($P$5:$P$1204,$P415),""))</f>
        <v/>
      </c>
    </row>
    <row r="416" customFormat="false" ht="15" hidden="false" customHeight="false" outlineLevel="0" collapsed="false">
      <c r="A416" s="47" t="n">
        <v>46145</v>
      </c>
      <c r="B416" s="48" t="s">
        <v>564</v>
      </c>
      <c r="C416" s="49" t="n">
        <v>1049369733</v>
      </c>
      <c r="D416" s="49" t="n">
        <v>1052421223</v>
      </c>
      <c r="E416" s="49" t="n">
        <v>1049149090</v>
      </c>
      <c r="F416" s="49" t="n">
        <v>0</v>
      </c>
      <c r="G416" s="50" t="n">
        <f aca="false">IF($A416="","",IF(ISNUMBER($G415),$G415+1,1))</f>
        <v>412</v>
      </c>
      <c r="H416" s="51" t="n">
        <f aca="false">IF(OR(NOT(ISNUMBER($G416)),$G416&lt;2,NOT(ISNUMBER($C415)),$C415=0),"",$C416/$C415-1)</f>
        <v>-0.0154928369460533</v>
      </c>
      <c r="I416" s="52" t="n">
        <f aca="false">IF(AND(ISNUMBER($G416),$G416&gt;=MA_SHORT),AVERAGE(INDEX($C$16:$C416,402-MA_SHORT):$C416),"")</f>
        <v>1039766565.75</v>
      </c>
      <c r="J416" s="52" t="n">
        <f aca="false">IF(AND(ISNUMBER($G416),$G416&gt;=MA_MED),AVERAGE(INDEX($C$16:$C416,402-MA_MED):$C416),"")</f>
        <v>982680129.86</v>
      </c>
      <c r="K416" s="52" t="n">
        <f aca="false">IF(AND(ISNUMBER($G416),$G416&gt;=MA_LONG2),AVERAGE(INDEX($C$16:$C416,402-MA_LONG2):$C416),"")</f>
        <v>926875749.32</v>
      </c>
      <c r="L416" s="53" t="n">
        <f aca="false">IF(AND(ISNUMBER($G416),$G416&gt;=21),STDEV(INDEX($H$356:$H416,62-20):$H416)*SQRT(245),"")</f>
        <v>0.21330245202678</v>
      </c>
      <c r="M416" s="52" t="n">
        <f aca="false">IF(AND(ISNUMBER($G416),$G416&gt;=60),MAX(INDEX($D$216:$D416,202-60):$D416),"")</f>
        <v>1086883873</v>
      </c>
      <c r="N416" s="52" t="n">
        <f aca="false">IF(AND(ISNUMBER($G416),$G416&gt;=60),MIN(INDEX($E$216:$E416,202-60):$E416),"")</f>
        <v>879348159</v>
      </c>
      <c r="O416" s="53" t="n">
        <f aca="false">IF(OR(NOT(ISNUMBER($C416)),NOT(ISNUMBER($M416)),$M416=0),"",$C416/$M416-1)</f>
        <v>-0.0345153156946326</v>
      </c>
      <c r="P416" s="54"/>
      <c r="Q416" s="53" t="str">
        <f aca="false">IF(NOT(ISNUMBER($P416)),"",IFERROR(PERCENTRANK($P$5:$P$1204,$P416),""))</f>
        <v/>
      </c>
    </row>
    <row r="417" customFormat="false" ht="15" hidden="false" customHeight="false" outlineLevel="0" collapsed="false">
      <c r="A417" s="47" t="n">
        <v>46146</v>
      </c>
      <c r="B417" s="48" t="s">
        <v>565</v>
      </c>
      <c r="C417" s="49" t="n">
        <v>1064497734</v>
      </c>
      <c r="D417" s="49" t="n">
        <v>1065815958</v>
      </c>
      <c r="E417" s="49" t="n">
        <v>1061360581</v>
      </c>
      <c r="F417" s="49" t="n">
        <v>0</v>
      </c>
      <c r="G417" s="50" t="n">
        <f aca="false">IF($A417="","",IF(ISNUMBER($G416),$G416+1,1))</f>
        <v>413</v>
      </c>
      <c r="H417" s="51" t="n">
        <f aca="false">IF(OR(NOT(ISNUMBER($G417)),$G417&lt;2,NOT(ISNUMBER($C416)),$C416=0),"",$C417/$C416-1)</f>
        <v>0.0144162734299103</v>
      </c>
      <c r="I417" s="52" t="n">
        <f aca="false">IF(AND(ISNUMBER($G417),$G417&gt;=MA_SHORT),AVERAGE(INDEX($C$17:$C417,402-MA_SHORT):$C417),"")</f>
        <v>1043505511</v>
      </c>
      <c r="J417" s="52" t="n">
        <f aca="false">IF(AND(ISNUMBER($G417),$G417&gt;=MA_MED),AVERAGE(INDEX($C$17:$C417,402-MA_MED):$C417),"")</f>
        <v>985526668.18</v>
      </c>
      <c r="K417" s="52" t="n">
        <f aca="false">IF(AND(ISNUMBER($G417),$G417&gt;=MA_LONG2),AVERAGE(INDEX($C$17:$C417,402-MA_LONG2):$C417),"")</f>
        <v>927574330.575</v>
      </c>
      <c r="L417" s="53" t="n">
        <f aca="false">IF(AND(ISNUMBER($G417),$G417&gt;=21),STDEV(INDEX($H$357:$H417,62-20):$H417)*SQRT(245),"")</f>
        <v>0.205944936999244</v>
      </c>
      <c r="M417" s="52" t="n">
        <f aca="false">IF(AND(ISNUMBER($G417),$G417&gt;=60),MAX(INDEX($D$217:$D417,202-60):$D417),"")</f>
        <v>1086883873</v>
      </c>
      <c r="N417" s="52" t="n">
        <f aca="false">IF(AND(ISNUMBER($G417),$G417&gt;=60),MIN(INDEX($E$217:$E417,202-60):$E417),"")</f>
        <v>879348159</v>
      </c>
      <c r="O417" s="53" t="n">
        <f aca="false">IF(OR(NOT(ISNUMBER($C417)),NOT(ISNUMBER($M417)),$M417=0),"",$C417/$M417-1)</f>
        <v>-0.0205966244932958</v>
      </c>
      <c r="P417" s="54"/>
      <c r="Q417" s="53" t="str">
        <f aca="false">IF(NOT(ISNUMBER($P417)),"",IFERROR(PERCENTRANK($P$5:$P$1204,$P417),""))</f>
        <v/>
      </c>
    </row>
    <row r="418" customFormat="false" ht="15" hidden="false" customHeight="false" outlineLevel="0" collapsed="false">
      <c r="A418" s="47" t="n">
        <v>46147</v>
      </c>
      <c r="B418" s="48" t="s">
        <v>566</v>
      </c>
      <c r="C418" s="49" t="n">
        <v>1076792294</v>
      </c>
      <c r="D418" s="49" t="n">
        <v>1086211384</v>
      </c>
      <c r="E418" s="49" t="n">
        <v>1071710114</v>
      </c>
      <c r="F418" s="49" t="n">
        <v>0</v>
      </c>
      <c r="G418" s="50" t="n">
        <f aca="false">IF($A418="","",IF(ISNUMBER($G417),$G417+1,1))</f>
        <v>414</v>
      </c>
      <c r="H418" s="51" t="n">
        <f aca="false">IF(OR(NOT(ISNUMBER($G418)),$G418&lt;2,NOT(ISNUMBER($C417)),$C417=0),"",$C418/$C417-1)</f>
        <v>0.0115496347313033</v>
      </c>
      <c r="I418" s="52" t="n">
        <f aca="false">IF(AND(ISNUMBER($G418),$G418&gt;=MA_SHORT),AVERAGE(INDEX($C$18:$C418,402-MA_SHORT):$C418),"")</f>
        <v>1047133533.05</v>
      </c>
      <c r="J418" s="52" t="n">
        <f aca="false">IF(AND(ISNUMBER($G418),$G418&gt;=MA_MED),AVERAGE(INDEX($C$18:$C418,402-MA_MED):$C418),"")</f>
        <v>988559179.22</v>
      </c>
      <c r="K418" s="52" t="n">
        <f aca="false">IF(AND(ISNUMBER($G418),$G418&gt;=MA_LONG2),AVERAGE(INDEX($C$18:$C418,402-MA_LONG2):$C418),"")</f>
        <v>928347038.59</v>
      </c>
      <c r="L418" s="53" t="n">
        <f aca="false">IF(AND(ISNUMBER($G418),$G418&gt;=21),STDEV(INDEX($H$358:$H418,62-20):$H418)*SQRT(245),"")</f>
        <v>0.204093281934881</v>
      </c>
      <c r="M418" s="52" t="n">
        <f aca="false">IF(AND(ISNUMBER($G418),$G418&gt;=60),MAX(INDEX($D$218:$D418,202-60):$D418),"")</f>
        <v>1086883873</v>
      </c>
      <c r="N418" s="52" t="n">
        <f aca="false">IF(AND(ISNUMBER($G418),$G418&gt;=60),MIN(INDEX($E$218:$E418,202-60):$E418),"")</f>
        <v>879348159</v>
      </c>
      <c r="O418" s="53" t="n">
        <f aca="false">IF(OR(NOT(ISNUMBER($C418)),NOT(ISNUMBER($M418)),$M418=0),"",$C418/$M418-1)</f>
        <v>-0.00928487325158789</v>
      </c>
      <c r="P418" s="54"/>
      <c r="Q418" s="53" t="str">
        <f aca="false">IF(NOT(ISNUMBER($P418)),"",IFERROR(PERCENTRANK($P$5:$P$1204,$P418),""))</f>
        <v/>
      </c>
    </row>
    <row r="419" customFormat="false" ht="15" hidden="false" customHeight="false" outlineLevel="0" collapsed="false">
      <c r="A419" s="47" t="n">
        <v>46148</v>
      </c>
      <c r="B419" s="48" t="s">
        <v>567</v>
      </c>
      <c r="C419" s="49" t="n">
        <v>1081776661</v>
      </c>
      <c r="D419" s="49" t="n">
        <v>1085223966</v>
      </c>
      <c r="E419" s="49" t="n">
        <v>1079632803</v>
      </c>
      <c r="F419" s="49" t="n">
        <v>0</v>
      </c>
      <c r="G419" s="50" t="n">
        <f aca="false">IF($A419="","",IF(ISNUMBER($G418),$G418+1,1))</f>
        <v>415</v>
      </c>
      <c r="H419" s="51" t="n">
        <f aca="false">IF(OR(NOT(ISNUMBER($G419)),$G419&lt;2,NOT(ISNUMBER($C418)),$C418=0),"",$C419/$C418-1)</f>
        <v>0.004628902925637</v>
      </c>
      <c r="I419" s="52" t="n">
        <f aca="false">IF(AND(ISNUMBER($G419),$G419&gt;=MA_SHORT),AVERAGE(INDEX($C$19:$C419,402-MA_SHORT):$C419),"")</f>
        <v>1050586068.2</v>
      </c>
      <c r="J419" s="52" t="n">
        <f aca="false">IF(AND(ISNUMBER($G419),$G419&gt;=MA_MED),AVERAGE(INDEX($C$19:$C419,402-MA_MED):$C419),"")</f>
        <v>991526144.34</v>
      </c>
      <c r="K419" s="52" t="n">
        <f aca="false">IF(AND(ISNUMBER($G419),$G419&gt;=MA_LONG2),AVERAGE(INDEX($C$19:$C419,402-MA_LONG2):$C419),"")</f>
        <v>929149303.64</v>
      </c>
      <c r="L419" s="53" t="n">
        <f aca="false">IF(AND(ISNUMBER($G419),$G419&gt;=21),STDEV(INDEX($H$359:$H419,62-20):$H419)*SQRT(245),"")</f>
        <v>0.20335056515133</v>
      </c>
      <c r="M419" s="52" t="n">
        <f aca="false">IF(AND(ISNUMBER($G419),$G419&gt;=60),MAX(INDEX($D$219:$D419,202-60):$D419),"")</f>
        <v>1086883873</v>
      </c>
      <c r="N419" s="52" t="n">
        <f aca="false">IF(AND(ISNUMBER($G419),$G419&gt;=60),MIN(INDEX($E$219:$E419,202-60):$E419),"")</f>
        <v>879348159</v>
      </c>
      <c r="O419" s="53" t="n">
        <f aca="false">IF(OR(NOT(ISNUMBER($C419)),NOT(ISNUMBER($M419)),$M419=0),"",$C419/$M419-1)</f>
        <v>-0.00469894910290936</v>
      </c>
      <c r="P419" s="54"/>
      <c r="Q419" s="53" t="str">
        <f aca="false">IF(NOT(ISNUMBER($P419)),"",IFERROR(PERCENTRANK($P$5:$P$1204,$P419),""))</f>
        <v/>
      </c>
    </row>
    <row r="420" customFormat="false" ht="15" hidden="false" customHeight="false" outlineLevel="0" collapsed="false">
      <c r="A420" s="47" t="n">
        <v>46151</v>
      </c>
      <c r="B420" s="48" t="s">
        <v>568</v>
      </c>
      <c r="C420" s="49" t="n">
        <v>1089195678</v>
      </c>
      <c r="D420" s="49" t="n">
        <v>1092379935</v>
      </c>
      <c r="E420" s="49" t="n">
        <v>1083208390</v>
      </c>
      <c r="F420" s="49" t="n">
        <v>0</v>
      </c>
      <c r="G420" s="50" t="n">
        <f aca="false">IF($A420="","",IF(ISNUMBER($G419),$G419+1,1))</f>
        <v>416</v>
      </c>
      <c r="H420" s="51" t="n">
        <f aca="false">IF(OR(NOT(ISNUMBER($G420)),$G420&lt;2,NOT(ISNUMBER($C419)),$C419=0),"",$C420/$C419-1)</f>
        <v>0.00685817809485911</v>
      </c>
      <c r="I420" s="52" t="n">
        <f aca="false">IF(AND(ISNUMBER($G420),$G420&gt;=MA_SHORT),AVERAGE(INDEX($C$20:$C420,402-MA_SHORT):$C420),"")</f>
        <v>1054674566.9</v>
      </c>
      <c r="J420" s="52" t="n">
        <f aca="false">IF(AND(ISNUMBER($G420),$G420&gt;=MA_MED),AVERAGE(INDEX($C$20:$C420,402-MA_MED):$C420),"")</f>
        <v>994604446.54</v>
      </c>
      <c r="K420" s="52" t="n">
        <f aca="false">IF(AND(ISNUMBER($G420),$G420&gt;=MA_LONG2),AVERAGE(INDEX($C$20:$C420,402-MA_LONG2):$C420),"")</f>
        <v>929963228.96</v>
      </c>
      <c r="L420" s="53" t="n">
        <f aca="false">IF(AND(ISNUMBER($G420),$G420&gt;=21),STDEV(INDEX($H$360:$H420,62-20):$H420)*SQRT(245),"")</f>
        <v>0.201135055855485</v>
      </c>
      <c r="M420" s="52" t="n">
        <f aca="false">IF(AND(ISNUMBER($G420),$G420&gt;=60),MAX(INDEX($D$220:$D420,202-60):$D420),"")</f>
        <v>1092379935</v>
      </c>
      <c r="N420" s="52" t="n">
        <f aca="false">IF(AND(ISNUMBER($G420),$G420&gt;=60),MIN(INDEX($E$220:$E420,202-60):$E420),"")</f>
        <v>879348159</v>
      </c>
      <c r="O420" s="53" t="n">
        <f aca="false">IF(OR(NOT(ISNUMBER($C420)),NOT(ISNUMBER($M420)),$M420=0),"",$C420/$M420-1)</f>
        <v>-0.0029149720696765</v>
      </c>
      <c r="P420" s="54"/>
      <c r="Q420" s="53" t="str">
        <f aca="false">IF(NOT(ISNUMBER($P420)),"",IFERROR(PERCENTRANK($P$5:$P$1204,$P420),""))</f>
        <v/>
      </c>
    </row>
    <row r="421" customFormat="false" ht="15" hidden="false" customHeight="false" outlineLevel="0" collapsed="false">
      <c r="A421" s="47" t="n">
        <v>46152</v>
      </c>
      <c r="B421" s="48" t="s">
        <v>569</v>
      </c>
      <c r="C421" s="49" t="n">
        <v>1091280978</v>
      </c>
      <c r="D421" s="49" t="n">
        <v>1091430053</v>
      </c>
      <c r="E421" s="49" t="n">
        <v>1087319124</v>
      </c>
      <c r="F421" s="49" t="n">
        <v>0</v>
      </c>
      <c r="G421" s="50" t="n">
        <f aca="false">IF($A421="","",IF(ISNUMBER($G420),$G420+1,1))</f>
        <v>417</v>
      </c>
      <c r="H421" s="51" t="n">
        <f aca="false">IF(OR(NOT(ISNUMBER($G421)),$G421&lt;2,NOT(ISNUMBER($C420)),$C420=0),"",$C421/$C420-1)</f>
        <v>0.00191453201855252</v>
      </c>
      <c r="I421" s="52" t="n">
        <f aca="false">IF(AND(ISNUMBER($G421),$G421&gt;=MA_SHORT),AVERAGE(INDEX($C$21:$C421,402-MA_SHORT):$C421),"")</f>
        <v>1058123714.05</v>
      </c>
      <c r="J421" s="52" t="n">
        <f aca="false">IF(AND(ISNUMBER($G421),$G421&gt;=MA_MED),AVERAGE(INDEX($C$21:$C421,402-MA_MED):$C421),"")</f>
        <v>997377181.1</v>
      </c>
      <c r="K421" s="52" t="n">
        <f aca="false">IF(AND(ISNUMBER($G421),$G421&gt;=MA_LONG2),AVERAGE(INDEX($C$21:$C421,402-MA_LONG2):$C421),"")</f>
        <v>930881466.82</v>
      </c>
      <c r="L421" s="53" t="n">
        <f aca="false">IF(AND(ISNUMBER($G421),$G421&gt;=21),STDEV(INDEX($H$361:$H421,62-20):$H421)*SQRT(245),"")</f>
        <v>0.197249588607491</v>
      </c>
      <c r="M421" s="52" t="n">
        <f aca="false">IF(AND(ISNUMBER($G421),$G421&gt;=60),MAX(INDEX($D$221:$D421,202-60):$D421),"")</f>
        <v>1092379935</v>
      </c>
      <c r="N421" s="52" t="n">
        <f aca="false">IF(AND(ISNUMBER($G421),$G421&gt;=60),MIN(INDEX($E$221:$E421,202-60):$E421),"")</f>
        <v>879348159</v>
      </c>
      <c r="O421" s="53" t="n">
        <f aca="false">IF(OR(NOT(ISNUMBER($C421)),NOT(ISNUMBER($M421)),$M421=0),"",$C421/$M421-1)</f>
        <v>-0.00100602085848456</v>
      </c>
      <c r="P421" s="54"/>
      <c r="Q421" s="53" t="str">
        <f aca="false">IF(NOT(ISNUMBER($P421)),"",IFERROR(PERCENTRANK($P$5:$P$1204,$P421),""))</f>
        <v/>
      </c>
    </row>
    <row r="422" customFormat="false" ht="15" hidden="false" customHeight="false" outlineLevel="0" collapsed="false">
      <c r="A422" s="47" t="n">
        <v>46153</v>
      </c>
      <c r="B422" s="48" t="s">
        <v>570</v>
      </c>
      <c r="C422" s="49" t="n">
        <v>1091865375</v>
      </c>
      <c r="D422" s="49" t="n">
        <v>1096586438</v>
      </c>
      <c r="E422" s="49" t="n">
        <v>1090598627</v>
      </c>
      <c r="F422" s="49" t="n">
        <v>0</v>
      </c>
      <c r="G422" s="50" t="n">
        <f aca="false">IF($A422="","",IF(ISNUMBER($G421),$G421+1,1))</f>
        <v>418</v>
      </c>
      <c r="H422" s="51" t="n">
        <f aca="false">IF(OR(NOT(ISNUMBER($G422)),$G422&lt;2,NOT(ISNUMBER($C421)),$C421=0),"",$C422/$C421-1)</f>
        <v>0.000535514694914863</v>
      </c>
      <c r="I422" s="52" t="n">
        <f aca="false">IF(AND(ISNUMBER($G422),$G422&gt;=MA_SHORT),AVERAGE(INDEX($C$22:$C422,402-MA_SHORT):$C422),"")</f>
        <v>1062576001.25</v>
      </c>
      <c r="J422" s="52" t="n">
        <f aca="false">IF(AND(ISNUMBER($G422),$G422&gt;=MA_MED),AVERAGE(INDEX($C$22:$C422,402-MA_MED):$C422),"")</f>
        <v>1000632098.6</v>
      </c>
      <c r="K422" s="52" t="n">
        <f aca="false">IF(AND(ISNUMBER($G422),$G422&gt;=MA_LONG2),AVERAGE(INDEX($C$22:$C422,402-MA_LONG2):$C422),"")</f>
        <v>931773342.55</v>
      </c>
      <c r="L422" s="53" t="n">
        <f aca="false">IF(AND(ISNUMBER($G422),$G422&gt;=21),STDEV(INDEX($H$362:$H422,62-20):$H422)*SQRT(245),"")</f>
        <v>0.179700080756612</v>
      </c>
      <c r="M422" s="52" t="n">
        <f aca="false">IF(AND(ISNUMBER($G422),$G422&gt;=60),MAX(INDEX($D$222:$D422,202-60):$D422),"")</f>
        <v>1096586438</v>
      </c>
      <c r="N422" s="52" t="n">
        <f aca="false">IF(AND(ISNUMBER($G422),$G422&gt;=60),MIN(INDEX($E$222:$E422,202-60):$E422),"")</f>
        <v>879348159</v>
      </c>
      <c r="O422" s="53" t="n">
        <f aca="false">IF(OR(NOT(ISNUMBER($C422)),NOT(ISNUMBER($M422)),$M422=0),"",$C422/$M422-1)</f>
        <v>-0.00430523562612217</v>
      </c>
      <c r="P422" s="54"/>
      <c r="Q422" s="53" t="str">
        <f aca="false">IF(NOT(ISNUMBER($P422)),"",IFERROR(PERCENTRANK($P$5:$P$1204,$P422),""))</f>
        <v/>
      </c>
    </row>
    <row r="423" customFormat="false" ht="15" hidden="false" customHeight="false" outlineLevel="0" collapsed="false">
      <c r="A423" s="47" t="n">
        <v>46154</v>
      </c>
      <c r="B423" s="48" t="s">
        <v>571</v>
      </c>
      <c r="C423" s="49" t="n">
        <v>1114155075</v>
      </c>
      <c r="D423" s="49" t="n">
        <v>1118874110</v>
      </c>
      <c r="E423" s="49" t="n">
        <v>1108124861</v>
      </c>
      <c r="F423" s="49" t="n">
        <v>0</v>
      </c>
      <c r="G423" s="50" t="n">
        <f aca="false">IF($A423="","",IF(ISNUMBER($G422),$G422+1,1))</f>
        <v>419</v>
      </c>
      <c r="H423" s="51" t="n">
        <f aca="false">IF(OR(NOT(ISNUMBER($G423)),$G423&lt;2,NOT(ISNUMBER($C422)),$C422=0),"",$C423/$C422-1)</f>
        <v>0.0204143299259765</v>
      </c>
      <c r="I423" s="52" t="n">
        <f aca="false">IF(AND(ISNUMBER($G423),$G423&gt;=MA_SHORT),AVERAGE(INDEX($C$23:$C423,402-MA_SHORT):$C423),"")</f>
        <v>1067614033.1</v>
      </c>
      <c r="J423" s="52" t="n">
        <f aca="false">IF(AND(ISNUMBER($G423),$G423&gt;=MA_MED),AVERAGE(INDEX($C$23:$C423,402-MA_MED):$C423),"")</f>
        <v>1004985165.02</v>
      </c>
      <c r="K423" s="52" t="n">
        <f aca="false">IF(AND(ISNUMBER($G423),$G423&gt;=MA_LONG2),AVERAGE(INDEX($C$23:$C423,402-MA_LONG2):$C423),"")</f>
        <v>932790864.74</v>
      </c>
      <c r="L423" s="53" t="n">
        <f aca="false">IF(AND(ISNUMBER($G423),$G423&gt;=21),STDEV(INDEX($H$363:$H423,62-20):$H423)*SQRT(245),"")</f>
        <v>0.187265503879949</v>
      </c>
      <c r="M423" s="52" t="n">
        <f aca="false">IF(AND(ISNUMBER($G423),$G423&gt;=60),MAX(INDEX($D$223:$D423,202-60):$D423),"")</f>
        <v>1118874110</v>
      </c>
      <c r="N423" s="52" t="n">
        <f aca="false">IF(AND(ISNUMBER($G423),$G423&gt;=60),MIN(INDEX($E$223:$E423,202-60):$E423),"")</f>
        <v>879348159</v>
      </c>
      <c r="O423" s="53" t="n">
        <f aca="false">IF(OR(NOT(ISNUMBER($C423)),NOT(ISNUMBER($M423)),$M423=0),"",$C423/$M423-1)</f>
        <v>-0.00421766395148782</v>
      </c>
      <c r="P423" s="54"/>
      <c r="Q423" s="53" t="str">
        <f aca="false">IF(NOT(ISNUMBER($P423)),"",IFERROR(PERCENTRANK($P$5:$P$1204,$P423),""))</f>
        <v/>
      </c>
    </row>
    <row r="424" customFormat="false" ht="15" hidden="false" customHeight="false" outlineLevel="0" collapsed="false">
      <c r="A424" s="47" t="n">
        <v>46155</v>
      </c>
      <c r="B424" s="48" t="s">
        <v>572</v>
      </c>
      <c r="C424" s="49" t="n">
        <v>1111495347</v>
      </c>
      <c r="D424" s="49" t="n">
        <v>1113554488</v>
      </c>
      <c r="E424" s="49" t="n">
        <v>1110480544</v>
      </c>
      <c r="F424" s="49" t="n">
        <v>0</v>
      </c>
      <c r="G424" s="50" t="n">
        <f aca="false">IF($A424="","",IF(ISNUMBER($G423),$G423+1,1))</f>
        <v>420</v>
      </c>
      <c r="H424" s="51" t="n">
        <f aca="false">IF(OR(NOT(ISNUMBER($G424)),$G424&lt;2,NOT(ISNUMBER($C423)),$C423=0),"",$C424/$C423-1)</f>
        <v>-0.00238721526265095</v>
      </c>
      <c r="I424" s="52" t="n">
        <f aca="false">IF(AND(ISNUMBER($G424),$G424&gt;=MA_SHORT),AVERAGE(INDEX($C$24:$C424,402-MA_SHORT):$C424),"")</f>
        <v>1071458876.85</v>
      </c>
      <c r="J424" s="52" t="n">
        <f aca="false">IF(AND(ISNUMBER($G424),$G424&gt;=MA_MED),AVERAGE(INDEX($C$24:$C424,402-MA_MED):$C424),"")</f>
        <v>1009158503.12</v>
      </c>
      <c r="K424" s="52" t="n">
        <f aca="false">IF(AND(ISNUMBER($G424),$G424&gt;=MA_LONG2),AVERAGE(INDEX($C$24:$C424,402-MA_LONG2):$C424),"")</f>
        <v>933850388.84</v>
      </c>
      <c r="L424" s="53" t="n">
        <f aca="false">IF(AND(ISNUMBER($G424),$G424&gt;=21),STDEV(INDEX($H$364:$H424,62-20):$H424)*SQRT(245),"")</f>
        <v>0.17900578660342</v>
      </c>
      <c r="M424" s="52" t="n">
        <f aca="false">IF(AND(ISNUMBER($G424),$G424&gt;=60),MAX(INDEX($D$224:$D424,202-60):$D424),"")</f>
        <v>1118874110</v>
      </c>
      <c r="N424" s="52" t="n">
        <f aca="false">IF(AND(ISNUMBER($G424),$G424&gt;=60),MIN(INDEX($E$224:$E424,202-60):$E424),"")</f>
        <v>879348159</v>
      </c>
      <c r="O424" s="53" t="n">
        <f aca="false">IF(OR(NOT(ISNUMBER($C424)),NOT(ISNUMBER($M424)),$M424=0),"",$C424/$M424-1)</f>
        <v>-0.006594810742381</v>
      </c>
      <c r="P424" s="54"/>
      <c r="Q424" s="53" t="str">
        <f aca="false">IF(NOT(ISNUMBER($P424)),"",IFERROR(PERCENTRANK($P$5:$P$1204,$P424),""))</f>
        <v/>
      </c>
    </row>
    <row r="425" customFormat="false" ht="15" hidden="false" customHeight="false" outlineLevel="0" collapsed="false">
      <c r="A425" s="47" t="n">
        <v>46158</v>
      </c>
      <c r="B425" s="48" t="s">
        <v>573</v>
      </c>
      <c r="C425" s="49" t="n">
        <v>1118014343</v>
      </c>
      <c r="D425" s="49" t="n">
        <v>1125689793</v>
      </c>
      <c r="E425" s="49" t="n">
        <v>1114260164</v>
      </c>
      <c r="F425" s="49" t="n">
        <v>0</v>
      </c>
      <c r="G425" s="50" t="n">
        <f aca="false">IF($A425="","",IF(ISNUMBER($G424),$G424+1,1))</f>
        <v>421</v>
      </c>
      <c r="H425" s="51" t="n">
        <f aca="false">IF(OR(NOT(ISNUMBER($G425)),$G425&lt;2,NOT(ISNUMBER($C424)),$C424=0),"",$C425/$C424-1)</f>
        <v>0.0058650681872805</v>
      </c>
      <c r="I425" s="52" t="n">
        <f aca="false">IF(AND(ISNUMBER($G425),$G425&gt;=MA_SHORT),AVERAGE(INDEX($C$25:$C425,402-MA_SHORT):$C425),"")</f>
        <v>1076174000.65</v>
      </c>
      <c r="J425" s="52" t="n">
        <f aca="false">IF(AND(ISNUMBER($G425),$G425&gt;=MA_MED),AVERAGE(INDEX($C$25:$C425,402-MA_MED):$C425),"")</f>
        <v>1013857304.84</v>
      </c>
      <c r="K425" s="52" t="n">
        <f aca="false">IF(AND(ISNUMBER($G425),$G425&gt;=MA_LONG2),AVERAGE(INDEX($C$25:$C425,402-MA_LONG2):$C425),"")</f>
        <v>934898018.365</v>
      </c>
      <c r="L425" s="53" t="n">
        <f aca="false">IF(AND(ISNUMBER($G425),$G425&gt;=21),STDEV(INDEX($H$365:$H425,62-20):$H425)*SQRT(245),"")</f>
        <v>0.171294433599815</v>
      </c>
      <c r="M425" s="52" t="n">
        <f aca="false">IF(AND(ISNUMBER($G425),$G425&gt;=60),MAX(INDEX($D$225:$D425,202-60):$D425),"")</f>
        <v>1125689793</v>
      </c>
      <c r="N425" s="52" t="n">
        <f aca="false">IF(AND(ISNUMBER($G425),$G425&gt;=60),MIN(INDEX($E$225:$E425,202-60):$E425),"")</f>
        <v>879348159</v>
      </c>
      <c r="O425" s="53" t="n">
        <f aca="false">IF(OR(NOT(ISNUMBER($C425)),NOT(ISNUMBER($M425)),$M425=0),"",$C425/$M425-1)</f>
        <v>-0.0068184414993625</v>
      </c>
      <c r="P425" s="54"/>
      <c r="Q425" s="53" t="str">
        <f aca="false">IF(NOT(ISNUMBER($P425)),"",IFERROR(PERCENTRANK($P$5:$P$1204,$P425),""))</f>
        <v/>
      </c>
    </row>
    <row r="426" customFormat="false" ht="15" hidden="false" customHeight="false" outlineLevel="0" collapsed="false">
      <c r="A426" s="47" t="n">
        <v>46159</v>
      </c>
      <c r="B426" s="48" t="s">
        <v>574</v>
      </c>
      <c r="C426" s="49" t="n">
        <v>1109277800</v>
      </c>
      <c r="D426" s="49" t="n">
        <v>1113092832</v>
      </c>
      <c r="E426" s="49" t="n">
        <v>1104431418</v>
      </c>
      <c r="F426" s="49" t="n">
        <v>0</v>
      </c>
      <c r="G426" s="50" t="n">
        <f aca="false">IF($A426="","",IF(ISNUMBER($G425),$G425+1,1))</f>
        <v>422</v>
      </c>
      <c r="H426" s="51" t="n">
        <f aca="false">IF(OR(NOT(ISNUMBER($G426)),$G426&lt;2,NOT(ISNUMBER($C425)),$C425=0),"",$C426/$C425-1)</f>
        <v>-0.00781433892570371</v>
      </c>
      <c r="I426" s="52" t="n">
        <f aca="false">IF(AND(ISNUMBER($G426),$G426&gt;=MA_SHORT),AVERAGE(INDEX($C$26:$C426,402-MA_SHORT):$C426),"")</f>
        <v>1079913164.35</v>
      </c>
      <c r="J426" s="52" t="n">
        <f aca="false">IF(AND(ISNUMBER($G426),$G426&gt;=MA_MED),AVERAGE(INDEX($C$26:$C426,402-MA_MED):$C426),"")</f>
        <v>1018119504.34</v>
      </c>
      <c r="K426" s="52" t="n">
        <f aca="false">IF(AND(ISNUMBER($G426),$G426&gt;=MA_LONG2),AVERAGE(INDEX($C$26:$C426,402-MA_LONG2):$C426),"")</f>
        <v>936004866.01</v>
      </c>
      <c r="L426" s="53" t="n">
        <f aca="false">IF(AND(ISNUMBER($G426),$G426&gt;=21),STDEV(INDEX($H$366:$H426,62-20):$H426)*SQRT(245),"")</f>
        <v>0.174922460563113</v>
      </c>
      <c r="M426" s="52" t="n">
        <f aca="false">IF(AND(ISNUMBER($G426),$G426&gt;=60),MAX(INDEX($D$226:$D426,202-60):$D426),"")</f>
        <v>1125689793</v>
      </c>
      <c r="N426" s="52" t="n">
        <f aca="false">IF(AND(ISNUMBER($G426),$G426&gt;=60),MIN(INDEX($E$226:$E426,202-60):$E426),"")</f>
        <v>879348159</v>
      </c>
      <c r="O426" s="53" t="n">
        <f aca="false">IF(OR(NOT(ISNUMBER($C426)),NOT(ISNUMBER($M426)),$M426=0),"",$C426/$M426-1)</f>
        <v>-0.0145794988122452</v>
      </c>
      <c r="P426" s="54"/>
      <c r="Q426" s="53" t="str">
        <f aca="false">IF(NOT(ISNUMBER($P426)),"",IFERROR(PERCENTRANK($P$5:$P$1204,$P426),""))</f>
        <v/>
      </c>
    </row>
    <row r="427" customFormat="false" ht="15" hidden="false" customHeight="false" outlineLevel="0" collapsed="false">
      <c r="A427" s="47" t="n">
        <v>46160</v>
      </c>
      <c r="B427" s="48" t="s">
        <v>575</v>
      </c>
      <c r="C427" s="49" t="n">
        <v>1143312458</v>
      </c>
      <c r="D427" s="49" t="n">
        <v>1147107872</v>
      </c>
      <c r="E427" s="49" t="n">
        <v>1132310241</v>
      </c>
      <c r="F427" s="49" t="n">
        <v>0</v>
      </c>
      <c r="G427" s="50" t="n">
        <f aca="false">IF($A427="","",IF(ISNUMBER($G426),$G426+1,1))</f>
        <v>423</v>
      </c>
      <c r="H427" s="51" t="n">
        <f aca="false">IF(OR(NOT(ISNUMBER($G427)),$G427&lt;2,NOT(ISNUMBER($C426)),$C426=0),"",$C427/$C426-1)</f>
        <v>0.0306818165837268</v>
      </c>
      <c r="I427" s="52" t="n">
        <f aca="false">IF(AND(ISNUMBER($G427),$G427&gt;=MA_SHORT),AVERAGE(INDEX($C$27:$C427,402-MA_SHORT):$C427),"")</f>
        <v>1084678142.4</v>
      </c>
      <c r="J427" s="52" t="n">
        <f aca="false">IF(AND(ISNUMBER($G427),$G427&gt;=MA_MED),AVERAGE(INDEX($C$27:$C427,402-MA_MED):$C427),"")</f>
        <v>1022708338.46</v>
      </c>
      <c r="K427" s="52" t="n">
        <f aca="false">IF(AND(ISNUMBER($G427),$G427&gt;=MA_LONG2),AVERAGE(INDEX($C$27:$C427,402-MA_LONG2):$C427),"")</f>
        <v>937313183.585</v>
      </c>
      <c r="L427" s="53" t="n">
        <f aca="false">IF(AND(ISNUMBER($G427),$G427&gt;=21),STDEV(INDEX($H$367:$H427,62-20):$H427)*SQRT(245),"")</f>
        <v>0.196773105747126</v>
      </c>
      <c r="M427" s="52" t="n">
        <f aca="false">IF(AND(ISNUMBER($G427),$G427&gt;=60),MAX(INDEX($D$227:$D427,202-60):$D427),"")</f>
        <v>1147107872</v>
      </c>
      <c r="N427" s="52" t="n">
        <f aca="false">IF(AND(ISNUMBER($G427),$G427&gt;=60),MIN(INDEX($E$227:$E427,202-60):$E427),"")</f>
        <v>879348159</v>
      </c>
      <c r="O427" s="53" t="n">
        <f aca="false">IF(OR(NOT(ISNUMBER($C427)),NOT(ISNUMBER($M427)),$M427=0),"",$C427/$M427-1)</f>
        <v>-0.00330868098166093</v>
      </c>
      <c r="P427" s="54"/>
      <c r="Q427" s="53" t="str">
        <f aca="false">IF(NOT(ISNUMBER($P427)),"",IFERROR(PERCENTRANK($P$5:$P$1204,$P427),""))</f>
        <v/>
      </c>
    </row>
    <row r="428" customFormat="false" ht="15" hidden="false" customHeight="false" outlineLevel="0" collapsed="false">
      <c r="A428" s="47" t="n">
        <v>46161</v>
      </c>
      <c r="B428" s="48" t="s">
        <v>576</v>
      </c>
      <c r="C428" s="49" t="n">
        <v>1123920280</v>
      </c>
      <c r="D428" s="49" t="n">
        <v>1124647575</v>
      </c>
      <c r="E428" s="49" t="n">
        <v>1123129067</v>
      </c>
      <c r="F428" s="49" t="n">
        <v>0</v>
      </c>
      <c r="G428" s="50" t="n">
        <f aca="false">IF($A428="","",IF(ISNUMBER($G427),$G427+1,1))</f>
        <v>424</v>
      </c>
      <c r="H428" s="51" t="n">
        <f aca="false">IF(OR(NOT(ISNUMBER($G428)),$G428&lt;2,NOT(ISNUMBER($C427)),$C427=0),"",$C428/$C427-1)</f>
        <v>-0.0169613983161898</v>
      </c>
      <c r="I428" s="52" t="n">
        <f aca="false">IF(AND(ISNUMBER($G428),$G428&gt;=MA_SHORT),AVERAGE(INDEX($C$28:$C428,402-MA_SHORT):$C428),"")</f>
        <v>1088203230.4</v>
      </c>
      <c r="J428" s="52" t="n">
        <f aca="false">IF(AND(ISNUMBER($G428),$G428&gt;=MA_MED),AVERAGE(INDEX($C$28:$C428,402-MA_MED):$C428),"")</f>
        <v>1026892715.84</v>
      </c>
      <c r="K428" s="52" t="n">
        <f aca="false">IF(AND(ISNUMBER($G428),$G428&gt;=MA_LONG2),AVERAGE(INDEX($C$28:$C428,402-MA_LONG2):$C428),"")</f>
        <v>938626421.86</v>
      </c>
      <c r="L428" s="53" t="n">
        <f aca="false">IF(AND(ISNUMBER($G428),$G428&gt;=21),STDEV(INDEX($H$368:$H428,62-20):$H428)*SQRT(245),"")</f>
        <v>0.210478729289498</v>
      </c>
      <c r="M428" s="52" t="n">
        <f aca="false">IF(AND(ISNUMBER($G428),$G428&gt;=60),MAX(INDEX($D$228:$D428,202-60):$D428),"")</f>
        <v>1147107872</v>
      </c>
      <c r="N428" s="52" t="n">
        <f aca="false">IF(AND(ISNUMBER($G428),$G428&gt;=60),MIN(INDEX($E$228:$E428,202-60):$E428),"")</f>
        <v>879348159</v>
      </c>
      <c r="O428" s="53" t="n">
        <f aca="false">IF(OR(NOT(ISNUMBER($C428)),NOT(ISNUMBER($M428)),$M428=0),"",$C428/$M428-1)</f>
        <v>-0.0202139594418196</v>
      </c>
      <c r="P428" s="54"/>
      <c r="Q428" s="53" t="str">
        <f aca="false">IF(NOT(ISNUMBER($P428)),"",IFERROR(PERCENTRANK($P$5:$P$1204,$P428),""))</f>
        <v/>
      </c>
    </row>
    <row r="429" customFormat="false" ht="15" hidden="false" customHeight="false" outlineLevel="0" collapsed="false">
      <c r="A429" s="47" t="n">
        <v>46162</v>
      </c>
      <c r="B429" s="48" t="s">
        <v>577</v>
      </c>
      <c r="C429" s="49" t="n">
        <v>1130186660</v>
      </c>
      <c r="D429" s="49" t="n">
        <v>1133180024</v>
      </c>
      <c r="E429" s="49" t="n">
        <v>1125153146</v>
      </c>
      <c r="F429" s="49" t="n">
        <v>0</v>
      </c>
      <c r="G429" s="50" t="n">
        <f aca="false">IF($A429="","",IF(ISNUMBER($G428),$G428+1,1))</f>
        <v>425</v>
      </c>
      <c r="H429" s="51" t="n">
        <f aca="false">IF(OR(NOT(ISNUMBER($G429)),$G429&lt;2,NOT(ISNUMBER($C428)),$C428=0),"",$C429/$C428-1)</f>
        <v>0.00557546661583497</v>
      </c>
      <c r="I429" s="52" t="n">
        <f aca="false">IF(AND(ISNUMBER($G429),$G429&gt;=MA_SHORT),AVERAGE(INDEX($C$29:$C429,402-MA_SHORT):$C429),"")</f>
        <v>1091833594.35</v>
      </c>
      <c r="J429" s="52" t="n">
        <f aca="false">IF(AND(ISNUMBER($G429),$G429&gt;=MA_MED),AVERAGE(INDEX($C$29:$C429,402-MA_MED):$C429),"")</f>
        <v>1030999867.5</v>
      </c>
      <c r="K429" s="52" t="n">
        <f aca="false">IF(AND(ISNUMBER($G429),$G429&gt;=MA_LONG2),AVERAGE(INDEX($C$29:$C429,402-MA_LONG2):$C429),"")</f>
        <v>939919062.39</v>
      </c>
      <c r="L429" s="53" t="n">
        <f aca="false">IF(AND(ISNUMBER($G429),$G429&gt;=21),STDEV(INDEX($H$369:$H429,62-20):$H429)*SQRT(245),"")</f>
        <v>0.210617318123367</v>
      </c>
      <c r="M429" s="52" t="n">
        <f aca="false">IF(AND(ISNUMBER($G429),$G429&gt;=60),MAX(INDEX($D$229:$D429,202-60):$D429),"")</f>
        <v>1147107872</v>
      </c>
      <c r="N429" s="52" t="n">
        <f aca="false">IF(AND(ISNUMBER($G429),$G429&gt;=60),MIN(INDEX($E$229:$E429,202-60):$E429),"")</f>
        <v>879348159</v>
      </c>
      <c r="O429" s="53" t="n">
        <f aca="false">IF(OR(NOT(ISNUMBER($C429)),NOT(ISNUMBER($M429)),$M429=0),"",$C429/$M429-1)</f>
        <v>-0.0147511950820263</v>
      </c>
      <c r="P429" s="54"/>
      <c r="Q429" s="53" t="str">
        <f aca="false">IF(NOT(ISNUMBER($P429)),"",IFERROR(PERCENTRANK($P$5:$P$1204,$P429),""))</f>
        <v/>
      </c>
    </row>
    <row r="430" customFormat="false" ht="15" hidden="false" customHeight="false" outlineLevel="0" collapsed="false">
      <c r="A430" s="47" t="n">
        <v>46165</v>
      </c>
      <c r="B430" s="48" t="s">
        <v>578</v>
      </c>
      <c r="C430" s="49" t="n">
        <v>1128940848</v>
      </c>
      <c r="D430" s="49" t="n">
        <v>1133756952</v>
      </c>
      <c r="E430" s="49" t="n">
        <v>1128138078</v>
      </c>
      <c r="F430" s="49" t="n">
        <v>0</v>
      </c>
      <c r="G430" s="50" t="n">
        <f aca="false">IF($A430="","",IF(ISNUMBER($G429),$G429+1,1))</f>
        <v>426</v>
      </c>
      <c r="H430" s="51" t="n">
        <f aca="false">IF(OR(NOT(ISNUMBER($G430)),$G430&lt;2,NOT(ISNUMBER($C429)),$C429=0),"",$C430/$C429-1)</f>
        <v>-0.00110230641016418</v>
      </c>
      <c r="I430" s="52" t="n">
        <f aca="false">IF(AND(ISNUMBER($G430),$G430&gt;=MA_SHORT),AVERAGE(INDEX($C$30:$C430,402-MA_SHORT):$C430),"")</f>
        <v>1094657327.6</v>
      </c>
      <c r="J430" s="52" t="n">
        <f aca="false">IF(AND(ISNUMBER($G430),$G430&gt;=MA_MED),AVERAGE(INDEX($C$30:$C430,402-MA_MED):$C430),"")</f>
        <v>1034993605.88</v>
      </c>
      <c r="K430" s="52" t="n">
        <f aca="false">IF(AND(ISNUMBER($G430),$G430&gt;=MA_LONG2),AVERAGE(INDEX($C$30:$C430,402-MA_LONG2):$C430),"")</f>
        <v>941278819.725</v>
      </c>
      <c r="L430" s="53" t="n">
        <f aca="false">IF(AND(ISNUMBER($G430),$G430&gt;=21),STDEV(INDEX($H$370:$H430,62-20):$H430)*SQRT(245),"")</f>
        <v>0.20738158913882</v>
      </c>
      <c r="M430" s="52" t="n">
        <f aca="false">IF(AND(ISNUMBER($G430),$G430&gt;=60),MAX(INDEX($D$230:$D430,202-60):$D430),"")</f>
        <v>1147107872</v>
      </c>
      <c r="N430" s="52" t="n">
        <f aca="false">IF(AND(ISNUMBER($G430),$G430&gt;=60),MIN(INDEX($E$230:$E430,202-60):$E430),"")</f>
        <v>879348159</v>
      </c>
      <c r="O430" s="53" t="n">
        <f aca="false">IF(OR(NOT(ISNUMBER($C430)),NOT(ISNUMBER($M430)),$M430=0),"",$C430/$M430-1)</f>
        <v>-0.0158372411552939</v>
      </c>
      <c r="P430" s="54"/>
      <c r="Q430" s="53" t="str">
        <f aca="false">IF(NOT(ISNUMBER($P430)),"",IFERROR(PERCENTRANK($P$5:$P$1204,$P430),""))</f>
        <v/>
      </c>
    </row>
    <row r="431" customFormat="false" ht="15" hidden="false" customHeight="false" outlineLevel="0" collapsed="false">
      <c r="A431" s="47" t="n">
        <v>46166</v>
      </c>
      <c r="B431" s="48" t="s">
        <v>579</v>
      </c>
      <c r="C431" s="49" t="n">
        <v>1136530567</v>
      </c>
      <c r="D431" s="49" t="n">
        <v>1138831227</v>
      </c>
      <c r="E431" s="49" t="n">
        <v>1129651771</v>
      </c>
      <c r="F431" s="49" t="n">
        <v>0</v>
      </c>
      <c r="G431" s="50" t="n">
        <f aca="false">IF($A431="","",IF(ISNUMBER($G430),$G430+1,1))</f>
        <v>427</v>
      </c>
      <c r="H431" s="51" t="n">
        <f aca="false">IF(OR(NOT(ISNUMBER($G431)),$G431&lt;2,NOT(ISNUMBER($C430)),$C430=0),"",$C431/$C430-1)</f>
        <v>0.00672286684767021</v>
      </c>
      <c r="I431" s="52" t="n">
        <f aca="false">IF(AND(ISNUMBER($G431),$G431&gt;=MA_SHORT),AVERAGE(INDEX($C$31:$C431,402-MA_SHORT):$C431),"")</f>
        <v>1098061581.3</v>
      </c>
      <c r="J431" s="52" t="n">
        <f aca="false">IF(AND(ISNUMBER($G431),$G431&gt;=MA_MED),AVERAGE(INDEX($C$31:$C431,402-MA_MED):$C431),"")</f>
        <v>1038822011.92</v>
      </c>
      <c r="K431" s="52" t="n">
        <f aca="false">IF(AND(ISNUMBER($G431),$G431&gt;=MA_LONG2),AVERAGE(INDEX($C$31:$C431,402-MA_LONG2):$C431),"")</f>
        <v>942621860.435</v>
      </c>
      <c r="L431" s="53" t="n">
        <f aca="false">IF(AND(ISNUMBER($G431),$G431&gt;=21),STDEV(INDEX($H$371:$H431,62-20):$H431)*SQRT(245),"")</f>
        <v>0.206450204974692</v>
      </c>
      <c r="M431" s="52" t="n">
        <f aca="false">IF(AND(ISNUMBER($G431),$G431&gt;=60),MAX(INDEX($D$231:$D431,202-60):$D431),"")</f>
        <v>1147107872</v>
      </c>
      <c r="N431" s="52" t="n">
        <f aca="false">IF(AND(ISNUMBER($G431),$G431&gt;=60),MIN(INDEX($E$231:$E431,202-60):$E431),"")</f>
        <v>879348159</v>
      </c>
      <c r="O431" s="53" t="n">
        <f aca="false">IF(OR(NOT(ISNUMBER($C431)),NOT(ISNUMBER($M431)),$M431=0),"",$C431/$M431-1)</f>
        <v>-0.00922084597114503</v>
      </c>
      <c r="P431" s="54"/>
      <c r="Q431" s="53" t="str">
        <f aca="false">IF(NOT(ISNUMBER($P431)),"",IFERROR(PERCENTRANK($P$5:$P$1204,$P431),""))</f>
        <v/>
      </c>
    </row>
    <row r="432" customFormat="false" ht="15" hidden="false" customHeight="false" outlineLevel="0" collapsed="false">
      <c r="A432" s="47" t="n">
        <v>46167</v>
      </c>
      <c r="B432" s="48" t="s">
        <v>580</v>
      </c>
      <c r="C432" s="49" t="n">
        <v>1122094972</v>
      </c>
      <c r="D432" s="49" t="n">
        <v>1129469932</v>
      </c>
      <c r="E432" s="49" t="n">
        <v>1113208042</v>
      </c>
      <c r="F432" s="49" t="n">
        <v>0</v>
      </c>
      <c r="G432" s="50" t="n">
        <f aca="false">IF($A432="","",IF(ISNUMBER($G431),$G431+1,1))</f>
        <v>428</v>
      </c>
      <c r="H432" s="51" t="n">
        <f aca="false">IF(OR(NOT(ISNUMBER($G432)),$G432&lt;2,NOT(ISNUMBER($C431)),$C431=0),"",$C432/$C431-1)</f>
        <v>-0.0127014577690633</v>
      </c>
      <c r="I432" s="52" t="n">
        <f aca="false">IF(AND(ISNUMBER($G432),$G432&gt;=MA_SHORT),AVERAGE(INDEX($C$32:$C432,402-MA_SHORT):$C432),"")</f>
        <v>1100001239.9</v>
      </c>
      <c r="J432" s="52" t="n">
        <f aca="false">IF(AND(ISNUMBER($G432),$G432&gt;=MA_MED),AVERAGE(INDEX($C$32:$C432,402-MA_MED):$C432),"")</f>
        <v>1042138756.3</v>
      </c>
      <c r="K432" s="52" t="n">
        <f aca="false">IF(AND(ISNUMBER($G432),$G432&gt;=MA_LONG2),AVERAGE(INDEX($C$32:$C432,402-MA_LONG2):$C432),"")</f>
        <v>943843766.745</v>
      </c>
      <c r="L432" s="53" t="n">
        <f aca="false">IF(AND(ISNUMBER($G432),$G432&gt;=21),STDEV(INDEX($H$372:$H432,62-20):$H432)*SQRT(245),"")</f>
        <v>0.209598900577665</v>
      </c>
      <c r="M432" s="52" t="n">
        <f aca="false">IF(AND(ISNUMBER($G432),$G432&gt;=60),MAX(INDEX($D$232:$D432,202-60):$D432),"")</f>
        <v>1147107872</v>
      </c>
      <c r="N432" s="52" t="n">
        <f aca="false">IF(AND(ISNUMBER($G432),$G432&gt;=60),MIN(INDEX($E$232:$E432,202-60):$E432),"")</f>
        <v>879348159</v>
      </c>
      <c r="O432" s="53" t="n">
        <f aca="false">IF(OR(NOT(ISNUMBER($C432)),NOT(ISNUMBER($M432)),$M432=0),"",$C432/$M432-1)</f>
        <v>-0.0218051855545108</v>
      </c>
      <c r="P432" s="54"/>
      <c r="Q432" s="53" t="str">
        <f aca="false">IF(NOT(ISNUMBER($P432)),"",IFERROR(PERCENTRANK($P$5:$P$1204,$P432),""))</f>
        <v/>
      </c>
    </row>
    <row r="433" customFormat="false" ht="15" hidden="false" customHeight="false" outlineLevel="0" collapsed="false">
      <c r="A433" s="47" t="n">
        <v>46168</v>
      </c>
      <c r="B433" s="48" t="s">
        <v>581</v>
      </c>
      <c r="C433" s="49" t="n">
        <v>1106814028</v>
      </c>
      <c r="D433" s="49" t="n">
        <v>1111961328</v>
      </c>
      <c r="E433" s="49" t="n">
        <v>1098777700</v>
      </c>
      <c r="F433" s="49" t="n">
        <v>0</v>
      </c>
      <c r="G433" s="50" t="n">
        <f aca="false">IF($A433="","",IF(ISNUMBER($G432),$G432+1,1))</f>
        <v>429</v>
      </c>
      <c r="H433" s="51" t="n">
        <f aca="false">IF(OR(NOT(ISNUMBER($G433)),$G433&lt;2,NOT(ISNUMBER($C432)),$C432=0),"",$C433/$C432-1)</f>
        <v>-0.0136182269605607</v>
      </c>
      <c r="I433" s="52" t="n">
        <f aca="false">IF(AND(ISNUMBER($G433),$G433&gt;=MA_SHORT),AVERAGE(INDEX($C$33:$C433,402-MA_SHORT):$C433),"")</f>
        <v>1102012125.45</v>
      </c>
      <c r="J433" s="52" t="n">
        <f aca="false">IF(AND(ISNUMBER($G433),$G433&gt;=MA_MED),AVERAGE(INDEX($C$33:$C433,402-MA_MED):$C433),"")</f>
        <v>1044671859.66</v>
      </c>
      <c r="K433" s="52" t="n">
        <f aca="false">IF(AND(ISNUMBER($G433),$G433&gt;=MA_LONG2),AVERAGE(INDEX($C$33:$C433,402-MA_LONG2):$C433),"")</f>
        <v>944973778.01</v>
      </c>
      <c r="L433" s="53" t="n">
        <f aca="false">IF(AND(ISNUMBER($G433),$G433&gt;=21),STDEV(INDEX($H$373:$H433,62-20):$H433)*SQRT(245),"")</f>
        <v>0.207771001304876</v>
      </c>
      <c r="M433" s="52" t="n">
        <f aca="false">IF(AND(ISNUMBER($G433),$G433&gt;=60),MAX(INDEX($D$233:$D433,202-60):$D433),"")</f>
        <v>1147107872</v>
      </c>
      <c r="N433" s="52" t="n">
        <f aca="false">IF(AND(ISNUMBER($G433),$G433&gt;=60),MIN(INDEX($E$233:$E433,202-60):$E433),"")</f>
        <v>879348159</v>
      </c>
      <c r="O433" s="53" t="n">
        <f aca="false">IF(OR(NOT(ISNUMBER($C433)),NOT(ISNUMBER($M433)),$M433=0),"",$C433/$M433-1)</f>
        <v>-0.035126464549273</v>
      </c>
      <c r="P433" s="54"/>
      <c r="Q433" s="53" t="str">
        <f aca="false">IF(NOT(ISNUMBER($P433)),"",IFERROR(PERCENTRANK($P$5:$P$1204,$P433),""))</f>
        <v/>
      </c>
    </row>
    <row r="434" customFormat="false" ht="15" hidden="false" customHeight="false" outlineLevel="0" collapsed="false">
      <c r="A434" s="47" t="n">
        <v>46169</v>
      </c>
      <c r="B434" s="48" t="s">
        <v>582</v>
      </c>
      <c r="C434" s="49" t="n">
        <v>1096577074</v>
      </c>
      <c r="D434" s="49" t="n">
        <v>1097650152</v>
      </c>
      <c r="E434" s="49" t="n">
        <v>1096505916</v>
      </c>
      <c r="F434" s="49" t="n">
        <v>0</v>
      </c>
      <c r="G434" s="50" t="n">
        <f aca="false">IF($A434="","",IF(ISNUMBER($G433),$G433+1,1))</f>
        <v>430</v>
      </c>
      <c r="H434" s="51" t="n">
        <f aca="false">IF(OR(NOT(ISNUMBER($G434)),$G434&lt;2,NOT(ISNUMBER($C433)),$C433=0),"",$C434/$C433-1)</f>
        <v>-0.00924902805803618</v>
      </c>
      <c r="I434" s="52" t="n">
        <f aca="false">IF(AND(ISNUMBER($G434),$G434&gt;=MA_SHORT),AVERAGE(INDEX($C$34:$C434,402-MA_SHORT):$C434),"")</f>
        <v>1102599059.7</v>
      </c>
      <c r="J434" s="52" t="n">
        <f aca="false">IF(AND(ISNUMBER($G434),$G434&gt;=MA_MED),AVERAGE(INDEX($C$34:$C434,402-MA_MED):$C434),"")</f>
        <v>1046961688.82</v>
      </c>
      <c r="K434" s="52" t="n">
        <f aca="false">IF(AND(ISNUMBER($G434),$G434&gt;=MA_LONG2),AVERAGE(INDEX($C$34:$C434,402-MA_LONG2):$C434),"")</f>
        <v>946080942.195</v>
      </c>
      <c r="L434" s="53" t="n">
        <f aca="false">IF(AND(ISNUMBER($G434),$G434&gt;=21),STDEV(INDEX($H$374:$H434,62-20):$H434)*SQRT(245),"")</f>
        <v>0.203390721369038</v>
      </c>
      <c r="M434" s="52" t="n">
        <f aca="false">IF(AND(ISNUMBER($G434),$G434&gt;=60),MAX(INDEX($D$234:$D434,202-60):$D434),"")</f>
        <v>1147107872</v>
      </c>
      <c r="N434" s="52" t="n">
        <f aca="false">IF(AND(ISNUMBER($G434),$G434&gt;=60),MIN(INDEX($E$234:$E434,202-60):$E434),"")</f>
        <v>879348159</v>
      </c>
      <c r="O434" s="53" t="n">
        <f aca="false">IF(OR(NOT(ISNUMBER($C434)),NOT(ISNUMBER($M434)),$M434=0),"",$C434/$M434-1)</f>
        <v>-0.0440506069511133</v>
      </c>
      <c r="P434" s="54"/>
      <c r="Q434" s="53" t="str">
        <f aca="false">IF(NOT(ISNUMBER($P434)),"",IFERROR(PERCENTRANK($P$5:$P$1204,$P434),""))</f>
        <v/>
      </c>
    </row>
    <row r="435" customFormat="false" ht="15" hidden="false" customHeight="false" outlineLevel="0" collapsed="false">
      <c r="A435" s="47" t="n">
        <v>46172</v>
      </c>
      <c r="B435" s="48" t="s">
        <v>583</v>
      </c>
      <c r="C435" s="49" t="n">
        <v>1071536774</v>
      </c>
      <c r="D435" s="49" t="n">
        <v>1074501039</v>
      </c>
      <c r="E435" s="49" t="n">
        <v>1064743806</v>
      </c>
      <c r="F435" s="49" t="n">
        <v>0</v>
      </c>
      <c r="G435" s="50" t="n">
        <f aca="false">IF($A435="","",IF(ISNUMBER($G434),$G434+1,1))</f>
        <v>431</v>
      </c>
      <c r="H435" s="51" t="n">
        <f aca="false">IF(OR(NOT(ISNUMBER($G435)),$G435&lt;2,NOT(ISNUMBER($C434)),$C434=0),"",$C435/$C434-1)</f>
        <v>-0.0228349658165478</v>
      </c>
      <c r="I435" s="52" t="n">
        <f aca="false">IF(AND(ISNUMBER($G435),$G435&gt;=MA_SHORT),AVERAGE(INDEX($C$35:$C435,402-MA_SHORT):$C435),"")</f>
        <v>1102881733.95</v>
      </c>
      <c r="J435" s="52" t="n">
        <f aca="false">IF(AND(ISNUMBER($G435),$G435&gt;=MA_MED),AVERAGE(INDEX($C$35:$C435,402-MA_MED):$C435),"")</f>
        <v>1048595166.58</v>
      </c>
      <c r="K435" s="52" t="n">
        <f aca="false">IF(AND(ISNUMBER($G435),$G435&gt;=MA_LONG2),AVERAGE(INDEX($C$35:$C435,402-MA_LONG2):$C435),"")</f>
        <v>947083945.635</v>
      </c>
      <c r="L435" s="53" t="n">
        <f aca="false">IF(AND(ISNUMBER($G435),$G435&gt;=21),STDEV(INDEX($H$375:$H435,62-20):$H435)*SQRT(245),"")</f>
        <v>0.210289767015312</v>
      </c>
      <c r="M435" s="52" t="n">
        <f aca="false">IF(AND(ISNUMBER($G435),$G435&gt;=60),MAX(INDEX($D$235:$D435,202-60):$D435),"")</f>
        <v>1147107872</v>
      </c>
      <c r="N435" s="52" t="n">
        <f aca="false">IF(AND(ISNUMBER($G435),$G435&gt;=60),MIN(INDEX($E$235:$E435,202-60):$E435),"")</f>
        <v>891520257</v>
      </c>
      <c r="O435" s="53" t="n">
        <f aca="false">IF(OR(NOT(ISNUMBER($C435)),NOT(ISNUMBER($M435)),$M435=0),"",$C435/$M435-1)</f>
        <v>-0.0658796786637342</v>
      </c>
      <c r="P435" s="54"/>
      <c r="Q435" s="53" t="str">
        <f aca="false">IF(NOT(ISNUMBER($P435)),"",IFERROR(PERCENTRANK($P$5:$P$1204,$P435),""))</f>
        <v/>
      </c>
    </row>
    <row r="436" customFormat="false" ht="15" hidden="false" customHeight="false" outlineLevel="0" collapsed="false">
      <c r="A436" s="47" t="n">
        <v>46173</v>
      </c>
      <c r="B436" s="48" t="s">
        <v>584</v>
      </c>
      <c r="C436" s="49" t="n">
        <v>1086361728</v>
      </c>
      <c r="D436" s="49" t="n">
        <v>1090231726</v>
      </c>
      <c r="E436" s="49" t="n">
        <v>1085012236</v>
      </c>
      <c r="F436" s="49" t="n">
        <v>0</v>
      </c>
      <c r="G436" s="50" t="n">
        <f aca="false">IF($A436="","",IF(ISNUMBER($G435),$G435+1,1))</f>
        <v>432</v>
      </c>
      <c r="H436" s="51" t="n">
        <f aca="false">IF(OR(NOT(ISNUMBER($G436)),$G436&lt;2,NOT(ISNUMBER($C435)),$C435=0),"",$C436/$C435-1)</f>
        <v>0.0138352265267192</v>
      </c>
      <c r="I436" s="52" t="n">
        <f aca="false">IF(AND(ISNUMBER($G436),$G436&gt;=MA_SHORT),AVERAGE(INDEX($C$36:$C436,402-MA_SHORT):$C436),"")</f>
        <v>1104731333.7</v>
      </c>
      <c r="J436" s="52" t="n">
        <f aca="false">IF(AND(ISNUMBER($G436),$G436&gt;=MA_MED),AVERAGE(INDEX($C$36:$C436,402-MA_MED):$C436),"")</f>
        <v>1050998096.98</v>
      </c>
      <c r="K436" s="52" t="n">
        <f aca="false">IF(AND(ISNUMBER($G436),$G436&gt;=MA_LONG2),AVERAGE(INDEX($C$36:$C436,402-MA_LONG2):$C436),"")</f>
        <v>948182738.12</v>
      </c>
      <c r="L436" s="53" t="n">
        <f aca="false">IF(AND(ISNUMBER($G436),$G436&gt;=21),STDEV(INDEX($H$376:$H436,62-20):$H436)*SQRT(245),"")</f>
        <v>0.2068226268566</v>
      </c>
      <c r="M436" s="52" t="n">
        <f aca="false">IF(AND(ISNUMBER($G436),$G436&gt;=60),MAX(INDEX($D$236:$D436,202-60):$D436),"")</f>
        <v>1147107872</v>
      </c>
      <c r="N436" s="52" t="n">
        <f aca="false">IF(AND(ISNUMBER($G436),$G436&gt;=60),MIN(INDEX($E$236:$E436,202-60):$E436),"")</f>
        <v>910601825</v>
      </c>
      <c r="O436" s="53" t="n">
        <f aca="false">IF(OR(NOT(ISNUMBER($C436)),NOT(ISNUMBER($M436)),$M436=0),"",$C436/$M436-1)</f>
        <v>-0.0529559124148352</v>
      </c>
      <c r="P436" s="54"/>
      <c r="Q436" s="53" t="str">
        <f aca="false">IF(NOT(ISNUMBER($P436)),"",IFERROR(PERCENTRANK($P$5:$P$1204,$P436),""))</f>
        <v/>
      </c>
    </row>
    <row r="437" customFormat="false" ht="15" hidden="false" customHeight="false" outlineLevel="0" collapsed="false">
      <c r="A437" s="47" t="n">
        <v>46174</v>
      </c>
      <c r="B437" s="48" t="s">
        <v>585</v>
      </c>
      <c r="C437" s="49" t="n">
        <v>1080899044</v>
      </c>
      <c r="D437" s="49" t="n">
        <v>1083309959</v>
      </c>
      <c r="E437" s="49" t="n">
        <v>1069956686</v>
      </c>
      <c r="F437" s="49" t="n">
        <v>0</v>
      </c>
      <c r="G437" s="50" t="n">
        <f aca="false">IF($A437="","",IF(ISNUMBER($G436),$G436+1,1))</f>
        <v>433</v>
      </c>
      <c r="H437" s="51" t="n">
        <f aca="false">IF(OR(NOT(ISNUMBER($G437)),$G437&lt;2,NOT(ISNUMBER($C436)),$C436=0),"",$C437/$C436-1)</f>
        <v>-0.00502842088339839</v>
      </c>
      <c r="I437" s="52" t="n">
        <f aca="false">IF(AND(ISNUMBER($G437),$G437&gt;=MA_SHORT),AVERAGE(INDEX($C$37:$C437,402-MA_SHORT):$C437),"")</f>
        <v>1105551399.2</v>
      </c>
      <c r="J437" s="52" t="n">
        <f aca="false">IF(AND(ISNUMBER($G437),$G437&gt;=MA_MED),AVERAGE(INDEX($C$37:$C437,402-MA_MED):$C437),"")</f>
        <v>1053415997.66</v>
      </c>
      <c r="K437" s="52" t="n">
        <f aca="false">IF(AND(ISNUMBER($G437),$G437&gt;=MA_LONG2),AVERAGE(INDEX($C$37:$C437,402-MA_LONG2):$C437),"")</f>
        <v>949251001.615</v>
      </c>
      <c r="L437" s="53" t="n">
        <f aca="false">IF(AND(ISNUMBER($G437),$G437&gt;=21),STDEV(INDEX($H$377:$H437,62-20):$H437)*SQRT(245),"")</f>
        <v>0.202703872119125</v>
      </c>
      <c r="M437" s="52" t="n">
        <f aca="false">IF(AND(ISNUMBER($G437),$G437&gt;=60),MAX(INDEX($D$237:$D437,202-60):$D437),"")</f>
        <v>1147107872</v>
      </c>
      <c r="N437" s="52" t="n">
        <f aca="false">IF(AND(ISNUMBER($G437),$G437&gt;=60),MIN(INDEX($E$237:$E437,202-60):$E437),"")</f>
        <v>910601825</v>
      </c>
      <c r="O437" s="53" t="n">
        <f aca="false">IF(OR(NOT(ISNUMBER($C437)),NOT(ISNUMBER($M437)),$M437=0),"",$C437/$M437-1)</f>
        <v>-0.0577180486823474</v>
      </c>
      <c r="P437" s="54"/>
      <c r="Q437" s="53" t="str">
        <f aca="false">IF(NOT(ISNUMBER($P437)),"",IFERROR(PERCENTRANK($P$5:$P$1204,$P437),""))</f>
        <v/>
      </c>
    </row>
    <row r="438" customFormat="false" ht="15" hidden="false" customHeight="false" outlineLevel="0" collapsed="false">
      <c r="A438" s="47" t="n">
        <v>46175</v>
      </c>
      <c r="B438" s="48" t="s">
        <v>586</v>
      </c>
      <c r="C438" s="49" t="n">
        <v>1081726399</v>
      </c>
      <c r="D438" s="49" t="n">
        <v>1087949488</v>
      </c>
      <c r="E438" s="49" t="n">
        <v>1077735382</v>
      </c>
      <c r="F438" s="49" t="n">
        <v>0</v>
      </c>
      <c r="G438" s="50" t="n">
        <f aca="false">IF($A438="","",IF(ISNUMBER($G437),$G437+1,1))</f>
        <v>434</v>
      </c>
      <c r="H438" s="51" t="n">
        <f aca="false">IF(OR(NOT(ISNUMBER($G438)),$G438&lt;2,NOT(ISNUMBER($C437)),$C437=0),"",$C438/$C437-1)</f>
        <v>0.000765432261775612</v>
      </c>
      <c r="I438" s="52" t="n">
        <f aca="false">IF(AND(ISNUMBER($G438),$G438&gt;=MA_SHORT),AVERAGE(INDEX($C$38:$C438,402-MA_SHORT):$C438),"")</f>
        <v>1105798104.45</v>
      </c>
      <c r="J438" s="52" t="n">
        <f aca="false">IF(AND(ISNUMBER($G438),$G438&gt;=MA_MED),AVERAGE(INDEX($C$38:$C438,402-MA_MED):$C438),"")</f>
        <v>1056044355.4</v>
      </c>
      <c r="K438" s="52" t="n">
        <f aca="false">IF(AND(ISNUMBER($G438),$G438&gt;=MA_LONG2),AVERAGE(INDEX($C$38:$C438,402-MA_LONG2):$C438),"")</f>
        <v>950258872.345</v>
      </c>
      <c r="L438" s="53" t="n">
        <f aca="false">IF(AND(ISNUMBER($G438),$G438&gt;=21),STDEV(INDEX($H$378:$H438,62-20):$H438)*SQRT(245),"")</f>
        <v>0.198836972152661</v>
      </c>
      <c r="M438" s="52" t="n">
        <f aca="false">IF(AND(ISNUMBER($G438),$G438&gt;=60),MAX(INDEX($D$238:$D438,202-60):$D438),"")</f>
        <v>1147107872</v>
      </c>
      <c r="N438" s="52" t="n">
        <f aca="false">IF(AND(ISNUMBER($G438),$G438&gt;=60),MIN(INDEX($E$238:$E438,202-60):$E438),"")</f>
        <v>921301978</v>
      </c>
      <c r="O438" s="53" t="n">
        <f aca="false">IF(OR(NOT(ISNUMBER($C438)),NOT(ISNUMBER($M438)),$M438=0),"",$C438/$M438-1)</f>
        <v>-0.05699679567712</v>
      </c>
      <c r="P438" s="54"/>
      <c r="Q438" s="53" t="str">
        <f aca="false">IF(NOT(ISNUMBER($P438)),"",IFERROR(PERCENTRANK($P$5:$P$1204,$P438),""))</f>
        <v/>
      </c>
    </row>
    <row r="439" customFormat="false" ht="15" hidden="false" customHeight="false" outlineLevel="0" collapsed="false">
      <c r="A439" s="47" t="n">
        <v>46176</v>
      </c>
      <c r="B439" s="48" t="s">
        <v>587</v>
      </c>
      <c r="C439" s="49" t="n">
        <v>1088504029</v>
      </c>
      <c r="D439" s="49" t="n">
        <v>1092280616</v>
      </c>
      <c r="E439" s="49" t="n">
        <v>1084752436</v>
      </c>
      <c r="F439" s="49" t="n">
        <v>0</v>
      </c>
      <c r="G439" s="50" t="n">
        <f aca="false">IF($A439="","",IF(ISNUMBER($G438),$G438+1,1))</f>
        <v>435</v>
      </c>
      <c r="H439" s="51" t="n">
        <f aca="false">IF(OR(NOT(ISNUMBER($G439)),$G439&lt;2,NOT(ISNUMBER($C438)),$C438=0),"",$C439/$C438-1)</f>
        <v>0.00626556771311626</v>
      </c>
      <c r="I439" s="52" t="n">
        <f aca="false">IF(AND(ISNUMBER($G439),$G439&gt;=MA_SHORT),AVERAGE(INDEX($C$39:$C439,402-MA_SHORT):$C439),"")</f>
        <v>1106134472.85</v>
      </c>
      <c r="J439" s="52" t="n">
        <f aca="false">IF(AND(ISNUMBER($G439),$G439&gt;=MA_MED),AVERAGE(INDEX($C$39:$C439,402-MA_MED):$C439),"")</f>
        <v>1058357457.18</v>
      </c>
      <c r="K439" s="52" t="n">
        <f aca="false">IF(AND(ISNUMBER($G439),$G439&gt;=MA_LONG2),AVERAGE(INDEX($C$39:$C439,402-MA_LONG2):$C439),"")</f>
        <v>951302217.065</v>
      </c>
      <c r="L439" s="53" t="n">
        <f aca="false">IF(AND(ISNUMBER($G439),$G439&gt;=21),STDEV(INDEX($H$379:$H439,62-20):$H439)*SQRT(245),"")</f>
        <v>0.19937768605139</v>
      </c>
      <c r="M439" s="52" t="n">
        <f aca="false">IF(AND(ISNUMBER($G439),$G439&gt;=60),MAX(INDEX($D$239:$D439,202-60):$D439),"")</f>
        <v>1147107872</v>
      </c>
      <c r="N439" s="52" t="n">
        <f aca="false">IF(AND(ISNUMBER($G439),$G439&gt;=60),MIN(INDEX($E$239:$E439,202-60):$E439),"")</f>
        <v>921301978</v>
      </c>
      <c r="O439" s="53" t="n">
        <f aca="false">IF(OR(NOT(ISNUMBER($C439)),NOT(ISNUMBER($M439)),$M439=0),"",$C439/$M439-1)</f>
        <v>-0.0510883452467494</v>
      </c>
      <c r="P439" s="54"/>
      <c r="Q439" s="53" t="str">
        <f aca="false">IF(NOT(ISNUMBER($P439)),"",IFERROR(PERCENTRANK($P$5:$P$1204,$P439),""))</f>
        <v/>
      </c>
    </row>
    <row r="440" customFormat="false" ht="15" hidden="false" customHeight="false" outlineLevel="0" collapsed="false">
      <c r="A440" s="47" t="n">
        <v>46179</v>
      </c>
      <c r="B440" s="48" t="s">
        <v>588</v>
      </c>
      <c r="C440" s="49" t="n">
        <v>1082758881</v>
      </c>
      <c r="D440" s="49" t="n">
        <v>1091463213</v>
      </c>
      <c r="E440" s="49" t="n">
        <v>1082281235</v>
      </c>
      <c r="F440" s="49" t="n">
        <v>0</v>
      </c>
      <c r="G440" s="50" t="n">
        <f aca="false">IF($A440="","",IF(ISNUMBER($G439),$G439+1,1))</f>
        <v>436</v>
      </c>
      <c r="H440" s="51" t="n">
        <f aca="false">IF(OR(NOT(ISNUMBER($G440)),$G440&lt;2,NOT(ISNUMBER($C439)),$C439=0),"",$C440/$C439-1)</f>
        <v>-0.00527802180509884</v>
      </c>
      <c r="I440" s="52" t="n">
        <f aca="false">IF(AND(ISNUMBER($G440),$G440&gt;=MA_SHORT),AVERAGE(INDEX($C$40:$C440,402-MA_SHORT):$C440),"")</f>
        <v>1105812633</v>
      </c>
      <c r="J440" s="52" t="n">
        <f aca="false">IF(AND(ISNUMBER($G440),$G440&gt;=MA_MED),AVERAGE(INDEX($C$40:$C440,402-MA_MED):$C440),"")</f>
        <v>1060448642.64</v>
      </c>
      <c r="K440" s="52" t="n">
        <f aca="false">IF(AND(ISNUMBER($G440),$G440&gt;=MA_LONG2),AVERAGE(INDEX($C$40:$C440,402-MA_LONG2):$C440),"")</f>
        <v>952268959.585</v>
      </c>
      <c r="L440" s="53" t="n">
        <f aca="false">IF(AND(ISNUMBER($G440),$G440&gt;=21),STDEV(INDEX($H$380:$H440,62-20):$H440)*SQRT(245),"")</f>
        <v>0.198822256426507</v>
      </c>
      <c r="M440" s="52" t="n">
        <f aca="false">IF(AND(ISNUMBER($G440),$G440&gt;=60),MAX(INDEX($D$240:$D440,202-60):$D440),"")</f>
        <v>1147107872</v>
      </c>
      <c r="N440" s="52" t="n">
        <f aca="false">IF(AND(ISNUMBER($G440),$G440&gt;=60),MIN(INDEX($E$240:$E440,202-60):$E440),"")</f>
        <v>935902491</v>
      </c>
      <c r="O440" s="53" t="n">
        <f aca="false">IF(OR(NOT(ISNUMBER($C440)),NOT(ISNUMBER($M440)),$M440=0),"",$C440/$M440-1)</f>
        <v>-0.0560967216516495</v>
      </c>
      <c r="P440" s="54"/>
      <c r="Q440" s="53" t="str">
        <f aca="false">IF(NOT(ISNUMBER($P440)),"",IFERROR(PERCENTRANK($P$5:$P$1204,$P440),""))</f>
        <v/>
      </c>
    </row>
    <row r="441" customFormat="false" ht="15" hidden="false" customHeight="false" outlineLevel="0" collapsed="false">
      <c r="A441" s="47" t="n">
        <v>46180</v>
      </c>
      <c r="B441" s="48" t="s">
        <v>589</v>
      </c>
      <c r="C441" s="49" t="n">
        <v>1097952779</v>
      </c>
      <c r="D441" s="49" t="n">
        <v>1102622836</v>
      </c>
      <c r="E441" s="49" t="n">
        <v>1094348656</v>
      </c>
      <c r="F441" s="49" t="n">
        <v>0</v>
      </c>
      <c r="G441" s="50" t="n">
        <f aca="false">IF($A441="","",IF(ISNUMBER($G440),$G440+1,1))</f>
        <v>437</v>
      </c>
      <c r="H441" s="51" t="n">
        <f aca="false">IF(OR(NOT(ISNUMBER($G441)),$G441&lt;2,NOT(ISNUMBER($C440)),$C440=0),"",$C441/$C440-1)</f>
        <v>0.0140325775817858</v>
      </c>
      <c r="I441" s="52" t="n">
        <f aca="false">IF(AND(ISNUMBER($G441),$G441&gt;=MA_SHORT),AVERAGE(INDEX($C$41:$C441,402-MA_SHORT):$C441),"")</f>
        <v>1106146223.05</v>
      </c>
      <c r="J441" s="52" t="n">
        <f aca="false">IF(AND(ISNUMBER($G441),$G441&gt;=MA_MED),AVERAGE(INDEX($C$41:$C441,402-MA_MED):$C441),"")</f>
        <v>1062866936.1</v>
      </c>
      <c r="K441" s="52" t="n">
        <f aca="false">IF(AND(ISNUMBER($G441),$G441&gt;=MA_LONG2),AVERAGE(INDEX($C$41:$C441,402-MA_LONG2):$C441),"")</f>
        <v>953283496.625</v>
      </c>
      <c r="L441" s="53" t="n">
        <f aca="false">IF(AND(ISNUMBER($G441),$G441&gt;=21),STDEV(INDEX($H$381:$H441,62-20):$H441)*SQRT(245),"")</f>
        <v>0.204929838157388</v>
      </c>
      <c r="M441" s="52" t="n">
        <f aca="false">IF(AND(ISNUMBER($G441),$G441&gt;=60),MAX(INDEX($D$241:$D441,202-60):$D441),"")</f>
        <v>1147107872</v>
      </c>
      <c r="N441" s="52" t="n">
        <f aca="false">IF(AND(ISNUMBER($G441),$G441&gt;=60),MIN(INDEX($E$241:$E441,202-60):$E441),"")</f>
        <v>935902491</v>
      </c>
      <c r="O441" s="53" t="n">
        <f aca="false">IF(OR(NOT(ISNUMBER($C441)),NOT(ISNUMBER($M441)),$M441=0),"",$C441/$M441-1)</f>
        <v>-0.0428513256685245</v>
      </c>
      <c r="P441" s="54"/>
      <c r="Q441" s="53" t="str">
        <f aca="false">IF(NOT(ISNUMBER($P441)),"",IFERROR(PERCENTRANK($P$5:$P$1204,$P441),""))</f>
        <v/>
      </c>
    </row>
    <row r="442" customFormat="false" ht="15" hidden="false" customHeight="false" outlineLevel="0" collapsed="false">
      <c r="A442" s="47" t="n">
        <v>46181</v>
      </c>
      <c r="B442" s="48" t="s">
        <v>590</v>
      </c>
      <c r="C442" s="49" t="n">
        <v>1097508085</v>
      </c>
      <c r="D442" s="49" t="n">
        <v>1097994430</v>
      </c>
      <c r="E442" s="49" t="n">
        <v>1093599735</v>
      </c>
      <c r="F442" s="49" t="n">
        <v>0</v>
      </c>
      <c r="G442" s="50" t="n">
        <f aca="false">IF($A442="","",IF(ISNUMBER($G441),$G441+1,1))</f>
        <v>438</v>
      </c>
      <c r="H442" s="51" t="n">
        <f aca="false">IF(OR(NOT(ISNUMBER($G442)),$G442&lt;2,NOT(ISNUMBER($C441)),$C441=0),"",$C442/$C441-1)</f>
        <v>-0.000405021061474997</v>
      </c>
      <c r="I442" s="52" t="n">
        <f aca="false">IF(AND(ISNUMBER($G442),$G442&gt;=MA_SHORT),AVERAGE(INDEX($C$42:$C442,402-MA_SHORT):$C442),"")</f>
        <v>1106428358.55</v>
      </c>
      <c r="J442" s="52" t="n">
        <f aca="false">IF(AND(ISNUMBER($G442),$G442&gt;=MA_MED),AVERAGE(INDEX($C$42:$C442,402-MA_MED):$C442),"")</f>
        <v>1065359647.5</v>
      </c>
      <c r="K442" s="52" t="n">
        <f aca="false">IF(AND(ISNUMBER($G442),$G442&gt;=MA_LONG2),AVERAGE(INDEX($C$42:$C442,402-MA_LONG2):$C442),"")</f>
        <v>954320529.66</v>
      </c>
      <c r="L442" s="53" t="n">
        <f aca="false">IF(AND(ISNUMBER($G442),$G442&gt;=21),STDEV(INDEX($H$382:$H442,62-20):$H442)*SQRT(245),"")</f>
        <v>0.204947423885041</v>
      </c>
      <c r="M442" s="52" t="n">
        <f aca="false">IF(AND(ISNUMBER($G442),$G442&gt;=60),MAX(INDEX($D$242:$D442,202-60):$D442),"")</f>
        <v>1147107872</v>
      </c>
      <c r="N442" s="52" t="n">
        <f aca="false">IF(AND(ISNUMBER($G442),$G442&gt;=60),MIN(INDEX($E$242:$E442,202-60):$E442),"")</f>
        <v>935902491</v>
      </c>
      <c r="O442" s="53" t="n">
        <f aca="false">IF(OR(NOT(ISNUMBER($C442)),NOT(ISNUMBER($M442)),$M442=0),"",$C442/$M442-1)</f>
        <v>-0.0432389910405915</v>
      </c>
      <c r="P442" s="54"/>
      <c r="Q442" s="53" t="str">
        <f aca="false">IF(NOT(ISNUMBER($P442)),"",IFERROR(PERCENTRANK($P$5:$P$1204,$P442),""))</f>
        <v/>
      </c>
    </row>
    <row r="443" customFormat="false" ht="15" hidden="false" customHeight="false" outlineLevel="0" collapsed="false">
      <c r="A443" s="47" t="n">
        <v>46182</v>
      </c>
      <c r="B443" s="48" t="s">
        <v>591</v>
      </c>
      <c r="C443" s="49" t="n">
        <v>1059992052</v>
      </c>
      <c r="D443" s="49" t="n">
        <v>1063088398</v>
      </c>
      <c r="E443" s="49" t="n">
        <v>1058038452</v>
      </c>
      <c r="F443" s="49" t="n">
        <v>0</v>
      </c>
      <c r="G443" s="50" t="n">
        <f aca="false">IF($A443="","",IF(ISNUMBER($G442),$G442+1,1))</f>
        <v>439</v>
      </c>
      <c r="H443" s="51" t="n">
        <f aca="false">IF(OR(NOT(ISNUMBER($G443)),$G443&lt;2,NOT(ISNUMBER($C442)),$C442=0),"",$C443/$C442-1)</f>
        <v>-0.034182921759524</v>
      </c>
      <c r="I443" s="52" t="n">
        <f aca="false">IF(AND(ISNUMBER($G443),$G443&gt;=MA_SHORT),AVERAGE(INDEX($C$43:$C443,402-MA_SHORT):$C443),"")</f>
        <v>1103720207.4</v>
      </c>
      <c r="J443" s="52" t="n">
        <f aca="false">IF(AND(ISNUMBER($G443),$G443&gt;=MA_MED),AVERAGE(INDEX($C$43:$C443,402-MA_MED):$C443),"")</f>
        <v>1067730531.5</v>
      </c>
      <c r="K443" s="52" t="n">
        <f aca="false">IF(AND(ISNUMBER($G443),$G443&gt;=MA_LONG2),AVERAGE(INDEX($C$43:$C443,402-MA_LONG2):$C443),"")</f>
        <v>955157973.835</v>
      </c>
      <c r="L443" s="53" t="n">
        <f aca="false">IF(AND(ISNUMBER($G443),$G443&gt;=21),STDEV(INDEX($H$383:$H443,62-20):$H443)*SQRT(245),"")</f>
        <v>0.224169759639757</v>
      </c>
      <c r="M443" s="52" t="n">
        <f aca="false">IF(AND(ISNUMBER($G443),$G443&gt;=60),MAX(INDEX($D$243:$D443,202-60):$D443),"")</f>
        <v>1147107872</v>
      </c>
      <c r="N443" s="52" t="n">
        <f aca="false">IF(AND(ISNUMBER($G443),$G443&gt;=60),MIN(INDEX($E$243:$E443,202-60):$E443),"")</f>
        <v>935902491</v>
      </c>
      <c r="O443" s="53" t="n">
        <f aca="false">IF(OR(NOT(ISNUMBER($C443)),NOT(ISNUMBER($M443)),$M443=0),"",$C443/$M443-1)</f>
        <v>-0.0759438777524142</v>
      </c>
      <c r="P443" s="54"/>
      <c r="Q443" s="53" t="str">
        <f aca="false">IF(NOT(ISNUMBER($P443)),"",IFERROR(PERCENTRANK($P$5:$P$1204,$P443),""))</f>
        <v/>
      </c>
    </row>
    <row r="444" customFormat="false" ht="15" hidden="false" customHeight="false" outlineLevel="0" collapsed="false">
      <c r="A444" s="47" t="n">
        <v>46183</v>
      </c>
      <c r="B444" s="48" t="s">
        <v>592</v>
      </c>
      <c r="C444" s="49" t="n">
        <v>1069095452</v>
      </c>
      <c r="D444" s="49" t="n">
        <v>1071832461</v>
      </c>
      <c r="E444" s="49" t="n">
        <v>1067006279</v>
      </c>
      <c r="F444" s="49" t="n">
        <v>0</v>
      </c>
      <c r="G444" s="50" t="n">
        <f aca="false">IF($A444="","",IF(ISNUMBER($G443),$G443+1,1))</f>
        <v>440</v>
      </c>
      <c r="H444" s="51" t="n">
        <f aca="false">IF(OR(NOT(ISNUMBER($G444)),$G444&lt;2,NOT(ISNUMBER($C443)),$C443=0),"",$C444/$C443-1)</f>
        <v>0.00858817760267505</v>
      </c>
      <c r="I444" s="52" t="n">
        <f aca="false">IF(AND(ISNUMBER($G444),$G444&gt;=MA_SHORT),AVERAGE(INDEX($C$44:$C444,402-MA_SHORT):$C444),"")</f>
        <v>1101600212.65</v>
      </c>
      <c r="J444" s="52" t="n">
        <f aca="false">IF(AND(ISNUMBER($G444),$G444&gt;=MA_MED),AVERAGE(INDEX($C$44:$C444,402-MA_MED):$C444),"")</f>
        <v>1069886257.14</v>
      </c>
      <c r="K444" s="52" t="n">
        <f aca="false">IF(AND(ISNUMBER($G444),$G444&gt;=MA_LONG2),AVERAGE(INDEX($C$44:$C444,402-MA_LONG2):$C444),"")</f>
        <v>956146089.26</v>
      </c>
      <c r="L444" s="53" t="n">
        <f aca="false">IF(AND(ISNUMBER($G444),$G444&gt;=21),STDEV(INDEX($H$384:$H444,62-20):$H444)*SQRT(245),"")</f>
        <v>0.227439592646916</v>
      </c>
      <c r="M444" s="52" t="n">
        <f aca="false">IF(AND(ISNUMBER($G444),$G444&gt;=60),MAX(INDEX($D$244:$D444,202-60):$D444),"")</f>
        <v>1147107872</v>
      </c>
      <c r="N444" s="52" t="n">
        <f aca="false">IF(AND(ISNUMBER($G444),$G444&gt;=60),MIN(INDEX($E$244:$E444,202-60):$E444),"")</f>
        <v>935902491</v>
      </c>
      <c r="O444" s="53" t="n">
        <f aca="false">IF(OR(NOT(ISNUMBER($C444)),NOT(ISNUMBER($M444)),$M444=0),"",$C444/$M444-1)</f>
        <v>-0.0680079196597127</v>
      </c>
      <c r="P444" s="54"/>
      <c r="Q444" s="53" t="str">
        <f aca="false">IF(NOT(ISNUMBER($P444)),"",IFERROR(PERCENTRANK($P$5:$P$1204,$P444),""))</f>
        <v/>
      </c>
    </row>
    <row r="445" customFormat="false" ht="15" hidden="false" customHeight="false" outlineLevel="0" collapsed="false">
      <c r="A445" s="47" t="n">
        <v>46186</v>
      </c>
      <c r="B445" s="48" t="s">
        <v>593</v>
      </c>
      <c r="C445" s="49" t="n">
        <v>1058992834</v>
      </c>
      <c r="D445" s="49" t="n">
        <v>1064868182</v>
      </c>
      <c r="E445" s="49" t="n">
        <v>1057994536</v>
      </c>
      <c r="F445" s="49" t="n">
        <v>0</v>
      </c>
      <c r="G445" s="50" t="n">
        <f aca="false">IF($A445="","",IF(ISNUMBER($G444),$G444+1,1))</f>
        <v>441</v>
      </c>
      <c r="H445" s="51" t="n">
        <f aca="false">IF(OR(NOT(ISNUMBER($G445)),$G445&lt;2,NOT(ISNUMBER($C444)),$C444=0),"",$C445/$C444-1)</f>
        <v>-0.00944968756634468</v>
      </c>
      <c r="I445" s="52" t="n">
        <f aca="false">IF(AND(ISNUMBER($G445),$G445&gt;=MA_SHORT),AVERAGE(INDEX($C$45:$C445,402-MA_SHORT):$C445),"")</f>
        <v>1098649137.2</v>
      </c>
      <c r="J445" s="52" t="n">
        <f aca="false">IF(AND(ISNUMBER($G445),$G445&gt;=MA_MED),AVERAGE(INDEX($C$45:$C445,402-MA_MED):$C445),"")</f>
        <v>1071504303.86</v>
      </c>
      <c r="K445" s="52" t="n">
        <f aca="false">IF(AND(ISNUMBER($G445),$G445&gt;=MA_LONG2),AVERAGE(INDEX($C$45:$C445,402-MA_LONG2):$C445),"")</f>
        <v>957002476.86</v>
      </c>
      <c r="L445" s="53" t="n">
        <f aca="false">IF(AND(ISNUMBER($G445),$G445&gt;=21),STDEV(INDEX($H$385:$H445,62-20):$H445)*SQRT(245),"")</f>
        <v>0.227063532449463</v>
      </c>
      <c r="M445" s="52" t="n">
        <f aca="false">IF(AND(ISNUMBER($G445),$G445&gt;=60),MAX(INDEX($D$245:$D445,202-60):$D445),"")</f>
        <v>1147107872</v>
      </c>
      <c r="N445" s="52" t="n">
        <f aca="false">IF(AND(ISNUMBER($G445),$G445&gt;=60),MIN(INDEX($E$245:$E445,202-60):$E445),"")</f>
        <v>935902491</v>
      </c>
      <c r="O445" s="53" t="n">
        <f aca="false">IF(OR(NOT(ISNUMBER($C445)),NOT(ISNUMBER($M445)),$M445=0),"",$C445/$M445-1)</f>
        <v>-0.076814953633236</v>
      </c>
      <c r="P445" s="54"/>
      <c r="Q445" s="53" t="str">
        <f aca="false">IF(NOT(ISNUMBER($P445)),"",IFERROR(PERCENTRANK($P$5:$P$1204,$P445),""))</f>
        <v/>
      </c>
    </row>
    <row r="446" customFormat="false" ht="15" hidden="false" customHeight="false" outlineLevel="0" collapsed="false">
      <c r="A446" s="47" t="n">
        <v>46187</v>
      </c>
      <c r="B446" s="48" t="s">
        <v>594</v>
      </c>
      <c r="C446" s="49" t="n">
        <v>1059955281</v>
      </c>
      <c r="D446" s="49" t="n">
        <v>1060495034</v>
      </c>
      <c r="E446" s="49" t="n">
        <v>1050477568</v>
      </c>
      <c r="F446" s="49" t="n">
        <v>0</v>
      </c>
      <c r="G446" s="50" t="n">
        <f aca="false">IF($A446="","",IF(ISNUMBER($G445),$G445+1,1))</f>
        <v>442</v>
      </c>
      <c r="H446" s="51" t="n">
        <f aca="false">IF(OR(NOT(ISNUMBER($G446)),$G446&lt;2,NOT(ISNUMBER($C445)),$C445=0),"",$C446/$C445-1)</f>
        <v>0.000908832401032012</v>
      </c>
      <c r="I446" s="52" t="n">
        <f aca="false">IF(AND(ISNUMBER($G446),$G446&gt;=MA_SHORT),AVERAGE(INDEX($C$46:$C446,402-MA_SHORT):$C446),"")</f>
        <v>1096183011.25</v>
      </c>
      <c r="J446" s="52" t="n">
        <f aca="false">IF(AND(ISNUMBER($G446),$G446&gt;=MA_MED),AVERAGE(INDEX($C$46:$C446,402-MA_MED):$C446),"")</f>
        <v>1073346856.5</v>
      </c>
      <c r="K446" s="52" t="n">
        <f aca="false">IF(AND(ISNUMBER($G446),$G446&gt;=MA_LONG2),AVERAGE(INDEX($C$46:$C446,402-MA_LONG2):$C446),"")</f>
        <v>957848990.07</v>
      </c>
      <c r="L446" s="53" t="n">
        <f aca="false">IF(AND(ISNUMBER($G446),$G446&gt;=21),STDEV(INDEX($H$386:$H446,62-20):$H446)*SQRT(245),"")</f>
        <v>0.226536380196529</v>
      </c>
      <c r="M446" s="52" t="n">
        <f aca="false">IF(AND(ISNUMBER($G446),$G446&gt;=60),MAX(INDEX($D$246:$D446,202-60):$D446),"")</f>
        <v>1147107872</v>
      </c>
      <c r="N446" s="52" t="n">
        <f aca="false">IF(AND(ISNUMBER($G446),$G446&gt;=60),MIN(INDEX($E$246:$E446,202-60):$E446),"")</f>
        <v>935902491</v>
      </c>
      <c r="O446" s="53" t="n">
        <f aca="false">IF(OR(NOT(ISNUMBER($C446)),NOT(ISNUMBER($M446)),$M446=0),"",$C446/$M446-1)</f>
        <v>-0.0759759331509495</v>
      </c>
      <c r="P446" s="54"/>
      <c r="Q446" s="53" t="str">
        <f aca="false">IF(NOT(ISNUMBER($P446)),"",IFERROR(PERCENTRANK($P$5:$P$1204,$P446),""))</f>
        <v/>
      </c>
    </row>
    <row r="447" customFormat="false" ht="15" hidden="false" customHeight="false" outlineLevel="0" collapsed="false">
      <c r="A447" s="47" t="n">
        <v>46188</v>
      </c>
      <c r="B447" s="48" t="s">
        <v>595</v>
      </c>
      <c r="C447" s="49" t="n">
        <v>1055644491</v>
      </c>
      <c r="D447" s="49" t="n">
        <v>1060099261</v>
      </c>
      <c r="E447" s="49" t="n">
        <v>1051484008</v>
      </c>
      <c r="F447" s="49" t="n">
        <v>0</v>
      </c>
      <c r="G447" s="50" t="n">
        <f aca="false">IF($A447="","",IF(ISNUMBER($G446),$G446+1,1))</f>
        <v>443</v>
      </c>
      <c r="H447" s="51" t="n">
        <f aca="false">IF(OR(NOT(ISNUMBER($G447)),$G447&lt;2,NOT(ISNUMBER($C446)),$C446=0),"",$C447/$C446-1)</f>
        <v>-0.00406695459447404</v>
      </c>
      <c r="I447" s="52" t="n">
        <f aca="false">IF(AND(ISNUMBER($G447),$G447&gt;=MA_SHORT),AVERAGE(INDEX($C$47:$C447,402-MA_SHORT):$C447),"")</f>
        <v>1091799612.9</v>
      </c>
      <c r="J447" s="52" t="n">
        <f aca="false">IF(AND(ISNUMBER($G447),$G447&gt;=MA_MED),AVERAGE(INDEX($C$47:$C447,402-MA_MED):$C447),"")</f>
        <v>1074665369.74</v>
      </c>
      <c r="K447" s="52" t="n">
        <f aca="false">IF(AND(ISNUMBER($G447),$G447&gt;=MA_LONG2),AVERAGE(INDEX($C$47:$C447,402-MA_LONG2):$C447),"")</f>
        <v>958593977.54</v>
      </c>
      <c r="L447" s="53" t="n">
        <f aca="false">IF(AND(ISNUMBER($G447),$G447&gt;=21),STDEV(INDEX($H$387:$H447,62-20):$H447)*SQRT(245),"")</f>
        <v>0.191490202020845</v>
      </c>
      <c r="M447" s="52" t="n">
        <f aca="false">IF(AND(ISNUMBER($G447),$G447&gt;=60),MAX(INDEX($D$247:$D447,202-60):$D447),"")</f>
        <v>1147107872</v>
      </c>
      <c r="N447" s="52" t="n">
        <f aca="false">IF(AND(ISNUMBER($G447),$G447&gt;=60),MIN(INDEX($E$247:$E447,202-60):$E447),"")</f>
        <v>935902491</v>
      </c>
      <c r="O447" s="53" t="n">
        <f aca="false">IF(OR(NOT(ISNUMBER($C447)),NOT(ISNUMBER($M447)),$M447=0),"",$C447/$M447-1)</f>
        <v>-0.0797338970750259</v>
      </c>
      <c r="P447" s="54"/>
      <c r="Q447" s="53" t="str">
        <f aca="false">IF(NOT(ISNUMBER($P447)),"",IFERROR(PERCENTRANK($P$5:$P$1204,$P447),""))</f>
        <v/>
      </c>
    </row>
    <row r="448" customFormat="false" ht="15" hidden="false" customHeight="false" outlineLevel="0" collapsed="false">
      <c r="A448" s="47" t="n">
        <v>46189</v>
      </c>
      <c r="B448" s="48" t="s">
        <v>596</v>
      </c>
      <c r="C448" s="49" t="n">
        <v>1066550736</v>
      </c>
      <c r="D448" s="49" t="n">
        <v>1069464156</v>
      </c>
      <c r="E448" s="49" t="n">
        <v>1064145908</v>
      </c>
      <c r="F448" s="49" t="n">
        <v>0</v>
      </c>
      <c r="G448" s="50" t="n">
        <f aca="false">IF($A448="","",IF(ISNUMBER($G447),$G447+1,1))</f>
        <v>444</v>
      </c>
      <c r="H448" s="51" t="n">
        <f aca="false">IF(OR(NOT(ISNUMBER($G448)),$G448&lt;2,NOT(ISNUMBER($C447)),$C447=0),"",$C448/$C447-1)</f>
        <v>0.0103313616401945</v>
      </c>
      <c r="I448" s="52" t="n">
        <f aca="false">IF(AND(ISNUMBER($G448),$G448&gt;=MA_SHORT),AVERAGE(INDEX($C$48:$C448,402-MA_SHORT):$C448),"")</f>
        <v>1088931135.7</v>
      </c>
      <c r="J448" s="52" t="n">
        <f aca="false">IF(AND(ISNUMBER($G448),$G448&gt;=MA_MED),AVERAGE(INDEX($C$48:$C448,402-MA_MED):$C448),"")</f>
        <v>1075911747.4</v>
      </c>
      <c r="K448" s="52" t="n">
        <f aca="false">IF(AND(ISNUMBER($G448),$G448&gt;=MA_LONG2),AVERAGE(INDEX($C$48:$C448,402-MA_LONG2):$C448),"")</f>
        <v>959404022.21</v>
      </c>
      <c r="L448" s="53" t="n">
        <f aca="false">IF(AND(ISNUMBER($G448),$G448&gt;=21),STDEV(INDEX($H$388:$H448,62-20):$H448)*SQRT(245),"")</f>
        <v>0.191328173237527</v>
      </c>
      <c r="M448" s="52" t="n">
        <f aca="false">IF(AND(ISNUMBER($G448),$G448&gt;=60),MAX(INDEX($D$248:$D448,202-60):$D448),"")</f>
        <v>1147107872</v>
      </c>
      <c r="N448" s="52" t="n">
        <f aca="false">IF(AND(ISNUMBER($G448),$G448&gt;=60),MIN(INDEX($E$248:$E448,202-60):$E448),"")</f>
        <v>935902491</v>
      </c>
      <c r="O448" s="53" t="n">
        <f aca="false">IF(OR(NOT(ISNUMBER($C448)),NOT(ISNUMBER($M448)),$M448=0),"",$C448/$M448-1)</f>
        <v>-0.0702262951604956</v>
      </c>
      <c r="P448" s="54"/>
      <c r="Q448" s="53" t="str">
        <f aca="false">IF(NOT(ISNUMBER($P448)),"",IFERROR(PERCENTRANK($P$5:$P$1204,$P448),""))</f>
        <v/>
      </c>
    </row>
    <row r="449" customFormat="false" ht="15" hidden="false" customHeight="false" outlineLevel="0" collapsed="false">
      <c r="A449" s="47" t="n">
        <v>46190</v>
      </c>
      <c r="B449" s="48" t="s">
        <v>597</v>
      </c>
      <c r="C449" s="49" t="n">
        <v>1083784118</v>
      </c>
      <c r="D449" s="49" t="n">
        <v>1084928060</v>
      </c>
      <c r="E449" s="49" t="n">
        <v>1080311371</v>
      </c>
      <c r="F449" s="49" t="n">
        <v>0</v>
      </c>
      <c r="G449" s="50" t="n">
        <f aca="false">IF($A449="","",IF(ISNUMBER($G448),$G448+1,1))</f>
        <v>445</v>
      </c>
      <c r="H449" s="51" t="n">
        <f aca="false">IF(OR(NOT(ISNUMBER($G449)),$G449&lt;2,NOT(ISNUMBER($C448)),$C448=0),"",$C449/$C448-1)</f>
        <v>0.0161580517628559</v>
      </c>
      <c r="I449" s="52" t="n">
        <f aca="false">IF(AND(ISNUMBER($G449),$G449&gt;=MA_SHORT),AVERAGE(INDEX($C$49:$C449,402-MA_SHORT):$C449),"")</f>
        <v>1086611008.6</v>
      </c>
      <c r="J449" s="52" t="n">
        <f aca="false">IF(AND(ISNUMBER($G449),$G449&gt;=MA_MED),AVERAGE(INDEX($C$49:$C449,402-MA_MED):$C449),"")</f>
        <v>1077332910.6</v>
      </c>
      <c r="K449" s="52" t="n">
        <f aca="false">IF(AND(ISNUMBER($G449),$G449&gt;=MA_LONG2),AVERAGE(INDEX($C$49:$C449,402-MA_LONG2):$C449),"")</f>
        <v>960350811.36</v>
      </c>
      <c r="L449" s="53" t="n">
        <f aca="false">IF(AND(ISNUMBER($G449),$G449&gt;=21),STDEV(INDEX($H$389:$H449,62-20):$H449)*SQRT(245),"")</f>
        <v>0.200485603181615</v>
      </c>
      <c r="M449" s="52" t="n">
        <f aca="false">IF(AND(ISNUMBER($G449),$G449&gt;=60),MAX(INDEX($D$249:$D449,202-60):$D449),"")</f>
        <v>1147107872</v>
      </c>
      <c r="N449" s="52" t="n">
        <f aca="false">IF(AND(ISNUMBER($G449),$G449&gt;=60),MIN(INDEX($E$249:$E449,202-60):$E449),"")</f>
        <v>935902491</v>
      </c>
      <c r="O449" s="53" t="n">
        <f aca="false">IF(OR(NOT(ISNUMBER($C449)),NOT(ISNUMBER($M449)),$M449=0),"",$C449/$M449-1)</f>
        <v>-0.0552029635099567</v>
      </c>
      <c r="P449" s="54"/>
      <c r="Q449" s="53" t="str">
        <f aca="false">IF(NOT(ISNUMBER($P449)),"",IFERROR(PERCENTRANK($P$5:$P$1204,$P449),""))</f>
        <v/>
      </c>
    </row>
    <row r="450" customFormat="false" ht="15" hidden="false" customHeight="false" outlineLevel="0" collapsed="false">
      <c r="A450" s="47" t="n">
        <v>46193</v>
      </c>
      <c r="B450" s="48" t="s">
        <v>598</v>
      </c>
      <c r="C450" s="49" t="n">
        <v>1087107387</v>
      </c>
      <c r="D450" s="49" t="n">
        <v>1087395636</v>
      </c>
      <c r="E450" s="49" t="n">
        <v>1085524297</v>
      </c>
      <c r="F450" s="49" t="n">
        <v>0</v>
      </c>
      <c r="G450" s="50" t="n">
        <f aca="false">IF($A450="","",IF(ISNUMBER($G449),$G449+1,1))</f>
        <v>446</v>
      </c>
      <c r="H450" s="51" t="n">
        <f aca="false">IF(OR(NOT(ISNUMBER($G450)),$G450&lt;2,NOT(ISNUMBER($C449)),$C449=0),"",$C450/$C449-1)</f>
        <v>0.00306635698457436</v>
      </c>
      <c r="I450" s="52" t="n">
        <f aca="false">IF(AND(ISNUMBER($G450),$G450&gt;=MA_SHORT),AVERAGE(INDEX($C$50:$C450,402-MA_SHORT):$C450),"")</f>
        <v>1084519335.55</v>
      </c>
      <c r="J450" s="52" t="n">
        <f aca="false">IF(AND(ISNUMBER($G450),$G450&gt;=MA_MED),AVERAGE(INDEX($C$50:$C450,402-MA_MED):$C450),"")</f>
        <v>1078926544.26</v>
      </c>
      <c r="K450" s="52" t="n">
        <f aca="false">IF(AND(ISNUMBER($G450),$G450&gt;=MA_LONG2),AVERAGE(INDEX($C$50:$C450,402-MA_LONG2):$C450),"")</f>
        <v>961255438.07</v>
      </c>
      <c r="L450" s="53" t="n">
        <f aca="false">IF(AND(ISNUMBER($G450),$G450&gt;=21),STDEV(INDEX($H$390:$H450,62-20):$H450)*SQRT(245),"")</f>
        <v>0.201259842105847</v>
      </c>
      <c r="M450" s="52" t="n">
        <f aca="false">IF(AND(ISNUMBER($G450),$G450&gt;=60),MAX(INDEX($D$250:$D450,202-60):$D450),"")</f>
        <v>1147107872</v>
      </c>
      <c r="N450" s="52" t="n">
        <f aca="false">IF(AND(ISNUMBER($G450),$G450&gt;=60),MIN(INDEX($E$250:$E450,202-60):$E450),"")</f>
        <v>935902491</v>
      </c>
      <c r="O450" s="53" t="n">
        <f aca="false">IF(OR(NOT(ISNUMBER($C450)),NOT(ISNUMBER($M450)),$M450=0),"",$C450/$M450-1)</f>
        <v>-0.0523058785181103</v>
      </c>
      <c r="P450" s="54"/>
      <c r="Q450" s="53" t="str">
        <f aca="false">IF(NOT(ISNUMBER($P450)),"",IFERROR(PERCENTRANK($P$5:$P$1204,$P450),""))</f>
        <v/>
      </c>
    </row>
    <row r="451" customFormat="false" ht="15" hidden="false" customHeight="false" outlineLevel="0" collapsed="false">
      <c r="A451" s="47" t="n">
        <v>46194</v>
      </c>
      <c r="B451" s="48" t="s">
        <v>599</v>
      </c>
      <c r="C451" s="49" t="n">
        <v>1095334470</v>
      </c>
      <c r="D451" s="49" t="n">
        <v>1095731634</v>
      </c>
      <c r="E451" s="49" t="n">
        <v>1094203456</v>
      </c>
      <c r="F451" s="49" t="n">
        <v>0</v>
      </c>
      <c r="G451" s="50" t="n">
        <f aca="false">IF($A451="","",IF(ISNUMBER($G450),$G450+1,1))</f>
        <v>447</v>
      </c>
      <c r="H451" s="51" t="n">
        <f aca="false">IF(OR(NOT(ISNUMBER($G451)),$G451&lt;2,NOT(ISNUMBER($C450)),$C450=0),"",$C451/$C450-1)</f>
        <v>0.00756786597017212</v>
      </c>
      <c r="I451" s="52" t="n">
        <f aca="false">IF(AND(ISNUMBER($G451),$G451&gt;=MA_SHORT),AVERAGE(INDEX($C$51:$C451,402-MA_SHORT):$C451),"")</f>
        <v>1082459530.7</v>
      </c>
      <c r="J451" s="52" t="n">
        <f aca="false">IF(AND(ISNUMBER($G451),$G451&gt;=MA_MED),AVERAGE(INDEX($C$51:$C451,402-MA_MED):$C451),"")</f>
        <v>1080387272.96</v>
      </c>
      <c r="K451" s="52" t="n">
        <f aca="false">IF(AND(ISNUMBER($G451),$G451&gt;=MA_LONG2),AVERAGE(INDEX($C$51:$C451,402-MA_LONG2):$C451),"")</f>
        <v>962247137.825</v>
      </c>
      <c r="L451" s="53" t="n">
        <f aca="false">IF(AND(ISNUMBER($G451),$G451&gt;=21),STDEV(INDEX($H$391:$H451,62-20):$H451)*SQRT(245),"")</f>
        <v>0.201742793362101</v>
      </c>
      <c r="M451" s="52" t="n">
        <f aca="false">IF(AND(ISNUMBER($G451),$G451&gt;=60),MAX(INDEX($D$251:$D451,202-60):$D451),"")</f>
        <v>1147107872</v>
      </c>
      <c r="N451" s="52" t="n">
        <f aca="false">IF(AND(ISNUMBER($G451),$G451&gt;=60),MIN(INDEX($E$251:$E451,202-60):$E451),"")</f>
        <v>935902491</v>
      </c>
      <c r="O451" s="53" t="n">
        <f aca="false">IF(OR(NOT(ISNUMBER($C451)),NOT(ISNUMBER($M451)),$M451=0),"",$C451/$M451-1)</f>
        <v>-0.0451338564260153</v>
      </c>
      <c r="P451" s="54"/>
      <c r="Q451" s="53" t="str">
        <f aca="false">IF(NOT(ISNUMBER($P451)),"",IFERROR(PERCENTRANK($P$5:$P$1204,$P451),""))</f>
        <v/>
      </c>
    </row>
    <row r="452" customFormat="false" ht="15" hidden="false" customHeight="false" outlineLevel="0" collapsed="false">
      <c r="A452" s="47" t="n">
        <v>46195</v>
      </c>
      <c r="B452" s="48" t="s">
        <v>600</v>
      </c>
      <c r="C452" s="49" t="n">
        <v>1095914551</v>
      </c>
      <c r="D452" s="49" t="n">
        <v>1096927906</v>
      </c>
      <c r="E452" s="49" t="n">
        <v>1091184879</v>
      </c>
      <c r="F452" s="49" t="n">
        <v>0</v>
      </c>
      <c r="G452" s="50" t="n">
        <f aca="false">IF($A452="","",IF(ISNUMBER($G451),$G451+1,1))</f>
        <v>448</v>
      </c>
      <c r="H452" s="51" t="n">
        <f aca="false">IF(OR(NOT(ISNUMBER($G452)),$G452&lt;2,NOT(ISNUMBER($C451)),$C451=0),"",$C452/$C451-1)</f>
        <v>0.000529592572759974</v>
      </c>
      <c r="I452" s="52" t="n">
        <f aca="false">IF(AND(ISNUMBER($G452),$G452&gt;=MA_SHORT),AVERAGE(INDEX($C$52:$C452,402-MA_SHORT):$C452),"")</f>
        <v>1081150509.65</v>
      </c>
      <c r="J452" s="52" t="n">
        <f aca="false">IF(AND(ISNUMBER($G452),$G452&gt;=MA_MED),AVERAGE(INDEX($C$52:$C452,402-MA_MED):$C452),"")</f>
        <v>1082249171.36</v>
      </c>
      <c r="K452" s="52" t="n">
        <f aca="false">IF(AND(ISNUMBER($G452),$G452&gt;=MA_LONG2),AVERAGE(INDEX($C$52:$C452,402-MA_LONG2):$C452),"")</f>
        <v>963274068.695</v>
      </c>
      <c r="L452" s="53" t="n">
        <f aca="false">IF(AND(ISNUMBER($G452),$G452&gt;=21),STDEV(INDEX($H$392:$H452,62-20):$H452)*SQRT(245),"")</f>
        <v>0.197769586006561</v>
      </c>
      <c r="M452" s="52" t="n">
        <f aca="false">IF(AND(ISNUMBER($G452),$G452&gt;=60),MAX(INDEX($D$252:$D452,202-60):$D452),"")</f>
        <v>1147107872</v>
      </c>
      <c r="N452" s="52" t="n">
        <f aca="false">IF(AND(ISNUMBER($G452),$G452&gt;=60),MIN(INDEX($E$252:$E452,202-60):$E452),"")</f>
        <v>935902491</v>
      </c>
      <c r="O452" s="53" t="n">
        <f aca="false">IF(OR(NOT(ISNUMBER($C452)),NOT(ISNUMBER($M452)),$M452=0),"",$C452/$M452-1)</f>
        <v>-0.0446281664083986</v>
      </c>
      <c r="P452" s="54"/>
      <c r="Q452" s="53" t="str">
        <f aca="false">IF(NOT(ISNUMBER($P452)),"",IFERROR(PERCENTRANK($P$5:$P$1204,$P452),""))</f>
        <v/>
      </c>
    </row>
    <row r="453" customFormat="false" ht="15" hidden="false" customHeight="false" outlineLevel="0" collapsed="false">
      <c r="A453" s="47" t="n">
        <v>46196</v>
      </c>
      <c r="B453" s="48" t="s">
        <v>601</v>
      </c>
      <c r="C453" s="49" t="n">
        <v>1086547037</v>
      </c>
      <c r="D453" s="49" t="n">
        <v>1088485398</v>
      </c>
      <c r="E453" s="49" t="n">
        <v>1078711746</v>
      </c>
      <c r="F453" s="49" t="n">
        <v>0</v>
      </c>
      <c r="G453" s="50" t="n">
        <f aca="false">IF($A453="","",IF(ISNUMBER($G452),$G452+1,1))</f>
        <v>449</v>
      </c>
      <c r="H453" s="51" t="n">
        <f aca="false">IF(OR(NOT(ISNUMBER($G453)),$G453&lt;2,NOT(ISNUMBER($C452)),$C452=0),"",$C453/$C452-1)</f>
        <v>-0.00854766823878039</v>
      </c>
      <c r="I453" s="52" t="n">
        <f aca="false">IF(AND(ISNUMBER($G453),$G453&gt;=MA_SHORT),AVERAGE(INDEX($C$53:$C453,402-MA_SHORT):$C453),"")</f>
        <v>1080137160.1</v>
      </c>
      <c r="J453" s="52" t="n">
        <f aca="false">IF(AND(ISNUMBER($G453),$G453&gt;=MA_MED),AVERAGE(INDEX($C$53:$C453,402-MA_MED):$C453),"")</f>
        <v>1083712223.34</v>
      </c>
      <c r="K453" s="52" t="n">
        <f aca="false">IF(AND(ISNUMBER($G453),$G453&gt;=MA_LONG2),AVERAGE(INDEX($C$53:$C453,402-MA_LONG2):$C453),"")</f>
        <v>964231215.02</v>
      </c>
      <c r="L453" s="53" t="n">
        <f aca="false">IF(AND(ISNUMBER($G453),$G453&gt;=21),STDEV(INDEX($H$393:$H453,62-20):$H453)*SQRT(245),"")</f>
        <v>0.194399619040393</v>
      </c>
      <c r="M453" s="52" t="n">
        <f aca="false">IF(AND(ISNUMBER($G453),$G453&gt;=60),MAX(INDEX($D$253:$D453,202-60):$D453),"")</f>
        <v>1147107872</v>
      </c>
      <c r="N453" s="52" t="n">
        <f aca="false">IF(AND(ISNUMBER($G453),$G453&gt;=60),MIN(INDEX($E$253:$E453,202-60):$E453),"")</f>
        <v>958074068</v>
      </c>
      <c r="O453" s="53" t="n">
        <f aca="false">IF(OR(NOT(ISNUMBER($C453)),NOT(ISNUMBER($M453)),$M453=0),"",$C453/$M453-1)</f>
        <v>-0.052794367886615</v>
      </c>
      <c r="P453" s="54"/>
      <c r="Q453" s="53" t="str">
        <f aca="false">IF(NOT(ISNUMBER($P453)),"",IFERROR(PERCENTRANK($P$5:$P$1204,$P453),""))</f>
        <v/>
      </c>
    </row>
    <row r="454" customFormat="false" ht="15" hidden="false" customHeight="false" outlineLevel="0" collapsed="false">
      <c r="A454" s="47" t="n">
        <v>46197</v>
      </c>
      <c r="B454" s="48" t="s">
        <v>602</v>
      </c>
      <c r="C454" s="49" t="n">
        <v>1084448576</v>
      </c>
      <c r="D454" s="49" t="n">
        <v>1088255601</v>
      </c>
      <c r="E454" s="49" t="n">
        <v>1081849035</v>
      </c>
      <c r="F454" s="49" t="n">
        <v>0</v>
      </c>
      <c r="G454" s="50" t="n">
        <f aca="false">IF($A454="","",IF(ISNUMBER($G453),$G453+1,1))</f>
        <v>450</v>
      </c>
      <c r="H454" s="51" t="n">
        <f aca="false">IF(OR(NOT(ISNUMBER($G454)),$G454&lt;2,NOT(ISNUMBER($C453)),$C453=0),"",$C454/$C453-1)</f>
        <v>-0.0019313116952524</v>
      </c>
      <c r="I454" s="52" t="n">
        <f aca="false">IF(AND(ISNUMBER($G454),$G454&gt;=MA_SHORT),AVERAGE(INDEX($C$54:$C454,402-MA_SHORT):$C454),"")</f>
        <v>1079530735.2</v>
      </c>
      <c r="J454" s="52" t="n">
        <f aca="false">IF(AND(ISNUMBER($G454),$G454&gt;=MA_MED),AVERAGE(INDEX($C$54:$C454,402-MA_MED):$C454),"")</f>
        <v>1084709225.42</v>
      </c>
      <c r="K454" s="52" t="n">
        <f aca="false">IF(AND(ISNUMBER($G454),$G454&gt;=MA_LONG2),AVERAGE(INDEX($C$54:$C454,402-MA_LONG2):$C454),"")</f>
        <v>965215225.52</v>
      </c>
      <c r="L454" s="53" t="n">
        <f aca="false">IF(AND(ISNUMBER($G454),$G454&gt;=21),STDEV(INDEX($H$394:$H454,62-20):$H454)*SQRT(245),"")</f>
        <v>0.191994952603663</v>
      </c>
      <c r="M454" s="52" t="n">
        <f aca="false">IF(AND(ISNUMBER($G454),$G454&gt;=60),MAX(INDEX($D$254:$D454,202-60):$D454),"")</f>
        <v>1147107872</v>
      </c>
      <c r="N454" s="52" t="n">
        <f aca="false">IF(AND(ISNUMBER($G454),$G454&gt;=60),MIN(INDEX($E$254:$E454,202-60):$E454),"")</f>
        <v>963190855</v>
      </c>
      <c r="O454" s="53" t="n">
        <f aca="false">IF(OR(NOT(ISNUMBER($C454)),NOT(ISNUMBER($M454)),$M454=0),"",$C454/$M454-1)</f>
        <v>-0.0546237172017245</v>
      </c>
      <c r="P454" s="54"/>
      <c r="Q454" s="53" t="str">
        <f aca="false">IF(NOT(ISNUMBER($P454)),"",IFERROR(PERCENTRANK($P$5:$P$1204,$P454),""))</f>
        <v/>
      </c>
    </row>
    <row r="455" customFormat="false" ht="15" hidden="false" customHeight="false" outlineLevel="0" collapsed="false">
      <c r="A455" s="47" t="n">
        <v>46200</v>
      </c>
      <c r="B455" s="48" t="s">
        <v>603</v>
      </c>
      <c r="C455" s="49" t="n">
        <v>1092576905</v>
      </c>
      <c r="D455" s="49" t="n">
        <v>1093832966</v>
      </c>
      <c r="E455" s="49" t="n">
        <v>1088309154</v>
      </c>
      <c r="F455" s="49" t="n">
        <v>0</v>
      </c>
      <c r="G455" s="50" t="n">
        <f aca="false">IF($A455="","",IF(ISNUMBER($G454),$G454+1,1))</f>
        <v>451</v>
      </c>
      <c r="H455" s="51" t="n">
        <f aca="false">IF(OR(NOT(ISNUMBER($G455)),$G455&lt;2,NOT(ISNUMBER($C454)),$C454=0),"",$C455/$C454-1)</f>
        <v>0.00749535679227997</v>
      </c>
      <c r="I455" s="52" t="n">
        <f aca="false">IF(AND(ISNUMBER($G455),$G455&gt;=MA_SHORT),AVERAGE(INDEX($C$55:$C455,402-MA_SHORT):$C455),"")</f>
        <v>1080582741.75</v>
      </c>
      <c r="J455" s="52" t="n">
        <f aca="false">IF(AND(ISNUMBER($G455),$G455&gt;=MA_MED),AVERAGE(INDEX($C$55:$C455,402-MA_MED):$C455),"")</f>
        <v>1086086526.18</v>
      </c>
      <c r="K455" s="52" t="n">
        <f aca="false">IF(AND(ISNUMBER($G455),$G455&gt;=MA_LONG2),AVERAGE(INDEX($C$55:$C455,402-MA_LONG2):$C455),"")</f>
        <v>966203916.78</v>
      </c>
      <c r="L455" s="53" t="n">
        <f aca="false">IF(AND(ISNUMBER($G455),$G455&gt;=21),STDEV(INDEX($H$395:$H455,62-20):$H455)*SQRT(245),"")</f>
        <v>0.175065795150509</v>
      </c>
      <c r="M455" s="52" t="n">
        <f aca="false">IF(AND(ISNUMBER($G455),$G455&gt;=60),MAX(INDEX($D$255:$D455,202-60):$D455),"")</f>
        <v>1147107872</v>
      </c>
      <c r="N455" s="52" t="n">
        <f aca="false">IF(AND(ISNUMBER($G455),$G455&gt;=60),MIN(INDEX($E$255:$E455,202-60):$E455),"")</f>
        <v>963190855</v>
      </c>
      <c r="O455" s="53" t="n">
        <f aca="false">IF(OR(NOT(ISNUMBER($C455)),NOT(ISNUMBER($M455)),$M455=0),"",$C455/$M455-1)</f>
        <v>-0.047537784659192</v>
      </c>
      <c r="P455" s="54"/>
      <c r="Q455" s="53" t="str">
        <f aca="false">IF(NOT(ISNUMBER($P455)),"",IFERROR(PERCENTRANK($P$5:$P$1204,$P455),""))</f>
        <v/>
      </c>
    </row>
    <row r="456" customFormat="false" ht="15" hidden="false" customHeight="false" outlineLevel="0" collapsed="false">
      <c r="A456" s="47" t="n">
        <v>46201</v>
      </c>
      <c r="B456" s="48" t="s">
        <v>604</v>
      </c>
      <c r="C456" s="49" t="n">
        <v>1079520717</v>
      </c>
      <c r="D456" s="49" t="n">
        <v>1084383975</v>
      </c>
      <c r="E456" s="49" t="n">
        <v>1077342989</v>
      </c>
      <c r="F456" s="49" t="n">
        <v>0</v>
      </c>
      <c r="G456" s="50" t="n">
        <f aca="false">IF($A456="","",IF(ISNUMBER($G455),$G455+1,1))</f>
        <v>452</v>
      </c>
      <c r="H456" s="51" t="n">
        <f aca="false">IF(OR(NOT(ISNUMBER($G456)),$G456&lt;2,NOT(ISNUMBER($C455)),$C455=0),"",$C456/$C455-1)</f>
        <v>-0.0119499029681577</v>
      </c>
      <c r="I456" s="52" t="n">
        <f aca="false">IF(AND(ISNUMBER($G456),$G456&gt;=MA_SHORT),AVERAGE(INDEX($C$56:$C456,402-MA_SHORT):$C456),"")</f>
        <v>1080240691.2</v>
      </c>
      <c r="J456" s="52" t="n">
        <f aca="false">IF(AND(ISNUMBER($G456),$G456&gt;=MA_MED),AVERAGE(INDEX($C$56:$C456,402-MA_MED):$C456),"")</f>
        <v>1086987050</v>
      </c>
      <c r="K456" s="52" t="n">
        <f aca="false">IF(AND(ISNUMBER($G456),$G456&gt;=MA_LONG2),AVERAGE(INDEX($C$56:$C456,402-MA_LONG2):$C456),"")</f>
        <v>967081549.805</v>
      </c>
      <c r="L456" s="53" t="n">
        <f aca="false">IF(AND(ISNUMBER($G456),$G456&gt;=21),STDEV(INDEX($H$396:$H456,62-20):$H456)*SQRT(245),"")</f>
        <v>0.174009343643284</v>
      </c>
      <c r="M456" s="52" t="n">
        <f aca="false">IF(AND(ISNUMBER($G456),$G456&gt;=60),MAX(INDEX($D$256:$D456,202-60):$D456),"")</f>
        <v>1147107872</v>
      </c>
      <c r="N456" s="52" t="n">
        <f aca="false">IF(AND(ISNUMBER($G456),$G456&gt;=60),MIN(INDEX($E$256:$E456,202-60):$E456),"")</f>
        <v>988002082</v>
      </c>
      <c r="O456" s="53" t="n">
        <f aca="false">IF(OR(NOT(ISNUMBER($C456)),NOT(ISNUMBER($M456)),$M456=0),"",$C456/$M456-1)</f>
        <v>-0.0589196157133511</v>
      </c>
      <c r="P456" s="54"/>
      <c r="Q456" s="53" t="str">
        <f aca="false">IF(NOT(ISNUMBER($P456)),"",IFERROR(PERCENTRANK($P$5:$P$1204,$P456),""))</f>
        <v/>
      </c>
    </row>
    <row r="457" customFormat="false" ht="15" hidden="false" customHeight="false" outlineLevel="0" collapsed="false">
      <c r="A457" s="47" t="n">
        <v>46202</v>
      </c>
      <c r="B457" s="48" t="s">
        <v>605</v>
      </c>
      <c r="C457" s="49" t="n">
        <v>1075340926</v>
      </c>
      <c r="D457" s="49" t="n">
        <v>1076355202</v>
      </c>
      <c r="E457" s="49" t="n">
        <v>1075319717</v>
      </c>
      <c r="F457" s="49" t="n">
        <v>0</v>
      </c>
      <c r="G457" s="50" t="n">
        <f aca="false">IF($A457="","",IF(ISNUMBER($G456),$G456+1,1))</f>
        <v>453</v>
      </c>
      <c r="H457" s="51" t="n">
        <f aca="false">IF(OR(NOT(ISNUMBER($G457)),$G457&lt;2,NOT(ISNUMBER($C456)),$C456=0),"",$C457/$C456-1)</f>
        <v>-0.00387189512362085</v>
      </c>
      <c r="I457" s="52" t="n">
        <f aca="false">IF(AND(ISNUMBER($G457),$G457&gt;=MA_SHORT),AVERAGE(INDEX($C$57:$C457,402-MA_SHORT):$C457),"")</f>
        <v>1079962785.3</v>
      </c>
      <c r="J457" s="52" t="n">
        <f aca="false">IF(AND(ISNUMBER($G457),$G457&gt;=MA_MED),AVERAGE(INDEX($C$57:$C457,402-MA_MED):$C457),"")</f>
        <v>1087533610.58</v>
      </c>
      <c r="K457" s="52" t="n">
        <f aca="false">IF(AND(ISNUMBER($G457),$G457&gt;=MA_LONG2),AVERAGE(INDEX($C$57:$C457,402-MA_LONG2):$C457),"")</f>
        <v>967880125.185</v>
      </c>
      <c r="L457" s="53" t="n">
        <f aca="false">IF(AND(ISNUMBER($G457),$G457&gt;=21),STDEV(INDEX($H$397:$H457,62-20):$H457)*SQRT(245),"")</f>
        <v>0.173647083369193</v>
      </c>
      <c r="M457" s="52" t="n">
        <f aca="false">IF(AND(ISNUMBER($G457),$G457&gt;=60),MAX(INDEX($D$257:$D457,202-60):$D457),"")</f>
        <v>1147107872</v>
      </c>
      <c r="N457" s="52" t="n">
        <f aca="false">IF(AND(ISNUMBER($G457),$G457&gt;=60),MIN(INDEX($E$257:$E457,202-60):$E457),"")</f>
        <v>996045355</v>
      </c>
      <c r="O457" s="53" t="n">
        <f aca="false">IF(OR(NOT(ISNUMBER($C457)),NOT(ISNUMBER($M457)),$M457=0),"",$C457/$M457-1)</f>
        <v>-0.0625633802642058</v>
      </c>
      <c r="P457" s="54"/>
      <c r="Q457" s="53" t="str">
        <f aca="false">IF(NOT(ISNUMBER($P457)),"",IFERROR(PERCENTRANK($P$5:$P$1204,$P457),""))</f>
        <v/>
      </c>
    </row>
    <row r="458" customFormat="false" ht="15" hidden="false" customHeight="false" outlineLevel="0" collapsed="false">
      <c r="A458" s="47" t="n">
        <v>46203</v>
      </c>
      <c r="B458" s="48" t="s">
        <v>606</v>
      </c>
      <c r="C458" s="49" t="n">
        <v>1089367677</v>
      </c>
      <c r="D458" s="49" t="n">
        <v>1089697744</v>
      </c>
      <c r="E458" s="49" t="n">
        <v>1087553526</v>
      </c>
      <c r="F458" s="49" t="n">
        <v>0</v>
      </c>
      <c r="G458" s="50" t="n">
        <f aca="false">IF($A458="","",IF(ISNUMBER($G457),$G457+1,1))</f>
        <v>454</v>
      </c>
      <c r="H458" s="51" t="n">
        <f aca="false">IF(OR(NOT(ISNUMBER($G458)),$G458&lt;2,NOT(ISNUMBER($C457)),$C457=0),"",$C458/$C457-1)</f>
        <v>0.0130440036837209</v>
      </c>
      <c r="I458" s="52" t="n">
        <f aca="false">IF(AND(ISNUMBER($G458),$G458&gt;=MA_SHORT),AVERAGE(INDEX($C$58:$C458,402-MA_SHORT):$C458),"")</f>
        <v>1080344849.2</v>
      </c>
      <c r="J458" s="52" t="n">
        <f aca="false">IF(AND(ISNUMBER($G458),$G458&gt;=MA_MED),AVERAGE(INDEX($C$58:$C458,402-MA_MED):$C458),"")</f>
        <v>1088252593.72</v>
      </c>
      <c r="K458" s="52" t="n">
        <f aca="false">IF(AND(ISNUMBER($G458),$G458&gt;=MA_LONG2),AVERAGE(INDEX($C$58:$C458,402-MA_LONG2):$C458),"")</f>
        <v>968737102.85</v>
      </c>
      <c r="L458" s="53" t="n">
        <f aca="false">IF(AND(ISNUMBER($G458),$G458&gt;=21),STDEV(INDEX($H$398:$H458,62-20):$H458)*SQRT(245),"")</f>
        <v>0.179737207129897</v>
      </c>
      <c r="M458" s="52" t="n">
        <f aca="false">IF(AND(ISNUMBER($G458),$G458&gt;=60),MAX(INDEX($D$258:$D458,202-60):$D458),"")</f>
        <v>1147107872</v>
      </c>
      <c r="N458" s="52" t="n">
        <f aca="false">IF(AND(ISNUMBER($G458),$G458&gt;=60),MIN(INDEX($E$258:$E458,202-60):$E458),"")</f>
        <v>999265875</v>
      </c>
      <c r="O458" s="53" t="n">
        <f aca="false">IF(OR(NOT(ISNUMBER($C458)),NOT(ISNUMBER($M458)),$M458=0),"",$C458/$M458-1)</f>
        <v>-0.0503354535431172</v>
      </c>
      <c r="P458" s="54"/>
      <c r="Q458" s="53" t="str">
        <f aca="false">IF(NOT(ISNUMBER($P458)),"",IFERROR(PERCENTRANK($P$5:$P$1204,$P458),""))</f>
        <v/>
      </c>
    </row>
    <row r="459" customFormat="false" ht="15" hidden="false" customHeight="false" outlineLevel="0" collapsed="false">
      <c r="A459" s="47" t="n">
        <v>46204</v>
      </c>
      <c r="B459" s="48" t="s">
        <v>607</v>
      </c>
      <c r="C459" s="49" t="n">
        <v>1086909650</v>
      </c>
      <c r="D459" s="49" t="n">
        <v>1091332837</v>
      </c>
      <c r="E459" s="49" t="n">
        <v>1086668411</v>
      </c>
      <c r="F459" s="49" t="n">
        <v>0</v>
      </c>
      <c r="G459" s="50" t="n">
        <f aca="false">IF($A459="","",IF(ISNUMBER($G458),$G458+1,1))</f>
        <v>455</v>
      </c>
      <c r="H459" s="51" t="n">
        <f aca="false">IF(OR(NOT(ISNUMBER($G459)),$G459&lt;2,NOT(ISNUMBER($C458)),$C458=0),"",$C459/$C458-1)</f>
        <v>-0.0022563795969871</v>
      </c>
      <c r="I459" s="52" t="n">
        <f aca="false">IF(AND(ISNUMBER($G459),$G459&gt;=MA_SHORT),AVERAGE(INDEX($C$59:$C459,402-MA_SHORT):$C459),"")</f>
        <v>1080265130.25</v>
      </c>
      <c r="J459" s="52" t="n">
        <f aca="false">IF(AND(ISNUMBER($G459),$G459&gt;=MA_MED),AVERAGE(INDEX($C$59:$C459,402-MA_MED):$C459),"")</f>
        <v>1088839199.1</v>
      </c>
      <c r="K459" s="52" t="n">
        <f aca="false">IF(AND(ISNUMBER($G459),$G459&gt;=MA_LONG2),AVERAGE(INDEX($C$59:$C459,402-MA_LONG2):$C459),"")</f>
        <v>969604590.08</v>
      </c>
      <c r="L459" s="53" t="n">
        <f aca="false">IF(AND(ISNUMBER($G459),$G459&gt;=21),STDEV(INDEX($H$399:$H459,62-20):$H459)*SQRT(245),"")</f>
        <v>0.178631836356038</v>
      </c>
      <c r="M459" s="52" t="n">
        <f aca="false">IF(AND(ISNUMBER($G459),$G459&gt;=60),MAX(INDEX($D$259:$D459,202-60):$D459),"")</f>
        <v>1147107872</v>
      </c>
      <c r="N459" s="52" t="n">
        <f aca="false">IF(AND(ISNUMBER($G459),$G459&gt;=60),MIN(INDEX($E$259:$E459,202-60):$E459),"")</f>
        <v>999265875</v>
      </c>
      <c r="O459" s="53" t="n">
        <f aca="false">IF(OR(NOT(ISNUMBER($C459)),NOT(ISNUMBER($M459)),$M459=0),"",$C459/$M459-1)</f>
        <v>-0.0524782572497244</v>
      </c>
      <c r="P459" s="54"/>
      <c r="Q459" s="53" t="str">
        <f aca="false">IF(NOT(ISNUMBER($P459)),"",IFERROR(PERCENTRANK($P$5:$P$1204,$P459),""))</f>
        <v/>
      </c>
    </row>
    <row r="460" customFormat="false" ht="15" hidden="false" customHeight="false" outlineLevel="0" collapsed="false">
      <c r="A460" s="47" t="n">
        <v>46207</v>
      </c>
      <c r="B460" s="48" t="s">
        <v>608</v>
      </c>
      <c r="C460" s="49" t="n">
        <v>1073814974</v>
      </c>
      <c r="D460" s="49" t="n">
        <v>1076815725</v>
      </c>
      <c r="E460" s="49" t="n">
        <v>1072662775</v>
      </c>
      <c r="F460" s="49" t="n">
        <v>0</v>
      </c>
      <c r="G460" s="50" t="n">
        <f aca="false">IF($A460="","",IF(ISNUMBER($G459),$G459+1,1))</f>
        <v>456</v>
      </c>
      <c r="H460" s="51" t="n">
        <f aca="false">IF(OR(NOT(ISNUMBER($G460)),$G460&lt;2,NOT(ISNUMBER($C459)),$C459=0),"",$C460/$C459-1)</f>
        <v>-0.0120476214375316</v>
      </c>
      <c r="I460" s="52" t="n">
        <f aca="false">IF(AND(ISNUMBER($G460),$G460&gt;=MA_SHORT),AVERAGE(INDEX($C$60:$C460,402-MA_SHORT):$C460),"")</f>
        <v>1079817934.9</v>
      </c>
      <c r="J460" s="52" t="n">
        <f aca="false">IF(AND(ISNUMBER($G460),$G460&gt;=MA_MED),AVERAGE(INDEX($C$60:$C460,402-MA_MED):$C460),"")</f>
        <v>1088866174.92</v>
      </c>
      <c r="K460" s="52" t="n">
        <f aca="false">IF(AND(ISNUMBER($G460),$G460&gt;=MA_LONG2),AVERAGE(INDEX($C$60:$C460,402-MA_LONG2):$C460),"")</f>
        <v>970476833.465</v>
      </c>
      <c r="L460" s="53" t="n">
        <f aca="false">IF(AND(ISNUMBER($G460),$G460&gt;=21),STDEV(INDEX($H$400:$H460,62-20):$H460)*SQRT(245),"")</f>
        <v>0.182730075637476</v>
      </c>
      <c r="M460" s="52" t="n">
        <f aca="false">IF(AND(ISNUMBER($G460),$G460&gt;=60),MAX(INDEX($D$260:$D460,202-60):$D460),"")</f>
        <v>1147107872</v>
      </c>
      <c r="N460" s="52" t="n">
        <f aca="false">IF(AND(ISNUMBER($G460),$G460&gt;=60),MIN(INDEX($E$260:$E460,202-60):$E460),"")</f>
        <v>999265875</v>
      </c>
      <c r="O460" s="53" t="n">
        <f aca="false">IF(OR(NOT(ISNUMBER($C460)),NOT(ISNUMBER($M460)),$M460=0),"",$C460/$M460-1)</f>
        <v>-0.06389364051021</v>
      </c>
      <c r="P460" s="54"/>
      <c r="Q460" s="53" t="str">
        <f aca="false">IF(NOT(ISNUMBER($P460)),"",IFERROR(PERCENTRANK($P$5:$P$1204,$P460),""))</f>
        <v/>
      </c>
    </row>
    <row r="461" customFormat="false" ht="15" hidden="false" customHeight="false" outlineLevel="0" collapsed="false">
      <c r="A461" s="47" t="n">
        <v>46208</v>
      </c>
      <c r="B461" s="48" t="s">
        <v>609</v>
      </c>
      <c r="C461" s="49" t="n">
        <v>1060188034</v>
      </c>
      <c r="D461" s="49" t="n">
        <v>1060533534</v>
      </c>
      <c r="E461" s="49" t="n">
        <v>1059614455</v>
      </c>
      <c r="F461" s="49" t="n">
        <v>0</v>
      </c>
      <c r="G461" s="50" t="n">
        <f aca="false">IF($A461="","",IF(ISNUMBER($G460),$G460+1,1))</f>
        <v>457</v>
      </c>
      <c r="H461" s="51" t="n">
        <f aca="false">IF(OR(NOT(ISNUMBER($G461)),$G461&lt;2,NOT(ISNUMBER($C460)),$C460=0),"",$C461/$C460-1)</f>
        <v>-0.012690212308401</v>
      </c>
      <c r="I461" s="52" t="n">
        <f aca="false">IF(AND(ISNUMBER($G461),$G461&gt;=MA_SHORT),AVERAGE(INDEX($C$61:$C461,402-MA_SHORT):$C461),"")</f>
        <v>1077929697.65</v>
      </c>
      <c r="J461" s="52" t="n">
        <f aca="false">IF(AND(ISNUMBER($G461),$G461&gt;=MA_MED),AVERAGE(INDEX($C$61:$C461,402-MA_MED):$C461),"")</f>
        <v>1088701025.74</v>
      </c>
      <c r="K461" s="52" t="n">
        <f aca="false">IF(AND(ISNUMBER($G461),$G461&gt;=MA_LONG2),AVERAGE(INDEX($C$61:$C461,402-MA_LONG2):$C461),"")</f>
        <v>971296848.115</v>
      </c>
      <c r="L461" s="53" t="n">
        <f aca="false">IF(AND(ISNUMBER($G461),$G461&gt;=21),STDEV(INDEX($H$401:$H461,62-20):$H461)*SQRT(245),"")</f>
        <v>0.17951753559762</v>
      </c>
      <c r="M461" s="52" t="n">
        <f aca="false">IF(AND(ISNUMBER($G461),$G461&gt;=60),MAX(INDEX($D$261:$D461,202-60):$D461),"")</f>
        <v>1147107872</v>
      </c>
      <c r="N461" s="52" t="n">
        <f aca="false">IF(AND(ISNUMBER($G461),$G461&gt;=60),MIN(INDEX($E$261:$E461,202-60):$E461),"")</f>
        <v>999265875</v>
      </c>
      <c r="O461" s="53" t="n">
        <f aca="false">IF(OR(NOT(ISNUMBER($C461)),NOT(ISNUMBER($M461)),$M461=0),"",$C461/$M461-1)</f>
        <v>-0.0757730289553797</v>
      </c>
      <c r="P461" s="54"/>
      <c r="Q461" s="53" t="str">
        <f aca="false">IF(NOT(ISNUMBER($P461)),"",IFERROR(PERCENTRANK($P$5:$P$1204,$P461),""))</f>
        <v/>
      </c>
    </row>
    <row r="462" customFormat="false" ht="15" hidden="false" customHeight="false" outlineLevel="0" collapsed="false">
      <c r="A462" s="47" t="n">
        <v>46209</v>
      </c>
      <c r="B462" s="48" t="s">
        <v>610</v>
      </c>
      <c r="C462" s="49" t="n">
        <v>1054084898</v>
      </c>
      <c r="D462" s="49" t="n">
        <v>1058529735</v>
      </c>
      <c r="E462" s="49" t="n">
        <v>1052766551</v>
      </c>
      <c r="F462" s="49" t="n">
        <v>0</v>
      </c>
      <c r="G462" s="50" t="n">
        <f aca="false">IF($A462="","",IF(ISNUMBER($G461),$G461+1,1))</f>
        <v>458</v>
      </c>
      <c r="H462" s="51" t="n">
        <f aca="false">IF(OR(NOT(ISNUMBER($G462)),$G462&lt;2,NOT(ISNUMBER($C461)),$C461=0),"",$C462/$C461-1)</f>
        <v>-0.00575665429553418</v>
      </c>
      <c r="I462" s="52" t="n">
        <f aca="false">IF(AND(ISNUMBER($G462),$G462&gt;=MA_SHORT),AVERAGE(INDEX($C$62:$C462,402-MA_SHORT):$C462),"")</f>
        <v>1075758538.3</v>
      </c>
      <c r="J462" s="52" t="n">
        <f aca="false">IF(AND(ISNUMBER($G462),$G462&gt;=MA_MED),AVERAGE(INDEX($C$62:$C462,402-MA_MED):$C462),"")</f>
        <v>1088116687.7</v>
      </c>
      <c r="K462" s="52" t="n">
        <f aca="false">IF(AND(ISNUMBER($G462),$G462&gt;=MA_LONG2),AVERAGE(INDEX($C$62:$C462,402-MA_LONG2):$C462),"")</f>
        <v>972146441.97</v>
      </c>
      <c r="L462" s="53" t="n">
        <f aca="false">IF(AND(ISNUMBER($G462),$G462&gt;=21),STDEV(INDEX($H$402:$H462,62-20):$H462)*SQRT(245),"")</f>
        <v>0.180001830960723</v>
      </c>
      <c r="M462" s="52" t="n">
        <f aca="false">IF(AND(ISNUMBER($G462),$G462&gt;=60),MAX(INDEX($D$262:$D462,202-60):$D462),"")</f>
        <v>1147107872</v>
      </c>
      <c r="N462" s="52" t="n">
        <f aca="false">IF(AND(ISNUMBER($G462),$G462&gt;=60),MIN(INDEX($E$262:$E462,202-60):$E462),"")</f>
        <v>1011342573</v>
      </c>
      <c r="O462" s="53" t="n">
        <f aca="false">IF(OR(NOT(ISNUMBER($C462)),NOT(ISNUMBER($M462)),$M462=0),"",$C462/$M462-1)</f>
        <v>-0.0810934841182922</v>
      </c>
      <c r="P462" s="54"/>
      <c r="Q462" s="53" t="str">
        <f aca="false">IF(NOT(ISNUMBER($P462)),"",IFERROR(PERCENTRANK($P$5:$P$1204,$P462),""))</f>
        <v/>
      </c>
    </row>
    <row r="463" customFormat="false" ht="15" hidden="false" customHeight="false" outlineLevel="0" collapsed="false">
      <c r="A463" s="47" t="n">
        <v>46210</v>
      </c>
      <c r="B463" s="48" t="s">
        <v>611</v>
      </c>
      <c r="C463" s="49" t="n">
        <v>1047954232</v>
      </c>
      <c r="D463" s="49" t="n">
        <v>1050103782</v>
      </c>
      <c r="E463" s="49" t="n">
        <v>1036231886</v>
      </c>
      <c r="F463" s="49" t="n">
        <v>0</v>
      </c>
      <c r="G463" s="50" t="n">
        <f aca="false">IF($A463="","",IF(ISNUMBER($G462),$G462+1,1))</f>
        <v>459</v>
      </c>
      <c r="H463" s="51" t="n">
        <f aca="false">IF(OR(NOT(ISNUMBER($G463)),$G463&lt;2,NOT(ISNUMBER($C462)),$C462=0),"",$C463/$C462-1)</f>
        <v>-0.00581610267980526</v>
      </c>
      <c r="I463" s="52" t="n">
        <f aca="false">IF(AND(ISNUMBER($G463),$G463&gt;=MA_SHORT),AVERAGE(INDEX($C$63:$C463,402-MA_SHORT):$C463),"")</f>
        <v>1075156647.3</v>
      </c>
      <c r="J463" s="52" t="n">
        <f aca="false">IF(AND(ISNUMBER($G463),$G463&gt;=MA_MED),AVERAGE(INDEX($C$63:$C463,402-MA_MED):$C463),"")</f>
        <v>1087743846</v>
      </c>
      <c r="K463" s="52" t="n">
        <f aca="false">IF(AND(ISNUMBER($G463),$G463&gt;=MA_LONG2),AVERAGE(INDEX($C$63:$C463,402-MA_LONG2):$C463),"")</f>
        <v>973049925.55</v>
      </c>
      <c r="L463" s="53" t="n">
        <f aca="false">IF(AND(ISNUMBER($G463),$G463&gt;=21),STDEV(INDEX($H$403:$H463,62-20):$H463)*SQRT(245),"")</f>
        <v>0.136673738396219</v>
      </c>
      <c r="M463" s="52" t="n">
        <f aca="false">IF(AND(ISNUMBER($G463),$G463&gt;=60),MAX(INDEX($D$263:$D463,202-60):$D463),"")</f>
        <v>1147107872</v>
      </c>
      <c r="N463" s="52" t="n">
        <f aca="false">IF(AND(ISNUMBER($G463),$G463&gt;=60),MIN(INDEX($E$263:$E463,202-60):$E463),"")</f>
        <v>1020450939</v>
      </c>
      <c r="O463" s="53" t="n">
        <f aca="false">IF(OR(NOT(ISNUMBER($C463)),NOT(ISNUMBER($M463)),$M463=0),"",$C463/$M463-1)</f>
        <v>-0.0864379387678023</v>
      </c>
      <c r="P463" s="54"/>
      <c r="Q463" s="53" t="str">
        <f aca="false">IF(NOT(ISNUMBER($P463)),"",IFERROR(PERCENTRANK($P$5:$P$1204,$P463),""))</f>
        <v/>
      </c>
    </row>
    <row r="464" customFormat="false" ht="15" hidden="false" customHeight="false" outlineLevel="0" collapsed="false">
      <c r="A464" s="47" t="n">
        <v>46211</v>
      </c>
      <c r="B464" s="48" t="s">
        <v>612</v>
      </c>
      <c r="C464" s="49" t="n">
        <v>1038409215</v>
      </c>
      <c r="D464" s="49" t="n">
        <v>1047263163</v>
      </c>
      <c r="E464" s="49" t="n">
        <v>1031729920</v>
      </c>
      <c r="F464" s="49" t="n">
        <v>0</v>
      </c>
      <c r="G464" s="50" t="n">
        <f aca="false">IF($A464="","",IF(ISNUMBER($G463),$G463+1,1))</f>
        <v>460</v>
      </c>
      <c r="H464" s="51" t="n">
        <f aca="false">IF(OR(NOT(ISNUMBER($G464)),$G464&lt;2,NOT(ISNUMBER($C463)),$C463=0),"",$C464/$C463-1)</f>
        <v>-0.00910823842161834</v>
      </c>
      <c r="I464" s="52" t="n">
        <f aca="false">IF(AND(ISNUMBER($G464),$G464&gt;=MA_SHORT),AVERAGE(INDEX($C$64:$C464,402-MA_SHORT):$C464),"")</f>
        <v>1073622335.45</v>
      </c>
      <c r="J464" s="52" t="n">
        <f aca="false">IF(AND(ISNUMBER($G464),$G464&gt;=MA_MED),AVERAGE(INDEX($C$64:$C464,402-MA_MED):$C464),"")</f>
        <v>1086815262.52</v>
      </c>
      <c r="K464" s="52" t="n">
        <f aca="false">IF(AND(ISNUMBER($G464),$G464&gt;=MA_LONG2),AVERAGE(INDEX($C$64:$C464,402-MA_LONG2):$C464),"")</f>
        <v>973817990.41</v>
      </c>
      <c r="L464" s="53" t="n">
        <f aca="false">IF(AND(ISNUMBER($G464),$G464&gt;=21),STDEV(INDEX($H$404:$H464,62-20):$H464)*SQRT(245),"")</f>
        <v>0.135471143970255</v>
      </c>
      <c r="M464" s="52" t="n">
        <f aca="false">IF(AND(ISNUMBER($G464),$G464&gt;=60),MAX(INDEX($D$264:$D464,202-60):$D464),"")</f>
        <v>1147107872</v>
      </c>
      <c r="N464" s="52" t="n">
        <f aca="false">IF(AND(ISNUMBER($G464),$G464&gt;=60),MIN(INDEX($E$264:$E464,202-60):$E464),"")</f>
        <v>1020450939</v>
      </c>
      <c r="O464" s="53" t="n">
        <f aca="false">IF(OR(NOT(ISNUMBER($C464)),NOT(ISNUMBER($M464)),$M464=0),"",$C464/$M464-1)</f>
        <v>-0.0947588798344503</v>
      </c>
      <c r="P464" s="54"/>
      <c r="Q464" s="53" t="str">
        <f aca="false">IF(NOT(ISNUMBER($P464)),"",IFERROR(PERCENTRANK($P$5:$P$1204,$P464),""))</f>
        <v/>
      </c>
    </row>
    <row r="465" customFormat="false" ht="15" hidden="false" customHeight="false" outlineLevel="0" collapsed="false">
      <c r="A465" s="47" t="n">
        <v>46214</v>
      </c>
      <c r="B465" s="48" t="s">
        <v>613</v>
      </c>
      <c r="C465" s="49" t="n">
        <v>1053742387</v>
      </c>
      <c r="D465" s="49" t="n">
        <v>1054695796</v>
      </c>
      <c r="E465" s="49" t="n">
        <v>1049430216</v>
      </c>
      <c r="F465" s="49" t="n">
        <v>0</v>
      </c>
      <c r="G465" s="50" t="n">
        <f aca="false">IF($A465="","",IF(ISNUMBER($G464),$G464+1,1))</f>
        <v>461</v>
      </c>
      <c r="H465" s="51" t="n">
        <f aca="false">IF(OR(NOT(ISNUMBER($G465)),$G465&lt;2,NOT(ISNUMBER($C464)),$C464=0),"",$C465/$C464-1)</f>
        <v>0.0147660207348987</v>
      </c>
      <c r="I465" s="52" t="n">
        <f aca="false">IF(AND(ISNUMBER($G465),$G465&gt;=MA_SHORT),AVERAGE(INDEX($C$65:$C465,402-MA_SHORT):$C465),"")</f>
        <v>1073359813.1</v>
      </c>
      <c r="J465" s="52" t="n">
        <f aca="false">IF(AND(ISNUMBER($G465),$G465&gt;=MA_MED),AVERAGE(INDEX($C$65:$C465,402-MA_MED):$C465),"")</f>
        <v>1086572444.48</v>
      </c>
      <c r="K465" s="52" t="n">
        <f aca="false">IF(AND(ISNUMBER($G465),$G465&gt;=MA_LONG2),AVERAGE(INDEX($C$65:$C465,402-MA_LONG2):$C465),"")</f>
        <v>974637499.775</v>
      </c>
      <c r="L465" s="53" t="n">
        <f aca="false">IF(AND(ISNUMBER($G465),$G465&gt;=21),STDEV(INDEX($H$405:$H465,62-20):$H465)*SQRT(245),"")</f>
        <v>0.143251316196065</v>
      </c>
      <c r="M465" s="52" t="n">
        <f aca="false">IF(AND(ISNUMBER($G465),$G465&gt;=60),MAX(INDEX($D$265:$D465,202-60):$D465),"")</f>
        <v>1147107872</v>
      </c>
      <c r="N465" s="52" t="n">
        <f aca="false">IF(AND(ISNUMBER($G465),$G465&gt;=60),MIN(INDEX($E$265:$E465,202-60):$E465),"")</f>
        <v>1031729920</v>
      </c>
      <c r="O465" s="53" t="n">
        <f aca="false">IF(OR(NOT(ISNUMBER($C465)),NOT(ISNUMBER($M465)),$M465=0),"",$C465/$M465-1)</f>
        <v>-0.0813920706840028</v>
      </c>
      <c r="P465" s="54"/>
      <c r="Q465" s="53" t="str">
        <f aca="false">IF(NOT(ISNUMBER($P465)),"",IFERROR(PERCENTRANK($P$5:$P$1204,$P465),""))</f>
        <v/>
      </c>
    </row>
    <row r="466" customFormat="false" ht="15" hidden="false" customHeight="false" outlineLevel="0" collapsed="false">
      <c r="A466" s="47" t="n">
        <v>46215</v>
      </c>
      <c r="B466" s="48" t="s">
        <v>614</v>
      </c>
      <c r="C466" s="49" t="n">
        <v>1062516930</v>
      </c>
      <c r="D466" s="49" t="n">
        <v>1062705847</v>
      </c>
      <c r="E466" s="49" t="n">
        <v>1062472175</v>
      </c>
      <c r="F466" s="49" t="n">
        <v>0</v>
      </c>
      <c r="G466" s="50" t="n">
        <f aca="false">IF($A466="","",IF(ISNUMBER($G465),$G465+1,1))</f>
        <v>462</v>
      </c>
      <c r="H466" s="51" t="n">
        <f aca="false">IF(OR(NOT(ISNUMBER($G466)),$G466&lt;2,NOT(ISNUMBER($C465)),$C465=0),"",$C466/$C465-1)</f>
        <v>0.00832702860609147</v>
      </c>
      <c r="I466" s="52" t="n">
        <f aca="false">IF(AND(ISNUMBER($G466),$G466&gt;=MA_SHORT),AVERAGE(INDEX($C$66:$C466,402-MA_SHORT):$C466),"")</f>
        <v>1073487895.55</v>
      </c>
      <c r="J466" s="52" t="n">
        <f aca="false">IF(AND(ISNUMBER($G466),$G466&gt;=MA_MED),AVERAGE(INDEX($C$66:$C466,402-MA_MED):$C466),"")</f>
        <v>1086835388.42</v>
      </c>
      <c r="K466" s="52" t="n">
        <f aca="false">IF(AND(ISNUMBER($G466),$G466&gt;=MA_LONG2),AVERAGE(INDEX($C$66:$C466,402-MA_LONG2):$C466),"")</f>
        <v>975541675.075</v>
      </c>
      <c r="L466" s="53" t="n">
        <f aca="false">IF(AND(ISNUMBER($G466),$G466&gt;=21),STDEV(INDEX($H$406:$H466,62-20):$H466)*SQRT(245),"")</f>
        <v>0.146317680469869</v>
      </c>
      <c r="M466" s="52" t="n">
        <f aca="false">IF(AND(ISNUMBER($G466),$G466&gt;=60),MAX(INDEX($D$266:$D466,202-60):$D466),"")</f>
        <v>1147107872</v>
      </c>
      <c r="N466" s="52" t="n">
        <f aca="false">IF(AND(ISNUMBER($G466),$G466&gt;=60),MIN(INDEX($E$266:$E466,202-60):$E466),"")</f>
        <v>1031729920</v>
      </c>
      <c r="O466" s="53" t="n">
        <f aca="false">IF(OR(NOT(ISNUMBER($C466)),NOT(ISNUMBER($M466)),$M466=0),"",$C466/$M466-1)</f>
        <v>-0.0737427961788061</v>
      </c>
      <c r="P466" s="54"/>
      <c r="Q466" s="53" t="str">
        <f aca="false">IF(NOT(ISNUMBER($P466)),"",IFERROR(PERCENTRANK($P$5:$P$1204,$P466),""))</f>
        <v/>
      </c>
    </row>
    <row r="467" customFormat="false" ht="15" hidden="false" customHeight="false" outlineLevel="0" collapsed="false">
      <c r="A467" s="47" t="n">
        <v>46216</v>
      </c>
      <c r="B467" s="48" t="s">
        <v>615</v>
      </c>
      <c r="C467" s="49" t="n">
        <v>1063897093</v>
      </c>
      <c r="D467" s="49" t="n">
        <v>1071299867</v>
      </c>
      <c r="E467" s="49" t="n">
        <v>1059572645</v>
      </c>
      <c r="F467" s="49" t="n">
        <v>0</v>
      </c>
      <c r="G467" s="50" t="n">
        <f aca="false">IF($A467="","",IF(ISNUMBER($G466),$G466+1,1))</f>
        <v>463</v>
      </c>
      <c r="H467" s="51" t="n">
        <f aca="false">IF(OR(NOT(ISNUMBER($G467)),$G467&lt;2,NOT(ISNUMBER($C466)),$C466=0),"",$C467/$C466-1)</f>
        <v>0.00129895624345489</v>
      </c>
      <c r="I467" s="52" t="n">
        <f aca="false">IF(AND(ISNUMBER($G467),$G467&gt;=MA_SHORT),AVERAGE(INDEX($C$67:$C467,402-MA_SHORT):$C467),"")</f>
        <v>1073900525.65</v>
      </c>
      <c r="J467" s="52" t="n">
        <f aca="false">IF(AND(ISNUMBER($G467),$G467&gt;=MA_MED),AVERAGE(INDEX($C$67:$C467,402-MA_MED):$C467),"")</f>
        <v>1086823375.6</v>
      </c>
      <c r="K467" s="52" t="n">
        <f aca="false">IF(AND(ISNUMBER($G467),$G467&gt;=MA_LONG2),AVERAGE(INDEX($C$67:$C467,402-MA_LONG2):$C467),"")</f>
        <v>976491060.57</v>
      </c>
      <c r="L467" s="53" t="n">
        <f aca="false">IF(AND(ISNUMBER($G467),$G467&gt;=21),STDEV(INDEX($H$407:$H467,62-20):$H467)*SQRT(245),"")</f>
        <v>0.145520924515392</v>
      </c>
      <c r="M467" s="52" t="n">
        <f aca="false">IF(AND(ISNUMBER($G467),$G467&gt;=60),MAX(INDEX($D$267:$D467,202-60):$D467),"")</f>
        <v>1147107872</v>
      </c>
      <c r="N467" s="52" t="n">
        <f aca="false">IF(AND(ISNUMBER($G467),$G467&gt;=60),MIN(INDEX($E$267:$E467,202-60):$E467),"")</f>
        <v>1031729920</v>
      </c>
      <c r="O467" s="53" t="n">
        <f aca="false">IF(OR(NOT(ISNUMBER($C467)),NOT(ISNUMBER($M467)),$M467=0),"",$C467/$M467-1)</f>
        <v>-0.0725396286008575</v>
      </c>
      <c r="P467" s="54"/>
      <c r="Q467" s="53" t="str">
        <f aca="false">IF(NOT(ISNUMBER($P467)),"",IFERROR(PERCENTRANK($P$5:$P$1204,$P467),""))</f>
        <v/>
      </c>
    </row>
    <row r="468" customFormat="false" ht="15" hidden="false" customHeight="false" outlineLevel="0" collapsed="false">
      <c r="A468" s="47" t="n">
        <v>46217</v>
      </c>
      <c r="B468" s="48" t="s">
        <v>616</v>
      </c>
      <c r="C468" s="49" t="n">
        <v>1077338351</v>
      </c>
      <c r="D468" s="49" t="n">
        <v>1078515625</v>
      </c>
      <c r="E468" s="49" t="n">
        <v>1075753032</v>
      </c>
      <c r="F468" s="49" t="n">
        <v>0</v>
      </c>
      <c r="G468" s="50" t="n">
        <f aca="false">IF($A468="","",IF(ISNUMBER($G467),$G467+1,1))</f>
        <v>464</v>
      </c>
      <c r="H468" s="51" t="n">
        <f aca="false">IF(OR(NOT(ISNUMBER($G468)),$G468&lt;2,NOT(ISNUMBER($C467)),$C467=0),"",$C468/$C467-1)</f>
        <v>0.0126339832004785</v>
      </c>
      <c r="I468" s="52" t="n">
        <f aca="false">IF(AND(ISNUMBER($G468),$G468&gt;=MA_SHORT),AVERAGE(INDEX($C$68:$C468,402-MA_SHORT):$C468),"")</f>
        <v>1074439906.4</v>
      </c>
      <c r="J468" s="52" t="n">
        <f aca="false">IF(AND(ISNUMBER($G468),$G468&gt;=MA_MED),AVERAGE(INDEX($C$68:$C468,402-MA_MED):$C468),"")</f>
        <v>1086834296.74</v>
      </c>
      <c r="K468" s="52" t="n">
        <f aca="false">IF(AND(ISNUMBER($G468),$G468&gt;=MA_LONG2),AVERAGE(INDEX($C$68:$C468,402-MA_LONG2):$C468),"")</f>
        <v>977390034.085</v>
      </c>
      <c r="L468" s="53" t="n">
        <f aca="false">IF(AND(ISNUMBER($G468),$G468&gt;=21),STDEV(INDEX($H$408:$H468,62-20):$H468)*SQRT(245),"")</f>
        <v>0.147747218999164</v>
      </c>
      <c r="M468" s="52" t="n">
        <f aca="false">IF(AND(ISNUMBER($G468),$G468&gt;=60),MAX(INDEX($D$268:$D468,202-60):$D468),"")</f>
        <v>1147107872</v>
      </c>
      <c r="N468" s="52" t="n">
        <f aca="false">IF(AND(ISNUMBER($G468),$G468&gt;=60),MIN(INDEX($E$268:$E468,202-60):$E468),"")</f>
        <v>1031729920</v>
      </c>
      <c r="O468" s="53" t="n">
        <f aca="false">IF(OR(NOT(ISNUMBER($C468)),NOT(ISNUMBER($M468)),$M468=0),"",$C468/$M468-1)</f>
        <v>-0.0608221098494911</v>
      </c>
      <c r="P468" s="54"/>
      <c r="Q468" s="53" t="str">
        <f aca="false">IF(NOT(ISNUMBER($P468)),"",IFERROR(PERCENTRANK($P$5:$P$1204,$P468),""))</f>
        <v/>
      </c>
    </row>
    <row r="469" customFormat="false" ht="15" hidden="false" customHeight="false" outlineLevel="0" collapsed="false">
      <c r="A469" s="47" t="n">
        <v>46218</v>
      </c>
      <c r="B469" s="48" t="s">
        <v>617</v>
      </c>
      <c r="C469" s="49" t="n">
        <v>1066631741</v>
      </c>
      <c r="D469" s="49" t="n">
        <v>1067111283</v>
      </c>
      <c r="E469" s="49" t="n">
        <v>1063810288</v>
      </c>
      <c r="F469" s="49" t="n">
        <v>0</v>
      </c>
      <c r="G469" s="50" t="n">
        <f aca="false">IF($A469="","",IF(ISNUMBER($G468),$G468+1,1))</f>
        <v>465</v>
      </c>
      <c r="H469" s="51" t="n">
        <f aca="false">IF(OR(NOT(ISNUMBER($G469)),$G469&lt;2,NOT(ISNUMBER($C468)),$C468=0),"",$C469/$C468-1)</f>
        <v>-0.00993801992666643</v>
      </c>
      <c r="I469" s="52" t="n">
        <f aca="false">IF(AND(ISNUMBER($G469),$G469&gt;=MA_SHORT),AVERAGE(INDEX($C$69:$C469,402-MA_SHORT):$C469),"")</f>
        <v>1073582287.55</v>
      </c>
      <c r="J469" s="52" t="n">
        <f aca="false">IF(AND(ISNUMBER($G469),$G469&gt;=MA_MED),AVERAGE(INDEX($C$69:$C469,402-MA_MED):$C469),"")</f>
        <v>1086531398.34</v>
      </c>
      <c r="K469" s="52" t="n">
        <f aca="false">IF(AND(ISNUMBER($G469),$G469&gt;=MA_LONG2),AVERAGE(INDEX($C$69:$C469,402-MA_LONG2):$C469),"")</f>
        <v>978195134.965</v>
      </c>
      <c r="L469" s="53" t="n">
        <f aca="false">IF(AND(ISNUMBER($G469),$G469&gt;=21),STDEV(INDEX($H$409:$H469,62-20):$H469)*SQRT(245),"")</f>
        <v>0.140229396937492</v>
      </c>
      <c r="M469" s="52" t="n">
        <f aca="false">IF(AND(ISNUMBER($G469),$G469&gt;=60),MAX(INDEX($D$269:$D469,202-60):$D469),"")</f>
        <v>1147107872</v>
      </c>
      <c r="N469" s="52" t="n">
        <f aca="false">IF(AND(ISNUMBER($G469),$G469&gt;=60),MIN(INDEX($E$269:$E469,202-60):$E469),"")</f>
        <v>1031729920</v>
      </c>
      <c r="O469" s="53" t="n">
        <f aca="false">IF(OR(NOT(ISNUMBER($C469)),NOT(ISNUMBER($M469)),$M469=0),"",$C469/$M469-1)</f>
        <v>-0.0701556784364915</v>
      </c>
      <c r="P469" s="54"/>
      <c r="Q469" s="53" t="str">
        <f aca="false">IF(NOT(ISNUMBER($P469)),"",IFERROR(PERCENTRANK($P$5:$P$1204,$P469),""))</f>
        <v/>
      </c>
    </row>
    <row r="470" customFormat="false" ht="15" hidden="false" customHeight="false" outlineLevel="0" collapsed="false">
      <c r="A470" s="47" t="n">
        <v>46221</v>
      </c>
      <c r="B470" s="48" t="s">
        <v>618</v>
      </c>
      <c r="C470" s="49" t="n">
        <v>1053321412</v>
      </c>
      <c r="D470" s="49" t="n">
        <v>1054542382</v>
      </c>
      <c r="E470" s="49" t="n">
        <v>1043932283</v>
      </c>
      <c r="F470" s="49" t="n">
        <v>0</v>
      </c>
      <c r="G470" s="50" t="n">
        <f aca="false">IF($A470="","",IF(ISNUMBER($G469),$G469+1,1))</f>
        <v>466</v>
      </c>
      <c r="H470" s="51" t="n">
        <f aca="false">IF(OR(NOT(ISNUMBER($G470)),$G470&lt;2,NOT(ISNUMBER($C469)),$C469=0),"",$C470/$C469-1)</f>
        <v>-0.0124788420298848</v>
      </c>
      <c r="I470" s="52" t="n">
        <f aca="false">IF(AND(ISNUMBER($G470),$G470&gt;=MA_SHORT),AVERAGE(INDEX($C$70:$C470,402-MA_SHORT):$C470),"")</f>
        <v>1071892988.8</v>
      </c>
      <c r="J470" s="52" t="n">
        <f aca="false">IF(AND(ISNUMBER($G470),$G470&gt;=MA_MED),AVERAGE(INDEX($C$70:$C470,402-MA_MED):$C470),"")</f>
        <v>1085813913.02</v>
      </c>
      <c r="K470" s="52" t="n">
        <f aca="false">IF(AND(ISNUMBER($G470),$G470&gt;=MA_LONG2),AVERAGE(INDEX($C$70:$C470,402-MA_LONG2):$C470),"")</f>
        <v>978937504.845</v>
      </c>
      <c r="L470" s="53" t="n">
        <f aca="false">IF(AND(ISNUMBER($G470),$G470&gt;=21),STDEV(INDEX($H$410:$H470,62-20):$H470)*SQRT(245),"")</f>
        <v>0.145226868653237</v>
      </c>
      <c r="M470" s="52" t="n">
        <f aca="false">IF(AND(ISNUMBER($G470),$G470&gt;=60),MAX(INDEX($D$270:$D470,202-60):$D470),"")</f>
        <v>1147107872</v>
      </c>
      <c r="N470" s="52" t="n">
        <f aca="false">IF(AND(ISNUMBER($G470),$G470&gt;=60),MIN(INDEX($E$270:$E470,202-60):$E470),"")</f>
        <v>1031729920</v>
      </c>
      <c r="O470" s="53" t="n">
        <f aca="false">IF(OR(NOT(ISNUMBER($C470)),NOT(ISNUMBER($M470)),$M470=0),"",$C470/$M470-1)</f>
        <v>-0.0817590588376679</v>
      </c>
      <c r="P470" s="54"/>
      <c r="Q470" s="53" t="str">
        <f aca="false">IF(NOT(ISNUMBER($P470)),"",IFERROR(PERCENTRANK($P$5:$P$1204,$P470),""))</f>
        <v/>
      </c>
    </row>
    <row r="471" customFormat="false" ht="15" hidden="false" customHeight="false" outlineLevel="0" collapsed="false">
      <c r="A471" s="47" t="n">
        <v>46222</v>
      </c>
      <c r="B471" s="48" t="s">
        <v>619</v>
      </c>
      <c r="C471" s="49" t="n">
        <v>1078892985</v>
      </c>
      <c r="D471" s="49" t="n">
        <v>1079190243</v>
      </c>
      <c r="E471" s="49" t="n">
        <v>1077045502</v>
      </c>
      <c r="F471" s="49" t="n">
        <v>0</v>
      </c>
      <c r="G471" s="50" t="n">
        <f aca="false">IF($A471="","",IF(ISNUMBER($G470),$G470+1,1))</f>
        <v>467</v>
      </c>
      <c r="H471" s="51" t="n">
        <f aca="false">IF(OR(NOT(ISNUMBER($G471)),$G471&lt;2,NOT(ISNUMBER($C470)),$C470=0),"",$C471/$C470-1)</f>
        <v>0.0242770845714091</v>
      </c>
      <c r="I471" s="52" t="n">
        <f aca="false">IF(AND(ISNUMBER($G471),$G471&gt;=MA_SHORT),AVERAGE(INDEX($C$71:$C471,402-MA_SHORT):$C471),"")</f>
        <v>1071070914.55</v>
      </c>
      <c r="J471" s="52" t="n">
        <f aca="false">IF(AND(ISNUMBER($G471),$G471&gt;=MA_MED),AVERAGE(INDEX($C$71:$C471,402-MA_MED):$C471),"")</f>
        <v>1085566153.16</v>
      </c>
      <c r="K471" s="52" t="n">
        <f aca="false">IF(AND(ISNUMBER($G471),$G471&gt;=MA_LONG2),AVERAGE(INDEX($C$71:$C471,402-MA_LONG2):$C471),"")</f>
        <v>979878266.005</v>
      </c>
      <c r="L471" s="53" t="n">
        <f aca="false">IF(AND(ISNUMBER($G471),$G471&gt;=21),STDEV(INDEX($H$411:$H471,62-20):$H471)*SQRT(245),"")</f>
        <v>0.168624703885662</v>
      </c>
      <c r="M471" s="52" t="n">
        <f aca="false">IF(AND(ISNUMBER($G471),$G471&gt;=60),MAX(INDEX($D$271:$D471,202-60):$D471),"")</f>
        <v>1147107872</v>
      </c>
      <c r="N471" s="52" t="n">
        <f aca="false">IF(AND(ISNUMBER($G471),$G471&gt;=60),MIN(INDEX($E$271:$E471,202-60):$E471),"")</f>
        <v>1031729920</v>
      </c>
      <c r="O471" s="53" t="n">
        <f aca="false">IF(OR(NOT(ISNUMBER($C471)),NOT(ISNUMBER($M471)),$M471=0),"",$C471/$M471-1)</f>
        <v>-0.0594668458521397</v>
      </c>
      <c r="P471" s="54"/>
      <c r="Q471" s="53" t="str">
        <f aca="false">IF(NOT(ISNUMBER($P471)),"",IFERROR(PERCENTRANK($P$5:$P$1204,$P471),""))</f>
        <v/>
      </c>
    </row>
    <row r="472" customFormat="false" ht="15" hidden="false" customHeight="false" outlineLevel="0" collapsed="false">
      <c r="A472" s="47" t="n">
        <v>46223</v>
      </c>
      <c r="B472" s="48" t="s">
        <v>620</v>
      </c>
      <c r="C472" s="49" t="n">
        <v>1109302489</v>
      </c>
      <c r="D472" s="49" t="n">
        <v>1113145365</v>
      </c>
      <c r="E472" s="49" t="n">
        <v>1106235828</v>
      </c>
      <c r="F472" s="49" t="n">
        <v>0</v>
      </c>
      <c r="G472" s="50" t="n">
        <f aca="false">IF($A472="","",IF(ISNUMBER($G471),$G471+1,1))</f>
        <v>468</v>
      </c>
      <c r="H472" s="51" t="n">
        <f aca="false">IF(OR(NOT(ISNUMBER($G472)),$G472&lt;2,NOT(ISNUMBER($C471)),$C471=0),"",$C472/$C471-1)</f>
        <v>0.0281858390246184</v>
      </c>
      <c r="I472" s="52" t="n">
        <f aca="false">IF(AND(ISNUMBER($G472),$G472&gt;=MA_SHORT),AVERAGE(INDEX($C$72:$C472,402-MA_SHORT):$C472),"")</f>
        <v>1071740311.45</v>
      </c>
      <c r="J472" s="52" t="n">
        <f aca="false">IF(AND(ISNUMBER($G472),$G472&gt;=MA_MED),AVERAGE(INDEX($C$72:$C472,402-MA_MED):$C472),"")</f>
        <v>1085914895.44</v>
      </c>
      <c r="K472" s="52" t="n">
        <f aca="false">IF(AND(ISNUMBER($G472),$G472&gt;=MA_LONG2),AVERAGE(INDEX($C$72:$C472,402-MA_LONG2):$C472),"")</f>
        <v>980985875.855</v>
      </c>
      <c r="L472" s="53" t="n">
        <f aca="false">IF(AND(ISNUMBER($G472),$G472&gt;=21),STDEV(INDEX($H$412:$H472,62-20):$H472)*SQRT(245),"")</f>
        <v>0.196676537969164</v>
      </c>
      <c r="M472" s="52" t="n">
        <f aca="false">IF(AND(ISNUMBER($G472),$G472&gt;=60),MAX(INDEX($D$272:$D472,202-60):$D472),"")</f>
        <v>1147107872</v>
      </c>
      <c r="N472" s="52" t="n">
        <f aca="false">IF(AND(ISNUMBER($G472),$G472&gt;=60),MIN(INDEX($E$272:$E472,202-60):$E472),"")</f>
        <v>1031729920</v>
      </c>
      <c r="O472" s="53" t="n">
        <f aca="false">IF(OR(NOT(ISNUMBER($C472)),NOT(ISNUMBER($M472)),$M472=0),"",$C472/$M472-1)</f>
        <v>-0.0329571297720115</v>
      </c>
      <c r="P472" s="54"/>
      <c r="Q472" s="53" t="str">
        <f aca="false">IF(NOT(ISNUMBER($P472)),"",IFERROR(PERCENTRANK($P$5:$P$1204,$P472),""))</f>
        <v/>
      </c>
    </row>
    <row r="473" customFormat="false" ht="15" hidden="false" customHeight="false" outlineLevel="0" collapsed="false">
      <c r="A473" s="47" t="n">
        <v>46224</v>
      </c>
      <c r="B473" s="48" t="s">
        <v>621</v>
      </c>
      <c r="C473" s="49" t="n">
        <v>1116319711</v>
      </c>
      <c r="D473" s="49" t="n">
        <v>1124918764</v>
      </c>
      <c r="E473" s="49" t="n">
        <v>1109196782</v>
      </c>
      <c r="F473" s="49" t="n">
        <v>0</v>
      </c>
      <c r="G473" s="50" t="n">
        <f aca="false">IF($A473="","",IF(ISNUMBER($G472),$G472+1,1))</f>
        <v>469</v>
      </c>
      <c r="H473" s="51" t="n">
        <f aca="false">IF(OR(NOT(ISNUMBER($G473)),$G473&lt;2,NOT(ISNUMBER($C472)),$C472=0),"",$C473/$C472-1)</f>
        <v>0.00632579667816824</v>
      </c>
      <c r="I473" s="52" t="n">
        <f aca="false">IF(AND(ISNUMBER($G473),$G473&gt;=MA_SHORT),AVERAGE(INDEX($C$73:$C473,402-MA_SHORT):$C473),"")</f>
        <v>1073228945.15</v>
      </c>
      <c r="J473" s="52" t="n">
        <f aca="false">IF(AND(ISNUMBER($G473),$G473&gt;=MA_MED),AVERAGE(INDEX($C$73:$C473,402-MA_MED):$C473),"")</f>
        <v>1085958188.16</v>
      </c>
      <c r="K473" s="52" t="n">
        <f aca="false">IF(AND(ISNUMBER($G473),$G473&gt;=MA_LONG2),AVERAGE(INDEX($C$73:$C473,402-MA_LONG2):$C473),"")</f>
        <v>982201227.465</v>
      </c>
      <c r="L473" s="53" t="n">
        <f aca="false">IF(AND(ISNUMBER($G473),$G473&gt;=21),STDEV(INDEX($H$413:$H473,62-20):$H473)*SQRT(245),"")</f>
        <v>0.194554330400697</v>
      </c>
      <c r="M473" s="52" t="n">
        <f aca="false">IF(AND(ISNUMBER($G473),$G473&gt;=60),MAX(INDEX($D$273:$D473,202-60):$D473),"")</f>
        <v>1147107872</v>
      </c>
      <c r="N473" s="52" t="n">
        <f aca="false">IF(AND(ISNUMBER($G473),$G473&gt;=60),MIN(INDEX($E$273:$E473,202-60):$E473),"")</f>
        <v>1031729920</v>
      </c>
      <c r="O473" s="53" t="n">
        <f aca="false">IF(OR(NOT(ISNUMBER($C473)),NOT(ISNUMBER($M473)),$M473=0),"",$C473/$M473-1)</f>
        <v>-0.026839813195877</v>
      </c>
      <c r="P473" s="54"/>
      <c r="Q473" s="53" t="str">
        <f aca="false">IF(NOT(ISNUMBER($P473)),"",IFERROR(PERCENTRANK($P$5:$P$1204,$P473),""))</f>
        <v/>
      </c>
    </row>
    <row r="474" customFormat="false" ht="15" hidden="false" customHeight="false" outlineLevel="0" collapsed="false">
      <c r="A474" s="47" t="n">
        <v>46225</v>
      </c>
      <c r="B474" s="48" t="s">
        <v>622</v>
      </c>
      <c r="C474" s="49" t="n">
        <v>1088540871</v>
      </c>
      <c r="D474" s="49" t="n">
        <v>1096915809</v>
      </c>
      <c r="E474" s="49" t="n">
        <v>1083254253</v>
      </c>
      <c r="F474" s="49" t="n">
        <v>0</v>
      </c>
      <c r="G474" s="50" t="n">
        <f aca="false">IF($A474="","",IF(ISNUMBER($G473),$G473+1,1))</f>
        <v>470</v>
      </c>
      <c r="H474" s="51" t="n">
        <f aca="false">IF(OR(NOT(ISNUMBER($G474)),$G474&lt;2,NOT(ISNUMBER($C473)),$C473=0),"",$C474/$C473-1)</f>
        <v>-0.0248843048512649</v>
      </c>
      <c r="I474" s="52" t="n">
        <f aca="false">IF(AND(ISNUMBER($G474),$G474&gt;=MA_SHORT),AVERAGE(INDEX($C$74:$C474,402-MA_SHORT):$C474),"")</f>
        <v>1073433559.9</v>
      </c>
      <c r="J474" s="52" t="n">
        <f aca="false">IF(AND(ISNUMBER($G474),$G474&gt;=MA_MED),AVERAGE(INDEX($C$74:$C474,402-MA_MED):$C474),"")</f>
        <v>1085499098.64</v>
      </c>
      <c r="K474" s="52" t="n">
        <f aca="false">IF(AND(ISNUMBER($G474),$G474&gt;=MA_LONG2),AVERAGE(INDEX($C$74:$C474,402-MA_LONG2):$C474),"")</f>
        <v>983313086.52</v>
      </c>
      <c r="L474" s="53" t="n">
        <f aca="false">IF(AND(ISNUMBER($G474),$G474&gt;=21),STDEV(INDEX($H$414:$H474,62-20):$H474)*SQRT(245),"")</f>
        <v>0.215156206660956</v>
      </c>
      <c r="M474" s="52" t="n">
        <f aca="false">IF(AND(ISNUMBER($G474),$G474&gt;=60),MAX(INDEX($D$274:$D474,202-60):$D474),"")</f>
        <v>1147107872</v>
      </c>
      <c r="N474" s="52" t="n">
        <f aca="false">IF(AND(ISNUMBER($G474),$G474&gt;=60),MIN(INDEX($E$274:$E474,202-60):$E474),"")</f>
        <v>1031729920</v>
      </c>
      <c r="O474" s="53" t="n">
        <f aca="false">IF(OR(NOT(ISNUMBER($C474)),NOT(ISNUMBER($M474)),$M474=0),"",$C474/$M474-1)</f>
        <v>-0.0510562279534248</v>
      </c>
      <c r="P474" s="54"/>
      <c r="Q474" s="53" t="str">
        <f aca="false">IF(NOT(ISNUMBER($P474)),"",IFERROR(PERCENTRANK($P$5:$P$1204,$P474),""))</f>
        <v/>
      </c>
    </row>
    <row r="475" customFormat="false" ht="15" hidden="false" customHeight="false" outlineLevel="0" collapsed="false">
      <c r="A475" s="47" t="n">
        <v>46228</v>
      </c>
      <c r="B475" s="48" t="s">
        <v>623</v>
      </c>
      <c r="C475" s="49" t="n">
        <v>1106074221</v>
      </c>
      <c r="D475" s="49" t="n">
        <v>1110099960</v>
      </c>
      <c r="E475" s="49" t="n">
        <v>1102889218</v>
      </c>
      <c r="F475" s="49" t="n">
        <v>0</v>
      </c>
      <c r="G475" s="50" t="n">
        <f aca="false">IF($A475="","",IF(ISNUMBER($G474),$G474+1,1))</f>
        <v>471</v>
      </c>
      <c r="H475" s="51" t="n">
        <f aca="false">IF(OR(NOT(ISNUMBER($G475)),$G475&lt;2,NOT(ISNUMBER($C474)),$C474=0),"",$C475/$C474-1)</f>
        <v>0.0161072041180161</v>
      </c>
      <c r="I475" s="52" t="n">
        <f aca="false">IF(AND(ISNUMBER($G475),$G475&gt;=MA_SHORT),AVERAGE(INDEX($C$75:$C475,402-MA_SHORT):$C475),"")</f>
        <v>1074108425.7</v>
      </c>
      <c r="J475" s="52" t="n">
        <f aca="false">IF(AND(ISNUMBER($G475),$G475&gt;=MA_MED),AVERAGE(INDEX($C$75:$C475,402-MA_MED):$C475),"")</f>
        <v>1085260296.2</v>
      </c>
      <c r="K475" s="52" t="n">
        <f aca="false">IF(AND(ISNUMBER($G475),$G475&gt;=MA_LONG2),AVERAGE(INDEX($C$75:$C475,402-MA_LONG2):$C475),"")</f>
        <v>984462155.77</v>
      </c>
      <c r="L475" s="53" t="n">
        <f aca="false">IF(AND(ISNUMBER($G475),$G475&gt;=21),STDEV(INDEX($H$415:$H475,62-20):$H475)*SQRT(245),"")</f>
        <v>0.22091556242041</v>
      </c>
      <c r="M475" s="52" t="n">
        <f aca="false">IF(AND(ISNUMBER($G475),$G475&gt;=60),MAX(INDEX($D$275:$D475,202-60):$D475),"")</f>
        <v>1147107872</v>
      </c>
      <c r="N475" s="52" t="n">
        <f aca="false">IF(AND(ISNUMBER($G475),$G475&gt;=60),MIN(INDEX($E$275:$E475,202-60):$E475),"")</f>
        <v>1031729920</v>
      </c>
      <c r="O475" s="53" t="n">
        <f aca="false">IF(OR(NOT(ISNUMBER($C475)),NOT(ISNUMBER($M475)),$M475=0),"",$C475/$M475-1)</f>
        <v>-0.0357713969205504</v>
      </c>
      <c r="P475" s="54"/>
      <c r="Q475" s="53" t="str">
        <f aca="false">IF(NOT(ISNUMBER($P475)),"",IFERROR(PERCENTRANK($P$5:$P$1204,$P475),""))</f>
        <v/>
      </c>
    </row>
    <row r="476" customFormat="false" ht="15" hidden="false" customHeight="false" outlineLevel="0" collapsed="false">
      <c r="A476" s="47" t="n">
        <v>46229</v>
      </c>
      <c r="B476" s="48" t="s">
        <v>624</v>
      </c>
      <c r="C476" s="49" t="n">
        <v>1123668208</v>
      </c>
      <c r="D476" s="49" t="n">
        <v>1128219809</v>
      </c>
      <c r="E476" s="49" t="n">
        <v>1116801365</v>
      </c>
      <c r="F476" s="49" t="n">
        <v>0</v>
      </c>
      <c r="G476" s="50" t="n">
        <f aca="false">IF($A476="","",IF(ISNUMBER($G475),$G475+1,1))</f>
        <v>472</v>
      </c>
      <c r="H476" s="51" t="n">
        <f aca="false">IF(OR(NOT(ISNUMBER($G476)),$G476&lt;2,NOT(ISNUMBER($C475)),$C475=0),"",$C476/$C475-1)</f>
        <v>0.0159066965543173</v>
      </c>
      <c r="I476" s="52" t="n">
        <f aca="false">IF(AND(ISNUMBER($G476),$G476&gt;=MA_SHORT),AVERAGE(INDEX($C$76:$C476,402-MA_SHORT):$C476),"")</f>
        <v>1076315800.25</v>
      </c>
      <c r="J476" s="52" t="n">
        <f aca="false">IF(AND(ISNUMBER($G476),$G476&gt;=MA_MED),AVERAGE(INDEX($C$76:$C476,402-MA_MED):$C476),"")</f>
        <v>1085548104.36</v>
      </c>
      <c r="K476" s="52" t="n">
        <f aca="false">IF(AND(ISNUMBER($G476),$G476&gt;=MA_LONG2),AVERAGE(INDEX($C$76:$C476,402-MA_LONG2):$C476),"")</f>
        <v>985668894.575</v>
      </c>
      <c r="L476" s="53" t="n">
        <f aca="false">IF(AND(ISNUMBER($G476),$G476&gt;=21),STDEV(INDEX($H$416:$H476,62-20):$H476)*SQRT(245),"")</f>
        <v>0.221846253405431</v>
      </c>
      <c r="M476" s="52" t="n">
        <f aca="false">IF(AND(ISNUMBER($G476),$G476&gt;=60),MAX(INDEX($D$276:$D476,202-60):$D476),"")</f>
        <v>1147107872</v>
      </c>
      <c r="N476" s="52" t="n">
        <f aca="false">IF(AND(ISNUMBER($G476),$G476&gt;=60),MIN(INDEX($E$276:$E476,202-60):$E476),"")</f>
        <v>1031729920</v>
      </c>
      <c r="O476" s="53" t="n">
        <f aca="false">IF(OR(NOT(ISNUMBER($C476)),NOT(ISNUMBER($M476)),$M476=0),"",$C476/$M476-1)</f>
        <v>-0.0204337051223723</v>
      </c>
      <c r="P476" s="54"/>
      <c r="Q476" s="53" t="str">
        <f aca="false">IF(NOT(ISNUMBER($P476)),"",IFERROR(PERCENTRANK($P$5:$P$1204,$P476),""))</f>
        <v/>
      </c>
    </row>
    <row r="477" customFormat="false" ht="15" hidden="false" customHeight="false" outlineLevel="0" collapsed="false">
      <c r="A477" s="47" t="n">
        <v>46230</v>
      </c>
      <c r="B477" s="48" t="s">
        <v>625</v>
      </c>
      <c r="C477" s="49" t="n">
        <v>1096955474</v>
      </c>
      <c r="D477" s="49" t="n">
        <v>1099831923</v>
      </c>
      <c r="E477" s="49" t="n">
        <v>1091232889</v>
      </c>
      <c r="F477" s="49" t="n">
        <v>0</v>
      </c>
      <c r="G477" s="50" t="n">
        <f aca="false">IF($A477="","",IF(ISNUMBER($G476),$G476+1,1))</f>
        <v>473</v>
      </c>
      <c r="H477" s="51" t="n">
        <f aca="false">IF(OR(NOT(ISNUMBER($G477)),$G477&lt;2,NOT(ISNUMBER($C476)),$C476=0),"",$C477/$C476-1)</f>
        <v>-0.0237727950384443</v>
      </c>
      <c r="I477" s="52" t="n">
        <f aca="false">IF(AND(ISNUMBER($G477),$G477&gt;=MA_SHORT),AVERAGE(INDEX($C$77:$C477,402-MA_SHORT):$C477),"")</f>
        <v>1077396527.65</v>
      </c>
      <c r="J477" s="52" t="n">
        <f aca="false">IF(AND(ISNUMBER($G477),$G477&gt;=MA_MED),AVERAGE(INDEX($C$77:$C477,402-MA_MED):$C477),"")</f>
        <v>1084620964.68</v>
      </c>
      <c r="K477" s="52" t="n">
        <f aca="false">IF(AND(ISNUMBER($G477),$G477&gt;=MA_LONG2),AVERAGE(INDEX($C$77:$C477,402-MA_LONG2):$C477),"")</f>
        <v>986664634.91</v>
      </c>
      <c r="L477" s="53" t="n">
        <f aca="false">IF(AND(ISNUMBER($G477),$G477&gt;=21),STDEV(INDEX($H$417:$H477,62-20):$H477)*SQRT(245),"")</f>
        <v>0.239024944569586</v>
      </c>
      <c r="M477" s="52" t="n">
        <f aca="false">IF(AND(ISNUMBER($G477),$G477&gt;=60),MAX(INDEX($D$277:$D477,202-60):$D477),"")</f>
        <v>1147107872</v>
      </c>
      <c r="N477" s="52" t="n">
        <f aca="false">IF(AND(ISNUMBER($G477),$G477&gt;=60),MIN(INDEX($E$277:$E477,202-60):$E477),"")</f>
        <v>1031729920</v>
      </c>
      <c r="O477" s="53" t="n">
        <f aca="false">IF(OR(NOT(ISNUMBER($C477)),NOT(ISNUMBER($M477)),$M477=0),"",$C477/$M477-1)</f>
        <v>-0.0437207338770664</v>
      </c>
      <c r="P477" s="54"/>
      <c r="Q477" s="53" t="str">
        <f aca="false">IF(NOT(ISNUMBER($P477)),"",IFERROR(PERCENTRANK($P$5:$P$1204,$P477),""))</f>
        <v/>
      </c>
    </row>
    <row r="478" customFormat="false" ht="15" hidden="false" customHeight="false" outlineLevel="0" collapsed="false">
      <c r="A478" s="47" t="n">
        <v>46231</v>
      </c>
      <c r="B478" s="48" t="s">
        <v>626</v>
      </c>
      <c r="C478" s="49" t="n">
        <v>1082930284</v>
      </c>
      <c r="D478" s="49" t="n">
        <v>1084066898</v>
      </c>
      <c r="E478" s="49" t="n">
        <v>1079185181</v>
      </c>
      <c r="F478" s="49" t="n">
        <v>0</v>
      </c>
      <c r="G478" s="50" t="n">
        <f aca="false">IF($A478="","",IF(ISNUMBER($G477),$G477+1,1))</f>
        <v>474</v>
      </c>
      <c r="H478" s="51" t="n">
        <f aca="false">IF(OR(NOT(ISNUMBER($G478)),$G478&lt;2,NOT(ISNUMBER($C477)),$C477=0),"",$C478/$C477-1)</f>
        <v>-0.0127855599725099</v>
      </c>
      <c r="I478" s="52" t="n">
        <f aca="false">IF(AND(ISNUMBER($G478),$G478&gt;=MA_SHORT),AVERAGE(INDEX($C$78:$C478,402-MA_SHORT):$C478),"")</f>
        <v>1077074658</v>
      </c>
      <c r="J478" s="52" t="n">
        <f aca="false">IF(AND(ISNUMBER($G478),$G478&gt;=MA_MED),AVERAGE(INDEX($C$78:$C478,402-MA_MED):$C478),"")</f>
        <v>1083801164.76</v>
      </c>
      <c r="K478" s="52" t="n">
        <f aca="false">IF(AND(ISNUMBER($G478),$G478&gt;=MA_LONG2),AVERAGE(INDEX($C$78:$C478,402-MA_LONG2):$C478),"")</f>
        <v>987639262.715</v>
      </c>
      <c r="L478" s="53" t="n">
        <f aca="false">IF(AND(ISNUMBER($G478),$G478&gt;=21),STDEV(INDEX($H$418:$H478,62-20):$H478)*SQRT(245),"")</f>
        <v>0.239486020722922</v>
      </c>
      <c r="M478" s="52" t="n">
        <f aca="false">IF(AND(ISNUMBER($G478),$G478&gt;=60),MAX(INDEX($D$278:$D478,202-60):$D478),"")</f>
        <v>1147107872</v>
      </c>
      <c r="N478" s="52" t="n">
        <f aca="false">IF(AND(ISNUMBER($G478),$G478&gt;=60),MIN(INDEX($E$278:$E478,202-60):$E478),"")</f>
        <v>1031729920</v>
      </c>
      <c r="O478" s="53" t="n">
        <f aca="false">IF(OR(NOT(ISNUMBER($C478)),NOT(ISNUMBER($M478)),$M478=0),"",$C478/$M478-1)</f>
        <v>-0.0559472997845489</v>
      </c>
      <c r="P478" s="54"/>
      <c r="Q478" s="53" t="str">
        <f aca="false">IF(NOT(ISNUMBER($P478)),"",IFERROR(PERCENTRANK($P$5:$P$1204,$P478),""))</f>
        <v/>
      </c>
    </row>
    <row r="479" customFormat="false" ht="15" hidden="false" customHeight="false" outlineLevel="0" collapsed="false">
      <c r="A479" s="47" t="n">
        <v>46232</v>
      </c>
      <c r="B479" s="48" t="s">
        <v>627</v>
      </c>
      <c r="C479" s="49" t="n">
        <v>1094835937</v>
      </c>
      <c r="D479" s="49" t="n">
        <v>1096859282</v>
      </c>
      <c r="E479" s="49" t="n">
        <v>1092805437</v>
      </c>
      <c r="F479" s="49" t="n">
        <v>0</v>
      </c>
      <c r="G479" s="50" t="n">
        <f aca="false">IF($A479="","",IF(ISNUMBER($G478),$G478+1,1))</f>
        <v>475</v>
      </c>
      <c r="H479" s="51" t="n">
        <f aca="false">IF(OR(NOT(ISNUMBER($G479)),$G479&lt;2,NOT(ISNUMBER($C478)),$C478=0),"",$C479/$C478-1)</f>
        <v>0.0109939237787535</v>
      </c>
      <c r="I479" s="52" t="n">
        <f aca="false">IF(AND(ISNUMBER($G479),$G479&gt;=MA_SHORT),AVERAGE(INDEX($C$79:$C479,402-MA_SHORT):$C479),"")</f>
        <v>1077470972.35</v>
      </c>
      <c r="J479" s="52" t="n">
        <f aca="false">IF(AND(ISNUMBER($G479),$G479&gt;=MA_MED),AVERAGE(INDEX($C$79:$C479,402-MA_MED):$C479),"")</f>
        <v>1083094150.3</v>
      </c>
      <c r="K479" s="52" t="n">
        <f aca="false">IF(AND(ISNUMBER($G479),$G479&gt;=MA_LONG2),AVERAGE(INDEX($C$79:$C479,402-MA_LONG2):$C479),"")</f>
        <v>988618473.505</v>
      </c>
      <c r="L479" s="53" t="n">
        <f aca="false">IF(AND(ISNUMBER($G479),$G479&gt;=21),STDEV(INDEX($H$419:$H479,62-20):$H479)*SQRT(245),"")</f>
        <v>0.242480039163168</v>
      </c>
      <c r="M479" s="52" t="n">
        <f aca="false">IF(AND(ISNUMBER($G479),$G479&gt;=60),MAX(INDEX($D$279:$D479,202-60):$D479),"")</f>
        <v>1147107872</v>
      </c>
      <c r="N479" s="52" t="n">
        <f aca="false">IF(AND(ISNUMBER($G479),$G479&gt;=60),MIN(INDEX($E$279:$E479,202-60):$E479),"")</f>
        <v>1031729920</v>
      </c>
      <c r="O479" s="53" t="n">
        <f aca="false">IF(OR(NOT(ISNUMBER($C479)),NOT(ISNUMBER($M479)),$M479=0),"",$C479/$M479-1)</f>
        <v>-0.0455684563552538</v>
      </c>
      <c r="P479" s="54"/>
      <c r="Q479" s="53" t="str">
        <f aca="false">IF(NOT(ISNUMBER($P479)),"",IFERROR(PERCENTRANK($P$5:$P$1204,$P479),""))</f>
        <v/>
      </c>
    </row>
    <row r="480" customFormat="false" ht="15" hidden="false" customHeight="false" outlineLevel="0" collapsed="false">
      <c r="A480" s="47" t="n">
        <v>46235</v>
      </c>
      <c r="B480" s="48" t="s">
        <v>628</v>
      </c>
      <c r="C480" s="49" t="n">
        <v>1105863567</v>
      </c>
      <c r="D480" s="49" t="n">
        <v>1106472363</v>
      </c>
      <c r="E480" s="49" t="n">
        <v>1103715923</v>
      </c>
      <c r="F480" s="49" t="n">
        <v>0</v>
      </c>
      <c r="G480" s="50" t="n">
        <f aca="false">IF($A480="","",IF(ISNUMBER($G479),$G479+1,1))</f>
        <v>476</v>
      </c>
      <c r="H480" s="51" t="n">
        <f aca="false">IF(OR(NOT(ISNUMBER($G480)),$G480&lt;2,NOT(ISNUMBER($C479)),$C479=0),"",$C480/$C479-1)</f>
        <v>0.0100724041176592</v>
      </c>
      <c r="I480" s="52" t="n">
        <f aca="false">IF(AND(ISNUMBER($G480),$G480&gt;=MA_SHORT),AVERAGE(INDEX($C$80:$C480,402-MA_SHORT):$C480),"")</f>
        <v>1079073402</v>
      </c>
      <c r="J480" s="52" t="n">
        <f aca="false">IF(AND(ISNUMBER($G480),$G480&gt;=MA_MED),AVERAGE(INDEX($C$80:$C480,402-MA_MED):$C480),"")</f>
        <v>1082632604.68</v>
      </c>
      <c r="K480" s="52" t="n">
        <f aca="false">IF(AND(ISNUMBER($G480),$G480&gt;=MA_LONG2),AVERAGE(INDEX($C$80:$C480,402-MA_LONG2):$C480),"")</f>
        <v>989610824.635</v>
      </c>
      <c r="L480" s="53" t="n">
        <f aca="false">IF(AND(ISNUMBER($G480),$G480&gt;=21),STDEV(INDEX($H$420:$H480,62-20):$H480)*SQRT(245),"")</f>
        <v>0.240094725038317</v>
      </c>
      <c r="M480" s="52" t="n">
        <f aca="false">IF(AND(ISNUMBER($G480),$G480&gt;=60),MAX(INDEX($D$280:$D480,202-60):$D480),"")</f>
        <v>1147107872</v>
      </c>
      <c r="N480" s="52" t="n">
        <f aca="false">IF(AND(ISNUMBER($G480),$G480&gt;=60),MIN(INDEX($E$280:$E480,202-60):$E480),"")</f>
        <v>1031729920</v>
      </c>
      <c r="O480" s="53" t="n">
        <f aca="false">IF(OR(NOT(ISNUMBER($C480)),NOT(ISNUMBER($M480)),$M480=0),"",$C480/$M480-1)</f>
        <v>-0.0359550361450226</v>
      </c>
      <c r="P480" s="54"/>
      <c r="Q480" s="53" t="str">
        <f aca="false">IF(NOT(ISNUMBER($P480)),"",IFERROR(PERCENTRANK($P$5:$P$1204,$P480),""))</f>
        <v/>
      </c>
    </row>
    <row r="481" customFormat="false" ht="15" hidden="false" customHeight="false" outlineLevel="0" collapsed="false">
      <c r="A481" s="47" t="n">
        <v>46236</v>
      </c>
      <c r="B481" s="48" t="s">
        <v>629</v>
      </c>
      <c r="C481" s="49" t="n">
        <v>1135070212</v>
      </c>
      <c r="D481" s="49" t="n">
        <v>1140135164</v>
      </c>
      <c r="E481" s="49" t="n">
        <v>1134623222</v>
      </c>
      <c r="F481" s="49" t="n">
        <v>0</v>
      </c>
      <c r="G481" s="50" t="n">
        <f aca="false">IF($A481="","",IF(ISNUMBER($G480),$G480+1,1))</f>
        <v>477</v>
      </c>
      <c r="H481" s="51" t="n">
        <f aca="false">IF(OR(NOT(ISNUMBER($G481)),$G481&lt;2,NOT(ISNUMBER($C480)),$C480=0),"",$C481/$C480-1)</f>
        <v>0.026410712742108</v>
      </c>
      <c r="I481" s="52" t="n">
        <f aca="false">IF(AND(ISNUMBER($G481),$G481&gt;=MA_SHORT),AVERAGE(INDEX($C$81:$C481,402-MA_SHORT):$C481),"")</f>
        <v>1082817510.9</v>
      </c>
      <c r="J481" s="52" t="n">
        <f aca="false">IF(AND(ISNUMBER($G481),$G481&gt;=MA_MED),AVERAGE(INDEX($C$81:$C481,402-MA_MED):$C481),"")</f>
        <v>1082603397.58</v>
      </c>
      <c r="K481" s="52" t="n">
        <f aca="false">IF(AND(ISNUMBER($G481),$G481&gt;=MA_LONG2),AVERAGE(INDEX($C$81:$C481,402-MA_LONG2):$C481),"")</f>
        <v>990808865.04</v>
      </c>
      <c r="L481" s="53" t="n">
        <f aca="false">IF(AND(ISNUMBER($G481),$G481&gt;=21),STDEV(INDEX($H$421:$H481,62-20):$H481)*SQRT(245),"")</f>
        <v>0.24895998958523</v>
      </c>
      <c r="M481" s="52" t="n">
        <f aca="false">IF(AND(ISNUMBER($G481),$G481&gt;=60),MAX(INDEX($D$281:$D481,202-60):$D481),"")</f>
        <v>1147107872</v>
      </c>
      <c r="N481" s="52" t="n">
        <f aca="false">IF(AND(ISNUMBER($G481),$G481&gt;=60),MIN(INDEX($E$281:$E481,202-60):$E481),"")</f>
        <v>1031729920</v>
      </c>
      <c r="O481" s="53" t="n">
        <f aca="false">IF(OR(NOT(ISNUMBER($C481)),NOT(ISNUMBER($M481)),$M481=0),"",$C481/$M481-1)</f>
        <v>-0.0104939215341728</v>
      </c>
      <c r="P481" s="54"/>
      <c r="Q481" s="53" t="str">
        <f aca="false">IF(NOT(ISNUMBER($P481)),"",IFERROR(PERCENTRANK($P$5:$P$1204,$P481),""))</f>
        <v/>
      </c>
    </row>
    <row r="482" customFormat="false" ht="15" hidden="false" customHeight="false" outlineLevel="0" collapsed="false">
      <c r="A482" s="47" t="n">
        <v>46237</v>
      </c>
      <c r="B482" s="48" t="s">
        <v>630</v>
      </c>
      <c r="C482" s="49" t="n">
        <v>1125304862</v>
      </c>
      <c r="D482" s="49" t="n">
        <v>1126558909</v>
      </c>
      <c r="E482" s="49" t="n">
        <v>1120487576</v>
      </c>
      <c r="F482" s="49" t="n">
        <v>0</v>
      </c>
      <c r="G482" s="50" t="n">
        <f aca="false">IF($A482="","",IF(ISNUMBER($G481),$G481+1,1))</f>
        <v>478</v>
      </c>
      <c r="H482" s="51" t="n">
        <f aca="false">IF(OR(NOT(ISNUMBER($G482)),$G482&lt;2,NOT(ISNUMBER($C481)),$C481=0),"",$C482/$C481-1)</f>
        <v>-0.00860330039213464</v>
      </c>
      <c r="I482" s="52" t="n">
        <f aca="false">IF(AND(ISNUMBER($G482),$G482&gt;=MA_SHORT),AVERAGE(INDEX($C$82:$C482,402-MA_SHORT):$C482),"")</f>
        <v>1086378509.1</v>
      </c>
      <c r="J482" s="52" t="n">
        <f aca="false">IF(AND(ISNUMBER($G482),$G482&gt;=MA_MED),AVERAGE(INDEX($C$82:$C482,402-MA_MED):$C482),"")</f>
        <v>1082667595.38</v>
      </c>
      <c r="K482" s="52" t="n">
        <f aca="false">IF(AND(ISNUMBER($G482),$G482&gt;=MA_LONG2),AVERAGE(INDEX($C$82:$C482,402-MA_LONG2):$C482),"")</f>
        <v>991916920.62</v>
      </c>
      <c r="L482" s="53" t="n">
        <f aca="false">IF(AND(ISNUMBER($G482),$G482&gt;=21),STDEV(INDEX($H$422:$H482,62-20):$H482)*SQRT(245),"")</f>
        <v>0.250524878961671</v>
      </c>
      <c r="M482" s="52" t="n">
        <f aca="false">IF(AND(ISNUMBER($G482),$G482&gt;=60),MAX(INDEX($D$282:$D482,202-60):$D482),"")</f>
        <v>1147107872</v>
      </c>
      <c r="N482" s="52" t="n">
        <f aca="false">IF(AND(ISNUMBER($G482),$G482&gt;=60),MIN(INDEX($E$282:$E482,202-60):$E482),"")</f>
        <v>1031729920</v>
      </c>
      <c r="O482" s="53" t="n">
        <f aca="false">IF(OR(NOT(ISNUMBER($C482)),NOT(ISNUMBER($M482)),$M482=0),"",$C482/$M482-1)</f>
        <v>-0.0190069395670576</v>
      </c>
      <c r="P482" s="54"/>
      <c r="Q482" s="53" t="str">
        <f aca="false">IF(NOT(ISNUMBER($P482)),"",IFERROR(PERCENTRANK($P$5:$P$1204,$P482),""))</f>
        <v/>
      </c>
    </row>
    <row r="483" customFormat="false" ht="15" hidden="false" customHeight="false" outlineLevel="0" collapsed="false">
      <c r="A483" s="47" t="n">
        <v>46238</v>
      </c>
      <c r="B483" s="48" t="s">
        <v>631</v>
      </c>
      <c r="C483" s="49" t="n">
        <v>1101822550</v>
      </c>
      <c r="D483" s="49" t="n">
        <v>1108649777</v>
      </c>
      <c r="E483" s="49" t="n">
        <v>1099967329</v>
      </c>
      <c r="F483" s="49" t="n">
        <v>0</v>
      </c>
      <c r="G483" s="50" t="n">
        <f aca="false">IF($A483="","",IF(ISNUMBER($G482),$G482+1,1))</f>
        <v>479</v>
      </c>
      <c r="H483" s="51" t="n">
        <f aca="false">IF(OR(NOT(ISNUMBER($G483)),$G483&lt;2,NOT(ISNUMBER($C482)),$C482=0),"",$C483/$C482-1)</f>
        <v>-0.0208675113677772</v>
      </c>
      <c r="I483" s="52" t="n">
        <f aca="false">IF(AND(ISNUMBER($G483),$G483&gt;=MA_SHORT),AVERAGE(INDEX($C$83:$C483,402-MA_SHORT):$C483),"")</f>
        <v>1089071925</v>
      </c>
      <c r="J483" s="52" t="n">
        <f aca="false">IF(AND(ISNUMBER($G483),$G483&gt;=MA_MED),AVERAGE(INDEX($C$83:$C483,402-MA_MED):$C483),"")</f>
        <v>1082567765.82</v>
      </c>
      <c r="K483" s="52" t="n">
        <f aca="false">IF(AND(ISNUMBER($G483),$G483&gt;=MA_LONG2),AVERAGE(INDEX($C$83:$C483,402-MA_LONG2):$C483),"")</f>
        <v>992888665.74</v>
      </c>
      <c r="L483" s="53" t="n">
        <f aca="false">IF(AND(ISNUMBER($G483),$G483&gt;=21),STDEV(INDEX($H$423:$H483,62-20):$H483)*SQRT(245),"")</f>
        <v>0.262894852195198</v>
      </c>
      <c r="M483" s="52" t="n">
        <f aca="false">IF(AND(ISNUMBER($G483),$G483&gt;=60),MAX(INDEX($D$283:$D483,202-60):$D483),"")</f>
        <v>1147107872</v>
      </c>
      <c r="N483" s="52" t="n">
        <f aca="false">IF(AND(ISNUMBER($G483),$G483&gt;=60),MIN(INDEX($E$283:$E483,202-60):$E483),"")</f>
        <v>1031729920</v>
      </c>
      <c r="O483" s="53" t="n">
        <f aca="false">IF(OR(NOT(ISNUMBER($C483)),NOT(ISNUMBER($M483)),$M483=0),"",$C483/$M483-1)</f>
        <v>-0.0394778234073526</v>
      </c>
      <c r="P483" s="54"/>
      <c r="Q483" s="53" t="str">
        <f aca="false">IF(NOT(ISNUMBER($P483)),"",IFERROR(PERCENTRANK($P$5:$P$1204,$P483),""))</f>
        <v/>
      </c>
    </row>
    <row r="484" customFormat="false" ht="15" hidden="false" customHeight="false" outlineLevel="0" collapsed="false">
      <c r="A484" s="47" t="n">
        <v>46239</v>
      </c>
      <c r="B484" s="48" t="s">
        <v>632</v>
      </c>
      <c r="C484" s="49" t="n">
        <v>1103589081</v>
      </c>
      <c r="D484" s="49" t="n">
        <v>1104001566</v>
      </c>
      <c r="E484" s="49" t="n">
        <v>1102742704</v>
      </c>
      <c r="F484" s="49" t="n">
        <v>0</v>
      </c>
      <c r="G484" s="50" t="n">
        <f aca="false">IF($A484="","",IF(ISNUMBER($G483),$G483+1,1))</f>
        <v>480</v>
      </c>
      <c r="H484" s="51" t="n">
        <f aca="false">IF(OR(NOT(ISNUMBER($G484)),$G484&lt;2,NOT(ISNUMBER($C483)),$C483=0),"",$C484/$C483-1)</f>
        <v>0.00160328085497974</v>
      </c>
      <c r="I484" s="52" t="n">
        <f aca="false">IF(AND(ISNUMBER($G484),$G484&gt;=MA_SHORT),AVERAGE(INDEX($C$84:$C484,402-MA_SHORT):$C484),"")</f>
        <v>1092330918.3</v>
      </c>
      <c r="J484" s="52" t="n">
        <f aca="false">IF(AND(ISNUMBER($G484),$G484&gt;=MA_MED),AVERAGE(INDEX($C$84:$C484,402-MA_MED):$C484),"")</f>
        <v>1082708005.96</v>
      </c>
      <c r="K484" s="52" t="n">
        <f aca="false">IF(AND(ISNUMBER($G484),$G484&gt;=MA_LONG2),AVERAGE(INDEX($C$84:$C484,402-MA_LONG2):$C484),"")</f>
        <v>993795017.765</v>
      </c>
      <c r="L484" s="53" t="n">
        <f aca="false">IF(AND(ISNUMBER($G484),$G484&gt;=21),STDEV(INDEX($H$424:$H484,62-20):$H484)*SQRT(245),"")</f>
        <v>0.259370227891697</v>
      </c>
      <c r="M484" s="52" t="n">
        <f aca="false">IF(AND(ISNUMBER($G484),$G484&gt;=60),MAX(INDEX($D$284:$D484,202-60):$D484),"")</f>
        <v>1147107872</v>
      </c>
      <c r="N484" s="52" t="n">
        <f aca="false">IF(AND(ISNUMBER($G484),$G484&gt;=60),MIN(INDEX($E$284:$E484,202-60):$E484),"")</f>
        <v>1031729920</v>
      </c>
      <c r="O484" s="53" t="n">
        <f aca="false">IF(OR(NOT(ISNUMBER($C484)),NOT(ISNUMBER($M484)),$M484=0),"",$C484/$M484-1)</f>
        <v>-0.0379378365908381</v>
      </c>
      <c r="P484" s="54"/>
      <c r="Q484" s="53" t="str">
        <f aca="false">IF(NOT(ISNUMBER($P484)),"",IFERROR(PERCENTRANK($P$5:$P$1204,$P484),""))</f>
        <v/>
      </c>
    </row>
    <row r="485" customFormat="false" ht="15" hidden="false" customHeight="false" outlineLevel="0" collapsed="false">
      <c r="A485" s="47" t="n">
        <v>46242</v>
      </c>
      <c r="B485" s="48" t="s">
        <v>633</v>
      </c>
      <c r="C485" s="49" t="n">
        <v>1111814064</v>
      </c>
      <c r="D485" s="49" t="n">
        <v>1113582969</v>
      </c>
      <c r="E485" s="49" t="n">
        <v>1106851293</v>
      </c>
      <c r="F485" s="49" t="n">
        <v>0</v>
      </c>
      <c r="G485" s="50" t="n">
        <f aca="false">IF($A485="","",IF(ISNUMBER($G484),$G484+1,1))</f>
        <v>481</v>
      </c>
      <c r="H485" s="51" t="n">
        <f aca="false">IF(OR(NOT(ISNUMBER($G485)),$G485&lt;2,NOT(ISNUMBER($C484)),$C484=0),"",$C485/$C484-1)</f>
        <v>0.00745293981392692</v>
      </c>
      <c r="I485" s="52" t="n">
        <f aca="false">IF(AND(ISNUMBER($G485),$G485&gt;=MA_SHORT),AVERAGE(INDEX($C$85:$C485,402-MA_SHORT):$C485),"")</f>
        <v>1095234502.15</v>
      </c>
      <c r="J485" s="52" t="n">
        <f aca="false">IF(AND(ISNUMBER($G485),$G485&gt;=MA_MED),AVERAGE(INDEX($C$85:$C485,402-MA_MED):$C485),"")</f>
        <v>1083513551.76</v>
      </c>
      <c r="K485" s="52" t="n">
        <f aca="false">IF(AND(ISNUMBER($G485),$G485&gt;=MA_LONG2),AVERAGE(INDEX($C$85:$C485,402-MA_LONG2):$C485),"")</f>
        <v>994608801.225</v>
      </c>
      <c r="L485" s="53" t="n">
        <f aca="false">IF(AND(ISNUMBER($G485),$G485&gt;=21),STDEV(INDEX($H$425:$H485,62-20):$H485)*SQRT(245),"")</f>
        <v>0.256403447743613</v>
      </c>
      <c r="M485" s="52" t="n">
        <f aca="false">IF(AND(ISNUMBER($G485),$G485&gt;=60),MAX(INDEX($D$285:$D485,202-60):$D485),"")</f>
        <v>1147107872</v>
      </c>
      <c r="N485" s="52" t="n">
        <f aca="false">IF(AND(ISNUMBER($G485),$G485&gt;=60),MIN(INDEX($E$285:$E485,202-60):$E485),"")</f>
        <v>1031729920</v>
      </c>
      <c r="O485" s="53" t="n">
        <f aca="false">IF(OR(NOT(ISNUMBER($C485)),NOT(ISNUMBER($M485)),$M485=0),"",$C485/$M485-1)</f>
        <v>-0.0307676451896932</v>
      </c>
      <c r="P485" s="54"/>
      <c r="Q485" s="53" t="str">
        <f aca="false">IF(NOT(ISNUMBER($P485)),"",IFERROR(PERCENTRANK($P$5:$P$1204,$P485),""))</f>
        <v/>
      </c>
    </row>
    <row r="486" customFormat="false" ht="15" hidden="false" customHeight="false" outlineLevel="0" collapsed="false">
      <c r="A486" s="47" t="n">
        <v>46243</v>
      </c>
      <c r="B486" s="48" t="s">
        <v>634</v>
      </c>
      <c r="C486" s="49" t="n">
        <v>1110394815</v>
      </c>
      <c r="D486" s="49" t="n">
        <v>1116916171</v>
      </c>
      <c r="E486" s="49" t="n">
        <v>1105271574</v>
      </c>
      <c r="F486" s="49" t="n">
        <v>0</v>
      </c>
      <c r="G486" s="50" t="n">
        <f aca="false">IF($A486="","",IF(ISNUMBER($G485),$G485+1,1))</f>
        <v>482</v>
      </c>
      <c r="H486" s="51" t="n">
        <f aca="false">IF(OR(NOT(ISNUMBER($G486)),$G486&lt;2,NOT(ISNUMBER($C485)),$C485=0),"",$C486/$C485-1)</f>
        <v>-0.00127651650213345</v>
      </c>
      <c r="I486" s="52" t="n">
        <f aca="false">IF(AND(ISNUMBER($G486),$G486&gt;=MA_SHORT),AVERAGE(INDEX($C$86:$C486,402-MA_SHORT):$C486),"")</f>
        <v>1097628396.4</v>
      </c>
      <c r="J486" s="52" t="n">
        <f aca="false">IF(AND(ISNUMBER($G486),$G486&gt;=MA_MED),AVERAGE(INDEX($C$86:$C486,402-MA_MED):$C486),"")</f>
        <v>1083994213.5</v>
      </c>
      <c r="K486" s="52" t="n">
        <f aca="false">IF(AND(ISNUMBER($G486),$G486&gt;=MA_LONG2),AVERAGE(INDEX($C$86:$C486,402-MA_LONG2):$C486),"")</f>
        <v>995468899.515</v>
      </c>
      <c r="L486" s="53" t="n">
        <f aca="false">IF(AND(ISNUMBER($G486),$G486&gt;=21),STDEV(INDEX($H$426:$H486,62-20):$H486)*SQRT(245),"")</f>
        <v>0.255943213952699</v>
      </c>
      <c r="M486" s="52" t="n">
        <f aca="false">IF(AND(ISNUMBER($G486),$G486&gt;=60),MAX(INDEX($D$286:$D486,202-60):$D486),"")</f>
        <v>1147107872</v>
      </c>
      <c r="N486" s="52" t="n">
        <f aca="false">IF(AND(ISNUMBER($G486),$G486&gt;=60),MIN(INDEX($E$286:$E486,202-60):$E486),"")</f>
        <v>1031729920</v>
      </c>
      <c r="O486" s="53" t="n">
        <f aca="false">IF(OR(NOT(ISNUMBER($C486)),NOT(ISNUMBER($M486)),$M486=0),"",$C486/$M486-1)</f>
        <v>-0.0320048862850102</v>
      </c>
      <c r="P486" s="54"/>
      <c r="Q486" s="53" t="str">
        <f aca="false">IF(NOT(ISNUMBER($P486)),"",IFERROR(PERCENTRANK($P$5:$P$1204,$P486),""))</f>
        <v/>
      </c>
    </row>
    <row r="487" customFormat="false" ht="15" hidden="false" customHeight="false" outlineLevel="0" collapsed="false">
      <c r="A487" s="47" t="n">
        <v>46244</v>
      </c>
      <c r="B487" s="48" t="s">
        <v>635</v>
      </c>
      <c r="C487" s="49" t="n">
        <v>1118032549</v>
      </c>
      <c r="D487" s="49" t="n">
        <v>1122179400</v>
      </c>
      <c r="E487" s="49" t="n">
        <v>1110393149</v>
      </c>
      <c r="F487" s="49" t="n">
        <v>0</v>
      </c>
      <c r="G487" s="50" t="n">
        <f aca="false">IF($A487="","",IF(ISNUMBER($G486),$G486+1,1))</f>
        <v>483</v>
      </c>
      <c r="H487" s="51" t="n">
        <f aca="false">IF(OR(NOT(ISNUMBER($G487)),$G487&lt;2,NOT(ISNUMBER($C486)),$C486=0),"",$C487/$C486-1)</f>
        <v>0.00687839487074693</v>
      </c>
      <c r="I487" s="52" t="n">
        <f aca="false">IF(AND(ISNUMBER($G487),$G487&gt;=MA_SHORT),AVERAGE(INDEX($C$87:$C487,402-MA_SHORT):$C487),"")</f>
        <v>1100335169.2</v>
      </c>
      <c r="J487" s="52" t="n">
        <f aca="false">IF(AND(ISNUMBER($G487),$G487&gt;=MA_MED),AVERAGE(INDEX($C$87:$C487,402-MA_MED):$C487),"")</f>
        <v>1084736883.6</v>
      </c>
      <c r="K487" s="52" t="n">
        <f aca="false">IF(AND(ISNUMBER($G487),$G487&gt;=MA_LONG2),AVERAGE(INDEX($C$87:$C487,402-MA_LONG2):$C487),"")</f>
        <v>996332932.735</v>
      </c>
      <c r="L487" s="53" t="n">
        <f aca="false">IF(AND(ISNUMBER($G487),$G487&gt;=21),STDEV(INDEX($H$427:$H487,62-20):$H487)*SQRT(245),"")</f>
        <v>0.25639709314583</v>
      </c>
      <c r="M487" s="52" t="n">
        <f aca="false">IF(AND(ISNUMBER($G487),$G487&gt;=60),MAX(INDEX($D$287:$D487,202-60):$D487),"")</f>
        <v>1140135164</v>
      </c>
      <c r="N487" s="52" t="n">
        <f aca="false">IF(AND(ISNUMBER($G487),$G487&gt;=60),MIN(INDEX($E$287:$E487,202-60):$E487),"")</f>
        <v>1031729920</v>
      </c>
      <c r="O487" s="53" t="n">
        <f aca="false">IF(OR(NOT(ISNUMBER($C487)),NOT(ISNUMBER($M487)),$M487=0),"",$C487/$M487-1)</f>
        <v>-0.01938596027725</v>
      </c>
      <c r="P487" s="54"/>
      <c r="Q487" s="53" t="str">
        <f aca="false">IF(NOT(ISNUMBER($P487)),"",IFERROR(PERCENTRANK($P$5:$P$1204,$P487),""))</f>
        <v/>
      </c>
    </row>
    <row r="488" customFormat="false" ht="15" hidden="false" customHeight="false" outlineLevel="0" collapsed="false">
      <c r="A488" s="47" t="n">
        <v>46245</v>
      </c>
      <c r="B488" s="48" t="s">
        <v>636</v>
      </c>
      <c r="C488" s="49" t="n">
        <v>1125370835</v>
      </c>
      <c r="D488" s="49" t="n">
        <v>1125522468</v>
      </c>
      <c r="E488" s="49" t="n">
        <v>1121536724</v>
      </c>
      <c r="F488" s="49" t="n">
        <v>0</v>
      </c>
      <c r="G488" s="50" t="n">
        <f aca="false">IF($A488="","",IF(ISNUMBER($G487),$G487+1,1))</f>
        <v>484</v>
      </c>
      <c r="H488" s="51" t="n">
        <f aca="false">IF(OR(NOT(ISNUMBER($G488)),$G488&lt;2,NOT(ISNUMBER($C487)),$C487=0),"",$C488/$C487-1)</f>
        <v>0.00656357098598215</v>
      </c>
      <c r="I488" s="52" t="n">
        <f aca="false">IF(AND(ISNUMBER($G488),$G488&gt;=MA_SHORT),AVERAGE(INDEX($C$88:$C488,402-MA_SHORT):$C488),"")</f>
        <v>1102736793.4</v>
      </c>
      <c r="J488" s="52" t="n">
        <f aca="false">IF(AND(ISNUMBER($G488),$G488&gt;=MA_MED),AVERAGE(INDEX($C$88:$C488,402-MA_MED):$C488),"")</f>
        <v>1085609772.32</v>
      </c>
      <c r="K488" s="52" t="n">
        <f aca="false">IF(AND(ISNUMBER($G488),$G488&gt;=MA_LONG2),AVERAGE(INDEX($C$88:$C488,402-MA_LONG2):$C488),"")</f>
        <v>997291326.245</v>
      </c>
      <c r="L488" s="53" t="n">
        <f aca="false">IF(AND(ISNUMBER($G488),$G488&gt;=21),STDEV(INDEX($H$428:$H488,62-20):$H488)*SQRT(245),"")</f>
        <v>0.254208424036871</v>
      </c>
      <c r="M488" s="52" t="n">
        <f aca="false">IF(AND(ISNUMBER($G488),$G488&gt;=60),MAX(INDEX($D$288:$D488,202-60):$D488),"")</f>
        <v>1140135164</v>
      </c>
      <c r="N488" s="52" t="n">
        <f aca="false">IF(AND(ISNUMBER($G488),$G488&gt;=60),MIN(INDEX($E$288:$E488,202-60):$E488),"")</f>
        <v>1031729920</v>
      </c>
      <c r="O488" s="53" t="n">
        <f aca="false">IF(OR(NOT(ISNUMBER($C488)),NOT(ISNUMBER($M488)),$M488=0),"",$C488/$M488-1)</f>
        <v>-0.0129496304176792</v>
      </c>
      <c r="P488" s="54"/>
      <c r="Q488" s="53" t="str">
        <f aca="false">IF(NOT(ISNUMBER($P488)),"",IFERROR(PERCENTRANK($P$5:$P$1204,$P488),""))</f>
        <v/>
      </c>
    </row>
    <row r="489" customFormat="false" ht="15" hidden="false" customHeight="false" outlineLevel="0" collapsed="false">
      <c r="A489" s="47" t="n">
        <v>46246</v>
      </c>
      <c r="B489" s="48" t="s">
        <v>637</v>
      </c>
      <c r="C489" s="49" t="n">
        <v>1147221635</v>
      </c>
      <c r="D489" s="49" t="n">
        <v>1154098116</v>
      </c>
      <c r="E489" s="49" t="n">
        <v>1145247751</v>
      </c>
      <c r="F489" s="49" t="n">
        <v>0</v>
      </c>
      <c r="G489" s="50" t="n">
        <f aca="false">IF($A489="","",IF(ISNUMBER($G488),$G488+1,1))</f>
        <v>485</v>
      </c>
      <c r="H489" s="51" t="n">
        <f aca="false">IF(OR(NOT(ISNUMBER($G489)),$G489&lt;2,NOT(ISNUMBER($C488)),$C488=0),"",$C489/$C488-1)</f>
        <v>0.0194165330399734</v>
      </c>
      <c r="I489" s="52" t="n">
        <f aca="false">IF(AND(ISNUMBER($G489),$G489&gt;=MA_SHORT),AVERAGE(INDEX($C$89:$C489,402-MA_SHORT):$C489),"")</f>
        <v>1106766288.1</v>
      </c>
      <c r="J489" s="52" t="n">
        <f aca="false">IF(AND(ISNUMBER($G489),$G489&gt;=MA_MED),AVERAGE(INDEX($C$89:$C489,402-MA_MED):$C489),"")</f>
        <v>1086784124.44</v>
      </c>
      <c r="K489" s="52" t="n">
        <f aca="false">IF(AND(ISNUMBER($G489),$G489&gt;=MA_LONG2),AVERAGE(INDEX($C$89:$C489,402-MA_LONG2):$C489),"")</f>
        <v>998323321.38</v>
      </c>
      <c r="L489" s="53" t="n">
        <f aca="false">IF(AND(ISNUMBER($G489),$G489&gt;=21),STDEV(INDEX($H$429:$H489,62-20):$H489)*SQRT(245),"")</f>
        <v>0.256722609354977</v>
      </c>
      <c r="M489" s="52" t="n">
        <f aca="false">IF(AND(ISNUMBER($G489),$G489&gt;=60),MAX(INDEX($D$289:$D489,202-60):$D489),"")</f>
        <v>1154098116</v>
      </c>
      <c r="N489" s="52" t="n">
        <f aca="false">IF(AND(ISNUMBER($G489),$G489&gt;=60),MIN(INDEX($E$289:$E489,202-60):$E489),"")</f>
        <v>1031729920</v>
      </c>
      <c r="O489" s="53" t="n">
        <f aca="false">IF(OR(NOT(ISNUMBER($C489)),NOT(ISNUMBER($M489)),$M489=0),"",$C489/$M489-1)</f>
        <v>-0.0059583157659362</v>
      </c>
      <c r="P489" s="54"/>
      <c r="Q489" s="53" t="str">
        <f aca="false">IF(NOT(ISNUMBER($P489)),"",IFERROR(PERCENTRANK($P$5:$P$1204,$P489),""))</f>
        <v/>
      </c>
    </row>
    <row r="490" customFormat="false" ht="15" hidden="false" customHeight="false" outlineLevel="0" collapsed="false">
      <c r="A490" s="47" t="n">
        <v>46249</v>
      </c>
      <c r="B490" s="48" t="s">
        <v>638</v>
      </c>
      <c r="C490" s="49" t="n">
        <v>1136157790</v>
      </c>
      <c r="D490" s="49" t="n">
        <v>1137332537</v>
      </c>
      <c r="E490" s="49" t="n">
        <v>1134377546</v>
      </c>
      <c r="F490" s="49" t="n">
        <v>0</v>
      </c>
      <c r="G490" s="50" t="n">
        <f aca="false">IF($A490="","",IF(ISNUMBER($G489),$G489+1,1))</f>
        <v>486</v>
      </c>
      <c r="H490" s="51" t="n">
        <f aca="false">IF(OR(NOT(ISNUMBER($G490)),$G490&lt;2,NOT(ISNUMBER($C489)),$C489=0),"",$C490/$C489-1)</f>
        <v>-0.00964403447638951</v>
      </c>
      <c r="I490" s="52" t="n">
        <f aca="false">IF(AND(ISNUMBER($G490),$G490&gt;=MA_SHORT),AVERAGE(INDEX($C$90:$C490,402-MA_SHORT):$C490),"")</f>
        <v>1110908107</v>
      </c>
      <c r="J490" s="52" t="n">
        <f aca="false">IF(AND(ISNUMBER($G490),$G490&gt;=MA_MED),AVERAGE(INDEX($C$90:$C490,402-MA_MED):$C490),"")</f>
        <v>1087852102.62</v>
      </c>
      <c r="K490" s="52" t="n">
        <f aca="false">IF(AND(ISNUMBER($G490),$G490&gt;=MA_LONG2),AVERAGE(INDEX($C$90:$C490,402-MA_LONG2):$C490),"")</f>
        <v>999348118.685</v>
      </c>
      <c r="L490" s="53" t="n">
        <f aca="false">IF(AND(ISNUMBER($G490),$G490&gt;=21),STDEV(INDEX($H$430:$H490,62-20):$H490)*SQRT(245),"")</f>
        <v>0.254590962811206</v>
      </c>
      <c r="M490" s="52" t="n">
        <f aca="false">IF(AND(ISNUMBER($G490),$G490&gt;=60),MAX(INDEX($D$290:$D490,202-60):$D490),"")</f>
        <v>1154098116</v>
      </c>
      <c r="N490" s="52" t="n">
        <f aca="false">IF(AND(ISNUMBER($G490),$G490&gt;=60),MIN(INDEX($E$290:$E490,202-60):$E490),"")</f>
        <v>1031729920</v>
      </c>
      <c r="O490" s="53" t="n">
        <f aca="false">IF(OR(NOT(ISNUMBER($C490)),NOT(ISNUMBER($M490)),$M490=0),"",$C490/$M490-1)</f>
        <v>-0.0155448880396578</v>
      </c>
      <c r="P490" s="54"/>
      <c r="Q490" s="53" t="str">
        <f aca="false">IF(NOT(ISNUMBER($P490)),"",IFERROR(PERCENTRANK($P$5:$P$1204,$P490),""))</f>
        <v/>
      </c>
    </row>
    <row r="491" customFormat="false" ht="15" hidden="false" customHeight="false" outlineLevel="0" collapsed="false">
      <c r="A491" s="47" t="n">
        <v>46250</v>
      </c>
      <c r="B491" s="48" t="s">
        <v>639</v>
      </c>
      <c r="C491" s="49" t="n">
        <v>1139489688</v>
      </c>
      <c r="D491" s="49" t="n">
        <v>1140737872</v>
      </c>
      <c r="E491" s="49" t="n">
        <v>1139079858</v>
      </c>
      <c r="F491" s="49" t="n">
        <v>0</v>
      </c>
      <c r="G491" s="50" t="n">
        <f aca="false">IF($A491="","",IF(ISNUMBER($G490),$G490+1,1))</f>
        <v>487</v>
      </c>
      <c r="H491" s="51" t="n">
        <f aca="false">IF(OR(NOT(ISNUMBER($G491)),$G491&lt;2,NOT(ISNUMBER($C490)),$C490=0),"",$C491/$C490-1)</f>
        <v>0.002932601465506</v>
      </c>
      <c r="I491" s="52" t="n">
        <f aca="false">IF(AND(ISNUMBER($G491),$G491&gt;=MA_SHORT),AVERAGE(INDEX($C$91:$C491,402-MA_SHORT):$C491),"")</f>
        <v>1113937942.15</v>
      </c>
      <c r="J491" s="52" t="n">
        <f aca="false">IF(AND(ISNUMBER($G491),$G491&gt;=MA_MED),AVERAGE(INDEX($C$91:$C491,402-MA_MED):$C491),"")</f>
        <v>1088682840.8</v>
      </c>
      <c r="K491" s="52" t="n">
        <f aca="false">IF(AND(ISNUMBER($G491),$G491&gt;=MA_LONG2),AVERAGE(INDEX($C$91:$C491,402-MA_LONG2):$C491),"")</f>
        <v>1000435183.95</v>
      </c>
      <c r="L491" s="53" t="n">
        <f aca="false">IF(AND(ISNUMBER($G491),$G491&gt;=21),STDEV(INDEX($H$431:$H491,62-20):$H491)*SQRT(245),"")</f>
        <v>0.243291154770563</v>
      </c>
      <c r="M491" s="52" t="n">
        <f aca="false">IF(AND(ISNUMBER($G491),$G491&gt;=60),MAX(INDEX($D$291:$D491,202-60):$D491),"")</f>
        <v>1154098116</v>
      </c>
      <c r="N491" s="52" t="n">
        <f aca="false">IF(AND(ISNUMBER($G491),$G491&gt;=60),MIN(INDEX($E$291:$E491,202-60):$E491),"")</f>
        <v>1031729920</v>
      </c>
      <c r="O491" s="53" t="n">
        <f aca="false">IF(OR(NOT(ISNUMBER($C491)),NOT(ISNUMBER($M491)),$M491=0),"",$C491/$M491-1)</f>
        <v>-0.0126578735355981</v>
      </c>
      <c r="P491" s="54"/>
      <c r="Q491" s="53" t="str">
        <f aca="false">IF(NOT(ISNUMBER($P491)),"",IFERROR(PERCENTRANK($P$5:$P$1204,$P491),""))</f>
        <v/>
      </c>
    </row>
    <row r="492" customFormat="false" ht="15" hidden="false" customHeight="false" outlineLevel="0" collapsed="false">
      <c r="A492" s="47" t="n">
        <v>46251</v>
      </c>
      <c r="B492" s="48" t="s">
        <v>640</v>
      </c>
      <c r="C492" s="49" t="n">
        <v>1143503253</v>
      </c>
      <c r="D492" s="49" t="n">
        <v>1158035379</v>
      </c>
      <c r="E492" s="49" t="n">
        <v>1139510861</v>
      </c>
      <c r="F492" s="49" t="n">
        <v>0</v>
      </c>
      <c r="G492" s="50" t="n">
        <f aca="false">IF($A492="","",IF(ISNUMBER($G491),$G491+1,1))</f>
        <v>488</v>
      </c>
      <c r="H492" s="51" t="n">
        <f aca="false">IF(OR(NOT(ISNUMBER($G492)),$G492&lt;2,NOT(ISNUMBER($C491)),$C491=0),"",$C492/$C491-1)</f>
        <v>0.00352224775903376</v>
      </c>
      <c r="I492" s="52" t="n">
        <f aca="false">IF(AND(ISNUMBER($G492),$G492&gt;=MA_SHORT),AVERAGE(INDEX($C$92:$C492,402-MA_SHORT):$C492),"")</f>
        <v>1115647980.35</v>
      </c>
      <c r="J492" s="52" t="n">
        <f aca="false">IF(AND(ISNUMBER($G492),$G492&gt;=MA_MED),AVERAGE(INDEX($C$92:$C492,402-MA_MED):$C492),"")</f>
        <v>1089602744.16</v>
      </c>
      <c r="K492" s="52" t="n">
        <f aca="false">IF(AND(ISNUMBER($G492),$G492&gt;=MA_LONG2),AVERAGE(INDEX($C$92:$C492,402-MA_LONG2):$C492),"")</f>
        <v>1001469075.095</v>
      </c>
      <c r="L492" s="53" t="n">
        <f aca="false">IF(AND(ISNUMBER($G492),$G492&gt;=21),STDEV(INDEX($H$432:$H492,62-20):$H492)*SQRT(245),"")</f>
        <v>0.224783310777226</v>
      </c>
      <c r="M492" s="52" t="n">
        <f aca="false">IF(AND(ISNUMBER($G492),$G492&gt;=60),MAX(INDEX($D$292:$D492,202-60):$D492),"")</f>
        <v>1158035379</v>
      </c>
      <c r="N492" s="52" t="n">
        <f aca="false">IF(AND(ISNUMBER($G492),$G492&gt;=60),MIN(INDEX($E$292:$E492,202-60):$E492),"")</f>
        <v>1031729920</v>
      </c>
      <c r="O492" s="53" t="n">
        <f aca="false">IF(OR(NOT(ISNUMBER($C492)),NOT(ISNUMBER($M492)),$M492=0),"",$C492/$M492-1)</f>
        <v>-0.0125489482130925</v>
      </c>
      <c r="P492" s="54"/>
      <c r="Q492" s="53" t="str">
        <f aca="false">IF(NOT(ISNUMBER($P492)),"",IFERROR(PERCENTRANK($P$5:$P$1204,$P492),""))</f>
        <v/>
      </c>
    </row>
    <row r="493" customFormat="false" ht="15" hidden="false" customHeight="false" outlineLevel="0" collapsed="false">
      <c r="A493" s="47" t="n">
        <v>46252</v>
      </c>
      <c r="B493" s="48" t="s">
        <v>641</v>
      </c>
      <c r="C493" s="49" t="n">
        <v>1154769417</v>
      </c>
      <c r="D493" s="49" t="n">
        <v>1156277976</v>
      </c>
      <c r="E493" s="49" t="n">
        <v>1153947530</v>
      </c>
      <c r="F493" s="49" t="n">
        <v>0</v>
      </c>
      <c r="G493" s="50" t="n">
        <f aca="false">IF($A493="","",IF(ISNUMBER($G492),$G492+1,1))</f>
        <v>489</v>
      </c>
      <c r="H493" s="51" t="n">
        <f aca="false">IF(OR(NOT(ISNUMBER($G493)),$G493&lt;2,NOT(ISNUMBER($C492)),$C492=0),"",$C493/$C492-1)</f>
        <v>0.00985232352460996</v>
      </c>
      <c r="I493" s="52" t="n">
        <f aca="false">IF(AND(ISNUMBER($G493),$G493&gt;=MA_SHORT),AVERAGE(INDEX($C$93:$C493,402-MA_SHORT):$C493),"")</f>
        <v>1117570465.65</v>
      </c>
      <c r="J493" s="52" t="n">
        <f aca="false">IF(AND(ISNUMBER($G493),$G493&gt;=MA_MED),AVERAGE(INDEX($C$93:$C493,402-MA_MED):$C493),"")</f>
        <v>1091498291.46</v>
      </c>
      <c r="K493" s="52" t="n">
        <f aca="false">IF(AND(ISNUMBER($G493),$G493&gt;=MA_LONG2),AVERAGE(INDEX($C$93:$C493,402-MA_LONG2):$C493),"")</f>
        <v>1002570684.705</v>
      </c>
      <c r="L493" s="53" t="n">
        <f aca="false">IF(AND(ISNUMBER($G493),$G493&gt;=21),STDEV(INDEX($H$433:$H493,62-20):$H493)*SQRT(245),"")</f>
        <v>0.226070959986967</v>
      </c>
      <c r="M493" s="52" t="n">
        <f aca="false">IF(AND(ISNUMBER($G493),$G493&gt;=60),MAX(INDEX($D$293:$D493,202-60):$D493),"")</f>
        <v>1158035379</v>
      </c>
      <c r="N493" s="52" t="n">
        <f aca="false">IF(AND(ISNUMBER($G493),$G493&gt;=60),MIN(INDEX($E$293:$E493,202-60):$E493),"")</f>
        <v>1031729920</v>
      </c>
      <c r="O493" s="53" t="n">
        <f aca="false">IF(OR(NOT(ISNUMBER($C493)),NOT(ISNUMBER($M493)),$M493=0),"",$C493/$M493-1)</f>
        <v>-0.0028202609861715</v>
      </c>
      <c r="P493" s="54"/>
      <c r="Q493" s="53" t="str">
        <f aca="false">IF(NOT(ISNUMBER($P493)),"",IFERROR(PERCENTRANK($P$5:$P$1204,$P493),""))</f>
        <v/>
      </c>
    </row>
    <row r="494" customFormat="false" ht="15" hidden="false" customHeight="false" outlineLevel="0" collapsed="false">
      <c r="A494" s="47" t="n">
        <v>46253</v>
      </c>
      <c r="B494" s="48" t="s">
        <v>642</v>
      </c>
      <c r="C494" s="49" t="n">
        <v>1178992713</v>
      </c>
      <c r="D494" s="49" t="n">
        <v>1180801395</v>
      </c>
      <c r="E494" s="49" t="n">
        <v>1176705952</v>
      </c>
      <c r="F494" s="49" t="n">
        <v>0</v>
      </c>
      <c r="G494" s="50" t="n">
        <f aca="false">IF($A494="","",IF(ISNUMBER($G493),$G493+1,1))</f>
        <v>490</v>
      </c>
      <c r="H494" s="51" t="n">
        <f aca="false">IF(OR(NOT(ISNUMBER($G494)),$G494&lt;2,NOT(ISNUMBER($C493)),$C493=0),"",$C494/$C493-1)</f>
        <v>0.0209767384236155</v>
      </c>
      <c r="I494" s="52" t="n">
        <f aca="false">IF(AND(ISNUMBER($G494),$G494&gt;=MA_SHORT),AVERAGE(INDEX($C$94:$C494,402-MA_SHORT):$C494),"")</f>
        <v>1122093057.75</v>
      </c>
      <c r="J494" s="52" t="n">
        <f aca="false">IF(AND(ISNUMBER($G494),$G494&gt;=MA_MED),AVERAGE(INDEX($C$94:$C494,402-MA_MED):$C494),"")</f>
        <v>1093696236.68</v>
      </c>
      <c r="K494" s="52" t="n">
        <f aca="false">IF(AND(ISNUMBER($G494),$G494&gt;=MA_LONG2),AVERAGE(INDEX($C$94:$C494,402-MA_LONG2):$C494),"")</f>
        <v>1003729201.135</v>
      </c>
      <c r="L494" s="53" t="n">
        <f aca="false">IF(AND(ISNUMBER($G494),$G494&gt;=21),STDEV(INDEX($H$434:$H494,62-20):$H494)*SQRT(245),"")</f>
        <v>0.212883752818173</v>
      </c>
      <c r="M494" s="52" t="n">
        <f aca="false">IF(AND(ISNUMBER($G494),$G494&gt;=60),MAX(INDEX($D$294:$D494,202-60):$D494),"")</f>
        <v>1180801395</v>
      </c>
      <c r="N494" s="52" t="n">
        <f aca="false">IF(AND(ISNUMBER($G494),$G494&gt;=60),MIN(INDEX($E$294:$E494,202-60):$E494),"")</f>
        <v>1031729920</v>
      </c>
      <c r="O494" s="53" t="n">
        <f aca="false">IF(OR(NOT(ISNUMBER($C494)),NOT(ISNUMBER($M494)),$M494=0),"",$C494/$M494-1)</f>
        <v>-0.00153174107657617</v>
      </c>
      <c r="P494" s="54"/>
      <c r="Q494" s="53" t="str">
        <f aca="false">IF(NOT(ISNUMBER($P494)),"",IFERROR(PERCENTRANK($P$5:$P$1204,$P494),""))</f>
        <v/>
      </c>
    </row>
    <row r="495" customFormat="false" ht="15" hidden="false" customHeight="false" outlineLevel="0" collapsed="false">
      <c r="A495" s="47" t="n">
        <v>46256</v>
      </c>
      <c r="B495" s="48" t="s">
        <v>643</v>
      </c>
      <c r="C495" s="49" t="n">
        <v>1168269171</v>
      </c>
      <c r="D495" s="49" t="n">
        <v>1177639261</v>
      </c>
      <c r="E495" s="49" t="n">
        <v>1167410769</v>
      </c>
      <c r="F495" s="49" t="n">
        <v>0</v>
      </c>
      <c r="G495" s="50" t="n">
        <f aca="false">IF($A495="","",IF(ISNUMBER($G494),$G494+1,1))</f>
        <v>491</v>
      </c>
      <c r="H495" s="51" t="n">
        <f aca="false">IF(OR(NOT(ISNUMBER($G495)),$G495&lt;2,NOT(ISNUMBER($C494)),$C494=0),"",$C495/$C494-1)</f>
        <v>-0.0090955116870175</v>
      </c>
      <c r="I495" s="52" t="n">
        <f aca="false">IF(AND(ISNUMBER($G495),$G495&gt;=MA_SHORT),AVERAGE(INDEX($C$95:$C495,402-MA_SHORT):$C495),"")</f>
        <v>1125202805.25</v>
      </c>
      <c r="J495" s="52" t="n">
        <f aca="false">IF(AND(ISNUMBER($G495),$G495&gt;=MA_MED),AVERAGE(INDEX($C$95:$C495,402-MA_MED):$C495),"")</f>
        <v>1095881763.42</v>
      </c>
      <c r="K495" s="52" t="n">
        <f aca="false">IF(AND(ISNUMBER($G495),$G495&gt;=MA_LONG2),AVERAGE(INDEX($C$95:$C495,402-MA_LONG2):$C495),"")</f>
        <v>1004855382.265</v>
      </c>
      <c r="L495" s="53" t="n">
        <f aca="false">IF(AND(ISNUMBER($G495),$G495&gt;=21),STDEV(INDEX($H$435:$H495,62-20):$H495)*SQRT(245),"")</f>
        <v>0.212809057678459</v>
      </c>
      <c r="M495" s="52" t="n">
        <f aca="false">IF(AND(ISNUMBER($G495),$G495&gt;=60),MAX(INDEX($D$295:$D495,202-60):$D495),"")</f>
        <v>1180801395</v>
      </c>
      <c r="N495" s="52" t="n">
        <f aca="false">IF(AND(ISNUMBER($G495),$G495&gt;=60),MIN(INDEX($E$295:$E495,202-60):$E495),"")</f>
        <v>1031729920</v>
      </c>
      <c r="O495" s="53" t="n">
        <f aca="false">IF(OR(NOT(ISNUMBER($C495)),NOT(ISNUMBER($M495)),$M495=0),"",$C495/$M495-1)</f>
        <v>-0.0106133207947302</v>
      </c>
      <c r="P495" s="54"/>
      <c r="Q495" s="53" t="str">
        <f aca="false">IF(NOT(ISNUMBER($P495)),"",IFERROR(PERCENTRANK($P$5:$P$1204,$P495),""))</f>
        <v/>
      </c>
    </row>
    <row r="496" customFormat="false" ht="15" hidden="false" customHeight="false" outlineLevel="0" collapsed="false">
      <c r="A496" s="47" t="n">
        <v>46257</v>
      </c>
      <c r="B496" s="48" t="s">
        <v>644</v>
      </c>
      <c r="C496" s="49" t="n">
        <v>1174042660</v>
      </c>
      <c r="D496" s="49" t="n">
        <v>1183206439</v>
      </c>
      <c r="E496" s="49" t="n">
        <v>1168015919</v>
      </c>
      <c r="F496" s="49" t="n">
        <v>0</v>
      </c>
      <c r="G496" s="50" t="n">
        <f aca="false">IF($A496="","",IF(ISNUMBER($G495),$G495+1,1))</f>
        <v>492</v>
      </c>
      <c r="H496" s="51" t="n">
        <f aca="false">IF(OR(NOT(ISNUMBER($G496)),$G496&lt;2,NOT(ISNUMBER($C495)),$C495=0),"",$C496/$C495-1)</f>
        <v>0.00494191676311906</v>
      </c>
      <c r="I496" s="52" t="n">
        <f aca="false">IF(AND(ISNUMBER($G496),$G496&gt;=MA_SHORT),AVERAGE(INDEX($C$96:$C496,402-MA_SHORT):$C496),"")</f>
        <v>1127721527.85</v>
      </c>
      <c r="J496" s="52" t="n">
        <f aca="false">IF(AND(ISNUMBER($G496),$G496&gt;=MA_MED),AVERAGE(INDEX($C$96:$C496,402-MA_MED):$C496),"")</f>
        <v>1098163511</v>
      </c>
      <c r="K496" s="52" t="n">
        <f aca="false">IF(AND(ISNUMBER($G496),$G496&gt;=MA_LONG2),AVERAGE(INDEX($C$96:$C496,402-MA_LONG2):$C496),"")</f>
        <v>1006067720.33</v>
      </c>
      <c r="L496" s="53" t="n">
        <f aca="false">IF(AND(ISNUMBER($G496),$G496&gt;=21),STDEV(INDEX($H$436:$H496,62-20):$H496)*SQRT(245),"")</f>
        <v>0.207513385008961</v>
      </c>
      <c r="M496" s="52" t="n">
        <f aca="false">IF(AND(ISNUMBER($G496),$G496&gt;=60),MAX(INDEX($D$296:$D496,202-60):$D496),"")</f>
        <v>1183206439</v>
      </c>
      <c r="N496" s="52" t="n">
        <f aca="false">IF(AND(ISNUMBER($G496),$G496&gt;=60),MIN(INDEX($E$296:$E496,202-60):$E496),"")</f>
        <v>1031729920</v>
      </c>
      <c r="O496" s="53" t="n">
        <f aca="false">IF(OR(NOT(ISNUMBER($C496)),NOT(ISNUMBER($M496)),$M496=0),"",$C496/$M496-1)</f>
        <v>-0.00774486910986127</v>
      </c>
      <c r="P496" s="54"/>
      <c r="Q496" s="53" t="str">
        <f aca="false">IF(NOT(ISNUMBER($P496)),"",IFERROR(PERCENTRANK($P$5:$P$1204,$P496),""))</f>
        <v/>
      </c>
    </row>
    <row r="497" customFormat="false" ht="15" hidden="false" customHeight="false" outlineLevel="0" collapsed="false">
      <c r="A497" s="47" t="n">
        <v>46258</v>
      </c>
      <c r="B497" s="48" t="s">
        <v>645</v>
      </c>
      <c r="C497" s="49" t="n">
        <v>1182845865</v>
      </c>
      <c r="D497" s="49" t="n">
        <v>1183787087</v>
      </c>
      <c r="E497" s="49" t="n">
        <v>1177958295</v>
      </c>
      <c r="F497" s="49" t="n">
        <v>0</v>
      </c>
      <c r="G497" s="50" t="n">
        <f aca="false">IF($A497="","",IF(ISNUMBER($G496),$G496+1,1))</f>
        <v>493</v>
      </c>
      <c r="H497" s="51" t="n">
        <f aca="false">IF(OR(NOT(ISNUMBER($G497)),$G497&lt;2,NOT(ISNUMBER($C496)),$C496=0),"",$C497/$C496-1)</f>
        <v>0.00749819857482859</v>
      </c>
      <c r="I497" s="52" t="n">
        <f aca="false">IF(AND(ISNUMBER($G497),$G497&gt;=MA_SHORT),AVERAGE(INDEX($C$97:$C497,402-MA_SHORT):$C497),"")</f>
        <v>1132016047.4</v>
      </c>
      <c r="J497" s="52" t="n">
        <f aca="false">IF(AND(ISNUMBER($G497),$G497&gt;=MA_MED),AVERAGE(INDEX($C$97:$C497,402-MA_MED):$C497),"")</f>
        <v>1100707538.48</v>
      </c>
      <c r="K497" s="52" t="n">
        <f aca="false">IF(AND(ISNUMBER($G497),$G497&gt;=MA_LONG2),AVERAGE(INDEX($C$97:$C497,402-MA_LONG2):$C497),"")</f>
        <v>1007365326.93</v>
      </c>
      <c r="L497" s="53" t="n">
        <f aca="false">IF(AND(ISNUMBER($G497),$G497&gt;=21),STDEV(INDEX($H$437:$H497,62-20):$H497)*SQRT(245),"")</f>
        <v>0.184475709633766</v>
      </c>
      <c r="M497" s="52" t="n">
        <f aca="false">IF(AND(ISNUMBER($G497),$G497&gt;=60),MAX(INDEX($D$297:$D497,202-60):$D497),"")</f>
        <v>1183787087</v>
      </c>
      <c r="N497" s="52" t="n">
        <f aca="false">IF(AND(ISNUMBER($G497),$G497&gt;=60),MIN(INDEX($E$297:$E497,202-60):$E497),"")</f>
        <v>1031729920</v>
      </c>
      <c r="O497" s="53" t="n">
        <f aca="false">IF(OR(NOT(ISNUMBER($C497)),NOT(ISNUMBER($M497)),$M497=0),"",$C497/$M497-1)</f>
        <v>-0.000795093991424856</v>
      </c>
      <c r="P497" s="54"/>
      <c r="Q497" s="53" t="str">
        <f aca="false">IF(NOT(ISNUMBER($P497)),"",IFERROR(PERCENTRANK($P$5:$P$1204,$P497),""))</f>
        <v/>
      </c>
    </row>
    <row r="498" customFormat="false" ht="15" hidden="false" customHeight="false" outlineLevel="0" collapsed="false">
      <c r="A498" s="47" t="n">
        <v>46259</v>
      </c>
      <c r="B498" s="48" t="s">
        <v>646</v>
      </c>
      <c r="C498" s="49" t="n">
        <v>1163287094</v>
      </c>
      <c r="D498" s="49" t="n">
        <v>1164635848</v>
      </c>
      <c r="E498" s="49" t="n">
        <v>1162866799</v>
      </c>
      <c r="F498" s="49" t="n">
        <v>0</v>
      </c>
      <c r="G498" s="50" t="n">
        <f aca="false">IF($A498="","",IF(ISNUMBER($G497),$G497+1,1))</f>
        <v>494</v>
      </c>
      <c r="H498" s="51" t="n">
        <f aca="false">IF(OR(NOT(ISNUMBER($G498)),$G498&lt;2,NOT(ISNUMBER($C497)),$C497=0),"",$C498/$C497-1)</f>
        <v>-0.0165353505293777</v>
      </c>
      <c r="I498" s="52" t="n">
        <f aca="false">IF(AND(ISNUMBER($G498),$G498&gt;=MA_SHORT),AVERAGE(INDEX($C$98:$C498,402-MA_SHORT):$C498),"")</f>
        <v>1136033887.9</v>
      </c>
      <c r="J498" s="52" t="n">
        <f aca="false">IF(AND(ISNUMBER($G498),$G498&gt;=MA_MED),AVERAGE(INDEX($C$98:$C498,402-MA_MED):$C498),"")</f>
        <v>1102642265.64</v>
      </c>
      <c r="K498" s="52" t="n">
        <f aca="false">IF(AND(ISNUMBER($G498),$G498&gt;=MA_LONG2),AVERAGE(INDEX($C$98:$C498,402-MA_LONG2):$C498),"")</f>
        <v>1008506043.045</v>
      </c>
      <c r="L498" s="53" t="n">
        <f aca="false">IF(AND(ISNUMBER($G498),$G498&gt;=21),STDEV(INDEX($H$438:$H498,62-20):$H498)*SQRT(245),"")</f>
        <v>0.189239320176491</v>
      </c>
      <c r="M498" s="52" t="n">
        <f aca="false">IF(AND(ISNUMBER($G498),$G498&gt;=60),MAX(INDEX($D$298:$D498,202-60):$D498),"")</f>
        <v>1183787087</v>
      </c>
      <c r="N498" s="52" t="n">
        <f aca="false">IF(AND(ISNUMBER($G498),$G498&gt;=60),MIN(INDEX($E$298:$E498,202-60):$E498),"")</f>
        <v>1031729920</v>
      </c>
      <c r="O498" s="53" t="n">
        <f aca="false">IF(OR(NOT(ISNUMBER($C498)),NOT(ISNUMBER($M498)),$M498=0),"",$C498/$M498-1)</f>
        <v>-0.0173172973629505</v>
      </c>
      <c r="P498" s="54"/>
      <c r="Q498" s="53" t="str">
        <f aca="false">IF(NOT(ISNUMBER($P498)),"",IFERROR(PERCENTRANK($P$5:$P$1204,$P498),""))</f>
        <v/>
      </c>
    </row>
    <row r="499" customFormat="false" ht="15" hidden="false" customHeight="false" outlineLevel="0" collapsed="false">
      <c r="A499" s="47" t="n">
        <v>46260</v>
      </c>
      <c r="B499" s="48" t="s">
        <v>647</v>
      </c>
      <c r="C499" s="49" t="n">
        <v>1157754908</v>
      </c>
      <c r="D499" s="49" t="n">
        <v>1158421512</v>
      </c>
      <c r="E499" s="49" t="n">
        <v>1156338649</v>
      </c>
      <c r="F499" s="49" t="n">
        <v>0</v>
      </c>
      <c r="G499" s="50" t="n">
        <f aca="false">IF($A499="","",IF(ISNUMBER($G498),$G498+1,1))</f>
        <v>495</v>
      </c>
      <c r="H499" s="51" t="n">
        <f aca="false">IF(OR(NOT(ISNUMBER($G499)),$G499&lt;2,NOT(ISNUMBER($C498)),$C498=0),"",$C499/$C498-1)</f>
        <v>-0.0047556497691188</v>
      </c>
      <c r="I499" s="52" t="n">
        <f aca="false">IF(AND(ISNUMBER($G499),$G499&gt;=MA_SHORT),AVERAGE(INDEX($C$99:$C499,402-MA_SHORT):$C499),"")</f>
        <v>1139179836.45</v>
      </c>
      <c r="J499" s="52" t="n">
        <f aca="false">IF(AND(ISNUMBER($G499),$G499&gt;=MA_MED),AVERAGE(INDEX($C$99:$C499,402-MA_MED):$C499),"")</f>
        <v>1104121681.44</v>
      </c>
      <c r="K499" s="52" t="n">
        <f aca="false">IF(AND(ISNUMBER($G499),$G499&gt;=MA_LONG2),AVERAGE(INDEX($C$99:$C499,402-MA_LONG2):$C499),"")</f>
        <v>1009686224.3</v>
      </c>
      <c r="L499" s="53" t="n">
        <f aca="false">IF(AND(ISNUMBER($G499),$G499&gt;=21),STDEV(INDEX($H$439:$H499,62-20):$H499)*SQRT(245),"")</f>
        <v>0.189391436899781</v>
      </c>
      <c r="M499" s="52" t="n">
        <f aca="false">IF(AND(ISNUMBER($G499),$G499&gt;=60),MAX(INDEX($D$299:$D499,202-60):$D499),"")</f>
        <v>1183787087</v>
      </c>
      <c r="N499" s="52" t="n">
        <f aca="false">IF(AND(ISNUMBER($G499),$G499&gt;=60),MIN(INDEX($E$299:$E499,202-60):$E499),"")</f>
        <v>1031729920</v>
      </c>
      <c r="O499" s="53" t="n">
        <f aca="false">IF(OR(NOT(ISNUMBER($C499)),NOT(ISNUMBER($M499)),$M499=0),"",$C499/$M499-1)</f>
        <v>-0.0219905921308635</v>
      </c>
      <c r="P499" s="54"/>
      <c r="Q499" s="53" t="str">
        <f aca="false">IF(NOT(ISNUMBER($P499)),"",IFERROR(PERCENTRANK($P$5:$P$1204,$P499),""))</f>
        <v/>
      </c>
    </row>
    <row r="500" customFormat="false" ht="15" hidden="false" customHeight="false" outlineLevel="0" collapsed="false">
      <c r="A500" s="47" t="n">
        <v>46263</v>
      </c>
      <c r="B500" s="48" t="s">
        <v>648</v>
      </c>
      <c r="C500" s="49" t="n">
        <v>1161100545</v>
      </c>
      <c r="D500" s="49" t="n">
        <v>1163095823</v>
      </c>
      <c r="E500" s="49" t="n">
        <v>1160266832</v>
      </c>
      <c r="F500" s="49" t="n">
        <v>0</v>
      </c>
      <c r="G500" s="50" t="n">
        <f aca="false">IF($A500="","",IF(ISNUMBER($G499),$G499+1,1))</f>
        <v>496</v>
      </c>
      <c r="H500" s="51" t="n">
        <f aca="false">IF(OR(NOT(ISNUMBER($G500)),$G500&lt;2,NOT(ISNUMBER($C499)),$C499=0),"",$C500/$C499-1)</f>
        <v>0.0028897627441542</v>
      </c>
      <c r="I500" s="52" t="n">
        <f aca="false">IF(AND(ISNUMBER($G500),$G500&gt;=MA_SHORT),AVERAGE(INDEX($C$100:$C500,402-MA_SHORT):$C500),"")</f>
        <v>1141941685.35</v>
      </c>
      <c r="J500" s="52" t="n">
        <f aca="false">IF(AND(ISNUMBER($G500),$G500&gt;=MA_MED),AVERAGE(INDEX($C$100:$C500,402-MA_MED):$C500),"")</f>
        <v>1105601544.6</v>
      </c>
      <c r="K500" s="52" t="n">
        <f aca="false">IF(AND(ISNUMBER($G500),$G500&gt;=MA_LONG2),AVERAGE(INDEX($C$100:$C500,402-MA_LONG2):$C500),"")</f>
        <v>1010971844.155</v>
      </c>
      <c r="L500" s="53" t="n">
        <f aca="false">IF(AND(ISNUMBER($G500),$G500&gt;=21),STDEV(INDEX($H$440:$H500,62-20):$H500)*SQRT(245),"")</f>
        <v>0.187527146849679</v>
      </c>
      <c r="M500" s="52" t="n">
        <f aca="false">IF(AND(ISNUMBER($G500),$G500&gt;=60),MAX(INDEX($D$300:$D500,202-60):$D500),"")</f>
        <v>1183787087</v>
      </c>
      <c r="N500" s="52" t="n">
        <f aca="false">IF(AND(ISNUMBER($G500),$G500&gt;=60),MIN(INDEX($E$300:$E500,202-60):$E500),"")</f>
        <v>1031729920</v>
      </c>
      <c r="O500" s="53" t="n">
        <f aca="false">IF(OR(NOT(ISNUMBER($C500)),NOT(ISNUMBER($M500)),$M500=0),"",$C500/$M500-1)</f>
        <v>-0.0191643769805711</v>
      </c>
      <c r="P500" s="54"/>
      <c r="Q500" s="53" t="str">
        <f aca="false">IF(NOT(ISNUMBER($P500)),"",IFERROR(PERCENTRANK($P$5:$P$1204,$P500),""))</f>
        <v/>
      </c>
    </row>
    <row r="501" customFormat="false" ht="15" hidden="false" customHeight="false" outlineLevel="0" collapsed="false">
      <c r="A501" s="47" t="n">
        <v>46264</v>
      </c>
      <c r="B501" s="48" t="s">
        <v>649</v>
      </c>
      <c r="C501" s="49" t="n">
        <v>1134483749</v>
      </c>
      <c r="D501" s="49" t="n">
        <v>1135793583</v>
      </c>
      <c r="E501" s="49" t="n">
        <v>1133109939</v>
      </c>
      <c r="F501" s="49" t="n">
        <v>0</v>
      </c>
      <c r="G501" s="50" t="n">
        <f aca="false">IF($A501="","",IF(ISNUMBER($G500),$G500+1,1))</f>
        <v>497</v>
      </c>
      <c r="H501" s="51" t="n">
        <f aca="false">IF(OR(NOT(ISNUMBER($G501)),$G501&lt;2,NOT(ISNUMBER($C500)),$C500=0),"",$C501/$C500-1)</f>
        <v>-0.0229237649698976</v>
      </c>
      <c r="I501" s="52" t="n">
        <f aca="false">IF(AND(ISNUMBER($G501),$G501&gt;=MA_SHORT),AVERAGE(INDEX($C$101:$C501,402-MA_SHORT):$C501),"")</f>
        <v>1141912362.2</v>
      </c>
      <c r="J501" s="52" t="n">
        <f aca="false">IF(AND(ISNUMBER($G501),$G501&gt;=MA_MED),AVERAGE(INDEX($C$101:$C501,402-MA_MED):$C501),"")</f>
        <v>1106384530.18</v>
      </c>
      <c r="K501" s="52" t="n">
        <f aca="false">IF(AND(ISNUMBER($G501),$G501&gt;=MA_LONG2),AVERAGE(INDEX($C$101:$C501,402-MA_LONG2):$C501),"")</f>
        <v>1012192041.43</v>
      </c>
      <c r="L501" s="53" t="n">
        <f aca="false">IF(AND(ISNUMBER($G501),$G501&gt;=21),STDEV(INDEX($H$441:$H501,62-20):$H501)*SQRT(245),"")</f>
        <v>0.185930126314391</v>
      </c>
      <c r="M501" s="52" t="n">
        <f aca="false">IF(AND(ISNUMBER($G501),$G501&gt;=60),MAX(INDEX($D$301:$D501,202-60):$D501),"")</f>
        <v>1183787087</v>
      </c>
      <c r="N501" s="52" t="n">
        <f aca="false">IF(AND(ISNUMBER($G501),$G501&gt;=60),MIN(INDEX($E$301:$E501,202-60):$E501),"")</f>
        <v>1031729920</v>
      </c>
      <c r="O501" s="53" t="n">
        <f aca="false">IF(OR(NOT(ISNUMBER($C501)),NOT(ISNUMBER($M501)),$M501=0),"",$C501/$M501-1)</f>
        <v>-0.0416488222767715</v>
      </c>
      <c r="P501" s="54"/>
      <c r="Q501" s="53" t="str">
        <f aca="false">IF(NOT(ISNUMBER($P501)),"",IFERROR(PERCENTRANK($P$5:$P$1204,$P501),""))</f>
        <v/>
      </c>
    </row>
    <row r="502" customFormat="false" ht="15" hidden="false" customHeight="false" outlineLevel="0" collapsed="false">
      <c r="A502" s="47" t="n">
        <v>46265</v>
      </c>
      <c r="B502" s="48" t="s">
        <v>650</v>
      </c>
      <c r="C502" s="49" t="n">
        <v>1149471448</v>
      </c>
      <c r="D502" s="49" t="n">
        <v>1151079575</v>
      </c>
      <c r="E502" s="49" t="n">
        <v>1143764673</v>
      </c>
      <c r="F502" s="49" t="n">
        <v>0</v>
      </c>
      <c r="G502" s="50" t="n">
        <f aca="false">IF($A502="","",IF(ISNUMBER($G501),$G501+1,1))</f>
        <v>498</v>
      </c>
      <c r="H502" s="51" t="n">
        <f aca="false">IF(OR(NOT(ISNUMBER($G502)),$G502&lt;2,NOT(ISNUMBER($C501)),$C501=0),"",$C502/$C501-1)</f>
        <v>0.0132110301387842</v>
      </c>
      <c r="I502" s="52" t="n">
        <f aca="false">IF(AND(ISNUMBER($G502),$G502&gt;=MA_SHORT),AVERAGE(INDEX($C$102:$C502,402-MA_SHORT):$C502),"")</f>
        <v>1143120691.5</v>
      </c>
      <c r="J502" s="52" t="n">
        <f aca="false">IF(AND(ISNUMBER($G502),$G502&gt;=MA_MED),AVERAGE(INDEX($C$102:$C502,402-MA_MED):$C502),"")</f>
        <v>1107455668.12</v>
      </c>
      <c r="K502" s="52" t="n">
        <f aca="false">IF(AND(ISNUMBER($G502),$G502&gt;=MA_LONG2),AVERAGE(INDEX($C$102:$C502,402-MA_LONG2):$C502),"")</f>
        <v>1013448845.565</v>
      </c>
      <c r="L502" s="53" t="n">
        <f aca="false">IF(AND(ISNUMBER($G502),$G502&gt;=21),STDEV(INDEX($H$442:$H502,62-20):$H502)*SQRT(245),"")</f>
        <v>0.188510089107872</v>
      </c>
      <c r="M502" s="52" t="n">
        <f aca="false">IF(AND(ISNUMBER($G502),$G502&gt;=60),MAX(INDEX($D$302:$D502,202-60):$D502),"")</f>
        <v>1183787087</v>
      </c>
      <c r="N502" s="52" t="n">
        <f aca="false">IF(AND(ISNUMBER($G502),$G502&gt;=60),MIN(INDEX($E$302:$E502,202-60):$E502),"")</f>
        <v>1031729920</v>
      </c>
      <c r="O502" s="53" t="n">
        <f aca="false">IF(OR(NOT(ISNUMBER($C502)),NOT(ISNUMBER($M502)),$M502=0),"",$C502/$M502-1)</f>
        <v>-0.0289880159843304</v>
      </c>
      <c r="P502" s="54"/>
      <c r="Q502" s="53" t="str">
        <f aca="false">IF(NOT(ISNUMBER($P502)),"",IFERROR(PERCENTRANK($P$5:$P$1204,$P502),""))</f>
        <v/>
      </c>
    </row>
    <row r="503" customFormat="false" ht="15" hidden="false" customHeight="false" outlineLevel="0" collapsed="false">
      <c r="A503" s="47" t="n">
        <v>46266</v>
      </c>
      <c r="B503" s="48" t="s">
        <v>651</v>
      </c>
      <c r="C503" s="49" t="n">
        <v>1156870959</v>
      </c>
      <c r="D503" s="49" t="n">
        <v>1162262187</v>
      </c>
      <c r="E503" s="49" t="n">
        <v>1148324256</v>
      </c>
      <c r="F503" s="49" t="n">
        <v>0</v>
      </c>
      <c r="G503" s="50" t="n">
        <f aca="false">IF($A503="","",IF(ISNUMBER($G502),$G502+1,1))</f>
        <v>499</v>
      </c>
      <c r="H503" s="51" t="n">
        <f aca="false">IF(OR(NOT(ISNUMBER($G503)),$G503&lt;2,NOT(ISNUMBER($C502)),$C502=0),"",$C503/$C502-1)</f>
        <v>0.00643731604893238</v>
      </c>
      <c r="I503" s="52" t="n">
        <f aca="false">IF(AND(ISNUMBER($G503),$G503&gt;=MA_SHORT),AVERAGE(INDEX($C$103:$C503,402-MA_SHORT):$C503),"")</f>
        <v>1145873111.95</v>
      </c>
      <c r="J503" s="52" t="n">
        <f aca="false">IF(AND(ISNUMBER($G503),$G503&gt;=MA_MED),AVERAGE(INDEX($C$103:$C503,402-MA_MED):$C503),"")</f>
        <v>1108862146.56</v>
      </c>
      <c r="K503" s="52" t="n">
        <f aca="false">IF(AND(ISNUMBER($G503),$G503&gt;=MA_LONG2),AVERAGE(INDEX($C$103:$C503,402-MA_LONG2):$C503),"")</f>
        <v>1014784391.625</v>
      </c>
      <c r="L503" s="53" t="n">
        <f aca="false">IF(AND(ISNUMBER($G503),$G503&gt;=21),STDEV(INDEX($H$443:$H503,62-20):$H503)*SQRT(245),"")</f>
        <v>0.17081419825392</v>
      </c>
      <c r="M503" s="52" t="n">
        <f aca="false">IF(AND(ISNUMBER($G503),$G503&gt;=60),MAX(INDEX($D$303:$D503,202-60):$D503),"")</f>
        <v>1183787087</v>
      </c>
      <c r="N503" s="52" t="n">
        <f aca="false">IF(AND(ISNUMBER($G503),$G503&gt;=60),MIN(INDEX($E$303:$E503,202-60):$E503),"")</f>
        <v>1031729920</v>
      </c>
      <c r="O503" s="53" t="n">
        <f aca="false">IF(OR(NOT(ISNUMBER($C503)),NOT(ISNUMBER($M503)),$M503=0),"",$C503/$M503-1)</f>
        <v>-0.0227373049559206</v>
      </c>
      <c r="P503" s="54"/>
      <c r="Q503" s="53" t="str">
        <f aca="false">IF(NOT(ISNUMBER($P503)),"",IFERROR(PERCENTRANK($P$5:$P$1204,$P503),""))</f>
        <v/>
      </c>
    </row>
    <row r="504" customFormat="false" ht="15" hidden="false" customHeight="false" outlineLevel="0" collapsed="false">
      <c r="A504" s="47" t="n">
        <v>46267</v>
      </c>
      <c r="B504" s="48" t="s">
        <v>652</v>
      </c>
      <c r="C504" s="49" t="n">
        <v>1156997319</v>
      </c>
      <c r="D504" s="49" t="n">
        <v>1157980418</v>
      </c>
      <c r="E504" s="49" t="n">
        <v>1156761401</v>
      </c>
      <c r="F504" s="49" t="n">
        <v>0</v>
      </c>
      <c r="G504" s="50" t="n">
        <f aca="false">IF($A504="","",IF(ISNUMBER($G503),$G503+1,1))</f>
        <v>500</v>
      </c>
      <c r="H504" s="51" t="n">
        <f aca="false">IF(OR(NOT(ISNUMBER($G504)),$G504&lt;2,NOT(ISNUMBER($C503)),$C503=0),"",$C504/$C503-1)</f>
        <v>0.000109225665159141</v>
      </c>
      <c r="I504" s="52" t="n">
        <f aca="false">IF(AND(ISNUMBER($G504),$G504&gt;=MA_SHORT),AVERAGE(INDEX($C$104:$C504,402-MA_SHORT):$C504),"")</f>
        <v>1148543523.85</v>
      </c>
      <c r="J504" s="52" t="n">
        <f aca="false">IF(AND(ISNUMBER($G504),$G504&gt;=MA_MED),AVERAGE(INDEX($C$104:$C504,402-MA_MED):$C504),"")</f>
        <v>1110313121.42</v>
      </c>
      <c r="K504" s="52" t="n">
        <f aca="false">IF(AND(ISNUMBER($G504),$G504&gt;=MA_LONG2),AVERAGE(INDEX($C$104:$C504,402-MA_LONG2):$C504),"")</f>
        <v>1016175136.725</v>
      </c>
      <c r="L504" s="53" t="n">
        <f aca="false">IF(AND(ISNUMBER($G504),$G504&gt;=21),STDEV(INDEX($H$444:$H504,62-20):$H504)*SQRT(245),"")</f>
        <v>0.17099497711346</v>
      </c>
      <c r="M504" s="52" t="n">
        <f aca="false">IF(AND(ISNUMBER($G504),$G504&gt;=60),MAX(INDEX($D$304:$D504,202-60):$D504),"")</f>
        <v>1183787087</v>
      </c>
      <c r="N504" s="52" t="n">
        <f aca="false">IF(AND(ISNUMBER($G504),$G504&gt;=60),MIN(INDEX($E$304:$E504,202-60):$E504),"")</f>
        <v>1031729920</v>
      </c>
      <c r="O504" s="53" t="n">
        <f aca="false">IF(OR(NOT(ISNUMBER($C504)),NOT(ISNUMBER($M504)),$M504=0),"",$C504/$M504-1)</f>
        <v>-0.0226305627880193</v>
      </c>
      <c r="P504" s="54"/>
      <c r="Q504" s="53" t="str">
        <f aca="false">IF(NOT(ISNUMBER($P504)),"",IFERROR(PERCENTRANK($P$5:$P$1204,$P504),""))</f>
        <v/>
      </c>
    </row>
    <row r="505" customFormat="false" ht="15" hidden="false" customHeight="false" outlineLevel="0" collapsed="false">
      <c r="A505" s="55"/>
      <c r="B505" s="56"/>
      <c r="C505" s="57"/>
      <c r="D505" s="56"/>
      <c r="E505" s="56"/>
      <c r="F505" s="56"/>
      <c r="G505" s="50" t="str">
        <f aca="false">IF($A505="","",IF(ISNUMBER($G504),$G504+1,1))</f>
        <v/>
      </c>
      <c r="H505" s="51" t="str">
        <f aca="false">IF(OR(NOT(ISNUMBER($G505)),$G505&lt;2,NOT(ISNUMBER($C504)),$C504=0),"",$C505/$C504-1)</f>
        <v/>
      </c>
      <c r="I505" s="52" t="str">
        <f aca="false">IF(AND(ISNUMBER($G505),$G505&gt;=MA_SHORT),AVERAGE(INDEX($C$105:$C505,402-MA_SHORT):$C505),"")</f>
        <v/>
      </c>
      <c r="J505" s="52" t="str">
        <f aca="false">IF(AND(ISNUMBER($G505),$G505&gt;=MA_MED),AVERAGE(INDEX($C$105:$C505,402-MA_MED):$C505),"")</f>
        <v/>
      </c>
      <c r="K505" s="52" t="str">
        <f aca="false">IF(AND(ISNUMBER($G505),$G505&gt;=MA_LONG2),AVERAGE(INDEX($C$105:$C505,402-MA_LONG2):$C505),"")</f>
        <v/>
      </c>
      <c r="L505" s="53" t="str">
        <f aca="false">IF(AND(ISNUMBER($G505),$G505&gt;=21),STDEV(INDEX($H$445:$H505,62-20):$H505)*SQRT(245),"")</f>
        <v/>
      </c>
      <c r="M505" s="52" t="str">
        <f aca="false">IF(AND(ISNUMBER($G505),$G505&gt;=60),MAX(INDEX($D$305:$D505,202-60):$D505),"")</f>
        <v/>
      </c>
      <c r="N505" s="52" t="str">
        <f aca="false">IF(AND(ISNUMBER($G505),$G505&gt;=60),MIN(INDEX($E$305:$E505,202-60):$E505),"")</f>
        <v/>
      </c>
      <c r="O505" s="53" t="str">
        <f aca="false">IF(OR(NOT(ISNUMBER($C505)),NOT(ISNUMBER($M505)),$M505=0),"",$C505/$M505-1)</f>
        <v/>
      </c>
      <c r="P505" s="54"/>
      <c r="Q505" s="53" t="str">
        <f aca="false">IF(NOT(ISNUMBER($P505)),"",IFERROR(PERCENTRANK($P$5:$P$1204,$P505),""))</f>
        <v/>
      </c>
    </row>
    <row r="506" customFormat="false" ht="15" hidden="false" customHeight="false" outlineLevel="0" collapsed="false">
      <c r="A506" s="55"/>
      <c r="B506" s="56"/>
      <c r="C506" s="57"/>
      <c r="D506" s="56"/>
      <c r="E506" s="56"/>
      <c r="F506" s="56"/>
      <c r="G506" s="50" t="str">
        <f aca="false">IF($A506="","",IF(ISNUMBER($G505),$G505+1,1))</f>
        <v/>
      </c>
      <c r="H506" s="51" t="str">
        <f aca="false">IF(OR(NOT(ISNUMBER($G506)),$G506&lt;2,NOT(ISNUMBER($C505)),$C505=0),"",$C506/$C505-1)</f>
        <v/>
      </c>
      <c r="I506" s="52" t="str">
        <f aca="false">IF(AND(ISNUMBER($G506),$G506&gt;=MA_SHORT),AVERAGE(INDEX($C$106:$C506,402-MA_SHORT):$C506),"")</f>
        <v/>
      </c>
      <c r="J506" s="52" t="str">
        <f aca="false">IF(AND(ISNUMBER($G506),$G506&gt;=MA_MED),AVERAGE(INDEX($C$106:$C506,402-MA_MED):$C506),"")</f>
        <v/>
      </c>
      <c r="K506" s="52" t="str">
        <f aca="false">IF(AND(ISNUMBER($G506),$G506&gt;=MA_LONG2),AVERAGE(INDEX($C$106:$C506,402-MA_LONG2):$C506),"")</f>
        <v/>
      </c>
      <c r="L506" s="53" t="str">
        <f aca="false">IF(AND(ISNUMBER($G506),$G506&gt;=21),STDEV(INDEX($H$446:$H506,62-20):$H506)*SQRT(245),"")</f>
        <v/>
      </c>
      <c r="M506" s="52" t="str">
        <f aca="false">IF(AND(ISNUMBER($G506),$G506&gt;=60),MAX(INDEX($D$306:$D506,202-60):$D506),"")</f>
        <v/>
      </c>
      <c r="N506" s="52" t="str">
        <f aca="false">IF(AND(ISNUMBER($G506),$G506&gt;=60),MIN(INDEX($E$306:$E506,202-60):$E506),"")</f>
        <v/>
      </c>
      <c r="O506" s="53" t="str">
        <f aca="false">IF(OR(NOT(ISNUMBER($C506)),NOT(ISNUMBER($M506)),$M506=0),"",$C506/$M506-1)</f>
        <v/>
      </c>
      <c r="P506" s="54"/>
      <c r="Q506" s="53" t="str">
        <f aca="false">IF(NOT(ISNUMBER($P506)),"",IFERROR(PERCENTRANK($P$5:$P$1204,$P506),""))</f>
        <v/>
      </c>
    </row>
    <row r="507" customFormat="false" ht="15" hidden="false" customHeight="false" outlineLevel="0" collapsed="false">
      <c r="A507" s="55"/>
      <c r="B507" s="56"/>
      <c r="C507" s="57"/>
      <c r="D507" s="56"/>
      <c r="E507" s="56"/>
      <c r="F507" s="56"/>
      <c r="G507" s="50" t="str">
        <f aca="false">IF($A507="","",IF(ISNUMBER($G506),$G506+1,1))</f>
        <v/>
      </c>
      <c r="H507" s="51" t="str">
        <f aca="false">IF(OR(NOT(ISNUMBER($G507)),$G507&lt;2,NOT(ISNUMBER($C506)),$C506=0),"",$C507/$C506-1)</f>
        <v/>
      </c>
      <c r="I507" s="52" t="str">
        <f aca="false">IF(AND(ISNUMBER($G507),$G507&gt;=MA_SHORT),AVERAGE(INDEX($C$107:$C507,402-MA_SHORT):$C507),"")</f>
        <v/>
      </c>
      <c r="J507" s="52" t="str">
        <f aca="false">IF(AND(ISNUMBER($G507),$G507&gt;=MA_MED),AVERAGE(INDEX($C$107:$C507,402-MA_MED):$C507),"")</f>
        <v/>
      </c>
      <c r="K507" s="52" t="str">
        <f aca="false">IF(AND(ISNUMBER($G507),$G507&gt;=MA_LONG2),AVERAGE(INDEX($C$107:$C507,402-MA_LONG2):$C507),"")</f>
        <v/>
      </c>
      <c r="L507" s="53" t="str">
        <f aca="false">IF(AND(ISNUMBER($G507),$G507&gt;=21),STDEV(INDEX($H$447:$H507,62-20):$H507)*SQRT(245),"")</f>
        <v/>
      </c>
      <c r="M507" s="52" t="str">
        <f aca="false">IF(AND(ISNUMBER($G507),$G507&gt;=60),MAX(INDEX($D$307:$D507,202-60):$D507),"")</f>
        <v/>
      </c>
      <c r="N507" s="52" t="str">
        <f aca="false">IF(AND(ISNUMBER($G507),$G507&gt;=60),MIN(INDEX($E$307:$E507,202-60):$E507),"")</f>
        <v/>
      </c>
      <c r="O507" s="53" t="str">
        <f aca="false">IF(OR(NOT(ISNUMBER($C507)),NOT(ISNUMBER($M507)),$M507=0),"",$C507/$M507-1)</f>
        <v/>
      </c>
      <c r="P507" s="54"/>
      <c r="Q507" s="53" t="str">
        <f aca="false">IF(NOT(ISNUMBER($P507)),"",IFERROR(PERCENTRANK($P$5:$P$1204,$P507),""))</f>
        <v/>
      </c>
    </row>
    <row r="508" customFormat="false" ht="15" hidden="false" customHeight="false" outlineLevel="0" collapsed="false">
      <c r="A508" s="55"/>
      <c r="B508" s="56"/>
      <c r="C508" s="57"/>
      <c r="D508" s="56"/>
      <c r="E508" s="56"/>
      <c r="F508" s="56"/>
      <c r="G508" s="50" t="str">
        <f aca="false">IF($A508="","",IF(ISNUMBER($G507),$G507+1,1))</f>
        <v/>
      </c>
      <c r="H508" s="51" t="str">
        <f aca="false">IF(OR(NOT(ISNUMBER($G508)),$G508&lt;2,NOT(ISNUMBER($C507)),$C507=0),"",$C508/$C507-1)</f>
        <v/>
      </c>
      <c r="I508" s="52" t="str">
        <f aca="false">IF(AND(ISNUMBER($G508),$G508&gt;=MA_SHORT),AVERAGE(INDEX($C$108:$C508,402-MA_SHORT):$C508),"")</f>
        <v/>
      </c>
      <c r="J508" s="52" t="str">
        <f aca="false">IF(AND(ISNUMBER($G508),$G508&gt;=MA_MED),AVERAGE(INDEX($C$108:$C508,402-MA_MED):$C508),"")</f>
        <v/>
      </c>
      <c r="K508" s="52" t="str">
        <f aca="false">IF(AND(ISNUMBER($G508),$G508&gt;=MA_LONG2),AVERAGE(INDEX($C$108:$C508,402-MA_LONG2):$C508),"")</f>
        <v/>
      </c>
      <c r="L508" s="53" t="str">
        <f aca="false">IF(AND(ISNUMBER($G508),$G508&gt;=21),STDEV(INDEX($H$448:$H508,62-20):$H508)*SQRT(245),"")</f>
        <v/>
      </c>
      <c r="M508" s="52" t="str">
        <f aca="false">IF(AND(ISNUMBER($G508),$G508&gt;=60),MAX(INDEX($D$308:$D508,202-60):$D508),"")</f>
        <v/>
      </c>
      <c r="N508" s="52" t="str">
        <f aca="false">IF(AND(ISNUMBER($G508),$G508&gt;=60),MIN(INDEX($E$308:$E508,202-60):$E508),"")</f>
        <v/>
      </c>
      <c r="O508" s="53" t="str">
        <f aca="false">IF(OR(NOT(ISNUMBER($C508)),NOT(ISNUMBER($M508)),$M508=0),"",$C508/$M508-1)</f>
        <v/>
      </c>
      <c r="P508" s="54"/>
      <c r="Q508" s="53" t="str">
        <f aca="false">IF(NOT(ISNUMBER($P508)),"",IFERROR(PERCENTRANK($P$5:$P$1204,$P508),""))</f>
        <v/>
      </c>
    </row>
    <row r="509" customFormat="false" ht="15" hidden="false" customHeight="false" outlineLevel="0" collapsed="false">
      <c r="A509" s="55"/>
      <c r="B509" s="56"/>
      <c r="C509" s="57"/>
      <c r="D509" s="56"/>
      <c r="E509" s="56"/>
      <c r="F509" s="56"/>
      <c r="G509" s="50" t="str">
        <f aca="false">IF($A509="","",IF(ISNUMBER($G508),$G508+1,1))</f>
        <v/>
      </c>
      <c r="H509" s="51" t="str">
        <f aca="false">IF(OR(NOT(ISNUMBER($G509)),$G509&lt;2,NOT(ISNUMBER($C508)),$C508=0),"",$C509/$C508-1)</f>
        <v/>
      </c>
      <c r="I509" s="52" t="str">
        <f aca="false">IF(AND(ISNUMBER($G509),$G509&gt;=MA_SHORT),AVERAGE(INDEX($C$109:$C509,402-MA_SHORT):$C509),"")</f>
        <v/>
      </c>
      <c r="J509" s="52" t="str">
        <f aca="false">IF(AND(ISNUMBER($G509),$G509&gt;=MA_MED),AVERAGE(INDEX($C$109:$C509,402-MA_MED):$C509),"")</f>
        <v/>
      </c>
      <c r="K509" s="52" t="str">
        <f aca="false">IF(AND(ISNUMBER($G509),$G509&gt;=MA_LONG2),AVERAGE(INDEX($C$109:$C509,402-MA_LONG2):$C509),"")</f>
        <v/>
      </c>
      <c r="L509" s="53" t="str">
        <f aca="false">IF(AND(ISNUMBER($G509),$G509&gt;=21),STDEV(INDEX($H$449:$H509,62-20):$H509)*SQRT(245),"")</f>
        <v/>
      </c>
      <c r="M509" s="52" t="str">
        <f aca="false">IF(AND(ISNUMBER($G509),$G509&gt;=60),MAX(INDEX($D$309:$D509,202-60):$D509),"")</f>
        <v/>
      </c>
      <c r="N509" s="52" t="str">
        <f aca="false">IF(AND(ISNUMBER($G509),$G509&gt;=60),MIN(INDEX($E$309:$E509,202-60):$E509),"")</f>
        <v/>
      </c>
      <c r="O509" s="53" t="str">
        <f aca="false">IF(OR(NOT(ISNUMBER($C509)),NOT(ISNUMBER($M509)),$M509=0),"",$C509/$M509-1)</f>
        <v/>
      </c>
      <c r="P509" s="54"/>
      <c r="Q509" s="53" t="str">
        <f aca="false">IF(NOT(ISNUMBER($P509)),"",IFERROR(PERCENTRANK($P$5:$P$1204,$P509),""))</f>
        <v/>
      </c>
    </row>
    <row r="510" customFormat="false" ht="15" hidden="false" customHeight="false" outlineLevel="0" collapsed="false">
      <c r="A510" s="55"/>
      <c r="B510" s="56"/>
      <c r="C510" s="57"/>
      <c r="D510" s="56"/>
      <c r="E510" s="56"/>
      <c r="F510" s="56"/>
      <c r="G510" s="50" t="str">
        <f aca="false">IF($A510="","",IF(ISNUMBER($G509),$G509+1,1))</f>
        <v/>
      </c>
      <c r="H510" s="51" t="str">
        <f aca="false">IF(OR(NOT(ISNUMBER($G510)),$G510&lt;2,NOT(ISNUMBER($C509)),$C509=0),"",$C510/$C509-1)</f>
        <v/>
      </c>
      <c r="I510" s="52" t="str">
        <f aca="false">IF(AND(ISNUMBER($G510),$G510&gt;=MA_SHORT),AVERAGE(INDEX($C$110:$C510,402-MA_SHORT):$C510),"")</f>
        <v/>
      </c>
      <c r="J510" s="52" t="str">
        <f aca="false">IF(AND(ISNUMBER($G510),$G510&gt;=MA_MED),AVERAGE(INDEX($C$110:$C510,402-MA_MED):$C510),"")</f>
        <v/>
      </c>
      <c r="K510" s="52" t="str">
        <f aca="false">IF(AND(ISNUMBER($G510),$G510&gt;=MA_LONG2),AVERAGE(INDEX($C$110:$C510,402-MA_LONG2):$C510),"")</f>
        <v/>
      </c>
      <c r="L510" s="53" t="str">
        <f aca="false">IF(AND(ISNUMBER($G510),$G510&gt;=21),STDEV(INDEX($H$450:$H510,62-20):$H510)*SQRT(245),"")</f>
        <v/>
      </c>
      <c r="M510" s="52" t="str">
        <f aca="false">IF(AND(ISNUMBER($G510),$G510&gt;=60),MAX(INDEX($D$310:$D510,202-60):$D510),"")</f>
        <v/>
      </c>
      <c r="N510" s="52" t="str">
        <f aca="false">IF(AND(ISNUMBER($G510),$G510&gt;=60),MIN(INDEX($E$310:$E510,202-60):$E510),"")</f>
        <v/>
      </c>
      <c r="O510" s="53" t="str">
        <f aca="false">IF(OR(NOT(ISNUMBER($C510)),NOT(ISNUMBER($M510)),$M510=0),"",$C510/$M510-1)</f>
        <v/>
      </c>
      <c r="P510" s="54"/>
      <c r="Q510" s="53" t="str">
        <f aca="false">IF(NOT(ISNUMBER($P510)),"",IFERROR(PERCENTRANK($P$5:$P$1204,$P510),""))</f>
        <v/>
      </c>
    </row>
    <row r="511" customFormat="false" ht="15" hidden="false" customHeight="false" outlineLevel="0" collapsed="false">
      <c r="A511" s="55"/>
      <c r="B511" s="56"/>
      <c r="C511" s="57"/>
      <c r="D511" s="56"/>
      <c r="E511" s="56"/>
      <c r="F511" s="56"/>
      <c r="G511" s="50" t="str">
        <f aca="false">IF($A511="","",IF(ISNUMBER($G510),$G510+1,1))</f>
        <v/>
      </c>
      <c r="H511" s="51" t="str">
        <f aca="false">IF(OR(NOT(ISNUMBER($G511)),$G511&lt;2,NOT(ISNUMBER($C510)),$C510=0),"",$C511/$C510-1)</f>
        <v/>
      </c>
      <c r="I511" s="52" t="str">
        <f aca="false">IF(AND(ISNUMBER($G511),$G511&gt;=MA_SHORT),AVERAGE(INDEX($C$111:$C511,402-MA_SHORT):$C511),"")</f>
        <v/>
      </c>
      <c r="J511" s="52" t="str">
        <f aca="false">IF(AND(ISNUMBER($G511),$G511&gt;=MA_MED),AVERAGE(INDEX($C$111:$C511,402-MA_MED):$C511),"")</f>
        <v/>
      </c>
      <c r="K511" s="52" t="str">
        <f aca="false">IF(AND(ISNUMBER($G511),$G511&gt;=MA_LONG2),AVERAGE(INDEX($C$111:$C511,402-MA_LONG2):$C511),"")</f>
        <v/>
      </c>
      <c r="L511" s="53" t="str">
        <f aca="false">IF(AND(ISNUMBER($G511),$G511&gt;=21),STDEV(INDEX($H$451:$H511,62-20):$H511)*SQRT(245),"")</f>
        <v/>
      </c>
      <c r="M511" s="52" t="str">
        <f aca="false">IF(AND(ISNUMBER($G511),$G511&gt;=60),MAX(INDEX($D$311:$D511,202-60):$D511),"")</f>
        <v/>
      </c>
      <c r="N511" s="52" t="str">
        <f aca="false">IF(AND(ISNUMBER($G511),$G511&gt;=60),MIN(INDEX($E$311:$E511,202-60):$E511),"")</f>
        <v/>
      </c>
      <c r="O511" s="53" t="str">
        <f aca="false">IF(OR(NOT(ISNUMBER($C511)),NOT(ISNUMBER($M511)),$M511=0),"",$C511/$M511-1)</f>
        <v/>
      </c>
      <c r="P511" s="54"/>
      <c r="Q511" s="53" t="str">
        <f aca="false">IF(NOT(ISNUMBER($P511)),"",IFERROR(PERCENTRANK($P$5:$P$1204,$P511),""))</f>
        <v/>
      </c>
    </row>
    <row r="512" customFormat="false" ht="15" hidden="false" customHeight="false" outlineLevel="0" collapsed="false">
      <c r="A512" s="55"/>
      <c r="B512" s="56"/>
      <c r="C512" s="57"/>
      <c r="D512" s="56"/>
      <c r="E512" s="56"/>
      <c r="F512" s="56"/>
      <c r="G512" s="50" t="str">
        <f aca="false">IF($A512="","",IF(ISNUMBER($G511),$G511+1,1))</f>
        <v/>
      </c>
      <c r="H512" s="51" t="str">
        <f aca="false">IF(OR(NOT(ISNUMBER($G512)),$G512&lt;2,NOT(ISNUMBER($C511)),$C511=0),"",$C512/$C511-1)</f>
        <v/>
      </c>
      <c r="I512" s="52" t="str">
        <f aca="false">IF(AND(ISNUMBER($G512),$G512&gt;=MA_SHORT),AVERAGE(INDEX($C$112:$C512,402-MA_SHORT):$C512),"")</f>
        <v/>
      </c>
      <c r="J512" s="52" t="str">
        <f aca="false">IF(AND(ISNUMBER($G512),$G512&gt;=MA_MED),AVERAGE(INDEX($C$112:$C512,402-MA_MED):$C512),"")</f>
        <v/>
      </c>
      <c r="K512" s="52" t="str">
        <f aca="false">IF(AND(ISNUMBER($G512),$G512&gt;=MA_LONG2),AVERAGE(INDEX($C$112:$C512,402-MA_LONG2):$C512),"")</f>
        <v/>
      </c>
      <c r="L512" s="53" t="str">
        <f aca="false">IF(AND(ISNUMBER($G512),$G512&gt;=21),STDEV(INDEX($H$452:$H512,62-20):$H512)*SQRT(245),"")</f>
        <v/>
      </c>
      <c r="M512" s="52" t="str">
        <f aca="false">IF(AND(ISNUMBER($G512),$G512&gt;=60),MAX(INDEX($D$312:$D512,202-60):$D512),"")</f>
        <v/>
      </c>
      <c r="N512" s="52" t="str">
        <f aca="false">IF(AND(ISNUMBER($G512),$G512&gt;=60),MIN(INDEX($E$312:$E512,202-60):$E512),"")</f>
        <v/>
      </c>
      <c r="O512" s="53" t="str">
        <f aca="false">IF(OR(NOT(ISNUMBER($C512)),NOT(ISNUMBER($M512)),$M512=0),"",$C512/$M512-1)</f>
        <v/>
      </c>
      <c r="P512" s="54"/>
      <c r="Q512" s="53" t="str">
        <f aca="false">IF(NOT(ISNUMBER($P512)),"",IFERROR(PERCENTRANK($P$5:$P$1204,$P512),""))</f>
        <v/>
      </c>
    </row>
    <row r="513" customFormat="false" ht="15" hidden="false" customHeight="false" outlineLevel="0" collapsed="false">
      <c r="A513" s="55"/>
      <c r="B513" s="56"/>
      <c r="C513" s="57"/>
      <c r="D513" s="56"/>
      <c r="E513" s="56"/>
      <c r="F513" s="56"/>
      <c r="G513" s="50" t="str">
        <f aca="false">IF($A513="","",IF(ISNUMBER($G512),$G512+1,1))</f>
        <v/>
      </c>
      <c r="H513" s="51" t="str">
        <f aca="false">IF(OR(NOT(ISNUMBER($G513)),$G513&lt;2,NOT(ISNUMBER($C512)),$C512=0),"",$C513/$C512-1)</f>
        <v/>
      </c>
      <c r="I513" s="52" t="str">
        <f aca="false">IF(AND(ISNUMBER($G513),$G513&gt;=MA_SHORT),AVERAGE(INDEX($C$113:$C513,402-MA_SHORT):$C513),"")</f>
        <v/>
      </c>
      <c r="J513" s="52" t="str">
        <f aca="false">IF(AND(ISNUMBER($G513),$G513&gt;=MA_MED),AVERAGE(INDEX($C$113:$C513,402-MA_MED):$C513),"")</f>
        <v/>
      </c>
      <c r="K513" s="52" t="str">
        <f aca="false">IF(AND(ISNUMBER($G513),$G513&gt;=MA_LONG2),AVERAGE(INDEX($C$113:$C513,402-MA_LONG2):$C513),"")</f>
        <v/>
      </c>
      <c r="L513" s="53" t="str">
        <f aca="false">IF(AND(ISNUMBER($G513),$G513&gt;=21),STDEV(INDEX($H$453:$H513,62-20):$H513)*SQRT(245),"")</f>
        <v/>
      </c>
      <c r="M513" s="52" t="str">
        <f aca="false">IF(AND(ISNUMBER($G513),$G513&gt;=60),MAX(INDEX($D$313:$D513,202-60):$D513),"")</f>
        <v/>
      </c>
      <c r="N513" s="52" t="str">
        <f aca="false">IF(AND(ISNUMBER($G513),$G513&gt;=60),MIN(INDEX($E$313:$E513,202-60):$E513),"")</f>
        <v/>
      </c>
      <c r="O513" s="53" t="str">
        <f aca="false">IF(OR(NOT(ISNUMBER($C513)),NOT(ISNUMBER($M513)),$M513=0),"",$C513/$M513-1)</f>
        <v/>
      </c>
      <c r="P513" s="54"/>
      <c r="Q513" s="53" t="str">
        <f aca="false">IF(NOT(ISNUMBER($P513)),"",IFERROR(PERCENTRANK($P$5:$P$1204,$P513),""))</f>
        <v/>
      </c>
    </row>
    <row r="514" customFormat="false" ht="15" hidden="false" customHeight="false" outlineLevel="0" collapsed="false">
      <c r="A514" s="55"/>
      <c r="B514" s="56"/>
      <c r="C514" s="57"/>
      <c r="D514" s="56"/>
      <c r="E514" s="56"/>
      <c r="F514" s="56"/>
      <c r="G514" s="50" t="str">
        <f aca="false">IF($A514="","",IF(ISNUMBER($G513),$G513+1,1))</f>
        <v/>
      </c>
      <c r="H514" s="51" t="str">
        <f aca="false">IF(OR(NOT(ISNUMBER($G514)),$G514&lt;2,NOT(ISNUMBER($C513)),$C513=0),"",$C514/$C513-1)</f>
        <v/>
      </c>
      <c r="I514" s="52" t="str">
        <f aca="false">IF(AND(ISNUMBER($G514),$G514&gt;=MA_SHORT),AVERAGE(INDEX($C$114:$C514,402-MA_SHORT):$C514),"")</f>
        <v/>
      </c>
      <c r="J514" s="52" t="str">
        <f aca="false">IF(AND(ISNUMBER($G514),$G514&gt;=MA_MED),AVERAGE(INDEX($C$114:$C514,402-MA_MED):$C514),"")</f>
        <v/>
      </c>
      <c r="K514" s="52" t="str">
        <f aca="false">IF(AND(ISNUMBER($G514),$G514&gt;=MA_LONG2),AVERAGE(INDEX($C$114:$C514,402-MA_LONG2):$C514),"")</f>
        <v/>
      </c>
      <c r="L514" s="53" t="str">
        <f aca="false">IF(AND(ISNUMBER($G514),$G514&gt;=21),STDEV(INDEX($H$454:$H514,62-20):$H514)*SQRT(245),"")</f>
        <v/>
      </c>
      <c r="M514" s="52" t="str">
        <f aca="false">IF(AND(ISNUMBER($G514),$G514&gt;=60),MAX(INDEX($D$314:$D514,202-60):$D514),"")</f>
        <v/>
      </c>
      <c r="N514" s="52" t="str">
        <f aca="false">IF(AND(ISNUMBER($G514),$G514&gt;=60),MIN(INDEX($E$314:$E514,202-60):$E514),"")</f>
        <v/>
      </c>
      <c r="O514" s="53" t="str">
        <f aca="false">IF(OR(NOT(ISNUMBER($C514)),NOT(ISNUMBER($M514)),$M514=0),"",$C514/$M514-1)</f>
        <v/>
      </c>
      <c r="P514" s="54"/>
      <c r="Q514" s="53" t="str">
        <f aca="false">IF(NOT(ISNUMBER($P514)),"",IFERROR(PERCENTRANK($P$5:$P$1204,$P514),""))</f>
        <v/>
      </c>
    </row>
    <row r="515" customFormat="false" ht="15" hidden="false" customHeight="false" outlineLevel="0" collapsed="false">
      <c r="A515" s="55"/>
      <c r="B515" s="56"/>
      <c r="C515" s="57"/>
      <c r="D515" s="56"/>
      <c r="E515" s="56"/>
      <c r="F515" s="56"/>
      <c r="G515" s="50" t="str">
        <f aca="false">IF($A515="","",IF(ISNUMBER($G514),$G514+1,1))</f>
        <v/>
      </c>
      <c r="H515" s="51" t="str">
        <f aca="false">IF(OR(NOT(ISNUMBER($G515)),$G515&lt;2,NOT(ISNUMBER($C514)),$C514=0),"",$C515/$C514-1)</f>
        <v/>
      </c>
      <c r="I515" s="52" t="str">
        <f aca="false">IF(AND(ISNUMBER($G515),$G515&gt;=MA_SHORT),AVERAGE(INDEX($C$115:$C515,402-MA_SHORT):$C515),"")</f>
        <v/>
      </c>
      <c r="J515" s="52" t="str">
        <f aca="false">IF(AND(ISNUMBER($G515),$G515&gt;=MA_MED),AVERAGE(INDEX($C$115:$C515,402-MA_MED):$C515),"")</f>
        <v/>
      </c>
      <c r="K515" s="52" t="str">
        <f aca="false">IF(AND(ISNUMBER($G515),$G515&gt;=MA_LONG2),AVERAGE(INDEX($C$115:$C515,402-MA_LONG2):$C515),"")</f>
        <v/>
      </c>
      <c r="L515" s="53" t="str">
        <f aca="false">IF(AND(ISNUMBER($G515),$G515&gt;=21),STDEV(INDEX($H$455:$H515,62-20):$H515)*SQRT(245),"")</f>
        <v/>
      </c>
      <c r="M515" s="52" t="str">
        <f aca="false">IF(AND(ISNUMBER($G515),$G515&gt;=60),MAX(INDEX($D$315:$D515,202-60):$D515),"")</f>
        <v/>
      </c>
      <c r="N515" s="52" t="str">
        <f aca="false">IF(AND(ISNUMBER($G515),$G515&gt;=60),MIN(INDEX($E$315:$E515,202-60):$E515),"")</f>
        <v/>
      </c>
      <c r="O515" s="53" t="str">
        <f aca="false">IF(OR(NOT(ISNUMBER($C515)),NOT(ISNUMBER($M515)),$M515=0),"",$C515/$M515-1)</f>
        <v/>
      </c>
      <c r="P515" s="54"/>
      <c r="Q515" s="53" t="str">
        <f aca="false">IF(NOT(ISNUMBER($P515)),"",IFERROR(PERCENTRANK($P$5:$P$1204,$P515),""))</f>
        <v/>
      </c>
    </row>
    <row r="516" customFormat="false" ht="15" hidden="false" customHeight="false" outlineLevel="0" collapsed="false">
      <c r="A516" s="55"/>
      <c r="B516" s="56"/>
      <c r="C516" s="57"/>
      <c r="D516" s="56"/>
      <c r="E516" s="56"/>
      <c r="F516" s="56"/>
      <c r="G516" s="50" t="str">
        <f aca="false">IF($A516="","",IF(ISNUMBER($G515),$G515+1,1))</f>
        <v/>
      </c>
      <c r="H516" s="51" t="str">
        <f aca="false">IF(OR(NOT(ISNUMBER($G516)),$G516&lt;2,NOT(ISNUMBER($C515)),$C515=0),"",$C516/$C515-1)</f>
        <v/>
      </c>
      <c r="I516" s="52" t="str">
        <f aca="false">IF(AND(ISNUMBER($G516),$G516&gt;=MA_SHORT),AVERAGE(INDEX($C$116:$C516,402-MA_SHORT):$C516),"")</f>
        <v/>
      </c>
      <c r="J516" s="52" t="str">
        <f aca="false">IF(AND(ISNUMBER($G516),$G516&gt;=MA_MED),AVERAGE(INDEX($C$116:$C516,402-MA_MED):$C516),"")</f>
        <v/>
      </c>
      <c r="K516" s="52" t="str">
        <f aca="false">IF(AND(ISNUMBER($G516),$G516&gt;=MA_LONG2),AVERAGE(INDEX($C$116:$C516,402-MA_LONG2):$C516),"")</f>
        <v/>
      </c>
      <c r="L516" s="53" t="str">
        <f aca="false">IF(AND(ISNUMBER($G516),$G516&gt;=21),STDEV(INDEX($H$456:$H516,62-20):$H516)*SQRT(245),"")</f>
        <v/>
      </c>
      <c r="M516" s="52" t="str">
        <f aca="false">IF(AND(ISNUMBER($G516),$G516&gt;=60),MAX(INDEX($D$316:$D516,202-60):$D516),"")</f>
        <v/>
      </c>
      <c r="N516" s="52" t="str">
        <f aca="false">IF(AND(ISNUMBER($G516),$G516&gt;=60),MIN(INDEX($E$316:$E516,202-60):$E516),"")</f>
        <v/>
      </c>
      <c r="O516" s="53" t="str">
        <f aca="false">IF(OR(NOT(ISNUMBER($C516)),NOT(ISNUMBER($M516)),$M516=0),"",$C516/$M516-1)</f>
        <v/>
      </c>
      <c r="P516" s="54"/>
      <c r="Q516" s="53" t="str">
        <f aca="false">IF(NOT(ISNUMBER($P516)),"",IFERROR(PERCENTRANK($P$5:$P$1204,$P516),""))</f>
        <v/>
      </c>
    </row>
    <row r="517" customFormat="false" ht="15" hidden="false" customHeight="false" outlineLevel="0" collapsed="false">
      <c r="A517" s="55"/>
      <c r="B517" s="56"/>
      <c r="C517" s="57"/>
      <c r="D517" s="56"/>
      <c r="E517" s="56"/>
      <c r="F517" s="56"/>
      <c r="G517" s="50" t="str">
        <f aca="false">IF($A517="","",IF(ISNUMBER($G516),$G516+1,1))</f>
        <v/>
      </c>
      <c r="H517" s="51" t="str">
        <f aca="false">IF(OR(NOT(ISNUMBER($G517)),$G517&lt;2,NOT(ISNUMBER($C516)),$C516=0),"",$C517/$C516-1)</f>
        <v/>
      </c>
      <c r="I517" s="52" t="str">
        <f aca="false">IF(AND(ISNUMBER($G517),$G517&gt;=MA_SHORT),AVERAGE(INDEX($C$117:$C517,402-MA_SHORT):$C517),"")</f>
        <v/>
      </c>
      <c r="J517" s="52" t="str">
        <f aca="false">IF(AND(ISNUMBER($G517),$G517&gt;=MA_MED),AVERAGE(INDEX($C$117:$C517,402-MA_MED):$C517),"")</f>
        <v/>
      </c>
      <c r="K517" s="52" t="str">
        <f aca="false">IF(AND(ISNUMBER($G517),$G517&gt;=MA_LONG2),AVERAGE(INDEX($C$117:$C517,402-MA_LONG2):$C517),"")</f>
        <v/>
      </c>
      <c r="L517" s="53" t="str">
        <f aca="false">IF(AND(ISNUMBER($G517),$G517&gt;=21),STDEV(INDEX($H$457:$H517,62-20):$H517)*SQRT(245),"")</f>
        <v/>
      </c>
      <c r="M517" s="52" t="str">
        <f aca="false">IF(AND(ISNUMBER($G517),$G517&gt;=60),MAX(INDEX($D$317:$D517,202-60):$D517),"")</f>
        <v/>
      </c>
      <c r="N517" s="52" t="str">
        <f aca="false">IF(AND(ISNUMBER($G517),$G517&gt;=60),MIN(INDEX($E$317:$E517,202-60):$E517),"")</f>
        <v/>
      </c>
      <c r="O517" s="53" t="str">
        <f aca="false">IF(OR(NOT(ISNUMBER($C517)),NOT(ISNUMBER($M517)),$M517=0),"",$C517/$M517-1)</f>
        <v/>
      </c>
      <c r="P517" s="54"/>
      <c r="Q517" s="53" t="str">
        <f aca="false">IF(NOT(ISNUMBER($P517)),"",IFERROR(PERCENTRANK($P$5:$P$1204,$P517),""))</f>
        <v/>
      </c>
    </row>
    <row r="518" customFormat="false" ht="15" hidden="false" customHeight="false" outlineLevel="0" collapsed="false">
      <c r="A518" s="55"/>
      <c r="B518" s="56"/>
      <c r="C518" s="57"/>
      <c r="D518" s="56"/>
      <c r="E518" s="56"/>
      <c r="F518" s="56"/>
      <c r="G518" s="50" t="str">
        <f aca="false">IF($A518="","",IF(ISNUMBER($G517),$G517+1,1))</f>
        <v/>
      </c>
      <c r="H518" s="51" t="str">
        <f aca="false">IF(OR(NOT(ISNUMBER($G518)),$G518&lt;2,NOT(ISNUMBER($C517)),$C517=0),"",$C518/$C517-1)</f>
        <v/>
      </c>
      <c r="I518" s="52" t="str">
        <f aca="false">IF(AND(ISNUMBER($G518),$G518&gt;=MA_SHORT),AVERAGE(INDEX($C$118:$C518,402-MA_SHORT):$C518),"")</f>
        <v/>
      </c>
      <c r="J518" s="52" t="str">
        <f aca="false">IF(AND(ISNUMBER($G518),$G518&gt;=MA_MED),AVERAGE(INDEX($C$118:$C518,402-MA_MED):$C518),"")</f>
        <v/>
      </c>
      <c r="K518" s="52" t="str">
        <f aca="false">IF(AND(ISNUMBER($G518),$G518&gt;=MA_LONG2),AVERAGE(INDEX($C$118:$C518,402-MA_LONG2):$C518),"")</f>
        <v/>
      </c>
      <c r="L518" s="53" t="str">
        <f aca="false">IF(AND(ISNUMBER($G518),$G518&gt;=21),STDEV(INDEX($H$458:$H518,62-20):$H518)*SQRT(245),"")</f>
        <v/>
      </c>
      <c r="M518" s="52" t="str">
        <f aca="false">IF(AND(ISNUMBER($G518),$G518&gt;=60),MAX(INDEX($D$318:$D518,202-60):$D518),"")</f>
        <v/>
      </c>
      <c r="N518" s="52" t="str">
        <f aca="false">IF(AND(ISNUMBER($G518),$G518&gt;=60),MIN(INDEX($E$318:$E518,202-60):$E518),"")</f>
        <v/>
      </c>
      <c r="O518" s="53" t="str">
        <f aca="false">IF(OR(NOT(ISNUMBER($C518)),NOT(ISNUMBER($M518)),$M518=0),"",$C518/$M518-1)</f>
        <v/>
      </c>
      <c r="P518" s="54"/>
      <c r="Q518" s="53" t="str">
        <f aca="false">IF(NOT(ISNUMBER($P518)),"",IFERROR(PERCENTRANK($P$5:$P$1204,$P518),""))</f>
        <v/>
      </c>
    </row>
    <row r="519" customFormat="false" ht="15" hidden="false" customHeight="false" outlineLevel="0" collapsed="false">
      <c r="A519" s="55"/>
      <c r="B519" s="56"/>
      <c r="C519" s="57"/>
      <c r="D519" s="56"/>
      <c r="E519" s="56"/>
      <c r="F519" s="56"/>
      <c r="G519" s="50" t="str">
        <f aca="false">IF($A519="","",IF(ISNUMBER($G518),$G518+1,1))</f>
        <v/>
      </c>
      <c r="H519" s="51" t="str">
        <f aca="false">IF(OR(NOT(ISNUMBER($G519)),$G519&lt;2,NOT(ISNUMBER($C518)),$C518=0),"",$C519/$C518-1)</f>
        <v/>
      </c>
      <c r="I519" s="52" t="str">
        <f aca="false">IF(AND(ISNUMBER($G519),$G519&gt;=MA_SHORT),AVERAGE(INDEX($C$119:$C519,402-MA_SHORT):$C519),"")</f>
        <v/>
      </c>
      <c r="J519" s="52" t="str">
        <f aca="false">IF(AND(ISNUMBER($G519),$G519&gt;=MA_MED),AVERAGE(INDEX($C$119:$C519,402-MA_MED):$C519),"")</f>
        <v/>
      </c>
      <c r="K519" s="52" t="str">
        <f aca="false">IF(AND(ISNUMBER($G519),$G519&gt;=MA_LONG2),AVERAGE(INDEX($C$119:$C519,402-MA_LONG2):$C519),"")</f>
        <v/>
      </c>
      <c r="L519" s="53" t="str">
        <f aca="false">IF(AND(ISNUMBER($G519),$G519&gt;=21),STDEV(INDEX($H$459:$H519,62-20):$H519)*SQRT(245),"")</f>
        <v/>
      </c>
      <c r="M519" s="52" t="str">
        <f aca="false">IF(AND(ISNUMBER($G519),$G519&gt;=60),MAX(INDEX($D$319:$D519,202-60):$D519),"")</f>
        <v/>
      </c>
      <c r="N519" s="52" t="str">
        <f aca="false">IF(AND(ISNUMBER($G519),$G519&gt;=60),MIN(INDEX($E$319:$E519,202-60):$E519),"")</f>
        <v/>
      </c>
      <c r="O519" s="53" t="str">
        <f aca="false">IF(OR(NOT(ISNUMBER($C519)),NOT(ISNUMBER($M519)),$M519=0),"",$C519/$M519-1)</f>
        <v/>
      </c>
      <c r="P519" s="54"/>
      <c r="Q519" s="53" t="str">
        <f aca="false">IF(NOT(ISNUMBER($P519)),"",IFERROR(PERCENTRANK($P$5:$P$1204,$P519),""))</f>
        <v/>
      </c>
    </row>
    <row r="520" customFormat="false" ht="15" hidden="false" customHeight="false" outlineLevel="0" collapsed="false">
      <c r="A520" s="55"/>
      <c r="B520" s="56"/>
      <c r="C520" s="57"/>
      <c r="D520" s="56"/>
      <c r="E520" s="56"/>
      <c r="F520" s="56"/>
      <c r="G520" s="50" t="str">
        <f aca="false">IF($A520="","",IF(ISNUMBER($G519),$G519+1,1))</f>
        <v/>
      </c>
      <c r="H520" s="51" t="str">
        <f aca="false">IF(OR(NOT(ISNUMBER($G520)),$G520&lt;2,NOT(ISNUMBER($C519)),$C519=0),"",$C520/$C519-1)</f>
        <v/>
      </c>
      <c r="I520" s="52" t="str">
        <f aca="false">IF(AND(ISNUMBER($G520),$G520&gt;=MA_SHORT),AVERAGE(INDEX($C$120:$C520,402-MA_SHORT):$C520),"")</f>
        <v/>
      </c>
      <c r="J520" s="52" t="str">
        <f aca="false">IF(AND(ISNUMBER($G520),$G520&gt;=MA_MED),AVERAGE(INDEX($C$120:$C520,402-MA_MED):$C520),"")</f>
        <v/>
      </c>
      <c r="K520" s="52" t="str">
        <f aca="false">IF(AND(ISNUMBER($G520),$G520&gt;=MA_LONG2),AVERAGE(INDEX($C$120:$C520,402-MA_LONG2):$C520),"")</f>
        <v/>
      </c>
      <c r="L520" s="53" t="str">
        <f aca="false">IF(AND(ISNUMBER($G520),$G520&gt;=21),STDEV(INDEX($H$460:$H520,62-20):$H520)*SQRT(245),"")</f>
        <v/>
      </c>
      <c r="M520" s="52" t="str">
        <f aca="false">IF(AND(ISNUMBER($G520),$G520&gt;=60),MAX(INDEX($D$320:$D520,202-60):$D520),"")</f>
        <v/>
      </c>
      <c r="N520" s="52" t="str">
        <f aca="false">IF(AND(ISNUMBER($G520),$G520&gt;=60),MIN(INDEX($E$320:$E520,202-60):$E520),"")</f>
        <v/>
      </c>
      <c r="O520" s="53" t="str">
        <f aca="false">IF(OR(NOT(ISNUMBER($C520)),NOT(ISNUMBER($M520)),$M520=0),"",$C520/$M520-1)</f>
        <v/>
      </c>
      <c r="P520" s="54"/>
      <c r="Q520" s="53" t="str">
        <f aca="false">IF(NOT(ISNUMBER($P520)),"",IFERROR(PERCENTRANK($P$5:$P$1204,$P520),""))</f>
        <v/>
      </c>
    </row>
    <row r="521" customFormat="false" ht="15" hidden="false" customHeight="false" outlineLevel="0" collapsed="false">
      <c r="A521" s="55"/>
      <c r="B521" s="56"/>
      <c r="C521" s="57"/>
      <c r="D521" s="56"/>
      <c r="E521" s="56"/>
      <c r="F521" s="56"/>
      <c r="G521" s="50" t="str">
        <f aca="false">IF($A521="","",IF(ISNUMBER($G520),$G520+1,1))</f>
        <v/>
      </c>
      <c r="H521" s="51" t="str">
        <f aca="false">IF(OR(NOT(ISNUMBER($G521)),$G521&lt;2,NOT(ISNUMBER($C520)),$C520=0),"",$C521/$C520-1)</f>
        <v/>
      </c>
      <c r="I521" s="52" t="str">
        <f aca="false">IF(AND(ISNUMBER($G521),$G521&gt;=MA_SHORT),AVERAGE(INDEX($C$121:$C521,402-MA_SHORT):$C521),"")</f>
        <v/>
      </c>
      <c r="J521" s="52" t="str">
        <f aca="false">IF(AND(ISNUMBER($G521),$G521&gt;=MA_MED),AVERAGE(INDEX($C$121:$C521,402-MA_MED):$C521),"")</f>
        <v/>
      </c>
      <c r="K521" s="52" t="str">
        <f aca="false">IF(AND(ISNUMBER($G521),$G521&gt;=MA_LONG2),AVERAGE(INDEX($C$121:$C521,402-MA_LONG2):$C521),"")</f>
        <v/>
      </c>
      <c r="L521" s="53" t="str">
        <f aca="false">IF(AND(ISNUMBER($G521),$G521&gt;=21),STDEV(INDEX($H$461:$H521,62-20):$H521)*SQRT(245),"")</f>
        <v/>
      </c>
      <c r="M521" s="52" t="str">
        <f aca="false">IF(AND(ISNUMBER($G521),$G521&gt;=60),MAX(INDEX($D$321:$D521,202-60):$D521),"")</f>
        <v/>
      </c>
      <c r="N521" s="52" t="str">
        <f aca="false">IF(AND(ISNUMBER($G521),$G521&gt;=60),MIN(INDEX($E$321:$E521,202-60):$E521),"")</f>
        <v/>
      </c>
      <c r="O521" s="53" t="str">
        <f aca="false">IF(OR(NOT(ISNUMBER($C521)),NOT(ISNUMBER($M521)),$M521=0),"",$C521/$M521-1)</f>
        <v/>
      </c>
      <c r="P521" s="54"/>
      <c r="Q521" s="53" t="str">
        <f aca="false">IF(NOT(ISNUMBER($P521)),"",IFERROR(PERCENTRANK($P$5:$P$1204,$P521),""))</f>
        <v/>
      </c>
    </row>
    <row r="522" customFormat="false" ht="15" hidden="false" customHeight="false" outlineLevel="0" collapsed="false">
      <c r="A522" s="55"/>
      <c r="B522" s="56"/>
      <c r="C522" s="57"/>
      <c r="D522" s="56"/>
      <c r="E522" s="56"/>
      <c r="F522" s="56"/>
      <c r="G522" s="50" t="str">
        <f aca="false">IF($A522="","",IF(ISNUMBER($G521),$G521+1,1))</f>
        <v/>
      </c>
      <c r="H522" s="51" t="str">
        <f aca="false">IF(OR(NOT(ISNUMBER($G522)),$G522&lt;2,NOT(ISNUMBER($C521)),$C521=0),"",$C522/$C521-1)</f>
        <v/>
      </c>
      <c r="I522" s="52" t="str">
        <f aca="false">IF(AND(ISNUMBER($G522),$G522&gt;=MA_SHORT),AVERAGE(INDEX($C$122:$C522,402-MA_SHORT):$C522),"")</f>
        <v/>
      </c>
      <c r="J522" s="52" t="str">
        <f aca="false">IF(AND(ISNUMBER($G522),$G522&gt;=MA_MED),AVERAGE(INDEX($C$122:$C522,402-MA_MED):$C522),"")</f>
        <v/>
      </c>
      <c r="K522" s="52" t="str">
        <f aca="false">IF(AND(ISNUMBER($G522),$G522&gt;=MA_LONG2),AVERAGE(INDEX($C$122:$C522,402-MA_LONG2):$C522),"")</f>
        <v/>
      </c>
      <c r="L522" s="53" t="str">
        <f aca="false">IF(AND(ISNUMBER($G522),$G522&gt;=21),STDEV(INDEX($H$462:$H522,62-20):$H522)*SQRT(245),"")</f>
        <v/>
      </c>
      <c r="M522" s="52" t="str">
        <f aca="false">IF(AND(ISNUMBER($G522),$G522&gt;=60),MAX(INDEX($D$322:$D522,202-60):$D522),"")</f>
        <v/>
      </c>
      <c r="N522" s="52" t="str">
        <f aca="false">IF(AND(ISNUMBER($G522),$G522&gt;=60),MIN(INDEX($E$322:$E522,202-60):$E522),"")</f>
        <v/>
      </c>
      <c r="O522" s="53" t="str">
        <f aca="false">IF(OR(NOT(ISNUMBER($C522)),NOT(ISNUMBER($M522)),$M522=0),"",$C522/$M522-1)</f>
        <v/>
      </c>
      <c r="P522" s="54"/>
      <c r="Q522" s="53" t="str">
        <f aca="false">IF(NOT(ISNUMBER($P522)),"",IFERROR(PERCENTRANK($P$5:$P$1204,$P522),""))</f>
        <v/>
      </c>
    </row>
    <row r="523" customFormat="false" ht="15" hidden="false" customHeight="false" outlineLevel="0" collapsed="false">
      <c r="A523" s="55"/>
      <c r="B523" s="56"/>
      <c r="C523" s="57"/>
      <c r="D523" s="56"/>
      <c r="E523" s="56"/>
      <c r="F523" s="56"/>
      <c r="G523" s="50" t="str">
        <f aca="false">IF($A523="","",IF(ISNUMBER($G522),$G522+1,1))</f>
        <v/>
      </c>
      <c r="H523" s="51" t="str">
        <f aca="false">IF(OR(NOT(ISNUMBER($G523)),$G523&lt;2,NOT(ISNUMBER($C522)),$C522=0),"",$C523/$C522-1)</f>
        <v/>
      </c>
      <c r="I523" s="52" t="str">
        <f aca="false">IF(AND(ISNUMBER($G523),$G523&gt;=MA_SHORT),AVERAGE(INDEX($C$123:$C523,402-MA_SHORT):$C523),"")</f>
        <v/>
      </c>
      <c r="J523" s="52" t="str">
        <f aca="false">IF(AND(ISNUMBER($G523),$G523&gt;=MA_MED),AVERAGE(INDEX($C$123:$C523,402-MA_MED):$C523),"")</f>
        <v/>
      </c>
      <c r="K523" s="52" t="str">
        <f aca="false">IF(AND(ISNUMBER($G523),$G523&gt;=MA_LONG2),AVERAGE(INDEX($C$123:$C523,402-MA_LONG2):$C523),"")</f>
        <v/>
      </c>
      <c r="L523" s="53" t="str">
        <f aca="false">IF(AND(ISNUMBER($G523),$G523&gt;=21),STDEV(INDEX($H$463:$H523,62-20):$H523)*SQRT(245),"")</f>
        <v/>
      </c>
      <c r="M523" s="52" t="str">
        <f aca="false">IF(AND(ISNUMBER($G523),$G523&gt;=60),MAX(INDEX($D$323:$D523,202-60):$D523),"")</f>
        <v/>
      </c>
      <c r="N523" s="52" t="str">
        <f aca="false">IF(AND(ISNUMBER($G523),$G523&gt;=60),MIN(INDEX($E$323:$E523,202-60):$E523),"")</f>
        <v/>
      </c>
      <c r="O523" s="53" t="str">
        <f aca="false">IF(OR(NOT(ISNUMBER($C523)),NOT(ISNUMBER($M523)),$M523=0),"",$C523/$M523-1)</f>
        <v/>
      </c>
      <c r="P523" s="54"/>
      <c r="Q523" s="53" t="str">
        <f aca="false">IF(NOT(ISNUMBER($P523)),"",IFERROR(PERCENTRANK($P$5:$P$1204,$P523),""))</f>
        <v/>
      </c>
    </row>
    <row r="524" customFormat="false" ht="15" hidden="false" customHeight="false" outlineLevel="0" collapsed="false">
      <c r="A524" s="55"/>
      <c r="B524" s="56"/>
      <c r="C524" s="57"/>
      <c r="D524" s="56"/>
      <c r="E524" s="56"/>
      <c r="F524" s="56"/>
      <c r="G524" s="50" t="str">
        <f aca="false">IF($A524="","",IF(ISNUMBER($G523),$G523+1,1))</f>
        <v/>
      </c>
      <c r="H524" s="51" t="str">
        <f aca="false">IF(OR(NOT(ISNUMBER($G524)),$G524&lt;2,NOT(ISNUMBER($C523)),$C523=0),"",$C524/$C523-1)</f>
        <v/>
      </c>
      <c r="I524" s="52" t="str">
        <f aca="false">IF(AND(ISNUMBER($G524),$G524&gt;=MA_SHORT),AVERAGE(INDEX($C$124:$C524,402-MA_SHORT):$C524),"")</f>
        <v/>
      </c>
      <c r="J524" s="52" t="str">
        <f aca="false">IF(AND(ISNUMBER($G524),$G524&gt;=MA_MED),AVERAGE(INDEX($C$124:$C524,402-MA_MED):$C524),"")</f>
        <v/>
      </c>
      <c r="K524" s="52" t="str">
        <f aca="false">IF(AND(ISNUMBER($G524),$G524&gt;=MA_LONG2),AVERAGE(INDEX($C$124:$C524,402-MA_LONG2):$C524),"")</f>
        <v/>
      </c>
      <c r="L524" s="53" t="str">
        <f aca="false">IF(AND(ISNUMBER($G524),$G524&gt;=21),STDEV(INDEX($H$464:$H524,62-20):$H524)*SQRT(245),"")</f>
        <v/>
      </c>
      <c r="M524" s="52" t="str">
        <f aca="false">IF(AND(ISNUMBER($G524),$G524&gt;=60),MAX(INDEX($D$324:$D524,202-60):$D524),"")</f>
        <v/>
      </c>
      <c r="N524" s="52" t="str">
        <f aca="false">IF(AND(ISNUMBER($G524),$G524&gt;=60),MIN(INDEX($E$324:$E524,202-60):$E524),"")</f>
        <v/>
      </c>
      <c r="O524" s="53" t="str">
        <f aca="false">IF(OR(NOT(ISNUMBER($C524)),NOT(ISNUMBER($M524)),$M524=0),"",$C524/$M524-1)</f>
        <v/>
      </c>
      <c r="P524" s="54"/>
      <c r="Q524" s="53" t="str">
        <f aca="false">IF(NOT(ISNUMBER($P524)),"",IFERROR(PERCENTRANK($P$5:$P$1204,$P524),""))</f>
        <v/>
      </c>
    </row>
    <row r="525" customFormat="false" ht="15" hidden="false" customHeight="false" outlineLevel="0" collapsed="false">
      <c r="A525" s="55"/>
      <c r="B525" s="56"/>
      <c r="C525" s="57"/>
      <c r="D525" s="56"/>
      <c r="E525" s="56"/>
      <c r="F525" s="56"/>
      <c r="G525" s="50" t="str">
        <f aca="false">IF($A525="","",IF(ISNUMBER($G524),$G524+1,1))</f>
        <v/>
      </c>
      <c r="H525" s="51" t="str">
        <f aca="false">IF(OR(NOT(ISNUMBER($G525)),$G525&lt;2,NOT(ISNUMBER($C524)),$C524=0),"",$C525/$C524-1)</f>
        <v/>
      </c>
      <c r="I525" s="52" t="str">
        <f aca="false">IF(AND(ISNUMBER($G525),$G525&gt;=MA_SHORT),AVERAGE(INDEX($C$125:$C525,402-MA_SHORT):$C525),"")</f>
        <v/>
      </c>
      <c r="J525" s="52" t="str">
        <f aca="false">IF(AND(ISNUMBER($G525),$G525&gt;=MA_MED),AVERAGE(INDEX($C$125:$C525,402-MA_MED):$C525),"")</f>
        <v/>
      </c>
      <c r="K525" s="52" t="str">
        <f aca="false">IF(AND(ISNUMBER($G525),$G525&gt;=MA_LONG2),AVERAGE(INDEX($C$125:$C525,402-MA_LONG2):$C525),"")</f>
        <v/>
      </c>
      <c r="L525" s="53" t="str">
        <f aca="false">IF(AND(ISNUMBER($G525),$G525&gt;=21),STDEV(INDEX($H$465:$H525,62-20):$H525)*SQRT(245),"")</f>
        <v/>
      </c>
      <c r="M525" s="52" t="str">
        <f aca="false">IF(AND(ISNUMBER($G525),$G525&gt;=60),MAX(INDEX($D$325:$D525,202-60):$D525),"")</f>
        <v/>
      </c>
      <c r="N525" s="52" t="str">
        <f aca="false">IF(AND(ISNUMBER($G525),$G525&gt;=60),MIN(INDEX($E$325:$E525,202-60):$E525),"")</f>
        <v/>
      </c>
      <c r="O525" s="53" t="str">
        <f aca="false">IF(OR(NOT(ISNUMBER($C525)),NOT(ISNUMBER($M525)),$M525=0),"",$C525/$M525-1)</f>
        <v/>
      </c>
      <c r="P525" s="54"/>
      <c r="Q525" s="53" t="str">
        <f aca="false">IF(NOT(ISNUMBER($P525)),"",IFERROR(PERCENTRANK($P$5:$P$1204,$P525),""))</f>
        <v/>
      </c>
    </row>
    <row r="526" customFormat="false" ht="15" hidden="false" customHeight="false" outlineLevel="0" collapsed="false">
      <c r="A526" s="55"/>
      <c r="B526" s="56"/>
      <c r="C526" s="57"/>
      <c r="D526" s="56"/>
      <c r="E526" s="56"/>
      <c r="F526" s="56"/>
      <c r="G526" s="50" t="str">
        <f aca="false">IF($A526="","",IF(ISNUMBER($G525),$G525+1,1))</f>
        <v/>
      </c>
      <c r="H526" s="51" t="str">
        <f aca="false">IF(OR(NOT(ISNUMBER($G526)),$G526&lt;2,NOT(ISNUMBER($C525)),$C525=0),"",$C526/$C525-1)</f>
        <v/>
      </c>
      <c r="I526" s="52" t="str">
        <f aca="false">IF(AND(ISNUMBER($G526),$G526&gt;=MA_SHORT),AVERAGE(INDEX($C$126:$C526,402-MA_SHORT):$C526),"")</f>
        <v/>
      </c>
      <c r="J526" s="52" t="str">
        <f aca="false">IF(AND(ISNUMBER($G526),$G526&gt;=MA_MED),AVERAGE(INDEX($C$126:$C526,402-MA_MED):$C526),"")</f>
        <v/>
      </c>
      <c r="K526" s="52" t="str">
        <f aca="false">IF(AND(ISNUMBER($G526),$G526&gt;=MA_LONG2),AVERAGE(INDEX($C$126:$C526,402-MA_LONG2):$C526),"")</f>
        <v/>
      </c>
      <c r="L526" s="53" t="str">
        <f aca="false">IF(AND(ISNUMBER($G526),$G526&gt;=21),STDEV(INDEX($H$466:$H526,62-20):$H526)*SQRT(245),"")</f>
        <v/>
      </c>
      <c r="M526" s="52" t="str">
        <f aca="false">IF(AND(ISNUMBER($G526),$G526&gt;=60),MAX(INDEX($D$326:$D526,202-60):$D526),"")</f>
        <v/>
      </c>
      <c r="N526" s="52" t="str">
        <f aca="false">IF(AND(ISNUMBER($G526),$G526&gt;=60),MIN(INDEX($E$326:$E526,202-60):$E526),"")</f>
        <v/>
      </c>
      <c r="O526" s="53" t="str">
        <f aca="false">IF(OR(NOT(ISNUMBER($C526)),NOT(ISNUMBER($M526)),$M526=0),"",$C526/$M526-1)</f>
        <v/>
      </c>
      <c r="P526" s="54"/>
      <c r="Q526" s="53" t="str">
        <f aca="false">IF(NOT(ISNUMBER($P526)),"",IFERROR(PERCENTRANK($P$5:$P$1204,$P526),""))</f>
        <v/>
      </c>
    </row>
    <row r="527" customFormat="false" ht="15" hidden="false" customHeight="false" outlineLevel="0" collapsed="false">
      <c r="A527" s="55"/>
      <c r="B527" s="56"/>
      <c r="C527" s="57"/>
      <c r="D527" s="56"/>
      <c r="E527" s="56"/>
      <c r="F527" s="56"/>
      <c r="G527" s="50" t="str">
        <f aca="false">IF($A527="","",IF(ISNUMBER($G526),$G526+1,1))</f>
        <v/>
      </c>
      <c r="H527" s="51" t="str">
        <f aca="false">IF(OR(NOT(ISNUMBER($G527)),$G527&lt;2,NOT(ISNUMBER($C526)),$C526=0),"",$C527/$C526-1)</f>
        <v/>
      </c>
      <c r="I527" s="52" t="str">
        <f aca="false">IF(AND(ISNUMBER($G527),$G527&gt;=MA_SHORT),AVERAGE(INDEX($C$127:$C527,402-MA_SHORT):$C527),"")</f>
        <v/>
      </c>
      <c r="J527" s="52" t="str">
        <f aca="false">IF(AND(ISNUMBER($G527),$G527&gt;=MA_MED),AVERAGE(INDEX($C$127:$C527,402-MA_MED):$C527),"")</f>
        <v/>
      </c>
      <c r="K527" s="52" t="str">
        <f aca="false">IF(AND(ISNUMBER($G527),$G527&gt;=MA_LONG2),AVERAGE(INDEX($C$127:$C527,402-MA_LONG2):$C527),"")</f>
        <v/>
      </c>
      <c r="L527" s="53" t="str">
        <f aca="false">IF(AND(ISNUMBER($G527),$G527&gt;=21),STDEV(INDEX($H$467:$H527,62-20):$H527)*SQRT(245),"")</f>
        <v/>
      </c>
      <c r="M527" s="52" t="str">
        <f aca="false">IF(AND(ISNUMBER($G527),$G527&gt;=60),MAX(INDEX($D$327:$D527,202-60):$D527),"")</f>
        <v/>
      </c>
      <c r="N527" s="52" t="str">
        <f aca="false">IF(AND(ISNUMBER($G527),$G527&gt;=60),MIN(INDEX($E$327:$E527,202-60):$E527),"")</f>
        <v/>
      </c>
      <c r="O527" s="53" t="str">
        <f aca="false">IF(OR(NOT(ISNUMBER($C527)),NOT(ISNUMBER($M527)),$M527=0),"",$C527/$M527-1)</f>
        <v/>
      </c>
      <c r="P527" s="54"/>
      <c r="Q527" s="53" t="str">
        <f aca="false">IF(NOT(ISNUMBER($P527)),"",IFERROR(PERCENTRANK($P$5:$P$1204,$P527),""))</f>
        <v/>
      </c>
    </row>
    <row r="528" customFormat="false" ht="15" hidden="false" customHeight="false" outlineLevel="0" collapsed="false">
      <c r="A528" s="55"/>
      <c r="B528" s="56"/>
      <c r="C528" s="57"/>
      <c r="D528" s="56"/>
      <c r="E528" s="56"/>
      <c r="F528" s="56"/>
      <c r="G528" s="50" t="str">
        <f aca="false">IF($A528="","",IF(ISNUMBER($G527),$G527+1,1))</f>
        <v/>
      </c>
      <c r="H528" s="51" t="str">
        <f aca="false">IF(OR(NOT(ISNUMBER($G528)),$G528&lt;2,NOT(ISNUMBER($C527)),$C527=0),"",$C528/$C527-1)</f>
        <v/>
      </c>
      <c r="I528" s="52" t="str">
        <f aca="false">IF(AND(ISNUMBER($G528),$G528&gt;=MA_SHORT),AVERAGE(INDEX($C$128:$C528,402-MA_SHORT):$C528),"")</f>
        <v/>
      </c>
      <c r="J528" s="52" t="str">
        <f aca="false">IF(AND(ISNUMBER($G528),$G528&gt;=MA_MED),AVERAGE(INDEX($C$128:$C528,402-MA_MED):$C528),"")</f>
        <v/>
      </c>
      <c r="K528" s="52" t="str">
        <f aca="false">IF(AND(ISNUMBER($G528),$G528&gt;=MA_LONG2),AVERAGE(INDEX($C$128:$C528,402-MA_LONG2):$C528),"")</f>
        <v/>
      </c>
      <c r="L528" s="53" t="str">
        <f aca="false">IF(AND(ISNUMBER($G528),$G528&gt;=21),STDEV(INDEX($H$468:$H528,62-20):$H528)*SQRT(245),"")</f>
        <v/>
      </c>
      <c r="M528" s="52" t="str">
        <f aca="false">IF(AND(ISNUMBER($G528),$G528&gt;=60),MAX(INDEX($D$328:$D528,202-60):$D528),"")</f>
        <v/>
      </c>
      <c r="N528" s="52" t="str">
        <f aca="false">IF(AND(ISNUMBER($G528),$G528&gt;=60),MIN(INDEX($E$328:$E528,202-60):$E528),"")</f>
        <v/>
      </c>
      <c r="O528" s="53" t="str">
        <f aca="false">IF(OR(NOT(ISNUMBER($C528)),NOT(ISNUMBER($M528)),$M528=0),"",$C528/$M528-1)</f>
        <v/>
      </c>
      <c r="P528" s="54"/>
      <c r="Q528" s="53" t="str">
        <f aca="false">IF(NOT(ISNUMBER($P528)),"",IFERROR(PERCENTRANK($P$5:$P$1204,$P528),""))</f>
        <v/>
      </c>
    </row>
    <row r="529" customFormat="false" ht="15" hidden="false" customHeight="false" outlineLevel="0" collapsed="false">
      <c r="A529" s="55"/>
      <c r="B529" s="56"/>
      <c r="C529" s="57"/>
      <c r="D529" s="56"/>
      <c r="E529" s="56"/>
      <c r="F529" s="56"/>
      <c r="G529" s="50" t="str">
        <f aca="false">IF($A529="","",IF(ISNUMBER($G528),$G528+1,1))</f>
        <v/>
      </c>
      <c r="H529" s="51" t="str">
        <f aca="false">IF(OR(NOT(ISNUMBER($G529)),$G529&lt;2,NOT(ISNUMBER($C528)),$C528=0),"",$C529/$C528-1)</f>
        <v/>
      </c>
      <c r="I529" s="52" t="str">
        <f aca="false">IF(AND(ISNUMBER($G529),$G529&gt;=MA_SHORT),AVERAGE(INDEX($C$129:$C529,402-MA_SHORT):$C529),"")</f>
        <v/>
      </c>
      <c r="J529" s="52" t="str">
        <f aca="false">IF(AND(ISNUMBER($G529),$G529&gt;=MA_MED),AVERAGE(INDEX($C$129:$C529,402-MA_MED):$C529),"")</f>
        <v/>
      </c>
      <c r="K529" s="52" t="str">
        <f aca="false">IF(AND(ISNUMBER($G529),$G529&gt;=MA_LONG2),AVERAGE(INDEX($C$129:$C529,402-MA_LONG2):$C529),"")</f>
        <v/>
      </c>
      <c r="L529" s="53" t="str">
        <f aca="false">IF(AND(ISNUMBER($G529),$G529&gt;=21),STDEV(INDEX($H$469:$H529,62-20):$H529)*SQRT(245),"")</f>
        <v/>
      </c>
      <c r="M529" s="52" t="str">
        <f aca="false">IF(AND(ISNUMBER($G529),$G529&gt;=60),MAX(INDEX($D$329:$D529,202-60):$D529),"")</f>
        <v/>
      </c>
      <c r="N529" s="52" t="str">
        <f aca="false">IF(AND(ISNUMBER($G529),$G529&gt;=60),MIN(INDEX($E$329:$E529,202-60):$E529),"")</f>
        <v/>
      </c>
      <c r="O529" s="53" t="str">
        <f aca="false">IF(OR(NOT(ISNUMBER($C529)),NOT(ISNUMBER($M529)),$M529=0),"",$C529/$M529-1)</f>
        <v/>
      </c>
      <c r="P529" s="54"/>
      <c r="Q529" s="53" t="str">
        <f aca="false">IF(NOT(ISNUMBER($P529)),"",IFERROR(PERCENTRANK($P$5:$P$1204,$P529),""))</f>
        <v/>
      </c>
    </row>
    <row r="530" customFormat="false" ht="15" hidden="false" customHeight="false" outlineLevel="0" collapsed="false">
      <c r="A530" s="55"/>
      <c r="B530" s="56"/>
      <c r="C530" s="57"/>
      <c r="D530" s="56"/>
      <c r="E530" s="56"/>
      <c r="F530" s="56"/>
      <c r="G530" s="50" t="str">
        <f aca="false">IF($A530="","",IF(ISNUMBER($G529),$G529+1,1))</f>
        <v/>
      </c>
      <c r="H530" s="51" t="str">
        <f aca="false">IF(OR(NOT(ISNUMBER($G530)),$G530&lt;2,NOT(ISNUMBER($C529)),$C529=0),"",$C530/$C529-1)</f>
        <v/>
      </c>
      <c r="I530" s="52" t="str">
        <f aca="false">IF(AND(ISNUMBER($G530),$G530&gt;=MA_SHORT),AVERAGE(INDEX($C$130:$C530,402-MA_SHORT):$C530),"")</f>
        <v/>
      </c>
      <c r="J530" s="52" t="str">
        <f aca="false">IF(AND(ISNUMBER($G530),$G530&gt;=MA_MED),AVERAGE(INDEX($C$130:$C530,402-MA_MED):$C530),"")</f>
        <v/>
      </c>
      <c r="K530" s="52" t="str">
        <f aca="false">IF(AND(ISNUMBER($G530),$G530&gt;=MA_LONG2),AVERAGE(INDEX($C$130:$C530,402-MA_LONG2):$C530),"")</f>
        <v/>
      </c>
      <c r="L530" s="53" t="str">
        <f aca="false">IF(AND(ISNUMBER($G530),$G530&gt;=21),STDEV(INDEX($H$470:$H530,62-20):$H530)*SQRT(245),"")</f>
        <v/>
      </c>
      <c r="M530" s="52" t="str">
        <f aca="false">IF(AND(ISNUMBER($G530),$G530&gt;=60),MAX(INDEX($D$330:$D530,202-60):$D530),"")</f>
        <v/>
      </c>
      <c r="N530" s="52" t="str">
        <f aca="false">IF(AND(ISNUMBER($G530),$G530&gt;=60),MIN(INDEX($E$330:$E530,202-60):$E530),"")</f>
        <v/>
      </c>
      <c r="O530" s="53" t="str">
        <f aca="false">IF(OR(NOT(ISNUMBER($C530)),NOT(ISNUMBER($M530)),$M530=0),"",$C530/$M530-1)</f>
        <v/>
      </c>
      <c r="P530" s="54"/>
      <c r="Q530" s="53" t="str">
        <f aca="false">IF(NOT(ISNUMBER($P530)),"",IFERROR(PERCENTRANK($P$5:$P$1204,$P530),""))</f>
        <v/>
      </c>
    </row>
    <row r="531" customFormat="false" ht="15" hidden="false" customHeight="false" outlineLevel="0" collapsed="false">
      <c r="A531" s="55"/>
      <c r="B531" s="56"/>
      <c r="C531" s="57"/>
      <c r="D531" s="56"/>
      <c r="E531" s="56"/>
      <c r="F531" s="56"/>
      <c r="G531" s="50" t="str">
        <f aca="false">IF($A531="","",IF(ISNUMBER($G530),$G530+1,1))</f>
        <v/>
      </c>
      <c r="H531" s="51" t="str">
        <f aca="false">IF(OR(NOT(ISNUMBER($G531)),$G531&lt;2,NOT(ISNUMBER($C530)),$C530=0),"",$C531/$C530-1)</f>
        <v/>
      </c>
      <c r="I531" s="52" t="str">
        <f aca="false">IF(AND(ISNUMBER($G531),$G531&gt;=MA_SHORT),AVERAGE(INDEX($C$131:$C531,402-MA_SHORT):$C531),"")</f>
        <v/>
      </c>
      <c r="J531" s="52" t="str">
        <f aca="false">IF(AND(ISNUMBER($G531),$G531&gt;=MA_MED),AVERAGE(INDEX($C$131:$C531,402-MA_MED):$C531),"")</f>
        <v/>
      </c>
      <c r="K531" s="52" t="str">
        <f aca="false">IF(AND(ISNUMBER($G531),$G531&gt;=MA_LONG2),AVERAGE(INDEX($C$131:$C531,402-MA_LONG2):$C531),"")</f>
        <v/>
      </c>
      <c r="L531" s="53" t="str">
        <f aca="false">IF(AND(ISNUMBER($G531),$G531&gt;=21),STDEV(INDEX($H$471:$H531,62-20):$H531)*SQRT(245),"")</f>
        <v/>
      </c>
      <c r="M531" s="52" t="str">
        <f aca="false">IF(AND(ISNUMBER($G531),$G531&gt;=60),MAX(INDEX($D$331:$D531,202-60):$D531),"")</f>
        <v/>
      </c>
      <c r="N531" s="52" t="str">
        <f aca="false">IF(AND(ISNUMBER($G531),$G531&gt;=60),MIN(INDEX($E$331:$E531,202-60):$E531),"")</f>
        <v/>
      </c>
      <c r="O531" s="53" t="str">
        <f aca="false">IF(OR(NOT(ISNUMBER($C531)),NOT(ISNUMBER($M531)),$M531=0),"",$C531/$M531-1)</f>
        <v/>
      </c>
      <c r="P531" s="54"/>
      <c r="Q531" s="53" t="str">
        <f aca="false">IF(NOT(ISNUMBER($P531)),"",IFERROR(PERCENTRANK($P$5:$P$1204,$P531),""))</f>
        <v/>
      </c>
    </row>
    <row r="532" customFormat="false" ht="15" hidden="false" customHeight="false" outlineLevel="0" collapsed="false">
      <c r="A532" s="55"/>
      <c r="B532" s="56"/>
      <c r="C532" s="57"/>
      <c r="D532" s="56"/>
      <c r="E532" s="56"/>
      <c r="F532" s="56"/>
      <c r="G532" s="50" t="str">
        <f aca="false">IF($A532="","",IF(ISNUMBER($G531),$G531+1,1))</f>
        <v/>
      </c>
      <c r="H532" s="51" t="str">
        <f aca="false">IF(OR(NOT(ISNUMBER($G532)),$G532&lt;2,NOT(ISNUMBER($C531)),$C531=0),"",$C532/$C531-1)</f>
        <v/>
      </c>
      <c r="I532" s="52" t="str">
        <f aca="false">IF(AND(ISNUMBER($G532),$G532&gt;=MA_SHORT),AVERAGE(INDEX($C$132:$C532,402-MA_SHORT):$C532),"")</f>
        <v/>
      </c>
      <c r="J532" s="52" t="str">
        <f aca="false">IF(AND(ISNUMBER($G532),$G532&gt;=MA_MED),AVERAGE(INDEX($C$132:$C532,402-MA_MED):$C532),"")</f>
        <v/>
      </c>
      <c r="K532" s="52" t="str">
        <f aca="false">IF(AND(ISNUMBER($G532),$G532&gt;=MA_LONG2),AVERAGE(INDEX($C$132:$C532,402-MA_LONG2):$C532),"")</f>
        <v/>
      </c>
      <c r="L532" s="53" t="str">
        <f aca="false">IF(AND(ISNUMBER($G532),$G532&gt;=21),STDEV(INDEX($H$472:$H532,62-20):$H532)*SQRT(245),"")</f>
        <v/>
      </c>
      <c r="M532" s="52" t="str">
        <f aca="false">IF(AND(ISNUMBER($G532),$G532&gt;=60),MAX(INDEX($D$332:$D532,202-60):$D532),"")</f>
        <v/>
      </c>
      <c r="N532" s="52" t="str">
        <f aca="false">IF(AND(ISNUMBER($G532),$G532&gt;=60),MIN(INDEX($E$332:$E532,202-60):$E532),"")</f>
        <v/>
      </c>
      <c r="O532" s="53" t="str">
        <f aca="false">IF(OR(NOT(ISNUMBER($C532)),NOT(ISNUMBER($M532)),$M532=0),"",$C532/$M532-1)</f>
        <v/>
      </c>
      <c r="P532" s="54"/>
      <c r="Q532" s="53" t="str">
        <f aca="false">IF(NOT(ISNUMBER($P532)),"",IFERROR(PERCENTRANK($P$5:$P$1204,$P532),""))</f>
        <v/>
      </c>
    </row>
    <row r="533" customFormat="false" ht="15" hidden="false" customHeight="false" outlineLevel="0" collapsed="false">
      <c r="A533" s="55"/>
      <c r="B533" s="56"/>
      <c r="C533" s="57"/>
      <c r="D533" s="56"/>
      <c r="E533" s="56"/>
      <c r="F533" s="56"/>
      <c r="G533" s="50" t="str">
        <f aca="false">IF($A533="","",IF(ISNUMBER($G532),$G532+1,1))</f>
        <v/>
      </c>
      <c r="H533" s="51" t="str">
        <f aca="false">IF(OR(NOT(ISNUMBER($G533)),$G533&lt;2,NOT(ISNUMBER($C532)),$C532=0),"",$C533/$C532-1)</f>
        <v/>
      </c>
      <c r="I533" s="52" t="str">
        <f aca="false">IF(AND(ISNUMBER($G533),$G533&gt;=MA_SHORT),AVERAGE(INDEX($C$133:$C533,402-MA_SHORT):$C533),"")</f>
        <v/>
      </c>
      <c r="J533" s="52" t="str">
        <f aca="false">IF(AND(ISNUMBER($G533),$G533&gt;=MA_MED),AVERAGE(INDEX($C$133:$C533,402-MA_MED):$C533),"")</f>
        <v/>
      </c>
      <c r="K533" s="52" t="str">
        <f aca="false">IF(AND(ISNUMBER($G533),$G533&gt;=MA_LONG2),AVERAGE(INDEX($C$133:$C533,402-MA_LONG2):$C533),"")</f>
        <v/>
      </c>
      <c r="L533" s="53" t="str">
        <f aca="false">IF(AND(ISNUMBER($G533),$G533&gt;=21),STDEV(INDEX($H$473:$H533,62-20):$H533)*SQRT(245),"")</f>
        <v/>
      </c>
      <c r="M533" s="52" t="str">
        <f aca="false">IF(AND(ISNUMBER($G533),$G533&gt;=60),MAX(INDEX($D$333:$D533,202-60):$D533),"")</f>
        <v/>
      </c>
      <c r="N533" s="52" t="str">
        <f aca="false">IF(AND(ISNUMBER($G533),$G533&gt;=60),MIN(INDEX($E$333:$E533,202-60):$E533),"")</f>
        <v/>
      </c>
      <c r="O533" s="53" t="str">
        <f aca="false">IF(OR(NOT(ISNUMBER($C533)),NOT(ISNUMBER($M533)),$M533=0),"",$C533/$M533-1)</f>
        <v/>
      </c>
      <c r="P533" s="54"/>
      <c r="Q533" s="53" t="str">
        <f aca="false">IF(NOT(ISNUMBER($P533)),"",IFERROR(PERCENTRANK($P$5:$P$1204,$P533),""))</f>
        <v/>
      </c>
    </row>
    <row r="534" customFormat="false" ht="15" hidden="false" customHeight="false" outlineLevel="0" collapsed="false">
      <c r="A534" s="55"/>
      <c r="B534" s="56"/>
      <c r="C534" s="57"/>
      <c r="D534" s="56"/>
      <c r="E534" s="56"/>
      <c r="F534" s="56"/>
      <c r="G534" s="50" t="str">
        <f aca="false">IF($A534="","",IF(ISNUMBER($G533),$G533+1,1))</f>
        <v/>
      </c>
      <c r="H534" s="51" t="str">
        <f aca="false">IF(OR(NOT(ISNUMBER($G534)),$G534&lt;2,NOT(ISNUMBER($C533)),$C533=0),"",$C534/$C533-1)</f>
        <v/>
      </c>
      <c r="I534" s="52" t="str">
        <f aca="false">IF(AND(ISNUMBER($G534),$G534&gt;=MA_SHORT),AVERAGE(INDEX($C$134:$C534,402-MA_SHORT):$C534),"")</f>
        <v/>
      </c>
      <c r="J534" s="52" t="str">
        <f aca="false">IF(AND(ISNUMBER($G534),$G534&gt;=MA_MED),AVERAGE(INDEX($C$134:$C534,402-MA_MED):$C534),"")</f>
        <v/>
      </c>
      <c r="K534" s="52" t="str">
        <f aca="false">IF(AND(ISNUMBER($G534),$G534&gt;=MA_LONG2),AVERAGE(INDEX($C$134:$C534,402-MA_LONG2):$C534),"")</f>
        <v/>
      </c>
      <c r="L534" s="53" t="str">
        <f aca="false">IF(AND(ISNUMBER($G534),$G534&gt;=21),STDEV(INDEX($H$474:$H534,62-20):$H534)*SQRT(245),"")</f>
        <v/>
      </c>
      <c r="M534" s="52" t="str">
        <f aca="false">IF(AND(ISNUMBER($G534),$G534&gt;=60),MAX(INDEX($D$334:$D534,202-60):$D534),"")</f>
        <v/>
      </c>
      <c r="N534" s="52" t="str">
        <f aca="false">IF(AND(ISNUMBER($G534),$G534&gt;=60),MIN(INDEX($E$334:$E534,202-60):$E534),"")</f>
        <v/>
      </c>
      <c r="O534" s="53" t="str">
        <f aca="false">IF(OR(NOT(ISNUMBER($C534)),NOT(ISNUMBER($M534)),$M534=0),"",$C534/$M534-1)</f>
        <v/>
      </c>
      <c r="P534" s="54"/>
      <c r="Q534" s="53" t="str">
        <f aca="false">IF(NOT(ISNUMBER($P534)),"",IFERROR(PERCENTRANK($P$5:$P$1204,$P534),""))</f>
        <v/>
      </c>
    </row>
    <row r="535" customFormat="false" ht="15" hidden="false" customHeight="false" outlineLevel="0" collapsed="false">
      <c r="A535" s="55"/>
      <c r="B535" s="56"/>
      <c r="C535" s="57"/>
      <c r="D535" s="56"/>
      <c r="E535" s="56"/>
      <c r="F535" s="56"/>
      <c r="G535" s="50" t="str">
        <f aca="false">IF($A535="","",IF(ISNUMBER($G534),$G534+1,1))</f>
        <v/>
      </c>
      <c r="H535" s="51" t="str">
        <f aca="false">IF(OR(NOT(ISNUMBER($G535)),$G535&lt;2,NOT(ISNUMBER($C534)),$C534=0),"",$C535/$C534-1)</f>
        <v/>
      </c>
      <c r="I535" s="52" t="str">
        <f aca="false">IF(AND(ISNUMBER($G535),$G535&gt;=MA_SHORT),AVERAGE(INDEX($C$135:$C535,402-MA_SHORT):$C535),"")</f>
        <v/>
      </c>
      <c r="J535" s="52" t="str">
        <f aca="false">IF(AND(ISNUMBER($G535),$G535&gt;=MA_MED),AVERAGE(INDEX($C$135:$C535,402-MA_MED):$C535),"")</f>
        <v/>
      </c>
      <c r="K535" s="52" t="str">
        <f aca="false">IF(AND(ISNUMBER($G535),$G535&gt;=MA_LONG2),AVERAGE(INDEX($C$135:$C535,402-MA_LONG2):$C535),"")</f>
        <v/>
      </c>
      <c r="L535" s="53" t="str">
        <f aca="false">IF(AND(ISNUMBER($G535),$G535&gt;=21),STDEV(INDEX($H$475:$H535,62-20):$H535)*SQRT(245),"")</f>
        <v/>
      </c>
      <c r="M535" s="52" t="str">
        <f aca="false">IF(AND(ISNUMBER($G535),$G535&gt;=60),MAX(INDEX($D$335:$D535,202-60):$D535),"")</f>
        <v/>
      </c>
      <c r="N535" s="52" t="str">
        <f aca="false">IF(AND(ISNUMBER($G535),$G535&gt;=60),MIN(INDEX($E$335:$E535,202-60):$E535),"")</f>
        <v/>
      </c>
      <c r="O535" s="53" t="str">
        <f aca="false">IF(OR(NOT(ISNUMBER($C535)),NOT(ISNUMBER($M535)),$M535=0),"",$C535/$M535-1)</f>
        <v/>
      </c>
      <c r="P535" s="54"/>
      <c r="Q535" s="53" t="str">
        <f aca="false">IF(NOT(ISNUMBER($P535)),"",IFERROR(PERCENTRANK($P$5:$P$1204,$P535),""))</f>
        <v/>
      </c>
    </row>
    <row r="536" customFormat="false" ht="15" hidden="false" customHeight="false" outlineLevel="0" collapsed="false">
      <c r="A536" s="55"/>
      <c r="B536" s="56"/>
      <c r="C536" s="57"/>
      <c r="D536" s="56"/>
      <c r="E536" s="56"/>
      <c r="F536" s="56"/>
      <c r="G536" s="50" t="str">
        <f aca="false">IF($A536="","",IF(ISNUMBER($G535),$G535+1,1))</f>
        <v/>
      </c>
      <c r="H536" s="51" t="str">
        <f aca="false">IF(OR(NOT(ISNUMBER($G536)),$G536&lt;2,NOT(ISNUMBER($C535)),$C535=0),"",$C536/$C535-1)</f>
        <v/>
      </c>
      <c r="I536" s="52" t="str">
        <f aca="false">IF(AND(ISNUMBER($G536),$G536&gt;=MA_SHORT),AVERAGE(INDEX($C$136:$C536,402-MA_SHORT):$C536),"")</f>
        <v/>
      </c>
      <c r="J536" s="52" t="str">
        <f aca="false">IF(AND(ISNUMBER($G536),$G536&gt;=MA_MED),AVERAGE(INDEX($C$136:$C536,402-MA_MED):$C536),"")</f>
        <v/>
      </c>
      <c r="K536" s="52" t="str">
        <f aca="false">IF(AND(ISNUMBER($G536),$G536&gt;=MA_LONG2),AVERAGE(INDEX($C$136:$C536,402-MA_LONG2):$C536),"")</f>
        <v/>
      </c>
      <c r="L536" s="53" t="str">
        <f aca="false">IF(AND(ISNUMBER($G536),$G536&gt;=21),STDEV(INDEX($H$476:$H536,62-20):$H536)*SQRT(245),"")</f>
        <v/>
      </c>
      <c r="M536" s="52" t="str">
        <f aca="false">IF(AND(ISNUMBER($G536),$G536&gt;=60),MAX(INDEX($D$336:$D536,202-60):$D536),"")</f>
        <v/>
      </c>
      <c r="N536" s="52" t="str">
        <f aca="false">IF(AND(ISNUMBER($G536),$G536&gt;=60),MIN(INDEX($E$336:$E536,202-60):$E536),"")</f>
        <v/>
      </c>
      <c r="O536" s="53" t="str">
        <f aca="false">IF(OR(NOT(ISNUMBER($C536)),NOT(ISNUMBER($M536)),$M536=0),"",$C536/$M536-1)</f>
        <v/>
      </c>
      <c r="P536" s="54"/>
      <c r="Q536" s="53" t="str">
        <f aca="false">IF(NOT(ISNUMBER($P536)),"",IFERROR(PERCENTRANK($P$5:$P$1204,$P536),""))</f>
        <v/>
      </c>
    </row>
    <row r="537" customFormat="false" ht="15" hidden="false" customHeight="false" outlineLevel="0" collapsed="false">
      <c r="A537" s="55"/>
      <c r="B537" s="56"/>
      <c r="C537" s="57"/>
      <c r="D537" s="56"/>
      <c r="E537" s="56"/>
      <c r="F537" s="56"/>
      <c r="G537" s="50" t="str">
        <f aca="false">IF($A537="","",IF(ISNUMBER($G536),$G536+1,1))</f>
        <v/>
      </c>
      <c r="H537" s="51" t="str">
        <f aca="false">IF(OR(NOT(ISNUMBER($G537)),$G537&lt;2,NOT(ISNUMBER($C536)),$C536=0),"",$C537/$C536-1)</f>
        <v/>
      </c>
      <c r="I537" s="52" t="str">
        <f aca="false">IF(AND(ISNUMBER($G537),$G537&gt;=MA_SHORT),AVERAGE(INDEX($C$137:$C537,402-MA_SHORT):$C537),"")</f>
        <v/>
      </c>
      <c r="J537" s="52" t="str">
        <f aca="false">IF(AND(ISNUMBER($G537),$G537&gt;=MA_MED),AVERAGE(INDEX($C$137:$C537,402-MA_MED):$C537),"")</f>
        <v/>
      </c>
      <c r="K537" s="52" t="str">
        <f aca="false">IF(AND(ISNUMBER($G537),$G537&gt;=MA_LONG2),AVERAGE(INDEX($C$137:$C537,402-MA_LONG2):$C537),"")</f>
        <v/>
      </c>
      <c r="L537" s="53" t="str">
        <f aca="false">IF(AND(ISNUMBER($G537),$G537&gt;=21),STDEV(INDEX($H$477:$H537,62-20):$H537)*SQRT(245),"")</f>
        <v/>
      </c>
      <c r="M537" s="52" t="str">
        <f aca="false">IF(AND(ISNUMBER($G537),$G537&gt;=60),MAX(INDEX($D$337:$D537,202-60):$D537),"")</f>
        <v/>
      </c>
      <c r="N537" s="52" t="str">
        <f aca="false">IF(AND(ISNUMBER($G537),$G537&gt;=60),MIN(INDEX($E$337:$E537,202-60):$E537),"")</f>
        <v/>
      </c>
      <c r="O537" s="53" t="str">
        <f aca="false">IF(OR(NOT(ISNUMBER($C537)),NOT(ISNUMBER($M537)),$M537=0),"",$C537/$M537-1)</f>
        <v/>
      </c>
      <c r="P537" s="54"/>
      <c r="Q537" s="53" t="str">
        <f aca="false">IF(NOT(ISNUMBER($P537)),"",IFERROR(PERCENTRANK($P$5:$P$1204,$P537),""))</f>
        <v/>
      </c>
    </row>
    <row r="538" customFormat="false" ht="15" hidden="false" customHeight="false" outlineLevel="0" collapsed="false">
      <c r="A538" s="55"/>
      <c r="B538" s="56"/>
      <c r="C538" s="57"/>
      <c r="D538" s="56"/>
      <c r="E538" s="56"/>
      <c r="F538" s="56"/>
      <c r="G538" s="50" t="str">
        <f aca="false">IF($A538="","",IF(ISNUMBER($G537),$G537+1,1))</f>
        <v/>
      </c>
      <c r="H538" s="51" t="str">
        <f aca="false">IF(OR(NOT(ISNUMBER($G538)),$G538&lt;2,NOT(ISNUMBER($C537)),$C537=0),"",$C538/$C537-1)</f>
        <v/>
      </c>
      <c r="I538" s="52" t="str">
        <f aca="false">IF(AND(ISNUMBER($G538),$G538&gt;=MA_SHORT),AVERAGE(INDEX($C$138:$C538,402-MA_SHORT):$C538),"")</f>
        <v/>
      </c>
      <c r="J538" s="52" t="str">
        <f aca="false">IF(AND(ISNUMBER($G538),$G538&gt;=MA_MED),AVERAGE(INDEX($C$138:$C538,402-MA_MED):$C538),"")</f>
        <v/>
      </c>
      <c r="K538" s="52" t="str">
        <f aca="false">IF(AND(ISNUMBER($G538),$G538&gt;=MA_LONG2),AVERAGE(INDEX($C$138:$C538,402-MA_LONG2):$C538),"")</f>
        <v/>
      </c>
      <c r="L538" s="53" t="str">
        <f aca="false">IF(AND(ISNUMBER($G538),$G538&gt;=21),STDEV(INDEX($H$478:$H538,62-20):$H538)*SQRT(245),"")</f>
        <v/>
      </c>
      <c r="M538" s="52" t="str">
        <f aca="false">IF(AND(ISNUMBER($G538),$G538&gt;=60),MAX(INDEX($D$338:$D538,202-60):$D538),"")</f>
        <v/>
      </c>
      <c r="N538" s="52" t="str">
        <f aca="false">IF(AND(ISNUMBER($G538),$G538&gt;=60),MIN(INDEX($E$338:$E538,202-60):$E538),"")</f>
        <v/>
      </c>
      <c r="O538" s="53" t="str">
        <f aca="false">IF(OR(NOT(ISNUMBER($C538)),NOT(ISNUMBER($M538)),$M538=0),"",$C538/$M538-1)</f>
        <v/>
      </c>
      <c r="P538" s="54"/>
      <c r="Q538" s="53" t="str">
        <f aca="false">IF(NOT(ISNUMBER($P538)),"",IFERROR(PERCENTRANK($P$5:$P$1204,$P538),""))</f>
        <v/>
      </c>
    </row>
    <row r="539" customFormat="false" ht="15" hidden="false" customHeight="false" outlineLevel="0" collapsed="false">
      <c r="A539" s="55"/>
      <c r="B539" s="56"/>
      <c r="C539" s="57"/>
      <c r="D539" s="56"/>
      <c r="E539" s="56"/>
      <c r="F539" s="56"/>
      <c r="G539" s="50" t="str">
        <f aca="false">IF($A539="","",IF(ISNUMBER($G538),$G538+1,1))</f>
        <v/>
      </c>
      <c r="H539" s="51" t="str">
        <f aca="false">IF(OR(NOT(ISNUMBER($G539)),$G539&lt;2,NOT(ISNUMBER($C538)),$C538=0),"",$C539/$C538-1)</f>
        <v/>
      </c>
      <c r="I539" s="52" t="str">
        <f aca="false">IF(AND(ISNUMBER($G539),$G539&gt;=MA_SHORT),AVERAGE(INDEX($C$139:$C539,402-MA_SHORT):$C539),"")</f>
        <v/>
      </c>
      <c r="J539" s="52" t="str">
        <f aca="false">IF(AND(ISNUMBER($G539),$G539&gt;=MA_MED),AVERAGE(INDEX($C$139:$C539,402-MA_MED):$C539),"")</f>
        <v/>
      </c>
      <c r="K539" s="52" t="str">
        <f aca="false">IF(AND(ISNUMBER($G539),$G539&gt;=MA_LONG2),AVERAGE(INDEX($C$139:$C539,402-MA_LONG2):$C539),"")</f>
        <v/>
      </c>
      <c r="L539" s="53" t="str">
        <f aca="false">IF(AND(ISNUMBER($G539),$G539&gt;=21),STDEV(INDEX($H$479:$H539,62-20):$H539)*SQRT(245),"")</f>
        <v/>
      </c>
      <c r="M539" s="52" t="str">
        <f aca="false">IF(AND(ISNUMBER($G539),$G539&gt;=60),MAX(INDEX($D$339:$D539,202-60):$D539),"")</f>
        <v/>
      </c>
      <c r="N539" s="52" t="str">
        <f aca="false">IF(AND(ISNUMBER($G539),$G539&gt;=60),MIN(INDEX($E$339:$E539,202-60):$E539),"")</f>
        <v/>
      </c>
      <c r="O539" s="53" t="str">
        <f aca="false">IF(OR(NOT(ISNUMBER($C539)),NOT(ISNUMBER($M539)),$M539=0),"",$C539/$M539-1)</f>
        <v/>
      </c>
      <c r="P539" s="54"/>
      <c r="Q539" s="53" t="str">
        <f aca="false">IF(NOT(ISNUMBER($P539)),"",IFERROR(PERCENTRANK($P$5:$P$1204,$P539),""))</f>
        <v/>
      </c>
    </row>
    <row r="540" customFormat="false" ht="15" hidden="false" customHeight="false" outlineLevel="0" collapsed="false">
      <c r="A540" s="55"/>
      <c r="B540" s="56"/>
      <c r="C540" s="57"/>
      <c r="D540" s="56"/>
      <c r="E540" s="56"/>
      <c r="F540" s="56"/>
      <c r="G540" s="50" t="str">
        <f aca="false">IF($A540="","",IF(ISNUMBER($G539),$G539+1,1))</f>
        <v/>
      </c>
      <c r="H540" s="51" t="str">
        <f aca="false">IF(OR(NOT(ISNUMBER($G540)),$G540&lt;2,NOT(ISNUMBER($C539)),$C539=0),"",$C540/$C539-1)</f>
        <v/>
      </c>
      <c r="I540" s="52" t="str">
        <f aca="false">IF(AND(ISNUMBER($G540),$G540&gt;=MA_SHORT),AVERAGE(INDEX($C$140:$C540,402-MA_SHORT):$C540),"")</f>
        <v/>
      </c>
      <c r="J540" s="52" t="str">
        <f aca="false">IF(AND(ISNUMBER($G540),$G540&gt;=MA_MED),AVERAGE(INDEX($C$140:$C540,402-MA_MED):$C540),"")</f>
        <v/>
      </c>
      <c r="K540" s="52" t="str">
        <f aca="false">IF(AND(ISNUMBER($G540),$G540&gt;=MA_LONG2),AVERAGE(INDEX($C$140:$C540,402-MA_LONG2):$C540),"")</f>
        <v/>
      </c>
      <c r="L540" s="53" t="str">
        <f aca="false">IF(AND(ISNUMBER($G540),$G540&gt;=21),STDEV(INDEX($H$480:$H540,62-20):$H540)*SQRT(245),"")</f>
        <v/>
      </c>
      <c r="M540" s="52" t="str">
        <f aca="false">IF(AND(ISNUMBER($G540),$G540&gt;=60),MAX(INDEX($D$340:$D540,202-60):$D540),"")</f>
        <v/>
      </c>
      <c r="N540" s="52" t="str">
        <f aca="false">IF(AND(ISNUMBER($G540),$G540&gt;=60),MIN(INDEX($E$340:$E540,202-60):$E540),"")</f>
        <v/>
      </c>
      <c r="O540" s="53" t="str">
        <f aca="false">IF(OR(NOT(ISNUMBER($C540)),NOT(ISNUMBER($M540)),$M540=0),"",$C540/$M540-1)</f>
        <v/>
      </c>
      <c r="P540" s="54"/>
      <c r="Q540" s="53" t="str">
        <f aca="false">IF(NOT(ISNUMBER($P540)),"",IFERROR(PERCENTRANK($P$5:$P$1204,$P540),""))</f>
        <v/>
      </c>
    </row>
    <row r="541" customFormat="false" ht="15" hidden="false" customHeight="false" outlineLevel="0" collapsed="false">
      <c r="A541" s="55"/>
      <c r="B541" s="56"/>
      <c r="C541" s="57"/>
      <c r="D541" s="56"/>
      <c r="E541" s="56"/>
      <c r="F541" s="56"/>
      <c r="G541" s="50" t="str">
        <f aca="false">IF($A541="","",IF(ISNUMBER($G540),$G540+1,1))</f>
        <v/>
      </c>
      <c r="H541" s="51" t="str">
        <f aca="false">IF(OR(NOT(ISNUMBER($G541)),$G541&lt;2,NOT(ISNUMBER($C540)),$C540=0),"",$C541/$C540-1)</f>
        <v/>
      </c>
      <c r="I541" s="52" t="str">
        <f aca="false">IF(AND(ISNUMBER($G541),$G541&gt;=MA_SHORT),AVERAGE(INDEX($C$141:$C541,402-MA_SHORT):$C541),"")</f>
        <v/>
      </c>
      <c r="J541" s="52" t="str">
        <f aca="false">IF(AND(ISNUMBER($G541),$G541&gt;=MA_MED),AVERAGE(INDEX($C$141:$C541,402-MA_MED):$C541),"")</f>
        <v/>
      </c>
      <c r="K541" s="52" t="str">
        <f aca="false">IF(AND(ISNUMBER($G541),$G541&gt;=MA_LONG2),AVERAGE(INDEX($C$141:$C541,402-MA_LONG2):$C541),"")</f>
        <v/>
      </c>
      <c r="L541" s="53" t="str">
        <f aca="false">IF(AND(ISNUMBER($G541),$G541&gt;=21),STDEV(INDEX($H$481:$H541,62-20):$H541)*SQRT(245),"")</f>
        <v/>
      </c>
      <c r="M541" s="52" t="str">
        <f aca="false">IF(AND(ISNUMBER($G541),$G541&gt;=60),MAX(INDEX($D$341:$D541,202-60):$D541),"")</f>
        <v/>
      </c>
      <c r="N541" s="52" t="str">
        <f aca="false">IF(AND(ISNUMBER($G541),$G541&gt;=60),MIN(INDEX($E$341:$E541,202-60):$E541),"")</f>
        <v/>
      </c>
      <c r="O541" s="53" t="str">
        <f aca="false">IF(OR(NOT(ISNUMBER($C541)),NOT(ISNUMBER($M541)),$M541=0),"",$C541/$M541-1)</f>
        <v/>
      </c>
      <c r="P541" s="54"/>
      <c r="Q541" s="53" t="str">
        <f aca="false">IF(NOT(ISNUMBER($P541)),"",IFERROR(PERCENTRANK($P$5:$P$1204,$P541),""))</f>
        <v/>
      </c>
    </row>
    <row r="542" customFormat="false" ht="15" hidden="false" customHeight="false" outlineLevel="0" collapsed="false">
      <c r="A542" s="55"/>
      <c r="B542" s="56"/>
      <c r="C542" s="57"/>
      <c r="D542" s="56"/>
      <c r="E542" s="56"/>
      <c r="F542" s="56"/>
      <c r="G542" s="50" t="str">
        <f aca="false">IF($A542="","",IF(ISNUMBER($G541),$G541+1,1))</f>
        <v/>
      </c>
      <c r="H542" s="51" t="str">
        <f aca="false">IF(OR(NOT(ISNUMBER($G542)),$G542&lt;2,NOT(ISNUMBER($C541)),$C541=0),"",$C542/$C541-1)</f>
        <v/>
      </c>
      <c r="I542" s="52" t="str">
        <f aca="false">IF(AND(ISNUMBER($G542),$G542&gt;=MA_SHORT),AVERAGE(INDEX($C$142:$C542,402-MA_SHORT):$C542),"")</f>
        <v/>
      </c>
      <c r="J542" s="52" t="str">
        <f aca="false">IF(AND(ISNUMBER($G542),$G542&gt;=MA_MED),AVERAGE(INDEX($C$142:$C542,402-MA_MED):$C542),"")</f>
        <v/>
      </c>
      <c r="K542" s="52" t="str">
        <f aca="false">IF(AND(ISNUMBER($G542),$G542&gt;=MA_LONG2),AVERAGE(INDEX($C$142:$C542,402-MA_LONG2):$C542),"")</f>
        <v/>
      </c>
      <c r="L542" s="53" t="str">
        <f aca="false">IF(AND(ISNUMBER($G542),$G542&gt;=21),STDEV(INDEX($H$482:$H542,62-20):$H542)*SQRT(245),"")</f>
        <v/>
      </c>
      <c r="M542" s="52" t="str">
        <f aca="false">IF(AND(ISNUMBER($G542),$G542&gt;=60),MAX(INDEX($D$342:$D542,202-60):$D542),"")</f>
        <v/>
      </c>
      <c r="N542" s="52" t="str">
        <f aca="false">IF(AND(ISNUMBER($G542),$G542&gt;=60),MIN(INDEX($E$342:$E542,202-60):$E542),"")</f>
        <v/>
      </c>
      <c r="O542" s="53" t="str">
        <f aca="false">IF(OR(NOT(ISNUMBER($C542)),NOT(ISNUMBER($M542)),$M542=0),"",$C542/$M542-1)</f>
        <v/>
      </c>
      <c r="P542" s="54"/>
      <c r="Q542" s="53" t="str">
        <f aca="false">IF(NOT(ISNUMBER($P542)),"",IFERROR(PERCENTRANK($P$5:$P$1204,$P542),""))</f>
        <v/>
      </c>
    </row>
    <row r="543" customFormat="false" ht="15" hidden="false" customHeight="false" outlineLevel="0" collapsed="false">
      <c r="A543" s="55"/>
      <c r="B543" s="56"/>
      <c r="C543" s="57"/>
      <c r="D543" s="56"/>
      <c r="E543" s="56"/>
      <c r="F543" s="56"/>
      <c r="G543" s="50" t="str">
        <f aca="false">IF($A543="","",IF(ISNUMBER($G542),$G542+1,1))</f>
        <v/>
      </c>
      <c r="H543" s="51" t="str">
        <f aca="false">IF(OR(NOT(ISNUMBER($G543)),$G543&lt;2,NOT(ISNUMBER($C542)),$C542=0),"",$C543/$C542-1)</f>
        <v/>
      </c>
      <c r="I543" s="52" t="str">
        <f aca="false">IF(AND(ISNUMBER($G543),$G543&gt;=MA_SHORT),AVERAGE(INDEX($C$143:$C543,402-MA_SHORT):$C543),"")</f>
        <v/>
      </c>
      <c r="J543" s="52" t="str">
        <f aca="false">IF(AND(ISNUMBER($G543),$G543&gt;=MA_MED),AVERAGE(INDEX($C$143:$C543,402-MA_MED):$C543),"")</f>
        <v/>
      </c>
      <c r="K543" s="52" t="str">
        <f aca="false">IF(AND(ISNUMBER($G543),$G543&gt;=MA_LONG2),AVERAGE(INDEX($C$143:$C543,402-MA_LONG2):$C543),"")</f>
        <v/>
      </c>
      <c r="L543" s="53" t="str">
        <f aca="false">IF(AND(ISNUMBER($G543),$G543&gt;=21),STDEV(INDEX($H$483:$H543,62-20):$H543)*SQRT(245),"")</f>
        <v/>
      </c>
      <c r="M543" s="52" t="str">
        <f aca="false">IF(AND(ISNUMBER($G543),$G543&gt;=60),MAX(INDEX($D$343:$D543,202-60):$D543),"")</f>
        <v/>
      </c>
      <c r="N543" s="52" t="str">
        <f aca="false">IF(AND(ISNUMBER($G543),$G543&gt;=60),MIN(INDEX($E$343:$E543,202-60):$E543),"")</f>
        <v/>
      </c>
      <c r="O543" s="53" t="str">
        <f aca="false">IF(OR(NOT(ISNUMBER($C543)),NOT(ISNUMBER($M543)),$M543=0),"",$C543/$M543-1)</f>
        <v/>
      </c>
      <c r="P543" s="54"/>
      <c r="Q543" s="53" t="str">
        <f aca="false">IF(NOT(ISNUMBER($P543)),"",IFERROR(PERCENTRANK($P$5:$P$1204,$P543),""))</f>
        <v/>
      </c>
    </row>
    <row r="544" customFormat="false" ht="15" hidden="false" customHeight="false" outlineLevel="0" collapsed="false">
      <c r="A544" s="55"/>
      <c r="B544" s="56"/>
      <c r="C544" s="57"/>
      <c r="D544" s="56"/>
      <c r="E544" s="56"/>
      <c r="F544" s="56"/>
      <c r="G544" s="50" t="str">
        <f aca="false">IF($A544="","",IF(ISNUMBER($G543),$G543+1,1))</f>
        <v/>
      </c>
      <c r="H544" s="51" t="str">
        <f aca="false">IF(OR(NOT(ISNUMBER($G544)),$G544&lt;2,NOT(ISNUMBER($C543)),$C543=0),"",$C544/$C543-1)</f>
        <v/>
      </c>
      <c r="I544" s="52" t="str">
        <f aca="false">IF(AND(ISNUMBER($G544),$G544&gt;=MA_SHORT),AVERAGE(INDEX($C$144:$C544,402-MA_SHORT):$C544),"")</f>
        <v/>
      </c>
      <c r="J544" s="52" t="str">
        <f aca="false">IF(AND(ISNUMBER($G544),$G544&gt;=MA_MED),AVERAGE(INDEX($C$144:$C544,402-MA_MED):$C544),"")</f>
        <v/>
      </c>
      <c r="K544" s="52" t="str">
        <f aca="false">IF(AND(ISNUMBER($G544),$G544&gt;=MA_LONG2),AVERAGE(INDEX($C$144:$C544,402-MA_LONG2):$C544),"")</f>
        <v/>
      </c>
      <c r="L544" s="53" t="str">
        <f aca="false">IF(AND(ISNUMBER($G544),$G544&gt;=21),STDEV(INDEX($H$484:$H544,62-20):$H544)*SQRT(245),"")</f>
        <v/>
      </c>
      <c r="M544" s="52" t="str">
        <f aca="false">IF(AND(ISNUMBER($G544),$G544&gt;=60),MAX(INDEX($D$344:$D544,202-60):$D544),"")</f>
        <v/>
      </c>
      <c r="N544" s="52" t="str">
        <f aca="false">IF(AND(ISNUMBER($G544),$G544&gt;=60),MIN(INDEX($E$344:$E544,202-60):$E544),"")</f>
        <v/>
      </c>
      <c r="O544" s="53" t="str">
        <f aca="false">IF(OR(NOT(ISNUMBER($C544)),NOT(ISNUMBER($M544)),$M544=0),"",$C544/$M544-1)</f>
        <v/>
      </c>
      <c r="P544" s="54"/>
      <c r="Q544" s="53" t="str">
        <f aca="false">IF(NOT(ISNUMBER($P544)),"",IFERROR(PERCENTRANK($P$5:$P$1204,$P544),""))</f>
        <v/>
      </c>
    </row>
    <row r="545" customFormat="false" ht="15" hidden="false" customHeight="false" outlineLevel="0" collapsed="false">
      <c r="A545" s="55"/>
      <c r="B545" s="56"/>
      <c r="C545" s="57"/>
      <c r="D545" s="56"/>
      <c r="E545" s="56"/>
      <c r="F545" s="56"/>
      <c r="G545" s="50" t="str">
        <f aca="false">IF($A545="","",IF(ISNUMBER($G544),$G544+1,1))</f>
        <v/>
      </c>
      <c r="H545" s="51" t="str">
        <f aca="false">IF(OR(NOT(ISNUMBER($G545)),$G545&lt;2,NOT(ISNUMBER($C544)),$C544=0),"",$C545/$C544-1)</f>
        <v/>
      </c>
      <c r="I545" s="52" t="str">
        <f aca="false">IF(AND(ISNUMBER($G545),$G545&gt;=MA_SHORT),AVERAGE(INDEX($C$145:$C545,402-MA_SHORT):$C545),"")</f>
        <v/>
      </c>
      <c r="J545" s="52" t="str">
        <f aca="false">IF(AND(ISNUMBER($G545),$G545&gt;=MA_MED),AVERAGE(INDEX($C$145:$C545,402-MA_MED):$C545),"")</f>
        <v/>
      </c>
      <c r="K545" s="52" t="str">
        <f aca="false">IF(AND(ISNUMBER($G545),$G545&gt;=MA_LONG2),AVERAGE(INDEX($C$145:$C545,402-MA_LONG2):$C545),"")</f>
        <v/>
      </c>
      <c r="L545" s="53" t="str">
        <f aca="false">IF(AND(ISNUMBER($G545),$G545&gt;=21),STDEV(INDEX($H$485:$H545,62-20):$H545)*SQRT(245),"")</f>
        <v/>
      </c>
      <c r="M545" s="52" t="str">
        <f aca="false">IF(AND(ISNUMBER($G545),$G545&gt;=60),MAX(INDEX($D$345:$D545,202-60):$D545),"")</f>
        <v/>
      </c>
      <c r="N545" s="52" t="str">
        <f aca="false">IF(AND(ISNUMBER($G545),$G545&gt;=60),MIN(INDEX($E$345:$E545,202-60):$E545),"")</f>
        <v/>
      </c>
      <c r="O545" s="53" t="str">
        <f aca="false">IF(OR(NOT(ISNUMBER($C545)),NOT(ISNUMBER($M545)),$M545=0),"",$C545/$M545-1)</f>
        <v/>
      </c>
      <c r="P545" s="54"/>
      <c r="Q545" s="53" t="str">
        <f aca="false">IF(NOT(ISNUMBER($P545)),"",IFERROR(PERCENTRANK($P$5:$P$1204,$P545),""))</f>
        <v/>
      </c>
    </row>
    <row r="546" customFormat="false" ht="15" hidden="false" customHeight="false" outlineLevel="0" collapsed="false">
      <c r="A546" s="55"/>
      <c r="B546" s="56"/>
      <c r="C546" s="57"/>
      <c r="D546" s="56"/>
      <c r="E546" s="56"/>
      <c r="F546" s="56"/>
      <c r="G546" s="50" t="str">
        <f aca="false">IF($A546="","",IF(ISNUMBER($G545),$G545+1,1))</f>
        <v/>
      </c>
      <c r="H546" s="51" t="str">
        <f aca="false">IF(OR(NOT(ISNUMBER($G546)),$G546&lt;2,NOT(ISNUMBER($C545)),$C545=0),"",$C546/$C545-1)</f>
        <v/>
      </c>
      <c r="I546" s="52" t="str">
        <f aca="false">IF(AND(ISNUMBER($G546),$G546&gt;=MA_SHORT),AVERAGE(INDEX($C$146:$C546,402-MA_SHORT):$C546),"")</f>
        <v/>
      </c>
      <c r="J546" s="52" t="str">
        <f aca="false">IF(AND(ISNUMBER($G546),$G546&gt;=MA_MED),AVERAGE(INDEX($C$146:$C546,402-MA_MED):$C546),"")</f>
        <v/>
      </c>
      <c r="K546" s="52" t="str">
        <f aca="false">IF(AND(ISNUMBER($G546),$G546&gt;=MA_LONG2),AVERAGE(INDEX($C$146:$C546,402-MA_LONG2):$C546),"")</f>
        <v/>
      </c>
      <c r="L546" s="53" t="str">
        <f aca="false">IF(AND(ISNUMBER($G546),$G546&gt;=21),STDEV(INDEX($H$486:$H546,62-20):$H546)*SQRT(245),"")</f>
        <v/>
      </c>
      <c r="M546" s="52" t="str">
        <f aca="false">IF(AND(ISNUMBER($G546),$G546&gt;=60),MAX(INDEX($D$346:$D546,202-60):$D546),"")</f>
        <v/>
      </c>
      <c r="N546" s="52" t="str">
        <f aca="false">IF(AND(ISNUMBER($G546),$G546&gt;=60),MIN(INDEX($E$346:$E546,202-60):$E546),"")</f>
        <v/>
      </c>
      <c r="O546" s="53" t="str">
        <f aca="false">IF(OR(NOT(ISNUMBER($C546)),NOT(ISNUMBER($M546)),$M546=0),"",$C546/$M546-1)</f>
        <v/>
      </c>
      <c r="P546" s="54"/>
      <c r="Q546" s="53" t="str">
        <f aca="false">IF(NOT(ISNUMBER($P546)),"",IFERROR(PERCENTRANK($P$5:$P$1204,$P546),""))</f>
        <v/>
      </c>
    </row>
    <row r="547" customFormat="false" ht="15" hidden="false" customHeight="false" outlineLevel="0" collapsed="false">
      <c r="A547" s="55"/>
      <c r="B547" s="56"/>
      <c r="C547" s="57"/>
      <c r="D547" s="56"/>
      <c r="E547" s="56"/>
      <c r="F547" s="56"/>
      <c r="G547" s="50" t="str">
        <f aca="false">IF($A547="","",IF(ISNUMBER($G546),$G546+1,1))</f>
        <v/>
      </c>
      <c r="H547" s="51" t="str">
        <f aca="false">IF(OR(NOT(ISNUMBER($G547)),$G547&lt;2,NOT(ISNUMBER($C546)),$C546=0),"",$C547/$C546-1)</f>
        <v/>
      </c>
      <c r="I547" s="52" t="str">
        <f aca="false">IF(AND(ISNUMBER($G547),$G547&gt;=MA_SHORT),AVERAGE(INDEX($C$147:$C547,402-MA_SHORT):$C547),"")</f>
        <v/>
      </c>
      <c r="J547" s="52" t="str">
        <f aca="false">IF(AND(ISNUMBER($G547),$G547&gt;=MA_MED),AVERAGE(INDEX($C$147:$C547,402-MA_MED):$C547),"")</f>
        <v/>
      </c>
      <c r="K547" s="52" t="str">
        <f aca="false">IF(AND(ISNUMBER($G547),$G547&gt;=MA_LONG2),AVERAGE(INDEX($C$147:$C547,402-MA_LONG2):$C547),"")</f>
        <v/>
      </c>
      <c r="L547" s="53" t="str">
        <f aca="false">IF(AND(ISNUMBER($G547),$G547&gt;=21),STDEV(INDEX($H$487:$H547,62-20):$H547)*SQRT(245),"")</f>
        <v/>
      </c>
      <c r="M547" s="52" t="str">
        <f aca="false">IF(AND(ISNUMBER($G547),$G547&gt;=60),MAX(INDEX($D$347:$D547,202-60):$D547),"")</f>
        <v/>
      </c>
      <c r="N547" s="52" t="str">
        <f aca="false">IF(AND(ISNUMBER($G547),$G547&gt;=60),MIN(INDEX($E$347:$E547,202-60):$E547),"")</f>
        <v/>
      </c>
      <c r="O547" s="53" t="str">
        <f aca="false">IF(OR(NOT(ISNUMBER($C547)),NOT(ISNUMBER($M547)),$M547=0),"",$C547/$M547-1)</f>
        <v/>
      </c>
      <c r="P547" s="54"/>
      <c r="Q547" s="53" t="str">
        <f aca="false">IF(NOT(ISNUMBER($P547)),"",IFERROR(PERCENTRANK($P$5:$P$1204,$P547),""))</f>
        <v/>
      </c>
    </row>
    <row r="548" customFormat="false" ht="15" hidden="false" customHeight="false" outlineLevel="0" collapsed="false">
      <c r="A548" s="55"/>
      <c r="B548" s="56"/>
      <c r="C548" s="57"/>
      <c r="D548" s="56"/>
      <c r="E548" s="56"/>
      <c r="F548" s="56"/>
      <c r="G548" s="50" t="str">
        <f aca="false">IF($A548="","",IF(ISNUMBER($G547),$G547+1,1))</f>
        <v/>
      </c>
      <c r="H548" s="51" t="str">
        <f aca="false">IF(OR(NOT(ISNUMBER($G548)),$G548&lt;2,NOT(ISNUMBER($C547)),$C547=0),"",$C548/$C547-1)</f>
        <v/>
      </c>
      <c r="I548" s="52" t="str">
        <f aca="false">IF(AND(ISNUMBER($G548),$G548&gt;=MA_SHORT),AVERAGE(INDEX($C$148:$C548,402-MA_SHORT):$C548),"")</f>
        <v/>
      </c>
      <c r="J548" s="52" t="str">
        <f aca="false">IF(AND(ISNUMBER($G548),$G548&gt;=MA_MED),AVERAGE(INDEX($C$148:$C548,402-MA_MED):$C548),"")</f>
        <v/>
      </c>
      <c r="K548" s="52" t="str">
        <f aca="false">IF(AND(ISNUMBER($G548),$G548&gt;=MA_LONG2),AVERAGE(INDEX($C$148:$C548,402-MA_LONG2):$C548),"")</f>
        <v/>
      </c>
      <c r="L548" s="53" t="str">
        <f aca="false">IF(AND(ISNUMBER($G548),$G548&gt;=21),STDEV(INDEX($H$488:$H548,62-20):$H548)*SQRT(245),"")</f>
        <v/>
      </c>
      <c r="M548" s="52" t="str">
        <f aca="false">IF(AND(ISNUMBER($G548),$G548&gt;=60),MAX(INDEX($D$348:$D548,202-60):$D548),"")</f>
        <v/>
      </c>
      <c r="N548" s="52" t="str">
        <f aca="false">IF(AND(ISNUMBER($G548),$G548&gt;=60),MIN(INDEX($E$348:$E548,202-60):$E548),"")</f>
        <v/>
      </c>
      <c r="O548" s="53" t="str">
        <f aca="false">IF(OR(NOT(ISNUMBER($C548)),NOT(ISNUMBER($M548)),$M548=0),"",$C548/$M548-1)</f>
        <v/>
      </c>
      <c r="P548" s="54"/>
      <c r="Q548" s="53" t="str">
        <f aca="false">IF(NOT(ISNUMBER($P548)),"",IFERROR(PERCENTRANK($P$5:$P$1204,$P548),""))</f>
        <v/>
      </c>
    </row>
    <row r="549" customFormat="false" ht="15" hidden="false" customHeight="false" outlineLevel="0" collapsed="false">
      <c r="A549" s="55"/>
      <c r="B549" s="56"/>
      <c r="C549" s="57"/>
      <c r="D549" s="56"/>
      <c r="E549" s="56"/>
      <c r="F549" s="56"/>
      <c r="G549" s="50" t="str">
        <f aca="false">IF($A549="","",IF(ISNUMBER($G548),$G548+1,1))</f>
        <v/>
      </c>
      <c r="H549" s="51" t="str">
        <f aca="false">IF(OR(NOT(ISNUMBER($G549)),$G549&lt;2,NOT(ISNUMBER($C548)),$C548=0),"",$C549/$C548-1)</f>
        <v/>
      </c>
      <c r="I549" s="52" t="str">
        <f aca="false">IF(AND(ISNUMBER($G549),$G549&gt;=MA_SHORT),AVERAGE(INDEX($C$149:$C549,402-MA_SHORT):$C549),"")</f>
        <v/>
      </c>
      <c r="J549" s="52" t="str">
        <f aca="false">IF(AND(ISNUMBER($G549),$G549&gt;=MA_MED),AVERAGE(INDEX($C$149:$C549,402-MA_MED):$C549),"")</f>
        <v/>
      </c>
      <c r="K549" s="52" t="str">
        <f aca="false">IF(AND(ISNUMBER($G549),$G549&gt;=MA_LONG2),AVERAGE(INDEX($C$149:$C549,402-MA_LONG2):$C549),"")</f>
        <v/>
      </c>
      <c r="L549" s="53" t="str">
        <f aca="false">IF(AND(ISNUMBER($G549),$G549&gt;=21),STDEV(INDEX($H$489:$H549,62-20):$H549)*SQRT(245),"")</f>
        <v/>
      </c>
      <c r="M549" s="52" t="str">
        <f aca="false">IF(AND(ISNUMBER($G549),$G549&gt;=60),MAX(INDEX($D$349:$D549,202-60):$D549),"")</f>
        <v/>
      </c>
      <c r="N549" s="52" t="str">
        <f aca="false">IF(AND(ISNUMBER($G549),$G549&gt;=60),MIN(INDEX($E$349:$E549,202-60):$E549),"")</f>
        <v/>
      </c>
      <c r="O549" s="53" t="str">
        <f aca="false">IF(OR(NOT(ISNUMBER($C549)),NOT(ISNUMBER($M549)),$M549=0),"",$C549/$M549-1)</f>
        <v/>
      </c>
      <c r="P549" s="54"/>
      <c r="Q549" s="53" t="str">
        <f aca="false">IF(NOT(ISNUMBER($P549)),"",IFERROR(PERCENTRANK($P$5:$P$1204,$P549),""))</f>
        <v/>
      </c>
    </row>
    <row r="550" customFormat="false" ht="15" hidden="false" customHeight="false" outlineLevel="0" collapsed="false">
      <c r="A550" s="55"/>
      <c r="B550" s="56"/>
      <c r="C550" s="57"/>
      <c r="D550" s="56"/>
      <c r="E550" s="56"/>
      <c r="F550" s="56"/>
      <c r="G550" s="50" t="str">
        <f aca="false">IF($A550="","",IF(ISNUMBER($G549),$G549+1,1))</f>
        <v/>
      </c>
      <c r="H550" s="51" t="str">
        <f aca="false">IF(OR(NOT(ISNUMBER($G550)),$G550&lt;2,NOT(ISNUMBER($C549)),$C549=0),"",$C550/$C549-1)</f>
        <v/>
      </c>
      <c r="I550" s="52" t="str">
        <f aca="false">IF(AND(ISNUMBER($G550),$G550&gt;=MA_SHORT),AVERAGE(INDEX($C$150:$C550,402-MA_SHORT):$C550),"")</f>
        <v/>
      </c>
      <c r="J550" s="52" t="str">
        <f aca="false">IF(AND(ISNUMBER($G550),$G550&gt;=MA_MED),AVERAGE(INDEX($C$150:$C550,402-MA_MED):$C550),"")</f>
        <v/>
      </c>
      <c r="K550" s="52" t="str">
        <f aca="false">IF(AND(ISNUMBER($G550),$G550&gt;=MA_LONG2),AVERAGE(INDEX($C$150:$C550,402-MA_LONG2):$C550),"")</f>
        <v/>
      </c>
      <c r="L550" s="53" t="str">
        <f aca="false">IF(AND(ISNUMBER($G550),$G550&gt;=21),STDEV(INDEX($H$490:$H550,62-20):$H550)*SQRT(245),"")</f>
        <v/>
      </c>
      <c r="M550" s="52" t="str">
        <f aca="false">IF(AND(ISNUMBER($G550),$G550&gt;=60),MAX(INDEX($D$350:$D550,202-60):$D550),"")</f>
        <v/>
      </c>
      <c r="N550" s="52" t="str">
        <f aca="false">IF(AND(ISNUMBER($G550),$G550&gt;=60),MIN(INDEX($E$350:$E550,202-60):$E550),"")</f>
        <v/>
      </c>
      <c r="O550" s="53" t="str">
        <f aca="false">IF(OR(NOT(ISNUMBER($C550)),NOT(ISNUMBER($M550)),$M550=0),"",$C550/$M550-1)</f>
        <v/>
      </c>
      <c r="P550" s="54"/>
      <c r="Q550" s="53" t="str">
        <f aca="false">IF(NOT(ISNUMBER($P550)),"",IFERROR(PERCENTRANK($P$5:$P$1204,$P550),""))</f>
        <v/>
      </c>
    </row>
    <row r="551" customFormat="false" ht="15" hidden="false" customHeight="false" outlineLevel="0" collapsed="false">
      <c r="A551" s="55"/>
      <c r="B551" s="56"/>
      <c r="C551" s="57"/>
      <c r="D551" s="56"/>
      <c r="E551" s="56"/>
      <c r="F551" s="56"/>
      <c r="G551" s="50" t="str">
        <f aca="false">IF($A551="","",IF(ISNUMBER($G550),$G550+1,1))</f>
        <v/>
      </c>
      <c r="H551" s="51" t="str">
        <f aca="false">IF(OR(NOT(ISNUMBER($G551)),$G551&lt;2,NOT(ISNUMBER($C550)),$C550=0),"",$C551/$C550-1)</f>
        <v/>
      </c>
      <c r="I551" s="52" t="str">
        <f aca="false">IF(AND(ISNUMBER($G551),$G551&gt;=MA_SHORT),AVERAGE(INDEX($C$151:$C551,402-MA_SHORT):$C551),"")</f>
        <v/>
      </c>
      <c r="J551" s="52" t="str">
        <f aca="false">IF(AND(ISNUMBER($G551),$G551&gt;=MA_MED),AVERAGE(INDEX($C$151:$C551,402-MA_MED):$C551),"")</f>
        <v/>
      </c>
      <c r="K551" s="52" t="str">
        <f aca="false">IF(AND(ISNUMBER($G551),$G551&gt;=MA_LONG2),AVERAGE(INDEX($C$151:$C551,402-MA_LONG2):$C551),"")</f>
        <v/>
      </c>
      <c r="L551" s="53" t="str">
        <f aca="false">IF(AND(ISNUMBER($G551),$G551&gt;=21),STDEV(INDEX($H$491:$H551,62-20):$H551)*SQRT(245),"")</f>
        <v/>
      </c>
      <c r="M551" s="52" t="str">
        <f aca="false">IF(AND(ISNUMBER($G551),$G551&gt;=60),MAX(INDEX($D$351:$D551,202-60):$D551),"")</f>
        <v/>
      </c>
      <c r="N551" s="52" t="str">
        <f aca="false">IF(AND(ISNUMBER($G551),$G551&gt;=60),MIN(INDEX($E$351:$E551,202-60):$E551),"")</f>
        <v/>
      </c>
      <c r="O551" s="53" t="str">
        <f aca="false">IF(OR(NOT(ISNUMBER($C551)),NOT(ISNUMBER($M551)),$M551=0),"",$C551/$M551-1)</f>
        <v/>
      </c>
      <c r="P551" s="54"/>
      <c r="Q551" s="53" t="str">
        <f aca="false">IF(NOT(ISNUMBER($P551)),"",IFERROR(PERCENTRANK($P$5:$P$1204,$P551),""))</f>
        <v/>
      </c>
    </row>
    <row r="552" customFormat="false" ht="15" hidden="false" customHeight="false" outlineLevel="0" collapsed="false">
      <c r="A552" s="55"/>
      <c r="B552" s="56"/>
      <c r="C552" s="57"/>
      <c r="D552" s="56"/>
      <c r="E552" s="56"/>
      <c r="F552" s="56"/>
      <c r="G552" s="50" t="str">
        <f aca="false">IF($A552="","",IF(ISNUMBER($G551),$G551+1,1))</f>
        <v/>
      </c>
      <c r="H552" s="51" t="str">
        <f aca="false">IF(OR(NOT(ISNUMBER($G552)),$G552&lt;2,NOT(ISNUMBER($C551)),$C551=0),"",$C552/$C551-1)</f>
        <v/>
      </c>
      <c r="I552" s="52" t="str">
        <f aca="false">IF(AND(ISNUMBER($G552),$G552&gt;=MA_SHORT),AVERAGE(INDEX($C$152:$C552,402-MA_SHORT):$C552),"")</f>
        <v/>
      </c>
      <c r="J552" s="52" t="str">
        <f aca="false">IF(AND(ISNUMBER($G552),$G552&gt;=MA_MED),AVERAGE(INDEX($C$152:$C552,402-MA_MED):$C552),"")</f>
        <v/>
      </c>
      <c r="K552" s="52" t="str">
        <f aca="false">IF(AND(ISNUMBER($G552),$G552&gt;=MA_LONG2),AVERAGE(INDEX($C$152:$C552,402-MA_LONG2):$C552),"")</f>
        <v/>
      </c>
      <c r="L552" s="53" t="str">
        <f aca="false">IF(AND(ISNUMBER($G552),$G552&gt;=21),STDEV(INDEX($H$492:$H552,62-20):$H552)*SQRT(245),"")</f>
        <v/>
      </c>
      <c r="M552" s="52" t="str">
        <f aca="false">IF(AND(ISNUMBER($G552),$G552&gt;=60),MAX(INDEX($D$352:$D552,202-60):$D552),"")</f>
        <v/>
      </c>
      <c r="N552" s="52" t="str">
        <f aca="false">IF(AND(ISNUMBER($G552),$G552&gt;=60),MIN(INDEX($E$352:$E552,202-60):$E552),"")</f>
        <v/>
      </c>
      <c r="O552" s="53" t="str">
        <f aca="false">IF(OR(NOT(ISNUMBER($C552)),NOT(ISNUMBER($M552)),$M552=0),"",$C552/$M552-1)</f>
        <v/>
      </c>
      <c r="P552" s="54"/>
      <c r="Q552" s="53" t="str">
        <f aca="false">IF(NOT(ISNUMBER($P552)),"",IFERROR(PERCENTRANK($P$5:$P$1204,$P552),""))</f>
        <v/>
      </c>
    </row>
    <row r="553" customFormat="false" ht="15" hidden="false" customHeight="false" outlineLevel="0" collapsed="false">
      <c r="A553" s="55"/>
      <c r="B553" s="56"/>
      <c r="C553" s="57"/>
      <c r="D553" s="56"/>
      <c r="E553" s="56"/>
      <c r="F553" s="56"/>
      <c r="G553" s="50" t="str">
        <f aca="false">IF($A553="","",IF(ISNUMBER($G552),$G552+1,1))</f>
        <v/>
      </c>
      <c r="H553" s="51" t="str">
        <f aca="false">IF(OR(NOT(ISNUMBER($G553)),$G553&lt;2,NOT(ISNUMBER($C552)),$C552=0),"",$C553/$C552-1)</f>
        <v/>
      </c>
      <c r="I553" s="52" t="str">
        <f aca="false">IF(AND(ISNUMBER($G553),$G553&gt;=MA_SHORT),AVERAGE(INDEX($C$153:$C553,402-MA_SHORT):$C553),"")</f>
        <v/>
      </c>
      <c r="J553" s="52" t="str">
        <f aca="false">IF(AND(ISNUMBER($G553),$G553&gt;=MA_MED),AVERAGE(INDEX($C$153:$C553,402-MA_MED):$C553),"")</f>
        <v/>
      </c>
      <c r="K553" s="52" t="str">
        <f aca="false">IF(AND(ISNUMBER($G553),$G553&gt;=MA_LONG2),AVERAGE(INDEX($C$153:$C553,402-MA_LONG2):$C553),"")</f>
        <v/>
      </c>
      <c r="L553" s="53" t="str">
        <f aca="false">IF(AND(ISNUMBER($G553),$G553&gt;=21),STDEV(INDEX($H$493:$H553,62-20):$H553)*SQRT(245),"")</f>
        <v/>
      </c>
      <c r="M553" s="52" t="str">
        <f aca="false">IF(AND(ISNUMBER($G553),$G553&gt;=60),MAX(INDEX($D$353:$D553,202-60):$D553),"")</f>
        <v/>
      </c>
      <c r="N553" s="52" t="str">
        <f aca="false">IF(AND(ISNUMBER($G553),$G553&gt;=60),MIN(INDEX($E$353:$E553,202-60):$E553),"")</f>
        <v/>
      </c>
      <c r="O553" s="53" t="str">
        <f aca="false">IF(OR(NOT(ISNUMBER($C553)),NOT(ISNUMBER($M553)),$M553=0),"",$C553/$M553-1)</f>
        <v/>
      </c>
      <c r="P553" s="54"/>
      <c r="Q553" s="53" t="str">
        <f aca="false">IF(NOT(ISNUMBER($P553)),"",IFERROR(PERCENTRANK($P$5:$P$1204,$P553),""))</f>
        <v/>
      </c>
    </row>
    <row r="554" customFormat="false" ht="15" hidden="false" customHeight="false" outlineLevel="0" collapsed="false">
      <c r="A554" s="55"/>
      <c r="B554" s="56"/>
      <c r="C554" s="57"/>
      <c r="D554" s="56"/>
      <c r="E554" s="56"/>
      <c r="F554" s="56"/>
      <c r="G554" s="50" t="str">
        <f aca="false">IF($A554="","",IF(ISNUMBER($G553),$G553+1,1))</f>
        <v/>
      </c>
      <c r="H554" s="51" t="str">
        <f aca="false">IF(OR(NOT(ISNUMBER($G554)),$G554&lt;2,NOT(ISNUMBER($C553)),$C553=0),"",$C554/$C553-1)</f>
        <v/>
      </c>
      <c r="I554" s="52" t="str">
        <f aca="false">IF(AND(ISNUMBER($G554),$G554&gt;=MA_SHORT),AVERAGE(INDEX($C$154:$C554,402-MA_SHORT):$C554),"")</f>
        <v/>
      </c>
      <c r="J554" s="52" t="str">
        <f aca="false">IF(AND(ISNUMBER($G554),$G554&gt;=MA_MED),AVERAGE(INDEX($C$154:$C554,402-MA_MED):$C554),"")</f>
        <v/>
      </c>
      <c r="K554" s="52" t="str">
        <f aca="false">IF(AND(ISNUMBER($G554),$G554&gt;=MA_LONG2),AVERAGE(INDEX($C$154:$C554,402-MA_LONG2):$C554),"")</f>
        <v/>
      </c>
      <c r="L554" s="53" t="str">
        <f aca="false">IF(AND(ISNUMBER($G554),$G554&gt;=21),STDEV(INDEX($H$494:$H554,62-20):$H554)*SQRT(245),"")</f>
        <v/>
      </c>
      <c r="M554" s="52" t="str">
        <f aca="false">IF(AND(ISNUMBER($G554),$G554&gt;=60),MAX(INDEX($D$354:$D554,202-60):$D554),"")</f>
        <v/>
      </c>
      <c r="N554" s="52" t="str">
        <f aca="false">IF(AND(ISNUMBER($G554),$G554&gt;=60),MIN(INDEX($E$354:$E554,202-60):$E554),"")</f>
        <v/>
      </c>
      <c r="O554" s="53" t="str">
        <f aca="false">IF(OR(NOT(ISNUMBER($C554)),NOT(ISNUMBER($M554)),$M554=0),"",$C554/$M554-1)</f>
        <v/>
      </c>
      <c r="P554" s="54"/>
      <c r="Q554" s="53" t="str">
        <f aca="false">IF(NOT(ISNUMBER($P554)),"",IFERROR(PERCENTRANK($P$5:$P$1204,$P554),""))</f>
        <v/>
      </c>
    </row>
    <row r="555" customFormat="false" ht="15" hidden="false" customHeight="false" outlineLevel="0" collapsed="false">
      <c r="A555" s="55"/>
      <c r="B555" s="56"/>
      <c r="C555" s="57"/>
      <c r="D555" s="56"/>
      <c r="E555" s="56"/>
      <c r="F555" s="56"/>
      <c r="G555" s="50" t="str">
        <f aca="false">IF($A555="","",IF(ISNUMBER($G554),$G554+1,1))</f>
        <v/>
      </c>
      <c r="H555" s="51" t="str">
        <f aca="false">IF(OR(NOT(ISNUMBER($G555)),$G555&lt;2,NOT(ISNUMBER($C554)),$C554=0),"",$C555/$C554-1)</f>
        <v/>
      </c>
      <c r="I555" s="52" t="str">
        <f aca="false">IF(AND(ISNUMBER($G555),$G555&gt;=MA_SHORT),AVERAGE(INDEX($C$155:$C555,402-MA_SHORT):$C555),"")</f>
        <v/>
      </c>
      <c r="J555" s="52" t="str">
        <f aca="false">IF(AND(ISNUMBER($G555),$G555&gt;=MA_MED),AVERAGE(INDEX($C$155:$C555,402-MA_MED):$C555),"")</f>
        <v/>
      </c>
      <c r="K555" s="52" t="str">
        <f aca="false">IF(AND(ISNUMBER($G555),$G555&gt;=MA_LONG2),AVERAGE(INDEX($C$155:$C555,402-MA_LONG2):$C555),"")</f>
        <v/>
      </c>
      <c r="L555" s="53" t="str">
        <f aca="false">IF(AND(ISNUMBER($G555),$G555&gt;=21),STDEV(INDEX($H$495:$H555,62-20):$H555)*SQRT(245),"")</f>
        <v/>
      </c>
      <c r="M555" s="52" t="str">
        <f aca="false">IF(AND(ISNUMBER($G555),$G555&gt;=60),MAX(INDEX($D$355:$D555,202-60):$D555),"")</f>
        <v/>
      </c>
      <c r="N555" s="52" t="str">
        <f aca="false">IF(AND(ISNUMBER($G555),$G555&gt;=60),MIN(INDEX($E$355:$E555,202-60):$E555),"")</f>
        <v/>
      </c>
      <c r="O555" s="53" t="str">
        <f aca="false">IF(OR(NOT(ISNUMBER($C555)),NOT(ISNUMBER($M555)),$M555=0),"",$C555/$M555-1)</f>
        <v/>
      </c>
      <c r="P555" s="54"/>
      <c r="Q555" s="53" t="str">
        <f aca="false">IF(NOT(ISNUMBER($P555)),"",IFERROR(PERCENTRANK($P$5:$P$1204,$P555),""))</f>
        <v/>
      </c>
    </row>
    <row r="556" customFormat="false" ht="15" hidden="false" customHeight="false" outlineLevel="0" collapsed="false">
      <c r="A556" s="55"/>
      <c r="B556" s="56"/>
      <c r="C556" s="57"/>
      <c r="D556" s="56"/>
      <c r="E556" s="56"/>
      <c r="F556" s="56"/>
      <c r="G556" s="50" t="str">
        <f aca="false">IF($A556="","",IF(ISNUMBER($G555),$G555+1,1))</f>
        <v/>
      </c>
      <c r="H556" s="51" t="str">
        <f aca="false">IF(OR(NOT(ISNUMBER($G556)),$G556&lt;2,NOT(ISNUMBER($C555)),$C555=0),"",$C556/$C555-1)</f>
        <v/>
      </c>
      <c r="I556" s="52" t="str">
        <f aca="false">IF(AND(ISNUMBER($G556),$G556&gt;=MA_SHORT),AVERAGE(INDEX($C$156:$C556,402-MA_SHORT):$C556),"")</f>
        <v/>
      </c>
      <c r="J556" s="52" t="str">
        <f aca="false">IF(AND(ISNUMBER($G556),$G556&gt;=MA_MED),AVERAGE(INDEX($C$156:$C556,402-MA_MED):$C556),"")</f>
        <v/>
      </c>
      <c r="K556" s="52" t="str">
        <f aca="false">IF(AND(ISNUMBER($G556),$G556&gt;=MA_LONG2),AVERAGE(INDEX($C$156:$C556,402-MA_LONG2):$C556),"")</f>
        <v/>
      </c>
      <c r="L556" s="53" t="str">
        <f aca="false">IF(AND(ISNUMBER($G556),$G556&gt;=21),STDEV(INDEX($H$496:$H556,62-20):$H556)*SQRT(245),"")</f>
        <v/>
      </c>
      <c r="M556" s="52" t="str">
        <f aca="false">IF(AND(ISNUMBER($G556),$G556&gt;=60),MAX(INDEX($D$356:$D556,202-60):$D556),"")</f>
        <v/>
      </c>
      <c r="N556" s="52" t="str">
        <f aca="false">IF(AND(ISNUMBER($G556),$G556&gt;=60),MIN(INDEX($E$356:$E556,202-60):$E556),"")</f>
        <v/>
      </c>
      <c r="O556" s="53" t="str">
        <f aca="false">IF(OR(NOT(ISNUMBER($C556)),NOT(ISNUMBER($M556)),$M556=0),"",$C556/$M556-1)</f>
        <v/>
      </c>
      <c r="P556" s="54"/>
      <c r="Q556" s="53" t="str">
        <f aca="false">IF(NOT(ISNUMBER($P556)),"",IFERROR(PERCENTRANK($P$5:$P$1204,$P556),""))</f>
        <v/>
      </c>
    </row>
    <row r="557" customFormat="false" ht="15" hidden="false" customHeight="false" outlineLevel="0" collapsed="false">
      <c r="A557" s="55"/>
      <c r="B557" s="56"/>
      <c r="C557" s="57"/>
      <c r="D557" s="56"/>
      <c r="E557" s="56"/>
      <c r="F557" s="56"/>
      <c r="G557" s="50" t="str">
        <f aca="false">IF($A557="","",IF(ISNUMBER($G556),$G556+1,1))</f>
        <v/>
      </c>
      <c r="H557" s="51" t="str">
        <f aca="false">IF(OR(NOT(ISNUMBER($G557)),$G557&lt;2,NOT(ISNUMBER($C556)),$C556=0),"",$C557/$C556-1)</f>
        <v/>
      </c>
      <c r="I557" s="52" t="str">
        <f aca="false">IF(AND(ISNUMBER($G557),$G557&gt;=MA_SHORT),AVERAGE(INDEX($C$157:$C557,402-MA_SHORT):$C557),"")</f>
        <v/>
      </c>
      <c r="J557" s="52" t="str">
        <f aca="false">IF(AND(ISNUMBER($G557),$G557&gt;=MA_MED),AVERAGE(INDEX($C$157:$C557,402-MA_MED):$C557),"")</f>
        <v/>
      </c>
      <c r="K557" s="52" t="str">
        <f aca="false">IF(AND(ISNUMBER($G557),$G557&gt;=MA_LONG2),AVERAGE(INDEX($C$157:$C557,402-MA_LONG2):$C557),"")</f>
        <v/>
      </c>
      <c r="L557" s="53" t="str">
        <f aca="false">IF(AND(ISNUMBER($G557),$G557&gt;=21),STDEV(INDEX($H$497:$H557,62-20):$H557)*SQRT(245),"")</f>
        <v/>
      </c>
      <c r="M557" s="52" t="str">
        <f aca="false">IF(AND(ISNUMBER($G557),$G557&gt;=60),MAX(INDEX($D$357:$D557,202-60):$D557),"")</f>
        <v/>
      </c>
      <c r="N557" s="52" t="str">
        <f aca="false">IF(AND(ISNUMBER($G557),$G557&gt;=60),MIN(INDEX($E$357:$E557,202-60):$E557),"")</f>
        <v/>
      </c>
      <c r="O557" s="53" t="str">
        <f aca="false">IF(OR(NOT(ISNUMBER($C557)),NOT(ISNUMBER($M557)),$M557=0),"",$C557/$M557-1)</f>
        <v/>
      </c>
      <c r="P557" s="54"/>
      <c r="Q557" s="53" t="str">
        <f aca="false">IF(NOT(ISNUMBER($P557)),"",IFERROR(PERCENTRANK($P$5:$P$1204,$P557),""))</f>
        <v/>
      </c>
    </row>
    <row r="558" customFormat="false" ht="15" hidden="false" customHeight="false" outlineLevel="0" collapsed="false">
      <c r="A558" s="55"/>
      <c r="B558" s="56"/>
      <c r="C558" s="57"/>
      <c r="D558" s="56"/>
      <c r="E558" s="56"/>
      <c r="F558" s="56"/>
      <c r="G558" s="50" t="str">
        <f aca="false">IF($A558="","",IF(ISNUMBER($G557),$G557+1,1))</f>
        <v/>
      </c>
      <c r="H558" s="51" t="str">
        <f aca="false">IF(OR(NOT(ISNUMBER($G558)),$G558&lt;2,NOT(ISNUMBER($C557)),$C557=0),"",$C558/$C557-1)</f>
        <v/>
      </c>
      <c r="I558" s="52" t="str">
        <f aca="false">IF(AND(ISNUMBER($G558),$G558&gt;=MA_SHORT),AVERAGE(INDEX($C$158:$C558,402-MA_SHORT):$C558),"")</f>
        <v/>
      </c>
      <c r="J558" s="52" t="str">
        <f aca="false">IF(AND(ISNUMBER($G558),$G558&gt;=MA_MED),AVERAGE(INDEX($C$158:$C558,402-MA_MED):$C558),"")</f>
        <v/>
      </c>
      <c r="K558" s="52" t="str">
        <f aca="false">IF(AND(ISNUMBER($G558),$G558&gt;=MA_LONG2),AVERAGE(INDEX($C$158:$C558,402-MA_LONG2):$C558),"")</f>
        <v/>
      </c>
      <c r="L558" s="53" t="str">
        <f aca="false">IF(AND(ISNUMBER($G558),$G558&gt;=21),STDEV(INDEX($H$498:$H558,62-20):$H558)*SQRT(245),"")</f>
        <v/>
      </c>
      <c r="M558" s="52" t="str">
        <f aca="false">IF(AND(ISNUMBER($G558),$G558&gt;=60),MAX(INDEX($D$358:$D558,202-60):$D558),"")</f>
        <v/>
      </c>
      <c r="N558" s="52" t="str">
        <f aca="false">IF(AND(ISNUMBER($G558),$G558&gt;=60),MIN(INDEX($E$358:$E558,202-60):$E558),"")</f>
        <v/>
      </c>
      <c r="O558" s="53" t="str">
        <f aca="false">IF(OR(NOT(ISNUMBER($C558)),NOT(ISNUMBER($M558)),$M558=0),"",$C558/$M558-1)</f>
        <v/>
      </c>
      <c r="P558" s="54"/>
      <c r="Q558" s="53" t="str">
        <f aca="false">IF(NOT(ISNUMBER($P558)),"",IFERROR(PERCENTRANK($P$5:$P$1204,$P558),""))</f>
        <v/>
      </c>
    </row>
    <row r="559" customFormat="false" ht="15" hidden="false" customHeight="false" outlineLevel="0" collapsed="false">
      <c r="A559" s="55"/>
      <c r="B559" s="56"/>
      <c r="C559" s="57"/>
      <c r="D559" s="56"/>
      <c r="E559" s="56"/>
      <c r="F559" s="56"/>
      <c r="G559" s="50" t="str">
        <f aca="false">IF($A559="","",IF(ISNUMBER($G558),$G558+1,1))</f>
        <v/>
      </c>
      <c r="H559" s="51" t="str">
        <f aca="false">IF(OR(NOT(ISNUMBER($G559)),$G559&lt;2,NOT(ISNUMBER($C558)),$C558=0),"",$C559/$C558-1)</f>
        <v/>
      </c>
      <c r="I559" s="52" t="str">
        <f aca="false">IF(AND(ISNUMBER($G559),$G559&gt;=MA_SHORT),AVERAGE(INDEX($C$159:$C559,402-MA_SHORT):$C559),"")</f>
        <v/>
      </c>
      <c r="J559" s="52" t="str">
        <f aca="false">IF(AND(ISNUMBER($G559),$G559&gt;=MA_MED),AVERAGE(INDEX($C$159:$C559,402-MA_MED):$C559),"")</f>
        <v/>
      </c>
      <c r="K559" s="52" t="str">
        <f aca="false">IF(AND(ISNUMBER($G559),$G559&gt;=MA_LONG2),AVERAGE(INDEX($C$159:$C559,402-MA_LONG2):$C559),"")</f>
        <v/>
      </c>
      <c r="L559" s="53" t="str">
        <f aca="false">IF(AND(ISNUMBER($G559),$G559&gt;=21),STDEV(INDEX($H$499:$H559,62-20):$H559)*SQRT(245),"")</f>
        <v/>
      </c>
      <c r="M559" s="52" t="str">
        <f aca="false">IF(AND(ISNUMBER($G559),$G559&gt;=60),MAX(INDEX($D$359:$D559,202-60):$D559),"")</f>
        <v/>
      </c>
      <c r="N559" s="52" t="str">
        <f aca="false">IF(AND(ISNUMBER($G559),$G559&gt;=60),MIN(INDEX($E$359:$E559,202-60):$E559),"")</f>
        <v/>
      </c>
      <c r="O559" s="53" t="str">
        <f aca="false">IF(OR(NOT(ISNUMBER($C559)),NOT(ISNUMBER($M559)),$M559=0),"",$C559/$M559-1)</f>
        <v/>
      </c>
      <c r="P559" s="54"/>
      <c r="Q559" s="53" t="str">
        <f aca="false">IF(NOT(ISNUMBER($P559)),"",IFERROR(PERCENTRANK($P$5:$P$1204,$P559),""))</f>
        <v/>
      </c>
    </row>
    <row r="560" customFormat="false" ht="15" hidden="false" customHeight="false" outlineLevel="0" collapsed="false">
      <c r="A560" s="55"/>
      <c r="B560" s="56"/>
      <c r="C560" s="57"/>
      <c r="D560" s="56"/>
      <c r="E560" s="56"/>
      <c r="F560" s="56"/>
      <c r="G560" s="50" t="str">
        <f aca="false">IF($A560="","",IF(ISNUMBER($G559),$G559+1,1))</f>
        <v/>
      </c>
      <c r="H560" s="51" t="str">
        <f aca="false">IF(OR(NOT(ISNUMBER($G560)),$G560&lt;2,NOT(ISNUMBER($C559)),$C559=0),"",$C560/$C559-1)</f>
        <v/>
      </c>
      <c r="I560" s="52" t="str">
        <f aca="false">IF(AND(ISNUMBER($G560),$G560&gt;=MA_SHORT),AVERAGE(INDEX($C$160:$C560,402-MA_SHORT):$C560),"")</f>
        <v/>
      </c>
      <c r="J560" s="52" t="str">
        <f aca="false">IF(AND(ISNUMBER($G560),$G560&gt;=MA_MED),AVERAGE(INDEX($C$160:$C560,402-MA_MED):$C560),"")</f>
        <v/>
      </c>
      <c r="K560" s="52" t="str">
        <f aca="false">IF(AND(ISNUMBER($G560),$G560&gt;=MA_LONG2),AVERAGE(INDEX($C$160:$C560,402-MA_LONG2):$C560),"")</f>
        <v/>
      </c>
      <c r="L560" s="53" t="str">
        <f aca="false">IF(AND(ISNUMBER($G560),$G560&gt;=21),STDEV(INDEX($H$500:$H560,62-20):$H560)*SQRT(245),"")</f>
        <v/>
      </c>
      <c r="M560" s="52" t="str">
        <f aca="false">IF(AND(ISNUMBER($G560),$G560&gt;=60),MAX(INDEX($D$360:$D560,202-60):$D560),"")</f>
        <v/>
      </c>
      <c r="N560" s="52" t="str">
        <f aca="false">IF(AND(ISNUMBER($G560),$G560&gt;=60),MIN(INDEX($E$360:$E560,202-60):$E560),"")</f>
        <v/>
      </c>
      <c r="O560" s="53" t="str">
        <f aca="false">IF(OR(NOT(ISNUMBER($C560)),NOT(ISNUMBER($M560)),$M560=0),"",$C560/$M560-1)</f>
        <v/>
      </c>
      <c r="P560" s="54"/>
      <c r="Q560" s="53" t="str">
        <f aca="false">IF(NOT(ISNUMBER($P560)),"",IFERROR(PERCENTRANK($P$5:$P$1204,$P560),""))</f>
        <v/>
      </c>
    </row>
    <row r="561" customFormat="false" ht="15" hidden="false" customHeight="false" outlineLevel="0" collapsed="false">
      <c r="A561" s="55"/>
      <c r="B561" s="56"/>
      <c r="C561" s="57"/>
      <c r="D561" s="56"/>
      <c r="E561" s="56"/>
      <c r="F561" s="56"/>
      <c r="G561" s="50" t="str">
        <f aca="false">IF($A561="","",IF(ISNUMBER($G560),$G560+1,1))</f>
        <v/>
      </c>
      <c r="H561" s="51" t="str">
        <f aca="false">IF(OR(NOT(ISNUMBER($G561)),$G561&lt;2,NOT(ISNUMBER($C560)),$C560=0),"",$C561/$C560-1)</f>
        <v/>
      </c>
      <c r="I561" s="52" t="str">
        <f aca="false">IF(AND(ISNUMBER($G561),$G561&gt;=MA_SHORT),AVERAGE(INDEX($C$161:$C561,402-MA_SHORT):$C561),"")</f>
        <v/>
      </c>
      <c r="J561" s="52" t="str">
        <f aca="false">IF(AND(ISNUMBER($G561),$G561&gt;=MA_MED),AVERAGE(INDEX($C$161:$C561,402-MA_MED):$C561),"")</f>
        <v/>
      </c>
      <c r="K561" s="52" t="str">
        <f aca="false">IF(AND(ISNUMBER($G561),$G561&gt;=MA_LONG2),AVERAGE(INDEX($C$161:$C561,402-MA_LONG2):$C561),"")</f>
        <v/>
      </c>
      <c r="L561" s="53" t="str">
        <f aca="false">IF(AND(ISNUMBER($G561),$G561&gt;=21),STDEV(INDEX($H$501:$H561,62-20):$H561)*SQRT(245),"")</f>
        <v/>
      </c>
      <c r="M561" s="52" t="str">
        <f aca="false">IF(AND(ISNUMBER($G561),$G561&gt;=60),MAX(INDEX($D$361:$D561,202-60):$D561),"")</f>
        <v/>
      </c>
      <c r="N561" s="52" t="str">
        <f aca="false">IF(AND(ISNUMBER($G561),$G561&gt;=60),MIN(INDEX($E$361:$E561,202-60):$E561),"")</f>
        <v/>
      </c>
      <c r="O561" s="53" t="str">
        <f aca="false">IF(OR(NOT(ISNUMBER($C561)),NOT(ISNUMBER($M561)),$M561=0),"",$C561/$M561-1)</f>
        <v/>
      </c>
      <c r="P561" s="54"/>
      <c r="Q561" s="53" t="str">
        <f aca="false">IF(NOT(ISNUMBER($P561)),"",IFERROR(PERCENTRANK($P$5:$P$1204,$P561),""))</f>
        <v/>
      </c>
    </row>
    <row r="562" customFormat="false" ht="15" hidden="false" customHeight="false" outlineLevel="0" collapsed="false">
      <c r="A562" s="55"/>
      <c r="B562" s="56"/>
      <c r="C562" s="57"/>
      <c r="D562" s="56"/>
      <c r="E562" s="56"/>
      <c r="F562" s="56"/>
      <c r="G562" s="50" t="str">
        <f aca="false">IF($A562="","",IF(ISNUMBER($G561),$G561+1,1))</f>
        <v/>
      </c>
      <c r="H562" s="51" t="str">
        <f aca="false">IF(OR(NOT(ISNUMBER($G562)),$G562&lt;2,NOT(ISNUMBER($C561)),$C561=0),"",$C562/$C561-1)</f>
        <v/>
      </c>
      <c r="I562" s="52" t="str">
        <f aca="false">IF(AND(ISNUMBER($G562),$G562&gt;=MA_SHORT),AVERAGE(INDEX($C$162:$C562,402-MA_SHORT):$C562),"")</f>
        <v/>
      </c>
      <c r="J562" s="52" t="str">
        <f aca="false">IF(AND(ISNUMBER($G562),$G562&gt;=MA_MED),AVERAGE(INDEX($C$162:$C562,402-MA_MED):$C562),"")</f>
        <v/>
      </c>
      <c r="K562" s="52" t="str">
        <f aca="false">IF(AND(ISNUMBER($G562),$G562&gt;=MA_LONG2),AVERAGE(INDEX($C$162:$C562,402-MA_LONG2):$C562),"")</f>
        <v/>
      </c>
      <c r="L562" s="53" t="str">
        <f aca="false">IF(AND(ISNUMBER($G562),$G562&gt;=21),STDEV(INDEX($H$502:$H562,62-20):$H562)*SQRT(245),"")</f>
        <v/>
      </c>
      <c r="M562" s="52" t="str">
        <f aca="false">IF(AND(ISNUMBER($G562),$G562&gt;=60),MAX(INDEX($D$362:$D562,202-60):$D562),"")</f>
        <v/>
      </c>
      <c r="N562" s="52" t="str">
        <f aca="false">IF(AND(ISNUMBER($G562),$G562&gt;=60),MIN(INDEX($E$362:$E562,202-60):$E562),"")</f>
        <v/>
      </c>
      <c r="O562" s="53" t="str">
        <f aca="false">IF(OR(NOT(ISNUMBER($C562)),NOT(ISNUMBER($M562)),$M562=0),"",$C562/$M562-1)</f>
        <v/>
      </c>
      <c r="P562" s="54"/>
      <c r="Q562" s="53" t="str">
        <f aca="false">IF(NOT(ISNUMBER($P562)),"",IFERROR(PERCENTRANK($P$5:$P$1204,$P562),""))</f>
        <v/>
      </c>
    </row>
    <row r="563" customFormat="false" ht="15" hidden="false" customHeight="false" outlineLevel="0" collapsed="false">
      <c r="A563" s="55"/>
      <c r="B563" s="56"/>
      <c r="C563" s="57"/>
      <c r="D563" s="56"/>
      <c r="E563" s="56"/>
      <c r="F563" s="56"/>
      <c r="G563" s="50" t="str">
        <f aca="false">IF($A563="","",IF(ISNUMBER($G562),$G562+1,1))</f>
        <v/>
      </c>
      <c r="H563" s="51" t="str">
        <f aca="false">IF(OR(NOT(ISNUMBER($G563)),$G563&lt;2,NOT(ISNUMBER($C562)),$C562=0),"",$C563/$C562-1)</f>
        <v/>
      </c>
      <c r="I563" s="52" t="str">
        <f aca="false">IF(AND(ISNUMBER($G563),$G563&gt;=MA_SHORT),AVERAGE(INDEX($C$163:$C563,402-MA_SHORT):$C563),"")</f>
        <v/>
      </c>
      <c r="J563" s="52" t="str">
        <f aca="false">IF(AND(ISNUMBER($G563),$G563&gt;=MA_MED),AVERAGE(INDEX($C$163:$C563,402-MA_MED):$C563),"")</f>
        <v/>
      </c>
      <c r="K563" s="52" t="str">
        <f aca="false">IF(AND(ISNUMBER($G563),$G563&gt;=MA_LONG2),AVERAGE(INDEX($C$163:$C563,402-MA_LONG2):$C563),"")</f>
        <v/>
      </c>
      <c r="L563" s="53" t="str">
        <f aca="false">IF(AND(ISNUMBER($G563),$G563&gt;=21),STDEV(INDEX($H$503:$H563,62-20):$H563)*SQRT(245),"")</f>
        <v/>
      </c>
      <c r="M563" s="52" t="str">
        <f aca="false">IF(AND(ISNUMBER($G563),$G563&gt;=60),MAX(INDEX($D$363:$D563,202-60):$D563),"")</f>
        <v/>
      </c>
      <c r="N563" s="52" t="str">
        <f aca="false">IF(AND(ISNUMBER($G563),$G563&gt;=60),MIN(INDEX($E$363:$E563,202-60):$E563),"")</f>
        <v/>
      </c>
      <c r="O563" s="53" t="str">
        <f aca="false">IF(OR(NOT(ISNUMBER($C563)),NOT(ISNUMBER($M563)),$M563=0),"",$C563/$M563-1)</f>
        <v/>
      </c>
      <c r="P563" s="54"/>
      <c r="Q563" s="53" t="str">
        <f aca="false">IF(NOT(ISNUMBER($P563)),"",IFERROR(PERCENTRANK($P$5:$P$1204,$P563),""))</f>
        <v/>
      </c>
    </row>
    <row r="564" customFormat="false" ht="15" hidden="false" customHeight="false" outlineLevel="0" collapsed="false">
      <c r="A564" s="55"/>
      <c r="B564" s="56"/>
      <c r="C564" s="57"/>
      <c r="D564" s="56"/>
      <c r="E564" s="56"/>
      <c r="F564" s="56"/>
      <c r="G564" s="50" t="str">
        <f aca="false">IF($A564="","",IF(ISNUMBER($G563),$G563+1,1))</f>
        <v/>
      </c>
      <c r="H564" s="51" t="str">
        <f aca="false">IF(OR(NOT(ISNUMBER($G564)),$G564&lt;2,NOT(ISNUMBER($C563)),$C563=0),"",$C564/$C563-1)</f>
        <v/>
      </c>
      <c r="I564" s="52" t="str">
        <f aca="false">IF(AND(ISNUMBER($G564),$G564&gt;=MA_SHORT),AVERAGE(INDEX($C$164:$C564,402-MA_SHORT):$C564),"")</f>
        <v/>
      </c>
      <c r="J564" s="52" t="str">
        <f aca="false">IF(AND(ISNUMBER($G564),$G564&gt;=MA_MED),AVERAGE(INDEX($C$164:$C564,402-MA_MED):$C564),"")</f>
        <v/>
      </c>
      <c r="K564" s="52" t="str">
        <f aca="false">IF(AND(ISNUMBER($G564),$G564&gt;=MA_LONG2),AVERAGE(INDEX($C$164:$C564,402-MA_LONG2):$C564),"")</f>
        <v/>
      </c>
      <c r="L564" s="53" t="str">
        <f aca="false">IF(AND(ISNUMBER($G564),$G564&gt;=21),STDEV(INDEX($H$504:$H564,62-20):$H564)*SQRT(245),"")</f>
        <v/>
      </c>
      <c r="M564" s="52" t="str">
        <f aca="false">IF(AND(ISNUMBER($G564),$G564&gt;=60),MAX(INDEX($D$364:$D564,202-60):$D564),"")</f>
        <v/>
      </c>
      <c r="N564" s="52" t="str">
        <f aca="false">IF(AND(ISNUMBER($G564),$G564&gt;=60),MIN(INDEX($E$364:$E564,202-60):$E564),"")</f>
        <v/>
      </c>
      <c r="O564" s="53" t="str">
        <f aca="false">IF(OR(NOT(ISNUMBER($C564)),NOT(ISNUMBER($M564)),$M564=0),"",$C564/$M564-1)</f>
        <v/>
      </c>
      <c r="P564" s="54"/>
      <c r="Q564" s="53" t="str">
        <f aca="false">IF(NOT(ISNUMBER($P564)),"",IFERROR(PERCENTRANK($P$5:$P$1204,$P564),""))</f>
        <v/>
      </c>
    </row>
    <row r="565" customFormat="false" ht="15" hidden="false" customHeight="false" outlineLevel="0" collapsed="false">
      <c r="A565" s="55"/>
      <c r="B565" s="56"/>
      <c r="C565" s="57"/>
      <c r="D565" s="56"/>
      <c r="E565" s="56"/>
      <c r="F565" s="56"/>
      <c r="G565" s="50" t="str">
        <f aca="false">IF($A565="","",IF(ISNUMBER($G564),$G564+1,1))</f>
        <v/>
      </c>
      <c r="H565" s="51" t="str">
        <f aca="false">IF(OR(NOT(ISNUMBER($G565)),$G565&lt;2,NOT(ISNUMBER($C564)),$C564=0),"",$C565/$C564-1)</f>
        <v/>
      </c>
      <c r="I565" s="52" t="str">
        <f aca="false">IF(AND(ISNUMBER($G565),$G565&gt;=MA_SHORT),AVERAGE(INDEX($C$165:$C565,402-MA_SHORT):$C565),"")</f>
        <v/>
      </c>
      <c r="J565" s="52" t="str">
        <f aca="false">IF(AND(ISNUMBER($G565),$G565&gt;=MA_MED),AVERAGE(INDEX($C$165:$C565,402-MA_MED):$C565),"")</f>
        <v/>
      </c>
      <c r="K565" s="52" t="str">
        <f aca="false">IF(AND(ISNUMBER($G565),$G565&gt;=MA_LONG2),AVERAGE(INDEX($C$165:$C565,402-MA_LONG2):$C565),"")</f>
        <v/>
      </c>
      <c r="L565" s="53" t="str">
        <f aca="false">IF(AND(ISNUMBER($G565),$G565&gt;=21),STDEV(INDEX($H$505:$H565,62-20):$H565)*SQRT(245),"")</f>
        <v/>
      </c>
      <c r="M565" s="52" t="str">
        <f aca="false">IF(AND(ISNUMBER($G565),$G565&gt;=60),MAX(INDEX($D$365:$D565,202-60):$D565),"")</f>
        <v/>
      </c>
      <c r="N565" s="52" t="str">
        <f aca="false">IF(AND(ISNUMBER($G565),$G565&gt;=60),MIN(INDEX($E$365:$E565,202-60):$E565),"")</f>
        <v/>
      </c>
      <c r="O565" s="53" t="str">
        <f aca="false">IF(OR(NOT(ISNUMBER($C565)),NOT(ISNUMBER($M565)),$M565=0),"",$C565/$M565-1)</f>
        <v/>
      </c>
      <c r="P565" s="54"/>
      <c r="Q565" s="53" t="str">
        <f aca="false">IF(NOT(ISNUMBER($P565)),"",IFERROR(PERCENTRANK($P$5:$P$1204,$P565),""))</f>
        <v/>
      </c>
    </row>
    <row r="566" customFormat="false" ht="15" hidden="false" customHeight="false" outlineLevel="0" collapsed="false">
      <c r="A566" s="55"/>
      <c r="B566" s="56"/>
      <c r="C566" s="57"/>
      <c r="D566" s="56"/>
      <c r="E566" s="56"/>
      <c r="F566" s="56"/>
      <c r="G566" s="50" t="str">
        <f aca="false">IF($A566="","",IF(ISNUMBER($G565),$G565+1,1))</f>
        <v/>
      </c>
      <c r="H566" s="51" t="str">
        <f aca="false">IF(OR(NOT(ISNUMBER($G566)),$G566&lt;2,NOT(ISNUMBER($C565)),$C565=0),"",$C566/$C565-1)</f>
        <v/>
      </c>
      <c r="I566" s="52" t="str">
        <f aca="false">IF(AND(ISNUMBER($G566),$G566&gt;=MA_SHORT),AVERAGE(INDEX($C$166:$C566,402-MA_SHORT):$C566),"")</f>
        <v/>
      </c>
      <c r="J566" s="52" t="str">
        <f aca="false">IF(AND(ISNUMBER($G566),$G566&gt;=MA_MED),AVERAGE(INDEX($C$166:$C566,402-MA_MED):$C566),"")</f>
        <v/>
      </c>
      <c r="K566" s="52" t="str">
        <f aca="false">IF(AND(ISNUMBER($G566),$G566&gt;=MA_LONG2),AVERAGE(INDEX($C$166:$C566,402-MA_LONG2):$C566),"")</f>
        <v/>
      </c>
      <c r="L566" s="53" t="str">
        <f aca="false">IF(AND(ISNUMBER($G566),$G566&gt;=21),STDEV(INDEX($H$506:$H566,62-20):$H566)*SQRT(245),"")</f>
        <v/>
      </c>
      <c r="M566" s="52" t="str">
        <f aca="false">IF(AND(ISNUMBER($G566),$G566&gt;=60),MAX(INDEX($D$366:$D566,202-60):$D566),"")</f>
        <v/>
      </c>
      <c r="N566" s="52" t="str">
        <f aca="false">IF(AND(ISNUMBER($G566),$G566&gt;=60),MIN(INDEX($E$366:$E566,202-60):$E566),"")</f>
        <v/>
      </c>
      <c r="O566" s="53" t="str">
        <f aca="false">IF(OR(NOT(ISNUMBER($C566)),NOT(ISNUMBER($M566)),$M566=0),"",$C566/$M566-1)</f>
        <v/>
      </c>
      <c r="P566" s="54"/>
      <c r="Q566" s="53" t="str">
        <f aca="false">IF(NOT(ISNUMBER($P566)),"",IFERROR(PERCENTRANK($P$5:$P$1204,$P566),""))</f>
        <v/>
      </c>
    </row>
    <row r="567" customFormat="false" ht="15" hidden="false" customHeight="false" outlineLevel="0" collapsed="false">
      <c r="A567" s="55"/>
      <c r="B567" s="56"/>
      <c r="C567" s="57"/>
      <c r="D567" s="56"/>
      <c r="E567" s="56"/>
      <c r="F567" s="56"/>
      <c r="G567" s="50" t="str">
        <f aca="false">IF($A567="","",IF(ISNUMBER($G566),$G566+1,1))</f>
        <v/>
      </c>
      <c r="H567" s="51" t="str">
        <f aca="false">IF(OR(NOT(ISNUMBER($G567)),$G567&lt;2,NOT(ISNUMBER($C566)),$C566=0),"",$C567/$C566-1)</f>
        <v/>
      </c>
      <c r="I567" s="52" t="str">
        <f aca="false">IF(AND(ISNUMBER($G567),$G567&gt;=MA_SHORT),AVERAGE(INDEX($C$167:$C567,402-MA_SHORT):$C567),"")</f>
        <v/>
      </c>
      <c r="J567" s="52" t="str">
        <f aca="false">IF(AND(ISNUMBER($G567),$G567&gt;=MA_MED),AVERAGE(INDEX($C$167:$C567,402-MA_MED):$C567),"")</f>
        <v/>
      </c>
      <c r="K567" s="52" t="str">
        <f aca="false">IF(AND(ISNUMBER($G567),$G567&gt;=MA_LONG2),AVERAGE(INDEX($C$167:$C567,402-MA_LONG2):$C567),"")</f>
        <v/>
      </c>
      <c r="L567" s="53" t="str">
        <f aca="false">IF(AND(ISNUMBER($G567),$G567&gt;=21),STDEV(INDEX($H$507:$H567,62-20):$H567)*SQRT(245),"")</f>
        <v/>
      </c>
      <c r="M567" s="52" t="str">
        <f aca="false">IF(AND(ISNUMBER($G567),$G567&gt;=60),MAX(INDEX($D$367:$D567,202-60):$D567),"")</f>
        <v/>
      </c>
      <c r="N567" s="52" t="str">
        <f aca="false">IF(AND(ISNUMBER($G567),$G567&gt;=60),MIN(INDEX($E$367:$E567,202-60):$E567),"")</f>
        <v/>
      </c>
      <c r="O567" s="53" t="str">
        <f aca="false">IF(OR(NOT(ISNUMBER($C567)),NOT(ISNUMBER($M567)),$M567=0),"",$C567/$M567-1)</f>
        <v/>
      </c>
      <c r="P567" s="54"/>
      <c r="Q567" s="53" t="str">
        <f aca="false">IF(NOT(ISNUMBER($P567)),"",IFERROR(PERCENTRANK($P$5:$P$1204,$P567),""))</f>
        <v/>
      </c>
    </row>
    <row r="568" customFormat="false" ht="15" hidden="false" customHeight="false" outlineLevel="0" collapsed="false">
      <c r="A568" s="55"/>
      <c r="B568" s="56"/>
      <c r="C568" s="57"/>
      <c r="D568" s="56"/>
      <c r="E568" s="56"/>
      <c r="F568" s="56"/>
      <c r="G568" s="50" t="str">
        <f aca="false">IF($A568="","",IF(ISNUMBER($G567),$G567+1,1))</f>
        <v/>
      </c>
      <c r="H568" s="51" t="str">
        <f aca="false">IF(OR(NOT(ISNUMBER($G568)),$G568&lt;2,NOT(ISNUMBER($C567)),$C567=0),"",$C568/$C567-1)</f>
        <v/>
      </c>
      <c r="I568" s="52" t="str">
        <f aca="false">IF(AND(ISNUMBER($G568),$G568&gt;=MA_SHORT),AVERAGE(INDEX($C$168:$C568,402-MA_SHORT):$C568),"")</f>
        <v/>
      </c>
      <c r="J568" s="52" t="str">
        <f aca="false">IF(AND(ISNUMBER($G568),$G568&gt;=MA_MED),AVERAGE(INDEX($C$168:$C568,402-MA_MED):$C568),"")</f>
        <v/>
      </c>
      <c r="K568" s="52" t="str">
        <f aca="false">IF(AND(ISNUMBER($G568),$G568&gt;=MA_LONG2),AVERAGE(INDEX($C$168:$C568,402-MA_LONG2):$C568),"")</f>
        <v/>
      </c>
      <c r="L568" s="53" t="str">
        <f aca="false">IF(AND(ISNUMBER($G568),$G568&gt;=21),STDEV(INDEX($H$508:$H568,62-20):$H568)*SQRT(245),"")</f>
        <v/>
      </c>
      <c r="M568" s="52" t="str">
        <f aca="false">IF(AND(ISNUMBER($G568),$G568&gt;=60),MAX(INDEX($D$368:$D568,202-60):$D568),"")</f>
        <v/>
      </c>
      <c r="N568" s="52" t="str">
        <f aca="false">IF(AND(ISNUMBER($G568),$G568&gt;=60),MIN(INDEX($E$368:$E568,202-60):$E568),"")</f>
        <v/>
      </c>
      <c r="O568" s="53" t="str">
        <f aca="false">IF(OR(NOT(ISNUMBER($C568)),NOT(ISNUMBER($M568)),$M568=0),"",$C568/$M568-1)</f>
        <v/>
      </c>
      <c r="P568" s="54"/>
      <c r="Q568" s="53" t="str">
        <f aca="false">IF(NOT(ISNUMBER($P568)),"",IFERROR(PERCENTRANK($P$5:$P$1204,$P568),""))</f>
        <v/>
      </c>
    </row>
    <row r="569" customFormat="false" ht="15" hidden="false" customHeight="false" outlineLevel="0" collapsed="false">
      <c r="A569" s="55"/>
      <c r="B569" s="56"/>
      <c r="C569" s="57"/>
      <c r="D569" s="56"/>
      <c r="E569" s="56"/>
      <c r="F569" s="56"/>
      <c r="G569" s="50" t="str">
        <f aca="false">IF($A569="","",IF(ISNUMBER($G568),$G568+1,1))</f>
        <v/>
      </c>
      <c r="H569" s="51" t="str">
        <f aca="false">IF(OR(NOT(ISNUMBER($G569)),$G569&lt;2,NOT(ISNUMBER($C568)),$C568=0),"",$C569/$C568-1)</f>
        <v/>
      </c>
      <c r="I569" s="52" t="str">
        <f aca="false">IF(AND(ISNUMBER($G569),$G569&gt;=MA_SHORT),AVERAGE(INDEX($C$169:$C569,402-MA_SHORT):$C569),"")</f>
        <v/>
      </c>
      <c r="J569" s="52" t="str">
        <f aca="false">IF(AND(ISNUMBER($G569),$G569&gt;=MA_MED),AVERAGE(INDEX($C$169:$C569,402-MA_MED):$C569),"")</f>
        <v/>
      </c>
      <c r="K569" s="52" t="str">
        <f aca="false">IF(AND(ISNUMBER($G569),$G569&gt;=MA_LONG2),AVERAGE(INDEX($C$169:$C569,402-MA_LONG2):$C569),"")</f>
        <v/>
      </c>
      <c r="L569" s="53" t="str">
        <f aca="false">IF(AND(ISNUMBER($G569),$G569&gt;=21),STDEV(INDEX($H$509:$H569,62-20):$H569)*SQRT(245),"")</f>
        <v/>
      </c>
      <c r="M569" s="52" t="str">
        <f aca="false">IF(AND(ISNUMBER($G569),$G569&gt;=60),MAX(INDEX($D$369:$D569,202-60):$D569),"")</f>
        <v/>
      </c>
      <c r="N569" s="52" t="str">
        <f aca="false">IF(AND(ISNUMBER($G569),$G569&gt;=60),MIN(INDEX($E$369:$E569,202-60):$E569),"")</f>
        <v/>
      </c>
      <c r="O569" s="53" t="str">
        <f aca="false">IF(OR(NOT(ISNUMBER($C569)),NOT(ISNUMBER($M569)),$M569=0),"",$C569/$M569-1)</f>
        <v/>
      </c>
      <c r="P569" s="54"/>
      <c r="Q569" s="53" t="str">
        <f aca="false">IF(NOT(ISNUMBER($P569)),"",IFERROR(PERCENTRANK($P$5:$P$1204,$P569),""))</f>
        <v/>
      </c>
    </row>
    <row r="570" customFormat="false" ht="15" hidden="false" customHeight="false" outlineLevel="0" collapsed="false">
      <c r="A570" s="55"/>
      <c r="B570" s="56"/>
      <c r="C570" s="57"/>
      <c r="D570" s="56"/>
      <c r="E570" s="56"/>
      <c r="F570" s="56"/>
      <c r="G570" s="50" t="str">
        <f aca="false">IF($A570="","",IF(ISNUMBER($G569),$G569+1,1))</f>
        <v/>
      </c>
      <c r="H570" s="51" t="str">
        <f aca="false">IF(OR(NOT(ISNUMBER($G570)),$G570&lt;2,NOT(ISNUMBER($C569)),$C569=0),"",$C570/$C569-1)</f>
        <v/>
      </c>
      <c r="I570" s="52" t="str">
        <f aca="false">IF(AND(ISNUMBER($G570),$G570&gt;=MA_SHORT),AVERAGE(INDEX($C$170:$C570,402-MA_SHORT):$C570),"")</f>
        <v/>
      </c>
      <c r="J570" s="52" t="str">
        <f aca="false">IF(AND(ISNUMBER($G570),$G570&gt;=MA_MED),AVERAGE(INDEX($C$170:$C570,402-MA_MED):$C570),"")</f>
        <v/>
      </c>
      <c r="K570" s="52" t="str">
        <f aca="false">IF(AND(ISNUMBER($G570),$G570&gt;=MA_LONG2),AVERAGE(INDEX($C$170:$C570,402-MA_LONG2):$C570),"")</f>
        <v/>
      </c>
      <c r="L570" s="53" t="str">
        <f aca="false">IF(AND(ISNUMBER($G570),$G570&gt;=21),STDEV(INDEX($H$510:$H570,62-20):$H570)*SQRT(245),"")</f>
        <v/>
      </c>
      <c r="M570" s="52" t="str">
        <f aca="false">IF(AND(ISNUMBER($G570),$G570&gt;=60),MAX(INDEX($D$370:$D570,202-60):$D570),"")</f>
        <v/>
      </c>
      <c r="N570" s="52" t="str">
        <f aca="false">IF(AND(ISNUMBER($G570),$G570&gt;=60),MIN(INDEX($E$370:$E570,202-60):$E570),"")</f>
        <v/>
      </c>
      <c r="O570" s="53" t="str">
        <f aca="false">IF(OR(NOT(ISNUMBER($C570)),NOT(ISNUMBER($M570)),$M570=0),"",$C570/$M570-1)</f>
        <v/>
      </c>
      <c r="P570" s="54"/>
      <c r="Q570" s="53" t="str">
        <f aca="false">IF(NOT(ISNUMBER($P570)),"",IFERROR(PERCENTRANK($P$5:$P$1204,$P570),""))</f>
        <v/>
      </c>
    </row>
    <row r="571" customFormat="false" ht="15" hidden="false" customHeight="false" outlineLevel="0" collapsed="false">
      <c r="A571" s="55"/>
      <c r="B571" s="56"/>
      <c r="C571" s="57"/>
      <c r="D571" s="56"/>
      <c r="E571" s="56"/>
      <c r="F571" s="56"/>
      <c r="G571" s="50" t="str">
        <f aca="false">IF($A571="","",IF(ISNUMBER($G570),$G570+1,1))</f>
        <v/>
      </c>
      <c r="H571" s="51" t="str">
        <f aca="false">IF(OR(NOT(ISNUMBER($G571)),$G571&lt;2,NOT(ISNUMBER($C570)),$C570=0),"",$C571/$C570-1)</f>
        <v/>
      </c>
      <c r="I571" s="52" t="str">
        <f aca="false">IF(AND(ISNUMBER($G571),$G571&gt;=MA_SHORT),AVERAGE(INDEX($C$171:$C571,402-MA_SHORT):$C571),"")</f>
        <v/>
      </c>
      <c r="J571" s="52" t="str">
        <f aca="false">IF(AND(ISNUMBER($G571),$G571&gt;=MA_MED),AVERAGE(INDEX($C$171:$C571,402-MA_MED):$C571),"")</f>
        <v/>
      </c>
      <c r="K571" s="52" t="str">
        <f aca="false">IF(AND(ISNUMBER($G571),$G571&gt;=MA_LONG2),AVERAGE(INDEX($C$171:$C571,402-MA_LONG2):$C571),"")</f>
        <v/>
      </c>
      <c r="L571" s="53" t="str">
        <f aca="false">IF(AND(ISNUMBER($G571),$G571&gt;=21),STDEV(INDEX($H$511:$H571,62-20):$H571)*SQRT(245),"")</f>
        <v/>
      </c>
      <c r="M571" s="52" t="str">
        <f aca="false">IF(AND(ISNUMBER($G571),$G571&gt;=60),MAX(INDEX($D$371:$D571,202-60):$D571),"")</f>
        <v/>
      </c>
      <c r="N571" s="52" t="str">
        <f aca="false">IF(AND(ISNUMBER($G571),$G571&gt;=60),MIN(INDEX($E$371:$E571,202-60):$E571),"")</f>
        <v/>
      </c>
      <c r="O571" s="53" t="str">
        <f aca="false">IF(OR(NOT(ISNUMBER($C571)),NOT(ISNUMBER($M571)),$M571=0),"",$C571/$M571-1)</f>
        <v/>
      </c>
      <c r="P571" s="54"/>
      <c r="Q571" s="53" t="str">
        <f aca="false">IF(NOT(ISNUMBER($P571)),"",IFERROR(PERCENTRANK($P$5:$P$1204,$P571),""))</f>
        <v/>
      </c>
    </row>
    <row r="572" customFormat="false" ht="15" hidden="false" customHeight="false" outlineLevel="0" collapsed="false">
      <c r="A572" s="55"/>
      <c r="B572" s="56"/>
      <c r="C572" s="57"/>
      <c r="D572" s="56"/>
      <c r="E572" s="56"/>
      <c r="F572" s="56"/>
      <c r="G572" s="50" t="str">
        <f aca="false">IF($A572="","",IF(ISNUMBER($G571),$G571+1,1))</f>
        <v/>
      </c>
      <c r="H572" s="51" t="str">
        <f aca="false">IF(OR(NOT(ISNUMBER($G572)),$G572&lt;2,NOT(ISNUMBER($C571)),$C571=0),"",$C572/$C571-1)</f>
        <v/>
      </c>
      <c r="I572" s="52" t="str">
        <f aca="false">IF(AND(ISNUMBER($G572),$G572&gt;=MA_SHORT),AVERAGE(INDEX($C$172:$C572,402-MA_SHORT):$C572),"")</f>
        <v/>
      </c>
      <c r="J572" s="52" t="str">
        <f aca="false">IF(AND(ISNUMBER($G572),$G572&gt;=MA_MED),AVERAGE(INDEX($C$172:$C572,402-MA_MED):$C572),"")</f>
        <v/>
      </c>
      <c r="K572" s="52" t="str">
        <f aca="false">IF(AND(ISNUMBER($G572),$G572&gt;=MA_LONG2),AVERAGE(INDEX($C$172:$C572,402-MA_LONG2):$C572),"")</f>
        <v/>
      </c>
      <c r="L572" s="53" t="str">
        <f aca="false">IF(AND(ISNUMBER($G572),$G572&gt;=21),STDEV(INDEX($H$512:$H572,62-20):$H572)*SQRT(245),"")</f>
        <v/>
      </c>
      <c r="M572" s="52" t="str">
        <f aca="false">IF(AND(ISNUMBER($G572),$G572&gt;=60),MAX(INDEX($D$372:$D572,202-60):$D572),"")</f>
        <v/>
      </c>
      <c r="N572" s="52" t="str">
        <f aca="false">IF(AND(ISNUMBER($G572),$G572&gt;=60),MIN(INDEX($E$372:$E572,202-60):$E572),"")</f>
        <v/>
      </c>
      <c r="O572" s="53" t="str">
        <f aca="false">IF(OR(NOT(ISNUMBER($C572)),NOT(ISNUMBER($M572)),$M572=0),"",$C572/$M572-1)</f>
        <v/>
      </c>
      <c r="P572" s="54"/>
      <c r="Q572" s="53" t="str">
        <f aca="false">IF(NOT(ISNUMBER($P572)),"",IFERROR(PERCENTRANK($P$5:$P$1204,$P572),""))</f>
        <v/>
      </c>
    </row>
    <row r="573" customFormat="false" ht="15" hidden="false" customHeight="false" outlineLevel="0" collapsed="false">
      <c r="A573" s="55"/>
      <c r="B573" s="56"/>
      <c r="C573" s="57"/>
      <c r="D573" s="56"/>
      <c r="E573" s="56"/>
      <c r="F573" s="56"/>
      <c r="G573" s="50" t="str">
        <f aca="false">IF($A573="","",IF(ISNUMBER($G572),$G572+1,1))</f>
        <v/>
      </c>
      <c r="H573" s="51" t="str">
        <f aca="false">IF(OR(NOT(ISNUMBER($G573)),$G573&lt;2,NOT(ISNUMBER($C572)),$C572=0),"",$C573/$C572-1)</f>
        <v/>
      </c>
      <c r="I573" s="52" t="str">
        <f aca="false">IF(AND(ISNUMBER($G573),$G573&gt;=MA_SHORT),AVERAGE(INDEX($C$173:$C573,402-MA_SHORT):$C573),"")</f>
        <v/>
      </c>
      <c r="J573" s="52" t="str">
        <f aca="false">IF(AND(ISNUMBER($G573),$G573&gt;=MA_MED),AVERAGE(INDEX($C$173:$C573,402-MA_MED):$C573),"")</f>
        <v/>
      </c>
      <c r="K573" s="52" t="str">
        <f aca="false">IF(AND(ISNUMBER($G573),$G573&gt;=MA_LONG2),AVERAGE(INDEX($C$173:$C573,402-MA_LONG2):$C573),"")</f>
        <v/>
      </c>
      <c r="L573" s="53" t="str">
        <f aca="false">IF(AND(ISNUMBER($G573),$G573&gt;=21),STDEV(INDEX($H$513:$H573,62-20):$H573)*SQRT(245),"")</f>
        <v/>
      </c>
      <c r="M573" s="52" t="str">
        <f aca="false">IF(AND(ISNUMBER($G573),$G573&gt;=60),MAX(INDEX($D$373:$D573,202-60):$D573),"")</f>
        <v/>
      </c>
      <c r="N573" s="52" t="str">
        <f aca="false">IF(AND(ISNUMBER($G573),$G573&gt;=60),MIN(INDEX($E$373:$E573,202-60):$E573),"")</f>
        <v/>
      </c>
      <c r="O573" s="53" t="str">
        <f aca="false">IF(OR(NOT(ISNUMBER($C573)),NOT(ISNUMBER($M573)),$M573=0),"",$C573/$M573-1)</f>
        <v/>
      </c>
      <c r="P573" s="54"/>
      <c r="Q573" s="53" t="str">
        <f aca="false">IF(NOT(ISNUMBER($P573)),"",IFERROR(PERCENTRANK($P$5:$P$1204,$P573),""))</f>
        <v/>
      </c>
    </row>
    <row r="574" customFormat="false" ht="15" hidden="false" customHeight="false" outlineLevel="0" collapsed="false">
      <c r="A574" s="55"/>
      <c r="B574" s="56"/>
      <c r="C574" s="57"/>
      <c r="D574" s="56"/>
      <c r="E574" s="56"/>
      <c r="F574" s="56"/>
      <c r="G574" s="50" t="str">
        <f aca="false">IF($A574="","",IF(ISNUMBER($G573),$G573+1,1))</f>
        <v/>
      </c>
      <c r="H574" s="51" t="str">
        <f aca="false">IF(OR(NOT(ISNUMBER($G574)),$G574&lt;2,NOT(ISNUMBER($C573)),$C573=0),"",$C574/$C573-1)</f>
        <v/>
      </c>
      <c r="I574" s="52" t="str">
        <f aca="false">IF(AND(ISNUMBER($G574),$G574&gt;=MA_SHORT),AVERAGE(INDEX($C$174:$C574,402-MA_SHORT):$C574),"")</f>
        <v/>
      </c>
      <c r="J574" s="52" t="str">
        <f aca="false">IF(AND(ISNUMBER($G574),$G574&gt;=MA_MED),AVERAGE(INDEX($C$174:$C574,402-MA_MED):$C574),"")</f>
        <v/>
      </c>
      <c r="K574" s="52" t="str">
        <f aca="false">IF(AND(ISNUMBER($G574),$G574&gt;=MA_LONG2),AVERAGE(INDEX($C$174:$C574,402-MA_LONG2):$C574),"")</f>
        <v/>
      </c>
      <c r="L574" s="53" t="str">
        <f aca="false">IF(AND(ISNUMBER($G574),$G574&gt;=21),STDEV(INDEX($H$514:$H574,62-20):$H574)*SQRT(245),"")</f>
        <v/>
      </c>
      <c r="M574" s="52" t="str">
        <f aca="false">IF(AND(ISNUMBER($G574),$G574&gt;=60),MAX(INDEX($D$374:$D574,202-60):$D574),"")</f>
        <v/>
      </c>
      <c r="N574" s="52" t="str">
        <f aca="false">IF(AND(ISNUMBER($G574),$G574&gt;=60),MIN(INDEX($E$374:$E574,202-60):$E574),"")</f>
        <v/>
      </c>
      <c r="O574" s="53" t="str">
        <f aca="false">IF(OR(NOT(ISNUMBER($C574)),NOT(ISNUMBER($M574)),$M574=0),"",$C574/$M574-1)</f>
        <v/>
      </c>
      <c r="P574" s="54"/>
      <c r="Q574" s="53" t="str">
        <f aca="false">IF(NOT(ISNUMBER($P574)),"",IFERROR(PERCENTRANK($P$5:$P$1204,$P574),""))</f>
        <v/>
      </c>
    </row>
    <row r="575" customFormat="false" ht="15" hidden="false" customHeight="false" outlineLevel="0" collapsed="false">
      <c r="A575" s="55"/>
      <c r="B575" s="56"/>
      <c r="C575" s="57"/>
      <c r="D575" s="56"/>
      <c r="E575" s="56"/>
      <c r="F575" s="56"/>
      <c r="G575" s="50" t="str">
        <f aca="false">IF($A575="","",IF(ISNUMBER($G574),$G574+1,1))</f>
        <v/>
      </c>
      <c r="H575" s="51" t="str">
        <f aca="false">IF(OR(NOT(ISNUMBER($G575)),$G575&lt;2,NOT(ISNUMBER($C574)),$C574=0),"",$C575/$C574-1)</f>
        <v/>
      </c>
      <c r="I575" s="52" t="str">
        <f aca="false">IF(AND(ISNUMBER($G575),$G575&gt;=MA_SHORT),AVERAGE(INDEX($C$175:$C575,402-MA_SHORT):$C575),"")</f>
        <v/>
      </c>
      <c r="J575" s="52" t="str">
        <f aca="false">IF(AND(ISNUMBER($G575),$G575&gt;=MA_MED),AVERAGE(INDEX($C$175:$C575,402-MA_MED):$C575),"")</f>
        <v/>
      </c>
      <c r="K575" s="52" t="str">
        <f aca="false">IF(AND(ISNUMBER($G575),$G575&gt;=MA_LONG2),AVERAGE(INDEX($C$175:$C575,402-MA_LONG2):$C575),"")</f>
        <v/>
      </c>
      <c r="L575" s="53" t="str">
        <f aca="false">IF(AND(ISNUMBER($G575),$G575&gt;=21),STDEV(INDEX($H$515:$H575,62-20):$H575)*SQRT(245),"")</f>
        <v/>
      </c>
      <c r="M575" s="52" t="str">
        <f aca="false">IF(AND(ISNUMBER($G575),$G575&gt;=60),MAX(INDEX($D$375:$D575,202-60):$D575),"")</f>
        <v/>
      </c>
      <c r="N575" s="52" t="str">
        <f aca="false">IF(AND(ISNUMBER($G575),$G575&gt;=60),MIN(INDEX($E$375:$E575,202-60):$E575),"")</f>
        <v/>
      </c>
      <c r="O575" s="53" t="str">
        <f aca="false">IF(OR(NOT(ISNUMBER($C575)),NOT(ISNUMBER($M575)),$M575=0),"",$C575/$M575-1)</f>
        <v/>
      </c>
      <c r="P575" s="54"/>
      <c r="Q575" s="53" t="str">
        <f aca="false">IF(NOT(ISNUMBER($P575)),"",IFERROR(PERCENTRANK($P$5:$P$1204,$P575),""))</f>
        <v/>
      </c>
    </row>
    <row r="576" customFormat="false" ht="15" hidden="false" customHeight="false" outlineLevel="0" collapsed="false">
      <c r="A576" s="55"/>
      <c r="B576" s="56"/>
      <c r="C576" s="57"/>
      <c r="D576" s="56"/>
      <c r="E576" s="56"/>
      <c r="F576" s="56"/>
      <c r="G576" s="50" t="str">
        <f aca="false">IF($A576="","",IF(ISNUMBER($G575),$G575+1,1))</f>
        <v/>
      </c>
      <c r="H576" s="51" t="str">
        <f aca="false">IF(OR(NOT(ISNUMBER($G576)),$G576&lt;2,NOT(ISNUMBER($C575)),$C575=0),"",$C576/$C575-1)</f>
        <v/>
      </c>
      <c r="I576" s="52" t="str">
        <f aca="false">IF(AND(ISNUMBER($G576),$G576&gt;=MA_SHORT),AVERAGE(INDEX($C$176:$C576,402-MA_SHORT):$C576),"")</f>
        <v/>
      </c>
      <c r="J576" s="52" t="str">
        <f aca="false">IF(AND(ISNUMBER($G576),$G576&gt;=MA_MED),AVERAGE(INDEX($C$176:$C576,402-MA_MED):$C576),"")</f>
        <v/>
      </c>
      <c r="K576" s="52" t="str">
        <f aca="false">IF(AND(ISNUMBER($G576),$G576&gt;=MA_LONG2),AVERAGE(INDEX($C$176:$C576,402-MA_LONG2):$C576),"")</f>
        <v/>
      </c>
      <c r="L576" s="53" t="str">
        <f aca="false">IF(AND(ISNUMBER($G576),$G576&gt;=21),STDEV(INDEX($H$516:$H576,62-20):$H576)*SQRT(245),"")</f>
        <v/>
      </c>
      <c r="M576" s="52" t="str">
        <f aca="false">IF(AND(ISNUMBER($G576),$G576&gt;=60),MAX(INDEX($D$376:$D576,202-60):$D576),"")</f>
        <v/>
      </c>
      <c r="N576" s="52" t="str">
        <f aca="false">IF(AND(ISNUMBER($G576),$G576&gt;=60),MIN(INDEX($E$376:$E576,202-60):$E576),"")</f>
        <v/>
      </c>
      <c r="O576" s="53" t="str">
        <f aca="false">IF(OR(NOT(ISNUMBER($C576)),NOT(ISNUMBER($M576)),$M576=0),"",$C576/$M576-1)</f>
        <v/>
      </c>
      <c r="P576" s="54"/>
      <c r="Q576" s="53" t="str">
        <f aca="false">IF(NOT(ISNUMBER($P576)),"",IFERROR(PERCENTRANK($P$5:$P$1204,$P576),""))</f>
        <v/>
      </c>
    </row>
    <row r="577" customFormat="false" ht="15" hidden="false" customHeight="false" outlineLevel="0" collapsed="false">
      <c r="A577" s="55"/>
      <c r="B577" s="56"/>
      <c r="C577" s="57"/>
      <c r="D577" s="56"/>
      <c r="E577" s="56"/>
      <c r="F577" s="56"/>
      <c r="G577" s="50" t="str">
        <f aca="false">IF($A577="","",IF(ISNUMBER($G576),$G576+1,1))</f>
        <v/>
      </c>
      <c r="H577" s="51" t="str">
        <f aca="false">IF(OR(NOT(ISNUMBER($G577)),$G577&lt;2,NOT(ISNUMBER($C576)),$C576=0),"",$C577/$C576-1)</f>
        <v/>
      </c>
      <c r="I577" s="52" t="str">
        <f aca="false">IF(AND(ISNUMBER($G577),$G577&gt;=MA_SHORT),AVERAGE(INDEX($C$177:$C577,402-MA_SHORT):$C577),"")</f>
        <v/>
      </c>
      <c r="J577" s="52" t="str">
        <f aca="false">IF(AND(ISNUMBER($G577),$G577&gt;=MA_MED),AVERAGE(INDEX($C$177:$C577,402-MA_MED):$C577),"")</f>
        <v/>
      </c>
      <c r="K577" s="52" t="str">
        <f aca="false">IF(AND(ISNUMBER($G577),$G577&gt;=MA_LONG2),AVERAGE(INDEX($C$177:$C577,402-MA_LONG2):$C577),"")</f>
        <v/>
      </c>
      <c r="L577" s="53" t="str">
        <f aca="false">IF(AND(ISNUMBER($G577),$G577&gt;=21),STDEV(INDEX($H$517:$H577,62-20):$H577)*SQRT(245),"")</f>
        <v/>
      </c>
      <c r="M577" s="52" t="str">
        <f aca="false">IF(AND(ISNUMBER($G577),$G577&gt;=60),MAX(INDEX($D$377:$D577,202-60):$D577),"")</f>
        <v/>
      </c>
      <c r="N577" s="52" t="str">
        <f aca="false">IF(AND(ISNUMBER($G577),$G577&gt;=60),MIN(INDEX($E$377:$E577,202-60):$E577),"")</f>
        <v/>
      </c>
      <c r="O577" s="53" t="str">
        <f aca="false">IF(OR(NOT(ISNUMBER($C577)),NOT(ISNUMBER($M577)),$M577=0),"",$C577/$M577-1)</f>
        <v/>
      </c>
      <c r="P577" s="54"/>
      <c r="Q577" s="53" t="str">
        <f aca="false">IF(NOT(ISNUMBER($P577)),"",IFERROR(PERCENTRANK($P$5:$P$1204,$P577),""))</f>
        <v/>
      </c>
    </row>
    <row r="578" customFormat="false" ht="15" hidden="false" customHeight="false" outlineLevel="0" collapsed="false">
      <c r="A578" s="55"/>
      <c r="B578" s="56"/>
      <c r="C578" s="57"/>
      <c r="D578" s="56"/>
      <c r="E578" s="56"/>
      <c r="F578" s="56"/>
      <c r="G578" s="50" t="str">
        <f aca="false">IF($A578="","",IF(ISNUMBER($G577),$G577+1,1))</f>
        <v/>
      </c>
      <c r="H578" s="51" t="str">
        <f aca="false">IF(OR(NOT(ISNUMBER($G578)),$G578&lt;2,NOT(ISNUMBER($C577)),$C577=0),"",$C578/$C577-1)</f>
        <v/>
      </c>
      <c r="I578" s="52" t="str">
        <f aca="false">IF(AND(ISNUMBER($G578),$G578&gt;=MA_SHORT),AVERAGE(INDEX($C$178:$C578,402-MA_SHORT):$C578),"")</f>
        <v/>
      </c>
      <c r="J578" s="52" t="str">
        <f aca="false">IF(AND(ISNUMBER($G578),$G578&gt;=MA_MED),AVERAGE(INDEX($C$178:$C578,402-MA_MED):$C578),"")</f>
        <v/>
      </c>
      <c r="K578" s="52" t="str">
        <f aca="false">IF(AND(ISNUMBER($G578),$G578&gt;=MA_LONG2),AVERAGE(INDEX($C$178:$C578,402-MA_LONG2):$C578),"")</f>
        <v/>
      </c>
      <c r="L578" s="53" t="str">
        <f aca="false">IF(AND(ISNUMBER($G578),$G578&gt;=21),STDEV(INDEX($H$518:$H578,62-20):$H578)*SQRT(245),"")</f>
        <v/>
      </c>
      <c r="M578" s="52" t="str">
        <f aca="false">IF(AND(ISNUMBER($G578),$G578&gt;=60),MAX(INDEX($D$378:$D578,202-60):$D578),"")</f>
        <v/>
      </c>
      <c r="N578" s="52" t="str">
        <f aca="false">IF(AND(ISNUMBER($G578),$G578&gt;=60),MIN(INDEX($E$378:$E578,202-60):$E578),"")</f>
        <v/>
      </c>
      <c r="O578" s="53" t="str">
        <f aca="false">IF(OR(NOT(ISNUMBER($C578)),NOT(ISNUMBER($M578)),$M578=0),"",$C578/$M578-1)</f>
        <v/>
      </c>
      <c r="P578" s="54"/>
      <c r="Q578" s="53" t="str">
        <f aca="false">IF(NOT(ISNUMBER($P578)),"",IFERROR(PERCENTRANK($P$5:$P$1204,$P578),""))</f>
        <v/>
      </c>
    </row>
    <row r="579" customFormat="false" ht="15" hidden="false" customHeight="false" outlineLevel="0" collapsed="false">
      <c r="A579" s="55"/>
      <c r="B579" s="56"/>
      <c r="C579" s="57"/>
      <c r="D579" s="56"/>
      <c r="E579" s="56"/>
      <c r="F579" s="56"/>
      <c r="G579" s="50" t="str">
        <f aca="false">IF($A579="","",IF(ISNUMBER($G578),$G578+1,1))</f>
        <v/>
      </c>
      <c r="H579" s="51" t="str">
        <f aca="false">IF(OR(NOT(ISNUMBER($G579)),$G579&lt;2,NOT(ISNUMBER($C578)),$C578=0),"",$C579/$C578-1)</f>
        <v/>
      </c>
      <c r="I579" s="52" t="str">
        <f aca="false">IF(AND(ISNUMBER($G579),$G579&gt;=MA_SHORT),AVERAGE(INDEX($C$179:$C579,402-MA_SHORT):$C579),"")</f>
        <v/>
      </c>
      <c r="J579" s="52" t="str">
        <f aca="false">IF(AND(ISNUMBER($G579),$G579&gt;=MA_MED),AVERAGE(INDEX($C$179:$C579,402-MA_MED):$C579),"")</f>
        <v/>
      </c>
      <c r="K579" s="52" t="str">
        <f aca="false">IF(AND(ISNUMBER($G579),$G579&gt;=MA_LONG2),AVERAGE(INDEX($C$179:$C579,402-MA_LONG2):$C579),"")</f>
        <v/>
      </c>
      <c r="L579" s="53" t="str">
        <f aca="false">IF(AND(ISNUMBER($G579),$G579&gt;=21),STDEV(INDEX($H$519:$H579,62-20):$H579)*SQRT(245),"")</f>
        <v/>
      </c>
      <c r="M579" s="52" t="str">
        <f aca="false">IF(AND(ISNUMBER($G579),$G579&gt;=60),MAX(INDEX($D$379:$D579,202-60):$D579),"")</f>
        <v/>
      </c>
      <c r="N579" s="52" t="str">
        <f aca="false">IF(AND(ISNUMBER($G579),$G579&gt;=60),MIN(INDEX($E$379:$E579,202-60):$E579),"")</f>
        <v/>
      </c>
      <c r="O579" s="53" t="str">
        <f aca="false">IF(OR(NOT(ISNUMBER($C579)),NOT(ISNUMBER($M579)),$M579=0),"",$C579/$M579-1)</f>
        <v/>
      </c>
      <c r="P579" s="54"/>
      <c r="Q579" s="53" t="str">
        <f aca="false">IF(NOT(ISNUMBER($P579)),"",IFERROR(PERCENTRANK($P$5:$P$1204,$P579),""))</f>
        <v/>
      </c>
    </row>
    <row r="580" customFormat="false" ht="15" hidden="false" customHeight="false" outlineLevel="0" collapsed="false">
      <c r="A580" s="55"/>
      <c r="B580" s="56"/>
      <c r="C580" s="57"/>
      <c r="D580" s="56"/>
      <c r="E580" s="56"/>
      <c r="F580" s="56"/>
      <c r="G580" s="50" t="str">
        <f aca="false">IF($A580="","",IF(ISNUMBER($G579),$G579+1,1))</f>
        <v/>
      </c>
      <c r="H580" s="51" t="str">
        <f aca="false">IF(OR(NOT(ISNUMBER($G580)),$G580&lt;2,NOT(ISNUMBER($C579)),$C579=0),"",$C580/$C579-1)</f>
        <v/>
      </c>
      <c r="I580" s="52" t="str">
        <f aca="false">IF(AND(ISNUMBER($G580),$G580&gt;=MA_SHORT),AVERAGE(INDEX($C$180:$C580,402-MA_SHORT):$C580),"")</f>
        <v/>
      </c>
      <c r="J580" s="52" t="str">
        <f aca="false">IF(AND(ISNUMBER($G580),$G580&gt;=MA_MED),AVERAGE(INDEX($C$180:$C580,402-MA_MED):$C580),"")</f>
        <v/>
      </c>
      <c r="K580" s="52" t="str">
        <f aca="false">IF(AND(ISNUMBER($G580),$G580&gt;=MA_LONG2),AVERAGE(INDEX($C$180:$C580,402-MA_LONG2):$C580),"")</f>
        <v/>
      </c>
      <c r="L580" s="53" t="str">
        <f aca="false">IF(AND(ISNUMBER($G580),$G580&gt;=21),STDEV(INDEX($H$520:$H580,62-20):$H580)*SQRT(245),"")</f>
        <v/>
      </c>
      <c r="M580" s="52" t="str">
        <f aca="false">IF(AND(ISNUMBER($G580),$G580&gt;=60),MAX(INDEX($D$380:$D580,202-60):$D580),"")</f>
        <v/>
      </c>
      <c r="N580" s="52" t="str">
        <f aca="false">IF(AND(ISNUMBER($G580),$G580&gt;=60),MIN(INDEX($E$380:$E580,202-60):$E580),"")</f>
        <v/>
      </c>
      <c r="O580" s="53" t="str">
        <f aca="false">IF(OR(NOT(ISNUMBER($C580)),NOT(ISNUMBER($M580)),$M580=0),"",$C580/$M580-1)</f>
        <v/>
      </c>
      <c r="P580" s="54"/>
      <c r="Q580" s="53" t="str">
        <f aca="false">IF(NOT(ISNUMBER($P580)),"",IFERROR(PERCENTRANK($P$5:$P$1204,$P580),""))</f>
        <v/>
      </c>
    </row>
    <row r="581" customFormat="false" ht="15" hidden="false" customHeight="false" outlineLevel="0" collapsed="false">
      <c r="A581" s="55"/>
      <c r="B581" s="56"/>
      <c r="C581" s="57"/>
      <c r="D581" s="56"/>
      <c r="E581" s="56"/>
      <c r="F581" s="56"/>
      <c r="G581" s="50" t="str">
        <f aca="false">IF($A581="","",IF(ISNUMBER($G580),$G580+1,1))</f>
        <v/>
      </c>
      <c r="H581" s="51" t="str">
        <f aca="false">IF(OR(NOT(ISNUMBER($G581)),$G581&lt;2,NOT(ISNUMBER($C580)),$C580=0),"",$C581/$C580-1)</f>
        <v/>
      </c>
      <c r="I581" s="52" t="str">
        <f aca="false">IF(AND(ISNUMBER($G581),$G581&gt;=MA_SHORT),AVERAGE(INDEX($C$181:$C581,402-MA_SHORT):$C581),"")</f>
        <v/>
      </c>
      <c r="J581" s="52" t="str">
        <f aca="false">IF(AND(ISNUMBER($G581),$G581&gt;=MA_MED),AVERAGE(INDEX($C$181:$C581,402-MA_MED):$C581),"")</f>
        <v/>
      </c>
      <c r="K581" s="52" t="str">
        <f aca="false">IF(AND(ISNUMBER($G581),$G581&gt;=MA_LONG2),AVERAGE(INDEX($C$181:$C581,402-MA_LONG2):$C581),"")</f>
        <v/>
      </c>
      <c r="L581" s="53" t="str">
        <f aca="false">IF(AND(ISNUMBER($G581),$G581&gt;=21),STDEV(INDEX($H$521:$H581,62-20):$H581)*SQRT(245),"")</f>
        <v/>
      </c>
      <c r="M581" s="52" t="str">
        <f aca="false">IF(AND(ISNUMBER($G581),$G581&gt;=60),MAX(INDEX($D$381:$D581,202-60):$D581),"")</f>
        <v/>
      </c>
      <c r="N581" s="52" t="str">
        <f aca="false">IF(AND(ISNUMBER($G581),$G581&gt;=60),MIN(INDEX($E$381:$E581,202-60):$E581),"")</f>
        <v/>
      </c>
      <c r="O581" s="53" t="str">
        <f aca="false">IF(OR(NOT(ISNUMBER($C581)),NOT(ISNUMBER($M581)),$M581=0),"",$C581/$M581-1)</f>
        <v/>
      </c>
      <c r="P581" s="54"/>
      <c r="Q581" s="53" t="str">
        <f aca="false">IF(NOT(ISNUMBER($P581)),"",IFERROR(PERCENTRANK($P$5:$P$1204,$P581),""))</f>
        <v/>
      </c>
    </row>
    <row r="582" customFormat="false" ht="15" hidden="false" customHeight="false" outlineLevel="0" collapsed="false">
      <c r="A582" s="55"/>
      <c r="B582" s="56"/>
      <c r="C582" s="57"/>
      <c r="D582" s="56"/>
      <c r="E582" s="56"/>
      <c r="F582" s="56"/>
      <c r="G582" s="50" t="str">
        <f aca="false">IF($A582="","",IF(ISNUMBER($G581),$G581+1,1))</f>
        <v/>
      </c>
      <c r="H582" s="51" t="str">
        <f aca="false">IF(OR(NOT(ISNUMBER($G582)),$G582&lt;2,NOT(ISNUMBER($C581)),$C581=0),"",$C582/$C581-1)</f>
        <v/>
      </c>
      <c r="I582" s="52" t="str">
        <f aca="false">IF(AND(ISNUMBER($G582),$G582&gt;=MA_SHORT),AVERAGE(INDEX($C$182:$C582,402-MA_SHORT):$C582),"")</f>
        <v/>
      </c>
      <c r="J582" s="52" t="str">
        <f aca="false">IF(AND(ISNUMBER($G582),$G582&gt;=MA_MED),AVERAGE(INDEX($C$182:$C582,402-MA_MED):$C582),"")</f>
        <v/>
      </c>
      <c r="K582" s="52" t="str">
        <f aca="false">IF(AND(ISNUMBER($G582),$G582&gt;=MA_LONG2),AVERAGE(INDEX($C$182:$C582,402-MA_LONG2):$C582),"")</f>
        <v/>
      </c>
      <c r="L582" s="53" t="str">
        <f aca="false">IF(AND(ISNUMBER($G582),$G582&gt;=21),STDEV(INDEX($H$522:$H582,62-20):$H582)*SQRT(245),"")</f>
        <v/>
      </c>
      <c r="M582" s="52" t="str">
        <f aca="false">IF(AND(ISNUMBER($G582),$G582&gt;=60),MAX(INDEX($D$382:$D582,202-60):$D582),"")</f>
        <v/>
      </c>
      <c r="N582" s="52" t="str">
        <f aca="false">IF(AND(ISNUMBER($G582),$G582&gt;=60),MIN(INDEX($E$382:$E582,202-60):$E582),"")</f>
        <v/>
      </c>
      <c r="O582" s="53" t="str">
        <f aca="false">IF(OR(NOT(ISNUMBER($C582)),NOT(ISNUMBER($M582)),$M582=0),"",$C582/$M582-1)</f>
        <v/>
      </c>
      <c r="P582" s="54"/>
      <c r="Q582" s="53" t="str">
        <f aca="false">IF(NOT(ISNUMBER($P582)),"",IFERROR(PERCENTRANK($P$5:$P$1204,$P582),""))</f>
        <v/>
      </c>
    </row>
    <row r="583" customFormat="false" ht="15" hidden="false" customHeight="false" outlineLevel="0" collapsed="false">
      <c r="A583" s="55"/>
      <c r="B583" s="56"/>
      <c r="C583" s="57"/>
      <c r="D583" s="56"/>
      <c r="E583" s="56"/>
      <c r="F583" s="56"/>
      <c r="G583" s="50" t="str">
        <f aca="false">IF($A583="","",IF(ISNUMBER($G582),$G582+1,1))</f>
        <v/>
      </c>
      <c r="H583" s="51" t="str">
        <f aca="false">IF(OR(NOT(ISNUMBER($G583)),$G583&lt;2,NOT(ISNUMBER($C582)),$C582=0),"",$C583/$C582-1)</f>
        <v/>
      </c>
      <c r="I583" s="52" t="str">
        <f aca="false">IF(AND(ISNUMBER($G583),$G583&gt;=MA_SHORT),AVERAGE(INDEX($C$183:$C583,402-MA_SHORT):$C583),"")</f>
        <v/>
      </c>
      <c r="J583" s="52" t="str">
        <f aca="false">IF(AND(ISNUMBER($G583),$G583&gt;=MA_MED),AVERAGE(INDEX($C$183:$C583,402-MA_MED):$C583),"")</f>
        <v/>
      </c>
      <c r="K583" s="52" t="str">
        <f aca="false">IF(AND(ISNUMBER($G583),$G583&gt;=MA_LONG2),AVERAGE(INDEX($C$183:$C583,402-MA_LONG2):$C583),"")</f>
        <v/>
      </c>
      <c r="L583" s="53" t="str">
        <f aca="false">IF(AND(ISNUMBER($G583),$G583&gt;=21),STDEV(INDEX($H$523:$H583,62-20):$H583)*SQRT(245),"")</f>
        <v/>
      </c>
      <c r="M583" s="52" t="str">
        <f aca="false">IF(AND(ISNUMBER($G583),$G583&gt;=60),MAX(INDEX($D$383:$D583,202-60):$D583),"")</f>
        <v/>
      </c>
      <c r="N583" s="52" t="str">
        <f aca="false">IF(AND(ISNUMBER($G583),$G583&gt;=60),MIN(INDEX($E$383:$E583,202-60):$E583),"")</f>
        <v/>
      </c>
      <c r="O583" s="53" t="str">
        <f aca="false">IF(OR(NOT(ISNUMBER($C583)),NOT(ISNUMBER($M583)),$M583=0),"",$C583/$M583-1)</f>
        <v/>
      </c>
      <c r="P583" s="54"/>
      <c r="Q583" s="53" t="str">
        <f aca="false">IF(NOT(ISNUMBER($P583)),"",IFERROR(PERCENTRANK($P$5:$P$1204,$P583),""))</f>
        <v/>
      </c>
    </row>
    <row r="584" customFormat="false" ht="15" hidden="false" customHeight="false" outlineLevel="0" collapsed="false">
      <c r="A584" s="55"/>
      <c r="B584" s="56"/>
      <c r="C584" s="57"/>
      <c r="D584" s="56"/>
      <c r="E584" s="56"/>
      <c r="F584" s="56"/>
      <c r="G584" s="50" t="str">
        <f aca="false">IF($A584="","",IF(ISNUMBER($G583),$G583+1,1))</f>
        <v/>
      </c>
      <c r="H584" s="51" t="str">
        <f aca="false">IF(OR(NOT(ISNUMBER($G584)),$G584&lt;2,NOT(ISNUMBER($C583)),$C583=0),"",$C584/$C583-1)</f>
        <v/>
      </c>
      <c r="I584" s="52" t="str">
        <f aca="false">IF(AND(ISNUMBER($G584),$G584&gt;=MA_SHORT),AVERAGE(INDEX($C$184:$C584,402-MA_SHORT):$C584),"")</f>
        <v/>
      </c>
      <c r="J584" s="52" t="str">
        <f aca="false">IF(AND(ISNUMBER($G584),$G584&gt;=MA_MED),AVERAGE(INDEX($C$184:$C584,402-MA_MED):$C584),"")</f>
        <v/>
      </c>
      <c r="K584" s="52" t="str">
        <f aca="false">IF(AND(ISNUMBER($G584),$G584&gt;=MA_LONG2),AVERAGE(INDEX($C$184:$C584,402-MA_LONG2):$C584),"")</f>
        <v/>
      </c>
      <c r="L584" s="53" t="str">
        <f aca="false">IF(AND(ISNUMBER($G584),$G584&gt;=21),STDEV(INDEX($H$524:$H584,62-20):$H584)*SQRT(245),"")</f>
        <v/>
      </c>
      <c r="M584" s="52" t="str">
        <f aca="false">IF(AND(ISNUMBER($G584),$G584&gt;=60),MAX(INDEX($D$384:$D584,202-60):$D584),"")</f>
        <v/>
      </c>
      <c r="N584" s="52" t="str">
        <f aca="false">IF(AND(ISNUMBER($G584),$G584&gt;=60),MIN(INDEX($E$384:$E584,202-60):$E584),"")</f>
        <v/>
      </c>
      <c r="O584" s="53" t="str">
        <f aca="false">IF(OR(NOT(ISNUMBER($C584)),NOT(ISNUMBER($M584)),$M584=0),"",$C584/$M584-1)</f>
        <v/>
      </c>
      <c r="P584" s="54"/>
      <c r="Q584" s="53" t="str">
        <f aca="false">IF(NOT(ISNUMBER($P584)),"",IFERROR(PERCENTRANK($P$5:$P$1204,$P584),""))</f>
        <v/>
      </c>
    </row>
    <row r="585" customFormat="false" ht="15" hidden="false" customHeight="false" outlineLevel="0" collapsed="false">
      <c r="A585" s="55"/>
      <c r="B585" s="56"/>
      <c r="C585" s="57"/>
      <c r="D585" s="56"/>
      <c r="E585" s="56"/>
      <c r="F585" s="56"/>
      <c r="G585" s="50" t="str">
        <f aca="false">IF($A585="","",IF(ISNUMBER($G584),$G584+1,1))</f>
        <v/>
      </c>
      <c r="H585" s="51" t="str">
        <f aca="false">IF(OR(NOT(ISNUMBER($G585)),$G585&lt;2,NOT(ISNUMBER($C584)),$C584=0),"",$C585/$C584-1)</f>
        <v/>
      </c>
      <c r="I585" s="52" t="str">
        <f aca="false">IF(AND(ISNUMBER($G585),$G585&gt;=MA_SHORT),AVERAGE(INDEX($C$185:$C585,402-MA_SHORT):$C585),"")</f>
        <v/>
      </c>
      <c r="J585" s="52" t="str">
        <f aca="false">IF(AND(ISNUMBER($G585),$G585&gt;=MA_MED),AVERAGE(INDEX($C$185:$C585,402-MA_MED):$C585),"")</f>
        <v/>
      </c>
      <c r="K585" s="52" t="str">
        <f aca="false">IF(AND(ISNUMBER($G585),$G585&gt;=MA_LONG2),AVERAGE(INDEX($C$185:$C585,402-MA_LONG2):$C585),"")</f>
        <v/>
      </c>
      <c r="L585" s="53" t="str">
        <f aca="false">IF(AND(ISNUMBER($G585),$G585&gt;=21),STDEV(INDEX($H$525:$H585,62-20):$H585)*SQRT(245),"")</f>
        <v/>
      </c>
      <c r="M585" s="52" t="str">
        <f aca="false">IF(AND(ISNUMBER($G585),$G585&gt;=60),MAX(INDEX($D$385:$D585,202-60):$D585),"")</f>
        <v/>
      </c>
      <c r="N585" s="52" t="str">
        <f aca="false">IF(AND(ISNUMBER($G585),$G585&gt;=60),MIN(INDEX($E$385:$E585,202-60):$E585),"")</f>
        <v/>
      </c>
      <c r="O585" s="53" t="str">
        <f aca="false">IF(OR(NOT(ISNUMBER($C585)),NOT(ISNUMBER($M585)),$M585=0),"",$C585/$M585-1)</f>
        <v/>
      </c>
      <c r="P585" s="54"/>
      <c r="Q585" s="53" t="str">
        <f aca="false">IF(NOT(ISNUMBER($P585)),"",IFERROR(PERCENTRANK($P$5:$P$1204,$P585),""))</f>
        <v/>
      </c>
    </row>
    <row r="586" customFormat="false" ht="15" hidden="false" customHeight="false" outlineLevel="0" collapsed="false">
      <c r="A586" s="55"/>
      <c r="B586" s="56"/>
      <c r="C586" s="57"/>
      <c r="D586" s="56"/>
      <c r="E586" s="56"/>
      <c r="F586" s="56"/>
      <c r="G586" s="50" t="str">
        <f aca="false">IF($A586="","",IF(ISNUMBER($G585),$G585+1,1))</f>
        <v/>
      </c>
      <c r="H586" s="51" t="str">
        <f aca="false">IF(OR(NOT(ISNUMBER($G586)),$G586&lt;2,NOT(ISNUMBER($C585)),$C585=0),"",$C586/$C585-1)</f>
        <v/>
      </c>
      <c r="I586" s="52" t="str">
        <f aca="false">IF(AND(ISNUMBER($G586),$G586&gt;=MA_SHORT),AVERAGE(INDEX($C$186:$C586,402-MA_SHORT):$C586),"")</f>
        <v/>
      </c>
      <c r="J586" s="52" t="str">
        <f aca="false">IF(AND(ISNUMBER($G586),$G586&gt;=MA_MED),AVERAGE(INDEX($C$186:$C586,402-MA_MED):$C586),"")</f>
        <v/>
      </c>
      <c r="K586" s="52" t="str">
        <f aca="false">IF(AND(ISNUMBER($G586),$G586&gt;=MA_LONG2),AVERAGE(INDEX($C$186:$C586,402-MA_LONG2):$C586),"")</f>
        <v/>
      </c>
      <c r="L586" s="53" t="str">
        <f aca="false">IF(AND(ISNUMBER($G586),$G586&gt;=21),STDEV(INDEX($H$526:$H586,62-20):$H586)*SQRT(245),"")</f>
        <v/>
      </c>
      <c r="M586" s="52" t="str">
        <f aca="false">IF(AND(ISNUMBER($G586),$G586&gt;=60),MAX(INDEX($D$386:$D586,202-60):$D586),"")</f>
        <v/>
      </c>
      <c r="N586" s="52" t="str">
        <f aca="false">IF(AND(ISNUMBER($G586),$G586&gt;=60),MIN(INDEX($E$386:$E586,202-60):$E586),"")</f>
        <v/>
      </c>
      <c r="O586" s="53" t="str">
        <f aca="false">IF(OR(NOT(ISNUMBER($C586)),NOT(ISNUMBER($M586)),$M586=0),"",$C586/$M586-1)</f>
        <v/>
      </c>
      <c r="P586" s="54"/>
      <c r="Q586" s="53" t="str">
        <f aca="false">IF(NOT(ISNUMBER($P586)),"",IFERROR(PERCENTRANK($P$5:$P$1204,$P586),""))</f>
        <v/>
      </c>
    </row>
    <row r="587" customFormat="false" ht="15" hidden="false" customHeight="false" outlineLevel="0" collapsed="false">
      <c r="A587" s="55"/>
      <c r="B587" s="56"/>
      <c r="C587" s="57"/>
      <c r="D587" s="56"/>
      <c r="E587" s="56"/>
      <c r="F587" s="56"/>
      <c r="G587" s="50" t="str">
        <f aca="false">IF($A587="","",IF(ISNUMBER($G586),$G586+1,1))</f>
        <v/>
      </c>
      <c r="H587" s="51" t="str">
        <f aca="false">IF(OR(NOT(ISNUMBER($G587)),$G587&lt;2,NOT(ISNUMBER($C586)),$C586=0),"",$C587/$C586-1)</f>
        <v/>
      </c>
      <c r="I587" s="52" t="str">
        <f aca="false">IF(AND(ISNUMBER($G587),$G587&gt;=MA_SHORT),AVERAGE(INDEX($C$187:$C587,402-MA_SHORT):$C587),"")</f>
        <v/>
      </c>
      <c r="J587" s="52" t="str">
        <f aca="false">IF(AND(ISNUMBER($G587),$G587&gt;=MA_MED),AVERAGE(INDEX($C$187:$C587,402-MA_MED):$C587),"")</f>
        <v/>
      </c>
      <c r="K587" s="52" t="str">
        <f aca="false">IF(AND(ISNUMBER($G587),$G587&gt;=MA_LONG2),AVERAGE(INDEX($C$187:$C587,402-MA_LONG2):$C587),"")</f>
        <v/>
      </c>
      <c r="L587" s="53" t="str">
        <f aca="false">IF(AND(ISNUMBER($G587),$G587&gt;=21),STDEV(INDEX($H$527:$H587,62-20):$H587)*SQRT(245),"")</f>
        <v/>
      </c>
      <c r="M587" s="52" t="str">
        <f aca="false">IF(AND(ISNUMBER($G587),$G587&gt;=60),MAX(INDEX($D$387:$D587,202-60):$D587),"")</f>
        <v/>
      </c>
      <c r="N587" s="52" t="str">
        <f aca="false">IF(AND(ISNUMBER($G587),$G587&gt;=60),MIN(INDEX($E$387:$E587,202-60):$E587),"")</f>
        <v/>
      </c>
      <c r="O587" s="53" t="str">
        <f aca="false">IF(OR(NOT(ISNUMBER($C587)),NOT(ISNUMBER($M587)),$M587=0),"",$C587/$M587-1)</f>
        <v/>
      </c>
      <c r="P587" s="54"/>
      <c r="Q587" s="53" t="str">
        <f aca="false">IF(NOT(ISNUMBER($P587)),"",IFERROR(PERCENTRANK($P$5:$P$1204,$P587),""))</f>
        <v/>
      </c>
    </row>
    <row r="588" customFormat="false" ht="15" hidden="false" customHeight="false" outlineLevel="0" collapsed="false">
      <c r="A588" s="55"/>
      <c r="B588" s="56"/>
      <c r="C588" s="57"/>
      <c r="D588" s="56"/>
      <c r="E588" s="56"/>
      <c r="F588" s="56"/>
      <c r="G588" s="50" t="str">
        <f aca="false">IF($A588="","",IF(ISNUMBER($G587),$G587+1,1))</f>
        <v/>
      </c>
      <c r="H588" s="51" t="str">
        <f aca="false">IF(OR(NOT(ISNUMBER($G588)),$G588&lt;2,NOT(ISNUMBER($C587)),$C587=0),"",$C588/$C587-1)</f>
        <v/>
      </c>
      <c r="I588" s="52" t="str">
        <f aca="false">IF(AND(ISNUMBER($G588),$G588&gt;=MA_SHORT),AVERAGE(INDEX($C$188:$C588,402-MA_SHORT):$C588),"")</f>
        <v/>
      </c>
      <c r="J588" s="52" t="str">
        <f aca="false">IF(AND(ISNUMBER($G588),$G588&gt;=MA_MED),AVERAGE(INDEX($C$188:$C588,402-MA_MED):$C588),"")</f>
        <v/>
      </c>
      <c r="K588" s="52" t="str">
        <f aca="false">IF(AND(ISNUMBER($G588),$G588&gt;=MA_LONG2),AVERAGE(INDEX($C$188:$C588,402-MA_LONG2):$C588),"")</f>
        <v/>
      </c>
      <c r="L588" s="53" t="str">
        <f aca="false">IF(AND(ISNUMBER($G588),$G588&gt;=21),STDEV(INDEX($H$528:$H588,62-20):$H588)*SQRT(245),"")</f>
        <v/>
      </c>
      <c r="M588" s="52" t="str">
        <f aca="false">IF(AND(ISNUMBER($G588),$G588&gt;=60),MAX(INDEX($D$388:$D588,202-60):$D588),"")</f>
        <v/>
      </c>
      <c r="N588" s="52" t="str">
        <f aca="false">IF(AND(ISNUMBER($G588),$G588&gt;=60),MIN(INDEX($E$388:$E588,202-60):$E588),"")</f>
        <v/>
      </c>
      <c r="O588" s="53" t="str">
        <f aca="false">IF(OR(NOT(ISNUMBER($C588)),NOT(ISNUMBER($M588)),$M588=0),"",$C588/$M588-1)</f>
        <v/>
      </c>
      <c r="P588" s="54"/>
      <c r="Q588" s="53" t="str">
        <f aca="false">IF(NOT(ISNUMBER($P588)),"",IFERROR(PERCENTRANK($P$5:$P$1204,$P588),""))</f>
        <v/>
      </c>
    </row>
    <row r="589" customFormat="false" ht="15" hidden="false" customHeight="false" outlineLevel="0" collapsed="false">
      <c r="A589" s="55"/>
      <c r="B589" s="56"/>
      <c r="C589" s="57"/>
      <c r="D589" s="56"/>
      <c r="E589" s="56"/>
      <c r="F589" s="56"/>
      <c r="G589" s="50" t="str">
        <f aca="false">IF($A589="","",IF(ISNUMBER($G588),$G588+1,1))</f>
        <v/>
      </c>
      <c r="H589" s="51" t="str">
        <f aca="false">IF(OR(NOT(ISNUMBER($G589)),$G589&lt;2,NOT(ISNUMBER($C588)),$C588=0),"",$C589/$C588-1)</f>
        <v/>
      </c>
      <c r="I589" s="52" t="str">
        <f aca="false">IF(AND(ISNUMBER($G589),$G589&gt;=MA_SHORT),AVERAGE(INDEX($C$189:$C589,402-MA_SHORT):$C589),"")</f>
        <v/>
      </c>
      <c r="J589" s="52" t="str">
        <f aca="false">IF(AND(ISNUMBER($G589),$G589&gt;=MA_MED),AVERAGE(INDEX($C$189:$C589,402-MA_MED):$C589),"")</f>
        <v/>
      </c>
      <c r="K589" s="52" t="str">
        <f aca="false">IF(AND(ISNUMBER($G589),$G589&gt;=MA_LONG2),AVERAGE(INDEX($C$189:$C589,402-MA_LONG2):$C589),"")</f>
        <v/>
      </c>
      <c r="L589" s="53" t="str">
        <f aca="false">IF(AND(ISNUMBER($G589),$G589&gt;=21),STDEV(INDEX($H$529:$H589,62-20):$H589)*SQRT(245),"")</f>
        <v/>
      </c>
      <c r="M589" s="52" t="str">
        <f aca="false">IF(AND(ISNUMBER($G589),$G589&gt;=60),MAX(INDEX($D$389:$D589,202-60):$D589),"")</f>
        <v/>
      </c>
      <c r="N589" s="52" t="str">
        <f aca="false">IF(AND(ISNUMBER($G589),$G589&gt;=60),MIN(INDEX($E$389:$E589,202-60):$E589),"")</f>
        <v/>
      </c>
      <c r="O589" s="53" t="str">
        <f aca="false">IF(OR(NOT(ISNUMBER($C589)),NOT(ISNUMBER($M589)),$M589=0),"",$C589/$M589-1)</f>
        <v/>
      </c>
      <c r="P589" s="54"/>
      <c r="Q589" s="53" t="str">
        <f aca="false">IF(NOT(ISNUMBER($P589)),"",IFERROR(PERCENTRANK($P$5:$P$1204,$P589),""))</f>
        <v/>
      </c>
    </row>
    <row r="590" customFormat="false" ht="15" hidden="false" customHeight="false" outlineLevel="0" collapsed="false">
      <c r="A590" s="55"/>
      <c r="B590" s="56"/>
      <c r="C590" s="57"/>
      <c r="D590" s="56"/>
      <c r="E590" s="56"/>
      <c r="F590" s="56"/>
      <c r="G590" s="50" t="str">
        <f aca="false">IF($A590="","",IF(ISNUMBER($G589),$G589+1,1))</f>
        <v/>
      </c>
      <c r="H590" s="51" t="str">
        <f aca="false">IF(OR(NOT(ISNUMBER($G590)),$G590&lt;2,NOT(ISNUMBER($C589)),$C589=0),"",$C590/$C589-1)</f>
        <v/>
      </c>
      <c r="I590" s="52" t="str">
        <f aca="false">IF(AND(ISNUMBER($G590),$G590&gt;=MA_SHORT),AVERAGE(INDEX($C$190:$C590,402-MA_SHORT):$C590),"")</f>
        <v/>
      </c>
      <c r="J590" s="52" t="str">
        <f aca="false">IF(AND(ISNUMBER($G590),$G590&gt;=MA_MED),AVERAGE(INDEX($C$190:$C590,402-MA_MED):$C590),"")</f>
        <v/>
      </c>
      <c r="K590" s="52" t="str">
        <f aca="false">IF(AND(ISNUMBER($G590),$G590&gt;=MA_LONG2),AVERAGE(INDEX($C$190:$C590,402-MA_LONG2):$C590),"")</f>
        <v/>
      </c>
      <c r="L590" s="53" t="str">
        <f aca="false">IF(AND(ISNUMBER($G590),$G590&gt;=21),STDEV(INDEX($H$530:$H590,62-20):$H590)*SQRT(245),"")</f>
        <v/>
      </c>
      <c r="M590" s="52" t="str">
        <f aca="false">IF(AND(ISNUMBER($G590),$G590&gt;=60),MAX(INDEX($D$390:$D590,202-60):$D590),"")</f>
        <v/>
      </c>
      <c r="N590" s="52" t="str">
        <f aca="false">IF(AND(ISNUMBER($G590),$G590&gt;=60),MIN(INDEX($E$390:$E590,202-60):$E590),"")</f>
        <v/>
      </c>
      <c r="O590" s="53" t="str">
        <f aca="false">IF(OR(NOT(ISNUMBER($C590)),NOT(ISNUMBER($M590)),$M590=0),"",$C590/$M590-1)</f>
        <v/>
      </c>
      <c r="P590" s="54"/>
      <c r="Q590" s="53" t="str">
        <f aca="false">IF(NOT(ISNUMBER($P590)),"",IFERROR(PERCENTRANK($P$5:$P$1204,$P590),""))</f>
        <v/>
      </c>
    </row>
    <row r="591" customFormat="false" ht="15" hidden="false" customHeight="false" outlineLevel="0" collapsed="false">
      <c r="A591" s="55"/>
      <c r="B591" s="56"/>
      <c r="C591" s="57"/>
      <c r="D591" s="56"/>
      <c r="E591" s="56"/>
      <c r="F591" s="56"/>
      <c r="G591" s="50" t="str">
        <f aca="false">IF($A591="","",IF(ISNUMBER($G590),$G590+1,1))</f>
        <v/>
      </c>
      <c r="H591" s="51" t="str">
        <f aca="false">IF(OR(NOT(ISNUMBER($G591)),$G591&lt;2,NOT(ISNUMBER($C590)),$C590=0),"",$C591/$C590-1)</f>
        <v/>
      </c>
      <c r="I591" s="52" t="str">
        <f aca="false">IF(AND(ISNUMBER($G591),$G591&gt;=MA_SHORT),AVERAGE(INDEX($C$191:$C591,402-MA_SHORT):$C591),"")</f>
        <v/>
      </c>
      <c r="J591" s="52" t="str">
        <f aca="false">IF(AND(ISNUMBER($G591),$G591&gt;=MA_MED),AVERAGE(INDEX($C$191:$C591,402-MA_MED):$C591),"")</f>
        <v/>
      </c>
      <c r="K591" s="52" t="str">
        <f aca="false">IF(AND(ISNUMBER($G591),$G591&gt;=MA_LONG2),AVERAGE(INDEX($C$191:$C591,402-MA_LONG2):$C591),"")</f>
        <v/>
      </c>
      <c r="L591" s="53" t="str">
        <f aca="false">IF(AND(ISNUMBER($G591),$G591&gt;=21),STDEV(INDEX($H$531:$H591,62-20):$H591)*SQRT(245),"")</f>
        <v/>
      </c>
      <c r="M591" s="52" t="str">
        <f aca="false">IF(AND(ISNUMBER($G591),$G591&gt;=60),MAX(INDEX($D$391:$D591,202-60):$D591),"")</f>
        <v/>
      </c>
      <c r="N591" s="52" t="str">
        <f aca="false">IF(AND(ISNUMBER($G591),$G591&gt;=60),MIN(INDEX($E$391:$E591,202-60):$E591),"")</f>
        <v/>
      </c>
      <c r="O591" s="53" t="str">
        <f aca="false">IF(OR(NOT(ISNUMBER($C591)),NOT(ISNUMBER($M591)),$M591=0),"",$C591/$M591-1)</f>
        <v/>
      </c>
      <c r="P591" s="54"/>
      <c r="Q591" s="53" t="str">
        <f aca="false">IF(NOT(ISNUMBER($P591)),"",IFERROR(PERCENTRANK($P$5:$P$1204,$P591),""))</f>
        <v/>
      </c>
    </row>
    <row r="592" customFormat="false" ht="15" hidden="false" customHeight="false" outlineLevel="0" collapsed="false">
      <c r="A592" s="55"/>
      <c r="B592" s="56"/>
      <c r="C592" s="57"/>
      <c r="D592" s="56"/>
      <c r="E592" s="56"/>
      <c r="F592" s="56"/>
      <c r="G592" s="50" t="str">
        <f aca="false">IF($A592="","",IF(ISNUMBER($G591),$G591+1,1))</f>
        <v/>
      </c>
      <c r="H592" s="51" t="str">
        <f aca="false">IF(OR(NOT(ISNUMBER($G592)),$G592&lt;2,NOT(ISNUMBER($C591)),$C591=0),"",$C592/$C591-1)</f>
        <v/>
      </c>
      <c r="I592" s="52" t="str">
        <f aca="false">IF(AND(ISNUMBER($G592),$G592&gt;=MA_SHORT),AVERAGE(INDEX($C$192:$C592,402-MA_SHORT):$C592),"")</f>
        <v/>
      </c>
      <c r="J592" s="52" t="str">
        <f aca="false">IF(AND(ISNUMBER($G592),$G592&gt;=MA_MED),AVERAGE(INDEX($C$192:$C592,402-MA_MED):$C592),"")</f>
        <v/>
      </c>
      <c r="K592" s="52" t="str">
        <f aca="false">IF(AND(ISNUMBER($G592),$G592&gt;=MA_LONG2),AVERAGE(INDEX($C$192:$C592,402-MA_LONG2):$C592),"")</f>
        <v/>
      </c>
      <c r="L592" s="53" t="str">
        <f aca="false">IF(AND(ISNUMBER($G592),$G592&gt;=21),STDEV(INDEX($H$532:$H592,62-20):$H592)*SQRT(245),"")</f>
        <v/>
      </c>
      <c r="M592" s="52" t="str">
        <f aca="false">IF(AND(ISNUMBER($G592),$G592&gt;=60),MAX(INDEX($D$392:$D592,202-60):$D592),"")</f>
        <v/>
      </c>
      <c r="N592" s="52" t="str">
        <f aca="false">IF(AND(ISNUMBER($G592),$G592&gt;=60),MIN(INDEX($E$392:$E592,202-60):$E592),"")</f>
        <v/>
      </c>
      <c r="O592" s="53" t="str">
        <f aca="false">IF(OR(NOT(ISNUMBER($C592)),NOT(ISNUMBER($M592)),$M592=0),"",$C592/$M592-1)</f>
        <v/>
      </c>
      <c r="P592" s="54"/>
      <c r="Q592" s="53" t="str">
        <f aca="false">IF(NOT(ISNUMBER($P592)),"",IFERROR(PERCENTRANK($P$5:$P$1204,$P592),""))</f>
        <v/>
      </c>
    </row>
    <row r="593" customFormat="false" ht="15" hidden="false" customHeight="false" outlineLevel="0" collapsed="false">
      <c r="A593" s="55"/>
      <c r="B593" s="56"/>
      <c r="C593" s="57"/>
      <c r="D593" s="56"/>
      <c r="E593" s="56"/>
      <c r="F593" s="56"/>
      <c r="G593" s="50" t="str">
        <f aca="false">IF($A593="","",IF(ISNUMBER($G592),$G592+1,1))</f>
        <v/>
      </c>
      <c r="H593" s="51" t="str">
        <f aca="false">IF(OR(NOT(ISNUMBER($G593)),$G593&lt;2,NOT(ISNUMBER($C592)),$C592=0),"",$C593/$C592-1)</f>
        <v/>
      </c>
      <c r="I593" s="52" t="str">
        <f aca="false">IF(AND(ISNUMBER($G593),$G593&gt;=MA_SHORT),AVERAGE(INDEX($C$193:$C593,402-MA_SHORT):$C593),"")</f>
        <v/>
      </c>
      <c r="J593" s="52" t="str">
        <f aca="false">IF(AND(ISNUMBER($G593),$G593&gt;=MA_MED),AVERAGE(INDEX($C$193:$C593,402-MA_MED):$C593),"")</f>
        <v/>
      </c>
      <c r="K593" s="52" t="str">
        <f aca="false">IF(AND(ISNUMBER($G593),$G593&gt;=MA_LONG2),AVERAGE(INDEX($C$193:$C593,402-MA_LONG2):$C593),"")</f>
        <v/>
      </c>
      <c r="L593" s="53" t="str">
        <f aca="false">IF(AND(ISNUMBER($G593),$G593&gt;=21),STDEV(INDEX($H$533:$H593,62-20):$H593)*SQRT(245),"")</f>
        <v/>
      </c>
      <c r="M593" s="52" t="str">
        <f aca="false">IF(AND(ISNUMBER($G593),$G593&gt;=60),MAX(INDEX($D$393:$D593,202-60):$D593),"")</f>
        <v/>
      </c>
      <c r="N593" s="52" t="str">
        <f aca="false">IF(AND(ISNUMBER($G593),$G593&gt;=60),MIN(INDEX($E$393:$E593,202-60):$E593),"")</f>
        <v/>
      </c>
      <c r="O593" s="53" t="str">
        <f aca="false">IF(OR(NOT(ISNUMBER($C593)),NOT(ISNUMBER($M593)),$M593=0),"",$C593/$M593-1)</f>
        <v/>
      </c>
      <c r="P593" s="54"/>
      <c r="Q593" s="53" t="str">
        <f aca="false">IF(NOT(ISNUMBER($P593)),"",IFERROR(PERCENTRANK($P$5:$P$1204,$P593),""))</f>
        <v/>
      </c>
    </row>
    <row r="594" customFormat="false" ht="15" hidden="false" customHeight="false" outlineLevel="0" collapsed="false">
      <c r="A594" s="55"/>
      <c r="B594" s="56"/>
      <c r="C594" s="57"/>
      <c r="D594" s="56"/>
      <c r="E594" s="56"/>
      <c r="F594" s="56"/>
      <c r="G594" s="50" t="str">
        <f aca="false">IF($A594="","",IF(ISNUMBER($G593),$G593+1,1))</f>
        <v/>
      </c>
      <c r="H594" s="51" t="str">
        <f aca="false">IF(OR(NOT(ISNUMBER($G594)),$G594&lt;2,NOT(ISNUMBER($C593)),$C593=0),"",$C594/$C593-1)</f>
        <v/>
      </c>
      <c r="I594" s="52" t="str">
        <f aca="false">IF(AND(ISNUMBER($G594),$G594&gt;=MA_SHORT),AVERAGE(INDEX($C$194:$C594,402-MA_SHORT):$C594),"")</f>
        <v/>
      </c>
      <c r="J594" s="52" t="str">
        <f aca="false">IF(AND(ISNUMBER($G594),$G594&gt;=MA_MED),AVERAGE(INDEX($C$194:$C594,402-MA_MED):$C594),"")</f>
        <v/>
      </c>
      <c r="K594" s="52" t="str">
        <f aca="false">IF(AND(ISNUMBER($G594),$G594&gt;=MA_LONG2),AVERAGE(INDEX($C$194:$C594,402-MA_LONG2):$C594),"")</f>
        <v/>
      </c>
      <c r="L594" s="53" t="str">
        <f aca="false">IF(AND(ISNUMBER($G594),$G594&gt;=21),STDEV(INDEX($H$534:$H594,62-20):$H594)*SQRT(245),"")</f>
        <v/>
      </c>
      <c r="M594" s="52" t="str">
        <f aca="false">IF(AND(ISNUMBER($G594),$G594&gt;=60),MAX(INDEX($D$394:$D594,202-60):$D594),"")</f>
        <v/>
      </c>
      <c r="N594" s="52" t="str">
        <f aca="false">IF(AND(ISNUMBER($G594),$G594&gt;=60),MIN(INDEX($E$394:$E594,202-60):$E594),"")</f>
        <v/>
      </c>
      <c r="O594" s="53" t="str">
        <f aca="false">IF(OR(NOT(ISNUMBER($C594)),NOT(ISNUMBER($M594)),$M594=0),"",$C594/$M594-1)</f>
        <v/>
      </c>
      <c r="P594" s="54"/>
      <c r="Q594" s="53" t="str">
        <f aca="false">IF(NOT(ISNUMBER($P594)),"",IFERROR(PERCENTRANK($P$5:$P$1204,$P594),""))</f>
        <v/>
      </c>
    </row>
    <row r="595" customFormat="false" ht="15" hidden="false" customHeight="false" outlineLevel="0" collapsed="false">
      <c r="A595" s="55"/>
      <c r="B595" s="56"/>
      <c r="C595" s="57"/>
      <c r="D595" s="56"/>
      <c r="E595" s="56"/>
      <c r="F595" s="56"/>
      <c r="G595" s="50" t="str">
        <f aca="false">IF($A595="","",IF(ISNUMBER($G594),$G594+1,1))</f>
        <v/>
      </c>
      <c r="H595" s="51" t="str">
        <f aca="false">IF(OR(NOT(ISNUMBER($G595)),$G595&lt;2,NOT(ISNUMBER($C594)),$C594=0),"",$C595/$C594-1)</f>
        <v/>
      </c>
      <c r="I595" s="52" t="str">
        <f aca="false">IF(AND(ISNUMBER($G595),$G595&gt;=MA_SHORT),AVERAGE(INDEX($C$195:$C595,402-MA_SHORT):$C595),"")</f>
        <v/>
      </c>
      <c r="J595" s="52" t="str">
        <f aca="false">IF(AND(ISNUMBER($G595),$G595&gt;=MA_MED),AVERAGE(INDEX($C$195:$C595,402-MA_MED):$C595),"")</f>
        <v/>
      </c>
      <c r="K595" s="52" t="str">
        <f aca="false">IF(AND(ISNUMBER($G595),$G595&gt;=MA_LONG2),AVERAGE(INDEX($C$195:$C595,402-MA_LONG2):$C595),"")</f>
        <v/>
      </c>
      <c r="L595" s="53" t="str">
        <f aca="false">IF(AND(ISNUMBER($G595),$G595&gt;=21),STDEV(INDEX($H$535:$H595,62-20):$H595)*SQRT(245),"")</f>
        <v/>
      </c>
      <c r="M595" s="52" t="str">
        <f aca="false">IF(AND(ISNUMBER($G595),$G595&gt;=60),MAX(INDEX($D$395:$D595,202-60):$D595),"")</f>
        <v/>
      </c>
      <c r="N595" s="52" t="str">
        <f aca="false">IF(AND(ISNUMBER($G595),$G595&gt;=60),MIN(INDEX($E$395:$E595,202-60):$E595),"")</f>
        <v/>
      </c>
      <c r="O595" s="53" t="str">
        <f aca="false">IF(OR(NOT(ISNUMBER($C595)),NOT(ISNUMBER($M595)),$M595=0),"",$C595/$M595-1)</f>
        <v/>
      </c>
      <c r="P595" s="54"/>
      <c r="Q595" s="53" t="str">
        <f aca="false">IF(NOT(ISNUMBER($P595)),"",IFERROR(PERCENTRANK($P$5:$P$1204,$P595),""))</f>
        <v/>
      </c>
    </row>
    <row r="596" customFormat="false" ht="15" hidden="false" customHeight="false" outlineLevel="0" collapsed="false">
      <c r="A596" s="55"/>
      <c r="B596" s="56"/>
      <c r="C596" s="57"/>
      <c r="D596" s="56"/>
      <c r="E596" s="56"/>
      <c r="F596" s="56"/>
      <c r="G596" s="50" t="str">
        <f aca="false">IF($A596="","",IF(ISNUMBER($G595),$G595+1,1))</f>
        <v/>
      </c>
      <c r="H596" s="51" t="str">
        <f aca="false">IF(OR(NOT(ISNUMBER($G596)),$G596&lt;2,NOT(ISNUMBER($C595)),$C595=0),"",$C596/$C595-1)</f>
        <v/>
      </c>
      <c r="I596" s="52" t="str">
        <f aca="false">IF(AND(ISNUMBER($G596),$G596&gt;=MA_SHORT),AVERAGE(INDEX($C$196:$C596,402-MA_SHORT):$C596),"")</f>
        <v/>
      </c>
      <c r="J596" s="52" t="str">
        <f aca="false">IF(AND(ISNUMBER($G596),$G596&gt;=MA_MED),AVERAGE(INDEX($C$196:$C596,402-MA_MED):$C596),"")</f>
        <v/>
      </c>
      <c r="K596" s="52" t="str">
        <f aca="false">IF(AND(ISNUMBER($G596),$G596&gt;=MA_LONG2),AVERAGE(INDEX($C$196:$C596,402-MA_LONG2):$C596),"")</f>
        <v/>
      </c>
      <c r="L596" s="53" t="str">
        <f aca="false">IF(AND(ISNUMBER($G596),$G596&gt;=21),STDEV(INDEX($H$536:$H596,62-20):$H596)*SQRT(245),"")</f>
        <v/>
      </c>
      <c r="M596" s="52" t="str">
        <f aca="false">IF(AND(ISNUMBER($G596),$G596&gt;=60),MAX(INDEX($D$396:$D596,202-60):$D596),"")</f>
        <v/>
      </c>
      <c r="N596" s="52" t="str">
        <f aca="false">IF(AND(ISNUMBER($G596),$G596&gt;=60),MIN(INDEX($E$396:$E596,202-60):$E596),"")</f>
        <v/>
      </c>
      <c r="O596" s="53" t="str">
        <f aca="false">IF(OR(NOT(ISNUMBER($C596)),NOT(ISNUMBER($M596)),$M596=0),"",$C596/$M596-1)</f>
        <v/>
      </c>
      <c r="P596" s="54"/>
      <c r="Q596" s="53" t="str">
        <f aca="false">IF(NOT(ISNUMBER($P596)),"",IFERROR(PERCENTRANK($P$5:$P$1204,$P596),""))</f>
        <v/>
      </c>
    </row>
    <row r="597" customFormat="false" ht="15" hidden="false" customHeight="false" outlineLevel="0" collapsed="false">
      <c r="A597" s="55"/>
      <c r="B597" s="56"/>
      <c r="C597" s="57"/>
      <c r="D597" s="56"/>
      <c r="E597" s="56"/>
      <c r="F597" s="56"/>
      <c r="G597" s="50" t="str">
        <f aca="false">IF($A597="","",IF(ISNUMBER($G596),$G596+1,1))</f>
        <v/>
      </c>
      <c r="H597" s="51" t="str">
        <f aca="false">IF(OR(NOT(ISNUMBER($G597)),$G597&lt;2,NOT(ISNUMBER($C596)),$C596=0),"",$C597/$C596-1)</f>
        <v/>
      </c>
      <c r="I597" s="52" t="str">
        <f aca="false">IF(AND(ISNUMBER($G597),$G597&gt;=MA_SHORT),AVERAGE(INDEX($C$197:$C597,402-MA_SHORT):$C597),"")</f>
        <v/>
      </c>
      <c r="J597" s="52" t="str">
        <f aca="false">IF(AND(ISNUMBER($G597),$G597&gt;=MA_MED),AVERAGE(INDEX($C$197:$C597,402-MA_MED):$C597),"")</f>
        <v/>
      </c>
      <c r="K597" s="52" t="str">
        <f aca="false">IF(AND(ISNUMBER($G597),$G597&gt;=MA_LONG2),AVERAGE(INDEX($C$197:$C597,402-MA_LONG2):$C597),"")</f>
        <v/>
      </c>
      <c r="L597" s="53" t="str">
        <f aca="false">IF(AND(ISNUMBER($G597),$G597&gt;=21),STDEV(INDEX($H$537:$H597,62-20):$H597)*SQRT(245),"")</f>
        <v/>
      </c>
      <c r="M597" s="52" t="str">
        <f aca="false">IF(AND(ISNUMBER($G597),$G597&gt;=60),MAX(INDEX($D$397:$D597,202-60):$D597),"")</f>
        <v/>
      </c>
      <c r="N597" s="52" t="str">
        <f aca="false">IF(AND(ISNUMBER($G597),$G597&gt;=60),MIN(INDEX($E$397:$E597,202-60):$E597),"")</f>
        <v/>
      </c>
      <c r="O597" s="53" t="str">
        <f aca="false">IF(OR(NOT(ISNUMBER($C597)),NOT(ISNUMBER($M597)),$M597=0),"",$C597/$M597-1)</f>
        <v/>
      </c>
      <c r="P597" s="54"/>
      <c r="Q597" s="53" t="str">
        <f aca="false">IF(NOT(ISNUMBER($P597)),"",IFERROR(PERCENTRANK($P$5:$P$1204,$P597),""))</f>
        <v/>
      </c>
    </row>
    <row r="598" customFormat="false" ht="15" hidden="false" customHeight="false" outlineLevel="0" collapsed="false">
      <c r="A598" s="55"/>
      <c r="B598" s="56"/>
      <c r="C598" s="57"/>
      <c r="D598" s="56"/>
      <c r="E598" s="56"/>
      <c r="F598" s="56"/>
      <c r="G598" s="50" t="str">
        <f aca="false">IF($A598="","",IF(ISNUMBER($G597),$G597+1,1))</f>
        <v/>
      </c>
      <c r="H598" s="51" t="str">
        <f aca="false">IF(OR(NOT(ISNUMBER($G598)),$G598&lt;2,NOT(ISNUMBER($C597)),$C597=0),"",$C598/$C597-1)</f>
        <v/>
      </c>
      <c r="I598" s="52" t="str">
        <f aca="false">IF(AND(ISNUMBER($G598),$G598&gt;=MA_SHORT),AVERAGE(INDEX($C$198:$C598,402-MA_SHORT):$C598),"")</f>
        <v/>
      </c>
      <c r="J598" s="52" t="str">
        <f aca="false">IF(AND(ISNUMBER($G598),$G598&gt;=MA_MED),AVERAGE(INDEX($C$198:$C598,402-MA_MED):$C598),"")</f>
        <v/>
      </c>
      <c r="K598" s="52" t="str">
        <f aca="false">IF(AND(ISNUMBER($G598),$G598&gt;=MA_LONG2),AVERAGE(INDEX($C$198:$C598,402-MA_LONG2):$C598),"")</f>
        <v/>
      </c>
      <c r="L598" s="53" t="str">
        <f aca="false">IF(AND(ISNUMBER($G598),$G598&gt;=21),STDEV(INDEX($H$538:$H598,62-20):$H598)*SQRT(245),"")</f>
        <v/>
      </c>
      <c r="M598" s="52" t="str">
        <f aca="false">IF(AND(ISNUMBER($G598),$G598&gt;=60),MAX(INDEX($D$398:$D598,202-60):$D598),"")</f>
        <v/>
      </c>
      <c r="N598" s="52" t="str">
        <f aca="false">IF(AND(ISNUMBER($G598),$G598&gt;=60),MIN(INDEX($E$398:$E598,202-60):$E598),"")</f>
        <v/>
      </c>
      <c r="O598" s="53" t="str">
        <f aca="false">IF(OR(NOT(ISNUMBER($C598)),NOT(ISNUMBER($M598)),$M598=0),"",$C598/$M598-1)</f>
        <v/>
      </c>
      <c r="P598" s="54"/>
      <c r="Q598" s="53" t="str">
        <f aca="false">IF(NOT(ISNUMBER($P598)),"",IFERROR(PERCENTRANK($P$5:$P$1204,$P598),""))</f>
        <v/>
      </c>
    </row>
    <row r="599" customFormat="false" ht="15" hidden="false" customHeight="false" outlineLevel="0" collapsed="false">
      <c r="A599" s="55"/>
      <c r="B599" s="56"/>
      <c r="C599" s="57"/>
      <c r="D599" s="56"/>
      <c r="E599" s="56"/>
      <c r="F599" s="56"/>
      <c r="G599" s="50" t="str">
        <f aca="false">IF($A599="","",IF(ISNUMBER($G598),$G598+1,1))</f>
        <v/>
      </c>
      <c r="H599" s="51" t="str">
        <f aca="false">IF(OR(NOT(ISNUMBER($G599)),$G599&lt;2,NOT(ISNUMBER($C598)),$C598=0),"",$C599/$C598-1)</f>
        <v/>
      </c>
      <c r="I599" s="52" t="str">
        <f aca="false">IF(AND(ISNUMBER($G599),$G599&gt;=MA_SHORT),AVERAGE(INDEX($C$199:$C599,402-MA_SHORT):$C599),"")</f>
        <v/>
      </c>
      <c r="J599" s="52" t="str">
        <f aca="false">IF(AND(ISNUMBER($G599),$G599&gt;=MA_MED),AVERAGE(INDEX($C$199:$C599,402-MA_MED):$C599),"")</f>
        <v/>
      </c>
      <c r="K599" s="52" t="str">
        <f aca="false">IF(AND(ISNUMBER($G599),$G599&gt;=MA_LONG2),AVERAGE(INDEX($C$199:$C599,402-MA_LONG2):$C599),"")</f>
        <v/>
      </c>
      <c r="L599" s="53" t="str">
        <f aca="false">IF(AND(ISNUMBER($G599),$G599&gt;=21),STDEV(INDEX($H$539:$H599,62-20):$H599)*SQRT(245),"")</f>
        <v/>
      </c>
      <c r="M599" s="52" t="str">
        <f aca="false">IF(AND(ISNUMBER($G599),$G599&gt;=60),MAX(INDEX($D$399:$D599,202-60):$D599),"")</f>
        <v/>
      </c>
      <c r="N599" s="52" t="str">
        <f aca="false">IF(AND(ISNUMBER($G599),$G599&gt;=60),MIN(INDEX($E$399:$E599,202-60):$E599),"")</f>
        <v/>
      </c>
      <c r="O599" s="53" t="str">
        <f aca="false">IF(OR(NOT(ISNUMBER($C599)),NOT(ISNUMBER($M599)),$M599=0),"",$C599/$M599-1)</f>
        <v/>
      </c>
      <c r="P599" s="54"/>
      <c r="Q599" s="53" t="str">
        <f aca="false">IF(NOT(ISNUMBER($P599)),"",IFERROR(PERCENTRANK($P$5:$P$1204,$P599),""))</f>
        <v/>
      </c>
    </row>
    <row r="600" customFormat="false" ht="15" hidden="false" customHeight="false" outlineLevel="0" collapsed="false">
      <c r="A600" s="55"/>
      <c r="B600" s="56"/>
      <c r="C600" s="57"/>
      <c r="D600" s="56"/>
      <c r="E600" s="56"/>
      <c r="F600" s="56"/>
      <c r="G600" s="50" t="str">
        <f aca="false">IF($A600="","",IF(ISNUMBER($G599),$G599+1,1))</f>
        <v/>
      </c>
      <c r="H600" s="51" t="str">
        <f aca="false">IF(OR(NOT(ISNUMBER($G600)),$G600&lt;2,NOT(ISNUMBER($C599)),$C599=0),"",$C600/$C599-1)</f>
        <v/>
      </c>
      <c r="I600" s="52" t="str">
        <f aca="false">IF(AND(ISNUMBER($G600),$G600&gt;=MA_SHORT),AVERAGE(INDEX($C$200:$C600,402-MA_SHORT):$C600),"")</f>
        <v/>
      </c>
      <c r="J600" s="52" t="str">
        <f aca="false">IF(AND(ISNUMBER($G600),$G600&gt;=MA_MED),AVERAGE(INDEX($C$200:$C600,402-MA_MED):$C600),"")</f>
        <v/>
      </c>
      <c r="K600" s="52" t="str">
        <f aca="false">IF(AND(ISNUMBER($G600),$G600&gt;=MA_LONG2),AVERAGE(INDEX($C$200:$C600,402-MA_LONG2):$C600),"")</f>
        <v/>
      </c>
      <c r="L600" s="53" t="str">
        <f aca="false">IF(AND(ISNUMBER($G600),$G600&gt;=21),STDEV(INDEX($H$540:$H600,62-20):$H600)*SQRT(245),"")</f>
        <v/>
      </c>
      <c r="M600" s="52" t="str">
        <f aca="false">IF(AND(ISNUMBER($G600),$G600&gt;=60),MAX(INDEX($D$400:$D600,202-60):$D600),"")</f>
        <v/>
      </c>
      <c r="N600" s="52" t="str">
        <f aca="false">IF(AND(ISNUMBER($G600),$G600&gt;=60),MIN(INDEX($E$400:$E600,202-60):$E600),"")</f>
        <v/>
      </c>
      <c r="O600" s="53" t="str">
        <f aca="false">IF(OR(NOT(ISNUMBER($C600)),NOT(ISNUMBER($M600)),$M600=0),"",$C600/$M600-1)</f>
        <v/>
      </c>
      <c r="P600" s="54"/>
      <c r="Q600" s="53" t="str">
        <f aca="false">IF(NOT(ISNUMBER($P600)),"",IFERROR(PERCENTRANK($P$5:$P$1204,$P600),""))</f>
        <v/>
      </c>
    </row>
    <row r="601" customFormat="false" ht="15" hidden="false" customHeight="false" outlineLevel="0" collapsed="false">
      <c r="A601" s="55"/>
      <c r="B601" s="56"/>
      <c r="C601" s="57"/>
      <c r="D601" s="56"/>
      <c r="E601" s="56"/>
      <c r="F601" s="56"/>
      <c r="G601" s="50" t="str">
        <f aca="false">IF($A601="","",IF(ISNUMBER($G600),$G600+1,1))</f>
        <v/>
      </c>
      <c r="H601" s="51" t="str">
        <f aca="false">IF(OR(NOT(ISNUMBER($G601)),$G601&lt;2,NOT(ISNUMBER($C600)),$C600=0),"",$C601/$C600-1)</f>
        <v/>
      </c>
      <c r="I601" s="52" t="str">
        <f aca="false">IF(AND(ISNUMBER($G601),$G601&gt;=MA_SHORT),AVERAGE(INDEX($C$201:$C601,402-MA_SHORT):$C601),"")</f>
        <v/>
      </c>
      <c r="J601" s="52" t="str">
        <f aca="false">IF(AND(ISNUMBER($G601),$G601&gt;=MA_MED),AVERAGE(INDEX($C$201:$C601,402-MA_MED):$C601),"")</f>
        <v/>
      </c>
      <c r="K601" s="52" t="str">
        <f aca="false">IF(AND(ISNUMBER($G601),$G601&gt;=MA_LONG2),AVERAGE(INDEX($C$201:$C601,402-MA_LONG2):$C601),"")</f>
        <v/>
      </c>
      <c r="L601" s="53" t="str">
        <f aca="false">IF(AND(ISNUMBER($G601),$G601&gt;=21),STDEV(INDEX($H$541:$H601,62-20):$H601)*SQRT(245),"")</f>
        <v/>
      </c>
      <c r="M601" s="52" t="str">
        <f aca="false">IF(AND(ISNUMBER($G601),$G601&gt;=60),MAX(INDEX($D$401:$D601,202-60):$D601),"")</f>
        <v/>
      </c>
      <c r="N601" s="52" t="str">
        <f aca="false">IF(AND(ISNUMBER($G601),$G601&gt;=60),MIN(INDEX($E$401:$E601,202-60):$E601),"")</f>
        <v/>
      </c>
      <c r="O601" s="53" t="str">
        <f aca="false">IF(OR(NOT(ISNUMBER($C601)),NOT(ISNUMBER($M601)),$M601=0),"",$C601/$M601-1)</f>
        <v/>
      </c>
      <c r="P601" s="54"/>
      <c r="Q601" s="53" t="str">
        <f aca="false">IF(NOT(ISNUMBER($P601)),"",IFERROR(PERCENTRANK($P$5:$P$1204,$P601),""))</f>
        <v/>
      </c>
    </row>
    <row r="602" customFormat="false" ht="15" hidden="false" customHeight="false" outlineLevel="0" collapsed="false">
      <c r="A602" s="55"/>
      <c r="B602" s="56"/>
      <c r="C602" s="57"/>
      <c r="D602" s="56"/>
      <c r="E602" s="56"/>
      <c r="F602" s="56"/>
      <c r="G602" s="50" t="str">
        <f aca="false">IF($A602="","",IF(ISNUMBER($G601),$G601+1,1))</f>
        <v/>
      </c>
      <c r="H602" s="51" t="str">
        <f aca="false">IF(OR(NOT(ISNUMBER($G602)),$G602&lt;2,NOT(ISNUMBER($C601)),$C601=0),"",$C602/$C601-1)</f>
        <v/>
      </c>
      <c r="I602" s="52" t="str">
        <f aca="false">IF(AND(ISNUMBER($G602),$G602&gt;=MA_SHORT),AVERAGE(INDEX($C$202:$C602,402-MA_SHORT):$C602),"")</f>
        <v/>
      </c>
      <c r="J602" s="52" t="str">
        <f aca="false">IF(AND(ISNUMBER($G602),$G602&gt;=MA_MED),AVERAGE(INDEX($C$202:$C602,402-MA_MED):$C602),"")</f>
        <v/>
      </c>
      <c r="K602" s="52" t="str">
        <f aca="false">IF(AND(ISNUMBER($G602),$G602&gt;=MA_LONG2),AVERAGE(INDEX($C$202:$C602,402-MA_LONG2):$C602),"")</f>
        <v/>
      </c>
      <c r="L602" s="53" t="str">
        <f aca="false">IF(AND(ISNUMBER($G602),$G602&gt;=21),STDEV(INDEX($H$542:$H602,62-20):$H602)*SQRT(245),"")</f>
        <v/>
      </c>
      <c r="M602" s="52" t="str">
        <f aca="false">IF(AND(ISNUMBER($G602),$G602&gt;=60),MAX(INDEX($D$402:$D602,202-60):$D602),"")</f>
        <v/>
      </c>
      <c r="N602" s="52" t="str">
        <f aca="false">IF(AND(ISNUMBER($G602),$G602&gt;=60),MIN(INDEX($E$402:$E602,202-60):$E602),"")</f>
        <v/>
      </c>
      <c r="O602" s="53" t="str">
        <f aca="false">IF(OR(NOT(ISNUMBER($C602)),NOT(ISNUMBER($M602)),$M602=0),"",$C602/$M602-1)</f>
        <v/>
      </c>
      <c r="P602" s="54"/>
      <c r="Q602" s="53" t="str">
        <f aca="false">IF(NOT(ISNUMBER($P602)),"",IFERROR(PERCENTRANK($P$5:$P$1204,$P602),""))</f>
        <v/>
      </c>
    </row>
    <row r="603" customFormat="false" ht="15" hidden="false" customHeight="false" outlineLevel="0" collapsed="false">
      <c r="A603" s="55"/>
      <c r="B603" s="56"/>
      <c r="C603" s="57"/>
      <c r="D603" s="56"/>
      <c r="E603" s="56"/>
      <c r="F603" s="56"/>
      <c r="G603" s="50" t="str">
        <f aca="false">IF($A603="","",IF(ISNUMBER($G602),$G602+1,1))</f>
        <v/>
      </c>
      <c r="H603" s="51" t="str">
        <f aca="false">IF(OR(NOT(ISNUMBER($G603)),$G603&lt;2,NOT(ISNUMBER($C602)),$C602=0),"",$C603/$C602-1)</f>
        <v/>
      </c>
      <c r="I603" s="52" t="str">
        <f aca="false">IF(AND(ISNUMBER($G603),$G603&gt;=MA_SHORT),AVERAGE(INDEX($C$203:$C603,402-MA_SHORT):$C603),"")</f>
        <v/>
      </c>
      <c r="J603" s="52" t="str">
        <f aca="false">IF(AND(ISNUMBER($G603),$G603&gt;=MA_MED),AVERAGE(INDEX($C$203:$C603,402-MA_MED):$C603),"")</f>
        <v/>
      </c>
      <c r="K603" s="52" t="str">
        <f aca="false">IF(AND(ISNUMBER($G603),$G603&gt;=MA_LONG2),AVERAGE(INDEX($C$203:$C603,402-MA_LONG2):$C603),"")</f>
        <v/>
      </c>
      <c r="L603" s="53" t="str">
        <f aca="false">IF(AND(ISNUMBER($G603),$G603&gt;=21),STDEV(INDEX($H$543:$H603,62-20):$H603)*SQRT(245),"")</f>
        <v/>
      </c>
      <c r="M603" s="52" t="str">
        <f aca="false">IF(AND(ISNUMBER($G603),$G603&gt;=60),MAX(INDEX($D$403:$D603,202-60):$D603),"")</f>
        <v/>
      </c>
      <c r="N603" s="52" t="str">
        <f aca="false">IF(AND(ISNUMBER($G603),$G603&gt;=60),MIN(INDEX($E$403:$E603,202-60):$E603),"")</f>
        <v/>
      </c>
      <c r="O603" s="53" t="str">
        <f aca="false">IF(OR(NOT(ISNUMBER($C603)),NOT(ISNUMBER($M603)),$M603=0),"",$C603/$M603-1)</f>
        <v/>
      </c>
      <c r="P603" s="54"/>
      <c r="Q603" s="53" t="str">
        <f aca="false">IF(NOT(ISNUMBER($P603)),"",IFERROR(PERCENTRANK($P$5:$P$1204,$P603),""))</f>
        <v/>
      </c>
    </row>
    <row r="604" customFormat="false" ht="15" hidden="false" customHeight="false" outlineLevel="0" collapsed="false">
      <c r="A604" s="55"/>
      <c r="B604" s="56"/>
      <c r="C604" s="57"/>
      <c r="D604" s="56"/>
      <c r="E604" s="56"/>
      <c r="F604" s="56"/>
      <c r="G604" s="50" t="str">
        <f aca="false">IF($A604="","",IF(ISNUMBER($G603),$G603+1,1))</f>
        <v/>
      </c>
      <c r="H604" s="51" t="str">
        <f aca="false">IF(OR(NOT(ISNUMBER($G604)),$G604&lt;2,NOT(ISNUMBER($C603)),$C603=0),"",$C604/$C603-1)</f>
        <v/>
      </c>
      <c r="I604" s="52" t="str">
        <f aca="false">IF(AND(ISNUMBER($G604),$G604&gt;=MA_SHORT),AVERAGE(INDEX($C$204:$C604,402-MA_SHORT):$C604),"")</f>
        <v/>
      </c>
      <c r="J604" s="52" t="str">
        <f aca="false">IF(AND(ISNUMBER($G604),$G604&gt;=MA_MED),AVERAGE(INDEX($C$204:$C604,402-MA_MED):$C604),"")</f>
        <v/>
      </c>
      <c r="K604" s="52" t="str">
        <f aca="false">IF(AND(ISNUMBER($G604),$G604&gt;=MA_LONG2),AVERAGE(INDEX($C$204:$C604,402-MA_LONG2):$C604),"")</f>
        <v/>
      </c>
      <c r="L604" s="53" t="str">
        <f aca="false">IF(AND(ISNUMBER($G604),$G604&gt;=21),STDEV(INDEX($H$544:$H604,62-20):$H604)*SQRT(245),"")</f>
        <v/>
      </c>
      <c r="M604" s="52" t="str">
        <f aca="false">IF(AND(ISNUMBER($G604),$G604&gt;=60),MAX(INDEX($D$404:$D604,202-60):$D604),"")</f>
        <v/>
      </c>
      <c r="N604" s="52" t="str">
        <f aca="false">IF(AND(ISNUMBER($G604),$G604&gt;=60),MIN(INDEX($E$404:$E604,202-60):$E604),"")</f>
        <v/>
      </c>
      <c r="O604" s="53" t="str">
        <f aca="false">IF(OR(NOT(ISNUMBER($C604)),NOT(ISNUMBER($M604)),$M604=0),"",$C604/$M604-1)</f>
        <v/>
      </c>
      <c r="P604" s="54"/>
      <c r="Q604" s="53" t="str">
        <f aca="false">IF(NOT(ISNUMBER($P604)),"",IFERROR(PERCENTRANK($P$5:$P$1204,$P604),""))</f>
        <v/>
      </c>
    </row>
    <row r="605" customFormat="false" ht="15" hidden="false" customHeight="false" outlineLevel="0" collapsed="false">
      <c r="A605" s="55"/>
      <c r="B605" s="56"/>
      <c r="C605" s="57"/>
      <c r="D605" s="56"/>
      <c r="E605" s="56"/>
      <c r="F605" s="56"/>
      <c r="G605" s="50" t="str">
        <f aca="false">IF($A605="","",IF(ISNUMBER($G604),$G604+1,1))</f>
        <v/>
      </c>
      <c r="H605" s="51" t="str">
        <f aca="false">IF(OR(NOT(ISNUMBER($G605)),$G605&lt;2,NOT(ISNUMBER($C604)),$C604=0),"",$C605/$C604-1)</f>
        <v/>
      </c>
      <c r="I605" s="52" t="str">
        <f aca="false">IF(AND(ISNUMBER($G605),$G605&gt;=MA_SHORT),AVERAGE(INDEX($C$205:$C605,402-MA_SHORT):$C605),"")</f>
        <v/>
      </c>
      <c r="J605" s="52" t="str">
        <f aca="false">IF(AND(ISNUMBER($G605),$G605&gt;=MA_MED),AVERAGE(INDEX($C$205:$C605,402-MA_MED):$C605),"")</f>
        <v/>
      </c>
      <c r="K605" s="52" t="str">
        <f aca="false">IF(AND(ISNUMBER($G605),$G605&gt;=MA_LONG2),AVERAGE(INDEX($C$205:$C605,402-MA_LONG2):$C605),"")</f>
        <v/>
      </c>
      <c r="L605" s="53" t="str">
        <f aca="false">IF(AND(ISNUMBER($G605),$G605&gt;=21),STDEV(INDEX($H$545:$H605,62-20):$H605)*SQRT(245),"")</f>
        <v/>
      </c>
      <c r="M605" s="52" t="str">
        <f aca="false">IF(AND(ISNUMBER($G605),$G605&gt;=60),MAX(INDEX($D$405:$D605,202-60):$D605),"")</f>
        <v/>
      </c>
      <c r="N605" s="52" t="str">
        <f aca="false">IF(AND(ISNUMBER($G605),$G605&gt;=60),MIN(INDEX($E$405:$E605,202-60):$E605),"")</f>
        <v/>
      </c>
      <c r="O605" s="53" t="str">
        <f aca="false">IF(OR(NOT(ISNUMBER($C605)),NOT(ISNUMBER($M605)),$M605=0),"",$C605/$M605-1)</f>
        <v/>
      </c>
      <c r="P605" s="54"/>
      <c r="Q605" s="53" t="str">
        <f aca="false">IF(NOT(ISNUMBER($P605)),"",IFERROR(PERCENTRANK($P$5:$P$1204,$P605),""))</f>
        <v/>
      </c>
    </row>
    <row r="606" customFormat="false" ht="15" hidden="false" customHeight="false" outlineLevel="0" collapsed="false">
      <c r="A606" s="55"/>
      <c r="B606" s="56"/>
      <c r="C606" s="57"/>
      <c r="D606" s="56"/>
      <c r="E606" s="56"/>
      <c r="F606" s="56"/>
      <c r="G606" s="50" t="str">
        <f aca="false">IF($A606="","",IF(ISNUMBER($G605),$G605+1,1))</f>
        <v/>
      </c>
      <c r="H606" s="51" t="str">
        <f aca="false">IF(OR(NOT(ISNUMBER($G606)),$G606&lt;2,NOT(ISNUMBER($C605)),$C605=0),"",$C606/$C605-1)</f>
        <v/>
      </c>
      <c r="I606" s="52" t="str">
        <f aca="false">IF(AND(ISNUMBER($G606),$G606&gt;=MA_SHORT),AVERAGE(INDEX($C$206:$C606,402-MA_SHORT):$C606),"")</f>
        <v/>
      </c>
      <c r="J606" s="52" t="str">
        <f aca="false">IF(AND(ISNUMBER($G606),$G606&gt;=MA_MED),AVERAGE(INDEX($C$206:$C606,402-MA_MED):$C606),"")</f>
        <v/>
      </c>
      <c r="K606" s="52" t="str">
        <f aca="false">IF(AND(ISNUMBER($G606),$G606&gt;=MA_LONG2),AVERAGE(INDEX($C$206:$C606,402-MA_LONG2):$C606),"")</f>
        <v/>
      </c>
      <c r="L606" s="53" t="str">
        <f aca="false">IF(AND(ISNUMBER($G606),$G606&gt;=21),STDEV(INDEX($H$546:$H606,62-20):$H606)*SQRT(245),"")</f>
        <v/>
      </c>
      <c r="M606" s="52" t="str">
        <f aca="false">IF(AND(ISNUMBER($G606),$G606&gt;=60),MAX(INDEX($D$406:$D606,202-60):$D606),"")</f>
        <v/>
      </c>
      <c r="N606" s="52" t="str">
        <f aca="false">IF(AND(ISNUMBER($G606),$G606&gt;=60),MIN(INDEX($E$406:$E606,202-60):$E606),"")</f>
        <v/>
      </c>
      <c r="O606" s="53" t="str">
        <f aca="false">IF(OR(NOT(ISNUMBER($C606)),NOT(ISNUMBER($M606)),$M606=0),"",$C606/$M606-1)</f>
        <v/>
      </c>
      <c r="P606" s="54"/>
      <c r="Q606" s="53" t="str">
        <f aca="false">IF(NOT(ISNUMBER($P606)),"",IFERROR(PERCENTRANK($P$5:$P$1204,$P606),""))</f>
        <v/>
      </c>
    </row>
    <row r="607" customFormat="false" ht="15" hidden="false" customHeight="false" outlineLevel="0" collapsed="false">
      <c r="A607" s="55"/>
      <c r="B607" s="56"/>
      <c r="C607" s="57"/>
      <c r="D607" s="56"/>
      <c r="E607" s="56"/>
      <c r="F607" s="56"/>
      <c r="G607" s="50" t="str">
        <f aca="false">IF($A607="","",IF(ISNUMBER($G606),$G606+1,1))</f>
        <v/>
      </c>
      <c r="H607" s="51" t="str">
        <f aca="false">IF(OR(NOT(ISNUMBER($G607)),$G607&lt;2,NOT(ISNUMBER($C606)),$C606=0),"",$C607/$C606-1)</f>
        <v/>
      </c>
      <c r="I607" s="52" t="str">
        <f aca="false">IF(AND(ISNUMBER($G607),$G607&gt;=MA_SHORT),AVERAGE(INDEX($C$207:$C607,402-MA_SHORT):$C607),"")</f>
        <v/>
      </c>
      <c r="J607" s="52" t="str">
        <f aca="false">IF(AND(ISNUMBER($G607),$G607&gt;=MA_MED),AVERAGE(INDEX($C$207:$C607,402-MA_MED):$C607),"")</f>
        <v/>
      </c>
      <c r="K607" s="52" t="str">
        <f aca="false">IF(AND(ISNUMBER($G607),$G607&gt;=MA_LONG2),AVERAGE(INDEX($C$207:$C607,402-MA_LONG2):$C607),"")</f>
        <v/>
      </c>
      <c r="L607" s="53" t="str">
        <f aca="false">IF(AND(ISNUMBER($G607),$G607&gt;=21),STDEV(INDEX($H$547:$H607,62-20):$H607)*SQRT(245),"")</f>
        <v/>
      </c>
      <c r="M607" s="52" t="str">
        <f aca="false">IF(AND(ISNUMBER($G607),$G607&gt;=60),MAX(INDEX($D$407:$D607,202-60):$D607),"")</f>
        <v/>
      </c>
      <c r="N607" s="52" t="str">
        <f aca="false">IF(AND(ISNUMBER($G607),$G607&gt;=60),MIN(INDEX($E$407:$E607,202-60):$E607),"")</f>
        <v/>
      </c>
      <c r="O607" s="53" t="str">
        <f aca="false">IF(OR(NOT(ISNUMBER($C607)),NOT(ISNUMBER($M607)),$M607=0),"",$C607/$M607-1)</f>
        <v/>
      </c>
      <c r="P607" s="54"/>
      <c r="Q607" s="53" t="str">
        <f aca="false">IF(NOT(ISNUMBER($P607)),"",IFERROR(PERCENTRANK($P$5:$P$1204,$P607),""))</f>
        <v/>
      </c>
    </row>
    <row r="608" customFormat="false" ht="15" hidden="false" customHeight="false" outlineLevel="0" collapsed="false">
      <c r="A608" s="55"/>
      <c r="B608" s="56"/>
      <c r="C608" s="57"/>
      <c r="D608" s="56"/>
      <c r="E608" s="56"/>
      <c r="F608" s="56"/>
      <c r="G608" s="50" t="str">
        <f aca="false">IF($A608="","",IF(ISNUMBER($G607),$G607+1,1))</f>
        <v/>
      </c>
      <c r="H608" s="51" t="str">
        <f aca="false">IF(OR(NOT(ISNUMBER($G608)),$G608&lt;2,NOT(ISNUMBER($C607)),$C607=0),"",$C608/$C607-1)</f>
        <v/>
      </c>
      <c r="I608" s="52" t="str">
        <f aca="false">IF(AND(ISNUMBER($G608),$G608&gt;=MA_SHORT),AVERAGE(INDEX($C$208:$C608,402-MA_SHORT):$C608),"")</f>
        <v/>
      </c>
      <c r="J608" s="52" t="str">
        <f aca="false">IF(AND(ISNUMBER($G608),$G608&gt;=MA_MED),AVERAGE(INDEX($C$208:$C608,402-MA_MED):$C608),"")</f>
        <v/>
      </c>
      <c r="K608" s="52" t="str">
        <f aca="false">IF(AND(ISNUMBER($G608),$G608&gt;=MA_LONG2),AVERAGE(INDEX($C$208:$C608,402-MA_LONG2):$C608),"")</f>
        <v/>
      </c>
      <c r="L608" s="53" t="str">
        <f aca="false">IF(AND(ISNUMBER($G608),$G608&gt;=21),STDEV(INDEX($H$548:$H608,62-20):$H608)*SQRT(245),"")</f>
        <v/>
      </c>
      <c r="M608" s="52" t="str">
        <f aca="false">IF(AND(ISNUMBER($G608),$G608&gt;=60),MAX(INDEX($D$408:$D608,202-60):$D608),"")</f>
        <v/>
      </c>
      <c r="N608" s="52" t="str">
        <f aca="false">IF(AND(ISNUMBER($G608),$G608&gt;=60),MIN(INDEX($E$408:$E608,202-60):$E608),"")</f>
        <v/>
      </c>
      <c r="O608" s="53" t="str">
        <f aca="false">IF(OR(NOT(ISNUMBER($C608)),NOT(ISNUMBER($M608)),$M608=0),"",$C608/$M608-1)</f>
        <v/>
      </c>
      <c r="P608" s="54"/>
      <c r="Q608" s="53" t="str">
        <f aca="false">IF(NOT(ISNUMBER($P608)),"",IFERROR(PERCENTRANK($P$5:$P$1204,$P608),""))</f>
        <v/>
      </c>
    </row>
    <row r="609" customFormat="false" ht="15" hidden="false" customHeight="false" outlineLevel="0" collapsed="false">
      <c r="A609" s="55"/>
      <c r="B609" s="56"/>
      <c r="C609" s="57"/>
      <c r="D609" s="56"/>
      <c r="E609" s="56"/>
      <c r="F609" s="56"/>
      <c r="G609" s="50" t="str">
        <f aca="false">IF($A609="","",IF(ISNUMBER($G608),$G608+1,1))</f>
        <v/>
      </c>
      <c r="H609" s="51" t="str">
        <f aca="false">IF(OR(NOT(ISNUMBER($G609)),$G609&lt;2,NOT(ISNUMBER($C608)),$C608=0),"",$C609/$C608-1)</f>
        <v/>
      </c>
      <c r="I609" s="52" t="str">
        <f aca="false">IF(AND(ISNUMBER($G609),$G609&gt;=MA_SHORT),AVERAGE(INDEX($C$209:$C609,402-MA_SHORT):$C609),"")</f>
        <v/>
      </c>
      <c r="J609" s="52" t="str">
        <f aca="false">IF(AND(ISNUMBER($G609),$G609&gt;=MA_MED),AVERAGE(INDEX($C$209:$C609,402-MA_MED):$C609),"")</f>
        <v/>
      </c>
      <c r="K609" s="52" t="str">
        <f aca="false">IF(AND(ISNUMBER($G609),$G609&gt;=MA_LONG2),AVERAGE(INDEX($C$209:$C609,402-MA_LONG2):$C609),"")</f>
        <v/>
      </c>
      <c r="L609" s="53" t="str">
        <f aca="false">IF(AND(ISNUMBER($G609),$G609&gt;=21),STDEV(INDEX($H$549:$H609,62-20):$H609)*SQRT(245),"")</f>
        <v/>
      </c>
      <c r="M609" s="52" t="str">
        <f aca="false">IF(AND(ISNUMBER($G609),$G609&gt;=60),MAX(INDEX($D$409:$D609,202-60):$D609),"")</f>
        <v/>
      </c>
      <c r="N609" s="52" t="str">
        <f aca="false">IF(AND(ISNUMBER($G609),$G609&gt;=60),MIN(INDEX($E$409:$E609,202-60):$E609),"")</f>
        <v/>
      </c>
      <c r="O609" s="53" t="str">
        <f aca="false">IF(OR(NOT(ISNUMBER($C609)),NOT(ISNUMBER($M609)),$M609=0),"",$C609/$M609-1)</f>
        <v/>
      </c>
      <c r="P609" s="54"/>
      <c r="Q609" s="53" t="str">
        <f aca="false">IF(NOT(ISNUMBER($P609)),"",IFERROR(PERCENTRANK($P$5:$P$1204,$P609),""))</f>
        <v/>
      </c>
    </row>
    <row r="610" customFormat="false" ht="15" hidden="false" customHeight="false" outlineLevel="0" collapsed="false">
      <c r="A610" s="55"/>
      <c r="B610" s="56"/>
      <c r="C610" s="57"/>
      <c r="D610" s="56"/>
      <c r="E610" s="56"/>
      <c r="F610" s="56"/>
      <c r="G610" s="50" t="str">
        <f aca="false">IF($A610="","",IF(ISNUMBER($G609),$G609+1,1))</f>
        <v/>
      </c>
      <c r="H610" s="51" t="str">
        <f aca="false">IF(OR(NOT(ISNUMBER($G610)),$G610&lt;2,NOT(ISNUMBER($C609)),$C609=0),"",$C610/$C609-1)</f>
        <v/>
      </c>
      <c r="I610" s="52" t="str">
        <f aca="false">IF(AND(ISNUMBER($G610),$G610&gt;=MA_SHORT),AVERAGE(INDEX($C$210:$C610,402-MA_SHORT):$C610),"")</f>
        <v/>
      </c>
      <c r="J610" s="52" t="str">
        <f aca="false">IF(AND(ISNUMBER($G610),$G610&gt;=MA_MED),AVERAGE(INDEX($C$210:$C610,402-MA_MED):$C610),"")</f>
        <v/>
      </c>
      <c r="K610" s="52" t="str">
        <f aca="false">IF(AND(ISNUMBER($G610),$G610&gt;=MA_LONG2),AVERAGE(INDEX($C$210:$C610,402-MA_LONG2):$C610),"")</f>
        <v/>
      </c>
      <c r="L610" s="53" t="str">
        <f aca="false">IF(AND(ISNUMBER($G610),$G610&gt;=21),STDEV(INDEX($H$550:$H610,62-20):$H610)*SQRT(245),"")</f>
        <v/>
      </c>
      <c r="M610" s="52" t="str">
        <f aca="false">IF(AND(ISNUMBER($G610),$G610&gt;=60),MAX(INDEX($D$410:$D610,202-60):$D610),"")</f>
        <v/>
      </c>
      <c r="N610" s="52" t="str">
        <f aca="false">IF(AND(ISNUMBER($G610),$G610&gt;=60),MIN(INDEX($E$410:$E610,202-60):$E610),"")</f>
        <v/>
      </c>
      <c r="O610" s="53" t="str">
        <f aca="false">IF(OR(NOT(ISNUMBER($C610)),NOT(ISNUMBER($M610)),$M610=0),"",$C610/$M610-1)</f>
        <v/>
      </c>
      <c r="P610" s="54"/>
      <c r="Q610" s="53" t="str">
        <f aca="false">IF(NOT(ISNUMBER($P610)),"",IFERROR(PERCENTRANK($P$5:$P$1204,$P610),""))</f>
        <v/>
      </c>
    </row>
    <row r="611" customFormat="false" ht="15" hidden="false" customHeight="false" outlineLevel="0" collapsed="false">
      <c r="A611" s="55"/>
      <c r="B611" s="56"/>
      <c r="C611" s="57"/>
      <c r="D611" s="56"/>
      <c r="E611" s="56"/>
      <c r="F611" s="56"/>
      <c r="G611" s="50" t="str">
        <f aca="false">IF($A611="","",IF(ISNUMBER($G610),$G610+1,1))</f>
        <v/>
      </c>
      <c r="H611" s="51" t="str">
        <f aca="false">IF(OR(NOT(ISNUMBER($G611)),$G611&lt;2,NOT(ISNUMBER($C610)),$C610=0),"",$C611/$C610-1)</f>
        <v/>
      </c>
      <c r="I611" s="52" t="str">
        <f aca="false">IF(AND(ISNUMBER($G611),$G611&gt;=MA_SHORT),AVERAGE(INDEX($C$211:$C611,402-MA_SHORT):$C611),"")</f>
        <v/>
      </c>
      <c r="J611" s="52" t="str">
        <f aca="false">IF(AND(ISNUMBER($G611),$G611&gt;=MA_MED),AVERAGE(INDEX($C$211:$C611,402-MA_MED):$C611),"")</f>
        <v/>
      </c>
      <c r="K611" s="52" t="str">
        <f aca="false">IF(AND(ISNUMBER($G611),$G611&gt;=MA_LONG2),AVERAGE(INDEX($C$211:$C611,402-MA_LONG2):$C611),"")</f>
        <v/>
      </c>
      <c r="L611" s="53" t="str">
        <f aca="false">IF(AND(ISNUMBER($G611),$G611&gt;=21),STDEV(INDEX($H$551:$H611,62-20):$H611)*SQRT(245),"")</f>
        <v/>
      </c>
      <c r="M611" s="52" t="str">
        <f aca="false">IF(AND(ISNUMBER($G611),$G611&gt;=60),MAX(INDEX($D$411:$D611,202-60):$D611),"")</f>
        <v/>
      </c>
      <c r="N611" s="52" t="str">
        <f aca="false">IF(AND(ISNUMBER($G611),$G611&gt;=60),MIN(INDEX($E$411:$E611,202-60):$E611),"")</f>
        <v/>
      </c>
      <c r="O611" s="53" t="str">
        <f aca="false">IF(OR(NOT(ISNUMBER($C611)),NOT(ISNUMBER($M611)),$M611=0),"",$C611/$M611-1)</f>
        <v/>
      </c>
      <c r="P611" s="54"/>
      <c r="Q611" s="53" t="str">
        <f aca="false">IF(NOT(ISNUMBER($P611)),"",IFERROR(PERCENTRANK($P$5:$P$1204,$P611),""))</f>
        <v/>
      </c>
    </row>
    <row r="612" customFormat="false" ht="15" hidden="false" customHeight="false" outlineLevel="0" collapsed="false">
      <c r="A612" s="55"/>
      <c r="B612" s="56"/>
      <c r="C612" s="57"/>
      <c r="D612" s="56"/>
      <c r="E612" s="56"/>
      <c r="F612" s="56"/>
      <c r="G612" s="50" t="str">
        <f aca="false">IF($A612="","",IF(ISNUMBER($G611),$G611+1,1))</f>
        <v/>
      </c>
      <c r="H612" s="51" t="str">
        <f aca="false">IF(OR(NOT(ISNUMBER($G612)),$G612&lt;2,NOT(ISNUMBER($C611)),$C611=0),"",$C612/$C611-1)</f>
        <v/>
      </c>
      <c r="I612" s="52" t="str">
        <f aca="false">IF(AND(ISNUMBER($G612),$G612&gt;=MA_SHORT),AVERAGE(INDEX($C$212:$C612,402-MA_SHORT):$C612),"")</f>
        <v/>
      </c>
      <c r="J612" s="52" t="str">
        <f aca="false">IF(AND(ISNUMBER($G612),$G612&gt;=MA_MED),AVERAGE(INDEX($C$212:$C612,402-MA_MED):$C612),"")</f>
        <v/>
      </c>
      <c r="K612" s="52" t="str">
        <f aca="false">IF(AND(ISNUMBER($G612),$G612&gt;=MA_LONG2),AVERAGE(INDEX($C$212:$C612,402-MA_LONG2):$C612),"")</f>
        <v/>
      </c>
      <c r="L612" s="53" t="str">
        <f aca="false">IF(AND(ISNUMBER($G612),$G612&gt;=21),STDEV(INDEX($H$552:$H612,62-20):$H612)*SQRT(245),"")</f>
        <v/>
      </c>
      <c r="M612" s="52" t="str">
        <f aca="false">IF(AND(ISNUMBER($G612),$G612&gt;=60),MAX(INDEX($D$412:$D612,202-60):$D612),"")</f>
        <v/>
      </c>
      <c r="N612" s="52" t="str">
        <f aca="false">IF(AND(ISNUMBER($G612),$G612&gt;=60),MIN(INDEX($E$412:$E612,202-60):$E612),"")</f>
        <v/>
      </c>
      <c r="O612" s="53" t="str">
        <f aca="false">IF(OR(NOT(ISNUMBER($C612)),NOT(ISNUMBER($M612)),$M612=0),"",$C612/$M612-1)</f>
        <v/>
      </c>
      <c r="P612" s="54"/>
      <c r="Q612" s="53" t="str">
        <f aca="false">IF(NOT(ISNUMBER($P612)),"",IFERROR(PERCENTRANK($P$5:$P$1204,$P612),""))</f>
        <v/>
      </c>
    </row>
    <row r="613" customFormat="false" ht="15" hidden="false" customHeight="false" outlineLevel="0" collapsed="false">
      <c r="A613" s="55"/>
      <c r="B613" s="56"/>
      <c r="C613" s="57"/>
      <c r="D613" s="56"/>
      <c r="E613" s="56"/>
      <c r="F613" s="56"/>
      <c r="G613" s="50" t="str">
        <f aca="false">IF($A613="","",IF(ISNUMBER($G612),$G612+1,1))</f>
        <v/>
      </c>
      <c r="H613" s="51" t="str">
        <f aca="false">IF(OR(NOT(ISNUMBER($G613)),$G613&lt;2,NOT(ISNUMBER($C612)),$C612=0),"",$C613/$C612-1)</f>
        <v/>
      </c>
      <c r="I613" s="52" t="str">
        <f aca="false">IF(AND(ISNUMBER($G613),$G613&gt;=MA_SHORT),AVERAGE(INDEX($C$213:$C613,402-MA_SHORT):$C613),"")</f>
        <v/>
      </c>
      <c r="J613" s="52" t="str">
        <f aca="false">IF(AND(ISNUMBER($G613),$G613&gt;=MA_MED),AVERAGE(INDEX($C$213:$C613,402-MA_MED):$C613),"")</f>
        <v/>
      </c>
      <c r="K613" s="52" t="str">
        <f aca="false">IF(AND(ISNUMBER($G613),$G613&gt;=MA_LONG2),AVERAGE(INDEX($C$213:$C613,402-MA_LONG2):$C613),"")</f>
        <v/>
      </c>
      <c r="L613" s="53" t="str">
        <f aca="false">IF(AND(ISNUMBER($G613),$G613&gt;=21),STDEV(INDEX($H$553:$H613,62-20):$H613)*SQRT(245),"")</f>
        <v/>
      </c>
      <c r="M613" s="52" t="str">
        <f aca="false">IF(AND(ISNUMBER($G613),$G613&gt;=60),MAX(INDEX($D$413:$D613,202-60):$D613),"")</f>
        <v/>
      </c>
      <c r="N613" s="52" t="str">
        <f aca="false">IF(AND(ISNUMBER($G613),$G613&gt;=60),MIN(INDEX($E$413:$E613,202-60):$E613),"")</f>
        <v/>
      </c>
      <c r="O613" s="53" t="str">
        <f aca="false">IF(OR(NOT(ISNUMBER($C613)),NOT(ISNUMBER($M613)),$M613=0),"",$C613/$M613-1)</f>
        <v/>
      </c>
      <c r="P613" s="54"/>
      <c r="Q613" s="53" t="str">
        <f aca="false">IF(NOT(ISNUMBER($P613)),"",IFERROR(PERCENTRANK($P$5:$P$1204,$P613),""))</f>
        <v/>
      </c>
    </row>
    <row r="614" customFormat="false" ht="15" hidden="false" customHeight="false" outlineLevel="0" collapsed="false">
      <c r="A614" s="55"/>
      <c r="B614" s="56"/>
      <c r="C614" s="57"/>
      <c r="D614" s="56"/>
      <c r="E614" s="56"/>
      <c r="F614" s="56"/>
      <c r="G614" s="50" t="str">
        <f aca="false">IF($A614="","",IF(ISNUMBER($G613),$G613+1,1))</f>
        <v/>
      </c>
      <c r="H614" s="51" t="str">
        <f aca="false">IF(OR(NOT(ISNUMBER($G614)),$G614&lt;2,NOT(ISNUMBER($C613)),$C613=0),"",$C614/$C613-1)</f>
        <v/>
      </c>
      <c r="I614" s="52" t="str">
        <f aca="false">IF(AND(ISNUMBER($G614),$G614&gt;=MA_SHORT),AVERAGE(INDEX($C$214:$C614,402-MA_SHORT):$C614),"")</f>
        <v/>
      </c>
      <c r="J614" s="52" t="str">
        <f aca="false">IF(AND(ISNUMBER($G614),$G614&gt;=MA_MED),AVERAGE(INDEX($C$214:$C614,402-MA_MED):$C614),"")</f>
        <v/>
      </c>
      <c r="K614" s="52" t="str">
        <f aca="false">IF(AND(ISNUMBER($G614),$G614&gt;=MA_LONG2),AVERAGE(INDEX($C$214:$C614,402-MA_LONG2):$C614),"")</f>
        <v/>
      </c>
      <c r="L614" s="53" t="str">
        <f aca="false">IF(AND(ISNUMBER($G614),$G614&gt;=21),STDEV(INDEX($H$554:$H614,62-20):$H614)*SQRT(245),"")</f>
        <v/>
      </c>
      <c r="M614" s="52" t="str">
        <f aca="false">IF(AND(ISNUMBER($G614),$G614&gt;=60),MAX(INDEX($D$414:$D614,202-60):$D614),"")</f>
        <v/>
      </c>
      <c r="N614" s="52" t="str">
        <f aca="false">IF(AND(ISNUMBER($G614),$G614&gt;=60),MIN(INDEX($E$414:$E614,202-60):$E614),"")</f>
        <v/>
      </c>
      <c r="O614" s="53" t="str">
        <f aca="false">IF(OR(NOT(ISNUMBER($C614)),NOT(ISNUMBER($M614)),$M614=0),"",$C614/$M614-1)</f>
        <v/>
      </c>
      <c r="P614" s="54"/>
      <c r="Q614" s="53" t="str">
        <f aca="false">IF(NOT(ISNUMBER($P614)),"",IFERROR(PERCENTRANK($P$5:$P$1204,$P614),""))</f>
        <v/>
      </c>
    </row>
    <row r="615" customFormat="false" ht="15" hidden="false" customHeight="false" outlineLevel="0" collapsed="false">
      <c r="A615" s="55"/>
      <c r="B615" s="56"/>
      <c r="C615" s="57"/>
      <c r="D615" s="56"/>
      <c r="E615" s="56"/>
      <c r="F615" s="56"/>
      <c r="G615" s="50" t="str">
        <f aca="false">IF($A615="","",IF(ISNUMBER($G614),$G614+1,1))</f>
        <v/>
      </c>
      <c r="H615" s="51" t="str">
        <f aca="false">IF(OR(NOT(ISNUMBER($G615)),$G615&lt;2,NOT(ISNUMBER($C614)),$C614=0),"",$C615/$C614-1)</f>
        <v/>
      </c>
      <c r="I615" s="52" t="str">
        <f aca="false">IF(AND(ISNUMBER($G615),$G615&gt;=MA_SHORT),AVERAGE(INDEX($C$215:$C615,402-MA_SHORT):$C615),"")</f>
        <v/>
      </c>
      <c r="J615" s="52" t="str">
        <f aca="false">IF(AND(ISNUMBER($G615),$G615&gt;=MA_MED),AVERAGE(INDEX($C$215:$C615,402-MA_MED):$C615),"")</f>
        <v/>
      </c>
      <c r="K615" s="52" t="str">
        <f aca="false">IF(AND(ISNUMBER($G615),$G615&gt;=MA_LONG2),AVERAGE(INDEX($C$215:$C615,402-MA_LONG2):$C615),"")</f>
        <v/>
      </c>
      <c r="L615" s="53" t="str">
        <f aca="false">IF(AND(ISNUMBER($G615),$G615&gt;=21),STDEV(INDEX($H$555:$H615,62-20):$H615)*SQRT(245),"")</f>
        <v/>
      </c>
      <c r="M615" s="52" t="str">
        <f aca="false">IF(AND(ISNUMBER($G615),$G615&gt;=60),MAX(INDEX($D$415:$D615,202-60):$D615),"")</f>
        <v/>
      </c>
      <c r="N615" s="52" t="str">
        <f aca="false">IF(AND(ISNUMBER($G615),$G615&gt;=60),MIN(INDEX($E$415:$E615,202-60):$E615),"")</f>
        <v/>
      </c>
      <c r="O615" s="53" t="str">
        <f aca="false">IF(OR(NOT(ISNUMBER($C615)),NOT(ISNUMBER($M615)),$M615=0),"",$C615/$M615-1)</f>
        <v/>
      </c>
      <c r="P615" s="54"/>
      <c r="Q615" s="53" t="str">
        <f aca="false">IF(NOT(ISNUMBER($P615)),"",IFERROR(PERCENTRANK($P$5:$P$1204,$P615),""))</f>
        <v/>
      </c>
    </row>
    <row r="616" customFormat="false" ht="15" hidden="false" customHeight="false" outlineLevel="0" collapsed="false">
      <c r="A616" s="55"/>
      <c r="B616" s="56"/>
      <c r="C616" s="57"/>
      <c r="D616" s="56"/>
      <c r="E616" s="56"/>
      <c r="F616" s="56"/>
      <c r="G616" s="50" t="str">
        <f aca="false">IF($A616="","",IF(ISNUMBER($G615),$G615+1,1))</f>
        <v/>
      </c>
      <c r="H616" s="51" t="str">
        <f aca="false">IF(OR(NOT(ISNUMBER($G616)),$G616&lt;2,NOT(ISNUMBER($C615)),$C615=0),"",$C616/$C615-1)</f>
        <v/>
      </c>
      <c r="I616" s="52" t="str">
        <f aca="false">IF(AND(ISNUMBER($G616),$G616&gt;=MA_SHORT),AVERAGE(INDEX($C$216:$C616,402-MA_SHORT):$C616),"")</f>
        <v/>
      </c>
      <c r="J616" s="52" t="str">
        <f aca="false">IF(AND(ISNUMBER($G616),$G616&gt;=MA_MED),AVERAGE(INDEX($C$216:$C616,402-MA_MED):$C616),"")</f>
        <v/>
      </c>
      <c r="K616" s="52" t="str">
        <f aca="false">IF(AND(ISNUMBER($G616),$G616&gt;=MA_LONG2),AVERAGE(INDEX($C$216:$C616,402-MA_LONG2):$C616),"")</f>
        <v/>
      </c>
      <c r="L616" s="53" t="str">
        <f aca="false">IF(AND(ISNUMBER($G616),$G616&gt;=21),STDEV(INDEX($H$556:$H616,62-20):$H616)*SQRT(245),"")</f>
        <v/>
      </c>
      <c r="M616" s="52" t="str">
        <f aca="false">IF(AND(ISNUMBER($G616),$G616&gt;=60),MAX(INDEX($D$416:$D616,202-60):$D616),"")</f>
        <v/>
      </c>
      <c r="N616" s="52" t="str">
        <f aca="false">IF(AND(ISNUMBER($G616),$G616&gt;=60),MIN(INDEX($E$416:$E616,202-60):$E616),"")</f>
        <v/>
      </c>
      <c r="O616" s="53" t="str">
        <f aca="false">IF(OR(NOT(ISNUMBER($C616)),NOT(ISNUMBER($M616)),$M616=0),"",$C616/$M616-1)</f>
        <v/>
      </c>
      <c r="P616" s="54"/>
      <c r="Q616" s="53" t="str">
        <f aca="false">IF(NOT(ISNUMBER($P616)),"",IFERROR(PERCENTRANK($P$5:$P$1204,$P616),""))</f>
        <v/>
      </c>
    </row>
    <row r="617" customFormat="false" ht="15" hidden="false" customHeight="false" outlineLevel="0" collapsed="false">
      <c r="A617" s="55"/>
      <c r="B617" s="56"/>
      <c r="C617" s="57"/>
      <c r="D617" s="56"/>
      <c r="E617" s="56"/>
      <c r="F617" s="56"/>
      <c r="G617" s="50" t="str">
        <f aca="false">IF($A617="","",IF(ISNUMBER($G616),$G616+1,1))</f>
        <v/>
      </c>
      <c r="H617" s="51" t="str">
        <f aca="false">IF(OR(NOT(ISNUMBER($G617)),$G617&lt;2,NOT(ISNUMBER($C616)),$C616=0),"",$C617/$C616-1)</f>
        <v/>
      </c>
      <c r="I617" s="52" t="str">
        <f aca="false">IF(AND(ISNUMBER($G617),$G617&gt;=MA_SHORT),AVERAGE(INDEX($C$217:$C617,402-MA_SHORT):$C617),"")</f>
        <v/>
      </c>
      <c r="J617" s="52" t="str">
        <f aca="false">IF(AND(ISNUMBER($G617),$G617&gt;=MA_MED),AVERAGE(INDEX($C$217:$C617,402-MA_MED):$C617),"")</f>
        <v/>
      </c>
      <c r="K617" s="52" t="str">
        <f aca="false">IF(AND(ISNUMBER($G617),$G617&gt;=MA_LONG2),AVERAGE(INDEX($C$217:$C617,402-MA_LONG2):$C617),"")</f>
        <v/>
      </c>
      <c r="L617" s="53" t="str">
        <f aca="false">IF(AND(ISNUMBER($G617),$G617&gt;=21),STDEV(INDEX($H$557:$H617,62-20):$H617)*SQRT(245),"")</f>
        <v/>
      </c>
      <c r="M617" s="52" t="str">
        <f aca="false">IF(AND(ISNUMBER($G617),$G617&gt;=60),MAX(INDEX($D$417:$D617,202-60):$D617),"")</f>
        <v/>
      </c>
      <c r="N617" s="52" t="str">
        <f aca="false">IF(AND(ISNUMBER($G617),$G617&gt;=60),MIN(INDEX($E$417:$E617,202-60):$E617),"")</f>
        <v/>
      </c>
      <c r="O617" s="53" t="str">
        <f aca="false">IF(OR(NOT(ISNUMBER($C617)),NOT(ISNUMBER($M617)),$M617=0),"",$C617/$M617-1)</f>
        <v/>
      </c>
      <c r="P617" s="54"/>
      <c r="Q617" s="53" t="str">
        <f aca="false">IF(NOT(ISNUMBER($P617)),"",IFERROR(PERCENTRANK($P$5:$P$1204,$P617),""))</f>
        <v/>
      </c>
    </row>
    <row r="618" customFormat="false" ht="15" hidden="false" customHeight="false" outlineLevel="0" collapsed="false">
      <c r="A618" s="55"/>
      <c r="B618" s="56"/>
      <c r="C618" s="57"/>
      <c r="D618" s="56"/>
      <c r="E618" s="56"/>
      <c r="F618" s="56"/>
      <c r="G618" s="50" t="str">
        <f aca="false">IF($A618="","",IF(ISNUMBER($G617),$G617+1,1))</f>
        <v/>
      </c>
      <c r="H618" s="51" t="str">
        <f aca="false">IF(OR(NOT(ISNUMBER($G618)),$G618&lt;2,NOT(ISNUMBER($C617)),$C617=0),"",$C618/$C617-1)</f>
        <v/>
      </c>
      <c r="I618" s="52" t="str">
        <f aca="false">IF(AND(ISNUMBER($G618),$G618&gt;=MA_SHORT),AVERAGE(INDEX($C$218:$C618,402-MA_SHORT):$C618),"")</f>
        <v/>
      </c>
      <c r="J618" s="52" t="str">
        <f aca="false">IF(AND(ISNUMBER($G618),$G618&gt;=MA_MED),AVERAGE(INDEX($C$218:$C618,402-MA_MED):$C618),"")</f>
        <v/>
      </c>
      <c r="K618" s="52" t="str">
        <f aca="false">IF(AND(ISNUMBER($G618),$G618&gt;=MA_LONG2),AVERAGE(INDEX($C$218:$C618,402-MA_LONG2):$C618),"")</f>
        <v/>
      </c>
      <c r="L618" s="53" t="str">
        <f aca="false">IF(AND(ISNUMBER($G618),$G618&gt;=21),STDEV(INDEX($H$558:$H618,62-20):$H618)*SQRT(245),"")</f>
        <v/>
      </c>
      <c r="M618" s="52" t="str">
        <f aca="false">IF(AND(ISNUMBER($G618),$G618&gt;=60),MAX(INDEX($D$418:$D618,202-60):$D618),"")</f>
        <v/>
      </c>
      <c r="N618" s="52" t="str">
        <f aca="false">IF(AND(ISNUMBER($G618),$G618&gt;=60),MIN(INDEX($E$418:$E618,202-60):$E618),"")</f>
        <v/>
      </c>
      <c r="O618" s="53" t="str">
        <f aca="false">IF(OR(NOT(ISNUMBER($C618)),NOT(ISNUMBER($M618)),$M618=0),"",$C618/$M618-1)</f>
        <v/>
      </c>
      <c r="P618" s="54"/>
      <c r="Q618" s="53" t="str">
        <f aca="false">IF(NOT(ISNUMBER($P618)),"",IFERROR(PERCENTRANK($P$5:$P$1204,$P618),""))</f>
        <v/>
      </c>
    </row>
    <row r="619" customFormat="false" ht="15" hidden="false" customHeight="false" outlineLevel="0" collapsed="false">
      <c r="A619" s="55"/>
      <c r="B619" s="56"/>
      <c r="C619" s="57"/>
      <c r="D619" s="56"/>
      <c r="E619" s="56"/>
      <c r="F619" s="56"/>
      <c r="G619" s="50" t="str">
        <f aca="false">IF($A619="","",IF(ISNUMBER($G618),$G618+1,1))</f>
        <v/>
      </c>
      <c r="H619" s="51" t="str">
        <f aca="false">IF(OR(NOT(ISNUMBER($G619)),$G619&lt;2,NOT(ISNUMBER($C618)),$C618=0),"",$C619/$C618-1)</f>
        <v/>
      </c>
      <c r="I619" s="52" t="str">
        <f aca="false">IF(AND(ISNUMBER($G619),$G619&gt;=MA_SHORT),AVERAGE(INDEX($C$219:$C619,402-MA_SHORT):$C619),"")</f>
        <v/>
      </c>
      <c r="J619" s="52" t="str">
        <f aca="false">IF(AND(ISNUMBER($G619),$G619&gt;=MA_MED),AVERAGE(INDEX($C$219:$C619,402-MA_MED):$C619),"")</f>
        <v/>
      </c>
      <c r="K619" s="52" t="str">
        <f aca="false">IF(AND(ISNUMBER($G619),$G619&gt;=MA_LONG2),AVERAGE(INDEX($C$219:$C619,402-MA_LONG2):$C619),"")</f>
        <v/>
      </c>
      <c r="L619" s="53" t="str">
        <f aca="false">IF(AND(ISNUMBER($G619),$G619&gt;=21),STDEV(INDEX($H$559:$H619,62-20):$H619)*SQRT(245),"")</f>
        <v/>
      </c>
      <c r="M619" s="52" t="str">
        <f aca="false">IF(AND(ISNUMBER($G619),$G619&gt;=60),MAX(INDEX($D$419:$D619,202-60):$D619),"")</f>
        <v/>
      </c>
      <c r="N619" s="52" t="str">
        <f aca="false">IF(AND(ISNUMBER($G619),$G619&gt;=60),MIN(INDEX($E$419:$E619,202-60):$E619),"")</f>
        <v/>
      </c>
      <c r="O619" s="53" t="str">
        <f aca="false">IF(OR(NOT(ISNUMBER($C619)),NOT(ISNUMBER($M619)),$M619=0),"",$C619/$M619-1)</f>
        <v/>
      </c>
      <c r="P619" s="54"/>
      <c r="Q619" s="53" t="str">
        <f aca="false">IF(NOT(ISNUMBER($P619)),"",IFERROR(PERCENTRANK($P$5:$P$1204,$P619),""))</f>
        <v/>
      </c>
    </row>
    <row r="620" customFormat="false" ht="15" hidden="false" customHeight="false" outlineLevel="0" collapsed="false">
      <c r="A620" s="55"/>
      <c r="B620" s="56"/>
      <c r="C620" s="57"/>
      <c r="D620" s="56"/>
      <c r="E620" s="56"/>
      <c r="F620" s="56"/>
      <c r="G620" s="50" t="str">
        <f aca="false">IF($A620="","",IF(ISNUMBER($G619),$G619+1,1))</f>
        <v/>
      </c>
      <c r="H620" s="51" t="str">
        <f aca="false">IF(OR(NOT(ISNUMBER($G620)),$G620&lt;2,NOT(ISNUMBER($C619)),$C619=0),"",$C620/$C619-1)</f>
        <v/>
      </c>
      <c r="I620" s="52" t="str">
        <f aca="false">IF(AND(ISNUMBER($G620),$G620&gt;=MA_SHORT),AVERAGE(INDEX($C$220:$C620,402-MA_SHORT):$C620),"")</f>
        <v/>
      </c>
      <c r="J620" s="52" t="str">
        <f aca="false">IF(AND(ISNUMBER($G620),$G620&gt;=MA_MED),AVERAGE(INDEX($C$220:$C620,402-MA_MED):$C620),"")</f>
        <v/>
      </c>
      <c r="K620" s="52" t="str">
        <f aca="false">IF(AND(ISNUMBER($G620),$G620&gt;=MA_LONG2),AVERAGE(INDEX($C$220:$C620,402-MA_LONG2):$C620),"")</f>
        <v/>
      </c>
      <c r="L620" s="53" t="str">
        <f aca="false">IF(AND(ISNUMBER($G620),$G620&gt;=21),STDEV(INDEX($H$560:$H620,62-20):$H620)*SQRT(245),"")</f>
        <v/>
      </c>
      <c r="M620" s="52" t="str">
        <f aca="false">IF(AND(ISNUMBER($G620),$G620&gt;=60),MAX(INDEX($D$420:$D620,202-60):$D620),"")</f>
        <v/>
      </c>
      <c r="N620" s="52" t="str">
        <f aca="false">IF(AND(ISNUMBER($G620),$G620&gt;=60),MIN(INDEX($E$420:$E620,202-60):$E620),"")</f>
        <v/>
      </c>
      <c r="O620" s="53" t="str">
        <f aca="false">IF(OR(NOT(ISNUMBER($C620)),NOT(ISNUMBER($M620)),$M620=0),"",$C620/$M620-1)</f>
        <v/>
      </c>
      <c r="P620" s="54"/>
      <c r="Q620" s="53" t="str">
        <f aca="false">IF(NOT(ISNUMBER($P620)),"",IFERROR(PERCENTRANK($P$5:$P$1204,$P620),""))</f>
        <v/>
      </c>
    </row>
    <row r="621" customFormat="false" ht="15" hidden="false" customHeight="false" outlineLevel="0" collapsed="false">
      <c r="A621" s="55"/>
      <c r="B621" s="56"/>
      <c r="C621" s="57"/>
      <c r="D621" s="56"/>
      <c r="E621" s="56"/>
      <c r="F621" s="56"/>
      <c r="G621" s="50" t="str">
        <f aca="false">IF($A621="","",IF(ISNUMBER($G620),$G620+1,1))</f>
        <v/>
      </c>
      <c r="H621" s="51" t="str">
        <f aca="false">IF(OR(NOT(ISNUMBER($G621)),$G621&lt;2,NOT(ISNUMBER($C620)),$C620=0),"",$C621/$C620-1)</f>
        <v/>
      </c>
      <c r="I621" s="52" t="str">
        <f aca="false">IF(AND(ISNUMBER($G621),$G621&gt;=MA_SHORT),AVERAGE(INDEX($C$221:$C621,402-MA_SHORT):$C621),"")</f>
        <v/>
      </c>
      <c r="J621" s="52" t="str">
        <f aca="false">IF(AND(ISNUMBER($G621),$G621&gt;=MA_MED),AVERAGE(INDEX($C$221:$C621,402-MA_MED):$C621),"")</f>
        <v/>
      </c>
      <c r="K621" s="52" t="str">
        <f aca="false">IF(AND(ISNUMBER($G621),$G621&gt;=MA_LONG2),AVERAGE(INDEX($C$221:$C621,402-MA_LONG2):$C621),"")</f>
        <v/>
      </c>
      <c r="L621" s="53" t="str">
        <f aca="false">IF(AND(ISNUMBER($G621),$G621&gt;=21),STDEV(INDEX($H$561:$H621,62-20):$H621)*SQRT(245),"")</f>
        <v/>
      </c>
      <c r="M621" s="52" t="str">
        <f aca="false">IF(AND(ISNUMBER($G621),$G621&gt;=60),MAX(INDEX($D$421:$D621,202-60):$D621),"")</f>
        <v/>
      </c>
      <c r="N621" s="52" t="str">
        <f aca="false">IF(AND(ISNUMBER($G621),$G621&gt;=60),MIN(INDEX($E$421:$E621,202-60):$E621),"")</f>
        <v/>
      </c>
      <c r="O621" s="53" t="str">
        <f aca="false">IF(OR(NOT(ISNUMBER($C621)),NOT(ISNUMBER($M621)),$M621=0),"",$C621/$M621-1)</f>
        <v/>
      </c>
      <c r="P621" s="54"/>
      <c r="Q621" s="53" t="str">
        <f aca="false">IF(NOT(ISNUMBER($P621)),"",IFERROR(PERCENTRANK($P$5:$P$1204,$P621),""))</f>
        <v/>
      </c>
    </row>
    <row r="622" customFormat="false" ht="15" hidden="false" customHeight="false" outlineLevel="0" collapsed="false">
      <c r="A622" s="55"/>
      <c r="B622" s="56"/>
      <c r="C622" s="57"/>
      <c r="D622" s="56"/>
      <c r="E622" s="56"/>
      <c r="F622" s="56"/>
      <c r="G622" s="50" t="str">
        <f aca="false">IF($A622="","",IF(ISNUMBER($G621),$G621+1,1))</f>
        <v/>
      </c>
      <c r="H622" s="51" t="str">
        <f aca="false">IF(OR(NOT(ISNUMBER($G622)),$G622&lt;2,NOT(ISNUMBER($C621)),$C621=0),"",$C622/$C621-1)</f>
        <v/>
      </c>
      <c r="I622" s="52" t="str">
        <f aca="false">IF(AND(ISNUMBER($G622),$G622&gt;=MA_SHORT),AVERAGE(INDEX($C$222:$C622,402-MA_SHORT):$C622),"")</f>
        <v/>
      </c>
      <c r="J622" s="52" t="str">
        <f aca="false">IF(AND(ISNUMBER($G622),$G622&gt;=MA_MED),AVERAGE(INDEX($C$222:$C622,402-MA_MED):$C622),"")</f>
        <v/>
      </c>
      <c r="K622" s="52" t="str">
        <f aca="false">IF(AND(ISNUMBER($G622),$G622&gt;=MA_LONG2),AVERAGE(INDEX($C$222:$C622,402-MA_LONG2):$C622),"")</f>
        <v/>
      </c>
      <c r="L622" s="53" t="str">
        <f aca="false">IF(AND(ISNUMBER($G622),$G622&gt;=21),STDEV(INDEX($H$562:$H622,62-20):$H622)*SQRT(245),"")</f>
        <v/>
      </c>
      <c r="M622" s="52" t="str">
        <f aca="false">IF(AND(ISNUMBER($G622),$G622&gt;=60),MAX(INDEX($D$422:$D622,202-60):$D622),"")</f>
        <v/>
      </c>
      <c r="N622" s="52" t="str">
        <f aca="false">IF(AND(ISNUMBER($G622),$G622&gt;=60),MIN(INDEX($E$422:$E622,202-60):$E622),"")</f>
        <v/>
      </c>
      <c r="O622" s="53" t="str">
        <f aca="false">IF(OR(NOT(ISNUMBER($C622)),NOT(ISNUMBER($M622)),$M622=0),"",$C622/$M622-1)</f>
        <v/>
      </c>
      <c r="P622" s="54"/>
      <c r="Q622" s="53" t="str">
        <f aca="false">IF(NOT(ISNUMBER($P622)),"",IFERROR(PERCENTRANK($P$5:$P$1204,$P622),""))</f>
        <v/>
      </c>
    </row>
    <row r="623" customFormat="false" ht="15" hidden="false" customHeight="false" outlineLevel="0" collapsed="false">
      <c r="A623" s="55"/>
      <c r="B623" s="56"/>
      <c r="C623" s="57"/>
      <c r="D623" s="56"/>
      <c r="E623" s="56"/>
      <c r="F623" s="56"/>
      <c r="G623" s="50" t="str">
        <f aca="false">IF($A623="","",IF(ISNUMBER($G622),$G622+1,1))</f>
        <v/>
      </c>
      <c r="H623" s="51" t="str">
        <f aca="false">IF(OR(NOT(ISNUMBER($G623)),$G623&lt;2,NOT(ISNUMBER($C622)),$C622=0),"",$C623/$C622-1)</f>
        <v/>
      </c>
      <c r="I623" s="52" t="str">
        <f aca="false">IF(AND(ISNUMBER($G623),$G623&gt;=MA_SHORT),AVERAGE(INDEX($C$223:$C623,402-MA_SHORT):$C623),"")</f>
        <v/>
      </c>
      <c r="J623" s="52" t="str">
        <f aca="false">IF(AND(ISNUMBER($G623),$G623&gt;=MA_MED),AVERAGE(INDEX($C$223:$C623,402-MA_MED):$C623),"")</f>
        <v/>
      </c>
      <c r="K623" s="52" t="str">
        <f aca="false">IF(AND(ISNUMBER($G623),$G623&gt;=MA_LONG2),AVERAGE(INDEX($C$223:$C623,402-MA_LONG2):$C623),"")</f>
        <v/>
      </c>
      <c r="L623" s="53" t="str">
        <f aca="false">IF(AND(ISNUMBER($G623),$G623&gt;=21),STDEV(INDEX($H$563:$H623,62-20):$H623)*SQRT(245),"")</f>
        <v/>
      </c>
      <c r="M623" s="52" t="str">
        <f aca="false">IF(AND(ISNUMBER($G623),$G623&gt;=60),MAX(INDEX($D$423:$D623,202-60):$D623),"")</f>
        <v/>
      </c>
      <c r="N623" s="52" t="str">
        <f aca="false">IF(AND(ISNUMBER($G623),$G623&gt;=60),MIN(INDEX($E$423:$E623,202-60):$E623),"")</f>
        <v/>
      </c>
      <c r="O623" s="53" t="str">
        <f aca="false">IF(OR(NOT(ISNUMBER($C623)),NOT(ISNUMBER($M623)),$M623=0),"",$C623/$M623-1)</f>
        <v/>
      </c>
      <c r="P623" s="54"/>
      <c r="Q623" s="53" t="str">
        <f aca="false">IF(NOT(ISNUMBER($P623)),"",IFERROR(PERCENTRANK($P$5:$P$1204,$P623),""))</f>
        <v/>
      </c>
    </row>
    <row r="624" customFormat="false" ht="15" hidden="false" customHeight="false" outlineLevel="0" collapsed="false">
      <c r="A624" s="55"/>
      <c r="B624" s="56"/>
      <c r="C624" s="57"/>
      <c r="D624" s="56"/>
      <c r="E624" s="56"/>
      <c r="F624" s="56"/>
      <c r="G624" s="50" t="str">
        <f aca="false">IF($A624="","",IF(ISNUMBER($G623),$G623+1,1))</f>
        <v/>
      </c>
      <c r="H624" s="51" t="str">
        <f aca="false">IF(OR(NOT(ISNUMBER($G624)),$G624&lt;2,NOT(ISNUMBER($C623)),$C623=0),"",$C624/$C623-1)</f>
        <v/>
      </c>
      <c r="I624" s="52" t="str">
        <f aca="false">IF(AND(ISNUMBER($G624),$G624&gt;=MA_SHORT),AVERAGE(INDEX($C$224:$C624,402-MA_SHORT):$C624),"")</f>
        <v/>
      </c>
      <c r="J624" s="52" t="str">
        <f aca="false">IF(AND(ISNUMBER($G624),$G624&gt;=MA_MED),AVERAGE(INDEX($C$224:$C624,402-MA_MED):$C624),"")</f>
        <v/>
      </c>
      <c r="K624" s="52" t="str">
        <f aca="false">IF(AND(ISNUMBER($G624),$G624&gt;=MA_LONG2),AVERAGE(INDEX($C$224:$C624,402-MA_LONG2):$C624),"")</f>
        <v/>
      </c>
      <c r="L624" s="53" t="str">
        <f aca="false">IF(AND(ISNUMBER($G624),$G624&gt;=21),STDEV(INDEX($H$564:$H624,62-20):$H624)*SQRT(245),"")</f>
        <v/>
      </c>
      <c r="M624" s="52" t="str">
        <f aca="false">IF(AND(ISNUMBER($G624),$G624&gt;=60),MAX(INDEX($D$424:$D624,202-60):$D624),"")</f>
        <v/>
      </c>
      <c r="N624" s="52" t="str">
        <f aca="false">IF(AND(ISNUMBER($G624),$G624&gt;=60),MIN(INDEX($E$424:$E624,202-60):$E624),"")</f>
        <v/>
      </c>
      <c r="O624" s="53" t="str">
        <f aca="false">IF(OR(NOT(ISNUMBER($C624)),NOT(ISNUMBER($M624)),$M624=0),"",$C624/$M624-1)</f>
        <v/>
      </c>
      <c r="P624" s="54"/>
      <c r="Q624" s="53" t="str">
        <f aca="false">IF(NOT(ISNUMBER($P624)),"",IFERROR(PERCENTRANK($P$5:$P$1204,$P624),""))</f>
        <v/>
      </c>
    </row>
    <row r="625" customFormat="false" ht="15" hidden="false" customHeight="false" outlineLevel="0" collapsed="false">
      <c r="A625" s="55"/>
      <c r="B625" s="56"/>
      <c r="C625" s="57"/>
      <c r="D625" s="56"/>
      <c r="E625" s="56"/>
      <c r="F625" s="56"/>
      <c r="G625" s="50" t="str">
        <f aca="false">IF($A625="","",IF(ISNUMBER($G624),$G624+1,1))</f>
        <v/>
      </c>
      <c r="H625" s="51" t="str">
        <f aca="false">IF(OR(NOT(ISNUMBER($G625)),$G625&lt;2,NOT(ISNUMBER($C624)),$C624=0),"",$C625/$C624-1)</f>
        <v/>
      </c>
      <c r="I625" s="52" t="str">
        <f aca="false">IF(AND(ISNUMBER($G625),$G625&gt;=MA_SHORT),AVERAGE(INDEX($C$225:$C625,402-MA_SHORT):$C625),"")</f>
        <v/>
      </c>
      <c r="J625" s="52" t="str">
        <f aca="false">IF(AND(ISNUMBER($G625),$G625&gt;=MA_MED),AVERAGE(INDEX($C$225:$C625,402-MA_MED):$C625),"")</f>
        <v/>
      </c>
      <c r="K625" s="52" t="str">
        <f aca="false">IF(AND(ISNUMBER($G625),$G625&gt;=MA_LONG2),AVERAGE(INDEX($C$225:$C625,402-MA_LONG2):$C625),"")</f>
        <v/>
      </c>
      <c r="L625" s="53" t="str">
        <f aca="false">IF(AND(ISNUMBER($G625),$G625&gt;=21),STDEV(INDEX($H$565:$H625,62-20):$H625)*SQRT(245),"")</f>
        <v/>
      </c>
      <c r="M625" s="52" t="str">
        <f aca="false">IF(AND(ISNUMBER($G625),$G625&gt;=60),MAX(INDEX($D$425:$D625,202-60):$D625),"")</f>
        <v/>
      </c>
      <c r="N625" s="52" t="str">
        <f aca="false">IF(AND(ISNUMBER($G625),$G625&gt;=60),MIN(INDEX($E$425:$E625,202-60):$E625),"")</f>
        <v/>
      </c>
      <c r="O625" s="53" t="str">
        <f aca="false">IF(OR(NOT(ISNUMBER($C625)),NOT(ISNUMBER($M625)),$M625=0),"",$C625/$M625-1)</f>
        <v/>
      </c>
      <c r="P625" s="54"/>
      <c r="Q625" s="53" t="str">
        <f aca="false">IF(NOT(ISNUMBER($P625)),"",IFERROR(PERCENTRANK($P$5:$P$1204,$P625),""))</f>
        <v/>
      </c>
    </row>
    <row r="626" customFormat="false" ht="15" hidden="false" customHeight="false" outlineLevel="0" collapsed="false">
      <c r="A626" s="55"/>
      <c r="B626" s="56"/>
      <c r="C626" s="57"/>
      <c r="D626" s="56"/>
      <c r="E626" s="56"/>
      <c r="F626" s="56"/>
      <c r="G626" s="50" t="str">
        <f aca="false">IF($A626="","",IF(ISNUMBER($G625),$G625+1,1))</f>
        <v/>
      </c>
      <c r="H626" s="51" t="str">
        <f aca="false">IF(OR(NOT(ISNUMBER($G626)),$G626&lt;2,NOT(ISNUMBER($C625)),$C625=0),"",$C626/$C625-1)</f>
        <v/>
      </c>
      <c r="I626" s="52" t="str">
        <f aca="false">IF(AND(ISNUMBER($G626),$G626&gt;=MA_SHORT),AVERAGE(INDEX($C$226:$C626,402-MA_SHORT):$C626),"")</f>
        <v/>
      </c>
      <c r="J626" s="52" t="str">
        <f aca="false">IF(AND(ISNUMBER($G626),$G626&gt;=MA_MED),AVERAGE(INDEX($C$226:$C626,402-MA_MED):$C626),"")</f>
        <v/>
      </c>
      <c r="K626" s="52" t="str">
        <f aca="false">IF(AND(ISNUMBER($G626),$G626&gt;=MA_LONG2),AVERAGE(INDEX($C$226:$C626,402-MA_LONG2):$C626),"")</f>
        <v/>
      </c>
      <c r="L626" s="53" t="str">
        <f aca="false">IF(AND(ISNUMBER($G626),$G626&gt;=21),STDEV(INDEX($H$566:$H626,62-20):$H626)*SQRT(245),"")</f>
        <v/>
      </c>
      <c r="M626" s="52" t="str">
        <f aca="false">IF(AND(ISNUMBER($G626),$G626&gt;=60),MAX(INDEX($D$426:$D626,202-60):$D626),"")</f>
        <v/>
      </c>
      <c r="N626" s="52" t="str">
        <f aca="false">IF(AND(ISNUMBER($G626),$G626&gt;=60),MIN(INDEX($E$426:$E626,202-60):$E626),"")</f>
        <v/>
      </c>
      <c r="O626" s="53" t="str">
        <f aca="false">IF(OR(NOT(ISNUMBER($C626)),NOT(ISNUMBER($M626)),$M626=0),"",$C626/$M626-1)</f>
        <v/>
      </c>
      <c r="P626" s="54"/>
      <c r="Q626" s="53" t="str">
        <f aca="false">IF(NOT(ISNUMBER($P626)),"",IFERROR(PERCENTRANK($P$5:$P$1204,$P626),""))</f>
        <v/>
      </c>
    </row>
    <row r="627" customFormat="false" ht="15" hidden="false" customHeight="false" outlineLevel="0" collapsed="false">
      <c r="A627" s="55"/>
      <c r="B627" s="56"/>
      <c r="C627" s="57"/>
      <c r="D627" s="56"/>
      <c r="E627" s="56"/>
      <c r="F627" s="56"/>
      <c r="G627" s="50" t="str">
        <f aca="false">IF($A627="","",IF(ISNUMBER($G626),$G626+1,1))</f>
        <v/>
      </c>
      <c r="H627" s="51" t="str">
        <f aca="false">IF(OR(NOT(ISNUMBER($G627)),$G627&lt;2,NOT(ISNUMBER($C626)),$C626=0),"",$C627/$C626-1)</f>
        <v/>
      </c>
      <c r="I627" s="52" t="str">
        <f aca="false">IF(AND(ISNUMBER($G627),$G627&gt;=MA_SHORT),AVERAGE(INDEX($C$227:$C627,402-MA_SHORT):$C627),"")</f>
        <v/>
      </c>
      <c r="J627" s="52" t="str">
        <f aca="false">IF(AND(ISNUMBER($G627),$G627&gt;=MA_MED),AVERAGE(INDEX($C$227:$C627,402-MA_MED):$C627),"")</f>
        <v/>
      </c>
      <c r="K627" s="52" t="str">
        <f aca="false">IF(AND(ISNUMBER($G627),$G627&gt;=MA_LONG2),AVERAGE(INDEX($C$227:$C627,402-MA_LONG2):$C627),"")</f>
        <v/>
      </c>
      <c r="L627" s="53" t="str">
        <f aca="false">IF(AND(ISNUMBER($G627),$G627&gt;=21),STDEV(INDEX($H$567:$H627,62-20):$H627)*SQRT(245),"")</f>
        <v/>
      </c>
      <c r="M627" s="52" t="str">
        <f aca="false">IF(AND(ISNUMBER($G627),$G627&gt;=60),MAX(INDEX($D$427:$D627,202-60):$D627),"")</f>
        <v/>
      </c>
      <c r="N627" s="52" t="str">
        <f aca="false">IF(AND(ISNUMBER($G627),$G627&gt;=60),MIN(INDEX($E$427:$E627,202-60):$E627),"")</f>
        <v/>
      </c>
      <c r="O627" s="53" t="str">
        <f aca="false">IF(OR(NOT(ISNUMBER($C627)),NOT(ISNUMBER($M627)),$M627=0),"",$C627/$M627-1)</f>
        <v/>
      </c>
      <c r="P627" s="54"/>
      <c r="Q627" s="53" t="str">
        <f aca="false">IF(NOT(ISNUMBER($P627)),"",IFERROR(PERCENTRANK($P$5:$P$1204,$P627),""))</f>
        <v/>
      </c>
    </row>
    <row r="628" customFormat="false" ht="15" hidden="false" customHeight="false" outlineLevel="0" collapsed="false">
      <c r="A628" s="55"/>
      <c r="B628" s="56"/>
      <c r="C628" s="57"/>
      <c r="D628" s="56"/>
      <c r="E628" s="56"/>
      <c r="F628" s="56"/>
      <c r="G628" s="50" t="str">
        <f aca="false">IF($A628="","",IF(ISNUMBER($G627),$G627+1,1))</f>
        <v/>
      </c>
      <c r="H628" s="51" t="str">
        <f aca="false">IF(OR(NOT(ISNUMBER($G628)),$G628&lt;2,NOT(ISNUMBER($C627)),$C627=0),"",$C628/$C627-1)</f>
        <v/>
      </c>
      <c r="I628" s="52" t="str">
        <f aca="false">IF(AND(ISNUMBER($G628),$G628&gt;=MA_SHORT),AVERAGE(INDEX($C$228:$C628,402-MA_SHORT):$C628),"")</f>
        <v/>
      </c>
      <c r="J628" s="52" t="str">
        <f aca="false">IF(AND(ISNUMBER($G628),$G628&gt;=MA_MED),AVERAGE(INDEX($C$228:$C628,402-MA_MED):$C628),"")</f>
        <v/>
      </c>
      <c r="K628" s="52" t="str">
        <f aca="false">IF(AND(ISNUMBER($G628),$G628&gt;=MA_LONG2),AVERAGE(INDEX($C$228:$C628,402-MA_LONG2):$C628),"")</f>
        <v/>
      </c>
      <c r="L628" s="53" t="str">
        <f aca="false">IF(AND(ISNUMBER($G628),$G628&gt;=21),STDEV(INDEX($H$568:$H628,62-20):$H628)*SQRT(245),"")</f>
        <v/>
      </c>
      <c r="M628" s="52" t="str">
        <f aca="false">IF(AND(ISNUMBER($G628),$G628&gt;=60),MAX(INDEX($D$428:$D628,202-60):$D628),"")</f>
        <v/>
      </c>
      <c r="N628" s="52" t="str">
        <f aca="false">IF(AND(ISNUMBER($G628),$G628&gt;=60),MIN(INDEX($E$428:$E628,202-60):$E628),"")</f>
        <v/>
      </c>
      <c r="O628" s="53" t="str">
        <f aca="false">IF(OR(NOT(ISNUMBER($C628)),NOT(ISNUMBER($M628)),$M628=0),"",$C628/$M628-1)</f>
        <v/>
      </c>
      <c r="P628" s="54"/>
      <c r="Q628" s="53" t="str">
        <f aca="false">IF(NOT(ISNUMBER($P628)),"",IFERROR(PERCENTRANK($P$5:$P$1204,$P628),""))</f>
        <v/>
      </c>
    </row>
    <row r="629" customFormat="false" ht="15" hidden="false" customHeight="false" outlineLevel="0" collapsed="false">
      <c r="A629" s="55"/>
      <c r="B629" s="56"/>
      <c r="C629" s="57"/>
      <c r="D629" s="56"/>
      <c r="E629" s="56"/>
      <c r="F629" s="56"/>
      <c r="G629" s="50" t="str">
        <f aca="false">IF($A629="","",IF(ISNUMBER($G628),$G628+1,1))</f>
        <v/>
      </c>
      <c r="H629" s="51" t="str">
        <f aca="false">IF(OR(NOT(ISNUMBER($G629)),$G629&lt;2,NOT(ISNUMBER($C628)),$C628=0),"",$C629/$C628-1)</f>
        <v/>
      </c>
      <c r="I629" s="52" t="str">
        <f aca="false">IF(AND(ISNUMBER($G629),$G629&gt;=MA_SHORT),AVERAGE(INDEX($C$229:$C629,402-MA_SHORT):$C629),"")</f>
        <v/>
      </c>
      <c r="J629" s="52" t="str">
        <f aca="false">IF(AND(ISNUMBER($G629),$G629&gt;=MA_MED),AVERAGE(INDEX($C$229:$C629,402-MA_MED):$C629),"")</f>
        <v/>
      </c>
      <c r="K629" s="52" t="str">
        <f aca="false">IF(AND(ISNUMBER($G629),$G629&gt;=MA_LONG2),AVERAGE(INDEX($C$229:$C629,402-MA_LONG2):$C629),"")</f>
        <v/>
      </c>
      <c r="L629" s="53" t="str">
        <f aca="false">IF(AND(ISNUMBER($G629),$G629&gt;=21),STDEV(INDEX($H$569:$H629,62-20):$H629)*SQRT(245),"")</f>
        <v/>
      </c>
      <c r="M629" s="52" t="str">
        <f aca="false">IF(AND(ISNUMBER($G629),$G629&gt;=60),MAX(INDEX($D$429:$D629,202-60):$D629),"")</f>
        <v/>
      </c>
      <c r="N629" s="52" t="str">
        <f aca="false">IF(AND(ISNUMBER($G629),$G629&gt;=60),MIN(INDEX($E$429:$E629,202-60):$E629),"")</f>
        <v/>
      </c>
      <c r="O629" s="53" t="str">
        <f aca="false">IF(OR(NOT(ISNUMBER($C629)),NOT(ISNUMBER($M629)),$M629=0),"",$C629/$M629-1)</f>
        <v/>
      </c>
      <c r="P629" s="54"/>
      <c r="Q629" s="53" t="str">
        <f aca="false">IF(NOT(ISNUMBER($P629)),"",IFERROR(PERCENTRANK($P$5:$P$1204,$P629),""))</f>
        <v/>
      </c>
    </row>
    <row r="630" customFormat="false" ht="15" hidden="false" customHeight="false" outlineLevel="0" collapsed="false">
      <c r="A630" s="55"/>
      <c r="B630" s="56"/>
      <c r="C630" s="57"/>
      <c r="D630" s="56"/>
      <c r="E630" s="56"/>
      <c r="F630" s="56"/>
      <c r="G630" s="50" t="str">
        <f aca="false">IF($A630="","",IF(ISNUMBER($G629),$G629+1,1))</f>
        <v/>
      </c>
      <c r="H630" s="51" t="str">
        <f aca="false">IF(OR(NOT(ISNUMBER($G630)),$G630&lt;2,NOT(ISNUMBER($C629)),$C629=0),"",$C630/$C629-1)</f>
        <v/>
      </c>
      <c r="I630" s="52" t="str">
        <f aca="false">IF(AND(ISNUMBER($G630),$G630&gt;=MA_SHORT),AVERAGE(INDEX($C$230:$C630,402-MA_SHORT):$C630),"")</f>
        <v/>
      </c>
      <c r="J630" s="52" t="str">
        <f aca="false">IF(AND(ISNUMBER($G630),$G630&gt;=MA_MED),AVERAGE(INDEX($C$230:$C630,402-MA_MED):$C630),"")</f>
        <v/>
      </c>
      <c r="K630" s="52" t="str">
        <f aca="false">IF(AND(ISNUMBER($G630),$G630&gt;=MA_LONG2),AVERAGE(INDEX($C$230:$C630,402-MA_LONG2):$C630),"")</f>
        <v/>
      </c>
      <c r="L630" s="53" t="str">
        <f aca="false">IF(AND(ISNUMBER($G630),$G630&gt;=21),STDEV(INDEX($H$570:$H630,62-20):$H630)*SQRT(245),"")</f>
        <v/>
      </c>
      <c r="M630" s="52" t="str">
        <f aca="false">IF(AND(ISNUMBER($G630),$G630&gt;=60),MAX(INDEX($D$430:$D630,202-60):$D630),"")</f>
        <v/>
      </c>
      <c r="N630" s="52" t="str">
        <f aca="false">IF(AND(ISNUMBER($G630),$G630&gt;=60),MIN(INDEX($E$430:$E630,202-60):$E630),"")</f>
        <v/>
      </c>
      <c r="O630" s="53" t="str">
        <f aca="false">IF(OR(NOT(ISNUMBER($C630)),NOT(ISNUMBER($M630)),$M630=0),"",$C630/$M630-1)</f>
        <v/>
      </c>
      <c r="P630" s="54"/>
      <c r="Q630" s="53" t="str">
        <f aca="false">IF(NOT(ISNUMBER($P630)),"",IFERROR(PERCENTRANK($P$5:$P$1204,$P630),""))</f>
        <v/>
      </c>
    </row>
    <row r="631" customFormat="false" ht="15" hidden="false" customHeight="false" outlineLevel="0" collapsed="false">
      <c r="A631" s="55"/>
      <c r="B631" s="56"/>
      <c r="C631" s="57"/>
      <c r="D631" s="56"/>
      <c r="E631" s="56"/>
      <c r="F631" s="56"/>
      <c r="G631" s="50" t="str">
        <f aca="false">IF($A631="","",IF(ISNUMBER($G630),$G630+1,1))</f>
        <v/>
      </c>
      <c r="H631" s="51" t="str">
        <f aca="false">IF(OR(NOT(ISNUMBER($G631)),$G631&lt;2,NOT(ISNUMBER($C630)),$C630=0),"",$C631/$C630-1)</f>
        <v/>
      </c>
      <c r="I631" s="52" t="str">
        <f aca="false">IF(AND(ISNUMBER($G631),$G631&gt;=MA_SHORT),AVERAGE(INDEX($C$231:$C631,402-MA_SHORT):$C631),"")</f>
        <v/>
      </c>
      <c r="J631" s="52" t="str">
        <f aca="false">IF(AND(ISNUMBER($G631),$G631&gt;=MA_MED),AVERAGE(INDEX($C$231:$C631,402-MA_MED):$C631),"")</f>
        <v/>
      </c>
      <c r="K631" s="52" t="str">
        <f aca="false">IF(AND(ISNUMBER($G631),$G631&gt;=MA_LONG2),AVERAGE(INDEX($C$231:$C631,402-MA_LONG2):$C631),"")</f>
        <v/>
      </c>
      <c r="L631" s="53" t="str">
        <f aca="false">IF(AND(ISNUMBER($G631),$G631&gt;=21),STDEV(INDEX($H$571:$H631,62-20):$H631)*SQRT(245),"")</f>
        <v/>
      </c>
      <c r="M631" s="52" t="str">
        <f aca="false">IF(AND(ISNUMBER($G631),$G631&gt;=60),MAX(INDEX($D$431:$D631,202-60):$D631),"")</f>
        <v/>
      </c>
      <c r="N631" s="52" t="str">
        <f aca="false">IF(AND(ISNUMBER($G631),$G631&gt;=60),MIN(INDEX($E$431:$E631,202-60):$E631),"")</f>
        <v/>
      </c>
      <c r="O631" s="53" t="str">
        <f aca="false">IF(OR(NOT(ISNUMBER($C631)),NOT(ISNUMBER($M631)),$M631=0),"",$C631/$M631-1)</f>
        <v/>
      </c>
      <c r="P631" s="54"/>
      <c r="Q631" s="53" t="str">
        <f aca="false">IF(NOT(ISNUMBER($P631)),"",IFERROR(PERCENTRANK($P$5:$P$1204,$P631),""))</f>
        <v/>
      </c>
    </row>
    <row r="632" customFormat="false" ht="15" hidden="false" customHeight="false" outlineLevel="0" collapsed="false">
      <c r="A632" s="55"/>
      <c r="B632" s="56"/>
      <c r="C632" s="57"/>
      <c r="D632" s="56"/>
      <c r="E632" s="56"/>
      <c r="F632" s="56"/>
      <c r="G632" s="50" t="str">
        <f aca="false">IF($A632="","",IF(ISNUMBER($G631),$G631+1,1))</f>
        <v/>
      </c>
      <c r="H632" s="51" t="str">
        <f aca="false">IF(OR(NOT(ISNUMBER($G632)),$G632&lt;2,NOT(ISNUMBER($C631)),$C631=0),"",$C632/$C631-1)</f>
        <v/>
      </c>
      <c r="I632" s="52" t="str">
        <f aca="false">IF(AND(ISNUMBER($G632),$G632&gt;=MA_SHORT),AVERAGE(INDEX($C$232:$C632,402-MA_SHORT):$C632),"")</f>
        <v/>
      </c>
      <c r="J632" s="52" t="str">
        <f aca="false">IF(AND(ISNUMBER($G632),$G632&gt;=MA_MED),AVERAGE(INDEX($C$232:$C632,402-MA_MED):$C632),"")</f>
        <v/>
      </c>
      <c r="K632" s="52" t="str">
        <f aca="false">IF(AND(ISNUMBER($G632),$G632&gt;=MA_LONG2),AVERAGE(INDEX($C$232:$C632,402-MA_LONG2):$C632),"")</f>
        <v/>
      </c>
      <c r="L632" s="53" t="str">
        <f aca="false">IF(AND(ISNUMBER($G632),$G632&gt;=21),STDEV(INDEX($H$572:$H632,62-20):$H632)*SQRT(245),"")</f>
        <v/>
      </c>
      <c r="M632" s="52" t="str">
        <f aca="false">IF(AND(ISNUMBER($G632),$G632&gt;=60),MAX(INDEX($D$432:$D632,202-60):$D632),"")</f>
        <v/>
      </c>
      <c r="N632" s="52" t="str">
        <f aca="false">IF(AND(ISNUMBER($G632),$G632&gt;=60),MIN(INDEX($E$432:$E632,202-60):$E632),"")</f>
        <v/>
      </c>
      <c r="O632" s="53" t="str">
        <f aca="false">IF(OR(NOT(ISNUMBER($C632)),NOT(ISNUMBER($M632)),$M632=0),"",$C632/$M632-1)</f>
        <v/>
      </c>
      <c r="P632" s="54"/>
      <c r="Q632" s="53" t="str">
        <f aca="false">IF(NOT(ISNUMBER($P632)),"",IFERROR(PERCENTRANK($P$5:$P$1204,$P632),""))</f>
        <v/>
      </c>
    </row>
    <row r="633" customFormat="false" ht="15" hidden="false" customHeight="false" outlineLevel="0" collapsed="false">
      <c r="A633" s="55"/>
      <c r="B633" s="56"/>
      <c r="C633" s="57"/>
      <c r="D633" s="56"/>
      <c r="E633" s="56"/>
      <c r="F633" s="56"/>
      <c r="G633" s="50" t="str">
        <f aca="false">IF($A633="","",IF(ISNUMBER($G632),$G632+1,1))</f>
        <v/>
      </c>
      <c r="H633" s="51" t="str">
        <f aca="false">IF(OR(NOT(ISNUMBER($G633)),$G633&lt;2,NOT(ISNUMBER($C632)),$C632=0),"",$C633/$C632-1)</f>
        <v/>
      </c>
      <c r="I633" s="52" t="str">
        <f aca="false">IF(AND(ISNUMBER($G633),$G633&gt;=MA_SHORT),AVERAGE(INDEX($C$233:$C633,402-MA_SHORT):$C633),"")</f>
        <v/>
      </c>
      <c r="J633" s="52" t="str">
        <f aca="false">IF(AND(ISNUMBER($G633),$G633&gt;=MA_MED),AVERAGE(INDEX($C$233:$C633,402-MA_MED):$C633),"")</f>
        <v/>
      </c>
      <c r="K633" s="52" t="str">
        <f aca="false">IF(AND(ISNUMBER($G633),$G633&gt;=MA_LONG2),AVERAGE(INDEX($C$233:$C633,402-MA_LONG2):$C633),"")</f>
        <v/>
      </c>
      <c r="L633" s="53" t="str">
        <f aca="false">IF(AND(ISNUMBER($G633),$G633&gt;=21),STDEV(INDEX($H$573:$H633,62-20):$H633)*SQRT(245),"")</f>
        <v/>
      </c>
      <c r="M633" s="52" t="str">
        <f aca="false">IF(AND(ISNUMBER($G633),$G633&gt;=60),MAX(INDEX($D$433:$D633,202-60):$D633),"")</f>
        <v/>
      </c>
      <c r="N633" s="52" t="str">
        <f aca="false">IF(AND(ISNUMBER($G633),$G633&gt;=60),MIN(INDEX($E$433:$E633,202-60):$E633),"")</f>
        <v/>
      </c>
      <c r="O633" s="53" t="str">
        <f aca="false">IF(OR(NOT(ISNUMBER($C633)),NOT(ISNUMBER($M633)),$M633=0),"",$C633/$M633-1)</f>
        <v/>
      </c>
      <c r="P633" s="54"/>
      <c r="Q633" s="53" t="str">
        <f aca="false">IF(NOT(ISNUMBER($P633)),"",IFERROR(PERCENTRANK($P$5:$P$1204,$P633),""))</f>
        <v/>
      </c>
    </row>
    <row r="634" customFormat="false" ht="15" hidden="false" customHeight="false" outlineLevel="0" collapsed="false">
      <c r="A634" s="55"/>
      <c r="B634" s="56"/>
      <c r="C634" s="57"/>
      <c r="D634" s="56"/>
      <c r="E634" s="56"/>
      <c r="F634" s="56"/>
      <c r="G634" s="50" t="str">
        <f aca="false">IF($A634="","",IF(ISNUMBER($G633),$G633+1,1))</f>
        <v/>
      </c>
      <c r="H634" s="51" t="str">
        <f aca="false">IF(OR(NOT(ISNUMBER($G634)),$G634&lt;2,NOT(ISNUMBER($C633)),$C633=0),"",$C634/$C633-1)</f>
        <v/>
      </c>
      <c r="I634" s="52" t="str">
        <f aca="false">IF(AND(ISNUMBER($G634),$G634&gt;=MA_SHORT),AVERAGE(INDEX($C$234:$C634,402-MA_SHORT):$C634),"")</f>
        <v/>
      </c>
      <c r="J634" s="52" t="str">
        <f aca="false">IF(AND(ISNUMBER($G634),$G634&gt;=MA_MED),AVERAGE(INDEX($C$234:$C634,402-MA_MED):$C634),"")</f>
        <v/>
      </c>
      <c r="K634" s="52" t="str">
        <f aca="false">IF(AND(ISNUMBER($G634),$G634&gt;=MA_LONG2),AVERAGE(INDEX($C$234:$C634,402-MA_LONG2):$C634),"")</f>
        <v/>
      </c>
      <c r="L634" s="53" t="str">
        <f aca="false">IF(AND(ISNUMBER($G634),$G634&gt;=21),STDEV(INDEX($H$574:$H634,62-20):$H634)*SQRT(245),"")</f>
        <v/>
      </c>
      <c r="M634" s="52" t="str">
        <f aca="false">IF(AND(ISNUMBER($G634),$G634&gt;=60),MAX(INDEX($D$434:$D634,202-60):$D634),"")</f>
        <v/>
      </c>
      <c r="N634" s="52" t="str">
        <f aca="false">IF(AND(ISNUMBER($G634),$G634&gt;=60),MIN(INDEX($E$434:$E634,202-60):$E634),"")</f>
        <v/>
      </c>
      <c r="O634" s="53" t="str">
        <f aca="false">IF(OR(NOT(ISNUMBER($C634)),NOT(ISNUMBER($M634)),$M634=0),"",$C634/$M634-1)</f>
        <v/>
      </c>
      <c r="P634" s="54"/>
      <c r="Q634" s="53" t="str">
        <f aca="false">IF(NOT(ISNUMBER($P634)),"",IFERROR(PERCENTRANK($P$5:$P$1204,$P634),""))</f>
        <v/>
      </c>
    </row>
    <row r="635" customFormat="false" ht="15" hidden="false" customHeight="false" outlineLevel="0" collapsed="false">
      <c r="A635" s="55"/>
      <c r="B635" s="56"/>
      <c r="C635" s="57"/>
      <c r="D635" s="56"/>
      <c r="E635" s="56"/>
      <c r="F635" s="56"/>
      <c r="G635" s="50" t="str">
        <f aca="false">IF($A635="","",IF(ISNUMBER($G634),$G634+1,1))</f>
        <v/>
      </c>
      <c r="H635" s="51" t="str">
        <f aca="false">IF(OR(NOT(ISNUMBER($G635)),$G635&lt;2,NOT(ISNUMBER($C634)),$C634=0),"",$C635/$C634-1)</f>
        <v/>
      </c>
      <c r="I635" s="52" t="str">
        <f aca="false">IF(AND(ISNUMBER($G635),$G635&gt;=MA_SHORT),AVERAGE(INDEX($C$235:$C635,402-MA_SHORT):$C635),"")</f>
        <v/>
      </c>
      <c r="J635" s="52" t="str">
        <f aca="false">IF(AND(ISNUMBER($G635),$G635&gt;=MA_MED),AVERAGE(INDEX($C$235:$C635,402-MA_MED):$C635),"")</f>
        <v/>
      </c>
      <c r="K635" s="52" t="str">
        <f aca="false">IF(AND(ISNUMBER($G635),$G635&gt;=MA_LONG2),AVERAGE(INDEX($C$235:$C635,402-MA_LONG2):$C635),"")</f>
        <v/>
      </c>
      <c r="L635" s="53" t="str">
        <f aca="false">IF(AND(ISNUMBER($G635),$G635&gt;=21),STDEV(INDEX($H$575:$H635,62-20):$H635)*SQRT(245),"")</f>
        <v/>
      </c>
      <c r="M635" s="52" t="str">
        <f aca="false">IF(AND(ISNUMBER($G635),$G635&gt;=60),MAX(INDEX($D$435:$D635,202-60):$D635),"")</f>
        <v/>
      </c>
      <c r="N635" s="52" t="str">
        <f aca="false">IF(AND(ISNUMBER($G635),$G635&gt;=60),MIN(INDEX($E$435:$E635,202-60):$E635),"")</f>
        <v/>
      </c>
      <c r="O635" s="53" t="str">
        <f aca="false">IF(OR(NOT(ISNUMBER($C635)),NOT(ISNUMBER($M635)),$M635=0),"",$C635/$M635-1)</f>
        <v/>
      </c>
      <c r="P635" s="54"/>
      <c r="Q635" s="53" t="str">
        <f aca="false">IF(NOT(ISNUMBER($P635)),"",IFERROR(PERCENTRANK($P$5:$P$1204,$P635),""))</f>
        <v/>
      </c>
    </row>
    <row r="636" customFormat="false" ht="15" hidden="false" customHeight="false" outlineLevel="0" collapsed="false">
      <c r="A636" s="55"/>
      <c r="B636" s="56"/>
      <c r="C636" s="57"/>
      <c r="D636" s="56"/>
      <c r="E636" s="56"/>
      <c r="F636" s="56"/>
      <c r="G636" s="50" t="str">
        <f aca="false">IF($A636="","",IF(ISNUMBER($G635),$G635+1,1))</f>
        <v/>
      </c>
      <c r="H636" s="51" t="str">
        <f aca="false">IF(OR(NOT(ISNUMBER($G636)),$G636&lt;2,NOT(ISNUMBER($C635)),$C635=0),"",$C636/$C635-1)</f>
        <v/>
      </c>
      <c r="I636" s="52" t="str">
        <f aca="false">IF(AND(ISNUMBER($G636),$G636&gt;=MA_SHORT),AVERAGE(INDEX($C$236:$C636,402-MA_SHORT):$C636),"")</f>
        <v/>
      </c>
      <c r="J636" s="52" t="str">
        <f aca="false">IF(AND(ISNUMBER($G636),$G636&gt;=MA_MED),AVERAGE(INDEX($C$236:$C636,402-MA_MED):$C636),"")</f>
        <v/>
      </c>
      <c r="K636" s="52" t="str">
        <f aca="false">IF(AND(ISNUMBER($G636),$G636&gt;=MA_LONG2),AVERAGE(INDEX($C$236:$C636,402-MA_LONG2):$C636),"")</f>
        <v/>
      </c>
      <c r="L636" s="53" t="str">
        <f aca="false">IF(AND(ISNUMBER($G636),$G636&gt;=21),STDEV(INDEX($H$576:$H636,62-20):$H636)*SQRT(245),"")</f>
        <v/>
      </c>
      <c r="M636" s="52" t="str">
        <f aca="false">IF(AND(ISNUMBER($G636),$G636&gt;=60),MAX(INDEX($D$436:$D636,202-60):$D636),"")</f>
        <v/>
      </c>
      <c r="N636" s="52" t="str">
        <f aca="false">IF(AND(ISNUMBER($G636),$G636&gt;=60),MIN(INDEX($E$436:$E636,202-60):$E636),"")</f>
        <v/>
      </c>
      <c r="O636" s="53" t="str">
        <f aca="false">IF(OR(NOT(ISNUMBER($C636)),NOT(ISNUMBER($M636)),$M636=0),"",$C636/$M636-1)</f>
        <v/>
      </c>
      <c r="P636" s="54"/>
      <c r="Q636" s="53" t="str">
        <f aca="false">IF(NOT(ISNUMBER($P636)),"",IFERROR(PERCENTRANK($P$5:$P$1204,$P636),""))</f>
        <v/>
      </c>
    </row>
    <row r="637" customFormat="false" ht="15" hidden="false" customHeight="false" outlineLevel="0" collapsed="false">
      <c r="A637" s="55"/>
      <c r="B637" s="56"/>
      <c r="C637" s="57"/>
      <c r="D637" s="56"/>
      <c r="E637" s="56"/>
      <c r="F637" s="56"/>
      <c r="G637" s="50" t="str">
        <f aca="false">IF($A637="","",IF(ISNUMBER($G636),$G636+1,1))</f>
        <v/>
      </c>
      <c r="H637" s="51" t="str">
        <f aca="false">IF(OR(NOT(ISNUMBER($G637)),$G637&lt;2,NOT(ISNUMBER($C636)),$C636=0),"",$C637/$C636-1)</f>
        <v/>
      </c>
      <c r="I637" s="52" t="str">
        <f aca="false">IF(AND(ISNUMBER($G637),$G637&gt;=MA_SHORT),AVERAGE(INDEX($C$237:$C637,402-MA_SHORT):$C637),"")</f>
        <v/>
      </c>
      <c r="J637" s="52" t="str">
        <f aca="false">IF(AND(ISNUMBER($G637),$G637&gt;=MA_MED),AVERAGE(INDEX($C$237:$C637,402-MA_MED):$C637),"")</f>
        <v/>
      </c>
      <c r="K637" s="52" t="str">
        <f aca="false">IF(AND(ISNUMBER($G637),$G637&gt;=MA_LONG2),AVERAGE(INDEX($C$237:$C637,402-MA_LONG2):$C637),"")</f>
        <v/>
      </c>
      <c r="L637" s="53" t="str">
        <f aca="false">IF(AND(ISNUMBER($G637),$G637&gt;=21),STDEV(INDEX($H$577:$H637,62-20):$H637)*SQRT(245),"")</f>
        <v/>
      </c>
      <c r="M637" s="52" t="str">
        <f aca="false">IF(AND(ISNUMBER($G637),$G637&gt;=60),MAX(INDEX($D$437:$D637,202-60):$D637),"")</f>
        <v/>
      </c>
      <c r="N637" s="52" t="str">
        <f aca="false">IF(AND(ISNUMBER($G637),$G637&gt;=60),MIN(INDEX($E$437:$E637,202-60):$E637),"")</f>
        <v/>
      </c>
      <c r="O637" s="53" t="str">
        <f aca="false">IF(OR(NOT(ISNUMBER($C637)),NOT(ISNUMBER($M637)),$M637=0),"",$C637/$M637-1)</f>
        <v/>
      </c>
      <c r="P637" s="54"/>
      <c r="Q637" s="53" t="str">
        <f aca="false">IF(NOT(ISNUMBER($P637)),"",IFERROR(PERCENTRANK($P$5:$P$1204,$P637),""))</f>
        <v/>
      </c>
    </row>
    <row r="638" customFormat="false" ht="15" hidden="false" customHeight="false" outlineLevel="0" collapsed="false">
      <c r="A638" s="55"/>
      <c r="B638" s="56"/>
      <c r="C638" s="57"/>
      <c r="D638" s="56"/>
      <c r="E638" s="56"/>
      <c r="F638" s="56"/>
      <c r="G638" s="50" t="str">
        <f aca="false">IF($A638="","",IF(ISNUMBER($G637),$G637+1,1))</f>
        <v/>
      </c>
      <c r="H638" s="51" t="str">
        <f aca="false">IF(OR(NOT(ISNUMBER($G638)),$G638&lt;2,NOT(ISNUMBER($C637)),$C637=0),"",$C638/$C637-1)</f>
        <v/>
      </c>
      <c r="I638" s="52" t="str">
        <f aca="false">IF(AND(ISNUMBER($G638),$G638&gt;=MA_SHORT),AVERAGE(INDEX($C$238:$C638,402-MA_SHORT):$C638),"")</f>
        <v/>
      </c>
      <c r="J638" s="52" t="str">
        <f aca="false">IF(AND(ISNUMBER($G638),$G638&gt;=MA_MED),AVERAGE(INDEX($C$238:$C638,402-MA_MED):$C638),"")</f>
        <v/>
      </c>
      <c r="K638" s="52" t="str">
        <f aca="false">IF(AND(ISNUMBER($G638),$G638&gt;=MA_LONG2),AVERAGE(INDEX($C$238:$C638,402-MA_LONG2):$C638),"")</f>
        <v/>
      </c>
      <c r="L638" s="53" t="str">
        <f aca="false">IF(AND(ISNUMBER($G638),$G638&gt;=21),STDEV(INDEX($H$578:$H638,62-20):$H638)*SQRT(245),"")</f>
        <v/>
      </c>
      <c r="M638" s="52" t="str">
        <f aca="false">IF(AND(ISNUMBER($G638),$G638&gt;=60),MAX(INDEX($D$438:$D638,202-60):$D638),"")</f>
        <v/>
      </c>
      <c r="N638" s="52" t="str">
        <f aca="false">IF(AND(ISNUMBER($G638),$G638&gt;=60),MIN(INDEX($E$438:$E638,202-60):$E638),"")</f>
        <v/>
      </c>
      <c r="O638" s="53" t="str">
        <f aca="false">IF(OR(NOT(ISNUMBER($C638)),NOT(ISNUMBER($M638)),$M638=0),"",$C638/$M638-1)</f>
        <v/>
      </c>
      <c r="P638" s="54"/>
      <c r="Q638" s="53" t="str">
        <f aca="false">IF(NOT(ISNUMBER($P638)),"",IFERROR(PERCENTRANK($P$5:$P$1204,$P638),""))</f>
        <v/>
      </c>
    </row>
    <row r="639" customFormat="false" ht="15" hidden="false" customHeight="false" outlineLevel="0" collapsed="false">
      <c r="A639" s="55"/>
      <c r="B639" s="56"/>
      <c r="C639" s="57"/>
      <c r="D639" s="56"/>
      <c r="E639" s="56"/>
      <c r="F639" s="56"/>
      <c r="G639" s="50" t="str">
        <f aca="false">IF($A639="","",IF(ISNUMBER($G638),$G638+1,1))</f>
        <v/>
      </c>
      <c r="H639" s="51" t="str">
        <f aca="false">IF(OR(NOT(ISNUMBER($G639)),$G639&lt;2,NOT(ISNUMBER($C638)),$C638=0),"",$C639/$C638-1)</f>
        <v/>
      </c>
      <c r="I639" s="52" t="str">
        <f aca="false">IF(AND(ISNUMBER($G639),$G639&gt;=MA_SHORT),AVERAGE(INDEX($C$239:$C639,402-MA_SHORT):$C639),"")</f>
        <v/>
      </c>
      <c r="J639" s="52" t="str">
        <f aca="false">IF(AND(ISNUMBER($G639),$G639&gt;=MA_MED),AVERAGE(INDEX($C$239:$C639,402-MA_MED):$C639),"")</f>
        <v/>
      </c>
      <c r="K639" s="52" t="str">
        <f aca="false">IF(AND(ISNUMBER($G639),$G639&gt;=MA_LONG2),AVERAGE(INDEX($C$239:$C639,402-MA_LONG2):$C639),"")</f>
        <v/>
      </c>
      <c r="L639" s="53" t="str">
        <f aca="false">IF(AND(ISNUMBER($G639),$G639&gt;=21),STDEV(INDEX($H$579:$H639,62-20):$H639)*SQRT(245),"")</f>
        <v/>
      </c>
      <c r="M639" s="52" t="str">
        <f aca="false">IF(AND(ISNUMBER($G639),$G639&gt;=60),MAX(INDEX($D$439:$D639,202-60):$D639),"")</f>
        <v/>
      </c>
      <c r="N639" s="52" t="str">
        <f aca="false">IF(AND(ISNUMBER($G639),$G639&gt;=60),MIN(INDEX($E$439:$E639,202-60):$E639),"")</f>
        <v/>
      </c>
      <c r="O639" s="53" t="str">
        <f aca="false">IF(OR(NOT(ISNUMBER($C639)),NOT(ISNUMBER($M639)),$M639=0),"",$C639/$M639-1)</f>
        <v/>
      </c>
      <c r="P639" s="54"/>
      <c r="Q639" s="53" t="str">
        <f aca="false">IF(NOT(ISNUMBER($P639)),"",IFERROR(PERCENTRANK($P$5:$P$1204,$P639),""))</f>
        <v/>
      </c>
    </row>
    <row r="640" customFormat="false" ht="15" hidden="false" customHeight="false" outlineLevel="0" collapsed="false">
      <c r="A640" s="55"/>
      <c r="B640" s="56"/>
      <c r="C640" s="57"/>
      <c r="D640" s="56"/>
      <c r="E640" s="56"/>
      <c r="F640" s="56"/>
      <c r="G640" s="50" t="str">
        <f aca="false">IF($A640="","",IF(ISNUMBER($G639),$G639+1,1))</f>
        <v/>
      </c>
      <c r="H640" s="51" t="str">
        <f aca="false">IF(OR(NOT(ISNUMBER($G640)),$G640&lt;2,NOT(ISNUMBER($C639)),$C639=0),"",$C640/$C639-1)</f>
        <v/>
      </c>
      <c r="I640" s="52" t="str">
        <f aca="false">IF(AND(ISNUMBER($G640),$G640&gt;=MA_SHORT),AVERAGE(INDEX($C$240:$C640,402-MA_SHORT):$C640),"")</f>
        <v/>
      </c>
      <c r="J640" s="52" t="str">
        <f aca="false">IF(AND(ISNUMBER($G640),$G640&gt;=MA_MED),AVERAGE(INDEX($C$240:$C640,402-MA_MED):$C640),"")</f>
        <v/>
      </c>
      <c r="K640" s="52" t="str">
        <f aca="false">IF(AND(ISNUMBER($G640),$G640&gt;=MA_LONG2),AVERAGE(INDEX($C$240:$C640,402-MA_LONG2):$C640),"")</f>
        <v/>
      </c>
      <c r="L640" s="53" t="str">
        <f aca="false">IF(AND(ISNUMBER($G640),$G640&gt;=21),STDEV(INDEX($H$580:$H640,62-20):$H640)*SQRT(245),"")</f>
        <v/>
      </c>
      <c r="M640" s="52" t="str">
        <f aca="false">IF(AND(ISNUMBER($G640),$G640&gt;=60),MAX(INDEX($D$440:$D640,202-60):$D640),"")</f>
        <v/>
      </c>
      <c r="N640" s="52" t="str">
        <f aca="false">IF(AND(ISNUMBER($G640),$G640&gt;=60),MIN(INDEX($E$440:$E640,202-60):$E640),"")</f>
        <v/>
      </c>
      <c r="O640" s="53" t="str">
        <f aca="false">IF(OR(NOT(ISNUMBER($C640)),NOT(ISNUMBER($M640)),$M640=0),"",$C640/$M640-1)</f>
        <v/>
      </c>
      <c r="P640" s="54"/>
      <c r="Q640" s="53" t="str">
        <f aca="false">IF(NOT(ISNUMBER($P640)),"",IFERROR(PERCENTRANK($P$5:$P$1204,$P640),""))</f>
        <v/>
      </c>
    </row>
    <row r="641" customFormat="false" ht="15" hidden="false" customHeight="false" outlineLevel="0" collapsed="false">
      <c r="A641" s="55"/>
      <c r="B641" s="56"/>
      <c r="C641" s="57"/>
      <c r="D641" s="56"/>
      <c r="E641" s="56"/>
      <c r="F641" s="56"/>
      <c r="G641" s="50" t="str">
        <f aca="false">IF($A641="","",IF(ISNUMBER($G640),$G640+1,1))</f>
        <v/>
      </c>
      <c r="H641" s="51" t="str">
        <f aca="false">IF(OR(NOT(ISNUMBER($G641)),$G641&lt;2,NOT(ISNUMBER($C640)),$C640=0),"",$C641/$C640-1)</f>
        <v/>
      </c>
      <c r="I641" s="52" t="str">
        <f aca="false">IF(AND(ISNUMBER($G641),$G641&gt;=MA_SHORT),AVERAGE(INDEX($C$241:$C641,402-MA_SHORT):$C641),"")</f>
        <v/>
      </c>
      <c r="J641" s="52" t="str">
        <f aca="false">IF(AND(ISNUMBER($G641),$G641&gt;=MA_MED),AVERAGE(INDEX($C$241:$C641,402-MA_MED):$C641),"")</f>
        <v/>
      </c>
      <c r="K641" s="52" t="str">
        <f aca="false">IF(AND(ISNUMBER($G641),$G641&gt;=MA_LONG2),AVERAGE(INDEX($C$241:$C641,402-MA_LONG2):$C641),"")</f>
        <v/>
      </c>
      <c r="L641" s="53" t="str">
        <f aca="false">IF(AND(ISNUMBER($G641),$G641&gt;=21),STDEV(INDEX($H$581:$H641,62-20):$H641)*SQRT(245),"")</f>
        <v/>
      </c>
      <c r="M641" s="52" t="str">
        <f aca="false">IF(AND(ISNUMBER($G641),$G641&gt;=60),MAX(INDEX($D$441:$D641,202-60):$D641),"")</f>
        <v/>
      </c>
      <c r="N641" s="52" t="str">
        <f aca="false">IF(AND(ISNUMBER($G641),$G641&gt;=60),MIN(INDEX($E$441:$E641,202-60):$E641),"")</f>
        <v/>
      </c>
      <c r="O641" s="53" t="str">
        <f aca="false">IF(OR(NOT(ISNUMBER($C641)),NOT(ISNUMBER($M641)),$M641=0),"",$C641/$M641-1)</f>
        <v/>
      </c>
      <c r="P641" s="54"/>
      <c r="Q641" s="53" t="str">
        <f aca="false">IF(NOT(ISNUMBER($P641)),"",IFERROR(PERCENTRANK($P$5:$P$1204,$P641),""))</f>
        <v/>
      </c>
    </row>
    <row r="642" customFormat="false" ht="15" hidden="false" customHeight="false" outlineLevel="0" collapsed="false">
      <c r="A642" s="55"/>
      <c r="B642" s="56"/>
      <c r="C642" s="57"/>
      <c r="D642" s="56"/>
      <c r="E642" s="56"/>
      <c r="F642" s="56"/>
      <c r="G642" s="50" t="str">
        <f aca="false">IF($A642="","",IF(ISNUMBER($G641),$G641+1,1))</f>
        <v/>
      </c>
      <c r="H642" s="51" t="str">
        <f aca="false">IF(OR(NOT(ISNUMBER($G642)),$G642&lt;2,NOT(ISNUMBER($C641)),$C641=0),"",$C642/$C641-1)</f>
        <v/>
      </c>
      <c r="I642" s="52" t="str">
        <f aca="false">IF(AND(ISNUMBER($G642),$G642&gt;=MA_SHORT),AVERAGE(INDEX($C$242:$C642,402-MA_SHORT):$C642),"")</f>
        <v/>
      </c>
      <c r="J642" s="52" t="str">
        <f aca="false">IF(AND(ISNUMBER($G642),$G642&gt;=MA_MED),AVERAGE(INDEX($C$242:$C642,402-MA_MED):$C642),"")</f>
        <v/>
      </c>
      <c r="K642" s="52" t="str">
        <f aca="false">IF(AND(ISNUMBER($G642),$G642&gt;=MA_LONG2),AVERAGE(INDEX($C$242:$C642,402-MA_LONG2):$C642),"")</f>
        <v/>
      </c>
      <c r="L642" s="53" t="str">
        <f aca="false">IF(AND(ISNUMBER($G642),$G642&gt;=21),STDEV(INDEX($H$582:$H642,62-20):$H642)*SQRT(245),"")</f>
        <v/>
      </c>
      <c r="M642" s="52" t="str">
        <f aca="false">IF(AND(ISNUMBER($G642),$G642&gt;=60),MAX(INDEX($D$442:$D642,202-60):$D642),"")</f>
        <v/>
      </c>
      <c r="N642" s="52" t="str">
        <f aca="false">IF(AND(ISNUMBER($G642),$G642&gt;=60),MIN(INDEX($E$442:$E642,202-60):$E642),"")</f>
        <v/>
      </c>
      <c r="O642" s="53" t="str">
        <f aca="false">IF(OR(NOT(ISNUMBER($C642)),NOT(ISNUMBER($M642)),$M642=0),"",$C642/$M642-1)</f>
        <v/>
      </c>
      <c r="P642" s="54"/>
      <c r="Q642" s="53" t="str">
        <f aca="false">IF(NOT(ISNUMBER($P642)),"",IFERROR(PERCENTRANK($P$5:$P$1204,$P642),""))</f>
        <v/>
      </c>
    </row>
    <row r="643" customFormat="false" ht="15" hidden="false" customHeight="false" outlineLevel="0" collapsed="false">
      <c r="A643" s="55"/>
      <c r="B643" s="56"/>
      <c r="C643" s="57"/>
      <c r="D643" s="56"/>
      <c r="E643" s="56"/>
      <c r="F643" s="56"/>
      <c r="G643" s="50" t="str">
        <f aca="false">IF($A643="","",IF(ISNUMBER($G642),$G642+1,1))</f>
        <v/>
      </c>
      <c r="H643" s="51" t="str">
        <f aca="false">IF(OR(NOT(ISNUMBER($G643)),$G643&lt;2,NOT(ISNUMBER($C642)),$C642=0),"",$C643/$C642-1)</f>
        <v/>
      </c>
      <c r="I643" s="52" t="str">
        <f aca="false">IF(AND(ISNUMBER($G643),$G643&gt;=MA_SHORT),AVERAGE(INDEX($C$243:$C643,402-MA_SHORT):$C643),"")</f>
        <v/>
      </c>
      <c r="J643" s="52" t="str">
        <f aca="false">IF(AND(ISNUMBER($G643),$G643&gt;=MA_MED),AVERAGE(INDEX($C$243:$C643,402-MA_MED):$C643),"")</f>
        <v/>
      </c>
      <c r="K643" s="52" t="str">
        <f aca="false">IF(AND(ISNUMBER($G643),$G643&gt;=MA_LONG2),AVERAGE(INDEX($C$243:$C643,402-MA_LONG2):$C643),"")</f>
        <v/>
      </c>
      <c r="L643" s="53" t="str">
        <f aca="false">IF(AND(ISNUMBER($G643),$G643&gt;=21),STDEV(INDEX($H$583:$H643,62-20):$H643)*SQRT(245),"")</f>
        <v/>
      </c>
      <c r="M643" s="52" t="str">
        <f aca="false">IF(AND(ISNUMBER($G643),$G643&gt;=60),MAX(INDEX($D$443:$D643,202-60):$D643),"")</f>
        <v/>
      </c>
      <c r="N643" s="52" t="str">
        <f aca="false">IF(AND(ISNUMBER($G643),$G643&gt;=60),MIN(INDEX($E$443:$E643,202-60):$E643),"")</f>
        <v/>
      </c>
      <c r="O643" s="53" t="str">
        <f aca="false">IF(OR(NOT(ISNUMBER($C643)),NOT(ISNUMBER($M643)),$M643=0),"",$C643/$M643-1)</f>
        <v/>
      </c>
      <c r="P643" s="54"/>
      <c r="Q643" s="53" t="str">
        <f aca="false">IF(NOT(ISNUMBER($P643)),"",IFERROR(PERCENTRANK($P$5:$P$1204,$P643),""))</f>
        <v/>
      </c>
    </row>
    <row r="644" customFormat="false" ht="15" hidden="false" customHeight="false" outlineLevel="0" collapsed="false">
      <c r="A644" s="55"/>
      <c r="B644" s="56"/>
      <c r="C644" s="57"/>
      <c r="D644" s="56"/>
      <c r="E644" s="56"/>
      <c r="F644" s="56"/>
      <c r="G644" s="50" t="str">
        <f aca="false">IF($A644="","",IF(ISNUMBER($G643),$G643+1,1))</f>
        <v/>
      </c>
      <c r="H644" s="51" t="str">
        <f aca="false">IF(OR(NOT(ISNUMBER($G644)),$G644&lt;2,NOT(ISNUMBER($C643)),$C643=0),"",$C644/$C643-1)</f>
        <v/>
      </c>
      <c r="I644" s="52" t="str">
        <f aca="false">IF(AND(ISNUMBER($G644),$G644&gt;=MA_SHORT),AVERAGE(INDEX($C$244:$C644,402-MA_SHORT):$C644),"")</f>
        <v/>
      </c>
      <c r="J644" s="52" t="str">
        <f aca="false">IF(AND(ISNUMBER($G644),$G644&gt;=MA_MED),AVERAGE(INDEX($C$244:$C644,402-MA_MED):$C644),"")</f>
        <v/>
      </c>
      <c r="K644" s="52" t="str">
        <f aca="false">IF(AND(ISNUMBER($G644),$G644&gt;=MA_LONG2),AVERAGE(INDEX($C$244:$C644,402-MA_LONG2):$C644),"")</f>
        <v/>
      </c>
      <c r="L644" s="53" t="str">
        <f aca="false">IF(AND(ISNUMBER($G644),$G644&gt;=21),STDEV(INDEX($H$584:$H644,62-20):$H644)*SQRT(245),"")</f>
        <v/>
      </c>
      <c r="M644" s="52" t="str">
        <f aca="false">IF(AND(ISNUMBER($G644),$G644&gt;=60),MAX(INDEX($D$444:$D644,202-60):$D644),"")</f>
        <v/>
      </c>
      <c r="N644" s="52" t="str">
        <f aca="false">IF(AND(ISNUMBER($G644),$G644&gt;=60),MIN(INDEX($E$444:$E644,202-60):$E644),"")</f>
        <v/>
      </c>
      <c r="O644" s="53" t="str">
        <f aca="false">IF(OR(NOT(ISNUMBER($C644)),NOT(ISNUMBER($M644)),$M644=0),"",$C644/$M644-1)</f>
        <v/>
      </c>
      <c r="P644" s="54"/>
      <c r="Q644" s="53" t="str">
        <f aca="false">IF(NOT(ISNUMBER($P644)),"",IFERROR(PERCENTRANK($P$5:$P$1204,$P644),""))</f>
        <v/>
      </c>
    </row>
    <row r="645" customFormat="false" ht="15" hidden="false" customHeight="false" outlineLevel="0" collapsed="false">
      <c r="A645" s="55"/>
      <c r="B645" s="56"/>
      <c r="C645" s="57"/>
      <c r="D645" s="56"/>
      <c r="E645" s="56"/>
      <c r="F645" s="56"/>
      <c r="G645" s="50" t="str">
        <f aca="false">IF($A645="","",IF(ISNUMBER($G644),$G644+1,1))</f>
        <v/>
      </c>
      <c r="H645" s="51" t="str">
        <f aca="false">IF(OR(NOT(ISNUMBER($G645)),$G645&lt;2,NOT(ISNUMBER($C644)),$C644=0),"",$C645/$C644-1)</f>
        <v/>
      </c>
      <c r="I645" s="52" t="str">
        <f aca="false">IF(AND(ISNUMBER($G645),$G645&gt;=MA_SHORT),AVERAGE(INDEX($C$245:$C645,402-MA_SHORT):$C645),"")</f>
        <v/>
      </c>
      <c r="J645" s="52" t="str">
        <f aca="false">IF(AND(ISNUMBER($G645),$G645&gt;=MA_MED),AVERAGE(INDEX($C$245:$C645,402-MA_MED):$C645),"")</f>
        <v/>
      </c>
      <c r="K645" s="52" t="str">
        <f aca="false">IF(AND(ISNUMBER($G645),$G645&gt;=MA_LONG2),AVERAGE(INDEX($C$245:$C645,402-MA_LONG2):$C645),"")</f>
        <v/>
      </c>
      <c r="L645" s="53" t="str">
        <f aca="false">IF(AND(ISNUMBER($G645),$G645&gt;=21),STDEV(INDEX($H$585:$H645,62-20):$H645)*SQRT(245),"")</f>
        <v/>
      </c>
      <c r="M645" s="52" t="str">
        <f aca="false">IF(AND(ISNUMBER($G645),$G645&gt;=60),MAX(INDEX($D$445:$D645,202-60):$D645),"")</f>
        <v/>
      </c>
      <c r="N645" s="52" t="str">
        <f aca="false">IF(AND(ISNUMBER($G645),$G645&gt;=60),MIN(INDEX($E$445:$E645,202-60):$E645),"")</f>
        <v/>
      </c>
      <c r="O645" s="53" t="str">
        <f aca="false">IF(OR(NOT(ISNUMBER($C645)),NOT(ISNUMBER($M645)),$M645=0),"",$C645/$M645-1)</f>
        <v/>
      </c>
      <c r="P645" s="54"/>
      <c r="Q645" s="53" t="str">
        <f aca="false">IF(NOT(ISNUMBER($P645)),"",IFERROR(PERCENTRANK($P$5:$P$1204,$P645),""))</f>
        <v/>
      </c>
    </row>
    <row r="646" customFormat="false" ht="15" hidden="false" customHeight="false" outlineLevel="0" collapsed="false">
      <c r="A646" s="55"/>
      <c r="B646" s="56"/>
      <c r="C646" s="57"/>
      <c r="D646" s="56"/>
      <c r="E646" s="56"/>
      <c r="F646" s="56"/>
      <c r="G646" s="50" t="str">
        <f aca="false">IF($A646="","",IF(ISNUMBER($G645),$G645+1,1))</f>
        <v/>
      </c>
      <c r="H646" s="51" t="str">
        <f aca="false">IF(OR(NOT(ISNUMBER($G646)),$G646&lt;2,NOT(ISNUMBER($C645)),$C645=0),"",$C646/$C645-1)</f>
        <v/>
      </c>
      <c r="I646" s="52" t="str">
        <f aca="false">IF(AND(ISNUMBER($G646),$G646&gt;=MA_SHORT),AVERAGE(INDEX($C$246:$C646,402-MA_SHORT):$C646),"")</f>
        <v/>
      </c>
      <c r="J646" s="52" t="str">
        <f aca="false">IF(AND(ISNUMBER($G646),$G646&gt;=MA_MED),AVERAGE(INDEX($C$246:$C646,402-MA_MED):$C646),"")</f>
        <v/>
      </c>
      <c r="K646" s="52" t="str">
        <f aca="false">IF(AND(ISNUMBER($G646),$G646&gt;=MA_LONG2),AVERAGE(INDEX($C$246:$C646,402-MA_LONG2):$C646),"")</f>
        <v/>
      </c>
      <c r="L646" s="53" t="str">
        <f aca="false">IF(AND(ISNUMBER($G646),$G646&gt;=21),STDEV(INDEX($H$586:$H646,62-20):$H646)*SQRT(245),"")</f>
        <v/>
      </c>
      <c r="M646" s="52" t="str">
        <f aca="false">IF(AND(ISNUMBER($G646),$G646&gt;=60),MAX(INDEX($D$446:$D646,202-60):$D646),"")</f>
        <v/>
      </c>
      <c r="N646" s="52" t="str">
        <f aca="false">IF(AND(ISNUMBER($G646),$G646&gt;=60),MIN(INDEX($E$446:$E646,202-60):$E646),"")</f>
        <v/>
      </c>
      <c r="O646" s="53" t="str">
        <f aca="false">IF(OR(NOT(ISNUMBER($C646)),NOT(ISNUMBER($M646)),$M646=0),"",$C646/$M646-1)</f>
        <v/>
      </c>
      <c r="P646" s="54"/>
      <c r="Q646" s="53" t="str">
        <f aca="false">IF(NOT(ISNUMBER($P646)),"",IFERROR(PERCENTRANK($P$5:$P$1204,$P646),""))</f>
        <v/>
      </c>
    </row>
    <row r="647" customFormat="false" ht="15" hidden="false" customHeight="false" outlineLevel="0" collapsed="false">
      <c r="A647" s="55"/>
      <c r="B647" s="56"/>
      <c r="C647" s="57"/>
      <c r="D647" s="56"/>
      <c r="E647" s="56"/>
      <c r="F647" s="56"/>
      <c r="G647" s="50" t="str">
        <f aca="false">IF($A647="","",IF(ISNUMBER($G646),$G646+1,1))</f>
        <v/>
      </c>
      <c r="H647" s="51" t="str">
        <f aca="false">IF(OR(NOT(ISNUMBER($G647)),$G647&lt;2,NOT(ISNUMBER($C646)),$C646=0),"",$C647/$C646-1)</f>
        <v/>
      </c>
      <c r="I647" s="52" t="str">
        <f aca="false">IF(AND(ISNUMBER($G647),$G647&gt;=MA_SHORT),AVERAGE(INDEX($C$247:$C647,402-MA_SHORT):$C647),"")</f>
        <v/>
      </c>
      <c r="J647" s="52" t="str">
        <f aca="false">IF(AND(ISNUMBER($G647),$G647&gt;=MA_MED),AVERAGE(INDEX($C$247:$C647,402-MA_MED):$C647),"")</f>
        <v/>
      </c>
      <c r="K647" s="52" t="str">
        <f aca="false">IF(AND(ISNUMBER($G647),$G647&gt;=MA_LONG2),AVERAGE(INDEX($C$247:$C647,402-MA_LONG2):$C647),"")</f>
        <v/>
      </c>
      <c r="L647" s="53" t="str">
        <f aca="false">IF(AND(ISNUMBER($G647),$G647&gt;=21),STDEV(INDEX($H$587:$H647,62-20):$H647)*SQRT(245),"")</f>
        <v/>
      </c>
      <c r="M647" s="52" t="str">
        <f aca="false">IF(AND(ISNUMBER($G647),$G647&gt;=60),MAX(INDEX($D$447:$D647,202-60):$D647),"")</f>
        <v/>
      </c>
      <c r="N647" s="52" t="str">
        <f aca="false">IF(AND(ISNUMBER($G647),$G647&gt;=60),MIN(INDEX($E$447:$E647,202-60):$E647),"")</f>
        <v/>
      </c>
      <c r="O647" s="53" t="str">
        <f aca="false">IF(OR(NOT(ISNUMBER($C647)),NOT(ISNUMBER($M647)),$M647=0),"",$C647/$M647-1)</f>
        <v/>
      </c>
      <c r="P647" s="54"/>
      <c r="Q647" s="53" t="str">
        <f aca="false">IF(NOT(ISNUMBER($P647)),"",IFERROR(PERCENTRANK($P$5:$P$1204,$P647),""))</f>
        <v/>
      </c>
    </row>
    <row r="648" customFormat="false" ht="15" hidden="false" customHeight="false" outlineLevel="0" collapsed="false">
      <c r="A648" s="55"/>
      <c r="B648" s="56"/>
      <c r="C648" s="57"/>
      <c r="D648" s="56"/>
      <c r="E648" s="56"/>
      <c r="F648" s="56"/>
      <c r="G648" s="50" t="str">
        <f aca="false">IF($A648="","",IF(ISNUMBER($G647),$G647+1,1))</f>
        <v/>
      </c>
      <c r="H648" s="51" t="str">
        <f aca="false">IF(OR(NOT(ISNUMBER($G648)),$G648&lt;2,NOT(ISNUMBER($C647)),$C647=0),"",$C648/$C647-1)</f>
        <v/>
      </c>
      <c r="I648" s="52" t="str">
        <f aca="false">IF(AND(ISNUMBER($G648),$G648&gt;=MA_SHORT),AVERAGE(INDEX($C$248:$C648,402-MA_SHORT):$C648),"")</f>
        <v/>
      </c>
      <c r="J648" s="52" t="str">
        <f aca="false">IF(AND(ISNUMBER($G648),$G648&gt;=MA_MED),AVERAGE(INDEX($C$248:$C648,402-MA_MED):$C648),"")</f>
        <v/>
      </c>
      <c r="K648" s="52" t="str">
        <f aca="false">IF(AND(ISNUMBER($G648),$G648&gt;=MA_LONG2),AVERAGE(INDEX($C$248:$C648,402-MA_LONG2):$C648),"")</f>
        <v/>
      </c>
      <c r="L648" s="53" t="str">
        <f aca="false">IF(AND(ISNUMBER($G648),$G648&gt;=21),STDEV(INDEX($H$588:$H648,62-20):$H648)*SQRT(245),"")</f>
        <v/>
      </c>
      <c r="M648" s="52" t="str">
        <f aca="false">IF(AND(ISNUMBER($G648),$G648&gt;=60),MAX(INDEX($D$448:$D648,202-60):$D648),"")</f>
        <v/>
      </c>
      <c r="N648" s="52" t="str">
        <f aca="false">IF(AND(ISNUMBER($G648),$G648&gt;=60),MIN(INDEX($E$448:$E648,202-60):$E648),"")</f>
        <v/>
      </c>
      <c r="O648" s="53" t="str">
        <f aca="false">IF(OR(NOT(ISNUMBER($C648)),NOT(ISNUMBER($M648)),$M648=0),"",$C648/$M648-1)</f>
        <v/>
      </c>
      <c r="P648" s="54"/>
      <c r="Q648" s="53" t="str">
        <f aca="false">IF(NOT(ISNUMBER($P648)),"",IFERROR(PERCENTRANK($P$5:$P$1204,$P648),""))</f>
        <v/>
      </c>
    </row>
    <row r="649" customFormat="false" ht="15" hidden="false" customHeight="false" outlineLevel="0" collapsed="false">
      <c r="A649" s="55"/>
      <c r="B649" s="56"/>
      <c r="C649" s="57"/>
      <c r="D649" s="56"/>
      <c r="E649" s="56"/>
      <c r="F649" s="56"/>
      <c r="G649" s="50" t="str">
        <f aca="false">IF($A649="","",IF(ISNUMBER($G648),$G648+1,1))</f>
        <v/>
      </c>
      <c r="H649" s="51" t="str">
        <f aca="false">IF(OR(NOT(ISNUMBER($G649)),$G649&lt;2,NOT(ISNUMBER($C648)),$C648=0),"",$C649/$C648-1)</f>
        <v/>
      </c>
      <c r="I649" s="52" t="str">
        <f aca="false">IF(AND(ISNUMBER($G649),$G649&gt;=MA_SHORT),AVERAGE(INDEX($C$249:$C649,402-MA_SHORT):$C649),"")</f>
        <v/>
      </c>
      <c r="J649" s="52" t="str">
        <f aca="false">IF(AND(ISNUMBER($G649),$G649&gt;=MA_MED),AVERAGE(INDEX($C$249:$C649,402-MA_MED):$C649),"")</f>
        <v/>
      </c>
      <c r="K649" s="52" t="str">
        <f aca="false">IF(AND(ISNUMBER($G649),$G649&gt;=MA_LONG2),AVERAGE(INDEX($C$249:$C649,402-MA_LONG2):$C649),"")</f>
        <v/>
      </c>
      <c r="L649" s="53" t="str">
        <f aca="false">IF(AND(ISNUMBER($G649),$G649&gt;=21),STDEV(INDEX($H$589:$H649,62-20):$H649)*SQRT(245),"")</f>
        <v/>
      </c>
      <c r="M649" s="52" t="str">
        <f aca="false">IF(AND(ISNUMBER($G649),$G649&gt;=60),MAX(INDEX($D$449:$D649,202-60):$D649),"")</f>
        <v/>
      </c>
      <c r="N649" s="52" t="str">
        <f aca="false">IF(AND(ISNUMBER($G649),$G649&gt;=60),MIN(INDEX($E$449:$E649,202-60):$E649),"")</f>
        <v/>
      </c>
      <c r="O649" s="53" t="str">
        <f aca="false">IF(OR(NOT(ISNUMBER($C649)),NOT(ISNUMBER($M649)),$M649=0),"",$C649/$M649-1)</f>
        <v/>
      </c>
      <c r="P649" s="54"/>
      <c r="Q649" s="53" t="str">
        <f aca="false">IF(NOT(ISNUMBER($P649)),"",IFERROR(PERCENTRANK($P$5:$P$1204,$P649),""))</f>
        <v/>
      </c>
    </row>
    <row r="650" customFormat="false" ht="15" hidden="false" customHeight="false" outlineLevel="0" collapsed="false">
      <c r="A650" s="55"/>
      <c r="B650" s="56"/>
      <c r="C650" s="57"/>
      <c r="D650" s="56"/>
      <c r="E650" s="56"/>
      <c r="F650" s="56"/>
      <c r="G650" s="50" t="str">
        <f aca="false">IF($A650="","",IF(ISNUMBER($G649),$G649+1,1))</f>
        <v/>
      </c>
      <c r="H650" s="51" t="str">
        <f aca="false">IF(OR(NOT(ISNUMBER($G650)),$G650&lt;2,NOT(ISNUMBER($C649)),$C649=0),"",$C650/$C649-1)</f>
        <v/>
      </c>
      <c r="I650" s="52" t="str">
        <f aca="false">IF(AND(ISNUMBER($G650),$G650&gt;=MA_SHORT),AVERAGE(INDEX($C$250:$C650,402-MA_SHORT):$C650),"")</f>
        <v/>
      </c>
      <c r="J650" s="52" t="str">
        <f aca="false">IF(AND(ISNUMBER($G650),$G650&gt;=MA_MED),AVERAGE(INDEX($C$250:$C650,402-MA_MED):$C650),"")</f>
        <v/>
      </c>
      <c r="K650" s="52" t="str">
        <f aca="false">IF(AND(ISNUMBER($G650),$G650&gt;=MA_LONG2),AVERAGE(INDEX($C$250:$C650,402-MA_LONG2):$C650),"")</f>
        <v/>
      </c>
      <c r="L650" s="53" t="str">
        <f aca="false">IF(AND(ISNUMBER($G650),$G650&gt;=21),STDEV(INDEX($H$590:$H650,62-20):$H650)*SQRT(245),"")</f>
        <v/>
      </c>
      <c r="M650" s="52" t="str">
        <f aca="false">IF(AND(ISNUMBER($G650),$G650&gt;=60),MAX(INDEX($D$450:$D650,202-60):$D650),"")</f>
        <v/>
      </c>
      <c r="N650" s="52" t="str">
        <f aca="false">IF(AND(ISNUMBER($G650),$G650&gt;=60),MIN(INDEX($E$450:$E650,202-60):$E650),"")</f>
        <v/>
      </c>
      <c r="O650" s="53" t="str">
        <f aca="false">IF(OR(NOT(ISNUMBER($C650)),NOT(ISNUMBER($M650)),$M650=0),"",$C650/$M650-1)</f>
        <v/>
      </c>
      <c r="P650" s="54"/>
      <c r="Q650" s="53" t="str">
        <f aca="false">IF(NOT(ISNUMBER($P650)),"",IFERROR(PERCENTRANK($P$5:$P$1204,$P650),""))</f>
        <v/>
      </c>
    </row>
    <row r="651" customFormat="false" ht="15" hidden="false" customHeight="false" outlineLevel="0" collapsed="false">
      <c r="A651" s="55"/>
      <c r="B651" s="56"/>
      <c r="C651" s="57"/>
      <c r="D651" s="56"/>
      <c r="E651" s="56"/>
      <c r="F651" s="56"/>
      <c r="G651" s="50" t="str">
        <f aca="false">IF($A651="","",IF(ISNUMBER($G650),$G650+1,1))</f>
        <v/>
      </c>
      <c r="H651" s="51" t="str">
        <f aca="false">IF(OR(NOT(ISNUMBER($G651)),$G651&lt;2,NOT(ISNUMBER($C650)),$C650=0),"",$C651/$C650-1)</f>
        <v/>
      </c>
      <c r="I651" s="52" t="str">
        <f aca="false">IF(AND(ISNUMBER($G651),$G651&gt;=MA_SHORT),AVERAGE(INDEX($C$251:$C651,402-MA_SHORT):$C651),"")</f>
        <v/>
      </c>
      <c r="J651" s="52" t="str">
        <f aca="false">IF(AND(ISNUMBER($G651),$G651&gt;=MA_MED),AVERAGE(INDEX($C$251:$C651,402-MA_MED):$C651),"")</f>
        <v/>
      </c>
      <c r="K651" s="52" t="str">
        <f aca="false">IF(AND(ISNUMBER($G651),$G651&gt;=MA_LONG2),AVERAGE(INDEX($C$251:$C651,402-MA_LONG2):$C651),"")</f>
        <v/>
      </c>
      <c r="L651" s="53" t="str">
        <f aca="false">IF(AND(ISNUMBER($G651),$G651&gt;=21),STDEV(INDEX($H$591:$H651,62-20):$H651)*SQRT(245),"")</f>
        <v/>
      </c>
      <c r="M651" s="52" t="str">
        <f aca="false">IF(AND(ISNUMBER($G651),$G651&gt;=60),MAX(INDEX($D$451:$D651,202-60):$D651),"")</f>
        <v/>
      </c>
      <c r="N651" s="52" t="str">
        <f aca="false">IF(AND(ISNUMBER($G651),$G651&gt;=60),MIN(INDEX($E$451:$E651,202-60):$E651),"")</f>
        <v/>
      </c>
      <c r="O651" s="53" t="str">
        <f aca="false">IF(OR(NOT(ISNUMBER($C651)),NOT(ISNUMBER($M651)),$M651=0),"",$C651/$M651-1)</f>
        <v/>
      </c>
      <c r="P651" s="54"/>
      <c r="Q651" s="53" t="str">
        <f aca="false">IF(NOT(ISNUMBER($P651)),"",IFERROR(PERCENTRANK($P$5:$P$1204,$P651),""))</f>
        <v/>
      </c>
    </row>
    <row r="652" customFormat="false" ht="15" hidden="false" customHeight="false" outlineLevel="0" collapsed="false">
      <c r="A652" s="55"/>
      <c r="B652" s="56"/>
      <c r="C652" s="57"/>
      <c r="D652" s="56"/>
      <c r="E652" s="56"/>
      <c r="F652" s="56"/>
      <c r="G652" s="50" t="str">
        <f aca="false">IF($A652="","",IF(ISNUMBER($G651),$G651+1,1))</f>
        <v/>
      </c>
      <c r="H652" s="51" t="str">
        <f aca="false">IF(OR(NOT(ISNUMBER($G652)),$G652&lt;2,NOT(ISNUMBER($C651)),$C651=0),"",$C652/$C651-1)</f>
        <v/>
      </c>
      <c r="I652" s="52" t="str">
        <f aca="false">IF(AND(ISNUMBER($G652),$G652&gt;=MA_SHORT),AVERAGE(INDEX($C$252:$C652,402-MA_SHORT):$C652),"")</f>
        <v/>
      </c>
      <c r="J652" s="52" t="str">
        <f aca="false">IF(AND(ISNUMBER($G652),$G652&gt;=MA_MED),AVERAGE(INDEX($C$252:$C652,402-MA_MED):$C652),"")</f>
        <v/>
      </c>
      <c r="K652" s="52" t="str">
        <f aca="false">IF(AND(ISNUMBER($G652),$G652&gt;=MA_LONG2),AVERAGE(INDEX($C$252:$C652,402-MA_LONG2):$C652),"")</f>
        <v/>
      </c>
      <c r="L652" s="53" t="str">
        <f aca="false">IF(AND(ISNUMBER($G652),$G652&gt;=21),STDEV(INDEX($H$592:$H652,62-20):$H652)*SQRT(245),"")</f>
        <v/>
      </c>
      <c r="M652" s="52" t="str">
        <f aca="false">IF(AND(ISNUMBER($G652),$G652&gt;=60),MAX(INDEX($D$452:$D652,202-60):$D652),"")</f>
        <v/>
      </c>
      <c r="N652" s="52" t="str">
        <f aca="false">IF(AND(ISNUMBER($G652),$G652&gt;=60),MIN(INDEX($E$452:$E652,202-60):$E652),"")</f>
        <v/>
      </c>
      <c r="O652" s="53" t="str">
        <f aca="false">IF(OR(NOT(ISNUMBER($C652)),NOT(ISNUMBER($M652)),$M652=0),"",$C652/$M652-1)</f>
        <v/>
      </c>
      <c r="P652" s="54"/>
      <c r="Q652" s="53" t="str">
        <f aca="false">IF(NOT(ISNUMBER($P652)),"",IFERROR(PERCENTRANK($P$5:$P$1204,$P652),""))</f>
        <v/>
      </c>
    </row>
    <row r="653" customFormat="false" ht="15" hidden="false" customHeight="false" outlineLevel="0" collapsed="false">
      <c r="A653" s="55"/>
      <c r="B653" s="56"/>
      <c r="C653" s="57"/>
      <c r="D653" s="56"/>
      <c r="E653" s="56"/>
      <c r="F653" s="56"/>
      <c r="G653" s="50" t="str">
        <f aca="false">IF($A653="","",IF(ISNUMBER($G652),$G652+1,1))</f>
        <v/>
      </c>
      <c r="H653" s="51" t="str">
        <f aca="false">IF(OR(NOT(ISNUMBER($G653)),$G653&lt;2,NOT(ISNUMBER($C652)),$C652=0),"",$C653/$C652-1)</f>
        <v/>
      </c>
      <c r="I653" s="52" t="str">
        <f aca="false">IF(AND(ISNUMBER($G653),$G653&gt;=MA_SHORT),AVERAGE(INDEX($C$253:$C653,402-MA_SHORT):$C653),"")</f>
        <v/>
      </c>
      <c r="J653" s="52" t="str">
        <f aca="false">IF(AND(ISNUMBER($G653),$G653&gt;=MA_MED),AVERAGE(INDEX($C$253:$C653,402-MA_MED):$C653),"")</f>
        <v/>
      </c>
      <c r="K653" s="52" t="str">
        <f aca="false">IF(AND(ISNUMBER($G653),$G653&gt;=MA_LONG2),AVERAGE(INDEX($C$253:$C653,402-MA_LONG2):$C653),"")</f>
        <v/>
      </c>
      <c r="L653" s="53" t="str">
        <f aca="false">IF(AND(ISNUMBER($G653),$G653&gt;=21),STDEV(INDEX($H$593:$H653,62-20):$H653)*SQRT(245),"")</f>
        <v/>
      </c>
      <c r="M653" s="52" t="str">
        <f aca="false">IF(AND(ISNUMBER($G653),$G653&gt;=60),MAX(INDEX($D$453:$D653,202-60):$D653),"")</f>
        <v/>
      </c>
      <c r="N653" s="52" t="str">
        <f aca="false">IF(AND(ISNUMBER($G653),$G653&gt;=60),MIN(INDEX($E$453:$E653,202-60):$E653),"")</f>
        <v/>
      </c>
      <c r="O653" s="53" t="str">
        <f aca="false">IF(OR(NOT(ISNUMBER($C653)),NOT(ISNUMBER($M653)),$M653=0),"",$C653/$M653-1)</f>
        <v/>
      </c>
      <c r="P653" s="54"/>
      <c r="Q653" s="53" t="str">
        <f aca="false">IF(NOT(ISNUMBER($P653)),"",IFERROR(PERCENTRANK($P$5:$P$1204,$P653),""))</f>
        <v/>
      </c>
    </row>
    <row r="654" customFormat="false" ht="15" hidden="false" customHeight="false" outlineLevel="0" collapsed="false">
      <c r="A654" s="55"/>
      <c r="B654" s="56"/>
      <c r="C654" s="57"/>
      <c r="D654" s="56"/>
      <c r="E654" s="56"/>
      <c r="F654" s="56"/>
      <c r="G654" s="50" t="str">
        <f aca="false">IF($A654="","",IF(ISNUMBER($G653),$G653+1,1))</f>
        <v/>
      </c>
      <c r="H654" s="51" t="str">
        <f aca="false">IF(OR(NOT(ISNUMBER($G654)),$G654&lt;2,NOT(ISNUMBER($C653)),$C653=0),"",$C654/$C653-1)</f>
        <v/>
      </c>
      <c r="I654" s="52" t="str">
        <f aca="false">IF(AND(ISNUMBER($G654),$G654&gt;=MA_SHORT),AVERAGE(INDEX($C$254:$C654,402-MA_SHORT):$C654),"")</f>
        <v/>
      </c>
      <c r="J654" s="52" t="str">
        <f aca="false">IF(AND(ISNUMBER($G654),$G654&gt;=MA_MED),AVERAGE(INDEX($C$254:$C654,402-MA_MED):$C654),"")</f>
        <v/>
      </c>
      <c r="K654" s="52" t="str">
        <f aca="false">IF(AND(ISNUMBER($G654),$G654&gt;=MA_LONG2),AVERAGE(INDEX($C$254:$C654,402-MA_LONG2):$C654),"")</f>
        <v/>
      </c>
      <c r="L654" s="53" t="str">
        <f aca="false">IF(AND(ISNUMBER($G654),$G654&gt;=21),STDEV(INDEX($H$594:$H654,62-20):$H654)*SQRT(245),"")</f>
        <v/>
      </c>
      <c r="M654" s="52" t="str">
        <f aca="false">IF(AND(ISNUMBER($G654),$G654&gt;=60),MAX(INDEX($D$454:$D654,202-60):$D654),"")</f>
        <v/>
      </c>
      <c r="N654" s="52" t="str">
        <f aca="false">IF(AND(ISNUMBER($G654),$G654&gt;=60),MIN(INDEX($E$454:$E654,202-60):$E654),"")</f>
        <v/>
      </c>
      <c r="O654" s="53" t="str">
        <f aca="false">IF(OR(NOT(ISNUMBER($C654)),NOT(ISNUMBER($M654)),$M654=0),"",$C654/$M654-1)</f>
        <v/>
      </c>
      <c r="P654" s="54"/>
      <c r="Q654" s="53" t="str">
        <f aca="false">IF(NOT(ISNUMBER($P654)),"",IFERROR(PERCENTRANK($P$5:$P$1204,$P654),""))</f>
        <v/>
      </c>
    </row>
    <row r="655" customFormat="false" ht="15" hidden="false" customHeight="false" outlineLevel="0" collapsed="false">
      <c r="A655" s="55"/>
      <c r="B655" s="56"/>
      <c r="C655" s="57"/>
      <c r="D655" s="56"/>
      <c r="E655" s="56"/>
      <c r="F655" s="56"/>
      <c r="G655" s="50" t="str">
        <f aca="false">IF($A655="","",IF(ISNUMBER($G654),$G654+1,1))</f>
        <v/>
      </c>
      <c r="H655" s="51" t="str">
        <f aca="false">IF(OR(NOT(ISNUMBER($G655)),$G655&lt;2,NOT(ISNUMBER($C654)),$C654=0),"",$C655/$C654-1)</f>
        <v/>
      </c>
      <c r="I655" s="52" t="str">
        <f aca="false">IF(AND(ISNUMBER($G655),$G655&gt;=MA_SHORT),AVERAGE(INDEX($C$255:$C655,402-MA_SHORT):$C655),"")</f>
        <v/>
      </c>
      <c r="J655" s="52" t="str">
        <f aca="false">IF(AND(ISNUMBER($G655),$G655&gt;=MA_MED),AVERAGE(INDEX($C$255:$C655,402-MA_MED):$C655),"")</f>
        <v/>
      </c>
      <c r="K655" s="52" t="str">
        <f aca="false">IF(AND(ISNUMBER($G655),$G655&gt;=MA_LONG2),AVERAGE(INDEX($C$255:$C655,402-MA_LONG2):$C655),"")</f>
        <v/>
      </c>
      <c r="L655" s="53" t="str">
        <f aca="false">IF(AND(ISNUMBER($G655),$G655&gt;=21),STDEV(INDEX($H$595:$H655,62-20):$H655)*SQRT(245),"")</f>
        <v/>
      </c>
      <c r="M655" s="52" t="str">
        <f aca="false">IF(AND(ISNUMBER($G655),$G655&gt;=60),MAX(INDEX($D$455:$D655,202-60):$D655),"")</f>
        <v/>
      </c>
      <c r="N655" s="52" t="str">
        <f aca="false">IF(AND(ISNUMBER($G655),$G655&gt;=60),MIN(INDEX($E$455:$E655,202-60):$E655),"")</f>
        <v/>
      </c>
      <c r="O655" s="53" t="str">
        <f aca="false">IF(OR(NOT(ISNUMBER($C655)),NOT(ISNUMBER($M655)),$M655=0),"",$C655/$M655-1)</f>
        <v/>
      </c>
      <c r="P655" s="54"/>
      <c r="Q655" s="53" t="str">
        <f aca="false">IF(NOT(ISNUMBER($P655)),"",IFERROR(PERCENTRANK($P$5:$P$1204,$P655),""))</f>
        <v/>
      </c>
    </row>
    <row r="656" customFormat="false" ht="15" hidden="false" customHeight="false" outlineLevel="0" collapsed="false">
      <c r="A656" s="55"/>
      <c r="B656" s="56"/>
      <c r="C656" s="57"/>
      <c r="D656" s="56"/>
      <c r="E656" s="56"/>
      <c r="F656" s="56"/>
      <c r="G656" s="50" t="str">
        <f aca="false">IF($A656="","",IF(ISNUMBER($G655),$G655+1,1))</f>
        <v/>
      </c>
      <c r="H656" s="51" t="str">
        <f aca="false">IF(OR(NOT(ISNUMBER($G656)),$G656&lt;2,NOT(ISNUMBER($C655)),$C655=0),"",$C656/$C655-1)</f>
        <v/>
      </c>
      <c r="I656" s="52" t="str">
        <f aca="false">IF(AND(ISNUMBER($G656),$G656&gt;=MA_SHORT),AVERAGE(INDEX($C$256:$C656,402-MA_SHORT):$C656),"")</f>
        <v/>
      </c>
      <c r="J656" s="52" t="str">
        <f aca="false">IF(AND(ISNUMBER($G656),$G656&gt;=MA_MED),AVERAGE(INDEX($C$256:$C656,402-MA_MED):$C656),"")</f>
        <v/>
      </c>
      <c r="K656" s="52" t="str">
        <f aca="false">IF(AND(ISNUMBER($G656),$G656&gt;=MA_LONG2),AVERAGE(INDEX($C$256:$C656,402-MA_LONG2):$C656),"")</f>
        <v/>
      </c>
      <c r="L656" s="53" t="str">
        <f aca="false">IF(AND(ISNUMBER($G656),$G656&gt;=21),STDEV(INDEX($H$596:$H656,62-20):$H656)*SQRT(245),"")</f>
        <v/>
      </c>
      <c r="M656" s="52" t="str">
        <f aca="false">IF(AND(ISNUMBER($G656),$G656&gt;=60),MAX(INDEX($D$456:$D656,202-60):$D656),"")</f>
        <v/>
      </c>
      <c r="N656" s="52" t="str">
        <f aca="false">IF(AND(ISNUMBER($G656),$G656&gt;=60),MIN(INDEX($E$456:$E656,202-60):$E656),"")</f>
        <v/>
      </c>
      <c r="O656" s="53" t="str">
        <f aca="false">IF(OR(NOT(ISNUMBER($C656)),NOT(ISNUMBER($M656)),$M656=0),"",$C656/$M656-1)</f>
        <v/>
      </c>
      <c r="P656" s="54"/>
      <c r="Q656" s="53" t="str">
        <f aca="false">IF(NOT(ISNUMBER($P656)),"",IFERROR(PERCENTRANK($P$5:$P$1204,$P656),""))</f>
        <v/>
      </c>
    </row>
    <row r="657" customFormat="false" ht="15" hidden="false" customHeight="false" outlineLevel="0" collapsed="false">
      <c r="A657" s="55"/>
      <c r="B657" s="56"/>
      <c r="C657" s="57"/>
      <c r="D657" s="56"/>
      <c r="E657" s="56"/>
      <c r="F657" s="56"/>
      <c r="G657" s="50" t="str">
        <f aca="false">IF($A657="","",IF(ISNUMBER($G656),$G656+1,1))</f>
        <v/>
      </c>
      <c r="H657" s="51" t="str">
        <f aca="false">IF(OR(NOT(ISNUMBER($G657)),$G657&lt;2,NOT(ISNUMBER($C656)),$C656=0),"",$C657/$C656-1)</f>
        <v/>
      </c>
      <c r="I657" s="52" t="str">
        <f aca="false">IF(AND(ISNUMBER($G657),$G657&gt;=MA_SHORT),AVERAGE(INDEX($C$257:$C657,402-MA_SHORT):$C657),"")</f>
        <v/>
      </c>
      <c r="J657" s="52" t="str">
        <f aca="false">IF(AND(ISNUMBER($G657),$G657&gt;=MA_MED),AVERAGE(INDEX($C$257:$C657,402-MA_MED):$C657),"")</f>
        <v/>
      </c>
      <c r="K657" s="52" t="str">
        <f aca="false">IF(AND(ISNUMBER($G657),$G657&gt;=MA_LONG2),AVERAGE(INDEX($C$257:$C657,402-MA_LONG2):$C657),"")</f>
        <v/>
      </c>
      <c r="L657" s="53" t="str">
        <f aca="false">IF(AND(ISNUMBER($G657),$G657&gt;=21),STDEV(INDEX($H$597:$H657,62-20):$H657)*SQRT(245),"")</f>
        <v/>
      </c>
      <c r="M657" s="52" t="str">
        <f aca="false">IF(AND(ISNUMBER($G657),$G657&gt;=60),MAX(INDEX($D$457:$D657,202-60):$D657),"")</f>
        <v/>
      </c>
      <c r="N657" s="52" t="str">
        <f aca="false">IF(AND(ISNUMBER($G657),$G657&gt;=60),MIN(INDEX($E$457:$E657,202-60):$E657),"")</f>
        <v/>
      </c>
      <c r="O657" s="53" t="str">
        <f aca="false">IF(OR(NOT(ISNUMBER($C657)),NOT(ISNUMBER($M657)),$M657=0),"",$C657/$M657-1)</f>
        <v/>
      </c>
      <c r="P657" s="54"/>
      <c r="Q657" s="53" t="str">
        <f aca="false">IF(NOT(ISNUMBER($P657)),"",IFERROR(PERCENTRANK($P$5:$P$1204,$P657),""))</f>
        <v/>
      </c>
    </row>
    <row r="658" customFormat="false" ht="15" hidden="false" customHeight="false" outlineLevel="0" collapsed="false">
      <c r="A658" s="55"/>
      <c r="B658" s="56"/>
      <c r="C658" s="57"/>
      <c r="D658" s="56"/>
      <c r="E658" s="56"/>
      <c r="F658" s="56"/>
      <c r="G658" s="50" t="str">
        <f aca="false">IF($A658="","",IF(ISNUMBER($G657),$G657+1,1))</f>
        <v/>
      </c>
      <c r="H658" s="51" t="str">
        <f aca="false">IF(OR(NOT(ISNUMBER($G658)),$G658&lt;2,NOT(ISNUMBER($C657)),$C657=0),"",$C658/$C657-1)</f>
        <v/>
      </c>
      <c r="I658" s="52" t="str">
        <f aca="false">IF(AND(ISNUMBER($G658),$G658&gt;=MA_SHORT),AVERAGE(INDEX($C$258:$C658,402-MA_SHORT):$C658),"")</f>
        <v/>
      </c>
      <c r="J658" s="52" t="str">
        <f aca="false">IF(AND(ISNUMBER($G658),$G658&gt;=MA_MED),AVERAGE(INDEX($C$258:$C658,402-MA_MED):$C658),"")</f>
        <v/>
      </c>
      <c r="K658" s="52" t="str">
        <f aca="false">IF(AND(ISNUMBER($G658),$G658&gt;=MA_LONG2),AVERAGE(INDEX($C$258:$C658,402-MA_LONG2):$C658),"")</f>
        <v/>
      </c>
      <c r="L658" s="53" t="str">
        <f aca="false">IF(AND(ISNUMBER($G658),$G658&gt;=21),STDEV(INDEX($H$598:$H658,62-20):$H658)*SQRT(245),"")</f>
        <v/>
      </c>
      <c r="M658" s="52" t="str">
        <f aca="false">IF(AND(ISNUMBER($G658),$G658&gt;=60),MAX(INDEX($D$458:$D658,202-60):$D658),"")</f>
        <v/>
      </c>
      <c r="N658" s="52" t="str">
        <f aca="false">IF(AND(ISNUMBER($G658),$G658&gt;=60),MIN(INDEX($E$458:$E658,202-60):$E658),"")</f>
        <v/>
      </c>
      <c r="O658" s="53" t="str">
        <f aca="false">IF(OR(NOT(ISNUMBER($C658)),NOT(ISNUMBER($M658)),$M658=0),"",$C658/$M658-1)</f>
        <v/>
      </c>
      <c r="P658" s="54"/>
      <c r="Q658" s="53" t="str">
        <f aca="false">IF(NOT(ISNUMBER($P658)),"",IFERROR(PERCENTRANK($P$5:$P$1204,$P658),""))</f>
        <v/>
      </c>
    </row>
    <row r="659" customFormat="false" ht="15" hidden="false" customHeight="false" outlineLevel="0" collapsed="false">
      <c r="A659" s="55"/>
      <c r="B659" s="56"/>
      <c r="C659" s="57"/>
      <c r="D659" s="56"/>
      <c r="E659" s="56"/>
      <c r="F659" s="56"/>
      <c r="G659" s="50" t="str">
        <f aca="false">IF($A659="","",IF(ISNUMBER($G658),$G658+1,1))</f>
        <v/>
      </c>
      <c r="H659" s="51" t="str">
        <f aca="false">IF(OR(NOT(ISNUMBER($G659)),$G659&lt;2,NOT(ISNUMBER($C658)),$C658=0),"",$C659/$C658-1)</f>
        <v/>
      </c>
      <c r="I659" s="52" t="str">
        <f aca="false">IF(AND(ISNUMBER($G659),$G659&gt;=MA_SHORT),AVERAGE(INDEX($C$259:$C659,402-MA_SHORT):$C659),"")</f>
        <v/>
      </c>
      <c r="J659" s="52" t="str">
        <f aca="false">IF(AND(ISNUMBER($G659),$G659&gt;=MA_MED),AVERAGE(INDEX($C$259:$C659,402-MA_MED):$C659),"")</f>
        <v/>
      </c>
      <c r="K659" s="52" t="str">
        <f aca="false">IF(AND(ISNUMBER($G659),$G659&gt;=MA_LONG2),AVERAGE(INDEX($C$259:$C659,402-MA_LONG2):$C659),"")</f>
        <v/>
      </c>
      <c r="L659" s="53" t="str">
        <f aca="false">IF(AND(ISNUMBER($G659),$G659&gt;=21),STDEV(INDEX($H$599:$H659,62-20):$H659)*SQRT(245),"")</f>
        <v/>
      </c>
      <c r="M659" s="52" t="str">
        <f aca="false">IF(AND(ISNUMBER($G659),$G659&gt;=60),MAX(INDEX($D$459:$D659,202-60):$D659),"")</f>
        <v/>
      </c>
      <c r="N659" s="52" t="str">
        <f aca="false">IF(AND(ISNUMBER($G659),$G659&gt;=60),MIN(INDEX($E$459:$E659,202-60):$E659),"")</f>
        <v/>
      </c>
      <c r="O659" s="53" t="str">
        <f aca="false">IF(OR(NOT(ISNUMBER($C659)),NOT(ISNUMBER($M659)),$M659=0),"",$C659/$M659-1)</f>
        <v/>
      </c>
      <c r="P659" s="54"/>
      <c r="Q659" s="53" t="str">
        <f aca="false">IF(NOT(ISNUMBER($P659)),"",IFERROR(PERCENTRANK($P$5:$P$1204,$P659),""))</f>
        <v/>
      </c>
    </row>
    <row r="660" customFormat="false" ht="15" hidden="false" customHeight="false" outlineLevel="0" collapsed="false">
      <c r="A660" s="55"/>
      <c r="B660" s="56"/>
      <c r="C660" s="57"/>
      <c r="D660" s="56"/>
      <c r="E660" s="56"/>
      <c r="F660" s="56"/>
      <c r="G660" s="50" t="str">
        <f aca="false">IF($A660="","",IF(ISNUMBER($G659),$G659+1,1))</f>
        <v/>
      </c>
      <c r="H660" s="51" t="str">
        <f aca="false">IF(OR(NOT(ISNUMBER($G660)),$G660&lt;2,NOT(ISNUMBER($C659)),$C659=0),"",$C660/$C659-1)</f>
        <v/>
      </c>
      <c r="I660" s="52" t="str">
        <f aca="false">IF(AND(ISNUMBER($G660),$G660&gt;=MA_SHORT),AVERAGE(INDEX($C$260:$C660,402-MA_SHORT):$C660),"")</f>
        <v/>
      </c>
      <c r="J660" s="52" t="str">
        <f aca="false">IF(AND(ISNUMBER($G660),$G660&gt;=MA_MED),AVERAGE(INDEX($C$260:$C660,402-MA_MED):$C660),"")</f>
        <v/>
      </c>
      <c r="K660" s="52" t="str">
        <f aca="false">IF(AND(ISNUMBER($G660),$G660&gt;=MA_LONG2),AVERAGE(INDEX($C$260:$C660,402-MA_LONG2):$C660),"")</f>
        <v/>
      </c>
      <c r="L660" s="53" t="str">
        <f aca="false">IF(AND(ISNUMBER($G660),$G660&gt;=21),STDEV(INDEX($H$600:$H660,62-20):$H660)*SQRT(245),"")</f>
        <v/>
      </c>
      <c r="M660" s="52" t="str">
        <f aca="false">IF(AND(ISNUMBER($G660),$G660&gt;=60),MAX(INDEX($D$460:$D660,202-60):$D660),"")</f>
        <v/>
      </c>
      <c r="N660" s="52" t="str">
        <f aca="false">IF(AND(ISNUMBER($G660),$G660&gt;=60),MIN(INDEX($E$460:$E660,202-60):$E660),"")</f>
        <v/>
      </c>
      <c r="O660" s="53" t="str">
        <f aca="false">IF(OR(NOT(ISNUMBER($C660)),NOT(ISNUMBER($M660)),$M660=0),"",$C660/$M660-1)</f>
        <v/>
      </c>
      <c r="P660" s="54"/>
      <c r="Q660" s="53" t="str">
        <f aca="false">IF(NOT(ISNUMBER($P660)),"",IFERROR(PERCENTRANK($P$5:$P$1204,$P660),""))</f>
        <v/>
      </c>
    </row>
    <row r="661" customFormat="false" ht="15" hidden="false" customHeight="false" outlineLevel="0" collapsed="false">
      <c r="A661" s="55"/>
      <c r="B661" s="56"/>
      <c r="C661" s="57"/>
      <c r="D661" s="56"/>
      <c r="E661" s="56"/>
      <c r="F661" s="56"/>
      <c r="G661" s="50" t="str">
        <f aca="false">IF($A661="","",IF(ISNUMBER($G660),$G660+1,1))</f>
        <v/>
      </c>
      <c r="H661" s="51" t="str">
        <f aca="false">IF(OR(NOT(ISNUMBER($G661)),$G661&lt;2,NOT(ISNUMBER($C660)),$C660=0),"",$C661/$C660-1)</f>
        <v/>
      </c>
      <c r="I661" s="52" t="str">
        <f aca="false">IF(AND(ISNUMBER($G661),$G661&gt;=MA_SHORT),AVERAGE(INDEX($C$261:$C661,402-MA_SHORT):$C661),"")</f>
        <v/>
      </c>
      <c r="J661" s="52" t="str">
        <f aca="false">IF(AND(ISNUMBER($G661),$G661&gt;=MA_MED),AVERAGE(INDEX($C$261:$C661,402-MA_MED):$C661),"")</f>
        <v/>
      </c>
      <c r="K661" s="52" t="str">
        <f aca="false">IF(AND(ISNUMBER($G661),$G661&gt;=MA_LONG2),AVERAGE(INDEX($C$261:$C661,402-MA_LONG2):$C661),"")</f>
        <v/>
      </c>
      <c r="L661" s="53" t="str">
        <f aca="false">IF(AND(ISNUMBER($G661),$G661&gt;=21),STDEV(INDEX($H$601:$H661,62-20):$H661)*SQRT(245),"")</f>
        <v/>
      </c>
      <c r="M661" s="52" t="str">
        <f aca="false">IF(AND(ISNUMBER($G661),$G661&gt;=60),MAX(INDEX($D$461:$D661,202-60):$D661),"")</f>
        <v/>
      </c>
      <c r="N661" s="52" t="str">
        <f aca="false">IF(AND(ISNUMBER($G661),$G661&gt;=60),MIN(INDEX($E$461:$E661,202-60):$E661),"")</f>
        <v/>
      </c>
      <c r="O661" s="53" t="str">
        <f aca="false">IF(OR(NOT(ISNUMBER($C661)),NOT(ISNUMBER($M661)),$M661=0),"",$C661/$M661-1)</f>
        <v/>
      </c>
      <c r="P661" s="54"/>
      <c r="Q661" s="53" t="str">
        <f aca="false">IF(NOT(ISNUMBER($P661)),"",IFERROR(PERCENTRANK($P$5:$P$1204,$P661),""))</f>
        <v/>
      </c>
    </row>
    <row r="662" customFormat="false" ht="15" hidden="false" customHeight="false" outlineLevel="0" collapsed="false">
      <c r="A662" s="55"/>
      <c r="B662" s="56"/>
      <c r="C662" s="57"/>
      <c r="D662" s="56"/>
      <c r="E662" s="56"/>
      <c r="F662" s="56"/>
      <c r="G662" s="50" t="str">
        <f aca="false">IF($A662="","",IF(ISNUMBER($G661),$G661+1,1))</f>
        <v/>
      </c>
      <c r="H662" s="51" t="str">
        <f aca="false">IF(OR(NOT(ISNUMBER($G662)),$G662&lt;2,NOT(ISNUMBER($C661)),$C661=0),"",$C662/$C661-1)</f>
        <v/>
      </c>
      <c r="I662" s="52" t="str">
        <f aca="false">IF(AND(ISNUMBER($G662),$G662&gt;=MA_SHORT),AVERAGE(INDEX($C$262:$C662,402-MA_SHORT):$C662),"")</f>
        <v/>
      </c>
      <c r="J662" s="52" t="str">
        <f aca="false">IF(AND(ISNUMBER($G662),$G662&gt;=MA_MED),AVERAGE(INDEX($C$262:$C662,402-MA_MED):$C662),"")</f>
        <v/>
      </c>
      <c r="K662" s="52" t="str">
        <f aca="false">IF(AND(ISNUMBER($G662),$G662&gt;=MA_LONG2),AVERAGE(INDEX($C$262:$C662,402-MA_LONG2):$C662),"")</f>
        <v/>
      </c>
      <c r="L662" s="53" t="str">
        <f aca="false">IF(AND(ISNUMBER($G662),$G662&gt;=21),STDEV(INDEX($H$602:$H662,62-20):$H662)*SQRT(245),"")</f>
        <v/>
      </c>
      <c r="M662" s="52" t="str">
        <f aca="false">IF(AND(ISNUMBER($G662),$G662&gt;=60),MAX(INDEX($D$462:$D662,202-60):$D662),"")</f>
        <v/>
      </c>
      <c r="N662" s="52" t="str">
        <f aca="false">IF(AND(ISNUMBER($G662),$G662&gt;=60),MIN(INDEX($E$462:$E662,202-60):$E662),"")</f>
        <v/>
      </c>
      <c r="O662" s="53" t="str">
        <f aca="false">IF(OR(NOT(ISNUMBER($C662)),NOT(ISNUMBER($M662)),$M662=0),"",$C662/$M662-1)</f>
        <v/>
      </c>
      <c r="P662" s="54"/>
      <c r="Q662" s="53" t="str">
        <f aca="false">IF(NOT(ISNUMBER($P662)),"",IFERROR(PERCENTRANK($P$5:$P$1204,$P662),""))</f>
        <v/>
      </c>
    </row>
    <row r="663" customFormat="false" ht="15" hidden="false" customHeight="false" outlineLevel="0" collapsed="false">
      <c r="A663" s="55"/>
      <c r="B663" s="56"/>
      <c r="C663" s="57"/>
      <c r="D663" s="56"/>
      <c r="E663" s="56"/>
      <c r="F663" s="56"/>
      <c r="G663" s="50" t="str">
        <f aca="false">IF($A663="","",IF(ISNUMBER($G662),$G662+1,1))</f>
        <v/>
      </c>
      <c r="H663" s="51" t="str">
        <f aca="false">IF(OR(NOT(ISNUMBER($G663)),$G663&lt;2,NOT(ISNUMBER($C662)),$C662=0),"",$C663/$C662-1)</f>
        <v/>
      </c>
      <c r="I663" s="52" t="str">
        <f aca="false">IF(AND(ISNUMBER($G663),$G663&gt;=MA_SHORT),AVERAGE(INDEX($C$263:$C663,402-MA_SHORT):$C663),"")</f>
        <v/>
      </c>
      <c r="J663" s="52" t="str">
        <f aca="false">IF(AND(ISNUMBER($G663),$G663&gt;=MA_MED),AVERAGE(INDEX($C$263:$C663,402-MA_MED):$C663),"")</f>
        <v/>
      </c>
      <c r="K663" s="52" t="str">
        <f aca="false">IF(AND(ISNUMBER($G663),$G663&gt;=MA_LONG2),AVERAGE(INDEX($C$263:$C663,402-MA_LONG2):$C663),"")</f>
        <v/>
      </c>
      <c r="L663" s="53" t="str">
        <f aca="false">IF(AND(ISNUMBER($G663),$G663&gt;=21),STDEV(INDEX($H$603:$H663,62-20):$H663)*SQRT(245),"")</f>
        <v/>
      </c>
      <c r="M663" s="52" t="str">
        <f aca="false">IF(AND(ISNUMBER($G663),$G663&gt;=60),MAX(INDEX($D$463:$D663,202-60):$D663),"")</f>
        <v/>
      </c>
      <c r="N663" s="52" t="str">
        <f aca="false">IF(AND(ISNUMBER($G663),$G663&gt;=60),MIN(INDEX($E$463:$E663,202-60):$E663),"")</f>
        <v/>
      </c>
      <c r="O663" s="53" t="str">
        <f aca="false">IF(OR(NOT(ISNUMBER($C663)),NOT(ISNUMBER($M663)),$M663=0),"",$C663/$M663-1)</f>
        <v/>
      </c>
      <c r="P663" s="54"/>
      <c r="Q663" s="53" t="str">
        <f aca="false">IF(NOT(ISNUMBER($P663)),"",IFERROR(PERCENTRANK($P$5:$P$1204,$P663),""))</f>
        <v/>
      </c>
    </row>
    <row r="664" customFormat="false" ht="15" hidden="false" customHeight="false" outlineLevel="0" collapsed="false">
      <c r="A664" s="55"/>
      <c r="B664" s="56"/>
      <c r="C664" s="57"/>
      <c r="D664" s="56"/>
      <c r="E664" s="56"/>
      <c r="F664" s="56"/>
      <c r="G664" s="50" t="str">
        <f aca="false">IF($A664="","",IF(ISNUMBER($G663),$G663+1,1))</f>
        <v/>
      </c>
      <c r="H664" s="51" t="str">
        <f aca="false">IF(OR(NOT(ISNUMBER($G664)),$G664&lt;2,NOT(ISNUMBER($C663)),$C663=0),"",$C664/$C663-1)</f>
        <v/>
      </c>
      <c r="I664" s="52" t="str">
        <f aca="false">IF(AND(ISNUMBER($G664),$G664&gt;=MA_SHORT),AVERAGE(INDEX($C$264:$C664,402-MA_SHORT):$C664),"")</f>
        <v/>
      </c>
      <c r="J664" s="52" t="str">
        <f aca="false">IF(AND(ISNUMBER($G664),$G664&gt;=MA_MED),AVERAGE(INDEX($C$264:$C664,402-MA_MED):$C664),"")</f>
        <v/>
      </c>
      <c r="K664" s="52" t="str">
        <f aca="false">IF(AND(ISNUMBER($G664),$G664&gt;=MA_LONG2),AVERAGE(INDEX($C$264:$C664,402-MA_LONG2):$C664),"")</f>
        <v/>
      </c>
      <c r="L664" s="53" t="str">
        <f aca="false">IF(AND(ISNUMBER($G664),$G664&gt;=21),STDEV(INDEX($H$604:$H664,62-20):$H664)*SQRT(245),"")</f>
        <v/>
      </c>
      <c r="M664" s="52" t="str">
        <f aca="false">IF(AND(ISNUMBER($G664),$G664&gt;=60),MAX(INDEX($D$464:$D664,202-60):$D664),"")</f>
        <v/>
      </c>
      <c r="N664" s="52" t="str">
        <f aca="false">IF(AND(ISNUMBER($G664),$G664&gt;=60),MIN(INDEX($E$464:$E664,202-60):$E664),"")</f>
        <v/>
      </c>
      <c r="O664" s="53" t="str">
        <f aca="false">IF(OR(NOT(ISNUMBER($C664)),NOT(ISNUMBER($M664)),$M664=0),"",$C664/$M664-1)</f>
        <v/>
      </c>
      <c r="P664" s="54"/>
      <c r="Q664" s="53" t="str">
        <f aca="false">IF(NOT(ISNUMBER($P664)),"",IFERROR(PERCENTRANK($P$5:$P$1204,$P664),""))</f>
        <v/>
      </c>
    </row>
    <row r="665" customFormat="false" ht="15" hidden="false" customHeight="false" outlineLevel="0" collapsed="false">
      <c r="A665" s="55"/>
      <c r="B665" s="56"/>
      <c r="C665" s="57"/>
      <c r="D665" s="56"/>
      <c r="E665" s="56"/>
      <c r="F665" s="56"/>
      <c r="G665" s="50" t="str">
        <f aca="false">IF($A665="","",IF(ISNUMBER($G664),$G664+1,1))</f>
        <v/>
      </c>
      <c r="H665" s="51" t="str">
        <f aca="false">IF(OR(NOT(ISNUMBER($G665)),$G665&lt;2,NOT(ISNUMBER($C664)),$C664=0),"",$C665/$C664-1)</f>
        <v/>
      </c>
      <c r="I665" s="52" t="str">
        <f aca="false">IF(AND(ISNUMBER($G665),$G665&gt;=MA_SHORT),AVERAGE(INDEX($C$265:$C665,402-MA_SHORT):$C665),"")</f>
        <v/>
      </c>
      <c r="J665" s="52" t="str">
        <f aca="false">IF(AND(ISNUMBER($G665),$G665&gt;=MA_MED),AVERAGE(INDEX($C$265:$C665,402-MA_MED):$C665),"")</f>
        <v/>
      </c>
      <c r="K665" s="52" t="str">
        <f aca="false">IF(AND(ISNUMBER($G665),$G665&gt;=MA_LONG2),AVERAGE(INDEX($C$265:$C665,402-MA_LONG2):$C665),"")</f>
        <v/>
      </c>
      <c r="L665" s="53" t="str">
        <f aca="false">IF(AND(ISNUMBER($G665),$G665&gt;=21),STDEV(INDEX($H$605:$H665,62-20):$H665)*SQRT(245),"")</f>
        <v/>
      </c>
      <c r="M665" s="52" t="str">
        <f aca="false">IF(AND(ISNUMBER($G665),$G665&gt;=60),MAX(INDEX($D$465:$D665,202-60):$D665),"")</f>
        <v/>
      </c>
      <c r="N665" s="52" t="str">
        <f aca="false">IF(AND(ISNUMBER($G665),$G665&gt;=60),MIN(INDEX($E$465:$E665,202-60):$E665),"")</f>
        <v/>
      </c>
      <c r="O665" s="53" t="str">
        <f aca="false">IF(OR(NOT(ISNUMBER($C665)),NOT(ISNUMBER($M665)),$M665=0),"",$C665/$M665-1)</f>
        <v/>
      </c>
      <c r="P665" s="54"/>
      <c r="Q665" s="53" t="str">
        <f aca="false">IF(NOT(ISNUMBER($P665)),"",IFERROR(PERCENTRANK($P$5:$P$1204,$P665),""))</f>
        <v/>
      </c>
    </row>
    <row r="666" customFormat="false" ht="15" hidden="false" customHeight="false" outlineLevel="0" collapsed="false">
      <c r="A666" s="55"/>
      <c r="B666" s="56"/>
      <c r="C666" s="57"/>
      <c r="D666" s="56"/>
      <c r="E666" s="56"/>
      <c r="F666" s="56"/>
      <c r="G666" s="50" t="str">
        <f aca="false">IF($A666="","",IF(ISNUMBER($G665),$G665+1,1))</f>
        <v/>
      </c>
      <c r="H666" s="51" t="str">
        <f aca="false">IF(OR(NOT(ISNUMBER($G666)),$G666&lt;2,NOT(ISNUMBER($C665)),$C665=0),"",$C666/$C665-1)</f>
        <v/>
      </c>
      <c r="I666" s="52" t="str">
        <f aca="false">IF(AND(ISNUMBER($G666),$G666&gt;=MA_SHORT),AVERAGE(INDEX($C$266:$C666,402-MA_SHORT):$C666),"")</f>
        <v/>
      </c>
      <c r="J666" s="52" t="str">
        <f aca="false">IF(AND(ISNUMBER($G666),$G666&gt;=MA_MED),AVERAGE(INDEX($C$266:$C666,402-MA_MED):$C666),"")</f>
        <v/>
      </c>
      <c r="K666" s="52" t="str">
        <f aca="false">IF(AND(ISNUMBER($G666),$G666&gt;=MA_LONG2),AVERAGE(INDEX($C$266:$C666,402-MA_LONG2):$C666),"")</f>
        <v/>
      </c>
      <c r="L666" s="53" t="str">
        <f aca="false">IF(AND(ISNUMBER($G666),$G666&gt;=21),STDEV(INDEX($H$606:$H666,62-20):$H666)*SQRT(245),"")</f>
        <v/>
      </c>
      <c r="M666" s="52" t="str">
        <f aca="false">IF(AND(ISNUMBER($G666),$G666&gt;=60),MAX(INDEX($D$466:$D666,202-60):$D666),"")</f>
        <v/>
      </c>
      <c r="N666" s="52" t="str">
        <f aca="false">IF(AND(ISNUMBER($G666),$G666&gt;=60),MIN(INDEX($E$466:$E666,202-60):$E666),"")</f>
        <v/>
      </c>
      <c r="O666" s="53" t="str">
        <f aca="false">IF(OR(NOT(ISNUMBER($C666)),NOT(ISNUMBER($M666)),$M666=0),"",$C666/$M666-1)</f>
        <v/>
      </c>
      <c r="P666" s="54"/>
      <c r="Q666" s="53" t="str">
        <f aca="false">IF(NOT(ISNUMBER($P666)),"",IFERROR(PERCENTRANK($P$5:$P$1204,$P666),""))</f>
        <v/>
      </c>
    </row>
    <row r="667" customFormat="false" ht="15" hidden="false" customHeight="false" outlineLevel="0" collapsed="false">
      <c r="A667" s="55"/>
      <c r="B667" s="56"/>
      <c r="C667" s="57"/>
      <c r="D667" s="56"/>
      <c r="E667" s="56"/>
      <c r="F667" s="56"/>
      <c r="G667" s="50" t="str">
        <f aca="false">IF($A667="","",IF(ISNUMBER($G666),$G666+1,1))</f>
        <v/>
      </c>
      <c r="H667" s="51" t="str">
        <f aca="false">IF(OR(NOT(ISNUMBER($G667)),$G667&lt;2,NOT(ISNUMBER($C666)),$C666=0),"",$C667/$C666-1)</f>
        <v/>
      </c>
      <c r="I667" s="52" t="str">
        <f aca="false">IF(AND(ISNUMBER($G667),$G667&gt;=MA_SHORT),AVERAGE(INDEX($C$267:$C667,402-MA_SHORT):$C667),"")</f>
        <v/>
      </c>
      <c r="J667" s="52" t="str">
        <f aca="false">IF(AND(ISNUMBER($G667),$G667&gt;=MA_MED),AVERAGE(INDEX($C$267:$C667,402-MA_MED):$C667),"")</f>
        <v/>
      </c>
      <c r="K667" s="52" t="str">
        <f aca="false">IF(AND(ISNUMBER($G667),$G667&gt;=MA_LONG2),AVERAGE(INDEX($C$267:$C667,402-MA_LONG2):$C667),"")</f>
        <v/>
      </c>
      <c r="L667" s="53" t="str">
        <f aca="false">IF(AND(ISNUMBER($G667),$G667&gt;=21),STDEV(INDEX($H$607:$H667,62-20):$H667)*SQRT(245),"")</f>
        <v/>
      </c>
      <c r="M667" s="52" t="str">
        <f aca="false">IF(AND(ISNUMBER($G667),$G667&gt;=60),MAX(INDEX($D$467:$D667,202-60):$D667),"")</f>
        <v/>
      </c>
      <c r="N667" s="52" t="str">
        <f aca="false">IF(AND(ISNUMBER($G667),$G667&gt;=60),MIN(INDEX($E$467:$E667,202-60):$E667),"")</f>
        <v/>
      </c>
      <c r="O667" s="53" t="str">
        <f aca="false">IF(OR(NOT(ISNUMBER($C667)),NOT(ISNUMBER($M667)),$M667=0),"",$C667/$M667-1)</f>
        <v/>
      </c>
      <c r="P667" s="54"/>
      <c r="Q667" s="53" t="str">
        <f aca="false">IF(NOT(ISNUMBER($P667)),"",IFERROR(PERCENTRANK($P$5:$P$1204,$P667),""))</f>
        <v/>
      </c>
    </row>
    <row r="668" customFormat="false" ht="15" hidden="false" customHeight="false" outlineLevel="0" collapsed="false">
      <c r="A668" s="55"/>
      <c r="B668" s="56"/>
      <c r="C668" s="57"/>
      <c r="D668" s="56"/>
      <c r="E668" s="56"/>
      <c r="F668" s="56"/>
      <c r="G668" s="50" t="str">
        <f aca="false">IF($A668="","",IF(ISNUMBER($G667),$G667+1,1))</f>
        <v/>
      </c>
      <c r="H668" s="51" t="str">
        <f aca="false">IF(OR(NOT(ISNUMBER($G668)),$G668&lt;2,NOT(ISNUMBER($C667)),$C667=0),"",$C668/$C667-1)</f>
        <v/>
      </c>
      <c r="I668" s="52" t="str">
        <f aca="false">IF(AND(ISNUMBER($G668),$G668&gt;=MA_SHORT),AVERAGE(INDEX($C$268:$C668,402-MA_SHORT):$C668),"")</f>
        <v/>
      </c>
      <c r="J668" s="52" t="str">
        <f aca="false">IF(AND(ISNUMBER($G668),$G668&gt;=MA_MED),AVERAGE(INDEX($C$268:$C668,402-MA_MED):$C668),"")</f>
        <v/>
      </c>
      <c r="K668" s="52" t="str">
        <f aca="false">IF(AND(ISNUMBER($G668),$G668&gt;=MA_LONG2),AVERAGE(INDEX($C$268:$C668,402-MA_LONG2):$C668),"")</f>
        <v/>
      </c>
      <c r="L668" s="53" t="str">
        <f aca="false">IF(AND(ISNUMBER($G668),$G668&gt;=21),STDEV(INDEX($H$608:$H668,62-20):$H668)*SQRT(245),"")</f>
        <v/>
      </c>
      <c r="M668" s="52" t="str">
        <f aca="false">IF(AND(ISNUMBER($G668),$G668&gt;=60),MAX(INDEX($D$468:$D668,202-60):$D668),"")</f>
        <v/>
      </c>
      <c r="N668" s="52" t="str">
        <f aca="false">IF(AND(ISNUMBER($G668),$G668&gt;=60),MIN(INDEX($E$468:$E668,202-60):$E668),"")</f>
        <v/>
      </c>
      <c r="O668" s="53" t="str">
        <f aca="false">IF(OR(NOT(ISNUMBER($C668)),NOT(ISNUMBER($M668)),$M668=0),"",$C668/$M668-1)</f>
        <v/>
      </c>
      <c r="P668" s="54"/>
      <c r="Q668" s="53" t="str">
        <f aca="false">IF(NOT(ISNUMBER($P668)),"",IFERROR(PERCENTRANK($P$5:$P$1204,$P668),""))</f>
        <v/>
      </c>
    </row>
    <row r="669" customFormat="false" ht="15" hidden="false" customHeight="false" outlineLevel="0" collapsed="false">
      <c r="A669" s="55"/>
      <c r="B669" s="56"/>
      <c r="C669" s="57"/>
      <c r="D669" s="56"/>
      <c r="E669" s="56"/>
      <c r="F669" s="56"/>
      <c r="G669" s="50" t="str">
        <f aca="false">IF($A669="","",IF(ISNUMBER($G668),$G668+1,1))</f>
        <v/>
      </c>
      <c r="H669" s="51" t="str">
        <f aca="false">IF(OR(NOT(ISNUMBER($G669)),$G669&lt;2,NOT(ISNUMBER($C668)),$C668=0),"",$C669/$C668-1)</f>
        <v/>
      </c>
      <c r="I669" s="52" t="str">
        <f aca="false">IF(AND(ISNUMBER($G669),$G669&gt;=MA_SHORT),AVERAGE(INDEX($C$269:$C669,402-MA_SHORT):$C669),"")</f>
        <v/>
      </c>
      <c r="J669" s="52" t="str">
        <f aca="false">IF(AND(ISNUMBER($G669),$G669&gt;=MA_MED),AVERAGE(INDEX($C$269:$C669,402-MA_MED):$C669),"")</f>
        <v/>
      </c>
      <c r="K669" s="52" t="str">
        <f aca="false">IF(AND(ISNUMBER($G669),$G669&gt;=MA_LONG2),AVERAGE(INDEX($C$269:$C669,402-MA_LONG2):$C669),"")</f>
        <v/>
      </c>
      <c r="L669" s="53" t="str">
        <f aca="false">IF(AND(ISNUMBER($G669),$G669&gt;=21),STDEV(INDEX($H$609:$H669,62-20):$H669)*SQRT(245),"")</f>
        <v/>
      </c>
      <c r="M669" s="52" t="str">
        <f aca="false">IF(AND(ISNUMBER($G669),$G669&gt;=60),MAX(INDEX($D$469:$D669,202-60):$D669),"")</f>
        <v/>
      </c>
      <c r="N669" s="52" t="str">
        <f aca="false">IF(AND(ISNUMBER($G669),$G669&gt;=60),MIN(INDEX($E$469:$E669,202-60):$E669),"")</f>
        <v/>
      </c>
      <c r="O669" s="53" t="str">
        <f aca="false">IF(OR(NOT(ISNUMBER($C669)),NOT(ISNUMBER($M669)),$M669=0),"",$C669/$M669-1)</f>
        <v/>
      </c>
      <c r="P669" s="54"/>
      <c r="Q669" s="53" t="str">
        <f aca="false">IF(NOT(ISNUMBER($P669)),"",IFERROR(PERCENTRANK($P$5:$P$1204,$P669),""))</f>
        <v/>
      </c>
    </row>
    <row r="670" customFormat="false" ht="15" hidden="false" customHeight="false" outlineLevel="0" collapsed="false">
      <c r="A670" s="55"/>
      <c r="B670" s="56"/>
      <c r="C670" s="57"/>
      <c r="D670" s="56"/>
      <c r="E670" s="56"/>
      <c r="F670" s="56"/>
      <c r="G670" s="50" t="str">
        <f aca="false">IF($A670="","",IF(ISNUMBER($G669),$G669+1,1))</f>
        <v/>
      </c>
      <c r="H670" s="51" t="str">
        <f aca="false">IF(OR(NOT(ISNUMBER($G670)),$G670&lt;2,NOT(ISNUMBER($C669)),$C669=0),"",$C670/$C669-1)</f>
        <v/>
      </c>
      <c r="I670" s="52" t="str">
        <f aca="false">IF(AND(ISNUMBER($G670),$G670&gt;=MA_SHORT),AVERAGE(INDEX($C$270:$C670,402-MA_SHORT):$C670),"")</f>
        <v/>
      </c>
      <c r="J670" s="52" t="str">
        <f aca="false">IF(AND(ISNUMBER($G670),$G670&gt;=MA_MED),AVERAGE(INDEX($C$270:$C670,402-MA_MED):$C670),"")</f>
        <v/>
      </c>
      <c r="K670" s="52" t="str">
        <f aca="false">IF(AND(ISNUMBER($G670),$G670&gt;=MA_LONG2),AVERAGE(INDEX($C$270:$C670,402-MA_LONG2):$C670),"")</f>
        <v/>
      </c>
      <c r="L670" s="53" t="str">
        <f aca="false">IF(AND(ISNUMBER($G670),$G670&gt;=21),STDEV(INDEX($H$610:$H670,62-20):$H670)*SQRT(245),"")</f>
        <v/>
      </c>
      <c r="M670" s="52" t="str">
        <f aca="false">IF(AND(ISNUMBER($G670),$G670&gt;=60),MAX(INDEX($D$470:$D670,202-60):$D670),"")</f>
        <v/>
      </c>
      <c r="N670" s="52" t="str">
        <f aca="false">IF(AND(ISNUMBER($G670),$G670&gt;=60),MIN(INDEX($E$470:$E670,202-60):$E670),"")</f>
        <v/>
      </c>
      <c r="O670" s="53" t="str">
        <f aca="false">IF(OR(NOT(ISNUMBER($C670)),NOT(ISNUMBER($M670)),$M670=0),"",$C670/$M670-1)</f>
        <v/>
      </c>
      <c r="P670" s="54"/>
      <c r="Q670" s="53" t="str">
        <f aca="false">IF(NOT(ISNUMBER($P670)),"",IFERROR(PERCENTRANK($P$5:$P$1204,$P670),""))</f>
        <v/>
      </c>
    </row>
    <row r="671" customFormat="false" ht="15" hidden="false" customHeight="false" outlineLevel="0" collapsed="false">
      <c r="A671" s="55"/>
      <c r="B671" s="56"/>
      <c r="C671" s="57"/>
      <c r="D671" s="56"/>
      <c r="E671" s="56"/>
      <c r="F671" s="56"/>
      <c r="G671" s="50" t="str">
        <f aca="false">IF($A671="","",IF(ISNUMBER($G670),$G670+1,1))</f>
        <v/>
      </c>
      <c r="H671" s="51" t="str">
        <f aca="false">IF(OR(NOT(ISNUMBER($G671)),$G671&lt;2,NOT(ISNUMBER($C670)),$C670=0),"",$C671/$C670-1)</f>
        <v/>
      </c>
      <c r="I671" s="52" t="str">
        <f aca="false">IF(AND(ISNUMBER($G671),$G671&gt;=MA_SHORT),AVERAGE(INDEX($C$271:$C671,402-MA_SHORT):$C671),"")</f>
        <v/>
      </c>
      <c r="J671" s="52" t="str">
        <f aca="false">IF(AND(ISNUMBER($G671),$G671&gt;=MA_MED),AVERAGE(INDEX($C$271:$C671,402-MA_MED):$C671),"")</f>
        <v/>
      </c>
      <c r="K671" s="52" t="str">
        <f aca="false">IF(AND(ISNUMBER($G671),$G671&gt;=MA_LONG2),AVERAGE(INDEX($C$271:$C671,402-MA_LONG2):$C671),"")</f>
        <v/>
      </c>
      <c r="L671" s="53" t="str">
        <f aca="false">IF(AND(ISNUMBER($G671),$G671&gt;=21),STDEV(INDEX($H$611:$H671,62-20):$H671)*SQRT(245),"")</f>
        <v/>
      </c>
      <c r="M671" s="52" t="str">
        <f aca="false">IF(AND(ISNUMBER($G671),$G671&gt;=60),MAX(INDEX($D$471:$D671,202-60):$D671),"")</f>
        <v/>
      </c>
      <c r="N671" s="52" t="str">
        <f aca="false">IF(AND(ISNUMBER($G671),$G671&gt;=60),MIN(INDEX($E$471:$E671,202-60):$E671),"")</f>
        <v/>
      </c>
      <c r="O671" s="53" t="str">
        <f aca="false">IF(OR(NOT(ISNUMBER($C671)),NOT(ISNUMBER($M671)),$M671=0),"",$C671/$M671-1)</f>
        <v/>
      </c>
      <c r="P671" s="54"/>
      <c r="Q671" s="53" t="str">
        <f aca="false">IF(NOT(ISNUMBER($P671)),"",IFERROR(PERCENTRANK($P$5:$P$1204,$P671),""))</f>
        <v/>
      </c>
    </row>
    <row r="672" customFormat="false" ht="15" hidden="false" customHeight="false" outlineLevel="0" collapsed="false">
      <c r="A672" s="55"/>
      <c r="B672" s="56"/>
      <c r="C672" s="57"/>
      <c r="D672" s="56"/>
      <c r="E672" s="56"/>
      <c r="F672" s="56"/>
      <c r="G672" s="50" t="str">
        <f aca="false">IF($A672="","",IF(ISNUMBER($G671),$G671+1,1))</f>
        <v/>
      </c>
      <c r="H672" s="51" t="str">
        <f aca="false">IF(OR(NOT(ISNUMBER($G672)),$G672&lt;2,NOT(ISNUMBER($C671)),$C671=0),"",$C672/$C671-1)</f>
        <v/>
      </c>
      <c r="I672" s="52" t="str">
        <f aca="false">IF(AND(ISNUMBER($G672),$G672&gt;=MA_SHORT),AVERAGE(INDEX($C$272:$C672,402-MA_SHORT):$C672),"")</f>
        <v/>
      </c>
      <c r="J672" s="52" t="str">
        <f aca="false">IF(AND(ISNUMBER($G672),$G672&gt;=MA_MED),AVERAGE(INDEX($C$272:$C672,402-MA_MED):$C672),"")</f>
        <v/>
      </c>
      <c r="K672" s="52" t="str">
        <f aca="false">IF(AND(ISNUMBER($G672),$G672&gt;=MA_LONG2),AVERAGE(INDEX($C$272:$C672,402-MA_LONG2):$C672),"")</f>
        <v/>
      </c>
      <c r="L672" s="53" t="str">
        <f aca="false">IF(AND(ISNUMBER($G672),$G672&gt;=21),STDEV(INDEX($H$612:$H672,62-20):$H672)*SQRT(245),"")</f>
        <v/>
      </c>
      <c r="M672" s="52" t="str">
        <f aca="false">IF(AND(ISNUMBER($G672),$G672&gt;=60),MAX(INDEX($D$472:$D672,202-60):$D672),"")</f>
        <v/>
      </c>
      <c r="N672" s="52" t="str">
        <f aca="false">IF(AND(ISNUMBER($G672),$G672&gt;=60),MIN(INDEX($E$472:$E672,202-60):$E672),"")</f>
        <v/>
      </c>
      <c r="O672" s="53" t="str">
        <f aca="false">IF(OR(NOT(ISNUMBER($C672)),NOT(ISNUMBER($M672)),$M672=0),"",$C672/$M672-1)</f>
        <v/>
      </c>
      <c r="P672" s="54"/>
      <c r="Q672" s="53" t="str">
        <f aca="false">IF(NOT(ISNUMBER($P672)),"",IFERROR(PERCENTRANK($P$5:$P$1204,$P672),""))</f>
        <v/>
      </c>
    </row>
    <row r="673" customFormat="false" ht="15" hidden="false" customHeight="false" outlineLevel="0" collapsed="false">
      <c r="A673" s="55"/>
      <c r="B673" s="56"/>
      <c r="C673" s="57"/>
      <c r="D673" s="56"/>
      <c r="E673" s="56"/>
      <c r="F673" s="56"/>
      <c r="G673" s="50" t="str">
        <f aca="false">IF($A673="","",IF(ISNUMBER($G672),$G672+1,1))</f>
        <v/>
      </c>
      <c r="H673" s="51" t="str">
        <f aca="false">IF(OR(NOT(ISNUMBER($G673)),$G673&lt;2,NOT(ISNUMBER($C672)),$C672=0),"",$C673/$C672-1)</f>
        <v/>
      </c>
      <c r="I673" s="52" t="str">
        <f aca="false">IF(AND(ISNUMBER($G673),$G673&gt;=MA_SHORT),AVERAGE(INDEX($C$273:$C673,402-MA_SHORT):$C673),"")</f>
        <v/>
      </c>
      <c r="J673" s="52" t="str">
        <f aca="false">IF(AND(ISNUMBER($G673),$G673&gt;=MA_MED),AVERAGE(INDEX($C$273:$C673,402-MA_MED):$C673),"")</f>
        <v/>
      </c>
      <c r="K673" s="52" t="str">
        <f aca="false">IF(AND(ISNUMBER($G673),$G673&gt;=MA_LONG2),AVERAGE(INDEX($C$273:$C673,402-MA_LONG2):$C673),"")</f>
        <v/>
      </c>
      <c r="L673" s="53" t="str">
        <f aca="false">IF(AND(ISNUMBER($G673),$G673&gt;=21),STDEV(INDEX($H$613:$H673,62-20):$H673)*SQRT(245),"")</f>
        <v/>
      </c>
      <c r="M673" s="52" t="str">
        <f aca="false">IF(AND(ISNUMBER($G673),$G673&gt;=60),MAX(INDEX($D$473:$D673,202-60):$D673),"")</f>
        <v/>
      </c>
      <c r="N673" s="52" t="str">
        <f aca="false">IF(AND(ISNUMBER($G673),$G673&gt;=60),MIN(INDEX($E$473:$E673,202-60):$E673),"")</f>
        <v/>
      </c>
      <c r="O673" s="53" t="str">
        <f aca="false">IF(OR(NOT(ISNUMBER($C673)),NOT(ISNUMBER($M673)),$M673=0),"",$C673/$M673-1)</f>
        <v/>
      </c>
      <c r="P673" s="54"/>
      <c r="Q673" s="53" t="str">
        <f aca="false">IF(NOT(ISNUMBER($P673)),"",IFERROR(PERCENTRANK($P$5:$P$1204,$P673),""))</f>
        <v/>
      </c>
    </row>
    <row r="674" customFormat="false" ht="15" hidden="false" customHeight="false" outlineLevel="0" collapsed="false">
      <c r="A674" s="55"/>
      <c r="B674" s="56"/>
      <c r="C674" s="57"/>
      <c r="D674" s="56"/>
      <c r="E674" s="56"/>
      <c r="F674" s="56"/>
      <c r="G674" s="50" t="str">
        <f aca="false">IF($A674="","",IF(ISNUMBER($G673),$G673+1,1))</f>
        <v/>
      </c>
      <c r="H674" s="51" t="str">
        <f aca="false">IF(OR(NOT(ISNUMBER($G674)),$G674&lt;2,NOT(ISNUMBER($C673)),$C673=0),"",$C674/$C673-1)</f>
        <v/>
      </c>
      <c r="I674" s="52" t="str">
        <f aca="false">IF(AND(ISNUMBER($G674),$G674&gt;=MA_SHORT),AVERAGE(INDEX($C$274:$C674,402-MA_SHORT):$C674),"")</f>
        <v/>
      </c>
      <c r="J674" s="52" t="str">
        <f aca="false">IF(AND(ISNUMBER($G674),$G674&gt;=MA_MED),AVERAGE(INDEX($C$274:$C674,402-MA_MED):$C674),"")</f>
        <v/>
      </c>
      <c r="K674" s="52" t="str">
        <f aca="false">IF(AND(ISNUMBER($G674),$G674&gt;=MA_LONG2),AVERAGE(INDEX($C$274:$C674,402-MA_LONG2):$C674),"")</f>
        <v/>
      </c>
      <c r="L674" s="53" t="str">
        <f aca="false">IF(AND(ISNUMBER($G674),$G674&gt;=21),STDEV(INDEX($H$614:$H674,62-20):$H674)*SQRT(245),"")</f>
        <v/>
      </c>
      <c r="M674" s="52" t="str">
        <f aca="false">IF(AND(ISNUMBER($G674),$G674&gt;=60),MAX(INDEX($D$474:$D674,202-60):$D674),"")</f>
        <v/>
      </c>
      <c r="N674" s="52" t="str">
        <f aca="false">IF(AND(ISNUMBER($G674),$G674&gt;=60),MIN(INDEX($E$474:$E674,202-60):$E674),"")</f>
        <v/>
      </c>
      <c r="O674" s="53" t="str">
        <f aca="false">IF(OR(NOT(ISNUMBER($C674)),NOT(ISNUMBER($M674)),$M674=0),"",$C674/$M674-1)</f>
        <v/>
      </c>
      <c r="P674" s="54"/>
      <c r="Q674" s="53" t="str">
        <f aca="false">IF(NOT(ISNUMBER($P674)),"",IFERROR(PERCENTRANK($P$5:$P$1204,$P674),""))</f>
        <v/>
      </c>
    </row>
    <row r="675" customFormat="false" ht="15" hidden="false" customHeight="false" outlineLevel="0" collapsed="false">
      <c r="A675" s="55"/>
      <c r="B675" s="56"/>
      <c r="C675" s="57"/>
      <c r="D675" s="56"/>
      <c r="E675" s="56"/>
      <c r="F675" s="56"/>
      <c r="G675" s="50" t="str">
        <f aca="false">IF($A675="","",IF(ISNUMBER($G674),$G674+1,1))</f>
        <v/>
      </c>
      <c r="H675" s="51" t="str">
        <f aca="false">IF(OR(NOT(ISNUMBER($G675)),$G675&lt;2,NOT(ISNUMBER($C674)),$C674=0),"",$C675/$C674-1)</f>
        <v/>
      </c>
      <c r="I675" s="52" t="str">
        <f aca="false">IF(AND(ISNUMBER($G675),$G675&gt;=MA_SHORT),AVERAGE(INDEX($C$275:$C675,402-MA_SHORT):$C675),"")</f>
        <v/>
      </c>
      <c r="J675" s="52" t="str">
        <f aca="false">IF(AND(ISNUMBER($G675),$G675&gt;=MA_MED),AVERAGE(INDEX($C$275:$C675,402-MA_MED):$C675),"")</f>
        <v/>
      </c>
      <c r="K675" s="52" t="str">
        <f aca="false">IF(AND(ISNUMBER($G675),$G675&gt;=MA_LONG2),AVERAGE(INDEX($C$275:$C675,402-MA_LONG2):$C675),"")</f>
        <v/>
      </c>
      <c r="L675" s="53" t="str">
        <f aca="false">IF(AND(ISNUMBER($G675),$G675&gt;=21),STDEV(INDEX($H$615:$H675,62-20):$H675)*SQRT(245),"")</f>
        <v/>
      </c>
      <c r="M675" s="52" t="str">
        <f aca="false">IF(AND(ISNUMBER($G675),$G675&gt;=60),MAX(INDEX($D$475:$D675,202-60):$D675),"")</f>
        <v/>
      </c>
      <c r="N675" s="52" t="str">
        <f aca="false">IF(AND(ISNUMBER($G675),$G675&gt;=60),MIN(INDEX($E$475:$E675,202-60):$E675),"")</f>
        <v/>
      </c>
      <c r="O675" s="53" t="str">
        <f aca="false">IF(OR(NOT(ISNUMBER($C675)),NOT(ISNUMBER($M675)),$M675=0),"",$C675/$M675-1)</f>
        <v/>
      </c>
      <c r="P675" s="54"/>
      <c r="Q675" s="53" t="str">
        <f aca="false">IF(NOT(ISNUMBER($P675)),"",IFERROR(PERCENTRANK($P$5:$P$1204,$P675),""))</f>
        <v/>
      </c>
    </row>
    <row r="676" customFormat="false" ht="15" hidden="false" customHeight="false" outlineLevel="0" collapsed="false">
      <c r="A676" s="55"/>
      <c r="B676" s="56"/>
      <c r="C676" s="57"/>
      <c r="D676" s="56"/>
      <c r="E676" s="56"/>
      <c r="F676" s="56"/>
      <c r="G676" s="50" t="str">
        <f aca="false">IF($A676="","",IF(ISNUMBER($G675),$G675+1,1))</f>
        <v/>
      </c>
      <c r="H676" s="51" t="str">
        <f aca="false">IF(OR(NOT(ISNUMBER($G676)),$G676&lt;2,NOT(ISNUMBER($C675)),$C675=0),"",$C676/$C675-1)</f>
        <v/>
      </c>
      <c r="I676" s="52" t="str">
        <f aca="false">IF(AND(ISNUMBER($G676),$G676&gt;=MA_SHORT),AVERAGE(INDEX($C$276:$C676,402-MA_SHORT):$C676),"")</f>
        <v/>
      </c>
      <c r="J676" s="52" t="str">
        <f aca="false">IF(AND(ISNUMBER($G676),$G676&gt;=MA_MED),AVERAGE(INDEX($C$276:$C676,402-MA_MED):$C676),"")</f>
        <v/>
      </c>
      <c r="K676" s="52" t="str">
        <f aca="false">IF(AND(ISNUMBER($G676),$G676&gt;=MA_LONG2),AVERAGE(INDEX($C$276:$C676,402-MA_LONG2):$C676),"")</f>
        <v/>
      </c>
      <c r="L676" s="53" t="str">
        <f aca="false">IF(AND(ISNUMBER($G676),$G676&gt;=21),STDEV(INDEX($H$616:$H676,62-20):$H676)*SQRT(245),"")</f>
        <v/>
      </c>
      <c r="M676" s="52" t="str">
        <f aca="false">IF(AND(ISNUMBER($G676),$G676&gt;=60),MAX(INDEX($D$476:$D676,202-60):$D676),"")</f>
        <v/>
      </c>
      <c r="N676" s="52" t="str">
        <f aca="false">IF(AND(ISNUMBER($G676),$G676&gt;=60),MIN(INDEX($E$476:$E676,202-60):$E676),"")</f>
        <v/>
      </c>
      <c r="O676" s="53" t="str">
        <f aca="false">IF(OR(NOT(ISNUMBER($C676)),NOT(ISNUMBER($M676)),$M676=0),"",$C676/$M676-1)</f>
        <v/>
      </c>
      <c r="P676" s="54"/>
      <c r="Q676" s="53" t="str">
        <f aca="false">IF(NOT(ISNUMBER($P676)),"",IFERROR(PERCENTRANK($P$5:$P$1204,$P676),""))</f>
        <v/>
      </c>
    </row>
    <row r="677" customFormat="false" ht="15" hidden="false" customHeight="false" outlineLevel="0" collapsed="false">
      <c r="A677" s="55"/>
      <c r="B677" s="56"/>
      <c r="C677" s="57"/>
      <c r="D677" s="56"/>
      <c r="E677" s="56"/>
      <c r="F677" s="56"/>
      <c r="G677" s="50" t="str">
        <f aca="false">IF($A677="","",IF(ISNUMBER($G676),$G676+1,1))</f>
        <v/>
      </c>
      <c r="H677" s="51" t="str">
        <f aca="false">IF(OR(NOT(ISNUMBER($G677)),$G677&lt;2,NOT(ISNUMBER($C676)),$C676=0),"",$C677/$C676-1)</f>
        <v/>
      </c>
      <c r="I677" s="52" t="str">
        <f aca="false">IF(AND(ISNUMBER($G677),$G677&gt;=MA_SHORT),AVERAGE(INDEX($C$277:$C677,402-MA_SHORT):$C677),"")</f>
        <v/>
      </c>
      <c r="J677" s="52" t="str">
        <f aca="false">IF(AND(ISNUMBER($G677),$G677&gt;=MA_MED),AVERAGE(INDEX($C$277:$C677,402-MA_MED):$C677),"")</f>
        <v/>
      </c>
      <c r="K677" s="52" t="str">
        <f aca="false">IF(AND(ISNUMBER($G677),$G677&gt;=MA_LONG2),AVERAGE(INDEX($C$277:$C677,402-MA_LONG2):$C677),"")</f>
        <v/>
      </c>
      <c r="L677" s="53" t="str">
        <f aca="false">IF(AND(ISNUMBER($G677),$G677&gt;=21),STDEV(INDEX($H$617:$H677,62-20):$H677)*SQRT(245),"")</f>
        <v/>
      </c>
      <c r="M677" s="52" t="str">
        <f aca="false">IF(AND(ISNUMBER($G677),$G677&gt;=60),MAX(INDEX($D$477:$D677,202-60):$D677),"")</f>
        <v/>
      </c>
      <c r="N677" s="52" t="str">
        <f aca="false">IF(AND(ISNUMBER($G677),$G677&gt;=60),MIN(INDEX($E$477:$E677,202-60):$E677),"")</f>
        <v/>
      </c>
      <c r="O677" s="53" t="str">
        <f aca="false">IF(OR(NOT(ISNUMBER($C677)),NOT(ISNUMBER($M677)),$M677=0),"",$C677/$M677-1)</f>
        <v/>
      </c>
      <c r="P677" s="54"/>
      <c r="Q677" s="53" t="str">
        <f aca="false">IF(NOT(ISNUMBER($P677)),"",IFERROR(PERCENTRANK($P$5:$P$1204,$P677),""))</f>
        <v/>
      </c>
    </row>
    <row r="678" customFormat="false" ht="15" hidden="false" customHeight="false" outlineLevel="0" collapsed="false">
      <c r="A678" s="55"/>
      <c r="B678" s="56"/>
      <c r="C678" s="57"/>
      <c r="D678" s="56"/>
      <c r="E678" s="56"/>
      <c r="F678" s="56"/>
      <c r="G678" s="50" t="str">
        <f aca="false">IF($A678="","",IF(ISNUMBER($G677),$G677+1,1))</f>
        <v/>
      </c>
      <c r="H678" s="51" t="str">
        <f aca="false">IF(OR(NOT(ISNUMBER($G678)),$G678&lt;2,NOT(ISNUMBER($C677)),$C677=0),"",$C678/$C677-1)</f>
        <v/>
      </c>
      <c r="I678" s="52" t="str">
        <f aca="false">IF(AND(ISNUMBER($G678),$G678&gt;=MA_SHORT),AVERAGE(INDEX($C$278:$C678,402-MA_SHORT):$C678),"")</f>
        <v/>
      </c>
      <c r="J678" s="52" t="str">
        <f aca="false">IF(AND(ISNUMBER($G678),$G678&gt;=MA_MED),AVERAGE(INDEX($C$278:$C678,402-MA_MED):$C678),"")</f>
        <v/>
      </c>
      <c r="K678" s="52" t="str">
        <f aca="false">IF(AND(ISNUMBER($G678),$G678&gt;=MA_LONG2),AVERAGE(INDEX($C$278:$C678,402-MA_LONG2):$C678),"")</f>
        <v/>
      </c>
      <c r="L678" s="53" t="str">
        <f aca="false">IF(AND(ISNUMBER($G678),$G678&gt;=21),STDEV(INDEX($H$618:$H678,62-20):$H678)*SQRT(245),"")</f>
        <v/>
      </c>
      <c r="M678" s="52" t="str">
        <f aca="false">IF(AND(ISNUMBER($G678),$G678&gt;=60),MAX(INDEX($D$478:$D678,202-60):$D678),"")</f>
        <v/>
      </c>
      <c r="N678" s="52" t="str">
        <f aca="false">IF(AND(ISNUMBER($G678),$G678&gt;=60),MIN(INDEX($E$478:$E678,202-60):$E678),"")</f>
        <v/>
      </c>
      <c r="O678" s="53" t="str">
        <f aca="false">IF(OR(NOT(ISNUMBER($C678)),NOT(ISNUMBER($M678)),$M678=0),"",$C678/$M678-1)</f>
        <v/>
      </c>
      <c r="P678" s="54"/>
      <c r="Q678" s="53" t="str">
        <f aca="false">IF(NOT(ISNUMBER($P678)),"",IFERROR(PERCENTRANK($P$5:$P$1204,$P678),""))</f>
        <v/>
      </c>
    </row>
    <row r="679" customFormat="false" ht="15" hidden="false" customHeight="false" outlineLevel="0" collapsed="false">
      <c r="A679" s="55"/>
      <c r="B679" s="56"/>
      <c r="C679" s="57"/>
      <c r="D679" s="56"/>
      <c r="E679" s="56"/>
      <c r="F679" s="56"/>
      <c r="G679" s="50" t="str">
        <f aca="false">IF($A679="","",IF(ISNUMBER($G678),$G678+1,1))</f>
        <v/>
      </c>
      <c r="H679" s="51" t="str">
        <f aca="false">IF(OR(NOT(ISNUMBER($G679)),$G679&lt;2,NOT(ISNUMBER($C678)),$C678=0),"",$C679/$C678-1)</f>
        <v/>
      </c>
      <c r="I679" s="52" t="str">
        <f aca="false">IF(AND(ISNUMBER($G679),$G679&gt;=MA_SHORT),AVERAGE(INDEX($C$279:$C679,402-MA_SHORT):$C679),"")</f>
        <v/>
      </c>
      <c r="J679" s="52" t="str">
        <f aca="false">IF(AND(ISNUMBER($G679),$G679&gt;=MA_MED),AVERAGE(INDEX($C$279:$C679,402-MA_MED):$C679),"")</f>
        <v/>
      </c>
      <c r="K679" s="52" t="str">
        <f aca="false">IF(AND(ISNUMBER($G679),$G679&gt;=MA_LONG2),AVERAGE(INDEX($C$279:$C679,402-MA_LONG2):$C679),"")</f>
        <v/>
      </c>
      <c r="L679" s="53" t="str">
        <f aca="false">IF(AND(ISNUMBER($G679),$G679&gt;=21),STDEV(INDEX($H$619:$H679,62-20):$H679)*SQRT(245),"")</f>
        <v/>
      </c>
      <c r="M679" s="52" t="str">
        <f aca="false">IF(AND(ISNUMBER($G679),$G679&gt;=60),MAX(INDEX($D$479:$D679,202-60):$D679),"")</f>
        <v/>
      </c>
      <c r="N679" s="52" t="str">
        <f aca="false">IF(AND(ISNUMBER($G679),$G679&gt;=60),MIN(INDEX($E$479:$E679,202-60):$E679),"")</f>
        <v/>
      </c>
      <c r="O679" s="53" t="str">
        <f aca="false">IF(OR(NOT(ISNUMBER($C679)),NOT(ISNUMBER($M679)),$M679=0),"",$C679/$M679-1)</f>
        <v/>
      </c>
      <c r="P679" s="54"/>
      <c r="Q679" s="53" t="str">
        <f aca="false">IF(NOT(ISNUMBER($P679)),"",IFERROR(PERCENTRANK($P$5:$P$1204,$P679),""))</f>
        <v/>
      </c>
    </row>
    <row r="680" customFormat="false" ht="15" hidden="false" customHeight="false" outlineLevel="0" collapsed="false">
      <c r="A680" s="55"/>
      <c r="B680" s="56"/>
      <c r="C680" s="57"/>
      <c r="D680" s="56"/>
      <c r="E680" s="56"/>
      <c r="F680" s="56"/>
      <c r="G680" s="50" t="str">
        <f aca="false">IF($A680="","",IF(ISNUMBER($G679),$G679+1,1))</f>
        <v/>
      </c>
      <c r="H680" s="51" t="str">
        <f aca="false">IF(OR(NOT(ISNUMBER($G680)),$G680&lt;2,NOT(ISNUMBER($C679)),$C679=0),"",$C680/$C679-1)</f>
        <v/>
      </c>
      <c r="I680" s="52" t="str">
        <f aca="false">IF(AND(ISNUMBER($G680),$G680&gt;=MA_SHORT),AVERAGE(INDEX($C$280:$C680,402-MA_SHORT):$C680),"")</f>
        <v/>
      </c>
      <c r="J680" s="52" t="str">
        <f aca="false">IF(AND(ISNUMBER($G680),$G680&gt;=MA_MED),AVERAGE(INDEX($C$280:$C680,402-MA_MED):$C680),"")</f>
        <v/>
      </c>
      <c r="K680" s="52" t="str">
        <f aca="false">IF(AND(ISNUMBER($G680),$G680&gt;=MA_LONG2),AVERAGE(INDEX($C$280:$C680,402-MA_LONG2):$C680),"")</f>
        <v/>
      </c>
      <c r="L680" s="53" t="str">
        <f aca="false">IF(AND(ISNUMBER($G680),$G680&gt;=21),STDEV(INDEX($H$620:$H680,62-20):$H680)*SQRT(245),"")</f>
        <v/>
      </c>
      <c r="M680" s="52" t="str">
        <f aca="false">IF(AND(ISNUMBER($G680),$G680&gt;=60),MAX(INDEX($D$480:$D680,202-60):$D680),"")</f>
        <v/>
      </c>
      <c r="N680" s="52" t="str">
        <f aca="false">IF(AND(ISNUMBER($G680),$G680&gt;=60),MIN(INDEX($E$480:$E680,202-60):$E680),"")</f>
        <v/>
      </c>
      <c r="O680" s="53" t="str">
        <f aca="false">IF(OR(NOT(ISNUMBER($C680)),NOT(ISNUMBER($M680)),$M680=0),"",$C680/$M680-1)</f>
        <v/>
      </c>
      <c r="P680" s="54"/>
      <c r="Q680" s="53" t="str">
        <f aca="false">IF(NOT(ISNUMBER($P680)),"",IFERROR(PERCENTRANK($P$5:$P$1204,$P680),""))</f>
        <v/>
      </c>
    </row>
    <row r="681" customFormat="false" ht="15" hidden="false" customHeight="false" outlineLevel="0" collapsed="false">
      <c r="A681" s="55"/>
      <c r="B681" s="56"/>
      <c r="C681" s="57"/>
      <c r="D681" s="56"/>
      <c r="E681" s="56"/>
      <c r="F681" s="56"/>
      <c r="G681" s="50" t="str">
        <f aca="false">IF($A681="","",IF(ISNUMBER($G680),$G680+1,1))</f>
        <v/>
      </c>
      <c r="H681" s="51" t="str">
        <f aca="false">IF(OR(NOT(ISNUMBER($G681)),$G681&lt;2,NOT(ISNUMBER($C680)),$C680=0),"",$C681/$C680-1)</f>
        <v/>
      </c>
      <c r="I681" s="52" t="str">
        <f aca="false">IF(AND(ISNUMBER($G681),$G681&gt;=MA_SHORT),AVERAGE(INDEX($C$281:$C681,402-MA_SHORT):$C681),"")</f>
        <v/>
      </c>
      <c r="J681" s="52" t="str">
        <f aca="false">IF(AND(ISNUMBER($G681),$G681&gt;=MA_MED),AVERAGE(INDEX($C$281:$C681,402-MA_MED):$C681),"")</f>
        <v/>
      </c>
      <c r="K681" s="52" t="str">
        <f aca="false">IF(AND(ISNUMBER($G681),$G681&gt;=MA_LONG2),AVERAGE(INDEX($C$281:$C681,402-MA_LONG2):$C681),"")</f>
        <v/>
      </c>
      <c r="L681" s="53" t="str">
        <f aca="false">IF(AND(ISNUMBER($G681),$G681&gt;=21),STDEV(INDEX($H$621:$H681,62-20):$H681)*SQRT(245),"")</f>
        <v/>
      </c>
      <c r="M681" s="52" t="str">
        <f aca="false">IF(AND(ISNUMBER($G681),$G681&gt;=60),MAX(INDEX($D$481:$D681,202-60):$D681),"")</f>
        <v/>
      </c>
      <c r="N681" s="52" t="str">
        <f aca="false">IF(AND(ISNUMBER($G681),$G681&gt;=60),MIN(INDEX($E$481:$E681,202-60):$E681),"")</f>
        <v/>
      </c>
      <c r="O681" s="53" t="str">
        <f aca="false">IF(OR(NOT(ISNUMBER($C681)),NOT(ISNUMBER($M681)),$M681=0),"",$C681/$M681-1)</f>
        <v/>
      </c>
      <c r="P681" s="54"/>
      <c r="Q681" s="53" t="str">
        <f aca="false">IF(NOT(ISNUMBER($P681)),"",IFERROR(PERCENTRANK($P$5:$P$1204,$P681),""))</f>
        <v/>
      </c>
    </row>
    <row r="682" customFormat="false" ht="15" hidden="false" customHeight="false" outlineLevel="0" collapsed="false">
      <c r="A682" s="55"/>
      <c r="B682" s="56"/>
      <c r="C682" s="57"/>
      <c r="D682" s="56"/>
      <c r="E682" s="56"/>
      <c r="F682" s="56"/>
      <c r="G682" s="50" t="str">
        <f aca="false">IF($A682="","",IF(ISNUMBER($G681),$G681+1,1))</f>
        <v/>
      </c>
      <c r="H682" s="51" t="str">
        <f aca="false">IF(OR(NOT(ISNUMBER($G682)),$G682&lt;2,NOT(ISNUMBER($C681)),$C681=0),"",$C682/$C681-1)</f>
        <v/>
      </c>
      <c r="I682" s="52" t="str">
        <f aca="false">IF(AND(ISNUMBER($G682),$G682&gt;=MA_SHORT),AVERAGE(INDEX($C$282:$C682,402-MA_SHORT):$C682),"")</f>
        <v/>
      </c>
      <c r="J682" s="52" t="str">
        <f aca="false">IF(AND(ISNUMBER($G682),$G682&gt;=MA_MED),AVERAGE(INDEX($C$282:$C682,402-MA_MED):$C682),"")</f>
        <v/>
      </c>
      <c r="K682" s="52" t="str">
        <f aca="false">IF(AND(ISNUMBER($G682),$G682&gt;=MA_LONG2),AVERAGE(INDEX($C$282:$C682,402-MA_LONG2):$C682),"")</f>
        <v/>
      </c>
      <c r="L682" s="53" t="str">
        <f aca="false">IF(AND(ISNUMBER($G682),$G682&gt;=21),STDEV(INDEX($H$622:$H682,62-20):$H682)*SQRT(245),"")</f>
        <v/>
      </c>
      <c r="M682" s="52" t="str">
        <f aca="false">IF(AND(ISNUMBER($G682),$G682&gt;=60),MAX(INDEX($D$482:$D682,202-60):$D682),"")</f>
        <v/>
      </c>
      <c r="N682" s="52" t="str">
        <f aca="false">IF(AND(ISNUMBER($G682),$G682&gt;=60),MIN(INDEX($E$482:$E682,202-60):$E682),"")</f>
        <v/>
      </c>
      <c r="O682" s="53" t="str">
        <f aca="false">IF(OR(NOT(ISNUMBER($C682)),NOT(ISNUMBER($M682)),$M682=0),"",$C682/$M682-1)</f>
        <v/>
      </c>
      <c r="P682" s="54"/>
      <c r="Q682" s="53" t="str">
        <f aca="false">IF(NOT(ISNUMBER($P682)),"",IFERROR(PERCENTRANK($P$5:$P$1204,$P682),""))</f>
        <v/>
      </c>
    </row>
    <row r="683" customFormat="false" ht="15" hidden="false" customHeight="false" outlineLevel="0" collapsed="false">
      <c r="A683" s="55"/>
      <c r="B683" s="56"/>
      <c r="C683" s="57"/>
      <c r="D683" s="56"/>
      <c r="E683" s="56"/>
      <c r="F683" s="56"/>
      <c r="G683" s="50" t="str">
        <f aca="false">IF($A683="","",IF(ISNUMBER($G682),$G682+1,1))</f>
        <v/>
      </c>
      <c r="H683" s="51" t="str">
        <f aca="false">IF(OR(NOT(ISNUMBER($G683)),$G683&lt;2,NOT(ISNUMBER($C682)),$C682=0),"",$C683/$C682-1)</f>
        <v/>
      </c>
      <c r="I683" s="52" t="str">
        <f aca="false">IF(AND(ISNUMBER($G683),$G683&gt;=MA_SHORT),AVERAGE(INDEX($C$283:$C683,402-MA_SHORT):$C683),"")</f>
        <v/>
      </c>
      <c r="J683" s="52" t="str">
        <f aca="false">IF(AND(ISNUMBER($G683),$G683&gt;=MA_MED),AVERAGE(INDEX($C$283:$C683,402-MA_MED):$C683),"")</f>
        <v/>
      </c>
      <c r="K683" s="52" t="str">
        <f aca="false">IF(AND(ISNUMBER($G683),$G683&gt;=MA_LONG2),AVERAGE(INDEX($C$283:$C683,402-MA_LONG2):$C683),"")</f>
        <v/>
      </c>
      <c r="L683" s="53" t="str">
        <f aca="false">IF(AND(ISNUMBER($G683),$G683&gt;=21),STDEV(INDEX($H$623:$H683,62-20):$H683)*SQRT(245),"")</f>
        <v/>
      </c>
      <c r="M683" s="52" t="str">
        <f aca="false">IF(AND(ISNUMBER($G683),$G683&gt;=60),MAX(INDEX($D$483:$D683,202-60):$D683),"")</f>
        <v/>
      </c>
      <c r="N683" s="52" t="str">
        <f aca="false">IF(AND(ISNUMBER($G683),$G683&gt;=60),MIN(INDEX($E$483:$E683,202-60):$E683),"")</f>
        <v/>
      </c>
      <c r="O683" s="53" t="str">
        <f aca="false">IF(OR(NOT(ISNUMBER($C683)),NOT(ISNUMBER($M683)),$M683=0),"",$C683/$M683-1)</f>
        <v/>
      </c>
      <c r="P683" s="54"/>
      <c r="Q683" s="53" t="str">
        <f aca="false">IF(NOT(ISNUMBER($P683)),"",IFERROR(PERCENTRANK($P$5:$P$1204,$P683),""))</f>
        <v/>
      </c>
    </row>
    <row r="684" customFormat="false" ht="15" hidden="false" customHeight="false" outlineLevel="0" collapsed="false">
      <c r="A684" s="55"/>
      <c r="B684" s="56"/>
      <c r="C684" s="57"/>
      <c r="D684" s="56"/>
      <c r="E684" s="56"/>
      <c r="F684" s="56"/>
      <c r="G684" s="50" t="str">
        <f aca="false">IF($A684="","",IF(ISNUMBER($G683),$G683+1,1))</f>
        <v/>
      </c>
      <c r="H684" s="51" t="str">
        <f aca="false">IF(OR(NOT(ISNUMBER($G684)),$G684&lt;2,NOT(ISNUMBER($C683)),$C683=0),"",$C684/$C683-1)</f>
        <v/>
      </c>
      <c r="I684" s="52" t="str">
        <f aca="false">IF(AND(ISNUMBER($G684),$G684&gt;=MA_SHORT),AVERAGE(INDEX($C$284:$C684,402-MA_SHORT):$C684),"")</f>
        <v/>
      </c>
      <c r="J684" s="52" t="str">
        <f aca="false">IF(AND(ISNUMBER($G684),$G684&gt;=MA_MED),AVERAGE(INDEX($C$284:$C684,402-MA_MED):$C684),"")</f>
        <v/>
      </c>
      <c r="K684" s="52" t="str">
        <f aca="false">IF(AND(ISNUMBER($G684),$G684&gt;=MA_LONG2),AVERAGE(INDEX($C$284:$C684,402-MA_LONG2):$C684),"")</f>
        <v/>
      </c>
      <c r="L684" s="53" t="str">
        <f aca="false">IF(AND(ISNUMBER($G684),$G684&gt;=21),STDEV(INDEX($H$624:$H684,62-20):$H684)*SQRT(245),"")</f>
        <v/>
      </c>
      <c r="M684" s="52" t="str">
        <f aca="false">IF(AND(ISNUMBER($G684),$G684&gt;=60),MAX(INDEX($D$484:$D684,202-60):$D684),"")</f>
        <v/>
      </c>
      <c r="N684" s="52" t="str">
        <f aca="false">IF(AND(ISNUMBER($G684),$G684&gt;=60),MIN(INDEX($E$484:$E684,202-60):$E684),"")</f>
        <v/>
      </c>
      <c r="O684" s="53" t="str">
        <f aca="false">IF(OR(NOT(ISNUMBER($C684)),NOT(ISNUMBER($M684)),$M684=0),"",$C684/$M684-1)</f>
        <v/>
      </c>
      <c r="P684" s="54"/>
      <c r="Q684" s="53" t="str">
        <f aca="false">IF(NOT(ISNUMBER($P684)),"",IFERROR(PERCENTRANK($P$5:$P$1204,$P684),""))</f>
        <v/>
      </c>
    </row>
    <row r="685" customFormat="false" ht="15" hidden="false" customHeight="false" outlineLevel="0" collapsed="false">
      <c r="A685" s="55"/>
      <c r="B685" s="56"/>
      <c r="C685" s="57"/>
      <c r="D685" s="56"/>
      <c r="E685" s="56"/>
      <c r="F685" s="56"/>
      <c r="G685" s="50" t="str">
        <f aca="false">IF($A685="","",IF(ISNUMBER($G684),$G684+1,1))</f>
        <v/>
      </c>
      <c r="H685" s="51" t="str">
        <f aca="false">IF(OR(NOT(ISNUMBER($G685)),$G685&lt;2,NOT(ISNUMBER($C684)),$C684=0),"",$C685/$C684-1)</f>
        <v/>
      </c>
      <c r="I685" s="52" t="str">
        <f aca="false">IF(AND(ISNUMBER($G685),$G685&gt;=MA_SHORT),AVERAGE(INDEX($C$285:$C685,402-MA_SHORT):$C685),"")</f>
        <v/>
      </c>
      <c r="J685" s="52" t="str">
        <f aca="false">IF(AND(ISNUMBER($G685),$G685&gt;=MA_MED),AVERAGE(INDEX($C$285:$C685,402-MA_MED):$C685),"")</f>
        <v/>
      </c>
      <c r="K685" s="52" t="str">
        <f aca="false">IF(AND(ISNUMBER($G685),$G685&gt;=MA_LONG2),AVERAGE(INDEX($C$285:$C685,402-MA_LONG2):$C685),"")</f>
        <v/>
      </c>
      <c r="L685" s="53" t="str">
        <f aca="false">IF(AND(ISNUMBER($G685),$G685&gt;=21),STDEV(INDEX($H$625:$H685,62-20):$H685)*SQRT(245),"")</f>
        <v/>
      </c>
      <c r="M685" s="52" t="str">
        <f aca="false">IF(AND(ISNUMBER($G685),$G685&gt;=60),MAX(INDEX($D$485:$D685,202-60):$D685),"")</f>
        <v/>
      </c>
      <c r="N685" s="52" t="str">
        <f aca="false">IF(AND(ISNUMBER($G685),$G685&gt;=60),MIN(INDEX($E$485:$E685,202-60):$E685),"")</f>
        <v/>
      </c>
      <c r="O685" s="53" t="str">
        <f aca="false">IF(OR(NOT(ISNUMBER($C685)),NOT(ISNUMBER($M685)),$M685=0),"",$C685/$M685-1)</f>
        <v/>
      </c>
      <c r="P685" s="54"/>
      <c r="Q685" s="53" t="str">
        <f aca="false">IF(NOT(ISNUMBER($P685)),"",IFERROR(PERCENTRANK($P$5:$P$1204,$P685),""))</f>
        <v/>
      </c>
    </row>
    <row r="686" customFormat="false" ht="15" hidden="false" customHeight="false" outlineLevel="0" collapsed="false">
      <c r="A686" s="55"/>
      <c r="B686" s="56"/>
      <c r="C686" s="57"/>
      <c r="D686" s="56"/>
      <c r="E686" s="56"/>
      <c r="F686" s="56"/>
      <c r="G686" s="50" t="str">
        <f aca="false">IF($A686="","",IF(ISNUMBER($G685),$G685+1,1))</f>
        <v/>
      </c>
      <c r="H686" s="51" t="str">
        <f aca="false">IF(OR(NOT(ISNUMBER($G686)),$G686&lt;2,NOT(ISNUMBER($C685)),$C685=0),"",$C686/$C685-1)</f>
        <v/>
      </c>
      <c r="I686" s="52" t="str">
        <f aca="false">IF(AND(ISNUMBER($G686),$G686&gt;=MA_SHORT),AVERAGE(INDEX($C$286:$C686,402-MA_SHORT):$C686),"")</f>
        <v/>
      </c>
      <c r="J686" s="52" t="str">
        <f aca="false">IF(AND(ISNUMBER($G686),$G686&gt;=MA_MED),AVERAGE(INDEX($C$286:$C686,402-MA_MED):$C686),"")</f>
        <v/>
      </c>
      <c r="K686" s="52" t="str">
        <f aca="false">IF(AND(ISNUMBER($G686),$G686&gt;=MA_LONG2),AVERAGE(INDEX($C$286:$C686,402-MA_LONG2):$C686),"")</f>
        <v/>
      </c>
      <c r="L686" s="53" t="str">
        <f aca="false">IF(AND(ISNUMBER($G686),$G686&gt;=21),STDEV(INDEX($H$626:$H686,62-20):$H686)*SQRT(245),"")</f>
        <v/>
      </c>
      <c r="M686" s="52" t="str">
        <f aca="false">IF(AND(ISNUMBER($G686),$G686&gt;=60),MAX(INDEX($D$486:$D686,202-60):$D686),"")</f>
        <v/>
      </c>
      <c r="N686" s="52" t="str">
        <f aca="false">IF(AND(ISNUMBER($G686),$G686&gt;=60),MIN(INDEX($E$486:$E686,202-60):$E686),"")</f>
        <v/>
      </c>
      <c r="O686" s="53" t="str">
        <f aca="false">IF(OR(NOT(ISNUMBER($C686)),NOT(ISNUMBER($M686)),$M686=0),"",$C686/$M686-1)</f>
        <v/>
      </c>
      <c r="P686" s="54"/>
      <c r="Q686" s="53" t="str">
        <f aca="false">IF(NOT(ISNUMBER($P686)),"",IFERROR(PERCENTRANK($P$5:$P$1204,$P686),""))</f>
        <v/>
      </c>
    </row>
    <row r="687" customFormat="false" ht="15" hidden="false" customHeight="false" outlineLevel="0" collapsed="false">
      <c r="A687" s="55"/>
      <c r="B687" s="56"/>
      <c r="C687" s="57"/>
      <c r="D687" s="56"/>
      <c r="E687" s="56"/>
      <c r="F687" s="56"/>
      <c r="G687" s="50" t="str">
        <f aca="false">IF($A687="","",IF(ISNUMBER($G686),$G686+1,1))</f>
        <v/>
      </c>
      <c r="H687" s="51" t="str">
        <f aca="false">IF(OR(NOT(ISNUMBER($G687)),$G687&lt;2,NOT(ISNUMBER($C686)),$C686=0),"",$C687/$C686-1)</f>
        <v/>
      </c>
      <c r="I687" s="52" t="str">
        <f aca="false">IF(AND(ISNUMBER($G687),$G687&gt;=MA_SHORT),AVERAGE(INDEX($C$287:$C687,402-MA_SHORT):$C687),"")</f>
        <v/>
      </c>
      <c r="J687" s="52" t="str">
        <f aca="false">IF(AND(ISNUMBER($G687),$G687&gt;=MA_MED),AVERAGE(INDEX($C$287:$C687,402-MA_MED):$C687),"")</f>
        <v/>
      </c>
      <c r="K687" s="52" t="str">
        <f aca="false">IF(AND(ISNUMBER($G687),$G687&gt;=MA_LONG2),AVERAGE(INDEX($C$287:$C687,402-MA_LONG2):$C687),"")</f>
        <v/>
      </c>
      <c r="L687" s="53" t="str">
        <f aca="false">IF(AND(ISNUMBER($G687),$G687&gt;=21),STDEV(INDEX($H$627:$H687,62-20):$H687)*SQRT(245),"")</f>
        <v/>
      </c>
      <c r="M687" s="52" t="str">
        <f aca="false">IF(AND(ISNUMBER($G687),$G687&gt;=60),MAX(INDEX($D$487:$D687,202-60):$D687),"")</f>
        <v/>
      </c>
      <c r="N687" s="52" t="str">
        <f aca="false">IF(AND(ISNUMBER($G687),$G687&gt;=60),MIN(INDEX($E$487:$E687,202-60):$E687),"")</f>
        <v/>
      </c>
      <c r="O687" s="53" t="str">
        <f aca="false">IF(OR(NOT(ISNUMBER($C687)),NOT(ISNUMBER($M687)),$M687=0),"",$C687/$M687-1)</f>
        <v/>
      </c>
      <c r="P687" s="54"/>
      <c r="Q687" s="53" t="str">
        <f aca="false">IF(NOT(ISNUMBER($P687)),"",IFERROR(PERCENTRANK($P$5:$P$1204,$P687),""))</f>
        <v/>
      </c>
    </row>
    <row r="688" customFormat="false" ht="15" hidden="false" customHeight="false" outlineLevel="0" collapsed="false">
      <c r="A688" s="55"/>
      <c r="B688" s="56"/>
      <c r="C688" s="57"/>
      <c r="D688" s="56"/>
      <c r="E688" s="56"/>
      <c r="F688" s="56"/>
      <c r="G688" s="50" t="str">
        <f aca="false">IF($A688="","",IF(ISNUMBER($G687),$G687+1,1))</f>
        <v/>
      </c>
      <c r="H688" s="51" t="str">
        <f aca="false">IF(OR(NOT(ISNUMBER($G688)),$G688&lt;2,NOT(ISNUMBER($C687)),$C687=0),"",$C688/$C687-1)</f>
        <v/>
      </c>
      <c r="I688" s="52" t="str">
        <f aca="false">IF(AND(ISNUMBER($G688),$G688&gt;=MA_SHORT),AVERAGE(INDEX($C$288:$C688,402-MA_SHORT):$C688),"")</f>
        <v/>
      </c>
      <c r="J688" s="52" t="str">
        <f aca="false">IF(AND(ISNUMBER($G688),$G688&gt;=MA_MED),AVERAGE(INDEX($C$288:$C688,402-MA_MED):$C688),"")</f>
        <v/>
      </c>
      <c r="K688" s="52" t="str">
        <f aca="false">IF(AND(ISNUMBER($G688),$G688&gt;=MA_LONG2),AVERAGE(INDEX($C$288:$C688,402-MA_LONG2):$C688),"")</f>
        <v/>
      </c>
      <c r="L688" s="53" t="str">
        <f aca="false">IF(AND(ISNUMBER($G688),$G688&gt;=21),STDEV(INDEX($H$628:$H688,62-20):$H688)*SQRT(245),"")</f>
        <v/>
      </c>
      <c r="M688" s="52" t="str">
        <f aca="false">IF(AND(ISNUMBER($G688),$G688&gt;=60),MAX(INDEX($D$488:$D688,202-60):$D688),"")</f>
        <v/>
      </c>
      <c r="N688" s="52" t="str">
        <f aca="false">IF(AND(ISNUMBER($G688),$G688&gt;=60),MIN(INDEX($E$488:$E688,202-60):$E688),"")</f>
        <v/>
      </c>
      <c r="O688" s="53" t="str">
        <f aca="false">IF(OR(NOT(ISNUMBER($C688)),NOT(ISNUMBER($M688)),$M688=0),"",$C688/$M688-1)</f>
        <v/>
      </c>
      <c r="P688" s="54"/>
      <c r="Q688" s="53" t="str">
        <f aca="false">IF(NOT(ISNUMBER($P688)),"",IFERROR(PERCENTRANK($P$5:$P$1204,$P688),""))</f>
        <v/>
      </c>
    </row>
    <row r="689" customFormat="false" ht="15" hidden="false" customHeight="false" outlineLevel="0" collapsed="false">
      <c r="A689" s="55"/>
      <c r="B689" s="56"/>
      <c r="C689" s="57"/>
      <c r="D689" s="56"/>
      <c r="E689" s="56"/>
      <c r="F689" s="56"/>
      <c r="G689" s="50" t="str">
        <f aca="false">IF($A689="","",IF(ISNUMBER($G688),$G688+1,1))</f>
        <v/>
      </c>
      <c r="H689" s="51" t="str">
        <f aca="false">IF(OR(NOT(ISNUMBER($G689)),$G689&lt;2,NOT(ISNUMBER($C688)),$C688=0),"",$C689/$C688-1)</f>
        <v/>
      </c>
      <c r="I689" s="52" t="str">
        <f aca="false">IF(AND(ISNUMBER($G689),$G689&gt;=MA_SHORT),AVERAGE(INDEX($C$289:$C689,402-MA_SHORT):$C689),"")</f>
        <v/>
      </c>
      <c r="J689" s="52" t="str">
        <f aca="false">IF(AND(ISNUMBER($G689),$G689&gt;=MA_MED),AVERAGE(INDEX($C$289:$C689,402-MA_MED):$C689),"")</f>
        <v/>
      </c>
      <c r="K689" s="52" t="str">
        <f aca="false">IF(AND(ISNUMBER($G689),$G689&gt;=MA_LONG2),AVERAGE(INDEX($C$289:$C689,402-MA_LONG2):$C689),"")</f>
        <v/>
      </c>
      <c r="L689" s="53" t="str">
        <f aca="false">IF(AND(ISNUMBER($G689),$G689&gt;=21),STDEV(INDEX($H$629:$H689,62-20):$H689)*SQRT(245),"")</f>
        <v/>
      </c>
      <c r="M689" s="52" t="str">
        <f aca="false">IF(AND(ISNUMBER($G689),$G689&gt;=60),MAX(INDEX($D$489:$D689,202-60):$D689),"")</f>
        <v/>
      </c>
      <c r="N689" s="52" t="str">
        <f aca="false">IF(AND(ISNUMBER($G689),$G689&gt;=60),MIN(INDEX($E$489:$E689,202-60):$E689),"")</f>
        <v/>
      </c>
      <c r="O689" s="53" t="str">
        <f aca="false">IF(OR(NOT(ISNUMBER($C689)),NOT(ISNUMBER($M689)),$M689=0),"",$C689/$M689-1)</f>
        <v/>
      </c>
      <c r="P689" s="54"/>
      <c r="Q689" s="53" t="str">
        <f aca="false">IF(NOT(ISNUMBER($P689)),"",IFERROR(PERCENTRANK($P$5:$P$1204,$P689),""))</f>
        <v/>
      </c>
    </row>
    <row r="690" customFormat="false" ht="15" hidden="false" customHeight="false" outlineLevel="0" collapsed="false">
      <c r="A690" s="55"/>
      <c r="B690" s="56"/>
      <c r="C690" s="57"/>
      <c r="D690" s="56"/>
      <c r="E690" s="56"/>
      <c r="F690" s="56"/>
      <c r="G690" s="50" t="str">
        <f aca="false">IF($A690="","",IF(ISNUMBER($G689),$G689+1,1))</f>
        <v/>
      </c>
      <c r="H690" s="51" t="str">
        <f aca="false">IF(OR(NOT(ISNUMBER($G690)),$G690&lt;2,NOT(ISNUMBER($C689)),$C689=0),"",$C690/$C689-1)</f>
        <v/>
      </c>
      <c r="I690" s="52" t="str">
        <f aca="false">IF(AND(ISNUMBER($G690),$G690&gt;=MA_SHORT),AVERAGE(INDEX($C$290:$C690,402-MA_SHORT):$C690),"")</f>
        <v/>
      </c>
      <c r="J690" s="52" t="str">
        <f aca="false">IF(AND(ISNUMBER($G690),$G690&gt;=MA_MED),AVERAGE(INDEX($C$290:$C690,402-MA_MED):$C690),"")</f>
        <v/>
      </c>
      <c r="K690" s="52" t="str">
        <f aca="false">IF(AND(ISNUMBER($G690),$G690&gt;=MA_LONG2),AVERAGE(INDEX($C$290:$C690,402-MA_LONG2):$C690),"")</f>
        <v/>
      </c>
      <c r="L690" s="53" t="str">
        <f aca="false">IF(AND(ISNUMBER($G690),$G690&gt;=21),STDEV(INDEX($H$630:$H690,62-20):$H690)*SQRT(245),"")</f>
        <v/>
      </c>
      <c r="M690" s="52" t="str">
        <f aca="false">IF(AND(ISNUMBER($G690),$G690&gt;=60),MAX(INDEX($D$490:$D690,202-60):$D690),"")</f>
        <v/>
      </c>
      <c r="N690" s="52" t="str">
        <f aca="false">IF(AND(ISNUMBER($G690),$G690&gt;=60),MIN(INDEX($E$490:$E690,202-60):$E690),"")</f>
        <v/>
      </c>
      <c r="O690" s="53" t="str">
        <f aca="false">IF(OR(NOT(ISNUMBER($C690)),NOT(ISNUMBER($M690)),$M690=0),"",$C690/$M690-1)</f>
        <v/>
      </c>
      <c r="P690" s="54"/>
      <c r="Q690" s="53" t="str">
        <f aca="false">IF(NOT(ISNUMBER($P690)),"",IFERROR(PERCENTRANK($P$5:$P$1204,$P690),""))</f>
        <v/>
      </c>
    </row>
    <row r="691" customFormat="false" ht="15" hidden="false" customHeight="false" outlineLevel="0" collapsed="false">
      <c r="A691" s="55"/>
      <c r="B691" s="56"/>
      <c r="C691" s="57"/>
      <c r="D691" s="56"/>
      <c r="E691" s="56"/>
      <c r="F691" s="56"/>
      <c r="G691" s="50" t="str">
        <f aca="false">IF($A691="","",IF(ISNUMBER($G690),$G690+1,1))</f>
        <v/>
      </c>
      <c r="H691" s="51" t="str">
        <f aca="false">IF(OR(NOT(ISNUMBER($G691)),$G691&lt;2,NOT(ISNUMBER($C690)),$C690=0),"",$C691/$C690-1)</f>
        <v/>
      </c>
      <c r="I691" s="52" t="str">
        <f aca="false">IF(AND(ISNUMBER($G691),$G691&gt;=MA_SHORT),AVERAGE(INDEX($C$291:$C691,402-MA_SHORT):$C691),"")</f>
        <v/>
      </c>
      <c r="J691" s="52" t="str">
        <f aca="false">IF(AND(ISNUMBER($G691),$G691&gt;=MA_MED),AVERAGE(INDEX($C$291:$C691,402-MA_MED):$C691),"")</f>
        <v/>
      </c>
      <c r="K691" s="52" t="str">
        <f aca="false">IF(AND(ISNUMBER($G691),$G691&gt;=MA_LONG2),AVERAGE(INDEX($C$291:$C691,402-MA_LONG2):$C691),"")</f>
        <v/>
      </c>
      <c r="L691" s="53" t="str">
        <f aca="false">IF(AND(ISNUMBER($G691),$G691&gt;=21),STDEV(INDEX($H$631:$H691,62-20):$H691)*SQRT(245),"")</f>
        <v/>
      </c>
      <c r="M691" s="52" t="str">
        <f aca="false">IF(AND(ISNUMBER($G691),$G691&gt;=60),MAX(INDEX($D$491:$D691,202-60):$D691),"")</f>
        <v/>
      </c>
      <c r="N691" s="52" t="str">
        <f aca="false">IF(AND(ISNUMBER($G691),$G691&gt;=60),MIN(INDEX($E$491:$E691,202-60):$E691),"")</f>
        <v/>
      </c>
      <c r="O691" s="53" t="str">
        <f aca="false">IF(OR(NOT(ISNUMBER($C691)),NOT(ISNUMBER($M691)),$M691=0),"",$C691/$M691-1)</f>
        <v/>
      </c>
      <c r="P691" s="54"/>
      <c r="Q691" s="53" t="str">
        <f aca="false">IF(NOT(ISNUMBER($P691)),"",IFERROR(PERCENTRANK($P$5:$P$1204,$P691),""))</f>
        <v/>
      </c>
    </row>
    <row r="692" customFormat="false" ht="15" hidden="false" customHeight="false" outlineLevel="0" collapsed="false">
      <c r="A692" s="55"/>
      <c r="B692" s="56"/>
      <c r="C692" s="57"/>
      <c r="D692" s="56"/>
      <c r="E692" s="56"/>
      <c r="F692" s="56"/>
      <c r="G692" s="50" t="str">
        <f aca="false">IF($A692="","",IF(ISNUMBER($G691),$G691+1,1))</f>
        <v/>
      </c>
      <c r="H692" s="51" t="str">
        <f aca="false">IF(OR(NOT(ISNUMBER($G692)),$G692&lt;2,NOT(ISNUMBER($C691)),$C691=0),"",$C692/$C691-1)</f>
        <v/>
      </c>
      <c r="I692" s="52" t="str">
        <f aca="false">IF(AND(ISNUMBER($G692),$G692&gt;=MA_SHORT),AVERAGE(INDEX($C$292:$C692,402-MA_SHORT):$C692),"")</f>
        <v/>
      </c>
      <c r="J692" s="52" t="str">
        <f aca="false">IF(AND(ISNUMBER($G692),$G692&gt;=MA_MED),AVERAGE(INDEX($C$292:$C692,402-MA_MED):$C692),"")</f>
        <v/>
      </c>
      <c r="K692" s="52" t="str">
        <f aca="false">IF(AND(ISNUMBER($G692),$G692&gt;=MA_LONG2),AVERAGE(INDEX($C$292:$C692,402-MA_LONG2):$C692),"")</f>
        <v/>
      </c>
      <c r="L692" s="53" t="str">
        <f aca="false">IF(AND(ISNUMBER($G692),$G692&gt;=21),STDEV(INDEX($H$632:$H692,62-20):$H692)*SQRT(245),"")</f>
        <v/>
      </c>
      <c r="M692" s="52" t="str">
        <f aca="false">IF(AND(ISNUMBER($G692),$G692&gt;=60),MAX(INDEX($D$492:$D692,202-60):$D692),"")</f>
        <v/>
      </c>
      <c r="N692" s="52" t="str">
        <f aca="false">IF(AND(ISNUMBER($G692),$G692&gt;=60),MIN(INDEX($E$492:$E692,202-60):$E692),"")</f>
        <v/>
      </c>
      <c r="O692" s="53" t="str">
        <f aca="false">IF(OR(NOT(ISNUMBER($C692)),NOT(ISNUMBER($M692)),$M692=0),"",$C692/$M692-1)</f>
        <v/>
      </c>
      <c r="P692" s="54"/>
      <c r="Q692" s="53" t="str">
        <f aca="false">IF(NOT(ISNUMBER($P692)),"",IFERROR(PERCENTRANK($P$5:$P$1204,$P692),""))</f>
        <v/>
      </c>
    </row>
    <row r="693" customFormat="false" ht="15" hidden="false" customHeight="false" outlineLevel="0" collapsed="false">
      <c r="A693" s="55"/>
      <c r="B693" s="56"/>
      <c r="C693" s="57"/>
      <c r="D693" s="56"/>
      <c r="E693" s="56"/>
      <c r="F693" s="56"/>
      <c r="G693" s="50" t="str">
        <f aca="false">IF($A693="","",IF(ISNUMBER($G692),$G692+1,1))</f>
        <v/>
      </c>
      <c r="H693" s="51" t="str">
        <f aca="false">IF(OR(NOT(ISNUMBER($G693)),$G693&lt;2,NOT(ISNUMBER($C692)),$C692=0),"",$C693/$C692-1)</f>
        <v/>
      </c>
      <c r="I693" s="52" t="str">
        <f aca="false">IF(AND(ISNUMBER($G693),$G693&gt;=MA_SHORT),AVERAGE(INDEX($C$293:$C693,402-MA_SHORT):$C693),"")</f>
        <v/>
      </c>
      <c r="J693" s="52" t="str">
        <f aca="false">IF(AND(ISNUMBER($G693),$G693&gt;=MA_MED),AVERAGE(INDEX($C$293:$C693,402-MA_MED):$C693),"")</f>
        <v/>
      </c>
      <c r="K693" s="52" t="str">
        <f aca="false">IF(AND(ISNUMBER($G693),$G693&gt;=MA_LONG2),AVERAGE(INDEX($C$293:$C693,402-MA_LONG2):$C693),"")</f>
        <v/>
      </c>
      <c r="L693" s="53" t="str">
        <f aca="false">IF(AND(ISNUMBER($G693),$G693&gt;=21),STDEV(INDEX($H$633:$H693,62-20):$H693)*SQRT(245),"")</f>
        <v/>
      </c>
      <c r="M693" s="52" t="str">
        <f aca="false">IF(AND(ISNUMBER($G693),$G693&gt;=60),MAX(INDEX($D$493:$D693,202-60):$D693),"")</f>
        <v/>
      </c>
      <c r="N693" s="52" t="str">
        <f aca="false">IF(AND(ISNUMBER($G693),$G693&gt;=60),MIN(INDEX($E$493:$E693,202-60):$E693),"")</f>
        <v/>
      </c>
      <c r="O693" s="53" t="str">
        <f aca="false">IF(OR(NOT(ISNUMBER($C693)),NOT(ISNUMBER($M693)),$M693=0),"",$C693/$M693-1)</f>
        <v/>
      </c>
      <c r="P693" s="54"/>
      <c r="Q693" s="53" t="str">
        <f aca="false">IF(NOT(ISNUMBER($P693)),"",IFERROR(PERCENTRANK($P$5:$P$1204,$P693),""))</f>
        <v/>
      </c>
    </row>
    <row r="694" customFormat="false" ht="15" hidden="false" customHeight="false" outlineLevel="0" collapsed="false">
      <c r="A694" s="55"/>
      <c r="B694" s="56"/>
      <c r="C694" s="57"/>
      <c r="D694" s="56"/>
      <c r="E694" s="56"/>
      <c r="F694" s="56"/>
      <c r="G694" s="50" t="str">
        <f aca="false">IF($A694="","",IF(ISNUMBER($G693),$G693+1,1))</f>
        <v/>
      </c>
      <c r="H694" s="51" t="str">
        <f aca="false">IF(OR(NOT(ISNUMBER($G694)),$G694&lt;2,NOT(ISNUMBER($C693)),$C693=0),"",$C694/$C693-1)</f>
        <v/>
      </c>
      <c r="I694" s="52" t="str">
        <f aca="false">IF(AND(ISNUMBER($G694),$G694&gt;=MA_SHORT),AVERAGE(INDEX($C$294:$C694,402-MA_SHORT):$C694),"")</f>
        <v/>
      </c>
      <c r="J694" s="52" t="str">
        <f aca="false">IF(AND(ISNUMBER($G694),$G694&gt;=MA_MED),AVERAGE(INDEX($C$294:$C694,402-MA_MED):$C694),"")</f>
        <v/>
      </c>
      <c r="K694" s="52" t="str">
        <f aca="false">IF(AND(ISNUMBER($G694),$G694&gt;=MA_LONG2),AVERAGE(INDEX($C$294:$C694,402-MA_LONG2):$C694),"")</f>
        <v/>
      </c>
      <c r="L694" s="53" t="str">
        <f aca="false">IF(AND(ISNUMBER($G694),$G694&gt;=21),STDEV(INDEX($H$634:$H694,62-20):$H694)*SQRT(245),"")</f>
        <v/>
      </c>
      <c r="M694" s="52" t="str">
        <f aca="false">IF(AND(ISNUMBER($G694),$G694&gt;=60),MAX(INDEX($D$494:$D694,202-60):$D694),"")</f>
        <v/>
      </c>
      <c r="N694" s="52" t="str">
        <f aca="false">IF(AND(ISNUMBER($G694),$G694&gt;=60),MIN(INDEX($E$494:$E694,202-60):$E694),"")</f>
        <v/>
      </c>
      <c r="O694" s="53" t="str">
        <f aca="false">IF(OR(NOT(ISNUMBER($C694)),NOT(ISNUMBER($M694)),$M694=0),"",$C694/$M694-1)</f>
        <v/>
      </c>
      <c r="P694" s="54"/>
      <c r="Q694" s="53" t="str">
        <f aca="false">IF(NOT(ISNUMBER($P694)),"",IFERROR(PERCENTRANK($P$5:$P$1204,$P694),""))</f>
        <v/>
      </c>
    </row>
    <row r="695" customFormat="false" ht="15" hidden="false" customHeight="false" outlineLevel="0" collapsed="false">
      <c r="A695" s="55"/>
      <c r="B695" s="56"/>
      <c r="C695" s="57"/>
      <c r="D695" s="56"/>
      <c r="E695" s="56"/>
      <c r="F695" s="56"/>
      <c r="G695" s="50" t="str">
        <f aca="false">IF($A695="","",IF(ISNUMBER($G694),$G694+1,1))</f>
        <v/>
      </c>
      <c r="H695" s="51" t="str">
        <f aca="false">IF(OR(NOT(ISNUMBER($G695)),$G695&lt;2,NOT(ISNUMBER($C694)),$C694=0),"",$C695/$C694-1)</f>
        <v/>
      </c>
      <c r="I695" s="52" t="str">
        <f aca="false">IF(AND(ISNUMBER($G695),$G695&gt;=MA_SHORT),AVERAGE(INDEX($C$295:$C695,402-MA_SHORT):$C695),"")</f>
        <v/>
      </c>
      <c r="J695" s="52" t="str">
        <f aca="false">IF(AND(ISNUMBER($G695),$G695&gt;=MA_MED),AVERAGE(INDEX($C$295:$C695,402-MA_MED):$C695),"")</f>
        <v/>
      </c>
      <c r="K695" s="52" t="str">
        <f aca="false">IF(AND(ISNUMBER($G695),$G695&gt;=MA_LONG2),AVERAGE(INDEX($C$295:$C695,402-MA_LONG2):$C695),"")</f>
        <v/>
      </c>
      <c r="L695" s="53" t="str">
        <f aca="false">IF(AND(ISNUMBER($G695),$G695&gt;=21),STDEV(INDEX($H$635:$H695,62-20):$H695)*SQRT(245),"")</f>
        <v/>
      </c>
      <c r="M695" s="52" t="str">
        <f aca="false">IF(AND(ISNUMBER($G695),$G695&gt;=60),MAX(INDEX($D$495:$D695,202-60):$D695),"")</f>
        <v/>
      </c>
      <c r="N695" s="52" t="str">
        <f aca="false">IF(AND(ISNUMBER($G695),$G695&gt;=60),MIN(INDEX($E$495:$E695,202-60):$E695),"")</f>
        <v/>
      </c>
      <c r="O695" s="53" t="str">
        <f aca="false">IF(OR(NOT(ISNUMBER($C695)),NOT(ISNUMBER($M695)),$M695=0),"",$C695/$M695-1)</f>
        <v/>
      </c>
      <c r="P695" s="54"/>
      <c r="Q695" s="53" t="str">
        <f aca="false">IF(NOT(ISNUMBER($P695)),"",IFERROR(PERCENTRANK($P$5:$P$1204,$P695),""))</f>
        <v/>
      </c>
    </row>
    <row r="696" customFormat="false" ht="15" hidden="false" customHeight="false" outlineLevel="0" collapsed="false">
      <c r="A696" s="55"/>
      <c r="B696" s="56"/>
      <c r="C696" s="57"/>
      <c r="D696" s="56"/>
      <c r="E696" s="56"/>
      <c r="F696" s="56"/>
      <c r="G696" s="50" t="str">
        <f aca="false">IF($A696="","",IF(ISNUMBER($G695),$G695+1,1))</f>
        <v/>
      </c>
      <c r="H696" s="51" t="str">
        <f aca="false">IF(OR(NOT(ISNUMBER($G696)),$G696&lt;2,NOT(ISNUMBER($C695)),$C695=0),"",$C696/$C695-1)</f>
        <v/>
      </c>
      <c r="I696" s="52" t="str">
        <f aca="false">IF(AND(ISNUMBER($G696),$G696&gt;=MA_SHORT),AVERAGE(INDEX($C$296:$C696,402-MA_SHORT):$C696),"")</f>
        <v/>
      </c>
      <c r="J696" s="52" t="str">
        <f aca="false">IF(AND(ISNUMBER($G696),$G696&gt;=MA_MED),AVERAGE(INDEX($C$296:$C696,402-MA_MED):$C696),"")</f>
        <v/>
      </c>
      <c r="K696" s="52" t="str">
        <f aca="false">IF(AND(ISNUMBER($G696),$G696&gt;=MA_LONG2),AVERAGE(INDEX($C$296:$C696,402-MA_LONG2):$C696),"")</f>
        <v/>
      </c>
      <c r="L696" s="53" t="str">
        <f aca="false">IF(AND(ISNUMBER($G696),$G696&gt;=21),STDEV(INDEX($H$636:$H696,62-20):$H696)*SQRT(245),"")</f>
        <v/>
      </c>
      <c r="M696" s="52" t="str">
        <f aca="false">IF(AND(ISNUMBER($G696),$G696&gt;=60),MAX(INDEX($D$496:$D696,202-60):$D696),"")</f>
        <v/>
      </c>
      <c r="N696" s="52" t="str">
        <f aca="false">IF(AND(ISNUMBER($G696),$G696&gt;=60),MIN(INDEX($E$496:$E696,202-60):$E696),"")</f>
        <v/>
      </c>
      <c r="O696" s="53" t="str">
        <f aca="false">IF(OR(NOT(ISNUMBER($C696)),NOT(ISNUMBER($M696)),$M696=0),"",$C696/$M696-1)</f>
        <v/>
      </c>
      <c r="P696" s="54"/>
      <c r="Q696" s="53" t="str">
        <f aca="false">IF(NOT(ISNUMBER($P696)),"",IFERROR(PERCENTRANK($P$5:$P$1204,$P696),""))</f>
        <v/>
      </c>
    </row>
    <row r="697" customFormat="false" ht="15" hidden="false" customHeight="false" outlineLevel="0" collapsed="false">
      <c r="A697" s="55"/>
      <c r="B697" s="56"/>
      <c r="C697" s="57"/>
      <c r="D697" s="56"/>
      <c r="E697" s="56"/>
      <c r="F697" s="56"/>
      <c r="G697" s="50" t="str">
        <f aca="false">IF($A697="","",IF(ISNUMBER($G696),$G696+1,1))</f>
        <v/>
      </c>
      <c r="H697" s="51" t="str">
        <f aca="false">IF(OR(NOT(ISNUMBER($G697)),$G697&lt;2,NOT(ISNUMBER($C696)),$C696=0),"",$C697/$C696-1)</f>
        <v/>
      </c>
      <c r="I697" s="52" t="str">
        <f aca="false">IF(AND(ISNUMBER($G697),$G697&gt;=MA_SHORT),AVERAGE(INDEX($C$297:$C697,402-MA_SHORT):$C697),"")</f>
        <v/>
      </c>
      <c r="J697" s="52" t="str">
        <f aca="false">IF(AND(ISNUMBER($G697),$G697&gt;=MA_MED),AVERAGE(INDEX($C$297:$C697,402-MA_MED):$C697),"")</f>
        <v/>
      </c>
      <c r="K697" s="52" t="str">
        <f aca="false">IF(AND(ISNUMBER($G697),$G697&gt;=MA_LONG2),AVERAGE(INDEX($C$297:$C697,402-MA_LONG2):$C697),"")</f>
        <v/>
      </c>
      <c r="L697" s="53" t="str">
        <f aca="false">IF(AND(ISNUMBER($G697),$G697&gt;=21),STDEV(INDEX($H$637:$H697,62-20):$H697)*SQRT(245),"")</f>
        <v/>
      </c>
      <c r="M697" s="52" t="str">
        <f aca="false">IF(AND(ISNUMBER($G697),$G697&gt;=60),MAX(INDEX($D$497:$D697,202-60):$D697),"")</f>
        <v/>
      </c>
      <c r="N697" s="52" t="str">
        <f aca="false">IF(AND(ISNUMBER($G697),$G697&gt;=60),MIN(INDEX($E$497:$E697,202-60):$E697),"")</f>
        <v/>
      </c>
      <c r="O697" s="53" t="str">
        <f aca="false">IF(OR(NOT(ISNUMBER($C697)),NOT(ISNUMBER($M697)),$M697=0),"",$C697/$M697-1)</f>
        <v/>
      </c>
      <c r="P697" s="54"/>
      <c r="Q697" s="53" t="str">
        <f aca="false">IF(NOT(ISNUMBER($P697)),"",IFERROR(PERCENTRANK($P$5:$P$1204,$P697),""))</f>
        <v/>
      </c>
    </row>
    <row r="698" customFormat="false" ht="15" hidden="false" customHeight="false" outlineLevel="0" collapsed="false">
      <c r="A698" s="55"/>
      <c r="B698" s="56"/>
      <c r="C698" s="57"/>
      <c r="D698" s="56"/>
      <c r="E698" s="56"/>
      <c r="F698" s="56"/>
      <c r="G698" s="50" t="str">
        <f aca="false">IF($A698="","",IF(ISNUMBER($G697),$G697+1,1))</f>
        <v/>
      </c>
      <c r="H698" s="51" t="str">
        <f aca="false">IF(OR(NOT(ISNUMBER($G698)),$G698&lt;2,NOT(ISNUMBER($C697)),$C697=0),"",$C698/$C697-1)</f>
        <v/>
      </c>
      <c r="I698" s="52" t="str">
        <f aca="false">IF(AND(ISNUMBER($G698),$G698&gt;=MA_SHORT),AVERAGE(INDEX($C$298:$C698,402-MA_SHORT):$C698),"")</f>
        <v/>
      </c>
      <c r="J698" s="52" t="str">
        <f aca="false">IF(AND(ISNUMBER($G698),$G698&gt;=MA_MED),AVERAGE(INDEX($C$298:$C698,402-MA_MED):$C698),"")</f>
        <v/>
      </c>
      <c r="K698" s="52" t="str">
        <f aca="false">IF(AND(ISNUMBER($G698),$G698&gt;=MA_LONG2),AVERAGE(INDEX($C$298:$C698,402-MA_LONG2):$C698),"")</f>
        <v/>
      </c>
      <c r="L698" s="53" t="str">
        <f aca="false">IF(AND(ISNUMBER($G698),$G698&gt;=21),STDEV(INDEX($H$638:$H698,62-20):$H698)*SQRT(245),"")</f>
        <v/>
      </c>
      <c r="M698" s="52" t="str">
        <f aca="false">IF(AND(ISNUMBER($G698),$G698&gt;=60),MAX(INDEX($D$498:$D698,202-60):$D698),"")</f>
        <v/>
      </c>
      <c r="N698" s="52" t="str">
        <f aca="false">IF(AND(ISNUMBER($G698),$G698&gt;=60),MIN(INDEX($E$498:$E698,202-60):$E698),"")</f>
        <v/>
      </c>
      <c r="O698" s="53" t="str">
        <f aca="false">IF(OR(NOT(ISNUMBER($C698)),NOT(ISNUMBER($M698)),$M698=0),"",$C698/$M698-1)</f>
        <v/>
      </c>
      <c r="P698" s="54"/>
      <c r="Q698" s="53" t="str">
        <f aca="false">IF(NOT(ISNUMBER($P698)),"",IFERROR(PERCENTRANK($P$5:$P$1204,$P698),""))</f>
        <v/>
      </c>
    </row>
    <row r="699" customFormat="false" ht="15" hidden="false" customHeight="false" outlineLevel="0" collapsed="false">
      <c r="A699" s="55"/>
      <c r="B699" s="56"/>
      <c r="C699" s="57"/>
      <c r="D699" s="56"/>
      <c r="E699" s="56"/>
      <c r="F699" s="56"/>
      <c r="G699" s="50" t="str">
        <f aca="false">IF($A699="","",IF(ISNUMBER($G698),$G698+1,1))</f>
        <v/>
      </c>
      <c r="H699" s="51" t="str">
        <f aca="false">IF(OR(NOT(ISNUMBER($G699)),$G699&lt;2,NOT(ISNUMBER($C698)),$C698=0),"",$C699/$C698-1)</f>
        <v/>
      </c>
      <c r="I699" s="52" t="str">
        <f aca="false">IF(AND(ISNUMBER($G699),$G699&gt;=MA_SHORT),AVERAGE(INDEX($C$299:$C699,402-MA_SHORT):$C699),"")</f>
        <v/>
      </c>
      <c r="J699" s="52" t="str">
        <f aca="false">IF(AND(ISNUMBER($G699),$G699&gt;=MA_MED),AVERAGE(INDEX($C$299:$C699,402-MA_MED):$C699),"")</f>
        <v/>
      </c>
      <c r="K699" s="52" t="str">
        <f aca="false">IF(AND(ISNUMBER($G699),$G699&gt;=MA_LONG2),AVERAGE(INDEX($C$299:$C699,402-MA_LONG2):$C699),"")</f>
        <v/>
      </c>
      <c r="L699" s="53" t="str">
        <f aca="false">IF(AND(ISNUMBER($G699),$G699&gt;=21),STDEV(INDEX($H$639:$H699,62-20):$H699)*SQRT(245),"")</f>
        <v/>
      </c>
      <c r="M699" s="52" t="str">
        <f aca="false">IF(AND(ISNUMBER($G699),$G699&gt;=60),MAX(INDEX($D$499:$D699,202-60):$D699),"")</f>
        <v/>
      </c>
      <c r="N699" s="52" t="str">
        <f aca="false">IF(AND(ISNUMBER($G699),$G699&gt;=60),MIN(INDEX($E$499:$E699,202-60):$E699),"")</f>
        <v/>
      </c>
      <c r="O699" s="53" t="str">
        <f aca="false">IF(OR(NOT(ISNUMBER($C699)),NOT(ISNUMBER($M699)),$M699=0),"",$C699/$M699-1)</f>
        <v/>
      </c>
      <c r="P699" s="54"/>
      <c r="Q699" s="53" t="str">
        <f aca="false">IF(NOT(ISNUMBER($P699)),"",IFERROR(PERCENTRANK($P$5:$P$1204,$P699),""))</f>
        <v/>
      </c>
    </row>
    <row r="700" customFormat="false" ht="15" hidden="false" customHeight="false" outlineLevel="0" collapsed="false">
      <c r="A700" s="55"/>
      <c r="B700" s="56"/>
      <c r="C700" s="57"/>
      <c r="D700" s="56"/>
      <c r="E700" s="56"/>
      <c r="F700" s="56"/>
      <c r="G700" s="50" t="str">
        <f aca="false">IF($A700="","",IF(ISNUMBER($G699),$G699+1,1))</f>
        <v/>
      </c>
      <c r="H700" s="51" t="str">
        <f aca="false">IF(OR(NOT(ISNUMBER($G700)),$G700&lt;2,NOT(ISNUMBER($C699)),$C699=0),"",$C700/$C699-1)</f>
        <v/>
      </c>
      <c r="I700" s="52" t="str">
        <f aca="false">IF(AND(ISNUMBER($G700),$G700&gt;=MA_SHORT),AVERAGE(INDEX($C$300:$C700,402-MA_SHORT):$C700),"")</f>
        <v/>
      </c>
      <c r="J700" s="52" t="str">
        <f aca="false">IF(AND(ISNUMBER($G700),$G700&gt;=MA_MED),AVERAGE(INDEX($C$300:$C700,402-MA_MED):$C700),"")</f>
        <v/>
      </c>
      <c r="K700" s="52" t="str">
        <f aca="false">IF(AND(ISNUMBER($G700),$G700&gt;=MA_LONG2),AVERAGE(INDEX($C$300:$C700,402-MA_LONG2):$C700),"")</f>
        <v/>
      </c>
      <c r="L700" s="53" t="str">
        <f aca="false">IF(AND(ISNUMBER($G700),$G700&gt;=21),STDEV(INDEX($H$640:$H700,62-20):$H700)*SQRT(245),"")</f>
        <v/>
      </c>
      <c r="M700" s="52" t="str">
        <f aca="false">IF(AND(ISNUMBER($G700),$G700&gt;=60),MAX(INDEX($D$500:$D700,202-60):$D700),"")</f>
        <v/>
      </c>
      <c r="N700" s="52" t="str">
        <f aca="false">IF(AND(ISNUMBER($G700),$G700&gt;=60),MIN(INDEX($E$500:$E700,202-60):$E700),"")</f>
        <v/>
      </c>
      <c r="O700" s="53" t="str">
        <f aca="false">IF(OR(NOT(ISNUMBER($C700)),NOT(ISNUMBER($M700)),$M700=0),"",$C700/$M700-1)</f>
        <v/>
      </c>
      <c r="P700" s="54"/>
      <c r="Q700" s="53" t="str">
        <f aca="false">IF(NOT(ISNUMBER($P700)),"",IFERROR(PERCENTRANK($P$5:$P$1204,$P700),""))</f>
        <v/>
      </c>
    </row>
    <row r="701" customFormat="false" ht="15" hidden="false" customHeight="false" outlineLevel="0" collapsed="false">
      <c r="A701" s="55"/>
      <c r="B701" s="56"/>
      <c r="C701" s="57"/>
      <c r="D701" s="56"/>
      <c r="E701" s="56"/>
      <c r="F701" s="56"/>
      <c r="G701" s="50" t="str">
        <f aca="false">IF($A701="","",IF(ISNUMBER($G700),$G700+1,1))</f>
        <v/>
      </c>
      <c r="H701" s="51" t="str">
        <f aca="false">IF(OR(NOT(ISNUMBER($G701)),$G701&lt;2,NOT(ISNUMBER($C700)),$C700=0),"",$C701/$C700-1)</f>
        <v/>
      </c>
      <c r="I701" s="52" t="str">
        <f aca="false">IF(AND(ISNUMBER($G701),$G701&gt;=MA_SHORT),AVERAGE(INDEX($C$301:$C701,402-MA_SHORT):$C701),"")</f>
        <v/>
      </c>
      <c r="J701" s="52" t="str">
        <f aca="false">IF(AND(ISNUMBER($G701),$G701&gt;=MA_MED),AVERAGE(INDEX($C$301:$C701,402-MA_MED):$C701),"")</f>
        <v/>
      </c>
      <c r="K701" s="52" t="str">
        <f aca="false">IF(AND(ISNUMBER($G701),$G701&gt;=MA_LONG2),AVERAGE(INDEX($C$301:$C701,402-MA_LONG2):$C701),"")</f>
        <v/>
      </c>
      <c r="L701" s="53" t="str">
        <f aca="false">IF(AND(ISNUMBER($G701),$G701&gt;=21),STDEV(INDEX($H$641:$H701,62-20):$H701)*SQRT(245),"")</f>
        <v/>
      </c>
      <c r="M701" s="52" t="str">
        <f aca="false">IF(AND(ISNUMBER($G701),$G701&gt;=60),MAX(INDEX($D$501:$D701,202-60):$D701),"")</f>
        <v/>
      </c>
      <c r="N701" s="52" t="str">
        <f aca="false">IF(AND(ISNUMBER($G701),$G701&gt;=60),MIN(INDEX($E$501:$E701,202-60):$E701),"")</f>
        <v/>
      </c>
      <c r="O701" s="53" t="str">
        <f aca="false">IF(OR(NOT(ISNUMBER($C701)),NOT(ISNUMBER($M701)),$M701=0),"",$C701/$M701-1)</f>
        <v/>
      </c>
      <c r="P701" s="54"/>
      <c r="Q701" s="53" t="str">
        <f aca="false">IF(NOT(ISNUMBER($P701)),"",IFERROR(PERCENTRANK($P$5:$P$1204,$P701),""))</f>
        <v/>
      </c>
    </row>
    <row r="702" customFormat="false" ht="15" hidden="false" customHeight="false" outlineLevel="0" collapsed="false">
      <c r="A702" s="55"/>
      <c r="B702" s="56"/>
      <c r="C702" s="57"/>
      <c r="D702" s="56"/>
      <c r="E702" s="56"/>
      <c r="F702" s="56"/>
      <c r="G702" s="50" t="str">
        <f aca="false">IF($A702="","",IF(ISNUMBER($G701),$G701+1,1))</f>
        <v/>
      </c>
      <c r="H702" s="51" t="str">
        <f aca="false">IF(OR(NOT(ISNUMBER($G702)),$G702&lt;2,NOT(ISNUMBER($C701)),$C701=0),"",$C702/$C701-1)</f>
        <v/>
      </c>
      <c r="I702" s="52" t="str">
        <f aca="false">IF(AND(ISNUMBER($G702),$G702&gt;=MA_SHORT),AVERAGE(INDEX($C$302:$C702,402-MA_SHORT):$C702),"")</f>
        <v/>
      </c>
      <c r="J702" s="52" t="str">
        <f aca="false">IF(AND(ISNUMBER($G702),$G702&gt;=MA_MED),AVERAGE(INDEX($C$302:$C702,402-MA_MED):$C702),"")</f>
        <v/>
      </c>
      <c r="K702" s="52" t="str">
        <f aca="false">IF(AND(ISNUMBER($G702),$G702&gt;=MA_LONG2),AVERAGE(INDEX($C$302:$C702,402-MA_LONG2):$C702),"")</f>
        <v/>
      </c>
      <c r="L702" s="53" t="str">
        <f aca="false">IF(AND(ISNUMBER($G702),$G702&gt;=21),STDEV(INDEX($H$642:$H702,62-20):$H702)*SQRT(245),"")</f>
        <v/>
      </c>
      <c r="M702" s="52" t="str">
        <f aca="false">IF(AND(ISNUMBER($G702),$G702&gt;=60),MAX(INDEX($D$502:$D702,202-60):$D702),"")</f>
        <v/>
      </c>
      <c r="N702" s="52" t="str">
        <f aca="false">IF(AND(ISNUMBER($G702),$G702&gt;=60),MIN(INDEX($E$502:$E702,202-60):$E702),"")</f>
        <v/>
      </c>
      <c r="O702" s="53" t="str">
        <f aca="false">IF(OR(NOT(ISNUMBER($C702)),NOT(ISNUMBER($M702)),$M702=0),"",$C702/$M702-1)</f>
        <v/>
      </c>
      <c r="P702" s="54"/>
      <c r="Q702" s="53" t="str">
        <f aca="false">IF(NOT(ISNUMBER($P702)),"",IFERROR(PERCENTRANK($P$5:$P$1204,$P702),""))</f>
        <v/>
      </c>
    </row>
    <row r="703" customFormat="false" ht="15" hidden="false" customHeight="false" outlineLevel="0" collapsed="false">
      <c r="A703" s="55"/>
      <c r="B703" s="56"/>
      <c r="C703" s="57"/>
      <c r="D703" s="56"/>
      <c r="E703" s="56"/>
      <c r="F703" s="56"/>
      <c r="G703" s="50" t="str">
        <f aca="false">IF($A703="","",IF(ISNUMBER($G702),$G702+1,1))</f>
        <v/>
      </c>
      <c r="H703" s="51" t="str">
        <f aca="false">IF(OR(NOT(ISNUMBER($G703)),$G703&lt;2,NOT(ISNUMBER($C702)),$C702=0),"",$C703/$C702-1)</f>
        <v/>
      </c>
      <c r="I703" s="52" t="str">
        <f aca="false">IF(AND(ISNUMBER($G703),$G703&gt;=MA_SHORT),AVERAGE(INDEX($C$303:$C703,402-MA_SHORT):$C703),"")</f>
        <v/>
      </c>
      <c r="J703" s="52" t="str">
        <f aca="false">IF(AND(ISNUMBER($G703),$G703&gt;=MA_MED),AVERAGE(INDEX($C$303:$C703,402-MA_MED):$C703),"")</f>
        <v/>
      </c>
      <c r="K703" s="52" t="str">
        <f aca="false">IF(AND(ISNUMBER($G703),$G703&gt;=MA_LONG2),AVERAGE(INDEX($C$303:$C703,402-MA_LONG2):$C703),"")</f>
        <v/>
      </c>
      <c r="L703" s="53" t="str">
        <f aca="false">IF(AND(ISNUMBER($G703),$G703&gt;=21),STDEV(INDEX($H$643:$H703,62-20):$H703)*SQRT(245),"")</f>
        <v/>
      </c>
      <c r="M703" s="52" t="str">
        <f aca="false">IF(AND(ISNUMBER($G703),$G703&gt;=60),MAX(INDEX($D$503:$D703,202-60):$D703),"")</f>
        <v/>
      </c>
      <c r="N703" s="52" t="str">
        <f aca="false">IF(AND(ISNUMBER($G703),$G703&gt;=60),MIN(INDEX($E$503:$E703,202-60):$E703),"")</f>
        <v/>
      </c>
      <c r="O703" s="53" t="str">
        <f aca="false">IF(OR(NOT(ISNUMBER($C703)),NOT(ISNUMBER($M703)),$M703=0),"",$C703/$M703-1)</f>
        <v/>
      </c>
      <c r="P703" s="54"/>
      <c r="Q703" s="53" t="str">
        <f aca="false">IF(NOT(ISNUMBER($P703)),"",IFERROR(PERCENTRANK($P$5:$P$1204,$P703),""))</f>
        <v/>
      </c>
    </row>
    <row r="704" customFormat="false" ht="15" hidden="false" customHeight="false" outlineLevel="0" collapsed="false">
      <c r="A704" s="55"/>
      <c r="B704" s="56"/>
      <c r="C704" s="57"/>
      <c r="D704" s="56"/>
      <c r="E704" s="56"/>
      <c r="F704" s="56"/>
      <c r="G704" s="50" t="str">
        <f aca="false">IF($A704="","",IF(ISNUMBER($G703),$G703+1,1))</f>
        <v/>
      </c>
      <c r="H704" s="51" t="str">
        <f aca="false">IF(OR(NOT(ISNUMBER($G704)),$G704&lt;2,NOT(ISNUMBER($C703)),$C703=0),"",$C704/$C703-1)</f>
        <v/>
      </c>
      <c r="I704" s="52" t="str">
        <f aca="false">IF(AND(ISNUMBER($G704),$G704&gt;=MA_SHORT),AVERAGE(INDEX($C$304:$C704,402-MA_SHORT):$C704),"")</f>
        <v/>
      </c>
      <c r="J704" s="52" t="str">
        <f aca="false">IF(AND(ISNUMBER($G704),$G704&gt;=MA_MED),AVERAGE(INDEX($C$304:$C704,402-MA_MED):$C704),"")</f>
        <v/>
      </c>
      <c r="K704" s="52" t="str">
        <f aca="false">IF(AND(ISNUMBER($G704),$G704&gt;=MA_LONG2),AVERAGE(INDEX($C$304:$C704,402-MA_LONG2):$C704),"")</f>
        <v/>
      </c>
      <c r="L704" s="53" t="str">
        <f aca="false">IF(AND(ISNUMBER($G704),$G704&gt;=21),STDEV(INDEX($H$644:$H704,62-20):$H704)*SQRT(245),"")</f>
        <v/>
      </c>
      <c r="M704" s="52" t="str">
        <f aca="false">IF(AND(ISNUMBER($G704),$G704&gt;=60),MAX(INDEX($D$504:$D704,202-60):$D704),"")</f>
        <v/>
      </c>
      <c r="N704" s="52" t="str">
        <f aca="false">IF(AND(ISNUMBER($G704),$G704&gt;=60),MIN(INDEX($E$504:$E704,202-60):$E704),"")</f>
        <v/>
      </c>
      <c r="O704" s="53" t="str">
        <f aca="false">IF(OR(NOT(ISNUMBER($C704)),NOT(ISNUMBER($M704)),$M704=0),"",$C704/$M704-1)</f>
        <v/>
      </c>
      <c r="P704" s="54"/>
      <c r="Q704" s="53" t="str">
        <f aca="false">IF(NOT(ISNUMBER($P704)),"",IFERROR(PERCENTRANK($P$5:$P$1204,$P704),""))</f>
        <v/>
      </c>
    </row>
    <row r="705" customFormat="false" ht="15" hidden="false" customHeight="false" outlineLevel="0" collapsed="false">
      <c r="A705" s="55"/>
      <c r="B705" s="56"/>
      <c r="C705" s="57"/>
      <c r="D705" s="56"/>
      <c r="E705" s="56"/>
      <c r="F705" s="56"/>
      <c r="G705" s="50" t="str">
        <f aca="false">IF($A705="","",IF(ISNUMBER($G704),$G704+1,1))</f>
        <v/>
      </c>
      <c r="H705" s="51" t="str">
        <f aca="false">IF(OR(NOT(ISNUMBER($G705)),$G705&lt;2,NOT(ISNUMBER($C704)),$C704=0),"",$C705/$C704-1)</f>
        <v/>
      </c>
      <c r="I705" s="52" t="str">
        <f aca="false">IF(AND(ISNUMBER($G705),$G705&gt;=MA_SHORT),AVERAGE(INDEX($C$305:$C705,402-MA_SHORT):$C705),"")</f>
        <v/>
      </c>
      <c r="J705" s="52" t="str">
        <f aca="false">IF(AND(ISNUMBER($G705),$G705&gt;=MA_MED),AVERAGE(INDEX($C$305:$C705,402-MA_MED):$C705),"")</f>
        <v/>
      </c>
      <c r="K705" s="52" t="str">
        <f aca="false">IF(AND(ISNUMBER($G705),$G705&gt;=MA_LONG2),AVERAGE(INDEX($C$305:$C705,402-MA_LONG2):$C705),"")</f>
        <v/>
      </c>
      <c r="L705" s="53" t="str">
        <f aca="false">IF(AND(ISNUMBER($G705),$G705&gt;=21),STDEV(INDEX($H$645:$H705,62-20):$H705)*SQRT(245),"")</f>
        <v/>
      </c>
      <c r="M705" s="52" t="str">
        <f aca="false">IF(AND(ISNUMBER($G705),$G705&gt;=60),MAX(INDEX($D$505:$D705,202-60):$D705),"")</f>
        <v/>
      </c>
      <c r="N705" s="52" t="str">
        <f aca="false">IF(AND(ISNUMBER($G705),$G705&gt;=60),MIN(INDEX($E$505:$E705,202-60):$E705),"")</f>
        <v/>
      </c>
      <c r="O705" s="53" t="str">
        <f aca="false">IF(OR(NOT(ISNUMBER($C705)),NOT(ISNUMBER($M705)),$M705=0),"",$C705/$M705-1)</f>
        <v/>
      </c>
      <c r="P705" s="54"/>
      <c r="Q705" s="53" t="str">
        <f aca="false">IF(NOT(ISNUMBER($P705)),"",IFERROR(PERCENTRANK($P$5:$P$1204,$P705),""))</f>
        <v/>
      </c>
    </row>
    <row r="706" customFormat="false" ht="15" hidden="false" customHeight="false" outlineLevel="0" collapsed="false">
      <c r="A706" s="55"/>
      <c r="B706" s="56"/>
      <c r="C706" s="57"/>
      <c r="D706" s="56"/>
      <c r="E706" s="56"/>
      <c r="F706" s="56"/>
      <c r="G706" s="50" t="str">
        <f aca="false">IF($A706="","",IF(ISNUMBER($G705),$G705+1,1))</f>
        <v/>
      </c>
      <c r="H706" s="51" t="str">
        <f aca="false">IF(OR(NOT(ISNUMBER($G706)),$G706&lt;2,NOT(ISNUMBER($C705)),$C705=0),"",$C706/$C705-1)</f>
        <v/>
      </c>
      <c r="I706" s="52" t="str">
        <f aca="false">IF(AND(ISNUMBER($G706),$G706&gt;=MA_SHORT),AVERAGE(INDEX($C$306:$C706,402-MA_SHORT):$C706),"")</f>
        <v/>
      </c>
      <c r="J706" s="52" t="str">
        <f aca="false">IF(AND(ISNUMBER($G706),$G706&gt;=MA_MED),AVERAGE(INDEX($C$306:$C706,402-MA_MED):$C706),"")</f>
        <v/>
      </c>
      <c r="K706" s="52" t="str">
        <f aca="false">IF(AND(ISNUMBER($G706),$G706&gt;=MA_LONG2),AVERAGE(INDEX($C$306:$C706,402-MA_LONG2):$C706),"")</f>
        <v/>
      </c>
      <c r="L706" s="53" t="str">
        <f aca="false">IF(AND(ISNUMBER($G706),$G706&gt;=21),STDEV(INDEX($H$646:$H706,62-20):$H706)*SQRT(245),"")</f>
        <v/>
      </c>
      <c r="M706" s="52" t="str">
        <f aca="false">IF(AND(ISNUMBER($G706),$G706&gt;=60),MAX(INDEX($D$506:$D706,202-60):$D706),"")</f>
        <v/>
      </c>
      <c r="N706" s="52" t="str">
        <f aca="false">IF(AND(ISNUMBER($G706),$G706&gt;=60),MIN(INDEX($E$506:$E706,202-60):$E706),"")</f>
        <v/>
      </c>
      <c r="O706" s="53" t="str">
        <f aca="false">IF(OR(NOT(ISNUMBER($C706)),NOT(ISNUMBER($M706)),$M706=0),"",$C706/$M706-1)</f>
        <v/>
      </c>
      <c r="P706" s="54"/>
      <c r="Q706" s="53" t="str">
        <f aca="false">IF(NOT(ISNUMBER($P706)),"",IFERROR(PERCENTRANK($P$5:$P$1204,$P706),""))</f>
        <v/>
      </c>
    </row>
    <row r="707" customFormat="false" ht="15" hidden="false" customHeight="false" outlineLevel="0" collapsed="false">
      <c r="A707" s="55"/>
      <c r="B707" s="56"/>
      <c r="C707" s="57"/>
      <c r="D707" s="56"/>
      <c r="E707" s="56"/>
      <c r="F707" s="56"/>
      <c r="G707" s="50" t="str">
        <f aca="false">IF($A707="","",IF(ISNUMBER($G706),$G706+1,1))</f>
        <v/>
      </c>
      <c r="H707" s="51" t="str">
        <f aca="false">IF(OR(NOT(ISNUMBER($G707)),$G707&lt;2,NOT(ISNUMBER($C706)),$C706=0),"",$C707/$C706-1)</f>
        <v/>
      </c>
      <c r="I707" s="52" t="str">
        <f aca="false">IF(AND(ISNUMBER($G707),$G707&gt;=MA_SHORT),AVERAGE(INDEX($C$307:$C707,402-MA_SHORT):$C707),"")</f>
        <v/>
      </c>
      <c r="J707" s="52" t="str">
        <f aca="false">IF(AND(ISNUMBER($G707),$G707&gt;=MA_MED),AVERAGE(INDEX($C$307:$C707,402-MA_MED):$C707),"")</f>
        <v/>
      </c>
      <c r="K707" s="52" t="str">
        <f aca="false">IF(AND(ISNUMBER($G707),$G707&gt;=MA_LONG2),AVERAGE(INDEX($C$307:$C707,402-MA_LONG2):$C707),"")</f>
        <v/>
      </c>
      <c r="L707" s="53" t="str">
        <f aca="false">IF(AND(ISNUMBER($G707),$G707&gt;=21),STDEV(INDEX($H$647:$H707,62-20):$H707)*SQRT(245),"")</f>
        <v/>
      </c>
      <c r="M707" s="52" t="str">
        <f aca="false">IF(AND(ISNUMBER($G707),$G707&gt;=60),MAX(INDEX($D$507:$D707,202-60):$D707),"")</f>
        <v/>
      </c>
      <c r="N707" s="52" t="str">
        <f aca="false">IF(AND(ISNUMBER($G707),$G707&gt;=60),MIN(INDEX($E$507:$E707,202-60):$E707),"")</f>
        <v/>
      </c>
      <c r="O707" s="53" t="str">
        <f aca="false">IF(OR(NOT(ISNUMBER($C707)),NOT(ISNUMBER($M707)),$M707=0),"",$C707/$M707-1)</f>
        <v/>
      </c>
      <c r="P707" s="54"/>
      <c r="Q707" s="53" t="str">
        <f aca="false">IF(NOT(ISNUMBER($P707)),"",IFERROR(PERCENTRANK($P$5:$P$1204,$P707),""))</f>
        <v/>
      </c>
    </row>
    <row r="708" customFormat="false" ht="15" hidden="false" customHeight="false" outlineLevel="0" collapsed="false">
      <c r="A708" s="55"/>
      <c r="B708" s="56"/>
      <c r="C708" s="57"/>
      <c r="D708" s="56"/>
      <c r="E708" s="56"/>
      <c r="F708" s="56"/>
      <c r="G708" s="50" t="str">
        <f aca="false">IF($A708="","",IF(ISNUMBER($G707),$G707+1,1))</f>
        <v/>
      </c>
      <c r="H708" s="51" t="str">
        <f aca="false">IF(OR(NOT(ISNUMBER($G708)),$G708&lt;2,NOT(ISNUMBER($C707)),$C707=0),"",$C708/$C707-1)</f>
        <v/>
      </c>
      <c r="I708" s="52" t="str">
        <f aca="false">IF(AND(ISNUMBER($G708),$G708&gt;=MA_SHORT),AVERAGE(INDEX($C$308:$C708,402-MA_SHORT):$C708),"")</f>
        <v/>
      </c>
      <c r="J708" s="52" t="str">
        <f aca="false">IF(AND(ISNUMBER($G708),$G708&gt;=MA_MED),AVERAGE(INDEX($C$308:$C708,402-MA_MED):$C708),"")</f>
        <v/>
      </c>
      <c r="K708" s="52" t="str">
        <f aca="false">IF(AND(ISNUMBER($G708),$G708&gt;=MA_LONG2),AVERAGE(INDEX($C$308:$C708,402-MA_LONG2):$C708),"")</f>
        <v/>
      </c>
      <c r="L708" s="53" t="str">
        <f aca="false">IF(AND(ISNUMBER($G708),$G708&gt;=21),STDEV(INDEX($H$648:$H708,62-20):$H708)*SQRT(245),"")</f>
        <v/>
      </c>
      <c r="M708" s="52" t="str">
        <f aca="false">IF(AND(ISNUMBER($G708),$G708&gt;=60),MAX(INDEX($D$508:$D708,202-60):$D708),"")</f>
        <v/>
      </c>
      <c r="N708" s="52" t="str">
        <f aca="false">IF(AND(ISNUMBER($G708),$G708&gt;=60),MIN(INDEX($E$508:$E708,202-60):$E708),"")</f>
        <v/>
      </c>
      <c r="O708" s="53" t="str">
        <f aca="false">IF(OR(NOT(ISNUMBER($C708)),NOT(ISNUMBER($M708)),$M708=0),"",$C708/$M708-1)</f>
        <v/>
      </c>
      <c r="P708" s="54"/>
      <c r="Q708" s="53" t="str">
        <f aca="false">IF(NOT(ISNUMBER($P708)),"",IFERROR(PERCENTRANK($P$5:$P$1204,$P708),""))</f>
        <v/>
      </c>
    </row>
    <row r="709" customFormat="false" ht="15" hidden="false" customHeight="false" outlineLevel="0" collapsed="false">
      <c r="A709" s="55"/>
      <c r="B709" s="56"/>
      <c r="C709" s="57"/>
      <c r="D709" s="56"/>
      <c r="E709" s="56"/>
      <c r="F709" s="56"/>
      <c r="G709" s="50" t="str">
        <f aca="false">IF($A709="","",IF(ISNUMBER($G708),$G708+1,1))</f>
        <v/>
      </c>
      <c r="H709" s="51" t="str">
        <f aca="false">IF(OR(NOT(ISNUMBER($G709)),$G709&lt;2,NOT(ISNUMBER($C708)),$C708=0),"",$C709/$C708-1)</f>
        <v/>
      </c>
      <c r="I709" s="52" t="str">
        <f aca="false">IF(AND(ISNUMBER($G709),$G709&gt;=MA_SHORT),AVERAGE(INDEX($C$309:$C709,402-MA_SHORT):$C709),"")</f>
        <v/>
      </c>
      <c r="J709" s="52" t="str">
        <f aca="false">IF(AND(ISNUMBER($G709),$G709&gt;=MA_MED),AVERAGE(INDEX($C$309:$C709,402-MA_MED):$C709),"")</f>
        <v/>
      </c>
      <c r="K709" s="52" t="str">
        <f aca="false">IF(AND(ISNUMBER($G709),$G709&gt;=MA_LONG2),AVERAGE(INDEX($C$309:$C709,402-MA_LONG2):$C709),"")</f>
        <v/>
      </c>
      <c r="L709" s="53" t="str">
        <f aca="false">IF(AND(ISNUMBER($G709),$G709&gt;=21),STDEV(INDEX($H$649:$H709,62-20):$H709)*SQRT(245),"")</f>
        <v/>
      </c>
      <c r="M709" s="52" t="str">
        <f aca="false">IF(AND(ISNUMBER($G709),$G709&gt;=60),MAX(INDEX($D$509:$D709,202-60):$D709),"")</f>
        <v/>
      </c>
      <c r="N709" s="52" t="str">
        <f aca="false">IF(AND(ISNUMBER($G709),$G709&gt;=60),MIN(INDEX($E$509:$E709,202-60):$E709),"")</f>
        <v/>
      </c>
      <c r="O709" s="53" t="str">
        <f aca="false">IF(OR(NOT(ISNUMBER($C709)),NOT(ISNUMBER($M709)),$M709=0),"",$C709/$M709-1)</f>
        <v/>
      </c>
      <c r="P709" s="54"/>
      <c r="Q709" s="53" t="str">
        <f aca="false">IF(NOT(ISNUMBER($P709)),"",IFERROR(PERCENTRANK($P$5:$P$1204,$P709),""))</f>
        <v/>
      </c>
    </row>
    <row r="710" customFormat="false" ht="15" hidden="false" customHeight="false" outlineLevel="0" collapsed="false">
      <c r="A710" s="55"/>
      <c r="B710" s="56"/>
      <c r="C710" s="57"/>
      <c r="D710" s="56"/>
      <c r="E710" s="56"/>
      <c r="F710" s="56"/>
      <c r="G710" s="50" t="str">
        <f aca="false">IF($A710="","",IF(ISNUMBER($G709),$G709+1,1))</f>
        <v/>
      </c>
      <c r="H710" s="51" t="str">
        <f aca="false">IF(OR(NOT(ISNUMBER($G710)),$G710&lt;2,NOT(ISNUMBER($C709)),$C709=0),"",$C710/$C709-1)</f>
        <v/>
      </c>
      <c r="I710" s="52" t="str">
        <f aca="false">IF(AND(ISNUMBER($G710),$G710&gt;=MA_SHORT),AVERAGE(INDEX($C$310:$C710,402-MA_SHORT):$C710),"")</f>
        <v/>
      </c>
      <c r="J710" s="52" t="str">
        <f aca="false">IF(AND(ISNUMBER($G710),$G710&gt;=MA_MED),AVERAGE(INDEX($C$310:$C710,402-MA_MED):$C710),"")</f>
        <v/>
      </c>
      <c r="K710" s="52" t="str">
        <f aca="false">IF(AND(ISNUMBER($G710),$G710&gt;=MA_LONG2),AVERAGE(INDEX($C$310:$C710,402-MA_LONG2):$C710),"")</f>
        <v/>
      </c>
      <c r="L710" s="53" t="str">
        <f aca="false">IF(AND(ISNUMBER($G710),$G710&gt;=21),STDEV(INDEX($H$650:$H710,62-20):$H710)*SQRT(245),"")</f>
        <v/>
      </c>
      <c r="M710" s="52" t="str">
        <f aca="false">IF(AND(ISNUMBER($G710),$G710&gt;=60),MAX(INDEX($D$510:$D710,202-60):$D710),"")</f>
        <v/>
      </c>
      <c r="N710" s="52" t="str">
        <f aca="false">IF(AND(ISNUMBER($G710),$G710&gt;=60),MIN(INDEX($E$510:$E710,202-60):$E710),"")</f>
        <v/>
      </c>
      <c r="O710" s="53" t="str">
        <f aca="false">IF(OR(NOT(ISNUMBER($C710)),NOT(ISNUMBER($M710)),$M710=0),"",$C710/$M710-1)</f>
        <v/>
      </c>
      <c r="P710" s="54"/>
      <c r="Q710" s="53" t="str">
        <f aca="false">IF(NOT(ISNUMBER($P710)),"",IFERROR(PERCENTRANK($P$5:$P$1204,$P710),""))</f>
        <v/>
      </c>
    </row>
    <row r="711" customFormat="false" ht="15" hidden="false" customHeight="false" outlineLevel="0" collapsed="false">
      <c r="A711" s="55"/>
      <c r="B711" s="56"/>
      <c r="C711" s="57"/>
      <c r="D711" s="56"/>
      <c r="E711" s="56"/>
      <c r="F711" s="56"/>
      <c r="G711" s="50" t="str">
        <f aca="false">IF($A711="","",IF(ISNUMBER($G710),$G710+1,1))</f>
        <v/>
      </c>
      <c r="H711" s="51" t="str">
        <f aca="false">IF(OR(NOT(ISNUMBER($G711)),$G711&lt;2,NOT(ISNUMBER($C710)),$C710=0),"",$C711/$C710-1)</f>
        <v/>
      </c>
      <c r="I711" s="52" t="str">
        <f aca="false">IF(AND(ISNUMBER($G711),$G711&gt;=MA_SHORT),AVERAGE(INDEX($C$311:$C711,402-MA_SHORT):$C711),"")</f>
        <v/>
      </c>
      <c r="J711" s="52" t="str">
        <f aca="false">IF(AND(ISNUMBER($G711),$G711&gt;=MA_MED),AVERAGE(INDEX($C$311:$C711,402-MA_MED):$C711),"")</f>
        <v/>
      </c>
      <c r="K711" s="52" t="str">
        <f aca="false">IF(AND(ISNUMBER($G711),$G711&gt;=MA_LONG2),AVERAGE(INDEX($C$311:$C711,402-MA_LONG2):$C711),"")</f>
        <v/>
      </c>
      <c r="L711" s="53" t="str">
        <f aca="false">IF(AND(ISNUMBER($G711),$G711&gt;=21),STDEV(INDEX($H$651:$H711,62-20):$H711)*SQRT(245),"")</f>
        <v/>
      </c>
      <c r="M711" s="52" t="str">
        <f aca="false">IF(AND(ISNUMBER($G711),$G711&gt;=60),MAX(INDEX($D$511:$D711,202-60):$D711),"")</f>
        <v/>
      </c>
      <c r="N711" s="52" t="str">
        <f aca="false">IF(AND(ISNUMBER($G711),$G711&gt;=60),MIN(INDEX($E$511:$E711,202-60):$E711),"")</f>
        <v/>
      </c>
      <c r="O711" s="53" t="str">
        <f aca="false">IF(OR(NOT(ISNUMBER($C711)),NOT(ISNUMBER($M711)),$M711=0),"",$C711/$M711-1)</f>
        <v/>
      </c>
      <c r="P711" s="54"/>
      <c r="Q711" s="53" t="str">
        <f aca="false">IF(NOT(ISNUMBER($P711)),"",IFERROR(PERCENTRANK($P$5:$P$1204,$P711),""))</f>
        <v/>
      </c>
    </row>
    <row r="712" customFormat="false" ht="15" hidden="false" customHeight="false" outlineLevel="0" collapsed="false">
      <c r="A712" s="55"/>
      <c r="B712" s="56"/>
      <c r="C712" s="57"/>
      <c r="D712" s="56"/>
      <c r="E712" s="56"/>
      <c r="F712" s="56"/>
      <c r="G712" s="50" t="str">
        <f aca="false">IF($A712="","",IF(ISNUMBER($G711),$G711+1,1))</f>
        <v/>
      </c>
      <c r="H712" s="51" t="str">
        <f aca="false">IF(OR(NOT(ISNUMBER($G712)),$G712&lt;2,NOT(ISNUMBER($C711)),$C711=0),"",$C712/$C711-1)</f>
        <v/>
      </c>
      <c r="I712" s="52" t="str">
        <f aca="false">IF(AND(ISNUMBER($G712),$G712&gt;=MA_SHORT),AVERAGE(INDEX($C$312:$C712,402-MA_SHORT):$C712),"")</f>
        <v/>
      </c>
      <c r="J712" s="52" t="str">
        <f aca="false">IF(AND(ISNUMBER($G712),$G712&gt;=MA_MED),AVERAGE(INDEX($C$312:$C712,402-MA_MED):$C712),"")</f>
        <v/>
      </c>
      <c r="K712" s="52" t="str">
        <f aca="false">IF(AND(ISNUMBER($G712),$G712&gt;=MA_LONG2),AVERAGE(INDEX($C$312:$C712,402-MA_LONG2):$C712),"")</f>
        <v/>
      </c>
      <c r="L712" s="53" t="str">
        <f aca="false">IF(AND(ISNUMBER($G712),$G712&gt;=21),STDEV(INDEX($H$652:$H712,62-20):$H712)*SQRT(245),"")</f>
        <v/>
      </c>
      <c r="M712" s="52" t="str">
        <f aca="false">IF(AND(ISNUMBER($G712),$G712&gt;=60),MAX(INDEX($D$512:$D712,202-60):$D712),"")</f>
        <v/>
      </c>
      <c r="N712" s="52" t="str">
        <f aca="false">IF(AND(ISNUMBER($G712),$G712&gt;=60),MIN(INDEX($E$512:$E712,202-60):$E712),"")</f>
        <v/>
      </c>
      <c r="O712" s="53" t="str">
        <f aca="false">IF(OR(NOT(ISNUMBER($C712)),NOT(ISNUMBER($M712)),$M712=0),"",$C712/$M712-1)</f>
        <v/>
      </c>
      <c r="P712" s="54"/>
      <c r="Q712" s="53" t="str">
        <f aca="false">IF(NOT(ISNUMBER($P712)),"",IFERROR(PERCENTRANK($P$5:$P$1204,$P712),""))</f>
        <v/>
      </c>
    </row>
    <row r="713" customFormat="false" ht="15" hidden="false" customHeight="false" outlineLevel="0" collapsed="false">
      <c r="A713" s="55"/>
      <c r="B713" s="56"/>
      <c r="C713" s="57"/>
      <c r="D713" s="56"/>
      <c r="E713" s="56"/>
      <c r="F713" s="56"/>
      <c r="G713" s="50" t="str">
        <f aca="false">IF($A713="","",IF(ISNUMBER($G712),$G712+1,1))</f>
        <v/>
      </c>
      <c r="H713" s="51" t="str">
        <f aca="false">IF(OR(NOT(ISNUMBER($G713)),$G713&lt;2,NOT(ISNUMBER($C712)),$C712=0),"",$C713/$C712-1)</f>
        <v/>
      </c>
      <c r="I713" s="52" t="str">
        <f aca="false">IF(AND(ISNUMBER($G713),$G713&gt;=MA_SHORT),AVERAGE(INDEX($C$313:$C713,402-MA_SHORT):$C713),"")</f>
        <v/>
      </c>
      <c r="J713" s="52" t="str">
        <f aca="false">IF(AND(ISNUMBER($G713),$G713&gt;=MA_MED),AVERAGE(INDEX($C$313:$C713,402-MA_MED):$C713),"")</f>
        <v/>
      </c>
      <c r="K713" s="52" t="str">
        <f aca="false">IF(AND(ISNUMBER($G713),$G713&gt;=MA_LONG2),AVERAGE(INDEX($C$313:$C713,402-MA_LONG2):$C713),"")</f>
        <v/>
      </c>
      <c r="L713" s="53" t="str">
        <f aca="false">IF(AND(ISNUMBER($G713),$G713&gt;=21),STDEV(INDEX($H$653:$H713,62-20):$H713)*SQRT(245),"")</f>
        <v/>
      </c>
      <c r="M713" s="52" t="str">
        <f aca="false">IF(AND(ISNUMBER($G713),$G713&gt;=60),MAX(INDEX($D$513:$D713,202-60):$D713),"")</f>
        <v/>
      </c>
      <c r="N713" s="52" t="str">
        <f aca="false">IF(AND(ISNUMBER($G713),$G713&gt;=60),MIN(INDEX($E$513:$E713,202-60):$E713),"")</f>
        <v/>
      </c>
      <c r="O713" s="53" t="str">
        <f aca="false">IF(OR(NOT(ISNUMBER($C713)),NOT(ISNUMBER($M713)),$M713=0),"",$C713/$M713-1)</f>
        <v/>
      </c>
      <c r="P713" s="54"/>
      <c r="Q713" s="53" t="str">
        <f aca="false">IF(NOT(ISNUMBER($P713)),"",IFERROR(PERCENTRANK($P$5:$P$1204,$P713),""))</f>
        <v/>
      </c>
    </row>
    <row r="714" customFormat="false" ht="15" hidden="false" customHeight="false" outlineLevel="0" collapsed="false">
      <c r="A714" s="55"/>
      <c r="B714" s="56"/>
      <c r="C714" s="57"/>
      <c r="D714" s="56"/>
      <c r="E714" s="56"/>
      <c r="F714" s="56"/>
      <c r="G714" s="50" t="str">
        <f aca="false">IF($A714="","",IF(ISNUMBER($G713),$G713+1,1))</f>
        <v/>
      </c>
      <c r="H714" s="51" t="str">
        <f aca="false">IF(OR(NOT(ISNUMBER($G714)),$G714&lt;2,NOT(ISNUMBER($C713)),$C713=0),"",$C714/$C713-1)</f>
        <v/>
      </c>
      <c r="I714" s="52" t="str">
        <f aca="false">IF(AND(ISNUMBER($G714),$G714&gt;=MA_SHORT),AVERAGE(INDEX($C$314:$C714,402-MA_SHORT):$C714),"")</f>
        <v/>
      </c>
      <c r="J714" s="52" t="str">
        <f aca="false">IF(AND(ISNUMBER($G714),$G714&gt;=MA_MED),AVERAGE(INDEX($C$314:$C714,402-MA_MED):$C714),"")</f>
        <v/>
      </c>
      <c r="K714" s="52" t="str">
        <f aca="false">IF(AND(ISNUMBER($G714),$G714&gt;=MA_LONG2),AVERAGE(INDEX($C$314:$C714,402-MA_LONG2):$C714),"")</f>
        <v/>
      </c>
      <c r="L714" s="53" t="str">
        <f aca="false">IF(AND(ISNUMBER($G714),$G714&gt;=21),STDEV(INDEX($H$654:$H714,62-20):$H714)*SQRT(245),"")</f>
        <v/>
      </c>
      <c r="M714" s="52" t="str">
        <f aca="false">IF(AND(ISNUMBER($G714),$G714&gt;=60),MAX(INDEX($D$514:$D714,202-60):$D714),"")</f>
        <v/>
      </c>
      <c r="N714" s="52" t="str">
        <f aca="false">IF(AND(ISNUMBER($G714),$G714&gt;=60),MIN(INDEX($E$514:$E714,202-60):$E714),"")</f>
        <v/>
      </c>
      <c r="O714" s="53" t="str">
        <f aca="false">IF(OR(NOT(ISNUMBER($C714)),NOT(ISNUMBER($M714)),$M714=0),"",$C714/$M714-1)</f>
        <v/>
      </c>
      <c r="P714" s="54"/>
      <c r="Q714" s="53" t="str">
        <f aca="false">IF(NOT(ISNUMBER($P714)),"",IFERROR(PERCENTRANK($P$5:$P$1204,$P714),""))</f>
        <v/>
      </c>
    </row>
    <row r="715" customFormat="false" ht="15" hidden="false" customHeight="false" outlineLevel="0" collapsed="false">
      <c r="A715" s="55"/>
      <c r="B715" s="56"/>
      <c r="C715" s="57"/>
      <c r="D715" s="56"/>
      <c r="E715" s="56"/>
      <c r="F715" s="56"/>
      <c r="G715" s="50" t="str">
        <f aca="false">IF($A715="","",IF(ISNUMBER($G714),$G714+1,1))</f>
        <v/>
      </c>
      <c r="H715" s="51" t="str">
        <f aca="false">IF(OR(NOT(ISNUMBER($G715)),$G715&lt;2,NOT(ISNUMBER($C714)),$C714=0),"",$C715/$C714-1)</f>
        <v/>
      </c>
      <c r="I715" s="52" t="str">
        <f aca="false">IF(AND(ISNUMBER($G715),$G715&gt;=MA_SHORT),AVERAGE(INDEX($C$315:$C715,402-MA_SHORT):$C715),"")</f>
        <v/>
      </c>
      <c r="J715" s="52" t="str">
        <f aca="false">IF(AND(ISNUMBER($G715),$G715&gt;=MA_MED),AVERAGE(INDEX($C$315:$C715,402-MA_MED):$C715),"")</f>
        <v/>
      </c>
      <c r="K715" s="52" t="str">
        <f aca="false">IF(AND(ISNUMBER($G715),$G715&gt;=MA_LONG2),AVERAGE(INDEX($C$315:$C715,402-MA_LONG2):$C715),"")</f>
        <v/>
      </c>
      <c r="L715" s="53" t="str">
        <f aca="false">IF(AND(ISNUMBER($G715),$G715&gt;=21),STDEV(INDEX($H$655:$H715,62-20):$H715)*SQRT(245),"")</f>
        <v/>
      </c>
      <c r="M715" s="52" t="str">
        <f aca="false">IF(AND(ISNUMBER($G715),$G715&gt;=60),MAX(INDEX($D$515:$D715,202-60):$D715),"")</f>
        <v/>
      </c>
      <c r="N715" s="52" t="str">
        <f aca="false">IF(AND(ISNUMBER($G715),$G715&gt;=60),MIN(INDEX($E$515:$E715,202-60):$E715),"")</f>
        <v/>
      </c>
      <c r="O715" s="53" t="str">
        <f aca="false">IF(OR(NOT(ISNUMBER($C715)),NOT(ISNUMBER($M715)),$M715=0),"",$C715/$M715-1)</f>
        <v/>
      </c>
      <c r="P715" s="54"/>
      <c r="Q715" s="53" t="str">
        <f aca="false">IF(NOT(ISNUMBER($P715)),"",IFERROR(PERCENTRANK($P$5:$P$1204,$P715),""))</f>
        <v/>
      </c>
    </row>
    <row r="716" customFormat="false" ht="15" hidden="false" customHeight="false" outlineLevel="0" collapsed="false">
      <c r="A716" s="55"/>
      <c r="B716" s="56"/>
      <c r="C716" s="57"/>
      <c r="D716" s="56"/>
      <c r="E716" s="56"/>
      <c r="F716" s="56"/>
      <c r="G716" s="50" t="str">
        <f aca="false">IF($A716="","",IF(ISNUMBER($G715),$G715+1,1))</f>
        <v/>
      </c>
      <c r="H716" s="51" t="str">
        <f aca="false">IF(OR(NOT(ISNUMBER($G716)),$G716&lt;2,NOT(ISNUMBER($C715)),$C715=0),"",$C716/$C715-1)</f>
        <v/>
      </c>
      <c r="I716" s="52" t="str">
        <f aca="false">IF(AND(ISNUMBER($G716),$G716&gt;=MA_SHORT),AVERAGE(INDEX($C$316:$C716,402-MA_SHORT):$C716),"")</f>
        <v/>
      </c>
      <c r="J716" s="52" t="str">
        <f aca="false">IF(AND(ISNUMBER($G716),$G716&gt;=MA_MED),AVERAGE(INDEX($C$316:$C716,402-MA_MED):$C716),"")</f>
        <v/>
      </c>
      <c r="K716" s="52" t="str">
        <f aca="false">IF(AND(ISNUMBER($G716),$G716&gt;=MA_LONG2),AVERAGE(INDEX($C$316:$C716,402-MA_LONG2):$C716),"")</f>
        <v/>
      </c>
      <c r="L716" s="53" t="str">
        <f aca="false">IF(AND(ISNUMBER($G716),$G716&gt;=21),STDEV(INDEX($H$656:$H716,62-20):$H716)*SQRT(245),"")</f>
        <v/>
      </c>
      <c r="M716" s="52" t="str">
        <f aca="false">IF(AND(ISNUMBER($G716),$G716&gt;=60),MAX(INDEX($D$516:$D716,202-60):$D716),"")</f>
        <v/>
      </c>
      <c r="N716" s="52" t="str">
        <f aca="false">IF(AND(ISNUMBER($G716),$G716&gt;=60),MIN(INDEX($E$516:$E716,202-60):$E716),"")</f>
        <v/>
      </c>
      <c r="O716" s="53" t="str">
        <f aca="false">IF(OR(NOT(ISNUMBER($C716)),NOT(ISNUMBER($M716)),$M716=0),"",$C716/$M716-1)</f>
        <v/>
      </c>
      <c r="P716" s="54"/>
      <c r="Q716" s="53" t="str">
        <f aca="false">IF(NOT(ISNUMBER($P716)),"",IFERROR(PERCENTRANK($P$5:$P$1204,$P716),""))</f>
        <v/>
      </c>
    </row>
    <row r="717" customFormat="false" ht="15" hidden="false" customHeight="false" outlineLevel="0" collapsed="false">
      <c r="A717" s="55"/>
      <c r="B717" s="56"/>
      <c r="C717" s="57"/>
      <c r="D717" s="56"/>
      <c r="E717" s="56"/>
      <c r="F717" s="56"/>
      <c r="G717" s="50" t="str">
        <f aca="false">IF($A717="","",IF(ISNUMBER($G716),$G716+1,1))</f>
        <v/>
      </c>
      <c r="H717" s="51" t="str">
        <f aca="false">IF(OR(NOT(ISNUMBER($G717)),$G717&lt;2,NOT(ISNUMBER($C716)),$C716=0),"",$C717/$C716-1)</f>
        <v/>
      </c>
      <c r="I717" s="52" t="str">
        <f aca="false">IF(AND(ISNUMBER($G717),$G717&gt;=MA_SHORT),AVERAGE(INDEX($C$317:$C717,402-MA_SHORT):$C717),"")</f>
        <v/>
      </c>
      <c r="J717" s="52" t="str">
        <f aca="false">IF(AND(ISNUMBER($G717),$G717&gt;=MA_MED),AVERAGE(INDEX($C$317:$C717,402-MA_MED):$C717),"")</f>
        <v/>
      </c>
      <c r="K717" s="52" t="str">
        <f aca="false">IF(AND(ISNUMBER($G717),$G717&gt;=MA_LONG2),AVERAGE(INDEX($C$317:$C717,402-MA_LONG2):$C717),"")</f>
        <v/>
      </c>
      <c r="L717" s="53" t="str">
        <f aca="false">IF(AND(ISNUMBER($G717),$G717&gt;=21),STDEV(INDEX($H$657:$H717,62-20):$H717)*SQRT(245),"")</f>
        <v/>
      </c>
      <c r="M717" s="52" t="str">
        <f aca="false">IF(AND(ISNUMBER($G717),$G717&gt;=60),MAX(INDEX($D$517:$D717,202-60):$D717),"")</f>
        <v/>
      </c>
      <c r="N717" s="52" t="str">
        <f aca="false">IF(AND(ISNUMBER($G717),$G717&gt;=60),MIN(INDEX($E$517:$E717,202-60):$E717),"")</f>
        <v/>
      </c>
      <c r="O717" s="53" t="str">
        <f aca="false">IF(OR(NOT(ISNUMBER($C717)),NOT(ISNUMBER($M717)),$M717=0),"",$C717/$M717-1)</f>
        <v/>
      </c>
      <c r="P717" s="54"/>
      <c r="Q717" s="53" t="str">
        <f aca="false">IF(NOT(ISNUMBER($P717)),"",IFERROR(PERCENTRANK($P$5:$P$1204,$P717),""))</f>
        <v/>
      </c>
    </row>
    <row r="718" customFormat="false" ht="15" hidden="false" customHeight="false" outlineLevel="0" collapsed="false">
      <c r="A718" s="55"/>
      <c r="B718" s="56"/>
      <c r="C718" s="57"/>
      <c r="D718" s="56"/>
      <c r="E718" s="56"/>
      <c r="F718" s="56"/>
      <c r="G718" s="50" t="str">
        <f aca="false">IF($A718="","",IF(ISNUMBER($G717),$G717+1,1))</f>
        <v/>
      </c>
      <c r="H718" s="51" t="str">
        <f aca="false">IF(OR(NOT(ISNUMBER($G718)),$G718&lt;2,NOT(ISNUMBER($C717)),$C717=0),"",$C718/$C717-1)</f>
        <v/>
      </c>
      <c r="I718" s="52" t="str">
        <f aca="false">IF(AND(ISNUMBER($G718),$G718&gt;=MA_SHORT),AVERAGE(INDEX($C$318:$C718,402-MA_SHORT):$C718),"")</f>
        <v/>
      </c>
      <c r="J718" s="52" t="str">
        <f aca="false">IF(AND(ISNUMBER($G718),$G718&gt;=MA_MED),AVERAGE(INDEX($C$318:$C718,402-MA_MED):$C718),"")</f>
        <v/>
      </c>
      <c r="K718" s="52" t="str">
        <f aca="false">IF(AND(ISNUMBER($G718),$G718&gt;=MA_LONG2),AVERAGE(INDEX($C$318:$C718,402-MA_LONG2):$C718),"")</f>
        <v/>
      </c>
      <c r="L718" s="53" t="str">
        <f aca="false">IF(AND(ISNUMBER($G718),$G718&gt;=21),STDEV(INDEX($H$658:$H718,62-20):$H718)*SQRT(245),"")</f>
        <v/>
      </c>
      <c r="M718" s="52" t="str">
        <f aca="false">IF(AND(ISNUMBER($G718),$G718&gt;=60),MAX(INDEX($D$518:$D718,202-60):$D718),"")</f>
        <v/>
      </c>
      <c r="N718" s="52" t="str">
        <f aca="false">IF(AND(ISNUMBER($G718),$G718&gt;=60),MIN(INDEX($E$518:$E718,202-60):$E718),"")</f>
        <v/>
      </c>
      <c r="O718" s="53" t="str">
        <f aca="false">IF(OR(NOT(ISNUMBER($C718)),NOT(ISNUMBER($M718)),$M718=0),"",$C718/$M718-1)</f>
        <v/>
      </c>
      <c r="P718" s="54"/>
      <c r="Q718" s="53" t="str">
        <f aca="false">IF(NOT(ISNUMBER($P718)),"",IFERROR(PERCENTRANK($P$5:$P$1204,$P718),""))</f>
        <v/>
      </c>
    </row>
    <row r="719" customFormat="false" ht="15" hidden="false" customHeight="false" outlineLevel="0" collapsed="false">
      <c r="A719" s="55"/>
      <c r="B719" s="56"/>
      <c r="C719" s="57"/>
      <c r="D719" s="56"/>
      <c r="E719" s="56"/>
      <c r="F719" s="56"/>
      <c r="G719" s="50" t="str">
        <f aca="false">IF($A719="","",IF(ISNUMBER($G718),$G718+1,1))</f>
        <v/>
      </c>
      <c r="H719" s="51" t="str">
        <f aca="false">IF(OR(NOT(ISNUMBER($G719)),$G719&lt;2,NOT(ISNUMBER($C718)),$C718=0),"",$C719/$C718-1)</f>
        <v/>
      </c>
      <c r="I719" s="52" t="str">
        <f aca="false">IF(AND(ISNUMBER($G719),$G719&gt;=MA_SHORT),AVERAGE(INDEX($C$319:$C719,402-MA_SHORT):$C719),"")</f>
        <v/>
      </c>
      <c r="J719" s="52" t="str">
        <f aca="false">IF(AND(ISNUMBER($G719),$G719&gt;=MA_MED),AVERAGE(INDEX($C$319:$C719,402-MA_MED):$C719),"")</f>
        <v/>
      </c>
      <c r="K719" s="52" t="str">
        <f aca="false">IF(AND(ISNUMBER($G719),$G719&gt;=MA_LONG2),AVERAGE(INDEX($C$319:$C719,402-MA_LONG2):$C719),"")</f>
        <v/>
      </c>
      <c r="L719" s="53" t="str">
        <f aca="false">IF(AND(ISNUMBER($G719),$G719&gt;=21),STDEV(INDEX($H$659:$H719,62-20):$H719)*SQRT(245),"")</f>
        <v/>
      </c>
      <c r="M719" s="52" t="str">
        <f aca="false">IF(AND(ISNUMBER($G719),$G719&gt;=60),MAX(INDEX($D$519:$D719,202-60):$D719),"")</f>
        <v/>
      </c>
      <c r="N719" s="52" t="str">
        <f aca="false">IF(AND(ISNUMBER($G719),$G719&gt;=60),MIN(INDEX($E$519:$E719,202-60):$E719),"")</f>
        <v/>
      </c>
      <c r="O719" s="53" t="str">
        <f aca="false">IF(OR(NOT(ISNUMBER($C719)),NOT(ISNUMBER($M719)),$M719=0),"",$C719/$M719-1)</f>
        <v/>
      </c>
      <c r="P719" s="54"/>
      <c r="Q719" s="53" t="str">
        <f aca="false">IF(NOT(ISNUMBER($P719)),"",IFERROR(PERCENTRANK($P$5:$P$1204,$P719),""))</f>
        <v/>
      </c>
    </row>
    <row r="720" customFormat="false" ht="15" hidden="false" customHeight="false" outlineLevel="0" collapsed="false">
      <c r="A720" s="55"/>
      <c r="B720" s="56"/>
      <c r="C720" s="57"/>
      <c r="D720" s="56"/>
      <c r="E720" s="56"/>
      <c r="F720" s="56"/>
      <c r="G720" s="50" t="str">
        <f aca="false">IF($A720="","",IF(ISNUMBER($G719),$G719+1,1))</f>
        <v/>
      </c>
      <c r="H720" s="51" t="str">
        <f aca="false">IF(OR(NOT(ISNUMBER($G720)),$G720&lt;2,NOT(ISNUMBER($C719)),$C719=0),"",$C720/$C719-1)</f>
        <v/>
      </c>
      <c r="I720" s="52" t="str">
        <f aca="false">IF(AND(ISNUMBER($G720),$G720&gt;=MA_SHORT),AVERAGE(INDEX($C$320:$C720,402-MA_SHORT):$C720),"")</f>
        <v/>
      </c>
      <c r="J720" s="52" t="str">
        <f aca="false">IF(AND(ISNUMBER($G720),$G720&gt;=MA_MED),AVERAGE(INDEX($C$320:$C720,402-MA_MED):$C720),"")</f>
        <v/>
      </c>
      <c r="K720" s="52" t="str">
        <f aca="false">IF(AND(ISNUMBER($G720),$G720&gt;=MA_LONG2),AVERAGE(INDEX($C$320:$C720,402-MA_LONG2):$C720),"")</f>
        <v/>
      </c>
      <c r="L720" s="53" t="str">
        <f aca="false">IF(AND(ISNUMBER($G720),$G720&gt;=21),STDEV(INDEX($H$660:$H720,62-20):$H720)*SQRT(245),"")</f>
        <v/>
      </c>
      <c r="M720" s="52" t="str">
        <f aca="false">IF(AND(ISNUMBER($G720),$G720&gt;=60),MAX(INDEX($D$520:$D720,202-60):$D720),"")</f>
        <v/>
      </c>
      <c r="N720" s="52" t="str">
        <f aca="false">IF(AND(ISNUMBER($G720),$G720&gt;=60),MIN(INDEX($E$520:$E720,202-60):$E720),"")</f>
        <v/>
      </c>
      <c r="O720" s="53" t="str">
        <f aca="false">IF(OR(NOT(ISNUMBER($C720)),NOT(ISNUMBER($M720)),$M720=0),"",$C720/$M720-1)</f>
        <v/>
      </c>
      <c r="P720" s="54"/>
      <c r="Q720" s="53" t="str">
        <f aca="false">IF(NOT(ISNUMBER($P720)),"",IFERROR(PERCENTRANK($P$5:$P$1204,$P720),""))</f>
        <v/>
      </c>
    </row>
    <row r="721" customFormat="false" ht="15" hidden="false" customHeight="false" outlineLevel="0" collapsed="false">
      <c r="A721" s="55"/>
      <c r="B721" s="56"/>
      <c r="C721" s="57"/>
      <c r="D721" s="56"/>
      <c r="E721" s="56"/>
      <c r="F721" s="56"/>
      <c r="G721" s="50" t="str">
        <f aca="false">IF($A721="","",IF(ISNUMBER($G720),$G720+1,1))</f>
        <v/>
      </c>
      <c r="H721" s="51" t="str">
        <f aca="false">IF(OR(NOT(ISNUMBER($G721)),$G721&lt;2,NOT(ISNUMBER($C720)),$C720=0),"",$C721/$C720-1)</f>
        <v/>
      </c>
      <c r="I721" s="52" t="str">
        <f aca="false">IF(AND(ISNUMBER($G721),$G721&gt;=MA_SHORT),AVERAGE(INDEX($C$321:$C721,402-MA_SHORT):$C721),"")</f>
        <v/>
      </c>
      <c r="J721" s="52" t="str">
        <f aca="false">IF(AND(ISNUMBER($G721),$G721&gt;=MA_MED),AVERAGE(INDEX($C$321:$C721,402-MA_MED):$C721),"")</f>
        <v/>
      </c>
      <c r="K721" s="52" t="str">
        <f aca="false">IF(AND(ISNUMBER($G721),$G721&gt;=MA_LONG2),AVERAGE(INDEX($C$321:$C721,402-MA_LONG2):$C721),"")</f>
        <v/>
      </c>
      <c r="L721" s="53" t="str">
        <f aca="false">IF(AND(ISNUMBER($G721),$G721&gt;=21),STDEV(INDEX($H$661:$H721,62-20):$H721)*SQRT(245),"")</f>
        <v/>
      </c>
      <c r="M721" s="52" t="str">
        <f aca="false">IF(AND(ISNUMBER($G721),$G721&gt;=60),MAX(INDEX($D$521:$D721,202-60):$D721),"")</f>
        <v/>
      </c>
      <c r="N721" s="52" t="str">
        <f aca="false">IF(AND(ISNUMBER($G721),$G721&gt;=60),MIN(INDEX($E$521:$E721,202-60):$E721),"")</f>
        <v/>
      </c>
      <c r="O721" s="53" t="str">
        <f aca="false">IF(OR(NOT(ISNUMBER($C721)),NOT(ISNUMBER($M721)),$M721=0),"",$C721/$M721-1)</f>
        <v/>
      </c>
      <c r="P721" s="54"/>
      <c r="Q721" s="53" t="str">
        <f aca="false">IF(NOT(ISNUMBER($P721)),"",IFERROR(PERCENTRANK($P$5:$P$1204,$P721),""))</f>
        <v/>
      </c>
    </row>
    <row r="722" customFormat="false" ht="15" hidden="false" customHeight="false" outlineLevel="0" collapsed="false">
      <c r="A722" s="55"/>
      <c r="B722" s="56"/>
      <c r="C722" s="57"/>
      <c r="D722" s="56"/>
      <c r="E722" s="56"/>
      <c r="F722" s="56"/>
      <c r="G722" s="50" t="str">
        <f aca="false">IF($A722="","",IF(ISNUMBER($G721),$G721+1,1))</f>
        <v/>
      </c>
      <c r="H722" s="51" t="str">
        <f aca="false">IF(OR(NOT(ISNUMBER($G722)),$G722&lt;2,NOT(ISNUMBER($C721)),$C721=0),"",$C722/$C721-1)</f>
        <v/>
      </c>
      <c r="I722" s="52" t="str">
        <f aca="false">IF(AND(ISNUMBER($G722),$G722&gt;=MA_SHORT),AVERAGE(INDEX($C$322:$C722,402-MA_SHORT):$C722),"")</f>
        <v/>
      </c>
      <c r="J722" s="52" t="str">
        <f aca="false">IF(AND(ISNUMBER($G722),$G722&gt;=MA_MED),AVERAGE(INDEX($C$322:$C722,402-MA_MED):$C722),"")</f>
        <v/>
      </c>
      <c r="K722" s="52" t="str">
        <f aca="false">IF(AND(ISNUMBER($G722),$G722&gt;=MA_LONG2),AVERAGE(INDEX($C$322:$C722,402-MA_LONG2):$C722),"")</f>
        <v/>
      </c>
      <c r="L722" s="53" t="str">
        <f aca="false">IF(AND(ISNUMBER($G722),$G722&gt;=21),STDEV(INDEX($H$662:$H722,62-20):$H722)*SQRT(245),"")</f>
        <v/>
      </c>
      <c r="M722" s="52" t="str">
        <f aca="false">IF(AND(ISNUMBER($G722),$G722&gt;=60),MAX(INDEX($D$522:$D722,202-60):$D722),"")</f>
        <v/>
      </c>
      <c r="N722" s="52" t="str">
        <f aca="false">IF(AND(ISNUMBER($G722),$G722&gt;=60),MIN(INDEX($E$522:$E722,202-60):$E722),"")</f>
        <v/>
      </c>
      <c r="O722" s="53" t="str">
        <f aca="false">IF(OR(NOT(ISNUMBER($C722)),NOT(ISNUMBER($M722)),$M722=0),"",$C722/$M722-1)</f>
        <v/>
      </c>
      <c r="P722" s="54"/>
      <c r="Q722" s="53" t="str">
        <f aca="false">IF(NOT(ISNUMBER($P722)),"",IFERROR(PERCENTRANK($P$5:$P$1204,$P722),""))</f>
        <v/>
      </c>
    </row>
    <row r="723" customFormat="false" ht="15" hidden="false" customHeight="false" outlineLevel="0" collapsed="false">
      <c r="A723" s="55"/>
      <c r="B723" s="56"/>
      <c r="C723" s="57"/>
      <c r="D723" s="56"/>
      <c r="E723" s="56"/>
      <c r="F723" s="56"/>
      <c r="G723" s="50" t="str">
        <f aca="false">IF($A723="","",IF(ISNUMBER($G722),$G722+1,1))</f>
        <v/>
      </c>
      <c r="H723" s="51" t="str">
        <f aca="false">IF(OR(NOT(ISNUMBER($G723)),$G723&lt;2,NOT(ISNUMBER($C722)),$C722=0),"",$C723/$C722-1)</f>
        <v/>
      </c>
      <c r="I723" s="52" t="str">
        <f aca="false">IF(AND(ISNUMBER($G723),$G723&gt;=MA_SHORT),AVERAGE(INDEX($C$323:$C723,402-MA_SHORT):$C723),"")</f>
        <v/>
      </c>
      <c r="J723" s="52" t="str">
        <f aca="false">IF(AND(ISNUMBER($G723),$G723&gt;=MA_MED),AVERAGE(INDEX($C$323:$C723,402-MA_MED):$C723),"")</f>
        <v/>
      </c>
      <c r="K723" s="52" t="str">
        <f aca="false">IF(AND(ISNUMBER($G723),$G723&gt;=MA_LONG2),AVERAGE(INDEX($C$323:$C723,402-MA_LONG2):$C723),"")</f>
        <v/>
      </c>
      <c r="L723" s="53" t="str">
        <f aca="false">IF(AND(ISNUMBER($G723),$G723&gt;=21),STDEV(INDEX($H$663:$H723,62-20):$H723)*SQRT(245),"")</f>
        <v/>
      </c>
      <c r="M723" s="52" t="str">
        <f aca="false">IF(AND(ISNUMBER($G723),$G723&gt;=60),MAX(INDEX($D$523:$D723,202-60):$D723),"")</f>
        <v/>
      </c>
      <c r="N723" s="52" t="str">
        <f aca="false">IF(AND(ISNUMBER($G723),$G723&gt;=60),MIN(INDEX($E$523:$E723,202-60):$E723),"")</f>
        <v/>
      </c>
      <c r="O723" s="53" t="str">
        <f aca="false">IF(OR(NOT(ISNUMBER($C723)),NOT(ISNUMBER($M723)),$M723=0),"",$C723/$M723-1)</f>
        <v/>
      </c>
      <c r="P723" s="54"/>
      <c r="Q723" s="53" t="str">
        <f aca="false">IF(NOT(ISNUMBER($P723)),"",IFERROR(PERCENTRANK($P$5:$P$1204,$P723),""))</f>
        <v/>
      </c>
    </row>
    <row r="724" customFormat="false" ht="15" hidden="false" customHeight="false" outlineLevel="0" collapsed="false">
      <c r="A724" s="55"/>
      <c r="B724" s="56"/>
      <c r="C724" s="57"/>
      <c r="D724" s="56"/>
      <c r="E724" s="56"/>
      <c r="F724" s="56"/>
      <c r="G724" s="50" t="str">
        <f aca="false">IF($A724="","",IF(ISNUMBER($G723),$G723+1,1))</f>
        <v/>
      </c>
      <c r="H724" s="51" t="str">
        <f aca="false">IF(OR(NOT(ISNUMBER($G724)),$G724&lt;2,NOT(ISNUMBER($C723)),$C723=0),"",$C724/$C723-1)</f>
        <v/>
      </c>
      <c r="I724" s="52" t="str">
        <f aca="false">IF(AND(ISNUMBER($G724),$G724&gt;=MA_SHORT),AVERAGE(INDEX($C$324:$C724,402-MA_SHORT):$C724),"")</f>
        <v/>
      </c>
      <c r="J724" s="52" t="str">
        <f aca="false">IF(AND(ISNUMBER($G724),$G724&gt;=MA_MED),AVERAGE(INDEX($C$324:$C724,402-MA_MED):$C724),"")</f>
        <v/>
      </c>
      <c r="K724" s="52" t="str">
        <f aca="false">IF(AND(ISNUMBER($G724),$G724&gt;=MA_LONG2),AVERAGE(INDEX($C$324:$C724,402-MA_LONG2):$C724),"")</f>
        <v/>
      </c>
      <c r="L724" s="53" t="str">
        <f aca="false">IF(AND(ISNUMBER($G724),$G724&gt;=21),STDEV(INDEX($H$664:$H724,62-20):$H724)*SQRT(245),"")</f>
        <v/>
      </c>
      <c r="M724" s="52" t="str">
        <f aca="false">IF(AND(ISNUMBER($G724),$G724&gt;=60),MAX(INDEX($D$524:$D724,202-60):$D724),"")</f>
        <v/>
      </c>
      <c r="N724" s="52" t="str">
        <f aca="false">IF(AND(ISNUMBER($G724),$G724&gt;=60),MIN(INDEX($E$524:$E724,202-60):$E724),"")</f>
        <v/>
      </c>
      <c r="O724" s="53" t="str">
        <f aca="false">IF(OR(NOT(ISNUMBER($C724)),NOT(ISNUMBER($M724)),$M724=0),"",$C724/$M724-1)</f>
        <v/>
      </c>
      <c r="P724" s="54"/>
      <c r="Q724" s="53" t="str">
        <f aca="false">IF(NOT(ISNUMBER($P724)),"",IFERROR(PERCENTRANK($P$5:$P$1204,$P724),""))</f>
        <v/>
      </c>
    </row>
    <row r="725" customFormat="false" ht="15" hidden="false" customHeight="false" outlineLevel="0" collapsed="false">
      <c r="A725" s="55"/>
      <c r="B725" s="56"/>
      <c r="C725" s="57"/>
      <c r="D725" s="56"/>
      <c r="E725" s="56"/>
      <c r="F725" s="56"/>
      <c r="G725" s="50" t="str">
        <f aca="false">IF($A725="","",IF(ISNUMBER($G724),$G724+1,1))</f>
        <v/>
      </c>
      <c r="H725" s="51" t="str">
        <f aca="false">IF(OR(NOT(ISNUMBER($G725)),$G725&lt;2,NOT(ISNUMBER($C724)),$C724=0),"",$C725/$C724-1)</f>
        <v/>
      </c>
      <c r="I725" s="52" t="str">
        <f aca="false">IF(AND(ISNUMBER($G725),$G725&gt;=MA_SHORT),AVERAGE(INDEX($C$325:$C725,402-MA_SHORT):$C725),"")</f>
        <v/>
      </c>
      <c r="J725" s="52" t="str">
        <f aca="false">IF(AND(ISNUMBER($G725),$G725&gt;=MA_MED),AVERAGE(INDEX($C$325:$C725,402-MA_MED):$C725),"")</f>
        <v/>
      </c>
      <c r="K725" s="52" t="str">
        <f aca="false">IF(AND(ISNUMBER($G725),$G725&gt;=MA_LONG2),AVERAGE(INDEX($C$325:$C725,402-MA_LONG2):$C725),"")</f>
        <v/>
      </c>
      <c r="L725" s="53" t="str">
        <f aca="false">IF(AND(ISNUMBER($G725),$G725&gt;=21),STDEV(INDEX($H$665:$H725,62-20):$H725)*SQRT(245),"")</f>
        <v/>
      </c>
      <c r="M725" s="52" t="str">
        <f aca="false">IF(AND(ISNUMBER($G725),$G725&gt;=60),MAX(INDEX($D$525:$D725,202-60):$D725),"")</f>
        <v/>
      </c>
      <c r="N725" s="52" t="str">
        <f aca="false">IF(AND(ISNUMBER($G725),$G725&gt;=60),MIN(INDEX($E$525:$E725,202-60):$E725),"")</f>
        <v/>
      </c>
      <c r="O725" s="53" t="str">
        <f aca="false">IF(OR(NOT(ISNUMBER($C725)),NOT(ISNUMBER($M725)),$M725=0),"",$C725/$M725-1)</f>
        <v/>
      </c>
      <c r="P725" s="54"/>
      <c r="Q725" s="53" t="str">
        <f aca="false">IF(NOT(ISNUMBER($P725)),"",IFERROR(PERCENTRANK($P$5:$P$1204,$P725),""))</f>
        <v/>
      </c>
    </row>
    <row r="726" customFormat="false" ht="15" hidden="false" customHeight="false" outlineLevel="0" collapsed="false">
      <c r="A726" s="55"/>
      <c r="B726" s="56"/>
      <c r="C726" s="57"/>
      <c r="D726" s="56"/>
      <c r="E726" s="56"/>
      <c r="F726" s="56"/>
      <c r="G726" s="50" t="str">
        <f aca="false">IF($A726="","",IF(ISNUMBER($G725),$G725+1,1))</f>
        <v/>
      </c>
      <c r="H726" s="51" t="str">
        <f aca="false">IF(OR(NOT(ISNUMBER($G726)),$G726&lt;2,NOT(ISNUMBER($C725)),$C725=0),"",$C726/$C725-1)</f>
        <v/>
      </c>
      <c r="I726" s="52" t="str">
        <f aca="false">IF(AND(ISNUMBER($G726),$G726&gt;=MA_SHORT),AVERAGE(INDEX($C$326:$C726,402-MA_SHORT):$C726),"")</f>
        <v/>
      </c>
      <c r="J726" s="52" t="str">
        <f aca="false">IF(AND(ISNUMBER($G726),$G726&gt;=MA_MED),AVERAGE(INDEX($C$326:$C726,402-MA_MED):$C726),"")</f>
        <v/>
      </c>
      <c r="K726" s="52" t="str">
        <f aca="false">IF(AND(ISNUMBER($G726),$G726&gt;=MA_LONG2),AVERAGE(INDEX($C$326:$C726,402-MA_LONG2):$C726),"")</f>
        <v/>
      </c>
      <c r="L726" s="53" t="str">
        <f aca="false">IF(AND(ISNUMBER($G726),$G726&gt;=21),STDEV(INDEX($H$666:$H726,62-20):$H726)*SQRT(245),"")</f>
        <v/>
      </c>
      <c r="M726" s="52" t="str">
        <f aca="false">IF(AND(ISNUMBER($G726),$G726&gt;=60),MAX(INDEX($D$526:$D726,202-60):$D726),"")</f>
        <v/>
      </c>
      <c r="N726" s="52" t="str">
        <f aca="false">IF(AND(ISNUMBER($G726),$G726&gt;=60),MIN(INDEX($E$526:$E726,202-60):$E726),"")</f>
        <v/>
      </c>
      <c r="O726" s="53" t="str">
        <f aca="false">IF(OR(NOT(ISNUMBER($C726)),NOT(ISNUMBER($M726)),$M726=0),"",$C726/$M726-1)</f>
        <v/>
      </c>
      <c r="P726" s="54"/>
      <c r="Q726" s="53" t="str">
        <f aca="false">IF(NOT(ISNUMBER($P726)),"",IFERROR(PERCENTRANK($P$5:$P$1204,$P726),""))</f>
        <v/>
      </c>
    </row>
    <row r="727" customFormat="false" ht="15" hidden="false" customHeight="false" outlineLevel="0" collapsed="false">
      <c r="A727" s="55"/>
      <c r="B727" s="56"/>
      <c r="C727" s="57"/>
      <c r="D727" s="56"/>
      <c r="E727" s="56"/>
      <c r="F727" s="56"/>
      <c r="G727" s="50" t="str">
        <f aca="false">IF($A727="","",IF(ISNUMBER($G726),$G726+1,1))</f>
        <v/>
      </c>
      <c r="H727" s="51" t="str">
        <f aca="false">IF(OR(NOT(ISNUMBER($G727)),$G727&lt;2,NOT(ISNUMBER($C726)),$C726=0),"",$C727/$C726-1)</f>
        <v/>
      </c>
      <c r="I727" s="52" t="str">
        <f aca="false">IF(AND(ISNUMBER($G727),$G727&gt;=MA_SHORT),AVERAGE(INDEX($C$327:$C727,402-MA_SHORT):$C727),"")</f>
        <v/>
      </c>
      <c r="J727" s="52" t="str">
        <f aca="false">IF(AND(ISNUMBER($G727),$G727&gt;=MA_MED),AVERAGE(INDEX($C$327:$C727,402-MA_MED):$C727),"")</f>
        <v/>
      </c>
      <c r="K727" s="52" t="str">
        <f aca="false">IF(AND(ISNUMBER($G727),$G727&gt;=MA_LONG2),AVERAGE(INDEX($C$327:$C727,402-MA_LONG2):$C727),"")</f>
        <v/>
      </c>
      <c r="L727" s="53" t="str">
        <f aca="false">IF(AND(ISNUMBER($G727),$G727&gt;=21),STDEV(INDEX($H$667:$H727,62-20):$H727)*SQRT(245),"")</f>
        <v/>
      </c>
      <c r="M727" s="52" t="str">
        <f aca="false">IF(AND(ISNUMBER($G727),$G727&gt;=60),MAX(INDEX($D$527:$D727,202-60):$D727),"")</f>
        <v/>
      </c>
      <c r="N727" s="52" t="str">
        <f aca="false">IF(AND(ISNUMBER($G727),$G727&gt;=60),MIN(INDEX($E$527:$E727,202-60):$E727),"")</f>
        <v/>
      </c>
      <c r="O727" s="53" t="str">
        <f aca="false">IF(OR(NOT(ISNUMBER($C727)),NOT(ISNUMBER($M727)),$M727=0),"",$C727/$M727-1)</f>
        <v/>
      </c>
      <c r="P727" s="54"/>
      <c r="Q727" s="53" t="str">
        <f aca="false">IF(NOT(ISNUMBER($P727)),"",IFERROR(PERCENTRANK($P$5:$P$1204,$P727),""))</f>
        <v/>
      </c>
    </row>
    <row r="728" customFormat="false" ht="15" hidden="false" customHeight="false" outlineLevel="0" collapsed="false">
      <c r="A728" s="55"/>
      <c r="B728" s="56"/>
      <c r="C728" s="57"/>
      <c r="D728" s="56"/>
      <c r="E728" s="56"/>
      <c r="F728" s="56"/>
      <c r="G728" s="50" t="str">
        <f aca="false">IF($A728="","",IF(ISNUMBER($G727),$G727+1,1))</f>
        <v/>
      </c>
      <c r="H728" s="51" t="str">
        <f aca="false">IF(OR(NOT(ISNUMBER($G728)),$G728&lt;2,NOT(ISNUMBER($C727)),$C727=0),"",$C728/$C727-1)</f>
        <v/>
      </c>
      <c r="I728" s="52" t="str">
        <f aca="false">IF(AND(ISNUMBER($G728),$G728&gt;=MA_SHORT),AVERAGE(INDEX($C$328:$C728,402-MA_SHORT):$C728),"")</f>
        <v/>
      </c>
      <c r="J728" s="52" t="str">
        <f aca="false">IF(AND(ISNUMBER($G728),$G728&gt;=MA_MED),AVERAGE(INDEX($C$328:$C728,402-MA_MED):$C728),"")</f>
        <v/>
      </c>
      <c r="K728" s="52" t="str">
        <f aca="false">IF(AND(ISNUMBER($G728),$G728&gt;=MA_LONG2),AVERAGE(INDEX($C$328:$C728,402-MA_LONG2):$C728),"")</f>
        <v/>
      </c>
      <c r="L728" s="53" t="str">
        <f aca="false">IF(AND(ISNUMBER($G728),$G728&gt;=21),STDEV(INDEX($H$668:$H728,62-20):$H728)*SQRT(245),"")</f>
        <v/>
      </c>
      <c r="M728" s="52" t="str">
        <f aca="false">IF(AND(ISNUMBER($G728),$G728&gt;=60),MAX(INDEX($D$528:$D728,202-60):$D728),"")</f>
        <v/>
      </c>
      <c r="N728" s="52" t="str">
        <f aca="false">IF(AND(ISNUMBER($G728),$G728&gt;=60),MIN(INDEX($E$528:$E728,202-60):$E728),"")</f>
        <v/>
      </c>
      <c r="O728" s="53" t="str">
        <f aca="false">IF(OR(NOT(ISNUMBER($C728)),NOT(ISNUMBER($M728)),$M728=0),"",$C728/$M728-1)</f>
        <v/>
      </c>
      <c r="P728" s="54"/>
      <c r="Q728" s="53" t="str">
        <f aca="false">IF(NOT(ISNUMBER($P728)),"",IFERROR(PERCENTRANK($P$5:$P$1204,$P728),""))</f>
        <v/>
      </c>
    </row>
    <row r="729" customFormat="false" ht="15" hidden="false" customHeight="false" outlineLevel="0" collapsed="false">
      <c r="A729" s="55"/>
      <c r="B729" s="56"/>
      <c r="C729" s="57"/>
      <c r="D729" s="56"/>
      <c r="E729" s="56"/>
      <c r="F729" s="56"/>
      <c r="G729" s="50" t="str">
        <f aca="false">IF($A729="","",IF(ISNUMBER($G728),$G728+1,1))</f>
        <v/>
      </c>
      <c r="H729" s="51" t="str">
        <f aca="false">IF(OR(NOT(ISNUMBER($G729)),$G729&lt;2,NOT(ISNUMBER($C728)),$C728=0),"",$C729/$C728-1)</f>
        <v/>
      </c>
      <c r="I729" s="52" t="str">
        <f aca="false">IF(AND(ISNUMBER($G729),$G729&gt;=MA_SHORT),AVERAGE(INDEX($C$329:$C729,402-MA_SHORT):$C729),"")</f>
        <v/>
      </c>
      <c r="J729" s="52" t="str">
        <f aca="false">IF(AND(ISNUMBER($G729),$G729&gt;=MA_MED),AVERAGE(INDEX($C$329:$C729,402-MA_MED):$C729),"")</f>
        <v/>
      </c>
      <c r="K729" s="52" t="str">
        <f aca="false">IF(AND(ISNUMBER($G729),$G729&gt;=MA_LONG2),AVERAGE(INDEX($C$329:$C729,402-MA_LONG2):$C729),"")</f>
        <v/>
      </c>
      <c r="L729" s="53" t="str">
        <f aca="false">IF(AND(ISNUMBER($G729),$G729&gt;=21),STDEV(INDEX($H$669:$H729,62-20):$H729)*SQRT(245),"")</f>
        <v/>
      </c>
      <c r="M729" s="52" t="str">
        <f aca="false">IF(AND(ISNUMBER($G729),$G729&gt;=60),MAX(INDEX($D$529:$D729,202-60):$D729),"")</f>
        <v/>
      </c>
      <c r="N729" s="52" t="str">
        <f aca="false">IF(AND(ISNUMBER($G729),$G729&gt;=60),MIN(INDEX($E$529:$E729,202-60):$E729),"")</f>
        <v/>
      </c>
      <c r="O729" s="53" t="str">
        <f aca="false">IF(OR(NOT(ISNUMBER($C729)),NOT(ISNUMBER($M729)),$M729=0),"",$C729/$M729-1)</f>
        <v/>
      </c>
      <c r="P729" s="54"/>
      <c r="Q729" s="53" t="str">
        <f aca="false">IF(NOT(ISNUMBER($P729)),"",IFERROR(PERCENTRANK($P$5:$P$1204,$P729),""))</f>
        <v/>
      </c>
    </row>
    <row r="730" customFormat="false" ht="15" hidden="false" customHeight="false" outlineLevel="0" collapsed="false">
      <c r="A730" s="55"/>
      <c r="B730" s="56"/>
      <c r="C730" s="57"/>
      <c r="D730" s="56"/>
      <c r="E730" s="56"/>
      <c r="F730" s="56"/>
      <c r="G730" s="50" t="str">
        <f aca="false">IF($A730="","",IF(ISNUMBER($G729),$G729+1,1))</f>
        <v/>
      </c>
      <c r="H730" s="51" t="str">
        <f aca="false">IF(OR(NOT(ISNUMBER($G730)),$G730&lt;2,NOT(ISNUMBER($C729)),$C729=0),"",$C730/$C729-1)</f>
        <v/>
      </c>
      <c r="I730" s="52" t="str">
        <f aca="false">IF(AND(ISNUMBER($G730),$G730&gt;=MA_SHORT),AVERAGE(INDEX($C$330:$C730,402-MA_SHORT):$C730),"")</f>
        <v/>
      </c>
      <c r="J730" s="52" t="str">
        <f aca="false">IF(AND(ISNUMBER($G730),$G730&gt;=MA_MED),AVERAGE(INDEX($C$330:$C730,402-MA_MED):$C730),"")</f>
        <v/>
      </c>
      <c r="K730" s="52" t="str">
        <f aca="false">IF(AND(ISNUMBER($G730),$G730&gt;=MA_LONG2),AVERAGE(INDEX($C$330:$C730,402-MA_LONG2):$C730),"")</f>
        <v/>
      </c>
      <c r="L730" s="53" t="str">
        <f aca="false">IF(AND(ISNUMBER($G730),$G730&gt;=21),STDEV(INDEX($H$670:$H730,62-20):$H730)*SQRT(245),"")</f>
        <v/>
      </c>
      <c r="M730" s="52" t="str">
        <f aca="false">IF(AND(ISNUMBER($G730),$G730&gt;=60),MAX(INDEX($D$530:$D730,202-60):$D730),"")</f>
        <v/>
      </c>
      <c r="N730" s="52" t="str">
        <f aca="false">IF(AND(ISNUMBER($G730),$G730&gt;=60),MIN(INDEX($E$530:$E730,202-60):$E730),"")</f>
        <v/>
      </c>
      <c r="O730" s="53" t="str">
        <f aca="false">IF(OR(NOT(ISNUMBER($C730)),NOT(ISNUMBER($M730)),$M730=0),"",$C730/$M730-1)</f>
        <v/>
      </c>
      <c r="P730" s="54"/>
      <c r="Q730" s="53" t="str">
        <f aca="false">IF(NOT(ISNUMBER($P730)),"",IFERROR(PERCENTRANK($P$5:$P$1204,$P730),""))</f>
        <v/>
      </c>
    </row>
    <row r="731" customFormat="false" ht="15" hidden="false" customHeight="false" outlineLevel="0" collapsed="false">
      <c r="A731" s="55"/>
      <c r="B731" s="56"/>
      <c r="C731" s="57"/>
      <c r="D731" s="56"/>
      <c r="E731" s="56"/>
      <c r="F731" s="56"/>
      <c r="G731" s="50" t="str">
        <f aca="false">IF($A731="","",IF(ISNUMBER($G730),$G730+1,1))</f>
        <v/>
      </c>
      <c r="H731" s="51" t="str">
        <f aca="false">IF(OR(NOT(ISNUMBER($G731)),$G731&lt;2,NOT(ISNUMBER($C730)),$C730=0),"",$C731/$C730-1)</f>
        <v/>
      </c>
      <c r="I731" s="52" t="str">
        <f aca="false">IF(AND(ISNUMBER($G731),$G731&gt;=MA_SHORT),AVERAGE(INDEX($C$331:$C731,402-MA_SHORT):$C731),"")</f>
        <v/>
      </c>
      <c r="J731" s="52" t="str">
        <f aca="false">IF(AND(ISNUMBER($G731),$G731&gt;=MA_MED),AVERAGE(INDEX($C$331:$C731,402-MA_MED):$C731),"")</f>
        <v/>
      </c>
      <c r="K731" s="52" t="str">
        <f aca="false">IF(AND(ISNUMBER($G731),$G731&gt;=MA_LONG2),AVERAGE(INDEX($C$331:$C731,402-MA_LONG2):$C731),"")</f>
        <v/>
      </c>
      <c r="L731" s="53" t="str">
        <f aca="false">IF(AND(ISNUMBER($G731),$G731&gt;=21),STDEV(INDEX($H$671:$H731,62-20):$H731)*SQRT(245),"")</f>
        <v/>
      </c>
      <c r="M731" s="52" t="str">
        <f aca="false">IF(AND(ISNUMBER($G731),$G731&gt;=60),MAX(INDEX($D$531:$D731,202-60):$D731),"")</f>
        <v/>
      </c>
      <c r="N731" s="52" t="str">
        <f aca="false">IF(AND(ISNUMBER($G731),$G731&gt;=60),MIN(INDEX($E$531:$E731,202-60):$E731),"")</f>
        <v/>
      </c>
      <c r="O731" s="53" t="str">
        <f aca="false">IF(OR(NOT(ISNUMBER($C731)),NOT(ISNUMBER($M731)),$M731=0),"",$C731/$M731-1)</f>
        <v/>
      </c>
      <c r="P731" s="54"/>
      <c r="Q731" s="53" t="str">
        <f aca="false">IF(NOT(ISNUMBER($P731)),"",IFERROR(PERCENTRANK($P$5:$P$1204,$P731),""))</f>
        <v/>
      </c>
    </row>
    <row r="732" customFormat="false" ht="15" hidden="false" customHeight="false" outlineLevel="0" collapsed="false">
      <c r="A732" s="55"/>
      <c r="B732" s="56"/>
      <c r="C732" s="57"/>
      <c r="D732" s="56"/>
      <c r="E732" s="56"/>
      <c r="F732" s="56"/>
      <c r="G732" s="50" t="str">
        <f aca="false">IF($A732="","",IF(ISNUMBER($G731),$G731+1,1))</f>
        <v/>
      </c>
      <c r="H732" s="51" t="str">
        <f aca="false">IF(OR(NOT(ISNUMBER($G732)),$G732&lt;2,NOT(ISNUMBER($C731)),$C731=0),"",$C732/$C731-1)</f>
        <v/>
      </c>
      <c r="I732" s="52" t="str">
        <f aca="false">IF(AND(ISNUMBER($G732),$G732&gt;=MA_SHORT),AVERAGE(INDEX($C$332:$C732,402-MA_SHORT):$C732),"")</f>
        <v/>
      </c>
      <c r="J732" s="52" t="str">
        <f aca="false">IF(AND(ISNUMBER($G732),$G732&gt;=MA_MED),AVERAGE(INDEX($C$332:$C732,402-MA_MED):$C732),"")</f>
        <v/>
      </c>
      <c r="K732" s="52" t="str">
        <f aca="false">IF(AND(ISNUMBER($G732),$G732&gt;=MA_LONG2),AVERAGE(INDEX($C$332:$C732,402-MA_LONG2):$C732),"")</f>
        <v/>
      </c>
      <c r="L732" s="53" t="str">
        <f aca="false">IF(AND(ISNUMBER($G732),$G732&gt;=21),STDEV(INDEX($H$672:$H732,62-20):$H732)*SQRT(245),"")</f>
        <v/>
      </c>
      <c r="M732" s="52" t="str">
        <f aca="false">IF(AND(ISNUMBER($G732),$G732&gt;=60),MAX(INDEX($D$532:$D732,202-60):$D732),"")</f>
        <v/>
      </c>
      <c r="N732" s="52" t="str">
        <f aca="false">IF(AND(ISNUMBER($G732),$G732&gt;=60),MIN(INDEX($E$532:$E732,202-60):$E732),"")</f>
        <v/>
      </c>
      <c r="O732" s="53" t="str">
        <f aca="false">IF(OR(NOT(ISNUMBER($C732)),NOT(ISNUMBER($M732)),$M732=0),"",$C732/$M732-1)</f>
        <v/>
      </c>
      <c r="P732" s="54"/>
      <c r="Q732" s="53" t="str">
        <f aca="false">IF(NOT(ISNUMBER($P732)),"",IFERROR(PERCENTRANK($P$5:$P$1204,$P732),""))</f>
        <v/>
      </c>
    </row>
    <row r="733" customFormat="false" ht="15" hidden="false" customHeight="false" outlineLevel="0" collapsed="false">
      <c r="A733" s="55"/>
      <c r="B733" s="56"/>
      <c r="C733" s="57"/>
      <c r="D733" s="56"/>
      <c r="E733" s="56"/>
      <c r="F733" s="56"/>
      <c r="G733" s="50" t="str">
        <f aca="false">IF($A733="","",IF(ISNUMBER($G732),$G732+1,1))</f>
        <v/>
      </c>
      <c r="H733" s="51" t="str">
        <f aca="false">IF(OR(NOT(ISNUMBER($G733)),$G733&lt;2,NOT(ISNUMBER($C732)),$C732=0),"",$C733/$C732-1)</f>
        <v/>
      </c>
      <c r="I733" s="52" t="str">
        <f aca="false">IF(AND(ISNUMBER($G733),$G733&gt;=MA_SHORT),AVERAGE(INDEX($C$333:$C733,402-MA_SHORT):$C733),"")</f>
        <v/>
      </c>
      <c r="J733" s="52" t="str">
        <f aca="false">IF(AND(ISNUMBER($G733),$G733&gt;=MA_MED),AVERAGE(INDEX($C$333:$C733,402-MA_MED):$C733),"")</f>
        <v/>
      </c>
      <c r="K733" s="52" t="str">
        <f aca="false">IF(AND(ISNUMBER($G733),$G733&gt;=MA_LONG2),AVERAGE(INDEX($C$333:$C733,402-MA_LONG2):$C733),"")</f>
        <v/>
      </c>
      <c r="L733" s="53" t="str">
        <f aca="false">IF(AND(ISNUMBER($G733),$G733&gt;=21),STDEV(INDEX($H$673:$H733,62-20):$H733)*SQRT(245),"")</f>
        <v/>
      </c>
      <c r="M733" s="52" t="str">
        <f aca="false">IF(AND(ISNUMBER($G733),$G733&gt;=60),MAX(INDEX($D$533:$D733,202-60):$D733),"")</f>
        <v/>
      </c>
      <c r="N733" s="52" t="str">
        <f aca="false">IF(AND(ISNUMBER($G733),$G733&gt;=60),MIN(INDEX($E$533:$E733,202-60):$E733),"")</f>
        <v/>
      </c>
      <c r="O733" s="53" t="str">
        <f aca="false">IF(OR(NOT(ISNUMBER($C733)),NOT(ISNUMBER($M733)),$M733=0),"",$C733/$M733-1)</f>
        <v/>
      </c>
      <c r="P733" s="54"/>
      <c r="Q733" s="53" t="str">
        <f aca="false">IF(NOT(ISNUMBER($P733)),"",IFERROR(PERCENTRANK($P$5:$P$1204,$P733),""))</f>
        <v/>
      </c>
    </row>
    <row r="734" customFormat="false" ht="15" hidden="false" customHeight="false" outlineLevel="0" collapsed="false">
      <c r="A734" s="55"/>
      <c r="B734" s="56"/>
      <c r="C734" s="57"/>
      <c r="D734" s="56"/>
      <c r="E734" s="56"/>
      <c r="F734" s="56"/>
      <c r="G734" s="50" t="str">
        <f aca="false">IF($A734="","",IF(ISNUMBER($G733),$G733+1,1))</f>
        <v/>
      </c>
      <c r="H734" s="51" t="str">
        <f aca="false">IF(OR(NOT(ISNUMBER($G734)),$G734&lt;2,NOT(ISNUMBER($C733)),$C733=0),"",$C734/$C733-1)</f>
        <v/>
      </c>
      <c r="I734" s="52" t="str">
        <f aca="false">IF(AND(ISNUMBER($G734),$G734&gt;=MA_SHORT),AVERAGE(INDEX($C$334:$C734,402-MA_SHORT):$C734),"")</f>
        <v/>
      </c>
      <c r="J734" s="52" t="str">
        <f aca="false">IF(AND(ISNUMBER($G734),$G734&gt;=MA_MED),AVERAGE(INDEX($C$334:$C734,402-MA_MED):$C734),"")</f>
        <v/>
      </c>
      <c r="K734" s="52" t="str">
        <f aca="false">IF(AND(ISNUMBER($G734),$G734&gt;=MA_LONG2),AVERAGE(INDEX($C$334:$C734,402-MA_LONG2):$C734),"")</f>
        <v/>
      </c>
      <c r="L734" s="53" t="str">
        <f aca="false">IF(AND(ISNUMBER($G734),$G734&gt;=21),STDEV(INDEX($H$674:$H734,62-20):$H734)*SQRT(245),"")</f>
        <v/>
      </c>
      <c r="M734" s="52" t="str">
        <f aca="false">IF(AND(ISNUMBER($G734),$G734&gt;=60),MAX(INDEX($D$534:$D734,202-60):$D734),"")</f>
        <v/>
      </c>
      <c r="N734" s="52" t="str">
        <f aca="false">IF(AND(ISNUMBER($G734),$G734&gt;=60),MIN(INDEX($E$534:$E734,202-60):$E734),"")</f>
        <v/>
      </c>
      <c r="O734" s="53" t="str">
        <f aca="false">IF(OR(NOT(ISNUMBER($C734)),NOT(ISNUMBER($M734)),$M734=0),"",$C734/$M734-1)</f>
        <v/>
      </c>
      <c r="P734" s="54"/>
      <c r="Q734" s="53" t="str">
        <f aca="false">IF(NOT(ISNUMBER($P734)),"",IFERROR(PERCENTRANK($P$5:$P$1204,$P734),""))</f>
        <v/>
      </c>
    </row>
    <row r="735" customFormat="false" ht="15" hidden="false" customHeight="false" outlineLevel="0" collapsed="false">
      <c r="A735" s="55"/>
      <c r="B735" s="56"/>
      <c r="C735" s="57"/>
      <c r="D735" s="56"/>
      <c r="E735" s="56"/>
      <c r="F735" s="56"/>
      <c r="G735" s="50" t="str">
        <f aca="false">IF($A735="","",IF(ISNUMBER($G734),$G734+1,1))</f>
        <v/>
      </c>
      <c r="H735" s="51" t="str">
        <f aca="false">IF(OR(NOT(ISNUMBER($G735)),$G735&lt;2,NOT(ISNUMBER($C734)),$C734=0),"",$C735/$C734-1)</f>
        <v/>
      </c>
      <c r="I735" s="52" t="str">
        <f aca="false">IF(AND(ISNUMBER($G735),$G735&gt;=MA_SHORT),AVERAGE(INDEX($C$335:$C735,402-MA_SHORT):$C735),"")</f>
        <v/>
      </c>
      <c r="J735" s="52" t="str">
        <f aca="false">IF(AND(ISNUMBER($G735),$G735&gt;=MA_MED),AVERAGE(INDEX($C$335:$C735,402-MA_MED):$C735),"")</f>
        <v/>
      </c>
      <c r="K735" s="52" t="str">
        <f aca="false">IF(AND(ISNUMBER($G735),$G735&gt;=MA_LONG2),AVERAGE(INDEX($C$335:$C735,402-MA_LONG2):$C735),"")</f>
        <v/>
      </c>
      <c r="L735" s="53" t="str">
        <f aca="false">IF(AND(ISNUMBER($G735),$G735&gt;=21),STDEV(INDEX($H$675:$H735,62-20):$H735)*SQRT(245),"")</f>
        <v/>
      </c>
      <c r="M735" s="52" t="str">
        <f aca="false">IF(AND(ISNUMBER($G735),$G735&gt;=60),MAX(INDEX($D$535:$D735,202-60):$D735),"")</f>
        <v/>
      </c>
      <c r="N735" s="52" t="str">
        <f aca="false">IF(AND(ISNUMBER($G735),$G735&gt;=60),MIN(INDEX($E$535:$E735,202-60):$E735),"")</f>
        <v/>
      </c>
      <c r="O735" s="53" t="str">
        <f aca="false">IF(OR(NOT(ISNUMBER($C735)),NOT(ISNUMBER($M735)),$M735=0),"",$C735/$M735-1)</f>
        <v/>
      </c>
      <c r="P735" s="54"/>
      <c r="Q735" s="53" t="str">
        <f aca="false">IF(NOT(ISNUMBER($P735)),"",IFERROR(PERCENTRANK($P$5:$P$1204,$P735),""))</f>
        <v/>
      </c>
    </row>
    <row r="736" customFormat="false" ht="15" hidden="false" customHeight="false" outlineLevel="0" collapsed="false">
      <c r="A736" s="55"/>
      <c r="B736" s="56"/>
      <c r="C736" s="57"/>
      <c r="D736" s="56"/>
      <c r="E736" s="56"/>
      <c r="F736" s="56"/>
      <c r="G736" s="50" t="str">
        <f aca="false">IF($A736="","",IF(ISNUMBER($G735),$G735+1,1))</f>
        <v/>
      </c>
      <c r="H736" s="51" t="str">
        <f aca="false">IF(OR(NOT(ISNUMBER($G736)),$G736&lt;2,NOT(ISNUMBER($C735)),$C735=0),"",$C736/$C735-1)</f>
        <v/>
      </c>
      <c r="I736" s="52" t="str">
        <f aca="false">IF(AND(ISNUMBER($G736),$G736&gt;=MA_SHORT),AVERAGE(INDEX($C$336:$C736,402-MA_SHORT):$C736),"")</f>
        <v/>
      </c>
      <c r="J736" s="52" t="str">
        <f aca="false">IF(AND(ISNUMBER($G736),$G736&gt;=MA_MED),AVERAGE(INDEX($C$336:$C736,402-MA_MED):$C736),"")</f>
        <v/>
      </c>
      <c r="K736" s="52" t="str">
        <f aca="false">IF(AND(ISNUMBER($G736),$G736&gt;=MA_LONG2),AVERAGE(INDEX($C$336:$C736,402-MA_LONG2):$C736),"")</f>
        <v/>
      </c>
      <c r="L736" s="53" t="str">
        <f aca="false">IF(AND(ISNUMBER($G736),$G736&gt;=21),STDEV(INDEX($H$676:$H736,62-20):$H736)*SQRT(245),"")</f>
        <v/>
      </c>
      <c r="M736" s="52" t="str">
        <f aca="false">IF(AND(ISNUMBER($G736),$G736&gt;=60),MAX(INDEX($D$536:$D736,202-60):$D736),"")</f>
        <v/>
      </c>
      <c r="N736" s="52" t="str">
        <f aca="false">IF(AND(ISNUMBER($G736),$G736&gt;=60),MIN(INDEX($E$536:$E736,202-60):$E736),"")</f>
        <v/>
      </c>
      <c r="O736" s="53" t="str">
        <f aca="false">IF(OR(NOT(ISNUMBER($C736)),NOT(ISNUMBER($M736)),$M736=0),"",$C736/$M736-1)</f>
        <v/>
      </c>
      <c r="P736" s="54"/>
      <c r="Q736" s="53" t="str">
        <f aca="false">IF(NOT(ISNUMBER($P736)),"",IFERROR(PERCENTRANK($P$5:$P$1204,$P736),""))</f>
        <v/>
      </c>
    </row>
    <row r="737" customFormat="false" ht="15" hidden="false" customHeight="false" outlineLevel="0" collapsed="false">
      <c r="A737" s="55"/>
      <c r="B737" s="56"/>
      <c r="C737" s="57"/>
      <c r="D737" s="56"/>
      <c r="E737" s="56"/>
      <c r="F737" s="56"/>
      <c r="G737" s="50" t="str">
        <f aca="false">IF($A737="","",IF(ISNUMBER($G736),$G736+1,1))</f>
        <v/>
      </c>
      <c r="H737" s="51" t="str">
        <f aca="false">IF(OR(NOT(ISNUMBER($G737)),$G737&lt;2,NOT(ISNUMBER($C736)),$C736=0),"",$C737/$C736-1)</f>
        <v/>
      </c>
      <c r="I737" s="52" t="str">
        <f aca="false">IF(AND(ISNUMBER($G737),$G737&gt;=MA_SHORT),AVERAGE(INDEX($C$337:$C737,402-MA_SHORT):$C737),"")</f>
        <v/>
      </c>
      <c r="J737" s="52" t="str">
        <f aca="false">IF(AND(ISNUMBER($G737),$G737&gt;=MA_MED),AVERAGE(INDEX($C$337:$C737,402-MA_MED):$C737),"")</f>
        <v/>
      </c>
      <c r="K737" s="52" t="str">
        <f aca="false">IF(AND(ISNUMBER($G737),$G737&gt;=MA_LONG2),AVERAGE(INDEX($C$337:$C737,402-MA_LONG2):$C737),"")</f>
        <v/>
      </c>
      <c r="L737" s="53" t="str">
        <f aca="false">IF(AND(ISNUMBER($G737),$G737&gt;=21),STDEV(INDEX($H$677:$H737,62-20):$H737)*SQRT(245),"")</f>
        <v/>
      </c>
      <c r="M737" s="52" t="str">
        <f aca="false">IF(AND(ISNUMBER($G737),$G737&gt;=60),MAX(INDEX($D$537:$D737,202-60):$D737),"")</f>
        <v/>
      </c>
      <c r="N737" s="52" t="str">
        <f aca="false">IF(AND(ISNUMBER($G737),$G737&gt;=60),MIN(INDEX($E$537:$E737,202-60):$E737),"")</f>
        <v/>
      </c>
      <c r="O737" s="53" t="str">
        <f aca="false">IF(OR(NOT(ISNUMBER($C737)),NOT(ISNUMBER($M737)),$M737=0),"",$C737/$M737-1)</f>
        <v/>
      </c>
      <c r="P737" s="54"/>
      <c r="Q737" s="53" t="str">
        <f aca="false">IF(NOT(ISNUMBER($P737)),"",IFERROR(PERCENTRANK($P$5:$P$1204,$P737),""))</f>
        <v/>
      </c>
    </row>
    <row r="738" customFormat="false" ht="15" hidden="false" customHeight="false" outlineLevel="0" collapsed="false">
      <c r="A738" s="55"/>
      <c r="B738" s="56"/>
      <c r="C738" s="57"/>
      <c r="D738" s="56"/>
      <c r="E738" s="56"/>
      <c r="F738" s="56"/>
      <c r="G738" s="50" t="str">
        <f aca="false">IF($A738="","",IF(ISNUMBER($G737),$G737+1,1))</f>
        <v/>
      </c>
      <c r="H738" s="51" t="str">
        <f aca="false">IF(OR(NOT(ISNUMBER($G738)),$G738&lt;2,NOT(ISNUMBER($C737)),$C737=0),"",$C738/$C737-1)</f>
        <v/>
      </c>
      <c r="I738" s="52" t="str">
        <f aca="false">IF(AND(ISNUMBER($G738),$G738&gt;=MA_SHORT),AVERAGE(INDEX($C$338:$C738,402-MA_SHORT):$C738),"")</f>
        <v/>
      </c>
      <c r="J738" s="52" t="str">
        <f aca="false">IF(AND(ISNUMBER($G738),$G738&gt;=MA_MED),AVERAGE(INDEX($C$338:$C738,402-MA_MED):$C738),"")</f>
        <v/>
      </c>
      <c r="K738" s="52" t="str">
        <f aca="false">IF(AND(ISNUMBER($G738),$G738&gt;=MA_LONG2),AVERAGE(INDEX($C$338:$C738,402-MA_LONG2):$C738),"")</f>
        <v/>
      </c>
      <c r="L738" s="53" t="str">
        <f aca="false">IF(AND(ISNUMBER($G738),$G738&gt;=21),STDEV(INDEX($H$678:$H738,62-20):$H738)*SQRT(245),"")</f>
        <v/>
      </c>
      <c r="M738" s="52" t="str">
        <f aca="false">IF(AND(ISNUMBER($G738),$G738&gt;=60),MAX(INDEX($D$538:$D738,202-60):$D738),"")</f>
        <v/>
      </c>
      <c r="N738" s="52" t="str">
        <f aca="false">IF(AND(ISNUMBER($G738),$G738&gt;=60),MIN(INDEX($E$538:$E738,202-60):$E738),"")</f>
        <v/>
      </c>
      <c r="O738" s="53" t="str">
        <f aca="false">IF(OR(NOT(ISNUMBER($C738)),NOT(ISNUMBER($M738)),$M738=0),"",$C738/$M738-1)</f>
        <v/>
      </c>
      <c r="P738" s="54"/>
      <c r="Q738" s="53" t="str">
        <f aca="false">IF(NOT(ISNUMBER($P738)),"",IFERROR(PERCENTRANK($P$5:$P$1204,$P738),""))</f>
        <v/>
      </c>
    </row>
    <row r="739" customFormat="false" ht="15" hidden="false" customHeight="false" outlineLevel="0" collapsed="false">
      <c r="A739" s="55"/>
      <c r="B739" s="56"/>
      <c r="C739" s="57"/>
      <c r="D739" s="56"/>
      <c r="E739" s="56"/>
      <c r="F739" s="56"/>
      <c r="G739" s="50" t="str">
        <f aca="false">IF($A739="","",IF(ISNUMBER($G738),$G738+1,1))</f>
        <v/>
      </c>
      <c r="H739" s="51" t="str">
        <f aca="false">IF(OR(NOT(ISNUMBER($G739)),$G739&lt;2,NOT(ISNUMBER($C738)),$C738=0),"",$C739/$C738-1)</f>
        <v/>
      </c>
      <c r="I739" s="52" t="str">
        <f aca="false">IF(AND(ISNUMBER($G739),$G739&gt;=MA_SHORT),AVERAGE(INDEX($C$339:$C739,402-MA_SHORT):$C739),"")</f>
        <v/>
      </c>
      <c r="J739" s="52" t="str">
        <f aca="false">IF(AND(ISNUMBER($G739),$G739&gt;=MA_MED),AVERAGE(INDEX($C$339:$C739,402-MA_MED):$C739),"")</f>
        <v/>
      </c>
      <c r="K739" s="52" t="str">
        <f aca="false">IF(AND(ISNUMBER($G739),$G739&gt;=MA_LONG2),AVERAGE(INDEX($C$339:$C739,402-MA_LONG2):$C739),"")</f>
        <v/>
      </c>
      <c r="L739" s="53" t="str">
        <f aca="false">IF(AND(ISNUMBER($G739),$G739&gt;=21),STDEV(INDEX($H$679:$H739,62-20):$H739)*SQRT(245),"")</f>
        <v/>
      </c>
      <c r="M739" s="52" t="str">
        <f aca="false">IF(AND(ISNUMBER($G739),$G739&gt;=60),MAX(INDEX($D$539:$D739,202-60):$D739),"")</f>
        <v/>
      </c>
      <c r="N739" s="52" t="str">
        <f aca="false">IF(AND(ISNUMBER($G739),$G739&gt;=60),MIN(INDEX($E$539:$E739,202-60):$E739),"")</f>
        <v/>
      </c>
      <c r="O739" s="53" t="str">
        <f aca="false">IF(OR(NOT(ISNUMBER($C739)),NOT(ISNUMBER($M739)),$M739=0),"",$C739/$M739-1)</f>
        <v/>
      </c>
      <c r="P739" s="54"/>
      <c r="Q739" s="53" t="str">
        <f aca="false">IF(NOT(ISNUMBER($P739)),"",IFERROR(PERCENTRANK($P$5:$P$1204,$P739),""))</f>
        <v/>
      </c>
    </row>
    <row r="740" customFormat="false" ht="15" hidden="false" customHeight="false" outlineLevel="0" collapsed="false">
      <c r="A740" s="55"/>
      <c r="B740" s="56"/>
      <c r="C740" s="57"/>
      <c r="D740" s="56"/>
      <c r="E740" s="56"/>
      <c r="F740" s="56"/>
      <c r="G740" s="50" t="str">
        <f aca="false">IF($A740="","",IF(ISNUMBER($G739),$G739+1,1))</f>
        <v/>
      </c>
      <c r="H740" s="51" t="str">
        <f aca="false">IF(OR(NOT(ISNUMBER($G740)),$G740&lt;2,NOT(ISNUMBER($C739)),$C739=0),"",$C740/$C739-1)</f>
        <v/>
      </c>
      <c r="I740" s="52" t="str">
        <f aca="false">IF(AND(ISNUMBER($G740),$G740&gt;=MA_SHORT),AVERAGE(INDEX($C$340:$C740,402-MA_SHORT):$C740),"")</f>
        <v/>
      </c>
      <c r="J740" s="52" t="str">
        <f aca="false">IF(AND(ISNUMBER($G740),$G740&gt;=MA_MED),AVERAGE(INDEX($C$340:$C740,402-MA_MED):$C740),"")</f>
        <v/>
      </c>
      <c r="K740" s="52" t="str">
        <f aca="false">IF(AND(ISNUMBER($G740),$G740&gt;=MA_LONG2),AVERAGE(INDEX($C$340:$C740,402-MA_LONG2):$C740),"")</f>
        <v/>
      </c>
      <c r="L740" s="53" t="str">
        <f aca="false">IF(AND(ISNUMBER($G740),$G740&gt;=21),STDEV(INDEX($H$680:$H740,62-20):$H740)*SQRT(245),"")</f>
        <v/>
      </c>
      <c r="M740" s="52" t="str">
        <f aca="false">IF(AND(ISNUMBER($G740),$G740&gt;=60),MAX(INDEX($D$540:$D740,202-60):$D740),"")</f>
        <v/>
      </c>
      <c r="N740" s="52" t="str">
        <f aca="false">IF(AND(ISNUMBER($G740),$G740&gt;=60),MIN(INDEX($E$540:$E740,202-60):$E740),"")</f>
        <v/>
      </c>
      <c r="O740" s="53" t="str">
        <f aca="false">IF(OR(NOT(ISNUMBER($C740)),NOT(ISNUMBER($M740)),$M740=0),"",$C740/$M740-1)</f>
        <v/>
      </c>
      <c r="P740" s="54"/>
      <c r="Q740" s="53" t="str">
        <f aca="false">IF(NOT(ISNUMBER($P740)),"",IFERROR(PERCENTRANK($P$5:$P$1204,$P740),""))</f>
        <v/>
      </c>
    </row>
    <row r="741" customFormat="false" ht="15" hidden="false" customHeight="false" outlineLevel="0" collapsed="false">
      <c r="A741" s="55"/>
      <c r="B741" s="56"/>
      <c r="C741" s="57"/>
      <c r="D741" s="56"/>
      <c r="E741" s="56"/>
      <c r="F741" s="56"/>
      <c r="G741" s="50" t="str">
        <f aca="false">IF($A741="","",IF(ISNUMBER($G740),$G740+1,1))</f>
        <v/>
      </c>
      <c r="H741" s="51" t="str">
        <f aca="false">IF(OR(NOT(ISNUMBER($G741)),$G741&lt;2,NOT(ISNUMBER($C740)),$C740=0),"",$C741/$C740-1)</f>
        <v/>
      </c>
      <c r="I741" s="52" t="str">
        <f aca="false">IF(AND(ISNUMBER($G741),$G741&gt;=MA_SHORT),AVERAGE(INDEX($C$341:$C741,402-MA_SHORT):$C741),"")</f>
        <v/>
      </c>
      <c r="J741" s="52" t="str">
        <f aca="false">IF(AND(ISNUMBER($G741),$G741&gt;=MA_MED),AVERAGE(INDEX($C$341:$C741,402-MA_MED):$C741),"")</f>
        <v/>
      </c>
      <c r="K741" s="52" t="str">
        <f aca="false">IF(AND(ISNUMBER($G741),$G741&gt;=MA_LONG2),AVERAGE(INDEX($C$341:$C741,402-MA_LONG2):$C741),"")</f>
        <v/>
      </c>
      <c r="L741" s="53" t="str">
        <f aca="false">IF(AND(ISNUMBER($G741),$G741&gt;=21),STDEV(INDEX($H$681:$H741,62-20):$H741)*SQRT(245),"")</f>
        <v/>
      </c>
      <c r="M741" s="52" t="str">
        <f aca="false">IF(AND(ISNUMBER($G741),$G741&gt;=60),MAX(INDEX($D$541:$D741,202-60):$D741),"")</f>
        <v/>
      </c>
      <c r="N741" s="52" t="str">
        <f aca="false">IF(AND(ISNUMBER($G741),$G741&gt;=60),MIN(INDEX($E$541:$E741,202-60):$E741),"")</f>
        <v/>
      </c>
      <c r="O741" s="53" t="str">
        <f aca="false">IF(OR(NOT(ISNUMBER($C741)),NOT(ISNUMBER($M741)),$M741=0),"",$C741/$M741-1)</f>
        <v/>
      </c>
      <c r="P741" s="54"/>
      <c r="Q741" s="53" t="str">
        <f aca="false">IF(NOT(ISNUMBER($P741)),"",IFERROR(PERCENTRANK($P$5:$P$1204,$P741),""))</f>
        <v/>
      </c>
    </row>
    <row r="742" customFormat="false" ht="15" hidden="false" customHeight="false" outlineLevel="0" collapsed="false">
      <c r="A742" s="55"/>
      <c r="B742" s="56"/>
      <c r="C742" s="57"/>
      <c r="D742" s="56"/>
      <c r="E742" s="56"/>
      <c r="F742" s="56"/>
      <c r="G742" s="50" t="str">
        <f aca="false">IF($A742="","",IF(ISNUMBER($G741),$G741+1,1))</f>
        <v/>
      </c>
      <c r="H742" s="51" t="str">
        <f aca="false">IF(OR(NOT(ISNUMBER($G742)),$G742&lt;2,NOT(ISNUMBER($C741)),$C741=0),"",$C742/$C741-1)</f>
        <v/>
      </c>
      <c r="I742" s="52" t="str">
        <f aca="false">IF(AND(ISNUMBER($G742),$G742&gt;=MA_SHORT),AVERAGE(INDEX($C$342:$C742,402-MA_SHORT):$C742),"")</f>
        <v/>
      </c>
      <c r="J742" s="52" t="str">
        <f aca="false">IF(AND(ISNUMBER($G742),$G742&gt;=MA_MED),AVERAGE(INDEX($C$342:$C742,402-MA_MED):$C742),"")</f>
        <v/>
      </c>
      <c r="K742" s="52" t="str">
        <f aca="false">IF(AND(ISNUMBER($G742),$G742&gt;=MA_LONG2),AVERAGE(INDEX($C$342:$C742,402-MA_LONG2):$C742),"")</f>
        <v/>
      </c>
      <c r="L742" s="53" t="str">
        <f aca="false">IF(AND(ISNUMBER($G742),$G742&gt;=21),STDEV(INDEX($H$682:$H742,62-20):$H742)*SQRT(245),"")</f>
        <v/>
      </c>
      <c r="M742" s="52" t="str">
        <f aca="false">IF(AND(ISNUMBER($G742),$G742&gt;=60),MAX(INDEX($D$542:$D742,202-60):$D742),"")</f>
        <v/>
      </c>
      <c r="N742" s="52" t="str">
        <f aca="false">IF(AND(ISNUMBER($G742),$G742&gt;=60),MIN(INDEX($E$542:$E742,202-60):$E742),"")</f>
        <v/>
      </c>
      <c r="O742" s="53" t="str">
        <f aca="false">IF(OR(NOT(ISNUMBER($C742)),NOT(ISNUMBER($M742)),$M742=0),"",$C742/$M742-1)</f>
        <v/>
      </c>
      <c r="P742" s="54"/>
      <c r="Q742" s="53" t="str">
        <f aca="false">IF(NOT(ISNUMBER($P742)),"",IFERROR(PERCENTRANK($P$5:$P$1204,$P742),""))</f>
        <v/>
      </c>
    </row>
    <row r="743" customFormat="false" ht="15" hidden="false" customHeight="false" outlineLevel="0" collapsed="false">
      <c r="A743" s="55"/>
      <c r="B743" s="56"/>
      <c r="C743" s="57"/>
      <c r="D743" s="56"/>
      <c r="E743" s="56"/>
      <c r="F743" s="56"/>
      <c r="G743" s="50" t="str">
        <f aca="false">IF($A743="","",IF(ISNUMBER($G742),$G742+1,1))</f>
        <v/>
      </c>
      <c r="H743" s="51" t="str">
        <f aca="false">IF(OR(NOT(ISNUMBER($G743)),$G743&lt;2,NOT(ISNUMBER($C742)),$C742=0),"",$C743/$C742-1)</f>
        <v/>
      </c>
      <c r="I743" s="52" t="str">
        <f aca="false">IF(AND(ISNUMBER($G743),$G743&gt;=MA_SHORT),AVERAGE(INDEX($C$343:$C743,402-MA_SHORT):$C743),"")</f>
        <v/>
      </c>
      <c r="J743" s="52" t="str">
        <f aca="false">IF(AND(ISNUMBER($G743),$G743&gt;=MA_MED),AVERAGE(INDEX($C$343:$C743,402-MA_MED):$C743),"")</f>
        <v/>
      </c>
      <c r="K743" s="52" t="str">
        <f aca="false">IF(AND(ISNUMBER($G743),$G743&gt;=MA_LONG2),AVERAGE(INDEX($C$343:$C743,402-MA_LONG2):$C743),"")</f>
        <v/>
      </c>
      <c r="L743" s="53" t="str">
        <f aca="false">IF(AND(ISNUMBER($G743),$G743&gt;=21),STDEV(INDEX($H$683:$H743,62-20):$H743)*SQRT(245),"")</f>
        <v/>
      </c>
      <c r="M743" s="52" t="str">
        <f aca="false">IF(AND(ISNUMBER($G743),$G743&gt;=60),MAX(INDEX($D$543:$D743,202-60):$D743),"")</f>
        <v/>
      </c>
      <c r="N743" s="52" t="str">
        <f aca="false">IF(AND(ISNUMBER($G743),$G743&gt;=60),MIN(INDEX($E$543:$E743,202-60):$E743),"")</f>
        <v/>
      </c>
      <c r="O743" s="53" t="str">
        <f aca="false">IF(OR(NOT(ISNUMBER($C743)),NOT(ISNUMBER($M743)),$M743=0),"",$C743/$M743-1)</f>
        <v/>
      </c>
      <c r="P743" s="54"/>
      <c r="Q743" s="53" t="str">
        <f aca="false">IF(NOT(ISNUMBER($P743)),"",IFERROR(PERCENTRANK($P$5:$P$1204,$P743),""))</f>
        <v/>
      </c>
    </row>
    <row r="744" customFormat="false" ht="15" hidden="false" customHeight="false" outlineLevel="0" collapsed="false">
      <c r="A744" s="55"/>
      <c r="B744" s="56"/>
      <c r="C744" s="57"/>
      <c r="D744" s="56"/>
      <c r="E744" s="56"/>
      <c r="F744" s="56"/>
      <c r="G744" s="50" t="str">
        <f aca="false">IF($A744="","",IF(ISNUMBER($G743),$G743+1,1))</f>
        <v/>
      </c>
      <c r="H744" s="51" t="str">
        <f aca="false">IF(OR(NOT(ISNUMBER($G744)),$G744&lt;2,NOT(ISNUMBER($C743)),$C743=0),"",$C744/$C743-1)</f>
        <v/>
      </c>
      <c r="I744" s="52" t="str">
        <f aca="false">IF(AND(ISNUMBER($G744),$G744&gt;=MA_SHORT),AVERAGE(INDEX($C$344:$C744,402-MA_SHORT):$C744),"")</f>
        <v/>
      </c>
      <c r="J744" s="52" t="str">
        <f aca="false">IF(AND(ISNUMBER($G744),$G744&gt;=MA_MED),AVERAGE(INDEX($C$344:$C744,402-MA_MED):$C744),"")</f>
        <v/>
      </c>
      <c r="K744" s="52" t="str">
        <f aca="false">IF(AND(ISNUMBER($G744),$G744&gt;=MA_LONG2),AVERAGE(INDEX($C$344:$C744,402-MA_LONG2):$C744),"")</f>
        <v/>
      </c>
      <c r="L744" s="53" t="str">
        <f aca="false">IF(AND(ISNUMBER($G744),$G744&gt;=21),STDEV(INDEX($H$684:$H744,62-20):$H744)*SQRT(245),"")</f>
        <v/>
      </c>
      <c r="M744" s="52" t="str">
        <f aca="false">IF(AND(ISNUMBER($G744),$G744&gt;=60),MAX(INDEX($D$544:$D744,202-60):$D744),"")</f>
        <v/>
      </c>
      <c r="N744" s="52" t="str">
        <f aca="false">IF(AND(ISNUMBER($G744),$G744&gt;=60),MIN(INDEX($E$544:$E744,202-60):$E744),"")</f>
        <v/>
      </c>
      <c r="O744" s="53" t="str">
        <f aca="false">IF(OR(NOT(ISNUMBER($C744)),NOT(ISNUMBER($M744)),$M744=0),"",$C744/$M744-1)</f>
        <v/>
      </c>
      <c r="P744" s="54"/>
      <c r="Q744" s="53" t="str">
        <f aca="false">IF(NOT(ISNUMBER($P744)),"",IFERROR(PERCENTRANK($P$5:$P$1204,$P744),""))</f>
        <v/>
      </c>
    </row>
    <row r="745" customFormat="false" ht="15" hidden="false" customHeight="false" outlineLevel="0" collapsed="false">
      <c r="A745" s="55"/>
      <c r="B745" s="56"/>
      <c r="C745" s="57"/>
      <c r="D745" s="56"/>
      <c r="E745" s="56"/>
      <c r="F745" s="56"/>
      <c r="G745" s="50" t="str">
        <f aca="false">IF($A745="","",IF(ISNUMBER($G744),$G744+1,1))</f>
        <v/>
      </c>
      <c r="H745" s="51" t="str">
        <f aca="false">IF(OR(NOT(ISNUMBER($G745)),$G745&lt;2,NOT(ISNUMBER($C744)),$C744=0),"",$C745/$C744-1)</f>
        <v/>
      </c>
      <c r="I745" s="52" t="str">
        <f aca="false">IF(AND(ISNUMBER($G745),$G745&gt;=MA_SHORT),AVERAGE(INDEX($C$345:$C745,402-MA_SHORT):$C745),"")</f>
        <v/>
      </c>
      <c r="J745" s="52" t="str">
        <f aca="false">IF(AND(ISNUMBER($G745),$G745&gt;=MA_MED),AVERAGE(INDEX($C$345:$C745,402-MA_MED):$C745),"")</f>
        <v/>
      </c>
      <c r="K745" s="52" t="str">
        <f aca="false">IF(AND(ISNUMBER($G745),$G745&gt;=MA_LONG2),AVERAGE(INDEX($C$345:$C745,402-MA_LONG2):$C745),"")</f>
        <v/>
      </c>
      <c r="L745" s="53" t="str">
        <f aca="false">IF(AND(ISNUMBER($G745),$G745&gt;=21),STDEV(INDEX($H$685:$H745,62-20):$H745)*SQRT(245),"")</f>
        <v/>
      </c>
      <c r="M745" s="52" t="str">
        <f aca="false">IF(AND(ISNUMBER($G745),$G745&gt;=60),MAX(INDEX($D$545:$D745,202-60):$D745),"")</f>
        <v/>
      </c>
      <c r="N745" s="52" t="str">
        <f aca="false">IF(AND(ISNUMBER($G745),$G745&gt;=60),MIN(INDEX($E$545:$E745,202-60):$E745),"")</f>
        <v/>
      </c>
      <c r="O745" s="53" t="str">
        <f aca="false">IF(OR(NOT(ISNUMBER($C745)),NOT(ISNUMBER($M745)),$M745=0),"",$C745/$M745-1)</f>
        <v/>
      </c>
      <c r="P745" s="54"/>
      <c r="Q745" s="53" t="str">
        <f aca="false">IF(NOT(ISNUMBER($P745)),"",IFERROR(PERCENTRANK($P$5:$P$1204,$P745),""))</f>
        <v/>
      </c>
    </row>
    <row r="746" customFormat="false" ht="15" hidden="false" customHeight="false" outlineLevel="0" collapsed="false">
      <c r="A746" s="55"/>
      <c r="B746" s="56"/>
      <c r="C746" s="57"/>
      <c r="D746" s="56"/>
      <c r="E746" s="56"/>
      <c r="F746" s="56"/>
      <c r="G746" s="50" t="str">
        <f aca="false">IF($A746="","",IF(ISNUMBER($G745),$G745+1,1))</f>
        <v/>
      </c>
      <c r="H746" s="51" t="str">
        <f aca="false">IF(OR(NOT(ISNUMBER($G746)),$G746&lt;2,NOT(ISNUMBER($C745)),$C745=0),"",$C746/$C745-1)</f>
        <v/>
      </c>
      <c r="I746" s="52" t="str">
        <f aca="false">IF(AND(ISNUMBER($G746),$G746&gt;=MA_SHORT),AVERAGE(INDEX($C$346:$C746,402-MA_SHORT):$C746),"")</f>
        <v/>
      </c>
      <c r="J746" s="52" t="str">
        <f aca="false">IF(AND(ISNUMBER($G746),$G746&gt;=MA_MED),AVERAGE(INDEX($C$346:$C746,402-MA_MED):$C746),"")</f>
        <v/>
      </c>
      <c r="K746" s="52" t="str">
        <f aca="false">IF(AND(ISNUMBER($G746),$G746&gt;=MA_LONG2),AVERAGE(INDEX($C$346:$C746,402-MA_LONG2):$C746),"")</f>
        <v/>
      </c>
      <c r="L746" s="53" t="str">
        <f aca="false">IF(AND(ISNUMBER($G746),$G746&gt;=21),STDEV(INDEX($H$686:$H746,62-20):$H746)*SQRT(245),"")</f>
        <v/>
      </c>
      <c r="M746" s="52" t="str">
        <f aca="false">IF(AND(ISNUMBER($G746),$G746&gt;=60),MAX(INDEX($D$546:$D746,202-60):$D746),"")</f>
        <v/>
      </c>
      <c r="N746" s="52" t="str">
        <f aca="false">IF(AND(ISNUMBER($G746),$G746&gt;=60),MIN(INDEX($E$546:$E746,202-60):$E746),"")</f>
        <v/>
      </c>
      <c r="O746" s="53" t="str">
        <f aca="false">IF(OR(NOT(ISNUMBER($C746)),NOT(ISNUMBER($M746)),$M746=0),"",$C746/$M746-1)</f>
        <v/>
      </c>
      <c r="P746" s="54"/>
      <c r="Q746" s="53" t="str">
        <f aca="false">IF(NOT(ISNUMBER($P746)),"",IFERROR(PERCENTRANK($P$5:$P$1204,$P746),""))</f>
        <v/>
      </c>
    </row>
    <row r="747" customFormat="false" ht="15" hidden="false" customHeight="false" outlineLevel="0" collapsed="false">
      <c r="A747" s="55"/>
      <c r="B747" s="56"/>
      <c r="C747" s="57"/>
      <c r="D747" s="56"/>
      <c r="E747" s="56"/>
      <c r="F747" s="56"/>
      <c r="G747" s="50" t="str">
        <f aca="false">IF($A747="","",IF(ISNUMBER($G746),$G746+1,1))</f>
        <v/>
      </c>
      <c r="H747" s="51" t="str">
        <f aca="false">IF(OR(NOT(ISNUMBER($G747)),$G747&lt;2,NOT(ISNUMBER($C746)),$C746=0),"",$C747/$C746-1)</f>
        <v/>
      </c>
      <c r="I747" s="52" t="str">
        <f aca="false">IF(AND(ISNUMBER($G747),$G747&gt;=MA_SHORT),AVERAGE(INDEX($C$347:$C747,402-MA_SHORT):$C747),"")</f>
        <v/>
      </c>
      <c r="J747" s="52" t="str">
        <f aca="false">IF(AND(ISNUMBER($G747),$G747&gt;=MA_MED),AVERAGE(INDEX($C$347:$C747,402-MA_MED):$C747),"")</f>
        <v/>
      </c>
      <c r="K747" s="52" t="str">
        <f aca="false">IF(AND(ISNUMBER($G747),$G747&gt;=MA_LONG2),AVERAGE(INDEX($C$347:$C747,402-MA_LONG2):$C747),"")</f>
        <v/>
      </c>
      <c r="L747" s="53" t="str">
        <f aca="false">IF(AND(ISNUMBER($G747),$G747&gt;=21),STDEV(INDEX($H$687:$H747,62-20):$H747)*SQRT(245),"")</f>
        <v/>
      </c>
      <c r="M747" s="52" t="str">
        <f aca="false">IF(AND(ISNUMBER($G747),$G747&gt;=60),MAX(INDEX($D$547:$D747,202-60):$D747),"")</f>
        <v/>
      </c>
      <c r="N747" s="52" t="str">
        <f aca="false">IF(AND(ISNUMBER($G747),$G747&gt;=60),MIN(INDEX($E$547:$E747,202-60):$E747),"")</f>
        <v/>
      </c>
      <c r="O747" s="53" t="str">
        <f aca="false">IF(OR(NOT(ISNUMBER($C747)),NOT(ISNUMBER($M747)),$M747=0),"",$C747/$M747-1)</f>
        <v/>
      </c>
      <c r="P747" s="54"/>
      <c r="Q747" s="53" t="str">
        <f aca="false">IF(NOT(ISNUMBER($P747)),"",IFERROR(PERCENTRANK($P$5:$P$1204,$P747),""))</f>
        <v/>
      </c>
    </row>
    <row r="748" customFormat="false" ht="15" hidden="false" customHeight="false" outlineLevel="0" collapsed="false">
      <c r="A748" s="55"/>
      <c r="B748" s="56"/>
      <c r="C748" s="57"/>
      <c r="D748" s="56"/>
      <c r="E748" s="56"/>
      <c r="F748" s="56"/>
      <c r="G748" s="50" t="str">
        <f aca="false">IF($A748="","",IF(ISNUMBER($G747),$G747+1,1))</f>
        <v/>
      </c>
      <c r="H748" s="51" t="str">
        <f aca="false">IF(OR(NOT(ISNUMBER($G748)),$G748&lt;2,NOT(ISNUMBER($C747)),$C747=0),"",$C748/$C747-1)</f>
        <v/>
      </c>
      <c r="I748" s="52" t="str">
        <f aca="false">IF(AND(ISNUMBER($G748),$G748&gt;=MA_SHORT),AVERAGE(INDEX($C$348:$C748,402-MA_SHORT):$C748),"")</f>
        <v/>
      </c>
      <c r="J748" s="52" t="str">
        <f aca="false">IF(AND(ISNUMBER($G748),$G748&gt;=MA_MED),AVERAGE(INDEX($C$348:$C748,402-MA_MED):$C748),"")</f>
        <v/>
      </c>
      <c r="K748" s="52" t="str">
        <f aca="false">IF(AND(ISNUMBER($G748),$G748&gt;=MA_LONG2),AVERAGE(INDEX($C$348:$C748,402-MA_LONG2):$C748),"")</f>
        <v/>
      </c>
      <c r="L748" s="53" t="str">
        <f aca="false">IF(AND(ISNUMBER($G748),$G748&gt;=21),STDEV(INDEX($H$688:$H748,62-20):$H748)*SQRT(245),"")</f>
        <v/>
      </c>
      <c r="M748" s="52" t="str">
        <f aca="false">IF(AND(ISNUMBER($G748),$G748&gt;=60),MAX(INDEX($D$548:$D748,202-60):$D748),"")</f>
        <v/>
      </c>
      <c r="N748" s="52" t="str">
        <f aca="false">IF(AND(ISNUMBER($G748),$G748&gt;=60),MIN(INDEX($E$548:$E748,202-60):$E748),"")</f>
        <v/>
      </c>
      <c r="O748" s="53" t="str">
        <f aca="false">IF(OR(NOT(ISNUMBER($C748)),NOT(ISNUMBER($M748)),$M748=0),"",$C748/$M748-1)</f>
        <v/>
      </c>
      <c r="P748" s="54"/>
      <c r="Q748" s="53" t="str">
        <f aca="false">IF(NOT(ISNUMBER($P748)),"",IFERROR(PERCENTRANK($P$5:$P$1204,$P748),""))</f>
        <v/>
      </c>
    </row>
    <row r="749" customFormat="false" ht="15" hidden="false" customHeight="false" outlineLevel="0" collapsed="false">
      <c r="A749" s="55"/>
      <c r="B749" s="56"/>
      <c r="C749" s="57"/>
      <c r="D749" s="56"/>
      <c r="E749" s="56"/>
      <c r="F749" s="56"/>
      <c r="G749" s="50" t="str">
        <f aca="false">IF($A749="","",IF(ISNUMBER($G748),$G748+1,1))</f>
        <v/>
      </c>
      <c r="H749" s="51" t="str">
        <f aca="false">IF(OR(NOT(ISNUMBER($G749)),$G749&lt;2,NOT(ISNUMBER($C748)),$C748=0),"",$C749/$C748-1)</f>
        <v/>
      </c>
      <c r="I749" s="52" t="str">
        <f aca="false">IF(AND(ISNUMBER($G749),$G749&gt;=MA_SHORT),AVERAGE(INDEX($C$349:$C749,402-MA_SHORT):$C749),"")</f>
        <v/>
      </c>
      <c r="J749" s="52" t="str">
        <f aca="false">IF(AND(ISNUMBER($G749),$G749&gt;=MA_MED),AVERAGE(INDEX($C$349:$C749,402-MA_MED):$C749),"")</f>
        <v/>
      </c>
      <c r="K749" s="52" t="str">
        <f aca="false">IF(AND(ISNUMBER($G749),$G749&gt;=MA_LONG2),AVERAGE(INDEX($C$349:$C749,402-MA_LONG2):$C749),"")</f>
        <v/>
      </c>
      <c r="L749" s="53" t="str">
        <f aca="false">IF(AND(ISNUMBER($G749),$G749&gt;=21),STDEV(INDEX($H$689:$H749,62-20):$H749)*SQRT(245),"")</f>
        <v/>
      </c>
      <c r="M749" s="52" t="str">
        <f aca="false">IF(AND(ISNUMBER($G749),$G749&gt;=60),MAX(INDEX($D$549:$D749,202-60):$D749),"")</f>
        <v/>
      </c>
      <c r="N749" s="52" t="str">
        <f aca="false">IF(AND(ISNUMBER($G749),$G749&gt;=60),MIN(INDEX($E$549:$E749,202-60):$E749),"")</f>
        <v/>
      </c>
      <c r="O749" s="53" t="str">
        <f aca="false">IF(OR(NOT(ISNUMBER($C749)),NOT(ISNUMBER($M749)),$M749=0),"",$C749/$M749-1)</f>
        <v/>
      </c>
      <c r="P749" s="54"/>
      <c r="Q749" s="53" t="str">
        <f aca="false">IF(NOT(ISNUMBER($P749)),"",IFERROR(PERCENTRANK($P$5:$P$1204,$P749),""))</f>
        <v/>
      </c>
    </row>
    <row r="750" customFormat="false" ht="15" hidden="false" customHeight="false" outlineLevel="0" collapsed="false">
      <c r="A750" s="55"/>
      <c r="B750" s="56"/>
      <c r="C750" s="57"/>
      <c r="D750" s="56"/>
      <c r="E750" s="56"/>
      <c r="F750" s="56"/>
      <c r="G750" s="50" t="str">
        <f aca="false">IF($A750="","",IF(ISNUMBER($G749),$G749+1,1))</f>
        <v/>
      </c>
      <c r="H750" s="51" t="str">
        <f aca="false">IF(OR(NOT(ISNUMBER($G750)),$G750&lt;2,NOT(ISNUMBER($C749)),$C749=0),"",$C750/$C749-1)</f>
        <v/>
      </c>
      <c r="I750" s="52" t="str">
        <f aca="false">IF(AND(ISNUMBER($G750),$G750&gt;=MA_SHORT),AVERAGE(INDEX($C$350:$C750,402-MA_SHORT):$C750),"")</f>
        <v/>
      </c>
      <c r="J750" s="52" t="str">
        <f aca="false">IF(AND(ISNUMBER($G750),$G750&gt;=MA_MED),AVERAGE(INDEX($C$350:$C750,402-MA_MED):$C750),"")</f>
        <v/>
      </c>
      <c r="K750" s="52" t="str">
        <f aca="false">IF(AND(ISNUMBER($G750),$G750&gt;=MA_LONG2),AVERAGE(INDEX($C$350:$C750,402-MA_LONG2):$C750),"")</f>
        <v/>
      </c>
      <c r="L750" s="53" t="str">
        <f aca="false">IF(AND(ISNUMBER($G750),$G750&gt;=21),STDEV(INDEX($H$690:$H750,62-20):$H750)*SQRT(245),"")</f>
        <v/>
      </c>
      <c r="M750" s="52" t="str">
        <f aca="false">IF(AND(ISNUMBER($G750),$G750&gt;=60),MAX(INDEX($D$550:$D750,202-60):$D750),"")</f>
        <v/>
      </c>
      <c r="N750" s="52" t="str">
        <f aca="false">IF(AND(ISNUMBER($G750),$G750&gt;=60),MIN(INDEX($E$550:$E750,202-60):$E750),"")</f>
        <v/>
      </c>
      <c r="O750" s="53" t="str">
        <f aca="false">IF(OR(NOT(ISNUMBER($C750)),NOT(ISNUMBER($M750)),$M750=0),"",$C750/$M750-1)</f>
        <v/>
      </c>
      <c r="P750" s="54"/>
      <c r="Q750" s="53" t="str">
        <f aca="false">IF(NOT(ISNUMBER($P750)),"",IFERROR(PERCENTRANK($P$5:$P$1204,$P750),""))</f>
        <v/>
      </c>
    </row>
    <row r="751" customFormat="false" ht="15" hidden="false" customHeight="false" outlineLevel="0" collapsed="false">
      <c r="A751" s="55"/>
      <c r="B751" s="56"/>
      <c r="C751" s="57"/>
      <c r="D751" s="56"/>
      <c r="E751" s="56"/>
      <c r="F751" s="56"/>
      <c r="G751" s="50" t="str">
        <f aca="false">IF($A751="","",IF(ISNUMBER($G750),$G750+1,1))</f>
        <v/>
      </c>
      <c r="H751" s="51" t="str">
        <f aca="false">IF(OR(NOT(ISNUMBER($G751)),$G751&lt;2,NOT(ISNUMBER($C750)),$C750=0),"",$C751/$C750-1)</f>
        <v/>
      </c>
      <c r="I751" s="52" t="str">
        <f aca="false">IF(AND(ISNUMBER($G751),$G751&gt;=MA_SHORT),AVERAGE(INDEX($C$351:$C751,402-MA_SHORT):$C751),"")</f>
        <v/>
      </c>
      <c r="J751" s="52" t="str">
        <f aca="false">IF(AND(ISNUMBER($G751),$G751&gt;=MA_MED),AVERAGE(INDEX($C$351:$C751,402-MA_MED):$C751),"")</f>
        <v/>
      </c>
      <c r="K751" s="52" t="str">
        <f aca="false">IF(AND(ISNUMBER($G751),$G751&gt;=MA_LONG2),AVERAGE(INDEX($C$351:$C751,402-MA_LONG2):$C751),"")</f>
        <v/>
      </c>
      <c r="L751" s="53" t="str">
        <f aca="false">IF(AND(ISNUMBER($G751),$G751&gt;=21),STDEV(INDEX($H$691:$H751,62-20):$H751)*SQRT(245),"")</f>
        <v/>
      </c>
      <c r="M751" s="52" t="str">
        <f aca="false">IF(AND(ISNUMBER($G751),$G751&gt;=60),MAX(INDEX($D$551:$D751,202-60):$D751),"")</f>
        <v/>
      </c>
      <c r="N751" s="52" t="str">
        <f aca="false">IF(AND(ISNUMBER($G751),$G751&gt;=60),MIN(INDEX($E$551:$E751,202-60):$E751),"")</f>
        <v/>
      </c>
      <c r="O751" s="53" t="str">
        <f aca="false">IF(OR(NOT(ISNUMBER($C751)),NOT(ISNUMBER($M751)),$M751=0),"",$C751/$M751-1)</f>
        <v/>
      </c>
      <c r="P751" s="54"/>
      <c r="Q751" s="53" t="str">
        <f aca="false">IF(NOT(ISNUMBER($P751)),"",IFERROR(PERCENTRANK($P$5:$P$1204,$P751),""))</f>
        <v/>
      </c>
    </row>
    <row r="752" customFormat="false" ht="15" hidden="false" customHeight="false" outlineLevel="0" collapsed="false">
      <c r="A752" s="55"/>
      <c r="B752" s="56"/>
      <c r="C752" s="57"/>
      <c r="D752" s="56"/>
      <c r="E752" s="56"/>
      <c r="F752" s="56"/>
      <c r="G752" s="50" t="str">
        <f aca="false">IF($A752="","",IF(ISNUMBER($G751),$G751+1,1))</f>
        <v/>
      </c>
      <c r="H752" s="51" t="str">
        <f aca="false">IF(OR(NOT(ISNUMBER($G752)),$G752&lt;2,NOT(ISNUMBER($C751)),$C751=0),"",$C752/$C751-1)</f>
        <v/>
      </c>
      <c r="I752" s="52" t="str">
        <f aca="false">IF(AND(ISNUMBER($G752),$G752&gt;=MA_SHORT),AVERAGE(INDEX($C$352:$C752,402-MA_SHORT):$C752),"")</f>
        <v/>
      </c>
      <c r="J752" s="52" t="str">
        <f aca="false">IF(AND(ISNUMBER($G752),$G752&gt;=MA_MED),AVERAGE(INDEX($C$352:$C752,402-MA_MED):$C752),"")</f>
        <v/>
      </c>
      <c r="K752" s="52" t="str">
        <f aca="false">IF(AND(ISNUMBER($G752),$G752&gt;=MA_LONG2),AVERAGE(INDEX($C$352:$C752,402-MA_LONG2):$C752),"")</f>
        <v/>
      </c>
      <c r="L752" s="53" t="str">
        <f aca="false">IF(AND(ISNUMBER($G752),$G752&gt;=21),STDEV(INDEX($H$692:$H752,62-20):$H752)*SQRT(245),"")</f>
        <v/>
      </c>
      <c r="M752" s="52" t="str">
        <f aca="false">IF(AND(ISNUMBER($G752),$G752&gt;=60),MAX(INDEX($D$552:$D752,202-60):$D752),"")</f>
        <v/>
      </c>
      <c r="N752" s="52" t="str">
        <f aca="false">IF(AND(ISNUMBER($G752),$G752&gt;=60),MIN(INDEX($E$552:$E752,202-60):$E752),"")</f>
        <v/>
      </c>
      <c r="O752" s="53" t="str">
        <f aca="false">IF(OR(NOT(ISNUMBER($C752)),NOT(ISNUMBER($M752)),$M752=0),"",$C752/$M752-1)</f>
        <v/>
      </c>
      <c r="P752" s="54"/>
      <c r="Q752" s="53" t="str">
        <f aca="false">IF(NOT(ISNUMBER($P752)),"",IFERROR(PERCENTRANK($P$5:$P$1204,$P752),""))</f>
        <v/>
      </c>
    </row>
    <row r="753" customFormat="false" ht="15" hidden="false" customHeight="false" outlineLevel="0" collapsed="false">
      <c r="A753" s="55"/>
      <c r="B753" s="56"/>
      <c r="C753" s="57"/>
      <c r="D753" s="56"/>
      <c r="E753" s="56"/>
      <c r="F753" s="56"/>
      <c r="G753" s="50" t="str">
        <f aca="false">IF($A753="","",IF(ISNUMBER($G752),$G752+1,1))</f>
        <v/>
      </c>
      <c r="H753" s="51" t="str">
        <f aca="false">IF(OR(NOT(ISNUMBER($G753)),$G753&lt;2,NOT(ISNUMBER($C752)),$C752=0),"",$C753/$C752-1)</f>
        <v/>
      </c>
      <c r="I753" s="52" t="str">
        <f aca="false">IF(AND(ISNUMBER($G753),$G753&gt;=MA_SHORT),AVERAGE(INDEX($C$353:$C753,402-MA_SHORT):$C753),"")</f>
        <v/>
      </c>
      <c r="J753" s="52" t="str">
        <f aca="false">IF(AND(ISNUMBER($G753),$G753&gt;=MA_MED),AVERAGE(INDEX($C$353:$C753,402-MA_MED):$C753),"")</f>
        <v/>
      </c>
      <c r="K753" s="52" t="str">
        <f aca="false">IF(AND(ISNUMBER($G753),$G753&gt;=MA_LONG2),AVERAGE(INDEX($C$353:$C753,402-MA_LONG2):$C753),"")</f>
        <v/>
      </c>
      <c r="L753" s="53" t="str">
        <f aca="false">IF(AND(ISNUMBER($G753),$G753&gt;=21),STDEV(INDEX($H$693:$H753,62-20):$H753)*SQRT(245),"")</f>
        <v/>
      </c>
      <c r="M753" s="52" t="str">
        <f aca="false">IF(AND(ISNUMBER($G753),$G753&gt;=60),MAX(INDEX($D$553:$D753,202-60):$D753),"")</f>
        <v/>
      </c>
      <c r="N753" s="52" t="str">
        <f aca="false">IF(AND(ISNUMBER($G753),$G753&gt;=60),MIN(INDEX($E$553:$E753,202-60):$E753),"")</f>
        <v/>
      </c>
      <c r="O753" s="53" t="str">
        <f aca="false">IF(OR(NOT(ISNUMBER($C753)),NOT(ISNUMBER($M753)),$M753=0),"",$C753/$M753-1)</f>
        <v/>
      </c>
      <c r="P753" s="54"/>
      <c r="Q753" s="53" t="str">
        <f aca="false">IF(NOT(ISNUMBER($P753)),"",IFERROR(PERCENTRANK($P$5:$P$1204,$P753),""))</f>
        <v/>
      </c>
    </row>
    <row r="754" customFormat="false" ht="15" hidden="false" customHeight="false" outlineLevel="0" collapsed="false">
      <c r="A754" s="55"/>
      <c r="B754" s="56"/>
      <c r="C754" s="57"/>
      <c r="D754" s="56"/>
      <c r="E754" s="56"/>
      <c r="F754" s="56"/>
      <c r="G754" s="50" t="str">
        <f aca="false">IF($A754="","",IF(ISNUMBER($G753),$G753+1,1))</f>
        <v/>
      </c>
      <c r="H754" s="51" t="str">
        <f aca="false">IF(OR(NOT(ISNUMBER($G754)),$G754&lt;2,NOT(ISNUMBER($C753)),$C753=0),"",$C754/$C753-1)</f>
        <v/>
      </c>
      <c r="I754" s="52" t="str">
        <f aca="false">IF(AND(ISNUMBER($G754),$G754&gt;=MA_SHORT),AVERAGE(INDEX($C$354:$C754,402-MA_SHORT):$C754),"")</f>
        <v/>
      </c>
      <c r="J754" s="52" t="str">
        <f aca="false">IF(AND(ISNUMBER($G754),$G754&gt;=MA_MED),AVERAGE(INDEX($C$354:$C754,402-MA_MED):$C754),"")</f>
        <v/>
      </c>
      <c r="K754" s="52" t="str">
        <f aca="false">IF(AND(ISNUMBER($G754),$G754&gt;=MA_LONG2),AVERAGE(INDEX($C$354:$C754,402-MA_LONG2):$C754),"")</f>
        <v/>
      </c>
      <c r="L754" s="53" t="str">
        <f aca="false">IF(AND(ISNUMBER($G754),$G754&gt;=21),STDEV(INDEX($H$694:$H754,62-20):$H754)*SQRT(245),"")</f>
        <v/>
      </c>
      <c r="M754" s="52" t="str">
        <f aca="false">IF(AND(ISNUMBER($G754),$G754&gt;=60),MAX(INDEX($D$554:$D754,202-60):$D754),"")</f>
        <v/>
      </c>
      <c r="N754" s="52" t="str">
        <f aca="false">IF(AND(ISNUMBER($G754),$G754&gt;=60),MIN(INDEX($E$554:$E754,202-60):$E754),"")</f>
        <v/>
      </c>
      <c r="O754" s="53" t="str">
        <f aca="false">IF(OR(NOT(ISNUMBER($C754)),NOT(ISNUMBER($M754)),$M754=0),"",$C754/$M754-1)</f>
        <v/>
      </c>
      <c r="P754" s="54"/>
      <c r="Q754" s="53" t="str">
        <f aca="false">IF(NOT(ISNUMBER($P754)),"",IFERROR(PERCENTRANK($P$5:$P$1204,$P754),""))</f>
        <v/>
      </c>
    </row>
    <row r="755" customFormat="false" ht="15" hidden="false" customHeight="false" outlineLevel="0" collapsed="false">
      <c r="A755" s="55"/>
      <c r="B755" s="56"/>
      <c r="C755" s="57"/>
      <c r="D755" s="56"/>
      <c r="E755" s="56"/>
      <c r="F755" s="56"/>
      <c r="G755" s="50" t="str">
        <f aca="false">IF($A755="","",IF(ISNUMBER($G754),$G754+1,1))</f>
        <v/>
      </c>
      <c r="H755" s="51" t="str">
        <f aca="false">IF(OR(NOT(ISNUMBER($G755)),$G755&lt;2,NOT(ISNUMBER($C754)),$C754=0),"",$C755/$C754-1)</f>
        <v/>
      </c>
      <c r="I755" s="52" t="str">
        <f aca="false">IF(AND(ISNUMBER($G755),$G755&gt;=MA_SHORT),AVERAGE(INDEX($C$355:$C755,402-MA_SHORT):$C755),"")</f>
        <v/>
      </c>
      <c r="J755" s="52" t="str">
        <f aca="false">IF(AND(ISNUMBER($G755),$G755&gt;=MA_MED),AVERAGE(INDEX($C$355:$C755,402-MA_MED):$C755),"")</f>
        <v/>
      </c>
      <c r="K755" s="52" t="str">
        <f aca="false">IF(AND(ISNUMBER($G755),$G755&gt;=MA_LONG2),AVERAGE(INDEX($C$355:$C755,402-MA_LONG2):$C755),"")</f>
        <v/>
      </c>
      <c r="L755" s="53" t="str">
        <f aca="false">IF(AND(ISNUMBER($G755),$G755&gt;=21),STDEV(INDEX($H$695:$H755,62-20):$H755)*SQRT(245),"")</f>
        <v/>
      </c>
      <c r="M755" s="52" t="str">
        <f aca="false">IF(AND(ISNUMBER($G755),$G755&gt;=60),MAX(INDEX($D$555:$D755,202-60):$D755),"")</f>
        <v/>
      </c>
      <c r="N755" s="52" t="str">
        <f aca="false">IF(AND(ISNUMBER($G755),$G755&gt;=60),MIN(INDEX($E$555:$E755,202-60):$E755),"")</f>
        <v/>
      </c>
      <c r="O755" s="53" t="str">
        <f aca="false">IF(OR(NOT(ISNUMBER($C755)),NOT(ISNUMBER($M755)),$M755=0),"",$C755/$M755-1)</f>
        <v/>
      </c>
      <c r="P755" s="54"/>
      <c r="Q755" s="53" t="str">
        <f aca="false">IF(NOT(ISNUMBER($P755)),"",IFERROR(PERCENTRANK($P$5:$P$1204,$P755),""))</f>
        <v/>
      </c>
    </row>
    <row r="756" customFormat="false" ht="15" hidden="false" customHeight="false" outlineLevel="0" collapsed="false">
      <c r="A756" s="55"/>
      <c r="B756" s="56"/>
      <c r="C756" s="57"/>
      <c r="D756" s="56"/>
      <c r="E756" s="56"/>
      <c r="F756" s="56"/>
      <c r="G756" s="50" t="str">
        <f aca="false">IF($A756="","",IF(ISNUMBER($G755),$G755+1,1))</f>
        <v/>
      </c>
      <c r="H756" s="51" t="str">
        <f aca="false">IF(OR(NOT(ISNUMBER($G756)),$G756&lt;2,NOT(ISNUMBER($C755)),$C755=0),"",$C756/$C755-1)</f>
        <v/>
      </c>
      <c r="I756" s="52" t="str">
        <f aca="false">IF(AND(ISNUMBER($G756),$G756&gt;=MA_SHORT),AVERAGE(INDEX($C$356:$C756,402-MA_SHORT):$C756),"")</f>
        <v/>
      </c>
      <c r="J756" s="52" t="str">
        <f aca="false">IF(AND(ISNUMBER($G756),$G756&gt;=MA_MED),AVERAGE(INDEX($C$356:$C756,402-MA_MED):$C756),"")</f>
        <v/>
      </c>
      <c r="K756" s="52" t="str">
        <f aca="false">IF(AND(ISNUMBER($G756),$G756&gt;=MA_LONG2),AVERAGE(INDEX($C$356:$C756,402-MA_LONG2):$C756),"")</f>
        <v/>
      </c>
      <c r="L756" s="53" t="str">
        <f aca="false">IF(AND(ISNUMBER($G756),$G756&gt;=21),STDEV(INDEX($H$696:$H756,62-20):$H756)*SQRT(245),"")</f>
        <v/>
      </c>
      <c r="M756" s="52" t="str">
        <f aca="false">IF(AND(ISNUMBER($G756),$G756&gt;=60),MAX(INDEX($D$556:$D756,202-60):$D756),"")</f>
        <v/>
      </c>
      <c r="N756" s="52" t="str">
        <f aca="false">IF(AND(ISNUMBER($G756),$G756&gt;=60),MIN(INDEX($E$556:$E756,202-60):$E756),"")</f>
        <v/>
      </c>
      <c r="O756" s="53" t="str">
        <f aca="false">IF(OR(NOT(ISNUMBER($C756)),NOT(ISNUMBER($M756)),$M756=0),"",$C756/$M756-1)</f>
        <v/>
      </c>
      <c r="P756" s="54"/>
      <c r="Q756" s="53" t="str">
        <f aca="false">IF(NOT(ISNUMBER($P756)),"",IFERROR(PERCENTRANK($P$5:$P$1204,$P756),""))</f>
        <v/>
      </c>
    </row>
    <row r="757" customFormat="false" ht="15" hidden="false" customHeight="false" outlineLevel="0" collapsed="false">
      <c r="A757" s="55"/>
      <c r="B757" s="56"/>
      <c r="C757" s="57"/>
      <c r="D757" s="56"/>
      <c r="E757" s="56"/>
      <c r="F757" s="56"/>
      <c r="G757" s="50" t="str">
        <f aca="false">IF($A757="","",IF(ISNUMBER($G756),$G756+1,1))</f>
        <v/>
      </c>
      <c r="H757" s="51" t="str">
        <f aca="false">IF(OR(NOT(ISNUMBER($G757)),$G757&lt;2,NOT(ISNUMBER($C756)),$C756=0),"",$C757/$C756-1)</f>
        <v/>
      </c>
      <c r="I757" s="52" t="str">
        <f aca="false">IF(AND(ISNUMBER($G757),$G757&gt;=MA_SHORT),AVERAGE(INDEX($C$357:$C757,402-MA_SHORT):$C757),"")</f>
        <v/>
      </c>
      <c r="J757" s="52" t="str">
        <f aca="false">IF(AND(ISNUMBER($G757),$G757&gt;=MA_MED),AVERAGE(INDEX($C$357:$C757,402-MA_MED):$C757),"")</f>
        <v/>
      </c>
      <c r="K757" s="52" t="str">
        <f aca="false">IF(AND(ISNUMBER($G757),$G757&gt;=MA_LONG2),AVERAGE(INDEX($C$357:$C757,402-MA_LONG2):$C757),"")</f>
        <v/>
      </c>
      <c r="L757" s="53" t="str">
        <f aca="false">IF(AND(ISNUMBER($G757),$G757&gt;=21),STDEV(INDEX($H$697:$H757,62-20):$H757)*SQRT(245),"")</f>
        <v/>
      </c>
      <c r="M757" s="52" t="str">
        <f aca="false">IF(AND(ISNUMBER($G757),$G757&gt;=60),MAX(INDEX($D$557:$D757,202-60):$D757),"")</f>
        <v/>
      </c>
      <c r="N757" s="52" t="str">
        <f aca="false">IF(AND(ISNUMBER($G757),$G757&gt;=60),MIN(INDEX($E$557:$E757,202-60):$E757),"")</f>
        <v/>
      </c>
      <c r="O757" s="53" t="str">
        <f aca="false">IF(OR(NOT(ISNUMBER($C757)),NOT(ISNUMBER($M757)),$M757=0),"",$C757/$M757-1)</f>
        <v/>
      </c>
      <c r="P757" s="54"/>
      <c r="Q757" s="53" t="str">
        <f aca="false">IF(NOT(ISNUMBER($P757)),"",IFERROR(PERCENTRANK($P$5:$P$1204,$P757),""))</f>
        <v/>
      </c>
    </row>
    <row r="758" customFormat="false" ht="15" hidden="false" customHeight="false" outlineLevel="0" collapsed="false">
      <c r="A758" s="55"/>
      <c r="B758" s="56"/>
      <c r="C758" s="57"/>
      <c r="D758" s="56"/>
      <c r="E758" s="56"/>
      <c r="F758" s="56"/>
      <c r="G758" s="50" t="str">
        <f aca="false">IF($A758="","",IF(ISNUMBER($G757),$G757+1,1))</f>
        <v/>
      </c>
      <c r="H758" s="51" t="str">
        <f aca="false">IF(OR(NOT(ISNUMBER($G758)),$G758&lt;2,NOT(ISNUMBER($C757)),$C757=0),"",$C758/$C757-1)</f>
        <v/>
      </c>
      <c r="I758" s="52" t="str">
        <f aca="false">IF(AND(ISNUMBER($G758),$G758&gt;=MA_SHORT),AVERAGE(INDEX($C$358:$C758,402-MA_SHORT):$C758),"")</f>
        <v/>
      </c>
      <c r="J758" s="52" t="str">
        <f aca="false">IF(AND(ISNUMBER($G758),$G758&gt;=MA_MED),AVERAGE(INDEX($C$358:$C758,402-MA_MED):$C758),"")</f>
        <v/>
      </c>
      <c r="K758" s="52" t="str">
        <f aca="false">IF(AND(ISNUMBER($G758),$G758&gt;=MA_LONG2),AVERAGE(INDEX($C$358:$C758,402-MA_LONG2):$C758),"")</f>
        <v/>
      </c>
      <c r="L758" s="53" t="str">
        <f aca="false">IF(AND(ISNUMBER($G758),$G758&gt;=21),STDEV(INDEX($H$698:$H758,62-20):$H758)*SQRT(245),"")</f>
        <v/>
      </c>
      <c r="M758" s="52" t="str">
        <f aca="false">IF(AND(ISNUMBER($G758),$G758&gt;=60),MAX(INDEX($D$558:$D758,202-60):$D758),"")</f>
        <v/>
      </c>
      <c r="N758" s="52" t="str">
        <f aca="false">IF(AND(ISNUMBER($G758),$G758&gt;=60),MIN(INDEX($E$558:$E758,202-60):$E758),"")</f>
        <v/>
      </c>
      <c r="O758" s="53" t="str">
        <f aca="false">IF(OR(NOT(ISNUMBER($C758)),NOT(ISNUMBER($M758)),$M758=0),"",$C758/$M758-1)</f>
        <v/>
      </c>
      <c r="P758" s="54"/>
      <c r="Q758" s="53" t="str">
        <f aca="false">IF(NOT(ISNUMBER($P758)),"",IFERROR(PERCENTRANK($P$5:$P$1204,$P758),""))</f>
        <v/>
      </c>
    </row>
    <row r="759" customFormat="false" ht="15" hidden="false" customHeight="false" outlineLevel="0" collapsed="false">
      <c r="A759" s="55"/>
      <c r="B759" s="56"/>
      <c r="C759" s="57"/>
      <c r="D759" s="56"/>
      <c r="E759" s="56"/>
      <c r="F759" s="56"/>
      <c r="G759" s="50" t="str">
        <f aca="false">IF($A759="","",IF(ISNUMBER($G758),$G758+1,1))</f>
        <v/>
      </c>
      <c r="H759" s="51" t="str">
        <f aca="false">IF(OR(NOT(ISNUMBER($G759)),$G759&lt;2,NOT(ISNUMBER($C758)),$C758=0),"",$C759/$C758-1)</f>
        <v/>
      </c>
      <c r="I759" s="52" t="str">
        <f aca="false">IF(AND(ISNUMBER($G759),$G759&gt;=MA_SHORT),AVERAGE(INDEX($C$359:$C759,402-MA_SHORT):$C759),"")</f>
        <v/>
      </c>
      <c r="J759" s="52" t="str">
        <f aca="false">IF(AND(ISNUMBER($G759),$G759&gt;=MA_MED),AVERAGE(INDEX($C$359:$C759,402-MA_MED):$C759),"")</f>
        <v/>
      </c>
      <c r="K759" s="52" t="str">
        <f aca="false">IF(AND(ISNUMBER($G759),$G759&gt;=MA_LONG2),AVERAGE(INDEX($C$359:$C759,402-MA_LONG2):$C759),"")</f>
        <v/>
      </c>
      <c r="L759" s="53" t="str">
        <f aca="false">IF(AND(ISNUMBER($G759),$G759&gt;=21),STDEV(INDEX($H$699:$H759,62-20):$H759)*SQRT(245),"")</f>
        <v/>
      </c>
      <c r="M759" s="52" t="str">
        <f aca="false">IF(AND(ISNUMBER($G759),$G759&gt;=60),MAX(INDEX($D$559:$D759,202-60):$D759),"")</f>
        <v/>
      </c>
      <c r="N759" s="52" t="str">
        <f aca="false">IF(AND(ISNUMBER($G759),$G759&gt;=60),MIN(INDEX($E$559:$E759,202-60):$E759),"")</f>
        <v/>
      </c>
      <c r="O759" s="53" t="str">
        <f aca="false">IF(OR(NOT(ISNUMBER($C759)),NOT(ISNUMBER($M759)),$M759=0),"",$C759/$M759-1)</f>
        <v/>
      </c>
      <c r="P759" s="54"/>
      <c r="Q759" s="53" t="str">
        <f aca="false">IF(NOT(ISNUMBER($P759)),"",IFERROR(PERCENTRANK($P$5:$P$1204,$P759),""))</f>
        <v/>
      </c>
    </row>
    <row r="760" customFormat="false" ht="15" hidden="false" customHeight="false" outlineLevel="0" collapsed="false">
      <c r="A760" s="55"/>
      <c r="B760" s="56"/>
      <c r="C760" s="57"/>
      <c r="D760" s="56"/>
      <c r="E760" s="56"/>
      <c r="F760" s="56"/>
      <c r="G760" s="50" t="str">
        <f aca="false">IF($A760="","",IF(ISNUMBER($G759),$G759+1,1))</f>
        <v/>
      </c>
      <c r="H760" s="51" t="str">
        <f aca="false">IF(OR(NOT(ISNUMBER($G760)),$G760&lt;2,NOT(ISNUMBER($C759)),$C759=0),"",$C760/$C759-1)</f>
        <v/>
      </c>
      <c r="I760" s="52" t="str">
        <f aca="false">IF(AND(ISNUMBER($G760),$G760&gt;=MA_SHORT),AVERAGE(INDEX($C$360:$C760,402-MA_SHORT):$C760),"")</f>
        <v/>
      </c>
      <c r="J760" s="52" t="str">
        <f aca="false">IF(AND(ISNUMBER($G760),$G760&gt;=MA_MED),AVERAGE(INDEX($C$360:$C760,402-MA_MED):$C760),"")</f>
        <v/>
      </c>
      <c r="K760" s="52" t="str">
        <f aca="false">IF(AND(ISNUMBER($G760),$G760&gt;=MA_LONG2),AVERAGE(INDEX($C$360:$C760,402-MA_LONG2):$C760),"")</f>
        <v/>
      </c>
      <c r="L760" s="53" t="str">
        <f aca="false">IF(AND(ISNUMBER($G760),$G760&gt;=21),STDEV(INDEX($H$700:$H760,62-20):$H760)*SQRT(245),"")</f>
        <v/>
      </c>
      <c r="M760" s="52" t="str">
        <f aca="false">IF(AND(ISNUMBER($G760),$G760&gt;=60),MAX(INDEX($D$560:$D760,202-60):$D760),"")</f>
        <v/>
      </c>
      <c r="N760" s="52" t="str">
        <f aca="false">IF(AND(ISNUMBER($G760),$G760&gt;=60),MIN(INDEX($E$560:$E760,202-60):$E760),"")</f>
        <v/>
      </c>
      <c r="O760" s="53" t="str">
        <f aca="false">IF(OR(NOT(ISNUMBER($C760)),NOT(ISNUMBER($M760)),$M760=0),"",$C760/$M760-1)</f>
        <v/>
      </c>
      <c r="P760" s="54"/>
      <c r="Q760" s="53" t="str">
        <f aca="false">IF(NOT(ISNUMBER($P760)),"",IFERROR(PERCENTRANK($P$5:$P$1204,$P760),""))</f>
        <v/>
      </c>
    </row>
    <row r="761" customFormat="false" ht="15" hidden="false" customHeight="false" outlineLevel="0" collapsed="false">
      <c r="A761" s="55"/>
      <c r="B761" s="56"/>
      <c r="C761" s="57"/>
      <c r="D761" s="56"/>
      <c r="E761" s="56"/>
      <c r="F761" s="56"/>
      <c r="G761" s="50" t="str">
        <f aca="false">IF($A761="","",IF(ISNUMBER($G760),$G760+1,1))</f>
        <v/>
      </c>
      <c r="H761" s="51" t="str">
        <f aca="false">IF(OR(NOT(ISNUMBER($G761)),$G761&lt;2,NOT(ISNUMBER($C760)),$C760=0),"",$C761/$C760-1)</f>
        <v/>
      </c>
      <c r="I761" s="52" t="str">
        <f aca="false">IF(AND(ISNUMBER($G761),$G761&gt;=MA_SHORT),AVERAGE(INDEX($C$361:$C761,402-MA_SHORT):$C761),"")</f>
        <v/>
      </c>
      <c r="J761" s="52" t="str">
        <f aca="false">IF(AND(ISNUMBER($G761),$G761&gt;=MA_MED),AVERAGE(INDEX($C$361:$C761,402-MA_MED):$C761),"")</f>
        <v/>
      </c>
      <c r="K761" s="52" t="str">
        <f aca="false">IF(AND(ISNUMBER($G761),$G761&gt;=MA_LONG2),AVERAGE(INDEX($C$361:$C761,402-MA_LONG2):$C761),"")</f>
        <v/>
      </c>
      <c r="L761" s="53" t="str">
        <f aca="false">IF(AND(ISNUMBER($G761),$G761&gt;=21),STDEV(INDEX($H$701:$H761,62-20):$H761)*SQRT(245),"")</f>
        <v/>
      </c>
      <c r="M761" s="52" t="str">
        <f aca="false">IF(AND(ISNUMBER($G761),$G761&gt;=60),MAX(INDEX($D$561:$D761,202-60):$D761),"")</f>
        <v/>
      </c>
      <c r="N761" s="52" t="str">
        <f aca="false">IF(AND(ISNUMBER($G761),$G761&gt;=60),MIN(INDEX($E$561:$E761,202-60):$E761),"")</f>
        <v/>
      </c>
      <c r="O761" s="53" t="str">
        <f aca="false">IF(OR(NOT(ISNUMBER($C761)),NOT(ISNUMBER($M761)),$M761=0),"",$C761/$M761-1)</f>
        <v/>
      </c>
      <c r="P761" s="54"/>
      <c r="Q761" s="53" t="str">
        <f aca="false">IF(NOT(ISNUMBER($P761)),"",IFERROR(PERCENTRANK($P$5:$P$1204,$P761),""))</f>
        <v/>
      </c>
    </row>
    <row r="762" customFormat="false" ht="15" hidden="false" customHeight="false" outlineLevel="0" collapsed="false">
      <c r="A762" s="55"/>
      <c r="B762" s="56"/>
      <c r="C762" s="57"/>
      <c r="D762" s="56"/>
      <c r="E762" s="56"/>
      <c r="F762" s="56"/>
      <c r="G762" s="50" t="str">
        <f aca="false">IF($A762="","",IF(ISNUMBER($G761),$G761+1,1))</f>
        <v/>
      </c>
      <c r="H762" s="51" t="str">
        <f aca="false">IF(OR(NOT(ISNUMBER($G762)),$G762&lt;2,NOT(ISNUMBER($C761)),$C761=0),"",$C762/$C761-1)</f>
        <v/>
      </c>
      <c r="I762" s="52" t="str">
        <f aca="false">IF(AND(ISNUMBER($G762),$G762&gt;=MA_SHORT),AVERAGE(INDEX($C$362:$C762,402-MA_SHORT):$C762),"")</f>
        <v/>
      </c>
      <c r="J762" s="52" t="str">
        <f aca="false">IF(AND(ISNUMBER($G762),$G762&gt;=MA_MED),AVERAGE(INDEX($C$362:$C762,402-MA_MED):$C762),"")</f>
        <v/>
      </c>
      <c r="K762" s="52" t="str">
        <f aca="false">IF(AND(ISNUMBER($G762),$G762&gt;=MA_LONG2),AVERAGE(INDEX($C$362:$C762,402-MA_LONG2):$C762),"")</f>
        <v/>
      </c>
      <c r="L762" s="53" t="str">
        <f aca="false">IF(AND(ISNUMBER($G762),$G762&gt;=21),STDEV(INDEX($H$702:$H762,62-20):$H762)*SQRT(245),"")</f>
        <v/>
      </c>
      <c r="M762" s="52" t="str">
        <f aca="false">IF(AND(ISNUMBER($G762),$G762&gt;=60),MAX(INDEX($D$562:$D762,202-60):$D762),"")</f>
        <v/>
      </c>
      <c r="N762" s="52" t="str">
        <f aca="false">IF(AND(ISNUMBER($G762),$G762&gt;=60),MIN(INDEX($E$562:$E762,202-60):$E762),"")</f>
        <v/>
      </c>
      <c r="O762" s="53" t="str">
        <f aca="false">IF(OR(NOT(ISNUMBER($C762)),NOT(ISNUMBER($M762)),$M762=0),"",$C762/$M762-1)</f>
        <v/>
      </c>
      <c r="P762" s="54"/>
      <c r="Q762" s="53" t="str">
        <f aca="false">IF(NOT(ISNUMBER($P762)),"",IFERROR(PERCENTRANK($P$5:$P$1204,$P762),""))</f>
        <v/>
      </c>
    </row>
    <row r="763" customFormat="false" ht="15" hidden="false" customHeight="false" outlineLevel="0" collapsed="false">
      <c r="A763" s="55"/>
      <c r="B763" s="56"/>
      <c r="C763" s="57"/>
      <c r="D763" s="56"/>
      <c r="E763" s="56"/>
      <c r="F763" s="56"/>
      <c r="G763" s="50" t="str">
        <f aca="false">IF($A763="","",IF(ISNUMBER($G762),$G762+1,1))</f>
        <v/>
      </c>
      <c r="H763" s="51" t="str">
        <f aca="false">IF(OR(NOT(ISNUMBER($G763)),$G763&lt;2,NOT(ISNUMBER($C762)),$C762=0),"",$C763/$C762-1)</f>
        <v/>
      </c>
      <c r="I763" s="52" t="str">
        <f aca="false">IF(AND(ISNUMBER($G763),$G763&gt;=MA_SHORT),AVERAGE(INDEX($C$363:$C763,402-MA_SHORT):$C763),"")</f>
        <v/>
      </c>
      <c r="J763" s="52" t="str">
        <f aca="false">IF(AND(ISNUMBER($G763),$G763&gt;=MA_MED),AVERAGE(INDEX($C$363:$C763,402-MA_MED):$C763),"")</f>
        <v/>
      </c>
      <c r="K763" s="52" t="str">
        <f aca="false">IF(AND(ISNUMBER($G763),$G763&gt;=MA_LONG2),AVERAGE(INDEX($C$363:$C763,402-MA_LONG2):$C763),"")</f>
        <v/>
      </c>
      <c r="L763" s="53" t="str">
        <f aca="false">IF(AND(ISNUMBER($G763),$G763&gt;=21),STDEV(INDEX($H$703:$H763,62-20):$H763)*SQRT(245),"")</f>
        <v/>
      </c>
      <c r="M763" s="52" t="str">
        <f aca="false">IF(AND(ISNUMBER($G763),$G763&gt;=60),MAX(INDEX($D$563:$D763,202-60):$D763),"")</f>
        <v/>
      </c>
      <c r="N763" s="52" t="str">
        <f aca="false">IF(AND(ISNUMBER($G763),$G763&gt;=60),MIN(INDEX($E$563:$E763,202-60):$E763),"")</f>
        <v/>
      </c>
      <c r="O763" s="53" t="str">
        <f aca="false">IF(OR(NOT(ISNUMBER($C763)),NOT(ISNUMBER($M763)),$M763=0),"",$C763/$M763-1)</f>
        <v/>
      </c>
      <c r="P763" s="54"/>
      <c r="Q763" s="53" t="str">
        <f aca="false">IF(NOT(ISNUMBER($P763)),"",IFERROR(PERCENTRANK($P$5:$P$1204,$P763),""))</f>
        <v/>
      </c>
    </row>
    <row r="764" customFormat="false" ht="15" hidden="false" customHeight="false" outlineLevel="0" collapsed="false">
      <c r="A764" s="55"/>
      <c r="B764" s="56"/>
      <c r="C764" s="57"/>
      <c r="D764" s="56"/>
      <c r="E764" s="56"/>
      <c r="F764" s="56"/>
      <c r="G764" s="50" t="str">
        <f aca="false">IF($A764="","",IF(ISNUMBER($G763),$G763+1,1))</f>
        <v/>
      </c>
      <c r="H764" s="51" t="str">
        <f aca="false">IF(OR(NOT(ISNUMBER($G764)),$G764&lt;2,NOT(ISNUMBER($C763)),$C763=0),"",$C764/$C763-1)</f>
        <v/>
      </c>
      <c r="I764" s="52" t="str">
        <f aca="false">IF(AND(ISNUMBER($G764),$G764&gt;=MA_SHORT),AVERAGE(INDEX($C$364:$C764,402-MA_SHORT):$C764),"")</f>
        <v/>
      </c>
      <c r="J764" s="52" t="str">
        <f aca="false">IF(AND(ISNUMBER($G764),$G764&gt;=MA_MED),AVERAGE(INDEX($C$364:$C764,402-MA_MED):$C764),"")</f>
        <v/>
      </c>
      <c r="K764" s="52" t="str">
        <f aca="false">IF(AND(ISNUMBER($G764),$G764&gt;=MA_LONG2),AVERAGE(INDEX($C$364:$C764,402-MA_LONG2):$C764),"")</f>
        <v/>
      </c>
      <c r="L764" s="53" t="str">
        <f aca="false">IF(AND(ISNUMBER($G764),$G764&gt;=21),STDEV(INDEX($H$704:$H764,62-20):$H764)*SQRT(245),"")</f>
        <v/>
      </c>
      <c r="M764" s="52" t="str">
        <f aca="false">IF(AND(ISNUMBER($G764),$G764&gt;=60),MAX(INDEX($D$564:$D764,202-60):$D764),"")</f>
        <v/>
      </c>
      <c r="N764" s="52" t="str">
        <f aca="false">IF(AND(ISNUMBER($G764),$G764&gt;=60),MIN(INDEX($E$564:$E764,202-60):$E764),"")</f>
        <v/>
      </c>
      <c r="O764" s="53" t="str">
        <f aca="false">IF(OR(NOT(ISNUMBER($C764)),NOT(ISNUMBER($M764)),$M764=0),"",$C764/$M764-1)</f>
        <v/>
      </c>
      <c r="P764" s="54"/>
      <c r="Q764" s="53" t="str">
        <f aca="false">IF(NOT(ISNUMBER($P764)),"",IFERROR(PERCENTRANK($P$5:$P$1204,$P764),""))</f>
        <v/>
      </c>
    </row>
    <row r="765" customFormat="false" ht="15" hidden="false" customHeight="false" outlineLevel="0" collapsed="false">
      <c r="A765" s="55"/>
      <c r="B765" s="56"/>
      <c r="C765" s="57"/>
      <c r="D765" s="56"/>
      <c r="E765" s="56"/>
      <c r="F765" s="56"/>
      <c r="G765" s="50" t="str">
        <f aca="false">IF($A765="","",IF(ISNUMBER($G764),$G764+1,1))</f>
        <v/>
      </c>
      <c r="H765" s="51" t="str">
        <f aca="false">IF(OR(NOT(ISNUMBER($G765)),$G765&lt;2,NOT(ISNUMBER($C764)),$C764=0),"",$C765/$C764-1)</f>
        <v/>
      </c>
      <c r="I765" s="52" t="str">
        <f aca="false">IF(AND(ISNUMBER($G765),$G765&gt;=MA_SHORT),AVERAGE(INDEX($C$365:$C765,402-MA_SHORT):$C765),"")</f>
        <v/>
      </c>
      <c r="J765" s="52" t="str">
        <f aca="false">IF(AND(ISNUMBER($G765),$G765&gt;=MA_MED),AVERAGE(INDEX($C$365:$C765,402-MA_MED):$C765),"")</f>
        <v/>
      </c>
      <c r="K765" s="52" t="str">
        <f aca="false">IF(AND(ISNUMBER($G765),$G765&gt;=MA_LONG2),AVERAGE(INDEX($C$365:$C765,402-MA_LONG2):$C765),"")</f>
        <v/>
      </c>
      <c r="L765" s="53" t="str">
        <f aca="false">IF(AND(ISNUMBER($G765),$G765&gt;=21),STDEV(INDEX($H$705:$H765,62-20):$H765)*SQRT(245),"")</f>
        <v/>
      </c>
      <c r="M765" s="52" t="str">
        <f aca="false">IF(AND(ISNUMBER($G765),$G765&gt;=60),MAX(INDEX($D$565:$D765,202-60):$D765),"")</f>
        <v/>
      </c>
      <c r="N765" s="52" t="str">
        <f aca="false">IF(AND(ISNUMBER($G765),$G765&gt;=60),MIN(INDEX($E$565:$E765,202-60):$E765),"")</f>
        <v/>
      </c>
      <c r="O765" s="53" t="str">
        <f aca="false">IF(OR(NOT(ISNUMBER($C765)),NOT(ISNUMBER($M765)),$M765=0),"",$C765/$M765-1)</f>
        <v/>
      </c>
      <c r="P765" s="54"/>
      <c r="Q765" s="53" t="str">
        <f aca="false">IF(NOT(ISNUMBER($P765)),"",IFERROR(PERCENTRANK($P$5:$P$1204,$P765),""))</f>
        <v/>
      </c>
    </row>
    <row r="766" customFormat="false" ht="15" hidden="false" customHeight="false" outlineLevel="0" collapsed="false">
      <c r="A766" s="55"/>
      <c r="B766" s="56"/>
      <c r="C766" s="57"/>
      <c r="D766" s="56"/>
      <c r="E766" s="56"/>
      <c r="F766" s="56"/>
      <c r="G766" s="50" t="str">
        <f aca="false">IF($A766="","",IF(ISNUMBER($G765),$G765+1,1))</f>
        <v/>
      </c>
      <c r="H766" s="51" t="str">
        <f aca="false">IF(OR(NOT(ISNUMBER($G766)),$G766&lt;2,NOT(ISNUMBER($C765)),$C765=0),"",$C766/$C765-1)</f>
        <v/>
      </c>
      <c r="I766" s="52" t="str">
        <f aca="false">IF(AND(ISNUMBER($G766),$G766&gt;=MA_SHORT),AVERAGE(INDEX($C$366:$C766,402-MA_SHORT):$C766),"")</f>
        <v/>
      </c>
      <c r="J766" s="52" t="str">
        <f aca="false">IF(AND(ISNUMBER($G766),$G766&gt;=MA_MED),AVERAGE(INDEX($C$366:$C766,402-MA_MED):$C766),"")</f>
        <v/>
      </c>
      <c r="K766" s="52" t="str">
        <f aca="false">IF(AND(ISNUMBER($G766),$G766&gt;=MA_LONG2),AVERAGE(INDEX($C$366:$C766,402-MA_LONG2):$C766),"")</f>
        <v/>
      </c>
      <c r="L766" s="53" t="str">
        <f aca="false">IF(AND(ISNUMBER($G766),$G766&gt;=21),STDEV(INDEX($H$706:$H766,62-20):$H766)*SQRT(245),"")</f>
        <v/>
      </c>
      <c r="M766" s="52" t="str">
        <f aca="false">IF(AND(ISNUMBER($G766),$G766&gt;=60),MAX(INDEX($D$566:$D766,202-60):$D766),"")</f>
        <v/>
      </c>
      <c r="N766" s="52" t="str">
        <f aca="false">IF(AND(ISNUMBER($G766),$G766&gt;=60),MIN(INDEX($E$566:$E766,202-60):$E766),"")</f>
        <v/>
      </c>
      <c r="O766" s="53" t="str">
        <f aca="false">IF(OR(NOT(ISNUMBER($C766)),NOT(ISNUMBER($M766)),$M766=0),"",$C766/$M766-1)</f>
        <v/>
      </c>
      <c r="P766" s="54"/>
      <c r="Q766" s="53" t="str">
        <f aca="false">IF(NOT(ISNUMBER($P766)),"",IFERROR(PERCENTRANK($P$5:$P$1204,$P766),""))</f>
        <v/>
      </c>
    </row>
    <row r="767" customFormat="false" ht="15" hidden="false" customHeight="false" outlineLevel="0" collapsed="false">
      <c r="A767" s="55"/>
      <c r="B767" s="56"/>
      <c r="C767" s="57"/>
      <c r="D767" s="56"/>
      <c r="E767" s="56"/>
      <c r="F767" s="56"/>
      <c r="G767" s="50" t="str">
        <f aca="false">IF($A767="","",IF(ISNUMBER($G766),$G766+1,1))</f>
        <v/>
      </c>
      <c r="H767" s="51" t="str">
        <f aca="false">IF(OR(NOT(ISNUMBER($G767)),$G767&lt;2,NOT(ISNUMBER($C766)),$C766=0),"",$C767/$C766-1)</f>
        <v/>
      </c>
      <c r="I767" s="52" t="str">
        <f aca="false">IF(AND(ISNUMBER($G767),$G767&gt;=MA_SHORT),AVERAGE(INDEX($C$367:$C767,402-MA_SHORT):$C767),"")</f>
        <v/>
      </c>
      <c r="J767" s="52" t="str">
        <f aca="false">IF(AND(ISNUMBER($G767),$G767&gt;=MA_MED),AVERAGE(INDEX($C$367:$C767,402-MA_MED):$C767),"")</f>
        <v/>
      </c>
      <c r="K767" s="52" t="str">
        <f aca="false">IF(AND(ISNUMBER($G767),$G767&gt;=MA_LONG2),AVERAGE(INDEX($C$367:$C767,402-MA_LONG2):$C767),"")</f>
        <v/>
      </c>
      <c r="L767" s="53" t="str">
        <f aca="false">IF(AND(ISNUMBER($G767),$G767&gt;=21),STDEV(INDEX($H$707:$H767,62-20):$H767)*SQRT(245),"")</f>
        <v/>
      </c>
      <c r="M767" s="52" t="str">
        <f aca="false">IF(AND(ISNUMBER($G767),$G767&gt;=60),MAX(INDEX($D$567:$D767,202-60):$D767),"")</f>
        <v/>
      </c>
      <c r="N767" s="52" t="str">
        <f aca="false">IF(AND(ISNUMBER($G767),$G767&gt;=60),MIN(INDEX($E$567:$E767,202-60):$E767),"")</f>
        <v/>
      </c>
      <c r="O767" s="53" t="str">
        <f aca="false">IF(OR(NOT(ISNUMBER($C767)),NOT(ISNUMBER($M767)),$M767=0),"",$C767/$M767-1)</f>
        <v/>
      </c>
      <c r="P767" s="54"/>
      <c r="Q767" s="53" t="str">
        <f aca="false">IF(NOT(ISNUMBER($P767)),"",IFERROR(PERCENTRANK($P$5:$P$1204,$P767),""))</f>
        <v/>
      </c>
    </row>
    <row r="768" customFormat="false" ht="15" hidden="false" customHeight="false" outlineLevel="0" collapsed="false">
      <c r="A768" s="55"/>
      <c r="B768" s="56"/>
      <c r="C768" s="57"/>
      <c r="D768" s="56"/>
      <c r="E768" s="56"/>
      <c r="F768" s="56"/>
      <c r="G768" s="50" t="str">
        <f aca="false">IF($A768="","",IF(ISNUMBER($G767),$G767+1,1))</f>
        <v/>
      </c>
      <c r="H768" s="51" t="str">
        <f aca="false">IF(OR(NOT(ISNUMBER($G768)),$G768&lt;2,NOT(ISNUMBER($C767)),$C767=0),"",$C768/$C767-1)</f>
        <v/>
      </c>
      <c r="I768" s="52" t="str">
        <f aca="false">IF(AND(ISNUMBER($G768),$G768&gt;=MA_SHORT),AVERAGE(INDEX($C$368:$C768,402-MA_SHORT):$C768),"")</f>
        <v/>
      </c>
      <c r="J768" s="52" t="str">
        <f aca="false">IF(AND(ISNUMBER($G768),$G768&gt;=MA_MED),AVERAGE(INDEX($C$368:$C768,402-MA_MED):$C768),"")</f>
        <v/>
      </c>
      <c r="K768" s="52" t="str">
        <f aca="false">IF(AND(ISNUMBER($G768),$G768&gt;=MA_LONG2),AVERAGE(INDEX($C$368:$C768,402-MA_LONG2):$C768),"")</f>
        <v/>
      </c>
      <c r="L768" s="53" t="str">
        <f aca="false">IF(AND(ISNUMBER($G768),$G768&gt;=21),STDEV(INDEX($H$708:$H768,62-20):$H768)*SQRT(245),"")</f>
        <v/>
      </c>
      <c r="M768" s="52" t="str">
        <f aca="false">IF(AND(ISNUMBER($G768),$G768&gt;=60),MAX(INDEX($D$568:$D768,202-60):$D768),"")</f>
        <v/>
      </c>
      <c r="N768" s="52" t="str">
        <f aca="false">IF(AND(ISNUMBER($G768),$G768&gt;=60),MIN(INDEX($E$568:$E768,202-60):$E768),"")</f>
        <v/>
      </c>
      <c r="O768" s="53" t="str">
        <f aca="false">IF(OR(NOT(ISNUMBER($C768)),NOT(ISNUMBER($M768)),$M768=0),"",$C768/$M768-1)</f>
        <v/>
      </c>
      <c r="P768" s="54"/>
      <c r="Q768" s="53" t="str">
        <f aca="false">IF(NOT(ISNUMBER($P768)),"",IFERROR(PERCENTRANK($P$5:$P$1204,$P768),""))</f>
        <v/>
      </c>
    </row>
    <row r="769" customFormat="false" ht="15" hidden="false" customHeight="false" outlineLevel="0" collapsed="false">
      <c r="A769" s="55"/>
      <c r="B769" s="56"/>
      <c r="C769" s="57"/>
      <c r="D769" s="56"/>
      <c r="E769" s="56"/>
      <c r="F769" s="56"/>
      <c r="G769" s="50" t="str">
        <f aca="false">IF($A769="","",IF(ISNUMBER($G768),$G768+1,1))</f>
        <v/>
      </c>
      <c r="H769" s="51" t="str">
        <f aca="false">IF(OR(NOT(ISNUMBER($G769)),$G769&lt;2,NOT(ISNUMBER($C768)),$C768=0),"",$C769/$C768-1)</f>
        <v/>
      </c>
      <c r="I769" s="52" t="str">
        <f aca="false">IF(AND(ISNUMBER($G769),$G769&gt;=MA_SHORT),AVERAGE(INDEX($C$369:$C769,402-MA_SHORT):$C769),"")</f>
        <v/>
      </c>
      <c r="J769" s="52" t="str">
        <f aca="false">IF(AND(ISNUMBER($G769),$G769&gt;=MA_MED),AVERAGE(INDEX($C$369:$C769,402-MA_MED):$C769),"")</f>
        <v/>
      </c>
      <c r="K769" s="52" t="str">
        <f aca="false">IF(AND(ISNUMBER($G769),$G769&gt;=MA_LONG2),AVERAGE(INDEX($C$369:$C769,402-MA_LONG2):$C769),"")</f>
        <v/>
      </c>
      <c r="L769" s="53" t="str">
        <f aca="false">IF(AND(ISNUMBER($G769),$G769&gt;=21),STDEV(INDEX($H$709:$H769,62-20):$H769)*SQRT(245),"")</f>
        <v/>
      </c>
      <c r="M769" s="52" t="str">
        <f aca="false">IF(AND(ISNUMBER($G769),$G769&gt;=60),MAX(INDEX($D$569:$D769,202-60):$D769),"")</f>
        <v/>
      </c>
      <c r="N769" s="52" t="str">
        <f aca="false">IF(AND(ISNUMBER($G769),$G769&gt;=60),MIN(INDEX($E$569:$E769,202-60):$E769),"")</f>
        <v/>
      </c>
      <c r="O769" s="53" t="str">
        <f aca="false">IF(OR(NOT(ISNUMBER($C769)),NOT(ISNUMBER($M769)),$M769=0),"",$C769/$M769-1)</f>
        <v/>
      </c>
      <c r="P769" s="54"/>
      <c r="Q769" s="53" t="str">
        <f aca="false">IF(NOT(ISNUMBER($P769)),"",IFERROR(PERCENTRANK($P$5:$P$1204,$P769),""))</f>
        <v/>
      </c>
    </row>
    <row r="770" customFormat="false" ht="15" hidden="false" customHeight="false" outlineLevel="0" collapsed="false">
      <c r="A770" s="55"/>
      <c r="B770" s="56"/>
      <c r="C770" s="57"/>
      <c r="D770" s="56"/>
      <c r="E770" s="56"/>
      <c r="F770" s="56"/>
      <c r="G770" s="50" t="str">
        <f aca="false">IF($A770="","",IF(ISNUMBER($G769),$G769+1,1))</f>
        <v/>
      </c>
      <c r="H770" s="51" t="str">
        <f aca="false">IF(OR(NOT(ISNUMBER($G770)),$G770&lt;2,NOT(ISNUMBER($C769)),$C769=0),"",$C770/$C769-1)</f>
        <v/>
      </c>
      <c r="I770" s="52" t="str">
        <f aca="false">IF(AND(ISNUMBER($G770),$G770&gt;=MA_SHORT),AVERAGE(INDEX($C$370:$C770,402-MA_SHORT):$C770),"")</f>
        <v/>
      </c>
      <c r="J770" s="52" t="str">
        <f aca="false">IF(AND(ISNUMBER($G770),$G770&gt;=MA_MED),AVERAGE(INDEX($C$370:$C770,402-MA_MED):$C770),"")</f>
        <v/>
      </c>
      <c r="K770" s="52" t="str">
        <f aca="false">IF(AND(ISNUMBER($G770),$G770&gt;=MA_LONG2),AVERAGE(INDEX($C$370:$C770,402-MA_LONG2):$C770),"")</f>
        <v/>
      </c>
      <c r="L770" s="53" t="str">
        <f aca="false">IF(AND(ISNUMBER($G770),$G770&gt;=21),STDEV(INDEX($H$710:$H770,62-20):$H770)*SQRT(245),"")</f>
        <v/>
      </c>
      <c r="M770" s="52" t="str">
        <f aca="false">IF(AND(ISNUMBER($G770),$G770&gt;=60),MAX(INDEX($D$570:$D770,202-60):$D770),"")</f>
        <v/>
      </c>
      <c r="N770" s="52" t="str">
        <f aca="false">IF(AND(ISNUMBER($G770),$G770&gt;=60),MIN(INDEX($E$570:$E770,202-60):$E770),"")</f>
        <v/>
      </c>
      <c r="O770" s="53" t="str">
        <f aca="false">IF(OR(NOT(ISNUMBER($C770)),NOT(ISNUMBER($M770)),$M770=0),"",$C770/$M770-1)</f>
        <v/>
      </c>
      <c r="P770" s="54"/>
      <c r="Q770" s="53" t="str">
        <f aca="false">IF(NOT(ISNUMBER($P770)),"",IFERROR(PERCENTRANK($P$5:$P$1204,$P770),""))</f>
        <v/>
      </c>
    </row>
    <row r="771" customFormat="false" ht="15" hidden="false" customHeight="false" outlineLevel="0" collapsed="false">
      <c r="A771" s="55"/>
      <c r="B771" s="56"/>
      <c r="C771" s="57"/>
      <c r="D771" s="56"/>
      <c r="E771" s="56"/>
      <c r="F771" s="56"/>
      <c r="G771" s="50" t="str">
        <f aca="false">IF($A771="","",IF(ISNUMBER($G770),$G770+1,1))</f>
        <v/>
      </c>
      <c r="H771" s="51" t="str">
        <f aca="false">IF(OR(NOT(ISNUMBER($G771)),$G771&lt;2,NOT(ISNUMBER($C770)),$C770=0),"",$C771/$C770-1)</f>
        <v/>
      </c>
      <c r="I771" s="52" t="str">
        <f aca="false">IF(AND(ISNUMBER($G771),$G771&gt;=MA_SHORT),AVERAGE(INDEX($C$371:$C771,402-MA_SHORT):$C771),"")</f>
        <v/>
      </c>
      <c r="J771" s="52" t="str">
        <f aca="false">IF(AND(ISNUMBER($G771),$G771&gt;=MA_MED),AVERAGE(INDEX($C$371:$C771,402-MA_MED):$C771),"")</f>
        <v/>
      </c>
      <c r="K771" s="52" t="str">
        <f aca="false">IF(AND(ISNUMBER($G771),$G771&gt;=MA_LONG2),AVERAGE(INDEX($C$371:$C771,402-MA_LONG2):$C771),"")</f>
        <v/>
      </c>
      <c r="L771" s="53" t="str">
        <f aca="false">IF(AND(ISNUMBER($G771),$G771&gt;=21),STDEV(INDEX($H$711:$H771,62-20):$H771)*SQRT(245),"")</f>
        <v/>
      </c>
      <c r="M771" s="52" t="str">
        <f aca="false">IF(AND(ISNUMBER($G771),$G771&gt;=60),MAX(INDEX($D$571:$D771,202-60):$D771),"")</f>
        <v/>
      </c>
      <c r="N771" s="52" t="str">
        <f aca="false">IF(AND(ISNUMBER($G771),$G771&gt;=60),MIN(INDEX($E$571:$E771,202-60):$E771),"")</f>
        <v/>
      </c>
      <c r="O771" s="53" t="str">
        <f aca="false">IF(OR(NOT(ISNUMBER($C771)),NOT(ISNUMBER($M771)),$M771=0),"",$C771/$M771-1)</f>
        <v/>
      </c>
      <c r="P771" s="54"/>
      <c r="Q771" s="53" t="str">
        <f aca="false">IF(NOT(ISNUMBER($P771)),"",IFERROR(PERCENTRANK($P$5:$P$1204,$P771),""))</f>
        <v/>
      </c>
    </row>
    <row r="772" customFormat="false" ht="15" hidden="false" customHeight="false" outlineLevel="0" collapsed="false">
      <c r="A772" s="55"/>
      <c r="B772" s="56"/>
      <c r="C772" s="57"/>
      <c r="D772" s="56"/>
      <c r="E772" s="56"/>
      <c r="F772" s="56"/>
      <c r="G772" s="50" t="str">
        <f aca="false">IF($A772="","",IF(ISNUMBER($G771),$G771+1,1))</f>
        <v/>
      </c>
      <c r="H772" s="51" t="str">
        <f aca="false">IF(OR(NOT(ISNUMBER($G772)),$G772&lt;2,NOT(ISNUMBER($C771)),$C771=0),"",$C772/$C771-1)</f>
        <v/>
      </c>
      <c r="I772" s="52" t="str">
        <f aca="false">IF(AND(ISNUMBER($G772),$G772&gt;=MA_SHORT),AVERAGE(INDEX($C$372:$C772,402-MA_SHORT):$C772),"")</f>
        <v/>
      </c>
      <c r="J772" s="52" t="str">
        <f aca="false">IF(AND(ISNUMBER($G772),$G772&gt;=MA_MED),AVERAGE(INDEX($C$372:$C772,402-MA_MED):$C772),"")</f>
        <v/>
      </c>
      <c r="K772" s="52" t="str">
        <f aca="false">IF(AND(ISNUMBER($G772),$G772&gt;=MA_LONG2),AVERAGE(INDEX($C$372:$C772,402-MA_LONG2):$C772),"")</f>
        <v/>
      </c>
      <c r="L772" s="53" t="str">
        <f aca="false">IF(AND(ISNUMBER($G772),$G772&gt;=21),STDEV(INDEX($H$712:$H772,62-20):$H772)*SQRT(245),"")</f>
        <v/>
      </c>
      <c r="M772" s="52" t="str">
        <f aca="false">IF(AND(ISNUMBER($G772),$G772&gt;=60),MAX(INDEX($D$572:$D772,202-60):$D772),"")</f>
        <v/>
      </c>
      <c r="N772" s="52" t="str">
        <f aca="false">IF(AND(ISNUMBER($G772),$G772&gt;=60),MIN(INDEX($E$572:$E772,202-60):$E772),"")</f>
        <v/>
      </c>
      <c r="O772" s="53" t="str">
        <f aca="false">IF(OR(NOT(ISNUMBER($C772)),NOT(ISNUMBER($M772)),$M772=0),"",$C772/$M772-1)</f>
        <v/>
      </c>
      <c r="P772" s="54"/>
      <c r="Q772" s="53" t="str">
        <f aca="false">IF(NOT(ISNUMBER($P772)),"",IFERROR(PERCENTRANK($P$5:$P$1204,$P772),""))</f>
        <v/>
      </c>
    </row>
    <row r="773" customFormat="false" ht="15" hidden="false" customHeight="false" outlineLevel="0" collapsed="false">
      <c r="A773" s="55"/>
      <c r="B773" s="56"/>
      <c r="C773" s="57"/>
      <c r="D773" s="56"/>
      <c r="E773" s="56"/>
      <c r="F773" s="56"/>
      <c r="G773" s="50" t="str">
        <f aca="false">IF($A773="","",IF(ISNUMBER($G772),$G772+1,1))</f>
        <v/>
      </c>
      <c r="H773" s="51" t="str">
        <f aca="false">IF(OR(NOT(ISNUMBER($G773)),$G773&lt;2,NOT(ISNUMBER($C772)),$C772=0),"",$C773/$C772-1)</f>
        <v/>
      </c>
      <c r="I773" s="52" t="str">
        <f aca="false">IF(AND(ISNUMBER($G773),$G773&gt;=MA_SHORT),AVERAGE(INDEX($C$373:$C773,402-MA_SHORT):$C773),"")</f>
        <v/>
      </c>
      <c r="J773" s="52" t="str">
        <f aca="false">IF(AND(ISNUMBER($G773),$G773&gt;=MA_MED),AVERAGE(INDEX($C$373:$C773,402-MA_MED):$C773),"")</f>
        <v/>
      </c>
      <c r="K773" s="52" t="str">
        <f aca="false">IF(AND(ISNUMBER($G773),$G773&gt;=MA_LONG2),AVERAGE(INDEX($C$373:$C773,402-MA_LONG2):$C773),"")</f>
        <v/>
      </c>
      <c r="L773" s="53" t="str">
        <f aca="false">IF(AND(ISNUMBER($G773),$G773&gt;=21),STDEV(INDEX($H$713:$H773,62-20):$H773)*SQRT(245),"")</f>
        <v/>
      </c>
      <c r="M773" s="52" t="str">
        <f aca="false">IF(AND(ISNUMBER($G773),$G773&gt;=60),MAX(INDEX($D$573:$D773,202-60):$D773),"")</f>
        <v/>
      </c>
      <c r="N773" s="52" t="str">
        <f aca="false">IF(AND(ISNUMBER($G773),$G773&gt;=60),MIN(INDEX($E$573:$E773,202-60):$E773),"")</f>
        <v/>
      </c>
      <c r="O773" s="53" t="str">
        <f aca="false">IF(OR(NOT(ISNUMBER($C773)),NOT(ISNUMBER($M773)),$M773=0),"",$C773/$M773-1)</f>
        <v/>
      </c>
      <c r="P773" s="54"/>
      <c r="Q773" s="53" t="str">
        <f aca="false">IF(NOT(ISNUMBER($P773)),"",IFERROR(PERCENTRANK($P$5:$P$1204,$P773),""))</f>
        <v/>
      </c>
    </row>
    <row r="774" customFormat="false" ht="15" hidden="false" customHeight="false" outlineLevel="0" collapsed="false">
      <c r="A774" s="55"/>
      <c r="B774" s="56"/>
      <c r="C774" s="57"/>
      <c r="D774" s="56"/>
      <c r="E774" s="56"/>
      <c r="F774" s="56"/>
      <c r="G774" s="50" t="str">
        <f aca="false">IF($A774="","",IF(ISNUMBER($G773),$G773+1,1))</f>
        <v/>
      </c>
      <c r="H774" s="51" t="str">
        <f aca="false">IF(OR(NOT(ISNUMBER($G774)),$G774&lt;2,NOT(ISNUMBER($C773)),$C773=0),"",$C774/$C773-1)</f>
        <v/>
      </c>
      <c r="I774" s="52" t="str">
        <f aca="false">IF(AND(ISNUMBER($G774),$G774&gt;=MA_SHORT),AVERAGE(INDEX($C$374:$C774,402-MA_SHORT):$C774),"")</f>
        <v/>
      </c>
      <c r="J774" s="52" t="str">
        <f aca="false">IF(AND(ISNUMBER($G774),$G774&gt;=MA_MED),AVERAGE(INDEX($C$374:$C774,402-MA_MED):$C774),"")</f>
        <v/>
      </c>
      <c r="K774" s="52" t="str">
        <f aca="false">IF(AND(ISNUMBER($G774),$G774&gt;=MA_LONG2),AVERAGE(INDEX($C$374:$C774,402-MA_LONG2):$C774),"")</f>
        <v/>
      </c>
      <c r="L774" s="53" t="str">
        <f aca="false">IF(AND(ISNUMBER($G774),$G774&gt;=21),STDEV(INDEX($H$714:$H774,62-20):$H774)*SQRT(245),"")</f>
        <v/>
      </c>
      <c r="M774" s="52" t="str">
        <f aca="false">IF(AND(ISNUMBER($G774),$G774&gt;=60),MAX(INDEX($D$574:$D774,202-60):$D774),"")</f>
        <v/>
      </c>
      <c r="N774" s="52" t="str">
        <f aca="false">IF(AND(ISNUMBER($G774),$G774&gt;=60),MIN(INDEX($E$574:$E774,202-60):$E774),"")</f>
        <v/>
      </c>
      <c r="O774" s="53" t="str">
        <f aca="false">IF(OR(NOT(ISNUMBER($C774)),NOT(ISNUMBER($M774)),$M774=0),"",$C774/$M774-1)</f>
        <v/>
      </c>
      <c r="P774" s="54"/>
      <c r="Q774" s="53" t="str">
        <f aca="false">IF(NOT(ISNUMBER($P774)),"",IFERROR(PERCENTRANK($P$5:$P$1204,$P774),""))</f>
        <v/>
      </c>
    </row>
    <row r="775" customFormat="false" ht="15" hidden="false" customHeight="false" outlineLevel="0" collapsed="false">
      <c r="A775" s="55"/>
      <c r="B775" s="56"/>
      <c r="C775" s="57"/>
      <c r="D775" s="56"/>
      <c r="E775" s="56"/>
      <c r="F775" s="56"/>
      <c r="G775" s="50" t="str">
        <f aca="false">IF($A775="","",IF(ISNUMBER($G774),$G774+1,1))</f>
        <v/>
      </c>
      <c r="H775" s="51" t="str">
        <f aca="false">IF(OR(NOT(ISNUMBER($G775)),$G775&lt;2,NOT(ISNUMBER($C774)),$C774=0),"",$C775/$C774-1)</f>
        <v/>
      </c>
      <c r="I775" s="52" t="str">
        <f aca="false">IF(AND(ISNUMBER($G775),$G775&gt;=MA_SHORT),AVERAGE(INDEX($C$375:$C775,402-MA_SHORT):$C775),"")</f>
        <v/>
      </c>
      <c r="J775" s="52" t="str">
        <f aca="false">IF(AND(ISNUMBER($G775),$G775&gt;=MA_MED),AVERAGE(INDEX($C$375:$C775,402-MA_MED):$C775),"")</f>
        <v/>
      </c>
      <c r="K775" s="52" t="str">
        <f aca="false">IF(AND(ISNUMBER($G775),$G775&gt;=MA_LONG2),AVERAGE(INDEX($C$375:$C775,402-MA_LONG2):$C775),"")</f>
        <v/>
      </c>
      <c r="L775" s="53" t="str">
        <f aca="false">IF(AND(ISNUMBER($G775),$G775&gt;=21),STDEV(INDEX($H$715:$H775,62-20):$H775)*SQRT(245),"")</f>
        <v/>
      </c>
      <c r="M775" s="52" t="str">
        <f aca="false">IF(AND(ISNUMBER($G775),$G775&gt;=60),MAX(INDEX($D$575:$D775,202-60):$D775),"")</f>
        <v/>
      </c>
      <c r="N775" s="52" t="str">
        <f aca="false">IF(AND(ISNUMBER($G775),$G775&gt;=60),MIN(INDEX($E$575:$E775,202-60):$E775),"")</f>
        <v/>
      </c>
      <c r="O775" s="53" t="str">
        <f aca="false">IF(OR(NOT(ISNUMBER($C775)),NOT(ISNUMBER($M775)),$M775=0),"",$C775/$M775-1)</f>
        <v/>
      </c>
      <c r="P775" s="54"/>
      <c r="Q775" s="53" t="str">
        <f aca="false">IF(NOT(ISNUMBER($P775)),"",IFERROR(PERCENTRANK($P$5:$P$1204,$P775),""))</f>
        <v/>
      </c>
    </row>
    <row r="776" customFormat="false" ht="15" hidden="false" customHeight="false" outlineLevel="0" collapsed="false">
      <c r="A776" s="55"/>
      <c r="B776" s="56"/>
      <c r="C776" s="57"/>
      <c r="D776" s="56"/>
      <c r="E776" s="56"/>
      <c r="F776" s="56"/>
      <c r="G776" s="50" t="str">
        <f aca="false">IF($A776="","",IF(ISNUMBER($G775),$G775+1,1))</f>
        <v/>
      </c>
      <c r="H776" s="51" t="str">
        <f aca="false">IF(OR(NOT(ISNUMBER($G776)),$G776&lt;2,NOT(ISNUMBER($C775)),$C775=0),"",$C776/$C775-1)</f>
        <v/>
      </c>
      <c r="I776" s="52" t="str">
        <f aca="false">IF(AND(ISNUMBER($G776),$G776&gt;=MA_SHORT),AVERAGE(INDEX($C$376:$C776,402-MA_SHORT):$C776),"")</f>
        <v/>
      </c>
      <c r="J776" s="52" t="str">
        <f aca="false">IF(AND(ISNUMBER($G776),$G776&gt;=MA_MED),AVERAGE(INDEX($C$376:$C776,402-MA_MED):$C776),"")</f>
        <v/>
      </c>
      <c r="K776" s="52" t="str">
        <f aca="false">IF(AND(ISNUMBER($G776),$G776&gt;=MA_LONG2),AVERAGE(INDEX($C$376:$C776,402-MA_LONG2):$C776),"")</f>
        <v/>
      </c>
      <c r="L776" s="53" t="str">
        <f aca="false">IF(AND(ISNUMBER($G776),$G776&gt;=21),STDEV(INDEX($H$716:$H776,62-20):$H776)*SQRT(245),"")</f>
        <v/>
      </c>
      <c r="M776" s="52" t="str">
        <f aca="false">IF(AND(ISNUMBER($G776),$G776&gt;=60),MAX(INDEX($D$576:$D776,202-60):$D776),"")</f>
        <v/>
      </c>
      <c r="N776" s="52" t="str">
        <f aca="false">IF(AND(ISNUMBER($G776),$G776&gt;=60),MIN(INDEX($E$576:$E776,202-60):$E776),"")</f>
        <v/>
      </c>
      <c r="O776" s="53" t="str">
        <f aca="false">IF(OR(NOT(ISNUMBER($C776)),NOT(ISNUMBER($M776)),$M776=0),"",$C776/$M776-1)</f>
        <v/>
      </c>
      <c r="P776" s="54"/>
      <c r="Q776" s="53" t="str">
        <f aca="false">IF(NOT(ISNUMBER($P776)),"",IFERROR(PERCENTRANK($P$5:$P$1204,$P776),""))</f>
        <v/>
      </c>
    </row>
    <row r="777" customFormat="false" ht="15" hidden="false" customHeight="false" outlineLevel="0" collapsed="false">
      <c r="A777" s="55"/>
      <c r="B777" s="56"/>
      <c r="C777" s="57"/>
      <c r="D777" s="56"/>
      <c r="E777" s="56"/>
      <c r="F777" s="56"/>
      <c r="G777" s="50" t="str">
        <f aca="false">IF($A777="","",IF(ISNUMBER($G776),$G776+1,1))</f>
        <v/>
      </c>
      <c r="H777" s="51" t="str">
        <f aca="false">IF(OR(NOT(ISNUMBER($G777)),$G777&lt;2,NOT(ISNUMBER($C776)),$C776=0),"",$C777/$C776-1)</f>
        <v/>
      </c>
      <c r="I777" s="52" t="str">
        <f aca="false">IF(AND(ISNUMBER($G777),$G777&gt;=MA_SHORT),AVERAGE(INDEX($C$377:$C777,402-MA_SHORT):$C777),"")</f>
        <v/>
      </c>
      <c r="J777" s="52" t="str">
        <f aca="false">IF(AND(ISNUMBER($G777),$G777&gt;=MA_MED),AVERAGE(INDEX($C$377:$C777,402-MA_MED):$C777),"")</f>
        <v/>
      </c>
      <c r="K777" s="52" t="str">
        <f aca="false">IF(AND(ISNUMBER($G777),$G777&gt;=MA_LONG2),AVERAGE(INDEX($C$377:$C777,402-MA_LONG2):$C777),"")</f>
        <v/>
      </c>
      <c r="L777" s="53" t="str">
        <f aca="false">IF(AND(ISNUMBER($G777),$G777&gt;=21),STDEV(INDEX($H$717:$H777,62-20):$H777)*SQRT(245),"")</f>
        <v/>
      </c>
      <c r="M777" s="52" t="str">
        <f aca="false">IF(AND(ISNUMBER($G777),$G777&gt;=60),MAX(INDEX($D$577:$D777,202-60):$D777),"")</f>
        <v/>
      </c>
      <c r="N777" s="52" t="str">
        <f aca="false">IF(AND(ISNUMBER($G777),$G777&gt;=60),MIN(INDEX($E$577:$E777,202-60):$E777),"")</f>
        <v/>
      </c>
      <c r="O777" s="53" t="str">
        <f aca="false">IF(OR(NOT(ISNUMBER($C777)),NOT(ISNUMBER($M777)),$M777=0),"",$C777/$M777-1)</f>
        <v/>
      </c>
      <c r="P777" s="54"/>
      <c r="Q777" s="53" t="str">
        <f aca="false">IF(NOT(ISNUMBER($P777)),"",IFERROR(PERCENTRANK($P$5:$P$1204,$P777),""))</f>
        <v/>
      </c>
    </row>
    <row r="778" customFormat="false" ht="15" hidden="false" customHeight="false" outlineLevel="0" collapsed="false">
      <c r="A778" s="55"/>
      <c r="B778" s="56"/>
      <c r="C778" s="57"/>
      <c r="D778" s="56"/>
      <c r="E778" s="56"/>
      <c r="F778" s="56"/>
      <c r="G778" s="50" t="str">
        <f aca="false">IF($A778="","",IF(ISNUMBER($G777),$G777+1,1))</f>
        <v/>
      </c>
      <c r="H778" s="51" t="str">
        <f aca="false">IF(OR(NOT(ISNUMBER($G778)),$G778&lt;2,NOT(ISNUMBER($C777)),$C777=0),"",$C778/$C777-1)</f>
        <v/>
      </c>
      <c r="I778" s="52" t="str">
        <f aca="false">IF(AND(ISNUMBER($G778),$G778&gt;=MA_SHORT),AVERAGE(INDEX($C$378:$C778,402-MA_SHORT):$C778),"")</f>
        <v/>
      </c>
      <c r="J778" s="52" t="str">
        <f aca="false">IF(AND(ISNUMBER($G778),$G778&gt;=MA_MED),AVERAGE(INDEX($C$378:$C778,402-MA_MED):$C778),"")</f>
        <v/>
      </c>
      <c r="K778" s="52" t="str">
        <f aca="false">IF(AND(ISNUMBER($G778),$G778&gt;=MA_LONG2),AVERAGE(INDEX($C$378:$C778,402-MA_LONG2):$C778),"")</f>
        <v/>
      </c>
      <c r="L778" s="53" t="str">
        <f aca="false">IF(AND(ISNUMBER($G778),$G778&gt;=21),STDEV(INDEX($H$718:$H778,62-20):$H778)*SQRT(245),"")</f>
        <v/>
      </c>
      <c r="M778" s="52" t="str">
        <f aca="false">IF(AND(ISNUMBER($G778),$G778&gt;=60),MAX(INDEX($D$578:$D778,202-60):$D778),"")</f>
        <v/>
      </c>
      <c r="N778" s="52" t="str">
        <f aca="false">IF(AND(ISNUMBER($G778),$G778&gt;=60),MIN(INDEX($E$578:$E778,202-60):$E778),"")</f>
        <v/>
      </c>
      <c r="O778" s="53" t="str">
        <f aca="false">IF(OR(NOT(ISNUMBER($C778)),NOT(ISNUMBER($M778)),$M778=0),"",$C778/$M778-1)</f>
        <v/>
      </c>
      <c r="P778" s="54"/>
      <c r="Q778" s="53" t="str">
        <f aca="false">IF(NOT(ISNUMBER($P778)),"",IFERROR(PERCENTRANK($P$5:$P$1204,$P778),""))</f>
        <v/>
      </c>
    </row>
    <row r="779" customFormat="false" ht="15" hidden="false" customHeight="false" outlineLevel="0" collapsed="false">
      <c r="A779" s="55"/>
      <c r="B779" s="56"/>
      <c r="C779" s="57"/>
      <c r="D779" s="56"/>
      <c r="E779" s="56"/>
      <c r="F779" s="56"/>
      <c r="G779" s="50" t="str">
        <f aca="false">IF($A779="","",IF(ISNUMBER($G778),$G778+1,1))</f>
        <v/>
      </c>
      <c r="H779" s="51" t="str">
        <f aca="false">IF(OR(NOT(ISNUMBER($G779)),$G779&lt;2,NOT(ISNUMBER($C778)),$C778=0),"",$C779/$C778-1)</f>
        <v/>
      </c>
      <c r="I779" s="52" t="str">
        <f aca="false">IF(AND(ISNUMBER($G779),$G779&gt;=MA_SHORT),AVERAGE(INDEX($C$379:$C779,402-MA_SHORT):$C779),"")</f>
        <v/>
      </c>
      <c r="J779" s="52" t="str">
        <f aca="false">IF(AND(ISNUMBER($G779),$G779&gt;=MA_MED),AVERAGE(INDEX($C$379:$C779,402-MA_MED):$C779),"")</f>
        <v/>
      </c>
      <c r="K779" s="52" t="str">
        <f aca="false">IF(AND(ISNUMBER($G779),$G779&gt;=MA_LONG2),AVERAGE(INDEX($C$379:$C779,402-MA_LONG2):$C779),"")</f>
        <v/>
      </c>
      <c r="L779" s="53" t="str">
        <f aca="false">IF(AND(ISNUMBER($G779),$G779&gt;=21),STDEV(INDEX($H$719:$H779,62-20):$H779)*SQRT(245),"")</f>
        <v/>
      </c>
      <c r="M779" s="52" t="str">
        <f aca="false">IF(AND(ISNUMBER($G779),$G779&gt;=60),MAX(INDEX($D$579:$D779,202-60):$D779),"")</f>
        <v/>
      </c>
      <c r="N779" s="52" t="str">
        <f aca="false">IF(AND(ISNUMBER($G779),$G779&gt;=60),MIN(INDEX($E$579:$E779,202-60):$E779),"")</f>
        <v/>
      </c>
      <c r="O779" s="53" t="str">
        <f aca="false">IF(OR(NOT(ISNUMBER($C779)),NOT(ISNUMBER($M779)),$M779=0),"",$C779/$M779-1)</f>
        <v/>
      </c>
      <c r="P779" s="54"/>
      <c r="Q779" s="53" t="str">
        <f aca="false">IF(NOT(ISNUMBER($P779)),"",IFERROR(PERCENTRANK($P$5:$P$1204,$P779),""))</f>
        <v/>
      </c>
    </row>
    <row r="780" customFormat="false" ht="15" hidden="false" customHeight="false" outlineLevel="0" collapsed="false">
      <c r="A780" s="55"/>
      <c r="B780" s="56"/>
      <c r="C780" s="57"/>
      <c r="D780" s="56"/>
      <c r="E780" s="56"/>
      <c r="F780" s="56"/>
      <c r="G780" s="50" t="str">
        <f aca="false">IF($A780="","",IF(ISNUMBER($G779),$G779+1,1))</f>
        <v/>
      </c>
      <c r="H780" s="51" t="str">
        <f aca="false">IF(OR(NOT(ISNUMBER($G780)),$G780&lt;2,NOT(ISNUMBER($C779)),$C779=0),"",$C780/$C779-1)</f>
        <v/>
      </c>
      <c r="I780" s="52" t="str">
        <f aca="false">IF(AND(ISNUMBER($G780),$G780&gt;=MA_SHORT),AVERAGE(INDEX($C$380:$C780,402-MA_SHORT):$C780),"")</f>
        <v/>
      </c>
      <c r="J780" s="52" t="str">
        <f aca="false">IF(AND(ISNUMBER($G780),$G780&gt;=MA_MED),AVERAGE(INDEX($C$380:$C780,402-MA_MED):$C780),"")</f>
        <v/>
      </c>
      <c r="K780" s="52" t="str">
        <f aca="false">IF(AND(ISNUMBER($G780),$G780&gt;=MA_LONG2),AVERAGE(INDEX($C$380:$C780,402-MA_LONG2):$C780),"")</f>
        <v/>
      </c>
      <c r="L780" s="53" t="str">
        <f aca="false">IF(AND(ISNUMBER($G780),$G780&gt;=21),STDEV(INDEX($H$720:$H780,62-20):$H780)*SQRT(245),"")</f>
        <v/>
      </c>
      <c r="M780" s="52" t="str">
        <f aca="false">IF(AND(ISNUMBER($G780),$G780&gt;=60),MAX(INDEX($D$580:$D780,202-60):$D780),"")</f>
        <v/>
      </c>
      <c r="N780" s="52" t="str">
        <f aca="false">IF(AND(ISNUMBER($G780),$G780&gt;=60),MIN(INDEX($E$580:$E780,202-60):$E780),"")</f>
        <v/>
      </c>
      <c r="O780" s="53" t="str">
        <f aca="false">IF(OR(NOT(ISNUMBER($C780)),NOT(ISNUMBER($M780)),$M780=0),"",$C780/$M780-1)</f>
        <v/>
      </c>
      <c r="P780" s="54"/>
      <c r="Q780" s="53" t="str">
        <f aca="false">IF(NOT(ISNUMBER($P780)),"",IFERROR(PERCENTRANK($P$5:$P$1204,$P780),""))</f>
        <v/>
      </c>
    </row>
    <row r="781" customFormat="false" ht="15" hidden="false" customHeight="false" outlineLevel="0" collapsed="false">
      <c r="A781" s="55"/>
      <c r="B781" s="56"/>
      <c r="C781" s="57"/>
      <c r="D781" s="56"/>
      <c r="E781" s="56"/>
      <c r="F781" s="56"/>
      <c r="G781" s="50" t="str">
        <f aca="false">IF($A781="","",IF(ISNUMBER($G780),$G780+1,1))</f>
        <v/>
      </c>
      <c r="H781" s="51" t="str">
        <f aca="false">IF(OR(NOT(ISNUMBER($G781)),$G781&lt;2,NOT(ISNUMBER($C780)),$C780=0),"",$C781/$C780-1)</f>
        <v/>
      </c>
      <c r="I781" s="52" t="str">
        <f aca="false">IF(AND(ISNUMBER($G781),$G781&gt;=MA_SHORT),AVERAGE(INDEX($C$381:$C781,402-MA_SHORT):$C781),"")</f>
        <v/>
      </c>
      <c r="J781" s="52" t="str">
        <f aca="false">IF(AND(ISNUMBER($G781),$G781&gt;=MA_MED),AVERAGE(INDEX($C$381:$C781,402-MA_MED):$C781),"")</f>
        <v/>
      </c>
      <c r="K781" s="52" t="str">
        <f aca="false">IF(AND(ISNUMBER($G781),$G781&gt;=MA_LONG2),AVERAGE(INDEX($C$381:$C781,402-MA_LONG2):$C781),"")</f>
        <v/>
      </c>
      <c r="L781" s="53" t="str">
        <f aca="false">IF(AND(ISNUMBER($G781),$G781&gt;=21),STDEV(INDEX($H$721:$H781,62-20):$H781)*SQRT(245),"")</f>
        <v/>
      </c>
      <c r="M781" s="52" t="str">
        <f aca="false">IF(AND(ISNUMBER($G781),$G781&gt;=60),MAX(INDEX($D$581:$D781,202-60):$D781),"")</f>
        <v/>
      </c>
      <c r="N781" s="52" t="str">
        <f aca="false">IF(AND(ISNUMBER($G781),$G781&gt;=60),MIN(INDEX($E$581:$E781,202-60):$E781),"")</f>
        <v/>
      </c>
      <c r="O781" s="53" t="str">
        <f aca="false">IF(OR(NOT(ISNUMBER($C781)),NOT(ISNUMBER($M781)),$M781=0),"",$C781/$M781-1)</f>
        <v/>
      </c>
      <c r="P781" s="54"/>
      <c r="Q781" s="53" t="str">
        <f aca="false">IF(NOT(ISNUMBER($P781)),"",IFERROR(PERCENTRANK($P$5:$P$1204,$P781),""))</f>
        <v/>
      </c>
    </row>
    <row r="782" customFormat="false" ht="15" hidden="false" customHeight="false" outlineLevel="0" collapsed="false">
      <c r="A782" s="55"/>
      <c r="B782" s="56"/>
      <c r="C782" s="57"/>
      <c r="D782" s="56"/>
      <c r="E782" s="56"/>
      <c r="F782" s="56"/>
      <c r="G782" s="50" t="str">
        <f aca="false">IF($A782="","",IF(ISNUMBER($G781),$G781+1,1))</f>
        <v/>
      </c>
      <c r="H782" s="51" t="str">
        <f aca="false">IF(OR(NOT(ISNUMBER($G782)),$G782&lt;2,NOT(ISNUMBER($C781)),$C781=0),"",$C782/$C781-1)</f>
        <v/>
      </c>
      <c r="I782" s="52" t="str">
        <f aca="false">IF(AND(ISNUMBER($G782),$G782&gt;=MA_SHORT),AVERAGE(INDEX($C$382:$C782,402-MA_SHORT):$C782),"")</f>
        <v/>
      </c>
      <c r="J782" s="52" t="str">
        <f aca="false">IF(AND(ISNUMBER($G782),$G782&gt;=MA_MED),AVERAGE(INDEX($C$382:$C782,402-MA_MED):$C782),"")</f>
        <v/>
      </c>
      <c r="K782" s="52" t="str">
        <f aca="false">IF(AND(ISNUMBER($G782),$G782&gt;=MA_LONG2),AVERAGE(INDEX($C$382:$C782,402-MA_LONG2):$C782),"")</f>
        <v/>
      </c>
      <c r="L782" s="53" t="str">
        <f aca="false">IF(AND(ISNUMBER($G782),$G782&gt;=21),STDEV(INDEX($H$722:$H782,62-20):$H782)*SQRT(245),"")</f>
        <v/>
      </c>
      <c r="M782" s="52" t="str">
        <f aca="false">IF(AND(ISNUMBER($G782),$G782&gt;=60),MAX(INDEX($D$582:$D782,202-60):$D782),"")</f>
        <v/>
      </c>
      <c r="N782" s="52" t="str">
        <f aca="false">IF(AND(ISNUMBER($G782),$G782&gt;=60),MIN(INDEX($E$582:$E782,202-60):$E782),"")</f>
        <v/>
      </c>
      <c r="O782" s="53" t="str">
        <f aca="false">IF(OR(NOT(ISNUMBER($C782)),NOT(ISNUMBER($M782)),$M782=0),"",$C782/$M782-1)</f>
        <v/>
      </c>
      <c r="P782" s="54"/>
      <c r="Q782" s="53" t="str">
        <f aca="false">IF(NOT(ISNUMBER($P782)),"",IFERROR(PERCENTRANK($P$5:$P$1204,$P782),""))</f>
        <v/>
      </c>
    </row>
    <row r="783" customFormat="false" ht="15" hidden="false" customHeight="false" outlineLevel="0" collapsed="false">
      <c r="A783" s="55"/>
      <c r="B783" s="56"/>
      <c r="C783" s="57"/>
      <c r="D783" s="56"/>
      <c r="E783" s="56"/>
      <c r="F783" s="56"/>
      <c r="G783" s="50" t="str">
        <f aca="false">IF($A783="","",IF(ISNUMBER($G782),$G782+1,1))</f>
        <v/>
      </c>
      <c r="H783" s="51" t="str">
        <f aca="false">IF(OR(NOT(ISNUMBER($G783)),$G783&lt;2,NOT(ISNUMBER($C782)),$C782=0),"",$C783/$C782-1)</f>
        <v/>
      </c>
      <c r="I783" s="52" t="str">
        <f aca="false">IF(AND(ISNUMBER($G783),$G783&gt;=MA_SHORT),AVERAGE(INDEX($C$383:$C783,402-MA_SHORT):$C783),"")</f>
        <v/>
      </c>
      <c r="J783" s="52" t="str">
        <f aca="false">IF(AND(ISNUMBER($G783),$G783&gt;=MA_MED),AVERAGE(INDEX($C$383:$C783,402-MA_MED):$C783),"")</f>
        <v/>
      </c>
      <c r="K783" s="52" t="str">
        <f aca="false">IF(AND(ISNUMBER($G783),$G783&gt;=MA_LONG2),AVERAGE(INDEX($C$383:$C783,402-MA_LONG2):$C783),"")</f>
        <v/>
      </c>
      <c r="L783" s="53" t="str">
        <f aca="false">IF(AND(ISNUMBER($G783),$G783&gt;=21),STDEV(INDEX($H$723:$H783,62-20):$H783)*SQRT(245),"")</f>
        <v/>
      </c>
      <c r="M783" s="52" t="str">
        <f aca="false">IF(AND(ISNUMBER($G783),$G783&gt;=60),MAX(INDEX($D$583:$D783,202-60):$D783),"")</f>
        <v/>
      </c>
      <c r="N783" s="52" t="str">
        <f aca="false">IF(AND(ISNUMBER($G783),$G783&gt;=60),MIN(INDEX($E$583:$E783,202-60):$E783),"")</f>
        <v/>
      </c>
      <c r="O783" s="53" t="str">
        <f aca="false">IF(OR(NOT(ISNUMBER($C783)),NOT(ISNUMBER($M783)),$M783=0),"",$C783/$M783-1)</f>
        <v/>
      </c>
      <c r="P783" s="54"/>
      <c r="Q783" s="53" t="str">
        <f aca="false">IF(NOT(ISNUMBER($P783)),"",IFERROR(PERCENTRANK($P$5:$P$1204,$P783),""))</f>
        <v/>
      </c>
    </row>
    <row r="784" customFormat="false" ht="15" hidden="false" customHeight="false" outlineLevel="0" collapsed="false">
      <c r="A784" s="55"/>
      <c r="B784" s="56"/>
      <c r="C784" s="57"/>
      <c r="D784" s="56"/>
      <c r="E784" s="56"/>
      <c r="F784" s="56"/>
      <c r="G784" s="50" t="str">
        <f aca="false">IF($A784="","",IF(ISNUMBER($G783),$G783+1,1))</f>
        <v/>
      </c>
      <c r="H784" s="51" t="str">
        <f aca="false">IF(OR(NOT(ISNUMBER($G784)),$G784&lt;2,NOT(ISNUMBER($C783)),$C783=0),"",$C784/$C783-1)</f>
        <v/>
      </c>
      <c r="I784" s="52" t="str">
        <f aca="false">IF(AND(ISNUMBER($G784),$G784&gt;=MA_SHORT),AVERAGE(INDEX($C$384:$C784,402-MA_SHORT):$C784),"")</f>
        <v/>
      </c>
      <c r="J784" s="52" t="str">
        <f aca="false">IF(AND(ISNUMBER($G784),$G784&gt;=MA_MED),AVERAGE(INDEX($C$384:$C784,402-MA_MED):$C784),"")</f>
        <v/>
      </c>
      <c r="K784" s="52" t="str">
        <f aca="false">IF(AND(ISNUMBER($G784),$G784&gt;=MA_LONG2),AVERAGE(INDEX($C$384:$C784,402-MA_LONG2):$C784),"")</f>
        <v/>
      </c>
      <c r="L784" s="53" t="str">
        <f aca="false">IF(AND(ISNUMBER($G784),$G784&gt;=21),STDEV(INDEX($H$724:$H784,62-20):$H784)*SQRT(245),"")</f>
        <v/>
      </c>
      <c r="M784" s="52" t="str">
        <f aca="false">IF(AND(ISNUMBER($G784),$G784&gt;=60),MAX(INDEX($D$584:$D784,202-60):$D784),"")</f>
        <v/>
      </c>
      <c r="N784" s="52" t="str">
        <f aca="false">IF(AND(ISNUMBER($G784),$G784&gt;=60),MIN(INDEX($E$584:$E784,202-60):$E784),"")</f>
        <v/>
      </c>
      <c r="O784" s="53" t="str">
        <f aca="false">IF(OR(NOT(ISNUMBER($C784)),NOT(ISNUMBER($M784)),$M784=0),"",$C784/$M784-1)</f>
        <v/>
      </c>
      <c r="P784" s="54"/>
      <c r="Q784" s="53" t="str">
        <f aca="false">IF(NOT(ISNUMBER($P784)),"",IFERROR(PERCENTRANK($P$5:$P$1204,$P784),""))</f>
        <v/>
      </c>
    </row>
    <row r="785" customFormat="false" ht="15" hidden="false" customHeight="false" outlineLevel="0" collapsed="false">
      <c r="A785" s="55"/>
      <c r="B785" s="56"/>
      <c r="C785" s="57"/>
      <c r="D785" s="56"/>
      <c r="E785" s="56"/>
      <c r="F785" s="56"/>
      <c r="G785" s="50" t="str">
        <f aca="false">IF($A785="","",IF(ISNUMBER($G784),$G784+1,1))</f>
        <v/>
      </c>
      <c r="H785" s="51" t="str">
        <f aca="false">IF(OR(NOT(ISNUMBER($G785)),$G785&lt;2,NOT(ISNUMBER($C784)),$C784=0),"",$C785/$C784-1)</f>
        <v/>
      </c>
      <c r="I785" s="52" t="str">
        <f aca="false">IF(AND(ISNUMBER($G785),$G785&gt;=MA_SHORT),AVERAGE(INDEX($C$385:$C785,402-MA_SHORT):$C785),"")</f>
        <v/>
      </c>
      <c r="J785" s="52" t="str">
        <f aca="false">IF(AND(ISNUMBER($G785),$G785&gt;=MA_MED),AVERAGE(INDEX($C$385:$C785,402-MA_MED):$C785),"")</f>
        <v/>
      </c>
      <c r="K785" s="52" t="str">
        <f aca="false">IF(AND(ISNUMBER($G785),$G785&gt;=MA_LONG2),AVERAGE(INDEX($C$385:$C785,402-MA_LONG2):$C785),"")</f>
        <v/>
      </c>
      <c r="L785" s="53" t="str">
        <f aca="false">IF(AND(ISNUMBER($G785),$G785&gt;=21),STDEV(INDEX($H$725:$H785,62-20):$H785)*SQRT(245),"")</f>
        <v/>
      </c>
      <c r="M785" s="52" t="str">
        <f aca="false">IF(AND(ISNUMBER($G785),$G785&gt;=60),MAX(INDEX($D$585:$D785,202-60):$D785),"")</f>
        <v/>
      </c>
      <c r="N785" s="52" t="str">
        <f aca="false">IF(AND(ISNUMBER($G785),$G785&gt;=60),MIN(INDEX($E$585:$E785,202-60):$E785),"")</f>
        <v/>
      </c>
      <c r="O785" s="53" t="str">
        <f aca="false">IF(OR(NOT(ISNUMBER($C785)),NOT(ISNUMBER($M785)),$M785=0),"",$C785/$M785-1)</f>
        <v/>
      </c>
      <c r="P785" s="54"/>
      <c r="Q785" s="53" t="str">
        <f aca="false">IF(NOT(ISNUMBER($P785)),"",IFERROR(PERCENTRANK($P$5:$P$1204,$P785),""))</f>
        <v/>
      </c>
    </row>
    <row r="786" customFormat="false" ht="15" hidden="false" customHeight="false" outlineLevel="0" collapsed="false">
      <c r="A786" s="55"/>
      <c r="B786" s="56"/>
      <c r="C786" s="57"/>
      <c r="D786" s="56"/>
      <c r="E786" s="56"/>
      <c r="F786" s="56"/>
      <c r="G786" s="50" t="str">
        <f aca="false">IF($A786="","",IF(ISNUMBER($G785),$G785+1,1))</f>
        <v/>
      </c>
      <c r="H786" s="51" t="str">
        <f aca="false">IF(OR(NOT(ISNUMBER($G786)),$G786&lt;2,NOT(ISNUMBER($C785)),$C785=0),"",$C786/$C785-1)</f>
        <v/>
      </c>
      <c r="I786" s="52" t="str">
        <f aca="false">IF(AND(ISNUMBER($G786),$G786&gt;=MA_SHORT),AVERAGE(INDEX($C$386:$C786,402-MA_SHORT):$C786),"")</f>
        <v/>
      </c>
      <c r="J786" s="52" t="str">
        <f aca="false">IF(AND(ISNUMBER($G786),$G786&gt;=MA_MED),AVERAGE(INDEX($C$386:$C786,402-MA_MED):$C786),"")</f>
        <v/>
      </c>
      <c r="K786" s="52" t="str">
        <f aca="false">IF(AND(ISNUMBER($G786),$G786&gt;=MA_LONG2),AVERAGE(INDEX($C$386:$C786,402-MA_LONG2):$C786),"")</f>
        <v/>
      </c>
      <c r="L786" s="53" t="str">
        <f aca="false">IF(AND(ISNUMBER($G786),$G786&gt;=21),STDEV(INDEX($H$726:$H786,62-20):$H786)*SQRT(245),"")</f>
        <v/>
      </c>
      <c r="M786" s="52" t="str">
        <f aca="false">IF(AND(ISNUMBER($G786),$G786&gt;=60),MAX(INDEX($D$586:$D786,202-60):$D786),"")</f>
        <v/>
      </c>
      <c r="N786" s="52" t="str">
        <f aca="false">IF(AND(ISNUMBER($G786),$G786&gt;=60),MIN(INDEX($E$586:$E786,202-60):$E786),"")</f>
        <v/>
      </c>
      <c r="O786" s="53" t="str">
        <f aca="false">IF(OR(NOT(ISNUMBER($C786)),NOT(ISNUMBER($M786)),$M786=0),"",$C786/$M786-1)</f>
        <v/>
      </c>
      <c r="P786" s="54"/>
      <c r="Q786" s="53" t="str">
        <f aca="false">IF(NOT(ISNUMBER($P786)),"",IFERROR(PERCENTRANK($P$5:$P$1204,$P786),""))</f>
        <v/>
      </c>
    </row>
    <row r="787" customFormat="false" ht="15" hidden="false" customHeight="false" outlineLevel="0" collapsed="false">
      <c r="A787" s="55"/>
      <c r="B787" s="56"/>
      <c r="C787" s="57"/>
      <c r="D787" s="56"/>
      <c r="E787" s="56"/>
      <c r="F787" s="56"/>
      <c r="G787" s="50" t="str">
        <f aca="false">IF($A787="","",IF(ISNUMBER($G786),$G786+1,1))</f>
        <v/>
      </c>
      <c r="H787" s="51" t="str">
        <f aca="false">IF(OR(NOT(ISNUMBER($G787)),$G787&lt;2,NOT(ISNUMBER($C786)),$C786=0),"",$C787/$C786-1)</f>
        <v/>
      </c>
      <c r="I787" s="52" t="str">
        <f aca="false">IF(AND(ISNUMBER($G787),$G787&gt;=MA_SHORT),AVERAGE(INDEX($C$387:$C787,402-MA_SHORT):$C787),"")</f>
        <v/>
      </c>
      <c r="J787" s="52" t="str">
        <f aca="false">IF(AND(ISNUMBER($G787),$G787&gt;=MA_MED),AVERAGE(INDEX($C$387:$C787,402-MA_MED):$C787),"")</f>
        <v/>
      </c>
      <c r="K787" s="52" t="str">
        <f aca="false">IF(AND(ISNUMBER($G787),$G787&gt;=MA_LONG2),AVERAGE(INDEX($C$387:$C787,402-MA_LONG2):$C787),"")</f>
        <v/>
      </c>
      <c r="L787" s="53" t="str">
        <f aca="false">IF(AND(ISNUMBER($G787),$G787&gt;=21),STDEV(INDEX($H$727:$H787,62-20):$H787)*SQRT(245),"")</f>
        <v/>
      </c>
      <c r="M787" s="52" t="str">
        <f aca="false">IF(AND(ISNUMBER($G787),$G787&gt;=60),MAX(INDEX($D$587:$D787,202-60):$D787),"")</f>
        <v/>
      </c>
      <c r="N787" s="52" t="str">
        <f aca="false">IF(AND(ISNUMBER($G787),$G787&gt;=60),MIN(INDEX($E$587:$E787,202-60):$E787),"")</f>
        <v/>
      </c>
      <c r="O787" s="53" t="str">
        <f aca="false">IF(OR(NOT(ISNUMBER($C787)),NOT(ISNUMBER($M787)),$M787=0),"",$C787/$M787-1)</f>
        <v/>
      </c>
      <c r="P787" s="54"/>
      <c r="Q787" s="53" t="str">
        <f aca="false">IF(NOT(ISNUMBER($P787)),"",IFERROR(PERCENTRANK($P$5:$P$1204,$P787),""))</f>
        <v/>
      </c>
    </row>
    <row r="788" customFormat="false" ht="15" hidden="false" customHeight="false" outlineLevel="0" collapsed="false">
      <c r="A788" s="55"/>
      <c r="B788" s="56"/>
      <c r="C788" s="57"/>
      <c r="D788" s="56"/>
      <c r="E788" s="56"/>
      <c r="F788" s="56"/>
      <c r="G788" s="50" t="str">
        <f aca="false">IF($A788="","",IF(ISNUMBER($G787),$G787+1,1))</f>
        <v/>
      </c>
      <c r="H788" s="51" t="str">
        <f aca="false">IF(OR(NOT(ISNUMBER($G788)),$G788&lt;2,NOT(ISNUMBER($C787)),$C787=0),"",$C788/$C787-1)</f>
        <v/>
      </c>
      <c r="I788" s="52" t="str">
        <f aca="false">IF(AND(ISNUMBER($G788),$G788&gt;=MA_SHORT),AVERAGE(INDEX($C$388:$C788,402-MA_SHORT):$C788),"")</f>
        <v/>
      </c>
      <c r="J788" s="52" t="str">
        <f aca="false">IF(AND(ISNUMBER($G788),$G788&gt;=MA_MED),AVERAGE(INDEX($C$388:$C788,402-MA_MED):$C788),"")</f>
        <v/>
      </c>
      <c r="K788" s="52" t="str">
        <f aca="false">IF(AND(ISNUMBER($G788),$G788&gt;=MA_LONG2),AVERAGE(INDEX($C$388:$C788,402-MA_LONG2):$C788),"")</f>
        <v/>
      </c>
      <c r="L788" s="53" t="str">
        <f aca="false">IF(AND(ISNUMBER($G788),$G788&gt;=21),STDEV(INDEX($H$728:$H788,62-20):$H788)*SQRT(245),"")</f>
        <v/>
      </c>
      <c r="M788" s="52" t="str">
        <f aca="false">IF(AND(ISNUMBER($G788),$G788&gt;=60),MAX(INDEX($D$588:$D788,202-60):$D788),"")</f>
        <v/>
      </c>
      <c r="N788" s="52" t="str">
        <f aca="false">IF(AND(ISNUMBER($G788),$G788&gt;=60),MIN(INDEX($E$588:$E788,202-60):$E788),"")</f>
        <v/>
      </c>
      <c r="O788" s="53" t="str">
        <f aca="false">IF(OR(NOT(ISNUMBER($C788)),NOT(ISNUMBER($M788)),$M788=0),"",$C788/$M788-1)</f>
        <v/>
      </c>
      <c r="P788" s="54"/>
      <c r="Q788" s="53" t="str">
        <f aca="false">IF(NOT(ISNUMBER($P788)),"",IFERROR(PERCENTRANK($P$5:$P$1204,$P788),""))</f>
        <v/>
      </c>
    </row>
    <row r="789" customFormat="false" ht="15" hidden="false" customHeight="false" outlineLevel="0" collapsed="false">
      <c r="A789" s="55"/>
      <c r="B789" s="56"/>
      <c r="C789" s="57"/>
      <c r="D789" s="56"/>
      <c r="E789" s="56"/>
      <c r="F789" s="56"/>
      <c r="G789" s="50" t="str">
        <f aca="false">IF($A789="","",IF(ISNUMBER($G788),$G788+1,1))</f>
        <v/>
      </c>
      <c r="H789" s="51" t="str">
        <f aca="false">IF(OR(NOT(ISNUMBER($G789)),$G789&lt;2,NOT(ISNUMBER($C788)),$C788=0),"",$C789/$C788-1)</f>
        <v/>
      </c>
      <c r="I789" s="52" t="str">
        <f aca="false">IF(AND(ISNUMBER($G789),$G789&gt;=MA_SHORT),AVERAGE(INDEX($C$389:$C789,402-MA_SHORT):$C789),"")</f>
        <v/>
      </c>
      <c r="J789" s="52" t="str">
        <f aca="false">IF(AND(ISNUMBER($G789),$G789&gt;=MA_MED),AVERAGE(INDEX($C$389:$C789,402-MA_MED):$C789),"")</f>
        <v/>
      </c>
      <c r="K789" s="52" t="str">
        <f aca="false">IF(AND(ISNUMBER($G789),$G789&gt;=MA_LONG2),AVERAGE(INDEX($C$389:$C789,402-MA_LONG2):$C789),"")</f>
        <v/>
      </c>
      <c r="L789" s="53" t="str">
        <f aca="false">IF(AND(ISNUMBER($G789),$G789&gt;=21),STDEV(INDEX($H$729:$H789,62-20):$H789)*SQRT(245),"")</f>
        <v/>
      </c>
      <c r="M789" s="52" t="str">
        <f aca="false">IF(AND(ISNUMBER($G789),$G789&gt;=60),MAX(INDEX($D$589:$D789,202-60):$D789),"")</f>
        <v/>
      </c>
      <c r="N789" s="52" t="str">
        <f aca="false">IF(AND(ISNUMBER($G789),$G789&gt;=60),MIN(INDEX($E$589:$E789,202-60):$E789),"")</f>
        <v/>
      </c>
      <c r="O789" s="53" t="str">
        <f aca="false">IF(OR(NOT(ISNUMBER($C789)),NOT(ISNUMBER($M789)),$M789=0),"",$C789/$M789-1)</f>
        <v/>
      </c>
      <c r="P789" s="54"/>
      <c r="Q789" s="53" t="str">
        <f aca="false">IF(NOT(ISNUMBER($P789)),"",IFERROR(PERCENTRANK($P$5:$P$1204,$P789),""))</f>
        <v/>
      </c>
    </row>
    <row r="790" customFormat="false" ht="15" hidden="false" customHeight="false" outlineLevel="0" collapsed="false">
      <c r="A790" s="55"/>
      <c r="B790" s="56"/>
      <c r="C790" s="57"/>
      <c r="D790" s="56"/>
      <c r="E790" s="56"/>
      <c r="F790" s="56"/>
      <c r="G790" s="50" t="str">
        <f aca="false">IF($A790="","",IF(ISNUMBER($G789),$G789+1,1))</f>
        <v/>
      </c>
      <c r="H790" s="51" t="str">
        <f aca="false">IF(OR(NOT(ISNUMBER($G790)),$G790&lt;2,NOT(ISNUMBER($C789)),$C789=0),"",$C790/$C789-1)</f>
        <v/>
      </c>
      <c r="I790" s="52" t="str">
        <f aca="false">IF(AND(ISNUMBER($G790),$G790&gt;=MA_SHORT),AVERAGE(INDEX($C$390:$C790,402-MA_SHORT):$C790),"")</f>
        <v/>
      </c>
      <c r="J790" s="52" t="str">
        <f aca="false">IF(AND(ISNUMBER($G790),$G790&gt;=MA_MED),AVERAGE(INDEX($C$390:$C790,402-MA_MED):$C790),"")</f>
        <v/>
      </c>
      <c r="K790" s="52" t="str">
        <f aca="false">IF(AND(ISNUMBER($G790),$G790&gt;=MA_LONG2),AVERAGE(INDEX($C$390:$C790,402-MA_LONG2):$C790),"")</f>
        <v/>
      </c>
      <c r="L790" s="53" t="str">
        <f aca="false">IF(AND(ISNUMBER($G790),$G790&gt;=21),STDEV(INDEX($H$730:$H790,62-20):$H790)*SQRT(245),"")</f>
        <v/>
      </c>
      <c r="M790" s="52" t="str">
        <f aca="false">IF(AND(ISNUMBER($G790),$G790&gt;=60),MAX(INDEX($D$590:$D790,202-60):$D790),"")</f>
        <v/>
      </c>
      <c r="N790" s="52" t="str">
        <f aca="false">IF(AND(ISNUMBER($G790),$G790&gt;=60),MIN(INDEX($E$590:$E790,202-60):$E790),"")</f>
        <v/>
      </c>
      <c r="O790" s="53" t="str">
        <f aca="false">IF(OR(NOT(ISNUMBER($C790)),NOT(ISNUMBER($M790)),$M790=0),"",$C790/$M790-1)</f>
        <v/>
      </c>
      <c r="P790" s="54"/>
      <c r="Q790" s="53" t="str">
        <f aca="false">IF(NOT(ISNUMBER($P790)),"",IFERROR(PERCENTRANK($P$5:$P$1204,$P790),""))</f>
        <v/>
      </c>
    </row>
    <row r="791" customFormat="false" ht="15" hidden="false" customHeight="false" outlineLevel="0" collapsed="false">
      <c r="A791" s="55"/>
      <c r="B791" s="56"/>
      <c r="C791" s="57"/>
      <c r="D791" s="56"/>
      <c r="E791" s="56"/>
      <c r="F791" s="56"/>
      <c r="G791" s="50" t="str">
        <f aca="false">IF($A791="","",IF(ISNUMBER($G790),$G790+1,1))</f>
        <v/>
      </c>
      <c r="H791" s="51" t="str">
        <f aca="false">IF(OR(NOT(ISNUMBER($G791)),$G791&lt;2,NOT(ISNUMBER($C790)),$C790=0),"",$C791/$C790-1)</f>
        <v/>
      </c>
      <c r="I791" s="52" t="str">
        <f aca="false">IF(AND(ISNUMBER($G791),$G791&gt;=MA_SHORT),AVERAGE(INDEX($C$391:$C791,402-MA_SHORT):$C791),"")</f>
        <v/>
      </c>
      <c r="J791" s="52" t="str">
        <f aca="false">IF(AND(ISNUMBER($G791),$G791&gt;=MA_MED),AVERAGE(INDEX($C$391:$C791,402-MA_MED):$C791),"")</f>
        <v/>
      </c>
      <c r="K791" s="52" t="str">
        <f aca="false">IF(AND(ISNUMBER($G791),$G791&gt;=MA_LONG2),AVERAGE(INDEX($C$391:$C791,402-MA_LONG2):$C791),"")</f>
        <v/>
      </c>
      <c r="L791" s="53" t="str">
        <f aca="false">IF(AND(ISNUMBER($G791),$G791&gt;=21),STDEV(INDEX($H$731:$H791,62-20):$H791)*SQRT(245),"")</f>
        <v/>
      </c>
      <c r="M791" s="52" t="str">
        <f aca="false">IF(AND(ISNUMBER($G791),$G791&gt;=60),MAX(INDEX($D$591:$D791,202-60):$D791),"")</f>
        <v/>
      </c>
      <c r="N791" s="52" t="str">
        <f aca="false">IF(AND(ISNUMBER($G791),$G791&gt;=60),MIN(INDEX($E$591:$E791,202-60):$E791),"")</f>
        <v/>
      </c>
      <c r="O791" s="53" t="str">
        <f aca="false">IF(OR(NOT(ISNUMBER($C791)),NOT(ISNUMBER($M791)),$M791=0),"",$C791/$M791-1)</f>
        <v/>
      </c>
      <c r="P791" s="54"/>
      <c r="Q791" s="53" t="str">
        <f aca="false">IF(NOT(ISNUMBER($P791)),"",IFERROR(PERCENTRANK($P$5:$P$1204,$P791),""))</f>
        <v/>
      </c>
    </row>
    <row r="792" customFormat="false" ht="15" hidden="false" customHeight="false" outlineLevel="0" collapsed="false">
      <c r="A792" s="55"/>
      <c r="B792" s="56"/>
      <c r="C792" s="57"/>
      <c r="D792" s="56"/>
      <c r="E792" s="56"/>
      <c r="F792" s="56"/>
      <c r="G792" s="50" t="str">
        <f aca="false">IF($A792="","",IF(ISNUMBER($G791),$G791+1,1))</f>
        <v/>
      </c>
      <c r="H792" s="51" t="str">
        <f aca="false">IF(OR(NOT(ISNUMBER($G792)),$G792&lt;2,NOT(ISNUMBER($C791)),$C791=0),"",$C792/$C791-1)</f>
        <v/>
      </c>
      <c r="I792" s="52" t="str">
        <f aca="false">IF(AND(ISNUMBER($G792),$G792&gt;=MA_SHORT),AVERAGE(INDEX($C$392:$C792,402-MA_SHORT):$C792),"")</f>
        <v/>
      </c>
      <c r="J792" s="52" t="str">
        <f aca="false">IF(AND(ISNUMBER($G792),$G792&gt;=MA_MED),AVERAGE(INDEX($C$392:$C792,402-MA_MED):$C792),"")</f>
        <v/>
      </c>
      <c r="K792" s="52" t="str">
        <f aca="false">IF(AND(ISNUMBER($G792),$G792&gt;=MA_LONG2),AVERAGE(INDEX($C$392:$C792,402-MA_LONG2):$C792),"")</f>
        <v/>
      </c>
      <c r="L792" s="53" t="str">
        <f aca="false">IF(AND(ISNUMBER($G792),$G792&gt;=21),STDEV(INDEX($H$732:$H792,62-20):$H792)*SQRT(245),"")</f>
        <v/>
      </c>
      <c r="M792" s="52" t="str">
        <f aca="false">IF(AND(ISNUMBER($G792),$G792&gt;=60),MAX(INDEX($D$592:$D792,202-60):$D792),"")</f>
        <v/>
      </c>
      <c r="N792" s="52" t="str">
        <f aca="false">IF(AND(ISNUMBER($G792),$G792&gt;=60),MIN(INDEX($E$592:$E792,202-60):$E792),"")</f>
        <v/>
      </c>
      <c r="O792" s="53" t="str">
        <f aca="false">IF(OR(NOT(ISNUMBER($C792)),NOT(ISNUMBER($M792)),$M792=0),"",$C792/$M792-1)</f>
        <v/>
      </c>
      <c r="P792" s="54"/>
      <c r="Q792" s="53" t="str">
        <f aca="false">IF(NOT(ISNUMBER($P792)),"",IFERROR(PERCENTRANK($P$5:$P$1204,$P792),""))</f>
        <v/>
      </c>
    </row>
    <row r="793" customFormat="false" ht="15" hidden="false" customHeight="false" outlineLevel="0" collapsed="false">
      <c r="A793" s="55"/>
      <c r="B793" s="56"/>
      <c r="C793" s="57"/>
      <c r="D793" s="56"/>
      <c r="E793" s="56"/>
      <c r="F793" s="56"/>
      <c r="G793" s="50" t="str">
        <f aca="false">IF($A793="","",IF(ISNUMBER($G792),$G792+1,1))</f>
        <v/>
      </c>
      <c r="H793" s="51" t="str">
        <f aca="false">IF(OR(NOT(ISNUMBER($G793)),$G793&lt;2,NOT(ISNUMBER($C792)),$C792=0),"",$C793/$C792-1)</f>
        <v/>
      </c>
      <c r="I793" s="52" t="str">
        <f aca="false">IF(AND(ISNUMBER($G793),$G793&gt;=MA_SHORT),AVERAGE(INDEX($C$393:$C793,402-MA_SHORT):$C793),"")</f>
        <v/>
      </c>
      <c r="J793" s="52" t="str">
        <f aca="false">IF(AND(ISNUMBER($G793),$G793&gt;=MA_MED),AVERAGE(INDEX($C$393:$C793,402-MA_MED):$C793),"")</f>
        <v/>
      </c>
      <c r="K793" s="52" t="str">
        <f aca="false">IF(AND(ISNUMBER($G793),$G793&gt;=MA_LONG2),AVERAGE(INDEX($C$393:$C793,402-MA_LONG2):$C793),"")</f>
        <v/>
      </c>
      <c r="L793" s="53" t="str">
        <f aca="false">IF(AND(ISNUMBER($G793),$G793&gt;=21),STDEV(INDEX($H$733:$H793,62-20):$H793)*SQRT(245),"")</f>
        <v/>
      </c>
      <c r="M793" s="52" t="str">
        <f aca="false">IF(AND(ISNUMBER($G793),$G793&gt;=60),MAX(INDEX($D$593:$D793,202-60):$D793),"")</f>
        <v/>
      </c>
      <c r="N793" s="52" t="str">
        <f aca="false">IF(AND(ISNUMBER($G793),$G793&gt;=60),MIN(INDEX($E$593:$E793,202-60):$E793),"")</f>
        <v/>
      </c>
      <c r="O793" s="53" t="str">
        <f aca="false">IF(OR(NOT(ISNUMBER($C793)),NOT(ISNUMBER($M793)),$M793=0),"",$C793/$M793-1)</f>
        <v/>
      </c>
      <c r="P793" s="54"/>
      <c r="Q793" s="53" t="str">
        <f aca="false">IF(NOT(ISNUMBER($P793)),"",IFERROR(PERCENTRANK($P$5:$P$1204,$P793),""))</f>
        <v/>
      </c>
    </row>
    <row r="794" customFormat="false" ht="15" hidden="false" customHeight="false" outlineLevel="0" collapsed="false">
      <c r="A794" s="55"/>
      <c r="B794" s="56"/>
      <c r="C794" s="57"/>
      <c r="D794" s="56"/>
      <c r="E794" s="56"/>
      <c r="F794" s="56"/>
      <c r="G794" s="50" t="str">
        <f aca="false">IF($A794="","",IF(ISNUMBER($G793),$G793+1,1))</f>
        <v/>
      </c>
      <c r="H794" s="51" t="str">
        <f aca="false">IF(OR(NOT(ISNUMBER($G794)),$G794&lt;2,NOT(ISNUMBER($C793)),$C793=0),"",$C794/$C793-1)</f>
        <v/>
      </c>
      <c r="I794" s="52" t="str">
        <f aca="false">IF(AND(ISNUMBER($G794),$G794&gt;=MA_SHORT),AVERAGE(INDEX($C$394:$C794,402-MA_SHORT):$C794),"")</f>
        <v/>
      </c>
      <c r="J794" s="52" t="str">
        <f aca="false">IF(AND(ISNUMBER($G794),$G794&gt;=MA_MED),AVERAGE(INDEX($C$394:$C794,402-MA_MED):$C794),"")</f>
        <v/>
      </c>
      <c r="K794" s="52" t="str">
        <f aca="false">IF(AND(ISNUMBER($G794),$G794&gt;=MA_LONG2),AVERAGE(INDEX($C$394:$C794,402-MA_LONG2):$C794),"")</f>
        <v/>
      </c>
      <c r="L794" s="53" t="str">
        <f aca="false">IF(AND(ISNUMBER($G794),$G794&gt;=21),STDEV(INDEX($H$734:$H794,62-20):$H794)*SQRT(245),"")</f>
        <v/>
      </c>
      <c r="M794" s="52" t="str">
        <f aca="false">IF(AND(ISNUMBER($G794),$G794&gt;=60),MAX(INDEX($D$594:$D794,202-60):$D794),"")</f>
        <v/>
      </c>
      <c r="N794" s="52" t="str">
        <f aca="false">IF(AND(ISNUMBER($G794),$G794&gt;=60),MIN(INDEX($E$594:$E794,202-60):$E794),"")</f>
        <v/>
      </c>
      <c r="O794" s="53" t="str">
        <f aca="false">IF(OR(NOT(ISNUMBER($C794)),NOT(ISNUMBER($M794)),$M794=0),"",$C794/$M794-1)</f>
        <v/>
      </c>
      <c r="P794" s="54"/>
      <c r="Q794" s="53" t="str">
        <f aca="false">IF(NOT(ISNUMBER($P794)),"",IFERROR(PERCENTRANK($P$5:$P$1204,$P794),""))</f>
        <v/>
      </c>
    </row>
    <row r="795" customFormat="false" ht="15" hidden="false" customHeight="false" outlineLevel="0" collapsed="false">
      <c r="A795" s="55"/>
      <c r="B795" s="56"/>
      <c r="C795" s="57"/>
      <c r="D795" s="56"/>
      <c r="E795" s="56"/>
      <c r="F795" s="56"/>
      <c r="G795" s="50" t="str">
        <f aca="false">IF($A795="","",IF(ISNUMBER($G794),$G794+1,1))</f>
        <v/>
      </c>
      <c r="H795" s="51" t="str">
        <f aca="false">IF(OR(NOT(ISNUMBER($G795)),$G795&lt;2,NOT(ISNUMBER($C794)),$C794=0),"",$C795/$C794-1)</f>
        <v/>
      </c>
      <c r="I795" s="52" t="str">
        <f aca="false">IF(AND(ISNUMBER($G795),$G795&gt;=MA_SHORT),AVERAGE(INDEX($C$395:$C795,402-MA_SHORT):$C795),"")</f>
        <v/>
      </c>
      <c r="J795" s="52" t="str">
        <f aca="false">IF(AND(ISNUMBER($G795),$G795&gt;=MA_MED),AVERAGE(INDEX($C$395:$C795,402-MA_MED):$C795),"")</f>
        <v/>
      </c>
      <c r="K795" s="52" t="str">
        <f aca="false">IF(AND(ISNUMBER($G795),$G795&gt;=MA_LONG2),AVERAGE(INDEX($C$395:$C795,402-MA_LONG2):$C795),"")</f>
        <v/>
      </c>
      <c r="L795" s="53" t="str">
        <f aca="false">IF(AND(ISNUMBER($G795),$G795&gt;=21),STDEV(INDEX($H$735:$H795,62-20):$H795)*SQRT(245),"")</f>
        <v/>
      </c>
      <c r="M795" s="52" t="str">
        <f aca="false">IF(AND(ISNUMBER($G795),$G795&gt;=60),MAX(INDEX($D$595:$D795,202-60):$D795),"")</f>
        <v/>
      </c>
      <c r="N795" s="52" t="str">
        <f aca="false">IF(AND(ISNUMBER($G795),$G795&gt;=60),MIN(INDEX($E$595:$E795,202-60):$E795),"")</f>
        <v/>
      </c>
      <c r="O795" s="53" t="str">
        <f aca="false">IF(OR(NOT(ISNUMBER($C795)),NOT(ISNUMBER($M795)),$M795=0),"",$C795/$M795-1)</f>
        <v/>
      </c>
      <c r="P795" s="54"/>
      <c r="Q795" s="53" t="str">
        <f aca="false">IF(NOT(ISNUMBER($P795)),"",IFERROR(PERCENTRANK($P$5:$P$1204,$P795),""))</f>
        <v/>
      </c>
    </row>
    <row r="796" customFormat="false" ht="15" hidden="false" customHeight="false" outlineLevel="0" collapsed="false">
      <c r="A796" s="55"/>
      <c r="B796" s="56"/>
      <c r="C796" s="57"/>
      <c r="D796" s="56"/>
      <c r="E796" s="56"/>
      <c r="F796" s="56"/>
      <c r="G796" s="50" t="str">
        <f aca="false">IF($A796="","",IF(ISNUMBER($G795),$G795+1,1))</f>
        <v/>
      </c>
      <c r="H796" s="51" t="str">
        <f aca="false">IF(OR(NOT(ISNUMBER($G796)),$G796&lt;2,NOT(ISNUMBER($C795)),$C795=0),"",$C796/$C795-1)</f>
        <v/>
      </c>
      <c r="I796" s="52" t="str">
        <f aca="false">IF(AND(ISNUMBER($G796),$G796&gt;=MA_SHORT),AVERAGE(INDEX($C$396:$C796,402-MA_SHORT):$C796),"")</f>
        <v/>
      </c>
      <c r="J796" s="52" t="str">
        <f aca="false">IF(AND(ISNUMBER($G796),$G796&gt;=MA_MED),AVERAGE(INDEX($C$396:$C796,402-MA_MED):$C796),"")</f>
        <v/>
      </c>
      <c r="K796" s="52" t="str">
        <f aca="false">IF(AND(ISNUMBER($G796),$G796&gt;=MA_LONG2),AVERAGE(INDEX($C$396:$C796,402-MA_LONG2):$C796),"")</f>
        <v/>
      </c>
      <c r="L796" s="53" t="str">
        <f aca="false">IF(AND(ISNUMBER($G796),$G796&gt;=21),STDEV(INDEX($H$736:$H796,62-20):$H796)*SQRT(245),"")</f>
        <v/>
      </c>
      <c r="M796" s="52" t="str">
        <f aca="false">IF(AND(ISNUMBER($G796),$G796&gt;=60),MAX(INDEX($D$596:$D796,202-60):$D796),"")</f>
        <v/>
      </c>
      <c r="N796" s="52" t="str">
        <f aca="false">IF(AND(ISNUMBER($G796),$G796&gt;=60),MIN(INDEX($E$596:$E796,202-60):$E796),"")</f>
        <v/>
      </c>
      <c r="O796" s="53" t="str">
        <f aca="false">IF(OR(NOT(ISNUMBER($C796)),NOT(ISNUMBER($M796)),$M796=0),"",$C796/$M796-1)</f>
        <v/>
      </c>
      <c r="P796" s="54"/>
      <c r="Q796" s="53" t="str">
        <f aca="false">IF(NOT(ISNUMBER($P796)),"",IFERROR(PERCENTRANK($P$5:$P$1204,$P796),""))</f>
        <v/>
      </c>
    </row>
    <row r="797" customFormat="false" ht="15" hidden="false" customHeight="false" outlineLevel="0" collapsed="false">
      <c r="A797" s="55"/>
      <c r="B797" s="56"/>
      <c r="C797" s="57"/>
      <c r="D797" s="56"/>
      <c r="E797" s="56"/>
      <c r="F797" s="56"/>
      <c r="G797" s="50" t="str">
        <f aca="false">IF($A797="","",IF(ISNUMBER($G796),$G796+1,1))</f>
        <v/>
      </c>
      <c r="H797" s="51" t="str">
        <f aca="false">IF(OR(NOT(ISNUMBER($G797)),$G797&lt;2,NOT(ISNUMBER($C796)),$C796=0),"",$C797/$C796-1)</f>
        <v/>
      </c>
      <c r="I797" s="52" t="str">
        <f aca="false">IF(AND(ISNUMBER($G797),$G797&gt;=MA_SHORT),AVERAGE(INDEX($C$397:$C797,402-MA_SHORT):$C797),"")</f>
        <v/>
      </c>
      <c r="J797" s="52" t="str">
        <f aca="false">IF(AND(ISNUMBER($G797),$G797&gt;=MA_MED),AVERAGE(INDEX($C$397:$C797,402-MA_MED):$C797),"")</f>
        <v/>
      </c>
      <c r="K797" s="52" t="str">
        <f aca="false">IF(AND(ISNUMBER($G797),$G797&gt;=MA_LONG2),AVERAGE(INDEX($C$397:$C797,402-MA_LONG2):$C797),"")</f>
        <v/>
      </c>
      <c r="L797" s="53" t="str">
        <f aca="false">IF(AND(ISNUMBER($G797),$G797&gt;=21),STDEV(INDEX($H$737:$H797,62-20):$H797)*SQRT(245),"")</f>
        <v/>
      </c>
      <c r="M797" s="52" t="str">
        <f aca="false">IF(AND(ISNUMBER($G797),$G797&gt;=60),MAX(INDEX($D$597:$D797,202-60):$D797),"")</f>
        <v/>
      </c>
      <c r="N797" s="52" t="str">
        <f aca="false">IF(AND(ISNUMBER($G797),$G797&gt;=60),MIN(INDEX($E$597:$E797,202-60):$E797),"")</f>
        <v/>
      </c>
      <c r="O797" s="53" t="str">
        <f aca="false">IF(OR(NOT(ISNUMBER($C797)),NOT(ISNUMBER($M797)),$M797=0),"",$C797/$M797-1)</f>
        <v/>
      </c>
      <c r="P797" s="54"/>
      <c r="Q797" s="53" t="str">
        <f aca="false">IF(NOT(ISNUMBER($P797)),"",IFERROR(PERCENTRANK($P$5:$P$1204,$P797),""))</f>
        <v/>
      </c>
    </row>
    <row r="798" customFormat="false" ht="15" hidden="false" customHeight="false" outlineLevel="0" collapsed="false">
      <c r="A798" s="55"/>
      <c r="B798" s="56"/>
      <c r="C798" s="57"/>
      <c r="D798" s="56"/>
      <c r="E798" s="56"/>
      <c r="F798" s="56"/>
      <c r="G798" s="50" t="str">
        <f aca="false">IF($A798="","",IF(ISNUMBER($G797),$G797+1,1))</f>
        <v/>
      </c>
      <c r="H798" s="51" t="str">
        <f aca="false">IF(OR(NOT(ISNUMBER($G798)),$G798&lt;2,NOT(ISNUMBER($C797)),$C797=0),"",$C798/$C797-1)</f>
        <v/>
      </c>
      <c r="I798" s="52" t="str">
        <f aca="false">IF(AND(ISNUMBER($G798),$G798&gt;=MA_SHORT),AVERAGE(INDEX($C$398:$C798,402-MA_SHORT):$C798),"")</f>
        <v/>
      </c>
      <c r="J798" s="52" t="str">
        <f aca="false">IF(AND(ISNUMBER($G798),$G798&gt;=MA_MED),AVERAGE(INDEX($C$398:$C798,402-MA_MED):$C798),"")</f>
        <v/>
      </c>
      <c r="K798" s="52" t="str">
        <f aca="false">IF(AND(ISNUMBER($G798),$G798&gt;=MA_LONG2),AVERAGE(INDEX($C$398:$C798,402-MA_LONG2):$C798),"")</f>
        <v/>
      </c>
      <c r="L798" s="53" t="str">
        <f aca="false">IF(AND(ISNUMBER($G798),$G798&gt;=21),STDEV(INDEX($H$738:$H798,62-20):$H798)*SQRT(245),"")</f>
        <v/>
      </c>
      <c r="M798" s="52" t="str">
        <f aca="false">IF(AND(ISNUMBER($G798),$G798&gt;=60),MAX(INDEX($D$598:$D798,202-60):$D798),"")</f>
        <v/>
      </c>
      <c r="N798" s="52" t="str">
        <f aca="false">IF(AND(ISNUMBER($G798),$G798&gt;=60),MIN(INDEX($E$598:$E798,202-60):$E798),"")</f>
        <v/>
      </c>
      <c r="O798" s="53" t="str">
        <f aca="false">IF(OR(NOT(ISNUMBER($C798)),NOT(ISNUMBER($M798)),$M798=0),"",$C798/$M798-1)</f>
        <v/>
      </c>
      <c r="P798" s="54"/>
      <c r="Q798" s="53" t="str">
        <f aca="false">IF(NOT(ISNUMBER($P798)),"",IFERROR(PERCENTRANK($P$5:$P$1204,$P798),""))</f>
        <v/>
      </c>
    </row>
    <row r="799" customFormat="false" ht="15" hidden="false" customHeight="false" outlineLevel="0" collapsed="false">
      <c r="A799" s="55"/>
      <c r="B799" s="56"/>
      <c r="C799" s="57"/>
      <c r="D799" s="56"/>
      <c r="E799" s="56"/>
      <c r="F799" s="56"/>
      <c r="G799" s="50" t="str">
        <f aca="false">IF($A799="","",IF(ISNUMBER($G798),$G798+1,1))</f>
        <v/>
      </c>
      <c r="H799" s="51" t="str">
        <f aca="false">IF(OR(NOT(ISNUMBER($G799)),$G799&lt;2,NOT(ISNUMBER($C798)),$C798=0),"",$C799/$C798-1)</f>
        <v/>
      </c>
      <c r="I799" s="52" t="str">
        <f aca="false">IF(AND(ISNUMBER($G799),$G799&gt;=MA_SHORT),AVERAGE(INDEX($C$399:$C799,402-MA_SHORT):$C799),"")</f>
        <v/>
      </c>
      <c r="J799" s="52" t="str">
        <f aca="false">IF(AND(ISNUMBER($G799),$G799&gt;=MA_MED),AVERAGE(INDEX($C$399:$C799,402-MA_MED):$C799),"")</f>
        <v/>
      </c>
      <c r="K799" s="52" t="str">
        <f aca="false">IF(AND(ISNUMBER($G799),$G799&gt;=MA_LONG2),AVERAGE(INDEX($C$399:$C799,402-MA_LONG2):$C799),"")</f>
        <v/>
      </c>
      <c r="L799" s="53" t="str">
        <f aca="false">IF(AND(ISNUMBER($G799),$G799&gt;=21),STDEV(INDEX($H$739:$H799,62-20):$H799)*SQRT(245),"")</f>
        <v/>
      </c>
      <c r="M799" s="52" t="str">
        <f aca="false">IF(AND(ISNUMBER($G799),$G799&gt;=60),MAX(INDEX($D$599:$D799,202-60):$D799),"")</f>
        <v/>
      </c>
      <c r="N799" s="52" t="str">
        <f aca="false">IF(AND(ISNUMBER($G799),$G799&gt;=60),MIN(INDEX($E$599:$E799,202-60):$E799),"")</f>
        <v/>
      </c>
      <c r="O799" s="53" t="str">
        <f aca="false">IF(OR(NOT(ISNUMBER($C799)),NOT(ISNUMBER($M799)),$M799=0),"",$C799/$M799-1)</f>
        <v/>
      </c>
      <c r="P799" s="54"/>
      <c r="Q799" s="53" t="str">
        <f aca="false">IF(NOT(ISNUMBER($P799)),"",IFERROR(PERCENTRANK($P$5:$P$1204,$P799),""))</f>
        <v/>
      </c>
    </row>
    <row r="800" customFormat="false" ht="15" hidden="false" customHeight="false" outlineLevel="0" collapsed="false">
      <c r="A800" s="55"/>
      <c r="B800" s="56"/>
      <c r="C800" s="57"/>
      <c r="D800" s="56"/>
      <c r="E800" s="56"/>
      <c r="F800" s="56"/>
      <c r="G800" s="50" t="str">
        <f aca="false">IF($A800="","",IF(ISNUMBER($G799),$G799+1,1))</f>
        <v/>
      </c>
      <c r="H800" s="51" t="str">
        <f aca="false">IF(OR(NOT(ISNUMBER($G800)),$G800&lt;2,NOT(ISNUMBER($C799)),$C799=0),"",$C800/$C799-1)</f>
        <v/>
      </c>
      <c r="I800" s="52" t="str">
        <f aca="false">IF(AND(ISNUMBER($G800),$G800&gt;=MA_SHORT),AVERAGE(INDEX($C$400:$C800,402-MA_SHORT):$C800),"")</f>
        <v/>
      </c>
      <c r="J800" s="52" t="str">
        <f aca="false">IF(AND(ISNUMBER($G800),$G800&gt;=MA_MED),AVERAGE(INDEX($C$400:$C800,402-MA_MED):$C800),"")</f>
        <v/>
      </c>
      <c r="K800" s="52" t="str">
        <f aca="false">IF(AND(ISNUMBER($G800),$G800&gt;=MA_LONG2),AVERAGE(INDEX($C$400:$C800,402-MA_LONG2):$C800),"")</f>
        <v/>
      </c>
      <c r="L800" s="53" t="str">
        <f aca="false">IF(AND(ISNUMBER($G800),$G800&gt;=21),STDEV(INDEX($H$740:$H800,62-20):$H800)*SQRT(245),"")</f>
        <v/>
      </c>
      <c r="M800" s="52" t="str">
        <f aca="false">IF(AND(ISNUMBER($G800),$G800&gt;=60),MAX(INDEX($D$600:$D800,202-60):$D800),"")</f>
        <v/>
      </c>
      <c r="N800" s="52" t="str">
        <f aca="false">IF(AND(ISNUMBER($G800),$G800&gt;=60),MIN(INDEX($E$600:$E800,202-60):$E800),"")</f>
        <v/>
      </c>
      <c r="O800" s="53" t="str">
        <f aca="false">IF(OR(NOT(ISNUMBER($C800)),NOT(ISNUMBER($M800)),$M800=0),"",$C800/$M800-1)</f>
        <v/>
      </c>
      <c r="P800" s="54"/>
      <c r="Q800" s="53" t="str">
        <f aca="false">IF(NOT(ISNUMBER($P800)),"",IFERROR(PERCENTRANK($P$5:$P$1204,$P800),""))</f>
        <v/>
      </c>
    </row>
    <row r="801" customFormat="false" ht="15" hidden="false" customHeight="false" outlineLevel="0" collapsed="false">
      <c r="A801" s="55"/>
      <c r="B801" s="56"/>
      <c r="C801" s="57"/>
      <c r="D801" s="56"/>
      <c r="E801" s="56"/>
      <c r="F801" s="56"/>
      <c r="G801" s="50" t="str">
        <f aca="false">IF($A801="","",IF(ISNUMBER($G800),$G800+1,1))</f>
        <v/>
      </c>
      <c r="H801" s="51" t="str">
        <f aca="false">IF(OR(NOT(ISNUMBER($G801)),$G801&lt;2,NOT(ISNUMBER($C800)),$C800=0),"",$C801/$C800-1)</f>
        <v/>
      </c>
      <c r="I801" s="52" t="str">
        <f aca="false">IF(AND(ISNUMBER($G801),$G801&gt;=MA_SHORT),AVERAGE(INDEX($C$401:$C801,402-MA_SHORT):$C801),"")</f>
        <v/>
      </c>
      <c r="J801" s="52" t="str">
        <f aca="false">IF(AND(ISNUMBER($G801),$G801&gt;=MA_MED),AVERAGE(INDEX($C$401:$C801,402-MA_MED):$C801),"")</f>
        <v/>
      </c>
      <c r="K801" s="52" t="str">
        <f aca="false">IF(AND(ISNUMBER($G801),$G801&gt;=MA_LONG2),AVERAGE(INDEX($C$401:$C801,402-MA_LONG2):$C801),"")</f>
        <v/>
      </c>
      <c r="L801" s="53" t="str">
        <f aca="false">IF(AND(ISNUMBER($G801),$G801&gt;=21),STDEV(INDEX($H$741:$H801,62-20):$H801)*SQRT(245),"")</f>
        <v/>
      </c>
      <c r="M801" s="52" t="str">
        <f aca="false">IF(AND(ISNUMBER($G801),$G801&gt;=60),MAX(INDEX($D$601:$D801,202-60):$D801),"")</f>
        <v/>
      </c>
      <c r="N801" s="52" t="str">
        <f aca="false">IF(AND(ISNUMBER($G801),$G801&gt;=60),MIN(INDEX($E$601:$E801,202-60):$E801),"")</f>
        <v/>
      </c>
      <c r="O801" s="53" t="str">
        <f aca="false">IF(OR(NOT(ISNUMBER($C801)),NOT(ISNUMBER($M801)),$M801=0),"",$C801/$M801-1)</f>
        <v/>
      </c>
      <c r="P801" s="54"/>
      <c r="Q801" s="53" t="str">
        <f aca="false">IF(NOT(ISNUMBER($P801)),"",IFERROR(PERCENTRANK($P$5:$P$1204,$P801),""))</f>
        <v/>
      </c>
    </row>
    <row r="802" customFormat="false" ht="15" hidden="false" customHeight="false" outlineLevel="0" collapsed="false">
      <c r="A802" s="55"/>
      <c r="B802" s="56"/>
      <c r="C802" s="57"/>
      <c r="D802" s="56"/>
      <c r="E802" s="56"/>
      <c r="F802" s="56"/>
      <c r="G802" s="50" t="str">
        <f aca="false">IF($A802="","",IF(ISNUMBER($G801),$G801+1,1))</f>
        <v/>
      </c>
      <c r="H802" s="51" t="str">
        <f aca="false">IF(OR(NOT(ISNUMBER($G802)),$G802&lt;2,NOT(ISNUMBER($C801)),$C801=0),"",$C802/$C801-1)</f>
        <v/>
      </c>
      <c r="I802" s="52" t="str">
        <f aca="false">IF(AND(ISNUMBER($G802),$G802&gt;=MA_SHORT),AVERAGE(INDEX($C$402:$C802,402-MA_SHORT):$C802),"")</f>
        <v/>
      </c>
      <c r="J802" s="52" t="str">
        <f aca="false">IF(AND(ISNUMBER($G802),$G802&gt;=MA_MED),AVERAGE(INDEX($C$402:$C802,402-MA_MED):$C802),"")</f>
        <v/>
      </c>
      <c r="K802" s="52" t="str">
        <f aca="false">IF(AND(ISNUMBER($G802),$G802&gt;=MA_LONG2),AVERAGE(INDEX($C$402:$C802,402-MA_LONG2):$C802),"")</f>
        <v/>
      </c>
      <c r="L802" s="53" t="str">
        <f aca="false">IF(AND(ISNUMBER($G802),$G802&gt;=21),STDEV(INDEX($H$742:$H802,62-20):$H802)*SQRT(245),"")</f>
        <v/>
      </c>
      <c r="M802" s="52" t="str">
        <f aca="false">IF(AND(ISNUMBER($G802),$G802&gt;=60),MAX(INDEX($D$602:$D802,202-60):$D802),"")</f>
        <v/>
      </c>
      <c r="N802" s="52" t="str">
        <f aca="false">IF(AND(ISNUMBER($G802),$G802&gt;=60),MIN(INDEX($E$602:$E802,202-60):$E802),"")</f>
        <v/>
      </c>
      <c r="O802" s="53" t="str">
        <f aca="false">IF(OR(NOT(ISNUMBER($C802)),NOT(ISNUMBER($M802)),$M802=0),"",$C802/$M802-1)</f>
        <v/>
      </c>
      <c r="P802" s="54"/>
      <c r="Q802" s="53" t="str">
        <f aca="false">IF(NOT(ISNUMBER($P802)),"",IFERROR(PERCENTRANK($P$5:$P$1204,$P802),""))</f>
        <v/>
      </c>
    </row>
    <row r="803" customFormat="false" ht="15" hidden="false" customHeight="false" outlineLevel="0" collapsed="false">
      <c r="A803" s="55"/>
      <c r="B803" s="56"/>
      <c r="C803" s="57"/>
      <c r="D803" s="56"/>
      <c r="E803" s="56"/>
      <c r="F803" s="56"/>
      <c r="G803" s="50" t="str">
        <f aca="false">IF($A803="","",IF(ISNUMBER($G802),$G802+1,1))</f>
        <v/>
      </c>
      <c r="H803" s="51" t="str">
        <f aca="false">IF(OR(NOT(ISNUMBER($G803)),$G803&lt;2,NOT(ISNUMBER($C802)),$C802=0),"",$C803/$C802-1)</f>
        <v/>
      </c>
      <c r="I803" s="52" t="str">
        <f aca="false">IF(AND(ISNUMBER($G803),$G803&gt;=MA_SHORT),AVERAGE(INDEX($C$403:$C803,402-MA_SHORT):$C803),"")</f>
        <v/>
      </c>
      <c r="J803" s="52" t="str">
        <f aca="false">IF(AND(ISNUMBER($G803),$G803&gt;=MA_MED),AVERAGE(INDEX($C$403:$C803,402-MA_MED):$C803),"")</f>
        <v/>
      </c>
      <c r="K803" s="52" t="str">
        <f aca="false">IF(AND(ISNUMBER($G803),$G803&gt;=MA_LONG2),AVERAGE(INDEX($C$403:$C803,402-MA_LONG2):$C803),"")</f>
        <v/>
      </c>
      <c r="L803" s="53" t="str">
        <f aca="false">IF(AND(ISNUMBER($G803),$G803&gt;=21),STDEV(INDEX($H$743:$H803,62-20):$H803)*SQRT(245),"")</f>
        <v/>
      </c>
      <c r="M803" s="52" t="str">
        <f aca="false">IF(AND(ISNUMBER($G803),$G803&gt;=60),MAX(INDEX($D$603:$D803,202-60):$D803),"")</f>
        <v/>
      </c>
      <c r="N803" s="52" t="str">
        <f aca="false">IF(AND(ISNUMBER($G803),$G803&gt;=60),MIN(INDEX($E$603:$E803,202-60):$E803),"")</f>
        <v/>
      </c>
      <c r="O803" s="53" t="str">
        <f aca="false">IF(OR(NOT(ISNUMBER($C803)),NOT(ISNUMBER($M803)),$M803=0),"",$C803/$M803-1)</f>
        <v/>
      </c>
      <c r="P803" s="54"/>
      <c r="Q803" s="53" t="str">
        <f aca="false">IF(NOT(ISNUMBER($P803)),"",IFERROR(PERCENTRANK($P$5:$P$1204,$P803),""))</f>
        <v/>
      </c>
    </row>
    <row r="804" customFormat="false" ht="15" hidden="false" customHeight="false" outlineLevel="0" collapsed="false">
      <c r="A804" s="55"/>
      <c r="B804" s="56"/>
      <c r="C804" s="57"/>
      <c r="D804" s="56"/>
      <c r="E804" s="56"/>
      <c r="F804" s="56"/>
      <c r="G804" s="50" t="str">
        <f aca="false">IF($A804="","",IF(ISNUMBER($G803),$G803+1,1))</f>
        <v/>
      </c>
      <c r="H804" s="51" t="str">
        <f aca="false">IF(OR(NOT(ISNUMBER($G804)),$G804&lt;2,NOT(ISNUMBER($C803)),$C803=0),"",$C804/$C803-1)</f>
        <v/>
      </c>
      <c r="I804" s="52" t="str">
        <f aca="false">IF(AND(ISNUMBER($G804),$G804&gt;=MA_SHORT),AVERAGE(INDEX($C$404:$C804,402-MA_SHORT):$C804),"")</f>
        <v/>
      </c>
      <c r="J804" s="52" t="str">
        <f aca="false">IF(AND(ISNUMBER($G804),$G804&gt;=MA_MED),AVERAGE(INDEX($C$404:$C804,402-MA_MED):$C804),"")</f>
        <v/>
      </c>
      <c r="K804" s="52" t="str">
        <f aca="false">IF(AND(ISNUMBER($G804),$G804&gt;=MA_LONG2),AVERAGE(INDEX($C$404:$C804,402-MA_LONG2):$C804),"")</f>
        <v/>
      </c>
      <c r="L804" s="53" t="str">
        <f aca="false">IF(AND(ISNUMBER($G804),$G804&gt;=21),STDEV(INDEX($H$744:$H804,62-20):$H804)*SQRT(245),"")</f>
        <v/>
      </c>
      <c r="M804" s="52" t="str">
        <f aca="false">IF(AND(ISNUMBER($G804),$G804&gt;=60),MAX(INDEX($D$604:$D804,202-60):$D804),"")</f>
        <v/>
      </c>
      <c r="N804" s="52" t="str">
        <f aca="false">IF(AND(ISNUMBER($G804),$G804&gt;=60),MIN(INDEX($E$604:$E804,202-60):$E804),"")</f>
        <v/>
      </c>
      <c r="O804" s="53" t="str">
        <f aca="false">IF(OR(NOT(ISNUMBER($C804)),NOT(ISNUMBER($M804)),$M804=0),"",$C804/$M804-1)</f>
        <v/>
      </c>
      <c r="P804" s="54"/>
      <c r="Q804" s="53" t="str">
        <f aca="false">IF(NOT(ISNUMBER($P804)),"",IFERROR(PERCENTRANK($P$5:$P$1204,$P804),""))</f>
        <v/>
      </c>
    </row>
    <row r="805" customFormat="false" ht="15" hidden="false" customHeight="false" outlineLevel="0" collapsed="false">
      <c r="A805" s="55"/>
      <c r="B805" s="56"/>
      <c r="C805" s="57"/>
      <c r="D805" s="56"/>
      <c r="E805" s="56"/>
      <c r="F805" s="56"/>
      <c r="G805" s="50" t="str">
        <f aca="false">IF($A805="","",IF(ISNUMBER($G804),$G804+1,1))</f>
        <v/>
      </c>
      <c r="H805" s="51" t="str">
        <f aca="false">IF(OR(NOT(ISNUMBER($G805)),$G805&lt;2,NOT(ISNUMBER($C804)),$C804=0),"",$C805/$C804-1)</f>
        <v/>
      </c>
      <c r="I805" s="52" t="str">
        <f aca="false">IF(AND(ISNUMBER($G805),$G805&gt;=MA_SHORT),AVERAGE(INDEX($C$405:$C805,402-MA_SHORT):$C805),"")</f>
        <v/>
      </c>
      <c r="J805" s="52" t="str">
        <f aca="false">IF(AND(ISNUMBER($G805),$G805&gt;=MA_MED),AVERAGE(INDEX($C$405:$C805,402-MA_MED):$C805),"")</f>
        <v/>
      </c>
      <c r="K805" s="52" t="str">
        <f aca="false">IF(AND(ISNUMBER($G805),$G805&gt;=MA_LONG2),AVERAGE(INDEX($C$405:$C805,402-MA_LONG2):$C805),"")</f>
        <v/>
      </c>
      <c r="L805" s="53" t="str">
        <f aca="false">IF(AND(ISNUMBER($G805),$G805&gt;=21),STDEV(INDEX($H$745:$H805,62-20):$H805)*SQRT(245),"")</f>
        <v/>
      </c>
      <c r="M805" s="52" t="str">
        <f aca="false">IF(AND(ISNUMBER($G805),$G805&gt;=60),MAX(INDEX($D$605:$D805,202-60):$D805),"")</f>
        <v/>
      </c>
      <c r="N805" s="52" t="str">
        <f aca="false">IF(AND(ISNUMBER($G805),$G805&gt;=60),MIN(INDEX($E$605:$E805,202-60):$E805),"")</f>
        <v/>
      </c>
      <c r="O805" s="53" t="str">
        <f aca="false">IF(OR(NOT(ISNUMBER($C805)),NOT(ISNUMBER($M805)),$M805=0),"",$C805/$M805-1)</f>
        <v/>
      </c>
      <c r="P805" s="54"/>
      <c r="Q805" s="53" t="str">
        <f aca="false">IF(NOT(ISNUMBER($P805)),"",IFERROR(PERCENTRANK($P$5:$P$1204,$P805),""))</f>
        <v/>
      </c>
    </row>
    <row r="806" customFormat="false" ht="15" hidden="false" customHeight="false" outlineLevel="0" collapsed="false">
      <c r="A806" s="55"/>
      <c r="B806" s="56"/>
      <c r="C806" s="57"/>
      <c r="D806" s="56"/>
      <c r="E806" s="56"/>
      <c r="F806" s="56"/>
      <c r="G806" s="50" t="str">
        <f aca="false">IF($A806="","",IF(ISNUMBER($G805),$G805+1,1))</f>
        <v/>
      </c>
      <c r="H806" s="51" t="str">
        <f aca="false">IF(OR(NOT(ISNUMBER($G806)),$G806&lt;2,NOT(ISNUMBER($C805)),$C805=0),"",$C806/$C805-1)</f>
        <v/>
      </c>
      <c r="I806" s="52" t="str">
        <f aca="false">IF(AND(ISNUMBER($G806),$G806&gt;=MA_SHORT),AVERAGE(INDEX($C$406:$C806,402-MA_SHORT):$C806),"")</f>
        <v/>
      </c>
      <c r="J806" s="52" t="str">
        <f aca="false">IF(AND(ISNUMBER($G806),$G806&gt;=MA_MED),AVERAGE(INDEX($C$406:$C806,402-MA_MED):$C806),"")</f>
        <v/>
      </c>
      <c r="K806" s="52" t="str">
        <f aca="false">IF(AND(ISNUMBER($G806),$G806&gt;=MA_LONG2),AVERAGE(INDEX($C$406:$C806,402-MA_LONG2):$C806),"")</f>
        <v/>
      </c>
      <c r="L806" s="53" t="str">
        <f aca="false">IF(AND(ISNUMBER($G806),$G806&gt;=21),STDEV(INDEX($H$746:$H806,62-20):$H806)*SQRT(245),"")</f>
        <v/>
      </c>
      <c r="M806" s="52" t="str">
        <f aca="false">IF(AND(ISNUMBER($G806),$G806&gt;=60),MAX(INDEX($D$606:$D806,202-60):$D806),"")</f>
        <v/>
      </c>
      <c r="N806" s="52" t="str">
        <f aca="false">IF(AND(ISNUMBER($G806),$G806&gt;=60),MIN(INDEX($E$606:$E806,202-60):$E806),"")</f>
        <v/>
      </c>
      <c r="O806" s="53" t="str">
        <f aca="false">IF(OR(NOT(ISNUMBER($C806)),NOT(ISNUMBER($M806)),$M806=0),"",$C806/$M806-1)</f>
        <v/>
      </c>
      <c r="P806" s="54"/>
      <c r="Q806" s="53" t="str">
        <f aca="false">IF(NOT(ISNUMBER($P806)),"",IFERROR(PERCENTRANK($P$5:$P$1204,$P806),""))</f>
        <v/>
      </c>
    </row>
    <row r="807" customFormat="false" ht="15" hidden="false" customHeight="false" outlineLevel="0" collapsed="false">
      <c r="A807" s="55"/>
      <c r="B807" s="56"/>
      <c r="C807" s="57"/>
      <c r="D807" s="56"/>
      <c r="E807" s="56"/>
      <c r="F807" s="56"/>
      <c r="G807" s="50" t="str">
        <f aca="false">IF($A807="","",IF(ISNUMBER($G806),$G806+1,1))</f>
        <v/>
      </c>
      <c r="H807" s="51" t="str">
        <f aca="false">IF(OR(NOT(ISNUMBER($G807)),$G807&lt;2,NOT(ISNUMBER($C806)),$C806=0),"",$C807/$C806-1)</f>
        <v/>
      </c>
      <c r="I807" s="52" t="str">
        <f aca="false">IF(AND(ISNUMBER($G807),$G807&gt;=MA_SHORT),AVERAGE(INDEX($C$407:$C807,402-MA_SHORT):$C807),"")</f>
        <v/>
      </c>
      <c r="J807" s="52" t="str">
        <f aca="false">IF(AND(ISNUMBER($G807),$G807&gt;=MA_MED),AVERAGE(INDEX($C$407:$C807,402-MA_MED):$C807),"")</f>
        <v/>
      </c>
      <c r="K807" s="52" t="str">
        <f aca="false">IF(AND(ISNUMBER($G807),$G807&gt;=MA_LONG2),AVERAGE(INDEX($C$407:$C807,402-MA_LONG2):$C807),"")</f>
        <v/>
      </c>
      <c r="L807" s="53" t="str">
        <f aca="false">IF(AND(ISNUMBER($G807),$G807&gt;=21),STDEV(INDEX($H$747:$H807,62-20):$H807)*SQRT(245),"")</f>
        <v/>
      </c>
      <c r="M807" s="52" t="str">
        <f aca="false">IF(AND(ISNUMBER($G807),$G807&gt;=60),MAX(INDEX($D$607:$D807,202-60):$D807),"")</f>
        <v/>
      </c>
      <c r="N807" s="52" t="str">
        <f aca="false">IF(AND(ISNUMBER($G807),$G807&gt;=60),MIN(INDEX($E$607:$E807,202-60):$E807),"")</f>
        <v/>
      </c>
      <c r="O807" s="53" t="str">
        <f aca="false">IF(OR(NOT(ISNUMBER($C807)),NOT(ISNUMBER($M807)),$M807=0),"",$C807/$M807-1)</f>
        <v/>
      </c>
      <c r="P807" s="54"/>
      <c r="Q807" s="53" t="str">
        <f aca="false">IF(NOT(ISNUMBER($P807)),"",IFERROR(PERCENTRANK($P$5:$P$1204,$P807),""))</f>
        <v/>
      </c>
    </row>
    <row r="808" customFormat="false" ht="15" hidden="false" customHeight="false" outlineLevel="0" collapsed="false">
      <c r="A808" s="55"/>
      <c r="B808" s="56"/>
      <c r="C808" s="57"/>
      <c r="D808" s="56"/>
      <c r="E808" s="56"/>
      <c r="F808" s="56"/>
      <c r="G808" s="50" t="str">
        <f aca="false">IF($A808="","",IF(ISNUMBER($G807),$G807+1,1))</f>
        <v/>
      </c>
      <c r="H808" s="51" t="str">
        <f aca="false">IF(OR(NOT(ISNUMBER($G808)),$G808&lt;2,NOT(ISNUMBER($C807)),$C807=0),"",$C808/$C807-1)</f>
        <v/>
      </c>
      <c r="I808" s="52" t="str">
        <f aca="false">IF(AND(ISNUMBER($G808),$G808&gt;=MA_SHORT),AVERAGE(INDEX($C$408:$C808,402-MA_SHORT):$C808),"")</f>
        <v/>
      </c>
      <c r="J808" s="52" t="str">
        <f aca="false">IF(AND(ISNUMBER($G808),$G808&gt;=MA_MED),AVERAGE(INDEX($C$408:$C808,402-MA_MED):$C808),"")</f>
        <v/>
      </c>
      <c r="K808" s="52" t="str">
        <f aca="false">IF(AND(ISNUMBER($G808),$G808&gt;=MA_LONG2),AVERAGE(INDEX($C$408:$C808,402-MA_LONG2):$C808),"")</f>
        <v/>
      </c>
      <c r="L808" s="53" t="str">
        <f aca="false">IF(AND(ISNUMBER($G808),$G808&gt;=21),STDEV(INDEX($H$748:$H808,62-20):$H808)*SQRT(245),"")</f>
        <v/>
      </c>
      <c r="M808" s="52" t="str">
        <f aca="false">IF(AND(ISNUMBER($G808),$G808&gt;=60),MAX(INDEX($D$608:$D808,202-60):$D808),"")</f>
        <v/>
      </c>
      <c r="N808" s="52" t="str">
        <f aca="false">IF(AND(ISNUMBER($G808),$G808&gt;=60),MIN(INDEX($E$608:$E808,202-60):$E808),"")</f>
        <v/>
      </c>
      <c r="O808" s="53" t="str">
        <f aca="false">IF(OR(NOT(ISNUMBER($C808)),NOT(ISNUMBER($M808)),$M808=0),"",$C808/$M808-1)</f>
        <v/>
      </c>
      <c r="P808" s="54"/>
      <c r="Q808" s="53" t="str">
        <f aca="false">IF(NOT(ISNUMBER($P808)),"",IFERROR(PERCENTRANK($P$5:$P$1204,$P808),""))</f>
        <v/>
      </c>
    </row>
    <row r="809" customFormat="false" ht="15" hidden="false" customHeight="false" outlineLevel="0" collapsed="false">
      <c r="A809" s="55"/>
      <c r="B809" s="56"/>
      <c r="C809" s="57"/>
      <c r="D809" s="56"/>
      <c r="E809" s="56"/>
      <c r="F809" s="56"/>
      <c r="G809" s="50" t="str">
        <f aca="false">IF($A809="","",IF(ISNUMBER($G808),$G808+1,1))</f>
        <v/>
      </c>
      <c r="H809" s="51" t="str">
        <f aca="false">IF(OR(NOT(ISNUMBER($G809)),$G809&lt;2,NOT(ISNUMBER($C808)),$C808=0),"",$C809/$C808-1)</f>
        <v/>
      </c>
      <c r="I809" s="52" t="str">
        <f aca="false">IF(AND(ISNUMBER($G809),$G809&gt;=MA_SHORT),AVERAGE(INDEX($C$409:$C809,402-MA_SHORT):$C809),"")</f>
        <v/>
      </c>
      <c r="J809" s="52" t="str">
        <f aca="false">IF(AND(ISNUMBER($G809),$G809&gt;=MA_MED),AVERAGE(INDEX($C$409:$C809,402-MA_MED):$C809),"")</f>
        <v/>
      </c>
      <c r="K809" s="52" t="str">
        <f aca="false">IF(AND(ISNUMBER($G809),$G809&gt;=MA_LONG2),AVERAGE(INDEX($C$409:$C809,402-MA_LONG2):$C809),"")</f>
        <v/>
      </c>
      <c r="L809" s="53" t="str">
        <f aca="false">IF(AND(ISNUMBER($G809),$G809&gt;=21),STDEV(INDEX($H$749:$H809,62-20):$H809)*SQRT(245),"")</f>
        <v/>
      </c>
      <c r="M809" s="52" t="str">
        <f aca="false">IF(AND(ISNUMBER($G809),$G809&gt;=60),MAX(INDEX($D$609:$D809,202-60):$D809),"")</f>
        <v/>
      </c>
      <c r="N809" s="52" t="str">
        <f aca="false">IF(AND(ISNUMBER($G809),$G809&gt;=60),MIN(INDEX($E$609:$E809,202-60):$E809),"")</f>
        <v/>
      </c>
      <c r="O809" s="53" t="str">
        <f aca="false">IF(OR(NOT(ISNUMBER($C809)),NOT(ISNUMBER($M809)),$M809=0),"",$C809/$M809-1)</f>
        <v/>
      </c>
      <c r="P809" s="54"/>
      <c r="Q809" s="53" t="str">
        <f aca="false">IF(NOT(ISNUMBER($P809)),"",IFERROR(PERCENTRANK($P$5:$P$1204,$P809),""))</f>
        <v/>
      </c>
    </row>
    <row r="810" customFormat="false" ht="15" hidden="false" customHeight="false" outlineLevel="0" collapsed="false">
      <c r="A810" s="55"/>
      <c r="B810" s="56"/>
      <c r="C810" s="57"/>
      <c r="D810" s="56"/>
      <c r="E810" s="56"/>
      <c r="F810" s="56"/>
      <c r="G810" s="50" t="str">
        <f aca="false">IF($A810="","",IF(ISNUMBER($G809),$G809+1,1))</f>
        <v/>
      </c>
      <c r="H810" s="51" t="str">
        <f aca="false">IF(OR(NOT(ISNUMBER($G810)),$G810&lt;2,NOT(ISNUMBER($C809)),$C809=0),"",$C810/$C809-1)</f>
        <v/>
      </c>
      <c r="I810" s="52" t="str">
        <f aca="false">IF(AND(ISNUMBER($G810),$G810&gt;=MA_SHORT),AVERAGE(INDEX($C$410:$C810,402-MA_SHORT):$C810),"")</f>
        <v/>
      </c>
      <c r="J810" s="52" t="str">
        <f aca="false">IF(AND(ISNUMBER($G810),$G810&gt;=MA_MED),AVERAGE(INDEX($C$410:$C810,402-MA_MED):$C810),"")</f>
        <v/>
      </c>
      <c r="K810" s="52" t="str">
        <f aca="false">IF(AND(ISNUMBER($G810),$G810&gt;=MA_LONG2),AVERAGE(INDEX($C$410:$C810,402-MA_LONG2):$C810),"")</f>
        <v/>
      </c>
      <c r="L810" s="53" t="str">
        <f aca="false">IF(AND(ISNUMBER($G810),$G810&gt;=21),STDEV(INDEX($H$750:$H810,62-20):$H810)*SQRT(245),"")</f>
        <v/>
      </c>
      <c r="M810" s="52" t="str">
        <f aca="false">IF(AND(ISNUMBER($G810),$G810&gt;=60),MAX(INDEX($D$610:$D810,202-60):$D810),"")</f>
        <v/>
      </c>
      <c r="N810" s="52" t="str">
        <f aca="false">IF(AND(ISNUMBER($G810),$G810&gt;=60),MIN(INDEX($E$610:$E810,202-60):$E810),"")</f>
        <v/>
      </c>
      <c r="O810" s="53" t="str">
        <f aca="false">IF(OR(NOT(ISNUMBER($C810)),NOT(ISNUMBER($M810)),$M810=0),"",$C810/$M810-1)</f>
        <v/>
      </c>
      <c r="P810" s="54"/>
      <c r="Q810" s="53" t="str">
        <f aca="false">IF(NOT(ISNUMBER($P810)),"",IFERROR(PERCENTRANK($P$5:$P$1204,$P810),""))</f>
        <v/>
      </c>
    </row>
    <row r="811" customFormat="false" ht="15" hidden="false" customHeight="false" outlineLevel="0" collapsed="false">
      <c r="A811" s="55"/>
      <c r="B811" s="56"/>
      <c r="C811" s="57"/>
      <c r="D811" s="56"/>
      <c r="E811" s="56"/>
      <c r="F811" s="56"/>
      <c r="G811" s="50" t="str">
        <f aca="false">IF($A811="","",IF(ISNUMBER($G810),$G810+1,1))</f>
        <v/>
      </c>
      <c r="H811" s="51" t="str">
        <f aca="false">IF(OR(NOT(ISNUMBER($G811)),$G811&lt;2,NOT(ISNUMBER($C810)),$C810=0),"",$C811/$C810-1)</f>
        <v/>
      </c>
      <c r="I811" s="52" t="str">
        <f aca="false">IF(AND(ISNUMBER($G811),$G811&gt;=MA_SHORT),AVERAGE(INDEX($C$411:$C811,402-MA_SHORT):$C811),"")</f>
        <v/>
      </c>
      <c r="J811" s="52" t="str">
        <f aca="false">IF(AND(ISNUMBER($G811),$G811&gt;=MA_MED),AVERAGE(INDEX($C$411:$C811,402-MA_MED):$C811),"")</f>
        <v/>
      </c>
      <c r="K811" s="52" t="str">
        <f aca="false">IF(AND(ISNUMBER($G811),$G811&gt;=MA_LONG2),AVERAGE(INDEX($C$411:$C811,402-MA_LONG2):$C811),"")</f>
        <v/>
      </c>
      <c r="L811" s="53" t="str">
        <f aca="false">IF(AND(ISNUMBER($G811),$G811&gt;=21),STDEV(INDEX($H$751:$H811,62-20):$H811)*SQRT(245),"")</f>
        <v/>
      </c>
      <c r="M811" s="52" t="str">
        <f aca="false">IF(AND(ISNUMBER($G811),$G811&gt;=60),MAX(INDEX($D$611:$D811,202-60):$D811),"")</f>
        <v/>
      </c>
      <c r="N811" s="52" t="str">
        <f aca="false">IF(AND(ISNUMBER($G811),$G811&gt;=60),MIN(INDEX($E$611:$E811,202-60):$E811),"")</f>
        <v/>
      </c>
      <c r="O811" s="53" t="str">
        <f aca="false">IF(OR(NOT(ISNUMBER($C811)),NOT(ISNUMBER($M811)),$M811=0),"",$C811/$M811-1)</f>
        <v/>
      </c>
      <c r="P811" s="54"/>
      <c r="Q811" s="53" t="str">
        <f aca="false">IF(NOT(ISNUMBER($P811)),"",IFERROR(PERCENTRANK($P$5:$P$1204,$P811),""))</f>
        <v/>
      </c>
    </row>
    <row r="812" customFormat="false" ht="15" hidden="false" customHeight="false" outlineLevel="0" collapsed="false">
      <c r="A812" s="55"/>
      <c r="B812" s="56"/>
      <c r="C812" s="57"/>
      <c r="D812" s="56"/>
      <c r="E812" s="56"/>
      <c r="F812" s="56"/>
      <c r="G812" s="50" t="str">
        <f aca="false">IF($A812="","",IF(ISNUMBER($G811),$G811+1,1))</f>
        <v/>
      </c>
      <c r="H812" s="51" t="str">
        <f aca="false">IF(OR(NOT(ISNUMBER($G812)),$G812&lt;2,NOT(ISNUMBER($C811)),$C811=0),"",$C812/$C811-1)</f>
        <v/>
      </c>
      <c r="I812" s="52" t="str">
        <f aca="false">IF(AND(ISNUMBER($G812),$G812&gt;=MA_SHORT),AVERAGE(INDEX($C$412:$C812,402-MA_SHORT):$C812),"")</f>
        <v/>
      </c>
      <c r="J812" s="52" t="str">
        <f aca="false">IF(AND(ISNUMBER($G812),$G812&gt;=MA_MED),AVERAGE(INDEX($C$412:$C812,402-MA_MED):$C812),"")</f>
        <v/>
      </c>
      <c r="K812" s="52" t="str">
        <f aca="false">IF(AND(ISNUMBER($G812),$G812&gt;=MA_LONG2),AVERAGE(INDEX($C$412:$C812,402-MA_LONG2):$C812),"")</f>
        <v/>
      </c>
      <c r="L812" s="53" t="str">
        <f aca="false">IF(AND(ISNUMBER($G812),$G812&gt;=21),STDEV(INDEX($H$752:$H812,62-20):$H812)*SQRT(245),"")</f>
        <v/>
      </c>
      <c r="M812" s="52" t="str">
        <f aca="false">IF(AND(ISNUMBER($G812),$G812&gt;=60),MAX(INDEX($D$612:$D812,202-60):$D812),"")</f>
        <v/>
      </c>
      <c r="N812" s="52" t="str">
        <f aca="false">IF(AND(ISNUMBER($G812),$G812&gt;=60),MIN(INDEX($E$612:$E812,202-60):$E812),"")</f>
        <v/>
      </c>
      <c r="O812" s="53" t="str">
        <f aca="false">IF(OR(NOT(ISNUMBER($C812)),NOT(ISNUMBER($M812)),$M812=0),"",$C812/$M812-1)</f>
        <v/>
      </c>
      <c r="P812" s="54"/>
      <c r="Q812" s="53" t="str">
        <f aca="false">IF(NOT(ISNUMBER($P812)),"",IFERROR(PERCENTRANK($P$5:$P$1204,$P812),""))</f>
        <v/>
      </c>
    </row>
    <row r="813" customFormat="false" ht="15" hidden="false" customHeight="false" outlineLevel="0" collapsed="false">
      <c r="A813" s="55"/>
      <c r="B813" s="56"/>
      <c r="C813" s="57"/>
      <c r="D813" s="56"/>
      <c r="E813" s="56"/>
      <c r="F813" s="56"/>
      <c r="G813" s="50" t="str">
        <f aca="false">IF($A813="","",IF(ISNUMBER($G812),$G812+1,1))</f>
        <v/>
      </c>
      <c r="H813" s="51" t="str">
        <f aca="false">IF(OR(NOT(ISNUMBER($G813)),$G813&lt;2,NOT(ISNUMBER($C812)),$C812=0),"",$C813/$C812-1)</f>
        <v/>
      </c>
      <c r="I813" s="52" t="str">
        <f aca="false">IF(AND(ISNUMBER($G813),$G813&gt;=MA_SHORT),AVERAGE(INDEX($C$413:$C813,402-MA_SHORT):$C813),"")</f>
        <v/>
      </c>
      <c r="J813" s="52" t="str">
        <f aca="false">IF(AND(ISNUMBER($G813),$G813&gt;=MA_MED),AVERAGE(INDEX($C$413:$C813,402-MA_MED):$C813),"")</f>
        <v/>
      </c>
      <c r="K813" s="52" t="str">
        <f aca="false">IF(AND(ISNUMBER($G813),$G813&gt;=MA_LONG2),AVERAGE(INDEX($C$413:$C813,402-MA_LONG2):$C813),"")</f>
        <v/>
      </c>
      <c r="L813" s="53" t="str">
        <f aca="false">IF(AND(ISNUMBER($G813),$G813&gt;=21),STDEV(INDEX($H$753:$H813,62-20):$H813)*SQRT(245),"")</f>
        <v/>
      </c>
      <c r="M813" s="52" t="str">
        <f aca="false">IF(AND(ISNUMBER($G813),$G813&gt;=60),MAX(INDEX($D$613:$D813,202-60):$D813),"")</f>
        <v/>
      </c>
      <c r="N813" s="52" t="str">
        <f aca="false">IF(AND(ISNUMBER($G813),$G813&gt;=60),MIN(INDEX($E$613:$E813,202-60):$E813),"")</f>
        <v/>
      </c>
      <c r="O813" s="53" t="str">
        <f aca="false">IF(OR(NOT(ISNUMBER($C813)),NOT(ISNUMBER($M813)),$M813=0),"",$C813/$M813-1)</f>
        <v/>
      </c>
      <c r="P813" s="54"/>
      <c r="Q813" s="53" t="str">
        <f aca="false">IF(NOT(ISNUMBER($P813)),"",IFERROR(PERCENTRANK($P$5:$P$1204,$P813),""))</f>
        <v/>
      </c>
    </row>
    <row r="814" customFormat="false" ht="15" hidden="false" customHeight="false" outlineLevel="0" collapsed="false">
      <c r="A814" s="55"/>
      <c r="B814" s="56"/>
      <c r="C814" s="57"/>
      <c r="D814" s="56"/>
      <c r="E814" s="56"/>
      <c r="F814" s="56"/>
      <c r="G814" s="50" t="str">
        <f aca="false">IF($A814="","",IF(ISNUMBER($G813),$G813+1,1))</f>
        <v/>
      </c>
      <c r="H814" s="51" t="str">
        <f aca="false">IF(OR(NOT(ISNUMBER($G814)),$G814&lt;2,NOT(ISNUMBER($C813)),$C813=0),"",$C814/$C813-1)</f>
        <v/>
      </c>
      <c r="I814" s="52" t="str">
        <f aca="false">IF(AND(ISNUMBER($G814),$G814&gt;=MA_SHORT),AVERAGE(INDEX($C$414:$C814,402-MA_SHORT):$C814),"")</f>
        <v/>
      </c>
      <c r="J814" s="52" t="str">
        <f aca="false">IF(AND(ISNUMBER($G814),$G814&gt;=MA_MED),AVERAGE(INDEX($C$414:$C814,402-MA_MED):$C814),"")</f>
        <v/>
      </c>
      <c r="K814" s="52" t="str">
        <f aca="false">IF(AND(ISNUMBER($G814),$G814&gt;=MA_LONG2),AVERAGE(INDEX($C$414:$C814,402-MA_LONG2):$C814),"")</f>
        <v/>
      </c>
      <c r="L814" s="53" t="str">
        <f aca="false">IF(AND(ISNUMBER($G814),$G814&gt;=21),STDEV(INDEX($H$754:$H814,62-20):$H814)*SQRT(245),"")</f>
        <v/>
      </c>
      <c r="M814" s="52" t="str">
        <f aca="false">IF(AND(ISNUMBER($G814),$G814&gt;=60),MAX(INDEX($D$614:$D814,202-60):$D814),"")</f>
        <v/>
      </c>
      <c r="N814" s="52" t="str">
        <f aca="false">IF(AND(ISNUMBER($G814),$G814&gt;=60),MIN(INDEX($E$614:$E814,202-60):$E814),"")</f>
        <v/>
      </c>
      <c r="O814" s="53" t="str">
        <f aca="false">IF(OR(NOT(ISNUMBER($C814)),NOT(ISNUMBER($M814)),$M814=0),"",$C814/$M814-1)</f>
        <v/>
      </c>
      <c r="P814" s="54"/>
      <c r="Q814" s="53" t="str">
        <f aca="false">IF(NOT(ISNUMBER($P814)),"",IFERROR(PERCENTRANK($P$5:$P$1204,$P814),""))</f>
        <v/>
      </c>
    </row>
    <row r="815" customFormat="false" ht="15" hidden="false" customHeight="false" outlineLevel="0" collapsed="false">
      <c r="A815" s="55"/>
      <c r="B815" s="56"/>
      <c r="C815" s="57"/>
      <c r="D815" s="56"/>
      <c r="E815" s="56"/>
      <c r="F815" s="56"/>
      <c r="G815" s="50" t="str">
        <f aca="false">IF($A815="","",IF(ISNUMBER($G814),$G814+1,1))</f>
        <v/>
      </c>
      <c r="H815" s="51" t="str">
        <f aca="false">IF(OR(NOT(ISNUMBER($G815)),$G815&lt;2,NOT(ISNUMBER($C814)),$C814=0),"",$C815/$C814-1)</f>
        <v/>
      </c>
      <c r="I815" s="52" t="str">
        <f aca="false">IF(AND(ISNUMBER($G815),$G815&gt;=MA_SHORT),AVERAGE(INDEX($C$415:$C815,402-MA_SHORT):$C815),"")</f>
        <v/>
      </c>
      <c r="J815" s="52" t="str">
        <f aca="false">IF(AND(ISNUMBER($G815),$G815&gt;=MA_MED),AVERAGE(INDEX($C$415:$C815,402-MA_MED):$C815),"")</f>
        <v/>
      </c>
      <c r="K815" s="52" t="str">
        <f aca="false">IF(AND(ISNUMBER($G815),$G815&gt;=MA_LONG2),AVERAGE(INDEX($C$415:$C815,402-MA_LONG2):$C815),"")</f>
        <v/>
      </c>
      <c r="L815" s="53" t="str">
        <f aca="false">IF(AND(ISNUMBER($G815),$G815&gt;=21),STDEV(INDEX($H$755:$H815,62-20):$H815)*SQRT(245),"")</f>
        <v/>
      </c>
      <c r="M815" s="52" t="str">
        <f aca="false">IF(AND(ISNUMBER($G815),$G815&gt;=60),MAX(INDEX($D$615:$D815,202-60):$D815),"")</f>
        <v/>
      </c>
      <c r="N815" s="52" t="str">
        <f aca="false">IF(AND(ISNUMBER($G815),$G815&gt;=60),MIN(INDEX($E$615:$E815,202-60):$E815),"")</f>
        <v/>
      </c>
      <c r="O815" s="53" t="str">
        <f aca="false">IF(OR(NOT(ISNUMBER($C815)),NOT(ISNUMBER($M815)),$M815=0),"",$C815/$M815-1)</f>
        <v/>
      </c>
      <c r="P815" s="54"/>
      <c r="Q815" s="53" t="str">
        <f aca="false">IF(NOT(ISNUMBER($P815)),"",IFERROR(PERCENTRANK($P$5:$P$1204,$P815),""))</f>
        <v/>
      </c>
    </row>
    <row r="816" customFormat="false" ht="15" hidden="false" customHeight="false" outlineLevel="0" collapsed="false">
      <c r="A816" s="55"/>
      <c r="B816" s="56"/>
      <c r="C816" s="57"/>
      <c r="D816" s="56"/>
      <c r="E816" s="56"/>
      <c r="F816" s="56"/>
      <c r="G816" s="50" t="str">
        <f aca="false">IF($A816="","",IF(ISNUMBER($G815),$G815+1,1))</f>
        <v/>
      </c>
      <c r="H816" s="51" t="str">
        <f aca="false">IF(OR(NOT(ISNUMBER($G816)),$G816&lt;2,NOT(ISNUMBER($C815)),$C815=0),"",$C816/$C815-1)</f>
        <v/>
      </c>
      <c r="I816" s="52" t="str">
        <f aca="false">IF(AND(ISNUMBER($G816),$G816&gt;=MA_SHORT),AVERAGE(INDEX($C$416:$C816,402-MA_SHORT):$C816),"")</f>
        <v/>
      </c>
      <c r="J816" s="52" t="str">
        <f aca="false">IF(AND(ISNUMBER($G816),$G816&gt;=MA_MED),AVERAGE(INDEX($C$416:$C816,402-MA_MED):$C816),"")</f>
        <v/>
      </c>
      <c r="K816" s="52" t="str">
        <f aca="false">IF(AND(ISNUMBER($G816),$G816&gt;=MA_LONG2),AVERAGE(INDEX($C$416:$C816,402-MA_LONG2):$C816),"")</f>
        <v/>
      </c>
      <c r="L816" s="53" t="str">
        <f aca="false">IF(AND(ISNUMBER($G816),$G816&gt;=21),STDEV(INDEX($H$756:$H816,62-20):$H816)*SQRT(245),"")</f>
        <v/>
      </c>
      <c r="M816" s="52" t="str">
        <f aca="false">IF(AND(ISNUMBER($G816),$G816&gt;=60),MAX(INDEX($D$616:$D816,202-60):$D816),"")</f>
        <v/>
      </c>
      <c r="N816" s="52" t="str">
        <f aca="false">IF(AND(ISNUMBER($G816),$G816&gt;=60),MIN(INDEX($E$616:$E816,202-60):$E816),"")</f>
        <v/>
      </c>
      <c r="O816" s="53" t="str">
        <f aca="false">IF(OR(NOT(ISNUMBER($C816)),NOT(ISNUMBER($M816)),$M816=0),"",$C816/$M816-1)</f>
        <v/>
      </c>
      <c r="P816" s="54"/>
      <c r="Q816" s="53" t="str">
        <f aca="false">IF(NOT(ISNUMBER($P816)),"",IFERROR(PERCENTRANK($P$5:$P$1204,$P816),""))</f>
        <v/>
      </c>
    </row>
    <row r="817" customFormat="false" ht="15" hidden="false" customHeight="false" outlineLevel="0" collapsed="false">
      <c r="A817" s="55"/>
      <c r="B817" s="56"/>
      <c r="C817" s="57"/>
      <c r="D817" s="56"/>
      <c r="E817" s="56"/>
      <c r="F817" s="56"/>
      <c r="G817" s="50" t="str">
        <f aca="false">IF($A817="","",IF(ISNUMBER($G816),$G816+1,1))</f>
        <v/>
      </c>
      <c r="H817" s="51" t="str">
        <f aca="false">IF(OR(NOT(ISNUMBER($G817)),$G817&lt;2,NOT(ISNUMBER($C816)),$C816=0),"",$C817/$C816-1)</f>
        <v/>
      </c>
      <c r="I817" s="52" t="str">
        <f aca="false">IF(AND(ISNUMBER($G817),$G817&gt;=MA_SHORT),AVERAGE(INDEX($C$417:$C817,402-MA_SHORT):$C817),"")</f>
        <v/>
      </c>
      <c r="J817" s="52" t="str">
        <f aca="false">IF(AND(ISNUMBER($G817),$G817&gt;=MA_MED),AVERAGE(INDEX($C$417:$C817,402-MA_MED):$C817),"")</f>
        <v/>
      </c>
      <c r="K817" s="52" t="str">
        <f aca="false">IF(AND(ISNUMBER($G817),$G817&gt;=MA_LONG2),AVERAGE(INDEX($C$417:$C817,402-MA_LONG2):$C817),"")</f>
        <v/>
      </c>
      <c r="L817" s="53" t="str">
        <f aca="false">IF(AND(ISNUMBER($G817),$G817&gt;=21),STDEV(INDEX($H$757:$H817,62-20):$H817)*SQRT(245),"")</f>
        <v/>
      </c>
      <c r="M817" s="52" t="str">
        <f aca="false">IF(AND(ISNUMBER($G817),$G817&gt;=60),MAX(INDEX($D$617:$D817,202-60):$D817),"")</f>
        <v/>
      </c>
      <c r="N817" s="52" t="str">
        <f aca="false">IF(AND(ISNUMBER($G817),$G817&gt;=60),MIN(INDEX($E$617:$E817,202-60):$E817),"")</f>
        <v/>
      </c>
      <c r="O817" s="53" t="str">
        <f aca="false">IF(OR(NOT(ISNUMBER($C817)),NOT(ISNUMBER($M817)),$M817=0),"",$C817/$M817-1)</f>
        <v/>
      </c>
      <c r="P817" s="54"/>
      <c r="Q817" s="53" t="str">
        <f aca="false">IF(NOT(ISNUMBER($P817)),"",IFERROR(PERCENTRANK($P$5:$P$1204,$P817),""))</f>
        <v/>
      </c>
    </row>
    <row r="818" customFormat="false" ht="15" hidden="false" customHeight="false" outlineLevel="0" collapsed="false">
      <c r="A818" s="55"/>
      <c r="B818" s="56"/>
      <c r="C818" s="57"/>
      <c r="D818" s="56"/>
      <c r="E818" s="56"/>
      <c r="F818" s="56"/>
      <c r="G818" s="50" t="str">
        <f aca="false">IF($A818="","",IF(ISNUMBER($G817),$G817+1,1))</f>
        <v/>
      </c>
      <c r="H818" s="51" t="str">
        <f aca="false">IF(OR(NOT(ISNUMBER($G818)),$G818&lt;2,NOT(ISNUMBER($C817)),$C817=0),"",$C818/$C817-1)</f>
        <v/>
      </c>
      <c r="I818" s="52" t="str">
        <f aca="false">IF(AND(ISNUMBER($G818),$G818&gt;=MA_SHORT),AVERAGE(INDEX($C$418:$C818,402-MA_SHORT):$C818),"")</f>
        <v/>
      </c>
      <c r="J818" s="52" t="str">
        <f aca="false">IF(AND(ISNUMBER($G818),$G818&gt;=MA_MED),AVERAGE(INDEX($C$418:$C818,402-MA_MED):$C818),"")</f>
        <v/>
      </c>
      <c r="K818" s="52" t="str">
        <f aca="false">IF(AND(ISNUMBER($G818),$G818&gt;=MA_LONG2),AVERAGE(INDEX($C$418:$C818,402-MA_LONG2):$C818),"")</f>
        <v/>
      </c>
      <c r="L818" s="53" t="str">
        <f aca="false">IF(AND(ISNUMBER($G818),$G818&gt;=21),STDEV(INDEX($H$758:$H818,62-20):$H818)*SQRT(245),"")</f>
        <v/>
      </c>
      <c r="M818" s="52" t="str">
        <f aca="false">IF(AND(ISNUMBER($G818),$G818&gt;=60),MAX(INDEX($D$618:$D818,202-60):$D818),"")</f>
        <v/>
      </c>
      <c r="N818" s="52" t="str">
        <f aca="false">IF(AND(ISNUMBER($G818),$G818&gt;=60),MIN(INDEX($E$618:$E818,202-60):$E818),"")</f>
        <v/>
      </c>
      <c r="O818" s="53" t="str">
        <f aca="false">IF(OR(NOT(ISNUMBER($C818)),NOT(ISNUMBER($M818)),$M818=0),"",$C818/$M818-1)</f>
        <v/>
      </c>
      <c r="P818" s="54"/>
      <c r="Q818" s="53" t="str">
        <f aca="false">IF(NOT(ISNUMBER($P818)),"",IFERROR(PERCENTRANK($P$5:$P$1204,$P818),""))</f>
        <v/>
      </c>
    </row>
    <row r="819" customFormat="false" ht="15" hidden="false" customHeight="false" outlineLevel="0" collapsed="false">
      <c r="A819" s="55"/>
      <c r="B819" s="56"/>
      <c r="C819" s="57"/>
      <c r="D819" s="56"/>
      <c r="E819" s="56"/>
      <c r="F819" s="56"/>
      <c r="G819" s="50" t="str">
        <f aca="false">IF($A819="","",IF(ISNUMBER($G818),$G818+1,1))</f>
        <v/>
      </c>
      <c r="H819" s="51" t="str">
        <f aca="false">IF(OR(NOT(ISNUMBER($G819)),$G819&lt;2,NOT(ISNUMBER($C818)),$C818=0),"",$C819/$C818-1)</f>
        <v/>
      </c>
      <c r="I819" s="52" t="str">
        <f aca="false">IF(AND(ISNUMBER($G819),$G819&gt;=MA_SHORT),AVERAGE(INDEX($C$419:$C819,402-MA_SHORT):$C819),"")</f>
        <v/>
      </c>
      <c r="J819" s="52" t="str">
        <f aca="false">IF(AND(ISNUMBER($G819),$G819&gt;=MA_MED),AVERAGE(INDEX($C$419:$C819,402-MA_MED):$C819),"")</f>
        <v/>
      </c>
      <c r="K819" s="52" t="str">
        <f aca="false">IF(AND(ISNUMBER($G819),$G819&gt;=MA_LONG2),AVERAGE(INDEX($C$419:$C819,402-MA_LONG2):$C819),"")</f>
        <v/>
      </c>
      <c r="L819" s="53" t="str">
        <f aca="false">IF(AND(ISNUMBER($G819),$G819&gt;=21),STDEV(INDEX($H$759:$H819,62-20):$H819)*SQRT(245),"")</f>
        <v/>
      </c>
      <c r="M819" s="52" t="str">
        <f aca="false">IF(AND(ISNUMBER($G819),$G819&gt;=60),MAX(INDEX($D$619:$D819,202-60):$D819),"")</f>
        <v/>
      </c>
      <c r="N819" s="52" t="str">
        <f aca="false">IF(AND(ISNUMBER($G819),$G819&gt;=60),MIN(INDEX($E$619:$E819,202-60):$E819),"")</f>
        <v/>
      </c>
      <c r="O819" s="53" t="str">
        <f aca="false">IF(OR(NOT(ISNUMBER($C819)),NOT(ISNUMBER($M819)),$M819=0),"",$C819/$M819-1)</f>
        <v/>
      </c>
      <c r="P819" s="54"/>
      <c r="Q819" s="53" t="str">
        <f aca="false">IF(NOT(ISNUMBER($P819)),"",IFERROR(PERCENTRANK($P$5:$P$1204,$P819),""))</f>
        <v/>
      </c>
    </row>
    <row r="820" customFormat="false" ht="15" hidden="false" customHeight="false" outlineLevel="0" collapsed="false">
      <c r="A820" s="55"/>
      <c r="B820" s="56"/>
      <c r="C820" s="57"/>
      <c r="D820" s="56"/>
      <c r="E820" s="56"/>
      <c r="F820" s="56"/>
      <c r="G820" s="50" t="str">
        <f aca="false">IF($A820="","",IF(ISNUMBER($G819),$G819+1,1))</f>
        <v/>
      </c>
      <c r="H820" s="51" t="str">
        <f aca="false">IF(OR(NOT(ISNUMBER($G820)),$G820&lt;2,NOT(ISNUMBER($C819)),$C819=0),"",$C820/$C819-1)</f>
        <v/>
      </c>
      <c r="I820" s="52" t="str">
        <f aca="false">IF(AND(ISNUMBER($G820),$G820&gt;=MA_SHORT),AVERAGE(INDEX($C$420:$C820,402-MA_SHORT):$C820),"")</f>
        <v/>
      </c>
      <c r="J820" s="52" t="str">
        <f aca="false">IF(AND(ISNUMBER($G820),$G820&gt;=MA_MED),AVERAGE(INDEX($C$420:$C820,402-MA_MED):$C820),"")</f>
        <v/>
      </c>
      <c r="K820" s="52" t="str">
        <f aca="false">IF(AND(ISNUMBER($G820),$G820&gt;=MA_LONG2),AVERAGE(INDEX($C$420:$C820,402-MA_LONG2):$C820),"")</f>
        <v/>
      </c>
      <c r="L820" s="53" t="str">
        <f aca="false">IF(AND(ISNUMBER($G820),$G820&gt;=21),STDEV(INDEX($H$760:$H820,62-20):$H820)*SQRT(245),"")</f>
        <v/>
      </c>
      <c r="M820" s="52" t="str">
        <f aca="false">IF(AND(ISNUMBER($G820),$G820&gt;=60),MAX(INDEX($D$620:$D820,202-60):$D820),"")</f>
        <v/>
      </c>
      <c r="N820" s="52" t="str">
        <f aca="false">IF(AND(ISNUMBER($G820),$G820&gt;=60),MIN(INDEX($E$620:$E820,202-60):$E820),"")</f>
        <v/>
      </c>
      <c r="O820" s="53" t="str">
        <f aca="false">IF(OR(NOT(ISNUMBER($C820)),NOT(ISNUMBER($M820)),$M820=0),"",$C820/$M820-1)</f>
        <v/>
      </c>
      <c r="P820" s="54"/>
      <c r="Q820" s="53" t="str">
        <f aca="false">IF(NOT(ISNUMBER($P820)),"",IFERROR(PERCENTRANK($P$5:$P$1204,$P820),""))</f>
        <v/>
      </c>
    </row>
    <row r="821" customFormat="false" ht="15" hidden="false" customHeight="false" outlineLevel="0" collapsed="false">
      <c r="A821" s="55"/>
      <c r="B821" s="56"/>
      <c r="C821" s="57"/>
      <c r="D821" s="56"/>
      <c r="E821" s="56"/>
      <c r="F821" s="56"/>
      <c r="G821" s="50" t="str">
        <f aca="false">IF($A821="","",IF(ISNUMBER($G820),$G820+1,1))</f>
        <v/>
      </c>
      <c r="H821" s="51" t="str">
        <f aca="false">IF(OR(NOT(ISNUMBER($G821)),$G821&lt;2,NOT(ISNUMBER($C820)),$C820=0),"",$C821/$C820-1)</f>
        <v/>
      </c>
      <c r="I821" s="52" t="str">
        <f aca="false">IF(AND(ISNUMBER($G821),$G821&gt;=MA_SHORT),AVERAGE(INDEX($C$421:$C821,402-MA_SHORT):$C821),"")</f>
        <v/>
      </c>
      <c r="J821" s="52" t="str">
        <f aca="false">IF(AND(ISNUMBER($G821),$G821&gt;=MA_MED),AVERAGE(INDEX($C$421:$C821,402-MA_MED):$C821),"")</f>
        <v/>
      </c>
      <c r="K821" s="52" t="str">
        <f aca="false">IF(AND(ISNUMBER($G821),$G821&gt;=MA_LONG2),AVERAGE(INDEX($C$421:$C821,402-MA_LONG2):$C821),"")</f>
        <v/>
      </c>
      <c r="L821" s="53" t="str">
        <f aca="false">IF(AND(ISNUMBER($G821),$G821&gt;=21),STDEV(INDEX($H$761:$H821,62-20):$H821)*SQRT(245),"")</f>
        <v/>
      </c>
      <c r="M821" s="52" t="str">
        <f aca="false">IF(AND(ISNUMBER($G821),$G821&gt;=60),MAX(INDEX($D$621:$D821,202-60):$D821),"")</f>
        <v/>
      </c>
      <c r="N821" s="52" t="str">
        <f aca="false">IF(AND(ISNUMBER($G821),$G821&gt;=60),MIN(INDEX($E$621:$E821,202-60):$E821),"")</f>
        <v/>
      </c>
      <c r="O821" s="53" t="str">
        <f aca="false">IF(OR(NOT(ISNUMBER($C821)),NOT(ISNUMBER($M821)),$M821=0),"",$C821/$M821-1)</f>
        <v/>
      </c>
      <c r="P821" s="54"/>
      <c r="Q821" s="53" t="str">
        <f aca="false">IF(NOT(ISNUMBER($P821)),"",IFERROR(PERCENTRANK($P$5:$P$1204,$P821),""))</f>
        <v/>
      </c>
    </row>
    <row r="822" customFormat="false" ht="15" hidden="false" customHeight="false" outlineLevel="0" collapsed="false">
      <c r="A822" s="55"/>
      <c r="B822" s="56"/>
      <c r="C822" s="57"/>
      <c r="D822" s="56"/>
      <c r="E822" s="56"/>
      <c r="F822" s="56"/>
      <c r="G822" s="50" t="str">
        <f aca="false">IF($A822="","",IF(ISNUMBER($G821),$G821+1,1))</f>
        <v/>
      </c>
      <c r="H822" s="51" t="str">
        <f aca="false">IF(OR(NOT(ISNUMBER($G822)),$G822&lt;2,NOT(ISNUMBER($C821)),$C821=0),"",$C822/$C821-1)</f>
        <v/>
      </c>
      <c r="I822" s="52" t="str">
        <f aca="false">IF(AND(ISNUMBER($G822),$G822&gt;=MA_SHORT),AVERAGE(INDEX($C$422:$C822,402-MA_SHORT):$C822),"")</f>
        <v/>
      </c>
      <c r="J822" s="52" t="str">
        <f aca="false">IF(AND(ISNUMBER($G822),$G822&gt;=MA_MED),AVERAGE(INDEX($C$422:$C822,402-MA_MED):$C822),"")</f>
        <v/>
      </c>
      <c r="K822" s="52" t="str">
        <f aca="false">IF(AND(ISNUMBER($G822),$G822&gt;=MA_LONG2),AVERAGE(INDEX($C$422:$C822,402-MA_LONG2):$C822),"")</f>
        <v/>
      </c>
      <c r="L822" s="53" t="str">
        <f aca="false">IF(AND(ISNUMBER($G822),$G822&gt;=21),STDEV(INDEX($H$762:$H822,62-20):$H822)*SQRT(245),"")</f>
        <v/>
      </c>
      <c r="M822" s="52" t="str">
        <f aca="false">IF(AND(ISNUMBER($G822),$G822&gt;=60),MAX(INDEX($D$622:$D822,202-60):$D822),"")</f>
        <v/>
      </c>
      <c r="N822" s="52" t="str">
        <f aca="false">IF(AND(ISNUMBER($G822),$G822&gt;=60),MIN(INDEX($E$622:$E822,202-60):$E822),"")</f>
        <v/>
      </c>
      <c r="O822" s="53" t="str">
        <f aca="false">IF(OR(NOT(ISNUMBER($C822)),NOT(ISNUMBER($M822)),$M822=0),"",$C822/$M822-1)</f>
        <v/>
      </c>
      <c r="P822" s="54"/>
      <c r="Q822" s="53" t="str">
        <f aca="false">IF(NOT(ISNUMBER($P822)),"",IFERROR(PERCENTRANK($P$5:$P$1204,$P822),""))</f>
        <v/>
      </c>
    </row>
    <row r="823" customFormat="false" ht="15" hidden="false" customHeight="false" outlineLevel="0" collapsed="false">
      <c r="A823" s="55"/>
      <c r="B823" s="56"/>
      <c r="C823" s="57"/>
      <c r="D823" s="56"/>
      <c r="E823" s="56"/>
      <c r="F823" s="56"/>
      <c r="G823" s="50" t="str">
        <f aca="false">IF($A823="","",IF(ISNUMBER($G822),$G822+1,1))</f>
        <v/>
      </c>
      <c r="H823" s="51" t="str">
        <f aca="false">IF(OR(NOT(ISNUMBER($G823)),$G823&lt;2,NOT(ISNUMBER($C822)),$C822=0),"",$C823/$C822-1)</f>
        <v/>
      </c>
      <c r="I823" s="52" t="str">
        <f aca="false">IF(AND(ISNUMBER($G823),$G823&gt;=MA_SHORT),AVERAGE(INDEX($C$423:$C823,402-MA_SHORT):$C823),"")</f>
        <v/>
      </c>
      <c r="J823" s="52" t="str">
        <f aca="false">IF(AND(ISNUMBER($G823),$G823&gt;=MA_MED),AVERAGE(INDEX($C$423:$C823,402-MA_MED):$C823),"")</f>
        <v/>
      </c>
      <c r="K823" s="52" t="str">
        <f aca="false">IF(AND(ISNUMBER($G823),$G823&gt;=MA_LONG2),AVERAGE(INDEX($C$423:$C823,402-MA_LONG2):$C823),"")</f>
        <v/>
      </c>
      <c r="L823" s="53" t="str">
        <f aca="false">IF(AND(ISNUMBER($G823),$G823&gt;=21),STDEV(INDEX($H$763:$H823,62-20):$H823)*SQRT(245),"")</f>
        <v/>
      </c>
      <c r="M823" s="52" t="str">
        <f aca="false">IF(AND(ISNUMBER($G823),$G823&gt;=60),MAX(INDEX($D$623:$D823,202-60):$D823),"")</f>
        <v/>
      </c>
      <c r="N823" s="52" t="str">
        <f aca="false">IF(AND(ISNUMBER($G823),$G823&gt;=60),MIN(INDEX($E$623:$E823,202-60):$E823),"")</f>
        <v/>
      </c>
      <c r="O823" s="53" t="str">
        <f aca="false">IF(OR(NOT(ISNUMBER($C823)),NOT(ISNUMBER($M823)),$M823=0),"",$C823/$M823-1)</f>
        <v/>
      </c>
      <c r="P823" s="54"/>
      <c r="Q823" s="53" t="str">
        <f aca="false">IF(NOT(ISNUMBER($P823)),"",IFERROR(PERCENTRANK($P$5:$P$1204,$P823),""))</f>
        <v/>
      </c>
    </row>
    <row r="824" customFormat="false" ht="15" hidden="false" customHeight="false" outlineLevel="0" collapsed="false">
      <c r="A824" s="55"/>
      <c r="B824" s="56"/>
      <c r="C824" s="57"/>
      <c r="D824" s="56"/>
      <c r="E824" s="56"/>
      <c r="F824" s="56"/>
      <c r="G824" s="50" t="str">
        <f aca="false">IF($A824="","",IF(ISNUMBER($G823),$G823+1,1))</f>
        <v/>
      </c>
      <c r="H824" s="51" t="str">
        <f aca="false">IF(OR(NOT(ISNUMBER($G824)),$G824&lt;2,NOT(ISNUMBER($C823)),$C823=0),"",$C824/$C823-1)</f>
        <v/>
      </c>
      <c r="I824" s="52" t="str">
        <f aca="false">IF(AND(ISNUMBER($G824),$G824&gt;=MA_SHORT),AVERAGE(INDEX($C$424:$C824,402-MA_SHORT):$C824),"")</f>
        <v/>
      </c>
      <c r="J824" s="52" t="str">
        <f aca="false">IF(AND(ISNUMBER($G824),$G824&gt;=MA_MED),AVERAGE(INDEX($C$424:$C824,402-MA_MED):$C824),"")</f>
        <v/>
      </c>
      <c r="K824" s="52" t="str">
        <f aca="false">IF(AND(ISNUMBER($G824),$G824&gt;=MA_LONG2),AVERAGE(INDEX($C$424:$C824,402-MA_LONG2):$C824),"")</f>
        <v/>
      </c>
      <c r="L824" s="53" t="str">
        <f aca="false">IF(AND(ISNUMBER($G824),$G824&gt;=21),STDEV(INDEX($H$764:$H824,62-20):$H824)*SQRT(245),"")</f>
        <v/>
      </c>
      <c r="M824" s="52" t="str">
        <f aca="false">IF(AND(ISNUMBER($G824),$G824&gt;=60),MAX(INDEX($D$624:$D824,202-60):$D824),"")</f>
        <v/>
      </c>
      <c r="N824" s="52" t="str">
        <f aca="false">IF(AND(ISNUMBER($G824),$G824&gt;=60),MIN(INDEX($E$624:$E824,202-60):$E824),"")</f>
        <v/>
      </c>
      <c r="O824" s="53" t="str">
        <f aca="false">IF(OR(NOT(ISNUMBER($C824)),NOT(ISNUMBER($M824)),$M824=0),"",$C824/$M824-1)</f>
        <v/>
      </c>
      <c r="P824" s="54"/>
      <c r="Q824" s="53" t="str">
        <f aca="false">IF(NOT(ISNUMBER($P824)),"",IFERROR(PERCENTRANK($P$5:$P$1204,$P824),""))</f>
        <v/>
      </c>
    </row>
    <row r="825" customFormat="false" ht="15" hidden="false" customHeight="false" outlineLevel="0" collapsed="false">
      <c r="A825" s="55"/>
      <c r="B825" s="56"/>
      <c r="C825" s="57"/>
      <c r="D825" s="56"/>
      <c r="E825" s="56"/>
      <c r="F825" s="56"/>
      <c r="G825" s="50" t="str">
        <f aca="false">IF($A825="","",IF(ISNUMBER($G824),$G824+1,1))</f>
        <v/>
      </c>
      <c r="H825" s="51" t="str">
        <f aca="false">IF(OR(NOT(ISNUMBER($G825)),$G825&lt;2,NOT(ISNUMBER($C824)),$C824=0),"",$C825/$C824-1)</f>
        <v/>
      </c>
      <c r="I825" s="52" t="str">
        <f aca="false">IF(AND(ISNUMBER($G825),$G825&gt;=MA_SHORT),AVERAGE(INDEX($C$425:$C825,402-MA_SHORT):$C825),"")</f>
        <v/>
      </c>
      <c r="J825" s="52" t="str">
        <f aca="false">IF(AND(ISNUMBER($G825),$G825&gt;=MA_MED),AVERAGE(INDEX($C$425:$C825,402-MA_MED):$C825),"")</f>
        <v/>
      </c>
      <c r="K825" s="52" t="str">
        <f aca="false">IF(AND(ISNUMBER($G825),$G825&gt;=MA_LONG2),AVERAGE(INDEX($C$425:$C825,402-MA_LONG2):$C825),"")</f>
        <v/>
      </c>
      <c r="L825" s="53" t="str">
        <f aca="false">IF(AND(ISNUMBER($G825),$G825&gt;=21),STDEV(INDEX($H$765:$H825,62-20):$H825)*SQRT(245),"")</f>
        <v/>
      </c>
      <c r="M825" s="52" t="str">
        <f aca="false">IF(AND(ISNUMBER($G825),$G825&gt;=60),MAX(INDEX($D$625:$D825,202-60):$D825),"")</f>
        <v/>
      </c>
      <c r="N825" s="52" t="str">
        <f aca="false">IF(AND(ISNUMBER($G825),$G825&gt;=60),MIN(INDEX($E$625:$E825,202-60):$E825),"")</f>
        <v/>
      </c>
      <c r="O825" s="53" t="str">
        <f aca="false">IF(OR(NOT(ISNUMBER($C825)),NOT(ISNUMBER($M825)),$M825=0),"",$C825/$M825-1)</f>
        <v/>
      </c>
      <c r="P825" s="54"/>
      <c r="Q825" s="53" t="str">
        <f aca="false">IF(NOT(ISNUMBER($P825)),"",IFERROR(PERCENTRANK($P$5:$P$1204,$P825),""))</f>
        <v/>
      </c>
    </row>
    <row r="826" customFormat="false" ht="15" hidden="false" customHeight="false" outlineLevel="0" collapsed="false">
      <c r="A826" s="55"/>
      <c r="B826" s="56"/>
      <c r="C826" s="57"/>
      <c r="D826" s="56"/>
      <c r="E826" s="56"/>
      <c r="F826" s="56"/>
      <c r="G826" s="50" t="str">
        <f aca="false">IF($A826="","",IF(ISNUMBER($G825),$G825+1,1))</f>
        <v/>
      </c>
      <c r="H826" s="51" t="str">
        <f aca="false">IF(OR(NOT(ISNUMBER($G826)),$G826&lt;2,NOT(ISNUMBER($C825)),$C825=0),"",$C826/$C825-1)</f>
        <v/>
      </c>
      <c r="I826" s="52" t="str">
        <f aca="false">IF(AND(ISNUMBER($G826),$G826&gt;=MA_SHORT),AVERAGE(INDEX($C$426:$C826,402-MA_SHORT):$C826),"")</f>
        <v/>
      </c>
      <c r="J826" s="52" t="str">
        <f aca="false">IF(AND(ISNUMBER($G826),$G826&gt;=MA_MED),AVERAGE(INDEX($C$426:$C826,402-MA_MED):$C826),"")</f>
        <v/>
      </c>
      <c r="K826" s="52" t="str">
        <f aca="false">IF(AND(ISNUMBER($G826),$G826&gt;=MA_LONG2),AVERAGE(INDEX($C$426:$C826,402-MA_LONG2):$C826),"")</f>
        <v/>
      </c>
      <c r="L826" s="53" t="str">
        <f aca="false">IF(AND(ISNUMBER($G826),$G826&gt;=21),STDEV(INDEX($H$766:$H826,62-20):$H826)*SQRT(245),"")</f>
        <v/>
      </c>
      <c r="M826" s="52" t="str">
        <f aca="false">IF(AND(ISNUMBER($G826),$G826&gt;=60),MAX(INDEX($D$626:$D826,202-60):$D826),"")</f>
        <v/>
      </c>
      <c r="N826" s="52" t="str">
        <f aca="false">IF(AND(ISNUMBER($G826),$G826&gt;=60),MIN(INDEX($E$626:$E826,202-60):$E826),"")</f>
        <v/>
      </c>
      <c r="O826" s="53" t="str">
        <f aca="false">IF(OR(NOT(ISNUMBER($C826)),NOT(ISNUMBER($M826)),$M826=0),"",$C826/$M826-1)</f>
        <v/>
      </c>
      <c r="P826" s="54"/>
      <c r="Q826" s="53" t="str">
        <f aca="false">IF(NOT(ISNUMBER($P826)),"",IFERROR(PERCENTRANK($P$5:$P$1204,$P826),""))</f>
        <v/>
      </c>
    </row>
    <row r="827" customFormat="false" ht="15" hidden="false" customHeight="false" outlineLevel="0" collapsed="false">
      <c r="A827" s="55"/>
      <c r="B827" s="56"/>
      <c r="C827" s="57"/>
      <c r="D827" s="56"/>
      <c r="E827" s="56"/>
      <c r="F827" s="56"/>
      <c r="G827" s="50" t="str">
        <f aca="false">IF($A827="","",IF(ISNUMBER($G826),$G826+1,1))</f>
        <v/>
      </c>
      <c r="H827" s="51" t="str">
        <f aca="false">IF(OR(NOT(ISNUMBER($G827)),$G827&lt;2,NOT(ISNUMBER($C826)),$C826=0),"",$C827/$C826-1)</f>
        <v/>
      </c>
      <c r="I827" s="52" t="str">
        <f aca="false">IF(AND(ISNUMBER($G827),$G827&gt;=MA_SHORT),AVERAGE(INDEX($C$427:$C827,402-MA_SHORT):$C827),"")</f>
        <v/>
      </c>
      <c r="J827" s="52" t="str">
        <f aca="false">IF(AND(ISNUMBER($G827),$G827&gt;=MA_MED),AVERAGE(INDEX($C$427:$C827,402-MA_MED):$C827),"")</f>
        <v/>
      </c>
      <c r="K827" s="52" t="str">
        <f aca="false">IF(AND(ISNUMBER($G827),$G827&gt;=MA_LONG2),AVERAGE(INDEX($C$427:$C827,402-MA_LONG2):$C827),"")</f>
        <v/>
      </c>
      <c r="L827" s="53" t="str">
        <f aca="false">IF(AND(ISNUMBER($G827),$G827&gt;=21),STDEV(INDEX($H$767:$H827,62-20):$H827)*SQRT(245),"")</f>
        <v/>
      </c>
      <c r="M827" s="52" t="str">
        <f aca="false">IF(AND(ISNUMBER($G827),$G827&gt;=60),MAX(INDEX($D$627:$D827,202-60):$D827),"")</f>
        <v/>
      </c>
      <c r="N827" s="52" t="str">
        <f aca="false">IF(AND(ISNUMBER($G827),$G827&gt;=60),MIN(INDEX($E$627:$E827,202-60):$E827),"")</f>
        <v/>
      </c>
      <c r="O827" s="53" t="str">
        <f aca="false">IF(OR(NOT(ISNUMBER($C827)),NOT(ISNUMBER($M827)),$M827=0),"",$C827/$M827-1)</f>
        <v/>
      </c>
      <c r="P827" s="54"/>
      <c r="Q827" s="53" t="str">
        <f aca="false">IF(NOT(ISNUMBER($P827)),"",IFERROR(PERCENTRANK($P$5:$P$1204,$P827),""))</f>
        <v/>
      </c>
    </row>
    <row r="828" customFormat="false" ht="15" hidden="false" customHeight="false" outlineLevel="0" collapsed="false">
      <c r="A828" s="55"/>
      <c r="B828" s="56"/>
      <c r="C828" s="57"/>
      <c r="D828" s="56"/>
      <c r="E828" s="56"/>
      <c r="F828" s="56"/>
      <c r="G828" s="50" t="str">
        <f aca="false">IF($A828="","",IF(ISNUMBER($G827),$G827+1,1))</f>
        <v/>
      </c>
      <c r="H828" s="51" t="str">
        <f aca="false">IF(OR(NOT(ISNUMBER($G828)),$G828&lt;2,NOT(ISNUMBER($C827)),$C827=0),"",$C828/$C827-1)</f>
        <v/>
      </c>
      <c r="I828" s="52" t="str">
        <f aca="false">IF(AND(ISNUMBER($G828),$G828&gt;=MA_SHORT),AVERAGE(INDEX($C$428:$C828,402-MA_SHORT):$C828),"")</f>
        <v/>
      </c>
      <c r="J828" s="52" t="str">
        <f aca="false">IF(AND(ISNUMBER($G828),$G828&gt;=MA_MED),AVERAGE(INDEX($C$428:$C828,402-MA_MED):$C828),"")</f>
        <v/>
      </c>
      <c r="K828" s="52" t="str">
        <f aca="false">IF(AND(ISNUMBER($G828),$G828&gt;=MA_LONG2),AVERAGE(INDEX($C$428:$C828,402-MA_LONG2):$C828),"")</f>
        <v/>
      </c>
      <c r="L828" s="53" t="str">
        <f aca="false">IF(AND(ISNUMBER($G828),$G828&gt;=21),STDEV(INDEX($H$768:$H828,62-20):$H828)*SQRT(245),"")</f>
        <v/>
      </c>
      <c r="M828" s="52" t="str">
        <f aca="false">IF(AND(ISNUMBER($G828),$G828&gt;=60),MAX(INDEX($D$628:$D828,202-60):$D828),"")</f>
        <v/>
      </c>
      <c r="N828" s="52" t="str">
        <f aca="false">IF(AND(ISNUMBER($G828),$G828&gt;=60),MIN(INDEX($E$628:$E828,202-60):$E828),"")</f>
        <v/>
      </c>
      <c r="O828" s="53" t="str">
        <f aca="false">IF(OR(NOT(ISNUMBER($C828)),NOT(ISNUMBER($M828)),$M828=0),"",$C828/$M828-1)</f>
        <v/>
      </c>
      <c r="P828" s="54"/>
      <c r="Q828" s="53" t="str">
        <f aca="false">IF(NOT(ISNUMBER($P828)),"",IFERROR(PERCENTRANK($P$5:$P$1204,$P828),""))</f>
        <v/>
      </c>
    </row>
    <row r="829" customFormat="false" ht="15" hidden="false" customHeight="false" outlineLevel="0" collapsed="false">
      <c r="A829" s="55"/>
      <c r="B829" s="56"/>
      <c r="C829" s="57"/>
      <c r="D829" s="56"/>
      <c r="E829" s="56"/>
      <c r="F829" s="56"/>
      <c r="G829" s="50" t="str">
        <f aca="false">IF($A829="","",IF(ISNUMBER($G828),$G828+1,1))</f>
        <v/>
      </c>
      <c r="H829" s="51" t="str">
        <f aca="false">IF(OR(NOT(ISNUMBER($G829)),$G829&lt;2,NOT(ISNUMBER($C828)),$C828=0),"",$C829/$C828-1)</f>
        <v/>
      </c>
      <c r="I829" s="52" t="str">
        <f aca="false">IF(AND(ISNUMBER($G829),$G829&gt;=MA_SHORT),AVERAGE(INDEX($C$429:$C829,402-MA_SHORT):$C829),"")</f>
        <v/>
      </c>
      <c r="J829" s="52" t="str">
        <f aca="false">IF(AND(ISNUMBER($G829),$G829&gt;=MA_MED),AVERAGE(INDEX($C$429:$C829,402-MA_MED):$C829),"")</f>
        <v/>
      </c>
      <c r="K829" s="52" t="str">
        <f aca="false">IF(AND(ISNUMBER($G829),$G829&gt;=MA_LONG2),AVERAGE(INDEX($C$429:$C829,402-MA_LONG2):$C829),"")</f>
        <v/>
      </c>
      <c r="L829" s="53" t="str">
        <f aca="false">IF(AND(ISNUMBER($G829),$G829&gt;=21),STDEV(INDEX($H$769:$H829,62-20):$H829)*SQRT(245),"")</f>
        <v/>
      </c>
      <c r="M829" s="52" t="str">
        <f aca="false">IF(AND(ISNUMBER($G829),$G829&gt;=60),MAX(INDEX($D$629:$D829,202-60):$D829),"")</f>
        <v/>
      </c>
      <c r="N829" s="52" t="str">
        <f aca="false">IF(AND(ISNUMBER($G829),$G829&gt;=60),MIN(INDEX($E$629:$E829,202-60):$E829),"")</f>
        <v/>
      </c>
      <c r="O829" s="53" t="str">
        <f aca="false">IF(OR(NOT(ISNUMBER($C829)),NOT(ISNUMBER($M829)),$M829=0),"",$C829/$M829-1)</f>
        <v/>
      </c>
      <c r="P829" s="54"/>
      <c r="Q829" s="53" t="str">
        <f aca="false">IF(NOT(ISNUMBER($P829)),"",IFERROR(PERCENTRANK($P$5:$P$1204,$P829),""))</f>
        <v/>
      </c>
    </row>
    <row r="830" customFormat="false" ht="15" hidden="false" customHeight="false" outlineLevel="0" collapsed="false">
      <c r="A830" s="55"/>
      <c r="B830" s="56"/>
      <c r="C830" s="57"/>
      <c r="D830" s="56"/>
      <c r="E830" s="56"/>
      <c r="F830" s="56"/>
      <c r="G830" s="50" t="str">
        <f aca="false">IF($A830="","",IF(ISNUMBER($G829),$G829+1,1))</f>
        <v/>
      </c>
      <c r="H830" s="51" t="str">
        <f aca="false">IF(OR(NOT(ISNUMBER($G830)),$G830&lt;2,NOT(ISNUMBER($C829)),$C829=0),"",$C830/$C829-1)</f>
        <v/>
      </c>
      <c r="I830" s="52" t="str">
        <f aca="false">IF(AND(ISNUMBER($G830),$G830&gt;=MA_SHORT),AVERAGE(INDEX($C$430:$C830,402-MA_SHORT):$C830),"")</f>
        <v/>
      </c>
      <c r="J830" s="52" t="str">
        <f aca="false">IF(AND(ISNUMBER($G830),$G830&gt;=MA_MED),AVERAGE(INDEX($C$430:$C830,402-MA_MED):$C830),"")</f>
        <v/>
      </c>
      <c r="K830" s="52" t="str">
        <f aca="false">IF(AND(ISNUMBER($G830),$G830&gt;=MA_LONG2),AVERAGE(INDEX($C$430:$C830,402-MA_LONG2):$C830),"")</f>
        <v/>
      </c>
      <c r="L830" s="53" t="str">
        <f aca="false">IF(AND(ISNUMBER($G830),$G830&gt;=21),STDEV(INDEX($H$770:$H830,62-20):$H830)*SQRT(245),"")</f>
        <v/>
      </c>
      <c r="M830" s="52" t="str">
        <f aca="false">IF(AND(ISNUMBER($G830),$G830&gt;=60),MAX(INDEX($D$630:$D830,202-60):$D830),"")</f>
        <v/>
      </c>
      <c r="N830" s="52" t="str">
        <f aca="false">IF(AND(ISNUMBER($G830),$G830&gt;=60),MIN(INDEX($E$630:$E830,202-60):$E830),"")</f>
        <v/>
      </c>
      <c r="O830" s="53" t="str">
        <f aca="false">IF(OR(NOT(ISNUMBER($C830)),NOT(ISNUMBER($M830)),$M830=0),"",$C830/$M830-1)</f>
        <v/>
      </c>
      <c r="P830" s="54"/>
      <c r="Q830" s="53" t="str">
        <f aca="false">IF(NOT(ISNUMBER($P830)),"",IFERROR(PERCENTRANK($P$5:$P$1204,$P830),""))</f>
        <v/>
      </c>
    </row>
    <row r="831" customFormat="false" ht="15" hidden="false" customHeight="false" outlineLevel="0" collapsed="false">
      <c r="A831" s="55"/>
      <c r="B831" s="56"/>
      <c r="C831" s="57"/>
      <c r="D831" s="56"/>
      <c r="E831" s="56"/>
      <c r="F831" s="56"/>
      <c r="G831" s="50" t="str">
        <f aca="false">IF($A831="","",IF(ISNUMBER($G830),$G830+1,1))</f>
        <v/>
      </c>
      <c r="H831" s="51" t="str">
        <f aca="false">IF(OR(NOT(ISNUMBER($G831)),$G831&lt;2,NOT(ISNUMBER($C830)),$C830=0),"",$C831/$C830-1)</f>
        <v/>
      </c>
      <c r="I831" s="52" t="str">
        <f aca="false">IF(AND(ISNUMBER($G831),$G831&gt;=MA_SHORT),AVERAGE(INDEX($C$431:$C831,402-MA_SHORT):$C831),"")</f>
        <v/>
      </c>
      <c r="J831" s="52" t="str">
        <f aca="false">IF(AND(ISNUMBER($G831),$G831&gt;=MA_MED),AVERAGE(INDEX($C$431:$C831,402-MA_MED):$C831),"")</f>
        <v/>
      </c>
      <c r="K831" s="52" t="str">
        <f aca="false">IF(AND(ISNUMBER($G831),$G831&gt;=MA_LONG2),AVERAGE(INDEX($C$431:$C831,402-MA_LONG2):$C831),"")</f>
        <v/>
      </c>
      <c r="L831" s="53" t="str">
        <f aca="false">IF(AND(ISNUMBER($G831),$G831&gt;=21),STDEV(INDEX($H$771:$H831,62-20):$H831)*SQRT(245),"")</f>
        <v/>
      </c>
      <c r="M831" s="52" t="str">
        <f aca="false">IF(AND(ISNUMBER($G831),$G831&gt;=60),MAX(INDEX($D$631:$D831,202-60):$D831),"")</f>
        <v/>
      </c>
      <c r="N831" s="52" t="str">
        <f aca="false">IF(AND(ISNUMBER($G831),$G831&gt;=60),MIN(INDEX($E$631:$E831,202-60):$E831),"")</f>
        <v/>
      </c>
      <c r="O831" s="53" t="str">
        <f aca="false">IF(OR(NOT(ISNUMBER($C831)),NOT(ISNUMBER($M831)),$M831=0),"",$C831/$M831-1)</f>
        <v/>
      </c>
      <c r="P831" s="54"/>
      <c r="Q831" s="53" t="str">
        <f aca="false">IF(NOT(ISNUMBER($P831)),"",IFERROR(PERCENTRANK($P$5:$P$1204,$P831),""))</f>
        <v/>
      </c>
    </row>
    <row r="832" customFormat="false" ht="15" hidden="false" customHeight="false" outlineLevel="0" collapsed="false">
      <c r="A832" s="55"/>
      <c r="B832" s="56"/>
      <c r="C832" s="57"/>
      <c r="D832" s="56"/>
      <c r="E832" s="56"/>
      <c r="F832" s="56"/>
      <c r="G832" s="50" t="str">
        <f aca="false">IF($A832="","",IF(ISNUMBER($G831),$G831+1,1))</f>
        <v/>
      </c>
      <c r="H832" s="51" t="str">
        <f aca="false">IF(OR(NOT(ISNUMBER($G832)),$G832&lt;2,NOT(ISNUMBER($C831)),$C831=0),"",$C832/$C831-1)</f>
        <v/>
      </c>
      <c r="I832" s="52" t="str">
        <f aca="false">IF(AND(ISNUMBER($G832),$G832&gt;=MA_SHORT),AVERAGE(INDEX($C$432:$C832,402-MA_SHORT):$C832),"")</f>
        <v/>
      </c>
      <c r="J832" s="52" t="str">
        <f aca="false">IF(AND(ISNUMBER($G832),$G832&gt;=MA_MED),AVERAGE(INDEX($C$432:$C832,402-MA_MED):$C832),"")</f>
        <v/>
      </c>
      <c r="K832" s="52" t="str">
        <f aca="false">IF(AND(ISNUMBER($G832),$G832&gt;=MA_LONG2),AVERAGE(INDEX($C$432:$C832,402-MA_LONG2):$C832),"")</f>
        <v/>
      </c>
      <c r="L832" s="53" t="str">
        <f aca="false">IF(AND(ISNUMBER($G832),$G832&gt;=21),STDEV(INDEX($H$772:$H832,62-20):$H832)*SQRT(245),"")</f>
        <v/>
      </c>
      <c r="M832" s="52" t="str">
        <f aca="false">IF(AND(ISNUMBER($G832),$G832&gt;=60),MAX(INDEX($D$632:$D832,202-60):$D832),"")</f>
        <v/>
      </c>
      <c r="N832" s="52" t="str">
        <f aca="false">IF(AND(ISNUMBER($G832),$G832&gt;=60),MIN(INDEX($E$632:$E832,202-60):$E832),"")</f>
        <v/>
      </c>
      <c r="O832" s="53" t="str">
        <f aca="false">IF(OR(NOT(ISNUMBER($C832)),NOT(ISNUMBER($M832)),$M832=0),"",$C832/$M832-1)</f>
        <v/>
      </c>
      <c r="P832" s="54"/>
      <c r="Q832" s="53" t="str">
        <f aca="false">IF(NOT(ISNUMBER($P832)),"",IFERROR(PERCENTRANK($P$5:$P$1204,$P832),""))</f>
        <v/>
      </c>
    </row>
    <row r="833" customFormat="false" ht="15" hidden="false" customHeight="false" outlineLevel="0" collapsed="false">
      <c r="A833" s="55"/>
      <c r="B833" s="56"/>
      <c r="C833" s="57"/>
      <c r="D833" s="56"/>
      <c r="E833" s="56"/>
      <c r="F833" s="56"/>
      <c r="G833" s="50" t="str">
        <f aca="false">IF($A833="","",IF(ISNUMBER($G832),$G832+1,1))</f>
        <v/>
      </c>
      <c r="H833" s="51" t="str">
        <f aca="false">IF(OR(NOT(ISNUMBER($G833)),$G833&lt;2,NOT(ISNUMBER($C832)),$C832=0),"",$C833/$C832-1)</f>
        <v/>
      </c>
      <c r="I833" s="52" t="str">
        <f aca="false">IF(AND(ISNUMBER($G833),$G833&gt;=MA_SHORT),AVERAGE(INDEX($C$433:$C833,402-MA_SHORT):$C833),"")</f>
        <v/>
      </c>
      <c r="J833" s="52" t="str">
        <f aca="false">IF(AND(ISNUMBER($G833),$G833&gt;=MA_MED),AVERAGE(INDEX($C$433:$C833,402-MA_MED):$C833),"")</f>
        <v/>
      </c>
      <c r="K833" s="52" t="str">
        <f aca="false">IF(AND(ISNUMBER($G833),$G833&gt;=MA_LONG2),AVERAGE(INDEX($C$433:$C833,402-MA_LONG2):$C833),"")</f>
        <v/>
      </c>
      <c r="L833" s="53" t="str">
        <f aca="false">IF(AND(ISNUMBER($G833),$G833&gt;=21),STDEV(INDEX($H$773:$H833,62-20):$H833)*SQRT(245),"")</f>
        <v/>
      </c>
      <c r="M833" s="52" t="str">
        <f aca="false">IF(AND(ISNUMBER($G833),$G833&gt;=60),MAX(INDEX($D$633:$D833,202-60):$D833),"")</f>
        <v/>
      </c>
      <c r="N833" s="52" t="str">
        <f aca="false">IF(AND(ISNUMBER($G833),$G833&gt;=60),MIN(INDEX($E$633:$E833,202-60):$E833),"")</f>
        <v/>
      </c>
      <c r="O833" s="53" t="str">
        <f aca="false">IF(OR(NOT(ISNUMBER($C833)),NOT(ISNUMBER($M833)),$M833=0),"",$C833/$M833-1)</f>
        <v/>
      </c>
      <c r="P833" s="54"/>
      <c r="Q833" s="53" t="str">
        <f aca="false">IF(NOT(ISNUMBER($P833)),"",IFERROR(PERCENTRANK($P$5:$P$1204,$P833),""))</f>
        <v/>
      </c>
    </row>
    <row r="834" customFormat="false" ht="15" hidden="false" customHeight="false" outlineLevel="0" collapsed="false">
      <c r="A834" s="55"/>
      <c r="B834" s="56"/>
      <c r="C834" s="57"/>
      <c r="D834" s="56"/>
      <c r="E834" s="56"/>
      <c r="F834" s="56"/>
      <c r="G834" s="50" t="str">
        <f aca="false">IF($A834="","",IF(ISNUMBER($G833),$G833+1,1))</f>
        <v/>
      </c>
      <c r="H834" s="51" t="str">
        <f aca="false">IF(OR(NOT(ISNUMBER($G834)),$G834&lt;2,NOT(ISNUMBER($C833)),$C833=0),"",$C834/$C833-1)</f>
        <v/>
      </c>
      <c r="I834" s="52" t="str">
        <f aca="false">IF(AND(ISNUMBER($G834),$G834&gt;=MA_SHORT),AVERAGE(INDEX($C$434:$C834,402-MA_SHORT):$C834),"")</f>
        <v/>
      </c>
      <c r="J834" s="52" t="str">
        <f aca="false">IF(AND(ISNUMBER($G834),$G834&gt;=MA_MED),AVERAGE(INDEX($C$434:$C834,402-MA_MED):$C834),"")</f>
        <v/>
      </c>
      <c r="K834" s="52" t="str">
        <f aca="false">IF(AND(ISNUMBER($G834),$G834&gt;=MA_LONG2),AVERAGE(INDEX($C$434:$C834,402-MA_LONG2):$C834),"")</f>
        <v/>
      </c>
      <c r="L834" s="53" t="str">
        <f aca="false">IF(AND(ISNUMBER($G834),$G834&gt;=21),STDEV(INDEX($H$774:$H834,62-20):$H834)*SQRT(245),"")</f>
        <v/>
      </c>
      <c r="M834" s="52" t="str">
        <f aca="false">IF(AND(ISNUMBER($G834),$G834&gt;=60),MAX(INDEX($D$634:$D834,202-60):$D834),"")</f>
        <v/>
      </c>
      <c r="N834" s="52" t="str">
        <f aca="false">IF(AND(ISNUMBER($G834),$G834&gt;=60),MIN(INDEX($E$634:$E834,202-60):$E834),"")</f>
        <v/>
      </c>
      <c r="O834" s="53" t="str">
        <f aca="false">IF(OR(NOT(ISNUMBER($C834)),NOT(ISNUMBER($M834)),$M834=0),"",$C834/$M834-1)</f>
        <v/>
      </c>
      <c r="P834" s="54"/>
      <c r="Q834" s="53" t="str">
        <f aca="false">IF(NOT(ISNUMBER($P834)),"",IFERROR(PERCENTRANK($P$5:$P$1204,$P834),""))</f>
        <v/>
      </c>
    </row>
    <row r="835" customFormat="false" ht="15" hidden="false" customHeight="false" outlineLevel="0" collapsed="false">
      <c r="A835" s="55"/>
      <c r="B835" s="56"/>
      <c r="C835" s="57"/>
      <c r="D835" s="56"/>
      <c r="E835" s="56"/>
      <c r="F835" s="56"/>
      <c r="G835" s="50" t="str">
        <f aca="false">IF($A835="","",IF(ISNUMBER($G834),$G834+1,1))</f>
        <v/>
      </c>
      <c r="H835" s="51" t="str">
        <f aca="false">IF(OR(NOT(ISNUMBER($G835)),$G835&lt;2,NOT(ISNUMBER($C834)),$C834=0),"",$C835/$C834-1)</f>
        <v/>
      </c>
      <c r="I835" s="52" t="str">
        <f aca="false">IF(AND(ISNUMBER($G835),$G835&gt;=MA_SHORT),AVERAGE(INDEX($C$435:$C835,402-MA_SHORT):$C835),"")</f>
        <v/>
      </c>
      <c r="J835" s="52" t="str">
        <f aca="false">IF(AND(ISNUMBER($G835),$G835&gt;=MA_MED),AVERAGE(INDEX($C$435:$C835,402-MA_MED):$C835),"")</f>
        <v/>
      </c>
      <c r="K835" s="52" t="str">
        <f aca="false">IF(AND(ISNUMBER($G835),$G835&gt;=MA_LONG2),AVERAGE(INDEX($C$435:$C835,402-MA_LONG2):$C835),"")</f>
        <v/>
      </c>
      <c r="L835" s="53" t="str">
        <f aca="false">IF(AND(ISNUMBER($G835),$G835&gt;=21),STDEV(INDEX($H$775:$H835,62-20):$H835)*SQRT(245),"")</f>
        <v/>
      </c>
      <c r="M835" s="52" t="str">
        <f aca="false">IF(AND(ISNUMBER($G835),$G835&gt;=60),MAX(INDEX($D$635:$D835,202-60):$D835),"")</f>
        <v/>
      </c>
      <c r="N835" s="52" t="str">
        <f aca="false">IF(AND(ISNUMBER($G835),$G835&gt;=60),MIN(INDEX($E$635:$E835,202-60):$E835),"")</f>
        <v/>
      </c>
      <c r="O835" s="53" t="str">
        <f aca="false">IF(OR(NOT(ISNUMBER($C835)),NOT(ISNUMBER($M835)),$M835=0),"",$C835/$M835-1)</f>
        <v/>
      </c>
      <c r="P835" s="54"/>
      <c r="Q835" s="53" t="str">
        <f aca="false">IF(NOT(ISNUMBER($P835)),"",IFERROR(PERCENTRANK($P$5:$P$1204,$P835),""))</f>
        <v/>
      </c>
    </row>
    <row r="836" customFormat="false" ht="15" hidden="false" customHeight="false" outlineLevel="0" collapsed="false">
      <c r="A836" s="55"/>
      <c r="B836" s="56"/>
      <c r="C836" s="57"/>
      <c r="D836" s="56"/>
      <c r="E836" s="56"/>
      <c r="F836" s="56"/>
      <c r="G836" s="50" t="str">
        <f aca="false">IF($A836="","",IF(ISNUMBER($G835),$G835+1,1))</f>
        <v/>
      </c>
      <c r="H836" s="51" t="str">
        <f aca="false">IF(OR(NOT(ISNUMBER($G836)),$G836&lt;2,NOT(ISNUMBER($C835)),$C835=0),"",$C836/$C835-1)</f>
        <v/>
      </c>
      <c r="I836" s="52" t="str">
        <f aca="false">IF(AND(ISNUMBER($G836),$G836&gt;=MA_SHORT),AVERAGE(INDEX($C$436:$C836,402-MA_SHORT):$C836),"")</f>
        <v/>
      </c>
      <c r="J836" s="52" t="str">
        <f aca="false">IF(AND(ISNUMBER($G836),$G836&gt;=MA_MED),AVERAGE(INDEX($C$436:$C836,402-MA_MED):$C836),"")</f>
        <v/>
      </c>
      <c r="K836" s="52" t="str">
        <f aca="false">IF(AND(ISNUMBER($G836),$G836&gt;=MA_LONG2),AVERAGE(INDEX($C$436:$C836,402-MA_LONG2):$C836),"")</f>
        <v/>
      </c>
      <c r="L836" s="53" t="str">
        <f aca="false">IF(AND(ISNUMBER($G836),$G836&gt;=21),STDEV(INDEX($H$776:$H836,62-20):$H836)*SQRT(245),"")</f>
        <v/>
      </c>
      <c r="M836" s="52" t="str">
        <f aca="false">IF(AND(ISNUMBER($G836),$G836&gt;=60),MAX(INDEX($D$636:$D836,202-60):$D836),"")</f>
        <v/>
      </c>
      <c r="N836" s="52" t="str">
        <f aca="false">IF(AND(ISNUMBER($G836),$G836&gt;=60),MIN(INDEX($E$636:$E836,202-60):$E836),"")</f>
        <v/>
      </c>
      <c r="O836" s="53" t="str">
        <f aca="false">IF(OR(NOT(ISNUMBER($C836)),NOT(ISNUMBER($M836)),$M836=0),"",$C836/$M836-1)</f>
        <v/>
      </c>
      <c r="P836" s="54"/>
      <c r="Q836" s="53" t="str">
        <f aca="false">IF(NOT(ISNUMBER($P836)),"",IFERROR(PERCENTRANK($P$5:$P$1204,$P836),""))</f>
        <v/>
      </c>
    </row>
    <row r="837" customFormat="false" ht="15" hidden="false" customHeight="false" outlineLevel="0" collapsed="false">
      <c r="A837" s="55"/>
      <c r="B837" s="56"/>
      <c r="C837" s="57"/>
      <c r="D837" s="56"/>
      <c r="E837" s="56"/>
      <c r="F837" s="56"/>
      <c r="G837" s="50" t="str">
        <f aca="false">IF($A837="","",IF(ISNUMBER($G836),$G836+1,1))</f>
        <v/>
      </c>
      <c r="H837" s="51" t="str">
        <f aca="false">IF(OR(NOT(ISNUMBER($G837)),$G837&lt;2,NOT(ISNUMBER($C836)),$C836=0),"",$C837/$C836-1)</f>
        <v/>
      </c>
      <c r="I837" s="52" t="str">
        <f aca="false">IF(AND(ISNUMBER($G837),$G837&gt;=MA_SHORT),AVERAGE(INDEX($C$437:$C837,402-MA_SHORT):$C837),"")</f>
        <v/>
      </c>
      <c r="J837" s="52" t="str">
        <f aca="false">IF(AND(ISNUMBER($G837),$G837&gt;=MA_MED),AVERAGE(INDEX($C$437:$C837,402-MA_MED):$C837),"")</f>
        <v/>
      </c>
      <c r="K837" s="52" t="str">
        <f aca="false">IF(AND(ISNUMBER($G837),$G837&gt;=MA_LONG2),AVERAGE(INDEX($C$437:$C837,402-MA_LONG2):$C837),"")</f>
        <v/>
      </c>
      <c r="L837" s="53" t="str">
        <f aca="false">IF(AND(ISNUMBER($G837),$G837&gt;=21),STDEV(INDEX($H$777:$H837,62-20):$H837)*SQRT(245),"")</f>
        <v/>
      </c>
      <c r="M837" s="52" t="str">
        <f aca="false">IF(AND(ISNUMBER($G837),$G837&gt;=60),MAX(INDEX($D$637:$D837,202-60):$D837),"")</f>
        <v/>
      </c>
      <c r="N837" s="52" t="str">
        <f aca="false">IF(AND(ISNUMBER($G837),$G837&gt;=60),MIN(INDEX($E$637:$E837,202-60):$E837),"")</f>
        <v/>
      </c>
      <c r="O837" s="53" t="str">
        <f aca="false">IF(OR(NOT(ISNUMBER($C837)),NOT(ISNUMBER($M837)),$M837=0),"",$C837/$M837-1)</f>
        <v/>
      </c>
      <c r="P837" s="54"/>
      <c r="Q837" s="53" t="str">
        <f aca="false">IF(NOT(ISNUMBER($P837)),"",IFERROR(PERCENTRANK($P$5:$P$1204,$P837),""))</f>
        <v/>
      </c>
    </row>
    <row r="838" customFormat="false" ht="15" hidden="false" customHeight="false" outlineLevel="0" collapsed="false">
      <c r="A838" s="55"/>
      <c r="B838" s="56"/>
      <c r="C838" s="57"/>
      <c r="D838" s="56"/>
      <c r="E838" s="56"/>
      <c r="F838" s="56"/>
      <c r="G838" s="50" t="str">
        <f aca="false">IF($A838="","",IF(ISNUMBER($G837),$G837+1,1))</f>
        <v/>
      </c>
      <c r="H838" s="51" t="str">
        <f aca="false">IF(OR(NOT(ISNUMBER($G838)),$G838&lt;2,NOT(ISNUMBER($C837)),$C837=0),"",$C838/$C837-1)</f>
        <v/>
      </c>
      <c r="I838" s="52" t="str">
        <f aca="false">IF(AND(ISNUMBER($G838),$G838&gt;=MA_SHORT),AVERAGE(INDEX($C$438:$C838,402-MA_SHORT):$C838),"")</f>
        <v/>
      </c>
      <c r="J838" s="52" t="str">
        <f aca="false">IF(AND(ISNUMBER($G838),$G838&gt;=MA_MED),AVERAGE(INDEX($C$438:$C838,402-MA_MED):$C838),"")</f>
        <v/>
      </c>
      <c r="K838" s="52" t="str">
        <f aca="false">IF(AND(ISNUMBER($G838),$G838&gt;=MA_LONG2),AVERAGE(INDEX($C$438:$C838,402-MA_LONG2):$C838),"")</f>
        <v/>
      </c>
      <c r="L838" s="53" t="str">
        <f aca="false">IF(AND(ISNUMBER($G838),$G838&gt;=21),STDEV(INDEX($H$778:$H838,62-20):$H838)*SQRT(245),"")</f>
        <v/>
      </c>
      <c r="M838" s="52" t="str">
        <f aca="false">IF(AND(ISNUMBER($G838),$G838&gt;=60),MAX(INDEX($D$638:$D838,202-60):$D838),"")</f>
        <v/>
      </c>
      <c r="N838" s="52" t="str">
        <f aca="false">IF(AND(ISNUMBER($G838),$G838&gt;=60),MIN(INDEX($E$638:$E838,202-60):$E838),"")</f>
        <v/>
      </c>
      <c r="O838" s="53" t="str">
        <f aca="false">IF(OR(NOT(ISNUMBER($C838)),NOT(ISNUMBER($M838)),$M838=0),"",$C838/$M838-1)</f>
        <v/>
      </c>
      <c r="P838" s="54"/>
      <c r="Q838" s="53" t="str">
        <f aca="false">IF(NOT(ISNUMBER($P838)),"",IFERROR(PERCENTRANK($P$5:$P$1204,$P838),""))</f>
        <v/>
      </c>
    </row>
    <row r="839" customFormat="false" ht="15" hidden="false" customHeight="false" outlineLevel="0" collapsed="false">
      <c r="A839" s="55"/>
      <c r="B839" s="56"/>
      <c r="C839" s="57"/>
      <c r="D839" s="56"/>
      <c r="E839" s="56"/>
      <c r="F839" s="56"/>
      <c r="G839" s="50" t="str">
        <f aca="false">IF($A839="","",IF(ISNUMBER($G838),$G838+1,1))</f>
        <v/>
      </c>
      <c r="H839" s="51" t="str">
        <f aca="false">IF(OR(NOT(ISNUMBER($G839)),$G839&lt;2,NOT(ISNUMBER($C838)),$C838=0),"",$C839/$C838-1)</f>
        <v/>
      </c>
      <c r="I839" s="52" t="str">
        <f aca="false">IF(AND(ISNUMBER($G839),$G839&gt;=MA_SHORT),AVERAGE(INDEX($C$439:$C839,402-MA_SHORT):$C839),"")</f>
        <v/>
      </c>
      <c r="J839" s="52" t="str">
        <f aca="false">IF(AND(ISNUMBER($G839),$G839&gt;=MA_MED),AVERAGE(INDEX($C$439:$C839,402-MA_MED):$C839),"")</f>
        <v/>
      </c>
      <c r="K839" s="52" t="str">
        <f aca="false">IF(AND(ISNUMBER($G839),$G839&gt;=MA_LONG2),AVERAGE(INDEX($C$439:$C839,402-MA_LONG2):$C839),"")</f>
        <v/>
      </c>
      <c r="L839" s="53" t="str">
        <f aca="false">IF(AND(ISNUMBER($G839),$G839&gt;=21),STDEV(INDEX($H$779:$H839,62-20):$H839)*SQRT(245),"")</f>
        <v/>
      </c>
      <c r="M839" s="52" t="str">
        <f aca="false">IF(AND(ISNUMBER($G839),$G839&gt;=60),MAX(INDEX($D$639:$D839,202-60):$D839),"")</f>
        <v/>
      </c>
      <c r="N839" s="52" t="str">
        <f aca="false">IF(AND(ISNUMBER($G839),$G839&gt;=60),MIN(INDEX($E$639:$E839,202-60):$E839),"")</f>
        <v/>
      </c>
      <c r="O839" s="53" t="str">
        <f aca="false">IF(OR(NOT(ISNUMBER($C839)),NOT(ISNUMBER($M839)),$M839=0),"",$C839/$M839-1)</f>
        <v/>
      </c>
      <c r="P839" s="54"/>
      <c r="Q839" s="53" t="str">
        <f aca="false">IF(NOT(ISNUMBER($P839)),"",IFERROR(PERCENTRANK($P$5:$P$1204,$P839),""))</f>
        <v/>
      </c>
    </row>
    <row r="840" customFormat="false" ht="15" hidden="false" customHeight="false" outlineLevel="0" collapsed="false">
      <c r="A840" s="55"/>
      <c r="B840" s="56"/>
      <c r="C840" s="57"/>
      <c r="D840" s="56"/>
      <c r="E840" s="56"/>
      <c r="F840" s="56"/>
      <c r="G840" s="50" t="str">
        <f aca="false">IF($A840="","",IF(ISNUMBER($G839),$G839+1,1))</f>
        <v/>
      </c>
      <c r="H840" s="51" t="str">
        <f aca="false">IF(OR(NOT(ISNUMBER($G840)),$G840&lt;2,NOT(ISNUMBER($C839)),$C839=0),"",$C840/$C839-1)</f>
        <v/>
      </c>
      <c r="I840" s="52" t="str">
        <f aca="false">IF(AND(ISNUMBER($G840),$G840&gt;=MA_SHORT),AVERAGE(INDEX($C$440:$C840,402-MA_SHORT):$C840),"")</f>
        <v/>
      </c>
      <c r="J840" s="52" t="str">
        <f aca="false">IF(AND(ISNUMBER($G840),$G840&gt;=MA_MED),AVERAGE(INDEX($C$440:$C840,402-MA_MED):$C840),"")</f>
        <v/>
      </c>
      <c r="K840" s="52" t="str">
        <f aca="false">IF(AND(ISNUMBER($G840),$G840&gt;=MA_LONG2),AVERAGE(INDEX($C$440:$C840,402-MA_LONG2):$C840),"")</f>
        <v/>
      </c>
      <c r="L840" s="53" t="str">
        <f aca="false">IF(AND(ISNUMBER($G840),$G840&gt;=21),STDEV(INDEX($H$780:$H840,62-20):$H840)*SQRT(245),"")</f>
        <v/>
      </c>
      <c r="M840" s="52" t="str">
        <f aca="false">IF(AND(ISNUMBER($G840),$G840&gt;=60),MAX(INDEX($D$640:$D840,202-60):$D840),"")</f>
        <v/>
      </c>
      <c r="N840" s="52" t="str">
        <f aca="false">IF(AND(ISNUMBER($G840),$G840&gt;=60),MIN(INDEX($E$640:$E840,202-60):$E840),"")</f>
        <v/>
      </c>
      <c r="O840" s="53" t="str">
        <f aca="false">IF(OR(NOT(ISNUMBER($C840)),NOT(ISNUMBER($M840)),$M840=0),"",$C840/$M840-1)</f>
        <v/>
      </c>
      <c r="P840" s="54"/>
      <c r="Q840" s="53" t="str">
        <f aca="false">IF(NOT(ISNUMBER($P840)),"",IFERROR(PERCENTRANK($P$5:$P$1204,$P840),""))</f>
        <v/>
      </c>
    </row>
    <row r="841" customFormat="false" ht="15" hidden="false" customHeight="false" outlineLevel="0" collapsed="false">
      <c r="A841" s="55"/>
      <c r="B841" s="56"/>
      <c r="C841" s="57"/>
      <c r="D841" s="56"/>
      <c r="E841" s="56"/>
      <c r="F841" s="56"/>
      <c r="G841" s="50" t="str">
        <f aca="false">IF($A841="","",IF(ISNUMBER($G840),$G840+1,1))</f>
        <v/>
      </c>
      <c r="H841" s="51" t="str">
        <f aca="false">IF(OR(NOT(ISNUMBER($G841)),$G841&lt;2,NOT(ISNUMBER($C840)),$C840=0),"",$C841/$C840-1)</f>
        <v/>
      </c>
      <c r="I841" s="52" t="str">
        <f aca="false">IF(AND(ISNUMBER($G841),$G841&gt;=MA_SHORT),AVERAGE(INDEX($C$441:$C841,402-MA_SHORT):$C841),"")</f>
        <v/>
      </c>
      <c r="J841" s="52" t="str">
        <f aca="false">IF(AND(ISNUMBER($G841),$G841&gt;=MA_MED),AVERAGE(INDEX($C$441:$C841,402-MA_MED):$C841),"")</f>
        <v/>
      </c>
      <c r="K841" s="52" t="str">
        <f aca="false">IF(AND(ISNUMBER($G841),$G841&gt;=MA_LONG2),AVERAGE(INDEX($C$441:$C841,402-MA_LONG2):$C841),"")</f>
        <v/>
      </c>
      <c r="L841" s="53" t="str">
        <f aca="false">IF(AND(ISNUMBER($G841),$G841&gt;=21),STDEV(INDEX($H$781:$H841,62-20):$H841)*SQRT(245),"")</f>
        <v/>
      </c>
      <c r="M841" s="52" t="str">
        <f aca="false">IF(AND(ISNUMBER($G841),$G841&gt;=60),MAX(INDEX($D$641:$D841,202-60):$D841),"")</f>
        <v/>
      </c>
      <c r="N841" s="52" t="str">
        <f aca="false">IF(AND(ISNUMBER($G841),$G841&gt;=60),MIN(INDEX($E$641:$E841,202-60):$E841),"")</f>
        <v/>
      </c>
      <c r="O841" s="53" t="str">
        <f aca="false">IF(OR(NOT(ISNUMBER($C841)),NOT(ISNUMBER($M841)),$M841=0),"",$C841/$M841-1)</f>
        <v/>
      </c>
      <c r="P841" s="54"/>
      <c r="Q841" s="53" t="str">
        <f aca="false">IF(NOT(ISNUMBER($P841)),"",IFERROR(PERCENTRANK($P$5:$P$1204,$P841),""))</f>
        <v/>
      </c>
    </row>
    <row r="842" customFormat="false" ht="15" hidden="false" customHeight="false" outlineLevel="0" collapsed="false">
      <c r="A842" s="55"/>
      <c r="B842" s="56"/>
      <c r="C842" s="57"/>
      <c r="D842" s="56"/>
      <c r="E842" s="56"/>
      <c r="F842" s="56"/>
      <c r="G842" s="50" t="str">
        <f aca="false">IF($A842="","",IF(ISNUMBER($G841),$G841+1,1))</f>
        <v/>
      </c>
      <c r="H842" s="51" t="str">
        <f aca="false">IF(OR(NOT(ISNUMBER($G842)),$G842&lt;2,NOT(ISNUMBER($C841)),$C841=0),"",$C842/$C841-1)</f>
        <v/>
      </c>
      <c r="I842" s="52" t="str">
        <f aca="false">IF(AND(ISNUMBER($G842),$G842&gt;=MA_SHORT),AVERAGE(INDEX($C$442:$C842,402-MA_SHORT):$C842),"")</f>
        <v/>
      </c>
      <c r="J842" s="52" t="str">
        <f aca="false">IF(AND(ISNUMBER($G842),$G842&gt;=MA_MED),AVERAGE(INDEX($C$442:$C842,402-MA_MED):$C842),"")</f>
        <v/>
      </c>
      <c r="K842" s="52" t="str">
        <f aca="false">IF(AND(ISNUMBER($G842),$G842&gt;=MA_LONG2),AVERAGE(INDEX($C$442:$C842,402-MA_LONG2):$C842),"")</f>
        <v/>
      </c>
      <c r="L842" s="53" t="str">
        <f aca="false">IF(AND(ISNUMBER($G842),$G842&gt;=21),STDEV(INDEX($H$782:$H842,62-20):$H842)*SQRT(245),"")</f>
        <v/>
      </c>
      <c r="M842" s="52" t="str">
        <f aca="false">IF(AND(ISNUMBER($G842),$G842&gt;=60),MAX(INDEX($D$642:$D842,202-60):$D842),"")</f>
        <v/>
      </c>
      <c r="N842" s="52" t="str">
        <f aca="false">IF(AND(ISNUMBER($G842),$G842&gt;=60),MIN(INDEX($E$642:$E842,202-60):$E842),"")</f>
        <v/>
      </c>
      <c r="O842" s="53" t="str">
        <f aca="false">IF(OR(NOT(ISNUMBER($C842)),NOT(ISNUMBER($M842)),$M842=0),"",$C842/$M842-1)</f>
        <v/>
      </c>
      <c r="P842" s="54"/>
      <c r="Q842" s="53" t="str">
        <f aca="false">IF(NOT(ISNUMBER($P842)),"",IFERROR(PERCENTRANK($P$5:$P$1204,$P842),""))</f>
        <v/>
      </c>
    </row>
    <row r="843" customFormat="false" ht="15" hidden="false" customHeight="false" outlineLevel="0" collapsed="false">
      <c r="A843" s="55"/>
      <c r="B843" s="56"/>
      <c r="C843" s="57"/>
      <c r="D843" s="56"/>
      <c r="E843" s="56"/>
      <c r="F843" s="56"/>
      <c r="G843" s="50" t="str">
        <f aca="false">IF($A843="","",IF(ISNUMBER($G842),$G842+1,1))</f>
        <v/>
      </c>
      <c r="H843" s="51" t="str">
        <f aca="false">IF(OR(NOT(ISNUMBER($G843)),$G843&lt;2,NOT(ISNUMBER($C842)),$C842=0),"",$C843/$C842-1)</f>
        <v/>
      </c>
      <c r="I843" s="52" t="str">
        <f aca="false">IF(AND(ISNUMBER($G843),$G843&gt;=MA_SHORT),AVERAGE(INDEX($C$443:$C843,402-MA_SHORT):$C843),"")</f>
        <v/>
      </c>
      <c r="J843" s="52" t="str">
        <f aca="false">IF(AND(ISNUMBER($G843),$G843&gt;=MA_MED),AVERAGE(INDEX($C$443:$C843,402-MA_MED):$C843),"")</f>
        <v/>
      </c>
      <c r="K843" s="52" t="str">
        <f aca="false">IF(AND(ISNUMBER($G843),$G843&gt;=MA_LONG2),AVERAGE(INDEX($C$443:$C843,402-MA_LONG2):$C843),"")</f>
        <v/>
      </c>
      <c r="L843" s="53" t="str">
        <f aca="false">IF(AND(ISNUMBER($G843),$G843&gt;=21),STDEV(INDEX($H$783:$H843,62-20):$H843)*SQRT(245),"")</f>
        <v/>
      </c>
      <c r="M843" s="52" t="str">
        <f aca="false">IF(AND(ISNUMBER($G843),$G843&gt;=60),MAX(INDEX($D$643:$D843,202-60):$D843),"")</f>
        <v/>
      </c>
      <c r="N843" s="52" t="str">
        <f aca="false">IF(AND(ISNUMBER($G843),$G843&gt;=60),MIN(INDEX($E$643:$E843,202-60):$E843),"")</f>
        <v/>
      </c>
      <c r="O843" s="53" t="str">
        <f aca="false">IF(OR(NOT(ISNUMBER($C843)),NOT(ISNUMBER($M843)),$M843=0),"",$C843/$M843-1)</f>
        <v/>
      </c>
      <c r="P843" s="54"/>
      <c r="Q843" s="53" t="str">
        <f aca="false">IF(NOT(ISNUMBER($P843)),"",IFERROR(PERCENTRANK($P$5:$P$1204,$P843),""))</f>
        <v/>
      </c>
    </row>
    <row r="844" customFormat="false" ht="15" hidden="false" customHeight="false" outlineLevel="0" collapsed="false">
      <c r="A844" s="55"/>
      <c r="B844" s="56"/>
      <c r="C844" s="57"/>
      <c r="D844" s="56"/>
      <c r="E844" s="56"/>
      <c r="F844" s="56"/>
      <c r="G844" s="50" t="str">
        <f aca="false">IF($A844="","",IF(ISNUMBER($G843),$G843+1,1))</f>
        <v/>
      </c>
      <c r="H844" s="51" t="str">
        <f aca="false">IF(OR(NOT(ISNUMBER($G844)),$G844&lt;2,NOT(ISNUMBER($C843)),$C843=0),"",$C844/$C843-1)</f>
        <v/>
      </c>
      <c r="I844" s="52" t="str">
        <f aca="false">IF(AND(ISNUMBER($G844),$G844&gt;=MA_SHORT),AVERAGE(INDEX($C$444:$C844,402-MA_SHORT):$C844),"")</f>
        <v/>
      </c>
      <c r="J844" s="52" t="str">
        <f aca="false">IF(AND(ISNUMBER($G844),$G844&gt;=MA_MED),AVERAGE(INDEX($C$444:$C844,402-MA_MED):$C844),"")</f>
        <v/>
      </c>
      <c r="K844" s="52" t="str">
        <f aca="false">IF(AND(ISNUMBER($G844),$G844&gt;=MA_LONG2),AVERAGE(INDEX($C$444:$C844,402-MA_LONG2):$C844),"")</f>
        <v/>
      </c>
      <c r="L844" s="53" t="str">
        <f aca="false">IF(AND(ISNUMBER($G844),$G844&gt;=21),STDEV(INDEX($H$784:$H844,62-20):$H844)*SQRT(245),"")</f>
        <v/>
      </c>
      <c r="M844" s="52" t="str">
        <f aca="false">IF(AND(ISNUMBER($G844),$G844&gt;=60),MAX(INDEX($D$644:$D844,202-60):$D844),"")</f>
        <v/>
      </c>
      <c r="N844" s="52" t="str">
        <f aca="false">IF(AND(ISNUMBER($G844),$G844&gt;=60),MIN(INDEX($E$644:$E844,202-60):$E844),"")</f>
        <v/>
      </c>
      <c r="O844" s="53" t="str">
        <f aca="false">IF(OR(NOT(ISNUMBER($C844)),NOT(ISNUMBER($M844)),$M844=0),"",$C844/$M844-1)</f>
        <v/>
      </c>
      <c r="P844" s="54"/>
      <c r="Q844" s="53" t="str">
        <f aca="false">IF(NOT(ISNUMBER($P844)),"",IFERROR(PERCENTRANK($P$5:$P$1204,$P844),""))</f>
        <v/>
      </c>
    </row>
    <row r="845" customFormat="false" ht="15" hidden="false" customHeight="false" outlineLevel="0" collapsed="false">
      <c r="A845" s="55"/>
      <c r="B845" s="56"/>
      <c r="C845" s="57"/>
      <c r="D845" s="56"/>
      <c r="E845" s="56"/>
      <c r="F845" s="56"/>
      <c r="G845" s="50" t="str">
        <f aca="false">IF($A845="","",IF(ISNUMBER($G844),$G844+1,1))</f>
        <v/>
      </c>
      <c r="H845" s="51" t="str">
        <f aca="false">IF(OR(NOT(ISNUMBER($G845)),$G845&lt;2,NOT(ISNUMBER($C844)),$C844=0),"",$C845/$C844-1)</f>
        <v/>
      </c>
      <c r="I845" s="52" t="str">
        <f aca="false">IF(AND(ISNUMBER($G845),$G845&gt;=MA_SHORT),AVERAGE(INDEX($C$445:$C845,402-MA_SHORT):$C845),"")</f>
        <v/>
      </c>
      <c r="J845" s="52" t="str">
        <f aca="false">IF(AND(ISNUMBER($G845),$G845&gt;=MA_MED),AVERAGE(INDEX($C$445:$C845,402-MA_MED):$C845),"")</f>
        <v/>
      </c>
      <c r="K845" s="52" t="str">
        <f aca="false">IF(AND(ISNUMBER($G845),$G845&gt;=MA_LONG2),AVERAGE(INDEX($C$445:$C845,402-MA_LONG2):$C845),"")</f>
        <v/>
      </c>
      <c r="L845" s="53" t="str">
        <f aca="false">IF(AND(ISNUMBER($G845),$G845&gt;=21),STDEV(INDEX($H$785:$H845,62-20):$H845)*SQRT(245),"")</f>
        <v/>
      </c>
      <c r="M845" s="52" t="str">
        <f aca="false">IF(AND(ISNUMBER($G845),$G845&gt;=60),MAX(INDEX($D$645:$D845,202-60):$D845),"")</f>
        <v/>
      </c>
      <c r="N845" s="52" t="str">
        <f aca="false">IF(AND(ISNUMBER($G845),$G845&gt;=60),MIN(INDEX($E$645:$E845,202-60):$E845),"")</f>
        <v/>
      </c>
      <c r="O845" s="53" t="str">
        <f aca="false">IF(OR(NOT(ISNUMBER($C845)),NOT(ISNUMBER($M845)),$M845=0),"",$C845/$M845-1)</f>
        <v/>
      </c>
      <c r="P845" s="54"/>
      <c r="Q845" s="53" t="str">
        <f aca="false">IF(NOT(ISNUMBER($P845)),"",IFERROR(PERCENTRANK($P$5:$P$1204,$P845),""))</f>
        <v/>
      </c>
    </row>
    <row r="846" customFormat="false" ht="15" hidden="false" customHeight="false" outlineLevel="0" collapsed="false">
      <c r="A846" s="55"/>
      <c r="B846" s="56"/>
      <c r="C846" s="57"/>
      <c r="D846" s="56"/>
      <c r="E846" s="56"/>
      <c r="F846" s="56"/>
      <c r="G846" s="50" t="str">
        <f aca="false">IF($A846="","",IF(ISNUMBER($G845),$G845+1,1))</f>
        <v/>
      </c>
      <c r="H846" s="51" t="str">
        <f aca="false">IF(OR(NOT(ISNUMBER($G846)),$G846&lt;2,NOT(ISNUMBER($C845)),$C845=0),"",$C846/$C845-1)</f>
        <v/>
      </c>
      <c r="I846" s="52" t="str">
        <f aca="false">IF(AND(ISNUMBER($G846),$G846&gt;=MA_SHORT),AVERAGE(INDEX($C$446:$C846,402-MA_SHORT):$C846),"")</f>
        <v/>
      </c>
      <c r="J846" s="52" t="str">
        <f aca="false">IF(AND(ISNUMBER($G846),$G846&gt;=MA_MED),AVERAGE(INDEX($C$446:$C846,402-MA_MED):$C846),"")</f>
        <v/>
      </c>
      <c r="K846" s="52" t="str">
        <f aca="false">IF(AND(ISNUMBER($G846),$G846&gt;=MA_LONG2),AVERAGE(INDEX($C$446:$C846,402-MA_LONG2):$C846),"")</f>
        <v/>
      </c>
      <c r="L846" s="53" t="str">
        <f aca="false">IF(AND(ISNUMBER($G846),$G846&gt;=21),STDEV(INDEX($H$786:$H846,62-20):$H846)*SQRT(245),"")</f>
        <v/>
      </c>
      <c r="M846" s="52" t="str">
        <f aca="false">IF(AND(ISNUMBER($G846),$G846&gt;=60),MAX(INDEX($D$646:$D846,202-60):$D846),"")</f>
        <v/>
      </c>
      <c r="N846" s="52" t="str">
        <f aca="false">IF(AND(ISNUMBER($G846),$G846&gt;=60),MIN(INDEX($E$646:$E846,202-60):$E846),"")</f>
        <v/>
      </c>
      <c r="O846" s="53" t="str">
        <f aca="false">IF(OR(NOT(ISNUMBER($C846)),NOT(ISNUMBER($M846)),$M846=0),"",$C846/$M846-1)</f>
        <v/>
      </c>
      <c r="P846" s="54"/>
      <c r="Q846" s="53" t="str">
        <f aca="false">IF(NOT(ISNUMBER($P846)),"",IFERROR(PERCENTRANK($P$5:$P$1204,$P846),""))</f>
        <v/>
      </c>
    </row>
    <row r="847" customFormat="false" ht="15" hidden="false" customHeight="false" outlineLevel="0" collapsed="false">
      <c r="A847" s="55"/>
      <c r="B847" s="56"/>
      <c r="C847" s="57"/>
      <c r="D847" s="56"/>
      <c r="E847" s="56"/>
      <c r="F847" s="56"/>
      <c r="G847" s="50" t="str">
        <f aca="false">IF($A847="","",IF(ISNUMBER($G846),$G846+1,1))</f>
        <v/>
      </c>
      <c r="H847" s="51" t="str">
        <f aca="false">IF(OR(NOT(ISNUMBER($G847)),$G847&lt;2,NOT(ISNUMBER($C846)),$C846=0),"",$C847/$C846-1)</f>
        <v/>
      </c>
      <c r="I847" s="52" t="str">
        <f aca="false">IF(AND(ISNUMBER($G847),$G847&gt;=MA_SHORT),AVERAGE(INDEX($C$447:$C847,402-MA_SHORT):$C847),"")</f>
        <v/>
      </c>
      <c r="J847" s="52" t="str">
        <f aca="false">IF(AND(ISNUMBER($G847),$G847&gt;=MA_MED),AVERAGE(INDEX($C$447:$C847,402-MA_MED):$C847),"")</f>
        <v/>
      </c>
      <c r="K847" s="52" t="str">
        <f aca="false">IF(AND(ISNUMBER($G847),$G847&gt;=MA_LONG2),AVERAGE(INDEX($C$447:$C847,402-MA_LONG2):$C847),"")</f>
        <v/>
      </c>
      <c r="L847" s="53" t="str">
        <f aca="false">IF(AND(ISNUMBER($G847),$G847&gt;=21),STDEV(INDEX($H$787:$H847,62-20):$H847)*SQRT(245),"")</f>
        <v/>
      </c>
      <c r="M847" s="52" t="str">
        <f aca="false">IF(AND(ISNUMBER($G847),$G847&gt;=60),MAX(INDEX($D$647:$D847,202-60):$D847),"")</f>
        <v/>
      </c>
      <c r="N847" s="52" t="str">
        <f aca="false">IF(AND(ISNUMBER($G847),$G847&gt;=60),MIN(INDEX($E$647:$E847,202-60):$E847),"")</f>
        <v/>
      </c>
      <c r="O847" s="53" t="str">
        <f aca="false">IF(OR(NOT(ISNUMBER($C847)),NOT(ISNUMBER($M847)),$M847=0),"",$C847/$M847-1)</f>
        <v/>
      </c>
      <c r="P847" s="54"/>
      <c r="Q847" s="53" t="str">
        <f aca="false">IF(NOT(ISNUMBER($P847)),"",IFERROR(PERCENTRANK($P$5:$P$1204,$P847),""))</f>
        <v/>
      </c>
    </row>
    <row r="848" customFormat="false" ht="15" hidden="false" customHeight="false" outlineLevel="0" collapsed="false">
      <c r="A848" s="55"/>
      <c r="B848" s="56"/>
      <c r="C848" s="57"/>
      <c r="D848" s="56"/>
      <c r="E848" s="56"/>
      <c r="F848" s="56"/>
      <c r="G848" s="50" t="str">
        <f aca="false">IF($A848="","",IF(ISNUMBER($G847),$G847+1,1))</f>
        <v/>
      </c>
      <c r="H848" s="51" t="str">
        <f aca="false">IF(OR(NOT(ISNUMBER($G848)),$G848&lt;2,NOT(ISNUMBER($C847)),$C847=0),"",$C848/$C847-1)</f>
        <v/>
      </c>
      <c r="I848" s="52" t="str">
        <f aca="false">IF(AND(ISNUMBER($G848),$G848&gt;=MA_SHORT),AVERAGE(INDEX($C$448:$C848,402-MA_SHORT):$C848),"")</f>
        <v/>
      </c>
      <c r="J848" s="52" t="str">
        <f aca="false">IF(AND(ISNUMBER($G848),$G848&gt;=MA_MED),AVERAGE(INDEX($C$448:$C848,402-MA_MED):$C848),"")</f>
        <v/>
      </c>
      <c r="K848" s="52" t="str">
        <f aca="false">IF(AND(ISNUMBER($G848),$G848&gt;=MA_LONG2),AVERAGE(INDEX($C$448:$C848,402-MA_LONG2):$C848),"")</f>
        <v/>
      </c>
      <c r="L848" s="53" t="str">
        <f aca="false">IF(AND(ISNUMBER($G848),$G848&gt;=21),STDEV(INDEX($H$788:$H848,62-20):$H848)*SQRT(245),"")</f>
        <v/>
      </c>
      <c r="M848" s="52" t="str">
        <f aca="false">IF(AND(ISNUMBER($G848),$G848&gt;=60),MAX(INDEX($D$648:$D848,202-60):$D848),"")</f>
        <v/>
      </c>
      <c r="N848" s="52" t="str">
        <f aca="false">IF(AND(ISNUMBER($G848),$G848&gt;=60),MIN(INDEX($E$648:$E848,202-60):$E848),"")</f>
        <v/>
      </c>
      <c r="O848" s="53" t="str">
        <f aca="false">IF(OR(NOT(ISNUMBER($C848)),NOT(ISNUMBER($M848)),$M848=0),"",$C848/$M848-1)</f>
        <v/>
      </c>
      <c r="P848" s="54"/>
      <c r="Q848" s="53" t="str">
        <f aca="false">IF(NOT(ISNUMBER($P848)),"",IFERROR(PERCENTRANK($P$5:$P$1204,$P848),""))</f>
        <v/>
      </c>
    </row>
    <row r="849" customFormat="false" ht="15" hidden="false" customHeight="false" outlineLevel="0" collapsed="false">
      <c r="A849" s="55"/>
      <c r="B849" s="56"/>
      <c r="C849" s="57"/>
      <c r="D849" s="56"/>
      <c r="E849" s="56"/>
      <c r="F849" s="56"/>
      <c r="G849" s="50" t="str">
        <f aca="false">IF($A849="","",IF(ISNUMBER($G848),$G848+1,1))</f>
        <v/>
      </c>
      <c r="H849" s="51" t="str">
        <f aca="false">IF(OR(NOT(ISNUMBER($G849)),$G849&lt;2,NOT(ISNUMBER($C848)),$C848=0),"",$C849/$C848-1)</f>
        <v/>
      </c>
      <c r="I849" s="52" t="str">
        <f aca="false">IF(AND(ISNUMBER($G849),$G849&gt;=MA_SHORT),AVERAGE(INDEX($C$449:$C849,402-MA_SHORT):$C849),"")</f>
        <v/>
      </c>
      <c r="J849" s="52" t="str">
        <f aca="false">IF(AND(ISNUMBER($G849),$G849&gt;=MA_MED),AVERAGE(INDEX($C$449:$C849,402-MA_MED):$C849),"")</f>
        <v/>
      </c>
      <c r="K849" s="52" t="str">
        <f aca="false">IF(AND(ISNUMBER($G849),$G849&gt;=MA_LONG2),AVERAGE(INDEX($C$449:$C849,402-MA_LONG2):$C849),"")</f>
        <v/>
      </c>
      <c r="L849" s="53" t="str">
        <f aca="false">IF(AND(ISNUMBER($G849),$G849&gt;=21),STDEV(INDEX($H$789:$H849,62-20):$H849)*SQRT(245),"")</f>
        <v/>
      </c>
      <c r="M849" s="52" t="str">
        <f aca="false">IF(AND(ISNUMBER($G849),$G849&gt;=60),MAX(INDEX($D$649:$D849,202-60):$D849),"")</f>
        <v/>
      </c>
      <c r="N849" s="52" t="str">
        <f aca="false">IF(AND(ISNUMBER($G849),$G849&gt;=60),MIN(INDEX($E$649:$E849,202-60):$E849),"")</f>
        <v/>
      </c>
      <c r="O849" s="53" t="str">
        <f aca="false">IF(OR(NOT(ISNUMBER($C849)),NOT(ISNUMBER($M849)),$M849=0),"",$C849/$M849-1)</f>
        <v/>
      </c>
      <c r="P849" s="54"/>
      <c r="Q849" s="53" t="str">
        <f aca="false">IF(NOT(ISNUMBER($P849)),"",IFERROR(PERCENTRANK($P$5:$P$1204,$P849),""))</f>
        <v/>
      </c>
    </row>
    <row r="850" customFormat="false" ht="15" hidden="false" customHeight="false" outlineLevel="0" collapsed="false">
      <c r="A850" s="55"/>
      <c r="B850" s="56"/>
      <c r="C850" s="57"/>
      <c r="D850" s="56"/>
      <c r="E850" s="56"/>
      <c r="F850" s="56"/>
      <c r="G850" s="50" t="str">
        <f aca="false">IF($A850="","",IF(ISNUMBER($G849),$G849+1,1))</f>
        <v/>
      </c>
      <c r="H850" s="51" t="str">
        <f aca="false">IF(OR(NOT(ISNUMBER($G850)),$G850&lt;2,NOT(ISNUMBER($C849)),$C849=0),"",$C850/$C849-1)</f>
        <v/>
      </c>
      <c r="I850" s="52" t="str">
        <f aca="false">IF(AND(ISNUMBER($G850),$G850&gt;=MA_SHORT),AVERAGE(INDEX($C$450:$C850,402-MA_SHORT):$C850),"")</f>
        <v/>
      </c>
      <c r="J850" s="52" t="str">
        <f aca="false">IF(AND(ISNUMBER($G850),$G850&gt;=MA_MED),AVERAGE(INDEX($C$450:$C850,402-MA_MED):$C850),"")</f>
        <v/>
      </c>
      <c r="K850" s="52" t="str">
        <f aca="false">IF(AND(ISNUMBER($G850),$G850&gt;=MA_LONG2),AVERAGE(INDEX($C$450:$C850,402-MA_LONG2):$C850),"")</f>
        <v/>
      </c>
      <c r="L850" s="53" t="str">
        <f aca="false">IF(AND(ISNUMBER($G850),$G850&gt;=21),STDEV(INDEX($H$790:$H850,62-20):$H850)*SQRT(245),"")</f>
        <v/>
      </c>
      <c r="M850" s="52" t="str">
        <f aca="false">IF(AND(ISNUMBER($G850),$G850&gt;=60),MAX(INDEX($D$650:$D850,202-60):$D850),"")</f>
        <v/>
      </c>
      <c r="N850" s="52" t="str">
        <f aca="false">IF(AND(ISNUMBER($G850),$G850&gt;=60),MIN(INDEX($E$650:$E850,202-60):$E850),"")</f>
        <v/>
      </c>
      <c r="O850" s="53" t="str">
        <f aca="false">IF(OR(NOT(ISNUMBER($C850)),NOT(ISNUMBER($M850)),$M850=0),"",$C850/$M850-1)</f>
        <v/>
      </c>
      <c r="P850" s="54"/>
      <c r="Q850" s="53" t="str">
        <f aca="false">IF(NOT(ISNUMBER($P850)),"",IFERROR(PERCENTRANK($P$5:$P$1204,$P850),""))</f>
        <v/>
      </c>
    </row>
    <row r="851" customFormat="false" ht="15" hidden="false" customHeight="false" outlineLevel="0" collapsed="false">
      <c r="A851" s="55"/>
      <c r="B851" s="56"/>
      <c r="C851" s="57"/>
      <c r="D851" s="56"/>
      <c r="E851" s="56"/>
      <c r="F851" s="56"/>
      <c r="G851" s="50" t="str">
        <f aca="false">IF($A851="","",IF(ISNUMBER($G850),$G850+1,1))</f>
        <v/>
      </c>
      <c r="H851" s="51" t="str">
        <f aca="false">IF(OR(NOT(ISNUMBER($G851)),$G851&lt;2,NOT(ISNUMBER($C850)),$C850=0),"",$C851/$C850-1)</f>
        <v/>
      </c>
      <c r="I851" s="52" t="str">
        <f aca="false">IF(AND(ISNUMBER($G851),$G851&gt;=MA_SHORT),AVERAGE(INDEX($C$451:$C851,402-MA_SHORT):$C851),"")</f>
        <v/>
      </c>
      <c r="J851" s="52" t="str">
        <f aca="false">IF(AND(ISNUMBER($G851),$G851&gt;=MA_MED),AVERAGE(INDEX($C$451:$C851,402-MA_MED):$C851),"")</f>
        <v/>
      </c>
      <c r="K851" s="52" t="str">
        <f aca="false">IF(AND(ISNUMBER($G851),$G851&gt;=MA_LONG2),AVERAGE(INDEX($C$451:$C851,402-MA_LONG2):$C851),"")</f>
        <v/>
      </c>
      <c r="L851" s="53" t="str">
        <f aca="false">IF(AND(ISNUMBER($G851),$G851&gt;=21),STDEV(INDEX($H$791:$H851,62-20):$H851)*SQRT(245),"")</f>
        <v/>
      </c>
      <c r="M851" s="52" t="str">
        <f aca="false">IF(AND(ISNUMBER($G851),$G851&gt;=60),MAX(INDEX($D$651:$D851,202-60):$D851),"")</f>
        <v/>
      </c>
      <c r="N851" s="52" t="str">
        <f aca="false">IF(AND(ISNUMBER($G851),$G851&gt;=60),MIN(INDEX($E$651:$E851,202-60):$E851),"")</f>
        <v/>
      </c>
      <c r="O851" s="53" t="str">
        <f aca="false">IF(OR(NOT(ISNUMBER($C851)),NOT(ISNUMBER($M851)),$M851=0),"",$C851/$M851-1)</f>
        <v/>
      </c>
      <c r="P851" s="54"/>
      <c r="Q851" s="53" t="str">
        <f aca="false">IF(NOT(ISNUMBER($P851)),"",IFERROR(PERCENTRANK($P$5:$P$1204,$P851),""))</f>
        <v/>
      </c>
    </row>
    <row r="852" customFormat="false" ht="15" hidden="false" customHeight="false" outlineLevel="0" collapsed="false">
      <c r="A852" s="55"/>
      <c r="B852" s="56"/>
      <c r="C852" s="57"/>
      <c r="D852" s="56"/>
      <c r="E852" s="56"/>
      <c r="F852" s="56"/>
      <c r="G852" s="50" t="str">
        <f aca="false">IF($A852="","",IF(ISNUMBER($G851),$G851+1,1))</f>
        <v/>
      </c>
      <c r="H852" s="51" t="str">
        <f aca="false">IF(OR(NOT(ISNUMBER($G852)),$G852&lt;2,NOT(ISNUMBER($C851)),$C851=0),"",$C852/$C851-1)</f>
        <v/>
      </c>
      <c r="I852" s="52" t="str">
        <f aca="false">IF(AND(ISNUMBER($G852),$G852&gt;=MA_SHORT),AVERAGE(INDEX($C$452:$C852,402-MA_SHORT):$C852),"")</f>
        <v/>
      </c>
      <c r="J852" s="52" t="str">
        <f aca="false">IF(AND(ISNUMBER($G852),$G852&gt;=MA_MED),AVERAGE(INDEX($C$452:$C852,402-MA_MED):$C852),"")</f>
        <v/>
      </c>
      <c r="K852" s="52" t="str">
        <f aca="false">IF(AND(ISNUMBER($G852),$G852&gt;=MA_LONG2),AVERAGE(INDEX($C$452:$C852,402-MA_LONG2):$C852),"")</f>
        <v/>
      </c>
      <c r="L852" s="53" t="str">
        <f aca="false">IF(AND(ISNUMBER($G852),$G852&gt;=21),STDEV(INDEX($H$792:$H852,62-20):$H852)*SQRT(245),"")</f>
        <v/>
      </c>
      <c r="M852" s="52" t="str">
        <f aca="false">IF(AND(ISNUMBER($G852),$G852&gt;=60),MAX(INDEX($D$652:$D852,202-60):$D852),"")</f>
        <v/>
      </c>
      <c r="N852" s="52" t="str">
        <f aca="false">IF(AND(ISNUMBER($G852),$G852&gt;=60),MIN(INDEX($E$652:$E852,202-60):$E852),"")</f>
        <v/>
      </c>
      <c r="O852" s="53" t="str">
        <f aca="false">IF(OR(NOT(ISNUMBER($C852)),NOT(ISNUMBER($M852)),$M852=0),"",$C852/$M852-1)</f>
        <v/>
      </c>
      <c r="P852" s="54"/>
      <c r="Q852" s="53" t="str">
        <f aca="false">IF(NOT(ISNUMBER($P852)),"",IFERROR(PERCENTRANK($P$5:$P$1204,$P852),""))</f>
        <v/>
      </c>
    </row>
    <row r="853" customFormat="false" ht="15" hidden="false" customHeight="false" outlineLevel="0" collapsed="false">
      <c r="A853" s="55"/>
      <c r="B853" s="56"/>
      <c r="C853" s="57"/>
      <c r="D853" s="56"/>
      <c r="E853" s="56"/>
      <c r="F853" s="56"/>
      <c r="G853" s="50" t="str">
        <f aca="false">IF($A853="","",IF(ISNUMBER($G852),$G852+1,1))</f>
        <v/>
      </c>
      <c r="H853" s="51" t="str">
        <f aca="false">IF(OR(NOT(ISNUMBER($G853)),$G853&lt;2,NOT(ISNUMBER($C852)),$C852=0),"",$C853/$C852-1)</f>
        <v/>
      </c>
      <c r="I853" s="52" t="str">
        <f aca="false">IF(AND(ISNUMBER($G853),$G853&gt;=MA_SHORT),AVERAGE(INDEX($C$453:$C853,402-MA_SHORT):$C853),"")</f>
        <v/>
      </c>
      <c r="J853" s="52" t="str">
        <f aca="false">IF(AND(ISNUMBER($G853),$G853&gt;=MA_MED),AVERAGE(INDEX($C$453:$C853,402-MA_MED):$C853),"")</f>
        <v/>
      </c>
      <c r="K853" s="52" t="str">
        <f aca="false">IF(AND(ISNUMBER($G853),$G853&gt;=MA_LONG2),AVERAGE(INDEX($C$453:$C853,402-MA_LONG2):$C853),"")</f>
        <v/>
      </c>
      <c r="L853" s="53" t="str">
        <f aca="false">IF(AND(ISNUMBER($G853),$G853&gt;=21),STDEV(INDEX($H$793:$H853,62-20):$H853)*SQRT(245),"")</f>
        <v/>
      </c>
      <c r="M853" s="52" t="str">
        <f aca="false">IF(AND(ISNUMBER($G853),$G853&gt;=60),MAX(INDEX($D$653:$D853,202-60):$D853),"")</f>
        <v/>
      </c>
      <c r="N853" s="52" t="str">
        <f aca="false">IF(AND(ISNUMBER($G853),$G853&gt;=60),MIN(INDEX($E$653:$E853,202-60):$E853),"")</f>
        <v/>
      </c>
      <c r="O853" s="53" t="str">
        <f aca="false">IF(OR(NOT(ISNUMBER($C853)),NOT(ISNUMBER($M853)),$M853=0),"",$C853/$M853-1)</f>
        <v/>
      </c>
      <c r="P853" s="54"/>
      <c r="Q853" s="53" t="str">
        <f aca="false">IF(NOT(ISNUMBER($P853)),"",IFERROR(PERCENTRANK($P$5:$P$1204,$P853),""))</f>
        <v/>
      </c>
    </row>
    <row r="854" customFormat="false" ht="15" hidden="false" customHeight="false" outlineLevel="0" collapsed="false">
      <c r="A854" s="55"/>
      <c r="B854" s="56"/>
      <c r="C854" s="57"/>
      <c r="D854" s="56"/>
      <c r="E854" s="56"/>
      <c r="F854" s="56"/>
      <c r="G854" s="50" t="str">
        <f aca="false">IF($A854="","",IF(ISNUMBER($G853),$G853+1,1))</f>
        <v/>
      </c>
      <c r="H854" s="51" t="str">
        <f aca="false">IF(OR(NOT(ISNUMBER($G854)),$G854&lt;2,NOT(ISNUMBER($C853)),$C853=0),"",$C854/$C853-1)</f>
        <v/>
      </c>
      <c r="I854" s="52" t="str">
        <f aca="false">IF(AND(ISNUMBER($G854),$G854&gt;=MA_SHORT),AVERAGE(INDEX($C$454:$C854,402-MA_SHORT):$C854),"")</f>
        <v/>
      </c>
      <c r="J854" s="52" t="str">
        <f aca="false">IF(AND(ISNUMBER($G854),$G854&gt;=MA_MED),AVERAGE(INDEX($C$454:$C854,402-MA_MED):$C854),"")</f>
        <v/>
      </c>
      <c r="K854" s="52" t="str">
        <f aca="false">IF(AND(ISNUMBER($G854),$G854&gt;=MA_LONG2),AVERAGE(INDEX($C$454:$C854,402-MA_LONG2):$C854),"")</f>
        <v/>
      </c>
      <c r="L854" s="53" t="str">
        <f aca="false">IF(AND(ISNUMBER($G854),$G854&gt;=21),STDEV(INDEX($H$794:$H854,62-20):$H854)*SQRT(245),"")</f>
        <v/>
      </c>
      <c r="M854" s="52" t="str">
        <f aca="false">IF(AND(ISNUMBER($G854),$G854&gt;=60),MAX(INDEX($D$654:$D854,202-60):$D854),"")</f>
        <v/>
      </c>
      <c r="N854" s="52" t="str">
        <f aca="false">IF(AND(ISNUMBER($G854),$G854&gt;=60),MIN(INDEX($E$654:$E854,202-60):$E854),"")</f>
        <v/>
      </c>
      <c r="O854" s="53" t="str">
        <f aca="false">IF(OR(NOT(ISNUMBER($C854)),NOT(ISNUMBER($M854)),$M854=0),"",$C854/$M854-1)</f>
        <v/>
      </c>
      <c r="P854" s="54"/>
      <c r="Q854" s="53" t="str">
        <f aca="false">IF(NOT(ISNUMBER($P854)),"",IFERROR(PERCENTRANK($P$5:$P$1204,$P854),""))</f>
        <v/>
      </c>
    </row>
    <row r="855" customFormat="false" ht="15" hidden="false" customHeight="false" outlineLevel="0" collapsed="false">
      <c r="A855" s="55"/>
      <c r="B855" s="56"/>
      <c r="C855" s="57"/>
      <c r="D855" s="56"/>
      <c r="E855" s="56"/>
      <c r="F855" s="56"/>
      <c r="G855" s="50" t="str">
        <f aca="false">IF($A855="","",IF(ISNUMBER($G854),$G854+1,1))</f>
        <v/>
      </c>
      <c r="H855" s="51" t="str">
        <f aca="false">IF(OR(NOT(ISNUMBER($G855)),$G855&lt;2,NOT(ISNUMBER($C854)),$C854=0),"",$C855/$C854-1)</f>
        <v/>
      </c>
      <c r="I855" s="52" t="str">
        <f aca="false">IF(AND(ISNUMBER($G855),$G855&gt;=MA_SHORT),AVERAGE(INDEX($C$455:$C855,402-MA_SHORT):$C855),"")</f>
        <v/>
      </c>
      <c r="J855" s="52" t="str">
        <f aca="false">IF(AND(ISNUMBER($G855),$G855&gt;=MA_MED),AVERAGE(INDEX($C$455:$C855,402-MA_MED):$C855),"")</f>
        <v/>
      </c>
      <c r="K855" s="52" t="str">
        <f aca="false">IF(AND(ISNUMBER($G855),$G855&gt;=MA_LONG2),AVERAGE(INDEX($C$455:$C855,402-MA_LONG2):$C855),"")</f>
        <v/>
      </c>
      <c r="L855" s="53" t="str">
        <f aca="false">IF(AND(ISNUMBER($G855),$G855&gt;=21),STDEV(INDEX($H$795:$H855,62-20):$H855)*SQRT(245),"")</f>
        <v/>
      </c>
      <c r="M855" s="52" t="str">
        <f aca="false">IF(AND(ISNUMBER($G855),$G855&gt;=60),MAX(INDEX($D$655:$D855,202-60):$D855),"")</f>
        <v/>
      </c>
      <c r="N855" s="52" t="str">
        <f aca="false">IF(AND(ISNUMBER($G855),$G855&gt;=60),MIN(INDEX($E$655:$E855,202-60):$E855),"")</f>
        <v/>
      </c>
      <c r="O855" s="53" t="str">
        <f aca="false">IF(OR(NOT(ISNUMBER($C855)),NOT(ISNUMBER($M855)),$M855=0),"",$C855/$M855-1)</f>
        <v/>
      </c>
      <c r="P855" s="54"/>
      <c r="Q855" s="53" t="str">
        <f aca="false">IF(NOT(ISNUMBER($P855)),"",IFERROR(PERCENTRANK($P$5:$P$1204,$P855),""))</f>
        <v/>
      </c>
    </row>
    <row r="856" customFormat="false" ht="15" hidden="false" customHeight="false" outlineLevel="0" collapsed="false">
      <c r="A856" s="55"/>
      <c r="B856" s="56"/>
      <c r="C856" s="57"/>
      <c r="D856" s="56"/>
      <c r="E856" s="56"/>
      <c r="F856" s="56"/>
      <c r="G856" s="50" t="str">
        <f aca="false">IF($A856="","",IF(ISNUMBER($G855),$G855+1,1))</f>
        <v/>
      </c>
      <c r="H856" s="51" t="str">
        <f aca="false">IF(OR(NOT(ISNUMBER($G856)),$G856&lt;2,NOT(ISNUMBER($C855)),$C855=0),"",$C856/$C855-1)</f>
        <v/>
      </c>
      <c r="I856" s="52" t="str">
        <f aca="false">IF(AND(ISNUMBER($G856),$G856&gt;=MA_SHORT),AVERAGE(INDEX($C$456:$C856,402-MA_SHORT):$C856),"")</f>
        <v/>
      </c>
      <c r="J856" s="52" t="str">
        <f aca="false">IF(AND(ISNUMBER($G856),$G856&gt;=MA_MED),AVERAGE(INDEX($C$456:$C856,402-MA_MED):$C856),"")</f>
        <v/>
      </c>
      <c r="K856" s="52" t="str">
        <f aca="false">IF(AND(ISNUMBER($G856),$G856&gt;=MA_LONG2),AVERAGE(INDEX($C$456:$C856,402-MA_LONG2):$C856),"")</f>
        <v/>
      </c>
      <c r="L856" s="53" t="str">
        <f aca="false">IF(AND(ISNUMBER($G856),$G856&gt;=21),STDEV(INDEX($H$796:$H856,62-20):$H856)*SQRT(245),"")</f>
        <v/>
      </c>
      <c r="M856" s="52" t="str">
        <f aca="false">IF(AND(ISNUMBER($G856),$G856&gt;=60),MAX(INDEX($D$656:$D856,202-60):$D856),"")</f>
        <v/>
      </c>
      <c r="N856" s="52" t="str">
        <f aca="false">IF(AND(ISNUMBER($G856),$G856&gt;=60),MIN(INDEX($E$656:$E856,202-60):$E856),"")</f>
        <v/>
      </c>
      <c r="O856" s="53" t="str">
        <f aca="false">IF(OR(NOT(ISNUMBER($C856)),NOT(ISNUMBER($M856)),$M856=0),"",$C856/$M856-1)</f>
        <v/>
      </c>
      <c r="P856" s="54"/>
      <c r="Q856" s="53" t="str">
        <f aca="false">IF(NOT(ISNUMBER($P856)),"",IFERROR(PERCENTRANK($P$5:$P$1204,$P856),""))</f>
        <v/>
      </c>
    </row>
    <row r="857" customFormat="false" ht="15" hidden="false" customHeight="false" outlineLevel="0" collapsed="false">
      <c r="A857" s="55"/>
      <c r="B857" s="56"/>
      <c r="C857" s="57"/>
      <c r="D857" s="56"/>
      <c r="E857" s="56"/>
      <c r="F857" s="56"/>
      <c r="G857" s="50" t="str">
        <f aca="false">IF($A857="","",IF(ISNUMBER($G856),$G856+1,1))</f>
        <v/>
      </c>
      <c r="H857" s="51" t="str">
        <f aca="false">IF(OR(NOT(ISNUMBER($G857)),$G857&lt;2,NOT(ISNUMBER($C856)),$C856=0),"",$C857/$C856-1)</f>
        <v/>
      </c>
      <c r="I857" s="52" t="str">
        <f aca="false">IF(AND(ISNUMBER($G857),$G857&gt;=MA_SHORT),AVERAGE(INDEX($C$457:$C857,402-MA_SHORT):$C857),"")</f>
        <v/>
      </c>
      <c r="J857" s="52" t="str">
        <f aca="false">IF(AND(ISNUMBER($G857),$G857&gt;=MA_MED),AVERAGE(INDEX($C$457:$C857,402-MA_MED):$C857),"")</f>
        <v/>
      </c>
      <c r="K857" s="52" t="str">
        <f aca="false">IF(AND(ISNUMBER($G857),$G857&gt;=MA_LONG2),AVERAGE(INDEX($C$457:$C857,402-MA_LONG2):$C857),"")</f>
        <v/>
      </c>
      <c r="L857" s="53" t="str">
        <f aca="false">IF(AND(ISNUMBER($G857),$G857&gt;=21),STDEV(INDEX($H$797:$H857,62-20):$H857)*SQRT(245),"")</f>
        <v/>
      </c>
      <c r="M857" s="52" t="str">
        <f aca="false">IF(AND(ISNUMBER($G857),$G857&gt;=60),MAX(INDEX($D$657:$D857,202-60):$D857),"")</f>
        <v/>
      </c>
      <c r="N857" s="52" t="str">
        <f aca="false">IF(AND(ISNUMBER($G857),$G857&gt;=60),MIN(INDEX($E$657:$E857,202-60):$E857),"")</f>
        <v/>
      </c>
      <c r="O857" s="53" t="str">
        <f aca="false">IF(OR(NOT(ISNUMBER($C857)),NOT(ISNUMBER($M857)),$M857=0),"",$C857/$M857-1)</f>
        <v/>
      </c>
      <c r="P857" s="54"/>
      <c r="Q857" s="53" t="str">
        <f aca="false">IF(NOT(ISNUMBER($P857)),"",IFERROR(PERCENTRANK($P$5:$P$1204,$P857),""))</f>
        <v/>
      </c>
    </row>
    <row r="858" customFormat="false" ht="15" hidden="false" customHeight="false" outlineLevel="0" collapsed="false">
      <c r="A858" s="55"/>
      <c r="B858" s="56"/>
      <c r="C858" s="57"/>
      <c r="D858" s="56"/>
      <c r="E858" s="56"/>
      <c r="F858" s="56"/>
      <c r="G858" s="50" t="str">
        <f aca="false">IF($A858="","",IF(ISNUMBER($G857),$G857+1,1))</f>
        <v/>
      </c>
      <c r="H858" s="51" t="str">
        <f aca="false">IF(OR(NOT(ISNUMBER($G858)),$G858&lt;2,NOT(ISNUMBER($C857)),$C857=0),"",$C858/$C857-1)</f>
        <v/>
      </c>
      <c r="I858" s="52" t="str">
        <f aca="false">IF(AND(ISNUMBER($G858),$G858&gt;=MA_SHORT),AVERAGE(INDEX($C$458:$C858,402-MA_SHORT):$C858),"")</f>
        <v/>
      </c>
      <c r="J858" s="52" t="str">
        <f aca="false">IF(AND(ISNUMBER($G858),$G858&gt;=MA_MED),AVERAGE(INDEX($C$458:$C858,402-MA_MED):$C858),"")</f>
        <v/>
      </c>
      <c r="K858" s="52" t="str">
        <f aca="false">IF(AND(ISNUMBER($G858),$G858&gt;=MA_LONG2),AVERAGE(INDEX($C$458:$C858,402-MA_LONG2):$C858),"")</f>
        <v/>
      </c>
      <c r="L858" s="53" t="str">
        <f aca="false">IF(AND(ISNUMBER($G858),$G858&gt;=21),STDEV(INDEX($H$798:$H858,62-20):$H858)*SQRT(245),"")</f>
        <v/>
      </c>
      <c r="M858" s="52" t="str">
        <f aca="false">IF(AND(ISNUMBER($G858),$G858&gt;=60),MAX(INDEX($D$658:$D858,202-60):$D858),"")</f>
        <v/>
      </c>
      <c r="N858" s="52" t="str">
        <f aca="false">IF(AND(ISNUMBER($G858),$G858&gt;=60),MIN(INDEX($E$658:$E858,202-60):$E858),"")</f>
        <v/>
      </c>
      <c r="O858" s="53" t="str">
        <f aca="false">IF(OR(NOT(ISNUMBER($C858)),NOT(ISNUMBER($M858)),$M858=0),"",$C858/$M858-1)</f>
        <v/>
      </c>
      <c r="P858" s="54"/>
      <c r="Q858" s="53" t="str">
        <f aca="false">IF(NOT(ISNUMBER($P858)),"",IFERROR(PERCENTRANK($P$5:$P$1204,$P858),""))</f>
        <v/>
      </c>
    </row>
    <row r="859" customFormat="false" ht="15" hidden="false" customHeight="false" outlineLevel="0" collapsed="false">
      <c r="A859" s="55"/>
      <c r="B859" s="56"/>
      <c r="C859" s="57"/>
      <c r="D859" s="56"/>
      <c r="E859" s="56"/>
      <c r="F859" s="56"/>
      <c r="G859" s="50" t="str">
        <f aca="false">IF($A859="","",IF(ISNUMBER($G858),$G858+1,1))</f>
        <v/>
      </c>
      <c r="H859" s="51" t="str">
        <f aca="false">IF(OR(NOT(ISNUMBER($G859)),$G859&lt;2,NOT(ISNUMBER($C858)),$C858=0),"",$C859/$C858-1)</f>
        <v/>
      </c>
      <c r="I859" s="52" t="str">
        <f aca="false">IF(AND(ISNUMBER($G859),$G859&gt;=MA_SHORT),AVERAGE(INDEX($C$459:$C859,402-MA_SHORT):$C859),"")</f>
        <v/>
      </c>
      <c r="J859" s="52" t="str">
        <f aca="false">IF(AND(ISNUMBER($G859),$G859&gt;=MA_MED),AVERAGE(INDEX($C$459:$C859,402-MA_MED):$C859),"")</f>
        <v/>
      </c>
      <c r="K859" s="52" t="str">
        <f aca="false">IF(AND(ISNUMBER($G859),$G859&gt;=MA_LONG2),AVERAGE(INDEX($C$459:$C859,402-MA_LONG2):$C859),"")</f>
        <v/>
      </c>
      <c r="L859" s="53" t="str">
        <f aca="false">IF(AND(ISNUMBER($G859),$G859&gt;=21),STDEV(INDEX($H$799:$H859,62-20):$H859)*SQRT(245),"")</f>
        <v/>
      </c>
      <c r="M859" s="52" t="str">
        <f aca="false">IF(AND(ISNUMBER($G859),$G859&gt;=60),MAX(INDEX($D$659:$D859,202-60):$D859),"")</f>
        <v/>
      </c>
      <c r="N859" s="52" t="str">
        <f aca="false">IF(AND(ISNUMBER($G859),$G859&gt;=60),MIN(INDEX($E$659:$E859,202-60):$E859),"")</f>
        <v/>
      </c>
      <c r="O859" s="53" t="str">
        <f aca="false">IF(OR(NOT(ISNUMBER($C859)),NOT(ISNUMBER($M859)),$M859=0),"",$C859/$M859-1)</f>
        <v/>
      </c>
      <c r="P859" s="54"/>
      <c r="Q859" s="53" t="str">
        <f aca="false">IF(NOT(ISNUMBER($P859)),"",IFERROR(PERCENTRANK($P$5:$P$1204,$P859),""))</f>
        <v/>
      </c>
    </row>
    <row r="860" customFormat="false" ht="15" hidden="false" customHeight="false" outlineLevel="0" collapsed="false">
      <c r="A860" s="55"/>
      <c r="B860" s="56"/>
      <c r="C860" s="57"/>
      <c r="D860" s="56"/>
      <c r="E860" s="56"/>
      <c r="F860" s="56"/>
      <c r="G860" s="50" t="str">
        <f aca="false">IF($A860="","",IF(ISNUMBER($G859),$G859+1,1))</f>
        <v/>
      </c>
      <c r="H860" s="51" t="str">
        <f aca="false">IF(OR(NOT(ISNUMBER($G860)),$G860&lt;2,NOT(ISNUMBER($C859)),$C859=0),"",$C860/$C859-1)</f>
        <v/>
      </c>
      <c r="I860" s="52" t="str">
        <f aca="false">IF(AND(ISNUMBER($G860),$G860&gt;=MA_SHORT),AVERAGE(INDEX($C$460:$C860,402-MA_SHORT):$C860),"")</f>
        <v/>
      </c>
      <c r="J860" s="52" t="str">
        <f aca="false">IF(AND(ISNUMBER($G860),$G860&gt;=MA_MED),AVERAGE(INDEX($C$460:$C860,402-MA_MED):$C860),"")</f>
        <v/>
      </c>
      <c r="K860" s="52" t="str">
        <f aca="false">IF(AND(ISNUMBER($G860),$G860&gt;=MA_LONG2),AVERAGE(INDEX($C$460:$C860,402-MA_LONG2):$C860),"")</f>
        <v/>
      </c>
      <c r="L860" s="53" t="str">
        <f aca="false">IF(AND(ISNUMBER($G860),$G860&gt;=21),STDEV(INDEX($H$800:$H860,62-20):$H860)*SQRT(245),"")</f>
        <v/>
      </c>
      <c r="M860" s="52" t="str">
        <f aca="false">IF(AND(ISNUMBER($G860),$G860&gt;=60),MAX(INDEX($D$660:$D860,202-60):$D860),"")</f>
        <v/>
      </c>
      <c r="N860" s="52" t="str">
        <f aca="false">IF(AND(ISNUMBER($G860),$G860&gt;=60),MIN(INDEX($E$660:$E860,202-60):$E860),"")</f>
        <v/>
      </c>
      <c r="O860" s="53" t="str">
        <f aca="false">IF(OR(NOT(ISNUMBER($C860)),NOT(ISNUMBER($M860)),$M860=0),"",$C860/$M860-1)</f>
        <v/>
      </c>
      <c r="P860" s="54"/>
      <c r="Q860" s="53" t="str">
        <f aca="false">IF(NOT(ISNUMBER($P860)),"",IFERROR(PERCENTRANK($P$5:$P$1204,$P860),""))</f>
        <v/>
      </c>
    </row>
    <row r="861" customFormat="false" ht="15" hidden="false" customHeight="false" outlineLevel="0" collapsed="false">
      <c r="A861" s="55"/>
      <c r="B861" s="56"/>
      <c r="C861" s="57"/>
      <c r="D861" s="56"/>
      <c r="E861" s="56"/>
      <c r="F861" s="56"/>
      <c r="G861" s="50" t="str">
        <f aca="false">IF($A861="","",IF(ISNUMBER($G860),$G860+1,1))</f>
        <v/>
      </c>
      <c r="H861" s="51" t="str">
        <f aca="false">IF(OR(NOT(ISNUMBER($G861)),$G861&lt;2,NOT(ISNUMBER($C860)),$C860=0),"",$C861/$C860-1)</f>
        <v/>
      </c>
      <c r="I861" s="52" t="str">
        <f aca="false">IF(AND(ISNUMBER($G861),$G861&gt;=MA_SHORT),AVERAGE(INDEX($C$461:$C861,402-MA_SHORT):$C861),"")</f>
        <v/>
      </c>
      <c r="J861" s="52" t="str">
        <f aca="false">IF(AND(ISNUMBER($G861),$G861&gt;=MA_MED),AVERAGE(INDEX($C$461:$C861,402-MA_MED):$C861),"")</f>
        <v/>
      </c>
      <c r="K861" s="52" t="str">
        <f aca="false">IF(AND(ISNUMBER($G861),$G861&gt;=MA_LONG2),AVERAGE(INDEX($C$461:$C861,402-MA_LONG2):$C861),"")</f>
        <v/>
      </c>
      <c r="L861" s="53" t="str">
        <f aca="false">IF(AND(ISNUMBER($G861),$G861&gt;=21),STDEV(INDEX($H$801:$H861,62-20):$H861)*SQRT(245),"")</f>
        <v/>
      </c>
      <c r="M861" s="52" t="str">
        <f aca="false">IF(AND(ISNUMBER($G861),$G861&gt;=60),MAX(INDEX($D$661:$D861,202-60):$D861),"")</f>
        <v/>
      </c>
      <c r="N861" s="52" t="str">
        <f aca="false">IF(AND(ISNUMBER($G861),$G861&gt;=60),MIN(INDEX($E$661:$E861,202-60):$E861),"")</f>
        <v/>
      </c>
      <c r="O861" s="53" t="str">
        <f aca="false">IF(OR(NOT(ISNUMBER($C861)),NOT(ISNUMBER($M861)),$M861=0),"",$C861/$M861-1)</f>
        <v/>
      </c>
      <c r="P861" s="54"/>
      <c r="Q861" s="53" t="str">
        <f aca="false">IF(NOT(ISNUMBER($P861)),"",IFERROR(PERCENTRANK($P$5:$P$1204,$P861),""))</f>
        <v/>
      </c>
    </row>
    <row r="862" customFormat="false" ht="15" hidden="false" customHeight="false" outlineLevel="0" collapsed="false">
      <c r="A862" s="55"/>
      <c r="B862" s="56"/>
      <c r="C862" s="57"/>
      <c r="D862" s="56"/>
      <c r="E862" s="56"/>
      <c r="F862" s="56"/>
      <c r="G862" s="50" t="str">
        <f aca="false">IF($A862="","",IF(ISNUMBER($G861),$G861+1,1))</f>
        <v/>
      </c>
      <c r="H862" s="51" t="str">
        <f aca="false">IF(OR(NOT(ISNUMBER($G862)),$G862&lt;2,NOT(ISNUMBER($C861)),$C861=0),"",$C862/$C861-1)</f>
        <v/>
      </c>
      <c r="I862" s="52" t="str">
        <f aca="false">IF(AND(ISNUMBER($G862),$G862&gt;=MA_SHORT),AVERAGE(INDEX($C$462:$C862,402-MA_SHORT):$C862),"")</f>
        <v/>
      </c>
      <c r="J862" s="52" t="str">
        <f aca="false">IF(AND(ISNUMBER($G862),$G862&gt;=MA_MED),AVERAGE(INDEX($C$462:$C862,402-MA_MED):$C862),"")</f>
        <v/>
      </c>
      <c r="K862" s="52" t="str">
        <f aca="false">IF(AND(ISNUMBER($G862),$G862&gt;=MA_LONG2),AVERAGE(INDEX($C$462:$C862,402-MA_LONG2):$C862),"")</f>
        <v/>
      </c>
      <c r="L862" s="53" t="str">
        <f aca="false">IF(AND(ISNUMBER($G862),$G862&gt;=21),STDEV(INDEX($H$802:$H862,62-20):$H862)*SQRT(245),"")</f>
        <v/>
      </c>
      <c r="M862" s="52" t="str">
        <f aca="false">IF(AND(ISNUMBER($G862),$G862&gt;=60),MAX(INDEX($D$662:$D862,202-60):$D862),"")</f>
        <v/>
      </c>
      <c r="N862" s="52" t="str">
        <f aca="false">IF(AND(ISNUMBER($G862),$G862&gt;=60),MIN(INDEX($E$662:$E862,202-60):$E862),"")</f>
        <v/>
      </c>
      <c r="O862" s="53" t="str">
        <f aca="false">IF(OR(NOT(ISNUMBER($C862)),NOT(ISNUMBER($M862)),$M862=0),"",$C862/$M862-1)</f>
        <v/>
      </c>
      <c r="P862" s="54"/>
      <c r="Q862" s="53" t="str">
        <f aca="false">IF(NOT(ISNUMBER($P862)),"",IFERROR(PERCENTRANK($P$5:$P$1204,$P862),""))</f>
        <v/>
      </c>
    </row>
    <row r="863" customFormat="false" ht="15" hidden="false" customHeight="false" outlineLevel="0" collapsed="false">
      <c r="A863" s="55"/>
      <c r="B863" s="56"/>
      <c r="C863" s="57"/>
      <c r="D863" s="56"/>
      <c r="E863" s="56"/>
      <c r="F863" s="56"/>
      <c r="G863" s="50" t="str">
        <f aca="false">IF($A863="","",IF(ISNUMBER($G862),$G862+1,1))</f>
        <v/>
      </c>
      <c r="H863" s="51" t="str">
        <f aca="false">IF(OR(NOT(ISNUMBER($G863)),$G863&lt;2,NOT(ISNUMBER($C862)),$C862=0),"",$C863/$C862-1)</f>
        <v/>
      </c>
      <c r="I863" s="52" t="str">
        <f aca="false">IF(AND(ISNUMBER($G863),$G863&gt;=MA_SHORT),AVERAGE(INDEX($C$463:$C863,402-MA_SHORT):$C863),"")</f>
        <v/>
      </c>
      <c r="J863" s="52" t="str">
        <f aca="false">IF(AND(ISNUMBER($G863),$G863&gt;=MA_MED),AVERAGE(INDEX($C$463:$C863,402-MA_MED):$C863),"")</f>
        <v/>
      </c>
      <c r="K863" s="52" t="str">
        <f aca="false">IF(AND(ISNUMBER($G863),$G863&gt;=MA_LONG2),AVERAGE(INDEX($C$463:$C863,402-MA_LONG2):$C863),"")</f>
        <v/>
      </c>
      <c r="L863" s="53" t="str">
        <f aca="false">IF(AND(ISNUMBER($G863),$G863&gt;=21),STDEV(INDEX($H$803:$H863,62-20):$H863)*SQRT(245),"")</f>
        <v/>
      </c>
      <c r="M863" s="52" t="str">
        <f aca="false">IF(AND(ISNUMBER($G863),$G863&gt;=60),MAX(INDEX($D$663:$D863,202-60):$D863),"")</f>
        <v/>
      </c>
      <c r="N863" s="52" t="str">
        <f aca="false">IF(AND(ISNUMBER($G863),$G863&gt;=60),MIN(INDEX($E$663:$E863,202-60):$E863),"")</f>
        <v/>
      </c>
      <c r="O863" s="53" t="str">
        <f aca="false">IF(OR(NOT(ISNUMBER($C863)),NOT(ISNUMBER($M863)),$M863=0),"",$C863/$M863-1)</f>
        <v/>
      </c>
      <c r="P863" s="54"/>
      <c r="Q863" s="53" t="str">
        <f aca="false">IF(NOT(ISNUMBER($P863)),"",IFERROR(PERCENTRANK($P$5:$P$1204,$P863),""))</f>
        <v/>
      </c>
    </row>
    <row r="864" customFormat="false" ht="15" hidden="false" customHeight="false" outlineLevel="0" collapsed="false">
      <c r="A864" s="55"/>
      <c r="B864" s="56"/>
      <c r="C864" s="57"/>
      <c r="D864" s="56"/>
      <c r="E864" s="56"/>
      <c r="F864" s="56"/>
      <c r="G864" s="50" t="str">
        <f aca="false">IF($A864="","",IF(ISNUMBER($G863),$G863+1,1))</f>
        <v/>
      </c>
      <c r="H864" s="51" t="str">
        <f aca="false">IF(OR(NOT(ISNUMBER($G864)),$G864&lt;2,NOT(ISNUMBER($C863)),$C863=0),"",$C864/$C863-1)</f>
        <v/>
      </c>
      <c r="I864" s="52" t="str">
        <f aca="false">IF(AND(ISNUMBER($G864),$G864&gt;=MA_SHORT),AVERAGE(INDEX($C$464:$C864,402-MA_SHORT):$C864),"")</f>
        <v/>
      </c>
      <c r="J864" s="52" t="str">
        <f aca="false">IF(AND(ISNUMBER($G864),$G864&gt;=MA_MED),AVERAGE(INDEX($C$464:$C864,402-MA_MED):$C864),"")</f>
        <v/>
      </c>
      <c r="K864" s="52" t="str">
        <f aca="false">IF(AND(ISNUMBER($G864),$G864&gt;=MA_LONG2),AVERAGE(INDEX($C$464:$C864,402-MA_LONG2):$C864),"")</f>
        <v/>
      </c>
      <c r="L864" s="53" t="str">
        <f aca="false">IF(AND(ISNUMBER($G864),$G864&gt;=21),STDEV(INDEX($H$804:$H864,62-20):$H864)*SQRT(245),"")</f>
        <v/>
      </c>
      <c r="M864" s="52" t="str">
        <f aca="false">IF(AND(ISNUMBER($G864),$G864&gt;=60),MAX(INDEX($D$664:$D864,202-60):$D864),"")</f>
        <v/>
      </c>
      <c r="N864" s="52" t="str">
        <f aca="false">IF(AND(ISNUMBER($G864),$G864&gt;=60),MIN(INDEX($E$664:$E864,202-60):$E864),"")</f>
        <v/>
      </c>
      <c r="O864" s="53" t="str">
        <f aca="false">IF(OR(NOT(ISNUMBER($C864)),NOT(ISNUMBER($M864)),$M864=0),"",$C864/$M864-1)</f>
        <v/>
      </c>
      <c r="P864" s="54"/>
      <c r="Q864" s="53" t="str">
        <f aca="false">IF(NOT(ISNUMBER($P864)),"",IFERROR(PERCENTRANK($P$5:$P$1204,$P864),""))</f>
        <v/>
      </c>
    </row>
    <row r="865" customFormat="false" ht="15" hidden="false" customHeight="false" outlineLevel="0" collapsed="false">
      <c r="A865" s="55"/>
      <c r="B865" s="56"/>
      <c r="C865" s="57"/>
      <c r="D865" s="56"/>
      <c r="E865" s="56"/>
      <c r="F865" s="56"/>
      <c r="G865" s="50" t="str">
        <f aca="false">IF($A865="","",IF(ISNUMBER($G864),$G864+1,1))</f>
        <v/>
      </c>
      <c r="H865" s="51" t="str">
        <f aca="false">IF(OR(NOT(ISNUMBER($G865)),$G865&lt;2,NOT(ISNUMBER($C864)),$C864=0),"",$C865/$C864-1)</f>
        <v/>
      </c>
      <c r="I865" s="52" t="str">
        <f aca="false">IF(AND(ISNUMBER($G865),$G865&gt;=MA_SHORT),AVERAGE(INDEX($C$465:$C865,402-MA_SHORT):$C865),"")</f>
        <v/>
      </c>
      <c r="J865" s="52" t="str">
        <f aca="false">IF(AND(ISNUMBER($G865),$G865&gt;=MA_MED),AVERAGE(INDEX($C$465:$C865,402-MA_MED):$C865),"")</f>
        <v/>
      </c>
      <c r="K865" s="52" t="str">
        <f aca="false">IF(AND(ISNUMBER($G865),$G865&gt;=MA_LONG2),AVERAGE(INDEX($C$465:$C865,402-MA_LONG2):$C865),"")</f>
        <v/>
      </c>
      <c r="L865" s="53" t="str">
        <f aca="false">IF(AND(ISNUMBER($G865),$G865&gt;=21),STDEV(INDEX($H$805:$H865,62-20):$H865)*SQRT(245),"")</f>
        <v/>
      </c>
      <c r="M865" s="52" t="str">
        <f aca="false">IF(AND(ISNUMBER($G865),$G865&gt;=60),MAX(INDEX($D$665:$D865,202-60):$D865),"")</f>
        <v/>
      </c>
      <c r="N865" s="52" t="str">
        <f aca="false">IF(AND(ISNUMBER($G865),$G865&gt;=60),MIN(INDEX($E$665:$E865,202-60):$E865),"")</f>
        <v/>
      </c>
      <c r="O865" s="53" t="str">
        <f aca="false">IF(OR(NOT(ISNUMBER($C865)),NOT(ISNUMBER($M865)),$M865=0),"",$C865/$M865-1)</f>
        <v/>
      </c>
      <c r="P865" s="54"/>
      <c r="Q865" s="53" t="str">
        <f aca="false">IF(NOT(ISNUMBER($P865)),"",IFERROR(PERCENTRANK($P$5:$P$1204,$P865),""))</f>
        <v/>
      </c>
    </row>
    <row r="866" customFormat="false" ht="15" hidden="false" customHeight="false" outlineLevel="0" collapsed="false">
      <c r="A866" s="55"/>
      <c r="B866" s="56"/>
      <c r="C866" s="57"/>
      <c r="D866" s="56"/>
      <c r="E866" s="56"/>
      <c r="F866" s="56"/>
      <c r="G866" s="50" t="str">
        <f aca="false">IF($A866="","",IF(ISNUMBER($G865),$G865+1,1))</f>
        <v/>
      </c>
      <c r="H866" s="51" t="str">
        <f aca="false">IF(OR(NOT(ISNUMBER($G866)),$G866&lt;2,NOT(ISNUMBER($C865)),$C865=0),"",$C866/$C865-1)</f>
        <v/>
      </c>
      <c r="I866" s="52" t="str">
        <f aca="false">IF(AND(ISNUMBER($G866),$G866&gt;=MA_SHORT),AVERAGE(INDEX($C$466:$C866,402-MA_SHORT):$C866),"")</f>
        <v/>
      </c>
      <c r="J866" s="52" t="str">
        <f aca="false">IF(AND(ISNUMBER($G866),$G866&gt;=MA_MED),AVERAGE(INDEX($C$466:$C866,402-MA_MED):$C866),"")</f>
        <v/>
      </c>
      <c r="K866" s="52" t="str">
        <f aca="false">IF(AND(ISNUMBER($G866),$G866&gt;=MA_LONG2),AVERAGE(INDEX($C$466:$C866,402-MA_LONG2):$C866),"")</f>
        <v/>
      </c>
      <c r="L866" s="53" t="str">
        <f aca="false">IF(AND(ISNUMBER($G866),$G866&gt;=21),STDEV(INDEX($H$806:$H866,62-20):$H866)*SQRT(245),"")</f>
        <v/>
      </c>
      <c r="M866" s="52" t="str">
        <f aca="false">IF(AND(ISNUMBER($G866),$G866&gt;=60),MAX(INDEX($D$666:$D866,202-60):$D866),"")</f>
        <v/>
      </c>
      <c r="N866" s="52" t="str">
        <f aca="false">IF(AND(ISNUMBER($G866),$G866&gt;=60),MIN(INDEX($E$666:$E866,202-60):$E866),"")</f>
        <v/>
      </c>
      <c r="O866" s="53" t="str">
        <f aca="false">IF(OR(NOT(ISNUMBER($C866)),NOT(ISNUMBER($M866)),$M866=0),"",$C866/$M866-1)</f>
        <v/>
      </c>
      <c r="P866" s="54"/>
      <c r="Q866" s="53" t="str">
        <f aca="false">IF(NOT(ISNUMBER($P866)),"",IFERROR(PERCENTRANK($P$5:$P$1204,$P866),""))</f>
        <v/>
      </c>
    </row>
    <row r="867" customFormat="false" ht="15" hidden="false" customHeight="false" outlineLevel="0" collapsed="false">
      <c r="A867" s="55"/>
      <c r="B867" s="56"/>
      <c r="C867" s="57"/>
      <c r="D867" s="56"/>
      <c r="E867" s="56"/>
      <c r="F867" s="56"/>
      <c r="G867" s="50" t="str">
        <f aca="false">IF($A867="","",IF(ISNUMBER($G866),$G866+1,1))</f>
        <v/>
      </c>
      <c r="H867" s="51" t="str">
        <f aca="false">IF(OR(NOT(ISNUMBER($G867)),$G867&lt;2,NOT(ISNUMBER($C866)),$C866=0),"",$C867/$C866-1)</f>
        <v/>
      </c>
      <c r="I867" s="52" t="str">
        <f aca="false">IF(AND(ISNUMBER($G867),$G867&gt;=MA_SHORT),AVERAGE(INDEX($C$467:$C867,402-MA_SHORT):$C867),"")</f>
        <v/>
      </c>
      <c r="J867" s="52" t="str">
        <f aca="false">IF(AND(ISNUMBER($G867),$G867&gt;=MA_MED),AVERAGE(INDEX($C$467:$C867,402-MA_MED):$C867),"")</f>
        <v/>
      </c>
      <c r="K867" s="52" t="str">
        <f aca="false">IF(AND(ISNUMBER($G867),$G867&gt;=MA_LONG2),AVERAGE(INDEX($C$467:$C867,402-MA_LONG2):$C867),"")</f>
        <v/>
      </c>
      <c r="L867" s="53" t="str">
        <f aca="false">IF(AND(ISNUMBER($G867),$G867&gt;=21),STDEV(INDEX($H$807:$H867,62-20):$H867)*SQRT(245),"")</f>
        <v/>
      </c>
      <c r="M867" s="52" t="str">
        <f aca="false">IF(AND(ISNUMBER($G867),$G867&gt;=60),MAX(INDEX($D$667:$D867,202-60):$D867),"")</f>
        <v/>
      </c>
      <c r="N867" s="52" t="str">
        <f aca="false">IF(AND(ISNUMBER($G867),$G867&gt;=60),MIN(INDEX($E$667:$E867,202-60):$E867),"")</f>
        <v/>
      </c>
      <c r="O867" s="53" t="str">
        <f aca="false">IF(OR(NOT(ISNUMBER($C867)),NOT(ISNUMBER($M867)),$M867=0),"",$C867/$M867-1)</f>
        <v/>
      </c>
      <c r="P867" s="54"/>
      <c r="Q867" s="53" t="str">
        <f aca="false">IF(NOT(ISNUMBER($P867)),"",IFERROR(PERCENTRANK($P$5:$P$1204,$P867),""))</f>
        <v/>
      </c>
    </row>
    <row r="868" customFormat="false" ht="15" hidden="false" customHeight="false" outlineLevel="0" collapsed="false">
      <c r="A868" s="55"/>
      <c r="B868" s="56"/>
      <c r="C868" s="57"/>
      <c r="D868" s="56"/>
      <c r="E868" s="56"/>
      <c r="F868" s="56"/>
      <c r="G868" s="50" t="str">
        <f aca="false">IF($A868="","",IF(ISNUMBER($G867),$G867+1,1))</f>
        <v/>
      </c>
      <c r="H868" s="51" t="str">
        <f aca="false">IF(OR(NOT(ISNUMBER($G868)),$G868&lt;2,NOT(ISNUMBER($C867)),$C867=0),"",$C868/$C867-1)</f>
        <v/>
      </c>
      <c r="I868" s="52" t="str">
        <f aca="false">IF(AND(ISNUMBER($G868),$G868&gt;=MA_SHORT),AVERAGE(INDEX($C$468:$C868,402-MA_SHORT):$C868),"")</f>
        <v/>
      </c>
      <c r="J868" s="52" t="str">
        <f aca="false">IF(AND(ISNUMBER($G868),$G868&gt;=MA_MED),AVERAGE(INDEX($C$468:$C868,402-MA_MED):$C868),"")</f>
        <v/>
      </c>
      <c r="K868" s="52" t="str">
        <f aca="false">IF(AND(ISNUMBER($G868),$G868&gt;=MA_LONG2),AVERAGE(INDEX($C$468:$C868,402-MA_LONG2):$C868),"")</f>
        <v/>
      </c>
      <c r="L868" s="53" t="str">
        <f aca="false">IF(AND(ISNUMBER($G868),$G868&gt;=21),STDEV(INDEX($H$808:$H868,62-20):$H868)*SQRT(245),"")</f>
        <v/>
      </c>
      <c r="M868" s="52" t="str">
        <f aca="false">IF(AND(ISNUMBER($G868),$G868&gt;=60),MAX(INDEX($D$668:$D868,202-60):$D868),"")</f>
        <v/>
      </c>
      <c r="N868" s="52" t="str">
        <f aca="false">IF(AND(ISNUMBER($G868),$G868&gt;=60),MIN(INDEX($E$668:$E868,202-60):$E868),"")</f>
        <v/>
      </c>
      <c r="O868" s="53" t="str">
        <f aca="false">IF(OR(NOT(ISNUMBER($C868)),NOT(ISNUMBER($M868)),$M868=0),"",$C868/$M868-1)</f>
        <v/>
      </c>
      <c r="P868" s="54"/>
      <c r="Q868" s="53" t="str">
        <f aca="false">IF(NOT(ISNUMBER($P868)),"",IFERROR(PERCENTRANK($P$5:$P$1204,$P868),""))</f>
        <v/>
      </c>
    </row>
    <row r="869" customFormat="false" ht="15" hidden="false" customHeight="false" outlineLevel="0" collapsed="false">
      <c r="A869" s="55"/>
      <c r="B869" s="56"/>
      <c r="C869" s="57"/>
      <c r="D869" s="56"/>
      <c r="E869" s="56"/>
      <c r="F869" s="56"/>
      <c r="G869" s="50" t="str">
        <f aca="false">IF($A869="","",IF(ISNUMBER($G868),$G868+1,1))</f>
        <v/>
      </c>
      <c r="H869" s="51" t="str">
        <f aca="false">IF(OR(NOT(ISNUMBER($G869)),$G869&lt;2,NOT(ISNUMBER($C868)),$C868=0),"",$C869/$C868-1)</f>
        <v/>
      </c>
      <c r="I869" s="52" t="str">
        <f aca="false">IF(AND(ISNUMBER($G869),$G869&gt;=MA_SHORT),AVERAGE(INDEX($C$469:$C869,402-MA_SHORT):$C869),"")</f>
        <v/>
      </c>
      <c r="J869" s="52" t="str">
        <f aca="false">IF(AND(ISNUMBER($G869),$G869&gt;=MA_MED),AVERAGE(INDEX($C$469:$C869,402-MA_MED):$C869),"")</f>
        <v/>
      </c>
      <c r="K869" s="52" t="str">
        <f aca="false">IF(AND(ISNUMBER($G869),$G869&gt;=MA_LONG2),AVERAGE(INDEX($C$469:$C869,402-MA_LONG2):$C869),"")</f>
        <v/>
      </c>
      <c r="L869" s="53" t="str">
        <f aca="false">IF(AND(ISNUMBER($G869),$G869&gt;=21),STDEV(INDEX($H$809:$H869,62-20):$H869)*SQRT(245),"")</f>
        <v/>
      </c>
      <c r="M869" s="52" t="str">
        <f aca="false">IF(AND(ISNUMBER($G869),$G869&gt;=60),MAX(INDEX($D$669:$D869,202-60):$D869),"")</f>
        <v/>
      </c>
      <c r="N869" s="52" t="str">
        <f aca="false">IF(AND(ISNUMBER($G869),$G869&gt;=60),MIN(INDEX($E$669:$E869,202-60):$E869),"")</f>
        <v/>
      </c>
      <c r="O869" s="53" t="str">
        <f aca="false">IF(OR(NOT(ISNUMBER($C869)),NOT(ISNUMBER($M869)),$M869=0),"",$C869/$M869-1)</f>
        <v/>
      </c>
      <c r="P869" s="54"/>
      <c r="Q869" s="53" t="str">
        <f aca="false">IF(NOT(ISNUMBER($P869)),"",IFERROR(PERCENTRANK($P$5:$P$1204,$P869),""))</f>
        <v/>
      </c>
    </row>
    <row r="870" customFormat="false" ht="15" hidden="false" customHeight="false" outlineLevel="0" collapsed="false">
      <c r="A870" s="55"/>
      <c r="B870" s="56"/>
      <c r="C870" s="57"/>
      <c r="D870" s="56"/>
      <c r="E870" s="56"/>
      <c r="F870" s="56"/>
      <c r="G870" s="50" t="str">
        <f aca="false">IF($A870="","",IF(ISNUMBER($G869),$G869+1,1))</f>
        <v/>
      </c>
      <c r="H870" s="51" t="str">
        <f aca="false">IF(OR(NOT(ISNUMBER($G870)),$G870&lt;2,NOT(ISNUMBER($C869)),$C869=0),"",$C870/$C869-1)</f>
        <v/>
      </c>
      <c r="I870" s="52" t="str">
        <f aca="false">IF(AND(ISNUMBER($G870),$G870&gt;=MA_SHORT),AVERAGE(INDEX($C$470:$C870,402-MA_SHORT):$C870),"")</f>
        <v/>
      </c>
      <c r="J870" s="52" t="str">
        <f aca="false">IF(AND(ISNUMBER($G870),$G870&gt;=MA_MED),AVERAGE(INDEX($C$470:$C870,402-MA_MED):$C870),"")</f>
        <v/>
      </c>
      <c r="K870" s="52" t="str">
        <f aca="false">IF(AND(ISNUMBER($G870),$G870&gt;=MA_LONG2),AVERAGE(INDEX($C$470:$C870,402-MA_LONG2):$C870),"")</f>
        <v/>
      </c>
      <c r="L870" s="53" t="str">
        <f aca="false">IF(AND(ISNUMBER($G870),$G870&gt;=21),STDEV(INDEX($H$810:$H870,62-20):$H870)*SQRT(245),"")</f>
        <v/>
      </c>
      <c r="M870" s="52" t="str">
        <f aca="false">IF(AND(ISNUMBER($G870),$G870&gt;=60),MAX(INDEX($D$670:$D870,202-60):$D870),"")</f>
        <v/>
      </c>
      <c r="N870" s="52" t="str">
        <f aca="false">IF(AND(ISNUMBER($G870),$G870&gt;=60),MIN(INDEX($E$670:$E870,202-60):$E870),"")</f>
        <v/>
      </c>
      <c r="O870" s="53" t="str">
        <f aca="false">IF(OR(NOT(ISNUMBER($C870)),NOT(ISNUMBER($M870)),$M870=0),"",$C870/$M870-1)</f>
        <v/>
      </c>
      <c r="P870" s="54"/>
      <c r="Q870" s="53" t="str">
        <f aca="false">IF(NOT(ISNUMBER($P870)),"",IFERROR(PERCENTRANK($P$5:$P$1204,$P870),""))</f>
        <v/>
      </c>
    </row>
    <row r="871" customFormat="false" ht="15" hidden="false" customHeight="false" outlineLevel="0" collapsed="false">
      <c r="A871" s="55"/>
      <c r="B871" s="56"/>
      <c r="C871" s="57"/>
      <c r="D871" s="56"/>
      <c r="E871" s="56"/>
      <c r="F871" s="56"/>
      <c r="G871" s="50" t="str">
        <f aca="false">IF($A871="","",IF(ISNUMBER($G870),$G870+1,1))</f>
        <v/>
      </c>
      <c r="H871" s="51" t="str">
        <f aca="false">IF(OR(NOT(ISNUMBER($G871)),$G871&lt;2,NOT(ISNUMBER($C870)),$C870=0),"",$C871/$C870-1)</f>
        <v/>
      </c>
      <c r="I871" s="52" t="str">
        <f aca="false">IF(AND(ISNUMBER($G871),$G871&gt;=MA_SHORT),AVERAGE(INDEX($C$471:$C871,402-MA_SHORT):$C871),"")</f>
        <v/>
      </c>
      <c r="J871" s="52" t="str">
        <f aca="false">IF(AND(ISNUMBER($G871),$G871&gt;=MA_MED),AVERAGE(INDEX($C$471:$C871,402-MA_MED):$C871),"")</f>
        <v/>
      </c>
      <c r="K871" s="52" t="str">
        <f aca="false">IF(AND(ISNUMBER($G871),$G871&gt;=MA_LONG2),AVERAGE(INDEX($C$471:$C871,402-MA_LONG2):$C871),"")</f>
        <v/>
      </c>
      <c r="L871" s="53" t="str">
        <f aca="false">IF(AND(ISNUMBER($G871),$G871&gt;=21),STDEV(INDEX($H$811:$H871,62-20):$H871)*SQRT(245),"")</f>
        <v/>
      </c>
      <c r="M871" s="52" t="str">
        <f aca="false">IF(AND(ISNUMBER($G871),$G871&gt;=60),MAX(INDEX($D$671:$D871,202-60):$D871),"")</f>
        <v/>
      </c>
      <c r="N871" s="52" t="str">
        <f aca="false">IF(AND(ISNUMBER($G871),$G871&gt;=60),MIN(INDEX($E$671:$E871,202-60):$E871),"")</f>
        <v/>
      </c>
      <c r="O871" s="53" t="str">
        <f aca="false">IF(OR(NOT(ISNUMBER($C871)),NOT(ISNUMBER($M871)),$M871=0),"",$C871/$M871-1)</f>
        <v/>
      </c>
      <c r="P871" s="54"/>
      <c r="Q871" s="53" t="str">
        <f aca="false">IF(NOT(ISNUMBER($P871)),"",IFERROR(PERCENTRANK($P$5:$P$1204,$P871),""))</f>
        <v/>
      </c>
    </row>
    <row r="872" customFormat="false" ht="15" hidden="false" customHeight="false" outlineLevel="0" collapsed="false">
      <c r="A872" s="55"/>
      <c r="B872" s="56"/>
      <c r="C872" s="57"/>
      <c r="D872" s="56"/>
      <c r="E872" s="56"/>
      <c r="F872" s="56"/>
      <c r="G872" s="50" t="str">
        <f aca="false">IF($A872="","",IF(ISNUMBER($G871),$G871+1,1))</f>
        <v/>
      </c>
      <c r="H872" s="51" t="str">
        <f aca="false">IF(OR(NOT(ISNUMBER($G872)),$G872&lt;2,NOT(ISNUMBER($C871)),$C871=0),"",$C872/$C871-1)</f>
        <v/>
      </c>
      <c r="I872" s="52" t="str">
        <f aca="false">IF(AND(ISNUMBER($G872),$G872&gt;=MA_SHORT),AVERAGE(INDEX($C$472:$C872,402-MA_SHORT):$C872),"")</f>
        <v/>
      </c>
      <c r="J872" s="52" t="str">
        <f aca="false">IF(AND(ISNUMBER($G872),$G872&gt;=MA_MED),AVERAGE(INDEX($C$472:$C872,402-MA_MED):$C872),"")</f>
        <v/>
      </c>
      <c r="K872" s="52" t="str">
        <f aca="false">IF(AND(ISNUMBER($G872),$G872&gt;=MA_LONG2),AVERAGE(INDEX($C$472:$C872,402-MA_LONG2):$C872),"")</f>
        <v/>
      </c>
      <c r="L872" s="53" t="str">
        <f aca="false">IF(AND(ISNUMBER($G872),$G872&gt;=21),STDEV(INDEX($H$812:$H872,62-20):$H872)*SQRT(245),"")</f>
        <v/>
      </c>
      <c r="M872" s="52" t="str">
        <f aca="false">IF(AND(ISNUMBER($G872),$G872&gt;=60),MAX(INDEX($D$672:$D872,202-60):$D872),"")</f>
        <v/>
      </c>
      <c r="N872" s="52" t="str">
        <f aca="false">IF(AND(ISNUMBER($G872),$G872&gt;=60),MIN(INDEX($E$672:$E872,202-60):$E872),"")</f>
        <v/>
      </c>
      <c r="O872" s="53" t="str">
        <f aca="false">IF(OR(NOT(ISNUMBER($C872)),NOT(ISNUMBER($M872)),$M872=0),"",$C872/$M872-1)</f>
        <v/>
      </c>
      <c r="P872" s="54"/>
      <c r="Q872" s="53" t="str">
        <f aca="false">IF(NOT(ISNUMBER($P872)),"",IFERROR(PERCENTRANK($P$5:$P$1204,$P872),""))</f>
        <v/>
      </c>
    </row>
    <row r="873" customFormat="false" ht="15" hidden="false" customHeight="false" outlineLevel="0" collapsed="false">
      <c r="A873" s="55"/>
      <c r="B873" s="56"/>
      <c r="C873" s="57"/>
      <c r="D873" s="56"/>
      <c r="E873" s="56"/>
      <c r="F873" s="56"/>
      <c r="G873" s="50" t="str">
        <f aca="false">IF($A873="","",IF(ISNUMBER($G872),$G872+1,1))</f>
        <v/>
      </c>
      <c r="H873" s="51" t="str">
        <f aca="false">IF(OR(NOT(ISNUMBER($G873)),$G873&lt;2,NOT(ISNUMBER($C872)),$C872=0),"",$C873/$C872-1)</f>
        <v/>
      </c>
      <c r="I873" s="52" t="str">
        <f aca="false">IF(AND(ISNUMBER($G873),$G873&gt;=MA_SHORT),AVERAGE(INDEX($C$473:$C873,402-MA_SHORT):$C873),"")</f>
        <v/>
      </c>
      <c r="J873" s="52" t="str">
        <f aca="false">IF(AND(ISNUMBER($G873),$G873&gt;=MA_MED),AVERAGE(INDEX($C$473:$C873,402-MA_MED):$C873),"")</f>
        <v/>
      </c>
      <c r="K873" s="52" t="str">
        <f aca="false">IF(AND(ISNUMBER($G873),$G873&gt;=MA_LONG2),AVERAGE(INDEX($C$473:$C873,402-MA_LONG2):$C873),"")</f>
        <v/>
      </c>
      <c r="L873" s="53" t="str">
        <f aca="false">IF(AND(ISNUMBER($G873),$G873&gt;=21),STDEV(INDEX($H$813:$H873,62-20):$H873)*SQRT(245),"")</f>
        <v/>
      </c>
      <c r="M873" s="52" t="str">
        <f aca="false">IF(AND(ISNUMBER($G873),$G873&gt;=60),MAX(INDEX($D$673:$D873,202-60):$D873),"")</f>
        <v/>
      </c>
      <c r="N873" s="52" t="str">
        <f aca="false">IF(AND(ISNUMBER($G873),$G873&gt;=60),MIN(INDEX($E$673:$E873,202-60):$E873),"")</f>
        <v/>
      </c>
      <c r="O873" s="53" t="str">
        <f aca="false">IF(OR(NOT(ISNUMBER($C873)),NOT(ISNUMBER($M873)),$M873=0),"",$C873/$M873-1)</f>
        <v/>
      </c>
      <c r="P873" s="54"/>
      <c r="Q873" s="53" t="str">
        <f aca="false">IF(NOT(ISNUMBER($P873)),"",IFERROR(PERCENTRANK($P$5:$P$1204,$P873),""))</f>
        <v/>
      </c>
    </row>
    <row r="874" customFormat="false" ht="15" hidden="false" customHeight="false" outlineLevel="0" collapsed="false">
      <c r="A874" s="55"/>
      <c r="B874" s="56"/>
      <c r="C874" s="57"/>
      <c r="D874" s="56"/>
      <c r="E874" s="56"/>
      <c r="F874" s="56"/>
      <c r="G874" s="50" t="str">
        <f aca="false">IF($A874="","",IF(ISNUMBER($G873),$G873+1,1))</f>
        <v/>
      </c>
      <c r="H874" s="51" t="str">
        <f aca="false">IF(OR(NOT(ISNUMBER($G874)),$G874&lt;2,NOT(ISNUMBER($C873)),$C873=0),"",$C874/$C873-1)</f>
        <v/>
      </c>
      <c r="I874" s="52" t="str">
        <f aca="false">IF(AND(ISNUMBER($G874),$G874&gt;=MA_SHORT),AVERAGE(INDEX($C$474:$C874,402-MA_SHORT):$C874),"")</f>
        <v/>
      </c>
      <c r="J874" s="52" t="str">
        <f aca="false">IF(AND(ISNUMBER($G874),$G874&gt;=MA_MED),AVERAGE(INDEX($C$474:$C874,402-MA_MED):$C874),"")</f>
        <v/>
      </c>
      <c r="K874" s="52" t="str">
        <f aca="false">IF(AND(ISNUMBER($G874),$G874&gt;=MA_LONG2),AVERAGE(INDEX($C$474:$C874,402-MA_LONG2):$C874),"")</f>
        <v/>
      </c>
      <c r="L874" s="53" t="str">
        <f aca="false">IF(AND(ISNUMBER($G874),$G874&gt;=21),STDEV(INDEX($H$814:$H874,62-20):$H874)*SQRT(245),"")</f>
        <v/>
      </c>
      <c r="M874" s="52" t="str">
        <f aca="false">IF(AND(ISNUMBER($G874),$G874&gt;=60),MAX(INDEX($D$674:$D874,202-60):$D874),"")</f>
        <v/>
      </c>
      <c r="N874" s="52" t="str">
        <f aca="false">IF(AND(ISNUMBER($G874),$G874&gt;=60),MIN(INDEX($E$674:$E874,202-60):$E874),"")</f>
        <v/>
      </c>
      <c r="O874" s="53" t="str">
        <f aca="false">IF(OR(NOT(ISNUMBER($C874)),NOT(ISNUMBER($M874)),$M874=0),"",$C874/$M874-1)</f>
        <v/>
      </c>
      <c r="P874" s="54"/>
      <c r="Q874" s="53" t="str">
        <f aca="false">IF(NOT(ISNUMBER($P874)),"",IFERROR(PERCENTRANK($P$5:$P$1204,$P874),""))</f>
        <v/>
      </c>
    </row>
    <row r="875" customFormat="false" ht="15" hidden="false" customHeight="false" outlineLevel="0" collapsed="false">
      <c r="A875" s="55"/>
      <c r="B875" s="56"/>
      <c r="C875" s="57"/>
      <c r="D875" s="56"/>
      <c r="E875" s="56"/>
      <c r="F875" s="56"/>
      <c r="G875" s="50" t="str">
        <f aca="false">IF($A875="","",IF(ISNUMBER($G874),$G874+1,1))</f>
        <v/>
      </c>
      <c r="H875" s="51" t="str">
        <f aca="false">IF(OR(NOT(ISNUMBER($G875)),$G875&lt;2,NOT(ISNUMBER($C874)),$C874=0),"",$C875/$C874-1)</f>
        <v/>
      </c>
      <c r="I875" s="52" t="str">
        <f aca="false">IF(AND(ISNUMBER($G875),$G875&gt;=MA_SHORT),AVERAGE(INDEX($C$475:$C875,402-MA_SHORT):$C875),"")</f>
        <v/>
      </c>
      <c r="J875" s="52" t="str">
        <f aca="false">IF(AND(ISNUMBER($G875),$G875&gt;=MA_MED),AVERAGE(INDEX($C$475:$C875,402-MA_MED):$C875),"")</f>
        <v/>
      </c>
      <c r="K875" s="52" t="str">
        <f aca="false">IF(AND(ISNUMBER($G875),$G875&gt;=MA_LONG2),AVERAGE(INDEX($C$475:$C875,402-MA_LONG2):$C875),"")</f>
        <v/>
      </c>
      <c r="L875" s="53" t="str">
        <f aca="false">IF(AND(ISNUMBER($G875),$G875&gt;=21),STDEV(INDEX($H$815:$H875,62-20):$H875)*SQRT(245),"")</f>
        <v/>
      </c>
      <c r="M875" s="52" t="str">
        <f aca="false">IF(AND(ISNUMBER($G875),$G875&gt;=60),MAX(INDEX($D$675:$D875,202-60):$D875),"")</f>
        <v/>
      </c>
      <c r="N875" s="52" t="str">
        <f aca="false">IF(AND(ISNUMBER($G875),$G875&gt;=60),MIN(INDEX($E$675:$E875,202-60):$E875),"")</f>
        <v/>
      </c>
      <c r="O875" s="53" t="str">
        <f aca="false">IF(OR(NOT(ISNUMBER($C875)),NOT(ISNUMBER($M875)),$M875=0),"",$C875/$M875-1)</f>
        <v/>
      </c>
      <c r="P875" s="54"/>
      <c r="Q875" s="53" t="str">
        <f aca="false">IF(NOT(ISNUMBER($P875)),"",IFERROR(PERCENTRANK($P$5:$P$1204,$P875),""))</f>
        <v/>
      </c>
    </row>
    <row r="876" customFormat="false" ht="15" hidden="false" customHeight="false" outlineLevel="0" collapsed="false">
      <c r="A876" s="55"/>
      <c r="B876" s="56"/>
      <c r="C876" s="57"/>
      <c r="D876" s="56"/>
      <c r="E876" s="56"/>
      <c r="F876" s="56"/>
      <c r="G876" s="50" t="str">
        <f aca="false">IF($A876="","",IF(ISNUMBER($G875),$G875+1,1))</f>
        <v/>
      </c>
      <c r="H876" s="51" t="str">
        <f aca="false">IF(OR(NOT(ISNUMBER($G876)),$G876&lt;2,NOT(ISNUMBER($C875)),$C875=0),"",$C876/$C875-1)</f>
        <v/>
      </c>
      <c r="I876" s="52" t="str">
        <f aca="false">IF(AND(ISNUMBER($G876),$G876&gt;=MA_SHORT),AVERAGE(INDEX($C$476:$C876,402-MA_SHORT):$C876),"")</f>
        <v/>
      </c>
      <c r="J876" s="52" t="str">
        <f aca="false">IF(AND(ISNUMBER($G876),$G876&gt;=MA_MED),AVERAGE(INDEX($C$476:$C876,402-MA_MED):$C876),"")</f>
        <v/>
      </c>
      <c r="K876" s="52" t="str">
        <f aca="false">IF(AND(ISNUMBER($G876),$G876&gt;=MA_LONG2),AVERAGE(INDEX($C$476:$C876,402-MA_LONG2):$C876),"")</f>
        <v/>
      </c>
      <c r="L876" s="53" t="str">
        <f aca="false">IF(AND(ISNUMBER($G876),$G876&gt;=21),STDEV(INDEX($H$816:$H876,62-20):$H876)*SQRT(245),"")</f>
        <v/>
      </c>
      <c r="M876" s="52" t="str">
        <f aca="false">IF(AND(ISNUMBER($G876),$G876&gt;=60),MAX(INDEX($D$676:$D876,202-60):$D876),"")</f>
        <v/>
      </c>
      <c r="N876" s="52" t="str">
        <f aca="false">IF(AND(ISNUMBER($G876),$G876&gt;=60),MIN(INDEX($E$676:$E876,202-60):$E876),"")</f>
        <v/>
      </c>
      <c r="O876" s="53" t="str">
        <f aca="false">IF(OR(NOT(ISNUMBER($C876)),NOT(ISNUMBER($M876)),$M876=0),"",$C876/$M876-1)</f>
        <v/>
      </c>
      <c r="P876" s="54"/>
      <c r="Q876" s="53" t="str">
        <f aca="false">IF(NOT(ISNUMBER($P876)),"",IFERROR(PERCENTRANK($P$5:$P$1204,$P876),""))</f>
        <v/>
      </c>
    </row>
    <row r="877" customFormat="false" ht="15" hidden="false" customHeight="false" outlineLevel="0" collapsed="false">
      <c r="A877" s="55"/>
      <c r="B877" s="56"/>
      <c r="C877" s="57"/>
      <c r="D877" s="56"/>
      <c r="E877" s="56"/>
      <c r="F877" s="56"/>
      <c r="G877" s="50" t="str">
        <f aca="false">IF($A877="","",IF(ISNUMBER($G876),$G876+1,1))</f>
        <v/>
      </c>
      <c r="H877" s="51" t="str">
        <f aca="false">IF(OR(NOT(ISNUMBER($G877)),$G877&lt;2,NOT(ISNUMBER($C876)),$C876=0),"",$C877/$C876-1)</f>
        <v/>
      </c>
      <c r="I877" s="52" t="str">
        <f aca="false">IF(AND(ISNUMBER($G877),$G877&gt;=MA_SHORT),AVERAGE(INDEX($C$477:$C877,402-MA_SHORT):$C877),"")</f>
        <v/>
      </c>
      <c r="J877" s="52" t="str">
        <f aca="false">IF(AND(ISNUMBER($G877),$G877&gt;=MA_MED),AVERAGE(INDEX($C$477:$C877,402-MA_MED):$C877),"")</f>
        <v/>
      </c>
      <c r="K877" s="52" t="str">
        <f aca="false">IF(AND(ISNUMBER($G877),$G877&gt;=MA_LONG2),AVERAGE(INDEX($C$477:$C877,402-MA_LONG2):$C877),"")</f>
        <v/>
      </c>
      <c r="L877" s="53" t="str">
        <f aca="false">IF(AND(ISNUMBER($G877),$G877&gt;=21),STDEV(INDEX($H$817:$H877,62-20):$H877)*SQRT(245),"")</f>
        <v/>
      </c>
      <c r="M877" s="52" t="str">
        <f aca="false">IF(AND(ISNUMBER($G877),$G877&gt;=60),MAX(INDEX($D$677:$D877,202-60):$D877),"")</f>
        <v/>
      </c>
      <c r="N877" s="52" t="str">
        <f aca="false">IF(AND(ISNUMBER($G877),$G877&gt;=60),MIN(INDEX($E$677:$E877,202-60):$E877),"")</f>
        <v/>
      </c>
      <c r="O877" s="53" t="str">
        <f aca="false">IF(OR(NOT(ISNUMBER($C877)),NOT(ISNUMBER($M877)),$M877=0),"",$C877/$M877-1)</f>
        <v/>
      </c>
      <c r="P877" s="54"/>
      <c r="Q877" s="53" t="str">
        <f aca="false">IF(NOT(ISNUMBER($P877)),"",IFERROR(PERCENTRANK($P$5:$P$1204,$P877),""))</f>
        <v/>
      </c>
    </row>
    <row r="878" customFormat="false" ht="15" hidden="false" customHeight="false" outlineLevel="0" collapsed="false">
      <c r="A878" s="55"/>
      <c r="B878" s="56"/>
      <c r="C878" s="57"/>
      <c r="D878" s="56"/>
      <c r="E878" s="56"/>
      <c r="F878" s="56"/>
      <c r="G878" s="50" t="str">
        <f aca="false">IF($A878="","",IF(ISNUMBER($G877),$G877+1,1))</f>
        <v/>
      </c>
      <c r="H878" s="51" t="str">
        <f aca="false">IF(OR(NOT(ISNUMBER($G878)),$G878&lt;2,NOT(ISNUMBER($C877)),$C877=0),"",$C878/$C877-1)</f>
        <v/>
      </c>
      <c r="I878" s="52" t="str">
        <f aca="false">IF(AND(ISNUMBER($G878),$G878&gt;=MA_SHORT),AVERAGE(INDEX($C$478:$C878,402-MA_SHORT):$C878),"")</f>
        <v/>
      </c>
      <c r="J878" s="52" t="str">
        <f aca="false">IF(AND(ISNUMBER($G878),$G878&gt;=MA_MED),AVERAGE(INDEX($C$478:$C878,402-MA_MED):$C878),"")</f>
        <v/>
      </c>
      <c r="K878" s="52" t="str">
        <f aca="false">IF(AND(ISNUMBER($G878),$G878&gt;=MA_LONG2),AVERAGE(INDEX($C$478:$C878,402-MA_LONG2):$C878),"")</f>
        <v/>
      </c>
      <c r="L878" s="53" t="str">
        <f aca="false">IF(AND(ISNUMBER($G878),$G878&gt;=21),STDEV(INDEX($H$818:$H878,62-20):$H878)*SQRT(245),"")</f>
        <v/>
      </c>
      <c r="M878" s="52" t="str">
        <f aca="false">IF(AND(ISNUMBER($G878),$G878&gt;=60),MAX(INDEX($D$678:$D878,202-60):$D878),"")</f>
        <v/>
      </c>
      <c r="N878" s="52" t="str">
        <f aca="false">IF(AND(ISNUMBER($G878),$G878&gt;=60),MIN(INDEX($E$678:$E878,202-60):$E878),"")</f>
        <v/>
      </c>
      <c r="O878" s="53" t="str">
        <f aca="false">IF(OR(NOT(ISNUMBER($C878)),NOT(ISNUMBER($M878)),$M878=0),"",$C878/$M878-1)</f>
        <v/>
      </c>
      <c r="P878" s="54"/>
      <c r="Q878" s="53" t="str">
        <f aca="false">IF(NOT(ISNUMBER($P878)),"",IFERROR(PERCENTRANK($P$5:$P$1204,$P878),""))</f>
        <v/>
      </c>
    </row>
    <row r="879" customFormat="false" ht="15" hidden="false" customHeight="false" outlineLevel="0" collapsed="false">
      <c r="A879" s="55"/>
      <c r="B879" s="56"/>
      <c r="C879" s="57"/>
      <c r="D879" s="56"/>
      <c r="E879" s="56"/>
      <c r="F879" s="56"/>
      <c r="G879" s="50" t="str">
        <f aca="false">IF($A879="","",IF(ISNUMBER($G878),$G878+1,1))</f>
        <v/>
      </c>
      <c r="H879" s="51" t="str">
        <f aca="false">IF(OR(NOT(ISNUMBER($G879)),$G879&lt;2,NOT(ISNUMBER($C878)),$C878=0),"",$C879/$C878-1)</f>
        <v/>
      </c>
      <c r="I879" s="52" t="str">
        <f aca="false">IF(AND(ISNUMBER($G879),$G879&gt;=MA_SHORT),AVERAGE(INDEX($C$479:$C879,402-MA_SHORT):$C879),"")</f>
        <v/>
      </c>
      <c r="J879" s="52" t="str">
        <f aca="false">IF(AND(ISNUMBER($G879),$G879&gt;=MA_MED),AVERAGE(INDEX($C$479:$C879,402-MA_MED):$C879),"")</f>
        <v/>
      </c>
      <c r="K879" s="52" t="str">
        <f aca="false">IF(AND(ISNUMBER($G879),$G879&gt;=MA_LONG2),AVERAGE(INDEX($C$479:$C879,402-MA_LONG2):$C879),"")</f>
        <v/>
      </c>
      <c r="L879" s="53" t="str">
        <f aca="false">IF(AND(ISNUMBER($G879),$G879&gt;=21),STDEV(INDEX($H$819:$H879,62-20):$H879)*SQRT(245),"")</f>
        <v/>
      </c>
      <c r="M879" s="52" t="str">
        <f aca="false">IF(AND(ISNUMBER($G879),$G879&gt;=60),MAX(INDEX($D$679:$D879,202-60):$D879),"")</f>
        <v/>
      </c>
      <c r="N879" s="52" t="str">
        <f aca="false">IF(AND(ISNUMBER($G879),$G879&gt;=60),MIN(INDEX($E$679:$E879,202-60):$E879),"")</f>
        <v/>
      </c>
      <c r="O879" s="53" t="str">
        <f aca="false">IF(OR(NOT(ISNUMBER($C879)),NOT(ISNUMBER($M879)),$M879=0),"",$C879/$M879-1)</f>
        <v/>
      </c>
      <c r="P879" s="54"/>
      <c r="Q879" s="53" t="str">
        <f aca="false">IF(NOT(ISNUMBER($P879)),"",IFERROR(PERCENTRANK($P$5:$P$1204,$P879),""))</f>
        <v/>
      </c>
    </row>
    <row r="880" customFormat="false" ht="15" hidden="false" customHeight="false" outlineLevel="0" collapsed="false">
      <c r="A880" s="55"/>
      <c r="B880" s="56"/>
      <c r="C880" s="57"/>
      <c r="D880" s="56"/>
      <c r="E880" s="56"/>
      <c r="F880" s="56"/>
      <c r="G880" s="50" t="str">
        <f aca="false">IF($A880="","",IF(ISNUMBER($G879),$G879+1,1))</f>
        <v/>
      </c>
      <c r="H880" s="51" t="str">
        <f aca="false">IF(OR(NOT(ISNUMBER($G880)),$G880&lt;2,NOT(ISNUMBER($C879)),$C879=0),"",$C880/$C879-1)</f>
        <v/>
      </c>
      <c r="I880" s="52" t="str">
        <f aca="false">IF(AND(ISNUMBER($G880),$G880&gt;=MA_SHORT),AVERAGE(INDEX($C$480:$C880,402-MA_SHORT):$C880),"")</f>
        <v/>
      </c>
      <c r="J880" s="52" t="str">
        <f aca="false">IF(AND(ISNUMBER($G880),$G880&gt;=MA_MED),AVERAGE(INDEX($C$480:$C880,402-MA_MED):$C880),"")</f>
        <v/>
      </c>
      <c r="K880" s="52" t="str">
        <f aca="false">IF(AND(ISNUMBER($G880),$G880&gt;=MA_LONG2),AVERAGE(INDEX($C$480:$C880,402-MA_LONG2):$C880),"")</f>
        <v/>
      </c>
      <c r="L880" s="53" t="str">
        <f aca="false">IF(AND(ISNUMBER($G880),$G880&gt;=21),STDEV(INDEX($H$820:$H880,62-20):$H880)*SQRT(245),"")</f>
        <v/>
      </c>
      <c r="M880" s="52" t="str">
        <f aca="false">IF(AND(ISNUMBER($G880),$G880&gt;=60),MAX(INDEX($D$680:$D880,202-60):$D880),"")</f>
        <v/>
      </c>
      <c r="N880" s="52" t="str">
        <f aca="false">IF(AND(ISNUMBER($G880),$G880&gt;=60),MIN(INDEX($E$680:$E880,202-60):$E880),"")</f>
        <v/>
      </c>
      <c r="O880" s="53" t="str">
        <f aca="false">IF(OR(NOT(ISNUMBER($C880)),NOT(ISNUMBER($M880)),$M880=0),"",$C880/$M880-1)</f>
        <v/>
      </c>
      <c r="P880" s="54"/>
      <c r="Q880" s="53" t="str">
        <f aca="false">IF(NOT(ISNUMBER($P880)),"",IFERROR(PERCENTRANK($P$5:$P$1204,$P880),""))</f>
        <v/>
      </c>
    </row>
    <row r="881" customFormat="false" ht="15" hidden="false" customHeight="false" outlineLevel="0" collapsed="false">
      <c r="A881" s="55"/>
      <c r="B881" s="56"/>
      <c r="C881" s="57"/>
      <c r="D881" s="56"/>
      <c r="E881" s="56"/>
      <c r="F881" s="56"/>
      <c r="G881" s="50" t="str">
        <f aca="false">IF($A881="","",IF(ISNUMBER($G880),$G880+1,1))</f>
        <v/>
      </c>
      <c r="H881" s="51" t="str">
        <f aca="false">IF(OR(NOT(ISNUMBER($G881)),$G881&lt;2,NOT(ISNUMBER($C880)),$C880=0),"",$C881/$C880-1)</f>
        <v/>
      </c>
      <c r="I881" s="52" t="str">
        <f aca="false">IF(AND(ISNUMBER($G881),$G881&gt;=MA_SHORT),AVERAGE(INDEX($C$481:$C881,402-MA_SHORT):$C881),"")</f>
        <v/>
      </c>
      <c r="J881" s="52" t="str">
        <f aca="false">IF(AND(ISNUMBER($G881),$G881&gt;=MA_MED),AVERAGE(INDEX($C$481:$C881,402-MA_MED):$C881),"")</f>
        <v/>
      </c>
      <c r="K881" s="52" t="str">
        <f aca="false">IF(AND(ISNUMBER($G881),$G881&gt;=MA_LONG2),AVERAGE(INDEX($C$481:$C881,402-MA_LONG2):$C881),"")</f>
        <v/>
      </c>
      <c r="L881" s="53" t="str">
        <f aca="false">IF(AND(ISNUMBER($G881),$G881&gt;=21),STDEV(INDEX($H$821:$H881,62-20):$H881)*SQRT(245),"")</f>
        <v/>
      </c>
      <c r="M881" s="52" t="str">
        <f aca="false">IF(AND(ISNUMBER($G881),$G881&gt;=60),MAX(INDEX($D$681:$D881,202-60):$D881),"")</f>
        <v/>
      </c>
      <c r="N881" s="52" t="str">
        <f aca="false">IF(AND(ISNUMBER($G881),$G881&gt;=60),MIN(INDEX($E$681:$E881,202-60):$E881),"")</f>
        <v/>
      </c>
      <c r="O881" s="53" t="str">
        <f aca="false">IF(OR(NOT(ISNUMBER($C881)),NOT(ISNUMBER($M881)),$M881=0),"",$C881/$M881-1)</f>
        <v/>
      </c>
      <c r="P881" s="54"/>
      <c r="Q881" s="53" t="str">
        <f aca="false">IF(NOT(ISNUMBER($P881)),"",IFERROR(PERCENTRANK($P$5:$P$1204,$P881),""))</f>
        <v/>
      </c>
    </row>
    <row r="882" customFormat="false" ht="15" hidden="false" customHeight="false" outlineLevel="0" collapsed="false">
      <c r="A882" s="55"/>
      <c r="B882" s="56"/>
      <c r="C882" s="57"/>
      <c r="D882" s="56"/>
      <c r="E882" s="56"/>
      <c r="F882" s="56"/>
      <c r="G882" s="50" t="str">
        <f aca="false">IF($A882="","",IF(ISNUMBER($G881),$G881+1,1))</f>
        <v/>
      </c>
      <c r="H882" s="51" t="str">
        <f aca="false">IF(OR(NOT(ISNUMBER($G882)),$G882&lt;2,NOT(ISNUMBER($C881)),$C881=0),"",$C882/$C881-1)</f>
        <v/>
      </c>
      <c r="I882" s="52" t="str">
        <f aca="false">IF(AND(ISNUMBER($G882),$G882&gt;=MA_SHORT),AVERAGE(INDEX($C$482:$C882,402-MA_SHORT):$C882),"")</f>
        <v/>
      </c>
      <c r="J882" s="52" t="str">
        <f aca="false">IF(AND(ISNUMBER($G882),$G882&gt;=MA_MED),AVERAGE(INDEX($C$482:$C882,402-MA_MED):$C882),"")</f>
        <v/>
      </c>
      <c r="K882" s="52" t="str">
        <f aca="false">IF(AND(ISNUMBER($G882),$G882&gt;=MA_LONG2),AVERAGE(INDEX($C$482:$C882,402-MA_LONG2):$C882),"")</f>
        <v/>
      </c>
      <c r="L882" s="53" t="str">
        <f aca="false">IF(AND(ISNUMBER($G882),$G882&gt;=21),STDEV(INDEX($H$822:$H882,62-20):$H882)*SQRT(245),"")</f>
        <v/>
      </c>
      <c r="M882" s="52" t="str">
        <f aca="false">IF(AND(ISNUMBER($G882),$G882&gt;=60),MAX(INDEX($D$682:$D882,202-60):$D882),"")</f>
        <v/>
      </c>
      <c r="N882" s="52" t="str">
        <f aca="false">IF(AND(ISNUMBER($G882),$G882&gt;=60),MIN(INDEX($E$682:$E882,202-60):$E882),"")</f>
        <v/>
      </c>
      <c r="O882" s="53" t="str">
        <f aca="false">IF(OR(NOT(ISNUMBER($C882)),NOT(ISNUMBER($M882)),$M882=0),"",$C882/$M882-1)</f>
        <v/>
      </c>
      <c r="P882" s="54"/>
      <c r="Q882" s="53" t="str">
        <f aca="false">IF(NOT(ISNUMBER($P882)),"",IFERROR(PERCENTRANK($P$5:$P$1204,$P882),""))</f>
        <v/>
      </c>
    </row>
    <row r="883" customFormat="false" ht="15" hidden="false" customHeight="false" outlineLevel="0" collapsed="false">
      <c r="A883" s="55"/>
      <c r="B883" s="56"/>
      <c r="C883" s="57"/>
      <c r="D883" s="56"/>
      <c r="E883" s="56"/>
      <c r="F883" s="56"/>
      <c r="G883" s="50" t="str">
        <f aca="false">IF($A883="","",IF(ISNUMBER($G882),$G882+1,1))</f>
        <v/>
      </c>
      <c r="H883" s="51" t="str">
        <f aca="false">IF(OR(NOT(ISNUMBER($G883)),$G883&lt;2,NOT(ISNUMBER($C882)),$C882=0),"",$C883/$C882-1)</f>
        <v/>
      </c>
      <c r="I883" s="52" t="str">
        <f aca="false">IF(AND(ISNUMBER($G883),$G883&gt;=MA_SHORT),AVERAGE(INDEX($C$483:$C883,402-MA_SHORT):$C883),"")</f>
        <v/>
      </c>
      <c r="J883" s="52" t="str">
        <f aca="false">IF(AND(ISNUMBER($G883),$G883&gt;=MA_MED),AVERAGE(INDEX($C$483:$C883,402-MA_MED):$C883),"")</f>
        <v/>
      </c>
      <c r="K883" s="52" t="str">
        <f aca="false">IF(AND(ISNUMBER($G883),$G883&gt;=MA_LONG2),AVERAGE(INDEX($C$483:$C883,402-MA_LONG2):$C883),"")</f>
        <v/>
      </c>
      <c r="L883" s="53" t="str">
        <f aca="false">IF(AND(ISNUMBER($G883),$G883&gt;=21),STDEV(INDEX($H$823:$H883,62-20):$H883)*SQRT(245),"")</f>
        <v/>
      </c>
      <c r="M883" s="52" t="str">
        <f aca="false">IF(AND(ISNUMBER($G883),$G883&gt;=60),MAX(INDEX($D$683:$D883,202-60):$D883),"")</f>
        <v/>
      </c>
      <c r="N883" s="52" t="str">
        <f aca="false">IF(AND(ISNUMBER($G883),$G883&gt;=60),MIN(INDEX($E$683:$E883,202-60):$E883),"")</f>
        <v/>
      </c>
      <c r="O883" s="53" t="str">
        <f aca="false">IF(OR(NOT(ISNUMBER($C883)),NOT(ISNUMBER($M883)),$M883=0),"",$C883/$M883-1)</f>
        <v/>
      </c>
      <c r="P883" s="54"/>
      <c r="Q883" s="53" t="str">
        <f aca="false">IF(NOT(ISNUMBER($P883)),"",IFERROR(PERCENTRANK($P$5:$P$1204,$P883),""))</f>
        <v/>
      </c>
    </row>
    <row r="884" customFormat="false" ht="15" hidden="false" customHeight="false" outlineLevel="0" collapsed="false">
      <c r="A884" s="55"/>
      <c r="B884" s="56"/>
      <c r="C884" s="57"/>
      <c r="D884" s="56"/>
      <c r="E884" s="56"/>
      <c r="F884" s="56"/>
      <c r="G884" s="50" t="str">
        <f aca="false">IF($A884="","",IF(ISNUMBER($G883),$G883+1,1))</f>
        <v/>
      </c>
      <c r="H884" s="51" t="str">
        <f aca="false">IF(OR(NOT(ISNUMBER($G884)),$G884&lt;2,NOT(ISNUMBER($C883)),$C883=0),"",$C884/$C883-1)</f>
        <v/>
      </c>
      <c r="I884" s="52" t="str">
        <f aca="false">IF(AND(ISNUMBER($G884),$G884&gt;=MA_SHORT),AVERAGE(INDEX($C$484:$C884,402-MA_SHORT):$C884),"")</f>
        <v/>
      </c>
      <c r="J884" s="52" t="str">
        <f aca="false">IF(AND(ISNUMBER($G884),$G884&gt;=MA_MED),AVERAGE(INDEX($C$484:$C884,402-MA_MED):$C884),"")</f>
        <v/>
      </c>
      <c r="K884" s="52" t="str">
        <f aca="false">IF(AND(ISNUMBER($G884),$G884&gt;=MA_LONG2),AVERAGE(INDEX($C$484:$C884,402-MA_LONG2):$C884),"")</f>
        <v/>
      </c>
      <c r="L884" s="53" t="str">
        <f aca="false">IF(AND(ISNUMBER($G884),$G884&gt;=21),STDEV(INDEX($H$824:$H884,62-20):$H884)*SQRT(245),"")</f>
        <v/>
      </c>
      <c r="M884" s="52" t="str">
        <f aca="false">IF(AND(ISNUMBER($G884),$G884&gt;=60),MAX(INDEX($D$684:$D884,202-60):$D884),"")</f>
        <v/>
      </c>
      <c r="N884" s="52" t="str">
        <f aca="false">IF(AND(ISNUMBER($G884),$G884&gt;=60),MIN(INDEX($E$684:$E884,202-60):$E884),"")</f>
        <v/>
      </c>
      <c r="O884" s="53" t="str">
        <f aca="false">IF(OR(NOT(ISNUMBER($C884)),NOT(ISNUMBER($M884)),$M884=0),"",$C884/$M884-1)</f>
        <v/>
      </c>
      <c r="P884" s="54"/>
      <c r="Q884" s="53" t="str">
        <f aca="false">IF(NOT(ISNUMBER($P884)),"",IFERROR(PERCENTRANK($P$5:$P$1204,$P884),""))</f>
        <v/>
      </c>
    </row>
    <row r="885" customFormat="false" ht="15" hidden="false" customHeight="false" outlineLevel="0" collapsed="false">
      <c r="A885" s="55"/>
      <c r="B885" s="56"/>
      <c r="C885" s="57"/>
      <c r="D885" s="56"/>
      <c r="E885" s="56"/>
      <c r="F885" s="56"/>
      <c r="G885" s="50" t="str">
        <f aca="false">IF($A885="","",IF(ISNUMBER($G884),$G884+1,1))</f>
        <v/>
      </c>
      <c r="H885" s="51" t="str">
        <f aca="false">IF(OR(NOT(ISNUMBER($G885)),$G885&lt;2,NOT(ISNUMBER($C884)),$C884=0),"",$C885/$C884-1)</f>
        <v/>
      </c>
      <c r="I885" s="52" t="str">
        <f aca="false">IF(AND(ISNUMBER($G885),$G885&gt;=MA_SHORT),AVERAGE(INDEX($C$485:$C885,402-MA_SHORT):$C885),"")</f>
        <v/>
      </c>
      <c r="J885" s="52" t="str">
        <f aca="false">IF(AND(ISNUMBER($G885),$G885&gt;=MA_MED),AVERAGE(INDEX($C$485:$C885,402-MA_MED):$C885),"")</f>
        <v/>
      </c>
      <c r="K885" s="52" t="str">
        <f aca="false">IF(AND(ISNUMBER($G885),$G885&gt;=MA_LONG2),AVERAGE(INDEX($C$485:$C885,402-MA_LONG2):$C885),"")</f>
        <v/>
      </c>
      <c r="L885" s="53" t="str">
        <f aca="false">IF(AND(ISNUMBER($G885),$G885&gt;=21),STDEV(INDEX($H$825:$H885,62-20):$H885)*SQRT(245),"")</f>
        <v/>
      </c>
      <c r="M885" s="52" t="str">
        <f aca="false">IF(AND(ISNUMBER($G885),$G885&gt;=60),MAX(INDEX($D$685:$D885,202-60):$D885),"")</f>
        <v/>
      </c>
      <c r="N885" s="52" t="str">
        <f aca="false">IF(AND(ISNUMBER($G885),$G885&gt;=60),MIN(INDEX($E$685:$E885,202-60):$E885),"")</f>
        <v/>
      </c>
      <c r="O885" s="53" t="str">
        <f aca="false">IF(OR(NOT(ISNUMBER($C885)),NOT(ISNUMBER($M885)),$M885=0),"",$C885/$M885-1)</f>
        <v/>
      </c>
      <c r="P885" s="54"/>
      <c r="Q885" s="53" t="str">
        <f aca="false">IF(NOT(ISNUMBER($P885)),"",IFERROR(PERCENTRANK($P$5:$P$1204,$P885),""))</f>
        <v/>
      </c>
    </row>
    <row r="886" customFormat="false" ht="15" hidden="false" customHeight="false" outlineLevel="0" collapsed="false">
      <c r="A886" s="55"/>
      <c r="B886" s="56"/>
      <c r="C886" s="57"/>
      <c r="D886" s="56"/>
      <c r="E886" s="56"/>
      <c r="F886" s="56"/>
      <c r="G886" s="50" t="str">
        <f aca="false">IF($A886="","",IF(ISNUMBER($G885),$G885+1,1))</f>
        <v/>
      </c>
      <c r="H886" s="51" t="str">
        <f aca="false">IF(OR(NOT(ISNUMBER($G886)),$G886&lt;2,NOT(ISNUMBER($C885)),$C885=0),"",$C886/$C885-1)</f>
        <v/>
      </c>
      <c r="I886" s="52" t="str">
        <f aca="false">IF(AND(ISNUMBER($G886),$G886&gt;=MA_SHORT),AVERAGE(INDEX($C$486:$C886,402-MA_SHORT):$C886),"")</f>
        <v/>
      </c>
      <c r="J886" s="52" t="str">
        <f aca="false">IF(AND(ISNUMBER($G886),$G886&gt;=MA_MED),AVERAGE(INDEX($C$486:$C886,402-MA_MED):$C886),"")</f>
        <v/>
      </c>
      <c r="K886" s="52" t="str">
        <f aca="false">IF(AND(ISNUMBER($G886),$G886&gt;=MA_LONG2),AVERAGE(INDEX($C$486:$C886,402-MA_LONG2):$C886),"")</f>
        <v/>
      </c>
      <c r="L886" s="53" t="str">
        <f aca="false">IF(AND(ISNUMBER($G886),$G886&gt;=21),STDEV(INDEX($H$826:$H886,62-20):$H886)*SQRT(245),"")</f>
        <v/>
      </c>
      <c r="M886" s="52" t="str">
        <f aca="false">IF(AND(ISNUMBER($G886),$G886&gt;=60),MAX(INDEX($D$686:$D886,202-60):$D886),"")</f>
        <v/>
      </c>
      <c r="N886" s="52" t="str">
        <f aca="false">IF(AND(ISNUMBER($G886),$G886&gt;=60),MIN(INDEX($E$686:$E886,202-60):$E886),"")</f>
        <v/>
      </c>
      <c r="O886" s="53" t="str">
        <f aca="false">IF(OR(NOT(ISNUMBER($C886)),NOT(ISNUMBER($M886)),$M886=0),"",$C886/$M886-1)</f>
        <v/>
      </c>
      <c r="P886" s="54"/>
      <c r="Q886" s="53" t="str">
        <f aca="false">IF(NOT(ISNUMBER($P886)),"",IFERROR(PERCENTRANK($P$5:$P$1204,$P886),""))</f>
        <v/>
      </c>
    </row>
    <row r="887" customFormat="false" ht="15" hidden="false" customHeight="false" outlineLevel="0" collapsed="false">
      <c r="A887" s="55"/>
      <c r="B887" s="56"/>
      <c r="C887" s="57"/>
      <c r="D887" s="56"/>
      <c r="E887" s="56"/>
      <c r="F887" s="56"/>
      <c r="G887" s="50" t="str">
        <f aca="false">IF($A887="","",IF(ISNUMBER($G886),$G886+1,1))</f>
        <v/>
      </c>
      <c r="H887" s="51" t="str">
        <f aca="false">IF(OR(NOT(ISNUMBER($G887)),$G887&lt;2,NOT(ISNUMBER($C886)),$C886=0),"",$C887/$C886-1)</f>
        <v/>
      </c>
      <c r="I887" s="52" t="str">
        <f aca="false">IF(AND(ISNUMBER($G887),$G887&gt;=MA_SHORT),AVERAGE(INDEX($C$487:$C887,402-MA_SHORT):$C887),"")</f>
        <v/>
      </c>
      <c r="J887" s="52" t="str">
        <f aca="false">IF(AND(ISNUMBER($G887),$G887&gt;=MA_MED),AVERAGE(INDEX($C$487:$C887,402-MA_MED):$C887),"")</f>
        <v/>
      </c>
      <c r="K887" s="52" t="str">
        <f aca="false">IF(AND(ISNUMBER($G887),$G887&gt;=MA_LONG2),AVERAGE(INDEX($C$487:$C887,402-MA_LONG2):$C887),"")</f>
        <v/>
      </c>
      <c r="L887" s="53" t="str">
        <f aca="false">IF(AND(ISNUMBER($G887),$G887&gt;=21),STDEV(INDEX($H$827:$H887,62-20):$H887)*SQRT(245),"")</f>
        <v/>
      </c>
      <c r="M887" s="52" t="str">
        <f aca="false">IF(AND(ISNUMBER($G887),$G887&gt;=60),MAX(INDEX($D$687:$D887,202-60):$D887),"")</f>
        <v/>
      </c>
      <c r="N887" s="52" t="str">
        <f aca="false">IF(AND(ISNUMBER($G887),$G887&gt;=60),MIN(INDEX($E$687:$E887,202-60):$E887),"")</f>
        <v/>
      </c>
      <c r="O887" s="53" t="str">
        <f aca="false">IF(OR(NOT(ISNUMBER($C887)),NOT(ISNUMBER($M887)),$M887=0),"",$C887/$M887-1)</f>
        <v/>
      </c>
      <c r="P887" s="54"/>
      <c r="Q887" s="53" t="str">
        <f aca="false">IF(NOT(ISNUMBER($P887)),"",IFERROR(PERCENTRANK($P$5:$P$1204,$P887),""))</f>
        <v/>
      </c>
    </row>
    <row r="888" customFormat="false" ht="15" hidden="false" customHeight="false" outlineLevel="0" collapsed="false">
      <c r="A888" s="55"/>
      <c r="B888" s="56"/>
      <c r="C888" s="57"/>
      <c r="D888" s="56"/>
      <c r="E888" s="56"/>
      <c r="F888" s="56"/>
      <c r="G888" s="50" t="str">
        <f aca="false">IF($A888="","",IF(ISNUMBER($G887),$G887+1,1))</f>
        <v/>
      </c>
      <c r="H888" s="51" t="str">
        <f aca="false">IF(OR(NOT(ISNUMBER($G888)),$G888&lt;2,NOT(ISNUMBER($C887)),$C887=0),"",$C888/$C887-1)</f>
        <v/>
      </c>
      <c r="I888" s="52" t="str">
        <f aca="false">IF(AND(ISNUMBER($G888),$G888&gt;=MA_SHORT),AVERAGE(INDEX($C$488:$C888,402-MA_SHORT):$C888),"")</f>
        <v/>
      </c>
      <c r="J888" s="52" t="str">
        <f aca="false">IF(AND(ISNUMBER($G888),$G888&gt;=MA_MED),AVERAGE(INDEX($C$488:$C888,402-MA_MED):$C888),"")</f>
        <v/>
      </c>
      <c r="K888" s="52" t="str">
        <f aca="false">IF(AND(ISNUMBER($G888),$G888&gt;=MA_LONG2),AVERAGE(INDEX($C$488:$C888,402-MA_LONG2):$C888),"")</f>
        <v/>
      </c>
      <c r="L888" s="53" t="str">
        <f aca="false">IF(AND(ISNUMBER($G888),$G888&gt;=21),STDEV(INDEX($H$828:$H888,62-20):$H888)*SQRT(245),"")</f>
        <v/>
      </c>
      <c r="M888" s="52" t="str">
        <f aca="false">IF(AND(ISNUMBER($G888),$G888&gt;=60),MAX(INDEX($D$688:$D888,202-60):$D888),"")</f>
        <v/>
      </c>
      <c r="N888" s="52" t="str">
        <f aca="false">IF(AND(ISNUMBER($G888),$G888&gt;=60),MIN(INDEX($E$688:$E888,202-60):$E888),"")</f>
        <v/>
      </c>
      <c r="O888" s="53" t="str">
        <f aca="false">IF(OR(NOT(ISNUMBER($C888)),NOT(ISNUMBER($M888)),$M888=0),"",$C888/$M888-1)</f>
        <v/>
      </c>
      <c r="P888" s="54"/>
      <c r="Q888" s="53" t="str">
        <f aca="false">IF(NOT(ISNUMBER($P888)),"",IFERROR(PERCENTRANK($P$5:$P$1204,$P888),""))</f>
        <v/>
      </c>
    </row>
    <row r="889" customFormat="false" ht="15" hidden="false" customHeight="false" outlineLevel="0" collapsed="false">
      <c r="A889" s="55"/>
      <c r="B889" s="56"/>
      <c r="C889" s="57"/>
      <c r="D889" s="56"/>
      <c r="E889" s="56"/>
      <c r="F889" s="56"/>
      <c r="G889" s="50" t="str">
        <f aca="false">IF($A889="","",IF(ISNUMBER($G888),$G888+1,1))</f>
        <v/>
      </c>
      <c r="H889" s="51" t="str">
        <f aca="false">IF(OR(NOT(ISNUMBER($G889)),$G889&lt;2,NOT(ISNUMBER($C888)),$C888=0),"",$C889/$C888-1)</f>
        <v/>
      </c>
      <c r="I889" s="52" t="str">
        <f aca="false">IF(AND(ISNUMBER($G889),$G889&gt;=MA_SHORT),AVERAGE(INDEX($C$489:$C889,402-MA_SHORT):$C889),"")</f>
        <v/>
      </c>
      <c r="J889" s="52" t="str">
        <f aca="false">IF(AND(ISNUMBER($G889),$G889&gt;=MA_MED),AVERAGE(INDEX($C$489:$C889,402-MA_MED):$C889),"")</f>
        <v/>
      </c>
      <c r="K889" s="52" t="str">
        <f aca="false">IF(AND(ISNUMBER($G889),$G889&gt;=MA_LONG2),AVERAGE(INDEX($C$489:$C889,402-MA_LONG2):$C889),"")</f>
        <v/>
      </c>
      <c r="L889" s="53" t="str">
        <f aca="false">IF(AND(ISNUMBER($G889),$G889&gt;=21),STDEV(INDEX($H$829:$H889,62-20):$H889)*SQRT(245),"")</f>
        <v/>
      </c>
      <c r="M889" s="52" t="str">
        <f aca="false">IF(AND(ISNUMBER($G889),$G889&gt;=60),MAX(INDEX($D$689:$D889,202-60):$D889),"")</f>
        <v/>
      </c>
      <c r="N889" s="52" t="str">
        <f aca="false">IF(AND(ISNUMBER($G889),$G889&gt;=60),MIN(INDEX($E$689:$E889,202-60):$E889),"")</f>
        <v/>
      </c>
      <c r="O889" s="53" t="str">
        <f aca="false">IF(OR(NOT(ISNUMBER($C889)),NOT(ISNUMBER($M889)),$M889=0),"",$C889/$M889-1)</f>
        <v/>
      </c>
      <c r="P889" s="54"/>
      <c r="Q889" s="53" t="str">
        <f aca="false">IF(NOT(ISNUMBER($P889)),"",IFERROR(PERCENTRANK($P$5:$P$1204,$P889),""))</f>
        <v/>
      </c>
    </row>
    <row r="890" customFormat="false" ht="15" hidden="false" customHeight="false" outlineLevel="0" collapsed="false">
      <c r="A890" s="55"/>
      <c r="B890" s="56"/>
      <c r="C890" s="57"/>
      <c r="D890" s="56"/>
      <c r="E890" s="56"/>
      <c r="F890" s="56"/>
      <c r="G890" s="50" t="str">
        <f aca="false">IF($A890="","",IF(ISNUMBER($G889),$G889+1,1))</f>
        <v/>
      </c>
      <c r="H890" s="51" t="str">
        <f aca="false">IF(OR(NOT(ISNUMBER($G890)),$G890&lt;2,NOT(ISNUMBER($C889)),$C889=0),"",$C890/$C889-1)</f>
        <v/>
      </c>
      <c r="I890" s="52" t="str">
        <f aca="false">IF(AND(ISNUMBER($G890),$G890&gt;=MA_SHORT),AVERAGE(INDEX($C$490:$C890,402-MA_SHORT):$C890),"")</f>
        <v/>
      </c>
      <c r="J890" s="52" t="str">
        <f aca="false">IF(AND(ISNUMBER($G890),$G890&gt;=MA_MED),AVERAGE(INDEX($C$490:$C890,402-MA_MED):$C890),"")</f>
        <v/>
      </c>
      <c r="K890" s="52" t="str">
        <f aca="false">IF(AND(ISNUMBER($G890),$G890&gt;=MA_LONG2),AVERAGE(INDEX($C$490:$C890,402-MA_LONG2):$C890),"")</f>
        <v/>
      </c>
      <c r="L890" s="53" t="str">
        <f aca="false">IF(AND(ISNUMBER($G890),$G890&gt;=21),STDEV(INDEX($H$830:$H890,62-20):$H890)*SQRT(245),"")</f>
        <v/>
      </c>
      <c r="M890" s="52" t="str">
        <f aca="false">IF(AND(ISNUMBER($G890),$G890&gt;=60),MAX(INDEX($D$690:$D890,202-60):$D890),"")</f>
        <v/>
      </c>
      <c r="N890" s="52" t="str">
        <f aca="false">IF(AND(ISNUMBER($G890),$G890&gt;=60),MIN(INDEX($E$690:$E890,202-60):$E890),"")</f>
        <v/>
      </c>
      <c r="O890" s="53" t="str">
        <f aca="false">IF(OR(NOT(ISNUMBER($C890)),NOT(ISNUMBER($M890)),$M890=0),"",$C890/$M890-1)</f>
        <v/>
      </c>
      <c r="P890" s="54"/>
      <c r="Q890" s="53" t="str">
        <f aca="false">IF(NOT(ISNUMBER($P890)),"",IFERROR(PERCENTRANK($P$5:$P$1204,$P890),""))</f>
        <v/>
      </c>
    </row>
    <row r="891" customFormat="false" ht="15" hidden="false" customHeight="false" outlineLevel="0" collapsed="false">
      <c r="A891" s="55"/>
      <c r="B891" s="56"/>
      <c r="C891" s="57"/>
      <c r="D891" s="56"/>
      <c r="E891" s="56"/>
      <c r="F891" s="56"/>
      <c r="G891" s="50" t="str">
        <f aca="false">IF($A891="","",IF(ISNUMBER($G890),$G890+1,1))</f>
        <v/>
      </c>
      <c r="H891" s="51" t="str">
        <f aca="false">IF(OR(NOT(ISNUMBER($G891)),$G891&lt;2,NOT(ISNUMBER($C890)),$C890=0),"",$C891/$C890-1)</f>
        <v/>
      </c>
      <c r="I891" s="52" t="str">
        <f aca="false">IF(AND(ISNUMBER($G891),$G891&gt;=MA_SHORT),AVERAGE(INDEX($C$491:$C891,402-MA_SHORT):$C891),"")</f>
        <v/>
      </c>
      <c r="J891" s="52" t="str">
        <f aca="false">IF(AND(ISNUMBER($G891),$G891&gt;=MA_MED),AVERAGE(INDEX($C$491:$C891,402-MA_MED):$C891),"")</f>
        <v/>
      </c>
      <c r="K891" s="52" t="str">
        <f aca="false">IF(AND(ISNUMBER($G891),$G891&gt;=MA_LONG2),AVERAGE(INDEX($C$491:$C891,402-MA_LONG2):$C891),"")</f>
        <v/>
      </c>
      <c r="L891" s="53" t="str">
        <f aca="false">IF(AND(ISNUMBER($G891),$G891&gt;=21),STDEV(INDEX($H$831:$H891,62-20):$H891)*SQRT(245),"")</f>
        <v/>
      </c>
      <c r="M891" s="52" t="str">
        <f aca="false">IF(AND(ISNUMBER($G891),$G891&gt;=60),MAX(INDEX($D$691:$D891,202-60):$D891),"")</f>
        <v/>
      </c>
      <c r="N891" s="52" t="str">
        <f aca="false">IF(AND(ISNUMBER($G891),$G891&gt;=60),MIN(INDEX($E$691:$E891,202-60):$E891),"")</f>
        <v/>
      </c>
      <c r="O891" s="53" t="str">
        <f aca="false">IF(OR(NOT(ISNUMBER($C891)),NOT(ISNUMBER($M891)),$M891=0),"",$C891/$M891-1)</f>
        <v/>
      </c>
      <c r="P891" s="54"/>
      <c r="Q891" s="53" t="str">
        <f aca="false">IF(NOT(ISNUMBER($P891)),"",IFERROR(PERCENTRANK($P$5:$P$1204,$P891),""))</f>
        <v/>
      </c>
    </row>
    <row r="892" customFormat="false" ht="15" hidden="false" customHeight="false" outlineLevel="0" collapsed="false">
      <c r="A892" s="55"/>
      <c r="B892" s="56"/>
      <c r="C892" s="57"/>
      <c r="D892" s="56"/>
      <c r="E892" s="56"/>
      <c r="F892" s="56"/>
      <c r="G892" s="50" t="str">
        <f aca="false">IF($A892="","",IF(ISNUMBER($G891),$G891+1,1))</f>
        <v/>
      </c>
      <c r="H892" s="51" t="str">
        <f aca="false">IF(OR(NOT(ISNUMBER($G892)),$G892&lt;2,NOT(ISNUMBER($C891)),$C891=0),"",$C892/$C891-1)</f>
        <v/>
      </c>
      <c r="I892" s="52" t="str">
        <f aca="false">IF(AND(ISNUMBER($G892),$G892&gt;=MA_SHORT),AVERAGE(INDEX($C$492:$C892,402-MA_SHORT):$C892),"")</f>
        <v/>
      </c>
      <c r="J892" s="52" t="str">
        <f aca="false">IF(AND(ISNUMBER($G892),$G892&gt;=MA_MED),AVERAGE(INDEX($C$492:$C892,402-MA_MED):$C892),"")</f>
        <v/>
      </c>
      <c r="K892" s="52" t="str">
        <f aca="false">IF(AND(ISNUMBER($G892),$G892&gt;=MA_LONG2),AVERAGE(INDEX($C$492:$C892,402-MA_LONG2):$C892),"")</f>
        <v/>
      </c>
      <c r="L892" s="53" t="str">
        <f aca="false">IF(AND(ISNUMBER($G892),$G892&gt;=21),STDEV(INDEX($H$832:$H892,62-20):$H892)*SQRT(245),"")</f>
        <v/>
      </c>
      <c r="M892" s="52" t="str">
        <f aca="false">IF(AND(ISNUMBER($G892),$G892&gt;=60),MAX(INDEX($D$692:$D892,202-60):$D892),"")</f>
        <v/>
      </c>
      <c r="N892" s="52" t="str">
        <f aca="false">IF(AND(ISNUMBER($G892),$G892&gt;=60),MIN(INDEX($E$692:$E892,202-60):$E892),"")</f>
        <v/>
      </c>
      <c r="O892" s="53" t="str">
        <f aca="false">IF(OR(NOT(ISNUMBER($C892)),NOT(ISNUMBER($M892)),$M892=0),"",$C892/$M892-1)</f>
        <v/>
      </c>
      <c r="P892" s="54"/>
      <c r="Q892" s="53" t="str">
        <f aca="false">IF(NOT(ISNUMBER($P892)),"",IFERROR(PERCENTRANK($P$5:$P$1204,$P892),""))</f>
        <v/>
      </c>
    </row>
    <row r="893" customFormat="false" ht="15" hidden="false" customHeight="false" outlineLevel="0" collapsed="false">
      <c r="A893" s="55"/>
      <c r="B893" s="56"/>
      <c r="C893" s="57"/>
      <c r="D893" s="56"/>
      <c r="E893" s="56"/>
      <c r="F893" s="56"/>
      <c r="G893" s="50" t="str">
        <f aca="false">IF($A893="","",IF(ISNUMBER($G892),$G892+1,1))</f>
        <v/>
      </c>
      <c r="H893" s="51" t="str">
        <f aca="false">IF(OR(NOT(ISNUMBER($G893)),$G893&lt;2,NOT(ISNUMBER($C892)),$C892=0),"",$C893/$C892-1)</f>
        <v/>
      </c>
      <c r="I893" s="52" t="str">
        <f aca="false">IF(AND(ISNUMBER($G893),$G893&gt;=MA_SHORT),AVERAGE(INDEX($C$493:$C893,402-MA_SHORT):$C893),"")</f>
        <v/>
      </c>
      <c r="J893" s="52" t="str">
        <f aca="false">IF(AND(ISNUMBER($G893),$G893&gt;=MA_MED),AVERAGE(INDEX($C$493:$C893,402-MA_MED):$C893),"")</f>
        <v/>
      </c>
      <c r="K893" s="52" t="str">
        <f aca="false">IF(AND(ISNUMBER($G893),$G893&gt;=MA_LONG2),AVERAGE(INDEX($C$493:$C893,402-MA_LONG2):$C893),"")</f>
        <v/>
      </c>
      <c r="L893" s="53" t="str">
        <f aca="false">IF(AND(ISNUMBER($G893),$G893&gt;=21),STDEV(INDEX($H$833:$H893,62-20):$H893)*SQRT(245),"")</f>
        <v/>
      </c>
      <c r="M893" s="52" t="str">
        <f aca="false">IF(AND(ISNUMBER($G893),$G893&gt;=60),MAX(INDEX($D$693:$D893,202-60):$D893),"")</f>
        <v/>
      </c>
      <c r="N893" s="52" t="str">
        <f aca="false">IF(AND(ISNUMBER($G893),$G893&gt;=60),MIN(INDEX($E$693:$E893,202-60):$E893),"")</f>
        <v/>
      </c>
      <c r="O893" s="53" t="str">
        <f aca="false">IF(OR(NOT(ISNUMBER($C893)),NOT(ISNUMBER($M893)),$M893=0),"",$C893/$M893-1)</f>
        <v/>
      </c>
      <c r="P893" s="54"/>
      <c r="Q893" s="53" t="str">
        <f aca="false">IF(NOT(ISNUMBER($P893)),"",IFERROR(PERCENTRANK($P$5:$P$1204,$P893),""))</f>
        <v/>
      </c>
    </row>
    <row r="894" customFormat="false" ht="15" hidden="false" customHeight="false" outlineLevel="0" collapsed="false">
      <c r="A894" s="55"/>
      <c r="B894" s="56"/>
      <c r="C894" s="57"/>
      <c r="D894" s="56"/>
      <c r="E894" s="56"/>
      <c r="F894" s="56"/>
      <c r="G894" s="50" t="str">
        <f aca="false">IF($A894="","",IF(ISNUMBER($G893),$G893+1,1))</f>
        <v/>
      </c>
      <c r="H894" s="51" t="str">
        <f aca="false">IF(OR(NOT(ISNUMBER($G894)),$G894&lt;2,NOT(ISNUMBER($C893)),$C893=0),"",$C894/$C893-1)</f>
        <v/>
      </c>
      <c r="I894" s="52" t="str">
        <f aca="false">IF(AND(ISNUMBER($G894),$G894&gt;=MA_SHORT),AVERAGE(INDEX($C$494:$C894,402-MA_SHORT):$C894),"")</f>
        <v/>
      </c>
      <c r="J894" s="52" t="str">
        <f aca="false">IF(AND(ISNUMBER($G894),$G894&gt;=MA_MED),AVERAGE(INDEX($C$494:$C894,402-MA_MED):$C894),"")</f>
        <v/>
      </c>
      <c r="K894" s="52" t="str">
        <f aca="false">IF(AND(ISNUMBER($G894),$G894&gt;=MA_LONG2),AVERAGE(INDEX($C$494:$C894,402-MA_LONG2):$C894),"")</f>
        <v/>
      </c>
      <c r="L894" s="53" t="str">
        <f aca="false">IF(AND(ISNUMBER($G894),$G894&gt;=21),STDEV(INDEX($H$834:$H894,62-20):$H894)*SQRT(245),"")</f>
        <v/>
      </c>
      <c r="M894" s="52" t="str">
        <f aca="false">IF(AND(ISNUMBER($G894),$G894&gt;=60),MAX(INDEX($D$694:$D894,202-60):$D894),"")</f>
        <v/>
      </c>
      <c r="N894" s="52" t="str">
        <f aca="false">IF(AND(ISNUMBER($G894),$G894&gt;=60),MIN(INDEX($E$694:$E894,202-60):$E894),"")</f>
        <v/>
      </c>
      <c r="O894" s="53" t="str">
        <f aca="false">IF(OR(NOT(ISNUMBER($C894)),NOT(ISNUMBER($M894)),$M894=0),"",$C894/$M894-1)</f>
        <v/>
      </c>
      <c r="P894" s="54"/>
      <c r="Q894" s="53" t="str">
        <f aca="false">IF(NOT(ISNUMBER($P894)),"",IFERROR(PERCENTRANK($P$5:$P$1204,$P894),""))</f>
        <v/>
      </c>
    </row>
    <row r="895" customFormat="false" ht="15" hidden="false" customHeight="false" outlineLevel="0" collapsed="false">
      <c r="A895" s="55"/>
      <c r="B895" s="56"/>
      <c r="C895" s="57"/>
      <c r="D895" s="56"/>
      <c r="E895" s="56"/>
      <c r="F895" s="56"/>
      <c r="G895" s="50" t="str">
        <f aca="false">IF($A895="","",IF(ISNUMBER($G894),$G894+1,1))</f>
        <v/>
      </c>
      <c r="H895" s="51" t="str">
        <f aca="false">IF(OR(NOT(ISNUMBER($G895)),$G895&lt;2,NOT(ISNUMBER($C894)),$C894=0),"",$C895/$C894-1)</f>
        <v/>
      </c>
      <c r="I895" s="52" t="str">
        <f aca="false">IF(AND(ISNUMBER($G895),$G895&gt;=MA_SHORT),AVERAGE(INDEX($C$495:$C895,402-MA_SHORT):$C895),"")</f>
        <v/>
      </c>
      <c r="J895" s="52" t="str">
        <f aca="false">IF(AND(ISNUMBER($G895),$G895&gt;=MA_MED),AVERAGE(INDEX($C$495:$C895,402-MA_MED):$C895),"")</f>
        <v/>
      </c>
      <c r="K895" s="52" t="str">
        <f aca="false">IF(AND(ISNUMBER($G895),$G895&gt;=MA_LONG2),AVERAGE(INDEX($C$495:$C895,402-MA_LONG2):$C895),"")</f>
        <v/>
      </c>
      <c r="L895" s="53" t="str">
        <f aca="false">IF(AND(ISNUMBER($G895),$G895&gt;=21),STDEV(INDEX($H$835:$H895,62-20):$H895)*SQRT(245),"")</f>
        <v/>
      </c>
      <c r="M895" s="52" t="str">
        <f aca="false">IF(AND(ISNUMBER($G895),$G895&gt;=60),MAX(INDEX($D$695:$D895,202-60):$D895),"")</f>
        <v/>
      </c>
      <c r="N895" s="52" t="str">
        <f aca="false">IF(AND(ISNUMBER($G895),$G895&gt;=60),MIN(INDEX($E$695:$E895,202-60):$E895),"")</f>
        <v/>
      </c>
      <c r="O895" s="53" t="str">
        <f aca="false">IF(OR(NOT(ISNUMBER($C895)),NOT(ISNUMBER($M895)),$M895=0),"",$C895/$M895-1)</f>
        <v/>
      </c>
      <c r="P895" s="54"/>
      <c r="Q895" s="53" t="str">
        <f aca="false">IF(NOT(ISNUMBER($P895)),"",IFERROR(PERCENTRANK($P$5:$P$1204,$P895),""))</f>
        <v/>
      </c>
    </row>
    <row r="896" customFormat="false" ht="15" hidden="false" customHeight="false" outlineLevel="0" collapsed="false">
      <c r="A896" s="55"/>
      <c r="B896" s="56"/>
      <c r="C896" s="57"/>
      <c r="D896" s="56"/>
      <c r="E896" s="56"/>
      <c r="F896" s="56"/>
      <c r="G896" s="50" t="str">
        <f aca="false">IF($A896="","",IF(ISNUMBER($G895),$G895+1,1))</f>
        <v/>
      </c>
      <c r="H896" s="51" t="str">
        <f aca="false">IF(OR(NOT(ISNUMBER($G896)),$G896&lt;2,NOT(ISNUMBER($C895)),$C895=0),"",$C896/$C895-1)</f>
        <v/>
      </c>
      <c r="I896" s="52" t="str">
        <f aca="false">IF(AND(ISNUMBER($G896),$G896&gt;=MA_SHORT),AVERAGE(INDEX($C$496:$C896,402-MA_SHORT):$C896),"")</f>
        <v/>
      </c>
      <c r="J896" s="52" t="str">
        <f aca="false">IF(AND(ISNUMBER($G896),$G896&gt;=MA_MED),AVERAGE(INDEX($C$496:$C896,402-MA_MED):$C896),"")</f>
        <v/>
      </c>
      <c r="K896" s="52" t="str">
        <f aca="false">IF(AND(ISNUMBER($G896),$G896&gt;=MA_LONG2),AVERAGE(INDEX($C$496:$C896,402-MA_LONG2):$C896),"")</f>
        <v/>
      </c>
      <c r="L896" s="53" t="str">
        <f aca="false">IF(AND(ISNUMBER($G896),$G896&gt;=21),STDEV(INDEX($H$836:$H896,62-20):$H896)*SQRT(245),"")</f>
        <v/>
      </c>
      <c r="M896" s="52" t="str">
        <f aca="false">IF(AND(ISNUMBER($G896),$G896&gt;=60),MAX(INDEX($D$696:$D896,202-60):$D896),"")</f>
        <v/>
      </c>
      <c r="N896" s="52" t="str">
        <f aca="false">IF(AND(ISNUMBER($G896),$G896&gt;=60),MIN(INDEX($E$696:$E896,202-60):$E896),"")</f>
        <v/>
      </c>
      <c r="O896" s="53" t="str">
        <f aca="false">IF(OR(NOT(ISNUMBER($C896)),NOT(ISNUMBER($M896)),$M896=0),"",$C896/$M896-1)</f>
        <v/>
      </c>
      <c r="P896" s="54"/>
      <c r="Q896" s="53" t="str">
        <f aca="false">IF(NOT(ISNUMBER($P896)),"",IFERROR(PERCENTRANK($P$5:$P$1204,$P896),""))</f>
        <v/>
      </c>
    </row>
    <row r="897" customFormat="false" ht="15" hidden="false" customHeight="false" outlineLevel="0" collapsed="false">
      <c r="A897" s="55"/>
      <c r="B897" s="56"/>
      <c r="C897" s="57"/>
      <c r="D897" s="56"/>
      <c r="E897" s="56"/>
      <c r="F897" s="56"/>
      <c r="G897" s="50" t="str">
        <f aca="false">IF($A897="","",IF(ISNUMBER($G896),$G896+1,1))</f>
        <v/>
      </c>
      <c r="H897" s="51" t="str">
        <f aca="false">IF(OR(NOT(ISNUMBER($G897)),$G897&lt;2,NOT(ISNUMBER($C896)),$C896=0),"",$C897/$C896-1)</f>
        <v/>
      </c>
      <c r="I897" s="52" t="str">
        <f aca="false">IF(AND(ISNUMBER($G897),$G897&gt;=MA_SHORT),AVERAGE(INDEX($C$497:$C897,402-MA_SHORT):$C897),"")</f>
        <v/>
      </c>
      <c r="J897" s="52" t="str">
        <f aca="false">IF(AND(ISNUMBER($G897),$G897&gt;=MA_MED),AVERAGE(INDEX($C$497:$C897,402-MA_MED):$C897),"")</f>
        <v/>
      </c>
      <c r="K897" s="52" t="str">
        <f aca="false">IF(AND(ISNUMBER($G897),$G897&gt;=MA_LONG2),AVERAGE(INDEX($C$497:$C897,402-MA_LONG2):$C897),"")</f>
        <v/>
      </c>
      <c r="L897" s="53" t="str">
        <f aca="false">IF(AND(ISNUMBER($G897),$G897&gt;=21),STDEV(INDEX($H$837:$H897,62-20):$H897)*SQRT(245),"")</f>
        <v/>
      </c>
      <c r="M897" s="52" t="str">
        <f aca="false">IF(AND(ISNUMBER($G897),$G897&gt;=60),MAX(INDEX($D$697:$D897,202-60):$D897),"")</f>
        <v/>
      </c>
      <c r="N897" s="52" t="str">
        <f aca="false">IF(AND(ISNUMBER($G897),$G897&gt;=60),MIN(INDEX($E$697:$E897,202-60):$E897),"")</f>
        <v/>
      </c>
      <c r="O897" s="53" t="str">
        <f aca="false">IF(OR(NOT(ISNUMBER($C897)),NOT(ISNUMBER($M897)),$M897=0),"",$C897/$M897-1)</f>
        <v/>
      </c>
      <c r="P897" s="54"/>
      <c r="Q897" s="53" t="str">
        <f aca="false">IF(NOT(ISNUMBER($P897)),"",IFERROR(PERCENTRANK($P$5:$P$1204,$P897),""))</f>
        <v/>
      </c>
    </row>
    <row r="898" customFormat="false" ht="15" hidden="false" customHeight="false" outlineLevel="0" collapsed="false">
      <c r="A898" s="55"/>
      <c r="B898" s="56"/>
      <c r="C898" s="57"/>
      <c r="D898" s="56"/>
      <c r="E898" s="56"/>
      <c r="F898" s="56"/>
      <c r="G898" s="50" t="str">
        <f aca="false">IF($A898="","",IF(ISNUMBER($G897),$G897+1,1))</f>
        <v/>
      </c>
      <c r="H898" s="51" t="str">
        <f aca="false">IF(OR(NOT(ISNUMBER($G898)),$G898&lt;2,NOT(ISNUMBER($C897)),$C897=0),"",$C898/$C897-1)</f>
        <v/>
      </c>
      <c r="I898" s="52" t="str">
        <f aca="false">IF(AND(ISNUMBER($G898),$G898&gt;=MA_SHORT),AVERAGE(INDEX($C$498:$C898,402-MA_SHORT):$C898),"")</f>
        <v/>
      </c>
      <c r="J898" s="52" t="str">
        <f aca="false">IF(AND(ISNUMBER($G898),$G898&gt;=MA_MED),AVERAGE(INDEX($C$498:$C898,402-MA_MED):$C898),"")</f>
        <v/>
      </c>
      <c r="K898" s="52" t="str">
        <f aca="false">IF(AND(ISNUMBER($G898),$G898&gt;=MA_LONG2),AVERAGE(INDEX($C$498:$C898,402-MA_LONG2):$C898),"")</f>
        <v/>
      </c>
      <c r="L898" s="53" t="str">
        <f aca="false">IF(AND(ISNUMBER($G898),$G898&gt;=21),STDEV(INDEX($H$838:$H898,62-20):$H898)*SQRT(245),"")</f>
        <v/>
      </c>
      <c r="M898" s="52" t="str">
        <f aca="false">IF(AND(ISNUMBER($G898),$G898&gt;=60),MAX(INDEX($D$698:$D898,202-60):$D898),"")</f>
        <v/>
      </c>
      <c r="N898" s="52" t="str">
        <f aca="false">IF(AND(ISNUMBER($G898),$G898&gt;=60),MIN(INDEX($E$698:$E898,202-60):$E898),"")</f>
        <v/>
      </c>
      <c r="O898" s="53" t="str">
        <f aca="false">IF(OR(NOT(ISNUMBER($C898)),NOT(ISNUMBER($M898)),$M898=0),"",$C898/$M898-1)</f>
        <v/>
      </c>
      <c r="P898" s="54"/>
      <c r="Q898" s="53" t="str">
        <f aca="false">IF(NOT(ISNUMBER($P898)),"",IFERROR(PERCENTRANK($P$5:$P$1204,$P898),""))</f>
        <v/>
      </c>
    </row>
    <row r="899" customFormat="false" ht="15" hidden="false" customHeight="false" outlineLevel="0" collapsed="false">
      <c r="A899" s="55"/>
      <c r="B899" s="56"/>
      <c r="C899" s="57"/>
      <c r="D899" s="56"/>
      <c r="E899" s="56"/>
      <c r="F899" s="56"/>
      <c r="G899" s="50" t="str">
        <f aca="false">IF($A899="","",IF(ISNUMBER($G898),$G898+1,1))</f>
        <v/>
      </c>
      <c r="H899" s="51" t="str">
        <f aca="false">IF(OR(NOT(ISNUMBER($G899)),$G899&lt;2,NOT(ISNUMBER($C898)),$C898=0),"",$C899/$C898-1)</f>
        <v/>
      </c>
      <c r="I899" s="52" t="str">
        <f aca="false">IF(AND(ISNUMBER($G899),$G899&gt;=MA_SHORT),AVERAGE(INDEX($C$499:$C899,402-MA_SHORT):$C899),"")</f>
        <v/>
      </c>
      <c r="J899" s="52" t="str">
        <f aca="false">IF(AND(ISNUMBER($G899),$G899&gt;=MA_MED),AVERAGE(INDEX($C$499:$C899,402-MA_MED):$C899),"")</f>
        <v/>
      </c>
      <c r="K899" s="52" t="str">
        <f aca="false">IF(AND(ISNUMBER($G899),$G899&gt;=MA_LONG2),AVERAGE(INDEX($C$499:$C899,402-MA_LONG2):$C899),"")</f>
        <v/>
      </c>
      <c r="L899" s="53" t="str">
        <f aca="false">IF(AND(ISNUMBER($G899),$G899&gt;=21),STDEV(INDEX($H$839:$H899,62-20):$H899)*SQRT(245),"")</f>
        <v/>
      </c>
      <c r="M899" s="52" t="str">
        <f aca="false">IF(AND(ISNUMBER($G899),$G899&gt;=60),MAX(INDEX($D$699:$D899,202-60):$D899),"")</f>
        <v/>
      </c>
      <c r="N899" s="52" t="str">
        <f aca="false">IF(AND(ISNUMBER($G899),$G899&gt;=60),MIN(INDEX($E$699:$E899,202-60):$E899),"")</f>
        <v/>
      </c>
      <c r="O899" s="53" t="str">
        <f aca="false">IF(OR(NOT(ISNUMBER($C899)),NOT(ISNUMBER($M899)),$M899=0),"",$C899/$M899-1)</f>
        <v/>
      </c>
      <c r="P899" s="54"/>
      <c r="Q899" s="53" t="str">
        <f aca="false">IF(NOT(ISNUMBER($P899)),"",IFERROR(PERCENTRANK($P$5:$P$1204,$P899),""))</f>
        <v/>
      </c>
    </row>
    <row r="900" customFormat="false" ht="15" hidden="false" customHeight="false" outlineLevel="0" collapsed="false">
      <c r="A900" s="55"/>
      <c r="B900" s="56"/>
      <c r="C900" s="57"/>
      <c r="D900" s="56"/>
      <c r="E900" s="56"/>
      <c r="F900" s="56"/>
      <c r="G900" s="50" t="str">
        <f aca="false">IF($A900="","",IF(ISNUMBER($G899),$G899+1,1))</f>
        <v/>
      </c>
      <c r="H900" s="51" t="str">
        <f aca="false">IF(OR(NOT(ISNUMBER($G900)),$G900&lt;2,NOT(ISNUMBER($C899)),$C899=0),"",$C900/$C899-1)</f>
        <v/>
      </c>
      <c r="I900" s="52" t="str">
        <f aca="false">IF(AND(ISNUMBER($G900),$G900&gt;=MA_SHORT),AVERAGE(INDEX($C$500:$C900,402-MA_SHORT):$C900),"")</f>
        <v/>
      </c>
      <c r="J900" s="52" t="str">
        <f aca="false">IF(AND(ISNUMBER($G900),$G900&gt;=MA_MED),AVERAGE(INDEX($C$500:$C900,402-MA_MED):$C900),"")</f>
        <v/>
      </c>
      <c r="K900" s="52" t="str">
        <f aca="false">IF(AND(ISNUMBER($G900),$G900&gt;=MA_LONG2),AVERAGE(INDEX($C$500:$C900,402-MA_LONG2):$C900),"")</f>
        <v/>
      </c>
      <c r="L900" s="53" t="str">
        <f aca="false">IF(AND(ISNUMBER($G900),$G900&gt;=21),STDEV(INDEX($H$840:$H900,62-20):$H900)*SQRT(245),"")</f>
        <v/>
      </c>
      <c r="M900" s="52" t="str">
        <f aca="false">IF(AND(ISNUMBER($G900),$G900&gt;=60),MAX(INDEX($D$700:$D900,202-60):$D900),"")</f>
        <v/>
      </c>
      <c r="N900" s="52" t="str">
        <f aca="false">IF(AND(ISNUMBER($G900),$G900&gt;=60),MIN(INDEX($E$700:$E900,202-60):$E900),"")</f>
        <v/>
      </c>
      <c r="O900" s="53" t="str">
        <f aca="false">IF(OR(NOT(ISNUMBER($C900)),NOT(ISNUMBER($M900)),$M900=0),"",$C900/$M900-1)</f>
        <v/>
      </c>
      <c r="P900" s="54"/>
      <c r="Q900" s="53" t="str">
        <f aca="false">IF(NOT(ISNUMBER($P900)),"",IFERROR(PERCENTRANK($P$5:$P$1204,$P900),""))</f>
        <v/>
      </c>
    </row>
    <row r="901" customFormat="false" ht="15" hidden="false" customHeight="false" outlineLevel="0" collapsed="false">
      <c r="A901" s="55"/>
      <c r="B901" s="56"/>
      <c r="C901" s="57"/>
      <c r="D901" s="56"/>
      <c r="E901" s="56"/>
      <c r="F901" s="56"/>
      <c r="G901" s="50" t="str">
        <f aca="false">IF($A901="","",IF(ISNUMBER($G900),$G900+1,1))</f>
        <v/>
      </c>
      <c r="H901" s="51" t="str">
        <f aca="false">IF(OR(NOT(ISNUMBER($G901)),$G901&lt;2,NOT(ISNUMBER($C900)),$C900=0),"",$C901/$C900-1)</f>
        <v/>
      </c>
      <c r="I901" s="52" t="str">
        <f aca="false">IF(AND(ISNUMBER($G901),$G901&gt;=MA_SHORT),AVERAGE(INDEX($C$501:$C901,402-MA_SHORT):$C901),"")</f>
        <v/>
      </c>
      <c r="J901" s="52" t="str">
        <f aca="false">IF(AND(ISNUMBER($G901),$G901&gt;=MA_MED),AVERAGE(INDEX($C$501:$C901,402-MA_MED):$C901),"")</f>
        <v/>
      </c>
      <c r="K901" s="52" t="str">
        <f aca="false">IF(AND(ISNUMBER($G901),$G901&gt;=MA_LONG2),AVERAGE(INDEX($C$501:$C901,402-MA_LONG2):$C901),"")</f>
        <v/>
      </c>
      <c r="L901" s="53" t="str">
        <f aca="false">IF(AND(ISNUMBER($G901),$G901&gt;=21),STDEV(INDEX($H$841:$H901,62-20):$H901)*SQRT(245),"")</f>
        <v/>
      </c>
      <c r="M901" s="52" t="str">
        <f aca="false">IF(AND(ISNUMBER($G901),$G901&gt;=60),MAX(INDEX($D$701:$D901,202-60):$D901),"")</f>
        <v/>
      </c>
      <c r="N901" s="52" t="str">
        <f aca="false">IF(AND(ISNUMBER($G901),$G901&gt;=60),MIN(INDEX($E$701:$E901,202-60):$E901),"")</f>
        <v/>
      </c>
      <c r="O901" s="53" t="str">
        <f aca="false">IF(OR(NOT(ISNUMBER($C901)),NOT(ISNUMBER($M901)),$M901=0),"",$C901/$M901-1)</f>
        <v/>
      </c>
      <c r="P901" s="54"/>
      <c r="Q901" s="53" t="str">
        <f aca="false">IF(NOT(ISNUMBER($P901)),"",IFERROR(PERCENTRANK($P$5:$P$1204,$P901),""))</f>
        <v/>
      </c>
    </row>
    <row r="902" customFormat="false" ht="15" hidden="false" customHeight="false" outlineLevel="0" collapsed="false">
      <c r="A902" s="55"/>
      <c r="B902" s="56"/>
      <c r="C902" s="57"/>
      <c r="D902" s="56"/>
      <c r="E902" s="56"/>
      <c r="F902" s="56"/>
      <c r="G902" s="50" t="str">
        <f aca="false">IF($A902="","",IF(ISNUMBER($G901),$G901+1,1))</f>
        <v/>
      </c>
      <c r="H902" s="51" t="str">
        <f aca="false">IF(OR(NOT(ISNUMBER($G902)),$G902&lt;2,NOT(ISNUMBER($C901)),$C901=0),"",$C902/$C901-1)</f>
        <v/>
      </c>
      <c r="I902" s="52" t="str">
        <f aca="false">IF(AND(ISNUMBER($G902),$G902&gt;=MA_SHORT),AVERAGE(INDEX($C$502:$C902,402-MA_SHORT):$C902),"")</f>
        <v/>
      </c>
      <c r="J902" s="52" t="str">
        <f aca="false">IF(AND(ISNUMBER($G902),$G902&gt;=MA_MED),AVERAGE(INDEX($C$502:$C902,402-MA_MED):$C902),"")</f>
        <v/>
      </c>
      <c r="K902" s="52" t="str">
        <f aca="false">IF(AND(ISNUMBER($G902),$G902&gt;=MA_LONG2),AVERAGE(INDEX($C$502:$C902,402-MA_LONG2):$C902),"")</f>
        <v/>
      </c>
      <c r="L902" s="53" t="str">
        <f aca="false">IF(AND(ISNUMBER($G902),$G902&gt;=21),STDEV(INDEX($H$842:$H902,62-20):$H902)*SQRT(245),"")</f>
        <v/>
      </c>
      <c r="M902" s="52" t="str">
        <f aca="false">IF(AND(ISNUMBER($G902),$G902&gt;=60),MAX(INDEX($D$702:$D902,202-60):$D902),"")</f>
        <v/>
      </c>
      <c r="N902" s="52" t="str">
        <f aca="false">IF(AND(ISNUMBER($G902),$G902&gt;=60),MIN(INDEX($E$702:$E902,202-60):$E902),"")</f>
        <v/>
      </c>
      <c r="O902" s="53" t="str">
        <f aca="false">IF(OR(NOT(ISNUMBER($C902)),NOT(ISNUMBER($M902)),$M902=0),"",$C902/$M902-1)</f>
        <v/>
      </c>
      <c r="P902" s="54"/>
      <c r="Q902" s="53" t="str">
        <f aca="false">IF(NOT(ISNUMBER($P902)),"",IFERROR(PERCENTRANK($P$5:$P$1204,$P902),""))</f>
        <v/>
      </c>
    </row>
    <row r="903" customFormat="false" ht="15" hidden="false" customHeight="false" outlineLevel="0" collapsed="false">
      <c r="A903" s="55"/>
      <c r="B903" s="56"/>
      <c r="C903" s="57"/>
      <c r="D903" s="56"/>
      <c r="E903" s="56"/>
      <c r="F903" s="56"/>
      <c r="G903" s="50" t="str">
        <f aca="false">IF($A903="","",IF(ISNUMBER($G902),$G902+1,1))</f>
        <v/>
      </c>
      <c r="H903" s="51" t="str">
        <f aca="false">IF(OR(NOT(ISNUMBER($G903)),$G903&lt;2,NOT(ISNUMBER($C902)),$C902=0),"",$C903/$C902-1)</f>
        <v/>
      </c>
      <c r="I903" s="52" t="str">
        <f aca="false">IF(AND(ISNUMBER($G903),$G903&gt;=MA_SHORT),AVERAGE(INDEX($C$503:$C903,402-MA_SHORT):$C903),"")</f>
        <v/>
      </c>
      <c r="J903" s="52" t="str">
        <f aca="false">IF(AND(ISNUMBER($G903),$G903&gt;=MA_MED),AVERAGE(INDEX($C$503:$C903,402-MA_MED):$C903),"")</f>
        <v/>
      </c>
      <c r="K903" s="52" t="str">
        <f aca="false">IF(AND(ISNUMBER($G903),$G903&gt;=MA_LONG2),AVERAGE(INDEX($C$503:$C903,402-MA_LONG2):$C903),"")</f>
        <v/>
      </c>
      <c r="L903" s="53" t="str">
        <f aca="false">IF(AND(ISNUMBER($G903),$G903&gt;=21),STDEV(INDEX($H$843:$H903,62-20):$H903)*SQRT(245),"")</f>
        <v/>
      </c>
      <c r="M903" s="52" t="str">
        <f aca="false">IF(AND(ISNUMBER($G903),$G903&gt;=60),MAX(INDEX($D$703:$D903,202-60):$D903),"")</f>
        <v/>
      </c>
      <c r="N903" s="52" t="str">
        <f aca="false">IF(AND(ISNUMBER($G903),$G903&gt;=60),MIN(INDEX($E$703:$E903,202-60):$E903),"")</f>
        <v/>
      </c>
      <c r="O903" s="53" t="str">
        <f aca="false">IF(OR(NOT(ISNUMBER($C903)),NOT(ISNUMBER($M903)),$M903=0),"",$C903/$M903-1)</f>
        <v/>
      </c>
      <c r="P903" s="54"/>
      <c r="Q903" s="53" t="str">
        <f aca="false">IF(NOT(ISNUMBER($P903)),"",IFERROR(PERCENTRANK($P$5:$P$1204,$P903),""))</f>
        <v/>
      </c>
    </row>
    <row r="904" customFormat="false" ht="15" hidden="false" customHeight="false" outlineLevel="0" collapsed="false">
      <c r="A904" s="55"/>
      <c r="B904" s="56"/>
      <c r="C904" s="57"/>
      <c r="D904" s="56"/>
      <c r="E904" s="56"/>
      <c r="F904" s="56"/>
      <c r="G904" s="50" t="str">
        <f aca="false">IF($A904="","",IF(ISNUMBER($G903),$G903+1,1))</f>
        <v/>
      </c>
      <c r="H904" s="51" t="str">
        <f aca="false">IF(OR(NOT(ISNUMBER($G904)),$G904&lt;2,NOT(ISNUMBER($C903)),$C903=0),"",$C904/$C903-1)</f>
        <v/>
      </c>
      <c r="I904" s="52" t="str">
        <f aca="false">IF(AND(ISNUMBER($G904),$G904&gt;=MA_SHORT),AVERAGE(INDEX($C$504:$C904,402-MA_SHORT):$C904),"")</f>
        <v/>
      </c>
      <c r="J904" s="52" t="str">
        <f aca="false">IF(AND(ISNUMBER($G904),$G904&gt;=MA_MED),AVERAGE(INDEX($C$504:$C904,402-MA_MED):$C904),"")</f>
        <v/>
      </c>
      <c r="K904" s="52" t="str">
        <f aca="false">IF(AND(ISNUMBER($G904),$G904&gt;=MA_LONG2),AVERAGE(INDEX($C$504:$C904,402-MA_LONG2):$C904),"")</f>
        <v/>
      </c>
      <c r="L904" s="53" t="str">
        <f aca="false">IF(AND(ISNUMBER($G904),$G904&gt;=21),STDEV(INDEX($H$844:$H904,62-20):$H904)*SQRT(245),"")</f>
        <v/>
      </c>
      <c r="M904" s="52" t="str">
        <f aca="false">IF(AND(ISNUMBER($G904),$G904&gt;=60),MAX(INDEX($D$704:$D904,202-60):$D904),"")</f>
        <v/>
      </c>
      <c r="N904" s="52" t="str">
        <f aca="false">IF(AND(ISNUMBER($G904),$G904&gt;=60),MIN(INDEX($E$704:$E904,202-60):$E904),"")</f>
        <v/>
      </c>
      <c r="O904" s="53" t="str">
        <f aca="false">IF(OR(NOT(ISNUMBER($C904)),NOT(ISNUMBER($M904)),$M904=0),"",$C904/$M904-1)</f>
        <v/>
      </c>
      <c r="P904" s="54"/>
      <c r="Q904" s="53" t="str">
        <f aca="false">IF(NOT(ISNUMBER($P904)),"",IFERROR(PERCENTRANK($P$5:$P$1204,$P904),""))</f>
        <v/>
      </c>
    </row>
    <row r="905" customFormat="false" ht="15" hidden="false" customHeight="false" outlineLevel="0" collapsed="false">
      <c r="A905" s="55"/>
      <c r="B905" s="56"/>
      <c r="C905" s="57"/>
      <c r="D905" s="56"/>
      <c r="E905" s="56"/>
      <c r="F905" s="56"/>
      <c r="G905" s="50" t="str">
        <f aca="false">IF($A905="","",IF(ISNUMBER($G904),$G904+1,1))</f>
        <v/>
      </c>
      <c r="H905" s="51" t="str">
        <f aca="false">IF(OR(NOT(ISNUMBER($G905)),$G905&lt;2,NOT(ISNUMBER($C904)),$C904=0),"",$C905/$C904-1)</f>
        <v/>
      </c>
      <c r="I905" s="52" t="str">
        <f aca="false">IF(AND(ISNUMBER($G905),$G905&gt;=MA_SHORT),AVERAGE(INDEX($C$505:$C905,402-MA_SHORT):$C905),"")</f>
        <v/>
      </c>
      <c r="J905" s="52" t="str">
        <f aca="false">IF(AND(ISNUMBER($G905),$G905&gt;=MA_MED),AVERAGE(INDEX($C$505:$C905,402-MA_MED):$C905),"")</f>
        <v/>
      </c>
      <c r="K905" s="52" t="str">
        <f aca="false">IF(AND(ISNUMBER($G905),$G905&gt;=MA_LONG2),AVERAGE(INDEX($C$505:$C905,402-MA_LONG2):$C905),"")</f>
        <v/>
      </c>
      <c r="L905" s="53" t="str">
        <f aca="false">IF(AND(ISNUMBER($G905),$G905&gt;=21),STDEV(INDEX($H$845:$H905,62-20):$H905)*SQRT(245),"")</f>
        <v/>
      </c>
      <c r="M905" s="52" t="str">
        <f aca="false">IF(AND(ISNUMBER($G905),$G905&gt;=60),MAX(INDEX($D$705:$D905,202-60):$D905),"")</f>
        <v/>
      </c>
      <c r="N905" s="52" t="str">
        <f aca="false">IF(AND(ISNUMBER($G905),$G905&gt;=60),MIN(INDEX($E$705:$E905,202-60):$E905),"")</f>
        <v/>
      </c>
      <c r="O905" s="53" t="str">
        <f aca="false">IF(OR(NOT(ISNUMBER($C905)),NOT(ISNUMBER($M905)),$M905=0),"",$C905/$M905-1)</f>
        <v/>
      </c>
      <c r="P905" s="54"/>
      <c r="Q905" s="53" t="str">
        <f aca="false">IF(NOT(ISNUMBER($P905)),"",IFERROR(PERCENTRANK($P$5:$P$1204,$P905),""))</f>
        <v/>
      </c>
    </row>
    <row r="906" customFormat="false" ht="15" hidden="false" customHeight="false" outlineLevel="0" collapsed="false">
      <c r="A906" s="55"/>
      <c r="B906" s="56"/>
      <c r="C906" s="57"/>
      <c r="D906" s="56"/>
      <c r="E906" s="56"/>
      <c r="F906" s="56"/>
      <c r="G906" s="50" t="str">
        <f aca="false">IF($A906="","",IF(ISNUMBER($G905),$G905+1,1))</f>
        <v/>
      </c>
      <c r="H906" s="51" t="str">
        <f aca="false">IF(OR(NOT(ISNUMBER($G906)),$G906&lt;2,NOT(ISNUMBER($C905)),$C905=0),"",$C906/$C905-1)</f>
        <v/>
      </c>
      <c r="I906" s="52" t="str">
        <f aca="false">IF(AND(ISNUMBER($G906),$G906&gt;=MA_SHORT),AVERAGE(INDEX($C$506:$C906,402-MA_SHORT):$C906),"")</f>
        <v/>
      </c>
      <c r="J906" s="52" t="str">
        <f aca="false">IF(AND(ISNUMBER($G906),$G906&gt;=MA_MED),AVERAGE(INDEX($C$506:$C906,402-MA_MED):$C906),"")</f>
        <v/>
      </c>
      <c r="K906" s="52" t="str">
        <f aca="false">IF(AND(ISNUMBER($G906),$G906&gt;=MA_LONG2),AVERAGE(INDEX($C$506:$C906,402-MA_LONG2):$C906),"")</f>
        <v/>
      </c>
      <c r="L906" s="53" t="str">
        <f aca="false">IF(AND(ISNUMBER($G906),$G906&gt;=21),STDEV(INDEX($H$846:$H906,62-20):$H906)*SQRT(245),"")</f>
        <v/>
      </c>
      <c r="M906" s="52" t="str">
        <f aca="false">IF(AND(ISNUMBER($G906),$G906&gt;=60),MAX(INDEX($D$706:$D906,202-60):$D906),"")</f>
        <v/>
      </c>
      <c r="N906" s="52" t="str">
        <f aca="false">IF(AND(ISNUMBER($G906),$G906&gt;=60),MIN(INDEX($E$706:$E906,202-60):$E906),"")</f>
        <v/>
      </c>
      <c r="O906" s="53" t="str">
        <f aca="false">IF(OR(NOT(ISNUMBER($C906)),NOT(ISNUMBER($M906)),$M906=0),"",$C906/$M906-1)</f>
        <v/>
      </c>
      <c r="P906" s="54"/>
      <c r="Q906" s="53" t="str">
        <f aca="false">IF(NOT(ISNUMBER($P906)),"",IFERROR(PERCENTRANK($P$5:$P$1204,$P906),""))</f>
        <v/>
      </c>
    </row>
    <row r="907" customFormat="false" ht="15" hidden="false" customHeight="false" outlineLevel="0" collapsed="false">
      <c r="A907" s="55"/>
      <c r="B907" s="56"/>
      <c r="C907" s="57"/>
      <c r="D907" s="56"/>
      <c r="E907" s="56"/>
      <c r="F907" s="56"/>
      <c r="G907" s="50" t="str">
        <f aca="false">IF($A907="","",IF(ISNUMBER($G906),$G906+1,1))</f>
        <v/>
      </c>
      <c r="H907" s="51" t="str">
        <f aca="false">IF(OR(NOT(ISNUMBER($G907)),$G907&lt;2,NOT(ISNUMBER($C906)),$C906=0),"",$C907/$C906-1)</f>
        <v/>
      </c>
      <c r="I907" s="52" t="str">
        <f aca="false">IF(AND(ISNUMBER($G907),$G907&gt;=MA_SHORT),AVERAGE(INDEX($C$507:$C907,402-MA_SHORT):$C907),"")</f>
        <v/>
      </c>
      <c r="J907" s="52" t="str">
        <f aca="false">IF(AND(ISNUMBER($G907),$G907&gt;=MA_MED),AVERAGE(INDEX($C$507:$C907,402-MA_MED):$C907),"")</f>
        <v/>
      </c>
      <c r="K907" s="52" t="str">
        <f aca="false">IF(AND(ISNUMBER($G907),$G907&gt;=MA_LONG2),AVERAGE(INDEX($C$507:$C907,402-MA_LONG2):$C907),"")</f>
        <v/>
      </c>
      <c r="L907" s="53" t="str">
        <f aca="false">IF(AND(ISNUMBER($G907),$G907&gt;=21),STDEV(INDEX($H$847:$H907,62-20):$H907)*SQRT(245),"")</f>
        <v/>
      </c>
      <c r="M907" s="52" t="str">
        <f aca="false">IF(AND(ISNUMBER($G907),$G907&gt;=60),MAX(INDEX($D$707:$D907,202-60):$D907),"")</f>
        <v/>
      </c>
      <c r="N907" s="52" t="str">
        <f aca="false">IF(AND(ISNUMBER($G907),$G907&gt;=60),MIN(INDEX($E$707:$E907,202-60):$E907),"")</f>
        <v/>
      </c>
      <c r="O907" s="53" t="str">
        <f aca="false">IF(OR(NOT(ISNUMBER($C907)),NOT(ISNUMBER($M907)),$M907=0),"",$C907/$M907-1)</f>
        <v/>
      </c>
      <c r="P907" s="54"/>
      <c r="Q907" s="53" t="str">
        <f aca="false">IF(NOT(ISNUMBER($P907)),"",IFERROR(PERCENTRANK($P$5:$P$1204,$P907),""))</f>
        <v/>
      </c>
    </row>
    <row r="908" customFormat="false" ht="15" hidden="false" customHeight="false" outlineLevel="0" collapsed="false">
      <c r="A908" s="55"/>
      <c r="B908" s="56"/>
      <c r="C908" s="57"/>
      <c r="D908" s="56"/>
      <c r="E908" s="56"/>
      <c r="F908" s="56"/>
      <c r="G908" s="50" t="str">
        <f aca="false">IF($A908="","",IF(ISNUMBER($G907),$G907+1,1))</f>
        <v/>
      </c>
      <c r="H908" s="51" t="str">
        <f aca="false">IF(OR(NOT(ISNUMBER($G908)),$G908&lt;2,NOT(ISNUMBER($C907)),$C907=0),"",$C908/$C907-1)</f>
        <v/>
      </c>
      <c r="I908" s="52" t="str">
        <f aca="false">IF(AND(ISNUMBER($G908),$G908&gt;=MA_SHORT),AVERAGE(INDEX($C$508:$C908,402-MA_SHORT):$C908),"")</f>
        <v/>
      </c>
      <c r="J908" s="52" t="str">
        <f aca="false">IF(AND(ISNUMBER($G908),$G908&gt;=MA_MED),AVERAGE(INDEX($C$508:$C908,402-MA_MED):$C908),"")</f>
        <v/>
      </c>
      <c r="K908" s="52" t="str">
        <f aca="false">IF(AND(ISNUMBER($G908),$G908&gt;=MA_LONG2),AVERAGE(INDEX($C$508:$C908,402-MA_LONG2):$C908),"")</f>
        <v/>
      </c>
      <c r="L908" s="53" t="str">
        <f aca="false">IF(AND(ISNUMBER($G908),$G908&gt;=21),STDEV(INDEX($H$848:$H908,62-20):$H908)*SQRT(245),"")</f>
        <v/>
      </c>
      <c r="M908" s="52" t="str">
        <f aca="false">IF(AND(ISNUMBER($G908),$G908&gt;=60),MAX(INDEX($D$708:$D908,202-60):$D908),"")</f>
        <v/>
      </c>
      <c r="N908" s="52" t="str">
        <f aca="false">IF(AND(ISNUMBER($G908),$G908&gt;=60),MIN(INDEX($E$708:$E908,202-60):$E908),"")</f>
        <v/>
      </c>
      <c r="O908" s="53" t="str">
        <f aca="false">IF(OR(NOT(ISNUMBER($C908)),NOT(ISNUMBER($M908)),$M908=0),"",$C908/$M908-1)</f>
        <v/>
      </c>
      <c r="P908" s="54"/>
      <c r="Q908" s="53" t="str">
        <f aca="false">IF(NOT(ISNUMBER($P908)),"",IFERROR(PERCENTRANK($P$5:$P$1204,$P908),""))</f>
        <v/>
      </c>
    </row>
    <row r="909" customFormat="false" ht="15" hidden="false" customHeight="false" outlineLevel="0" collapsed="false">
      <c r="A909" s="55"/>
      <c r="B909" s="56"/>
      <c r="C909" s="57"/>
      <c r="D909" s="56"/>
      <c r="E909" s="56"/>
      <c r="F909" s="56"/>
      <c r="G909" s="50" t="str">
        <f aca="false">IF($A909="","",IF(ISNUMBER($G908),$G908+1,1))</f>
        <v/>
      </c>
      <c r="H909" s="51" t="str">
        <f aca="false">IF(OR(NOT(ISNUMBER($G909)),$G909&lt;2,NOT(ISNUMBER($C908)),$C908=0),"",$C909/$C908-1)</f>
        <v/>
      </c>
      <c r="I909" s="52" t="str">
        <f aca="false">IF(AND(ISNUMBER($G909),$G909&gt;=MA_SHORT),AVERAGE(INDEX($C$509:$C909,402-MA_SHORT):$C909),"")</f>
        <v/>
      </c>
      <c r="J909" s="52" t="str">
        <f aca="false">IF(AND(ISNUMBER($G909),$G909&gt;=MA_MED),AVERAGE(INDEX($C$509:$C909,402-MA_MED):$C909),"")</f>
        <v/>
      </c>
      <c r="K909" s="52" t="str">
        <f aca="false">IF(AND(ISNUMBER($G909),$G909&gt;=MA_LONG2),AVERAGE(INDEX($C$509:$C909,402-MA_LONG2):$C909),"")</f>
        <v/>
      </c>
      <c r="L909" s="53" t="str">
        <f aca="false">IF(AND(ISNUMBER($G909),$G909&gt;=21),STDEV(INDEX($H$849:$H909,62-20):$H909)*SQRT(245),"")</f>
        <v/>
      </c>
      <c r="M909" s="52" t="str">
        <f aca="false">IF(AND(ISNUMBER($G909),$G909&gt;=60),MAX(INDEX($D$709:$D909,202-60):$D909),"")</f>
        <v/>
      </c>
      <c r="N909" s="52" t="str">
        <f aca="false">IF(AND(ISNUMBER($G909),$G909&gt;=60),MIN(INDEX($E$709:$E909,202-60):$E909),"")</f>
        <v/>
      </c>
      <c r="O909" s="53" t="str">
        <f aca="false">IF(OR(NOT(ISNUMBER($C909)),NOT(ISNUMBER($M909)),$M909=0),"",$C909/$M909-1)</f>
        <v/>
      </c>
      <c r="P909" s="54"/>
      <c r="Q909" s="53" t="str">
        <f aca="false">IF(NOT(ISNUMBER($P909)),"",IFERROR(PERCENTRANK($P$5:$P$1204,$P909),""))</f>
        <v/>
      </c>
    </row>
    <row r="910" customFormat="false" ht="15" hidden="false" customHeight="false" outlineLevel="0" collapsed="false">
      <c r="A910" s="55"/>
      <c r="B910" s="56"/>
      <c r="C910" s="57"/>
      <c r="D910" s="56"/>
      <c r="E910" s="56"/>
      <c r="F910" s="56"/>
      <c r="G910" s="50" t="str">
        <f aca="false">IF($A910="","",IF(ISNUMBER($G909),$G909+1,1))</f>
        <v/>
      </c>
      <c r="H910" s="51" t="str">
        <f aca="false">IF(OR(NOT(ISNUMBER($G910)),$G910&lt;2,NOT(ISNUMBER($C909)),$C909=0),"",$C910/$C909-1)</f>
        <v/>
      </c>
      <c r="I910" s="52" t="str">
        <f aca="false">IF(AND(ISNUMBER($G910),$G910&gt;=MA_SHORT),AVERAGE(INDEX($C$510:$C910,402-MA_SHORT):$C910),"")</f>
        <v/>
      </c>
      <c r="J910" s="52" t="str">
        <f aca="false">IF(AND(ISNUMBER($G910),$G910&gt;=MA_MED),AVERAGE(INDEX($C$510:$C910,402-MA_MED):$C910),"")</f>
        <v/>
      </c>
      <c r="K910" s="52" t="str">
        <f aca="false">IF(AND(ISNUMBER($G910),$G910&gt;=MA_LONG2),AVERAGE(INDEX($C$510:$C910,402-MA_LONG2):$C910),"")</f>
        <v/>
      </c>
      <c r="L910" s="53" t="str">
        <f aca="false">IF(AND(ISNUMBER($G910),$G910&gt;=21),STDEV(INDEX($H$850:$H910,62-20):$H910)*SQRT(245),"")</f>
        <v/>
      </c>
      <c r="M910" s="52" t="str">
        <f aca="false">IF(AND(ISNUMBER($G910),$G910&gt;=60),MAX(INDEX($D$710:$D910,202-60):$D910),"")</f>
        <v/>
      </c>
      <c r="N910" s="52" t="str">
        <f aca="false">IF(AND(ISNUMBER($G910),$G910&gt;=60),MIN(INDEX($E$710:$E910,202-60):$E910),"")</f>
        <v/>
      </c>
      <c r="O910" s="53" t="str">
        <f aca="false">IF(OR(NOT(ISNUMBER($C910)),NOT(ISNUMBER($M910)),$M910=0),"",$C910/$M910-1)</f>
        <v/>
      </c>
      <c r="P910" s="54"/>
      <c r="Q910" s="53" t="str">
        <f aca="false">IF(NOT(ISNUMBER($P910)),"",IFERROR(PERCENTRANK($P$5:$P$1204,$P910),""))</f>
        <v/>
      </c>
    </row>
    <row r="911" customFormat="false" ht="15" hidden="false" customHeight="false" outlineLevel="0" collapsed="false">
      <c r="A911" s="55"/>
      <c r="B911" s="56"/>
      <c r="C911" s="57"/>
      <c r="D911" s="56"/>
      <c r="E911" s="56"/>
      <c r="F911" s="56"/>
      <c r="G911" s="50" t="str">
        <f aca="false">IF($A911="","",IF(ISNUMBER($G910),$G910+1,1))</f>
        <v/>
      </c>
      <c r="H911" s="51" t="str">
        <f aca="false">IF(OR(NOT(ISNUMBER($G911)),$G911&lt;2,NOT(ISNUMBER($C910)),$C910=0),"",$C911/$C910-1)</f>
        <v/>
      </c>
      <c r="I911" s="52" t="str">
        <f aca="false">IF(AND(ISNUMBER($G911),$G911&gt;=MA_SHORT),AVERAGE(INDEX($C$511:$C911,402-MA_SHORT):$C911),"")</f>
        <v/>
      </c>
      <c r="J911" s="52" t="str">
        <f aca="false">IF(AND(ISNUMBER($G911),$G911&gt;=MA_MED),AVERAGE(INDEX($C$511:$C911,402-MA_MED):$C911),"")</f>
        <v/>
      </c>
      <c r="K911" s="52" t="str">
        <f aca="false">IF(AND(ISNUMBER($G911),$G911&gt;=MA_LONG2),AVERAGE(INDEX($C$511:$C911,402-MA_LONG2):$C911),"")</f>
        <v/>
      </c>
      <c r="L911" s="53" t="str">
        <f aca="false">IF(AND(ISNUMBER($G911),$G911&gt;=21),STDEV(INDEX($H$851:$H911,62-20):$H911)*SQRT(245),"")</f>
        <v/>
      </c>
      <c r="M911" s="52" t="str">
        <f aca="false">IF(AND(ISNUMBER($G911),$G911&gt;=60),MAX(INDEX($D$711:$D911,202-60):$D911),"")</f>
        <v/>
      </c>
      <c r="N911" s="52" t="str">
        <f aca="false">IF(AND(ISNUMBER($G911),$G911&gt;=60),MIN(INDEX($E$711:$E911,202-60):$E911),"")</f>
        <v/>
      </c>
      <c r="O911" s="53" t="str">
        <f aca="false">IF(OR(NOT(ISNUMBER($C911)),NOT(ISNUMBER($M911)),$M911=0),"",$C911/$M911-1)</f>
        <v/>
      </c>
      <c r="P911" s="54"/>
      <c r="Q911" s="53" t="str">
        <f aca="false">IF(NOT(ISNUMBER($P911)),"",IFERROR(PERCENTRANK($P$5:$P$1204,$P911),""))</f>
        <v/>
      </c>
    </row>
    <row r="912" customFormat="false" ht="15" hidden="false" customHeight="false" outlineLevel="0" collapsed="false">
      <c r="A912" s="55"/>
      <c r="B912" s="56"/>
      <c r="C912" s="57"/>
      <c r="D912" s="56"/>
      <c r="E912" s="56"/>
      <c r="F912" s="56"/>
      <c r="G912" s="50" t="str">
        <f aca="false">IF($A912="","",IF(ISNUMBER($G911),$G911+1,1))</f>
        <v/>
      </c>
      <c r="H912" s="51" t="str">
        <f aca="false">IF(OR(NOT(ISNUMBER($G912)),$G912&lt;2,NOT(ISNUMBER($C911)),$C911=0),"",$C912/$C911-1)</f>
        <v/>
      </c>
      <c r="I912" s="52" t="str">
        <f aca="false">IF(AND(ISNUMBER($G912),$G912&gt;=MA_SHORT),AVERAGE(INDEX($C$512:$C912,402-MA_SHORT):$C912),"")</f>
        <v/>
      </c>
      <c r="J912" s="52" t="str">
        <f aca="false">IF(AND(ISNUMBER($G912),$G912&gt;=MA_MED),AVERAGE(INDEX($C$512:$C912,402-MA_MED):$C912),"")</f>
        <v/>
      </c>
      <c r="K912" s="52" t="str">
        <f aca="false">IF(AND(ISNUMBER($G912),$G912&gt;=MA_LONG2),AVERAGE(INDEX($C$512:$C912,402-MA_LONG2):$C912),"")</f>
        <v/>
      </c>
      <c r="L912" s="53" t="str">
        <f aca="false">IF(AND(ISNUMBER($G912),$G912&gt;=21),STDEV(INDEX($H$852:$H912,62-20):$H912)*SQRT(245),"")</f>
        <v/>
      </c>
      <c r="M912" s="52" t="str">
        <f aca="false">IF(AND(ISNUMBER($G912),$G912&gt;=60),MAX(INDEX($D$712:$D912,202-60):$D912),"")</f>
        <v/>
      </c>
      <c r="N912" s="52" t="str">
        <f aca="false">IF(AND(ISNUMBER($G912),$G912&gt;=60),MIN(INDEX($E$712:$E912,202-60):$E912),"")</f>
        <v/>
      </c>
      <c r="O912" s="53" t="str">
        <f aca="false">IF(OR(NOT(ISNUMBER($C912)),NOT(ISNUMBER($M912)),$M912=0),"",$C912/$M912-1)</f>
        <v/>
      </c>
      <c r="P912" s="54"/>
      <c r="Q912" s="53" t="str">
        <f aca="false">IF(NOT(ISNUMBER($P912)),"",IFERROR(PERCENTRANK($P$5:$P$1204,$P912),""))</f>
        <v/>
      </c>
    </row>
    <row r="913" customFormat="false" ht="15" hidden="false" customHeight="false" outlineLevel="0" collapsed="false">
      <c r="A913" s="55"/>
      <c r="B913" s="56"/>
      <c r="C913" s="57"/>
      <c r="D913" s="56"/>
      <c r="E913" s="56"/>
      <c r="F913" s="56"/>
      <c r="G913" s="50" t="str">
        <f aca="false">IF($A913="","",IF(ISNUMBER($G912),$G912+1,1))</f>
        <v/>
      </c>
      <c r="H913" s="51" t="str">
        <f aca="false">IF(OR(NOT(ISNUMBER($G913)),$G913&lt;2,NOT(ISNUMBER($C912)),$C912=0),"",$C913/$C912-1)</f>
        <v/>
      </c>
      <c r="I913" s="52" t="str">
        <f aca="false">IF(AND(ISNUMBER($G913),$G913&gt;=MA_SHORT),AVERAGE(INDEX($C$513:$C913,402-MA_SHORT):$C913),"")</f>
        <v/>
      </c>
      <c r="J913" s="52" t="str">
        <f aca="false">IF(AND(ISNUMBER($G913),$G913&gt;=MA_MED),AVERAGE(INDEX($C$513:$C913,402-MA_MED):$C913),"")</f>
        <v/>
      </c>
      <c r="K913" s="52" t="str">
        <f aca="false">IF(AND(ISNUMBER($G913),$G913&gt;=MA_LONG2),AVERAGE(INDEX($C$513:$C913,402-MA_LONG2):$C913),"")</f>
        <v/>
      </c>
      <c r="L913" s="53" t="str">
        <f aca="false">IF(AND(ISNUMBER($G913),$G913&gt;=21),STDEV(INDEX($H$853:$H913,62-20):$H913)*SQRT(245),"")</f>
        <v/>
      </c>
      <c r="M913" s="52" t="str">
        <f aca="false">IF(AND(ISNUMBER($G913),$G913&gt;=60),MAX(INDEX($D$713:$D913,202-60):$D913),"")</f>
        <v/>
      </c>
      <c r="N913" s="52" t="str">
        <f aca="false">IF(AND(ISNUMBER($G913),$G913&gt;=60),MIN(INDEX($E$713:$E913,202-60):$E913),"")</f>
        <v/>
      </c>
      <c r="O913" s="53" t="str">
        <f aca="false">IF(OR(NOT(ISNUMBER($C913)),NOT(ISNUMBER($M913)),$M913=0),"",$C913/$M913-1)</f>
        <v/>
      </c>
      <c r="P913" s="54"/>
      <c r="Q913" s="53" t="str">
        <f aca="false">IF(NOT(ISNUMBER($P913)),"",IFERROR(PERCENTRANK($P$5:$P$1204,$P913),""))</f>
        <v/>
      </c>
    </row>
    <row r="914" customFormat="false" ht="15" hidden="false" customHeight="false" outlineLevel="0" collapsed="false">
      <c r="A914" s="55"/>
      <c r="B914" s="56"/>
      <c r="C914" s="57"/>
      <c r="D914" s="56"/>
      <c r="E914" s="56"/>
      <c r="F914" s="56"/>
      <c r="G914" s="50" t="str">
        <f aca="false">IF($A914="","",IF(ISNUMBER($G913),$G913+1,1))</f>
        <v/>
      </c>
      <c r="H914" s="51" t="str">
        <f aca="false">IF(OR(NOT(ISNUMBER($G914)),$G914&lt;2,NOT(ISNUMBER($C913)),$C913=0),"",$C914/$C913-1)</f>
        <v/>
      </c>
      <c r="I914" s="52" t="str">
        <f aca="false">IF(AND(ISNUMBER($G914),$G914&gt;=MA_SHORT),AVERAGE(INDEX($C$514:$C914,402-MA_SHORT):$C914),"")</f>
        <v/>
      </c>
      <c r="J914" s="52" t="str">
        <f aca="false">IF(AND(ISNUMBER($G914),$G914&gt;=MA_MED),AVERAGE(INDEX($C$514:$C914,402-MA_MED):$C914),"")</f>
        <v/>
      </c>
      <c r="K914" s="52" t="str">
        <f aca="false">IF(AND(ISNUMBER($G914),$G914&gt;=MA_LONG2),AVERAGE(INDEX($C$514:$C914,402-MA_LONG2):$C914),"")</f>
        <v/>
      </c>
      <c r="L914" s="53" t="str">
        <f aca="false">IF(AND(ISNUMBER($G914),$G914&gt;=21),STDEV(INDEX($H$854:$H914,62-20):$H914)*SQRT(245),"")</f>
        <v/>
      </c>
      <c r="M914" s="52" t="str">
        <f aca="false">IF(AND(ISNUMBER($G914),$G914&gt;=60),MAX(INDEX($D$714:$D914,202-60):$D914),"")</f>
        <v/>
      </c>
      <c r="N914" s="52" t="str">
        <f aca="false">IF(AND(ISNUMBER($G914),$G914&gt;=60),MIN(INDEX($E$714:$E914,202-60):$E914),"")</f>
        <v/>
      </c>
      <c r="O914" s="53" t="str">
        <f aca="false">IF(OR(NOT(ISNUMBER($C914)),NOT(ISNUMBER($M914)),$M914=0),"",$C914/$M914-1)</f>
        <v/>
      </c>
      <c r="P914" s="54"/>
      <c r="Q914" s="53" t="str">
        <f aca="false">IF(NOT(ISNUMBER($P914)),"",IFERROR(PERCENTRANK($P$5:$P$1204,$P914),""))</f>
        <v/>
      </c>
    </row>
    <row r="915" customFormat="false" ht="15" hidden="false" customHeight="false" outlineLevel="0" collapsed="false">
      <c r="A915" s="55"/>
      <c r="B915" s="56"/>
      <c r="C915" s="57"/>
      <c r="D915" s="56"/>
      <c r="E915" s="56"/>
      <c r="F915" s="56"/>
      <c r="G915" s="50" t="str">
        <f aca="false">IF($A915="","",IF(ISNUMBER($G914),$G914+1,1))</f>
        <v/>
      </c>
      <c r="H915" s="51" t="str">
        <f aca="false">IF(OR(NOT(ISNUMBER($G915)),$G915&lt;2,NOT(ISNUMBER($C914)),$C914=0),"",$C915/$C914-1)</f>
        <v/>
      </c>
      <c r="I915" s="52" t="str">
        <f aca="false">IF(AND(ISNUMBER($G915),$G915&gt;=MA_SHORT),AVERAGE(INDEX($C$515:$C915,402-MA_SHORT):$C915),"")</f>
        <v/>
      </c>
      <c r="J915" s="52" t="str">
        <f aca="false">IF(AND(ISNUMBER($G915),$G915&gt;=MA_MED),AVERAGE(INDEX($C$515:$C915,402-MA_MED):$C915),"")</f>
        <v/>
      </c>
      <c r="K915" s="52" t="str">
        <f aca="false">IF(AND(ISNUMBER($G915),$G915&gt;=MA_LONG2),AVERAGE(INDEX($C$515:$C915,402-MA_LONG2):$C915),"")</f>
        <v/>
      </c>
      <c r="L915" s="53" t="str">
        <f aca="false">IF(AND(ISNUMBER($G915),$G915&gt;=21),STDEV(INDEX($H$855:$H915,62-20):$H915)*SQRT(245),"")</f>
        <v/>
      </c>
      <c r="M915" s="52" t="str">
        <f aca="false">IF(AND(ISNUMBER($G915),$G915&gt;=60),MAX(INDEX($D$715:$D915,202-60):$D915),"")</f>
        <v/>
      </c>
      <c r="N915" s="52" t="str">
        <f aca="false">IF(AND(ISNUMBER($G915),$G915&gt;=60),MIN(INDEX($E$715:$E915,202-60):$E915),"")</f>
        <v/>
      </c>
      <c r="O915" s="53" t="str">
        <f aca="false">IF(OR(NOT(ISNUMBER($C915)),NOT(ISNUMBER($M915)),$M915=0),"",$C915/$M915-1)</f>
        <v/>
      </c>
      <c r="P915" s="54"/>
      <c r="Q915" s="53" t="str">
        <f aca="false">IF(NOT(ISNUMBER($P915)),"",IFERROR(PERCENTRANK($P$5:$P$1204,$P915),""))</f>
        <v/>
      </c>
    </row>
    <row r="916" customFormat="false" ht="15" hidden="false" customHeight="false" outlineLevel="0" collapsed="false">
      <c r="A916" s="55"/>
      <c r="B916" s="56"/>
      <c r="C916" s="57"/>
      <c r="D916" s="56"/>
      <c r="E916" s="56"/>
      <c r="F916" s="56"/>
      <c r="G916" s="50" t="str">
        <f aca="false">IF($A916="","",IF(ISNUMBER($G915),$G915+1,1))</f>
        <v/>
      </c>
      <c r="H916" s="51" t="str">
        <f aca="false">IF(OR(NOT(ISNUMBER($G916)),$G916&lt;2,NOT(ISNUMBER($C915)),$C915=0),"",$C916/$C915-1)</f>
        <v/>
      </c>
      <c r="I916" s="52" t="str">
        <f aca="false">IF(AND(ISNUMBER($G916),$G916&gt;=MA_SHORT),AVERAGE(INDEX($C$516:$C916,402-MA_SHORT):$C916),"")</f>
        <v/>
      </c>
      <c r="J916" s="52" t="str">
        <f aca="false">IF(AND(ISNUMBER($G916),$G916&gt;=MA_MED),AVERAGE(INDEX($C$516:$C916,402-MA_MED):$C916),"")</f>
        <v/>
      </c>
      <c r="K916" s="52" t="str">
        <f aca="false">IF(AND(ISNUMBER($G916),$G916&gt;=MA_LONG2),AVERAGE(INDEX($C$516:$C916,402-MA_LONG2):$C916),"")</f>
        <v/>
      </c>
      <c r="L916" s="53" t="str">
        <f aca="false">IF(AND(ISNUMBER($G916),$G916&gt;=21),STDEV(INDEX($H$856:$H916,62-20):$H916)*SQRT(245),"")</f>
        <v/>
      </c>
      <c r="M916" s="52" t="str">
        <f aca="false">IF(AND(ISNUMBER($G916),$G916&gt;=60),MAX(INDEX($D$716:$D916,202-60):$D916),"")</f>
        <v/>
      </c>
      <c r="N916" s="52" t="str">
        <f aca="false">IF(AND(ISNUMBER($G916),$G916&gt;=60),MIN(INDEX($E$716:$E916,202-60):$E916),"")</f>
        <v/>
      </c>
      <c r="O916" s="53" t="str">
        <f aca="false">IF(OR(NOT(ISNUMBER($C916)),NOT(ISNUMBER($M916)),$M916=0),"",$C916/$M916-1)</f>
        <v/>
      </c>
      <c r="P916" s="54"/>
      <c r="Q916" s="53" t="str">
        <f aca="false">IF(NOT(ISNUMBER($P916)),"",IFERROR(PERCENTRANK($P$5:$P$1204,$P916),""))</f>
        <v/>
      </c>
    </row>
    <row r="917" customFormat="false" ht="15" hidden="false" customHeight="false" outlineLevel="0" collapsed="false">
      <c r="A917" s="55"/>
      <c r="B917" s="56"/>
      <c r="C917" s="57"/>
      <c r="D917" s="56"/>
      <c r="E917" s="56"/>
      <c r="F917" s="56"/>
      <c r="G917" s="50" t="str">
        <f aca="false">IF($A917="","",IF(ISNUMBER($G916),$G916+1,1))</f>
        <v/>
      </c>
      <c r="H917" s="51" t="str">
        <f aca="false">IF(OR(NOT(ISNUMBER($G917)),$G917&lt;2,NOT(ISNUMBER($C916)),$C916=0),"",$C917/$C916-1)</f>
        <v/>
      </c>
      <c r="I917" s="52" t="str">
        <f aca="false">IF(AND(ISNUMBER($G917),$G917&gt;=MA_SHORT),AVERAGE(INDEX($C$517:$C917,402-MA_SHORT):$C917),"")</f>
        <v/>
      </c>
      <c r="J917" s="52" t="str">
        <f aca="false">IF(AND(ISNUMBER($G917),$G917&gt;=MA_MED),AVERAGE(INDEX($C$517:$C917,402-MA_MED):$C917),"")</f>
        <v/>
      </c>
      <c r="K917" s="52" t="str">
        <f aca="false">IF(AND(ISNUMBER($G917),$G917&gt;=MA_LONG2),AVERAGE(INDEX($C$517:$C917,402-MA_LONG2):$C917),"")</f>
        <v/>
      </c>
      <c r="L917" s="53" t="str">
        <f aca="false">IF(AND(ISNUMBER($G917),$G917&gt;=21),STDEV(INDEX($H$857:$H917,62-20):$H917)*SQRT(245),"")</f>
        <v/>
      </c>
      <c r="M917" s="52" t="str">
        <f aca="false">IF(AND(ISNUMBER($G917),$G917&gt;=60),MAX(INDEX($D$717:$D917,202-60):$D917),"")</f>
        <v/>
      </c>
      <c r="N917" s="52" t="str">
        <f aca="false">IF(AND(ISNUMBER($G917),$G917&gt;=60),MIN(INDEX($E$717:$E917,202-60):$E917),"")</f>
        <v/>
      </c>
      <c r="O917" s="53" t="str">
        <f aca="false">IF(OR(NOT(ISNUMBER($C917)),NOT(ISNUMBER($M917)),$M917=0),"",$C917/$M917-1)</f>
        <v/>
      </c>
      <c r="P917" s="54"/>
      <c r="Q917" s="53" t="str">
        <f aca="false">IF(NOT(ISNUMBER($P917)),"",IFERROR(PERCENTRANK($P$5:$P$1204,$P917),""))</f>
        <v/>
      </c>
    </row>
    <row r="918" customFormat="false" ht="15" hidden="false" customHeight="false" outlineLevel="0" collapsed="false">
      <c r="A918" s="55"/>
      <c r="B918" s="56"/>
      <c r="C918" s="57"/>
      <c r="D918" s="56"/>
      <c r="E918" s="56"/>
      <c r="F918" s="56"/>
      <c r="G918" s="50" t="str">
        <f aca="false">IF($A918="","",IF(ISNUMBER($G917),$G917+1,1))</f>
        <v/>
      </c>
      <c r="H918" s="51" t="str">
        <f aca="false">IF(OR(NOT(ISNUMBER($G918)),$G918&lt;2,NOT(ISNUMBER($C917)),$C917=0),"",$C918/$C917-1)</f>
        <v/>
      </c>
      <c r="I918" s="52" t="str">
        <f aca="false">IF(AND(ISNUMBER($G918),$G918&gt;=MA_SHORT),AVERAGE(INDEX($C$518:$C918,402-MA_SHORT):$C918),"")</f>
        <v/>
      </c>
      <c r="J918" s="52" t="str">
        <f aca="false">IF(AND(ISNUMBER($G918),$G918&gt;=MA_MED),AVERAGE(INDEX($C$518:$C918,402-MA_MED):$C918),"")</f>
        <v/>
      </c>
      <c r="K918" s="52" t="str">
        <f aca="false">IF(AND(ISNUMBER($G918),$G918&gt;=MA_LONG2),AVERAGE(INDEX($C$518:$C918,402-MA_LONG2):$C918),"")</f>
        <v/>
      </c>
      <c r="L918" s="53" t="str">
        <f aca="false">IF(AND(ISNUMBER($G918),$G918&gt;=21),STDEV(INDEX($H$858:$H918,62-20):$H918)*SQRT(245),"")</f>
        <v/>
      </c>
      <c r="M918" s="52" t="str">
        <f aca="false">IF(AND(ISNUMBER($G918),$G918&gt;=60),MAX(INDEX($D$718:$D918,202-60):$D918),"")</f>
        <v/>
      </c>
      <c r="N918" s="52" t="str">
        <f aca="false">IF(AND(ISNUMBER($G918),$G918&gt;=60),MIN(INDEX($E$718:$E918,202-60):$E918),"")</f>
        <v/>
      </c>
      <c r="O918" s="53" t="str">
        <f aca="false">IF(OR(NOT(ISNUMBER($C918)),NOT(ISNUMBER($M918)),$M918=0),"",$C918/$M918-1)</f>
        <v/>
      </c>
      <c r="P918" s="54"/>
      <c r="Q918" s="53" t="str">
        <f aca="false">IF(NOT(ISNUMBER($P918)),"",IFERROR(PERCENTRANK($P$5:$P$1204,$P918),""))</f>
        <v/>
      </c>
    </row>
    <row r="919" customFormat="false" ht="15" hidden="false" customHeight="false" outlineLevel="0" collapsed="false">
      <c r="A919" s="55"/>
      <c r="B919" s="56"/>
      <c r="C919" s="57"/>
      <c r="D919" s="56"/>
      <c r="E919" s="56"/>
      <c r="F919" s="56"/>
      <c r="G919" s="50" t="str">
        <f aca="false">IF($A919="","",IF(ISNUMBER($G918),$G918+1,1))</f>
        <v/>
      </c>
      <c r="H919" s="51" t="str">
        <f aca="false">IF(OR(NOT(ISNUMBER($G919)),$G919&lt;2,NOT(ISNUMBER($C918)),$C918=0),"",$C919/$C918-1)</f>
        <v/>
      </c>
      <c r="I919" s="52" t="str">
        <f aca="false">IF(AND(ISNUMBER($G919),$G919&gt;=MA_SHORT),AVERAGE(INDEX($C$519:$C919,402-MA_SHORT):$C919),"")</f>
        <v/>
      </c>
      <c r="J919" s="52" t="str">
        <f aca="false">IF(AND(ISNUMBER($G919),$G919&gt;=MA_MED),AVERAGE(INDEX($C$519:$C919,402-MA_MED):$C919),"")</f>
        <v/>
      </c>
      <c r="K919" s="52" t="str">
        <f aca="false">IF(AND(ISNUMBER($G919),$G919&gt;=MA_LONG2),AVERAGE(INDEX($C$519:$C919,402-MA_LONG2):$C919),"")</f>
        <v/>
      </c>
      <c r="L919" s="53" t="str">
        <f aca="false">IF(AND(ISNUMBER($G919),$G919&gt;=21),STDEV(INDEX($H$859:$H919,62-20):$H919)*SQRT(245),"")</f>
        <v/>
      </c>
      <c r="M919" s="52" t="str">
        <f aca="false">IF(AND(ISNUMBER($G919),$G919&gt;=60),MAX(INDEX($D$719:$D919,202-60):$D919),"")</f>
        <v/>
      </c>
      <c r="N919" s="52" t="str">
        <f aca="false">IF(AND(ISNUMBER($G919),$G919&gt;=60),MIN(INDEX($E$719:$E919,202-60):$E919),"")</f>
        <v/>
      </c>
      <c r="O919" s="53" t="str">
        <f aca="false">IF(OR(NOT(ISNUMBER($C919)),NOT(ISNUMBER($M919)),$M919=0),"",$C919/$M919-1)</f>
        <v/>
      </c>
      <c r="P919" s="54"/>
      <c r="Q919" s="53" t="str">
        <f aca="false">IF(NOT(ISNUMBER($P919)),"",IFERROR(PERCENTRANK($P$5:$P$1204,$P919),""))</f>
        <v/>
      </c>
    </row>
    <row r="920" customFormat="false" ht="15" hidden="false" customHeight="false" outlineLevel="0" collapsed="false">
      <c r="A920" s="55"/>
      <c r="B920" s="56"/>
      <c r="C920" s="57"/>
      <c r="D920" s="56"/>
      <c r="E920" s="56"/>
      <c r="F920" s="56"/>
      <c r="G920" s="50" t="str">
        <f aca="false">IF($A920="","",IF(ISNUMBER($G919),$G919+1,1))</f>
        <v/>
      </c>
      <c r="H920" s="51" t="str">
        <f aca="false">IF(OR(NOT(ISNUMBER($G920)),$G920&lt;2,NOT(ISNUMBER($C919)),$C919=0),"",$C920/$C919-1)</f>
        <v/>
      </c>
      <c r="I920" s="52" t="str">
        <f aca="false">IF(AND(ISNUMBER($G920),$G920&gt;=MA_SHORT),AVERAGE(INDEX($C$520:$C920,402-MA_SHORT):$C920),"")</f>
        <v/>
      </c>
      <c r="J920" s="52" t="str">
        <f aca="false">IF(AND(ISNUMBER($G920),$G920&gt;=MA_MED),AVERAGE(INDEX($C$520:$C920,402-MA_MED):$C920),"")</f>
        <v/>
      </c>
      <c r="K920" s="52" t="str">
        <f aca="false">IF(AND(ISNUMBER($G920),$G920&gt;=MA_LONG2),AVERAGE(INDEX($C$520:$C920,402-MA_LONG2):$C920),"")</f>
        <v/>
      </c>
      <c r="L920" s="53" t="str">
        <f aca="false">IF(AND(ISNUMBER($G920),$G920&gt;=21),STDEV(INDEX($H$860:$H920,62-20):$H920)*SQRT(245),"")</f>
        <v/>
      </c>
      <c r="M920" s="52" t="str">
        <f aca="false">IF(AND(ISNUMBER($G920),$G920&gt;=60),MAX(INDEX($D$720:$D920,202-60):$D920),"")</f>
        <v/>
      </c>
      <c r="N920" s="52" t="str">
        <f aca="false">IF(AND(ISNUMBER($G920),$G920&gt;=60),MIN(INDEX($E$720:$E920,202-60):$E920),"")</f>
        <v/>
      </c>
      <c r="O920" s="53" t="str">
        <f aca="false">IF(OR(NOT(ISNUMBER($C920)),NOT(ISNUMBER($M920)),$M920=0),"",$C920/$M920-1)</f>
        <v/>
      </c>
      <c r="P920" s="54"/>
      <c r="Q920" s="53" t="str">
        <f aca="false">IF(NOT(ISNUMBER($P920)),"",IFERROR(PERCENTRANK($P$5:$P$1204,$P920),""))</f>
        <v/>
      </c>
    </row>
    <row r="921" customFormat="false" ht="15" hidden="false" customHeight="false" outlineLevel="0" collapsed="false">
      <c r="A921" s="55"/>
      <c r="B921" s="56"/>
      <c r="C921" s="57"/>
      <c r="D921" s="56"/>
      <c r="E921" s="56"/>
      <c r="F921" s="56"/>
      <c r="G921" s="50" t="str">
        <f aca="false">IF($A921="","",IF(ISNUMBER($G920),$G920+1,1))</f>
        <v/>
      </c>
      <c r="H921" s="51" t="str">
        <f aca="false">IF(OR(NOT(ISNUMBER($G921)),$G921&lt;2,NOT(ISNUMBER($C920)),$C920=0),"",$C921/$C920-1)</f>
        <v/>
      </c>
      <c r="I921" s="52" t="str">
        <f aca="false">IF(AND(ISNUMBER($G921),$G921&gt;=MA_SHORT),AVERAGE(INDEX($C$521:$C921,402-MA_SHORT):$C921),"")</f>
        <v/>
      </c>
      <c r="J921" s="52" t="str">
        <f aca="false">IF(AND(ISNUMBER($G921),$G921&gt;=MA_MED),AVERAGE(INDEX($C$521:$C921,402-MA_MED):$C921),"")</f>
        <v/>
      </c>
      <c r="K921" s="52" t="str">
        <f aca="false">IF(AND(ISNUMBER($G921),$G921&gt;=MA_LONG2),AVERAGE(INDEX($C$521:$C921,402-MA_LONG2):$C921),"")</f>
        <v/>
      </c>
      <c r="L921" s="53" t="str">
        <f aca="false">IF(AND(ISNUMBER($G921),$G921&gt;=21),STDEV(INDEX($H$861:$H921,62-20):$H921)*SQRT(245),"")</f>
        <v/>
      </c>
      <c r="M921" s="52" t="str">
        <f aca="false">IF(AND(ISNUMBER($G921),$G921&gt;=60),MAX(INDEX($D$721:$D921,202-60):$D921),"")</f>
        <v/>
      </c>
      <c r="N921" s="52" t="str">
        <f aca="false">IF(AND(ISNUMBER($G921),$G921&gt;=60),MIN(INDEX($E$721:$E921,202-60):$E921),"")</f>
        <v/>
      </c>
      <c r="O921" s="53" t="str">
        <f aca="false">IF(OR(NOT(ISNUMBER($C921)),NOT(ISNUMBER($M921)),$M921=0),"",$C921/$M921-1)</f>
        <v/>
      </c>
      <c r="P921" s="54"/>
      <c r="Q921" s="53" t="str">
        <f aca="false">IF(NOT(ISNUMBER($P921)),"",IFERROR(PERCENTRANK($P$5:$P$1204,$P921),""))</f>
        <v/>
      </c>
    </row>
    <row r="922" customFormat="false" ht="15" hidden="false" customHeight="false" outlineLevel="0" collapsed="false">
      <c r="A922" s="55"/>
      <c r="B922" s="56"/>
      <c r="C922" s="57"/>
      <c r="D922" s="56"/>
      <c r="E922" s="56"/>
      <c r="F922" s="56"/>
      <c r="G922" s="50" t="str">
        <f aca="false">IF($A922="","",IF(ISNUMBER($G921),$G921+1,1))</f>
        <v/>
      </c>
      <c r="H922" s="51" t="str">
        <f aca="false">IF(OR(NOT(ISNUMBER($G922)),$G922&lt;2,NOT(ISNUMBER($C921)),$C921=0),"",$C922/$C921-1)</f>
        <v/>
      </c>
      <c r="I922" s="52" t="str">
        <f aca="false">IF(AND(ISNUMBER($G922),$G922&gt;=MA_SHORT),AVERAGE(INDEX($C$522:$C922,402-MA_SHORT):$C922),"")</f>
        <v/>
      </c>
      <c r="J922" s="52" t="str">
        <f aca="false">IF(AND(ISNUMBER($G922),$G922&gt;=MA_MED),AVERAGE(INDEX($C$522:$C922,402-MA_MED):$C922),"")</f>
        <v/>
      </c>
      <c r="K922" s="52" t="str">
        <f aca="false">IF(AND(ISNUMBER($G922),$G922&gt;=MA_LONG2),AVERAGE(INDEX($C$522:$C922,402-MA_LONG2):$C922),"")</f>
        <v/>
      </c>
      <c r="L922" s="53" t="str">
        <f aca="false">IF(AND(ISNUMBER($G922),$G922&gt;=21),STDEV(INDEX($H$862:$H922,62-20):$H922)*SQRT(245),"")</f>
        <v/>
      </c>
      <c r="M922" s="52" t="str">
        <f aca="false">IF(AND(ISNUMBER($G922),$G922&gt;=60),MAX(INDEX($D$722:$D922,202-60):$D922),"")</f>
        <v/>
      </c>
      <c r="N922" s="52" t="str">
        <f aca="false">IF(AND(ISNUMBER($G922),$G922&gt;=60),MIN(INDEX($E$722:$E922,202-60):$E922),"")</f>
        <v/>
      </c>
      <c r="O922" s="53" t="str">
        <f aca="false">IF(OR(NOT(ISNUMBER($C922)),NOT(ISNUMBER($M922)),$M922=0),"",$C922/$M922-1)</f>
        <v/>
      </c>
      <c r="P922" s="54"/>
      <c r="Q922" s="53" t="str">
        <f aca="false">IF(NOT(ISNUMBER($P922)),"",IFERROR(PERCENTRANK($P$5:$P$1204,$P922),""))</f>
        <v/>
      </c>
    </row>
    <row r="923" customFormat="false" ht="15" hidden="false" customHeight="false" outlineLevel="0" collapsed="false">
      <c r="A923" s="55"/>
      <c r="B923" s="56"/>
      <c r="C923" s="57"/>
      <c r="D923" s="56"/>
      <c r="E923" s="56"/>
      <c r="F923" s="56"/>
      <c r="G923" s="50" t="str">
        <f aca="false">IF($A923="","",IF(ISNUMBER($G922),$G922+1,1))</f>
        <v/>
      </c>
      <c r="H923" s="51" t="str">
        <f aca="false">IF(OR(NOT(ISNUMBER($G923)),$G923&lt;2,NOT(ISNUMBER($C922)),$C922=0),"",$C923/$C922-1)</f>
        <v/>
      </c>
      <c r="I923" s="52" t="str">
        <f aca="false">IF(AND(ISNUMBER($G923),$G923&gt;=MA_SHORT),AVERAGE(INDEX($C$523:$C923,402-MA_SHORT):$C923),"")</f>
        <v/>
      </c>
      <c r="J923" s="52" t="str">
        <f aca="false">IF(AND(ISNUMBER($G923),$G923&gt;=MA_MED),AVERAGE(INDEX($C$523:$C923,402-MA_MED):$C923),"")</f>
        <v/>
      </c>
      <c r="K923" s="52" t="str">
        <f aca="false">IF(AND(ISNUMBER($G923),$G923&gt;=MA_LONG2),AVERAGE(INDEX($C$523:$C923,402-MA_LONG2):$C923),"")</f>
        <v/>
      </c>
      <c r="L923" s="53" t="str">
        <f aca="false">IF(AND(ISNUMBER($G923),$G923&gt;=21),STDEV(INDEX($H$863:$H923,62-20):$H923)*SQRT(245),"")</f>
        <v/>
      </c>
      <c r="M923" s="52" t="str">
        <f aca="false">IF(AND(ISNUMBER($G923),$G923&gt;=60),MAX(INDEX($D$723:$D923,202-60):$D923),"")</f>
        <v/>
      </c>
      <c r="N923" s="52" t="str">
        <f aca="false">IF(AND(ISNUMBER($G923),$G923&gt;=60),MIN(INDEX($E$723:$E923,202-60):$E923),"")</f>
        <v/>
      </c>
      <c r="O923" s="53" t="str">
        <f aca="false">IF(OR(NOT(ISNUMBER($C923)),NOT(ISNUMBER($M923)),$M923=0),"",$C923/$M923-1)</f>
        <v/>
      </c>
      <c r="P923" s="54"/>
      <c r="Q923" s="53" t="str">
        <f aca="false">IF(NOT(ISNUMBER($P923)),"",IFERROR(PERCENTRANK($P$5:$P$1204,$P923),""))</f>
        <v/>
      </c>
    </row>
    <row r="924" customFormat="false" ht="15" hidden="false" customHeight="false" outlineLevel="0" collapsed="false">
      <c r="A924" s="55"/>
      <c r="B924" s="56"/>
      <c r="C924" s="57"/>
      <c r="D924" s="56"/>
      <c r="E924" s="56"/>
      <c r="F924" s="56"/>
      <c r="G924" s="50" t="str">
        <f aca="false">IF($A924="","",IF(ISNUMBER($G923),$G923+1,1))</f>
        <v/>
      </c>
      <c r="H924" s="51" t="str">
        <f aca="false">IF(OR(NOT(ISNUMBER($G924)),$G924&lt;2,NOT(ISNUMBER($C923)),$C923=0),"",$C924/$C923-1)</f>
        <v/>
      </c>
      <c r="I924" s="52" t="str">
        <f aca="false">IF(AND(ISNUMBER($G924),$G924&gt;=MA_SHORT),AVERAGE(INDEX($C$524:$C924,402-MA_SHORT):$C924),"")</f>
        <v/>
      </c>
      <c r="J924" s="52" t="str">
        <f aca="false">IF(AND(ISNUMBER($G924),$G924&gt;=MA_MED),AVERAGE(INDEX($C$524:$C924,402-MA_MED):$C924),"")</f>
        <v/>
      </c>
      <c r="K924" s="52" t="str">
        <f aca="false">IF(AND(ISNUMBER($G924),$G924&gt;=MA_LONG2),AVERAGE(INDEX($C$524:$C924,402-MA_LONG2):$C924),"")</f>
        <v/>
      </c>
      <c r="L924" s="53" t="str">
        <f aca="false">IF(AND(ISNUMBER($G924),$G924&gt;=21),STDEV(INDEX($H$864:$H924,62-20):$H924)*SQRT(245),"")</f>
        <v/>
      </c>
      <c r="M924" s="52" t="str">
        <f aca="false">IF(AND(ISNUMBER($G924),$G924&gt;=60),MAX(INDEX($D$724:$D924,202-60):$D924),"")</f>
        <v/>
      </c>
      <c r="N924" s="52" t="str">
        <f aca="false">IF(AND(ISNUMBER($G924),$G924&gt;=60),MIN(INDEX($E$724:$E924,202-60):$E924),"")</f>
        <v/>
      </c>
      <c r="O924" s="53" t="str">
        <f aca="false">IF(OR(NOT(ISNUMBER($C924)),NOT(ISNUMBER($M924)),$M924=0),"",$C924/$M924-1)</f>
        <v/>
      </c>
      <c r="P924" s="54"/>
      <c r="Q924" s="53" t="str">
        <f aca="false">IF(NOT(ISNUMBER($P924)),"",IFERROR(PERCENTRANK($P$5:$P$1204,$P924),""))</f>
        <v/>
      </c>
    </row>
    <row r="925" customFormat="false" ht="15" hidden="false" customHeight="false" outlineLevel="0" collapsed="false">
      <c r="A925" s="55"/>
      <c r="B925" s="56"/>
      <c r="C925" s="57"/>
      <c r="D925" s="56"/>
      <c r="E925" s="56"/>
      <c r="F925" s="56"/>
      <c r="G925" s="50" t="str">
        <f aca="false">IF($A925="","",IF(ISNUMBER($G924),$G924+1,1))</f>
        <v/>
      </c>
      <c r="H925" s="51" t="str">
        <f aca="false">IF(OR(NOT(ISNUMBER($G925)),$G925&lt;2,NOT(ISNUMBER($C924)),$C924=0),"",$C925/$C924-1)</f>
        <v/>
      </c>
      <c r="I925" s="52" t="str">
        <f aca="false">IF(AND(ISNUMBER($G925),$G925&gt;=MA_SHORT),AVERAGE(INDEX($C$525:$C925,402-MA_SHORT):$C925),"")</f>
        <v/>
      </c>
      <c r="J925" s="52" t="str">
        <f aca="false">IF(AND(ISNUMBER($G925),$G925&gt;=MA_MED),AVERAGE(INDEX($C$525:$C925,402-MA_MED):$C925),"")</f>
        <v/>
      </c>
      <c r="K925" s="52" t="str">
        <f aca="false">IF(AND(ISNUMBER($G925),$G925&gt;=MA_LONG2),AVERAGE(INDEX($C$525:$C925,402-MA_LONG2):$C925),"")</f>
        <v/>
      </c>
      <c r="L925" s="53" t="str">
        <f aca="false">IF(AND(ISNUMBER($G925),$G925&gt;=21),STDEV(INDEX($H$865:$H925,62-20):$H925)*SQRT(245),"")</f>
        <v/>
      </c>
      <c r="M925" s="52" t="str">
        <f aca="false">IF(AND(ISNUMBER($G925),$G925&gt;=60),MAX(INDEX($D$725:$D925,202-60):$D925),"")</f>
        <v/>
      </c>
      <c r="N925" s="52" t="str">
        <f aca="false">IF(AND(ISNUMBER($G925),$G925&gt;=60),MIN(INDEX($E$725:$E925,202-60):$E925),"")</f>
        <v/>
      </c>
      <c r="O925" s="53" t="str">
        <f aca="false">IF(OR(NOT(ISNUMBER($C925)),NOT(ISNUMBER($M925)),$M925=0),"",$C925/$M925-1)</f>
        <v/>
      </c>
      <c r="P925" s="54"/>
      <c r="Q925" s="53" t="str">
        <f aca="false">IF(NOT(ISNUMBER($P925)),"",IFERROR(PERCENTRANK($P$5:$P$1204,$P925),""))</f>
        <v/>
      </c>
    </row>
    <row r="926" customFormat="false" ht="15" hidden="false" customHeight="false" outlineLevel="0" collapsed="false">
      <c r="A926" s="55"/>
      <c r="B926" s="56"/>
      <c r="C926" s="57"/>
      <c r="D926" s="56"/>
      <c r="E926" s="56"/>
      <c r="F926" s="56"/>
      <c r="G926" s="50" t="str">
        <f aca="false">IF($A926="","",IF(ISNUMBER($G925),$G925+1,1))</f>
        <v/>
      </c>
      <c r="H926" s="51" t="str">
        <f aca="false">IF(OR(NOT(ISNUMBER($G926)),$G926&lt;2,NOT(ISNUMBER($C925)),$C925=0),"",$C926/$C925-1)</f>
        <v/>
      </c>
      <c r="I926" s="52" t="str">
        <f aca="false">IF(AND(ISNUMBER($G926),$G926&gt;=MA_SHORT),AVERAGE(INDEX($C$526:$C926,402-MA_SHORT):$C926),"")</f>
        <v/>
      </c>
      <c r="J926" s="52" t="str">
        <f aca="false">IF(AND(ISNUMBER($G926),$G926&gt;=MA_MED),AVERAGE(INDEX($C$526:$C926,402-MA_MED):$C926),"")</f>
        <v/>
      </c>
      <c r="K926" s="52" t="str">
        <f aca="false">IF(AND(ISNUMBER($G926),$G926&gt;=MA_LONG2),AVERAGE(INDEX($C$526:$C926,402-MA_LONG2):$C926),"")</f>
        <v/>
      </c>
      <c r="L926" s="53" t="str">
        <f aca="false">IF(AND(ISNUMBER($G926),$G926&gt;=21),STDEV(INDEX($H$866:$H926,62-20):$H926)*SQRT(245),"")</f>
        <v/>
      </c>
      <c r="M926" s="52" t="str">
        <f aca="false">IF(AND(ISNUMBER($G926),$G926&gt;=60),MAX(INDEX($D$726:$D926,202-60):$D926),"")</f>
        <v/>
      </c>
      <c r="N926" s="52" t="str">
        <f aca="false">IF(AND(ISNUMBER($G926),$G926&gt;=60),MIN(INDEX($E$726:$E926,202-60):$E926),"")</f>
        <v/>
      </c>
      <c r="O926" s="53" t="str">
        <f aca="false">IF(OR(NOT(ISNUMBER($C926)),NOT(ISNUMBER($M926)),$M926=0),"",$C926/$M926-1)</f>
        <v/>
      </c>
      <c r="P926" s="54"/>
      <c r="Q926" s="53" t="str">
        <f aca="false">IF(NOT(ISNUMBER($P926)),"",IFERROR(PERCENTRANK($P$5:$P$1204,$P926),""))</f>
        <v/>
      </c>
    </row>
    <row r="927" customFormat="false" ht="15" hidden="false" customHeight="false" outlineLevel="0" collapsed="false">
      <c r="A927" s="55"/>
      <c r="B927" s="56"/>
      <c r="C927" s="57"/>
      <c r="D927" s="56"/>
      <c r="E927" s="56"/>
      <c r="F927" s="56"/>
      <c r="G927" s="50" t="str">
        <f aca="false">IF($A927="","",IF(ISNUMBER($G926),$G926+1,1))</f>
        <v/>
      </c>
      <c r="H927" s="51" t="str">
        <f aca="false">IF(OR(NOT(ISNUMBER($G927)),$G927&lt;2,NOT(ISNUMBER($C926)),$C926=0),"",$C927/$C926-1)</f>
        <v/>
      </c>
      <c r="I927" s="52" t="str">
        <f aca="false">IF(AND(ISNUMBER($G927),$G927&gt;=MA_SHORT),AVERAGE(INDEX($C$527:$C927,402-MA_SHORT):$C927),"")</f>
        <v/>
      </c>
      <c r="J927" s="52" t="str">
        <f aca="false">IF(AND(ISNUMBER($G927),$G927&gt;=MA_MED),AVERAGE(INDEX($C$527:$C927,402-MA_MED):$C927),"")</f>
        <v/>
      </c>
      <c r="K927" s="52" t="str">
        <f aca="false">IF(AND(ISNUMBER($G927),$G927&gt;=MA_LONG2),AVERAGE(INDEX($C$527:$C927,402-MA_LONG2):$C927),"")</f>
        <v/>
      </c>
      <c r="L927" s="53" t="str">
        <f aca="false">IF(AND(ISNUMBER($G927),$G927&gt;=21),STDEV(INDEX($H$867:$H927,62-20):$H927)*SQRT(245),"")</f>
        <v/>
      </c>
      <c r="M927" s="52" t="str">
        <f aca="false">IF(AND(ISNUMBER($G927),$G927&gt;=60),MAX(INDEX($D$727:$D927,202-60):$D927),"")</f>
        <v/>
      </c>
      <c r="N927" s="52" t="str">
        <f aca="false">IF(AND(ISNUMBER($G927),$G927&gt;=60),MIN(INDEX($E$727:$E927,202-60):$E927),"")</f>
        <v/>
      </c>
      <c r="O927" s="53" t="str">
        <f aca="false">IF(OR(NOT(ISNUMBER($C927)),NOT(ISNUMBER($M927)),$M927=0),"",$C927/$M927-1)</f>
        <v/>
      </c>
      <c r="P927" s="54"/>
      <c r="Q927" s="53" t="str">
        <f aca="false">IF(NOT(ISNUMBER($P927)),"",IFERROR(PERCENTRANK($P$5:$P$1204,$P927),""))</f>
        <v/>
      </c>
    </row>
    <row r="928" customFormat="false" ht="15" hidden="false" customHeight="false" outlineLevel="0" collapsed="false">
      <c r="A928" s="55"/>
      <c r="B928" s="56"/>
      <c r="C928" s="57"/>
      <c r="D928" s="56"/>
      <c r="E928" s="56"/>
      <c r="F928" s="56"/>
      <c r="G928" s="50" t="str">
        <f aca="false">IF($A928="","",IF(ISNUMBER($G927),$G927+1,1))</f>
        <v/>
      </c>
      <c r="H928" s="51" t="str">
        <f aca="false">IF(OR(NOT(ISNUMBER($G928)),$G928&lt;2,NOT(ISNUMBER($C927)),$C927=0),"",$C928/$C927-1)</f>
        <v/>
      </c>
      <c r="I928" s="52" t="str">
        <f aca="false">IF(AND(ISNUMBER($G928),$G928&gt;=MA_SHORT),AVERAGE(INDEX($C$528:$C928,402-MA_SHORT):$C928),"")</f>
        <v/>
      </c>
      <c r="J928" s="52" t="str">
        <f aca="false">IF(AND(ISNUMBER($G928),$G928&gt;=MA_MED),AVERAGE(INDEX($C$528:$C928,402-MA_MED):$C928),"")</f>
        <v/>
      </c>
      <c r="K928" s="52" t="str">
        <f aca="false">IF(AND(ISNUMBER($G928),$G928&gt;=MA_LONG2),AVERAGE(INDEX($C$528:$C928,402-MA_LONG2):$C928),"")</f>
        <v/>
      </c>
      <c r="L928" s="53" t="str">
        <f aca="false">IF(AND(ISNUMBER($G928),$G928&gt;=21),STDEV(INDEX($H$868:$H928,62-20):$H928)*SQRT(245),"")</f>
        <v/>
      </c>
      <c r="M928" s="52" t="str">
        <f aca="false">IF(AND(ISNUMBER($G928),$G928&gt;=60),MAX(INDEX($D$728:$D928,202-60):$D928),"")</f>
        <v/>
      </c>
      <c r="N928" s="52" t="str">
        <f aca="false">IF(AND(ISNUMBER($G928),$G928&gt;=60),MIN(INDEX($E$728:$E928,202-60):$E928),"")</f>
        <v/>
      </c>
      <c r="O928" s="53" t="str">
        <f aca="false">IF(OR(NOT(ISNUMBER($C928)),NOT(ISNUMBER($M928)),$M928=0),"",$C928/$M928-1)</f>
        <v/>
      </c>
      <c r="P928" s="54"/>
      <c r="Q928" s="53" t="str">
        <f aca="false">IF(NOT(ISNUMBER($P928)),"",IFERROR(PERCENTRANK($P$5:$P$1204,$P928),""))</f>
        <v/>
      </c>
    </row>
    <row r="929" customFormat="false" ht="15" hidden="false" customHeight="false" outlineLevel="0" collapsed="false">
      <c r="A929" s="55"/>
      <c r="B929" s="56"/>
      <c r="C929" s="57"/>
      <c r="D929" s="56"/>
      <c r="E929" s="56"/>
      <c r="F929" s="56"/>
      <c r="G929" s="50" t="str">
        <f aca="false">IF($A929="","",IF(ISNUMBER($G928),$G928+1,1))</f>
        <v/>
      </c>
      <c r="H929" s="51" t="str">
        <f aca="false">IF(OR(NOT(ISNUMBER($G929)),$G929&lt;2,NOT(ISNUMBER($C928)),$C928=0),"",$C929/$C928-1)</f>
        <v/>
      </c>
      <c r="I929" s="52" t="str">
        <f aca="false">IF(AND(ISNUMBER($G929),$G929&gt;=MA_SHORT),AVERAGE(INDEX($C$529:$C929,402-MA_SHORT):$C929),"")</f>
        <v/>
      </c>
      <c r="J929" s="52" t="str">
        <f aca="false">IF(AND(ISNUMBER($G929),$G929&gt;=MA_MED),AVERAGE(INDEX($C$529:$C929,402-MA_MED):$C929),"")</f>
        <v/>
      </c>
      <c r="K929" s="52" t="str">
        <f aca="false">IF(AND(ISNUMBER($G929),$G929&gt;=MA_LONG2),AVERAGE(INDEX($C$529:$C929,402-MA_LONG2):$C929),"")</f>
        <v/>
      </c>
      <c r="L929" s="53" t="str">
        <f aca="false">IF(AND(ISNUMBER($G929),$G929&gt;=21),STDEV(INDEX($H$869:$H929,62-20):$H929)*SQRT(245),"")</f>
        <v/>
      </c>
      <c r="M929" s="52" t="str">
        <f aca="false">IF(AND(ISNUMBER($G929),$G929&gt;=60),MAX(INDEX($D$729:$D929,202-60):$D929),"")</f>
        <v/>
      </c>
      <c r="N929" s="52" t="str">
        <f aca="false">IF(AND(ISNUMBER($G929),$G929&gt;=60),MIN(INDEX($E$729:$E929,202-60):$E929),"")</f>
        <v/>
      </c>
      <c r="O929" s="53" t="str">
        <f aca="false">IF(OR(NOT(ISNUMBER($C929)),NOT(ISNUMBER($M929)),$M929=0),"",$C929/$M929-1)</f>
        <v/>
      </c>
      <c r="P929" s="54"/>
      <c r="Q929" s="53" t="str">
        <f aca="false">IF(NOT(ISNUMBER($P929)),"",IFERROR(PERCENTRANK($P$5:$P$1204,$P929),""))</f>
        <v/>
      </c>
    </row>
    <row r="930" customFormat="false" ht="15" hidden="false" customHeight="false" outlineLevel="0" collapsed="false">
      <c r="A930" s="55"/>
      <c r="B930" s="56"/>
      <c r="C930" s="57"/>
      <c r="D930" s="56"/>
      <c r="E930" s="56"/>
      <c r="F930" s="56"/>
      <c r="G930" s="50" t="str">
        <f aca="false">IF($A930="","",IF(ISNUMBER($G929),$G929+1,1))</f>
        <v/>
      </c>
      <c r="H930" s="51" t="str">
        <f aca="false">IF(OR(NOT(ISNUMBER($G930)),$G930&lt;2,NOT(ISNUMBER($C929)),$C929=0),"",$C930/$C929-1)</f>
        <v/>
      </c>
      <c r="I930" s="52" t="str">
        <f aca="false">IF(AND(ISNUMBER($G930),$G930&gt;=MA_SHORT),AVERAGE(INDEX($C$530:$C930,402-MA_SHORT):$C930),"")</f>
        <v/>
      </c>
      <c r="J930" s="52" t="str">
        <f aca="false">IF(AND(ISNUMBER($G930),$G930&gt;=MA_MED),AVERAGE(INDEX($C$530:$C930,402-MA_MED):$C930),"")</f>
        <v/>
      </c>
      <c r="K930" s="52" t="str">
        <f aca="false">IF(AND(ISNUMBER($G930),$G930&gt;=MA_LONG2),AVERAGE(INDEX($C$530:$C930,402-MA_LONG2):$C930),"")</f>
        <v/>
      </c>
      <c r="L930" s="53" t="str">
        <f aca="false">IF(AND(ISNUMBER($G930),$G930&gt;=21),STDEV(INDEX($H$870:$H930,62-20):$H930)*SQRT(245),"")</f>
        <v/>
      </c>
      <c r="M930" s="52" t="str">
        <f aca="false">IF(AND(ISNUMBER($G930),$G930&gt;=60),MAX(INDEX($D$730:$D930,202-60):$D930),"")</f>
        <v/>
      </c>
      <c r="N930" s="52" t="str">
        <f aca="false">IF(AND(ISNUMBER($G930),$G930&gt;=60),MIN(INDEX($E$730:$E930,202-60):$E930),"")</f>
        <v/>
      </c>
      <c r="O930" s="53" t="str">
        <f aca="false">IF(OR(NOT(ISNUMBER($C930)),NOT(ISNUMBER($M930)),$M930=0),"",$C930/$M930-1)</f>
        <v/>
      </c>
      <c r="P930" s="54"/>
      <c r="Q930" s="53" t="str">
        <f aca="false">IF(NOT(ISNUMBER($P930)),"",IFERROR(PERCENTRANK($P$5:$P$1204,$P930),""))</f>
        <v/>
      </c>
    </row>
    <row r="931" customFormat="false" ht="15" hidden="false" customHeight="false" outlineLevel="0" collapsed="false">
      <c r="A931" s="55"/>
      <c r="B931" s="56"/>
      <c r="C931" s="57"/>
      <c r="D931" s="56"/>
      <c r="E931" s="56"/>
      <c r="F931" s="56"/>
      <c r="G931" s="50" t="str">
        <f aca="false">IF($A931="","",IF(ISNUMBER($G930),$G930+1,1))</f>
        <v/>
      </c>
      <c r="H931" s="51" t="str">
        <f aca="false">IF(OR(NOT(ISNUMBER($G931)),$G931&lt;2,NOT(ISNUMBER($C930)),$C930=0),"",$C931/$C930-1)</f>
        <v/>
      </c>
      <c r="I931" s="52" t="str">
        <f aca="false">IF(AND(ISNUMBER($G931),$G931&gt;=MA_SHORT),AVERAGE(INDEX($C$531:$C931,402-MA_SHORT):$C931),"")</f>
        <v/>
      </c>
      <c r="J931" s="52" t="str">
        <f aca="false">IF(AND(ISNUMBER($G931),$G931&gt;=MA_MED),AVERAGE(INDEX($C$531:$C931,402-MA_MED):$C931),"")</f>
        <v/>
      </c>
      <c r="K931" s="52" t="str">
        <f aca="false">IF(AND(ISNUMBER($G931),$G931&gt;=MA_LONG2),AVERAGE(INDEX($C$531:$C931,402-MA_LONG2):$C931),"")</f>
        <v/>
      </c>
      <c r="L931" s="53" t="str">
        <f aca="false">IF(AND(ISNUMBER($G931),$G931&gt;=21),STDEV(INDEX($H$871:$H931,62-20):$H931)*SQRT(245),"")</f>
        <v/>
      </c>
      <c r="M931" s="52" t="str">
        <f aca="false">IF(AND(ISNUMBER($G931),$G931&gt;=60),MAX(INDEX($D$731:$D931,202-60):$D931),"")</f>
        <v/>
      </c>
      <c r="N931" s="52" t="str">
        <f aca="false">IF(AND(ISNUMBER($G931),$G931&gt;=60),MIN(INDEX($E$731:$E931,202-60):$E931),"")</f>
        <v/>
      </c>
      <c r="O931" s="53" t="str">
        <f aca="false">IF(OR(NOT(ISNUMBER($C931)),NOT(ISNUMBER($M931)),$M931=0),"",$C931/$M931-1)</f>
        <v/>
      </c>
      <c r="P931" s="54"/>
      <c r="Q931" s="53" t="str">
        <f aca="false">IF(NOT(ISNUMBER($P931)),"",IFERROR(PERCENTRANK($P$5:$P$1204,$P931),""))</f>
        <v/>
      </c>
    </row>
    <row r="932" customFormat="false" ht="15" hidden="false" customHeight="false" outlineLevel="0" collapsed="false">
      <c r="A932" s="55"/>
      <c r="B932" s="56"/>
      <c r="C932" s="57"/>
      <c r="D932" s="56"/>
      <c r="E932" s="56"/>
      <c r="F932" s="56"/>
      <c r="G932" s="50" t="str">
        <f aca="false">IF($A932="","",IF(ISNUMBER($G931),$G931+1,1))</f>
        <v/>
      </c>
      <c r="H932" s="51" t="str">
        <f aca="false">IF(OR(NOT(ISNUMBER($G932)),$G932&lt;2,NOT(ISNUMBER($C931)),$C931=0),"",$C932/$C931-1)</f>
        <v/>
      </c>
      <c r="I932" s="52" t="str">
        <f aca="false">IF(AND(ISNUMBER($G932),$G932&gt;=MA_SHORT),AVERAGE(INDEX($C$532:$C932,402-MA_SHORT):$C932),"")</f>
        <v/>
      </c>
      <c r="J932" s="52" t="str">
        <f aca="false">IF(AND(ISNUMBER($G932),$G932&gt;=MA_MED),AVERAGE(INDEX($C$532:$C932,402-MA_MED):$C932),"")</f>
        <v/>
      </c>
      <c r="K932" s="52" t="str">
        <f aca="false">IF(AND(ISNUMBER($G932),$G932&gt;=MA_LONG2),AVERAGE(INDEX($C$532:$C932,402-MA_LONG2):$C932),"")</f>
        <v/>
      </c>
      <c r="L932" s="53" t="str">
        <f aca="false">IF(AND(ISNUMBER($G932),$G932&gt;=21),STDEV(INDEX($H$872:$H932,62-20):$H932)*SQRT(245),"")</f>
        <v/>
      </c>
      <c r="M932" s="52" t="str">
        <f aca="false">IF(AND(ISNUMBER($G932),$G932&gt;=60),MAX(INDEX($D$732:$D932,202-60):$D932),"")</f>
        <v/>
      </c>
      <c r="N932" s="52" t="str">
        <f aca="false">IF(AND(ISNUMBER($G932),$G932&gt;=60),MIN(INDEX($E$732:$E932,202-60):$E932),"")</f>
        <v/>
      </c>
      <c r="O932" s="53" t="str">
        <f aca="false">IF(OR(NOT(ISNUMBER($C932)),NOT(ISNUMBER($M932)),$M932=0),"",$C932/$M932-1)</f>
        <v/>
      </c>
      <c r="P932" s="54"/>
      <c r="Q932" s="53" t="str">
        <f aca="false">IF(NOT(ISNUMBER($P932)),"",IFERROR(PERCENTRANK($P$5:$P$1204,$P932),""))</f>
        <v/>
      </c>
    </row>
    <row r="933" customFormat="false" ht="15" hidden="false" customHeight="false" outlineLevel="0" collapsed="false">
      <c r="A933" s="55"/>
      <c r="B933" s="56"/>
      <c r="C933" s="57"/>
      <c r="D933" s="56"/>
      <c r="E933" s="56"/>
      <c r="F933" s="56"/>
      <c r="G933" s="50" t="str">
        <f aca="false">IF($A933="","",IF(ISNUMBER($G932),$G932+1,1))</f>
        <v/>
      </c>
      <c r="H933" s="51" t="str">
        <f aca="false">IF(OR(NOT(ISNUMBER($G933)),$G933&lt;2,NOT(ISNUMBER($C932)),$C932=0),"",$C933/$C932-1)</f>
        <v/>
      </c>
      <c r="I933" s="52" t="str">
        <f aca="false">IF(AND(ISNUMBER($G933),$G933&gt;=MA_SHORT),AVERAGE(INDEX($C$533:$C933,402-MA_SHORT):$C933),"")</f>
        <v/>
      </c>
      <c r="J933" s="52" t="str">
        <f aca="false">IF(AND(ISNUMBER($G933),$G933&gt;=MA_MED),AVERAGE(INDEX($C$533:$C933,402-MA_MED):$C933),"")</f>
        <v/>
      </c>
      <c r="K933" s="52" t="str">
        <f aca="false">IF(AND(ISNUMBER($G933),$G933&gt;=MA_LONG2),AVERAGE(INDEX($C$533:$C933,402-MA_LONG2):$C933),"")</f>
        <v/>
      </c>
      <c r="L933" s="53" t="str">
        <f aca="false">IF(AND(ISNUMBER($G933),$G933&gt;=21),STDEV(INDEX($H$873:$H933,62-20):$H933)*SQRT(245),"")</f>
        <v/>
      </c>
      <c r="M933" s="52" t="str">
        <f aca="false">IF(AND(ISNUMBER($G933),$G933&gt;=60),MAX(INDEX($D$733:$D933,202-60):$D933),"")</f>
        <v/>
      </c>
      <c r="N933" s="52" t="str">
        <f aca="false">IF(AND(ISNUMBER($G933),$G933&gt;=60),MIN(INDEX($E$733:$E933,202-60):$E933),"")</f>
        <v/>
      </c>
      <c r="O933" s="53" t="str">
        <f aca="false">IF(OR(NOT(ISNUMBER($C933)),NOT(ISNUMBER($M933)),$M933=0),"",$C933/$M933-1)</f>
        <v/>
      </c>
      <c r="P933" s="54"/>
      <c r="Q933" s="53" t="str">
        <f aca="false">IF(NOT(ISNUMBER($P933)),"",IFERROR(PERCENTRANK($P$5:$P$1204,$P933),""))</f>
        <v/>
      </c>
    </row>
    <row r="934" customFormat="false" ht="15" hidden="false" customHeight="false" outlineLevel="0" collapsed="false">
      <c r="A934" s="55"/>
      <c r="B934" s="56"/>
      <c r="C934" s="57"/>
      <c r="D934" s="56"/>
      <c r="E934" s="56"/>
      <c r="F934" s="56"/>
      <c r="G934" s="50" t="str">
        <f aca="false">IF($A934="","",IF(ISNUMBER($G933),$G933+1,1))</f>
        <v/>
      </c>
      <c r="H934" s="51" t="str">
        <f aca="false">IF(OR(NOT(ISNUMBER($G934)),$G934&lt;2,NOT(ISNUMBER($C933)),$C933=0),"",$C934/$C933-1)</f>
        <v/>
      </c>
      <c r="I934" s="52" t="str">
        <f aca="false">IF(AND(ISNUMBER($G934),$G934&gt;=MA_SHORT),AVERAGE(INDEX($C$534:$C934,402-MA_SHORT):$C934),"")</f>
        <v/>
      </c>
      <c r="J934" s="52" t="str">
        <f aca="false">IF(AND(ISNUMBER($G934),$G934&gt;=MA_MED),AVERAGE(INDEX($C$534:$C934,402-MA_MED):$C934),"")</f>
        <v/>
      </c>
      <c r="K934" s="52" t="str">
        <f aca="false">IF(AND(ISNUMBER($G934),$G934&gt;=MA_LONG2),AVERAGE(INDEX($C$534:$C934,402-MA_LONG2):$C934),"")</f>
        <v/>
      </c>
      <c r="L934" s="53" t="str">
        <f aca="false">IF(AND(ISNUMBER($G934),$G934&gt;=21),STDEV(INDEX($H$874:$H934,62-20):$H934)*SQRT(245),"")</f>
        <v/>
      </c>
      <c r="M934" s="52" t="str">
        <f aca="false">IF(AND(ISNUMBER($G934),$G934&gt;=60),MAX(INDEX($D$734:$D934,202-60):$D934),"")</f>
        <v/>
      </c>
      <c r="N934" s="52" t="str">
        <f aca="false">IF(AND(ISNUMBER($G934),$G934&gt;=60),MIN(INDEX($E$734:$E934,202-60):$E934),"")</f>
        <v/>
      </c>
      <c r="O934" s="53" t="str">
        <f aca="false">IF(OR(NOT(ISNUMBER($C934)),NOT(ISNUMBER($M934)),$M934=0),"",$C934/$M934-1)</f>
        <v/>
      </c>
      <c r="P934" s="54"/>
      <c r="Q934" s="53" t="str">
        <f aca="false">IF(NOT(ISNUMBER($P934)),"",IFERROR(PERCENTRANK($P$5:$P$1204,$P934),""))</f>
        <v/>
      </c>
    </row>
    <row r="935" customFormat="false" ht="15" hidden="false" customHeight="false" outlineLevel="0" collapsed="false">
      <c r="A935" s="55"/>
      <c r="B935" s="56"/>
      <c r="C935" s="57"/>
      <c r="D935" s="56"/>
      <c r="E935" s="56"/>
      <c r="F935" s="56"/>
      <c r="G935" s="50" t="str">
        <f aca="false">IF($A935="","",IF(ISNUMBER($G934),$G934+1,1))</f>
        <v/>
      </c>
      <c r="H935" s="51" t="str">
        <f aca="false">IF(OR(NOT(ISNUMBER($G935)),$G935&lt;2,NOT(ISNUMBER($C934)),$C934=0),"",$C935/$C934-1)</f>
        <v/>
      </c>
      <c r="I935" s="52" t="str">
        <f aca="false">IF(AND(ISNUMBER($G935),$G935&gt;=MA_SHORT),AVERAGE(INDEX($C$535:$C935,402-MA_SHORT):$C935),"")</f>
        <v/>
      </c>
      <c r="J935" s="52" t="str">
        <f aca="false">IF(AND(ISNUMBER($G935),$G935&gt;=MA_MED),AVERAGE(INDEX($C$535:$C935,402-MA_MED):$C935),"")</f>
        <v/>
      </c>
      <c r="K935" s="52" t="str">
        <f aca="false">IF(AND(ISNUMBER($G935),$G935&gt;=MA_LONG2),AVERAGE(INDEX($C$535:$C935,402-MA_LONG2):$C935),"")</f>
        <v/>
      </c>
      <c r="L935" s="53" t="str">
        <f aca="false">IF(AND(ISNUMBER($G935),$G935&gt;=21),STDEV(INDEX($H$875:$H935,62-20):$H935)*SQRT(245),"")</f>
        <v/>
      </c>
      <c r="M935" s="52" t="str">
        <f aca="false">IF(AND(ISNUMBER($G935),$G935&gt;=60),MAX(INDEX($D$735:$D935,202-60):$D935),"")</f>
        <v/>
      </c>
      <c r="N935" s="52" t="str">
        <f aca="false">IF(AND(ISNUMBER($G935),$G935&gt;=60),MIN(INDEX($E$735:$E935,202-60):$E935),"")</f>
        <v/>
      </c>
      <c r="O935" s="53" t="str">
        <f aca="false">IF(OR(NOT(ISNUMBER($C935)),NOT(ISNUMBER($M935)),$M935=0),"",$C935/$M935-1)</f>
        <v/>
      </c>
      <c r="P935" s="54"/>
      <c r="Q935" s="53" t="str">
        <f aca="false">IF(NOT(ISNUMBER($P935)),"",IFERROR(PERCENTRANK($P$5:$P$1204,$P935),""))</f>
        <v/>
      </c>
    </row>
    <row r="936" customFormat="false" ht="15" hidden="false" customHeight="false" outlineLevel="0" collapsed="false">
      <c r="A936" s="55"/>
      <c r="B936" s="56"/>
      <c r="C936" s="57"/>
      <c r="D936" s="56"/>
      <c r="E936" s="56"/>
      <c r="F936" s="56"/>
      <c r="G936" s="50" t="str">
        <f aca="false">IF($A936="","",IF(ISNUMBER($G935),$G935+1,1))</f>
        <v/>
      </c>
      <c r="H936" s="51" t="str">
        <f aca="false">IF(OR(NOT(ISNUMBER($G936)),$G936&lt;2,NOT(ISNUMBER($C935)),$C935=0),"",$C936/$C935-1)</f>
        <v/>
      </c>
      <c r="I936" s="52" t="str">
        <f aca="false">IF(AND(ISNUMBER($G936),$G936&gt;=MA_SHORT),AVERAGE(INDEX($C$536:$C936,402-MA_SHORT):$C936),"")</f>
        <v/>
      </c>
      <c r="J936" s="52" t="str">
        <f aca="false">IF(AND(ISNUMBER($G936),$G936&gt;=MA_MED),AVERAGE(INDEX($C$536:$C936,402-MA_MED):$C936),"")</f>
        <v/>
      </c>
      <c r="K936" s="52" t="str">
        <f aca="false">IF(AND(ISNUMBER($G936),$G936&gt;=MA_LONG2),AVERAGE(INDEX($C$536:$C936,402-MA_LONG2):$C936),"")</f>
        <v/>
      </c>
      <c r="L936" s="53" t="str">
        <f aca="false">IF(AND(ISNUMBER($G936),$G936&gt;=21),STDEV(INDEX($H$876:$H936,62-20):$H936)*SQRT(245),"")</f>
        <v/>
      </c>
      <c r="M936" s="52" t="str">
        <f aca="false">IF(AND(ISNUMBER($G936),$G936&gt;=60),MAX(INDEX($D$736:$D936,202-60):$D936),"")</f>
        <v/>
      </c>
      <c r="N936" s="52" t="str">
        <f aca="false">IF(AND(ISNUMBER($G936),$G936&gt;=60),MIN(INDEX($E$736:$E936,202-60):$E936),"")</f>
        <v/>
      </c>
      <c r="O936" s="53" t="str">
        <f aca="false">IF(OR(NOT(ISNUMBER($C936)),NOT(ISNUMBER($M936)),$M936=0),"",$C936/$M936-1)</f>
        <v/>
      </c>
      <c r="P936" s="54"/>
      <c r="Q936" s="53" t="str">
        <f aca="false">IF(NOT(ISNUMBER($P936)),"",IFERROR(PERCENTRANK($P$5:$P$1204,$P936),""))</f>
        <v/>
      </c>
    </row>
    <row r="937" customFormat="false" ht="15" hidden="false" customHeight="false" outlineLevel="0" collapsed="false">
      <c r="A937" s="55"/>
      <c r="B937" s="56"/>
      <c r="C937" s="57"/>
      <c r="D937" s="56"/>
      <c r="E937" s="56"/>
      <c r="F937" s="56"/>
      <c r="G937" s="50" t="str">
        <f aca="false">IF($A937="","",IF(ISNUMBER($G936),$G936+1,1))</f>
        <v/>
      </c>
      <c r="H937" s="51" t="str">
        <f aca="false">IF(OR(NOT(ISNUMBER($G937)),$G937&lt;2,NOT(ISNUMBER($C936)),$C936=0),"",$C937/$C936-1)</f>
        <v/>
      </c>
      <c r="I937" s="52" t="str">
        <f aca="false">IF(AND(ISNUMBER($G937),$G937&gt;=MA_SHORT),AVERAGE(INDEX($C$537:$C937,402-MA_SHORT):$C937),"")</f>
        <v/>
      </c>
      <c r="J937" s="52" t="str">
        <f aca="false">IF(AND(ISNUMBER($G937),$G937&gt;=MA_MED),AVERAGE(INDEX($C$537:$C937,402-MA_MED):$C937),"")</f>
        <v/>
      </c>
      <c r="K937" s="52" t="str">
        <f aca="false">IF(AND(ISNUMBER($G937),$G937&gt;=MA_LONG2),AVERAGE(INDEX($C$537:$C937,402-MA_LONG2):$C937),"")</f>
        <v/>
      </c>
      <c r="L937" s="53" t="str">
        <f aca="false">IF(AND(ISNUMBER($G937),$G937&gt;=21),STDEV(INDEX($H$877:$H937,62-20):$H937)*SQRT(245),"")</f>
        <v/>
      </c>
      <c r="M937" s="52" t="str">
        <f aca="false">IF(AND(ISNUMBER($G937),$G937&gt;=60),MAX(INDEX($D$737:$D937,202-60):$D937),"")</f>
        <v/>
      </c>
      <c r="N937" s="52" t="str">
        <f aca="false">IF(AND(ISNUMBER($G937),$G937&gt;=60),MIN(INDEX($E$737:$E937,202-60):$E937),"")</f>
        <v/>
      </c>
      <c r="O937" s="53" t="str">
        <f aca="false">IF(OR(NOT(ISNUMBER($C937)),NOT(ISNUMBER($M937)),$M937=0),"",$C937/$M937-1)</f>
        <v/>
      </c>
      <c r="P937" s="54"/>
      <c r="Q937" s="53" t="str">
        <f aca="false">IF(NOT(ISNUMBER($P937)),"",IFERROR(PERCENTRANK($P$5:$P$1204,$P937),""))</f>
        <v/>
      </c>
    </row>
    <row r="938" customFormat="false" ht="15" hidden="false" customHeight="false" outlineLevel="0" collapsed="false">
      <c r="A938" s="55"/>
      <c r="B938" s="56"/>
      <c r="C938" s="57"/>
      <c r="D938" s="56"/>
      <c r="E938" s="56"/>
      <c r="F938" s="56"/>
      <c r="G938" s="50" t="str">
        <f aca="false">IF($A938="","",IF(ISNUMBER($G937),$G937+1,1))</f>
        <v/>
      </c>
      <c r="H938" s="51" t="str">
        <f aca="false">IF(OR(NOT(ISNUMBER($G938)),$G938&lt;2,NOT(ISNUMBER($C937)),$C937=0),"",$C938/$C937-1)</f>
        <v/>
      </c>
      <c r="I938" s="52" t="str">
        <f aca="false">IF(AND(ISNUMBER($G938),$G938&gt;=MA_SHORT),AVERAGE(INDEX($C$538:$C938,402-MA_SHORT):$C938),"")</f>
        <v/>
      </c>
      <c r="J938" s="52" t="str">
        <f aca="false">IF(AND(ISNUMBER($G938),$G938&gt;=MA_MED),AVERAGE(INDEX($C$538:$C938,402-MA_MED):$C938),"")</f>
        <v/>
      </c>
      <c r="K938" s="52" t="str">
        <f aca="false">IF(AND(ISNUMBER($G938),$G938&gt;=MA_LONG2),AVERAGE(INDEX($C$538:$C938,402-MA_LONG2):$C938),"")</f>
        <v/>
      </c>
      <c r="L938" s="53" t="str">
        <f aca="false">IF(AND(ISNUMBER($G938),$G938&gt;=21),STDEV(INDEX($H$878:$H938,62-20):$H938)*SQRT(245),"")</f>
        <v/>
      </c>
      <c r="M938" s="52" t="str">
        <f aca="false">IF(AND(ISNUMBER($G938),$G938&gt;=60),MAX(INDEX($D$738:$D938,202-60):$D938),"")</f>
        <v/>
      </c>
      <c r="N938" s="52" t="str">
        <f aca="false">IF(AND(ISNUMBER($G938),$G938&gt;=60),MIN(INDEX($E$738:$E938,202-60):$E938),"")</f>
        <v/>
      </c>
      <c r="O938" s="53" t="str">
        <f aca="false">IF(OR(NOT(ISNUMBER($C938)),NOT(ISNUMBER($M938)),$M938=0),"",$C938/$M938-1)</f>
        <v/>
      </c>
      <c r="P938" s="54"/>
      <c r="Q938" s="53" t="str">
        <f aca="false">IF(NOT(ISNUMBER($P938)),"",IFERROR(PERCENTRANK($P$5:$P$1204,$P938),""))</f>
        <v/>
      </c>
    </row>
    <row r="939" customFormat="false" ht="15" hidden="false" customHeight="false" outlineLevel="0" collapsed="false">
      <c r="A939" s="55"/>
      <c r="B939" s="56"/>
      <c r="C939" s="57"/>
      <c r="D939" s="56"/>
      <c r="E939" s="56"/>
      <c r="F939" s="56"/>
      <c r="G939" s="50" t="str">
        <f aca="false">IF($A939="","",IF(ISNUMBER($G938),$G938+1,1))</f>
        <v/>
      </c>
      <c r="H939" s="51" t="str">
        <f aca="false">IF(OR(NOT(ISNUMBER($G939)),$G939&lt;2,NOT(ISNUMBER($C938)),$C938=0),"",$C939/$C938-1)</f>
        <v/>
      </c>
      <c r="I939" s="52" t="str">
        <f aca="false">IF(AND(ISNUMBER($G939),$G939&gt;=MA_SHORT),AVERAGE(INDEX($C$539:$C939,402-MA_SHORT):$C939),"")</f>
        <v/>
      </c>
      <c r="J939" s="52" t="str">
        <f aca="false">IF(AND(ISNUMBER($G939),$G939&gt;=MA_MED),AVERAGE(INDEX($C$539:$C939,402-MA_MED):$C939),"")</f>
        <v/>
      </c>
      <c r="K939" s="52" t="str">
        <f aca="false">IF(AND(ISNUMBER($G939),$G939&gt;=MA_LONG2),AVERAGE(INDEX($C$539:$C939,402-MA_LONG2):$C939),"")</f>
        <v/>
      </c>
      <c r="L939" s="53" t="str">
        <f aca="false">IF(AND(ISNUMBER($G939),$G939&gt;=21),STDEV(INDEX($H$879:$H939,62-20):$H939)*SQRT(245),"")</f>
        <v/>
      </c>
      <c r="M939" s="52" t="str">
        <f aca="false">IF(AND(ISNUMBER($G939),$G939&gt;=60),MAX(INDEX($D$739:$D939,202-60):$D939),"")</f>
        <v/>
      </c>
      <c r="N939" s="52" t="str">
        <f aca="false">IF(AND(ISNUMBER($G939),$G939&gt;=60),MIN(INDEX($E$739:$E939,202-60):$E939),"")</f>
        <v/>
      </c>
      <c r="O939" s="53" t="str">
        <f aca="false">IF(OR(NOT(ISNUMBER($C939)),NOT(ISNUMBER($M939)),$M939=0),"",$C939/$M939-1)</f>
        <v/>
      </c>
      <c r="P939" s="54"/>
      <c r="Q939" s="53" t="str">
        <f aca="false">IF(NOT(ISNUMBER($P939)),"",IFERROR(PERCENTRANK($P$5:$P$1204,$P939),""))</f>
        <v/>
      </c>
    </row>
    <row r="940" customFormat="false" ht="15" hidden="false" customHeight="false" outlineLevel="0" collapsed="false">
      <c r="A940" s="55"/>
      <c r="B940" s="56"/>
      <c r="C940" s="57"/>
      <c r="D940" s="56"/>
      <c r="E940" s="56"/>
      <c r="F940" s="56"/>
      <c r="G940" s="50" t="str">
        <f aca="false">IF($A940="","",IF(ISNUMBER($G939),$G939+1,1))</f>
        <v/>
      </c>
      <c r="H940" s="51" t="str">
        <f aca="false">IF(OR(NOT(ISNUMBER($G940)),$G940&lt;2,NOT(ISNUMBER($C939)),$C939=0),"",$C940/$C939-1)</f>
        <v/>
      </c>
      <c r="I940" s="52" t="str">
        <f aca="false">IF(AND(ISNUMBER($G940),$G940&gt;=MA_SHORT),AVERAGE(INDEX($C$540:$C940,402-MA_SHORT):$C940),"")</f>
        <v/>
      </c>
      <c r="J940" s="52" t="str">
        <f aca="false">IF(AND(ISNUMBER($G940),$G940&gt;=MA_MED),AVERAGE(INDEX($C$540:$C940,402-MA_MED):$C940),"")</f>
        <v/>
      </c>
      <c r="K940" s="52" t="str">
        <f aca="false">IF(AND(ISNUMBER($G940),$G940&gt;=MA_LONG2),AVERAGE(INDEX($C$540:$C940,402-MA_LONG2):$C940),"")</f>
        <v/>
      </c>
      <c r="L940" s="53" t="str">
        <f aca="false">IF(AND(ISNUMBER($G940),$G940&gt;=21),STDEV(INDEX($H$880:$H940,62-20):$H940)*SQRT(245),"")</f>
        <v/>
      </c>
      <c r="M940" s="52" t="str">
        <f aca="false">IF(AND(ISNUMBER($G940),$G940&gt;=60),MAX(INDEX($D$740:$D940,202-60):$D940),"")</f>
        <v/>
      </c>
      <c r="N940" s="52" t="str">
        <f aca="false">IF(AND(ISNUMBER($G940),$G940&gt;=60),MIN(INDEX($E$740:$E940,202-60):$E940),"")</f>
        <v/>
      </c>
      <c r="O940" s="53" t="str">
        <f aca="false">IF(OR(NOT(ISNUMBER($C940)),NOT(ISNUMBER($M940)),$M940=0),"",$C940/$M940-1)</f>
        <v/>
      </c>
      <c r="P940" s="54"/>
      <c r="Q940" s="53" t="str">
        <f aca="false">IF(NOT(ISNUMBER($P940)),"",IFERROR(PERCENTRANK($P$5:$P$1204,$P940),""))</f>
        <v/>
      </c>
    </row>
    <row r="941" customFormat="false" ht="15" hidden="false" customHeight="false" outlineLevel="0" collapsed="false">
      <c r="A941" s="55"/>
      <c r="B941" s="56"/>
      <c r="C941" s="57"/>
      <c r="D941" s="56"/>
      <c r="E941" s="56"/>
      <c r="F941" s="56"/>
      <c r="G941" s="50" t="str">
        <f aca="false">IF($A941="","",IF(ISNUMBER($G940),$G940+1,1))</f>
        <v/>
      </c>
      <c r="H941" s="51" t="str">
        <f aca="false">IF(OR(NOT(ISNUMBER($G941)),$G941&lt;2,NOT(ISNUMBER($C940)),$C940=0),"",$C941/$C940-1)</f>
        <v/>
      </c>
      <c r="I941" s="52" t="str">
        <f aca="false">IF(AND(ISNUMBER($G941),$G941&gt;=MA_SHORT),AVERAGE(INDEX($C$541:$C941,402-MA_SHORT):$C941),"")</f>
        <v/>
      </c>
      <c r="J941" s="52" t="str">
        <f aca="false">IF(AND(ISNUMBER($G941),$G941&gt;=MA_MED),AVERAGE(INDEX($C$541:$C941,402-MA_MED):$C941),"")</f>
        <v/>
      </c>
      <c r="K941" s="52" t="str">
        <f aca="false">IF(AND(ISNUMBER($G941),$G941&gt;=MA_LONG2),AVERAGE(INDEX($C$541:$C941,402-MA_LONG2):$C941),"")</f>
        <v/>
      </c>
      <c r="L941" s="53" t="str">
        <f aca="false">IF(AND(ISNUMBER($G941),$G941&gt;=21),STDEV(INDEX($H$881:$H941,62-20):$H941)*SQRT(245),"")</f>
        <v/>
      </c>
      <c r="M941" s="52" t="str">
        <f aca="false">IF(AND(ISNUMBER($G941),$G941&gt;=60),MAX(INDEX($D$741:$D941,202-60):$D941),"")</f>
        <v/>
      </c>
      <c r="N941" s="52" t="str">
        <f aca="false">IF(AND(ISNUMBER($G941),$G941&gt;=60),MIN(INDEX($E$741:$E941,202-60):$E941),"")</f>
        <v/>
      </c>
      <c r="O941" s="53" t="str">
        <f aca="false">IF(OR(NOT(ISNUMBER($C941)),NOT(ISNUMBER($M941)),$M941=0),"",$C941/$M941-1)</f>
        <v/>
      </c>
      <c r="P941" s="54"/>
      <c r="Q941" s="53" t="str">
        <f aca="false">IF(NOT(ISNUMBER($P941)),"",IFERROR(PERCENTRANK($P$5:$P$1204,$P941),""))</f>
        <v/>
      </c>
    </row>
    <row r="942" customFormat="false" ht="15" hidden="false" customHeight="false" outlineLevel="0" collapsed="false">
      <c r="A942" s="55"/>
      <c r="B942" s="56"/>
      <c r="C942" s="57"/>
      <c r="D942" s="56"/>
      <c r="E942" s="56"/>
      <c r="F942" s="56"/>
      <c r="G942" s="50" t="str">
        <f aca="false">IF($A942="","",IF(ISNUMBER($G941),$G941+1,1))</f>
        <v/>
      </c>
      <c r="H942" s="51" t="str">
        <f aca="false">IF(OR(NOT(ISNUMBER($G942)),$G942&lt;2,NOT(ISNUMBER($C941)),$C941=0),"",$C942/$C941-1)</f>
        <v/>
      </c>
      <c r="I942" s="52" t="str">
        <f aca="false">IF(AND(ISNUMBER($G942),$G942&gt;=MA_SHORT),AVERAGE(INDEX($C$542:$C942,402-MA_SHORT):$C942),"")</f>
        <v/>
      </c>
      <c r="J942" s="52" t="str">
        <f aca="false">IF(AND(ISNUMBER($G942),$G942&gt;=MA_MED),AVERAGE(INDEX($C$542:$C942,402-MA_MED):$C942),"")</f>
        <v/>
      </c>
      <c r="K942" s="52" t="str">
        <f aca="false">IF(AND(ISNUMBER($G942),$G942&gt;=MA_LONG2),AVERAGE(INDEX($C$542:$C942,402-MA_LONG2):$C942),"")</f>
        <v/>
      </c>
      <c r="L942" s="53" t="str">
        <f aca="false">IF(AND(ISNUMBER($G942),$G942&gt;=21),STDEV(INDEX($H$882:$H942,62-20):$H942)*SQRT(245),"")</f>
        <v/>
      </c>
      <c r="M942" s="52" t="str">
        <f aca="false">IF(AND(ISNUMBER($G942),$G942&gt;=60),MAX(INDEX($D$742:$D942,202-60):$D942),"")</f>
        <v/>
      </c>
      <c r="N942" s="52" t="str">
        <f aca="false">IF(AND(ISNUMBER($G942),$G942&gt;=60),MIN(INDEX($E$742:$E942,202-60):$E942),"")</f>
        <v/>
      </c>
      <c r="O942" s="53" t="str">
        <f aca="false">IF(OR(NOT(ISNUMBER($C942)),NOT(ISNUMBER($M942)),$M942=0),"",$C942/$M942-1)</f>
        <v/>
      </c>
      <c r="P942" s="54"/>
      <c r="Q942" s="53" t="str">
        <f aca="false">IF(NOT(ISNUMBER($P942)),"",IFERROR(PERCENTRANK($P$5:$P$1204,$P942),""))</f>
        <v/>
      </c>
    </row>
    <row r="943" customFormat="false" ht="15" hidden="false" customHeight="false" outlineLevel="0" collapsed="false">
      <c r="A943" s="55"/>
      <c r="B943" s="56"/>
      <c r="C943" s="57"/>
      <c r="D943" s="56"/>
      <c r="E943" s="56"/>
      <c r="F943" s="56"/>
      <c r="G943" s="50" t="str">
        <f aca="false">IF($A943="","",IF(ISNUMBER($G942),$G942+1,1))</f>
        <v/>
      </c>
      <c r="H943" s="51" t="str">
        <f aca="false">IF(OR(NOT(ISNUMBER($G943)),$G943&lt;2,NOT(ISNUMBER($C942)),$C942=0),"",$C943/$C942-1)</f>
        <v/>
      </c>
      <c r="I943" s="52" t="str">
        <f aca="false">IF(AND(ISNUMBER($G943),$G943&gt;=MA_SHORT),AVERAGE(INDEX($C$543:$C943,402-MA_SHORT):$C943),"")</f>
        <v/>
      </c>
      <c r="J943" s="52" t="str">
        <f aca="false">IF(AND(ISNUMBER($G943),$G943&gt;=MA_MED),AVERAGE(INDEX($C$543:$C943,402-MA_MED):$C943),"")</f>
        <v/>
      </c>
      <c r="K943" s="52" t="str">
        <f aca="false">IF(AND(ISNUMBER($G943),$G943&gt;=MA_LONG2),AVERAGE(INDEX($C$543:$C943,402-MA_LONG2):$C943),"")</f>
        <v/>
      </c>
      <c r="L943" s="53" t="str">
        <f aca="false">IF(AND(ISNUMBER($G943),$G943&gt;=21),STDEV(INDEX($H$883:$H943,62-20):$H943)*SQRT(245),"")</f>
        <v/>
      </c>
      <c r="M943" s="52" t="str">
        <f aca="false">IF(AND(ISNUMBER($G943),$G943&gt;=60),MAX(INDEX($D$743:$D943,202-60):$D943),"")</f>
        <v/>
      </c>
      <c r="N943" s="52" t="str">
        <f aca="false">IF(AND(ISNUMBER($G943),$G943&gt;=60),MIN(INDEX($E$743:$E943,202-60):$E943),"")</f>
        <v/>
      </c>
      <c r="O943" s="53" t="str">
        <f aca="false">IF(OR(NOT(ISNUMBER($C943)),NOT(ISNUMBER($M943)),$M943=0),"",$C943/$M943-1)</f>
        <v/>
      </c>
      <c r="P943" s="54"/>
      <c r="Q943" s="53" t="str">
        <f aca="false">IF(NOT(ISNUMBER($P943)),"",IFERROR(PERCENTRANK($P$5:$P$1204,$P943),""))</f>
        <v/>
      </c>
    </row>
    <row r="944" customFormat="false" ht="15" hidden="false" customHeight="false" outlineLevel="0" collapsed="false">
      <c r="A944" s="55"/>
      <c r="B944" s="56"/>
      <c r="C944" s="57"/>
      <c r="D944" s="56"/>
      <c r="E944" s="56"/>
      <c r="F944" s="56"/>
      <c r="G944" s="50" t="str">
        <f aca="false">IF($A944="","",IF(ISNUMBER($G943),$G943+1,1))</f>
        <v/>
      </c>
      <c r="H944" s="51" t="str">
        <f aca="false">IF(OR(NOT(ISNUMBER($G944)),$G944&lt;2,NOT(ISNUMBER($C943)),$C943=0),"",$C944/$C943-1)</f>
        <v/>
      </c>
      <c r="I944" s="52" t="str">
        <f aca="false">IF(AND(ISNUMBER($G944),$G944&gt;=MA_SHORT),AVERAGE(INDEX($C$544:$C944,402-MA_SHORT):$C944),"")</f>
        <v/>
      </c>
      <c r="J944" s="52" t="str">
        <f aca="false">IF(AND(ISNUMBER($G944),$G944&gt;=MA_MED),AVERAGE(INDEX($C$544:$C944,402-MA_MED):$C944),"")</f>
        <v/>
      </c>
      <c r="K944" s="52" t="str">
        <f aca="false">IF(AND(ISNUMBER($G944),$G944&gt;=MA_LONG2),AVERAGE(INDEX($C$544:$C944,402-MA_LONG2):$C944),"")</f>
        <v/>
      </c>
      <c r="L944" s="53" t="str">
        <f aca="false">IF(AND(ISNUMBER($G944),$G944&gt;=21),STDEV(INDEX($H$884:$H944,62-20):$H944)*SQRT(245),"")</f>
        <v/>
      </c>
      <c r="M944" s="52" t="str">
        <f aca="false">IF(AND(ISNUMBER($G944),$G944&gt;=60),MAX(INDEX($D$744:$D944,202-60):$D944),"")</f>
        <v/>
      </c>
      <c r="N944" s="52" t="str">
        <f aca="false">IF(AND(ISNUMBER($G944),$G944&gt;=60),MIN(INDEX($E$744:$E944,202-60):$E944),"")</f>
        <v/>
      </c>
      <c r="O944" s="53" t="str">
        <f aca="false">IF(OR(NOT(ISNUMBER($C944)),NOT(ISNUMBER($M944)),$M944=0),"",$C944/$M944-1)</f>
        <v/>
      </c>
      <c r="P944" s="54"/>
      <c r="Q944" s="53" t="str">
        <f aca="false">IF(NOT(ISNUMBER($P944)),"",IFERROR(PERCENTRANK($P$5:$P$1204,$P944),""))</f>
        <v/>
      </c>
    </row>
    <row r="945" customFormat="false" ht="15" hidden="false" customHeight="false" outlineLevel="0" collapsed="false">
      <c r="A945" s="55"/>
      <c r="B945" s="56"/>
      <c r="C945" s="57"/>
      <c r="D945" s="56"/>
      <c r="E945" s="56"/>
      <c r="F945" s="56"/>
      <c r="G945" s="50" t="str">
        <f aca="false">IF($A945="","",IF(ISNUMBER($G944),$G944+1,1))</f>
        <v/>
      </c>
      <c r="H945" s="51" t="str">
        <f aca="false">IF(OR(NOT(ISNUMBER($G945)),$G945&lt;2,NOT(ISNUMBER($C944)),$C944=0),"",$C945/$C944-1)</f>
        <v/>
      </c>
      <c r="I945" s="52" t="str">
        <f aca="false">IF(AND(ISNUMBER($G945),$G945&gt;=MA_SHORT),AVERAGE(INDEX($C$545:$C945,402-MA_SHORT):$C945),"")</f>
        <v/>
      </c>
      <c r="J945" s="52" t="str">
        <f aca="false">IF(AND(ISNUMBER($G945),$G945&gt;=MA_MED),AVERAGE(INDEX($C$545:$C945,402-MA_MED):$C945),"")</f>
        <v/>
      </c>
      <c r="K945" s="52" t="str">
        <f aca="false">IF(AND(ISNUMBER($G945),$G945&gt;=MA_LONG2),AVERAGE(INDEX($C$545:$C945,402-MA_LONG2):$C945),"")</f>
        <v/>
      </c>
      <c r="L945" s="53" t="str">
        <f aca="false">IF(AND(ISNUMBER($G945),$G945&gt;=21),STDEV(INDEX($H$885:$H945,62-20):$H945)*SQRT(245),"")</f>
        <v/>
      </c>
      <c r="M945" s="52" t="str">
        <f aca="false">IF(AND(ISNUMBER($G945),$G945&gt;=60),MAX(INDEX($D$745:$D945,202-60):$D945),"")</f>
        <v/>
      </c>
      <c r="N945" s="52" t="str">
        <f aca="false">IF(AND(ISNUMBER($G945),$G945&gt;=60),MIN(INDEX($E$745:$E945,202-60):$E945),"")</f>
        <v/>
      </c>
      <c r="O945" s="53" t="str">
        <f aca="false">IF(OR(NOT(ISNUMBER($C945)),NOT(ISNUMBER($M945)),$M945=0),"",$C945/$M945-1)</f>
        <v/>
      </c>
      <c r="P945" s="54"/>
      <c r="Q945" s="53" t="str">
        <f aca="false">IF(NOT(ISNUMBER($P945)),"",IFERROR(PERCENTRANK($P$5:$P$1204,$P945),""))</f>
        <v/>
      </c>
    </row>
    <row r="946" customFormat="false" ht="15" hidden="false" customHeight="false" outlineLevel="0" collapsed="false">
      <c r="A946" s="55"/>
      <c r="B946" s="56"/>
      <c r="C946" s="57"/>
      <c r="D946" s="56"/>
      <c r="E946" s="56"/>
      <c r="F946" s="56"/>
      <c r="G946" s="50" t="str">
        <f aca="false">IF($A946="","",IF(ISNUMBER($G945),$G945+1,1))</f>
        <v/>
      </c>
      <c r="H946" s="51" t="str">
        <f aca="false">IF(OR(NOT(ISNUMBER($G946)),$G946&lt;2,NOT(ISNUMBER($C945)),$C945=0),"",$C946/$C945-1)</f>
        <v/>
      </c>
      <c r="I946" s="52" t="str">
        <f aca="false">IF(AND(ISNUMBER($G946),$G946&gt;=MA_SHORT),AVERAGE(INDEX($C$546:$C946,402-MA_SHORT):$C946),"")</f>
        <v/>
      </c>
      <c r="J946" s="52" t="str">
        <f aca="false">IF(AND(ISNUMBER($G946),$G946&gt;=MA_MED),AVERAGE(INDEX($C$546:$C946,402-MA_MED):$C946),"")</f>
        <v/>
      </c>
      <c r="K946" s="52" t="str">
        <f aca="false">IF(AND(ISNUMBER($G946),$G946&gt;=MA_LONG2),AVERAGE(INDEX($C$546:$C946,402-MA_LONG2):$C946),"")</f>
        <v/>
      </c>
      <c r="L946" s="53" t="str">
        <f aca="false">IF(AND(ISNUMBER($G946),$G946&gt;=21),STDEV(INDEX($H$886:$H946,62-20):$H946)*SQRT(245),"")</f>
        <v/>
      </c>
      <c r="M946" s="52" t="str">
        <f aca="false">IF(AND(ISNUMBER($G946),$G946&gt;=60),MAX(INDEX($D$746:$D946,202-60):$D946),"")</f>
        <v/>
      </c>
      <c r="N946" s="52" t="str">
        <f aca="false">IF(AND(ISNUMBER($G946),$G946&gt;=60),MIN(INDEX($E$746:$E946,202-60):$E946),"")</f>
        <v/>
      </c>
      <c r="O946" s="53" t="str">
        <f aca="false">IF(OR(NOT(ISNUMBER($C946)),NOT(ISNUMBER($M946)),$M946=0),"",$C946/$M946-1)</f>
        <v/>
      </c>
      <c r="P946" s="54"/>
      <c r="Q946" s="53" t="str">
        <f aca="false">IF(NOT(ISNUMBER($P946)),"",IFERROR(PERCENTRANK($P$5:$P$1204,$P946),""))</f>
        <v/>
      </c>
    </row>
    <row r="947" customFormat="false" ht="15" hidden="false" customHeight="false" outlineLevel="0" collapsed="false">
      <c r="A947" s="55"/>
      <c r="B947" s="56"/>
      <c r="C947" s="57"/>
      <c r="D947" s="56"/>
      <c r="E947" s="56"/>
      <c r="F947" s="56"/>
      <c r="G947" s="50" t="str">
        <f aca="false">IF($A947="","",IF(ISNUMBER($G946),$G946+1,1))</f>
        <v/>
      </c>
      <c r="H947" s="51" t="str">
        <f aca="false">IF(OR(NOT(ISNUMBER($G947)),$G947&lt;2,NOT(ISNUMBER($C946)),$C946=0),"",$C947/$C946-1)</f>
        <v/>
      </c>
      <c r="I947" s="52" t="str">
        <f aca="false">IF(AND(ISNUMBER($G947),$G947&gt;=MA_SHORT),AVERAGE(INDEX($C$547:$C947,402-MA_SHORT):$C947),"")</f>
        <v/>
      </c>
      <c r="J947" s="52" t="str">
        <f aca="false">IF(AND(ISNUMBER($G947),$G947&gt;=MA_MED),AVERAGE(INDEX($C$547:$C947,402-MA_MED):$C947),"")</f>
        <v/>
      </c>
      <c r="K947" s="52" t="str">
        <f aca="false">IF(AND(ISNUMBER($G947),$G947&gt;=MA_LONG2),AVERAGE(INDEX($C$547:$C947,402-MA_LONG2):$C947),"")</f>
        <v/>
      </c>
      <c r="L947" s="53" t="str">
        <f aca="false">IF(AND(ISNUMBER($G947),$G947&gt;=21),STDEV(INDEX($H$887:$H947,62-20):$H947)*SQRT(245),"")</f>
        <v/>
      </c>
      <c r="M947" s="52" t="str">
        <f aca="false">IF(AND(ISNUMBER($G947),$G947&gt;=60),MAX(INDEX($D$747:$D947,202-60):$D947),"")</f>
        <v/>
      </c>
      <c r="N947" s="52" t="str">
        <f aca="false">IF(AND(ISNUMBER($G947),$G947&gt;=60),MIN(INDEX($E$747:$E947,202-60):$E947),"")</f>
        <v/>
      </c>
      <c r="O947" s="53" t="str">
        <f aca="false">IF(OR(NOT(ISNUMBER($C947)),NOT(ISNUMBER($M947)),$M947=0),"",$C947/$M947-1)</f>
        <v/>
      </c>
      <c r="P947" s="54"/>
      <c r="Q947" s="53" t="str">
        <f aca="false">IF(NOT(ISNUMBER($P947)),"",IFERROR(PERCENTRANK($P$5:$P$1204,$P947),""))</f>
        <v/>
      </c>
    </row>
    <row r="948" customFormat="false" ht="15" hidden="false" customHeight="false" outlineLevel="0" collapsed="false">
      <c r="A948" s="55"/>
      <c r="B948" s="56"/>
      <c r="C948" s="57"/>
      <c r="D948" s="56"/>
      <c r="E948" s="56"/>
      <c r="F948" s="56"/>
      <c r="G948" s="50" t="str">
        <f aca="false">IF($A948="","",IF(ISNUMBER($G947),$G947+1,1))</f>
        <v/>
      </c>
      <c r="H948" s="51" t="str">
        <f aca="false">IF(OR(NOT(ISNUMBER($G948)),$G948&lt;2,NOT(ISNUMBER($C947)),$C947=0),"",$C948/$C947-1)</f>
        <v/>
      </c>
      <c r="I948" s="52" t="str">
        <f aca="false">IF(AND(ISNUMBER($G948),$G948&gt;=MA_SHORT),AVERAGE(INDEX($C$548:$C948,402-MA_SHORT):$C948),"")</f>
        <v/>
      </c>
      <c r="J948" s="52" t="str">
        <f aca="false">IF(AND(ISNUMBER($G948),$G948&gt;=MA_MED),AVERAGE(INDEX($C$548:$C948,402-MA_MED):$C948),"")</f>
        <v/>
      </c>
      <c r="K948" s="52" t="str">
        <f aca="false">IF(AND(ISNUMBER($G948),$G948&gt;=MA_LONG2),AVERAGE(INDEX($C$548:$C948,402-MA_LONG2):$C948),"")</f>
        <v/>
      </c>
      <c r="L948" s="53" t="str">
        <f aca="false">IF(AND(ISNUMBER($G948),$G948&gt;=21),STDEV(INDEX($H$888:$H948,62-20):$H948)*SQRT(245),"")</f>
        <v/>
      </c>
      <c r="M948" s="52" t="str">
        <f aca="false">IF(AND(ISNUMBER($G948),$G948&gt;=60),MAX(INDEX($D$748:$D948,202-60):$D948),"")</f>
        <v/>
      </c>
      <c r="N948" s="52" t="str">
        <f aca="false">IF(AND(ISNUMBER($G948),$G948&gt;=60),MIN(INDEX($E$748:$E948,202-60):$E948),"")</f>
        <v/>
      </c>
      <c r="O948" s="53" t="str">
        <f aca="false">IF(OR(NOT(ISNUMBER($C948)),NOT(ISNUMBER($M948)),$M948=0),"",$C948/$M948-1)</f>
        <v/>
      </c>
      <c r="P948" s="54"/>
      <c r="Q948" s="53" t="str">
        <f aca="false">IF(NOT(ISNUMBER($P948)),"",IFERROR(PERCENTRANK($P$5:$P$1204,$P948),""))</f>
        <v/>
      </c>
    </row>
    <row r="949" customFormat="false" ht="15" hidden="false" customHeight="false" outlineLevel="0" collapsed="false">
      <c r="A949" s="55"/>
      <c r="B949" s="56"/>
      <c r="C949" s="57"/>
      <c r="D949" s="56"/>
      <c r="E949" s="56"/>
      <c r="F949" s="56"/>
      <c r="G949" s="50" t="str">
        <f aca="false">IF($A949="","",IF(ISNUMBER($G948),$G948+1,1))</f>
        <v/>
      </c>
      <c r="H949" s="51" t="str">
        <f aca="false">IF(OR(NOT(ISNUMBER($G949)),$G949&lt;2,NOT(ISNUMBER($C948)),$C948=0),"",$C949/$C948-1)</f>
        <v/>
      </c>
      <c r="I949" s="52" t="str">
        <f aca="false">IF(AND(ISNUMBER($G949),$G949&gt;=MA_SHORT),AVERAGE(INDEX($C$549:$C949,402-MA_SHORT):$C949),"")</f>
        <v/>
      </c>
      <c r="J949" s="52" t="str">
        <f aca="false">IF(AND(ISNUMBER($G949),$G949&gt;=MA_MED),AVERAGE(INDEX($C$549:$C949,402-MA_MED):$C949),"")</f>
        <v/>
      </c>
      <c r="K949" s="52" t="str">
        <f aca="false">IF(AND(ISNUMBER($G949),$G949&gt;=MA_LONG2),AVERAGE(INDEX($C$549:$C949,402-MA_LONG2):$C949),"")</f>
        <v/>
      </c>
      <c r="L949" s="53" t="str">
        <f aca="false">IF(AND(ISNUMBER($G949),$G949&gt;=21),STDEV(INDEX($H$889:$H949,62-20):$H949)*SQRT(245),"")</f>
        <v/>
      </c>
      <c r="M949" s="52" t="str">
        <f aca="false">IF(AND(ISNUMBER($G949),$G949&gt;=60),MAX(INDEX($D$749:$D949,202-60):$D949),"")</f>
        <v/>
      </c>
      <c r="N949" s="52" t="str">
        <f aca="false">IF(AND(ISNUMBER($G949),$G949&gt;=60),MIN(INDEX($E$749:$E949,202-60):$E949),"")</f>
        <v/>
      </c>
      <c r="O949" s="53" t="str">
        <f aca="false">IF(OR(NOT(ISNUMBER($C949)),NOT(ISNUMBER($M949)),$M949=0),"",$C949/$M949-1)</f>
        <v/>
      </c>
      <c r="P949" s="54"/>
      <c r="Q949" s="53" t="str">
        <f aca="false">IF(NOT(ISNUMBER($P949)),"",IFERROR(PERCENTRANK($P$5:$P$1204,$P949),""))</f>
        <v/>
      </c>
    </row>
    <row r="950" customFormat="false" ht="15" hidden="false" customHeight="false" outlineLevel="0" collapsed="false">
      <c r="A950" s="55"/>
      <c r="B950" s="56"/>
      <c r="C950" s="57"/>
      <c r="D950" s="56"/>
      <c r="E950" s="56"/>
      <c r="F950" s="56"/>
      <c r="G950" s="50" t="str">
        <f aca="false">IF($A950="","",IF(ISNUMBER($G949),$G949+1,1))</f>
        <v/>
      </c>
      <c r="H950" s="51" t="str">
        <f aca="false">IF(OR(NOT(ISNUMBER($G950)),$G950&lt;2,NOT(ISNUMBER($C949)),$C949=0),"",$C950/$C949-1)</f>
        <v/>
      </c>
      <c r="I950" s="52" t="str">
        <f aca="false">IF(AND(ISNUMBER($G950),$G950&gt;=MA_SHORT),AVERAGE(INDEX($C$550:$C950,402-MA_SHORT):$C950),"")</f>
        <v/>
      </c>
      <c r="J950" s="52" t="str">
        <f aca="false">IF(AND(ISNUMBER($G950),$G950&gt;=MA_MED),AVERAGE(INDEX($C$550:$C950,402-MA_MED):$C950),"")</f>
        <v/>
      </c>
      <c r="K950" s="52" t="str">
        <f aca="false">IF(AND(ISNUMBER($G950),$G950&gt;=MA_LONG2),AVERAGE(INDEX($C$550:$C950,402-MA_LONG2):$C950),"")</f>
        <v/>
      </c>
      <c r="L950" s="53" t="str">
        <f aca="false">IF(AND(ISNUMBER($G950),$G950&gt;=21),STDEV(INDEX($H$890:$H950,62-20):$H950)*SQRT(245),"")</f>
        <v/>
      </c>
      <c r="M950" s="52" t="str">
        <f aca="false">IF(AND(ISNUMBER($G950),$G950&gt;=60),MAX(INDEX($D$750:$D950,202-60):$D950),"")</f>
        <v/>
      </c>
      <c r="N950" s="52" t="str">
        <f aca="false">IF(AND(ISNUMBER($G950),$G950&gt;=60),MIN(INDEX($E$750:$E950,202-60):$E950),"")</f>
        <v/>
      </c>
      <c r="O950" s="53" t="str">
        <f aca="false">IF(OR(NOT(ISNUMBER($C950)),NOT(ISNUMBER($M950)),$M950=0),"",$C950/$M950-1)</f>
        <v/>
      </c>
      <c r="P950" s="54"/>
      <c r="Q950" s="53" t="str">
        <f aca="false">IF(NOT(ISNUMBER($P950)),"",IFERROR(PERCENTRANK($P$5:$P$1204,$P950),""))</f>
        <v/>
      </c>
    </row>
    <row r="951" customFormat="false" ht="15" hidden="false" customHeight="false" outlineLevel="0" collapsed="false">
      <c r="A951" s="55"/>
      <c r="B951" s="56"/>
      <c r="C951" s="57"/>
      <c r="D951" s="56"/>
      <c r="E951" s="56"/>
      <c r="F951" s="56"/>
      <c r="G951" s="50" t="str">
        <f aca="false">IF($A951="","",IF(ISNUMBER($G950),$G950+1,1))</f>
        <v/>
      </c>
      <c r="H951" s="51" t="str">
        <f aca="false">IF(OR(NOT(ISNUMBER($G951)),$G951&lt;2,NOT(ISNUMBER($C950)),$C950=0),"",$C951/$C950-1)</f>
        <v/>
      </c>
      <c r="I951" s="52" t="str">
        <f aca="false">IF(AND(ISNUMBER($G951),$G951&gt;=MA_SHORT),AVERAGE(INDEX($C$551:$C951,402-MA_SHORT):$C951),"")</f>
        <v/>
      </c>
      <c r="J951" s="52" t="str">
        <f aca="false">IF(AND(ISNUMBER($G951),$G951&gt;=MA_MED),AVERAGE(INDEX($C$551:$C951,402-MA_MED):$C951),"")</f>
        <v/>
      </c>
      <c r="K951" s="52" t="str">
        <f aca="false">IF(AND(ISNUMBER($G951),$G951&gt;=MA_LONG2),AVERAGE(INDEX($C$551:$C951,402-MA_LONG2):$C951),"")</f>
        <v/>
      </c>
      <c r="L951" s="53" t="str">
        <f aca="false">IF(AND(ISNUMBER($G951),$G951&gt;=21),STDEV(INDEX($H$891:$H951,62-20):$H951)*SQRT(245),"")</f>
        <v/>
      </c>
      <c r="M951" s="52" t="str">
        <f aca="false">IF(AND(ISNUMBER($G951),$G951&gt;=60),MAX(INDEX($D$751:$D951,202-60):$D951),"")</f>
        <v/>
      </c>
      <c r="N951" s="52" t="str">
        <f aca="false">IF(AND(ISNUMBER($G951),$G951&gt;=60),MIN(INDEX($E$751:$E951,202-60):$E951),"")</f>
        <v/>
      </c>
      <c r="O951" s="53" t="str">
        <f aca="false">IF(OR(NOT(ISNUMBER($C951)),NOT(ISNUMBER($M951)),$M951=0),"",$C951/$M951-1)</f>
        <v/>
      </c>
      <c r="P951" s="54"/>
      <c r="Q951" s="53" t="str">
        <f aca="false">IF(NOT(ISNUMBER($P951)),"",IFERROR(PERCENTRANK($P$5:$P$1204,$P951),""))</f>
        <v/>
      </c>
    </row>
    <row r="952" customFormat="false" ht="15" hidden="false" customHeight="false" outlineLevel="0" collapsed="false">
      <c r="A952" s="55"/>
      <c r="B952" s="56"/>
      <c r="C952" s="57"/>
      <c r="D952" s="56"/>
      <c r="E952" s="56"/>
      <c r="F952" s="56"/>
      <c r="G952" s="50" t="str">
        <f aca="false">IF($A952="","",IF(ISNUMBER($G951),$G951+1,1))</f>
        <v/>
      </c>
      <c r="H952" s="51" t="str">
        <f aca="false">IF(OR(NOT(ISNUMBER($G952)),$G952&lt;2,NOT(ISNUMBER($C951)),$C951=0),"",$C952/$C951-1)</f>
        <v/>
      </c>
      <c r="I952" s="52" t="str">
        <f aca="false">IF(AND(ISNUMBER($G952),$G952&gt;=MA_SHORT),AVERAGE(INDEX($C$552:$C952,402-MA_SHORT):$C952),"")</f>
        <v/>
      </c>
      <c r="J952" s="52" t="str">
        <f aca="false">IF(AND(ISNUMBER($G952),$G952&gt;=MA_MED),AVERAGE(INDEX($C$552:$C952,402-MA_MED):$C952),"")</f>
        <v/>
      </c>
      <c r="K952" s="52" t="str">
        <f aca="false">IF(AND(ISNUMBER($G952),$G952&gt;=MA_LONG2),AVERAGE(INDEX($C$552:$C952,402-MA_LONG2):$C952),"")</f>
        <v/>
      </c>
      <c r="L952" s="53" t="str">
        <f aca="false">IF(AND(ISNUMBER($G952),$G952&gt;=21),STDEV(INDEX($H$892:$H952,62-20):$H952)*SQRT(245),"")</f>
        <v/>
      </c>
      <c r="M952" s="52" t="str">
        <f aca="false">IF(AND(ISNUMBER($G952),$G952&gt;=60),MAX(INDEX($D$752:$D952,202-60):$D952),"")</f>
        <v/>
      </c>
      <c r="N952" s="52" t="str">
        <f aca="false">IF(AND(ISNUMBER($G952),$G952&gt;=60),MIN(INDEX($E$752:$E952,202-60):$E952),"")</f>
        <v/>
      </c>
      <c r="O952" s="53" t="str">
        <f aca="false">IF(OR(NOT(ISNUMBER($C952)),NOT(ISNUMBER($M952)),$M952=0),"",$C952/$M952-1)</f>
        <v/>
      </c>
      <c r="P952" s="54"/>
      <c r="Q952" s="53" t="str">
        <f aca="false">IF(NOT(ISNUMBER($P952)),"",IFERROR(PERCENTRANK($P$5:$P$1204,$P952),""))</f>
        <v/>
      </c>
    </row>
    <row r="953" customFormat="false" ht="15" hidden="false" customHeight="false" outlineLevel="0" collapsed="false">
      <c r="A953" s="55"/>
      <c r="B953" s="56"/>
      <c r="C953" s="57"/>
      <c r="D953" s="56"/>
      <c r="E953" s="56"/>
      <c r="F953" s="56"/>
      <c r="G953" s="50" t="str">
        <f aca="false">IF($A953="","",IF(ISNUMBER($G952),$G952+1,1))</f>
        <v/>
      </c>
      <c r="H953" s="51" t="str">
        <f aca="false">IF(OR(NOT(ISNUMBER($G953)),$G953&lt;2,NOT(ISNUMBER($C952)),$C952=0),"",$C953/$C952-1)</f>
        <v/>
      </c>
      <c r="I953" s="52" t="str">
        <f aca="false">IF(AND(ISNUMBER($G953),$G953&gt;=MA_SHORT),AVERAGE(INDEX($C$553:$C953,402-MA_SHORT):$C953),"")</f>
        <v/>
      </c>
      <c r="J953" s="52" t="str">
        <f aca="false">IF(AND(ISNUMBER($G953),$G953&gt;=MA_MED),AVERAGE(INDEX($C$553:$C953,402-MA_MED):$C953),"")</f>
        <v/>
      </c>
      <c r="K953" s="52" t="str">
        <f aca="false">IF(AND(ISNUMBER($G953),$G953&gt;=MA_LONG2),AVERAGE(INDEX($C$553:$C953,402-MA_LONG2):$C953),"")</f>
        <v/>
      </c>
      <c r="L953" s="53" t="str">
        <f aca="false">IF(AND(ISNUMBER($G953),$G953&gt;=21),STDEV(INDEX($H$893:$H953,62-20):$H953)*SQRT(245),"")</f>
        <v/>
      </c>
      <c r="M953" s="52" t="str">
        <f aca="false">IF(AND(ISNUMBER($G953),$G953&gt;=60),MAX(INDEX($D$753:$D953,202-60):$D953),"")</f>
        <v/>
      </c>
      <c r="N953" s="52" t="str">
        <f aca="false">IF(AND(ISNUMBER($G953),$G953&gt;=60),MIN(INDEX($E$753:$E953,202-60):$E953),"")</f>
        <v/>
      </c>
      <c r="O953" s="53" t="str">
        <f aca="false">IF(OR(NOT(ISNUMBER($C953)),NOT(ISNUMBER($M953)),$M953=0),"",$C953/$M953-1)</f>
        <v/>
      </c>
      <c r="P953" s="54"/>
      <c r="Q953" s="53" t="str">
        <f aca="false">IF(NOT(ISNUMBER($P953)),"",IFERROR(PERCENTRANK($P$5:$P$1204,$P953),""))</f>
        <v/>
      </c>
    </row>
    <row r="954" customFormat="false" ht="15" hidden="false" customHeight="false" outlineLevel="0" collapsed="false">
      <c r="A954" s="55"/>
      <c r="B954" s="56"/>
      <c r="C954" s="57"/>
      <c r="D954" s="56"/>
      <c r="E954" s="56"/>
      <c r="F954" s="56"/>
      <c r="G954" s="50" t="str">
        <f aca="false">IF($A954="","",IF(ISNUMBER($G953),$G953+1,1))</f>
        <v/>
      </c>
      <c r="H954" s="51" t="str">
        <f aca="false">IF(OR(NOT(ISNUMBER($G954)),$G954&lt;2,NOT(ISNUMBER($C953)),$C953=0),"",$C954/$C953-1)</f>
        <v/>
      </c>
      <c r="I954" s="52" t="str">
        <f aca="false">IF(AND(ISNUMBER($G954),$G954&gt;=MA_SHORT),AVERAGE(INDEX($C$554:$C954,402-MA_SHORT):$C954),"")</f>
        <v/>
      </c>
      <c r="J954" s="52" t="str">
        <f aca="false">IF(AND(ISNUMBER($G954),$G954&gt;=MA_MED),AVERAGE(INDEX($C$554:$C954,402-MA_MED):$C954),"")</f>
        <v/>
      </c>
      <c r="K954" s="52" t="str">
        <f aca="false">IF(AND(ISNUMBER($G954),$G954&gt;=MA_LONG2),AVERAGE(INDEX($C$554:$C954,402-MA_LONG2):$C954),"")</f>
        <v/>
      </c>
      <c r="L954" s="53" t="str">
        <f aca="false">IF(AND(ISNUMBER($G954),$G954&gt;=21),STDEV(INDEX($H$894:$H954,62-20):$H954)*SQRT(245),"")</f>
        <v/>
      </c>
      <c r="M954" s="52" t="str">
        <f aca="false">IF(AND(ISNUMBER($G954),$G954&gt;=60),MAX(INDEX($D$754:$D954,202-60):$D954),"")</f>
        <v/>
      </c>
      <c r="N954" s="52" t="str">
        <f aca="false">IF(AND(ISNUMBER($G954),$G954&gt;=60),MIN(INDEX($E$754:$E954,202-60):$E954),"")</f>
        <v/>
      </c>
      <c r="O954" s="53" t="str">
        <f aca="false">IF(OR(NOT(ISNUMBER($C954)),NOT(ISNUMBER($M954)),$M954=0),"",$C954/$M954-1)</f>
        <v/>
      </c>
      <c r="P954" s="54"/>
      <c r="Q954" s="53" t="str">
        <f aca="false">IF(NOT(ISNUMBER($P954)),"",IFERROR(PERCENTRANK($P$5:$P$1204,$P954),""))</f>
        <v/>
      </c>
    </row>
    <row r="955" customFormat="false" ht="15" hidden="false" customHeight="false" outlineLevel="0" collapsed="false">
      <c r="A955" s="55"/>
      <c r="B955" s="56"/>
      <c r="C955" s="57"/>
      <c r="D955" s="56"/>
      <c r="E955" s="56"/>
      <c r="F955" s="56"/>
      <c r="G955" s="50" t="str">
        <f aca="false">IF($A955="","",IF(ISNUMBER($G954),$G954+1,1))</f>
        <v/>
      </c>
      <c r="H955" s="51" t="str">
        <f aca="false">IF(OR(NOT(ISNUMBER($G955)),$G955&lt;2,NOT(ISNUMBER($C954)),$C954=0),"",$C955/$C954-1)</f>
        <v/>
      </c>
      <c r="I955" s="52" t="str">
        <f aca="false">IF(AND(ISNUMBER($G955),$G955&gt;=MA_SHORT),AVERAGE(INDEX($C$555:$C955,402-MA_SHORT):$C955),"")</f>
        <v/>
      </c>
      <c r="J955" s="52" t="str">
        <f aca="false">IF(AND(ISNUMBER($G955),$G955&gt;=MA_MED),AVERAGE(INDEX($C$555:$C955,402-MA_MED):$C955),"")</f>
        <v/>
      </c>
      <c r="K955" s="52" t="str">
        <f aca="false">IF(AND(ISNUMBER($G955),$G955&gt;=MA_LONG2),AVERAGE(INDEX($C$555:$C955,402-MA_LONG2):$C955),"")</f>
        <v/>
      </c>
      <c r="L955" s="53" t="str">
        <f aca="false">IF(AND(ISNUMBER($G955),$G955&gt;=21),STDEV(INDEX($H$895:$H955,62-20):$H955)*SQRT(245),"")</f>
        <v/>
      </c>
      <c r="M955" s="52" t="str">
        <f aca="false">IF(AND(ISNUMBER($G955),$G955&gt;=60),MAX(INDEX($D$755:$D955,202-60):$D955),"")</f>
        <v/>
      </c>
      <c r="N955" s="52" t="str">
        <f aca="false">IF(AND(ISNUMBER($G955),$G955&gt;=60),MIN(INDEX($E$755:$E955,202-60):$E955),"")</f>
        <v/>
      </c>
      <c r="O955" s="53" t="str">
        <f aca="false">IF(OR(NOT(ISNUMBER($C955)),NOT(ISNUMBER($M955)),$M955=0),"",$C955/$M955-1)</f>
        <v/>
      </c>
      <c r="P955" s="54"/>
      <c r="Q955" s="53" t="str">
        <f aca="false">IF(NOT(ISNUMBER($P955)),"",IFERROR(PERCENTRANK($P$5:$P$1204,$P955),""))</f>
        <v/>
      </c>
    </row>
    <row r="956" customFormat="false" ht="15" hidden="false" customHeight="false" outlineLevel="0" collapsed="false">
      <c r="A956" s="55"/>
      <c r="B956" s="56"/>
      <c r="C956" s="57"/>
      <c r="D956" s="56"/>
      <c r="E956" s="56"/>
      <c r="F956" s="56"/>
      <c r="G956" s="50" t="str">
        <f aca="false">IF($A956="","",IF(ISNUMBER($G955),$G955+1,1))</f>
        <v/>
      </c>
      <c r="H956" s="51" t="str">
        <f aca="false">IF(OR(NOT(ISNUMBER($G956)),$G956&lt;2,NOT(ISNUMBER($C955)),$C955=0),"",$C956/$C955-1)</f>
        <v/>
      </c>
      <c r="I956" s="52" t="str">
        <f aca="false">IF(AND(ISNUMBER($G956),$G956&gt;=MA_SHORT),AVERAGE(INDEX($C$556:$C956,402-MA_SHORT):$C956),"")</f>
        <v/>
      </c>
      <c r="J956" s="52" t="str">
        <f aca="false">IF(AND(ISNUMBER($G956),$G956&gt;=MA_MED),AVERAGE(INDEX($C$556:$C956,402-MA_MED):$C956),"")</f>
        <v/>
      </c>
      <c r="K956" s="52" t="str">
        <f aca="false">IF(AND(ISNUMBER($G956),$G956&gt;=MA_LONG2),AVERAGE(INDEX($C$556:$C956,402-MA_LONG2):$C956),"")</f>
        <v/>
      </c>
      <c r="L956" s="53" t="str">
        <f aca="false">IF(AND(ISNUMBER($G956),$G956&gt;=21),STDEV(INDEX($H$896:$H956,62-20):$H956)*SQRT(245),"")</f>
        <v/>
      </c>
      <c r="M956" s="52" t="str">
        <f aca="false">IF(AND(ISNUMBER($G956),$G956&gt;=60),MAX(INDEX($D$756:$D956,202-60):$D956),"")</f>
        <v/>
      </c>
      <c r="N956" s="52" t="str">
        <f aca="false">IF(AND(ISNUMBER($G956),$G956&gt;=60),MIN(INDEX($E$756:$E956,202-60):$E956),"")</f>
        <v/>
      </c>
      <c r="O956" s="53" t="str">
        <f aca="false">IF(OR(NOT(ISNUMBER($C956)),NOT(ISNUMBER($M956)),$M956=0),"",$C956/$M956-1)</f>
        <v/>
      </c>
      <c r="P956" s="54"/>
      <c r="Q956" s="53" t="str">
        <f aca="false">IF(NOT(ISNUMBER($P956)),"",IFERROR(PERCENTRANK($P$5:$P$1204,$P956),""))</f>
        <v/>
      </c>
    </row>
    <row r="957" customFormat="false" ht="15" hidden="false" customHeight="false" outlineLevel="0" collapsed="false">
      <c r="A957" s="55"/>
      <c r="B957" s="56"/>
      <c r="C957" s="57"/>
      <c r="D957" s="56"/>
      <c r="E957" s="56"/>
      <c r="F957" s="56"/>
      <c r="G957" s="50" t="str">
        <f aca="false">IF($A957="","",IF(ISNUMBER($G956),$G956+1,1))</f>
        <v/>
      </c>
      <c r="H957" s="51" t="str">
        <f aca="false">IF(OR(NOT(ISNUMBER($G957)),$G957&lt;2,NOT(ISNUMBER($C956)),$C956=0),"",$C957/$C956-1)</f>
        <v/>
      </c>
      <c r="I957" s="52" t="str">
        <f aca="false">IF(AND(ISNUMBER($G957),$G957&gt;=MA_SHORT),AVERAGE(INDEX($C$557:$C957,402-MA_SHORT):$C957),"")</f>
        <v/>
      </c>
      <c r="J957" s="52" t="str">
        <f aca="false">IF(AND(ISNUMBER($G957),$G957&gt;=MA_MED),AVERAGE(INDEX($C$557:$C957,402-MA_MED):$C957),"")</f>
        <v/>
      </c>
      <c r="K957" s="52" t="str">
        <f aca="false">IF(AND(ISNUMBER($G957),$G957&gt;=MA_LONG2),AVERAGE(INDEX($C$557:$C957,402-MA_LONG2):$C957),"")</f>
        <v/>
      </c>
      <c r="L957" s="53" t="str">
        <f aca="false">IF(AND(ISNUMBER($G957),$G957&gt;=21),STDEV(INDEX($H$897:$H957,62-20):$H957)*SQRT(245),"")</f>
        <v/>
      </c>
      <c r="M957" s="52" t="str">
        <f aca="false">IF(AND(ISNUMBER($G957),$G957&gt;=60),MAX(INDEX($D$757:$D957,202-60):$D957),"")</f>
        <v/>
      </c>
      <c r="N957" s="52" t="str">
        <f aca="false">IF(AND(ISNUMBER($G957),$G957&gt;=60),MIN(INDEX($E$757:$E957,202-60):$E957),"")</f>
        <v/>
      </c>
      <c r="O957" s="53" t="str">
        <f aca="false">IF(OR(NOT(ISNUMBER($C957)),NOT(ISNUMBER($M957)),$M957=0),"",$C957/$M957-1)</f>
        <v/>
      </c>
      <c r="P957" s="54"/>
      <c r="Q957" s="53" t="str">
        <f aca="false">IF(NOT(ISNUMBER($P957)),"",IFERROR(PERCENTRANK($P$5:$P$1204,$P957),""))</f>
        <v/>
      </c>
    </row>
    <row r="958" customFormat="false" ht="15" hidden="false" customHeight="false" outlineLevel="0" collapsed="false">
      <c r="A958" s="55"/>
      <c r="B958" s="56"/>
      <c r="C958" s="57"/>
      <c r="D958" s="56"/>
      <c r="E958" s="56"/>
      <c r="F958" s="56"/>
      <c r="G958" s="50" t="str">
        <f aca="false">IF($A958="","",IF(ISNUMBER($G957),$G957+1,1))</f>
        <v/>
      </c>
      <c r="H958" s="51" t="str">
        <f aca="false">IF(OR(NOT(ISNUMBER($G958)),$G958&lt;2,NOT(ISNUMBER($C957)),$C957=0),"",$C958/$C957-1)</f>
        <v/>
      </c>
      <c r="I958" s="52" t="str">
        <f aca="false">IF(AND(ISNUMBER($G958),$G958&gt;=MA_SHORT),AVERAGE(INDEX($C$558:$C958,402-MA_SHORT):$C958),"")</f>
        <v/>
      </c>
      <c r="J958" s="52" t="str">
        <f aca="false">IF(AND(ISNUMBER($G958),$G958&gt;=MA_MED),AVERAGE(INDEX($C$558:$C958,402-MA_MED):$C958),"")</f>
        <v/>
      </c>
      <c r="K958" s="52" t="str">
        <f aca="false">IF(AND(ISNUMBER($G958),$G958&gt;=MA_LONG2),AVERAGE(INDEX($C$558:$C958,402-MA_LONG2):$C958),"")</f>
        <v/>
      </c>
      <c r="L958" s="53" t="str">
        <f aca="false">IF(AND(ISNUMBER($G958),$G958&gt;=21),STDEV(INDEX($H$898:$H958,62-20):$H958)*SQRT(245),"")</f>
        <v/>
      </c>
      <c r="M958" s="52" t="str">
        <f aca="false">IF(AND(ISNUMBER($G958),$G958&gt;=60),MAX(INDEX($D$758:$D958,202-60):$D958),"")</f>
        <v/>
      </c>
      <c r="N958" s="52" t="str">
        <f aca="false">IF(AND(ISNUMBER($G958),$G958&gt;=60),MIN(INDEX($E$758:$E958,202-60):$E958),"")</f>
        <v/>
      </c>
      <c r="O958" s="53" t="str">
        <f aca="false">IF(OR(NOT(ISNUMBER($C958)),NOT(ISNUMBER($M958)),$M958=0),"",$C958/$M958-1)</f>
        <v/>
      </c>
      <c r="P958" s="54"/>
      <c r="Q958" s="53" t="str">
        <f aca="false">IF(NOT(ISNUMBER($P958)),"",IFERROR(PERCENTRANK($P$5:$P$1204,$P958),""))</f>
        <v/>
      </c>
    </row>
    <row r="959" customFormat="false" ht="15" hidden="false" customHeight="false" outlineLevel="0" collapsed="false">
      <c r="A959" s="55"/>
      <c r="B959" s="56"/>
      <c r="C959" s="57"/>
      <c r="D959" s="56"/>
      <c r="E959" s="56"/>
      <c r="F959" s="56"/>
      <c r="G959" s="50" t="str">
        <f aca="false">IF($A959="","",IF(ISNUMBER($G958),$G958+1,1))</f>
        <v/>
      </c>
      <c r="H959" s="51" t="str">
        <f aca="false">IF(OR(NOT(ISNUMBER($G959)),$G959&lt;2,NOT(ISNUMBER($C958)),$C958=0),"",$C959/$C958-1)</f>
        <v/>
      </c>
      <c r="I959" s="52" t="str">
        <f aca="false">IF(AND(ISNUMBER($G959),$G959&gt;=MA_SHORT),AVERAGE(INDEX($C$559:$C959,402-MA_SHORT):$C959),"")</f>
        <v/>
      </c>
      <c r="J959" s="52" t="str">
        <f aca="false">IF(AND(ISNUMBER($G959),$G959&gt;=MA_MED),AVERAGE(INDEX($C$559:$C959,402-MA_MED):$C959),"")</f>
        <v/>
      </c>
      <c r="K959" s="52" t="str">
        <f aca="false">IF(AND(ISNUMBER($G959),$G959&gt;=MA_LONG2),AVERAGE(INDEX($C$559:$C959,402-MA_LONG2):$C959),"")</f>
        <v/>
      </c>
      <c r="L959" s="53" t="str">
        <f aca="false">IF(AND(ISNUMBER($G959),$G959&gt;=21),STDEV(INDEX($H$899:$H959,62-20):$H959)*SQRT(245),"")</f>
        <v/>
      </c>
      <c r="M959" s="52" t="str">
        <f aca="false">IF(AND(ISNUMBER($G959),$G959&gt;=60),MAX(INDEX($D$759:$D959,202-60):$D959),"")</f>
        <v/>
      </c>
      <c r="N959" s="52" t="str">
        <f aca="false">IF(AND(ISNUMBER($G959),$G959&gt;=60),MIN(INDEX($E$759:$E959,202-60):$E959),"")</f>
        <v/>
      </c>
      <c r="O959" s="53" t="str">
        <f aca="false">IF(OR(NOT(ISNUMBER($C959)),NOT(ISNUMBER($M959)),$M959=0),"",$C959/$M959-1)</f>
        <v/>
      </c>
      <c r="P959" s="54"/>
      <c r="Q959" s="53" t="str">
        <f aca="false">IF(NOT(ISNUMBER($P959)),"",IFERROR(PERCENTRANK($P$5:$P$1204,$P959),""))</f>
        <v/>
      </c>
    </row>
    <row r="960" customFormat="false" ht="15" hidden="false" customHeight="false" outlineLevel="0" collapsed="false">
      <c r="A960" s="55"/>
      <c r="B960" s="56"/>
      <c r="C960" s="57"/>
      <c r="D960" s="56"/>
      <c r="E960" s="56"/>
      <c r="F960" s="56"/>
      <c r="G960" s="50" t="str">
        <f aca="false">IF($A960="","",IF(ISNUMBER($G959),$G959+1,1))</f>
        <v/>
      </c>
      <c r="H960" s="51" t="str">
        <f aca="false">IF(OR(NOT(ISNUMBER($G960)),$G960&lt;2,NOT(ISNUMBER($C959)),$C959=0),"",$C960/$C959-1)</f>
        <v/>
      </c>
      <c r="I960" s="52" t="str">
        <f aca="false">IF(AND(ISNUMBER($G960),$G960&gt;=MA_SHORT),AVERAGE(INDEX($C$560:$C960,402-MA_SHORT):$C960),"")</f>
        <v/>
      </c>
      <c r="J960" s="52" t="str">
        <f aca="false">IF(AND(ISNUMBER($G960),$G960&gt;=MA_MED),AVERAGE(INDEX($C$560:$C960,402-MA_MED):$C960),"")</f>
        <v/>
      </c>
      <c r="K960" s="52" t="str">
        <f aca="false">IF(AND(ISNUMBER($G960),$G960&gt;=MA_LONG2),AVERAGE(INDEX($C$560:$C960,402-MA_LONG2):$C960),"")</f>
        <v/>
      </c>
      <c r="L960" s="53" t="str">
        <f aca="false">IF(AND(ISNUMBER($G960),$G960&gt;=21),STDEV(INDEX($H$900:$H960,62-20):$H960)*SQRT(245),"")</f>
        <v/>
      </c>
      <c r="M960" s="52" t="str">
        <f aca="false">IF(AND(ISNUMBER($G960),$G960&gt;=60),MAX(INDEX($D$760:$D960,202-60):$D960),"")</f>
        <v/>
      </c>
      <c r="N960" s="52" t="str">
        <f aca="false">IF(AND(ISNUMBER($G960),$G960&gt;=60),MIN(INDEX($E$760:$E960,202-60):$E960),"")</f>
        <v/>
      </c>
      <c r="O960" s="53" t="str">
        <f aca="false">IF(OR(NOT(ISNUMBER($C960)),NOT(ISNUMBER($M960)),$M960=0),"",$C960/$M960-1)</f>
        <v/>
      </c>
      <c r="P960" s="54"/>
      <c r="Q960" s="53" t="str">
        <f aca="false">IF(NOT(ISNUMBER($P960)),"",IFERROR(PERCENTRANK($P$5:$P$1204,$P960),""))</f>
        <v/>
      </c>
    </row>
    <row r="961" customFormat="false" ht="15" hidden="false" customHeight="false" outlineLevel="0" collapsed="false">
      <c r="A961" s="55"/>
      <c r="B961" s="56"/>
      <c r="C961" s="57"/>
      <c r="D961" s="56"/>
      <c r="E961" s="56"/>
      <c r="F961" s="56"/>
      <c r="G961" s="50" t="str">
        <f aca="false">IF($A961="","",IF(ISNUMBER($G960),$G960+1,1))</f>
        <v/>
      </c>
      <c r="H961" s="51" t="str">
        <f aca="false">IF(OR(NOT(ISNUMBER($G961)),$G961&lt;2,NOT(ISNUMBER($C960)),$C960=0),"",$C961/$C960-1)</f>
        <v/>
      </c>
      <c r="I961" s="52" t="str">
        <f aca="false">IF(AND(ISNUMBER($G961),$G961&gt;=MA_SHORT),AVERAGE(INDEX($C$561:$C961,402-MA_SHORT):$C961),"")</f>
        <v/>
      </c>
      <c r="J961" s="52" t="str">
        <f aca="false">IF(AND(ISNUMBER($G961),$G961&gt;=MA_MED),AVERAGE(INDEX($C$561:$C961,402-MA_MED):$C961),"")</f>
        <v/>
      </c>
      <c r="K961" s="52" t="str">
        <f aca="false">IF(AND(ISNUMBER($G961),$G961&gt;=MA_LONG2),AVERAGE(INDEX($C$561:$C961,402-MA_LONG2):$C961),"")</f>
        <v/>
      </c>
      <c r="L961" s="53" t="str">
        <f aca="false">IF(AND(ISNUMBER($G961),$G961&gt;=21),STDEV(INDEX($H$901:$H961,62-20):$H961)*SQRT(245),"")</f>
        <v/>
      </c>
      <c r="M961" s="52" t="str">
        <f aca="false">IF(AND(ISNUMBER($G961),$G961&gt;=60),MAX(INDEX($D$761:$D961,202-60):$D961),"")</f>
        <v/>
      </c>
      <c r="N961" s="52" t="str">
        <f aca="false">IF(AND(ISNUMBER($G961),$G961&gt;=60),MIN(INDEX($E$761:$E961,202-60):$E961),"")</f>
        <v/>
      </c>
      <c r="O961" s="53" t="str">
        <f aca="false">IF(OR(NOT(ISNUMBER($C961)),NOT(ISNUMBER($M961)),$M961=0),"",$C961/$M961-1)</f>
        <v/>
      </c>
      <c r="P961" s="54"/>
      <c r="Q961" s="53" t="str">
        <f aca="false">IF(NOT(ISNUMBER($P961)),"",IFERROR(PERCENTRANK($P$5:$P$1204,$P961),""))</f>
        <v/>
      </c>
    </row>
    <row r="962" customFormat="false" ht="15" hidden="false" customHeight="false" outlineLevel="0" collapsed="false">
      <c r="A962" s="55"/>
      <c r="B962" s="56"/>
      <c r="C962" s="57"/>
      <c r="D962" s="56"/>
      <c r="E962" s="56"/>
      <c r="F962" s="56"/>
      <c r="G962" s="50" t="str">
        <f aca="false">IF($A962="","",IF(ISNUMBER($G961),$G961+1,1))</f>
        <v/>
      </c>
      <c r="H962" s="51" t="str">
        <f aca="false">IF(OR(NOT(ISNUMBER($G962)),$G962&lt;2,NOT(ISNUMBER($C961)),$C961=0),"",$C962/$C961-1)</f>
        <v/>
      </c>
      <c r="I962" s="52" t="str">
        <f aca="false">IF(AND(ISNUMBER($G962),$G962&gt;=MA_SHORT),AVERAGE(INDEX($C$562:$C962,402-MA_SHORT):$C962),"")</f>
        <v/>
      </c>
      <c r="J962" s="52" t="str">
        <f aca="false">IF(AND(ISNUMBER($G962),$G962&gt;=MA_MED),AVERAGE(INDEX($C$562:$C962,402-MA_MED):$C962),"")</f>
        <v/>
      </c>
      <c r="K962" s="52" t="str">
        <f aca="false">IF(AND(ISNUMBER($G962),$G962&gt;=MA_LONG2),AVERAGE(INDEX($C$562:$C962,402-MA_LONG2):$C962),"")</f>
        <v/>
      </c>
      <c r="L962" s="53" t="str">
        <f aca="false">IF(AND(ISNUMBER($G962),$G962&gt;=21),STDEV(INDEX($H$902:$H962,62-20):$H962)*SQRT(245),"")</f>
        <v/>
      </c>
      <c r="M962" s="52" t="str">
        <f aca="false">IF(AND(ISNUMBER($G962),$G962&gt;=60),MAX(INDEX($D$762:$D962,202-60):$D962),"")</f>
        <v/>
      </c>
      <c r="N962" s="52" t="str">
        <f aca="false">IF(AND(ISNUMBER($G962),$G962&gt;=60),MIN(INDEX($E$762:$E962,202-60):$E962),"")</f>
        <v/>
      </c>
      <c r="O962" s="53" t="str">
        <f aca="false">IF(OR(NOT(ISNUMBER($C962)),NOT(ISNUMBER($M962)),$M962=0),"",$C962/$M962-1)</f>
        <v/>
      </c>
      <c r="P962" s="54"/>
      <c r="Q962" s="53" t="str">
        <f aca="false">IF(NOT(ISNUMBER($P962)),"",IFERROR(PERCENTRANK($P$5:$P$1204,$P962),""))</f>
        <v/>
      </c>
    </row>
    <row r="963" customFormat="false" ht="15" hidden="false" customHeight="false" outlineLevel="0" collapsed="false">
      <c r="A963" s="55"/>
      <c r="B963" s="56"/>
      <c r="C963" s="57"/>
      <c r="D963" s="56"/>
      <c r="E963" s="56"/>
      <c r="F963" s="56"/>
      <c r="G963" s="50" t="str">
        <f aca="false">IF($A963="","",IF(ISNUMBER($G962),$G962+1,1))</f>
        <v/>
      </c>
      <c r="H963" s="51" t="str">
        <f aca="false">IF(OR(NOT(ISNUMBER($G963)),$G963&lt;2,NOT(ISNUMBER($C962)),$C962=0),"",$C963/$C962-1)</f>
        <v/>
      </c>
      <c r="I963" s="52" t="str">
        <f aca="false">IF(AND(ISNUMBER($G963),$G963&gt;=MA_SHORT),AVERAGE(INDEX($C$563:$C963,402-MA_SHORT):$C963),"")</f>
        <v/>
      </c>
      <c r="J963" s="52" t="str">
        <f aca="false">IF(AND(ISNUMBER($G963),$G963&gt;=MA_MED),AVERAGE(INDEX($C$563:$C963,402-MA_MED):$C963),"")</f>
        <v/>
      </c>
      <c r="K963" s="52" t="str">
        <f aca="false">IF(AND(ISNUMBER($G963),$G963&gt;=MA_LONG2),AVERAGE(INDEX($C$563:$C963,402-MA_LONG2):$C963),"")</f>
        <v/>
      </c>
      <c r="L963" s="53" t="str">
        <f aca="false">IF(AND(ISNUMBER($G963),$G963&gt;=21),STDEV(INDEX($H$903:$H963,62-20):$H963)*SQRT(245),"")</f>
        <v/>
      </c>
      <c r="M963" s="52" t="str">
        <f aca="false">IF(AND(ISNUMBER($G963),$G963&gt;=60),MAX(INDEX($D$763:$D963,202-60):$D963),"")</f>
        <v/>
      </c>
      <c r="N963" s="52" t="str">
        <f aca="false">IF(AND(ISNUMBER($G963),$G963&gt;=60),MIN(INDEX($E$763:$E963,202-60):$E963),"")</f>
        <v/>
      </c>
      <c r="O963" s="53" t="str">
        <f aca="false">IF(OR(NOT(ISNUMBER($C963)),NOT(ISNUMBER($M963)),$M963=0),"",$C963/$M963-1)</f>
        <v/>
      </c>
      <c r="P963" s="54"/>
      <c r="Q963" s="53" t="str">
        <f aca="false">IF(NOT(ISNUMBER($P963)),"",IFERROR(PERCENTRANK($P$5:$P$1204,$P963),""))</f>
        <v/>
      </c>
    </row>
    <row r="964" customFormat="false" ht="15" hidden="false" customHeight="false" outlineLevel="0" collapsed="false">
      <c r="A964" s="55"/>
      <c r="B964" s="56"/>
      <c r="C964" s="57"/>
      <c r="D964" s="56"/>
      <c r="E964" s="56"/>
      <c r="F964" s="56"/>
      <c r="G964" s="50" t="str">
        <f aca="false">IF($A964="","",IF(ISNUMBER($G963),$G963+1,1))</f>
        <v/>
      </c>
      <c r="H964" s="51" t="str">
        <f aca="false">IF(OR(NOT(ISNUMBER($G964)),$G964&lt;2,NOT(ISNUMBER($C963)),$C963=0),"",$C964/$C963-1)</f>
        <v/>
      </c>
      <c r="I964" s="52" t="str">
        <f aca="false">IF(AND(ISNUMBER($G964),$G964&gt;=MA_SHORT),AVERAGE(INDEX($C$564:$C964,402-MA_SHORT):$C964),"")</f>
        <v/>
      </c>
      <c r="J964" s="52" t="str">
        <f aca="false">IF(AND(ISNUMBER($G964),$G964&gt;=MA_MED),AVERAGE(INDEX($C$564:$C964,402-MA_MED):$C964),"")</f>
        <v/>
      </c>
      <c r="K964" s="52" t="str">
        <f aca="false">IF(AND(ISNUMBER($G964),$G964&gt;=MA_LONG2),AVERAGE(INDEX($C$564:$C964,402-MA_LONG2):$C964),"")</f>
        <v/>
      </c>
      <c r="L964" s="53" t="str">
        <f aca="false">IF(AND(ISNUMBER($G964),$G964&gt;=21),STDEV(INDEX($H$904:$H964,62-20):$H964)*SQRT(245),"")</f>
        <v/>
      </c>
      <c r="M964" s="52" t="str">
        <f aca="false">IF(AND(ISNUMBER($G964),$G964&gt;=60),MAX(INDEX($D$764:$D964,202-60):$D964),"")</f>
        <v/>
      </c>
      <c r="N964" s="52" t="str">
        <f aca="false">IF(AND(ISNUMBER($G964),$G964&gt;=60),MIN(INDEX($E$764:$E964,202-60):$E964),"")</f>
        <v/>
      </c>
      <c r="O964" s="53" t="str">
        <f aca="false">IF(OR(NOT(ISNUMBER($C964)),NOT(ISNUMBER($M964)),$M964=0),"",$C964/$M964-1)</f>
        <v/>
      </c>
      <c r="P964" s="54"/>
      <c r="Q964" s="53" t="str">
        <f aca="false">IF(NOT(ISNUMBER($P964)),"",IFERROR(PERCENTRANK($P$5:$P$1204,$P964),""))</f>
        <v/>
      </c>
    </row>
    <row r="965" customFormat="false" ht="15" hidden="false" customHeight="false" outlineLevel="0" collapsed="false">
      <c r="A965" s="55"/>
      <c r="B965" s="56"/>
      <c r="C965" s="57"/>
      <c r="D965" s="56"/>
      <c r="E965" s="56"/>
      <c r="F965" s="56"/>
      <c r="G965" s="50" t="str">
        <f aca="false">IF($A965="","",IF(ISNUMBER($G964),$G964+1,1))</f>
        <v/>
      </c>
      <c r="H965" s="51" t="str">
        <f aca="false">IF(OR(NOT(ISNUMBER($G965)),$G965&lt;2,NOT(ISNUMBER($C964)),$C964=0),"",$C965/$C964-1)</f>
        <v/>
      </c>
      <c r="I965" s="52" t="str">
        <f aca="false">IF(AND(ISNUMBER($G965),$G965&gt;=MA_SHORT),AVERAGE(INDEX($C$565:$C965,402-MA_SHORT):$C965),"")</f>
        <v/>
      </c>
      <c r="J965" s="52" t="str">
        <f aca="false">IF(AND(ISNUMBER($G965),$G965&gt;=MA_MED),AVERAGE(INDEX($C$565:$C965,402-MA_MED):$C965),"")</f>
        <v/>
      </c>
      <c r="K965" s="52" t="str">
        <f aca="false">IF(AND(ISNUMBER($G965),$G965&gt;=MA_LONG2),AVERAGE(INDEX($C$565:$C965,402-MA_LONG2):$C965),"")</f>
        <v/>
      </c>
      <c r="L965" s="53" t="str">
        <f aca="false">IF(AND(ISNUMBER($G965),$G965&gt;=21),STDEV(INDEX($H$905:$H965,62-20):$H965)*SQRT(245),"")</f>
        <v/>
      </c>
      <c r="M965" s="52" t="str">
        <f aca="false">IF(AND(ISNUMBER($G965),$G965&gt;=60),MAX(INDEX($D$765:$D965,202-60):$D965),"")</f>
        <v/>
      </c>
      <c r="N965" s="52" t="str">
        <f aca="false">IF(AND(ISNUMBER($G965),$G965&gt;=60),MIN(INDEX($E$765:$E965,202-60):$E965),"")</f>
        <v/>
      </c>
      <c r="O965" s="53" t="str">
        <f aca="false">IF(OR(NOT(ISNUMBER($C965)),NOT(ISNUMBER($M965)),$M965=0),"",$C965/$M965-1)</f>
        <v/>
      </c>
      <c r="P965" s="54"/>
      <c r="Q965" s="53" t="str">
        <f aca="false">IF(NOT(ISNUMBER($P965)),"",IFERROR(PERCENTRANK($P$5:$P$1204,$P965),""))</f>
        <v/>
      </c>
    </row>
    <row r="966" customFormat="false" ht="15" hidden="false" customHeight="false" outlineLevel="0" collapsed="false">
      <c r="A966" s="55"/>
      <c r="B966" s="56"/>
      <c r="C966" s="57"/>
      <c r="D966" s="56"/>
      <c r="E966" s="56"/>
      <c r="F966" s="56"/>
      <c r="G966" s="50" t="str">
        <f aca="false">IF($A966="","",IF(ISNUMBER($G965),$G965+1,1))</f>
        <v/>
      </c>
      <c r="H966" s="51" t="str">
        <f aca="false">IF(OR(NOT(ISNUMBER($G966)),$G966&lt;2,NOT(ISNUMBER($C965)),$C965=0),"",$C966/$C965-1)</f>
        <v/>
      </c>
      <c r="I966" s="52" t="str">
        <f aca="false">IF(AND(ISNUMBER($G966),$G966&gt;=MA_SHORT),AVERAGE(INDEX($C$566:$C966,402-MA_SHORT):$C966),"")</f>
        <v/>
      </c>
      <c r="J966" s="52" t="str">
        <f aca="false">IF(AND(ISNUMBER($G966),$G966&gt;=MA_MED),AVERAGE(INDEX($C$566:$C966,402-MA_MED):$C966),"")</f>
        <v/>
      </c>
      <c r="K966" s="52" t="str">
        <f aca="false">IF(AND(ISNUMBER($G966),$G966&gt;=MA_LONG2),AVERAGE(INDEX($C$566:$C966,402-MA_LONG2):$C966),"")</f>
        <v/>
      </c>
      <c r="L966" s="53" t="str">
        <f aca="false">IF(AND(ISNUMBER($G966),$G966&gt;=21),STDEV(INDEX($H$906:$H966,62-20):$H966)*SQRT(245),"")</f>
        <v/>
      </c>
      <c r="M966" s="52" t="str">
        <f aca="false">IF(AND(ISNUMBER($G966),$G966&gt;=60),MAX(INDEX($D$766:$D966,202-60):$D966),"")</f>
        <v/>
      </c>
      <c r="N966" s="52" t="str">
        <f aca="false">IF(AND(ISNUMBER($G966),$G966&gt;=60),MIN(INDEX($E$766:$E966,202-60):$E966),"")</f>
        <v/>
      </c>
      <c r="O966" s="53" t="str">
        <f aca="false">IF(OR(NOT(ISNUMBER($C966)),NOT(ISNUMBER($M966)),$M966=0),"",$C966/$M966-1)</f>
        <v/>
      </c>
      <c r="P966" s="54"/>
      <c r="Q966" s="53" t="str">
        <f aca="false">IF(NOT(ISNUMBER($P966)),"",IFERROR(PERCENTRANK($P$5:$P$1204,$P966),""))</f>
        <v/>
      </c>
    </row>
    <row r="967" customFormat="false" ht="15" hidden="false" customHeight="false" outlineLevel="0" collapsed="false">
      <c r="A967" s="55"/>
      <c r="B967" s="56"/>
      <c r="C967" s="57"/>
      <c r="D967" s="56"/>
      <c r="E967" s="56"/>
      <c r="F967" s="56"/>
      <c r="G967" s="50" t="str">
        <f aca="false">IF($A967="","",IF(ISNUMBER($G966),$G966+1,1))</f>
        <v/>
      </c>
      <c r="H967" s="51" t="str">
        <f aca="false">IF(OR(NOT(ISNUMBER($G967)),$G967&lt;2,NOT(ISNUMBER($C966)),$C966=0),"",$C967/$C966-1)</f>
        <v/>
      </c>
      <c r="I967" s="52" t="str">
        <f aca="false">IF(AND(ISNUMBER($G967),$G967&gt;=MA_SHORT),AVERAGE(INDEX($C$567:$C967,402-MA_SHORT):$C967),"")</f>
        <v/>
      </c>
      <c r="J967" s="52" t="str">
        <f aca="false">IF(AND(ISNUMBER($G967),$G967&gt;=MA_MED),AVERAGE(INDEX($C$567:$C967,402-MA_MED):$C967),"")</f>
        <v/>
      </c>
      <c r="K967" s="52" t="str">
        <f aca="false">IF(AND(ISNUMBER($G967),$G967&gt;=MA_LONG2),AVERAGE(INDEX($C$567:$C967,402-MA_LONG2):$C967),"")</f>
        <v/>
      </c>
      <c r="L967" s="53" t="str">
        <f aca="false">IF(AND(ISNUMBER($G967),$G967&gt;=21),STDEV(INDEX($H$907:$H967,62-20):$H967)*SQRT(245),"")</f>
        <v/>
      </c>
      <c r="M967" s="52" t="str">
        <f aca="false">IF(AND(ISNUMBER($G967),$G967&gt;=60),MAX(INDEX($D$767:$D967,202-60):$D967),"")</f>
        <v/>
      </c>
      <c r="N967" s="52" t="str">
        <f aca="false">IF(AND(ISNUMBER($G967),$G967&gt;=60),MIN(INDEX($E$767:$E967,202-60):$E967),"")</f>
        <v/>
      </c>
      <c r="O967" s="53" t="str">
        <f aca="false">IF(OR(NOT(ISNUMBER($C967)),NOT(ISNUMBER($M967)),$M967=0),"",$C967/$M967-1)</f>
        <v/>
      </c>
      <c r="P967" s="54"/>
      <c r="Q967" s="53" t="str">
        <f aca="false">IF(NOT(ISNUMBER($P967)),"",IFERROR(PERCENTRANK($P$5:$P$1204,$P967),""))</f>
        <v/>
      </c>
    </row>
    <row r="968" customFormat="false" ht="15" hidden="false" customHeight="false" outlineLevel="0" collapsed="false">
      <c r="A968" s="55"/>
      <c r="B968" s="56"/>
      <c r="C968" s="57"/>
      <c r="D968" s="56"/>
      <c r="E968" s="56"/>
      <c r="F968" s="56"/>
      <c r="G968" s="50" t="str">
        <f aca="false">IF($A968="","",IF(ISNUMBER($G967),$G967+1,1))</f>
        <v/>
      </c>
      <c r="H968" s="51" t="str">
        <f aca="false">IF(OR(NOT(ISNUMBER($G968)),$G968&lt;2,NOT(ISNUMBER($C967)),$C967=0),"",$C968/$C967-1)</f>
        <v/>
      </c>
      <c r="I968" s="52" t="str">
        <f aca="false">IF(AND(ISNUMBER($G968),$G968&gt;=MA_SHORT),AVERAGE(INDEX($C$568:$C968,402-MA_SHORT):$C968),"")</f>
        <v/>
      </c>
      <c r="J968" s="52" t="str">
        <f aca="false">IF(AND(ISNUMBER($G968),$G968&gt;=MA_MED),AVERAGE(INDEX($C$568:$C968,402-MA_MED):$C968),"")</f>
        <v/>
      </c>
      <c r="K968" s="52" t="str">
        <f aca="false">IF(AND(ISNUMBER($G968),$G968&gt;=MA_LONG2),AVERAGE(INDEX($C$568:$C968,402-MA_LONG2):$C968),"")</f>
        <v/>
      </c>
      <c r="L968" s="53" t="str">
        <f aca="false">IF(AND(ISNUMBER($G968),$G968&gt;=21),STDEV(INDEX($H$908:$H968,62-20):$H968)*SQRT(245),"")</f>
        <v/>
      </c>
      <c r="M968" s="52" t="str">
        <f aca="false">IF(AND(ISNUMBER($G968),$G968&gt;=60),MAX(INDEX($D$768:$D968,202-60):$D968),"")</f>
        <v/>
      </c>
      <c r="N968" s="52" t="str">
        <f aca="false">IF(AND(ISNUMBER($G968),$G968&gt;=60),MIN(INDEX($E$768:$E968,202-60):$E968),"")</f>
        <v/>
      </c>
      <c r="O968" s="53" t="str">
        <f aca="false">IF(OR(NOT(ISNUMBER($C968)),NOT(ISNUMBER($M968)),$M968=0),"",$C968/$M968-1)</f>
        <v/>
      </c>
      <c r="P968" s="54"/>
      <c r="Q968" s="53" t="str">
        <f aca="false">IF(NOT(ISNUMBER($P968)),"",IFERROR(PERCENTRANK($P$5:$P$1204,$P968),""))</f>
        <v/>
      </c>
    </row>
    <row r="969" customFormat="false" ht="15" hidden="false" customHeight="false" outlineLevel="0" collapsed="false">
      <c r="A969" s="55"/>
      <c r="B969" s="56"/>
      <c r="C969" s="57"/>
      <c r="D969" s="56"/>
      <c r="E969" s="56"/>
      <c r="F969" s="56"/>
      <c r="G969" s="50" t="str">
        <f aca="false">IF($A969="","",IF(ISNUMBER($G968),$G968+1,1))</f>
        <v/>
      </c>
      <c r="H969" s="51" t="str">
        <f aca="false">IF(OR(NOT(ISNUMBER($G969)),$G969&lt;2,NOT(ISNUMBER($C968)),$C968=0),"",$C969/$C968-1)</f>
        <v/>
      </c>
      <c r="I969" s="52" t="str">
        <f aca="false">IF(AND(ISNUMBER($G969),$G969&gt;=MA_SHORT),AVERAGE(INDEX($C$569:$C969,402-MA_SHORT):$C969),"")</f>
        <v/>
      </c>
      <c r="J969" s="52" t="str">
        <f aca="false">IF(AND(ISNUMBER($G969),$G969&gt;=MA_MED),AVERAGE(INDEX($C$569:$C969,402-MA_MED):$C969),"")</f>
        <v/>
      </c>
      <c r="K969" s="52" t="str">
        <f aca="false">IF(AND(ISNUMBER($G969),$G969&gt;=MA_LONG2),AVERAGE(INDEX($C$569:$C969,402-MA_LONG2):$C969),"")</f>
        <v/>
      </c>
      <c r="L969" s="53" t="str">
        <f aca="false">IF(AND(ISNUMBER($G969),$G969&gt;=21),STDEV(INDEX($H$909:$H969,62-20):$H969)*SQRT(245),"")</f>
        <v/>
      </c>
      <c r="M969" s="52" t="str">
        <f aca="false">IF(AND(ISNUMBER($G969),$G969&gt;=60),MAX(INDEX($D$769:$D969,202-60):$D969),"")</f>
        <v/>
      </c>
      <c r="N969" s="52" t="str">
        <f aca="false">IF(AND(ISNUMBER($G969),$G969&gt;=60),MIN(INDEX($E$769:$E969,202-60):$E969),"")</f>
        <v/>
      </c>
      <c r="O969" s="53" t="str">
        <f aca="false">IF(OR(NOT(ISNUMBER($C969)),NOT(ISNUMBER($M969)),$M969=0),"",$C969/$M969-1)</f>
        <v/>
      </c>
      <c r="P969" s="54"/>
      <c r="Q969" s="53" t="str">
        <f aca="false">IF(NOT(ISNUMBER($P969)),"",IFERROR(PERCENTRANK($P$5:$P$1204,$P969),""))</f>
        <v/>
      </c>
    </row>
    <row r="970" customFormat="false" ht="15" hidden="false" customHeight="false" outlineLevel="0" collapsed="false">
      <c r="A970" s="55"/>
      <c r="B970" s="56"/>
      <c r="C970" s="57"/>
      <c r="D970" s="56"/>
      <c r="E970" s="56"/>
      <c r="F970" s="56"/>
      <c r="G970" s="50" t="str">
        <f aca="false">IF($A970="","",IF(ISNUMBER($G969),$G969+1,1))</f>
        <v/>
      </c>
      <c r="H970" s="51" t="str">
        <f aca="false">IF(OR(NOT(ISNUMBER($G970)),$G970&lt;2,NOT(ISNUMBER($C969)),$C969=0),"",$C970/$C969-1)</f>
        <v/>
      </c>
      <c r="I970" s="52" t="str">
        <f aca="false">IF(AND(ISNUMBER($G970),$G970&gt;=MA_SHORT),AVERAGE(INDEX($C$570:$C970,402-MA_SHORT):$C970),"")</f>
        <v/>
      </c>
      <c r="J970" s="52" t="str">
        <f aca="false">IF(AND(ISNUMBER($G970),$G970&gt;=MA_MED),AVERAGE(INDEX($C$570:$C970,402-MA_MED):$C970),"")</f>
        <v/>
      </c>
      <c r="K970" s="52" t="str">
        <f aca="false">IF(AND(ISNUMBER($G970),$G970&gt;=MA_LONG2),AVERAGE(INDEX($C$570:$C970,402-MA_LONG2):$C970),"")</f>
        <v/>
      </c>
      <c r="L970" s="53" t="str">
        <f aca="false">IF(AND(ISNUMBER($G970),$G970&gt;=21),STDEV(INDEX($H$910:$H970,62-20):$H970)*SQRT(245),"")</f>
        <v/>
      </c>
      <c r="M970" s="52" t="str">
        <f aca="false">IF(AND(ISNUMBER($G970),$G970&gt;=60),MAX(INDEX($D$770:$D970,202-60):$D970),"")</f>
        <v/>
      </c>
      <c r="N970" s="52" t="str">
        <f aca="false">IF(AND(ISNUMBER($G970),$G970&gt;=60),MIN(INDEX($E$770:$E970,202-60):$E970),"")</f>
        <v/>
      </c>
      <c r="O970" s="53" t="str">
        <f aca="false">IF(OR(NOT(ISNUMBER($C970)),NOT(ISNUMBER($M970)),$M970=0),"",$C970/$M970-1)</f>
        <v/>
      </c>
      <c r="P970" s="54"/>
      <c r="Q970" s="53" t="str">
        <f aca="false">IF(NOT(ISNUMBER($P970)),"",IFERROR(PERCENTRANK($P$5:$P$1204,$P970),""))</f>
        <v/>
      </c>
    </row>
    <row r="971" customFormat="false" ht="15" hidden="false" customHeight="false" outlineLevel="0" collapsed="false">
      <c r="A971" s="55"/>
      <c r="B971" s="56"/>
      <c r="C971" s="57"/>
      <c r="D971" s="56"/>
      <c r="E971" s="56"/>
      <c r="F971" s="56"/>
      <c r="G971" s="50" t="str">
        <f aca="false">IF($A971="","",IF(ISNUMBER($G970),$G970+1,1))</f>
        <v/>
      </c>
      <c r="H971" s="51" t="str">
        <f aca="false">IF(OR(NOT(ISNUMBER($G971)),$G971&lt;2,NOT(ISNUMBER($C970)),$C970=0),"",$C971/$C970-1)</f>
        <v/>
      </c>
      <c r="I971" s="52" t="str">
        <f aca="false">IF(AND(ISNUMBER($G971),$G971&gt;=MA_SHORT),AVERAGE(INDEX($C$571:$C971,402-MA_SHORT):$C971),"")</f>
        <v/>
      </c>
      <c r="J971" s="52" t="str">
        <f aca="false">IF(AND(ISNUMBER($G971),$G971&gt;=MA_MED),AVERAGE(INDEX($C$571:$C971,402-MA_MED):$C971),"")</f>
        <v/>
      </c>
      <c r="K971" s="52" t="str">
        <f aca="false">IF(AND(ISNUMBER($G971),$G971&gt;=MA_LONG2),AVERAGE(INDEX($C$571:$C971,402-MA_LONG2):$C971),"")</f>
        <v/>
      </c>
      <c r="L971" s="53" t="str">
        <f aca="false">IF(AND(ISNUMBER($G971),$G971&gt;=21),STDEV(INDEX($H$911:$H971,62-20):$H971)*SQRT(245),"")</f>
        <v/>
      </c>
      <c r="M971" s="52" t="str">
        <f aca="false">IF(AND(ISNUMBER($G971),$G971&gt;=60),MAX(INDEX($D$771:$D971,202-60):$D971),"")</f>
        <v/>
      </c>
      <c r="N971" s="52" t="str">
        <f aca="false">IF(AND(ISNUMBER($G971),$G971&gt;=60),MIN(INDEX($E$771:$E971,202-60):$E971),"")</f>
        <v/>
      </c>
      <c r="O971" s="53" t="str">
        <f aca="false">IF(OR(NOT(ISNUMBER($C971)),NOT(ISNUMBER($M971)),$M971=0),"",$C971/$M971-1)</f>
        <v/>
      </c>
      <c r="P971" s="54"/>
      <c r="Q971" s="53" t="str">
        <f aca="false">IF(NOT(ISNUMBER($P971)),"",IFERROR(PERCENTRANK($P$5:$P$1204,$P971),""))</f>
        <v/>
      </c>
    </row>
    <row r="972" customFormat="false" ht="15" hidden="false" customHeight="false" outlineLevel="0" collapsed="false">
      <c r="A972" s="55"/>
      <c r="B972" s="56"/>
      <c r="C972" s="57"/>
      <c r="D972" s="56"/>
      <c r="E972" s="56"/>
      <c r="F972" s="56"/>
      <c r="G972" s="50" t="str">
        <f aca="false">IF($A972="","",IF(ISNUMBER($G971),$G971+1,1))</f>
        <v/>
      </c>
      <c r="H972" s="51" t="str">
        <f aca="false">IF(OR(NOT(ISNUMBER($G972)),$G972&lt;2,NOT(ISNUMBER($C971)),$C971=0),"",$C972/$C971-1)</f>
        <v/>
      </c>
      <c r="I972" s="52" t="str">
        <f aca="false">IF(AND(ISNUMBER($G972),$G972&gt;=MA_SHORT),AVERAGE(INDEX($C$572:$C972,402-MA_SHORT):$C972),"")</f>
        <v/>
      </c>
      <c r="J972" s="52" t="str">
        <f aca="false">IF(AND(ISNUMBER($G972),$G972&gt;=MA_MED),AVERAGE(INDEX($C$572:$C972,402-MA_MED):$C972),"")</f>
        <v/>
      </c>
      <c r="K972" s="52" t="str">
        <f aca="false">IF(AND(ISNUMBER($G972),$G972&gt;=MA_LONG2),AVERAGE(INDEX($C$572:$C972,402-MA_LONG2):$C972),"")</f>
        <v/>
      </c>
      <c r="L972" s="53" t="str">
        <f aca="false">IF(AND(ISNUMBER($G972),$G972&gt;=21),STDEV(INDEX($H$912:$H972,62-20):$H972)*SQRT(245),"")</f>
        <v/>
      </c>
      <c r="M972" s="52" t="str">
        <f aca="false">IF(AND(ISNUMBER($G972),$G972&gt;=60),MAX(INDEX($D$772:$D972,202-60):$D972),"")</f>
        <v/>
      </c>
      <c r="N972" s="52" t="str">
        <f aca="false">IF(AND(ISNUMBER($G972),$G972&gt;=60),MIN(INDEX($E$772:$E972,202-60):$E972),"")</f>
        <v/>
      </c>
      <c r="O972" s="53" t="str">
        <f aca="false">IF(OR(NOT(ISNUMBER($C972)),NOT(ISNUMBER($M972)),$M972=0),"",$C972/$M972-1)</f>
        <v/>
      </c>
      <c r="P972" s="54"/>
      <c r="Q972" s="53" t="str">
        <f aca="false">IF(NOT(ISNUMBER($P972)),"",IFERROR(PERCENTRANK($P$5:$P$1204,$P972),""))</f>
        <v/>
      </c>
    </row>
    <row r="973" customFormat="false" ht="15" hidden="false" customHeight="false" outlineLevel="0" collapsed="false">
      <c r="A973" s="55"/>
      <c r="B973" s="56"/>
      <c r="C973" s="57"/>
      <c r="D973" s="56"/>
      <c r="E973" s="56"/>
      <c r="F973" s="56"/>
      <c r="G973" s="50" t="str">
        <f aca="false">IF($A973="","",IF(ISNUMBER($G972),$G972+1,1))</f>
        <v/>
      </c>
      <c r="H973" s="51" t="str">
        <f aca="false">IF(OR(NOT(ISNUMBER($G973)),$G973&lt;2,NOT(ISNUMBER($C972)),$C972=0),"",$C973/$C972-1)</f>
        <v/>
      </c>
      <c r="I973" s="52" t="str">
        <f aca="false">IF(AND(ISNUMBER($G973),$G973&gt;=MA_SHORT),AVERAGE(INDEX($C$573:$C973,402-MA_SHORT):$C973),"")</f>
        <v/>
      </c>
      <c r="J973" s="52" t="str">
        <f aca="false">IF(AND(ISNUMBER($G973),$G973&gt;=MA_MED),AVERAGE(INDEX($C$573:$C973,402-MA_MED):$C973),"")</f>
        <v/>
      </c>
      <c r="K973" s="52" t="str">
        <f aca="false">IF(AND(ISNUMBER($G973),$G973&gt;=MA_LONG2),AVERAGE(INDEX($C$573:$C973,402-MA_LONG2):$C973),"")</f>
        <v/>
      </c>
      <c r="L973" s="53" t="str">
        <f aca="false">IF(AND(ISNUMBER($G973),$G973&gt;=21),STDEV(INDEX($H$913:$H973,62-20):$H973)*SQRT(245),"")</f>
        <v/>
      </c>
      <c r="M973" s="52" t="str">
        <f aca="false">IF(AND(ISNUMBER($G973),$G973&gt;=60),MAX(INDEX($D$773:$D973,202-60):$D973),"")</f>
        <v/>
      </c>
      <c r="N973" s="52" t="str">
        <f aca="false">IF(AND(ISNUMBER($G973),$G973&gt;=60),MIN(INDEX($E$773:$E973,202-60):$E973),"")</f>
        <v/>
      </c>
      <c r="O973" s="53" t="str">
        <f aca="false">IF(OR(NOT(ISNUMBER($C973)),NOT(ISNUMBER($M973)),$M973=0),"",$C973/$M973-1)</f>
        <v/>
      </c>
      <c r="P973" s="54"/>
      <c r="Q973" s="53" t="str">
        <f aca="false">IF(NOT(ISNUMBER($P973)),"",IFERROR(PERCENTRANK($P$5:$P$1204,$P973),""))</f>
        <v/>
      </c>
    </row>
    <row r="974" customFormat="false" ht="15" hidden="false" customHeight="false" outlineLevel="0" collapsed="false">
      <c r="A974" s="55"/>
      <c r="B974" s="56"/>
      <c r="C974" s="57"/>
      <c r="D974" s="56"/>
      <c r="E974" s="56"/>
      <c r="F974" s="56"/>
      <c r="G974" s="50" t="str">
        <f aca="false">IF($A974="","",IF(ISNUMBER($G973),$G973+1,1))</f>
        <v/>
      </c>
      <c r="H974" s="51" t="str">
        <f aca="false">IF(OR(NOT(ISNUMBER($G974)),$G974&lt;2,NOT(ISNUMBER($C973)),$C973=0),"",$C974/$C973-1)</f>
        <v/>
      </c>
      <c r="I974" s="52" t="str">
        <f aca="false">IF(AND(ISNUMBER($G974),$G974&gt;=MA_SHORT),AVERAGE(INDEX($C$574:$C974,402-MA_SHORT):$C974),"")</f>
        <v/>
      </c>
      <c r="J974" s="52" t="str">
        <f aca="false">IF(AND(ISNUMBER($G974),$G974&gt;=MA_MED),AVERAGE(INDEX($C$574:$C974,402-MA_MED):$C974),"")</f>
        <v/>
      </c>
      <c r="K974" s="52" t="str">
        <f aca="false">IF(AND(ISNUMBER($G974),$G974&gt;=MA_LONG2),AVERAGE(INDEX($C$574:$C974,402-MA_LONG2):$C974),"")</f>
        <v/>
      </c>
      <c r="L974" s="53" t="str">
        <f aca="false">IF(AND(ISNUMBER($G974),$G974&gt;=21),STDEV(INDEX($H$914:$H974,62-20):$H974)*SQRT(245),"")</f>
        <v/>
      </c>
      <c r="M974" s="52" t="str">
        <f aca="false">IF(AND(ISNUMBER($G974),$G974&gt;=60),MAX(INDEX($D$774:$D974,202-60):$D974),"")</f>
        <v/>
      </c>
      <c r="N974" s="52" t="str">
        <f aca="false">IF(AND(ISNUMBER($G974),$G974&gt;=60),MIN(INDEX($E$774:$E974,202-60):$E974),"")</f>
        <v/>
      </c>
      <c r="O974" s="53" t="str">
        <f aca="false">IF(OR(NOT(ISNUMBER($C974)),NOT(ISNUMBER($M974)),$M974=0),"",$C974/$M974-1)</f>
        <v/>
      </c>
      <c r="P974" s="54"/>
      <c r="Q974" s="53" t="str">
        <f aca="false">IF(NOT(ISNUMBER($P974)),"",IFERROR(PERCENTRANK($P$5:$P$1204,$P974),""))</f>
        <v/>
      </c>
    </row>
    <row r="975" customFormat="false" ht="15" hidden="false" customHeight="false" outlineLevel="0" collapsed="false">
      <c r="A975" s="55"/>
      <c r="B975" s="56"/>
      <c r="C975" s="57"/>
      <c r="D975" s="56"/>
      <c r="E975" s="56"/>
      <c r="F975" s="56"/>
      <c r="G975" s="50" t="str">
        <f aca="false">IF($A975="","",IF(ISNUMBER($G974),$G974+1,1))</f>
        <v/>
      </c>
      <c r="H975" s="51" t="str">
        <f aca="false">IF(OR(NOT(ISNUMBER($G975)),$G975&lt;2,NOT(ISNUMBER($C974)),$C974=0),"",$C975/$C974-1)</f>
        <v/>
      </c>
      <c r="I975" s="52" t="str">
        <f aca="false">IF(AND(ISNUMBER($G975),$G975&gt;=MA_SHORT),AVERAGE(INDEX($C$575:$C975,402-MA_SHORT):$C975),"")</f>
        <v/>
      </c>
      <c r="J975" s="52" t="str">
        <f aca="false">IF(AND(ISNUMBER($G975),$G975&gt;=MA_MED),AVERAGE(INDEX($C$575:$C975,402-MA_MED):$C975),"")</f>
        <v/>
      </c>
      <c r="K975" s="52" t="str">
        <f aca="false">IF(AND(ISNUMBER($G975),$G975&gt;=MA_LONG2),AVERAGE(INDEX($C$575:$C975,402-MA_LONG2):$C975),"")</f>
        <v/>
      </c>
      <c r="L975" s="53" t="str">
        <f aca="false">IF(AND(ISNUMBER($G975),$G975&gt;=21),STDEV(INDEX($H$915:$H975,62-20):$H975)*SQRT(245),"")</f>
        <v/>
      </c>
      <c r="M975" s="52" t="str">
        <f aca="false">IF(AND(ISNUMBER($G975),$G975&gt;=60),MAX(INDEX($D$775:$D975,202-60):$D975),"")</f>
        <v/>
      </c>
      <c r="N975" s="52" t="str">
        <f aca="false">IF(AND(ISNUMBER($G975),$G975&gt;=60),MIN(INDEX($E$775:$E975,202-60):$E975),"")</f>
        <v/>
      </c>
      <c r="O975" s="53" t="str">
        <f aca="false">IF(OR(NOT(ISNUMBER($C975)),NOT(ISNUMBER($M975)),$M975=0),"",$C975/$M975-1)</f>
        <v/>
      </c>
      <c r="P975" s="54"/>
      <c r="Q975" s="53" t="str">
        <f aca="false">IF(NOT(ISNUMBER($P975)),"",IFERROR(PERCENTRANK($P$5:$P$1204,$P975),""))</f>
        <v/>
      </c>
    </row>
    <row r="976" customFormat="false" ht="15" hidden="false" customHeight="false" outlineLevel="0" collapsed="false">
      <c r="A976" s="55"/>
      <c r="B976" s="56"/>
      <c r="C976" s="57"/>
      <c r="D976" s="56"/>
      <c r="E976" s="56"/>
      <c r="F976" s="56"/>
      <c r="G976" s="50" t="str">
        <f aca="false">IF($A976="","",IF(ISNUMBER($G975),$G975+1,1))</f>
        <v/>
      </c>
      <c r="H976" s="51" t="str">
        <f aca="false">IF(OR(NOT(ISNUMBER($G976)),$G976&lt;2,NOT(ISNUMBER($C975)),$C975=0),"",$C976/$C975-1)</f>
        <v/>
      </c>
      <c r="I976" s="52" t="str">
        <f aca="false">IF(AND(ISNUMBER($G976),$G976&gt;=MA_SHORT),AVERAGE(INDEX($C$576:$C976,402-MA_SHORT):$C976),"")</f>
        <v/>
      </c>
      <c r="J976" s="52" t="str">
        <f aca="false">IF(AND(ISNUMBER($G976),$G976&gt;=MA_MED),AVERAGE(INDEX($C$576:$C976,402-MA_MED):$C976),"")</f>
        <v/>
      </c>
      <c r="K976" s="52" t="str">
        <f aca="false">IF(AND(ISNUMBER($G976),$G976&gt;=MA_LONG2),AVERAGE(INDEX($C$576:$C976,402-MA_LONG2):$C976),"")</f>
        <v/>
      </c>
      <c r="L976" s="53" t="str">
        <f aca="false">IF(AND(ISNUMBER($G976),$G976&gt;=21),STDEV(INDEX($H$916:$H976,62-20):$H976)*SQRT(245),"")</f>
        <v/>
      </c>
      <c r="M976" s="52" t="str">
        <f aca="false">IF(AND(ISNUMBER($G976),$G976&gt;=60),MAX(INDEX($D$776:$D976,202-60):$D976),"")</f>
        <v/>
      </c>
      <c r="N976" s="52" t="str">
        <f aca="false">IF(AND(ISNUMBER($G976),$G976&gt;=60),MIN(INDEX($E$776:$E976,202-60):$E976),"")</f>
        <v/>
      </c>
      <c r="O976" s="53" t="str">
        <f aca="false">IF(OR(NOT(ISNUMBER($C976)),NOT(ISNUMBER($M976)),$M976=0),"",$C976/$M976-1)</f>
        <v/>
      </c>
      <c r="P976" s="54"/>
      <c r="Q976" s="53" t="str">
        <f aca="false">IF(NOT(ISNUMBER($P976)),"",IFERROR(PERCENTRANK($P$5:$P$1204,$P976),""))</f>
        <v/>
      </c>
    </row>
    <row r="977" customFormat="false" ht="15" hidden="false" customHeight="false" outlineLevel="0" collapsed="false">
      <c r="A977" s="55"/>
      <c r="B977" s="56"/>
      <c r="C977" s="57"/>
      <c r="D977" s="56"/>
      <c r="E977" s="56"/>
      <c r="F977" s="56"/>
      <c r="G977" s="50" t="str">
        <f aca="false">IF($A977="","",IF(ISNUMBER($G976),$G976+1,1))</f>
        <v/>
      </c>
      <c r="H977" s="51" t="str">
        <f aca="false">IF(OR(NOT(ISNUMBER($G977)),$G977&lt;2,NOT(ISNUMBER($C976)),$C976=0),"",$C977/$C976-1)</f>
        <v/>
      </c>
      <c r="I977" s="52" t="str">
        <f aca="false">IF(AND(ISNUMBER($G977),$G977&gt;=MA_SHORT),AVERAGE(INDEX($C$577:$C977,402-MA_SHORT):$C977),"")</f>
        <v/>
      </c>
      <c r="J977" s="52" t="str">
        <f aca="false">IF(AND(ISNUMBER($G977),$G977&gt;=MA_MED),AVERAGE(INDEX($C$577:$C977,402-MA_MED):$C977),"")</f>
        <v/>
      </c>
      <c r="K977" s="52" t="str">
        <f aca="false">IF(AND(ISNUMBER($G977),$G977&gt;=MA_LONG2),AVERAGE(INDEX($C$577:$C977,402-MA_LONG2):$C977),"")</f>
        <v/>
      </c>
      <c r="L977" s="53" t="str">
        <f aca="false">IF(AND(ISNUMBER($G977),$G977&gt;=21),STDEV(INDEX($H$917:$H977,62-20):$H977)*SQRT(245),"")</f>
        <v/>
      </c>
      <c r="M977" s="52" t="str">
        <f aca="false">IF(AND(ISNUMBER($G977),$G977&gt;=60),MAX(INDEX($D$777:$D977,202-60):$D977),"")</f>
        <v/>
      </c>
      <c r="N977" s="52" t="str">
        <f aca="false">IF(AND(ISNUMBER($G977),$G977&gt;=60),MIN(INDEX($E$777:$E977,202-60):$E977),"")</f>
        <v/>
      </c>
      <c r="O977" s="53" t="str">
        <f aca="false">IF(OR(NOT(ISNUMBER($C977)),NOT(ISNUMBER($M977)),$M977=0),"",$C977/$M977-1)</f>
        <v/>
      </c>
      <c r="P977" s="54"/>
      <c r="Q977" s="53" t="str">
        <f aca="false">IF(NOT(ISNUMBER($P977)),"",IFERROR(PERCENTRANK($P$5:$P$1204,$P977),""))</f>
        <v/>
      </c>
    </row>
    <row r="978" customFormat="false" ht="15" hidden="false" customHeight="false" outlineLevel="0" collapsed="false">
      <c r="A978" s="55"/>
      <c r="B978" s="56"/>
      <c r="C978" s="57"/>
      <c r="D978" s="56"/>
      <c r="E978" s="56"/>
      <c r="F978" s="56"/>
      <c r="G978" s="50" t="str">
        <f aca="false">IF($A978="","",IF(ISNUMBER($G977),$G977+1,1))</f>
        <v/>
      </c>
      <c r="H978" s="51" t="str">
        <f aca="false">IF(OR(NOT(ISNUMBER($G978)),$G978&lt;2,NOT(ISNUMBER($C977)),$C977=0),"",$C978/$C977-1)</f>
        <v/>
      </c>
      <c r="I978" s="52" t="str">
        <f aca="false">IF(AND(ISNUMBER($G978),$G978&gt;=MA_SHORT),AVERAGE(INDEX($C$578:$C978,402-MA_SHORT):$C978),"")</f>
        <v/>
      </c>
      <c r="J978" s="52" t="str">
        <f aca="false">IF(AND(ISNUMBER($G978),$G978&gt;=MA_MED),AVERAGE(INDEX($C$578:$C978,402-MA_MED):$C978),"")</f>
        <v/>
      </c>
      <c r="K978" s="52" t="str">
        <f aca="false">IF(AND(ISNUMBER($G978),$G978&gt;=MA_LONG2),AVERAGE(INDEX($C$578:$C978,402-MA_LONG2):$C978),"")</f>
        <v/>
      </c>
      <c r="L978" s="53" t="str">
        <f aca="false">IF(AND(ISNUMBER($G978),$G978&gt;=21),STDEV(INDEX($H$918:$H978,62-20):$H978)*SQRT(245),"")</f>
        <v/>
      </c>
      <c r="M978" s="52" t="str">
        <f aca="false">IF(AND(ISNUMBER($G978),$G978&gt;=60),MAX(INDEX($D$778:$D978,202-60):$D978),"")</f>
        <v/>
      </c>
      <c r="N978" s="52" t="str">
        <f aca="false">IF(AND(ISNUMBER($G978),$G978&gt;=60),MIN(INDEX($E$778:$E978,202-60):$E978),"")</f>
        <v/>
      </c>
      <c r="O978" s="53" t="str">
        <f aca="false">IF(OR(NOT(ISNUMBER($C978)),NOT(ISNUMBER($M978)),$M978=0),"",$C978/$M978-1)</f>
        <v/>
      </c>
      <c r="P978" s="54"/>
      <c r="Q978" s="53" t="str">
        <f aca="false">IF(NOT(ISNUMBER($P978)),"",IFERROR(PERCENTRANK($P$5:$P$1204,$P978),""))</f>
        <v/>
      </c>
    </row>
    <row r="979" customFormat="false" ht="15" hidden="false" customHeight="false" outlineLevel="0" collapsed="false">
      <c r="A979" s="55"/>
      <c r="B979" s="56"/>
      <c r="C979" s="57"/>
      <c r="D979" s="56"/>
      <c r="E979" s="56"/>
      <c r="F979" s="56"/>
      <c r="G979" s="50" t="str">
        <f aca="false">IF($A979="","",IF(ISNUMBER($G978),$G978+1,1))</f>
        <v/>
      </c>
      <c r="H979" s="51" t="str">
        <f aca="false">IF(OR(NOT(ISNUMBER($G979)),$G979&lt;2,NOT(ISNUMBER($C978)),$C978=0),"",$C979/$C978-1)</f>
        <v/>
      </c>
      <c r="I979" s="52" t="str">
        <f aca="false">IF(AND(ISNUMBER($G979),$G979&gt;=MA_SHORT),AVERAGE(INDEX($C$579:$C979,402-MA_SHORT):$C979),"")</f>
        <v/>
      </c>
      <c r="J979" s="52" t="str">
        <f aca="false">IF(AND(ISNUMBER($G979),$G979&gt;=MA_MED),AVERAGE(INDEX($C$579:$C979,402-MA_MED):$C979),"")</f>
        <v/>
      </c>
      <c r="K979" s="52" t="str">
        <f aca="false">IF(AND(ISNUMBER($G979),$G979&gt;=MA_LONG2),AVERAGE(INDEX($C$579:$C979,402-MA_LONG2):$C979),"")</f>
        <v/>
      </c>
      <c r="L979" s="53" t="str">
        <f aca="false">IF(AND(ISNUMBER($G979),$G979&gt;=21),STDEV(INDEX($H$919:$H979,62-20):$H979)*SQRT(245),"")</f>
        <v/>
      </c>
      <c r="M979" s="52" t="str">
        <f aca="false">IF(AND(ISNUMBER($G979),$G979&gt;=60),MAX(INDEX($D$779:$D979,202-60):$D979),"")</f>
        <v/>
      </c>
      <c r="N979" s="52" t="str">
        <f aca="false">IF(AND(ISNUMBER($G979),$G979&gt;=60),MIN(INDEX($E$779:$E979,202-60):$E979),"")</f>
        <v/>
      </c>
      <c r="O979" s="53" t="str">
        <f aca="false">IF(OR(NOT(ISNUMBER($C979)),NOT(ISNUMBER($M979)),$M979=0),"",$C979/$M979-1)</f>
        <v/>
      </c>
      <c r="P979" s="54"/>
      <c r="Q979" s="53" t="str">
        <f aca="false">IF(NOT(ISNUMBER($P979)),"",IFERROR(PERCENTRANK($P$5:$P$1204,$P979),""))</f>
        <v/>
      </c>
    </row>
    <row r="980" customFormat="false" ht="15" hidden="false" customHeight="false" outlineLevel="0" collapsed="false">
      <c r="A980" s="55"/>
      <c r="B980" s="56"/>
      <c r="C980" s="57"/>
      <c r="D980" s="56"/>
      <c r="E980" s="56"/>
      <c r="F980" s="56"/>
      <c r="G980" s="50" t="str">
        <f aca="false">IF($A980="","",IF(ISNUMBER($G979),$G979+1,1))</f>
        <v/>
      </c>
      <c r="H980" s="51" t="str">
        <f aca="false">IF(OR(NOT(ISNUMBER($G980)),$G980&lt;2,NOT(ISNUMBER($C979)),$C979=0),"",$C980/$C979-1)</f>
        <v/>
      </c>
      <c r="I980" s="52" t="str">
        <f aca="false">IF(AND(ISNUMBER($G980),$G980&gt;=MA_SHORT),AVERAGE(INDEX($C$580:$C980,402-MA_SHORT):$C980),"")</f>
        <v/>
      </c>
      <c r="J980" s="52" t="str">
        <f aca="false">IF(AND(ISNUMBER($G980),$G980&gt;=MA_MED),AVERAGE(INDEX($C$580:$C980,402-MA_MED):$C980),"")</f>
        <v/>
      </c>
      <c r="K980" s="52" t="str">
        <f aca="false">IF(AND(ISNUMBER($G980),$G980&gt;=MA_LONG2),AVERAGE(INDEX($C$580:$C980,402-MA_LONG2):$C980),"")</f>
        <v/>
      </c>
      <c r="L980" s="53" t="str">
        <f aca="false">IF(AND(ISNUMBER($G980),$G980&gt;=21),STDEV(INDEX($H$920:$H980,62-20):$H980)*SQRT(245),"")</f>
        <v/>
      </c>
      <c r="M980" s="52" t="str">
        <f aca="false">IF(AND(ISNUMBER($G980),$G980&gt;=60),MAX(INDEX($D$780:$D980,202-60):$D980),"")</f>
        <v/>
      </c>
      <c r="N980" s="52" t="str">
        <f aca="false">IF(AND(ISNUMBER($G980),$G980&gt;=60),MIN(INDEX($E$780:$E980,202-60):$E980),"")</f>
        <v/>
      </c>
      <c r="O980" s="53" t="str">
        <f aca="false">IF(OR(NOT(ISNUMBER($C980)),NOT(ISNUMBER($M980)),$M980=0),"",$C980/$M980-1)</f>
        <v/>
      </c>
      <c r="P980" s="54"/>
      <c r="Q980" s="53" t="str">
        <f aca="false">IF(NOT(ISNUMBER($P980)),"",IFERROR(PERCENTRANK($P$5:$P$1204,$P980),""))</f>
        <v/>
      </c>
    </row>
    <row r="981" customFormat="false" ht="15" hidden="false" customHeight="false" outlineLevel="0" collapsed="false">
      <c r="A981" s="55"/>
      <c r="B981" s="56"/>
      <c r="C981" s="57"/>
      <c r="D981" s="56"/>
      <c r="E981" s="56"/>
      <c r="F981" s="56"/>
      <c r="G981" s="50" t="str">
        <f aca="false">IF($A981="","",IF(ISNUMBER($G980),$G980+1,1))</f>
        <v/>
      </c>
      <c r="H981" s="51" t="str">
        <f aca="false">IF(OR(NOT(ISNUMBER($G981)),$G981&lt;2,NOT(ISNUMBER($C980)),$C980=0),"",$C981/$C980-1)</f>
        <v/>
      </c>
      <c r="I981" s="52" t="str">
        <f aca="false">IF(AND(ISNUMBER($G981),$G981&gt;=MA_SHORT),AVERAGE(INDEX($C$581:$C981,402-MA_SHORT):$C981),"")</f>
        <v/>
      </c>
      <c r="J981" s="52" t="str">
        <f aca="false">IF(AND(ISNUMBER($G981),$G981&gt;=MA_MED),AVERAGE(INDEX($C$581:$C981,402-MA_MED):$C981),"")</f>
        <v/>
      </c>
      <c r="K981" s="52" t="str">
        <f aca="false">IF(AND(ISNUMBER($G981),$G981&gt;=MA_LONG2),AVERAGE(INDEX($C$581:$C981,402-MA_LONG2):$C981),"")</f>
        <v/>
      </c>
      <c r="L981" s="53" t="str">
        <f aca="false">IF(AND(ISNUMBER($G981),$G981&gt;=21),STDEV(INDEX($H$921:$H981,62-20):$H981)*SQRT(245),"")</f>
        <v/>
      </c>
      <c r="M981" s="52" t="str">
        <f aca="false">IF(AND(ISNUMBER($G981),$G981&gt;=60),MAX(INDEX($D$781:$D981,202-60):$D981),"")</f>
        <v/>
      </c>
      <c r="N981" s="52" t="str">
        <f aca="false">IF(AND(ISNUMBER($G981),$G981&gt;=60),MIN(INDEX($E$781:$E981,202-60):$E981),"")</f>
        <v/>
      </c>
      <c r="O981" s="53" t="str">
        <f aca="false">IF(OR(NOT(ISNUMBER($C981)),NOT(ISNUMBER($M981)),$M981=0),"",$C981/$M981-1)</f>
        <v/>
      </c>
      <c r="P981" s="54"/>
      <c r="Q981" s="53" t="str">
        <f aca="false">IF(NOT(ISNUMBER($P981)),"",IFERROR(PERCENTRANK($P$5:$P$1204,$P981),""))</f>
        <v/>
      </c>
    </row>
    <row r="982" customFormat="false" ht="15" hidden="false" customHeight="false" outlineLevel="0" collapsed="false">
      <c r="A982" s="55"/>
      <c r="B982" s="56"/>
      <c r="C982" s="57"/>
      <c r="D982" s="56"/>
      <c r="E982" s="56"/>
      <c r="F982" s="56"/>
      <c r="G982" s="50" t="str">
        <f aca="false">IF($A982="","",IF(ISNUMBER($G981),$G981+1,1))</f>
        <v/>
      </c>
      <c r="H982" s="51" t="str">
        <f aca="false">IF(OR(NOT(ISNUMBER($G982)),$G982&lt;2,NOT(ISNUMBER($C981)),$C981=0),"",$C982/$C981-1)</f>
        <v/>
      </c>
      <c r="I982" s="52" t="str">
        <f aca="false">IF(AND(ISNUMBER($G982),$G982&gt;=MA_SHORT),AVERAGE(INDEX($C$582:$C982,402-MA_SHORT):$C982),"")</f>
        <v/>
      </c>
      <c r="J982" s="52" t="str">
        <f aca="false">IF(AND(ISNUMBER($G982),$G982&gt;=MA_MED),AVERAGE(INDEX($C$582:$C982,402-MA_MED):$C982),"")</f>
        <v/>
      </c>
      <c r="K982" s="52" t="str">
        <f aca="false">IF(AND(ISNUMBER($G982),$G982&gt;=MA_LONG2),AVERAGE(INDEX($C$582:$C982,402-MA_LONG2):$C982),"")</f>
        <v/>
      </c>
      <c r="L982" s="53" t="str">
        <f aca="false">IF(AND(ISNUMBER($G982),$G982&gt;=21),STDEV(INDEX($H$922:$H982,62-20):$H982)*SQRT(245),"")</f>
        <v/>
      </c>
      <c r="M982" s="52" t="str">
        <f aca="false">IF(AND(ISNUMBER($G982),$G982&gt;=60),MAX(INDEX($D$782:$D982,202-60):$D982),"")</f>
        <v/>
      </c>
      <c r="N982" s="52" t="str">
        <f aca="false">IF(AND(ISNUMBER($G982),$G982&gt;=60),MIN(INDEX($E$782:$E982,202-60):$E982),"")</f>
        <v/>
      </c>
      <c r="O982" s="53" t="str">
        <f aca="false">IF(OR(NOT(ISNUMBER($C982)),NOT(ISNUMBER($M982)),$M982=0),"",$C982/$M982-1)</f>
        <v/>
      </c>
      <c r="P982" s="54"/>
      <c r="Q982" s="53" t="str">
        <f aca="false">IF(NOT(ISNUMBER($P982)),"",IFERROR(PERCENTRANK($P$5:$P$1204,$P982),""))</f>
        <v/>
      </c>
    </row>
    <row r="983" customFormat="false" ht="15" hidden="false" customHeight="false" outlineLevel="0" collapsed="false">
      <c r="A983" s="55"/>
      <c r="B983" s="56"/>
      <c r="C983" s="57"/>
      <c r="D983" s="56"/>
      <c r="E983" s="56"/>
      <c r="F983" s="56"/>
      <c r="G983" s="50" t="str">
        <f aca="false">IF($A983="","",IF(ISNUMBER($G982),$G982+1,1))</f>
        <v/>
      </c>
      <c r="H983" s="51" t="str">
        <f aca="false">IF(OR(NOT(ISNUMBER($G983)),$G983&lt;2,NOT(ISNUMBER($C982)),$C982=0),"",$C983/$C982-1)</f>
        <v/>
      </c>
      <c r="I983" s="52" t="str">
        <f aca="false">IF(AND(ISNUMBER($G983),$G983&gt;=MA_SHORT),AVERAGE(INDEX($C$583:$C983,402-MA_SHORT):$C983),"")</f>
        <v/>
      </c>
      <c r="J983" s="52" t="str">
        <f aca="false">IF(AND(ISNUMBER($G983),$G983&gt;=MA_MED),AVERAGE(INDEX($C$583:$C983,402-MA_MED):$C983),"")</f>
        <v/>
      </c>
      <c r="K983" s="52" t="str">
        <f aca="false">IF(AND(ISNUMBER($G983),$G983&gt;=MA_LONG2),AVERAGE(INDEX($C$583:$C983,402-MA_LONG2):$C983),"")</f>
        <v/>
      </c>
      <c r="L983" s="53" t="str">
        <f aca="false">IF(AND(ISNUMBER($G983),$G983&gt;=21),STDEV(INDEX($H$923:$H983,62-20):$H983)*SQRT(245),"")</f>
        <v/>
      </c>
      <c r="M983" s="52" t="str">
        <f aca="false">IF(AND(ISNUMBER($G983),$G983&gt;=60),MAX(INDEX($D$783:$D983,202-60):$D983),"")</f>
        <v/>
      </c>
      <c r="N983" s="52" t="str">
        <f aca="false">IF(AND(ISNUMBER($G983),$G983&gt;=60),MIN(INDEX($E$783:$E983,202-60):$E983),"")</f>
        <v/>
      </c>
      <c r="O983" s="53" t="str">
        <f aca="false">IF(OR(NOT(ISNUMBER($C983)),NOT(ISNUMBER($M983)),$M983=0),"",$C983/$M983-1)</f>
        <v/>
      </c>
      <c r="P983" s="54"/>
      <c r="Q983" s="53" t="str">
        <f aca="false">IF(NOT(ISNUMBER($P983)),"",IFERROR(PERCENTRANK($P$5:$P$1204,$P983),""))</f>
        <v/>
      </c>
    </row>
    <row r="984" customFormat="false" ht="15" hidden="false" customHeight="false" outlineLevel="0" collapsed="false">
      <c r="A984" s="55"/>
      <c r="B984" s="56"/>
      <c r="C984" s="57"/>
      <c r="D984" s="56"/>
      <c r="E984" s="56"/>
      <c r="F984" s="56"/>
      <c r="G984" s="50" t="str">
        <f aca="false">IF($A984="","",IF(ISNUMBER($G983),$G983+1,1))</f>
        <v/>
      </c>
      <c r="H984" s="51" t="str">
        <f aca="false">IF(OR(NOT(ISNUMBER($G984)),$G984&lt;2,NOT(ISNUMBER($C983)),$C983=0),"",$C984/$C983-1)</f>
        <v/>
      </c>
      <c r="I984" s="52" t="str">
        <f aca="false">IF(AND(ISNUMBER($G984),$G984&gt;=MA_SHORT),AVERAGE(INDEX($C$584:$C984,402-MA_SHORT):$C984),"")</f>
        <v/>
      </c>
      <c r="J984" s="52" t="str">
        <f aca="false">IF(AND(ISNUMBER($G984),$G984&gt;=MA_MED),AVERAGE(INDEX($C$584:$C984,402-MA_MED):$C984),"")</f>
        <v/>
      </c>
      <c r="K984" s="52" t="str">
        <f aca="false">IF(AND(ISNUMBER($G984),$G984&gt;=MA_LONG2),AVERAGE(INDEX($C$584:$C984,402-MA_LONG2):$C984),"")</f>
        <v/>
      </c>
      <c r="L984" s="53" t="str">
        <f aca="false">IF(AND(ISNUMBER($G984),$G984&gt;=21),STDEV(INDEX($H$924:$H984,62-20):$H984)*SQRT(245),"")</f>
        <v/>
      </c>
      <c r="M984" s="52" t="str">
        <f aca="false">IF(AND(ISNUMBER($G984),$G984&gt;=60),MAX(INDEX($D$784:$D984,202-60):$D984),"")</f>
        <v/>
      </c>
      <c r="N984" s="52" t="str">
        <f aca="false">IF(AND(ISNUMBER($G984),$G984&gt;=60),MIN(INDEX($E$784:$E984,202-60):$E984),"")</f>
        <v/>
      </c>
      <c r="O984" s="53" t="str">
        <f aca="false">IF(OR(NOT(ISNUMBER($C984)),NOT(ISNUMBER($M984)),$M984=0),"",$C984/$M984-1)</f>
        <v/>
      </c>
      <c r="P984" s="54"/>
      <c r="Q984" s="53" t="str">
        <f aca="false">IF(NOT(ISNUMBER($P984)),"",IFERROR(PERCENTRANK($P$5:$P$1204,$P984),""))</f>
        <v/>
      </c>
    </row>
    <row r="985" customFormat="false" ht="15" hidden="false" customHeight="false" outlineLevel="0" collapsed="false">
      <c r="A985" s="55"/>
      <c r="B985" s="56"/>
      <c r="C985" s="57"/>
      <c r="D985" s="56"/>
      <c r="E985" s="56"/>
      <c r="F985" s="56"/>
      <c r="G985" s="50" t="str">
        <f aca="false">IF($A985="","",IF(ISNUMBER($G984),$G984+1,1))</f>
        <v/>
      </c>
      <c r="H985" s="51" t="str">
        <f aca="false">IF(OR(NOT(ISNUMBER($G985)),$G985&lt;2,NOT(ISNUMBER($C984)),$C984=0),"",$C985/$C984-1)</f>
        <v/>
      </c>
      <c r="I985" s="52" t="str">
        <f aca="false">IF(AND(ISNUMBER($G985),$G985&gt;=MA_SHORT),AVERAGE(INDEX($C$585:$C985,402-MA_SHORT):$C985),"")</f>
        <v/>
      </c>
      <c r="J985" s="52" t="str">
        <f aca="false">IF(AND(ISNUMBER($G985),$G985&gt;=MA_MED),AVERAGE(INDEX($C$585:$C985,402-MA_MED):$C985),"")</f>
        <v/>
      </c>
      <c r="K985" s="52" t="str">
        <f aca="false">IF(AND(ISNUMBER($G985),$G985&gt;=MA_LONG2),AVERAGE(INDEX($C$585:$C985,402-MA_LONG2):$C985),"")</f>
        <v/>
      </c>
      <c r="L985" s="53" t="str">
        <f aca="false">IF(AND(ISNUMBER($G985),$G985&gt;=21),STDEV(INDEX($H$925:$H985,62-20):$H985)*SQRT(245),"")</f>
        <v/>
      </c>
      <c r="M985" s="52" t="str">
        <f aca="false">IF(AND(ISNUMBER($G985),$G985&gt;=60),MAX(INDEX($D$785:$D985,202-60):$D985),"")</f>
        <v/>
      </c>
      <c r="N985" s="52" t="str">
        <f aca="false">IF(AND(ISNUMBER($G985),$G985&gt;=60),MIN(INDEX($E$785:$E985,202-60):$E985),"")</f>
        <v/>
      </c>
      <c r="O985" s="53" t="str">
        <f aca="false">IF(OR(NOT(ISNUMBER($C985)),NOT(ISNUMBER($M985)),$M985=0),"",$C985/$M985-1)</f>
        <v/>
      </c>
      <c r="P985" s="54"/>
      <c r="Q985" s="53" t="str">
        <f aca="false">IF(NOT(ISNUMBER($P985)),"",IFERROR(PERCENTRANK($P$5:$P$1204,$P985),""))</f>
        <v/>
      </c>
    </row>
    <row r="986" customFormat="false" ht="15" hidden="false" customHeight="false" outlineLevel="0" collapsed="false">
      <c r="A986" s="55"/>
      <c r="B986" s="56"/>
      <c r="C986" s="57"/>
      <c r="D986" s="56"/>
      <c r="E986" s="56"/>
      <c r="F986" s="56"/>
      <c r="G986" s="50" t="str">
        <f aca="false">IF($A986="","",IF(ISNUMBER($G985),$G985+1,1))</f>
        <v/>
      </c>
      <c r="H986" s="51" t="str">
        <f aca="false">IF(OR(NOT(ISNUMBER($G986)),$G986&lt;2,NOT(ISNUMBER($C985)),$C985=0),"",$C986/$C985-1)</f>
        <v/>
      </c>
      <c r="I986" s="52" t="str">
        <f aca="false">IF(AND(ISNUMBER($G986),$G986&gt;=MA_SHORT),AVERAGE(INDEX($C$586:$C986,402-MA_SHORT):$C986),"")</f>
        <v/>
      </c>
      <c r="J986" s="52" t="str">
        <f aca="false">IF(AND(ISNUMBER($G986),$G986&gt;=MA_MED),AVERAGE(INDEX($C$586:$C986,402-MA_MED):$C986),"")</f>
        <v/>
      </c>
      <c r="K986" s="52" t="str">
        <f aca="false">IF(AND(ISNUMBER($G986),$G986&gt;=MA_LONG2),AVERAGE(INDEX($C$586:$C986,402-MA_LONG2):$C986),"")</f>
        <v/>
      </c>
      <c r="L986" s="53" t="str">
        <f aca="false">IF(AND(ISNUMBER($G986),$G986&gt;=21),STDEV(INDEX($H$926:$H986,62-20):$H986)*SQRT(245),"")</f>
        <v/>
      </c>
      <c r="M986" s="52" t="str">
        <f aca="false">IF(AND(ISNUMBER($G986),$G986&gt;=60),MAX(INDEX($D$786:$D986,202-60):$D986),"")</f>
        <v/>
      </c>
      <c r="N986" s="52" t="str">
        <f aca="false">IF(AND(ISNUMBER($G986),$G986&gt;=60),MIN(INDEX($E$786:$E986,202-60):$E986),"")</f>
        <v/>
      </c>
      <c r="O986" s="53" t="str">
        <f aca="false">IF(OR(NOT(ISNUMBER($C986)),NOT(ISNUMBER($M986)),$M986=0),"",$C986/$M986-1)</f>
        <v/>
      </c>
      <c r="P986" s="54"/>
      <c r="Q986" s="53" t="str">
        <f aca="false">IF(NOT(ISNUMBER($P986)),"",IFERROR(PERCENTRANK($P$5:$P$1204,$P986),""))</f>
        <v/>
      </c>
    </row>
    <row r="987" customFormat="false" ht="15" hidden="false" customHeight="false" outlineLevel="0" collapsed="false">
      <c r="A987" s="55"/>
      <c r="B987" s="56"/>
      <c r="C987" s="57"/>
      <c r="D987" s="56"/>
      <c r="E987" s="56"/>
      <c r="F987" s="56"/>
      <c r="G987" s="50" t="str">
        <f aca="false">IF($A987="","",IF(ISNUMBER($G986),$G986+1,1))</f>
        <v/>
      </c>
      <c r="H987" s="51" t="str">
        <f aca="false">IF(OR(NOT(ISNUMBER($G987)),$G987&lt;2,NOT(ISNUMBER($C986)),$C986=0),"",$C987/$C986-1)</f>
        <v/>
      </c>
      <c r="I987" s="52" t="str">
        <f aca="false">IF(AND(ISNUMBER($G987),$G987&gt;=MA_SHORT),AVERAGE(INDEX($C$587:$C987,402-MA_SHORT):$C987),"")</f>
        <v/>
      </c>
      <c r="J987" s="52" t="str">
        <f aca="false">IF(AND(ISNUMBER($G987),$G987&gt;=MA_MED),AVERAGE(INDEX($C$587:$C987,402-MA_MED):$C987),"")</f>
        <v/>
      </c>
      <c r="K987" s="52" t="str">
        <f aca="false">IF(AND(ISNUMBER($G987),$G987&gt;=MA_LONG2),AVERAGE(INDEX($C$587:$C987,402-MA_LONG2):$C987),"")</f>
        <v/>
      </c>
      <c r="L987" s="53" t="str">
        <f aca="false">IF(AND(ISNUMBER($G987),$G987&gt;=21),STDEV(INDEX($H$927:$H987,62-20):$H987)*SQRT(245),"")</f>
        <v/>
      </c>
      <c r="M987" s="52" t="str">
        <f aca="false">IF(AND(ISNUMBER($G987),$G987&gt;=60),MAX(INDEX($D$787:$D987,202-60):$D987),"")</f>
        <v/>
      </c>
      <c r="N987" s="52" t="str">
        <f aca="false">IF(AND(ISNUMBER($G987),$G987&gt;=60),MIN(INDEX($E$787:$E987,202-60):$E987),"")</f>
        <v/>
      </c>
      <c r="O987" s="53" t="str">
        <f aca="false">IF(OR(NOT(ISNUMBER($C987)),NOT(ISNUMBER($M987)),$M987=0),"",$C987/$M987-1)</f>
        <v/>
      </c>
      <c r="P987" s="54"/>
      <c r="Q987" s="53" t="str">
        <f aca="false">IF(NOT(ISNUMBER($P987)),"",IFERROR(PERCENTRANK($P$5:$P$1204,$P987),""))</f>
        <v/>
      </c>
    </row>
    <row r="988" customFormat="false" ht="15" hidden="false" customHeight="false" outlineLevel="0" collapsed="false">
      <c r="A988" s="55"/>
      <c r="B988" s="56"/>
      <c r="C988" s="57"/>
      <c r="D988" s="56"/>
      <c r="E988" s="56"/>
      <c r="F988" s="56"/>
      <c r="G988" s="50" t="str">
        <f aca="false">IF($A988="","",IF(ISNUMBER($G987),$G987+1,1))</f>
        <v/>
      </c>
      <c r="H988" s="51" t="str">
        <f aca="false">IF(OR(NOT(ISNUMBER($G988)),$G988&lt;2,NOT(ISNUMBER($C987)),$C987=0),"",$C988/$C987-1)</f>
        <v/>
      </c>
      <c r="I988" s="52" t="str">
        <f aca="false">IF(AND(ISNUMBER($G988),$G988&gt;=MA_SHORT),AVERAGE(INDEX($C$588:$C988,402-MA_SHORT):$C988),"")</f>
        <v/>
      </c>
      <c r="J988" s="52" t="str">
        <f aca="false">IF(AND(ISNUMBER($G988),$G988&gt;=MA_MED),AVERAGE(INDEX($C$588:$C988,402-MA_MED):$C988),"")</f>
        <v/>
      </c>
      <c r="K988" s="52" t="str">
        <f aca="false">IF(AND(ISNUMBER($G988),$G988&gt;=MA_LONG2),AVERAGE(INDEX($C$588:$C988,402-MA_LONG2):$C988),"")</f>
        <v/>
      </c>
      <c r="L988" s="53" t="str">
        <f aca="false">IF(AND(ISNUMBER($G988),$G988&gt;=21),STDEV(INDEX($H$928:$H988,62-20):$H988)*SQRT(245),"")</f>
        <v/>
      </c>
      <c r="M988" s="52" t="str">
        <f aca="false">IF(AND(ISNUMBER($G988),$G988&gt;=60),MAX(INDEX($D$788:$D988,202-60):$D988),"")</f>
        <v/>
      </c>
      <c r="N988" s="52" t="str">
        <f aca="false">IF(AND(ISNUMBER($G988),$G988&gt;=60),MIN(INDEX($E$788:$E988,202-60):$E988),"")</f>
        <v/>
      </c>
      <c r="O988" s="53" t="str">
        <f aca="false">IF(OR(NOT(ISNUMBER($C988)),NOT(ISNUMBER($M988)),$M988=0),"",$C988/$M988-1)</f>
        <v/>
      </c>
      <c r="P988" s="54"/>
      <c r="Q988" s="53" t="str">
        <f aca="false">IF(NOT(ISNUMBER($P988)),"",IFERROR(PERCENTRANK($P$5:$P$1204,$P988),""))</f>
        <v/>
      </c>
    </row>
    <row r="989" customFormat="false" ht="15" hidden="false" customHeight="false" outlineLevel="0" collapsed="false">
      <c r="A989" s="55"/>
      <c r="B989" s="56"/>
      <c r="C989" s="57"/>
      <c r="D989" s="56"/>
      <c r="E989" s="56"/>
      <c r="F989" s="56"/>
      <c r="G989" s="50" t="str">
        <f aca="false">IF($A989="","",IF(ISNUMBER($G988),$G988+1,1))</f>
        <v/>
      </c>
      <c r="H989" s="51" t="str">
        <f aca="false">IF(OR(NOT(ISNUMBER($G989)),$G989&lt;2,NOT(ISNUMBER($C988)),$C988=0),"",$C989/$C988-1)</f>
        <v/>
      </c>
      <c r="I989" s="52" t="str">
        <f aca="false">IF(AND(ISNUMBER($G989),$G989&gt;=MA_SHORT),AVERAGE(INDEX($C$589:$C989,402-MA_SHORT):$C989),"")</f>
        <v/>
      </c>
      <c r="J989" s="52" t="str">
        <f aca="false">IF(AND(ISNUMBER($G989),$G989&gt;=MA_MED),AVERAGE(INDEX($C$589:$C989,402-MA_MED):$C989),"")</f>
        <v/>
      </c>
      <c r="K989" s="52" t="str">
        <f aca="false">IF(AND(ISNUMBER($G989),$G989&gt;=MA_LONG2),AVERAGE(INDEX($C$589:$C989,402-MA_LONG2):$C989),"")</f>
        <v/>
      </c>
      <c r="L989" s="53" t="str">
        <f aca="false">IF(AND(ISNUMBER($G989),$G989&gt;=21),STDEV(INDEX($H$929:$H989,62-20):$H989)*SQRT(245),"")</f>
        <v/>
      </c>
      <c r="M989" s="52" t="str">
        <f aca="false">IF(AND(ISNUMBER($G989),$G989&gt;=60),MAX(INDEX($D$789:$D989,202-60):$D989),"")</f>
        <v/>
      </c>
      <c r="N989" s="52" t="str">
        <f aca="false">IF(AND(ISNUMBER($G989),$G989&gt;=60),MIN(INDEX($E$789:$E989,202-60):$E989),"")</f>
        <v/>
      </c>
      <c r="O989" s="53" t="str">
        <f aca="false">IF(OR(NOT(ISNUMBER($C989)),NOT(ISNUMBER($M989)),$M989=0),"",$C989/$M989-1)</f>
        <v/>
      </c>
      <c r="P989" s="54"/>
      <c r="Q989" s="53" t="str">
        <f aca="false">IF(NOT(ISNUMBER($P989)),"",IFERROR(PERCENTRANK($P$5:$P$1204,$P989),""))</f>
        <v/>
      </c>
    </row>
    <row r="990" customFormat="false" ht="15" hidden="false" customHeight="false" outlineLevel="0" collapsed="false">
      <c r="A990" s="55"/>
      <c r="B990" s="56"/>
      <c r="C990" s="57"/>
      <c r="D990" s="56"/>
      <c r="E990" s="56"/>
      <c r="F990" s="56"/>
      <c r="G990" s="50" t="str">
        <f aca="false">IF($A990="","",IF(ISNUMBER($G989),$G989+1,1))</f>
        <v/>
      </c>
      <c r="H990" s="51" t="str">
        <f aca="false">IF(OR(NOT(ISNUMBER($G990)),$G990&lt;2,NOT(ISNUMBER($C989)),$C989=0),"",$C990/$C989-1)</f>
        <v/>
      </c>
      <c r="I990" s="52" t="str">
        <f aca="false">IF(AND(ISNUMBER($G990),$G990&gt;=MA_SHORT),AVERAGE(INDEX($C$590:$C990,402-MA_SHORT):$C990),"")</f>
        <v/>
      </c>
      <c r="J990" s="52" t="str">
        <f aca="false">IF(AND(ISNUMBER($G990),$G990&gt;=MA_MED),AVERAGE(INDEX($C$590:$C990,402-MA_MED):$C990),"")</f>
        <v/>
      </c>
      <c r="K990" s="52" t="str">
        <f aca="false">IF(AND(ISNUMBER($G990),$G990&gt;=MA_LONG2),AVERAGE(INDEX($C$590:$C990,402-MA_LONG2):$C990),"")</f>
        <v/>
      </c>
      <c r="L990" s="53" t="str">
        <f aca="false">IF(AND(ISNUMBER($G990),$G990&gt;=21),STDEV(INDEX($H$930:$H990,62-20):$H990)*SQRT(245),"")</f>
        <v/>
      </c>
      <c r="M990" s="52" t="str">
        <f aca="false">IF(AND(ISNUMBER($G990),$G990&gt;=60),MAX(INDEX($D$790:$D990,202-60):$D990),"")</f>
        <v/>
      </c>
      <c r="N990" s="52" t="str">
        <f aca="false">IF(AND(ISNUMBER($G990),$G990&gt;=60),MIN(INDEX($E$790:$E990,202-60):$E990),"")</f>
        <v/>
      </c>
      <c r="O990" s="53" t="str">
        <f aca="false">IF(OR(NOT(ISNUMBER($C990)),NOT(ISNUMBER($M990)),$M990=0),"",$C990/$M990-1)</f>
        <v/>
      </c>
      <c r="P990" s="54"/>
      <c r="Q990" s="53" t="str">
        <f aca="false">IF(NOT(ISNUMBER($P990)),"",IFERROR(PERCENTRANK($P$5:$P$1204,$P990),""))</f>
        <v/>
      </c>
    </row>
    <row r="991" customFormat="false" ht="15" hidden="false" customHeight="false" outlineLevel="0" collapsed="false">
      <c r="A991" s="55"/>
      <c r="B991" s="56"/>
      <c r="C991" s="57"/>
      <c r="D991" s="56"/>
      <c r="E991" s="56"/>
      <c r="F991" s="56"/>
      <c r="G991" s="50" t="str">
        <f aca="false">IF($A991="","",IF(ISNUMBER($G990),$G990+1,1))</f>
        <v/>
      </c>
      <c r="H991" s="51" t="str">
        <f aca="false">IF(OR(NOT(ISNUMBER($G991)),$G991&lt;2,NOT(ISNUMBER($C990)),$C990=0),"",$C991/$C990-1)</f>
        <v/>
      </c>
      <c r="I991" s="52" t="str">
        <f aca="false">IF(AND(ISNUMBER($G991),$G991&gt;=MA_SHORT),AVERAGE(INDEX($C$591:$C991,402-MA_SHORT):$C991),"")</f>
        <v/>
      </c>
      <c r="J991" s="52" t="str">
        <f aca="false">IF(AND(ISNUMBER($G991),$G991&gt;=MA_MED),AVERAGE(INDEX($C$591:$C991,402-MA_MED):$C991),"")</f>
        <v/>
      </c>
      <c r="K991" s="52" t="str">
        <f aca="false">IF(AND(ISNUMBER($G991),$G991&gt;=MA_LONG2),AVERAGE(INDEX($C$591:$C991,402-MA_LONG2):$C991),"")</f>
        <v/>
      </c>
      <c r="L991" s="53" t="str">
        <f aca="false">IF(AND(ISNUMBER($G991),$G991&gt;=21),STDEV(INDEX($H$931:$H991,62-20):$H991)*SQRT(245),"")</f>
        <v/>
      </c>
      <c r="M991" s="52" t="str">
        <f aca="false">IF(AND(ISNUMBER($G991),$G991&gt;=60),MAX(INDEX($D$791:$D991,202-60):$D991),"")</f>
        <v/>
      </c>
      <c r="N991" s="52" t="str">
        <f aca="false">IF(AND(ISNUMBER($G991),$G991&gt;=60),MIN(INDEX($E$791:$E991,202-60):$E991),"")</f>
        <v/>
      </c>
      <c r="O991" s="53" t="str">
        <f aca="false">IF(OR(NOT(ISNUMBER($C991)),NOT(ISNUMBER($M991)),$M991=0),"",$C991/$M991-1)</f>
        <v/>
      </c>
      <c r="P991" s="54"/>
      <c r="Q991" s="53" t="str">
        <f aca="false">IF(NOT(ISNUMBER($P991)),"",IFERROR(PERCENTRANK($P$5:$P$1204,$P991),""))</f>
        <v/>
      </c>
    </row>
    <row r="992" customFormat="false" ht="15" hidden="false" customHeight="false" outlineLevel="0" collapsed="false">
      <c r="A992" s="55"/>
      <c r="B992" s="56"/>
      <c r="C992" s="57"/>
      <c r="D992" s="56"/>
      <c r="E992" s="56"/>
      <c r="F992" s="56"/>
      <c r="G992" s="50" t="str">
        <f aca="false">IF($A992="","",IF(ISNUMBER($G991),$G991+1,1))</f>
        <v/>
      </c>
      <c r="H992" s="51" t="str">
        <f aca="false">IF(OR(NOT(ISNUMBER($G992)),$G992&lt;2,NOT(ISNUMBER($C991)),$C991=0),"",$C992/$C991-1)</f>
        <v/>
      </c>
      <c r="I992" s="52" t="str">
        <f aca="false">IF(AND(ISNUMBER($G992),$G992&gt;=MA_SHORT),AVERAGE(INDEX($C$592:$C992,402-MA_SHORT):$C992),"")</f>
        <v/>
      </c>
      <c r="J992" s="52" t="str">
        <f aca="false">IF(AND(ISNUMBER($G992),$G992&gt;=MA_MED),AVERAGE(INDEX($C$592:$C992,402-MA_MED):$C992),"")</f>
        <v/>
      </c>
      <c r="K992" s="52" t="str">
        <f aca="false">IF(AND(ISNUMBER($G992),$G992&gt;=MA_LONG2),AVERAGE(INDEX($C$592:$C992,402-MA_LONG2):$C992),"")</f>
        <v/>
      </c>
      <c r="L992" s="53" t="str">
        <f aca="false">IF(AND(ISNUMBER($G992),$G992&gt;=21),STDEV(INDEX($H$932:$H992,62-20):$H992)*SQRT(245),"")</f>
        <v/>
      </c>
      <c r="M992" s="52" t="str">
        <f aca="false">IF(AND(ISNUMBER($G992),$G992&gt;=60),MAX(INDEX($D$792:$D992,202-60):$D992),"")</f>
        <v/>
      </c>
      <c r="N992" s="52" t="str">
        <f aca="false">IF(AND(ISNUMBER($G992),$G992&gt;=60),MIN(INDEX($E$792:$E992,202-60):$E992),"")</f>
        <v/>
      </c>
      <c r="O992" s="53" t="str">
        <f aca="false">IF(OR(NOT(ISNUMBER($C992)),NOT(ISNUMBER($M992)),$M992=0),"",$C992/$M992-1)</f>
        <v/>
      </c>
      <c r="P992" s="54"/>
      <c r="Q992" s="53" t="str">
        <f aca="false">IF(NOT(ISNUMBER($P992)),"",IFERROR(PERCENTRANK($P$5:$P$1204,$P992),""))</f>
        <v/>
      </c>
    </row>
    <row r="993" customFormat="false" ht="15" hidden="false" customHeight="false" outlineLevel="0" collapsed="false">
      <c r="A993" s="55"/>
      <c r="B993" s="56"/>
      <c r="C993" s="57"/>
      <c r="D993" s="56"/>
      <c r="E993" s="56"/>
      <c r="F993" s="56"/>
      <c r="G993" s="50" t="str">
        <f aca="false">IF($A993="","",IF(ISNUMBER($G992),$G992+1,1))</f>
        <v/>
      </c>
      <c r="H993" s="51" t="str">
        <f aca="false">IF(OR(NOT(ISNUMBER($G993)),$G993&lt;2,NOT(ISNUMBER($C992)),$C992=0),"",$C993/$C992-1)</f>
        <v/>
      </c>
      <c r="I993" s="52" t="str">
        <f aca="false">IF(AND(ISNUMBER($G993),$G993&gt;=MA_SHORT),AVERAGE(INDEX($C$593:$C993,402-MA_SHORT):$C993),"")</f>
        <v/>
      </c>
      <c r="J993" s="52" t="str">
        <f aca="false">IF(AND(ISNUMBER($G993),$G993&gt;=MA_MED),AVERAGE(INDEX($C$593:$C993,402-MA_MED):$C993),"")</f>
        <v/>
      </c>
      <c r="K993" s="52" t="str">
        <f aca="false">IF(AND(ISNUMBER($G993),$G993&gt;=MA_LONG2),AVERAGE(INDEX($C$593:$C993,402-MA_LONG2):$C993),"")</f>
        <v/>
      </c>
      <c r="L993" s="53" t="str">
        <f aca="false">IF(AND(ISNUMBER($G993),$G993&gt;=21),STDEV(INDEX($H$933:$H993,62-20):$H993)*SQRT(245),"")</f>
        <v/>
      </c>
      <c r="M993" s="52" t="str">
        <f aca="false">IF(AND(ISNUMBER($G993),$G993&gt;=60),MAX(INDEX($D$793:$D993,202-60):$D993),"")</f>
        <v/>
      </c>
      <c r="N993" s="52" t="str">
        <f aca="false">IF(AND(ISNUMBER($G993),$G993&gt;=60),MIN(INDEX($E$793:$E993,202-60):$E993),"")</f>
        <v/>
      </c>
      <c r="O993" s="53" t="str">
        <f aca="false">IF(OR(NOT(ISNUMBER($C993)),NOT(ISNUMBER($M993)),$M993=0),"",$C993/$M993-1)</f>
        <v/>
      </c>
      <c r="P993" s="54"/>
      <c r="Q993" s="53" t="str">
        <f aca="false">IF(NOT(ISNUMBER($P993)),"",IFERROR(PERCENTRANK($P$5:$P$1204,$P993),""))</f>
        <v/>
      </c>
    </row>
    <row r="994" customFormat="false" ht="15" hidden="false" customHeight="false" outlineLevel="0" collapsed="false">
      <c r="A994" s="55"/>
      <c r="B994" s="56"/>
      <c r="C994" s="57"/>
      <c r="D994" s="56"/>
      <c r="E994" s="56"/>
      <c r="F994" s="56"/>
      <c r="G994" s="50" t="str">
        <f aca="false">IF($A994="","",IF(ISNUMBER($G993),$G993+1,1))</f>
        <v/>
      </c>
      <c r="H994" s="51" t="str">
        <f aca="false">IF(OR(NOT(ISNUMBER($G994)),$G994&lt;2,NOT(ISNUMBER($C993)),$C993=0),"",$C994/$C993-1)</f>
        <v/>
      </c>
      <c r="I994" s="52" t="str">
        <f aca="false">IF(AND(ISNUMBER($G994),$G994&gt;=MA_SHORT),AVERAGE(INDEX($C$594:$C994,402-MA_SHORT):$C994),"")</f>
        <v/>
      </c>
      <c r="J994" s="52" t="str">
        <f aca="false">IF(AND(ISNUMBER($G994),$G994&gt;=MA_MED),AVERAGE(INDEX($C$594:$C994,402-MA_MED):$C994),"")</f>
        <v/>
      </c>
      <c r="K994" s="52" t="str">
        <f aca="false">IF(AND(ISNUMBER($G994),$G994&gt;=MA_LONG2),AVERAGE(INDEX($C$594:$C994,402-MA_LONG2):$C994),"")</f>
        <v/>
      </c>
      <c r="L994" s="53" t="str">
        <f aca="false">IF(AND(ISNUMBER($G994),$G994&gt;=21),STDEV(INDEX($H$934:$H994,62-20):$H994)*SQRT(245),"")</f>
        <v/>
      </c>
      <c r="M994" s="52" t="str">
        <f aca="false">IF(AND(ISNUMBER($G994),$G994&gt;=60),MAX(INDEX($D$794:$D994,202-60):$D994),"")</f>
        <v/>
      </c>
      <c r="N994" s="52" t="str">
        <f aca="false">IF(AND(ISNUMBER($G994),$G994&gt;=60),MIN(INDEX($E$794:$E994,202-60):$E994),"")</f>
        <v/>
      </c>
      <c r="O994" s="53" t="str">
        <f aca="false">IF(OR(NOT(ISNUMBER($C994)),NOT(ISNUMBER($M994)),$M994=0),"",$C994/$M994-1)</f>
        <v/>
      </c>
      <c r="P994" s="54"/>
      <c r="Q994" s="53" t="str">
        <f aca="false">IF(NOT(ISNUMBER($P994)),"",IFERROR(PERCENTRANK($P$5:$P$1204,$P994),""))</f>
        <v/>
      </c>
    </row>
    <row r="995" customFormat="false" ht="15" hidden="false" customHeight="false" outlineLevel="0" collapsed="false">
      <c r="A995" s="55"/>
      <c r="B995" s="56"/>
      <c r="C995" s="57"/>
      <c r="D995" s="56"/>
      <c r="E995" s="56"/>
      <c r="F995" s="56"/>
      <c r="G995" s="50" t="str">
        <f aca="false">IF($A995="","",IF(ISNUMBER($G994),$G994+1,1))</f>
        <v/>
      </c>
      <c r="H995" s="51" t="str">
        <f aca="false">IF(OR(NOT(ISNUMBER($G995)),$G995&lt;2,NOT(ISNUMBER($C994)),$C994=0),"",$C995/$C994-1)</f>
        <v/>
      </c>
      <c r="I995" s="52" t="str">
        <f aca="false">IF(AND(ISNUMBER($G995),$G995&gt;=MA_SHORT),AVERAGE(INDEX($C$595:$C995,402-MA_SHORT):$C995),"")</f>
        <v/>
      </c>
      <c r="J995" s="52" t="str">
        <f aca="false">IF(AND(ISNUMBER($G995),$G995&gt;=MA_MED),AVERAGE(INDEX($C$595:$C995,402-MA_MED):$C995),"")</f>
        <v/>
      </c>
      <c r="K995" s="52" t="str">
        <f aca="false">IF(AND(ISNUMBER($G995),$G995&gt;=MA_LONG2),AVERAGE(INDEX($C$595:$C995,402-MA_LONG2):$C995),"")</f>
        <v/>
      </c>
      <c r="L995" s="53" t="str">
        <f aca="false">IF(AND(ISNUMBER($G995),$G995&gt;=21),STDEV(INDEX($H$935:$H995,62-20):$H995)*SQRT(245),"")</f>
        <v/>
      </c>
      <c r="M995" s="52" t="str">
        <f aca="false">IF(AND(ISNUMBER($G995),$G995&gt;=60),MAX(INDEX($D$795:$D995,202-60):$D995),"")</f>
        <v/>
      </c>
      <c r="N995" s="52" t="str">
        <f aca="false">IF(AND(ISNUMBER($G995),$G995&gt;=60),MIN(INDEX($E$795:$E995,202-60):$E995),"")</f>
        <v/>
      </c>
      <c r="O995" s="53" t="str">
        <f aca="false">IF(OR(NOT(ISNUMBER($C995)),NOT(ISNUMBER($M995)),$M995=0),"",$C995/$M995-1)</f>
        <v/>
      </c>
      <c r="P995" s="54"/>
      <c r="Q995" s="53" t="str">
        <f aca="false">IF(NOT(ISNUMBER($P995)),"",IFERROR(PERCENTRANK($P$5:$P$1204,$P995),""))</f>
        <v/>
      </c>
    </row>
    <row r="996" customFormat="false" ht="15" hidden="false" customHeight="false" outlineLevel="0" collapsed="false">
      <c r="A996" s="55"/>
      <c r="B996" s="56"/>
      <c r="C996" s="57"/>
      <c r="D996" s="56"/>
      <c r="E996" s="56"/>
      <c r="F996" s="56"/>
      <c r="G996" s="50" t="str">
        <f aca="false">IF($A996="","",IF(ISNUMBER($G995),$G995+1,1))</f>
        <v/>
      </c>
      <c r="H996" s="51" t="str">
        <f aca="false">IF(OR(NOT(ISNUMBER($G996)),$G996&lt;2,NOT(ISNUMBER($C995)),$C995=0),"",$C996/$C995-1)</f>
        <v/>
      </c>
      <c r="I996" s="52" t="str">
        <f aca="false">IF(AND(ISNUMBER($G996),$G996&gt;=MA_SHORT),AVERAGE(INDEX($C$596:$C996,402-MA_SHORT):$C996),"")</f>
        <v/>
      </c>
      <c r="J996" s="52" t="str">
        <f aca="false">IF(AND(ISNUMBER($G996),$G996&gt;=MA_MED),AVERAGE(INDEX($C$596:$C996,402-MA_MED):$C996),"")</f>
        <v/>
      </c>
      <c r="K996" s="52" t="str">
        <f aca="false">IF(AND(ISNUMBER($G996),$G996&gt;=MA_LONG2),AVERAGE(INDEX($C$596:$C996,402-MA_LONG2):$C996),"")</f>
        <v/>
      </c>
      <c r="L996" s="53" t="str">
        <f aca="false">IF(AND(ISNUMBER($G996),$G996&gt;=21),STDEV(INDEX($H$936:$H996,62-20):$H996)*SQRT(245),"")</f>
        <v/>
      </c>
      <c r="M996" s="52" t="str">
        <f aca="false">IF(AND(ISNUMBER($G996),$G996&gt;=60),MAX(INDEX($D$796:$D996,202-60):$D996),"")</f>
        <v/>
      </c>
      <c r="N996" s="52" t="str">
        <f aca="false">IF(AND(ISNUMBER($G996),$G996&gt;=60),MIN(INDEX($E$796:$E996,202-60):$E996),"")</f>
        <v/>
      </c>
      <c r="O996" s="53" t="str">
        <f aca="false">IF(OR(NOT(ISNUMBER($C996)),NOT(ISNUMBER($M996)),$M996=0),"",$C996/$M996-1)</f>
        <v/>
      </c>
      <c r="P996" s="54"/>
      <c r="Q996" s="53" t="str">
        <f aca="false">IF(NOT(ISNUMBER($P996)),"",IFERROR(PERCENTRANK($P$5:$P$1204,$P996),""))</f>
        <v/>
      </c>
    </row>
    <row r="997" customFormat="false" ht="15" hidden="false" customHeight="false" outlineLevel="0" collapsed="false">
      <c r="A997" s="55"/>
      <c r="B997" s="56"/>
      <c r="C997" s="57"/>
      <c r="D997" s="56"/>
      <c r="E997" s="56"/>
      <c r="F997" s="56"/>
      <c r="G997" s="50" t="str">
        <f aca="false">IF($A997="","",IF(ISNUMBER($G996),$G996+1,1))</f>
        <v/>
      </c>
      <c r="H997" s="51" t="str">
        <f aca="false">IF(OR(NOT(ISNUMBER($G997)),$G997&lt;2,NOT(ISNUMBER($C996)),$C996=0),"",$C997/$C996-1)</f>
        <v/>
      </c>
      <c r="I997" s="52" t="str">
        <f aca="false">IF(AND(ISNUMBER($G997),$G997&gt;=MA_SHORT),AVERAGE(INDEX($C$597:$C997,402-MA_SHORT):$C997),"")</f>
        <v/>
      </c>
      <c r="J997" s="52" t="str">
        <f aca="false">IF(AND(ISNUMBER($G997),$G997&gt;=MA_MED),AVERAGE(INDEX($C$597:$C997,402-MA_MED):$C997),"")</f>
        <v/>
      </c>
      <c r="K997" s="52" t="str">
        <f aca="false">IF(AND(ISNUMBER($G997),$G997&gt;=MA_LONG2),AVERAGE(INDEX($C$597:$C997,402-MA_LONG2):$C997),"")</f>
        <v/>
      </c>
      <c r="L997" s="53" t="str">
        <f aca="false">IF(AND(ISNUMBER($G997),$G997&gt;=21),STDEV(INDEX($H$937:$H997,62-20):$H997)*SQRT(245),"")</f>
        <v/>
      </c>
      <c r="M997" s="52" t="str">
        <f aca="false">IF(AND(ISNUMBER($G997),$G997&gt;=60),MAX(INDEX($D$797:$D997,202-60):$D997),"")</f>
        <v/>
      </c>
      <c r="N997" s="52" t="str">
        <f aca="false">IF(AND(ISNUMBER($G997),$G997&gt;=60),MIN(INDEX($E$797:$E997,202-60):$E997),"")</f>
        <v/>
      </c>
      <c r="O997" s="53" t="str">
        <f aca="false">IF(OR(NOT(ISNUMBER($C997)),NOT(ISNUMBER($M997)),$M997=0),"",$C997/$M997-1)</f>
        <v/>
      </c>
      <c r="P997" s="54"/>
      <c r="Q997" s="53" t="str">
        <f aca="false">IF(NOT(ISNUMBER($P997)),"",IFERROR(PERCENTRANK($P$5:$P$1204,$P997),""))</f>
        <v/>
      </c>
    </row>
    <row r="998" customFormat="false" ht="15" hidden="false" customHeight="false" outlineLevel="0" collapsed="false">
      <c r="A998" s="55"/>
      <c r="B998" s="56"/>
      <c r="C998" s="57"/>
      <c r="D998" s="56"/>
      <c r="E998" s="56"/>
      <c r="F998" s="56"/>
      <c r="G998" s="50" t="str">
        <f aca="false">IF($A998="","",IF(ISNUMBER($G997),$G997+1,1))</f>
        <v/>
      </c>
      <c r="H998" s="51" t="str">
        <f aca="false">IF(OR(NOT(ISNUMBER($G998)),$G998&lt;2,NOT(ISNUMBER($C997)),$C997=0),"",$C998/$C997-1)</f>
        <v/>
      </c>
      <c r="I998" s="52" t="str">
        <f aca="false">IF(AND(ISNUMBER($G998),$G998&gt;=MA_SHORT),AVERAGE(INDEX($C$598:$C998,402-MA_SHORT):$C998),"")</f>
        <v/>
      </c>
      <c r="J998" s="52" t="str">
        <f aca="false">IF(AND(ISNUMBER($G998),$G998&gt;=MA_MED),AVERAGE(INDEX($C$598:$C998,402-MA_MED):$C998),"")</f>
        <v/>
      </c>
      <c r="K998" s="52" t="str">
        <f aca="false">IF(AND(ISNUMBER($G998),$G998&gt;=MA_LONG2),AVERAGE(INDEX($C$598:$C998,402-MA_LONG2):$C998),"")</f>
        <v/>
      </c>
      <c r="L998" s="53" t="str">
        <f aca="false">IF(AND(ISNUMBER($G998),$G998&gt;=21),STDEV(INDEX($H$938:$H998,62-20):$H998)*SQRT(245),"")</f>
        <v/>
      </c>
      <c r="M998" s="52" t="str">
        <f aca="false">IF(AND(ISNUMBER($G998),$G998&gt;=60),MAX(INDEX($D$798:$D998,202-60):$D998),"")</f>
        <v/>
      </c>
      <c r="N998" s="52" t="str">
        <f aca="false">IF(AND(ISNUMBER($G998),$G998&gt;=60),MIN(INDEX($E$798:$E998,202-60):$E998),"")</f>
        <v/>
      </c>
      <c r="O998" s="53" t="str">
        <f aca="false">IF(OR(NOT(ISNUMBER($C998)),NOT(ISNUMBER($M998)),$M998=0),"",$C998/$M998-1)</f>
        <v/>
      </c>
      <c r="P998" s="54"/>
      <c r="Q998" s="53" t="str">
        <f aca="false">IF(NOT(ISNUMBER($P998)),"",IFERROR(PERCENTRANK($P$5:$P$1204,$P998),""))</f>
        <v/>
      </c>
    </row>
    <row r="999" customFormat="false" ht="15" hidden="false" customHeight="false" outlineLevel="0" collapsed="false">
      <c r="A999" s="55"/>
      <c r="B999" s="56"/>
      <c r="C999" s="57"/>
      <c r="D999" s="56"/>
      <c r="E999" s="56"/>
      <c r="F999" s="56"/>
      <c r="G999" s="50" t="str">
        <f aca="false">IF($A999="","",IF(ISNUMBER($G998),$G998+1,1))</f>
        <v/>
      </c>
      <c r="H999" s="51" t="str">
        <f aca="false">IF(OR(NOT(ISNUMBER($G999)),$G999&lt;2,NOT(ISNUMBER($C998)),$C998=0),"",$C999/$C998-1)</f>
        <v/>
      </c>
      <c r="I999" s="52" t="str">
        <f aca="false">IF(AND(ISNUMBER($G999),$G999&gt;=MA_SHORT),AVERAGE(INDEX($C$599:$C999,402-MA_SHORT):$C999),"")</f>
        <v/>
      </c>
      <c r="J999" s="52" t="str">
        <f aca="false">IF(AND(ISNUMBER($G999),$G999&gt;=MA_MED),AVERAGE(INDEX($C$599:$C999,402-MA_MED):$C999),"")</f>
        <v/>
      </c>
      <c r="K999" s="52" t="str">
        <f aca="false">IF(AND(ISNUMBER($G999),$G999&gt;=MA_LONG2),AVERAGE(INDEX($C$599:$C999,402-MA_LONG2):$C999),"")</f>
        <v/>
      </c>
      <c r="L999" s="53" t="str">
        <f aca="false">IF(AND(ISNUMBER($G999),$G999&gt;=21),STDEV(INDEX($H$939:$H999,62-20):$H999)*SQRT(245),"")</f>
        <v/>
      </c>
      <c r="M999" s="52" t="str">
        <f aca="false">IF(AND(ISNUMBER($G999),$G999&gt;=60),MAX(INDEX($D$799:$D999,202-60):$D999),"")</f>
        <v/>
      </c>
      <c r="N999" s="52" t="str">
        <f aca="false">IF(AND(ISNUMBER($G999),$G999&gt;=60),MIN(INDEX($E$799:$E999,202-60):$E999),"")</f>
        <v/>
      </c>
      <c r="O999" s="53" t="str">
        <f aca="false">IF(OR(NOT(ISNUMBER($C999)),NOT(ISNUMBER($M999)),$M999=0),"",$C999/$M999-1)</f>
        <v/>
      </c>
      <c r="P999" s="54"/>
      <c r="Q999" s="53" t="str">
        <f aca="false">IF(NOT(ISNUMBER($P999)),"",IFERROR(PERCENTRANK($P$5:$P$1204,$P999),""))</f>
        <v/>
      </c>
    </row>
    <row r="1000" customFormat="false" ht="15" hidden="false" customHeight="false" outlineLevel="0" collapsed="false">
      <c r="A1000" s="55"/>
      <c r="B1000" s="56"/>
      <c r="C1000" s="57"/>
      <c r="D1000" s="56"/>
      <c r="E1000" s="56"/>
      <c r="F1000" s="56"/>
      <c r="G1000" s="50" t="str">
        <f aca="false">IF($A1000="","",IF(ISNUMBER($G999),$G999+1,1))</f>
        <v/>
      </c>
      <c r="H1000" s="51" t="str">
        <f aca="false">IF(OR(NOT(ISNUMBER($G1000)),$G1000&lt;2,NOT(ISNUMBER($C999)),$C999=0),"",$C1000/$C999-1)</f>
        <v/>
      </c>
      <c r="I1000" s="52" t="str">
        <f aca="false">IF(AND(ISNUMBER($G1000),$G1000&gt;=MA_SHORT),AVERAGE(INDEX($C$600:$C1000,402-MA_SHORT):$C1000),"")</f>
        <v/>
      </c>
      <c r="J1000" s="52" t="str">
        <f aca="false">IF(AND(ISNUMBER($G1000),$G1000&gt;=MA_MED),AVERAGE(INDEX($C$600:$C1000,402-MA_MED):$C1000),"")</f>
        <v/>
      </c>
      <c r="K1000" s="52" t="str">
        <f aca="false">IF(AND(ISNUMBER($G1000),$G1000&gt;=MA_LONG2),AVERAGE(INDEX($C$600:$C1000,402-MA_LONG2):$C1000),"")</f>
        <v/>
      </c>
      <c r="L1000" s="53" t="str">
        <f aca="false">IF(AND(ISNUMBER($G1000),$G1000&gt;=21),STDEV(INDEX($H$940:$H1000,62-20):$H1000)*SQRT(245),"")</f>
        <v/>
      </c>
      <c r="M1000" s="52" t="str">
        <f aca="false">IF(AND(ISNUMBER($G1000),$G1000&gt;=60),MAX(INDEX($D$800:$D1000,202-60):$D1000),"")</f>
        <v/>
      </c>
      <c r="N1000" s="52" t="str">
        <f aca="false">IF(AND(ISNUMBER($G1000),$G1000&gt;=60),MIN(INDEX($E$800:$E1000,202-60):$E1000),"")</f>
        <v/>
      </c>
      <c r="O1000" s="53" t="str">
        <f aca="false">IF(OR(NOT(ISNUMBER($C1000)),NOT(ISNUMBER($M1000)),$M1000=0),"",$C1000/$M1000-1)</f>
        <v/>
      </c>
      <c r="P1000" s="54"/>
      <c r="Q1000" s="53" t="str">
        <f aca="false">IF(NOT(ISNUMBER($P1000)),"",IFERROR(PERCENTRANK($P$5:$P$1204,$P1000),""))</f>
        <v/>
      </c>
    </row>
    <row r="1001" customFormat="false" ht="15" hidden="false" customHeight="false" outlineLevel="0" collapsed="false">
      <c r="A1001" s="55"/>
      <c r="B1001" s="56"/>
      <c r="C1001" s="57"/>
      <c r="D1001" s="56"/>
      <c r="E1001" s="56"/>
      <c r="F1001" s="56"/>
      <c r="G1001" s="50" t="str">
        <f aca="false">IF($A1001="","",IF(ISNUMBER($G1000),$G1000+1,1))</f>
        <v/>
      </c>
      <c r="H1001" s="51" t="str">
        <f aca="false">IF(OR(NOT(ISNUMBER($G1001)),$G1001&lt;2,NOT(ISNUMBER($C1000)),$C1000=0),"",$C1001/$C1000-1)</f>
        <v/>
      </c>
      <c r="I1001" s="52" t="str">
        <f aca="false">IF(AND(ISNUMBER($G1001),$G1001&gt;=MA_SHORT),AVERAGE(INDEX($C$601:$C1001,402-MA_SHORT):$C1001),"")</f>
        <v/>
      </c>
      <c r="J1001" s="52" t="str">
        <f aca="false">IF(AND(ISNUMBER($G1001),$G1001&gt;=MA_MED),AVERAGE(INDEX($C$601:$C1001,402-MA_MED):$C1001),"")</f>
        <v/>
      </c>
      <c r="K1001" s="52" t="str">
        <f aca="false">IF(AND(ISNUMBER($G1001),$G1001&gt;=MA_LONG2),AVERAGE(INDEX($C$601:$C1001,402-MA_LONG2):$C1001),"")</f>
        <v/>
      </c>
      <c r="L1001" s="53" t="str">
        <f aca="false">IF(AND(ISNUMBER($G1001),$G1001&gt;=21),STDEV(INDEX($H$941:$H1001,62-20):$H1001)*SQRT(245),"")</f>
        <v/>
      </c>
      <c r="M1001" s="52" t="str">
        <f aca="false">IF(AND(ISNUMBER($G1001),$G1001&gt;=60),MAX(INDEX($D$801:$D1001,202-60):$D1001),"")</f>
        <v/>
      </c>
      <c r="N1001" s="52" t="str">
        <f aca="false">IF(AND(ISNUMBER($G1001),$G1001&gt;=60),MIN(INDEX($E$801:$E1001,202-60):$E1001),"")</f>
        <v/>
      </c>
      <c r="O1001" s="53" t="str">
        <f aca="false">IF(OR(NOT(ISNUMBER($C1001)),NOT(ISNUMBER($M1001)),$M1001=0),"",$C1001/$M1001-1)</f>
        <v/>
      </c>
      <c r="P1001" s="54"/>
      <c r="Q1001" s="53" t="str">
        <f aca="false">IF(NOT(ISNUMBER($P1001)),"",IFERROR(PERCENTRANK($P$5:$P$1204,$P1001),""))</f>
        <v/>
      </c>
    </row>
    <row r="1002" customFormat="false" ht="15" hidden="false" customHeight="false" outlineLevel="0" collapsed="false">
      <c r="A1002" s="55"/>
      <c r="B1002" s="56"/>
      <c r="C1002" s="57"/>
      <c r="D1002" s="56"/>
      <c r="E1002" s="56"/>
      <c r="F1002" s="56"/>
      <c r="G1002" s="50" t="str">
        <f aca="false">IF($A1002="","",IF(ISNUMBER($G1001),$G1001+1,1))</f>
        <v/>
      </c>
      <c r="H1002" s="51" t="str">
        <f aca="false">IF(OR(NOT(ISNUMBER($G1002)),$G1002&lt;2,NOT(ISNUMBER($C1001)),$C1001=0),"",$C1002/$C1001-1)</f>
        <v/>
      </c>
      <c r="I1002" s="52" t="str">
        <f aca="false">IF(AND(ISNUMBER($G1002),$G1002&gt;=MA_SHORT),AVERAGE(INDEX($C$602:$C1002,402-MA_SHORT):$C1002),"")</f>
        <v/>
      </c>
      <c r="J1002" s="52" t="str">
        <f aca="false">IF(AND(ISNUMBER($G1002),$G1002&gt;=MA_MED),AVERAGE(INDEX($C$602:$C1002,402-MA_MED):$C1002),"")</f>
        <v/>
      </c>
      <c r="K1002" s="52" t="str">
        <f aca="false">IF(AND(ISNUMBER($G1002),$G1002&gt;=MA_LONG2),AVERAGE(INDEX($C$602:$C1002,402-MA_LONG2):$C1002),"")</f>
        <v/>
      </c>
      <c r="L1002" s="53" t="str">
        <f aca="false">IF(AND(ISNUMBER($G1002),$G1002&gt;=21),STDEV(INDEX($H$942:$H1002,62-20):$H1002)*SQRT(245),"")</f>
        <v/>
      </c>
      <c r="M1002" s="52" t="str">
        <f aca="false">IF(AND(ISNUMBER($G1002),$G1002&gt;=60),MAX(INDEX($D$802:$D1002,202-60):$D1002),"")</f>
        <v/>
      </c>
      <c r="N1002" s="52" t="str">
        <f aca="false">IF(AND(ISNUMBER($G1002),$G1002&gt;=60),MIN(INDEX($E$802:$E1002,202-60):$E1002),"")</f>
        <v/>
      </c>
      <c r="O1002" s="53" t="str">
        <f aca="false">IF(OR(NOT(ISNUMBER($C1002)),NOT(ISNUMBER($M1002)),$M1002=0),"",$C1002/$M1002-1)</f>
        <v/>
      </c>
      <c r="P1002" s="54"/>
      <c r="Q1002" s="53" t="str">
        <f aca="false">IF(NOT(ISNUMBER($P1002)),"",IFERROR(PERCENTRANK($P$5:$P$1204,$P1002),""))</f>
        <v/>
      </c>
    </row>
    <row r="1003" customFormat="false" ht="15" hidden="false" customHeight="false" outlineLevel="0" collapsed="false">
      <c r="A1003" s="55"/>
      <c r="B1003" s="56"/>
      <c r="C1003" s="57"/>
      <c r="D1003" s="56"/>
      <c r="E1003" s="56"/>
      <c r="F1003" s="56"/>
      <c r="G1003" s="50" t="str">
        <f aca="false">IF($A1003="","",IF(ISNUMBER($G1002),$G1002+1,1))</f>
        <v/>
      </c>
      <c r="H1003" s="51" t="str">
        <f aca="false">IF(OR(NOT(ISNUMBER($G1003)),$G1003&lt;2,NOT(ISNUMBER($C1002)),$C1002=0),"",$C1003/$C1002-1)</f>
        <v/>
      </c>
      <c r="I1003" s="52" t="str">
        <f aca="false">IF(AND(ISNUMBER($G1003),$G1003&gt;=MA_SHORT),AVERAGE(INDEX($C$603:$C1003,402-MA_SHORT):$C1003),"")</f>
        <v/>
      </c>
      <c r="J1003" s="52" t="str">
        <f aca="false">IF(AND(ISNUMBER($G1003),$G1003&gt;=MA_MED),AVERAGE(INDEX($C$603:$C1003,402-MA_MED):$C1003),"")</f>
        <v/>
      </c>
      <c r="K1003" s="52" t="str">
        <f aca="false">IF(AND(ISNUMBER($G1003),$G1003&gt;=MA_LONG2),AVERAGE(INDEX($C$603:$C1003,402-MA_LONG2):$C1003),"")</f>
        <v/>
      </c>
      <c r="L1003" s="53" t="str">
        <f aca="false">IF(AND(ISNUMBER($G1003),$G1003&gt;=21),STDEV(INDEX($H$943:$H1003,62-20):$H1003)*SQRT(245),"")</f>
        <v/>
      </c>
      <c r="M1003" s="52" t="str">
        <f aca="false">IF(AND(ISNUMBER($G1003),$G1003&gt;=60),MAX(INDEX($D$803:$D1003,202-60):$D1003),"")</f>
        <v/>
      </c>
      <c r="N1003" s="52" t="str">
        <f aca="false">IF(AND(ISNUMBER($G1003),$G1003&gt;=60),MIN(INDEX($E$803:$E1003,202-60):$E1003),"")</f>
        <v/>
      </c>
      <c r="O1003" s="53" t="str">
        <f aca="false">IF(OR(NOT(ISNUMBER($C1003)),NOT(ISNUMBER($M1003)),$M1003=0),"",$C1003/$M1003-1)</f>
        <v/>
      </c>
      <c r="P1003" s="54"/>
      <c r="Q1003" s="53" t="str">
        <f aca="false">IF(NOT(ISNUMBER($P1003)),"",IFERROR(PERCENTRANK($P$5:$P$1204,$P1003),""))</f>
        <v/>
      </c>
    </row>
    <row r="1004" customFormat="false" ht="15" hidden="false" customHeight="false" outlineLevel="0" collapsed="false">
      <c r="A1004" s="55"/>
      <c r="B1004" s="56"/>
      <c r="C1004" s="57"/>
      <c r="D1004" s="56"/>
      <c r="E1004" s="56"/>
      <c r="F1004" s="56"/>
      <c r="G1004" s="50" t="str">
        <f aca="false">IF($A1004="","",IF(ISNUMBER($G1003),$G1003+1,1))</f>
        <v/>
      </c>
      <c r="H1004" s="51" t="str">
        <f aca="false">IF(OR(NOT(ISNUMBER($G1004)),$G1004&lt;2,NOT(ISNUMBER($C1003)),$C1003=0),"",$C1004/$C1003-1)</f>
        <v/>
      </c>
      <c r="I1004" s="52" t="str">
        <f aca="false">IF(AND(ISNUMBER($G1004),$G1004&gt;=MA_SHORT),AVERAGE(INDEX($C$604:$C1004,402-MA_SHORT):$C1004),"")</f>
        <v/>
      </c>
      <c r="J1004" s="52" t="str">
        <f aca="false">IF(AND(ISNUMBER($G1004),$G1004&gt;=MA_MED),AVERAGE(INDEX($C$604:$C1004,402-MA_MED):$C1004),"")</f>
        <v/>
      </c>
      <c r="K1004" s="52" t="str">
        <f aca="false">IF(AND(ISNUMBER($G1004),$G1004&gt;=MA_LONG2),AVERAGE(INDEX($C$604:$C1004,402-MA_LONG2):$C1004),"")</f>
        <v/>
      </c>
      <c r="L1004" s="53" t="str">
        <f aca="false">IF(AND(ISNUMBER($G1004),$G1004&gt;=21),STDEV(INDEX($H$944:$H1004,62-20):$H1004)*SQRT(245),"")</f>
        <v/>
      </c>
      <c r="M1004" s="52" t="str">
        <f aca="false">IF(AND(ISNUMBER($G1004),$G1004&gt;=60),MAX(INDEX($D$804:$D1004,202-60):$D1004),"")</f>
        <v/>
      </c>
      <c r="N1004" s="52" t="str">
        <f aca="false">IF(AND(ISNUMBER($G1004),$G1004&gt;=60),MIN(INDEX($E$804:$E1004,202-60):$E1004),"")</f>
        <v/>
      </c>
      <c r="O1004" s="53" t="str">
        <f aca="false">IF(OR(NOT(ISNUMBER($C1004)),NOT(ISNUMBER($M1004)),$M1004=0),"",$C1004/$M1004-1)</f>
        <v/>
      </c>
      <c r="P1004" s="54"/>
      <c r="Q1004" s="53" t="str">
        <f aca="false">IF(NOT(ISNUMBER($P1004)),"",IFERROR(PERCENTRANK($P$5:$P$1204,$P1004),""))</f>
        <v/>
      </c>
    </row>
    <row r="1005" customFormat="false" ht="15" hidden="false" customHeight="false" outlineLevel="0" collapsed="false">
      <c r="A1005" s="55"/>
      <c r="B1005" s="56"/>
      <c r="C1005" s="57"/>
      <c r="D1005" s="56"/>
      <c r="E1005" s="56"/>
      <c r="F1005" s="56"/>
      <c r="G1005" s="50" t="str">
        <f aca="false">IF($A1005="","",IF(ISNUMBER($G1004),$G1004+1,1))</f>
        <v/>
      </c>
      <c r="H1005" s="51" t="str">
        <f aca="false">IF(OR(NOT(ISNUMBER($G1005)),$G1005&lt;2,NOT(ISNUMBER($C1004)),$C1004=0),"",$C1005/$C1004-1)</f>
        <v/>
      </c>
      <c r="I1005" s="52" t="str">
        <f aca="false">IF(AND(ISNUMBER($G1005),$G1005&gt;=MA_SHORT),AVERAGE(INDEX($C$605:$C1005,402-MA_SHORT):$C1005),"")</f>
        <v/>
      </c>
      <c r="J1005" s="52" t="str">
        <f aca="false">IF(AND(ISNUMBER($G1005),$G1005&gt;=MA_MED),AVERAGE(INDEX($C$605:$C1005,402-MA_MED):$C1005),"")</f>
        <v/>
      </c>
      <c r="K1005" s="52" t="str">
        <f aca="false">IF(AND(ISNUMBER($G1005),$G1005&gt;=MA_LONG2),AVERAGE(INDEX($C$605:$C1005,402-MA_LONG2):$C1005),"")</f>
        <v/>
      </c>
      <c r="L1005" s="53" t="str">
        <f aca="false">IF(AND(ISNUMBER($G1005),$G1005&gt;=21),STDEV(INDEX($H$945:$H1005,62-20):$H1005)*SQRT(245),"")</f>
        <v/>
      </c>
      <c r="M1005" s="52" t="str">
        <f aca="false">IF(AND(ISNUMBER($G1005),$G1005&gt;=60),MAX(INDEX($D$805:$D1005,202-60):$D1005),"")</f>
        <v/>
      </c>
      <c r="N1005" s="52" t="str">
        <f aca="false">IF(AND(ISNUMBER($G1005),$G1005&gt;=60),MIN(INDEX($E$805:$E1005,202-60):$E1005),"")</f>
        <v/>
      </c>
      <c r="O1005" s="53" t="str">
        <f aca="false">IF(OR(NOT(ISNUMBER($C1005)),NOT(ISNUMBER($M1005)),$M1005=0),"",$C1005/$M1005-1)</f>
        <v/>
      </c>
      <c r="P1005" s="54"/>
      <c r="Q1005" s="53" t="str">
        <f aca="false">IF(NOT(ISNUMBER($P1005)),"",IFERROR(PERCENTRANK($P$5:$P$1204,$P1005),""))</f>
        <v/>
      </c>
    </row>
    <row r="1006" customFormat="false" ht="15" hidden="false" customHeight="false" outlineLevel="0" collapsed="false">
      <c r="A1006" s="55"/>
      <c r="B1006" s="56"/>
      <c r="C1006" s="57"/>
      <c r="D1006" s="56"/>
      <c r="E1006" s="56"/>
      <c r="F1006" s="56"/>
      <c r="G1006" s="50" t="str">
        <f aca="false">IF($A1006="","",IF(ISNUMBER($G1005),$G1005+1,1))</f>
        <v/>
      </c>
      <c r="H1006" s="51" t="str">
        <f aca="false">IF(OR(NOT(ISNUMBER($G1006)),$G1006&lt;2,NOT(ISNUMBER($C1005)),$C1005=0),"",$C1006/$C1005-1)</f>
        <v/>
      </c>
      <c r="I1006" s="52" t="str">
        <f aca="false">IF(AND(ISNUMBER($G1006),$G1006&gt;=MA_SHORT),AVERAGE(INDEX($C$606:$C1006,402-MA_SHORT):$C1006),"")</f>
        <v/>
      </c>
      <c r="J1006" s="52" t="str">
        <f aca="false">IF(AND(ISNUMBER($G1006),$G1006&gt;=MA_MED),AVERAGE(INDEX($C$606:$C1006,402-MA_MED):$C1006),"")</f>
        <v/>
      </c>
      <c r="K1006" s="52" t="str">
        <f aca="false">IF(AND(ISNUMBER($G1006),$G1006&gt;=MA_LONG2),AVERAGE(INDEX($C$606:$C1006,402-MA_LONG2):$C1006),"")</f>
        <v/>
      </c>
      <c r="L1006" s="53" t="str">
        <f aca="false">IF(AND(ISNUMBER($G1006),$G1006&gt;=21),STDEV(INDEX($H$946:$H1006,62-20):$H1006)*SQRT(245),"")</f>
        <v/>
      </c>
      <c r="M1006" s="52" t="str">
        <f aca="false">IF(AND(ISNUMBER($G1006),$G1006&gt;=60),MAX(INDEX($D$806:$D1006,202-60):$D1006),"")</f>
        <v/>
      </c>
      <c r="N1006" s="52" t="str">
        <f aca="false">IF(AND(ISNUMBER($G1006),$G1006&gt;=60),MIN(INDEX($E$806:$E1006,202-60):$E1006),"")</f>
        <v/>
      </c>
      <c r="O1006" s="53" t="str">
        <f aca="false">IF(OR(NOT(ISNUMBER($C1006)),NOT(ISNUMBER($M1006)),$M1006=0),"",$C1006/$M1006-1)</f>
        <v/>
      </c>
      <c r="P1006" s="54"/>
      <c r="Q1006" s="53" t="str">
        <f aca="false">IF(NOT(ISNUMBER($P1006)),"",IFERROR(PERCENTRANK($P$5:$P$1204,$P1006),""))</f>
        <v/>
      </c>
    </row>
    <row r="1007" customFormat="false" ht="15" hidden="false" customHeight="false" outlineLevel="0" collapsed="false">
      <c r="A1007" s="55"/>
      <c r="B1007" s="56"/>
      <c r="C1007" s="57"/>
      <c r="D1007" s="56"/>
      <c r="E1007" s="56"/>
      <c r="F1007" s="56"/>
      <c r="G1007" s="50" t="str">
        <f aca="false">IF($A1007="","",IF(ISNUMBER($G1006),$G1006+1,1))</f>
        <v/>
      </c>
      <c r="H1007" s="51" t="str">
        <f aca="false">IF(OR(NOT(ISNUMBER($G1007)),$G1007&lt;2,NOT(ISNUMBER($C1006)),$C1006=0),"",$C1007/$C1006-1)</f>
        <v/>
      </c>
      <c r="I1007" s="52" t="str">
        <f aca="false">IF(AND(ISNUMBER($G1007),$G1007&gt;=MA_SHORT),AVERAGE(INDEX($C$607:$C1007,402-MA_SHORT):$C1007),"")</f>
        <v/>
      </c>
      <c r="J1007" s="52" t="str">
        <f aca="false">IF(AND(ISNUMBER($G1007),$G1007&gt;=MA_MED),AVERAGE(INDEX($C$607:$C1007,402-MA_MED):$C1007),"")</f>
        <v/>
      </c>
      <c r="K1007" s="52" t="str">
        <f aca="false">IF(AND(ISNUMBER($G1007),$G1007&gt;=MA_LONG2),AVERAGE(INDEX($C$607:$C1007,402-MA_LONG2):$C1007),"")</f>
        <v/>
      </c>
      <c r="L1007" s="53" t="str">
        <f aca="false">IF(AND(ISNUMBER($G1007),$G1007&gt;=21),STDEV(INDEX($H$947:$H1007,62-20):$H1007)*SQRT(245),"")</f>
        <v/>
      </c>
      <c r="M1007" s="52" t="str">
        <f aca="false">IF(AND(ISNUMBER($G1007),$G1007&gt;=60),MAX(INDEX($D$807:$D1007,202-60):$D1007),"")</f>
        <v/>
      </c>
      <c r="N1007" s="52" t="str">
        <f aca="false">IF(AND(ISNUMBER($G1007),$G1007&gt;=60),MIN(INDEX($E$807:$E1007,202-60):$E1007),"")</f>
        <v/>
      </c>
      <c r="O1007" s="53" t="str">
        <f aca="false">IF(OR(NOT(ISNUMBER($C1007)),NOT(ISNUMBER($M1007)),$M1007=0),"",$C1007/$M1007-1)</f>
        <v/>
      </c>
      <c r="P1007" s="54"/>
      <c r="Q1007" s="53" t="str">
        <f aca="false">IF(NOT(ISNUMBER($P1007)),"",IFERROR(PERCENTRANK($P$5:$P$1204,$P1007),""))</f>
        <v/>
      </c>
    </row>
    <row r="1008" customFormat="false" ht="15" hidden="false" customHeight="false" outlineLevel="0" collapsed="false">
      <c r="A1008" s="55"/>
      <c r="B1008" s="56"/>
      <c r="C1008" s="57"/>
      <c r="D1008" s="56"/>
      <c r="E1008" s="56"/>
      <c r="F1008" s="56"/>
      <c r="G1008" s="50" t="str">
        <f aca="false">IF($A1008="","",IF(ISNUMBER($G1007),$G1007+1,1))</f>
        <v/>
      </c>
      <c r="H1008" s="51" t="str">
        <f aca="false">IF(OR(NOT(ISNUMBER($G1008)),$G1008&lt;2,NOT(ISNUMBER($C1007)),$C1007=0),"",$C1008/$C1007-1)</f>
        <v/>
      </c>
      <c r="I1008" s="52" t="str">
        <f aca="false">IF(AND(ISNUMBER($G1008),$G1008&gt;=MA_SHORT),AVERAGE(INDEX($C$608:$C1008,402-MA_SHORT):$C1008),"")</f>
        <v/>
      </c>
      <c r="J1008" s="52" t="str">
        <f aca="false">IF(AND(ISNUMBER($G1008),$G1008&gt;=MA_MED),AVERAGE(INDEX($C$608:$C1008,402-MA_MED):$C1008),"")</f>
        <v/>
      </c>
      <c r="K1008" s="52" t="str">
        <f aca="false">IF(AND(ISNUMBER($G1008),$G1008&gt;=MA_LONG2),AVERAGE(INDEX($C$608:$C1008,402-MA_LONG2):$C1008),"")</f>
        <v/>
      </c>
      <c r="L1008" s="53" t="str">
        <f aca="false">IF(AND(ISNUMBER($G1008),$G1008&gt;=21),STDEV(INDEX($H$948:$H1008,62-20):$H1008)*SQRT(245),"")</f>
        <v/>
      </c>
      <c r="M1008" s="52" t="str">
        <f aca="false">IF(AND(ISNUMBER($G1008),$G1008&gt;=60),MAX(INDEX($D$808:$D1008,202-60):$D1008),"")</f>
        <v/>
      </c>
      <c r="N1008" s="52" t="str">
        <f aca="false">IF(AND(ISNUMBER($G1008),$G1008&gt;=60),MIN(INDEX($E$808:$E1008,202-60):$E1008),"")</f>
        <v/>
      </c>
      <c r="O1008" s="53" t="str">
        <f aca="false">IF(OR(NOT(ISNUMBER($C1008)),NOT(ISNUMBER($M1008)),$M1008=0),"",$C1008/$M1008-1)</f>
        <v/>
      </c>
      <c r="P1008" s="54"/>
      <c r="Q1008" s="53" t="str">
        <f aca="false">IF(NOT(ISNUMBER($P1008)),"",IFERROR(PERCENTRANK($P$5:$P$1204,$P1008),""))</f>
        <v/>
      </c>
    </row>
    <row r="1009" customFormat="false" ht="15" hidden="false" customHeight="false" outlineLevel="0" collapsed="false">
      <c r="A1009" s="55"/>
      <c r="B1009" s="56"/>
      <c r="C1009" s="57"/>
      <c r="D1009" s="56"/>
      <c r="E1009" s="56"/>
      <c r="F1009" s="56"/>
      <c r="G1009" s="50" t="str">
        <f aca="false">IF($A1009="","",IF(ISNUMBER($G1008),$G1008+1,1))</f>
        <v/>
      </c>
      <c r="H1009" s="51" t="str">
        <f aca="false">IF(OR(NOT(ISNUMBER($G1009)),$G1009&lt;2,NOT(ISNUMBER($C1008)),$C1008=0),"",$C1009/$C1008-1)</f>
        <v/>
      </c>
      <c r="I1009" s="52" t="str">
        <f aca="false">IF(AND(ISNUMBER($G1009),$G1009&gt;=MA_SHORT),AVERAGE(INDEX($C$609:$C1009,402-MA_SHORT):$C1009),"")</f>
        <v/>
      </c>
      <c r="J1009" s="52" t="str">
        <f aca="false">IF(AND(ISNUMBER($G1009),$G1009&gt;=MA_MED),AVERAGE(INDEX($C$609:$C1009,402-MA_MED):$C1009),"")</f>
        <v/>
      </c>
      <c r="K1009" s="52" t="str">
        <f aca="false">IF(AND(ISNUMBER($G1009),$G1009&gt;=MA_LONG2),AVERAGE(INDEX($C$609:$C1009,402-MA_LONG2):$C1009),"")</f>
        <v/>
      </c>
      <c r="L1009" s="53" t="str">
        <f aca="false">IF(AND(ISNUMBER($G1009),$G1009&gt;=21),STDEV(INDEX($H$949:$H1009,62-20):$H1009)*SQRT(245),"")</f>
        <v/>
      </c>
      <c r="M1009" s="52" t="str">
        <f aca="false">IF(AND(ISNUMBER($G1009),$G1009&gt;=60),MAX(INDEX($D$809:$D1009,202-60):$D1009),"")</f>
        <v/>
      </c>
      <c r="N1009" s="52" t="str">
        <f aca="false">IF(AND(ISNUMBER($G1009),$G1009&gt;=60),MIN(INDEX($E$809:$E1009,202-60):$E1009),"")</f>
        <v/>
      </c>
      <c r="O1009" s="53" t="str">
        <f aca="false">IF(OR(NOT(ISNUMBER($C1009)),NOT(ISNUMBER($M1009)),$M1009=0),"",$C1009/$M1009-1)</f>
        <v/>
      </c>
      <c r="P1009" s="54"/>
      <c r="Q1009" s="53" t="str">
        <f aca="false">IF(NOT(ISNUMBER($P1009)),"",IFERROR(PERCENTRANK($P$5:$P$1204,$P1009),""))</f>
        <v/>
      </c>
    </row>
    <row r="1010" customFormat="false" ht="15" hidden="false" customHeight="false" outlineLevel="0" collapsed="false">
      <c r="A1010" s="55"/>
      <c r="B1010" s="56"/>
      <c r="C1010" s="57"/>
      <c r="D1010" s="56"/>
      <c r="E1010" s="56"/>
      <c r="F1010" s="56"/>
      <c r="G1010" s="50" t="str">
        <f aca="false">IF($A1010="","",IF(ISNUMBER($G1009),$G1009+1,1))</f>
        <v/>
      </c>
      <c r="H1010" s="51" t="str">
        <f aca="false">IF(OR(NOT(ISNUMBER($G1010)),$G1010&lt;2,NOT(ISNUMBER($C1009)),$C1009=0),"",$C1010/$C1009-1)</f>
        <v/>
      </c>
      <c r="I1010" s="52" t="str">
        <f aca="false">IF(AND(ISNUMBER($G1010),$G1010&gt;=MA_SHORT),AVERAGE(INDEX($C$610:$C1010,402-MA_SHORT):$C1010),"")</f>
        <v/>
      </c>
      <c r="J1010" s="52" t="str">
        <f aca="false">IF(AND(ISNUMBER($G1010),$G1010&gt;=MA_MED),AVERAGE(INDEX($C$610:$C1010,402-MA_MED):$C1010),"")</f>
        <v/>
      </c>
      <c r="K1010" s="52" t="str">
        <f aca="false">IF(AND(ISNUMBER($G1010),$G1010&gt;=MA_LONG2),AVERAGE(INDEX($C$610:$C1010,402-MA_LONG2):$C1010),"")</f>
        <v/>
      </c>
      <c r="L1010" s="53" t="str">
        <f aca="false">IF(AND(ISNUMBER($G1010),$G1010&gt;=21),STDEV(INDEX($H$950:$H1010,62-20):$H1010)*SQRT(245),"")</f>
        <v/>
      </c>
      <c r="M1010" s="52" t="str">
        <f aca="false">IF(AND(ISNUMBER($G1010),$G1010&gt;=60),MAX(INDEX($D$810:$D1010,202-60):$D1010),"")</f>
        <v/>
      </c>
      <c r="N1010" s="52" t="str">
        <f aca="false">IF(AND(ISNUMBER($G1010),$G1010&gt;=60),MIN(INDEX($E$810:$E1010,202-60):$E1010),"")</f>
        <v/>
      </c>
      <c r="O1010" s="53" t="str">
        <f aca="false">IF(OR(NOT(ISNUMBER($C1010)),NOT(ISNUMBER($M1010)),$M1010=0),"",$C1010/$M1010-1)</f>
        <v/>
      </c>
      <c r="P1010" s="54"/>
      <c r="Q1010" s="53" t="str">
        <f aca="false">IF(NOT(ISNUMBER($P1010)),"",IFERROR(PERCENTRANK($P$5:$P$1204,$P1010),""))</f>
        <v/>
      </c>
    </row>
    <row r="1011" customFormat="false" ht="15" hidden="false" customHeight="false" outlineLevel="0" collapsed="false">
      <c r="A1011" s="55"/>
      <c r="B1011" s="56"/>
      <c r="C1011" s="57"/>
      <c r="D1011" s="56"/>
      <c r="E1011" s="56"/>
      <c r="F1011" s="56"/>
      <c r="G1011" s="50" t="str">
        <f aca="false">IF($A1011="","",IF(ISNUMBER($G1010),$G1010+1,1))</f>
        <v/>
      </c>
      <c r="H1011" s="51" t="str">
        <f aca="false">IF(OR(NOT(ISNUMBER($G1011)),$G1011&lt;2,NOT(ISNUMBER($C1010)),$C1010=0),"",$C1011/$C1010-1)</f>
        <v/>
      </c>
      <c r="I1011" s="52" t="str">
        <f aca="false">IF(AND(ISNUMBER($G1011),$G1011&gt;=MA_SHORT),AVERAGE(INDEX($C$611:$C1011,402-MA_SHORT):$C1011),"")</f>
        <v/>
      </c>
      <c r="J1011" s="52" t="str">
        <f aca="false">IF(AND(ISNUMBER($G1011),$G1011&gt;=MA_MED),AVERAGE(INDEX($C$611:$C1011,402-MA_MED):$C1011),"")</f>
        <v/>
      </c>
      <c r="K1011" s="52" t="str">
        <f aca="false">IF(AND(ISNUMBER($G1011),$G1011&gt;=MA_LONG2),AVERAGE(INDEX($C$611:$C1011,402-MA_LONG2):$C1011),"")</f>
        <v/>
      </c>
      <c r="L1011" s="53" t="str">
        <f aca="false">IF(AND(ISNUMBER($G1011),$G1011&gt;=21),STDEV(INDEX($H$951:$H1011,62-20):$H1011)*SQRT(245),"")</f>
        <v/>
      </c>
      <c r="M1011" s="52" t="str">
        <f aca="false">IF(AND(ISNUMBER($G1011),$G1011&gt;=60),MAX(INDEX($D$811:$D1011,202-60):$D1011),"")</f>
        <v/>
      </c>
      <c r="N1011" s="52" t="str">
        <f aca="false">IF(AND(ISNUMBER($G1011),$G1011&gt;=60),MIN(INDEX($E$811:$E1011,202-60):$E1011),"")</f>
        <v/>
      </c>
      <c r="O1011" s="53" t="str">
        <f aca="false">IF(OR(NOT(ISNUMBER($C1011)),NOT(ISNUMBER($M1011)),$M1011=0),"",$C1011/$M1011-1)</f>
        <v/>
      </c>
      <c r="P1011" s="54"/>
      <c r="Q1011" s="53" t="str">
        <f aca="false">IF(NOT(ISNUMBER($P1011)),"",IFERROR(PERCENTRANK($P$5:$P$1204,$P1011),""))</f>
        <v/>
      </c>
    </row>
    <row r="1012" customFormat="false" ht="15" hidden="false" customHeight="false" outlineLevel="0" collapsed="false">
      <c r="A1012" s="55"/>
      <c r="B1012" s="56"/>
      <c r="C1012" s="57"/>
      <c r="D1012" s="56"/>
      <c r="E1012" s="56"/>
      <c r="F1012" s="56"/>
      <c r="G1012" s="50" t="str">
        <f aca="false">IF($A1012="","",IF(ISNUMBER($G1011),$G1011+1,1))</f>
        <v/>
      </c>
      <c r="H1012" s="51" t="str">
        <f aca="false">IF(OR(NOT(ISNUMBER($G1012)),$G1012&lt;2,NOT(ISNUMBER($C1011)),$C1011=0),"",$C1012/$C1011-1)</f>
        <v/>
      </c>
      <c r="I1012" s="52" t="str">
        <f aca="false">IF(AND(ISNUMBER($G1012),$G1012&gt;=MA_SHORT),AVERAGE(INDEX($C$612:$C1012,402-MA_SHORT):$C1012),"")</f>
        <v/>
      </c>
      <c r="J1012" s="52" t="str">
        <f aca="false">IF(AND(ISNUMBER($G1012),$G1012&gt;=MA_MED),AVERAGE(INDEX($C$612:$C1012,402-MA_MED):$C1012),"")</f>
        <v/>
      </c>
      <c r="K1012" s="52" t="str">
        <f aca="false">IF(AND(ISNUMBER($G1012),$G1012&gt;=MA_LONG2),AVERAGE(INDEX($C$612:$C1012,402-MA_LONG2):$C1012),"")</f>
        <v/>
      </c>
      <c r="L1012" s="53" t="str">
        <f aca="false">IF(AND(ISNUMBER($G1012),$G1012&gt;=21),STDEV(INDEX($H$952:$H1012,62-20):$H1012)*SQRT(245),"")</f>
        <v/>
      </c>
      <c r="M1012" s="52" t="str">
        <f aca="false">IF(AND(ISNUMBER($G1012),$G1012&gt;=60),MAX(INDEX($D$812:$D1012,202-60):$D1012),"")</f>
        <v/>
      </c>
      <c r="N1012" s="52" t="str">
        <f aca="false">IF(AND(ISNUMBER($G1012),$G1012&gt;=60),MIN(INDEX($E$812:$E1012,202-60):$E1012),"")</f>
        <v/>
      </c>
      <c r="O1012" s="53" t="str">
        <f aca="false">IF(OR(NOT(ISNUMBER($C1012)),NOT(ISNUMBER($M1012)),$M1012=0),"",$C1012/$M1012-1)</f>
        <v/>
      </c>
      <c r="P1012" s="54"/>
      <c r="Q1012" s="53" t="str">
        <f aca="false">IF(NOT(ISNUMBER($P1012)),"",IFERROR(PERCENTRANK($P$5:$P$1204,$P1012),""))</f>
        <v/>
      </c>
    </row>
    <row r="1013" customFormat="false" ht="15" hidden="false" customHeight="false" outlineLevel="0" collapsed="false">
      <c r="A1013" s="55"/>
      <c r="B1013" s="56"/>
      <c r="C1013" s="57"/>
      <c r="D1013" s="56"/>
      <c r="E1013" s="56"/>
      <c r="F1013" s="56"/>
      <c r="G1013" s="50" t="str">
        <f aca="false">IF($A1013="","",IF(ISNUMBER($G1012),$G1012+1,1))</f>
        <v/>
      </c>
      <c r="H1013" s="51" t="str">
        <f aca="false">IF(OR(NOT(ISNUMBER($G1013)),$G1013&lt;2,NOT(ISNUMBER($C1012)),$C1012=0),"",$C1013/$C1012-1)</f>
        <v/>
      </c>
      <c r="I1013" s="52" t="str">
        <f aca="false">IF(AND(ISNUMBER($G1013),$G1013&gt;=MA_SHORT),AVERAGE(INDEX($C$613:$C1013,402-MA_SHORT):$C1013),"")</f>
        <v/>
      </c>
      <c r="J1013" s="52" t="str">
        <f aca="false">IF(AND(ISNUMBER($G1013),$G1013&gt;=MA_MED),AVERAGE(INDEX($C$613:$C1013,402-MA_MED):$C1013),"")</f>
        <v/>
      </c>
      <c r="K1013" s="52" t="str">
        <f aca="false">IF(AND(ISNUMBER($G1013),$G1013&gt;=MA_LONG2),AVERAGE(INDEX($C$613:$C1013,402-MA_LONG2):$C1013),"")</f>
        <v/>
      </c>
      <c r="L1013" s="53" t="str">
        <f aca="false">IF(AND(ISNUMBER($G1013),$G1013&gt;=21),STDEV(INDEX($H$953:$H1013,62-20):$H1013)*SQRT(245),"")</f>
        <v/>
      </c>
      <c r="M1013" s="52" t="str">
        <f aca="false">IF(AND(ISNUMBER($G1013),$G1013&gt;=60),MAX(INDEX($D$813:$D1013,202-60):$D1013),"")</f>
        <v/>
      </c>
      <c r="N1013" s="52" t="str">
        <f aca="false">IF(AND(ISNUMBER($G1013),$G1013&gt;=60),MIN(INDEX($E$813:$E1013,202-60):$E1013),"")</f>
        <v/>
      </c>
      <c r="O1013" s="53" t="str">
        <f aca="false">IF(OR(NOT(ISNUMBER($C1013)),NOT(ISNUMBER($M1013)),$M1013=0),"",$C1013/$M1013-1)</f>
        <v/>
      </c>
      <c r="P1013" s="54"/>
      <c r="Q1013" s="53" t="str">
        <f aca="false">IF(NOT(ISNUMBER($P1013)),"",IFERROR(PERCENTRANK($P$5:$P$1204,$P1013),""))</f>
        <v/>
      </c>
    </row>
    <row r="1014" customFormat="false" ht="15" hidden="false" customHeight="false" outlineLevel="0" collapsed="false">
      <c r="A1014" s="55"/>
      <c r="B1014" s="56"/>
      <c r="C1014" s="57"/>
      <c r="D1014" s="56"/>
      <c r="E1014" s="56"/>
      <c r="F1014" s="56"/>
      <c r="G1014" s="50" t="str">
        <f aca="false">IF($A1014="","",IF(ISNUMBER($G1013),$G1013+1,1))</f>
        <v/>
      </c>
      <c r="H1014" s="51" t="str">
        <f aca="false">IF(OR(NOT(ISNUMBER($G1014)),$G1014&lt;2,NOT(ISNUMBER($C1013)),$C1013=0),"",$C1014/$C1013-1)</f>
        <v/>
      </c>
      <c r="I1014" s="52" t="str">
        <f aca="false">IF(AND(ISNUMBER($G1014),$G1014&gt;=MA_SHORT),AVERAGE(INDEX($C$614:$C1014,402-MA_SHORT):$C1014),"")</f>
        <v/>
      </c>
      <c r="J1014" s="52" t="str">
        <f aca="false">IF(AND(ISNUMBER($G1014),$G1014&gt;=MA_MED),AVERAGE(INDEX($C$614:$C1014,402-MA_MED):$C1014),"")</f>
        <v/>
      </c>
      <c r="K1014" s="52" t="str">
        <f aca="false">IF(AND(ISNUMBER($G1014),$G1014&gt;=MA_LONG2),AVERAGE(INDEX($C$614:$C1014,402-MA_LONG2):$C1014),"")</f>
        <v/>
      </c>
      <c r="L1014" s="53" t="str">
        <f aca="false">IF(AND(ISNUMBER($G1014),$G1014&gt;=21),STDEV(INDEX($H$954:$H1014,62-20):$H1014)*SQRT(245),"")</f>
        <v/>
      </c>
      <c r="M1014" s="52" t="str">
        <f aca="false">IF(AND(ISNUMBER($G1014),$G1014&gt;=60),MAX(INDEX($D$814:$D1014,202-60):$D1014),"")</f>
        <v/>
      </c>
      <c r="N1014" s="52" t="str">
        <f aca="false">IF(AND(ISNUMBER($G1014),$G1014&gt;=60),MIN(INDEX($E$814:$E1014,202-60):$E1014),"")</f>
        <v/>
      </c>
      <c r="O1014" s="53" t="str">
        <f aca="false">IF(OR(NOT(ISNUMBER($C1014)),NOT(ISNUMBER($M1014)),$M1014=0),"",$C1014/$M1014-1)</f>
        <v/>
      </c>
      <c r="P1014" s="54"/>
      <c r="Q1014" s="53" t="str">
        <f aca="false">IF(NOT(ISNUMBER($P1014)),"",IFERROR(PERCENTRANK($P$5:$P$1204,$P1014),""))</f>
        <v/>
      </c>
    </row>
    <row r="1015" customFormat="false" ht="15" hidden="false" customHeight="false" outlineLevel="0" collapsed="false">
      <c r="A1015" s="55"/>
      <c r="B1015" s="56"/>
      <c r="C1015" s="57"/>
      <c r="D1015" s="56"/>
      <c r="E1015" s="56"/>
      <c r="F1015" s="56"/>
      <c r="G1015" s="50" t="str">
        <f aca="false">IF($A1015="","",IF(ISNUMBER($G1014),$G1014+1,1))</f>
        <v/>
      </c>
      <c r="H1015" s="51" t="str">
        <f aca="false">IF(OR(NOT(ISNUMBER($G1015)),$G1015&lt;2,NOT(ISNUMBER($C1014)),$C1014=0),"",$C1015/$C1014-1)</f>
        <v/>
      </c>
      <c r="I1015" s="52" t="str">
        <f aca="false">IF(AND(ISNUMBER($G1015),$G1015&gt;=MA_SHORT),AVERAGE(INDEX($C$615:$C1015,402-MA_SHORT):$C1015),"")</f>
        <v/>
      </c>
      <c r="J1015" s="52" t="str">
        <f aca="false">IF(AND(ISNUMBER($G1015),$G1015&gt;=MA_MED),AVERAGE(INDEX($C$615:$C1015,402-MA_MED):$C1015),"")</f>
        <v/>
      </c>
      <c r="K1015" s="52" t="str">
        <f aca="false">IF(AND(ISNUMBER($G1015),$G1015&gt;=MA_LONG2),AVERAGE(INDEX($C$615:$C1015,402-MA_LONG2):$C1015),"")</f>
        <v/>
      </c>
      <c r="L1015" s="53" t="str">
        <f aca="false">IF(AND(ISNUMBER($G1015),$G1015&gt;=21),STDEV(INDEX($H$955:$H1015,62-20):$H1015)*SQRT(245),"")</f>
        <v/>
      </c>
      <c r="M1015" s="52" t="str">
        <f aca="false">IF(AND(ISNUMBER($G1015),$G1015&gt;=60),MAX(INDEX($D$815:$D1015,202-60):$D1015),"")</f>
        <v/>
      </c>
      <c r="N1015" s="52" t="str">
        <f aca="false">IF(AND(ISNUMBER($G1015),$G1015&gt;=60),MIN(INDEX($E$815:$E1015,202-60):$E1015),"")</f>
        <v/>
      </c>
      <c r="O1015" s="53" t="str">
        <f aca="false">IF(OR(NOT(ISNUMBER($C1015)),NOT(ISNUMBER($M1015)),$M1015=0),"",$C1015/$M1015-1)</f>
        <v/>
      </c>
      <c r="P1015" s="54"/>
      <c r="Q1015" s="53" t="str">
        <f aca="false">IF(NOT(ISNUMBER($P1015)),"",IFERROR(PERCENTRANK($P$5:$P$1204,$P1015),""))</f>
        <v/>
      </c>
    </row>
    <row r="1016" customFormat="false" ht="15" hidden="false" customHeight="false" outlineLevel="0" collapsed="false">
      <c r="A1016" s="55"/>
      <c r="B1016" s="56"/>
      <c r="C1016" s="57"/>
      <c r="D1016" s="56"/>
      <c r="E1016" s="56"/>
      <c r="F1016" s="56"/>
      <c r="G1016" s="50" t="str">
        <f aca="false">IF($A1016="","",IF(ISNUMBER($G1015),$G1015+1,1))</f>
        <v/>
      </c>
      <c r="H1016" s="51" t="str">
        <f aca="false">IF(OR(NOT(ISNUMBER($G1016)),$G1016&lt;2,NOT(ISNUMBER($C1015)),$C1015=0),"",$C1016/$C1015-1)</f>
        <v/>
      </c>
      <c r="I1016" s="52" t="str">
        <f aca="false">IF(AND(ISNUMBER($G1016),$G1016&gt;=MA_SHORT),AVERAGE(INDEX($C$616:$C1016,402-MA_SHORT):$C1016),"")</f>
        <v/>
      </c>
      <c r="J1016" s="52" t="str">
        <f aca="false">IF(AND(ISNUMBER($G1016),$G1016&gt;=MA_MED),AVERAGE(INDEX($C$616:$C1016,402-MA_MED):$C1016),"")</f>
        <v/>
      </c>
      <c r="K1016" s="52" t="str">
        <f aca="false">IF(AND(ISNUMBER($G1016),$G1016&gt;=MA_LONG2),AVERAGE(INDEX($C$616:$C1016,402-MA_LONG2):$C1016),"")</f>
        <v/>
      </c>
      <c r="L1016" s="53" t="str">
        <f aca="false">IF(AND(ISNUMBER($G1016),$G1016&gt;=21),STDEV(INDEX($H$956:$H1016,62-20):$H1016)*SQRT(245),"")</f>
        <v/>
      </c>
      <c r="M1016" s="52" t="str">
        <f aca="false">IF(AND(ISNUMBER($G1016),$G1016&gt;=60),MAX(INDEX($D$816:$D1016,202-60):$D1016),"")</f>
        <v/>
      </c>
      <c r="N1016" s="52" t="str">
        <f aca="false">IF(AND(ISNUMBER($G1016),$G1016&gt;=60),MIN(INDEX($E$816:$E1016,202-60):$E1016),"")</f>
        <v/>
      </c>
      <c r="O1016" s="53" t="str">
        <f aca="false">IF(OR(NOT(ISNUMBER($C1016)),NOT(ISNUMBER($M1016)),$M1016=0),"",$C1016/$M1016-1)</f>
        <v/>
      </c>
      <c r="P1016" s="54"/>
      <c r="Q1016" s="53" t="str">
        <f aca="false">IF(NOT(ISNUMBER($P1016)),"",IFERROR(PERCENTRANK($P$5:$P$1204,$P1016),""))</f>
        <v/>
      </c>
    </row>
    <row r="1017" customFormat="false" ht="15" hidden="false" customHeight="false" outlineLevel="0" collapsed="false">
      <c r="A1017" s="55"/>
      <c r="B1017" s="56"/>
      <c r="C1017" s="57"/>
      <c r="D1017" s="56"/>
      <c r="E1017" s="56"/>
      <c r="F1017" s="56"/>
      <c r="G1017" s="50" t="str">
        <f aca="false">IF($A1017="","",IF(ISNUMBER($G1016),$G1016+1,1))</f>
        <v/>
      </c>
      <c r="H1017" s="51" t="str">
        <f aca="false">IF(OR(NOT(ISNUMBER($G1017)),$G1017&lt;2,NOT(ISNUMBER($C1016)),$C1016=0),"",$C1017/$C1016-1)</f>
        <v/>
      </c>
      <c r="I1017" s="52" t="str">
        <f aca="false">IF(AND(ISNUMBER($G1017),$G1017&gt;=MA_SHORT),AVERAGE(INDEX($C$617:$C1017,402-MA_SHORT):$C1017),"")</f>
        <v/>
      </c>
      <c r="J1017" s="52" t="str">
        <f aca="false">IF(AND(ISNUMBER($G1017),$G1017&gt;=MA_MED),AVERAGE(INDEX($C$617:$C1017,402-MA_MED):$C1017),"")</f>
        <v/>
      </c>
      <c r="K1017" s="52" t="str">
        <f aca="false">IF(AND(ISNUMBER($G1017),$G1017&gt;=MA_LONG2),AVERAGE(INDEX($C$617:$C1017,402-MA_LONG2):$C1017),"")</f>
        <v/>
      </c>
      <c r="L1017" s="53" t="str">
        <f aca="false">IF(AND(ISNUMBER($G1017),$G1017&gt;=21),STDEV(INDEX($H$957:$H1017,62-20):$H1017)*SQRT(245),"")</f>
        <v/>
      </c>
      <c r="M1017" s="52" t="str">
        <f aca="false">IF(AND(ISNUMBER($G1017),$G1017&gt;=60),MAX(INDEX($D$817:$D1017,202-60):$D1017),"")</f>
        <v/>
      </c>
      <c r="N1017" s="52" t="str">
        <f aca="false">IF(AND(ISNUMBER($G1017),$G1017&gt;=60),MIN(INDEX($E$817:$E1017,202-60):$E1017),"")</f>
        <v/>
      </c>
      <c r="O1017" s="53" t="str">
        <f aca="false">IF(OR(NOT(ISNUMBER($C1017)),NOT(ISNUMBER($M1017)),$M1017=0),"",$C1017/$M1017-1)</f>
        <v/>
      </c>
      <c r="P1017" s="54"/>
      <c r="Q1017" s="53" t="str">
        <f aca="false">IF(NOT(ISNUMBER($P1017)),"",IFERROR(PERCENTRANK($P$5:$P$1204,$P1017),""))</f>
        <v/>
      </c>
    </row>
    <row r="1018" customFormat="false" ht="15" hidden="false" customHeight="false" outlineLevel="0" collapsed="false">
      <c r="A1018" s="55"/>
      <c r="B1018" s="56"/>
      <c r="C1018" s="57"/>
      <c r="D1018" s="56"/>
      <c r="E1018" s="56"/>
      <c r="F1018" s="56"/>
      <c r="G1018" s="50" t="str">
        <f aca="false">IF($A1018="","",IF(ISNUMBER($G1017),$G1017+1,1))</f>
        <v/>
      </c>
      <c r="H1018" s="51" t="str">
        <f aca="false">IF(OR(NOT(ISNUMBER($G1018)),$G1018&lt;2,NOT(ISNUMBER($C1017)),$C1017=0),"",$C1018/$C1017-1)</f>
        <v/>
      </c>
      <c r="I1018" s="52" t="str">
        <f aca="false">IF(AND(ISNUMBER($G1018),$G1018&gt;=MA_SHORT),AVERAGE(INDEX($C$618:$C1018,402-MA_SHORT):$C1018),"")</f>
        <v/>
      </c>
      <c r="J1018" s="52" t="str">
        <f aca="false">IF(AND(ISNUMBER($G1018),$G1018&gt;=MA_MED),AVERAGE(INDEX($C$618:$C1018,402-MA_MED):$C1018),"")</f>
        <v/>
      </c>
      <c r="K1018" s="52" t="str">
        <f aca="false">IF(AND(ISNUMBER($G1018),$G1018&gt;=MA_LONG2),AVERAGE(INDEX($C$618:$C1018,402-MA_LONG2):$C1018),"")</f>
        <v/>
      </c>
      <c r="L1018" s="53" t="str">
        <f aca="false">IF(AND(ISNUMBER($G1018),$G1018&gt;=21),STDEV(INDEX($H$958:$H1018,62-20):$H1018)*SQRT(245),"")</f>
        <v/>
      </c>
      <c r="M1018" s="52" t="str">
        <f aca="false">IF(AND(ISNUMBER($G1018),$G1018&gt;=60),MAX(INDEX($D$818:$D1018,202-60):$D1018),"")</f>
        <v/>
      </c>
      <c r="N1018" s="52" t="str">
        <f aca="false">IF(AND(ISNUMBER($G1018),$G1018&gt;=60),MIN(INDEX($E$818:$E1018,202-60):$E1018),"")</f>
        <v/>
      </c>
      <c r="O1018" s="53" t="str">
        <f aca="false">IF(OR(NOT(ISNUMBER($C1018)),NOT(ISNUMBER($M1018)),$M1018=0),"",$C1018/$M1018-1)</f>
        <v/>
      </c>
      <c r="P1018" s="54"/>
      <c r="Q1018" s="53" t="str">
        <f aca="false">IF(NOT(ISNUMBER($P1018)),"",IFERROR(PERCENTRANK($P$5:$P$1204,$P1018),""))</f>
        <v/>
      </c>
    </row>
    <row r="1019" customFormat="false" ht="15" hidden="false" customHeight="false" outlineLevel="0" collapsed="false">
      <c r="A1019" s="55"/>
      <c r="B1019" s="56"/>
      <c r="C1019" s="57"/>
      <c r="D1019" s="56"/>
      <c r="E1019" s="56"/>
      <c r="F1019" s="56"/>
      <c r="G1019" s="50" t="str">
        <f aca="false">IF($A1019="","",IF(ISNUMBER($G1018),$G1018+1,1))</f>
        <v/>
      </c>
      <c r="H1019" s="51" t="str">
        <f aca="false">IF(OR(NOT(ISNUMBER($G1019)),$G1019&lt;2,NOT(ISNUMBER($C1018)),$C1018=0),"",$C1019/$C1018-1)</f>
        <v/>
      </c>
      <c r="I1019" s="52" t="str">
        <f aca="false">IF(AND(ISNUMBER($G1019),$G1019&gt;=MA_SHORT),AVERAGE(INDEX($C$619:$C1019,402-MA_SHORT):$C1019),"")</f>
        <v/>
      </c>
      <c r="J1019" s="52" t="str">
        <f aca="false">IF(AND(ISNUMBER($G1019),$G1019&gt;=MA_MED),AVERAGE(INDEX($C$619:$C1019,402-MA_MED):$C1019),"")</f>
        <v/>
      </c>
      <c r="K1019" s="52" t="str">
        <f aca="false">IF(AND(ISNUMBER($G1019),$G1019&gt;=MA_LONG2),AVERAGE(INDEX($C$619:$C1019,402-MA_LONG2):$C1019),"")</f>
        <v/>
      </c>
      <c r="L1019" s="53" t="str">
        <f aca="false">IF(AND(ISNUMBER($G1019),$G1019&gt;=21),STDEV(INDEX($H$959:$H1019,62-20):$H1019)*SQRT(245),"")</f>
        <v/>
      </c>
      <c r="M1019" s="52" t="str">
        <f aca="false">IF(AND(ISNUMBER($G1019),$G1019&gt;=60),MAX(INDEX($D$819:$D1019,202-60):$D1019),"")</f>
        <v/>
      </c>
      <c r="N1019" s="52" t="str">
        <f aca="false">IF(AND(ISNUMBER($G1019),$G1019&gt;=60),MIN(INDEX($E$819:$E1019,202-60):$E1019),"")</f>
        <v/>
      </c>
      <c r="O1019" s="53" t="str">
        <f aca="false">IF(OR(NOT(ISNUMBER($C1019)),NOT(ISNUMBER($M1019)),$M1019=0),"",$C1019/$M1019-1)</f>
        <v/>
      </c>
      <c r="P1019" s="54"/>
      <c r="Q1019" s="53" t="str">
        <f aca="false">IF(NOT(ISNUMBER($P1019)),"",IFERROR(PERCENTRANK($P$5:$P$1204,$P1019),""))</f>
        <v/>
      </c>
    </row>
    <row r="1020" customFormat="false" ht="15" hidden="false" customHeight="false" outlineLevel="0" collapsed="false">
      <c r="A1020" s="55"/>
      <c r="B1020" s="56"/>
      <c r="C1020" s="57"/>
      <c r="D1020" s="56"/>
      <c r="E1020" s="56"/>
      <c r="F1020" s="56"/>
      <c r="G1020" s="50" t="str">
        <f aca="false">IF($A1020="","",IF(ISNUMBER($G1019),$G1019+1,1))</f>
        <v/>
      </c>
      <c r="H1020" s="51" t="str">
        <f aca="false">IF(OR(NOT(ISNUMBER($G1020)),$G1020&lt;2,NOT(ISNUMBER($C1019)),$C1019=0),"",$C1020/$C1019-1)</f>
        <v/>
      </c>
      <c r="I1020" s="52" t="str">
        <f aca="false">IF(AND(ISNUMBER($G1020),$G1020&gt;=MA_SHORT),AVERAGE(INDEX($C$620:$C1020,402-MA_SHORT):$C1020),"")</f>
        <v/>
      </c>
      <c r="J1020" s="52" t="str">
        <f aca="false">IF(AND(ISNUMBER($G1020),$G1020&gt;=MA_MED),AVERAGE(INDEX($C$620:$C1020,402-MA_MED):$C1020),"")</f>
        <v/>
      </c>
      <c r="K1020" s="52" t="str">
        <f aca="false">IF(AND(ISNUMBER($G1020),$G1020&gt;=MA_LONG2),AVERAGE(INDEX($C$620:$C1020,402-MA_LONG2):$C1020),"")</f>
        <v/>
      </c>
      <c r="L1020" s="53" t="str">
        <f aca="false">IF(AND(ISNUMBER($G1020),$G1020&gt;=21),STDEV(INDEX($H$960:$H1020,62-20):$H1020)*SQRT(245),"")</f>
        <v/>
      </c>
      <c r="M1020" s="52" t="str">
        <f aca="false">IF(AND(ISNUMBER($G1020),$G1020&gt;=60),MAX(INDEX($D$820:$D1020,202-60):$D1020),"")</f>
        <v/>
      </c>
      <c r="N1020" s="52" t="str">
        <f aca="false">IF(AND(ISNUMBER($G1020),$G1020&gt;=60),MIN(INDEX($E$820:$E1020,202-60):$E1020),"")</f>
        <v/>
      </c>
      <c r="O1020" s="53" t="str">
        <f aca="false">IF(OR(NOT(ISNUMBER($C1020)),NOT(ISNUMBER($M1020)),$M1020=0),"",$C1020/$M1020-1)</f>
        <v/>
      </c>
      <c r="P1020" s="54"/>
      <c r="Q1020" s="53" t="str">
        <f aca="false">IF(NOT(ISNUMBER($P1020)),"",IFERROR(PERCENTRANK($P$5:$P$1204,$P1020),""))</f>
        <v/>
      </c>
    </row>
    <row r="1021" customFormat="false" ht="15" hidden="false" customHeight="false" outlineLevel="0" collapsed="false">
      <c r="A1021" s="55"/>
      <c r="B1021" s="56"/>
      <c r="C1021" s="57"/>
      <c r="D1021" s="56"/>
      <c r="E1021" s="56"/>
      <c r="F1021" s="56"/>
      <c r="G1021" s="50" t="str">
        <f aca="false">IF($A1021="","",IF(ISNUMBER($G1020),$G1020+1,1))</f>
        <v/>
      </c>
      <c r="H1021" s="51" t="str">
        <f aca="false">IF(OR(NOT(ISNUMBER($G1021)),$G1021&lt;2,NOT(ISNUMBER($C1020)),$C1020=0),"",$C1021/$C1020-1)</f>
        <v/>
      </c>
      <c r="I1021" s="52" t="str">
        <f aca="false">IF(AND(ISNUMBER($G1021),$G1021&gt;=MA_SHORT),AVERAGE(INDEX($C$621:$C1021,402-MA_SHORT):$C1021),"")</f>
        <v/>
      </c>
      <c r="J1021" s="52" t="str">
        <f aca="false">IF(AND(ISNUMBER($G1021),$G1021&gt;=MA_MED),AVERAGE(INDEX($C$621:$C1021,402-MA_MED):$C1021),"")</f>
        <v/>
      </c>
      <c r="K1021" s="52" t="str">
        <f aca="false">IF(AND(ISNUMBER($G1021),$G1021&gt;=MA_LONG2),AVERAGE(INDEX($C$621:$C1021,402-MA_LONG2):$C1021),"")</f>
        <v/>
      </c>
      <c r="L1021" s="53" t="str">
        <f aca="false">IF(AND(ISNUMBER($G1021),$G1021&gt;=21),STDEV(INDEX($H$961:$H1021,62-20):$H1021)*SQRT(245),"")</f>
        <v/>
      </c>
      <c r="M1021" s="52" t="str">
        <f aca="false">IF(AND(ISNUMBER($G1021),$G1021&gt;=60),MAX(INDEX($D$821:$D1021,202-60):$D1021),"")</f>
        <v/>
      </c>
      <c r="N1021" s="52" t="str">
        <f aca="false">IF(AND(ISNUMBER($G1021),$G1021&gt;=60),MIN(INDEX($E$821:$E1021,202-60):$E1021),"")</f>
        <v/>
      </c>
      <c r="O1021" s="53" t="str">
        <f aca="false">IF(OR(NOT(ISNUMBER($C1021)),NOT(ISNUMBER($M1021)),$M1021=0),"",$C1021/$M1021-1)</f>
        <v/>
      </c>
      <c r="P1021" s="54"/>
      <c r="Q1021" s="53" t="str">
        <f aca="false">IF(NOT(ISNUMBER($P1021)),"",IFERROR(PERCENTRANK($P$5:$P$1204,$P1021),""))</f>
        <v/>
      </c>
    </row>
    <row r="1022" customFormat="false" ht="15" hidden="false" customHeight="false" outlineLevel="0" collapsed="false">
      <c r="A1022" s="55"/>
      <c r="B1022" s="56"/>
      <c r="C1022" s="57"/>
      <c r="D1022" s="56"/>
      <c r="E1022" s="56"/>
      <c r="F1022" s="56"/>
      <c r="G1022" s="50" t="str">
        <f aca="false">IF($A1022="","",IF(ISNUMBER($G1021),$G1021+1,1))</f>
        <v/>
      </c>
      <c r="H1022" s="51" t="str">
        <f aca="false">IF(OR(NOT(ISNUMBER($G1022)),$G1022&lt;2,NOT(ISNUMBER($C1021)),$C1021=0),"",$C1022/$C1021-1)</f>
        <v/>
      </c>
      <c r="I1022" s="52" t="str">
        <f aca="false">IF(AND(ISNUMBER($G1022),$G1022&gt;=MA_SHORT),AVERAGE(INDEX($C$622:$C1022,402-MA_SHORT):$C1022),"")</f>
        <v/>
      </c>
      <c r="J1022" s="52" t="str">
        <f aca="false">IF(AND(ISNUMBER($G1022),$G1022&gt;=MA_MED),AVERAGE(INDEX($C$622:$C1022,402-MA_MED):$C1022),"")</f>
        <v/>
      </c>
      <c r="K1022" s="52" t="str">
        <f aca="false">IF(AND(ISNUMBER($G1022),$G1022&gt;=MA_LONG2),AVERAGE(INDEX($C$622:$C1022,402-MA_LONG2):$C1022),"")</f>
        <v/>
      </c>
      <c r="L1022" s="53" t="str">
        <f aca="false">IF(AND(ISNUMBER($G1022),$G1022&gt;=21),STDEV(INDEX($H$962:$H1022,62-20):$H1022)*SQRT(245),"")</f>
        <v/>
      </c>
      <c r="M1022" s="52" t="str">
        <f aca="false">IF(AND(ISNUMBER($G1022),$G1022&gt;=60),MAX(INDEX($D$822:$D1022,202-60):$D1022),"")</f>
        <v/>
      </c>
      <c r="N1022" s="52" t="str">
        <f aca="false">IF(AND(ISNUMBER($G1022),$G1022&gt;=60),MIN(INDEX($E$822:$E1022,202-60):$E1022),"")</f>
        <v/>
      </c>
      <c r="O1022" s="53" t="str">
        <f aca="false">IF(OR(NOT(ISNUMBER($C1022)),NOT(ISNUMBER($M1022)),$M1022=0),"",$C1022/$M1022-1)</f>
        <v/>
      </c>
      <c r="P1022" s="54"/>
      <c r="Q1022" s="53" t="str">
        <f aca="false">IF(NOT(ISNUMBER($P1022)),"",IFERROR(PERCENTRANK($P$5:$P$1204,$P1022),""))</f>
        <v/>
      </c>
    </row>
    <row r="1023" customFormat="false" ht="15" hidden="false" customHeight="false" outlineLevel="0" collapsed="false">
      <c r="A1023" s="55"/>
      <c r="B1023" s="56"/>
      <c r="C1023" s="57"/>
      <c r="D1023" s="56"/>
      <c r="E1023" s="56"/>
      <c r="F1023" s="56"/>
      <c r="G1023" s="50" t="str">
        <f aca="false">IF($A1023="","",IF(ISNUMBER($G1022),$G1022+1,1))</f>
        <v/>
      </c>
      <c r="H1023" s="51" t="str">
        <f aca="false">IF(OR(NOT(ISNUMBER($G1023)),$G1023&lt;2,NOT(ISNUMBER($C1022)),$C1022=0),"",$C1023/$C1022-1)</f>
        <v/>
      </c>
      <c r="I1023" s="52" t="str">
        <f aca="false">IF(AND(ISNUMBER($G1023),$G1023&gt;=MA_SHORT),AVERAGE(INDEX($C$623:$C1023,402-MA_SHORT):$C1023),"")</f>
        <v/>
      </c>
      <c r="J1023" s="52" t="str">
        <f aca="false">IF(AND(ISNUMBER($G1023),$G1023&gt;=MA_MED),AVERAGE(INDEX($C$623:$C1023,402-MA_MED):$C1023),"")</f>
        <v/>
      </c>
      <c r="K1023" s="52" t="str">
        <f aca="false">IF(AND(ISNUMBER($G1023),$G1023&gt;=MA_LONG2),AVERAGE(INDEX($C$623:$C1023,402-MA_LONG2):$C1023),"")</f>
        <v/>
      </c>
      <c r="L1023" s="53" t="str">
        <f aca="false">IF(AND(ISNUMBER($G1023),$G1023&gt;=21),STDEV(INDEX($H$963:$H1023,62-20):$H1023)*SQRT(245),"")</f>
        <v/>
      </c>
      <c r="M1023" s="52" t="str">
        <f aca="false">IF(AND(ISNUMBER($G1023),$G1023&gt;=60),MAX(INDEX($D$823:$D1023,202-60):$D1023),"")</f>
        <v/>
      </c>
      <c r="N1023" s="52" t="str">
        <f aca="false">IF(AND(ISNUMBER($G1023),$G1023&gt;=60),MIN(INDEX($E$823:$E1023,202-60):$E1023),"")</f>
        <v/>
      </c>
      <c r="O1023" s="53" t="str">
        <f aca="false">IF(OR(NOT(ISNUMBER($C1023)),NOT(ISNUMBER($M1023)),$M1023=0),"",$C1023/$M1023-1)</f>
        <v/>
      </c>
      <c r="P1023" s="54"/>
      <c r="Q1023" s="53" t="str">
        <f aca="false">IF(NOT(ISNUMBER($P1023)),"",IFERROR(PERCENTRANK($P$5:$P$1204,$P1023),""))</f>
        <v/>
      </c>
    </row>
    <row r="1024" customFormat="false" ht="15" hidden="false" customHeight="false" outlineLevel="0" collapsed="false">
      <c r="A1024" s="55"/>
      <c r="B1024" s="56"/>
      <c r="C1024" s="57"/>
      <c r="D1024" s="56"/>
      <c r="E1024" s="56"/>
      <c r="F1024" s="56"/>
      <c r="G1024" s="50" t="str">
        <f aca="false">IF($A1024="","",IF(ISNUMBER($G1023),$G1023+1,1))</f>
        <v/>
      </c>
      <c r="H1024" s="51" t="str">
        <f aca="false">IF(OR(NOT(ISNUMBER($G1024)),$G1024&lt;2,NOT(ISNUMBER($C1023)),$C1023=0),"",$C1024/$C1023-1)</f>
        <v/>
      </c>
      <c r="I1024" s="52" t="str">
        <f aca="false">IF(AND(ISNUMBER($G1024),$G1024&gt;=MA_SHORT),AVERAGE(INDEX($C$624:$C1024,402-MA_SHORT):$C1024),"")</f>
        <v/>
      </c>
      <c r="J1024" s="52" t="str">
        <f aca="false">IF(AND(ISNUMBER($G1024),$G1024&gt;=MA_MED),AVERAGE(INDEX($C$624:$C1024,402-MA_MED):$C1024),"")</f>
        <v/>
      </c>
      <c r="K1024" s="52" t="str">
        <f aca="false">IF(AND(ISNUMBER($G1024),$G1024&gt;=MA_LONG2),AVERAGE(INDEX($C$624:$C1024,402-MA_LONG2):$C1024),"")</f>
        <v/>
      </c>
      <c r="L1024" s="53" t="str">
        <f aca="false">IF(AND(ISNUMBER($G1024),$G1024&gt;=21),STDEV(INDEX($H$964:$H1024,62-20):$H1024)*SQRT(245),"")</f>
        <v/>
      </c>
      <c r="M1024" s="52" t="str">
        <f aca="false">IF(AND(ISNUMBER($G1024),$G1024&gt;=60),MAX(INDEX($D$824:$D1024,202-60):$D1024),"")</f>
        <v/>
      </c>
      <c r="N1024" s="52" t="str">
        <f aca="false">IF(AND(ISNUMBER($G1024),$G1024&gt;=60),MIN(INDEX($E$824:$E1024,202-60):$E1024),"")</f>
        <v/>
      </c>
      <c r="O1024" s="53" t="str">
        <f aca="false">IF(OR(NOT(ISNUMBER($C1024)),NOT(ISNUMBER($M1024)),$M1024=0),"",$C1024/$M1024-1)</f>
        <v/>
      </c>
      <c r="P1024" s="54"/>
      <c r="Q1024" s="53" t="str">
        <f aca="false">IF(NOT(ISNUMBER($P1024)),"",IFERROR(PERCENTRANK($P$5:$P$1204,$P1024),""))</f>
        <v/>
      </c>
    </row>
    <row r="1025" customFormat="false" ht="15" hidden="false" customHeight="false" outlineLevel="0" collapsed="false">
      <c r="A1025" s="55"/>
      <c r="B1025" s="56"/>
      <c r="C1025" s="57"/>
      <c r="D1025" s="56"/>
      <c r="E1025" s="56"/>
      <c r="F1025" s="56"/>
      <c r="G1025" s="50" t="str">
        <f aca="false">IF($A1025="","",IF(ISNUMBER($G1024),$G1024+1,1))</f>
        <v/>
      </c>
      <c r="H1025" s="51" t="str">
        <f aca="false">IF(OR(NOT(ISNUMBER($G1025)),$G1025&lt;2,NOT(ISNUMBER($C1024)),$C1024=0),"",$C1025/$C1024-1)</f>
        <v/>
      </c>
      <c r="I1025" s="52" t="str">
        <f aca="false">IF(AND(ISNUMBER($G1025),$G1025&gt;=MA_SHORT),AVERAGE(INDEX($C$625:$C1025,402-MA_SHORT):$C1025),"")</f>
        <v/>
      </c>
      <c r="J1025" s="52" t="str">
        <f aca="false">IF(AND(ISNUMBER($G1025),$G1025&gt;=MA_MED),AVERAGE(INDEX($C$625:$C1025,402-MA_MED):$C1025),"")</f>
        <v/>
      </c>
      <c r="K1025" s="52" t="str">
        <f aca="false">IF(AND(ISNUMBER($G1025),$G1025&gt;=MA_LONG2),AVERAGE(INDEX($C$625:$C1025,402-MA_LONG2):$C1025),"")</f>
        <v/>
      </c>
      <c r="L1025" s="53" t="str">
        <f aca="false">IF(AND(ISNUMBER($G1025),$G1025&gt;=21),STDEV(INDEX($H$965:$H1025,62-20):$H1025)*SQRT(245),"")</f>
        <v/>
      </c>
      <c r="M1025" s="52" t="str">
        <f aca="false">IF(AND(ISNUMBER($G1025),$G1025&gt;=60),MAX(INDEX($D$825:$D1025,202-60):$D1025),"")</f>
        <v/>
      </c>
      <c r="N1025" s="52" t="str">
        <f aca="false">IF(AND(ISNUMBER($G1025),$G1025&gt;=60),MIN(INDEX($E$825:$E1025,202-60):$E1025),"")</f>
        <v/>
      </c>
      <c r="O1025" s="53" t="str">
        <f aca="false">IF(OR(NOT(ISNUMBER($C1025)),NOT(ISNUMBER($M1025)),$M1025=0),"",$C1025/$M1025-1)</f>
        <v/>
      </c>
      <c r="P1025" s="54"/>
      <c r="Q1025" s="53" t="str">
        <f aca="false">IF(NOT(ISNUMBER($P1025)),"",IFERROR(PERCENTRANK($P$5:$P$1204,$P1025),""))</f>
        <v/>
      </c>
    </row>
    <row r="1026" customFormat="false" ht="15" hidden="false" customHeight="false" outlineLevel="0" collapsed="false">
      <c r="A1026" s="55"/>
      <c r="B1026" s="56"/>
      <c r="C1026" s="57"/>
      <c r="D1026" s="56"/>
      <c r="E1026" s="56"/>
      <c r="F1026" s="56"/>
      <c r="G1026" s="50" t="str">
        <f aca="false">IF($A1026="","",IF(ISNUMBER($G1025),$G1025+1,1))</f>
        <v/>
      </c>
      <c r="H1026" s="51" t="str">
        <f aca="false">IF(OR(NOT(ISNUMBER($G1026)),$G1026&lt;2,NOT(ISNUMBER($C1025)),$C1025=0),"",$C1026/$C1025-1)</f>
        <v/>
      </c>
      <c r="I1026" s="52" t="str">
        <f aca="false">IF(AND(ISNUMBER($G1026),$G1026&gt;=MA_SHORT),AVERAGE(INDEX($C$626:$C1026,402-MA_SHORT):$C1026),"")</f>
        <v/>
      </c>
      <c r="J1026" s="52" t="str">
        <f aca="false">IF(AND(ISNUMBER($G1026),$G1026&gt;=MA_MED),AVERAGE(INDEX($C$626:$C1026,402-MA_MED):$C1026),"")</f>
        <v/>
      </c>
      <c r="K1026" s="52" t="str">
        <f aca="false">IF(AND(ISNUMBER($G1026),$G1026&gt;=MA_LONG2),AVERAGE(INDEX($C$626:$C1026,402-MA_LONG2):$C1026),"")</f>
        <v/>
      </c>
      <c r="L1026" s="53" t="str">
        <f aca="false">IF(AND(ISNUMBER($G1026),$G1026&gt;=21),STDEV(INDEX($H$966:$H1026,62-20):$H1026)*SQRT(245),"")</f>
        <v/>
      </c>
      <c r="M1026" s="52" t="str">
        <f aca="false">IF(AND(ISNUMBER($G1026),$G1026&gt;=60),MAX(INDEX($D$826:$D1026,202-60):$D1026),"")</f>
        <v/>
      </c>
      <c r="N1026" s="52" t="str">
        <f aca="false">IF(AND(ISNUMBER($G1026),$G1026&gt;=60),MIN(INDEX($E$826:$E1026,202-60):$E1026),"")</f>
        <v/>
      </c>
      <c r="O1026" s="53" t="str">
        <f aca="false">IF(OR(NOT(ISNUMBER($C1026)),NOT(ISNUMBER($M1026)),$M1026=0),"",$C1026/$M1026-1)</f>
        <v/>
      </c>
      <c r="P1026" s="54"/>
      <c r="Q1026" s="53" t="str">
        <f aca="false">IF(NOT(ISNUMBER($P1026)),"",IFERROR(PERCENTRANK($P$5:$P$1204,$P1026),""))</f>
        <v/>
      </c>
    </row>
    <row r="1027" customFormat="false" ht="15" hidden="false" customHeight="false" outlineLevel="0" collapsed="false">
      <c r="A1027" s="55"/>
      <c r="B1027" s="56"/>
      <c r="C1027" s="57"/>
      <c r="D1027" s="56"/>
      <c r="E1027" s="56"/>
      <c r="F1027" s="56"/>
      <c r="G1027" s="50" t="str">
        <f aca="false">IF($A1027="","",IF(ISNUMBER($G1026),$G1026+1,1))</f>
        <v/>
      </c>
      <c r="H1027" s="51" t="str">
        <f aca="false">IF(OR(NOT(ISNUMBER($G1027)),$G1027&lt;2,NOT(ISNUMBER($C1026)),$C1026=0),"",$C1027/$C1026-1)</f>
        <v/>
      </c>
      <c r="I1027" s="52" t="str">
        <f aca="false">IF(AND(ISNUMBER($G1027),$G1027&gt;=MA_SHORT),AVERAGE(INDEX($C$627:$C1027,402-MA_SHORT):$C1027),"")</f>
        <v/>
      </c>
      <c r="J1027" s="52" t="str">
        <f aca="false">IF(AND(ISNUMBER($G1027),$G1027&gt;=MA_MED),AVERAGE(INDEX($C$627:$C1027,402-MA_MED):$C1027),"")</f>
        <v/>
      </c>
      <c r="K1027" s="52" t="str">
        <f aca="false">IF(AND(ISNUMBER($G1027),$G1027&gt;=MA_LONG2),AVERAGE(INDEX($C$627:$C1027,402-MA_LONG2):$C1027),"")</f>
        <v/>
      </c>
      <c r="L1027" s="53" t="str">
        <f aca="false">IF(AND(ISNUMBER($G1027),$G1027&gt;=21),STDEV(INDEX($H$967:$H1027,62-20):$H1027)*SQRT(245),"")</f>
        <v/>
      </c>
      <c r="M1027" s="52" t="str">
        <f aca="false">IF(AND(ISNUMBER($G1027),$G1027&gt;=60),MAX(INDEX($D$827:$D1027,202-60):$D1027),"")</f>
        <v/>
      </c>
      <c r="N1027" s="52" t="str">
        <f aca="false">IF(AND(ISNUMBER($G1027),$G1027&gt;=60),MIN(INDEX($E$827:$E1027,202-60):$E1027),"")</f>
        <v/>
      </c>
      <c r="O1027" s="53" t="str">
        <f aca="false">IF(OR(NOT(ISNUMBER($C1027)),NOT(ISNUMBER($M1027)),$M1027=0),"",$C1027/$M1027-1)</f>
        <v/>
      </c>
      <c r="P1027" s="54"/>
      <c r="Q1027" s="53" t="str">
        <f aca="false">IF(NOT(ISNUMBER($P1027)),"",IFERROR(PERCENTRANK($P$5:$P$1204,$P1027),""))</f>
        <v/>
      </c>
    </row>
    <row r="1028" customFormat="false" ht="15" hidden="false" customHeight="false" outlineLevel="0" collapsed="false">
      <c r="A1028" s="55"/>
      <c r="B1028" s="56"/>
      <c r="C1028" s="57"/>
      <c r="D1028" s="56"/>
      <c r="E1028" s="56"/>
      <c r="F1028" s="56"/>
      <c r="G1028" s="50" t="str">
        <f aca="false">IF($A1028="","",IF(ISNUMBER($G1027),$G1027+1,1))</f>
        <v/>
      </c>
      <c r="H1028" s="51" t="str">
        <f aca="false">IF(OR(NOT(ISNUMBER($G1028)),$G1028&lt;2,NOT(ISNUMBER($C1027)),$C1027=0),"",$C1028/$C1027-1)</f>
        <v/>
      </c>
      <c r="I1028" s="52" t="str">
        <f aca="false">IF(AND(ISNUMBER($G1028),$G1028&gt;=MA_SHORT),AVERAGE(INDEX($C$628:$C1028,402-MA_SHORT):$C1028),"")</f>
        <v/>
      </c>
      <c r="J1028" s="52" t="str">
        <f aca="false">IF(AND(ISNUMBER($G1028),$G1028&gt;=MA_MED),AVERAGE(INDEX($C$628:$C1028,402-MA_MED):$C1028),"")</f>
        <v/>
      </c>
      <c r="K1028" s="52" t="str">
        <f aca="false">IF(AND(ISNUMBER($G1028),$G1028&gt;=MA_LONG2),AVERAGE(INDEX($C$628:$C1028,402-MA_LONG2):$C1028),"")</f>
        <v/>
      </c>
      <c r="L1028" s="53" t="str">
        <f aca="false">IF(AND(ISNUMBER($G1028),$G1028&gt;=21),STDEV(INDEX($H$968:$H1028,62-20):$H1028)*SQRT(245),"")</f>
        <v/>
      </c>
      <c r="M1028" s="52" t="str">
        <f aca="false">IF(AND(ISNUMBER($G1028),$G1028&gt;=60),MAX(INDEX($D$828:$D1028,202-60):$D1028),"")</f>
        <v/>
      </c>
      <c r="N1028" s="52" t="str">
        <f aca="false">IF(AND(ISNUMBER($G1028),$G1028&gt;=60),MIN(INDEX($E$828:$E1028,202-60):$E1028),"")</f>
        <v/>
      </c>
      <c r="O1028" s="53" t="str">
        <f aca="false">IF(OR(NOT(ISNUMBER($C1028)),NOT(ISNUMBER($M1028)),$M1028=0),"",$C1028/$M1028-1)</f>
        <v/>
      </c>
      <c r="P1028" s="54"/>
      <c r="Q1028" s="53" t="str">
        <f aca="false">IF(NOT(ISNUMBER($P1028)),"",IFERROR(PERCENTRANK($P$5:$P$1204,$P1028),""))</f>
        <v/>
      </c>
    </row>
    <row r="1029" customFormat="false" ht="15" hidden="false" customHeight="false" outlineLevel="0" collapsed="false">
      <c r="A1029" s="55"/>
      <c r="B1029" s="56"/>
      <c r="C1029" s="57"/>
      <c r="D1029" s="56"/>
      <c r="E1029" s="56"/>
      <c r="F1029" s="56"/>
      <c r="G1029" s="50" t="str">
        <f aca="false">IF($A1029="","",IF(ISNUMBER($G1028),$G1028+1,1))</f>
        <v/>
      </c>
      <c r="H1029" s="51" t="str">
        <f aca="false">IF(OR(NOT(ISNUMBER($G1029)),$G1029&lt;2,NOT(ISNUMBER($C1028)),$C1028=0),"",$C1029/$C1028-1)</f>
        <v/>
      </c>
      <c r="I1029" s="52" t="str">
        <f aca="false">IF(AND(ISNUMBER($G1029),$G1029&gt;=MA_SHORT),AVERAGE(INDEX($C$629:$C1029,402-MA_SHORT):$C1029),"")</f>
        <v/>
      </c>
      <c r="J1029" s="52" t="str">
        <f aca="false">IF(AND(ISNUMBER($G1029),$G1029&gt;=MA_MED),AVERAGE(INDEX($C$629:$C1029,402-MA_MED):$C1029),"")</f>
        <v/>
      </c>
      <c r="K1029" s="52" t="str">
        <f aca="false">IF(AND(ISNUMBER($G1029),$G1029&gt;=MA_LONG2),AVERAGE(INDEX($C$629:$C1029,402-MA_LONG2):$C1029),"")</f>
        <v/>
      </c>
      <c r="L1029" s="53" t="str">
        <f aca="false">IF(AND(ISNUMBER($G1029),$G1029&gt;=21),STDEV(INDEX($H$969:$H1029,62-20):$H1029)*SQRT(245),"")</f>
        <v/>
      </c>
      <c r="M1029" s="52" t="str">
        <f aca="false">IF(AND(ISNUMBER($G1029),$G1029&gt;=60),MAX(INDEX($D$829:$D1029,202-60):$D1029),"")</f>
        <v/>
      </c>
      <c r="N1029" s="52" t="str">
        <f aca="false">IF(AND(ISNUMBER($G1029),$G1029&gt;=60),MIN(INDEX($E$829:$E1029,202-60):$E1029),"")</f>
        <v/>
      </c>
      <c r="O1029" s="53" t="str">
        <f aca="false">IF(OR(NOT(ISNUMBER($C1029)),NOT(ISNUMBER($M1029)),$M1029=0),"",$C1029/$M1029-1)</f>
        <v/>
      </c>
      <c r="P1029" s="54"/>
      <c r="Q1029" s="53" t="str">
        <f aca="false">IF(NOT(ISNUMBER($P1029)),"",IFERROR(PERCENTRANK($P$5:$P$1204,$P1029),""))</f>
        <v/>
      </c>
    </row>
    <row r="1030" customFormat="false" ht="15" hidden="false" customHeight="false" outlineLevel="0" collapsed="false">
      <c r="A1030" s="55"/>
      <c r="B1030" s="56"/>
      <c r="C1030" s="57"/>
      <c r="D1030" s="56"/>
      <c r="E1030" s="56"/>
      <c r="F1030" s="56"/>
      <c r="G1030" s="50" t="str">
        <f aca="false">IF($A1030="","",IF(ISNUMBER($G1029),$G1029+1,1))</f>
        <v/>
      </c>
      <c r="H1030" s="51" t="str">
        <f aca="false">IF(OR(NOT(ISNUMBER($G1030)),$G1030&lt;2,NOT(ISNUMBER($C1029)),$C1029=0),"",$C1030/$C1029-1)</f>
        <v/>
      </c>
      <c r="I1030" s="52" t="str">
        <f aca="false">IF(AND(ISNUMBER($G1030),$G1030&gt;=MA_SHORT),AVERAGE(INDEX($C$630:$C1030,402-MA_SHORT):$C1030),"")</f>
        <v/>
      </c>
      <c r="J1030" s="52" t="str">
        <f aca="false">IF(AND(ISNUMBER($G1030),$G1030&gt;=MA_MED),AVERAGE(INDEX($C$630:$C1030,402-MA_MED):$C1030),"")</f>
        <v/>
      </c>
      <c r="K1030" s="52" t="str">
        <f aca="false">IF(AND(ISNUMBER($G1030),$G1030&gt;=MA_LONG2),AVERAGE(INDEX($C$630:$C1030,402-MA_LONG2):$C1030),"")</f>
        <v/>
      </c>
      <c r="L1030" s="53" t="str">
        <f aca="false">IF(AND(ISNUMBER($G1030),$G1030&gt;=21),STDEV(INDEX($H$970:$H1030,62-20):$H1030)*SQRT(245),"")</f>
        <v/>
      </c>
      <c r="M1030" s="52" t="str">
        <f aca="false">IF(AND(ISNUMBER($G1030),$G1030&gt;=60),MAX(INDEX($D$830:$D1030,202-60):$D1030),"")</f>
        <v/>
      </c>
      <c r="N1030" s="52" t="str">
        <f aca="false">IF(AND(ISNUMBER($G1030),$G1030&gt;=60),MIN(INDEX($E$830:$E1030,202-60):$E1030),"")</f>
        <v/>
      </c>
      <c r="O1030" s="53" t="str">
        <f aca="false">IF(OR(NOT(ISNUMBER($C1030)),NOT(ISNUMBER($M1030)),$M1030=0),"",$C1030/$M1030-1)</f>
        <v/>
      </c>
      <c r="P1030" s="54"/>
      <c r="Q1030" s="53" t="str">
        <f aca="false">IF(NOT(ISNUMBER($P1030)),"",IFERROR(PERCENTRANK($P$5:$P$1204,$P1030),""))</f>
        <v/>
      </c>
    </row>
    <row r="1031" customFormat="false" ht="15" hidden="false" customHeight="false" outlineLevel="0" collapsed="false">
      <c r="A1031" s="55"/>
      <c r="B1031" s="56"/>
      <c r="C1031" s="57"/>
      <c r="D1031" s="56"/>
      <c r="E1031" s="56"/>
      <c r="F1031" s="56"/>
      <c r="G1031" s="50" t="str">
        <f aca="false">IF($A1031="","",IF(ISNUMBER($G1030),$G1030+1,1))</f>
        <v/>
      </c>
      <c r="H1031" s="51" t="str">
        <f aca="false">IF(OR(NOT(ISNUMBER($G1031)),$G1031&lt;2,NOT(ISNUMBER($C1030)),$C1030=0),"",$C1031/$C1030-1)</f>
        <v/>
      </c>
      <c r="I1031" s="52" t="str">
        <f aca="false">IF(AND(ISNUMBER($G1031),$G1031&gt;=MA_SHORT),AVERAGE(INDEX($C$631:$C1031,402-MA_SHORT):$C1031),"")</f>
        <v/>
      </c>
      <c r="J1031" s="52" t="str">
        <f aca="false">IF(AND(ISNUMBER($G1031),$G1031&gt;=MA_MED),AVERAGE(INDEX($C$631:$C1031,402-MA_MED):$C1031),"")</f>
        <v/>
      </c>
      <c r="K1031" s="52" t="str">
        <f aca="false">IF(AND(ISNUMBER($G1031),$G1031&gt;=MA_LONG2),AVERAGE(INDEX($C$631:$C1031,402-MA_LONG2):$C1031),"")</f>
        <v/>
      </c>
      <c r="L1031" s="53" t="str">
        <f aca="false">IF(AND(ISNUMBER($G1031),$G1031&gt;=21),STDEV(INDEX($H$971:$H1031,62-20):$H1031)*SQRT(245),"")</f>
        <v/>
      </c>
      <c r="M1031" s="52" t="str">
        <f aca="false">IF(AND(ISNUMBER($G1031),$G1031&gt;=60),MAX(INDEX($D$831:$D1031,202-60):$D1031),"")</f>
        <v/>
      </c>
      <c r="N1031" s="52" t="str">
        <f aca="false">IF(AND(ISNUMBER($G1031),$G1031&gt;=60),MIN(INDEX($E$831:$E1031,202-60):$E1031),"")</f>
        <v/>
      </c>
      <c r="O1031" s="53" t="str">
        <f aca="false">IF(OR(NOT(ISNUMBER($C1031)),NOT(ISNUMBER($M1031)),$M1031=0),"",$C1031/$M1031-1)</f>
        <v/>
      </c>
      <c r="P1031" s="54"/>
      <c r="Q1031" s="53" t="str">
        <f aca="false">IF(NOT(ISNUMBER($P1031)),"",IFERROR(PERCENTRANK($P$5:$P$1204,$P1031),""))</f>
        <v/>
      </c>
    </row>
    <row r="1032" customFormat="false" ht="15" hidden="false" customHeight="false" outlineLevel="0" collapsed="false">
      <c r="A1032" s="55"/>
      <c r="B1032" s="56"/>
      <c r="C1032" s="57"/>
      <c r="D1032" s="56"/>
      <c r="E1032" s="56"/>
      <c r="F1032" s="56"/>
      <c r="G1032" s="50" t="str">
        <f aca="false">IF($A1032="","",IF(ISNUMBER($G1031),$G1031+1,1))</f>
        <v/>
      </c>
      <c r="H1032" s="51" t="str">
        <f aca="false">IF(OR(NOT(ISNUMBER($G1032)),$G1032&lt;2,NOT(ISNUMBER($C1031)),$C1031=0),"",$C1032/$C1031-1)</f>
        <v/>
      </c>
      <c r="I1032" s="52" t="str">
        <f aca="false">IF(AND(ISNUMBER($G1032),$G1032&gt;=MA_SHORT),AVERAGE(INDEX($C$632:$C1032,402-MA_SHORT):$C1032),"")</f>
        <v/>
      </c>
      <c r="J1032" s="52" t="str">
        <f aca="false">IF(AND(ISNUMBER($G1032),$G1032&gt;=MA_MED),AVERAGE(INDEX($C$632:$C1032,402-MA_MED):$C1032),"")</f>
        <v/>
      </c>
      <c r="K1032" s="52" t="str">
        <f aca="false">IF(AND(ISNUMBER($G1032),$G1032&gt;=MA_LONG2),AVERAGE(INDEX($C$632:$C1032,402-MA_LONG2):$C1032),"")</f>
        <v/>
      </c>
      <c r="L1032" s="53" t="str">
        <f aca="false">IF(AND(ISNUMBER($G1032),$G1032&gt;=21),STDEV(INDEX($H$972:$H1032,62-20):$H1032)*SQRT(245),"")</f>
        <v/>
      </c>
      <c r="M1032" s="52" t="str">
        <f aca="false">IF(AND(ISNUMBER($G1032),$G1032&gt;=60),MAX(INDEX($D$832:$D1032,202-60):$D1032),"")</f>
        <v/>
      </c>
      <c r="N1032" s="52" t="str">
        <f aca="false">IF(AND(ISNUMBER($G1032),$G1032&gt;=60),MIN(INDEX($E$832:$E1032,202-60):$E1032),"")</f>
        <v/>
      </c>
      <c r="O1032" s="53" t="str">
        <f aca="false">IF(OR(NOT(ISNUMBER($C1032)),NOT(ISNUMBER($M1032)),$M1032=0),"",$C1032/$M1032-1)</f>
        <v/>
      </c>
      <c r="P1032" s="54"/>
      <c r="Q1032" s="53" t="str">
        <f aca="false">IF(NOT(ISNUMBER($P1032)),"",IFERROR(PERCENTRANK($P$5:$P$1204,$P1032),""))</f>
        <v/>
      </c>
    </row>
    <row r="1033" customFormat="false" ht="15" hidden="false" customHeight="false" outlineLevel="0" collapsed="false">
      <c r="A1033" s="55"/>
      <c r="B1033" s="56"/>
      <c r="C1033" s="57"/>
      <c r="D1033" s="56"/>
      <c r="E1033" s="56"/>
      <c r="F1033" s="56"/>
      <c r="G1033" s="50" t="str">
        <f aca="false">IF($A1033="","",IF(ISNUMBER($G1032),$G1032+1,1))</f>
        <v/>
      </c>
      <c r="H1033" s="51" t="str">
        <f aca="false">IF(OR(NOT(ISNUMBER($G1033)),$G1033&lt;2,NOT(ISNUMBER($C1032)),$C1032=0),"",$C1033/$C1032-1)</f>
        <v/>
      </c>
      <c r="I1033" s="52" t="str">
        <f aca="false">IF(AND(ISNUMBER($G1033),$G1033&gt;=MA_SHORT),AVERAGE(INDEX($C$633:$C1033,402-MA_SHORT):$C1033),"")</f>
        <v/>
      </c>
      <c r="J1033" s="52" t="str">
        <f aca="false">IF(AND(ISNUMBER($G1033),$G1033&gt;=MA_MED),AVERAGE(INDEX($C$633:$C1033,402-MA_MED):$C1033),"")</f>
        <v/>
      </c>
      <c r="K1033" s="52" t="str">
        <f aca="false">IF(AND(ISNUMBER($G1033),$G1033&gt;=MA_LONG2),AVERAGE(INDEX($C$633:$C1033,402-MA_LONG2):$C1033),"")</f>
        <v/>
      </c>
      <c r="L1033" s="53" t="str">
        <f aca="false">IF(AND(ISNUMBER($G1033),$G1033&gt;=21),STDEV(INDEX($H$973:$H1033,62-20):$H1033)*SQRT(245),"")</f>
        <v/>
      </c>
      <c r="M1033" s="52" t="str">
        <f aca="false">IF(AND(ISNUMBER($G1033),$G1033&gt;=60),MAX(INDEX($D$833:$D1033,202-60):$D1033),"")</f>
        <v/>
      </c>
      <c r="N1033" s="52" t="str">
        <f aca="false">IF(AND(ISNUMBER($G1033),$G1033&gt;=60),MIN(INDEX($E$833:$E1033,202-60):$E1033),"")</f>
        <v/>
      </c>
      <c r="O1033" s="53" t="str">
        <f aca="false">IF(OR(NOT(ISNUMBER($C1033)),NOT(ISNUMBER($M1033)),$M1033=0),"",$C1033/$M1033-1)</f>
        <v/>
      </c>
      <c r="P1033" s="54"/>
      <c r="Q1033" s="53" t="str">
        <f aca="false">IF(NOT(ISNUMBER($P1033)),"",IFERROR(PERCENTRANK($P$5:$P$1204,$P1033),""))</f>
        <v/>
      </c>
    </row>
    <row r="1034" customFormat="false" ht="15" hidden="false" customHeight="false" outlineLevel="0" collapsed="false">
      <c r="A1034" s="55"/>
      <c r="B1034" s="56"/>
      <c r="C1034" s="57"/>
      <c r="D1034" s="56"/>
      <c r="E1034" s="56"/>
      <c r="F1034" s="56"/>
      <c r="G1034" s="50" t="str">
        <f aca="false">IF($A1034="","",IF(ISNUMBER($G1033),$G1033+1,1))</f>
        <v/>
      </c>
      <c r="H1034" s="51" t="str">
        <f aca="false">IF(OR(NOT(ISNUMBER($G1034)),$G1034&lt;2,NOT(ISNUMBER($C1033)),$C1033=0),"",$C1034/$C1033-1)</f>
        <v/>
      </c>
      <c r="I1034" s="52" t="str">
        <f aca="false">IF(AND(ISNUMBER($G1034),$G1034&gt;=MA_SHORT),AVERAGE(INDEX($C$634:$C1034,402-MA_SHORT):$C1034),"")</f>
        <v/>
      </c>
      <c r="J1034" s="52" t="str">
        <f aca="false">IF(AND(ISNUMBER($G1034),$G1034&gt;=MA_MED),AVERAGE(INDEX($C$634:$C1034,402-MA_MED):$C1034),"")</f>
        <v/>
      </c>
      <c r="K1034" s="52" t="str">
        <f aca="false">IF(AND(ISNUMBER($G1034),$G1034&gt;=MA_LONG2),AVERAGE(INDEX($C$634:$C1034,402-MA_LONG2):$C1034),"")</f>
        <v/>
      </c>
      <c r="L1034" s="53" t="str">
        <f aca="false">IF(AND(ISNUMBER($G1034),$G1034&gt;=21),STDEV(INDEX($H$974:$H1034,62-20):$H1034)*SQRT(245),"")</f>
        <v/>
      </c>
      <c r="M1034" s="52" t="str">
        <f aca="false">IF(AND(ISNUMBER($G1034),$G1034&gt;=60),MAX(INDEX($D$834:$D1034,202-60):$D1034),"")</f>
        <v/>
      </c>
      <c r="N1034" s="52" t="str">
        <f aca="false">IF(AND(ISNUMBER($G1034),$G1034&gt;=60),MIN(INDEX($E$834:$E1034,202-60):$E1034),"")</f>
        <v/>
      </c>
      <c r="O1034" s="53" t="str">
        <f aca="false">IF(OR(NOT(ISNUMBER($C1034)),NOT(ISNUMBER($M1034)),$M1034=0),"",$C1034/$M1034-1)</f>
        <v/>
      </c>
      <c r="P1034" s="54"/>
      <c r="Q1034" s="53" t="str">
        <f aca="false">IF(NOT(ISNUMBER($P1034)),"",IFERROR(PERCENTRANK($P$5:$P$1204,$P1034),""))</f>
        <v/>
      </c>
    </row>
    <row r="1035" customFormat="false" ht="15" hidden="false" customHeight="false" outlineLevel="0" collapsed="false">
      <c r="A1035" s="55"/>
      <c r="B1035" s="56"/>
      <c r="C1035" s="57"/>
      <c r="D1035" s="56"/>
      <c r="E1035" s="56"/>
      <c r="F1035" s="56"/>
      <c r="G1035" s="50" t="str">
        <f aca="false">IF($A1035="","",IF(ISNUMBER($G1034),$G1034+1,1))</f>
        <v/>
      </c>
      <c r="H1035" s="51" t="str">
        <f aca="false">IF(OR(NOT(ISNUMBER($G1035)),$G1035&lt;2,NOT(ISNUMBER($C1034)),$C1034=0),"",$C1035/$C1034-1)</f>
        <v/>
      </c>
      <c r="I1035" s="52" t="str">
        <f aca="false">IF(AND(ISNUMBER($G1035),$G1035&gt;=MA_SHORT),AVERAGE(INDEX($C$635:$C1035,402-MA_SHORT):$C1035),"")</f>
        <v/>
      </c>
      <c r="J1035" s="52" t="str">
        <f aca="false">IF(AND(ISNUMBER($G1035),$G1035&gt;=MA_MED),AVERAGE(INDEX($C$635:$C1035,402-MA_MED):$C1035),"")</f>
        <v/>
      </c>
      <c r="K1035" s="52" t="str">
        <f aca="false">IF(AND(ISNUMBER($G1035),$G1035&gt;=MA_LONG2),AVERAGE(INDEX($C$635:$C1035,402-MA_LONG2):$C1035),"")</f>
        <v/>
      </c>
      <c r="L1035" s="53" t="str">
        <f aca="false">IF(AND(ISNUMBER($G1035),$G1035&gt;=21),STDEV(INDEX($H$975:$H1035,62-20):$H1035)*SQRT(245),"")</f>
        <v/>
      </c>
      <c r="M1035" s="52" t="str">
        <f aca="false">IF(AND(ISNUMBER($G1035),$G1035&gt;=60),MAX(INDEX($D$835:$D1035,202-60):$D1035),"")</f>
        <v/>
      </c>
      <c r="N1035" s="52" t="str">
        <f aca="false">IF(AND(ISNUMBER($G1035),$G1035&gt;=60),MIN(INDEX($E$835:$E1035,202-60):$E1035),"")</f>
        <v/>
      </c>
      <c r="O1035" s="53" t="str">
        <f aca="false">IF(OR(NOT(ISNUMBER($C1035)),NOT(ISNUMBER($M1035)),$M1035=0),"",$C1035/$M1035-1)</f>
        <v/>
      </c>
      <c r="P1035" s="54"/>
      <c r="Q1035" s="53" t="str">
        <f aca="false">IF(NOT(ISNUMBER($P1035)),"",IFERROR(PERCENTRANK($P$5:$P$1204,$P1035),""))</f>
        <v/>
      </c>
    </row>
    <row r="1036" customFormat="false" ht="15" hidden="false" customHeight="false" outlineLevel="0" collapsed="false">
      <c r="A1036" s="55"/>
      <c r="B1036" s="56"/>
      <c r="C1036" s="57"/>
      <c r="D1036" s="56"/>
      <c r="E1036" s="56"/>
      <c r="F1036" s="56"/>
      <c r="G1036" s="50" t="str">
        <f aca="false">IF($A1036="","",IF(ISNUMBER($G1035),$G1035+1,1))</f>
        <v/>
      </c>
      <c r="H1036" s="51" t="str">
        <f aca="false">IF(OR(NOT(ISNUMBER($G1036)),$G1036&lt;2,NOT(ISNUMBER($C1035)),$C1035=0),"",$C1036/$C1035-1)</f>
        <v/>
      </c>
      <c r="I1036" s="52" t="str">
        <f aca="false">IF(AND(ISNUMBER($G1036),$G1036&gt;=MA_SHORT),AVERAGE(INDEX($C$636:$C1036,402-MA_SHORT):$C1036),"")</f>
        <v/>
      </c>
      <c r="J1036" s="52" t="str">
        <f aca="false">IF(AND(ISNUMBER($G1036),$G1036&gt;=MA_MED),AVERAGE(INDEX($C$636:$C1036,402-MA_MED):$C1036),"")</f>
        <v/>
      </c>
      <c r="K1036" s="52" t="str">
        <f aca="false">IF(AND(ISNUMBER($G1036),$G1036&gt;=MA_LONG2),AVERAGE(INDEX($C$636:$C1036,402-MA_LONG2):$C1036),"")</f>
        <v/>
      </c>
      <c r="L1036" s="53" t="str">
        <f aca="false">IF(AND(ISNUMBER($G1036),$G1036&gt;=21),STDEV(INDEX($H$976:$H1036,62-20):$H1036)*SQRT(245),"")</f>
        <v/>
      </c>
      <c r="M1036" s="52" t="str">
        <f aca="false">IF(AND(ISNUMBER($G1036),$G1036&gt;=60),MAX(INDEX($D$836:$D1036,202-60):$D1036),"")</f>
        <v/>
      </c>
      <c r="N1036" s="52" t="str">
        <f aca="false">IF(AND(ISNUMBER($G1036),$G1036&gt;=60),MIN(INDEX($E$836:$E1036,202-60):$E1036),"")</f>
        <v/>
      </c>
      <c r="O1036" s="53" t="str">
        <f aca="false">IF(OR(NOT(ISNUMBER($C1036)),NOT(ISNUMBER($M1036)),$M1036=0),"",$C1036/$M1036-1)</f>
        <v/>
      </c>
      <c r="P1036" s="54"/>
      <c r="Q1036" s="53" t="str">
        <f aca="false">IF(NOT(ISNUMBER($P1036)),"",IFERROR(PERCENTRANK($P$5:$P$1204,$P1036),""))</f>
        <v/>
      </c>
    </row>
    <row r="1037" customFormat="false" ht="15" hidden="false" customHeight="false" outlineLevel="0" collapsed="false">
      <c r="A1037" s="55"/>
      <c r="B1037" s="56"/>
      <c r="C1037" s="57"/>
      <c r="D1037" s="56"/>
      <c r="E1037" s="56"/>
      <c r="F1037" s="56"/>
      <c r="G1037" s="50" t="str">
        <f aca="false">IF($A1037="","",IF(ISNUMBER($G1036),$G1036+1,1))</f>
        <v/>
      </c>
      <c r="H1037" s="51" t="str">
        <f aca="false">IF(OR(NOT(ISNUMBER($G1037)),$G1037&lt;2,NOT(ISNUMBER($C1036)),$C1036=0),"",$C1037/$C1036-1)</f>
        <v/>
      </c>
      <c r="I1037" s="52" t="str">
        <f aca="false">IF(AND(ISNUMBER($G1037),$G1037&gt;=MA_SHORT),AVERAGE(INDEX($C$637:$C1037,402-MA_SHORT):$C1037),"")</f>
        <v/>
      </c>
      <c r="J1037" s="52" t="str">
        <f aca="false">IF(AND(ISNUMBER($G1037),$G1037&gt;=MA_MED),AVERAGE(INDEX($C$637:$C1037,402-MA_MED):$C1037),"")</f>
        <v/>
      </c>
      <c r="K1037" s="52" t="str">
        <f aca="false">IF(AND(ISNUMBER($G1037),$G1037&gt;=MA_LONG2),AVERAGE(INDEX($C$637:$C1037,402-MA_LONG2):$C1037),"")</f>
        <v/>
      </c>
      <c r="L1037" s="53" t="str">
        <f aca="false">IF(AND(ISNUMBER($G1037),$G1037&gt;=21),STDEV(INDEX($H$977:$H1037,62-20):$H1037)*SQRT(245),"")</f>
        <v/>
      </c>
      <c r="M1037" s="52" t="str">
        <f aca="false">IF(AND(ISNUMBER($G1037),$G1037&gt;=60),MAX(INDEX($D$837:$D1037,202-60):$D1037),"")</f>
        <v/>
      </c>
      <c r="N1037" s="52" t="str">
        <f aca="false">IF(AND(ISNUMBER($G1037),$G1037&gt;=60),MIN(INDEX($E$837:$E1037,202-60):$E1037),"")</f>
        <v/>
      </c>
      <c r="O1037" s="53" t="str">
        <f aca="false">IF(OR(NOT(ISNUMBER($C1037)),NOT(ISNUMBER($M1037)),$M1037=0),"",$C1037/$M1037-1)</f>
        <v/>
      </c>
      <c r="P1037" s="54"/>
      <c r="Q1037" s="53" t="str">
        <f aca="false">IF(NOT(ISNUMBER($P1037)),"",IFERROR(PERCENTRANK($P$5:$P$1204,$P1037),""))</f>
        <v/>
      </c>
    </row>
    <row r="1038" customFormat="false" ht="15" hidden="false" customHeight="false" outlineLevel="0" collapsed="false">
      <c r="A1038" s="55"/>
      <c r="B1038" s="56"/>
      <c r="C1038" s="57"/>
      <c r="D1038" s="56"/>
      <c r="E1038" s="56"/>
      <c r="F1038" s="56"/>
      <c r="G1038" s="50" t="str">
        <f aca="false">IF($A1038="","",IF(ISNUMBER($G1037),$G1037+1,1))</f>
        <v/>
      </c>
      <c r="H1038" s="51" t="str">
        <f aca="false">IF(OR(NOT(ISNUMBER($G1038)),$G1038&lt;2,NOT(ISNUMBER($C1037)),$C1037=0),"",$C1038/$C1037-1)</f>
        <v/>
      </c>
      <c r="I1038" s="52" t="str">
        <f aca="false">IF(AND(ISNUMBER($G1038),$G1038&gt;=MA_SHORT),AVERAGE(INDEX($C$638:$C1038,402-MA_SHORT):$C1038),"")</f>
        <v/>
      </c>
      <c r="J1038" s="52" t="str">
        <f aca="false">IF(AND(ISNUMBER($G1038),$G1038&gt;=MA_MED),AVERAGE(INDEX($C$638:$C1038,402-MA_MED):$C1038),"")</f>
        <v/>
      </c>
      <c r="K1038" s="52" t="str">
        <f aca="false">IF(AND(ISNUMBER($G1038),$G1038&gt;=MA_LONG2),AVERAGE(INDEX($C$638:$C1038,402-MA_LONG2):$C1038),"")</f>
        <v/>
      </c>
      <c r="L1038" s="53" t="str">
        <f aca="false">IF(AND(ISNUMBER($G1038),$G1038&gt;=21),STDEV(INDEX($H$978:$H1038,62-20):$H1038)*SQRT(245),"")</f>
        <v/>
      </c>
      <c r="M1038" s="52" t="str">
        <f aca="false">IF(AND(ISNUMBER($G1038),$G1038&gt;=60),MAX(INDEX($D$838:$D1038,202-60):$D1038),"")</f>
        <v/>
      </c>
      <c r="N1038" s="52" t="str">
        <f aca="false">IF(AND(ISNUMBER($G1038),$G1038&gt;=60),MIN(INDEX($E$838:$E1038,202-60):$E1038),"")</f>
        <v/>
      </c>
      <c r="O1038" s="53" t="str">
        <f aca="false">IF(OR(NOT(ISNUMBER($C1038)),NOT(ISNUMBER($M1038)),$M1038=0),"",$C1038/$M1038-1)</f>
        <v/>
      </c>
      <c r="P1038" s="54"/>
      <c r="Q1038" s="53" t="str">
        <f aca="false">IF(NOT(ISNUMBER($P1038)),"",IFERROR(PERCENTRANK($P$5:$P$1204,$P1038),""))</f>
        <v/>
      </c>
    </row>
    <row r="1039" customFormat="false" ht="15" hidden="false" customHeight="false" outlineLevel="0" collapsed="false">
      <c r="A1039" s="55"/>
      <c r="B1039" s="56"/>
      <c r="C1039" s="57"/>
      <c r="D1039" s="56"/>
      <c r="E1039" s="56"/>
      <c r="F1039" s="56"/>
      <c r="G1039" s="50" t="str">
        <f aca="false">IF($A1039="","",IF(ISNUMBER($G1038),$G1038+1,1))</f>
        <v/>
      </c>
      <c r="H1039" s="51" t="str">
        <f aca="false">IF(OR(NOT(ISNUMBER($G1039)),$G1039&lt;2,NOT(ISNUMBER($C1038)),$C1038=0),"",$C1039/$C1038-1)</f>
        <v/>
      </c>
      <c r="I1039" s="52" t="str">
        <f aca="false">IF(AND(ISNUMBER($G1039),$G1039&gt;=MA_SHORT),AVERAGE(INDEX($C$639:$C1039,402-MA_SHORT):$C1039),"")</f>
        <v/>
      </c>
      <c r="J1039" s="52" t="str">
        <f aca="false">IF(AND(ISNUMBER($G1039),$G1039&gt;=MA_MED),AVERAGE(INDEX($C$639:$C1039,402-MA_MED):$C1039),"")</f>
        <v/>
      </c>
      <c r="K1039" s="52" t="str">
        <f aca="false">IF(AND(ISNUMBER($G1039),$G1039&gt;=MA_LONG2),AVERAGE(INDEX($C$639:$C1039,402-MA_LONG2):$C1039),"")</f>
        <v/>
      </c>
      <c r="L1039" s="53" t="str">
        <f aca="false">IF(AND(ISNUMBER($G1039),$G1039&gt;=21),STDEV(INDEX($H$979:$H1039,62-20):$H1039)*SQRT(245),"")</f>
        <v/>
      </c>
      <c r="M1039" s="52" t="str">
        <f aca="false">IF(AND(ISNUMBER($G1039),$G1039&gt;=60),MAX(INDEX($D$839:$D1039,202-60):$D1039),"")</f>
        <v/>
      </c>
      <c r="N1039" s="52" t="str">
        <f aca="false">IF(AND(ISNUMBER($G1039),$G1039&gt;=60),MIN(INDEX($E$839:$E1039,202-60):$E1039),"")</f>
        <v/>
      </c>
      <c r="O1039" s="53" t="str">
        <f aca="false">IF(OR(NOT(ISNUMBER($C1039)),NOT(ISNUMBER($M1039)),$M1039=0),"",$C1039/$M1039-1)</f>
        <v/>
      </c>
      <c r="P1039" s="54"/>
      <c r="Q1039" s="53" t="str">
        <f aca="false">IF(NOT(ISNUMBER($P1039)),"",IFERROR(PERCENTRANK($P$5:$P$1204,$P1039),""))</f>
        <v/>
      </c>
    </row>
    <row r="1040" customFormat="false" ht="15" hidden="false" customHeight="false" outlineLevel="0" collapsed="false">
      <c r="A1040" s="55"/>
      <c r="B1040" s="56"/>
      <c r="C1040" s="57"/>
      <c r="D1040" s="56"/>
      <c r="E1040" s="56"/>
      <c r="F1040" s="56"/>
      <c r="G1040" s="50" t="str">
        <f aca="false">IF($A1040="","",IF(ISNUMBER($G1039),$G1039+1,1))</f>
        <v/>
      </c>
      <c r="H1040" s="51" t="str">
        <f aca="false">IF(OR(NOT(ISNUMBER($G1040)),$G1040&lt;2,NOT(ISNUMBER($C1039)),$C1039=0),"",$C1040/$C1039-1)</f>
        <v/>
      </c>
      <c r="I1040" s="52" t="str">
        <f aca="false">IF(AND(ISNUMBER($G1040),$G1040&gt;=MA_SHORT),AVERAGE(INDEX($C$640:$C1040,402-MA_SHORT):$C1040),"")</f>
        <v/>
      </c>
      <c r="J1040" s="52" t="str">
        <f aca="false">IF(AND(ISNUMBER($G1040),$G1040&gt;=MA_MED),AVERAGE(INDEX($C$640:$C1040,402-MA_MED):$C1040),"")</f>
        <v/>
      </c>
      <c r="K1040" s="52" t="str">
        <f aca="false">IF(AND(ISNUMBER($G1040),$G1040&gt;=MA_LONG2),AVERAGE(INDEX($C$640:$C1040,402-MA_LONG2):$C1040),"")</f>
        <v/>
      </c>
      <c r="L1040" s="53" t="str">
        <f aca="false">IF(AND(ISNUMBER($G1040),$G1040&gt;=21),STDEV(INDEX($H$980:$H1040,62-20):$H1040)*SQRT(245),"")</f>
        <v/>
      </c>
      <c r="M1040" s="52" t="str">
        <f aca="false">IF(AND(ISNUMBER($G1040),$G1040&gt;=60),MAX(INDEX($D$840:$D1040,202-60):$D1040),"")</f>
        <v/>
      </c>
      <c r="N1040" s="52" t="str">
        <f aca="false">IF(AND(ISNUMBER($G1040),$G1040&gt;=60),MIN(INDEX($E$840:$E1040,202-60):$E1040),"")</f>
        <v/>
      </c>
      <c r="O1040" s="53" t="str">
        <f aca="false">IF(OR(NOT(ISNUMBER($C1040)),NOT(ISNUMBER($M1040)),$M1040=0),"",$C1040/$M1040-1)</f>
        <v/>
      </c>
      <c r="P1040" s="54"/>
      <c r="Q1040" s="53" t="str">
        <f aca="false">IF(NOT(ISNUMBER($P1040)),"",IFERROR(PERCENTRANK($P$5:$P$1204,$P1040),""))</f>
        <v/>
      </c>
    </row>
    <row r="1041" customFormat="false" ht="15" hidden="false" customHeight="false" outlineLevel="0" collapsed="false">
      <c r="A1041" s="55"/>
      <c r="B1041" s="56"/>
      <c r="C1041" s="57"/>
      <c r="D1041" s="56"/>
      <c r="E1041" s="56"/>
      <c r="F1041" s="56"/>
      <c r="G1041" s="50" t="str">
        <f aca="false">IF($A1041="","",IF(ISNUMBER($G1040),$G1040+1,1))</f>
        <v/>
      </c>
      <c r="H1041" s="51" t="str">
        <f aca="false">IF(OR(NOT(ISNUMBER($G1041)),$G1041&lt;2,NOT(ISNUMBER($C1040)),$C1040=0),"",$C1041/$C1040-1)</f>
        <v/>
      </c>
      <c r="I1041" s="52" t="str">
        <f aca="false">IF(AND(ISNUMBER($G1041),$G1041&gt;=MA_SHORT),AVERAGE(INDEX($C$641:$C1041,402-MA_SHORT):$C1041),"")</f>
        <v/>
      </c>
      <c r="J1041" s="52" t="str">
        <f aca="false">IF(AND(ISNUMBER($G1041),$G1041&gt;=MA_MED),AVERAGE(INDEX($C$641:$C1041,402-MA_MED):$C1041),"")</f>
        <v/>
      </c>
      <c r="K1041" s="52" t="str">
        <f aca="false">IF(AND(ISNUMBER($G1041),$G1041&gt;=MA_LONG2),AVERAGE(INDEX($C$641:$C1041,402-MA_LONG2):$C1041),"")</f>
        <v/>
      </c>
      <c r="L1041" s="53" t="str">
        <f aca="false">IF(AND(ISNUMBER($G1041),$G1041&gt;=21),STDEV(INDEX($H$981:$H1041,62-20):$H1041)*SQRT(245),"")</f>
        <v/>
      </c>
      <c r="M1041" s="52" t="str">
        <f aca="false">IF(AND(ISNUMBER($G1041),$G1041&gt;=60),MAX(INDEX($D$841:$D1041,202-60):$D1041),"")</f>
        <v/>
      </c>
      <c r="N1041" s="52" t="str">
        <f aca="false">IF(AND(ISNUMBER($G1041),$G1041&gt;=60),MIN(INDEX($E$841:$E1041,202-60):$E1041),"")</f>
        <v/>
      </c>
      <c r="O1041" s="53" t="str">
        <f aca="false">IF(OR(NOT(ISNUMBER($C1041)),NOT(ISNUMBER($M1041)),$M1041=0),"",$C1041/$M1041-1)</f>
        <v/>
      </c>
      <c r="P1041" s="54"/>
      <c r="Q1041" s="53" t="str">
        <f aca="false">IF(NOT(ISNUMBER($P1041)),"",IFERROR(PERCENTRANK($P$5:$P$1204,$P1041),""))</f>
        <v/>
      </c>
    </row>
    <row r="1042" customFormat="false" ht="15" hidden="false" customHeight="false" outlineLevel="0" collapsed="false">
      <c r="A1042" s="55"/>
      <c r="B1042" s="56"/>
      <c r="C1042" s="57"/>
      <c r="D1042" s="56"/>
      <c r="E1042" s="56"/>
      <c r="F1042" s="56"/>
      <c r="G1042" s="50" t="str">
        <f aca="false">IF($A1042="","",IF(ISNUMBER($G1041),$G1041+1,1))</f>
        <v/>
      </c>
      <c r="H1042" s="51" t="str">
        <f aca="false">IF(OR(NOT(ISNUMBER($G1042)),$G1042&lt;2,NOT(ISNUMBER($C1041)),$C1041=0),"",$C1042/$C1041-1)</f>
        <v/>
      </c>
      <c r="I1042" s="52" t="str">
        <f aca="false">IF(AND(ISNUMBER($G1042),$G1042&gt;=MA_SHORT),AVERAGE(INDEX($C$642:$C1042,402-MA_SHORT):$C1042),"")</f>
        <v/>
      </c>
      <c r="J1042" s="52" t="str">
        <f aca="false">IF(AND(ISNUMBER($G1042),$G1042&gt;=MA_MED),AVERAGE(INDEX($C$642:$C1042,402-MA_MED):$C1042),"")</f>
        <v/>
      </c>
      <c r="K1042" s="52" t="str">
        <f aca="false">IF(AND(ISNUMBER($G1042),$G1042&gt;=MA_LONG2),AVERAGE(INDEX($C$642:$C1042,402-MA_LONG2):$C1042),"")</f>
        <v/>
      </c>
      <c r="L1042" s="53" t="str">
        <f aca="false">IF(AND(ISNUMBER($G1042),$G1042&gt;=21),STDEV(INDEX($H$982:$H1042,62-20):$H1042)*SQRT(245),"")</f>
        <v/>
      </c>
      <c r="M1042" s="52" t="str">
        <f aca="false">IF(AND(ISNUMBER($G1042),$G1042&gt;=60),MAX(INDEX($D$842:$D1042,202-60):$D1042),"")</f>
        <v/>
      </c>
      <c r="N1042" s="52" t="str">
        <f aca="false">IF(AND(ISNUMBER($G1042),$G1042&gt;=60),MIN(INDEX($E$842:$E1042,202-60):$E1042),"")</f>
        <v/>
      </c>
      <c r="O1042" s="53" t="str">
        <f aca="false">IF(OR(NOT(ISNUMBER($C1042)),NOT(ISNUMBER($M1042)),$M1042=0),"",$C1042/$M1042-1)</f>
        <v/>
      </c>
      <c r="P1042" s="54"/>
      <c r="Q1042" s="53" t="str">
        <f aca="false">IF(NOT(ISNUMBER($P1042)),"",IFERROR(PERCENTRANK($P$5:$P$1204,$P1042),""))</f>
        <v/>
      </c>
    </row>
    <row r="1043" customFormat="false" ht="15" hidden="false" customHeight="false" outlineLevel="0" collapsed="false">
      <c r="A1043" s="55"/>
      <c r="B1043" s="56"/>
      <c r="C1043" s="57"/>
      <c r="D1043" s="56"/>
      <c r="E1043" s="56"/>
      <c r="F1043" s="56"/>
      <c r="G1043" s="50" t="str">
        <f aca="false">IF($A1043="","",IF(ISNUMBER($G1042),$G1042+1,1))</f>
        <v/>
      </c>
      <c r="H1043" s="51" t="str">
        <f aca="false">IF(OR(NOT(ISNUMBER($G1043)),$G1043&lt;2,NOT(ISNUMBER($C1042)),$C1042=0),"",$C1043/$C1042-1)</f>
        <v/>
      </c>
      <c r="I1043" s="52" t="str">
        <f aca="false">IF(AND(ISNUMBER($G1043),$G1043&gt;=MA_SHORT),AVERAGE(INDEX($C$643:$C1043,402-MA_SHORT):$C1043),"")</f>
        <v/>
      </c>
      <c r="J1043" s="52" t="str">
        <f aca="false">IF(AND(ISNUMBER($G1043),$G1043&gt;=MA_MED),AVERAGE(INDEX($C$643:$C1043,402-MA_MED):$C1043),"")</f>
        <v/>
      </c>
      <c r="K1043" s="52" t="str">
        <f aca="false">IF(AND(ISNUMBER($G1043),$G1043&gt;=MA_LONG2),AVERAGE(INDEX($C$643:$C1043,402-MA_LONG2):$C1043),"")</f>
        <v/>
      </c>
      <c r="L1043" s="53" t="str">
        <f aca="false">IF(AND(ISNUMBER($G1043),$G1043&gt;=21),STDEV(INDEX($H$983:$H1043,62-20):$H1043)*SQRT(245),"")</f>
        <v/>
      </c>
      <c r="M1043" s="52" t="str">
        <f aca="false">IF(AND(ISNUMBER($G1043),$G1043&gt;=60),MAX(INDEX($D$843:$D1043,202-60):$D1043),"")</f>
        <v/>
      </c>
      <c r="N1043" s="52" t="str">
        <f aca="false">IF(AND(ISNUMBER($G1043),$G1043&gt;=60),MIN(INDEX($E$843:$E1043,202-60):$E1043),"")</f>
        <v/>
      </c>
      <c r="O1043" s="53" t="str">
        <f aca="false">IF(OR(NOT(ISNUMBER($C1043)),NOT(ISNUMBER($M1043)),$M1043=0),"",$C1043/$M1043-1)</f>
        <v/>
      </c>
      <c r="P1043" s="54"/>
      <c r="Q1043" s="53" t="str">
        <f aca="false">IF(NOT(ISNUMBER($P1043)),"",IFERROR(PERCENTRANK($P$5:$P$1204,$P1043),""))</f>
        <v/>
      </c>
    </row>
    <row r="1044" customFormat="false" ht="15" hidden="false" customHeight="false" outlineLevel="0" collapsed="false">
      <c r="A1044" s="55"/>
      <c r="B1044" s="56"/>
      <c r="C1044" s="57"/>
      <c r="D1044" s="56"/>
      <c r="E1044" s="56"/>
      <c r="F1044" s="56"/>
      <c r="G1044" s="50" t="str">
        <f aca="false">IF($A1044="","",IF(ISNUMBER($G1043),$G1043+1,1))</f>
        <v/>
      </c>
      <c r="H1044" s="51" t="str">
        <f aca="false">IF(OR(NOT(ISNUMBER($G1044)),$G1044&lt;2,NOT(ISNUMBER($C1043)),$C1043=0),"",$C1044/$C1043-1)</f>
        <v/>
      </c>
      <c r="I1044" s="52" t="str">
        <f aca="false">IF(AND(ISNUMBER($G1044),$G1044&gt;=MA_SHORT),AVERAGE(INDEX($C$644:$C1044,402-MA_SHORT):$C1044),"")</f>
        <v/>
      </c>
      <c r="J1044" s="52" t="str">
        <f aca="false">IF(AND(ISNUMBER($G1044),$G1044&gt;=MA_MED),AVERAGE(INDEX($C$644:$C1044,402-MA_MED):$C1044),"")</f>
        <v/>
      </c>
      <c r="K1044" s="52" t="str">
        <f aca="false">IF(AND(ISNUMBER($G1044),$G1044&gt;=MA_LONG2),AVERAGE(INDEX($C$644:$C1044,402-MA_LONG2):$C1044),"")</f>
        <v/>
      </c>
      <c r="L1044" s="53" t="str">
        <f aca="false">IF(AND(ISNUMBER($G1044),$G1044&gt;=21),STDEV(INDEX($H$984:$H1044,62-20):$H1044)*SQRT(245),"")</f>
        <v/>
      </c>
      <c r="M1044" s="52" t="str">
        <f aca="false">IF(AND(ISNUMBER($G1044),$G1044&gt;=60),MAX(INDEX($D$844:$D1044,202-60):$D1044),"")</f>
        <v/>
      </c>
      <c r="N1044" s="52" t="str">
        <f aca="false">IF(AND(ISNUMBER($G1044),$G1044&gt;=60),MIN(INDEX($E$844:$E1044,202-60):$E1044),"")</f>
        <v/>
      </c>
      <c r="O1044" s="53" t="str">
        <f aca="false">IF(OR(NOT(ISNUMBER($C1044)),NOT(ISNUMBER($M1044)),$M1044=0),"",$C1044/$M1044-1)</f>
        <v/>
      </c>
      <c r="P1044" s="54"/>
      <c r="Q1044" s="53" t="str">
        <f aca="false">IF(NOT(ISNUMBER($P1044)),"",IFERROR(PERCENTRANK($P$5:$P$1204,$P1044),""))</f>
        <v/>
      </c>
    </row>
    <row r="1045" customFormat="false" ht="15" hidden="false" customHeight="false" outlineLevel="0" collapsed="false">
      <c r="A1045" s="55"/>
      <c r="B1045" s="56"/>
      <c r="C1045" s="57"/>
      <c r="D1045" s="56"/>
      <c r="E1045" s="56"/>
      <c r="F1045" s="56"/>
      <c r="G1045" s="50" t="str">
        <f aca="false">IF($A1045="","",IF(ISNUMBER($G1044),$G1044+1,1))</f>
        <v/>
      </c>
      <c r="H1045" s="51" t="str">
        <f aca="false">IF(OR(NOT(ISNUMBER($G1045)),$G1045&lt;2,NOT(ISNUMBER($C1044)),$C1044=0),"",$C1045/$C1044-1)</f>
        <v/>
      </c>
      <c r="I1045" s="52" t="str">
        <f aca="false">IF(AND(ISNUMBER($G1045),$G1045&gt;=MA_SHORT),AVERAGE(INDEX($C$645:$C1045,402-MA_SHORT):$C1045),"")</f>
        <v/>
      </c>
      <c r="J1045" s="52" t="str">
        <f aca="false">IF(AND(ISNUMBER($G1045),$G1045&gt;=MA_MED),AVERAGE(INDEX($C$645:$C1045,402-MA_MED):$C1045),"")</f>
        <v/>
      </c>
      <c r="K1045" s="52" t="str">
        <f aca="false">IF(AND(ISNUMBER($G1045),$G1045&gt;=MA_LONG2),AVERAGE(INDEX($C$645:$C1045,402-MA_LONG2):$C1045),"")</f>
        <v/>
      </c>
      <c r="L1045" s="53" t="str">
        <f aca="false">IF(AND(ISNUMBER($G1045),$G1045&gt;=21),STDEV(INDEX($H$985:$H1045,62-20):$H1045)*SQRT(245),"")</f>
        <v/>
      </c>
      <c r="M1045" s="52" t="str">
        <f aca="false">IF(AND(ISNUMBER($G1045),$G1045&gt;=60),MAX(INDEX($D$845:$D1045,202-60):$D1045),"")</f>
        <v/>
      </c>
      <c r="N1045" s="52" t="str">
        <f aca="false">IF(AND(ISNUMBER($G1045),$G1045&gt;=60),MIN(INDEX($E$845:$E1045,202-60):$E1045),"")</f>
        <v/>
      </c>
      <c r="O1045" s="53" t="str">
        <f aca="false">IF(OR(NOT(ISNUMBER($C1045)),NOT(ISNUMBER($M1045)),$M1045=0),"",$C1045/$M1045-1)</f>
        <v/>
      </c>
      <c r="P1045" s="54"/>
      <c r="Q1045" s="53" t="str">
        <f aca="false">IF(NOT(ISNUMBER($P1045)),"",IFERROR(PERCENTRANK($P$5:$P$1204,$P1045),""))</f>
        <v/>
      </c>
    </row>
    <row r="1046" customFormat="false" ht="15" hidden="false" customHeight="false" outlineLevel="0" collapsed="false">
      <c r="A1046" s="55"/>
      <c r="B1046" s="56"/>
      <c r="C1046" s="57"/>
      <c r="D1046" s="56"/>
      <c r="E1046" s="56"/>
      <c r="F1046" s="56"/>
      <c r="G1046" s="50" t="str">
        <f aca="false">IF($A1046="","",IF(ISNUMBER($G1045),$G1045+1,1))</f>
        <v/>
      </c>
      <c r="H1046" s="51" t="str">
        <f aca="false">IF(OR(NOT(ISNUMBER($G1046)),$G1046&lt;2,NOT(ISNUMBER($C1045)),$C1045=0),"",$C1046/$C1045-1)</f>
        <v/>
      </c>
      <c r="I1046" s="52" t="str">
        <f aca="false">IF(AND(ISNUMBER($G1046),$G1046&gt;=MA_SHORT),AVERAGE(INDEX($C$646:$C1046,402-MA_SHORT):$C1046),"")</f>
        <v/>
      </c>
      <c r="J1046" s="52" t="str">
        <f aca="false">IF(AND(ISNUMBER($G1046),$G1046&gt;=MA_MED),AVERAGE(INDEX($C$646:$C1046,402-MA_MED):$C1046),"")</f>
        <v/>
      </c>
      <c r="K1046" s="52" t="str">
        <f aca="false">IF(AND(ISNUMBER($G1046),$G1046&gt;=MA_LONG2),AVERAGE(INDEX($C$646:$C1046,402-MA_LONG2):$C1046),"")</f>
        <v/>
      </c>
      <c r="L1046" s="53" t="str">
        <f aca="false">IF(AND(ISNUMBER($G1046),$G1046&gt;=21),STDEV(INDEX($H$986:$H1046,62-20):$H1046)*SQRT(245),"")</f>
        <v/>
      </c>
      <c r="M1046" s="52" t="str">
        <f aca="false">IF(AND(ISNUMBER($G1046),$G1046&gt;=60),MAX(INDEX($D$846:$D1046,202-60):$D1046),"")</f>
        <v/>
      </c>
      <c r="N1046" s="52" t="str">
        <f aca="false">IF(AND(ISNUMBER($G1046),$G1046&gt;=60),MIN(INDEX($E$846:$E1046,202-60):$E1046),"")</f>
        <v/>
      </c>
      <c r="O1046" s="53" t="str">
        <f aca="false">IF(OR(NOT(ISNUMBER($C1046)),NOT(ISNUMBER($M1046)),$M1046=0),"",$C1046/$M1046-1)</f>
        <v/>
      </c>
      <c r="P1046" s="54"/>
      <c r="Q1046" s="53" t="str">
        <f aca="false">IF(NOT(ISNUMBER($P1046)),"",IFERROR(PERCENTRANK($P$5:$P$1204,$P1046),""))</f>
        <v/>
      </c>
    </row>
    <row r="1047" customFormat="false" ht="15" hidden="false" customHeight="false" outlineLevel="0" collapsed="false">
      <c r="A1047" s="55"/>
      <c r="B1047" s="56"/>
      <c r="C1047" s="57"/>
      <c r="D1047" s="56"/>
      <c r="E1047" s="56"/>
      <c r="F1047" s="56"/>
      <c r="G1047" s="50" t="str">
        <f aca="false">IF($A1047="","",IF(ISNUMBER($G1046),$G1046+1,1))</f>
        <v/>
      </c>
      <c r="H1047" s="51" t="str">
        <f aca="false">IF(OR(NOT(ISNUMBER($G1047)),$G1047&lt;2,NOT(ISNUMBER($C1046)),$C1046=0),"",$C1047/$C1046-1)</f>
        <v/>
      </c>
      <c r="I1047" s="52" t="str">
        <f aca="false">IF(AND(ISNUMBER($G1047),$G1047&gt;=MA_SHORT),AVERAGE(INDEX($C$647:$C1047,402-MA_SHORT):$C1047),"")</f>
        <v/>
      </c>
      <c r="J1047" s="52" t="str">
        <f aca="false">IF(AND(ISNUMBER($G1047),$G1047&gt;=MA_MED),AVERAGE(INDEX($C$647:$C1047,402-MA_MED):$C1047),"")</f>
        <v/>
      </c>
      <c r="K1047" s="52" t="str">
        <f aca="false">IF(AND(ISNUMBER($G1047),$G1047&gt;=MA_LONG2),AVERAGE(INDEX($C$647:$C1047,402-MA_LONG2):$C1047),"")</f>
        <v/>
      </c>
      <c r="L1047" s="53" t="str">
        <f aca="false">IF(AND(ISNUMBER($G1047),$G1047&gt;=21),STDEV(INDEX($H$987:$H1047,62-20):$H1047)*SQRT(245),"")</f>
        <v/>
      </c>
      <c r="M1047" s="52" t="str">
        <f aca="false">IF(AND(ISNUMBER($G1047),$G1047&gt;=60),MAX(INDEX($D$847:$D1047,202-60):$D1047),"")</f>
        <v/>
      </c>
      <c r="N1047" s="52" t="str">
        <f aca="false">IF(AND(ISNUMBER($G1047),$G1047&gt;=60),MIN(INDEX($E$847:$E1047,202-60):$E1047),"")</f>
        <v/>
      </c>
      <c r="O1047" s="53" t="str">
        <f aca="false">IF(OR(NOT(ISNUMBER($C1047)),NOT(ISNUMBER($M1047)),$M1047=0),"",$C1047/$M1047-1)</f>
        <v/>
      </c>
      <c r="P1047" s="54"/>
      <c r="Q1047" s="53" t="str">
        <f aca="false">IF(NOT(ISNUMBER($P1047)),"",IFERROR(PERCENTRANK($P$5:$P$1204,$P1047),""))</f>
        <v/>
      </c>
    </row>
    <row r="1048" customFormat="false" ht="15" hidden="false" customHeight="false" outlineLevel="0" collapsed="false">
      <c r="A1048" s="55"/>
      <c r="B1048" s="56"/>
      <c r="C1048" s="57"/>
      <c r="D1048" s="56"/>
      <c r="E1048" s="56"/>
      <c r="F1048" s="56"/>
      <c r="G1048" s="50" t="str">
        <f aca="false">IF($A1048="","",IF(ISNUMBER($G1047),$G1047+1,1))</f>
        <v/>
      </c>
      <c r="H1048" s="51" t="str">
        <f aca="false">IF(OR(NOT(ISNUMBER($G1048)),$G1048&lt;2,NOT(ISNUMBER($C1047)),$C1047=0),"",$C1048/$C1047-1)</f>
        <v/>
      </c>
      <c r="I1048" s="52" t="str">
        <f aca="false">IF(AND(ISNUMBER($G1048),$G1048&gt;=MA_SHORT),AVERAGE(INDEX($C$648:$C1048,402-MA_SHORT):$C1048),"")</f>
        <v/>
      </c>
      <c r="J1048" s="52" t="str">
        <f aca="false">IF(AND(ISNUMBER($G1048),$G1048&gt;=MA_MED),AVERAGE(INDEX($C$648:$C1048,402-MA_MED):$C1048),"")</f>
        <v/>
      </c>
      <c r="K1048" s="52" t="str">
        <f aca="false">IF(AND(ISNUMBER($G1048),$G1048&gt;=MA_LONG2),AVERAGE(INDEX($C$648:$C1048,402-MA_LONG2):$C1048),"")</f>
        <v/>
      </c>
      <c r="L1048" s="53" t="str">
        <f aca="false">IF(AND(ISNUMBER($G1048),$G1048&gt;=21),STDEV(INDEX($H$988:$H1048,62-20):$H1048)*SQRT(245),"")</f>
        <v/>
      </c>
      <c r="M1048" s="52" t="str">
        <f aca="false">IF(AND(ISNUMBER($G1048),$G1048&gt;=60),MAX(INDEX($D$848:$D1048,202-60):$D1048),"")</f>
        <v/>
      </c>
      <c r="N1048" s="52" t="str">
        <f aca="false">IF(AND(ISNUMBER($G1048),$G1048&gt;=60),MIN(INDEX($E$848:$E1048,202-60):$E1048),"")</f>
        <v/>
      </c>
      <c r="O1048" s="53" t="str">
        <f aca="false">IF(OR(NOT(ISNUMBER($C1048)),NOT(ISNUMBER($M1048)),$M1048=0),"",$C1048/$M1048-1)</f>
        <v/>
      </c>
      <c r="P1048" s="54"/>
      <c r="Q1048" s="53" t="str">
        <f aca="false">IF(NOT(ISNUMBER($P1048)),"",IFERROR(PERCENTRANK($P$5:$P$1204,$P1048),""))</f>
        <v/>
      </c>
    </row>
    <row r="1049" customFormat="false" ht="15" hidden="false" customHeight="false" outlineLevel="0" collapsed="false">
      <c r="A1049" s="55"/>
      <c r="B1049" s="56"/>
      <c r="C1049" s="57"/>
      <c r="D1049" s="56"/>
      <c r="E1049" s="56"/>
      <c r="F1049" s="56"/>
      <c r="G1049" s="50" t="str">
        <f aca="false">IF($A1049="","",IF(ISNUMBER($G1048),$G1048+1,1))</f>
        <v/>
      </c>
      <c r="H1049" s="51" t="str">
        <f aca="false">IF(OR(NOT(ISNUMBER($G1049)),$G1049&lt;2,NOT(ISNUMBER($C1048)),$C1048=0),"",$C1049/$C1048-1)</f>
        <v/>
      </c>
      <c r="I1049" s="52" t="str">
        <f aca="false">IF(AND(ISNUMBER($G1049),$G1049&gt;=MA_SHORT),AVERAGE(INDEX($C$649:$C1049,402-MA_SHORT):$C1049),"")</f>
        <v/>
      </c>
      <c r="J1049" s="52" t="str">
        <f aca="false">IF(AND(ISNUMBER($G1049),$G1049&gt;=MA_MED),AVERAGE(INDEX($C$649:$C1049,402-MA_MED):$C1049),"")</f>
        <v/>
      </c>
      <c r="K1049" s="52" t="str">
        <f aca="false">IF(AND(ISNUMBER($G1049),$G1049&gt;=MA_LONG2),AVERAGE(INDEX($C$649:$C1049,402-MA_LONG2):$C1049),"")</f>
        <v/>
      </c>
      <c r="L1049" s="53" t="str">
        <f aca="false">IF(AND(ISNUMBER($G1049),$G1049&gt;=21),STDEV(INDEX($H$989:$H1049,62-20):$H1049)*SQRT(245),"")</f>
        <v/>
      </c>
      <c r="M1049" s="52" t="str">
        <f aca="false">IF(AND(ISNUMBER($G1049),$G1049&gt;=60),MAX(INDEX($D$849:$D1049,202-60):$D1049),"")</f>
        <v/>
      </c>
      <c r="N1049" s="52" t="str">
        <f aca="false">IF(AND(ISNUMBER($G1049),$G1049&gt;=60),MIN(INDEX($E$849:$E1049,202-60):$E1049),"")</f>
        <v/>
      </c>
      <c r="O1049" s="53" t="str">
        <f aca="false">IF(OR(NOT(ISNUMBER($C1049)),NOT(ISNUMBER($M1049)),$M1049=0),"",$C1049/$M1049-1)</f>
        <v/>
      </c>
      <c r="P1049" s="54"/>
      <c r="Q1049" s="53" t="str">
        <f aca="false">IF(NOT(ISNUMBER($P1049)),"",IFERROR(PERCENTRANK($P$5:$P$1204,$P1049),""))</f>
        <v/>
      </c>
    </row>
    <row r="1050" customFormat="false" ht="15" hidden="false" customHeight="false" outlineLevel="0" collapsed="false">
      <c r="A1050" s="55"/>
      <c r="B1050" s="56"/>
      <c r="C1050" s="57"/>
      <c r="D1050" s="56"/>
      <c r="E1050" s="56"/>
      <c r="F1050" s="56"/>
      <c r="G1050" s="50" t="str">
        <f aca="false">IF($A1050="","",IF(ISNUMBER($G1049),$G1049+1,1))</f>
        <v/>
      </c>
      <c r="H1050" s="51" t="str">
        <f aca="false">IF(OR(NOT(ISNUMBER($G1050)),$G1050&lt;2,NOT(ISNUMBER($C1049)),$C1049=0),"",$C1050/$C1049-1)</f>
        <v/>
      </c>
      <c r="I1050" s="52" t="str">
        <f aca="false">IF(AND(ISNUMBER($G1050),$G1050&gt;=MA_SHORT),AVERAGE(INDEX($C$650:$C1050,402-MA_SHORT):$C1050),"")</f>
        <v/>
      </c>
      <c r="J1050" s="52" t="str">
        <f aca="false">IF(AND(ISNUMBER($G1050),$G1050&gt;=MA_MED),AVERAGE(INDEX($C$650:$C1050,402-MA_MED):$C1050),"")</f>
        <v/>
      </c>
      <c r="K1050" s="52" t="str">
        <f aca="false">IF(AND(ISNUMBER($G1050),$G1050&gt;=MA_LONG2),AVERAGE(INDEX($C$650:$C1050,402-MA_LONG2):$C1050),"")</f>
        <v/>
      </c>
      <c r="L1050" s="53" t="str">
        <f aca="false">IF(AND(ISNUMBER($G1050),$G1050&gt;=21),STDEV(INDEX($H$990:$H1050,62-20):$H1050)*SQRT(245),"")</f>
        <v/>
      </c>
      <c r="M1050" s="52" t="str">
        <f aca="false">IF(AND(ISNUMBER($G1050),$G1050&gt;=60),MAX(INDEX($D$850:$D1050,202-60):$D1050),"")</f>
        <v/>
      </c>
      <c r="N1050" s="52" t="str">
        <f aca="false">IF(AND(ISNUMBER($G1050),$G1050&gt;=60),MIN(INDEX($E$850:$E1050,202-60):$E1050),"")</f>
        <v/>
      </c>
      <c r="O1050" s="53" t="str">
        <f aca="false">IF(OR(NOT(ISNUMBER($C1050)),NOT(ISNUMBER($M1050)),$M1050=0),"",$C1050/$M1050-1)</f>
        <v/>
      </c>
      <c r="P1050" s="54"/>
      <c r="Q1050" s="53" t="str">
        <f aca="false">IF(NOT(ISNUMBER($P1050)),"",IFERROR(PERCENTRANK($P$5:$P$1204,$P1050),""))</f>
        <v/>
      </c>
    </row>
    <row r="1051" customFormat="false" ht="15" hidden="false" customHeight="false" outlineLevel="0" collapsed="false">
      <c r="A1051" s="55"/>
      <c r="B1051" s="56"/>
      <c r="C1051" s="57"/>
      <c r="D1051" s="56"/>
      <c r="E1051" s="56"/>
      <c r="F1051" s="56"/>
      <c r="G1051" s="50" t="str">
        <f aca="false">IF($A1051="","",IF(ISNUMBER($G1050),$G1050+1,1))</f>
        <v/>
      </c>
      <c r="H1051" s="51" t="str">
        <f aca="false">IF(OR(NOT(ISNUMBER($G1051)),$G1051&lt;2,NOT(ISNUMBER($C1050)),$C1050=0),"",$C1051/$C1050-1)</f>
        <v/>
      </c>
      <c r="I1051" s="52" t="str">
        <f aca="false">IF(AND(ISNUMBER($G1051),$G1051&gt;=MA_SHORT),AVERAGE(INDEX($C$651:$C1051,402-MA_SHORT):$C1051),"")</f>
        <v/>
      </c>
      <c r="J1051" s="52" t="str">
        <f aca="false">IF(AND(ISNUMBER($G1051),$G1051&gt;=MA_MED),AVERAGE(INDEX($C$651:$C1051,402-MA_MED):$C1051),"")</f>
        <v/>
      </c>
      <c r="K1051" s="52" t="str">
        <f aca="false">IF(AND(ISNUMBER($G1051),$G1051&gt;=MA_LONG2),AVERAGE(INDEX($C$651:$C1051,402-MA_LONG2):$C1051),"")</f>
        <v/>
      </c>
      <c r="L1051" s="53" t="str">
        <f aca="false">IF(AND(ISNUMBER($G1051),$G1051&gt;=21),STDEV(INDEX($H$991:$H1051,62-20):$H1051)*SQRT(245),"")</f>
        <v/>
      </c>
      <c r="M1051" s="52" t="str">
        <f aca="false">IF(AND(ISNUMBER($G1051),$G1051&gt;=60),MAX(INDEX($D$851:$D1051,202-60):$D1051),"")</f>
        <v/>
      </c>
      <c r="N1051" s="52" t="str">
        <f aca="false">IF(AND(ISNUMBER($G1051),$G1051&gt;=60),MIN(INDEX($E$851:$E1051,202-60):$E1051),"")</f>
        <v/>
      </c>
      <c r="O1051" s="53" t="str">
        <f aca="false">IF(OR(NOT(ISNUMBER($C1051)),NOT(ISNUMBER($M1051)),$M1051=0),"",$C1051/$M1051-1)</f>
        <v/>
      </c>
      <c r="P1051" s="54"/>
      <c r="Q1051" s="53" t="str">
        <f aca="false">IF(NOT(ISNUMBER($P1051)),"",IFERROR(PERCENTRANK($P$5:$P$1204,$P1051),""))</f>
        <v/>
      </c>
    </row>
    <row r="1052" customFormat="false" ht="15" hidden="false" customHeight="false" outlineLevel="0" collapsed="false">
      <c r="A1052" s="55"/>
      <c r="B1052" s="56"/>
      <c r="C1052" s="57"/>
      <c r="D1052" s="56"/>
      <c r="E1052" s="56"/>
      <c r="F1052" s="56"/>
      <c r="G1052" s="50" t="str">
        <f aca="false">IF($A1052="","",IF(ISNUMBER($G1051),$G1051+1,1))</f>
        <v/>
      </c>
      <c r="H1052" s="51" t="str">
        <f aca="false">IF(OR(NOT(ISNUMBER($G1052)),$G1052&lt;2,NOT(ISNUMBER($C1051)),$C1051=0),"",$C1052/$C1051-1)</f>
        <v/>
      </c>
      <c r="I1052" s="52" t="str">
        <f aca="false">IF(AND(ISNUMBER($G1052),$G1052&gt;=MA_SHORT),AVERAGE(INDEX($C$652:$C1052,402-MA_SHORT):$C1052),"")</f>
        <v/>
      </c>
      <c r="J1052" s="52" t="str">
        <f aca="false">IF(AND(ISNUMBER($G1052),$G1052&gt;=MA_MED),AVERAGE(INDEX($C$652:$C1052,402-MA_MED):$C1052),"")</f>
        <v/>
      </c>
      <c r="K1052" s="52" t="str">
        <f aca="false">IF(AND(ISNUMBER($G1052),$G1052&gt;=MA_LONG2),AVERAGE(INDEX($C$652:$C1052,402-MA_LONG2):$C1052),"")</f>
        <v/>
      </c>
      <c r="L1052" s="53" t="str">
        <f aca="false">IF(AND(ISNUMBER($G1052),$G1052&gt;=21),STDEV(INDEX($H$992:$H1052,62-20):$H1052)*SQRT(245),"")</f>
        <v/>
      </c>
      <c r="M1052" s="52" t="str">
        <f aca="false">IF(AND(ISNUMBER($G1052),$G1052&gt;=60),MAX(INDEX($D$852:$D1052,202-60):$D1052),"")</f>
        <v/>
      </c>
      <c r="N1052" s="52" t="str">
        <f aca="false">IF(AND(ISNUMBER($G1052),$G1052&gt;=60),MIN(INDEX($E$852:$E1052,202-60):$E1052),"")</f>
        <v/>
      </c>
      <c r="O1052" s="53" t="str">
        <f aca="false">IF(OR(NOT(ISNUMBER($C1052)),NOT(ISNUMBER($M1052)),$M1052=0),"",$C1052/$M1052-1)</f>
        <v/>
      </c>
      <c r="P1052" s="54"/>
      <c r="Q1052" s="53" t="str">
        <f aca="false">IF(NOT(ISNUMBER($P1052)),"",IFERROR(PERCENTRANK($P$5:$P$1204,$P1052),""))</f>
        <v/>
      </c>
    </row>
    <row r="1053" customFormat="false" ht="15" hidden="false" customHeight="false" outlineLevel="0" collapsed="false">
      <c r="A1053" s="55"/>
      <c r="B1053" s="56"/>
      <c r="C1053" s="57"/>
      <c r="D1053" s="56"/>
      <c r="E1053" s="56"/>
      <c r="F1053" s="56"/>
      <c r="G1053" s="50" t="str">
        <f aca="false">IF($A1053="","",IF(ISNUMBER($G1052),$G1052+1,1))</f>
        <v/>
      </c>
      <c r="H1053" s="51" t="str">
        <f aca="false">IF(OR(NOT(ISNUMBER($G1053)),$G1053&lt;2,NOT(ISNUMBER($C1052)),$C1052=0),"",$C1053/$C1052-1)</f>
        <v/>
      </c>
      <c r="I1053" s="52" t="str">
        <f aca="false">IF(AND(ISNUMBER($G1053),$G1053&gt;=MA_SHORT),AVERAGE(INDEX($C$653:$C1053,402-MA_SHORT):$C1053),"")</f>
        <v/>
      </c>
      <c r="J1053" s="52" t="str">
        <f aca="false">IF(AND(ISNUMBER($G1053),$G1053&gt;=MA_MED),AVERAGE(INDEX($C$653:$C1053,402-MA_MED):$C1053),"")</f>
        <v/>
      </c>
      <c r="K1053" s="52" t="str">
        <f aca="false">IF(AND(ISNUMBER($G1053),$G1053&gt;=MA_LONG2),AVERAGE(INDEX($C$653:$C1053,402-MA_LONG2):$C1053),"")</f>
        <v/>
      </c>
      <c r="L1053" s="53" t="str">
        <f aca="false">IF(AND(ISNUMBER($G1053),$G1053&gt;=21),STDEV(INDEX($H$993:$H1053,62-20):$H1053)*SQRT(245),"")</f>
        <v/>
      </c>
      <c r="M1053" s="52" t="str">
        <f aca="false">IF(AND(ISNUMBER($G1053),$G1053&gt;=60),MAX(INDEX($D$853:$D1053,202-60):$D1053),"")</f>
        <v/>
      </c>
      <c r="N1053" s="52" t="str">
        <f aca="false">IF(AND(ISNUMBER($G1053),$G1053&gt;=60),MIN(INDEX($E$853:$E1053,202-60):$E1053),"")</f>
        <v/>
      </c>
      <c r="O1053" s="53" t="str">
        <f aca="false">IF(OR(NOT(ISNUMBER($C1053)),NOT(ISNUMBER($M1053)),$M1053=0),"",$C1053/$M1053-1)</f>
        <v/>
      </c>
      <c r="P1053" s="54"/>
      <c r="Q1053" s="53" t="str">
        <f aca="false">IF(NOT(ISNUMBER($P1053)),"",IFERROR(PERCENTRANK($P$5:$P$1204,$P1053),""))</f>
        <v/>
      </c>
    </row>
    <row r="1054" customFormat="false" ht="15" hidden="false" customHeight="false" outlineLevel="0" collapsed="false">
      <c r="A1054" s="55"/>
      <c r="B1054" s="56"/>
      <c r="C1054" s="57"/>
      <c r="D1054" s="56"/>
      <c r="E1054" s="56"/>
      <c r="F1054" s="56"/>
      <c r="G1054" s="50" t="str">
        <f aca="false">IF($A1054="","",IF(ISNUMBER($G1053),$G1053+1,1))</f>
        <v/>
      </c>
      <c r="H1054" s="51" t="str">
        <f aca="false">IF(OR(NOT(ISNUMBER($G1054)),$G1054&lt;2,NOT(ISNUMBER($C1053)),$C1053=0),"",$C1054/$C1053-1)</f>
        <v/>
      </c>
      <c r="I1054" s="52" t="str">
        <f aca="false">IF(AND(ISNUMBER($G1054),$G1054&gt;=MA_SHORT),AVERAGE(INDEX($C$654:$C1054,402-MA_SHORT):$C1054),"")</f>
        <v/>
      </c>
      <c r="J1054" s="52" t="str">
        <f aca="false">IF(AND(ISNUMBER($G1054),$G1054&gt;=MA_MED),AVERAGE(INDEX($C$654:$C1054,402-MA_MED):$C1054),"")</f>
        <v/>
      </c>
      <c r="K1054" s="52" t="str">
        <f aca="false">IF(AND(ISNUMBER($G1054),$G1054&gt;=MA_LONG2),AVERAGE(INDEX($C$654:$C1054,402-MA_LONG2):$C1054),"")</f>
        <v/>
      </c>
      <c r="L1054" s="53" t="str">
        <f aca="false">IF(AND(ISNUMBER($G1054),$G1054&gt;=21),STDEV(INDEX($H$994:$H1054,62-20):$H1054)*SQRT(245),"")</f>
        <v/>
      </c>
      <c r="M1054" s="52" t="str">
        <f aca="false">IF(AND(ISNUMBER($G1054),$G1054&gt;=60),MAX(INDEX($D$854:$D1054,202-60):$D1054),"")</f>
        <v/>
      </c>
      <c r="N1054" s="52" t="str">
        <f aca="false">IF(AND(ISNUMBER($G1054),$G1054&gt;=60),MIN(INDEX($E$854:$E1054,202-60):$E1054),"")</f>
        <v/>
      </c>
      <c r="O1054" s="53" t="str">
        <f aca="false">IF(OR(NOT(ISNUMBER($C1054)),NOT(ISNUMBER($M1054)),$M1054=0),"",$C1054/$M1054-1)</f>
        <v/>
      </c>
      <c r="P1054" s="54"/>
      <c r="Q1054" s="53" t="str">
        <f aca="false">IF(NOT(ISNUMBER($P1054)),"",IFERROR(PERCENTRANK($P$5:$P$1204,$P1054),""))</f>
        <v/>
      </c>
    </row>
    <row r="1055" customFormat="false" ht="15" hidden="false" customHeight="false" outlineLevel="0" collapsed="false">
      <c r="A1055" s="55"/>
      <c r="B1055" s="56"/>
      <c r="C1055" s="57"/>
      <c r="D1055" s="56"/>
      <c r="E1055" s="56"/>
      <c r="F1055" s="56"/>
      <c r="G1055" s="50" t="str">
        <f aca="false">IF($A1055="","",IF(ISNUMBER($G1054),$G1054+1,1))</f>
        <v/>
      </c>
      <c r="H1055" s="51" t="str">
        <f aca="false">IF(OR(NOT(ISNUMBER($G1055)),$G1055&lt;2,NOT(ISNUMBER($C1054)),$C1054=0),"",$C1055/$C1054-1)</f>
        <v/>
      </c>
      <c r="I1055" s="52" t="str">
        <f aca="false">IF(AND(ISNUMBER($G1055),$G1055&gt;=MA_SHORT),AVERAGE(INDEX($C$655:$C1055,402-MA_SHORT):$C1055),"")</f>
        <v/>
      </c>
      <c r="J1055" s="52" t="str">
        <f aca="false">IF(AND(ISNUMBER($G1055),$G1055&gt;=MA_MED),AVERAGE(INDEX($C$655:$C1055,402-MA_MED):$C1055),"")</f>
        <v/>
      </c>
      <c r="K1055" s="52" t="str">
        <f aca="false">IF(AND(ISNUMBER($G1055),$G1055&gt;=MA_LONG2),AVERAGE(INDEX($C$655:$C1055,402-MA_LONG2):$C1055),"")</f>
        <v/>
      </c>
      <c r="L1055" s="53" t="str">
        <f aca="false">IF(AND(ISNUMBER($G1055),$G1055&gt;=21),STDEV(INDEX($H$995:$H1055,62-20):$H1055)*SQRT(245),"")</f>
        <v/>
      </c>
      <c r="M1055" s="52" t="str">
        <f aca="false">IF(AND(ISNUMBER($G1055),$G1055&gt;=60),MAX(INDEX($D$855:$D1055,202-60):$D1055),"")</f>
        <v/>
      </c>
      <c r="N1055" s="52" t="str">
        <f aca="false">IF(AND(ISNUMBER($G1055),$G1055&gt;=60),MIN(INDEX($E$855:$E1055,202-60):$E1055),"")</f>
        <v/>
      </c>
      <c r="O1055" s="53" t="str">
        <f aca="false">IF(OR(NOT(ISNUMBER($C1055)),NOT(ISNUMBER($M1055)),$M1055=0),"",$C1055/$M1055-1)</f>
        <v/>
      </c>
      <c r="P1055" s="54"/>
      <c r="Q1055" s="53" t="str">
        <f aca="false">IF(NOT(ISNUMBER($P1055)),"",IFERROR(PERCENTRANK($P$5:$P$1204,$P1055),""))</f>
        <v/>
      </c>
    </row>
    <row r="1056" customFormat="false" ht="15" hidden="false" customHeight="false" outlineLevel="0" collapsed="false">
      <c r="A1056" s="55"/>
      <c r="B1056" s="56"/>
      <c r="C1056" s="57"/>
      <c r="D1056" s="56"/>
      <c r="E1056" s="56"/>
      <c r="F1056" s="56"/>
      <c r="G1056" s="50" t="str">
        <f aca="false">IF($A1056="","",IF(ISNUMBER($G1055),$G1055+1,1))</f>
        <v/>
      </c>
      <c r="H1056" s="51" t="str">
        <f aca="false">IF(OR(NOT(ISNUMBER($G1056)),$G1056&lt;2,NOT(ISNUMBER($C1055)),$C1055=0),"",$C1056/$C1055-1)</f>
        <v/>
      </c>
      <c r="I1056" s="52" t="str">
        <f aca="false">IF(AND(ISNUMBER($G1056),$G1056&gt;=MA_SHORT),AVERAGE(INDEX($C$656:$C1056,402-MA_SHORT):$C1056),"")</f>
        <v/>
      </c>
      <c r="J1056" s="52" t="str">
        <f aca="false">IF(AND(ISNUMBER($G1056),$G1056&gt;=MA_MED),AVERAGE(INDEX($C$656:$C1056,402-MA_MED):$C1056),"")</f>
        <v/>
      </c>
      <c r="K1056" s="52" t="str">
        <f aca="false">IF(AND(ISNUMBER($G1056),$G1056&gt;=MA_LONG2),AVERAGE(INDEX($C$656:$C1056,402-MA_LONG2):$C1056),"")</f>
        <v/>
      </c>
      <c r="L1056" s="53" t="str">
        <f aca="false">IF(AND(ISNUMBER($G1056),$G1056&gt;=21),STDEV(INDEX($H$996:$H1056,62-20):$H1056)*SQRT(245),"")</f>
        <v/>
      </c>
      <c r="M1056" s="52" t="str">
        <f aca="false">IF(AND(ISNUMBER($G1056),$G1056&gt;=60),MAX(INDEX($D$856:$D1056,202-60):$D1056),"")</f>
        <v/>
      </c>
      <c r="N1056" s="52" t="str">
        <f aca="false">IF(AND(ISNUMBER($G1056),$G1056&gt;=60),MIN(INDEX($E$856:$E1056,202-60):$E1056),"")</f>
        <v/>
      </c>
      <c r="O1056" s="53" t="str">
        <f aca="false">IF(OR(NOT(ISNUMBER($C1056)),NOT(ISNUMBER($M1056)),$M1056=0),"",$C1056/$M1056-1)</f>
        <v/>
      </c>
      <c r="P1056" s="54"/>
      <c r="Q1056" s="53" t="str">
        <f aca="false">IF(NOT(ISNUMBER($P1056)),"",IFERROR(PERCENTRANK($P$5:$P$1204,$P1056),""))</f>
        <v/>
      </c>
    </row>
    <row r="1057" customFormat="false" ht="15" hidden="false" customHeight="false" outlineLevel="0" collapsed="false">
      <c r="A1057" s="55"/>
      <c r="B1057" s="56"/>
      <c r="C1057" s="57"/>
      <c r="D1057" s="56"/>
      <c r="E1057" s="56"/>
      <c r="F1057" s="56"/>
      <c r="G1057" s="50" t="str">
        <f aca="false">IF($A1057="","",IF(ISNUMBER($G1056),$G1056+1,1))</f>
        <v/>
      </c>
      <c r="H1057" s="51" t="str">
        <f aca="false">IF(OR(NOT(ISNUMBER($G1057)),$G1057&lt;2,NOT(ISNUMBER($C1056)),$C1056=0),"",$C1057/$C1056-1)</f>
        <v/>
      </c>
      <c r="I1057" s="52" t="str">
        <f aca="false">IF(AND(ISNUMBER($G1057),$G1057&gt;=MA_SHORT),AVERAGE(INDEX($C$657:$C1057,402-MA_SHORT):$C1057),"")</f>
        <v/>
      </c>
      <c r="J1057" s="52" t="str">
        <f aca="false">IF(AND(ISNUMBER($G1057),$G1057&gt;=MA_MED),AVERAGE(INDEX($C$657:$C1057,402-MA_MED):$C1057),"")</f>
        <v/>
      </c>
      <c r="K1057" s="52" t="str">
        <f aca="false">IF(AND(ISNUMBER($G1057),$G1057&gt;=MA_LONG2),AVERAGE(INDEX($C$657:$C1057,402-MA_LONG2):$C1057),"")</f>
        <v/>
      </c>
      <c r="L1057" s="53" t="str">
        <f aca="false">IF(AND(ISNUMBER($G1057),$G1057&gt;=21),STDEV(INDEX($H$997:$H1057,62-20):$H1057)*SQRT(245),"")</f>
        <v/>
      </c>
      <c r="M1057" s="52" t="str">
        <f aca="false">IF(AND(ISNUMBER($G1057),$G1057&gt;=60),MAX(INDEX($D$857:$D1057,202-60):$D1057),"")</f>
        <v/>
      </c>
      <c r="N1057" s="52" t="str">
        <f aca="false">IF(AND(ISNUMBER($G1057),$G1057&gt;=60),MIN(INDEX($E$857:$E1057,202-60):$E1057),"")</f>
        <v/>
      </c>
      <c r="O1057" s="53" t="str">
        <f aca="false">IF(OR(NOT(ISNUMBER($C1057)),NOT(ISNUMBER($M1057)),$M1057=0),"",$C1057/$M1057-1)</f>
        <v/>
      </c>
      <c r="P1057" s="54"/>
      <c r="Q1057" s="53" t="str">
        <f aca="false">IF(NOT(ISNUMBER($P1057)),"",IFERROR(PERCENTRANK($P$5:$P$1204,$P1057),""))</f>
        <v/>
      </c>
    </row>
    <row r="1058" customFormat="false" ht="15" hidden="false" customHeight="false" outlineLevel="0" collapsed="false">
      <c r="A1058" s="55"/>
      <c r="B1058" s="56"/>
      <c r="C1058" s="57"/>
      <c r="D1058" s="56"/>
      <c r="E1058" s="56"/>
      <c r="F1058" s="56"/>
      <c r="G1058" s="50" t="str">
        <f aca="false">IF($A1058="","",IF(ISNUMBER($G1057),$G1057+1,1))</f>
        <v/>
      </c>
      <c r="H1058" s="51" t="str">
        <f aca="false">IF(OR(NOT(ISNUMBER($G1058)),$G1058&lt;2,NOT(ISNUMBER($C1057)),$C1057=0),"",$C1058/$C1057-1)</f>
        <v/>
      </c>
      <c r="I1058" s="52" t="str">
        <f aca="false">IF(AND(ISNUMBER($G1058),$G1058&gt;=MA_SHORT),AVERAGE(INDEX($C$658:$C1058,402-MA_SHORT):$C1058),"")</f>
        <v/>
      </c>
      <c r="J1058" s="52" t="str">
        <f aca="false">IF(AND(ISNUMBER($G1058),$G1058&gt;=MA_MED),AVERAGE(INDEX($C$658:$C1058,402-MA_MED):$C1058),"")</f>
        <v/>
      </c>
      <c r="K1058" s="52" t="str">
        <f aca="false">IF(AND(ISNUMBER($G1058),$G1058&gt;=MA_LONG2),AVERAGE(INDEX($C$658:$C1058,402-MA_LONG2):$C1058),"")</f>
        <v/>
      </c>
      <c r="L1058" s="53" t="str">
        <f aca="false">IF(AND(ISNUMBER($G1058),$G1058&gt;=21),STDEV(INDEX($H$998:$H1058,62-20):$H1058)*SQRT(245),"")</f>
        <v/>
      </c>
      <c r="M1058" s="52" t="str">
        <f aca="false">IF(AND(ISNUMBER($G1058),$G1058&gt;=60),MAX(INDEX($D$858:$D1058,202-60):$D1058),"")</f>
        <v/>
      </c>
      <c r="N1058" s="52" t="str">
        <f aca="false">IF(AND(ISNUMBER($G1058),$G1058&gt;=60),MIN(INDEX($E$858:$E1058,202-60):$E1058),"")</f>
        <v/>
      </c>
      <c r="O1058" s="53" t="str">
        <f aca="false">IF(OR(NOT(ISNUMBER($C1058)),NOT(ISNUMBER($M1058)),$M1058=0),"",$C1058/$M1058-1)</f>
        <v/>
      </c>
      <c r="P1058" s="54"/>
      <c r="Q1058" s="53" t="str">
        <f aca="false">IF(NOT(ISNUMBER($P1058)),"",IFERROR(PERCENTRANK($P$5:$P$1204,$P1058),""))</f>
        <v/>
      </c>
    </row>
    <row r="1059" customFormat="false" ht="15" hidden="false" customHeight="false" outlineLevel="0" collapsed="false">
      <c r="A1059" s="55"/>
      <c r="B1059" s="56"/>
      <c r="C1059" s="57"/>
      <c r="D1059" s="56"/>
      <c r="E1059" s="56"/>
      <c r="F1059" s="56"/>
      <c r="G1059" s="50" t="str">
        <f aca="false">IF($A1059="","",IF(ISNUMBER($G1058),$G1058+1,1))</f>
        <v/>
      </c>
      <c r="H1059" s="51" t="str">
        <f aca="false">IF(OR(NOT(ISNUMBER($G1059)),$G1059&lt;2,NOT(ISNUMBER($C1058)),$C1058=0),"",$C1059/$C1058-1)</f>
        <v/>
      </c>
      <c r="I1059" s="52" t="str">
        <f aca="false">IF(AND(ISNUMBER($G1059),$G1059&gt;=MA_SHORT),AVERAGE(INDEX($C$659:$C1059,402-MA_SHORT):$C1059),"")</f>
        <v/>
      </c>
      <c r="J1059" s="52" t="str">
        <f aca="false">IF(AND(ISNUMBER($G1059),$G1059&gt;=MA_MED),AVERAGE(INDEX($C$659:$C1059,402-MA_MED):$C1059),"")</f>
        <v/>
      </c>
      <c r="K1059" s="52" t="str">
        <f aca="false">IF(AND(ISNUMBER($G1059),$G1059&gt;=MA_LONG2),AVERAGE(INDEX($C$659:$C1059,402-MA_LONG2):$C1059),"")</f>
        <v/>
      </c>
      <c r="L1059" s="53" t="str">
        <f aca="false">IF(AND(ISNUMBER($G1059),$G1059&gt;=21),STDEV(INDEX($H$999:$H1059,62-20):$H1059)*SQRT(245),"")</f>
        <v/>
      </c>
      <c r="M1059" s="52" t="str">
        <f aca="false">IF(AND(ISNUMBER($G1059),$G1059&gt;=60),MAX(INDEX($D$859:$D1059,202-60):$D1059),"")</f>
        <v/>
      </c>
      <c r="N1059" s="52" t="str">
        <f aca="false">IF(AND(ISNUMBER($G1059),$G1059&gt;=60),MIN(INDEX($E$859:$E1059,202-60):$E1059),"")</f>
        <v/>
      </c>
      <c r="O1059" s="53" t="str">
        <f aca="false">IF(OR(NOT(ISNUMBER($C1059)),NOT(ISNUMBER($M1059)),$M1059=0),"",$C1059/$M1059-1)</f>
        <v/>
      </c>
      <c r="P1059" s="54"/>
      <c r="Q1059" s="53" t="str">
        <f aca="false">IF(NOT(ISNUMBER($P1059)),"",IFERROR(PERCENTRANK($P$5:$P$1204,$P1059),""))</f>
        <v/>
      </c>
    </row>
    <row r="1060" customFormat="false" ht="15" hidden="false" customHeight="false" outlineLevel="0" collapsed="false">
      <c r="A1060" s="55"/>
      <c r="B1060" s="56"/>
      <c r="C1060" s="57"/>
      <c r="D1060" s="56"/>
      <c r="E1060" s="56"/>
      <c r="F1060" s="56"/>
      <c r="G1060" s="50" t="str">
        <f aca="false">IF($A1060="","",IF(ISNUMBER($G1059),$G1059+1,1))</f>
        <v/>
      </c>
      <c r="H1060" s="51" t="str">
        <f aca="false">IF(OR(NOT(ISNUMBER($G1060)),$G1060&lt;2,NOT(ISNUMBER($C1059)),$C1059=0),"",$C1060/$C1059-1)</f>
        <v/>
      </c>
      <c r="I1060" s="52" t="str">
        <f aca="false">IF(AND(ISNUMBER($G1060),$G1060&gt;=MA_SHORT),AVERAGE(INDEX($C$660:$C1060,402-MA_SHORT):$C1060),"")</f>
        <v/>
      </c>
      <c r="J1060" s="52" t="str">
        <f aca="false">IF(AND(ISNUMBER($G1060),$G1060&gt;=MA_MED),AVERAGE(INDEX($C$660:$C1060,402-MA_MED):$C1060),"")</f>
        <v/>
      </c>
      <c r="K1060" s="52" t="str">
        <f aca="false">IF(AND(ISNUMBER($G1060),$G1060&gt;=MA_LONG2),AVERAGE(INDEX($C$660:$C1060,402-MA_LONG2):$C1060),"")</f>
        <v/>
      </c>
      <c r="L1060" s="53" t="str">
        <f aca="false">IF(AND(ISNUMBER($G1060),$G1060&gt;=21),STDEV(INDEX($H$1000:$H1060,62-20):$H1060)*SQRT(245),"")</f>
        <v/>
      </c>
      <c r="M1060" s="52" t="str">
        <f aca="false">IF(AND(ISNUMBER($G1060),$G1060&gt;=60),MAX(INDEX($D$860:$D1060,202-60):$D1060),"")</f>
        <v/>
      </c>
      <c r="N1060" s="52" t="str">
        <f aca="false">IF(AND(ISNUMBER($G1060),$G1060&gt;=60),MIN(INDEX($E$860:$E1060,202-60):$E1060),"")</f>
        <v/>
      </c>
      <c r="O1060" s="53" t="str">
        <f aca="false">IF(OR(NOT(ISNUMBER($C1060)),NOT(ISNUMBER($M1060)),$M1060=0),"",$C1060/$M1060-1)</f>
        <v/>
      </c>
      <c r="P1060" s="54"/>
      <c r="Q1060" s="53" t="str">
        <f aca="false">IF(NOT(ISNUMBER($P1060)),"",IFERROR(PERCENTRANK($P$5:$P$1204,$P1060),""))</f>
        <v/>
      </c>
    </row>
    <row r="1061" customFormat="false" ht="15" hidden="false" customHeight="false" outlineLevel="0" collapsed="false">
      <c r="A1061" s="55"/>
      <c r="B1061" s="56"/>
      <c r="C1061" s="57"/>
      <c r="D1061" s="56"/>
      <c r="E1061" s="56"/>
      <c r="F1061" s="56"/>
      <c r="G1061" s="50" t="str">
        <f aca="false">IF($A1061="","",IF(ISNUMBER($G1060),$G1060+1,1))</f>
        <v/>
      </c>
      <c r="H1061" s="51" t="str">
        <f aca="false">IF(OR(NOT(ISNUMBER($G1061)),$G1061&lt;2,NOT(ISNUMBER($C1060)),$C1060=0),"",$C1061/$C1060-1)</f>
        <v/>
      </c>
      <c r="I1061" s="52" t="str">
        <f aca="false">IF(AND(ISNUMBER($G1061),$G1061&gt;=MA_SHORT),AVERAGE(INDEX($C$661:$C1061,402-MA_SHORT):$C1061),"")</f>
        <v/>
      </c>
      <c r="J1061" s="52" t="str">
        <f aca="false">IF(AND(ISNUMBER($G1061),$G1061&gt;=MA_MED),AVERAGE(INDEX($C$661:$C1061,402-MA_MED):$C1061),"")</f>
        <v/>
      </c>
      <c r="K1061" s="52" t="str">
        <f aca="false">IF(AND(ISNUMBER($G1061),$G1061&gt;=MA_LONG2),AVERAGE(INDEX($C$661:$C1061,402-MA_LONG2):$C1061),"")</f>
        <v/>
      </c>
      <c r="L1061" s="53" t="str">
        <f aca="false">IF(AND(ISNUMBER($G1061),$G1061&gt;=21),STDEV(INDEX($H$1001:$H1061,62-20):$H1061)*SQRT(245),"")</f>
        <v/>
      </c>
      <c r="M1061" s="52" t="str">
        <f aca="false">IF(AND(ISNUMBER($G1061),$G1061&gt;=60),MAX(INDEX($D$861:$D1061,202-60):$D1061),"")</f>
        <v/>
      </c>
      <c r="N1061" s="52" t="str">
        <f aca="false">IF(AND(ISNUMBER($G1061),$G1061&gt;=60),MIN(INDEX($E$861:$E1061,202-60):$E1061),"")</f>
        <v/>
      </c>
      <c r="O1061" s="53" t="str">
        <f aca="false">IF(OR(NOT(ISNUMBER($C1061)),NOT(ISNUMBER($M1061)),$M1061=0),"",$C1061/$M1061-1)</f>
        <v/>
      </c>
      <c r="P1061" s="54"/>
      <c r="Q1061" s="53" t="str">
        <f aca="false">IF(NOT(ISNUMBER($P1061)),"",IFERROR(PERCENTRANK($P$5:$P$1204,$P1061),""))</f>
        <v/>
      </c>
    </row>
    <row r="1062" customFormat="false" ht="15" hidden="false" customHeight="false" outlineLevel="0" collapsed="false">
      <c r="A1062" s="55"/>
      <c r="B1062" s="56"/>
      <c r="C1062" s="57"/>
      <c r="D1062" s="56"/>
      <c r="E1062" s="56"/>
      <c r="F1062" s="56"/>
      <c r="G1062" s="50" t="str">
        <f aca="false">IF($A1062="","",IF(ISNUMBER($G1061),$G1061+1,1))</f>
        <v/>
      </c>
      <c r="H1062" s="51" t="str">
        <f aca="false">IF(OR(NOT(ISNUMBER($G1062)),$G1062&lt;2,NOT(ISNUMBER($C1061)),$C1061=0),"",$C1062/$C1061-1)</f>
        <v/>
      </c>
      <c r="I1062" s="52" t="str">
        <f aca="false">IF(AND(ISNUMBER($G1062),$G1062&gt;=MA_SHORT),AVERAGE(INDEX($C$662:$C1062,402-MA_SHORT):$C1062),"")</f>
        <v/>
      </c>
      <c r="J1062" s="52" t="str">
        <f aca="false">IF(AND(ISNUMBER($G1062),$G1062&gt;=MA_MED),AVERAGE(INDEX($C$662:$C1062,402-MA_MED):$C1062),"")</f>
        <v/>
      </c>
      <c r="K1062" s="52" t="str">
        <f aca="false">IF(AND(ISNUMBER($G1062),$G1062&gt;=MA_LONG2),AVERAGE(INDEX($C$662:$C1062,402-MA_LONG2):$C1062),"")</f>
        <v/>
      </c>
      <c r="L1062" s="53" t="str">
        <f aca="false">IF(AND(ISNUMBER($G1062),$G1062&gt;=21),STDEV(INDEX($H$1002:$H1062,62-20):$H1062)*SQRT(245),"")</f>
        <v/>
      </c>
      <c r="M1062" s="52" t="str">
        <f aca="false">IF(AND(ISNUMBER($G1062),$G1062&gt;=60),MAX(INDEX($D$862:$D1062,202-60):$D1062),"")</f>
        <v/>
      </c>
      <c r="N1062" s="52" t="str">
        <f aca="false">IF(AND(ISNUMBER($G1062),$G1062&gt;=60),MIN(INDEX($E$862:$E1062,202-60):$E1062),"")</f>
        <v/>
      </c>
      <c r="O1062" s="53" t="str">
        <f aca="false">IF(OR(NOT(ISNUMBER($C1062)),NOT(ISNUMBER($M1062)),$M1062=0),"",$C1062/$M1062-1)</f>
        <v/>
      </c>
      <c r="P1062" s="54"/>
      <c r="Q1062" s="53" t="str">
        <f aca="false">IF(NOT(ISNUMBER($P1062)),"",IFERROR(PERCENTRANK($P$5:$P$1204,$P1062),""))</f>
        <v/>
      </c>
    </row>
    <row r="1063" customFormat="false" ht="15" hidden="false" customHeight="false" outlineLevel="0" collapsed="false">
      <c r="A1063" s="55"/>
      <c r="B1063" s="56"/>
      <c r="C1063" s="57"/>
      <c r="D1063" s="56"/>
      <c r="E1063" s="56"/>
      <c r="F1063" s="56"/>
      <c r="G1063" s="50" t="str">
        <f aca="false">IF($A1063="","",IF(ISNUMBER($G1062),$G1062+1,1))</f>
        <v/>
      </c>
      <c r="H1063" s="51" t="str">
        <f aca="false">IF(OR(NOT(ISNUMBER($G1063)),$G1063&lt;2,NOT(ISNUMBER($C1062)),$C1062=0),"",$C1063/$C1062-1)</f>
        <v/>
      </c>
      <c r="I1063" s="52" t="str">
        <f aca="false">IF(AND(ISNUMBER($G1063),$G1063&gt;=MA_SHORT),AVERAGE(INDEX($C$663:$C1063,402-MA_SHORT):$C1063),"")</f>
        <v/>
      </c>
      <c r="J1063" s="52" t="str">
        <f aca="false">IF(AND(ISNUMBER($G1063),$G1063&gt;=MA_MED),AVERAGE(INDEX($C$663:$C1063,402-MA_MED):$C1063),"")</f>
        <v/>
      </c>
      <c r="K1063" s="52" t="str">
        <f aca="false">IF(AND(ISNUMBER($G1063),$G1063&gt;=MA_LONG2),AVERAGE(INDEX($C$663:$C1063,402-MA_LONG2):$C1063),"")</f>
        <v/>
      </c>
      <c r="L1063" s="53" t="str">
        <f aca="false">IF(AND(ISNUMBER($G1063),$G1063&gt;=21),STDEV(INDEX($H$1003:$H1063,62-20):$H1063)*SQRT(245),"")</f>
        <v/>
      </c>
      <c r="M1063" s="52" t="str">
        <f aca="false">IF(AND(ISNUMBER($G1063),$G1063&gt;=60),MAX(INDEX($D$863:$D1063,202-60):$D1063),"")</f>
        <v/>
      </c>
      <c r="N1063" s="52" t="str">
        <f aca="false">IF(AND(ISNUMBER($G1063),$G1063&gt;=60),MIN(INDEX($E$863:$E1063,202-60):$E1063),"")</f>
        <v/>
      </c>
      <c r="O1063" s="53" t="str">
        <f aca="false">IF(OR(NOT(ISNUMBER($C1063)),NOT(ISNUMBER($M1063)),$M1063=0),"",$C1063/$M1063-1)</f>
        <v/>
      </c>
      <c r="P1063" s="54"/>
      <c r="Q1063" s="53" t="str">
        <f aca="false">IF(NOT(ISNUMBER($P1063)),"",IFERROR(PERCENTRANK($P$5:$P$1204,$P1063),""))</f>
        <v/>
      </c>
    </row>
    <row r="1064" customFormat="false" ht="15" hidden="false" customHeight="false" outlineLevel="0" collapsed="false">
      <c r="A1064" s="55"/>
      <c r="B1064" s="56"/>
      <c r="C1064" s="57"/>
      <c r="D1064" s="56"/>
      <c r="E1064" s="56"/>
      <c r="F1064" s="56"/>
      <c r="G1064" s="50" t="str">
        <f aca="false">IF($A1064="","",IF(ISNUMBER($G1063),$G1063+1,1))</f>
        <v/>
      </c>
      <c r="H1064" s="51" t="str">
        <f aca="false">IF(OR(NOT(ISNUMBER($G1064)),$G1064&lt;2,NOT(ISNUMBER($C1063)),$C1063=0),"",$C1064/$C1063-1)</f>
        <v/>
      </c>
      <c r="I1064" s="52" t="str">
        <f aca="false">IF(AND(ISNUMBER($G1064),$G1064&gt;=MA_SHORT),AVERAGE(INDEX($C$664:$C1064,402-MA_SHORT):$C1064),"")</f>
        <v/>
      </c>
      <c r="J1064" s="52" t="str">
        <f aca="false">IF(AND(ISNUMBER($G1064),$G1064&gt;=MA_MED),AVERAGE(INDEX($C$664:$C1064,402-MA_MED):$C1064),"")</f>
        <v/>
      </c>
      <c r="K1064" s="52" t="str">
        <f aca="false">IF(AND(ISNUMBER($G1064),$G1064&gt;=MA_LONG2),AVERAGE(INDEX($C$664:$C1064,402-MA_LONG2):$C1064),"")</f>
        <v/>
      </c>
      <c r="L1064" s="53" t="str">
        <f aca="false">IF(AND(ISNUMBER($G1064),$G1064&gt;=21),STDEV(INDEX($H$1004:$H1064,62-20):$H1064)*SQRT(245),"")</f>
        <v/>
      </c>
      <c r="M1064" s="52" t="str">
        <f aca="false">IF(AND(ISNUMBER($G1064),$G1064&gt;=60),MAX(INDEX($D$864:$D1064,202-60):$D1064),"")</f>
        <v/>
      </c>
      <c r="N1064" s="52" t="str">
        <f aca="false">IF(AND(ISNUMBER($G1064),$G1064&gt;=60),MIN(INDEX($E$864:$E1064,202-60):$E1064),"")</f>
        <v/>
      </c>
      <c r="O1064" s="53" t="str">
        <f aca="false">IF(OR(NOT(ISNUMBER($C1064)),NOT(ISNUMBER($M1064)),$M1064=0),"",$C1064/$M1064-1)</f>
        <v/>
      </c>
      <c r="P1064" s="54"/>
      <c r="Q1064" s="53" t="str">
        <f aca="false">IF(NOT(ISNUMBER($P1064)),"",IFERROR(PERCENTRANK($P$5:$P$1204,$P1064),""))</f>
        <v/>
      </c>
    </row>
    <row r="1065" customFormat="false" ht="15" hidden="false" customHeight="false" outlineLevel="0" collapsed="false">
      <c r="A1065" s="55"/>
      <c r="B1065" s="56"/>
      <c r="C1065" s="57"/>
      <c r="D1065" s="56"/>
      <c r="E1065" s="56"/>
      <c r="F1065" s="56"/>
      <c r="G1065" s="50" t="str">
        <f aca="false">IF($A1065="","",IF(ISNUMBER($G1064),$G1064+1,1))</f>
        <v/>
      </c>
      <c r="H1065" s="51" t="str">
        <f aca="false">IF(OR(NOT(ISNUMBER($G1065)),$G1065&lt;2,NOT(ISNUMBER($C1064)),$C1064=0),"",$C1065/$C1064-1)</f>
        <v/>
      </c>
      <c r="I1065" s="52" t="str">
        <f aca="false">IF(AND(ISNUMBER($G1065),$G1065&gt;=MA_SHORT),AVERAGE(INDEX($C$665:$C1065,402-MA_SHORT):$C1065),"")</f>
        <v/>
      </c>
      <c r="J1065" s="52" t="str">
        <f aca="false">IF(AND(ISNUMBER($G1065),$G1065&gt;=MA_MED),AVERAGE(INDEX($C$665:$C1065,402-MA_MED):$C1065),"")</f>
        <v/>
      </c>
      <c r="K1065" s="52" t="str">
        <f aca="false">IF(AND(ISNUMBER($G1065),$G1065&gt;=MA_LONG2),AVERAGE(INDEX($C$665:$C1065,402-MA_LONG2):$C1065),"")</f>
        <v/>
      </c>
      <c r="L1065" s="53" t="str">
        <f aca="false">IF(AND(ISNUMBER($G1065),$G1065&gt;=21),STDEV(INDEX($H$1005:$H1065,62-20):$H1065)*SQRT(245),"")</f>
        <v/>
      </c>
      <c r="M1065" s="52" t="str">
        <f aca="false">IF(AND(ISNUMBER($G1065),$G1065&gt;=60),MAX(INDEX($D$865:$D1065,202-60):$D1065),"")</f>
        <v/>
      </c>
      <c r="N1065" s="52" t="str">
        <f aca="false">IF(AND(ISNUMBER($G1065),$G1065&gt;=60),MIN(INDEX($E$865:$E1065,202-60):$E1065),"")</f>
        <v/>
      </c>
      <c r="O1065" s="53" t="str">
        <f aca="false">IF(OR(NOT(ISNUMBER($C1065)),NOT(ISNUMBER($M1065)),$M1065=0),"",$C1065/$M1065-1)</f>
        <v/>
      </c>
      <c r="P1065" s="54"/>
      <c r="Q1065" s="53" t="str">
        <f aca="false">IF(NOT(ISNUMBER($P1065)),"",IFERROR(PERCENTRANK($P$5:$P$1204,$P1065),""))</f>
        <v/>
      </c>
    </row>
    <row r="1066" customFormat="false" ht="15" hidden="false" customHeight="false" outlineLevel="0" collapsed="false">
      <c r="A1066" s="55"/>
      <c r="B1066" s="56"/>
      <c r="C1066" s="57"/>
      <c r="D1066" s="56"/>
      <c r="E1066" s="56"/>
      <c r="F1066" s="56"/>
      <c r="G1066" s="50" t="str">
        <f aca="false">IF($A1066="","",IF(ISNUMBER($G1065),$G1065+1,1))</f>
        <v/>
      </c>
      <c r="H1066" s="51" t="str">
        <f aca="false">IF(OR(NOT(ISNUMBER($G1066)),$G1066&lt;2,NOT(ISNUMBER($C1065)),$C1065=0),"",$C1066/$C1065-1)</f>
        <v/>
      </c>
      <c r="I1066" s="52" t="str">
        <f aca="false">IF(AND(ISNUMBER($G1066),$G1066&gt;=MA_SHORT),AVERAGE(INDEX($C$666:$C1066,402-MA_SHORT):$C1066),"")</f>
        <v/>
      </c>
      <c r="J1066" s="52" t="str">
        <f aca="false">IF(AND(ISNUMBER($G1066),$G1066&gt;=MA_MED),AVERAGE(INDEX($C$666:$C1066,402-MA_MED):$C1066),"")</f>
        <v/>
      </c>
      <c r="K1066" s="52" t="str">
        <f aca="false">IF(AND(ISNUMBER($G1066),$G1066&gt;=MA_LONG2),AVERAGE(INDEX($C$666:$C1066,402-MA_LONG2):$C1066),"")</f>
        <v/>
      </c>
      <c r="L1066" s="53" t="str">
        <f aca="false">IF(AND(ISNUMBER($G1066),$G1066&gt;=21),STDEV(INDEX($H$1006:$H1066,62-20):$H1066)*SQRT(245),"")</f>
        <v/>
      </c>
      <c r="M1066" s="52" t="str">
        <f aca="false">IF(AND(ISNUMBER($G1066),$G1066&gt;=60),MAX(INDEX($D$866:$D1066,202-60):$D1066),"")</f>
        <v/>
      </c>
      <c r="N1066" s="52" t="str">
        <f aca="false">IF(AND(ISNUMBER($G1066),$G1066&gt;=60),MIN(INDEX($E$866:$E1066,202-60):$E1066),"")</f>
        <v/>
      </c>
      <c r="O1066" s="53" t="str">
        <f aca="false">IF(OR(NOT(ISNUMBER($C1066)),NOT(ISNUMBER($M1066)),$M1066=0),"",$C1066/$M1066-1)</f>
        <v/>
      </c>
      <c r="P1066" s="54"/>
      <c r="Q1066" s="53" t="str">
        <f aca="false">IF(NOT(ISNUMBER($P1066)),"",IFERROR(PERCENTRANK($P$5:$P$1204,$P1066),""))</f>
        <v/>
      </c>
    </row>
    <row r="1067" customFormat="false" ht="15" hidden="false" customHeight="false" outlineLevel="0" collapsed="false">
      <c r="A1067" s="55"/>
      <c r="B1067" s="56"/>
      <c r="C1067" s="57"/>
      <c r="D1067" s="56"/>
      <c r="E1067" s="56"/>
      <c r="F1067" s="56"/>
      <c r="G1067" s="50" t="str">
        <f aca="false">IF($A1067="","",IF(ISNUMBER($G1066),$G1066+1,1))</f>
        <v/>
      </c>
      <c r="H1067" s="51" t="str">
        <f aca="false">IF(OR(NOT(ISNUMBER($G1067)),$G1067&lt;2,NOT(ISNUMBER($C1066)),$C1066=0),"",$C1067/$C1066-1)</f>
        <v/>
      </c>
      <c r="I1067" s="52" t="str">
        <f aca="false">IF(AND(ISNUMBER($G1067),$G1067&gt;=MA_SHORT),AVERAGE(INDEX($C$667:$C1067,402-MA_SHORT):$C1067),"")</f>
        <v/>
      </c>
      <c r="J1067" s="52" t="str">
        <f aca="false">IF(AND(ISNUMBER($G1067),$G1067&gt;=MA_MED),AVERAGE(INDEX($C$667:$C1067,402-MA_MED):$C1067),"")</f>
        <v/>
      </c>
      <c r="K1067" s="52" t="str">
        <f aca="false">IF(AND(ISNUMBER($G1067),$G1067&gt;=MA_LONG2),AVERAGE(INDEX($C$667:$C1067,402-MA_LONG2):$C1067),"")</f>
        <v/>
      </c>
      <c r="L1067" s="53" t="str">
        <f aca="false">IF(AND(ISNUMBER($G1067),$G1067&gt;=21),STDEV(INDEX($H$1007:$H1067,62-20):$H1067)*SQRT(245),"")</f>
        <v/>
      </c>
      <c r="M1067" s="52" t="str">
        <f aca="false">IF(AND(ISNUMBER($G1067),$G1067&gt;=60),MAX(INDEX($D$867:$D1067,202-60):$D1067),"")</f>
        <v/>
      </c>
      <c r="N1067" s="52" t="str">
        <f aca="false">IF(AND(ISNUMBER($G1067),$G1067&gt;=60),MIN(INDEX($E$867:$E1067,202-60):$E1067),"")</f>
        <v/>
      </c>
      <c r="O1067" s="53" t="str">
        <f aca="false">IF(OR(NOT(ISNUMBER($C1067)),NOT(ISNUMBER($M1067)),$M1067=0),"",$C1067/$M1067-1)</f>
        <v/>
      </c>
      <c r="P1067" s="54"/>
      <c r="Q1067" s="53" t="str">
        <f aca="false">IF(NOT(ISNUMBER($P1067)),"",IFERROR(PERCENTRANK($P$5:$P$1204,$P1067),""))</f>
        <v/>
      </c>
    </row>
    <row r="1068" customFormat="false" ht="15" hidden="false" customHeight="false" outlineLevel="0" collapsed="false">
      <c r="A1068" s="55"/>
      <c r="B1068" s="56"/>
      <c r="C1068" s="57"/>
      <c r="D1068" s="56"/>
      <c r="E1068" s="56"/>
      <c r="F1068" s="56"/>
      <c r="G1068" s="50" t="str">
        <f aca="false">IF($A1068="","",IF(ISNUMBER($G1067),$G1067+1,1))</f>
        <v/>
      </c>
      <c r="H1068" s="51" t="str">
        <f aca="false">IF(OR(NOT(ISNUMBER($G1068)),$G1068&lt;2,NOT(ISNUMBER($C1067)),$C1067=0),"",$C1068/$C1067-1)</f>
        <v/>
      </c>
      <c r="I1068" s="52" t="str">
        <f aca="false">IF(AND(ISNUMBER($G1068),$G1068&gt;=MA_SHORT),AVERAGE(INDEX($C$668:$C1068,402-MA_SHORT):$C1068),"")</f>
        <v/>
      </c>
      <c r="J1068" s="52" t="str">
        <f aca="false">IF(AND(ISNUMBER($G1068),$G1068&gt;=MA_MED),AVERAGE(INDEX($C$668:$C1068,402-MA_MED):$C1068),"")</f>
        <v/>
      </c>
      <c r="K1068" s="52" t="str">
        <f aca="false">IF(AND(ISNUMBER($G1068),$G1068&gt;=MA_LONG2),AVERAGE(INDEX($C$668:$C1068,402-MA_LONG2):$C1068),"")</f>
        <v/>
      </c>
      <c r="L1068" s="53" t="str">
        <f aca="false">IF(AND(ISNUMBER($G1068),$G1068&gt;=21),STDEV(INDEX($H$1008:$H1068,62-20):$H1068)*SQRT(245),"")</f>
        <v/>
      </c>
      <c r="M1068" s="52" t="str">
        <f aca="false">IF(AND(ISNUMBER($G1068),$G1068&gt;=60),MAX(INDEX($D$868:$D1068,202-60):$D1068),"")</f>
        <v/>
      </c>
      <c r="N1068" s="52" t="str">
        <f aca="false">IF(AND(ISNUMBER($G1068),$G1068&gt;=60),MIN(INDEX($E$868:$E1068,202-60):$E1068),"")</f>
        <v/>
      </c>
      <c r="O1068" s="53" t="str">
        <f aca="false">IF(OR(NOT(ISNUMBER($C1068)),NOT(ISNUMBER($M1068)),$M1068=0),"",$C1068/$M1068-1)</f>
        <v/>
      </c>
      <c r="P1068" s="54"/>
      <c r="Q1068" s="53" t="str">
        <f aca="false">IF(NOT(ISNUMBER($P1068)),"",IFERROR(PERCENTRANK($P$5:$P$1204,$P1068),""))</f>
        <v/>
      </c>
    </row>
    <row r="1069" customFormat="false" ht="15" hidden="false" customHeight="false" outlineLevel="0" collapsed="false">
      <c r="A1069" s="55"/>
      <c r="B1069" s="56"/>
      <c r="C1069" s="57"/>
      <c r="D1069" s="56"/>
      <c r="E1069" s="56"/>
      <c r="F1069" s="56"/>
      <c r="G1069" s="50" t="str">
        <f aca="false">IF($A1069="","",IF(ISNUMBER($G1068),$G1068+1,1))</f>
        <v/>
      </c>
      <c r="H1069" s="51" t="str">
        <f aca="false">IF(OR(NOT(ISNUMBER($G1069)),$G1069&lt;2,NOT(ISNUMBER($C1068)),$C1068=0),"",$C1069/$C1068-1)</f>
        <v/>
      </c>
      <c r="I1069" s="52" t="str">
        <f aca="false">IF(AND(ISNUMBER($G1069),$G1069&gt;=MA_SHORT),AVERAGE(INDEX($C$669:$C1069,402-MA_SHORT):$C1069),"")</f>
        <v/>
      </c>
      <c r="J1069" s="52" t="str">
        <f aca="false">IF(AND(ISNUMBER($G1069),$G1069&gt;=MA_MED),AVERAGE(INDEX($C$669:$C1069,402-MA_MED):$C1069),"")</f>
        <v/>
      </c>
      <c r="K1069" s="52" t="str">
        <f aca="false">IF(AND(ISNUMBER($G1069),$G1069&gt;=MA_LONG2),AVERAGE(INDEX($C$669:$C1069,402-MA_LONG2):$C1069),"")</f>
        <v/>
      </c>
      <c r="L1069" s="53" t="str">
        <f aca="false">IF(AND(ISNUMBER($G1069),$G1069&gt;=21),STDEV(INDEX($H$1009:$H1069,62-20):$H1069)*SQRT(245),"")</f>
        <v/>
      </c>
      <c r="M1069" s="52" t="str">
        <f aca="false">IF(AND(ISNUMBER($G1069),$G1069&gt;=60),MAX(INDEX($D$869:$D1069,202-60):$D1069),"")</f>
        <v/>
      </c>
      <c r="N1069" s="52" t="str">
        <f aca="false">IF(AND(ISNUMBER($G1069),$G1069&gt;=60),MIN(INDEX($E$869:$E1069,202-60):$E1069),"")</f>
        <v/>
      </c>
      <c r="O1069" s="53" t="str">
        <f aca="false">IF(OR(NOT(ISNUMBER($C1069)),NOT(ISNUMBER($M1069)),$M1069=0),"",$C1069/$M1069-1)</f>
        <v/>
      </c>
      <c r="P1069" s="54"/>
      <c r="Q1069" s="53" t="str">
        <f aca="false">IF(NOT(ISNUMBER($P1069)),"",IFERROR(PERCENTRANK($P$5:$P$1204,$P1069),""))</f>
        <v/>
      </c>
    </row>
    <row r="1070" customFormat="false" ht="15" hidden="false" customHeight="false" outlineLevel="0" collapsed="false">
      <c r="A1070" s="55"/>
      <c r="B1070" s="56"/>
      <c r="C1070" s="57"/>
      <c r="D1070" s="56"/>
      <c r="E1070" s="56"/>
      <c r="F1070" s="56"/>
      <c r="G1070" s="50" t="str">
        <f aca="false">IF($A1070="","",IF(ISNUMBER($G1069),$G1069+1,1))</f>
        <v/>
      </c>
      <c r="H1070" s="51" t="str">
        <f aca="false">IF(OR(NOT(ISNUMBER($G1070)),$G1070&lt;2,NOT(ISNUMBER($C1069)),$C1069=0),"",$C1070/$C1069-1)</f>
        <v/>
      </c>
      <c r="I1070" s="52" t="str">
        <f aca="false">IF(AND(ISNUMBER($G1070),$G1070&gt;=MA_SHORT),AVERAGE(INDEX($C$670:$C1070,402-MA_SHORT):$C1070),"")</f>
        <v/>
      </c>
      <c r="J1070" s="52" t="str">
        <f aca="false">IF(AND(ISNUMBER($G1070),$G1070&gt;=MA_MED),AVERAGE(INDEX($C$670:$C1070,402-MA_MED):$C1070),"")</f>
        <v/>
      </c>
      <c r="K1070" s="52" t="str">
        <f aca="false">IF(AND(ISNUMBER($G1070),$G1070&gt;=MA_LONG2),AVERAGE(INDEX($C$670:$C1070,402-MA_LONG2):$C1070),"")</f>
        <v/>
      </c>
      <c r="L1070" s="53" t="str">
        <f aca="false">IF(AND(ISNUMBER($G1070),$G1070&gt;=21),STDEV(INDEX($H$1010:$H1070,62-20):$H1070)*SQRT(245),"")</f>
        <v/>
      </c>
      <c r="M1070" s="52" t="str">
        <f aca="false">IF(AND(ISNUMBER($G1070),$G1070&gt;=60),MAX(INDEX($D$870:$D1070,202-60):$D1070),"")</f>
        <v/>
      </c>
      <c r="N1070" s="52" t="str">
        <f aca="false">IF(AND(ISNUMBER($G1070),$G1070&gt;=60),MIN(INDEX($E$870:$E1070,202-60):$E1070),"")</f>
        <v/>
      </c>
      <c r="O1070" s="53" t="str">
        <f aca="false">IF(OR(NOT(ISNUMBER($C1070)),NOT(ISNUMBER($M1070)),$M1070=0),"",$C1070/$M1070-1)</f>
        <v/>
      </c>
      <c r="P1070" s="54"/>
      <c r="Q1070" s="53" t="str">
        <f aca="false">IF(NOT(ISNUMBER($P1070)),"",IFERROR(PERCENTRANK($P$5:$P$1204,$P1070),""))</f>
        <v/>
      </c>
    </row>
    <row r="1071" customFormat="false" ht="15" hidden="false" customHeight="false" outlineLevel="0" collapsed="false">
      <c r="A1071" s="55"/>
      <c r="B1071" s="56"/>
      <c r="C1071" s="57"/>
      <c r="D1071" s="56"/>
      <c r="E1071" s="56"/>
      <c r="F1071" s="56"/>
      <c r="G1071" s="50" t="str">
        <f aca="false">IF($A1071="","",IF(ISNUMBER($G1070),$G1070+1,1))</f>
        <v/>
      </c>
      <c r="H1071" s="51" t="str">
        <f aca="false">IF(OR(NOT(ISNUMBER($G1071)),$G1071&lt;2,NOT(ISNUMBER($C1070)),$C1070=0),"",$C1071/$C1070-1)</f>
        <v/>
      </c>
      <c r="I1071" s="52" t="str">
        <f aca="false">IF(AND(ISNUMBER($G1071),$G1071&gt;=MA_SHORT),AVERAGE(INDEX($C$671:$C1071,402-MA_SHORT):$C1071),"")</f>
        <v/>
      </c>
      <c r="J1071" s="52" t="str">
        <f aca="false">IF(AND(ISNUMBER($G1071),$G1071&gt;=MA_MED),AVERAGE(INDEX($C$671:$C1071,402-MA_MED):$C1071),"")</f>
        <v/>
      </c>
      <c r="K1071" s="52" t="str">
        <f aca="false">IF(AND(ISNUMBER($G1071),$G1071&gt;=MA_LONG2),AVERAGE(INDEX($C$671:$C1071,402-MA_LONG2):$C1071),"")</f>
        <v/>
      </c>
      <c r="L1071" s="53" t="str">
        <f aca="false">IF(AND(ISNUMBER($G1071),$G1071&gt;=21),STDEV(INDEX($H$1011:$H1071,62-20):$H1071)*SQRT(245),"")</f>
        <v/>
      </c>
      <c r="M1071" s="52" t="str">
        <f aca="false">IF(AND(ISNUMBER($G1071),$G1071&gt;=60),MAX(INDEX($D$871:$D1071,202-60):$D1071),"")</f>
        <v/>
      </c>
      <c r="N1071" s="52" t="str">
        <f aca="false">IF(AND(ISNUMBER($G1071),$G1071&gt;=60),MIN(INDEX($E$871:$E1071,202-60):$E1071),"")</f>
        <v/>
      </c>
      <c r="O1071" s="53" t="str">
        <f aca="false">IF(OR(NOT(ISNUMBER($C1071)),NOT(ISNUMBER($M1071)),$M1071=0),"",$C1071/$M1071-1)</f>
        <v/>
      </c>
      <c r="P1071" s="54"/>
      <c r="Q1071" s="53" t="str">
        <f aca="false">IF(NOT(ISNUMBER($P1071)),"",IFERROR(PERCENTRANK($P$5:$P$1204,$P1071),""))</f>
        <v/>
      </c>
    </row>
    <row r="1072" customFormat="false" ht="15" hidden="false" customHeight="false" outlineLevel="0" collapsed="false">
      <c r="A1072" s="55"/>
      <c r="B1072" s="56"/>
      <c r="C1072" s="57"/>
      <c r="D1072" s="56"/>
      <c r="E1072" s="56"/>
      <c r="F1072" s="56"/>
      <c r="G1072" s="50" t="str">
        <f aca="false">IF($A1072="","",IF(ISNUMBER($G1071),$G1071+1,1))</f>
        <v/>
      </c>
      <c r="H1072" s="51" t="str">
        <f aca="false">IF(OR(NOT(ISNUMBER($G1072)),$G1072&lt;2,NOT(ISNUMBER($C1071)),$C1071=0),"",$C1072/$C1071-1)</f>
        <v/>
      </c>
      <c r="I1072" s="52" t="str">
        <f aca="false">IF(AND(ISNUMBER($G1072),$G1072&gt;=MA_SHORT),AVERAGE(INDEX($C$672:$C1072,402-MA_SHORT):$C1072),"")</f>
        <v/>
      </c>
      <c r="J1072" s="52" t="str">
        <f aca="false">IF(AND(ISNUMBER($G1072),$G1072&gt;=MA_MED),AVERAGE(INDEX($C$672:$C1072,402-MA_MED):$C1072),"")</f>
        <v/>
      </c>
      <c r="K1072" s="52" t="str">
        <f aca="false">IF(AND(ISNUMBER($G1072),$G1072&gt;=MA_LONG2),AVERAGE(INDEX($C$672:$C1072,402-MA_LONG2):$C1072),"")</f>
        <v/>
      </c>
      <c r="L1072" s="53" t="str">
        <f aca="false">IF(AND(ISNUMBER($G1072),$G1072&gt;=21),STDEV(INDEX($H$1012:$H1072,62-20):$H1072)*SQRT(245),"")</f>
        <v/>
      </c>
      <c r="M1072" s="52" t="str">
        <f aca="false">IF(AND(ISNUMBER($G1072),$G1072&gt;=60),MAX(INDEX($D$872:$D1072,202-60):$D1072),"")</f>
        <v/>
      </c>
      <c r="N1072" s="52" t="str">
        <f aca="false">IF(AND(ISNUMBER($G1072),$G1072&gt;=60),MIN(INDEX($E$872:$E1072,202-60):$E1072),"")</f>
        <v/>
      </c>
      <c r="O1072" s="53" t="str">
        <f aca="false">IF(OR(NOT(ISNUMBER($C1072)),NOT(ISNUMBER($M1072)),$M1072=0),"",$C1072/$M1072-1)</f>
        <v/>
      </c>
      <c r="P1072" s="54"/>
      <c r="Q1072" s="53" t="str">
        <f aca="false">IF(NOT(ISNUMBER($P1072)),"",IFERROR(PERCENTRANK($P$5:$P$1204,$P1072),""))</f>
        <v/>
      </c>
    </row>
    <row r="1073" customFormat="false" ht="15" hidden="false" customHeight="false" outlineLevel="0" collapsed="false">
      <c r="A1073" s="55"/>
      <c r="B1073" s="56"/>
      <c r="C1073" s="57"/>
      <c r="D1073" s="56"/>
      <c r="E1073" s="56"/>
      <c r="F1073" s="56"/>
      <c r="G1073" s="50" t="str">
        <f aca="false">IF($A1073="","",IF(ISNUMBER($G1072),$G1072+1,1))</f>
        <v/>
      </c>
      <c r="H1073" s="51" t="str">
        <f aca="false">IF(OR(NOT(ISNUMBER($G1073)),$G1073&lt;2,NOT(ISNUMBER($C1072)),$C1072=0),"",$C1073/$C1072-1)</f>
        <v/>
      </c>
      <c r="I1073" s="52" t="str">
        <f aca="false">IF(AND(ISNUMBER($G1073),$G1073&gt;=MA_SHORT),AVERAGE(INDEX($C$673:$C1073,402-MA_SHORT):$C1073),"")</f>
        <v/>
      </c>
      <c r="J1073" s="52" t="str">
        <f aca="false">IF(AND(ISNUMBER($G1073),$G1073&gt;=MA_MED),AVERAGE(INDEX($C$673:$C1073,402-MA_MED):$C1073),"")</f>
        <v/>
      </c>
      <c r="K1073" s="52" t="str">
        <f aca="false">IF(AND(ISNUMBER($G1073),$G1073&gt;=MA_LONG2),AVERAGE(INDEX($C$673:$C1073,402-MA_LONG2):$C1073),"")</f>
        <v/>
      </c>
      <c r="L1073" s="53" t="str">
        <f aca="false">IF(AND(ISNUMBER($G1073),$G1073&gt;=21),STDEV(INDEX($H$1013:$H1073,62-20):$H1073)*SQRT(245),"")</f>
        <v/>
      </c>
      <c r="M1073" s="52" t="str">
        <f aca="false">IF(AND(ISNUMBER($G1073),$G1073&gt;=60),MAX(INDEX($D$873:$D1073,202-60):$D1073),"")</f>
        <v/>
      </c>
      <c r="N1073" s="52" t="str">
        <f aca="false">IF(AND(ISNUMBER($G1073),$G1073&gt;=60),MIN(INDEX($E$873:$E1073,202-60):$E1073),"")</f>
        <v/>
      </c>
      <c r="O1073" s="53" t="str">
        <f aca="false">IF(OR(NOT(ISNUMBER($C1073)),NOT(ISNUMBER($M1073)),$M1073=0),"",$C1073/$M1073-1)</f>
        <v/>
      </c>
      <c r="P1073" s="54"/>
      <c r="Q1073" s="53" t="str">
        <f aca="false">IF(NOT(ISNUMBER($P1073)),"",IFERROR(PERCENTRANK($P$5:$P$1204,$P1073),""))</f>
        <v/>
      </c>
    </row>
    <row r="1074" customFormat="false" ht="15" hidden="false" customHeight="false" outlineLevel="0" collapsed="false">
      <c r="A1074" s="55"/>
      <c r="B1074" s="56"/>
      <c r="C1074" s="57"/>
      <c r="D1074" s="56"/>
      <c r="E1074" s="56"/>
      <c r="F1074" s="56"/>
      <c r="G1074" s="50" t="str">
        <f aca="false">IF($A1074="","",IF(ISNUMBER($G1073),$G1073+1,1))</f>
        <v/>
      </c>
      <c r="H1074" s="51" t="str">
        <f aca="false">IF(OR(NOT(ISNUMBER($G1074)),$G1074&lt;2,NOT(ISNUMBER($C1073)),$C1073=0),"",$C1074/$C1073-1)</f>
        <v/>
      </c>
      <c r="I1074" s="52" t="str">
        <f aca="false">IF(AND(ISNUMBER($G1074),$G1074&gt;=MA_SHORT),AVERAGE(INDEX($C$674:$C1074,402-MA_SHORT):$C1074),"")</f>
        <v/>
      </c>
      <c r="J1074" s="52" t="str">
        <f aca="false">IF(AND(ISNUMBER($G1074),$G1074&gt;=MA_MED),AVERAGE(INDEX($C$674:$C1074,402-MA_MED):$C1074),"")</f>
        <v/>
      </c>
      <c r="K1074" s="52" t="str">
        <f aca="false">IF(AND(ISNUMBER($G1074),$G1074&gt;=MA_LONG2),AVERAGE(INDEX($C$674:$C1074,402-MA_LONG2):$C1074),"")</f>
        <v/>
      </c>
      <c r="L1074" s="53" t="str">
        <f aca="false">IF(AND(ISNUMBER($G1074),$G1074&gt;=21),STDEV(INDEX($H$1014:$H1074,62-20):$H1074)*SQRT(245),"")</f>
        <v/>
      </c>
      <c r="M1074" s="52" t="str">
        <f aca="false">IF(AND(ISNUMBER($G1074),$G1074&gt;=60),MAX(INDEX($D$874:$D1074,202-60):$D1074),"")</f>
        <v/>
      </c>
      <c r="N1074" s="52" t="str">
        <f aca="false">IF(AND(ISNUMBER($G1074),$G1074&gt;=60),MIN(INDEX($E$874:$E1074,202-60):$E1074),"")</f>
        <v/>
      </c>
      <c r="O1074" s="53" t="str">
        <f aca="false">IF(OR(NOT(ISNUMBER($C1074)),NOT(ISNUMBER($M1074)),$M1074=0),"",$C1074/$M1074-1)</f>
        <v/>
      </c>
      <c r="P1074" s="54"/>
      <c r="Q1074" s="53" t="str">
        <f aca="false">IF(NOT(ISNUMBER($P1074)),"",IFERROR(PERCENTRANK($P$5:$P$1204,$P1074),""))</f>
        <v/>
      </c>
    </row>
    <row r="1075" customFormat="false" ht="15" hidden="false" customHeight="false" outlineLevel="0" collapsed="false">
      <c r="A1075" s="55"/>
      <c r="B1075" s="56"/>
      <c r="C1075" s="57"/>
      <c r="D1075" s="56"/>
      <c r="E1075" s="56"/>
      <c r="F1075" s="56"/>
      <c r="G1075" s="50" t="str">
        <f aca="false">IF($A1075="","",IF(ISNUMBER($G1074),$G1074+1,1))</f>
        <v/>
      </c>
      <c r="H1075" s="51" t="str">
        <f aca="false">IF(OR(NOT(ISNUMBER($G1075)),$G1075&lt;2,NOT(ISNUMBER($C1074)),$C1074=0),"",$C1075/$C1074-1)</f>
        <v/>
      </c>
      <c r="I1075" s="52" t="str">
        <f aca="false">IF(AND(ISNUMBER($G1075),$G1075&gt;=MA_SHORT),AVERAGE(INDEX($C$675:$C1075,402-MA_SHORT):$C1075),"")</f>
        <v/>
      </c>
      <c r="J1075" s="52" t="str">
        <f aca="false">IF(AND(ISNUMBER($G1075),$G1075&gt;=MA_MED),AVERAGE(INDEX($C$675:$C1075,402-MA_MED):$C1075),"")</f>
        <v/>
      </c>
      <c r="K1075" s="52" t="str">
        <f aca="false">IF(AND(ISNUMBER($G1075),$G1075&gt;=MA_LONG2),AVERAGE(INDEX($C$675:$C1075,402-MA_LONG2):$C1075),"")</f>
        <v/>
      </c>
      <c r="L1075" s="53" t="str">
        <f aca="false">IF(AND(ISNUMBER($G1075),$G1075&gt;=21),STDEV(INDEX($H$1015:$H1075,62-20):$H1075)*SQRT(245),"")</f>
        <v/>
      </c>
      <c r="M1075" s="52" t="str">
        <f aca="false">IF(AND(ISNUMBER($G1075),$G1075&gt;=60),MAX(INDEX($D$875:$D1075,202-60):$D1075),"")</f>
        <v/>
      </c>
      <c r="N1075" s="52" t="str">
        <f aca="false">IF(AND(ISNUMBER($G1075),$G1075&gt;=60),MIN(INDEX($E$875:$E1075,202-60):$E1075),"")</f>
        <v/>
      </c>
      <c r="O1075" s="53" t="str">
        <f aca="false">IF(OR(NOT(ISNUMBER($C1075)),NOT(ISNUMBER($M1075)),$M1075=0),"",$C1075/$M1075-1)</f>
        <v/>
      </c>
      <c r="P1075" s="54"/>
      <c r="Q1075" s="53" t="str">
        <f aca="false">IF(NOT(ISNUMBER($P1075)),"",IFERROR(PERCENTRANK($P$5:$P$1204,$P1075),""))</f>
        <v/>
      </c>
    </row>
    <row r="1076" customFormat="false" ht="15" hidden="false" customHeight="false" outlineLevel="0" collapsed="false">
      <c r="A1076" s="55"/>
      <c r="B1076" s="56"/>
      <c r="C1076" s="57"/>
      <c r="D1076" s="56"/>
      <c r="E1076" s="56"/>
      <c r="F1076" s="56"/>
      <c r="G1076" s="50" t="str">
        <f aca="false">IF($A1076="","",IF(ISNUMBER($G1075),$G1075+1,1))</f>
        <v/>
      </c>
      <c r="H1076" s="51" t="str">
        <f aca="false">IF(OR(NOT(ISNUMBER($G1076)),$G1076&lt;2,NOT(ISNUMBER($C1075)),$C1075=0),"",$C1076/$C1075-1)</f>
        <v/>
      </c>
      <c r="I1076" s="52" t="str">
        <f aca="false">IF(AND(ISNUMBER($G1076),$G1076&gt;=MA_SHORT),AVERAGE(INDEX($C$676:$C1076,402-MA_SHORT):$C1076),"")</f>
        <v/>
      </c>
      <c r="J1076" s="52" t="str">
        <f aca="false">IF(AND(ISNUMBER($G1076),$G1076&gt;=MA_MED),AVERAGE(INDEX($C$676:$C1076,402-MA_MED):$C1076),"")</f>
        <v/>
      </c>
      <c r="K1076" s="52" t="str">
        <f aca="false">IF(AND(ISNUMBER($G1076),$G1076&gt;=MA_LONG2),AVERAGE(INDEX($C$676:$C1076,402-MA_LONG2):$C1076),"")</f>
        <v/>
      </c>
      <c r="L1076" s="53" t="str">
        <f aca="false">IF(AND(ISNUMBER($G1076),$G1076&gt;=21),STDEV(INDEX($H$1016:$H1076,62-20):$H1076)*SQRT(245),"")</f>
        <v/>
      </c>
      <c r="M1076" s="52" t="str">
        <f aca="false">IF(AND(ISNUMBER($G1076),$G1076&gt;=60),MAX(INDEX($D$876:$D1076,202-60):$D1076),"")</f>
        <v/>
      </c>
      <c r="N1076" s="52" t="str">
        <f aca="false">IF(AND(ISNUMBER($G1076),$G1076&gt;=60),MIN(INDEX($E$876:$E1076,202-60):$E1076),"")</f>
        <v/>
      </c>
      <c r="O1076" s="53" t="str">
        <f aca="false">IF(OR(NOT(ISNUMBER($C1076)),NOT(ISNUMBER($M1076)),$M1076=0),"",$C1076/$M1076-1)</f>
        <v/>
      </c>
      <c r="P1076" s="54"/>
      <c r="Q1076" s="53" t="str">
        <f aca="false">IF(NOT(ISNUMBER($P1076)),"",IFERROR(PERCENTRANK($P$5:$P$1204,$P1076),""))</f>
        <v/>
      </c>
    </row>
    <row r="1077" customFormat="false" ht="15" hidden="false" customHeight="false" outlineLevel="0" collapsed="false">
      <c r="A1077" s="55"/>
      <c r="B1077" s="56"/>
      <c r="C1077" s="57"/>
      <c r="D1077" s="56"/>
      <c r="E1077" s="56"/>
      <c r="F1077" s="56"/>
      <c r="G1077" s="50" t="str">
        <f aca="false">IF($A1077="","",IF(ISNUMBER($G1076),$G1076+1,1))</f>
        <v/>
      </c>
      <c r="H1077" s="51" t="str">
        <f aca="false">IF(OR(NOT(ISNUMBER($G1077)),$G1077&lt;2,NOT(ISNUMBER($C1076)),$C1076=0),"",$C1077/$C1076-1)</f>
        <v/>
      </c>
      <c r="I1077" s="52" t="str">
        <f aca="false">IF(AND(ISNUMBER($G1077),$G1077&gt;=MA_SHORT),AVERAGE(INDEX($C$677:$C1077,402-MA_SHORT):$C1077),"")</f>
        <v/>
      </c>
      <c r="J1077" s="52" t="str">
        <f aca="false">IF(AND(ISNUMBER($G1077),$G1077&gt;=MA_MED),AVERAGE(INDEX($C$677:$C1077,402-MA_MED):$C1077),"")</f>
        <v/>
      </c>
      <c r="K1077" s="52" t="str">
        <f aca="false">IF(AND(ISNUMBER($G1077),$G1077&gt;=MA_LONG2),AVERAGE(INDEX($C$677:$C1077,402-MA_LONG2):$C1077),"")</f>
        <v/>
      </c>
      <c r="L1077" s="53" t="str">
        <f aca="false">IF(AND(ISNUMBER($G1077),$G1077&gt;=21),STDEV(INDEX($H$1017:$H1077,62-20):$H1077)*SQRT(245),"")</f>
        <v/>
      </c>
      <c r="M1077" s="52" t="str">
        <f aca="false">IF(AND(ISNUMBER($G1077),$G1077&gt;=60),MAX(INDEX($D$877:$D1077,202-60):$D1077),"")</f>
        <v/>
      </c>
      <c r="N1077" s="52" t="str">
        <f aca="false">IF(AND(ISNUMBER($G1077),$G1077&gt;=60),MIN(INDEX($E$877:$E1077,202-60):$E1077),"")</f>
        <v/>
      </c>
      <c r="O1077" s="53" t="str">
        <f aca="false">IF(OR(NOT(ISNUMBER($C1077)),NOT(ISNUMBER($M1077)),$M1077=0),"",$C1077/$M1077-1)</f>
        <v/>
      </c>
      <c r="P1077" s="54"/>
      <c r="Q1077" s="53" t="str">
        <f aca="false">IF(NOT(ISNUMBER($P1077)),"",IFERROR(PERCENTRANK($P$5:$P$1204,$P1077),""))</f>
        <v/>
      </c>
    </row>
    <row r="1078" customFormat="false" ht="15" hidden="false" customHeight="false" outlineLevel="0" collapsed="false">
      <c r="A1078" s="55"/>
      <c r="B1078" s="56"/>
      <c r="C1078" s="57"/>
      <c r="D1078" s="56"/>
      <c r="E1078" s="56"/>
      <c r="F1078" s="56"/>
      <c r="G1078" s="50" t="str">
        <f aca="false">IF($A1078="","",IF(ISNUMBER($G1077),$G1077+1,1))</f>
        <v/>
      </c>
      <c r="H1078" s="51" t="str">
        <f aca="false">IF(OR(NOT(ISNUMBER($G1078)),$G1078&lt;2,NOT(ISNUMBER($C1077)),$C1077=0),"",$C1078/$C1077-1)</f>
        <v/>
      </c>
      <c r="I1078" s="52" t="str">
        <f aca="false">IF(AND(ISNUMBER($G1078),$G1078&gt;=MA_SHORT),AVERAGE(INDEX($C$678:$C1078,402-MA_SHORT):$C1078),"")</f>
        <v/>
      </c>
      <c r="J1078" s="52" t="str">
        <f aca="false">IF(AND(ISNUMBER($G1078),$G1078&gt;=MA_MED),AVERAGE(INDEX($C$678:$C1078,402-MA_MED):$C1078),"")</f>
        <v/>
      </c>
      <c r="K1078" s="52" t="str">
        <f aca="false">IF(AND(ISNUMBER($G1078),$G1078&gt;=MA_LONG2),AVERAGE(INDEX($C$678:$C1078,402-MA_LONG2):$C1078),"")</f>
        <v/>
      </c>
      <c r="L1078" s="53" t="str">
        <f aca="false">IF(AND(ISNUMBER($G1078),$G1078&gt;=21),STDEV(INDEX($H$1018:$H1078,62-20):$H1078)*SQRT(245),"")</f>
        <v/>
      </c>
      <c r="M1078" s="52" t="str">
        <f aca="false">IF(AND(ISNUMBER($G1078),$G1078&gt;=60),MAX(INDEX($D$878:$D1078,202-60):$D1078),"")</f>
        <v/>
      </c>
      <c r="N1078" s="52" t="str">
        <f aca="false">IF(AND(ISNUMBER($G1078),$G1078&gt;=60),MIN(INDEX($E$878:$E1078,202-60):$E1078),"")</f>
        <v/>
      </c>
      <c r="O1078" s="53" t="str">
        <f aca="false">IF(OR(NOT(ISNUMBER($C1078)),NOT(ISNUMBER($M1078)),$M1078=0),"",$C1078/$M1078-1)</f>
        <v/>
      </c>
      <c r="P1078" s="54"/>
      <c r="Q1078" s="53" t="str">
        <f aca="false">IF(NOT(ISNUMBER($P1078)),"",IFERROR(PERCENTRANK($P$5:$P$1204,$P1078),""))</f>
        <v/>
      </c>
    </row>
    <row r="1079" customFormat="false" ht="15" hidden="false" customHeight="false" outlineLevel="0" collapsed="false">
      <c r="A1079" s="55"/>
      <c r="B1079" s="56"/>
      <c r="C1079" s="57"/>
      <c r="D1079" s="56"/>
      <c r="E1079" s="56"/>
      <c r="F1079" s="56"/>
      <c r="G1079" s="50" t="str">
        <f aca="false">IF($A1079="","",IF(ISNUMBER($G1078),$G1078+1,1))</f>
        <v/>
      </c>
      <c r="H1079" s="51" t="str">
        <f aca="false">IF(OR(NOT(ISNUMBER($G1079)),$G1079&lt;2,NOT(ISNUMBER($C1078)),$C1078=0),"",$C1079/$C1078-1)</f>
        <v/>
      </c>
      <c r="I1079" s="52" t="str">
        <f aca="false">IF(AND(ISNUMBER($G1079),$G1079&gt;=MA_SHORT),AVERAGE(INDEX($C$679:$C1079,402-MA_SHORT):$C1079),"")</f>
        <v/>
      </c>
      <c r="J1079" s="52" t="str">
        <f aca="false">IF(AND(ISNUMBER($G1079),$G1079&gt;=MA_MED),AVERAGE(INDEX($C$679:$C1079,402-MA_MED):$C1079),"")</f>
        <v/>
      </c>
      <c r="K1079" s="52" t="str">
        <f aca="false">IF(AND(ISNUMBER($G1079),$G1079&gt;=MA_LONG2),AVERAGE(INDEX($C$679:$C1079,402-MA_LONG2):$C1079),"")</f>
        <v/>
      </c>
      <c r="L1079" s="53" t="str">
        <f aca="false">IF(AND(ISNUMBER($G1079),$G1079&gt;=21),STDEV(INDEX($H$1019:$H1079,62-20):$H1079)*SQRT(245),"")</f>
        <v/>
      </c>
      <c r="M1079" s="52" t="str">
        <f aca="false">IF(AND(ISNUMBER($G1079),$G1079&gt;=60),MAX(INDEX($D$879:$D1079,202-60):$D1079),"")</f>
        <v/>
      </c>
      <c r="N1079" s="52" t="str">
        <f aca="false">IF(AND(ISNUMBER($G1079),$G1079&gt;=60),MIN(INDEX($E$879:$E1079,202-60):$E1079),"")</f>
        <v/>
      </c>
      <c r="O1079" s="53" t="str">
        <f aca="false">IF(OR(NOT(ISNUMBER($C1079)),NOT(ISNUMBER($M1079)),$M1079=0),"",$C1079/$M1079-1)</f>
        <v/>
      </c>
      <c r="P1079" s="54"/>
      <c r="Q1079" s="53" t="str">
        <f aca="false">IF(NOT(ISNUMBER($P1079)),"",IFERROR(PERCENTRANK($P$5:$P$1204,$P1079),""))</f>
        <v/>
      </c>
    </row>
    <row r="1080" customFormat="false" ht="15" hidden="false" customHeight="false" outlineLevel="0" collapsed="false">
      <c r="A1080" s="55"/>
      <c r="B1080" s="56"/>
      <c r="C1080" s="57"/>
      <c r="D1080" s="56"/>
      <c r="E1080" s="56"/>
      <c r="F1080" s="56"/>
      <c r="G1080" s="50" t="str">
        <f aca="false">IF($A1080="","",IF(ISNUMBER($G1079),$G1079+1,1))</f>
        <v/>
      </c>
      <c r="H1080" s="51" t="str">
        <f aca="false">IF(OR(NOT(ISNUMBER($G1080)),$G1080&lt;2,NOT(ISNUMBER($C1079)),$C1079=0),"",$C1080/$C1079-1)</f>
        <v/>
      </c>
      <c r="I1080" s="52" t="str">
        <f aca="false">IF(AND(ISNUMBER($G1080),$G1080&gt;=MA_SHORT),AVERAGE(INDEX($C$680:$C1080,402-MA_SHORT):$C1080),"")</f>
        <v/>
      </c>
      <c r="J1080" s="52" t="str">
        <f aca="false">IF(AND(ISNUMBER($G1080),$G1080&gt;=MA_MED),AVERAGE(INDEX($C$680:$C1080,402-MA_MED):$C1080),"")</f>
        <v/>
      </c>
      <c r="K1080" s="52" t="str">
        <f aca="false">IF(AND(ISNUMBER($G1080),$G1080&gt;=MA_LONG2),AVERAGE(INDEX($C$680:$C1080,402-MA_LONG2):$C1080),"")</f>
        <v/>
      </c>
      <c r="L1080" s="53" t="str">
        <f aca="false">IF(AND(ISNUMBER($G1080),$G1080&gt;=21),STDEV(INDEX($H$1020:$H1080,62-20):$H1080)*SQRT(245),"")</f>
        <v/>
      </c>
      <c r="M1080" s="52" t="str">
        <f aca="false">IF(AND(ISNUMBER($G1080),$G1080&gt;=60),MAX(INDEX($D$880:$D1080,202-60):$D1080),"")</f>
        <v/>
      </c>
      <c r="N1080" s="52" t="str">
        <f aca="false">IF(AND(ISNUMBER($G1080),$G1080&gt;=60),MIN(INDEX($E$880:$E1080,202-60):$E1080),"")</f>
        <v/>
      </c>
      <c r="O1080" s="53" t="str">
        <f aca="false">IF(OR(NOT(ISNUMBER($C1080)),NOT(ISNUMBER($M1080)),$M1080=0),"",$C1080/$M1080-1)</f>
        <v/>
      </c>
      <c r="P1080" s="54"/>
      <c r="Q1080" s="53" t="str">
        <f aca="false">IF(NOT(ISNUMBER($P1080)),"",IFERROR(PERCENTRANK($P$5:$P$1204,$P1080),""))</f>
        <v/>
      </c>
    </row>
    <row r="1081" customFormat="false" ht="15" hidden="false" customHeight="false" outlineLevel="0" collapsed="false">
      <c r="A1081" s="55"/>
      <c r="B1081" s="56"/>
      <c r="C1081" s="57"/>
      <c r="D1081" s="56"/>
      <c r="E1081" s="56"/>
      <c r="F1081" s="56"/>
      <c r="G1081" s="50" t="str">
        <f aca="false">IF($A1081="","",IF(ISNUMBER($G1080),$G1080+1,1))</f>
        <v/>
      </c>
      <c r="H1081" s="51" t="str">
        <f aca="false">IF(OR(NOT(ISNUMBER($G1081)),$G1081&lt;2,NOT(ISNUMBER($C1080)),$C1080=0),"",$C1081/$C1080-1)</f>
        <v/>
      </c>
      <c r="I1081" s="52" t="str">
        <f aca="false">IF(AND(ISNUMBER($G1081),$G1081&gt;=MA_SHORT),AVERAGE(INDEX($C$681:$C1081,402-MA_SHORT):$C1081),"")</f>
        <v/>
      </c>
      <c r="J1081" s="52" t="str">
        <f aca="false">IF(AND(ISNUMBER($G1081),$G1081&gt;=MA_MED),AVERAGE(INDEX($C$681:$C1081,402-MA_MED):$C1081),"")</f>
        <v/>
      </c>
      <c r="K1081" s="52" t="str">
        <f aca="false">IF(AND(ISNUMBER($G1081),$G1081&gt;=MA_LONG2),AVERAGE(INDEX($C$681:$C1081,402-MA_LONG2):$C1081),"")</f>
        <v/>
      </c>
      <c r="L1081" s="53" t="str">
        <f aca="false">IF(AND(ISNUMBER($G1081),$G1081&gt;=21),STDEV(INDEX($H$1021:$H1081,62-20):$H1081)*SQRT(245),"")</f>
        <v/>
      </c>
      <c r="M1081" s="52" t="str">
        <f aca="false">IF(AND(ISNUMBER($G1081),$G1081&gt;=60),MAX(INDEX($D$881:$D1081,202-60):$D1081),"")</f>
        <v/>
      </c>
      <c r="N1081" s="52" t="str">
        <f aca="false">IF(AND(ISNUMBER($G1081),$G1081&gt;=60),MIN(INDEX($E$881:$E1081,202-60):$E1081),"")</f>
        <v/>
      </c>
      <c r="O1081" s="53" t="str">
        <f aca="false">IF(OR(NOT(ISNUMBER($C1081)),NOT(ISNUMBER($M1081)),$M1081=0),"",$C1081/$M1081-1)</f>
        <v/>
      </c>
      <c r="P1081" s="54"/>
      <c r="Q1081" s="53" t="str">
        <f aca="false">IF(NOT(ISNUMBER($P1081)),"",IFERROR(PERCENTRANK($P$5:$P$1204,$P1081),""))</f>
        <v/>
      </c>
    </row>
    <row r="1082" customFormat="false" ht="15" hidden="false" customHeight="false" outlineLevel="0" collapsed="false">
      <c r="A1082" s="55"/>
      <c r="B1082" s="56"/>
      <c r="C1082" s="57"/>
      <c r="D1082" s="56"/>
      <c r="E1082" s="56"/>
      <c r="F1082" s="56"/>
      <c r="G1082" s="50" t="str">
        <f aca="false">IF($A1082="","",IF(ISNUMBER($G1081),$G1081+1,1))</f>
        <v/>
      </c>
      <c r="H1082" s="51" t="str">
        <f aca="false">IF(OR(NOT(ISNUMBER($G1082)),$G1082&lt;2,NOT(ISNUMBER($C1081)),$C1081=0),"",$C1082/$C1081-1)</f>
        <v/>
      </c>
      <c r="I1082" s="52" t="str">
        <f aca="false">IF(AND(ISNUMBER($G1082),$G1082&gt;=MA_SHORT),AVERAGE(INDEX($C$682:$C1082,402-MA_SHORT):$C1082),"")</f>
        <v/>
      </c>
      <c r="J1082" s="52" t="str">
        <f aca="false">IF(AND(ISNUMBER($G1082),$G1082&gt;=MA_MED),AVERAGE(INDEX($C$682:$C1082,402-MA_MED):$C1082),"")</f>
        <v/>
      </c>
      <c r="K1082" s="52" t="str">
        <f aca="false">IF(AND(ISNUMBER($G1082),$G1082&gt;=MA_LONG2),AVERAGE(INDEX($C$682:$C1082,402-MA_LONG2):$C1082),"")</f>
        <v/>
      </c>
      <c r="L1082" s="53" t="str">
        <f aca="false">IF(AND(ISNUMBER($G1082),$G1082&gt;=21),STDEV(INDEX($H$1022:$H1082,62-20):$H1082)*SQRT(245),"")</f>
        <v/>
      </c>
      <c r="M1082" s="52" t="str">
        <f aca="false">IF(AND(ISNUMBER($G1082),$G1082&gt;=60),MAX(INDEX($D$882:$D1082,202-60):$D1082),"")</f>
        <v/>
      </c>
      <c r="N1082" s="52" t="str">
        <f aca="false">IF(AND(ISNUMBER($G1082),$G1082&gt;=60),MIN(INDEX($E$882:$E1082,202-60):$E1082),"")</f>
        <v/>
      </c>
      <c r="O1082" s="53" t="str">
        <f aca="false">IF(OR(NOT(ISNUMBER($C1082)),NOT(ISNUMBER($M1082)),$M1082=0),"",$C1082/$M1082-1)</f>
        <v/>
      </c>
      <c r="P1082" s="54"/>
      <c r="Q1082" s="53" t="str">
        <f aca="false">IF(NOT(ISNUMBER($P1082)),"",IFERROR(PERCENTRANK($P$5:$P$1204,$P1082),""))</f>
        <v/>
      </c>
    </row>
    <row r="1083" customFormat="false" ht="15" hidden="false" customHeight="false" outlineLevel="0" collapsed="false">
      <c r="A1083" s="55"/>
      <c r="B1083" s="56"/>
      <c r="C1083" s="57"/>
      <c r="D1083" s="56"/>
      <c r="E1083" s="56"/>
      <c r="F1083" s="56"/>
      <c r="G1083" s="50" t="str">
        <f aca="false">IF($A1083="","",IF(ISNUMBER($G1082),$G1082+1,1))</f>
        <v/>
      </c>
      <c r="H1083" s="51" t="str">
        <f aca="false">IF(OR(NOT(ISNUMBER($G1083)),$G1083&lt;2,NOT(ISNUMBER($C1082)),$C1082=0),"",$C1083/$C1082-1)</f>
        <v/>
      </c>
      <c r="I1083" s="52" t="str">
        <f aca="false">IF(AND(ISNUMBER($G1083),$G1083&gt;=MA_SHORT),AVERAGE(INDEX($C$683:$C1083,402-MA_SHORT):$C1083),"")</f>
        <v/>
      </c>
      <c r="J1083" s="52" t="str">
        <f aca="false">IF(AND(ISNUMBER($G1083),$G1083&gt;=MA_MED),AVERAGE(INDEX($C$683:$C1083,402-MA_MED):$C1083),"")</f>
        <v/>
      </c>
      <c r="K1083" s="52" t="str">
        <f aca="false">IF(AND(ISNUMBER($G1083),$G1083&gt;=MA_LONG2),AVERAGE(INDEX($C$683:$C1083,402-MA_LONG2):$C1083),"")</f>
        <v/>
      </c>
      <c r="L1083" s="53" t="str">
        <f aca="false">IF(AND(ISNUMBER($G1083),$G1083&gt;=21),STDEV(INDEX($H$1023:$H1083,62-20):$H1083)*SQRT(245),"")</f>
        <v/>
      </c>
      <c r="M1083" s="52" t="str">
        <f aca="false">IF(AND(ISNUMBER($G1083),$G1083&gt;=60),MAX(INDEX($D$883:$D1083,202-60):$D1083),"")</f>
        <v/>
      </c>
      <c r="N1083" s="52" t="str">
        <f aca="false">IF(AND(ISNUMBER($G1083),$G1083&gt;=60),MIN(INDEX($E$883:$E1083,202-60):$E1083),"")</f>
        <v/>
      </c>
      <c r="O1083" s="53" t="str">
        <f aca="false">IF(OR(NOT(ISNUMBER($C1083)),NOT(ISNUMBER($M1083)),$M1083=0),"",$C1083/$M1083-1)</f>
        <v/>
      </c>
      <c r="P1083" s="54"/>
      <c r="Q1083" s="53" t="str">
        <f aca="false">IF(NOT(ISNUMBER($P1083)),"",IFERROR(PERCENTRANK($P$5:$P$1204,$P1083),""))</f>
        <v/>
      </c>
    </row>
    <row r="1084" customFormat="false" ht="15" hidden="false" customHeight="false" outlineLevel="0" collapsed="false">
      <c r="A1084" s="55"/>
      <c r="B1084" s="56"/>
      <c r="C1084" s="57"/>
      <c r="D1084" s="56"/>
      <c r="E1084" s="56"/>
      <c r="F1084" s="56"/>
      <c r="G1084" s="50" t="str">
        <f aca="false">IF($A1084="","",IF(ISNUMBER($G1083),$G1083+1,1))</f>
        <v/>
      </c>
      <c r="H1084" s="51" t="str">
        <f aca="false">IF(OR(NOT(ISNUMBER($G1084)),$G1084&lt;2,NOT(ISNUMBER($C1083)),$C1083=0),"",$C1084/$C1083-1)</f>
        <v/>
      </c>
      <c r="I1084" s="52" t="str">
        <f aca="false">IF(AND(ISNUMBER($G1084),$G1084&gt;=MA_SHORT),AVERAGE(INDEX($C$684:$C1084,402-MA_SHORT):$C1084),"")</f>
        <v/>
      </c>
      <c r="J1084" s="52" t="str">
        <f aca="false">IF(AND(ISNUMBER($G1084),$G1084&gt;=MA_MED),AVERAGE(INDEX($C$684:$C1084,402-MA_MED):$C1084),"")</f>
        <v/>
      </c>
      <c r="K1084" s="52" t="str">
        <f aca="false">IF(AND(ISNUMBER($G1084),$G1084&gt;=MA_LONG2),AVERAGE(INDEX($C$684:$C1084,402-MA_LONG2):$C1084),"")</f>
        <v/>
      </c>
      <c r="L1084" s="53" t="str">
        <f aca="false">IF(AND(ISNUMBER($G1084),$G1084&gt;=21),STDEV(INDEX($H$1024:$H1084,62-20):$H1084)*SQRT(245),"")</f>
        <v/>
      </c>
      <c r="M1084" s="52" t="str">
        <f aca="false">IF(AND(ISNUMBER($G1084),$G1084&gt;=60),MAX(INDEX($D$884:$D1084,202-60):$D1084),"")</f>
        <v/>
      </c>
      <c r="N1084" s="52" t="str">
        <f aca="false">IF(AND(ISNUMBER($G1084),$G1084&gt;=60),MIN(INDEX($E$884:$E1084,202-60):$E1084),"")</f>
        <v/>
      </c>
      <c r="O1084" s="53" t="str">
        <f aca="false">IF(OR(NOT(ISNUMBER($C1084)),NOT(ISNUMBER($M1084)),$M1084=0),"",$C1084/$M1084-1)</f>
        <v/>
      </c>
      <c r="P1084" s="54"/>
      <c r="Q1084" s="53" t="str">
        <f aca="false">IF(NOT(ISNUMBER($P1084)),"",IFERROR(PERCENTRANK($P$5:$P$1204,$P1084),""))</f>
        <v/>
      </c>
    </row>
    <row r="1085" customFormat="false" ht="15" hidden="false" customHeight="false" outlineLevel="0" collapsed="false">
      <c r="A1085" s="55"/>
      <c r="B1085" s="56"/>
      <c r="C1085" s="57"/>
      <c r="D1085" s="56"/>
      <c r="E1085" s="56"/>
      <c r="F1085" s="56"/>
      <c r="G1085" s="50" t="str">
        <f aca="false">IF($A1085="","",IF(ISNUMBER($G1084),$G1084+1,1))</f>
        <v/>
      </c>
      <c r="H1085" s="51" t="str">
        <f aca="false">IF(OR(NOT(ISNUMBER($G1085)),$G1085&lt;2,NOT(ISNUMBER($C1084)),$C1084=0),"",$C1085/$C1084-1)</f>
        <v/>
      </c>
      <c r="I1085" s="52" t="str">
        <f aca="false">IF(AND(ISNUMBER($G1085),$G1085&gt;=MA_SHORT),AVERAGE(INDEX($C$685:$C1085,402-MA_SHORT):$C1085),"")</f>
        <v/>
      </c>
      <c r="J1085" s="52" t="str">
        <f aca="false">IF(AND(ISNUMBER($G1085),$G1085&gt;=MA_MED),AVERAGE(INDEX($C$685:$C1085,402-MA_MED):$C1085),"")</f>
        <v/>
      </c>
      <c r="K1085" s="52" t="str">
        <f aca="false">IF(AND(ISNUMBER($G1085),$G1085&gt;=MA_LONG2),AVERAGE(INDEX($C$685:$C1085,402-MA_LONG2):$C1085),"")</f>
        <v/>
      </c>
      <c r="L1085" s="53" t="str">
        <f aca="false">IF(AND(ISNUMBER($G1085),$G1085&gt;=21),STDEV(INDEX($H$1025:$H1085,62-20):$H1085)*SQRT(245),"")</f>
        <v/>
      </c>
      <c r="M1085" s="52" t="str">
        <f aca="false">IF(AND(ISNUMBER($G1085),$G1085&gt;=60),MAX(INDEX($D$885:$D1085,202-60):$D1085),"")</f>
        <v/>
      </c>
      <c r="N1085" s="52" t="str">
        <f aca="false">IF(AND(ISNUMBER($G1085),$G1085&gt;=60),MIN(INDEX($E$885:$E1085,202-60):$E1085),"")</f>
        <v/>
      </c>
      <c r="O1085" s="53" t="str">
        <f aca="false">IF(OR(NOT(ISNUMBER($C1085)),NOT(ISNUMBER($M1085)),$M1085=0),"",$C1085/$M1085-1)</f>
        <v/>
      </c>
      <c r="P1085" s="54"/>
      <c r="Q1085" s="53" t="str">
        <f aca="false">IF(NOT(ISNUMBER($P1085)),"",IFERROR(PERCENTRANK($P$5:$P$1204,$P1085),""))</f>
        <v/>
      </c>
    </row>
    <row r="1086" customFormat="false" ht="15" hidden="false" customHeight="false" outlineLevel="0" collapsed="false">
      <c r="A1086" s="55"/>
      <c r="B1086" s="56"/>
      <c r="C1086" s="57"/>
      <c r="D1086" s="56"/>
      <c r="E1086" s="56"/>
      <c r="F1086" s="56"/>
      <c r="G1086" s="50" t="str">
        <f aca="false">IF($A1086="","",IF(ISNUMBER($G1085),$G1085+1,1))</f>
        <v/>
      </c>
      <c r="H1086" s="51" t="str">
        <f aca="false">IF(OR(NOT(ISNUMBER($G1086)),$G1086&lt;2,NOT(ISNUMBER($C1085)),$C1085=0),"",$C1086/$C1085-1)</f>
        <v/>
      </c>
      <c r="I1086" s="52" t="str">
        <f aca="false">IF(AND(ISNUMBER($G1086),$G1086&gt;=MA_SHORT),AVERAGE(INDEX($C$686:$C1086,402-MA_SHORT):$C1086),"")</f>
        <v/>
      </c>
      <c r="J1086" s="52" t="str">
        <f aca="false">IF(AND(ISNUMBER($G1086),$G1086&gt;=MA_MED),AVERAGE(INDEX($C$686:$C1086,402-MA_MED):$C1086),"")</f>
        <v/>
      </c>
      <c r="K1086" s="52" t="str">
        <f aca="false">IF(AND(ISNUMBER($G1086),$G1086&gt;=MA_LONG2),AVERAGE(INDEX($C$686:$C1086,402-MA_LONG2):$C1086),"")</f>
        <v/>
      </c>
      <c r="L1086" s="53" t="str">
        <f aca="false">IF(AND(ISNUMBER($G1086),$G1086&gt;=21),STDEV(INDEX($H$1026:$H1086,62-20):$H1086)*SQRT(245),"")</f>
        <v/>
      </c>
      <c r="M1086" s="52" t="str">
        <f aca="false">IF(AND(ISNUMBER($G1086),$G1086&gt;=60),MAX(INDEX($D$886:$D1086,202-60):$D1086),"")</f>
        <v/>
      </c>
      <c r="N1086" s="52" t="str">
        <f aca="false">IF(AND(ISNUMBER($G1086),$G1086&gt;=60),MIN(INDEX($E$886:$E1086,202-60):$E1086),"")</f>
        <v/>
      </c>
      <c r="O1086" s="53" t="str">
        <f aca="false">IF(OR(NOT(ISNUMBER($C1086)),NOT(ISNUMBER($M1086)),$M1086=0),"",$C1086/$M1086-1)</f>
        <v/>
      </c>
      <c r="P1086" s="54"/>
      <c r="Q1086" s="53" t="str">
        <f aca="false">IF(NOT(ISNUMBER($P1086)),"",IFERROR(PERCENTRANK($P$5:$P$1204,$P1086),""))</f>
        <v/>
      </c>
    </row>
    <row r="1087" customFormat="false" ht="15" hidden="false" customHeight="false" outlineLevel="0" collapsed="false">
      <c r="A1087" s="55"/>
      <c r="B1087" s="56"/>
      <c r="C1087" s="57"/>
      <c r="D1087" s="56"/>
      <c r="E1087" s="56"/>
      <c r="F1087" s="56"/>
      <c r="G1087" s="50" t="str">
        <f aca="false">IF($A1087="","",IF(ISNUMBER($G1086),$G1086+1,1))</f>
        <v/>
      </c>
      <c r="H1087" s="51" t="str">
        <f aca="false">IF(OR(NOT(ISNUMBER($G1087)),$G1087&lt;2,NOT(ISNUMBER($C1086)),$C1086=0),"",$C1087/$C1086-1)</f>
        <v/>
      </c>
      <c r="I1087" s="52" t="str">
        <f aca="false">IF(AND(ISNUMBER($G1087),$G1087&gt;=MA_SHORT),AVERAGE(INDEX($C$687:$C1087,402-MA_SHORT):$C1087),"")</f>
        <v/>
      </c>
      <c r="J1087" s="52" t="str">
        <f aca="false">IF(AND(ISNUMBER($G1087),$G1087&gt;=MA_MED),AVERAGE(INDEX($C$687:$C1087,402-MA_MED):$C1087),"")</f>
        <v/>
      </c>
      <c r="K1087" s="52" t="str">
        <f aca="false">IF(AND(ISNUMBER($G1087),$G1087&gt;=MA_LONG2),AVERAGE(INDEX($C$687:$C1087,402-MA_LONG2):$C1087),"")</f>
        <v/>
      </c>
      <c r="L1087" s="53" t="str">
        <f aca="false">IF(AND(ISNUMBER($G1087),$G1087&gt;=21),STDEV(INDEX($H$1027:$H1087,62-20):$H1087)*SQRT(245),"")</f>
        <v/>
      </c>
      <c r="M1087" s="52" t="str">
        <f aca="false">IF(AND(ISNUMBER($G1087),$G1087&gt;=60),MAX(INDEX($D$887:$D1087,202-60):$D1087),"")</f>
        <v/>
      </c>
      <c r="N1087" s="52" t="str">
        <f aca="false">IF(AND(ISNUMBER($G1087),$G1087&gt;=60),MIN(INDEX($E$887:$E1087,202-60):$E1087),"")</f>
        <v/>
      </c>
      <c r="O1087" s="53" t="str">
        <f aca="false">IF(OR(NOT(ISNUMBER($C1087)),NOT(ISNUMBER($M1087)),$M1087=0),"",$C1087/$M1087-1)</f>
        <v/>
      </c>
      <c r="P1087" s="54"/>
      <c r="Q1087" s="53" t="str">
        <f aca="false">IF(NOT(ISNUMBER($P1087)),"",IFERROR(PERCENTRANK($P$5:$P$1204,$P1087),""))</f>
        <v/>
      </c>
    </row>
    <row r="1088" customFormat="false" ht="15" hidden="false" customHeight="false" outlineLevel="0" collapsed="false">
      <c r="A1088" s="55"/>
      <c r="B1088" s="56"/>
      <c r="C1088" s="57"/>
      <c r="D1088" s="56"/>
      <c r="E1088" s="56"/>
      <c r="F1088" s="56"/>
      <c r="G1088" s="50" t="str">
        <f aca="false">IF($A1088="","",IF(ISNUMBER($G1087),$G1087+1,1))</f>
        <v/>
      </c>
      <c r="H1088" s="51" t="str">
        <f aca="false">IF(OR(NOT(ISNUMBER($G1088)),$G1088&lt;2,NOT(ISNUMBER($C1087)),$C1087=0),"",$C1088/$C1087-1)</f>
        <v/>
      </c>
      <c r="I1088" s="52" t="str">
        <f aca="false">IF(AND(ISNUMBER($G1088),$G1088&gt;=MA_SHORT),AVERAGE(INDEX($C$688:$C1088,402-MA_SHORT):$C1088),"")</f>
        <v/>
      </c>
      <c r="J1088" s="52" t="str">
        <f aca="false">IF(AND(ISNUMBER($G1088),$G1088&gt;=MA_MED),AVERAGE(INDEX($C$688:$C1088,402-MA_MED):$C1088),"")</f>
        <v/>
      </c>
      <c r="K1088" s="52" t="str">
        <f aca="false">IF(AND(ISNUMBER($G1088),$G1088&gt;=MA_LONG2),AVERAGE(INDEX($C$688:$C1088,402-MA_LONG2):$C1088),"")</f>
        <v/>
      </c>
      <c r="L1088" s="53" t="str">
        <f aca="false">IF(AND(ISNUMBER($G1088),$G1088&gt;=21),STDEV(INDEX($H$1028:$H1088,62-20):$H1088)*SQRT(245),"")</f>
        <v/>
      </c>
      <c r="M1088" s="52" t="str">
        <f aca="false">IF(AND(ISNUMBER($G1088),$G1088&gt;=60),MAX(INDEX($D$888:$D1088,202-60):$D1088),"")</f>
        <v/>
      </c>
      <c r="N1088" s="52" t="str">
        <f aca="false">IF(AND(ISNUMBER($G1088),$G1088&gt;=60),MIN(INDEX($E$888:$E1088,202-60):$E1088),"")</f>
        <v/>
      </c>
      <c r="O1088" s="53" t="str">
        <f aca="false">IF(OR(NOT(ISNUMBER($C1088)),NOT(ISNUMBER($M1088)),$M1088=0),"",$C1088/$M1088-1)</f>
        <v/>
      </c>
      <c r="P1088" s="54"/>
      <c r="Q1088" s="53" t="str">
        <f aca="false">IF(NOT(ISNUMBER($P1088)),"",IFERROR(PERCENTRANK($P$5:$P$1204,$P1088),""))</f>
        <v/>
      </c>
    </row>
    <row r="1089" customFormat="false" ht="15" hidden="false" customHeight="false" outlineLevel="0" collapsed="false">
      <c r="A1089" s="55"/>
      <c r="B1089" s="56"/>
      <c r="C1089" s="57"/>
      <c r="D1089" s="56"/>
      <c r="E1089" s="56"/>
      <c r="F1089" s="56"/>
      <c r="G1089" s="50" t="str">
        <f aca="false">IF($A1089="","",IF(ISNUMBER($G1088),$G1088+1,1))</f>
        <v/>
      </c>
      <c r="H1089" s="51" t="str">
        <f aca="false">IF(OR(NOT(ISNUMBER($G1089)),$G1089&lt;2,NOT(ISNUMBER($C1088)),$C1088=0),"",$C1089/$C1088-1)</f>
        <v/>
      </c>
      <c r="I1089" s="52" t="str">
        <f aca="false">IF(AND(ISNUMBER($G1089),$G1089&gt;=MA_SHORT),AVERAGE(INDEX($C$689:$C1089,402-MA_SHORT):$C1089),"")</f>
        <v/>
      </c>
      <c r="J1089" s="52" t="str">
        <f aca="false">IF(AND(ISNUMBER($G1089),$G1089&gt;=MA_MED),AVERAGE(INDEX($C$689:$C1089,402-MA_MED):$C1089),"")</f>
        <v/>
      </c>
      <c r="K1089" s="52" t="str">
        <f aca="false">IF(AND(ISNUMBER($G1089),$G1089&gt;=MA_LONG2),AVERAGE(INDEX($C$689:$C1089,402-MA_LONG2):$C1089),"")</f>
        <v/>
      </c>
      <c r="L1089" s="53" t="str">
        <f aca="false">IF(AND(ISNUMBER($G1089),$G1089&gt;=21),STDEV(INDEX($H$1029:$H1089,62-20):$H1089)*SQRT(245),"")</f>
        <v/>
      </c>
      <c r="M1089" s="52" t="str">
        <f aca="false">IF(AND(ISNUMBER($G1089),$G1089&gt;=60),MAX(INDEX($D$889:$D1089,202-60):$D1089),"")</f>
        <v/>
      </c>
      <c r="N1089" s="52" t="str">
        <f aca="false">IF(AND(ISNUMBER($G1089),$G1089&gt;=60),MIN(INDEX($E$889:$E1089,202-60):$E1089),"")</f>
        <v/>
      </c>
      <c r="O1089" s="53" t="str">
        <f aca="false">IF(OR(NOT(ISNUMBER($C1089)),NOT(ISNUMBER($M1089)),$M1089=0),"",$C1089/$M1089-1)</f>
        <v/>
      </c>
      <c r="P1089" s="54"/>
      <c r="Q1089" s="53" t="str">
        <f aca="false">IF(NOT(ISNUMBER($P1089)),"",IFERROR(PERCENTRANK($P$5:$P$1204,$P1089),""))</f>
        <v/>
      </c>
    </row>
    <row r="1090" customFormat="false" ht="15" hidden="false" customHeight="false" outlineLevel="0" collapsed="false">
      <c r="A1090" s="55"/>
      <c r="B1090" s="56"/>
      <c r="C1090" s="57"/>
      <c r="D1090" s="56"/>
      <c r="E1090" s="56"/>
      <c r="F1090" s="56"/>
      <c r="G1090" s="50" t="str">
        <f aca="false">IF($A1090="","",IF(ISNUMBER($G1089),$G1089+1,1))</f>
        <v/>
      </c>
      <c r="H1090" s="51" t="str">
        <f aca="false">IF(OR(NOT(ISNUMBER($G1090)),$G1090&lt;2,NOT(ISNUMBER($C1089)),$C1089=0),"",$C1090/$C1089-1)</f>
        <v/>
      </c>
      <c r="I1090" s="52" t="str">
        <f aca="false">IF(AND(ISNUMBER($G1090),$G1090&gt;=MA_SHORT),AVERAGE(INDEX($C$690:$C1090,402-MA_SHORT):$C1090),"")</f>
        <v/>
      </c>
      <c r="J1090" s="52" t="str">
        <f aca="false">IF(AND(ISNUMBER($G1090),$G1090&gt;=MA_MED),AVERAGE(INDEX($C$690:$C1090,402-MA_MED):$C1090),"")</f>
        <v/>
      </c>
      <c r="K1090" s="52" t="str">
        <f aca="false">IF(AND(ISNUMBER($G1090),$G1090&gt;=MA_LONG2),AVERAGE(INDEX($C$690:$C1090,402-MA_LONG2):$C1090),"")</f>
        <v/>
      </c>
      <c r="L1090" s="53" t="str">
        <f aca="false">IF(AND(ISNUMBER($G1090),$G1090&gt;=21),STDEV(INDEX($H$1030:$H1090,62-20):$H1090)*SQRT(245),"")</f>
        <v/>
      </c>
      <c r="M1090" s="52" t="str">
        <f aca="false">IF(AND(ISNUMBER($G1090),$G1090&gt;=60),MAX(INDEX($D$890:$D1090,202-60):$D1090),"")</f>
        <v/>
      </c>
      <c r="N1090" s="52" t="str">
        <f aca="false">IF(AND(ISNUMBER($G1090),$G1090&gt;=60),MIN(INDEX($E$890:$E1090,202-60):$E1090),"")</f>
        <v/>
      </c>
      <c r="O1090" s="53" t="str">
        <f aca="false">IF(OR(NOT(ISNUMBER($C1090)),NOT(ISNUMBER($M1090)),$M1090=0),"",$C1090/$M1090-1)</f>
        <v/>
      </c>
      <c r="P1090" s="54"/>
      <c r="Q1090" s="53" t="str">
        <f aca="false">IF(NOT(ISNUMBER($P1090)),"",IFERROR(PERCENTRANK($P$5:$P$1204,$P1090),""))</f>
        <v/>
      </c>
    </row>
    <row r="1091" customFormat="false" ht="15" hidden="false" customHeight="false" outlineLevel="0" collapsed="false">
      <c r="A1091" s="55"/>
      <c r="B1091" s="56"/>
      <c r="C1091" s="57"/>
      <c r="D1091" s="56"/>
      <c r="E1091" s="56"/>
      <c r="F1091" s="56"/>
      <c r="G1091" s="50" t="str">
        <f aca="false">IF($A1091="","",IF(ISNUMBER($G1090),$G1090+1,1))</f>
        <v/>
      </c>
      <c r="H1091" s="51" t="str">
        <f aca="false">IF(OR(NOT(ISNUMBER($G1091)),$G1091&lt;2,NOT(ISNUMBER($C1090)),$C1090=0),"",$C1091/$C1090-1)</f>
        <v/>
      </c>
      <c r="I1091" s="52" t="str">
        <f aca="false">IF(AND(ISNUMBER($G1091),$G1091&gt;=MA_SHORT),AVERAGE(INDEX($C$691:$C1091,402-MA_SHORT):$C1091),"")</f>
        <v/>
      </c>
      <c r="J1091" s="52" t="str">
        <f aca="false">IF(AND(ISNUMBER($G1091),$G1091&gt;=MA_MED),AVERAGE(INDEX($C$691:$C1091,402-MA_MED):$C1091),"")</f>
        <v/>
      </c>
      <c r="K1091" s="52" t="str">
        <f aca="false">IF(AND(ISNUMBER($G1091),$G1091&gt;=MA_LONG2),AVERAGE(INDEX($C$691:$C1091,402-MA_LONG2):$C1091),"")</f>
        <v/>
      </c>
      <c r="L1091" s="53" t="str">
        <f aca="false">IF(AND(ISNUMBER($G1091),$G1091&gt;=21),STDEV(INDEX($H$1031:$H1091,62-20):$H1091)*SQRT(245),"")</f>
        <v/>
      </c>
      <c r="M1091" s="52" t="str">
        <f aca="false">IF(AND(ISNUMBER($G1091),$G1091&gt;=60),MAX(INDEX($D$891:$D1091,202-60):$D1091),"")</f>
        <v/>
      </c>
      <c r="N1091" s="52" t="str">
        <f aca="false">IF(AND(ISNUMBER($G1091),$G1091&gt;=60),MIN(INDEX($E$891:$E1091,202-60):$E1091),"")</f>
        <v/>
      </c>
      <c r="O1091" s="53" t="str">
        <f aca="false">IF(OR(NOT(ISNUMBER($C1091)),NOT(ISNUMBER($M1091)),$M1091=0),"",$C1091/$M1091-1)</f>
        <v/>
      </c>
      <c r="P1091" s="54"/>
      <c r="Q1091" s="53" t="str">
        <f aca="false">IF(NOT(ISNUMBER($P1091)),"",IFERROR(PERCENTRANK($P$5:$P$1204,$P1091),""))</f>
        <v/>
      </c>
    </row>
    <row r="1092" customFormat="false" ht="15" hidden="false" customHeight="false" outlineLevel="0" collapsed="false">
      <c r="A1092" s="55"/>
      <c r="B1092" s="56"/>
      <c r="C1092" s="57"/>
      <c r="D1092" s="56"/>
      <c r="E1092" s="56"/>
      <c r="F1092" s="56"/>
      <c r="G1092" s="50" t="str">
        <f aca="false">IF($A1092="","",IF(ISNUMBER($G1091),$G1091+1,1))</f>
        <v/>
      </c>
      <c r="H1092" s="51" t="str">
        <f aca="false">IF(OR(NOT(ISNUMBER($G1092)),$G1092&lt;2,NOT(ISNUMBER($C1091)),$C1091=0),"",$C1092/$C1091-1)</f>
        <v/>
      </c>
      <c r="I1092" s="52" t="str">
        <f aca="false">IF(AND(ISNUMBER($G1092),$G1092&gt;=MA_SHORT),AVERAGE(INDEX($C$692:$C1092,402-MA_SHORT):$C1092),"")</f>
        <v/>
      </c>
      <c r="J1092" s="52" t="str">
        <f aca="false">IF(AND(ISNUMBER($G1092),$G1092&gt;=MA_MED),AVERAGE(INDEX($C$692:$C1092,402-MA_MED):$C1092),"")</f>
        <v/>
      </c>
      <c r="K1092" s="52" t="str">
        <f aca="false">IF(AND(ISNUMBER($G1092),$G1092&gt;=MA_LONG2),AVERAGE(INDEX($C$692:$C1092,402-MA_LONG2):$C1092),"")</f>
        <v/>
      </c>
      <c r="L1092" s="53" t="str">
        <f aca="false">IF(AND(ISNUMBER($G1092),$G1092&gt;=21),STDEV(INDEX($H$1032:$H1092,62-20):$H1092)*SQRT(245),"")</f>
        <v/>
      </c>
      <c r="M1092" s="52" t="str">
        <f aca="false">IF(AND(ISNUMBER($G1092),$G1092&gt;=60),MAX(INDEX($D$892:$D1092,202-60):$D1092),"")</f>
        <v/>
      </c>
      <c r="N1092" s="52" t="str">
        <f aca="false">IF(AND(ISNUMBER($G1092),$G1092&gt;=60),MIN(INDEX($E$892:$E1092,202-60):$E1092),"")</f>
        <v/>
      </c>
      <c r="O1092" s="53" t="str">
        <f aca="false">IF(OR(NOT(ISNUMBER($C1092)),NOT(ISNUMBER($M1092)),$M1092=0),"",$C1092/$M1092-1)</f>
        <v/>
      </c>
      <c r="P1092" s="54"/>
      <c r="Q1092" s="53" t="str">
        <f aca="false">IF(NOT(ISNUMBER($P1092)),"",IFERROR(PERCENTRANK($P$5:$P$1204,$P1092),""))</f>
        <v/>
      </c>
    </row>
    <row r="1093" customFormat="false" ht="15" hidden="false" customHeight="false" outlineLevel="0" collapsed="false">
      <c r="A1093" s="55"/>
      <c r="B1093" s="56"/>
      <c r="C1093" s="57"/>
      <c r="D1093" s="56"/>
      <c r="E1093" s="56"/>
      <c r="F1093" s="56"/>
      <c r="G1093" s="50" t="str">
        <f aca="false">IF($A1093="","",IF(ISNUMBER($G1092),$G1092+1,1))</f>
        <v/>
      </c>
      <c r="H1093" s="51" t="str">
        <f aca="false">IF(OR(NOT(ISNUMBER($G1093)),$G1093&lt;2,NOT(ISNUMBER($C1092)),$C1092=0),"",$C1093/$C1092-1)</f>
        <v/>
      </c>
      <c r="I1093" s="52" t="str">
        <f aca="false">IF(AND(ISNUMBER($G1093),$G1093&gt;=MA_SHORT),AVERAGE(INDEX($C$693:$C1093,402-MA_SHORT):$C1093),"")</f>
        <v/>
      </c>
      <c r="J1093" s="52" t="str">
        <f aca="false">IF(AND(ISNUMBER($G1093),$G1093&gt;=MA_MED),AVERAGE(INDEX($C$693:$C1093,402-MA_MED):$C1093),"")</f>
        <v/>
      </c>
      <c r="K1093" s="52" t="str">
        <f aca="false">IF(AND(ISNUMBER($G1093),$G1093&gt;=MA_LONG2),AVERAGE(INDEX($C$693:$C1093,402-MA_LONG2):$C1093),"")</f>
        <v/>
      </c>
      <c r="L1093" s="53" t="str">
        <f aca="false">IF(AND(ISNUMBER($G1093),$G1093&gt;=21),STDEV(INDEX($H$1033:$H1093,62-20):$H1093)*SQRT(245),"")</f>
        <v/>
      </c>
      <c r="M1093" s="52" t="str">
        <f aca="false">IF(AND(ISNUMBER($G1093),$G1093&gt;=60),MAX(INDEX($D$893:$D1093,202-60):$D1093),"")</f>
        <v/>
      </c>
      <c r="N1093" s="52" t="str">
        <f aca="false">IF(AND(ISNUMBER($G1093),$G1093&gt;=60),MIN(INDEX($E$893:$E1093,202-60):$E1093),"")</f>
        <v/>
      </c>
      <c r="O1093" s="53" t="str">
        <f aca="false">IF(OR(NOT(ISNUMBER($C1093)),NOT(ISNUMBER($M1093)),$M1093=0),"",$C1093/$M1093-1)</f>
        <v/>
      </c>
      <c r="P1093" s="54"/>
      <c r="Q1093" s="53" t="str">
        <f aca="false">IF(NOT(ISNUMBER($P1093)),"",IFERROR(PERCENTRANK($P$5:$P$1204,$P1093),""))</f>
        <v/>
      </c>
    </row>
    <row r="1094" customFormat="false" ht="15" hidden="false" customHeight="false" outlineLevel="0" collapsed="false">
      <c r="A1094" s="55"/>
      <c r="B1094" s="56"/>
      <c r="C1094" s="57"/>
      <c r="D1094" s="56"/>
      <c r="E1094" s="56"/>
      <c r="F1094" s="56"/>
      <c r="G1094" s="50" t="str">
        <f aca="false">IF($A1094="","",IF(ISNUMBER($G1093),$G1093+1,1))</f>
        <v/>
      </c>
      <c r="H1094" s="51" t="str">
        <f aca="false">IF(OR(NOT(ISNUMBER($G1094)),$G1094&lt;2,NOT(ISNUMBER($C1093)),$C1093=0),"",$C1094/$C1093-1)</f>
        <v/>
      </c>
      <c r="I1094" s="52" t="str">
        <f aca="false">IF(AND(ISNUMBER($G1094),$G1094&gt;=MA_SHORT),AVERAGE(INDEX($C$694:$C1094,402-MA_SHORT):$C1094),"")</f>
        <v/>
      </c>
      <c r="J1094" s="52" t="str">
        <f aca="false">IF(AND(ISNUMBER($G1094),$G1094&gt;=MA_MED),AVERAGE(INDEX($C$694:$C1094,402-MA_MED):$C1094),"")</f>
        <v/>
      </c>
      <c r="K1094" s="52" t="str">
        <f aca="false">IF(AND(ISNUMBER($G1094),$G1094&gt;=MA_LONG2),AVERAGE(INDEX($C$694:$C1094,402-MA_LONG2):$C1094),"")</f>
        <v/>
      </c>
      <c r="L1094" s="53" t="str">
        <f aca="false">IF(AND(ISNUMBER($G1094),$G1094&gt;=21),STDEV(INDEX($H$1034:$H1094,62-20):$H1094)*SQRT(245),"")</f>
        <v/>
      </c>
      <c r="M1094" s="52" t="str">
        <f aca="false">IF(AND(ISNUMBER($G1094),$G1094&gt;=60),MAX(INDEX($D$894:$D1094,202-60):$D1094),"")</f>
        <v/>
      </c>
      <c r="N1094" s="52" t="str">
        <f aca="false">IF(AND(ISNUMBER($G1094),$G1094&gt;=60),MIN(INDEX($E$894:$E1094,202-60):$E1094),"")</f>
        <v/>
      </c>
      <c r="O1094" s="53" t="str">
        <f aca="false">IF(OR(NOT(ISNUMBER($C1094)),NOT(ISNUMBER($M1094)),$M1094=0),"",$C1094/$M1094-1)</f>
        <v/>
      </c>
      <c r="P1094" s="54"/>
      <c r="Q1094" s="53" t="str">
        <f aca="false">IF(NOT(ISNUMBER($P1094)),"",IFERROR(PERCENTRANK($P$5:$P$1204,$P1094),""))</f>
        <v/>
      </c>
    </row>
    <row r="1095" customFormat="false" ht="15" hidden="false" customHeight="false" outlineLevel="0" collapsed="false">
      <c r="A1095" s="55"/>
      <c r="B1095" s="56"/>
      <c r="C1095" s="57"/>
      <c r="D1095" s="56"/>
      <c r="E1095" s="56"/>
      <c r="F1095" s="56"/>
      <c r="G1095" s="50" t="str">
        <f aca="false">IF($A1095="","",IF(ISNUMBER($G1094),$G1094+1,1))</f>
        <v/>
      </c>
      <c r="H1095" s="51" t="str">
        <f aca="false">IF(OR(NOT(ISNUMBER($G1095)),$G1095&lt;2,NOT(ISNUMBER($C1094)),$C1094=0),"",$C1095/$C1094-1)</f>
        <v/>
      </c>
      <c r="I1095" s="52" t="str">
        <f aca="false">IF(AND(ISNUMBER($G1095),$G1095&gt;=MA_SHORT),AVERAGE(INDEX($C$695:$C1095,402-MA_SHORT):$C1095),"")</f>
        <v/>
      </c>
      <c r="J1095" s="52" t="str">
        <f aca="false">IF(AND(ISNUMBER($G1095),$G1095&gt;=MA_MED),AVERAGE(INDEX($C$695:$C1095,402-MA_MED):$C1095),"")</f>
        <v/>
      </c>
      <c r="K1095" s="52" t="str">
        <f aca="false">IF(AND(ISNUMBER($G1095),$G1095&gt;=MA_LONG2),AVERAGE(INDEX($C$695:$C1095,402-MA_LONG2):$C1095),"")</f>
        <v/>
      </c>
      <c r="L1095" s="53" t="str">
        <f aca="false">IF(AND(ISNUMBER($G1095),$G1095&gt;=21),STDEV(INDEX($H$1035:$H1095,62-20):$H1095)*SQRT(245),"")</f>
        <v/>
      </c>
      <c r="M1095" s="52" t="str">
        <f aca="false">IF(AND(ISNUMBER($G1095),$G1095&gt;=60),MAX(INDEX($D$895:$D1095,202-60):$D1095),"")</f>
        <v/>
      </c>
      <c r="N1095" s="52" t="str">
        <f aca="false">IF(AND(ISNUMBER($G1095),$G1095&gt;=60),MIN(INDEX($E$895:$E1095,202-60):$E1095),"")</f>
        <v/>
      </c>
      <c r="O1095" s="53" t="str">
        <f aca="false">IF(OR(NOT(ISNUMBER($C1095)),NOT(ISNUMBER($M1095)),$M1095=0),"",$C1095/$M1095-1)</f>
        <v/>
      </c>
      <c r="P1095" s="54"/>
      <c r="Q1095" s="53" t="str">
        <f aca="false">IF(NOT(ISNUMBER($P1095)),"",IFERROR(PERCENTRANK($P$5:$P$1204,$P1095),""))</f>
        <v/>
      </c>
    </row>
    <row r="1096" customFormat="false" ht="15" hidden="false" customHeight="false" outlineLevel="0" collapsed="false">
      <c r="A1096" s="55"/>
      <c r="B1096" s="56"/>
      <c r="C1096" s="57"/>
      <c r="D1096" s="56"/>
      <c r="E1096" s="56"/>
      <c r="F1096" s="56"/>
      <c r="G1096" s="50" t="str">
        <f aca="false">IF($A1096="","",IF(ISNUMBER($G1095),$G1095+1,1))</f>
        <v/>
      </c>
      <c r="H1096" s="51" t="str">
        <f aca="false">IF(OR(NOT(ISNUMBER($G1096)),$G1096&lt;2,NOT(ISNUMBER($C1095)),$C1095=0),"",$C1096/$C1095-1)</f>
        <v/>
      </c>
      <c r="I1096" s="52" t="str">
        <f aca="false">IF(AND(ISNUMBER($G1096),$G1096&gt;=MA_SHORT),AVERAGE(INDEX($C$696:$C1096,402-MA_SHORT):$C1096),"")</f>
        <v/>
      </c>
      <c r="J1096" s="52" t="str">
        <f aca="false">IF(AND(ISNUMBER($G1096),$G1096&gt;=MA_MED),AVERAGE(INDEX($C$696:$C1096,402-MA_MED):$C1096),"")</f>
        <v/>
      </c>
      <c r="K1096" s="52" t="str">
        <f aca="false">IF(AND(ISNUMBER($G1096),$G1096&gt;=MA_LONG2),AVERAGE(INDEX($C$696:$C1096,402-MA_LONG2):$C1096),"")</f>
        <v/>
      </c>
      <c r="L1096" s="53" t="str">
        <f aca="false">IF(AND(ISNUMBER($G1096),$G1096&gt;=21),STDEV(INDEX($H$1036:$H1096,62-20):$H1096)*SQRT(245),"")</f>
        <v/>
      </c>
      <c r="M1096" s="52" t="str">
        <f aca="false">IF(AND(ISNUMBER($G1096),$G1096&gt;=60),MAX(INDEX($D$896:$D1096,202-60):$D1096),"")</f>
        <v/>
      </c>
      <c r="N1096" s="52" t="str">
        <f aca="false">IF(AND(ISNUMBER($G1096),$G1096&gt;=60),MIN(INDEX($E$896:$E1096,202-60):$E1096),"")</f>
        <v/>
      </c>
      <c r="O1096" s="53" t="str">
        <f aca="false">IF(OR(NOT(ISNUMBER($C1096)),NOT(ISNUMBER($M1096)),$M1096=0),"",$C1096/$M1096-1)</f>
        <v/>
      </c>
      <c r="P1096" s="54"/>
      <c r="Q1096" s="53" t="str">
        <f aca="false">IF(NOT(ISNUMBER($P1096)),"",IFERROR(PERCENTRANK($P$5:$P$1204,$P1096),""))</f>
        <v/>
      </c>
    </row>
    <row r="1097" customFormat="false" ht="15" hidden="false" customHeight="false" outlineLevel="0" collapsed="false">
      <c r="A1097" s="55"/>
      <c r="B1097" s="56"/>
      <c r="C1097" s="57"/>
      <c r="D1097" s="56"/>
      <c r="E1097" s="56"/>
      <c r="F1097" s="56"/>
      <c r="G1097" s="50" t="str">
        <f aca="false">IF($A1097="","",IF(ISNUMBER($G1096),$G1096+1,1))</f>
        <v/>
      </c>
      <c r="H1097" s="51" t="str">
        <f aca="false">IF(OR(NOT(ISNUMBER($G1097)),$G1097&lt;2,NOT(ISNUMBER($C1096)),$C1096=0),"",$C1097/$C1096-1)</f>
        <v/>
      </c>
      <c r="I1097" s="52" t="str">
        <f aca="false">IF(AND(ISNUMBER($G1097),$G1097&gt;=MA_SHORT),AVERAGE(INDEX($C$697:$C1097,402-MA_SHORT):$C1097),"")</f>
        <v/>
      </c>
      <c r="J1097" s="52" t="str">
        <f aca="false">IF(AND(ISNUMBER($G1097),$G1097&gt;=MA_MED),AVERAGE(INDEX($C$697:$C1097,402-MA_MED):$C1097),"")</f>
        <v/>
      </c>
      <c r="K1097" s="52" t="str">
        <f aca="false">IF(AND(ISNUMBER($G1097),$G1097&gt;=MA_LONG2),AVERAGE(INDEX($C$697:$C1097,402-MA_LONG2):$C1097),"")</f>
        <v/>
      </c>
      <c r="L1097" s="53" t="str">
        <f aca="false">IF(AND(ISNUMBER($G1097),$G1097&gt;=21),STDEV(INDEX($H$1037:$H1097,62-20):$H1097)*SQRT(245),"")</f>
        <v/>
      </c>
      <c r="M1097" s="52" t="str">
        <f aca="false">IF(AND(ISNUMBER($G1097),$G1097&gt;=60),MAX(INDEX($D$897:$D1097,202-60):$D1097),"")</f>
        <v/>
      </c>
      <c r="N1097" s="52" t="str">
        <f aca="false">IF(AND(ISNUMBER($G1097),$G1097&gt;=60),MIN(INDEX($E$897:$E1097,202-60):$E1097),"")</f>
        <v/>
      </c>
      <c r="O1097" s="53" t="str">
        <f aca="false">IF(OR(NOT(ISNUMBER($C1097)),NOT(ISNUMBER($M1097)),$M1097=0),"",$C1097/$M1097-1)</f>
        <v/>
      </c>
      <c r="P1097" s="54"/>
      <c r="Q1097" s="53" t="str">
        <f aca="false">IF(NOT(ISNUMBER($P1097)),"",IFERROR(PERCENTRANK($P$5:$P$1204,$P1097),""))</f>
        <v/>
      </c>
    </row>
    <row r="1098" customFormat="false" ht="15" hidden="false" customHeight="false" outlineLevel="0" collapsed="false">
      <c r="A1098" s="55"/>
      <c r="B1098" s="56"/>
      <c r="C1098" s="57"/>
      <c r="D1098" s="56"/>
      <c r="E1098" s="56"/>
      <c r="F1098" s="56"/>
      <c r="G1098" s="50" t="str">
        <f aca="false">IF($A1098="","",IF(ISNUMBER($G1097),$G1097+1,1))</f>
        <v/>
      </c>
      <c r="H1098" s="51" t="str">
        <f aca="false">IF(OR(NOT(ISNUMBER($G1098)),$G1098&lt;2,NOT(ISNUMBER($C1097)),$C1097=0),"",$C1098/$C1097-1)</f>
        <v/>
      </c>
      <c r="I1098" s="52" t="str">
        <f aca="false">IF(AND(ISNUMBER($G1098),$G1098&gt;=MA_SHORT),AVERAGE(INDEX($C$698:$C1098,402-MA_SHORT):$C1098),"")</f>
        <v/>
      </c>
      <c r="J1098" s="52" t="str">
        <f aca="false">IF(AND(ISNUMBER($G1098),$G1098&gt;=MA_MED),AVERAGE(INDEX($C$698:$C1098,402-MA_MED):$C1098),"")</f>
        <v/>
      </c>
      <c r="K1098" s="52" t="str">
        <f aca="false">IF(AND(ISNUMBER($G1098),$G1098&gt;=MA_LONG2),AVERAGE(INDEX($C$698:$C1098,402-MA_LONG2):$C1098),"")</f>
        <v/>
      </c>
      <c r="L1098" s="53" t="str">
        <f aca="false">IF(AND(ISNUMBER($G1098),$G1098&gt;=21),STDEV(INDEX($H$1038:$H1098,62-20):$H1098)*SQRT(245),"")</f>
        <v/>
      </c>
      <c r="M1098" s="52" t="str">
        <f aca="false">IF(AND(ISNUMBER($G1098),$G1098&gt;=60),MAX(INDEX($D$898:$D1098,202-60):$D1098),"")</f>
        <v/>
      </c>
      <c r="N1098" s="52" t="str">
        <f aca="false">IF(AND(ISNUMBER($G1098),$G1098&gt;=60),MIN(INDEX($E$898:$E1098,202-60):$E1098),"")</f>
        <v/>
      </c>
      <c r="O1098" s="53" t="str">
        <f aca="false">IF(OR(NOT(ISNUMBER($C1098)),NOT(ISNUMBER($M1098)),$M1098=0),"",$C1098/$M1098-1)</f>
        <v/>
      </c>
      <c r="P1098" s="54"/>
      <c r="Q1098" s="53" t="str">
        <f aca="false">IF(NOT(ISNUMBER($P1098)),"",IFERROR(PERCENTRANK($P$5:$P$1204,$P1098),""))</f>
        <v/>
      </c>
    </row>
    <row r="1099" customFormat="false" ht="15" hidden="false" customHeight="false" outlineLevel="0" collapsed="false">
      <c r="A1099" s="55"/>
      <c r="B1099" s="56"/>
      <c r="C1099" s="57"/>
      <c r="D1099" s="56"/>
      <c r="E1099" s="56"/>
      <c r="F1099" s="56"/>
      <c r="G1099" s="50" t="str">
        <f aca="false">IF($A1099="","",IF(ISNUMBER($G1098),$G1098+1,1))</f>
        <v/>
      </c>
      <c r="H1099" s="51" t="str">
        <f aca="false">IF(OR(NOT(ISNUMBER($G1099)),$G1099&lt;2,NOT(ISNUMBER($C1098)),$C1098=0),"",$C1099/$C1098-1)</f>
        <v/>
      </c>
      <c r="I1099" s="52" t="str">
        <f aca="false">IF(AND(ISNUMBER($G1099),$G1099&gt;=MA_SHORT),AVERAGE(INDEX($C$699:$C1099,402-MA_SHORT):$C1099),"")</f>
        <v/>
      </c>
      <c r="J1099" s="52" t="str">
        <f aca="false">IF(AND(ISNUMBER($G1099),$G1099&gt;=MA_MED),AVERAGE(INDEX($C$699:$C1099,402-MA_MED):$C1099),"")</f>
        <v/>
      </c>
      <c r="K1099" s="52" t="str">
        <f aca="false">IF(AND(ISNUMBER($G1099),$G1099&gt;=MA_LONG2),AVERAGE(INDEX($C$699:$C1099,402-MA_LONG2):$C1099),"")</f>
        <v/>
      </c>
      <c r="L1099" s="53" t="str">
        <f aca="false">IF(AND(ISNUMBER($G1099),$G1099&gt;=21),STDEV(INDEX($H$1039:$H1099,62-20):$H1099)*SQRT(245),"")</f>
        <v/>
      </c>
      <c r="M1099" s="52" t="str">
        <f aca="false">IF(AND(ISNUMBER($G1099),$G1099&gt;=60),MAX(INDEX($D$899:$D1099,202-60):$D1099),"")</f>
        <v/>
      </c>
      <c r="N1099" s="52" t="str">
        <f aca="false">IF(AND(ISNUMBER($G1099),$G1099&gt;=60),MIN(INDEX($E$899:$E1099,202-60):$E1099),"")</f>
        <v/>
      </c>
      <c r="O1099" s="53" t="str">
        <f aca="false">IF(OR(NOT(ISNUMBER($C1099)),NOT(ISNUMBER($M1099)),$M1099=0),"",$C1099/$M1099-1)</f>
        <v/>
      </c>
      <c r="P1099" s="54"/>
      <c r="Q1099" s="53" t="str">
        <f aca="false">IF(NOT(ISNUMBER($P1099)),"",IFERROR(PERCENTRANK($P$5:$P$1204,$P1099),""))</f>
        <v/>
      </c>
    </row>
    <row r="1100" customFormat="false" ht="15" hidden="false" customHeight="false" outlineLevel="0" collapsed="false">
      <c r="A1100" s="55"/>
      <c r="B1100" s="56"/>
      <c r="C1100" s="57"/>
      <c r="D1100" s="56"/>
      <c r="E1100" s="56"/>
      <c r="F1100" s="56"/>
      <c r="G1100" s="50" t="str">
        <f aca="false">IF($A1100="","",IF(ISNUMBER($G1099),$G1099+1,1))</f>
        <v/>
      </c>
      <c r="H1100" s="51" t="str">
        <f aca="false">IF(OR(NOT(ISNUMBER($G1100)),$G1100&lt;2,NOT(ISNUMBER($C1099)),$C1099=0),"",$C1100/$C1099-1)</f>
        <v/>
      </c>
      <c r="I1100" s="52" t="str">
        <f aca="false">IF(AND(ISNUMBER($G1100),$G1100&gt;=MA_SHORT),AVERAGE(INDEX($C$700:$C1100,402-MA_SHORT):$C1100),"")</f>
        <v/>
      </c>
      <c r="J1100" s="52" t="str">
        <f aca="false">IF(AND(ISNUMBER($G1100),$G1100&gt;=MA_MED),AVERAGE(INDEX($C$700:$C1100,402-MA_MED):$C1100),"")</f>
        <v/>
      </c>
      <c r="K1100" s="52" t="str">
        <f aca="false">IF(AND(ISNUMBER($G1100),$G1100&gt;=MA_LONG2),AVERAGE(INDEX($C$700:$C1100,402-MA_LONG2):$C1100),"")</f>
        <v/>
      </c>
      <c r="L1100" s="53" t="str">
        <f aca="false">IF(AND(ISNUMBER($G1100),$G1100&gt;=21),STDEV(INDEX($H$1040:$H1100,62-20):$H1100)*SQRT(245),"")</f>
        <v/>
      </c>
      <c r="M1100" s="52" t="str">
        <f aca="false">IF(AND(ISNUMBER($G1100),$G1100&gt;=60),MAX(INDEX($D$900:$D1100,202-60):$D1100),"")</f>
        <v/>
      </c>
      <c r="N1100" s="52" t="str">
        <f aca="false">IF(AND(ISNUMBER($G1100),$G1100&gt;=60),MIN(INDEX($E$900:$E1100,202-60):$E1100),"")</f>
        <v/>
      </c>
      <c r="O1100" s="53" t="str">
        <f aca="false">IF(OR(NOT(ISNUMBER($C1100)),NOT(ISNUMBER($M1100)),$M1100=0),"",$C1100/$M1100-1)</f>
        <v/>
      </c>
      <c r="P1100" s="54"/>
      <c r="Q1100" s="53" t="str">
        <f aca="false">IF(NOT(ISNUMBER($P1100)),"",IFERROR(PERCENTRANK($P$5:$P$1204,$P1100),""))</f>
        <v/>
      </c>
    </row>
    <row r="1101" customFormat="false" ht="15" hidden="false" customHeight="false" outlineLevel="0" collapsed="false">
      <c r="A1101" s="55"/>
      <c r="B1101" s="56"/>
      <c r="C1101" s="57"/>
      <c r="D1101" s="56"/>
      <c r="E1101" s="56"/>
      <c r="F1101" s="56"/>
      <c r="G1101" s="50" t="str">
        <f aca="false">IF($A1101="","",IF(ISNUMBER($G1100),$G1100+1,1))</f>
        <v/>
      </c>
      <c r="H1101" s="51" t="str">
        <f aca="false">IF(OR(NOT(ISNUMBER($G1101)),$G1101&lt;2,NOT(ISNUMBER($C1100)),$C1100=0),"",$C1101/$C1100-1)</f>
        <v/>
      </c>
      <c r="I1101" s="52" t="str">
        <f aca="false">IF(AND(ISNUMBER($G1101),$G1101&gt;=MA_SHORT),AVERAGE(INDEX($C$701:$C1101,402-MA_SHORT):$C1101),"")</f>
        <v/>
      </c>
      <c r="J1101" s="52" t="str">
        <f aca="false">IF(AND(ISNUMBER($G1101),$G1101&gt;=MA_MED),AVERAGE(INDEX($C$701:$C1101,402-MA_MED):$C1101),"")</f>
        <v/>
      </c>
      <c r="K1101" s="52" t="str">
        <f aca="false">IF(AND(ISNUMBER($G1101),$G1101&gt;=MA_LONG2),AVERAGE(INDEX($C$701:$C1101,402-MA_LONG2):$C1101),"")</f>
        <v/>
      </c>
      <c r="L1101" s="53" t="str">
        <f aca="false">IF(AND(ISNUMBER($G1101),$G1101&gt;=21),STDEV(INDEX($H$1041:$H1101,62-20):$H1101)*SQRT(245),"")</f>
        <v/>
      </c>
      <c r="M1101" s="52" t="str">
        <f aca="false">IF(AND(ISNUMBER($G1101),$G1101&gt;=60),MAX(INDEX($D$901:$D1101,202-60):$D1101),"")</f>
        <v/>
      </c>
      <c r="N1101" s="52" t="str">
        <f aca="false">IF(AND(ISNUMBER($G1101),$G1101&gt;=60),MIN(INDEX($E$901:$E1101,202-60):$E1101),"")</f>
        <v/>
      </c>
      <c r="O1101" s="53" t="str">
        <f aca="false">IF(OR(NOT(ISNUMBER($C1101)),NOT(ISNUMBER($M1101)),$M1101=0),"",$C1101/$M1101-1)</f>
        <v/>
      </c>
      <c r="P1101" s="54"/>
      <c r="Q1101" s="53" t="str">
        <f aca="false">IF(NOT(ISNUMBER($P1101)),"",IFERROR(PERCENTRANK($P$5:$P$1204,$P1101),""))</f>
        <v/>
      </c>
    </row>
    <row r="1102" customFormat="false" ht="15" hidden="false" customHeight="false" outlineLevel="0" collapsed="false">
      <c r="A1102" s="55"/>
      <c r="B1102" s="56"/>
      <c r="C1102" s="57"/>
      <c r="D1102" s="56"/>
      <c r="E1102" s="56"/>
      <c r="F1102" s="56"/>
      <c r="G1102" s="50" t="str">
        <f aca="false">IF($A1102="","",IF(ISNUMBER($G1101),$G1101+1,1))</f>
        <v/>
      </c>
      <c r="H1102" s="51" t="str">
        <f aca="false">IF(OR(NOT(ISNUMBER($G1102)),$G1102&lt;2,NOT(ISNUMBER($C1101)),$C1101=0),"",$C1102/$C1101-1)</f>
        <v/>
      </c>
      <c r="I1102" s="52" t="str">
        <f aca="false">IF(AND(ISNUMBER($G1102),$G1102&gt;=MA_SHORT),AVERAGE(INDEX($C$702:$C1102,402-MA_SHORT):$C1102),"")</f>
        <v/>
      </c>
      <c r="J1102" s="52" t="str">
        <f aca="false">IF(AND(ISNUMBER($G1102),$G1102&gt;=MA_MED),AVERAGE(INDEX($C$702:$C1102,402-MA_MED):$C1102),"")</f>
        <v/>
      </c>
      <c r="K1102" s="52" t="str">
        <f aca="false">IF(AND(ISNUMBER($G1102),$G1102&gt;=MA_LONG2),AVERAGE(INDEX($C$702:$C1102,402-MA_LONG2):$C1102),"")</f>
        <v/>
      </c>
      <c r="L1102" s="53" t="str">
        <f aca="false">IF(AND(ISNUMBER($G1102),$G1102&gt;=21),STDEV(INDEX($H$1042:$H1102,62-20):$H1102)*SQRT(245),"")</f>
        <v/>
      </c>
      <c r="M1102" s="52" t="str">
        <f aca="false">IF(AND(ISNUMBER($G1102),$G1102&gt;=60),MAX(INDEX($D$902:$D1102,202-60):$D1102),"")</f>
        <v/>
      </c>
      <c r="N1102" s="52" t="str">
        <f aca="false">IF(AND(ISNUMBER($G1102),$G1102&gt;=60),MIN(INDEX($E$902:$E1102,202-60):$E1102),"")</f>
        <v/>
      </c>
      <c r="O1102" s="53" t="str">
        <f aca="false">IF(OR(NOT(ISNUMBER($C1102)),NOT(ISNUMBER($M1102)),$M1102=0),"",$C1102/$M1102-1)</f>
        <v/>
      </c>
      <c r="P1102" s="54"/>
      <c r="Q1102" s="53" t="str">
        <f aca="false">IF(NOT(ISNUMBER($P1102)),"",IFERROR(PERCENTRANK($P$5:$P$1204,$P1102),""))</f>
        <v/>
      </c>
    </row>
    <row r="1103" customFormat="false" ht="15" hidden="false" customHeight="false" outlineLevel="0" collapsed="false">
      <c r="A1103" s="55"/>
      <c r="B1103" s="56"/>
      <c r="C1103" s="57"/>
      <c r="D1103" s="56"/>
      <c r="E1103" s="56"/>
      <c r="F1103" s="56"/>
      <c r="G1103" s="50" t="str">
        <f aca="false">IF($A1103="","",IF(ISNUMBER($G1102),$G1102+1,1))</f>
        <v/>
      </c>
      <c r="H1103" s="51" t="str">
        <f aca="false">IF(OR(NOT(ISNUMBER($G1103)),$G1103&lt;2,NOT(ISNUMBER($C1102)),$C1102=0),"",$C1103/$C1102-1)</f>
        <v/>
      </c>
      <c r="I1103" s="52" t="str">
        <f aca="false">IF(AND(ISNUMBER($G1103),$G1103&gt;=MA_SHORT),AVERAGE(INDEX($C$703:$C1103,402-MA_SHORT):$C1103),"")</f>
        <v/>
      </c>
      <c r="J1103" s="52" t="str">
        <f aca="false">IF(AND(ISNUMBER($G1103),$G1103&gt;=MA_MED),AVERAGE(INDEX($C$703:$C1103,402-MA_MED):$C1103),"")</f>
        <v/>
      </c>
      <c r="K1103" s="52" t="str">
        <f aca="false">IF(AND(ISNUMBER($G1103),$G1103&gt;=MA_LONG2),AVERAGE(INDEX($C$703:$C1103,402-MA_LONG2):$C1103),"")</f>
        <v/>
      </c>
      <c r="L1103" s="53" t="str">
        <f aca="false">IF(AND(ISNUMBER($G1103),$G1103&gt;=21),STDEV(INDEX($H$1043:$H1103,62-20):$H1103)*SQRT(245),"")</f>
        <v/>
      </c>
      <c r="M1103" s="52" t="str">
        <f aca="false">IF(AND(ISNUMBER($G1103),$G1103&gt;=60),MAX(INDEX($D$903:$D1103,202-60):$D1103),"")</f>
        <v/>
      </c>
      <c r="N1103" s="52" t="str">
        <f aca="false">IF(AND(ISNUMBER($G1103),$G1103&gt;=60),MIN(INDEX($E$903:$E1103,202-60):$E1103),"")</f>
        <v/>
      </c>
      <c r="O1103" s="53" t="str">
        <f aca="false">IF(OR(NOT(ISNUMBER($C1103)),NOT(ISNUMBER($M1103)),$M1103=0),"",$C1103/$M1103-1)</f>
        <v/>
      </c>
      <c r="P1103" s="54"/>
      <c r="Q1103" s="53" t="str">
        <f aca="false">IF(NOT(ISNUMBER($P1103)),"",IFERROR(PERCENTRANK($P$5:$P$1204,$P1103),""))</f>
        <v/>
      </c>
    </row>
    <row r="1104" customFormat="false" ht="15" hidden="false" customHeight="false" outlineLevel="0" collapsed="false">
      <c r="A1104" s="55"/>
      <c r="B1104" s="56"/>
      <c r="C1104" s="57"/>
      <c r="D1104" s="56"/>
      <c r="E1104" s="56"/>
      <c r="F1104" s="56"/>
      <c r="G1104" s="50" t="str">
        <f aca="false">IF($A1104="","",IF(ISNUMBER($G1103),$G1103+1,1))</f>
        <v/>
      </c>
      <c r="H1104" s="51" t="str">
        <f aca="false">IF(OR(NOT(ISNUMBER($G1104)),$G1104&lt;2,NOT(ISNUMBER($C1103)),$C1103=0),"",$C1104/$C1103-1)</f>
        <v/>
      </c>
      <c r="I1104" s="52" t="str">
        <f aca="false">IF(AND(ISNUMBER($G1104),$G1104&gt;=MA_SHORT),AVERAGE(INDEX($C$704:$C1104,402-MA_SHORT):$C1104),"")</f>
        <v/>
      </c>
      <c r="J1104" s="52" t="str">
        <f aca="false">IF(AND(ISNUMBER($G1104),$G1104&gt;=MA_MED),AVERAGE(INDEX($C$704:$C1104,402-MA_MED):$C1104),"")</f>
        <v/>
      </c>
      <c r="K1104" s="52" t="str">
        <f aca="false">IF(AND(ISNUMBER($G1104),$G1104&gt;=MA_LONG2),AVERAGE(INDEX($C$704:$C1104,402-MA_LONG2):$C1104),"")</f>
        <v/>
      </c>
      <c r="L1104" s="53" t="str">
        <f aca="false">IF(AND(ISNUMBER($G1104),$G1104&gt;=21),STDEV(INDEX($H$1044:$H1104,62-20):$H1104)*SQRT(245),"")</f>
        <v/>
      </c>
      <c r="M1104" s="52" t="str">
        <f aca="false">IF(AND(ISNUMBER($G1104),$G1104&gt;=60),MAX(INDEX($D$904:$D1104,202-60):$D1104),"")</f>
        <v/>
      </c>
      <c r="N1104" s="52" t="str">
        <f aca="false">IF(AND(ISNUMBER($G1104),$G1104&gt;=60),MIN(INDEX($E$904:$E1104,202-60):$E1104),"")</f>
        <v/>
      </c>
      <c r="O1104" s="53" t="str">
        <f aca="false">IF(OR(NOT(ISNUMBER($C1104)),NOT(ISNUMBER($M1104)),$M1104=0),"",$C1104/$M1104-1)</f>
        <v/>
      </c>
      <c r="P1104" s="54"/>
      <c r="Q1104" s="53" t="str">
        <f aca="false">IF(NOT(ISNUMBER($P1104)),"",IFERROR(PERCENTRANK($P$5:$P$1204,$P1104),""))</f>
        <v/>
      </c>
    </row>
    <row r="1105" customFormat="false" ht="15" hidden="false" customHeight="false" outlineLevel="0" collapsed="false">
      <c r="A1105" s="55"/>
      <c r="B1105" s="56"/>
      <c r="C1105" s="57"/>
      <c r="D1105" s="56"/>
      <c r="E1105" s="56"/>
      <c r="F1105" s="56"/>
      <c r="G1105" s="50" t="str">
        <f aca="false">IF($A1105="","",IF(ISNUMBER($G1104),$G1104+1,1))</f>
        <v/>
      </c>
      <c r="H1105" s="51" t="str">
        <f aca="false">IF(OR(NOT(ISNUMBER($G1105)),$G1105&lt;2,NOT(ISNUMBER($C1104)),$C1104=0),"",$C1105/$C1104-1)</f>
        <v/>
      </c>
      <c r="I1105" s="52" t="str">
        <f aca="false">IF(AND(ISNUMBER($G1105),$G1105&gt;=MA_SHORT),AVERAGE(INDEX($C$705:$C1105,402-MA_SHORT):$C1105),"")</f>
        <v/>
      </c>
      <c r="J1105" s="52" t="str">
        <f aca="false">IF(AND(ISNUMBER($G1105),$G1105&gt;=MA_MED),AVERAGE(INDEX($C$705:$C1105,402-MA_MED):$C1105),"")</f>
        <v/>
      </c>
      <c r="K1105" s="52" t="str">
        <f aca="false">IF(AND(ISNUMBER($G1105),$G1105&gt;=MA_LONG2),AVERAGE(INDEX($C$705:$C1105,402-MA_LONG2):$C1105),"")</f>
        <v/>
      </c>
      <c r="L1105" s="53" t="str">
        <f aca="false">IF(AND(ISNUMBER($G1105),$G1105&gt;=21),STDEV(INDEX($H$1045:$H1105,62-20):$H1105)*SQRT(245),"")</f>
        <v/>
      </c>
      <c r="M1105" s="52" t="str">
        <f aca="false">IF(AND(ISNUMBER($G1105),$G1105&gt;=60),MAX(INDEX($D$905:$D1105,202-60):$D1105),"")</f>
        <v/>
      </c>
      <c r="N1105" s="52" t="str">
        <f aca="false">IF(AND(ISNUMBER($G1105),$G1105&gt;=60),MIN(INDEX($E$905:$E1105,202-60):$E1105),"")</f>
        <v/>
      </c>
      <c r="O1105" s="53" t="str">
        <f aca="false">IF(OR(NOT(ISNUMBER($C1105)),NOT(ISNUMBER($M1105)),$M1105=0),"",$C1105/$M1105-1)</f>
        <v/>
      </c>
      <c r="P1105" s="54"/>
      <c r="Q1105" s="53" t="str">
        <f aca="false">IF(NOT(ISNUMBER($P1105)),"",IFERROR(PERCENTRANK($P$5:$P$1204,$P1105),""))</f>
        <v/>
      </c>
    </row>
    <row r="1106" customFormat="false" ht="15" hidden="false" customHeight="false" outlineLevel="0" collapsed="false">
      <c r="A1106" s="55"/>
      <c r="B1106" s="56"/>
      <c r="C1106" s="57"/>
      <c r="D1106" s="56"/>
      <c r="E1106" s="56"/>
      <c r="F1106" s="56"/>
      <c r="G1106" s="50" t="str">
        <f aca="false">IF($A1106="","",IF(ISNUMBER($G1105),$G1105+1,1))</f>
        <v/>
      </c>
      <c r="H1106" s="51" t="str">
        <f aca="false">IF(OR(NOT(ISNUMBER($G1106)),$G1106&lt;2,NOT(ISNUMBER($C1105)),$C1105=0),"",$C1106/$C1105-1)</f>
        <v/>
      </c>
      <c r="I1106" s="52" t="str">
        <f aca="false">IF(AND(ISNUMBER($G1106),$G1106&gt;=MA_SHORT),AVERAGE(INDEX($C$706:$C1106,402-MA_SHORT):$C1106),"")</f>
        <v/>
      </c>
      <c r="J1106" s="52" t="str">
        <f aca="false">IF(AND(ISNUMBER($G1106),$G1106&gt;=MA_MED),AVERAGE(INDEX($C$706:$C1106,402-MA_MED):$C1106),"")</f>
        <v/>
      </c>
      <c r="K1106" s="52" t="str">
        <f aca="false">IF(AND(ISNUMBER($G1106),$G1106&gt;=MA_LONG2),AVERAGE(INDEX($C$706:$C1106,402-MA_LONG2):$C1106),"")</f>
        <v/>
      </c>
      <c r="L1106" s="53" t="str">
        <f aca="false">IF(AND(ISNUMBER($G1106),$G1106&gt;=21),STDEV(INDEX($H$1046:$H1106,62-20):$H1106)*SQRT(245),"")</f>
        <v/>
      </c>
      <c r="M1106" s="52" t="str">
        <f aca="false">IF(AND(ISNUMBER($G1106),$G1106&gt;=60),MAX(INDEX($D$906:$D1106,202-60):$D1106),"")</f>
        <v/>
      </c>
      <c r="N1106" s="52" t="str">
        <f aca="false">IF(AND(ISNUMBER($G1106),$G1106&gt;=60),MIN(INDEX($E$906:$E1106,202-60):$E1106),"")</f>
        <v/>
      </c>
      <c r="O1106" s="53" t="str">
        <f aca="false">IF(OR(NOT(ISNUMBER($C1106)),NOT(ISNUMBER($M1106)),$M1106=0),"",$C1106/$M1106-1)</f>
        <v/>
      </c>
      <c r="P1106" s="54"/>
      <c r="Q1106" s="53" t="str">
        <f aca="false">IF(NOT(ISNUMBER($P1106)),"",IFERROR(PERCENTRANK($P$5:$P$1204,$P1106),""))</f>
        <v/>
      </c>
    </row>
    <row r="1107" customFormat="false" ht="15" hidden="false" customHeight="false" outlineLevel="0" collapsed="false">
      <c r="A1107" s="55"/>
      <c r="B1107" s="56"/>
      <c r="C1107" s="57"/>
      <c r="D1107" s="56"/>
      <c r="E1107" s="56"/>
      <c r="F1107" s="56"/>
      <c r="G1107" s="50" t="str">
        <f aca="false">IF($A1107="","",IF(ISNUMBER($G1106),$G1106+1,1))</f>
        <v/>
      </c>
      <c r="H1107" s="51" t="str">
        <f aca="false">IF(OR(NOT(ISNUMBER($G1107)),$G1107&lt;2,NOT(ISNUMBER($C1106)),$C1106=0),"",$C1107/$C1106-1)</f>
        <v/>
      </c>
      <c r="I1107" s="52" t="str">
        <f aca="false">IF(AND(ISNUMBER($G1107),$G1107&gt;=MA_SHORT),AVERAGE(INDEX($C$707:$C1107,402-MA_SHORT):$C1107),"")</f>
        <v/>
      </c>
      <c r="J1107" s="52" t="str">
        <f aca="false">IF(AND(ISNUMBER($G1107),$G1107&gt;=MA_MED),AVERAGE(INDEX($C$707:$C1107,402-MA_MED):$C1107),"")</f>
        <v/>
      </c>
      <c r="K1107" s="52" t="str">
        <f aca="false">IF(AND(ISNUMBER($G1107),$G1107&gt;=MA_LONG2),AVERAGE(INDEX($C$707:$C1107,402-MA_LONG2):$C1107),"")</f>
        <v/>
      </c>
      <c r="L1107" s="53" t="str">
        <f aca="false">IF(AND(ISNUMBER($G1107),$G1107&gt;=21),STDEV(INDEX($H$1047:$H1107,62-20):$H1107)*SQRT(245),"")</f>
        <v/>
      </c>
      <c r="M1107" s="52" t="str">
        <f aca="false">IF(AND(ISNUMBER($G1107),$G1107&gt;=60),MAX(INDEX($D$907:$D1107,202-60):$D1107),"")</f>
        <v/>
      </c>
      <c r="N1107" s="52" t="str">
        <f aca="false">IF(AND(ISNUMBER($G1107),$G1107&gt;=60),MIN(INDEX($E$907:$E1107,202-60):$E1107),"")</f>
        <v/>
      </c>
      <c r="O1107" s="53" t="str">
        <f aca="false">IF(OR(NOT(ISNUMBER($C1107)),NOT(ISNUMBER($M1107)),$M1107=0),"",$C1107/$M1107-1)</f>
        <v/>
      </c>
      <c r="P1107" s="54"/>
      <c r="Q1107" s="53" t="str">
        <f aca="false">IF(NOT(ISNUMBER($P1107)),"",IFERROR(PERCENTRANK($P$5:$P$1204,$P1107),""))</f>
        <v/>
      </c>
    </row>
    <row r="1108" customFormat="false" ht="15" hidden="false" customHeight="false" outlineLevel="0" collapsed="false">
      <c r="A1108" s="55"/>
      <c r="B1108" s="56"/>
      <c r="C1108" s="57"/>
      <c r="D1108" s="56"/>
      <c r="E1108" s="56"/>
      <c r="F1108" s="56"/>
      <c r="G1108" s="50" t="str">
        <f aca="false">IF($A1108="","",IF(ISNUMBER($G1107),$G1107+1,1))</f>
        <v/>
      </c>
      <c r="H1108" s="51" t="str">
        <f aca="false">IF(OR(NOT(ISNUMBER($G1108)),$G1108&lt;2,NOT(ISNUMBER($C1107)),$C1107=0),"",$C1108/$C1107-1)</f>
        <v/>
      </c>
      <c r="I1108" s="52" t="str">
        <f aca="false">IF(AND(ISNUMBER($G1108),$G1108&gt;=MA_SHORT),AVERAGE(INDEX($C$708:$C1108,402-MA_SHORT):$C1108),"")</f>
        <v/>
      </c>
      <c r="J1108" s="52" t="str">
        <f aca="false">IF(AND(ISNUMBER($G1108),$G1108&gt;=MA_MED),AVERAGE(INDEX($C$708:$C1108,402-MA_MED):$C1108),"")</f>
        <v/>
      </c>
      <c r="K1108" s="52" t="str">
        <f aca="false">IF(AND(ISNUMBER($G1108),$G1108&gt;=MA_LONG2),AVERAGE(INDEX($C$708:$C1108,402-MA_LONG2):$C1108),"")</f>
        <v/>
      </c>
      <c r="L1108" s="53" t="str">
        <f aca="false">IF(AND(ISNUMBER($G1108),$G1108&gt;=21),STDEV(INDEX($H$1048:$H1108,62-20):$H1108)*SQRT(245),"")</f>
        <v/>
      </c>
      <c r="M1108" s="52" t="str">
        <f aca="false">IF(AND(ISNUMBER($G1108),$G1108&gt;=60),MAX(INDEX($D$908:$D1108,202-60):$D1108),"")</f>
        <v/>
      </c>
      <c r="N1108" s="52" t="str">
        <f aca="false">IF(AND(ISNUMBER($G1108),$G1108&gt;=60),MIN(INDEX($E$908:$E1108,202-60):$E1108),"")</f>
        <v/>
      </c>
      <c r="O1108" s="53" t="str">
        <f aca="false">IF(OR(NOT(ISNUMBER($C1108)),NOT(ISNUMBER($M1108)),$M1108=0),"",$C1108/$M1108-1)</f>
        <v/>
      </c>
      <c r="P1108" s="54"/>
      <c r="Q1108" s="53" t="str">
        <f aca="false">IF(NOT(ISNUMBER($P1108)),"",IFERROR(PERCENTRANK($P$5:$P$1204,$P1108),""))</f>
        <v/>
      </c>
    </row>
    <row r="1109" customFormat="false" ht="15" hidden="false" customHeight="false" outlineLevel="0" collapsed="false">
      <c r="A1109" s="55"/>
      <c r="B1109" s="56"/>
      <c r="C1109" s="57"/>
      <c r="D1109" s="56"/>
      <c r="E1109" s="56"/>
      <c r="F1109" s="56"/>
      <c r="G1109" s="50" t="str">
        <f aca="false">IF($A1109="","",IF(ISNUMBER($G1108),$G1108+1,1))</f>
        <v/>
      </c>
      <c r="H1109" s="51" t="str">
        <f aca="false">IF(OR(NOT(ISNUMBER($G1109)),$G1109&lt;2,NOT(ISNUMBER($C1108)),$C1108=0),"",$C1109/$C1108-1)</f>
        <v/>
      </c>
      <c r="I1109" s="52" t="str">
        <f aca="false">IF(AND(ISNUMBER($G1109),$G1109&gt;=MA_SHORT),AVERAGE(INDEX($C$709:$C1109,402-MA_SHORT):$C1109),"")</f>
        <v/>
      </c>
      <c r="J1109" s="52" t="str">
        <f aca="false">IF(AND(ISNUMBER($G1109),$G1109&gt;=MA_MED),AVERAGE(INDEX($C$709:$C1109,402-MA_MED):$C1109),"")</f>
        <v/>
      </c>
      <c r="K1109" s="52" t="str">
        <f aca="false">IF(AND(ISNUMBER($G1109),$G1109&gt;=MA_LONG2),AVERAGE(INDEX($C$709:$C1109,402-MA_LONG2):$C1109),"")</f>
        <v/>
      </c>
      <c r="L1109" s="53" t="str">
        <f aca="false">IF(AND(ISNUMBER($G1109),$G1109&gt;=21),STDEV(INDEX($H$1049:$H1109,62-20):$H1109)*SQRT(245),"")</f>
        <v/>
      </c>
      <c r="M1109" s="52" t="str">
        <f aca="false">IF(AND(ISNUMBER($G1109),$G1109&gt;=60),MAX(INDEX($D$909:$D1109,202-60):$D1109),"")</f>
        <v/>
      </c>
      <c r="N1109" s="52" t="str">
        <f aca="false">IF(AND(ISNUMBER($G1109),$G1109&gt;=60),MIN(INDEX($E$909:$E1109,202-60):$E1109),"")</f>
        <v/>
      </c>
      <c r="O1109" s="53" t="str">
        <f aca="false">IF(OR(NOT(ISNUMBER($C1109)),NOT(ISNUMBER($M1109)),$M1109=0),"",$C1109/$M1109-1)</f>
        <v/>
      </c>
      <c r="P1109" s="54"/>
      <c r="Q1109" s="53" t="str">
        <f aca="false">IF(NOT(ISNUMBER($P1109)),"",IFERROR(PERCENTRANK($P$5:$P$1204,$P1109),""))</f>
        <v/>
      </c>
    </row>
    <row r="1110" customFormat="false" ht="15" hidden="false" customHeight="false" outlineLevel="0" collapsed="false">
      <c r="A1110" s="55"/>
      <c r="B1110" s="56"/>
      <c r="C1110" s="57"/>
      <c r="D1110" s="56"/>
      <c r="E1110" s="56"/>
      <c r="F1110" s="56"/>
      <c r="G1110" s="50" t="str">
        <f aca="false">IF($A1110="","",IF(ISNUMBER($G1109),$G1109+1,1))</f>
        <v/>
      </c>
      <c r="H1110" s="51" t="str">
        <f aca="false">IF(OR(NOT(ISNUMBER($G1110)),$G1110&lt;2,NOT(ISNUMBER($C1109)),$C1109=0),"",$C1110/$C1109-1)</f>
        <v/>
      </c>
      <c r="I1110" s="52" t="str">
        <f aca="false">IF(AND(ISNUMBER($G1110),$G1110&gt;=MA_SHORT),AVERAGE(INDEX($C$710:$C1110,402-MA_SHORT):$C1110),"")</f>
        <v/>
      </c>
      <c r="J1110" s="52" t="str">
        <f aca="false">IF(AND(ISNUMBER($G1110),$G1110&gt;=MA_MED),AVERAGE(INDEX($C$710:$C1110,402-MA_MED):$C1110),"")</f>
        <v/>
      </c>
      <c r="K1110" s="52" t="str">
        <f aca="false">IF(AND(ISNUMBER($G1110),$G1110&gt;=MA_LONG2),AVERAGE(INDEX($C$710:$C1110,402-MA_LONG2):$C1110),"")</f>
        <v/>
      </c>
      <c r="L1110" s="53" t="str">
        <f aca="false">IF(AND(ISNUMBER($G1110),$G1110&gt;=21),STDEV(INDEX($H$1050:$H1110,62-20):$H1110)*SQRT(245),"")</f>
        <v/>
      </c>
      <c r="M1110" s="52" t="str">
        <f aca="false">IF(AND(ISNUMBER($G1110),$G1110&gt;=60),MAX(INDEX($D$910:$D1110,202-60):$D1110),"")</f>
        <v/>
      </c>
      <c r="N1110" s="52" t="str">
        <f aca="false">IF(AND(ISNUMBER($G1110),$G1110&gt;=60),MIN(INDEX($E$910:$E1110,202-60):$E1110),"")</f>
        <v/>
      </c>
      <c r="O1110" s="53" t="str">
        <f aca="false">IF(OR(NOT(ISNUMBER($C1110)),NOT(ISNUMBER($M1110)),$M1110=0),"",$C1110/$M1110-1)</f>
        <v/>
      </c>
      <c r="P1110" s="54"/>
      <c r="Q1110" s="53" t="str">
        <f aca="false">IF(NOT(ISNUMBER($P1110)),"",IFERROR(PERCENTRANK($P$5:$P$1204,$P1110),""))</f>
        <v/>
      </c>
    </row>
    <row r="1111" customFormat="false" ht="15" hidden="false" customHeight="false" outlineLevel="0" collapsed="false">
      <c r="A1111" s="55"/>
      <c r="B1111" s="56"/>
      <c r="C1111" s="57"/>
      <c r="D1111" s="56"/>
      <c r="E1111" s="56"/>
      <c r="F1111" s="56"/>
      <c r="G1111" s="50" t="str">
        <f aca="false">IF($A1111="","",IF(ISNUMBER($G1110),$G1110+1,1))</f>
        <v/>
      </c>
      <c r="H1111" s="51" t="str">
        <f aca="false">IF(OR(NOT(ISNUMBER($G1111)),$G1111&lt;2,NOT(ISNUMBER($C1110)),$C1110=0),"",$C1111/$C1110-1)</f>
        <v/>
      </c>
      <c r="I1111" s="52" t="str">
        <f aca="false">IF(AND(ISNUMBER($G1111),$G1111&gt;=MA_SHORT),AVERAGE(INDEX($C$711:$C1111,402-MA_SHORT):$C1111),"")</f>
        <v/>
      </c>
      <c r="J1111" s="52" t="str">
        <f aca="false">IF(AND(ISNUMBER($G1111),$G1111&gt;=MA_MED),AVERAGE(INDEX($C$711:$C1111,402-MA_MED):$C1111),"")</f>
        <v/>
      </c>
      <c r="K1111" s="52" t="str">
        <f aca="false">IF(AND(ISNUMBER($G1111),$G1111&gt;=MA_LONG2),AVERAGE(INDEX($C$711:$C1111,402-MA_LONG2):$C1111),"")</f>
        <v/>
      </c>
      <c r="L1111" s="53" t="str">
        <f aca="false">IF(AND(ISNUMBER($G1111),$G1111&gt;=21),STDEV(INDEX($H$1051:$H1111,62-20):$H1111)*SQRT(245),"")</f>
        <v/>
      </c>
      <c r="M1111" s="52" t="str">
        <f aca="false">IF(AND(ISNUMBER($G1111),$G1111&gt;=60),MAX(INDEX($D$911:$D1111,202-60):$D1111),"")</f>
        <v/>
      </c>
      <c r="N1111" s="52" t="str">
        <f aca="false">IF(AND(ISNUMBER($G1111),$G1111&gt;=60),MIN(INDEX($E$911:$E1111,202-60):$E1111),"")</f>
        <v/>
      </c>
      <c r="O1111" s="53" t="str">
        <f aca="false">IF(OR(NOT(ISNUMBER($C1111)),NOT(ISNUMBER($M1111)),$M1111=0),"",$C1111/$M1111-1)</f>
        <v/>
      </c>
      <c r="P1111" s="54"/>
      <c r="Q1111" s="53" t="str">
        <f aca="false">IF(NOT(ISNUMBER($P1111)),"",IFERROR(PERCENTRANK($P$5:$P$1204,$P1111),""))</f>
        <v/>
      </c>
    </row>
    <row r="1112" customFormat="false" ht="15" hidden="false" customHeight="false" outlineLevel="0" collapsed="false">
      <c r="A1112" s="55"/>
      <c r="B1112" s="56"/>
      <c r="C1112" s="57"/>
      <c r="D1112" s="56"/>
      <c r="E1112" s="56"/>
      <c r="F1112" s="56"/>
      <c r="G1112" s="50" t="str">
        <f aca="false">IF($A1112="","",IF(ISNUMBER($G1111),$G1111+1,1))</f>
        <v/>
      </c>
      <c r="H1112" s="51" t="str">
        <f aca="false">IF(OR(NOT(ISNUMBER($G1112)),$G1112&lt;2,NOT(ISNUMBER($C1111)),$C1111=0),"",$C1112/$C1111-1)</f>
        <v/>
      </c>
      <c r="I1112" s="52" t="str">
        <f aca="false">IF(AND(ISNUMBER($G1112),$G1112&gt;=MA_SHORT),AVERAGE(INDEX($C$712:$C1112,402-MA_SHORT):$C1112),"")</f>
        <v/>
      </c>
      <c r="J1112" s="52" t="str">
        <f aca="false">IF(AND(ISNUMBER($G1112),$G1112&gt;=MA_MED),AVERAGE(INDEX($C$712:$C1112,402-MA_MED):$C1112),"")</f>
        <v/>
      </c>
      <c r="K1112" s="52" t="str">
        <f aca="false">IF(AND(ISNUMBER($G1112),$G1112&gt;=MA_LONG2),AVERAGE(INDEX($C$712:$C1112,402-MA_LONG2):$C1112),"")</f>
        <v/>
      </c>
      <c r="L1112" s="53" t="str">
        <f aca="false">IF(AND(ISNUMBER($G1112),$G1112&gt;=21),STDEV(INDEX($H$1052:$H1112,62-20):$H1112)*SQRT(245),"")</f>
        <v/>
      </c>
      <c r="M1112" s="52" t="str">
        <f aca="false">IF(AND(ISNUMBER($G1112),$G1112&gt;=60),MAX(INDEX($D$912:$D1112,202-60):$D1112),"")</f>
        <v/>
      </c>
      <c r="N1112" s="52" t="str">
        <f aca="false">IF(AND(ISNUMBER($G1112),$G1112&gt;=60),MIN(INDEX($E$912:$E1112,202-60):$E1112),"")</f>
        <v/>
      </c>
      <c r="O1112" s="53" t="str">
        <f aca="false">IF(OR(NOT(ISNUMBER($C1112)),NOT(ISNUMBER($M1112)),$M1112=0),"",$C1112/$M1112-1)</f>
        <v/>
      </c>
      <c r="P1112" s="54"/>
      <c r="Q1112" s="53" t="str">
        <f aca="false">IF(NOT(ISNUMBER($P1112)),"",IFERROR(PERCENTRANK($P$5:$P$1204,$P1112),""))</f>
        <v/>
      </c>
    </row>
    <row r="1113" customFormat="false" ht="15" hidden="false" customHeight="false" outlineLevel="0" collapsed="false">
      <c r="A1113" s="55"/>
      <c r="B1113" s="56"/>
      <c r="C1113" s="57"/>
      <c r="D1113" s="56"/>
      <c r="E1113" s="56"/>
      <c r="F1113" s="56"/>
      <c r="G1113" s="50" t="str">
        <f aca="false">IF($A1113="","",IF(ISNUMBER($G1112),$G1112+1,1))</f>
        <v/>
      </c>
      <c r="H1113" s="51" t="str">
        <f aca="false">IF(OR(NOT(ISNUMBER($G1113)),$G1113&lt;2,NOT(ISNUMBER($C1112)),$C1112=0),"",$C1113/$C1112-1)</f>
        <v/>
      </c>
      <c r="I1113" s="52" t="str">
        <f aca="false">IF(AND(ISNUMBER($G1113),$G1113&gt;=MA_SHORT),AVERAGE(INDEX($C$713:$C1113,402-MA_SHORT):$C1113),"")</f>
        <v/>
      </c>
      <c r="J1113" s="52" t="str">
        <f aca="false">IF(AND(ISNUMBER($G1113),$G1113&gt;=MA_MED),AVERAGE(INDEX($C$713:$C1113,402-MA_MED):$C1113),"")</f>
        <v/>
      </c>
      <c r="K1113" s="52" t="str">
        <f aca="false">IF(AND(ISNUMBER($G1113),$G1113&gt;=MA_LONG2),AVERAGE(INDEX($C$713:$C1113,402-MA_LONG2):$C1113),"")</f>
        <v/>
      </c>
      <c r="L1113" s="53" t="str">
        <f aca="false">IF(AND(ISNUMBER($G1113),$G1113&gt;=21),STDEV(INDEX($H$1053:$H1113,62-20):$H1113)*SQRT(245),"")</f>
        <v/>
      </c>
      <c r="M1113" s="52" t="str">
        <f aca="false">IF(AND(ISNUMBER($G1113),$G1113&gt;=60),MAX(INDEX($D$913:$D1113,202-60):$D1113),"")</f>
        <v/>
      </c>
      <c r="N1113" s="52" t="str">
        <f aca="false">IF(AND(ISNUMBER($G1113),$G1113&gt;=60),MIN(INDEX($E$913:$E1113,202-60):$E1113),"")</f>
        <v/>
      </c>
      <c r="O1113" s="53" t="str">
        <f aca="false">IF(OR(NOT(ISNUMBER($C1113)),NOT(ISNUMBER($M1113)),$M1113=0),"",$C1113/$M1113-1)</f>
        <v/>
      </c>
      <c r="P1113" s="54"/>
      <c r="Q1113" s="53" t="str">
        <f aca="false">IF(NOT(ISNUMBER($P1113)),"",IFERROR(PERCENTRANK($P$5:$P$1204,$P1113),""))</f>
        <v/>
      </c>
    </row>
    <row r="1114" customFormat="false" ht="15" hidden="false" customHeight="false" outlineLevel="0" collapsed="false">
      <c r="A1114" s="55"/>
      <c r="B1114" s="56"/>
      <c r="C1114" s="57"/>
      <c r="D1114" s="56"/>
      <c r="E1114" s="56"/>
      <c r="F1114" s="56"/>
      <c r="G1114" s="50" t="str">
        <f aca="false">IF($A1114="","",IF(ISNUMBER($G1113),$G1113+1,1))</f>
        <v/>
      </c>
      <c r="H1114" s="51" t="str">
        <f aca="false">IF(OR(NOT(ISNUMBER($G1114)),$G1114&lt;2,NOT(ISNUMBER($C1113)),$C1113=0),"",$C1114/$C1113-1)</f>
        <v/>
      </c>
      <c r="I1114" s="52" t="str">
        <f aca="false">IF(AND(ISNUMBER($G1114),$G1114&gt;=MA_SHORT),AVERAGE(INDEX($C$714:$C1114,402-MA_SHORT):$C1114),"")</f>
        <v/>
      </c>
      <c r="J1114" s="52" t="str">
        <f aca="false">IF(AND(ISNUMBER($G1114),$G1114&gt;=MA_MED),AVERAGE(INDEX($C$714:$C1114,402-MA_MED):$C1114),"")</f>
        <v/>
      </c>
      <c r="K1114" s="52" t="str">
        <f aca="false">IF(AND(ISNUMBER($G1114),$G1114&gt;=MA_LONG2),AVERAGE(INDEX($C$714:$C1114,402-MA_LONG2):$C1114),"")</f>
        <v/>
      </c>
      <c r="L1114" s="53" t="str">
        <f aca="false">IF(AND(ISNUMBER($G1114),$G1114&gt;=21),STDEV(INDEX($H$1054:$H1114,62-20):$H1114)*SQRT(245),"")</f>
        <v/>
      </c>
      <c r="M1114" s="52" t="str">
        <f aca="false">IF(AND(ISNUMBER($G1114),$G1114&gt;=60),MAX(INDEX($D$914:$D1114,202-60):$D1114),"")</f>
        <v/>
      </c>
      <c r="N1114" s="52" t="str">
        <f aca="false">IF(AND(ISNUMBER($G1114),$G1114&gt;=60),MIN(INDEX($E$914:$E1114,202-60):$E1114),"")</f>
        <v/>
      </c>
      <c r="O1114" s="53" t="str">
        <f aca="false">IF(OR(NOT(ISNUMBER($C1114)),NOT(ISNUMBER($M1114)),$M1114=0),"",$C1114/$M1114-1)</f>
        <v/>
      </c>
      <c r="P1114" s="54"/>
      <c r="Q1114" s="53" t="str">
        <f aca="false">IF(NOT(ISNUMBER($P1114)),"",IFERROR(PERCENTRANK($P$5:$P$1204,$P1114),""))</f>
        <v/>
      </c>
    </row>
    <row r="1115" customFormat="false" ht="15" hidden="false" customHeight="false" outlineLevel="0" collapsed="false">
      <c r="A1115" s="55"/>
      <c r="B1115" s="56"/>
      <c r="C1115" s="57"/>
      <c r="D1115" s="56"/>
      <c r="E1115" s="56"/>
      <c r="F1115" s="56"/>
      <c r="G1115" s="50" t="str">
        <f aca="false">IF($A1115="","",IF(ISNUMBER($G1114),$G1114+1,1))</f>
        <v/>
      </c>
      <c r="H1115" s="51" t="str">
        <f aca="false">IF(OR(NOT(ISNUMBER($G1115)),$G1115&lt;2,NOT(ISNUMBER($C1114)),$C1114=0),"",$C1115/$C1114-1)</f>
        <v/>
      </c>
      <c r="I1115" s="52" t="str">
        <f aca="false">IF(AND(ISNUMBER($G1115),$G1115&gt;=MA_SHORT),AVERAGE(INDEX($C$715:$C1115,402-MA_SHORT):$C1115),"")</f>
        <v/>
      </c>
      <c r="J1115" s="52" t="str">
        <f aca="false">IF(AND(ISNUMBER($G1115),$G1115&gt;=MA_MED),AVERAGE(INDEX($C$715:$C1115,402-MA_MED):$C1115),"")</f>
        <v/>
      </c>
      <c r="K1115" s="52" t="str">
        <f aca="false">IF(AND(ISNUMBER($G1115),$G1115&gt;=MA_LONG2),AVERAGE(INDEX($C$715:$C1115,402-MA_LONG2):$C1115),"")</f>
        <v/>
      </c>
      <c r="L1115" s="53" t="str">
        <f aca="false">IF(AND(ISNUMBER($G1115),$G1115&gt;=21),STDEV(INDEX($H$1055:$H1115,62-20):$H1115)*SQRT(245),"")</f>
        <v/>
      </c>
      <c r="M1115" s="52" t="str">
        <f aca="false">IF(AND(ISNUMBER($G1115),$G1115&gt;=60),MAX(INDEX($D$915:$D1115,202-60):$D1115),"")</f>
        <v/>
      </c>
      <c r="N1115" s="52" t="str">
        <f aca="false">IF(AND(ISNUMBER($G1115),$G1115&gt;=60),MIN(INDEX($E$915:$E1115,202-60):$E1115),"")</f>
        <v/>
      </c>
      <c r="O1115" s="53" t="str">
        <f aca="false">IF(OR(NOT(ISNUMBER($C1115)),NOT(ISNUMBER($M1115)),$M1115=0),"",$C1115/$M1115-1)</f>
        <v/>
      </c>
      <c r="P1115" s="54"/>
      <c r="Q1115" s="53" t="str">
        <f aca="false">IF(NOT(ISNUMBER($P1115)),"",IFERROR(PERCENTRANK($P$5:$P$1204,$P1115),""))</f>
        <v/>
      </c>
    </row>
    <row r="1116" customFormat="false" ht="15" hidden="false" customHeight="false" outlineLevel="0" collapsed="false">
      <c r="A1116" s="55"/>
      <c r="B1116" s="56"/>
      <c r="C1116" s="57"/>
      <c r="D1116" s="56"/>
      <c r="E1116" s="56"/>
      <c r="F1116" s="56"/>
      <c r="G1116" s="50" t="str">
        <f aca="false">IF($A1116="","",IF(ISNUMBER($G1115),$G1115+1,1))</f>
        <v/>
      </c>
      <c r="H1116" s="51" t="str">
        <f aca="false">IF(OR(NOT(ISNUMBER($G1116)),$G1116&lt;2,NOT(ISNUMBER($C1115)),$C1115=0),"",$C1116/$C1115-1)</f>
        <v/>
      </c>
      <c r="I1116" s="52" t="str">
        <f aca="false">IF(AND(ISNUMBER($G1116),$G1116&gt;=MA_SHORT),AVERAGE(INDEX($C$716:$C1116,402-MA_SHORT):$C1116),"")</f>
        <v/>
      </c>
      <c r="J1116" s="52" t="str">
        <f aca="false">IF(AND(ISNUMBER($G1116),$G1116&gt;=MA_MED),AVERAGE(INDEX($C$716:$C1116,402-MA_MED):$C1116),"")</f>
        <v/>
      </c>
      <c r="K1116" s="52" t="str">
        <f aca="false">IF(AND(ISNUMBER($G1116),$G1116&gt;=MA_LONG2),AVERAGE(INDEX($C$716:$C1116,402-MA_LONG2):$C1116),"")</f>
        <v/>
      </c>
      <c r="L1116" s="53" t="str">
        <f aca="false">IF(AND(ISNUMBER($G1116),$G1116&gt;=21),STDEV(INDEX($H$1056:$H1116,62-20):$H1116)*SQRT(245),"")</f>
        <v/>
      </c>
      <c r="M1116" s="52" t="str">
        <f aca="false">IF(AND(ISNUMBER($G1116),$G1116&gt;=60),MAX(INDEX($D$916:$D1116,202-60):$D1116),"")</f>
        <v/>
      </c>
      <c r="N1116" s="52" t="str">
        <f aca="false">IF(AND(ISNUMBER($G1116),$G1116&gt;=60),MIN(INDEX($E$916:$E1116,202-60):$E1116),"")</f>
        <v/>
      </c>
      <c r="O1116" s="53" t="str">
        <f aca="false">IF(OR(NOT(ISNUMBER($C1116)),NOT(ISNUMBER($M1116)),$M1116=0),"",$C1116/$M1116-1)</f>
        <v/>
      </c>
      <c r="P1116" s="54"/>
      <c r="Q1116" s="53" t="str">
        <f aca="false">IF(NOT(ISNUMBER($P1116)),"",IFERROR(PERCENTRANK($P$5:$P$1204,$P1116),""))</f>
        <v/>
      </c>
    </row>
    <row r="1117" customFormat="false" ht="15" hidden="false" customHeight="false" outlineLevel="0" collapsed="false">
      <c r="A1117" s="55"/>
      <c r="B1117" s="56"/>
      <c r="C1117" s="57"/>
      <c r="D1117" s="56"/>
      <c r="E1117" s="56"/>
      <c r="F1117" s="56"/>
      <c r="G1117" s="50" t="str">
        <f aca="false">IF($A1117="","",IF(ISNUMBER($G1116),$G1116+1,1))</f>
        <v/>
      </c>
      <c r="H1117" s="51" t="str">
        <f aca="false">IF(OR(NOT(ISNUMBER($G1117)),$G1117&lt;2,NOT(ISNUMBER($C1116)),$C1116=0),"",$C1117/$C1116-1)</f>
        <v/>
      </c>
      <c r="I1117" s="52" t="str">
        <f aca="false">IF(AND(ISNUMBER($G1117),$G1117&gt;=MA_SHORT),AVERAGE(INDEX($C$717:$C1117,402-MA_SHORT):$C1117),"")</f>
        <v/>
      </c>
      <c r="J1117" s="52" t="str">
        <f aca="false">IF(AND(ISNUMBER($G1117),$G1117&gt;=MA_MED),AVERAGE(INDEX($C$717:$C1117,402-MA_MED):$C1117),"")</f>
        <v/>
      </c>
      <c r="K1117" s="52" t="str">
        <f aca="false">IF(AND(ISNUMBER($G1117),$G1117&gt;=MA_LONG2),AVERAGE(INDEX($C$717:$C1117,402-MA_LONG2):$C1117),"")</f>
        <v/>
      </c>
      <c r="L1117" s="53" t="str">
        <f aca="false">IF(AND(ISNUMBER($G1117),$G1117&gt;=21),STDEV(INDEX($H$1057:$H1117,62-20):$H1117)*SQRT(245),"")</f>
        <v/>
      </c>
      <c r="M1117" s="52" t="str">
        <f aca="false">IF(AND(ISNUMBER($G1117),$G1117&gt;=60),MAX(INDEX($D$917:$D1117,202-60):$D1117),"")</f>
        <v/>
      </c>
      <c r="N1117" s="52" t="str">
        <f aca="false">IF(AND(ISNUMBER($G1117),$G1117&gt;=60),MIN(INDEX($E$917:$E1117,202-60):$E1117),"")</f>
        <v/>
      </c>
      <c r="O1117" s="53" t="str">
        <f aca="false">IF(OR(NOT(ISNUMBER($C1117)),NOT(ISNUMBER($M1117)),$M1117=0),"",$C1117/$M1117-1)</f>
        <v/>
      </c>
      <c r="P1117" s="54"/>
      <c r="Q1117" s="53" t="str">
        <f aca="false">IF(NOT(ISNUMBER($P1117)),"",IFERROR(PERCENTRANK($P$5:$P$1204,$P1117),""))</f>
        <v/>
      </c>
    </row>
    <row r="1118" customFormat="false" ht="15" hidden="false" customHeight="false" outlineLevel="0" collapsed="false">
      <c r="A1118" s="55"/>
      <c r="B1118" s="56"/>
      <c r="C1118" s="57"/>
      <c r="D1118" s="56"/>
      <c r="E1118" s="56"/>
      <c r="F1118" s="56"/>
      <c r="G1118" s="50" t="str">
        <f aca="false">IF($A1118="","",IF(ISNUMBER($G1117),$G1117+1,1))</f>
        <v/>
      </c>
      <c r="H1118" s="51" t="str">
        <f aca="false">IF(OR(NOT(ISNUMBER($G1118)),$G1118&lt;2,NOT(ISNUMBER($C1117)),$C1117=0),"",$C1118/$C1117-1)</f>
        <v/>
      </c>
      <c r="I1118" s="52" t="str">
        <f aca="false">IF(AND(ISNUMBER($G1118),$G1118&gt;=MA_SHORT),AVERAGE(INDEX($C$718:$C1118,402-MA_SHORT):$C1118),"")</f>
        <v/>
      </c>
      <c r="J1118" s="52" t="str">
        <f aca="false">IF(AND(ISNUMBER($G1118),$G1118&gt;=MA_MED),AVERAGE(INDEX($C$718:$C1118,402-MA_MED):$C1118),"")</f>
        <v/>
      </c>
      <c r="K1118" s="52" t="str">
        <f aca="false">IF(AND(ISNUMBER($G1118),$G1118&gt;=MA_LONG2),AVERAGE(INDEX($C$718:$C1118,402-MA_LONG2):$C1118),"")</f>
        <v/>
      </c>
      <c r="L1118" s="53" t="str">
        <f aca="false">IF(AND(ISNUMBER($G1118),$G1118&gt;=21),STDEV(INDEX($H$1058:$H1118,62-20):$H1118)*SQRT(245),"")</f>
        <v/>
      </c>
      <c r="M1118" s="52" t="str">
        <f aca="false">IF(AND(ISNUMBER($G1118),$G1118&gt;=60),MAX(INDEX($D$918:$D1118,202-60):$D1118),"")</f>
        <v/>
      </c>
      <c r="N1118" s="52" t="str">
        <f aca="false">IF(AND(ISNUMBER($G1118),$G1118&gt;=60),MIN(INDEX($E$918:$E1118,202-60):$E1118),"")</f>
        <v/>
      </c>
      <c r="O1118" s="53" t="str">
        <f aca="false">IF(OR(NOT(ISNUMBER($C1118)),NOT(ISNUMBER($M1118)),$M1118=0),"",$C1118/$M1118-1)</f>
        <v/>
      </c>
      <c r="P1118" s="54"/>
      <c r="Q1118" s="53" t="str">
        <f aca="false">IF(NOT(ISNUMBER($P1118)),"",IFERROR(PERCENTRANK($P$5:$P$1204,$P1118),""))</f>
        <v/>
      </c>
    </row>
    <row r="1119" customFormat="false" ht="15" hidden="false" customHeight="false" outlineLevel="0" collapsed="false">
      <c r="A1119" s="55"/>
      <c r="B1119" s="56"/>
      <c r="C1119" s="57"/>
      <c r="D1119" s="56"/>
      <c r="E1119" s="56"/>
      <c r="F1119" s="56"/>
      <c r="G1119" s="50" t="str">
        <f aca="false">IF($A1119="","",IF(ISNUMBER($G1118),$G1118+1,1))</f>
        <v/>
      </c>
      <c r="H1119" s="51" t="str">
        <f aca="false">IF(OR(NOT(ISNUMBER($G1119)),$G1119&lt;2,NOT(ISNUMBER($C1118)),$C1118=0),"",$C1119/$C1118-1)</f>
        <v/>
      </c>
      <c r="I1119" s="52" t="str">
        <f aca="false">IF(AND(ISNUMBER($G1119),$G1119&gt;=MA_SHORT),AVERAGE(INDEX($C$719:$C1119,402-MA_SHORT):$C1119),"")</f>
        <v/>
      </c>
      <c r="J1119" s="52" t="str">
        <f aca="false">IF(AND(ISNUMBER($G1119),$G1119&gt;=MA_MED),AVERAGE(INDEX($C$719:$C1119,402-MA_MED):$C1119),"")</f>
        <v/>
      </c>
      <c r="K1119" s="52" t="str">
        <f aca="false">IF(AND(ISNUMBER($G1119),$G1119&gt;=MA_LONG2),AVERAGE(INDEX($C$719:$C1119,402-MA_LONG2):$C1119),"")</f>
        <v/>
      </c>
      <c r="L1119" s="53" t="str">
        <f aca="false">IF(AND(ISNUMBER($G1119),$G1119&gt;=21),STDEV(INDEX($H$1059:$H1119,62-20):$H1119)*SQRT(245),"")</f>
        <v/>
      </c>
      <c r="M1119" s="52" t="str">
        <f aca="false">IF(AND(ISNUMBER($G1119),$G1119&gt;=60),MAX(INDEX($D$919:$D1119,202-60):$D1119),"")</f>
        <v/>
      </c>
      <c r="N1119" s="52" t="str">
        <f aca="false">IF(AND(ISNUMBER($G1119),$G1119&gt;=60),MIN(INDEX($E$919:$E1119,202-60):$E1119),"")</f>
        <v/>
      </c>
      <c r="O1119" s="53" t="str">
        <f aca="false">IF(OR(NOT(ISNUMBER($C1119)),NOT(ISNUMBER($M1119)),$M1119=0),"",$C1119/$M1119-1)</f>
        <v/>
      </c>
      <c r="P1119" s="54"/>
      <c r="Q1119" s="53" t="str">
        <f aca="false">IF(NOT(ISNUMBER($P1119)),"",IFERROR(PERCENTRANK($P$5:$P$1204,$P1119),""))</f>
        <v/>
      </c>
    </row>
    <row r="1120" customFormat="false" ht="15" hidden="false" customHeight="false" outlineLevel="0" collapsed="false">
      <c r="A1120" s="55"/>
      <c r="B1120" s="56"/>
      <c r="C1120" s="57"/>
      <c r="D1120" s="56"/>
      <c r="E1120" s="56"/>
      <c r="F1120" s="56"/>
      <c r="G1120" s="50" t="str">
        <f aca="false">IF($A1120="","",IF(ISNUMBER($G1119),$G1119+1,1))</f>
        <v/>
      </c>
      <c r="H1120" s="51" t="str">
        <f aca="false">IF(OR(NOT(ISNUMBER($G1120)),$G1120&lt;2,NOT(ISNUMBER($C1119)),$C1119=0),"",$C1120/$C1119-1)</f>
        <v/>
      </c>
      <c r="I1120" s="52" t="str">
        <f aca="false">IF(AND(ISNUMBER($G1120),$G1120&gt;=MA_SHORT),AVERAGE(INDEX($C$720:$C1120,402-MA_SHORT):$C1120),"")</f>
        <v/>
      </c>
      <c r="J1120" s="52" t="str">
        <f aca="false">IF(AND(ISNUMBER($G1120),$G1120&gt;=MA_MED),AVERAGE(INDEX($C$720:$C1120,402-MA_MED):$C1120),"")</f>
        <v/>
      </c>
      <c r="K1120" s="52" t="str">
        <f aca="false">IF(AND(ISNUMBER($G1120),$G1120&gt;=MA_LONG2),AVERAGE(INDEX($C$720:$C1120,402-MA_LONG2):$C1120),"")</f>
        <v/>
      </c>
      <c r="L1120" s="53" t="str">
        <f aca="false">IF(AND(ISNUMBER($G1120),$G1120&gt;=21),STDEV(INDEX($H$1060:$H1120,62-20):$H1120)*SQRT(245),"")</f>
        <v/>
      </c>
      <c r="M1120" s="52" t="str">
        <f aca="false">IF(AND(ISNUMBER($G1120),$G1120&gt;=60),MAX(INDEX($D$920:$D1120,202-60):$D1120),"")</f>
        <v/>
      </c>
      <c r="N1120" s="52" t="str">
        <f aca="false">IF(AND(ISNUMBER($G1120),$G1120&gt;=60),MIN(INDEX($E$920:$E1120,202-60):$E1120),"")</f>
        <v/>
      </c>
      <c r="O1120" s="53" t="str">
        <f aca="false">IF(OR(NOT(ISNUMBER($C1120)),NOT(ISNUMBER($M1120)),$M1120=0),"",$C1120/$M1120-1)</f>
        <v/>
      </c>
      <c r="P1120" s="54"/>
      <c r="Q1120" s="53" t="str">
        <f aca="false">IF(NOT(ISNUMBER($P1120)),"",IFERROR(PERCENTRANK($P$5:$P$1204,$P1120),""))</f>
        <v/>
      </c>
    </row>
    <row r="1121" customFormat="false" ht="15" hidden="false" customHeight="false" outlineLevel="0" collapsed="false">
      <c r="A1121" s="55"/>
      <c r="B1121" s="56"/>
      <c r="C1121" s="57"/>
      <c r="D1121" s="56"/>
      <c r="E1121" s="56"/>
      <c r="F1121" s="56"/>
      <c r="G1121" s="50" t="str">
        <f aca="false">IF($A1121="","",IF(ISNUMBER($G1120),$G1120+1,1))</f>
        <v/>
      </c>
      <c r="H1121" s="51" t="str">
        <f aca="false">IF(OR(NOT(ISNUMBER($G1121)),$G1121&lt;2,NOT(ISNUMBER($C1120)),$C1120=0),"",$C1121/$C1120-1)</f>
        <v/>
      </c>
      <c r="I1121" s="52" t="str">
        <f aca="false">IF(AND(ISNUMBER($G1121),$G1121&gt;=MA_SHORT),AVERAGE(INDEX($C$721:$C1121,402-MA_SHORT):$C1121),"")</f>
        <v/>
      </c>
      <c r="J1121" s="52" t="str">
        <f aca="false">IF(AND(ISNUMBER($G1121),$G1121&gt;=MA_MED),AVERAGE(INDEX($C$721:$C1121,402-MA_MED):$C1121),"")</f>
        <v/>
      </c>
      <c r="K1121" s="52" t="str">
        <f aca="false">IF(AND(ISNUMBER($G1121),$G1121&gt;=MA_LONG2),AVERAGE(INDEX($C$721:$C1121,402-MA_LONG2):$C1121),"")</f>
        <v/>
      </c>
      <c r="L1121" s="53" t="str">
        <f aca="false">IF(AND(ISNUMBER($G1121),$G1121&gt;=21),STDEV(INDEX($H$1061:$H1121,62-20):$H1121)*SQRT(245),"")</f>
        <v/>
      </c>
      <c r="M1121" s="52" t="str">
        <f aca="false">IF(AND(ISNUMBER($G1121),$G1121&gt;=60),MAX(INDEX($D$921:$D1121,202-60):$D1121),"")</f>
        <v/>
      </c>
      <c r="N1121" s="52" t="str">
        <f aca="false">IF(AND(ISNUMBER($G1121),$G1121&gt;=60),MIN(INDEX($E$921:$E1121,202-60):$E1121),"")</f>
        <v/>
      </c>
      <c r="O1121" s="53" t="str">
        <f aca="false">IF(OR(NOT(ISNUMBER($C1121)),NOT(ISNUMBER($M1121)),$M1121=0),"",$C1121/$M1121-1)</f>
        <v/>
      </c>
      <c r="P1121" s="54"/>
      <c r="Q1121" s="53" t="str">
        <f aca="false">IF(NOT(ISNUMBER($P1121)),"",IFERROR(PERCENTRANK($P$5:$P$1204,$P1121),""))</f>
        <v/>
      </c>
    </row>
    <row r="1122" customFormat="false" ht="15" hidden="false" customHeight="false" outlineLevel="0" collapsed="false">
      <c r="A1122" s="55"/>
      <c r="B1122" s="56"/>
      <c r="C1122" s="57"/>
      <c r="D1122" s="56"/>
      <c r="E1122" s="56"/>
      <c r="F1122" s="56"/>
      <c r="G1122" s="50" t="str">
        <f aca="false">IF($A1122="","",IF(ISNUMBER($G1121),$G1121+1,1))</f>
        <v/>
      </c>
      <c r="H1122" s="51" t="str">
        <f aca="false">IF(OR(NOT(ISNUMBER($G1122)),$G1122&lt;2,NOT(ISNUMBER($C1121)),$C1121=0),"",$C1122/$C1121-1)</f>
        <v/>
      </c>
      <c r="I1122" s="52" t="str">
        <f aca="false">IF(AND(ISNUMBER($G1122),$G1122&gt;=MA_SHORT),AVERAGE(INDEX($C$722:$C1122,402-MA_SHORT):$C1122),"")</f>
        <v/>
      </c>
      <c r="J1122" s="52" t="str">
        <f aca="false">IF(AND(ISNUMBER($G1122),$G1122&gt;=MA_MED),AVERAGE(INDEX($C$722:$C1122,402-MA_MED):$C1122),"")</f>
        <v/>
      </c>
      <c r="K1122" s="52" t="str">
        <f aca="false">IF(AND(ISNUMBER($G1122),$G1122&gt;=MA_LONG2),AVERAGE(INDEX($C$722:$C1122,402-MA_LONG2):$C1122),"")</f>
        <v/>
      </c>
      <c r="L1122" s="53" t="str">
        <f aca="false">IF(AND(ISNUMBER($G1122),$G1122&gt;=21),STDEV(INDEX($H$1062:$H1122,62-20):$H1122)*SQRT(245),"")</f>
        <v/>
      </c>
      <c r="M1122" s="52" t="str">
        <f aca="false">IF(AND(ISNUMBER($G1122),$G1122&gt;=60),MAX(INDEX($D$922:$D1122,202-60):$D1122),"")</f>
        <v/>
      </c>
      <c r="N1122" s="52" t="str">
        <f aca="false">IF(AND(ISNUMBER($G1122),$G1122&gt;=60),MIN(INDEX($E$922:$E1122,202-60):$E1122),"")</f>
        <v/>
      </c>
      <c r="O1122" s="53" t="str">
        <f aca="false">IF(OR(NOT(ISNUMBER($C1122)),NOT(ISNUMBER($M1122)),$M1122=0),"",$C1122/$M1122-1)</f>
        <v/>
      </c>
      <c r="P1122" s="54"/>
      <c r="Q1122" s="53" t="str">
        <f aca="false">IF(NOT(ISNUMBER($P1122)),"",IFERROR(PERCENTRANK($P$5:$P$1204,$P1122),""))</f>
        <v/>
      </c>
    </row>
    <row r="1123" customFormat="false" ht="15" hidden="false" customHeight="false" outlineLevel="0" collapsed="false">
      <c r="A1123" s="55"/>
      <c r="B1123" s="56"/>
      <c r="C1123" s="57"/>
      <c r="D1123" s="56"/>
      <c r="E1123" s="56"/>
      <c r="F1123" s="56"/>
      <c r="G1123" s="50" t="str">
        <f aca="false">IF($A1123="","",IF(ISNUMBER($G1122),$G1122+1,1))</f>
        <v/>
      </c>
      <c r="H1123" s="51" t="str">
        <f aca="false">IF(OR(NOT(ISNUMBER($G1123)),$G1123&lt;2,NOT(ISNUMBER($C1122)),$C1122=0),"",$C1123/$C1122-1)</f>
        <v/>
      </c>
      <c r="I1123" s="52" t="str">
        <f aca="false">IF(AND(ISNUMBER($G1123),$G1123&gt;=MA_SHORT),AVERAGE(INDEX($C$723:$C1123,402-MA_SHORT):$C1123),"")</f>
        <v/>
      </c>
      <c r="J1123" s="52" t="str">
        <f aca="false">IF(AND(ISNUMBER($G1123),$G1123&gt;=MA_MED),AVERAGE(INDEX($C$723:$C1123,402-MA_MED):$C1123),"")</f>
        <v/>
      </c>
      <c r="K1123" s="52" t="str">
        <f aca="false">IF(AND(ISNUMBER($G1123),$G1123&gt;=MA_LONG2),AVERAGE(INDEX($C$723:$C1123,402-MA_LONG2):$C1123),"")</f>
        <v/>
      </c>
      <c r="L1123" s="53" t="str">
        <f aca="false">IF(AND(ISNUMBER($G1123),$G1123&gt;=21),STDEV(INDEX($H$1063:$H1123,62-20):$H1123)*SQRT(245),"")</f>
        <v/>
      </c>
      <c r="M1123" s="52" t="str">
        <f aca="false">IF(AND(ISNUMBER($G1123),$G1123&gt;=60),MAX(INDEX($D$923:$D1123,202-60):$D1123),"")</f>
        <v/>
      </c>
      <c r="N1123" s="52" t="str">
        <f aca="false">IF(AND(ISNUMBER($G1123),$G1123&gt;=60),MIN(INDEX($E$923:$E1123,202-60):$E1123),"")</f>
        <v/>
      </c>
      <c r="O1123" s="53" t="str">
        <f aca="false">IF(OR(NOT(ISNUMBER($C1123)),NOT(ISNUMBER($M1123)),$M1123=0),"",$C1123/$M1123-1)</f>
        <v/>
      </c>
      <c r="P1123" s="54"/>
      <c r="Q1123" s="53" t="str">
        <f aca="false">IF(NOT(ISNUMBER($P1123)),"",IFERROR(PERCENTRANK($P$5:$P$1204,$P1123),""))</f>
        <v/>
      </c>
    </row>
    <row r="1124" customFormat="false" ht="15" hidden="false" customHeight="false" outlineLevel="0" collapsed="false">
      <c r="A1124" s="55"/>
      <c r="B1124" s="56"/>
      <c r="C1124" s="57"/>
      <c r="D1124" s="56"/>
      <c r="E1124" s="56"/>
      <c r="F1124" s="56"/>
      <c r="G1124" s="50" t="str">
        <f aca="false">IF($A1124="","",IF(ISNUMBER($G1123),$G1123+1,1))</f>
        <v/>
      </c>
      <c r="H1124" s="51" t="str">
        <f aca="false">IF(OR(NOT(ISNUMBER($G1124)),$G1124&lt;2,NOT(ISNUMBER($C1123)),$C1123=0),"",$C1124/$C1123-1)</f>
        <v/>
      </c>
      <c r="I1124" s="52" t="str">
        <f aca="false">IF(AND(ISNUMBER($G1124),$G1124&gt;=MA_SHORT),AVERAGE(INDEX($C$724:$C1124,402-MA_SHORT):$C1124),"")</f>
        <v/>
      </c>
      <c r="J1124" s="52" t="str">
        <f aca="false">IF(AND(ISNUMBER($G1124),$G1124&gt;=MA_MED),AVERAGE(INDEX($C$724:$C1124,402-MA_MED):$C1124),"")</f>
        <v/>
      </c>
      <c r="K1124" s="52" t="str">
        <f aca="false">IF(AND(ISNUMBER($G1124),$G1124&gt;=MA_LONG2),AVERAGE(INDEX($C$724:$C1124,402-MA_LONG2):$C1124),"")</f>
        <v/>
      </c>
      <c r="L1124" s="53" t="str">
        <f aca="false">IF(AND(ISNUMBER($G1124),$G1124&gt;=21),STDEV(INDEX($H$1064:$H1124,62-20):$H1124)*SQRT(245),"")</f>
        <v/>
      </c>
      <c r="M1124" s="52" t="str">
        <f aca="false">IF(AND(ISNUMBER($G1124),$G1124&gt;=60),MAX(INDEX($D$924:$D1124,202-60):$D1124),"")</f>
        <v/>
      </c>
      <c r="N1124" s="52" t="str">
        <f aca="false">IF(AND(ISNUMBER($G1124),$G1124&gt;=60),MIN(INDEX($E$924:$E1124,202-60):$E1124),"")</f>
        <v/>
      </c>
      <c r="O1124" s="53" t="str">
        <f aca="false">IF(OR(NOT(ISNUMBER($C1124)),NOT(ISNUMBER($M1124)),$M1124=0),"",$C1124/$M1124-1)</f>
        <v/>
      </c>
      <c r="P1124" s="54"/>
      <c r="Q1124" s="53" t="str">
        <f aca="false">IF(NOT(ISNUMBER($P1124)),"",IFERROR(PERCENTRANK($P$5:$P$1204,$P1124),""))</f>
        <v/>
      </c>
    </row>
    <row r="1125" customFormat="false" ht="15" hidden="false" customHeight="false" outlineLevel="0" collapsed="false">
      <c r="A1125" s="55"/>
      <c r="B1125" s="56"/>
      <c r="C1125" s="57"/>
      <c r="D1125" s="56"/>
      <c r="E1125" s="56"/>
      <c r="F1125" s="56"/>
      <c r="G1125" s="50" t="str">
        <f aca="false">IF($A1125="","",IF(ISNUMBER($G1124),$G1124+1,1))</f>
        <v/>
      </c>
      <c r="H1125" s="51" t="str">
        <f aca="false">IF(OR(NOT(ISNUMBER($G1125)),$G1125&lt;2,NOT(ISNUMBER($C1124)),$C1124=0),"",$C1125/$C1124-1)</f>
        <v/>
      </c>
      <c r="I1125" s="52" t="str">
        <f aca="false">IF(AND(ISNUMBER($G1125),$G1125&gt;=MA_SHORT),AVERAGE(INDEX($C$725:$C1125,402-MA_SHORT):$C1125),"")</f>
        <v/>
      </c>
      <c r="J1125" s="52" t="str">
        <f aca="false">IF(AND(ISNUMBER($G1125),$G1125&gt;=MA_MED),AVERAGE(INDEX($C$725:$C1125,402-MA_MED):$C1125),"")</f>
        <v/>
      </c>
      <c r="K1125" s="52" t="str">
        <f aca="false">IF(AND(ISNUMBER($G1125),$G1125&gt;=MA_LONG2),AVERAGE(INDEX($C$725:$C1125,402-MA_LONG2):$C1125),"")</f>
        <v/>
      </c>
      <c r="L1125" s="53" t="str">
        <f aca="false">IF(AND(ISNUMBER($G1125),$G1125&gt;=21),STDEV(INDEX($H$1065:$H1125,62-20):$H1125)*SQRT(245),"")</f>
        <v/>
      </c>
      <c r="M1125" s="52" t="str">
        <f aca="false">IF(AND(ISNUMBER($G1125),$G1125&gt;=60),MAX(INDEX($D$925:$D1125,202-60):$D1125),"")</f>
        <v/>
      </c>
      <c r="N1125" s="52" t="str">
        <f aca="false">IF(AND(ISNUMBER($G1125),$G1125&gt;=60),MIN(INDEX($E$925:$E1125,202-60):$E1125),"")</f>
        <v/>
      </c>
      <c r="O1125" s="53" t="str">
        <f aca="false">IF(OR(NOT(ISNUMBER($C1125)),NOT(ISNUMBER($M1125)),$M1125=0),"",$C1125/$M1125-1)</f>
        <v/>
      </c>
      <c r="P1125" s="54"/>
      <c r="Q1125" s="53" t="str">
        <f aca="false">IF(NOT(ISNUMBER($P1125)),"",IFERROR(PERCENTRANK($P$5:$P$1204,$P1125),""))</f>
        <v/>
      </c>
    </row>
    <row r="1126" customFormat="false" ht="15" hidden="false" customHeight="false" outlineLevel="0" collapsed="false">
      <c r="A1126" s="55"/>
      <c r="B1126" s="56"/>
      <c r="C1126" s="57"/>
      <c r="D1126" s="56"/>
      <c r="E1126" s="56"/>
      <c r="F1126" s="56"/>
      <c r="G1126" s="50" t="str">
        <f aca="false">IF($A1126="","",IF(ISNUMBER($G1125),$G1125+1,1))</f>
        <v/>
      </c>
      <c r="H1126" s="51" t="str">
        <f aca="false">IF(OR(NOT(ISNUMBER($G1126)),$G1126&lt;2,NOT(ISNUMBER($C1125)),$C1125=0),"",$C1126/$C1125-1)</f>
        <v/>
      </c>
      <c r="I1126" s="52" t="str">
        <f aca="false">IF(AND(ISNUMBER($G1126),$G1126&gt;=MA_SHORT),AVERAGE(INDEX($C$726:$C1126,402-MA_SHORT):$C1126),"")</f>
        <v/>
      </c>
      <c r="J1126" s="52" t="str">
        <f aca="false">IF(AND(ISNUMBER($G1126),$G1126&gt;=MA_MED),AVERAGE(INDEX($C$726:$C1126,402-MA_MED):$C1126),"")</f>
        <v/>
      </c>
      <c r="K1126" s="52" t="str">
        <f aca="false">IF(AND(ISNUMBER($G1126),$G1126&gt;=MA_LONG2),AVERAGE(INDEX($C$726:$C1126,402-MA_LONG2):$C1126),"")</f>
        <v/>
      </c>
      <c r="L1126" s="53" t="str">
        <f aca="false">IF(AND(ISNUMBER($G1126),$G1126&gt;=21),STDEV(INDEX($H$1066:$H1126,62-20):$H1126)*SQRT(245),"")</f>
        <v/>
      </c>
      <c r="M1126" s="52" t="str">
        <f aca="false">IF(AND(ISNUMBER($G1126),$G1126&gt;=60),MAX(INDEX($D$926:$D1126,202-60):$D1126),"")</f>
        <v/>
      </c>
      <c r="N1126" s="52" t="str">
        <f aca="false">IF(AND(ISNUMBER($G1126),$G1126&gt;=60),MIN(INDEX($E$926:$E1126,202-60):$E1126),"")</f>
        <v/>
      </c>
      <c r="O1126" s="53" t="str">
        <f aca="false">IF(OR(NOT(ISNUMBER($C1126)),NOT(ISNUMBER($M1126)),$M1126=0),"",$C1126/$M1126-1)</f>
        <v/>
      </c>
      <c r="P1126" s="54"/>
      <c r="Q1126" s="53" t="str">
        <f aca="false">IF(NOT(ISNUMBER($P1126)),"",IFERROR(PERCENTRANK($P$5:$P$1204,$P1126),""))</f>
        <v/>
      </c>
    </row>
    <row r="1127" customFormat="false" ht="15" hidden="false" customHeight="false" outlineLevel="0" collapsed="false">
      <c r="A1127" s="55"/>
      <c r="B1127" s="56"/>
      <c r="C1127" s="57"/>
      <c r="D1127" s="56"/>
      <c r="E1127" s="56"/>
      <c r="F1127" s="56"/>
      <c r="G1127" s="50" t="str">
        <f aca="false">IF($A1127="","",IF(ISNUMBER($G1126),$G1126+1,1))</f>
        <v/>
      </c>
      <c r="H1127" s="51" t="str">
        <f aca="false">IF(OR(NOT(ISNUMBER($G1127)),$G1127&lt;2,NOT(ISNUMBER($C1126)),$C1126=0),"",$C1127/$C1126-1)</f>
        <v/>
      </c>
      <c r="I1127" s="52" t="str">
        <f aca="false">IF(AND(ISNUMBER($G1127),$G1127&gt;=MA_SHORT),AVERAGE(INDEX($C$727:$C1127,402-MA_SHORT):$C1127),"")</f>
        <v/>
      </c>
      <c r="J1127" s="52" t="str">
        <f aca="false">IF(AND(ISNUMBER($G1127),$G1127&gt;=MA_MED),AVERAGE(INDEX($C$727:$C1127,402-MA_MED):$C1127),"")</f>
        <v/>
      </c>
      <c r="K1127" s="52" t="str">
        <f aca="false">IF(AND(ISNUMBER($G1127),$G1127&gt;=MA_LONG2),AVERAGE(INDEX($C$727:$C1127,402-MA_LONG2):$C1127),"")</f>
        <v/>
      </c>
      <c r="L1127" s="53" t="str">
        <f aca="false">IF(AND(ISNUMBER($G1127),$G1127&gt;=21),STDEV(INDEX($H$1067:$H1127,62-20):$H1127)*SQRT(245),"")</f>
        <v/>
      </c>
      <c r="M1127" s="52" t="str">
        <f aca="false">IF(AND(ISNUMBER($G1127),$G1127&gt;=60),MAX(INDEX($D$927:$D1127,202-60):$D1127),"")</f>
        <v/>
      </c>
      <c r="N1127" s="52" t="str">
        <f aca="false">IF(AND(ISNUMBER($G1127),$G1127&gt;=60),MIN(INDEX($E$927:$E1127,202-60):$E1127),"")</f>
        <v/>
      </c>
      <c r="O1127" s="53" t="str">
        <f aca="false">IF(OR(NOT(ISNUMBER($C1127)),NOT(ISNUMBER($M1127)),$M1127=0),"",$C1127/$M1127-1)</f>
        <v/>
      </c>
      <c r="P1127" s="54"/>
      <c r="Q1127" s="53" t="str">
        <f aca="false">IF(NOT(ISNUMBER($P1127)),"",IFERROR(PERCENTRANK($P$5:$P$1204,$P1127),""))</f>
        <v/>
      </c>
    </row>
    <row r="1128" customFormat="false" ht="15" hidden="false" customHeight="false" outlineLevel="0" collapsed="false">
      <c r="A1128" s="55"/>
      <c r="B1128" s="56"/>
      <c r="C1128" s="57"/>
      <c r="D1128" s="56"/>
      <c r="E1128" s="56"/>
      <c r="F1128" s="56"/>
      <c r="G1128" s="50" t="str">
        <f aca="false">IF($A1128="","",IF(ISNUMBER($G1127),$G1127+1,1))</f>
        <v/>
      </c>
      <c r="H1128" s="51" t="str">
        <f aca="false">IF(OR(NOT(ISNUMBER($G1128)),$G1128&lt;2,NOT(ISNUMBER($C1127)),$C1127=0),"",$C1128/$C1127-1)</f>
        <v/>
      </c>
      <c r="I1128" s="52" t="str">
        <f aca="false">IF(AND(ISNUMBER($G1128),$G1128&gt;=MA_SHORT),AVERAGE(INDEX($C$728:$C1128,402-MA_SHORT):$C1128),"")</f>
        <v/>
      </c>
      <c r="J1128" s="52" t="str">
        <f aca="false">IF(AND(ISNUMBER($G1128),$G1128&gt;=MA_MED),AVERAGE(INDEX($C$728:$C1128,402-MA_MED):$C1128),"")</f>
        <v/>
      </c>
      <c r="K1128" s="52" t="str">
        <f aca="false">IF(AND(ISNUMBER($G1128),$G1128&gt;=MA_LONG2),AVERAGE(INDEX($C$728:$C1128,402-MA_LONG2):$C1128),"")</f>
        <v/>
      </c>
      <c r="L1128" s="53" t="str">
        <f aca="false">IF(AND(ISNUMBER($G1128),$G1128&gt;=21),STDEV(INDEX($H$1068:$H1128,62-20):$H1128)*SQRT(245),"")</f>
        <v/>
      </c>
      <c r="M1128" s="52" t="str">
        <f aca="false">IF(AND(ISNUMBER($G1128),$G1128&gt;=60),MAX(INDEX($D$928:$D1128,202-60):$D1128),"")</f>
        <v/>
      </c>
      <c r="N1128" s="52" t="str">
        <f aca="false">IF(AND(ISNUMBER($G1128),$G1128&gt;=60),MIN(INDEX($E$928:$E1128,202-60):$E1128),"")</f>
        <v/>
      </c>
      <c r="O1128" s="53" t="str">
        <f aca="false">IF(OR(NOT(ISNUMBER($C1128)),NOT(ISNUMBER($M1128)),$M1128=0),"",$C1128/$M1128-1)</f>
        <v/>
      </c>
      <c r="P1128" s="54"/>
      <c r="Q1128" s="53" t="str">
        <f aca="false">IF(NOT(ISNUMBER($P1128)),"",IFERROR(PERCENTRANK($P$5:$P$1204,$P1128),""))</f>
        <v/>
      </c>
    </row>
    <row r="1129" customFormat="false" ht="15" hidden="false" customHeight="false" outlineLevel="0" collapsed="false">
      <c r="A1129" s="55"/>
      <c r="B1129" s="56"/>
      <c r="C1129" s="57"/>
      <c r="D1129" s="56"/>
      <c r="E1129" s="56"/>
      <c r="F1129" s="56"/>
      <c r="G1129" s="50" t="str">
        <f aca="false">IF($A1129="","",IF(ISNUMBER($G1128),$G1128+1,1))</f>
        <v/>
      </c>
      <c r="H1129" s="51" t="str">
        <f aca="false">IF(OR(NOT(ISNUMBER($G1129)),$G1129&lt;2,NOT(ISNUMBER($C1128)),$C1128=0),"",$C1129/$C1128-1)</f>
        <v/>
      </c>
      <c r="I1129" s="52" t="str">
        <f aca="false">IF(AND(ISNUMBER($G1129),$G1129&gt;=MA_SHORT),AVERAGE(INDEX($C$729:$C1129,402-MA_SHORT):$C1129),"")</f>
        <v/>
      </c>
      <c r="J1129" s="52" t="str">
        <f aca="false">IF(AND(ISNUMBER($G1129),$G1129&gt;=MA_MED),AVERAGE(INDEX($C$729:$C1129,402-MA_MED):$C1129),"")</f>
        <v/>
      </c>
      <c r="K1129" s="52" t="str">
        <f aca="false">IF(AND(ISNUMBER($G1129),$G1129&gt;=MA_LONG2),AVERAGE(INDEX($C$729:$C1129,402-MA_LONG2):$C1129),"")</f>
        <v/>
      </c>
      <c r="L1129" s="53" t="str">
        <f aca="false">IF(AND(ISNUMBER($G1129),$G1129&gt;=21),STDEV(INDEX($H$1069:$H1129,62-20):$H1129)*SQRT(245),"")</f>
        <v/>
      </c>
      <c r="M1129" s="52" t="str">
        <f aca="false">IF(AND(ISNUMBER($G1129),$G1129&gt;=60),MAX(INDEX($D$929:$D1129,202-60):$D1129),"")</f>
        <v/>
      </c>
      <c r="N1129" s="52" t="str">
        <f aca="false">IF(AND(ISNUMBER($G1129),$G1129&gt;=60),MIN(INDEX($E$929:$E1129,202-60):$E1129),"")</f>
        <v/>
      </c>
      <c r="O1129" s="53" t="str">
        <f aca="false">IF(OR(NOT(ISNUMBER($C1129)),NOT(ISNUMBER($M1129)),$M1129=0),"",$C1129/$M1129-1)</f>
        <v/>
      </c>
      <c r="P1129" s="54"/>
      <c r="Q1129" s="53" t="str">
        <f aca="false">IF(NOT(ISNUMBER($P1129)),"",IFERROR(PERCENTRANK($P$5:$P$1204,$P1129),""))</f>
        <v/>
      </c>
    </row>
    <row r="1130" customFormat="false" ht="15" hidden="false" customHeight="false" outlineLevel="0" collapsed="false">
      <c r="A1130" s="55"/>
      <c r="B1130" s="56"/>
      <c r="C1130" s="57"/>
      <c r="D1130" s="56"/>
      <c r="E1130" s="56"/>
      <c r="F1130" s="56"/>
      <c r="G1130" s="50" t="str">
        <f aca="false">IF($A1130="","",IF(ISNUMBER($G1129),$G1129+1,1))</f>
        <v/>
      </c>
      <c r="H1130" s="51" t="str">
        <f aca="false">IF(OR(NOT(ISNUMBER($G1130)),$G1130&lt;2,NOT(ISNUMBER($C1129)),$C1129=0),"",$C1130/$C1129-1)</f>
        <v/>
      </c>
      <c r="I1130" s="52" t="str">
        <f aca="false">IF(AND(ISNUMBER($G1130),$G1130&gt;=MA_SHORT),AVERAGE(INDEX($C$730:$C1130,402-MA_SHORT):$C1130),"")</f>
        <v/>
      </c>
      <c r="J1130" s="52" t="str">
        <f aca="false">IF(AND(ISNUMBER($G1130),$G1130&gt;=MA_MED),AVERAGE(INDEX($C$730:$C1130,402-MA_MED):$C1130),"")</f>
        <v/>
      </c>
      <c r="K1130" s="52" t="str">
        <f aca="false">IF(AND(ISNUMBER($G1130),$G1130&gt;=MA_LONG2),AVERAGE(INDEX($C$730:$C1130,402-MA_LONG2):$C1130),"")</f>
        <v/>
      </c>
      <c r="L1130" s="53" t="str">
        <f aca="false">IF(AND(ISNUMBER($G1130),$G1130&gt;=21),STDEV(INDEX($H$1070:$H1130,62-20):$H1130)*SQRT(245),"")</f>
        <v/>
      </c>
      <c r="M1130" s="52" t="str">
        <f aca="false">IF(AND(ISNUMBER($G1130),$G1130&gt;=60),MAX(INDEX($D$930:$D1130,202-60):$D1130),"")</f>
        <v/>
      </c>
      <c r="N1130" s="52" t="str">
        <f aca="false">IF(AND(ISNUMBER($G1130),$G1130&gt;=60),MIN(INDEX($E$930:$E1130,202-60):$E1130),"")</f>
        <v/>
      </c>
      <c r="O1130" s="53" t="str">
        <f aca="false">IF(OR(NOT(ISNUMBER($C1130)),NOT(ISNUMBER($M1130)),$M1130=0),"",$C1130/$M1130-1)</f>
        <v/>
      </c>
      <c r="P1130" s="54"/>
      <c r="Q1130" s="53" t="str">
        <f aca="false">IF(NOT(ISNUMBER($P1130)),"",IFERROR(PERCENTRANK($P$5:$P$1204,$P1130),""))</f>
        <v/>
      </c>
    </row>
    <row r="1131" customFormat="false" ht="15" hidden="false" customHeight="false" outlineLevel="0" collapsed="false">
      <c r="A1131" s="55"/>
      <c r="B1131" s="56"/>
      <c r="C1131" s="57"/>
      <c r="D1131" s="56"/>
      <c r="E1131" s="56"/>
      <c r="F1131" s="56"/>
      <c r="G1131" s="50" t="str">
        <f aca="false">IF($A1131="","",IF(ISNUMBER($G1130),$G1130+1,1))</f>
        <v/>
      </c>
      <c r="H1131" s="51" t="str">
        <f aca="false">IF(OR(NOT(ISNUMBER($G1131)),$G1131&lt;2,NOT(ISNUMBER($C1130)),$C1130=0),"",$C1131/$C1130-1)</f>
        <v/>
      </c>
      <c r="I1131" s="52" t="str">
        <f aca="false">IF(AND(ISNUMBER($G1131),$G1131&gt;=MA_SHORT),AVERAGE(INDEX($C$731:$C1131,402-MA_SHORT):$C1131),"")</f>
        <v/>
      </c>
      <c r="J1131" s="52" t="str">
        <f aca="false">IF(AND(ISNUMBER($G1131),$G1131&gt;=MA_MED),AVERAGE(INDEX($C$731:$C1131,402-MA_MED):$C1131),"")</f>
        <v/>
      </c>
      <c r="K1131" s="52" t="str">
        <f aca="false">IF(AND(ISNUMBER($G1131),$G1131&gt;=MA_LONG2),AVERAGE(INDEX($C$731:$C1131,402-MA_LONG2):$C1131),"")</f>
        <v/>
      </c>
      <c r="L1131" s="53" t="str">
        <f aca="false">IF(AND(ISNUMBER($G1131),$G1131&gt;=21),STDEV(INDEX($H$1071:$H1131,62-20):$H1131)*SQRT(245),"")</f>
        <v/>
      </c>
      <c r="M1131" s="52" t="str">
        <f aca="false">IF(AND(ISNUMBER($G1131),$G1131&gt;=60),MAX(INDEX($D$931:$D1131,202-60):$D1131),"")</f>
        <v/>
      </c>
      <c r="N1131" s="52" t="str">
        <f aca="false">IF(AND(ISNUMBER($G1131),$G1131&gt;=60),MIN(INDEX($E$931:$E1131,202-60):$E1131),"")</f>
        <v/>
      </c>
      <c r="O1131" s="53" t="str">
        <f aca="false">IF(OR(NOT(ISNUMBER($C1131)),NOT(ISNUMBER($M1131)),$M1131=0),"",$C1131/$M1131-1)</f>
        <v/>
      </c>
      <c r="P1131" s="54"/>
      <c r="Q1131" s="53" t="str">
        <f aca="false">IF(NOT(ISNUMBER($P1131)),"",IFERROR(PERCENTRANK($P$5:$P$1204,$P1131),""))</f>
        <v/>
      </c>
    </row>
    <row r="1132" customFormat="false" ht="15" hidden="false" customHeight="false" outlineLevel="0" collapsed="false">
      <c r="A1132" s="55"/>
      <c r="B1132" s="56"/>
      <c r="C1132" s="57"/>
      <c r="D1132" s="56"/>
      <c r="E1132" s="56"/>
      <c r="F1132" s="56"/>
      <c r="G1132" s="50" t="str">
        <f aca="false">IF($A1132="","",IF(ISNUMBER($G1131),$G1131+1,1))</f>
        <v/>
      </c>
      <c r="H1132" s="51" t="str">
        <f aca="false">IF(OR(NOT(ISNUMBER($G1132)),$G1132&lt;2,NOT(ISNUMBER($C1131)),$C1131=0),"",$C1132/$C1131-1)</f>
        <v/>
      </c>
      <c r="I1132" s="52" t="str">
        <f aca="false">IF(AND(ISNUMBER($G1132),$G1132&gt;=MA_SHORT),AVERAGE(INDEX($C$732:$C1132,402-MA_SHORT):$C1132),"")</f>
        <v/>
      </c>
      <c r="J1132" s="52" t="str">
        <f aca="false">IF(AND(ISNUMBER($G1132),$G1132&gt;=MA_MED),AVERAGE(INDEX($C$732:$C1132,402-MA_MED):$C1132),"")</f>
        <v/>
      </c>
      <c r="K1132" s="52" t="str">
        <f aca="false">IF(AND(ISNUMBER($G1132),$G1132&gt;=MA_LONG2),AVERAGE(INDEX($C$732:$C1132,402-MA_LONG2):$C1132),"")</f>
        <v/>
      </c>
      <c r="L1132" s="53" t="str">
        <f aca="false">IF(AND(ISNUMBER($G1132),$G1132&gt;=21),STDEV(INDEX($H$1072:$H1132,62-20):$H1132)*SQRT(245),"")</f>
        <v/>
      </c>
      <c r="M1132" s="52" t="str">
        <f aca="false">IF(AND(ISNUMBER($G1132),$G1132&gt;=60),MAX(INDEX($D$932:$D1132,202-60):$D1132),"")</f>
        <v/>
      </c>
      <c r="N1132" s="52" t="str">
        <f aca="false">IF(AND(ISNUMBER($G1132),$G1132&gt;=60),MIN(INDEX($E$932:$E1132,202-60):$E1132),"")</f>
        <v/>
      </c>
      <c r="O1132" s="53" t="str">
        <f aca="false">IF(OR(NOT(ISNUMBER($C1132)),NOT(ISNUMBER($M1132)),$M1132=0),"",$C1132/$M1132-1)</f>
        <v/>
      </c>
      <c r="P1132" s="54"/>
      <c r="Q1132" s="53" t="str">
        <f aca="false">IF(NOT(ISNUMBER($P1132)),"",IFERROR(PERCENTRANK($P$5:$P$1204,$P1132),""))</f>
        <v/>
      </c>
    </row>
    <row r="1133" customFormat="false" ht="15" hidden="false" customHeight="false" outlineLevel="0" collapsed="false">
      <c r="A1133" s="55"/>
      <c r="B1133" s="56"/>
      <c r="C1133" s="57"/>
      <c r="D1133" s="56"/>
      <c r="E1133" s="56"/>
      <c r="F1133" s="56"/>
      <c r="G1133" s="50" t="str">
        <f aca="false">IF($A1133="","",IF(ISNUMBER($G1132),$G1132+1,1))</f>
        <v/>
      </c>
      <c r="H1133" s="51" t="str">
        <f aca="false">IF(OR(NOT(ISNUMBER($G1133)),$G1133&lt;2,NOT(ISNUMBER($C1132)),$C1132=0),"",$C1133/$C1132-1)</f>
        <v/>
      </c>
      <c r="I1133" s="52" t="str">
        <f aca="false">IF(AND(ISNUMBER($G1133),$G1133&gt;=MA_SHORT),AVERAGE(INDEX($C$733:$C1133,402-MA_SHORT):$C1133),"")</f>
        <v/>
      </c>
      <c r="J1133" s="52" t="str">
        <f aca="false">IF(AND(ISNUMBER($G1133),$G1133&gt;=MA_MED),AVERAGE(INDEX($C$733:$C1133,402-MA_MED):$C1133),"")</f>
        <v/>
      </c>
      <c r="K1133" s="52" t="str">
        <f aca="false">IF(AND(ISNUMBER($G1133),$G1133&gt;=MA_LONG2),AVERAGE(INDEX($C$733:$C1133,402-MA_LONG2):$C1133),"")</f>
        <v/>
      </c>
      <c r="L1133" s="53" t="str">
        <f aca="false">IF(AND(ISNUMBER($G1133),$G1133&gt;=21),STDEV(INDEX($H$1073:$H1133,62-20):$H1133)*SQRT(245),"")</f>
        <v/>
      </c>
      <c r="M1133" s="52" t="str">
        <f aca="false">IF(AND(ISNUMBER($G1133),$G1133&gt;=60),MAX(INDEX($D$933:$D1133,202-60):$D1133),"")</f>
        <v/>
      </c>
      <c r="N1133" s="52" t="str">
        <f aca="false">IF(AND(ISNUMBER($G1133),$G1133&gt;=60),MIN(INDEX($E$933:$E1133,202-60):$E1133),"")</f>
        <v/>
      </c>
      <c r="O1133" s="53" t="str">
        <f aca="false">IF(OR(NOT(ISNUMBER($C1133)),NOT(ISNUMBER($M1133)),$M1133=0),"",$C1133/$M1133-1)</f>
        <v/>
      </c>
      <c r="P1133" s="54"/>
      <c r="Q1133" s="53" t="str">
        <f aca="false">IF(NOT(ISNUMBER($P1133)),"",IFERROR(PERCENTRANK($P$5:$P$1204,$P1133),""))</f>
        <v/>
      </c>
    </row>
    <row r="1134" customFormat="false" ht="15" hidden="false" customHeight="false" outlineLevel="0" collapsed="false">
      <c r="A1134" s="55"/>
      <c r="B1134" s="56"/>
      <c r="C1134" s="57"/>
      <c r="D1134" s="56"/>
      <c r="E1134" s="56"/>
      <c r="F1134" s="56"/>
      <c r="G1134" s="50" t="str">
        <f aca="false">IF($A1134="","",IF(ISNUMBER($G1133),$G1133+1,1))</f>
        <v/>
      </c>
      <c r="H1134" s="51" t="str">
        <f aca="false">IF(OR(NOT(ISNUMBER($G1134)),$G1134&lt;2,NOT(ISNUMBER($C1133)),$C1133=0),"",$C1134/$C1133-1)</f>
        <v/>
      </c>
      <c r="I1134" s="52" t="str">
        <f aca="false">IF(AND(ISNUMBER($G1134),$G1134&gt;=MA_SHORT),AVERAGE(INDEX($C$734:$C1134,402-MA_SHORT):$C1134),"")</f>
        <v/>
      </c>
      <c r="J1134" s="52" t="str">
        <f aca="false">IF(AND(ISNUMBER($G1134),$G1134&gt;=MA_MED),AVERAGE(INDEX($C$734:$C1134,402-MA_MED):$C1134),"")</f>
        <v/>
      </c>
      <c r="K1134" s="52" t="str">
        <f aca="false">IF(AND(ISNUMBER($G1134),$G1134&gt;=MA_LONG2),AVERAGE(INDEX($C$734:$C1134,402-MA_LONG2):$C1134),"")</f>
        <v/>
      </c>
      <c r="L1134" s="53" t="str">
        <f aca="false">IF(AND(ISNUMBER($G1134),$G1134&gt;=21),STDEV(INDEX($H$1074:$H1134,62-20):$H1134)*SQRT(245),"")</f>
        <v/>
      </c>
      <c r="M1134" s="52" t="str">
        <f aca="false">IF(AND(ISNUMBER($G1134),$G1134&gt;=60),MAX(INDEX($D$934:$D1134,202-60):$D1134),"")</f>
        <v/>
      </c>
      <c r="N1134" s="52" t="str">
        <f aca="false">IF(AND(ISNUMBER($G1134),$G1134&gt;=60),MIN(INDEX($E$934:$E1134,202-60):$E1134),"")</f>
        <v/>
      </c>
      <c r="O1134" s="53" t="str">
        <f aca="false">IF(OR(NOT(ISNUMBER($C1134)),NOT(ISNUMBER($M1134)),$M1134=0),"",$C1134/$M1134-1)</f>
        <v/>
      </c>
      <c r="P1134" s="54"/>
      <c r="Q1134" s="53" t="str">
        <f aca="false">IF(NOT(ISNUMBER($P1134)),"",IFERROR(PERCENTRANK($P$5:$P$1204,$P1134),""))</f>
        <v/>
      </c>
    </row>
    <row r="1135" customFormat="false" ht="15" hidden="false" customHeight="false" outlineLevel="0" collapsed="false">
      <c r="A1135" s="55"/>
      <c r="B1135" s="56"/>
      <c r="C1135" s="57"/>
      <c r="D1135" s="56"/>
      <c r="E1135" s="56"/>
      <c r="F1135" s="56"/>
      <c r="G1135" s="50" t="str">
        <f aca="false">IF($A1135="","",IF(ISNUMBER($G1134),$G1134+1,1))</f>
        <v/>
      </c>
      <c r="H1135" s="51" t="str">
        <f aca="false">IF(OR(NOT(ISNUMBER($G1135)),$G1135&lt;2,NOT(ISNUMBER($C1134)),$C1134=0),"",$C1135/$C1134-1)</f>
        <v/>
      </c>
      <c r="I1135" s="52" t="str">
        <f aca="false">IF(AND(ISNUMBER($G1135),$G1135&gt;=MA_SHORT),AVERAGE(INDEX($C$735:$C1135,402-MA_SHORT):$C1135),"")</f>
        <v/>
      </c>
      <c r="J1135" s="52" t="str">
        <f aca="false">IF(AND(ISNUMBER($G1135),$G1135&gt;=MA_MED),AVERAGE(INDEX($C$735:$C1135,402-MA_MED):$C1135),"")</f>
        <v/>
      </c>
      <c r="K1135" s="52" t="str">
        <f aca="false">IF(AND(ISNUMBER($G1135),$G1135&gt;=MA_LONG2),AVERAGE(INDEX($C$735:$C1135,402-MA_LONG2):$C1135),"")</f>
        <v/>
      </c>
      <c r="L1135" s="53" t="str">
        <f aca="false">IF(AND(ISNUMBER($G1135),$G1135&gt;=21),STDEV(INDEX($H$1075:$H1135,62-20):$H1135)*SQRT(245),"")</f>
        <v/>
      </c>
      <c r="M1135" s="52" t="str">
        <f aca="false">IF(AND(ISNUMBER($G1135),$G1135&gt;=60),MAX(INDEX($D$935:$D1135,202-60):$D1135),"")</f>
        <v/>
      </c>
      <c r="N1135" s="52" t="str">
        <f aca="false">IF(AND(ISNUMBER($G1135),$G1135&gt;=60),MIN(INDEX($E$935:$E1135,202-60):$E1135),"")</f>
        <v/>
      </c>
      <c r="O1135" s="53" t="str">
        <f aca="false">IF(OR(NOT(ISNUMBER($C1135)),NOT(ISNUMBER($M1135)),$M1135=0),"",$C1135/$M1135-1)</f>
        <v/>
      </c>
      <c r="P1135" s="54"/>
      <c r="Q1135" s="53" t="str">
        <f aca="false">IF(NOT(ISNUMBER($P1135)),"",IFERROR(PERCENTRANK($P$5:$P$1204,$P1135),""))</f>
        <v/>
      </c>
    </row>
    <row r="1136" customFormat="false" ht="15" hidden="false" customHeight="false" outlineLevel="0" collapsed="false">
      <c r="A1136" s="55"/>
      <c r="B1136" s="56"/>
      <c r="C1136" s="57"/>
      <c r="D1136" s="56"/>
      <c r="E1136" s="56"/>
      <c r="F1136" s="56"/>
      <c r="G1136" s="50" t="str">
        <f aca="false">IF($A1136="","",IF(ISNUMBER($G1135),$G1135+1,1))</f>
        <v/>
      </c>
      <c r="H1136" s="51" t="str">
        <f aca="false">IF(OR(NOT(ISNUMBER($G1136)),$G1136&lt;2,NOT(ISNUMBER($C1135)),$C1135=0),"",$C1136/$C1135-1)</f>
        <v/>
      </c>
      <c r="I1136" s="52" t="str">
        <f aca="false">IF(AND(ISNUMBER($G1136),$G1136&gt;=MA_SHORT),AVERAGE(INDEX($C$736:$C1136,402-MA_SHORT):$C1136),"")</f>
        <v/>
      </c>
      <c r="J1136" s="52" t="str">
        <f aca="false">IF(AND(ISNUMBER($G1136),$G1136&gt;=MA_MED),AVERAGE(INDEX($C$736:$C1136,402-MA_MED):$C1136),"")</f>
        <v/>
      </c>
      <c r="K1136" s="52" t="str">
        <f aca="false">IF(AND(ISNUMBER($G1136),$G1136&gt;=MA_LONG2),AVERAGE(INDEX($C$736:$C1136,402-MA_LONG2):$C1136),"")</f>
        <v/>
      </c>
      <c r="L1136" s="53" t="str">
        <f aca="false">IF(AND(ISNUMBER($G1136),$G1136&gt;=21),STDEV(INDEX($H$1076:$H1136,62-20):$H1136)*SQRT(245),"")</f>
        <v/>
      </c>
      <c r="M1136" s="52" t="str">
        <f aca="false">IF(AND(ISNUMBER($G1136),$G1136&gt;=60),MAX(INDEX($D$936:$D1136,202-60):$D1136),"")</f>
        <v/>
      </c>
      <c r="N1136" s="52" t="str">
        <f aca="false">IF(AND(ISNUMBER($G1136),$G1136&gt;=60),MIN(INDEX($E$936:$E1136,202-60):$E1136),"")</f>
        <v/>
      </c>
      <c r="O1136" s="53" t="str">
        <f aca="false">IF(OR(NOT(ISNUMBER($C1136)),NOT(ISNUMBER($M1136)),$M1136=0),"",$C1136/$M1136-1)</f>
        <v/>
      </c>
      <c r="P1136" s="54"/>
      <c r="Q1136" s="53" t="str">
        <f aca="false">IF(NOT(ISNUMBER($P1136)),"",IFERROR(PERCENTRANK($P$5:$P$1204,$P1136),""))</f>
        <v/>
      </c>
    </row>
    <row r="1137" customFormat="false" ht="15" hidden="false" customHeight="false" outlineLevel="0" collapsed="false">
      <c r="A1137" s="55"/>
      <c r="B1137" s="56"/>
      <c r="C1137" s="57"/>
      <c r="D1137" s="56"/>
      <c r="E1137" s="56"/>
      <c r="F1137" s="56"/>
      <c r="G1137" s="50" t="str">
        <f aca="false">IF($A1137="","",IF(ISNUMBER($G1136),$G1136+1,1))</f>
        <v/>
      </c>
      <c r="H1137" s="51" t="str">
        <f aca="false">IF(OR(NOT(ISNUMBER($G1137)),$G1137&lt;2,NOT(ISNUMBER($C1136)),$C1136=0),"",$C1137/$C1136-1)</f>
        <v/>
      </c>
      <c r="I1137" s="52" t="str">
        <f aca="false">IF(AND(ISNUMBER($G1137),$G1137&gt;=MA_SHORT),AVERAGE(INDEX($C$737:$C1137,402-MA_SHORT):$C1137),"")</f>
        <v/>
      </c>
      <c r="J1137" s="52" t="str">
        <f aca="false">IF(AND(ISNUMBER($G1137),$G1137&gt;=MA_MED),AVERAGE(INDEX($C$737:$C1137,402-MA_MED):$C1137),"")</f>
        <v/>
      </c>
      <c r="K1137" s="52" t="str">
        <f aca="false">IF(AND(ISNUMBER($G1137),$G1137&gt;=MA_LONG2),AVERAGE(INDEX($C$737:$C1137,402-MA_LONG2):$C1137),"")</f>
        <v/>
      </c>
      <c r="L1137" s="53" t="str">
        <f aca="false">IF(AND(ISNUMBER($G1137),$G1137&gt;=21),STDEV(INDEX($H$1077:$H1137,62-20):$H1137)*SQRT(245),"")</f>
        <v/>
      </c>
      <c r="M1137" s="52" t="str">
        <f aca="false">IF(AND(ISNUMBER($G1137),$G1137&gt;=60),MAX(INDEX($D$937:$D1137,202-60):$D1137),"")</f>
        <v/>
      </c>
      <c r="N1137" s="52" t="str">
        <f aca="false">IF(AND(ISNUMBER($G1137),$G1137&gt;=60),MIN(INDEX($E$937:$E1137,202-60):$E1137),"")</f>
        <v/>
      </c>
      <c r="O1137" s="53" t="str">
        <f aca="false">IF(OR(NOT(ISNUMBER($C1137)),NOT(ISNUMBER($M1137)),$M1137=0),"",$C1137/$M1137-1)</f>
        <v/>
      </c>
      <c r="P1137" s="54"/>
      <c r="Q1137" s="53" t="str">
        <f aca="false">IF(NOT(ISNUMBER($P1137)),"",IFERROR(PERCENTRANK($P$5:$P$1204,$P1137),""))</f>
        <v/>
      </c>
    </row>
    <row r="1138" customFormat="false" ht="15" hidden="false" customHeight="false" outlineLevel="0" collapsed="false">
      <c r="A1138" s="55"/>
      <c r="B1138" s="56"/>
      <c r="C1138" s="57"/>
      <c r="D1138" s="56"/>
      <c r="E1138" s="56"/>
      <c r="F1138" s="56"/>
      <c r="G1138" s="50" t="str">
        <f aca="false">IF($A1138="","",IF(ISNUMBER($G1137),$G1137+1,1))</f>
        <v/>
      </c>
      <c r="H1138" s="51" t="str">
        <f aca="false">IF(OR(NOT(ISNUMBER($G1138)),$G1138&lt;2,NOT(ISNUMBER($C1137)),$C1137=0),"",$C1138/$C1137-1)</f>
        <v/>
      </c>
      <c r="I1138" s="52" t="str">
        <f aca="false">IF(AND(ISNUMBER($G1138),$G1138&gt;=MA_SHORT),AVERAGE(INDEX($C$738:$C1138,402-MA_SHORT):$C1138),"")</f>
        <v/>
      </c>
      <c r="J1138" s="52" t="str">
        <f aca="false">IF(AND(ISNUMBER($G1138),$G1138&gt;=MA_MED),AVERAGE(INDEX($C$738:$C1138,402-MA_MED):$C1138),"")</f>
        <v/>
      </c>
      <c r="K1138" s="52" t="str">
        <f aca="false">IF(AND(ISNUMBER($G1138),$G1138&gt;=MA_LONG2),AVERAGE(INDEX($C$738:$C1138,402-MA_LONG2):$C1138),"")</f>
        <v/>
      </c>
      <c r="L1138" s="53" t="str">
        <f aca="false">IF(AND(ISNUMBER($G1138),$G1138&gt;=21),STDEV(INDEX($H$1078:$H1138,62-20):$H1138)*SQRT(245),"")</f>
        <v/>
      </c>
      <c r="M1138" s="52" t="str">
        <f aca="false">IF(AND(ISNUMBER($G1138),$G1138&gt;=60),MAX(INDEX($D$938:$D1138,202-60):$D1138),"")</f>
        <v/>
      </c>
      <c r="N1138" s="52" t="str">
        <f aca="false">IF(AND(ISNUMBER($G1138),$G1138&gt;=60),MIN(INDEX($E$938:$E1138,202-60):$E1138),"")</f>
        <v/>
      </c>
      <c r="O1138" s="53" t="str">
        <f aca="false">IF(OR(NOT(ISNUMBER($C1138)),NOT(ISNUMBER($M1138)),$M1138=0),"",$C1138/$M1138-1)</f>
        <v/>
      </c>
      <c r="P1138" s="54"/>
      <c r="Q1138" s="53" t="str">
        <f aca="false">IF(NOT(ISNUMBER($P1138)),"",IFERROR(PERCENTRANK($P$5:$P$1204,$P1138),""))</f>
        <v/>
      </c>
    </row>
    <row r="1139" customFormat="false" ht="15" hidden="false" customHeight="false" outlineLevel="0" collapsed="false">
      <c r="A1139" s="55"/>
      <c r="B1139" s="56"/>
      <c r="C1139" s="57"/>
      <c r="D1139" s="56"/>
      <c r="E1139" s="56"/>
      <c r="F1139" s="56"/>
      <c r="G1139" s="50" t="str">
        <f aca="false">IF($A1139="","",IF(ISNUMBER($G1138),$G1138+1,1))</f>
        <v/>
      </c>
      <c r="H1139" s="51" t="str">
        <f aca="false">IF(OR(NOT(ISNUMBER($G1139)),$G1139&lt;2,NOT(ISNUMBER($C1138)),$C1138=0),"",$C1139/$C1138-1)</f>
        <v/>
      </c>
      <c r="I1139" s="52" t="str">
        <f aca="false">IF(AND(ISNUMBER($G1139),$G1139&gt;=MA_SHORT),AVERAGE(INDEX($C$739:$C1139,402-MA_SHORT):$C1139),"")</f>
        <v/>
      </c>
      <c r="J1139" s="52" t="str">
        <f aca="false">IF(AND(ISNUMBER($G1139),$G1139&gt;=MA_MED),AVERAGE(INDEX($C$739:$C1139,402-MA_MED):$C1139),"")</f>
        <v/>
      </c>
      <c r="K1139" s="52" t="str">
        <f aca="false">IF(AND(ISNUMBER($G1139),$G1139&gt;=MA_LONG2),AVERAGE(INDEX($C$739:$C1139,402-MA_LONG2):$C1139),"")</f>
        <v/>
      </c>
      <c r="L1139" s="53" t="str">
        <f aca="false">IF(AND(ISNUMBER($G1139),$G1139&gt;=21),STDEV(INDEX($H$1079:$H1139,62-20):$H1139)*SQRT(245),"")</f>
        <v/>
      </c>
      <c r="M1139" s="52" t="str">
        <f aca="false">IF(AND(ISNUMBER($G1139),$G1139&gt;=60),MAX(INDEX($D$939:$D1139,202-60):$D1139),"")</f>
        <v/>
      </c>
      <c r="N1139" s="52" t="str">
        <f aca="false">IF(AND(ISNUMBER($G1139),$G1139&gt;=60),MIN(INDEX($E$939:$E1139,202-60):$E1139),"")</f>
        <v/>
      </c>
      <c r="O1139" s="53" t="str">
        <f aca="false">IF(OR(NOT(ISNUMBER($C1139)),NOT(ISNUMBER($M1139)),$M1139=0),"",$C1139/$M1139-1)</f>
        <v/>
      </c>
      <c r="P1139" s="54"/>
      <c r="Q1139" s="53" t="str">
        <f aca="false">IF(NOT(ISNUMBER($P1139)),"",IFERROR(PERCENTRANK($P$5:$P$1204,$P1139),""))</f>
        <v/>
      </c>
    </row>
    <row r="1140" customFormat="false" ht="15" hidden="false" customHeight="false" outlineLevel="0" collapsed="false">
      <c r="A1140" s="55"/>
      <c r="B1140" s="56"/>
      <c r="C1140" s="57"/>
      <c r="D1140" s="56"/>
      <c r="E1140" s="56"/>
      <c r="F1140" s="56"/>
      <c r="G1140" s="50" t="str">
        <f aca="false">IF($A1140="","",IF(ISNUMBER($G1139),$G1139+1,1))</f>
        <v/>
      </c>
      <c r="H1140" s="51" t="str">
        <f aca="false">IF(OR(NOT(ISNUMBER($G1140)),$G1140&lt;2,NOT(ISNUMBER($C1139)),$C1139=0),"",$C1140/$C1139-1)</f>
        <v/>
      </c>
      <c r="I1140" s="52" t="str">
        <f aca="false">IF(AND(ISNUMBER($G1140),$G1140&gt;=MA_SHORT),AVERAGE(INDEX($C$740:$C1140,402-MA_SHORT):$C1140),"")</f>
        <v/>
      </c>
      <c r="J1140" s="52" t="str">
        <f aca="false">IF(AND(ISNUMBER($G1140),$G1140&gt;=MA_MED),AVERAGE(INDEX($C$740:$C1140,402-MA_MED):$C1140),"")</f>
        <v/>
      </c>
      <c r="K1140" s="52" t="str">
        <f aca="false">IF(AND(ISNUMBER($G1140),$G1140&gt;=MA_LONG2),AVERAGE(INDEX($C$740:$C1140,402-MA_LONG2):$C1140),"")</f>
        <v/>
      </c>
      <c r="L1140" s="53" t="str">
        <f aca="false">IF(AND(ISNUMBER($G1140),$G1140&gt;=21),STDEV(INDEX($H$1080:$H1140,62-20):$H1140)*SQRT(245),"")</f>
        <v/>
      </c>
      <c r="M1140" s="52" t="str">
        <f aca="false">IF(AND(ISNUMBER($G1140),$G1140&gt;=60),MAX(INDEX($D$940:$D1140,202-60):$D1140),"")</f>
        <v/>
      </c>
      <c r="N1140" s="52" t="str">
        <f aca="false">IF(AND(ISNUMBER($G1140),$G1140&gt;=60),MIN(INDEX($E$940:$E1140,202-60):$E1140),"")</f>
        <v/>
      </c>
      <c r="O1140" s="53" t="str">
        <f aca="false">IF(OR(NOT(ISNUMBER($C1140)),NOT(ISNUMBER($M1140)),$M1140=0),"",$C1140/$M1140-1)</f>
        <v/>
      </c>
      <c r="P1140" s="54"/>
      <c r="Q1140" s="53" t="str">
        <f aca="false">IF(NOT(ISNUMBER($P1140)),"",IFERROR(PERCENTRANK($P$5:$P$1204,$P1140),""))</f>
        <v/>
      </c>
    </row>
    <row r="1141" customFormat="false" ht="15" hidden="false" customHeight="false" outlineLevel="0" collapsed="false">
      <c r="A1141" s="55"/>
      <c r="B1141" s="56"/>
      <c r="C1141" s="57"/>
      <c r="D1141" s="56"/>
      <c r="E1141" s="56"/>
      <c r="F1141" s="56"/>
      <c r="G1141" s="50" t="str">
        <f aca="false">IF($A1141="","",IF(ISNUMBER($G1140),$G1140+1,1))</f>
        <v/>
      </c>
      <c r="H1141" s="51" t="str">
        <f aca="false">IF(OR(NOT(ISNUMBER($G1141)),$G1141&lt;2,NOT(ISNUMBER($C1140)),$C1140=0),"",$C1141/$C1140-1)</f>
        <v/>
      </c>
      <c r="I1141" s="52" t="str">
        <f aca="false">IF(AND(ISNUMBER($G1141),$G1141&gt;=MA_SHORT),AVERAGE(INDEX($C$741:$C1141,402-MA_SHORT):$C1141),"")</f>
        <v/>
      </c>
      <c r="J1141" s="52" t="str">
        <f aca="false">IF(AND(ISNUMBER($G1141),$G1141&gt;=MA_MED),AVERAGE(INDEX($C$741:$C1141,402-MA_MED):$C1141),"")</f>
        <v/>
      </c>
      <c r="K1141" s="52" t="str">
        <f aca="false">IF(AND(ISNUMBER($G1141),$G1141&gt;=MA_LONG2),AVERAGE(INDEX($C$741:$C1141,402-MA_LONG2):$C1141),"")</f>
        <v/>
      </c>
      <c r="L1141" s="53" t="str">
        <f aca="false">IF(AND(ISNUMBER($G1141),$G1141&gt;=21),STDEV(INDEX($H$1081:$H1141,62-20):$H1141)*SQRT(245),"")</f>
        <v/>
      </c>
      <c r="M1141" s="52" t="str">
        <f aca="false">IF(AND(ISNUMBER($G1141),$G1141&gt;=60),MAX(INDEX($D$941:$D1141,202-60):$D1141),"")</f>
        <v/>
      </c>
      <c r="N1141" s="52" t="str">
        <f aca="false">IF(AND(ISNUMBER($G1141),$G1141&gt;=60),MIN(INDEX($E$941:$E1141,202-60):$E1141),"")</f>
        <v/>
      </c>
      <c r="O1141" s="53" t="str">
        <f aca="false">IF(OR(NOT(ISNUMBER($C1141)),NOT(ISNUMBER($M1141)),$M1141=0),"",$C1141/$M1141-1)</f>
        <v/>
      </c>
      <c r="P1141" s="54"/>
      <c r="Q1141" s="53" t="str">
        <f aca="false">IF(NOT(ISNUMBER($P1141)),"",IFERROR(PERCENTRANK($P$5:$P$1204,$P1141),""))</f>
        <v/>
      </c>
    </row>
    <row r="1142" customFormat="false" ht="15" hidden="false" customHeight="false" outlineLevel="0" collapsed="false">
      <c r="A1142" s="55"/>
      <c r="B1142" s="56"/>
      <c r="C1142" s="57"/>
      <c r="D1142" s="56"/>
      <c r="E1142" s="56"/>
      <c r="F1142" s="56"/>
      <c r="G1142" s="50" t="str">
        <f aca="false">IF($A1142="","",IF(ISNUMBER($G1141),$G1141+1,1))</f>
        <v/>
      </c>
      <c r="H1142" s="51" t="str">
        <f aca="false">IF(OR(NOT(ISNUMBER($G1142)),$G1142&lt;2,NOT(ISNUMBER($C1141)),$C1141=0),"",$C1142/$C1141-1)</f>
        <v/>
      </c>
      <c r="I1142" s="52" t="str">
        <f aca="false">IF(AND(ISNUMBER($G1142),$G1142&gt;=MA_SHORT),AVERAGE(INDEX($C$742:$C1142,402-MA_SHORT):$C1142),"")</f>
        <v/>
      </c>
      <c r="J1142" s="52" t="str">
        <f aca="false">IF(AND(ISNUMBER($G1142),$G1142&gt;=MA_MED),AVERAGE(INDEX($C$742:$C1142,402-MA_MED):$C1142),"")</f>
        <v/>
      </c>
      <c r="K1142" s="52" t="str">
        <f aca="false">IF(AND(ISNUMBER($G1142),$G1142&gt;=MA_LONG2),AVERAGE(INDEX($C$742:$C1142,402-MA_LONG2):$C1142),"")</f>
        <v/>
      </c>
      <c r="L1142" s="53" t="str">
        <f aca="false">IF(AND(ISNUMBER($G1142),$G1142&gt;=21),STDEV(INDEX($H$1082:$H1142,62-20):$H1142)*SQRT(245),"")</f>
        <v/>
      </c>
      <c r="M1142" s="52" t="str">
        <f aca="false">IF(AND(ISNUMBER($G1142),$G1142&gt;=60),MAX(INDEX($D$942:$D1142,202-60):$D1142),"")</f>
        <v/>
      </c>
      <c r="N1142" s="52" t="str">
        <f aca="false">IF(AND(ISNUMBER($G1142),$G1142&gt;=60),MIN(INDEX($E$942:$E1142,202-60):$E1142),"")</f>
        <v/>
      </c>
      <c r="O1142" s="53" t="str">
        <f aca="false">IF(OR(NOT(ISNUMBER($C1142)),NOT(ISNUMBER($M1142)),$M1142=0),"",$C1142/$M1142-1)</f>
        <v/>
      </c>
      <c r="P1142" s="54"/>
      <c r="Q1142" s="53" t="str">
        <f aca="false">IF(NOT(ISNUMBER($P1142)),"",IFERROR(PERCENTRANK($P$5:$P$1204,$P1142),""))</f>
        <v/>
      </c>
    </row>
    <row r="1143" customFormat="false" ht="15" hidden="false" customHeight="false" outlineLevel="0" collapsed="false">
      <c r="A1143" s="55"/>
      <c r="B1143" s="56"/>
      <c r="C1143" s="57"/>
      <c r="D1143" s="56"/>
      <c r="E1143" s="56"/>
      <c r="F1143" s="56"/>
      <c r="G1143" s="50" t="str">
        <f aca="false">IF($A1143="","",IF(ISNUMBER($G1142),$G1142+1,1))</f>
        <v/>
      </c>
      <c r="H1143" s="51" t="str">
        <f aca="false">IF(OR(NOT(ISNUMBER($G1143)),$G1143&lt;2,NOT(ISNUMBER($C1142)),$C1142=0),"",$C1143/$C1142-1)</f>
        <v/>
      </c>
      <c r="I1143" s="52" t="str">
        <f aca="false">IF(AND(ISNUMBER($G1143),$G1143&gt;=MA_SHORT),AVERAGE(INDEX($C$743:$C1143,402-MA_SHORT):$C1143),"")</f>
        <v/>
      </c>
      <c r="J1143" s="52" t="str">
        <f aca="false">IF(AND(ISNUMBER($G1143),$G1143&gt;=MA_MED),AVERAGE(INDEX($C$743:$C1143,402-MA_MED):$C1143),"")</f>
        <v/>
      </c>
      <c r="K1143" s="52" t="str">
        <f aca="false">IF(AND(ISNUMBER($G1143),$G1143&gt;=MA_LONG2),AVERAGE(INDEX($C$743:$C1143,402-MA_LONG2):$C1143),"")</f>
        <v/>
      </c>
      <c r="L1143" s="53" t="str">
        <f aca="false">IF(AND(ISNUMBER($G1143),$G1143&gt;=21),STDEV(INDEX($H$1083:$H1143,62-20):$H1143)*SQRT(245),"")</f>
        <v/>
      </c>
      <c r="M1143" s="52" t="str">
        <f aca="false">IF(AND(ISNUMBER($G1143),$G1143&gt;=60),MAX(INDEX($D$943:$D1143,202-60):$D1143),"")</f>
        <v/>
      </c>
      <c r="N1143" s="52" t="str">
        <f aca="false">IF(AND(ISNUMBER($G1143),$G1143&gt;=60),MIN(INDEX($E$943:$E1143,202-60):$E1143),"")</f>
        <v/>
      </c>
      <c r="O1143" s="53" t="str">
        <f aca="false">IF(OR(NOT(ISNUMBER($C1143)),NOT(ISNUMBER($M1143)),$M1143=0),"",$C1143/$M1143-1)</f>
        <v/>
      </c>
      <c r="P1143" s="54"/>
      <c r="Q1143" s="53" t="str">
        <f aca="false">IF(NOT(ISNUMBER($P1143)),"",IFERROR(PERCENTRANK($P$5:$P$1204,$P1143),""))</f>
        <v/>
      </c>
    </row>
    <row r="1144" customFormat="false" ht="15" hidden="false" customHeight="false" outlineLevel="0" collapsed="false">
      <c r="A1144" s="55"/>
      <c r="B1144" s="56"/>
      <c r="C1144" s="57"/>
      <c r="D1144" s="56"/>
      <c r="E1144" s="56"/>
      <c r="F1144" s="56"/>
      <c r="G1144" s="50" t="str">
        <f aca="false">IF($A1144="","",IF(ISNUMBER($G1143),$G1143+1,1))</f>
        <v/>
      </c>
      <c r="H1144" s="51" t="str">
        <f aca="false">IF(OR(NOT(ISNUMBER($G1144)),$G1144&lt;2,NOT(ISNUMBER($C1143)),$C1143=0),"",$C1144/$C1143-1)</f>
        <v/>
      </c>
      <c r="I1144" s="52" t="str">
        <f aca="false">IF(AND(ISNUMBER($G1144),$G1144&gt;=MA_SHORT),AVERAGE(INDEX($C$744:$C1144,402-MA_SHORT):$C1144),"")</f>
        <v/>
      </c>
      <c r="J1144" s="52" t="str">
        <f aca="false">IF(AND(ISNUMBER($G1144),$G1144&gt;=MA_MED),AVERAGE(INDEX($C$744:$C1144,402-MA_MED):$C1144),"")</f>
        <v/>
      </c>
      <c r="K1144" s="52" t="str">
        <f aca="false">IF(AND(ISNUMBER($G1144),$G1144&gt;=MA_LONG2),AVERAGE(INDEX($C$744:$C1144,402-MA_LONG2):$C1144),"")</f>
        <v/>
      </c>
      <c r="L1144" s="53" t="str">
        <f aca="false">IF(AND(ISNUMBER($G1144),$G1144&gt;=21),STDEV(INDEX($H$1084:$H1144,62-20):$H1144)*SQRT(245),"")</f>
        <v/>
      </c>
      <c r="M1144" s="52" t="str">
        <f aca="false">IF(AND(ISNUMBER($G1144),$G1144&gt;=60),MAX(INDEX($D$944:$D1144,202-60):$D1144),"")</f>
        <v/>
      </c>
      <c r="N1144" s="52" t="str">
        <f aca="false">IF(AND(ISNUMBER($G1144),$G1144&gt;=60),MIN(INDEX($E$944:$E1144,202-60):$E1144),"")</f>
        <v/>
      </c>
      <c r="O1144" s="53" t="str">
        <f aca="false">IF(OR(NOT(ISNUMBER($C1144)),NOT(ISNUMBER($M1144)),$M1144=0),"",$C1144/$M1144-1)</f>
        <v/>
      </c>
      <c r="P1144" s="54"/>
      <c r="Q1144" s="53" t="str">
        <f aca="false">IF(NOT(ISNUMBER($P1144)),"",IFERROR(PERCENTRANK($P$5:$P$1204,$P1144),""))</f>
        <v/>
      </c>
    </row>
    <row r="1145" customFormat="false" ht="15" hidden="false" customHeight="false" outlineLevel="0" collapsed="false">
      <c r="A1145" s="55"/>
      <c r="B1145" s="56"/>
      <c r="C1145" s="57"/>
      <c r="D1145" s="56"/>
      <c r="E1145" s="56"/>
      <c r="F1145" s="56"/>
      <c r="G1145" s="50" t="str">
        <f aca="false">IF($A1145="","",IF(ISNUMBER($G1144),$G1144+1,1))</f>
        <v/>
      </c>
      <c r="H1145" s="51" t="str">
        <f aca="false">IF(OR(NOT(ISNUMBER($G1145)),$G1145&lt;2,NOT(ISNUMBER($C1144)),$C1144=0),"",$C1145/$C1144-1)</f>
        <v/>
      </c>
      <c r="I1145" s="52" t="str">
        <f aca="false">IF(AND(ISNUMBER($G1145),$G1145&gt;=MA_SHORT),AVERAGE(INDEX($C$745:$C1145,402-MA_SHORT):$C1145),"")</f>
        <v/>
      </c>
      <c r="J1145" s="52" t="str">
        <f aca="false">IF(AND(ISNUMBER($G1145),$G1145&gt;=MA_MED),AVERAGE(INDEX($C$745:$C1145,402-MA_MED):$C1145),"")</f>
        <v/>
      </c>
      <c r="K1145" s="52" t="str">
        <f aca="false">IF(AND(ISNUMBER($G1145),$G1145&gt;=MA_LONG2),AVERAGE(INDEX($C$745:$C1145,402-MA_LONG2):$C1145),"")</f>
        <v/>
      </c>
      <c r="L1145" s="53" t="str">
        <f aca="false">IF(AND(ISNUMBER($G1145),$G1145&gt;=21),STDEV(INDEX($H$1085:$H1145,62-20):$H1145)*SQRT(245),"")</f>
        <v/>
      </c>
      <c r="M1145" s="52" t="str">
        <f aca="false">IF(AND(ISNUMBER($G1145),$G1145&gt;=60),MAX(INDEX($D$945:$D1145,202-60):$D1145),"")</f>
        <v/>
      </c>
      <c r="N1145" s="52" t="str">
        <f aca="false">IF(AND(ISNUMBER($G1145),$G1145&gt;=60),MIN(INDEX($E$945:$E1145,202-60):$E1145),"")</f>
        <v/>
      </c>
      <c r="O1145" s="53" t="str">
        <f aca="false">IF(OR(NOT(ISNUMBER($C1145)),NOT(ISNUMBER($M1145)),$M1145=0),"",$C1145/$M1145-1)</f>
        <v/>
      </c>
      <c r="P1145" s="54"/>
      <c r="Q1145" s="53" t="str">
        <f aca="false">IF(NOT(ISNUMBER($P1145)),"",IFERROR(PERCENTRANK($P$5:$P$1204,$P1145),""))</f>
        <v/>
      </c>
    </row>
    <row r="1146" customFormat="false" ht="15" hidden="false" customHeight="false" outlineLevel="0" collapsed="false">
      <c r="A1146" s="55"/>
      <c r="B1146" s="56"/>
      <c r="C1146" s="57"/>
      <c r="D1146" s="56"/>
      <c r="E1146" s="56"/>
      <c r="F1146" s="56"/>
      <c r="G1146" s="50" t="str">
        <f aca="false">IF($A1146="","",IF(ISNUMBER($G1145),$G1145+1,1))</f>
        <v/>
      </c>
      <c r="H1146" s="51" t="str">
        <f aca="false">IF(OR(NOT(ISNUMBER($G1146)),$G1146&lt;2,NOT(ISNUMBER($C1145)),$C1145=0),"",$C1146/$C1145-1)</f>
        <v/>
      </c>
      <c r="I1146" s="52" t="str">
        <f aca="false">IF(AND(ISNUMBER($G1146),$G1146&gt;=MA_SHORT),AVERAGE(INDEX($C$746:$C1146,402-MA_SHORT):$C1146),"")</f>
        <v/>
      </c>
      <c r="J1146" s="52" t="str">
        <f aca="false">IF(AND(ISNUMBER($G1146),$G1146&gt;=MA_MED),AVERAGE(INDEX($C$746:$C1146,402-MA_MED):$C1146),"")</f>
        <v/>
      </c>
      <c r="K1146" s="52" t="str">
        <f aca="false">IF(AND(ISNUMBER($G1146),$G1146&gt;=MA_LONG2),AVERAGE(INDEX($C$746:$C1146,402-MA_LONG2):$C1146),"")</f>
        <v/>
      </c>
      <c r="L1146" s="53" t="str">
        <f aca="false">IF(AND(ISNUMBER($G1146),$G1146&gt;=21),STDEV(INDEX($H$1086:$H1146,62-20):$H1146)*SQRT(245),"")</f>
        <v/>
      </c>
      <c r="M1146" s="52" t="str">
        <f aca="false">IF(AND(ISNUMBER($G1146),$G1146&gt;=60),MAX(INDEX($D$946:$D1146,202-60):$D1146),"")</f>
        <v/>
      </c>
      <c r="N1146" s="52" t="str">
        <f aca="false">IF(AND(ISNUMBER($G1146),$G1146&gt;=60),MIN(INDEX($E$946:$E1146,202-60):$E1146),"")</f>
        <v/>
      </c>
      <c r="O1146" s="53" t="str">
        <f aca="false">IF(OR(NOT(ISNUMBER($C1146)),NOT(ISNUMBER($M1146)),$M1146=0),"",$C1146/$M1146-1)</f>
        <v/>
      </c>
      <c r="P1146" s="54"/>
      <c r="Q1146" s="53" t="str">
        <f aca="false">IF(NOT(ISNUMBER($P1146)),"",IFERROR(PERCENTRANK($P$5:$P$1204,$P1146),""))</f>
        <v/>
      </c>
    </row>
    <row r="1147" customFormat="false" ht="15" hidden="false" customHeight="false" outlineLevel="0" collapsed="false">
      <c r="A1147" s="55"/>
      <c r="B1147" s="56"/>
      <c r="C1147" s="57"/>
      <c r="D1147" s="56"/>
      <c r="E1147" s="56"/>
      <c r="F1147" s="56"/>
      <c r="G1147" s="50" t="str">
        <f aca="false">IF($A1147="","",IF(ISNUMBER($G1146),$G1146+1,1))</f>
        <v/>
      </c>
      <c r="H1147" s="51" t="str">
        <f aca="false">IF(OR(NOT(ISNUMBER($G1147)),$G1147&lt;2,NOT(ISNUMBER($C1146)),$C1146=0),"",$C1147/$C1146-1)</f>
        <v/>
      </c>
      <c r="I1147" s="52" t="str">
        <f aca="false">IF(AND(ISNUMBER($G1147),$G1147&gt;=MA_SHORT),AVERAGE(INDEX($C$747:$C1147,402-MA_SHORT):$C1147),"")</f>
        <v/>
      </c>
      <c r="J1147" s="52" t="str">
        <f aca="false">IF(AND(ISNUMBER($G1147),$G1147&gt;=MA_MED),AVERAGE(INDEX($C$747:$C1147,402-MA_MED):$C1147),"")</f>
        <v/>
      </c>
      <c r="K1147" s="52" t="str">
        <f aca="false">IF(AND(ISNUMBER($G1147),$G1147&gt;=MA_LONG2),AVERAGE(INDEX($C$747:$C1147,402-MA_LONG2):$C1147),"")</f>
        <v/>
      </c>
      <c r="L1147" s="53" t="str">
        <f aca="false">IF(AND(ISNUMBER($G1147),$G1147&gt;=21),STDEV(INDEX($H$1087:$H1147,62-20):$H1147)*SQRT(245),"")</f>
        <v/>
      </c>
      <c r="M1147" s="52" t="str">
        <f aca="false">IF(AND(ISNUMBER($G1147),$G1147&gt;=60),MAX(INDEX($D$947:$D1147,202-60):$D1147),"")</f>
        <v/>
      </c>
      <c r="N1147" s="52" t="str">
        <f aca="false">IF(AND(ISNUMBER($G1147),$G1147&gt;=60),MIN(INDEX($E$947:$E1147,202-60):$E1147),"")</f>
        <v/>
      </c>
      <c r="O1147" s="53" t="str">
        <f aca="false">IF(OR(NOT(ISNUMBER($C1147)),NOT(ISNUMBER($M1147)),$M1147=0),"",$C1147/$M1147-1)</f>
        <v/>
      </c>
      <c r="P1147" s="54"/>
      <c r="Q1147" s="53" t="str">
        <f aca="false">IF(NOT(ISNUMBER($P1147)),"",IFERROR(PERCENTRANK($P$5:$P$1204,$P1147),""))</f>
        <v/>
      </c>
    </row>
    <row r="1148" customFormat="false" ht="15" hidden="false" customHeight="false" outlineLevel="0" collapsed="false">
      <c r="A1148" s="55"/>
      <c r="B1148" s="56"/>
      <c r="C1148" s="57"/>
      <c r="D1148" s="56"/>
      <c r="E1148" s="56"/>
      <c r="F1148" s="56"/>
      <c r="G1148" s="50" t="str">
        <f aca="false">IF($A1148="","",IF(ISNUMBER($G1147),$G1147+1,1))</f>
        <v/>
      </c>
      <c r="H1148" s="51" t="str">
        <f aca="false">IF(OR(NOT(ISNUMBER($G1148)),$G1148&lt;2,NOT(ISNUMBER($C1147)),$C1147=0),"",$C1148/$C1147-1)</f>
        <v/>
      </c>
      <c r="I1148" s="52" t="str">
        <f aca="false">IF(AND(ISNUMBER($G1148),$G1148&gt;=MA_SHORT),AVERAGE(INDEX($C$748:$C1148,402-MA_SHORT):$C1148),"")</f>
        <v/>
      </c>
      <c r="J1148" s="52" t="str">
        <f aca="false">IF(AND(ISNUMBER($G1148),$G1148&gt;=MA_MED),AVERAGE(INDEX($C$748:$C1148,402-MA_MED):$C1148),"")</f>
        <v/>
      </c>
      <c r="K1148" s="52" t="str">
        <f aca="false">IF(AND(ISNUMBER($G1148),$G1148&gt;=MA_LONG2),AVERAGE(INDEX($C$748:$C1148,402-MA_LONG2):$C1148),"")</f>
        <v/>
      </c>
      <c r="L1148" s="53" t="str">
        <f aca="false">IF(AND(ISNUMBER($G1148),$G1148&gt;=21),STDEV(INDEX($H$1088:$H1148,62-20):$H1148)*SQRT(245),"")</f>
        <v/>
      </c>
      <c r="M1148" s="52" t="str">
        <f aca="false">IF(AND(ISNUMBER($G1148),$G1148&gt;=60),MAX(INDEX($D$948:$D1148,202-60):$D1148),"")</f>
        <v/>
      </c>
      <c r="N1148" s="52" t="str">
        <f aca="false">IF(AND(ISNUMBER($G1148),$G1148&gt;=60),MIN(INDEX($E$948:$E1148,202-60):$E1148),"")</f>
        <v/>
      </c>
      <c r="O1148" s="53" t="str">
        <f aca="false">IF(OR(NOT(ISNUMBER($C1148)),NOT(ISNUMBER($M1148)),$M1148=0),"",$C1148/$M1148-1)</f>
        <v/>
      </c>
      <c r="P1148" s="54"/>
      <c r="Q1148" s="53" t="str">
        <f aca="false">IF(NOT(ISNUMBER($P1148)),"",IFERROR(PERCENTRANK($P$5:$P$1204,$P1148),""))</f>
        <v/>
      </c>
    </row>
    <row r="1149" customFormat="false" ht="15" hidden="false" customHeight="false" outlineLevel="0" collapsed="false">
      <c r="A1149" s="55"/>
      <c r="B1149" s="56"/>
      <c r="C1149" s="57"/>
      <c r="D1149" s="56"/>
      <c r="E1149" s="56"/>
      <c r="F1149" s="56"/>
      <c r="G1149" s="50" t="str">
        <f aca="false">IF($A1149="","",IF(ISNUMBER($G1148),$G1148+1,1))</f>
        <v/>
      </c>
      <c r="H1149" s="51" t="str">
        <f aca="false">IF(OR(NOT(ISNUMBER($G1149)),$G1149&lt;2,NOT(ISNUMBER($C1148)),$C1148=0),"",$C1149/$C1148-1)</f>
        <v/>
      </c>
      <c r="I1149" s="52" t="str">
        <f aca="false">IF(AND(ISNUMBER($G1149),$G1149&gt;=MA_SHORT),AVERAGE(INDEX($C$749:$C1149,402-MA_SHORT):$C1149),"")</f>
        <v/>
      </c>
      <c r="J1149" s="52" t="str">
        <f aca="false">IF(AND(ISNUMBER($G1149),$G1149&gt;=MA_MED),AVERAGE(INDEX($C$749:$C1149,402-MA_MED):$C1149),"")</f>
        <v/>
      </c>
      <c r="K1149" s="52" t="str">
        <f aca="false">IF(AND(ISNUMBER($G1149),$G1149&gt;=MA_LONG2),AVERAGE(INDEX($C$749:$C1149,402-MA_LONG2):$C1149),"")</f>
        <v/>
      </c>
      <c r="L1149" s="53" t="str">
        <f aca="false">IF(AND(ISNUMBER($G1149),$G1149&gt;=21),STDEV(INDEX($H$1089:$H1149,62-20):$H1149)*SQRT(245),"")</f>
        <v/>
      </c>
      <c r="M1149" s="52" t="str">
        <f aca="false">IF(AND(ISNUMBER($G1149),$G1149&gt;=60),MAX(INDEX($D$949:$D1149,202-60):$D1149),"")</f>
        <v/>
      </c>
      <c r="N1149" s="52" t="str">
        <f aca="false">IF(AND(ISNUMBER($G1149),$G1149&gt;=60),MIN(INDEX($E$949:$E1149,202-60):$E1149),"")</f>
        <v/>
      </c>
      <c r="O1149" s="53" t="str">
        <f aca="false">IF(OR(NOT(ISNUMBER($C1149)),NOT(ISNUMBER($M1149)),$M1149=0),"",$C1149/$M1149-1)</f>
        <v/>
      </c>
      <c r="P1149" s="54"/>
      <c r="Q1149" s="53" t="str">
        <f aca="false">IF(NOT(ISNUMBER($P1149)),"",IFERROR(PERCENTRANK($P$5:$P$1204,$P1149),""))</f>
        <v/>
      </c>
    </row>
    <row r="1150" customFormat="false" ht="15" hidden="false" customHeight="false" outlineLevel="0" collapsed="false">
      <c r="A1150" s="55"/>
      <c r="B1150" s="56"/>
      <c r="C1150" s="57"/>
      <c r="D1150" s="56"/>
      <c r="E1150" s="56"/>
      <c r="F1150" s="56"/>
      <c r="G1150" s="50" t="str">
        <f aca="false">IF($A1150="","",IF(ISNUMBER($G1149),$G1149+1,1))</f>
        <v/>
      </c>
      <c r="H1150" s="51" t="str">
        <f aca="false">IF(OR(NOT(ISNUMBER($G1150)),$G1150&lt;2,NOT(ISNUMBER($C1149)),$C1149=0),"",$C1150/$C1149-1)</f>
        <v/>
      </c>
      <c r="I1150" s="52" t="str">
        <f aca="false">IF(AND(ISNUMBER($G1150),$G1150&gt;=MA_SHORT),AVERAGE(INDEX($C$750:$C1150,402-MA_SHORT):$C1150),"")</f>
        <v/>
      </c>
      <c r="J1150" s="52" t="str">
        <f aca="false">IF(AND(ISNUMBER($G1150),$G1150&gt;=MA_MED),AVERAGE(INDEX($C$750:$C1150,402-MA_MED):$C1150),"")</f>
        <v/>
      </c>
      <c r="K1150" s="52" t="str">
        <f aca="false">IF(AND(ISNUMBER($G1150),$G1150&gt;=MA_LONG2),AVERAGE(INDEX($C$750:$C1150,402-MA_LONG2):$C1150),"")</f>
        <v/>
      </c>
      <c r="L1150" s="53" t="str">
        <f aca="false">IF(AND(ISNUMBER($G1150),$G1150&gt;=21),STDEV(INDEX($H$1090:$H1150,62-20):$H1150)*SQRT(245),"")</f>
        <v/>
      </c>
      <c r="M1150" s="52" t="str">
        <f aca="false">IF(AND(ISNUMBER($G1150),$G1150&gt;=60),MAX(INDEX($D$950:$D1150,202-60):$D1150),"")</f>
        <v/>
      </c>
      <c r="N1150" s="52" t="str">
        <f aca="false">IF(AND(ISNUMBER($G1150),$G1150&gt;=60),MIN(INDEX($E$950:$E1150,202-60):$E1150),"")</f>
        <v/>
      </c>
      <c r="O1150" s="53" t="str">
        <f aca="false">IF(OR(NOT(ISNUMBER($C1150)),NOT(ISNUMBER($M1150)),$M1150=0),"",$C1150/$M1150-1)</f>
        <v/>
      </c>
      <c r="P1150" s="54"/>
      <c r="Q1150" s="53" t="str">
        <f aca="false">IF(NOT(ISNUMBER($P1150)),"",IFERROR(PERCENTRANK($P$5:$P$1204,$P1150),""))</f>
        <v/>
      </c>
    </row>
    <row r="1151" customFormat="false" ht="15" hidden="false" customHeight="false" outlineLevel="0" collapsed="false">
      <c r="A1151" s="55"/>
      <c r="B1151" s="56"/>
      <c r="C1151" s="57"/>
      <c r="D1151" s="56"/>
      <c r="E1151" s="56"/>
      <c r="F1151" s="56"/>
      <c r="G1151" s="50" t="str">
        <f aca="false">IF($A1151="","",IF(ISNUMBER($G1150),$G1150+1,1))</f>
        <v/>
      </c>
      <c r="H1151" s="51" t="str">
        <f aca="false">IF(OR(NOT(ISNUMBER($G1151)),$G1151&lt;2,NOT(ISNUMBER($C1150)),$C1150=0),"",$C1151/$C1150-1)</f>
        <v/>
      </c>
      <c r="I1151" s="52" t="str">
        <f aca="false">IF(AND(ISNUMBER($G1151),$G1151&gt;=MA_SHORT),AVERAGE(INDEX($C$751:$C1151,402-MA_SHORT):$C1151),"")</f>
        <v/>
      </c>
      <c r="J1151" s="52" t="str">
        <f aca="false">IF(AND(ISNUMBER($G1151),$G1151&gt;=MA_MED),AVERAGE(INDEX($C$751:$C1151,402-MA_MED):$C1151),"")</f>
        <v/>
      </c>
      <c r="K1151" s="52" t="str">
        <f aca="false">IF(AND(ISNUMBER($G1151),$G1151&gt;=MA_LONG2),AVERAGE(INDEX($C$751:$C1151,402-MA_LONG2):$C1151),"")</f>
        <v/>
      </c>
      <c r="L1151" s="53" t="str">
        <f aca="false">IF(AND(ISNUMBER($G1151),$G1151&gt;=21),STDEV(INDEX($H$1091:$H1151,62-20):$H1151)*SQRT(245),"")</f>
        <v/>
      </c>
      <c r="M1151" s="52" t="str">
        <f aca="false">IF(AND(ISNUMBER($G1151),$G1151&gt;=60),MAX(INDEX($D$951:$D1151,202-60):$D1151),"")</f>
        <v/>
      </c>
      <c r="N1151" s="52" t="str">
        <f aca="false">IF(AND(ISNUMBER($G1151),$G1151&gt;=60),MIN(INDEX($E$951:$E1151,202-60):$E1151),"")</f>
        <v/>
      </c>
      <c r="O1151" s="53" t="str">
        <f aca="false">IF(OR(NOT(ISNUMBER($C1151)),NOT(ISNUMBER($M1151)),$M1151=0),"",$C1151/$M1151-1)</f>
        <v/>
      </c>
      <c r="P1151" s="54"/>
      <c r="Q1151" s="53" t="str">
        <f aca="false">IF(NOT(ISNUMBER($P1151)),"",IFERROR(PERCENTRANK($P$5:$P$1204,$P1151),""))</f>
        <v/>
      </c>
    </row>
    <row r="1152" customFormat="false" ht="15" hidden="false" customHeight="false" outlineLevel="0" collapsed="false">
      <c r="A1152" s="55"/>
      <c r="B1152" s="56"/>
      <c r="C1152" s="57"/>
      <c r="D1152" s="56"/>
      <c r="E1152" s="56"/>
      <c r="F1152" s="56"/>
      <c r="G1152" s="50" t="str">
        <f aca="false">IF($A1152="","",IF(ISNUMBER($G1151),$G1151+1,1))</f>
        <v/>
      </c>
      <c r="H1152" s="51" t="str">
        <f aca="false">IF(OR(NOT(ISNUMBER($G1152)),$G1152&lt;2,NOT(ISNUMBER($C1151)),$C1151=0),"",$C1152/$C1151-1)</f>
        <v/>
      </c>
      <c r="I1152" s="52" t="str">
        <f aca="false">IF(AND(ISNUMBER($G1152),$G1152&gt;=MA_SHORT),AVERAGE(INDEX($C$752:$C1152,402-MA_SHORT):$C1152),"")</f>
        <v/>
      </c>
      <c r="J1152" s="52" t="str">
        <f aca="false">IF(AND(ISNUMBER($G1152),$G1152&gt;=MA_MED),AVERAGE(INDEX($C$752:$C1152,402-MA_MED):$C1152),"")</f>
        <v/>
      </c>
      <c r="K1152" s="52" t="str">
        <f aca="false">IF(AND(ISNUMBER($G1152),$G1152&gt;=MA_LONG2),AVERAGE(INDEX($C$752:$C1152,402-MA_LONG2):$C1152),"")</f>
        <v/>
      </c>
      <c r="L1152" s="53" t="str">
        <f aca="false">IF(AND(ISNUMBER($G1152),$G1152&gt;=21),STDEV(INDEX($H$1092:$H1152,62-20):$H1152)*SQRT(245),"")</f>
        <v/>
      </c>
      <c r="M1152" s="52" t="str">
        <f aca="false">IF(AND(ISNUMBER($G1152),$G1152&gt;=60),MAX(INDEX($D$952:$D1152,202-60):$D1152),"")</f>
        <v/>
      </c>
      <c r="N1152" s="52" t="str">
        <f aca="false">IF(AND(ISNUMBER($G1152),$G1152&gt;=60),MIN(INDEX($E$952:$E1152,202-60):$E1152),"")</f>
        <v/>
      </c>
      <c r="O1152" s="53" t="str">
        <f aca="false">IF(OR(NOT(ISNUMBER($C1152)),NOT(ISNUMBER($M1152)),$M1152=0),"",$C1152/$M1152-1)</f>
        <v/>
      </c>
      <c r="P1152" s="54"/>
      <c r="Q1152" s="53" t="str">
        <f aca="false">IF(NOT(ISNUMBER($P1152)),"",IFERROR(PERCENTRANK($P$5:$P$1204,$P1152),""))</f>
        <v/>
      </c>
    </row>
    <row r="1153" customFormat="false" ht="15" hidden="false" customHeight="false" outlineLevel="0" collapsed="false">
      <c r="A1153" s="55"/>
      <c r="B1153" s="56"/>
      <c r="C1153" s="57"/>
      <c r="D1153" s="56"/>
      <c r="E1153" s="56"/>
      <c r="F1153" s="56"/>
      <c r="G1153" s="50" t="str">
        <f aca="false">IF($A1153="","",IF(ISNUMBER($G1152),$G1152+1,1))</f>
        <v/>
      </c>
      <c r="H1153" s="51" t="str">
        <f aca="false">IF(OR(NOT(ISNUMBER($G1153)),$G1153&lt;2,NOT(ISNUMBER($C1152)),$C1152=0),"",$C1153/$C1152-1)</f>
        <v/>
      </c>
      <c r="I1153" s="52" t="str">
        <f aca="false">IF(AND(ISNUMBER($G1153),$G1153&gt;=MA_SHORT),AVERAGE(INDEX($C$753:$C1153,402-MA_SHORT):$C1153),"")</f>
        <v/>
      </c>
      <c r="J1153" s="52" t="str">
        <f aca="false">IF(AND(ISNUMBER($G1153),$G1153&gt;=MA_MED),AVERAGE(INDEX($C$753:$C1153,402-MA_MED):$C1153),"")</f>
        <v/>
      </c>
      <c r="K1153" s="52" t="str">
        <f aca="false">IF(AND(ISNUMBER($G1153),$G1153&gt;=MA_LONG2),AVERAGE(INDEX($C$753:$C1153,402-MA_LONG2):$C1153),"")</f>
        <v/>
      </c>
      <c r="L1153" s="53" t="str">
        <f aca="false">IF(AND(ISNUMBER($G1153),$G1153&gt;=21),STDEV(INDEX($H$1093:$H1153,62-20):$H1153)*SQRT(245),"")</f>
        <v/>
      </c>
      <c r="M1153" s="52" t="str">
        <f aca="false">IF(AND(ISNUMBER($G1153),$G1153&gt;=60),MAX(INDEX($D$953:$D1153,202-60):$D1153),"")</f>
        <v/>
      </c>
      <c r="N1153" s="52" t="str">
        <f aca="false">IF(AND(ISNUMBER($G1153),$G1153&gt;=60),MIN(INDEX($E$953:$E1153,202-60):$E1153),"")</f>
        <v/>
      </c>
      <c r="O1153" s="53" t="str">
        <f aca="false">IF(OR(NOT(ISNUMBER($C1153)),NOT(ISNUMBER($M1153)),$M1153=0),"",$C1153/$M1153-1)</f>
        <v/>
      </c>
      <c r="P1153" s="54"/>
      <c r="Q1153" s="53" t="str">
        <f aca="false">IF(NOT(ISNUMBER($P1153)),"",IFERROR(PERCENTRANK($P$5:$P$1204,$P1153),""))</f>
        <v/>
      </c>
    </row>
    <row r="1154" customFormat="false" ht="15" hidden="false" customHeight="false" outlineLevel="0" collapsed="false">
      <c r="A1154" s="55"/>
      <c r="B1154" s="56"/>
      <c r="C1154" s="57"/>
      <c r="D1154" s="56"/>
      <c r="E1154" s="56"/>
      <c r="F1154" s="56"/>
      <c r="G1154" s="50" t="str">
        <f aca="false">IF($A1154="","",IF(ISNUMBER($G1153),$G1153+1,1))</f>
        <v/>
      </c>
      <c r="H1154" s="51" t="str">
        <f aca="false">IF(OR(NOT(ISNUMBER($G1154)),$G1154&lt;2,NOT(ISNUMBER($C1153)),$C1153=0),"",$C1154/$C1153-1)</f>
        <v/>
      </c>
      <c r="I1154" s="52" t="str">
        <f aca="false">IF(AND(ISNUMBER($G1154),$G1154&gt;=MA_SHORT),AVERAGE(INDEX($C$754:$C1154,402-MA_SHORT):$C1154),"")</f>
        <v/>
      </c>
      <c r="J1154" s="52" t="str">
        <f aca="false">IF(AND(ISNUMBER($G1154),$G1154&gt;=MA_MED),AVERAGE(INDEX($C$754:$C1154,402-MA_MED):$C1154),"")</f>
        <v/>
      </c>
      <c r="K1154" s="52" t="str">
        <f aca="false">IF(AND(ISNUMBER($G1154),$G1154&gt;=MA_LONG2),AVERAGE(INDEX($C$754:$C1154,402-MA_LONG2):$C1154),"")</f>
        <v/>
      </c>
      <c r="L1154" s="53" t="str">
        <f aca="false">IF(AND(ISNUMBER($G1154),$G1154&gt;=21),STDEV(INDEX($H$1094:$H1154,62-20):$H1154)*SQRT(245),"")</f>
        <v/>
      </c>
      <c r="M1154" s="52" t="str">
        <f aca="false">IF(AND(ISNUMBER($G1154),$G1154&gt;=60),MAX(INDEX($D$954:$D1154,202-60):$D1154),"")</f>
        <v/>
      </c>
      <c r="N1154" s="52" t="str">
        <f aca="false">IF(AND(ISNUMBER($G1154),$G1154&gt;=60),MIN(INDEX($E$954:$E1154,202-60):$E1154),"")</f>
        <v/>
      </c>
      <c r="O1154" s="53" t="str">
        <f aca="false">IF(OR(NOT(ISNUMBER($C1154)),NOT(ISNUMBER($M1154)),$M1154=0),"",$C1154/$M1154-1)</f>
        <v/>
      </c>
      <c r="P1154" s="54"/>
      <c r="Q1154" s="53" t="str">
        <f aca="false">IF(NOT(ISNUMBER($P1154)),"",IFERROR(PERCENTRANK($P$5:$P$1204,$P1154),""))</f>
        <v/>
      </c>
    </row>
    <row r="1155" customFormat="false" ht="15" hidden="false" customHeight="false" outlineLevel="0" collapsed="false">
      <c r="A1155" s="55"/>
      <c r="B1155" s="56"/>
      <c r="C1155" s="57"/>
      <c r="D1155" s="56"/>
      <c r="E1155" s="56"/>
      <c r="F1155" s="56"/>
      <c r="G1155" s="50" t="str">
        <f aca="false">IF($A1155="","",IF(ISNUMBER($G1154),$G1154+1,1))</f>
        <v/>
      </c>
      <c r="H1155" s="51" t="str">
        <f aca="false">IF(OR(NOT(ISNUMBER($G1155)),$G1155&lt;2,NOT(ISNUMBER($C1154)),$C1154=0),"",$C1155/$C1154-1)</f>
        <v/>
      </c>
      <c r="I1155" s="52" t="str">
        <f aca="false">IF(AND(ISNUMBER($G1155),$G1155&gt;=MA_SHORT),AVERAGE(INDEX($C$755:$C1155,402-MA_SHORT):$C1155),"")</f>
        <v/>
      </c>
      <c r="J1155" s="52" t="str">
        <f aca="false">IF(AND(ISNUMBER($G1155),$G1155&gt;=MA_MED),AVERAGE(INDEX($C$755:$C1155,402-MA_MED):$C1155),"")</f>
        <v/>
      </c>
      <c r="K1155" s="52" t="str">
        <f aca="false">IF(AND(ISNUMBER($G1155),$G1155&gt;=MA_LONG2),AVERAGE(INDEX($C$755:$C1155,402-MA_LONG2):$C1155),"")</f>
        <v/>
      </c>
      <c r="L1155" s="53" t="str">
        <f aca="false">IF(AND(ISNUMBER($G1155),$G1155&gt;=21),STDEV(INDEX($H$1095:$H1155,62-20):$H1155)*SQRT(245),"")</f>
        <v/>
      </c>
      <c r="M1155" s="52" t="str">
        <f aca="false">IF(AND(ISNUMBER($G1155),$G1155&gt;=60),MAX(INDEX($D$955:$D1155,202-60):$D1155),"")</f>
        <v/>
      </c>
      <c r="N1155" s="52" t="str">
        <f aca="false">IF(AND(ISNUMBER($G1155),$G1155&gt;=60),MIN(INDEX($E$955:$E1155,202-60):$E1155),"")</f>
        <v/>
      </c>
      <c r="O1155" s="53" t="str">
        <f aca="false">IF(OR(NOT(ISNUMBER($C1155)),NOT(ISNUMBER($M1155)),$M1155=0),"",$C1155/$M1155-1)</f>
        <v/>
      </c>
      <c r="P1155" s="54"/>
      <c r="Q1155" s="53" t="str">
        <f aca="false">IF(NOT(ISNUMBER($P1155)),"",IFERROR(PERCENTRANK($P$5:$P$1204,$P1155),""))</f>
        <v/>
      </c>
    </row>
    <row r="1156" customFormat="false" ht="15" hidden="false" customHeight="false" outlineLevel="0" collapsed="false">
      <c r="A1156" s="55"/>
      <c r="B1156" s="56"/>
      <c r="C1156" s="57"/>
      <c r="D1156" s="56"/>
      <c r="E1156" s="56"/>
      <c r="F1156" s="56"/>
      <c r="G1156" s="50" t="str">
        <f aca="false">IF($A1156="","",IF(ISNUMBER($G1155),$G1155+1,1))</f>
        <v/>
      </c>
      <c r="H1156" s="51" t="str">
        <f aca="false">IF(OR(NOT(ISNUMBER($G1156)),$G1156&lt;2,NOT(ISNUMBER($C1155)),$C1155=0),"",$C1156/$C1155-1)</f>
        <v/>
      </c>
      <c r="I1156" s="52" t="str">
        <f aca="false">IF(AND(ISNUMBER($G1156),$G1156&gt;=MA_SHORT),AVERAGE(INDEX($C$756:$C1156,402-MA_SHORT):$C1156),"")</f>
        <v/>
      </c>
      <c r="J1156" s="52" t="str">
        <f aca="false">IF(AND(ISNUMBER($G1156),$G1156&gt;=MA_MED),AVERAGE(INDEX($C$756:$C1156,402-MA_MED):$C1156),"")</f>
        <v/>
      </c>
      <c r="K1156" s="52" t="str">
        <f aca="false">IF(AND(ISNUMBER($G1156),$G1156&gt;=MA_LONG2),AVERAGE(INDEX($C$756:$C1156,402-MA_LONG2):$C1156),"")</f>
        <v/>
      </c>
      <c r="L1156" s="53" t="str">
        <f aca="false">IF(AND(ISNUMBER($G1156),$G1156&gt;=21),STDEV(INDEX($H$1096:$H1156,62-20):$H1156)*SQRT(245),"")</f>
        <v/>
      </c>
      <c r="M1156" s="52" t="str">
        <f aca="false">IF(AND(ISNUMBER($G1156),$G1156&gt;=60),MAX(INDEX($D$956:$D1156,202-60):$D1156),"")</f>
        <v/>
      </c>
      <c r="N1156" s="52" t="str">
        <f aca="false">IF(AND(ISNUMBER($G1156),$G1156&gt;=60),MIN(INDEX($E$956:$E1156,202-60):$E1156),"")</f>
        <v/>
      </c>
      <c r="O1156" s="53" t="str">
        <f aca="false">IF(OR(NOT(ISNUMBER($C1156)),NOT(ISNUMBER($M1156)),$M1156=0),"",$C1156/$M1156-1)</f>
        <v/>
      </c>
      <c r="P1156" s="54"/>
      <c r="Q1156" s="53" t="str">
        <f aca="false">IF(NOT(ISNUMBER($P1156)),"",IFERROR(PERCENTRANK($P$5:$P$1204,$P1156),""))</f>
        <v/>
      </c>
    </row>
    <row r="1157" customFormat="false" ht="15" hidden="false" customHeight="false" outlineLevel="0" collapsed="false">
      <c r="A1157" s="55"/>
      <c r="B1157" s="56"/>
      <c r="C1157" s="57"/>
      <c r="D1157" s="56"/>
      <c r="E1157" s="56"/>
      <c r="F1157" s="56"/>
      <c r="G1157" s="50" t="str">
        <f aca="false">IF($A1157="","",IF(ISNUMBER($G1156),$G1156+1,1))</f>
        <v/>
      </c>
      <c r="H1157" s="51" t="str">
        <f aca="false">IF(OR(NOT(ISNUMBER($G1157)),$G1157&lt;2,NOT(ISNUMBER($C1156)),$C1156=0),"",$C1157/$C1156-1)</f>
        <v/>
      </c>
      <c r="I1157" s="52" t="str">
        <f aca="false">IF(AND(ISNUMBER($G1157),$G1157&gt;=MA_SHORT),AVERAGE(INDEX($C$757:$C1157,402-MA_SHORT):$C1157),"")</f>
        <v/>
      </c>
      <c r="J1157" s="52" t="str">
        <f aca="false">IF(AND(ISNUMBER($G1157),$G1157&gt;=MA_MED),AVERAGE(INDEX($C$757:$C1157,402-MA_MED):$C1157),"")</f>
        <v/>
      </c>
      <c r="K1157" s="52" t="str">
        <f aca="false">IF(AND(ISNUMBER($G1157),$G1157&gt;=MA_LONG2),AVERAGE(INDEX($C$757:$C1157,402-MA_LONG2):$C1157),"")</f>
        <v/>
      </c>
      <c r="L1157" s="53" t="str">
        <f aca="false">IF(AND(ISNUMBER($G1157),$G1157&gt;=21),STDEV(INDEX($H$1097:$H1157,62-20):$H1157)*SQRT(245),"")</f>
        <v/>
      </c>
      <c r="M1157" s="52" t="str">
        <f aca="false">IF(AND(ISNUMBER($G1157),$G1157&gt;=60),MAX(INDEX($D$957:$D1157,202-60):$D1157),"")</f>
        <v/>
      </c>
      <c r="N1157" s="52" t="str">
        <f aca="false">IF(AND(ISNUMBER($G1157),$G1157&gt;=60),MIN(INDEX($E$957:$E1157,202-60):$E1157),"")</f>
        <v/>
      </c>
      <c r="O1157" s="53" t="str">
        <f aca="false">IF(OR(NOT(ISNUMBER($C1157)),NOT(ISNUMBER($M1157)),$M1157=0),"",$C1157/$M1157-1)</f>
        <v/>
      </c>
      <c r="P1157" s="54"/>
      <c r="Q1157" s="53" t="str">
        <f aca="false">IF(NOT(ISNUMBER($P1157)),"",IFERROR(PERCENTRANK($P$5:$P$1204,$P1157),""))</f>
        <v/>
      </c>
    </row>
    <row r="1158" customFormat="false" ht="15" hidden="false" customHeight="false" outlineLevel="0" collapsed="false">
      <c r="A1158" s="55"/>
      <c r="B1158" s="56"/>
      <c r="C1158" s="57"/>
      <c r="D1158" s="56"/>
      <c r="E1158" s="56"/>
      <c r="F1158" s="56"/>
      <c r="G1158" s="50" t="str">
        <f aca="false">IF($A1158="","",IF(ISNUMBER($G1157),$G1157+1,1))</f>
        <v/>
      </c>
      <c r="H1158" s="51" t="str">
        <f aca="false">IF(OR(NOT(ISNUMBER($G1158)),$G1158&lt;2,NOT(ISNUMBER($C1157)),$C1157=0),"",$C1158/$C1157-1)</f>
        <v/>
      </c>
      <c r="I1158" s="52" t="str">
        <f aca="false">IF(AND(ISNUMBER($G1158),$G1158&gt;=MA_SHORT),AVERAGE(INDEX($C$758:$C1158,402-MA_SHORT):$C1158),"")</f>
        <v/>
      </c>
      <c r="J1158" s="52" t="str">
        <f aca="false">IF(AND(ISNUMBER($G1158),$G1158&gt;=MA_MED),AVERAGE(INDEX($C$758:$C1158,402-MA_MED):$C1158),"")</f>
        <v/>
      </c>
      <c r="K1158" s="52" t="str">
        <f aca="false">IF(AND(ISNUMBER($G1158),$G1158&gt;=MA_LONG2),AVERAGE(INDEX($C$758:$C1158,402-MA_LONG2):$C1158),"")</f>
        <v/>
      </c>
      <c r="L1158" s="53" t="str">
        <f aca="false">IF(AND(ISNUMBER($G1158),$G1158&gt;=21),STDEV(INDEX($H$1098:$H1158,62-20):$H1158)*SQRT(245),"")</f>
        <v/>
      </c>
      <c r="M1158" s="52" t="str">
        <f aca="false">IF(AND(ISNUMBER($G1158),$G1158&gt;=60),MAX(INDEX($D$958:$D1158,202-60):$D1158),"")</f>
        <v/>
      </c>
      <c r="N1158" s="52" t="str">
        <f aca="false">IF(AND(ISNUMBER($G1158),$G1158&gt;=60),MIN(INDEX($E$958:$E1158,202-60):$E1158),"")</f>
        <v/>
      </c>
      <c r="O1158" s="53" t="str">
        <f aca="false">IF(OR(NOT(ISNUMBER($C1158)),NOT(ISNUMBER($M1158)),$M1158=0),"",$C1158/$M1158-1)</f>
        <v/>
      </c>
      <c r="P1158" s="54"/>
      <c r="Q1158" s="53" t="str">
        <f aca="false">IF(NOT(ISNUMBER($P1158)),"",IFERROR(PERCENTRANK($P$5:$P$1204,$P1158),""))</f>
        <v/>
      </c>
    </row>
    <row r="1159" customFormat="false" ht="15" hidden="false" customHeight="false" outlineLevel="0" collapsed="false">
      <c r="A1159" s="55"/>
      <c r="B1159" s="56"/>
      <c r="C1159" s="57"/>
      <c r="D1159" s="56"/>
      <c r="E1159" s="56"/>
      <c r="F1159" s="56"/>
      <c r="G1159" s="50" t="str">
        <f aca="false">IF($A1159="","",IF(ISNUMBER($G1158),$G1158+1,1))</f>
        <v/>
      </c>
      <c r="H1159" s="51" t="str">
        <f aca="false">IF(OR(NOT(ISNUMBER($G1159)),$G1159&lt;2,NOT(ISNUMBER($C1158)),$C1158=0),"",$C1159/$C1158-1)</f>
        <v/>
      </c>
      <c r="I1159" s="52" t="str">
        <f aca="false">IF(AND(ISNUMBER($G1159),$G1159&gt;=MA_SHORT),AVERAGE(INDEX($C$759:$C1159,402-MA_SHORT):$C1159),"")</f>
        <v/>
      </c>
      <c r="J1159" s="52" t="str">
        <f aca="false">IF(AND(ISNUMBER($G1159),$G1159&gt;=MA_MED),AVERAGE(INDEX($C$759:$C1159,402-MA_MED):$C1159),"")</f>
        <v/>
      </c>
      <c r="K1159" s="52" t="str">
        <f aca="false">IF(AND(ISNUMBER($G1159),$G1159&gt;=MA_LONG2),AVERAGE(INDEX($C$759:$C1159,402-MA_LONG2):$C1159),"")</f>
        <v/>
      </c>
      <c r="L1159" s="53" t="str">
        <f aca="false">IF(AND(ISNUMBER($G1159),$G1159&gt;=21),STDEV(INDEX($H$1099:$H1159,62-20):$H1159)*SQRT(245),"")</f>
        <v/>
      </c>
      <c r="M1159" s="52" t="str">
        <f aca="false">IF(AND(ISNUMBER($G1159),$G1159&gt;=60),MAX(INDEX($D$959:$D1159,202-60):$D1159),"")</f>
        <v/>
      </c>
      <c r="N1159" s="52" t="str">
        <f aca="false">IF(AND(ISNUMBER($G1159),$G1159&gt;=60),MIN(INDEX($E$959:$E1159,202-60):$E1159),"")</f>
        <v/>
      </c>
      <c r="O1159" s="53" t="str">
        <f aca="false">IF(OR(NOT(ISNUMBER($C1159)),NOT(ISNUMBER($M1159)),$M1159=0),"",$C1159/$M1159-1)</f>
        <v/>
      </c>
      <c r="P1159" s="54"/>
      <c r="Q1159" s="53" t="str">
        <f aca="false">IF(NOT(ISNUMBER($P1159)),"",IFERROR(PERCENTRANK($P$5:$P$1204,$P1159),""))</f>
        <v/>
      </c>
    </row>
    <row r="1160" customFormat="false" ht="15" hidden="false" customHeight="false" outlineLevel="0" collapsed="false">
      <c r="A1160" s="55"/>
      <c r="B1160" s="56"/>
      <c r="C1160" s="57"/>
      <c r="D1160" s="56"/>
      <c r="E1160" s="56"/>
      <c r="F1160" s="56"/>
      <c r="G1160" s="50" t="str">
        <f aca="false">IF($A1160="","",IF(ISNUMBER($G1159),$G1159+1,1))</f>
        <v/>
      </c>
      <c r="H1160" s="51" t="str">
        <f aca="false">IF(OR(NOT(ISNUMBER($G1160)),$G1160&lt;2,NOT(ISNUMBER($C1159)),$C1159=0),"",$C1160/$C1159-1)</f>
        <v/>
      </c>
      <c r="I1160" s="52" t="str">
        <f aca="false">IF(AND(ISNUMBER($G1160),$G1160&gt;=MA_SHORT),AVERAGE(INDEX($C$760:$C1160,402-MA_SHORT):$C1160),"")</f>
        <v/>
      </c>
      <c r="J1160" s="52" t="str">
        <f aca="false">IF(AND(ISNUMBER($G1160),$G1160&gt;=MA_MED),AVERAGE(INDEX($C$760:$C1160,402-MA_MED):$C1160),"")</f>
        <v/>
      </c>
      <c r="K1160" s="52" t="str">
        <f aca="false">IF(AND(ISNUMBER($G1160),$G1160&gt;=MA_LONG2),AVERAGE(INDEX($C$760:$C1160,402-MA_LONG2):$C1160),"")</f>
        <v/>
      </c>
      <c r="L1160" s="53" t="str">
        <f aca="false">IF(AND(ISNUMBER($G1160),$G1160&gt;=21),STDEV(INDEX($H$1100:$H1160,62-20):$H1160)*SQRT(245),"")</f>
        <v/>
      </c>
      <c r="M1160" s="52" t="str">
        <f aca="false">IF(AND(ISNUMBER($G1160),$G1160&gt;=60),MAX(INDEX($D$960:$D1160,202-60):$D1160),"")</f>
        <v/>
      </c>
      <c r="N1160" s="52" t="str">
        <f aca="false">IF(AND(ISNUMBER($G1160),$G1160&gt;=60),MIN(INDEX($E$960:$E1160,202-60):$E1160),"")</f>
        <v/>
      </c>
      <c r="O1160" s="53" t="str">
        <f aca="false">IF(OR(NOT(ISNUMBER($C1160)),NOT(ISNUMBER($M1160)),$M1160=0),"",$C1160/$M1160-1)</f>
        <v/>
      </c>
      <c r="P1160" s="54"/>
      <c r="Q1160" s="53" t="str">
        <f aca="false">IF(NOT(ISNUMBER($P1160)),"",IFERROR(PERCENTRANK($P$5:$P$1204,$P1160),""))</f>
        <v/>
      </c>
    </row>
    <row r="1161" customFormat="false" ht="15" hidden="false" customHeight="false" outlineLevel="0" collapsed="false">
      <c r="A1161" s="55"/>
      <c r="B1161" s="56"/>
      <c r="C1161" s="57"/>
      <c r="D1161" s="56"/>
      <c r="E1161" s="56"/>
      <c r="F1161" s="56"/>
      <c r="G1161" s="50" t="str">
        <f aca="false">IF($A1161="","",IF(ISNUMBER($G1160),$G1160+1,1))</f>
        <v/>
      </c>
      <c r="H1161" s="51" t="str">
        <f aca="false">IF(OR(NOT(ISNUMBER($G1161)),$G1161&lt;2,NOT(ISNUMBER($C1160)),$C1160=0),"",$C1161/$C1160-1)</f>
        <v/>
      </c>
      <c r="I1161" s="52" t="str">
        <f aca="false">IF(AND(ISNUMBER($G1161),$G1161&gt;=MA_SHORT),AVERAGE(INDEX($C$761:$C1161,402-MA_SHORT):$C1161),"")</f>
        <v/>
      </c>
      <c r="J1161" s="52" t="str">
        <f aca="false">IF(AND(ISNUMBER($G1161),$G1161&gt;=MA_MED),AVERAGE(INDEX($C$761:$C1161,402-MA_MED):$C1161),"")</f>
        <v/>
      </c>
      <c r="K1161" s="52" t="str">
        <f aca="false">IF(AND(ISNUMBER($G1161),$G1161&gt;=MA_LONG2),AVERAGE(INDEX($C$761:$C1161,402-MA_LONG2):$C1161),"")</f>
        <v/>
      </c>
      <c r="L1161" s="53" t="str">
        <f aca="false">IF(AND(ISNUMBER($G1161),$G1161&gt;=21),STDEV(INDEX($H$1101:$H1161,62-20):$H1161)*SQRT(245),"")</f>
        <v/>
      </c>
      <c r="M1161" s="52" t="str">
        <f aca="false">IF(AND(ISNUMBER($G1161),$G1161&gt;=60),MAX(INDEX($D$961:$D1161,202-60):$D1161),"")</f>
        <v/>
      </c>
      <c r="N1161" s="52" t="str">
        <f aca="false">IF(AND(ISNUMBER($G1161),$G1161&gt;=60),MIN(INDEX($E$961:$E1161,202-60):$E1161),"")</f>
        <v/>
      </c>
      <c r="O1161" s="53" t="str">
        <f aca="false">IF(OR(NOT(ISNUMBER($C1161)),NOT(ISNUMBER($M1161)),$M1161=0),"",$C1161/$M1161-1)</f>
        <v/>
      </c>
      <c r="P1161" s="54"/>
      <c r="Q1161" s="53" t="str">
        <f aca="false">IF(NOT(ISNUMBER($P1161)),"",IFERROR(PERCENTRANK($P$5:$P$1204,$P1161),""))</f>
        <v/>
      </c>
    </row>
    <row r="1162" customFormat="false" ht="15" hidden="false" customHeight="false" outlineLevel="0" collapsed="false">
      <c r="A1162" s="55"/>
      <c r="B1162" s="56"/>
      <c r="C1162" s="57"/>
      <c r="D1162" s="56"/>
      <c r="E1162" s="56"/>
      <c r="F1162" s="56"/>
      <c r="G1162" s="50" t="str">
        <f aca="false">IF($A1162="","",IF(ISNUMBER($G1161),$G1161+1,1))</f>
        <v/>
      </c>
      <c r="H1162" s="51" t="str">
        <f aca="false">IF(OR(NOT(ISNUMBER($G1162)),$G1162&lt;2,NOT(ISNUMBER($C1161)),$C1161=0),"",$C1162/$C1161-1)</f>
        <v/>
      </c>
      <c r="I1162" s="52" t="str">
        <f aca="false">IF(AND(ISNUMBER($G1162),$G1162&gt;=MA_SHORT),AVERAGE(INDEX($C$762:$C1162,402-MA_SHORT):$C1162),"")</f>
        <v/>
      </c>
      <c r="J1162" s="52" t="str">
        <f aca="false">IF(AND(ISNUMBER($G1162),$G1162&gt;=MA_MED),AVERAGE(INDEX($C$762:$C1162,402-MA_MED):$C1162),"")</f>
        <v/>
      </c>
      <c r="K1162" s="52" t="str">
        <f aca="false">IF(AND(ISNUMBER($G1162),$G1162&gt;=MA_LONG2),AVERAGE(INDEX($C$762:$C1162,402-MA_LONG2):$C1162),"")</f>
        <v/>
      </c>
      <c r="L1162" s="53" t="str">
        <f aca="false">IF(AND(ISNUMBER($G1162),$G1162&gt;=21),STDEV(INDEX($H$1102:$H1162,62-20):$H1162)*SQRT(245),"")</f>
        <v/>
      </c>
      <c r="M1162" s="52" t="str">
        <f aca="false">IF(AND(ISNUMBER($G1162),$G1162&gt;=60),MAX(INDEX($D$962:$D1162,202-60):$D1162),"")</f>
        <v/>
      </c>
      <c r="N1162" s="52" t="str">
        <f aca="false">IF(AND(ISNUMBER($G1162),$G1162&gt;=60),MIN(INDEX($E$962:$E1162,202-60):$E1162),"")</f>
        <v/>
      </c>
      <c r="O1162" s="53" t="str">
        <f aca="false">IF(OR(NOT(ISNUMBER($C1162)),NOT(ISNUMBER($M1162)),$M1162=0),"",$C1162/$M1162-1)</f>
        <v/>
      </c>
      <c r="P1162" s="54"/>
      <c r="Q1162" s="53" t="str">
        <f aca="false">IF(NOT(ISNUMBER($P1162)),"",IFERROR(PERCENTRANK($P$5:$P$1204,$P1162),""))</f>
        <v/>
      </c>
    </row>
    <row r="1163" customFormat="false" ht="15" hidden="false" customHeight="false" outlineLevel="0" collapsed="false">
      <c r="A1163" s="55"/>
      <c r="B1163" s="56"/>
      <c r="C1163" s="57"/>
      <c r="D1163" s="56"/>
      <c r="E1163" s="56"/>
      <c r="F1163" s="56"/>
      <c r="G1163" s="50" t="str">
        <f aca="false">IF($A1163="","",IF(ISNUMBER($G1162),$G1162+1,1))</f>
        <v/>
      </c>
      <c r="H1163" s="51" t="str">
        <f aca="false">IF(OR(NOT(ISNUMBER($G1163)),$G1163&lt;2,NOT(ISNUMBER($C1162)),$C1162=0),"",$C1163/$C1162-1)</f>
        <v/>
      </c>
      <c r="I1163" s="52" t="str">
        <f aca="false">IF(AND(ISNUMBER($G1163),$G1163&gt;=MA_SHORT),AVERAGE(INDEX($C$763:$C1163,402-MA_SHORT):$C1163),"")</f>
        <v/>
      </c>
      <c r="J1163" s="52" t="str">
        <f aca="false">IF(AND(ISNUMBER($G1163),$G1163&gt;=MA_MED),AVERAGE(INDEX($C$763:$C1163,402-MA_MED):$C1163),"")</f>
        <v/>
      </c>
      <c r="K1163" s="52" t="str">
        <f aca="false">IF(AND(ISNUMBER($G1163),$G1163&gt;=MA_LONG2),AVERAGE(INDEX($C$763:$C1163,402-MA_LONG2):$C1163),"")</f>
        <v/>
      </c>
      <c r="L1163" s="53" t="str">
        <f aca="false">IF(AND(ISNUMBER($G1163),$G1163&gt;=21),STDEV(INDEX($H$1103:$H1163,62-20):$H1163)*SQRT(245),"")</f>
        <v/>
      </c>
      <c r="M1163" s="52" t="str">
        <f aca="false">IF(AND(ISNUMBER($G1163),$G1163&gt;=60),MAX(INDEX($D$963:$D1163,202-60):$D1163),"")</f>
        <v/>
      </c>
      <c r="N1163" s="52" t="str">
        <f aca="false">IF(AND(ISNUMBER($G1163),$G1163&gt;=60),MIN(INDEX($E$963:$E1163,202-60):$E1163),"")</f>
        <v/>
      </c>
      <c r="O1163" s="53" t="str">
        <f aca="false">IF(OR(NOT(ISNUMBER($C1163)),NOT(ISNUMBER($M1163)),$M1163=0),"",$C1163/$M1163-1)</f>
        <v/>
      </c>
      <c r="P1163" s="54"/>
      <c r="Q1163" s="53" t="str">
        <f aca="false">IF(NOT(ISNUMBER($P1163)),"",IFERROR(PERCENTRANK($P$5:$P$1204,$P1163),""))</f>
        <v/>
      </c>
    </row>
    <row r="1164" customFormat="false" ht="15" hidden="false" customHeight="false" outlineLevel="0" collapsed="false">
      <c r="A1164" s="55"/>
      <c r="B1164" s="56"/>
      <c r="C1164" s="57"/>
      <c r="D1164" s="56"/>
      <c r="E1164" s="56"/>
      <c r="F1164" s="56"/>
      <c r="G1164" s="50" t="str">
        <f aca="false">IF($A1164="","",IF(ISNUMBER($G1163),$G1163+1,1))</f>
        <v/>
      </c>
      <c r="H1164" s="51" t="str">
        <f aca="false">IF(OR(NOT(ISNUMBER($G1164)),$G1164&lt;2,NOT(ISNUMBER($C1163)),$C1163=0),"",$C1164/$C1163-1)</f>
        <v/>
      </c>
      <c r="I1164" s="52" t="str">
        <f aca="false">IF(AND(ISNUMBER($G1164),$G1164&gt;=MA_SHORT),AVERAGE(INDEX($C$764:$C1164,402-MA_SHORT):$C1164),"")</f>
        <v/>
      </c>
      <c r="J1164" s="52" t="str">
        <f aca="false">IF(AND(ISNUMBER($G1164),$G1164&gt;=MA_MED),AVERAGE(INDEX($C$764:$C1164,402-MA_MED):$C1164),"")</f>
        <v/>
      </c>
      <c r="K1164" s="52" t="str">
        <f aca="false">IF(AND(ISNUMBER($G1164),$G1164&gt;=MA_LONG2),AVERAGE(INDEX($C$764:$C1164,402-MA_LONG2):$C1164),"")</f>
        <v/>
      </c>
      <c r="L1164" s="53" t="str">
        <f aca="false">IF(AND(ISNUMBER($G1164),$G1164&gt;=21),STDEV(INDEX($H$1104:$H1164,62-20):$H1164)*SQRT(245),"")</f>
        <v/>
      </c>
      <c r="M1164" s="52" t="str">
        <f aca="false">IF(AND(ISNUMBER($G1164),$G1164&gt;=60),MAX(INDEX($D$964:$D1164,202-60):$D1164),"")</f>
        <v/>
      </c>
      <c r="N1164" s="52" t="str">
        <f aca="false">IF(AND(ISNUMBER($G1164),$G1164&gt;=60),MIN(INDEX($E$964:$E1164,202-60):$E1164),"")</f>
        <v/>
      </c>
      <c r="O1164" s="53" t="str">
        <f aca="false">IF(OR(NOT(ISNUMBER($C1164)),NOT(ISNUMBER($M1164)),$M1164=0),"",$C1164/$M1164-1)</f>
        <v/>
      </c>
      <c r="P1164" s="54"/>
      <c r="Q1164" s="53" t="str">
        <f aca="false">IF(NOT(ISNUMBER($P1164)),"",IFERROR(PERCENTRANK($P$5:$P$1204,$P1164),""))</f>
        <v/>
      </c>
    </row>
    <row r="1165" customFormat="false" ht="15" hidden="false" customHeight="false" outlineLevel="0" collapsed="false">
      <c r="A1165" s="55"/>
      <c r="B1165" s="56"/>
      <c r="C1165" s="57"/>
      <c r="D1165" s="56"/>
      <c r="E1165" s="56"/>
      <c r="F1165" s="56"/>
      <c r="G1165" s="50" t="str">
        <f aca="false">IF($A1165="","",IF(ISNUMBER($G1164),$G1164+1,1))</f>
        <v/>
      </c>
      <c r="H1165" s="51" t="str">
        <f aca="false">IF(OR(NOT(ISNUMBER($G1165)),$G1165&lt;2,NOT(ISNUMBER($C1164)),$C1164=0),"",$C1165/$C1164-1)</f>
        <v/>
      </c>
      <c r="I1165" s="52" t="str">
        <f aca="false">IF(AND(ISNUMBER($G1165),$G1165&gt;=MA_SHORT),AVERAGE(INDEX($C$765:$C1165,402-MA_SHORT):$C1165),"")</f>
        <v/>
      </c>
      <c r="J1165" s="52" t="str">
        <f aca="false">IF(AND(ISNUMBER($G1165),$G1165&gt;=MA_MED),AVERAGE(INDEX($C$765:$C1165,402-MA_MED):$C1165),"")</f>
        <v/>
      </c>
      <c r="K1165" s="52" t="str">
        <f aca="false">IF(AND(ISNUMBER($G1165),$G1165&gt;=MA_LONG2),AVERAGE(INDEX($C$765:$C1165,402-MA_LONG2):$C1165),"")</f>
        <v/>
      </c>
      <c r="L1165" s="53" t="str">
        <f aca="false">IF(AND(ISNUMBER($G1165),$G1165&gt;=21),STDEV(INDEX($H$1105:$H1165,62-20):$H1165)*SQRT(245),"")</f>
        <v/>
      </c>
      <c r="M1165" s="52" t="str">
        <f aca="false">IF(AND(ISNUMBER($G1165),$G1165&gt;=60),MAX(INDEX($D$965:$D1165,202-60):$D1165),"")</f>
        <v/>
      </c>
      <c r="N1165" s="52" t="str">
        <f aca="false">IF(AND(ISNUMBER($G1165),$G1165&gt;=60),MIN(INDEX($E$965:$E1165,202-60):$E1165),"")</f>
        <v/>
      </c>
      <c r="O1165" s="53" t="str">
        <f aca="false">IF(OR(NOT(ISNUMBER($C1165)),NOT(ISNUMBER($M1165)),$M1165=0),"",$C1165/$M1165-1)</f>
        <v/>
      </c>
      <c r="P1165" s="54"/>
      <c r="Q1165" s="53" t="str">
        <f aca="false">IF(NOT(ISNUMBER($P1165)),"",IFERROR(PERCENTRANK($P$5:$P$1204,$P1165),""))</f>
        <v/>
      </c>
    </row>
    <row r="1166" customFormat="false" ht="15" hidden="false" customHeight="false" outlineLevel="0" collapsed="false">
      <c r="A1166" s="55"/>
      <c r="B1166" s="56"/>
      <c r="C1166" s="57"/>
      <c r="D1166" s="56"/>
      <c r="E1166" s="56"/>
      <c r="F1166" s="56"/>
      <c r="G1166" s="50" t="str">
        <f aca="false">IF($A1166="","",IF(ISNUMBER($G1165),$G1165+1,1))</f>
        <v/>
      </c>
      <c r="H1166" s="51" t="str">
        <f aca="false">IF(OR(NOT(ISNUMBER($G1166)),$G1166&lt;2,NOT(ISNUMBER($C1165)),$C1165=0),"",$C1166/$C1165-1)</f>
        <v/>
      </c>
      <c r="I1166" s="52" t="str">
        <f aca="false">IF(AND(ISNUMBER($G1166),$G1166&gt;=MA_SHORT),AVERAGE(INDEX($C$766:$C1166,402-MA_SHORT):$C1166),"")</f>
        <v/>
      </c>
      <c r="J1166" s="52" t="str">
        <f aca="false">IF(AND(ISNUMBER($G1166),$G1166&gt;=MA_MED),AVERAGE(INDEX($C$766:$C1166,402-MA_MED):$C1166),"")</f>
        <v/>
      </c>
      <c r="K1166" s="52" t="str">
        <f aca="false">IF(AND(ISNUMBER($G1166),$G1166&gt;=MA_LONG2),AVERAGE(INDEX($C$766:$C1166,402-MA_LONG2):$C1166),"")</f>
        <v/>
      </c>
      <c r="L1166" s="53" t="str">
        <f aca="false">IF(AND(ISNUMBER($G1166),$G1166&gt;=21),STDEV(INDEX($H$1106:$H1166,62-20):$H1166)*SQRT(245),"")</f>
        <v/>
      </c>
      <c r="M1166" s="52" t="str">
        <f aca="false">IF(AND(ISNUMBER($G1166),$G1166&gt;=60),MAX(INDEX($D$966:$D1166,202-60):$D1166),"")</f>
        <v/>
      </c>
      <c r="N1166" s="52" t="str">
        <f aca="false">IF(AND(ISNUMBER($G1166),$G1166&gt;=60),MIN(INDEX($E$966:$E1166,202-60):$E1166),"")</f>
        <v/>
      </c>
      <c r="O1166" s="53" t="str">
        <f aca="false">IF(OR(NOT(ISNUMBER($C1166)),NOT(ISNUMBER($M1166)),$M1166=0),"",$C1166/$M1166-1)</f>
        <v/>
      </c>
      <c r="P1166" s="54"/>
      <c r="Q1166" s="53" t="str">
        <f aca="false">IF(NOT(ISNUMBER($P1166)),"",IFERROR(PERCENTRANK($P$5:$P$1204,$P1166),""))</f>
        <v/>
      </c>
    </row>
    <row r="1167" customFormat="false" ht="15" hidden="false" customHeight="false" outlineLevel="0" collapsed="false">
      <c r="A1167" s="55"/>
      <c r="B1167" s="56"/>
      <c r="C1167" s="57"/>
      <c r="D1167" s="56"/>
      <c r="E1167" s="56"/>
      <c r="F1167" s="56"/>
      <c r="G1167" s="50" t="str">
        <f aca="false">IF($A1167="","",IF(ISNUMBER($G1166),$G1166+1,1))</f>
        <v/>
      </c>
      <c r="H1167" s="51" t="str">
        <f aca="false">IF(OR(NOT(ISNUMBER($G1167)),$G1167&lt;2,NOT(ISNUMBER($C1166)),$C1166=0),"",$C1167/$C1166-1)</f>
        <v/>
      </c>
      <c r="I1167" s="52" t="str">
        <f aca="false">IF(AND(ISNUMBER($G1167),$G1167&gt;=MA_SHORT),AVERAGE(INDEX($C$767:$C1167,402-MA_SHORT):$C1167),"")</f>
        <v/>
      </c>
      <c r="J1167" s="52" t="str">
        <f aca="false">IF(AND(ISNUMBER($G1167),$G1167&gt;=MA_MED),AVERAGE(INDEX($C$767:$C1167,402-MA_MED):$C1167),"")</f>
        <v/>
      </c>
      <c r="K1167" s="52" t="str">
        <f aca="false">IF(AND(ISNUMBER($G1167),$G1167&gt;=MA_LONG2),AVERAGE(INDEX($C$767:$C1167,402-MA_LONG2):$C1167),"")</f>
        <v/>
      </c>
      <c r="L1167" s="53" t="str">
        <f aca="false">IF(AND(ISNUMBER($G1167),$G1167&gt;=21),STDEV(INDEX($H$1107:$H1167,62-20):$H1167)*SQRT(245),"")</f>
        <v/>
      </c>
      <c r="M1167" s="52" t="str">
        <f aca="false">IF(AND(ISNUMBER($G1167),$G1167&gt;=60),MAX(INDEX($D$967:$D1167,202-60):$D1167),"")</f>
        <v/>
      </c>
      <c r="N1167" s="52" t="str">
        <f aca="false">IF(AND(ISNUMBER($G1167),$G1167&gt;=60),MIN(INDEX($E$967:$E1167,202-60):$E1167),"")</f>
        <v/>
      </c>
      <c r="O1167" s="53" t="str">
        <f aca="false">IF(OR(NOT(ISNUMBER($C1167)),NOT(ISNUMBER($M1167)),$M1167=0),"",$C1167/$M1167-1)</f>
        <v/>
      </c>
      <c r="P1167" s="54"/>
      <c r="Q1167" s="53" t="str">
        <f aca="false">IF(NOT(ISNUMBER($P1167)),"",IFERROR(PERCENTRANK($P$5:$P$1204,$P1167),""))</f>
        <v/>
      </c>
    </row>
    <row r="1168" customFormat="false" ht="15" hidden="false" customHeight="false" outlineLevel="0" collapsed="false">
      <c r="A1168" s="55"/>
      <c r="B1168" s="56"/>
      <c r="C1168" s="57"/>
      <c r="D1168" s="56"/>
      <c r="E1168" s="56"/>
      <c r="F1168" s="56"/>
      <c r="G1168" s="50" t="str">
        <f aca="false">IF($A1168="","",IF(ISNUMBER($G1167),$G1167+1,1))</f>
        <v/>
      </c>
      <c r="H1168" s="51" t="str">
        <f aca="false">IF(OR(NOT(ISNUMBER($G1168)),$G1168&lt;2,NOT(ISNUMBER($C1167)),$C1167=0),"",$C1168/$C1167-1)</f>
        <v/>
      </c>
      <c r="I1168" s="52" t="str">
        <f aca="false">IF(AND(ISNUMBER($G1168),$G1168&gt;=MA_SHORT),AVERAGE(INDEX($C$768:$C1168,402-MA_SHORT):$C1168),"")</f>
        <v/>
      </c>
      <c r="J1168" s="52" t="str">
        <f aca="false">IF(AND(ISNUMBER($G1168),$G1168&gt;=MA_MED),AVERAGE(INDEX($C$768:$C1168,402-MA_MED):$C1168),"")</f>
        <v/>
      </c>
      <c r="K1168" s="52" t="str">
        <f aca="false">IF(AND(ISNUMBER($G1168),$G1168&gt;=MA_LONG2),AVERAGE(INDEX($C$768:$C1168,402-MA_LONG2):$C1168),"")</f>
        <v/>
      </c>
      <c r="L1168" s="53" t="str">
        <f aca="false">IF(AND(ISNUMBER($G1168),$G1168&gt;=21),STDEV(INDEX($H$1108:$H1168,62-20):$H1168)*SQRT(245),"")</f>
        <v/>
      </c>
      <c r="M1168" s="52" t="str">
        <f aca="false">IF(AND(ISNUMBER($G1168),$G1168&gt;=60),MAX(INDEX($D$968:$D1168,202-60):$D1168),"")</f>
        <v/>
      </c>
      <c r="N1168" s="52" t="str">
        <f aca="false">IF(AND(ISNUMBER($G1168),$G1168&gt;=60),MIN(INDEX($E$968:$E1168,202-60):$E1168),"")</f>
        <v/>
      </c>
      <c r="O1168" s="53" t="str">
        <f aca="false">IF(OR(NOT(ISNUMBER($C1168)),NOT(ISNUMBER($M1168)),$M1168=0),"",$C1168/$M1168-1)</f>
        <v/>
      </c>
      <c r="P1168" s="54"/>
      <c r="Q1168" s="53" t="str">
        <f aca="false">IF(NOT(ISNUMBER($P1168)),"",IFERROR(PERCENTRANK($P$5:$P$1204,$P1168),""))</f>
        <v/>
      </c>
    </row>
    <row r="1169" customFormat="false" ht="15" hidden="false" customHeight="false" outlineLevel="0" collapsed="false">
      <c r="A1169" s="55"/>
      <c r="B1169" s="56"/>
      <c r="C1169" s="57"/>
      <c r="D1169" s="56"/>
      <c r="E1169" s="56"/>
      <c r="F1169" s="56"/>
      <c r="G1169" s="50" t="str">
        <f aca="false">IF($A1169="","",IF(ISNUMBER($G1168),$G1168+1,1))</f>
        <v/>
      </c>
      <c r="H1169" s="51" t="str">
        <f aca="false">IF(OR(NOT(ISNUMBER($G1169)),$G1169&lt;2,NOT(ISNUMBER($C1168)),$C1168=0),"",$C1169/$C1168-1)</f>
        <v/>
      </c>
      <c r="I1169" s="52" t="str">
        <f aca="false">IF(AND(ISNUMBER($G1169),$G1169&gt;=MA_SHORT),AVERAGE(INDEX($C$769:$C1169,402-MA_SHORT):$C1169),"")</f>
        <v/>
      </c>
      <c r="J1169" s="52" t="str">
        <f aca="false">IF(AND(ISNUMBER($G1169),$G1169&gt;=MA_MED),AVERAGE(INDEX($C$769:$C1169,402-MA_MED):$C1169),"")</f>
        <v/>
      </c>
      <c r="K1169" s="52" t="str">
        <f aca="false">IF(AND(ISNUMBER($G1169),$G1169&gt;=MA_LONG2),AVERAGE(INDEX($C$769:$C1169,402-MA_LONG2):$C1169),"")</f>
        <v/>
      </c>
      <c r="L1169" s="53" t="str">
        <f aca="false">IF(AND(ISNUMBER($G1169),$G1169&gt;=21),STDEV(INDEX($H$1109:$H1169,62-20):$H1169)*SQRT(245),"")</f>
        <v/>
      </c>
      <c r="M1169" s="52" t="str">
        <f aca="false">IF(AND(ISNUMBER($G1169),$G1169&gt;=60),MAX(INDEX($D$969:$D1169,202-60):$D1169),"")</f>
        <v/>
      </c>
      <c r="N1169" s="52" t="str">
        <f aca="false">IF(AND(ISNUMBER($G1169),$G1169&gt;=60),MIN(INDEX($E$969:$E1169,202-60):$E1169),"")</f>
        <v/>
      </c>
      <c r="O1169" s="53" t="str">
        <f aca="false">IF(OR(NOT(ISNUMBER($C1169)),NOT(ISNUMBER($M1169)),$M1169=0),"",$C1169/$M1169-1)</f>
        <v/>
      </c>
      <c r="P1169" s="54"/>
      <c r="Q1169" s="53" t="str">
        <f aca="false">IF(NOT(ISNUMBER($P1169)),"",IFERROR(PERCENTRANK($P$5:$P$1204,$P1169),""))</f>
        <v/>
      </c>
    </row>
    <row r="1170" customFormat="false" ht="15" hidden="false" customHeight="false" outlineLevel="0" collapsed="false">
      <c r="A1170" s="55"/>
      <c r="B1170" s="56"/>
      <c r="C1170" s="57"/>
      <c r="D1170" s="56"/>
      <c r="E1170" s="56"/>
      <c r="F1170" s="56"/>
      <c r="G1170" s="50" t="str">
        <f aca="false">IF($A1170="","",IF(ISNUMBER($G1169),$G1169+1,1))</f>
        <v/>
      </c>
      <c r="H1170" s="51" t="str">
        <f aca="false">IF(OR(NOT(ISNUMBER($G1170)),$G1170&lt;2,NOT(ISNUMBER($C1169)),$C1169=0),"",$C1170/$C1169-1)</f>
        <v/>
      </c>
      <c r="I1170" s="52" t="str">
        <f aca="false">IF(AND(ISNUMBER($G1170),$G1170&gt;=MA_SHORT),AVERAGE(INDEX($C$770:$C1170,402-MA_SHORT):$C1170),"")</f>
        <v/>
      </c>
      <c r="J1170" s="52" t="str">
        <f aca="false">IF(AND(ISNUMBER($G1170),$G1170&gt;=MA_MED),AVERAGE(INDEX($C$770:$C1170,402-MA_MED):$C1170),"")</f>
        <v/>
      </c>
      <c r="K1170" s="52" t="str">
        <f aca="false">IF(AND(ISNUMBER($G1170),$G1170&gt;=MA_LONG2),AVERAGE(INDEX($C$770:$C1170,402-MA_LONG2):$C1170),"")</f>
        <v/>
      </c>
      <c r="L1170" s="53" t="str">
        <f aca="false">IF(AND(ISNUMBER($G1170),$G1170&gt;=21),STDEV(INDEX($H$1110:$H1170,62-20):$H1170)*SQRT(245),"")</f>
        <v/>
      </c>
      <c r="M1170" s="52" t="str">
        <f aca="false">IF(AND(ISNUMBER($G1170),$G1170&gt;=60),MAX(INDEX($D$970:$D1170,202-60):$D1170),"")</f>
        <v/>
      </c>
      <c r="N1170" s="52" t="str">
        <f aca="false">IF(AND(ISNUMBER($G1170),$G1170&gt;=60),MIN(INDEX($E$970:$E1170,202-60):$E1170),"")</f>
        <v/>
      </c>
      <c r="O1170" s="53" t="str">
        <f aca="false">IF(OR(NOT(ISNUMBER($C1170)),NOT(ISNUMBER($M1170)),$M1170=0),"",$C1170/$M1170-1)</f>
        <v/>
      </c>
      <c r="P1170" s="54"/>
      <c r="Q1170" s="53" t="str">
        <f aca="false">IF(NOT(ISNUMBER($P1170)),"",IFERROR(PERCENTRANK($P$5:$P$1204,$P1170),""))</f>
        <v/>
      </c>
    </row>
    <row r="1171" customFormat="false" ht="15" hidden="false" customHeight="false" outlineLevel="0" collapsed="false">
      <c r="A1171" s="55"/>
      <c r="B1171" s="56"/>
      <c r="C1171" s="57"/>
      <c r="D1171" s="56"/>
      <c r="E1171" s="56"/>
      <c r="F1171" s="56"/>
      <c r="G1171" s="50" t="str">
        <f aca="false">IF($A1171="","",IF(ISNUMBER($G1170),$G1170+1,1))</f>
        <v/>
      </c>
      <c r="H1171" s="51" t="str">
        <f aca="false">IF(OR(NOT(ISNUMBER($G1171)),$G1171&lt;2,NOT(ISNUMBER($C1170)),$C1170=0),"",$C1171/$C1170-1)</f>
        <v/>
      </c>
      <c r="I1171" s="52" t="str">
        <f aca="false">IF(AND(ISNUMBER($G1171),$G1171&gt;=MA_SHORT),AVERAGE(INDEX($C$771:$C1171,402-MA_SHORT):$C1171),"")</f>
        <v/>
      </c>
      <c r="J1171" s="52" t="str">
        <f aca="false">IF(AND(ISNUMBER($G1171),$G1171&gt;=MA_MED),AVERAGE(INDEX($C$771:$C1171,402-MA_MED):$C1171),"")</f>
        <v/>
      </c>
      <c r="K1171" s="52" t="str">
        <f aca="false">IF(AND(ISNUMBER($G1171),$G1171&gt;=MA_LONG2),AVERAGE(INDEX($C$771:$C1171,402-MA_LONG2):$C1171),"")</f>
        <v/>
      </c>
      <c r="L1171" s="53" t="str">
        <f aca="false">IF(AND(ISNUMBER($G1171),$G1171&gt;=21),STDEV(INDEX($H$1111:$H1171,62-20):$H1171)*SQRT(245),"")</f>
        <v/>
      </c>
      <c r="M1171" s="52" t="str">
        <f aca="false">IF(AND(ISNUMBER($G1171),$G1171&gt;=60),MAX(INDEX($D$971:$D1171,202-60):$D1171),"")</f>
        <v/>
      </c>
      <c r="N1171" s="52" t="str">
        <f aca="false">IF(AND(ISNUMBER($G1171),$G1171&gt;=60),MIN(INDEX($E$971:$E1171,202-60):$E1171),"")</f>
        <v/>
      </c>
      <c r="O1171" s="53" t="str">
        <f aca="false">IF(OR(NOT(ISNUMBER($C1171)),NOT(ISNUMBER($M1171)),$M1171=0),"",$C1171/$M1171-1)</f>
        <v/>
      </c>
      <c r="P1171" s="54"/>
      <c r="Q1171" s="53" t="str">
        <f aca="false">IF(NOT(ISNUMBER($P1171)),"",IFERROR(PERCENTRANK($P$5:$P$1204,$P1171),""))</f>
        <v/>
      </c>
    </row>
    <row r="1172" customFormat="false" ht="15" hidden="false" customHeight="false" outlineLevel="0" collapsed="false">
      <c r="A1172" s="55"/>
      <c r="B1172" s="56"/>
      <c r="C1172" s="57"/>
      <c r="D1172" s="56"/>
      <c r="E1172" s="56"/>
      <c r="F1172" s="56"/>
      <c r="G1172" s="50" t="str">
        <f aca="false">IF($A1172="","",IF(ISNUMBER($G1171),$G1171+1,1))</f>
        <v/>
      </c>
      <c r="H1172" s="51" t="str">
        <f aca="false">IF(OR(NOT(ISNUMBER($G1172)),$G1172&lt;2,NOT(ISNUMBER($C1171)),$C1171=0),"",$C1172/$C1171-1)</f>
        <v/>
      </c>
      <c r="I1172" s="52" t="str">
        <f aca="false">IF(AND(ISNUMBER($G1172),$G1172&gt;=MA_SHORT),AVERAGE(INDEX($C$772:$C1172,402-MA_SHORT):$C1172),"")</f>
        <v/>
      </c>
      <c r="J1172" s="52" t="str">
        <f aca="false">IF(AND(ISNUMBER($G1172),$G1172&gt;=MA_MED),AVERAGE(INDEX($C$772:$C1172,402-MA_MED):$C1172),"")</f>
        <v/>
      </c>
      <c r="K1172" s="52" t="str">
        <f aca="false">IF(AND(ISNUMBER($G1172),$G1172&gt;=MA_LONG2),AVERAGE(INDEX($C$772:$C1172,402-MA_LONG2):$C1172),"")</f>
        <v/>
      </c>
      <c r="L1172" s="53" t="str">
        <f aca="false">IF(AND(ISNUMBER($G1172),$G1172&gt;=21),STDEV(INDEX($H$1112:$H1172,62-20):$H1172)*SQRT(245),"")</f>
        <v/>
      </c>
      <c r="M1172" s="52" t="str">
        <f aca="false">IF(AND(ISNUMBER($G1172),$G1172&gt;=60),MAX(INDEX($D$972:$D1172,202-60):$D1172),"")</f>
        <v/>
      </c>
      <c r="N1172" s="52" t="str">
        <f aca="false">IF(AND(ISNUMBER($G1172),$G1172&gt;=60),MIN(INDEX($E$972:$E1172,202-60):$E1172),"")</f>
        <v/>
      </c>
      <c r="O1172" s="53" t="str">
        <f aca="false">IF(OR(NOT(ISNUMBER($C1172)),NOT(ISNUMBER($M1172)),$M1172=0),"",$C1172/$M1172-1)</f>
        <v/>
      </c>
      <c r="P1172" s="54"/>
      <c r="Q1172" s="53" t="str">
        <f aca="false">IF(NOT(ISNUMBER($P1172)),"",IFERROR(PERCENTRANK($P$5:$P$1204,$P1172),""))</f>
        <v/>
      </c>
    </row>
    <row r="1173" customFormat="false" ht="15" hidden="false" customHeight="false" outlineLevel="0" collapsed="false">
      <c r="A1173" s="55"/>
      <c r="B1173" s="56"/>
      <c r="C1173" s="57"/>
      <c r="D1173" s="56"/>
      <c r="E1173" s="56"/>
      <c r="F1173" s="56"/>
      <c r="G1173" s="50" t="str">
        <f aca="false">IF($A1173="","",IF(ISNUMBER($G1172),$G1172+1,1))</f>
        <v/>
      </c>
      <c r="H1173" s="51" t="str">
        <f aca="false">IF(OR(NOT(ISNUMBER($G1173)),$G1173&lt;2,NOT(ISNUMBER($C1172)),$C1172=0),"",$C1173/$C1172-1)</f>
        <v/>
      </c>
      <c r="I1173" s="52" t="str">
        <f aca="false">IF(AND(ISNUMBER($G1173),$G1173&gt;=MA_SHORT),AVERAGE(INDEX($C$773:$C1173,402-MA_SHORT):$C1173),"")</f>
        <v/>
      </c>
      <c r="J1173" s="52" t="str">
        <f aca="false">IF(AND(ISNUMBER($G1173),$G1173&gt;=MA_MED),AVERAGE(INDEX($C$773:$C1173,402-MA_MED):$C1173),"")</f>
        <v/>
      </c>
      <c r="K1173" s="52" t="str">
        <f aca="false">IF(AND(ISNUMBER($G1173),$G1173&gt;=MA_LONG2),AVERAGE(INDEX($C$773:$C1173,402-MA_LONG2):$C1173),"")</f>
        <v/>
      </c>
      <c r="L1173" s="53" t="str">
        <f aca="false">IF(AND(ISNUMBER($G1173),$G1173&gt;=21),STDEV(INDEX($H$1113:$H1173,62-20):$H1173)*SQRT(245),"")</f>
        <v/>
      </c>
      <c r="M1173" s="52" t="str">
        <f aca="false">IF(AND(ISNUMBER($G1173),$G1173&gt;=60),MAX(INDEX($D$973:$D1173,202-60):$D1173),"")</f>
        <v/>
      </c>
      <c r="N1173" s="52" t="str">
        <f aca="false">IF(AND(ISNUMBER($G1173),$G1173&gt;=60),MIN(INDEX($E$973:$E1173,202-60):$E1173),"")</f>
        <v/>
      </c>
      <c r="O1173" s="53" t="str">
        <f aca="false">IF(OR(NOT(ISNUMBER($C1173)),NOT(ISNUMBER($M1173)),$M1173=0),"",$C1173/$M1173-1)</f>
        <v/>
      </c>
      <c r="P1173" s="54"/>
      <c r="Q1173" s="53" t="str">
        <f aca="false">IF(NOT(ISNUMBER($P1173)),"",IFERROR(PERCENTRANK($P$5:$P$1204,$P1173),""))</f>
        <v/>
      </c>
    </row>
    <row r="1174" customFormat="false" ht="15" hidden="false" customHeight="false" outlineLevel="0" collapsed="false">
      <c r="A1174" s="55"/>
      <c r="B1174" s="56"/>
      <c r="C1174" s="57"/>
      <c r="D1174" s="56"/>
      <c r="E1174" s="56"/>
      <c r="F1174" s="56"/>
      <c r="G1174" s="50" t="str">
        <f aca="false">IF($A1174="","",IF(ISNUMBER($G1173),$G1173+1,1))</f>
        <v/>
      </c>
      <c r="H1174" s="51" t="str">
        <f aca="false">IF(OR(NOT(ISNUMBER($G1174)),$G1174&lt;2,NOT(ISNUMBER($C1173)),$C1173=0),"",$C1174/$C1173-1)</f>
        <v/>
      </c>
      <c r="I1174" s="52" t="str">
        <f aca="false">IF(AND(ISNUMBER($G1174),$G1174&gt;=MA_SHORT),AVERAGE(INDEX($C$774:$C1174,402-MA_SHORT):$C1174),"")</f>
        <v/>
      </c>
      <c r="J1174" s="52" t="str">
        <f aca="false">IF(AND(ISNUMBER($G1174),$G1174&gt;=MA_MED),AVERAGE(INDEX($C$774:$C1174,402-MA_MED):$C1174),"")</f>
        <v/>
      </c>
      <c r="K1174" s="52" t="str">
        <f aca="false">IF(AND(ISNUMBER($G1174),$G1174&gt;=MA_LONG2),AVERAGE(INDEX($C$774:$C1174,402-MA_LONG2):$C1174),"")</f>
        <v/>
      </c>
      <c r="L1174" s="53" t="str">
        <f aca="false">IF(AND(ISNUMBER($G1174),$G1174&gt;=21),STDEV(INDEX($H$1114:$H1174,62-20):$H1174)*SQRT(245),"")</f>
        <v/>
      </c>
      <c r="M1174" s="52" t="str">
        <f aca="false">IF(AND(ISNUMBER($G1174),$G1174&gt;=60),MAX(INDEX($D$974:$D1174,202-60):$D1174),"")</f>
        <v/>
      </c>
      <c r="N1174" s="52" t="str">
        <f aca="false">IF(AND(ISNUMBER($G1174),$G1174&gt;=60),MIN(INDEX($E$974:$E1174,202-60):$E1174),"")</f>
        <v/>
      </c>
      <c r="O1174" s="53" t="str">
        <f aca="false">IF(OR(NOT(ISNUMBER($C1174)),NOT(ISNUMBER($M1174)),$M1174=0),"",$C1174/$M1174-1)</f>
        <v/>
      </c>
      <c r="P1174" s="54"/>
      <c r="Q1174" s="53" t="str">
        <f aca="false">IF(NOT(ISNUMBER($P1174)),"",IFERROR(PERCENTRANK($P$5:$P$1204,$P1174),""))</f>
        <v/>
      </c>
    </row>
    <row r="1175" customFormat="false" ht="15" hidden="false" customHeight="false" outlineLevel="0" collapsed="false">
      <c r="A1175" s="55"/>
      <c r="B1175" s="56"/>
      <c r="C1175" s="57"/>
      <c r="D1175" s="56"/>
      <c r="E1175" s="56"/>
      <c r="F1175" s="56"/>
      <c r="G1175" s="50" t="str">
        <f aca="false">IF($A1175="","",IF(ISNUMBER($G1174),$G1174+1,1))</f>
        <v/>
      </c>
      <c r="H1175" s="51" t="str">
        <f aca="false">IF(OR(NOT(ISNUMBER($G1175)),$G1175&lt;2,NOT(ISNUMBER($C1174)),$C1174=0),"",$C1175/$C1174-1)</f>
        <v/>
      </c>
      <c r="I1175" s="52" t="str">
        <f aca="false">IF(AND(ISNUMBER($G1175),$G1175&gt;=MA_SHORT),AVERAGE(INDEX($C$775:$C1175,402-MA_SHORT):$C1175),"")</f>
        <v/>
      </c>
      <c r="J1175" s="52" t="str">
        <f aca="false">IF(AND(ISNUMBER($G1175),$G1175&gt;=MA_MED),AVERAGE(INDEX($C$775:$C1175,402-MA_MED):$C1175),"")</f>
        <v/>
      </c>
      <c r="K1175" s="52" t="str">
        <f aca="false">IF(AND(ISNUMBER($G1175),$G1175&gt;=MA_LONG2),AVERAGE(INDEX($C$775:$C1175,402-MA_LONG2):$C1175),"")</f>
        <v/>
      </c>
      <c r="L1175" s="53" t="str">
        <f aca="false">IF(AND(ISNUMBER($G1175),$G1175&gt;=21),STDEV(INDEX($H$1115:$H1175,62-20):$H1175)*SQRT(245),"")</f>
        <v/>
      </c>
      <c r="M1175" s="52" t="str">
        <f aca="false">IF(AND(ISNUMBER($G1175),$G1175&gt;=60),MAX(INDEX($D$975:$D1175,202-60):$D1175),"")</f>
        <v/>
      </c>
      <c r="N1175" s="52" t="str">
        <f aca="false">IF(AND(ISNUMBER($G1175),$G1175&gt;=60),MIN(INDEX($E$975:$E1175,202-60):$E1175),"")</f>
        <v/>
      </c>
      <c r="O1175" s="53" t="str">
        <f aca="false">IF(OR(NOT(ISNUMBER($C1175)),NOT(ISNUMBER($M1175)),$M1175=0),"",$C1175/$M1175-1)</f>
        <v/>
      </c>
      <c r="P1175" s="54"/>
      <c r="Q1175" s="53" t="str">
        <f aca="false">IF(NOT(ISNUMBER($P1175)),"",IFERROR(PERCENTRANK($P$5:$P$1204,$P1175),""))</f>
        <v/>
      </c>
    </row>
    <row r="1176" customFormat="false" ht="15" hidden="false" customHeight="false" outlineLevel="0" collapsed="false">
      <c r="A1176" s="55"/>
      <c r="B1176" s="56"/>
      <c r="C1176" s="57"/>
      <c r="D1176" s="56"/>
      <c r="E1176" s="56"/>
      <c r="F1176" s="56"/>
      <c r="G1176" s="50" t="str">
        <f aca="false">IF($A1176="","",IF(ISNUMBER($G1175),$G1175+1,1))</f>
        <v/>
      </c>
      <c r="H1176" s="51" t="str">
        <f aca="false">IF(OR(NOT(ISNUMBER($G1176)),$G1176&lt;2,NOT(ISNUMBER($C1175)),$C1175=0),"",$C1176/$C1175-1)</f>
        <v/>
      </c>
      <c r="I1176" s="52" t="str">
        <f aca="false">IF(AND(ISNUMBER($G1176),$G1176&gt;=MA_SHORT),AVERAGE(INDEX($C$776:$C1176,402-MA_SHORT):$C1176),"")</f>
        <v/>
      </c>
      <c r="J1176" s="52" t="str">
        <f aca="false">IF(AND(ISNUMBER($G1176),$G1176&gt;=MA_MED),AVERAGE(INDEX($C$776:$C1176,402-MA_MED):$C1176),"")</f>
        <v/>
      </c>
      <c r="K1176" s="52" t="str">
        <f aca="false">IF(AND(ISNUMBER($G1176),$G1176&gt;=MA_LONG2),AVERAGE(INDEX($C$776:$C1176,402-MA_LONG2):$C1176),"")</f>
        <v/>
      </c>
      <c r="L1176" s="53" t="str">
        <f aca="false">IF(AND(ISNUMBER($G1176),$G1176&gt;=21),STDEV(INDEX($H$1116:$H1176,62-20):$H1176)*SQRT(245),"")</f>
        <v/>
      </c>
      <c r="M1176" s="52" t="str">
        <f aca="false">IF(AND(ISNUMBER($G1176),$G1176&gt;=60),MAX(INDEX($D$976:$D1176,202-60):$D1176),"")</f>
        <v/>
      </c>
      <c r="N1176" s="52" t="str">
        <f aca="false">IF(AND(ISNUMBER($G1176),$G1176&gt;=60),MIN(INDEX($E$976:$E1176,202-60):$E1176),"")</f>
        <v/>
      </c>
      <c r="O1176" s="53" t="str">
        <f aca="false">IF(OR(NOT(ISNUMBER($C1176)),NOT(ISNUMBER($M1176)),$M1176=0),"",$C1176/$M1176-1)</f>
        <v/>
      </c>
      <c r="P1176" s="54"/>
      <c r="Q1176" s="53" t="str">
        <f aca="false">IF(NOT(ISNUMBER($P1176)),"",IFERROR(PERCENTRANK($P$5:$P$1204,$P1176),""))</f>
        <v/>
      </c>
    </row>
    <row r="1177" customFormat="false" ht="15" hidden="false" customHeight="false" outlineLevel="0" collapsed="false">
      <c r="A1177" s="55"/>
      <c r="B1177" s="56"/>
      <c r="C1177" s="57"/>
      <c r="D1177" s="56"/>
      <c r="E1177" s="56"/>
      <c r="F1177" s="56"/>
      <c r="G1177" s="50" t="str">
        <f aca="false">IF($A1177="","",IF(ISNUMBER($G1176),$G1176+1,1))</f>
        <v/>
      </c>
      <c r="H1177" s="51" t="str">
        <f aca="false">IF(OR(NOT(ISNUMBER($G1177)),$G1177&lt;2,NOT(ISNUMBER($C1176)),$C1176=0),"",$C1177/$C1176-1)</f>
        <v/>
      </c>
      <c r="I1177" s="52" t="str">
        <f aca="false">IF(AND(ISNUMBER($G1177),$G1177&gt;=MA_SHORT),AVERAGE(INDEX($C$777:$C1177,402-MA_SHORT):$C1177),"")</f>
        <v/>
      </c>
      <c r="J1177" s="52" t="str">
        <f aca="false">IF(AND(ISNUMBER($G1177),$G1177&gt;=MA_MED),AVERAGE(INDEX($C$777:$C1177,402-MA_MED):$C1177),"")</f>
        <v/>
      </c>
      <c r="K1177" s="52" t="str">
        <f aca="false">IF(AND(ISNUMBER($G1177),$G1177&gt;=MA_LONG2),AVERAGE(INDEX($C$777:$C1177,402-MA_LONG2):$C1177),"")</f>
        <v/>
      </c>
      <c r="L1177" s="53" t="str">
        <f aca="false">IF(AND(ISNUMBER($G1177),$G1177&gt;=21),STDEV(INDEX($H$1117:$H1177,62-20):$H1177)*SQRT(245),"")</f>
        <v/>
      </c>
      <c r="M1177" s="52" t="str">
        <f aca="false">IF(AND(ISNUMBER($G1177),$G1177&gt;=60),MAX(INDEX($D$977:$D1177,202-60):$D1177),"")</f>
        <v/>
      </c>
      <c r="N1177" s="52" t="str">
        <f aca="false">IF(AND(ISNUMBER($G1177),$G1177&gt;=60),MIN(INDEX($E$977:$E1177,202-60):$E1177),"")</f>
        <v/>
      </c>
      <c r="O1177" s="53" t="str">
        <f aca="false">IF(OR(NOT(ISNUMBER($C1177)),NOT(ISNUMBER($M1177)),$M1177=0),"",$C1177/$M1177-1)</f>
        <v/>
      </c>
      <c r="P1177" s="54"/>
      <c r="Q1177" s="53" t="str">
        <f aca="false">IF(NOT(ISNUMBER($P1177)),"",IFERROR(PERCENTRANK($P$5:$P$1204,$P1177),""))</f>
        <v/>
      </c>
    </row>
    <row r="1178" customFormat="false" ht="15" hidden="false" customHeight="false" outlineLevel="0" collapsed="false">
      <c r="A1178" s="55"/>
      <c r="B1178" s="56"/>
      <c r="C1178" s="57"/>
      <c r="D1178" s="56"/>
      <c r="E1178" s="56"/>
      <c r="F1178" s="56"/>
      <c r="G1178" s="50" t="str">
        <f aca="false">IF($A1178="","",IF(ISNUMBER($G1177),$G1177+1,1))</f>
        <v/>
      </c>
      <c r="H1178" s="51" t="str">
        <f aca="false">IF(OR(NOT(ISNUMBER($G1178)),$G1178&lt;2,NOT(ISNUMBER($C1177)),$C1177=0),"",$C1178/$C1177-1)</f>
        <v/>
      </c>
      <c r="I1178" s="52" t="str">
        <f aca="false">IF(AND(ISNUMBER($G1178),$G1178&gt;=MA_SHORT),AVERAGE(INDEX($C$778:$C1178,402-MA_SHORT):$C1178),"")</f>
        <v/>
      </c>
      <c r="J1178" s="52" t="str">
        <f aca="false">IF(AND(ISNUMBER($G1178),$G1178&gt;=MA_MED),AVERAGE(INDEX($C$778:$C1178,402-MA_MED):$C1178),"")</f>
        <v/>
      </c>
      <c r="K1178" s="52" t="str">
        <f aca="false">IF(AND(ISNUMBER($G1178),$G1178&gt;=MA_LONG2),AVERAGE(INDEX($C$778:$C1178,402-MA_LONG2):$C1178),"")</f>
        <v/>
      </c>
      <c r="L1178" s="53" t="str">
        <f aca="false">IF(AND(ISNUMBER($G1178),$G1178&gt;=21),STDEV(INDEX($H$1118:$H1178,62-20):$H1178)*SQRT(245),"")</f>
        <v/>
      </c>
      <c r="M1178" s="52" t="str">
        <f aca="false">IF(AND(ISNUMBER($G1178),$G1178&gt;=60),MAX(INDEX($D$978:$D1178,202-60):$D1178),"")</f>
        <v/>
      </c>
      <c r="N1178" s="52" t="str">
        <f aca="false">IF(AND(ISNUMBER($G1178),$G1178&gt;=60),MIN(INDEX($E$978:$E1178,202-60):$E1178),"")</f>
        <v/>
      </c>
      <c r="O1178" s="53" t="str">
        <f aca="false">IF(OR(NOT(ISNUMBER($C1178)),NOT(ISNUMBER($M1178)),$M1178=0),"",$C1178/$M1178-1)</f>
        <v/>
      </c>
      <c r="P1178" s="54"/>
      <c r="Q1178" s="53" t="str">
        <f aca="false">IF(NOT(ISNUMBER($P1178)),"",IFERROR(PERCENTRANK($P$5:$P$1204,$P1178),""))</f>
        <v/>
      </c>
    </row>
    <row r="1179" customFormat="false" ht="15" hidden="false" customHeight="false" outlineLevel="0" collapsed="false">
      <c r="A1179" s="55"/>
      <c r="B1179" s="56"/>
      <c r="C1179" s="57"/>
      <c r="D1179" s="56"/>
      <c r="E1179" s="56"/>
      <c r="F1179" s="56"/>
      <c r="G1179" s="50" t="str">
        <f aca="false">IF($A1179="","",IF(ISNUMBER($G1178),$G1178+1,1))</f>
        <v/>
      </c>
      <c r="H1179" s="51" t="str">
        <f aca="false">IF(OR(NOT(ISNUMBER($G1179)),$G1179&lt;2,NOT(ISNUMBER($C1178)),$C1178=0),"",$C1179/$C1178-1)</f>
        <v/>
      </c>
      <c r="I1179" s="52" t="str">
        <f aca="false">IF(AND(ISNUMBER($G1179),$G1179&gt;=MA_SHORT),AVERAGE(INDEX($C$779:$C1179,402-MA_SHORT):$C1179),"")</f>
        <v/>
      </c>
      <c r="J1179" s="52" t="str">
        <f aca="false">IF(AND(ISNUMBER($G1179),$G1179&gt;=MA_MED),AVERAGE(INDEX($C$779:$C1179,402-MA_MED):$C1179),"")</f>
        <v/>
      </c>
      <c r="K1179" s="52" t="str">
        <f aca="false">IF(AND(ISNUMBER($G1179),$G1179&gt;=MA_LONG2),AVERAGE(INDEX($C$779:$C1179,402-MA_LONG2):$C1179),"")</f>
        <v/>
      </c>
      <c r="L1179" s="53" t="str">
        <f aca="false">IF(AND(ISNUMBER($G1179),$G1179&gt;=21),STDEV(INDEX($H$1119:$H1179,62-20):$H1179)*SQRT(245),"")</f>
        <v/>
      </c>
      <c r="M1179" s="52" t="str">
        <f aca="false">IF(AND(ISNUMBER($G1179),$G1179&gt;=60),MAX(INDEX($D$979:$D1179,202-60):$D1179),"")</f>
        <v/>
      </c>
      <c r="N1179" s="52" t="str">
        <f aca="false">IF(AND(ISNUMBER($G1179),$G1179&gt;=60),MIN(INDEX($E$979:$E1179,202-60):$E1179),"")</f>
        <v/>
      </c>
      <c r="O1179" s="53" t="str">
        <f aca="false">IF(OR(NOT(ISNUMBER($C1179)),NOT(ISNUMBER($M1179)),$M1179=0),"",$C1179/$M1179-1)</f>
        <v/>
      </c>
      <c r="P1179" s="54"/>
      <c r="Q1179" s="53" t="str">
        <f aca="false">IF(NOT(ISNUMBER($P1179)),"",IFERROR(PERCENTRANK($P$5:$P$1204,$P1179),""))</f>
        <v/>
      </c>
    </row>
    <row r="1180" customFormat="false" ht="15" hidden="false" customHeight="false" outlineLevel="0" collapsed="false">
      <c r="A1180" s="55"/>
      <c r="B1180" s="56"/>
      <c r="C1180" s="57"/>
      <c r="D1180" s="56"/>
      <c r="E1180" s="56"/>
      <c r="F1180" s="56"/>
      <c r="G1180" s="50" t="str">
        <f aca="false">IF($A1180="","",IF(ISNUMBER($G1179),$G1179+1,1))</f>
        <v/>
      </c>
      <c r="H1180" s="51" t="str">
        <f aca="false">IF(OR(NOT(ISNUMBER($G1180)),$G1180&lt;2,NOT(ISNUMBER($C1179)),$C1179=0),"",$C1180/$C1179-1)</f>
        <v/>
      </c>
      <c r="I1180" s="52" t="str">
        <f aca="false">IF(AND(ISNUMBER($G1180),$G1180&gt;=MA_SHORT),AVERAGE(INDEX($C$780:$C1180,402-MA_SHORT):$C1180),"")</f>
        <v/>
      </c>
      <c r="J1180" s="52" t="str">
        <f aca="false">IF(AND(ISNUMBER($G1180),$G1180&gt;=MA_MED),AVERAGE(INDEX($C$780:$C1180,402-MA_MED):$C1180),"")</f>
        <v/>
      </c>
      <c r="K1180" s="52" t="str">
        <f aca="false">IF(AND(ISNUMBER($G1180),$G1180&gt;=MA_LONG2),AVERAGE(INDEX($C$780:$C1180,402-MA_LONG2):$C1180),"")</f>
        <v/>
      </c>
      <c r="L1180" s="53" t="str">
        <f aca="false">IF(AND(ISNUMBER($G1180),$G1180&gt;=21),STDEV(INDEX($H$1120:$H1180,62-20):$H1180)*SQRT(245),"")</f>
        <v/>
      </c>
      <c r="M1180" s="52" t="str">
        <f aca="false">IF(AND(ISNUMBER($G1180),$G1180&gt;=60),MAX(INDEX($D$980:$D1180,202-60):$D1180),"")</f>
        <v/>
      </c>
      <c r="N1180" s="52" t="str">
        <f aca="false">IF(AND(ISNUMBER($G1180),$G1180&gt;=60),MIN(INDEX($E$980:$E1180,202-60):$E1180),"")</f>
        <v/>
      </c>
      <c r="O1180" s="53" t="str">
        <f aca="false">IF(OR(NOT(ISNUMBER($C1180)),NOT(ISNUMBER($M1180)),$M1180=0),"",$C1180/$M1180-1)</f>
        <v/>
      </c>
      <c r="P1180" s="54"/>
      <c r="Q1180" s="53" t="str">
        <f aca="false">IF(NOT(ISNUMBER($P1180)),"",IFERROR(PERCENTRANK($P$5:$P$1204,$P1180),""))</f>
        <v/>
      </c>
    </row>
    <row r="1181" customFormat="false" ht="15" hidden="false" customHeight="false" outlineLevel="0" collapsed="false">
      <c r="A1181" s="55"/>
      <c r="B1181" s="56"/>
      <c r="C1181" s="57"/>
      <c r="D1181" s="56"/>
      <c r="E1181" s="56"/>
      <c r="F1181" s="56"/>
      <c r="G1181" s="50" t="str">
        <f aca="false">IF($A1181="","",IF(ISNUMBER($G1180),$G1180+1,1))</f>
        <v/>
      </c>
      <c r="H1181" s="51" t="str">
        <f aca="false">IF(OR(NOT(ISNUMBER($G1181)),$G1181&lt;2,NOT(ISNUMBER($C1180)),$C1180=0),"",$C1181/$C1180-1)</f>
        <v/>
      </c>
      <c r="I1181" s="52" t="str">
        <f aca="false">IF(AND(ISNUMBER($G1181),$G1181&gt;=MA_SHORT),AVERAGE(INDEX($C$781:$C1181,402-MA_SHORT):$C1181),"")</f>
        <v/>
      </c>
      <c r="J1181" s="52" t="str">
        <f aca="false">IF(AND(ISNUMBER($G1181),$G1181&gt;=MA_MED),AVERAGE(INDEX($C$781:$C1181,402-MA_MED):$C1181),"")</f>
        <v/>
      </c>
      <c r="K1181" s="52" t="str">
        <f aca="false">IF(AND(ISNUMBER($G1181),$G1181&gt;=MA_LONG2),AVERAGE(INDEX($C$781:$C1181,402-MA_LONG2):$C1181),"")</f>
        <v/>
      </c>
      <c r="L1181" s="53" t="str">
        <f aca="false">IF(AND(ISNUMBER($G1181),$G1181&gt;=21),STDEV(INDEX($H$1121:$H1181,62-20):$H1181)*SQRT(245),"")</f>
        <v/>
      </c>
      <c r="M1181" s="52" t="str">
        <f aca="false">IF(AND(ISNUMBER($G1181),$G1181&gt;=60),MAX(INDEX($D$981:$D1181,202-60):$D1181),"")</f>
        <v/>
      </c>
      <c r="N1181" s="52" t="str">
        <f aca="false">IF(AND(ISNUMBER($G1181),$G1181&gt;=60),MIN(INDEX($E$981:$E1181,202-60):$E1181),"")</f>
        <v/>
      </c>
      <c r="O1181" s="53" t="str">
        <f aca="false">IF(OR(NOT(ISNUMBER($C1181)),NOT(ISNUMBER($M1181)),$M1181=0),"",$C1181/$M1181-1)</f>
        <v/>
      </c>
      <c r="P1181" s="54"/>
      <c r="Q1181" s="53" t="str">
        <f aca="false">IF(NOT(ISNUMBER($P1181)),"",IFERROR(PERCENTRANK($P$5:$P$1204,$P1181),""))</f>
        <v/>
      </c>
    </row>
    <row r="1182" customFormat="false" ht="15" hidden="false" customHeight="false" outlineLevel="0" collapsed="false">
      <c r="A1182" s="55"/>
      <c r="B1182" s="56"/>
      <c r="C1182" s="57"/>
      <c r="D1182" s="56"/>
      <c r="E1182" s="56"/>
      <c r="F1182" s="56"/>
      <c r="G1182" s="50" t="str">
        <f aca="false">IF($A1182="","",IF(ISNUMBER($G1181),$G1181+1,1))</f>
        <v/>
      </c>
      <c r="H1182" s="51" t="str">
        <f aca="false">IF(OR(NOT(ISNUMBER($G1182)),$G1182&lt;2,NOT(ISNUMBER($C1181)),$C1181=0),"",$C1182/$C1181-1)</f>
        <v/>
      </c>
      <c r="I1182" s="52" t="str">
        <f aca="false">IF(AND(ISNUMBER($G1182),$G1182&gt;=MA_SHORT),AVERAGE(INDEX($C$782:$C1182,402-MA_SHORT):$C1182),"")</f>
        <v/>
      </c>
      <c r="J1182" s="52" t="str">
        <f aca="false">IF(AND(ISNUMBER($G1182),$G1182&gt;=MA_MED),AVERAGE(INDEX($C$782:$C1182,402-MA_MED):$C1182),"")</f>
        <v/>
      </c>
      <c r="K1182" s="52" t="str">
        <f aca="false">IF(AND(ISNUMBER($G1182),$G1182&gt;=MA_LONG2),AVERAGE(INDEX($C$782:$C1182,402-MA_LONG2):$C1182),"")</f>
        <v/>
      </c>
      <c r="L1182" s="53" t="str">
        <f aca="false">IF(AND(ISNUMBER($G1182),$G1182&gt;=21),STDEV(INDEX($H$1122:$H1182,62-20):$H1182)*SQRT(245),"")</f>
        <v/>
      </c>
      <c r="M1182" s="52" t="str">
        <f aca="false">IF(AND(ISNUMBER($G1182),$G1182&gt;=60),MAX(INDEX($D$982:$D1182,202-60):$D1182),"")</f>
        <v/>
      </c>
      <c r="N1182" s="52" t="str">
        <f aca="false">IF(AND(ISNUMBER($G1182),$G1182&gt;=60),MIN(INDEX($E$982:$E1182,202-60):$E1182),"")</f>
        <v/>
      </c>
      <c r="O1182" s="53" t="str">
        <f aca="false">IF(OR(NOT(ISNUMBER($C1182)),NOT(ISNUMBER($M1182)),$M1182=0),"",$C1182/$M1182-1)</f>
        <v/>
      </c>
      <c r="P1182" s="54"/>
      <c r="Q1182" s="53" t="str">
        <f aca="false">IF(NOT(ISNUMBER($P1182)),"",IFERROR(PERCENTRANK($P$5:$P$1204,$P1182),""))</f>
        <v/>
      </c>
    </row>
    <row r="1183" customFormat="false" ht="15" hidden="false" customHeight="false" outlineLevel="0" collapsed="false">
      <c r="A1183" s="55"/>
      <c r="B1183" s="56"/>
      <c r="C1183" s="57"/>
      <c r="D1183" s="56"/>
      <c r="E1183" s="56"/>
      <c r="F1183" s="56"/>
      <c r="G1183" s="50" t="str">
        <f aca="false">IF($A1183="","",IF(ISNUMBER($G1182),$G1182+1,1))</f>
        <v/>
      </c>
      <c r="H1183" s="51" t="str">
        <f aca="false">IF(OR(NOT(ISNUMBER($G1183)),$G1183&lt;2,NOT(ISNUMBER($C1182)),$C1182=0),"",$C1183/$C1182-1)</f>
        <v/>
      </c>
      <c r="I1183" s="52" t="str">
        <f aca="false">IF(AND(ISNUMBER($G1183),$G1183&gt;=MA_SHORT),AVERAGE(INDEX($C$783:$C1183,402-MA_SHORT):$C1183),"")</f>
        <v/>
      </c>
      <c r="J1183" s="52" t="str">
        <f aca="false">IF(AND(ISNUMBER($G1183),$G1183&gt;=MA_MED),AVERAGE(INDEX($C$783:$C1183,402-MA_MED):$C1183),"")</f>
        <v/>
      </c>
      <c r="K1183" s="52" t="str">
        <f aca="false">IF(AND(ISNUMBER($G1183),$G1183&gt;=MA_LONG2),AVERAGE(INDEX($C$783:$C1183,402-MA_LONG2):$C1183),"")</f>
        <v/>
      </c>
      <c r="L1183" s="53" t="str">
        <f aca="false">IF(AND(ISNUMBER($G1183),$G1183&gt;=21),STDEV(INDEX($H$1123:$H1183,62-20):$H1183)*SQRT(245),"")</f>
        <v/>
      </c>
      <c r="M1183" s="52" t="str">
        <f aca="false">IF(AND(ISNUMBER($G1183),$G1183&gt;=60),MAX(INDEX($D$983:$D1183,202-60):$D1183),"")</f>
        <v/>
      </c>
      <c r="N1183" s="52" t="str">
        <f aca="false">IF(AND(ISNUMBER($G1183),$G1183&gt;=60),MIN(INDEX($E$983:$E1183,202-60):$E1183),"")</f>
        <v/>
      </c>
      <c r="O1183" s="53" t="str">
        <f aca="false">IF(OR(NOT(ISNUMBER($C1183)),NOT(ISNUMBER($M1183)),$M1183=0),"",$C1183/$M1183-1)</f>
        <v/>
      </c>
      <c r="P1183" s="54"/>
      <c r="Q1183" s="53" t="str">
        <f aca="false">IF(NOT(ISNUMBER($P1183)),"",IFERROR(PERCENTRANK($P$5:$P$1204,$P1183),""))</f>
        <v/>
      </c>
    </row>
    <row r="1184" customFormat="false" ht="15" hidden="false" customHeight="false" outlineLevel="0" collapsed="false">
      <c r="A1184" s="55"/>
      <c r="B1184" s="56"/>
      <c r="C1184" s="57"/>
      <c r="D1184" s="56"/>
      <c r="E1184" s="56"/>
      <c r="F1184" s="56"/>
      <c r="G1184" s="50" t="str">
        <f aca="false">IF($A1184="","",IF(ISNUMBER($G1183),$G1183+1,1))</f>
        <v/>
      </c>
      <c r="H1184" s="51" t="str">
        <f aca="false">IF(OR(NOT(ISNUMBER($G1184)),$G1184&lt;2,NOT(ISNUMBER($C1183)),$C1183=0),"",$C1184/$C1183-1)</f>
        <v/>
      </c>
      <c r="I1184" s="52" t="str">
        <f aca="false">IF(AND(ISNUMBER($G1184),$G1184&gt;=MA_SHORT),AVERAGE(INDEX($C$784:$C1184,402-MA_SHORT):$C1184),"")</f>
        <v/>
      </c>
      <c r="J1184" s="52" t="str">
        <f aca="false">IF(AND(ISNUMBER($G1184),$G1184&gt;=MA_MED),AVERAGE(INDEX($C$784:$C1184,402-MA_MED):$C1184),"")</f>
        <v/>
      </c>
      <c r="K1184" s="52" t="str">
        <f aca="false">IF(AND(ISNUMBER($G1184),$G1184&gt;=MA_LONG2),AVERAGE(INDEX($C$784:$C1184,402-MA_LONG2):$C1184),"")</f>
        <v/>
      </c>
      <c r="L1184" s="53" t="str">
        <f aca="false">IF(AND(ISNUMBER($G1184),$G1184&gt;=21),STDEV(INDEX($H$1124:$H1184,62-20):$H1184)*SQRT(245),"")</f>
        <v/>
      </c>
      <c r="M1184" s="52" t="str">
        <f aca="false">IF(AND(ISNUMBER($G1184),$G1184&gt;=60),MAX(INDEX($D$984:$D1184,202-60):$D1184),"")</f>
        <v/>
      </c>
      <c r="N1184" s="52" t="str">
        <f aca="false">IF(AND(ISNUMBER($G1184),$G1184&gt;=60),MIN(INDEX($E$984:$E1184,202-60):$E1184),"")</f>
        <v/>
      </c>
      <c r="O1184" s="53" t="str">
        <f aca="false">IF(OR(NOT(ISNUMBER($C1184)),NOT(ISNUMBER($M1184)),$M1184=0),"",$C1184/$M1184-1)</f>
        <v/>
      </c>
      <c r="P1184" s="54"/>
      <c r="Q1184" s="53" t="str">
        <f aca="false">IF(NOT(ISNUMBER($P1184)),"",IFERROR(PERCENTRANK($P$5:$P$1204,$P1184),""))</f>
        <v/>
      </c>
    </row>
    <row r="1185" customFormat="false" ht="15" hidden="false" customHeight="false" outlineLevel="0" collapsed="false">
      <c r="A1185" s="55"/>
      <c r="B1185" s="56"/>
      <c r="C1185" s="57"/>
      <c r="D1185" s="56"/>
      <c r="E1185" s="56"/>
      <c r="F1185" s="56"/>
      <c r="G1185" s="50" t="str">
        <f aca="false">IF($A1185="","",IF(ISNUMBER($G1184),$G1184+1,1))</f>
        <v/>
      </c>
      <c r="H1185" s="51" t="str">
        <f aca="false">IF(OR(NOT(ISNUMBER($G1185)),$G1185&lt;2,NOT(ISNUMBER($C1184)),$C1184=0),"",$C1185/$C1184-1)</f>
        <v/>
      </c>
      <c r="I1185" s="52" t="str">
        <f aca="false">IF(AND(ISNUMBER($G1185),$G1185&gt;=MA_SHORT),AVERAGE(INDEX($C$785:$C1185,402-MA_SHORT):$C1185),"")</f>
        <v/>
      </c>
      <c r="J1185" s="52" t="str">
        <f aca="false">IF(AND(ISNUMBER($G1185),$G1185&gt;=MA_MED),AVERAGE(INDEX($C$785:$C1185,402-MA_MED):$C1185),"")</f>
        <v/>
      </c>
      <c r="K1185" s="52" t="str">
        <f aca="false">IF(AND(ISNUMBER($G1185),$G1185&gt;=MA_LONG2),AVERAGE(INDEX($C$785:$C1185,402-MA_LONG2):$C1185),"")</f>
        <v/>
      </c>
      <c r="L1185" s="53" t="str">
        <f aca="false">IF(AND(ISNUMBER($G1185),$G1185&gt;=21),STDEV(INDEX($H$1125:$H1185,62-20):$H1185)*SQRT(245),"")</f>
        <v/>
      </c>
      <c r="M1185" s="52" t="str">
        <f aca="false">IF(AND(ISNUMBER($G1185),$G1185&gt;=60),MAX(INDEX($D$985:$D1185,202-60):$D1185),"")</f>
        <v/>
      </c>
      <c r="N1185" s="52" t="str">
        <f aca="false">IF(AND(ISNUMBER($G1185),$G1185&gt;=60),MIN(INDEX($E$985:$E1185,202-60):$E1185),"")</f>
        <v/>
      </c>
      <c r="O1185" s="53" t="str">
        <f aca="false">IF(OR(NOT(ISNUMBER($C1185)),NOT(ISNUMBER($M1185)),$M1185=0),"",$C1185/$M1185-1)</f>
        <v/>
      </c>
      <c r="P1185" s="54"/>
      <c r="Q1185" s="53" t="str">
        <f aca="false">IF(NOT(ISNUMBER($P1185)),"",IFERROR(PERCENTRANK($P$5:$P$1204,$P1185),""))</f>
        <v/>
      </c>
    </row>
    <row r="1186" customFormat="false" ht="15" hidden="false" customHeight="false" outlineLevel="0" collapsed="false">
      <c r="A1186" s="55"/>
      <c r="B1186" s="56"/>
      <c r="C1186" s="57"/>
      <c r="D1186" s="56"/>
      <c r="E1186" s="56"/>
      <c r="F1186" s="56"/>
      <c r="G1186" s="50" t="str">
        <f aca="false">IF($A1186="","",IF(ISNUMBER($G1185),$G1185+1,1))</f>
        <v/>
      </c>
      <c r="H1186" s="51" t="str">
        <f aca="false">IF(OR(NOT(ISNUMBER($G1186)),$G1186&lt;2,NOT(ISNUMBER($C1185)),$C1185=0),"",$C1186/$C1185-1)</f>
        <v/>
      </c>
      <c r="I1186" s="52" t="str">
        <f aca="false">IF(AND(ISNUMBER($G1186),$G1186&gt;=MA_SHORT),AVERAGE(INDEX($C$786:$C1186,402-MA_SHORT):$C1186),"")</f>
        <v/>
      </c>
      <c r="J1186" s="52" t="str">
        <f aca="false">IF(AND(ISNUMBER($G1186),$G1186&gt;=MA_MED),AVERAGE(INDEX($C$786:$C1186,402-MA_MED):$C1186),"")</f>
        <v/>
      </c>
      <c r="K1186" s="52" t="str">
        <f aca="false">IF(AND(ISNUMBER($G1186),$G1186&gt;=MA_LONG2),AVERAGE(INDEX($C$786:$C1186,402-MA_LONG2):$C1186),"")</f>
        <v/>
      </c>
      <c r="L1186" s="53" t="str">
        <f aca="false">IF(AND(ISNUMBER($G1186),$G1186&gt;=21),STDEV(INDEX($H$1126:$H1186,62-20):$H1186)*SQRT(245),"")</f>
        <v/>
      </c>
      <c r="M1186" s="52" t="str">
        <f aca="false">IF(AND(ISNUMBER($G1186),$G1186&gt;=60),MAX(INDEX($D$986:$D1186,202-60):$D1186),"")</f>
        <v/>
      </c>
      <c r="N1186" s="52" t="str">
        <f aca="false">IF(AND(ISNUMBER($G1186),$G1186&gt;=60),MIN(INDEX($E$986:$E1186,202-60):$E1186),"")</f>
        <v/>
      </c>
      <c r="O1186" s="53" t="str">
        <f aca="false">IF(OR(NOT(ISNUMBER($C1186)),NOT(ISNUMBER($M1186)),$M1186=0),"",$C1186/$M1186-1)</f>
        <v/>
      </c>
      <c r="P1186" s="54"/>
      <c r="Q1186" s="53" t="str">
        <f aca="false">IF(NOT(ISNUMBER($P1186)),"",IFERROR(PERCENTRANK($P$5:$P$1204,$P1186),""))</f>
        <v/>
      </c>
    </row>
    <row r="1187" customFormat="false" ht="15" hidden="false" customHeight="false" outlineLevel="0" collapsed="false">
      <c r="A1187" s="55"/>
      <c r="B1187" s="56"/>
      <c r="C1187" s="57"/>
      <c r="D1187" s="56"/>
      <c r="E1187" s="56"/>
      <c r="F1187" s="56"/>
      <c r="G1187" s="50" t="str">
        <f aca="false">IF($A1187="","",IF(ISNUMBER($G1186),$G1186+1,1))</f>
        <v/>
      </c>
      <c r="H1187" s="51" t="str">
        <f aca="false">IF(OR(NOT(ISNUMBER($G1187)),$G1187&lt;2,NOT(ISNUMBER($C1186)),$C1186=0),"",$C1187/$C1186-1)</f>
        <v/>
      </c>
      <c r="I1187" s="52" t="str">
        <f aca="false">IF(AND(ISNUMBER($G1187),$G1187&gt;=MA_SHORT),AVERAGE(INDEX($C$787:$C1187,402-MA_SHORT):$C1187),"")</f>
        <v/>
      </c>
      <c r="J1187" s="52" t="str">
        <f aca="false">IF(AND(ISNUMBER($G1187),$G1187&gt;=MA_MED),AVERAGE(INDEX($C$787:$C1187,402-MA_MED):$C1187),"")</f>
        <v/>
      </c>
      <c r="K1187" s="52" t="str">
        <f aca="false">IF(AND(ISNUMBER($G1187),$G1187&gt;=MA_LONG2),AVERAGE(INDEX($C$787:$C1187,402-MA_LONG2):$C1187),"")</f>
        <v/>
      </c>
      <c r="L1187" s="53" t="str">
        <f aca="false">IF(AND(ISNUMBER($G1187),$G1187&gt;=21),STDEV(INDEX($H$1127:$H1187,62-20):$H1187)*SQRT(245),"")</f>
        <v/>
      </c>
      <c r="M1187" s="52" t="str">
        <f aca="false">IF(AND(ISNUMBER($G1187),$G1187&gt;=60),MAX(INDEX($D$987:$D1187,202-60):$D1187),"")</f>
        <v/>
      </c>
      <c r="N1187" s="52" t="str">
        <f aca="false">IF(AND(ISNUMBER($G1187),$G1187&gt;=60),MIN(INDEX($E$987:$E1187,202-60):$E1187),"")</f>
        <v/>
      </c>
      <c r="O1187" s="53" t="str">
        <f aca="false">IF(OR(NOT(ISNUMBER($C1187)),NOT(ISNUMBER($M1187)),$M1187=0),"",$C1187/$M1187-1)</f>
        <v/>
      </c>
      <c r="P1187" s="54"/>
      <c r="Q1187" s="53" t="str">
        <f aca="false">IF(NOT(ISNUMBER($P1187)),"",IFERROR(PERCENTRANK($P$5:$P$1204,$P1187),""))</f>
        <v/>
      </c>
    </row>
    <row r="1188" customFormat="false" ht="15" hidden="false" customHeight="false" outlineLevel="0" collapsed="false">
      <c r="A1188" s="55"/>
      <c r="B1188" s="56"/>
      <c r="C1188" s="57"/>
      <c r="D1188" s="56"/>
      <c r="E1188" s="56"/>
      <c r="F1188" s="56"/>
      <c r="G1188" s="50" t="str">
        <f aca="false">IF($A1188="","",IF(ISNUMBER($G1187),$G1187+1,1))</f>
        <v/>
      </c>
      <c r="H1188" s="51" t="str">
        <f aca="false">IF(OR(NOT(ISNUMBER($G1188)),$G1188&lt;2,NOT(ISNUMBER($C1187)),$C1187=0),"",$C1188/$C1187-1)</f>
        <v/>
      </c>
      <c r="I1188" s="52" t="str">
        <f aca="false">IF(AND(ISNUMBER($G1188),$G1188&gt;=MA_SHORT),AVERAGE(INDEX($C$788:$C1188,402-MA_SHORT):$C1188),"")</f>
        <v/>
      </c>
      <c r="J1188" s="52" t="str">
        <f aca="false">IF(AND(ISNUMBER($G1188),$G1188&gt;=MA_MED),AVERAGE(INDEX($C$788:$C1188,402-MA_MED):$C1188),"")</f>
        <v/>
      </c>
      <c r="K1188" s="52" t="str">
        <f aca="false">IF(AND(ISNUMBER($G1188),$G1188&gt;=MA_LONG2),AVERAGE(INDEX($C$788:$C1188,402-MA_LONG2):$C1188),"")</f>
        <v/>
      </c>
      <c r="L1188" s="53" t="str">
        <f aca="false">IF(AND(ISNUMBER($G1188),$G1188&gt;=21),STDEV(INDEX($H$1128:$H1188,62-20):$H1188)*SQRT(245),"")</f>
        <v/>
      </c>
      <c r="M1188" s="52" t="str">
        <f aca="false">IF(AND(ISNUMBER($G1188),$G1188&gt;=60),MAX(INDEX($D$988:$D1188,202-60):$D1188),"")</f>
        <v/>
      </c>
      <c r="N1188" s="52" t="str">
        <f aca="false">IF(AND(ISNUMBER($G1188),$G1188&gt;=60),MIN(INDEX($E$988:$E1188,202-60):$E1188),"")</f>
        <v/>
      </c>
      <c r="O1188" s="53" t="str">
        <f aca="false">IF(OR(NOT(ISNUMBER($C1188)),NOT(ISNUMBER($M1188)),$M1188=0),"",$C1188/$M1188-1)</f>
        <v/>
      </c>
      <c r="P1188" s="54"/>
      <c r="Q1188" s="53" t="str">
        <f aca="false">IF(NOT(ISNUMBER($P1188)),"",IFERROR(PERCENTRANK($P$5:$P$1204,$P1188),""))</f>
        <v/>
      </c>
    </row>
    <row r="1189" customFormat="false" ht="15" hidden="false" customHeight="false" outlineLevel="0" collapsed="false">
      <c r="A1189" s="55"/>
      <c r="B1189" s="56"/>
      <c r="C1189" s="57"/>
      <c r="D1189" s="56"/>
      <c r="E1189" s="56"/>
      <c r="F1189" s="56"/>
      <c r="G1189" s="50" t="str">
        <f aca="false">IF($A1189="","",IF(ISNUMBER($G1188),$G1188+1,1))</f>
        <v/>
      </c>
      <c r="H1189" s="51" t="str">
        <f aca="false">IF(OR(NOT(ISNUMBER($G1189)),$G1189&lt;2,NOT(ISNUMBER($C1188)),$C1188=0),"",$C1189/$C1188-1)</f>
        <v/>
      </c>
      <c r="I1189" s="52" t="str">
        <f aca="false">IF(AND(ISNUMBER($G1189),$G1189&gt;=MA_SHORT),AVERAGE(INDEX($C$789:$C1189,402-MA_SHORT):$C1189),"")</f>
        <v/>
      </c>
      <c r="J1189" s="52" t="str">
        <f aca="false">IF(AND(ISNUMBER($G1189),$G1189&gt;=MA_MED),AVERAGE(INDEX($C$789:$C1189,402-MA_MED):$C1189),"")</f>
        <v/>
      </c>
      <c r="K1189" s="52" t="str">
        <f aca="false">IF(AND(ISNUMBER($G1189),$G1189&gt;=MA_LONG2),AVERAGE(INDEX($C$789:$C1189,402-MA_LONG2):$C1189),"")</f>
        <v/>
      </c>
      <c r="L1189" s="53" t="str">
        <f aca="false">IF(AND(ISNUMBER($G1189),$G1189&gt;=21),STDEV(INDEX($H$1129:$H1189,62-20):$H1189)*SQRT(245),"")</f>
        <v/>
      </c>
      <c r="M1189" s="52" t="str">
        <f aca="false">IF(AND(ISNUMBER($G1189),$G1189&gt;=60),MAX(INDEX($D$989:$D1189,202-60):$D1189),"")</f>
        <v/>
      </c>
      <c r="N1189" s="52" t="str">
        <f aca="false">IF(AND(ISNUMBER($G1189),$G1189&gt;=60),MIN(INDEX($E$989:$E1189,202-60):$E1189),"")</f>
        <v/>
      </c>
      <c r="O1189" s="53" t="str">
        <f aca="false">IF(OR(NOT(ISNUMBER($C1189)),NOT(ISNUMBER($M1189)),$M1189=0),"",$C1189/$M1189-1)</f>
        <v/>
      </c>
      <c r="P1189" s="54"/>
      <c r="Q1189" s="53" t="str">
        <f aca="false">IF(NOT(ISNUMBER($P1189)),"",IFERROR(PERCENTRANK($P$5:$P$1204,$P1189),""))</f>
        <v/>
      </c>
    </row>
    <row r="1190" customFormat="false" ht="15" hidden="false" customHeight="false" outlineLevel="0" collapsed="false">
      <c r="A1190" s="55"/>
      <c r="B1190" s="56"/>
      <c r="C1190" s="57"/>
      <c r="D1190" s="56"/>
      <c r="E1190" s="56"/>
      <c r="F1190" s="56"/>
      <c r="G1190" s="50" t="str">
        <f aca="false">IF($A1190="","",IF(ISNUMBER($G1189),$G1189+1,1))</f>
        <v/>
      </c>
      <c r="H1190" s="51" t="str">
        <f aca="false">IF(OR(NOT(ISNUMBER($G1190)),$G1190&lt;2,NOT(ISNUMBER($C1189)),$C1189=0),"",$C1190/$C1189-1)</f>
        <v/>
      </c>
      <c r="I1190" s="52" t="str">
        <f aca="false">IF(AND(ISNUMBER($G1190),$G1190&gt;=MA_SHORT),AVERAGE(INDEX($C$790:$C1190,402-MA_SHORT):$C1190),"")</f>
        <v/>
      </c>
      <c r="J1190" s="52" t="str">
        <f aca="false">IF(AND(ISNUMBER($G1190),$G1190&gt;=MA_MED),AVERAGE(INDEX($C$790:$C1190,402-MA_MED):$C1190),"")</f>
        <v/>
      </c>
      <c r="K1190" s="52" t="str">
        <f aca="false">IF(AND(ISNUMBER($G1190),$G1190&gt;=MA_LONG2),AVERAGE(INDEX($C$790:$C1190,402-MA_LONG2):$C1190),"")</f>
        <v/>
      </c>
      <c r="L1190" s="53" t="str">
        <f aca="false">IF(AND(ISNUMBER($G1190),$G1190&gt;=21),STDEV(INDEX($H$1130:$H1190,62-20):$H1190)*SQRT(245),"")</f>
        <v/>
      </c>
      <c r="M1190" s="52" t="str">
        <f aca="false">IF(AND(ISNUMBER($G1190),$G1190&gt;=60),MAX(INDEX($D$990:$D1190,202-60):$D1190),"")</f>
        <v/>
      </c>
      <c r="N1190" s="52" t="str">
        <f aca="false">IF(AND(ISNUMBER($G1190),$G1190&gt;=60),MIN(INDEX($E$990:$E1190,202-60):$E1190),"")</f>
        <v/>
      </c>
      <c r="O1190" s="53" t="str">
        <f aca="false">IF(OR(NOT(ISNUMBER($C1190)),NOT(ISNUMBER($M1190)),$M1190=0),"",$C1190/$M1190-1)</f>
        <v/>
      </c>
      <c r="P1190" s="54"/>
      <c r="Q1190" s="53" t="str">
        <f aca="false">IF(NOT(ISNUMBER($P1190)),"",IFERROR(PERCENTRANK($P$5:$P$1204,$P1190),""))</f>
        <v/>
      </c>
    </row>
    <row r="1191" customFormat="false" ht="15" hidden="false" customHeight="false" outlineLevel="0" collapsed="false">
      <c r="A1191" s="55"/>
      <c r="B1191" s="56"/>
      <c r="C1191" s="57"/>
      <c r="D1191" s="56"/>
      <c r="E1191" s="56"/>
      <c r="F1191" s="56"/>
      <c r="G1191" s="50" t="str">
        <f aca="false">IF($A1191="","",IF(ISNUMBER($G1190),$G1190+1,1))</f>
        <v/>
      </c>
      <c r="H1191" s="51" t="str">
        <f aca="false">IF(OR(NOT(ISNUMBER($G1191)),$G1191&lt;2,NOT(ISNUMBER($C1190)),$C1190=0),"",$C1191/$C1190-1)</f>
        <v/>
      </c>
      <c r="I1191" s="52" t="str">
        <f aca="false">IF(AND(ISNUMBER($G1191),$G1191&gt;=MA_SHORT),AVERAGE(INDEX($C$791:$C1191,402-MA_SHORT):$C1191),"")</f>
        <v/>
      </c>
      <c r="J1191" s="52" t="str">
        <f aca="false">IF(AND(ISNUMBER($G1191),$G1191&gt;=MA_MED),AVERAGE(INDEX($C$791:$C1191,402-MA_MED):$C1191),"")</f>
        <v/>
      </c>
      <c r="K1191" s="52" t="str">
        <f aca="false">IF(AND(ISNUMBER($G1191),$G1191&gt;=MA_LONG2),AVERAGE(INDEX($C$791:$C1191,402-MA_LONG2):$C1191),"")</f>
        <v/>
      </c>
      <c r="L1191" s="53" t="str">
        <f aca="false">IF(AND(ISNUMBER($G1191),$G1191&gt;=21),STDEV(INDEX($H$1131:$H1191,62-20):$H1191)*SQRT(245),"")</f>
        <v/>
      </c>
      <c r="M1191" s="52" t="str">
        <f aca="false">IF(AND(ISNUMBER($G1191),$G1191&gt;=60),MAX(INDEX($D$991:$D1191,202-60):$D1191),"")</f>
        <v/>
      </c>
      <c r="N1191" s="52" t="str">
        <f aca="false">IF(AND(ISNUMBER($G1191),$G1191&gt;=60),MIN(INDEX($E$991:$E1191,202-60):$E1191),"")</f>
        <v/>
      </c>
      <c r="O1191" s="53" t="str">
        <f aca="false">IF(OR(NOT(ISNUMBER($C1191)),NOT(ISNUMBER($M1191)),$M1191=0),"",$C1191/$M1191-1)</f>
        <v/>
      </c>
      <c r="P1191" s="54"/>
      <c r="Q1191" s="53" t="str">
        <f aca="false">IF(NOT(ISNUMBER($P1191)),"",IFERROR(PERCENTRANK($P$5:$P$1204,$P1191),""))</f>
        <v/>
      </c>
    </row>
    <row r="1192" customFormat="false" ht="15" hidden="false" customHeight="false" outlineLevel="0" collapsed="false">
      <c r="A1192" s="55"/>
      <c r="B1192" s="56"/>
      <c r="C1192" s="57"/>
      <c r="D1192" s="56"/>
      <c r="E1192" s="56"/>
      <c r="F1192" s="56"/>
      <c r="G1192" s="50" t="str">
        <f aca="false">IF($A1192="","",IF(ISNUMBER($G1191),$G1191+1,1))</f>
        <v/>
      </c>
      <c r="H1192" s="51" t="str">
        <f aca="false">IF(OR(NOT(ISNUMBER($G1192)),$G1192&lt;2,NOT(ISNUMBER($C1191)),$C1191=0),"",$C1192/$C1191-1)</f>
        <v/>
      </c>
      <c r="I1192" s="52" t="str">
        <f aca="false">IF(AND(ISNUMBER($G1192),$G1192&gt;=MA_SHORT),AVERAGE(INDEX($C$792:$C1192,402-MA_SHORT):$C1192),"")</f>
        <v/>
      </c>
      <c r="J1192" s="52" t="str">
        <f aca="false">IF(AND(ISNUMBER($G1192),$G1192&gt;=MA_MED),AVERAGE(INDEX($C$792:$C1192,402-MA_MED):$C1192),"")</f>
        <v/>
      </c>
      <c r="K1192" s="52" t="str">
        <f aca="false">IF(AND(ISNUMBER($G1192),$G1192&gt;=MA_LONG2),AVERAGE(INDEX($C$792:$C1192,402-MA_LONG2):$C1192),"")</f>
        <v/>
      </c>
      <c r="L1192" s="53" t="str">
        <f aca="false">IF(AND(ISNUMBER($G1192),$G1192&gt;=21),STDEV(INDEX($H$1132:$H1192,62-20):$H1192)*SQRT(245),"")</f>
        <v/>
      </c>
      <c r="M1192" s="52" t="str">
        <f aca="false">IF(AND(ISNUMBER($G1192),$G1192&gt;=60),MAX(INDEX($D$992:$D1192,202-60):$D1192),"")</f>
        <v/>
      </c>
      <c r="N1192" s="52" t="str">
        <f aca="false">IF(AND(ISNUMBER($G1192),$G1192&gt;=60),MIN(INDEX($E$992:$E1192,202-60):$E1192),"")</f>
        <v/>
      </c>
      <c r="O1192" s="53" t="str">
        <f aca="false">IF(OR(NOT(ISNUMBER($C1192)),NOT(ISNUMBER($M1192)),$M1192=0),"",$C1192/$M1192-1)</f>
        <v/>
      </c>
      <c r="P1192" s="54"/>
      <c r="Q1192" s="53" t="str">
        <f aca="false">IF(NOT(ISNUMBER($P1192)),"",IFERROR(PERCENTRANK($P$5:$P$1204,$P1192),""))</f>
        <v/>
      </c>
    </row>
    <row r="1193" customFormat="false" ht="15" hidden="false" customHeight="false" outlineLevel="0" collapsed="false">
      <c r="A1193" s="55"/>
      <c r="B1193" s="56"/>
      <c r="C1193" s="57"/>
      <c r="D1193" s="56"/>
      <c r="E1193" s="56"/>
      <c r="F1193" s="56"/>
      <c r="G1193" s="50" t="str">
        <f aca="false">IF($A1193="","",IF(ISNUMBER($G1192),$G1192+1,1))</f>
        <v/>
      </c>
      <c r="H1193" s="51" t="str">
        <f aca="false">IF(OR(NOT(ISNUMBER($G1193)),$G1193&lt;2,NOT(ISNUMBER($C1192)),$C1192=0),"",$C1193/$C1192-1)</f>
        <v/>
      </c>
      <c r="I1193" s="52" t="str">
        <f aca="false">IF(AND(ISNUMBER($G1193),$G1193&gt;=MA_SHORT),AVERAGE(INDEX($C$793:$C1193,402-MA_SHORT):$C1193),"")</f>
        <v/>
      </c>
      <c r="J1193" s="52" t="str">
        <f aca="false">IF(AND(ISNUMBER($G1193),$G1193&gt;=MA_MED),AVERAGE(INDEX($C$793:$C1193,402-MA_MED):$C1193),"")</f>
        <v/>
      </c>
      <c r="K1193" s="52" t="str">
        <f aca="false">IF(AND(ISNUMBER($G1193),$G1193&gt;=MA_LONG2),AVERAGE(INDEX($C$793:$C1193,402-MA_LONG2):$C1193),"")</f>
        <v/>
      </c>
      <c r="L1193" s="53" t="str">
        <f aca="false">IF(AND(ISNUMBER($G1193),$G1193&gt;=21),STDEV(INDEX($H$1133:$H1193,62-20):$H1193)*SQRT(245),"")</f>
        <v/>
      </c>
      <c r="M1193" s="52" t="str">
        <f aca="false">IF(AND(ISNUMBER($G1193),$G1193&gt;=60),MAX(INDEX($D$993:$D1193,202-60):$D1193),"")</f>
        <v/>
      </c>
      <c r="N1193" s="52" t="str">
        <f aca="false">IF(AND(ISNUMBER($G1193),$G1193&gt;=60),MIN(INDEX($E$993:$E1193,202-60):$E1193),"")</f>
        <v/>
      </c>
      <c r="O1193" s="53" t="str">
        <f aca="false">IF(OR(NOT(ISNUMBER($C1193)),NOT(ISNUMBER($M1193)),$M1193=0),"",$C1193/$M1193-1)</f>
        <v/>
      </c>
      <c r="P1193" s="54"/>
      <c r="Q1193" s="53" t="str">
        <f aca="false">IF(NOT(ISNUMBER($P1193)),"",IFERROR(PERCENTRANK($P$5:$P$1204,$P1193),""))</f>
        <v/>
      </c>
    </row>
    <row r="1194" customFormat="false" ht="15" hidden="false" customHeight="false" outlineLevel="0" collapsed="false">
      <c r="A1194" s="55"/>
      <c r="B1194" s="56"/>
      <c r="C1194" s="57"/>
      <c r="D1194" s="56"/>
      <c r="E1194" s="56"/>
      <c r="F1194" s="56"/>
      <c r="G1194" s="50" t="str">
        <f aca="false">IF($A1194="","",IF(ISNUMBER($G1193),$G1193+1,1))</f>
        <v/>
      </c>
      <c r="H1194" s="51" t="str">
        <f aca="false">IF(OR(NOT(ISNUMBER($G1194)),$G1194&lt;2,NOT(ISNUMBER($C1193)),$C1193=0),"",$C1194/$C1193-1)</f>
        <v/>
      </c>
      <c r="I1194" s="52" t="str">
        <f aca="false">IF(AND(ISNUMBER($G1194),$G1194&gt;=MA_SHORT),AVERAGE(INDEX($C$794:$C1194,402-MA_SHORT):$C1194),"")</f>
        <v/>
      </c>
      <c r="J1194" s="52" t="str">
        <f aca="false">IF(AND(ISNUMBER($G1194),$G1194&gt;=MA_MED),AVERAGE(INDEX($C$794:$C1194,402-MA_MED):$C1194),"")</f>
        <v/>
      </c>
      <c r="K1194" s="52" t="str">
        <f aca="false">IF(AND(ISNUMBER($G1194),$G1194&gt;=MA_LONG2),AVERAGE(INDEX($C$794:$C1194,402-MA_LONG2):$C1194),"")</f>
        <v/>
      </c>
      <c r="L1194" s="53" t="str">
        <f aca="false">IF(AND(ISNUMBER($G1194),$G1194&gt;=21),STDEV(INDEX($H$1134:$H1194,62-20):$H1194)*SQRT(245),"")</f>
        <v/>
      </c>
      <c r="M1194" s="52" t="str">
        <f aca="false">IF(AND(ISNUMBER($G1194),$G1194&gt;=60),MAX(INDEX($D$994:$D1194,202-60):$D1194),"")</f>
        <v/>
      </c>
      <c r="N1194" s="52" t="str">
        <f aca="false">IF(AND(ISNUMBER($G1194),$G1194&gt;=60),MIN(INDEX($E$994:$E1194,202-60):$E1194),"")</f>
        <v/>
      </c>
      <c r="O1194" s="53" t="str">
        <f aca="false">IF(OR(NOT(ISNUMBER($C1194)),NOT(ISNUMBER($M1194)),$M1194=0),"",$C1194/$M1194-1)</f>
        <v/>
      </c>
      <c r="P1194" s="54"/>
      <c r="Q1194" s="53" t="str">
        <f aca="false">IF(NOT(ISNUMBER($P1194)),"",IFERROR(PERCENTRANK($P$5:$P$1204,$P1194),""))</f>
        <v/>
      </c>
    </row>
    <row r="1195" customFormat="false" ht="15" hidden="false" customHeight="false" outlineLevel="0" collapsed="false">
      <c r="A1195" s="55"/>
      <c r="B1195" s="56"/>
      <c r="C1195" s="57"/>
      <c r="D1195" s="56"/>
      <c r="E1195" s="56"/>
      <c r="F1195" s="56"/>
      <c r="G1195" s="50" t="str">
        <f aca="false">IF($A1195="","",IF(ISNUMBER($G1194),$G1194+1,1))</f>
        <v/>
      </c>
      <c r="H1195" s="51" t="str">
        <f aca="false">IF(OR(NOT(ISNUMBER($G1195)),$G1195&lt;2,NOT(ISNUMBER($C1194)),$C1194=0),"",$C1195/$C1194-1)</f>
        <v/>
      </c>
      <c r="I1195" s="52" t="str">
        <f aca="false">IF(AND(ISNUMBER($G1195),$G1195&gt;=MA_SHORT),AVERAGE(INDEX($C$795:$C1195,402-MA_SHORT):$C1195),"")</f>
        <v/>
      </c>
      <c r="J1195" s="52" t="str">
        <f aca="false">IF(AND(ISNUMBER($G1195),$G1195&gt;=MA_MED),AVERAGE(INDEX($C$795:$C1195,402-MA_MED):$C1195),"")</f>
        <v/>
      </c>
      <c r="K1195" s="52" t="str">
        <f aca="false">IF(AND(ISNUMBER($G1195),$G1195&gt;=MA_LONG2),AVERAGE(INDEX($C$795:$C1195,402-MA_LONG2):$C1195),"")</f>
        <v/>
      </c>
      <c r="L1195" s="53" t="str">
        <f aca="false">IF(AND(ISNUMBER($G1195),$G1195&gt;=21),STDEV(INDEX($H$1135:$H1195,62-20):$H1195)*SQRT(245),"")</f>
        <v/>
      </c>
      <c r="M1195" s="52" t="str">
        <f aca="false">IF(AND(ISNUMBER($G1195),$G1195&gt;=60),MAX(INDEX($D$995:$D1195,202-60):$D1195),"")</f>
        <v/>
      </c>
      <c r="N1195" s="52" t="str">
        <f aca="false">IF(AND(ISNUMBER($G1195),$G1195&gt;=60),MIN(INDEX($E$995:$E1195,202-60):$E1195),"")</f>
        <v/>
      </c>
      <c r="O1195" s="53" t="str">
        <f aca="false">IF(OR(NOT(ISNUMBER($C1195)),NOT(ISNUMBER($M1195)),$M1195=0),"",$C1195/$M1195-1)</f>
        <v/>
      </c>
      <c r="P1195" s="54"/>
      <c r="Q1195" s="53" t="str">
        <f aca="false">IF(NOT(ISNUMBER($P1195)),"",IFERROR(PERCENTRANK($P$5:$P$1204,$P1195),""))</f>
        <v/>
      </c>
    </row>
    <row r="1196" customFormat="false" ht="15" hidden="false" customHeight="false" outlineLevel="0" collapsed="false">
      <c r="A1196" s="55"/>
      <c r="B1196" s="56"/>
      <c r="C1196" s="57"/>
      <c r="D1196" s="56"/>
      <c r="E1196" s="56"/>
      <c r="F1196" s="56"/>
      <c r="G1196" s="50" t="str">
        <f aca="false">IF($A1196="","",IF(ISNUMBER($G1195),$G1195+1,1))</f>
        <v/>
      </c>
      <c r="H1196" s="51" t="str">
        <f aca="false">IF(OR(NOT(ISNUMBER($G1196)),$G1196&lt;2,NOT(ISNUMBER($C1195)),$C1195=0),"",$C1196/$C1195-1)</f>
        <v/>
      </c>
      <c r="I1196" s="52" t="str">
        <f aca="false">IF(AND(ISNUMBER($G1196),$G1196&gt;=MA_SHORT),AVERAGE(INDEX($C$796:$C1196,402-MA_SHORT):$C1196),"")</f>
        <v/>
      </c>
      <c r="J1196" s="52" t="str">
        <f aca="false">IF(AND(ISNUMBER($G1196),$G1196&gt;=MA_MED),AVERAGE(INDEX($C$796:$C1196,402-MA_MED):$C1196),"")</f>
        <v/>
      </c>
      <c r="K1196" s="52" t="str">
        <f aca="false">IF(AND(ISNUMBER($G1196),$G1196&gt;=MA_LONG2),AVERAGE(INDEX($C$796:$C1196,402-MA_LONG2):$C1196),"")</f>
        <v/>
      </c>
      <c r="L1196" s="53" t="str">
        <f aca="false">IF(AND(ISNUMBER($G1196),$G1196&gt;=21),STDEV(INDEX($H$1136:$H1196,62-20):$H1196)*SQRT(245),"")</f>
        <v/>
      </c>
      <c r="M1196" s="52" t="str">
        <f aca="false">IF(AND(ISNUMBER($G1196),$G1196&gt;=60),MAX(INDEX($D$996:$D1196,202-60):$D1196),"")</f>
        <v/>
      </c>
      <c r="N1196" s="52" t="str">
        <f aca="false">IF(AND(ISNUMBER($G1196),$G1196&gt;=60),MIN(INDEX($E$996:$E1196,202-60):$E1196),"")</f>
        <v/>
      </c>
      <c r="O1196" s="53" t="str">
        <f aca="false">IF(OR(NOT(ISNUMBER($C1196)),NOT(ISNUMBER($M1196)),$M1196=0),"",$C1196/$M1196-1)</f>
        <v/>
      </c>
      <c r="P1196" s="54"/>
      <c r="Q1196" s="53" t="str">
        <f aca="false">IF(NOT(ISNUMBER($P1196)),"",IFERROR(PERCENTRANK($P$5:$P$1204,$P1196),""))</f>
        <v/>
      </c>
    </row>
    <row r="1197" customFormat="false" ht="15" hidden="false" customHeight="false" outlineLevel="0" collapsed="false">
      <c r="A1197" s="55"/>
      <c r="B1197" s="56"/>
      <c r="C1197" s="57"/>
      <c r="D1197" s="56"/>
      <c r="E1197" s="56"/>
      <c r="F1197" s="56"/>
      <c r="G1197" s="50" t="str">
        <f aca="false">IF($A1197="","",IF(ISNUMBER($G1196),$G1196+1,1))</f>
        <v/>
      </c>
      <c r="H1197" s="51" t="str">
        <f aca="false">IF(OR(NOT(ISNUMBER($G1197)),$G1197&lt;2,NOT(ISNUMBER($C1196)),$C1196=0),"",$C1197/$C1196-1)</f>
        <v/>
      </c>
      <c r="I1197" s="52" t="str">
        <f aca="false">IF(AND(ISNUMBER($G1197),$G1197&gt;=MA_SHORT),AVERAGE(INDEX($C$797:$C1197,402-MA_SHORT):$C1197),"")</f>
        <v/>
      </c>
      <c r="J1197" s="52" t="str">
        <f aca="false">IF(AND(ISNUMBER($G1197),$G1197&gt;=MA_MED),AVERAGE(INDEX($C$797:$C1197,402-MA_MED):$C1197),"")</f>
        <v/>
      </c>
      <c r="K1197" s="52" t="str">
        <f aca="false">IF(AND(ISNUMBER($G1197),$G1197&gt;=MA_LONG2),AVERAGE(INDEX($C$797:$C1197,402-MA_LONG2):$C1197),"")</f>
        <v/>
      </c>
      <c r="L1197" s="53" t="str">
        <f aca="false">IF(AND(ISNUMBER($G1197),$G1197&gt;=21),STDEV(INDEX($H$1137:$H1197,62-20):$H1197)*SQRT(245),"")</f>
        <v/>
      </c>
      <c r="M1197" s="52" t="str">
        <f aca="false">IF(AND(ISNUMBER($G1197),$G1197&gt;=60),MAX(INDEX($D$997:$D1197,202-60):$D1197),"")</f>
        <v/>
      </c>
      <c r="N1197" s="52" t="str">
        <f aca="false">IF(AND(ISNUMBER($G1197),$G1197&gt;=60),MIN(INDEX($E$997:$E1197,202-60):$E1197),"")</f>
        <v/>
      </c>
      <c r="O1197" s="53" t="str">
        <f aca="false">IF(OR(NOT(ISNUMBER($C1197)),NOT(ISNUMBER($M1197)),$M1197=0),"",$C1197/$M1197-1)</f>
        <v/>
      </c>
      <c r="P1197" s="54"/>
      <c r="Q1197" s="53" t="str">
        <f aca="false">IF(NOT(ISNUMBER($P1197)),"",IFERROR(PERCENTRANK($P$5:$P$1204,$P1197),""))</f>
        <v/>
      </c>
    </row>
    <row r="1198" customFormat="false" ht="15" hidden="false" customHeight="false" outlineLevel="0" collapsed="false">
      <c r="A1198" s="55"/>
      <c r="B1198" s="56"/>
      <c r="C1198" s="57"/>
      <c r="D1198" s="56"/>
      <c r="E1198" s="56"/>
      <c r="F1198" s="56"/>
      <c r="G1198" s="50" t="str">
        <f aca="false">IF($A1198="","",IF(ISNUMBER($G1197),$G1197+1,1))</f>
        <v/>
      </c>
      <c r="H1198" s="51" t="str">
        <f aca="false">IF(OR(NOT(ISNUMBER($G1198)),$G1198&lt;2,NOT(ISNUMBER($C1197)),$C1197=0),"",$C1198/$C1197-1)</f>
        <v/>
      </c>
      <c r="I1198" s="52" t="str">
        <f aca="false">IF(AND(ISNUMBER($G1198),$G1198&gt;=MA_SHORT),AVERAGE(INDEX($C$798:$C1198,402-MA_SHORT):$C1198),"")</f>
        <v/>
      </c>
      <c r="J1198" s="52" t="str">
        <f aca="false">IF(AND(ISNUMBER($G1198),$G1198&gt;=MA_MED),AVERAGE(INDEX($C$798:$C1198,402-MA_MED):$C1198),"")</f>
        <v/>
      </c>
      <c r="K1198" s="52" t="str">
        <f aca="false">IF(AND(ISNUMBER($G1198),$G1198&gt;=MA_LONG2),AVERAGE(INDEX($C$798:$C1198,402-MA_LONG2):$C1198),"")</f>
        <v/>
      </c>
      <c r="L1198" s="53" t="str">
        <f aca="false">IF(AND(ISNUMBER($G1198),$G1198&gt;=21),STDEV(INDEX($H$1138:$H1198,62-20):$H1198)*SQRT(245),"")</f>
        <v/>
      </c>
      <c r="M1198" s="52" t="str">
        <f aca="false">IF(AND(ISNUMBER($G1198),$G1198&gt;=60),MAX(INDEX($D$998:$D1198,202-60):$D1198),"")</f>
        <v/>
      </c>
      <c r="N1198" s="52" t="str">
        <f aca="false">IF(AND(ISNUMBER($G1198),$G1198&gt;=60),MIN(INDEX($E$998:$E1198,202-60):$E1198),"")</f>
        <v/>
      </c>
      <c r="O1198" s="53" t="str">
        <f aca="false">IF(OR(NOT(ISNUMBER($C1198)),NOT(ISNUMBER($M1198)),$M1198=0),"",$C1198/$M1198-1)</f>
        <v/>
      </c>
      <c r="P1198" s="54"/>
      <c r="Q1198" s="53" t="str">
        <f aca="false">IF(NOT(ISNUMBER($P1198)),"",IFERROR(PERCENTRANK($P$5:$P$1204,$P1198),""))</f>
        <v/>
      </c>
    </row>
    <row r="1199" customFormat="false" ht="15" hidden="false" customHeight="false" outlineLevel="0" collapsed="false">
      <c r="A1199" s="55"/>
      <c r="B1199" s="56"/>
      <c r="C1199" s="57"/>
      <c r="D1199" s="56"/>
      <c r="E1199" s="56"/>
      <c r="F1199" s="56"/>
      <c r="G1199" s="50" t="str">
        <f aca="false">IF($A1199="","",IF(ISNUMBER($G1198),$G1198+1,1))</f>
        <v/>
      </c>
      <c r="H1199" s="51" t="str">
        <f aca="false">IF(OR(NOT(ISNUMBER($G1199)),$G1199&lt;2,NOT(ISNUMBER($C1198)),$C1198=0),"",$C1199/$C1198-1)</f>
        <v/>
      </c>
      <c r="I1199" s="52" t="str">
        <f aca="false">IF(AND(ISNUMBER($G1199),$G1199&gt;=MA_SHORT),AVERAGE(INDEX($C$799:$C1199,402-MA_SHORT):$C1199),"")</f>
        <v/>
      </c>
      <c r="J1199" s="52" t="str">
        <f aca="false">IF(AND(ISNUMBER($G1199),$G1199&gt;=MA_MED),AVERAGE(INDEX($C$799:$C1199,402-MA_MED):$C1199),"")</f>
        <v/>
      </c>
      <c r="K1199" s="52" t="str">
        <f aca="false">IF(AND(ISNUMBER($G1199),$G1199&gt;=MA_LONG2),AVERAGE(INDEX($C$799:$C1199,402-MA_LONG2):$C1199),"")</f>
        <v/>
      </c>
      <c r="L1199" s="53" t="str">
        <f aca="false">IF(AND(ISNUMBER($G1199),$G1199&gt;=21),STDEV(INDEX($H$1139:$H1199,62-20):$H1199)*SQRT(245),"")</f>
        <v/>
      </c>
      <c r="M1199" s="52" t="str">
        <f aca="false">IF(AND(ISNUMBER($G1199),$G1199&gt;=60),MAX(INDEX($D$999:$D1199,202-60):$D1199),"")</f>
        <v/>
      </c>
      <c r="N1199" s="52" t="str">
        <f aca="false">IF(AND(ISNUMBER($G1199),$G1199&gt;=60),MIN(INDEX($E$999:$E1199,202-60):$E1199),"")</f>
        <v/>
      </c>
      <c r="O1199" s="53" t="str">
        <f aca="false">IF(OR(NOT(ISNUMBER($C1199)),NOT(ISNUMBER($M1199)),$M1199=0),"",$C1199/$M1199-1)</f>
        <v/>
      </c>
      <c r="P1199" s="54"/>
      <c r="Q1199" s="53" t="str">
        <f aca="false">IF(NOT(ISNUMBER($P1199)),"",IFERROR(PERCENTRANK($P$5:$P$1204,$P1199),""))</f>
        <v/>
      </c>
    </row>
    <row r="1200" customFormat="false" ht="15" hidden="false" customHeight="false" outlineLevel="0" collapsed="false">
      <c r="A1200" s="55"/>
      <c r="B1200" s="56"/>
      <c r="C1200" s="57"/>
      <c r="D1200" s="56"/>
      <c r="E1200" s="56"/>
      <c r="F1200" s="56"/>
      <c r="G1200" s="50" t="str">
        <f aca="false">IF($A1200="","",IF(ISNUMBER($G1199),$G1199+1,1))</f>
        <v/>
      </c>
      <c r="H1200" s="51" t="str">
        <f aca="false">IF(OR(NOT(ISNUMBER($G1200)),$G1200&lt;2,NOT(ISNUMBER($C1199)),$C1199=0),"",$C1200/$C1199-1)</f>
        <v/>
      </c>
      <c r="I1200" s="52" t="str">
        <f aca="false">IF(AND(ISNUMBER($G1200),$G1200&gt;=MA_SHORT),AVERAGE(INDEX($C$800:$C1200,402-MA_SHORT):$C1200),"")</f>
        <v/>
      </c>
      <c r="J1200" s="52" t="str">
        <f aca="false">IF(AND(ISNUMBER($G1200),$G1200&gt;=MA_MED),AVERAGE(INDEX($C$800:$C1200,402-MA_MED):$C1200),"")</f>
        <v/>
      </c>
      <c r="K1200" s="52" t="str">
        <f aca="false">IF(AND(ISNUMBER($G1200),$G1200&gt;=MA_LONG2),AVERAGE(INDEX($C$800:$C1200,402-MA_LONG2):$C1200),"")</f>
        <v/>
      </c>
      <c r="L1200" s="53" t="str">
        <f aca="false">IF(AND(ISNUMBER($G1200),$G1200&gt;=21),STDEV(INDEX($H$1140:$H1200,62-20):$H1200)*SQRT(245),"")</f>
        <v/>
      </c>
      <c r="M1200" s="52" t="str">
        <f aca="false">IF(AND(ISNUMBER($G1200),$G1200&gt;=60),MAX(INDEX($D$1000:$D1200,202-60):$D1200),"")</f>
        <v/>
      </c>
      <c r="N1200" s="52" t="str">
        <f aca="false">IF(AND(ISNUMBER($G1200),$G1200&gt;=60),MIN(INDEX($E$1000:$E1200,202-60):$E1200),"")</f>
        <v/>
      </c>
      <c r="O1200" s="53" t="str">
        <f aca="false">IF(OR(NOT(ISNUMBER($C1200)),NOT(ISNUMBER($M1200)),$M1200=0),"",$C1200/$M1200-1)</f>
        <v/>
      </c>
      <c r="P1200" s="54"/>
      <c r="Q1200" s="53" t="str">
        <f aca="false">IF(NOT(ISNUMBER($P1200)),"",IFERROR(PERCENTRANK($P$5:$P$1204,$P1200),""))</f>
        <v/>
      </c>
    </row>
    <row r="1201" customFormat="false" ht="15" hidden="false" customHeight="false" outlineLevel="0" collapsed="false">
      <c r="A1201" s="55"/>
      <c r="B1201" s="56"/>
      <c r="C1201" s="57"/>
      <c r="D1201" s="56"/>
      <c r="E1201" s="56"/>
      <c r="F1201" s="56"/>
      <c r="G1201" s="50" t="str">
        <f aca="false">IF($A1201="","",IF(ISNUMBER($G1200),$G1200+1,1))</f>
        <v/>
      </c>
      <c r="H1201" s="51" t="str">
        <f aca="false">IF(OR(NOT(ISNUMBER($G1201)),$G1201&lt;2,NOT(ISNUMBER($C1200)),$C1200=0),"",$C1201/$C1200-1)</f>
        <v/>
      </c>
      <c r="I1201" s="52" t="str">
        <f aca="false">IF(AND(ISNUMBER($G1201),$G1201&gt;=MA_SHORT),AVERAGE(INDEX($C$801:$C1201,402-MA_SHORT):$C1201),"")</f>
        <v/>
      </c>
      <c r="J1201" s="52" t="str">
        <f aca="false">IF(AND(ISNUMBER($G1201),$G1201&gt;=MA_MED),AVERAGE(INDEX($C$801:$C1201,402-MA_MED):$C1201),"")</f>
        <v/>
      </c>
      <c r="K1201" s="52" t="str">
        <f aca="false">IF(AND(ISNUMBER($G1201),$G1201&gt;=MA_LONG2),AVERAGE(INDEX($C$801:$C1201,402-MA_LONG2):$C1201),"")</f>
        <v/>
      </c>
      <c r="L1201" s="53" t="str">
        <f aca="false">IF(AND(ISNUMBER($G1201),$G1201&gt;=21),STDEV(INDEX($H$1141:$H1201,62-20):$H1201)*SQRT(245),"")</f>
        <v/>
      </c>
      <c r="M1201" s="52" t="str">
        <f aca="false">IF(AND(ISNUMBER($G1201),$G1201&gt;=60),MAX(INDEX($D$1001:$D1201,202-60):$D1201),"")</f>
        <v/>
      </c>
      <c r="N1201" s="52" t="str">
        <f aca="false">IF(AND(ISNUMBER($G1201),$G1201&gt;=60),MIN(INDEX($E$1001:$E1201,202-60):$E1201),"")</f>
        <v/>
      </c>
      <c r="O1201" s="53" t="str">
        <f aca="false">IF(OR(NOT(ISNUMBER($C1201)),NOT(ISNUMBER($M1201)),$M1201=0),"",$C1201/$M1201-1)</f>
        <v/>
      </c>
      <c r="P1201" s="54"/>
      <c r="Q1201" s="53" t="str">
        <f aca="false">IF(NOT(ISNUMBER($P1201)),"",IFERROR(PERCENTRANK($P$5:$P$1204,$P1201),""))</f>
        <v/>
      </c>
    </row>
    <row r="1202" customFormat="false" ht="15" hidden="false" customHeight="false" outlineLevel="0" collapsed="false">
      <c r="A1202" s="55"/>
      <c r="B1202" s="56"/>
      <c r="C1202" s="57"/>
      <c r="D1202" s="56"/>
      <c r="E1202" s="56"/>
      <c r="F1202" s="56"/>
      <c r="G1202" s="50" t="str">
        <f aca="false">IF($A1202="","",IF(ISNUMBER($G1201),$G1201+1,1))</f>
        <v/>
      </c>
      <c r="H1202" s="51" t="str">
        <f aca="false">IF(OR(NOT(ISNUMBER($G1202)),$G1202&lt;2,NOT(ISNUMBER($C1201)),$C1201=0),"",$C1202/$C1201-1)</f>
        <v/>
      </c>
      <c r="I1202" s="52" t="str">
        <f aca="false">IF(AND(ISNUMBER($G1202),$G1202&gt;=MA_SHORT),AVERAGE(INDEX($C$802:$C1202,402-MA_SHORT):$C1202),"")</f>
        <v/>
      </c>
      <c r="J1202" s="52" t="str">
        <f aca="false">IF(AND(ISNUMBER($G1202),$G1202&gt;=MA_MED),AVERAGE(INDEX($C$802:$C1202,402-MA_MED):$C1202),"")</f>
        <v/>
      </c>
      <c r="K1202" s="52" t="str">
        <f aca="false">IF(AND(ISNUMBER($G1202),$G1202&gt;=MA_LONG2),AVERAGE(INDEX($C$802:$C1202,402-MA_LONG2):$C1202),"")</f>
        <v/>
      </c>
      <c r="L1202" s="53" t="str">
        <f aca="false">IF(AND(ISNUMBER($G1202),$G1202&gt;=21),STDEV(INDEX($H$1142:$H1202,62-20):$H1202)*SQRT(245),"")</f>
        <v/>
      </c>
      <c r="M1202" s="52" t="str">
        <f aca="false">IF(AND(ISNUMBER($G1202),$G1202&gt;=60),MAX(INDEX($D$1002:$D1202,202-60):$D1202),"")</f>
        <v/>
      </c>
      <c r="N1202" s="52" t="str">
        <f aca="false">IF(AND(ISNUMBER($G1202),$G1202&gt;=60),MIN(INDEX($E$1002:$E1202,202-60):$E1202),"")</f>
        <v/>
      </c>
      <c r="O1202" s="53" t="str">
        <f aca="false">IF(OR(NOT(ISNUMBER($C1202)),NOT(ISNUMBER($M1202)),$M1202=0),"",$C1202/$M1202-1)</f>
        <v/>
      </c>
      <c r="P1202" s="54"/>
      <c r="Q1202" s="53" t="str">
        <f aca="false">IF(NOT(ISNUMBER($P1202)),"",IFERROR(PERCENTRANK($P$5:$P$1204,$P1202),""))</f>
        <v/>
      </c>
    </row>
    <row r="1203" customFormat="false" ht="15" hidden="false" customHeight="false" outlineLevel="0" collapsed="false">
      <c r="A1203" s="55"/>
      <c r="B1203" s="56"/>
      <c r="C1203" s="57"/>
      <c r="D1203" s="56"/>
      <c r="E1203" s="56"/>
      <c r="F1203" s="56"/>
      <c r="G1203" s="50" t="str">
        <f aca="false">IF($A1203="","",IF(ISNUMBER($G1202),$G1202+1,1))</f>
        <v/>
      </c>
      <c r="H1203" s="51" t="str">
        <f aca="false">IF(OR(NOT(ISNUMBER($G1203)),$G1203&lt;2,NOT(ISNUMBER($C1202)),$C1202=0),"",$C1203/$C1202-1)</f>
        <v/>
      </c>
      <c r="I1203" s="52" t="str">
        <f aca="false">IF(AND(ISNUMBER($G1203),$G1203&gt;=MA_SHORT),AVERAGE(INDEX($C$803:$C1203,402-MA_SHORT):$C1203),"")</f>
        <v/>
      </c>
      <c r="J1203" s="52" t="str">
        <f aca="false">IF(AND(ISNUMBER($G1203),$G1203&gt;=MA_MED),AVERAGE(INDEX($C$803:$C1203,402-MA_MED):$C1203),"")</f>
        <v/>
      </c>
      <c r="K1203" s="52" t="str">
        <f aca="false">IF(AND(ISNUMBER($G1203),$G1203&gt;=MA_LONG2),AVERAGE(INDEX($C$803:$C1203,402-MA_LONG2):$C1203),"")</f>
        <v/>
      </c>
      <c r="L1203" s="53" t="str">
        <f aca="false">IF(AND(ISNUMBER($G1203),$G1203&gt;=21),STDEV(INDEX($H$1143:$H1203,62-20):$H1203)*SQRT(245),"")</f>
        <v/>
      </c>
      <c r="M1203" s="52" t="str">
        <f aca="false">IF(AND(ISNUMBER($G1203),$G1203&gt;=60),MAX(INDEX($D$1003:$D1203,202-60):$D1203),"")</f>
        <v/>
      </c>
      <c r="N1203" s="52" t="str">
        <f aca="false">IF(AND(ISNUMBER($G1203),$G1203&gt;=60),MIN(INDEX($E$1003:$E1203,202-60):$E1203),"")</f>
        <v/>
      </c>
      <c r="O1203" s="53" t="str">
        <f aca="false">IF(OR(NOT(ISNUMBER($C1203)),NOT(ISNUMBER($M1203)),$M1203=0),"",$C1203/$M1203-1)</f>
        <v/>
      </c>
      <c r="P1203" s="54"/>
      <c r="Q1203" s="53" t="str">
        <f aca="false">IF(NOT(ISNUMBER($P1203)),"",IFERROR(PERCENTRANK($P$5:$P$1204,$P1203),""))</f>
        <v/>
      </c>
    </row>
    <row r="1204" customFormat="false" ht="15" hidden="false" customHeight="false" outlineLevel="0" collapsed="false">
      <c r="A1204" s="55"/>
      <c r="B1204" s="56"/>
      <c r="C1204" s="57"/>
      <c r="D1204" s="56"/>
      <c r="E1204" s="56"/>
      <c r="F1204" s="56"/>
      <c r="G1204" s="50" t="str">
        <f aca="false">IF($A1204="","",IF(ISNUMBER($G1203),$G1203+1,1))</f>
        <v/>
      </c>
      <c r="H1204" s="51" t="str">
        <f aca="false">IF(OR(NOT(ISNUMBER($G1204)),$G1204&lt;2,NOT(ISNUMBER($C1203)),$C1203=0),"",$C1204/$C1203-1)</f>
        <v/>
      </c>
      <c r="I1204" s="52" t="str">
        <f aca="false">IF(AND(ISNUMBER($G1204),$G1204&gt;=MA_SHORT),AVERAGE(INDEX($C$804:$C1204,402-MA_SHORT):$C1204),"")</f>
        <v/>
      </c>
      <c r="J1204" s="52" t="str">
        <f aca="false">IF(AND(ISNUMBER($G1204),$G1204&gt;=MA_MED),AVERAGE(INDEX($C$804:$C1204,402-MA_MED):$C1204),"")</f>
        <v/>
      </c>
      <c r="K1204" s="52" t="str">
        <f aca="false">IF(AND(ISNUMBER($G1204),$G1204&gt;=MA_LONG2),AVERAGE(INDEX($C$804:$C1204,402-MA_LONG2):$C1204),"")</f>
        <v/>
      </c>
      <c r="L1204" s="53" t="str">
        <f aca="false">IF(AND(ISNUMBER($G1204),$G1204&gt;=21),STDEV(INDEX($H$1144:$H1204,62-20):$H1204)*SQRT(245),"")</f>
        <v/>
      </c>
      <c r="M1204" s="52" t="str">
        <f aca="false">IF(AND(ISNUMBER($G1204),$G1204&gt;=60),MAX(INDEX($D$1004:$D1204,202-60):$D1204),"")</f>
        <v/>
      </c>
      <c r="N1204" s="52" t="str">
        <f aca="false">IF(AND(ISNUMBER($G1204),$G1204&gt;=60),MIN(INDEX($E$1004:$E1204,202-60):$E1204),"")</f>
        <v/>
      </c>
      <c r="O1204" s="53" t="str">
        <f aca="false">IF(OR(NOT(ISNUMBER($C1204)),NOT(ISNUMBER($M1204)),$M1204=0),"",$C1204/$M1204-1)</f>
        <v/>
      </c>
      <c r="P1204" s="54"/>
      <c r="Q1204" s="53" t="str">
        <f aca="false">IF(NOT(ISNUMBER($P1204)),"",IFERROR(PERCENTRANK($P$5:$P$1204,$P1204),""))</f>
        <v/>
      </c>
    </row>
  </sheetData>
  <autoFilter ref="A4:Q1204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5"/>
  </cols>
  <sheetData>
    <row r="1" customFormat="false" ht="27.75" hidden="false" customHeight="true" outlineLevel="0" collapsed="false">
      <c r="A1" s="1" t="s">
        <v>653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19" t="s">
        <v>654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customFormat="false" ht="30" hidden="false" customHeight="true" outlineLevel="0" collapsed="false">
      <c r="A3" s="20" t="s">
        <v>134</v>
      </c>
      <c r="B3" s="20" t="s">
        <v>16</v>
      </c>
      <c r="C3" s="20" t="s">
        <v>17</v>
      </c>
      <c r="D3" s="20" t="s">
        <v>135</v>
      </c>
      <c r="E3" s="20" t="s">
        <v>136</v>
      </c>
      <c r="F3" s="20" t="s">
        <v>137</v>
      </c>
      <c r="G3" s="20" t="s">
        <v>138</v>
      </c>
      <c r="H3" s="20" t="s">
        <v>139</v>
      </c>
      <c r="I3" s="20" t="s">
        <v>19</v>
      </c>
      <c r="J3" s="20" t="s">
        <v>20</v>
      </c>
      <c r="K3" s="20" t="s">
        <v>21</v>
      </c>
      <c r="L3" s="20" t="s">
        <v>140</v>
      </c>
      <c r="M3" s="20" t="s">
        <v>23</v>
      </c>
      <c r="N3" s="20" t="s">
        <v>24</v>
      </c>
      <c r="O3" s="20" t="s">
        <v>25</v>
      </c>
      <c r="P3" s="20" t="s">
        <v>655</v>
      </c>
      <c r="Q3" s="20" t="s">
        <v>142</v>
      </c>
    </row>
    <row r="4" customFormat="false" ht="21.75" hidden="false" customHeight="true" outlineLevel="0" collapsed="false">
      <c r="A4" s="21" t="s">
        <v>92</v>
      </c>
      <c r="B4" s="21" t="s">
        <v>92</v>
      </c>
      <c r="C4" s="21" t="s">
        <v>143</v>
      </c>
      <c r="D4" s="21" t="s">
        <v>144</v>
      </c>
      <c r="E4" s="21" t="s">
        <v>145</v>
      </c>
      <c r="F4" s="21" t="s">
        <v>146</v>
      </c>
      <c r="G4" s="21" t="s">
        <v>147</v>
      </c>
      <c r="H4" s="21" t="s">
        <v>92</v>
      </c>
      <c r="I4" s="21" t="s">
        <v>148</v>
      </c>
      <c r="J4" s="21" t="s">
        <v>149</v>
      </c>
      <c r="K4" s="21" t="s">
        <v>150</v>
      </c>
      <c r="L4" s="21" t="s">
        <v>92</v>
      </c>
      <c r="M4" s="21" t="s">
        <v>92</v>
      </c>
      <c r="N4" s="21" t="s">
        <v>92</v>
      </c>
      <c r="O4" s="21" t="s">
        <v>92</v>
      </c>
      <c r="P4" s="21" t="s">
        <v>151</v>
      </c>
      <c r="Q4" s="21" t="s">
        <v>152</v>
      </c>
    </row>
    <row r="5" customFormat="false" ht="15" hidden="false" customHeight="false" outlineLevel="0" collapsed="false">
      <c r="A5" s="47" t="n">
        <v>45570</v>
      </c>
      <c r="B5" s="48" t="s">
        <v>153</v>
      </c>
      <c r="C5" s="49" t="n">
        <v>77531609</v>
      </c>
      <c r="D5" s="49" t="n">
        <v>77684320</v>
      </c>
      <c r="E5" s="49" t="n">
        <v>77185908</v>
      </c>
      <c r="F5" s="49" t="n">
        <v>0</v>
      </c>
      <c r="G5" s="50" t="n">
        <f aca="false">IF($A5="","",IF(ISNUMBER($G4),$G4+1,1))</f>
        <v>1</v>
      </c>
      <c r="H5" s="51" t="str">
        <f aca="false">IF(OR(NOT(ISNUMBER($G5)),$G5&lt;2,NOT(ISNUMBER($C4)),$C4=0),"",$C5/$C4-1)</f>
        <v/>
      </c>
      <c r="I5" s="52" t="str">
        <f aca="false">IF(AND(ISNUMBER($G5),$G5&gt;=MA_SHORT),AVERAGE(INDEX($C$5:$C5,2-MA_SHORT):$C5),"")</f>
        <v/>
      </c>
      <c r="J5" s="52" t="str">
        <f aca="false">IF(AND(ISNUMBER($G5),$G5&gt;=MA_MED),AVERAGE(INDEX($C$5:$C5,2-MA_MED):$C5),"")</f>
        <v/>
      </c>
      <c r="K5" s="52" t="str">
        <f aca="false">IF(AND(ISNUMBER($G5),$G5&gt;=MA_LONG2),AVERAGE(INDEX($C$5:$C5,2-MA_LONG2):$C5),"")</f>
        <v/>
      </c>
      <c r="L5" s="53" t="str">
        <f aca="false">IF(AND(ISNUMBER($G5),$G5&gt;=21),STDEV(INDEX($H$5:$H5,2-20):$H5)*SQRT(245),"")</f>
        <v/>
      </c>
      <c r="M5" s="52" t="str">
        <f aca="false">IF(AND(ISNUMBER($G5),$G5&gt;=60),MAX(INDEX($D$5:$D5,2-60):$D5),"")</f>
        <v/>
      </c>
      <c r="N5" s="52" t="str">
        <f aca="false">IF(AND(ISNUMBER($G5),$G5&gt;=60),MIN(INDEX($E$5:$E5,2-60):$E5),"")</f>
        <v/>
      </c>
      <c r="O5" s="53" t="str">
        <f aca="false">IF(OR(NOT(ISNUMBER($C5)),NOT(ISNUMBER($M5)),$M5=0),"",$C5/$M5-1)</f>
        <v/>
      </c>
      <c r="P5" s="54"/>
      <c r="Q5" s="53" t="str">
        <f aca="false">IF(NOT(ISNUMBER($P5)),"",IFERROR(PERCENTRANK($P$5:$P$1204,$P5),""))</f>
        <v/>
      </c>
    </row>
    <row r="6" customFormat="false" ht="15" hidden="false" customHeight="false" outlineLevel="0" collapsed="false">
      <c r="A6" s="47" t="n">
        <v>45571</v>
      </c>
      <c r="B6" s="48" t="s">
        <v>154</v>
      </c>
      <c r="C6" s="49" t="n">
        <v>79529731</v>
      </c>
      <c r="D6" s="49" t="n">
        <v>79959462</v>
      </c>
      <c r="E6" s="49" t="n">
        <v>79300680</v>
      </c>
      <c r="F6" s="49" t="n">
        <v>0</v>
      </c>
      <c r="G6" s="50" t="n">
        <f aca="false">IF($A6="","",IF(ISNUMBER($G5),$G5+1,1))</f>
        <v>2</v>
      </c>
      <c r="H6" s="51" t="n">
        <f aca="false">IF(OR(NOT(ISNUMBER($G6)),$G6&lt;2,NOT(ISNUMBER($C5)),$C5=0),"",$C6/$C5-1)</f>
        <v>0.0257717081558311</v>
      </c>
      <c r="I6" s="52" t="str">
        <f aca="false">IF(AND(ISNUMBER($G6),$G6&gt;=MA_SHORT),AVERAGE(INDEX($C$5:$C6,3-MA_SHORT):$C6),"")</f>
        <v/>
      </c>
      <c r="J6" s="52" t="str">
        <f aca="false">IF(AND(ISNUMBER($G6),$G6&gt;=MA_MED),AVERAGE(INDEX($C$5:$C6,3-MA_MED):$C6),"")</f>
        <v/>
      </c>
      <c r="K6" s="52" t="str">
        <f aca="false">IF(AND(ISNUMBER($G6),$G6&gt;=MA_LONG2),AVERAGE(INDEX($C$5:$C6,3-MA_LONG2):$C6),"")</f>
        <v/>
      </c>
      <c r="L6" s="53" t="str">
        <f aca="false">IF(AND(ISNUMBER($G6),$G6&gt;=21),STDEV(INDEX($H$5:$H6,3-20):$H6)*SQRT(245),"")</f>
        <v/>
      </c>
      <c r="M6" s="52" t="str">
        <f aca="false">IF(AND(ISNUMBER($G6),$G6&gt;=60),MAX(INDEX($D$5:$D6,3-60):$D6),"")</f>
        <v/>
      </c>
      <c r="N6" s="52" t="str">
        <f aca="false">IF(AND(ISNUMBER($G6),$G6&gt;=60),MIN(INDEX($E$5:$E6,3-60):$E6),"")</f>
        <v/>
      </c>
      <c r="O6" s="53" t="str">
        <f aca="false">IF(OR(NOT(ISNUMBER($C6)),NOT(ISNUMBER($M6)),$M6=0),"",$C6/$M6-1)</f>
        <v/>
      </c>
      <c r="P6" s="54"/>
      <c r="Q6" s="53" t="str">
        <f aca="false">IF(NOT(ISNUMBER($P6)),"",IFERROR(PERCENTRANK($P$5:$P$1204,$P6),""))</f>
        <v/>
      </c>
    </row>
    <row r="7" customFormat="false" ht="15" hidden="false" customHeight="false" outlineLevel="0" collapsed="false">
      <c r="A7" s="47" t="n">
        <v>45572</v>
      </c>
      <c r="B7" s="48" t="s">
        <v>155</v>
      </c>
      <c r="C7" s="49" t="n">
        <v>78640334</v>
      </c>
      <c r="D7" s="49" t="n">
        <v>78741587</v>
      </c>
      <c r="E7" s="49" t="n">
        <v>78592835</v>
      </c>
      <c r="F7" s="49" t="n">
        <v>0</v>
      </c>
      <c r="G7" s="50" t="n">
        <f aca="false">IF($A7="","",IF(ISNUMBER($G6),$G6+1,1))</f>
        <v>3</v>
      </c>
      <c r="H7" s="51" t="n">
        <f aca="false">IF(OR(NOT(ISNUMBER($G7)),$G7&lt;2,NOT(ISNUMBER($C6)),$C6=0),"",$C7/$C6-1)</f>
        <v>-0.0111832014118092</v>
      </c>
      <c r="I7" s="52" t="str">
        <f aca="false">IF(AND(ISNUMBER($G7),$G7&gt;=MA_SHORT),AVERAGE(INDEX($C$5:$C7,4-MA_SHORT):$C7),"")</f>
        <v/>
      </c>
      <c r="J7" s="52" t="str">
        <f aca="false">IF(AND(ISNUMBER($G7),$G7&gt;=MA_MED),AVERAGE(INDEX($C$5:$C7,4-MA_MED):$C7),"")</f>
        <v/>
      </c>
      <c r="K7" s="52" t="str">
        <f aca="false">IF(AND(ISNUMBER($G7),$G7&gt;=MA_LONG2),AVERAGE(INDEX($C$5:$C7,4-MA_LONG2):$C7),"")</f>
        <v/>
      </c>
      <c r="L7" s="53" t="str">
        <f aca="false">IF(AND(ISNUMBER($G7),$G7&gt;=21),STDEV(INDEX($H$5:$H7,4-20):$H7)*SQRT(245),"")</f>
        <v/>
      </c>
      <c r="M7" s="52" t="str">
        <f aca="false">IF(AND(ISNUMBER($G7),$G7&gt;=60),MAX(INDEX($D$5:$D7,4-60):$D7),"")</f>
        <v/>
      </c>
      <c r="N7" s="52" t="str">
        <f aca="false">IF(AND(ISNUMBER($G7),$G7&gt;=60),MIN(INDEX($E$5:$E7,4-60):$E7),"")</f>
        <v/>
      </c>
      <c r="O7" s="53" t="str">
        <f aca="false">IF(OR(NOT(ISNUMBER($C7)),NOT(ISNUMBER($M7)),$M7=0),"",$C7/$M7-1)</f>
        <v/>
      </c>
      <c r="P7" s="54"/>
      <c r="Q7" s="53" t="str">
        <f aca="false">IF(NOT(ISNUMBER($P7)),"",IFERROR(PERCENTRANK($P$5:$P$1204,$P7),""))</f>
        <v/>
      </c>
    </row>
    <row r="8" customFormat="false" ht="15" hidden="false" customHeight="false" outlineLevel="0" collapsed="false">
      <c r="A8" s="47" t="n">
        <v>45573</v>
      </c>
      <c r="B8" s="48" t="s">
        <v>156</v>
      </c>
      <c r="C8" s="49" t="n">
        <v>77380022</v>
      </c>
      <c r="D8" s="49" t="n">
        <v>77468797</v>
      </c>
      <c r="E8" s="49" t="n">
        <v>76933124</v>
      </c>
      <c r="F8" s="49" t="n">
        <v>0</v>
      </c>
      <c r="G8" s="50" t="n">
        <f aca="false">IF($A8="","",IF(ISNUMBER($G7),$G7+1,1))</f>
        <v>4</v>
      </c>
      <c r="H8" s="51" t="n">
        <f aca="false">IF(OR(NOT(ISNUMBER($G8)),$G8&lt;2,NOT(ISNUMBER($C7)),$C7=0),"",$C8/$C7-1)</f>
        <v>-0.0160262798476925</v>
      </c>
      <c r="I8" s="52" t="str">
        <f aca="false">IF(AND(ISNUMBER($G8),$G8&gt;=MA_SHORT),AVERAGE(INDEX($C$5:$C8,5-MA_SHORT):$C8),"")</f>
        <v/>
      </c>
      <c r="J8" s="52" t="str">
        <f aca="false">IF(AND(ISNUMBER($G8),$G8&gt;=MA_MED),AVERAGE(INDEX($C$5:$C8,5-MA_MED):$C8),"")</f>
        <v/>
      </c>
      <c r="K8" s="52" t="str">
        <f aca="false">IF(AND(ISNUMBER($G8),$G8&gt;=MA_LONG2),AVERAGE(INDEX($C$5:$C8,5-MA_LONG2):$C8),"")</f>
        <v/>
      </c>
      <c r="L8" s="53" t="str">
        <f aca="false">IF(AND(ISNUMBER($G8),$G8&gt;=21),STDEV(INDEX($H$5:$H8,5-20):$H8)*SQRT(245),"")</f>
        <v/>
      </c>
      <c r="M8" s="52" t="str">
        <f aca="false">IF(AND(ISNUMBER($G8),$G8&gt;=60),MAX(INDEX($D$5:$D8,5-60):$D8),"")</f>
        <v/>
      </c>
      <c r="N8" s="52" t="str">
        <f aca="false">IF(AND(ISNUMBER($G8),$G8&gt;=60),MIN(INDEX($E$5:$E8,5-60):$E8),"")</f>
        <v/>
      </c>
      <c r="O8" s="53" t="str">
        <f aca="false">IF(OR(NOT(ISNUMBER($C8)),NOT(ISNUMBER($M8)),$M8=0),"",$C8/$M8-1)</f>
        <v/>
      </c>
      <c r="P8" s="54"/>
      <c r="Q8" s="53" t="str">
        <f aca="false">IF(NOT(ISNUMBER($P8)),"",IFERROR(PERCENTRANK($P$5:$P$1204,$P8),""))</f>
        <v/>
      </c>
    </row>
    <row r="9" customFormat="false" ht="15" hidden="false" customHeight="false" outlineLevel="0" collapsed="false">
      <c r="A9" s="47" t="n">
        <v>45574</v>
      </c>
      <c r="B9" s="48" t="s">
        <v>157</v>
      </c>
      <c r="C9" s="49" t="n">
        <v>78025527</v>
      </c>
      <c r="D9" s="49" t="n">
        <v>78309825</v>
      </c>
      <c r="E9" s="49" t="n">
        <v>77925618</v>
      </c>
      <c r="F9" s="49" t="n">
        <v>0</v>
      </c>
      <c r="G9" s="50" t="n">
        <f aca="false">IF($A9="","",IF(ISNUMBER($G8),$G8+1,1))</f>
        <v>5</v>
      </c>
      <c r="H9" s="51" t="n">
        <f aca="false">IF(OR(NOT(ISNUMBER($G9)),$G9&lt;2,NOT(ISNUMBER($C8)),$C8=0),"",$C9/$C8-1)</f>
        <v>0.00834201106843824</v>
      </c>
      <c r="I9" s="52" t="str">
        <f aca="false">IF(AND(ISNUMBER($G9),$G9&gt;=MA_SHORT),AVERAGE(INDEX($C$5:$C9,6-MA_SHORT):$C9),"")</f>
        <v/>
      </c>
      <c r="J9" s="52" t="str">
        <f aca="false">IF(AND(ISNUMBER($G9),$G9&gt;=MA_MED),AVERAGE(INDEX($C$5:$C9,6-MA_MED):$C9),"")</f>
        <v/>
      </c>
      <c r="K9" s="52" t="str">
        <f aca="false">IF(AND(ISNUMBER($G9),$G9&gt;=MA_LONG2),AVERAGE(INDEX($C$5:$C9,6-MA_LONG2):$C9),"")</f>
        <v/>
      </c>
      <c r="L9" s="53" t="str">
        <f aca="false">IF(AND(ISNUMBER($G9),$G9&gt;=21),STDEV(INDEX($H$5:$H9,6-20):$H9)*SQRT(245),"")</f>
        <v/>
      </c>
      <c r="M9" s="52" t="str">
        <f aca="false">IF(AND(ISNUMBER($G9),$G9&gt;=60),MAX(INDEX($D$5:$D9,6-60):$D9),"")</f>
        <v/>
      </c>
      <c r="N9" s="52" t="str">
        <f aca="false">IF(AND(ISNUMBER($G9),$G9&gt;=60),MIN(INDEX($E$5:$E9,6-60):$E9),"")</f>
        <v/>
      </c>
      <c r="O9" s="53" t="str">
        <f aca="false">IF(OR(NOT(ISNUMBER($C9)),NOT(ISNUMBER($M9)),$M9=0),"",$C9/$M9-1)</f>
        <v/>
      </c>
      <c r="P9" s="54"/>
      <c r="Q9" s="53" t="str">
        <f aca="false">IF(NOT(ISNUMBER($P9)),"",IFERROR(PERCENTRANK($P$5:$P$1204,$P9),""))</f>
        <v/>
      </c>
    </row>
    <row r="10" customFormat="false" ht="15" hidden="false" customHeight="false" outlineLevel="0" collapsed="false">
      <c r="A10" s="47" t="n">
        <v>45577</v>
      </c>
      <c r="B10" s="48" t="s">
        <v>158</v>
      </c>
      <c r="C10" s="49" t="n">
        <v>78573859</v>
      </c>
      <c r="D10" s="49" t="n">
        <v>78605791</v>
      </c>
      <c r="E10" s="49" t="n">
        <v>78386241</v>
      </c>
      <c r="F10" s="49" t="n">
        <v>0</v>
      </c>
      <c r="G10" s="50" t="n">
        <f aca="false">IF($A10="","",IF(ISNUMBER($G9),$G9+1,1))</f>
        <v>6</v>
      </c>
      <c r="H10" s="51" t="n">
        <f aca="false">IF(OR(NOT(ISNUMBER($G10)),$G10&lt;2,NOT(ISNUMBER($C9)),$C9=0),"",$C10/$C9-1)</f>
        <v>0.00702759751946314</v>
      </c>
      <c r="I10" s="52" t="str">
        <f aca="false">IF(AND(ISNUMBER($G10),$G10&gt;=MA_SHORT),AVERAGE(INDEX($C$5:$C10,7-MA_SHORT):$C10),"")</f>
        <v/>
      </c>
      <c r="J10" s="52" t="str">
        <f aca="false">IF(AND(ISNUMBER($G10),$G10&gt;=MA_MED),AVERAGE(INDEX($C$5:$C10,7-MA_MED):$C10),"")</f>
        <v/>
      </c>
      <c r="K10" s="52" t="str">
        <f aca="false">IF(AND(ISNUMBER($G10),$G10&gt;=MA_LONG2),AVERAGE(INDEX($C$5:$C10,7-MA_LONG2):$C10),"")</f>
        <v/>
      </c>
      <c r="L10" s="53" t="str">
        <f aca="false">IF(AND(ISNUMBER($G10),$G10&gt;=21),STDEV(INDEX($H$5:$H10,7-20):$H10)*SQRT(245),"")</f>
        <v/>
      </c>
      <c r="M10" s="52" t="str">
        <f aca="false">IF(AND(ISNUMBER($G10),$G10&gt;=60),MAX(INDEX($D$5:$D10,7-60):$D10),"")</f>
        <v/>
      </c>
      <c r="N10" s="52" t="str">
        <f aca="false">IF(AND(ISNUMBER($G10),$G10&gt;=60),MIN(INDEX($E$5:$E10,7-60):$E10),"")</f>
        <v/>
      </c>
      <c r="O10" s="53" t="str">
        <f aca="false">IF(OR(NOT(ISNUMBER($C10)),NOT(ISNUMBER($M10)),$M10=0),"",$C10/$M10-1)</f>
        <v/>
      </c>
      <c r="P10" s="54"/>
      <c r="Q10" s="53" t="str">
        <f aca="false">IF(NOT(ISNUMBER($P10)),"",IFERROR(PERCENTRANK($P$5:$P$1204,$P10),""))</f>
        <v/>
      </c>
    </row>
    <row r="11" customFormat="false" ht="15" hidden="false" customHeight="false" outlineLevel="0" collapsed="false">
      <c r="A11" s="47" t="n">
        <v>45578</v>
      </c>
      <c r="B11" s="48" t="s">
        <v>159</v>
      </c>
      <c r="C11" s="49" t="n">
        <v>77842492</v>
      </c>
      <c r="D11" s="49" t="n">
        <v>78200588</v>
      </c>
      <c r="E11" s="49" t="n">
        <v>77334786</v>
      </c>
      <c r="F11" s="49" t="n">
        <v>0</v>
      </c>
      <c r="G11" s="50" t="n">
        <f aca="false">IF($A11="","",IF(ISNUMBER($G10),$G10+1,1))</f>
        <v>7</v>
      </c>
      <c r="H11" s="51" t="n">
        <f aca="false">IF(OR(NOT(ISNUMBER($G11)),$G11&lt;2,NOT(ISNUMBER($C10)),$C10=0),"",$C11/$C10-1)</f>
        <v>-0.00930801935030323</v>
      </c>
      <c r="I11" s="52" t="str">
        <f aca="false">IF(AND(ISNUMBER($G11),$G11&gt;=MA_SHORT),AVERAGE(INDEX($C$5:$C11,8-MA_SHORT):$C11),"")</f>
        <v/>
      </c>
      <c r="J11" s="52" t="str">
        <f aca="false">IF(AND(ISNUMBER($G11),$G11&gt;=MA_MED),AVERAGE(INDEX($C$5:$C11,8-MA_MED):$C11),"")</f>
        <v/>
      </c>
      <c r="K11" s="52" t="str">
        <f aca="false">IF(AND(ISNUMBER($G11),$G11&gt;=MA_LONG2),AVERAGE(INDEX($C$5:$C11,8-MA_LONG2):$C11),"")</f>
        <v/>
      </c>
      <c r="L11" s="53" t="str">
        <f aca="false">IF(AND(ISNUMBER($G11),$G11&gt;=21),STDEV(INDEX($H$5:$H11,8-20):$H11)*SQRT(245),"")</f>
        <v/>
      </c>
      <c r="M11" s="52" t="str">
        <f aca="false">IF(AND(ISNUMBER($G11),$G11&gt;=60),MAX(INDEX($D$5:$D11,8-60):$D11),"")</f>
        <v/>
      </c>
      <c r="N11" s="52" t="str">
        <f aca="false">IF(AND(ISNUMBER($G11),$G11&gt;=60),MIN(INDEX($E$5:$E11,8-60):$E11),"")</f>
        <v/>
      </c>
      <c r="O11" s="53" t="str">
        <f aca="false">IF(OR(NOT(ISNUMBER($C11)),NOT(ISNUMBER($M11)),$M11=0),"",$C11/$M11-1)</f>
        <v/>
      </c>
      <c r="P11" s="54"/>
      <c r="Q11" s="53" t="str">
        <f aca="false">IF(NOT(ISNUMBER($P11)),"",IFERROR(PERCENTRANK($P$5:$P$1204,$P11),""))</f>
        <v/>
      </c>
    </row>
    <row r="12" customFormat="false" ht="15" hidden="false" customHeight="false" outlineLevel="0" collapsed="false">
      <c r="A12" s="47" t="n">
        <v>45579</v>
      </c>
      <c r="B12" s="48" t="s">
        <v>160</v>
      </c>
      <c r="C12" s="49" t="n">
        <v>78559850</v>
      </c>
      <c r="D12" s="49" t="n">
        <v>79177408</v>
      </c>
      <c r="E12" s="49" t="n">
        <v>78429910</v>
      </c>
      <c r="F12" s="49" t="n">
        <v>0</v>
      </c>
      <c r="G12" s="50" t="n">
        <f aca="false">IF($A12="","",IF(ISNUMBER($G11),$G11+1,1))</f>
        <v>8</v>
      </c>
      <c r="H12" s="51" t="n">
        <f aca="false">IF(OR(NOT(ISNUMBER($G12)),$G12&lt;2,NOT(ISNUMBER($C11)),$C11=0),"",$C12/$C11-1)</f>
        <v>0.0092155066155899</v>
      </c>
      <c r="I12" s="52" t="str">
        <f aca="false">IF(AND(ISNUMBER($G12),$G12&gt;=MA_SHORT),AVERAGE(INDEX($C$5:$C12,9-MA_SHORT):$C12),"")</f>
        <v/>
      </c>
      <c r="J12" s="52" t="str">
        <f aca="false">IF(AND(ISNUMBER($G12),$G12&gt;=MA_MED),AVERAGE(INDEX($C$5:$C12,9-MA_MED):$C12),"")</f>
        <v/>
      </c>
      <c r="K12" s="52" t="str">
        <f aca="false">IF(AND(ISNUMBER($G12),$G12&gt;=MA_LONG2),AVERAGE(INDEX($C$5:$C12,9-MA_LONG2):$C12),"")</f>
        <v/>
      </c>
      <c r="L12" s="53" t="str">
        <f aca="false">IF(AND(ISNUMBER($G12),$G12&gt;=21),STDEV(INDEX($H$5:$H12,9-20):$H12)*SQRT(245),"")</f>
        <v/>
      </c>
      <c r="M12" s="52" t="str">
        <f aca="false">IF(AND(ISNUMBER($G12),$G12&gt;=60),MAX(INDEX($D$5:$D12,9-60):$D12),"")</f>
        <v/>
      </c>
      <c r="N12" s="52" t="str">
        <f aca="false">IF(AND(ISNUMBER($G12),$G12&gt;=60),MIN(INDEX($E$5:$E12,9-60):$E12),"")</f>
        <v/>
      </c>
      <c r="O12" s="53" t="str">
        <f aca="false">IF(OR(NOT(ISNUMBER($C12)),NOT(ISNUMBER($M12)),$M12=0),"",$C12/$M12-1)</f>
        <v/>
      </c>
      <c r="P12" s="54"/>
      <c r="Q12" s="53" t="str">
        <f aca="false">IF(NOT(ISNUMBER($P12)),"",IFERROR(PERCENTRANK($P$5:$P$1204,$P12),""))</f>
        <v/>
      </c>
    </row>
    <row r="13" customFormat="false" ht="15" hidden="false" customHeight="false" outlineLevel="0" collapsed="false">
      <c r="A13" s="47" t="n">
        <v>45580</v>
      </c>
      <c r="B13" s="48" t="s">
        <v>161</v>
      </c>
      <c r="C13" s="49" t="n">
        <v>79016135</v>
      </c>
      <c r="D13" s="49" t="n">
        <v>79201465</v>
      </c>
      <c r="E13" s="49" t="n">
        <v>78939804</v>
      </c>
      <c r="F13" s="49" t="n">
        <v>0</v>
      </c>
      <c r="G13" s="50" t="n">
        <f aca="false">IF($A13="","",IF(ISNUMBER($G12),$G12+1,1))</f>
        <v>9</v>
      </c>
      <c r="H13" s="51" t="n">
        <f aca="false">IF(OR(NOT(ISNUMBER($G13)),$G13&lt;2,NOT(ISNUMBER($C12)),$C12=0),"",$C13/$C12-1)</f>
        <v>0.00580811954197968</v>
      </c>
      <c r="I13" s="52" t="str">
        <f aca="false">IF(AND(ISNUMBER($G13),$G13&gt;=MA_SHORT),AVERAGE(INDEX($C$5:$C13,10-MA_SHORT):$C13),"")</f>
        <v/>
      </c>
      <c r="J13" s="52" t="str">
        <f aca="false">IF(AND(ISNUMBER($G13),$G13&gt;=MA_MED),AVERAGE(INDEX($C$5:$C13,10-MA_MED):$C13),"")</f>
        <v/>
      </c>
      <c r="K13" s="52" t="str">
        <f aca="false">IF(AND(ISNUMBER($G13),$G13&gt;=MA_LONG2),AVERAGE(INDEX($C$5:$C13,10-MA_LONG2):$C13),"")</f>
        <v/>
      </c>
      <c r="L13" s="53" t="str">
        <f aca="false">IF(AND(ISNUMBER($G13),$G13&gt;=21),STDEV(INDEX($H$5:$H13,10-20):$H13)*SQRT(245),"")</f>
        <v/>
      </c>
      <c r="M13" s="52" t="str">
        <f aca="false">IF(AND(ISNUMBER($G13),$G13&gt;=60),MAX(INDEX($D$5:$D13,10-60):$D13),"")</f>
        <v/>
      </c>
      <c r="N13" s="52" t="str">
        <f aca="false">IF(AND(ISNUMBER($G13),$G13&gt;=60),MIN(INDEX($E$5:$E13,10-60):$E13),"")</f>
        <v/>
      </c>
      <c r="O13" s="53" t="str">
        <f aca="false">IF(OR(NOT(ISNUMBER($C13)),NOT(ISNUMBER($M13)),$M13=0),"",$C13/$M13-1)</f>
        <v/>
      </c>
      <c r="P13" s="54"/>
      <c r="Q13" s="53" t="str">
        <f aca="false">IF(NOT(ISNUMBER($P13)),"",IFERROR(PERCENTRANK($P$5:$P$1204,$P13),""))</f>
        <v/>
      </c>
    </row>
    <row r="14" customFormat="false" ht="15" hidden="false" customHeight="false" outlineLevel="0" collapsed="false">
      <c r="A14" s="47" t="n">
        <v>45581</v>
      </c>
      <c r="B14" s="48" t="s">
        <v>162</v>
      </c>
      <c r="C14" s="49" t="n">
        <v>77438026</v>
      </c>
      <c r="D14" s="49" t="n">
        <v>77764144</v>
      </c>
      <c r="E14" s="49" t="n">
        <v>77111892</v>
      </c>
      <c r="F14" s="49" t="n">
        <v>0</v>
      </c>
      <c r="G14" s="50" t="n">
        <f aca="false">IF($A14="","",IF(ISNUMBER($G13),$G13+1,1))</f>
        <v>10</v>
      </c>
      <c r="H14" s="51" t="n">
        <f aca="false">IF(OR(NOT(ISNUMBER($G14)),$G14&lt;2,NOT(ISNUMBER($C13)),$C13=0),"",$C14/$C13-1)</f>
        <v>-0.0199719842029732</v>
      </c>
      <c r="I14" s="52" t="str">
        <f aca="false">IF(AND(ISNUMBER($G14),$G14&gt;=MA_SHORT),AVERAGE(INDEX($C$5:$C14,11-MA_SHORT):$C14),"")</f>
        <v/>
      </c>
      <c r="J14" s="52" t="str">
        <f aca="false">IF(AND(ISNUMBER($G14),$G14&gt;=MA_MED),AVERAGE(INDEX($C$5:$C14,11-MA_MED):$C14),"")</f>
        <v/>
      </c>
      <c r="K14" s="52" t="str">
        <f aca="false">IF(AND(ISNUMBER($G14),$G14&gt;=MA_LONG2),AVERAGE(INDEX($C$5:$C14,11-MA_LONG2):$C14),"")</f>
        <v/>
      </c>
      <c r="L14" s="53" t="str">
        <f aca="false">IF(AND(ISNUMBER($G14),$G14&gt;=21),STDEV(INDEX($H$5:$H14,11-20):$H14)*SQRT(245),"")</f>
        <v/>
      </c>
      <c r="M14" s="52" t="str">
        <f aca="false">IF(AND(ISNUMBER($G14),$G14&gt;=60),MAX(INDEX($D$5:$D14,11-60):$D14),"")</f>
        <v/>
      </c>
      <c r="N14" s="52" t="str">
        <f aca="false">IF(AND(ISNUMBER($G14),$G14&gt;=60),MIN(INDEX($E$5:$E14,11-60):$E14),"")</f>
        <v/>
      </c>
      <c r="O14" s="53" t="str">
        <f aca="false">IF(OR(NOT(ISNUMBER($C14)),NOT(ISNUMBER($M14)),$M14=0),"",$C14/$M14-1)</f>
        <v/>
      </c>
      <c r="P14" s="54"/>
      <c r="Q14" s="53" t="str">
        <f aca="false">IF(NOT(ISNUMBER($P14)),"",IFERROR(PERCENTRANK($P$5:$P$1204,$P14),""))</f>
        <v/>
      </c>
    </row>
    <row r="15" customFormat="false" ht="15" hidden="false" customHeight="false" outlineLevel="0" collapsed="false">
      <c r="A15" s="47" t="n">
        <v>45584</v>
      </c>
      <c r="B15" s="48" t="s">
        <v>163</v>
      </c>
      <c r="C15" s="49" t="n">
        <v>79093783</v>
      </c>
      <c r="D15" s="49" t="n">
        <v>79584577</v>
      </c>
      <c r="E15" s="49" t="n">
        <v>78762073</v>
      </c>
      <c r="F15" s="49" t="n">
        <v>0</v>
      </c>
      <c r="G15" s="50" t="n">
        <f aca="false">IF($A15="","",IF(ISNUMBER($G14),$G14+1,1))</f>
        <v>11</v>
      </c>
      <c r="H15" s="51" t="n">
        <f aca="false">IF(OR(NOT(ISNUMBER($G15)),$G15&lt;2,NOT(ISNUMBER($C14)),$C14=0),"",$C15/$C14-1)</f>
        <v>0.0213817046421096</v>
      </c>
      <c r="I15" s="52" t="str">
        <f aca="false">IF(AND(ISNUMBER($G15),$G15&gt;=MA_SHORT),AVERAGE(INDEX($C$5:$C15,12-MA_SHORT):$C15),"")</f>
        <v/>
      </c>
      <c r="J15" s="52" t="str">
        <f aca="false">IF(AND(ISNUMBER($G15),$G15&gt;=MA_MED),AVERAGE(INDEX($C$5:$C15,12-MA_MED):$C15),"")</f>
        <v/>
      </c>
      <c r="K15" s="52" t="str">
        <f aca="false">IF(AND(ISNUMBER($G15),$G15&gt;=MA_LONG2),AVERAGE(INDEX($C$5:$C15,12-MA_LONG2):$C15),"")</f>
        <v/>
      </c>
      <c r="L15" s="53" t="str">
        <f aca="false">IF(AND(ISNUMBER($G15),$G15&gt;=21),STDEV(INDEX($H$5:$H15,12-20):$H15)*SQRT(245),"")</f>
        <v/>
      </c>
      <c r="M15" s="52" t="str">
        <f aca="false">IF(AND(ISNUMBER($G15),$G15&gt;=60),MAX(INDEX($D$5:$D15,12-60):$D15),"")</f>
        <v/>
      </c>
      <c r="N15" s="52" t="str">
        <f aca="false">IF(AND(ISNUMBER($G15),$G15&gt;=60),MIN(INDEX($E$5:$E15,12-60):$E15),"")</f>
        <v/>
      </c>
      <c r="O15" s="53" t="str">
        <f aca="false">IF(OR(NOT(ISNUMBER($C15)),NOT(ISNUMBER($M15)),$M15=0),"",$C15/$M15-1)</f>
        <v/>
      </c>
      <c r="P15" s="54"/>
      <c r="Q15" s="53" t="str">
        <f aca="false">IF(NOT(ISNUMBER($P15)),"",IFERROR(PERCENTRANK($P$5:$P$1204,$P15),""))</f>
        <v/>
      </c>
    </row>
    <row r="16" customFormat="false" ht="15" hidden="false" customHeight="false" outlineLevel="0" collapsed="false">
      <c r="A16" s="47" t="n">
        <v>45585</v>
      </c>
      <c r="B16" s="48" t="s">
        <v>164</v>
      </c>
      <c r="C16" s="49" t="n">
        <v>76498479</v>
      </c>
      <c r="D16" s="49" t="n">
        <v>76751097</v>
      </c>
      <c r="E16" s="49" t="n">
        <v>76410159</v>
      </c>
      <c r="F16" s="49" t="n">
        <v>0</v>
      </c>
      <c r="G16" s="50" t="n">
        <f aca="false">IF($A16="","",IF(ISNUMBER($G15),$G15+1,1))</f>
        <v>12</v>
      </c>
      <c r="H16" s="51" t="n">
        <f aca="false">IF(OR(NOT(ISNUMBER($G16)),$G16&lt;2,NOT(ISNUMBER($C15)),$C15=0),"",$C16/$C15-1)</f>
        <v>-0.0328129961870708</v>
      </c>
      <c r="I16" s="52" t="str">
        <f aca="false">IF(AND(ISNUMBER($G16),$G16&gt;=MA_SHORT),AVERAGE(INDEX($C$5:$C16,13-MA_SHORT):$C16),"")</f>
        <v/>
      </c>
      <c r="J16" s="52" t="str">
        <f aca="false">IF(AND(ISNUMBER($G16),$G16&gt;=MA_MED),AVERAGE(INDEX($C$5:$C16,13-MA_MED):$C16),"")</f>
        <v/>
      </c>
      <c r="K16" s="52" t="str">
        <f aca="false">IF(AND(ISNUMBER($G16),$G16&gt;=MA_LONG2),AVERAGE(INDEX($C$5:$C16,13-MA_LONG2):$C16),"")</f>
        <v/>
      </c>
      <c r="L16" s="53" t="str">
        <f aca="false">IF(AND(ISNUMBER($G16),$G16&gt;=21),STDEV(INDEX($H$5:$H16,13-20):$H16)*SQRT(245),"")</f>
        <v/>
      </c>
      <c r="M16" s="52" t="str">
        <f aca="false">IF(AND(ISNUMBER($G16),$G16&gt;=60),MAX(INDEX($D$5:$D16,13-60):$D16),"")</f>
        <v/>
      </c>
      <c r="N16" s="52" t="str">
        <f aca="false">IF(AND(ISNUMBER($G16),$G16&gt;=60),MIN(INDEX($E$5:$E16,13-60):$E16),"")</f>
        <v/>
      </c>
      <c r="O16" s="53" t="str">
        <f aca="false">IF(OR(NOT(ISNUMBER($C16)),NOT(ISNUMBER($M16)),$M16=0),"",$C16/$M16-1)</f>
        <v/>
      </c>
      <c r="P16" s="54"/>
      <c r="Q16" s="53" t="str">
        <f aca="false">IF(NOT(ISNUMBER($P16)),"",IFERROR(PERCENTRANK($P$5:$P$1204,$P16),""))</f>
        <v/>
      </c>
    </row>
    <row r="17" customFormat="false" ht="15" hidden="false" customHeight="false" outlineLevel="0" collapsed="false">
      <c r="A17" s="47" t="n">
        <v>45586</v>
      </c>
      <c r="B17" s="48" t="s">
        <v>165</v>
      </c>
      <c r="C17" s="49" t="n">
        <v>75574324</v>
      </c>
      <c r="D17" s="49" t="n">
        <v>75857422</v>
      </c>
      <c r="E17" s="49" t="n">
        <v>75312654</v>
      </c>
      <c r="F17" s="49" t="n">
        <v>0</v>
      </c>
      <c r="G17" s="50" t="n">
        <f aca="false">IF($A17="","",IF(ISNUMBER($G16),$G16+1,1))</f>
        <v>13</v>
      </c>
      <c r="H17" s="51" t="n">
        <f aca="false">IF(OR(NOT(ISNUMBER($G17)),$G17&lt;2,NOT(ISNUMBER($C16)),$C16=0),"",$C17/$C16-1)</f>
        <v>-0.0120806977090355</v>
      </c>
      <c r="I17" s="52" t="str">
        <f aca="false">IF(AND(ISNUMBER($G17),$G17&gt;=MA_SHORT),AVERAGE(INDEX($C$5:$C17,14-MA_SHORT):$C17),"")</f>
        <v/>
      </c>
      <c r="J17" s="52" t="str">
        <f aca="false">IF(AND(ISNUMBER($G17),$G17&gt;=MA_MED),AVERAGE(INDEX($C$5:$C17,14-MA_MED):$C17),"")</f>
        <v/>
      </c>
      <c r="K17" s="52" t="str">
        <f aca="false">IF(AND(ISNUMBER($G17),$G17&gt;=MA_LONG2),AVERAGE(INDEX($C$5:$C17,14-MA_LONG2):$C17),"")</f>
        <v/>
      </c>
      <c r="L17" s="53" t="str">
        <f aca="false">IF(AND(ISNUMBER($G17),$G17&gt;=21),STDEV(INDEX($H$5:$H17,14-20):$H17)*SQRT(245),"")</f>
        <v/>
      </c>
      <c r="M17" s="52" t="str">
        <f aca="false">IF(AND(ISNUMBER($G17),$G17&gt;=60),MAX(INDEX($D$5:$D17,14-60):$D17),"")</f>
        <v/>
      </c>
      <c r="N17" s="52" t="str">
        <f aca="false">IF(AND(ISNUMBER($G17),$G17&gt;=60),MIN(INDEX($E$5:$E17,14-60):$E17),"")</f>
        <v/>
      </c>
      <c r="O17" s="53" t="str">
        <f aca="false">IF(OR(NOT(ISNUMBER($C17)),NOT(ISNUMBER($M17)),$M17=0),"",$C17/$M17-1)</f>
        <v/>
      </c>
      <c r="P17" s="54"/>
      <c r="Q17" s="53" t="str">
        <f aca="false">IF(NOT(ISNUMBER($P17)),"",IFERROR(PERCENTRANK($P$5:$P$1204,$P17),""))</f>
        <v/>
      </c>
    </row>
    <row r="18" customFormat="false" ht="15" hidden="false" customHeight="false" outlineLevel="0" collapsed="false">
      <c r="A18" s="47" t="n">
        <v>45587</v>
      </c>
      <c r="B18" s="48" t="s">
        <v>166</v>
      </c>
      <c r="C18" s="49" t="n">
        <v>77512983</v>
      </c>
      <c r="D18" s="49" t="n">
        <v>77662671</v>
      </c>
      <c r="E18" s="49" t="n">
        <v>77297208</v>
      </c>
      <c r="F18" s="49" t="n">
        <v>0</v>
      </c>
      <c r="G18" s="50" t="n">
        <f aca="false">IF($A18="","",IF(ISNUMBER($G17),$G17+1,1))</f>
        <v>14</v>
      </c>
      <c r="H18" s="51" t="n">
        <f aca="false">IF(OR(NOT(ISNUMBER($G18)),$G18&lt;2,NOT(ISNUMBER($C17)),$C17=0),"",$C18/$C17-1)</f>
        <v>0.0256523498642212</v>
      </c>
      <c r="I18" s="52" t="str">
        <f aca="false">IF(AND(ISNUMBER($G18),$G18&gt;=MA_SHORT),AVERAGE(INDEX($C$5:$C18,15-MA_SHORT):$C18),"")</f>
        <v/>
      </c>
      <c r="J18" s="52" t="str">
        <f aca="false">IF(AND(ISNUMBER($G18),$G18&gt;=MA_MED),AVERAGE(INDEX($C$5:$C18,15-MA_MED):$C18),"")</f>
        <v/>
      </c>
      <c r="K18" s="52" t="str">
        <f aca="false">IF(AND(ISNUMBER($G18),$G18&gt;=MA_LONG2),AVERAGE(INDEX($C$5:$C18,15-MA_LONG2):$C18),"")</f>
        <v/>
      </c>
      <c r="L18" s="53" t="str">
        <f aca="false">IF(AND(ISNUMBER($G18),$G18&gt;=21),STDEV(INDEX($H$5:$H18,15-20):$H18)*SQRT(245),"")</f>
        <v/>
      </c>
      <c r="M18" s="52" t="str">
        <f aca="false">IF(AND(ISNUMBER($G18),$G18&gt;=60),MAX(INDEX($D$5:$D18,15-60):$D18),"")</f>
        <v/>
      </c>
      <c r="N18" s="52" t="str">
        <f aca="false">IF(AND(ISNUMBER($G18),$G18&gt;=60),MIN(INDEX($E$5:$E18,15-60):$E18),"")</f>
        <v/>
      </c>
      <c r="O18" s="53" t="str">
        <f aca="false">IF(OR(NOT(ISNUMBER($C18)),NOT(ISNUMBER($M18)),$M18=0),"",$C18/$M18-1)</f>
        <v/>
      </c>
      <c r="P18" s="54"/>
      <c r="Q18" s="53" t="str">
        <f aca="false">IF(NOT(ISNUMBER($P18)),"",IFERROR(PERCENTRANK($P$5:$P$1204,$P18),""))</f>
        <v/>
      </c>
    </row>
    <row r="19" customFormat="false" ht="15" hidden="false" customHeight="false" outlineLevel="0" collapsed="false">
      <c r="A19" s="47" t="n">
        <v>45588</v>
      </c>
      <c r="B19" s="48" t="s">
        <v>167</v>
      </c>
      <c r="C19" s="49" t="n">
        <v>78492714</v>
      </c>
      <c r="D19" s="49" t="n">
        <v>78862574</v>
      </c>
      <c r="E19" s="49" t="n">
        <v>78105985</v>
      </c>
      <c r="F19" s="49" t="n">
        <v>0</v>
      </c>
      <c r="G19" s="50" t="n">
        <f aca="false">IF($A19="","",IF(ISNUMBER($G18),$G18+1,1))</f>
        <v>15</v>
      </c>
      <c r="H19" s="51" t="n">
        <f aca="false">IF(OR(NOT(ISNUMBER($G19)),$G19&lt;2,NOT(ISNUMBER($C18)),$C18=0),"",$C19/$C18-1)</f>
        <v>0.0126395729087088</v>
      </c>
      <c r="I19" s="52" t="str">
        <f aca="false">IF(AND(ISNUMBER($G19),$G19&gt;=MA_SHORT),AVERAGE(INDEX($C$5:$C19,16-MA_SHORT):$C19),"")</f>
        <v/>
      </c>
      <c r="J19" s="52" t="str">
        <f aca="false">IF(AND(ISNUMBER($G19),$G19&gt;=MA_MED),AVERAGE(INDEX($C$5:$C19,16-MA_MED):$C19),"")</f>
        <v/>
      </c>
      <c r="K19" s="52" t="str">
        <f aca="false">IF(AND(ISNUMBER($G19),$G19&gt;=MA_LONG2),AVERAGE(INDEX($C$5:$C19,16-MA_LONG2):$C19),"")</f>
        <v/>
      </c>
      <c r="L19" s="53" t="str">
        <f aca="false">IF(AND(ISNUMBER($G19),$G19&gt;=21),STDEV(INDEX($H$5:$H19,16-20):$H19)*SQRT(245),"")</f>
        <v/>
      </c>
      <c r="M19" s="52" t="str">
        <f aca="false">IF(AND(ISNUMBER($G19),$G19&gt;=60),MAX(INDEX($D$5:$D19,16-60):$D19),"")</f>
        <v/>
      </c>
      <c r="N19" s="52" t="str">
        <f aca="false">IF(AND(ISNUMBER($G19),$G19&gt;=60),MIN(INDEX($E$5:$E19,16-60):$E19),"")</f>
        <v/>
      </c>
      <c r="O19" s="53" t="str">
        <f aca="false">IF(OR(NOT(ISNUMBER($C19)),NOT(ISNUMBER($M19)),$M19=0),"",$C19/$M19-1)</f>
        <v/>
      </c>
      <c r="P19" s="54"/>
      <c r="Q19" s="53" t="str">
        <f aca="false">IF(NOT(ISNUMBER($P19)),"",IFERROR(PERCENTRANK($P$5:$P$1204,$P19),""))</f>
        <v/>
      </c>
    </row>
    <row r="20" customFormat="false" ht="15" hidden="false" customHeight="false" outlineLevel="0" collapsed="false">
      <c r="A20" s="47" t="n">
        <v>45591</v>
      </c>
      <c r="B20" s="48" t="s">
        <v>168</v>
      </c>
      <c r="C20" s="49" t="n">
        <v>79392461</v>
      </c>
      <c r="D20" s="49" t="n">
        <v>79710455</v>
      </c>
      <c r="E20" s="49" t="n">
        <v>79378995</v>
      </c>
      <c r="F20" s="49" t="n">
        <v>0</v>
      </c>
      <c r="G20" s="50" t="n">
        <f aca="false">IF($A20="","",IF(ISNUMBER($G19),$G19+1,1))</f>
        <v>16</v>
      </c>
      <c r="H20" s="51" t="n">
        <f aca="false">IF(OR(NOT(ISNUMBER($G20)),$G20&lt;2,NOT(ISNUMBER($C19)),$C19=0),"",$C20/$C19-1)</f>
        <v>0.0114628091468465</v>
      </c>
      <c r="I20" s="52" t="str">
        <f aca="false">IF(AND(ISNUMBER($G20),$G20&gt;=MA_SHORT),AVERAGE(INDEX($C$5:$C20,17-MA_SHORT):$C20),"")</f>
        <v/>
      </c>
      <c r="J20" s="52" t="str">
        <f aca="false">IF(AND(ISNUMBER($G20),$G20&gt;=MA_MED),AVERAGE(INDEX($C$5:$C20,17-MA_MED):$C20),"")</f>
        <v/>
      </c>
      <c r="K20" s="52" t="str">
        <f aca="false">IF(AND(ISNUMBER($G20),$G20&gt;=MA_LONG2),AVERAGE(INDEX($C$5:$C20,17-MA_LONG2):$C20),"")</f>
        <v/>
      </c>
      <c r="L20" s="53" t="str">
        <f aca="false">IF(AND(ISNUMBER($G20),$G20&gt;=21),STDEV(INDEX($H$5:$H20,17-20):$H20)*SQRT(245),"")</f>
        <v/>
      </c>
      <c r="M20" s="52" t="str">
        <f aca="false">IF(AND(ISNUMBER($G20),$G20&gt;=60),MAX(INDEX($D$5:$D20,17-60):$D20),"")</f>
        <v/>
      </c>
      <c r="N20" s="52" t="str">
        <f aca="false">IF(AND(ISNUMBER($G20),$G20&gt;=60),MIN(INDEX($E$5:$E20,17-60):$E20),"")</f>
        <v/>
      </c>
      <c r="O20" s="53" t="str">
        <f aca="false">IF(OR(NOT(ISNUMBER($C20)),NOT(ISNUMBER($M20)),$M20=0),"",$C20/$M20-1)</f>
        <v/>
      </c>
      <c r="P20" s="54"/>
      <c r="Q20" s="53" t="str">
        <f aca="false">IF(NOT(ISNUMBER($P20)),"",IFERROR(PERCENTRANK($P$5:$P$1204,$P20),""))</f>
        <v/>
      </c>
    </row>
    <row r="21" customFormat="false" ht="15" hidden="false" customHeight="false" outlineLevel="0" collapsed="false">
      <c r="A21" s="47" t="n">
        <v>45592</v>
      </c>
      <c r="B21" s="48" t="s">
        <v>169</v>
      </c>
      <c r="C21" s="49" t="n">
        <v>80014514</v>
      </c>
      <c r="D21" s="49" t="n">
        <v>80037901</v>
      </c>
      <c r="E21" s="49" t="n">
        <v>79515427</v>
      </c>
      <c r="F21" s="49" t="n">
        <v>0</v>
      </c>
      <c r="G21" s="50" t="n">
        <f aca="false">IF($A21="","",IF(ISNUMBER($G20),$G20+1,1))</f>
        <v>17</v>
      </c>
      <c r="H21" s="51" t="n">
        <f aca="false">IF(OR(NOT(ISNUMBER($G21)),$G21&lt;2,NOT(ISNUMBER($C20)),$C20=0),"",$C21/$C20-1)</f>
        <v>0.00783516460083034</v>
      </c>
      <c r="I21" s="52" t="str">
        <f aca="false">IF(AND(ISNUMBER($G21),$G21&gt;=MA_SHORT),AVERAGE(INDEX($C$5:$C21,18-MA_SHORT):$C21),"")</f>
        <v/>
      </c>
      <c r="J21" s="52" t="str">
        <f aca="false">IF(AND(ISNUMBER($G21),$G21&gt;=MA_MED),AVERAGE(INDEX($C$5:$C21,18-MA_MED):$C21),"")</f>
        <v/>
      </c>
      <c r="K21" s="52" t="str">
        <f aca="false">IF(AND(ISNUMBER($G21),$G21&gt;=MA_LONG2),AVERAGE(INDEX($C$5:$C21,18-MA_LONG2):$C21),"")</f>
        <v/>
      </c>
      <c r="L21" s="53" t="str">
        <f aca="false">IF(AND(ISNUMBER($G21),$G21&gt;=21),STDEV(INDEX($H$5:$H21,18-20):$H21)*SQRT(245),"")</f>
        <v/>
      </c>
      <c r="M21" s="52" t="str">
        <f aca="false">IF(AND(ISNUMBER($G21),$G21&gt;=60),MAX(INDEX($D$5:$D21,18-60):$D21),"")</f>
        <v/>
      </c>
      <c r="N21" s="52" t="str">
        <f aca="false">IF(AND(ISNUMBER($G21),$G21&gt;=60),MIN(INDEX($E$5:$E21,18-60):$E21),"")</f>
        <v/>
      </c>
      <c r="O21" s="53" t="str">
        <f aca="false">IF(OR(NOT(ISNUMBER($C21)),NOT(ISNUMBER($M21)),$M21=0),"",$C21/$M21-1)</f>
        <v/>
      </c>
      <c r="P21" s="54"/>
      <c r="Q21" s="53" t="str">
        <f aca="false">IF(NOT(ISNUMBER($P21)),"",IFERROR(PERCENTRANK($P$5:$P$1204,$P21),""))</f>
        <v/>
      </c>
    </row>
    <row r="22" customFormat="false" ht="15" hidden="false" customHeight="false" outlineLevel="0" collapsed="false">
      <c r="A22" s="47" t="n">
        <v>45593</v>
      </c>
      <c r="B22" s="48" t="s">
        <v>170</v>
      </c>
      <c r="C22" s="49" t="n">
        <v>80520234</v>
      </c>
      <c r="D22" s="49" t="n">
        <v>80995280</v>
      </c>
      <c r="E22" s="49" t="n">
        <v>80280678</v>
      </c>
      <c r="F22" s="49" t="n">
        <v>0</v>
      </c>
      <c r="G22" s="50" t="n">
        <f aca="false">IF($A22="","",IF(ISNUMBER($G21),$G21+1,1))</f>
        <v>18</v>
      </c>
      <c r="H22" s="51" t="n">
        <f aca="false">IF(OR(NOT(ISNUMBER($G22)),$G22&lt;2,NOT(ISNUMBER($C21)),$C21=0),"",$C22/$C21-1)</f>
        <v>0.00632035332989722</v>
      </c>
      <c r="I22" s="52" t="str">
        <f aca="false">IF(AND(ISNUMBER($G22),$G22&gt;=MA_SHORT),AVERAGE(INDEX($C$5:$C22,19-MA_SHORT):$C22),"")</f>
        <v/>
      </c>
      <c r="J22" s="52" t="str">
        <f aca="false">IF(AND(ISNUMBER($G22),$G22&gt;=MA_MED),AVERAGE(INDEX($C$5:$C22,19-MA_MED):$C22),"")</f>
        <v/>
      </c>
      <c r="K22" s="52" t="str">
        <f aca="false">IF(AND(ISNUMBER($G22),$G22&gt;=MA_LONG2),AVERAGE(INDEX($C$5:$C22,19-MA_LONG2):$C22),"")</f>
        <v/>
      </c>
      <c r="L22" s="53" t="str">
        <f aca="false">IF(AND(ISNUMBER($G22),$G22&gt;=21),STDEV(INDEX($H$5:$H22,19-20):$H22)*SQRT(245),"")</f>
        <v/>
      </c>
      <c r="M22" s="52" t="str">
        <f aca="false">IF(AND(ISNUMBER($G22),$G22&gt;=60),MAX(INDEX($D$5:$D22,19-60):$D22),"")</f>
        <v/>
      </c>
      <c r="N22" s="52" t="str">
        <f aca="false">IF(AND(ISNUMBER($G22),$G22&gt;=60),MIN(INDEX($E$5:$E22,19-60):$E22),"")</f>
        <v/>
      </c>
      <c r="O22" s="53" t="str">
        <f aca="false">IF(OR(NOT(ISNUMBER($C22)),NOT(ISNUMBER($M22)),$M22=0),"",$C22/$M22-1)</f>
        <v/>
      </c>
      <c r="P22" s="54"/>
      <c r="Q22" s="53" t="str">
        <f aca="false">IF(NOT(ISNUMBER($P22)),"",IFERROR(PERCENTRANK($P$5:$P$1204,$P22),""))</f>
        <v/>
      </c>
    </row>
    <row r="23" customFormat="false" ht="15" hidden="false" customHeight="false" outlineLevel="0" collapsed="false">
      <c r="A23" s="47" t="n">
        <v>45594</v>
      </c>
      <c r="B23" s="48" t="s">
        <v>171</v>
      </c>
      <c r="C23" s="49" t="n">
        <v>78502708</v>
      </c>
      <c r="D23" s="49" t="n">
        <v>78662792</v>
      </c>
      <c r="E23" s="49" t="n">
        <v>78347315</v>
      </c>
      <c r="F23" s="49" t="n">
        <v>0</v>
      </c>
      <c r="G23" s="50" t="n">
        <f aca="false">IF($A23="","",IF(ISNUMBER($G22),$G22+1,1))</f>
        <v>19</v>
      </c>
      <c r="H23" s="51" t="n">
        <f aca="false">IF(OR(NOT(ISNUMBER($G23)),$G23&lt;2,NOT(ISNUMBER($C22)),$C22=0),"",$C23/$C22-1)</f>
        <v>-0.0250561368214604</v>
      </c>
      <c r="I23" s="52" t="str">
        <f aca="false">IF(AND(ISNUMBER($G23),$G23&gt;=MA_SHORT),AVERAGE(INDEX($C$5:$C23,20-MA_SHORT):$C23),"")</f>
        <v/>
      </c>
      <c r="J23" s="52" t="str">
        <f aca="false">IF(AND(ISNUMBER($G23),$G23&gt;=MA_MED),AVERAGE(INDEX($C$5:$C23,20-MA_MED):$C23),"")</f>
        <v/>
      </c>
      <c r="K23" s="52" t="str">
        <f aca="false">IF(AND(ISNUMBER($G23),$G23&gt;=MA_LONG2),AVERAGE(INDEX($C$5:$C23,20-MA_LONG2):$C23),"")</f>
        <v/>
      </c>
      <c r="L23" s="53" t="str">
        <f aca="false">IF(AND(ISNUMBER($G23),$G23&gt;=21),STDEV(INDEX($H$5:$H23,20-20):$H23)*SQRT(245),"")</f>
        <v/>
      </c>
      <c r="M23" s="52" t="str">
        <f aca="false">IF(AND(ISNUMBER($G23),$G23&gt;=60),MAX(INDEX($D$5:$D23,20-60):$D23),"")</f>
        <v/>
      </c>
      <c r="N23" s="52" t="str">
        <f aca="false">IF(AND(ISNUMBER($G23),$G23&gt;=60),MIN(INDEX($E$5:$E23,20-60):$E23),"")</f>
        <v/>
      </c>
      <c r="O23" s="53" t="str">
        <f aca="false">IF(OR(NOT(ISNUMBER($C23)),NOT(ISNUMBER($M23)),$M23=0),"",$C23/$M23-1)</f>
        <v/>
      </c>
      <c r="P23" s="54"/>
      <c r="Q23" s="53" t="str">
        <f aca="false">IF(NOT(ISNUMBER($P23)),"",IFERROR(PERCENTRANK($P$5:$P$1204,$P23),""))</f>
        <v/>
      </c>
    </row>
    <row r="24" customFormat="false" ht="15" hidden="false" customHeight="false" outlineLevel="0" collapsed="false">
      <c r="A24" s="47" t="n">
        <v>45595</v>
      </c>
      <c r="B24" s="48" t="s">
        <v>172</v>
      </c>
      <c r="C24" s="49" t="n">
        <v>77829040</v>
      </c>
      <c r="D24" s="49" t="n">
        <v>77902874</v>
      </c>
      <c r="E24" s="49" t="n">
        <v>77741135</v>
      </c>
      <c r="F24" s="49" t="n">
        <v>0</v>
      </c>
      <c r="G24" s="50" t="n">
        <f aca="false">IF($A24="","",IF(ISNUMBER($G23),$G23+1,1))</f>
        <v>20</v>
      </c>
      <c r="H24" s="51" t="n">
        <f aca="false">IF(OR(NOT(ISNUMBER($G24)),$G24&lt;2,NOT(ISNUMBER($C23)),$C23=0),"",$C24/$C23-1)</f>
        <v>-0.00858146192867637</v>
      </c>
      <c r="I24" s="52" t="n">
        <f aca="false">IF(AND(ISNUMBER($G24),$G24&gt;=MA_SHORT),AVERAGE(INDEX($C$5:$C24,21-MA_SHORT):$C24),"")</f>
        <v>78298441.25</v>
      </c>
      <c r="J24" s="52" t="str">
        <f aca="false">IF(AND(ISNUMBER($G24),$G24&gt;=MA_MED),AVERAGE(INDEX($C$5:$C24,21-MA_MED):$C24),"")</f>
        <v/>
      </c>
      <c r="K24" s="52" t="str">
        <f aca="false">IF(AND(ISNUMBER($G24),$G24&gt;=MA_LONG2),AVERAGE(INDEX($C$5:$C24,21-MA_LONG2):$C24),"")</f>
        <v/>
      </c>
      <c r="L24" s="53" t="str">
        <f aca="false">IF(AND(ISNUMBER($G24),$G24&gt;=21),STDEV(INDEX($H$5:$H24,21-20):$H24)*SQRT(245),"")</f>
        <v/>
      </c>
      <c r="M24" s="52" t="str">
        <f aca="false">IF(AND(ISNUMBER($G24),$G24&gt;=60),MAX(INDEX($D$5:$D24,21-60):$D24),"")</f>
        <v/>
      </c>
      <c r="N24" s="52" t="str">
        <f aca="false">IF(AND(ISNUMBER($G24),$G24&gt;=60),MIN(INDEX($E$5:$E24,21-60):$E24),"")</f>
        <v/>
      </c>
      <c r="O24" s="53" t="str">
        <f aca="false">IF(OR(NOT(ISNUMBER($C24)),NOT(ISNUMBER($M24)),$M24=0),"",$C24/$M24-1)</f>
        <v/>
      </c>
      <c r="P24" s="54"/>
      <c r="Q24" s="53" t="str">
        <f aca="false">IF(NOT(ISNUMBER($P24)),"",IFERROR(PERCENTRANK($P$5:$P$1204,$P24),""))</f>
        <v/>
      </c>
    </row>
    <row r="25" customFormat="false" ht="15" hidden="false" customHeight="false" outlineLevel="0" collapsed="false">
      <c r="A25" s="47" t="n">
        <v>45598</v>
      </c>
      <c r="B25" s="48" t="s">
        <v>173</v>
      </c>
      <c r="C25" s="49" t="n">
        <v>79852484</v>
      </c>
      <c r="D25" s="49" t="n">
        <v>80009152</v>
      </c>
      <c r="E25" s="49" t="n">
        <v>79476632</v>
      </c>
      <c r="F25" s="49" t="n">
        <v>0</v>
      </c>
      <c r="G25" s="50" t="n">
        <f aca="false">IF($A25="","",IF(ISNUMBER($G24),$G24+1,1))</f>
        <v>21</v>
      </c>
      <c r="H25" s="51" t="n">
        <f aca="false">IF(OR(NOT(ISNUMBER($G25)),$G25&lt;2,NOT(ISNUMBER($C24)),$C24=0),"",$C25/$C24-1)</f>
        <v>0.0259985732831858</v>
      </c>
      <c r="I25" s="52" t="n">
        <f aca="false">IF(AND(ISNUMBER($G25),$G25&gt;=MA_SHORT),AVERAGE(INDEX($C$5:$C25,22-MA_SHORT):$C25),"")</f>
        <v>78414485</v>
      </c>
      <c r="J25" s="52" t="str">
        <f aca="false">IF(AND(ISNUMBER($G25),$G25&gt;=MA_MED),AVERAGE(INDEX($C$5:$C25,22-MA_MED):$C25),"")</f>
        <v/>
      </c>
      <c r="K25" s="52" t="str">
        <f aca="false">IF(AND(ISNUMBER($G25),$G25&gt;=MA_LONG2),AVERAGE(INDEX($C$5:$C25,22-MA_LONG2):$C25),"")</f>
        <v/>
      </c>
      <c r="L25" s="53" t="n">
        <f aca="false">IF(AND(ISNUMBER($G25),$G25&gt;=21),STDEV(INDEX($H$5:$H25,22-20):$H25)*SQRT(245),"")</f>
        <v>0.274050497967643</v>
      </c>
      <c r="M25" s="52" t="str">
        <f aca="false">IF(AND(ISNUMBER($G25),$G25&gt;=60),MAX(INDEX($D$5:$D25,22-60):$D25),"")</f>
        <v/>
      </c>
      <c r="N25" s="52" t="str">
        <f aca="false">IF(AND(ISNUMBER($G25),$G25&gt;=60),MIN(INDEX($E$5:$E25,22-60):$E25),"")</f>
        <v/>
      </c>
      <c r="O25" s="53" t="str">
        <f aca="false">IF(OR(NOT(ISNUMBER($C25)),NOT(ISNUMBER($M25)),$M25=0),"",$C25/$M25-1)</f>
        <v/>
      </c>
      <c r="P25" s="54"/>
      <c r="Q25" s="53" t="str">
        <f aca="false">IF(NOT(ISNUMBER($P25)),"",IFERROR(PERCENTRANK($P$5:$P$1204,$P25),""))</f>
        <v/>
      </c>
    </row>
    <row r="26" customFormat="false" ht="15" hidden="false" customHeight="false" outlineLevel="0" collapsed="false">
      <c r="A26" s="47" t="n">
        <v>45599</v>
      </c>
      <c r="B26" s="48" t="s">
        <v>174</v>
      </c>
      <c r="C26" s="49" t="n">
        <v>78696544</v>
      </c>
      <c r="D26" s="49" t="n">
        <v>79054302</v>
      </c>
      <c r="E26" s="49" t="n">
        <v>78403111</v>
      </c>
      <c r="F26" s="49" t="n">
        <v>0</v>
      </c>
      <c r="G26" s="50" t="n">
        <f aca="false">IF($A26="","",IF(ISNUMBER($G25),$G25+1,1))</f>
        <v>22</v>
      </c>
      <c r="H26" s="51" t="n">
        <f aca="false">IF(OR(NOT(ISNUMBER($G26)),$G26&lt;2,NOT(ISNUMBER($C25)),$C25=0),"",$C26/$C25-1)</f>
        <v>-0.014475942914938</v>
      </c>
      <c r="I26" s="52" t="n">
        <f aca="false">IF(AND(ISNUMBER($G26),$G26&gt;=MA_SHORT),AVERAGE(INDEX($C$5:$C26,23-MA_SHORT):$C26),"")</f>
        <v>78372825.65</v>
      </c>
      <c r="J26" s="52" t="str">
        <f aca="false">IF(AND(ISNUMBER($G26),$G26&gt;=MA_MED),AVERAGE(INDEX($C$5:$C26,23-MA_MED):$C26),"")</f>
        <v/>
      </c>
      <c r="K26" s="52" t="str">
        <f aca="false">IF(AND(ISNUMBER($G26),$G26&gt;=MA_LONG2),AVERAGE(INDEX($C$5:$C26,23-MA_LONG2):$C26),"")</f>
        <v/>
      </c>
      <c r="L26" s="53" t="n">
        <f aca="false">IF(AND(ISNUMBER($G26),$G26&gt;=21),STDEV(INDEX($H$5:$H26,23-20):$H26)*SQRT(245),"")</f>
        <v>0.264348784234616</v>
      </c>
      <c r="M26" s="52" t="str">
        <f aca="false">IF(AND(ISNUMBER($G26),$G26&gt;=60),MAX(INDEX($D$5:$D26,23-60):$D26),"")</f>
        <v/>
      </c>
      <c r="N26" s="52" t="str">
        <f aca="false">IF(AND(ISNUMBER($G26),$G26&gt;=60),MIN(INDEX($E$5:$E26,23-60):$E26),"")</f>
        <v/>
      </c>
      <c r="O26" s="53" t="str">
        <f aca="false">IF(OR(NOT(ISNUMBER($C26)),NOT(ISNUMBER($M26)),$M26=0),"",$C26/$M26-1)</f>
        <v/>
      </c>
      <c r="P26" s="54"/>
      <c r="Q26" s="53" t="str">
        <f aca="false">IF(NOT(ISNUMBER($P26)),"",IFERROR(PERCENTRANK($P$5:$P$1204,$P26),""))</f>
        <v/>
      </c>
    </row>
    <row r="27" customFormat="false" ht="15" hidden="false" customHeight="false" outlineLevel="0" collapsed="false">
      <c r="A27" s="47" t="n">
        <v>45600</v>
      </c>
      <c r="B27" s="48" t="s">
        <v>175</v>
      </c>
      <c r="C27" s="49" t="n">
        <v>80258884</v>
      </c>
      <c r="D27" s="49" t="n">
        <v>80742806</v>
      </c>
      <c r="E27" s="49" t="n">
        <v>79959802</v>
      </c>
      <c r="F27" s="49" t="n">
        <v>0</v>
      </c>
      <c r="G27" s="50" t="n">
        <f aca="false">IF($A27="","",IF(ISNUMBER($G26),$G26+1,1))</f>
        <v>23</v>
      </c>
      <c r="H27" s="51" t="n">
        <f aca="false">IF(OR(NOT(ISNUMBER($G27)),$G27&lt;2,NOT(ISNUMBER($C26)),$C26=0),"",$C27/$C26-1)</f>
        <v>0.0198527142437157</v>
      </c>
      <c r="I27" s="52" t="n">
        <f aca="false">IF(AND(ISNUMBER($G27),$G27&gt;=MA_SHORT),AVERAGE(INDEX($C$5:$C27,24-MA_SHORT):$C27),"")</f>
        <v>78453753.15</v>
      </c>
      <c r="J27" s="52" t="str">
        <f aca="false">IF(AND(ISNUMBER($G27),$G27&gt;=MA_MED),AVERAGE(INDEX($C$5:$C27,24-MA_MED):$C27),"")</f>
        <v/>
      </c>
      <c r="K27" s="52" t="str">
        <f aca="false">IF(AND(ISNUMBER($G27),$G27&gt;=MA_LONG2),AVERAGE(INDEX($C$5:$C27,24-MA_LONG2):$C27),"")</f>
        <v/>
      </c>
      <c r="L27" s="53" t="n">
        <f aca="false">IF(AND(ISNUMBER($G27),$G27&gt;=21),STDEV(INDEX($H$5:$H27,24-20):$H27)*SQRT(245),"")</f>
        <v>0.270261844118684</v>
      </c>
      <c r="M27" s="52" t="str">
        <f aca="false">IF(AND(ISNUMBER($G27),$G27&gt;=60),MAX(INDEX($D$5:$D27,24-60):$D27),"")</f>
        <v/>
      </c>
      <c r="N27" s="52" t="str">
        <f aca="false">IF(AND(ISNUMBER($G27),$G27&gt;=60),MIN(INDEX($E$5:$E27,24-60):$E27),"")</f>
        <v/>
      </c>
      <c r="O27" s="53" t="str">
        <f aca="false">IF(OR(NOT(ISNUMBER($C27)),NOT(ISNUMBER($M27)),$M27=0),"",$C27/$M27-1)</f>
        <v/>
      </c>
      <c r="P27" s="54"/>
      <c r="Q27" s="53" t="str">
        <f aca="false">IF(NOT(ISNUMBER($P27)),"",IFERROR(PERCENTRANK($P$5:$P$1204,$P27),""))</f>
        <v/>
      </c>
    </row>
    <row r="28" customFormat="false" ht="15" hidden="false" customHeight="false" outlineLevel="0" collapsed="false">
      <c r="A28" s="47" t="n">
        <v>45601</v>
      </c>
      <c r="B28" s="48" t="s">
        <v>176</v>
      </c>
      <c r="C28" s="49" t="n">
        <v>78892323</v>
      </c>
      <c r="D28" s="49" t="n">
        <v>79146702</v>
      </c>
      <c r="E28" s="49" t="n">
        <v>78684409</v>
      </c>
      <c r="F28" s="49" t="n">
        <v>0</v>
      </c>
      <c r="G28" s="50" t="n">
        <f aca="false">IF($A28="","",IF(ISNUMBER($G27),$G27+1,1))</f>
        <v>24</v>
      </c>
      <c r="H28" s="51" t="n">
        <f aca="false">IF(OR(NOT(ISNUMBER($G28)),$G28&lt;2,NOT(ISNUMBER($C27)),$C27=0),"",$C28/$C27-1)</f>
        <v>-0.0170269125596114</v>
      </c>
      <c r="I28" s="52" t="n">
        <f aca="false">IF(AND(ISNUMBER($G28),$G28&gt;=MA_SHORT),AVERAGE(INDEX($C$5:$C28,25-MA_SHORT):$C28),"")</f>
        <v>78529368.2</v>
      </c>
      <c r="J28" s="52" t="str">
        <f aca="false">IF(AND(ISNUMBER($G28),$G28&gt;=MA_MED),AVERAGE(INDEX($C$5:$C28,25-MA_MED):$C28),"")</f>
        <v/>
      </c>
      <c r="K28" s="52" t="str">
        <f aca="false">IF(AND(ISNUMBER($G28),$G28&gt;=MA_LONG2),AVERAGE(INDEX($C$5:$C28,25-MA_LONG2):$C28),"")</f>
        <v/>
      </c>
      <c r="L28" s="53" t="n">
        <f aca="false">IF(AND(ISNUMBER($G28),$G28&gt;=21),STDEV(INDEX($H$5:$H28,25-20):$H28)*SQRT(245),"")</f>
        <v>0.271103790199737</v>
      </c>
      <c r="M28" s="52" t="str">
        <f aca="false">IF(AND(ISNUMBER($G28),$G28&gt;=60),MAX(INDEX($D$5:$D28,25-60):$D28),"")</f>
        <v/>
      </c>
      <c r="N28" s="52" t="str">
        <f aca="false">IF(AND(ISNUMBER($G28),$G28&gt;=60),MIN(INDEX($E$5:$E28,25-60):$E28),"")</f>
        <v/>
      </c>
      <c r="O28" s="53" t="str">
        <f aca="false">IF(OR(NOT(ISNUMBER($C28)),NOT(ISNUMBER($M28)),$M28=0),"",$C28/$M28-1)</f>
        <v/>
      </c>
      <c r="P28" s="54"/>
      <c r="Q28" s="53" t="str">
        <f aca="false">IF(NOT(ISNUMBER($P28)),"",IFERROR(PERCENTRANK($P$5:$P$1204,$P28),""))</f>
        <v/>
      </c>
    </row>
    <row r="29" customFormat="false" ht="15" hidden="false" customHeight="false" outlineLevel="0" collapsed="false">
      <c r="A29" s="47" t="n">
        <v>45602</v>
      </c>
      <c r="B29" s="48" t="s">
        <v>177</v>
      </c>
      <c r="C29" s="49" t="n">
        <v>80481681</v>
      </c>
      <c r="D29" s="49" t="n">
        <v>81151699</v>
      </c>
      <c r="E29" s="49" t="n">
        <v>80463799</v>
      </c>
      <c r="F29" s="49" t="n">
        <v>0</v>
      </c>
      <c r="G29" s="50" t="n">
        <f aca="false">IF($A29="","",IF(ISNUMBER($G28),$G28+1,1))</f>
        <v>25</v>
      </c>
      <c r="H29" s="51" t="n">
        <f aca="false">IF(OR(NOT(ISNUMBER($G29)),$G29&lt;2,NOT(ISNUMBER($C28)),$C28=0),"",$C29/$C28-1)</f>
        <v>0.020145914577772</v>
      </c>
      <c r="I29" s="52" t="n">
        <f aca="false">IF(AND(ISNUMBER($G29),$G29&gt;=MA_SHORT),AVERAGE(INDEX($C$5:$C29,26-MA_SHORT):$C29),"")</f>
        <v>78652175.9</v>
      </c>
      <c r="J29" s="52" t="str">
        <f aca="false">IF(AND(ISNUMBER($G29),$G29&gt;=MA_MED),AVERAGE(INDEX($C$5:$C29,26-MA_MED):$C29),"")</f>
        <v/>
      </c>
      <c r="K29" s="52" t="str">
        <f aca="false">IF(AND(ISNUMBER($G29),$G29&gt;=MA_LONG2),AVERAGE(INDEX($C$5:$C29,26-MA_LONG2):$C29),"")</f>
        <v/>
      </c>
      <c r="L29" s="53" t="n">
        <f aca="false">IF(AND(ISNUMBER($G29),$G29&gt;=21),STDEV(INDEX($H$5:$H29,26-20):$H29)*SQRT(245),"")</f>
        <v>0.278218056829483</v>
      </c>
      <c r="M29" s="52" t="str">
        <f aca="false">IF(AND(ISNUMBER($G29),$G29&gt;=60),MAX(INDEX($D$5:$D29,26-60):$D29),"")</f>
        <v/>
      </c>
      <c r="N29" s="52" t="str">
        <f aca="false">IF(AND(ISNUMBER($G29),$G29&gt;=60),MIN(INDEX($E$5:$E29,26-60):$E29),"")</f>
        <v/>
      </c>
      <c r="O29" s="53" t="str">
        <f aca="false">IF(OR(NOT(ISNUMBER($C29)),NOT(ISNUMBER($M29)),$M29=0),"",$C29/$M29-1)</f>
        <v/>
      </c>
      <c r="P29" s="54"/>
      <c r="Q29" s="53" t="str">
        <f aca="false">IF(NOT(ISNUMBER($P29)),"",IFERROR(PERCENTRANK($P$5:$P$1204,$P29),""))</f>
        <v/>
      </c>
    </row>
    <row r="30" customFormat="false" ht="15" hidden="false" customHeight="false" outlineLevel="0" collapsed="false">
      <c r="A30" s="47" t="n">
        <v>45605</v>
      </c>
      <c r="B30" s="48" t="s">
        <v>178</v>
      </c>
      <c r="C30" s="49" t="n">
        <v>81674760</v>
      </c>
      <c r="D30" s="49" t="n">
        <v>81726037</v>
      </c>
      <c r="E30" s="49" t="n">
        <v>81184282</v>
      </c>
      <c r="F30" s="49" t="n">
        <v>0</v>
      </c>
      <c r="G30" s="50" t="n">
        <f aca="false">IF($A30="","",IF(ISNUMBER($G29),$G29+1,1))</f>
        <v>26</v>
      </c>
      <c r="H30" s="51" t="n">
        <f aca="false">IF(OR(NOT(ISNUMBER($G30)),$G30&lt;2,NOT(ISNUMBER($C29)),$C29=0),"",$C30/$C29-1)</f>
        <v>0.0148242306221213</v>
      </c>
      <c r="I30" s="52" t="n">
        <f aca="false">IF(AND(ISNUMBER($G30),$G30&gt;=MA_SHORT),AVERAGE(INDEX($C$5:$C30,27-MA_SHORT):$C30),"")</f>
        <v>78807220.95</v>
      </c>
      <c r="J30" s="52" t="str">
        <f aca="false">IF(AND(ISNUMBER($G30),$G30&gt;=MA_MED),AVERAGE(INDEX($C$5:$C30,27-MA_MED):$C30),"")</f>
        <v/>
      </c>
      <c r="K30" s="52" t="str">
        <f aca="false">IF(AND(ISNUMBER($G30),$G30&gt;=MA_LONG2),AVERAGE(INDEX($C$5:$C30,27-MA_LONG2):$C30),"")</f>
        <v/>
      </c>
      <c r="L30" s="53" t="n">
        <f aca="false">IF(AND(ISNUMBER($G30),$G30&gt;=21),STDEV(INDEX($H$5:$H30,27-20):$H30)*SQRT(245),"")</f>
        <v>0.281462068284765</v>
      </c>
      <c r="M30" s="52" t="str">
        <f aca="false">IF(AND(ISNUMBER($G30),$G30&gt;=60),MAX(INDEX($D$5:$D30,27-60):$D30),"")</f>
        <v/>
      </c>
      <c r="N30" s="52" t="str">
        <f aca="false">IF(AND(ISNUMBER($G30),$G30&gt;=60),MIN(INDEX($E$5:$E30,27-60):$E30),"")</f>
        <v/>
      </c>
      <c r="O30" s="53" t="str">
        <f aca="false">IF(OR(NOT(ISNUMBER($C30)),NOT(ISNUMBER($M30)),$M30=0),"",$C30/$M30-1)</f>
        <v/>
      </c>
      <c r="P30" s="54"/>
      <c r="Q30" s="53" t="str">
        <f aca="false">IF(NOT(ISNUMBER($P30)),"",IFERROR(PERCENTRANK($P$5:$P$1204,$P30),""))</f>
        <v/>
      </c>
    </row>
    <row r="31" customFormat="false" ht="15" hidden="false" customHeight="false" outlineLevel="0" collapsed="false">
      <c r="A31" s="47" t="n">
        <v>45606</v>
      </c>
      <c r="B31" s="48" t="s">
        <v>179</v>
      </c>
      <c r="C31" s="49" t="n">
        <v>80765580</v>
      </c>
      <c r="D31" s="49" t="n">
        <v>80953720</v>
      </c>
      <c r="E31" s="49" t="n">
        <v>80511319</v>
      </c>
      <c r="F31" s="49" t="n">
        <v>0</v>
      </c>
      <c r="G31" s="50" t="n">
        <f aca="false">IF($A31="","",IF(ISNUMBER($G30),$G30+1,1))</f>
        <v>27</v>
      </c>
      <c r="H31" s="51" t="n">
        <f aca="false">IF(OR(NOT(ISNUMBER($G31)),$G31&lt;2,NOT(ISNUMBER($C30)),$C30=0),"",$C31/$C30-1)</f>
        <v>-0.0111317131510396</v>
      </c>
      <c r="I31" s="52" t="n">
        <f aca="false">IF(AND(ISNUMBER($G31),$G31&gt;=MA_SHORT),AVERAGE(INDEX($C$5:$C31,28-MA_SHORT):$C31),"")</f>
        <v>78953375.35</v>
      </c>
      <c r="J31" s="52" t="str">
        <f aca="false">IF(AND(ISNUMBER($G31),$G31&gt;=MA_MED),AVERAGE(INDEX($C$5:$C31,28-MA_MED):$C31),"")</f>
        <v/>
      </c>
      <c r="K31" s="52" t="str">
        <f aca="false">IF(AND(ISNUMBER($G31),$G31&gt;=MA_LONG2),AVERAGE(INDEX($C$5:$C31,28-MA_LONG2):$C31),"")</f>
        <v/>
      </c>
      <c r="L31" s="53" t="n">
        <f aca="false">IF(AND(ISNUMBER($G31),$G31&gt;=21),STDEV(INDEX($H$5:$H31,28-20):$H31)*SQRT(245),"")</f>
        <v>0.282484980559759</v>
      </c>
      <c r="M31" s="52" t="str">
        <f aca="false">IF(AND(ISNUMBER($G31),$G31&gt;=60),MAX(INDEX($D$5:$D31,28-60):$D31),"")</f>
        <v/>
      </c>
      <c r="N31" s="52" t="str">
        <f aca="false">IF(AND(ISNUMBER($G31),$G31&gt;=60),MIN(INDEX($E$5:$E31,28-60):$E31),"")</f>
        <v/>
      </c>
      <c r="O31" s="53" t="str">
        <f aca="false">IF(OR(NOT(ISNUMBER($C31)),NOT(ISNUMBER($M31)),$M31=0),"",$C31/$M31-1)</f>
        <v/>
      </c>
      <c r="P31" s="54"/>
      <c r="Q31" s="53" t="str">
        <f aca="false">IF(NOT(ISNUMBER($P31)),"",IFERROR(PERCENTRANK($P$5:$P$1204,$P31),""))</f>
        <v/>
      </c>
    </row>
    <row r="32" customFormat="false" ht="15" hidden="false" customHeight="false" outlineLevel="0" collapsed="false">
      <c r="A32" s="47" t="n">
        <v>45607</v>
      </c>
      <c r="B32" s="48" t="s">
        <v>180</v>
      </c>
      <c r="C32" s="49" t="n">
        <v>80667847</v>
      </c>
      <c r="D32" s="49" t="n">
        <v>80785421</v>
      </c>
      <c r="E32" s="49" t="n">
        <v>80190906</v>
      </c>
      <c r="F32" s="49" t="n">
        <v>0</v>
      </c>
      <c r="G32" s="50" t="n">
        <f aca="false">IF($A32="","",IF(ISNUMBER($G31),$G31+1,1))</f>
        <v>28</v>
      </c>
      <c r="H32" s="51" t="n">
        <f aca="false">IF(OR(NOT(ISNUMBER($G32)),$G32&lt;2,NOT(ISNUMBER($C31)),$C31=0),"",$C32/$C31-1)</f>
        <v>-0.00121008231476827</v>
      </c>
      <c r="I32" s="52" t="n">
        <f aca="false">IF(AND(ISNUMBER($G32),$G32&gt;=MA_SHORT),AVERAGE(INDEX($C$5:$C32,29-MA_SHORT):$C32),"")</f>
        <v>79058775.2</v>
      </c>
      <c r="J32" s="52" t="str">
        <f aca="false">IF(AND(ISNUMBER($G32),$G32&gt;=MA_MED),AVERAGE(INDEX($C$5:$C32,29-MA_MED):$C32),"")</f>
        <v/>
      </c>
      <c r="K32" s="52" t="str">
        <f aca="false">IF(AND(ISNUMBER($G32),$G32&gt;=MA_LONG2),AVERAGE(INDEX($C$5:$C32,29-MA_LONG2):$C32),"")</f>
        <v/>
      </c>
      <c r="L32" s="53" t="n">
        <f aca="false">IF(AND(ISNUMBER($G32),$G32&gt;=21),STDEV(INDEX($H$5:$H32,29-20):$H32)*SQRT(245),"")</f>
        <v>0.281405765071822</v>
      </c>
      <c r="M32" s="52" t="str">
        <f aca="false">IF(AND(ISNUMBER($G32),$G32&gt;=60),MAX(INDEX($D$5:$D32,29-60):$D32),"")</f>
        <v/>
      </c>
      <c r="N32" s="52" t="str">
        <f aca="false">IF(AND(ISNUMBER($G32),$G32&gt;=60),MIN(INDEX($E$5:$E32,29-60):$E32),"")</f>
        <v/>
      </c>
      <c r="O32" s="53" t="str">
        <f aca="false">IF(OR(NOT(ISNUMBER($C32)),NOT(ISNUMBER($M32)),$M32=0),"",$C32/$M32-1)</f>
        <v/>
      </c>
      <c r="P32" s="54"/>
      <c r="Q32" s="53" t="str">
        <f aca="false">IF(NOT(ISNUMBER($P32)),"",IFERROR(PERCENTRANK($P$5:$P$1204,$P32),""))</f>
        <v/>
      </c>
    </row>
    <row r="33" customFormat="false" ht="15" hidden="false" customHeight="false" outlineLevel="0" collapsed="false">
      <c r="A33" s="47" t="n">
        <v>45608</v>
      </c>
      <c r="B33" s="48" t="s">
        <v>181</v>
      </c>
      <c r="C33" s="49" t="n">
        <v>80363116</v>
      </c>
      <c r="D33" s="49" t="n">
        <v>81039339</v>
      </c>
      <c r="E33" s="49" t="n">
        <v>80028254</v>
      </c>
      <c r="F33" s="49" t="n">
        <v>0</v>
      </c>
      <c r="G33" s="50" t="n">
        <f aca="false">IF($A33="","",IF(ISNUMBER($G32),$G32+1,1))</f>
        <v>29</v>
      </c>
      <c r="H33" s="51" t="n">
        <f aca="false">IF(OR(NOT(ISNUMBER($G33)),$G33&lt;2,NOT(ISNUMBER($C32)),$C32=0),"",$C33/$C32-1)</f>
        <v>-0.00377760175005037</v>
      </c>
      <c r="I33" s="52" t="n">
        <f aca="false">IF(AND(ISNUMBER($G33),$G33&gt;=MA_SHORT),AVERAGE(INDEX($C$5:$C33,30-MA_SHORT):$C33),"")</f>
        <v>79126124.25</v>
      </c>
      <c r="J33" s="52" t="str">
        <f aca="false">IF(AND(ISNUMBER($G33),$G33&gt;=MA_MED),AVERAGE(INDEX($C$5:$C33,30-MA_MED):$C33),"")</f>
        <v/>
      </c>
      <c r="K33" s="52" t="str">
        <f aca="false">IF(AND(ISNUMBER($G33),$G33&gt;=MA_LONG2),AVERAGE(INDEX($C$5:$C33,30-MA_LONG2):$C33),"")</f>
        <v/>
      </c>
      <c r="L33" s="53" t="n">
        <f aca="false">IF(AND(ISNUMBER($G33),$G33&gt;=21),STDEV(INDEX($H$5:$H33,30-20):$H33)*SQRT(245),"")</f>
        <v>0.281504040274848</v>
      </c>
      <c r="M33" s="52" t="str">
        <f aca="false">IF(AND(ISNUMBER($G33),$G33&gt;=60),MAX(INDEX($D$5:$D33,30-60):$D33),"")</f>
        <v/>
      </c>
      <c r="N33" s="52" t="str">
        <f aca="false">IF(AND(ISNUMBER($G33),$G33&gt;=60),MIN(INDEX($E$5:$E33,30-60):$E33),"")</f>
        <v/>
      </c>
      <c r="O33" s="53" t="str">
        <f aca="false">IF(OR(NOT(ISNUMBER($C33)),NOT(ISNUMBER($M33)),$M33=0),"",$C33/$M33-1)</f>
        <v/>
      </c>
      <c r="P33" s="54"/>
      <c r="Q33" s="53" t="str">
        <f aca="false">IF(NOT(ISNUMBER($P33)),"",IFERROR(PERCENTRANK($P$5:$P$1204,$P33),""))</f>
        <v/>
      </c>
    </row>
    <row r="34" customFormat="false" ht="15" hidden="false" customHeight="false" outlineLevel="0" collapsed="false">
      <c r="A34" s="47" t="n">
        <v>45609</v>
      </c>
      <c r="B34" s="48" t="s">
        <v>182</v>
      </c>
      <c r="C34" s="49" t="n">
        <v>82547059</v>
      </c>
      <c r="D34" s="49" t="n">
        <v>83047230</v>
      </c>
      <c r="E34" s="49" t="n">
        <v>82076258</v>
      </c>
      <c r="F34" s="49" t="n">
        <v>0</v>
      </c>
      <c r="G34" s="50" t="n">
        <f aca="false">IF($A34="","",IF(ISNUMBER($G33),$G33+1,1))</f>
        <v>30</v>
      </c>
      <c r="H34" s="51" t="n">
        <f aca="false">IF(OR(NOT(ISNUMBER($G34)),$G34&lt;2,NOT(ISNUMBER($C33)),$C33=0),"",$C34/$C33-1)</f>
        <v>0.0271759372794853</v>
      </c>
      <c r="I34" s="52" t="n">
        <f aca="false">IF(AND(ISNUMBER($G34),$G34&gt;=MA_SHORT),AVERAGE(INDEX($C$5:$C34,31-MA_SHORT):$C34),"")</f>
        <v>79381575.9</v>
      </c>
      <c r="J34" s="52" t="str">
        <f aca="false">IF(AND(ISNUMBER($G34),$G34&gt;=MA_MED),AVERAGE(INDEX($C$5:$C34,31-MA_MED):$C34),"")</f>
        <v/>
      </c>
      <c r="K34" s="52" t="str">
        <f aca="false">IF(AND(ISNUMBER($G34),$G34&gt;=MA_LONG2),AVERAGE(INDEX($C$5:$C34,31-MA_LONG2):$C34),"")</f>
        <v/>
      </c>
      <c r="L34" s="53" t="n">
        <f aca="false">IF(AND(ISNUMBER($G34),$G34&gt;=21),STDEV(INDEX($H$5:$H34,31-20):$H34)*SQRT(245),"")</f>
        <v>0.284562569227097</v>
      </c>
      <c r="M34" s="52" t="str">
        <f aca="false">IF(AND(ISNUMBER($G34),$G34&gt;=60),MAX(INDEX($D$5:$D34,31-60):$D34),"")</f>
        <v/>
      </c>
      <c r="N34" s="52" t="str">
        <f aca="false">IF(AND(ISNUMBER($G34),$G34&gt;=60),MIN(INDEX($E$5:$E34,31-60):$E34),"")</f>
        <v/>
      </c>
      <c r="O34" s="53" t="str">
        <f aca="false">IF(OR(NOT(ISNUMBER($C34)),NOT(ISNUMBER($M34)),$M34=0),"",$C34/$M34-1)</f>
        <v/>
      </c>
      <c r="P34" s="54"/>
      <c r="Q34" s="53" t="str">
        <f aca="false">IF(NOT(ISNUMBER($P34)),"",IFERROR(PERCENTRANK($P$5:$P$1204,$P34),""))</f>
        <v/>
      </c>
    </row>
    <row r="35" customFormat="false" ht="15" hidden="false" customHeight="false" outlineLevel="0" collapsed="false">
      <c r="A35" s="47" t="n">
        <v>45612</v>
      </c>
      <c r="B35" s="48" t="s">
        <v>183</v>
      </c>
      <c r="C35" s="49" t="n">
        <v>82633642</v>
      </c>
      <c r="D35" s="49" t="n">
        <v>83170039</v>
      </c>
      <c r="E35" s="49" t="n">
        <v>82589618</v>
      </c>
      <c r="F35" s="49" t="n">
        <v>0</v>
      </c>
      <c r="G35" s="50" t="n">
        <f aca="false">IF($A35="","",IF(ISNUMBER($G34),$G34+1,1))</f>
        <v>31</v>
      </c>
      <c r="H35" s="51" t="n">
        <f aca="false">IF(OR(NOT(ISNUMBER($G35)),$G35&lt;2,NOT(ISNUMBER($C34)),$C34=0),"",$C35/$C34-1)</f>
        <v>0.00104889260803342</v>
      </c>
      <c r="I35" s="52" t="n">
        <f aca="false">IF(AND(ISNUMBER($G35),$G35&gt;=MA_SHORT),AVERAGE(INDEX($C$5:$C35,32-MA_SHORT):$C35),"")</f>
        <v>79558568.85</v>
      </c>
      <c r="J35" s="52" t="str">
        <f aca="false">IF(AND(ISNUMBER($G35),$G35&gt;=MA_MED),AVERAGE(INDEX($C$5:$C35,32-MA_MED):$C35),"")</f>
        <v/>
      </c>
      <c r="K35" s="52" t="str">
        <f aca="false">IF(AND(ISNUMBER($G35),$G35&gt;=MA_LONG2),AVERAGE(INDEX($C$5:$C35,32-MA_LONG2):$C35),"")</f>
        <v/>
      </c>
      <c r="L35" s="53" t="n">
        <f aca="false">IF(AND(ISNUMBER($G35),$G35&gt;=21),STDEV(INDEX($H$5:$H35,32-20):$H35)*SQRT(245),"")</f>
        <v>0.276746309972041</v>
      </c>
      <c r="M35" s="52" t="str">
        <f aca="false">IF(AND(ISNUMBER($G35),$G35&gt;=60),MAX(INDEX($D$5:$D35,32-60):$D35),"")</f>
        <v/>
      </c>
      <c r="N35" s="52" t="str">
        <f aca="false">IF(AND(ISNUMBER($G35),$G35&gt;=60),MIN(INDEX($E$5:$E35,32-60):$E35),"")</f>
        <v/>
      </c>
      <c r="O35" s="53" t="str">
        <f aca="false">IF(OR(NOT(ISNUMBER($C35)),NOT(ISNUMBER($M35)),$M35=0),"",$C35/$M35-1)</f>
        <v/>
      </c>
      <c r="P35" s="54"/>
      <c r="Q35" s="53" t="str">
        <f aca="false">IF(NOT(ISNUMBER($P35)),"",IFERROR(PERCENTRANK($P$5:$P$1204,$P35),""))</f>
        <v/>
      </c>
    </row>
    <row r="36" customFormat="false" ht="15" hidden="false" customHeight="false" outlineLevel="0" collapsed="false">
      <c r="A36" s="47" t="n">
        <v>45613</v>
      </c>
      <c r="B36" s="48" t="s">
        <v>184</v>
      </c>
      <c r="C36" s="49" t="n">
        <v>83335424</v>
      </c>
      <c r="D36" s="49" t="n">
        <v>83541849</v>
      </c>
      <c r="E36" s="49" t="n">
        <v>83294669</v>
      </c>
      <c r="F36" s="49" t="n">
        <v>0</v>
      </c>
      <c r="G36" s="50" t="n">
        <f aca="false">IF($A36="","",IF(ISNUMBER($G35),$G35+1,1))</f>
        <v>32</v>
      </c>
      <c r="H36" s="51" t="n">
        <f aca="false">IF(OR(NOT(ISNUMBER($G36)),$G36&lt;2,NOT(ISNUMBER($C35)),$C35=0),"",$C36/$C35-1)</f>
        <v>0.00849269114872131</v>
      </c>
      <c r="I36" s="52" t="n">
        <f aca="false">IF(AND(ISNUMBER($G36),$G36&gt;=MA_SHORT),AVERAGE(INDEX($C$5:$C36,33-MA_SHORT):$C36),"")</f>
        <v>79900416.1</v>
      </c>
      <c r="J36" s="52" t="str">
        <f aca="false">IF(AND(ISNUMBER($G36),$G36&gt;=MA_MED),AVERAGE(INDEX($C$5:$C36,33-MA_MED):$C36),"")</f>
        <v/>
      </c>
      <c r="K36" s="52" t="str">
        <f aca="false">IF(AND(ISNUMBER($G36),$G36&gt;=MA_LONG2),AVERAGE(INDEX($C$5:$C36,33-MA_LONG2):$C36),"")</f>
        <v/>
      </c>
      <c r="L36" s="53" t="n">
        <f aca="false">IF(AND(ISNUMBER($G36),$G36&gt;=21),STDEV(INDEX($H$5:$H36,33-20):$H36)*SQRT(245),"")</f>
        <v>0.245034737147964</v>
      </c>
      <c r="M36" s="52" t="str">
        <f aca="false">IF(AND(ISNUMBER($G36),$G36&gt;=60),MAX(INDEX($D$5:$D36,33-60):$D36),"")</f>
        <v/>
      </c>
      <c r="N36" s="52" t="str">
        <f aca="false">IF(AND(ISNUMBER($G36),$G36&gt;=60),MIN(INDEX($E$5:$E36,33-60):$E36),"")</f>
        <v/>
      </c>
      <c r="O36" s="53" t="str">
        <f aca="false">IF(OR(NOT(ISNUMBER($C36)),NOT(ISNUMBER($M36)),$M36=0),"",$C36/$M36-1)</f>
        <v/>
      </c>
      <c r="P36" s="54"/>
      <c r="Q36" s="53" t="str">
        <f aca="false">IF(NOT(ISNUMBER($P36)),"",IFERROR(PERCENTRANK($P$5:$P$1204,$P36),""))</f>
        <v/>
      </c>
    </row>
    <row r="37" customFormat="false" ht="15" hidden="false" customHeight="false" outlineLevel="0" collapsed="false">
      <c r="A37" s="47" t="n">
        <v>45614</v>
      </c>
      <c r="B37" s="48" t="s">
        <v>185</v>
      </c>
      <c r="C37" s="49" t="n">
        <v>83212592</v>
      </c>
      <c r="D37" s="49" t="n">
        <v>83317698</v>
      </c>
      <c r="E37" s="49" t="n">
        <v>83178014</v>
      </c>
      <c r="F37" s="49" t="n">
        <v>0</v>
      </c>
      <c r="G37" s="50" t="n">
        <f aca="false">IF($A37="","",IF(ISNUMBER($G36),$G36+1,1))</f>
        <v>33</v>
      </c>
      <c r="H37" s="51" t="n">
        <f aca="false">IF(OR(NOT(ISNUMBER($G37)),$G37&lt;2,NOT(ISNUMBER($C36)),$C36=0),"",$C37/$C36-1)</f>
        <v>-0.00147394702161707</v>
      </c>
      <c r="I37" s="52" t="n">
        <f aca="false">IF(AND(ISNUMBER($G37),$G37&gt;=MA_SHORT),AVERAGE(INDEX($C$5:$C37,34-MA_SHORT):$C37),"")</f>
        <v>80282329.5</v>
      </c>
      <c r="J37" s="52" t="str">
        <f aca="false">IF(AND(ISNUMBER($G37),$G37&gt;=MA_MED),AVERAGE(INDEX($C$5:$C37,34-MA_MED):$C37),"")</f>
        <v/>
      </c>
      <c r="K37" s="52" t="str">
        <f aca="false">IF(AND(ISNUMBER($G37),$G37&gt;=MA_LONG2),AVERAGE(INDEX($C$5:$C37,34-MA_LONG2):$C37),"")</f>
        <v/>
      </c>
      <c r="L37" s="53" t="n">
        <f aca="false">IF(AND(ISNUMBER($G37),$G37&gt;=21),STDEV(INDEX($H$5:$H37,34-20):$H37)*SQRT(245),"")</f>
        <v>0.238559276690136</v>
      </c>
      <c r="M37" s="52" t="str">
        <f aca="false">IF(AND(ISNUMBER($G37),$G37&gt;=60),MAX(INDEX($D$5:$D37,34-60):$D37),"")</f>
        <v/>
      </c>
      <c r="N37" s="52" t="str">
        <f aca="false">IF(AND(ISNUMBER($G37),$G37&gt;=60),MIN(INDEX($E$5:$E37,34-60):$E37),"")</f>
        <v/>
      </c>
      <c r="O37" s="53" t="str">
        <f aca="false">IF(OR(NOT(ISNUMBER($C37)),NOT(ISNUMBER($M37)),$M37=0),"",$C37/$M37-1)</f>
        <v/>
      </c>
      <c r="P37" s="54"/>
      <c r="Q37" s="53" t="str">
        <f aca="false">IF(NOT(ISNUMBER($P37)),"",IFERROR(PERCENTRANK($P$5:$P$1204,$P37),""))</f>
        <v/>
      </c>
    </row>
    <row r="38" customFormat="false" ht="15" hidden="false" customHeight="false" outlineLevel="0" collapsed="false">
      <c r="A38" s="47" t="n">
        <v>45615</v>
      </c>
      <c r="B38" s="48" t="s">
        <v>186</v>
      </c>
      <c r="C38" s="49" t="n">
        <v>84682668</v>
      </c>
      <c r="D38" s="49" t="n">
        <v>84852533</v>
      </c>
      <c r="E38" s="49" t="n">
        <v>84432213</v>
      </c>
      <c r="F38" s="49" t="n">
        <v>0</v>
      </c>
      <c r="G38" s="50" t="n">
        <f aca="false">IF($A38="","",IF(ISNUMBER($G37),$G37+1,1))</f>
        <v>34</v>
      </c>
      <c r="H38" s="51" t="n">
        <f aca="false">IF(OR(NOT(ISNUMBER($G38)),$G38&lt;2,NOT(ISNUMBER($C37)),$C37=0),"",$C38/$C37-1)</f>
        <v>0.0176665089341286</v>
      </c>
      <c r="I38" s="52" t="n">
        <f aca="false">IF(AND(ISNUMBER($G38),$G38&gt;=MA_SHORT),AVERAGE(INDEX($C$5:$C38,35-MA_SHORT):$C38),"")</f>
        <v>80640813.75</v>
      </c>
      <c r="J38" s="52" t="str">
        <f aca="false">IF(AND(ISNUMBER($G38),$G38&gt;=MA_MED),AVERAGE(INDEX($C$5:$C38,35-MA_MED):$C38),"")</f>
        <v/>
      </c>
      <c r="K38" s="52" t="str">
        <f aca="false">IF(AND(ISNUMBER($G38),$G38&gt;=MA_LONG2),AVERAGE(INDEX($C$5:$C38,35-MA_LONG2):$C38),"")</f>
        <v/>
      </c>
      <c r="L38" s="53" t="n">
        <f aca="false">IF(AND(ISNUMBER($G38),$G38&gt;=21),STDEV(INDEX($H$5:$H38,35-20):$H38)*SQRT(245),"")</f>
        <v>0.231138839354537</v>
      </c>
      <c r="M38" s="52" t="str">
        <f aca="false">IF(AND(ISNUMBER($G38),$G38&gt;=60),MAX(INDEX($D$5:$D38,35-60):$D38),"")</f>
        <v/>
      </c>
      <c r="N38" s="52" t="str">
        <f aca="false">IF(AND(ISNUMBER($G38),$G38&gt;=60),MIN(INDEX($E$5:$E38,35-60):$E38),"")</f>
        <v/>
      </c>
      <c r="O38" s="53" t="str">
        <f aca="false">IF(OR(NOT(ISNUMBER($C38)),NOT(ISNUMBER($M38)),$M38=0),"",$C38/$M38-1)</f>
        <v/>
      </c>
      <c r="P38" s="54"/>
      <c r="Q38" s="53" t="str">
        <f aca="false">IF(NOT(ISNUMBER($P38)),"",IFERROR(PERCENTRANK($P$5:$P$1204,$P38),""))</f>
        <v/>
      </c>
    </row>
    <row r="39" customFormat="false" ht="15" hidden="false" customHeight="false" outlineLevel="0" collapsed="false">
      <c r="A39" s="47" t="n">
        <v>45616</v>
      </c>
      <c r="B39" s="48" t="s">
        <v>187</v>
      </c>
      <c r="C39" s="49" t="n">
        <v>84982804</v>
      </c>
      <c r="D39" s="49" t="n">
        <v>85488513</v>
      </c>
      <c r="E39" s="49" t="n">
        <v>84116884</v>
      </c>
      <c r="F39" s="49" t="n">
        <v>0</v>
      </c>
      <c r="G39" s="50" t="n">
        <f aca="false">IF($A39="","",IF(ISNUMBER($G38),$G38+1,1))</f>
        <v>35</v>
      </c>
      <c r="H39" s="51" t="n">
        <f aca="false">IF(OR(NOT(ISNUMBER($G39)),$G39&lt;2,NOT(ISNUMBER($C38)),$C38=0),"",$C39/$C38-1)</f>
        <v>0.00354424355170302</v>
      </c>
      <c r="I39" s="52" t="n">
        <f aca="false">IF(AND(ISNUMBER($G39),$G39&gt;=MA_SHORT),AVERAGE(INDEX($C$5:$C39,36-MA_SHORT):$C39),"")</f>
        <v>80965318.25</v>
      </c>
      <c r="J39" s="52" t="str">
        <f aca="false">IF(AND(ISNUMBER($G39),$G39&gt;=MA_MED),AVERAGE(INDEX($C$5:$C39,36-MA_MED):$C39),"")</f>
        <v/>
      </c>
      <c r="K39" s="52" t="str">
        <f aca="false">IF(AND(ISNUMBER($G39),$G39&gt;=MA_LONG2),AVERAGE(INDEX($C$5:$C39,36-MA_LONG2):$C39),"")</f>
        <v/>
      </c>
      <c r="L39" s="53" t="n">
        <f aca="false">IF(AND(ISNUMBER($G39),$G39&gt;=21),STDEV(INDEX($H$5:$H39,36-20):$H39)*SQRT(245),"")</f>
        <v>0.229211370069438</v>
      </c>
      <c r="M39" s="52" t="str">
        <f aca="false">IF(AND(ISNUMBER($G39),$G39&gt;=60),MAX(INDEX($D$5:$D39,36-60):$D39),"")</f>
        <v/>
      </c>
      <c r="N39" s="52" t="str">
        <f aca="false">IF(AND(ISNUMBER($G39),$G39&gt;=60),MIN(INDEX($E$5:$E39,36-60):$E39),"")</f>
        <v/>
      </c>
      <c r="O39" s="53" t="str">
        <f aca="false">IF(OR(NOT(ISNUMBER($C39)),NOT(ISNUMBER($M39)),$M39=0),"",$C39/$M39-1)</f>
        <v/>
      </c>
      <c r="P39" s="54"/>
      <c r="Q39" s="53" t="str">
        <f aca="false">IF(NOT(ISNUMBER($P39)),"",IFERROR(PERCENTRANK($P$5:$P$1204,$P39),""))</f>
        <v/>
      </c>
    </row>
    <row r="40" customFormat="false" ht="15" hidden="false" customHeight="false" outlineLevel="0" collapsed="false">
      <c r="A40" s="47" t="n">
        <v>45619</v>
      </c>
      <c r="B40" s="48" t="s">
        <v>188</v>
      </c>
      <c r="C40" s="49" t="n">
        <v>87653085</v>
      </c>
      <c r="D40" s="49" t="n">
        <v>88103867</v>
      </c>
      <c r="E40" s="49" t="n">
        <v>87331007</v>
      </c>
      <c r="F40" s="49" t="n">
        <v>0</v>
      </c>
      <c r="G40" s="50" t="n">
        <f aca="false">IF($A40="","",IF(ISNUMBER($G39),$G39+1,1))</f>
        <v>36</v>
      </c>
      <c r="H40" s="51" t="n">
        <f aca="false">IF(OR(NOT(ISNUMBER($G40)),$G40&lt;2,NOT(ISNUMBER($C39)),$C39=0),"",$C40/$C39-1)</f>
        <v>0.0314214273278157</v>
      </c>
      <c r="I40" s="52" t="n">
        <f aca="false">IF(AND(ISNUMBER($G40),$G40&gt;=MA_SHORT),AVERAGE(INDEX($C$5:$C40,37-MA_SHORT):$C40),"")</f>
        <v>81378349.45</v>
      </c>
      <c r="J40" s="52" t="str">
        <f aca="false">IF(AND(ISNUMBER($G40),$G40&gt;=MA_MED),AVERAGE(INDEX($C$5:$C40,37-MA_MED):$C40),"")</f>
        <v/>
      </c>
      <c r="K40" s="52" t="str">
        <f aca="false">IF(AND(ISNUMBER($G40),$G40&gt;=MA_LONG2),AVERAGE(INDEX($C$5:$C40,37-MA_LONG2):$C40),"")</f>
        <v/>
      </c>
      <c r="L40" s="53" t="n">
        <f aca="false">IF(AND(ISNUMBER($G40),$G40&gt;=21),STDEV(INDEX($H$5:$H40,37-20):$H40)*SQRT(245),"")</f>
        <v>0.247420312787907</v>
      </c>
      <c r="M40" s="52" t="str">
        <f aca="false">IF(AND(ISNUMBER($G40),$G40&gt;=60),MAX(INDEX($D$5:$D40,37-60):$D40),"")</f>
        <v/>
      </c>
      <c r="N40" s="52" t="str">
        <f aca="false">IF(AND(ISNUMBER($G40),$G40&gt;=60),MIN(INDEX($E$5:$E40,37-60):$E40),"")</f>
        <v/>
      </c>
      <c r="O40" s="53" t="str">
        <f aca="false">IF(OR(NOT(ISNUMBER($C40)),NOT(ISNUMBER($M40)),$M40=0),"",$C40/$M40-1)</f>
        <v/>
      </c>
      <c r="P40" s="54"/>
      <c r="Q40" s="53" t="str">
        <f aca="false">IF(NOT(ISNUMBER($P40)),"",IFERROR(PERCENTRANK($P$5:$P$1204,$P40),""))</f>
        <v/>
      </c>
    </row>
    <row r="41" customFormat="false" ht="15" hidden="false" customHeight="false" outlineLevel="0" collapsed="false">
      <c r="A41" s="47" t="n">
        <v>45620</v>
      </c>
      <c r="B41" s="48" t="s">
        <v>189</v>
      </c>
      <c r="C41" s="49" t="n">
        <v>86466800</v>
      </c>
      <c r="D41" s="49" t="n">
        <v>86598424</v>
      </c>
      <c r="E41" s="49" t="n">
        <v>85746850</v>
      </c>
      <c r="F41" s="49" t="n">
        <v>0</v>
      </c>
      <c r="G41" s="50" t="n">
        <f aca="false">IF($A41="","",IF(ISNUMBER($G40),$G40+1,1))</f>
        <v>37</v>
      </c>
      <c r="H41" s="51" t="n">
        <f aca="false">IF(OR(NOT(ISNUMBER($G41)),$G41&lt;2,NOT(ISNUMBER($C40)),$C40=0),"",$C41/$C40-1)</f>
        <v>-0.0135338647806863</v>
      </c>
      <c r="I41" s="52" t="n">
        <f aca="false">IF(AND(ISNUMBER($G41),$G41&gt;=MA_SHORT),AVERAGE(INDEX($C$5:$C41,38-MA_SHORT):$C41),"")</f>
        <v>81700963.75</v>
      </c>
      <c r="J41" s="52" t="str">
        <f aca="false">IF(AND(ISNUMBER($G41),$G41&gt;=MA_MED),AVERAGE(INDEX($C$5:$C41,38-MA_MED):$C41),"")</f>
        <v/>
      </c>
      <c r="K41" s="52" t="str">
        <f aca="false">IF(AND(ISNUMBER($G41),$G41&gt;=MA_LONG2),AVERAGE(INDEX($C$5:$C41,38-MA_LONG2):$C41),"")</f>
        <v/>
      </c>
      <c r="L41" s="53" t="n">
        <f aca="false">IF(AND(ISNUMBER($G41),$G41&gt;=21),STDEV(INDEX($H$5:$H41,38-20):$H41)*SQRT(245),"")</f>
        <v>0.255523067164991</v>
      </c>
      <c r="M41" s="52" t="str">
        <f aca="false">IF(AND(ISNUMBER($G41),$G41&gt;=60),MAX(INDEX($D$5:$D41,38-60):$D41),"")</f>
        <v/>
      </c>
      <c r="N41" s="52" t="str">
        <f aca="false">IF(AND(ISNUMBER($G41),$G41&gt;=60),MIN(INDEX($E$5:$E41,38-60):$E41),"")</f>
        <v/>
      </c>
      <c r="O41" s="53" t="str">
        <f aca="false">IF(OR(NOT(ISNUMBER($C41)),NOT(ISNUMBER($M41)),$M41=0),"",$C41/$M41-1)</f>
        <v/>
      </c>
      <c r="P41" s="54"/>
      <c r="Q41" s="53" t="str">
        <f aca="false">IF(NOT(ISNUMBER($P41)),"",IFERROR(PERCENTRANK($P$5:$P$1204,$P41),""))</f>
        <v/>
      </c>
    </row>
    <row r="42" customFormat="false" ht="15" hidden="false" customHeight="false" outlineLevel="0" collapsed="false">
      <c r="A42" s="47" t="n">
        <v>45621</v>
      </c>
      <c r="B42" s="48" t="s">
        <v>190</v>
      </c>
      <c r="C42" s="49" t="n">
        <v>86108722</v>
      </c>
      <c r="D42" s="49" t="n">
        <v>86145758</v>
      </c>
      <c r="E42" s="49" t="n">
        <v>86032451</v>
      </c>
      <c r="F42" s="49" t="n">
        <v>0</v>
      </c>
      <c r="G42" s="50" t="n">
        <f aca="false">IF($A42="","",IF(ISNUMBER($G41),$G41+1,1))</f>
        <v>38</v>
      </c>
      <c r="H42" s="51" t="n">
        <f aca="false">IF(OR(NOT(ISNUMBER($G42)),$G42&lt;2,NOT(ISNUMBER($C41)),$C41=0),"",$C42/$C41-1)</f>
        <v>-0.00414121952009328</v>
      </c>
      <c r="I42" s="52" t="n">
        <f aca="false">IF(AND(ISNUMBER($G42),$G42&gt;=MA_SHORT),AVERAGE(INDEX($C$5:$C42,39-MA_SHORT):$C42),"")</f>
        <v>81980388.15</v>
      </c>
      <c r="J42" s="52" t="str">
        <f aca="false">IF(AND(ISNUMBER($G42),$G42&gt;=MA_MED),AVERAGE(INDEX($C$5:$C42,39-MA_MED):$C42),"")</f>
        <v/>
      </c>
      <c r="K42" s="52" t="str">
        <f aca="false">IF(AND(ISNUMBER($G42),$G42&gt;=MA_LONG2),AVERAGE(INDEX($C$5:$C42,39-MA_LONG2):$C42),"")</f>
        <v/>
      </c>
      <c r="L42" s="53" t="n">
        <f aca="false">IF(AND(ISNUMBER($G42),$G42&gt;=21),STDEV(INDEX($H$5:$H42,39-20):$H42)*SQRT(245),"")</f>
        <v>0.256923577493758</v>
      </c>
      <c r="M42" s="52" t="str">
        <f aca="false">IF(AND(ISNUMBER($G42),$G42&gt;=60),MAX(INDEX($D$5:$D42,39-60):$D42),"")</f>
        <v/>
      </c>
      <c r="N42" s="52" t="str">
        <f aca="false">IF(AND(ISNUMBER($G42),$G42&gt;=60),MIN(INDEX($E$5:$E42,39-60):$E42),"")</f>
        <v/>
      </c>
      <c r="O42" s="53" t="str">
        <f aca="false">IF(OR(NOT(ISNUMBER($C42)),NOT(ISNUMBER($M42)),$M42=0),"",$C42/$M42-1)</f>
        <v/>
      </c>
      <c r="P42" s="54"/>
      <c r="Q42" s="53" t="str">
        <f aca="false">IF(NOT(ISNUMBER($P42)),"",IFERROR(PERCENTRANK($P$5:$P$1204,$P42),""))</f>
        <v/>
      </c>
    </row>
    <row r="43" customFormat="false" ht="15" hidden="false" customHeight="false" outlineLevel="0" collapsed="false">
      <c r="A43" s="47" t="n">
        <v>45622</v>
      </c>
      <c r="B43" s="48" t="s">
        <v>191</v>
      </c>
      <c r="C43" s="49" t="n">
        <v>83928431</v>
      </c>
      <c r="D43" s="49" t="n">
        <v>84355246</v>
      </c>
      <c r="E43" s="49" t="n">
        <v>83668448</v>
      </c>
      <c r="F43" s="49" t="n">
        <v>0</v>
      </c>
      <c r="G43" s="50" t="n">
        <f aca="false">IF($A43="","",IF(ISNUMBER($G42),$G42+1,1))</f>
        <v>39</v>
      </c>
      <c r="H43" s="51" t="n">
        <f aca="false">IF(OR(NOT(ISNUMBER($G43)),$G43&lt;2,NOT(ISNUMBER($C42)),$C42=0),"",$C43/$C42-1)</f>
        <v>-0.0253202108840961</v>
      </c>
      <c r="I43" s="52" t="n">
        <f aca="false">IF(AND(ISNUMBER($G43),$G43&gt;=MA_SHORT),AVERAGE(INDEX($C$5:$C43,40-MA_SHORT):$C43),"")</f>
        <v>82251674.3</v>
      </c>
      <c r="J43" s="52" t="str">
        <f aca="false">IF(AND(ISNUMBER($G43),$G43&gt;=MA_MED),AVERAGE(INDEX($C$5:$C43,40-MA_MED):$C43),"")</f>
        <v/>
      </c>
      <c r="K43" s="52" t="str">
        <f aca="false">IF(AND(ISNUMBER($G43),$G43&gt;=MA_LONG2),AVERAGE(INDEX($C$5:$C43,40-MA_LONG2):$C43),"")</f>
        <v/>
      </c>
      <c r="L43" s="53" t="n">
        <f aca="false">IF(AND(ISNUMBER($G43),$G43&gt;=21),STDEV(INDEX($H$5:$H43,40-20):$H43)*SQRT(245),"")</f>
        <v>0.257303273815432</v>
      </c>
      <c r="M43" s="52" t="str">
        <f aca="false">IF(AND(ISNUMBER($G43),$G43&gt;=60),MAX(INDEX($D$5:$D43,40-60):$D43),"")</f>
        <v/>
      </c>
      <c r="N43" s="52" t="str">
        <f aca="false">IF(AND(ISNUMBER($G43),$G43&gt;=60),MIN(INDEX($E$5:$E43,40-60):$E43),"")</f>
        <v/>
      </c>
      <c r="O43" s="53" t="str">
        <f aca="false">IF(OR(NOT(ISNUMBER($C43)),NOT(ISNUMBER($M43)),$M43=0),"",$C43/$M43-1)</f>
        <v/>
      </c>
      <c r="P43" s="54"/>
      <c r="Q43" s="53" t="str">
        <f aca="false">IF(NOT(ISNUMBER($P43)),"",IFERROR(PERCENTRANK($P$5:$P$1204,$P43),""))</f>
        <v/>
      </c>
    </row>
    <row r="44" customFormat="false" ht="15" hidden="false" customHeight="false" outlineLevel="0" collapsed="false">
      <c r="A44" s="47" t="n">
        <v>45623</v>
      </c>
      <c r="B44" s="48" t="s">
        <v>192</v>
      </c>
      <c r="C44" s="49" t="n">
        <v>83004457</v>
      </c>
      <c r="D44" s="49" t="n">
        <v>83126586</v>
      </c>
      <c r="E44" s="49" t="n">
        <v>82837022</v>
      </c>
      <c r="F44" s="49" t="n">
        <v>0</v>
      </c>
      <c r="G44" s="50" t="n">
        <f aca="false">IF($A44="","",IF(ISNUMBER($G43),$G43+1,1))</f>
        <v>40</v>
      </c>
      <c r="H44" s="51" t="n">
        <f aca="false">IF(OR(NOT(ISNUMBER($G44)),$G44&lt;2,NOT(ISNUMBER($C43)),$C43=0),"",$C44/$C43-1)</f>
        <v>-0.0110090703351764</v>
      </c>
      <c r="I44" s="52" t="n">
        <f aca="false">IF(AND(ISNUMBER($G44),$G44&gt;=MA_SHORT),AVERAGE(INDEX($C$5:$C44,41-MA_SHORT):$C44),"")</f>
        <v>82510445.15</v>
      </c>
      <c r="J44" s="52" t="str">
        <f aca="false">IF(AND(ISNUMBER($G44),$G44&gt;=MA_MED),AVERAGE(INDEX($C$5:$C44,41-MA_MED):$C44),"")</f>
        <v/>
      </c>
      <c r="K44" s="52" t="str">
        <f aca="false">IF(AND(ISNUMBER($G44),$G44&gt;=MA_LONG2),AVERAGE(INDEX($C$5:$C44,41-MA_LONG2):$C44),"")</f>
        <v/>
      </c>
      <c r="L44" s="53" t="n">
        <f aca="false">IF(AND(ISNUMBER($G44),$G44&gt;=21),STDEV(INDEX($H$5:$H44,41-20):$H44)*SQRT(245),"")</f>
        <v>0.258905344740404</v>
      </c>
      <c r="M44" s="52" t="str">
        <f aca="false">IF(AND(ISNUMBER($G44),$G44&gt;=60),MAX(INDEX($D$5:$D44,41-60):$D44),"")</f>
        <v/>
      </c>
      <c r="N44" s="52" t="str">
        <f aca="false">IF(AND(ISNUMBER($G44),$G44&gt;=60),MIN(INDEX($E$5:$E44,41-60):$E44),"")</f>
        <v/>
      </c>
      <c r="O44" s="53" t="str">
        <f aca="false">IF(OR(NOT(ISNUMBER($C44)),NOT(ISNUMBER($M44)),$M44=0),"",$C44/$M44-1)</f>
        <v/>
      </c>
      <c r="P44" s="54"/>
      <c r="Q44" s="53" t="str">
        <f aca="false">IF(NOT(ISNUMBER($P44)),"",IFERROR(PERCENTRANK($P$5:$P$1204,$P44),""))</f>
        <v/>
      </c>
    </row>
    <row r="45" customFormat="false" ht="15" hidden="false" customHeight="false" outlineLevel="0" collapsed="false">
      <c r="A45" s="47" t="n">
        <v>45626</v>
      </c>
      <c r="B45" s="48" t="s">
        <v>193</v>
      </c>
      <c r="C45" s="49" t="n">
        <v>82815405</v>
      </c>
      <c r="D45" s="49" t="n">
        <v>83389405</v>
      </c>
      <c r="E45" s="49" t="n">
        <v>82459335</v>
      </c>
      <c r="F45" s="49" t="n">
        <v>0</v>
      </c>
      <c r="G45" s="50" t="n">
        <f aca="false">IF($A45="","",IF(ISNUMBER($G44),$G44+1,1))</f>
        <v>41</v>
      </c>
      <c r="H45" s="51" t="n">
        <f aca="false">IF(OR(NOT(ISNUMBER($G45)),$G45&lt;2,NOT(ISNUMBER($C44)),$C44=0),"",$C45/$C44-1)</f>
        <v>-0.00227761263470472</v>
      </c>
      <c r="I45" s="52" t="n">
        <f aca="false">IF(AND(ISNUMBER($G45),$G45&gt;=MA_SHORT),AVERAGE(INDEX($C$5:$C45,42-MA_SHORT):$C45),"")</f>
        <v>82658591.2</v>
      </c>
      <c r="J45" s="52" t="str">
        <f aca="false">IF(AND(ISNUMBER($G45),$G45&gt;=MA_MED),AVERAGE(INDEX($C$5:$C45,42-MA_MED):$C45),"")</f>
        <v/>
      </c>
      <c r="K45" s="52" t="str">
        <f aca="false">IF(AND(ISNUMBER($G45),$G45&gt;=MA_LONG2),AVERAGE(INDEX($C$5:$C45,42-MA_LONG2):$C45),"")</f>
        <v/>
      </c>
      <c r="L45" s="53" t="n">
        <f aca="false">IF(AND(ISNUMBER($G45),$G45&gt;=21),STDEV(INDEX($H$5:$H45,42-20):$H45)*SQRT(245),"")</f>
        <v>0.245587002473356</v>
      </c>
      <c r="M45" s="52" t="str">
        <f aca="false">IF(AND(ISNUMBER($G45),$G45&gt;=60),MAX(INDEX($D$5:$D45,42-60):$D45),"")</f>
        <v/>
      </c>
      <c r="N45" s="52" t="str">
        <f aca="false">IF(AND(ISNUMBER($G45),$G45&gt;=60),MIN(INDEX($E$5:$E45,42-60):$E45),"")</f>
        <v/>
      </c>
      <c r="O45" s="53" t="str">
        <f aca="false">IF(OR(NOT(ISNUMBER($C45)),NOT(ISNUMBER($M45)),$M45=0),"",$C45/$M45-1)</f>
        <v/>
      </c>
      <c r="P45" s="54"/>
      <c r="Q45" s="53" t="str">
        <f aca="false">IF(NOT(ISNUMBER($P45)),"",IFERROR(PERCENTRANK($P$5:$P$1204,$P45),""))</f>
        <v/>
      </c>
    </row>
    <row r="46" customFormat="false" ht="15" hidden="false" customHeight="false" outlineLevel="0" collapsed="false">
      <c r="A46" s="47" t="n">
        <v>45627</v>
      </c>
      <c r="B46" s="48" t="s">
        <v>194</v>
      </c>
      <c r="C46" s="49" t="n">
        <v>83449840</v>
      </c>
      <c r="D46" s="49" t="n">
        <v>83706767</v>
      </c>
      <c r="E46" s="49" t="n">
        <v>83274687</v>
      </c>
      <c r="F46" s="49" t="n">
        <v>0</v>
      </c>
      <c r="G46" s="50" t="n">
        <f aca="false">IF($A46="","",IF(ISNUMBER($G45),$G45+1,1))</f>
        <v>42</v>
      </c>
      <c r="H46" s="51" t="n">
        <f aca="false">IF(OR(NOT(ISNUMBER($G46)),$G46&lt;2,NOT(ISNUMBER($C45)),$C45=0),"",$C46/$C45-1)</f>
        <v>0.00766083315054722</v>
      </c>
      <c r="I46" s="52" t="n">
        <f aca="false">IF(AND(ISNUMBER($G46),$G46&gt;=MA_SHORT),AVERAGE(INDEX($C$5:$C46,43-MA_SHORT):$C46),"")</f>
        <v>82896256</v>
      </c>
      <c r="J46" s="52" t="str">
        <f aca="false">IF(AND(ISNUMBER($G46),$G46&gt;=MA_MED),AVERAGE(INDEX($C$5:$C46,43-MA_MED):$C46),"")</f>
        <v/>
      </c>
      <c r="K46" s="52" t="str">
        <f aca="false">IF(AND(ISNUMBER($G46),$G46&gt;=MA_LONG2),AVERAGE(INDEX($C$5:$C46,43-MA_LONG2):$C46),"")</f>
        <v/>
      </c>
      <c r="L46" s="53" t="n">
        <f aca="false">IF(AND(ISNUMBER($G46),$G46&gt;=21),STDEV(INDEX($H$5:$H46,43-20):$H46)*SQRT(245),"")</f>
        <v>0.238630037252987</v>
      </c>
      <c r="M46" s="52" t="str">
        <f aca="false">IF(AND(ISNUMBER($G46),$G46&gt;=60),MAX(INDEX($D$5:$D46,43-60):$D46),"")</f>
        <v/>
      </c>
      <c r="N46" s="52" t="str">
        <f aca="false">IF(AND(ISNUMBER($G46),$G46&gt;=60),MIN(INDEX($E$5:$E46,43-60):$E46),"")</f>
        <v/>
      </c>
      <c r="O46" s="53" t="str">
        <f aca="false">IF(OR(NOT(ISNUMBER($C46)),NOT(ISNUMBER($M46)),$M46=0),"",$C46/$M46-1)</f>
        <v/>
      </c>
      <c r="P46" s="54"/>
      <c r="Q46" s="53" t="str">
        <f aca="false">IF(NOT(ISNUMBER($P46)),"",IFERROR(PERCENTRANK($P$5:$P$1204,$P46),""))</f>
        <v/>
      </c>
    </row>
    <row r="47" customFormat="false" ht="15" hidden="false" customHeight="false" outlineLevel="0" collapsed="false">
      <c r="A47" s="47" t="n">
        <v>45628</v>
      </c>
      <c r="B47" s="48" t="s">
        <v>195</v>
      </c>
      <c r="C47" s="49" t="n">
        <v>82505480</v>
      </c>
      <c r="D47" s="49" t="n">
        <v>83183212</v>
      </c>
      <c r="E47" s="49" t="n">
        <v>82270174</v>
      </c>
      <c r="F47" s="49" t="n">
        <v>0</v>
      </c>
      <c r="G47" s="50" t="n">
        <f aca="false">IF($A47="","",IF(ISNUMBER($G46),$G46+1,1))</f>
        <v>43</v>
      </c>
      <c r="H47" s="51" t="n">
        <f aca="false">IF(OR(NOT(ISNUMBER($G47)),$G47&lt;2,NOT(ISNUMBER($C46)),$C46=0),"",$C47/$C46-1)</f>
        <v>-0.0113164986295959</v>
      </c>
      <c r="I47" s="52" t="n">
        <f aca="false">IF(AND(ISNUMBER($G47),$G47&gt;=MA_SHORT),AVERAGE(INDEX($C$5:$C47,44-MA_SHORT):$C47),"")</f>
        <v>83008585.8</v>
      </c>
      <c r="J47" s="52" t="str">
        <f aca="false">IF(AND(ISNUMBER($G47),$G47&gt;=MA_MED),AVERAGE(INDEX($C$5:$C47,44-MA_MED):$C47),"")</f>
        <v/>
      </c>
      <c r="K47" s="52" t="str">
        <f aca="false">IF(AND(ISNUMBER($G47),$G47&gt;=MA_LONG2),AVERAGE(INDEX($C$5:$C47,44-MA_LONG2):$C47),"")</f>
        <v/>
      </c>
      <c r="L47" s="53" t="n">
        <f aca="false">IF(AND(ISNUMBER($G47),$G47&gt;=21),STDEV(INDEX($H$5:$H47,44-20):$H47)*SQRT(245),"")</f>
        <v>0.235236035359211</v>
      </c>
      <c r="M47" s="52" t="str">
        <f aca="false">IF(AND(ISNUMBER($G47),$G47&gt;=60),MAX(INDEX($D$5:$D47,44-60):$D47),"")</f>
        <v/>
      </c>
      <c r="N47" s="52" t="str">
        <f aca="false">IF(AND(ISNUMBER($G47),$G47&gt;=60),MIN(INDEX($E$5:$E47,44-60):$E47),"")</f>
        <v/>
      </c>
      <c r="O47" s="53" t="str">
        <f aca="false">IF(OR(NOT(ISNUMBER($C47)),NOT(ISNUMBER($M47)),$M47=0),"",$C47/$M47-1)</f>
        <v/>
      </c>
      <c r="P47" s="54"/>
      <c r="Q47" s="53" t="str">
        <f aca="false">IF(NOT(ISNUMBER($P47)),"",IFERROR(PERCENTRANK($P$5:$P$1204,$P47),""))</f>
        <v/>
      </c>
    </row>
    <row r="48" customFormat="false" ht="15" hidden="false" customHeight="false" outlineLevel="0" collapsed="false">
      <c r="A48" s="47" t="n">
        <v>45629</v>
      </c>
      <c r="B48" s="48" t="s">
        <v>196</v>
      </c>
      <c r="C48" s="49" t="n">
        <v>82068378</v>
      </c>
      <c r="D48" s="49" t="n">
        <v>82441080</v>
      </c>
      <c r="E48" s="49" t="n">
        <v>81543306</v>
      </c>
      <c r="F48" s="49" t="n">
        <v>0</v>
      </c>
      <c r="G48" s="50" t="n">
        <f aca="false">IF($A48="","",IF(ISNUMBER($G47),$G47+1,1))</f>
        <v>44</v>
      </c>
      <c r="H48" s="51" t="n">
        <f aca="false">IF(OR(NOT(ISNUMBER($G48)),$G48&lt;2,NOT(ISNUMBER($C47)),$C47=0),"",$C48/$C47-1)</f>
        <v>-0.00529785415465733</v>
      </c>
      <c r="I48" s="52" t="n">
        <f aca="false">IF(AND(ISNUMBER($G48),$G48&gt;=MA_SHORT),AVERAGE(INDEX($C$5:$C48,45-MA_SHORT):$C48),"")</f>
        <v>83167388.55</v>
      </c>
      <c r="J48" s="52" t="str">
        <f aca="false">IF(AND(ISNUMBER($G48),$G48&gt;=MA_MED),AVERAGE(INDEX($C$5:$C48,45-MA_MED):$C48),"")</f>
        <v/>
      </c>
      <c r="K48" s="52" t="str">
        <f aca="false">IF(AND(ISNUMBER($G48),$G48&gt;=MA_LONG2),AVERAGE(INDEX($C$5:$C48,45-MA_LONG2):$C48),"")</f>
        <v/>
      </c>
      <c r="L48" s="53" t="n">
        <f aca="false">IF(AND(ISNUMBER($G48),$G48&gt;=21),STDEV(INDEX($H$5:$H48,45-20):$H48)*SQRT(245),"")</f>
        <v>0.226761326067563</v>
      </c>
      <c r="M48" s="52" t="str">
        <f aca="false">IF(AND(ISNUMBER($G48),$G48&gt;=60),MAX(INDEX($D$5:$D48,45-60):$D48),"")</f>
        <v/>
      </c>
      <c r="N48" s="52" t="str">
        <f aca="false">IF(AND(ISNUMBER($G48),$G48&gt;=60),MIN(INDEX($E$5:$E48,45-60):$E48),"")</f>
        <v/>
      </c>
      <c r="O48" s="53" t="str">
        <f aca="false">IF(OR(NOT(ISNUMBER($C48)),NOT(ISNUMBER($M48)),$M48=0),"",$C48/$M48-1)</f>
        <v/>
      </c>
      <c r="P48" s="54"/>
      <c r="Q48" s="53" t="str">
        <f aca="false">IF(NOT(ISNUMBER($P48)),"",IFERROR(PERCENTRANK($P$5:$P$1204,$P48),""))</f>
        <v/>
      </c>
    </row>
    <row r="49" customFormat="false" ht="15" hidden="false" customHeight="false" outlineLevel="0" collapsed="false">
      <c r="A49" s="47" t="n">
        <v>45630</v>
      </c>
      <c r="B49" s="48" t="s">
        <v>197</v>
      </c>
      <c r="C49" s="49" t="n">
        <v>80611859</v>
      </c>
      <c r="D49" s="49" t="n">
        <v>81004219</v>
      </c>
      <c r="E49" s="49" t="n">
        <v>80434442</v>
      </c>
      <c r="F49" s="49" t="n">
        <v>0</v>
      </c>
      <c r="G49" s="50" t="n">
        <f aca="false">IF($A49="","",IF(ISNUMBER($G48),$G48+1,1))</f>
        <v>45</v>
      </c>
      <c r="H49" s="51" t="n">
        <f aca="false">IF(OR(NOT(ISNUMBER($G49)),$G49&lt;2,NOT(ISNUMBER($C48)),$C48=0),"",$C49/$C48-1)</f>
        <v>-0.0177476274723012</v>
      </c>
      <c r="I49" s="52" t="n">
        <f aca="false">IF(AND(ISNUMBER($G49),$G49&gt;=MA_SHORT),AVERAGE(INDEX($C$5:$C49,46-MA_SHORT):$C49),"")</f>
        <v>83173897.45</v>
      </c>
      <c r="J49" s="52" t="str">
        <f aca="false">IF(AND(ISNUMBER($G49),$G49&gt;=MA_MED),AVERAGE(INDEX($C$5:$C49,46-MA_MED):$C49),"")</f>
        <v/>
      </c>
      <c r="K49" s="52" t="str">
        <f aca="false">IF(AND(ISNUMBER($G49),$G49&gt;=MA_LONG2),AVERAGE(INDEX($C$5:$C49,46-MA_LONG2):$C49),"")</f>
        <v/>
      </c>
      <c r="L49" s="53" t="n">
        <f aca="false">IF(AND(ISNUMBER($G49),$G49&gt;=21),STDEV(INDEX($H$5:$H49,46-20):$H49)*SQRT(245),"")</f>
        <v>0.226606273575609</v>
      </c>
      <c r="M49" s="52" t="str">
        <f aca="false">IF(AND(ISNUMBER($G49),$G49&gt;=60),MAX(INDEX($D$5:$D49,46-60):$D49),"")</f>
        <v/>
      </c>
      <c r="N49" s="52" t="str">
        <f aca="false">IF(AND(ISNUMBER($G49),$G49&gt;=60),MIN(INDEX($E$5:$E49,46-60):$E49),"")</f>
        <v/>
      </c>
      <c r="O49" s="53" t="str">
        <f aca="false">IF(OR(NOT(ISNUMBER($C49)),NOT(ISNUMBER($M49)),$M49=0),"",$C49/$M49-1)</f>
        <v/>
      </c>
      <c r="P49" s="54"/>
      <c r="Q49" s="53" t="str">
        <f aca="false">IF(NOT(ISNUMBER($P49)),"",IFERROR(PERCENTRANK($P$5:$P$1204,$P49),""))</f>
        <v/>
      </c>
    </row>
    <row r="50" customFormat="false" ht="15" hidden="false" customHeight="false" outlineLevel="0" collapsed="false">
      <c r="A50" s="47" t="n">
        <v>45633</v>
      </c>
      <c r="B50" s="48" t="s">
        <v>198</v>
      </c>
      <c r="C50" s="49" t="n">
        <v>80062025</v>
      </c>
      <c r="D50" s="49" t="n">
        <v>80294236</v>
      </c>
      <c r="E50" s="49" t="n">
        <v>79919949</v>
      </c>
      <c r="F50" s="49" t="n">
        <v>0</v>
      </c>
      <c r="G50" s="50" t="n">
        <f aca="false">IF($A50="","",IF(ISNUMBER($G49),$G49+1,1))</f>
        <v>46</v>
      </c>
      <c r="H50" s="51" t="n">
        <f aca="false">IF(OR(NOT(ISNUMBER($G50)),$G50&lt;2,NOT(ISNUMBER($C49)),$C49=0),"",$C50/$C49-1)</f>
        <v>-0.00682075822119421</v>
      </c>
      <c r="I50" s="52" t="n">
        <f aca="false">IF(AND(ISNUMBER($G50),$G50&gt;=MA_SHORT),AVERAGE(INDEX($C$5:$C50,47-MA_SHORT):$C50),"")</f>
        <v>83093260.7</v>
      </c>
      <c r="J50" s="52" t="str">
        <f aca="false">IF(AND(ISNUMBER($G50),$G50&gt;=MA_MED),AVERAGE(INDEX($C$5:$C50,47-MA_MED):$C50),"")</f>
        <v/>
      </c>
      <c r="K50" s="52" t="str">
        <f aca="false">IF(AND(ISNUMBER($G50),$G50&gt;=MA_LONG2),AVERAGE(INDEX($C$5:$C50,47-MA_LONG2):$C50),"")</f>
        <v/>
      </c>
      <c r="L50" s="53" t="n">
        <f aca="false">IF(AND(ISNUMBER($G50),$G50&gt;=21),STDEV(INDEX($H$5:$H50,47-20):$H50)*SQRT(245),"")</f>
        <v>0.221167193020825</v>
      </c>
      <c r="M50" s="52" t="str">
        <f aca="false">IF(AND(ISNUMBER($G50),$G50&gt;=60),MAX(INDEX($D$5:$D50,47-60):$D50),"")</f>
        <v/>
      </c>
      <c r="N50" s="52" t="str">
        <f aca="false">IF(AND(ISNUMBER($G50),$G50&gt;=60),MIN(INDEX($E$5:$E50,47-60):$E50),"")</f>
        <v/>
      </c>
      <c r="O50" s="53" t="str">
        <f aca="false">IF(OR(NOT(ISNUMBER($C50)),NOT(ISNUMBER($M50)),$M50=0),"",$C50/$M50-1)</f>
        <v/>
      </c>
      <c r="P50" s="54"/>
      <c r="Q50" s="53" t="str">
        <f aca="false">IF(NOT(ISNUMBER($P50)),"",IFERROR(PERCENTRANK($P$5:$P$1204,$P50),""))</f>
        <v/>
      </c>
    </row>
    <row r="51" customFormat="false" ht="15" hidden="false" customHeight="false" outlineLevel="0" collapsed="false">
      <c r="A51" s="47" t="n">
        <v>45634</v>
      </c>
      <c r="B51" s="48" t="s">
        <v>199</v>
      </c>
      <c r="C51" s="49" t="n">
        <v>80603398</v>
      </c>
      <c r="D51" s="49" t="n">
        <v>81076054</v>
      </c>
      <c r="E51" s="49" t="n">
        <v>80577290</v>
      </c>
      <c r="F51" s="49" t="n">
        <v>0</v>
      </c>
      <c r="G51" s="50" t="n">
        <f aca="false">IF($A51="","",IF(ISNUMBER($G50),$G50+1,1))</f>
        <v>47</v>
      </c>
      <c r="H51" s="51" t="n">
        <f aca="false">IF(OR(NOT(ISNUMBER($G51)),$G51&lt;2,NOT(ISNUMBER($C50)),$C50=0),"",$C51/$C50-1)</f>
        <v>0.00676191989897834</v>
      </c>
      <c r="I51" s="52" t="n">
        <f aca="false">IF(AND(ISNUMBER($G51),$G51&gt;=MA_SHORT),AVERAGE(INDEX($C$5:$C51,48-MA_SHORT):$C51),"")</f>
        <v>83085151.6</v>
      </c>
      <c r="J51" s="52" t="str">
        <f aca="false">IF(AND(ISNUMBER($G51),$G51&gt;=MA_MED),AVERAGE(INDEX($C$5:$C51,48-MA_MED):$C51),"")</f>
        <v/>
      </c>
      <c r="K51" s="52" t="str">
        <f aca="false">IF(AND(ISNUMBER($G51),$G51&gt;=MA_LONG2),AVERAGE(INDEX($C$5:$C51,48-MA_LONG2):$C51),"")</f>
        <v/>
      </c>
      <c r="L51" s="53" t="n">
        <f aca="false">IF(AND(ISNUMBER($G51),$G51&gt;=21),STDEV(INDEX($H$5:$H51,48-20):$H51)*SQRT(245),"")</f>
        <v>0.219355083819336</v>
      </c>
      <c r="M51" s="52" t="str">
        <f aca="false">IF(AND(ISNUMBER($G51),$G51&gt;=60),MAX(INDEX($D$5:$D51,48-60):$D51),"")</f>
        <v/>
      </c>
      <c r="N51" s="52" t="str">
        <f aca="false">IF(AND(ISNUMBER($G51),$G51&gt;=60),MIN(INDEX($E$5:$E51,48-60):$E51),"")</f>
        <v/>
      </c>
      <c r="O51" s="53" t="str">
        <f aca="false">IF(OR(NOT(ISNUMBER($C51)),NOT(ISNUMBER($M51)),$M51=0),"",$C51/$M51-1)</f>
        <v/>
      </c>
      <c r="P51" s="54"/>
      <c r="Q51" s="53" t="str">
        <f aca="false">IF(NOT(ISNUMBER($P51)),"",IFERROR(PERCENTRANK($P$5:$P$1204,$P51),""))</f>
        <v/>
      </c>
    </row>
    <row r="52" customFormat="false" ht="15" hidden="false" customHeight="false" outlineLevel="0" collapsed="false">
      <c r="A52" s="47" t="n">
        <v>45635</v>
      </c>
      <c r="B52" s="48" t="s">
        <v>200</v>
      </c>
      <c r="C52" s="49" t="n">
        <v>81906998</v>
      </c>
      <c r="D52" s="49" t="n">
        <v>82105104</v>
      </c>
      <c r="E52" s="49" t="n">
        <v>81773914</v>
      </c>
      <c r="F52" s="49" t="n">
        <v>0</v>
      </c>
      <c r="G52" s="50" t="n">
        <f aca="false">IF($A52="","",IF(ISNUMBER($G51),$G51+1,1))</f>
        <v>48</v>
      </c>
      <c r="H52" s="51" t="n">
        <f aca="false">IF(OR(NOT(ISNUMBER($G52)),$G52&lt;2,NOT(ISNUMBER($C51)),$C51=0),"",$C52/$C51-1)</f>
        <v>0.0161730154354038</v>
      </c>
      <c r="I52" s="52" t="n">
        <f aca="false">IF(AND(ISNUMBER($G52),$G52&gt;=MA_SHORT),AVERAGE(INDEX($C$5:$C52,49-MA_SHORT):$C52),"")</f>
        <v>83147109.15</v>
      </c>
      <c r="J52" s="52" t="str">
        <f aca="false">IF(AND(ISNUMBER($G52),$G52&gt;=MA_MED),AVERAGE(INDEX($C$5:$C52,49-MA_MED):$C52),"")</f>
        <v/>
      </c>
      <c r="K52" s="52" t="str">
        <f aca="false">IF(AND(ISNUMBER($G52),$G52&gt;=MA_LONG2),AVERAGE(INDEX($C$5:$C52,49-MA_LONG2):$C52),"")</f>
        <v/>
      </c>
      <c r="L52" s="53" t="n">
        <f aca="false">IF(AND(ISNUMBER($G52),$G52&gt;=21),STDEV(INDEX($H$5:$H52,49-20):$H52)*SQRT(245),"")</f>
        <v>0.226449176115904</v>
      </c>
      <c r="M52" s="52" t="str">
        <f aca="false">IF(AND(ISNUMBER($G52),$G52&gt;=60),MAX(INDEX($D$5:$D52,49-60):$D52),"")</f>
        <v/>
      </c>
      <c r="N52" s="52" t="str">
        <f aca="false">IF(AND(ISNUMBER($G52),$G52&gt;=60),MIN(INDEX($E$5:$E52,49-60):$E52),"")</f>
        <v/>
      </c>
      <c r="O52" s="53" t="str">
        <f aca="false">IF(OR(NOT(ISNUMBER($C52)),NOT(ISNUMBER($M52)),$M52=0),"",$C52/$M52-1)</f>
        <v/>
      </c>
      <c r="P52" s="54"/>
      <c r="Q52" s="53" t="str">
        <f aca="false">IF(NOT(ISNUMBER($P52)),"",IFERROR(PERCENTRANK($P$5:$P$1204,$P52),""))</f>
        <v/>
      </c>
    </row>
    <row r="53" customFormat="false" ht="15" hidden="false" customHeight="false" outlineLevel="0" collapsed="false">
      <c r="A53" s="47" t="n">
        <v>45636</v>
      </c>
      <c r="B53" s="48" t="s">
        <v>201</v>
      </c>
      <c r="C53" s="49" t="n">
        <v>82477637</v>
      </c>
      <c r="D53" s="49" t="n">
        <v>82818582</v>
      </c>
      <c r="E53" s="49" t="n">
        <v>82130805</v>
      </c>
      <c r="F53" s="49" t="n">
        <v>0</v>
      </c>
      <c r="G53" s="50" t="n">
        <f aca="false">IF($A53="","",IF(ISNUMBER($G52),$G52+1,1))</f>
        <v>49</v>
      </c>
      <c r="H53" s="51" t="n">
        <f aca="false">IF(OR(NOT(ISNUMBER($G53)),$G53&lt;2,NOT(ISNUMBER($C52)),$C52=0),"",$C53/$C52-1)</f>
        <v>0.00696691386491777</v>
      </c>
      <c r="I53" s="52" t="n">
        <f aca="false">IF(AND(ISNUMBER($G53),$G53&gt;=MA_SHORT),AVERAGE(INDEX($C$5:$C53,50-MA_SHORT):$C53),"")</f>
        <v>83252835.2</v>
      </c>
      <c r="J53" s="52" t="str">
        <f aca="false">IF(AND(ISNUMBER($G53),$G53&gt;=MA_MED),AVERAGE(INDEX($C$5:$C53,50-MA_MED):$C53),"")</f>
        <v/>
      </c>
      <c r="K53" s="52" t="str">
        <f aca="false">IF(AND(ISNUMBER($G53),$G53&gt;=MA_LONG2),AVERAGE(INDEX($C$5:$C53,50-MA_LONG2):$C53),"")</f>
        <v/>
      </c>
      <c r="L53" s="53" t="n">
        <f aca="false">IF(AND(ISNUMBER($G53),$G53&gt;=21),STDEV(INDEX($H$5:$H53,50-20):$H53)*SQRT(245),"")</f>
        <v>0.226733242311044</v>
      </c>
      <c r="M53" s="52" t="str">
        <f aca="false">IF(AND(ISNUMBER($G53),$G53&gt;=60),MAX(INDEX($D$5:$D53,50-60):$D53),"")</f>
        <v/>
      </c>
      <c r="N53" s="52" t="str">
        <f aca="false">IF(AND(ISNUMBER($G53),$G53&gt;=60),MIN(INDEX($E$5:$E53,50-60):$E53),"")</f>
        <v/>
      </c>
      <c r="O53" s="53" t="str">
        <f aca="false">IF(OR(NOT(ISNUMBER($C53)),NOT(ISNUMBER($M53)),$M53=0),"",$C53/$M53-1)</f>
        <v/>
      </c>
      <c r="P53" s="54"/>
      <c r="Q53" s="53" t="str">
        <f aca="false">IF(NOT(ISNUMBER($P53)),"",IFERROR(PERCENTRANK($P$5:$P$1204,$P53),""))</f>
        <v/>
      </c>
    </row>
    <row r="54" customFormat="false" ht="15" hidden="false" customHeight="false" outlineLevel="0" collapsed="false">
      <c r="A54" s="47" t="n">
        <v>45637</v>
      </c>
      <c r="B54" s="48" t="s">
        <v>202</v>
      </c>
      <c r="C54" s="49" t="n">
        <v>83100495</v>
      </c>
      <c r="D54" s="49" t="n">
        <v>83678437</v>
      </c>
      <c r="E54" s="49" t="n">
        <v>82871587</v>
      </c>
      <c r="F54" s="49" t="n">
        <v>0</v>
      </c>
      <c r="G54" s="50" t="n">
        <f aca="false">IF($A54="","",IF(ISNUMBER($G53),$G53+1,1))</f>
        <v>50</v>
      </c>
      <c r="H54" s="51" t="n">
        <f aca="false">IF(OR(NOT(ISNUMBER($G54)),$G54&lt;2,NOT(ISNUMBER($C53)),$C53=0),"",$C54/$C53-1)</f>
        <v>0.00755184099175876</v>
      </c>
      <c r="I54" s="52" t="n">
        <f aca="false">IF(AND(ISNUMBER($G54),$G54&gt;=MA_SHORT),AVERAGE(INDEX($C$5:$C54,51-MA_SHORT):$C54),"")</f>
        <v>83280507</v>
      </c>
      <c r="J54" s="52" t="n">
        <f aca="false">IF(AND(ISNUMBER($G54),$G54&gt;=MA_MED),AVERAGE(INDEX($C$5:$C54,51-MA_MED):$C54),"")</f>
        <v>80715584.86</v>
      </c>
      <c r="K54" s="52" t="str">
        <f aca="false">IF(AND(ISNUMBER($G54),$G54&gt;=MA_LONG2),AVERAGE(INDEX($C$5:$C54,51-MA_LONG2):$C54),"")</f>
        <v/>
      </c>
      <c r="L54" s="53" t="n">
        <f aca="false">IF(AND(ISNUMBER($G54),$G54&gt;=21),STDEV(INDEX($H$5:$H54,51-20):$H54)*SQRT(245),"")</f>
        <v>0.207556643743938</v>
      </c>
      <c r="M54" s="52" t="str">
        <f aca="false">IF(AND(ISNUMBER($G54),$G54&gt;=60),MAX(INDEX($D$5:$D54,51-60):$D54),"")</f>
        <v/>
      </c>
      <c r="N54" s="52" t="str">
        <f aca="false">IF(AND(ISNUMBER($G54),$G54&gt;=60),MIN(INDEX($E$5:$E54,51-60):$E54),"")</f>
        <v/>
      </c>
      <c r="O54" s="53" t="str">
        <f aca="false">IF(OR(NOT(ISNUMBER($C54)),NOT(ISNUMBER($M54)),$M54=0),"",$C54/$M54-1)</f>
        <v/>
      </c>
      <c r="P54" s="54"/>
      <c r="Q54" s="53" t="str">
        <f aca="false">IF(NOT(ISNUMBER($P54)),"",IFERROR(PERCENTRANK($P$5:$P$1204,$P54),""))</f>
        <v/>
      </c>
    </row>
    <row r="55" customFormat="false" ht="15" hidden="false" customHeight="false" outlineLevel="0" collapsed="false">
      <c r="A55" s="47" t="n">
        <v>45640</v>
      </c>
      <c r="B55" s="48" t="s">
        <v>203</v>
      </c>
      <c r="C55" s="49" t="n">
        <v>85078305</v>
      </c>
      <c r="D55" s="49" t="n">
        <v>85291231</v>
      </c>
      <c r="E55" s="49" t="n">
        <v>84966559</v>
      </c>
      <c r="F55" s="49" t="n">
        <v>0</v>
      </c>
      <c r="G55" s="50" t="n">
        <f aca="false">IF($A55="","",IF(ISNUMBER($G54),$G54+1,1))</f>
        <v>51</v>
      </c>
      <c r="H55" s="51" t="n">
        <f aca="false">IF(OR(NOT(ISNUMBER($G55)),$G55&lt;2,NOT(ISNUMBER($C54)),$C54=0),"",$C55/$C54-1)</f>
        <v>0.0238002192405713</v>
      </c>
      <c r="I55" s="52" t="n">
        <f aca="false">IF(AND(ISNUMBER($G55),$G55&gt;=MA_SHORT),AVERAGE(INDEX($C$5:$C55,52-MA_SHORT):$C55),"")</f>
        <v>83402740.15</v>
      </c>
      <c r="J55" s="52" t="n">
        <f aca="false">IF(AND(ISNUMBER($G55),$G55&gt;=MA_MED),AVERAGE(INDEX($C$5:$C55,52-MA_MED):$C55),"")</f>
        <v>80866518.78</v>
      </c>
      <c r="K55" s="52" t="str">
        <f aca="false">IF(AND(ISNUMBER($G55),$G55&gt;=MA_LONG2),AVERAGE(INDEX($C$5:$C55,52-MA_LONG2):$C55),"")</f>
        <v/>
      </c>
      <c r="L55" s="53" t="n">
        <f aca="false">IF(AND(ISNUMBER($G55),$G55&gt;=21),STDEV(INDEX($H$5:$H55,52-20):$H55)*SQRT(245),"")</f>
        <v>0.223139234077056</v>
      </c>
      <c r="M55" s="52" t="str">
        <f aca="false">IF(AND(ISNUMBER($G55),$G55&gt;=60),MAX(INDEX($D$5:$D55,52-60):$D55),"")</f>
        <v/>
      </c>
      <c r="N55" s="52" t="str">
        <f aca="false">IF(AND(ISNUMBER($G55),$G55&gt;=60),MIN(INDEX($E$5:$E55,52-60):$E55),"")</f>
        <v/>
      </c>
      <c r="O55" s="53" t="str">
        <f aca="false">IF(OR(NOT(ISNUMBER($C55)),NOT(ISNUMBER($M55)),$M55=0),"",$C55/$M55-1)</f>
        <v/>
      </c>
      <c r="P55" s="54"/>
      <c r="Q55" s="53" t="str">
        <f aca="false">IF(NOT(ISNUMBER($P55)),"",IFERROR(PERCENTRANK($P$5:$P$1204,$P55),""))</f>
        <v/>
      </c>
    </row>
    <row r="56" customFormat="false" ht="15" hidden="false" customHeight="false" outlineLevel="0" collapsed="false">
      <c r="A56" s="47" t="n">
        <v>45641</v>
      </c>
      <c r="B56" s="48" t="s">
        <v>204</v>
      </c>
      <c r="C56" s="49" t="n">
        <v>83457439</v>
      </c>
      <c r="D56" s="49" t="n">
        <v>84013366</v>
      </c>
      <c r="E56" s="49" t="n">
        <v>83362926</v>
      </c>
      <c r="F56" s="49" t="n">
        <v>0</v>
      </c>
      <c r="G56" s="50" t="n">
        <f aca="false">IF($A56="","",IF(ISNUMBER($G55),$G55+1,1))</f>
        <v>52</v>
      </c>
      <c r="H56" s="51" t="n">
        <f aca="false">IF(OR(NOT(ISNUMBER($G56)),$G56&lt;2,NOT(ISNUMBER($C55)),$C55=0),"",$C56/$C55-1)</f>
        <v>-0.0190514608865328</v>
      </c>
      <c r="I56" s="52" t="n">
        <f aca="false">IF(AND(ISNUMBER($G56),$G56&gt;=MA_SHORT),AVERAGE(INDEX($C$5:$C56,53-MA_SHORT):$C56),"")</f>
        <v>83408840.9</v>
      </c>
      <c r="J56" s="52" t="n">
        <f aca="false">IF(AND(ISNUMBER($G56),$G56&gt;=MA_MED),AVERAGE(INDEX($C$5:$C56,53-MA_MED):$C56),"")</f>
        <v>80945072.94</v>
      </c>
      <c r="K56" s="52" t="str">
        <f aca="false">IF(AND(ISNUMBER($G56),$G56&gt;=MA_LONG2),AVERAGE(INDEX($C$5:$C56,53-MA_LONG2):$C56),"")</f>
        <v/>
      </c>
      <c r="L56" s="53" t="n">
        <f aca="false">IF(AND(ISNUMBER($G56),$G56&gt;=21),STDEV(INDEX($H$5:$H56,53-20):$H56)*SQRT(245),"")</f>
        <v>0.232716140586156</v>
      </c>
      <c r="M56" s="52" t="str">
        <f aca="false">IF(AND(ISNUMBER($G56),$G56&gt;=60),MAX(INDEX($D$5:$D56,53-60):$D56),"")</f>
        <v/>
      </c>
      <c r="N56" s="52" t="str">
        <f aca="false">IF(AND(ISNUMBER($G56),$G56&gt;=60),MIN(INDEX($E$5:$E56,53-60):$E56),"")</f>
        <v/>
      </c>
      <c r="O56" s="53" t="str">
        <f aca="false">IF(OR(NOT(ISNUMBER($C56)),NOT(ISNUMBER($M56)),$M56=0),"",$C56/$M56-1)</f>
        <v/>
      </c>
      <c r="P56" s="54"/>
      <c r="Q56" s="53" t="str">
        <f aca="false">IF(NOT(ISNUMBER($P56)),"",IFERROR(PERCENTRANK($P$5:$P$1204,$P56),""))</f>
        <v/>
      </c>
    </row>
    <row r="57" customFormat="false" ht="15" hidden="false" customHeight="false" outlineLevel="0" collapsed="false">
      <c r="A57" s="47" t="n">
        <v>45642</v>
      </c>
      <c r="B57" s="48" t="s">
        <v>205</v>
      </c>
      <c r="C57" s="49" t="n">
        <v>84190033</v>
      </c>
      <c r="D57" s="49" t="n">
        <v>84761763</v>
      </c>
      <c r="E57" s="49" t="n">
        <v>84048529</v>
      </c>
      <c r="F57" s="49" t="n">
        <v>0</v>
      </c>
      <c r="G57" s="50" t="n">
        <f aca="false">IF($A57="","",IF(ISNUMBER($G56),$G56+1,1))</f>
        <v>53</v>
      </c>
      <c r="H57" s="51" t="n">
        <f aca="false">IF(OR(NOT(ISNUMBER($G57)),$G57&lt;2,NOT(ISNUMBER($C56)),$C56=0),"",$C57/$C56-1)</f>
        <v>0.00877805512340246</v>
      </c>
      <c r="I57" s="52" t="n">
        <f aca="false">IF(AND(ISNUMBER($G57),$G57&gt;=MA_SHORT),AVERAGE(INDEX($C$5:$C57,54-MA_SHORT):$C57),"")</f>
        <v>83457712.95</v>
      </c>
      <c r="J57" s="52" t="n">
        <f aca="false">IF(AND(ISNUMBER($G57),$G57&gt;=MA_MED),AVERAGE(INDEX($C$5:$C57,54-MA_MED):$C57),"")</f>
        <v>81056066.92</v>
      </c>
      <c r="K57" s="52" t="str">
        <f aca="false">IF(AND(ISNUMBER($G57),$G57&gt;=MA_LONG2),AVERAGE(INDEX($C$5:$C57,54-MA_LONG2):$C57),"")</f>
        <v/>
      </c>
      <c r="L57" s="53" t="n">
        <f aca="false">IF(AND(ISNUMBER($G57),$G57&gt;=21),STDEV(INDEX($H$5:$H57,54-20):$H57)*SQRT(245),"")</f>
        <v>0.234536987345048</v>
      </c>
      <c r="M57" s="52" t="str">
        <f aca="false">IF(AND(ISNUMBER($G57),$G57&gt;=60),MAX(INDEX($D$5:$D57,54-60):$D57),"")</f>
        <v/>
      </c>
      <c r="N57" s="52" t="str">
        <f aca="false">IF(AND(ISNUMBER($G57),$G57&gt;=60),MIN(INDEX($E$5:$E57,54-60):$E57),"")</f>
        <v/>
      </c>
      <c r="O57" s="53" t="str">
        <f aca="false">IF(OR(NOT(ISNUMBER($C57)),NOT(ISNUMBER($M57)),$M57=0),"",$C57/$M57-1)</f>
        <v/>
      </c>
      <c r="P57" s="54"/>
      <c r="Q57" s="53" t="str">
        <f aca="false">IF(NOT(ISNUMBER($P57)),"",IFERROR(PERCENTRANK($P$5:$P$1204,$P57),""))</f>
        <v/>
      </c>
    </row>
    <row r="58" customFormat="false" ht="15" hidden="false" customHeight="false" outlineLevel="0" collapsed="false">
      <c r="A58" s="47" t="n">
        <v>45643</v>
      </c>
      <c r="B58" s="48" t="s">
        <v>206</v>
      </c>
      <c r="C58" s="49" t="n">
        <v>85205321</v>
      </c>
      <c r="D58" s="49" t="n">
        <v>85526933</v>
      </c>
      <c r="E58" s="49" t="n">
        <v>84600115</v>
      </c>
      <c r="F58" s="49" t="n">
        <v>0</v>
      </c>
      <c r="G58" s="50" t="n">
        <f aca="false">IF($A58="","",IF(ISNUMBER($G57),$G57+1,1))</f>
        <v>54</v>
      </c>
      <c r="H58" s="51" t="n">
        <f aca="false">IF(OR(NOT(ISNUMBER($G58)),$G58&lt;2,NOT(ISNUMBER($C57)),$C57=0),"",$C58/$C57-1)</f>
        <v>0.0120594797723859</v>
      </c>
      <c r="I58" s="52" t="n">
        <f aca="false">IF(AND(ISNUMBER($G58),$G58&gt;=MA_SHORT),AVERAGE(INDEX($C$5:$C58,55-MA_SHORT):$C58),"")</f>
        <v>83483845.6</v>
      </c>
      <c r="J58" s="52" t="n">
        <f aca="false">IF(AND(ISNUMBER($G58),$G58&gt;=MA_MED),AVERAGE(INDEX($C$5:$C58,55-MA_MED):$C58),"")</f>
        <v>81212572.9</v>
      </c>
      <c r="K58" s="52" t="str">
        <f aca="false">IF(AND(ISNUMBER($G58),$G58&gt;=MA_LONG2),AVERAGE(INDEX($C$5:$C58,55-MA_LONG2):$C58),"")</f>
        <v/>
      </c>
      <c r="L58" s="53" t="n">
        <f aca="false">IF(AND(ISNUMBER($G58),$G58&gt;=21),STDEV(INDEX($H$5:$H58,55-20):$H58)*SQRT(245),"")</f>
        <v>0.230082472821871</v>
      </c>
      <c r="M58" s="52" t="str">
        <f aca="false">IF(AND(ISNUMBER($G58),$G58&gt;=60),MAX(INDEX($D$5:$D58,55-60):$D58),"")</f>
        <v/>
      </c>
      <c r="N58" s="52" t="str">
        <f aca="false">IF(AND(ISNUMBER($G58),$G58&gt;=60),MIN(INDEX($E$5:$E58,55-60):$E58),"")</f>
        <v/>
      </c>
      <c r="O58" s="53" t="str">
        <f aca="false">IF(OR(NOT(ISNUMBER($C58)),NOT(ISNUMBER($M58)),$M58=0),"",$C58/$M58-1)</f>
        <v/>
      </c>
      <c r="P58" s="54"/>
      <c r="Q58" s="53" t="str">
        <f aca="false">IF(NOT(ISNUMBER($P58)),"",IFERROR(PERCENTRANK($P$5:$P$1204,$P58),""))</f>
        <v/>
      </c>
    </row>
    <row r="59" customFormat="false" ht="15" hidden="false" customHeight="false" outlineLevel="0" collapsed="false">
      <c r="A59" s="47" t="n">
        <v>45644</v>
      </c>
      <c r="B59" s="48" t="s">
        <v>207</v>
      </c>
      <c r="C59" s="49" t="n">
        <v>85678274</v>
      </c>
      <c r="D59" s="49" t="n">
        <v>86363381</v>
      </c>
      <c r="E59" s="49" t="n">
        <v>85484683</v>
      </c>
      <c r="F59" s="49" t="n">
        <v>0</v>
      </c>
      <c r="G59" s="50" t="n">
        <f aca="false">IF($A59="","",IF(ISNUMBER($G58),$G58+1,1))</f>
        <v>55</v>
      </c>
      <c r="H59" s="51" t="n">
        <f aca="false">IF(OR(NOT(ISNUMBER($G59)),$G59&lt;2,NOT(ISNUMBER($C58)),$C58=0),"",$C59/$C58-1)</f>
        <v>0.00555074488833851</v>
      </c>
      <c r="I59" s="52" t="n">
        <f aca="false">IF(AND(ISNUMBER($G59),$G59&gt;=MA_SHORT),AVERAGE(INDEX($C$5:$C59,56-MA_SHORT):$C59),"")</f>
        <v>83518619.1</v>
      </c>
      <c r="J59" s="52" t="n">
        <f aca="false">IF(AND(ISNUMBER($G59),$G59&gt;=MA_MED),AVERAGE(INDEX($C$5:$C59,56-MA_MED):$C59),"")</f>
        <v>81365627.84</v>
      </c>
      <c r="K59" s="52" t="str">
        <f aca="false">IF(AND(ISNUMBER($G59),$G59&gt;=MA_LONG2),AVERAGE(INDEX($C$5:$C59,56-MA_LONG2):$C59),"")</f>
        <v/>
      </c>
      <c r="L59" s="53" t="n">
        <f aca="false">IF(AND(ISNUMBER($G59),$G59&gt;=21),STDEV(INDEX($H$5:$H59,56-20):$H59)*SQRT(245),"")</f>
        <v>0.230541634614623</v>
      </c>
      <c r="M59" s="52" t="str">
        <f aca="false">IF(AND(ISNUMBER($G59),$G59&gt;=60),MAX(INDEX($D$5:$D59,56-60):$D59),"")</f>
        <v/>
      </c>
      <c r="N59" s="52" t="str">
        <f aca="false">IF(AND(ISNUMBER($G59),$G59&gt;=60),MIN(INDEX($E$5:$E59,56-60):$E59),"")</f>
        <v/>
      </c>
      <c r="O59" s="53" t="str">
        <f aca="false">IF(OR(NOT(ISNUMBER($C59)),NOT(ISNUMBER($M59)),$M59=0),"",$C59/$M59-1)</f>
        <v/>
      </c>
      <c r="P59" s="54"/>
      <c r="Q59" s="53" t="str">
        <f aca="false">IF(NOT(ISNUMBER($P59)),"",IFERROR(PERCENTRANK($P$5:$P$1204,$P59),""))</f>
        <v/>
      </c>
    </row>
    <row r="60" customFormat="false" ht="15" hidden="false" customHeight="false" outlineLevel="0" collapsed="false">
      <c r="A60" s="47" t="n">
        <v>45647</v>
      </c>
      <c r="B60" s="48" t="s">
        <v>208</v>
      </c>
      <c r="C60" s="49" t="n">
        <v>85700656</v>
      </c>
      <c r="D60" s="49" t="n">
        <v>85937378</v>
      </c>
      <c r="E60" s="49" t="n">
        <v>85351603</v>
      </c>
      <c r="F60" s="49" t="n">
        <v>0</v>
      </c>
      <c r="G60" s="50" t="n">
        <f aca="false">IF($A60="","",IF(ISNUMBER($G59),$G59+1,1))</f>
        <v>56</v>
      </c>
      <c r="H60" s="51" t="n">
        <f aca="false">IF(OR(NOT(ISNUMBER($G60)),$G60&lt;2,NOT(ISNUMBER($C59)),$C59=0),"",$C60/$C59-1)</f>
        <v>0.0002612330869316</v>
      </c>
      <c r="I60" s="52" t="n">
        <f aca="false">IF(AND(ISNUMBER($G60),$G60&gt;=MA_SHORT),AVERAGE(INDEX($C$5:$C60,57-MA_SHORT):$C60),"")</f>
        <v>83420997.65</v>
      </c>
      <c r="J60" s="52" t="n">
        <f aca="false">IF(AND(ISNUMBER($G60),$G60&gt;=MA_MED),AVERAGE(INDEX($C$5:$C60,57-MA_MED):$C60),"")</f>
        <v>81508163.78</v>
      </c>
      <c r="K60" s="52" t="str">
        <f aca="false">IF(AND(ISNUMBER($G60),$G60&gt;=MA_LONG2),AVERAGE(INDEX($C$5:$C60,57-MA_LONG2):$C60),"")</f>
        <v/>
      </c>
      <c r="L60" s="53" t="n">
        <f aca="false">IF(AND(ISNUMBER($G60),$G60&gt;=21),STDEV(INDEX($H$5:$H60,57-20):$H60)*SQRT(245),"")</f>
        <v>0.200507934280098</v>
      </c>
      <c r="M60" s="52" t="str">
        <f aca="false">IF(AND(ISNUMBER($G60),$G60&gt;=60),MAX(INDEX($D$5:$D60,57-60):$D60),"")</f>
        <v/>
      </c>
      <c r="N60" s="52" t="str">
        <f aca="false">IF(AND(ISNUMBER($G60),$G60&gt;=60),MIN(INDEX($E$5:$E60,57-60):$E60),"")</f>
        <v/>
      </c>
      <c r="O60" s="53" t="str">
        <f aca="false">IF(OR(NOT(ISNUMBER($C60)),NOT(ISNUMBER($M60)),$M60=0),"",$C60/$M60-1)</f>
        <v/>
      </c>
      <c r="P60" s="54"/>
      <c r="Q60" s="53" t="str">
        <f aca="false">IF(NOT(ISNUMBER($P60)),"",IFERROR(PERCENTRANK($P$5:$P$1204,$P60),""))</f>
        <v/>
      </c>
    </row>
    <row r="61" customFormat="false" ht="15" hidden="false" customHeight="false" outlineLevel="0" collapsed="false">
      <c r="A61" s="47" t="n">
        <v>45648</v>
      </c>
      <c r="B61" s="48" t="s">
        <v>209</v>
      </c>
      <c r="C61" s="49" t="n">
        <v>87823234</v>
      </c>
      <c r="D61" s="49" t="n">
        <v>87933862</v>
      </c>
      <c r="E61" s="49" t="n">
        <v>87813113</v>
      </c>
      <c r="F61" s="49" t="n">
        <v>0</v>
      </c>
      <c r="G61" s="50" t="n">
        <f aca="false">IF($A61="","",IF(ISNUMBER($G60),$G60+1,1))</f>
        <v>57</v>
      </c>
      <c r="H61" s="51" t="n">
        <f aca="false">IF(OR(NOT(ISNUMBER($G61)),$G61&lt;2,NOT(ISNUMBER($C60)),$C60=0),"",$C61/$C60-1)</f>
        <v>0.024767348338617</v>
      </c>
      <c r="I61" s="52" t="n">
        <f aca="false">IF(AND(ISNUMBER($G61),$G61&gt;=MA_SHORT),AVERAGE(INDEX($C$5:$C61,58-MA_SHORT):$C61),"")</f>
        <v>83488819.35</v>
      </c>
      <c r="J61" s="52" t="n">
        <f aca="false">IF(AND(ISNUMBER($G61),$G61&gt;=MA_MED),AVERAGE(INDEX($C$5:$C61,58-MA_MED):$C61),"")</f>
        <v>81707778.62</v>
      </c>
      <c r="K61" s="52" t="str">
        <f aca="false">IF(AND(ISNUMBER($G61),$G61&gt;=MA_LONG2),AVERAGE(INDEX($C$5:$C61,58-MA_LONG2):$C61),"")</f>
        <v/>
      </c>
      <c r="L61" s="53" t="n">
        <f aca="false">IF(AND(ISNUMBER($G61),$G61&gt;=21),STDEV(INDEX($H$5:$H61,58-20):$H61)*SQRT(245),"")</f>
        <v>0.214103793340868</v>
      </c>
      <c r="M61" s="52" t="str">
        <f aca="false">IF(AND(ISNUMBER($G61),$G61&gt;=60),MAX(INDEX($D$5:$D61,58-60):$D61),"")</f>
        <v/>
      </c>
      <c r="N61" s="52" t="str">
        <f aca="false">IF(AND(ISNUMBER($G61),$G61&gt;=60),MIN(INDEX($E$5:$E61,58-60):$E61),"")</f>
        <v/>
      </c>
      <c r="O61" s="53" t="str">
        <f aca="false">IF(OR(NOT(ISNUMBER($C61)),NOT(ISNUMBER($M61)),$M61=0),"",$C61/$M61-1)</f>
        <v/>
      </c>
      <c r="P61" s="54"/>
      <c r="Q61" s="53" t="str">
        <f aca="false">IF(NOT(ISNUMBER($P61)),"",IFERROR(PERCENTRANK($P$5:$P$1204,$P61),""))</f>
        <v/>
      </c>
    </row>
    <row r="62" customFormat="false" ht="15" hidden="false" customHeight="false" outlineLevel="0" collapsed="false">
      <c r="A62" s="47" t="n">
        <v>45649</v>
      </c>
      <c r="B62" s="48" t="s">
        <v>210</v>
      </c>
      <c r="C62" s="49" t="n">
        <v>88151091</v>
      </c>
      <c r="D62" s="49" t="n">
        <v>88209405</v>
      </c>
      <c r="E62" s="49" t="n">
        <v>87585866</v>
      </c>
      <c r="F62" s="49" t="n">
        <v>0</v>
      </c>
      <c r="G62" s="50" t="n">
        <f aca="false">IF($A62="","",IF(ISNUMBER($G61),$G61+1,1))</f>
        <v>58</v>
      </c>
      <c r="H62" s="51" t="n">
        <f aca="false">IF(OR(NOT(ISNUMBER($G62)),$G62&lt;2,NOT(ISNUMBER($C61)),$C61=0),"",$C62/$C61-1)</f>
        <v>0.0037331465156476</v>
      </c>
      <c r="I62" s="52" t="n">
        <f aca="false">IF(AND(ISNUMBER($G62),$G62&gt;=MA_SHORT),AVERAGE(INDEX($C$5:$C62,59-MA_SHORT):$C62),"")</f>
        <v>83590937.8</v>
      </c>
      <c r="J62" s="52" t="n">
        <f aca="false">IF(AND(ISNUMBER($G62),$G62&gt;=MA_MED),AVERAGE(INDEX($C$5:$C62,59-MA_MED):$C62),"")</f>
        <v>81899603.44</v>
      </c>
      <c r="K62" s="52" t="str">
        <f aca="false">IF(AND(ISNUMBER($G62),$G62&gt;=MA_LONG2),AVERAGE(INDEX($C$5:$C62,59-MA_LONG2):$C62),"")</f>
        <v/>
      </c>
      <c r="L62" s="53" t="n">
        <f aca="false">IF(AND(ISNUMBER($G62),$G62&gt;=21),STDEV(INDEX($H$5:$H62,59-20):$H62)*SQRT(245),"")</f>
        <v>0.213501431179537</v>
      </c>
      <c r="M62" s="52" t="str">
        <f aca="false">IF(AND(ISNUMBER($G62),$G62&gt;=60),MAX(INDEX($D$5:$D62,59-60):$D62),"")</f>
        <v/>
      </c>
      <c r="N62" s="52" t="str">
        <f aca="false">IF(AND(ISNUMBER($G62),$G62&gt;=60),MIN(INDEX($E$5:$E62,59-60):$E62),"")</f>
        <v/>
      </c>
      <c r="O62" s="53" t="str">
        <f aca="false">IF(OR(NOT(ISNUMBER($C62)),NOT(ISNUMBER($M62)),$M62=0),"",$C62/$M62-1)</f>
        <v/>
      </c>
      <c r="P62" s="54"/>
      <c r="Q62" s="53" t="str">
        <f aca="false">IF(NOT(ISNUMBER($P62)),"",IFERROR(PERCENTRANK($P$5:$P$1204,$P62),""))</f>
        <v/>
      </c>
    </row>
    <row r="63" customFormat="false" ht="15" hidden="false" customHeight="false" outlineLevel="0" collapsed="false">
      <c r="A63" s="47" t="n">
        <v>45650</v>
      </c>
      <c r="B63" s="48" t="s">
        <v>211</v>
      </c>
      <c r="C63" s="49" t="n">
        <v>87676229</v>
      </c>
      <c r="D63" s="49" t="n">
        <v>87824291</v>
      </c>
      <c r="E63" s="49" t="n">
        <v>87216855</v>
      </c>
      <c r="F63" s="49" t="n">
        <v>0</v>
      </c>
      <c r="G63" s="50" t="n">
        <f aca="false">IF($A63="","",IF(ISNUMBER($G62),$G62+1,1))</f>
        <v>59</v>
      </c>
      <c r="H63" s="51" t="n">
        <f aca="false">IF(OR(NOT(ISNUMBER($G63)),$G63&lt;2,NOT(ISNUMBER($C62)),$C62=0),"",$C63/$C62-1)</f>
        <v>-0.00538691007238923</v>
      </c>
      <c r="I63" s="52" t="n">
        <f aca="false">IF(AND(ISNUMBER($G63),$G63&gt;=MA_SHORT),AVERAGE(INDEX($C$5:$C63,60-MA_SHORT):$C63),"")</f>
        <v>83778327.7</v>
      </c>
      <c r="J63" s="52" t="n">
        <f aca="false">IF(AND(ISNUMBER($G63),$G63&gt;=MA_MED),AVERAGE(INDEX($C$5:$C63,60-MA_MED):$C63),"")</f>
        <v>82072805.32</v>
      </c>
      <c r="K63" s="52" t="str">
        <f aca="false">IF(AND(ISNUMBER($G63),$G63&gt;=MA_LONG2),AVERAGE(INDEX($C$5:$C63,60-MA_LONG2):$C63),"")</f>
        <v/>
      </c>
      <c r="L63" s="53" t="n">
        <f aca="false">IF(AND(ISNUMBER($G63),$G63&gt;=21),STDEV(INDEX($H$5:$H63,60-20):$H63)*SQRT(245),"")</f>
        <v>0.19179560360621</v>
      </c>
      <c r="M63" s="52" t="str">
        <f aca="false">IF(AND(ISNUMBER($G63),$G63&gt;=60),MAX(INDEX($D$5:$D63,60-60):$D63),"")</f>
        <v/>
      </c>
      <c r="N63" s="52" t="str">
        <f aca="false">IF(AND(ISNUMBER($G63),$G63&gt;=60),MIN(INDEX($E$5:$E63,60-60):$E63),"")</f>
        <v/>
      </c>
      <c r="O63" s="53" t="str">
        <f aca="false">IF(OR(NOT(ISNUMBER($C63)),NOT(ISNUMBER($M63)),$M63=0),"",$C63/$M63-1)</f>
        <v/>
      </c>
      <c r="P63" s="54"/>
      <c r="Q63" s="53" t="str">
        <f aca="false">IF(NOT(ISNUMBER($P63)),"",IFERROR(PERCENTRANK($P$5:$P$1204,$P63),""))</f>
        <v/>
      </c>
    </row>
    <row r="64" customFormat="false" ht="15" hidden="false" customHeight="false" outlineLevel="0" collapsed="false">
      <c r="A64" s="47" t="n">
        <v>45651</v>
      </c>
      <c r="B64" s="48" t="s">
        <v>212</v>
      </c>
      <c r="C64" s="49" t="n">
        <v>87499977</v>
      </c>
      <c r="D64" s="49" t="n">
        <v>87650623</v>
      </c>
      <c r="E64" s="49" t="n">
        <v>87123055</v>
      </c>
      <c r="F64" s="49" t="n">
        <v>0</v>
      </c>
      <c r="G64" s="50" t="n">
        <f aca="false">IF($A64="","",IF(ISNUMBER($G63),$G63+1,1))</f>
        <v>60</v>
      </c>
      <c r="H64" s="51" t="n">
        <f aca="false">IF(OR(NOT(ISNUMBER($G64)),$G64&lt;2,NOT(ISNUMBER($C63)),$C63=0),"",$C64/$C63-1)</f>
        <v>-0.00201025981626102</v>
      </c>
      <c r="I64" s="52" t="n">
        <f aca="false">IF(AND(ISNUMBER($G64),$G64&gt;=MA_SHORT),AVERAGE(INDEX($C$5:$C64,61-MA_SHORT):$C64),"")</f>
        <v>84003103.7</v>
      </c>
      <c r="J64" s="52" t="n">
        <f aca="false">IF(AND(ISNUMBER($G64),$G64&gt;=MA_MED),AVERAGE(INDEX($C$5:$C64,61-MA_MED):$C64),"")</f>
        <v>82274044.34</v>
      </c>
      <c r="K64" s="52" t="str">
        <f aca="false">IF(AND(ISNUMBER($G64),$G64&gt;=MA_LONG2),AVERAGE(INDEX($C$5:$C64,61-MA_LONG2):$C64),"")</f>
        <v/>
      </c>
      <c r="L64" s="53" t="n">
        <f aca="false">IF(AND(ISNUMBER($G64),$G64&gt;=21),STDEV(INDEX($H$5:$H64,61-20):$H64)*SQRT(245),"")</f>
        <v>0.186275674014337</v>
      </c>
      <c r="M64" s="52" t="n">
        <f aca="false">IF(AND(ISNUMBER($G64),$G64&gt;=60),MAX(INDEX($D$5:$D64,61-60):$D64),"")</f>
        <v>88209405</v>
      </c>
      <c r="N64" s="52" t="n">
        <f aca="false">IF(AND(ISNUMBER($G64),$G64&gt;=60),MIN(INDEX($E$5:$E64,61-60):$E64),"")</f>
        <v>75312654</v>
      </c>
      <c r="O64" s="53" t="n">
        <f aca="false">IF(OR(NOT(ISNUMBER($C64)),NOT(ISNUMBER($M64)),$M64=0),"",$C64/$M64-1)</f>
        <v>-0.00804254376276548</v>
      </c>
      <c r="P64" s="54"/>
      <c r="Q64" s="53" t="str">
        <f aca="false">IF(NOT(ISNUMBER($P64)),"",IFERROR(PERCENTRANK($P$5:$P$1204,$P64),""))</f>
        <v/>
      </c>
    </row>
    <row r="65" customFormat="false" ht="15" hidden="false" customHeight="false" outlineLevel="0" collapsed="false">
      <c r="A65" s="47" t="n">
        <v>45654</v>
      </c>
      <c r="B65" s="48" t="s">
        <v>213</v>
      </c>
      <c r="C65" s="49" t="n">
        <v>85924321</v>
      </c>
      <c r="D65" s="49" t="n">
        <v>86151311</v>
      </c>
      <c r="E65" s="49" t="n">
        <v>85844060</v>
      </c>
      <c r="F65" s="49" t="n">
        <v>0</v>
      </c>
      <c r="G65" s="50" t="n">
        <f aca="false">IF($A65="","",IF(ISNUMBER($G64),$G64+1,1))</f>
        <v>61</v>
      </c>
      <c r="H65" s="51" t="n">
        <f aca="false">IF(OR(NOT(ISNUMBER($G65)),$G65&lt;2,NOT(ISNUMBER($C64)),$C64=0),"",$C65/$C64-1)</f>
        <v>-0.0180075018762577</v>
      </c>
      <c r="I65" s="52" t="n">
        <f aca="false">IF(AND(ISNUMBER($G65),$G65&gt;=MA_SHORT),AVERAGE(INDEX($C$5:$C65,62-MA_SHORT):$C65),"")</f>
        <v>84158549.5</v>
      </c>
      <c r="J65" s="52" t="n">
        <f aca="false">IF(AND(ISNUMBER($G65),$G65&gt;=MA_MED),AVERAGE(INDEX($C$5:$C65,62-MA_MED):$C65),"")</f>
        <v>82410655.1</v>
      </c>
      <c r="K65" s="52" t="str">
        <f aca="false">IF(AND(ISNUMBER($G65),$G65&gt;=MA_LONG2),AVERAGE(INDEX($C$5:$C65,62-MA_LONG2):$C65),"")</f>
        <v/>
      </c>
      <c r="L65" s="53" t="n">
        <f aca="false">IF(AND(ISNUMBER($G65),$G65&gt;=21),STDEV(INDEX($H$5:$H65,62-20):$H65)*SQRT(245),"")</f>
        <v>0.199379142851681</v>
      </c>
      <c r="M65" s="52" t="n">
        <f aca="false">IF(AND(ISNUMBER($G65),$G65&gt;=60),MAX(INDEX($D$5:$D65,62-60):$D65),"")</f>
        <v>88209405</v>
      </c>
      <c r="N65" s="52" t="n">
        <f aca="false">IF(AND(ISNUMBER($G65),$G65&gt;=60),MIN(INDEX($E$5:$E65,62-60):$E65),"")</f>
        <v>75312654</v>
      </c>
      <c r="O65" s="53" t="n">
        <f aca="false">IF(OR(NOT(ISNUMBER($C65)),NOT(ISNUMBER($M65)),$M65=0),"",$C65/$M65-1)</f>
        <v>-0.0259052195171252</v>
      </c>
      <c r="P65" s="54"/>
      <c r="Q65" s="53" t="str">
        <f aca="false">IF(NOT(ISNUMBER($P65)),"",IFERROR(PERCENTRANK($P$5:$P$1204,$P65),""))</f>
        <v/>
      </c>
    </row>
    <row r="66" customFormat="false" ht="15" hidden="false" customHeight="false" outlineLevel="0" collapsed="false">
      <c r="A66" s="47" t="n">
        <v>45655</v>
      </c>
      <c r="B66" s="48" t="s">
        <v>214</v>
      </c>
      <c r="C66" s="49" t="n">
        <v>86656611</v>
      </c>
      <c r="D66" s="49" t="n">
        <v>87234476</v>
      </c>
      <c r="E66" s="49" t="n">
        <v>86599994</v>
      </c>
      <c r="F66" s="49" t="n">
        <v>0</v>
      </c>
      <c r="G66" s="50" t="n">
        <f aca="false">IF($A66="","",IF(ISNUMBER($G65),$G65+1,1))</f>
        <v>62</v>
      </c>
      <c r="H66" s="51" t="n">
        <f aca="false">IF(OR(NOT(ISNUMBER($G66)),$G66&lt;2,NOT(ISNUMBER($C65)),$C65=0),"",$C66/$C65-1)</f>
        <v>0.00852249970063768</v>
      </c>
      <c r="I66" s="52" t="n">
        <f aca="false">IF(AND(ISNUMBER($G66),$G66&gt;=MA_SHORT),AVERAGE(INDEX($C$5:$C66,63-MA_SHORT):$C66),"")</f>
        <v>84318888.05</v>
      </c>
      <c r="J66" s="52" t="n">
        <f aca="false">IF(AND(ISNUMBER($G66),$G66&gt;=MA_MED),AVERAGE(INDEX($C$5:$C66,63-MA_MED):$C66),"")</f>
        <v>82613817.74</v>
      </c>
      <c r="K66" s="52" t="str">
        <f aca="false">IF(AND(ISNUMBER($G66),$G66&gt;=MA_LONG2),AVERAGE(INDEX($C$5:$C66,63-MA_LONG2):$C66),"")</f>
        <v/>
      </c>
      <c r="L66" s="53" t="n">
        <f aca="false">IF(AND(ISNUMBER($G66),$G66&gt;=21),STDEV(INDEX($H$6:$H66,62-20):$H66)*SQRT(245),"")</f>
        <v>0.199721509788982</v>
      </c>
      <c r="M66" s="52" t="n">
        <f aca="false">IF(AND(ISNUMBER($G66),$G66&gt;=60),MAX(INDEX($D$5:$D66,63-60):$D66),"")</f>
        <v>88209405</v>
      </c>
      <c r="N66" s="52" t="n">
        <f aca="false">IF(AND(ISNUMBER($G66),$G66&gt;=60),MIN(INDEX($E$5:$E66,63-60):$E66),"")</f>
        <v>75312654</v>
      </c>
      <c r="O66" s="53" t="n">
        <f aca="false">IF(OR(NOT(ISNUMBER($C66)),NOT(ISNUMBER($M66)),$M66=0),"",$C66/$M66-1)</f>
        <v>-0.0176034970420671</v>
      </c>
      <c r="P66" s="54"/>
      <c r="Q66" s="53" t="str">
        <f aca="false">IF(NOT(ISNUMBER($P66)),"",IFERROR(PERCENTRANK($P$5:$P$1204,$P66),""))</f>
        <v/>
      </c>
    </row>
    <row r="67" customFormat="false" ht="15" hidden="false" customHeight="false" outlineLevel="0" collapsed="false">
      <c r="A67" s="47" t="n">
        <v>45656</v>
      </c>
      <c r="B67" s="48" t="s">
        <v>215</v>
      </c>
      <c r="C67" s="49" t="n">
        <v>87453544</v>
      </c>
      <c r="D67" s="49" t="n">
        <v>88101594</v>
      </c>
      <c r="E67" s="49" t="n">
        <v>86940503</v>
      </c>
      <c r="F67" s="49" t="n">
        <v>0</v>
      </c>
      <c r="G67" s="50" t="n">
        <f aca="false">IF($A67="","",IF(ISNUMBER($G66),$G66+1,1))</f>
        <v>63</v>
      </c>
      <c r="H67" s="51" t="n">
        <f aca="false">IF(OR(NOT(ISNUMBER($G67)),$G67&lt;2,NOT(ISNUMBER($C66)),$C66=0),"",$C67/$C66-1)</f>
        <v>0.0091964478047728</v>
      </c>
      <c r="I67" s="52" t="n">
        <f aca="false">IF(AND(ISNUMBER($G67),$G67&gt;=MA_SHORT),AVERAGE(INDEX($C$5:$C67,64-MA_SHORT):$C67),"")</f>
        <v>84566291.25</v>
      </c>
      <c r="J67" s="52" t="n">
        <f aca="false">IF(AND(ISNUMBER($G67),$G67&gt;=MA_MED),AVERAGE(INDEX($C$5:$C67,64-MA_MED):$C67),"")</f>
        <v>82851402.14</v>
      </c>
      <c r="K67" s="52" t="str">
        <f aca="false">IF(AND(ISNUMBER($G67),$G67&gt;=MA_LONG2),AVERAGE(INDEX($C$5:$C67,64-MA_LONG2):$C67),"")</f>
        <v/>
      </c>
      <c r="L67" s="53" t="n">
        <f aca="false">IF(AND(ISNUMBER($G67),$G67&gt;=21),STDEV(INDEX($H$7:$H67,62-20):$H67)*SQRT(245),"")</f>
        <v>0.194980575267675</v>
      </c>
      <c r="M67" s="52" t="n">
        <f aca="false">IF(AND(ISNUMBER($G67),$G67&gt;=60),MAX(INDEX($D$5:$D67,64-60):$D67),"")</f>
        <v>88209405</v>
      </c>
      <c r="N67" s="52" t="n">
        <f aca="false">IF(AND(ISNUMBER($G67),$G67&gt;=60),MIN(INDEX($E$5:$E67,64-60):$E67),"")</f>
        <v>75312654</v>
      </c>
      <c r="O67" s="53" t="n">
        <f aca="false">IF(OR(NOT(ISNUMBER($C67)),NOT(ISNUMBER($M67)),$M67=0),"",$C67/$M67-1)</f>
        <v>-0.00856893887902321</v>
      </c>
      <c r="P67" s="54"/>
      <c r="Q67" s="53" t="str">
        <f aca="false">IF(NOT(ISNUMBER($P67)),"",IFERROR(PERCENTRANK($P$5:$P$1204,$P67),""))</f>
        <v/>
      </c>
    </row>
    <row r="68" customFormat="false" ht="15" hidden="false" customHeight="false" outlineLevel="0" collapsed="false">
      <c r="A68" s="47" t="n">
        <v>45657</v>
      </c>
      <c r="B68" s="48" t="s">
        <v>216</v>
      </c>
      <c r="C68" s="49" t="n">
        <v>88205252</v>
      </c>
      <c r="D68" s="49" t="n">
        <v>88480285</v>
      </c>
      <c r="E68" s="49" t="n">
        <v>87988718</v>
      </c>
      <c r="F68" s="49" t="n">
        <v>0</v>
      </c>
      <c r="G68" s="50" t="n">
        <f aca="false">IF($A68="","",IF(ISNUMBER($G67),$G67+1,1))</f>
        <v>64</v>
      </c>
      <c r="H68" s="51" t="n">
        <f aca="false">IF(OR(NOT(ISNUMBER($G68)),$G68&lt;2,NOT(ISNUMBER($C67)),$C67=0),"",$C68/$C67-1)</f>
        <v>0.00859551214985643</v>
      </c>
      <c r="I68" s="52" t="n">
        <f aca="false">IF(AND(ISNUMBER($G68),$G68&gt;=MA_SHORT),AVERAGE(INDEX($C$5:$C68,65-MA_SHORT):$C68),"")</f>
        <v>84873134.95</v>
      </c>
      <c r="J68" s="52" t="n">
        <f aca="false">IF(AND(ISNUMBER($G68),$G68&gt;=MA_MED),AVERAGE(INDEX($C$5:$C68,65-MA_MED):$C68),"")</f>
        <v>83065247.52</v>
      </c>
      <c r="K68" s="52" t="str">
        <f aca="false">IF(AND(ISNUMBER($G68),$G68&gt;=MA_LONG2),AVERAGE(INDEX($C$5:$C68,65-MA_LONG2):$C68),"")</f>
        <v/>
      </c>
      <c r="L68" s="53" t="n">
        <f aca="false">IF(AND(ISNUMBER($G68),$G68&gt;=21),STDEV(INDEX($H$8:$H68,62-20):$H68)*SQRT(245),"")</f>
        <v>0.193422904842418</v>
      </c>
      <c r="M68" s="52" t="n">
        <f aca="false">IF(AND(ISNUMBER($G68),$G68&gt;=60),MAX(INDEX($D$5:$D68,65-60):$D68),"")</f>
        <v>88480285</v>
      </c>
      <c r="N68" s="52" t="n">
        <f aca="false">IF(AND(ISNUMBER($G68),$G68&gt;=60),MIN(INDEX($E$5:$E68,65-60):$E68),"")</f>
        <v>75312654</v>
      </c>
      <c r="O68" s="53" t="n">
        <f aca="false">IF(OR(NOT(ISNUMBER($C68)),NOT(ISNUMBER($M68)),$M68=0),"",$C68/$M68-1)</f>
        <v>-0.00310840996952033</v>
      </c>
      <c r="P68" s="54"/>
      <c r="Q68" s="53" t="str">
        <f aca="false">IF(NOT(ISNUMBER($P68)),"",IFERROR(PERCENTRANK($P$5:$P$1204,$P68),""))</f>
        <v/>
      </c>
    </row>
    <row r="69" customFormat="false" ht="15" hidden="false" customHeight="false" outlineLevel="0" collapsed="false">
      <c r="A69" s="47" t="n">
        <v>45658</v>
      </c>
      <c r="B69" s="48" t="s">
        <v>217</v>
      </c>
      <c r="C69" s="49" t="n">
        <v>90273457</v>
      </c>
      <c r="D69" s="49" t="n">
        <v>90552905</v>
      </c>
      <c r="E69" s="49" t="n">
        <v>89736010</v>
      </c>
      <c r="F69" s="49" t="n">
        <v>0</v>
      </c>
      <c r="G69" s="50" t="n">
        <f aca="false">IF($A69="","",IF(ISNUMBER($G68),$G68+1,1))</f>
        <v>65</v>
      </c>
      <c r="H69" s="51" t="n">
        <f aca="false">IF(OR(NOT(ISNUMBER($G69)),$G69&lt;2,NOT(ISNUMBER($C68)),$C68=0),"",$C69/$C68-1)</f>
        <v>0.0234476400566261</v>
      </c>
      <c r="I69" s="52" t="n">
        <f aca="false">IF(AND(ISNUMBER($G69),$G69&gt;=MA_SHORT),AVERAGE(INDEX($C$5:$C69,66-MA_SHORT):$C69),"")</f>
        <v>85356214.85</v>
      </c>
      <c r="J69" s="52" t="n">
        <f aca="false">IF(AND(ISNUMBER($G69),$G69&gt;=MA_MED),AVERAGE(INDEX($C$5:$C69,66-MA_MED):$C69),"")</f>
        <v>83300862.38</v>
      </c>
      <c r="K69" s="52" t="str">
        <f aca="false">IF(AND(ISNUMBER($G69),$G69&gt;=MA_LONG2),AVERAGE(INDEX($C$5:$C69,66-MA_LONG2):$C69),"")</f>
        <v/>
      </c>
      <c r="L69" s="53" t="n">
        <f aca="false">IF(AND(ISNUMBER($G69),$G69&gt;=21),STDEV(INDEX($H$9:$H69,62-20):$H69)*SQRT(245),"")</f>
        <v>0.188232555041422</v>
      </c>
      <c r="M69" s="52" t="n">
        <f aca="false">IF(AND(ISNUMBER($G69),$G69&gt;=60),MAX(INDEX($D$5:$D69,66-60):$D69),"")</f>
        <v>90552905</v>
      </c>
      <c r="N69" s="52" t="n">
        <f aca="false">IF(AND(ISNUMBER($G69),$G69&gt;=60),MIN(INDEX($E$5:$E69,66-60):$E69),"")</f>
        <v>75312654</v>
      </c>
      <c r="O69" s="53" t="n">
        <f aca="false">IF(OR(NOT(ISNUMBER($C69)),NOT(ISNUMBER($M69)),$M69=0),"",$C69/$M69-1)</f>
        <v>-0.0030860191619474</v>
      </c>
      <c r="P69" s="54"/>
      <c r="Q69" s="53" t="str">
        <f aca="false">IF(NOT(ISNUMBER($P69)),"",IFERROR(PERCENTRANK($P$5:$P$1204,$P69),""))</f>
        <v/>
      </c>
    </row>
    <row r="70" customFormat="false" ht="15" hidden="false" customHeight="false" outlineLevel="0" collapsed="false">
      <c r="A70" s="47" t="n">
        <v>45661</v>
      </c>
      <c r="B70" s="48" t="s">
        <v>218</v>
      </c>
      <c r="C70" s="49" t="n">
        <v>90352207</v>
      </c>
      <c r="D70" s="49" t="n">
        <v>90357585</v>
      </c>
      <c r="E70" s="49" t="n">
        <v>90003501</v>
      </c>
      <c r="F70" s="49" t="n">
        <v>0</v>
      </c>
      <c r="G70" s="50" t="n">
        <f aca="false">IF($A70="","",IF(ISNUMBER($G69),$G69+1,1))</f>
        <v>66</v>
      </c>
      <c r="H70" s="51" t="n">
        <f aca="false">IF(OR(NOT(ISNUMBER($G70)),$G70&lt;2,NOT(ISNUMBER($C69)),$C69=0),"",$C70/$C69-1)</f>
        <v>0.000872349443757248</v>
      </c>
      <c r="I70" s="52" t="n">
        <f aca="false">IF(AND(ISNUMBER($G70),$G70&gt;=MA_SHORT),AVERAGE(INDEX($C$5:$C70,67-MA_SHORT):$C70),"")</f>
        <v>85870723.95</v>
      </c>
      <c r="J70" s="52" t="n">
        <f aca="false">IF(AND(ISNUMBER($G70),$G70&gt;=MA_MED),AVERAGE(INDEX($C$5:$C70,67-MA_MED):$C70),"")</f>
        <v>83520057.3</v>
      </c>
      <c r="K70" s="52" t="str">
        <f aca="false">IF(AND(ISNUMBER($G70),$G70&gt;=MA_LONG2),AVERAGE(INDEX($C$5:$C70,67-MA_LONG2):$C70),"")</f>
        <v/>
      </c>
      <c r="L70" s="53" t="n">
        <f aca="false">IF(AND(ISNUMBER($G70),$G70&gt;=21),STDEV(INDEX($H$10:$H70,62-20):$H70)*SQRT(245),"")</f>
        <v>0.183476276423768</v>
      </c>
      <c r="M70" s="52" t="n">
        <f aca="false">IF(AND(ISNUMBER($G70),$G70&gt;=60),MAX(INDEX($D$5:$D70,67-60):$D70),"")</f>
        <v>90552905</v>
      </c>
      <c r="N70" s="52" t="n">
        <f aca="false">IF(AND(ISNUMBER($G70),$G70&gt;=60),MIN(INDEX($E$5:$E70,67-60):$E70),"")</f>
        <v>75312654</v>
      </c>
      <c r="O70" s="53" t="n">
        <f aca="false">IF(OR(NOT(ISNUMBER($C70)),NOT(ISNUMBER($M70)),$M70=0),"",$C70/$M70-1)</f>
        <v>-0.00221636180528939</v>
      </c>
      <c r="P70" s="54"/>
      <c r="Q70" s="53" t="str">
        <f aca="false">IF(NOT(ISNUMBER($P70)),"",IFERROR(PERCENTRANK($P$5:$P$1204,$P70),""))</f>
        <v/>
      </c>
    </row>
    <row r="71" customFormat="false" ht="15" hidden="false" customHeight="false" outlineLevel="0" collapsed="false">
      <c r="A71" s="47" t="n">
        <v>45662</v>
      </c>
      <c r="B71" s="48" t="s">
        <v>219</v>
      </c>
      <c r="C71" s="49" t="n">
        <v>90571399</v>
      </c>
      <c r="D71" s="49" t="n">
        <v>90718083</v>
      </c>
      <c r="E71" s="49" t="n">
        <v>90339910</v>
      </c>
      <c r="F71" s="49" t="n">
        <v>0</v>
      </c>
      <c r="G71" s="50" t="n">
        <f aca="false">IF($A71="","",IF(ISNUMBER($G70),$G70+1,1))</f>
        <v>67</v>
      </c>
      <c r="H71" s="51" t="n">
        <f aca="false">IF(OR(NOT(ISNUMBER($G71)),$G71&lt;2,NOT(ISNUMBER($C70)),$C70=0),"",$C71/$C70-1)</f>
        <v>0.00242597283760881</v>
      </c>
      <c r="I71" s="52" t="n">
        <f aca="false">IF(AND(ISNUMBER($G71),$G71&gt;=MA_SHORT),AVERAGE(INDEX($C$5:$C71,68-MA_SHORT):$C71),"")</f>
        <v>86369124</v>
      </c>
      <c r="J71" s="52" t="n">
        <f aca="false">IF(AND(ISNUMBER($G71),$G71&gt;=MA_MED),AVERAGE(INDEX($C$5:$C71,68-MA_MED):$C71),"")</f>
        <v>83731195</v>
      </c>
      <c r="K71" s="52" t="str">
        <f aca="false">IF(AND(ISNUMBER($G71),$G71&gt;=MA_LONG2),AVERAGE(INDEX($C$5:$C71,68-MA_LONG2):$C71),"")</f>
        <v/>
      </c>
      <c r="L71" s="53" t="n">
        <f aca="false">IF(AND(ISNUMBER($G71),$G71&gt;=21),STDEV(INDEX($H$11:$H71,62-20):$H71)*SQRT(245),"")</f>
        <v>0.183910542420738</v>
      </c>
      <c r="M71" s="52" t="n">
        <f aca="false">IF(AND(ISNUMBER($G71),$G71&gt;=60),MAX(INDEX($D$5:$D71,68-60):$D71),"")</f>
        <v>90718083</v>
      </c>
      <c r="N71" s="52" t="n">
        <f aca="false">IF(AND(ISNUMBER($G71),$G71&gt;=60),MIN(INDEX($E$5:$E71,68-60):$E71),"")</f>
        <v>75312654</v>
      </c>
      <c r="O71" s="53" t="n">
        <f aca="false">IF(OR(NOT(ISNUMBER($C71)),NOT(ISNUMBER($M71)),$M71=0),"",$C71/$M71-1)</f>
        <v>-0.00161692129230728</v>
      </c>
      <c r="P71" s="54"/>
      <c r="Q71" s="53" t="str">
        <f aca="false">IF(NOT(ISNUMBER($P71)),"",IFERROR(PERCENTRANK($P$5:$P$1204,$P71),""))</f>
        <v/>
      </c>
    </row>
    <row r="72" customFormat="false" ht="15" hidden="false" customHeight="false" outlineLevel="0" collapsed="false">
      <c r="A72" s="47" t="n">
        <v>45663</v>
      </c>
      <c r="B72" s="48" t="s">
        <v>220</v>
      </c>
      <c r="C72" s="49" t="n">
        <v>91447828</v>
      </c>
      <c r="D72" s="49" t="n">
        <v>91595783</v>
      </c>
      <c r="E72" s="49" t="n">
        <v>91277721</v>
      </c>
      <c r="F72" s="49" t="n">
        <v>0</v>
      </c>
      <c r="G72" s="50" t="n">
        <f aca="false">IF($A72="","",IF(ISNUMBER($G71),$G71+1,1))</f>
        <v>68</v>
      </c>
      <c r="H72" s="51" t="n">
        <f aca="false">IF(OR(NOT(ISNUMBER($G72)),$G72&lt;2,NOT(ISNUMBER($C71)),$C71=0),"",$C72/$C71-1)</f>
        <v>0.0096766640426964</v>
      </c>
      <c r="I72" s="52" t="n">
        <f aca="false">IF(AND(ISNUMBER($G72),$G72&gt;=MA_SHORT),AVERAGE(INDEX($C$5:$C72,69-MA_SHORT):$C72),"")</f>
        <v>86846165.5</v>
      </c>
      <c r="J72" s="52" t="n">
        <f aca="false">IF(AND(ISNUMBER($G72),$G72&gt;=MA_MED),AVERAGE(INDEX($C$5:$C72,69-MA_MED):$C72),"")</f>
        <v>83949746.88</v>
      </c>
      <c r="K72" s="52" t="str">
        <f aca="false">IF(AND(ISNUMBER($G72),$G72&gt;=MA_LONG2),AVERAGE(INDEX($C$5:$C72,69-MA_LONG2):$C72),"")</f>
        <v/>
      </c>
      <c r="L72" s="53" t="n">
        <f aca="false">IF(AND(ISNUMBER($G72),$G72&gt;=21),STDEV(INDEX($H$12:$H72,62-20):$H72)*SQRT(245),"")</f>
        <v>0.180612893216149</v>
      </c>
      <c r="M72" s="52" t="n">
        <f aca="false">IF(AND(ISNUMBER($G72),$G72&gt;=60),MAX(INDEX($D$5:$D72,69-60):$D72),"")</f>
        <v>91595783</v>
      </c>
      <c r="N72" s="52" t="n">
        <f aca="false">IF(AND(ISNUMBER($G72),$G72&gt;=60),MIN(INDEX($E$5:$E72,69-60):$E72),"")</f>
        <v>75312654</v>
      </c>
      <c r="O72" s="53" t="n">
        <f aca="false">IF(OR(NOT(ISNUMBER($C72)),NOT(ISNUMBER($M72)),$M72=0),"",$C72/$M72-1)</f>
        <v>-0.00161530362156515</v>
      </c>
      <c r="P72" s="54"/>
      <c r="Q72" s="53" t="str">
        <f aca="false">IF(NOT(ISNUMBER($P72)),"",IFERROR(PERCENTRANK($P$5:$P$1204,$P72),""))</f>
        <v/>
      </c>
    </row>
    <row r="73" customFormat="false" ht="15" hidden="false" customHeight="false" outlineLevel="0" collapsed="false">
      <c r="A73" s="47" t="n">
        <v>45664</v>
      </c>
      <c r="B73" s="48" t="s">
        <v>221</v>
      </c>
      <c r="C73" s="49" t="n">
        <v>91808155</v>
      </c>
      <c r="D73" s="49" t="n">
        <v>91941874</v>
      </c>
      <c r="E73" s="49" t="n">
        <v>91632035</v>
      </c>
      <c r="F73" s="49" t="n">
        <v>0</v>
      </c>
      <c r="G73" s="50" t="n">
        <f aca="false">IF($A73="","",IF(ISNUMBER($G72),$G72+1,1))</f>
        <v>69</v>
      </c>
      <c r="H73" s="51" t="n">
        <f aca="false">IF(OR(NOT(ISNUMBER($G73)),$G73&lt;2,NOT(ISNUMBER($C72)),$C72=0),"",$C73/$C72-1)</f>
        <v>0.00394024667267101</v>
      </c>
      <c r="I73" s="52" t="n">
        <f aca="false">IF(AND(ISNUMBER($G73),$G73&gt;=MA_SHORT),AVERAGE(INDEX($C$5:$C73,70-MA_SHORT):$C73),"")</f>
        <v>87312691.4</v>
      </c>
      <c r="J73" s="52" t="n">
        <f aca="false">IF(AND(ISNUMBER($G73),$G73&gt;=MA_MED),AVERAGE(INDEX($C$5:$C73,70-MA_MED):$C73),"")</f>
        <v>84215855.82</v>
      </c>
      <c r="K73" s="52" t="str">
        <f aca="false">IF(AND(ISNUMBER($G73),$G73&gt;=MA_LONG2),AVERAGE(INDEX($C$5:$C73,70-MA_LONG2):$C73),"")</f>
        <v/>
      </c>
      <c r="L73" s="53" t="n">
        <f aca="false">IF(AND(ISNUMBER($G73),$G73&gt;=21),STDEV(INDEX($H$13:$H73,62-20):$H73)*SQRT(245),"")</f>
        <v>0.180625479797783</v>
      </c>
      <c r="M73" s="52" t="n">
        <f aca="false">IF(AND(ISNUMBER($G73),$G73&gt;=60),MAX(INDEX($D$5:$D73,70-60):$D73),"")</f>
        <v>91941874</v>
      </c>
      <c r="N73" s="52" t="n">
        <f aca="false">IF(AND(ISNUMBER($G73),$G73&gt;=60),MIN(INDEX($E$5:$E73,70-60):$E73),"")</f>
        <v>75312654</v>
      </c>
      <c r="O73" s="53" t="n">
        <f aca="false">IF(OR(NOT(ISNUMBER($C73)),NOT(ISNUMBER($M73)),$M73=0),"",$C73/$M73-1)</f>
        <v>-0.00145438627887873</v>
      </c>
      <c r="P73" s="54"/>
      <c r="Q73" s="53" t="str">
        <f aca="false">IF(NOT(ISNUMBER($P73)),"",IFERROR(PERCENTRANK($P$5:$P$1204,$P73),""))</f>
        <v/>
      </c>
    </row>
    <row r="74" customFormat="false" ht="15" hidden="false" customHeight="false" outlineLevel="0" collapsed="false">
      <c r="A74" s="47" t="n">
        <v>45665</v>
      </c>
      <c r="B74" s="48" t="s">
        <v>222</v>
      </c>
      <c r="C74" s="49" t="n">
        <v>91023649</v>
      </c>
      <c r="D74" s="49" t="n">
        <v>91282435</v>
      </c>
      <c r="E74" s="49" t="n">
        <v>90843193</v>
      </c>
      <c r="F74" s="49" t="n">
        <v>0</v>
      </c>
      <c r="G74" s="50" t="n">
        <f aca="false">IF($A74="","",IF(ISNUMBER($G73),$G73+1,1))</f>
        <v>70</v>
      </c>
      <c r="H74" s="51" t="n">
        <f aca="false">IF(OR(NOT(ISNUMBER($G74)),$G74&lt;2,NOT(ISNUMBER($C73)),$C73=0),"",$C74/$C73-1)</f>
        <v>-0.00854505789817905</v>
      </c>
      <c r="I74" s="52" t="n">
        <f aca="false">IF(AND(ISNUMBER($G74),$G74&gt;=MA_SHORT),AVERAGE(INDEX($C$5:$C74,71-MA_SHORT):$C74),"")</f>
        <v>87708849.1</v>
      </c>
      <c r="J74" s="52" t="n">
        <f aca="false">IF(AND(ISNUMBER($G74),$G74&gt;=MA_MED),AVERAGE(INDEX($C$5:$C74,71-MA_MED):$C74),"")</f>
        <v>84479748</v>
      </c>
      <c r="K74" s="52" t="str">
        <f aca="false">IF(AND(ISNUMBER($G74),$G74&gt;=MA_LONG2),AVERAGE(INDEX($C$5:$C74,71-MA_LONG2):$C74),"")</f>
        <v/>
      </c>
      <c r="L74" s="53" t="n">
        <f aca="false">IF(AND(ISNUMBER($G74),$G74&gt;=21),STDEV(INDEX($H$14:$H74,62-20):$H74)*SQRT(245),"")</f>
        <v>0.186872632920031</v>
      </c>
      <c r="M74" s="52" t="n">
        <f aca="false">IF(AND(ISNUMBER($G74),$G74&gt;=60),MAX(INDEX($D$5:$D74,71-60):$D74),"")</f>
        <v>91941874</v>
      </c>
      <c r="N74" s="52" t="n">
        <f aca="false">IF(AND(ISNUMBER($G74),$G74&gt;=60),MIN(INDEX($E$5:$E74,71-60):$E74),"")</f>
        <v>75312654</v>
      </c>
      <c r="O74" s="53" t="n">
        <f aca="false">IF(OR(NOT(ISNUMBER($C74)),NOT(ISNUMBER($M74)),$M74=0),"",$C74/$M74-1)</f>
        <v>-0.00998701636209853</v>
      </c>
      <c r="P74" s="54"/>
      <c r="Q74" s="53" t="str">
        <f aca="false">IF(NOT(ISNUMBER($P74)),"",IFERROR(PERCENTRANK($P$5:$P$1204,$P74),""))</f>
        <v/>
      </c>
    </row>
    <row r="75" customFormat="false" ht="15" hidden="false" customHeight="false" outlineLevel="0" collapsed="false">
      <c r="A75" s="47" t="n">
        <v>45668</v>
      </c>
      <c r="B75" s="48" t="s">
        <v>223</v>
      </c>
      <c r="C75" s="49" t="n">
        <v>91509430</v>
      </c>
      <c r="D75" s="49" t="n">
        <v>91715584</v>
      </c>
      <c r="E75" s="49" t="n">
        <v>90701798</v>
      </c>
      <c r="F75" s="49" t="n">
        <v>0</v>
      </c>
      <c r="G75" s="50" t="n">
        <f aca="false">IF($A75="","",IF(ISNUMBER($G74),$G74+1,1))</f>
        <v>71</v>
      </c>
      <c r="H75" s="51" t="n">
        <f aca="false">IF(OR(NOT(ISNUMBER($G75)),$G75&lt;2,NOT(ISNUMBER($C74)),$C74=0),"",$C75/$C74-1)</f>
        <v>0.00533686580725856</v>
      </c>
      <c r="I75" s="52" t="n">
        <f aca="false">IF(AND(ISNUMBER($G75),$G75&gt;=MA_SHORT),AVERAGE(INDEX($C$5:$C75,72-MA_SHORT):$C75),"")</f>
        <v>88030405.35</v>
      </c>
      <c r="J75" s="52" t="n">
        <f aca="false">IF(AND(ISNUMBER($G75),$G75&gt;=MA_MED),AVERAGE(INDEX($C$5:$C75,72-MA_MED):$C75),"")</f>
        <v>84712886.92</v>
      </c>
      <c r="K75" s="52" t="str">
        <f aca="false">IF(AND(ISNUMBER($G75),$G75&gt;=MA_LONG2),AVERAGE(INDEX($C$5:$C75,72-MA_LONG2):$C75),"")</f>
        <v/>
      </c>
      <c r="L75" s="53" t="n">
        <f aca="false">IF(AND(ISNUMBER($G75),$G75&gt;=21),STDEV(INDEX($H$15:$H75,62-20):$H75)*SQRT(245),"")</f>
        <v>0.173118118120055</v>
      </c>
      <c r="M75" s="52" t="n">
        <f aca="false">IF(AND(ISNUMBER($G75),$G75&gt;=60),MAX(INDEX($D$5:$D75,72-60):$D75),"")</f>
        <v>91941874</v>
      </c>
      <c r="N75" s="52" t="n">
        <f aca="false">IF(AND(ISNUMBER($G75),$G75&gt;=60),MIN(INDEX($E$5:$E75,72-60):$E75),"")</f>
        <v>75312654</v>
      </c>
      <c r="O75" s="53" t="n">
        <f aca="false">IF(OR(NOT(ISNUMBER($C75)),NOT(ISNUMBER($M75)),$M75=0),"",$C75/$M75-1)</f>
        <v>-0.00470344992097937</v>
      </c>
      <c r="P75" s="54"/>
      <c r="Q75" s="53" t="str">
        <f aca="false">IF(NOT(ISNUMBER($P75)),"",IFERROR(PERCENTRANK($P$5:$P$1204,$P75),""))</f>
        <v/>
      </c>
    </row>
    <row r="76" customFormat="false" ht="15" hidden="false" customHeight="false" outlineLevel="0" collapsed="false">
      <c r="A76" s="47" t="n">
        <v>45669</v>
      </c>
      <c r="B76" s="48" t="s">
        <v>224</v>
      </c>
      <c r="C76" s="49" t="n">
        <v>89746883</v>
      </c>
      <c r="D76" s="49" t="n">
        <v>90144566</v>
      </c>
      <c r="E76" s="49" t="n">
        <v>89365735</v>
      </c>
      <c r="F76" s="49" t="n">
        <v>0</v>
      </c>
      <c r="G76" s="50" t="n">
        <f aca="false">IF($A76="","",IF(ISNUMBER($G75),$G75+1,1))</f>
        <v>72</v>
      </c>
      <c r="H76" s="51" t="n">
        <f aca="false">IF(OR(NOT(ISNUMBER($G76)),$G76&lt;2,NOT(ISNUMBER($C75)),$C75=0),"",$C76/$C75-1)</f>
        <v>-0.0192608237205717</v>
      </c>
      <c r="I76" s="52" t="n">
        <f aca="false">IF(AND(ISNUMBER($G76),$G76&gt;=MA_SHORT),AVERAGE(INDEX($C$5:$C76,73-MA_SHORT):$C76),"")</f>
        <v>88344877.55</v>
      </c>
      <c r="J76" s="52" t="n">
        <f aca="false">IF(AND(ISNUMBER($G76),$G76&gt;=MA_MED),AVERAGE(INDEX($C$5:$C76,73-MA_MED):$C76),"")</f>
        <v>84933893.7</v>
      </c>
      <c r="K76" s="52" t="str">
        <f aca="false">IF(AND(ISNUMBER($G76),$G76&gt;=MA_LONG2),AVERAGE(INDEX($C$5:$C76,73-MA_LONG2):$C76),"")</f>
        <v/>
      </c>
      <c r="L76" s="53" t="n">
        <f aca="false">IF(AND(ISNUMBER($G76),$G76&gt;=21),STDEV(INDEX($H$16:$H76,62-20):$H76)*SQRT(245),"")</f>
        <v>0.173474225891284</v>
      </c>
      <c r="M76" s="52" t="n">
        <f aca="false">IF(AND(ISNUMBER($G76),$G76&gt;=60),MAX(INDEX($D$5:$D76,73-60):$D76),"")</f>
        <v>91941874</v>
      </c>
      <c r="N76" s="52" t="n">
        <f aca="false">IF(AND(ISNUMBER($G76),$G76&gt;=60),MIN(INDEX($E$5:$E76,73-60):$E76),"")</f>
        <v>75312654</v>
      </c>
      <c r="O76" s="53" t="n">
        <f aca="false">IF(OR(NOT(ISNUMBER($C76)),NOT(ISNUMBER($M76)),$M76=0),"",$C76/$M76-1)</f>
        <v>-0.0238736813217446</v>
      </c>
      <c r="P76" s="54"/>
      <c r="Q76" s="53" t="str">
        <f aca="false">IF(NOT(ISNUMBER($P76)),"",IFERROR(PERCENTRANK($P$5:$P$1204,$P76),""))</f>
        <v/>
      </c>
    </row>
    <row r="77" customFormat="false" ht="15" hidden="false" customHeight="false" outlineLevel="0" collapsed="false">
      <c r="A77" s="47" t="n">
        <v>45670</v>
      </c>
      <c r="B77" s="48" t="s">
        <v>225</v>
      </c>
      <c r="C77" s="49" t="n">
        <v>91884757</v>
      </c>
      <c r="D77" s="49" t="n">
        <v>92378638</v>
      </c>
      <c r="E77" s="49" t="n">
        <v>91597332</v>
      </c>
      <c r="F77" s="49" t="n">
        <v>0</v>
      </c>
      <c r="G77" s="50" t="n">
        <f aca="false">IF($A77="","",IF(ISNUMBER($G76),$G76+1,1))</f>
        <v>73</v>
      </c>
      <c r="H77" s="51" t="n">
        <f aca="false">IF(OR(NOT(ISNUMBER($G77)),$G77&lt;2,NOT(ISNUMBER($C76)),$C76=0),"",$C77/$C76-1)</f>
        <v>0.0238211504236865</v>
      </c>
      <c r="I77" s="52" t="n">
        <f aca="false">IF(AND(ISNUMBER($G77),$G77&gt;=MA_SHORT),AVERAGE(INDEX($C$5:$C77,74-MA_SHORT):$C77),"")</f>
        <v>88729613.75</v>
      </c>
      <c r="J77" s="52" t="n">
        <f aca="false">IF(AND(ISNUMBER($G77),$G77&gt;=MA_MED),AVERAGE(INDEX($C$5:$C77,74-MA_MED):$C77),"")</f>
        <v>85166411.16</v>
      </c>
      <c r="K77" s="52" t="str">
        <f aca="false">IF(AND(ISNUMBER($G77),$G77&gt;=MA_LONG2),AVERAGE(INDEX($C$5:$C77,74-MA_LONG2):$C77),"")</f>
        <v/>
      </c>
      <c r="L77" s="53" t="n">
        <f aca="false">IF(AND(ISNUMBER($G77),$G77&gt;=21),STDEV(INDEX($H$17:$H77,62-20):$H77)*SQRT(245),"")</f>
        <v>0.186645025811112</v>
      </c>
      <c r="M77" s="52" t="n">
        <f aca="false">IF(AND(ISNUMBER($G77),$G77&gt;=60),MAX(INDEX($D$5:$D77,74-60):$D77),"")</f>
        <v>92378638</v>
      </c>
      <c r="N77" s="52" t="n">
        <f aca="false">IF(AND(ISNUMBER($G77),$G77&gt;=60),MIN(INDEX($E$5:$E77,74-60):$E77),"")</f>
        <v>77297208</v>
      </c>
      <c r="O77" s="53" t="n">
        <f aca="false">IF(OR(NOT(ISNUMBER($C77)),NOT(ISNUMBER($M77)),$M77=0),"",$C77/$M77-1)</f>
        <v>-0.00534626847388675</v>
      </c>
      <c r="P77" s="54"/>
      <c r="Q77" s="53" t="str">
        <f aca="false">IF(NOT(ISNUMBER($P77)),"",IFERROR(PERCENTRANK($P$5:$P$1204,$P77),""))</f>
        <v/>
      </c>
    </row>
    <row r="78" customFormat="false" ht="15" hidden="false" customHeight="false" outlineLevel="0" collapsed="false">
      <c r="A78" s="47" t="n">
        <v>45671</v>
      </c>
      <c r="B78" s="48" t="s">
        <v>226</v>
      </c>
      <c r="C78" s="49" t="n">
        <v>91751251</v>
      </c>
      <c r="D78" s="49" t="n">
        <v>92126092</v>
      </c>
      <c r="E78" s="49" t="n">
        <v>91234559</v>
      </c>
      <c r="F78" s="49" t="n">
        <v>0</v>
      </c>
      <c r="G78" s="50" t="n">
        <f aca="false">IF($A78="","",IF(ISNUMBER($G77),$G77+1,1))</f>
        <v>74</v>
      </c>
      <c r="H78" s="51" t="n">
        <f aca="false">IF(OR(NOT(ISNUMBER($G78)),$G78&lt;2,NOT(ISNUMBER($C77)),$C77=0),"",$C78/$C77-1)</f>
        <v>-0.00145297222693863</v>
      </c>
      <c r="I78" s="52" t="n">
        <f aca="false">IF(AND(ISNUMBER($G78),$G78&gt;=MA_SHORT),AVERAGE(INDEX($C$5:$C78,75-MA_SHORT):$C78),"")</f>
        <v>89056910.25</v>
      </c>
      <c r="J78" s="52" t="n">
        <f aca="false">IF(AND(ISNUMBER($G78),$G78&gt;=MA_MED),AVERAGE(INDEX($C$5:$C78,75-MA_MED):$C78),"")</f>
        <v>85423589.72</v>
      </c>
      <c r="K78" s="52" t="str">
        <f aca="false">IF(AND(ISNUMBER($G78),$G78&gt;=MA_LONG2),AVERAGE(INDEX($C$5:$C78,75-MA_LONG2):$C78),"")</f>
        <v/>
      </c>
      <c r="L78" s="53" t="n">
        <f aca="false">IF(AND(ISNUMBER($G78),$G78&gt;=21),STDEV(INDEX($H$18:$H78,62-20):$H78)*SQRT(245),"")</f>
        <v>0.185529641309819</v>
      </c>
      <c r="M78" s="52" t="n">
        <f aca="false">IF(AND(ISNUMBER($G78),$G78&gt;=60),MAX(INDEX($D$5:$D78,75-60):$D78),"")</f>
        <v>92378638</v>
      </c>
      <c r="N78" s="52" t="n">
        <f aca="false">IF(AND(ISNUMBER($G78),$G78&gt;=60),MIN(INDEX($E$5:$E78,75-60):$E78),"")</f>
        <v>77741135</v>
      </c>
      <c r="O78" s="53" t="n">
        <f aca="false">IF(OR(NOT(ISNUMBER($C78)),NOT(ISNUMBER($M78)),$M78=0),"",$C78/$M78-1)</f>
        <v>-0.00679147272121505</v>
      </c>
      <c r="P78" s="54"/>
      <c r="Q78" s="53" t="str">
        <f aca="false">IF(NOT(ISNUMBER($P78)),"",IFERROR(PERCENTRANK($P$5:$P$1204,$P78),""))</f>
        <v/>
      </c>
    </row>
    <row r="79" customFormat="false" ht="15" hidden="false" customHeight="false" outlineLevel="0" collapsed="false">
      <c r="A79" s="47" t="n">
        <v>45672</v>
      </c>
      <c r="B79" s="48" t="s">
        <v>227</v>
      </c>
      <c r="C79" s="49" t="n">
        <v>91423694</v>
      </c>
      <c r="D79" s="49" t="n">
        <v>91606564</v>
      </c>
      <c r="E79" s="49" t="n">
        <v>91089684</v>
      </c>
      <c r="F79" s="49" t="n">
        <v>0</v>
      </c>
      <c r="G79" s="50" t="n">
        <f aca="false">IF($A79="","",IF(ISNUMBER($G78),$G78+1,1))</f>
        <v>75</v>
      </c>
      <c r="H79" s="51" t="n">
        <f aca="false">IF(OR(NOT(ISNUMBER($G79)),$G79&lt;2,NOT(ISNUMBER($C78)),$C78=0),"",$C79/$C78-1)</f>
        <v>-0.00357005486497397</v>
      </c>
      <c r="I79" s="52" t="n">
        <f aca="false">IF(AND(ISNUMBER($G79),$G79&gt;=MA_SHORT),AVERAGE(INDEX($C$5:$C79,76-MA_SHORT):$C79),"")</f>
        <v>89344181.25</v>
      </c>
      <c r="J79" s="52" t="n">
        <f aca="false">IF(AND(ISNUMBER($G79),$G79&gt;=MA_MED),AVERAGE(INDEX($C$5:$C79,76-MA_MED):$C79),"")</f>
        <v>85642429.98</v>
      </c>
      <c r="K79" s="52" t="str">
        <f aca="false">IF(AND(ISNUMBER($G79),$G79&gt;=MA_LONG2),AVERAGE(INDEX($C$5:$C79,76-MA_LONG2):$C79),"")</f>
        <v/>
      </c>
      <c r="L79" s="53" t="n">
        <f aca="false">IF(AND(ISNUMBER($G79),$G79&gt;=21),STDEV(INDEX($H$19:$H79,62-20):$H79)*SQRT(245),"")</f>
        <v>0.187142823514646</v>
      </c>
      <c r="M79" s="52" t="n">
        <f aca="false">IF(AND(ISNUMBER($G79),$G79&gt;=60),MAX(INDEX($D$5:$D79,76-60):$D79),"")</f>
        <v>92378638</v>
      </c>
      <c r="N79" s="52" t="n">
        <f aca="false">IF(AND(ISNUMBER($G79),$G79&gt;=60),MIN(INDEX($E$5:$E79,76-60):$E79),"")</f>
        <v>77741135</v>
      </c>
      <c r="O79" s="53" t="n">
        <f aca="false">IF(OR(NOT(ISNUMBER($C79)),NOT(ISNUMBER($M79)),$M79=0),"",$C79/$M79-1)</f>
        <v>-0.0103372816559604</v>
      </c>
      <c r="P79" s="54"/>
      <c r="Q79" s="53" t="str">
        <f aca="false">IF(NOT(ISNUMBER($P79)),"",IFERROR(PERCENTRANK($P$5:$P$1204,$P79),""))</f>
        <v/>
      </c>
    </row>
    <row r="80" customFormat="false" ht="15" hidden="false" customHeight="false" outlineLevel="0" collapsed="false">
      <c r="A80" s="47" t="n">
        <v>45675</v>
      </c>
      <c r="B80" s="48" t="s">
        <v>228</v>
      </c>
      <c r="C80" s="49" t="n">
        <v>90713553</v>
      </c>
      <c r="D80" s="49" t="n">
        <v>91457089</v>
      </c>
      <c r="E80" s="49" t="n">
        <v>90571204</v>
      </c>
      <c r="F80" s="49" t="n">
        <v>0</v>
      </c>
      <c r="G80" s="50" t="n">
        <f aca="false">IF($A80="","",IF(ISNUMBER($G79),$G79+1,1))</f>
        <v>76</v>
      </c>
      <c r="H80" s="51" t="n">
        <f aca="false">IF(OR(NOT(ISNUMBER($G80)),$G80&lt;2,NOT(ISNUMBER($C79)),$C79=0),"",$C80/$C79-1)</f>
        <v>-0.00776758156370272</v>
      </c>
      <c r="I80" s="52" t="n">
        <f aca="false">IF(AND(ISNUMBER($G80),$G80&gt;=MA_SHORT),AVERAGE(INDEX($C$5:$C80,77-MA_SHORT):$C80),"")</f>
        <v>89594826.1</v>
      </c>
      <c r="J80" s="52" t="n">
        <f aca="false">IF(AND(ISNUMBER($G80),$G80&gt;=MA_MED),AVERAGE(INDEX($C$5:$C80,77-MA_MED):$C80),"")</f>
        <v>85823205.84</v>
      </c>
      <c r="K80" s="52" t="str">
        <f aca="false">IF(AND(ISNUMBER($G80),$G80&gt;=MA_LONG2),AVERAGE(INDEX($C$5:$C80,77-MA_LONG2):$C80),"")</f>
        <v/>
      </c>
      <c r="L80" s="53" t="n">
        <f aca="false">IF(AND(ISNUMBER($G80),$G80&gt;=21),STDEV(INDEX($H$20:$H80,62-20):$H80)*SQRT(245),"")</f>
        <v>0.190905896296802</v>
      </c>
      <c r="M80" s="52" t="n">
        <f aca="false">IF(AND(ISNUMBER($G80),$G80&gt;=60),MAX(INDEX($D$5:$D80,77-60):$D80),"")</f>
        <v>92378638</v>
      </c>
      <c r="N80" s="52" t="n">
        <f aca="false">IF(AND(ISNUMBER($G80),$G80&gt;=60),MIN(INDEX($E$5:$E80,77-60):$E80),"")</f>
        <v>77741135</v>
      </c>
      <c r="O80" s="53" t="n">
        <f aca="false">IF(OR(NOT(ISNUMBER($C80)),NOT(ISNUMBER($M80)),$M80=0),"",$C80/$M80-1)</f>
        <v>-0.0180245675412535</v>
      </c>
      <c r="P80" s="54"/>
      <c r="Q80" s="53" t="str">
        <f aca="false">IF(NOT(ISNUMBER($P80)),"",IFERROR(PERCENTRANK($P$5:$P$1204,$P80),""))</f>
        <v/>
      </c>
    </row>
    <row r="81" customFormat="false" ht="15" hidden="false" customHeight="false" outlineLevel="0" collapsed="false">
      <c r="A81" s="47" t="n">
        <v>45676</v>
      </c>
      <c r="B81" s="48" t="s">
        <v>229</v>
      </c>
      <c r="C81" s="49" t="n">
        <v>89900140</v>
      </c>
      <c r="D81" s="49" t="n">
        <v>89927941</v>
      </c>
      <c r="E81" s="49" t="n">
        <v>89726541</v>
      </c>
      <c r="F81" s="49" t="n">
        <v>0</v>
      </c>
      <c r="G81" s="50" t="n">
        <f aca="false">IF($A81="","",IF(ISNUMBER($G80),$G80+1,1))</f>
        <v>77</v>
      </c>
      <c r="H81" s="51" t="n">
        <f aca="false">IF(OR(NOT(ISNUMBER($G81)),$G81&lt;2,NOT(ISNUMBER($C80)),$C80=0),"",$C81/$C80-1)</f>
        <v>-0.0089668299068828</v>
      </c>
      <c r="I81" s="52" t="n">
        <f aca="false">IF(AND(ISNUMBER($G81),$G81&gt;=MA_SHORT),AVERAGE(INDEX($C$5:$C81,78-MA_SHORT):$C81),"")</f>
        <v>89698671.4</v>
      </c>
      <c r="J81" s="52" t="n">
        <f aca="false">IF(AND(ISNUMBER($G81),$G81&gt;=MA_MED),AVERAGE(INDEX($C$5:$C81,78-MA_MED):$C81),"")</f>
        <v>86005897.04</v>
      </c>
      <c r="K81" s="52" t="str">
        <f aca="false">IF(AND(ISNUMBER($G81),$G81&gt;=MA_LONG2),AVERAGE(INDEX($C$5:$C81,78-MA_LONG2):$C81),"")</f>
        <v/>
      </c>
      <c r="L81" s="53" t="n">
        <f aca="false">IF(AND(ISNUMBER($G81),$G81&gt;=21),STDEV(INDEX($H$21:$H81,62-20):$H81)*SQRT(245),"")</f>
        <v>0.177132022761853</v>
      </c>
      <c r="M81" s="52" t="n">
        <f aca="false">IF(AND(ISNUMBER($G81),$G81&gt;=60),MAX(INDEX($D$5:$D81,78-60):$D81),"")</f>
        <v>92378638</v>
      </c>
      <c r="N81" s="52" t="n">
        <f aca="false">IF(AND(ISNUMBER($G81),$G81&gt;=60),MIN(INDEX($E$5:$E81,78-60):$E81),"")</f>
        <v>77741135</v>
      </c>
      <c r="O81" s="53" t="n">
        <f aca="false">IF(OR(NOT(ISNUMBER($C81)),NOT(ISNUMBER($M81)),$M81=0),"",$C81/$M81-1)</f>
        <v>-0.0268297742168487</v>
      </c>
      <c r="P81" s="54"/>
      <c r="Q81" s="53" t="str">
        <f aca="false">IF(NOT(ISNUMBER($P81)),"",IFERROR(PERCENTRANK($P$5:$P$1204,$P81),""))</f>
        <v/>
      </c>
    </row>
    <row r="82" customFormat="false" ht="15" hidden="false" customHeight="false" outlineLevel="0" collapsed="false">
      <c r="A82" s="47" t="n">
        <v>45677</v>
      </c>
      <c r="B82" s="48" t="s">
        <v>230</v>
      </c>
      <c r="C82" s="49" t="n">
        <v>88655241</v>
      </c>
      <c r="D82" s="49" t="n">
        <v>88731582</v>
      </c>
      <c r="E82" s="49" t="n">
        <v>88116350</v>
      </c>
      <c r="F82" s="49" t="n">
        <v>0</v>
      </c>
      <c r="G82" s="50" t="n">
        <f aca="false">IF($A82="","",IF(ISNUMBER($G81),$G81+1,1))</f>
        <v>78</v>
      </c>
      <c r="H82" s="51" t="n">
        <f aca="false">IF(OR(NOT(ISNUMBER($G82)),$G82&lt;2,NOT(ISNUMBER($C81)),$C81=0),"",$C82/$C81-1)</f>
        <v>-0.0138475757657329</v>
      </c>
      <c r="I82" s="52" t="n">
        <f aca="false">IF(AND(ISNUMBER($G82),$G82&gt;=MA_SHORT),AVERAGE(INDEX($C$5:$C82,79-MA_SHORT):$C82),"")</f>
        <v>89723878.9</v>
      </c>
      <c r="J82" s="52" t="n">
        <f aca="false">IF(AND(ISNUMBER($G82),$G82&gt;=MA_MED),AVERAGE(INDEX($C$5:$C82,79-MA_MED):$C82),"")</f>
        <v>86165644.92</v>
      </c>
      <c r="K82" s="52" t="str">
        <f aca="false">IF(AND(ISNUMBER($G82),$G82&gt;=MA_LONG2),AVERAGE(INDEX($C$5:$C82,79-MA_LONG2):$C82),"")</f>
        <v/>
      </c>
      <c r="L82" s="53" t="n">
        <f aca="false">IF(AND(ISNUMBER($G82),$G82&gt;=21),STDEV(INDEX($H$22:$H82,62-20):$H82)*SQRT(245),"")</f>
        <v>0.184464349789528</v>
      </c>
      <c r="M82" s="52" t="n">
        <f aca="false">IF(AND(ISNUMBER($G82),$G82&gt;=60),MAX(INDEX($D$5:$D82,79-60):$D82),"")</f>
        <v>92378638</v>
      </c>
      <c r="N82" s="52" t="n">
        <f aca="false">IF(AND(ISNUMBER($G82),$G82&gt;=60),MIN(INDEX($E$5:$E82,79-60):$E82),"")</f>
        <v>77741135</v>
      </c>
      <c r="O82" s="53" t="n">
        <f aca="false">IF(OR(NOT(ISNUMBER($C82)),NOT(ISNUMBER($M82)),$M82=0),"",$C82/$M82-1)</f>
        <v>-0.0403058226513363</v>
      </c>
      <c r="P82" s="54"/>
      <c r="Q82" s="53" t="str">
        <f aca="false">IF(NOT(ISNUMBER($P82)),"",IFERROR(PERCENTRANK($P$5:$P$1204,$P82),""))</f>
        <v/>
      </c>
    </row>
    <row r="83" customFormat="false" ht="15" hidden="false" customHeight="false" outlineLevel="0" collapsed="false">
      <c r="A83" s="47" t="n">
        <v>45678</v>
      </c>
      <c r="B83" s="48" t="s">
        <v>231</v>
      </c>
      <c r="C83" s="49" t="n">
        <v>89448309</v>
      </c>
      <c r="D83" s="49" t="n">
        <v>89600773</v>
      </c>
      <c r="E83" s="49" t="n">
        <v>89218255</v>
      </c>
      <c r="F83" s="49" t="n">
        <v>0</v>
      </c>
      <c r="G83" s="50" t="n">
        <f aca="false">IF($A83="","",IF(ISNUMBER($G82),$G82+1,1))</f>
        <v>79</v>
      </c>
      <c r="H83" s="51" t="n">
        <f aca="false">IF(OR(NOT(ISNUMBER($G83)),$G83&lt;2,NOT(ISNUMBER($C82)),$C82=0),"",$C83/$C82-1)</f>
        <v>0.00894552866874498</v>
      </c>
      <c r="I83" s="52" t="n">
        <f aca="false">IF(AND(ISNUMBER($G83),$G83&gt;=MA_SHORT),AVERAGE(INDEX($C$5:$C83,80-MA_SHORT):$C83),"")</f>
        <v>89812482.9</v>
      </c>
      <c r="J83" s="52" t="n">
        <f aca="false">IF(AND(ISNUMBER($G83),$G83&gt;=MA_MED),AVERAGE(INDEX($C$5:$C83,80-MA_MED):$C83),"")</f>
        <v>86347348.78</v>
      </c>
      <c r="K83" s="52" t="str">
        <f aca="false">IF(AND(ISNUMBER($G83),$G83&gt;=MA_LONG2),AVERAGE(INDEX($C$5:$C83,80-MA_LONG2):$C83),"")</f>
        <v/>
      </c>
      <c r="L83" s="53" t="n">
        <f aca="false">IF(AND(ISNUMBER($G83),$G83&gt;=21),STDEV(INDEX($H$23:$H83,62-20):$H83)*SQRT(245),"")</f>
        <v>0.185533284465168</v>
      </c>
      <c r="M83" s="52" t="n">
        <f aca="false">IF(AND(ISNUMBER($G83),$G83&gt;=60),MAX(INDEX($D$5:$D83,80-60):$D83),"")</f>
        <v>92378638</v>
      </c>
      <c r="N83" s="52" t="n">
        <f aca="false">IF(AND(ISNUMBER($G83),$G83&gt;=60),MIN(INDEX($E$5:$E83,80-60):$E83),"")</f>
        <v>77741135</v>
      </c>
      <c r="O83" s="53" t="n">
        <f aca="false">IF(OR(NOT(ISNUMBER($C83)),NOT(ISNUMBER($M83)),$M83=0),"",$C83/$M83-1)</f>
        <v>-0.0317208508746362</v>
      </c>
      <c r="P83" s="54"/>
      <c r="Q83" s="53" t="str">
        <f aca="false">IF(NOT(ISNUMBER($P83)),"",IFERROR(PERCENTRANK($P$5:$P$1204,$P83),""))</f>
        <v/>
      </c>
    </row>
    <row r="84" customFormat="false" ht="15" hidden="false" customHeight="false" outlineLevel="0" collapsed="false">
      <c r="A84" s="47" t="n">
        <v>45679</v>
      </c>
      <c r="B84" s="48" t="s">
        <v>232</v>
      </c>
      <c r="C84" s="49" t="n">
        <v>87731609</v>
      </c>
      <c r="D84" s="49" t="n">
        <v>87959320</v>
      </c>
      <c r="E84" s="49" t="n">
        <v>87699257</v>
      </c>
      <c r="F84" s="49" t="n">
        <v>0</v>
      </c>
      <c r="G84" s="50" t="n">
        <f aca="false">IF($A84="","",IF(ISNUMBER($G83),$G83+1,1))</f>
        <v>80</v>
      </c>
      <c r="H84" s="51" t="n">
        <f aca="false">IF(OR(NOT(ISNUMBER($G84)),$G84&lt;2,NOT(ISNUMBER($C83)),$C83=0),"",$C84/$C83-1)</f>
        <v>-0.0191920900371633</v>
      </c>
      <c r="I84" s="52" t="n">
        <f aca="false">IF(AND(ISNUMBER($G84),$G84&gt;=MA_SHORT),AVERAGE(INDEX($C$5:$C84,81-MA_SHORT):$C84),"")</f>
        <v>89824064.5</v>
      </c>
      <c r="J84" s="52" t="n">
        <f aca="false">IF(AND(ISNUMBER($G84),$G84&gt;=MA_MED),AVERAGE(INDEX($C$5:$C84,81-MA_MED):$C84),"")</f>
        <v>86451039.78</v>
      </c>
      <c r="K84" s="52" t="str">
        <f aca="false">IF(AND(ISNUMBER($G84),$G84&gt;=MA_LONG2),AVERAGE(INDEX($C$5:$C84,81-MA_LONG2):$C84),"")</f>
        <v/>
      </c>
      <c r="L84" s="53" t="n">
        <f aca="false">IF(AND(ISNUMBER($G84),$G84&gt;=21),STDEV(INDEX($H$24:$H84,62-20):$H84)*SQRT(245),"")</f>
        <v>0.19850144428527</v>
      </c>
      <c r="M84" s="52" t="n">
        <f aca="false">IF(AND(ISNUMBER($G84),$G84&gt;=60),MAX(INDEX($D$5:$D84,81-60):$D84),"")</f>
        <v>92378638</v>
      </c>
      <c r="N84" s="52" t="n">
        <f aca="false">IF(AND(ISNUMBER($G84),$G84&gt;=60),MIN(INDEX($E$5:$E84,81-60):$E84),"")</f>
        <v>78403111</v>
      </c>
      <c r="O84" s="53" t="n">
        <f aca="false">IF(OR(NOT(ISNUMBER($C84)),NOT(ISNUMBER($M84)),$M84=0),"",$C84/$M84-1)</f>
        <v>-0.050304151485758</v>
      </c>
      <c r="P84" s="54"/>
      <c r="Q84" s="53" t="str">
        <f aca="false">IF(NOT(ISNUMBER($P84)),"",IFERROR(PERCENTRANK($P$5:$P$1204,$P84),""))</f>
        <v/>
      </c>
    </row>
    <row r="85" customFormat="false" ht="15" hidden="false" customHeight="false" outlineLevel="0" collapsed="false">
      <c r="A85" s="47" t="n">
        <v>45682</v>
      </c>
      <c r="B85" s="48" t="s">
        <v>233</v>
      </c>
      <c r="C85" s="49" t="n">
        <v>87338209</v>
      </c>
      <c r="D85" s="49" t="n">
        <v>87582605</v>
      </c>
      <c r="E85" s="49" t="n">
        <v>87334862</v>
      </c>
      <c r="F85" s="49" t="n">
        <v>0</v>
      </c>
      <c r="G85" s="50" t="n">
        <f aca="false">IF($A85="","",IF(ISNUMBER($G84),$G84+1,1))</f>
        <v>81</v>
      </c>
      <c r="H85" s="51" t="n">
        <f aca="false">IF(OR(NOT(ISNUMBER($G85)),$G85&lt;2,NOT(ISNUMBER($C84)),$C84=0),"",$C85/$C84-1)</f>
        <v>-0.00448413068544085</v>
      </c>
      <c r="I85" s="52" t="n">
        <f aca="false">IF(AND(ISNUMBER($G85),$G85&gt;=MA_SHORT),AVERAGE(INDEX($C$5:$C85,82-MA_SHORT):$C85),"")</f>
        <v>89894758.9</v>
      </c>
      <c r="J85" s="52" t="n">
        <f aca="false">IF(AND(ISNUMBER($G85),$G85&gt;=MA_MED),AVERAGE(INDEX($C$5:$C85,82-MA_MED):$C85),"")</f>
        <v>86545131.12</v>
      </c>
      <c r="K85" s="52" t="str">
        <f aca="false">IF(AND(ISNUMBER($G85),$G85&gt;=MA_LONG2),AVERAGE(INDEX($C$5:$C85,82-MA_LONG2):$C85),"")</f>
        <v/>
      </c>
      <c r="L85" s="53" t="n">
        <f aca="false">IF(AND(ISNUMBER($G85),$G85&gt;=21),STDEV(INDEX($H$25:$H85,62-20):$H85)*SQRT(245),"")</f>
        <v>0.187856571862296</v>
      </c>
      <c r="M85" s="52" t="n">
        <f aca="false">IF(AND(ISNUMBER($G85),$G85&gt;=60),MAX(INDEX($D$5:$D85,82-60):$D85),"")</f>
        <v>92378638</v>
      </c>
      <c r="N85" s="52" t="n">
        <f aca="false">IF(AND(ISNUMBER($G85),$G85&gt;=60),MIN(INDEX($E$5:$E85,82-60):$E85),"")</f>
        <v>78403111</v>
      </c>
      <c r="O85" s="53" t="n">
        <f aca="false">IF(OR(NOT(ISNUMBER($C85)),NOT(ISNUMBER($M85)),$M85=0),"",$C85/$M85-1)</f>
        <v>-0.0545627117819165</v>
      </c>
      <c r="P85" s="54"/>
      <c r="Q85" s="53" t="str">
        <f aca="false">IF(NOT(ISNUMBER($P85)),"",IFERROR(PERCENTRANK($P$5:$P$1204,$P85),""))</f>
        <v/>
      </c>
    </row>
    <row r="86" customFormat="false" ht="15" hidden="false" customHeight="false" outlineLevel="0" collapsed="false">
      <c r="A86" s="47" t="n">
        <v>45683</v>
      </c>
      <c r="B86" s="48" t="s">
        <v>234</v>
      </c>
      <c r="C86" s="49" t="n">
        <v>89641821</v>
      </c>
      <c r="D86" s="49" t="n">
        <v>89662205</v>
      </c>
      <c r="E86" s="49" t="n">
        <v>89485186</v>
      </c>
      <c r="F86" s="49" t="n">
        <v>0</v>
      </c>
      <c r="G86" s="50" t="n">
        <f aca="false">IF($A86="","",IF(ISNUMBER($G85),$G85+1,1))</f>
        <v>82</v>
      </c>
      <c r="H86" s="51" t="n">
        <f aca="false">IF(OR(NOT(ISNUMBER($G86)),$G86&lt;2,NOT(ISNUMBER($C85)),$C85=0),"",$C86/$C85-1)</f>
        <v>0.0263757641286186</v>
      </c>
      <c r="I86" s="52" t="n">
        <f aca="false">IF(AND(ISNUMBER($G86),$G86&gt;=MA_SHORT),AVERAGE(INDEX($C$5:$C86,83-MA_SHORT):$C86),"")</f>
        <v>90044019.4</v>
      </c>
      <c r="J86" s="52" t="n">
        <f aca="false">IF(AND(ISNUMBER($G86),$G86&gt;=MA_MED),AVERAGE(INDEX($C$5:$C86,83-MA_MED):$C86),"")</f>
        <v>86671259.06</v>
      </c>
      <c r="K86" s="52" t="str">
        <f aca="false">IF(AND(ISNUMBER($G86),$G86&gt;=MA_LONG2),AVERAGE(INDEX($C$5:$C86,83-MA_LONG2):$C86),"")</f>
        <v/>
      </c>
      <c r="L86" s="53" t="n">
        <f aca="false">IF(AND(ISNUMBER($G86),$G86&gt;=21),STDEV(INDEX($H$26:$H86,62-20):$H86)*SQRT(245),"")</f>
        <v>0.206667109794467</v>
      </c>
      <c r="M86" s="52" t="n">
        <f aca="false">IF(AND(ISNUMBER($G86),$G86&gt;=60),MAX(INDEX($D$5:$D86,83-60):$D86),"")</f>
        <v>92378638</v>
      </c>
      <c r="N86" s="52" t="n">
        <f aca="false">IF(AND(ISNUMBER($G86),$G86&gt;=60),MIN(INDEX($E$5:$E86,83-60):$E86),"")</f>
        <v>78684409</v>
      </c>
      <c r="O86" s="53" t="n">
        <f aca="false">IF(OR(NOT(ISNUMBER($C86)),NOT(ISNUMBER($M86)),$M86=0),"",$C86/$M86-1)</f>
        <v>-0.0296260808694755</v>
      </c>
      <c r="P86" s="54"/>
      <c r="Q86" s="53" t="str">
        <f aca="false">IF(NOT(ISNUMBER($P86)),"",IFERROR(PERCENTRANK($P$5:$P$1204,$P86),""))</f>
        <v/>
      </c>
    </row>
    <row r="87" customFormat="false" ht="15" hidden="false" customHeight="false" outlineLevel="0" collapsed="false">
      <c r="A87" s="47" t="n">
        <v>45684</v>
      </c>
      <c r="B87" s="48" t="s">
        <v>235</v>
      </c>
      <c r="C87" s="49" t="n">
        <v>91858948</v>
      </c>
      <c r="D87" s="49" t="n">
        <v>92843681</v>
      </c>
      <c r="E87" s="49" t="n">
        <v>91731313</v>
      </c>
      <c r="F87" s="49" t="n">
        <v>0</v>
      </c>
      <c r="G87" s="50" t="n">
        <f aca="false">IF($A87="","",IF(ISNUMBER($G86),$G86+1,1))</f>
        <v>83</v>
      </c>
      <c r="H87" s="51" t="n">
        <f aca="false">IF(OR(NOT(ISNUMBER($G87)),$G87&lt;2,NOT(ISNUMBER($C86)),$C86=0),"",$C87/$C86-1)</f>
        <v>0.0247331767167023</v>
      </c>
      <c r="I87" s="52" t="n">
        <f aca="false">IF(AND(ISNUMBER($G87),$G87&gt;=MA_SHORT),AVERAGE(INDEX($C$5:$C87,84-MA_SHORT):$C87),"")</f>
        <v>90264289.6</v>
      </c>
      <c r="J87" s="52" t="n">
        <f aca="false">IF(AND(ISNUMBER($G87),$G87&gt;=MA_MED),AVERAGE(INDEX($C$5:$C87,84-MA_MED):$C87),"")</f>
        <v>86844186.18</v>
      </c>
      <c r="K87" s="52" t="str">
        <f aca="false">IF(AND(ISNUMBER($G87),$G87&gt;=MA_LONG2),AVERAGE(INDEX($C$5:$C87,84-MA_LONG2):$C87),"")</f>
        <v/>
      </c>
      <c r="L87" s="53" t="n">
        <f aca="false">IF(AND(ISNUMBER($G87),$G87&gt;=21),STDEV(INDEX($H$27:$H87,62-20):$H87)*SQRT(245),"")</f>
        <v>0.22054712610403</v>
      </c>
      <c r="M87" s="52" t="n">
        <f aca="false">IF(AND(ISNUMBER($G87),$G87&gt;=60),MAX(INDEX($D$5:$D87,84-60):$D87),"")</f>
        <v>92843681</v>
      </c>
      <c r="N87" s="52" t="n">
        <f aca="false">IF(AND(ISNUMBER($G87),$G87&gt;=60),MIN(INDEX($E$5:$E87,84-60):$E87),"")</f>
        <v>78684409</v>
      </c>
      <c r="O87" s="53" t="n">
        <f aca="false">IF(OR(NOT(ISNUMBER($C87)),NOT(ISNUMBER($M87)),$M87=0),"",$C87/$M87-1)</f>
        <v>-0.0106063545670921</v>
      </c>
      <c r="P87" s="54"/>
      <c r="Q87" s="53" t="str">
        <f aca="false">IF(NOT(ISNUMBER($P87)),"",IFERROR(PERCENTRANK($P$5:$P$1204,$P87),""))</f>
        <v/>
      </c>
    </row>
    <row r="88" customFormat="false" ht="15" hidden="false" customHeight="false" outlineLevel="0" collapsed="false">
      <c r="A88" s="47" t="n">
        <v>45685</v>
      </c>
      <c r="B88" s="48" t="s">
        <v>236</v>
      </c>
      <c r="C88" s="49" t="n">
        <v>93085547</v>
      </c>
      <c r="D88" s="49" t="n">
        <v>93683881</v>
      </c>
      <c r="E88" s="49" t="n">
        <v>92913647</v>
      </c>
      <c r="F88" s="49" t="n">
        <v>0</v>
      </c>
      <c r="G88" s="50" t="n">
        <f aca="false">IF($A88="","",IF(ISNUMBER($G87),$G87+1,1))</f>
        <v>84</v>
      </c>
      <c r="H88" s="51" t="n">
        <f aca="false">IF(OR(NOT(ISNUMBER($G88)),$G88&lt;2,NOT(ISNUMBER($C87)),$C87=0),"",$C88/$C87-1)</f>
        <v>0.0133530704052913</v>
      </c>
      <c r="I88" s="52" t="n">
        <f aca="false">IF(AND(ISNUMBER($G88),$G88&gt;=MA_SHORT),AVERAGE(INDEX($C$5:$C88,85-MA_SHORT):$C88),"")</f>
        <v>90508304.35</v>
      </c>
      <c r="J88" s="52" t="n">
        <f aca="false">IF(AND(ISNUMBER($G88),$G88&gt;=MA_MED),AVERAGE(INDEX($C$5:$C88,85-MA_MED):$C88),"")</f>
        <v>87012243.76</v>
      </c>
      <c r="K88" s="52" t="str">
        <f aca="false">IF(AND(ISNUMBER($G88),$G88&gt;=MA_LONG2),AVERAGE(INDEX($C$5:$C88,85-MA_LONG2):$C88),"")</f>
        <v/>
      </c>
      <c r="L88" s="53" t="n">
        <f aca="false">IF(AND(ISNUMBER($G88),$G88&gt;=21),STDEV(INDEX($H$28:$H88,62-20):$H88)*SQRT(245),"")</f>
        <v>0.222844218207722</v>
      </c>
      <c r="M88" s="52" t="n">
        <f aca="false">IF(AND(ISNUMBER($G88),$G88&gt;=60),MAX(INDEX($D$5:$D88,85-60):$D88),"")</f>
        <v>93683881</v>
      </c>
      <c r="N88" s="52" t="n">
        <f aca="false">IF(AND(ISNUMBER($G88),$G88&gt;=60),MIN(INDEX($E$5:$E88,85-60):$E88),"")</f>
        <v>79919949</v>
      </c>
      <c r="O88" s="53" t="n">
        <f aca="false">IF(OR(NOT(ISNUMBER($C88)),NOT(ISNUMBER($M88)),$M88=0),"",$C88/$M88-1)</f>
        <v>-0.0063867337007526</v>
      </c>
      <c r="P88" s="54"/>
      <c r="Q88" s="53" t="str">
        <f aca="false">IF(NOT(ISNUMBER($P88)),"",IFERROR(PERCENTRANK($P$5:$P$1204,$P88),""))</f>
        <v/>
      </c>
    </row>
    <row r="89" customFormat="false" ht="15" hidden="false" customHeight="false" outlineLevel="0" collapsed="false">
      <c r="A89" s="47" t="n">
        <v>45686</v>
      </c>
      <c r="B89" s="48" t="s">
        <v>237</v>
      </c>
      <c r="C89" s="49" t="n">
        <v>94912773</v>
      </c>
      <c r="D89" s="49" t="n">
        <v>94954825</v>
      </c>
      <c r="E89" s="49" t="n">
        <v>94823278</v>
      </c>
      <c r="F89" s="49" t="n">
        <v>0</v>
      </c>
      <c r="G89" s="50" t="n">
        <f aca="false">IF($A89="","",IF(ISNUMBER($G88),$G88+1,1))</f>
        <v>85</v>
      </c>
      <c r="H89" s="51" t="n">
        <f aca="false">IF(OR(NOT(ISNUMBER($G89)),$G89&lt;2,NOT(ISNUMBER($C88)),$C88=0),"",$C89/$C88-1)</f>
        <v>0.019629534969591</v>
      </c>
      <c r="I89" s="52" t="n">
        <f aca="false">IF(AND(ISNUMBER($G89),$G89&gt;=MA_SHORT),AVERAGE(INDEX($C$5:$C89,86-MA_SHORT):$C89),"")</f>
        <v>90740270.15</v>
      </c>
      <c r="J89" s="52" t="n">
        <f aca="false">IF(AND(ISNUMBER($G89),$G89&gt;=MA_MED),AVERAGE(INDEX($C$5:$C89,86-MA_MED):$C89),"")</f>
        <v>87210843.14</v>
      </c>
      <c r="K89" s="52" t="str">
        <f aca="false">IF(AND(ISNUMBER($G89),$G89&gt;=MA_LONG2),AVERAGE(INDEX($C$5:$C89,86-MA_LONG2):$C89),"")</f>
        <v/>
      </c>
      <c r="L89" s="53" t="n">
        <f aca="false">IF(AND(ISNUMBER($G89),$G89&gt;=21),STDEV(INDEX($H$29:$H89,62-20):$H89)*SQRT(245),"")</f>
        <v>0.21864179467567</v>
      </c>
      <c r="M89" s="52" t="n">
        <f aca="false">IF(AND(ISNUMBER($G89),$G89&gt;=60),MAX(INDEX($D$5:$D89,86-60):$D89),"")</f>
        <v>94954825</v>
      </c>
      <c r="N89" s="52" t="n">
        <f aca="false">IF(AND(ISNUMBER($G89),$G89&gt;=60),MIN(INDEX($E$5:$E89,86-60):$E89),"")</f>
        <v>79919949</v>
      </c>
      <c r="O89" s="53" t="n">
        <f aca="false">IF(OR(NOT(ISNUMBER($C89)),NOT(ISNUMBER($M89)),$M89=0),"",$C89/$M89-1)</f>
        <v>-0.000442863224696555</v>
      </c>
      <c r="P89" s="54"/>
      <c r="Q89" s="53" t="str">
        <f aca="false">IF(NOT(ISNUMBER($P89)),"",IFERROR(PERCENTRANK($P$5:$P$1204,$P89),""))</f>
        <v/>
      </c>
    </row>
    <row r="90" customFormat="false" ht="15" hidden="false" customHeight="false" outlineLevel="0" collapsed="false">
      <c r="A90" s="47" t="n">
        <v>45689</v>
      </c>
      <c r="B90" s="48" t="s">
        <v>238</v>
      </c>
      <c r="C90" s="49" t="n">
        <v>97821664</v>
      </c>
      <c r="D90" s="49" t="n">
        <v>98629879</v>
      </c>
      <c r="E90" s="49" t="n">
        <v>97341265</v>
      </c>
      <c r="F90" s="49" t="n">
        <v>0</v>
      </c>
      <c r="G90" s="50" t="n">
        <f aca="false">IF($A90="","",IF(ISNUMBER($G89),$G89+1,1))</f>
        <v>86</v>
      </c>
      <c r="H90" s="51" t="n">
        <f aca="false">IF(OR(NOT(ISNUMBER($G90)),$G90&lt;2,NOT(ISNUMBER($C89)),$C89=0),"",$C90/$C89-1)</f>
        <v>0.0306480456534548</v>
      </c>
      <c r="I90" s="52" t="n">
        <f aca="false">IF(AND(ISNUMBER($G90),$G90&gt;=MA_SHORT),AVERAGE(INDEX($C$5:$C90,87-MA_SHORT):$C90),"")</f>
        <v>91113743</v>
      </c>
      <c r="J90" s="52" t="n">
        <f aca="false">IF(AND(ISNUMBER($G90),$G90&gt;=MA_MED),AVERAGE(INDEX($C$5:$C90,87-MA_MED):$C90),"")</f>
        <v>87414214.72</v>
      </c>
      <c r="K90" s="52" t="str">
        <f aca="false">IF(AND(ISNUMBER($G90),$G90&gt;=MA_LONG2),AVERAGE(INDEX($C$5:$C90,87-MA_LONG2):$C90),"")</f>
        <v/>
      </c>
      <c r="L90" s="53" t="n">
        <f aca="false">IF(AND(ISNUMBER($G90),$G90&gt;=21),STDEV(INDEX($H$30:$H90,62-20):$H90)*SQRT(245),"")</f>
        <v>0.239452363344593</v>
      </c>
      <c r="M90" s="52" t="n">
        <f aca="false">IF(AND(ISNUMBER($G90),$G90&gt;=60),MAX(INDEX($D$5:$D90,87-60):$D90),"")</f>
        <v>98629879</v>
      </c>
      <c r="N90" s="52" t="n">
        <f aca="false">IF(AND(ISNUMBER($G90),$G90&gt;=60),MIN(INDEX($E$5:$E90,87-60):$E90),"")</f>
        <v>79919949</v>
      </c>
      <c r="O90" s="53" t="n">
        <f aca="false">IF(OR(NOT(ISNUMBER($C90)),NOT(ISNUMBER($M90)),$M90=0),"",$C90/$M90-1)</f>
        <v>-0.00819442351744137</v>
      </c>
      <c r="P90" s="54"/>
      <c r="Q90" s="53" t="str">
        <f aca="false">IF(NOT(ISNUMBER($P90)),"",IFERROR(PERCENTRANK($P$5:$P$1204,$P90),""))</f>
        <v/>
      </c>
    </row>
    <row r="91" customFormat="false" ht="15" hidden="false" customHeight="false" outlineLevel="0" collapsed="false">
      <c r="A91" s="47" t="n">
        <v>45690</v>
      </c>
      <c r="B91" s="48" t="s">
        <v>239</v>
      </c>
      <c r="C91" s="49" t="n">
        <v>96144571</v>
      </c>
      <c r="D91" s="49" t="n">
        <v>96317447</v>
      </c>
      <c r="E91" s="49" t="n">
        <v>95893024</v>
      </c>
      <c r="F91" s="49" t="n">
        <v>0</v>
      </c>
      <c r="G91" s="50" t="n">
        <f aca="false">IF($A91="","",IF(ISNUMBER($G90),$G90+1,1))</f>
        <v>87</v>
      </c>
      <c r="H91" s="51" t="n">
        <f aca="false">IF(OR(NOT(ISNUMBER($G91)),$G91&lt;2,NOT(ISNUMBER($C90)),$C90=0),"",$C91/$C90-1)</f>
        <v>-0.0171443924732255</v>
      </c>
      <c r="I91" s="52" t="n">
        <f aca="false">IF(AND(ISNUMBER($G91),$G91&gt;=MA_SHORT),AVERAGE(INDEX($C$5:$C91,88-MA_SHORT):$C91),"")</f>
        <v>91392401.6</v>
      </c>
      <c r="J91" s="52" t="n">
        <f aca="false">IF(AND(ISNUMBER($G91),$G91&gt;=MA_MED),AVERAGE(INDEX($C$5:$C91,88-MA_MED):$C91),"")</f>
        <v>87607770.14</v>
      </c>
      <c r="K91" s="52" t="str">
        <f aca="false">IF(AND(ISNUMBER($G91),$G91&gt;=MA_LONG2),AVERAGE(INDEX($C$5:$C91,88-MA_LONG2):$C91),"")</f>
        <v/>
      </c>
      <c r="L91" s="53" t="n">
        <f aca="false">IF(AND(ISNUMBER($G91),$G91&gt;=21),STDEV(INDEX($H$31:$H91,62-20):$H91)*SQRT(245),"")</f>
        <v>0.250736907955161</v>
      </c>
      <c r="M91" s="52" t="n">
        <f aca="false">IF(AND(ISNUMBER($G91),$G91&gt;=60),MAX(INDEX($D$5:$D91,88-60):$D91),"")</f>
        <v>98629879</v>
      </c>
      <c r="N91" s="52" t="n">
        <f aca="false">IF(AND(ISNUMBER($G91),$G91&gt;=60),MIN(INDEX($E$5:$E91,88-60):$E91),"")</f>
        <v>79919949</v>
      </c>
      <c r="O91" s="53" t="n">
        <f aca="false">IF(OR(NOT(ISNUMBER($C91)),NOT(ISNUMBER($M91)),$M91=0),"",$C91/$M91-1)</f>
        <v>-0.0251983275777922</v>
      </c>
      <c r="P91" s="54"/>
      <c r="Q91" s="53" t="str">
        <f aca="false">IF(NOT(ISNUMBER($P91)),"",IFERROR(PERCENTRANK($P$5:$P$1204,$P91),""))</f>
        <v/>
      </c>
    </row>
    <row r="92" customFormat="false" ht="15" hidden="false" customHeight="false" outlineLevel="0" collapsed="false">
      <c r="A92" s="47" t="n">
        <v>45691</v>
      </c>
      <c r="B92" s="48" t="s">
        <v>240</v>
      </c>
      <c r="C92" s="49" t="n">
        <v>96429453</v>
      </c>
      <c r="D92" s="49" t="n">
        <v>96535549</v>
      </c>
      <c r="E92" s="49" t="n">
        <v>96074627</v>
      </c>
      <c r="F92" s="49" t="n">
        <v>0</v>
      </c>
      <c r="G92" s="50" t="n">
        <f aca="false">IF($A92="","",IF(ISNUMBER($G91),$G91+1,1))</f>
        <v>88</v>
      </c>
      <c r="H92" s="51" t="n">
        <f aca="false">IF(OR(NOT(ISNUMBER($G92)),$G92&lt;2,NOT(ISNUMBER($C91)),$C91=0),"",$C92/$C91-1)</f>
        <v>0.00296305862137558</v>
      </c>
      <c r="I92" s="52" t="n">
        <f aca="false">IF(AND(ISNUMBER($G92),$G92&gt;=MA_SHORT),AVERAGE(INDEX($C$5:$C92,89-MA_SHORT):$C92),"")</f>
        <v>91641482.85</v>
      </c>
      <c r="J92" s="52" t="n">
        <f aca="false">IF(AND(ISNUMBER($G92),$G92&gt;=MA_MED),AVERAGE(INDEX($C$5:$C92,89-MA_MED):$C92),"")</f>
        <v>87814184.76</v>
      </c>
      <c r="K92" s="52" t="str">
        <f aca="false">IF(AND(ISNUMBER($G92),$G92&gt;=MA_LONG2),AVERAGE(INDEX($C$5:$C92,89-MA_LONG2):$C92),"")</f>
        <v/>
      </c>
      <c r="L92" s="53" t="n">
        <f aca="false">IF(AND(ISNUMBER($G92),$G92&gt;=21),STDEV(INDEX($H$32:$H92,62-20):$H92)*SQRT(245),"")</f>
        <v>0.249568482890846</v>
      </c>
      <c r="M92" s="52" t="n">
        <f aca="false">IF(AND(ISNUMBER($G92),$G92&gt;=60),MAX(INDEX($D$5:$D92,89-60):$D92),"")</f>
        <v>98629879</v>
      </c>
      <c r="N92" s="52" t="n">
        <f aca="false">IF(AND(ISNUMBER($G92),$G92&gt;=60),MIN(INDEX($E$5:$E92,89-60):$E92),"")</f>
        <v>79919949</v>
      </c>
      <c r="O92" s="53" t="n">
        <f aca="false">IF(OR(NOT(ISNUMBER($C92)),NOT(ISNUMBER($M92)),$M92=0),"",$C92/$M92-1)</f>
        <v>-0.0223099330781902</v>
      </c>
      <c r="P92" s="54"/>
      <c r="Q92" s="53" t="str">
        <f aca="false">IF(NOT(ISNUMBER($P92)),"",IFERROR(PERCENTRANK($P$5:$P$1204,$P92),""))</f>
        <v/>
      </c>
    </row>
    <row r="93" customFormat="false" ht="15" hidden="false" customHeight="false" outlineLevel="0" collapsed="false">
      <c r="A93" s="47" t="n">
        <v>45692</v>
      </c>
      <c r="B93" s="48" t="s">
        <v>241</v>
      </c>
      <c r="C93" s="49" t="n">
        <v>97125369</v>
      </c>
      <c r="D93" s="49" t="n">
        <v>97485028</v>
      </c>
      <c r="E93" s="49" t="n">
        <v>96698234</v>
      </c>
      <c r="F93" s="49" t="n">
        <v>0</v>
      </c>
      <c r="G93" s="50" t="n">
        <f aca="false">IF($A93="","",IF(ISNUMBER($G92),$G92+1,1))</f>
        <v>89</v>
      </c>
      <c r="H93" s="51" t="n">
        <f aca="false">IF(OR(NOT(ISNUMBER($G93)),$G93&lt;2,NOT(ISNUMBER($C92)),$C92=0),"",$C93/$C92-1)</f>
        <v>0.00721684068870543</v>
      </c>
      <c r="I93" s="52" t="n">
        <f aca="false">IF(AND(ISNUMBER($G93),$G93&gt;=MA_SHORT),AVERAGE(INDEX($C$5:$C93,90-MA_SHORT):$C93),"")</f>
        <v>91907343.55</v>
      </c>
      <c r="J93" s="52" t="n">
        <f aca="false">IF(AND(ISNUMBER($G93),$G93&gt;=MA_MED),AVERAGE(INDEX($C$5:$C93,90-MA_MED):$C93),"")</f>
        <v>88078123.52</v>
      </c>
      <c r="K93" s="52" t="str">
        <f aca="false">IF(AND(ISNUMBER($G93),$G93&gt;=MA_LONG2),AVERAGE(INDEX($C$5:$C93,90-MA_LONG2):$C93),"")</f>
        <v/>
      </c>
      <c r="L93" s="53" t="n">
        <f aca="false">IF(AND(ISNUMBER($G93),$G93&gt;=21),STDEV(INDEX($H$33:$H93,62-20):$H93)*SQRT(245),"")</f>
        <v>0.250028691645665</v>
      </c>
      <c r="M93" s="52" t="n">
        <f aca="false">IF(AND(ISNUMBER($G93),$G93&gt;=60),MAX(INDEX($D$5:$D93,90-60):$D93),"")</f>
        <v>98629879</v>
      </c>
      <c r="N93" s="52" t="n">
        <f aca="false">IF(AND(ISNUMBER($G93),$G93&gt;=60),MIN(INDEX($E$5:$E93,90-60):$E93),"")</f>
        <v>79919949</v>
      </c>
      <c r="O93" s="53" t="n">
        <f aca="false">IF(OR(NOT(ISNUMBER($C93)),NOT(ISNUMBER($M93)),$M93=0),"",$C93/$M93-1)</f>
        <v>-0.0152540996222859</v>
      </c>
      <c r="P93" s="54"/>
      <c r="Q93" s="53" t="str">
        <f aca="false">IF(NOT(ISNUMBER($P93)),"",IFERROR(PERCENTRANK($P$5:$P$1204,$P93),""))</f>
        <v/>
      </c>
    </row>
    <row r="94" customFormat="false" ht="15" hidden="false" customHeight="false" outlineLevel="0" collapsed="false">
      <c r="A94" s="47" t="n">
        <v>45693</v>
      </c>
      <c r="B94" s="48" t="s">
        <v>242</v>
      </c>
      <c r="C94" s="49" t="n">
        <v>98070909</v>
      </c>
      <c r="D94" s="49" t="n">
        <v>98823969</v>
      </c>
      <c r="E94" s="49" t="n">
        <v>97892303</v>
      </c>
      <c r="F94" s="49" t="n">
        <v>0</v>
      </c>
      <c r="G94" s="50" t="n">
        <f aca="false">IF($A94="","",IF(ISNUMBER($G93),$G93+1,1))</f>
        <v>90</v>
      </c>
      <c r="H94" s="51" t="n">
        <f aca="false">IF(OR(NOT(ISNUMBER($G94)),$G94&lt;2,NOT(ISNUMBER($C93)),$C93=0),"",$C94/$C93-1)</f>
        <v>0.00973525258884722</v>
      </c>
      <c r="I94" s="52" t="n">
        <f aca="false">IF(AND(ISNUMBER($G94),$G94&gt;=MA_SHORT),AVERAGE(INDEX($C$5:$C94,91-MA_SHORT):$C94),"")</f>
        <v>92259706.55</v>
      </c>
      <c r="J94" s="52" t="n">
        <f aca="false">IF(AND(ISNUMBER($G94),$G94&gt;=MA_MED),AVERAGE(INDEX($C$5:$C94,91-MA_MED):$C94),"")</f>
        <v>88379452.56</v>
      </c>
      <c r="K94" s="52" t="str">
        <f aca="false">IF(AND(ISNUMBER($G94),$G94&gt;=MA_LONG2),AVERAGE(INDEX($C$5:$C94,91-MA_LONG2):$C94),"")</f>
        <v/>
      </c>
      <c r="L94" s="53" t="n">
        <f aca="false">IF(AND(ISNUMBER($G94),$G94&gt;=21),STDEV(INDEX($H$34:$H94,62-20):$H94)*SQRT(245),"")</f>
        <v>0.247373432052057</v>
      </c>
      <c r="M94" s="52" t="n">
        <f aca="false">IF(AND(ISNUMBER($G94),$G94&gt;=60),MAX(INDEX($D$5:$D94,91-60):$D94),"")</f>
        <v>98823969</v>
      </c>
      <c r="N94" s="52" t="n">
        <f aca="false">IF(AND(ISNUMBER($G94),$G94&gt;=60),MIN(INDEX($E$5:$E94,91-60):$E94),"")</f>
        <v>79919949</v>
      </c>
      <c r="O94" s="53" t="n">
        <f aca="false">IF(OR(NOT(ISNUMBER($C94)),NOT(ISNUMBER($M94)),$M94=0),"",$C94/$M94-1)</f>
        <v>-0.00762021610364583</v>
      </c>
      <c r="P94" s="54"/>
      <c r="Q94" s="53" t="str">
        <f aca="false">IF(NOT(ISNUMBER($P94)),"",IFERROR(PERCENTRANK($P$5:$P$1204,$P94),""))</f>
        <v/>
      </c>
    </row>
    <row r="95" customFormat="false" ht="15" hidden="false" customHeight="false" outlineLevel="0" collapsed="false">
      <c r="A95" s="47" t="n">
        <v>45696</v>
      </c>
      <c r="B95" s="48" t="s">
        <v>243</v>
      </c>
      <c r="C95" s="49" t="n">
        <v>95559825</v>
      </c>
      <c r="D95" s="49" t="n">
        <v>96309825</v>
      </c>
      <c r="E95" s="49" t="n">
        <v>95486888</v>
      </c>
      <c r="F95" s="49" t="n">
        <v>0</v>
      </c>
      <c r="G95" s="50" t="n">
        <f aca="false">IF($A95="","",IF(ISNUMBER($G94),$G94+1,1))</f>
        <v>91</v>
      </c>
      <c r="H95" s="51" t="n">
        <f aca="false">IF(OR(NOT(ISNUMBER($G95)),$G95&lt;2,NOT(ISNUMBER($C94)),$C94=0),"",$C95/$C94-1)</f>
        <v>-0.0256047794968435</v>
      </c>
      <c r="I95" s="52" t="n">
        <f aca="false">IF(AND(ISNUMBER($G95),$G95&gt;=MA_SHORT),AVERAGE(INDEX($C$5:$C95,92-MA_SHORT):$C95),"")</f>
        <v>92462226.3</v>
      </c>
      <c r="J95" s="52" t="n">
        <f aca="false">IF(AND(ISNUMBER($G95),$G95&gt;=MA_MED),AVERAGE(INDEX($C$5:$C95,92-MA_MED):$C95),"")</f>
        <v>88634340.96</v>
      </c>
      <c r="K95" s="52" t="str">
        <f aca="false">IF(AND(ISNUMBER($G95),$G95&gt;=MA_LONG2),AVERAGE(INDEX($C$5:$C95,92-MA_LONG2):$C95),"")</f>
        <v/>
      </c>
      <c r="L95" s="53" t="n">
        <f aca="false">IF(AND(ISNUMBER($G95),$G95&gt;=21),STDEV(INDEX($H$35:$H95,62-20):$H95)*SQRT(245),"")</f>
        <v>0.267839466777593</v>
      </c>
      <c r="M95" s="52" t="n">
        <f aca="false">IF(AND(ISNUMBER($G95),$G95&gt;=60),MAX(INDEX($D$5:$D95,92-60):$D95),"")</f>
        <v>98823969</v>
      </c>
      <c r="N95" s="52" t="n">
        <f aca="false">IF(AND(ISNUMBER($G95),$G95&gt;=60),MIN(INDEX($E$5:$E95,92-60):$E95),"")</f>
        <v>79919949</v>
      </c>
      <c r="O95" s="53" t="n">
        <f aca="false">IF(OR(NOT(ISNUMBER($C95)),NOT(ISNUMBER($M95)),$M95=0),"",$C95/$M95-1)</f>
        <v>-0.0330298816474371</v>
      </c>
      <c r="P95" s="54"/>
      <c r="Q95" s="53" t="str">
        <f aca="false">IF(NOT(ISNUMBER($P95)),"",IFERROR(PERCENTRANK($P$5:$P$1204,$P95),""))</f>
        <v/>
      </c>
    </row>
    <row r="96" customFormat="false" ht="15" hidden="false" customHeight="false" outlineLevel="0" collapsed="false">
      <c r="A96" s="47" t="n">
        <v>45697</v>
      </c>
      <c r="B96" s="48" t="s">
        <v>244</v>
      </c>
      <c r="C96" s="49" t="n">
        <v>93899977</v>
      </c>
      <c r="D96" s="49" t="n">
        <v>94050114</v>
      </c>
      <c r="E96" s="49" t="n">
        <v>93858714</v>
      </c>
      <c r="F96" s="49" t="n">
        <v>0</v>
      </c>
      <c r="G96" s="50" t="n">
        <f aca="false">IF($A96="","",IF(ISNUMBER($G95),$G95+1,1))</f>
        <v>92</v>
      </c>
      <c r="H96" s="51" t="n">
        <f aca="false">IF(OR(NOT(ISNUMBER($G96)),$G96&lt;2,NOT(ISNUMBER($C95)),$C95=0),"",$C96/$C95-1)</f>
        <v>-0.0173697262421735</v>
      </c>
      <c r="I96" s="52" t="n">
        <f aca="false">IF(AND(ISNUMBER($G96),$G96&gt;=MA_SHORT),AVERAGE(INDEX($C$5:$C96,93-MA_SHORT):$C96),"")</f>
        <v>92669881</v>
      </c>
      <c r="J96" s="52" t="n">
        <f aca="false">IF(AND(ISNUMBER($G96),$G96&gt;=MA_MED),AVERAGE(INDEX($C$5:$C96,93-MA_MED):$C96),"")</f>
        <v>88843343.7</v>
      </c>
      <c r="K96" s="52" t="str">
        <f aca="false">IF(AND(ISNUMBER($G96),$G96&gt;=MA_LONG2),AVERAGE(INDEX($C$5:$C96,93-MA_LONG2):$C96),"")</f>
        <v/>
      </c>
      <c r="L96" s="53" t="n">
        <f aca="false">IF(AND(ISNUMBER($G96),$G96&gt;=21),STDEV(INDEX($H$36:$H96,62-20):$H96)*SQRT(245),"")</f>
        <v>0.265951013087536</v>
      </c>
      <c r="M96" s="52" t="n">
        <f aca="false">IF(AND(ISNUMBER($G96),$G96&gt;=60),MAX(INDEX($D$5:$D96,93-60):$D96),"")</f>
        <v>98823969</v>
      </c>
      <c r="N96" s="52" t="n">
        <f aca="false">IF(AND(ISNUMBER($G96),$G96&gt;=60),MIN(INDEX($E$5:$E96,93-60):$E96),"")</f>
        <v>79919949</v>
      </c>
      <c r="O96" s="53" t="n">
        <f aca="false">IF(OR(NOT(ISNUMBER($C96)),NOT(ISNUMBER($M96)),$M96=0),"",$C96/$M96-1)</f>
        <v>-0.0498258878875832</v>
      </c>
      <c r="P96" s="54"/>
      <c r="Q96" s="53" t="str">
        <f aca="false">IF(NOT(ISNUMBER($P96)),"",IFERROR(PERCENTRANK($P$5:$P$1204,$P96),""))</f>
        <v/>
      </c>
    </row>
    <row r="97" customFormat="false" ht="15" hidden="false" customHeight="false" outlineLevel="0" collapsed="false">
      <c r="A97" s="47" t="n">
        <v>45698</v>
      </c>
      <c r="B97" s="48" t="s">
        <v>245</v>
      </c>
      <c r="C97" s="49" t="n">
        <v>96019425</v>
      </c>
      <c r="D97" s="49" t="n">
        <v>96527740</v>
      </c>
      <c r="E97" s="49" t="n">
        <v>95821158</v>
      </c>
      <c r="F97" s="49" t="n">
        <v>0</v>
      </c>
      <c r="G97" s="50" t="n">
        <f aca="false">IF($A97="","",IF(ISNUMBER($G96),$G96+1,1))</f>
        <v>93</v>
      </c>
      <c r="H97" s="51" t="n">
        <f aca="false">IF(OR(NOT(ISNUMBER($G97)),$G97&lt;2,NOT(ISNUMBER($C96)),$C96=0),"",$C97/$C96-1)</f>
        <v>0.0225713367320632</v>
      </c>
      <c r="I97" s="52" t="n">
        <f aca="false">IF(AND(ISNUMBER($G97),$G97&gt;=MA_SHORT),AVERAGE(INDEX($C$5:$C97,94-MA_SHORT):$C97),"")</f>
        <v>92876614.4</v>
      </c>
      <c r="J97" s="52" t="n">
        <f aca="false">IF(AND(ISNUMBER($G97),$G97&gt;=MA_MED),AVERAGE(INDEX($C$5:$C97,94-MA_MED):$C97),"")</f>
        <v>89113622.6</v>
      </c>
      <c r="K97" s="52" t="str">
        <f aca="false">IF(AND(ISNUMBER($G97),$G97&gt;=MA_LONG2),AVERAGE(INDEX($C$5:$C97,94-MA_LONG2):$C97),"")</f>
        <v/>
      </c>
      <c r="L97" s="53" t="n">
        <f aca="false">IF(AND(ISNUMBER($G97),$G97&gt;=21),STDEV(INDEX($H$37:$H97,62-20):$H97)*SQRT(245),"")</f>
        <v>0.264685971053803</v>
      </c>
      <c r="M97" s="52" t="n">
        <f aca="false">IF(AND(ISNUMBER($G97),$G97&gt;=60),MAX(INDEX($D$5:$D97,94-60):$D97),"")</f>
        <v>98823969</v>
      </c>
      <c r="N97" s="52" t="n">
        <f aca="false">IF(AND(ISNUMBER($G97),$G97&gt;=60),MIN(INDEX($E$5:$E97,94-60):$E97),"")</f>
        <v>79919949</v>
      </c>
      <c r="O97" s="53" t="n">
        <f aca="false">IF(OR(NOT(ISNUMBER($C97)),NOT(ISNUMBER($M97)),$M97=0),"",$C97/$M97-1)</f>
        <v>-0.0283791880490046</v>
      </c>
      <c r="P97" s="54"/>
      <c r="Q97" s="53" t="str">
        <f aca="false">IF(NOT(ISNUMBER($P97)),"",IFERROR(PERCENTRANK($P$5:$P$1204,$P97),""))</f>
        <v/>
      </c>
    </row>
    <row r="98" customFormat="false" ht="15" hidden="false" customHeight="false" outlineLevel="0" collapsed="false">
      <c r="A98" s="47" t="n">
        <v>45699</v>
      </c>
      <c r="B98" s="48" t="s">
        <v>246</v>
      </c>
      <c r="C98" s="49" t="n">
        <v>94310287</v>
      </c>
      <c r="D98" s="49" t="n">
        <v>94675610</v>
      </c>
      <c r="E98" s="49" t="n">
        <v>93431227</v>
      </c>
      <c r="F98" s="49" t="n">
        <v>0</v>
      </c>
      <c r="G98" s="50" t="n">
        <f aca="false">IF($A98="","",IF(ISNUMBER($G97),$G97+1,1))</f>
        <v>94</v>
      </c>
      <c r="H98" s="51" t="n">
        <f aca="false">IF(OR(NOT(ISNUMBER($G98)),$G98&lt;2,NOT(ISNUMBER($C97)),$C97=0),"",$C98/$C97-1)</f>
        <v>-0.0177999191309467</v>
      </c>
      <c r="I98" s="52" t="n">
        <f aca="false">IF(AND(ISNUMBER($G98),$G98&gt;=MA_SHORT),AVERAGE(INDEX($C$5:$C98,95-MA_SHORT):$C98),"")</f>
        <v>93004566.2</v>
      </c>
      <c r="J98" s="52" t="n">
        <f aca="false">IF(AND(ISNUMBER($G98),$G98&gt;=MA_MED),AVERAGE(INDEX($C$5:$C98,95-MA_MED):$C98),"")</f>
        <v>89358460.78</v>
      </c>
      <c r="K98" s="52" t="str">
        <f aca="false">IF(AND(ISNUMBER($G98),$G98&gt;=MA_LONG2),AVERAGE(INDEX($C$5:$C98,95-MA_LONG2):$C98),"")</f>
        <v/>
      </c>
      <c r="L98" s="53" t="n">
        <f aca="false">IF(AND(ISNUMBER($G98),$G98&gt;=21),STDEV(INDEX($H$38:$H98,62-20):$H98)*SQRT(245),"")</f>
        <v>0.273734502381086</v>
      </c>
      <c r="M98" s="52" t="n">
        <f aca="false">IF(AND(ISNUMBER($G98),$G98&gt;=60),MAX(INDEX($D$5:$D98,95-60):$D98),"")</f>
        <v>98823969</v>
      </c>
      <c r="N98" s="52" t="n">
        <f aca="false">IF(AND(ISNUMBER($G98),$G98&gt;=60),MIN(INDEX($E$5:$E98,95-60):$E98),"")</f>
        <v>79919949</v>
      </c>
      <c r="O98" s="53" t="n">
        <f aca="false">IF(OR(NOT(ISNUMBER($C98)),NOT(ISNUMBER($M98)),$M98=0),"",$C98/$M98-1)</f>
        <v>-0.0456739599276771</v>
      </c>
      <c r="P98" s="54"/>
      <c r="Q98" s="53" t="str">
        <f aca="false">IF(NOT(ISNUMBER($P98)),"",IFERROR(PERCENTRANK($P$5:$P$1204,$P98),""))</f>
        <v/>
      </c>
    </row>
    <row r="99" customFormat="false" ht="15" hidden="false" customHeight="false" outlineLevel="0" collapsed="false">
      <c r="A99" s="47" t="n">
        <v>45700</v>
      </c>
      <c r="B99" s="48" t="s">
        <v>247</v>
      </c>
      <c r="C99" s="49" t="n">
        <v>96463939</v>
      </c>
      <c r="D99" s="49" t="n">
        <v>96579839</v>
      </c>
      <c r="E99" s="49" t="n">
        <v>95532579</v>
      </c>
      <c r="F99" s="49" t="n">
        <v>0</v>
      </c>
      <c r="G99" s="50" t="n">
        <f aca="false">IF($A99="","",IF(ISNUMBER($G98),$G98+1,1))</f>
        <v>95</v>
      </c>
      <c r="H99" s="51" t="n">
        <f aca="false">IF(OR(NOT(ISNUMBER($G99)),$G99&lt;2,NOT(ISNUMBER($C98)),$C98=0),"",$C99/$C98-1)</f>
        <v>0.0228358121739147</v>
      </c>
      <c r="I99" s="52" t="n">
        <f aca="false">IF(AND(ISNUMBER($G99),$G99&gt;=MA_SHORT),AVERAGE(INDEX($C$5:$C99,96-MA_SHORT):$C99),"")</f>
        <v>93256578.45</v>
      </c>
      <c r="J99" s="52" t="n">
        <f aca="false">IF(AND(ISNUMBER($G99),$G99&gt;=MA_MED),AVERAGE(INDEX($C$5:$C99,96-MA_MED):$C99),"")</f>
        <v>89675502.38</v>
      </c>
      <c r="K99" s="52" t="str">
        <f aca="false">IF(AND(ISNUMBER($G99),$G99&gt;=MA_LONG2),AVERAGE(INDEX($C$5:$C99,96-MA_LONG2):$C99),"")</f>
        <v/>
      </c>
      <c r="L99" s="53" t="n">
        <f aca="false">IF(AND(ISNUMBER($G99),$G99&gt;=21),STDEV(INDEX($H$39:$H99,62-20):$H99)*SQRT(245),"")</f>
        <v>0.282851558200149</v>
      </c>
      <c r="M99" s="52" t="n">
        <f aca="false">IF(AND(ISNUMBER($G99),$G99&gt;=60),MAX(INDEX($D$5:$D99,96-60):$D99),"")</f>
        <v>98823969</v>
      </c>
      <c r="N99" s="52" t="n">
        <f aca="false">IF(AND(ISNUMBER($G99),$G99&gt;=60),MIN(INDEX($E$5:$E99,96-60):$E99),"")</f>
        <v>79919949</v>
      </c>
      <c r="O99" s="53" t="n">
        <f aca="false">IF(OR(NOT(ISNUMBER($C99)),NOT(ISNUMBER($M99)),$M99=0),"",$C99/$M99-1)</f>
        <v>-0.0238811497239096</v>
      </c>
      <c r="P99" s="54"/>
      <c r="Q99" s="53" t="str">
        <f aca="false">IF(NOT(ISNUMBER($P99)),"",IFERROR(PERCENTRANK($P$5:$P$1204,$P99),""))</f>
        <v/>
      </c>
    </row>
    <row r="100" customFormat="false" ht="15" hidden="false" customHeight="false" outlineLevel="0" collapsed="false">
      <c r="A100" s="47" t="n">
        <v>45703</v>
      </c>
      <c r="B100" s="48" t="s">
        <v>248</v>
      </c>
      <c r="C100" s="49" t="n">
        <v>96861312</v>
      </c>
      <c r="D100" s="49" t="n">
        <v>97248440</v>
      </c>
      <c r="E100" s="49" t="n">
        <v>96685857</v>
      </c>
      <c r="F100" s="49" t="n">
        <v>0</v>
      </c>
      <c r="G100" s="50" t="n">
        <f aca="false">IF($A100="","",IF(ISNUMBER($G99),$G99+1,1))</f>
        <v>96</v>
      </c>
      <c r="H100" s="51" t="n">
        <f aca="false">IF(OR(NOT(ISNUMBER($G100)),$G100&lt;2,NOT(ISNUMBER($C99)),$C99=0),"",$C100/$C99-1)</f>
        <v>0.00411939429510544</v>
      </c>
      <c r="I100" s="52" t="n">
        <f aca="false">IF(AND(ISNUMBER($G100),$G100&gt;=MA_SHORT),AVERAGE(INDEX($C$5:$C100,97-MA_SHORT):$C100),"")</f>
        <v>93563966.4</v>
      </c>
      <c r="J100" s="52" t="n">
        <f aca="false">IF(AND(ISNUMBER($G100),$G100&gt;=MA_MED),AVERAGE(INDEX($C$5:$C100,97-MA_MED):$C100),"")</f>
        <v>90011488.12</v>
      </c>
      <c r="K100" s="52" t="str">
        <f aca="false">IF(AND(ISNUMBER($G100),$G100&gt;=MA_LONG2),AVERAGE(INDEX($C$5:$C100,97-MA_LONG2):$C100),"")</f>
        <v/>
      </c>
      <c r="L100" s="53" t="n">
        <f aca="false">IF(AND(ISNUMBER($G100),$G100&gt;=21),STDEV(INDEX($H$40:$H100,62-20):$H100)*SQRT(245),"")</f>
        <v>0.280149277064796</v>
      </c>
      <c r="M100" s="52" t="n">
        <f aca="false">IF(AND(ISNUMBER($G100),$G100&gt;=60),MAX(INDEX($D$5:$D100,97-60):$D100),"")</f>
        <v>98823969</v>
      </c>
      <c r="N100" s="52" t="n">
        <f aca="false">IF(AND(ISNUMBER($G100),$G100&gt;=60),MIN(INDEX($E$5:$E100,97-60):$E100),"")</f>
        <v>79919949</v>
      </c>
      <c r="O100" s="53" t="n">
        <f aca="false">IF(OR(NOT(ISNUMBER($C100)),NOT(ISNUMBER($M100)),$M100=0),"",$C100/$M100-1)</f>
        <v>-0.0198601313007374</v>
      </c>
      <c r="P100" s="54"/>
      <c r="Q100" s="53" t="str">
        <f aca="false">IF(NOT(ISNUMBER($P100)),"",IFERROR(PERCENTRANK($P$5:$P$1204,$P100),""))</f>
        <v/>
      </c>
    </row>
    <row r="101" customFormat="false" ht="15" hidden="false" customHeight="false" outlineLevel="0" collapsed="false">
      <c r="A101" s="47" t="n">
        <v>45704</v>
      </c>
      <c r="B101" s="48" t="s">
        <v>249</v>
      </c>
      <c r="C101" s="49" t="n">
        <v>96041111</v>
      </c>
      <c r="D101" s="49" t="n">
        <v>96169282</v>
      </c>
      <c r="E101" s="49" t="n">
        <v>95520065</v>
      </c>
      <c r="F101" s="49" t="n">
        <v>0</v>
      </c>
      <c r="G101" s="50" t="n">
        <f aca="false">IF($A101="","",IF(ISNUMBER($G100),$G100+1,1))</f>
        <v>97</v>
      </c>
      <c r="H101" s="51" t="n">
        <f aca="false">IF(OR(NOT(ISNUMBER($G101)),$G101&lt;2,NOT(ISNUMBER($C100)),$C100=0),"",$C101/$C100-1)</f>
        <v>-0.00846778742786392</v>
      </c>
      <c r="I101" s="52" t="n">
        <f aca="false">IF(AND(ISNUMBER($G101),$G101&gt;=MA_SHORT),AVERAGE(INDEX($C$5:$C101,98-MA_SHORT):$C101),"")</f>
        <v>93871014.95</v>
      </c>
      <c r="J101" s="52" t="n">
        <f aca="false">IF(AND(ISNUMBER($G101),$G101&gt;=MA_MED),AVERAGE(INDEX($C$5:$C101,98-MA_MED):$C101),"")</f>
        <v>90320242.38</v>
      </c>
      <c r="K101" s="52" t="str">
        <f aca="false">IF(AND(ISNUMBER($G101),$G101&gt;=MA_LONG2),AVERAGE(INDEX($C$5:$C101,98-MA_LONG2):$C101),"")</f>
        <v/>
      </c>
      <c r="L101" s="53" t="n">
        <f aca="false">IF(AND(ISNUMBER($G101),$G101&gt;=21),STDEV(INDEX($H$41:$H101,62-20):$H101)*SQRT(245),"")</f>
        <v>0.27986969282146</v>
      </c>
      <c r="M101" s="52" t="n">
        <f aca="false">IF(AND(ISNUMBER($G101),$G101&gt;=60),MAX(INDEX($D$5:$D101,98-60):$D101),"")</f>
        <v>98823969</v>
      </c>
      <c r="N101" s="52" t="n">
        <f aca="false">IF(AND(ISNUMBER($G101),$G101&gt;=60),MIN(INDEX($E$5:$E101,98-60):$E101),"")</f>
        <v>79919949</v>
      </c>
      <c r="O101" s="53" t="n">
        <f aca="false">IF(OR(NOT(ISNUMBER($C101)),NOT(ISNUMBER($M101)),$M101=0),"",$C101/$M101-1)</f>
        <v>-0.0281597473584572</v>
      </c>
      <c r="P101" s="54"/>
      <c r="Q101" s="53" t="str">
        <f aca="false">IF(NOT(ISNUMBER($P101)),"",IFERROR(PERCENTRANK($P$5:$P$1204,$P101),""))</f>
        <v/>
      </c>
    </row>
    <row r="102" customFormat="false" ht="15" hidden="false" customHeight="false" outlineLevel="0" collapsed="false">
      <c r="A102" s="47" t="n">
        <v>45705</v>
      </c>
      <c r="B102" s="48" t="s">
        <v>250</v>
      </c>
      <c r="C102" s="49" t="n">
        <v>96495517</v>
      </c>
      <c r="D102" s="49" t="n">
        <v>96616871</v>
      </c>
      <c r="E102" s="49" t="n">
        <v>96385054</v>
      </c>
      <c r="F102" s="49" t="n">
        <v>0</v>
      </c>
      <c r="G102" s="50" t="n">
        <f aca="false">IF($A102="","",IF(ISNUMBER($G101),$G101+1,1))</f>
        <v>98</v>
      </c>
      <c r="H102" s="51" t="n">
        <f aca="false">IF(OR(NOT(ISNUMBER($G102)),$G102&lt;2,NOT(ISNUMBER($C101)),$C101=0),"",$C102/$C101-1)</f>
        <v>0.00473136967355581</v>
      </c>
      <c r="I102" s="52" t="n">
        <f aca="false">IF(AND(ISNUMBER($G102),$G102&gt;=MA_SHORT),AVERAGE(INDEX($C$5:$C102,99-MA_SHORT):$C102),"")</f>
        <v>94263028.75</v>
      </c>
      <c r="J102" s="52" t="n">
        <f aca="false">IF(AND(ISNUMBER($G102),$G102&gt;=MA_MED),AVERAGE(INDEX($C$5:$C102,99-MA_MED):$C102),"")</f>
        <v>90612012.76</v>
      </c>
      <c r="K102" s="52" t="str">
        <f aca="false">IF(AND(ISNUMBER($G102),$G102&gt;=MA_LONG2),AVERAGE(INDEX($C$5:$C102,99-MA_LONG2):$C102),"")</f>
        <v/>
      </c>
      <c r="L102" s="53" t="n">
        <f aca="false">IF(AND(ISNUMBER($G102),$G102&gt;=21),STDEV(INDEX($H$42:$H102,62-20):$H102)*SQRT(245),"")</f>
        <v>0.2725110998498</v>
      </c>
      <c r="M102" s="52" t="n">
        <f aca="false">IF(AND(ISNUMBER($G102),$G102&gt;=60),MAX(INDEX($D$5:$D102,99-60):$D102),"")</f>
        <v>98823969</v>
      </c>
      <c r="N102" s="52" t="n">
        <f aca="false">IF(AND(ISNUMBER($G102),$G102&gt;=60),MIN(INDEX($E$5:$E102,99-60):$E102),"")</f>
        <v>79919949</v>
      </c>
      <c r="O102" s="53" t="n">
        <f aca="false">IF(OR(NOT(ISNUMBER($C102)),NOT(ISNUMBER($M102)),$M102=0),"",$C102/$M102-1)</f>
        <v>-0.0235616118595682</v>
      </c>
      <c r="P102" s="54"/>
      <c r="Q102" s="53" t="str">
        <f aca="false">IF(NOT(ISNUMBER($P102)),"",IFERROR(PERCENTRANK($P$5:$P$1204,$P102),""))</f>
        <v/>
      </c>
    </row>
    <row r="103" customFormat="false" ht="15" hidden="false" customHeight="false" outlineLevel="0" collapsed="false">
      <c r="A103" s="47" t="n">
        <v>45706</v>
      </c>
      <c r="B103" s="48" t="s">
        <v>251</v>
      </c>
      <c r="C103" s="49" t="n">
        <v>98982636</v>
      </c>
      <c r="D103" s="49" t="n">
        <v>99381454</v>
      </c>
      <c r="E103" s="49" t="n">
        <v>98658214</v>
      </c>
      <c r="F103" s="49" t="n">
        <v>0</v>
      </c>
      <c r="G103" s="50" t="n">
        <f aca="false">IF($A103="","",IF(ISNUMBER($G102),$G102+1,1))</f>
        <v>99</v>
      </c>
      <c r="H103" s="51" t="n">
        <f aca="false">IF(OR(NOT(ISNUMBER($G103)),$G103&lt;2,NOT(ISNUMBER($C102)),$C102=0),"",$C103/$C102-1)</f>
        <v>0.0257744512628499</v>
      </c>
      <c r="I103" s="52" t="n">
        <f aca="false">IF(AND(ISNUMBER($G103),$G103&gt;=MA_SHORT),AVERAGE(INDEX($C$5:$C103,100-MA_SHORT):$C103),"")</f>
        <v>94739745.1</v>
      </c>
      <c r="J103" s="52" t="n">
        <f aca="false">IF(AND(ISNUMBER($G103),$G103&gt;=MA_MED),AVERAGE(INDEX($C$5:$C103,100-MA_MED):$C103),"")</f>
        <v>90942112.74</v>
      </c>
      <c r="K103" s="52" t="str">
        <f aca="false">IF(AND(ISNUMBER($G103),$G103&gt;=MA_LONG2),AVERAGE(INDEX($C$5:$C103,100-MA_LONG2):$C103),"")</f>
        <v/>
      </c>
      <c r="L103" s="53" t="n">
        <f aca="false">IF(AND(ISNUMBER($G103),$G103&gt;=21),STDEV(INDEX($H$43:$H103,62-20):$H103)*SQRT(245),"")</f>
        <v>0.282327638960787</v>
      </c>
      <c r="M103" s="52" t="n">
        <f aca="false">IF(AND(ISNUMBER($G103),$G103&gt;=60),MAX(INDEX($D$5:$D103,100-60):$D103),"")</f>
        <v>99381454</v>
      </c>
      <c r="N103" s="52" t="n">
        <f aca="false">IF(AND(ISNUMBER($G103),$G103&gt;=60),MIN(INDEX($E$5:$E103,100-60):$E103),"")</f>
        <v>79919949</v>
      </c>
      <c r="O103" s="53" t="n">
        <f aca="false">IF(OR(NOT(ISNUMBER($C103)),NOT(ISNUMBER($M103)),$M103=0),"",$C103/$M103-1)</f>
        <v>-0.00401300226499002</v>
      </c>
      <c r="P103" s="54"/>
      <c r="Q103" s="53" t="str">
        <f aca="false">IF(NOT(ISNUMBER($P103)),"",IFERROR(PERCENTRANK($P$5:$P$1204,$P103),""))</f>
        <v/>
      </c>
    </row>
    <row r="104" customFormat="false" ht="15" hidden="false" customHeight="false" outlineLevel="0" collapsed="false">
      <c r="A104" s="47" t="n">
        <v>45707</v>
      </c>
      <c r="B104" s="48" t="s">
        <v>252</v>
      </c>
      <c r="C104" s="49" t="n">
        <v>97871233</v>
      </c>
      <c r="D104" s="49" t="n">
        <v>98202185</v>
      </c>
      <c r="E104" s="49" t="n">
        <v>97579079</v>
      </c>
      <c r="F104" s="49" t="n">
        <v>0</v>
      </c>
      <c r="G104" s="50" t="n">
        <f aca="false">IF($A104="","",IF(ISNUMBER($G103),$G103+1,1))</f>
        <v>100</v>
      </c>
      <c r="H104" s="51" t="n">
        <f aca="false">IF(OR(NOT(ISNUMBER($G104)),$G104&lt;2,NOT(ISNUMBER($C103)),$C103=0),"",$C104/$C103-1)</f>
        <v>-0.01122826229845</v>
      </c>
      <c r="I104" s="52" t="n">
        <f aca="false">IF(AND(ISNUMBER($G104),$G104&gt;=MA_SHORT),AVERAGE(INDEX($C$5:$C104,101-MA_SHORT):$C104),"")</f>
        <v>95246726.3</v>
      </c>
      <c r="J104" s="52" t="n">
        <f aca="false">IF(AND(ISNUMBER($G104),$G104&gt;=MA_MED),AVERAGE(INDEX($C$5:$C104,101-MA_MED):$C104),"")</f>
        <v>91237527.5</v>
      </c>
      <c r="K104" s="52" t="str">
        <f aca="false">IF(AND(ISNUMBER($G104),$G104&gt;=MA_LONG2),AVERAGE(INDEX($C$5:$C104,101-MA_LONG2):$C104),"")</f>
        <v/>
      </c>
      <c r="L104" s="53" t="n">
        <f aca="false">IF(AND(ISNUMBER($G104),$G104&gt;=21),STDEV(INDEX($H$44:$H104,62-20):$H104)*SQRT(245),"")</f>
        <v>0.274717477271312</v>
      </c>
      <c r="M104" s="52" t="n">
        <f aca="false">IF(AND(ISNUMBER($G104),$G104&gt;=60),MAX(INDEX($D$5:$D104,101-60):$D104),"")</f>
        <v>99381454</v>
      </c>
      <c r="N104" s="52" t="n">
        <f aca="false">IF(AND(ISNUMBER($G104),$G104&gt;=60),MIN(INDEX($E$5:$E104,101-60):$E104),"")</f>
        <v>79919949</v>
      </c>
      <c r="O104" s="53" t="n">
        <f aca="false">IF(OR(NOT(ISNUMBER($C104)),NOT(ISNUMBER($M104)),$M104=0),"",$C104/$M104-1)</f>
        <v>-0.0151962055214044</v>
      </c>
      <c r="P104" s="54"/>
      <c r="Q104" s="53" t="str">
        <f aca="false">IF(NOT(ISNUMBER($P104)),"",IFERROR(PERCENTRANK($P$5:$P$1204,$P104),""))</f>
        <v/>
      </c>
    </row>
    <row r="105" customFormat="false" ht="15" hidden="false" customHeight="false" outlineLevel="0" collapsed="false">
      <c r="A105" s="47" t="n">
        <v>45710</v>
      </c>
      <c r="B105" s="48" t="s">
        <v>253</v>
      </c>
      <c r="C105" s="49" t="n">
        <v>95777260</v>
      </c>
      <c r="D105" s="49" t="n">
        <v>96471688</v>
      </c>
      <c r="E105" s="49" t="n">
        <v>95060742</v>
      </c>
      <c r="F105" s="49" t="n">
        <v>0</v>
      </c>
      <c r="G105" s="50" t="n">
        <f aca="false">IF($A105="","",IF(ISNUMBER($G104),$G104+1,1))</f>
        <v>101</v>
      </c>
      <c r="H105" s="51" t="n">
        <f aca="false">IF(OR(NOT(ISNUMBER($G105)),$G105&lt;2,NOT(ISNUMBER($C104)),$C104=0),"",$C105/$C104-1)</f>
        <v>-0.0213951836082417</v>
      </c>
      <c r="I105" s="52" t="n">
        <f aca="false">IF(AND(ISNUMBER($G105),$G105&gt;=MA_SHORT),AVERAGE(INDEX($C$5:$C105,102-MA_SHORT):$C105),"")</f>
        <v>95668678.85</v>
      </c>
      <c r="J105" s="52" t="n">
        <f aca="false">IF(AND(ISNUMBER($G105),$G105&gt;=MA_MED),AVERAGE(INDEX($C$5:$C105,102-MA_MED):$C105),"")</f>
        <v>91451506.6</v>
      </c>
      <c r="K105" s="52" t="str">
        <f aca="false">IF(AND(ISNUMBER($G105),$G105&gt;=MA_LONG2),AVERAGE(INDEX($C$5:$C105,102-MA_LONG2):$C105),"")</f>
        <v/>
      </c>
      <c r="L105" s="53" t="n">
        <f aca="false">IF(AND(ISNUMBER($G105),$G105&gt;=21),STDEV(INDEX($H$45:$H105,62-20):$H105)*SQRT(245),"")</f>
        <v>0.288762498495991</v>
      </c>
      <c r="M105" s="52" t="n">
        <f aca="false">IF(AND(ISNUMBER($G105),$G105&gt;=60),MAX(INDEX($D$5:$D105,102-60):$D105),"")</f>
        <v>99381454</v>
      </c>
      <c r="N105" s="52" t="n">
        <f aca="false">IF(AND(ISNUMBER($G105),$G105&gt;=60),MIN(INDEX($E$5:$E105,102-60):$E105),"")</f>
        <v>79919949</v>
      </c>
      <c r="O105" s="53" t="n">
        <f aca="false">IF(OR(NOT(ISNUMBER($C105)),NOT(ISNUMBER($M105)),$M105=0),"",$C105/$M105-1)</f>
        <v>-0.0362662635223671</v>
      </c>
      <c r="P105" s="54"/>
      <c r="Q105" s="53" t="str">
        <f aca="false">IF(NOT(ISNUMBER($P105)),"",IFERROR(PERCENTRANK($P$5:$P$1204,$P105),""))</f>
        <v/>
      </c>
    </row>
    <row r="106" customFormat="false" ht="15" hidden="false" customHeight="false" outlineLevel="0" collapsed="false">
      <c r="A106" s="47" t="n">
        <v>45711</v>
      </c>
      <c r="B106" s="48" t="s">
        <v>254</v>
      </c>
      <c r="C106" s="49" t="n">
        <v>94570472</v>
      </c>
      <c r="D106" s="49" t="n">
        <v>95019472</v>
      </c>
      <c r="E106" s="49" t="n">
        <v>94514377</v>
      </c>
      <c r="F106" s="49" t="n">
        <v>0</v>
      </c>
      <c r="G106" s="50" t="n">
        <f aca="false">IF($A106="","",IF(ISNUMBER($G105),$G105+1,1))</f>
        <v>102</v>
      </c>
      <c r="H106" s="51" t="n">
        <f aca="false">IF(OR(NOT(ISNUMBER($G106)),$G106&lt;2,NOT(ISNUMBER($C105)),$C105=0),"",$C106/$C105-1)</f>
        <v>-0.012599942825677</v>
      </c>
      <c r="I106" s="52" t="n">
        <f aca="false">IF(AND(ISNUMBER($G106),$G106&gt;=MA_SHORT),AVERAGE(INDEX($C$5:$C106,103-MA_SHORT):$C106),"")</f>
        <v>95915111.4</v>
      </c>
      <c r="J106" s="52" t="n">
        <f aca="false">IF(AND(ISNUMBER($G106),$G106&gt;=MA_MED),AVERAGE(INDEX($C$5:$C106,103-MA_MED):$C106),"")</f>
        <v>91673767.26</v>
      </c>
      <c r="K106" s="52" t="str">
        <f aca="false">IF(AND(ISNUMBER($G106),$G106&gt;=MA_LONG2),AVERAGE(INDEX($C$5:$C106,103-MA_LONG2):$C106),"")</f>
        <v/>
      </c>
      <c r="L106" s="53" t="n">
        <f aca="false">IF(AND(ISNUMBER($G106),$G106&gt;=21),STDEV(INDEX($H$46:$H106,62-20):$H106)*SQRT(245),"")</f>
        <v>0.283353906149489</v>
      </c>
      <c r="M106" s="52" t="n">
        <f aca="false">IF(AND(ISNUMBER($G106),$G106&gt;=60),MAX(INDEX($D$5:$D106,103-60):$D106),"")</f>
        <v>99381454</v>
      </c>
      <c r="N106" s="52" t="n">
        <f aca="false">IF(AND(ISNUMBER($G106),$G106&gt;=60),MIN(INDEX($E$5:$E106,103-60):$E106),"")</f>
        <v>79919949</v>
      </c>
      <c r="O106" s="53" t="n">
        <f aca="false">IF(OR(NOT(ISNUMBER($C106)),NOT(ISNUMBER($M106)),$M106=0),"",$C106/$M106-1)</f>
        <v>-0.0484092535011613</v>
      </c>
      <c r="P106" s="54"/>
      <c r="Q106" s="53" t="str">
        <f aca="false">IF(NOT(ISNUMBER($P106)),"",IFERROR(PERCENTRANK($P$5:$P$1204,$P106),""))</f>
        <v/>
      </c>
    </row>
    <row r="107" customFormat="false" ht="15" hidden="false" customHeight="false" outlineLevel="0" collapsed="false">
      <c r="A107" s="47" t="n">
        <v>45712</v>
      </c>
      <c r="B107" s="48" t="s">
        <v>255</v>
      </c>
      <c r="C107" s="49" t="n">
        <v>94264674</v>
      </c>
      <c r="D107" s="49" t="n">
        <v>94552270</v>
      </c>
      <c r="E107" s="49" t="n">
        <v>93825402</v>
      </c>
      <c r="F107" s="49" t="n">
        <v>0</v>
      </c>
      <c r="G107" s="50" t="n">
        <f aca="false">IF($A107="","",IF(ISNUMBER($G106),$G106+1,1))</f>
        <v>103</v>
      </c>
      <c r="H107" s="51" t="n">
        <f aca="false">IF(OR(NOT(ISNUMBER($G107)),$G107&lt;2,NOT(ISNUMBER($C106)),$C106=0),"",$C107/$C106-1)</f>
        <v>-0.00323354630185202</v>
      </c>
      <c r="I107" s="52" t="n">
        <f aca="false">IF(AND(ISNUMBER($G107),$G107&gt;=MA_SHORT),AVERAGE(INDEX($C$5:$C107,104-MA_SHORT):$C107),"")</f>
        <v>96035397.7</v>
      </c>
      <c r="J107" s="52" t="n">
        <f aca="false">IF(AND(ISNUMBER($G107),$G107&gt;=MA_MED),AVERAGE(INDEX($C$5:$C107,104-MA_MED):$C107),"")</f>
        <v>91875260.08</v>
      </c>
      <c r="K107" s="52" t="str">
        <f aca="false">IF(AND(ISNUMBER($G107),$G107&gt;=MA_LONG2),AVERAGE(INDEX($C$5:$C107,104-MA_LONG2):$C107),"")</f>
        <v/>
      </c>
      <c r="L107" s="53" t="n">
        <f aca="false">IF(AND(ISNUMBER($G107),$G107&gt;=21),STDEV(INDEX($H$47:$H107,62-20):$H107)*SQRT(245),"")</f>
        <v>0.272170304485343</v>
      </c>
      <c r="M107" s="52" t="n">
        <f aca="false">IF(AND(ISNUMBER($G107),$G107&gt;=60),MAX(INDEX($D$5:$D107,104-60):$D107),"")</f>
        <v>99381454</v>
      </c>
      <c r="N107" s="52" t="n">
        <f aca="false">IF(AND(ISNUMBER($G107),$G107&gt;=60),MIN(INDEX($E$5:$E107,104-60):$E107),"")</f>
        <v>79919949</v>
      </c>
      <c r="O107" s="53" t="n">
        <f aca="false">IF(OR(NOT(ISNUMBER($C107)),NOT(ISNUMBER($M107)),$M107=0),"",$C107/$M107-1)</f>
        <v>-0.0514862662403792</v>
      </c>
      <c r="P107" s="54"/>
      <c r="Q107" s="53" t="str">
        <f aca="false">IF(NOT(ISNUMBER($P107)),"",IFERROR(PERCENTRANK($P$5:$P$1204,$P107),""))</f>
        <v/>
      </c>
    </row>
    <row r="108" customFormat="false" ht="15" hidden="false" customHeight="false" outlineLevel="0" collapsed="false">
      <c r="A108" s="47" t="n">
        <v>45713</v>
      </c>
      <c r="B108" s="48" t="s">
        <v>256</v>
      </c>
      <c r="C108" s="49" t="n">
        <v>97599289</v>
      </c>
      <c r="D108" s="49" t="n">
        <v>97637342</v>
      </c>
      <c r="E108" s="49" t="n">
        <v>97291799</v>
      </c>
      <c r="F108" s="49" t="n">
        <v>0</v>
      </c>
      <c r="G108" s="50" t="n">
        <f aca="false">IF($A108="","",IF(ISNUMBER($G107),$G107+1,1))</f>
        <v>104</v>
      </c>
      <c r="H108" s="51" t="n">
        <f aca="false">IF(OR(NOT(ISNUMBER($G108)),$G108&lt;2,NOT(ISNUMBER($C107)),$C107=0),"",$C108/$C107-1)</f>
        <v>0.0353750228850311</v>
      </c>
      <c r="I108" s="52" t="n">
        <f aca="false">IF(AND(ISNUMBER($G108),$G108&gt;=MA_SHORT),AVERAGE(INDEX($C$5:$C108,105-MA_SHORT):$C108),"")</f>
        <v>96261084.8</v>
      </c>
      <c r="J108" s="52" t="n">
        <f aca="false">IF(AND(ISNUMBER($G108),$G108&gt;=MA_MED),AVERAGE(INDEX($C$5:$C108,105-MA_MED):$C108),"")</f>
        <v>92123139.44</v>
      </c>
      <c r="K108" s="52" t="str">
        <f aca="false">IF(AND(ISNUMBER($G108),$G108&gt;=MA_LONG2),AVERAGE(INDEX($C$5:$C108,105-MA_LONG2):$C108),"")</f>
        <v/>
      </c>
      <c r="L108" s="53" t="n">
        <f aca="false">IF(AND(ISNUMBER($G108),$G108&gt;=21),STDEV(INDEX($H$48:$H108,62-20):$H108)*SQRT(245),"")</f>
        <v>0.294593302285594</v>
      </c>
      <c r="M108" s="52" t="n">
        <f aca="false">IF(AND(ISNUMBER($G108),$G108&gt;=60),MAX(INDEX($D$5:$D108,105-60):$D108),"")</f>
        <v>99381454</v>
      </c>
      <c r="N108" s="52" t="n">
        <f aca="false">IF(AND(ISNUMBER($G108),$G108&gt;=60),MIN(INDEX($E$5:$E108,105-60):$E108),"")</f>
        <v>79919949</v>
      </c>
      <c r="O108" s="53" t="n">
        <f aca="false">IF(OR(NOT(ISNUMBER($C108)),NOT(ISNUMBER($M108)),$M108=0),"",$C108/$M108-1)</f>
        <v>-0.0179325712018663</v>
      </c>
      <c r="P108" s="54"/>
      <c r="Q108" s="53" t="str">
        <f aca="false">IF(NOT(ISNUMBER($P108)),"",IFERROR(PERCENTRANK($P$5:$P$1204,$P108),""))</f>
        <v/>
      </c>
    </row>
    <row r="109" customFormat="false" ht="15" hidden="false" customHeight="false" outlineLevel="0" collapsed="false">
      <c r="A109" s="47" t="n">
        <v>45714</v>
      </c>
      <c r="B109" s="48" t="s">
        <v>257</v>
      </c>
      <c r="C109" s="49" t="n">
        <v>97142293</v>
      </c>
      <c r="D109" s="49" t="n">
        <v>97150357</v>
      </c>
      <c r="E109" s="49" t="n">
        <v>96915207</v>
      </c>
      <c r="F109" s="49" t="n">
        <v>0</v>
      </c>
      <c r="G109" s="50" t="n">
        <f aca="false">IF($A109="","",IF(ISNUMBER($G108),$G108+1,1))</f>
        <v>105</v>
      </c>
      <c r="H109" s="51" t="n">
        <f aca="false">IF(OR(NOT(ISNUMBER($G109)),$G109&lt;2,NOT(ISNUMBER($C108)),$C108=0),"",$C109/$C108-1)</f>
        <v>-0.00468237017587292</v>
      </c>
      <c r="I109" s="52" t="n">
        <f aca="false">IF(AND(ISNUMBER($G109),$G109&gt;=MA_SHORT),AVERAGE(INDEX($C$5:$C109,106-MA_SHORT):$C109),"")</f>
        <v>96372560.8</v>
      </c>
      <c r="J109" s="52" t="n">
        <f aca="false">IF(AND(ISNUMBER($G109),$G109&gt;=MA_MED),AVERAGE(INDEX($C$5:$C109,106-MA_MED):$C109),"")</f>
        <v>92352419.82</v>
      </c>
      <c r="K109" s="52" t="str">
        <f aca="false">IF(AND(ISNUMBER($G109),$G109&gt;=MA_LONG2),AVERAGE(INDEX($C$5:$C109,106-MA_LONG2):$C109),"")</f>
        <v/>
      </c>
      <c r="L109" s="53" t="n">
        <f aca="false">IF(AND(ISNUMBER($G109),$G109&gt;=21),STDEV(INDEX($H$49:$H109,62-20):$H109)*SQRT(245),"")</f>
        <v>0.288633774571126</v>
      </c>
      <c r="M109" s="52" t="n">
        <f aca="false">IF(AND(ISNUMBER($G109),$G109&gt;=60),MAX(INDEX($D$5:$D109,106-60):$D109),"")</f>
        <v>99381454</v>
      </c>
      <c r="N109" s="52" t="n">
        <f aca="false">IF(AND(ISNUMBER($G109),$G109&gt;=60),MIN(INDEX($E$5:$E109,106-60):$E109),"")</f>
        <v>79919949</v>
      </c>
      <c r="O109" s="53" t="n">
        <f aca="false">IF(OR(NOT(ISNUMBER($C109)),NOT(ISNUMBER($M109)),$M109=0),"",$C109/$M109-1)</f>
        <v>-0.0225309744411668</v>
      </c>
      <c r="P109" s="54"/>
      <c r="Q109" s="53" t="str">
        <f aca="false">IF(NOT(ISNUMBER($P109)),"",IFERROR(PERCENTRANK($P$5:$P$1204,$P109),""))</f>
        <v/>
      </c>
    </row>
    <row r="110" customFormat="false" ht="15" hidden="false" customHeight="false" outlineLevel="0" collapsed="false">
      <c r="A110" s="47" t="n">
        <v>45717</v>
      </c>
      <c r="B110" s="48" t="s">
        <v>258</v>
      </c>
      <c r="C110" s="49" t="n">
        <v>97118918</v>
      </c>
      <c r="D110" s="49" t="n">
        <v>97195501</v>
      </c>
      <c r="E110" s="49" t="n">
        <v>96977792</v>
      </c>
      <c r="F110" s="49" t="n">
        <v>0</v>
      </c>
      <c r="G110" s="50" t="n">
        <f aca="false">IF($A110="","",IF(ISNUMBER($G109),$G109+1,1))</f>
        <v>106</v>
      </c>
      <c r="H110" s="51" t="n">
        <f aca="false">IF(OR(NOT(ISNUMBER($G110)),$G110&lt;2,NOT(ISNUMBER($C109)),$C109=0),"",$C110/$C109-1)</f>
        <v>-0.00024062639740241</v>
      </c>
      <c r="I110" s="52" t="n">
        <f aca="false">IF(AND(ISNUMBER($G110),$G110&gt;=MA_SHORT),AVERAGE(INDEX($C$5:$C110,107-MA_SHORT):$C110),"")</f>
        <v>96337423.5</v>
      </c>
      <c r="J110" s="52" t="n">
        <f aca="false">IF(AND(ISNUMBER($G110),$G110&gt;=MA_MED),AVERAGE(INDEX($C$5:$C110,107-MA_MED):$C110),"")</f>
        <v>92580785.06</v>
      </c>
      <c r="K110" s="52" t="str">
        <f aca="false">IF(AND(ISNUMBER($G110),$G110&gt;=MA_LONG2),AVERAGE(INDEX($C$5:$C110,107-MA_LONG2):$C110),"")</f>
        <v/>
      </c>
      <c r="L110" s="53" t="n">
        <f aca="false">IF(AND(ISNUMBER($G110),$G110&gt;=21),STDEV(INDEX($H$50:$H110,62-20):$H110)*SQRT(245),"")</f>
        <v>0.26764955855072</v>
      </c>
      <c r="M110" s="52" t="n">
        <f aca="false">IF(AND(ISNUMBER($G110),$G110&gt;=60),MAX(INDEX($D$5:$D110,107-60):$D110),"")</f>
        <v>99381454</v>
      </c>
      <c r="N110" s="52" t="n">
        <f aca="false">IF(AND(ISNUMBER($G110),$G110&gt;=60),MIN(INDEX($E$5:$E110,107-60):$E110),"")</f>
        <v>80577290</v>
      </c>
      <c r="O110" s="53" t="n">
        <f aca="false">IF(OR(NOT(ISNUMBER($C110)),NOT(ISNUMBER($M110)),$M110=0),"",$C110/$M110-1)</f>
        <v>-0.0227661792913595</v>
      </c>
      <c r="P110" s="54"/>
      <c r="Q110" s="53" t="str">
        <f aca="false">IF(NOT(ISNUMBER($P110)),"",IFERROR(PERCENTRANK($P$5:$P$1204,$P110),""))</f>
        <v/>
      </c>
    </row>
    <row r="111" customFormat="false" ht="15" hidden="false" customHeight="false" outlineLevel="0" collapsed="false">
      <c r="A111" s="47" t="n">
        <v>45718</v>
      </c>
      <c r="B111" s="48" t="s">
        <v>259</v>
      </c>
      <c r="C111" s="49" t="n">
        <v>97527142</v>
      </c>
      <c r="D111" s="49" t="n">
        <v>97819427</v>
      </c>
      <c r="E111" s="49" t="n">
        <v>97361371</v>
      </c>
      <c r="F111" s="49" t="n">
        <v>0</v>
      </c>
      <c r="G111" s="50" t="n">
        <f aca="false">IF($A111="","",IF(ISNUMBER($G110),$G110+1,1))</f>
        <v>107</v>
      </c>
      <c r="H111" s="51" t="n">
        <f aca="false">IF(OR(NOT(ISNUMBER($G111)),$G111&lt;2,NOT(ISNUMBER($C110)),$C110=0),"",$C111/$C110-1)</f>
        <v>0.00420334172174375</v>
      </c>
      <c r="I111" s="52" t="n">
        <f aca="false">IF(AND(ISNUMBER($G111),$G111&gt;=MA_SHORT),AVERAGE(INDEX($C$5:$C111,108-MA_SHORT):$C111),"")</f>
        <v>96406552.05</v>
      </c>
      <c r="J111" s="52" t="n">
        <f aca="false">IF(AND(ISNUMBER($G111),$G111&gt;=MA_MED),AVERAGE(INDEX($C$5:$C111,108-MA_MED):$C111),"")</f>
        <v>92774863.22</v>
      </c>
      <c r="K111" s="52" t="str">
        <f aca="false">IF(AND(ISNUMBER($G111),$G111&gt;=MA_LONG2),AVERAGE(INDEX($C$5:$C111,108-MA_LONG2):$C111),"")</f>
        <v/>
      </c>
      <c r="L111" s="53" t="n">
        <f aca="false">IF(AND(ISNUMBER($G111),$G111&gt;=21),STDEV(INDEX($H$51:$H111,62-20):$H111)*SQRT(245),"")</f>
        <v>0.260581018522874</v>
      </c>
      <c r="M111" s="52" t="n">
        <f aca="false">IF(AND(ISNUMBER($G111),$G111&gt;=60),MAX(INDEX($D$5:$D111,108-60):$D111),"")</f>
        <v>99381454</v>
      </c>
      <c r="N111" s="52" t="n">
        <f aca="false">IF(AND(ISNUMBER($G111),$G111&gt;=60),MIN(INDEX($E$5:$E111,108-60):$E111),"")</f>
        <v>81773914</v>
      </c>
      <c r="O111" s="53" t="n">
        <f aca="false">IF(OR(NOT(ISNUMBER($C111)),NOT(ISNUMBER($M111)),$M111=0),"",$C111/$M111-1)</f>
        <v>-0.0186585316008759</v>
      </c>
      <c r="P111" s="54"/>
      <c r="Q111" s="53" t="str">
        <f aca="false">IF(NOT(ISNUMBER($P111)),"",IFERROR(PERCENTRANK($P$5:$P$1204,$P111),""))</f>
        <v/>
      </c>
    </row>
    <row r="112" customFormat="false" ht="15" hidden="false" customHeight="false" outlineLevel="0" collapsed="false">
      <c r="A112" s="47" t="n">
        <v>45719</v>
      </c>
      <c r="B112" s="48" t="s">
        <v>260</v>
      </c>
      <c r="C112" s="49" t="n">
        <v>95402354</v>
      </c>
      <c r="D112" s="49" t="n">
        <v>95629503</v>
      </c>
      <c r="E112" s="49" t="n">
        <v>95336952</v>
      </c>
      <c r="F112" s="49" t="n">
        <v>0</v>
      </c>
      <c r="G112" s="50" t="n">
        <f aca="false">IF($A112="","",IF(ISNUMBER($G111),$G111+1,1))</f>
        <v>108</v>
      </c>
      <c r="H112" s="51" t="n">
        <f aca="false">IF(OR(NOT(ISNUMBER($G112)),$G112&lt;2,NOT(ISNUMBER($C111)),$C111=0),"",$C112/$C111-1)</f>
        <v>-0.0217866324843191</v>
      </c>
      <c r="I112" s="52" t="n">
        <f aca="false">IF(AND(ISNUMBER($G112),$G112&gt;=MA_SHORT),AVERAGE(INDEX($C$5:$C112,109-MA_SHORT):$C112),"")</f>
        <v>96355197.1</v>
      </c>
      <c r="J112" s="52" t="n">
        <f aca="false">IF(AND(ISNUMBER($G112),$G112&gt;=MA_MED),AVERAGE(INDEX($C$5:$C112,109-MA_MED):$C112),"")</f>
        <v>92919888.48</v>
      </c>
      <c r="K112" s="52" t="str">
        <f aca="false">IF(AND(ISNUMBER($G112),$G112&gt;=MA_LONG2),AVERAGE(INDEX($C$5:$C112,109-MA_LONG2):$C112),"")</f>
        <v/>
      </c>
      <c r="L112" s="53" t="n">
        <f aca="false">IF(AND(ISNUMBER($G112),$G112&gt;=21),STDEV(INDEX($H$52:$H112,62-20):$H112)*SQRT(245),"")</f>
        <v>0.272129329804031</v>
      </c>
      <c r="M112" s="52" t="n">
        <f aca="false">IF(AND(ISNUMBER($G112),$G112&gt;=60),MAX(INDEX($D$5:$D112,109-60):$D112),"")</f>
        <v>99381454</v>
      </c>
      <c r="N112" s="52" t="n">
        <f aca="false">IF(AND(ISNUMBER($G112),$G112&gt;=60),MIN(INDEX($E$5:$E112,109-60):$E112),"")</f>
        <v>82130805</v>
      </c>
      <c r="O112" s="53" t="n">
        <f aca="false">IF(OR(NOT(ISNUMBER($C112)),NOT(ISNUMBER($M112)),$M112=0),"",$C112/$M112-1)</f>
        <v>-0.0400386575145097</v>
      </c>
      <c r="P112" s="54"/>
      <c r="Q112" s="53" t="str">
        <f aca="false">IF(NOT(ISNUMBER($P112)),"",IFERROR(PERCENTRANK($P$5:$P$1204,$P112),""))</f>
        <v/>
      </c>
    </row>
    <row r="113" customFormat="false" ht="15" hidden="false" customHeight="false" outlineLevel="0" collapsed="false">
      <c r="A113" s="47" t="n">
        <v>45720</v>
      </c>
      <c r="B113" s="48" t="s">
        <v>261</v>
      </c>
      <c r="C113" s="49" t="n">
        <v>96186932</v>
      </c>
      <c r="D113" s="49" t="n">
        <v>96207861</v>
      </c>
      <c r="E113" s="49" t="n">
        <v>96159181</v>
      </c>
      <c r="F113" s="49" t="n">
        <v>0</v>
      </c>
      <c r="G113" s="50" t="n">
        <f aca="false">IF($A113="","",IF(ISNUMBER($G112),$G112+1,1))</f>
        <v>109</v>
      </c>
      <c r="H113" s="51" t="n">
        <f aca="false">IF(OR(NOT(ISNUMBER($G113)),$G113&lt;2,NOT(ISNUMBER($C112)),$C112=0),"",$C113/$C112-1)</f>
        <v>0.00822388512551808</v>
      </c>
      <c r="I113" s="52" t="n">
        <f aca="false">IF(AND(ISNUMBER($G113),$G113&gt;=MA_SHORT),AVERAGE(INDEX($C$5:$C113,110-MA_SHORT):$C113),"")</f>
        <v>96308275.25</v>
      </c>
      <c r="J113" s="52" t="n">
        <f aca="false">IF(AND(ISNUMBER($G113),$G113&gt;=MA_MED),AVERAGE(INDEX($C$5:$C113,110-MA_MED):$C113),"")</f>
        <v>93090102.54</v>
      </c>
      <c r="K113" s="52" t="str">
        <f aca="false">IF(AND(ISNUMBER($G113),$G113&gt;=MA_LONG2),AVERAGE(INDEX($C$5:$C113,110-MA_LONG2):$C113),"")</f>
        <v/>
      </c>
      <c r="L113" s="53" t="n">
        <f aca="false">IF(AND(ISNUMBER($G113),$G113&gt;=21),STDEV(INDEX($H$53:$H113,62-20):$H113)*SQRT(245),"")</f>
        <v>0.27251497826855</v>
      </c>
      <c r="M113" s="52" t="n">
        <f aca="false">IF(AND(ISNUMBER($G113),$G113&gt;=60),MAX(INDEX($D$5:$D113,110-60):$D113),"")</f>
        <v>99381454</v>
      </c>
      <c r="N113" s="52" t="n">
        <f aca="false">IF(AND(ISNUMBER($G113),$G113&gt;=60),MIN(INDEX($E$5:$E113,110-60):$E113),"")</f>
        <v>82871587</v>
      </c>
      <c r="O113" s="53" t="n">
        <f aca="false">IF(OR(NOT(ISNUMBER($C113)),NOT(ISNUMBER($M113)),$M113=0),"",$C113/$M113-1)</f>
        <v>-0.032144045708971</v>
      </c>
      <c r="P113" s="54"/>
      <c r="Q113" s="53" t="str">
        <f aca="false">IF(NOT(ISNUMBER($P113)),"",IFERROR(PERCENTRANK($P$5:$P$1204,$P113),""))</f>
        <v/>
      </c>
    </row>
    <row r="114" customFormat="false" ht="15" hidden="false" customHeight="false" outlineLevel="0" collapsed="false">
      <c r="A114" s="47" t="n">
        <v>45721</v>
      </c>
      <c r="B114" s="48" t="s">
        <v>262</v>
      </c>
      <c r="C114" s="49" t="n">
        <v>96395712</v>
      </c>
      <c r="D114" s="49" t="n">
        <v>96555065</v>
      </c>
      <c r="E114" s="49" t="n">
        <v>96389692</v>
      </c>
      <c r="F114" s="49" t="n">
        <v>0</v>
      </c>
      <c r="G114" s="50" t="n">
        <f aca="false">IF($A114="","",IF(ISNUMBER($G113),$G113+1,1))</f>
        <v>110</v>
      </c>
      <c r="H114" s="51" t="n">
        <f aca="false">IF(OR(NOT(ISNUMBER($G114)),$G114&lt;2,NOT(ISNUMBER($C113)),$C113=0),"",$C114/$C113-1)</f>
        <v>0.0021705651241688</v>
      </c>
      <c r="I114" s="52" t="n">
        <f aca="false">IF(AND(ISNUMBER($G114),$G114&gt;=MA_SHORT),AVERAGE(INDEX($C$5:$C114,111-MA_SHORT):$C114),"")</f>
        <v>96224515.4</v>
      </c>
      <c r="J114" s="52" t="n">
        <f aca="false">IF(AND(ISNUMBER($G114),$G114&gt;=MA_MED),AVERAGE(INDEX($C$5:$C114,111-MA_MED):$C114),"")</f>
        <v>93268017.24</v>
      </c>
      <c r="K114" s="52" t="str">
        <f aca="false">IF(AND(ISNUMBER($G114),$G114&gt;=MA_LONG2),AVERAGE(INDEX($C$5:$C114,111-MA_LONG2):$C114),"")</f>
        <v/>
      </c>
      <c r="L114" s="53" t="n">
        <f aca="false">IF(AND(ISNUMBER($G114),$G114&gt;=21),STDEV(INDEX($H$54:$H114,62-20):$H114)*SQRT(245),"")</f>
        <v>0.270184122142658</v>
      </c>
      <c r="M114" s="52" t="n">
        <f aca="false">IF(AND(ISNUMBER($G114),$G114&gt;=60),MAX(INDEX($D$5:$D114,111-60):$D114),"")</f>
        <v>99381454</v>
      </c>
      <c r="N114" s="52" t="n">
        <f aca="false">IF(AND(ISNUMBER($G114),$G114&gt;=60),MIN(INDEX($E$5:$E114,111-60):$E114),"")</f>
        <v>83362926</v>
      </c>
      <c r="O114" s="53" t="n">
        <f aca="false">IF(OR(NOT(ISNUMBER($C114)),NOT(ISNUMBER($M114)),$M114=0),"",$C114/$M114-1)</f>
        <v>-0.0300432513293678</v>
      </c>
      <c r="P114" s="54"/>
      <c r="Q114" s="53" t="str">
        <f aca="false">IF(NOT(ISNUMBER($P114)),"",IFERROR(PERCENTRANK($P$5:$P$1204,$P114),""))</f>
        <v/>
      </c>
    </row>
    <row r="115" customFormat="false" ht="15" hidden="false" customHeight="false" outlineLevel="0" collapsed="false">
      <c r="A115" s="47" t="n">
        <v>45724</v>
      </c>
      <c r="B115" s="48" t="s">
        <v>263</v>
      </c>
      <c r="C115" s="49" t="n">
        <v>93743848</v>
      </c>
      <c r="D115" s="49" t="n">
        <v>94042193</v>
      </c>
      <c r="E115" s="49" t="n">
        <v>93636603</v>
      </c>
      <c r="F115" s="49" t="n">
        <v>0</v>
      </c>
      <c r="G115" s="50" t="n">
        <f aca="false">IF($A115="","",IF(ISNUMBER($G114),$G114+1,1))</f>
        <v>111</v>
      </c>
      <c r="H115" s="51" t="n">
        <f aca="false">IF(OR(NOT(ISNUMBER($G115)),$G115&lt;2,NOT(ISNUMBER($C114)),$C114=0),"",$C115/$C114-1)</f>
        <v>-0.0275101863452183</v>
      </c>
      <c r="I115" s="52" t="n">
        <f aca="false">IF(AND(ISNUMBER($G115),$G115&gt;=MA_SHORT),AVERAGE(INDEX($C$5:$C115,112-MA_SHORT):$C115),"")</f>
        <v>96133716.55</v>
      </c>
      <c r="J115" s="52" t="n">
        <f aca="false">IF(AND(ISNUMBER($G115),$G115&gt;=MA_MED),AVERAGE(INDEX($C$5:$C115,112-MA_MED):$C115),"")</f>
        <v>93424407.78</v>
      </c>
      <c r="K115" s="52" t="str">
        <f aca="false">IF(AND(ISNUMBER($G115),$G115&gt;=MA_LONG2),AVERAGE(INDEX($C$5:$C115,112-MA_LONG2):$C115),"")</f>
        <v/>
      </c>
      <c r="L115" s="53" t="n">
        <f aca="false">IF(AND(ISNUMBER($G115),$G115&gt;=21),STDEV(INDEX($H$55:$H115,62-20):$H115)*SQRT(245),"")</f>
        <v>0.272519264804487</v>
      </c>
      <c r="M115" s="52" t="n">
        <f aca="false">IF(AND(ISNUMBER($G115),$G115&gt;=60),MAX(INDEX($D$5:$D115,112-60):$D115),"")</f>
        <v>99381454</v>
      </c>
      <c r="N115" s="52" t="n">
        <f aca="false">IF(AND(ISNUMBER($G115),$G115&gt;=60),MIN(INDEX($E$5:$E115,112-60):$E115),"")</f>
        <v>83362926</v>
      </c>
      <c r="O115" s="53" t="n">
        <f aca="false">IF(OR(NOT(ISNUMBER($C115)),NOT(ISNUMBER($M115)),$M115=0),"",$C115/$M115-1)</f>
        <v>-0.056726942232099</v>
      </c>
      <c r="P115" s="54"/>
      <c r="Q115" s="53" t="str">
        <f aca="false">IF(NOT(ISNUMBER($P115)),"",IFERROR(PERCENTRANK($P$5:$P$1204,$P115),""))</f>
        <v/>
      </c>
    </row>
    <row r="116" customFormat="false" ht="15" hidden="false" customHeight="false" outlineLevel="0" collapsed="false">
      <c r="A116" s="47" t="n">
        <v>45725</v>
      </c>
      <c r="B116" s="48" t="s">
        <v>264</v>
      </c>
      <c r="C116" s="49" t="n">
        <v>92102628</v>
      </c>
      <c r="D116" s="49" t="n">
        <v>93012513</v>
      </c>
      <c r="E116" s="49" t="n">
        <v>91519465</v>
      </c>
      <c r="F116" s="49" t="n">
        <v>0</v>
      </c>
      <c r="G116" s="50" t="n">
        <f aca="false">IF($A116="","",IF(ISNUMBER($G115),$G115+1,1))</f>
        <v>112</v>
      </c>
      <c r="H116" s="51" t="n">
        <f aca="false">IF(OR(NOT(ISNUMBER($G116)),$G116&lt;2,NOT(ISNUMBER($C115)),$C115=0),"",$C116/$C115-1)</f>
        <v>-0.0175074955318668</v>
      </c>
      <c r="I116" s="52" t="n">
        <f aca="false">IF(AND(ISNUMBER($G116),$G116&gt;=MA_SHORT),AVERAGE(INDEX($C$5:$C116,113-MA_SHORT):$C116),"")</f>
        <v>96043849.1</v>
      </c>
      <c r="J116" s="52" t="n">
        <f aca="false">IF(AND(ISNUMBER($G116),$G116&gt;=MA_MED),AVERAGE(INDEX($C$5:$C116,113-MA_MED):$C116),"")</f>
        <v>93533328.12</v>
      </c>
      <c r="K116" s="52" t="str">
        <f aca="false">IF(AND(ISNUMBER($G116),$G116&gt;=MA_LONG2),AVERAGE(INDEX($C$5:$C116,113-MA_LONG2):$C116),"")</f>
        <v/>
      </c>
      <c r="L116" s="53" t="n">
        <f aca="false">IF(AND(ISNUMBER($G116),$G116&gt;=21),STDEV(INDEX($H$56:$H116,62-20):$H116)*SQRT(245),"")</f>
        <v>0.272627583894345</v>
      </c>
      <c r="M116" s="52" t="n">
        <f aca="false">IF(AND(ISNUMBER($G116),$G116&gt;=60),MAX(INDEX($D$5:$D116,113-60):$D116),"")</f>
        <v>99381454</v>
      </c>
      <c r="N116" s="52" t="n">
        <f aca="false">IF(AND(ISNUMBER($G116),$G116&gt;=60),MIN(INDEX($E$5:$E116,113-60):$E116),"")</f>
        <v>84048529</v>
      </c>
      <c r="O116" s="53" t="n">
        <f aca="false">IF(OR(NOT(ISNUMBER($C116)),NOT(ISNUMBER($M116)),$M116=0),"",$C116/$M116-1)</f>
        <v>-0.0732412910763008</v>
      </c>
      <c r="P116" s="54"/>
      <c r="Q116" s="53" t="str">
        <f aca="false">IF(NOT(ISNUMBER($P116)),"",IFERROR(PERCENTRANK($P$5:$P$1204,$P116),""))</f>
        <v/>
      </c>
    </row>
    <row r="117" customFormat="false" ht="15" hidden="false" customHeight="false" outlineLevel="0" collapsed="false">
      <c r="A117" s="47" t="n">
        <v>45726</v>
      </c>
      <c r="B117" s="48" t="s">
        <v>265</v>
      </c>
      <c r="C117" s="49" t="n">
        <v>90254149</v>
      </c>
      <c r="D117" s="49" t="n">
        <v>90916690</v>
      </c>
      <c r="E117" s="49" t="n">
        <v>90068814</v>
      </c>
      <c r="F117" s="49" t="n">
        <v>0</v>
      </c>
      <c r="G117" s="50" t="n">
        <f aca="false">IF($A117="","",IF(ISNUMBER($G116),$G116+1,1))</f>
        <v>113</v>
      </c>
      <c r="H117" s="51" t="n">
        <f aca="false">IF(OR(NOT(ISNUMBER($G117)),$G117&lt;2,NOT(ISNUMBER($C116)),$C116=0),"",$C117/$C116-1)</f>
        <v>-0.0200697747734191</v>
      </c>
      <c r="I117" s="52" t="n">
        <f aca="false">IF(AND(ISNUMBER($G117),$G117&gt;=MA_SHORT),AVERAGE(INDEX($C$5:$C117,114-MA_SHORT):$C117),"")</f>
        <v>95755585.3</v>
      </c>
      <c r="J117" s="52" t="n">
        <f aca="false">IF(AND(ISNUMBER($G117),$G117&gt;=MA_MED),AVERAGE(INDEX($C$5:$C117,114-MA_MED):$C117),"")</f>
        <v>93589340.22</v>
      </c>
      <c r="K117" s="52" t="str">
        <f aca="false">IF(AND(ISNUMBER($G117),$G117&gt;=MA_LONG2),AVERAGE(INDEX($C$5:$C117,114-MA_LONG2):$C117),"")</f>
        <v/>
      </c>
      <c r="L117" s="53" t="n">
        <f aca="false">IF(AND(ISNUMBER($G117),$G117&gt;=21),STDEV(INDEX($H$57:$H117,62-20):$H117)*SQRT(245),"")</f>
        <v>0.266221157545723</v>
      </c>
      <c r="M117" s="52" t="n">
        <f aca="false">IF(AND(ISNUMBER($G117),$G117&gt;=60),MAX(INDEX($D$5:$D117,114-60):$D117),"")</f>
        <v>99381454</v>
      </c>
      <c r="N117" s="52" t="n">
        <f aca="false">IF(AND(ISNUMBER($G117),$G117&gt;=60),MIN(INDEX($E$5:$E117,114-60):$E117),"")</f>
        <v>84600115</v>
      </c>
      <c r="O117" s="53" t="n">
        <f aca="false">IF(OR(NOT(ISNUMBER($C117)),NOT(ISNUMBER($M117)),$M117=0),"",$C117/$M117-1)</f>
        <v>-0.0918411296337041</v>
      </c>
      <c r="P117" s="54"/>
      <c r="Q117" s="53" t="str">
        <f aca="false">IF(NOT(ISNUMBER($P117)),"",IFERROR(PERCENTRANK($P$5:$P$1204,$P117),""))</f>
        <v/>
      </c>
    </row>
    <row r="118" customFormat="false" ht="15" hidden="false" customHeight="false" outlineLevel="0" collapsed="false">
      <c r="A118" s="47" t="n">
        <v>45727</v>
      </c>
      <c r="B118" s="48" t="s">
        <v>266</v>
      </c>
      <c r="C118" s="49" t="n">
        <v>91119812</v>
      </c>
      <c r="D118" s="49" t="n">
        <v>91691772</v>
      </c>
      <c r="E118" s="49" t="n">
        <v>90924863</v>
      </c>
      <c r="F118" s="49" t="n">
        <v>0</v>
      </c>
      <c r="G118" s="50" t="n">
        <f aca="false">IF($A118="","",IF(ISNUMBER($G117),$G117+1,1))</f>
        <v>114</v>
      </c>
      <c r="H118" s="51" t="n">
        <f aca="false">IF(OR(NOT(ISNUMBER($G118)),$G118&lt;2,NOT(ISNUMBER($C117)),$C117=0),"",$C118/$C117-1)</f>
        <v>0.00959139285663202</v>
      </c>
      <c r="I118" s="52" t="n">
        <f aca="false">IF(AND(ISNUMBER($G118),$G118&gt;=MA_SHORT),AVERAGE(INDEX($C$5:$C118,115-MA_SHORT):$C118),"")</f>
        <v>95596061.55</v>
      </c>
      <c r="J118" s="52" t="n">
        <f aca="false">IF(AND(ISNUMBER($G118),$G118&gt;=MA_MED),AVERAGE(INDEX($C$5:$C118,115-MA_MED):$C118),"")</f>
        <v>93647631.42</v>
      </c>
      <c r="K118" s="52" t="str">
        <f aca="false">IF(AND(ISNUMBER($G118),$G118&gt;=MA_LONG2),AVERAGE(INDEX($C$5:$C118,115-MA_LONG2):$C118),"")</f>
        <v/>
      </c>
      <c r="L118" s="53" t="n">
        <f aca="false">IF(AND(ISNUMBER($G118),$G118&gt;=21),STDEV(INDEX($H$58:$H118,62-20):$H118)*SQRT(245),"")</f>
        <v>0.26377583850457</v>
      </c>
      <c r="M118" s="52" t="n">
        <f aca="false">IF(AND(ISNUMBER($G118),$G118&gt;=60),MAX(INDEX($D$5:$D118,115-60):$D118),"")</f>
        <v>99381454</v>
      </c>
      <c r="N118" s="52" t="n">
        <f aca="false">IF(AND(ISNUMBER($G118),$G118&gt;=60),MIN(INDEX($E$5:$E118,115-60):$E118),"")</f>
        <v>85351603</v>
      </c>
      <c r="O118" s="53" t="n">
        <f aca="false">IF(OR(NOT(ISNUMBER($C118)),NOT(ISNUMBER($M118)),$M118=0),"",$C118/$M118-1)</f>
        <v>-0.0831306211317858</v>
      </c>
      <c r="P118" s="54"/>
      <c r="Q118" s="53" t="str">
        <f aca="false">IF(NOT(ISNUMBER($P118)),"",IFERROR(PERCENTRANK($P$5:$P$1204,$P118),""))</f>
        <v/>
      </c>
    </row>
    <row r="119" customFormat="false" ht="15" hidden="false" customHeight="false" outlineLevel="0" collapsed="false">
      <c r="A119" s="47" t="n">
        <v>45728</v>
      </c>
      <c r="B119" s="48" t="s">
        <v>267</v>
      </c>
      <c r="C119" s="49" t="n">
        <v>91711894</v>
      </c>
      <c r="D119" s="49" t="n">
        <v>92085664</v>
      </c>
      <c r="E119" s="49" t="n">
        <v>91442276</v>
      </c>
      <c r="F119" s="49" t="n">
        <v>0</v>
      </c>
      <c r="G119" s="50" t="n">
        <f aca="false">IF($A119="","",IF(ISNUMBER($G118),$G118+1,1))</f>
        <v>115</v>
      </c>
      <c r="H119" s="51" t="n">
        <f aca="false">IF(OR(NOT(ISNUMBER($G119)),$G119&lt;2,NOT(ISNUMBER($C118)),$C118=0),"",$C119/$C118-1)</f>
        <v>0.00649784044769541</v>
      </c>
      <c r="I119" s="52" t="n">
        <f aca="false">IF(AND(ISNUMBER($G119),$G119&gt;=MA_SHORT),AVERAGE(INDEX($C$5:$C119,116-MA_SHORT):$C119),"")</f>
        <v>95358459.3</v>
      </c>
      <c r="J119" s="52" t="n">
        <f aca="false">IF(AND(ISNUMBER($G119),$G119&gt;=MA_MED),AVERAGE(INDEX($C$5:$C119,116-MA_MED):$C119),"")</f>
        <v>93676400.16</v>
      </c>
      <c r="K119" s="52" t="str">
        <f aca="false">IF(AND(ISNUMBER($G119),$G119&gt;=MA_LONG2),AVERAGE(INDEX($C$5:$C119,116-MA_LONG2):$C119),"")</f>
        <v/>
      </c>
      <c r="L119" s="53" t="n">
        <f aca="false">IF(AND(ISNUMBER($G119),$G119&gt;=21),STDEV(INDEX($H$59:$H119,62-20):$H119)*SQRT(245),"")</f>
        <v>0.250115966111127</v>
      </c>
      <c r="M119" s="52" t="n">
        <f aca="false">IF(AND(ISNUMBER($G119),$G119&gt;=60),MAX(INDEX($D$5:$D119,116-60):$D119),"")</f>
        <v>99381454</v>
      </c>
      <c r="N119" s="52" t="n">
        <f aca="false">IF(AND(ISNUMBER($G119),$G119&gt;=60),MIN(INDEX($E$5:$E119,116-60):$E119),"")</f>
        <v>85351603</v>
      </c>
      <c r="O119" s="53" t="n">
        <f aca="false">IF(OR(NOT(ISNUMBER($C119)),NOT(ISNUMBER($M119)),$M119=0),"",$C119/$M119-1)</f>
        <v>-0.0771729501965226</v>
      </c>
      <c r="P119" s="54"/>
      <c r="Q119" s="53" t="str">
        <f aca="false">IF(NOT(ISNUMBER($P119)),"",IFERROR(PERCENTRANK($P$5:$P$1204,$P119),""))</f>
        <v/>
      </c>
    </row>
    <row r="120" customFormat="false" ht="15" hidden="false" customHeight="false" outlineLevel="0" collapsed="false">
      <c r="A120" s="47" t="n">
        <v>45731</v>
      </c>
      <c r="B120" s="48" t="s">
        <v>268</v>
      </c>
      <c r="C120" s="49" t="n">
        <v>91555494</v>
      </c>
      <c r="D120" s="49" t="n">
        <v>91585575</v>
      </c>
      <c r="E120" s="49" t="n">
        <v>91405178</v>
      </c>
      <c r="F120" s="49" t="n">
        <v>0</v>
      </c>
      <c r="G120" s="50" t="n">
        <f aca="false">IF($A120="","",IF(ISNUMBER($G119),$G119+1,1))</f>
        <v>116</v>
      </c>
      <c r="H120" s="51" t="n">
        <f aca="false">IF(OR(NOT(ISNUMBER($G120)),$G120&lt;2,NOT(ISNUMBER($C119)),$C119=0),"",$C120/$C119-1)</f>
        <v>-0.00170534042182136</v>
      </c>
      <c r="I120" s="52" t="n">
        <f aca="false">IF(AND(ISNUMBER($G120),$G120&gt;=MA_SHORT),AVERAGE(INDEX($C$5:$C120,117-MA_SHORT):$C120),"")</f>
        <v>95093168.4</v>
      </c>
      <c r="J120" s="52" t="n">
        <f aca="false">IF(AND(ISNUMBER($G120),$G120&gt;=MA_MED),AVERAGE(INDEX($C$5:$C120,117-MA_MED):$C120),"")</f>
        <v>93700465.9</v>
      </c>
      <c r="K120" s="52" t="str">
        <f aca="false">IF(AND(ISNUMBER($G120),$G120&gt;=MA_LONG2),AVERAGE(INDEX($C$5:$C120,117-MA_LONG2):$C120),"")</f>
        <v/>
      </c>
      <c r="L120" s="53" t="n">
        <f aca="false">IF(AND(ISNUMBER($G120),$G120&gt;=21),STDEV(INDEX($H$60:$H120,62-20):$H120)*SQRT(245),"")</f>
        <v>0.24898599662211</v>
      </c>
      <c r="M120" s="52" t="n">
        <f aca="false">IF(AND(ISNUMBER($G120),$G120&gt;=60),MAX(INDEX($D$5:$D120,117-60):$D120),"")</f>
        <v>99381454</v>
      </c>
      <c r="N120" s="52" t="n">
        <f aca="false">IF(AND(ISNUMBER($G120),$G120&gt;=60),MIN(INDEX($E$5:$E120,117-60):$E120),"")</f>
        <v>85844060</v>
      </c>
      <c r="O120" s="53" t="n">
        <f aca="false">IF(OR(NOT(ISNUMBER($C120)),NOT(ISNUMBER($M120)),$M120=0),"",$C120/$M120-1)</f>
        <v>-0.0787466844669027</v>
      </c>
      <c r="P120" s="54"/>
      <c r="Q120" s="53" t="str">
        <f aca="false">IF(NOT(ISNUMBER($P120)),"",IFERROR(PERCENTRANK($P$5:$P$1204,$P120),""))</f>
        <v/>
      </c>
    </row>
    <row r="121" customFormat="false" ht="15" hidden="false" customHeight="false" outlineLevel="0" collapsed="false">
      <c r="A121" s="47" t="n">
        <v>45732</v>
      </c>
      <c r="B121" s="48" t="s">
        <v>269</v>
      </c>
      <c r="C121" s="49" t="n">
        <v>90405889</v>
      </c>
      <c r="D121" s="49" t="n">
        <v>90428134</v>
      </c>
      <c r="E121" s="49" t="n">
        <v>90163073</v>
      </c>
      <c r="F121" s="49" t="n">
        <v>0</v>
      </c>
      <c r="G121" s="50" t="n">
        <f aca="false">IF($A121="","",IF(ISNUMBER($G120),$G120+1,1))</f>
        <v>117</v>
      </c>
      <c r="H121" s="51" t="n">
        <f aca="false">IF(OR(NOT(ISNUMBER($G121)),$G121&lt;2,NOT(ISNUMBER($C120)),$C120=0),"",$C121/$C120-1)</f>
        <v>-0.0125563737332901</v>
      </c>
      <c r="I121" s="52" t="n">
        <f aca="false">IF(AND(ISNUMBER($G121),$G121&gt;=MA_SHORT),AVERAGE(INDEX($C$5:$C121,118-MA_SHORT):$C121),"")</f>
        <v>94811407.3</v>
      </c>
      <c r="J121" s="52" t="n">
        <f aca="false">IF(AND(ISNUMBER($G121),$G121&gt;=MA_MED),AVERAGE(INDEX($C$5:$C121,118-MA_MED):$C121),"")</f>
        <v>93697155.7</v>
      </c>
      <c r="K121" s="52" t="str">
        <f aca="false">IF(AND(ISNUMBER($G121),$G121&gt;=MA_LONG2),AVERAGE(INDEX($C$5:$C121,118-MA_LONG2):$C121),"")</f>
        <v/>
      </c>
      <c r="L121" s="53" t="n">
        <f aca="false">IF(AND(ISNUMBER($G121),$G121&gt;=21),STDEV(INDEX($H$61:$H121,62-20):$H121)*SQRT(245),"")</f>
        <v>0.250614676070952</v>
      </c>
      <c r="M121" s="52" t="n">
        <f aca="false">IF(AND(ISNUMBER($G121),$G121&gt;=60),MAX(INDEX($D$5:$D121,118-60):$D121),"")</f>
        <v>99381454</v>
      </c>
      <c r="N121" s="52" t="n">
        <f aca="false">IF(AND(ISNUMBER($G121),$G121&gt;=60),MIN(INDEX($E$5:$E121,118-60):$E121),"")</f>
        <v>85844060</v>
      </c>
      <c r="O121" s="53" t="n">
        <f aca="false">IF(OR(NOT(ISNUMBER($C121)),NOT(ISNUMBER($M121)),$M121=0),"",$C121/$M121-1)</f>
        <v>-0.0903142853997688</v>
      </c>
      <c r="P121" s="54"/>
      <c r="Q121" s="53" t="str">
        <f aca="false">IF(NOT(ISNUMBER($P121)),"",IFERROR(PERCENTRANK($P$5:$P$1204,$P121),""))</f>
        <v/>
      </c>
    </row>
    <row r="122" customFormat="false" ht="15" hidden="false" customHeight="false" outlineLevel="0" collapsed="false">
      <c r="A122" s="47" t="n">
        <v>45733</v>
      </c>
      <c r="B122" s="48" t="s">
        <v>270</v>
      </c>
      <c r="C122" s="49" t="n">
        <v>91574303</v>
      </c>
      <c r="D122" s="49" t="n">
        <v>91780735</v>
      </c>
      <c r="E122" s="49" t="n">
        <v>91276957</v>
      </c>
      <c r="F122" s="49" t="n">
        <v>0</v>
      </c>
      <c r="G122" s="50" t="n">
        <f aca="false">IF($A122="","",IF(ISNUMBER($G121),$G121+1,1))</f>
        <v>118</v>
      </c>
      <c r="H122" s="51" t="n">
        <f aca="false">IF(OR(NOT(ISNUMBER($G122)),$G122&lt;2,NOT(ISNUMBER($C121)),$C121=0),"",$C122/$C121-1)</f>
        <v>0.0129240917038049</v>
      </c>
      <c r="I122" s="52" t="n">
        <f aca="false">IF(AND(ISNUMBER($G122),$G122&gt;=MA_SHORT),AVERAGE(INDEX($C$5:$C122,119-MA_SHORT):$C122),"")</f>
        <v>94565346.6</v>
      </c>
      <c r="J122" s="52" t="n">
        <f aca="false">IF(AND(ISNUMBER($G122),$G122&gt;=MA_MED),AVERAGE(INDEX($C$5:$C122,119-MA_MED):$C122),"")</f>
        <v>93699685.2</v>
      </c>
      <c r="K122" s="52" t="str">
        <f aca="false">IF(AND(ISNUMBER($G122),$G122&gt;=MA_LONG2),AVERAGE(INDEX($C$5:$C122,119-MA_LONG2):$C122),"")</f>
        <v/>
      </c>
      <c r="L122" s="53" t="n">
        <f aca="false">IF(AND(ISNUMBER($G122),$G122&gt;=21),STDEV(INDEX($H$62:$H122,62-20):$H122)*SQRT(245),"")</f>
        <v>0.255424734698956</v>
      </c>
      <c r="M122" s="52" t="n">
        <f aca="false">IF(AND(ISNUMBER($G122),$G122&gt;=60),MAX(INDEX($D$5:$D122,119-60):$D122),"")</f>
        <v>99381454</v>
      </c>
      <c r="N122" s="52" t="n">
        <f aca="false">IF(AND(ISNUMBER($G122),$G122&gt;=60),MIN(INDEX($E$5:$E122,119-60):$E122),"")</f>
        <v>85844060</v>
      </c>
      <c r="O122" s="53" t="n">
        <f aca="false">IF(OR(NOT(ISNUMBER($C122)),NOT(ISNUMBER($M122)),$M122=0),"",$C122/$M122-1)</f>
        <v>-0.0785574238026342</v>
      </c>
      <c r="P122" s="54"/>
      <c r="Q122" s="53" t="str">
        <f aca="false">IF(NOT(ISNUMBER($P122)),"",IFERROR(PERCENTRANK($P$5:$P$1204,$P122),""))</f>
        <v/>
      </c>
    </row>
    <row r="123" customFormat="false" ht="15" hidden="false" customHeight="false" outlineLevel="0" collapsed="false">
      <c r="A123" s="47" t="n">
        <v>45734</v>
      </c>
      <c r="B123" s="48" t="s">
        <v>271</v>
      </c>
      <c r="C123" s="49" t="n">
        <v>91715215</v>
      </c>
      <c r="D123" s="49" t="n">
        <v>91922212</v>
      </c>
      <c r="E123" s="49" t="n">
        <v>91385616</v>
      </c>
      <c r="F123" s="49" t="n">
        <v>0</v>
      </c>
      <c r="G123" s="50" t="n">
        <f aca="false">IF($A123="","",IF(ISNUMBER($G122),$G122+1,1))</f>
        <v>119</v>
      </c>
      <c r="H123" s="51" t="n">
        <f aca="false">IF(OR(NOT(ISNUMBER($G123)),$G123&lt;2,NOT(ISNUMBER($C122)),$C122=0),"",$C123/$C122-1)</f>
        <v>0.0015387722907374</v>
      </c>
      <c r="I123" s="52" t="n">
        <f aca="false">IF(AND(ISNUMBER($G123),$G123&gt;=MA_SHORT),AVERAGE(INDEX($C$5:$C123,120-MA_SHORT):$C123),"")</f>
        <v>94201975.55</v>
      </c>
      <c r="J123" s="52" t="n">
        <f aca="false">IF(AND(ISNUMBER($G123),$G123&gt;=MA_MED),AVERAGE(INDEX($C$5:$C123,120-MA_MED):$C123),"")</f>
        <v>93697826.4</v>
      </c>
      <c r="K123" s="52" t="str">
        <f aca="false">IF(AND(ISNUMBER($G123),$G123&gt;=MA_LONG2),AVERAGE(INDEX($C$5:$C123,120-MA_LONG2):$C123),"")</f>
        <v/>
      </c>
      <c r="L123" s="53" t="n">
        <f aca="false">IF(AND(ISNUMBER($G123),$G123&gt;=21),STDEV(INDEX($H$63:$H123,62-20):$H123)*SQRT(245),"")</f>
        <v>0.234035160749893</v>
      </c>
      <c r="M123" s="52" t="n">
        <f aca="false">IF(AND(ISNUMBER($G123),$G123&gt;=60),MAX(INDEX($D$5:$D123,120-60):$D123),"")</f>
        <v>99381454</v>
      </c>
      <c r="N123" s="52" t="n">
        <f aca="false">IF(AND(ISNUMBER($G123),$G123&gt;=60),MIN(INDEX($E$5:$E123,120-60):$E123),"")</f>
        <v>85844060</v>
      </c>
      <c r="O123" s="53" t="n">
        <f aca="false">IF(OR(NOT(ISNUMBER($C123)),NOT(ISNUMBER($M123)),$M123=0),"",$C123/$M123-1)</f>
        <v>-0.0771395334988759</v>
      </c>
      <c r="P123" s="54"/>
      <c r="Q123" s="53" t="str">
        <f aca="false">IF(NOT(ISNUMBER($P123)),"",IFERROR(PERCENTRANK($P$5:$P$1204,$P123),""))</f>
        <v/>
      </c>
    </row>
    <row r="124" customFormat="false" ht="15" hidden="false" customHeight="false" outlineLevel="0" collapsed="false">
      <c r="A124" s="47" t="n">
        <v>45735</v>
      </c>
      <c r="B124" s="48" t="s">
        <v>272</v>
      </c>
      <c r="C124" s="49" t="n">
        <v>92530209</v>
      </c>
      <c r="D124" s="49" t="n">
        <v>92633822</v>
      </c>
      <c r="E124" s="49" t="n">
        <v>92122951</v>
      </c>
      <c r="F124" s="49" t="n">
        <v>0</v>
      </c>
      <c r="G124" s="50" t="n">
        <f aca="false">IF($A124="","",IF(ISNUMBER($G123),$G123+1,1))</f>
        <v>120</v>
      </c>
      <c r="H124" s="51" t="n">
        <f aca="false">IF(OR(NOT(ISNUMBER($G124)),$G124&lt;2,NOT(ISNUMBER($C123)),$C123=0),"",$C124/$C123-1)</f>
        <v>0.00888613737644284</v>
      </c>
      <c r="I124" s="52" t="n">
        <f aca="false">IF(AND(ISNUMBER($G124),$G124&gt;=MA_SHORT),AVERAGE(INDEX($C$5:$C124,121-MA_SHORT):$C124),"")</f>
        <v>93934924.35</v>
      </c>
      <c r="J124" s="52" t="n">
        <f aca="false">IF(AND(ISNUMBER($G124),$G124&gt;=MA_MED),AVERAGE(INDEX($C$5:$C124,121-MA_MED):$C124),"")</f>
        <v>93727957.6</v>
      </c>
      <c r="K124" s="52" t="str">
        <f aca="false">IF(AND(ISNUMBER($G124),$G124&gt;=MA_LONG2),AVERAGE(INDEX($C$5:$C124,121-MA_LONG2):$C124),"")</f>
        <v/>
      </c>
      <c r="L124" s="53" t="n">
        <f aca="false">IF(AND(ISNUMBER($G124),$G124&gt;=21),STDEV(INDEX($H$64:$H124,62-20):$H124)*SQRT(245),"")</f>
        <v>0.236269391712206</v>
      </c>
      <c r="M124" s="52" t="n">
        <f aca="false">IF(AND(ISNUMBER($G124),$G124&gt;=60),MAX(INDEX($D$5:$D124,121-60):$D124),"")</f>
        <v>99381454</v>
      </c>
      <c r="N124" s="52" t="n">
        <f aca="false">IF(AND(ISNUMBER($G124),$G124&gt;=60),MIN(INDEX($E$5:$E124,121-60):$E124),"")</f>
        <v>85844060</v>
      </c>
      <c r="O124" s="53" t="n">
        <f aca="false">IF(OR(NOT(ISNUMBER($C124)),NOT(ISNUMBER($M124)),$M124=0),"",$C124/$M124-1)</f>
        <v>-0.0689388686142588</v>
      </c>
      <c r="P124" s="54"/>
      <c r="Q124" s="53" t="str">
        <f aca="false">IF(NOT(ISNUMBER($P124)),"",IFERROR(PERCENTRANK($P$5:$P$1204,$P124),""))</f>
        <v/>
      </c>
    </row>
    <row r="125" customFormat="false" ht="15" hidden="false" customHeight="false" outlineLevel="0" collapsed="false">
      <c r="A125" s="47" t="n">
        <v>45738</v>
      </c>
      <c r="B125" s="48" t="s">
        <v>273</v>
      </c>
      <c r="C125" s="49" t="n">
        <v>94463709</v>
      </c>
      <c r="D125" s="49" t="n">
        <v>95168615</v>
      </c>
      <c r="E125" s="49" t="n">
        <v>94117543</v>
      </c>
      <c r="F125" s="49" t="n">
        <v>0</v>
      </c>
      <c r="G125" s="50" t="n">
        <f aca="false">IF($A125="","",IF(ISNUMBER($G124),$G124+1,1))</f>
        <v>121</v>
      </c>
      <c r="H125" s="51" t="n">
        <f aca="false">IF(OR(NOT(ISNUMBER($G125)),$G125&lt;2,NOT(ISNUMBER($C124)),$C124=0),"",$C125/$C124-1)</f>
        <v>0.0208958784476538</v>
      </c>
      <c r="I125" s="52" t="n">
        <f aca="false">IF(AND(ISNUMBER($G125),$G125&gt;=MA_SHORT),AVERAGE(INDEX($C$5:$C125,122-MA_SHORT):$C125),"")</f>
        <v>93869246.8</v>
      </c>
      <c r="J125" s="52" t="n">
        <f aca="false">IF(AND(ISNUMBER($G125),$G125&gt;=MA_MED),AVERAGE(INDEX($C$5:$C125,122-MA_MED):$C125),"")</f>
        <v>93787043.18</v>
      </c>
      <c r="K125" s="52" t="str">
        <f aca="false">IF(AND(ISNUMBER($G125),$G125&gt;=MA_LONG2),AVERAGE(INDEX($C$5:$C125,122-MA_LONG2):$C125),"")</f>
        <v/>
      </c>
      <c r="L125" s="53" t="n">
        <f aca="false">IF(AND(ISNUMBER($G125),$G125&gt;=21),STDEV(INDEX($H$65:$H125,62-20):$H125)*SQRT(245),"")</f>
        <v>0.239449073879378</v>
      </c>
      <c r="M125" s="52" t="n">
        <f aca="false">IF(AND(ISNUMBER($G125),$G125&gt;=60),MAX(INDEX($D$5:$D125,122-60):$D125),"")</f>
        <v>99381454</v>
      </c>
      <c r="N125" s="52" t="n">
        <f aca="false">IF(AND(ISNUMBER($G125),$G125&gt;=60),MIN(INDEX($E$5:$E125,122-60):$E125),"")</f>
        <v>86599994</v>
      </c>
      <c r="O125" s="53" t="n">
        <f aca="false">IF(OR(NOT(ISNUMBER($C125)),NOT(ISNUMBER($M125)),$M125=0),"",$C125/$M125-1)</f>
        <v>-0.0494835283854873</v>
      </c>
      <c r="P125" s="54"/>
      <c r="Q125" s="53" t="str">
        <f aca="false">IF(NOT(ISNUMBER($P125)),"",IFERROR(PERCENTRANK($P$5:$P$1204,$P125),""))</f>
        <v/>
      </c>
    </row>
    <row r="126" customFormat="false" ht="15" hidden="false" customHeight="false" outlineLevel="0" collapsed="false">
      <c r="A126" s="47" t="n">
        <v>45739</v>
      </c>
      <c r="B126" s="48" t="s">
        <v>274</v>
      </c>
      <c r="C126" s="49" t="n">
        <v>92023654</v>
      </c>
      <c r="D126" s="49" t="n">
        <v>92064836</v>
      </c>
      <c r="E126" s="49" t="n">
        <v>91686776</v>
      </c>
      <c r="F126" s="49" t="n">
        <v>0</v>
      </c>
      <c r="G126" s="50" t="n">
        <f aca="false">IF($A126="","",IF(ISNUMBER($G125),$G125+1,1))</f>
        <v>122</v>
      </c>
      <c r="H126" s="51" t="n">
        <f aca="false">IF(OR(NOT(ISNUMBER($G126)),$G126&lt;2,NOT(ISNUMBER($C125)),$C125=0),"",$C126/$C125-1)</f>
        <v>-0.0258306076040271</v>
      </c>
      <c r="I126" s="52" t="n">
        <f aca="false">IF(AND(ISNUMBER($G126),$G126&gt;=MA_SHORT),AVERAGE(INDEX($C$5:$C126,123-MA_SHORT):$C126),"")</f>
        <v>93741905.9</v>
      </c>
      <c r="J126" s="52" t="n">
        <f aca="false">IF(AND(ISNUMBER($G126),$G126&gt;=MA_MED),AVERAGE(INDEX($C$5:$C126,123-MA_MED):$C126),"")</f>
        <v>93832578.6</v>
      </c>
      <c r="K126" s="52" t="str">
        <f aca="false">IF(AND(ISNUMBER($G126),$G126&gt;=MA_LONG2),AVERAGE(INDEX($C$5:$C126,123-MA_LONG2):$C126),"")</f>
        <v/>
      </c>
      <c r="L126" s="53" t="n">
        <f aca="false">IF(AND(ISNUMBER($G126),$G126&gt;=21),STDEV(INDEX($H$66:$H126,62-20):$H126)*SQRT(245),"")</f>
        <v>0.252154366494919</v>
      </c>
      <c r="M126" s="52" t="n">
        <f aca="false">IF(AND(ISNUMBER($G126),$G126&gt;=60),MAX(INDEX($D$5:$D126,123-60):$D126),"")</f>
        <v>99381454</v>
      </c>
      <c r="N126" s="52" t="n">
        <f aca="false">IF(AND(ISNUMBER($G126),$G126&gt;=60),MIN(INDEX($E$5:$E126,123-60):$E126),"")</f>
        <v>86940503</v>
      </c>
      <c r="O126" s="53" t="n">
        <f aca="false">IF(OR(NOT(ISNUMBER($C126)),NOT(ISNUMBER($M126)),$M126=0),"",$C126/$M126-1)</f>
        <v>-0.0740359463849261</v>
      </c>
      <c r="P126" s="54"/>
      <c r="Q126" s="53" t="str">
        <f aca="false">IF(NOT(ISNUMBER($P126)),"",IFERROR(PERCENTRANK($P$5:$P$1204,$P126),""))</f>
        <v/>
      </c>
    </row>
    <row r="127" customFormat="false" ht="15" hidden="false" customHeight="false" outlineLevel="0" collapsed="false">
      <c r="A127" s="47" t="n">
        <v>45740</v>
      </c>
      <c r="B127" s="48" t="s">
        <v>275</v>
      </c>
      <c r="C127" s="49" t="n">
        <v>92862307</v>
      </c>
      <c r="D127" s="49" t="n">
        <v>93060573</v>
      </c>
      <c r="E127" s="49" t="n">
        <v>92843970</v>
      </c>
      <c r="F127" s="49" t="n">
        <v>0</v>
      </c>
      <c r="G127" s="50" t="n">
        <f aca="false">IF($A127="","",IF(ISNUMBER($G126),$G126+1,1))</f>
        <v>123</v>
      </c>
      <c r="H127" s="51" t="n">
        <f aca="false">IF(OR(NOT(ISNUMBER($G127)),$G127&lt;2,NOT(ISNUMBER($C126)),$C126=0),"",$C127/$C126-1)</f>
        <v>0.00911345033093336</v>
      </c>
      <c r="I127" s="52" t="n">
        <f aca="false">IF(AND(ISNUMBER($G127),$G127&gt;=MA_SHORT),AVERAGE(INDEX($C$5:$C127,124-MA_SHORT):$C127),"")</f>
        <v>93671787.55</v>
      </c>
      <c r="J127" s="52" t="n">
        <f aca="false">IF(AND(ISNUMBER($G127),$G127&gt;=MA_MED),AVERAGE(INDEX($C$5:$C127,124-MA_MED):$C127),"")</f>
        <v>93852129.6</v>
      </c>
      <c r="K127" s="52" t="str">
        <f aca="false">IF(AND(ISNUMBER($G127),$G127&gt;=MA_LONG2),AVERAGE(INDEX($C$5:$C127,124-MA_LONG2):$C127),"")</f>
        <v/>
      </c>
      <c r="L127" s="53" t="n">
        <f aca="false">IF(AND(ISNUMBER($G127),$G127&gt;=21),STDEV(INDEX($H$67:$H127,62-20):$H127)*SQRT(245),"")</f>
        <v>0.254587473368702</v>
      </c>
      <c r="M127" s="52" t="n">
        <f aca="false">IF(AND(ISNUMBER($G127),$G127&gt;=60),MAX(INDEX($D$5:$D127,124-60):$D127),"")</f>
        <v>99381454</v>
      </c>
      <c r="N127" s="52" t="n">
        <f aca="false">IF(AND(ISNUMBER($G127),$G127&gt;=60),MIN(INDEX($E$5:$E127,124-60):$E127),"")</f>
        <v>87334862</v>
      </c>
      <c r="O127" s="53" t="n">
        <f aca="false">IF(OR(NOT(ISNUMBER($C127)),NOT(ISNUMBER($M127)),$M127=0),"",$C127/$M127-1)</f>
        <v>-0.0655972189740753</v>
      </c>
      <c r="P127" s="54"/>
      <c r="Q127" s="53" t="str">
        <f aca="false">IF(NOT(ISNUMBER($P127)),"",IFERROR(PERCENTRANK($P$5:$P$1204,$P127),""))</f>
        <v/>
      </c>
    </row>
    <row r="128" customFormat="false" ht="15" hidden="false" customHeight="false" outlineLevel="0" collapsed="false">
      <c r="A128" s="47" t="n">
        <v>45741</v>
      </c>
      <c r="B128" s="48" t="s">
        <v>276</v>
      </c>
      <c r="C128" s="49" t="n">
        <v>93837880</v>
      </c>
      <c r="D128" s="49" t="n">
        <v>94284251</v>
      </c>
      <c r="E128" s="49" t="n">
        <v>93065962</v>
      </c>
      <c r="F128" s="49" t="n">
        <v>0</v>
      </c>
      <c r="G128" s="50" t="n">
        <f aca="false">IF($A128="","",IF(ISNUMBER($G127),$G127+1,1))</f>
        <v>124</v>
      </c>
      <c r="H128" s="51" t="n">
        <f aca="false">IF(OR(NOT(ISNUMBER($G128)),$G128&lt;2,NOT(ISNUMBER($C127)),$C127=0),"",$C128/$C127-1)</f>
        <v>0.0105055865131587</v>
      </c>
      <c r="I128" s="52" t="n">
        <f aca="false">IF(AND(ISNUMBER($G128),$G128&gt;=MA_SHORT),AVERAGE(INDEX($C$5:$C128,125-MA_SHORT):$C128),"")</f>
        <v>93483717.1</v>
      </c>
      <c r="J128" s="52" t="n">
        <f aca="false">IF(AND(ISNUMBER($G128),$G128&gt;=MA_MED),AVERAGE(INDEX($C$5:$C128,125-MA_MED):$C128),"")</f>
        <v>93893862.18</v>
      </c>
      <c r="K128" s="52" t="str">
        <f aca="false">IF(AND(ISNUMBER($G128),$G128&gt;=MA_LONG2),AVERAGE(INDEX($C$5:$C128,125-MA_LONG2):$C128),"")</f>
        <v/>
      </c>
      <c r="L128" s="53" t="n">
        <f aca="false">IF(AND(ISNUMBER($G128),$G128&gt;=21),STDEV(INDEX($H$68:$H128,62-20):$H128)*SQRT(245),"")</f>
        <v>0.22204265449135</v>
      </c>
      <c r="M128" s="52" t="n">
        <f aca="false">IF(AND(ISNUMBER($G128),$G128&gt;=60),MAX(INDEX($D$5:$D128,125-60):$D128),"")</f>
        <v>99381454</v>
      </c>
      <c r="N128" s="52" t="n">
        <f aca="false">IF(AND(ISNUMBER($G128),$G128&gt;=60),MIN(INDEX($E$5:$E128,125-60):$E128),"")</f>
        <v>87334862</v>
      </c>
      <c r="O128" s="53" t="n">
        <f aca="false">IF(OR(NOT(ISNUMBER($C128)),NOT(ISNUMBER($M128)),$M128=0),"",$C128/$M128-1)</f>
        <v>-0.0557807697198715</v>
      </c>
      <c r="P128" s="54"/>
      <c r="Q128" s="53" t="str">
        <f aca="false">IF(NOT(ISNUMBER($P128)),"",IFERROR(PERCENTRANK($P$5:$P$1204,$P128),""))</f>
        <v/>
      </c>
    </row>
    <row r="129" customFormat="false" ht="15" hidden="false" customHeight="false" outlineLevel="0" collapsed="false">
      <c r="A129" s="47" t="n">
        <v>45742</v>
      </c>
      <c r="B129" s="48" t="s">
        <v>277</v>
      </c>
      <c r="C129" s="49" t="n">
        <v>91318212</v>
      </c>
      <c r="D129" s="49" t="n">
        <v>91393079</v>
      </c>
      <c r="E129" s="49" t="n">
        <v>90719870</v>
      </c>
      <c r="F129" s="49" t="n">
        <v>0</v>
      </c>
      <c r="G129" s="50" t="n">
        <f aca="false">IF($A129="","",IF(ISNUMBER($G128),$G128+1,1))</f>
        <v>125</v>
      </c>
      <c r="H129" s="51" t="n">
        <f aca="false">IF(OR(NOT(ISNUMBER($G129)),$G129&lt;2,NOT(ISNUMBER($C128)),$C128=0),"",$C129/$C128-1)</f>
        <v>-0.0268512886267251</v>
      </c>
      <c r="I129" s="52" t="n">
        <f aca="false">IF(AND(ISNUMBER($G129),$G129&gt;=MA_SHORT),AVERAGE(INDEX($C$5:$C129,126-MA_SHORT):$C129),"")</f>
        <v>93192513.05</v>
      </c>
      <c r="J129" s="52" t="n">
        <f aca="false">IF(AND(ISNUMBER($G129),$G129&gt;=MA_MED),AVERAGE(INDEX($C$5:$C129,126-MA_MED):$C129),"")</f>
        <v>93891752.54</v>
      </c>
      <c r="K129" s="52" t="str">
        <f aca="false">IF(AND(ISNUMBER($G129),$G129&gt;=MA_LONG2),AVERAGE(INDEX($C$5:$C129,126-MA_LONG2):$C129),"")</f>
        <v/>
      </c>
      <c r="L129" s="53" t="n">
        <f aca="false">IF(AND(ISNUMBER($G129),$G129&gt;=21),STDEV(INDEX($H$69:$H129,62-20):$H129)*SQRT(245),"")</f>
        <v>0.238606365457813</v>
      </c>
      <c r="M129" s="52" t="n">
        <f aca="false">IF(AND(ISNUMBER($G129),$G129&gt;=60),MAX(INDEX($D$5:$D129,126-60):$D129),"")</f>
        <v>99381454</v>
      </c>
      <c r="N129" s="52" t="n">
        <f aca="false">IF(AND(ISNUMBER($G129),$G129&gt;=60),MIN(INDEX($E$5:$E129,126-60):$E129),"")</f>
        <v>87334862</v>
      </c>
      <c r="O129" s="53" t="n">
        <f aca="false">IF(OR(NOT(ISNUMBER($C129)),NOT(ISNUMBER($M129)),$M129=0),"",$C129/$M129-1)</f>
        <v>-0.0811342727990275</v>
      </c>
      <c r="P129" s="54"/>
      <c r="Q129" s="53" t="str">
        <f aca="false">IF(NOT(ISNUMBER($P129)),"",IFERROR(PERCENTRANK($P$5:$P$1204,$P129),""))</f>
        <v/>
      </c>
    </row>
    <row r="130" customFormat="false" ht="15" hidden="false" customHeight="false" outlineLevel="0" collapsed="false">
      <c r="A130" s="47" t="n">
        <v>45745</v>
      </c>
      <c r="B130" s="48" t="s">
        <v>278</v>
      </c>
      <c r="C130" s="49" t="n">
        <v>91063517</v>
      </c>
      <c r="D130" s="49" t="n">
        <v>91298560</v>
      </c>
      <c r="E130" s="49" t="n">
        <v>90635708</v>
      </c>
      <c r="F130" s="49" t="n">
        <v>0</v>
      </c>
      <c r="G130" s="50" t="n">
        <f aca="false">IF($A130="","",IF(ISNUMBER($G129),$G129+1,1))</f>
        <v>126</v>
      </c>
      <c r="H130" s="51" t="n">
        <f aca="false">IF(OR(NOT(ISNUMBER($G130)),$G130&lt;2,NOT(ISNUMBER($C129)),$C129=0),"",$C130/$C129-1)</f>
        <v>-0.00278909315482434</v>
      </c>
      <c r="I130" s="52" t="n">
        <f aca="false">IF(AND(ISNUMBER($G130),$G130&gt;=MA_SHORT),AVERAGE(INDEX($C$5:$C130,127-MA_SHORT):$C130),"")</f>
        <v>92889743</v>
      </c>
      <c r="J130" s="52" t="n">
        <f aca="false">IF(AND(ISNUMBER($G130),$G130&gt;=MA_MED),AVERAGE(INDEX($C$5:$C130,127-MA_MED):$C130),"")</f>
        <v>93898751.82</v>
      </c>
      <c r="K130" s="52" t="str">
        <f aca="false">IF(AND(ISNUMBER($G130),$G130&gt;=MA_LONG2),AVERAGE(INDEX($C$5:$C130,127-MA_LONG2):$C130),"")</f>
        <v/>
      </c>
      <c r="L130" s="53" t="n">
        <f aca="false">IF(AND(ISNUMBER($G130),$G130&gt;=21),STDEV(INDEX($H$70:$H130,62-20):$H130)*SQRT(245),"")</f>
        <v>0.238396351303199</v>
      </c>
      <c r="M130" s="52" t="n">
        <f aca="false">IF(AND(ISNUMBER($G130),$G130&gt;=60),MAX(INDEX($D$5:$D130,127-60):$D130),"")</f>
        <v>99381454</v>
      </c>
      <c r="N130" s="52" t="n">
        <f aca="false">IF(AND(ISNUMBER($G130),$G130&gt;=60),MIN(INDEX($E$5:$E130,127-60):$E130),"")</f>
        <v>87334862</v>
      </c>
      <c r="O130" s="53" t="n">
        <f aca="false">IF(OR(NOT(ISNUMBER($C130)),NOT(ISNUMBER($M130)),$M130=0),"",$C130/$M130-1)</f>
        <v>-0.0836970749089664</v>
      </c>
      <c r="P130" s="54"/>
      <c r="Q130" s="53" t="str">
        <f aca="false">IF(NOT(ISNUMBER($P130)),"",IFERROR(PERCENTRANK($P$5:$P$1204,$P130),""))</f>
        <v/>
      </c>
    </row>
    <row r="131" customFormat="false" ht="15" hidden="false" customHeight="false" outlineLevel="0" collapsed="false">
      <c r="A131" s="47" t="n">
        <v>45746</v>
      </c>
      <c r="B131" s="48" t="s">
        <v>279</v>
      </c>
      <c r="C131" s="49" t="n">
        <v>92558955</v>
      </c>
      <c r="D131" s="49" t="n">
        <v>92786369</v>
      </c>
      <c r="E131" s="49" t="n">
        <v>92291731</v>
      </c>
      <c r="F131" s="49" t="n">
        <v>0</v>
      </c>
      <c r="G131" s="50" t="n">
        <f aca="false">IF($A131="","",IF(ISNUMBER($G130),$G130+1,1))</f>
        <v>127</v>
      </c>
      <c r="H131" s="51" t="n">
        <f aca="false">IF(OR(NOT(ISNUMBER($G131)),$G131&lt;2,NOT(ISNUMBER($C130)),$C130=0),"",$C131/$C130-1)</f>
        <v>0.016421922294084</v>
      </c>
      <c r="I131" s="52" t="n">
        <f aca="false">IF(AND(ISNUMBER($G131),$G131&gt;=MA_SHORT),AVERAGE(INDEX($C$5:$C131,128-MA_SHORT):$C131),"")</f>
        <v>92641333.65</v>
      </c>
      <c r="J131" s="52" t="n">
        <f aca="false">IF(AND(ISNUMBER($G131),$G131&gt;=MA_MED),AVERAGE(INDEX($C$5:$C131,128-MA_MED):$C131),"")</f>
        <v>93951928.12</v>
      </c>
      <c r="K131" s="52" t="str">
        <f aca="false">IF(AND(ISNUMBER($G131),$G131&gt;=MA_LONG2),AVERAGE(INDEX($C$5:$C131,128-MA_LONG2):$C131),"")</f>
        <v/>
      </c>
      <c r="L131" s="53" t="n">
        <f aca="false">IF(AND(ISNUMBER($G131),$G131&gt;=21),STDEV(INDEX($H$71:$H131,62-20):$H131)*SQRT(245),"")</f>
        <v>0.246908707443365</v>
      </c>
      <c r="M131" s="52" t="n">
        <f aca="false">IF(AND(ISNUMBER($G131),$G131&gt;=60),MAX(INDEX($D$5:$D131,128-60):$D131),"")</f>
        <v>99381454</v>
      </c>
      <c r="N131" s="52" t="n">
        <f aca="false">IF(AND(ISNUMBER($G131),$G131&gt;=60),MIN(INDEX($E$5:$E131,128-60):$E131),"")</f>
        <v>87334862</v>
      </c>
      <c r="O131" s="53" t="n">
        <f aca="false">IF(OR(NOT(ISNUMBER($C131)),NOT(ISNUMBER($M131)),$M131=0),"",$C131/$M131-1)</f>
        <v>-0.0686496194752796</v>
      </c>
      <c r="P131" s="54"/>
      <c r="Q131" s="53" t="str">
        <f aca="false">IF(NOT(ISNUMBER($P131)),"",IFERROR(PERCENTRANK($P$5:$P$1204,$P131),""))</f>
        <v/>
      </c>
    </row>
    <row r="132" customFormat="false" ht="15" hidden="false" customHeight="false" outlineLevel="0" collapsed="false">
      <c r="A132" s="47" t="n">
        <v>45747</v>
      </c>
      <c r="B132" s="48" t="s">
        <v>280</v>
      </c>
      <c r="C132" s="49" t="n">
        <v>92623047</v>
      </c>
      <c r="D132" s="49" t="n">
        <v>92941713</v>
      </c>
      <c r="E132" s="49" t="n">
        <v>92394528</v>
      </c>
      <c r="F132" s="49" t="n">
        <v>0</v>
      </c>
      <c r="G132" s="50" t="n">
        <f aca="false">IF($A132="","",IF(ISNUMBER($G131),$G131+1,1))</f>
        <v>128</v>
      </c>
      <c r="H132" s="51" t="n">
        <f aca="false">IF(OR(NOT(ISNUMBER($G132)),$G132&lt;2,NOT(ISNUMBER($C131)),$C131=0),"",$C132/$C131-1)</f>
        <v>0.000692445155630717</v>
      </c>
      <c r="I132" s="52" t="n">
        <f aca="false">IF(AND(ISNUMBER($G132),$G132&gt;=MA_SHORT),AVERAGE(INDEX($C$5:$C132,129-MA_SHORT):$C132),"")</f>
        <v>92502368.3</v>
      </c>
      <c r="J132" s="52" t="n">
        <f aca="false">IF(AND(ISNUMBER($G132),$G132&gt;=MA_MED),AVERAGE(INDEX($C$5:$C132,129-MA_MED):$C132),"")</f>
        <v>94031284.24</v>
      </c>
      <c r="K132" s="52" t="str">
        <f aca="false">IF(AND(ISNUMBER($G132),$G132&gt;=MA_LONG2),AVERAGE(INDEX($C$5:$C132,129-MA_LONG2):$C132),"")</f>
        <v/>
      </c>
      <c r="L132" s="53" t="n">
        <f aca="false">IF(AND(ISNUMBER($G132),$G132&gt;=21),STDEV(INDEX($H$72:$H132,62-20):$H132)*SQRT(245),"")</f>
        <v>0.236576227995806</v>
      </c>
      <c r="M132" s="52" t="n">
        <f aca="false">IF(AND(ISNUMBER($G132),$G132&gt;=60),MAX(INDEX($D$5:$D132,129-60):$D132),"")</f>
        <v>99381454</v>
      </c>
      <c r="N132" s="52" t="n">
        <f aca="false">IF(AND(ISNUMBER($G132),$G132&gt;=60),MIN(INDEX($E$5:$E132,129-60):$E132),"")</f>
        <v>87334862</v>
      </c>
      <c r="O132" s="53" t="n">
        <f aca="false">IF(OR(NOT(ISNUMBER($C132)),NOT(ISNUMBER($M132)),$M132=0),"",$C132/$M132-1)</f>
        <v>-0.0680047104160904</v>
      </c>
      <c r="P132" s="54"/>
      <c r="Q132" s="53" t="str">
        <f aca="false">IF(NOT(ISNUMBER($P132)),"",IFERROR(PERCENTRANK($P$5:$P$1204,$P132),""))</f>
        <v/>
      </c>
    </row>
    <row r="133" customFormat="false" ht="15" hidden="false" customHeight="false" outlineLevel="0" collapsed="false">
      <c r="A133" s="47" t="n">
        <v>45748</v>
      </c>
      <c r="B133" s="48" t="s">
        <v>281</v>
      </c>
      <c r="C133" s="49" t="n">
        <v>92176954</v>
      </c>
      <c r="D133" s="49" t="n">
        <v>92285365</v>
      </c>
      <c r="E133" s="49" t="n">
        <v>92110473</v>
      </c>
      <c r="F133" s="49" t="n">
        <v>0</v>
      </c>
      <c r="G133" s="50" t="n">
        <f aca="false">IF($A133="","",IF(ISNUMBER($G132),$G132+1,1))</f>
        <v>129</v>
      </c>
      <c r="H133" s="51" t="n">
        <f aca="false">IF(OR(NOT(ISNUMBER($G133)),$G133&lt;2,NOT(ISNUMBER($C132)),$C132=0),"",$C133/$C132-1)</f>
        <v>-0.00481622030853723</v>
      </c>
      <c r="I133" s="52" t="n">
        <f aca="false">IF(AND(ISNUMBER($G133),$G133&gt;=MA_SHORT),AVERAGE(INDEX($C$5:$C133,130-MA_SHORT):$C133),"")</f>
        <v>92301869.4</v>
      </c>
      <c r="J133" s="52" t="n">
        <f aca="false">IF(AND(ISNUMBER($G133),$G133&gt;=MA_MED),AVERAGE(INDEX($C$5:$C133,130-MA_MED):$C133),"")</f>
        <v>94085857.14</v>
      </c>
      <c r="K133" s="52" t="str">
        <f aca="false">IF(AND(ISNUMBER($G133),$G133&gt;=MA_LONG2),AVERAGE(INDEX($C$5:$C133,130-MA_LONG2):$C133),"")</f>
        <v/>
      </c>
      <c r="L133" s="53" t="n">
        <f aca="false">IF(AND(ISNUMBER($G133),$G133&gt;=21),STDEV(INDEX($H$73:$H133,62-20):$H133)*SQRT(245),"")</f>
        <v>0.23414879620469</v>
      </c>
      <c r="M133" s="52" t="n">
        <f aca="false">IF(AND(ISNUMBER($G133),$G133&gt;=60),MAX(INDEX($D$5:$D133,130-60):$D133),"")</f>
        <v>99381454</v>
      </c>
      <c r="N133" s="52" t="n">
        <f aca="false">IF(AND(ISNUMBER($G133),$G133&gt;=60),MIN(INDEX($E$5:$E133,130-60):$E133),"")</f>
        <v>87334862</v>
      </c>
      <c r="O133" s="53" t="n">
        <f aca="false">IF(OR(NOT(ISNUMBER($C133)),NOT(ISNUMBER($M133)),$M133=0),"",$C133/$M133-1)</f>
        <v>-0.0724934050572454</v>
      </c>
      <c r="P133" s="54"/>
      <c r="Q133" s="53" t="str">
        <f aca="false">IF(NOT(ISNUMBER($P133)),"",IFERROR(PERCENTRANK($P$5:$P$1204,$P133),""))</f>
        <v/>
      </c>
    </row>
    <row r="134" customFormat="false" ht="15" hidden="false" customHeight="false" outlineLevel="0" collapsed="false">
      <c r="A134" s="47" t="n">
        <v>45749</v>
      </c>
      <c r="B134" s="48" t="s">
        <v>282</v>
      </c>
      <c r="C134" s="49" t="n">
        <v>92193363</v>
      </c>
      <c r="D134" s="49" t="n">
        <v>92452302</v>
      </c>
      <c r="E134" s="49" t="n">
        <v>92093439</v>
      </c>
      <c r="F134" s="49" t="n">
        <v>0</v>
      </c>
      <c r="G134" s="50" t="n">
        <f aca="false">IF($A134="","",IF(ISNUMBER($G133),$G133+1,1))</f>
        <v>130</v>
      </c>
      <c r="H134" s="51" t="n">
        <f aca="false">IF(OR(NOT(ISNUMBER($G134)),$G134&lt;2,NOT(ISNUMBER($C133)),$C133=0),"",$C134/$C133-1)</f>
        <v>0.000178016296785044</v>
      </c>
      <c r="I134" s="52" t="n">
        <f aca="false">IF(AND(ISNUMBER($G134),$G134&gt;=MA_SHORT),AVERAGE(INDEX($C$5:$C134,131-MA_SHORT):$C134),"")</f>
        <v>92091751.95</v>
      </c>
      <c r="J134" s="52" t="n">
        <f aca="false">IF(AND(ISNUMBER($G134),$G134&gt;=MA_MED),AVERAGE(INDEX($C$5:$C134,131-MA_MED):$C134),"")</f>
        <v>94175092.22</v>
      </c>
      <c r="K134" s="52" t="str">
        <f aca="false">IF(AND(ISNUMBER($G134),$G134&gt;=MA_LONG2),AVERAGE(INDEX($C$5:$C134,131-MA_LONG2):$C134),"")</f>
        <v/>
      </c>
      <c r="L134" s="53" t="n">
        <f aca="false">IF(AND(ISNUMBER($G134),$G134&gt;=21),STDEV(INDEX($H$74:$H134,62-20):$H134)*SQRT(245),"")</f>
        <v>0.233792555566952</v>
      </c>
      <c r="M134" s="52" t="n">
        <f aca="false">IF(AND(ISNUMBER($G134),$G134&gt;=60),MAX(INDEX($D$5:$D134,131-60):$D134),"")</f>
        <v>99381454</v>
      </c>
      <c r="N134" s="52" t="n">
        <f aca="false">IF(AND(ISNUMBER($G134),$G134&gt;=60),MIN(INDEX($E$5:$E134,131-60):$E134),"")</f>
        <v>87334862</v>
      </c>
      <c r="O134" s="53" t="n">
        <f aca="false">IF(OR(NOT(ISNUMBER($C134)),NOT(ISNUMBER($M134)),$M134=0),"",$C134/$M134-1)</f>
        <v>-0.07232829376797</v>
      </c>
      <c r="P134" s="54"/>
      <c r="Q134" s="53" t="str">
        <f aca="false">IF(NOT(ISNUMBER($P134)),"",IFERROR(PERCENTRANK($P$5:$P$1204,$P134),""))</f>
        <v/>
      </c>
    </row>
    <row r="135" customFormat="false" ht="15" hidden="false" customHeight="false" outlineLevel="0" collapsed="false">
      <c r="A135" s="47" t="n">
        <v>45752</v>
      </c>
      <c r="B135" s="48" t="s">
        <v>283</v>
      </c>
      <c r="C135" s="49" t="n">
        <v>90362925</v>
      </c>
      <c r="D135" s="49" t="n">
        <v>90737733</v>
      </c>
      <c r="E135" s="49" t="n">
        <v>90007835</v>
      </c>
      <c r="F135" s="49" t="n">
        <v>0</v>
      </c>
      <c r="G135" s="50" t="n">
        <f aca="false">IF($A135="","",IF(ISNUMBER($G134),$G134+1,1))</f>
        <v>131</v>
      </c>
      <c r="H135" s="51" t="n">
        <f aca="false">IF(OR(NOT(ISNUMBER($G135)),$G135&lt;2,NOT(ISNUMBER($C134)),$C134=0),"",$C135/$C134-1)</f>
        <v>-0.0198543359352235</v>
      </c>
      <c r="I135" s="52" t="n">
        <f aca="false">IF(AND(ISNUMBER($G135),$G135&gt;=MA_SHORT),AVERAGE(INDEX($C$5:$C135,132-MA_SHORT):$C135),"")</f>
        <v>91922705.8</v>
      </c>
      <c r="J135" s="52" t="n">
        <f aca="false">IF(AND(ISNUMBER($G135),$G135&gt;=MA_MED),AVERAGE(INDEX($C$5:$C135,132-MA_MED):$C135),"")</f>
        <v>94235586.54</v>
      </c>
      <c r="K135" s="52" t="str">
        <f aca="false">IF(AND(ISNUMBER($G135),$G135&gt;=MA_LONG2),AVERAGE(INDEX($C$5:$C135,132-MA_LONG2):$C135),"")</f>
        <v/>
      </c>
      <c r="L135" s="53" t="n">
        <f aca="false">IF(AND(ISNUMBER($G135),$G135&gt;=21),STDEV(INDEX($H$75:$H135,62-20):$H135)*SQRT(245),"")</f>
        <v>0.224418846999611</v>
      </c>
      <c r="M135" s="52" t="n">
        <f aca="false">IF(AND(ISNUMBER($G135),$G135&gt;=60),MAX(INDEX($D$5:$D135,132-60):$D135),"")</f>
        <v>99381454</v>
      </c>
      <c r="N135" s="52" t="n">
        <f aca="false">IF(AND(ISNUMBER($G135),$G135&gt;=60),MIN(INDEX($E$5:$E135,132-60):$E135),"")</f>
        <v>87334862</v>
      </c>
      <c r="O135" s="53" t="n">
        <f aca="false">IF(OR(NOT(ISNUMBER($C135)),NOT(ISNUMBER($M135)),$M135=0),"",$C135/$M135-1)</f>
        <v>-0.0907465994611026</v>
      </c>
      <c r="P135" s="54"/>
      <c r="Q135" s="53" t="str">
        <f aca="false">IF(NOT(ISNUMBER($P135)),"",IFERROR(PERCENTRANK($P$5:$P$1204,$P135),""))</f>
        <v/>
      </c>
    </row>
    <row r="136" customFormat="false" ht="15" hidden="false" customHeight="false" outlineLevel="0" collapsed="false">
      <c r="A136" s="47" t="n">
        <v>45753</v>
      </c>
      <c r="B136" s="48" t="s">
        <v>284</v>
      </c>
      <c r="C136" s="49" t="n">
        <v>90177359</v>
      </c>
      <c r="D136" s="49" t="n">
        <v>90357565</v>
      </c>
      <c r="E136" s="49" t="n">
        <v>89437251</v>
      </c>
      <c r="F136" s="49" t="n">
        <v>0</v>
      </c>
      <c r="G136" s="50" t="n">
        <f aca="false">IF($A136="","",IF(ISNUMBER($G135),$G135+1,1))</f>
        <v>132</v>
      </c>
      <c r="H136" s="51" t="n">
        <f aca="false">IF(OR(NOT(ISNUMBER($G136)),$G136&lt;2,NOT(ISNUMBER($C135)),$C135=0),"",$C136/$C135-1)</f>
        <v>-0.00205356344983298</v>
      </c>
      <c r="I136" s="52" t="n">
        <f aca="false">IF(AND(ISNUMBER($G136),$G136&gt;=MA_SHORT),AVERAGE(INDEX($C$5:$C136,133-MA_SHORT):$C136),"")</f>
        <v>91826442.35</v>
      </c>
      <c r="J136" s="52" t="n">
        <f aca="false">IF(AND(ISNUMBER($G136),$G136&gt;=MA_MED),AVERAGE(INDEX($C$5:$C136,133-MA_MED):$C136),"")</f>
        <v>94246297.3</v>
      </c>
      <c r="K136" s="52" t="str">
        <f aca="false">IF(AND(ISNUMBER($G136),$G136&gt;=MA_LONG2),AVERAGE(INDEX($C$5:$C136,133-MA_LONG2):$C136),"")</f>
        <v/>
      </c>
      <c r="L136" s="53" t="n">
        <f aca="false">IF(AND(ISNUMBER($G136),$G136&gt;=21),STDEV(INDEX($H$76:$H136,62-20):$H136)*SQRT(245),"")</f>
        <v>0.216804062954545</v>
      </c>
      <c r="M136" s="52" t="n">
        <f aca="false">IF(AND(ISNUMBER($G136),$G136&gt;=60),MAX(INDEX($D$5:$D136,133-60):$D136),"")</f>
        <v>99381454</v>
      </c>
      <c r="N136" s="52" t="n">
        <f aca="false">IF(AND(ISNUMBER($G136),$G136&gt;=60),MIN(INDEX($E$5:$E136,133-60):$E136),"")</f>
        <v>87334862</v>
      </c>
      <c r="O136" s="53" t="n">
        <f aca="false">IF(OR(NOT(ISNUMBER($C136)),NOT(ISNUMBER($M136)),$M136=0),"",$C136/$M136-1)</f>
        <v>-0.0926138090110857</v>
      </c>
      <c r="P136" s="54"/>
      <c r="Q136" s="53" t="str">
        <f aca="false">IF(NOT(ISNUMBER($P136)),"",IFERROR(PERCENTRANK($P$5:$P$1204,$P136),""))</f>
        <v/>
      </c>
    </row>
    <row r="137" customFormat="false" ht="15" hidden="false" customHeight="false" outlineLevel="0" collapsed="false">
      <c r="A137" s="47" t="n">
        <v>45754</v>
      </c>
      <c r="B137" s="48" t="s">
        <v>285</v>
      </c>
      <c r="C137" s="49" t="n">
        <v>89963843</v>
      </c>
      <c r="D137" s="49" t="n">
        <v>90314135</v>
      </c>
      <c r="E137" s="49" t="n">
        <v>89337673</v>
      </c>
      <c r="F137" s="49" t="n">
        <v>0</v>
      </c>
      <c r="G137" s="50" t="n">
        <f aca="false">IF($A137="","",IF(ISNUMBER($G136),$G136+1,1))</f>
        <v>133</v>
      </c>
      <c r="H137" s="51" t="n">
        <f aca="false">IF(OR(NOT(ISNUMBER($G137)),$G137&lt;2,NOT(ISNUMBER($C136)),$C136=0),"",$C137/$C136-1)</f>
        <v>-0.00236773401181556</v>
      </c>
      <c r="I137" s="52" t="n">
        <f aca="false">IF(AND(ISNUMBER($G137),$G137&gt;=MA_SHORT),AVERAGE(INDEX($C$5:$C137,134-MA_SHORT):$C137),"")</f>
        <v>91811927.05</v>
      </c>
      <c r="J137" s="52" t="n">
        <f aca="false">IF(AND(ISNUMBER($G137),$G137&gt;=MA_MED),AVERAGE(INDEX($C$5:$C137,134-MA_MED):$C137),"")</f>
        <v>94208395.2</v>
      </c>
      <c r="K137" s="52" t="str">
        <f aca="false">IF(AND(ISNUMBER($G137),$G137&gt;=MA_LONG2),AVERAGE(INDEX($C$5:$C137,134-MA_LONG2):$C137),"")</f>
        <v/>
      </c>
      <c r="L137" s="53" t="n">
        <f aca="false">IF(AND(ISNUMBER($G137),$G137&gt;=21),STDEV(INDEX($H$77:$H137,62-20):$H137)*SQRT(245),"")</f>
        <v>0.205232610942196</v>
      </c>
      <c r="M137" s="52" t="n">
        <f aca="false">IF(AND(ISNUMBER($G137),$G137&gt;=60),MAX(INDEX($D$5:$D137,134-60):$D137),"")</f>
        <v>99381454</v>
      </c>
      <c r="N137" s="52" t="n">
        <f aca="false">IF(AND(ISNUMBER($G137),$G137&gt;=60),MIN(INDEX($E$5:$E137,134-60):$E137),"")</f>
        <v>87334862</v>
      </c>
      <c r="O137" s="53" t="n">
        <f aca="false">IF(OR(NOT(ISNUMBER($C137)),NOT(ISNUMBER($M137)),$M137=0),"",$C137/$M137-1)</f>
        <v>-0.094762258157342</v>
      </c>
      <c r="P137" s="54"/>
      <c r="Q137" s="53" t="str">
        <f aca="false">IF(NOT(ISNUMBER($P137)),"",IFERROR(PERCENTRANK($P$5:$P$1204,$P137),""))</f>
        <v/>
      </c>
    </row>
    <row r="138" customFormat="false" ht="15" hidden="false" customHeight="false" outlineLevel="0" collapsed="false">
      <c r="A138" s="47" t="n">
        <v>45755</v>
      </c>
      <c r="B138" s="48" t="s">
        <v>286</v>
      </c>
      <c r="C138" s="49" t="n">
        <v>90949606</v>
      </c>
      <c r="D138" s="49" t="n">
        <v>91203963</v>
      </c>
      <c r="E138" s="49" t="n">
        <v>90217614</v>
      </c>
      <c r="F138" s="49" t="n">
        <v>0</v>
      </c>
      <c r="G138" s="50" t="n">
        <f aca="false">IF($A138="","",IF(ISNUMBER($G137),$G137+1,1))</f>
        <v>134</v>
      </c>
      <c r="H138" s="51" t="n">
        <f aca="false">IF(OR(NOT(ISNUMBER($G138)),$G138&lt;2,NOT(ISNUMBER($C137)),$C137=0),"",$C138/$C137-1)</f>
        <v>0.0109573242663723</v>
      </c>
      <c r="I138" s="52" t="n">
        <f aca="false">IF(AND(ISNUMBER($G138),$G138&gt;=MA_SHORT),AVERAGE(INDEX($C$5:$C138,135-MA_SHORT):$C138),"")</f>
        <v>91803416.75</v>
      </c>
      <c r="J138" s="52" t="n">
        <f aca="false">IF(AND(ISNUMBER($G138),$G138&gt;=MA_MED),AVERAGE(INDEX($C$5:$C138,135-MA_MED):$C138),"")</f>
        <v>94165676.38</v>
      </c>
      <c r="K138" s="52" t="str">
        <f aca="false">IF(AND(ISNUMBER($G138),$G138&gt;=MA_LONG2),AVERAGE(INDEX($C$5:$C138,135-MA_LONG2):$C138),"")</f>
        <v/>
      </c>
      <c r="L138" s="53" t="n">
        <f aca="false">IF(AND(ISNUMBER($G138),$G138&gt;=21),STDEV(INDEX($H$78:$H138,62-20):$H138)*SQRT(245),"")</f>
        <v>0.206116312079101</v>
      </c>
      <c r="M138" s="52" t="n">
        <f aca="false">IF(AND(ISNUMBER($G138),$G138&gt;=60),MAX(INDEX($D$5:$D138,135-60):$D138),"")</f>
        <v>99381454</v>
      </c>
      <c r="N138" s="52" t="n">
        <f aca="false">IF(AND(ISNUMBER($G138),$G138&gt;=60),MIN(INDEX($E$5:$E138,135-60):$E138),"")</f>
        <v>87334862</v>
      </c>
      <c r="O138" s="53" t="n">
        <f aca="false">IF(OR(NOT(ISNUMBER($C138)),NOT(ISNUMBER($M138)),$M138=0),"",$C138/$M138-1)</f>
        <v>-0.0848432746818134</v>
      </c>
      <c r="P138" s="54"/>
      <c r="Q138" s="53" t="str">
        <f aca="false">IF(NOT(ISNUMBER($P138)),"",IFERROR(PERCENTRANK($P$5:$P$1204,$P138),""))</f>
        <v/>
      </c>
    </row>
    <row r="139" customFormat="false" ht="15" hidden="false" customHeight="false" outlineLevel="0" collapsed="false">
      <c r="A139" s="47" t="n">
        <v>45756</v>
      </c>
      <c r="B139" s="48" t="s">
        <v>287</v>
      </c>
      <c r="C139" s="49" t="n">
        <v>91737516</v>
      </c>
      <c r="D139" s="49" t="n">
        <v>92246991</v>
      </c>
      <c r="E139" s="49" t="n">
        <v>91671858</v>
      </c>
      <c r="F139" s="49" t="n">
        <v>0</v>
      </c>
      <c r="G139" s="50" t="n">
        <f aca="false">IF($A139="","",IF(ISNUMBER($G138),$G138+1,1))</f>
        <v>135</v>
      </c>
      <c r="H139" s="51" t="n">
        <f aca="false">IF(OR(NOT(ISNUMBER($G139)),$G139&lt;2,NOT(ISNUMBER($C138)),$C138=0),"",$C139/$C138-1)</f>
        <v>0.00866314912898036</v>
      </c>
      <c r="I139" s="52" t="n">
        <f aca="false">IF(AND(ISNUMBER($G139),$G139&gt;=MA_SHORT),AVERAGE(INDEX($C$5:$C139,136-MA_SHORT):$C139),"")</f>
        <v>91804697.85</v>
      </c>
      <c r="J139" s="52" t="n">
        <f aca="false">IF(AND(ISNUMBER($G139),$G139&gt;=MA_MED),AVERAGE(INDEX($C$5:$C139,136-MA_MED):$C139),"")</f>
        <v>94102171.24</v>
      </c>
      <c r="K139" s="52" t="str">
        <f aca="false">IF(AND(ISNUMBER($G139),$G139&gt;=MA_LONG2),AVERAGE(INDEX($C$5:$C139,136-MA_LONG2):$C139),"")</f>
        <v/>
      </c>
      <c r="L139" s="53" t="n">
        <f aca="false">IF(AND(ISNUMBER($G139),$G139&gt;=21),STDEV(INDEX($H$79:$H139,62-20):$H139)*SQRT(245),"")</f>
        <v>0.207134780954664</v>
      </c>
      <c r="M139" s="52" t="n">
        <f aca="false">IF(AND(ISNUMBER($G139),$G139&gt;=60),MAX(INDEX($D$5:$D139,136-60):$D139),"")</f>
        <v>99381454</v>
      </c>
      <c r="N139" s="52" t="n">
        <f aca="false">IF(AND(ISNUMBER($G139),$G139&gt;=60),MIN(INDEX($E$5:$E139,136-60):$E139),"")</f>
        <v>87334862</v>
      </c>
      <c r="O139" s="53" t="n">
        <f aca="false">IF(OR(NOT(ISNUMBER($C139)),NOT(ISNUMBER($M139)),$M139=0),"",$C139/$M139-1)</f>
        <v>-0.0769151354939927</v>
      </c>
      <c r="P139" s="54"/>
      <c r="Q139" s="53" t="str">
        <f aca="false">IF(NOT(ISNUMBER($P139)),"",IFERROR(PERCENTRANK($P$5:$P$1204,$P139),""))</f>
        <v/>
      </c>
    </row>
    <row r="140" customFormat="false" ht="15" hidden="false" customHeight="false" outlineLevel="0" collapsed="false">
      <c r="A140" s="47" t="n">
        <v>45759</v>
      </c>
      <c r="B140" s="48" t="s">
        <v>288</v>
      </c>
      <c r="C140" s="49" t="n">
        <v>91590422</v>
      </c>
      <c r="D140" s="49" t="n">
        <v>91915155</v>
      </c>
      <c r="E140" s="49" t="n">
        <v>90974709</v>
      </c>
      <c r="F140" s="49" t="n">
        <v>0</v>
      </c>
      <c r="G140" s="50" t="n">
        <f aca="false">IF($A140="","",IF(ISNUMBER($G139),$G139+1,1))</f>
        <v>136</v>
      </c>
      <c r="H140" s="51" t="n">
        <f aca="false">IF(OR(NOT(ISNUMBER($G140)),$G140&lt;2,NOT(ISNUMBER($C139)),$C139=0),"",$C140/$C139-1)</f>
        <v>-0.00160342252999313</v>
      </c>
      <c r="I140" s="52" t="n">
        <f aca="false">IF(AND(ISNUMBER($G140),$G140&gt;=MA_SHORT),AVERAGE(INDEX($C$5:$C140,137-MA_SHORT):$C140),"")</f>
        <v>91806444.25</v>
      </c>
      <c r="J140" s="52" t="n">
        <f aca="false">IF(AND(ISNUMBER($G140),$G140&gt;=MA_MED),AVERAGE(INDEX($C$5:$C140,137-MA_MED):$C140),"")</f>
        <v>93977546.4</v>
      </c>
      <c r="K140" s="52" t="str">
        <f aca="false">IF(AND(ISNUMBER($G140),$G140&gt;=MA_LONG2),AVERAGE(INDEX($C$5:$C140,137-MA_LONG2):$C140),"")</f>
        <v/>
      </c>
      <c r="L140" s="53" t="n">
        <f aca="false">IF(AND(ISNUMBER($G140),$G140&gt;=21),STDEV(INDEX($H$80:$H140,62-20):$H140)*SQRT(245),"")</f>
        <v>0.207123648654903</v>
      </c>
      <c r="M140" s="52" t="n">
        <f aca="false">IF(AND(ISNUMBER($G140),$G140&gt;=60),MAX(INDEX($D$5:$D140,137-60):$D140),"")</f>
        <v>99381454</v>
      </c>
      <c r="N140" s="52" t="n">
        <f aca="false">IF(AND(ISNUMBER($G140),$G140&gt;=60),MIN(INDEX($E$5:$E140,137-60):$E140),"")</f>
        <v>87334862</v>
      </c>
      <c r="O140" s="53" t="n">
        <f aca="false">IF(OR(NOT(ISNUMBER($C140)),NOT(ISNUMBER($M140)),$M140=0),"",$C140/$M140-1)</f>
        <v>-0.0783952305628373</v>
      </c>
      <c r="P140" s="54"/>
      <c r="Q140" s="53" t="str">
        <f aca="false">IF(NOT(ISNUMBER($P140)),"",IFERROR(PERCENTRANK($P$5:$P$1204,$P140),""))</f>
        <v/>
      </c>
    </row>
    <row r="141" customFormat="false" ht="15" hidden="false" customHeight="false" outlineLevel="0" collapsed="false">
      <c r="A141" s="47" t="n">
        <v>45760</v>
      </c>
      <c r="B141" s="48" t="s">
        <v>289</v>
      </c>
      <c r="C141" s="49" t="n">
        <v>91339403</v>
      </c>
      <c r="D141" s="49" t="n">
        <v>91411914</v>
      </c>
      <c r="E141" s="49" t="n">
        <v>90891577</v>
      </c>
      <c r="F141" s="49" t="n">
        <v>0</v>
      </c>
      <c r="G141" s="50" t="n">
        <f aca="false">IF($A141="","",IF(ISNUMBER($G140),$G140+1,1))</f>
        <v>137</v>
      </c>
      <c r="H141" s="51" t="n">
        <f aca="false">IF(OR(NOT(ISNUMBER($G141)),$G141&lt;2,NOT(ISNUMBER($C140)),$C140=0),"",$C141/$C140-1)</f>
        <v>-0.00274066866948164</v>
      </c>
      <c r="I141" s="52" t="n">
        <f aca="false">IF(AND(ISNUMBER($G141),$G141&gt;=MA_SHORT),AVERAGE(INDEX($C$5:$C141,138-MA_SHORT):$C141),"")</f>
        <v>91853119.95</v>
      </c>
      <c r="J141" s="52" t="n">
        <f aca="false">IF(AND(ISNUMBER($G141),$G141&gt;=MA_MED),AVERAGE(INDEX($C$5:$C141,138-MA_MED):$C141),"")</f>
        <v>93881443.04</v>
      </c>
      <c r="K141" s="52" t="str">
        <f aca="false">IF(AND(ISNUMBER($G141),$G141&gt;=MA_LONG2),AVERAGE(INDEX($C$5:$C141,138-MA_LONG2):$C141),"")</f>
        <v/>
      </c>
      <c r="L141" s="53" t="n">
        <f aca="false">IF(AND(ISNUMBER($G141),$G141&gt;=21),STDEV(INDEX($H$81:$H141,62-20):$H141)*SQRT(245),"")</f>
        <v>0.202177957188209</v>
      </c>
      <c r="M141" s="52" t="n">
        <f aca="false">IF(AND(ISNUMBER($G141),$G141&gt;=60),MAX(INDEX($D$5:$D141,138-60):$D141),"")</f>
        <v>99381454</v>
      </c>
      <c r="N141" s="52" t="n">
        <f aca="false">IF(AND(ISNUMBER($G141),$G141&gt;=60),MIN(INDEX($E$5:$E141,138-60):$E141),"")</f>
        <v>87334862</v>
      </c>
      <c r="O141" s="53" t="n">
        <f aca="false">IF(OR(NOT(ISNUMBER($C141)),NOT(ISNUMBER($M141)),$M141=0),"",$C141/$M141-1)</f>
        <v>-0.0809210438800785</v>
      </c>
      <c r="P141" s="54"/>
      <c r="Q141" s="53" t="str">
        <f aca="false">IF(NOT(ISNUMBER($P141)),"",IFERROR(PERCENTRANK($P$5:$P$1204,$P141),""))</f>
        <v/>
      </c>
    </row>
    <row r="142" customFormat="false" ht="15" hidden="false" customHeight="false" outlineLevel="0" collapsed="false">
      <c r="A142" s="47" t="n">
        <v>45761</v>
      </c>
      <c r="B142" s="48" t="s">
        <v>290</v>
      </c>
      <c r="C142" s="49" t="n">
        <v>91698589</v>
      </c>
      <c r="D142" s="49" t="n">
        <v>92075037</v>
      </c>
      <c r="E142" s="49" t="n">
        <v>91625530</v>
      </c>
      <c r="F142" s="49" t="n">
        <v>0</v>
      </c>
      <c r="G142" s="50" t="n">
        <f aca="false">IF($A142="","",IF(ISNUMBER($G141),$G141+1,1))</f>
        <v>138</v>
      </c>
      <c r="H142" s="51" t="n">
        <f aca="false">IF(OR(NOT(ISNUMBER($G142)),$G142&lt;2,NOT(ISNUMBER($C141)),$C141=0),"",$C142/$C141-1)</f>
        <v>0.0039324320961458</v>
      </c>
      <c r="I142" s="52" t="n">
        <f aca="false">IF(AND(ISNUMBER($G142),$G142&gt;=MA_SHORT),AVERAGE(INDEX($C$5:$C142,139-MA_SHORT):$C142),"")</f>
        <v>91859334.25</v>
      </c>
      <c r="J142" s="52" t="n">
        <f aca="false">IF(AND(ISNUMBER($G142),$G142&gt;=MA_MED),AVERAGE(INDEX($C$5:$C142,139-MA_MED):$C142),"")</f>
        <v>93786825.76</v>
      </c>
      <c r="K142" s="52" t="str">
        <f aca="false">IF(AND(ISNUMBER($G142),$G142&gt;=MA_LONG2),AVERAGE(INDEX($C$5:$C142,139-MA_LONG2):$C142),"")</f>
        <v/>
      </c>
      <c r="L142" s="53" t="n">
        <f aca="false">IF(AND(ISNUMBER($G142),$G142&gt;=21),STDEV(INDEX($H$82:$H142,62-20):$H142)*SQRT(245),"")</f>
        <v>0.197501881802958</v>
      </c>
      <c r="M142" s="52" t="n">
        <f aca="false">IF(AND(ISNUMBER($G142),$G142&gt;=60),MAX(INDEX($D$5:$D142,139-60):$D142),"")</f>
        <v>99381454</v>
      </c>
      <c r="N142" s="52" t="n">
        <f aca="false">IF(AND(ISNUMBER($G142),$G142&gt;=60),MIN(INDEX($E$5:$E142,139-60):$E142),"")</f>
        <v>87334862</v>
      </c>
      <c r="O142" s="53" t="n">
        <f aca="false">IF(OR(NOT(ISNUMBER($C142)),NOT(ISNUMBER($M142)),$M142=0),"",$C142/$M142-1)</f>
        <v>-0.0773068282941403</v>
      </c>
      <c r="P142" s="54"/>
      <c r="Q142" s="53" t="str">
        <f aca="false">IF(NOT(ISNUMBER($P142)),"",IFERROR(PERCENTRANK($P$5:$P$1204,$P142),""))</f>
        <v/>
      </c>
    </row>
    <row r="143" customFormat="false" ht="15" hidden="false" customHeight="false" outlineLevel="0" collapsed="false">
      <c r="A143" s="47" t="n">
        <v>45762</v>
      </c>
      <c r="B143" s="48" t="s">
        <v>291</v>
      </c>
      <c r="C143" s="49" t="n">
        <v>93425604</v>
      </c>
      <c r="D143" s="49" t="n">
        <v>93636664</v>
      </c>
      <c r="E143" s="49" t="n">
        <v>93043722</v>
      </c>
      <c r="F143" s="49" t="n">
        <v>0</v>
      </c>
      <c r="G143" s="50" t="n">
        <f aca="false">IF($A143="","",IF(ISNUMBER($G142),$G142+1,1))</f>
        <v>139</v>
      </c>
      <c r="H143" s="51" t="n">
        <f aca="false">IF(OR(NOT(ISNUMBER($G143)),$G143&lt;2,NOT(ISNUMBER($C142)),$C142=0),"",$C143/$C142-1)</f>
        <v>0.0188336049532889</v>
      </c>
      <c r="I143" s="52" t="n">
        <f aca="false">IF(AND(ISNUMBER($G143),$G143&gt;=MA_SHORT),AVERAGE(INDEX($C$5:$C143,140-MA_SHORT):$C143),"")</f>
        <v>91944853.7</v>
      </c>
      <c r="J143" s="52" t="n">
        <f aca="false">IF(AND(ISNUMBER($G143),$G143&gt;=MA_MED),AVERAGE(INDEX($C$5:$C143,140-MA_MED):$C143),"")</f>
        <v>93712830.46</v>
      </c>
      <c r="K143" s="52" t="str">
        <f aca="false">IF(AND(ISNUMBER($G143),$G143&gt;=MA_LONG2),AVERAGE(INDEX($C$5:$C143,140-MA_LONG2):$C143),"")</f>
        <v/>
      </c>
      <c r="L143" s="53" t="n">
        <f aca="false">IF(AND(ISNUMBER($G143),$G143&gt;=21),STDEV(INDEX($H$83:$H143,62-20):$H143)*SQRT(245),"")</f>
        <v>0.208070299068861</v>
      </c>
      <c r="M143" s="52" t="n">
        <f aca="false">IF(AND(ISNUMBER($G143),$G143&gt;=60),MAX(INDEX($D$5:$D143,140-60):$D143),"")</f>
        <v>99381454</v>
      </c>
      <c r="N143" s="52" t="n">
        <f aca="false">IF(AND(ISNUMBER($G143),$G143&gt;=60),MIN(INDEX($E$5:$E143,140-60):$E143),"")</f>
        <v>87334862</v>
      </c>
      <c r="O143" s="53" t="n">
        <f aca="false">IF(OR(NOT(ISNUMBER($C143)),NOT(ISNUMBER($M143)),$M143=0),"",$C143/$M143-1)</f>
        <v>-0.0599291896051349</v>
      </c>
      <c r="P143" s="54"/>
      <c r="Q143" s="53" t="str">
        <f aca="false">IF(NOT(ISNUMBER($P143)),"",IFERROR(PERCENTRANK($P$5:$P$1204,$P143),""))</f>
        <v/>
      </c>
    </row>
    <row r="144" customFormat="false" ht="15" hidden="false" customHeight="false" outlineLevel="0" collapsed="false">
      <c r="A144" s="47" t="n">
        <v>45763</v>
      </c>
      <c r="B144" s="48" t="s">
        <v>292</v>
      </c>
      <c r="C144" s="49" t="n">
        <v>93964102</v>
      </c>
      <c r="D144" s="49" t="n">
        <v>93998378</v>
      </c>
      <c r="E144" s="49" t="n">
        <v>93688935</v>
      </c>
      <c r="F144" s="49" t="n">
        <v>0</v>
      </c>
      <c r="G144" s="50" t="n">
        <f aca="false">IF($A144="","",IF(ISNUMBER($G143),$G143+1,1))</f>
        <v>140</v>
      </c>
      <c r="H144" s="51" t="n">
        <f aca="false">IF(OR(NOT(ISNUMBER($G144)),$G144&lt;2,NOT(ISNUMBER($C143)),$C143=0),"",$C144/$C143-1)</f>
        <v>0.00576392313182161</v>
      </c>
      <c r="I144" s="52" t="n">
        <f aca="false">IF(AND(ISNUMBER($G144),$G144&gt;=MA_SHORT),AVERAGE(INDEX($C$5:$C144,141-MA_SHORT):$C144),"")</f>
        <v>92016548.35</v>
      </c>
      <c r="J144" s="52" t="n">
        <f aca="false">IF(AND(ISNUMBER($G144),$G144&gt;=MA_MED),AVERAGE(INDEX($C$5:$C144,141-MA_MED):$C144),"")</f>
        <v>93630694.32</v>
      </c>
      <c r="K144" s="52" t="str">
        <f aca="false">IF(AND(ISNUMBER($G144),$G144&gt;=MA_LONG2),AVERAGE(INDEX($C$5:$C144,141-MA_LONG2):$C144),"")</f>
        <v/>
      </c>
      <c r="L144" s="53" t="n">
        <f aca="false">IF(AND(ISNUMBER($G144),$G144&gt;=21),STDEV(INDEX($H$84:$H144,62-20):$H144)*SQRT(245),"")</f>
        <v>0.206829320392205</v>
      </c>
      <c r="M144" s="52" t="n">
        <f aca="false">IF(AND(ISNUMBER($G144),$G144&gt;=60),MAX(INDEX($D$5:$D144,141-60):$D144),"")</f>
        <v>99381454</v>
      </c>
      <c r="N144" s="52" t="n">
        <f aca="false">IF(AND(ISNUMBER($G144),$G144&gt;=60),MIN(INDEX($E$5:$E144,141-60):$E144),"")</f>
        <v>87334862</v>
      </c>
      <c r="O144" s="53" t="n">
        <f aca="false">IF(OR(NOT(ISNUMBER($C144)),NOT(ISNUMBER($M144)),$M144=0),"",$C144/$M144-1)</f>
        <v>-0.0545106937155497</v>
      </c>
      <c r="P144" s="54"/>
      <c r="Q144" s="53" t="str">
        <f aca="false">IF(NOT(ISNUMBER($P144)),"",IFERROR(PERCENTRANK($P$5:$P$1204,$P144),""))</f>
        <v/>
      </c>
    </row>
    <row r="145" customFormat="false" ht="15" hidden="false" customHeight="false" outlineLevel="0" collapsed="false">
      <c r="A145" s="47" t="n">
        <v>45766</v>
      </c>
      <c r="B145" s="48" t="s">
        <v>293</v>
      </c>
      <c r="C145" s="49" t="n">
        <v>91996964</v>
      </c>
      <c r="D145" s="49" t="n">
        <v>92067032</v>
      </c>
      <c r="E145" s="49" t="n">
        <v>91821367</v>
      </c>
      <c r="F145" s="49" t="n">
        <v>0</v>
      </c>
      <c r="G145" s="50" t="n">
        <f aca="false">IF($A145="","",IF(ISNUMBER($G144),$G144+1,1))</f>
        <v>141</v>
      </c>
      <c r="H145" s="51" t="n">
        <f aca="false">IF(OR(NOT(ISNUMBER($G145)),$G145&lt;2,NOT(ISNUMBER($C144)),$C144=0),"",$C145/$C144-1)</f>
        <v>-0.0209349949409403</v>
      </c>
      <c r="I145" s="52" t="n">
        <f aca="false">IF(AND(ISNUMBER($G145),$G145&gt;=MA_SHORT),AVERAGE(INDEX($C$5:$C145,142-MA_SHORT):$C145),"")</f>
        <v>91893211.1</v>
      </c>
      <c r="J145" s="52" t="n">
        <f aca="false">IF(AND(ISNUMBER($G145),$G145&gt;=MA_MED),AVERAGE(INDEX($C$5:$C145,142-MA_MED):$C145),"")</f>
        <v>93559437.1</v>
      </c>
      <c r="K145" s="52" t="str">
        <f aca="false">IF(AND(ISNUMBER($G145),$G145&gt;=MA_LONG2),AVERAGE(INDEX($C$5:$C145,142-MA_LONG2):$C145),"")</f>
        <v/>
      </c>
      <c r="L145" s="53" t="n">
        <f aca="false">IF(AND(ISNUMBER($G145),$G145&gt;=21),STDEV(INDEX($H$85:$H145,62-20):$H145)*SQRT(245),"")</f>
        <v>0.206375893154219</v>
      </c>
      <c r="M145" s="52" t="n">
        <f aca="false">IF(AND(ISNUMBER($G145),$G145&gt;=60),MAX(INDEX($D$5:$D145,142-60):$D145),"")</f>
        <v>99381454</v>
      </c>
      <c r="N145" s="52" t="n">
        <f aca="false">IF(AND(ISNUMBER($G145),$G145&gt;=60),MIN(INDEX($E$5:$E145,142-60):$E145),"")</f>
        <v>89337673</v>
      </c>
      <c r="O145" s="53" t="n">
        <f aca="false">IF(OR(NOT(ISNUMBER($C145)),NOT(ISNUMBER($M145)),$M145=0),"",$C145/$M145-1)</f>
        <v>-0.0743045075593279</v>
      </c>
      <c r="P145" s="54"/>
      <c r="Q145" s="53" t="str">
        <f aca="false">IF(NOT(ISNUMBER($P145)),"",IFERROR(PERCENTRANK($P$5:$P$1204,$P145),""))</f>
        <v/>
      </c>
    </row>
    <row r="146" customFormat="false" ht="15" hidden="false" customHeight="false" outlineLevel="0" collapsed="false">
      <c r="A146" s="47" t="n">
        <v>45767</v>
      </c>
      <c r="B146" s="48" t="s">
        <v>294</v>
      </c>
      <c r="C146" s="49" t="n">
        <v>92443613</v>
      </c>
      <c r="D146" s="49" t="n">
        <v>92966286</v>
      </c>
      <c r="E146" s="49" t="n">
        <v>92270904</v>
      </c>
      <c r="F146" s="49" t="n">
        <v>0</v>
      </c>
      <c r="G146" s="50" t="n">
        <f aca="false">IF($A146="","",IF(ISNUMBER($G145),$G145+1,1))</f>
        <v>142</v>
      </c>
      <c r="H146" s="51" t="n">
        <f aca="false">IF(OR(NOT(ISNUMBER($G146)),$G146&lt;2,NOT(ISNUMBER($C145)),$C145=0),"",$C146/$C145-1)</f>
        <v>0.00485504065112408</v>
      </c>
      <c r="I146" s="52" t="n">
        <f aca="false">IF(AND(ISNUMBER($G146),$G146&gt;=MA_SHORT),AVERAGE(INDEX($C$5:$C146,143-MA_SHORT):$C146),"")</f>
        <v>91914209.05</v>
      </c>
      <c r="J146" s="52" t="n">
        <f aca="false">IF(AND(ISNUMBER($G146),$G146&gt;=MA_MED),AVERAGE(INDEX($C$5:$C146,143-MA_MED):$C146),"")</f>
        <v>93530309.82</v>
      </c>
      <c r="K146" s="52" t="str">
        <f aca="false">IF(AND(ISNUMBER($G146),$G146&gt;=MA_LONG2),AVERAGE(INDEX($C$5:$C146,143-MA_LONG2):$C146),"")</f>
        <v/>
      </c>
      <c r="L146" s="53" t="n">
        <f aca="false">IF(AND(ISNUMBER($G146),$G146&gt;=21),STDEV(INDEX($H$86:$H146,62-20):$H146)*SQRT(245),"")</f>
        <v>0.186184700767239</v>
      </c>
      <c r="M146" s="52" t="n">
        <f aca="false">IF(AND(ISNUMBER($G146),$G146&gt;=60),MAX(INDEX($D$5:$D146,143-60):$D146),"")</f>
        <v>99381454</v>
      </c>
      <c r="N146" s="52" t="n">
        <f aca="false">IF(AND(ISNUMBER($G146),$G146&gt;=60),MIN(INDEX($E$5:$E146,143-60):$E146),"")</f>
        <v>89337673</v>
      </c>
      <c r="O146" s="53" t="n">
        <f aca="false">IF(OR(NOT(ISNUMBER($C146)),NOT(ISNUMBER($M146)),$M146=0),"",$C146/$M146-1)</f>
        <v>-0.0698102183129661</v>
      </c>
      <c r="P146" s="54"/>
      <c r="Q146" s="53" t="str">
        <f aca="false">IF(NOT(ISNUMBER($P146)),"",IFERROR(PERCENTRANK($P$5:$P$1204,$P146),""))</f>
        <v/>
      </c>
    </row>
    <row r="147" customFormat="false" ht="15" hidden="false" customHeight="false" outlineLevel="0" collapsed="false">
      <c r="A147" s="47" t="n">
        <v>45768</v>
      </c>
      <c r="B147" s="48" t="s">
        <v>295</v>
      </c>
      <c r="C147" s="49" t="n">
        <v>93074405</v>
      </c>
      <c r="D147" s="49" t="n">
        <v>93595689</v>
      </c>
      <c r="E147" s="49" t="n">
        <v>93005466</v>
      </c>
      <c r="F147" s="49" t="n">
        <v>0</v>
      </c>
      <c r="G147" s="50" t="n">
        <f aca="false">IF($A147="","",IF(ISNUMBER($G146),$G146+1,1))</f>
        <v>143</v>
      </c>
      <c r="H147" s="51" t="n">
        <f aca="false">IF(OR(NOT(ISNUMBER($G147)),$G147&lt;2,NOT(ISNUMBER($C146)),$C146=0),"",$C147/$C146-1)</f>
        <v>0.00682353252463197</v>
      </c>
      <c r="I147" s="52" t="n">
        <f aca="false">IF(AND(ISNUMBER($G147),$G147&gt;=MA_SHORT),AVERAGE(INDEX($C$5:$C147,144-MA_SHORT):$C147),"")</f>
        <v>91924813.95</v>
      </c>
      <c r="J147" s="52" t="n">
        <f aca="false">IF(AND(ISNUMBER($G147),$G147&gt;=MA_MED),AVERAGE(INDEX($C$5:$C147,144-MA_MED):$C147),"")</f>
        <v>93471409.42</v>
      </c>
      <c r="K147" s="52" t="str">
        <f aca="false">IF(AND(ISNUMBER($G147),$G147&gt;=MA_LONG2),AVERAGE(INDEX($C$5:$C147,144-MA_LONG2):$C147),"")</f>
        <v/>
      </c>
      <c r="L147" s="53" t="n">
        <f aca="false">IF(AND(ISNUMBER($G147),$G147&gt;=21),STDEV(INDEX($H$87:$H147,62-20):$H147)*SQRT(245),"")</f>
        <v>0.184954628088118</v>
      </c>
      <c r="M147" s="52" t="n">
        <f aca="false">IF(AND(ISNUMBER($G147),$G147&gt;=60),MAX(INDEX($D$5:$D147,144-60):$D147),"")</f>
        <v>99381454</v>
      </c>
      <c r="N147" s="52" t="n">
        <f aca="false">IF(AND(ISNUMBER($G147),$G147&gt;=60),MIN(INDEX($E$5:$E147,144-60):$E147),"")</f>
        <v>89337673</v>
      </c>
      <c r="O147" s="53" t="n">
        <f aca="false">IF(OR(NOT(ISNUMBER($C147)),NOT(ISNUMBER($M147)),$M147=0),"",$C147/$M147-1)</f>
        <v>-0.0634630380835443</v>
      </c>
      <c r="P147" s="54"/>
      <c r="Q147" s="53" t="str">
        <f aca="false">IF(NOT(ISNUMBER($P147)),"",IFERROR(PERCENTRANK($P$5:$P$1204,$P147),""))</f>
        <v/>
      </c>
    </row>
    <row r="148" customFormat="false" ht="15" hidden="false" customHeight="false" outlineLevel="0" collapsed="false">
      <c r="A148" s="47" t="n">
        <v>45769</v>
      </c>
      <c r="B148" s="48" t="s">
        <v>296</v>
      </c>
      <c r="C148" s="49" t="n">
        <v>92947900</v>
      </c>
      <c r="D148" s="49" t="n">
        <v>93219641</v>
      </c>
      <c r="E148" s="49" t="n">
        <v>92635262</v>
      </c>
      <c r="F148" s="49" t="n">
        <v>0</v>
      </c>
      <c r="G148" s="50" t="n">
        <f aca="false">IF($A148="","",IF(ISNUMBER($G147),$G147+1,1))</f>
        <v>144</v>
      </c>
      <c r="H148" s="51" t="n">
        <f aca="false">IF(OR(NOT(ISNUMBER($G148)),$G148&lt;2,NOT(ISNUMBER($C147)),$C147=0),"",$C148/$C147-1)</f>
        <v>-0.00135918139901081</v>
      </c>
      <c r="I148" s="52" t="n">
        <f aca="false">IF(AND(ISNUMBER($G148),$G148&gt;=MA_SHORT),AVERAGE(INDEX($C$5:$C148,145-MA_SHORT):$C148),"")</f>
        <v>91880314.95</v>
      </c>
      <c r="J148" s="52" t="n">
        <f aca="false">IF(AND(ISNUMBER($G148),$G148&gt;=MA_MED),AVERAGE(INDEX($C$5:$C148,145-MA_MED):$C148),"")</f>
        <v>93444161.68</v>
      </c>
      <c r="K148" s="52" t="str">
        <f aca="false">IF(AND(ISNUMBER($G148),$G148&gt;=MA_LONG2),AVERAGE(INDEX($C$5:$C148,145-MA_LONG2):$C148),"")</f>
        <v/>
      </c>
      <c r="L148" s="53" t="n">
        <f aca="false">IF(AND(ISNUMBER($G148),$G148&gt;=21),STDEV(INDEX($H$88:$H148,62-20):$H148)*SQRT(245),"")</f>
        <v>0.181034343720237</v>
      </c>
      <c r="M148" s="52" t="n">
        <f aca="false">IF(AND(ISNUMBER($G148),$G148&gt;=60),MAX(INDEX($D$5:$D148,145-60):$D148),"")</f>
        <v>99381454</v>
      </c>
      <c r="N148" s="52" t="n">
        <f aca="false">IF(AND(ISNUMBER($G148),$G148&gt;=60),MIN(INDEX($E$5:$E148,145-60):$E148),"")</f>
        <v>89337673</v>
      </c>
      <c r="O148" s="53" t="n">
        <f aca="false">IF(OR(NOT(ISNUMBER($C148)),NOT(ISNUMBER($M148)),$M148=0),"",$C148/$M148-1)</f>
        <v>-0.0647359617016672</v>
      </c>
      <c r="P148" s="54"/>
      <c r="Q148" s="53" t="str">
        <f aca="false">IF(NOT(ISNUMBER($P148)),"",IFERROR(PERCENTRANK($P$5:$P$1204,$P148),""))</f>
        <v/>
      </c>
    </row>
    <row r="149" customFormat="false" ht="15" hidden="false" customHeight="false" outlineLevel="0" collapsed="false">
      <c r="A149" s="47" t="n">
        <v>45770</v>
      </c>
      <c r="B149" s="48" t="s">
        <v>297</v>
      </c>
      <c r="C149" s="49" t="n">
        <v>92555801</v>
      </c>
      <c r="D149" s="49" t="n">
        <v>92796074</v>
      </c>
      <c r="E149" s="49" t="n">
        <v>92371995</v>
      </c>
      <c r="F149" s="49" t="n">
        <v>0</v>
      </c>
      <c r="G149" s="50" t="n">
        <f aca="false">IF($A149="","",IF(ISNUMBER($G148),$G148+1,1))</f>
        <v>145</v>
      </c>
      <c r="H149" s="51" t="n">
        <f aca="false">IF(OR(NOT(ISNUMBER($G149)),$G149&lt;2,NOT(ISNUMBER($C148)),$C148=0),"",$C149/$C148-1)</f>
        <v>-0.00421848153643067</v>
      </c>
      <c r="I149" s="52" t="n">
        <f aca="false">IF(AND(ISNUMBER($G149),$G149&gt;=MA_SHORT),AVERAGE(INDEX($C$5:$C149,146-MA_SHORT):$C149),"")</f>
        <v>91942194.4</v>
      </c>
      <c r="J149" s="52" t="n">
        <f aca="false">IF(AND(ISNUMBER($G149),$G149&gt;=MA_MED),AVERAGE(INDEX($C$5:$C149,146-MA_MED):$C149),"")</f>
        <v>93365998.92</v>
      </c>
      <c r="K149" s="52" t="str">
        <f aca="false">IF(AND(ISNUMBER($G149),$G149&gt;=MA_LONG2),AVERAGE(INDEX($C$5:$C149,146-MA_LONG2):$C149),"")</f>
        <v/>
      </c>
      <c r="L149" s="53" t="n">
        <f aca="false">IF(AND(ISNUMBER($G149),$G149&gt;=21),STDEV(INDEX($H$89:$H149,62-20):$H149)*SQRT(245),"")</f>
        <v>0.153676243076384</v>
      </c>
      <c r="M149" s="52" t="n">
        <f aca="false">IF(AND(ISNUMBER($G149),$G149&gt;=60),MAX(INDEX($D$5:$D149,146-60):$D149),"")</f>
        <v>99381454</v>
      </c>
      <c r="N149" s="52" t="n">
        <f aca="false">IF(AND(ISNUMBER($G149),$G149&gt;=60),MIN(INDEX($E$5:$E149,146-60):$E149),"")</f>
        <v>89337673</v>
      </c>
      <c r="O149" s="53" t="n">
        <f aca="false">IF(OR(NOT(ISNUMBER($C149)),NOT(ISNUMBER($M149)),$M149=0),"",$C149/$M149-1)</f>
        <v>-0.0686813557789162</v>
      </c>
      <c r="P149" s="54"/>
      <c r="Q149" s="53" t="str">
        <f aca="false">IF(NOT(ISNUMBER($P149)),"",IFERROR(PERCENTRANK($P$5:$P$1204,$P149),""))</f>
        <v/>
      </c>
    </row>
    <row r="150" customFormat="false" ht="15" hidden="false" customHeight="false" outlineLevel="0" collapsed="false">
      <c r="A150" s="47" t="n">
        <v>45773</v>
      </c>
      <c r="B150" s="48" t="s">
        <v>298</v>
      </c>
      <c r="C150" s="49" t="n">
        <v>93263696</v>
      </c>
      <c r="D150" s="49" t="n">
        <v>93702910</v>
      </c>
      <c r="E150" s="49" t="n">
        <v>93056946</v>
      </c>
      <c r="F150" s="49" t="n">
        <v>0</v>
      </c>
      <c r="G150" s="50" t="n">
        <f aca="false">IF($A150="","",IF(ISNUMBER($G149),$G149+1,1))</f>
        <v>146</v>
      </c>
      <c r="H150" s="51" t="n">
        <f aca="false">IF(OR(NOT(ISNUMBER($G150)),$G150&lt;2,NOT(ISNUMBER($C149)),$C149=0),"",$C150/$C149-1)</f>
        <v>0.00764830504789216</v>
      </c>
      <c r="I150" s="52" t="n">
        <f aca="false">IF(AND(ISNUMBER($G150),$G150&gt;=MA_SHORT),AVERAGE(INDEX($C$5:$C150,147-MA_SHORT):$C150),"")</f>
        <v>92052203.35</v>
      </c>
      <c r="J150" s="52" t="n">
        <f aca="false">IF(AND(ISNUMBER($G150),$G150&gt;=MA_MED),AVERAGE(INDEX($C$5:$C150,147-MA_MED):$C150),"")</f>
        <v>93294046.6</v>
      </c>
      <c r="K150" s="52" t="str">
        <f aca="false">IF(AND(ISNUMBER($G150),$G150&gt;=MA_LONG2),AVERAGE(INDEX($C$5:$C150,147-MA_LONG2):$C150),"")</f>
        <v/>
      </c>
      <c r="L150" s="53" t="n">
        <f aca="false">IF(AND(ISNUMBER($G150),$G150&gt;=21),STDEV(INDEX($H$90:$H150,62-20):$H150)*SQRT(245),"")</f>
        <v>0.154940482638033</v>
      </c>
      <c r="M150" s="52" t="n">
        <f aca="false">IF(AND(ISNUMBER($G150),$G150&gt;=60),MAX(INDEX($D$5:$D150,147-60):$D150),"")</f>
        <v>99381454</v>
      </c>
      <c r="N150" s="52" t="n">
        <f aca="false">IF(AND(ISNUMBER($G150),$G150&gt;=60),MIN(INDEX($E$5:$E150,147-60):$E150),"")</f>
        <v>89337673</v>
      </c>
      <c r="O150" s="53" t="n">
        <f aca="false">IF(OR(NOT(ISNUMBER($C150)),NOT(ISNUMBER($M150)),$M150=0),"",$C150/$M150-1)</f>
        <v>-0.061558346691124</v>
      </c>
      <c r="P150" s="54"/>
      <c r="Q150" s="53" t="str">
        <f aca="false">IF(NOT(ISNUMBER($P150)),"",IFERROR(PERCENTRANK($P$5:$P$1204,$P150),""))</f>
        <v/>
      </c>
    </row>
    <row r="151" customFormat="false" ht="15" hidden="false" customHeight="false" outlineLevel="0" collapsed="false">
      <c r="A151" s="47" t="n">
        <v>45774</v>
      </c>
      <c r="B151" s="48" t="s">
        <v>299</v>
      </c>
      <c r="C151" s="49" t="n">
        <v>94624861</v>
      </c>
      <c r="D151" s="49" t="n">
        <v>94686435</v>
      </c>
      <c r="E151" s="49" t="n">
        <v>94062366</v>
      </c>
      <c r="F151" s="49" t="n">
        <v>0</v>
      </c>
      <c r="G151" s="50" t="n">
        <f aca="false">IF($A151="","",IF(ISNUMBER($G150),$G150+1,1))</f>
        <v>147</v>
      </c>
      <c r="H151" s="51" t="n">
        <f aca="false">IF(OR(NOT(ISNUMBER($G151)),$G151&lt;2,NOT(ISNUMBER($C150)),$C150=0),"",$C151/$C150-1)</f>
        <v>0.0145948001031397</v>
      </c>
      <c r="I151" s="52" t="n">
        <f aca="false">IF(AND(ISNUMBER($G151),$G151&gt;=MA_SHORT),AVERAGE(INDEX($C$5:$C151,148-MA_SHORT):$C151),"")</f>
        <v>92155498.65</v>
      </c>
      <c r="J151" s="52" t="n">
        <f aca="false">IF(AND(ISNUMBER($G151),$G151&gt;=MA_MED),AVERAGE(INDEX($C$5:$C151,148-MA_MED):$C151),"")</f>
        <v>93265721.6</v>
      </c>
      <c r="K151" s="52" t="str">
        <f aca="false">IF(AND(ISNUMBER($G151),$G151&gt;=MA_LONG2),AVERAGE(INDEX($C$5:$C151,148-MA_LONG2):$C151),"")</f>
        <v/>
      </c>
      <c r="L151" s="53" t="n">
        <f aca="false">IF(AND(ISNUMBER($G151),$G151&gt;=21),STDEV(INDEX($H$91:$H151,62-20):$H151)*SQRT(245),"")</f>
        <v>0.152748544631823</v>
      </c>
      <c r="M151" s="52" t="n">
        <f aca="false">IF(AND(ISNUMBER($G151),$G151&gt;=60),MAX(INDEX($D$5:$D151,148-60):$D151),"")</f>
        <v>99381454</v>
      </c>
      <c r="N151" s="52" t="n">
        <f aca="false">IF(AND(ISNUMBER($G151),$G151&gt;=60),MIN(INDEX($E$5:$E151,148-60):$E151),"")</f>
        <v>89337673</v>
      </c>
      <c r="O151" s="53" t="n">
        <f aca="false">IF(OR(NOT(ISNUMBER($C151)),NOT(ISNUMBER($M151)),$M151=0),"",$C151/$M151-1)</f>
        <v>-0.047861978352621</v>
      </c>
      <c r="P151" s="54"/>
      <c r="Q151" s="53" t="str">
        <f aca="false">IF(NOT(ISNUMBER($P151)),"",IFERROR(PERCENTRANK($P$5:$P$1204,$P151),""))</f>
        <v/>
      </c>
    </row>
    <row r="152" customFormat="false" ht="15" hidden="false" customHeight="false" outlineLevel="0" collapsed="false">
      <c r="A152" s="47" t="n">
        <v>45775</v>
      </c>
      <c r="B152" s="48" t="s">
        <v>300</v>
      </c>
      <c r="C152" s="49" t="n">
        <v>96009778</v>
      </c>
      <c r="D152" s="49" t="n">
        <v>96125306</v>
      </c>
      <c r="E152" s="49" t="n">
        <v>95600402</v>
      </c>
      <c r="F152" s="49" t="n">
        <v>0</v>
      </c>
      <c r="G152" s="50" t="n">
        <f aca="false">IF($A152="","",IF(ISNUMBER($G151),$G151+1,1))</f>
        <v>148</v>
      </c>
      <c r="H152" s="51" t="n">
        <f aca="false">IF(OR(NOT(ISNUMBER($G152)),$G152&lt;2,NOT(ISNUMBER($C151)),$C151=0),"",$C152/$C151-1)</f>
        <v>0.0146358682629928</v>
      </c>
      <c r="I152" s="52" t="n">
        <f aca="false">IF(AND(ISNUMBER($G152),$G152&gt;=MA_SHORT),AVERAGE(INDEX($C$5:$C152,149-MA_SHORT):$C152),"")</f>
        <v>92324835.2</v>
      </c>
      <c r="J152" s="52" t="n">
        <f aca="false">IF(AND(ISNUMBER($G152),$G152&gt;=MA_MED),AVERAGE(INDEX($C$5:$C152,149-MA_MED):$C152),"")</f>
        <v>93256006.82</v>
      </c>
      <c r="K152" s="52" t="str">
        <f aca="false">IF(AND(ISNUMBER($G152),$G152&gt;=MA_LONG2),AVERAGE(INDEX($C$5:$C152,149-MA_LONG2):$C152),"")</f>
        <v/>
      </c>
      <c r="L152" s="53" t="n">
        <f aca="false">IF(AND(ISNUMBER($G152),$G152&gt;=21),STDEV(INDEX($H$92:$H152,62-20):$H152)*SQRT(245),"")</f>
        <v>0.159841564881989</v>
      </c>
      <c r="M152" s="52" t="n">
        <f aca="false">IF(AND(ISNUMBER($G152),$G152&gt;=60),MAX(INDEX($D$5:$D152,149-60):$D152),"")</f>
        <v>99381454</v>
      </c>
      <c r="N152" s="52" t="n">
        <f aca="false">IF(AND(ISNUMBER($G152),$G152&gt;=60),MIN(INDEX($E$5:$E152,149-60):$E152),"")</f>
        <v>89337673</v>
      </c>
      <c r="O152" s="53" t="n">
        <f aca="false">IF(OR(NOT(ISNUMBER($C152)),NOT(ISNUMBER($M152)),$M152=0),"",$C152/$M152-1)</f>
        <v>-0.0339266116996034</v>
      </c>
      <c r="P152" s="54"/>
      <c r="Q152" s="53" t="str">
        <f aca="false">IF(NOT(ISNUMBER($P152)),"",IFERROR(PERCENTRANK($P$5:$P$1204,$P152),""))</f>
        <v/>
      </c>
    </row>
    <row r="153" customFormat="false" ht="15" hidden="false" customHeight="false" outlineLevel="0" collapsed="false">
      <c r="A153" s="47" t="n">
        <v>45776</v>
      </c>
      <c r="B153" s="48" t="s">
        <v>301</v>
      </c>
      <c r="C153" s="49" t="n">
        <v>98063369</v>
      </c>
      <c r="D153" s="49" t="n">
        <v>98087048</v>
      </c>
      <c r="E153" s="49" t="n">
        <v>97971820</v>
      </c>
      <c r="F153" s="49" t="n">
        <v>0</v>
      </c>
      <c r="G153" s="50" t="n">
        <f aca="false">IF($A153="","",IF(ISNUMBER($G152),$G152+1,1))</f>
        <v>149</v>
      </c>
      <c r="H153" s="51" t="n">
        <f aca="false">IF(OR(NOT(ISNUMBER($G153)),$G153&lt;2,NOT(ISNUMBER($C152)),$C152=0),"",$C153/$C152-1)</f>
        <v>0.021389394317733</v>
      </c>
      <c r="I153" s="52" t="n">
        <f aca="false">IF(AND(ISNUMBER($G153),$G153&gt;=MA_SHORT),AVERAGE(INDEX($C$5:$C153,150-MA_SHORT):$C153),"")</f>
        <v>92619155.95</v>
      </c>
      <c r="J153" s="52" t="n">
        <f aca="false">IF(AND(ISNUMBER($G153),$G153&gt;=MA_MED),AVERAGE(INDEX($C$5:$C153,150-MA_MED):$C153),"")</f>
        <v>93237621.48</v>
      </c>
      <c r="K153" s="52" t="str">
        <f aca="false">IF(AND(ISNUMBER($G153),$G153&gt;=MA_LONG2),AVERAGE(INDEX($C$5:$C153,150-MA_LONG2):$C153),"")</f>
        <v/>
      </c>
      <c r="L153" s="53" t="n">
        <f aca="false">IF(AND(ISNUMBER($G153),$G153&gt;=21),STDEV(INDEX($H$93:$H153,62-20):$H153)*SQRT(245),"")</f>
        <v>0.171635400700275</v>
      </c>
      <c r="M153" s="52" t="n">
        <f aca="false">IF(AND(ISNUMBER($G153),$G153&gt;=60),MAX(INDEX($D$5:$D153,150-60):$D153),"")</f>
        <v>99381454</v>
      </c>
      <c r="N153" s="52" t="n">
        <f aca="false">IF(AND(ISNUMBER($G153),$G153&gt;=60),MIN(INDEX($E$5:$E153,150-60):$E153),"")</f>
        <v>89337673</v>
      </c>
      <c r="O153" s="53" t="n">
        <f aca="false">IF(OR(NOT(ISNUMBER($C153)),NOT(ISNUMBER($M153)),$M153=0),"",$C153/$M153-1)</f>
        <v>-0.0132628870573779</v>
      </c>
      <c r="P153" s="54"/>
      <c r="Q153" s="53" t="str">
        <f aca="false">IF(NOT(ISNUMBER($P153)),"",IFERROR(PERCENTRANK($P$5:$P$1204,$P153),""))</f>
        <v/>
      </c>
    </row>
    <row r="154" customFormat="false" ht="15" hidden="false" customHeight="false" outlineLevel="0" collapsed="false">
      <c r="A154" s="47" t="n">
        <v>45777</v>
      </c>
      <c r="B154" s="48" t="s">
        <v>302</v>
      </c>
      <c r="C154" s="49" t="n">
        <v>96359099</v>
      </c>
      <c r="D154" s="49" t="n">
        <v>96806798</v>
      </c>
      <c r="E154" s="49" t="n">
        <v>96332608</v>
      </c>
      <c r="F154" s="49" t="n">
        <v>0</v>
      </c>
      <c r="G154" s="50" t="n">
        <f aca="false">IF($A154="","",IF(ISNUMBER($G153),$G153+1,1))</f>
        <v>150</v>
      </c>
      <c r="H154" s="51" t="n">
        <f aca="false">IF(OR(NOT(ISNUMBER($G154)),$G154&lt;2,NOT(ISNUMBER($C153)),$C153=0),"",$C154/$C153-1)</f>
        <v>-0.0173792723764161</v>
      </c>
      <c r="I154" s="52" t="n">
        <f aca="false">IF(AND(ISNUMBER($G154),$G154&gt;=MA_SHORT),AVERAGE(INDEX($C$5:$C154,151-MA_SHORT):$C154),"")</f>
        <v>92827442.75</v>
      </c>
      <c r="J154" s="52" t="n">
        <f aca="false">IF(AND(ISNUMBER($G154),$G154&gt;=MA_MED),AVERAGE(INDEX($C$5:$C154,151-MA_MED):$C154),"")</f>
        <v>93207378.8</v>
      </c>
      <c r="K154" s="52" t="str">
        <f aca="false">IF(AND(ISNUMBER($G154),$G154&gt;=MA_LONG2),AVERAGE(INDEX($C$5:$C154,151-MA_LONG2):$C154),"")</f>
        <v/>
      </c>
      <c r="L154" s="53" t="n">
        <f aca="false">IF(AND(ISNUMBER($G154),$G154&gt;=21),STDEV(INDEX($H$94:$H154,62-20):$H154)*SQRT(245),"")</f>
        <v>0.185967222298125</v>
      </c>
      <c r="M154" s="52" t="n">
        <f aca="false">IF(AND(ISNUMBER($G154),$G154&gt;=60),MAX(INDEX($D$5:$D154,151-60):$D154),"")</f>
        <v>99381454</v>
      </c>
      <c r="N154" s="52" t="n">
        <f aca="false">IF(AND(ISNUMBER($G154),$G154&gt;=60),MIN(INDEX($E$5:$E154,151-60):$E154),"")</f>
        <v>89337673</v>
      </c>
      <c r="O154" s="53" t="n">
        <f aca="false">IF(OR(NOT(ISNUMBER($C154)),NOT(ISNUMBER($M154)),$M154=0),"",$C154/$M154-1)</f>
        <v>-0.0304116601071263</v>
      </c>
      <c r="P154" s="54"/>
      <c r="Q154" s="53" t="str">
        <f aca="false">IF(NOT(ISNUMBER($P154)),"",IFERROR(PERCENTRANK($P$5:$P$1204,$P154),""))</f>
        <v/>
      </c>
    </row>
    <row r="155" customFormat="false" ht="15" hidden="false" customHeight="false" outlineLevel="0" collapsed="false">
      <c r="A155" s="47" t="n">
        <v>45780</v>
      </c>
      <c r="B155" s="48" t="s">
        <v>303</v>
      </c>
      <c r="C155" s="49" t="n">
        <v>95217153</v>
      </c>
      <c r="D155" s="49" t="n">
        <v>95503788</v>
      </c>
      <c r="E155" s="49" t="n">
        <v>94794257</v>
      </c>
      <c r="F155" s="49" t="n">
        <v>0</v>
      </c>
      <c r="G155" s="50" t="n">
        <f aca="false">IF($A155="","",IF(ISNUMBER($G154),$G154+1,1))</f>
        <v>151</v>
      </c>
      <c r="H155" s="51" t="n">
        <f aca="false">IF(OR(NOT(ISNUMBER($G155)),$G155&lt;2,NOT(ISNUMBER($C154)),$C154=0),"",$C155/$C154-1)</f>
        <v>-0.0118509410304884</v>
      </c>
      <c r="I155" s="52" t="n">
        <f aca="false">IF(AND(ISNUMBER($G155),$G155&gt;=MA_SHORT),AVERAGE(INDEX($C$5:$C155,152-MA_SHORT):$C155),"")</f>
        <v>93070154.15</v>
      </c>
      <c r="J155" s="52" t="n">
        <f aca="false">IF(AND(ISNUMBER($G155),$G155&gt;=MA_MED),AVERAGE(INDEX($C$5:$C155,152-MA_MED):$C155),"")</f>
        <v>93196176.66</v>
      </c>
      <c r="K155" s="52" t="str">
        <f aca="false">IF(AND(ISNUMBER($G155),$G155&gt;=MA_LONG2),AVERAGE(INDEX($C$5:$C155,152-MA_LONG2):$C155),"")</f>
        <v/>
      </c>
      <c r="L155" s="53" t="n">
        <f aca="false">IF(AND(ISNUMBER($G155),$G155&gt;=21),STDEV(INDEX($H$95:$H155,62-20):$H155)*SQRT(245),"")</f>
        <v>0.175499344076748</v>
      </c>
      <c r="M155" s="52" t="n">
        <f aca="false">IF(AND(ISNUMBER($G155),$G155&gt;=60),MAX(INDEX($D$5:$D155,152-60):$D155),"")</f>
        <v>99381454</v>
      </c>
      <c r="N155" s="52" t="n">
        <f aca="false">IF(AND(ISNUMBER($G155),$G155&gt;=60),MIN(INDEX($E$5:$E155,152-60):$E155),"")</f>
        <v>89337673</v>
      </c>
      <c r="O155" s="53" t="n">
        <f aca="false">IF(OR(NOT(ISNUMBER($C155)),NOT(ISNUMBER($M155)),$M155=0),"",$C155/$M155-1)</f>
        <v>-0.0419021943470459</v>
      </c>
      <c r="P155" s="54"/>
      <c r="Q155" s="53" t="str">
        <f aca="false">IF(NOT(ISNUMBER($P155)),"",IFERROR(PERCENTRANK($P$5:$P$1204,$P155),""))</f>
        <v/>
      </c>
    </row>
    <row r="156" customFormat="false" ht="15" hidden="false" customHeight="false" outlineLevel="0" collapsed="false">
      <c r="A156" s="47" t="n">
        <v>45781</v>
      </c>
      <c r="B156" s="48" t="s">
        <v>304</v>
      </c>
      <c r="C156" s="49" t="n">
        <v>96365469</v>
      </c>
      <c r="D156" s="49" t="n">
        <v>96752860</v>
      </c>
      <c r="E156" s="49" t="n">
        <v>95942389</v>
      </c>
      <c r="F156" s="49" t="n">
        <v>0</v>
      </c>
      <c r="G156" s="50" t="n">
        <f aca="false">IF($A156="","",IF(ISNUMBER($G155),$G155+1,1))</f>
        <v>152</v>
      </c>
      <c r="H156" s="51" t="n">
        <f aca="false">IF(OR(NOT(ISNUMBER($G156)),$G156&lt;2,NOT(ISNUMBER($C155)),$C155=0),"",$C156/$C155-1)</f>
        <v>0.0120599699089932</v>
      </c>
      <c r="I156" s="52" t="n">
        <f aca="false">IF(AND(ISNUMBER($G156),$G156&gt;=MA_SHORT),AVERAGE(INDEX($C$5:$C156,153-MA_SHORT):$C156),"")</f>
        <v>93379559.65</v>
      </c>
      <c r="J156" s="52" t="n">
        <f aca="false">IF(AND(ISNUMBER($G156),$G156&gt;=MA_MED),AVERAGE(INDEX($C$5:$C156,153-MA_MED):$C156),"")</f>
        <v>93232076.6</v>
      </c>
      <c r="K156" s="52" t="str">
        <f aca="false">IF(AND(ISNUMBER($G156),$G156&gt;=MA_LONG2),AVERAGE(INDEX($C$5:$C156,153-MA_LONG2):$C156),"")</f>
        <v/>
      </c>
      <c r="L156" s="53" t="n">
        <f aca="false">IF(AND(ISNUMBER($G156),$G156&gt;=21),STDEV(INDEX($H$96:$H156,62-20):$H156)*SQRT(245),"")</f>
        <v>0.177531384457764</v>
      </c>
      <c r="M156" s="52" t="n">
        <f aca="false">IF(AND(ISNUMBER($G156),$G156&gt;=60),MAX(INDEX($D$5:$D156,153-60):$D156),"")</f>
        <v>99381454</v>
      </c>
      <c r="N156" s="52" t="n">
        <f aca="false">IF(AND(ISNUMBER($G156),$G156&gt;=60),MIN(INDEX($E$5:$E156,153-60):$E156),"")</f>
        <v>89337673</v>
      </c>
      <c r="O156" s="53" t="n">
        <f aca="false">IF(OR(NOT(ISNUMBER($C156)),NOT(ISNUMBER($M156)),$M156=0),"",$C156/$M156-1)</f>
        <v>-0.0303475636409989</v>
      </c>
      <c r="P156" s="54"/>
      <c r="Q156" s="53" t="str">
        <f aca="false">IF(NOT(ISNUMBER($P156)),"",IFERROR(PERCENTRANK($P$5:$P$1204,$P156),""))</f>
        <v/>
      </c>
    </row>
    <row r="157" customFormat="false" ht="15" hidden="false" customHeight="false" outlineLevel="0" collapsed="false">
      <c r="A157" s="47" t="n">
        <v>45782</v>
      </c>
      <c r="B157" s="48" t="s">
        <v>305</v>
      </c>
      <c r="C157" s="49" t="n">
        <v>94999901</v>
      </c>
      <c r="D157" s="49" t="n">
        <v>95373216</v>
      </c>
      <c r="E157" s="49" t="n">
        <v>94759992</v>
      </c>
      <c r="F157" s="49" t="n">
        <v>0</v>
      </c>
      <c r="G157" s="50" t="n">
        <f aca="false">IF($A157="","",IF(ISNUMBER($G156),$G156+1,1))</f>
        <v>153</v>
      </c>
      <c r="H157" s="51" t="n">
        <f aca="false">IF(OR(NOT(ISNUMBER($G157)),$G157&lt;2,NOT(ISNUMBER($C156)),$C156=0),"",$C157/$C156-1)</f>
        <v>-0.0141707191815774</v>
      </c>
      <c r="I157" s="52" t="n">
        <f aca="false">IF(AND(ISNUMBER($G157),$G157&gt;=MA_SHORT),AVERAGE(INDEX($C$5:$C157,154-MA_SHORT):$C157),"")</f>
        <v>93631362.55</v>
      </c>
      <c r="J157" s="52" t="n">
        <f aca="false">IF(AND(ISNUMBER($G157),$G157&gt;=MA_MED),AVERAGE(INDEX($C$5:$C157,154-MA_MED):$C157),"")</f>
        <v>93246781.14</v>
      </c>
      <c r="K157" s="52" t="str">
        <f aca="false">IF(AND(ISNUMBER($G157),$G157&gt;=MA_LONG2),AVERAGE(INDEX($C$5:$C157,154-MA_LONG2):$C157),"")</f>
        <v/>
      </c>
      <c r="L157" s="53" t="n">
        <f aca="false">IF(AND(ISNUMBER($G157),$G157&gt;=21),STDEV(INDEX($H$97:$H157,62-20):$H157)*SQRT(245),"")</f>
        <v>0.187016246784769</v>
      </c>
      <c r="M157" s="52" t="n">
        <f aca="false">IF(AND(ISNUMBER($G157),$G157&gt;=60),MAX(INDEX($D$5:$D157,154-60):$D157),"")</f>
        <v>99381454</v>
      </c>
      <c r="N157" s="52" t="n">
        <f aca="false">IF(AND(ISNUMBER($G157),$G157&gt;=60),MIN(INDEX($E$5:$E157,154-60):$E157),"")</f>
        <v>89337673</v>
      </c>
      <c r="O157" s="53" t="n">
        <f aca="false">IF(OR(NOT(ISNUMBER($C157)),NOT(ISNUMBER($M157)),$M157=0),"",$C157/$M157-1)</f>
        <v>-0.0440882360203746</v>
      </c>
      <c r="P157" s="54"/>
      <c r="Q157" s="53" t="str">
        <f aca="false">IF(NOT(ISNUMBER($P157)),"",IFERROR(PERCENTRANK($P$5:$P$1204,$P157),""))</f>
        <v/>
      </c>
    </row>
    <row r="158" customFormat="false" ht="15" hidden="false" customHeight="false" outlineLevel="0" collapsed="false">
      <c r="A158" s="47" t="n">
        <v>45783</v>
      </c>
      <c r="B158" s="48" t="s">
        <v>306</v>
      </c>
      <c r="C158" s="49" t="n">
        <v>96872234</v>
      </c>
      <c r="D158" s="49" t="n">
        <v>97929917</v>
      </c>
      <c r="E158" s="49" t="n">
        <v>96476597</v>
      </c>
      <c r="F158" s="49" t="n">
        <v>0</v>
      </c>
      <c r="G158" s="50" t="n">
        <f aca="false">IF($A158="","",IF(ISNUMBER($G157),$G157+1,1))</f>
        <v>154</v>
      </c>
      <c r="H158" s="51" t="n">
        <f aca="false">IF(OR(NOT(ISNUMBER($G158)),$G158&lt;2,NOT(ISNUMBER($C157)),$C157=0),"",$C158/$C157-1)</f>
        <v>0.0197087889596854</v>
      </c>
      <c r="I158" s="52" t="n">
        <f aca="false">IF(AND(ISNUMBER($G158),$G158&gt;=MA_SHORT),AVERAGE(INDEX($C$5:$C158,155-MA_SHORT):$C158),"")</f>
        <v>93927493.95</v>
      </c>
      <c r="J158" s="52" t="n">
        <f aca="false">IF(AND(ISNUMBER($G158),$G158&gt;=MA_MED),AVERAGE(INDEX($C$5:$C158,155-MA_MED):$C158),"")</f>
        <v>93232240.04</v>
      </c>
      <c r="K158" s="52" t="str">
        <f aca="false">IF(AND(ISNUMBER($G158),$G158&gt;=MA_LONG2),AVERAGE(INDEX($C$5:$C158,155-MA_LONG2):$C158),"")</f>
        <v/>
      </c>
      <c r="L158" s="53" t="n">
        <f aca="false">IF(AND(ISNUMBER($G158),$G158&gt;=21),STDEV(INDEX($H$98:$H158,62-20):$H158)*SQRT(245),"")</f>
        <v>0.194307710200736</v>
      </c>
      <c r="M158" s="52" t="n">
        <f aca="false">IF(AND(ISNUMBER($G158),$G158&gt;=60),MAX(INDEX($D$5:$D158,155-60):$D158),"")</f>
        <v>99381454</v>
      </c>
      <c r="N158" s="52" t="n">
        <f aca="false">IF(AND(ISNUMBER($G158),$G158&gt;=60),MIN(INDEX($E$5:$E158,155-60):$E158),"")</f>
        <v>89337673</v>
      </c>
      <c r="O158" s="53" t="n">
        <f aca="false">IF(OR(NOT(ISNUMBER($C158)),NOT(ISNUMBER($M158)),$M158=0),"",$C158/$M158-1)</f>
        <v>-0.0252483728000196</v>
      </c>
      <c r="P158" s="54"/>
      <c r="Q158" s="53" t="str">
        <f aca="false">IF(NOT(ISNUMBER($P158)),"",IFERROR(PERCENTRANK($P$5:$P$1204,$P158),""))</f>
        <v/>
      </c>
    </row>
    <row r="159" customFormat="false" ht="15" hidden="false" customHeight="false" outlineLevel="0" collapsed="false">
      <c r="A159" s="47" t="n">
        <v>45784</v>
      </c>
      <c r="B159" s="48" t="s">
        <v>307</v>
      </c>
      <c r="C159" s="49" t="n">
        <v>97029835</v>
      </c>
      <c r="D159" s="49" t="n">
        <v>97255934</v>
      </c>
      <c r="E159" s="49" t="n">
        <v>96993062</v>
      </c>
      <c r="F159" s="49" t="n">
        <v>0</v>
      </c>
      <c r="G159" s="50" t="n">
        <f aca="false">IF($A159="","",IF(ISNUMBER($G158),$G158+1,1))</f>
        <v>155</v>
      </c>
      <c r="H159" s="51" t="n">
        <f aca="false">IF(OR(NOT(ISNUMBER($G159)),$G159&lt;2,NOT(ISNUMBER($C158)),$C158=0),"",$C159/$C158-1)</f>
        <v>0.00162689548379769</v>
      </c>
      <c r="I159" s="52" t="n">
        <f aca="false">IF(AND(ISNUMBER($G159),$G159&gt;=MA_SHORT),AVERAGE(INDEX($C$5:$C159,156-MA_SHORT):$C159),"")</f>
        <v>94192109.9</v>
      </c>
      <c r="J159" s="52" t="n">
        <f aca="false">IF(AND(ISNUMBER($G159),$G159&gt;=MA_MED),AVERAGE(INDEX($C$5:$C159,156-MA_MED):$C159),"")</f>
        <v>93229990.88</v>
      </c>
      <c r="K159" s="52" t="str">
        <f aca="false">IF(AND(ISNUMBER($G159),$G159&gt;=MA_LONG2),AVERAGE(INDEX($C$5:$C159,156-MA_LONG2):$C159),"")</f>
        <v/>
      </c>
      <c r="L159" s="53" t="n">
        <f aca="false">IF(AND(ISNUMBER($G159),$G159&gt;=21),STDEV(INDEX($H$99:$H159,62-20):$H159)*SQRT(245),"")</f>
        <v>0.193330099934749</v>
      </c>
      <c r="M159" s="52" t="n">
        <f aca="false">IF(AND(ISNUMBER($G159),$G159&gt;=60),MAX(INDEX($D$5:$D159,156-60):$D159),"")</f>
        <v>99381454</v>
      </c>
      <c r="N159" s="52" t="n">
        <f aca="false">IF(AND(ISNUMBER($G159),$G159&gt;=60),MIN(INDEX($E$5:$E159,156-60):$E159),"")</f>
        <v>89337673</v>
      </c>
      <c r="O159" s="53" t="n">
        <f aca="false">IF(OR(NOT(ISNUMBER($C159)),NOT(ISNUMBER($M159)),$M159=0),"",$C159/$M159-1)</f>
        <v>-0.0236625537799035</v>
      </c>
      <c r="P159" s="54"/>
      <c r="Q159" s="53" t="str">
        <f aca="false">IF(NOT(ISNUMBER($P159)),"",IFERROR(PERCENTRANK($P$5:$P$1204,$P159),""))</f>
        <v/>
      </c>
    </row>
    <row r="160" customFormat="false" ht="15" hidden="false" customHeight="false" outlineLevel="0" collapsed="false">
      <c r="A160" s="47" t="n">
        <v>45787</v>
      </c>
      <c r="B160" s="48" t="s">
        <v>308</v>
      </c>
      <c r="C160" s="49" t="n">
        <v>96338338</v>
      </c>
      <c r="D160" s="49" t="n">
        <v>96436105</v>
      </c>
      <c r="E160" s="49" t="n">
        <v>96325752</v>
      </c>
      <c r="F160" s="49" t="n">
        <v>0</v>
      </c>
      <c r="G160" s="50" t="n">
        <f aca="false">IF($A160="","",IF(ISNUMBER($G159),$G159+1,1))</f>
        <v>156</v>
      </c>
      <c r="H160" s="51" t="n">
        <f aca="false">IF(OR(NOT(ISNUMBER($G160)),$G160&lt;2,NOT(ISNUMBER($C159)),$C159=0),"",$C160/$C159-1)</f>
        <v>-0.00712664305777699</v>
      </c>
      <c r="I160" s="52" t="n">
        <f aca="false">IF(AND(ISNUMBER($G160),$G160&gt;=MA_SHORT),AVERAGE(INDEX($C$5:$C160,157-MA_SHORT):$C160),"")</f>
        <v>94429505.7</v>
      </c>
      <c r="J160" s="52" t="n">
        <f aca="false">IF(AND(ISNUMBER($G160),$G160&gt;=MA_MED),AVERAGE(INDEX($C$5:$C160,157-MA_MED):$C160),"")</f>
        <v>93214379.28</v>
      </c>
      <c r="K160" s="52" t="str">
        <f aca="false">IF(AND(ISNUMBER($G160),$G160&gt;=MA_LONG2),AVERAGE(INDEX($C$5:$C160,157-MA_LONG2):$C160),"")</f>
        <v/>
      </c>
      <c r="L160" s="53" t="n">
        <f aca="false">IF(AND(ISNUMBER($G160),$G160&gt;=21),STDEV(INDEX($H$100:$H160,62-20):$H160)*SQRT(245),"")</f>
        <v>0.195930994256178</v>
      </c>
      <c r="M160" s="52" t="n">
        <f aca="false">IF(AND(ISNUMBER($G160),$G160&gt;=60),MAX(INDEX($D$5:$D160,157-60):$D160),"")</f>
        <v>99381454</v>
      </c>
      <c r="N160" s="52" t="n">
        <f aca="false">IF(AND(ISNUMBER($G160),$G160&gt;=60),MIN(INDEX($E$5:$E160,157-60):$E160),"")</f>
        <v>89337673</v>
      </c>
      <c r="O160" s="53" t="n">
        <f aca="false">IF(OR(NOT(ISNUMBER($C160)),NOT(ISNUMBER($M160)),$M160=0),"",$C160/$M160-1)</f>
        <v>-0.0306205622630557</v>
      </c>
      <c r="P160" s="54"/>
      <c r="Q160" s="53" t="str">
        <f aca="false">IF(NOT(ISNUMBER($P160)),"",IFERROR(PERCENTRANK($P$5:$P$1204,$P160),""))</f>
        <v/>
      </c>
    </row>
    <row r="161" customFormat="false" ht="15" hidden="false" customHeight="false" outlineLevel="0" collapsed="false">
      <c r="A161" s="47" t="n">
        <v>45788</v>
      </c>
      <c r="B161" s="48" t="s">
        <v>309</v>
      </c>
      <c r="C161" s="49" t="n">
        <v>97687775</v>
      </c>
      <c r="D161" s="49" t="n">
        <v>97729349</v>
      </c>
      <c r="E161" s="49" t="n">
        <v>96836909</v>
      </c>
      <c r="F161" s="49" t="n">
        <v>0</v>
      </c>
      <c r="G161" s="50" t="n">
        <f aca="false">IF($A161="","",IF(ISNUMBER($G160),$G160+1,1))</f>
        <v>157</v>
      </c>
      <c r="H161" s="51" t="n">
        <f aca="false">IF(OR(NOT(ISNUMBER($G161)),$G161&lt;2,NOT(ISNUMBER($C160)),$C160=0),"",$C161/$C160-1)</f>
        <v>0.0140072688403654</v>
      </c>
      <c r="I161" s="52" t="n">
        <f aca="false">IF(AND(ISNUMBER($G161),$G161&gt;=MA_SHORT),AVERAGE(INDEX($C$5:$C161,158-MA_SHORT):$C161),"")</f>
        <v>94746924.3</v>
      </c>
      <c r="J161" s="52" t="n">
        <f aca="false">IF(AND(ISNUMBER($G161),$G161&gt;=MA_MED),AVERAGE(INDEX($C$5:$C161,158-MA_MED):$C161),"")</f>
        <v>93217591.94</v>
      </c>
      <c r="K161" s="52" t="str">
        <f aca="false">IF(AND(ISNUMBER($G161),$G161&gt;=MA_LONG2),AVERAGE(INDEX($C$5:$C161,158-MA_LONG2):$C161),"")</f>
        <v/>
      </c>
      <c r="L161" s="53" t="n">
        <f aca="false">IF(AND(ISNUMBER($G161),$G161&gt;=21),STDEV(INDEX($H$101:$H161,62-20):$H161)*SQRT(245),"")</f>
        <v>0.198787009632974</v>
      </c>
      <c r="M161" s="52" t="n">
        <f aca="false">IF(AND(ISNUMBER($G161),$G161&gt;=60),MAX(INDEX($D$5:$D161,158-60):$D161),"")</f>
        <v>99381454</v>
      </c>
      <c r="N161" s="52" t="n">
        <f aca="false">IF(AND(ISNUMBER($G161),$G161&gt;=60),MIN(INDEX($E$5:$E161,158-60):$E161),"")</f>
        <v>89337673</v>
      </c>
      <c r="O161" s="53" t="n">
        <f aca="false">IF(OR(NOT(ISNUMBER($C161)),NOT(ISNUMBER($M161)),$M161=0),"",$C161/$M161-1)</f>
        <v>-0.0170422038703519</v>
      </c>
      <c r="P161" s="54"/>
      <c r="Q161" s="53" t="str">
        <f aca="false">IF(NOT(ISNUMBER($P161)),"",IFERROR(PERCENTRANK($P$5:$P$1204,$P161),""))</f>
        <v/>
      </c>
    </row>
    <row r="162" customFormat="false" ht="15" hidden="false" customHeight="false" outlineLevel="0" collapsed="false">
      <c r="A162" s="47" t="n">
        <v>45789</v>
      </c>
      <c r="B162" s="48" t="s">
        <v>310</v>
      </c>
      <c r="C162" s="49" t="n">
        <v>99250534</v>
      </c>
      <c r="D162" s="49" t="n">
        <v>99529356</v>
      </c>
      <c r="E162" s="49" t="n">
        <v>99120037</v>
      </c>
      <c r="F162" s="49" t="n">
        <v>0</v>
      </c>
      <c r="G162" s="50" t="n">
        <f aca="false">IF($A162="","",IF(ISNUMBER($G161),$G161+1,1))</f>
        <v>158</v>
      </c>
      <c r="H162" s="51" t="n">
        <f aca="false">IF(OR(NOT(ISNUMBER($G162)),$G162&lt;2,NOT(ISNUMBER($C161)),$C161=0),"",$C162/$C161-1)</f>
        <v>0.0159974879149412</v>
      </c>
      <c r="I162" s="52" t="n">
        <f aca="false">IF(AND(ISNUMBER($G162),$G162&gt;=MA_SHORT),AVERAGE(INDEX($C$5:$C162,159-MA_SHORT):$C162),"")</f>
        <v>95124521.55</v>
      </c>
      <c r="J162" s="52" t="n">
        <f aca="false">IF(AND(ISNUMBER($G162),$G162&gt;=MA_MED),AVERAGE(INDEX($C$5:$C162,159-MA_MED):$C162),"")</f>
        <v>93294555.54</v>
      </c>
      <c r="K162" s="52" t="str">
        <f aca="false">IF(AND(ISNUMBER($G162),$G162&gt;=MA_LONG2),AVERAGE(INDEX($C$5:$C162,159-MA_LONG2):$C162),"")</f>
        <v/>
      </c>
      <c r="L162" s="53" t="n">
        <f aca="false">IF(AND(ISNUMBER($G162),$G162&gt;=21),STDEV(INDEX($H$102:$H162,62-20):$H162)*SQRT(245),"")</f>
        <v>0.203597786024882</v>
      </c>
      <c r="M162" s="52" t="n">
        <f aca="false">IF(AND(ISNUMBER($G162),$G162&gt;=60),MAX(INDEX($D$5:$D162,159-60):$D162),"")</f>
        <v>99529356</v>
      </c>
      <c r="N162" s="52" t="n">
        <f aca="false">IF(AND(ISNUMBER($G162),$G162&gt;=60),MIN(INDEX($E$5:$E162,159-60):$E162),"")</f>
        <v>89337673</v>
      </c>
      <c r="O162" s="53" t="n">
        <f aca="false">IF(OR(NOT(ISNUMBER($C162)),NOT(ISNUMBER($M162)),$M162=0),"",$C162/$M162-1)</f>
        <v>-0.00280140464286738</v>
      </c>
      <c r="P162" s="54"/>
      <c r="Q162" s="53" t="str">
        <f aca="false">IF(NOT(ISNUMBER($P162)),"",IFERROR(PERCENTRANK($P$5:$P$1204,$P162),""))</f>
        <v/>
      </c>
    </row>
    <row r="163" customFormat="false" ht="15" hidden="false" customHeight="false" outlineLevel="0" collapsed="false">
      <c r="A163" s="47" t="n">
        <v>45790</v>
      </c>
      <c r="B163" s="48" t="s">
        <v>311</v>
      </c>
      <c r="C163" s="49" t="n">
        <v>100157466</v>
      </c>
      <c r="D163" s="49" t="n">
        <v>100429140</v>
      </c>
      <c r="E163" s="49" t="n">
        <v>100071662</v>
      </c>
      <c r="F163" s="49" t="n">
        <v>0</v>
      </c>
      <c r="G163" s="50" t="n">
        <f aca="false">IF($A163="","",IF(ISNUMBER($G162),$G162+1,1))</f>
        <v>159</v>
      </c>
      <c r="H163" s="51" t="n">
        <f aca="false">IF(OR(NOT(ISNUMBER($G163)),$G163&lt;2,NOT(ISNUMBER($C162)),$C162=0),"",$C163/$C162-1)</f>
        <v>0.00913780473967019</v>
      </c>
      <c r="I163" s="52" t="n">
        <f aca="false">IF(AND(ISNUMBER($G163),$G163&gt;=MA_SHORT),AVERAGE(INDEX($C$5:$C163,160-MA_SHORT):$C163),"")</f>
        <v>95461114.65</v>
      </c>
      <c r="J163" s="52" t="n">
        <f aca="false">IF(AND(ISNUMBER($G163),$G163&gt;=MA_MED),AVERAGE(INDEX($C$5:$C163,160-MA_MED):$C163),"")</f>
        <v>93373966.22</v>
      </c>
      <c r="K163" s="52" t="str">
        <f aca="false">IF(AND(ISNUMBER($G163),$G163&gt;=MA_LONG2),AVERAGE(INDEX($C$5:$C163,160-MA_LONG2):$C163),"")</f>
        <v/>
      </c>
      <c r="L163" s="53" t="n">
        <f aca="false">IF(AND(ISNUMBER($G163),$G163&gt;=21),STDEV(INDEX($H$103:$H163,62-20):$H163)*SQRT(245),"")</f>
        <v>0.197245625253259</v>
      </c>
      <c r="M163" s="52" t="n">
        <f aca="false">IF(AND(ISNUMBER($G163),$G163&gt;=60),MAX(INDEX($D$5:$D163,160-60):$D163),"")</f>
        <v>100429140</v>
      </c>
      <c r="N163" s="52" t="n">
        <f aca="false">IF(AND(ISNUMBER($G163),$G163&gt;=60),MIN(INDEX($E$5:$E163,160-60):$E163),"")</f>
        <v>89337673</v>
      </c>
      <c r="O163" s="53" t="n">
        <f aca="false">IF(OR(NOT(ISNUMBER($C163)),NOT(ISNUMBER($M163)),$M163=0),"",$C163/$M163-1)</f>
        <v>-0.0027051311999684</v>
      </c>
      <c r="P163" s="54"/>
      <c r="Q163" s="53" t="str">
        <f aca="false">IF(NOT(ISNUMBER($P163)),"",IFERROR(PERCENTRANK($P$5:$P$1204,$P163),""))</f>
        <v/>
      </c>
    </row>
    <row r="164" customFormat="false" ht="15" hidden="false" customHeight="false" outlineLevel="0" collapsed="false">
      <c r="A164" s="47" t="n">
        <v>45791</v>
      </c>
      <c r="B164" s="48" t="s">
        <v>312</v>
      </c>
      <c r="C164" s="49" t="n">
        <v>99636561</v>
      </c>
      <c r="D164" s="49" t="n">
        <v>100039762</v>
      </c>
      <c r="E164" s="49" t="n">
        <v>99479207</v>
      </c>
      <c r="F164" s="49" t="n">
        <v>0</v>
      </c>
      <c r="G164" s="50" t="n">
        <f aca="false">IF($A164="","",IF(ISNUMBER($G163),$G163+1,1))</f>
        <v>160</v>
      </c>
      <c r="H164" s="51" t="n">
        <f aca="false">IF(OR(NOT(ISNUMBER($G164)),$G164&lt;2,NOT(ISNUMBER($C163)),$C163=0),"",$C164/$C163-1)</f>
        <v>-0.00520086041314183</v>
      </c>
      <c r="I164" s="52" t="n">
        <f aca="false">IF(AND(ISNUMBER($G164),$G164&gt;=MA_SHORT),AVERAGE(INDEX($C$5:$C164,161-MA_SHORT):$C164),"")</f>
        <v>95744737.6</v>
      </c>
      <c r="J164" s="52" t="n">
        <f aca="false">IF(AND(ISNUMBER($G164),$G164&gt;=MA_MED),AVERAGE(INDEX($C$5:$C164,161-MA_MED):$C164),"")</f>
        <v>93438783.2</v>
      </c>
      <c r="K164" s="52" t="str">
        <f aca="false">IF(AND(ISNUMBER($G164),$G164&gt;=MA_LONG2),AVERAGE(INDEX($C$5:$C164,161-MA_LONG2):$C164),"")</f>
        <v/>
      </c>
      <c r="L164" s="53" t="n">
        <f aca="false">IF(AND(ISNUMBER($G164),$G164&gt;=21),STDEV(INDEX($H$104:$H164,62-20):$H164)*SQRT(245),"")</f>
        <v>0.199387862108261</v>
      </c>
      <c r="M164" s="52" t="n">
        <f aca="false">IF(AND(ISNUMBER($G164),$G164&gt;=60),MAX(INDEX($D$5:$D164,161-60):$D164),"")</f>
        <v>100429140</v>
      </c>
      <c r="N164" s="52" t="n">
        <f aca="false">IF(AND(ISNUMBER($G164),$G164&gt;=60),MIN(INDEX($E$5:$E164,161-60):$E164),"")</f>
        <v>89337673</v>
      </c>
      <c r="O164" s="53" t="n">
        <f aca="false">IF(OR(NOT(ISNUMBER($C164)),NOT(ISNUMBER($M164)),$M164=0),"",$C164/$M164-1)</f>
        <v>-0.00789192260334004</v>
      </c>
      <c r="P164" s="54"/>
      <c r="Q164" s="53" t="str">
        <f aca="false">IF(NOT(ISNUMBER($P164)),"",IFERROR(PERCENTRANK($P$5:$P$1204,$P164),""))</f>
        <v/>
      </c>
    </row>
    <row r="165" customFormat="false" ht="15" hidden="false" customHeight="false" outlineLevel="0" collapsed="false">
      <c r="A165" s="47" t="n">
        <v>45794</v>
      </c>
      <c r="B165" s="48" t="s">
        <v>313</v>
      </c>
      <c r="C165" s="49" t="n">
        <v>99849927</v>
      </c>
      <c r="D165" s="49" t="n">
        <v>100281624</v>
      </c>
      <c r="E165" s="49" t="n">
        <v>99739955</v>
      </c>
      <c r="F165" s="49" t="n">
        <v>0</v>
      </c>
      <c r="G165" s="50" t="n">
        <f aca="false">IF($A165="","",IF(ISNUMBER($G164),$G164+1,1))</f>
        <v>161</v>
      </c>
      <c r="H165" s="51" t="n">
        <f aca="false">IF(OR(NOT(ISNUMBER($G165)),$G165&lt;2,NOT(ISNUMBER($C164)),$C164=0),"",$C165/$C164-1)</f>
        <v>0.00214144283843765</v>
      </c>
      <c r="I165" s="52" t="n">
        <f aca="false">IF(AND(ISNUMBER($G165),$G165&gt;=MA_SHORT),AVERAGE(INDEX($C$5:$C165,162-MA_SHORT):$C165),"")</f>
        <v>96137385.75</v>
      </c>
      <c r="J165" s="52" t="n">
        <f aca="false">IF(AND(ISNUMBER($G165),$G165&gt;=MA_MED),AVERAGE(INDEX($C$5:$C165,162-MA_MED):$C165),"")</f>
        <v>93560904.78</v>
      </c>
      <c r="K165" s="52" t="str">
        <f aca="false">IF(AND(ISNUMBER($G165),$G165&gt;=MA_LONG2),AVERAGE(INDEX($C$5:$C165,162-MA_LONG2):$C165),"")</f>
        <v/>
      </c>
      <c r="L165" s="53" t="n">
        <f aca="false">IF(AND(ISNUMBER($G165),$G165&gt;=21),STDEV(INDEX($H$105:$H165,62-20):$H165)*SQRT(245),"")</f>
        <v>0.178961552699662</v>
      </c>
      <c r="M165" s="52" t="n">
        <f aca="false">IF(AND(ISNUMBER($G165),$G165&gt;=60),MAX(INDEX($D$5:$D165,162-60):$D165),"")</f>
        <v>100429140</v>
      </c>
      <c r="N165" s="52" t="n">
        <f aca="false">IF(AND(ISNUMBER($G165),$G165&gt;=60),MIN(INDEX($E$5:$E165,162-60):$E165),"")</f>
        <v>89337673</v>
      </c>
      <c r="O165" s="53" t="n">
        <f aca="false">IF(OR(NOT(ISNUMBER($C165)),NOT(ISNUMBER($M165)),$M165=0),"",$C165/$M165-1)</f>
        <v>-0.00576737986604281</v>
      </c>
      <c r="P165" s="54"/>
      <c r="Q165" s="53" t="str">
        <f aca="false">IF(NOT(ISNUMBER($P165)),"",IFERROR(PERCENTRANK($P$5:$P$1204,$P165),""))</f>
        <v/>
      </c>
    </row>
    <row r="166" customFormat="false" ht="15" hidden="false" customHeight="false" outlineLevel="0" collapsed="false">
      <c r="A166" s="47" t="n">
        <v>45795</v>
      </c>
      <c r="B166" s="48" t="s">
        <v>314</v>
      </c>
      <c r="C166" s="49" t="n">
        <v>99942668</v>
      </c>
      <c r="D166" s="49" t="n">
        <v>100474269</v>
      </c>
      <c r="E166" s="49" t="n">
        <v>99857645</v>
      </c>
      <c r="F166" s="49" t="n">
        <v>0</v>
      </c>
      <c r="G166" s="50" t="n">
        <f aca="false">IF($A166="","",IF(ISNUMBER($G165),$G165+1,1))</f>
        <v>162</v>
      </c>
      <c r="H166" s="51" t="n">
        <f aca="false">IF(OR(NOT(ISNUMBER($G166)),$G166&lt;2,NOT(ISNUMBER($C165)),$C165=0),"",$C166/$C165-1)</f>
        <v>0.000928803883852636</v>
      </c>
      <c r="I166" s="52" t="n">
        <f aca="false">IF(AND(ISNUMBER($G166),$G166&gt;=MA_SHORT),AVERAGE(INDEX($C$5:$C166,163-MA_SHORT):$C166),"")</f>
        <v>96512338.5</v>
      </c>
      <c r="J166" s="52" t="n">
        <f aca="false">IF(AND(ISNUMBER($G166),$G166&gt;=MA_MED),AVERAGE(INDEX($C$5:$C166,163-MA_MED):$C166),"")</f>
        <v>93717705.58</v>
      </c>
      <c r="K166" s="52" t="str">
        <f aca="false">IF(AND(ISNUMBER($G166),$G166&gt;=MA_LONG2),AVERAGE(INDEX($C$5:$C166,163-MA_LONG2):$C166),"")</f>
        <v/>
      </c>
      <c r="L166" s="53" t="n">
        <f aca="false">IF(AND(ISNUMBER($G166),$G166&gt;=21),STDEV(INDEX($H$106:$H166,62-20):$H166)*SQRT(245),"")</f>
        <v>0.179293916584159</v>
      </c>
      <c r="M166" s="52" t="n">
        <f aca="false">IF(AND(ISNUMBER($G166),$G166&gt;=60),MAX(INDEX($D$5:$D166,163-60):$D166),"")</f>
        <v>100474269</v>
      </c>
      <c r="N166" s="52" t="n">
        <f aca="false">IF(AND(ISNUMBER($G166),$G166&gt;=60),MIN(INDEX($E$5:$E166,163-60):$E166),"")</f>
        <v>89337673</v>
      </c>
      <c r="O166" s="53" t="n">
        <f aca="false">IF(OR(NOT(ISNUMBER($C166)),NOT(ISNUMBER($M166)),$M166=0),"",$C166/$M166-1)</f>
        <v>-0.00529091682169891</v>
      </c>
      <c r="P166" s="54"/>
      <c r="Q166" s="53" t="str">
        <f aca="false">IF(NOT(ISNUMBER($P166)),"",IFERROR(PERCENTRANK($P$5:$P$1204,$P166),""))</f>
        <v/>
      </c>
    </row>
    <row r="167" customFormat="false" ht="15" hidden="false" customHeight="false" outlineLevel="0" collapsed="false">
      <c r="A167" s="47" t="n">
        <v>45796</v>
      </c>
      <c r="B167" s="48" t="s">
        <v>315</v>
      </c>
      <c r="C167" s="49" t="n">
        <v>101609090</v>
      </c>
      <c r="D167" s="49" t="n">
        <v>101619126</v>
      </c>
      <c r="E167" s="49" t="n">
        <v>101446342</v>
      </c>
      <c r="F167" s="49" t="n">
        <v>0</v>
      </c>
      <c r="G167" s="50" t="n">
        <f aca="false">IF($A167="","",IF(ISNUMBER($G166),$G166+1,1))</f>
        <v>163</v>
      </c>
      <c r="H167" s="51" t="n">
        <f aca="false">IF(OR(NOT(ISNUMBER($G167)),$G167&lt;2,NOT(ISNUMBER($C166)),$C166=0),"",$C167/$C166-1)</f>
        <v>0.016673779411212</v>
      </c>
      <c r="I167" s="52" t="n">
        <f aca="false">IF(AND(ISNUMBER($G167),$G167&gt;=MA_SHORT),AVERAGE(INDEX($C$5:$C167,164-MA_SHORT):$C167),"")</f>
        <v>96939072.75</v>
      </c>
      <c r="J167" s="52" t="n">
        <f aca="false">IF(AND(ISNUMBER($G167),$G167&gt;=MA_MED),AVERAGE(INDEX($C$5:$C167,164-MA_MED):$C167),"")</f>
        <v>93944804.4</v>
      </c>
      <c r="K167" s="52" t="str">
        <f aca="false">IF(AND(ISNUMBER($G167),$G167&gt;=MA_LONG2),AVERAGE(INDEX($C$5:$C167,164-MA_LONG2):$C167),"")</f>
        <v/>
      </c>
      <c r="L167" s="53" t="n">
        <f aca="false">IF(AND(ISNUMBER($G167),$G167&gt;=21),STDEV(INDEX($H$107:$H167,62-20):$H167)*SQRT(245),"")</f>
        <v>0.184553128153731</v>
      </c>
      <c r="M167" s="52" t="n">
        <f aca="false">IF(AND(ISNUMBER($G167),$G167&gt;=60),MAX(INDEX($D$5:$D167,164-60):$D167),"")</f>
        <v>101619126</v>
      </c>
      <c r="N167" s="52" t="n">
        <f aca="false">IF(AND(ISNUMBER($G167),$G167&gt;=60),MIN(INDEX($E$5:$E167,164-60):$E167),"")</f>
        <v>89337673</v>
      </c>
      <c r="O167" s="53" t="n">
        <f aca="false">IF(OR(NOT(ISNUMBER($C167)),NOT(ISNUMBER($M167)),$M167=0),"",$C167/$M167-1)</f>
        <v>-9.87609360072472E-005</v>
      </c>
      <c r="P167" s="54"/>
      <c r="Q167" s="53" t="str">
        <f aca="false">IF(NOT(ISNUMBER($P167)),"",IFERROR(PERCENTRANK($P$5:$P$1204,$P167),""))</f>
        <v/>
      </c>
    </row>
    <row r="168" customFormat="false" ht="15" hidden="false" customHeight="false" outlineLevel="0" collapsed="false">
      <c r="A168" s="47" t="n">
        <v>45797</v>
      </c>
      <c r="B168" s="48" t="s">
        <v>316</v>
      </c>
      <c r="C168" s="49" t="n">
        <v>102582452</v>
      </c>
      <c r="D168" s="49" t="n">
        <v>103488235</v>
      </c>
      <c r="E168" s="49" t="n">
        <v>102461498</v>
      </c>
      <c r="F168" s="49" t="n">
        <v>0</v>
      </c>
      <c r="G168" s="50" t="n">
        <f aca="false">IF($A168="","",IF(ISNUMBER($G167),$G167+1,1))</f>
        <v>164</v>
      </c>
      <c r="H168" s="51" t="n">
        <f aca="false">IF(OR(NOT(ISNUMBER($G168)),$G168&lt;2,NOT(ISNUMBER($C167)),$C167=0),"",$C168/$C167-1)</f>
        <v>0.00957947758414135</v>
      </c>
      <c r="I168" s="52" t="n">
        <f aca="false">IF(AND(ISNUMBER($G168),$G168&gt;=MA_SHORT),AVERAGE(INDEX($C$5:$C168,165-MA_SHORT):$C168),"")</f>
        <v>97420800.35</v>
      </c>
      <c r="J168" s="52" t="n">
        <f aca="false">IF(AND(ISNUMBER($G168),$G168&gt;=MA_MED),AVERAGE(INDEX($C$5:$C168,165-MA_MED):$C168),"")</f>
        <v>94174057.2</v>
      </c>
      <c r="K168" s="52" t="str">
        <f aca="false">IF(AND(ISNUMBER($G168),$G168&gt;=MA_LONG2),AVERAGE(INDEX($C$5:$C168,165-MA_LONG2):$C168),"")</f>
        <v/>
      </c>
      <c r="L168" s="53" t="n">
        <f aca="false">IF(AND(ISNUMBER($G168),$G168&gt;=21),STDEV(INDEX($H$108:$H168,62-20):$H168)*SQRT(245),"")</f>
        <v>0.184074413647351</v>
      </c>
      <c r="M168" s="52" t="n">
        <f aca="false">IF(AND(ISNUMBER($G168),$G168&gt;=60),MAX(INDEX($D$5:$D168,165-60):$D168),"")</f>
        <v>103488235</v>
      </c>
      <c r="N168" s="52" t="n">
        <f aca="false">IF(AND(ISNUMBER($G168),$G168&gt;=60),MIN(INDEX($E$5:$E168,165-60):$E168),"")</f>
        <v>89337673</v>
      </c>
      <c r="O168" s="53" t="n">
        <f aca="false">IF(OR(NOT(ISNUMBER($C168)),NOT(ISNUMBER($M168)),$M168=0),"",$C168/$M168-1)</f>
        <v>-0.00875252148227279</v>
      </c>
      <c r="P168" s="54"/>
      <c r="Q168" s="53" t="str">
        <f aca="false">IF(NOT(ISNUMBER($P168)),"",IFERROR(PERCENTRANK($P$5:$P$1204,$P168),""))</f>
        <v/>
      </c>
    </row>
    <row r="169" customFormat="false" ht="15" hidden="false" customHeight="false" outlineLevel="0" collapsed="false">
      <c r="A169" s="47" t="n">
        <v>45798</v>
      </c>
      <c r="B169" s="48" t="s">
        <v>317</v>
      </c>
      <c r="C169" s="49" t="n">
        <v>102348487</v>
      </c>
      <c r="D169" s="49" t="n">
        <v>102653293</v>
      </c>
      <c r="E169" s="49" t="n">
        <v>102323306</v>
      </c>
      <c r="F169" s="49" t="n">
        <v>0</v>
      </c>
      <c r="G169" s="50" t="n">
        <f aca="false">IF($A169="","",IF(ISNUMBER($G168),$G168+1,1))</f>
        <v>165</v>
      </c>
      <c r="H169" s="51" t="n">
        <f aca="false">IF(OR(NOT(ISNUMBER($G169)),$G169&lt;2,NOT(ISNUMBER($C168)),$C168=0),"",$C169/$C168-1)</f>
        <v>-0.00228075070773315</v>
      </c>
      <c r="I169" s="52" t="n">
        <f aca="false">IF(AND(ISNUMBER($G169),$G169&gt;=MA_SHORT),AVERAGE(INDEX($C$5:$C169,166-MA_SHORT):$C169),"")</f>
        <v>97910434.65</v>
      </c>
      <c r="J169" s="52" t="n">
        <f aca="false">IF(AND(ISNUMBER($G169),$G169&gt;=MA_MED),AVERAGE(INDEX($C$5:$C169,166-MA_MED):$C169),"")</f>
        <v>94386789.06</v>
      </c>
      <c r="K169" s="52" t="str">
        <f aca="false">IF(AND(ISNUMBER($G169),$G169&gt;=MA_LONG2),AVERAGE(INDEX($C$5:$C169,166-MA_LONG2):$C169),"")</f>
        <v/>
      </c>
      <c r="L169" s="53" t="n">
        <f aca="false">IF(AND(ISNUMBER($G169),$G169&gt;=21),STDEV(INDEX($H$109:$H169,62-20):$H169)*SQRT(245),"")</f>
        <v>0.182943304542724</v>
      </c>
      <c r="M169" s="52" t="n">
        <f aca="false">IF(AND(ISNUMBER($G169),$G169&gt;=60),MAX(INDEX($D$5:$D169,166-60):$D169),"")</f>
        <v>103488235</v>
      </c>
      <c r="N169" s="52" t="n">
        <f aca="false">IF(AND(ISNUMBER($G169),$G169&gt;=60),MIN(INDEX($E$5:$E169,166-60):$E169),"")</f>
        <v>89337673</v>
      </c>
      <c r="O169" s="53" t="n">
        <f aca="false">IF(OR(NOT(ISNUMBER($C169)),NOT(ISNUMBER($M169)),$M169=0),"",$C169/$M169-1)</f>
        <v>-0.0110133098704408</v>
      </c>
      <c r="P169" s="54"/>
      <c r="Q169" s="53" t="str">
        <f aca="false">IF(NOT(ISNUMBER($P169)),"",IFERROR(PERCENTRANK($P$5:$P$1204,$P169),""))</f>
        <v/>
      </c>
    </row>
    <row r="170" customFormat="false" ht="15" hidden="false" customHeight="false" outlineLevel="0" collapsed="false">
      <c r="A170" s="47" t="n">
        <v>45801</v>
      </c>
      <c r="B170" s="48" t="s">
        <v>318</v>
      </c>
      <c r="C170" s="49" t="n">
        <v>100405324</v>
      </c>
      <c r="D170" s="49" t="n">
        <v>100687898</v>
      </c>
      <c r="E170" s="49" t="n">
        <v>100067333</v>
      </c>
      <c r="F170" s="49" t="n">
        <v>0</v>
      </c>
      <c r="G170" s="50" t="n">
        <f aca="false">IF($A170="","",IF(ISNUMBER($G169),$G169+1,1))</f>
        <v>166</v>
      </c>
      <c r="H170" s="51" t="n">
        <f aca="false">IF(OR(NOT(ISNUMBER($G170)),$G170&lt;2,NOT(ISNUMBER($C169)),$C169=0),"",$C170/$C169-1)</f>
        <v>-0.0189857520805363</v>
      </c>
      <c r="I170" s="52" t="n">
        <f aca="false">IF(AND(ISNUMBER($G170),$G170&gt;=MA_SHORT),AVERAGE(INDEX($C$5:$C170,167-MA_SHORT):$C170),"")</f>
        <v>98267516.05</v>
      </c>
      <c r="J170" s="52" t="n">
        <f aca="false">IF(AND(ISNUMBER($G170),$G170&gt;=MA_MED),AVERAGE(INDEX($C$5:$C170,167-MA_MED):$C170),"")</f>
        <v>94563785.66</v>
      </c>
      <c r="K170" s="52" t="str">
        <f aca="false">IF(AND(ISNUMBER($G170),$G170&gt;=MA_LONG2),AVERAGE(INDEX($C$5:$C170,167-MA_LONG2):$C170),"")</f>
        <v/>
      </c>
      <c r="L170" s="53" t="n">
        <f aca="false">IF(AND(ISNUMBER($G170),$G170&gt;=21),STDEV(INDEX($H$110:$H170,62-20):$H170)*SQRT(245),"")</f>
        <v>0.201026984843777</v>
      </c>
      <c r="M170" s="52" t="n">
        <f aca="false">IF(AND(ISNUMBER($G170),$G170&gt;=60),MAX(INDEX($D$5:$D170,167-60):$D170),"")</f>
        <v>103488235</v>
      </c>
      <c r="N170" s="52" t="n">
        <f aca="false">IF(AND(ISNUMBER($G170),$G170&gt;=60),MIN(INDEX($E$5:$E170,167-60):$E170),"")</f>
        <v>89337673</v>
      </c>
      <c r="O170" s="53" t="n">
        <f aca="false">IF(OR(NOT(ISNUMBER($C170)),NOT(ISNUMBER($M170)),$M170=0),"",$C170/$M170-1)</f>
        <v>-0.0297899659801909</v>
      </c>
      <c r="P170" s="54"/>
      <c r="Q170" s="53" t="str">
        <f aca="false">IF(NOT(ISNUMBER($P170)),"",IFERROR(PERCENTRANK($P$5:$P$1204,$P170),""))</f>
        <v/>
      </c>
    </row>
    <row r="171" customFormat="false" ht="15" hidden="false" customHeight="false" outlineLevel="0" collapsed="false">
      <c r="A171" s="47" t="n">
        <v>45802</v>
      </c>
      <c r="B171" s="48" t="s">
        <v>319</v>
      </c>
      <c r="C171" s="49" t="n">
        <v>102540197</v>
      </c>
      <c r="D171" s="49" t="n">
        <v>103221099</v>
      </c>
      <c r="E171" s="49" t="n">
        <v>102526629</v>
      </c>
      <c r="F171" s="49" t="n">
        <v>0</v>
      </c>
      <c r="G171" s="50" t="n">
        <f aca="false">IF($A171="","",IF(ISNUMBER($G170),$G170+1,1))</f>
        <v>167</v>
      </c>
      <c r="H171" s="51" t="n">
        <f aca="false">IF(OR(NOT(ISNUMBER($G171)),$G171&lt;2,NOT(ISNUMBER($C170)),$C170=0),"",$C171/$C170-1)</f>
        <v>0.0212625477907924</v>
      </c>
      <c r="I171" s="52" t="n">
        <f aca="false">IF(AND(ISNUMBER($G171),$G171&gt;=MA_SHORT),AVERAGE(INDEX($C$5:$C171,168-MA_SHORT):$C171),"")</f>
        <v>98663282.85</v>
      </c>
      <c r="J171" s="52" t="n">
        <f aca="false">IF(AND(ISNUMBER($G171),$G171&gt;=MA_MED),AVERAGE(INDEX($C$5:$C171,168-MA_MED):$C171),"")</f>
        <v>94806471.82</v>
      </c>
      <c r="K171" s="52" t="str">
        <f aca="false">IF(AND(ISNUMBER($G171),$G171&gt;=MA_LONG2),AVERAGE(INDEX($C$5:$C171,168-MA_LONG2):$C171),"")</f>
        <v/>
      </c>
      <c r="L171" s="53" t="n">
        <f aca="false">IF(AND(ISNUMBER($G171),$G171&gt;=21),STDEV(INDEX($H$111:$H171,62-20):$H171)*SQRT(245),"")</f>
        <v>0.206923006836232</v>
      </c>
      <c r="M171" s="52" t="n">
        <f aca="false">IF(AND(ISNUMBER($G171),$G171&gt;=60),MAX(INDEX($D$5:$D171,168-60):$D171),"")</f>
        <v>103488235</v>
      </c>
      <c r="N171" s="52" t="n">
        <f aca="false">IF(AND(ISNUMBER($G171),$G171&gt;=60),MIN(INDEX($E$5:$E171,168-60):$E171),"")</f>
        <v>89337673</v>
      </c>
      <c r="O171" s="53" t="n">
        <f aca="false">IF(OR(NOT(ISNUMBER($C171)),NOT(ISNUMBER($M171)),$M171=0),"",$C171/$M171-1)</f>
        <v>-0.00916082876473834</v>
      </c>
      <c r="P171" s="54"/>
      <c r="Q171" s="53" t="str">
        <f aca="false">IF(NOT(ISNUMBER($P171)),"",IFERROR(PERCENTRANK($P$5:$P$1204,$P171),""))</f>
        <v/>
      </c>
    </row>
    <row r="172" customFormat="false" ht="15" hidden="false" customHeight="false" outlineLevel="0" collapsed="false">
      <c r="A172" s="47" t="n">
        <v>45803</v>
      </c>
      <c r="B172" s="48" t="s">
        <v>320</v>
      </c>
      <c r="C172" s="49" t="n">
        <v>101779271</v>
      </c>
      <c r="D172" s="49" t="n">
        <v>102332591</v>
      </c>
      <c r="E172" s="49" t="n">
        <v>101588949</v>
      </c>
      <c r="F172" s="49" t="n">
        <v>0</v>
      </c>
      <c r="G172" s="50" t="n">
        <f aca="false">IF($A172="","",IF(ISNUMBER($G171),$G171+1,1))</f>
        <v>168</v>
      </c>
      <c r="H172" s="51" t="n">
        <f aca="false">IF(OR(NOT(ISNUMBER($G172)),$G172&lt;2,NOT(ISNUMBER($C171)),$C171=0),"",$C172/$C171-1)</f>
        <v>-0.00742075812473819</v>
      </c>
      <c r="I172" s="52" t="n">
        <f aca="false">IF(AND(ISNUMBER($G172),$G172&gt;=MA_SHORT),AVERAGE(INDEX($C$5:$C172,169-MA_SHORT):$C172),"")</f>
        <v>98951757.5</v>
      </c>
      <c r="J172" s="52" t="n">
        <f aca="false">IF(AND(ISNUMBER($G172),$G172&gt;=MA_MED),AVERAGE(INDEX($C$5:$C172,169-MA_MED):$C172),"")</f>
        <v>95010571.18</v>
      </c>
      <c r="K172" s="52" t="str">
        <f aca="false">IF(AND(ISNUMBER($G172),$G172&gt;=MA_LONG2),AVERAGE(INDEX($C$5:$C172,169-MA_LONG2):$C172),"")</f>
        <v/>
      </c>
      <c r="L172" s="53" t="n">
        <f aca="false">IF(AND(ISNUMBER($G172),$G172&gt;=21),STDEV(INDEX($H$112:$H172,62-20):$H172)*SQRT(245),"")</f>
        <v>0.206852564168652</v>
      </c>
      <c r="M172" s="52" t="n">
        <f aca="false">IF(AND(ISNUMBER($G172),$G172&gt;=60),MAX(INDEX($D$5:$D172,169-60):$D172),"")</f>
        <v>103488235</v>
      </c>
      <c r="N172" s="52" t="n">
        <f aca="false">IF(AND(ISNUMBER($G172),$G172&gt;=60),MIN(INDEX($E$5:$E172,169-60):$E172),"")</f>
        <v>89337673</v>
      </c>
      <c r="O172" s="53" t="n">
        <f aca="false">IF(OR(NOT(ISNUMBER($C172)),NOT(ISNUMBER($M172)),$M172=0),"",$C172/$M172-1)</f>
        <v>-0.0165136065949912</v>
      </c>
      <c r="P172" s="54"/>
      <c r="Q172" s="53" t="str">
        <f aca="false">IF(NOT(ISNUMBER($P172)),"",IFERROR(PERCENTRANK($P$5:$P$1204,$P172),""))</f>
        <v/>
      </c>
    </row>
    <row r="173" customFormat="false" ht="15" hidden="false" customHeight="false" outlineLevel="0" collapsed="false">
      <c r="A173" s="47" t="n">
        <v>45804</v>
      </c>
      <c r="B173" s="48" t="s">
        <v>321</v>
      </c>
      <c r="C173" s="49" t="n">
        <v>103368725</v>
      </c>
      <c r="D173" s="49" t="n">
        <v>103515131</v>
      </c>
      <c r="E173" s="49" t="n">
        <v>103214486</v>
      </c>
      <c r="F173" s="49" t="n">
        <v>0</v>
      </c>
      <c r="G173" s="50" t="n">
        <f aca="false">IF($A173="","",IF(ISNUMBER($G172),$G172+1,1))</f>
        <v>169</v>
      </c>
      <c r="H173" s="51" t="n">
        <f aca="false">IF(OR(NOT(ISNUMBER($G173)),$G173&lt;2,NOT(ISNUMBER($C172)),$C172=0),"",$C173/$C172-1)</f>
        <v>0.0156166769950632</v>
      </c>
      <c r="I173" s="52" t="n">
        <f aca="false">IF(AND(ISNUMBER($G173),$G173&gt;=MA_SHORT),AVERAGE(INDEX($C$5:$C173,170-MA_SHORT):$C173),"")</f>
        <v>99217025.3</v>
      </c>
      <c r="J173" s="52" t="n">
        <f aca="false">IF(AND(ISNUMBER($G173),$G173&gt;=MA_MED),AVERAGE(INDEX($C$5:$C173,170-MA_MED):$C173),"")</f>
        <v>95243641.38</v>
      </c>
      <c r="K173" s="52" t="str">
        <f aca="false">IF(AND(ISNUMBER($G173),$G173&gt;=MA_LONG2),AVERAGE(INDEX($C$5:$C173,170-MA_LONG2):$C173),"")</f>
        <v/>
      </c>
      <c r="L173" s="53" t="n">
        <f aca="false">IF(AND(ISNUMBER($G173),$G173&gt;=21),STDEV(INDEX($H$113:$H173,62-20):$H173)*SQRT(245),"")</f>
        <v>0.201144742463439</v>
      </c>
      <c r="M173" s="52" t="n">
        <f aca="false">IF(AND(ISNUMBER($G173),$G173&gt;=60),MAX(INDEX($D$5:$D173,170-60):$D173),"")</f>
        <v>103515131</v>
      </c>
      <c r="N173" s="52" t="n">
        <f aca="false">IF(AND(ISNUMBER($G173),$G173&gt;=60),MIN(INDEX($E$5:$E173,170-60):$E173),"")</f>
        <v>89337673</v>
      </c>
      <c r="O173" s="53" t="n">
        <f aca="false">IF(OR(NOT(ISNUMBER($C173)),NOT(ISNUMBER($M173)),$M173=0),"",$C173/$M173-1)</f>
        <v>-0.00141434395711681</v>
      </c>
      <c r="P173" s="54"/>
      <c r="Q173" s="53" t="str">
        <f aca="false">IF(NOT(ISNUMBER($P173)),"",IFERROR(PERCENTRANK($P$5:$P$1204,$P173),""))</f>
        <v/>
      </c>
    </row>
    <row r="174" customFormat="false" ht="15" hidden="false" customHeight="false" outlineLevel="0" collapsed="false">
      <c r="A174" s="47" t="n">
        <v>45805</v>
      </c>
      <c r="B174" s="48" t="s">
        <v>322</v>
      </c>
      <c r="C174" s="49" t="n">
        <v>103518431</v>
      </c>
      <c r="D174" s="49" t="n">
        <v>103819483</v>
      </c>
      <c r="E174" s="49" t="n">
        <v>103389560</v>
      </c>
      <c r="F174" s="49" t="n">
        <v>0</v>
      </c>
      <c r="G174" s="50" t="n">
        <f aca="false">IF($A174="","",IF(ISNUMBER($G173),$G173+1,1))</f>
        <v>170</v>
      </c>
      <c r="H174" s="51" t="n">
        <f aca="false">IF(OR(NOT(ISNUMBER($G174)),$G174&lt;2,NOT(ISNUMBER($C173)),$C173=0),"",$C174/$C173-1)</f>
        <v>0.00144827170887529</v>
      </c>
      <c r="I174" s="52" t="n">
        <f aca="false">IF(AND(ISNUMBER($G174),$G174&gt;=MA_SHORT),AVERAGE(INDEX($C$5:$C174,171-MA_SHORT):$C174),"")</f>
        <v>99574991.9</v>
      </c>
      <c r="J174" s="52" t="n">
        <f aca="false">IF(AND(ISNUMBER($G174),$G174&gt;=MA_MED),AVERAGE(INDEX($C$5:$C174,171-MA_MED):$C174),"")</f>
        <v>95463405.82</v>
      </c>
      <c r="K174" s="52" t="str">
        <f aca="false">IF(AND(ISNUMBER($G174),$G174&gt;=MA_LONG2),AVERAGE(INDEX($C$5:$C174,171-MA_LONG2):$C174),"")</f>
        <v/>
      </c>
      <c r="L174" s="53" t="n">
        <f aca="false">IF(AND(ISNUMBER($G174),$G174&gt;=21),STDEV(INDEX($H$114:$H174,62-20):$H174)*SQRT(245),"")</f>
        <v>0.187200714036343</v>
      </c>
      <c r="M174" s="52" t="n">
        <f aca="false">IF(AND(ISNUMBER($G174),$G174&gt;=60),MAX(INDEX($D$5:$D174,171-60):$D174),"")</f>
        <v>103819483</v>
      </c>
      <c r="N174" s="52" t="n">
        <f aca="false">IF(AND(ISNUMBER($G174),$G174&gt;=60),MIN(INDEX($E$5:$E174,171-60):$E174),"")</f>
        <v>89337673</v>
      </c>
      <c r="O174" s="53" t="n">
        <f aca="false">IF(OR(NOT(ISNUMBER($C174)),NOT(ISNUMBER($M174)),$M174=0),"",$C174/$M174-1)</f>
        <v>-0.00289976400672309</v>
      </c>
      <c r="P174" s="54"/>
      <c r="Q174" s="53" t="str">
        <f aca="false">IF(NOT(ISNUMBER($P174)),"",IFERROR(PERCENTRANK($P$5:$P$1204,$P174),""))</f>
        <v/>
      </c>
    </row>
    <row r="175" customFormat="false" ht="15" hidden="false" customHeight="false" outlineLevel="0" collapsed="false">
      <c r="A175" s="47" t="n">
        <v>45808</v>
      </c>
      <c r="B175" s="48" t="s">
        <v>323</v>
      </c>
      <c r="C175" s="49" t="n">
        <v>103194231</v>
      </c>
      <c r="D175" s="49" t="n">
        <v>103450973</v>
      </c>
      <c r="E175" s="49" t="n">
        <v>103176052</v>
      </c>
      <c r="F175" s="49" t="n">
        <v>0</v>
      </c>
      <c r="G175" s="50" t="n">
        <f aca="false">IF($A175="","",IF(ISNUMBER($G174),$G174+1,1))</f>
        <v>171</v>
      </c>
      <c r="H175" s="51" t="n">
        <f aca="false">IF(OR(NOT(ISNUMBER($G175)),$G175&lt;2,NOT(ISNUMBER($C174)),$C174=0),"",$C175/$C174-1)</f>
        <v>-0.00313180944560487</v>
      </c>
      <c r="I175" s="52" t="n">
        <f aca="false">IF(AND(ISNUMBER($G175),$G175&gt;=MA_SHORT),AVERAGE(INDEX($C$5:$C175,172-MA_SHORT):$C175),"")</f>
        <v>99973845.8</v>
      </c>
      <c r="J175" s="52" t="n">
        <f aca="false">IF(AND(ISNUMBER($G175),$G175&gt;=MA_MED),AVERAGE(INDEX($C$5:$C175,172-MA_MED):$C175),"")</f>
        <v>95638016.26</v>
      </c>
      <c r="K175" s="52" t="str">
        <f aca="false">IF(AND(ISNUMBER($G175),$G175&gt;=MA_LONG2),AVERAGE(INDEX($C$5:$C175,172-MA_LONG2):$C175),"")</f>
        <v/>
      </c>
      <c r="L175" s="53" t="n">
        <f aca="false">IF(AND(ISNUMBER($G175),$G175&gt;=21),STDEV(INDEX($H$115:$H175,62-20):$H175)*SQRT(245),"")</f>
        <v>0.180244568963933</v>
      </c>
      <c r="M175" s="52" t="n">
        <f aca="false">IF(AND(ISNUMBER($G175),$G175&gt;=60),MAX(INDEX($D$5:$D175,172-60):$D175),"")</f>
        <v>103819483</v>
      </c>
      <c r="N175" s="52" t="n">
        <f aca="false">IF(AND(ISNUMBER($G175),$G175&gt;=60),MIN(INDEX($E$5:$E175,172-60):$E175),"")</f>
        <v>89337673</v>
      </c>
      <c r="O175" s="53" t="n">
        <f aca="false">IF(OR(NOT(ISNUMBER($C175)),NOT(ISNUMBER($M175)),$M175=0),"",$C175/$M175-1)</f>
        <v>-0.00602249194402171</v>
      </c>
      <c r="P175" s="54"/>
      <c r="Q175" s="53" t="str">
        <f aca="false">IF(NOT(ISNUMBER($P175)),"",IFERROR(PERCENTRANK($P$5:$P$1204,$P175),""))</f>
        <v/>
      </c>
    </row>
    <row r="176" customFormat="false" ht="15" hidden="false" customHeight="false" outlineLevel="0" collapsed="false">
      <c r="A176" s="47" t="n">
        <v>45809</v>
      </c>
      <c r="B176" s="48" t="s">
        <v>324</v>
      </c>
      <c r="C176" s="49" t="n">
        <v>101362814</v>
      </c>
      <c r="D176" s="49" t="n">
        <v>101475907</v>
      </c>
      <c r="E176" s="49" t="n">
        <v>100883280</v>
      </c>
      <c r="F176" s="49" t="n">
        <v>0</v>
      </c>
      <c r="G176" s="50" t="n">
        <f aca="false">IF($A176="","",IF(ISNUMBER($G175),$G175+1,1))</f>
        <v>172</v>
      </c>
      <c r="H176" s="51" t="n">
        <f aca="false">IF(OR(NOT(ISNUMBER($G176)),$G176&lt;2,NOT(ISNUMBER($C175)),$C175=0),"",$C176/$C175-1)</f>
        <v>-0.017747280853326</v>
      </c>
      <c r="I176" s="52" t="n">
        <f aca="false">IF(AND(ISNUMBER($G176),$G176&gt;=MA_SHORT),AVERAGE(INDEX($C$5:$C176,173-MA_SHORT):$C176),"")</f>
        <v>100223713.05</v>
      </c>
      <c r="J176" s="52" t="n">
        <f aca="false">IF(AND(ISNUMBER($G176),$G176&gt;=MA_MED),AVERAGE(INDEX($C$5:$C176,173-MA_MED):$C176),"")</f>
        <v>95824799.46</v>
      </c>
      <c r="K176" s="52" t="str">
        <f aca="false">IF(AND(ISNUMBER($G176),$G176&gt;=MA_LONG2),AVERAGE(INDEX($C$5:$C176,173-MA_LONG2):$C176),"")</f>
        <v/>
      </c>
      <c r="L176" s="53" t="n">
        <f aca="false">IF(AND(ISNUMBER($G176),$G176&gt;=21),STDEV(INDEX($H$116:$H176,62-20):$H176)*SQRT(245),"")</f>
        <v>0.192997491005433</v>
      </c>
      <c r="M176" s="52" t="n">
        <f aca="false">IF(AND(ISNUMBER($G176),$G176&gt;=60),MAX(INDEX($D$5:$D176,173-60):$D176),"")</f>
        <v>103819483</v>
      </c>
      <c r="N176" s="52" t="n">
        <f aca="false">IF(AND(ISNUMBER($G176),$G176&gt;=60),MIN(INDEX($E$5:$E176,173-60):$E176),"")</f>
        <v>89337673</v>
      </c>
      <c r="O176" s="53" t="n">
        <f aca="false">IF(OR(NOT(ISNUMBER($C176)),NOT(ISNUMBER($M176)),$M176=0),"",$C176/$M176-1)</f>
        <v>-0.0236628899413802</v>
      </c>
      <c r="P176" s="54"/>
      <c r="Q176" s="53" t="str">
        <f aca="false">IF(NOT(ISNUMBER($P176)),"",IFERROR(PERCENTRANK($P$5:$P$1204,$P176),""))</f>
        <v/>
      </c>
    </row>
    <row r="177" customFormat="false" ht="15" hidden="false" customHeight="false" outlineLevel="0" collapsed="false">
      <c r="A177" s="47" t="n">
        <v>45810</v>
      </c>
      <c r="B177" s="48" t="s">
        <v>325</v>
      </c>
      <c r="C177" s="49" t="n">
        <v>101622190</v>
      </c>
      <c r="D177" s="49" t="n">
        <v>101710594</v>
      </c>
      <c r="E177" s="49" t="n">
        <v>101147315</v>
      </c>
      <c r="F177" s="49" t="n">
        <v>0</v>
      </c>
      <c r="G177" s="50" t="n">
        <f aca="false">IF($A177="","",IF(ISNUMBER($G176),$G176+1,1))</f>
        <v>173</v>
      </c>
      <c r="H177" s="51" t="n">
        <f aca="false">IF(OR(NOT(ISNUMBER($G177)),$G177&lt;2,NOT(ISNUMBER($C176)),$C176=0),"",$C177/$C176-1)</f>
        <v>0.00255888712797581</v>
      </c>
      <c r="I177" s="52" t="n">
        <f aca="false">IF(AND(ISNUMBER($G177),$G177&gt;=MA_SHORT),AVERAGE(INDEX($C$5:$C177,174-MA_SHORT):$C177),"")</f>
        <v>100554827.5</v>
      </c>
      <c r="J177" s="52" t="n">
        <f aca="false">IF(AND(ISNUMBER($G177),$G177&gt;=MA_MED),AVERAGE(INDEX($C$5:$C177,174-MA_MED):$C177),"")</f>
        <v>95999997.12</v>
      </c>
      <c r="K177" s="52" t="str">
        <f aca="false">IF(AND(ISNUMBER($G177),$G177&gt;=MA_LONG2),AVERAGE(INDEX($C$5:$C177,174-MA_LONG2):$C177),"")</f>
        <v/>
      </c>
      <c r="L177" s="53" t="n">
        <f aca="false">IF(AND(ISNUMBER($G177),$G177&gt;=21),STDEV(INDEX($H$117:$H177,62-20):$H177)*SQRT(245),"")</f>
        <v>0.182864633379055</v>
      </c>
      <c r="M177" s="52" t="n">
        <f aca="false">IF(AND(ISNUMBER($G177),$G177&gt;=60),MAX(INDEX($D$5:$D177,174-60):$D177),"")</f>
        <v>103819483</v>
      </c>
      <c r="N177" s="52" t="n">
        <f aca="false">IF(AND(ISNUMBER($G177),$G177&gt;=60),MIN(INDEX($E$5:$E177,174-60):$E177),"")</f>
        <v>89337673</v>
      </c>
      <c r="O177" s="53" t="n">
        <f aca="false">IF(OR(NOT(ISNUMBER($C177)),NOT(ISNUMBER($M177)),$M177=0),"",$C177/$M177-1)</f>
        <v>-0.0211645534778863</v>
      </c>
      <c r="P177" s="54"/>
      <c r="Q177" s="53" t="str">
        <f aca="false">IF(NOT(ISNUMBER($P177)),"",IFERROR(PERCENTRANK($P$5:$P$1204,$P177),""))</f>
        <v/>
      </c>
    </row>
    <row r="178" customFormat="false" ht="15" hidden="false" customHeight="false" outlineLevel="0" collapsed="false">
      <c r="A178" s="47" t="n">
        <v>45811</v>
      </c>
      <c r="B178" s="48" t="s">
        <v>326</v>
      </c>
      <c r="C178" s="49" t="n">
        <v>100136843</v>
      </c>
      <c r="D178" s="49" t="n">
        <v>100488955</v>
      </c>
      <c r="E178" s="49" t="n">
        <v>100061675</v>
      </c>
      <c r="F178" s="49" t="n">
        <v>0</v>
      </c>
      <c r="G178" s="50" t="n">
        <f aca="false">IF($A178="","",IF(ISNUMBER($G177),$G177+1,1))</f>
        <v>174</v>
      </c>
      <c r="H178" s="51" t="n">
        <f aca="false">IF(OR(NOT(ISNUMBER($G178)),$G178&lt;2,NOT(ISNUMBER($C177)),$C177=0),"",$C178/$C177-1)</f>
        <v>-0.0146163647919809</v>
      </c>
      <c r="I178" s="52" t="n">
        <f aca="false">IF(AND(ISNUMBER($G178),$G178&gt;=MA_SHORT),AVERAGE(INDEX($C$5:$C178,175-MA_SHORT):$C178),"")</f>
        <v>100718057.95</v>
      </c>
      <c r="J178" s="52" t="n">
        <f aca="false">IF(AND(ISNUMBER($G178),$G178&gt;=MA_MED),AVERAGE(INDEX($C$5:$C178,175-MA_MED):$C178),"")</f>
        <v>96125976.38</v>
      </c>
      <c r="K178" s="52" t="str">
        <f aca="false">IF(AND(ISNUMBER($G178),$G178&gt;=MA_LONG2),AVERAGE(INDEX($C$5:$C178,175-MA_LONG2):$C178),"")</f>
        <v/>
      </c>
      <c r="L178" s="53" t="n">
        <f aca="false">IF(AND(ISNUMBER($G178),$G178&gt;=21),STDEV(INDEX($H$118:$H178,62-20):$H178)*SQRT(245),"")</f>
        <v>0.182950231758269</v>
      </c>
      <c r="M178" s="52" t="n">
        <f aca="false">IF(AND(ISNUMBER($G178),$G178&gt;=60),MAX(INDEX($D$5:$D178,175-60):$D178),"")</f>
        <v>103819483</v>
      </c>
      <c r="N178" s="52" t="n">
        <f aca="false">IF(AND(ISNUMBER($G178),$G178&gt;=60),MIN(INDEX($E$5:$E178,175-60):$E178),"")</f>
        <v>89337673</v>
      </c>
      <c r="O178" s="53" t="n">
        <f aca="false">IF(OR(NOT(ISNUMBER($C178)),NOT(ISNUMBER($M178)),$M178=0),"",$C178/$M178-1)</f>
        <v>-0.0354715694355751</v>
      </c>
      <c r="P178" s="54"/>
      <c r="Q178" s="53" t="str">
        <f aca="false">IF(NOT(ISNUMBER($P178)),"",IFERROR(PERCENTRANK($P$5:$P$1204,$P178),""))</f>
        <v/>
      </c>
    </row>
    <row r="179" customFormat="false" ht="15" hidden="false" customHeight="false" outlineLevel="0" collapsed="false">
      <c r="A179" s="47" t="n">
        <v>45812</v>
      </c>
      <c r="B179" s="48" t="s">
        <v>327</v>
      </c>
      <c r="C179" s="49" t="n">
        <v>98693486</v>
      </c>
      <c r="D179" s="49" t="n">
        <v>99236279</v>
      </c>
      <c r="E179" s="49" t="n">
        <v>98470082</v>
      </c>
      <c r="F179" s="49" t="n">
        <v>0</v>
      </c>
      <c r="G179" s="50" t="n">
        <f aca="false">IF($A179="","",IF(ISNUMBER($G178),$G178+1,1))</f>
        <v>175</v>
      </c>
      <c r="H179" s="51" t="n">
        <f aca="false">IF(OR(NOT(ISNUMBER($G179)),$G179&lt;2,NOT(ISNUMBER($C178)),$C178=0),"",$C179/$C178-1)</f>
        <v>-0.0144138456611819</v>
      </c>
      <c r="I179" s="52" t="n">
        <f aca="false">IF(AND(ISNUMBER($G179),$G179&gt;=MA_SHORT),AVERAGE(INDEX($C$5:$C179,176-MA_SHORT):$C179),"")</f>
        <v>100801240.5</v>
      </c>
      <c r="J179" s="52" t="n">
        <f aca="false">IF(AND(ISNUMBER($G179),$G179&gt;=MA_MED),AVERAGE(INDEX($C$5:$C179,176-MA_MED):$C179),"")</f>
        <v>96273481.86</v>
      </c>
      <c r="K179" s="52" t="str">
        <f aca="false">IF(AND(ISNUMBER($G179),$G179&gt;=MA_LONG2),AVERAGE(INDEX($C$5:$C179,176-MA_LONG2):$C179),"")</f>
        <v/>
      </c>
      <c r="L179" s="53" t="n">
        <f aca="false">IF(AND(ISNUMBER($G179),$G179&gt;=21),STDEV(INDEX($H$119:$H179,62-20):$H179)*SQRT(245),"")</f>
        <v>0.191475125371887</v>
      </c>
      <c r="M179" s="52" t="n">
        <f aca="false">IF(AND(ISNUMBER($G179),$G179&gt;=60),MAX(INDEX($D$5:$D179,176-60):$D179),"")</f>
        <v>103819483</v>
      </c>
      <c r="N179" s="52" t="n">
        <f aca="false">IF(AND(ISNUMBER($G179),$G179&gt;=60),MIN(INDEX($E$5:$E179,176-60):$E179),"")</f>
        <v>89337673</v>
      </c>
      <c r="O179" s="53" t="n">
        <f aca="false">IF(OR(NOT(ISNUMBER($C179)),NOT(ISNUMBER($M179)),$M179=0),"",$C179/$M179-1)</f>
        <v>-0.0493741333695527</v>
      </c>
      <c r="P179" s="54"/>
      <c r="Q179" s="53" t="str">
        <f aca="false">IF(NOT(ISNUMBER($P179)),"",IFERROR(PERCENTRANK($P$5:$P$1204,$P179),""))</f>
        <v/>
      </c>
    </row>
    <row r="180" customFormat="false" ht="15" hidden="false" customHeight="false" outlineLevel="0" collapsed="false">
      <c r="A180" s="47" t="n">
        <v>45815</v>
      </c>
      <c r="B180" s="48" t="s">
        <v>328</v>
      </c>
      <c r="C180" s="49" t="n">
        <v>100876882</v>
      </c>
      <c r="D180" s="49" t="n">
        <v>100878136</v>
      </c>
      <c r="E180" s="49" t="n">
        <v>99884110</v>
      </c>
      <c r="F180" s="49" t="n">
        <v>0</v>
      </c>
      <c r="G180" s="50" t="n">
        <f aca="false">IF($A180="","",IF(ISNUMBER($G179),$G179+1,1))</f>
        <v>176</v>
      </c>
      <c r="H180" s="51" t="n">
        <f aca="false">IF(OR(NOT(ISNUMBER($G180)),$G180&lt;2,NOT(ISNUMBER($C179)),$C179=0),"",$C180/$C179-1)</f>
        <v>0.0221230000934409</v>
      </c>
      <c r="I180" s="52" t="n">
        <f aca="false">IF(AND(ISNUMBER($G180),$G180&gt;=MA_SHORT),AVERAGE(INDEX($C$5:$C180,177-MA_SHORT):$C180),"")</f>
        <v>101028167.7</v>
      </c>
      <c r="J180" s="52" t="n">
        <f aca="false">IF(AND(ISNUMBER($G180),$G180&gt;=MA_MED),AVERAGE(INDEX($C$5:$C180,177-MA_MED):$C180),"")</f>
        <v>96469749.16</v>
      </c>
      <c r="K180" s="52" t="str">
        <f aca="false">IF(AND(ISNUMBER($G180),$G180&gt;=MA_LONG2),AVERAGE(INDEX($C$5:$C180,177-MA_LONG2):$C180),"")</f>
        <v/>
      </c>
      <c r="L180" s="53" t="n">
        <f aca="false">IF(AND(ISNUMBER($G180),$G180&gt;=21),STDEV(INDEX($H$120:$H180,62-20):$H180)*SQRT(245),"")</f>
        <v>0.202662750367092</v>
      </c>
      <c r="M180" s="52" t="n">
        <f aca="false">IF(AND(ISNUMBER($G180),$G180&gt;=60),MAX(INDEX($D$5:$D180,177-60):$D180),"")</f>
        <v>103819483</v>
      </c>
      <c r="N180" s="52" t="n">
        <f aca="false">IF(AND(ISNUMBER($G180),$G180&gt;=60),MIN(INDEX($E$5:$E180,177-60):$E180),"")</f>
        <v>89337673</v>
      </c>
      <c r="O180" s="53" t="n">
        <f aca="false">IF(OR(NOT(ISNUMBER($C180)),NOT(ISNUMBER($M180)),$M180=0),"",$C180/$M180-1)</f>
        <v>-0.0283434372332599</v>
      </c>
      <c r="P180" s="54"/>
      <c r="Q180" s="53" t="str">
        <f aca="false">IF(NOT(ISNUMBER($P180)),"",IFERROR(PERCENTRANK($P$5:$P$1204,$P180),""))</f>
        <v/>
      </c>
    </row>
    <row r="181" customFormat="false" ht="15" hidden="false" customHeight="false" outlineLevel="0" collapsed="false">
      <c r="A181" s="47" t="n">
        <v>45816</v>
      </c>
      <c r="B181" s="48" t="s">
        <v>329</v>
      </c>
      <c r="C181" s="49" t="n">
        <v>100425963</v>
      </c>
      <c r="D181" s="49" t="n">
        <v>100524855</v>
      </c>
      <c r="E181" s="49" t="n">
        <v>99824540</v>
      </c>
      <c r="F181" s="49" t="n">
        <v>0</v>
      </c>
      <c r="G181" s="50" t="n">
        <f aca="false">IF($A181="","",IF(ISNUMBER($G180),$G180+1,1))</f>
        <v>177</v>
      </c>
      <c r="H181" s="51" t="n">
        <f aca="false">IF(OR(NOT(ISNUMBER($G181)),$G181&lt;2,NOT(ISNUMBER($C180)),$C180=0),"",$C181/$C180-1)</f>
        <v>-0.0044699934321919</v>
      </c>
      <c r="I181" s="52" t="n">
        <f aca="false">IF(AND(ISNUMBER($G181),$G181&gt;=MA_SHORT),AVERAGE(INDEX($C$5:$C181,178-MA_SHORT):$C181),"")</f>
        <v>101165077.1</v>
      </c>
      <c r="J181" s="52" t="n">
        <f aca="false">IF(AND(ISNUMBER($G181),$G181&gt;=MA_MED),AVERAGE(INDEX($C$5:$C181,178-MA_MED):$C181),"")</f>
        <v>96627089.32</v>
      </c>
      <c r="K181" s="52" t="str">
        <f aca="false">IF(AND(ISNUMBER($G181),$G181&gt;=MA_LONG2),AVERAGE(INDEX($C$5:$C181,178-MA_LONG2):$C181),"")</f>
        <v/>
      </c>
      <c r="L181" s="53" t="n">
        <f aca="false">IF(AND(ISNUMBER($G181),$G181&gt;=21),STDEV(INDEX($H$121:$H181,62-20):$H181)*SQRT(245),"")</f>
        <v>0.199287981095422</v>
      </c>
      <c r="M181" s="52" t="n">
        <f aca="false">IF(AND(ISNUMBER($G181),$G181&gt;=60),MAX(INDEX($D$5:$D181,178-60):$D181),"")</f>
        <v>103819483</v>
      </c>
      <c r="N181" s="52" t="n">
        <f aca="false">IF(AND(ISNUMBER($G181),$G181&gt;=60),MIN(INDEX($E$5:$E181,178-60):$E181),"")</f>
        <v>89337673</v>
      </c>
      <c r="O181" s="53" t="n">
        <f aca="false">IF(OR(NOT(ISNUMBER($C181)),NOT(ISNUMBER($M181)),$M181=0),"",$C181/$M181-1)</f>
        <v>-0.0326867356871735</v>
      </c>
      <c r="P181" s="54"/>
      <c r="Q181" s="53" t="str">
        <f aca="false">IF(NOT(ISNUMBER($P181)),"",IFERROR(PERCENTRANK($P$5:$P$1204,$P181),""))</f>
        <v/>
      </c>
    </row>
    <row r="182" customFormat="false" ht="15" hidden="false" customHeight="false" outlineLevel="0" collapsed="false">
      <c r="A182" s="47" t="n">
        <v>45817</v>
      </c>
      <c r="B182" s="48" t="s">
        <v>330</v>
      </c>
      <c r="C182" s="49" t="n">
        <v>100312429</v>
      </c>
      <c r="D182" s="49" t="n">
        <v>100890268</v>
      </c>
      <c r="E182" s="49" t="n">
        <v>99964992</v>
      </c>
      <c r="F182" s="49" t="n">
        <v>0</v>
      </c>
      <c r="G182" s="50" t="n">
        <f aca="false">IF($A182="","",IF(ISNUMBER($G181),$G181+1,1))</f>
        <v>178</v>
      </c>
      <c r="H182" s="51" t="n">
        <f aca="false">IF(OR(NOT(ISNUMBER($G182)),$G182&lt;2,NOT(ISNUMBER($C181)),$C181=0),"",$C182/$C181-1)</f>
        <v>-0.00113052438441641</v>
      </c>
      <c r="I182" s="52" t="n">
        <f aca="false">IF(AND(ISNUMBER($G182),$G182&gt;=MA_SHORT),AVERAGE(INDEX($C$5:$C182,179-MA_SHORT):$C182),"")</f>
        <v>101218171.85</v>
      </c>
      <c r="J182" s="52" t="n">
        <f aca="false">IF(AND(ISNUMBER($G182),$G182&gt;=MA_MED),AVERAGE(INDEX($C$5:$C182,179-MA_MED):$C182),"")</f>
        <v>96780876.96</v>
      </c>
      <c r="K182" s="52" t="str">
        <f aca="false">IF(AND(ISNUMBER($G182),$G182&gt;=MA_LONG2),AVERAGE(INDEX($C$5:$C182,179-MA_LONG2):$C182),"")</f>
        <v/>
      </c>
      <c r="L182" s="53" t="n">
        <f aca="false">IF(AND(ISNUMBER($G182),$G182&gt;=21),STDEV(INDEX($H$122:$H182,62-20):$H182)*SQRT(245),"")</f>
        <v>0.19206235909901</v>
      </c>
      <c r="M182" s="52" t="n">
        <f aca="false">IF(AND(ISNUMBER($G182),$G182&gt;=60),MAX(INDEX($D$5:$D182,179-60):$D182),"")</f>
        <v>103819483</v>
      </c>
      <c r="N182" s="52" t="n">
        <f aca="false">IF(AND(ISNUMBER($G182),$G182&gt;=60),MIN(INDEX($E$5:$E182,179-60):$E182),"")</f>
        <v>89337673</v>
      </c>
      <c r="O182" s="53" t="n">
        <f aca="false">IF(OR(NOT(ISNUMBER($C182)),NOT(ISNUMBER($M182)),$M182=0),"",$C182/$M182-1)</f>
        <v>-0.0337803069198486</v>
      </c>
      <c r="P182" s="54"/>
      <c r="Q182" s="53" t="str">
        <f aca="false">IF(NOT(ISNUMBER($P182)),"",IFERROR(PERCENTRANK($P$5:$P$1204,$P182),""))</f>
        <v/>
      </c>
    </row>
    <row r="183" customFormat="false" ht="15" hidden="false" customHeight="false" outlineLevel="0" collapsed="false">
      <c r="A183" s="47" t="n">
        <v>45818</v>
      </c>
      <c r="B183" s="48" t="s">
        <v>331</v>
      </c>
      <c r="C183" s="49" t="n">
        <v>97948774</v>
      </c>
      <c r="D183" s="49" t="n">
        <v>98173807</v>
      </c>
      <c r="E183" s="49" t="n">
        <v>97630224</v>
      </c>
      <c r="F183" s="49" t="n">
        <v>0</v>
      </c>
      <c r="G183" s="50" t="n">
        <f aca="false">IF($A183="","",IF(ISNUMBER($G182),$G182+1,1))</f>
        <v>179</v>
      </c>
      <c r="H183" s="51" t="n">
        <f aca="false">IF(OR(NOT(ISNUMBER($G183)),$G183&lt;2,NOT(ISNUMBER($C182)),$C182=0),"",$C183/$C182-1)</f>
        <v>-0.0235629325654152</v>
      </c>
      <c r="I183" s="52" t="n">
        <f aca="false">IF(AND(ISNUMBER($G183),$G183&gt;=MA_SHORT),AVERAGE(INDEX($C$5:$C183,180-MA_SHORT):$C183),"")</f>
        <v>101107737.25</v>
      </c>
      <c r="J183" s="52" t="n">
        <f aca="false">IF(AND(ISNUMBER($G183),$G183&gt;=MA_MED),AVERAGE(INDEX($C$5:$C183,180-MA_MED):$C183),"")</f>
        <v>96896313.36</v>
      </c>
      <c r="K183" s="52" t="str">
        <f aca="false">IF(AND(ISNUMBER($G183),$G183&gt;=MA_LONG2),AVERAGE(INDEX($C$5:$C183,180-MA_LONG2):$C183),"")</f>
        <v/>
      </c>
      <c r="L183" s="53" t="n">
        <f aca="false">IF(AND(ISNUMBER($G183),$G183&gt;=21),STDEV(INDEX($H$123:$H183,62-20):$H183)*SQRT(245),"")</f>
        <v>0.206857880728408</v>
      </c>
      <c r="M183" s="52" t="n">
        <f aca="false">IF(AND(ISNUMBER($G183),$G183&gt;=60),MAX(INDEX($D$5:$D183,180-60):$D183),"")</f>
        <v>103819483</v>
      </c>
      <c r="N183" s="52" t="n">
        <f aca="false">IF(AND(ISNUMBER($G183),$G183&gt;=60),MIN(INDEX($E$5:$E183,180-60):$E183),"")</f>
        <v>89337673</v>
      </c>
      <c r="O183" s="53" t="n">
        <f aca="false">IF(OR(NOT(ISNUMBER($C183)),NOT(ISNUMBER($M183)),$M183=0),"",$C183/$M183-1)</f>
        <v>-0.0565472763912723</v>
      </c>
      <c r="P183" s="54"/>
      <c r="Q183" s="53" t="str">
        <f aca="false">IF(NOT(ISNUMBER($P183)),"",IFERROR(PERCENTRANK($P$5:$P$1204,$P183),""))</f>
        <v/>
      </c>
    </row>
    <row r="184" customFormat="false" ht="15" hidden="false" customHeight="false" outlineLevel="0" collapsed="false">
      <c r="A184" s="47" t="n">
        <v>45819</v>
      </c>
      <c r="B184" s="48" t="s">
        <v>332</v>
      </c>
      <c r="C184" s="49" t="n">
        <v>96623061</v>
      </c>
      <c r="D184" s="49" t="n">
        <v>96630404</v>
      </c>
      <c r="E184" s="49" t="n">
        <v>96569593</v>
      </c>
      <c r="F184" s="49" t="n">
        <v>0</v>
      </c>
      <c r="G184" s="50" t="n">
        <f aca="false">IF($A184="","",IF(ISNUMBER($G183),$G183+1,1))</f>
        <v>180</v>
      </c>
      <c r="H184" s="51" t="n">
        <f aca="false">IF(OR(NOT(ISNUMBER($G184)),$G184&lt;2,NOT(ISNUMBER($C183)),$C183=0),"",$C184/$C183-1)</f>
        <v>-0.0135347584850832</v>
      </c>
      <c r="I184" s="52" t="n">
        <f aca="false">IF(AND(ISNUMBER($G184),$G184&gt;=MA_SHORT),AVERAGE(INDEX($C$5:$C184,181-MA_SHORT):$C184),"")</f>
        <v>100957062.25</v>
      </c>
      <c r="J184" s="52" t="n">
        <f aca="false">IF(AND(ISNUMBER($G184),$G184&gt;=MA_MED),AVERAGE(INDEX($C$5:$C184,181-MA_MED):$C184),"")</f>
        <v>96984907.32</v>
      </c>
      <c r="K184" s="52" t="str">
        <f aca="false">IF(AND(ISNUMBER($G184),$G184&gt;=MA_LONG2),AVERAGE(INDEX($C$5:$C184,181-MA_LONG2):$C184),"")</f>
        <v/>
      </c>
      <c r="L184" s="53" t="n">
        <f aca="false">IF(AND(ISNUMBER($G184),$G184&gt;=21),STDEV(INDEX($H$124:$H184,62-20):$H184)*SQRT(245),"")</f>
        <v>0.211038199626308</v>
      </c>
      <c r="M184" s="52" t="n">
        <f aca="false">IF(AND(ISNUMBER($G184),$G184&gt;=60),MAX(INDEX($D$5:$D184,181-60):$D184),"")</f>
        <v>103819483</v>
      </c>
      <c r="N184" s="52" t="n">
        <f aca="false">IF(AND(ISNUMBER($G184),$G184&gt;=60),MIN(INDEX($E$5:$E184,181-60):$E184),"")</f>
        <v>89337673</v>
      </c>
      <c r="O184" s="53" t="n">
        <f aca="false">IF(OR(NOT(ISNUMBER($C184)),NOT(ISNUMBER($M184)),$M184=0),"",$C184/$M184-1)</f>
        <v>-0.0693166811474104</v>
      </c>
      <c r="P184" s="54"/>
      <c r="Q184" s="53" t="str">
        <f aca="false">IF(NOT(ISNUMBER($P184)),"",IFERROR(PERCENTRANK($P$5:$P$1204,$P184),""))</f>
        <v/>
      </c>
    </row>
    <row r="185" customFormat="false" ht="15" hidden="false" customHeight="false" outlineLevel="0" collapsed="false">
      <c r="A185" s="47" t="n">
        <v>45822</v>
      </c>
      <c r="B185" s="48" t="s">
        <v>333</v>
      </c>
      <c r="C185" s="49" t="n">
        <v>96533763</v>
      </c>
      <c r="D185" s="49" t="n">
        <v>96566358</v>
      </c>
      <c r="E185" s="49" t="n">
        <v>95842107</v>
      </c>
      <c r="F185" s="49" t="n">
        <v>0</v>
      </c>
      <c r="G185" s="50" t="n">
        <f aca="false">IF($A185="","",IF(ISNUMBER($G184),$G184+1,1))</f>
        <v>181</v>
      </c>
      <c r="H185" s="51" t="n">
        <f aca="false">IF(OR(NOT(ISNUMBER($G185)),$G185&lt;2,NOT(ISNUMBER($C184)),$C184=0),"",$C185/$C184-1)</f>
        <v>-0.000924189309216783</v>
      </c>
      <c r="I185" s="52" t="n">
        <f aca="false">IF(AND(ISNUMBER($G185),$G185&gt;=MA_SHORT),AVERAGE(INDEX($C$5:$C185,182-MA_SHORT):$C185),"")</f>
        <v>100791254.05</v>
      </c>
      <c r="J185" s="52" t="n">
        <f aca="false">IF(AND(ISNUMBER($G185),$G185&gt;=MA_MED),AVERAGE(INDEX($C$5:$C185,182-MA_MED):$C185),"")</f>
        <v>97108324.08</v>
      </c>
      <c r="K185" s="52" t="str">
        <f aca="false">IF(AND(ISNUMBER($G185),$G185&gt;=MA_LONG2),AVERAGE(INDEX($C$5:$C185,182-MA_LONG2):$C185),"")</f>
        <v/>
      </c>
      <c r="L185" s="53" t="n">
        <f aca="false">IF(AND(ISNUMBER($G185),$G185&gt;=21),STDEV(INDEX($H$125:$H185,62-20):$H185)*SQRT(245),"")</f>
        <v>0.210638210934859</v>
      </c>
      <c r="M185" s="52" t="n">
        <f aca="false">IF(AND(ISNUMBER($G185),$G185&gt;=60),MAX(INDEX($D$5:$D185,182-60):$D185),"")</f>
        <v>103819483</v>
      </c>
      <c r="N185" s="52" t="n">
        <f aca="false">IF(AND(ISNUMBER($G185),$G185&gt;=60),MIN(INDEX($E$5:$E185,182-60):$E185),"")</f>
        <v>89337673</v>
      </c>
      <c r="O185" s="53" t="n">
        <f aca="false">IF(OR(NOT(ISNUMBER($C185)),NOT(ISNUMBER($M185)),$M185=0),"",$C185/$M185-1)</f>
        <v>-0.0701768087209604</v>
      </c>
      <c r="P185" s="54"/>
      <c r="Q185" s="53" t="str">
        <f aca="false">IF(NOT(ISNUMBER($P185)),"",IFERROR(PERCENTRANK($P$5:$P$1204,$P185),""))</f>
        <v/>
      </c>
    </row>
    <row r="186" customFormat="false" ht="15" hidden="false" customHeight="false" outlineLevel="0" collapsed="false">
      <c r="A186" s="47" t="n">
        <v>45823</v>
      </c>
      <c r="B186" s="48" t="s">
        <v>334</v>
      </c>
      <c r="C186" s="49" t="n">
        <v>99670232</v>
      </c>
      <c r="D186" s="49" t="n">
        <v>99702124</v>
      </c>
      <c r="E186" s="49" t="n">
        <v>99061719</v>
      </c>
      <c r="F186" s="49" t="n">
        <v>0</v>
      </c>
      <c r="G186" s="50" t="n">
        <f aca="false">IF($A186="","",IF(ISNUMBER($G185),$G185+1,1))</f>
        <v>182</v>
      </c>
      <c r="H186" s="51" t="n">
        <f aca="false">IF(OR(NOT(ISNUMBER($G186)),$G186&lt;2,NOT(ISNUMBER($C185)),$C185=0),"",$C186/$C185-1)</f>
        <v>0.0324909016547921</v>
      </c>
      <c r="I186" s="52" t="n">
        <f aca="false">IF(AND(ISNUMBER($G186),$G186&gt;=MA_SHORT),AVERAGE(INDEX($C$5:$C186,183-MA_SHORT):$C186),"")</f>
        <v>100777632.25</v>
      </c>
      <c r="J186" s="52" t="n">
        <f aca="false">IF(AND(ISNUMBER($G186),$G186&gt;=MA_MED),AVERAGE(INDEX($C$5:$C186,183-MA_MED):$C186),"")</f>
        <v>97298181.54</v>
      </c>
      <c r="K186" s="52" t="str">
        <f aca="false">IF(AND(ISNUMBER($G186),$G186&gt;=MA_LONG2),AVERAGE(INDEX($C$5:$C186,183-MA_LONG2):$C186),"")</f>
        <v/>
      </c>
      <c r="L186" s="53" t="n">
        <f aca="false">IF(AND(ISNUMBER($G186),$G186&gt;=21),STDEV(INDEX($H$126:$H186,62-20):$H186)*SQRT(245),"")</f>
        <v>0.242138348152777</v>
      </c>
      <c r="M186" s="52" t="n">
        <f aca="false">IF(AND(ISNUMBER($G186),$G186&gt;=60),MAX(INDEX($D$5:$D186,183-60):$D186),"")</f>
        <v>103819483</v>
      </c>
      <c r="N186" s="52" t="n">
        <f aca="false">IF(AND(ISNUMBER($G186),$G186&gt;=60),MIN(INDEX($E$5:$E186,183-60):$E186),"")</f>
        <v>89337673</v>
      </c>
      <c r="O186" s="53" t="n">
        <f aca="false">IF(OR(NOT(ISNUMBER($C186)),NOT(ISNUMBER($M186)),$M186=0),"",$C186/$M186-1)</f>
        <v>-0.0399660148567683</v>
      </c>
      <c r="P186" s="54"/>
      <c r="Q186" s="53" t="str">
        <f aca="false">IF(NOT(ISNUMBER($P186)),"",IFERROR(PERCENTRANK($P$5:$P$1204,$P186),""))</f>
        <v/>
      </c>
    </row>
    <row r="187" customFormat="false" ht="15" hidden="false" customHeight="false" outlineLevel="0" collapsed="false">
      <c r="A187" s="47" t="n">
        <v>45824</v>
      </c>
      <c r="B187" s="48" t="s">
        <v>335</v>
      </c>
      <c r="C187" s="49" t="n">
        <v>99650582</v>
      </c>
      <c r="D187" s="49" t="n">
        <v>100001495</v>
      </c>
      <c r="E187" s="49" t="n">
        <v>98984117</v>
      </c>
      <c r="F187" s="49" t="n">
        <v>0</v>
      </c>
      <c r="G187" s="50" t="n">
        <f aca="false">IF($A187="","",IF(ISNUMBER($G186),$G186+1,1))</f>
        <v>183</v>
      </c>
      <c r="H187" s="51" t="n">
        <f aca="false">IF(OR(NOT(ISNUMBER($G187)),$G187&lt;2,NOT(ISNUMBER($C186)),$C186=0),"",$C187/$C186-1)</f>
        <v>-0.000197150138067315</v>
      </c>
      <c r="I187" s="52" t="n">
        <f aca="false">IF(AND(ISNUMBER($G187),$G187&gt;=MA_SHORT),AVERAGE(INDEX($C$5:$C187,184-MA_SHORT):$C187),"")</f>
        <v>100679706.85</v>
      </c>
      <c r="J187" s="52" t="n">
        <f aca="false">IF(AND(ISNUMBER($G187),$G187&gt;=MA_MED),AVERAGE(INDEX($C$5:$C187,184-MA_MED):$C187),"")</f>
        <v>97491916.32</v>
      </c>
      <c r="K187" s="52" t="str">
        <f aca="false">IF(AND(ISNUMBER($G187),$G187&gt;=MA_LONG2),AVERAGE(INDEX($C$5:$C187,184-MA_LONG2):$C187),"")</f>
        <v/>
      </c>
      <c r="L187" s="53" t="n">
        <f aca="false">IF(AND(ISNUMBER($G187),$G187&gt;=21),STDEV(INDEX($H$127:$H187,62-20):$H187)*SQRT(245),"")</f>
        <v>0.23420699456506</v>
      </c>
      <c r="M187" s="52" t="n">
        <f aca="false">IF(AND(ISNUMBER($G187),$G187&gt;=60),MAX(INDEX($D$5:$D187,184-60):$D187),"")</f>
        <v>103819483</v>
      </c>
      <c r="N187" s="52" t="n">
        <f aca="false">IF(AND(ISNUMBER($G187),$G187&gt;=60),MIN(INDEX($E$5:$E187,184-60):$E187),"")</f>
        <v>89337673</v>
      </c>
      <c r="O187" s="53" t="n">
        <f aca="false">IF(OR(NOT(ISNUMBER($C187)),NOT(ISNUMBER($M187)),$M187=0),"",$C187/$M187-1)</f>
        <v>-0.0401552856894886</v>
      </c>
      <c r="P187" s="54"/>
      <c r="Q187" s="53" t="str">
        <f aca="false">IF(NOT(ISNUMBER($P187)),"",IFERROR(PERCENTRANK($P$5:$P$1204,$P187),""))</f>
        <v/>
      </c>
    </row>
    <row r="188" customFormat="false" ht="15" hidden="false" customHeight="false" outlineLevel="0" collapsed="false">
      <c r="A188" s="47" t="n">
        <v>45825</v>
      </c>
      <c r="B188" s="48" t="s">
        <v>336</v>
      </c>
      <c r="C188" s="49" t="n">
        <v>98131714</v>
      </c>
      <c r="D188" s="49" t="n">
        <v>98188090</v>
      </c>
      <c r="E188" s="49" t="n">
        <v>97781726</v>
      </c>
      <c r="F188" s="49" t="n">
        <v>0</v>
      </c>
      <c r="G188" s="50" t="n">
        <f aca="false">IF($A188="","",IF(ISNUMBER($G187),$G187+1,1))</f>
        <v>184</v>
      </c>
      <c r="H188" s="51" t="n">
        <f aca="false">IF(OR(NOT(ISNUMBER($G188)),$G188&lt;2,NOT(ISNUMBER($C187)),$C187=0),"",$C188/$C187-1)</f>
        <v>-0.0152419380751836</v>
      </c>
      <c r="I188" s="52" t="n">
        <f aca="false">IF(AND(ISNUMBER($G188),$G188&gt;=MA_SHORT),AVERAGE(INDEX($C$5:$C188,185-MA_SHORT):$C188),"")</f>
        <v>100457169.95</v>
      </c>
      <c r="J188" s="52" t="n">
        <f aca="false">IF(AND(ISNUMBER($G188),$G188&gt;=MA_MED),AVERAGE(INDEX($C$5:$C188,185-MA_MED):$C188),"")</f>
        <v>97635558.48</v>
      </c>
      <c r="K188" s="52" t="str">
        <f aca="false">IF(AND(ISNUMBER($G188),$G188&gt;=MA_LONG2),AVERAGE(INDEX($C$5:$C188,185-MA_LONG2):$C188),"")</f>
        <v/>
      </c>
      <c r="L188" s="53" t="n">
        <f aca="false">IF(AND(ISNUMBER($G188),$G188&gt;=21),STDEV(INDEX($H$128:$H188,62-20):$H188)*SQRT(245),"")</f>
        <v>0.23603638338926</v>
      </c>
      <c r="M188" s="52" t="n">
        <f aca="false">IF(AND(ISNUMBER($G188),$G188&gt;=60),MAX(INDEX($D$5:$D188,185-60):$D188),"")</f>
        <v>103819483</v>
      </c>
      <c r="N188" s="52" t="n">
        <f aca="false">IF(AND(ISNUMBER($G188),$G188&gt;=60),MIN(INDEX($E$5:$E188,185-60):$E188),"")</f>
        <v>89337673</v>
      </c>
      <c r="O188" s="53" t="n">
        <f aca="false">IF(OR(NOT(ISNUMBER($C188)),NOT(ISNUMBER($M188)),$M188=0),"",$C188/$M188-1)</f>
        <v>-0.0547851793868016</v>
      </c>
      <c r="P188" s="54"/>
      <c r="Q188" s="53" t="str">
        <f aca="false">IF(NOT(ISNUMBER($P188)),"",IFERROR(PERCENTRANK($P$5:$P$1204,$P188),""))</f>
        <v/>
      </c>
    </row>
    <row r="189" customFormat="false" ht="15" hidden="false" customHeight="false" outlineLevel="0" collapsed="false">
      <c r="A189" s="47" t="n">
        <v>45826</v>
      </c>
      <c r="B189" s="48" t="s">
        <v>337</v>
      </c>
      <c r="C189" s="49" t="n">
        <v>100120663</v>
      </c>
      <c r="D189" s="49" t="n">
        <v>100140778</v>
      </c>
      <c r="E189" s="49" t="n">
        <v>100075931</v>
      </c>
      <c r="F189" s="49" t="n">
        <v>0</v>
      </c>
      <c r="G189" s="50" t="n">
        <f aca="false">IF($A189="","",IF(ISNUMBER($G188),$G188+1,1))</f>
        <v>185</v>
      </c>
      <c r="H189" s="51" t="n">
        <f aca="false">IF(OR(NOT(ISNUMBER($G189)),$G189&lt;2,NOT(ISNUMBER($C188)),$C188=0),"",$C189/$C188-1)</f>
        <v>0.0202681571423484</v>
      </c>
      <c r="I189" s="52" t="n">
        <f aca="false">IF(AND(ISNUMBER($G189),$G189&gt;=MA_SHORT),AVERAGE(INDEX($C$5:$C189,186-MA_SHORT):$C189),"")</f>
        <v>100345778.75</v>
      </c>
      <c r="J189" s="52" t="n">
        <f aca="false">IF(AND(ISNUMBER($G189),$G189&gt;=MA_MED),AVERAGE(INDEX($C$5:$C189,186-MA_MED):$C189),"")</f>
        <v>97803221.42</v>
      </c>
      <c r="K189" s="52" t="str">
        <f aca="false">IF(AND(ISNUMBER($G189),$G189&gt;=MA_LONG2),AVERAGE(INDEX($C$5:$C189,186-MA_LONG2):$C189),"")</f>
        <v/>
      </c>
      <c r="L189" s="53" t="n">
        <f aca="false">IF(AND(ISNUMBER($G189),$G189&gt;=21),STDEV(INDEX($H$129:$H189,62-20):$H189)*SQRT(245),"")</f>
        <v>0.248678914912106</v>
      </c>
      <c r="M189" s="52" t="n">
        <f aca="false">IF(AND(ISNUMBER($G189),$G189&gt;=60),MAX(INDEX($D$5:$D189,186-60):$D189),"")</f>
        <v>103819483</v>
      </c>
      <c r="N189" s="52" t="n">
        <f aca="false">IF(AND(ISNUMBER($G189),$G189&gt;=60),MIN(INDEX($E$5:$E189,186-60):$E189),"")</f>
        <v>89337673</v>
      </c>
      <c r="O189" s="53" t="n">
        <f aca="false">IF(OR(NOT(ISNUMBER($C189)),NOT(ISNUMBER($M189)),$M189=0),"",$C189/$M189-1)</f>
        <v>-0.0356274168693366</v>
      </c>
      <c r="P189" s="54"/>
      <c r="Q189" s="53" t="str">
        <f aca="false">IF(NOT(ISNUMBER($P189)),"",IFERROR(PERCENTRANK($P$5:$P$1204,$P189),""))</f>
        <v/>
      </c>
    </row>
    <row r="190" customFormat="false" ht="15" hidden="false" customHeight="false" outlineLevel="0" collapsed="false">
      <c r="A190" s="47" t="n">
        <v>45829</v>
      </c>
      <c r="B190" s="48" t="s">
        <v>338</v>
      </c>
      <c r="C190" s="49" t="n">
        <v>102571163</v>
      </c>
      <c r="D190" s="49" t="n">
        <v>102747957</v>
      </c>
      <c r="E190" s="49" t="n">
        <v>101749368</v>
      </c>
      <c r="F190" s="49" t="n">
        <v>0</v>
      </c>
      <c r="G190" s="50" t="n">
        <f aca="false">IF($A190="","",IF(ISNUMBER($G189),$G189+1,1))</f>
        <v>186</v>
      </c>
      <c r="H190" s="51" t="n">
        <f aca="false">IF(OR(NOT(ISNUMBER($G190)),$G190&lt;2,NOT(ISNUMBER($C189)),$C189=0),"",$C190/$C189-1)</f>
        <v>0.0244754671670522</v>
      </c>
      <c r="I190" s="52" t="n">
        <f aca="false">IF(AND(ISNUMBER($G190),$G190&gt;=MA_SHORT),AVERAGE(INDEX($C$5:$C190,187-MA_SHORT):$C190),"")</f>
        <v>100454070.7</v>
      </c>
      <c r="J190" s="52" t="n">
        <f aca="false">IF(AND(ISNUMBER($G190),$G190&gt;=MA_MED),AVERAGE(INDEX($C$5:$C190,187-MA_MED):$C190),"")</f>
        <v>98022836.24</v>
      </c>
      <c r="K190" s="52" t="str">
        <f aca="false">IF(AND(ISNUMBER($G190),$G190&gt;=MA_LONG2),AVERAGE(INDEX($C$5:$C190,187-MA_LONG2):$C190),"")</f>
        <v/>
      </c>
      <c r="L190" s="53" t="n">
        <f aca="false">IF(AND(ISNUMBER($G190),$G190&gt;=21),STDEV(INDEX($H$130:$H190,62-20):$H190)*SQRT(245),"")</f>
        <v>0.254556175857625</v>
      </c>
      <c r="M190" s="52" t="n">
        <f aca="false">IF(AND(ISNUMBER($G190),$G190&gt;=60),MAX(INDEX($D$5:$D190,187-60):$D190),"")</f>
        <v>103819483</v>
      </c>
      <c r="N190" s="52" t="n">
        <f aca="false">IF(AND(ISNUMBER($G190),$G190&gt;=60),MIN(INDEX($E$5:$E190,187-60):$E190),"")</f>
        <v>89337673</v>
      </c>
      <c r="O190" s="53" t="n">
        <f aca="false">IF(OR(NOT(ISNUMBER($C190)),NOT(ISNUMBER($M190)),$M190=0),"",$C190/$M190-1)</f>
        <v>-0.0120239473741167</v>
      </c>
      <c r="P190" s="54"/>
      <c r="Q190" s="53" t="str">
        <f aca="false">IF(NOT(ISNUMBER($P190)),"",IFERROR(PERCENTRANK($P$5:$P$1204,$P190),""))</f>
        <v/>
      </c>
    </row>
    <row r="191" customFormat="false" ht="15" hidden="false" customHeight="false" outlineLevel="0" collapsed="false">
      <c r="A191" s="47" t="n">
        <v>45830</v>
      </c>
      <c r="B191" s="48" t="s">
        <v>339</v>
      </c>
      <c r="C191" s="49" t="n">
        <v>103894122</v>
      </c>
      <c r="D191" s="49" t="n">
        <v>104529061</v>
      </c>
      <c r="E191" s="49" t="n">
        <v>103353591</v>
      </c>
      <c r="F191" s="49" t="n">
        <v>0</v>
      </c>
      <c r="G191" s="50" t="n">
        <f aca="false">IF($A191="","",IF(ISNUMBER($G190),$G190+1,1))</f>
        <v>187</v>
      </c>
      <c r="H191" s="51" t="n">
        <f aca="false">IF(OR(NOT(ISNUMBER($G191)),$G191&lt;2,NOT(ISNUMBER($C190)),$C190=0),"",$C191/$C190-1)</f>
        <v>0.0128979623639442</v>
      </c>
      <c r="I191" s="52" t="n">
        <f aca="false">IF(AND(ISNUMBER($G191),$G191&gt;=MA_SHORT),AVERAGE(INDEX($C$5:$C191,188-MA_SHORT):$C191),"")</f>
        <v>100521766.95</v>
      </c>
      <c r="J191" s="52" t="n">
        <f aca="false">IF(AND(ISNUMBER($G191),$G191&gt;=MA_MED),AVERAGE(INDEX($C$5:$C191,188-MA_MED):$C191),"")</f>
        <v>98273930.62</v>
      </c>
      <c r="K191" s="52" t="str">
        <f aca="false">IF(AND(ISNUMBER($G191),$G191&gt;=MA_LONG2),AVERAGE(INDEX($C$5:$C191,188-MA_LONG2):$C191),"")</f>
        <v/>
      </c>
      <c r="L191" s="53" t="n">
        <f aca="false">IF(AND(ISNUMBER($G191),$G191&gt;=21),STDEV(INDEX($H$131:$H191,62-20):$H191)*SQRT(245),"")</f>
        <v>0.247641845236561</v>
      </c>
      <c r="M191" s="52" t="n">
        <f aca="false">IF(AND(ISNUMBER($G191),$G191&gt;=60),MAX(INDEX($D$5:$D191,188-60):$D191),"")</f>
        <v>104529061</v>
      </c>
      <c r="N191" s="52" t="n">
        <f aca="false">IF(AND(ISNUMBER($G191),$G191&gt;=60),MIN(INDEX($E$5:$E191,188-60):$E191),"")</f>
        <v>89337673</v>
      </c>
      <c r="O191" s="53" t="n">
        <f aca="false">IF(OR(NOT(ISNUMBER($C191)),NOT(ISNUMBER($M191)),$M191=0),"",$C191/$M191-1)</f>
        <v>-0.00607428206018223</v>
      </c>
      <c r="P191" s="54"/>
      <c r="Q191" s="53" t="str">
        <f aca="false">IF(NOT(ISNUMBER($P191)),"",IFERROR(PERCENTRANK($P$5:$P$1204,$P191),""))</f>
        <v/>
      </c>
    </row>
    <row r="192" customFormat="false" ht="15" hidden="false" customHeight="false" outlineLevel="0" collapsed="false">
      <c r="A192" s="47" t="n">
        <v>45831</v>
      </c>
      <c r="B192" s="48" t="s">
        <v>340</v>
      </c>
      <c r="C192" s="49" t="n">
        <v>105422891</v>
      </c>
      <c r="D192" s="49" t="n">
        <v>105494900</v>
      </c>
      <c r="E192" s="49" t="n">
        <v>104642299</v>
      </c>
      <c r="F192" s="49" t="n">
        <v>0</v>
      </c>
      <c r="G192" s="50" t="n">
        <f aca="false">IF($A192="","",IF(ISNUMBER($G191),$G191+1,1))</f>
        <v>188</v>
      </c>
      <c r="H192" s="51" t="n">
        <f aca="false">IF(OR(NOT(ISNUMBER($G192)),$G192&lt;2,NOT(ISNUMBER($C191)),$C191=0),"",$C192/$C191-1)</f>
        <v>0.0147146823186013</v>
      </c>
      <c r="I192" s="52" t="n">
        <f aca="false">IF(AND(ISNUMBER($G192),$G192&gt;=MA_SHORT),AVERAGE(INDEX($C$5:$C192,189-MA_SHORT):$C192),"")</f>
        <v>100703947.95</v>
      </c>
      <c r="J192" s="52" t="n">
        <f aca="false">IF(AND(ISNUMBER($G192),$G192&gt;=MA_MED),AVERAGE(INDEX($C$5:$C192,189-MA_MED):$C192),"")</f>
        <v>98548416.66</v>
      </c>
      <c r="K192" s="52" t="str">
        <f aca="false">IF(AND(ISNUMBER($G192),$G192&gt;=MA_LONG2),AVERAGE(INDEX($C$5:$C192,189-MA_LONG2):$C192),"")</f>
        <v/>
      </c>
      <c r="L192" s="53" t="n">
        <f aca="false">IF(AND(ISNUMBER($G192),$G192&gt;=21),STDEV(INDEX($H$132:$H192,62-20):$H192)*SQRT(245),"")</f>
        <v>0.250300654877736</v>
      </c>
      <c r="M192" s="52" t="n">
        <f aca="false">IF(AND(ISNUMBER($G192),$G192&gt;=60),MAX(INDEX($D$5:$D192,189-60):$D192),"")</f>
        <v>105494900</v>
      </c>
      <c r="N192" s="52" t="n">
        <f aca="false">IF(AND(ISNUMBER($G192),$G192&gt;=60),MIN(INDEX($E$5:$E192,189-60):$E192),"")</f>
        <v>89337673</v>
      </c>
      <c r="O192" s="53" t="n">
        <f aca="false">IF(OR(NOT(ISNUMBER($C192)),NOT(ISNUMBER($M192)),$M192=0),"",$C192/$M192-1)</f>
        <v>-0.000682582759924832</v>
      </c>
      <c r="P192" s="54"/>
      <c r="Q192" s="53" t="str">
        <f aca="false">IF(NOT(ISNUMBER($P192)),"",IFERROR(PERCENTRANK($P$5:$P$1204,$P192),""))</f>
        <v/>
      </c>
    </row>
    <row r="193" customFormat="false" ht="15" hidden="false" customHeight="false" outlineLevel="0" collapsed="false">
      <c r="A193" s="47" t="n">
        <v>45832</v>
      </c>
      <c r="B193" s="48" t="s">
        <v>341</v>
      </c>
      <c r="C193" s="49" t="n">
        <v>106391500</v>
      </c>
      <c r="D193" s="49" t="n">
        <v>107609493</v>
      </c>
      <c r="E193" s="49" t="n">
        <v>105563417</v>
      </c>
      <c r="F193" s="49" t="n">
        <v>0</v>
      </c>
      <c r="G193" s="50" t="n">
        <f aca="false">IF($A193="","",IF(ISNUMBER($G192),$G192+1,1))</f>
        <v>189</v>
      </c>
      <c r="H193" s="51" t="n">
        <f aca="false">IF(OR(NOT(ISNUMBER($G193)),$G193&lt;2,NOT(ISNUMBER($C192)),$C192=0),"",$C193/$C192-1)</f>
        <v>0.00918784327400024</v>
      </c>
      <c r="I193" s="52" t="n">
        <f aca="false">IF(AND(ISNUMBER($G193),$G193&gt;=MA_SHORT),AVERAGE(INDEX($C$5:$C193,190-MA_SHORT):$C193),"")</f>
        <v>100855086.7</v>
      </c>
      <c r="J193" s="52" t="n">
        <f aca="false">IF(AND(ISNUMBER($G193),$G193&gt;=MA_MED),AVERAGE(INDEX($C$5:$C193,190-MA_MED):$C193),"")</f>
        <v>98807734.58</v>
      </c>
      <c r="K193" s="52" t="str">
        <f aca="false">IF(AND(ISNUMBER($G193),$G193&gt;=MA_LONG2),AVERAGE(INDEX($C$5:$C193,190-MA_LONG2):$C193),"")</f>
        <v/>
      </c>
      <c r="L193" s="53" t="n">
        <f aca="false">IF(AND(ISNUMBER($G193),$G193&gt;=21),STDEV(INDEX($H$133:$H193,62-20):$H193)*SQRT(245),"")</f>
        <v>0.246737537191824</v>
      </c>
      <c r="M193" s="52" t="n">
        <f aca="false">IF(AND(ISNUMBER($G193),$G193&gt;=60),MAX(INDEX($D$5:$D193,190-60):$D193),"")</f>
        <v>107609493</v>
      </c>
      <c r="N193" s="52" t="n">
        <f aca="false">IF(AND(ISNUMBER($G193),$G193&gt;=60),MIN(INDEX($E$5:$E193,190-60):$E193),"")</f>
        <v>89337673</v>
      </c>
      <c r="O193" s="53" t="n">
        <f aca="false">IF(OR(NOT(ISNUMBER($C193)),NOT(ISNUMBER($M193)),$M193=0),"",$C193/$M193-1)</f>
        <v>-0.011318638960598</v>
      </c>
      <c r="P193" s="54"/>
      <c r="Q193" s="53" t="str">
        <f aca="false">IF(NOT(ISNUMBER($P193)),"",IFERROR(PERCENTRANK($P$5:$P$1204,$P193),""))</f>
        <v/>
      </c>
    </row>
    <row r="194" customFormat="false" ht="15" hidden="false" customHeight="false" outlineLevel="0" collapsed="false">
      <c r="A194" s="47" t="n">
        <v>45833</v>
      </c>
      <c r="B194" s="48" t="s">
        <v>342</v>
      </c>
      <c r="C194" s="49" t="n">
        <v>105103361</v>
      </c>
      <c r="D194" s="49" t="n">
        <v>105831385</v>
      </c>
      <c r="E194" s="49" t="n">
        <v>105025311</v>
      </c>
      <c r="F194" s="49" t="n">
        <v>0</v>
      </c>
      <c r="G194" s="50" t="n">
        <f aca="false">IF($A194="","",IF(ISNUMBER($G193),$G193+1,1))</f>
        <v>190</v>
      </c>
      <c r="H194" s="51" t="n">
        <f aca="false">IF(OR(NOT(ISNUMBER($G194)),$G194&lt;2,NOT(ISNUMBER($C193)),$C193=0),"",$C194/$C193-1)</f>
        <v>-0.0121075367863034</v>
      </c>
      <c r="I194" s="52" t="n">
        <f aca="false">IF(AND(ISNUMBER($G194),$G194&gt;=MA_SHORT),AVERAGE(INDEX($C$5:$C194,191-MA_SHORT):$C194),"")</f>
        <v>100934333.2</v>
      </c>
      <c r="J194" s="52" t="n">
        <f aca="false">IF(AND(ISNUMBER($G194),$G194&gt;=MA_MED),AVERAGE(INDEX($C$5:$C194,191-MA_MED):$C194),"")</f>
        <v>99030519.76</v>
      </c>
      <c r="K194" s="52" t="str">
        <f aca="false">IF(AND(ISNUMBER($G194),$G194&gt;=MA_LONG2),AVERAGE(INDEX($C$5:$C194,191-MA_LONG2):$C194),"")</f>
        <v/>
      </c>
      <c r="L194" s="53" t="n">
        <f aca="false">IF(AND(ISNUMBER($G194),$G194&gt;=21),STDEV(INDEX($H$134:$H194,62-20):$H194)*SQRT(245),"")</f>
        <v>0.251335300604505</v>
      </c>
      <c r="M194" s="52" t="n">
        <f aca="false">IF(AND(ISNUMBER($G194),$G194&gt;=60),MAX(INDEX($D$5:$D194,191-60):$D194),"")</f>
        <v>107609493</v>
      </c>
      <c r="N194" s="52" t="n">
        <f aca="false">IF(AND(ISNUMBER($G194),$G194&gt;=60),MIN(INDEX($E$5:$E194,191-60):$E194),"")</f>
        <v>89337673</v>
      </c>
      <c r="O194" s="53" t="n">
        <f aca="false">IF(OR(NOT(ISNUMBER($C194)),NOT(ISNUMBER($M194)),$M194=0),"",$C194/$M194-1)</f>
        <v>-0.0232891349093151</v>
      </c>
      <c r="P194" s="54"/>
      <c r="Q194" s="53" t="str">
        <f aca="false">IF(NOT(ISNUMBER($P194)),"",IFERROR(PERCENTRANK($P$5:$P$1204,$P194),""))</f>
        <v/>
      </c>
    </row>
    <row r="195" customFormat="false" ht="15" hidden="false" customHeight="false" outlineLevel="0" collapsed="false">
      <c r="A195" s="47" t="n">
        <v>45836</v>
      </c>
      <c r="B195" s="48" t="s">
        <v>343</v>
      </c>
      <c r="C195" s="49" t="n">
        <v>104298732</v>
      </c>
      <c r="D195" s="49" t="n">
        <v>104509222</v>
      </c>
      <c r="E195" s="49" t="n">
        <v>103525498</v>
      </c>
      <c r="F195" s="49" t="n">
        <v>0</v>
      </c>
      <c r="G195" s="50" t="n">
        <f aca="false">IF($A195="","",IF(ISNUMBER($G194),$G194+1,1))</f>
        <v>191</v>
      </c>
      <c r="H195" s="51" t="n">
        <f aca="false">IF(OR(NOT(ISNUMBER($G195)),$G195&lt;2,NOT(ISNUMBER($C194)),$C194=0),"",$C195/$C194-1)</f>
        <v>-0.00765559723632436</v>
      </c>
      <c r="I195" s="52" t="n">
        <f aca="false">IF(AND(ISNUMBER($G195),$G195&gt;=MA_SHORT),AVERAGE(INDEX($C$5:$C195,192-MA_SHORT):$C195),"")</f>
        <v>100989558.25</v>
      </c>
      <c r="J195" s="52" t="n">
        <f aca="false">IF(AND(ISNUMBER($G195),$G195&gt;=MA_MED),AVERAGE(INDEX($C$5:$C195,192-MA_MED):$C195),"")</f>
        <v>99276555.12</v>
      </c>
      <c r="K195" s="52" t="str">
        <f aca="false">IF(AND(ISNUMBER($G195),$G195&gt;=MA_LONG2),AVERAGE(INDEX($C$5:$C195,192-MA_LONG2):$C195),"")</f>
        <v/>
      </c>
      <c r="L195" s="53" t="n">
        <f aca="false">IF(AND(ISNUMBER($G195),$G195&gt;=21),STDEV(INDEX($H$135:$H195,62-20):$H195)*SQRT(245),"")</f>
        <v>0.252761533040703</v>
      </c>
      <c r="M195" s="52" t="n">
        <f aca="false">IF(AND(ISNUMBER($G195),$G195&gt;=60),MAX(INDEX($D$5:$D195,192-60):$D195),"")</f>
        <v>107609493</v>
      </c>
      <c r="N195" s="52" t="n">
        <f aca="false">IF(AND(ISNUMBER($G195),$G195&gt;=60),MIN(INDEX($E$5:$E195,192-60):$E195),"")</f>
        <v>89337673</v>
      </c>
      <c r="O195" s="53" t="n">
        <f aca="false">IF(OR(NOT(ISNUMBER($C195)),NOT(ISNUMBER($M195)),$M195=0),"",$C195/$M195-1)</f>
        <v>-0.0307664399087914</v>
      </c>
      <c r="P195" s="54"/>
      <c r="Q195" s="53" t="str">
        <f aca="false">IF(NOT(ISNUMBER($P195)),"",IFERROR(PERCENTRANK($P$5:$P$1204,$P195),""))</f>
        <v/>
      </c>
    </row>
    <row r="196" customFormat="false" ht="15" hidden="false" customHeight="false" outlineLevel="0" collapsed="false">
      <c r="A196" s="47" t="n">
        <v>45837</v>
      </c>
      <c r="B196" s="48" t="s">
        <v>344</v>
      </c>
      <c r="C196" s="49" t="n">
        <v>104542380</v>
      </c>
      <c r="D196" s="49" t="n">
        <v>104715779</v>
      </c>
      <c r="E196" s="49" t="n">
        <v>103607259</v>
      </c>
      <c r="F196" s="49" t="n">
        <v>0</v>
      </c>
      <c r="G196" s="50" t="n">
        <f aca="false">IF($A196="","",IF(ISNUMBER($G195),$G195+1,1))</f>
        <v>192</v>
      </c>
      <c r="H196" s="51" t="n">
        <f aca="false">IF(OR(NOT(ISNUMBER($G196)),$G196&lt;2,NOT(ISNUMBER($C195)),$C195=0),"",$C196/$C195-1)</f>
        <v>0.00233605908075663</v>
      </c>
      <c r="I196" s="52" t="n">
        <f aca="false">IF(AND(ISNUMBER($G196),$G196&gt;=MA_SHORT),AVERAGE(INDEX($C$5:$C196,193-MA_SHORT):$C196),"")</f>
        <v>101148536.55</v>
      </c>
      <c r="J196" s="52" t="n">
        <f aca="false">IF(AND(ISNUMBER($G196),$G196&gt;=MA_MED),AVERAGE(INDEX($C$5:$C196,193-MA_MED):$C196),"")</f>
        <v>99518530.46</v>
      </c>
      <c r="K196" s="52" t="str">
        <f aca="false">IF(AND(ISNUMBER($G196),$G196&gt;=MA_LONG2),AVERAGE(INDEX($C$5:$C196,193-MA_LONG2):$C196),"")</f>
        <v/>
      </c>
      <c r="L196" s="53" t="n">
        <f aca="false">IF(AND(ISNUMBER($G196),$G196&gt;=21),STDEV(INDEX($H$136:$H196,62-20):$H196)*SQRT(245),"")</f>
        <v>0.243511142629848</v>
      </c>
      <c r="M196" s="52" t="n">
        <f aca="false">IF(AND(ISNUMBER($G196),$G196&gt;=60),MAX(INDEX($D$5:$D196,193-60):$D196),"")</f>
        <v>107609493</v>
      </c>
      <c r="N196" s="52" t="n">
        <f aca="false">IF(AND(ISNUMBER($G196),$G196&gt;=60),MIN(INDEX($E$5:$E196,193-60):$E196),"")</f>
        <v>89337673</v>
      </c>
      <c r="O196" s="53" t="n">
        <f aca="false">IF(OR(NOT(ISNUMBER($C196)),NOT(ISNUMBER($M196)),$M196=0),"",$C196/$M196-1)</f>
        <v>-0.0285022530493662</v>
      </c>
      <c r="P196" s="54"/>
      <c r="Q196" s="53" t="str">
        <f aca="false">IF(NOT(ISNUMBER($P196)),"",IFERROR(PERCENTRANK($P$5:$P$1204,$P196),""))</f>
        <v/>
      </c>
    </row>
    <row r="197" customFormat="false" ht="15" hidden="false" customHeight="false" outlineLevel="0" collapsed="false">
      <c r="A197" s="47" t="n">
        <v>45838</v>
      </c>
      <c r="B197" s="48" t="s">
        <v>345</v>
      </c>
      <c r="C197" s="49" t="n">
        <v>104362178</v>
      </c>
      <c r="D197" s="49" t="n">
        <v>105092611</v>
      </c>
      <c r="E197" s="49" t="n">
        <v>103716318</v>
      </c>
      <c r="F197" s="49" t="n">
        <v>0</v>
      </c>
      <c r="G197" s="50" t="n">
        <f aca="false">IF($A197="","",IF(ISNUMBER($G196),$G196+1,1))</f>
        <v>193</v>
      </c>
      <c r="H197" s="51" t="n">
        <f aca="false">IF(OR(NOT(ISNUMBER($G197)),$G197&lt;2,NOT(ISNUMBER($C196)),$C196=0),"",$C197/$C196-1)</f>
        <v>-0.00172372199676341</v>
      </c>
      <c r="I197" s="52" t="n">
        <f aca="false">IF(AND(ISNUMBER($G197),$G197&gt;=MA_SHORT),AVERAGE(INDEX($C$5:$C197,194-MA_SHORT):$C197),"")</f>
        <v>101285535.95</v>
      </c>
      <c r="J197" s="52" t="n">
        <f aca="false">IF(AND(ISNUMBER($G197),$G197&gt;=MA_MED),AVERAGE(INDEX($C$5:$C197,194-MA_MED):$C197),"")</f>
        <v>99744285.92</v>
      </c>
      <c r="K197" s="52" t="str">
        <f aca="false">IF(AND(ISNUMBER($G197),$G197&gt;=MA_LONG2),AVERAGE(INDEX($C$5:$C197,194-MA_LONG2):$C197),"")</f>
        <v/>
      </c>
      <c r="L197" s="53" t="n">
        <f aca="false">IF(AND(ISNUMBER($G197),$G197&gt;=21),STDEV(INDEX($H$137:$H197,62-20):$H197)*SQRT(245),"")</f>
        <v>0.243768459058122</v>
      </c>
      <c r="M197" s="52" t="n">
        <f aca="false">IF(AND(ISNUMBER($G197),$G197&gt;=60),MAX(INDEX($D$5:$D197,194-60):$D197),"")</f>
        <v>107609493</v>
      </c>
      <c r="N197" s="52" t="n">
        <f aca="false">IF(AND(ISNUMBER($G197),$G197&gt;=60),MIN(INDEX($E$5:$E197,194-60):$E197),"")</f>
        <v>90217614</v>
      </c>
      <c r="O197" s="53" t="n">
        <f aca="false">IF(OR(NOT(ISNUMBER($C197)),NOT(ISNUMBER($M197)),$M197=0),"",$C197/$M197-1)</f>
        <v>-0.0301768450855912</v>
      </c>
      <c r="P197" s="54"/>
      <c r="Q197" s="53" t="str">
        <f aca="false">IF(NOT(ISNUMBER($P197)),"",IFERROR(PERCENTRANK($P$5:$P$1204,$P197),""))</f>
        <v/>
      </c>
    </row>
    <row r="198" customFormat="false" ht="15" hidden="false" customHeight="false" outlineLevel="0" collapsed="false">
      <c r="A198" s="47" t="n">
        <v>45839</v>
      </c>
      <c r="B198" s="48" t="s">
        <v>346</v>
      </c>
      <c r="C198" s="49" t="n">
        <v>104091921</v>
      </c>
      <c r="D198" s="49" t="n">
        <v>104376322</v>
      </c>
      <c r="E198" s="49" t="n">
        <v>103767566</v>
      </c>
      <c r="F198" s="49" t="n">
        <v>0</v>
      </c>
      <c r="G198" s="50" t="n">
        <f aca="false">IF($A198="","",IF(ISNUMBER($G197),$G197+1,1))</f>
        <v>194</v>
      </c>
      <c r="H198" s="51" t="n">
        <f aca="false">IF(OR(NOT(ISNUMBER($G198)),$G198&lt;2,NOT(ISNUMBER($C197)),$C197=0),"",$C198/$C197-1)</f>
        <v>-0.00258960674431308</v>
      </c>
      <c r="I198" s="52" t="n">
        <f aca="false">IF(AND(ISNUMBER($G198),$G198&gt;=MA_SHORT),AVERAGE(INDEX($C$5:$C198,195-MA_SHORT):$C198),"")</f>
        <v>101483289.85</v>
      </c>
      <c r="J198" s="52" t="n">
        <f aca="false">IF(AND(ISNUMBER($G198),$G198&gt;=MA_MED),AVERAGE(INDEX($C$5:$C198,195-MA_MED):$C198),"")</f>
        <v>99967166.34</v>
      </c>
      <c r="K198" s="52" t="str">
        <f aca="false">IF(AND(ISNUMBER($G198),$G198&gt;=MA_LONG2),AVERAGE(INDEX($C$5:$C198,195-MA_LONG2):$C198),"")</f>
        <v/>
      </c>
      <c r="L198" s="53" t="n">
        <f aca="false">IF(AND(ISNUMBER($G198),$G198&gt;=21),STDEV(INDEX($H$138:$H198,62-20):$H198)*SQRT(245),"")</f>
        <v>0.237092900105344</v>
      </c>
      <c r="M198" s="52" t="n">
        <f aca="false">IF(AND(ISNUMBER($G198),$G198&gt;=60),MAX(INDEX($D$5:$D198,195-60):$D198),"")</f>
        <v>107609493</v>
      </c>
      <c r="N198" s="52" t="n">
        <f aca="false">IF(AND(ISNUMBER($G198),$G198&gt;=60),MIN(INDEX($E$5:$E198,195-60):$E198),"")</f>
        <v>90891577</v>
      </c>
      <c r="O198" s="53" t="n">
        <f aca="false">IF(OR(NOT(ISNUMBER($C198)),NOT(ISNUMBER($M198)),$M198=0),"",$C198/$M198-1)</f>
        <v>-0.0326883056683485</v>
      </c>
      <c r="P198" s="54"/>
      <c r="Q198" s="53" t="str">
        <f aca="false">IF(NOT(ISNUMBER($P198)),"",IFERROR(PERCENTRANK($P$5:$P$1204,$P198),""))</f>
        <v/>
      </c>
    </row>
    <row r="199" customFormat="false" ht="15" hidden="false" customHeight="false" outlineLevel="0" collapsed="false">
      <c r="A199" s="47" t="n">
        <v>45840</v>
      </c>
      <c r="B199" s="48" t="s">
        <v>347</v>
      </c>
      <c r="C199" s="49" t="n">
        <v>105921012</v>
      </c>
      <c r="D199" s="49" t="n">
        <v>105927551</v>
      </c>
      <c r="E199" s="49" t="n">
        <v>105723647</v>
      </c>
      <c r="F199" s="49" t="n">
        <v>0</v>
      </c>
      <c r="G199" s="50" t="n">
        <f aca="false">IF($A199="","",IF(ISNUMBER($G198),$G198+1,1))</f>
        <v>195</v>
      </c>
      <c r="H199" s="51" t="n">
        <f aca="false">IF(OR(NOT(ISNUMBER($G199)),$G199&lt;2,NOT(ISNUMBER($C198)),$C198=0),"",$C199/$C198-1)</f>
        <v>0.0175718824518571</v>
      </c>
      <c r="I199" s="52" t="n">
        <f aca="false">IF(AND(ISNUMBER($G199),$G199&gt;=MA_SHORT),AVERAGE(INDEX($C$5:$C199,196-MA_SHORT):$C199),"")</f>
        <v>101844666.15</v>
      </c>
      <c r="J199" s="52" t="n">
        <f aca="false">IF(AND(ISNUMBER($G199),$G199&gt;=MA_MED),AVERAGE(INDEX($C$5:$C199,196-MA_MED):$C199),"")</f>
        <v>100234470.56</v>
      </c>
      <c r="K199" s="52" t="str">
        <f aca="false">IF(AND(ISNUMBER($G199),$G199&gt;=MA_LONG2),AVERAGE(INDEX($C$5:$C199,196-MA_LONG2):$C199),"")</f>
        <v/>
      </c>
      <c r="L199" s="53" t="n">
        <f aca="false">IF(AND(ISNUMBER($G199),$G199&gt;=21),STDEV(INDEX($H$139:$H199,62-20):$H199)*SQRT(245),"")</f>
        <v>0.234877184565086</v>
      </c>
      <c r="M199" s="52" t="n">
        <f aca="false">IF(AND(ISNUMBER($G199),$G199&gt;=60),MAX(INDEX($D$5:$D199,196-60):$D199),"")</f>
        <v>107609493</v>
      </c>
      <c r="N199" s="52" t="n">
        <f aca="false">IF(AND(ISNUMBER($G199),$G199&gt;=60),MIN(INDEX($E$5:$E199,196-60):$E199),"")</f>
        <v>90891577</v>
      </c>
      <c r="O199" s="53" t="n">
        <f aca="false">IF(OR(NOT(ISNUMBER($C199)),NOT(ISNUMBER($M199)),$M199=0),"",$C199/$M199-1)</f>
        <v>-0.0156908182812459</v>
      </c>
      <c r="P199" s="54"/>
      <c r="Q199" s="53" t="str">
        <f aca="false">IF(NOT(ISNUMBER($P199)),"",IFERROR(PERCENTRANK($P$5:$P$1204,$P199),""))</f>
        <v/>
      </c>
    </row>
    <row r="200" customFormat="false" ht="15" hidden="false" customHeight="false" outlineLevel="0" collapsed="false">
      <c r="A200" s="47" t="n">
        <v>45843</v>
      </c>
      <c r="B200" s="48" t="s">
        <v>348</v>
      </c>
      <c r="C200" s="49" t="n">
        <v>104386398</v>
      </c>
      <c r="D200" s="49" t="n">
        <v>104812933</v>
      </c>
      <c r="E200" s="49" t="n">
        <v>104078924</v>
      </c>
      <c r="F200" s="49" t="n">
        <v>0</v>
      </c>
      <c r="G200" s="50" t="n">
        <f aca="false">IF($A200="","",IF(ISNUMBER($G199),$G199+1,1))</f>
        <v>196</v>
      </c>
      <c r="H200" s="51" t="n">
        <f aca="false">IF(OR(NOT(ISNUMBER($G200)),$G200&lt;2,NOT(ISNUMBER($C199)),$C199=0),"",$C200/$C199-1)</f>
        <v>-0.0144882867999788</v>
      </c>
      <c r="I200" s="52" t="n">
        <f aca="false">IF(AND(ISNUMBER($G200),$G200&gt;=MA_SHORT),AVERAGE(INDEX($C$5:$C200,197-MA_SHORT):$C200),"")</f>
        <v>102020141.95</v>
      </c>
      <c r="J200" s="52" t="n">
        <f aca="false">IF(AND(ISNUMBER($G200),$G200&gt;=MA_MED),AVERAGE(INDEX($C$5:$C200,197-MA_MED):$C200),"")</f>
        <v>100456924.6</v>
      </c>
      <c r="K200" s="52" t="str">
        <f aca="false">IF(AND(ISNUMBER($G200),$G200&gt;=MA_LONG2),AVERAGE(INDEX($C$5:$C200,197-MA_LONG2):$C200),"")</f>
        <v/>
      </c>
      <c r="L200" s="53" t="n">
        <f aca="false">IF(AND(ISNUMBER($G200),$G200&gt;=21),STDEV(INDEX($H$140:$H200,62-20):$H200)*SQRT(245),"")</f>
        <v>0.232683649707249</v>
      </c>
      <c r="M200" s="52" t="n">
        <f aca="false">IF(AND(ISNUMBER($G200),$G200&gt;=60),MAX(INDEX($D$5:$D200,197-60):$D200),"")</f>
        <v>107609493</v>
      </c>
      <c r="N200" s="52" t="n">
        <f aca="false">IF(AND(ISNUMBER($G200),$G200&gt;=60),MIN(INDEX($E$5:$E200,197-60):$E200),"")</f>
        <v>90891577</v>
      </c>
      <c r="O200" s="53" t="n">
        <f aca="false">IF(OR(NOT(ISNUMBER($C200)),NOT(ISNUMBER($M200)),$M200=0),"",$C200/$M200-1)</f>
        <v>-0.0299517720058397</v>
      </c>
      <c r="P200" s="54"/>
      <c r="Q200" s="53" t="str">
        <f aca="false">IF(NOT(ISNUMBER($P200)),"",IFERROR(PERCENTRANK($P$5:$P$1204,$P200),""))</f>
        <v/>
      </c>
    </row>
    <row r="201" customFormat="false" ht="15" hidden="false" customHeight="false" outlineLevel="0" collapsed="false">
      <c r="A201" s="47" t="n">
        <v>45844</v>
      </c>
      <c r="B201" s="48" t="s">
        <v>349</v>
      </c>
      <c r="C201" s="49" t="n">
        <v>106024064</v>
      </c>
      <c r="D201" s="49" t="n">
        <v>106396796</v>
      </c>
      <c r="E201" s="49" t="n">
        <v>105817693</v>
      </c>
      <c r="F201" s="49" t="n">
        <v>0</v>
      </c>
      <c r="G201" s="50" t="n">
        <f aca="false">IF($A201="","",IF(ISNUMBER($G200),$G200+1,1))</f>
        <v>197</v>
      </c>
      <c r="H201" s="51" t="n">
        <f aca="false">IF(OR(NOT(ISNUMBER($G201)),$G201&lt;2,NOT(ISNUMBER($C200)),$C200=0),"",$C201/$C200-1)</f>
        <v>0.0156884999518807</v>
      </c>
      <c r="I201" s="52" t="n">
        <f aca="false">IF(AND(ISNUMBER($G201),$G201&gt;=MA_SHORT),AVERAGE(INDEX($C$5:$C201,198-MA_SHORT):$C201),"")</f>
        <v>102300047</v>
      </c>
      <c r="J201" s="52" t="n">
        <f aca="false">IF(AND(ISNUMBER($G201),$G201&gt;=MA_MED),AVERAGE(INDEX($C$5:$C201,198-MA_MED):$C201),"")</f>
        <v>100684908.66</v>
      </c>
      <c r="K201" s="52" t="str">
        <f aca="false">IF(AND(ISNUMBER($G201),$G201&gt;=MA_LONG2),AVERAGE(INDEX($C$5:$C201,198-MA_LONG2):$C201),"")</f>
        <v/>
      </c>
      <c r="L201" s="53" t="n">
        <f aca="false">IF(AND(ISNUMBER($G201),$G201&gt;=21),STDEV(INDEX($H$141:$H201,62-20):$H201)*SQRT(245),"")</f>
        <v>0.236329838567325</v>
      </c>
      <c r="M201" s="52" t="n">
        <f aca="false">IF(AND(ISNUMBER($G201),$G201&gt;=60),MAX(INDEX($D$5:$D201,198-60):$D201),"")</f>
        <v>107609493</v>
      </c>
      <c r="N201" s="52" t="n">
        <f aca="false">IF(AND(ISNUMBER($G201),$G201&gt;=60),MIN(INDEX($E$5:$E201,198-60):$E201),"")</f>
        <v>91625530</v>
      </c>
      <c r="O201" s="53" t="n">
        <f aca="false">IF(OR(NOT(ISNUMBER($C201)),NOT(ISNUMBER($M201)),$M201=0),"",$C201/$M201-1)</f>
        <v>-0.0147331704276313</v>
      </c>
      <c r="P201" s="54"/>
      <c r="Q201" s="53" t="str">
        <f aca="false">IF(NOT(ISNUMBER($P201)),"",IFERROR(PERCENTRANK($P$5:$P$1204,$P201),""))</f>
        <v/>
      </c>
    </row>
    <row r="202" customFormat="false" ht="15" hidden="false" customHeight="false" outlineLevel="0" collapsed="false">
      <c r="A202" s="47" t="n">
        <v>45845</v>
      </c>
      <c r="B202" s="48" t="s">
        <v>350</v>
      </c>
      <c r="C202" s="49" t="n">
        <v>106414940</v>
      </c>
      <c r="D202" s="49" t="n">
        <v>107337675</v>
      </c>
      <c r="E202" s="49" t="n">
        <v>105911392</v>
      </c>
      <c r="F202" s="49" t="n">
        <v>0</v>
      </c>
      <c r="G202" s="50" t="n">
        <f aca="false">IF($A202="","",IF(ISNUMBER($G201),$G201+1,1))</f>
        <v>198</v>
      </c>
      <c r="H202" s="51" t="n">
        <f aca="false">IF(OR(NOT(ISNUMBER($G202)),$G202&lt;2,NOT(ISNUMBER($C201)),$C201=0),"",$C202/$C201-1)</f>
        <v>0.0036866724897473</v>
      </c>
      <c r="I202" s="52" t="n">
        <f aca="false">IF(AND(ISNUMBER($G202),$G202&gt;=MA_SHORT),AVERAGE(INDEX($C$5:$C202,199-MA_SHORT):$C202),"")</f>
        <v>102605172.55</v>
      </c>
      <c r="J202" s="52" t="n">
        <f aca="false">IF(AND(ISNUMBER($G202),$G202&gt;=MA_MED),AVERAGE(INDEX($C$5:$C202,199-MA_MED):$C202),"")</f>
        <v>100893011.9</v>
      </c>
      <c r="K202" s="52" t="str">
        <f aca="false">IF(AND(ISNUMBER($G202),$G202&gt;=MA_LONG2),AVERAGE(INDEX($C$5:$C202,199-MA_LONG2):$C202),"")</f>
        <v/>
      </c>
      <c r="L202" s="53" t="n">
        <f aca="false">IF(AND(ISNUMBER($G202),$G202&gt;=21),STDEV(INDEX($H$142:$H202,62-20):$H202)*SQRT(245),"")</f>
        <v>0.235891513181527</v>
      </c>
      <c r="M202" s="52" t="n">
        <f aca="false">IF(AND(ISNUMBER($G202),$G202&gt;=60),MAX(INDEX($D$5:$D202,199-60):$D202),"")</f>
        <v>107609493</v>
      </c>
      <c r="N202" s="52" t="n">
        <f aca="false">IF(AND(ISNUMBER($G202),$G202&gt;=60),MIN(INDEX($E$5:$E202,199-60):$E202),"")</f>
        <v>91821367</v>
      </c>
      <c r="O202" s="53" t="n">
        <f aca="false">IF(OR(NOT(ISNUMBER($C202)),NOT(ISNUMBER($M202)),$M202=0),"",$C202/$M202-1)</f>
        <v>-0.0111008143119864</v>
      </c>
      <c r="P202" s="54"/>
      <c r="Q202" s="53" t="str">
        <f aca="false">IF(NOT(ISNUMBER($P202)),"",IFERROR(PERCENTRANK($P$5:$P$1204,$P202),""))</f>
        <v/>
      </c>
    </row>
    <row r="203" customFormat="false" ht="15" hidden="false" customHeight="false" outlineLevel="0" collapsed="false">
      <c r="A203" s="47" t="n">
        <v>45846</v>
      </c>
      <c r="B203" s="48" t="s">
        <v>351</v>
      </c>
      <c r="C203" s="49" t="n">
        <v>108139696</v>
      </c>
      <c r="D203" s="49" t="n">
        <v>108469678</v>
      </c>
      <c r="E203" s="49" t="n">
        <v>107865591</v>
      </c>
      <c r="F203" s="49" t="n">
        <v>0</v>
      </c>
      <c r="G203" s="50" t="n">
        <f aca="false">IF($A203="","",IF(ISNUMBER($G202),$G202+1,1))</f>
        <v>199</v>
      </c>
      <c r="H203" s="51" t="n">
        <f aca="false">IF(OR(NOT(ISNUMBER($G203)),$G203&lt;2,NOT(ISNUMBER($C202)),$C202=0),"",$C203/$C202-1)</f>
        <v>0.0162078369822885</v>
      </c>
      <c r="I203" s="52" t="n">
        <f aca="false">IF(AND(ISNUMBER($G203),$G203&gt;=MA_SHORT),AVERAGE(INDEX($C$5:$C203,200-MA_SHORT):$C203),"")</f>
        <v>103114718.65</v>
      </c>
      <c r="J203" s="52" t="n">
        <f aca="false">IF(AND(ISNUMBER($G203),$G203&gt;=MA_MED),AVERAGE(INDEX($C$5:$C203,200-MA_MED):$C203),"")</f>
        <v>101094538.44</v>
      </c>
      <c r="K203" s="52" t="str">
        <f aca="false">IF(AND(ISNUMBER($G203),$G203&gt;=MA_LONG2),AVERAGE(INDEX($C$5:$C203,200-MA_LONG2):$C203),"")</f>
        <v/>
      </c>
      <c r="L203" s="53" t="n">
        <f aca="false">IF(AND(ISNUMBER($G203),$G203&gt;=21),STDEV(INDEX($H$143:$H203,62-20):$H203)*SQRT(245),"")</f>
        <v>0.218425721174231</v>
      </c>
      <c r="M203" s="52" t="n">
        <f aca="false">IF(AND(ISNUMBER($G203),$G203&gt;=60),MAX(INDEX($D$5:$D203,200-60):$D203),"")</f>
        <v>108469678</v>
      </c>
      <c r="N203" s="52" t="n">
        <f aca="false">IF(AND(ISNUMBER($G203),$G203&gt;=60),MIN(INDEX($E$5:$E203,200-60):$E203),"")</f>
        <v>91821367</v>
      </c>
      <c r="O203" s="53" t="n">
        <f aca="false">IF(OR(NOT(ISNUMBER($C203)),NOT(ISNUMBER($M203)),$M203=0),"",$C203/$M203-1)</f>
        <v>-0.0030421589340387</v>
      </c>
      <c r="P203" s="54"/>
      <c r="Q203" s="53" t="str">
        <f aca="false">IF(NOT(ISNUMBER($P203)),"",IFERROR(PERCENTRANK($P$5:$P$1204,$P203),""))</f>
        <v/>
      </c>
    </row>
    <row r="204" customFormat="false" ht="15" hidden="false" customHeight="false" outlineLevel="0" collapsed="false">
      <c r="A204" s="47" t="n">
        <v>45847</v>
      </c>
      <c r="B204" s="48" t="s">
        <v>352</v>
      </c>
      <c r="C204" s="49" t="n">
        <v>107868861</v>
      </c>
      <c r="D204" s="49" t="n">
        <v>108125476</v>
      </c>
      <c r="E204" s="49" t="n">
        <v>107452668</v>
      </c>
      <c r="F204" s="49" t="n">
        <v>0</v>
      </c>
      <c r="G204" s="50" t="n">
        <f aca="false">IF($A204="","",IF(ISNUMBER($G203),$G203+1,1))</f>
        <v>200</v>
      </c>
      <c r="H204" s="51" t="n">
        <f aca="false">IF(OR(NOT(ISNUMBER($G204)),$G204&lt;2,NOT(ISNUMBER($C203)),$C203=0),"",$C204/$C203-1)</f>
        <v>-0.00250449196750102</v>
      </c>
      <c r="I204" s="52" t="n">
        <f aca="false">IF(AND(ISNUMBER($G204),$G204&gt;=MA_SHORT),AVERAGE(INDEX($C$5:$C204,201-MA_SHORT):$C204),"")</f>
        <v>103677008.65</v>
      </c>
      <c r="J204" s="52" t="n">
        <f aca="false">IF(AND(ISNUMBER($G204),$G204&gt;=MA_MED),AVERAGE(INDEX($C$5:$C204,201-MA_MED):$C204),"")</f>
        <v>101324733.68</v>
      </c>
      <c r="K204" s="52" t="n">
        <f aca="false">IF(AND(ISNUMBER($G204),$G204&gt;=MA_LONG2),AVERAGE(INDEX($C$5:$C204,201-MA_LONG2):$C204),"")</f>
        <v>91621306.21</v>
      </c>
      <c r="L204" s="53" t="n">
        <f aca="false">IF(AND(ISNUMBER($G204),$G204&gt;=21),STDEV(INDEX($H$144:$H204,62-20):$H204)*SQRT(245),"")</f>
        <v>0.209553349035573</v>
      </c>
      <c r="M204" s="52" t="n">
        <f aca="false">IF(AND(ISNUMBER($G204),$G204&gt;=60),MAX(INDEX($D$5:$D204,201-60):$D204),"")</f>
        <v>108469678</v>
      </c>
      <c r="N204" s="52" t="n">
        <f aca="false">IF(AND(ISNUMBER($G204),$G204&gt;=60),MIN(INDEX($E$5:$E204,201-60):$E204),"")</f>
        <v>91821367</v>
      </c>
      <c r="O204" s="53" t="n">
        <f aca="false">IF(OR(NOT(ISNUMBER($C204)),NOT(ISNUMBER($M204)),$M204=0),"",$C204/$M204-1)</f>
        <v>-0.00553903183892557</v>
      </c>
      <c r="P204" s="54"/>
      <c r="Q204" s="53" t="str">
        <f aca="false">IF(NOT(ISNUMBER($P204)),"",IFERROR(PERCENTRANK($P$5:$P$1204,$P204),""))</f>
        <v/>
      </c>
    </row>
    <row r="205" customFormat="false" ht="15" hidden="false" customHeight="false" outlineLevel="0" collapsed="false">
      <c r="A205" s="47" t="n">
        <v>45850</v>
      </c>
      <c r="B205" s="48" t="s">
        <v>353</v>
      </c>
      <c r="C205" s="49" t="n">
        <v>109400778</v>
      </c>
      <c r="D205" s="49" t="n">
        <v>109760467</v>
      </c>
      <c r="E205" s="49" t="n">
        <v>109127781</v>
      </c>
      <c r="F205" s="49" t="n">
        <v>0</v>
      </c>
      <c r="G205" s="50" t="n">
        <f aca="false">IF($A205="","",IF(ISNUMBER($G204),$G204+1,1))</f>
        <v>201</v>
      </c>
      <c r="H205" s="51" t="n">
        <f aca="false">IF(OR(NOT(ISNUMBER($G205)),$G205&lt;2,NOT(ISNUMBER($C204)),$C204=0),"",$C205/$C204-1)</f>
        <v>0.0142016610335767</v>
      </c>
      <c r="I205" s="52" t="n">
        <f aca="false">IF(AND(ISNUMBER($G205),$G205&gt;=MA_SHORT),AVERAGE(INDEX($C$5:$C205,202-MA_SHORT):$C205),"")</f>
        <v>104320359.4</v>
      </c>
      <c r="J205" s="52" t="n">
        <f aca="false">IF(AND(ISNUMBER($G205),$G205&gt;=MA_MED),AVERAGE(INDEX($C$5:$C205,202-MA_MED):$C205),"")</f>
        <v>101608406.18</v>
      </c>
      <c r="K205" s="52" t="n">
        <f aca="false">IF(AND(ISNUMBER($G205),$G205&gt;=MA_LONG2),AVERAGE(INDEX($C$5:$C205,202-MA_LONG2):$C205),"")</f>
        <v>91780652.055</v>
      </c>
      <c r="L205" s="53" t="n">
        <f aca="false">IF(AND(ISNUMBER($G205),$G205&gt;=21),STDEV(INDEX($H$145:$H205,62-20):$H205)*SQRT(245),"")</f>
        <v>0.210162963865005</v>
      </c>
      <c r="M205" s="52" t="n">
        <f aca="false">IF(AND(ISNUMBER($G205),$G205&gt;=60),MAX(INDEX($D$5:$D205,202-60):$D205),"")</f>
        <v>109760467</v>
      </c>
      <c r="N205" s="52" t="n">
        <f aca="false">IF(AND(ISNUMBER($G205),$G205&gt;=60),MIN(INDEX($E$5:$E205,202-60):$E205),"")</f>
        <v>92270904</v>
      </c>
      <c r="O205" s="53" t="n">
        <f aca="false">IF(OR(NOT(ISNUMBER($C205)),NOT(ISNUMBER($M205)),$M205=0),"",$C205/$M205-1)</f>
        <v>-0.00327703598418549</v>
      </c>
      <c r="P205" s="54"/>
      <c r="Q205" s="53" t="str">
        <f aca="false">IF(NOT(ISNUMBER($P205)),"",IFERROR(PERCENTRANK($P$5:$P$1204,$P205),""))</f>
        <v/>
      </c>
    </row>
    <row r="206" customFormat="false" ht="15" hidden="false" customHeight="false" outlineLevel="0" collapsed="false">
      <c r="A206" s="47" t="n">
        <v>45851</v>
      </c>
      <c r="B206" s="48" t="s">
        <v>354</v>
      </c>
      <c r="C206" s="49" t="n">
        <v>110236850</v>
      </c>
      <c r="D206" s="49" t="n">
        <v>110443654</v>
      </c>
      <c r="E206" s="49" t="n">
        <v>109978350</v>
      </c>
      <c r="F206" s="49" t="n">
        <v>0</v>
      </c>
      <c r="G206" s="50" t="n">
        <f aca="false">IF($A206="","",IF(ISNUMBER($G205),$G205+1,1))</f>
        <v>202</v>
      </c>
      <c r="H206" s="51" t="n">
        <f aca="false">IF(OR(NOT(ISNUMBER($G206)),$G206&lt;2,NOT(ISNUMBER($C205)),$C205=0),"",$C206/$C205-1)</f>
        <v>0.0076422856883156</v>
      </c>
      <c r="I206" s="52" t="n">
        <f aca="false">IF(AND(ISNUMBER($G206),$G206&gt;=MA_SHORT),AVERAGE(INDEX($C$5:$C206,203-MA_SHORT):$C206),"")</f>
        <v>104848690.3</v>
      </c>
      <c r="J206" s="52" t="n">
        <f aca="false">IF(AND(ISNUMBER($G206),$G206&gt;=MA_MED),AVERAGE(INDEX($C$5:$C206,203-MA_MED):$C206),"")</f>
        <v>101885833.8</v>
      </c>
      <c r="K206" s="52" t="n">
        <f aca="false">IF(AND(ISNUMBER($G206),$G206&gt;=MA_LONG2),AVERAGE(INDEX($C$5:$C206,203-MA_LONG2):$C206),"")</f>
        <v>91934187.65</v>
      </c>
      <c r="L206" s="53" t="n">
        <f aca="false">IF(AND(ISNUMBER($G206),$G206&gt;=21),STDEV(INDEX($H$146:$H206,62-20):$H206)*SQRT(245),"")</f>
        <v>0.187049086323818</v>
      </c>
      <c r="M206" s="52" t="n">
        <f aca="false">IF(AND(ISNUMBER($G206),$G206&gt;=60),MAX(INDEX($D$6:$D206,202-60):$D206),"")</f>
        <v>110443654</v>
      </c>
      <c r="N206" s="52" t="n">
        <f aca="false">IF(AND(ISNUMBER($G206),$G206&gt;=60),MIN(INDEX($E$6:$E206,202-60):$E206),"")</f>
        <v>92371995</v>
      </c>
      <c r="O206" s="53" t="n">
        <f aca="false">IF(OR(NOT(ISNUMBER($C206)),NOT(ISNUMBER($M206)),$M206=0),"",$C206/$M206-1)</f>
        <v>-0.00187248422621</v>
      </c>
      <c r="P206" s="54"/>
      <c r="Q206" s="53" t="str">
        <f aca="false">IF(NOT(ISNUMBER($P206)),"",IFERROR(PERCENTRANK($P$5:$P$1204,$P206),""))</f>
        <v/>
      </c>
    </row>
    <row r="207" customFormat="false" ht="15" hidden="false" customHeight="false" outlineLevel="0" collapsed="false">
      <c r="A207" s="47" t="n">
        <v>45852</v>
      </c>
      <c r="B207" s="48" t="s">
        <v>355</v>
      </c>
      <c r="C207" s="49" t="n">
        <v>111667599</v>
      </c>
      <c r="D207" s="49" t="n">
        <v>111982569</v>
      </c>
      <c r="E207" s="49" t="n">
        <v>111430079</v>
      </c>
      <c r="F207" s="49" t="n">
        <v>0</v>
      </c>
      <c r="G207" s="50" t="n">
        <f aca="false">IF($A207="","",IF(ISNUMBER($G206),$G206+1,1))</f>
        <v>203</v>
      </c>
      <c r="H207" s="51" t="n">
        <f aca="false">IF(OR(NOT(ISNUMBER($G207)),$G207&lt;2,NOT(ISNUMBER($C206)),$C206=0),"",$C207/$C206-1)</f>
        <v>0.0129788632385632</v>
      </c>
      <c r="I207" s="52" t="n">
        <f aca="false">IF(AND(ISNUMBER($G207),$G207&gt;=MA_SHORT),AVERAGE(INDEX($C$5:$C207,204-MA_SHORT):$C207),"")</f>
        <v>105449541.15</v>
      </c>
      <c r="J207" s="52" t="n">
        <f aca="false">IF(AND(ISNUMBER($G207),$G207&gt;=MA_MED),AVERAGE(INDEX($C$5:$C207,204-MA_MED):$C207),"")</f>
        <v>102219187.76</v>
      </c>
      <c r="K207" s="52" t="n">
        <f aca="false">IF(AND(ISNUMBER($G207),$G207&gt;=MA_LONG2),AVERAGE(INDEX($C$5:$C207,204-MA_LONG2):$C207),"")</f>
        <v>92099323.975</v>
      </c>
      <c r="L207" s="53" t="n">
        <f aca="false">IF(AND(ISNUMBER($G207),$G207&gt;=21),STDEV(INDEX($H$147:$H207,62-20):$H207)*SQRT(245),"")</f>
        <v>0.187903613511032</v>
      </c>
      <c r="M207" s="52" t="n">
        <f aca="false">IF(AND(ISNUMBER($G207),$G207&gt;=60),MAX(INDEX($D$7:$D207,202-60):$D207),"")</f>
        <v>111982569</v>
      </c>
      <c r="N207" s="52" t="n">
        <f aca="false">IF(AND(ISNUMBER($G207),$G207&gt;=60),MIN(INDEX($E$7:$E207,202-60):$E207),"")</f>
        <v>92371995</v>
      </c>
      <c r="O207" s="53" t="n">
        <f aca="false">IF(OR(NOT(ISNUMBER($C207)),NOT(ISNUMBER($M207)),$M207=0),"",$C207/$M207-1)</f>
        <v>-0.00281266988972184</v>
      </c>
      <c r="P207" s="54"/>
      <c r="Q207" s="53" t="str">
        <f aca="false">IF(NOT(ISNUMBER($P207)),"",IFERROR(PERCENTRANK($P$5:$P$1204,$P207),""))</f>
        <v/>
      </c>
    </row>
    <row r="208" customFormat="false" ht="15" hidden="false" customHeight="false" outlineLevel="0" collapsed="false">
      <c r="A208" s="47" t="n">
        <v>45853</v>
      </c>
      <c r="B208" s="48" t="s">
        <v>356</v>
      </c>
      <c r="C208" s="49" t="n">
        <v>111520039</v>
      </c>
      <c r="D208" s="49" t="n">
        <v>111641462</v>
      </c>
      <c r="E208" s="49" t="n">
        <v>111348043</v>
      </c>
      <c r="F208" s="49" t="n">
        <v>0</v>
      </c>
      <c r="G208" s="50" t="n">
        <f aca="false">IF($A208="","",IF(ISNUMBER($G207),$G207+1,1))</f>
        <v>204</v>
      </c>
      <c r="H208" s="51" t="n">
        <f aca="false">IF(OR(NOT(ISNUMBER($G208)),$G208&lt;2,NOT(ISNUMBER($C207)),$C207=0),"",$C208/$C207-1)</f>
        <v>-0.00132142180293493</v>
      </c>
      <c r="I208" s="52" t="n">
        <f aca="false">IF(AND(ISNUMBER($G208),$G208&gt;=MA_SHORT),AVERAGE(INDEX($C$5:$C208,205-MA_SHORT):$C208),"")</f>
        <v>106118957.4</v>
      </c>
      <c r="J208" s="52" t="n">
        <f aca="false">IF(AND(ISNUMBER($G208),$G208&gt;=MA_MED),AVERAGE(INDEX($C$5:$C208,205-MA_MED):$C208),"")</f>
        <v>102512143.86</v>
      </c>
      <c r="K208" s="52" t="n">
        <f aca="false">IF(AND(ISNUMBER($G208),$G208&gt;=MA_LONG2),AVERAGE(INDEX($C$5:$C208,205-MA_LONG2):$C208),"")</f>
        <v>92270024.06</v>
      </c>
      <c r="L208" s="53" t="n">
        <f aca="false">IF(AND(ISNUMBER($G208),$G208&gt;=21),STDEV(INDEX($H$148:$H208,62-20):$H208)*SQRT(245),"")</f>
        <v>0.173596097079637</v>
      </c>
      <c r="M208" s="52" t="n">
        <f aca="false">IF(AND(ISNUMBER($G208),$G208&gt;=60),MAX(INDEX($D$8:$D208,202-60):$D208),"")</f>
        <v>111982569</v>
      </c>
      <c r="N208" s="52" t="n">
        <f aca="false">IF(AND(ISNUMBER($G208),$G208&gt;=60),MIN(INDEX($E$8:$E208,202-60):$E208),"")</f>
        <v>92371995</v>
      </c>
      <c r="O208" s="53" t="n">
        <f aca="false">IF(OR(NOT(ISNUMBER($C208)),NOT(ISNUMBER($M208)),$M208=0),"",$C208/$M208-1)</f>
        <v>-0.0041303749693401</v>
      </c>
      <c r="P208" s="54"/>
      <c r="Q208" s="53" t="str">
        <f aca="false">IF(NOT(ISNUMBER($P208)),"",IFERROR(PERCENTRANK($P$5:$P$1204,$P208),""))</f>
        <v/>
      </c>
    </row>
    <row r="209" customFormat="false" ht="15" hidden="false" customHeight="false" outlineLevel="0" collapsed="false">
      <c r="A209" s="47" t="n">
        <v>45854</v>
      </c>
      <c r="B209" s="48" t="s">
        <v>357</v>
      </c>
      <c r="C209" s="49" t="n">
        <v>111046841</v>
      </c>
      <c r="D209" s="49" t="n">
        <v>111603701</v>
      </c>
      <c r="E209" s="49" t="n">
        <v>111016552</v>
      </c>
      <c r="F209" s="49" t="n">
        <v>0</v>
      </c>
      <c r="G209" s="50" t="n">
        <f aca="false">IF($A209="","",IF(ISNUMBER($G208),$G208+1,1))</f>
        <v>205</v>
      </c>
      <c r="H209" s="51" t="n">
        <f aca="false">IF(OR(NOT(ISNUMBER($G209)),$G209&lt;2,NOT(ISNUMBER($C208)),$C208=0),"",$C209/$C208-1)</f>
        <v>-0.00424316566101635</v>
      </c>
      <c r="I209" s="52" t="n">
        <f aca="false">IF(AND(ISNUMBER($G209),$G209&gt;=MA_SHORT),AVERAGE(INDEX($C$5:$C209,206-MA_SHORT):$C209),"")</f>
        <v>106665266.3</v>
      </c>
      <c r="J209" s="52" t="n">
        <f aca="false">IF(AND(ISNUMBER($G209),$G209&gt;=MA_MED),AVERAGE(INDEX($C$5:$C209,206-MA_MED):$C209),"")</f>
        <v>102792483.98</v>
      </c>
      <c r="K209" s="52" t="n">
        <f aca="false">IF(AND(ISNUMBER($G209),$G209&gt;=MA_LONG2),AVERAGE(INDEX($C$5:$C209,206-MA_LONG2):$C209),"")</f>
        <v>92435130.63</v>
      </c>
      <c r="L209" s="53" t="n">
        <f aca="false">IF(AND(ISNUMBER($G209),$G209&gt;=21),STDEV(INDEX($H$149:$H209,62-20):$H209)*SQRT(245),"")</f>
        <v>0.169632850417811</v>
      </c>
      <c r="M209" s="52" t="n">
        <f aca="false">IF(AND(ISNUMBER($G209),$G209&gt;=60),MAX(INDEX($D$9:$D209,202-60):$D209),"")</f>
        <v>111982569</v>
      </c>
      <c r="N209" s="52" t="n">
        <f aca="false">IF(AND(ISNUMBER($G209),$G209&gt;=60),MIN(INDEX($E$9:$E209,202-60):$E209),"")</f>
        <v>93056946</v>
      </c>
      <c r="O209" s="53" t="n">
        <f aca="false">IF(OR(NOT(ISNUMBER($C209)),NOT(ISNUMBER($M209)),$M209=0),"",$C209/$M209-1)</f>
        <v>-0.00835601476511938</v>
      </c>
      <c r="P209" s="54"/>
      <c r="Q209" s="53" t="str">
        <f aca="false">IF(NOT(ISNUMBER($P209)),"",IFERROR(PERCENTRANK($P$5:$P$1204,$P209),""))</f>
        <v/>
      </c>
    </row>
    <row r="210" customFormat="false" ht="15" hidden="false" customHeight="false" outlineLevel="0" collapsed="false">
      <c r="A210" s="47" t="n">
        <v>45857</v>
      </c>
      <c r="B210" s="48" t="s">
        <v>358</v>
      </c>
      <c r="C210" s="49" t="n">
        <v>109231490</v>
      </c>
      <c r="D210" s="49" t="n">
        <v>109234439</v>
      </c>
      <c r="E210" s="49" t="n">
        <v>108790925</v>
      </c>
      <c r="F210" s="49" t="n">
        <v>0</v>
      </c>
      <c r="G210" s="50" t="n">
        <f aca="false">IF($A210="","",IF(ISNUMBER($G209),$G209+1,1))</f>
        <v>206</v>
      </c>
      <c r="H210" s="51" t="n">
        <f aca="false">IF(OR(NOT(ISNUMBER($G210)),$G210&lt;2,NOT(ISNUMBER($C209)),$C209=0),"",$C210/$C209-1)</f>
        <v>-0.0163476149672731</v>
      </c>
      <c r="I210" s="52" t="n">
        <f aca="false">IF(AND(ISNUMBER($G210),$G210&gt;=MA_SHORT),AVERAGE(INDEX($C$5:$C210,207-MA_SHORT):$C210),"")</f>
        <v>106998282.65</v>
      </c>
      <c r="J210" s="52" t="n">
        <f aca="false">IF(AND(ISNUMBER($G210),$G210&gt;=MA_MED),AVERAGE(INDEX($C$5:$C210,207-MA_MED):$C210),"")</f>
        <v>103050347.02</v>
      </c>
      <c r="K210" s="52" t="n">
        <f aca="false">IF(AND(ISNUMBER($G210),$G210&gt;=MA_LONG2),AVERAGE(INDEX($C$5:$C210,207-MA_LONG2):$C210),"")</f>
        <v>92588418.785</v>
      </c>
      <c r="L210" s="53" t="n">
        <f aca="false">IF(AND(ISNUMBER($G210),$G210&gt;=21),STDEV(INDEX($H$150:$H210,62-20):$H210)*SQRT(245),"")</f>
        <v>0.170138819387838</v>
      </c>
      <c r="M210" s="52" t="n">
        <f aca="false">IF(AND(ISNUMBER($G210),$G210&gt;=60),MAX(INDEX($D$10:$D210,202-60):$D210),"")</f>
        <v>111982569</v>
      </c>
      <c r="N210" s="52" t="n">
        <f aca="false">IF(AND(ISNUMBER($G210),$G210&gt;=60),MIN(INDEX($E$10:$E210,202-60):$E210),"")</f>
        <v>94062366</v>
      </c>
      <c r="O210" s="53" t="n">
        <f aca="false">IF(OR(NOT(ISNUMBER($C210)),NOT(ISNUMBER($M210)),$M210=0),"",$C210/$M210-1)</f>
        <v>-0.0245670288203514</v>
      </c>
      <c r="P210" s="54"/>
      <c r="Q210" s="53" t="str">
        <f aca="false">IF(NOT(ISNUMBER($P210)),"",IFERROR(PERCENTRANK($P$5:$P$1204,$P210),""))</f>
        <v/>
      </c>
    </row>
    <row r="211" customFormat="false" ht="15" hidden="false" customHeight="false" outlineLevel="0" collapsed="false">
      <c r="A211" s="47" t="n">
        <v>45858</v>
      </c>
      <c r="B211" s="48" t="s">
        <v>359</v>
      </c>
      <c r="C211" s="49" t="n">
        <v>107155206</v>
      </c>
      <c r="D211" s="49" t="n">
        <v>107882864</v>
      </c>
      <c r="E211" s="49" t="n">
        <v>106919034</v>
      </c>
      <c r="F211" s="49" t="n">
        <v>0</v>
      </c>
      <c r="G211" s="50" t="n">
        <f aca="false">IF($A211="","",IF(ISNUMBER($G210),$G210+1,1))</f>
        <v>207</v>
      </c>
      <c r="H211" s="51" t="n">
        <f aca="false">IF(OR(NOT(ISNUMBER($G211)),$G211&lt;2,NOT(ISNUMBER($C210)),$C210=0),"",$C211/$C210-1)</f>
        <v>-0.0190081083760736</v>
      </c>
      <c r="I211" s="52" t="n">
        <f aca="false">IF(AND(ISNUMBER($G211),$G211&gt;=MA_SHORT),AVERAGE(INDEX($C$5:$C211,208-MA_SHORT):$C211),"")</f>
        <v>107161336.85</v>
      </c>
      <c r="J211" s="52" t="n">
        <f aca="false">IF(AND(ISNUMBER($G211),$G211&gt;=MA_MED),AVERAGE(INDEX($C$5:$C211,208-MA_MED):$C211),"")</f>
        <v>103239695.64</v>
      </c>
      <c r="K211" s="52" t="n">
        <f aca="false">IF(AND(ISNUMBER($G211),$G211&gt;=MA_LONG2),AVERAGE(INDEX($C$5:$C211,208-MA_LONG2):$C211),"")</f>
        <v>92734982.355</v>
      </c>
      <c r="L211" s="53" t="n">
        <f aca="false">IF(AND(ISNUMBER($G211),$G211&gt;=21),STDEV(INDEX($H$151:$H211,62-20):$H211)*SQRT(245),"")</f>
        <v>0.182875013137835</v>
      </c>
      <c r="M211" s="52" t="n">
        <f aca="false">IF(AND(ISNUMBER($G211),$G211&gt;=60),MAX(INDEX($D$11:$D211,202-60):$D211),"")</f>
        <v>111982569</v>
      </c>
      <c r="N211" s="52" t="n">
        <f aca="false">IF(AND(ISNUMBER($G211),$G211&gt;=60),MIN(INDEX($E$11:$E211,202-60):$E211),"")</f>
        <v>94759992</v>
      </c>
      <c r="O211" s="53" t="n">
        <f aca="false">IF(OR(NOT(ISNUMBER($C211)),NOT(ISNUMBER($M211)),$M211=0),"",$C211/$M211-1)</f>
        <v>-0.0431081644501298</v>
      </c>
      <c r="P211" s="54"/>
      <c r="Q211" s="53" t="str">
        <f aca="false">IF(NOT(ISNUMBER($P211)),"",IFERROR(PERCENTRANK($P$5:$P$1204,$P211),""))</f>
        <v/>
      </c>
    </row>
    <row r="212" customFormat="false" ht="15" hidden="false" customHeight="false" outlineLevel="0" collapsed="false">
      <c r="A212" s="47" t="n">
        <v>45859</v>
      </c>
      <c r="B212" s="48" t="s">
        <v>360</v>
      </c>
      <c r="C212" s="49" t="n">
        <v>104732930</v>
      </c>
      <c r="D212" s="49" t="n">
        <v>105320847</v>
      </c>
      <c r="E212" s="49" t="n">
        <v>103834859</v>
      </c>
      <c r="F212" s="49" t="n">
        <v>0</v>
      </c>
      <c r="G212" s="50" t="n">
        <f aca="false">IF($A212="","",IF(ISNUMBER($G211),$G211+1,1))</f>
        <v>208</v>
      </c>
      <c r="H212" s="51" t="n">
        <f aca="false">IF(OR(NOT(ISNUMBER($G212)),$G212&lt;2,NOT(ISNUMBER($C211)),$C211=0),"",$C212/$C211-1)</f>
        <v>-0.0226053039364228</v>
      </c>
      <c r="I212" s="52" t="n">
        <f aca="false">IF(AND(ISNUMBER($G212),$G212&gt;=MA_SHORT),AVERAGE(INDEX($C$5:$C212,209-MA_SHORT):$C212),"")</f>
        <v>107126838.8</v>
      </c>
      <c r="J212" s="52" t="n">
        <f aca="false">IF(AND(ISNUMBER($G212),$G212&gt;=MA_MED),AVERAGE(INDEX($C$5:$C212,209-MA_MED):$C212),"")</f>
        <v>103349343.56</v>
      </c>
      <c r="K212" s="52" t="n">
        <f aca="false">IF(AND(ISNUMBER($G212),$G212&gt;=MA_LONG2),AVERAGE(INDEX($C$5:$C212,209-MA_LONG2):$C212),"")</f>
        <v>92865847.755</v>
      </c>
      <c r="L212" s="53" t="n">
        <f aca="false">IF(AND(ISNUMBER($G212),$G212&gt;=21),STDEV(INDEX($H$152:$H212,62-20):$H212)*SQRT(245),"")</f>
        <v>0.194662167645824</v>
      </c>
      <c r="M212" s="52" t="n">
        <f aca="false">IF(AND(ISNUMBER($G212),$G212&gt;=60),MAX(INDEX($D$12:$D212,202-60):$D212),"")</f>
        <v>111982569</v>
      </c>
      <c r="N212" s="52" t="n">
        <f aca="false">IF(AND(ISNUMBER($G212),$G212&gt;=60),MIN(INDEX($E$12:$E212,202-60):$E212),"")</f>
        <v>94759992</v>
      </c>
      <c r="O212" s="53" t="n">
        <f aca="false">IF(OR(NOT(ISNUMBER($C212)),NOT(ISNUMBER($M212)),$M212=0),"",$C212/$M212-1)</f>
        <v>-0.0647389952270161</v>
      </c>
      <c r="P212" s="54"/>
      <c r="Q212" s="53" t="str">
        <f aca="false">IF(NOT(ISNUMBER($P212)),"",IFERROR(PERCENTRANK($P$5:$P$1204,$P212),""))</f>
        <v/>
      </c>
    </row>
    <row r="213" customFormat="false" ht="15" hidden="false" customHeight="false" outlineLevel="0" collapsed="false">
      <c r="A213" s="47" t="n">
        <v>45860</v>
      </c>
      <c r="B213" s="48" t="s">
        <v>361</v>
      </c>
      <c r="C213" s="49" t="n">
        <v>104830390</v>
      </c>
      <c r="D213" s="49" t="n">
        <v>104841112</v>
      </c>
      <c r="E213" s="49" t="n">
        <v>104727235</v>
      </c>
      <c r="F213" s="49" t="n">
        <v>0</v>
      </c>
      <c r="G213" s="50" t="n">
        <f aca="false">IF($A213="","",IF(ISNUMBER($G212),$G212+1,1))</f>
        <v>209</v>
      </c>
      <c r="H213" s="51" t="n">
        <f aca="false">IF(OR(NOT(ISNUMBER($G213)),$G213&lt;2,NOT(ISNUMBER($C212)),$C212=0),"",$C213/$C212-1)</f>
        <v>0.00093055737101988</v>
      </c>
      <c r="I213" s="52" t="n">
        <f aca="false">IF(AND(ISNUMBER($G213),$G213&gt;=MA_SHORT),AVERAGE(INDEX($C$5:$C213,210-MA_SHORT):$C213),"")</f>
        <v>107048783.3</v>
      </c>
      <c r="J213" s="52" t="n">
        <f aca="false">IF(AND(ISNUMBER($G213),$G213&gt;=MA_MED),AVERAGE(INDEX($C$5:$C213,210-MA_MED):$C213),"")</f>
        <v>103442802.04</v>
      </c>
      <c r="K213" s="52" t="n">
        <f aca="false">IF(AND(ISNUMBER($G213),$G213&gt;=MA_LONG2),AVERAGE(INDEX($C$5:$C213,210-MA_LONG2):$C213),"")</f>
        <v>92994919.03</v>
      </c>
      <c r="L213" s="53" t="n">
        <f aca="false">IF(AND(ISNUMBER($G213),$G213&gt;=21),STDEV(INDEX($H$153:$H213,62-20):$H213)*SQRT(245),"")</f>
        <v>0.191618910441538</v>
      </c>
      <c r="M213" s="52" t="n">
        <f aca="false">IF(AND(ISNUMBER($G213),$G213&gt;=60),MAX(INDEX($D$13:$D213,202-60):$D213),"")</f>
        <v>111982569</v>
      </c>
      <c r="N213" s="52" t="n">
        <f aca="false">IF(AND(ISNUMBER($G213),$G213&gt;=60),MIN(INDEX($E$13:$E213,202-60):$E213),"")</f>
        <v>94759992</v>
      </c>
      <c r="O213" s="53" t="n">
        <f aca="false">IF(OR(NOT(ISNUMBER($C213)),NOT(ISNUMBER($M213)),$M213=0),"",$C213/$M213-1)</f>
        <v>-0.0638686812051972</v>
      </c>
      <c r="P213" s="54"/>
      <c r="Q213" s="53" t="str">
        <f aca="false">IF(NOT(ISNUMBER($P213)),"",IFERROR(PERCENTRANK($P$5:$P$1204,$P213),""))</f>
        <v/>
      </c>
    </row>
    <row r="214" customFormat="false" ht="15" hidden="false" customHeight="false" outlineLevel="0" collapsed="false">
      <c r="A214" s="47" t="n">
        <v>45861</v>
      </c>
      <c r="B214" s="48" t="s">
        <v>362</v>
      </c>
      <c r="C214" s="49" t="n">
        <v>105109759</v>
      </c>
      <c r="D214" s="49" t="n">
        <v>105336209</v>
      </c>
      <c r="E214" s="49" t="n">
        <v>104930686</v>
      </c>
      <c r="F214" s="49" t="n">
        <v>0</v>
      </c>
      <c r="G214" s="50" t="n">
        <f aca="false">IF($A214="","",IF(ISNUMBER($G213),$G213+1,1))</f>
        <v>210</v>
      </c>
      <c r="H214" s="51" t="n">
        <f aca="false">IF(OR(NOT(ISNUMBER($G214)),$G214&lt;2,NOT(ISNUMBER($C213)),$C213=0),"",$C214/$C213-1)</f>
        <v>0.00266496194471855</v>
      </c>
      <c r="I214" s="52" t="n">
        <f aca="false">IF(AND(ISNUMBER($G214),$G214&gt;=MA_SHORT),AVERAGE(INDEX($C$5:$C214,211-MA_SHORT):$C214),"")</f>
        <v>107049103.2</v>
      </c>
      <c r="J214" s="52" t="n">
        <f aca="false">IF(AND(ISNUMBER($G214),$G214&gt;=MA_MED),AVERAGE(INDEX($C$5:$C214,211-MA_MED):$C214),"")</f>
        <v>103552266</v>
      </c>
      <c r="K214" s="52" t="n">
        <f aca="false">IF(AND(ISNUMBER($G214),$G214&gt;=MA_LONG2),AVERAGE(INDEX($C$5:$C214,211-MA_LONG2):$C214),"")</f>
        <v>93133277.695</v>
      </c>
      <c r="L214" s="53" t="n">
        <f aca="false">IF(AND(ISNUMBER($G214),$G214&gt;=21),STDEV(INDEX($H$154:$H214,62-20):$H214)*SQRT(245),"")</f>
        <v>0.187170314823941</v>
      </c>
      <c r="M214" s="52" t="n">
        <f aca="false">IF(AND(ISNUMBER($G214),$G214&gt;=60),MAX(INDEX($D$14:$D214,202-60):$D214),"")</f>
        <v>111982569</v>
      </c>
      <c r="N214" s="52" t="n">
        <f aca="false">IF(AND(ISNUMBER($G214),$G214&gt;=60),MIN(INDEX($E$14:$E214,202-60):$E214),"")</f>
        <v>94759992</v>
      </c>
      <c r="O214" s="53" t="n">
        <f aca="false">IF(OR(NOT(ISNUMBER($C214)),NOT(ISNUMBER($M214)),$M214=0),"",$C214/$M214-1)</f>
        <v>-0.0613739268653499</v>
      </c>
      <c r="P214" s="54"/>
      <c r="Q214" s="53" t="str">
        <f aca="false">IF(NOT(ISNUMBER($P214)),"",IFERROR(PERCENTRANK($P$5:$P$1204,$P214),""))</f>
        <v/>
      </c>
    </row>
    <row r="215" customFormat="false" ht="15" hidden="false" customHeight="false" outlineLevel="0" collapsed="false">
      <c r="A215" s="47" t="n">
        <v>45864</v>
      </c>
      <c r="B215" s="48" t="s">
        <v>363</v>
      </c>
      <c r="C215" s="49" t="n">
        <v>103442989</v>
      </c>
      <c r="D215" s="49" t="n">
        <v>103570613</v>
      </c>
      <c r="E215" s="49" t="n">
        <v>103389043</v>
      </c>
      <c r="F215" s="49" t="n">
        <v>0</v>
      </c>
      <c r="G215" s="50" t="n">
        <f aca="false">IF($A215="","",IF(ISNUMBER($G214),$G214+1,1))</f>
        <v>211</v>
      </c>
      <c r="H215" s="51" t="n">
        <f aca="false">IF(OR(NOT(ISNUMBER($G215)),$G215&lt;2,NOT(ISNUMBER($C214)),$C214=0),"",$C215/$C214-1)</f>
        <v>-0.0158574238572843</v>
      </c>
      <c r="I215" s="52" t="n">
        <f aca="false">IF(AND(ISNUMBER($G215),$G215&gt;=MA_SHORT),AVERAGE(INDEX($C$5:$C215,212-MA_SHORT):$C215),"")</f>
        <v>107006316.05</v>
      </c>
      <c r="J215" s="52" t="n">
        <f aca="false">IF(AND(ISNUMBER($G215),$G215&gt;=MA_MED),AVERAGE(INDEX($C$5:$C215,212-MA_MED):$C215),"")</f>
        <v>103624127.24</v>
      </c>
      <c r="K215" s="52" t="n">
        <f aca="false">IF(AND(ISNUMBER($G215),$G215&gt;=MA_LONG2),AVERAGE(INDEX($C$5:$C215,212-MA_LONG2):$C215),"")</f>
        <v>93255023.725</v>
      </c>
      <c r="L215" s="53" t="n">
        <f aca="false">IF(AND(ISNUMBER($G215),$G215&gt;=21),STDEV(INDEX($H$155:$H215,62-20):$H215)*SQRT(245),"")</f>
        <v>0.193626290731914</v>
      </c>
      <c r="M215" s="52" t="n">
        <f aca="false">IF(AND(ISNUMBER($G215),$G215&gt;=60),MAX(INDEX($D$15:$D215,202-60):$D215),"")</f>
        <v>111982569</v>
      </c>
      <c r="N215" s="52" t="n">
        <f aca="false">IF(AND(ISNUMBER($G215),$G215&gt;=60),MIN(INDEX($E$15:$E215,202-60):$E215),"")</f>
        <v>94759992</v>
      </c>
      <c r="O215" s="53" t="n">
        <f aca="false">IF(OR(NOT(ISNUMBER($C215)),NOT(ISNUMBER($M215)),$M215=0),"",$C215/$M215-1)</f>
        <v>-0.0762581183505444</v>
      </c>
      <c r="P215" s="54"/>
      <c r="Q215" s="53" t="str">
        <f aca="false">IF(NOT(ISNUMBER($P215)),"",IFERROR(PERCENTRANK($P$5:$P$1204,$P215),""))</f>
        <v/>
      </c>
    </row>
    <row r="216" customFormat="false" ht="15" hidden="false" customHeight="false" outlineLevel="0" collapsed="false">
      <c r="A216" s="47" t="n">
        <v>45865</v>
      </c>
      <c r="B216" s="48" t="s">
        <v>364</v>
      </c>
      <c r="C216" s="49" t="n">
        <v>104602549</v>
      </c>
      <c r="D216" s="49" t="n">
        <v>104800032</v>
      </c>
      <c r="E216" s="49" t="n">
        <v>104424425</v>
      </c>
      <c r="F216" s="49" t="n">
        <v>0</v>
      </c>
      <c r="G216" s="50" t="n">
        <f aca="false">IF($A216="","",IF(ISNUMBER($G215),$G215+1,1))</f>
        <v>212</v>
      </c>
      <c r="H216" s="51" t="n">
        <f aca="false">IF(OR(NOT(ISNUMBER($G216)),$G216&lt;2,NOT(ISNUMBER($C215)),$C215=0),"",$C216/$C215-1)</f>
        <v>0.0112096528842569</v>
      </c>
      <c r="I216" s="52" t="n">
        <f aca="false">IF(AND(ISNUMBER($G216),$G216&gt;=MA_SHORT),AVERAGE(INDEX($C$5:$C216,213-MA_SHORT):$C216),"")</f>
        <v>107009324.5</v>
      </c>
      <c r="J216" s="52" t="n">
        <f aca="false">IF(AND(ISNUMBER($G216),$G216&gt;=MA_MED),AVERAGE(INDEX($C$5:$C216,213-MA_MED):$C216),"")</f>
        <v>103717324.86</v>
      </c>
      <c r="K216" s="52" t="n">
        <f aca="false">IF(AND(ISNUMBER($G216),$G216&gt;=MA_LONG2),AVERAGE(INDEX($C$5:$C216,213-MA_LONG2):$C216),"")</f>
        <v>93395544.075</v>
      </c>
      <c r="L216" s="53" t="n">
        <f aca="false">IF(AND(ISNUMBER($G216),$G216&gt;=21),STDEV(INDEX($H$156:$H216,62-20):$H216)*SQRT(245),"")</f>
        <v>0.197655981021398</v>
      </c>
      <c r="M216" s="52" t="n">
        <f aca="false">IF(AND(ISNUMBER($G216),$G216&gt;=60),MAX(INDEX($D$16:$D216,202-60):$D216),"")</f>
        <v>111982569</v>
      </c>
      <c r="N216" s="52" t="n">
        <f aca="false">IF(AND(ISNUMBER($G216),$G216&gt;=60),MIN(INDEX($E$16:$E216,202-60):$E216),"")</f>
        <v>94759992</v>
      </c>
      <c r="O216" s="53" t="n">
        <f aca="false">IF(OR(NOT(ISNUMBER($C216)),NOT(ISNUMBER($M216)),$M216=0),"",$C216/$M216-1)</f>
        <v>-0.0659032925026037</v>
      </c>
      <c r="P216" s="54"/>
      <c r="Q216" s="53" t="str">
        <f aca="false">IF(NOT(ISNUMBER($P216)),"",IFERROR(PERCENTRANK($P$5:$P$1204,$P216),""))</f>
        <v/>
      </c>
    </row>
    <row r="217" customFormat="false" ht="15" hidden="false" customHeight="false" outlineLevel="0" collapsed="false">
      <c r="A217" s="47" t="n">
        <v>45866</v>
      </c>
      <c r="B217" s="48" t="s">
        <v>365</v>
      </c>
      <c r="C217" s="49" t="n">
        <v>105448169</v>
      </c>
      <c r="D217" s="49" t="n">
        <v>105861401</v>
      </c>
      <c r="E217" s="49" t="n">
        <v>105291379</v>
      </c>
      <c r="F217" s="49" t="n">
        <v>0</v>
      </c>
      <c r="G217" s="50" t="n">
        <f aca="false">IF($A217="","",IF(ISNUMBER($G216),$G216+1,1))</f>
        <v>213</v>
      </c>
      <c r="H217" s="51" t="n">
        <f aca="false">IF(OR(NOT(ISNUMBER($G217)),$G217&lt;2,NOT(ISNUMBER($C216)),$C216=0),"",$C217/$C216-1)</f>
        <v>0.0080841242214853</v>
      </c>
      <c r="I217" s="52" t="n">
        <f aca="false">IF(AND(ISNUMBER($G217),$G217&gt;=MA_SHORT),AVERAGE(INDEX($C$5:$C217,214-MA_SHORT):$C217),"")</f>
        <v>107063624.05</v>
      </c>
      <c r="J217" s="52" t="n">
        <f aca="false">IF(AND(ISNUMBER($G217),$G217&gt;=MA_MED),AVERAGE(INDEX($C$5:$C217,214-MA_MED):$C217),"")</f>
        <v>103794106.44</v>
      </c>
      <c r="K217" s="52" t="n">
        <f aca="false">IF(AND(ISNUMBER($G217),$G217&gt;=MA_LONG2),AVERAGE(INDEX($C$5:$C217,214-MA_LONG2):$C217),"")</f>
        <v>93544913.3</v>
      </c>
      <c r="L217" s="53" t="n">
        <f aca="false">IF(AND(ISNUMBER($G217),$G217&gt;=21),STDEV(INDEX($H$157:$H217,62-20):$H217)*SQRT(245),"")</f>
        <v>0.19945873087731</v>
      </c>
      <c r="M217" s="52" t="n">
        <f aca="false">IF(AND(ISNUMBER($G217),$G217&gt;=60),MAX(INDEX($D$17:$D217,202-60):$D217),"")</f>
        <v>111982569</v>
      </c>
      <c r="N217" s="52" t="n">
        <f aca="false">IF(AND(ISNUMBER($G217),$G217&gt;=60),MIN(INDEX($E$17:$E217,202-60):$E217),"")</f>
        <v>95842107</v>
      </c>
      <c r="O217" s="53" t="n">
        <f aca="false">IF(OR(NOT(ISNUMBER($C217)),NOT(ISNUMBER($M217)),$M217=0),"",$C217/$M217-1)</f>
        <v>-0.0583519386843143</v>
      </c>
      <c r="P217" s="54"/>
      <c r="Q217" s="53" t="str">
        <f aca="false">IF(NOT(ISNUMBER($P217)),"",IFERROR(PERCENTRANK($P$5:$P$1204,$P217),""))</f>
        <v/>
      </c>
    </row>
    <row r="218" customFormat="false" ht="15" hidden="false" customHeight="false" outlineLevel="0" collapsed="false">
      <c r="A218" s="47" t="n">
        <v>45867</v>
      </c>
      <c r="B218" s="48" t="s">
        <v>366</v>
      </c>
      <c r="C218" s="49" t="n">
        <v>104273112</v>
      </c>
      <c r="D218" s="49" t="n">
        <v>104555957</v>
      </c>
      <c r="E218" s="49" t="n">
        <v>103686493</v>
      </c>
      <c r="F218" s="49" t="n">
        <v>0</v>
      </c>
      <c r="G218" s="50" t="n">
        <f aca="false">IF($A218="","",IF(ISNUMBER($G217),$G217+1,1))</f>
        <v>214</v>
      </c>
      <c r="H218" s="51" t="n">
        <f aca="false">IF(OR(NOT(ISNUMBER($G218)),$G218&lt;2,NOT(ISNUMBER($C217)),$C217=0),"",$C218/$C217-1)</f>
        <v>-0.011143455700971</v>
      </c>
      <c r="I218" s="52" t="n">
        <f aca="false">IF(AND(ISNUMBER($G218),$G218&gt;=MA_SHORT),AVERAGE(INDEX($C$5:$C218,215-MA_SHORT):$C218),"")</f>
        <v>107072683.6</v>
      </c>
      <c r="J218" s="52" t="n">
        <f aca="false">IF(AND(ISNUMBER($G218),$G218&gt;=MA_MED),AVERAGE(INDEX($C$5:$C218,215-MA_MED):$C218),"")</f>
        <v>103827919.64</v>
      </c>
      <c r="K218" s="52" t="n">
        <f aca="false">IF(AND(ISNUMBER($G218),$G218&gt;=MA_LONG2),AVERAGE(INDEX($C$5:$C218,215-MA_LONG2):$C218),"")</f>
        <v>93678713.945</v>
      </c>
      <c r="L218" s="53" t="n">
        <f aca="false">IF(AND(ISNUMBER($G218),$G218&gt;=21),STDEV(INDEX($H$158:$H218,62-20):$H218)*SQRT(245),"")</f>
        <v>0.203427226919063</v>
      </c>
      <c r="M218" s="52" t="n">
        <f aca="false">IF(AND(ISNUMBER($G218),$G218&gt;=60),MAX(INDEX($D$18:$D218,202-60):$D218),"")</f>
        <v>111982569</v>
      </c>
      <c r="N218" s="52" t="n">
        <f aca="false">IF(AND(ISNUMBER($G218),$G218&gt;=60),MIN(INDEX($E$18:$E218,202-60):$E218),"")</f>
        <v>95842107</v>
      </c>
      <c r="O218" s="53" t="n">
        <f aca="false">IF(OR(NOT(ISNUMBER($C218)),NOT(ISNUMBER($M218)),$M218=0),"",$C218/$M218-1)</f>
        <v>-0.0688451521414909</v>
      </c>
      <c r="P218" s="54"/>
      <c r="Q218" s="53" t="str">
        <f aca="false">IF(NOT(ISNUMBER($P218)),"",IFERROR(PERCENTRANK($P$5:$P$1204,$P218),""))</f>
        <v/>
      </c>
    </row>
    <row r="219" customFormat="false" ht="15" hidden="false" customHeight="false" outlineLevel="0" collapsed="false">
      <c r="A219" s="47" t="n">
        <v>45868</v>
      </c>
      <c r="B219" s="48" t="s">
        <v>367</v>
      </c>
      <c r="C219" s="49" t="n">
        <v>103355676</v>
      </c>
      <c r="D219" s="49" t="n">
        <v>103518421</v>
      </c>
      <c r="E219" s="49" t="n">
        <v>102737655</v>
      </c>
      <c r="F219" s="49" t="n">
        <v>0</v>
      </c>
      <c r="G219" s="50" t="n">
        <f aca="false">IF($A219="","",IF(ISNUMBER($G218),$G218+1,1))</f>
        <v>215</v>
      </c>
      <c r="H219" s="51" t="n">
        <f aca="false">IF(OR(NOT(ISNUMBER($G219)),$G219&lt;2,NOT(ISNUMBER($C218)),$C218=0),"",$C219/$C218-1)</f>
        <v>-0.00879839473861677</v>
      </c>
      <c r="I219" s="52" t="n">
        <f aca="false">IF(AND(ISNUMBER($G219),$G219&gt;=MA_SHORT),AVERAGE(INDEX($C$5:$C219,216-MA_SHORT):$C219),"")</f>
        <v>106944416.8</v>
      </c>
      <c r="J219" s="52" t="n">
        <f aca="false">IF(AND(ISNUMBER($G219),$G219&gt;=MA_MED),AVERAGE(INDEX($C$5:$C219,216-MA_MED):$C219),"")</f>
        <v>103848063.42</v>
      </c>
      <c r="K219" s="52" t="n">
        <f aca="false">IF(AND(ISNUMBER($G219),$G219&gt;=MA_LONG2),AVERAGE(INDEX($C$5:$C219,216-MA_LONG2):$C219),"")</f>
        <v>93803028.755</v>
      </c>
      <c r="L219" s="53" t="n">
        <f aca="false">IF(AND(ISNUMBER($G219),$G219&gt;=21),STDEV(INDEX($H$159:$H219,62-20):$H219)*SQRT(245),"")</f>
        <v>0.195102050472191</v>
      </c>
      <c r="M219" s="52" t="n">
        <f aca="false">IF(AND(ISNUMBER($G219),$G219&gt;=60),MAX(INDEX($D$19:$D219,202-60):$D219),"")</f>
        <v>111982569</v>
      </c>
      <c r="N219" s="52" t="n">
        <f aca="false">IF(AND(ISNUMBER($G219),$G219&gt;=60),MIN(INDEX($E$19:$E219,202-60):$E219),"")</f>
        <v>95842107</v>
      </c>
      <c r="O219" s="53" t="n">
        <f aca="false">IF(OR(NOT(ISNUMBER($C219)),NOT(ISNUMBER($M219)),$M219=0),"",$C219/$M219-1)</f>
        <v>-0.0770378200557267</v>
      </c>
      <c r="P219" s="54"/>
      <c r="Q219" s="53" t="str">
        <f aca="false">IF(NOT(ISNUMBER($P219)),"",IFERROR(PERCENTRANK($P$5:$P$1204,$P219),""))</f>
        <v/>
      </c>
    </row>
    <row r="220" customFormat="false" ht="15" hidden="false" customHeight="false" outlineLevel="0" collapsed="false">
      <c r="A220" s="47" t="n">
        <v>45871</v>
      </c>
      <c r="B220" s="48" t="s">
        <v>368</v>
      </c>
      <c r="C220" s="49" t="n">
        <v>104401054</v>
      </c>
      <c r="D220" s="49" t="n">
        <v>104685037</v>
      </c>
      <c r="E220" s="49" t="n">
        <v>104381633</v>
      </c>
      <c r="F220" s="49" t="n">
        <v>0</v>
      </c>
      <c r="G220" s="50" t="n">
        <f aca="false">IF($A220="","",IF(ISNUMBER($G219),$G219+1,1))</f>
        <v>216</v>
      </c>
      <c r="H220" s="51" t="n">
        <f aca="false">IF(OR(NOT(ISNUMBER($G220)),$G220&lt;2,NOT(ISNUMBER($C219)),$C219=0),"",$C220/$C219-1)</f>
        <v>0.0101143743668224</v>
      </c>
      <c r="I220" s="52" t="n">
        <f aca="false">IF(AND(ISNUMBER($G220),$G220&gt;=MA_SHORT),AVERAGE(INDEX($C$5:$C220,217-MA_SHORT):$C220),"")</f>
        <v>106945149.6</v>
      </c>
      <c r="J220" s="52" t="n">
        <f aca="false">IF(AND(ISNUMBER($G220),$G220&gt;=MA_MED),AVERAGE(INDEX($C$5:$C220,217-MA_MED):$C220),"")</f>
        <v>103927978.02</v>
      </c>
      <c r="K220" s="52" t="n">
        <f aca="false">IF(AND(ISNUMBER($G220),$G220&gt;=MA_LONG2),AVERAGE(INDEX($C$5:$C220,217-MA_LONG2):$C220),"")</f>
        <v>93928071.72</v>
      </c>
      <c r="L220" s="53" t="n">
        <f aca="false">IF(AND(ISNUMBER($G220),$G220&gt;=21),STDEV(INDEX($H$160:$H220,62-20):$H220)*SQRT(245),"")</f>
        <v>0.192398893347361</v>
      </c>
      <c r="M220" s="52" t="n">
        <f aca="false">IF(AND(ISNUMBER($G220),$G220&gt;=60),MAX(INDEX($D$20:$D220,202-60):$D220),"")</f>
        <v>111982569</v>
      </c>
      <c r="N220" s="52" t="n">
        <f aca="false">IF(AND(ISNUMBER($G220),$G220&gt;=60),MIN(INDEX($E$20:$E220,202-60):$E220),"")</f>
        <v>95842107</v>
      </c>
      <c r="O220" s="53" t="n">
        <f aca="false">IF(OR(NOT(ISNUMBER($C220)),NOT(ISNUMBER($M220)),$M220=0),"",$C220/$M220-1)</f>
        <v>-0.0677026350413519</v>
      </c>
      <c r="P220" s="54"/>
      <c r="Q220" s="53" t="str">
        <f aca="false">IF(NOT(ISNUMBER($P220)),"",IFERROR(PERCENTRANK($P$5:$P$1204,$P220),""))</f>
        <v/>
      </c>
    </row>
    <row r="221" customFormat="false" ht="15" hidden="false" customHeight="false" outlineLevel="0" collapsed="false">
      <c r="A221" s="47" t="n">
        <v>45872</v>
      </c>
      <c r="B221" s="48" t="s">
        <v>369</v>
      </c>
      <c r="C221" s="49" t="n">
        <v>103254140</v>
      </c>
      <c r="D221" s="49" t="n">
        <v>103768828</v>
      </c>
      <c r="E221" s="49" t="n">
        <v>102959753</v>
      </c>
      <c r="F221" s="49" t="n">
        <v>0</v>
      </c>
      <c r="G221" s="50" t="n">
        <f aca="false">IF($A221="","",IF(ISNUMBER($G220),$G220+1,1))</f>
        <v>217</v>
      </c>
      <c r="H221" s="51" t="n">
        <f aca="false">IF(OR(NOT(ISNUMBER($G221)),$G221&lt;2,NOT(ISNUMBER($C220)),$C220=0),"",$C221/$C220-1)</f>
        <v>-0.0109856553747053</v>
      </c>
      <c r="I221" s="52" t="n">
        <f aca="false">IF(AND(ISNUMBER($G221),$G221&gt;=MA_SHORT),AVERAGE(INDEX($C$5:$C221,218-MA_SHORT):$C221),"")</f>
        <v>106806653.4</v>
      </c>
      <c r="J221" s="52" t="n">
        <f aca="false">IF(AND(ISNUMBER($G221),$G221&gt;=MA_MED),AVERAGE(INDEX($C$5:$C221,218-MA_MED):$C221),"")</f>
        <v>103942256.88</v>
      </c>
      <c r="K221" s="52" t="n">
        <f aca="false">IF(AND(ISNUMBER($G221),$G221&gt;=MA_LONG2),AVERAGE(INDEX($C$5:$C221,218-MA_LONG2):$C221),"")</f>
        <v>94044269.85</v>
      </c>
      <c r="L221" s="53" t="n">
        <f aca="false">IF(AND(ISNUMBER($G221),$G221&gt;=21),STDEV(INDEX($H$161:$H221,62-20):$H221)*SQRT(245),"")</f>
        <v>0.187070503585144</v>
      </c>
      <c r="M221" s="52" t="n">
        <f aca="false">IF(AND(ISNUMBER($G221),$G221&gt;=60),MAX(INDEX($D$21:$D221,202-60):$D221),"")</f>
        <v>111982569</v>
      </c>
      <c r="N221" s="52" t="n">
        <f aca="false">IF(AND(ISNUMBER($G221),$G221&gt;=60),MIN(INDEX($E$21:$E221,202-60):$E221),"")</f>
        <v>95842107</v>
      </c>
      <c r="O221" s="53" t="n">
        <f aca="false">IF(OR(NOT(ISNUMBER($C221)),NOT(ISNUMBER($M221)),$M221=0),"",$C221/$M221-1)</f>
        <v>-0.0779445325995334</v>
      </c>
      <c r="P221" s="54"/>
      <c r="Q221" s="53" t="str">
        <f aca="false">IF(NOT(ISNUMBER($P221)),"",IFERROR(PERCENTRANK($P$5:$P$1204,$P221),""))</f>
        <v/>
      </c>
    </row>
    <row r="222" customFormat="false" ht="15" hidden="false" customHeight="false" outlineLevel="0" collapsed="false">
      <c r="A222" s="47" t="n">
        <v>45873</v>
      </c>
      <c r="B222" s="48" t="s">
        <v>370</v>
      </c>
      <c r="C222" s="49" t="n">
        <v>103295016</v>
      </c>
      <c r="D222" s="49" t="n">
        <v>103685847</v>
      </c>
      <c r="E222" s="49" t="n">
        <v>102921864</v>
      </c>
      <c r="F222" s="49" t="n">
        <v>0</v>
      </c>
      <c r="G222" s="50" t="n">
        <f aca="false">IF($A222="","",IF(ISNUMBER($G221),$G221+1,1))</f>
        <v>218</v>
      </c>
      <c r="H222" s="51" t="n">
        <f aca="false">IF(OR(NOT(ISNUMBER($G222)),$G222&lt;2,NOT(ISNUMBER($C221)),$C221=0),"",$C222/$C221-1)</f>
        <v>0.000395877589024485</v>
      </c>
      <c r="I222" s="52" t="n">
        <f aca="false">IF(AND(ISNUMBER($G222),$G222&gt;=MA_SHORT),AVERAGE(INDEX($C$5:$C222,219-MA_SHORT):$C222),"")</f>
        <v>106650657.2</v>
      </c>
      <c r="J222" s="52" t="n">
        <f aca="false">IF(AND(ISNUMBER($G222),$G222&gt;=MA_MED),AVERAGE(INDEX($C$5:$C222,219-MA_MED):$C222),"")</f>
        <v>103972571.78</v>
      </c>
      <c r="K222" s="52" t="n">
        <f aca="false">IF(AND(ISNUMBER($G222),$G222&gt;=MA_LONG2),AVERAGE(INDEX($C$5:$C222,219-MA_LONG2):$C222),"")</f>
        <v>94158143.76</v>
      </c>
      <c r="L222" s="53" t="n">
        <f aca="false">IF(AND(ISNUMBER($G222),$G222&gt;=21),STDEV(INDEX($H$162:$H222,62-20):$H222)*SQRT(245),"")</f>
        <v>0.186302626580511</v>
      </c>
      <c r="M222" s="52" t="n">
        <f aca="false">IF(AND(ISNUMBER($G222),$G222&gt;=60),MAX(INDEX($D$22:$D222,202-60):$D222),"")</f>
        <v>111982569</v>
      </c>
      <c r="N222" s="52" t="n">
        <f aca="false">IF(AND(ISNUMBER($G222),$G222&gt;=60),MIN(INDEX($E$22:$E222,202-60):$E222),"")</f>
        <v>95842107</v>
      </c>
      <c r="O222" s="53" t="n">
        <f aca="false">IF(OR(NOT(ISNUMBER($C222)),NOT(ISNUMBER($M222)),$M222=0),"",$C222/$M222-1)</f>
        <v>-0.0775795115041521</v>
      </c>
      <c r="P222" s="54"/>
      <c r="Q222" s="53" t="str">
        <f aca="false">IF(NOT(ISNUMBER($P222)),"",IFERROR(PERCENTRANK($P$5:$P$1204,$P222),""))</f>
        <v/>
      </c>
    </row>
    <row r="223" customFormat="false" ht="15" hidden="false" customHeight="false" outlineLevel="0" collapsed="false">
      <c r="A223" s="47" t="n">
        <v>45874</v>
      </c>
      <c r="B223" s="48" t="s">
        <v>371</v>
      </c>
      <c r="C223" s="49" t="n">
        <v>104398589</v>
      </c>
      <c r="D223" s="49" t="n">
        <v>104659133</v>
      </c>
      <c r="E223" s="49" t="n">
        <v>103874277</v>
      </c>
      <c r="F223" s="49" t="n">
        <v>0</v>
      </c>
      <c r="G223" s="50" t="n">
        <f aca="false">IF($A223="","",IF(ISNUMBER($G222),$G222+1,1))</f>
        <v>219</v>
      </c>
      <c r="H223" s="51" t="n">
        <f aca="false">IF(OR(NOT(ISNUMBER($G223)),$G223&lt;2,NOT(ISNUMBER($C222)),$C222=0),"",$C223/$C222-1)</f>
        <v>0.0106837003636264</v>
      </c>
      <c r="I223" s="52" t="n">
        <f aca="false">IF(AND(ISNUMBER($G223),$G223&gt;=MA_SHORT),AVERAGE(INDEX($C$5:$C223,220-MA_SHORT):$C223),"")</f>
        <v>106463601.85</v>
      </c>
      <c r="J223" s="52" t="n">
        <f aca="false">IF(AND(ISNUMBER($G223),$G223&gt;=MA_MED),AVERAGE(INDEX($C$5:$C223,220-MA_MED):$C223),"")</f>
        <v>103993169.06</v>
      </c>
      <c r="K223" s="52" t="n">
        <f aca="false">IF(AND(ISNUMBER($G223),$G223&gt;=MA_LONG2),AVERAGE(INDEX($C$5:$C223,220-MA_LONG2):$C223),"")</f>
        <v>94287623.165</v>
      </c>
      <c r="L223" s="53" t="n">
        <f aca="false">IF(AND(ISNUMBER($G223),$G223&gt;=21),STDEV(INDEX($H$163:$H223,62-20):$H223)*SQRT(245),"")</f>
        <v>0.180475085196312</v>
      </c>
      <c r="M223" s="52" t="n">
        <f aca="false">IF(AND(ISNUMBER($G223),$G223&gt;=60),MAX(INDEX($D$23:$D223,202-60):$D223),"")</f>
        <v>111982569</v>
      </c>
      <c r="N223" s="52" t="n">
        <f aca="false">IF(AND(ISNUMBER($G223),$G223&gt;=60),MIN(INDEX($E$23:$E223,202-60):$E223),"")</f>
        <v>95842107</v>
      </c>
      <c r="O223" s="53" t="n">
        <f aca="false">IF(OR(NOT(ISNUMBER($C223)),NOT(ISNUMBER($M223)),$M223=0),"",$C223/$M223-1)</f>
        <v>-0.0677246473957924</v>
      </c>
      <c r="P223" s="54"/>
      <c r="Q223" s="53" t="str">
        <f aca="false">IF(NOT(ISNUMBER($P223)),"",IFERROR(PERCENTRANK($P$5:$P$1204,$P223),""))</f>
        <v/>
      </c>
    </row>
    <row r="224" customFormat="false" ht="15" hidden="false" customHeight="false" outlineLevel="0" collapsed="false">
      <c r="A224" s="47" t="n">
        <v>45875</v>
      </c>
      <c r="B224" s="48" t="s">
        <v>372</v>
      </c>
      <c r="C224" s="49" t="n">
        <v>103944242</v>
      </c>
      <c r="D224" s="49" t="n">
        <v>104080523</v>
      </c>
      <c r="E224" s="49" t="n">
        <v>103746354</v>
      </c>
      <c r="F224" s="49" t="n">
        <v>0</v>
      </c>
      <c r="G224" s="50" t="n">
        <f aca="false">IF($A224="","",IF(ISNUMBER($G223),$G223+1,1))</f>
        <v>220</v>
      </c>
      <c r="H224" s="51" t="n">
        <f aca="false">IF(OR(NOT(ISNUMBER($G224)),$G224&lt;2,NOT(ISNUMBER($C223)),$C223=0),"",$C224/$C223-1)</f>
        <v>-0.00435204157787994</v>
      </c>
      <c r="I224" s="52" t="n">
        <f aca="false">IF(AND(ISNUMBER($G224),$G224&gt;=MA_SHORT),AVERAGE(INDEX($C$5:$C224,221-MA_SHORT):$C224),"")</f>
        <v>106267370.9</v>
      </c>
      <c r="J224" s="52" t="n">
        <f aca="false">IF(AND(ISNUMBER($G224),$G224&gt;=MA_MED),AVERAGE(INDEX($C$5:$C224,221-MA_MED):$C224),"")</f>
        <v>104001685.28</v>
      </c>
      <c r="K224" s="52" t="n">
        <f aca="false">IF(AND(ISNUMBER($G224),$G224&gt;=MA_LONG2),AVERAGE(INDEX($C$5:$C224,221-MA_LONG2):$C224),"")</f>
        <v>94418199.175</v>
      </c>
      <c r="L224" s="53" t="n">
        <f aca="false">IF(AND(ISNUMBER($G224),$G224&gt;=21),STDEV(INDEX($H$164:$H224,62-20):$H224)*SQRT(245),"")</f>
        <v>0.180697592003063</v>
      </c>
      <c r="M224" s="52" t="n">
        <f aca="false">IF(AND(ISNUMBER($G224),$G224&gt;=60),MAX(INDEX($D$24:$D224,202-60):$D224),"")</f>
        <v>111982569</v>
      </c>
      <c r="N224" s="52" t="n">
        <f aca="false">IF(AND(ISNUMBER($G224),$G224&gt;=60),MIN(INDEX($E$24:$E224,202-60):$E224),"")</f>
        <v>95842107</v>
      </c>
      <c r="O224" s="53" t="n">
        <f aca="false">IF(OR(NOT(ISNUMBER($C224)),NOT(ISNUMBER($M224)),$M224=0),"",$C224/$M224-1)</f>
        <v>-0.0717819484923586</v>
      </c>
      <c r="P224" s="54"/>
      <c r="Q224" s="53" t="str">
        <f aca="false">IF(NOT(ISNUMBER($P224)),"",IFERROR(PERCENTRANK($P$5:$P$1204,$P224),""))</f>
        <v/>
      </c>
    </row>
    <row r="225" customFormat="false" ht="15" hidden="false" customHeight="false" outlineLevel="0" collapsed="false">
      <c r="A225" s="47" t="n">
        <v>45878</v>
      </c>
      <c r="B225" s="48" t="s">
        <v>373</v>
      </c>
      <c r="C225" s="49" t="n">
        <v>104298607</v>
      </c>
      <c r="D225" s="49" t="n">
        <v>104543952</v>
      </c>
      <c r="E225" s="49" t="n">
        <v>103966584</v>
      </c>
      <c r="F225" s="49" t="n">
        <v>0</v>
      </c>
      <c r="G225" s="50" t="n">
        <f aca="false">IF($A225="","",IF(ISNUMBER($G224),$G224+1,1))</f>
        <v>221</v>
      </c>
      <c r="H225" s="51" t="n">
        <f aca="false">IF(OR(NOT(ISNUMBER($G225)),$G225&lt;2,NOT(ISNUMBER($C224)),$C224=0),"",$C225/$C224-1)</f>
        <v>0.00340918355054232</v>
      </c>
      <c r="I225" s="52" t="n">
        <f aca="false">IF(AND(ISNUMBER($G225),$G225&gt;=MA_SHORT),AVERAGE(INDEX($C$5:$C225,222-MA_SHORT):$C225),"")</f>
        <v>106012262.35</v>
      </c>
      <c r="J225" s="52" t="n">
        <f aca="false">IF(AND(ISNUMBER($G225),$G225&gt;=MA_MED),AVERAGE(INDEX($C$5:$C225,222-MA_MED):$C225),"")</f>
        <v>104023772.8</v>
      </c>
      <c r="K225" s="52" t="n">
        <f aca="false">IF(AND(ISNUMBER($G225),$G225&gt;=MA_LONG2),AVERAGE(INDEX($C$5:$C225,222-MA_LONG2):$C225),"")</f>
        <v>94540429.79</v>
      </c>
      <c r="L225" s="53" t="n">
        <f aca="false">IF(AND(ISNUMBER($G225),$G225&gt;=21),STDEV(INDEX($H$165:$H225,62-20):$H225)*SQRT(245),"")</f>
        <v>0.17212808882672</v>
      </c>
      <c r="M225" s="52" t="n">
        <f aca="false">IF(AND(ISNUMBER($G225),$G225&gt;=60),MAX(INDEX($D$25:$D225,202-60):$D225),"")</f>
        <v>111982569</v>
      </c>
      <c r="N225" s="52" t="n">
        <f aca="false">IF(AND(ISNUMBER($G225),$G225&gt;=60),MIN(INDEX($E$25:$E225,202-60):$E225),"")</f>
        <v>95842107</v>
      </c>
      <c r="O225" s="53" t="n">
        <f aca="false">IF(OR(NOT(ISNUMBER($C225)),NOT(ISNUMBER($M225)),$M225=0),"",$C225/$M225-1)</f>
        <v>-0.0686174827798423</v>
      </c>
      <c r="P225" s="54"/>
      <c r="Q225" s="53" t="str">
        <f aca="false">IF(NOT(ISNUMBER($P225)),"",IFERROR(PERCENTRANK($P$5:$P$1204,$P225),""))</f>
        <v/>
      </c>
    </row>
    <row r="226" customFormat="false" ht="15" hidden="false" customHeight="false" outlineLevel="0" collapsed="false">
      <c r="A226" s="47" t="n">
        <v>45879</v>
      </c>
      <c r="B226" s="48" t="s">
        <v>374</v>
      </c>
      <c r="C226" s="49" t="n">
        <v>102161534</v>
      </c>
      <c r="D226" s="49" t="n">
        <v>102605917</v>
      </c>
      <c r="E226" s="49" t="n">
        <v>101674545</v>
      </c>
      <c r="F226" s="49" t="n">
        <v>0</v>
      </c>
      <c r="G226" s="50" t="n">
        <f aca="false">IF($A226="","",IF(ISNUMBER($G225),$G225+1,1))</f>
        <v>222</v>
      </c>
      <c r="H226" s="51" t="n">
        <f aca="false">IF(OR(NOT(ISNUMBER($G226)),$G226&lt;2,NOT(ISNUMBER($C225)),$C225=0),"",$C226/$C225-1)</f>
        <v>-0.0204899476749484</v>
      </c>
      <c r="I226" s="52" t="n">
        <f aca="false">IF(AND(ISNUMBER($G226),$G226&gt;=MA_SHORT),AVERAGE(INDEX($C$5:$C226,223-MA_SHORT):$C226),"")</f>
        <v>105608496.55</v>
      </c>
      <c r="J226" s="52" t="n">
        <f aca="false">IF(AND(ISNUMBER($G226),$G226&gt;=MA_MED),AVERAGE(INDEX($C$5:$C226,223-MA_MED):$C226),"")</f>
        <v>104039747.2</v>
      </c>
      <c r="K226" s="52" t="n">
        <f aca="false">IF(AND(ISNUMBER($G226),$G226&gt;=MA_LONG2),AVERAGE(INDEX($C$5:$C226,223-MA_LONG2):$C226),"")</f>
        <v>94657754.74</v>
      </c>
      <c r="L226" s="53" t="n">
        <f aca="false">IF(AND(ISNUMBER($G226),$G226&gt;=21),STDEV(INDEX($H$166:$H226,62-20):$H226)*SQRT(245),"")</f>
        <v>0.179136281594418</v>
      </c>
      <c r="M226" s="52" t="n">
        <f aca="false">IF(AND(ISNUMBER($G226),$G226&gt;=60),MAX(INDEX($D$26:$D226,202-60):$D226),"")</f>
        <v>111982569</v>
      </c>
      <c r="N226" s="52" t="n">
        <f aca="false">IF(AND(ISNUMBER($G226),$G226&gt;=60),MIN(INDEX($E$26:$E226,202-60):$E226),"")</f>
        <v>95842107</v>
      </c>
      <c r="O226" s="53" t="n">
        <f aca="false">IF(OR(NOT(ISNUMBER($C226)),NOT(ISNUMBER($M226)),$M226=0),"",$C226/$M226-1)</f>
        <v>-0.087701461823045</v>
      </c>
      <c r="P226" s="54"/>
      <c r="Q226" s="53" t="str">
        <f aca="false">IF(NOT(ISNUMBER($P226)),"",IFERROR(PERCENTRANK($P$5:$P$1204,$P226),""))</f>
        <v/>
      </c>
    </row>
    <row r="227" customFormat="false" ht="15" hidden="false" customHeight="false" outlineLevel="0" collapsed="false">
      <c r="A227" s="47" t="n">
        <v>45880</v>
      </c>
      <c r="B227" s="48" t="s">
        <v>375</v>
      </c>
      <c r="C227" s="49" t="n">
        <v>102075821</v>
      </c>
      <c r="D227" s="49" t="n">
        <v>102248041</v>
      </c>
      <c r="E227" s="49" t="n">
        <v>102017843</v>
      </c>
      <c r="F227" s="49" t="n">
        <v>0</v>
      </c>
      <c r="G227" s="50" t="n">
        <f aca="false">IF($A227="","",IF(ISNUMBER($G226),$G226+1,1))</f>
        <v>223</v>
      </c>
      <c r="H227" s="51" t="n">
        <f aca="false">IF(OR(NOT(ISNUMBER($G227)),$G227&lt;2,NOT(ISNUMBER($C226)),$C226=0),"",$C227/$C226-1)</f>
        <v>-0.000838994841248164</v>
      </c>
      <c r="I227" s="52" t="n">
        <f aca="false">IF(AND(ISNUMBER($G227),$G227&gt;=MA_SHORT),AVERAGE(INDEX($C$5:$C227,224-MA_SHORT):$C227),"")</f>
        <v>105128907.65</v>
      </c>
      <c r="J227" s="52" t="n">
        <f aca="false">IF(AND(ISNUMBER($G227),$G227&gt;=MA_MED),AVERAGE(INDEX($C$5:$C227,224-MA_MED):$C227),"")</f>
        <v>104048819.82</v>
      </c>
      <c r="K227" s="52" t="n">
        <f aca="false">IF(AND(ISNUMBER($G227),$G227&gt;=MA_LONG2),AVERAGE(INDEX($C$5:$C227,224-MA_LONG2):$C227),"")</f>
        <v>94766839.425</v>
      </c>
      <c r="L227" s="53" t="n">
        <f aca="false">IF(AND(ISNUMBER($G227),$G227&gt;=21),STDEV(INDEX($H$167:$H227,62-20):$H227)*SQRT(245),"")</f>
        <v>0.168739443713449</v>
      </c>
      <c r="M227" s="52" t="n">
        <f aca="false">IF(AND(ISNUMBER($G227),$G227&gt;=60),MAX(INDEX($D$27:$D227,202-60):$D227),"")</f>
        <v>111982569</v>
      </c>
      <c r="N227" s="52" t="n">
        <f aca="false">IF(AND(ISNUMBER($G227),$G227&gt;=60),MIN(INDEX($E$27:$E227,202-60):$E227),"")</f>
        <v>95842107</v>
      </c>
      <c r="O227" s="53" t="n">
        <f aca="false">IF(OR(NOT(ISNUMBER($C227)),NOT(ISNUMBER($M227)),$M227=0),"",$C227/$M227-1)</f>
        <v>-0.0884668755902537</v>
      </c>
      <c r="P227" s="54"/>
      <c r="Q227" s="53" t="str">
        <f aca="false">IF(NOT(ISNUMBER($P227)),"",IFERROR(PERCENTRANK($P$5:$P$1204,$P227),""))</f>
        <v/>
      </c>
    </row>
    <row r="228" customFormat="false" ht="15" hidden="false" customHeight="false" outlineLevel="0" collapsed="false">
      <c r="A228" s="47" t="n">
        <v>45881</v>
      </c>
      <c r="B228" s="48" t="s">
        <v>376</v>
      </c>
      <c r="C228" s="49" t="n">
        <v>98928227</v>
      </c>
      <c r="D228" s="49" t="n">
        <v>99177420</v>
      </c>
      <c r="E228" s="49" t="n">
        <v>98510652</v>
      </c>
      <c r="F228" s="49" t="n">
        <v>0</v>
      </c>
      <c r="G228" s="50" t="n">
        <f aca="false">IF($A228="","",IF(ISNUMBER($G227),$G227+1,1))</f>
        <v>224</v>
      </c>
      <c r="H228" s="51" t="n">
        <f aca="false">IF(OR(NOT(ISNUMBER($G228)),$G228&lt;2,NOT(ISNUMBER($C227)),$C227=0),"",$C228/$C227-1)</f>
        <v>-0.0308358430935373</v>
      </c>
      <c r="I228" s="52" t="n">
        <f aca="false">IF(AND(ISNUMBER($G228),$G228&gt;=MA_SHORT),AVERAGE(INDEX($C$5:$C228,225-MA_SHORT):$C228),"")</f>
        <v>104499317.05</v>
      </c>
      <c r="J228" s="52" t="n">
        <f aca="false">IF(AND(ISNUMBER($G228),$G228&gt;=MA_MED),AVERAGE(INDEX($C$5:$C228,225-MA_MED):$C228),"")</f>
        <v>104024647.5</v>
      </c>
      <c r="K228" s="52" t="n">
        <f aca="false">IF(AND(ISNUMBER($G228),$G228&gt;=MA_LONG2),AVERAGE(INDEX($C$5:$C228,225-MA_LONG2):$C228),"")</f>
        <v>94867018.945</v>
      </c>
      <c r="L228" s="53" t="n">
        <f aca="false">IF(AND(ISNUMBER($G228),$G228&gt;=21),STDEV(INDEX($H$168:$H228,62-20):$H228)*SQRT(245),"")</f>
        <v>0.191785553153195</v>
      </c>
      <c r="M228" s="52" t="n">
        <f aca="false">IF(AND(ISNUMBER($G228),$G228&gt;=60),MAX(INDEX($D$28:$D228,202-60):$D228),"")</f>
        <v>111982569</v>
      </c>
      <c r="N228" s="52" t="n">
        <f aca="false">IF(AND(ISNUMBER($G228),$G228&gt;=60),MIN(INDEX($E$28:$E228,202-60):$E228),"")</f>
        <v>95842107</v>
      </c>
      <c r="O228" s="53" t="n">
        <f aca="false">IF(OR(NOT(ISNUMBER($C228)),NOT(ISNUMBER($M228)),$M228=0),"",$C228/$M228-1)</f>
        <v>-0.116574767989114</v>
      </c>
      <c r="P228" s="54"/>
      <c r="Q228" s="53" t="str">
        <f aca="false">IF(NOT(ISNUMBER($P228)),"",IFERROR(PERCENTRANK($P$5:$P$1204,$P228),""))</f>
        <v/>
      </c>
    </row>
    <row r="229" customFormat="false" ht="15" hidden="false" customHeight="false" outlineLevel="0" collapsed="false">
      <c r="A229" s="47" t="n">
        <v>45882</v>
      </c>
      <c r="B229" s="48" t="s">
        <v>377</v>
      </c>
      <c r="C229" s="49" t="n">
        <v>98213861</v>
      </c>
      <c r="D229" s="49" t="n">
        <v>98368515</v>
      </c>
      <c r="E229" s="49" t="n">
        <v>97906459</v>
      </c>
      <c r="F229" s="49" t="n">
        <v>0</v>
      </c>
      <c r="G229" s="50" t="n">
        <f aca="false">IF($A229="","",IF(ISNUMBER($G228),$G228+1,1))</f>
        <v>225</v>
      </c>
      <c r="H229" s="51" t="n">
        <f aca="false">IF(OR(NOT(ISNUMBER($G229)),$G229&lt;2,NOT(ISNUMBER($C228)),$C228=0),"",$C229/$C228-1)</f>
        <v>-0.00722105329958056</v>
      </c>
      <c r="I229" s="52" t="n">
        <f aca="false">IF(AND(ISNUMBER($G229),$G229&gt;=MA_SHORT),AVERAGE(INDEX($C$5:$C229,226-MA_SHORT):$C229),"")</f>
        <v>103857668.05</v>
      </c>
      <c r="J229" s="52" t="n">
        <f aca="false">IF(AND(ISNUMBER($G229),$G229&gt;=MA_MED),AVERAGE(INDEX($C$5:$C229,226-MA_MED):$C229),"")</f>
        <v>104015055</v>
      </c>
      <c r="K229" s="52" t="n">
        <f aca="false">IF(AND(ISNUMBER($G229),$G229&gt;=MA_LONG2),AVERAGE(INDEX($C$5:$C229,226-MA_LONG2):$C229),"")</f>
        <v>94955679.845</v>
      </c>
      <c r="L229" s="53" t="n">
        <f aca="false">IF(AND(ISNUMBER($G229),$G229&gt;=21),STDEV(INDEX($H$169:$H229,62-20):$H229)*SQRT(245),"")</f>
        <v>0.191736891085811</v>
      </c>
      <c r="M229" s="52" t="n">
        <f aca="false">IF(AND(ISNUMBER($G229),$G229&gt;=60),MAX(INDEX($D$29:$D229,202-60):$D229),"")</f>
        <v>111982569</v>
      </c>
      <c r="N229" s="52" t="n">
        <f aca="false">IF(AND(ISNUMBER($G229),$G229&gt;=60),MIN(INDEX($E$29:$E229,202-60):$E229),"")</f>
        <v>95842107</v>
      </c>
      <c r="O229" s="53" t="n">
        <f aca="false">IF(OR(NOT(ISNUMBER($C229)),NOT(ISNUMBER($M229)),$M229=0),"",$C229/$M229-1)</f>
        <v>-0.122954028675659</v>
      </c>
      <c r="P229" s="54"/>
      <c r="Q229" s="53" t="str">
        <f aca="false">IF(NOT(ISNUMBER($P229)),"",IFERROR(PERCENTRANK($P$5:$P$1204,$P229),""))</f>
        <v/>
      </c>
    </row>
    <row r="230" customFormat="false" ht="15" hidden="false" customHeight="false" outlineLevel="0" collapsed="false">
      <c r="A230" s="47" t="n">
        <v>45885</v>
      </c>
      <c r="B230" s="48" t="s">
        <v>378</v>
      </c>
      <c r="C230" s="49" t="n">
        <v>99902345</v>
      </c>
      <c r="D230" s="49" t="n">
        <v>100106206</v>
      </c>
      <c r="E230" s="49" t="n">
        <v>99860159</v>
      </c>
      <c r="F230" s="49" t="n">
        <v>0</v>
      </c>
      <c r="G230" s="50" t="n">
        <f aca="false">IF($A230="","",IF(ISNUMBER($G229),$G229+1,1))</f>
        <v>226</v>
      </c>
      <c r="H230" s="51" t="n">
        <f aca="false">IF(OR(NOT(ISNUMBER($G230)),$G230&lt;2,NOT(ISNUMBER($C229)),$C229=0),"",$C230/$C229-1)</f>
        <v>0.0171919114349857</v>
      </c>
      <c r="I230" s="52" t="n">
        <f aca="false">IF(AND(ISNUMBER($G230),$G230&gt;=MA_SHORT),AVERAGE(INDEX($C$5:$C230,227-MA_SHORT):$C230),"")</f>
        <v>103391210.8</v>
      </c>
      <c r="J230" s="52" t="n">
        <f aca="false">IF(AND(ISNUMBER($G230),$G230&gt;=MA_MED),AVERAGE(INDEX($C$5:$C230,227-MA_MED):$C230),"")</f>
        <v>103995564.26</v>
      </c>
      <c r="K230" s="52" t="n">
        <f aca="false">IF(AND(ISNUMBER($G230),$G230&gt;=MA_LONG2),AVERAGE(INDEX($C$5:$C230,227-MA_LONG2):$C230),"")</f>
        <v>95046817.77</v>
      </c>
      <c r="L230" s="53" t="n">
        <f aca="false">IF(AND(ISNUMBER($G230),$G230&gt;=21),STDEV(INDEX($H$170:$H230,62-20):$H230)*SQRT(245),"")</f>
        <v>0.204048014550551</v>
      </c>
      <c r="M230" s="52" t="n">
        <f aca="false">IF(AND(ISNUMBER($G230),$G230&gt;=60),MAX(INDEX($D$30:$D230,202-60):$D230),"")</f>
        <v>111982569</v>
      </c>
      <c r="N230" s="52" t="n">
        <f aca="false">IF(AND(ISNUMBER($G230),$G230&gt;=60),MIN(INDEX($E$30:$E230,202-60):$E230),"")</f>
        <v>95842107</v>
      </c>
      <c r="O230" s="53" t="n">
        <f aca="false">IF(OR(NOT(ISNUMBER($C230)),NOT(ISNUMBER($M230)),$M230=0),"",$C230/$M230-1)</f>
        <v>-0.10787593201224</v>
      </c>
      <c r="P230" s="54"/>
      <c r="Q230" s="53" t="str">
        <f aca="false">IF(NOT(ISNUMBER($P230)),"",IFERROR(PERCENTRANK($P$5:$P$1204,$P230),""))</f>
        <v/>
      </c>
    </row>
    <row r="231" customFormat="false" ht="15" hidden="false" customHeight="false" outlineLevel="0" collapsed="false">
      <c r="A231" s="47" t="n">
        <v>45886</v>
      </c>
      <c r="B231" s="48" t="s">
        <v>379</v>
      </c>
      <c r="C231" s="49" t="n">
        <v>101597400</v>
      </c>
      <c r="D231" s="49" t="n">
        <v>101666119</v>
      </c>
      <c r="E231" s="49" t="n">
        <v>101518686</v>
      </c>
      <c r="F231" s="49" t="n">
        <v>0</v>
      </c>
      <c r="G231" s="50" t="n">
        <f aca="false">IF($A231="","",IF(ISNUMBER($G230),$G230+1,1))</f>
        <v>227</v>
      </c>
      <c r="H231" s="51" t="n">
        <f aca="false">IF(OR(NOT(ISNUMBER($G231)),$G231&lt;2,NOT(ISNUMBER($C230)),$C230=0),"",$C231/$C230-1)</f>
        <v>0.016967119240294</v>
      </c>
      <c r="I231" s="52" t="n">
        <f aca="false">IF(AND(ISNUMBER($G231),$G231&gt;=MA_SHORT),AVERAGE(INDEX($C$5:$C231,228-MA_SHORT):$C231),"")</f>
        <v>103113320.5</v>
      </c>
      <c r="J231" s="52" t="n">
        <f aca="false">IF(AND(ISNUMBER($G231),$G231&gt;=MA_MED),AVERAGE(INDEX($C$5:$C231,228-MA_MED):$C231),"")</f>
        <v>104018993</v>
      </c>
      <c r="K231" s="52" t="n">
        <f aca="false">IF(AND(ISNUMBER($G231),$G231&gt;=MA_LONG2),AVERAGE(INDEX($C$5:$C231,228-MA_LONG2):$C231),"")</f>
        <v>95150976.87</v>
      </c>
      <c r="L231" s="53" t="n">
        <f aca="false">IF(AND(ISNUMBER($G231),$G231&gt;=21),STDEV(INDEX($H$171:$H231,62-20):$H231)*SQRT(245),"")</f>
        <v>0.209549948554889</v>
      </c>
      <c r="M231" s="52" t="n">
        <f aca="false">IF(AND(ISNUMBER($G231),$G231&gt;=60),MAX(INDEX($D$31:$D231,202-60):$D231),"")</f>
        <v>111982569</v>
      </c>
      <c r="N231" s="52" t="n">
        <f aca="false">IF(AND(ISNUMBER($G231),$G231&gt;=60),MIN(INDEX($E$31:$E231,202-60):$E231),"")</f>
        <v>95842107</v>
      </c>
      <c r="O231" s="53" t="n">
        <f aca="false">IF(OR(NOT(ISNUMBER($C231)),NOT(ISNUMBER($M231)),$M231=0),"",$C231/$M231-1)</f>
        <v>-0.0927391565735557</v>
      </c>
      <c r="P231" s="54"/>
      <c r="Q231" s="53" t="str">
        <f aca="false">IF(NOT(ISNUMBER($P231)),"",IFERROR(PERCENTRANK($P$5:$P$1204,$P231),""))</f>
        <v/>
      </c>
    </row>
    <row r="232" customFormat="false" ht="15" hidden="false" customHeight="false" outlineLevel="0" collapsed="false">
      <c r="A232" s="47" t="n">
        <v>45887</v>
      </c>
      <c r="B232" s="48" t="s">
        <v>380</v>
      </c>
      <c r="C232" s="49" t="n">
        <v>104335697</v>
      </c>
      <c r="D232" s="49" t="n">
        <v>104359924</v>
      </c>
      <c r="E232" s="49" t="n">
        <v>104249318</v>
      </c>
      <c r="F232" s="49" t="n">
        <v>0</v>
      </c>
      <c r="G232" s="50" t="n">
        <f aca="false">IF($A232="","",IF(ISNUMBER($G231),$G231+1,1))</f>
        <v>228</v>
      </c>
      <c r="H232" s="51" t="n">
        <f aca="false">IF(OR(NOT(ISNUMBER($G232)),$G232&lt;2,NOT(ISNUMBER($C231)),$C231=0),"",$C232/$C231-1)</f>
        <v>0.026952431853571</v>
      </c>
      <c r="I232" s="52" t="n">
        <f aca="false">IF(AND(ISNUMBER($G232),$G232&gt;=MA_SHORT),AVERAGE(INDEX($C$5:$C232,229-MA_SHORT):$C232),"")</f>
        <v>103093458.85</v>
      </c>
      <c r="J232" s="52" t="n">
        <f aca="false">IF(AND(ISNUMBER($G232),$G232&gt;=MA_MED),AVERAGE(INDEX($C$5:$C232,229-MA_MED):$C232),"")</f>
        <v>104099458.36</v>
      </c>
      <c r="K232" s="52" t="n">
        <f aca="false">IF(AND(ISNUMBER($G232),$G232&gt;=MA_LONG2),AVERAGE(INDEX($C$5:$C232,229-MA_LONG2):$C232),"")</f>
        <v>95269316.12</v>
      </c>
      <c r="L232" s="53" t="n">
        <f aca="false">IF(AND(ISNUMBER($G232),$G232&gt;=21),STDEV(INDEX($H$172:$H232,62-20):$H232)*SQRT(245),"")</f>
        <v>0.219989141394999</v>
      </c>
      <c r="M232" s="52" t="n">
        <f aca="false">IF(AND(ISNUMBER($G232),$G232&gt;=60),MAX(INDEX($D$32:$D232,202-60):$D232),"")</f>
        <v>111982569</v>
      </c>
      <c r="N232" s="52" t="n">
        <f aca="false">IF(AND(ISNUMBER($G232),$G232&gt;=60),MIN(INDEX($E$32:$E232,202-60):$E232),"")</f>
        <v>95842107</v>
      </c>
      <c r="O232" s="53" t="n">
        <f aca="false">IF(OR(NOT(ISNUMBER($C232)),NOT(ISNUMBER($M232)),$M232=0),"",$C232/$M232-1)</f>
        <v>-0.068286270517691</v>
      </c>
      <c r="P232" s="54"/>
      <c r="Q232" s="53" t="str">
        <f aca="false">IF(NOT(ISNUMBER($P232)),"",IFERROR(PERCENTRANK($P$5:$P$1204,$P232),""))</f>
        <v/>
      </c>
    </row>
    <row r="233" customFormat="false" ht="15" hidden="false" customHeight="false" outlineLevel="0" collapsed="false">
      <c r="A233" s="47" t="n">
        <v>45888</v>
      </c>
      <c r="B233" s="48" t="s">
        <v>381</v>
      </c>
      <c r="C233" s="49" t="n">
        <v>103913971</v>
      </c>
      <c r="D233" s="49" t="n">
        <v>104310961</v>
      </c>
      <c r="E233" s="49" t="n">
        <v>103524396</v>
      </c>
      <c r="F233" s="49" t="n">
        <v>0</v>
      </c>
      <c r="G233" s="50" t="n">
        <f aca="false">IF($A233="","",IF(ISNUMBER($G232),$G232+1,1))</f>
        <v>229</v>
      </c>
      <c r="H233" s="51" t="n">
        <f aca="false">IF(OR(NOT(ISNUMBER($G233)),$G233&lt;2,NOT(ISNUMBER($C232)),$C232=0),"",$C233/$C232-1)</f>
        <v>-0.00404201066486387</v>
      </c>
      <c r="I233" s="52" t="n">
        <f aca="false">IF(AND(ISNUMBER($G233),$G233&gt;=MA_SHORT),AVERAGE(INDEX($C$5:$C233,230-MA_SHORT):$C233),"")</f>
        <v>103047637.9</v>
      </c>
      <c r="J233" s="52" t="n">
        <f aca="false">IF(AND(ISNUMBER($G233),$G233&gt;=MA_MED),AVERAGE(INDEX($C$5:$C233,230-MA_MED):$C233),"")</f>
        <v>104218762.3</v>
      </c>
      <c r="K233" s="52" t="n">
        <f aca="false">IF(AND(ISNUMBER($G233),$G233&gt;=MA_LONG2),AVERAGE(INDEX($C$5:$C233,230-MA_LONG2):$C233),"")</f>
        <v>95387070.395</v>
      </c>
      <c r="L233" s="53" t="n">
        <f aca="false">IF(AND(ISNUMBER($G233),$G233&gt;=21),STDEV(INDEX($H$173:$H233,62-20):$H233)*SQRT(245),"")</f>
        <v>0.220378044418653</v>
      </c>
      <c r="M233" s="52" t="n">
        <f aca="false">IF(AND(ISNUMBER($G233),$G233&gt;=60),MAX(INDEX($D$33:$D233,202-60):$D233),"")</f>
        <v>111982569</v>
      </c>
      <c r="N233" s="52" t="n">
        <f aca="false">IF(AND(ISNUMBER($G233),$G233&gt;=60),MIN(INDEX($E$33:$E233,202-60):$E233),"")</f>
        <v>95842107</v>
      </c>
      <c r="O233" s="53" t="n">
        <f aca="false">IF(OR(NOT(ISNUMBER($C233)),NOT(ISNUMBER($M233)),$M233=0),"",$C233/$M233-1)</f>
        <v>-0.0720522673488585</v>
      </c>
      <c r="P233" s="54"/>
      <c r="Q233" s="53" t="str">
        <f aca="false">IF(NOT(ISNUMBER($P233)),"",IFERROR(PERCENTRANK($P$5:$P$1204,$P233),""))</f>
        <v/>
      </c>
    </row>
    <row r="234" customFormat="false" ht="15" hidden="false" customHeight="false" outlineLevel="0" collapsed="false">
      <c r="A234" s="47" t="n">
        <v>45889</v>
      </c>
      <c r="B234" s="48" t="s">
        <v>382</v>
      </c>
      <c r="C234" s="49" t="n">
        <v>104576188</v>
      </c>
      <c r="D234" s="49" t="n">
        <v>104809968</v>
      </c>
      <c r="E234" s="49" t="n">
        <v>103526743</v>
      </c>
      <c r="F234" s="49" t="n">
        <v>0</v>
      </c>
      <c r="G234" s="50" t="n">
        <f aca="false">IF($A234="","",IF(ISNUMBER($G233),$G233+1,1))</f>
        <v>230</v>
      </c>
      <c r="H234" s="51" t="n">
        <f aca="false">IF(OR(NOT(ISNUMBER($G234)),$G234&lt;2,NOT(ISNUMBER($C233)),$C233=0),"",$C234/$C233-1)</f>
        <v>0.00637274269886201</v>
      </c>
      <c r="I234" s="52" t="n">
        <f aca="false">IF(AND(ISNUMBER($G234),$G234&gt;=MA_SHORT),AVERAGE(INDEX($C$5:$C234,231-MA_SHORT):$C234),"")</f>
        <v>103020959.35</v>
      </c>
      <c r="J234" s="52" t="n">
        <f aca="false">IF(AND(ISNUMBER($G234),$G234&gt;=MA_MED),AVERAGE(INDEX($C$5:$C234,231-MA_MED):$C234),"")</f>
        <v>104377824.84</v>
      </c>
      <c r="K234" s="52" t="n">
        <f aca="false">IF(AND(ISNUMBER($G234),$G234&gt;=MA_LONG2),AVERAGE(INDEX($C$5:$C234,231-MA_LONG2):$C234),"")</f>
        <v>95497216.04</v>
      </c>
      <c r="L234" s="53" t="n">
        <f aca="false">IF(AND(ISNUMBER($G234),$G234&gt;=21),STDEV(INDEX($H$174:$H234,62-20):$H234)*SQRT(245),"")</f>
        <v>0.221410632154014</v>
      </c>
      <c r="M234" s="52" t="n">
        <f aca="false">IF(AND(ISNUMBER($G234),$G234&gt;=60),MAX(INDEX($D$34:$D234,202-60):$D234),"")</f>
        <v>111982569</v>
      </c>
      <c r="N234" s="52" t="n">
        <f aca="false">IF(AND(ISNUMBER($G234),$G234&gt;=60),MIN(INDEX($E$34:$E234,202-60):$E234),"")</f>
        <v>95842107</v>
      </c>
      <c r="O234" s="53" t="n">
        <f aca="false">IF(OR(NOT(ISNUMBER($C234)),NOT(ISNUMBER($M234)),$M234=0),"",$C234/$M234-1)</f>
        <v>-0.0661386952106805</v>
      </c>
      <c r="P234" s="54"/>
      <c r="Q234" s="53" t="str">
        <f aca="false">IF(NOT(ISNUMBER($P234)),"",IFERROR(PERCENTRANK($P$5:$P$1204,$P234),""))</f>
        <v/>
      </c>
    </row>
    <row r="235" customFormat="false" ht="15" hidden="false" customHeight="false" outlineLevel="0" collapsed="false">
      <c r="A235" s="47" t="n">
        <v>45892</v>
      </c>
      <c r="B235" s="48" t="s">
        <v>383</v>
      </c>
      <c r="C235" s="49" t="n">
        <v>105633833</v>
      </c>
      <c r="D235" s="49" t="n">
        <v>105659862</v>
      </c>
      <c r="E235" s="49" t="n">
        <v>105513389</v>
      </c>
      <c r="F235" s="49" t="n">
        <v>0</v>
      </c>
      <c r="G235" s="50" t="n">
        <f aca="false">IF($A235="","",IF(ISNUMBER($G234),$G234+1,1))</f>
        <v>231</v>
      </c>
      <c r="H235" s="51" t="n">
        <f aca="false">IF(OR(NOT(ISNUMBER($G235)),$G235&lt;2,NOT(ISNUMBER($C234)),$C234=0),"",$C235/$C234-1)</f>
        <v>0.0101136312216696</v>
      </c>
      <c r="I235" s="52" t="n">
        <f aca="false">IF(AND(ISNUMBER($G235),$G235&gt;=MA_SHORT),AVERAGE(INDEX($C$5:$C235,232-MA_SHORT):$C235),"")</f>
        <v>103130501.55</v>
      </c>
      <c r="J235" s="52" t="n">
        <f aca="false">IF(AND(ISNUMBER($G235),$G235&gt;=MA_MED),AVERAGE(INDEX($C$5:$C235,232-MA_MED):$C235),"")</f>
        <v>104559826.24</v>
      </c>
      <c r="K235" s="52" t="n">
        <f aca="false">IF(AND(ISNUMBER($G235),$G235&gt;=MA_LONG2),AVERAGE(INDEX($C$5:$C235,232-MA_LONG2):$C235),"")</f>
        <v>95612216.995</v>
      </c>
      <c r="L235" s="53" t="n">
        <f aca="false">IF(AND(ISNUMBER($G235),$G235&gt;=21),STDEV(INDEX($H$175:$H235,62-20):$H235)*SQRT(245),"")</f>
        <v>0.216265754416223</v>
      </c>
      <c r="M235" s="52" t="n">
        <f aca="false">IF(AND(ISNUMBER($G235),$G235&gt;=60),MAX(INDEX($D$35:$D235,202-60):$D235),"")</f>
        <v>111982569</v>
      </c>
      <c r="N235" s="52" t="n">
        <f aca="false">IF(AND(ISNUMBER($G235),$G235&gt;=60),MIN(INDEX($E$35:$E235,202-60):$E235),"")</f>
        <v>95842107</v>
      </c>
      <c r="O235" s="53" t="n">
        <f aca="false">IF(OR(NOT(ISNUMBER($C235)),NOT(ISNUMBER($M235)),$M235=0),"",$C235/$M235-1)</f>
        <v>-0.0566939663618541</v>
      </c>
      <c r="P235" s="54"/>
      <c r="Q235" s="53" t="str">
        <f aca="false">IF(NOT(ISNUMBER($P235)),"",IFERROR(PERCENTRANK($P$5:$P$1204,$P235),""))</f>
        <v/>
      </c>
    </row>
    <row r="236" customFormat="false" ht="15" hidden="false" customHeight="false" outlineLevel="0" collapsed="false">
      <c r="A236" s="47" t="n">
        <v>45893</v>
      </c>
      <c r="B236" s="48" t="s">
        <v>384</v>
      </c>
      <c r="C236" s="49" t="n">
        <v>104895153</v>
      </c>
      <c r="D236" s="49" t="n">
        <v>104999486</v>
      </c>
      <c r="E236" s="49" t="n">
        <v>104490685</v>
      </c>
      <c r="F236" s="49" t="n">
        <v>0</v>
      </c>
      <c r="G236" s="50" t="n">
        <f aca="false">IF($A236="","",IF(ISNUMBER($G235),$G235+1,1))</f>
        <v>232</v>
      </c>
      <c r="H236" s="51" t="n">
        <f aca="false">IF(OR(NOT(ISNUMBER($G236)),$G236&lt;2,NOT(ISNUMBER($C235)),$C235=0),"",$C236/$C235-1)</f>
        <v>-0.00699283533524719</v>
      </c>
      <c r="I236" s="52" t="n">
        <f aca="false">IF(AND(ISNUMBER($G236),$G236&gt;=MA_SHORT),AVERAGE(INDEX($C$5:$C236,233-MA_SHORT):$C236),"")</f>
        <v>103145131.75</v>
      </c>
      <c r="J236" s="52" t="n">
        <f aca="false">IF(AND(ISNUMBER($G236),$G236&gt;=MA_MED),AVERAGE(INDEX($C$5:$C236,233-MA_MED):$C236),"")</f>
        <v>104664324.66</v>
      </c>
      <c r="K236" s="52" t="n">
        <f aca="false">IF(AND(ISNUMBER($G236),$G236&gt;=MA_LONG2),AVERAGE(INDEX($C$5:$C236,233-MA_LONG2):$C236),"")</f>
        <v>95720015.64</v>
      </c>
      <c r="L236" s="53" t="n">
        <f aca="false">IF(AND(ISNUMBER($G236),$G236&gt;=21),STDEV(INDEX($H$176:$H236,62-20):$H236)*SQRT(245),"")</f>
        <v>0.21471459196937</v>
      </c>
      <c r="M236" s="52" t="n">
        <f aca="false">IF(AND(ISNUMBER($G236),$G236&gt;=60),MAX(INDEX($D$36:$D236,202-60):$D236),"")</f>
        <v>111982569</v>
      </c>
      <c r="N236" s="52" t="n">
        <f aca="false">IF(AND(ISNUMBER($G236),$G236&gt;=60),MIN(INDEX($E$36:$E236,202-60):$E236),"")</f>
        <v>95842107</v>
      </c>
      <c r="O236" s="53" t="n">
        <f aca="false">IF(OR(NOT(ISNUMBER($C236)),NOT(ISNUMBER($M236)),$M236=0),"",$C236/$M236-1)</f>
        <v>-0.0632903501258307</v>
      </c>
      <c r="P236" s="54"/>
      <c r="Q236" s="53" t="str">
        <f aca="false">IF(NOT(ISNUMBER($P236)),"",IFERROR(PERCENTRANK($P$5:$P$1204,$P236),""))</f>
        <v/>
      </c>
    </row>
    <row r="237" customFormat="false" ht="15" hidden="false" customHeight="false" outlineLevel="0" collapsed="false">
      <c r="A237" s="47" t="n">
        <v>45894</v>
      </c>
      <c r="B237" s="48" t="s">
        <v>385</v>
      </c>
      <c r="C237" s="49" t="n">
        <v>103274129</v>
      </c>
      <c r="D237" s="49" t="n">
        <v>103842973</v>
      </c>
      <c r="E237" s="49" t="n">
        <v>103214584</v>
      </c>
      <c r="F237" s="49" t="n">
        <v>0</v>
      </c>
      <c r="G237" s="50" t="n">
        <f aca="false">IF($A237="","",IF(ISNUMBER($G236),$G236+1,1))</f>
        <v>233</v>
      </c>
      <c r="H237" s="51" t="n">
        <f aca="false">IF(OR(NOT(ISNUMBER($G237)),$G237&lt;2,NOT(ISNUMBER($C236)),$C236=0),"",$C237/$C236-1)</f>
        <v>-0.0154537550462412</v>
      </c>
      <c r="I237" s="52" t="n">
        <f aca="false">IF(AND(ISNUMBER($G237),$G237&gt;=MA_SHORT),AVERAGE(INDEX($C$5:$C237,234-MA_SHORT):$C237),"")</f>
        <v>103036429.75</v>
      </c>
      <c r="J237" s="52" t="n">
        <f aca="false">IF(AND(ISNUMBER($G237),$G237&gt;=MA_MED),AVERAGE(INDEX($C$5:$C237,234-MA_MED):$C237),"")</f>
        <v>104736795.6</v>
      </c>
      <c r="K237" s="52" t="n">
        <f aca="false">IF(AND(ISNUMBER($G237),$G237&gt;=MA_LONG2),AVERAGE(INDEX($C$5:$C237,234-MA_LONG2):$C237),"")</f>
        <v>95820323.325</v>
      </c>
      <c r="L237" s="53" t="n">
        <f aca="false">IF(AND(ISNUMBER($G237),$G237&gt;=21),STDEV(INDEX($H$177:$H237,62-20):$H237)*SQRT(245),"")</f>
        <v>0.219365221575625</v>
      </c>
      <c r="M237" s="52" t="n">
        <f aca="false">IF(AND(ISNUMBER($G237),$G237&gt;=60),MAX(INDEX($D$37:$D237,202-60):$D237),"")</f>
        <v>111982569</v>
      </c>
      <c r="N237" s="52" t="n">
        <f aca="false">IF(AND(ISNUMBER($G237),$G237&gt;=60),MIN(INDEX($E$37:$E237,202-60):$E237),"")</f>
        <v>95842107</v>
      </c>
      <c r="O237" s="53" t="n">
        <f aca="false">IF(OR(NOT(ISNUMBER($C237)),NOT(ISNUMBER($M237)),$M237=0),"",$C237/$M237-1)</f>
        <v>-0.0777660316044366</v>
      </c>
      <c r="P237" s="54"/>
      <c r="Q237" s="53" t="str">
        <f aca="false">IF(NOT(ISNUMBER($P237)),"",IFERROR(PERCENTRANK($P$5:$P$1204,$P237),""))</f>
        <v/>
      </c>
    </row>
    <row r="238" customFormat="false" ht="15" hidden="false" customHeight="false" outlineLevel="0" collapsed="false">
      <c r="A238" s="47" t="n">
        <v>45895</v>
      </c>
      <c r="B238" s="48" t="s">
        <v>386</v>
      </c>
      <c r="C238" s="49" t="n">
        <v>102551506</v>
      </c>
      <c r="D238" s="49" t="n">
        <v>102783080</v>
      </c>
      <c r="E238" s="49" t="n">
        <v>102446069</v>
      </c>
      <c r="F238" s="49" t="n">
        <v>0</v>
      </c>
      <c r="G238" s="50" t="n">
        <f aca="false">IF($A238="","",IF(ISNUMBER($G237),$G237+1,1))</f>
        <v>234</v>
      </c>
      <c r="H238" s="51" t="n">
        <f aca="false">IF(OR(NOT(ISNUMBER($G238)),$G238&lt;2,NOT(ISNUMBER($C237)),$C237=0),"",$C238/$C237-1)</f>
        <v>-0.00699713478096731</v>
      </c>
      <c r="I238" s="52" t="n">
        <f aca="false">IF(AND(ISNUMBER($G238),$G238&gt;=MA_SHORT),AVERAGE(INDEX($C$5:$C238,235-MA_SHORT):$C238),"")</f>
        <v>102950349.45</v>
      </c>
      <c r="J238" s="52" t="n">
        <f aca="false">IF(AND(ISNUMBER($G238),$G238&gt;=MA_MED),AVERAGE(INDEX($C$5:$C238,235-MA_MED):$C238),"")</f>
        <v>104825191.44</v>
      </c>
      <c r="K238" s="52" t="n">
        <f aca="false">IF(AND(ISNUMBER($G238),$G238&gt;=MA_LONG2),AVERAGE(INDEX($C$5:$C238,235-MA_LONG2):$C238),"")</f>
        <v>95909667.515</v>
      </c>
      <c r="L238" s="53" t="n">
        <f aca="false">IF(AND(ISNUMBER($G238),$G238&gt;=21),STDEV(INDEX($H$178:$H238,62-20):$H238)*SQRT(245),"")</f>
        <v>0.217350983689193</v>
      </c>
      <c r="M238" s="52" t="n">
        <f aca="false">IF(AND(ISNUMBER($G238),$G238&gt;=60),MAX(INDEX($D$38:$D238,202-60):$D238),"")</f>
        <v>111982569</v>
      </c>
      <c r="N238" s="52" t="n">
        <f aca="false">IF(AND(ISNUMBER($G238),$G238&gt;=60),MIN(INDEX($E$38:$E238,202-60):$E238),"")</f>
        <v>95842107</v>
      </c>
      <c r="O238" s="53" t="n">
        <f aca="false">IF(OR(NOT(ISNUMBER($C238)),NOT(ISNUMBER($M238)),$M238=0),"",$C238/$M238-1)</f>
        <v>-0.0842190269808867</v>
      </c>
      <c r="P238" s="54"/>
      <c r="Q238" s="53" t="str">
        <f aca="false">IF(NOT(ISNUMBER($P238)),"",IFERROR(PERCENTRANK($P$5:$P$1204,$P238),""))</f>
        <v/>
      </c>
    </row>
    <row r="239" customFormat="false" ht="15" hidden="false" customHeight="false" outlineLevel="0" collapsed="false">
      <c r="A239" s="47" t="n">
        <v>45896</v>
      </c>
      <c r="B239" s="48" t="s">
        <v>387</v>
      </c>
      <c r="C239" s="49" t="n">
        <v>103571484</v>
      </c>
      <c r="D239" s="49" t="n">
        <v>104339553</v>
      </c>
      <c r="E239" s="49" t="n">
        <v>103269034</v>
      </c>
      <c r="F239" s="49" t="n">
        <v>0</v>
      </c>
      <c r="G239" s="50" t="n">
        <f aca="false">IF($A239="","",IF(ISNUMBER($G238),$G238+1,1))</f>
        <v>235</v>
      </c>
      <c r="H239" s="51" t="n">
        <f aca="false">IF(OR(NOT(ISNUMBER($G239)),$G239&lt;2,NOT(ISNUMBER($C238)),$C238=0),"",$C239/$C238-1)</f>
        <v>0.00994600703377291</v>
      </c>
      <c r="I239" s="52" t="n">
        <f aca="false">IF(AND(ISNUMBER($G239),$G239&gt;=MA_SHORT),AVERAGE(INDEX($C$5:$C239,236-MA_SHORT):$C239),"")</f>
        <v>102961139.85</v>
      </c>
      <c r="J239" s="52" t="n">
        <f aca="false">IF(AND(ISNUMBER($G239),$G239&gt;=MA_MED),AVERAGE(INDEX($C$5:$C239,236-MA_MED):$C239),"")</f>
        <v>104894207.86</v>
      </c>
      <c r="K239" s="52" t="n">
        <f aca="false">IF(AND(ISNUMBER($G239),$G239&gt;=MA_LONG2),AVERAGE(INDEX($C$5:$C239,236-MA_LONG2):$C239),"")</f>
        <v>96002610.915</v>
      </c>
      <c r="L239" s="53" t="n">
        <f aca="false">IF(AND(ISNUMBER($G239),$G239&gt;=21),STDEV(INDEX($H$179:$H239,62-20):$H239)*SQRT(245),"")</f>
        <v>0.218289227137946</v>
      </c>
      <c r="M239" s="52" t="n">
        <f aca="false">IF(AND(ISNUMBER($G239),$G239&gt;=60),MAX(INDEX($D$39:$D239,202-60):$D239),"")</f>
        <v>111982569</v>
      </c>
      <c r="N239" s="52" t="n">
        <f aca="false">IF(AND(ISNUMBER($G239),$G239&gt;=60),MIN(INDEX($E$39:$E239,202-60):$E239),"")</f>
        <v>95842107</v>
      </c>
      <c r="O239" s="53" t="n">
        <f aca="false">IF(OR(NOT(ISNUMBER($C239)),NOT(ISNUMBER($M239)),$M239=0),"",$C239/$M239-1)</f>
        <v>-0.0751106629818432</v>
      </c>
      <c r="P239" s="54"/>
      <c r="Q239" s="53" t="str">
        <f aca="false">IF(NOT(ISNUMBER($P239)),"",IFERROR(PERCENTRANK($P$5:$P$1204,$P239),""))</f>
        <v/>
      </c>
    </row>
    <row r="240" customFormat="false" ht="15" hidden="false" customHeight="false" outlineLevel="0" collapsed="false">
      <c r="A240" s="47" t="n">
        <v>45899</v>
      </c>
      <c r="B240" s="48" t="s">
        <v>388</v>
      </c>
      <c r="C240" s="49" t="n">
        <v>104535665</v>
      </c>
      <c r="D240" s="49" t="n">
        <v>104643586</v>
      </c>
      <c r="E240" s="49" t="n">
        <v>104083589</v>
      </c>
      <c r="F240" s="49" t="n">
        <v>0</v>
      </c>
      <c r="G240" s="50" t="n">
        <f aca="false">IF($A240="","",IF(ISNUMBER($G239),$G239+1,1))</f>
        <v>236</v>
      </c>
      <c r="H240" s="51" t="n">
        <f aca="false">IF(OR(NOT(ISNUMBER($G240)),$G240&lt;2,NOT(ISNUMBER($C239)),$C239=0),"",$C240/$C239-1)</f>
        <v>0.00930932881100755</v>
      </c>
      <c r="I240" s="52" t="n">
        <f aca="false">IF(AND(ISNUMBER($G240),$G240&gt;=MA_SHORT),AVERAGE(INDEX($C$5:$C240,237-MA_SHORT):$C240),"")</f>
        <v>102967870.4</v>
      </c>
      <c r="J240" s="52" t="n">
        <f aca="false">IF(AND(ISNUMBER($G240),$G240&gt;=MA_MED),AVERAGE(INDEX($C$5:$C240,237-MA_MED):$C240),"")</f>
        <v>104933497.9</v>
      </c>
      <c r="K240" s="52" t="n">
        <f aca="false">IF(AND(ISNUMBER($G240),$G240&gt;=MA_LONG2),AVERAGE(INDEX($C$5:$C240,237-MA_LONG2):$C240),"")</f>
        <v>96087023.815</v>
      </c>
      <c r="L240" s="53" t="n">
        <f aca="false">IF(AND(ISNUMBER($G240),$G240&gt;=21),STDEV(INDEX($H$180:$H240,62-20):$H240)*SQRT(245),"")</f>
        <v>0.217835309228175</v>
      </c>
      <c r="M240" s="52" t="n">
        <f aca="false">IF(AND(ISNUMBER($G240),$G240&gt;=60),MAX(INDEX($D$40:$D240,202-60):$D240),"")</f>
        <v>111982569</v>
      </c>
      <c r="N240" s="52" t="n">
        <f aca="false">IF(AND(ISNUMBER($G240),$G240&gt;=60),MIN(INDEX($E$40:$E240,202-60):$E240),"")</f>
        <v>95842107</v>
      </c>
      <c r="O240" s="53" t="n">
        <f aca="false">IF(OR(NOT(ISNUMBER($C240)),NOT(ISNUMBER($M240)),$M240=0),"",$C240/$M240-1)</f>
        <v>-0.0665005640297465</v>
      </c>
      <c r="P240" s="54"/>
      <c r="Q240" s="53" t="str">
        <f aca="false">IF(NOT(ISNUMBER($P240)),"",IFERROR(PERCENTRANK($P$5:$P$1204,$P240),""))</f>
        <v/>
      </c>
    </row>
    <row r="241" customFormat="false" ht="15" hidden="false" customHeight="false" outlineLevel="0" collapsed="false">
      <c r="A241" s="47" t="n">
        <v>45900</v>
      </c>
      <c r="B241" s="48" t="s">
        <v>389</v>
      </c>
      <c r="C241" s="49" t="n">
        <v>105123037</v>
      </c>
      <c r="D241" s="49" t="n">
        <v>105865283</v>
      </c>
      <c r="E241" s="49" t="n">
        <v>105118142</v>
      </c>
      <c r="F241" s="49" t="n">
        <v>0</v>
      </c>
      <c r="G241" s="50" t="n">
        <f aca="false">IF($A241="","",IF(ISNUMBER($G240),$G240+1,1))</f>
        <v>237</v>
      </c>
      <c r="H241" s="51" t="n">
        <f aca="false">IF(OR(NOT(ISNUMBER($G241)),$G241&lt;2,NOT(ISNUMBER($C240)),$C240=0),"",$C241/$C240-1)</f>
        <v>0.0056188670153865</v>
      </c>
      <c r="I241" s="52" t="n">
        <f aca="false">IF(AND(ISNUMBER($G241),$G241&gt;=MA_SHORT),AVERAGE(INDEX($C$5:$C241,238-MA_SHORT):$C241),"")</f>
        <v>103061315.25</v>
      </c>
      <c r="J241" s="52" t="n">
        <f aca="false">IF(AND(ISNUMBER($G241),$G241&gt;=MA_MED),AVERAGE(INDEX($C$5:$C241,238-MA_MED):$C241),"")</f>
        <v>104958076.2</v>
      </c>
      <c r="K241" s="52" t="n">
        <f aca="false">IF(AND(ISNUMBER($G241),$G241&gt;=MA_LONG2),AVERAGE(INDEX($C$5:$C241,238-MA_LONG2):$C241),"")</f>
        <v>96180305</v>
      </c>
      <c r="L241" s="53" t="n">
        <f aca="false">IF(AND(ISNUMBER($G241),$G241&gt;=21),STDEV(INDEX($H$181:$H241,62-20):$H241)*SQRT(245),"")</f>
        <v>0.214611974468774</v>
      </c>
      <c r="M241" s="52" t="n">
        <f aca="false">IF(AND(ISNUMBER($G241),$G241&gt;=60),MAX(INDEX($D$41:$D241,202-60):$D241),"")</f>
        <v>111982569</v>
      </c>
      <c r="N241" s="52" t="n">
        <f aca="false">IF(AND(ISNUMBER($G241),$G241&gt;=60),MIN(INDEX($E$41:$E241,202-60):$E241),"")</f>
        <v>95842107</v>
      </c>
      <c r="O241" s="53" t="n">
        <f aca="false">IF(OR(NOT(ISNUMBER($C241)),NOT(ISNUMBER($M241)),$M241=0),"",$C241/$M241-1)</f>
        <v>-0.0612553548400913</v>
      </c>
      <c r="P241" s="54"/>
      <c r="Q241" s="53" t="str">
        <f aca="false">IF(NOT(ISNUMBER($P241)),"",IFERROR(PERCENTRANK($P$5:$P$1204,$P241),""))</f>
        <v/>
      </c>
    </row>
    <row r="242" customFormat="false" ht="15" hidden="false" customHeight="false" outlineLevel="0" collapsed="false">
      <c r="A242" s="47" t="n">
        <v>45901</v>
      </c>
      <c r="B242" s="48" t="s">
        <v>390</v>
      </c>
      <c r="C242" s="49" t="n">
        <v>104881577</v>
      </c>
      <c r="D242" s="49" t="n">
        <v>105115932</v>
      </c>
      <c r="E242" s="49" t="n">
        <v>103960736</v>
      </c>
      <c r="F242" s="49" t="n">
        <v>0</v>
      </c>
      <c r="G242" s="50" t="n">
        <f aca="false">IF($A242="","",IF(ISNUMBER($G241),$G241+1,1))</f>
        <v>238</v>
      </c>
      <c r="H242" s="51" t="n">
        <f aca="false">IF(OR(NOT(ISNUMBER($G242)),$G242&lt;2,NOT(ISNUMBER($C241)),$C241=0),"",$C242/$C241-1)</f>
        <v>-0.002296927551665</v>
      </c>
      <c r="I242" s="52" t="n">
        <f aca="false">IF(AND(ISNUMBER($G242),$G242&gt;=MA_SHORT),AVERAGE(INDEX($C$5:$C242,239-MA_SHORT):$C242),"")</f>
        <v>103140643.3</v>
      </c>
      <c r="J242" s="52" t="n">
        <f aca="false">IF(AND(ISNUMBER($G242),$G242&gt;=MA_MED),AVERAGE(INDEX($C$5:$C242,239-MA_MED):$C242),"")</f>
        <v>104947249.92</v>
      </c>
      <c r="K242" s="52" t="n">
        <f aca="false">IF(AND(ISNUMBER($G242),$G242&gt;=MA_LONG2),AVERAGE(INDEX($C$5:$C242,239-MA_LONG2):$C242),"")</f>
        <v>96274169.275</v>
      </c>
      <c r="L242" s="53" t="n">
        <f aca="false">IF(AND(ISNUMBER($G242),$G242&gt;=21),STDEV(INDEX($H$182:$H242,62-20):$H242)*SQRT(245),"")</f>
        <v>0.214914327364192</v>
      </c>
      <c r="M242" s="52" t="n">
        <f aca="false">IF(AND(ISNUMBER($G242),$G242&gt;=60),MAX(INDEX($D$42:$D242,202-60):$D242),"")</f>
        <v>111982569</v>
      </c>
      <c r="N242" s="52" t="n">
        <f aca="false">IF(AND(ISNUMBER($G242),$G242&gt;=60),MIN(INDEX($E$42:$E242,202-60):$E242),"")</f>
        <v>95842107</v>
      </c>
      <c r="O242" s="53" t="n">
        <f aca="false">IF(OR(NOT(ISNUMBER($C242)),NOT(ISNUMBER($M242)),$M242=0),"",$C242/$M242-1)</f>
        <v>-0.063411583279537</v>
      </c>
      <c r="P242" s="54"/>
      <c r="Q242" s="53" t="str">
        <f aca="false">IF(NOT(ISNUMBER($P242)),"",IFERROR(PERCENTRANK($P$5:$P$1204,$P242),""))</f>
        <v/>
      </c>
    </row>
    <row r="243" customFormat="false" ht="15" hidden="false" customHeight="false" outlineLevel="0" collapsed="false">
      <c r="A243" s="47" t="n">
        <v>45902</v>
      </c>
      <c r="B243" s="48" t="s">
        <v>391</v>
      </c>
      <c r="C243" s="49" t="n">
        <v>104792337</v>
      </c>
      <c r="D243" s="49" t="n">
        <v>105501338</v>
      </c>
      <c r="E243" s="49" t="n">
        <v>104680200</v>
      </c>
      <c r="F243" s="49" t="n">
        <v>0</v>
      </c>
      <c r="G243" s="50" t="n">
        <f aca="false">IF($A243="","",IF(ISNUMBER($G242),$G242+1,1))</f>
        <v>239</v>
      </c>
      <c r="H243" s="51" t="n">
        <f aca="false">IF(OR(NOT(ISNUMBER($G243)),$G243&lt;2,NOT(ISNUMBER($C242)),$C242=0),"",$C243/$C242-1)</f>
        <v>-0.000850864399188023</v>
      </c>
      <c r="I243" s="52" t="n">
        <f aca="false">IF(AND(ISNUMBER($G243),$G243&gt;=MA_SHORT),AVERAGE(INDEX($C$5:$C243,240-MA_SHORT):$C243),"")</f>
        <v>103160330.7</v>
      </c>
      <c r="J243" s="52" t="n">
        <f aca="false">IF(AND(ISNUMBER($G243),$G243&gt;=MA_MED),AVERAGE(INDEX($C$5:$C243,240-MA_MED):$C243),"")</f>
        <v>104915266.66</v>
      </c>
      <c r="K243" s="52" t="n">
        <f aca="false">IF(AND(ISNUMBER($G243),$G243&gt;=MA_LONG2),AVERAGE(INDEX($C$5:$C243,240-MA_LONG2):$C243),"")</f>
        <v>96378488.805</v>
      </c>
      <c r="L243" s="53" t="n">
        <f aca="false">IF(AND(ISNUMBER($G243),$G243&gt;=21),STDEV(INDEX($H$183:$H243,62-20):$H243)*SQRT(245),"")</f>
        <v>0.211880649443306</v>
      </c>
      <c r="M243" s="52" t="n">
        <f aca="false">IF(AND(ISNUMBER($G243),$G243&gt;=60),MAX(INDEX($D$43:$D243,202-60):$D243),"")</f>
        <v>111982569</v>
      </c>
      <c r="N243" s="52" t="n">
        <f aca="false">IF(AND(ISNUMBER($G243),$G243&gt;=60),MIN(INDEX($E$43:$E243,202-60):$E243),"")</f>
        <v>95842107</v>
      </c>
      <c r="O243" s="53" t="n">
        <f aca="false">IF(OR(NOT(ISNUMBER($C243)),NOT(ISNUMBER($M243)),$M243=0),"",$C243/$M243-1)</f>
        <v>-0.0642084930200164</v>
      </c>
      <c r="P243" s="54"/>
      <c r="Q243" s="53" t="str">
        <f aca="false">IF(NOT(ISNUMBER($P243)),"",IFERROR(PERCENTRANK($P$5:$P$1204,$P243),""))</f>
        <v/>
      </c>
    </row>
    <row r="244" customFormat="false" ht="15" hidden="false" customHeight="false" outlineLevel="0" collapsed="false">
      <c r="A244" s="47" t="n">
        <v>45903</v>
      </c>
      <c r="B244" s="48" t="s">
        <v>392</v>
      </c>
      <c r="C244" s="49" t="n">
        <v>105591067</v>
      </c>
      <c r="D244" s="49" t="n">
        <v>106169185</v>
      </c>
      <c r="E244" s="49" t="n">
        <v>105551709</v>
      </c>
      <c r="F244" s="49" t="n">
        <v>0</v>
      </c>
      <c r="G244" s="50" t="n">
        <f aca="false">IF($A244="","",IF(ISNUMBER($G243),$G243+1,1))</f>
        <v>240</v>
      </c>
      <c r="H244" s="51" t="n">
        <f aca="false">IF(OR(NOT(ISNUMBER($G244)),$G244&lt;2,NOT(ISNUMBER($C243)),$C243=0),"",$C244/$C243-1)</f>
        <v>0.00762202678999335</v>
      </c>
      <c r="I244" s="52" t="n">
        <f aca="false">IF(AND(ISNUMBER($G244),$G244&gt;=MA_SHORT),AVERAGE(INDEX($C$5:$C244,241-MA_SHORT):$C244),"")</f>
        <v>103242671.95</v>
      </c>
      <c r="J244" s="52" t="n">
        <f aca="false">IF(AND(ISNUMBER($G244),$G244&gt;=MA_MED),AVERAGE(INDEX($C$5:$C244,241-MA_MED):$C244),"")</f>
        <v>104925020.78</v>
      </c>
      <c r="K244" s="52" t="n">
        <f aca="false">IF(AND(ISNUMBER($G244),$G244&gt;=MA_LONG2),AVERAGE(INDEX($C$5:$C244,241-MA_LONG2):$C244),"")</f>
        <v>96491421.855</v>
      </c>
      <c r="L244" s="53" t="n">
        <f aca="false">IF(AND(ISNUMBER($G244),$G244&gt;=21),STDEV(INDEX($H$184:$H244,62-20):$H244)*SQRT(245),"")</f>
        <v>0.212651802713248</v>
      </c>
      <c r="M244" s="52" t="n">
        <f aca="false">IF(AND(ISNUMBER($G244),$G244&gt;=60),MAX(INDEX($D$44:$D244,202-60):$D244),"")</f>
        <v>111982569</v>
      </c>
      <c r="N244" s="52" t="n">
        <f aca="false">IF(AND(ISNUMBER($G244),$G244&gt;=60),MIN(INDEX($E$44:$E244,202-60):$E244),"")</f>
        <v>95842107</v>
      </c>
      <c r="O244" s="53" t="n">
        <f aca="false">IF(OR(NOT(ISNUMBER($C244)),NOT(ISNUMBER($M244)),$M244=0),"",$C244/$M244-1)</f>
        <v>-0.0570758650839668</v>
      </c>
      <c r="P244" s="54"/>
      <c r="Q244" s="53" t="str">
        <f aca="false">IF(NOT(ISNUMBER($P244)),"",IFERROR(PERCENTRANK($P$5:$P$1204,$P244),""))</f>
        <v/>
      </c>
    </row>
    <row r="245" customFormat="false" ht="15" hidden="false" customHeight="false" outlineLevel="0" collapsed="false">
      <c r="A245" s="47" t="n">
        <v>45906</v>
      </c>
      <c r="B245" s="48" t="s">
        <v>393</v>
      </c>
      <c r="C245" s="49" t="n">
        <v>107669093</v>
      </c>
      <c r="D245" s="49" t="n">
        <v>108288197</v>
      </c>
      <c r="E245" s="49" t="n">
        <v>106782675</v>
      </c>
      <c r="F245" s="49" t="n">
        <v>0</v>
      </c>
      <c r="G245" s="50" t="n">
        <f aca="false">IF($A245="","",IF(ISNUMBER($G244),$G244+1,1))</f>
        <v>241</v>
      </c>
      <c r="H245" s="51" t="n">
        <f aca="false">IF(OR(NOT(ISNUMBER($G245)),$G245&lt;2,NOT(ISNUMBER($C244)),$C244=0),"",$C245/$C244-1)</f>
        <v>0.0196799412965492</v>
      </c>
      <c r="I245" s="52" t="n">
        <f aca="false">IF(AND(ISNUMBER($G245),$G245&gt;=MA_SHORT),AVERAGE(INDEX($C$5:$C245,242-MA_SHORT):$C245),"")</f>
        <v>103411196.25</v>
      </c>
      <c r="J245" s="52" t="n">
        <f aca="false">IF(AND(ISNUMBER($G245),$G245&gt;=MA_MED),AVERAGE(INDEX($C$5:$C245,242-MA_MED):$C245),"")</f>
        <v>104992428</v>
      </c>
      <c r="K245" s="52" t="n">
        <f aca="false">IF(AND(ISNUMBER($G245),$G245&gt;=MA_LONG2),AVERAGE(INDEX($C$5:$C245,242-MA_LONG2):$C245),"")</f>
        <v>96615690.295</v>
      </c>
      <c r="L245" s="53" t="n">
        <f aca="false">IF(AND(ISNUMBER($G245),$G245&gt;=21),STDEV(INDEX($H$185:$H245,62-20):$H245)*SQRT(245),"")</f>
        <v>0.222547842109939</v>
      </c>
      <c r="M245" s="52" t="n">
        <f aca="false">IF(AND(ISNUMBER($G245),$G245&gt;=60),MAX(INDEX($D$45:$D245,202-60):$D245),"")</f>
        <v>111982569</v>
      </c>
      <c r="N245" s="52" t="n">
        <f aca="false">IF(AND(ISNUMBER($G245),$G245&gt;=60),MIN(INDEX($E$45:$E245,202-60):$E245),"")</f>
        <v>97781726</v>
      </c>
      <c r="O245" s="53" t="n">
        <f aca="false">IF(OR(NOT(ISNUMBER($C245)),NOT(ISNUMBER($M245)),$M245=0),"",$C245/$M245-1)</f>
        <v>-0.0385191734617197</v>
      </c>
      <c r="P245" s="54"/>
      <c r="Q245" s="53" t="str">
        <f aca="false">IF(NOT(ISNUMBER($P245)),"",IFERROR(PERCENTRANK($P$5:$P$1204,$P245),""))</f>
        <v/>
      </c>
    </row>
    <row r="246" customFormat="false" ht="15" hidden="false" customHeight="false" outlineLevel="0" collapsed="false">
      <c r="A246" s="47" t="n">
        <v>45907</v>
      </c>
      <c r="B246" s="48" t="s">
        <v>394</v>
      </c>
      <c r="C246" s="49" t="n">
        <v>106349500</v>
      </c>
      <c r="D246" s="49" t="n">
        <v>106707110</v>
      </c>
      <c r="E246" s="49" t="n">
        <v>106110935</v>
      </c>
      <c r="F246" s="49" t="n">
        <v>0</v>
      </c>
      <c r="G246" s="50" t="n">
        <f aca="false">IF($A246="","",IF(ISNUMBER($G245),$G245+1,1))</f>
        <v>242</v>
      </c>
      <c r="H246" s="51" t="n">
        <f aca="false">IF(OR(NOT(ISNUMBER($G246)),$G246&lt;2,NOT(ISNUMBER($C245)),$C245=0),"",$C246/$C245-1)</f>
        <v>-0.0122560055372622</v>
      </c>
      <c r="I246" s="52" t="n">
        <f aca="false">IF(AND(ISNUMBER($G246),$G246&gt;=MA_SHORT),AVERAGE(INDEX($C$5:$C246,243-MA_SHORT):$C246),"")</f>
        <v>103620594.55</v>
      </c>
      <c r="J246" s="52" t="n">
        <f aca="false">IF(AND(ISNUMBER($G246),$G246&gt;=MA_MED),AVERAGE(INDEX($C$5:$C246,243-MA_MED):$C246),"")</f>
        <v>105028570.4</v>
      </c>
      <c r="K246" s="52" t="n">
        <f aca="false">IF(AND(ISNUMBER($G246),$G246&gt;=MA_LONG2),AVERAGE(INDEX($C$5:$C246,243-MA_LONG2):$C246),"")</f>
        <v>96730188.595</v>
      </c>
      <c r="L246" s="53" t="n">
        <f aca="false">IF(AND(ISNUMBER($G246),$G246&gt;=21),STDEV(INDEX($H$186:$H246,62-20):$H246)*SQRT(245),"")</f>
        <v>0.213655461553225</v>
      </c>
      <c r="M246" s="52" t="n">
        <f aca="false">IF(AND(ISNUMBER($G246),$G246&gt;=60),MAX(INDEX($D$46:$D246,202-60):$D246),"")</f>
        <v>111982569</v>
      </c>
      <c r="N246" s="52" t="n">
        <f aca="false">IF(AND(ISNUMBER($G246),$G246&gt;=60),MIN(INDEX($E$46:$E246,202-60):$E246),"")</f>
        <v>97781726</v>
      </c>
      <c r="O246" s="53" t="n">
        <f aca="false">IF(OR(NOT(ISNUMBER($C246)),NOT(ISNUMBER($M246)),$M246=0),"",$C246/$M246-1)</f>
        <v>-0.0503030877957443</v>
      </c>
      <c r="P246" s="54"/>
      <c r="Q246" s="53" t="str">
        <f aca="false">IF(NOT(ISNUMBER($P246)),"",IFERROR(PERCENTRANK($P$5:$P$1204,$P246),""))</f>
        <v/>
      </c>
    </row>
    <row r="247" customFormat="false" ht="15" hidden="false" customHeight="false" outlineLevel="0" collapsed="false">
      <c r="A247" s="47" t="n">
        <v>45908</v>
      </c>
      <c r="B247" s="48" t="s">
        <v>395</v>
      </c>
      <c r="C247" s="49" t="n">
        <v>106022994</v>
      </c>
      <c r="D247" s="49" t="n">
        <v>106819418</v>
      </c>
      <c r="E247" s="49" t="n">
        <v>105448657</v>
      </c>
      <c r="F247" s="49" t="n">
        <v>0</v>
      </c>
      <c r="G247" s="50" t="n">
        <f aca="false">IF($A247="","",IF(ISNUMBER($G246),$G246+1,1))</f>
        <v>243</v>
      </c>
      <c r="H247" s="51" t="n">
        <f aca="false">IF(OR(NOT(ISNUMBER($G247)),$G247&lt;2,NOT(ISNUMBER($C246)),$C246=0),"",$C247/$C246-1)</f>
        <v>-0.003070122567572</v>
      </c>
      <c r="I247" s="52" t="n">
        <f aca="false">IF(AND(ISNUMBER($G247),$G247&gt;=MA_SHORT),AVERAGE(INDEX($C$5:$C247,244-MA_SHORT):$C247),"")</f>
        <v>103817953.2</v>
      </c>
      <c r="J247" s="52" t="n">
        <f aca="false">IF(AND(ISNUMBER($G247),$G247&gt;=MA_MED),AVERAGE(INDEX($C$5:$C247,244-MA_MED):$C247),"")</f>
        <v>105061786.72</v>
      </c>
      <c r="K247" s="52" t="n">
        <f aca="false">IF(AND(ISNUMBER($G247),$G247&gt;=MA_LONG2),AVERAGE(INDEX($C$5:$C247,244-MA_LONG2):$C247),"")</f>
        <v>96847776.165</v>
      </c>
      <c r="L247" s="53" t="n">
        <f aca="false">IF(AND(ISNUMBER($G247),$G247&gt;=21),STDEV(INDEX($H$187:$H247,62-20):$H247)*SQRT(245),"")</f>
        <v>0.214193164397986</v>
      </c>
      <c r="M247" s="52" t="n">
        <f aca="false">IF(AND(ISNUMBER($G247),$G247&gt;=60),MAX(INDEX($D$47:$D247,202-60):$D247),"")</f>
        <v>111982569</v>
      </c>
      <c r="N247" s="52" t="n">
        <f aca="false">IF(AND(ISNUMBER($G247),$G247&gt;=60),MIN(INDEX($E$47:$E247,202-60):$E247),"")</f>
        <v>97781726</v>
      </c>
      <c r="O247" s="53" t="n">
        <f aca="false">IF(OR(NOT(ISNUMBER($C247)),NOT(ISNUMBER($M247)),$M247=0),"",$C247/$M247-1)</f>
        <v>-0.0532187737182561</v>
      </c>
      <c r="P247" s="54"/>
      <c r="Q247" s="53" t="str">
        <f aca="false">IF(NOT(ISNUMBER($P247)),"",IFERROR(PERCENTRANK($P$5:$P$1204,$P247),""))</f>
        <v/>
      </c>
    </row>
    <row r="248" customFormat="false" ht="15" hidden="false" customHeight="false" outlineLevel="0" collapsed="false">
      <c r="A248" s="47" t="n">
        <v>45909</v>
      </c>
      <c r="B248" s="48" t="s">
        <v>396</v>
      </c>
      <c r="C248" s="49" t="n">
        <v>106148125</v>
      </c>
      <c r="D248" s="49" t="n">
        <v>106363351</v>
      </c>
      <c r="E248" s="49" t="n">
        <v>104995615</v>
      </c>
      <c r="F248" s="49" t="n">
        <v>0</v>
      </c>
      <c r="G248" s="50" t="n">
        <f aca="false">IF($A248="","",IF(ISNUMBER($G247),$G247+1,1))</f>
        <v>244</v>
      </c>
      <c r="H248" s="51" t="n">
        <f aca="false">IF(OR(NOT(ISNUMBER($G248)),$G248&lt;2,NOT(ISNUMBER($C247)),$C247=0),"",$C248/$C247-1)</f>
        <v>0.00118022511229965</v>
      </c>
      <c r="I248" s="52" t="n">
        <f aca="false">IF(AND(ISNUMBER($G248),$G248&gt;=MA_SHORT),AVERAGE(INDEX($C$5:$C248,245-MA_SHORT):$C248),"")</f>
        <v>104178948.1</v>
      </c>
      <c r="J248" s="52" t="n">
        <f aca="false">IF(AND(ISNUMBER($G248),$G248&gt;=MA_MED),AVERAGE(INDEX($C$5:$C248,245-MA_MED):$C248),"")</f>
        <v>105102910.8</v>
      </c>
      <c r="K248" s="52" t="n">
        <f aca="false">IF(AND(ISNUMBER($G248),$G248&gt;=MA_LONG2),AVERAGE(INDEX($C$5:$C248,245-MA_LONG2):$C248),"")</f>
        <v>96968174.9</v>
      </c>
      <c r="L248" s="53" t="n">
        <f aca="false">IF(AND(ISNUMBER($G248),$G248&gt;=21),STDEV(INDEX($H$188:$H248,62-20):$H248)*SQRT(245),"")</f>
        <v>0.17701273139747</v>
      </c>
      <c r="M248" s="52" t="n">
        <f aca="false">IF(AND(ISNUMBER($G248),$G248&gt;=60),MAX(INDEX($D$48:$D248,202-60):$D248),"")</f>
        <v>111982569</v>
      </c>
      <c r="N248" s="52" t="n">
        <f aca="false">IF(AND(ISNUMBER($G248),$G248&gt;=60),MIN(INDEX($E$48:$E248,202-60):$E248),"")</f>
        <v>97906459</v>
      </c>
      <c r="O248" s="53" t="n">
        <f aca="false">IF(OR(NOT(ISNUMBER($C248)),NOT(ISNUMBER($M248)),$M248=0),"",$C248/$M248-1)</f>
        <v>-0.0521013587391445</v>
      </c>
      <c r="P248" s="54"/>
      <c r="Q248" s="53" t="str">
        <f aca="false">IF(NOT(ISNUMBER($P248)),"",IFERROR(PERCENTRANK($P$5:$P$1204,$P248),""))</f>
        <v/>
      </c>
    </row>
    <row r="249" customFormat="false" ht="15" hidden="false" customHeight="false" outlineLevel="0" collapsed="false">
      <c r="A249" s="47" t="n">
        <v>45910</v>
      </c>
      <c r="B249" s="48" t="s">
        <v>397</v>
      </c>
      <c r="C249" s="49" t="n">
        <v>104721518</v>
      </c>
      <c r="D249" s="49" t="n">
        <v>104764634</v>
      </c>
      <c r="E249" s="49" t="n">
        <v>104617336</v>
      </c>
      <c r="F249" s="49" t="n">
        <v>0</v>
      </c>
      <c r="G249" s="50" t="n">
        <f aca="false">IF($A249="","",IF(ISNUMBER($G248),$G248+1,1))</f>
        <v>245</v>
      </c>
      <c r="H249" s="51" t="n">
        <f aca="false">IF(OR(NOT(ISNUMBER($G249)),$G249&lt;2,NOT(ISNUMBER($C248)),$C248=0),"",$C249/$C248-1)</f>
        <v>-0.0134397757850174</v>
      </c>
      <c r="I249" s="52" t="n">
        <f aca="false">IF(AND(ISNUMBER($G249),$G249&gt;=MA_SHORT),AVERAGE(INDEX($C$5:$C249,246-MA_SHORT):$C249),"")</f>
        <v>104504330.95</v>
      </c>
      <c r="J249" s="52" t="n">
        <f aca="false">IF(AND(ISNUMBER($G249),$G249&gt;=MA_MED),AVERAGE(INDEX($C$5:$C249,246-MA_MED):$C249),"")</f>
        <v>105078920.92</v>
      </c>
      <c r="K249" s="52" t="n">
        <f aca="false">IF(AND(ISNUMBER($G249),$G249&gt;=MA_LONG2),AVERAGE(INDEX($C$5:$C249,246-MA_LONG2):$C249),"")</f>
        <v>97088723.195</v>
      </c>
      <c r="L249" s="53" t="n">
        <f aca="false">IF(AND(ISNUMBER($G249),$G249&gt;=21),STDEV(INDEX($H$189:$H249,62-20):$H249)*SQRT(245),"")</f>
        <v>0.183141703517569</v>
      </c>
      <c r="M249" s="52" t="n">
        <f aca="false">IF(AND(ISNUMBER($G249),$G249&gt;=60),MAX(INDEX($D$49:$D249,202-60):$D249),"")</f>
        <v>111982569</v>
      </c>
      <c r="N249" s="52" t="n">
        <f aca="false">IF(AND(ISNUMBER($G249),$G249&gt;=60),MIN(INDEX($E$49:$E249,202-60):$E249),"")</f>
        <v>97906459</v>
      </c>
      <c r="O249" s="53" t="n">
        <f aca="false">IF(OR(NOT(ISNUMBER($C249)),NOT(ISNUMBER($M249)),$M249=0),"",$C249/$M249-1)</f>
        <v>-0.0648409039446131</v>
      </c>
      <c r="P249" s="54"/>
      <c r="Q249" s="53" t="str">
        <f aca="false">IF(NOT(ISNUMBER($P249)),"",IFERROR(PERCENTRANK($P$5:$P$1204,$P249),""))</f>
        <v/>
      </c>
    </row>
    <row r="250" customFormat="false" ht="15" hidden="false" customHeight="false" outlineLevel="0" collapsed="false">
      <c r="A250" s="47" t="n">
        <v>45913</v>
      </c>
      <c r="B250" s="48" t="s">
        <v>398</v>
      </c>
      <c r="C250" s="49" t="n">
        <v>104390918</v>
      </c>
      <c r="D250" s="49" t="n">
        <v>104663083</v>
      </c>
      <c r="E250" s="49" t="n">
        <v>104279962</v>
      </c>
      <c r="F250" s="49" t="n">
        <v>0</v>
      </c>
      <c r="G250" s="50" t="n">
        <f aca="false">IF($A250="","",IF(ISNUMBER($G249),$G249+1,1))</f>
        <v>246</v>
      </c>
      <c r="H250" s="51" t="n">
        <f aca="false">IF(OR(NOT(ISNUMBER($G250)),$G250&lt;2,NOT(ISNUMBER($C249)),$C249=0),"",$C250/$C249-1)</f>
        <v>-0.00315694430632685</v>
      </c>
      <c r="I250" s="52" t="n">
        <f aca="false">IF(AND(ISNUMBER($G250),$G250&gt;=MA_SHORT),AVERAGE(INDEX($C$5:$C250,247-MA_SHORT):$C250),"")</f>
        <v>104728759.6</v>
      </c>
      <c r="J250" s="52" t="n">
        <f aca="false">IF(AND(ISNUMBER($G250),$G250&gt;=MA_MED),AVERAGE(INDEX($C$5:$C250,247-MA_MED):$C250),"")</f>
        <v>105079011.32</v>
      </c>
      <c r="K250" s="52" t="n">
        <f aca="false">IF(AND(ISNUMBER($G250),$G250&gt;=MA_LONG2),AVERAGE(INDEX($C$5:$C250,247-MA_LONG2):$C250),"")</f>
        <v>97210367.66</v>
      </c>
      <c r="L250" s="53" t="n">
        <f aca="false">IF(AND(ISNUMBER($G250),$G250&gt;=21),STDEV(INDEX($H$190:$H250,62-20):$H250)*SQRT(245),"")</f>
        <v>0.176950127069555</v>
      </c>
      <c r="M250" s="52" t="n">
        <f aca="false">IF(AND(ISNUMBER($G250),$G250&gt;=60),MAX(INDEX($D$50:$D250,202-60):$D250),"")</f>
        <v>111982569</v>
      </c>
      <c r="N250" s="52" t="n">
        <f aca="false">IF(AND(ISNUMBER($G250),$G250&gt;=60),MIN(INDEX($E$50:$E250,202-60):$E250),"")</f>
        <v>97906459</v>
      </c>
      <c r="O250" s="53" t="n">
        <f aca="false">IF(OR(NOT(ISNUMBER($C250)),NOT(ISNUMBER($M250)),$M250=0),"",$C250/$M250-1)</f>
        <v>-0.0677931491284148</v>
      </c>
      <c r="P250" s="54"/>
      <c r="Q250" s="53" t="str">
        <f aca="false">IF(NOT(ISNUMBER($P250)),"",IFERROR(PERCENTRANK($P$5:$P$1204,$P250),""))</f>
        <v/>
      </c>
    </row>
    <row r="251" customFormat="false" ht="15" hidden="false" customHeight="false" outlineLevel="0" collapsed="false">
      <c r="A251" s="47" t="n">
        <v>45914</v>
      </c>
      <c r="B251" s="48" t="s">
        <v>399</v>
      </c>
      <c r="C251" s="49" t="n">
        <v>102550255</v>
      </c>
      <c r="D251" s="49" t="n">
        <v>103039510</v>
      </c>
      <c r="E251" s="49" t="n">
        <v>102300200</v>
      </c>
      <c r="F251" s="49" t="n">
        <v>0</v>
      </c>
      <c r="G251" s="50" t="n">
        <f aca="false">IF($A251="","",IF(ISNUMBER($G250),$G250+1,1))</f>
        <v>247</v>
      </c>
      <c r="H251" s="51" t="n">
        <f aca="false">IF(OR(NOT(ISNUMBER($G251)),$G251&lt;2,NOT(ISNUMBER($C250)),$C250=0),"",$C251/$C250-1)</f>
        <v>-0.0176324055316767</v>
      </c>
      <c r="I251" s="52" t="n">
        <f aca="false">IF(AND(ISNUMBER($G251),$G251&gt;=MA_SHORT),AVERAGE(INDEX($C$5:$C251,248-MA_SHORT):$C251),"")</f>
        <v>104776402.35</v>
      </c>
      <c r="J251" s="52" t="n">
        <f aca="false">IF(AND(ISNUMBER($G251),$G251&gt;=MA_MED),AVERAGE(INDEX($C$5:$C251,248-MA_MED):$C251),"")</f>
        <v>105009535.14</v>
      </c>
      <c r="K251" s="52" t="n">
        <f aca="false">IF(AND(ISNUMBER($G251),$G251&gt;=MA_LONG2),AVERAGE(INDEX($C$5:$C251,248-MA_LONG2):$C251),"")</f>
        <v>97320101.945</v>
      </c>
      <c r="L251" s="53" t="n">
        <f aca="false">IF(AND(ISNUMBER($G251),$G251&gt;=21),STDEV(INDEX($H$191:$H251,62-20):$H251)*SQRT(245),"")</f>
        <v>0.181254532071492</v>
      </c>
      <c r="M251" s="52" t="n">
        <f aca="false">IF(AND(ISNUMBER($G251),$G251&gt;=60),MAX(INDEX($D$51:$D251,202-60):$D251),"")</f>
        <v>111982569</v>
      </c>
      <c r="N251" s="52" t="n">
        <f aca="false">IF(AND(ISNUMBER($G251),$G251&gt;=60),MIN(INDEX($E$51:$E251,202-60):$E251),"")</f>
        <v>97906459</v>
      </c>
      <c r="O251" s="53" t="n">
        <f aca="false">IF(OR(NOT(ISNUMBER($C251)),NOT(ISNUMBER($M251)),$M251=0),"",$C251/$M251-1)</f>
        <v>-0.0842301983623898</v>
      </c>
      <c r="P251" s="54"/>
      <c r="Q251" s="53" t="str">
        <f aca="false">IF(NOT(ISNUMBER($P251)),"",IFERROR(PERCENTRANK($P$5:$P$1204,$P251),""))</f>
        <v/>
      </c>
    </row>
    <row r="252" customFormat="false" ht="15" hidden="false" customHeight="false" outlineLevel="0" collapsed="false">
      <c r="A252" s="47" t="n">
        <v>45915</v>
      </c>
      <c r="B252" s="48" t="s">
        <v>400</v>
      </c>
      <c r="C252" s="49" t="n">
        <v>103050593</v>
      </c>
      <c r="D252" s="49" t="n">
        <v>103692738</v>
      </c>
      <c r="E252" s="49" t="n">
        <v>102439080</v>
      </c>
      <c r="F252" s="49" t="n">
        <v>0</v>
      </c>
      <c r="G252" s="50" t="n">
        <f aca="false">IF($A252="","",IF(ISNUMBER($G251),$G251+1,1))</f>
        <v>248</v>
      </c>
      <c r="H252" s="51" t="n">
        <f aca="false">IF(OR(NOT(ISNUMBER($G252)),$G252&lt;2,NOT(ISNUMBER($C251)),$C251=0),"",$C252/$C251-1)</f>
        <v>0.00487895422590601</v>
      </c>
      <c r="I252" s="52" t="n">
        <f aca="false">IF(AND(ISNUMBER($G252),$G252&gt;=MA_SHORT),AVERAGE(INDEX($C$5:$C252,249-MA_SHORT):$C252),"")</f>
        <v>104712147.15</v>
      </c>
      <c r="J252" s="52" t="n">
        <f aca="false">IF(AND(ISNUMBER($G252),$G252&gt;=MA_MED),AVERAGE(INDEX($C$5:$C252,249-MA_MED):$C252),"")</f>
        <v>104942248.2</v>
      </c>
      <c r="K252" s="52" t="n">
        <f aca="false">IF(AND(ISNUMBER($G252),$G252&gt;=MA_LONG2),AVERAGE(INDEX($C$5:$C252,249-MA_LONG2):$C252),"")</f>
        <v>97425819.92</v>
      </c>
      <c r="L252" s="53" t="n">
        <f aca="false">IF(AND(ISNUMBER($G252),$G252&gt;=21),STDEV(INDEX($H$192:$H252,62-20):$H252)*SQRT(245),"")</f>
        <v>0.154210038930135</v>
      </c>
      <c r="M252" s="52" t="n">
        <f aca="false">IF(AND(ISNUMBER($G252),$G252&gt;=60),MAX(INDEX($D$52:$D252,202-60):$D252),"")</f>
        <v>111982569</v>
      </c>
      <c r="N252" s="52" t="n">
        <f aca="false">IF(AND(ISNUMBER($G252),$G252&gt;=60),MIN(INDEX($E$52:$E252,202-60):$E252),"")</f>
        <v>97906459</v>
      </c>
      <c r="O252" s="53" t="n">
        <f aca="false">IF(OR(NOT(ISNUMBER($C252)),NOT(ISNUMBER($M252)),$M252=0),"",$C252/$M252-1)</f>
        <v>-0.0797621994187328</v>
      </c>
      <c r="P252" s="54"/>
      <c r="Q252" s="53" t="str">
        <f aca="false">IF(NOT(ISNUMBER($P252)),"",IFERROR(PERCENTRANK($P$5:$P$1204,$P252),""))</f>
        <v/>
      </c>
    </row>
    <row r="253" customFormat="false" ht="15" hidden="false" customHeight="false" outlineLevel="0" collapsed="false">
      <c r="A253" s="47" t="n">
        <v>45916</v>
      </c>
      <c r="B253" s="48" t="s">
        <v>401</v>
      </c>
      <c r="C253" s="49" t="n">
        <v>100448611</v>
      </c>
      <c r="D253" s="49" t="n">
        <v>100929532</v>
      </c>
      <c r="E253" s="49" t="n">
        <v>100410118</v>
      </c>
      <c r="F253" s="49" t="n">
        <v>0</v>
      </c>
      <c r="G253" s="50" t="n">
        <f aca="false">IF($A253="","",IF(ISNUMBER($G252),$G252+1,1))</f>
        <v>249</v>
      </c>
      <c r="H253" s="51" t="n">
        <f aca="false">IF(OR(NOT(ISNUMBER($G253)),$G253&lt;2,NOT(ISNUMBER($C252)),$C252=0),"",$C253/$C252-1)</f>
        <v>-0.0252495587288857</v>
      </c>
      <c r="I253" s="52" t="n">
        <f aca="false">IF(AND(ISNUMBER($G253),$G253&gt;=MA_SHORT),AVERAGE(INDEX($C$5:$C253,250-MA_SHORT):$C253),"")</f>
        <v>104538879.15</v>
      </c>
      <c r="J253" s="52" t="n">
        <f aca="false">IF(AND(ISNUMBER($G253),$G253&gt;=MA_MED),AVERAGE(INDEX($C$5:$C253,250-MA_MED):$C253),"")</f>
        <v>104788426.5</v>
      </c>
      <c r="K253" s="52" t="n">
        <f aca="false">IF(AND(ISNUMBER($G253),$G253&gt;=MA_LONG2),AVERAGE(INDEX($C$5:$C253,250-MA_LONG2):$C253),"")</f>
        <v>97515674.79</v>
      </c>
      <c r="L253" s="53" t="n">
        <f aca="false">IF(AND(ISNUMBER($G253),$G253&gt;=21),STDEV(INDEX($H$193:$H253,62-20):$H253)*SQRT(245),"")</f>
        <v>0.176599590860335</v>
      </c>
      <c r="M253" s="52" t="n">
        <f aca="false">IF(AND(ISNUMBER($G253),$G253&gt;=60),MAX(INDEX($D$53:$D253,202-60):$D253),"")</f>
        <v>111982569</v>
      </c>
      <c r="N253" s="52" t="n">
        <f aca="false">IF(AND(ISNUMBER($G253),$G253&gt;=60),MIN(INDEX($E$53:$E253,202-60):$E253),"")</f>
        <v>97906459</v>
      </c>
      <c r="O253" s="53" t="n">
        <f aca="false">IF(OR(NOT(ISNUMBER($C253)),NOT(ISNUMBER($M253)),$M253=0),"",$C253/$M253-1)</f>
        <v>-0.10299779780905</v>
      </c>
      <c r="P253" s="54"/>
      <c r="Q253" s="53" t="str">
        <f aca="false">IF(NOT(ISNUMBER($P253)),"",IFERROR(PERCENTRANK($P$5:$P$1204,$P253),""))</f>
        <v/>
      </c>
    </row>
    <row r="254" customFormat="false" ht="15" hidden="false" customHeight="false" outlineLevel="0" collapsed="false">
      <c r="A254" s="47" t="n">
        <v>45917</v>
      </c>
      <c r="B254" s="48" t="s">
        <v>402</v>
      </c>
      <c r="C254" s="49" t="n">
        <v>101602666</v>
      </c>
      <c r="D254" s="49" t="n">
        <v>101850030</v>
      </c>
      <c r="E254" s="49" t="n">
        <v>101079044</v>
      </c>
      <c r="F254" s="49" t="n">
        <v>0</v>
      </c>
      <c r="G254" s="50" t="n">
        <f aca="false">IF($A254="","",IF(ISNUMBER($G253),$G253+1,1))</f>
        <v>250</v>
      </c>
      <c r="H254" s="51" t="n">
        <f aca="false">IF(OR(NOT(ISNUMBER($G254)),$G254&lt;2,NOT(ISNUMBER($C253)),$C253=0),"",$C254/$C253-1)</f>
        <v>0.0114890090416482</v>
      </c>
      <c r="I254" s="52" t="n">
        <f aca="false">IF(AND(ISNUMBER($G254),$G254&gt;=MA_SHORT),AVERAGE(INDEX($C$5:$C254,251-MA_SHORT):$C254),"")</f>
        <v>104390203.05</v>
      </c>
      <c r="J254" s="52" t="n">
        <f aca="false">IF(AND(ISNUMBER($G254),$G254&gt;=MA_MED),AVERAGE(INDEX($C$5:$C254,251-MA_MED):$C254),"")</f>
        <v>104663102.6</v>
      </c>
      <c r="K254" s="52" t="n">
        <f aca="false">IF(AND(ISNUMBER($G254),$G254&gt;=MA_LONG2),AVERAGE(INDEX($C$5:$C254,251-MA_LONG2):$C254),"")</f>
        <v>97608185.645</v>
      </c>
      <c r="L254" s="53" t="n">
        <f aca="false">IF(AND(ISNUMBER($G254),$G254&gt;=21),STDEV(INDEX($H$194:$H254,62-20):$H254)*SQRT(245),"")</f>
        <v>0.180456350188737</v>
      </c>
      <c r="M254" s="52" t="n">
        <f aca="false">IF(AND(ISNUMBER($G254),$G254&gt;=60),MAX(INDEX($D$54:$D254,202-60):$D254),"")</f>
        <v>111982569</v>
      </c>
      <c r="N254" s="52" t="n">
        <f aca="false">IF(AND(ISNUMBER($G254),$G254&gt;=60),MIN(INDEX($E$54:$E254,202-60):$E254),"")</f>
        <v>97906459</v>
      </c>
      <c r="O254" s="53" t="n">
        <f aca="false">IF(OR(NOT(ISNUMBER($C254)),NOT(ISNUMBER($M254)),$M254=0),"",$C254/$M254-1)</f>
        <v>-0.0926921313976999</v>
      </c>
      <c r="P254" s="54"/>
      <c r="Q254" s="53" t="str">
        <f aca="false">IF(NOT(ISNUMBER($P254)),"",IFERROR(PERCENTRANK($P$5:$P$1204,$P254),""))</f>
        <v/>
      </c>
    </row>
    <row r="255" customFormat="false" ht="15" hidden="false" customHeight="false" outlineLevel="0" collapsed="false">
      <c r="A255" s="47" t="n">
        <v>45920</v>
      </c>
      <c r="B255" s="48" t="s">
        <v>403</v>
      </c>
      <c r="C255" s="49" t="n">
        <v>99281930</v>
      </c>
      <c r="D255" s="49" t="n">
        <v>99575865</v>
      </c>
      <c r="E255" s="49" t="n">
        <v>98978404</v>
      </c>
      <c r="F255" s="49" t="n">
        <v>0</v>
      </c>
      <c r="G255" s="50" t="n">
        <f aca="false">IF($A255="","",IF(ISNUMBER($G254),$G254+1,1))</f>
        <v>251</v>
      </c>
      <c r="H255" s="51" t="n">
        <f aca="false">IF(OR(NOT(ISNUMBER($G255)),$G255&lt;2,NOT(ISNUMBER($C254)),$C254=0),"",$C255/$C254-1)</f>
        <v>-0.0228412904047223</v>
      </c>
      <c r="I255" s="52" t="n">
        <f aca="false">IF(AND(ISNUMBER($G255),$G255&gt;=MA_SHORT),AVERAGE(INDEX($C$5:$C255,252-MA_SHORT):$C255),"")</f>
        <v>104072607.9</v>
      </c>
      <c r="J255" s="52" t="n">
        <f aca="false">IF(AND(ISNUMBER($G255),$G255&gt;=MA_MED),AVERAGE(INDEX($C$5:$C255,252-MA_MED):$C255),"")</f>
        <v>104460725.64</v>
      </c>
      <c r="K255" s="52" t="n">
        <f aca="false">IF(AND(ISNUMBER($G255),$G255&gt;=MA_LONG2),AVERAGE(INDEX($C$5:$C255,252-MA_LONG2):$C255),"")</f>
        <v>97679203.77</v>
      </c>
      <c r="L255" s="53" t="n">
        <f aca="false">IF(AND(ISNUMBER($G255),$G255&gt;=21),STDEV(INDEX($H$195:$H255,62-20):$H255)*SQRT(245),"")</f>
        <v>0.190004659176319</v>
      </c>
      <c r="M255" s="52" t="n">
        <f aca="false">IF(AND(ISNUMBER($G255),$G255&gt;=60),MAX(INDEX($D$55:$D255,202-60):$D255),"")</f>
        <v>111982569</v>
      </c>
      <c r="N255" s="52" t="n">
        <f aca="false">IF(AND(ISNUMBER($G255),$G255&gt;=60),MIN(INDEX($E$55:$E255,202-60):$E255),"")</f>
        <v>97906459</v>
      </c>
      <c r="O255" s="53" t="n">
        <f aca="false">IF(OR(NOT(ISNUMBER($C255)),NOT(ISNUMBER($M255)),$M255=0),"",$C255/$M255-1)</f>
        <v>-0.113416213910935</v>
      </c>
      <c r="P255" s="54"/>
      <c r="Q255" s="53" t="str">
        <f aca="false">IF(NOT(ISNUMBER($P255)),"",IFERROR(PERCENTRANK($P$5:$P$1204,$P255),""))</f>
        <v/>
      </c>
    </row>
    <row r="256" customFormat="false" ht="15" hidden="false" customHeight="false" outlineLevel="0" collapsed="false">
      <c r="A256" s="47" t="n">
        <v>45921</v>
      </c>
      <c r="B256" s="48" t="s">
        <v>404</v>
      </c>
      <c r="C256" s="49" t="n">
        <v>98752826</v>
      </c>
      <c r="D256" s="49" t="n">
        <v>99307253</v>
      </c>
      <c r="E256" s="49" t="n">
        <v>98336094</v>
      </c>
      <c r="F256" s="49" t="n">
        <v>0</v>
      </c>
      <c r="G256" s="50" t="n">
        <f aca="false">IF($A256="","",IF(ISNUMBER($G255),$G255+1,1))</f>
        <v>252</v>
      </c>
      <c r="H256" s="51" t="n">
        <f aca="false">IF(OR(NOT(ISNUMBER($G256)),$G256&lt;2,NOT(ISNUMBER($C255)),$C255=0),"",$C256/$C255-1)</f>
        <v>-0.00532930816312693</v>
      </c>
      <c r="I256" s="52" t="n">
        <f aca="false">IF(AND(ISNUMBER($G256),$G256&gt;=MA_SHORT),AVERAGE(INDEX($C$5:$C256,253-MA_SHORT):$C256),"")</f>
        <v>103765491.55</v>
      </c>
      <c r="J256" s="52" t="n">
        <f aca="false">IF(AND(ISNUMBER($G256),$G256&gt;=MA_MED),AVERAGE(INDEX($C$5:$C256,253-MA_MED):$C256),"")</f>
        <v>104231045.16</v>
      </c>
      <c r="K256" s="52" t="n">
        <f aca="false">IF(AND(ISNUMBER($G256),$G256&gt;=MA_LONG2),AVERAGE(INDEX($C$5:$C256,253-MA_LONG2):$C256),"")</f>
        <v>97755680.705</v>
      </c>
      <c r="L256" s="53" t="n">
        <f aca="false">IF(AND(ISNUMBER($G256),$G256&gt;=21),STDEV(INDEX($H$196:$H256,62-20):$H256)*SQRT(245),"")</f>
        <v>0.189645650114671</v>
      </c>
      <c r="M256" s="52" t="n">
        <f aca="false">IF(AND(ISNUMBER($G256),$G256&gt;=60),MAX(INDEX($D$56:$D256,202-60):$D256),"")</f>
        <v>111982569</v>
      </c>
      <c r="N256" s="52" t="n">
        <f aca="false">IF(AND(ISNUMBER($G256),$G256&gt;=60),MIN(INDEX($E$56:$E256,202-60):$E256),"")</f>
        <v>97906459</v>
      </c>
      <c r="O256" s="53" t="n">
        <f aca="false">IF(OR(NOT(ISNUMBER($C256)),NOT(ISNUMBER($M256)),$M256=0),"",$C256/$M256-1)</f>
        <v>-0.118141092119435</v>
      </c>
      <c r="P256" s="54"/>
      <c r="Q256" s="53" t="str">
        <f aca="false">IF(NOT(ISNUMBER($P256)),"",IFERROR(PERCENTRANK($P$5:$P$1204,$P256),""))</f>
        <v/>
      </c>
    </row>
    <row r="257" customFormat="false" ht="15" hidden="false" customHeight="false" outlineLevel="0" collapsed="false">
      <c r="A257" s="47" t="n">
        <v>45922</v>
      </c>
      <c r="B257" s="48" t="s">
        <v>405</v>
      </c>
      <c r="C257" s="49" t="n">
        <v>99926722</v>
      </c>
      <c r="D257" s="49" t="n">
        <v>100040468</v>
      </c>
      <c r="E257" s="49" t="n">
        <v>99740738</v>
      </c>
      <c r="F257" s="49" t="n">
        <v>0</v>
      </c>
      <c r="G257" s="50" t="n">
        <f aca="false">IF($A257="","",IF(ISNUMBER($G256),$G256+1,1))</f>
        <v>253</v>
      </c>
      <c r="H257" s="51" t="n">
        <f aca="false">IF(OR(NOT(ISNUMBER($G257)),$G257&lt;2,NOT(ISNUMBER($C256)),$C256=0),"",$C257/$C256-1)</f>
        <v>0.0118872142453927</v>
      </c>
      <c r="I257" s="52" t="n">
        <f aca="false">IF(AND(ISNUMBER($G257),$G257&gt;=MA_SHORT),AVERAGE(INDEX($C$5:$C257,254-MA_SHORT):$C257),"")</f>
        <v>103598121.2</v>
      </c>
      <c r="J257" s="52" t="n">
        <f aca="false">IF(AND(ISNUMBER($G257),$G257&gt;=MA_MED),AVERAGE(INDEX($C$5:$C257,254-MA_MED):$C257),"")</f>
        <v>103996227.62</v>
      </c>
      <c r="K257" s="52" t="n">
        <f aca="false">IF(AND(ISNUMBER($G257),$G257&gt;=MA_LONG2),AVERAGE(INDEX($C$5:$C257,254-MA_LONG2):$C257),"")</f>
        <v>97834364.15</v>
      </c>
      <c r="L257" s="53" t="n">
        <f aca="false">IF(AND(ISNUMBER($G257),$G257&gt;=21),STDEV(INDEX($H$197:$H257,62-20):$H257)*SQRT(245),"")</f>
        <v>0.190527917759533</v>
      </c>
      <c r="M257" s="52" t="n">
        <f aca="false">IF(AND(ISNUMBER($G257),$G257&gt;=60),MAX(INDEX($D$57:$D257,202-60):$D257),"")</f>
        <v>111982569</v>
      </c>
      <c r="N257" s="52" t="n">
        <f aca="false">IF(AND(ISNUMBER($G257),$G257&gt;=60),MIN(INDEX($E$57:$E257,202-60):$E257),"")</f>
        <v>97906459</v>
      </c>
      <c r="O257" s="53" t="n">
        <f aca="false">IF(OR(NOT(ISNUMBER($C257)),NOT(ISNUMBER($M257)),$M257=0),"",$C257/$M257-1)</f>
        <v>-0.107658246347251</v>
      </c>
      <c r="P257" s="54"/>
      <c r="Q257" s="53" t="str">
        <f aca="false">IF(NOT(ISNUMBER($P257)),"",IFERROR(PERCENTRANK($P$5:$P$1204,$P257),""))</f>
        <v/>
      </c>
    </row>
    <row r="258" customFormat="false" ht="15" hidden="false" customHeight="false" outlineLevel="0" collapsed="false">
      <c r="A258" s="47" t="n">
        <v>45923</v>
      </c>
      <c r="B258" s="48" t="s">
        <v>406</v>
      </c>
      <c r="C258" s="49" t="n">
        <v>101483039</v>
      </c>
      <c r="D258" s="49" t="n">
        <v>101958257</v>
      </c>
      <c r="E258" s="49" t="n">
        <v>101009804</v>
      </c>
      <c r="F258" s="49" t="n">
        <v>0</v>
      </c>
      <c r="G258" s="50" t="n">
        <f aca="false">IF($A258="","",IF(ISNUMBER($G257),$G257+1,1))</f>
        <v>254</v>
      </c>
      <c r="H258" s="51" t="n">
        <f aca="false">IF(OR(NOT(ISNUMBER($G258)),$G258&lt;2,NOT(ISNUMBER($C257)),$C257=0),"",$C258/$C257-1)</f>
        <v>0.0155745827427423</v>
      </c>
      <c r="I258" s="52" t="n">
        <f aca="false">IF(AND(ISNUMBER($G258),$G258&gt;=MA_SHORT),AVERAGE(INDEX($C$5:$C258,255-MA_SHORT):$C258),"")</f>
        <v>103544697.85</v>
      </c>
      <c r="J258" s="52" t="n">
        <f aca="false">IF(AND(ISNUMBER($G258),$G258&gt;=MA_MED),AVERAGE(INDEX($C$5:$C258,255-MA_MED):$C258),"")</f>
        <v>103795487.62</v>
      </c>
      <c r="K258" s="52" t="n">
        <f aca="false">IF(AND(ISNUMBER($G258),$G258&gt;=MA_LONG2),AVERAGE(INDEX($C$5:$C258,255-MA_LONG2):$C258),"")</f>
        <v>97915752.74</v>
      </c>
      <c r="L258" s="53" t="n">
        <f aca="false">IF(AND(ISNUMBER($G258),$G258&gt;=21),STDEV(INDEX($H$198:$H258,62-20):$H258)*SQRT(245),"")</f>
        <v>0.198459085772537</v>
      </c>
      <c r="M258" s="52" t="n">
        <f aca="false">IF(AND(ISNUMBER($G258),$G258&gt;=60),MAX(INDEX($D$58:$D258,202-60):$D258),"")</f>
        <v>111982569</v>
      </c>
      <c r="N258" s="52" t="n">
        <f aca="false">IF(AND(ISNUMBER($G258),$G258&gt;=60),MIN(INDEX($E$58:$E258,202-60):$E258),"")</f>
        <v>97906459</v>
      </c>
      <c r="O258" s="53" t="n">
        <f aca="false">IF(OR(NOT(ISNUMBER($C258)),NOT(ISNUMBER($M258)),$M258=0),"",$C258/$M258-1)</f>
        <v>-0.0937603958701823</v>
      </c>
      <c r="P258" s="54"/>
      <c r="Q258" s="53" t="str">
        <f aca="false">IF(NOT(ISNUMBER($P258)),"",IFERROR(PERCENTRANK($P$5:$P$1204,$P258),""))</f>
        <v/>
      </c>
    </row>
    <row r="259" customFormat="false" ht="15" hidden="false" customHeight="false" outlineLevel="0" collapsed="false">
      <c r="A259" s="47" t="n">
        <v>45924</v>
      </c>
      <c r="B259" s="48" t="s">
        <v>407</v>
      </c>
      <c r="C259" s="49" t="n">
        <v>100071120</v>
      </c>
      <c r="D259" s="49" t="n">
        <v>100127505</v>
      </c>
      <c r="E259" s="49" t="n">
        <v>99852567</v>
      </c>
      <c r="F259" s="49" t="n">
        <v>0</v>
      </c>
      <c r="G259" s="50" t="n">
        <f aca="false">IF($A259="","",IF(ISNUMBER($G258),$G258+1,1))</f>
        <v>255</v>
      </c>
      <c r="H259" s="51" t="n">
        <f aca="false">IF(OR(NOT(ISNUMBER($G259)),$G259&lt;2,NOT(ISNUMBER($C258)),$C258=0),"",$C259/$C258-1)</f>
        <v>-0.0139128569060688</v>
      </c>
      <c r="I259" s="52" t="n">
        <f aca="false">IF(AND(ISNUMBER($G259),$G259&gt;=MA_SHORT),AVERAGE(INDEX($C$5:$C259,256-MA_SHORT):$C259),"")</f>
        <v>103369679.65</v>
      </c>
      <c r="J259" s="52" t="n">
        <f aca="false">IF(AND(ISNUMBER($G259),$G259&gt;=MA_MED),AVERAGE(INDEX($C$5:$C259,256-MA_MED):$C259),"")</f>
        <v>103575973.2</v>
      </c>
      <c r="K259" s="52" t="n">
        <f aca="false">IF(AND(ISNUMBER($G259),$G259&gt;=MA_LONG2),AVERAGE(INDEX($C$5:$C259,256-MA_LONG2):$C259),"")</f>
        <v>97987716.97</v>
      </c>
      <c r="L259" s="53" t="n">
        <f aca="false">IF(AND(ISNUMBER($G259),$G259&gt;=21),STDEV(INDEX($H$199:$H259,62-20):$H259)*SQRT(245),"")</f>
        <v>0.199911130169538</v>
      </c>
      <c r="M259" s="52" t="n">
        <f aca="false">IF(AND(ISNUMBER($G259),$G259&gt;=60),MAX(INDEX($D$59:$D259,202-60):$D259),"")</f>
        <v>111982569</v>
      </c>
      <c r="N259" s="52" t="n">
        <f aca="false">IF(AND(ISNUMBER($G259),$G259&gt;=60),MIN(INDEX($E$59:$E259,202-60):$E259),"")</f>
        <v>97906459</v>
      </c>
      <c r="O259" s="53" t="n">
        <f aca="false">IF(OR(NOT(ISNUMBER($C259)),NOT(ISNUMBER($M259)),$M259=0),"",$C259/$M259-1)</f>
        <v>-0.106368777805053</v>
      </c>
      <c r="P259" s="54"/>
      <c r="Q259" s="53" t="str">
        <f aca="false">IF(NOT(ISNUMBER($P259)),"",IFERROR(PERCENTRANK($P$5:$P$1204,$P259),""))</f>
        <v/>
      </c>
    </row>
    <row r="260" customFormat="false" ht="15" hidden="false" customHeight="false" outlineLevel="0" collapsed="false">
      <c r="A260" s="47" t="n">
        <v>45927</v>
      </c>
      <c r="B260" s="48" t="s">
        <v>408</v>
      </c>
      <c r="C260" s="49" t="n">
        <v>100848578</v>
      </c>
      <c r="D260" s="49" t="n">
        <v>101705254</v>
      </c>
      <c r="E260" s="49" t="n">
        <v>100399423</v>
      </c>
      <c r="F260" s="49" t="n">
        <v>0</v>
      </c>
      <c r="G260" s="50" t="n">
        <f aca="false">IF($A260="","",IF(ISNUMBER($G259),$G259+1,1))</f>
        <v>256</v>
      </c>
      <c r="H260" s="51" t="n">
        <f aca="false">IF(OR(NOT(ISNUMBER($G260)),$G260&lt;2,NOT(ISNUMBER($C259)),$C259=0),"",$C260/$C259-1)</f>
        <v>0.007769054648334</v>
      </c>
      <c r="I260" s="52" t="n">
        <f aca="false">IF(AND(ISNUMBER($G260),$G260&gt;=MA_SHORT),AVERAGE(INDEX($C$5:$C260,257-MA_SHORT):$C260),"")</f>
        <v>103185325.3</v>
      </c>
      <c r="J260" s="52" t="n">
        <f aca="false">IF(AND(ISNUMBER($G260),$G260&gt;=MA_MED),AVERAGE(INDEX($C$5:$C260,257-MA_MED):$C260),"")</f>
        <v>103408314.96</v>
      </c>
      <c r="K260" s="52" t="n">
        <f aca="false">IF(AND(ISNUMBER($G260),$G260&gt;=MA_LONG2),AVERAGE(INDEX($C$5:$C260,257-MA_LONG2):$C260),"")</f>
        <v>98063456.58</v>
      </c>
      <c r="L260" s="53" t="n">
        <f aca="false">IF(AND(ISNUMBER($G260),$G260&gt;=21),STDEV(INDEX($H$200:$H260,62-20):$H260)*SQRT(245),"")</f>
        <v>0.198893418386798</v>
      </c>
      <c r="M260" s="52" t="n">
        <f aca="false">IF(AND(ISNUMBER($G260),$G260&gt;=60),MAX(INDEX($D$60:$D260,202-60):$D260),"")</f>
        <v>111982569</v>
      </c>
      <c r="N260" s="52" t="n">
        <f aca="false">IF(AND(ISNUMBER($G260),$G260&gt;=60),MIN(INDEX($E$60:$E260,202-60):$E260),"")</f>
        <v>97906459</v>
      </c>
      <c r="O260" s="53" t="n">
        <f aca="false">IF(OR(NOT(ISNUMBER($C260)),NOT(ISNUMBER($M260)),$M260=0),"",$C260/$M260-1)</f>
        <v>-0.0994261080043627</v>
      </c>
      <c r="P260" s="54"/>
      <c r="Q260" s="53" t="str">
        <f aca="false">IF(NOT(ISNUMBER($P260)),"",IFERROR(PERCENTRANK($P$5:$P$1204,$P260),""))</f>
        <v/>
      </c>
    </row>
    <row r="261" customFormat="false" ht="15" hidden="false" customHeight="false" outlineLevel="0" collapsed="false">
      <c r="A261" s="47" t="n">
        <v>45928</v>
      </c>
      <c r="B261" s="48" t="s">
        <v>409</v>
      </c>
      <c r="C261" s="49" t="n">
        <v>101257563</v>
      </c>
      <c r="D261" s="49" t="n">
        <v>101638362</v>
      </c>
      <c r="E261" s="49" t="n">
        <v>101184234</v>
      </c>
      <c r="F261" s="49" t="n">
        <v>0</v>
      </c>
      <c r="G261" s="50" t="n">
        <f aca="false">IF($A261="","",IF(ISNUMBER($G260),$G260+1,1))</f>
        <v>257</v>
      </c>
      <c r="H261" s="51" t="n">
        <f aca="false">IF(OR(NOT(ISNUMBER($G261)),$G261&lt;2,NOT(ISNUMBER($C260)),$C260=0),"",$C261/$C260-1)</f>
        <v>0.00405543645841</v>
      </c>
      <c r="I261" s="52" t="n">
        <f aca="false">IF(AND(ISNUMBER($G261),$G261&gt;=MA_SHORT),AVERAGE(INDEX($C$5:$C261,258-MA_SHORT):$C261),"")</f>
        <v>102992051.6</v>
      </c>
      <c r="J261" s="52" t="n">
        <f aca="false">IF(AND(ISNUMBER($G261),$G261&gt;=MA_MED),AVERAGE(INDEX($C$5:$C261,258-MA_MED):$C261),"")</f>
        <v>103290362.1</v>
      </c>
      <c r="K261" s="52" t="n">
        <f aca="false">IF(AND(ISNUMBER($G261),$G261&gt;=MA_LONG2),AVERAGE(INDEX($C$5:$C261,258-MA_LONG2):$C261),"")</f>
        <v>98130628.225</v>
      </c>
      <c r="L261" s="53" t="n">
        <f aca="false">IF(AND(ISNUMBER($G261),$G261&gt;=21),STDEV(INDEX($H$201:$H261,62-20):$H261)*SQRT(245),"")</f>
        <v>0.198224014426771</v>
      </c>
      <c r="M261" s="52" t="n">
        <f aca="false">IF(AND(ISNUMBER($G261),$G261&gt;=60),MAX(INDEX($D$61:$D261,202-60):$D261),"")</f>
        <v>111982569</v>
      </c>
      <c r="N261" s="52" t="n">
        <f aca="false">IF(AND(ISNUMBER($G261),$G261&gt;=60),MIN(INDEX($E$61:$E261,202-60):$E261),"")</f>
        <v>97906459</v>
      </c>
      <c r="O261" s="53" t="n">
        <f aca="false">IF(OR(NOT(ISNUMBER($C261)),NOT(ISNUMBER($M261)),$M261=0),"",$C261/$M261-1)</f>
        <v>-0.0957738878092714</v>
      </c>
      <c r="P261" s="54"/>
      <c r="Q261" s="53" t="str">
        <f aca="false">IF(NOT(ISNUMBER($P261)),"",IFERROR(PERCENTRANK($P$5:$P$1204,$P261),""))</f>
        <v/>
      </c>
    </row>
    <row r="262" customFormat="false" ht="15" hidden="false" customHeight="false" outlineLevel="0" collapsed="false">
      <c r="A262" s="47" t="n">
        <v>45929</v>
      </c>
      <c r="B262" s="48" t="s">
        <v>410</v>
      </c>
      <c r="C262" s="49" t="n">
        <v>100142053</v>
      </c>
      <c r="D262" s="49" t="n">
        <v>100623920</v>
      </c>
      <c r="E262" s="49" t="n">
        <v>99956723</v>
      </c>
      <c r="F262" s="49" t="n">
        <v>0</v>
      </c>
      <c r="G262" s="50" t="n">
        <f aca="false">IF($A262="","",IF(ISNUMBER($G261),$G261+1,1))</f>
        <v>258</v>
      </c>
      <c r="H262" s="51" t="n">
        <f aca="false">IF(OR(NOT(ISNUMBER($G262)),$G262&lt;2,NOT(ISNUMBER($C261)),$C261=0),"",$C262/$C261-1)</f>
        <v>-0.011016559819833</v>
      </c>
      <c r="I262" s="52" t="n">
        <f aca="false">IF(AND(ISNUMBER($G262),$G262&gt;=MA_SHORT),AVERAGE(INDEX($C$5:$C262,259-MA_SHORT):$C262),"")</f>
        <v>102755075.4</v>
      </c>
      <c r="J262" s="52" t="n">
        <f aca="false">IF(AND(ISNUMBER($G262),$G262&gt;=MA_MED),AVERAGE(INDEX($C$5:$C262,259-MA_MED):$C262),"")</f>
        <v>103198544.56</v>
      </c>
      <c r="K262" s="52" t="n">
        <f aca="false">IF(AND(ISNUMBER($G262),$G262&gt;=MA_LONG2),AVERAGE(INDEX($C$5:$C262,259-MA_LONG2):$C262),"")</f>
        <v>98190583.035</v>
      </c>
      <c r="L262" s="53" t="n">
        <f aca="false">IF(AND(ISNUMBER($G262),$G262&gt;=21),STDEV(INDEX($H$202:$H262,62-20):$H262)*SQRT(245),"")</f>
        <v>0.20084079984217</v>
      </c>
      <c r="M262" s="52" t="n">
        <f aca="false">IF(AND(ISNUMBER($G262),$G262&gt;=60),MAX(INDEX($D$62:$D262,202-60):$D262),"")</f>
        <v>111982569</v>
      </c>
      <c r="N262" s="52" t="n">
        <f aca="false">IF(AND(ISNUMBER($G262),$G262&gt;=60),MIN(INDEX($E$62:$E262,202-60):$E262),"")</f>
        <v>97906459</v>
      </c>
      <c r="O262" s="53" t="n">
        <f aca="false">IF(OR(NOT(ISNUMBER($C262)),NOT(ISNUMBER($M262)),$M262=0),"",$C262/$M262-1)</f>
        <v>-0.105735348864876</v>
      </c>
      <c r="P262" s="54"/>
      <c r="Q262" s="53" t="str">
        <f aca="false">IF(NOT(ISNUMBER($P262)),"",IFERROR(PERCENTRANK($P$5:$P$1204,$P262),""))</f>
        <v/>
      </c>
    </row>
    <row r="263" customFormat="false" ht="15" hidden="false" customHeight="false" outlineLevel="0" collapsed="false">
      <c r="A263" s="47" t="n">
        <v>45930</v>
      </c>
      <c r="B263" s="48" t="s">
        <v>411</v>
      </c>
      <c r="C263" s="49" t="n">
        <v>100067196</v>
      </c>
      <c r="D263" s="49" t="n">
        <v>100460196</v>
      </c>
      <c r="E263" s="49" t="n">
        <v>99879614</v>
      </c>
      <c r="F263" s="49" t="n">
        <v>0</v>
      </c>
      <c r="G263" s="50" t="n">
        <f aca="false">IF($A263="","",IF(ISNUMBER($G262),$G262+1,1))</f>
        <v>259</v>
      </c>
      <c r="H263" s="51" t="n">
        <f aca="false">IF(OR(NOT(ISNUMBER($G263)),$G263&lt;2,NOT(ISNUMBER($C262)),$C262=0),"",$C263/$C262-1)</f>
        <v>-0.000747508142258657</v>
      </c>
      <c r="I263" s="52" t="n">
        <f aca="false">IF(AND(ISNUMBER($G263),$G263&gt;=MA_SHORT),AVERAGE(INDEX($C$5:$C263,260-MA_SHORT):$C263),"")</f>
        <v>102518818.35</v>
      </c>
      <c r="J263" s="52" t="n">
        <f aca="false">IF(AND(ISNUMBER($G263),$G263&gt;=MA_MED),AVERAGE(INDEX($C$5:$C263,260-MA_MED):$C263),"")</f>
        <v>103103280.68</v>
      </c>
      <c r="K263" s="52" t="n">
        <f aca="false">IF(AND(ISNUMBER($G263),$G263&gt;=MA_LONG2),AVERAGE(INDEX($C$5:$C263,260-MA_LONG2):$C263),"")</f>
        <v>98252537.87</v>
      </c>
      <c r="L263" s="53" t="n">
        <f aca="false">IF(AND(ISNUMBER($G263),$G263&gt;=21),STDEV(INDEX($H$203:$H263,62-20):$H263)*SQRT(245),"")</f>
        <v>0.200850283539791</v>
      </c>
      <c r="M263" s="52" t="n">
        <f aca="false">IF(AND(ISNUMBER($G263),$G263&gt;=60),MAX(INDEX($D$63:$D263,202-60):$D263),"")</f>
        <v>111982569</v>
      </c>
      <c r="N263" s="52" t="n">
        <f aca="false">IF(AND(ISNUMBER($G263),$G263&gt;=60),MIN(INDEX($E$63:$E263,202-60):$E263),"")</f>
        <v>97906459</v>
      </c>
      <c r="O263" s="53" t="n">
        <f aca="false">IF(OR(NOT(ISNUMBER($C263)),NOT(ISNUMBER($M263)),$M263=0),"",$C263/$M263-1)</f>
        <v>-0.106403818972933</v>
      </c>
      <c r="P263" s="54"/>
      <c r="Q263" s="53" t="str">
        <f aca="false">IF(NOT(ISNUMBER($P263)),"",IFERROR(PERCENTRANK($P$5:$P$1204,$P263),""))</f>
        <v/>
      </c>
    </row>
    <row r="264" customFormat="false" ht="15" hidden="false" customHeight="false" outlineLevel="0" collapsed="false">
      <c r="A264" s="47" t="n">
        <v>45931</v>
      </c>
      <c r="B264" s="48" t="s">
        <v>412</v>
      </c>
      <c r="C264" s="49" t="n">
        <v>97140192</v>
      </c>
      <c r="D264" s="49" t="n">
        <v>97869415</v>
      </c>
      <c r="E264" s="49" t="n">
        <v>96825981</v>
      </c>
      <c r="F264" s="49" t="n">
        <v>0</v>
      </c>
      <c r="G264" s="50" t="n">
        <f aca="false">IF($A264="","",IF(ISNUMBER($G263),$G263+1,1))</f>
        <v>260</v>
      </c>
      <c r="H264" s="51" t="n">
        <f aca="false">IF(OR(NOT(ISNUMBER($G264)),$G264&lt;2,NOT(ISNUMBER($C263)),$C263=0),"",$C264/$C263-1)</f>
        <v>-0.029250384911355</v>
      </c>
      <c r="I264" s="52" t="n">
        <f aca="false">IF(AND(ISNUMBER($G264),$G264&gt;=MA_SHORT),AVERAGE(INDEX($C$5:$C264,261-MA_SHORT):$C264),"")</f>
        <v>102096274.6</v>
      </c>
      <c r="J264" s="52" t="n">
        <f aca="false">IF(AND(ISNUMBER($G264),$G264&gt;=MA_MED),AVERAGE(INDEX($C$5:$C264,261-MA_MED):$C264),"")</f>
        <v>102943889.34</v>
      </c>
      <c r="K264" s="52" t="n">
        <f aca="false">IF(AND(ISNUMBER($G264),$G264&gt;=MA_LONG2),AVERAGE(INDEX($C$5:$C264,261-MA_LONG2):$C264),"")</f>
        <v>98300738.945</v>
      </c>
      <c r="L264" s="53" t="n">
        <f aca="false">IF(AND(ISNUMBER($G264),$G264&gt;=21),STDEV(INDEX($H$204:$H264,62-20):$H264)*SQRT(245),"")</f>
        <v>0.21824558606605</v>
      </c>
      <c r="M264" s="52" t="n">
        <f aca="false">IF(AND(ISNUMBER($G264),$G264&gt;=60),MAX(INDEX($D$64:$D264,202-60):$D264),"")</f>
        <v>111982569</v>
      </c>
      <c r="N264" s="52" t="n">
        <f aca="false">IF(AND(ISNUMBER($G264),$G264&gt;=60),MIN(INDEX($E$64:$E264,202-60):$E264),"")</f>
        <v>96825981</v>
      </c>
      <c r="O264" s="53" t="n">
        <f aca="false">IF(OR(NOT(ISNUMBER($C264)),NOT(ISNUMBER($M264)),$M264=0),"",$C264/$M264-1)</f>
        <v>-0.132541851223292</v>
      </c>
      <c r="P264" s="54"/>
      <c r="Q264" s="53" t="str">
        <f aca="false">IF(NOT(ISNUMBER($P264)),"",IFERROR(PERCENTRANK($P$5:$P$1204,$P264),""))</f>
        <v/>
      </c>
    </row>
    <row r="265" customFormat="false" ht="15" hidden="false" customHeight="false" outlineLevel="0" collapsed="false">
      <c r="A265" s="47" t="n">
        <v>45934</v>
      </c>
      <c r="B265" s="48" t="s">
        <v>413</v>
      </c>
      <c r="C265" s="49" t="n">
        <v>98807782</v>
      </c>
      <c r="D265" s="49" t="n">
        <v>99108989</v>
      </c>
      <c r="E265" s="49" t="n">
        <v>98338432</v>
      </c>
      <c r="F265" s="49" t="n">
        <v>0</v>
      </c>
      <c r="G265" s="50" t="n">
        <f aca="false">IF($A265="","",IF(ISNUMBER($G264),$G264+1,1))</f>
        <v>261</v>
      </c>
      <c r="H265" s="51" t="n">
        <f aca="false">IF(OR(NOT(ISNUMBER($G265)),$G265&lt;2,NOT(ISNUMBER($C264)),$C264=0),"",$C265/$C264-1)</f>
        <v>0.0171668386243256</v>
      </c>
      <c r="I265" s="52" t="n">
        <f aca="false">IF(AND(ISNUMBER($G265),$G265&gt;=MA_SHORT),AVERAGE(INDEX($C$5:$C265,262-MA_SHORT):$C265),"")</f>
        <v>101653209.05</v>
      </c>
      <c r="J265" s="52" t="n">
        <f aca="false">IF(AND(ISNUMBER($G265),$G265&gt;=MA_MED),AVERAGE(INDEX($C$5:$C265,262-MA_MED):$C265),"")</f>
        <v>102851185.2</v>
      </c>
      <c r="K265" s="52" t="n">
        <f aca="false">IF(AND(ISNUMBER($G265),$G265&gt;=MA_LONG2),AVERAGE(INDEX($C$5:$C265,262-MA_LONG2):$C265),"")</f>
        <v>98365156.25</v>
      </c>
      <c r="L265" s="53" t="n">
        <f aca="false">IF(AND(ISNUMBER($G265),$G265&gt;=21),STDEV(INDEX($H$205:$H265,62-20):$H265)*SQRT(245),"")</f>
        <v>0.214870354637279</v>
      </c>
      <c r="M265" s="52" t="n">
        <f aca="false">IF(AND(ISNUMBER($G265),$G265&gt;=60),MAX(INDEX($D$65:$D265,202-60):$D265),"")</f>
        <v>111982569</v>
      </c>
      <c r="N265" s="52" t="n">
        <f aca="false">IF(AND(ISNUMBER($G265),$G265&gt;=60),MIN(INDEX($E$65:$E265,202-60):$E265),"")</f>
        <v>96825981</v>
      </c>
      <c r="O265" s="53" t="n">
        <f aca="false">IF(OR(NOT(ISNUMBER($C265)),NOT(ISNUMBER($M265)),$M265=0),"",$C265/$M265-1)</f>
        <v>-0.117650337169886</v>
      </c>
      <c r="P265" s="54"/>
      <c r="Q265" s="53" t="str">
        <f aca="false">IF(NOT(ISNUMBER($P265)),"",IFERROR(PERCENTRANK($P$5:$P$1204,$P265),""))</f>
        <v/>
      </c>
    </row>
    <row r="266" customFormat="false" ht="15" hidden="false" customHeight="false" outlineLevel="0" collapsed="false">
      <c r="A266" s="47" t="n">
        <v>45935</v>
      </c>
      <c r="B266" s="48" t="s">
        <v>414</v>
      </c>
      <c r="C266" s="49" t="n">
        <v>99419932</v>
      </c>
      <c r="D266" s="49" t="n">
        <v>99516204</v>
      </c>
      <c r="E266" s="49" t="n">
        <v>98702966</v>
      </c>
      <c r="F266" s="49" t="n">
        <v>0</v>
      </c>
      <c r="G266" s="50" t="n">
        <f aca="false">IF($A266="","",IF(ISNUMBER($G265),$G265+1,1))</f>
        <v>262</v>
      </c>
      <c r="H266" s="51" t="n">
        <f aca="false">IF(OR(NOT(ISNUMBER($G266)),$G266&lt;2,NOT(ISNUMBER($C265)),$C265=0),"",$C266/$C265-1)</f>
        <v>0.00619536222359485</v>
      </c>
      <c r="I266" s="52" t="n">
        <f aca="false">IF(AND(ISNUMBER($G266),$G266&gt;=MA_SHORT),AVERAGE(INDEX($C$5:$C266,263-MA_SHORT):$C266),"")</f>
        <v>101306730.65</v>
      </c>
      <c r="J266" s="52" t="n">
        <f aca="false">IF(AND(ISNUMBER($G266),$G266&gt;=MA_MED),AVERAGE(INDEX($C$5:$C266,263-MA_MED):$C266),"")</f>
        <v>102747532.86</v>
      </c>
      <c r="K266" s="52" t="n">
        <f aca="false">IF(AND(ISNUMBER($G266),$G266&gt;=MA_LONG2),AVERAGE(INDEX($C$5:$C266,263-MA_LONG2):$C266),"")</f>
        <v>98428972.855</v>
      </c>
      <c r="L266" s="53" t="n">
        <f aca="false">IF(AND(ISNUMBER($G266),$G266&gt;=21),STDEV(INDEX($H$206:$H266,62-20):$H266)*SQRT(245),"")</f>
        <v>0.215647892642279</v>
      </c>
      <c r="M266" s="52" t="n">
        <f aca="false">IF(AND(ISNUMBER($G266),$G266&gt;=60),MAX(INDEX($D$66:$D266,202-60):$D266),"")</f>
        <v>111982569</v>
      </c>
      <c r="N266" s="52" t="n">
        <f aca="false">IF(AND(ISNUMBER($G266),$G266&gt;=60),MIN(INDEX($E$66:$E266,202-60):$E266),"")</f>
        <v>96825981</v>
      </c>
      <c r="O266" s="53" t="n">
        <f aca="false">IF(OR(NOT(ISNUMBER($C266)),NOT(ISNUMBER($M266)),$M266=0),"",$C266/$M266-1)</f>
        <v>-0.112183861400786</v>
      </c>
      <c r="P266" s="54"/>
      <c r="Q266" s="53" t="str">
        <f aca="false">IF(NOT(ISNUMBER($P266)),"",IFERROR(PERCENTRANK($P$5:$P$1204,$P266),""))</f>
        <v/>
      </c>
    </row>
    <row r="267" customFormat="false" ht="15" hidden="false" customHeight="false" outlineLevel="0" collapsed="false">
      <c r="A267" s="47" t="n">
        <v>45936</v>
      </c>
      <c r="B267" s="48" t="s">
        <v>415</v>
      </c>
      <c r="C267" s="49" t="n">
        <v>101044983</v>
      </c>
      <c r="D267" s="49" t="n">
        <v>101107439</v>
      </c>
      <c r="E267" s="49" t="n">
        <v>100562204</v>
      </c>
      <c r="F267" s="49" t="n">
        <v>0</v>
      </c>
      <c r="G267" s="50" t="n">
        <f aca="false">IF($A267="","",IF(ISNUMBER($G266),$G266+1,1))</f>
        <v>263</v>
      </c>
      <c r="H267" s="51" t="n">
        <f aca="false">IF(OR(NOT(ISNUMBER($G267)),$G267&lt;2,NOT(ISNUMBER($C266)),$C266=0),"",$C267/$C266-1)</f>
        <v>0.0163453239939855</v>
      </c>
      <c r="I267" s="52" t="n">
        <f aca="false">IF(AND(ISNUMBER($G267),$G267&gt;=MA_SHORT),AVERAGE(INDEX($C$5:$C267,264-MA_SHORT):$C267),"")</f>
        <v>101057830.1</v>
      </c>
      <c r="J267" s="52" t="n">
        <f aca="false">IF(AND(ISNUMBER($G267),$G267&gt;=MA_MED),AVERAGE(INDEX($C$5:$C267,264-MA_MED):$C267),"")</f>
        <v>102659469.14</v>
      </c>
      <c r="K267" s="52" t="n">
        <f aca="false">IF(AND(ISNUMBER($G267),$G267&gt;=MA_LONG2),AVERAGE(INDEX($C$5:$C267,264-MA_LONG2):$C267),"")</f>
        <v>98496930.05</v>
      </c>
      <c r="L267" s="53" t="n">
        <f aca="false">IF(AND(ISNUMBER($G267),$G267&gt;=21),STDEV(INDEX($H$207:$H267,62-20):$H267)*SQRT(245),"")</f>
        <v>0.226325213947131</v>
      </c>
      <c r="M267" s="52" t="n">
        <f aca="false">IF(AND(ISNUMBER($G267),$G267&gt;=60),MAX(INDEX($D$67:$D267,202-60):$D267),"")</f>
        <v>111641462</v>
      </c>
      <c r="N267" s="52" t="n">
        <f aca="false">IF(AND(ISNUMBER($G267),$G267&gt;=60),MIN(INDEX($E$67:$E267,202-60):$E267),"")</f>
        <v>96825981</v>
      </c>
      <c r="O267" s="53" t="n">
        <f aca="false">IF(OR(NOT(ISNUMBER($C267)),NOT(ISNUMBER($M267)),$M267=0),"",$C267/$M267-1)</f>
        <v>-0.0949152654414361</v>
      </c>
      <c r="P267" s="54"/>
      <c r="Q267" s="53" t="str">
        <f aca="false">IF(NOT(ISNUMBER($P267)),"",IFERROR(PERCENTRANK($P$5:$P$1204,$P267),""))</f>
        <v/>
      </c>
    </row>
    <row r="268" customFormat="false" ht="15" hidden="false" customHeight="false" outlineLevel="0" collapsed="false">
      <c r="A268" s="47" t="n">
        <v>45937</v>
      </c>
      <c r="B268" s="48" t="s">
        <v>416</v>
      </c>
      <c r="C268" s="49" t="n">
        <v>100742303</v>
      </c>
      <c r="D268" s="49" t="n">
        <v>101287133</v>
      </c>
      <c r="E268" s="49" t="n">
        <v>100534808</v>
      </c>
      <c r="F268" s="49" t="n">
        <v>0</v>
      </c>
      <c r="G268" s="50" t="n">
        <f aca="false">IF($A268="","",IF(ISNUMBER($G267),$G267+1,1))</f>
        <v>264</v>
      </c>
      <c r="H268" s="51" t="n">
        <f aca="false">IF(OR(NOT(ISNUMBER($G268)),$G268&lt;2,NOT(ISNUMBER($C267)),$C267=0),"",$C268/$C267-1)</f>
        <v>-0.00299549755973538</v>
      </c>
      <c r="I268" s="52" t="n">
        <f aca="false">IF(AND(ISNUMBER($G268),$G268&gt;=MA_SHORT),AVERAGE(INDEX($C$5:$C268,265-MA_SHORT):$C268),"")</f>
        <v>100787539</v>
      </c>
      <c r="J268" s="52" t="n">
        <f aca="false">IF(AND(ISNUMBER($G268),$G268&gt;=MA_MED),AVERAGE(INDEX($C$5:$C268,265-MA_MED):$C268),"")</f>
        <v>102588852.96</v>
      </c>
      <c r="K268" s="52" t="n">
        <f aca="false">IF(AND(ISNUMBER($G268),$G268&gt;=MA_LONG2),AVERAGE(INDEX($C$5:$C268,265-MA_LONG2):$C268),"")</f>
        <v>98559615.305</v>
      </c>
      <c r="L268" s="53" t="n">
        <f aca="false">IF(AND(ISNUMBER($G268),$G268&gt;=21),STDEV(INDEX($H$208:$H268,62-20):$H268)*SQRT(245),"")</f>
        <v>0.225968429058285</v>
      </c>
      <c r="M268" s="52" t="n">
        <f aca="false">IF(AND(ISNUMBER($G268),$G268&gt;=60),MAX(INDEX($D$68:$D268,202-60):$D268),"")</f>
        <v>111603701</v>
      </c>
      <c r="N268" s="52" t="n">
        <f aca="false">IF(AND(ISNUMBER($G268),$G268&gt;=60),MIN(INDEX($E$68:$E268,202-60):$E268),"")</f>
        <v>96825981</v>
      </c>
      <c r="O268" s="53" t="n">
        <f aca="false">IF(OR(NOT(ISNUMBER($C268)),NOT(ISNUMBER($M268)),$M268=0),"",$C268/$M268-1)</f>
        <v>-0.0973211273701398</v>
      </c>
      <c r="P268" s="54"/>
      <c r="Q268" s="53" t="str">
        <f aca="false">IF(NOT(ISNUMBER($P268)),"",IFERROR(PERCENTRANK($P$5:$P$1204,$P268),""))</f>
        <v/>
      </c>
    </row>
    <row r="269" customFormat="false" ht="15" hidden="false" customHeight="false" outlineLevel="0" collapsed="false">
      <c r="A269" s="47" t="n">
        <v>45938</v>
      </c>
      <c r="B269" s="48" t="s">
        <v>417</v>
      </c>
      <c r="C269" s="49" t="n">
        <v>101377616</v>
      </c>
      <c r="D269" s="49" t="n">
        <v>101970951</v>
      </c>
      <c r="E269" s="49" t="n">
        <v>101140023</v>
      </c>
      <c r="F269" s="49" t="n">
        <v>0</v>
      </c>
      <c r="G269" s="50" t="n">
        <f aca="false">IF($A269="","",IF(ISNUMBER($G268),$G268+1,1))</f>
        <v>265</v>
      </c>
      <c r="H269" s="51" t="n">
        <f aca="false">IF(OR(NOT(ISNUMBER($G269)),$G269&lt;2,NOT(ISNUMBER($C268)),$C268=0),"",$C269/$C268-1)</f>
        <v>0.00630631801220583</v>
      </c>
      <c r="I269" s="52" t="n">
        <f aca="false">IF(AND(ISNUMBER($G269),$G269&gt;=MA_SHORT),AVERAGE(INDEX($C$5:$C269,266-MA_SHORT):$C269),"")</f>
        <v>100620343.9</v>
      </c>
      <c r="J269" s="52" t="n">
        <f aca="false">IF(AND(ISNUMBER($G269),$G269&gt;=MA_MED),AVERAGE(INDEX($C$5:$C269,266-MA_MED):$C269),"")</f>
        <v>102549291.76</v>
      </c>
      <c r="K269" s="52" t="n">
        <f aca="false">IF(AND(ISNUMBER($G269),$G269&gt;=MA_LONG2),AVERAGE(INDEX($C$5:$C269,266-MA_LONG2):$C269),"")</f>
        <v>98615136.1</v>
      </c>
      <c r="L269" s="53" t="n">
        <f aca="false">IF(AND(ISNUMBER($G269),$G269&gt;=21),STDEV(INDEX($H$209:$H269,62-20):$H269)*SQRT(245),"")</f>
        <v>0.224215243218711</v>
      </c>
      <c r="M269" s="52" t="n">
        <f aca="false">IF(AND(ISNUMBER($G269),$G269&gt;=60),MAX(INDEX($D$69:$D269,202-60):$D269),"")</f>
        <v>109234439</v>
      </c>
      <c r="N269" s="52" t="n">
        <f aca="false">IF(AND(ISNUMBER($G269),$G269&gt;=60),MIN(INDEX($E$69:$E269,202-60):$E269),"")</f>
        <v>96825981</v>
      </c>
      <c r="O269" s="53" t="n">
        <f aca="false">IF(OR(NOT(ISNUMBER($C269)),NOT(ISNUMBER($M269)),$M269=0),"",$C269/$M269-1)</f>
        <v>-0.0719262447990419</v>
      </c>
      <c r="P269" s="54"/>
      <c r="Q269" s="53" t="str">
        <f aca="false">IF(NOT(ISNUMBER($P269)),"",IFERROR(PERCENTRANK($P$5:$P$1204,$P269),""))</f>
        <v/>
      </c>
    </row>
    <row r="270" customFormat="false" ht="15" hidden="false" customHeight="false" outlineLevel="0" collapsed="false">
      <c r="A270" s="47" t="n">
        <v>45941</v>
      </c>
      <c r="B270" s="48" t="s">
        <v>418</v>
      </c>
      <c r="C270" s="49" t="n">
        <v>101918668</v>
      </c>
      <c r="D270" s="49" t="n">
        <v>102016903</v>
      </c>
      <c r="E270" s="49" t="n">
        <v>101446374</v>
      </c>
      <c r="F270" s="49" t="n">
        <v>0</v>
      </c>
      <c r="G270" s="50" t="n">
        <f aca="false">IF($A270="","",IF(ISNUMBER($G269),$G269+1,1))</f>
        <v>266</v>
      </c>
      <c r="H270" s="51" t="n">
        <f aca="false">IF(OR(NOT(ISNUMBER($G270)),$G270&lt;2,NOT(ISNUMBER($C269)),$C269=0),"",$C270/$C269-1)</f>
        <v>0.00533699667981935</v>
      </c>
      <c r="I270" s="52" t="n">
        <f aca="false">IF(AND(ISNUMBER($G270),$G270&gt;=MA_SHORT),AVERAGE(INDEX($C$5:$C270,267-MA_SHORT):$C270),"")</f>
        <v>100496731.4</v>
      </c>
      <c r="J270" s="52" t="n">
        <f aca="false">IF(AND(ISNUMBER($G270),$G270&gt;=MA_MED),AVERAGE(INDEX($C$5:$C270,267-MA_MED):$C270),"")</f>
        <v>102499644.04</v>
      </c>
      <c r="K270" s="52" t="n">
        <f aca="false">IF(AND(ISNUMBER($G270),$G270&gt;=MA_LONG2),AVERAGE(INDEX($C$5:$C270,267-MA_LONG2):$C270),"")</f>
        <v>98672968.405</v>
      </c>
      <c r="L270" s="53" t="n">
        <f aca="false">IF(AND(ISNUMBER($G270),$G270&gt;=21),STDEV(INDEX($H$210:$H270,62-20):$H270)*SQRT(245),"")</f>
        <v>0.225385004385294</v>
      </c>
      <c r="M270" s="52" t="n">
        <f aca="false">IF(AND(ISNUMBER($G270),$G270&gt;=60),MAX(INDEX($D$70:$D270,202-60):$D270),"")</f>
        <v>108288197</v>
      </c>
      <c r="N270" s="52" t="n">
        <f aca="false">IF(AND(ISNUMBER($G270),$G270&gt;=60),MIN(INDEX($E$70:$E270,202-60):$E270),"")</f>
        <v>96825981</v>
      </c>
      <c r="O270" s="53" t="n">
        <f aca="false">IF(OR(NOT(ISNUMBER($C270)),NOT(ISNUMBER($M270)),$M270=0),"",$C270/$M270-1)</f>
        <v>-0.0588201593198564</v>
      </c>
      <c r="P270" s="54"/>
      <c r="Q270" s="53" t="str">
        <f aca="false">IF(NOT(ISNUMBER($P270)),"",IFERROR(PERCENTRANK($P$5:$P$1204,$P270),""))</f>
        <v/>
      </c>
    </row>
    <row r="271" customFormat="false" ht="15" hidden="false" customHeight="false" outlineLevel="0" collapsed="false">
      <c r="A271" s="47" t="n">
        <v>45942</v>
      </c>
      <c r="B271" s="48" t="s">
        <v>419</v>
      </c>
      <c r="C271" s="49" t="n">
        <v>103172606</v>
      </c>
      <c r="D271" s="49" t="n">
        <v>103273986</v>
      </c>
      <c r="E271" s="49" t="n">
        <v>103011363</v>
      </c>
      <c r="F271" s="49" t="n">
        <v>0</v>
      </c>
      <c r="G271" s="50" t="n">
        <f aca="false">IF($A271="","",IF(ISNUMBER($G270),$G270+1,1))</f>
        <v>267</v>
      </c>
      <c r="H271" s="51" t="n">
        <f aca="false">IF(OR(NOT(ISNUMBER($G271)),$G271&lt;2,NOT(ISNUMBER($C270)),$C270=0),"",$C271/$C270-1)</f>
        <v>0.012303320133658</v>
      </c>
      <c r="I271" s="52" t="n">
        <f aca="false">IF(AND(ISNUMBER($G271),$G271&gt;=MA_SHORT),AVERAGE(INDEX($C$5:$C271,268-MA_SHORT):$C271),"")</f>
        <v>100527848.95</v>
      </c>
      <c r="J271" s="52" t="n">
        <f aca="false">IF(AND(ISNUMBER($G271),$G271&gt;=MA_MED),AVERAGE(INDEX($C$5:$C271,268-MA_MED):$C271),"")</f>
        <v>102498013.36</v>
      </c>
      <c r="K271" s="52" t="n">
        <f aca="false">IF(AND(ISNUMBER($G271),$G271&gt;=MA_LONG2),AVERAGE(INDEX($C$5:$C271,268-MA_LONG2):$C271),"")</f>
        <v>98735974.44</v>
      </c>
      <c r="L271" s="53" t="n">
        <f aca="false">IF(AND(ISNUMBER($G271),$G271&gt;=21),STDEV(INDEX($H$211:$H271,62-20):$H271)*SQRT(245),"")</f>
        <v>0.221385647519419</v>
      </c>
      <c r="M271" s="52" t="n">
        <f aca="false">IF(AND(ISNUMBER($G271),$G271&gt;=60),MAX(INDEX($D$71:$D271,202-60):$D271),"")</f>
        <v>108288197</v>
      </c>
      <c r="N271" s="52" t="n">
        <f aca="false">IF(AND(ISNUMBER($G271),$G271&gt;=60),MIN(INDEX($E$71:$E271,202-60):$E271),"")</f>
        <v>96825981</v>
      </c>
      <c r="O271" s="53" t="n">
        <f aca="false">IF(OR(NOT(ISNUMBER($C271)),NOT(ISNUMBER($M271)),$M271=0),"",$C271/$M271-1)</f>
        <v>-0.0472405224366235</v>
      </c>
      <c r="P271" s="54"/>
      <c r="Q271" s="53" t="str">
        <f aca="false">IF(NOT(ISNUMBER($P271)),"",IFERROR(PERCENTRANK($P$5:$P$1204,$P271),""))</f>
        <v/>
      </c>
    </row>
    <row r="272" customFormat="false" ht="15" hidden="false" customHeight="false" outlineLevel="0" collapsed="false">
      <c r="A272" s="47" t="n">
        <v>45943</v>
      </c>
      <c r="B272" s="48" t="s">
        <v>420</v>
      </c>
      <c r="C272" s="49" t="n">
        <v>104673510</v>
      </c>
      <c r="D272" s="49" t="n">
        <v>105398929</v>
      </c>
      <c r="E272" s="49" t="n">
        <v>104618822</v>
      </c>
      <c r="F272" s="49" t="n">
        <v>0</v>
      </c>
      <c r="G272" s="50" t="n">
        <f aca="false">IF($A272="","",IF(ISNUMBER($G271),$G271+1,1))</f>
        <v>268</v>
      </c>
      <c r="H272" s="51" t="n">
        <f aca="false">IF(OR(NOT(ISNUMBER($G272)),$G272&lt;2,NOT(ISNUMBER($C271)),$C271=0),"",$C272/$C271-1)</f>
        <v>0.0145475049840265</v>
      </c>
      <c r="I272" s="52" t="n">
        <f aca="false">IF(AND(ISNUMBER($G272),$G272&gt;=MA_SHORT),AVERAGE(INDEX($C$5:$C272,269-MA_SHORT):$C272),"")</f>
        <v>100608994.8</v>
      </c>
      <c r="J272" s="52" t="n">
        <f aca="false">IF(AND(ISNUMBER($G272),$G272&gt;=MA_MED),AVERAGE(INDEX($C$5:$C272,269-MA_MED):$C272),"")</f>
        <v>102525583.24</v>
      </c>
      <c r="K272" s="52" t="n">
        <f aca="false">IF(AND(ISNUMBER($G272),$G272&gt;=MA_LONG2),AVERAGE(INDEX($C$5:$C272,269-MA_LONG2):$C272),"")</f>
        <v>98802102.85</v>
      </c>
      <c r="L272" s="53" t="n">
        <f aca="false">IF(AND(ISNUMBER($G272),$G272&gt;=21),STDEV(INDEX($H$212:$H272,62-20):$H272)*SQRT(245),"")</f>
        <v>0.226437606162631</v>
      </c>
      <c r="M272" s="52" t="n">
        <f aca="false">IF(AND(ISNUMBER($G272),$G272&gt;=60),MAX(INDEX($D$72:$D272,202-60):$D272),"")</f>
        <v>108288197</v>
      </c>
      <c r="N272" s="52" t="n">
        <f aca="false">IF(AND(ISNUMBER($G272),$G272&gt;=60),MIN(INDEX($E$72:$E272,202-60):$E272),"")</f>
        <v>96825981</v>
      </c>
      <c r="O272" s="53" t="n">
        <f aca="false">IF(OR(NOT(ISNUMBER($C272)),NOT(ISNUMBER($M272)),$M272=0),"",$C272/$M272-1)</f>
        <v>-0.0333802491881917</v>
      </c>
      <c r="P272" s="54"/>
      <c r="Q272" s="53" t="str">
        <f aca="false">IF(NOT(ISNUMBER($P272)),"",IFERROR(PERCENTRANK($P$5:$P$1204,$P272),""))</f>
        <v/>
      </c>
    </row>
    <row r="273" customFormat="false" ht="15" hidden="false" customHeight="false" outlineLevel="0" collapsed="false">
      <c r="A273" s="47" t="n">
        <v>45944</v>
      </c>
      <c r="B273" s="48" t="s">
        <v>421</v>
      </c>
      <c r="C273" s="49" t="n">
        <v>104191671</v>
      </c>
      <c r="D273" s="49" t="n">
        <v>104806853</v>
      </c>
      <c r="E273" s="49" t="n">
        <v>104128330</v>
      </c>
      <c r="F273" s="49" t="n">
        <v>0</v>
      </c>
      <c r="G273" s="50" t="n">
        <f aca="false">IF($A273="","",IF(ISNUMBER($G272),$G272+1,1))</f>
        <v>269</v>
      </c>
      <c r="H273" s="51" t="n">
        <f aca="false">IF(OR(NOT(ISNUMBER($G273)),$G273&lt;2,NOT(ISNUMBER($C272)),$C272=0),"",$C273/$C272-1)</f>
        <v>-0.00460325635397152</v>
      </c>
      <c r="I273" s="52" t="n">
        <f aca="false">IF(AND(ISNUMBER($G273),$G273&gt;=MA_SHORT),AVERAGE(INDEX($C$5:$C273,270-MA_SHORT):$C273),"")</f>
        <v>100796147.8</v>
      </c>
      <c r="J273" s="52" t="n">
        <f aca="false">IF(AND(ISNUMBER($G273),$G273&gt;=MA_MED),AVERAGE(INDEX($C$5:$C273,270-MA_MED):$C273),"")</f>
        <v>102521444.88</v>
      </c>
      <c r="K273" s="52" t="n">
        <f aca="false">IF(AND(ISNUMBER($G273),$G273&gt;=MA_LONG2),AVERAGE(INDEX($C$5:$C273,270-MA_LONG2):$C273),"")</f>
        <v>98864020.43</v>
      </c>
      <c r="L273" s="53" t="n">
        <f aca="false">IF(AND(ISNUMBER($G273),$G273&gt;=21),STDEV(INDEX($H$213:$H273,62-20):$H273)*SQRT(245),"")</f>
        <v>0.20635410318477</v>
      </c>
      <c r="M273" s="52" t="n">
        <f aca="false">IF(AND(ISNUMBER($G273),$G273&gt;=60),MAX(INDEX($D$73:$D273,202-60):$D273),"")</f>
        <v>108288197</v>
      </c>
      <c r="N273" s="52" t="n">
        <f aca="false">IF(AND(ISNUMBER($G273),$G273&gt;=60),MIN(INDEX($E$73:$E273,202-60):$E273),"")</f>
        <v>96825981</v>
      </c>
      <c r="O273" s="53" t="n">
        <f aca="false">IF(OR(NOT(ISNUMBER($C273)),NOT(ISNUMBER($M273)),$M273=0),"",$C273/$M273-1)</f>
        <v>-0.0378298476979906</v>
      </c>
      <c r="P273" s="54"/>
      <c r="Q273" s="53" t="str">
        <f aca="false">IF(NOT(ISNUMBER($P273)),"",IFERROR(PERCENTRANK($P$5:$P$1204,$P273),""))</f>
        <v/>
      </c>
    </row>
    <row r="274" customFormat="false" ht="15" hidden="false" customHeight="false" outlineLevel="0" collapsed="false">
      <c r="A274" s="47" t="n">
        <v>45945</v>
      </c>
      <c r="B274" s="48" t="s">
        <v>422</v>
      </c>
      <c r="C274" s="49" t="n">
        <v>103868843</v>
      </c>
      <c r="D274" s="49" t="n">
        <v>103879263</v>
      </c>
      <c r="E274" s="49" t="n">
        <v>103397491</v>
      </c>
      <c r="F274" s="49" t="n">
        <v>0</v>
      </c>
      <c r="G274" s="50" t="n">
        <f aca="false">IF($A274="","",IF(ISNUMBER($G273),$G273+1,1))</f>
        <v>270</v>
      </c>
      <c r="H274" s="51" t="n">
        <f aca="false">IF(OR(NOT(ISNUMBER($G274)),$G274&lt;2,NOT(ISNUMBER($C273)),$C273=0),"",$C274/$C273-1)</f>
        <v>-0.00309840505389336</v>
      </c>
      <c r="I274" s="52" t="n">
        <f aca="false">IF(AND(ISNUMBER($G274),$G274&gt;=MA_SHORT),AVERAGE(INDEX($C$5:$C274,271-MA_SHORT):$C274),"")</f>
        <v>100909456.65</v>
      </c>
      <c r="J274" s="52" t="n">
        <f aca="false">IF(AND(ISNUMBER($G274),$G274&gt;=MA_MED),AVERAGE(INDEX($C$5:$C274,271-MA_MED):$C274),"")</f>
        <v>102519936.9</v>
      </c>
      <c r="K274" s="52" t="n">
        <f aca="false">IF(AND(ISNUMBER($G274),$G274&gt;=MA_LONG2),AVERAGE(INDEX($C$5:$C274,271-MA_LONG2):$C274),"")</f>
        <v>98928246.4</v>
      </c>
      <c r="L274" s="53" t="n">
        <f aca="false">IF(AND(ISNUMBER($G274),$G274&gt;=21),STDEV(INDEX($H$214:$H274,62-20):$H274)*SQRT(245),"")</f>
        <v>0.20392791989566</v>
      </c>
      <c r="M274" s="52" t="n">
        <f aca="false">IF(AND(ISNUMBER($G274),$G274&gt;=60),MAX(INDEX($D$74:$D274,202-60):$D274),"")</f>
        <v>108288197</v>
      </c>
      <c r="N274" s="52" t="n">
        <f aca="false">IF(AND(ISNUMBER($G274),$G274&gt;=60),MIN(INDEX($E$74:$E274,202-60):$E274),"")</f>
        <v>96825981</v>
      </c>
      <c r="O274" s="53" t="n">
        <f aca="false">IF(OR(NOT(ISNUMBER($C274)),NOT(ISNUMBER($M274)),$M274=0),"",$C274/$M274-1)</f>
        <v>-0.0408110405605885</v>
      </c>
      <c r="P274" s="54"/>
      <c r="Q274" s="53" t="str">
        <f aca="false">IF(NOT(ISNUMBER($P274)),"",IFERROR(PERCENTRANK($P$5:$P$1204,$P274),""))</f>
        <v/>
      </c>
    </row>
    <row r="275" customFormat="false" ht="15" hidden="false" customHeight="false" outlineLevel="0" collapsed="false">
      <c r="A275" s="47" t="n">
        <v>45948</v>
      </c>
      <c r="B275" s="48" t="s">
        <v>423</v>
      </c>
      <c r="C275" s="49" t="n">
        <v>105620183</v>
      </c>
      <c r="D275" s="49" t="n">
        <v>106096386</v>
      </c>
      <c r="E275" s="49" t="n">
        <v>105504370</v>
      </c>
      <c r="F275" s="49" t="n">
        <v>0</v>
      </c>
      <c r="G275" s="50" t="n">
        <f aca="false">IF($A275="","",IF(ISNUMBER($G274),$G274+1,1))</f>
        <v>271</v>
      </c>
      <c r="H275" s="51" t="n">
        <f aca="false">IF(OR(NOT(ISNUMBER($G275)),$G275&lt;2,NOT(ISNUMBER($C274)),$C274=0),"",$C275/$C274-1)</f>
        <v>0.0168610716112434</v>
      </c>
      <c r="I275" s="52" t="n">
        <f aca="false">IF(AND(ISNUMBER($G275),$G275&gt;=MA_SHORT),AVERAGE(INDEX($C$5:$C275,272-MA_SHORT):$C275),"")</f>
        <v>101226369.3</v>
      </c>
      <c r="J275" s="52" t="n">
        <f aca="false">IF(AND(ISNUMBER($G275),$G275&gt;=MA_MED),AVERAGE(INDEX($C$5:$C275,272-MA_MED):$C275),"")</f>
        <v>102546368.42</v>
      </c>
      <c r="K275" s="52" t="n">
        <f aca="false">IF(AND(ISNUMBER($G275),$G275&gt;=MA_LONG2),AVERAGE(INDEX($C$5:$C275,272-MA_LONG2):$C275),"")</f>
        <v>98998800.165</v>
      </c>
      <c r="L275" s="53" t="n">
        <f aca="false">IF(AND(ISNUMBER($G275),$G275&gt;=21),STDEV(INDEX($H$215:$H275,62-20):$H275)*SQRT(245),"")</f>
        <v>0.190514486097163</v>
      </c>
      <c r="M275" s="52" t="n">
        <f aca="false">IF(AND(ISNUMBER($G275),$G275&gt;=60),MAX(INDEX($D$75:$D275,202-60):$D275),"")</f>
        <v>108288197</v>
      </c>
      <c r="N275" s="52" t="n">
        <f aca="false">IF(AND(ISNUMBER($G275),$G275&gt;=60),MIN(INDEX($E$75:$E275,202-60):$E275),"")</f>
        <v>96825981</v>
      </c>
      <c r="O275" s="53" t="n">
        <f aca="false">IF(OR(NOT(ISNUMBER($C275)),NOT(ISNUMBER($M275)),$M275=0),"",$C275/$M275-1)</f>
        <v>-0.0246380868267665</v>
      </c>
      <c r="P275" s="54"/>
      <c r="Q275" s="53" t="str">
        <f aca="false">IF(NOT(ISNUMBER($P275)),"",IFERROR(PERCENTRANK($P$5:$P$1204,$P275),""))</f>
        <v/>
      </c>
    </row>
    <row r="276" customFormat="false" ht="15" hidden="false" customHeight="false" outlineLevel="0" collapsed="false">
      <c r="A276" s="47" t="n">
        <v>45949</v>
      </c>
      <c r="B276" s="48" t="s">
        <v>424</v>
      </c>
      <c r="C276" s="49" t="n">
        <v>106136647</v>
      </c>
      <c r="D276" s="49" t="n">
        <v>106480625</v>
      </c>
      <c r="E276" s="49" t="n">
        <v>105903941</v>
      </c>
      <c r="F276" s="49" t="n">
        <v>0</v>
      </c>
      <c r="G276" s="50" t="n">
        <f aca="false">IF($A276="","",IF(ISNUMBER($G275),$G275+1,1))</f>
        <v>272</v>
      </c>
      <c r="H276" s="51" t="n">
        <f aca="false">IF(OR(NOT(ISNUMBER($G276)),$G276&lt;2,NOT(ISNUMBER($C275)),$C275=0),"",$C276/$C275-1)</f>
        <v>0.00488982299907592</v>
      </c>
      <c r="I276" s="52" t="n">
        <f aca="false">IF(AND(ISNUMBER($G276),$G276&gt;=MA_SHORT),AVERAGE(INDEX($C$5:$C276,273-MA_SHORT):$C276),"")</f>
        <v>101595560.35</v>
      </c>
      <c r="J276" s="52" t="n">
        <f aca="false">IF(AND(ISNUMBER($G276),$G276&gt;=MA_MED),AVERAGE(INDEX($C$5:$C276,273-MA_MED):$C276),"")</f>
        <v>102625870.68</v>
      </c>
      <c r="K276" s="52" t="n">
        <f aca="false">IF(AND(ISNUMBER($G276),$G276&gt;=MA_LONG2),AVERAGE(INDEX($C$5:$C276,273-MA_LONG2):$C276),"")</f>
        <v>99080748.985</v>
      </c>
      <c r="L276" s="53" t="n">
        <f aca="false">IF(AND(ISNUMBER($G276),$G276&gt;=21),STDEV(INDEX($H$216:$H276,62-20):$H276)*SQRT(245),"")</f>
        <v>0.187976457594893</v>
      </c>
      <c r="M276" s="52" t="n">
        <f aca="false">IF(AND(ISNUMBER($G276),$G276&gt;=60),MAX(INDEX($D$76:$D276,202-60):$D276),"")</f>
        <v>108288197</v>
      </c>
      <c r="N276" s="52" t="n">
        <f aca="false">IF(AND(ISNUMBER($G276),$G276&gt;=60),MIN(INDEX($E$76:$E276,202-60):$E276),"")</f>
        <v>96825981</v>
      </c>
      <c r="O276" s="53" t="n">
        <f aca="false">IF(OR(NOT(ISNUMBER($C276)),NOT(ISNUMBER($M276)),$M276=0),"",$C276/$M276-1)</f>
        <v>-0.0198687397113094</v>
      </c>
      <c r="P276" s="54"/>
      <c r="Q276" s="53" t="str">
        <f aca="false">IF(NOT(ISNUMBER($P276)),"",IFERROR(PERCENTRANK($P$5:$P$1204,$P276),""))</f>
        <v/>
      </c>
    </row>
    <row r="277" customFormat="false" ht="15" hidden="false" customHeight="false" outlineLevel="0" collapsed="false">
      <c r="A277" s="47" t="n">
        <v>45950</v>
      </c>
      <c r="B277" s="48" t="s">
        <v>425</v>
      </c>
      <c r="C277" s="49" t="n">
        <v>106834971</v>
      </c>
      <c r="D277" s="49" t="n">
        <v>107459803</v>
      </c>
      <c r="E277" s="49" t="n">
        <v>106531701</v>
      </c>
      <c r="F277" s="49" t="n">
        <v>0</v>
      </c>
      <c r="G277" s="50" t="n">
        <f aca="false">IF($A277="","",IF(ISNUMBER($G276),$G276+1,1))</f>
        <v>273</v>
      </c>
      <c r="H277" s="51" t="n">
        <f aca="false">IF(OR(NOT(ISNUMBER($G277)),$G277&lt;2,NOT(ISNUMBER($C276)),$C276=0),"",$C277/$C276-1)</f>
        <v>0.00657948050686019</v>
      </c>
      <c r="I277" s="52" t="n">
        <f aca="false">IF(AND(ISNUMBER($G277),$G277&gt;=MA_SHORT),AVERAGE(INDEX($C$5:$C277,274-MA_SHORT):$C277),"")</f>
        <v>101940972.8</v>
      </c>
      <c r="J277" s="52" t="n">
        <f aca="false">IF(AND(ISNUMBER($G277),$G277&gt;=MA_MED),AVERAGE(INDEX($C$5:$C277,274-MA_MED):$C277),"")</f>
        <v>102721053.68</v>
      </c>
      <c r="K277" s="52" t="n">
        <f aca="false">IF(AND(ISNUMBER($G277),$G277&gt;=MA_LONG2),AVERAGE(INDEX($C$5:$C277,274-MA_LONG2):$C277),"")</f>
        <v>99155500.055</v>
      </c>
      <c r="L277" s="53" t="n">
        <f aca="false">IF(AND(ISNUMBER($G277),$G277&gt;=21),STDEV(INDEX($H$217:$H277,62-20):$H277)*SQRT(245),"")</f>
        <v>0.185894919127941</v>
      </c>
      <c r="M277" s="52" t="n">
        <f aca="false">IF(AND(ISNUMBER($G277),$G277&gt;=60),MAX(INDEX($D$77:$D277,202-60):$D277),"")</f>
        <v>108288197</v>
      </c>
      <c r="N277" s="52" t="n">
        <f aca="false">IF(AND(ISNUMBER($G277),$G277&gt;=60),MIN(INDEX($E$77:$E277,202-60):$E277),"")</f>
        <v>96825981</v>
      </c>
      <c r="O277" s="53" t="n">
        <f aca="false">IF(OR(NOT(ISNUMBER($C277)),NOT(ISNUMBER($M277)),$M277=0),"",$C277/$M277-1)</f>
        <v>-0.0134199851900757</v>
      </c>
      <c r="P277" s="54"/>
      <c r="Q277" s="53" t="str">
        <f aca="false">IF(NOT(ISNUMBER($P277)),"",IFERROR(PERCENTRANK($P$5:$P$1204,$P277),""))</f>
        <v/>
      </c>
    </row>
    <row r="278" customFormat="false" ht="15" hidden="false" customHeight="false" outlineLevel="0" collapsed="false">
      <c r="A278" s="47" t="n">
        <v>45951</v>
      </c>
      <c r="B278" s="48" t="s">
        <v>426</v>
      </c>
      <c r="C278" s="49" t="n">
        <v>105795051</v>
      </c>
      <c r="D278" s="49" t="n">
        <v>106199580</v>
      </c>
      <c r="E278" s="49" t="n">
        <v>105434619</v>
      </c>
      <c r="F278" s="49" t="n">
        <v>0</v>
      </c>
      <c r="G278" s="50" t="n">
        <f aca="false">IF($A278="","",IF(ISNUMBER($G277),$G277+1,1))</f>
        <v>274</v>
      </c>
      <c r="H278" s="51" t="n">
        <f aca="false">IF(OR(NOT(ISNUMBER($G278)),$G278&lt;2,NOT(ISNUMBER($C277)),$C277=0),"",$C278/$C277-1)</f>
        <v>-0.0097338913491164</v>
      </c>
      <c r="I278" s="52" t="n">
        <f aca="false">IF(AND(ISNUMBER($G278),$G278&gt;=MA_SHORT),AVERAGE(INDEX($C$5:$C278,275-MA_SHORT):$C278),"")</f>
        <v>102156573.4</v>
      </c>
      <c r="J278" s="52" t="n">
        <f aca="false">IF(AND(ISNUMBER($G278),$G278&gt;=MA_MED),AVERAGE(INDEX($C$5:$C278,275-MA_MED):$C278),"")</f>
        <v>102858390.16</v>
      </c>
      <c r="K278" s="52" t="n">
        <f aca="false">IF(AND(ISNUMBER($G278),$G278&gt;=MA_LONG2),AVERAGE(INDEX($C$5:$C278,275-MA_LONG2):$C278),"")</f>
        <v>99225719.055</v>
      </c>
      <c r="L278" s="53" t="n">
        <f aca="false">IF(AND(ISNUMBER($G278),$G278&gt;=21),STDEV(INDEX($H$218:$H278,62-20):$H278)*SQRT(245),"")</f>
        <v>0.18565297929537</v>
      </c>
      <c r="M278" s="52" t="n">
        <f aca="false">IF(AND(ISNUMBER($G278),$G278&gt;=60),MAX(INDEX($D$78:$D278,202-60):$D278),"")</f>
        <v>108288197</v>
      </c>
      <c r="N278" s="52" t="n">
        <f aca="false">IF(AND(ISNUMBER($G278),$G278&gt;=60),MIN(INDEX($E$78:$E278,202-60):$E278),"")</f>
        <v>96825981</v>
      </c>
      <c r="O278" s="53" t="n">
        <f aca="false">IF(OR(NOT(ISNUMBER($C278)),NOT(ISNUMBER($M278)),$M278=0),"",$C278/$M278-1)</f>
        <v>-0.0230232478614452</v>
      </c>
      <c r="P278" s="54"/>
      <c r="Q278" s="53" t="str">
        <f aca="false">IF(NOT(ISNUMBER($P278)),"",IFERROR(PERCENTRANK($P$5:$P$1204,$P278),""))</f>
        <v/>
      </c>
    </row>
    <row r="279" customFormat="false" ht="15" hidden="false" customHeight="false" outlineLevel="0" collapsed="false">
      <c r="A279" s="47" t="n">
        <v>45952</v>
      </c>
      <c r="B279" s="48" t="s">
        <v>427</v>
      </c>
      <c r="C279" s="49" t="n">
        <v>105669189</v>
      </c>
      <c r="D279" s="49" t="n">
        <v>105776030</v>
      </c>
      <c r="E279" s="49" t="n">
        <v>105325516</v>
      </c>
      <c r="F279" s="49" t="n">
        <v>0</v>
      </c>
      <c r="G279" s="50" t="n">
        <f aca="false">IF($A279="","",IF(ISNUMBER($G278),$G278+1,1))</f>
        <v>275</v>
      </c>
      <c r="H279" s="51" t="n">
        <f aca="false">IF(OR(NOT(ISNUMBER($G279)),$G279&lt;2,NOT(ISNUMBER($C278)),$C278=0),"",$C279/$C278-1)</f>
        <v>-0.00118967757764021</v>
      </c>
      <c r="I279" s="52" t="n">
        <f aca="false">IF(AND(ISNUMBER($G279),$G279&gt;=MA_SHORT),AVERAGE(INDEX($C$5:$C279,276-MA_SHORT):$C279),"")</f>
        <v>102436476.85</v>
      </c>
      <c r="J279" s="52" t="n">
        <f aca="false">IF(AND(ISNUMBER($G279),$G279&gt;=MA_MED),AVERAGE(INDEX($C$5:$C279,276-MA_MED):$C279),"")</f>
        <v>103007496.72</v>
      </c>
      <c r="K279" s="52" t="n">
        <f aca="false">IF(AND(ISNUMBER($G279),$G279&gt;=MA_LONG2),AVERAGE(INDEX($C$5:$C279,276-MA_LONG2):$C279),"")</f>
        <v>99296946.53</v>
      </c>
      <c r="L279" s="53" t="n">
        <f aca="false">IF(AND(ISNUMBER($G279),$G279&gt;=21),STDEV(INDEX($H$219:$H279,62-20):$H279)*SQRT(245),"")</f>
        <v>0.176577092569779</v>
      </c>
      <c r="M279" s="52" t="n">
        <f aca="false">IF(AND(ISNUMBER($G279),$G279&gt;=60),MAX(INDEX($D$79:$D279,202-60):$D279),"")</f>
        <v>108288197</v>
      </c>
      <c r="N279" s="52" t="n">
        <f aca="false">IF(AND(ISNUMBER($G279),$G279&gt;=60),MIN(INDEX($E$79:$E279,202-60):$E279),"")</f>
        <v>96825981</v>
      </c>
      <c r="O279" s="53" t="n">
        <f aca="false">IF(OR(NOT(ISNUMBER($C279)),NOT(ISNUMBER($M279)),$M279=0),"",$C279/$M279-1)</f>
        <v>-0.0241855351973401</v>
      </c>
      <c r="P279" s="54"/>
      <c r="Q279" s="53" t="str">
        <f aca="false">IF(NOT(ISNUMBER($P279)),"",IFERROR(PERCENTRANK($P$5:$P$1204,$P279),""))</f>
        <v/>
      </c>
    </row>
    <row r="280" customFormat="false" ht="15" hidden="false" customHeight="false" outlineLevel="0" collapsed="false">
      <c r="A280" s="47" t="n">
        <v>45955</v>
      </c>
      <c r="B280" s="48" t="s">
        <v>428</v>
      </c>
      <c r="C280" s="49" t="n">
        <v>106545727</v>
      </c>
      <c r="D280" s="49" t="n">
        <v>106766458</v>
      </c>
      <c r="E280" s="49" t="n">
        <v>106497017</v>
      </c>
      <c r="F280" s="49" t="n">
        <v>0</v>
      </c>
      <c r="G280" s="50" t="n">
        <f aca="false">IF($A280="","",IF(ISNUMBER($G279),$G279+1,1))</f>
        <v>276</v>
      </c>
      <c r="H280" s="51" t="n">
        <f aca="false">IF(OR(NOT(ISNUMBER($G280)),$G280&lt;2,NOT(ISNUMBER($C279)),$C279=0),"",$C280/$C279-1)</f>
        <v>0.0082951142929657</v>
      </c>
      <c r="I280" s="52" t="n">
        <f aca="false">IF(AND(ISNUMBER($G280),$G280&gt;=MA_SHORT),AVERAGE(INDEX($C$5:$C280,277-MA_SHORT):$C280),"")</f>
        <v>102721334.3</v>
      </c>
      <c r="J280" s="52" t="n">
        <f aca="false">IF(AND(ISNUMBER($G280),$G280&gt;=MA_MED),AVERAGE(INDEX($C$5:$C280,277-MA_MED):$C280),"")</f>
        <v>103140364.36</v>
      </c>
      <c r="K280" s="52" t="n">
        <f aca="false">IF(AND(ISNUMBER($G280),$G280&gt;=MA_LONG2),AVERAGE(INDEX($C$5:$C280,277-MA_LONG2):$C280),"")</f>
        <v>99376107.4</v>
      </c>
      <c r="L280" s="53" t="n">
        <f aca="false">IF(AND(ISNUMBER($G280),$G280&gt;=21),STDEV(INDEX($H$220:$H280,62-20):$H280)*SQRT(245),"")</f>
        <v>0.176778004476903</v>
      </c>
      <c r="M280" s="52" t="n">
        <f aca="false">IF(AND(ISNUMBER($G280),$G280&gt;=60),MAX(INDEX($D$80:$D280,202-60):$D280),"")</f>
        <v>108288197</v>
      </c>
      <c r="N280" s="52" t="n">
        <f aca="false">IF(AND(ISNUMBER($G280),$G280&gt;=60),MIN(INDEX($E$80:$E280,202-60):$E280),"")</f>
        <v>96825981</v>
      </c>
      <c r="O280" s="53" t="n">
        <f aca="false">IF(OR(NOT(ISNUMBER($C280)),NOT(ISNUMBER($M280)),$M280=0),"",$C280/$M280-1)</f>
        <v>-0.0160910426830728</v>
      </c>
      <c r="P280" s="54"/>
      <c r="Q280" s="53" t="str">
        <f aca="false">IF(NOT(ISNUMBER($P280)),"",IFERROR(PERCENTRANK($P$5:$P$1204,$P280),""))</f>
        <v/>
      </c>
    </row>
    <row r="281" customFormat="false" ht="15" hidden="false" customHeight="false" outlineLevel="0" collapsed="false">
      <c r="A281" s="47" t="n">
        <v>45956</v>
      </c>
      <c r="B281" s="48" t="s">
        <v>429</v>
      </c>
      <c r="C281" s="49" t="n">
        <v>108254541</v>
      </c>
      <c r="D281" s="49" t="n">
        <v>108433177</v>
      </c>
      <c r="E281" s="49" t="n">
        <v>108204036</v>
      </c>
      <c r="F281" s="49" t="n">
        <v>0</v>
      </c>
      <c r="G281" s="50" t="n">
        <f aca="false">IF($A281="","",IF(ISNUMBER($G280),$G280+1,1))</f>
        <v>277</v>
      </c>
      <c r="H281" s="51" t="n">
        <f aca="false">IF(OR(NOT(ISNUMBER($G281)),$G281&lt;2,NOT(ISNUMBER($C280)),$C280=0),"",$C281/$C280-1)</f>
        <v>0.0160383156426349</v>
      </c>
      <c r="I281" s="52" t="n">
        <f aca="false">IF(AND(ISNUMBER($G281),$G281&gt;=MA_SHORT),AVERAGE(INDEX($C$5:$C281,278-MA_SHORT):$C281),"")</f>
        <v>103071183.2</v>
      </c>
      <c r="J281" s="52" t="n">
        <f aca="false">IF(AND(ISNUMBER($G281),$G281&gt;=MA_MED),AVERAGE(INDEX($C$5:$C281,278-MA_MED):$C281),"")</f>
        <v>103273507.18</v>
      </c>
      <c r="K281" s="52" t="n">
        <f aca="false">IF(AND(ISNUMBER($G281),$G281&gt;=MA_LONG2),AVERAGE(INDEX($C$5:$C281,278-MA_LONG2):$C281),"")</f>
        <v>99467879.405</v>
      </c>
      <c r="L281" s="53" t="n">
        <f aca="false">IF(AND(ISNUMBER($G281),$G281&gt;=21),STDEV(INDEX($H$221:$H281,62-20):$H281)*SQRT(245),"")</f>
        <v>0.182739104419494</v>
      </c>
      <c r="M281" s="52" t="n">
        <f aca="false">IF(AND(ISNUMBER($G281),$G281&gt;=60),MAX(INDEX($D$81:$D281,202-60):$D281),"")</f>
        <v>108433177</v>
      </c>
      <c r="N281" s="52" t="n">
        <f aca="false">IF(AND(ISNUMBER($G281),$G281&gt;=60),MIN(INDEX($E$81:$E281,202-60):$E281),"")</f>
        <v>96825981</v>
      </c>
      <c r="O281" s="53" t="n">
        <f aca="false">IF(OR(NOT(ISNUMBER($C281)),NOT(ISNUMBER($M281)),$M281=0),"",$C281/$M281-1)</f>
        <v>-0.00164742936564521</v>
      </c>
      <c r="P281" s="54"/>
      <c r="Q281" s="53" t="str">
        <f aca="false">IF(NOT(ISNUMBER($P281)),"",IFERROR(PERCENTRANK($P$5:$P$1204,$P281),""))</f>
        <v/>
      </c>
    </row>
    <row r="282" customFormat="false" ht="15" hidden="false" customHeight="false" outlineLevel="0" collapsed="false">
      <c r="A282" s="47" t="n">
        <v>45957</v>
      </c>
      <c r="B282" s="48" t="s">
        <v>430</v>
      </c>
      <c r="C282" s="49" t="n">
        <v>108727898</v>
      </c>
      <c r="D282" s="49" t="n">
        <v>108815167</v>
      </c>
      <c r="E282" s="49" t="n">
        <v>108353452</v>
      </c>
      <c r="F282" s="49" t="n">
        <v>0</v>
      </c>
      <c r="G282" s="50" t="n">
        <f aca="false">IF($A282="","",IF(ISNUMBER($G281),$G281+1,1))</f>
        <v>278</v>
      </c>
      <c r="H282" s="51" t="n">
        <f aca="false">IF(OR(NOT(ISNUMBER($G282)),$G282&lt;2,NOT(ISNUMBER($C281)),$C281=0),"",$C282/$C281-1)</f>
        <v>0.00437262950475215</v>
      </c>
      <c r="I282" s="52" t="n">
        <f aca="false">IF(AND(ISNUMBER($G282),$G282&gt;=MA_SHORT),AVERAGE(INDEX($C$5:$C282,279-MA_SHORT):$C282),"")</f>
        <v>103500475.45</v>
      </c>
      <c r="J282" s="52" t="n">
        <f aca="false">IF(AND(ISNUMBER($G282),$G282&gt;=MA_MED),AVERAGE(INDEX($C$5:$C282,279-MA_MED):$C282),"")</f>
        <v>103361351.2</v>
      </c>
      <c r="K282" s="52" t="n">
        <f aca="false">IF(AND(ISNUMBER($G282),$G282&gt;=MA_LONG2),AVERAGE(INDEX($C$5:$C282,279-MA_LONG2):$C282),"")</f>
        <v>99568242.69</v>
      </c>
      <c r="L282" s="53" t="n">
        <f aca="false">IF(AND(ISNUMBER($G282),$G282&gt;=21),STDEV(INDEX($H$222:$H282,62-20):$H282)*SQRT(245),"")</f>
        <v>0.174838530700835</v>
      </c>
      <c r="M282" s="52" t="n">
        <f aca="false">IF(AND(ISNUMBER($G282),$G282&gt;=60),MAX(INDEX($D$82:$D282,202-60):$D282),"")</f>
        <v>108815167</v>
      </c>
      <c r="N282" s="52" t="n">
        <f aca="false">IF(AND(ISNUMBER($G282),$G282&gt;=60),MIN(INDEX($E$82:$E282,202-60):$E282),"")</f>
        <v>96825981</v>
      </c>
      <c r="O282" s="53" t="n">
        <f aca="false">IF(OR(NOT(ISNUMBER($C282)),NOT(ISNUMBER($M282)),$M282=0),"",$C282/$M282-1)</f>
        <v>-0.000801992979526434</v>
      </c>
      <c r="P282" s="54"/>
      <c r="Q282" s="53" t="str">
        <f aca="false">IF(NOT(ISNUMBER($P282)),"",IFERROR(PERCENTRANK($P$5:$P$1204,$P282),""))</f>
        <v/>
      </c>
    </row>
    <row r="283" customFormat="false" ht="15" hidden="false" customHeight="false" outlineLevel="0" collapsed="false">
      <c r="A283" s="47" t="n">
        <v>45958</v>
      </c>
      <c r="B283" s="48" t="s">
        <v>431</v>
      </c>
      <c r="C283" s="49" t="n">
        <v>109669647</v>
      </c>
      <c r="D283" s="49" t="n">
        <v>109769067</v>
      </c>
      <c r="E283" s="49" t="n">
        <v>109214952</v>
      </c>
      <c r="F283" s="49" t="n">
        <v>0</v>
      </c>
      <c r="G283" s="50" t="n">
        <f aca="false">IF($A283="","",IF(ISNUMBER($G282),$G282+1,1))</f>
        <v>279</v>
      </c>
      <c r="H283" s="51" t="n">
        <f aca="false">IF(OR(NOT(ISNUMBER($G283)),$G283&lt;2,NOT(ISNUMBER($C282)),$C282=0),"",$C283/$C282-1)</f>
        <v>0.00866152125924491</v>
      </c>
      <c r="I283" s="52" t="n">
        <f aca="false">IF(AND(ISNUMBER($G283),$G283&gt;=MA_SHORT),AVERAGE(INDEX($C$5:$C283,280-MA_SHORT):$C283),"")</f>
        <v>103980598</v>
      </c>
      <c r="J283" s="52" t="n">
        <f aca="false">IF(AND(ISNUMBER($G283),$G283&gt;=MA_MED),AVERAGE(INDEX($C$5:$C283,280-MA_MED):$C283),"")</f>
        <v>103476464.72</v>
      </c>
      <c r="K283" s="52" t="n">
        <f aca="false">IF(AND(ISNUMBER($G283),$G283&gt;=MA_LONG2),AVERAGE(INDEX($C$5:$C283,280-MA_LONG2):$C283),"")</f>
        <v>99669349.38</v>
      </c>
      <c r="L283" s="53" t="n">
        <f aca="false">IF(AND(ISNUMBER($G283),$G283&gt;=21),STDEV(INDEX($H$223:$H283,62-20):$H283)*SQRT(245),"")</f>
        <v>0.174519588631673</v>
      </c>
      <c r="M283" s="52" t="n">
        <f aca="false">IF(AND(ISNUMBER($G283),$G283&gt;=60),MAX(INDEX($D$83:$D283,202-60):$D283),"")</f>
        <v>109769067</v>
      </c>
      <c r="N283" s="52" t="n">
        <f aca="false">IF(AND(ISNUMBER($G283),$G283&gt;=60),MIN(INDEX($E$83:$E283,202-60):$E283),"")</f>
        <v>96825981</v>
      </c>
      <c r="O283" s="53" t="n">
        <f aca="false">IF(OR(NOT(ISNUMBER($C283)),NOT(ISNUMBER($M283)),$M283=0),"",$C283/$M283-1)</f>
        <v>-0.000905719641399516</v>
      </c>
      <c r="P283" s="54"/>
      <c r="Q283" s="53" t="str">
        <f aca="false">IF(NOT(ISNUMBER($P283)),"",IFERROR(PERCENTRANK($P$5:$P$1204,$P283),""))</f>
        <v/>
      </c>
    </row>
    <row r="284" customFormat="false" ht="15" hidden="false" customHeight="false" outlineLevel="0" collapsed="false">
      <c r="A284" s="47" t="n">
        <v>45959</v>
      </c>
      <c r="B284" s="48" t="s">
        <v>432</v>
      </c>
      <c r="C284" s="49" t="n">
        <v>108958902</v>
      </c>
      <c r="D284" s="49" t="n">
        <v>109150188</v>
      </c>
      <c r="E284" s="49" t="n">
        <v>108435651</v>
      </c>
      <c r="F284" s="49" t="n">
        <v>0</v>
      </c>
      <c r="G284" s="50" t="n">
        <f aca="false">IF($A284="","",IF(ISNUMBER($G283),$G283+1,1))</f>
        <v>280</v>
      </c>
      <c r="H284" s="51" t="n">
        <f aca="false">IF(OR(NOT(ISNUMBER($G284)),$G284&lt;2,NOT(ISNUMBER($C283)),$C283=0),"",$C284/$C283-1)</f>
        <v>-0.00648078132320418</v>
      </c>
      <c r="I284" s="52" t="n">
        <f aca="false">IF(AND(ISNUMBER($G284),$G284&gt;=MA_SHORT),AVERAGE(INDEX($C$5:$C284,281-MA_SHORT):$C284),"")</f>
        <v>104571533.5</v>
      </c>
      <c r="J284" s="52" t="n">
        <f aca="false">IF(AND(ISNUMBER($G284),$G284&gt;=MA_MED),AVERAGE(INDEX($C$5:$C284,281-MA_MED):$C284),"")</f>
        <v>103564119</v>
      </c>
      <c r="K284" s="52" t="n">
        <f aca="false">IF(AND(ISNUMBER($G284),$G284&gt;=MA_LONG2),AVERAGE(INDEX($C$5:$C284,281-MA_LONG2):$C284),"")</f>
        <v>99775485.845</v>
      </c>
      <c r="L284" s="53" t="n">
        <f aca="false">IF(AND(ISNUMBER($G284),$G284&gt;=21),STDEV(INDEX($H$224:$H284,62-20):$H284)*SQRT(245),"")</f>
        <v>0.130001808171089</v>
      </c>
      <c r="M284" s="52" t="n">
        <f aca="false">IF(AND(ISNUMBER($G284),$G284&gt;=60),MAX(INDEX($D$84:$D284,202-60):$D284),"")</f>
        <v>109769067</v>
      </c>
      <c r="N284" s="52" t="n">
        <f aca="false">IF(AND(ISNUMBER($G284),$G284&gt;=60),MIN(INDEX($E$84:$E284,202-60):$E284),"")</f>
        <v>96825981</v>
      </c>
      <c r="O284" s="53" t="n">
        <f aca="false">IF(OR(NOT(ISNUMBER($C284)),NOT(ISNUMBER($M284)),$M284=0),"",$C284/$M284-1)</f>
        <v>-0.00738063119366772</v>
      </c>
      <c r="P284" s="54"/>
      <c r="Q284" s="53" t="str">
        <f aca="false">IF(NOT(ISNUMBER($P284)),"",IFERROR(PERCENTRANK($P$5:$P$1204,$P284),""))</f>
        <v/>
      </c>
    </row>
    <row r="285" customFormat="false" ht="15" hidden="false" customHeight="false" outlineLevel="0" collapsed="false">
      <c r="A285" s="47" t="n">
        <v>45962</v>
      </c>
      <c r="B285" s="48" t="s">
        <v>433</v>
      </c>
      <c r="C285" s="49" t="n">
        <v>112534917</v>
      </c>
      <c r="D285" s="49" t="n">
        <v>112822300</v>
      </c>
      <c r="E285" s="49" t="n">
        <v>112238355</v>
      </c>
      <c r="F285" s="49" t="n">
        <v>0</v>
      </c>
      <c r="G285" s="50" t="n">
        <f aca="false">IF($A285="","",IF(ISNUMBER($G284),$G284+1,1))</f>
        <v>281</v>
      </c>
      <c r="H285" s="51" t="n">
        <f aca="false">IF(OR(NOT(ISNUMBER($G285)),$G285&lt;2,NOT(ISNUMBER($C284)),$C284=0),"",$C285/$C284-1)</f>
        <v>0.0328198516537914</v>
      </c>
      <c r="I285" s="52" t="n">
        <f aca="false">IF(AND(ISNUMBER($G285),$G285&gt;=MA_SHORT),AVERAGE(INDEX($C$5:$C285,282-MA_SHORT):$C285),"")</f>
        <v>105257890.25</v>
      </c>
      <c r="J285" s="52" t="n">
        <f aca="false">IF(AND(ISNUMBER($G285),$G285&gt;=MA_MED),AVERAGE(INDEX($C$5:$C285,282-MA_MED):$C285),"")</f>
        <v>103702140.68</v>
      </c>
      <c r="K285" s="52" t="n">
        <f aca="false">IF(AND(ISNUMBER($G285),$G285&gt;=MA_LONG2),AVERAGE(INDEX($C$5:$C285,282-MA_LONG2):$C285),"")</f>
        <v>99901469.385</v>
      </c>
      <c r="L285" s="53" t="n">
        <f aca="false">IF(AND(ISNUMBER($G285),$G285&gt;=21),STDEV(INDEX($H$225:$H285,62-20):$H285)*SQRT(245),"")</f>
        <v>0.156507508559097</v>
      </c>
      <c r="M285" s="52" t="n">
        <f aca="false">IF(AND(ISNUMBER($G285),$G285&gt;=60),MAX(INDEX($D$85:$D285,202-60):$D285),"")</f>
        <v>112822300</v>
      </c>
      <c r="N285" s="52" t="n">
        <f aca="false">IF(AND(ISNUMBER($G285),$G285&gt;=60),MIN(INDEX($E$85:$E285,202-60):$E285),"")</f>
        <v>96825981</v>
      </c>
      <c r="O285" s="53" t="n">
        <f aca="false">IF(OR(NOT(ISNUMBER($C285)),NOT(ISNUMBER($M285)),$M285=0),"",$C285/$M285-1)</f>
        <v>-0.00254721805884117</v>
      </c>
      <c r="P285" s="54"/>
      <c r="Q285" s="53" t="str">
        <f aca="false">IF(NOT(ISNUMBER($P285)),"",IFERROR(PERCENTRANK($P$5:$P$1204,$P285),""))</f>
        <v/>
      </c>
    </row>
    <row r="286" customFormat="false" ht="15" hidden="false" customHeight="false" outlineLevel="0" collapsed="false">
      <c r="A286" s="47" t="n">
        <v>45963</v>
      </c>
      <c r="B286" s="48" t="s">
        <v>434</v>
      </c>
      <c r="C286" s="49" t="n">
        <v>111721442</v>
      </c>
      <c r="D286" s="49" t="n">
        <v>111799612</v>
      </c>
      <c r="E286" s="49" t="n">
        <v>111466027</v>
      </c>
      <c r="F286" s="49" t="n">
        <v>0</v>
      </c>
      <c r="G286" s="50" t="n">
        <f aca="false">IF($A286="","",IF(ISNUMBER($G285),$G285+1,1))</f>
        <v>282</v>
      </c>
      <c r="H286" s="51" t="n">
        <f aca="false">IF(OR(NOT(ISNUMBER($G286)),$G286&lt;2,NOT(ISNUMBER($C285)),$C285=0),"",$C286/$C285-1)</f>
        <v>-0.00722864531014844</v>
      </c>
      <c r="I286" s="52" t="n">
        <f aca="false">IF(AND(ISNUMBER($G286),$G286&gt;=MA_SHORT),AVERAGE(INDEX($C$5:$C286,283-MA_SHORT):$C286),"")</f>
        <v>105872965.75</v>
      </c>
      <c r="J286" s="52" t="n">
        <f aca="false">IF(AND(ISNUMBER($G286),$G286&gt;=MA_MED),AVERAGE(INDEX($C$5:$C286,283-MA_MED):$C286),"")</f>
        <v>103838666.46</v>
      </c>
      <c r="K286" s="52" t="n">
        <f aca="false">IF(AND(ISNUMBER($G286),$G286&gt;=MA_LONG2),AVERAGE(INDEX($C$5:$C286,283-MA_LONG2):$C286),"")</f>
        <v>100011867.49</v>
      </c>
      <c r="L286" s="53" t="n">
        <f aca="false">IF(AND(ISNUMBER($G286),$G286&gt;=21),STDEV(INDEX($H$226:$H286,62-20):$H286)*SQRT(245),"")</f>
        <v>0.163806846034623</v>
      </c>
      <c r="M286" s="52" t="n">
        <f aca="false">IF(AND(ISNUMBER($G286),$G286&gt;=60),MAX(INDEX($D$86:$D286,202-60):$D286),"")</f>
        <v>112822300</v>
      </c>
      <c r="N286" s="52" t="n">
        <f aca="false">IF(AND(ISNUMBER($G286),$G286&gt;=60),MIN(INDEX($E$86:$E286,202-60):$E286),"")</f>
        <v>96825981</v>
      </c>
      <c r="O286" s="53" t="n">
        <f aca="false">IF(OR(NOT(ISNUMBER($C286)),NOT(ISNUMBER($M286)),$M286=0),"",$C286/$M286-1)</f>
        <v>-0.00975745043311471</v>
      </c>
      <c r="P286" s="54"/>
      <c r="Q286" s="53" t="str">
        <f aca="false">IF(NOT(ISNUMBER($P286)),"",IFERROR(PERCENTRANK($P$5:$P$1204,$P286),""))</f>
        <v/>
      </c>
    </row>
    <row r="287" customFormat="false" ht="15" hidden="false" customHeight="false" outlineLevel="0" collapsed="false">
      <c r="A287" s="47" t="n">
        <v>45964</v>
      </c>
      <c r="B287" s="48" t="s">
        <v>435</v>
      </c>
      <c r="C287" s="49" t="n">
        <v>112078614</v>
      </c>
      <c r="D287" s="49" t="n">
        <v>112690496</v>
      </c>
      <c r="E287" s="49" t="n">
        <v>111594388</v>
      </c>
      <c r="F287" s="49" t="n">
        <v>0</v>
      </c>
      <c r="G287" s="50" t="n">
        <f aca="false">IF($A287="","",IF(ISNUMBER($G286),$G286+1,1))</f>
        <v>283</v>
      </c>
      <c r="H287" s="51" t="n">
        <f aca="false">IF(OR(NOT(ISNUMBER($G287)),$G287&lt;2,NOT(ISNUMBER($C286)),$C286=0),"",$C287/$C286-1)</f>
        <v>0.00319698702062943</v>
      </c>
      <c r="I287" s="52" t="n">
        <f aca="false">IF(AND(ISNUMBER($G287),$G287&gt;=MA_SHORT),AVERAGE(INDEX($C$5:$C287,284-MA_SHORT):$C287),"")</f>
        <v>106424647.3</v>
      </c>
      <c r="J287" s="52" t="n">
        <f aca="false">IF(AND(ISNUMBER($G287),$G287&gt;=MA_MED),AVERAGE(INDEX($C$5:$C287,284-MA_MED):$C287),"")</f>
        <v>104014756.16</v>
      </c>
      <c r="K287" s="52" t="n">
        <f aca="false">IF(AND(ISNUMBER($G287),$G287&gt;=MA_LONG2),AVERAGE(INDEX($C$5:$C287,284-MA_LONG2):$C287),"")</f>
        <v>100112965.82</v>
      </c>
      <c r="L287" s="53" t="n">
        <f aca="false">IF(AND(ISNUMBER($G287),$G287&gt;=21),STDEV(INDEX($H$227:$H287,62-20):$H287)*SQRT(245),"")</f>
        <v>0.1594020583199</v>
      </c>
      <c r="M287" s="52" t="n">
        <f aca="false">IF(AND(ISNUMBER($G287),$G287&gt;=60),MAX(INDEX($D$87:$D287,202-60):$D287),"")</f>
        <v>112822300</v>
      </c>
      <c r="N287" s="52" t="n">
        <f aca="false">IF(AND(ISNUMBER($G287),$G287&gt;=60),MIN(INDEX($E$87:$E287,202-60):$E287),"")</f>
        <v>96825981</v>
      </c>
      <c r="O287" s="53" t="n">
        <f aca="false">IF(OR(NOT(ISNUMBER($C287)),NOT(ISNUMBER($M287)),$M287=0),"",$C287/$M287-1)</f>
        <v>-0.00659165785487448</v>
      </c>
      <c r="P287" s="54"/>
      <c r="Q287" s="53" t="str">
        <f aca="false">IF(NOT(ISNUMBER($P287)),"",IFERROR(PERCENTRANK($P$5:$P$1204,$P287),""))</f>
        <v/>
      </c>
    </row>
    <row r="288" customFormat="false" ht="15" hidden="false" customHeight="false" outlineLevel="0" collapsed="false">
      <c r="A288" s="47" t="n">
        <v>45965</v>
      </c>
      <c r="B288" s="48" t="s">
        <v>436</v>
      </c>
      <c r="C288" s="49" t="n">
        <v>113085634</v>
      </c>
      <c r="D288" s="49" t="n">
        <v>113786173</v>
      </c>
      <c r="E288" s="49" t="n">
        <v>112868304</v>
      </c>
      <c r="F288" s="49" t="n">
        <v>0</v>
      </c>
      <c r="G288" s="50" t="n">
        <f aca="false">IF($A288="","",IF(ISNUMBER($G287),$G287+1,1))</f>
        <v>284</v>
      </c>
      <c r="H288" s="51" t="n">
        <f aca="false">IF(OR(NOT(ISNUMBER($G288)),$G288&lt;2,NOT(ISNUMBER($C287)),$C287=0),"",$C288/$C287-1)</f>
        <v>0.00898494337197997</v>
      </c>
      <c r="I288" s="52" t="n">
        <f aca="false">IF(AND(ISNUMBER($G288),$G288&gt;=MA_SHORT),AVERAGE(INDEX($C$5:$C288,285-MA_SHORT):$C288),"")</f>
        <v>107041813.85</v>
      </c>
      <c r="J288" s="52" t="n">
        <f aca="false">IF(AND(ISNUMBER($G288),$G288&gt;=MA_MED),AVERAGE(INDEX($C$5:$C288,285-MA_MED):$C288),"")</f>
        <v>104225438.72</v>
      </c>
      <c r="K288" s="52" t="n">
        <f aca="false">IF(AND(ISNUMBER($G288),$G288&gt;=MA_LONG2),AVERAGE(INDEX($C$5:$C288,285-MA_LONG2):$C288),"")</f>
        <v>100212966.255</v>
      </c>
      <c r="L288" s="53" t="n">
        <f aca="false">IF(AND(ISNUMBER($G288),$G288&gt;=21),STDEV(INDEX($H$228:$H288,62-20):$H288)*SQRT(245),"")</f>
        <v>0.156912516559889</v>
      </c>
      <c r="M288" s="52" t="n">
        <f aca="false">IF(AND(ISNUMBER($G288),$G288&gt;=60),MAX(INDEX($D$88:$D288,202-60):$D288),"")</f>
        <v>113786173</v>
      </c>
      <c r="N288" s="52" t="n">
        <f aca="false">IF(AND(ISNUMBER($G288),$G288&gt;=60),MIN(INDEX($E$88:$E288,202-60):$E288),"")</f>
        <v>96825981</v>
      </c>
      <c r="O288" s="53" t="n">
        <f aca="false">IF(OR(NOT(ISNUMBER($C288)),NOT(ISNUMBER($M288)),$M288=0),"",$C288/$M288-1)</f>
        <v>-0.00615662678100615</v>
      </c>
      <c r="P288" s="54"/>
      <c r="Q288" s="53" t="str">
        <f aca="false">IF(NOT(ISNUMBER($P288)),"",IFERROR(PERCENTRANK($P$5:$P$1204,$P288),""))</f>
        <v/>
      </c>
    </row>
    <row r="289" customFormat="false" ht="15" hidden="false" customHeight="false" outlineLevel="0" collapsed="false">
      <c r="A289" s="47" t="n">
        <v>45966</v>
      </c>
      <c r="B289" s="48" t="s">
        <v>437</v>
      </c>
      <c r="C289" s="49" t="n">
        <v>115476535</v>
      </c>
      <c r="D289" s="49" t="n">
        <v>115794113</v>
      </c>
      <c r="E289" s="49" t="n">
        <v>115473628</v>
      </c>
      <c r="F289" s="49" t="n">
        <v>0</v>
      </c>
      <c r="G289" s="50" t="n">
        <f aca="false">IF($A289="","",IF(ISNUMBER($G288),$G288+1,1))</f>
        <v>285</v>
      </c>
      <c r="H289" s="51" t="n">
        <f aca="false">IF(OR(NOT(ISNUMBER($G289)),$G289&lt;2,NOT(ISNUMBER($C288)),$C288=0),"",$C289/$C288-1)</f>
        <v>0.0211423937367676</v>
      </c>
      <c r="I289" s="52" t="n">
        <f aca="false">IF(AND(ISNUMBER($G289),$G289&gt;=MA_SHORT),AVERAGE(INDEX($C$5:$C289,286-MA_SHORT):$C289),"")</f>
        <v>107746759.8</v>
      </c>
      <c r="J289" s="52" t="n">
        <f aca="false">IF(AND(ISNUMBER($G289),$G289&gt;=MA_MED),AVERAGE(INDEX($C$5:$C289,286-MA_MED):$C289),"")</f>
        <v>104463539.74</v>
      </c>
      <c r="K289" s="52" t="n">
        <f aca="false">IF(AND(ISNUMBER($G289),$G289&gt;=MA_LONG2),AVERAGE(INDEX($C$5:$C289,286-MA_LONG2):$C289),"")</f>
        <v>100315785.065</v>
      </c>
      <c r="L289" s="53" t="n">
        <f aca="false">IF(AND(ISNUMBER($G289),$G289&gt;=21),STDEV(INDEX($H$229:$H289,62-20):$H289)*SQRT(245),"")</f>
        <v>0.165816651729994</v>
      </c>
      <c r="M289" s="52" t="n">
        <f aca="false">IF(AND(ISNUMBER($G289),$G289&gt;=60),MAX(INDEX($D$89:$D289,202-60):$D289),"")</f>
        <v>115794113</v>
      </c>
      <c r="N289" s="52" t="n">
        <f aca="false">IF(AND(ISNUMBER($G289),$G289&gt;=60),MIN(INDEX($E$89:$E289,202-60):$E289),"")</f>
        <v>96825981</v>
      </c>
      <c r="O289" s="53" t="n">
        <f aca="false">IF(OR(NOT(ISNUMBER($C289)),NOT(ISNUMBER($M289)),$M289=0),"",$C289/$M289-1)</f>
        <v>-0.00274260920328484</v>
      </c>
      <c r="P289" s="54"/>
      <c r="Q289" s="53" t="str">
        <f aca="false">IF(NOT(ISNUMBER($P289)),"",IFERROR(PERCENTRANK($P$5:$P$1204,$P289),""))</f>
        <v/>
      </c>
    </row>
    <row r="290" customFormat="false" ht="15" hidden="false" customHeight="false" outlineLevel="0" collapsed="false">
      <c r="A290" s="47" t="n">
        <v>45969</v>
      </c>
      <c r="B290" s="48" t="s">
        <v>438</v>
      </c>
      <c r="C290" s="49" t="n">
        <v>116020990</v>
      </c>
      <c r="D290" s="49" t="n">
        <v>116101769</v>
      </c>
      <c r="E290" s="49" t="n">
        <v>115772333</v>
      </c>
      <c r="F290" s="49" t="n">
        <v>0</v>
      </c>
      <c r="G290" s="50" t="n">
        <f aca="false">IF($A290="","",IF(ISNUMBER($G289),$G289+1,1))</f>
        <v>286</v>
      </c>
      <c r="H290" s="51" t="n">
        <f aca="false">IF(OR(NOT(ISNUMBER($G290)),$G290&lt;2,NOT(ISNUMBER($C289)),$C289=0),"",$C290/$C289-1)</f>
        <v>0.00471485397444593</v>
      </c>
      <c r="I290" s="52" t="n">
        <f aca="false">IF(AND(ISNUMBER($G290),$G290&gt;=MA_SHORT),AVERAGE(INDEX($C$5:$C290,287-MA_SHORT):$C290),"")</f>
        <v>108451875.9</v>
      </c>
      <c r="J290" s="52" t="n">
        <f aca="false">IF(AND(ISNUMBER($G290),$G290&gt;=MA_MED),AVERAGE(INDEX($C$5:$C290,287-MA_MED):$C290),"")</f>
        <v>104693246.24</v>
      </c>
      <c r="K290" s="52" t="n">
        <f aca="false">IF(AND(ISNUMBER($G290),$G290&gt;=MA_LONG2),AVERAGE(INDEX($C$5:$C290,287-MA_LONG2):$C290),"")</f>
        <v>100406781.695</v>
      </c>
      <c r="L290" s="53" t="n">
        <f aca="false">IF(AND(ISNUMBER($G290),$G290&gt;=21),STDEV(INDEX($H$230:$H290,62-20):$H290)*SQRT(245),"")</f>
        <v>0.16589130055995</v>
      </c>
      <c r="M290" s="52" t="n">
        <f aca="false">IF(AND(ISNUMBER($G290),$G290&gt;=60),MAX(INDEX($D$90:$D290,202-60):$D290),"")</f>
        <v>116101769</v>
      </c>
      <c r="N290" s="52" t="n">
        <f aca="false">IF(AND(ISNUMBER($G290),$G290&gt;=60),MIN(INDEX($E$90:$E290,202-60):$E290),"")</f>
        <v>96825981</v>
      </c>
      <c r="O290" s="53" t="n">
        <f aca="false">IF(OR(NOT(ISNUMBER($C290)),NOT(ISNUMBER($M290)),$M290=0),"",$C290/$M290-1)</f>
        <v>-0.000695760285960856</v>
      </c>
      <c r="P290" s="54"/>
      <c r="Q290" s="53" t="str">
        <f aca="false">IF(NOT(ISNUMBER($P290)),"",IFERROR(PERCENTRANK($P$5:$P$1204,$P290),""))</f>
        <v/>
      </c>
    </row>
    <row r="291" customFormat="false" ht="15" hidden="false" customHeight="false" outlineLevel="0" collapsed="false">
      <c r="A291" s="47" t="n">
        <v>45970</v>
      </c>
      <c r="B291" s="48" t="s">
        <v>439</v>
      </c>
      <c r="C291" s="49" t="n">
        <v>115768088</v>
      </c>
      <c r="D291" s="49" t="n">
        <v>115931028</v>
      </c>
      <c r="E291" s="49" t="n">
        <v>115269829</v>
      </c>
      <c r="F291" s="49" t="n">
        <v>0</v>
      </c>
      <c r="G291" s="50" t="n">
        <f aca="false">IF($A291="","",IF(ISNUMBER($G290),$G290+1,1))</f>
        <v>287</v>
      </c>
      <c r="H291" s="51" t="n">
        <f aca="false">IF(OR(NOT(ISNUMBER($G291)),$G291&lt;2,NOT(ISNUMBER($C290)),$C290=0),"",$C291/$C290-1)</f>
        <v>-0.00217979522498468</v>
      </c>
      <c r="I291" s="52" t="n">
        <f aca="false">IF(AND(ISNUMBER($G291),$G291&gt;=MA_SHORT),AVERAGE(INDEX($C$5:$C291,288-MA_SHORT):$C291),"")</f>
        <v>109081650</v>
      </c>
      <c r="J291" s="52" t="n">
        <f aca="false">IF(AND(ISNUMBER($G291),$G291&gt;=MA_MED),AVERAGE(INDEX($C$5:$C291,288-MA_MED):$C291),"")</f>
        <v>104906147.26</v>
      </c>
      <c r="K291" s="52" t="n">
        <f aca="false">IF(AND(ISNUMBER($G291),$G291&gt;=MA_LONG2),AVERAGE(INDEX($C$5:$C291,288-MA_LONG2):$C291),"")</f>
        <v>100504899.28</v>
      </c>
      <c r="L291" s="53" t="n">
        <f aca="false">IF(AND(ISNUMBER($G291),$G291&gt;=21),STDEV(INDEX($H$231:$H291,62-20):$H291)*SQRT(245),"")</f>
        <v>0.167158379541846</v>
      </c>
      <c r="M291" s="52" t="n">
        <f aca="false">IF(AND(ISNUMBER($G291),$G291&gt;=60),MAX(INDEX($D$91:$D291,202-60):$D291),"")</f>
        <v>116101769</v>
      </c>
      <c r="N291" s="52" t="n">
        <f aca="false">IF(AND(ISNUMBER($G291),$G291&gt;=60),MIN(INDEX($E$91:$E291,202-60):$E291),"")</f>
        <v>96825981</v>
      </c>
      <c r="O291" s="53" t="n">
        <f aca="false">IF(OR(NOT(ISNUMBER($C291)),NOT(ISNUMBER($M291)),$M291=0),"",$C291/$M291-1)</f>
        <v>-0.00287403889599647</v>
      </c>
      <c r="P291" s="54"/>
      <c r="Q291" s="53" t="str">
        <f aca="false">IF(NOT(ISNUMBER($P291)),"",IFERROR(PERCENTRANK($P$5:$P$1204,$P291),""))</f>
        <v/>
      </c>
    </row>
    <row r="292" customFormat="false" ht="15" hidden="false" customHeight="false" outlineLevel="0" collapsed="false">
      <c r="A292" s="47" t="n">
        <v>45971</v>
      </c>
      <c r="B292" s="48" t="s">
        <v>440</v>
      </c>
      <c r="C292" s="49" t="n">
        <v>114990830</v>
      </c>
      <c r="D292" s="49" t="n">
        <v>115800187</v>
      </c>
      <c r="E292" s="49" t="n">
        <v>114777123</v>
      </c>
      <c r="F292" s="49" t="n">
        <v>0</v>
      </c>
      <c r="G292" s="50" t="n">
        <f aca="false">IF($A292="","",IF(ISNUMBER($G291),$G291+1,1))</f>
        <v>288</v>
      </c>
      <c r="H292" s="51" t="n">
        <f aca="false">IF(OR(NOT(ISNUMBER($G292)),$G292&lt;2,NOT(ISNUMBER($C291)),$C291=0),"",$C292/$C291-1)</f>
        <v>-0.00671392275218363</v>
      </c>
      <c r="I292" s="52" t="n">
        <f aca="false">IF(AND(ISNUMBER($G292),$G292&gt;=MA_SHORT),AVERAGE(INDEX($C$5:$C292,289-MA_SHORT):$C292),"")</f>
        <v>109597516</v>
      </c>
      <c r="J292" s="52" t="n">
        <f aca="false">IF(AND(ISNUMBER($G292),$G292&gt;=MA_MED),AVERAGE(INDEX($C$5:$C292,289-MA_MED):$C292),"")</f>
        <v>105108332.32</v>
      </c>
      <c r="K292" s="52" t="n">
        <f aca="false">IF(AND(ISNUMBER($G292),$G292&gt;=MA_LONG2),AVERAGE(INDEX($C$5:$C292,289-MA_LONG2):$C292),"")</f>
        <v>100597706.165</v>
      </c>
      <c r="L292" s="53" t="n">
        <f aca="false">IF(AND(ISNUMBER($G292),$G292&gt;=21),STDEV(INDEX($H$232:$H292,62-20):$H292)*SQRT(245),"")</f>
        <v>0.169408533465441</v>
      </c>
      <c r="M292" s="52" t="n">
        <f aca="false">IF(AND(ISNUMBER($G292),$G292&gt;=60),MAX(INDEX($D$92:$D292,202-60):$D292),"")</f>
        <v>116101769</v>
      </c>
      <c r="N292" s="52" t="n">
        <f aca="false">IF(AND(ISNUMBER($G292),$G292&gt;=60),MIN(INDEX($E$92:$E292,202-60):$E292),"")</f>
        <v>96825981</v>
      </c>
      <c r="O292" s="53" t="n">
        <f aca="false">IF(OR(NOT(ISNUMBER($C292)),NOT(ISNUMBER($M292)),$M292=0),"",$C292/$M292-1)</f>
        <v>-0.0095686655730457</v>
      </c>
      <c r="P292" s="54"/>
      <c r="Q292" s="53" t="str">
        <f aca="false">IF(NOT(ISNUMBER($P292)),"",IFERROR(PERCENTRANK($P$5:$P$1204,$P292),""))</f>
        <v/>
      </c>
    </row>
    <row r="293" customFormat="false" ht="15" hidden="false" customHeight="false" outlineLevel="0" collapsed="false">
      <c r="A293" s="47" t="n">
        <v>45972</v>
      </c>
      <c r="B293" s="48" t="s">
        <v>441</v>
      </c>
      <c r="C293" s="49" t="n">
        <v>114765639</v>
      </c>
      <c r="D293" s="49" t="n">
        <v>115073905</v>
      </c>
      <c r="E293" s="49" t="n">
        <v>114290567</v>
      </c>
      <c r="F293" s="49" t="n">
        <v>0</v>
      </c>
      <c r="G293" s="50" t="n">
        <f aca="false">IF($A293="","",IF(ISNUMBER($G292),$G292+1,1))</f>
        <v>289</v>
      </c>
      <c r="H293" s="51" t="n">
        <f aca="false">IF(OR(NOT(ISNUMBER($G293)),$G293&lt;2,NOT(ISNUMBER($C292)),$C292=0),"",$C293/$C292-1)</f>
        <v>-0.0019583387649259</v>
      </c>
      <c r="I293" s="52" t="n">
        <f aca="false">IF(AND(ISNUMBER($G293),$G293&gt;=MA_SHORT),AVERAGE(INDEX($C$5:$C293,290-MA_SHORT):$C293),"")</f>
        <v>110126214.4</v>
      </c>
      <c r="J293" s="52" t="n">
        <f aca="false">IF(AND(ISNUMBER($G293),$G293&gt;=MA_MED),AVERAGE(INDEX($C$5:$C293,290-MA_MED):$C293),"")</f>
        <v>105307798.36</v>
      </c>
      <c r="K293" s="52" t="n">
        <f aca="false">IF(AND(ISNUMBER($G293),$G293&gt;=MA_LONG2),AVERAGE(INDEX($C$5:$C293,290-MA_LONG2):$C293),"")</f>
        <v>100685907.515</v>
      </c>
      <c r="L293" s="53" t="n">
        <f aca="false">IF(AND(ISNUMBER($G293),$G293&gt;=21),STDEV(INDEX($H$233:$H293,62-20):$H293)*SQRT(245),"")</f>
        <v>0.167767193335268</v>
      </c>
      <c r="M293" s="52" t="n">
        <f aca="false">IF(AND(ISNUMBER($G293),$G293&gt;=60),MAX(INDEX($D$93:$D293,202-60):$D293),"")</f>
        <v>116101769</v>
      </c>
      <c r="N293" s="52" t="n">
        <f aca="false">IF(AND(ISNUMBER($G293),$G293&gt;=60),MIN(INDEX($E$93:$E293,202-60):$E293),"")</f>
        <v>96825981</v>
      </c>
      <c r="O293" s="53" t="n">
        <f aca="false">IF(OR(NOT(ISNUMBER($C293)),NOT(ISNUMBER($M293)),$M293=0),"",$C293/$M293-1)</f>
        <v>-0.0115082656492512</v>
      </c>
      <c r="P293" s="54"/>
      <c r="Q293" s="53" t="str">
        <f aca="false">IF(NOT(ISNUMBER($P293)),"",IFERROR(PERCENTRANK($P$5:$P$1204,$P293),""))</f>
        <v/>
      </c>
    </row>
    <row r="294" customFormat="false" ht="15" hidden="false" customHeight="false" outlineLevel="0" collapsed="false">
      <c r="A294" s="47" t="n">
        <v>45973</v>
      </c>
      <c r="B294" s="48" t="s">
        <v>442</v>
      </c>
      <c r="C294" s="49" t="n">
        <v>114943106</v>
      </c>
      <c r="D294" s="49" t="n">
        <v>115193410</v>
      </c>
      <c r="E294" s="49" t="n">
        <v>114728143</v>
      </c>
      <c r="F294" s="49" t="n">
        <v>0</v>
      </c>
      <c r="G294" s="50" t="n">
        <f aca="false">IF($A294="","",IF(ISNUMBER($G293),$G293+1,1))</f>
        <v>290</v>
      </c>
      <c r="H294" s="51" t="n">
        <f aca="false">IF(OR(NOT(ISNUMBER($G294)),$G294&lt;2,NOT(ISNUMBER($C293)),$C293=0),"",$C294/$C293-1)</f>
        <v>0.00154634262960895</v>
      </c>
      <c r="I294" s="52" t="n">
        <f aca="false">IF(AND(ISNUMBER($G294),$G294&gt;=MA_SHORT),AVERAGE(INDEX($C$5:$C294,291-MA_SHORT):$C294),"")</f>
        <v>110679927.55</v>
      </c>
      <c r="J294" s="52" t="n">
        <f aca="false">IF(AND(ISNUMBER($G294),$G294&gt;=MA_MED),AVERAGE(INDEX($C$5:$C294,291-MA_MED):$C294),"")</f>
        <v>105494839.14</v>
      </c>
      <c r="K294" s="52" t="n">
        <f aca="false">IF(AND(ISNUMBER($G294),$G294&gt;=MA_LONG2),AVERAGE(INDEX($C$5:$C294,291-MA_LONG2):$C294),"")</f>
        <v>100770268.5</v>
      </c>
      <c r="L294" s="53" t="n">
        <f aca="false">IF(AND(ISNUMBER($G294),$G294&gt;=21),STDEV(INDEX($H$234:$H294,62-20):$H294)*SQRT(245),"")</f>
        <v>0.165686974640829</v>
      </c>
      <c r="M294" s="52" t="n">
        <f aca="false">IF(AND(ISNUMBER($G294),$G294&gt;=60),MAX(INDEX($D$94:$D294,202-60):$D294),"")</f>
        <v>116101769</v>
      </c>
      <c r="N294" s="52" t="n">
        <f aca="false">IF(AND(ISNUMBER($G294),$G294&gt;=60),MIN(INDEX($E$94:$E294,202-60):$E294),"")</f>
        <v>96825981</v>
      </c>
      <c r="O294" s="53" t="n">
        <f aca="false">IF(OR(NOT(ISNUMBER($C294)),NOT(ISNUMBER($M294)),$M294=0),"",$C294/$M294-1)</f>
        <v>-0.00997971874140868</v>
      </c>
      <c r="P294" s="54"/>
      <c r="Q294" s="53" t="str">
        <f aca="false">IF(NOT(ISNUMBER($P294)),"",IFERROR(PERCENTRANK($P$5:$P$1204,$P294),""))</f>
        <v/>
      </c>
    </row>
    <row r="295" customFormat="false" ht="15" hidden="false" customHeight="false" outlineLevel="0" collapsed="false">
      <c r="A295" s="47" t="n">
        <v>45976</v>
      </c>
      <c r="B295" s="48" t="s">
        <v>443</v>
      </c>
      <c r="C295" s="49" t="n">
        <v>115413350</v>
      </c>
      <c r="D295" s="49" t="n">
        <v>116042451</v>
      </c>
      <c r="E295" s="49" t="n">
        <v>114961407</v>
      </c>
      <c r="F295" s="49" t="n">
        <v>0</v>
      </c>
      <c r="G295" s="50" t="n">
        <f aca="false">IF($A295="","",IF(ISNUMBER($G294),$G294+1,1))</f>
        <v>291</v>
      </c>
      <c r="H295" s="51" t="n">
        <f aca="false">IF(OR(NOT(ISNUMBER($G295)),$G295&lt;2,NOT(ISNUMBER($C294)),$C294=0),"",$C295/$C294-1)</f>
        <v>0.00409110225366627</v>
      </c>
      <c r="I295" s="52" t="n">
        <f aca="false">IF(AND(ISNUMBER($G295),$G295&gt;=MA_SHORT),AVERAGE(INDEX($C$5:$C295,292-MA_SHORT):$C295),"")</f>
        <v>111169585.9</v>
      </c>
      <c r="J295" s="52" t="n">
        <f aca="false">IF(AND(ISNUMBER($G295),$G295&gt;=MA_MED),AVERAGE(INDEX($C$5:$C295,292-MA_MED):$C295),"")</f>
        <v>105649724.28</v>
      </c>
      <c r="K295" s="52" t="n">
        <f aca="false">IF(AND(ISNUMBER($G295),$G295&gt;=MA_LONG2),AVERAGE(INDEX($C$5:$C295,292-MA_LONG2):$C295),"")</f>
        <v>100869536.125</v>
      </c>
      <c r="L295" s="53" t="n">
        <f aca="false">IF(AND(ISNUMBER($G295),$G295&gt;=21),STDEV(INDEX($H$235:$H295,62-20):$H295)*SQRT(245),"")</f>
        <v>0.159958447349882</v>
      </c>
      <c r="M295" s="52" t="n">
        <f aca="false">IF(AND(ISNUMBER($G295),$G295&gt;=60),MAX(INDEX($D$95:$D295,202-60):$D295),"")</f>
        <v>116101769</v>
      </c>
      <c r="N295" s="52" t="n">
        <f aca="false">IF(AND(ISNUMBER($G295),$G295&gt;=60),MIN(INDEX($E$95:$E295,202-60):$E295),"")</f>
        <v>96825981</v>
      </c>
      <c r="O295" s="53" t="n">
        <f aca="false">IF(OR(NOT(ISNUMBER($C295)),NOT(ISNUMBER($M295)),$M295=0),"",$C295/$M295-1)</f>
        <v>-0.00592944453757638</v>
      </c>
      <c r="P295" s="54"/>
      <c r="Q295" s="53" t="str">
        <f aca="false">IF(NOT(ISNUMBER($P295)),"",IFERROR(PERCENTRANK($P$5:$P$1204,$P295),""))</f>
        <v/>
      </c>
    </row>
    <row r="296" customFormat="false" ht="15" hidden="false" customHeight="false" outlineLevel="0" collapsed="false">
      <c r="A296" s="47" t="n">
        <v>45977</v>
      </c>
      <c r="B296" s="48" t="s">
        <v>444</v>
      </c>
      <c r="C296" s="49" t="n">
        <v>116122240</v>
      </c>
      <c r="D296" s="49" t="n">
        <v>116638452</v>
      </c>
      <c r="E296" s="49" t="n">
        <v>116113213</v>
      </c>
      <c r="F296" s="49" t="n">
        <v>0</v>
      </c>
      <c r="G296" s="50" t="n">
        <f aca="false">IF($A296="","",IF(ISNUMBER($G295),$G295+1,1))</f>
        <v>292</v>
      </c>
      <c r="H296" s="51" t="n">
        <f aca="false">IF(OR(NOT(ISNUMBER($G296)),$G296&lt;2,NOT(ISNUMBER($C295)),$C295=0),"",$C296/$C295-1)</f>
        <v>0.00614218372484632</v>
      </c>
      <c r="I296" s="52" t="n">
        <f aca="false">IF(AND(ISNUMBER($G296),$G296&gt;=MA_SHORT),AVERAGE(INDEX($C$5:$C296,293-MA_SHORT):$C296),"")</f>
        <v>111668865.55</v>
      </c>
      <c r="J296" s="52" t="n">
        <f aca="false">IF(AND(ISNUMBER($G296),$G296&gt;=MA_MED),AVERAGE(INDEX($C$5:$C296,293-MA_MED):$C296),"")</f>
        <v>105845179.08</v>
      </c>
      <c r="K296" s="52" t="n">
        <f aca="false">IF(AND(ISNUMBER($G296),$G296&gt;=MA_LONG2),AVERAGE(INDEX($C$5:$C296,293-MA_LONG2):$C296),"")</f>
        <v>100980647.44</v>
      </c>
      <c r="L296" s="53" t="n">
        <f aca="false">IF(AND(ISNUMBER($G296),$G296&gt;=21),STDEV(INDEX($H$236:$H296,62-20):$H296)*SQRT(245),"")</f>
        <v>0.160058593122565</v>
      </c>
      <c r="M296" s="52" t="n">
        <f aca="false">IF(AND(ISNUMBER($G296),$G296&gt;=60),MAX(INDEX($D$96:$D296,202-60):$D296),"")</f>
        <v>116638452</v>
      </c>
      <c r="N296" s="52" t="n">
        <f aca="false">IF(AND(ISNUMBER($G296),$G296&gt;=60),MIN(INDEX($E$96:$E296,202-60):$E296),"")</f>
        <v>96825981</v>
      </c>
      <c r="O296" s="53" t="n">
        <f aca="false">IF(OR(NOT(ISNUMBER($C296)),NOT(ISNUMBER($M296)),$M296=0),"",$C296/$M296-1)</f>
        <v>-0.00442574460779022</v>
      </c>
      <c r="P296" s="54"/>
      <c r="Q296" s="53" t="str">
        <f aca="false">IF(NOT(ISNUMBER($P296)),"",IFERROR(PERCENTRANK($P$5:$P$1204,$P296),""))</f>
        <v/>
      </c>
    </row>
    <row r="297" customFormat="false" ht="15" hidden="false" customHeight="false" outlineLevel="0" collapsed="false">
      <c r="A297" s="47" t="n">
        <v>45978</v>
      </c>
      <c r="B297" s="48" t="s">
        <v>445</v>
      </c>
      <c r="C297" s="49" t="n">
        <v>115246004</v>
      </c>
      <c r="D297" s="49" t="n">
        <v>116023818</v>
      </c>
      <c r="E297" s="49" t="n">
        <v>114979279</v>
      </c>
      <c r="F297" s="49" t="n">
        <v>0</v>
      </c>
      <c r="G297" s="50" t="n">
        <f aca="false">IF($A297="","",IF(ISNUMBER($G296),$G296+1,1))</f>
        <v>293</v>
      </c>
      <c r="H297" s="51" t="n">
        <f aca="false">IF(OR(NOT(ISNUMBER($G297)),$G297&lt;2,NOT(ISNUMBER($C296)),$C296=0),"",$C297/$C296-1)</f>
        <v>-0.00754580690141704</v>
      </c>
      <c r="I297" s="52" t="n">
        <f aca="false">IF(AND(ISNUMBER($G297),$G297&gt;=MA_SHORT),AVERAGE(INDEX($C$5:$C297,294-MA_SHORT):$C297),"")</f>
        <v>112089417.2</v>
      </c>
      <c r="J297" s="52" t="n">
        <f aca="false">IF(AND(ISNUMBER($G297),$G297&gt;=MA_MED),AVERAGE(INDEX($C$5:$C297,294-MA_MED):$C297),"")</f>
        <v>106029639.28</v>
      </c>
      <c r="K297" s="52" t="n">
        <f aca="false">IF(AND(ISNUMBER($G297),$G297&gt;=MA_LONG2),AVERAGE(INDEX($C$5:$C297,294-MA_LONG2):$C297),"")</f>
        <v>101076780.335</v>
      </c>
      <c r="L297" s="53" t="n">
        <f aca="false">IF(AND(ISNUMBER($G297),$G297&gt;=21),STDEV(INDEX($H$237:$H297,62-20):$H297)*SQRT(245),"")</f>
        <v>0.165304101426881</v>
      </c>
      <c r="M297" s="52" t="n">
        <f aca="false">IF(AND(ISNUMBER($G297),$G297&gt;=60),MAX(INDEX($D$97:$D297,202-60):$D297),"")</f>
        <v>116638452</v>
      </c>
      <c r="N297" s="52" t="n">
        <f aca="false">IF(AND(ISNUMBER($G297),$G297&gt;=60),MIN(INDEX($E$97:$E297,202-60):$E297),"")</f>
        <v>96825981</v>
      </c>
      <c r="O297" s="53" t="n">
        <f aca="false">IF(OR(NOT(ISNUMBER($C297)),NOT(ISNUMBER($M297)),$M297=0),"",$C297/$M297-1)</f>
        <v>-0.0119381556950019</v>
      </c>
      <c r="P297" s="54"/>
      <c r="Q297" s="53" t="str">
        <f aca="false">IF(NOT(ISNUMBER($P297)),"",IFERROR(PERCENTRANK($P$5:$P$1204,$P297),""))</f>
        <v/>
      </c>
    </row>
    <row r="298" customFormat="false" ht="15" hidden="false" customHeight="false" outlineLevel="0" collapsed="false">
      <c r="A298" s="47" t="n">
        <v>45979</v>
      </c>
      <c r="B298" s="48" t="s">
        <v>446</v>
      </c>
      <c r="C298" s="49" t="n">
        <v>115139816</v>
      </c>
      <c r="D298" s="49" t="n">
        <v>115614272</v>
      </c>
      <c r="E298" s="49" t="n">
        <v>114179253</v>
      </c>
      <c r="F298" s="49" t="n">
        <v>0</v>
      </c>
      <c r="G298" s="50" t="n">
        <f aca="false">IF($A298="","",IF(ISNUMBER($G297),$G297+1,1))</f>
        <v>294</v>
      </c>
      <c r="H298" s="51" t="n">
        <f aca="false">IF(OR(NOT(ISNUMBER($G298)),$G298&lt;2,NOT(ISNUMBER($C297)),$C297=0),"",$C298/$C297-1)</f>
        <v>-0.00092140288005127</v>
      </c>
      <c r="I298" s="52" t="n">
        <f aca="false">IF(AND(ISNUMBER($G298),$G298&gt;=MA_SHORT),AVERAGE(INDEX($C$5:$C298,295-MA_SHORT):$C298),"")</f>
        <v>112556655.45</v>
      </c>
      <c r="J298" s="52" t="n">
        <f aca="false">IF(AND(ISNUMBER($G298),$G298&gt;=MA_MED),AVERAGE(INDEX($C$5:$C298,295-MA_MED):$C298),"")</f>
        <v>106209473.1</v>
      </c>
      <c r="K298" s="52" t="n">
        <f aca="false">IF(AND(ISNUMBER($G298),$G298&gt;=MA_LONG2),AVERAGE(INDEX($C$5:$C298,295-MA_LONG2):$C298),"")</f>
        <v>101180927.98</v>
      </c>
      <c r="L298" s="53" t="n">
        <f aca="false">IF(AND(ISNUMBER($G298),$G298&gt;=21),STDEV(INDEX($H$238:$H298,62-20):$H298)*SQRT(245),"")</f>
        <v>0.15871312727872</v>
      </c>
      <c r="M298" s="52" t="n">
        <f aca="false">IF(AND(ISNUMBER($G298),$G298&gt;=60),MAX(INDEX($D$98:$D298,202-60):$D298),"")</f>
        <v>116638452</v>
      </c>
      <c r="N298" s="52" t="n">
        <f aca="false">IF(AND(ISNUMBER($G298),$G298&gt;=60),MIN(INDEX($E$98:$E298,202-60):$E298),"")</f>
        <v>96825981</v>
      </c>
      <c r="O298" s="53" t="n">
        <f aca="false">IF(OR(NOT(ISNUMBER($C298)),NOT(ISNUMBER($M298)),$M298=0),"",$C298/$M298-1)</f>
        <v>-0.0128485587240132</v>
      </c>
      <c r="P298" s="54"/>
      <c r="Q298" s="53" t="str">
        <f aca="false">IF(NOT(ISNUMBER($P298)),"",IFERROR(PERCENTRANK($P$5:$P$1204,$P298),""))</f>
        <v/>
      </c>
    </row>
    <row r="299" customFormat="false" ht="15" hidden="false" customHeight="false" outlineLevel="0" collapsed="false">
      <c r="A299" s="47" t="n">
        <v>45980</v>
      </c>
      <c r="B299" s="48" t="s">
        <v>447</v>
      </c>
      <c r="C299" s="49" t="n">
        <v>113546576</v>
      </c>
      <c r="D299" s="49" t="n">
        <v>113654757</v>
      </c>
      <c r="E299" s="49" t="n">
        <v>113423313</v>
      </c>
      <c r="F299" s="49" t="n">
        <v>0</v>
      </c>
      <c r="G299" s="50" t="n">
        <f aca="false">IF($A299="","",IF(ISNUMBER($G298),$G298+1,1))</f>
        <v>295</v>
      </c>
      <c r="H299" s="51" t="n">
        <f aca="false">IF(OR(NOT(ISNUMBER($G299)),$G299&lt;2,NOT(ISNUMBER($C298)),$C298=0),"",$C299/$C298-1)</f>
        <v>-0.0138374374334591</v>
      </c>
      <c r="I299" s="52" t="n">
        <f aca="false">IF(AND(ISNUMBER($G299),$G299&gt;=MA_SHORT),AVERAGE(INDEX($C$5:$C299,296-MA_SHORT):$C299),"")</f>
        <v>112950524.8</v>
      </c>
      <c r="J299" s="52" t="n">
        <f aca="false">IF(AND(ISNUMBER($G299),$G299&gt;=MA_MED),AVERAGE(INDEX($C$5:$C299,296-MA_MED):$C299),"")</f>
        <v>106385974.26</v>
      </c>
      <c r="K299" s="52" t="n">
        <f aca="false">IF(AND(ISNUMBER($G299),$G299&gt;=MA_LONG2),AVERAGE(INDEX($C$5:$C299,296-MA_LONG2):$C299),"")</f>
        <v>101266341.165</v>
      </c>
      <c r="L299" s="53" t="n">
        <f aca="false">IF(AND(ISNUMBER($G299),$G299&gt;=21),STDEV(INDEX($H$239:$H299,62-20):$H299)*SQRT(245),"")</f>
        <v>0.170107602597701</v>
      </c>
      <c r="M299" s="52" t="n">
        <f aca="false">IF(AND(ISNUMBER($G299),$G299&gt;=60),MAX(INDEX($D$99:$D299,202-60):$D299),"")</f>
        <v>116638452</v>
      </c>
      <c r="N299" s="52" t="n">
        <f aca="false">IF(AND(ISNUMBER($G299),$G299&gt;=60),MIN(INDEX($E$99:$E299,202-60):$E299),"")</f>
        <v>96825981</v>
      </c>
      <c r="O299" s="53" t="n">
        <f aca="false">IF(OR(NOT(ISNUMBER($C299)),NOT(ISNUMBER($M299)),$M299=0),"",$C299/$M299-1)</f>
        <v>-0.0265082050300187</v>
      </c>
      <c r="P299" s="54"/>
      <c r="Q299" s="53" t="str">
        <f aca="false">IF(NOT(ISNUMBER($P299)),"",IFERROR(PERCENTRANK($P$5:$P$1204,$P299),""))</f>
        <v/>
      </c>
    </row>
    <row r="300" customFormat="false" ht="15" hidden="false" customHeight="false" outlineLevel="0" collapsed="false">
      <c r="A300" s="47" t="n">
        <v>45983</v>
      </c>
      <c r="B300" s="48" t="s">
        <v>448</v>
      </c>
      <c r="C300" s="49" t="n">
        <v>115691579</v>
      </c>
      <c r="D300" s="49" t="n">
        <v>116129415</v>
      </c>
      <c r="E300" s="49" t="n">
        <v>115281514</v>
      </c>
      <c r="F300" s="49" t="n">
        <v>0</v>
      </c>
      <c r="G300" s="50" t="n">
        <f aca="false">IF($A300="","",IF(ISNUMBER($G299),$G299+1,1))</f>
        <v>296</v>
      </c>
      <c r="H300" s="51" t="n">
        <f aca="false">IF(OR(NOT(ISNUMBER($G300)),$G300&lt;2,NOT(ISNUMBER($C299)),$C299=0),"",$C300/$C299-1)</f>
        <v>0.0188909527311507</v>
      </c>
      <c r="I300" s="52" t="n">
        <f aca="false">IF(AND(ISNUMBER($G300),$G300&gt;=MA_SHORT),AVERAGE(INDEX($C$5:$C300,297-MA_SHORT):$C300),"")</f>
        <v>113407817.4</v>
      </c>
      <c r="J300" s="52" t="n">
        <f aca="false">IF(AND(ISNUMBER($G300),$G300&gt;=MA_MED),AVERAGE(INDEX($C$5:$C300,297-MA_MED):$C300),"")</f>
        <v>106611987.48</v>
      </c>
      <c r="K300" s="52" t="n">
        <f aca="false">IF(AND(ISNUMBER($G300),$G300&gt;=MA_LONG2),AVERAGE(INDEX($C$5:$C300,297-MA_LONG2):$C300),"")</f>
        <v>101360492.5</v>
      </c>
      <c r="L300" s="53" t="n">
        <f aca="false">IF(AND(ISNUMBER($G300),$G300&gt;=21),STDEV(INDEX($H$240:$H300,62-20):$H300)*SQRT(245),"")</f>
        <v>0.177705769832246</v>
      </c>
      <c r="M300" s="52" t="n">
        <f aca="false">IF(AND(ISNUMBER($G300),$G300&gt;=60),MAX(INDEX($D$100:$D300,202-60):$D300),"")</f>
        <v>116638452</v>
      </c>
      <c r="N300" s="52" t="n">
        <f aca="false">IF(AND(ISNUMBER($G300),$G300&gt;=60),MIN(INDEX($E$100:$E300,202-60):$E300),"")</f>
        <v>96825981</v>
      </c>
      <c r="O300" s="53" t="n">
        <f aca="false">IF(OR(NOT(ISNUMBER($C300)),NOT(ISNUMBER($M300)),$M300=0),"",$C300/$M300-1)</f>
        <v>-0.00811801754707786</v>
      </c>
      <c r="P300" s="54"/>
      <c r="Q300" s="53" t="str">
        <f aca="false">IF(NOT(ISNUMBER($P300)),"",IFERROR(PERCENTRANK($P$5:$P$1204,$P300),""))</f>
        <v/>
      </c>
    </row>
    <row r="301" customFormat="false" ht="15" hidden="false" customHeight="false" outlineLevel="0" collapsed="false">
      <c r="A301" s="47" t="n">
        <v>45984</v>
      </c>
      <c r="B301" s="48" t="s">
        <v>449</v>
      </c>
      <c r="C301" s="49" t="n">
        <v>112667739</v>
      </c>
      <c r="D301" s="49" t="n">
        <v>112995057</v>
      </c>
      <c r="E301" s="49" t="n">
        <v>112505366</v>
      </c>
      <c r="F301" s="49" t="n">
        <v>0</v>
      </c>
      <c r="G301" s="50" t="n">
        <f aca="false">IF($A301="","",IF(ISNUMBER($G300),$G300+1,1))</f>
        <v>297</v>
      </c>
      <c r="H301" s="51" t="n">
        <f aca="false">IF(OR(NOT(ISNUMBER($G301)),$G301&lt;2,NOT(ISNUMBER($C300)),$C300=0),"",$C301/$C300-1)</f>
        <v>-0.0261370795189856</v>
      </c>
      <c r="I301" s="52" t="n">
        <f aca="false">IF(AND(ISNUMBER($G301),$G301&gt;=MA_SHORT),AVERAGE(INDEX($C$5:$C301,298-MA_SHORT):$C301),"")</f>
        <v>113628477.3</v>
      </c>
      <c r="J301" s="52" t="n">
        <f aca="false">IF(AND(ISNUMBER($G301),$G301&gt;=MA_MED),AVERAGE(INDEX($C$5:$C301,298-MA_MED):$C301),"")</f>
        <v>106814337.16</v>
      </c>
      <c r="K301" s="52" t="n">
        <f aca="false">IF(AND(ISNUMBER($G301),$G301&gt;=MA_LONG2),AVERAGE(INDEX($C$5:$C301,298-MA_LONG2):$C301),"")</f>
        <v>101443625.64</v>
      </c>
      <c r="L301" s="53" t="n">
        <f aca="false">IF(AND(ISNUMBER($G301),$G301&gt;=21),STDEV(INDEX($H$241:$H301,62-20):$H301)*SQRT(245),"")</f>
        <v>0.201192755697358</v>
      </c>
      <c r="M301" s="52" t="n">
        <f aca="false">IF(AND(ISNUMBER($G301),$G301&gt;=60),MAX(INDEX($D$101:$D301,202-60):$D301),"")</f>
        <v>116638452</v>
      </c>
      <c r="N301" s="52" t="n">
        <f aca="false">IF(AND(ISNUMBER($G301),$G301&gt;=60),MIN(INDEX($E$101:$E301,202-60):$E301),"")</f>
        <v>96825981</v>
      </c>
      <c r="O301" s="53" t="n">
        <f aca="false">IF(OR(NOT(ISNUMBER($C301)),NOT(ISNUMBER($M301)),$M301=0),"",$C301/$M301-1)</f>
        <v>-0.0340429157958989</v>
      </c>
      <c r="P301" s="54"/>
      <c r="Q301" s="53" t="str">
        <f aca="false">IF(NOT(ISNUMBER($P301)),"",IFERROR(PERCENTRANK($P$5:$P$1204,$P301),""))</f>
        <v/>
      </c>
    </row>
    <row r="302" customFormat="false" ht="15" hidden="false" customHeight="false" outlineLevel="0" collapsed="false">
      <c r="A302" s="47" t="n">
        <v>45985</v>
      </c>
      <c r="B302" s="48" t="s">
        <v>450</v>
      </c>
      <c r="C302" s="49" t="n">
        <v>109575392</v>
      </c>
      <c r="D302" s="49" t="n">
        <v>109709851</v>
      </c>
      <c r="E302" s="49" t="n">
        <v>109438036</v>
      </c>
      <c r="F302" s="49" t="n">
        <v>0</v>
      </c>
      <c r="G302" s="50" t="n">
        <f aca="false">IF($A302="","",IF(ISNUMBER($G301),$G301+1,1))</f>
        <v>298</v>
      </c>
      <c r="H302" s="51" t="n">
        <f aca="false">IF(OR(NOT(ISNUMBER($G302)),$G302&lt;2,NOT(ISNUMBER($C301)),$C301=0),"",$C302/$C301-1)</f>
        <v>-0.027446605633934</v>
      </c>
      <c r="I302" s="52" t="n">
        <f aca="false">IF(AND(ISNUMBER($G302),$G302&gt;=MA_SHORT),AVERAGE(INDEX($C$5:$C302,299-MA_SHORT):$C302),"")</f>
        <v>113670852</v>
      </c>
      <c r="J302" s="52" t="n">
        <f aca="false">IF(AND(ISNUMBER($G302),$G302&gt;=MA_MED),AVERAGE(INDEX($C$5:$C302,299-MA_MED):$C302),"")</f>
        <v>106944833.14</v>
      </c>
      <c r="K302" s="52" t="n">
        <f aca="false">IF(AND(ISNUMBER($G302),$G302&gt;=MA_LONG2),AVERAGE(INDEX($C$5:$C302,299-MA_LONG2):$C302),"")</f>
        <v>101509025.015</v>
      </c>
      <c r="L302" s="53" t="n">
        <f aca="false">IF(AND(ISNUMBER($G302),$G302&gt;=21),STDEV(INDEX($H$242:$H302,62-20):$H302)*SQRT(245),"")</f>
        <v>0.225827926074836</v>
      </c>
      <c r="M302" s="52" t="n">
        <f aca="false">IF(AND(ISNUMBER($G302),$G302&gt;=60),MAX(INDEX($D$102:$D302,202-60):$D302),"")</f>
        <v>116638452</v>
      </c>
      <c r="N302" s="52" t="n">
        <f aca="false">IF(AND(ISNUMBER($G302),$G302&gt;=60),MIN(INDEX($E$102:$E302,202-60):$E302),"")</f>
        <v>96825981</v>
      </c>
      <c r="O302" s="53" t="n">
        <f aca="false">IF(OR(NOT(ISNUMBER($C302)),NOT(ISNUMBER($M302)),$M302=0),"",$C302/$M302-1)</f>
        <v>-0.0605551589453537</v>
      </c>
      <c r="P302" s="54"/>
      <c r="Q302" s="53" t="str">
        <f aca="false">IF(NOT(ISNUMBER($P302)),"",IFERROR(PERCENTRANK($P$5:$P$1204,$P302),""))</f>
        <v/>
      </c>
    </row>
    <row r="303" customFormat="false" ht="15" hidden="false" customHeight="false" outlineLevel="0" collapsed="false">
      <c r="A303" s="47" t="n">
        <v>45986</v>
      </c>
      <c r="B303" s="48" t="s">
        <v>451</v>
      </c>
      <c r="C303" s="49" t="n">
        <v>108817306</v>
      </c>
      <c r="D303" s="49" t="n">
        <v>109046166</v>
      </c>
      <c r="E303" s="49" t="n">
        <v>108533086</v>
      </c>
      <c r="F303" s="49" t="n">
        <v>0</v>
      </c>
      <c r="G303" s="50" t="n">
        <f aca="false">IF($A303="","",IF(ISNUMBER($G302),$G302+1,1))</f>
        <v>299</v>
      </c>
      <c r="H303" s="51" t="n">
        <f aca="false">IF(OR(NOT(ISNUMBER($G303)),$G303&lt;2,NOT(ISNUMBER($C302)),$C302=0),"",$C303/$C302-1)</f>
        <v>-0.00691839642243763</v>
      </c>
      <c r="I303" s="52" t="n">
        <f aca="false">IF(AND(ISNUMBER($G303),$G303&gt;=MA_SHORT),AVERAGE(INDEX($C$5:$C303,300-MA_SHORT):$C303),"")</f>
        <v>113628234.95</v>
      </c>
      <c r="J303" s="52" t="n">
        <f aca="false">IF(AND(ISNUMBER($G303),$G303&gt;=MA_MED),AVERAGE(INDEX($C$5:$C303,300-MA_MED):$C303),"")</f>
        <v>107112207.04</v>
      </c>
      <c r="K303" s="52" t="n">
        <f aca="false">IF(AND(ISNUMBER($G303),$G303&gt;=MA_LONG2),AVERAGE(INDEX($C$5:$C303,300-MA_LONG2):$C303),"")</f>
        <v>101558198.365</v>
      </c>
      <c r="L303" s="53" t="n">
        <f aca="false">IF(AND(ISNUMBER($G303),$G303&gt;=21),STDEV(INDEX($H$243:$H303,62-20):$H303)*SQRT(245),"")</f>
        <v>0.225138319342433</v>
      </c>
      <c r="M303" s="52" t="n">
        <f aca="false">IF(AND(ISNUMBER($G303),$G303&gt;=60),MAX(INDEX($D$103:$D303,202-60):$D303),"")</f>
        <v>116638452</v>
      </c>
      <c r="N303" s="52" t="n">
        <f aca="false">IF(AND(ISNUMBER($G303),$G303&gt;=60),MIN(INDEX($E$103:$E303,202-60):$E303),"")</f>
        <v>96825981</v>
      </c>
      <c r="O303" s="53" t="n">
        <f aca="false">IF(OR(NOT(ISNUMBER($C303)),NOT(ISNUMBER($M303)),$M303=0),"",$C303/$M303-1)</f>
        <v>-0.0670546107727836</v>
      </c>
      <c r="P303" s="54"/>
      <c r="Q303" s="53" t="str">
        <f aca="false">IF(NOT(ISNUMBER($P303)),"",IFERROR(PERCENTRANK($P$5:$P$1204,$P303),""))</f>
        <v/>
      </c>
    </row>
    <row r="304" customFormat="false" ht="15" hidden="false" customHeight="false" outlineLevel="0" collapsed="false">
      <c r="A304" s="47" t="n">
        <v>45987</v>
      </c>
      <c r="B304" s="48" t="s">
        <v>452</v>
      </c>
      <c r="C304" s="49" t="n">
        <v>110341426</v>
      </c>
      <c r="D304" s="49" t="n">
        <v>110917448</v>
      </c>
      <c r="E304" s="49" t="n">
        <v>110262865</v>
      </c>
      <c r="F304" s="49" t="n">
        <v>0</v>
      </c>
      <c r="G304" s="50" t="n">
        <f aca="false">IF($A304="","",IF(ISNUMBER($G303),$G303+1,1))</f>
        <v>300</v>
      </c>
      <c r="H304" s="51" t="n">
        <f aca="false">IF(OR(NOT(ISNUMBER($G304)),$G304&lt;2,NOT(ISNUMBER($C303)),$C303=0),"",$C304/$C303-1)</f>
        <v>0.014006228016709</v>
      </c>
      <c r="I304" s="52" t="n">
        <f aca="false">IF(AND(ISNUMBER($G304),$G304&gt;=MA_SHORT),AVERAGE(INDEX($C$5:$C304,301-MA_SHORT):$C304),"")</f>
        <v>113697361.15</v>
      </c>
      <c r="J304" s="52" t="n">
        <f aca="false">IF(AND(ISNUMBER($G304),$G304&gt;=MA_MED),AVERAGE(INDEX($C$5:$C304,301-MA_MED):$C304),"")</f>
        <v>107286982.24</v>
      </c>
      <c r="K304" s="52" t="n">
        <f aca="false">IF(AND(ISNUMBER($G304),$G304&gt;=MA_LONG2),AVERAGE(INDEX($C$5:$C304,301-MA_LONG2):$C304),"")</f>
        <v>101620549.33</v>
      </c>
      <c r="L304" s="53" t="n">
        <f aca="false">IF(AND(ISNUMBER($G304),$G304&gt;=21),STDEV(INDEX($H$244:$H304,62-20):$H304)*SQRT(245),"")</f>
        <v>0.229257340776838</v>
      </c>
      <c r="M304" s="52" t="n">
        <f aca="false">IF(AND(ISNUMBER($G304),$G304&gt;=60),MAX(INDEX($D$104:$D304,202-60):$D304),"")</f>
        <v>116638452</v>
      </c>
      <c r="N304" s="52" t="n">
        <f aca="false">IF(AND(ISNUMBER($G304),$G304&gt;=60),MIN(INDEX($E$104:$E304,202-60):$E304),"")</f>
        <v>96825981</v>
      </c>
      <c r="O304" s="53" t="n">
        <f aca="false">IF(OR(NOT(ISNUMBER($C304)),NOT(ISNUMBER($M304)),$M304=0),"",$C304/$M304-1)</f>
        <v>-0.0539875649241298</v>
      </c>
      <c r="P304" s="54"/>
      <c r="Q304" s="53" t="str">
        <f aca="false">IF(NOT(ISNUMBER($P304)),"",IFERROR(PERCENTRANK($P$5:$P$1204,$P304),""))</f>
        <v/>
      </c>
    </row>
    <row r="305" customFormat="false" ht="15" hidden="false" customHeight="false" outlineLevel="0" collapsed="false">
      <c r="A305" s="47" t="n">
        <v>45990</v>
      </c>
      <c r="B305" s="48" t="s">
        <v>453</v>
      </c>
      <c r="C305" s="49" t="n">
        <v>109806932</v>
      </c>
      <c r="D305" s="49" t="n">
        <v>109886071</v>
      </c>
      <c r="E305" s="49" t="n">
        <v>109687788</v>
      </c>
      <c r="F305" s="49" t="n">
        <v>0</v>
      </c>
      <c r="G305" s="50" t="n">
        <f aca="false">IF($A305="","",IF(ISNUMBER($G304),$G304+1,1))</f>
        <v>301</v>
      </c>
      <c r="H305" s="51" t="n">
        <f aca="false">IF(OR(NOT(ISNUMBER($G305)),$G305&lt;2,NOT(ISNUMBER($C304)),$C304=0),"",$C305/$C304-1)</f>
        <v>-0.0048440012004195</v>
      </c>
      <c r="I305" s="52" t="n">
        <f aca="false">IF(AND(ISNUMBER($G305),$G305&gt;=MA_SHORT),AVERAGE(INDEX($C$5:$C305,302-MA_SHORT):$C305),"")</f>
        <v>113560961.9</v>
      </c>
      <c r="J305" s="52" t="n">
        <f aca="false">IF(AND(ISNUMBER($G305),$G305&gt;=MA_MED),AVERAGE(INDEX($C$5:$C305,302-MA_MED):$C305),"")</f>
        <v>107497482.28</v>
      </c>
      <c r="K305" s="52" t="n">
        <f aca="false">IF(AND(ISNUMBER($G305),$G305&gt;=MA_LONG2),AVERAGE(INDEX($C$5:$C305,302-MA_LONG2):$C305),"")</f>
        <v>101690697.69</v>
      </c>
      <c r="L305" s="53" t="n">
        <f aca="false">IF(AND(ISNUMBER($G305),$G305&gt;=21),STDEV(INDEX($H$245:$H305,62-20):$H305)*SQRT(245),"")</f>
        <v>0.196898056569928</v>
      </c>
      <c r="M305" s="52" t="n">
        <f aca="false">IF(AND(ISNUMBER($G305),$G305&gt;=60),MAX(INDEX($D$105:$D305,202-60):$D305),"")</f>
        <v>116638452</v>
      </c>
      <c r="N305" s="52" t="n">
        <f aca="false">IF(AND(ISNUMBER($G305),$G305&gt;=60),MIN(INDEX($E$105:$E305,202-60):$E305),"")</f>
        <v>96825981</v>
      </c>
      <c r="O305" s="53" t="n">
        <f aca="false">IF(OR(NOT(ISNUMBER($C305)),NOT(ISNUMBER($M305)),$M305=0),"",$C305/$M305-1)</f>
        <v>-0.0585700502952491</v>
      </c>
      <c r="P305" s="54"/>
      <c r="Q305" s="53" t="str">
        <f aca="false">IF(NOT(ISNUMBER($P305)),"",IFERROR(PERCENTRANK($P$5:$P$1204,$P305),""))</f>
        <v/>
      </c>
    </row>
    <row r="306" customFormat="false" ht="15" hidden="false" customHeight="false" outlineLevel="0" collapsed="false">
      <c r="A306" s="47" t="n">
        <v>45991</v>
      </c>
      <c r="B306" s="48" t="s">
        <v>454</v>
      </c>
      <c r="C306" s="49" t="n">
        <v>109865860</v>
      </c>
      <c r="D306" s="49" t="n">
        <v>111094211</v>
      </c>
      <c r="E306" s="49" t="n">
        <v>109436162</v>
      </c>
      <c r="F306" s="49" t="n">
        <v>0</v>
      </c>
      <c r="G306" s="50" t="n">
        <f aca="false">IF($A306="","",IF(ISNUMBER($G305),$G305+1,1))</f>
        <v>302</v>
      </c>
      <c r="H306" s="51" t="n">
        <f aca="false">IF(OR(NOT(ISNUMBER($G306)),$G306&lt;2,NOT(ISNUMBER($C305)),$C305=0),"",$C306/$C305-1)</f>
        <v>0.000536651001231903</v>
      </c>
      <c r="I306" s="52" t="n">
        <f aca="false">IF(AND(ISNUMBER($G306),$G306&gt;=MA_SHORT),AVERAGE(INDEX($C$5:$C306,303-MA_SHORT):$C306),"")</f>
        <v>113468182.8</v>
      </c>
      <c r="J306" s="52" t="n">
        <f aca="false">IF(AND(ISNUMBER($G306),$G306&gt;=MA_MED),AVERAGE(INDEX($C$5:$C306,303-MA_MED):$C306),"")</f>
        <v>107719742.96</v>
      </c>
      <c r="K306" s="52" t="n">
        <f aca="false">IF(AND(ISNUMBER($G306),$G306&gt;=MA_LONG2),AVERAGE(INDEX($C$5:$C306,303-MA_LONG2):$C306),"")</f>
        <v>101767174.63</v>
      </c>
      <c r="L306" s="53" t="n">
        <f aca="false">IF(AND(ISNUMBER($G306),$G306&gt;=21),STDEV(INDEX($H$246:$H306,62-20):$H306)*SQRT(245),"")</f>
        <v>0.19567918908436</v>
      </c>
      <c r="M306" s="52" t="n">
        <f aca="false">IF(AND(ISNUMBER($G306),$G306&gt;=60),MAX(INDEX($D$106:$D306,202-60):$D306),"")</f>
        <v>116638452</v>
      </c>
      <c r="N306" s="52" t="n">
        <f aca="false">IF(AND(ISNUMBER($G306),$G306&gt;=60),MIN(INDEX($E$106:$E306,202-60):$E306),"")</f>
        <v>96825981</v>
      </c>
      <c r="O306" s="53" t="n">
        <f aca="false">IF(OR(NOT(ISNUMBER($C306)),NOT(ISNUMBER($M306)),$M306=0),"",$C306/$M306-1)</f>
        <v>-0.0580648309701504</v>
      </c>
      <c r="P306" s="54"/>
      <c r="Q306" s="53" t="str">
        <f aca="false">IF(NOT(ISNUMBER($P306)),"",IFERROR(PERCENTRANK($P$5:$P$1204,$P306),""))</f>
        <v/>
      </c>
    </row>
    <row r="307" customFormat="false" ht="15" hidden="false" customHeight="false" outlineLevel="0" collapsed="false">
      <c r="A307" s="47" t="n">
        <v>45992</v>
      </c>
      <c r="B307" s="48" t="s">
        <v>455</v>
      </c>
      <c r="C307" s="49" t="n">
        <v>109465179</v>
      </c>
      <c r="D307" s="49" t="n">
        <v>109724843</v>
      </c>
      <c r="E307" s="49" t="n">
        <v>109347334</v>
      </c>
      <c r="F307" s="49" t="n">
        <v>0</v>
      </c>
      <c r="G307" s="50" t="n">
        <f aca="false">IF($A307="","",IF(ISNUMBER($G306),$G306+1,1))</f>
        <v>303</v>
      </c>
      <c r="H307" s="51" t="n">
        <f aca="false">IF(OR(NOT(ISNUMBER($G307)),$G307&lt;2,NOT(ISNUMBER($C306)),$C306=0),"",$C307/$C306-1)</f>
        <v>-0.00364700189849698</v>
      </c>
      <c r="I307" s="52" t="n">
        <f aca="false">IF(AND(ISNUMBER($G307),$G307&gt;=MA_SHORT),AVERAGE(INDEX($C$5:$C307,304-MA_SHORT):$C307),"")</f>
        <v>113337511.05</v>
      </c>
      <c r="J307" s="52" t="n">
        <f aca="false">IF(AND(ISNUMBER($G307),$G307&gt;=MA_MED),AVERAGE(INDEX($C$5:$C307,304-MA_MED):$C307),"")</f>
        <v>107910512.1</v>
      </c>
      <c r="K307" s="52" t="n">
        <f aca="false">IF(AND(ISNUMBER($G307),$G307&gt;=MA_LONG2),AVERAGE(INDEX($C$5:$C307,304-MA_LONG2):$C307),"")</f>
        <v>101843177.155</v>
      </c>
      <c r="L307" s="53" t="n">
        <f aca="false">IF(AND(ISNUMBER($G307),$G307&gt;=21),STDEV(INDEX($H$247:$H307,62-20):$H307)*SQRT(245),"")</f>
        <v>0.195359348788057</v>
      </c>
      <c r="M307" s="52" t="n">
        <f aca="false">IF(AND(ISNUMBER($G307),$G307&gt;=60),MAX(INDEX($D$107:$D307,202-60):$D307),"")</f>
        <v>116638452</v>
      </c>
      <c r="N307" s="52" t="n">
        <f aca="false">IF(AND(ISNUMBER($G307),$G307&gt;=60),MIN(INDEX($E$107:$E307,202-60):$E307),"")</f>
        <v>96825981</v>
      </c>
      <c r="O307" s="53" t="n">
        <f aca="false">IF(OR(NOT(ISNUMBER($C307)),NOT(ISNUMBER($M307)),$M307=0),"",$C307/$M307-1)</f>
        <v>-0.0615000703198633</v>
      </c>
      <c r="P307" s="54"/>
      <c r="Q307" s="53" t="str">
        <f aca="false">IF(NOT(ISNUMBER($P307)),"",IFERROR(PERCENTRANK($P$5:$P$1204,$P307),""))</f>
        <v/>
      </c>
    </row>
    <row r="308" customFormat="false" ht="15" hidden="false" customHeight="false" outlineLevel="0" collapsed="false">
      <c r="A308" s="47" t="n">
        <v>45993</v>
      </c>
      <c r="B308" s="48" t="s">
        <v>456</v>
      </c>
      <c r="C308" s="49" t="n">
        <v>108339688</v>
      </c>
      <c r="D308" s="49" t="n">
        <v>108872985</v>
      </c>
      <c r="E308" s="49" t="n">
        <v>107688009</v>
      </c>
      <c r="F308" s="49" t="n">
        <v>0</v>
      </c>
      <c r="G308" s="50" t="n">
        <f aca="false">IF($A308="","",IF(ISNUMBER($G307),$G307+1,1))</f>
        <v>304</v>
      </c>
      <c r="H308" s="51" t="n">
        <f aca="false">IF(OR(NOT(ISNUMBER($G308)),$G308&lt;2,NOT(ISNUMBER($C307)),$C307=0),"",$C308/$C307-1)</f>
        <v>-0.0102817262099393</v>
      </c>
      <c r="I308" s="52" t="n">
        <f aca="false">IF(AND(ISNUMBER($G308),$G308&gt;=MA_SHORT),AVERAGE(INDEX($C$5:$C308,305-MA_SHORT):$C308),"")</f>
        <v>113100213.75</v>
      </c>
      <c r="J308" s="52" t="n">
        <f aca="false">IF(AND(ISNUMBER($G308),$G308&gt;=MA_MED),AVERAGE(INDEX($C$5:$C308,305-MA_MED):$C308),"")</f>
        <v>108047645.08</v>
      </c>
      <c r="K308" s="52" t="n">
        <f aca="false">IF(AND(ISNUMBER($G308),$G308&gt;=MA_LONG2),AVERAGE(INDEX($C$5:$C308,305-MA_LONG2):$C308),"")</f>
        <v>101896879.15</v>
      </c>
      <c r="L308" s="53" t="n">
        <f aca="false">IF(AND(ISNUMBER($G308),$G308&gt;=21),STDEV(INDEX($H$248:$H308,62-20):$H308)*SQRT(245),"")</f>
        <v>0.194162852100116</v>
      </c>
      <c r="M308" s="52" t="n">
        <f aca="false">IF(AND(ISNUMBER($G308),$G308&gt;=60),MAX(INDEX($D$108:$D308,202-60):$D308),"")</f>
        <v>116638452</v>
      </c>
      <c r="N308" s="52" t="n">
        <f aca="false">IF(AND(ISNUMBER($G308),$G308&gt;=60),MIN(INDEX($E$108:$E308,202-60):$E308),"")</f>
        <v>96825981</v>
      </c>
      <c r="O308" s="53" t="n">
        <f aca="false">IF(OR(NOT(ISNUMBER($C308)),NOT(ISNUMBER($M308)),$M308=0),"",$C308/$M308-1)</f>
        <v>-0.0711494696448818</v>
      </c>
      <c r="P308" s="54"/>
      <c r="Q308" s="53" t="str">
        <f aca="false">IF(NOT(ISNUMBER($P308)),"",IFERROR(PERCENTRANK($P$5:$P$1204,$P308),""))</f>
        <v/>
      </c>
    </row>
    <row r="309" customFormat="false" ht="15" hidden="false" customHeight="false" outlineLevel="0" collapsed="false">
      <c r="A309" s="47" t="n">
        <v>45994</v>
      </c>
      <c r="B309" s="48" t="s">
        <v>457</v>
      </c>
      <c r="C309" s="49" t="n">
        <v>108389293</v>
      </c>
      <c r="D309" s="49" t="n">
        <v>108484099</v>
      </c>
      <c r="E309" s="49" t="n">
        <v>107984532</v>
      </c>
      <c r="F309" s="49" t="n">
        <v>0</v>
      </c>
      <c r="G309" s="50" t="n">
        <f aca="false">IF($A309="","",IF(ISNUMBER($G308),$G308+1,1))</f>
        <v>305</v>
      </c>
      <c r="H309" s="51" t="n">
        <f aca="false">IF(OR(NOT(ISNUMBER($G309)),$G309&lt;2,NOT(ISNUMBER($C308)),$C308=0),"",$C309/$C308-1)</f>
        <v>0.000457865450009365</v>
      </c>
      <c r="I309" s="52" t="n">
        <f aca="false">IF(AND(ISNUMBER($G309),$G309&gt;=MA_SHORT),AVERAGE(INDEX($C$5:$C309,306-MA_SHORT):$C309),"")</f>
        <v>112745851.65</v>
      </c>
      <c r="J309" s="52" t="n">
        <f aca="false">IF(AND(ISNUMBER($G309),$G309&gt;=MA_MED),AVERAGE(INDEX($C$5:$C309,306-MA_MED):$C309),"")</f>
        <v>108214008.54</v>
      </c>
      <c r="K309" s="52" t="n">
        <f aca="false">IF(AND(ISNUMBER($G309),$G309&gt;=MA_LONG2),AVERAGE(INDEX($C$5:$C309,306-MA_LONG2):$C309),"")</f>
        <v>101953114.15</v>
      </c>
      <c r="L309" s="53" t="n">
        <f aca="false">IF(AND(ISNUMBER($G309),$G309&gt;=21),STDEV(INDEX($H$249:$H309,62-20):$H309)*SQRT(245),"")</f>
        <v>0.17481111586887</v>
      </c>
      <c r="M309" s="52" t="n">
        <f aca="false">IF(AND(ISNUMBER($G309),$G309&gt;=60),MAX(INDEX($D$109:$D309,202-60):$D309),"")</f>
        <v>116638452</v>
      </c>
      <c r="N309" s="52" t="n">
        <f aca="false">IF(AND(ISNUMBER($G309),$G309&gt;=60),MIN(INDEX($E$109:$E309,202-60):$E309),"")</f>
        <v>96825981</v>
      </c>
      <c r="O309" s="53" t="n">
        <f aca="false">IF(OR(NOT(ISNUMBER($C309)),NOT(ISNUMBER($M309)),$M309=0),"",$C309/$M309-1)</f>
        <v>-0.0707241810788093</v>
      </c>
      <c r="P309" s="54"/>
      <c r="Q309" s="53" t="str">
        <f aca="false">IF(NOT(ISNUMBER($P309)),"",IFERROR(PERCENTRANK($P$5:$P$1204,$P309),""))</f>
        <v/>
      </c>
    </row>
    <row r="310" customFormat="false" ht="15" hidden="false" customHeight="false" outlineLevel="0" collapsed="false">
      <c r="A310" s="47" t="n">
        <v>45997</v>
      </c>
      <c r="B310" s="48" t="s">
        <v>458</v>
      </c>
      <c r="C310" s="49" t="n">
        <v>107985722</v>
      </c>
      <c r="D310" s="49" t="n">
        <v>108114297</v>
      </c>
      <c r="E310" s="49" t="n">
        <v>107577473</v>
      </c>
      <c r="F310" s="49" t="n">
        <v>0</v>
      </c>
      <c r="G310" s="50" t="n">
        <f aca="false">IF($A310="","",IF(ISNUMBER($G309),$G309+1,1))</f>
        <v>306</v>
      </c>
      <c r="H310" s="51" t="n">
        <f aca="false">IF(OR(NOT(ISNUMBER($G310)),$G310&lt;2,NOT(ISNUMBER($C309)),$C309=0),"",$C310/$C309-1)</f>
        <v>-0.00372334747123038</v>
      </c>
      <c r="I310" s="52" t="n">
        <f aca="false">IF(AND(ISNUMBER($G310),$G310&gt;=MA_SHORT),AVERAGE(INDEX($C$5:$C310,307-MA_SHORT):$C310),"")</f>
        <v>112344088.25</v>
      </c>
      <c r="J310" s="52" t="n">
        <f aca="false">IF(AND(ISNUMBER($G310),$G310&gt;=MA_MED),AVERAGE(INDEX($C$5:$C310,307-MA_MED):$C310),"")</f>
        <v>108356751.42</v>
      </c>
      <c r="K310" s="52" t="n">
        <f aca="false">IF(AND(ISNUMBER($G310),$G310&gt;=MA_LONG2),AVERAGE(INDEX($C$5:$C310,307-MA_LONG2):$C310),"")</f>
        <v>102007448.17</v>
      </c>
      <c r="L310" s="53" t="n">
        <f aca="false">IF(AND(ISNUMBER($G310),$G310&gt;=21),STDEV(INDEX($H$250:$H310,62-20):$H310)*SQRT(245),"")</f>
        <v>0.172423981424372</v>
      </c>
      <c r="M310" s="52" t="n">
        <f aca="false">IF(AND(ISNUMBER($G310),$G310&gt;=60),MAX(INDEX($D$110:$D310,202-60):$D310),"")</f>
        <v>116638452</v>
      </c>
      <c r="N310" s="52" t="n">
        <f aca="false">IF(AND(ISNUMBER($G310),$G310&gt;=60),MIN(INDEX($E$110:$E310,202-60):$E310),"")</f>
        <v>96825981</v>
      </c>
      <c r="O310" s="53" t="n">
        <f aca="false">IF(OR(NOT(ISNUMBER($C310)),NOT(ISNUMBER($M310)),$M310=0),"",$C310/$M310-1)</f>
        <v>-0.074184197849265</v>
      </c>
      <c r="P310" s="54"/>
      <c r="Q310" s="53" t="str">
        <f aca="false">IF(NOT(ISNUMBER($P310)),"",IFERROR(PERCENTRANK($P$5:$P$1204,$P310),""))</f>
        <v/>
      </c>
    </row>
    <row r="311" customFormat="false" ht="15" hidden="false" customHeight="false" outlineLevel="0" collapsed="false">
      <c r="A311" s="47" t="n">
        <v>45998</v>
      </c>
      <c r="B311" s="48" t="s">
        <v>459</v>
      </c>
      <c r="C311" s="49" t="n">
        <v>108496212</v>
      </c>
      <c r="D311" s="49" t="n">
        <v>108936185</v>
      </c>
      <c r="E311" s="49" t="n">
        <v>107849869</v>
      </c>
      <c r="F311" s="49" t="n">
        <v>0</v>
      </c>
      <c r="G311" s="50" t="n">
        <f aca="false">IF($A311="","",IF(ISNUMBER($G310),$G310+1,1))</f>
        <v>307</v>
      </c>
      <c r="H311" s="51" t="n">
        <f aca="false">IF(OR(NOT(ISNUMBER($G311)),$G311&lt;2,NOT(ISNUMBER($C310)),$C310=0),"",$C311/$C310-1)</f>
        <v>0.00472738423696417</v>
      </c>
      <c r="I311" s="52" t="n">
        <f aca="false">IF(AND(ISNUMBER($G311),$G311&gt;=MA_SHORT),AVERAGE(INDEX($C$5:$C311,308-MA_SHORT):$C311),"")</f>
        <v>111980494.45</v>
      </c>
      <c r="J311" s="52" t="n">
        <f aca="false">IF(AND(ISNUMBER($G311),$G311&gt;=MA_MED),AVERAGE(INDEX($C$5:$C311,308-MA_MED):$C311),"")</f>
        <v>108501524.4</v>
      </c>
      <c r="K311" s="52" t="n">
        <f aca="false">IF(AND(ISNUMBER($G311),$G311&gt;=MA_LONG2),AVERAGE(INDEX($C$5:$C311,308-MA_LONG2):$C311),"")</f>
        <v>102062293.52</v>
      </c>
      <c r="L311" s="53" t="n">
        <f aca="false">IF(AND(ISNUMBER($G311),$G311&gt;=21),STDEV(INDEX($H$251:$H311,62-20):$H311)*SQRT(245),"")</f>
        <v>0.174796865749886</v>
      </c>
      <c r="M311" s="52" t="n">
        <f aca="false">IF(AND(ISNUMBER($G311),$G311&gt;=60),MAX(INDEX($D$111:$D311,202-60):$D311),"")</f>
        <v>116638452</v>
      </c>
      <c r="N311" s="52" t="n">
        <f aca="false">IF(AND(ISNUMBER($G311),$G311&gt;=60),MIN(INDEX($E$111:$E311,202-60):$E311),"")</f>
        <v>96825981</v>
      </c>
      <c r="O311" s="53" t="n">
        <f aca="false">IF(OR(NOT(ISNUMBER($C311)),NOT(ISNUMBER($M311)),$M311=0),"",$C311/$M311-1)</f>
        <v>-0.0698075108198453</v>
      </c>
      <c r="P311" s="54"/>
      <c r="Q311" s="53" t="str">
        <f aca="false">IF(NOT(ISNUMBER($P311)),"",IFERROR(PERCENTRANK($P$5:$P$1204,$P311),""))</f>
        <v/>
      </c>
    </row>
    <row r="312" customFormat="false" ht="15" hidden="false" customHeight="false" outlineLevel="0" collapsed="false">
      <c r="A312" s="47" t="n">
        <v>45999</v>
      </c>
      <c r="B312" s="48" t="s">
        <v>460</v>
      </c>
      <c r="C312" s="49" t="n">
        <v>105288911</v>
      </c>
      <c r="D312" s="49" t="n">
        <v>105622918</v>
      </c>
      <c r="E312" s="49" t="n">
        <v>104784645</v>
      </c>
      <c r="F312" s="49" t="n">
        <v>0</v>
      </c>
      <c r="G312" s="50" t="n">
        <f aca="false">IF($A312="","",IF(ISNUMBER($G311),$G311+1,1))</f>
        <v>308</v>
      </c>
      <c r="H312" s="51" t="n">
        <f aca="false">IF(OR(NOT(ISNUMBER($G312)),$G312&lt;2,NOT(ISNUMBER($C311)),$C311=0),"",$C312/$C311-1)</f>
        <v>-0.029561409941206</v>
      </c>
      <c r="I312" s="52" t="n">
        <f aca="false">IF(AND(ISNUMBER($G312),$G312&gt;=MA_SHORT),AVERAGE(INDEX($C$5:$C312,309-MA_SHORT):$C312),"")</f>
        <v>111495398.5</v>
      </c>
      <c r="J312" s="52" t="n">
        <f aca="false">IF(AND(ISNUMBER($G312),$G312&gt;=MA_MED),AVERAGE(INDEX($C$5:$C312,309-MA_MED):$C312),"")</f>
        <v>108604461.56</v>
      </c>
      <c r="K312" s="52" t="n">
        <f aca="false">IF(AND(ISNUMBER($G312),$G312&gt;=MA_LONG2),AVERAGE(INDEX($C$5:$C312,309-MA_LONG2):$C312),"")</f>
        <v>102111726.305</v>
      </c>
      <c r="L312" s="53" t="n">
        <f aca="false">IF(AND(ISNUMBER($G312),$G312&gt;=21),STDEV(INDEX($H$252:$H312,62-20):$H312)*SQRT(245),"")</f>
        <v>0.197563937146138</v>
      </c>
      <c r="M312" s="52" t="n">
        <f aca="false">IF(AND(ISNUMBER($G312),$G312&gt;=60),MAX(INDEX($D$112:$D312,202-60):$D312),"")</f>
        <v>116638452</v>
      </c>
      <c r="N312" s="52" t="n">
        <f aca="false">IF(AND(ISNUMBER($G312),$G312&gt;=60),MIN(INDEX($E$112:$E312,202-60):$E312),"")</f>
        <v>96825981</v>
      </c>
      <c r="O312" s="53" t="n">
        <f aca="false">IF(OR(NOT(ISNUMBER($C312)),NOT(ISNUMBER($M312)),$M312=0),"",$C312/$M312-1)</f>
        <v>-0.0973053123167307</v>
      </c>
      <c r="P312" s="54"/>
      <c r="Q312" s="53" t="str">
        <f aca="false">IF(NOT(ISNUMBER($P312)),"",IFERROR(PERCENTRANK($P$5:$P$1204,$P312),""))</f>
        <v/>
      </c>
    </row>
    <row r="313" customFormat="false" ht="15" hidden="false" customHeight="false" outlineLevel="0" collapsed="false">
      <c r="A313" s="47" t="n">
        <v>46000</v>
      </c>
      <c r="B313" s="48" t="s">
        <v>461</v>
      </c>
      <c r="C313" s="49" t="n">
        <v>103992092</v>
      </c>
      <c r="D313" s="49" t="n">
        <v>104206386</v>
      </c>
      <c r="E313" s="49" t="n">
        <v>103805471</v>
      </c>
      <c r="F313" s="49" t="n">
        <v>0</v>
      </c>
      <c r="G313" s="50" t="n">
        <f aca="false">IF($A313="","",IF(ISNUMBER($G312),$G312+1,1))</f>
        <v>309</v>
      </c>
      <c r="H313" s="51" t="n">
        <f aca="false">IF(OR(NOT(ISNUMBER($G313)),$G313&lt;2,NOT(ISNUMBER($C312)),$C312=0),"",$C313/$C312-1)</f>
        <v>-0.012316767147492</v>
      </c>
      <c r="I313" s="52" t="n">
        <f aca="false">IF(AND(ISNUMBER($G313),$G313&gt;=MA_SHORT),AVERAGE(INDEX($C$5:$C313,310-MA_SHORT):$C313),"")</f>
        <v>110956721.15</v>
      </c>
      <c r="J313" s="52" t="n">
        <f aca="false">IF(AND(ISNUMBER($G313),$G313&gt;=MA_MED),AVERAGE(INDEX($C$5:$C313,310-MA_MED):$C313),"")</f>
        <v>108682959.48</v>
      </c>
      <c r="K313" s="52" t="n">
        <f aca="false">IF(AND(ISNUMBER($G313),$G313&gt;=MA_LONG2),AVERAGE(INDEX($C$5:$C313,310-MA_LONG2):$C313),"")</f>
        <v>102150752.105</v>
      </c>
      <c r="L313" s="53" t="n">
        <f aca="false">IF(AND(ISNUMBER($G313),$G313&gt;=21),STDEV(INDEX($H$253:$H313,62-20):$H313)*SQRT(245),"")</f>
        <v>0.199285446171025</v>
      </c>
      <c r="M313" s="52" t="n">
        <f aca="false">IF(AND(ISNUMBER($G313),$G313&gt;=60),MAX(INDEX($D$113:$D313,202-60):$D313),"")</f>
        <v>116638452</v>
      </c>
      <c r="N313" s="52" t="n">
        <f aca="false">IF(AND(ISNUMBER($G313),$G313&gt;=60),MIN(INDEX($E$113:$E313,202-60):$E313),"")</f>
        <v>96825981</v>
      </c>
      <c r="O313" s="53" t="n">
        <f aca="false">IF(OR(NOT(ISNUMBER($C313)),NOT(ISNUMBER($M313)),$M313=0),"",$C313/$M313-1)</f>
        <v>-0.108423592590203</v>
      </c>
      <c r="P313" s="54"/>
      <c r="Q313" s="53" t="str">
        <f aca="false">IF(NOT(ISNUMBER($P313)),"",IFERROR(PERCENTRANK($P$5:$P$1204,$P313),""))</f>
        <v/>
      </c>
    </row>
    <row r="314" customFormat="false" ht="15" hidden="false" customHeight="false" outlineLevel="0" collapsed="false">
      <c r="A314" s="47" t="n">
        <v>46001</v>
      </c>
      <c r="B314" s="48" t="s">
        <v>462</v>
      </c>
      <c r="C314" s="49" t="n">
        <v>104918873</v>
      </c>
      <c r="D314" s="49" t="n">
        <v>105613545</v>
      </c>
      <c r="E314" s="49" t="n">
        <v>104709584</v>
      </c>
      <c r="F314" s="49" t="n">
        <v>0</v>
      </c>
      <c r="G314" s="50" t="n">
        <f aca="false">IF($A314="","",IF(ISNUMBER($G313),$G313+1,1))</f>
        <v>310</v>
      </c>
      <c r="H314" s="51" t="n">
        <f aca="false">IF(OR(NOT(ISNUMBER($G314)),$G314&lt;2,NOT(ISNUMBER($C313)),$C313=0),"",$C314/$C313-1)</f>
        <v>0.00891203342654179</v>
      </c>
      <c r="I314" s="52" t="n">
        <f aca="false">IF(AND(ISNUMBER($G314),$G314&gt;=MA_SHORT),AVERAGE(INDEX($C$5:$C314,311-MA_SHORT):$C314),"")</f>
        <v>110455509.5</v>
      </c>
      <c r="J314" s="52" t="n">
        <f aca="false">IF(AND(ISNUMBER($G314),$G314&gt;=MA_MED),AVERAGE(INDEX($C$5:$C314,311-MA_MED):$C314),"")</f>
        <v>108838533.1</v>
      </c>
      <c r="K314" s="52" t="n">
        <f aca="false">IF(AND(ISNUMBER($G314),$G314&gt;=MA_LONG2),AVERAGE(INDEX($C$5:$C314,311-MA_LONG2):$C314),"")</f>
        <v>102193367.91</v>
      </c>
      <c r="L314" s="53" t="n">
        <f aca="false">IF(AND(ISNUMBER($G314),$G314&gt;=21),STDEV(INDEX($H$254:$H314,62-20):$H314)*SQRT(245),"")</f>
        <v>0.203941798503597</v>
      </c>
      <c r="M314" s="52" t="n">
        <f aca="false">IF(AND(ISNUMBER($G314),$G314&gt;=60),MAX(INDEX($D$114:$D314,202-60):$D314),"")</f>
        <v>116638452</v>
      </c>
      <c r="N314" s="52" t="n">
        <f aca="false">IF(AND(ISNUMBER($G314),$G314&gt;=60),MIN(INDEX($E$114:$E314,202-60):$E314),"")</f>
        <v>96825981</v>
      </c>
      <c r="O314" s="53" t="n">
        <f aca="false">IF(OR(NOT(ISNUMBER($C314)),NOT(ISNUMBER($M314)),$M314=0),"",$C314/$M314-1)</f>
        <v>-0.100477833845051</v>
      </c>
      <c r="P314" s="54"/>
      <c r="Q314" s="53" t="str">
        <f aca="false">IF(NOT(ISNUMBER($P314)),"",IFERROR(PERCENTRANK($P$5:$P$1204,$P314),""))</f>
        <v/>
      </c>
    </row>
    <row r="315" customFormat="false" ht="15" hidden="false" customHeight="false" outlineLevel="0" collapsed="false">
      <c r="A315" s="47" t="n">
        <v>46004</v>
      </c>
      <c r="B315" s="48" t="s">
        <v>463</v>
      </c>
      <c r="C315" s="49" t="n">
        <v>105689783</v>
      </c>
      <c r="D315" s="49" t="n">
        <v>105852020</v>
      </c>
      <c r="E315" s="49" t="n">
        <v>104998148</v>
      </c>
      <c r="F315" s="49" t="n">
        <v>0</v>
      </c>
      <c r="G315" s="50" t="n">
        <f aca="false">IF($A315="","",IF(ISNUMBER($G314),$G314+1,1))</f>
        <v>311</v>
      </c>
      <c r="H315" s="51" t="n">
        <f aca="false">IF(OR(NOT(ISNUMBER($G315)),$G315&lt;2,NOT(ISNUMBER($C314)),$C314=0),"",$C315/$C314-1)</f>
        <v>0.00734767709523521</v>
      </c>
      <c r="I315" s="52" t="n">
        <f aca="false">IF(AND(ISNUMBER($G315),$G315&gt;=MA_SHORT),AVERAGE(INDEX($C$5:$C315,312-MA_SHORT):$C315),"")</f>
        <v>109969331.15</v>
      </c>
      <c r="J315" s="52" t="n">
        <f aca="false">IF(AND(ISNUMBER($G315),$G315&gt;=MA_MED),AVERAGE(INDEX($C$5:$C315,312-MA_MED):$C315),"")</f>
        <v>108976173.12</v>
      </c>
      <c r="K315" s="52" t="n">
        <f aca="false">IF(AND(ISNUMBER($G315),$G315&gt;=MA_LONG2),AVERAGE(INDEX($C$5:$C315,312-MA_LONG2):$C315),"")</f>
        <v>102253097.585</v>
      </c>
      <c r="L315" s="53" t="n">
        <f aca="false">IF(AND(ISNUMBER($G315),$G315&gt;=21),STDEV(INDEX($H$255:$H315,62-20):$H315)*SQRT(245),"")</f>
        <v>0.206012739081641</v>
      </c>
      <c r="M315" s="52" t="n">
        <f aca="false">IF(AND(ISNUMBER($G315),$G315&gt;=60),MAX(INDEX($D$115:$D315,202-60):$D315),"")</f>
        <v>116638452</v>
      </c>
      <c r="N315" s="52" t="n">
        <f aca="false">IF(AND(ISNUMBER($G315),$G315&gt;=60),MIN(INDEX($E$115:$E315,202-60):$E315),"")</f>
        <v>96825981</v>
      </c>
      <c r="O315" s="53" t="n">
        <f aca="false">IF(OR(NOT(ISNUMBER($C315)),NOT(ISNUMBER($M315)),$M315=0),"",$C315/$M315-1)</f>
        <v>-0.0938684354281383</v>
      </c>
      <c r="P315" s="54"/>
      <c r="Q315" s="53" t="str">
        <f aca="false">IF(NOT(ISNUMBER($P315)),"",IFERROR(PERCENTRANK($P$5:$P$1204,$P315),""))</f>
        <v/>
      </c>
    </row>
    <row r="316" customFormat="false" ht="15" hidden="false" customHeight="false" outlineLevel="0" collapsed="false">
      <c r="A316" s="47" t="n">
        <v>46005</v>
      </c>
      <c r="B316" s="48" t="s">
        <v>464</v>
      </c>
      <c r="C316" s="49" t="n">
        <v>106907373</v>
      </c>
      <c r="D316" s="49" t="n">
        <v>107547068</v>
      </c>
      <c r="E316" s="49" t="n">
        <v>106585552</v>
      </c>
      <c r="F316" s="49" t="n">
        <v>0</v>
      </c>
      <c r="G316" s="50" t="n">
        <f aca="false">IF($A316="","",IF(ISNUMBER($G315),$G315+1,1))</f>
        <v>312</v>
      </c>
      <c r="H316" s="51" t="n">
        <f aca="false">IF(OR(NOT(ISNUMBER($G316)),$G316&lt;2,NOT(ISNUMBER($C315)),$C315=0),"",$C316/$C315-1)</f>
        <v>0.0115204134727005</v>
      </c>
      <c r="I316" s="52" t="n">
        <f aca="false">IF(AND(ISNUMBER($G316),$G316&gt;=MA_SHORT),AVERAGE(INDEX($C$5:$C316,313-MA_SHORT):$C316),"")</f>
        <v>109508587.8</v>
      </c>
      <c r="J316" s="52" t="n">
        <f aca="false">IF(AND(ISNUMBER($G316),$G316&gt;=MA_MED),AVERAGE(INDEX($C$5:$C316,313-MA_MED):$C316),"")</f>
        <v>109125921.94</v>
      </c>
      <c r="K316" s="52" t="n">
        <f aca="false">IF(AND(ISNUMBER($G316),$G316&gt;=MA_LONG2),AVERAGE(INDEX($C$5:$C316,313-MA_LONG2):$C316),"")</f>
        <v>102327121.31</v>
      </c>
      <c r="L316" s="53" t="n">
        <f aca="false">IF(AND(ISNUMBER($G316),$G316&gt;=21),STDEV(INDEX($H$256:$H316,62-20):$H316)*SQRT(245),"")</f>
        <v>0.210345056309279</v>
      </c>
      <c r="M316" s="52" t="n">
        <f aca="false">IF(AND(ISNUMBER($G316),$G316&gt;=60),MAX(INDEX($D$116:$D316,202-60):$D316),"")</f>
        <v>116638452</v>
      </c>
      <c r="N316" s="52" t="n">
        <f aca="false">IF(AND(ISNUMBER($G316),$G316&gt;=60),MIN(INDEX($E$116:$E316,202-60):$E316),"")</f>
        <v>96825981</v>
      </c>
      <c r="O316" s="53" t="n">
        <f aca="false">IF(OR(NOT(ISNUMBER($C316)),NOT(ISNUMBER($M316)),$M316=0),"",$C316/$M316-1)</f>
        <v>-0.0834294251436053</v>
      </c>
      <c r="P316" s="54"/>
      <c r="Q316" s="53" t="str">
        <f aca="false">IF(NOT(ISNUMBER($P316)),"",IFERROR(PERCENTRANK($P$5:$P$1204,$P316),""))</f>
        <v/>
      </c>
    </row>
    <row r="317" customFormat="false" ht="15" hidden="false" customHeight="false" outlineLevel="0" collapsed="false">
      <c r="A317" s="47" t="n">
        <v>46006</v>
      </c>
      <c r="B317" s="48" t="s">
        <v>465</v>
      </c>
      <c r="C317" s="49" t="n">
        <v>106575401</v>
      </c>
      <c r="D317" s="49" t="n">
        <v>106988409</v>
      </c>
      <c r="E317" s="49" t="n">
        <v>105370908</v>
      </c>
      <c r="F317" s="49" t="n">
        <v>0</v>
      </c>
      <c r="G317" s="50" t="n">
        <f aca="false">IF($A317="","",IF(ISNUMBER($G316),$G316+1,1))</f>
        <v>313</v>
      </c>
      <c r="H317" s="51" t="n">
        <f aca="false">IF(OR(NOT(ISNUMBER($G317)),$G317&lt;2,NOT(ISNUMBER($C316)),$C316=0),"",$C317/$C316-1)</f>
        <v>-0.00310523016967224</v>
      </c>
      <c r="I317" s="52" t="n">
        <f aca="false">IF(AND(ISNUMBER($G317),$G317&gt;=MA_SHORT),AVERAGE(INDEX($C$5:$C317,314-MA_SHORT):$C317),"")</f>
        <v>109075057.65</v>
      </c>
      <c r="J317" s="52" t="n">
        <f aca="false">IF(AND(ISNUMBER($G317),$G317&gt;=MA_MED),AVERAGE(INDEX($C$5:$C317,314-MA_MED):$C317),"")</f>
        <v>109236530.3</v>
      </c>
      <c r="K317" s="52" t="n">
        <f aca="false">IF(AND(ISNUMBER($G317),$G317&gt;=MA_LONG2),AVERAGE(INDEX($C$5:$C317,314-MA_LONG2):$C317),"")</f>
        <v>102408727.57</v>
      </c>
      <c r="L317" s="53" t="n">
        <f aca="false">IF(AND(ISNUMBER($G317),$G317&gt;=21),STDEV(INDEX($H$257:$H317,62-20):$H317)*SQRT(245),"")</f>
        <v>0.209964299882546</v>
      </c>
      <c r="M317" s="52" t="n">
        <f aca="false">IF(AND(ISNUMBER($G317),$G317&gt;=60),MAX(INDEX($D$117:$D317,202-60):$D317),"")</f>
        <v>116638452</v>
      </c>
      <c r="N317" s="52" t="n">
        <f aca="false">IF(AND(ISNUMBER($G317),$G317&gt;=60),MIN(INDEX($E$117:$E317,202-60):$E317),"")</f>
        <v>96825981</v>
      </c>
      <c r="O317" s="53" t="n">
        <f aca="false">IF(OR(NOT(ISNUMBER($C317)),NOT(ISNUMBER($M317)),$M317=0),"",$C317/$M317-1)</f>
        <v>-0.0862755877452832</v>
      </c>
      <c r="P317" s="54"/>
      <c r="Q317" s="53" t="str">
        <f aca="false">IF(NOT(ISNUMBER($P317)),"",IFERROR(PERCENTRANK($P$5:$P$1204,$P317),""))</f>
        <v/>
      </c>
    </row>
    <row r="318" customFormat="false" ht="15" hidden="false" customHeight="false" outlineLevel="0" collapsed="false">
      <c r="A318" s="47" t="n">
        <v>46007</v>
      </c>
      <c r="B318" s="48" t="s">
        <v>466</v>
      </c>
      <c r="C318" s="49" t="n">
        <v>107940386</v>
      </c>
      <c r="D318" s="49" t="n">
        <v>108278626</v>
      </c>
      <c r="E318" s="49" t="n">
        <v>107929457</v>
      </c>
      <c r="F318" s="49" t="n">
        <v>0</v>
      </c>
      <c r="G318" s="50" t="n">
        <f aca="false">IF($A318="","",IF(ISNUMBER($G317),$G317+1,1))</f>
        <v>314</v>
      </c>
      <c r="H318" s="51" t="n">
        <f aca="false">IF(OR(NOT(ISNUMBER($G318)),$G318&lt;2,NOT(ISNUMBER($C317)),$C317=0),"",$C318/$C317-1)</f>
        <v>0.0128076928371117</v>
      </c>
      <c r="I318" s="52" t="n">
        <f aca="false">IF(AND(ISNUMBER($G318),$G318&gt;=MA_SHORT),AVERAGE(INDEX($C$5:$C318,315-MA_SHORT):$C318),"")</f>
        <v>108715086.15</v>
      </c>
      <c r="J318" s="52" t="n">
        <f aca="false">IF(AND(ISNUMBER($G318),$G318&gt;=MA_MED),AVERAGE(INDEX($C$5:$C318,315-MA_MED):$C318),"")</f>
        <v>109380491.96</v>
      </c>
      <c r="K318" s="52" t="n">
        <f aca="false">IF(AND(ISNUMBER($G318),$G318&gt;=MA_LONG2),AVERAGE(INDEX($C$5:$C318,315-MA_LONG2):$C318),"")</f>
        <v>102492830.44</v>
      </c>
      <c r="L318" s="53" t="n">
        <f aca="false">IF(AND(ISNUMBER($G318),$G318&gt;=21),STDEV(INDEX($H$258:$H318,62-20):$H318)*SQRT(245),"")</f>
        <v>0.217759592803194</v>
      </c>
      <c r="M318" s="52" t="n">
        <f aca="false">IF(AND(ISNUMBER($G318),$G318&gt;=60),MAX(INDEX($D$118:$D318,202-60):$D318),"")</f>
        <v>116638452</v>
      </c>
      <c r="N318" s="52" t="n">
        <f aca="false">IF(AND(ISNUMBER($G318),$G318&gt;=60),MIN(INDEX($E$118:$E318,202-60):$E318),"")</f>
        <v>96825981</v>
      </c>
      <c r="O318" s="53" t="n">
        <f aca="false">IF(OR(NOT(ISNUMBER($C318)),NOT(ISNUMBER($M318)),$M318=0),"",$C318/$M318-1)</f>
        <v>-0.0745728861353544</v>
      </c>
      <c r="P318" s="54"/>
      <c r="Q318" s="53" t="str">
        <f aca="false">IF(NOT(ISNUMBER($P318)),"",IFERROR(PERCENTRANK($P$5:$P$1204,$P318),""))</f>
        <v/>
      </c>
    </row>
    <row r="319" customFormat="false" ht="15" hidden="false" customHeight="false" outlineLevel="0" collapsed="false">
      <c r="A319" s="47" t="n">
        <v>46008</v>
      </c>
      <c r="B319" s="48" t="s">
        <v>467</v>
      </c>
      <c r="C319" s="49" t="n">
        <v>107028148</v>
      </c>
      <c r="D319" s="49" t="n">
        <v>107252611</v>
      </c>
      <c r="E319" s="49" t="n">
        <v>106653838</v>
      </c>
      <c r="F319" s="49" t="n">
        <v>0</v>
      </c>
      <c r="G319" s="50" t="n">
        <f aca="false">IF($A319="","",IF(ISNUMBER($G318),$G318+1,1))</f>
        <v>315</v>
      </c>
      <c r="H319" s="51" t="n">
        <f aca="false">IF(OR(NOT(ISNUMBER($G319)),$G319&lt;2,NOT(ISNUMBER($C318)),$C318=0),"",$C319/$C318-1)</f>
        <v>-0.00845131311648262</v>
      </c>
      <c r="I319" s="52" t="n">
        <f aca="false">IF(AND(ISNUMBER($G319),$G319&gt;=MA_SHORT),AVERAGE(INDEX($C$5:$C319,316-MA_SHORT):$C319),"")</f>
        <v>108389164.75</v>
      </c>
      <c r="J319" s="52" t="n">
        <f aca="false">IF(AND(ISNUMBER($G319),$G319&gt;=MA_MED),AVERAGE(INDEX($C$5:$C319,316-MA_MED):$C319),"")</f>
        <v>109493502.6</v>
      </c>
      <c r="K319" s="52" t="n">
        <f aca="false">IF(AND(ISNUMBER($G319),$G319&gt;=MA_LONG2),AVERAGE(INDEX($C$5:$C319,316-MA_LONG2):$C319),"")</f>
        <v>102569411.71</v>
      </c>
      <c r="L319" s="53" t="n">
        <f aca="false">IF(AND(ISNUMBER($G319),$G319&gt;=21),STDEV(INDEX($H$259:$H319,62-20):$H319)*SQRT(245),"")</f>
        <v>0.215145023191655</v>
      </c>
      <c r="M319" s="52" t="n">
        <f aca="false">IF(AND(ISNUMBER($G319),$G319&gt;=60),MAX(INDEX($D$119:$D319,202-60):$D319),"")</f>
        <v>116638452</v>
      </c>
      <c r="N319" s="52" t="n">
        <f aca="false">IF(AND(ISNUMBER($G319),$G319&gt;=60),MIN(INDEX($E$119:$E319,202-60):$E319),"")</f>
        <v>96825981</v>
      </c>
      <c r="O319" s="53" t="n">
        <f aca="false">IF(OR(NOT(ISNUMBER($C319)),NOT(ISNUMBER($M319)),$M319=0),"",$C319/$M319-1)</f>
        <v>-0.0823939604411074</v>
      </c>
      <c r="P319" s="54"/>
      <c r="Q319" s="53" t="str">
        <f aca="false">IF(NOT(ISNUMBER($P319)),"",IFERROR(PERCENTRANK($P$5:$P$1204,$P319),""))</f>
        <v/>
      </c>
    </row>
    <row r="320" customFormat="false" ht="15" hidden="false" customHeight="false" outlineLevel="0" collapsed="false">
      <c r="A320" s="47" t="n">
        <v>46011</v>
      </c>
      <c r="B320" s="48" t="s">
        <v>468</v>
      </c>
      <c r="C320" s="49" t="n">
        <v>109410919</v>
      </c>
      <c r="D320" s="49" t="n">
        <v>109744273</v>
      </c>
      <c r="E320" s="49" t="n">
        <v>108986909</v>
      </c>
      <c r="F320" s="49" t="n">
        <v>0</v>
      </c>
      <c r="G320" s="50" t="n">
        <f aca="false">IF($A320="","",IF(ISNUMBER($G319),$G319+1,1))</f>
        <v>316</v>
      </c>
      <c r="H320" s="51" t="n">
        <f aca="false">IF(OR(NOT(ISNUMBER($G320)),$G320&lt;2,NOT(ISNUMBER($C319)),$C319=0),"",$C320/$C319-1)</f>
        <v>0.0222630312167973</v>
      </c>
      <c r="I320" s="52" t="n">
        <f aca="false">IF(AND(ISNUMBER($G320),$G320&gt;=MA_SHORT),AVERAGE(INDEX($C$5:$C320,317-MA_SHORT):$C320),"")</f>
        <v>108075131.75</v>
      </c>
      <c r="J320" s="52" t="n">
        <f aca="false">IF(AND(ISNUMBER($G320),$G320&gt;=MA_MED),AVERAGE(INDEX($C$5:$C320,317-MA_MED):$C320),"")</f>
        <v>109643347.62</v>
      </c>
      <c r="K320" s="52" t="n">
        <f aca="false">IF(AND(ISNUMBER($G320),$G320&gt;=MA_LONG2),AVERAGE(INDEX($C$5:$C320,317-MA_LONG2):$C320),"")</f>
        <v>102658688.835</v>
      </c>
      <c r="L320" s="53" t="n">
        <f aca="false">IF(AND(ISNUMBER($G320),$G320&gt;=21),STDEV(INDEX($H$260:$H320,62-20):$H320)*SQRT(245),"")</f>
        <v>0.219814331488651</v>
      </c>
      <c r="M320" s="52" t="n">
        <f aca="false">IF(AND(ISNUMBER($G320),$G320&gt;=60),MAX(INDEX($D$120:$D320,202-60):$D320),"")</f>
        <v>116638452</v>
      </c>
      <c r="N320" s="52" t="n">
        <f aca="false">IF(AND(ISNUMBER($G320),$G320&gt;=60),MIN(INDEX($E$120:$E320,202-60):$E320),"")</f>
        <v>96825981</v>
      </c>
      <c r="O320" s="53" t="n">
        <f aca="false">IF(OR(NOT(ISNUMBER($C320)),NOT(ISNUMBER($M320)),$M320=0),"",$C320/$M320-1)</f>
        <v>-0.061965268537686</v>
      </c>
      <c r="P320" s="54"/>
      <c r="Q320" s="53" t="str">
        <f aca="false">IF(NOT(ISNUMBER($P320)),"",IFERROR(PERCENTRANK($P$5:$P$1204,$P320),""))</f>
        <v/>
      </c>
    </row>
    <row r="321" customFormat="false" ht="15" hidden="false" customHeight="false" outlineLevel="0" collapsed="false">
      <c r="A321" s="47" t="n">
        <v>46012</v>
      </c>
      <c r="B321" s="48" t="s">
        <v>469</v>
      </c>
      <c r="C321" s="49" t="n">
        <v>109045303</v>
      </c>
      <c r="D321" s="49" t="n">
        <v>109444981</v>
      </c>
      <c r="E321" s="49" t="n">
        <v>108250934</v>
      </c>
      <c r="F321" s="49" t="n">
        <v>0</v>
      </c>
      <c r="G321" s="50" t="n">
        <f aca="false">IF($A321="","",IF(ISNUMBER($G320),$G320+1,1))</f>
        <v>317</v>
      </c>
      <c r="H321" s="51" t="n">
        <f aca="false">IF(OR(NOT(ISNUMBER($G321)),$G321&lt;2,NOT(ISNUMBER($C320)),$C320=0),"",$C321/$C320-1)</f>
        <v>-0.00334167744263258</v>
      </c>
      <c r="I321" s="52" t="n">
        <f aca="false">IF(AND(ISNUMBER($G321),$G321&gt;=MA_SHORT),AVERAGE(INDEX($C$5:$C321,318-MA_SHORT):$C321),"")</f>
        <v>107894009.95</v>
      </c>
      <c r="J321" s="52" t="n">
        <f aca="false">IF(AND(ISNUMBER($G321),$G321&gt;=MA_MED),AVERAGE(INDEX($C$5:$C321,318-MA_MED):$C321),"")</f>
        <v>109760801.56</v>
      </c>
      <c r="K321" s="52" t="n">
        <f aca="false">IF(AND(ISNUMBER($G321),$G321&gt;=MA_LONG2),AVERAGE(INDEX($C$5:$C321,318-MA_LONG2):$C321),"")</f>
        <v>102751885.905</v>
      </c>
      <c r="L321" s="53" t="n">
        <f aca="false">IF(AND(ISNUMBER($G321),$G321&gt;=21),STDEV(INDEX($H$261:$H321,62-20):$H321)*SQRT(245),"")</f>
        <v>0.202240683682907</v>
      </c>
      <c r="M321" s="52" t="n">
        <f aca="false">IF(AND(ISNUMBER($G321),$G321&gt;=60),MAX(INDEX($D$121:$D321,202-60):$D321),"")</f>
        <v>116638452</v>
      </c>
      <c r="N321" s="52" t="n">
        <f aca="false">IF(AND(ISNUMBER($G321),$G321&gt;=60),MIN(INDEX($E$121:$E321,202-60):$E321),"")</f>
        <v>96825981</v>
      </c>
      <c r="O321" s="53" t="n">
        <f aca="false">IF(OR(NOT(ISNUMBER($C321)),NOT(ISNUMBER($M321)),$M321=0),"",$C321/$M321-1)</f>
        <v>-0.0650998780402196</v>
      </c>
      <c r="P321" s="54"/>
      <c r="Q321" s="53" t="str">
        <f aca="false">IF(NOT(ISNUMBER($P321)),"",IFERROR(PERCENTRANK($P$5:$P$1204,$P321),""))</f>
        <v/>
      </c>
    </row>
    <row r="322" customFormat="false" ht="15" hidden="false" customHeight="false" outlineLevel="0" collapsed="false">
      <c r="A322" s="47" t="n">
        <v>46013</v>
      </c>
      <c r="B322" s="48" t="s">
        <v>470</v>
      </c>
      <c r="C322" s="49" t="n">
        <v>109639922</v>
      </c>
      <c r="D322" s="49" t="n">
        <v>109697041</v>
      </c>
      <c r="E322" s="49" t="n">
        <v>109074411</v>
      </c>
      <c r="F322" s="49" t="n">
        <v>0</v>
      </c>
      <c r="G322" s="50" t="n">
        <f aca="false">IF($A322="","",IF(ISNUMBER($G321),$G321+1,1))</f>
        <v>318</v>
      </c>
      <c r="H322" s="51" t="n">
        <f aca="false">IF(OR(NOT(ISNUMBER($G322)),$G322&lt;2,NOT(ISNUMBER($C321)),$C321=0),"",$C322/$C321-1)</f>
        <v>0.00545295380581412</v>
      </c>
      <c r="I322" s="52" t="n">
        <f aca="false">IF(AND(ISNUMBER($G322),$G322&gt;=MA_SHORT),AVERAGE(INDEX($C$5:$C322,319-MA_SHORT):$C322),"")</f>
        <v>107897236.45</v>
      </c>
      <c r="J322" s="52" t="n">
        <f aca="false">IF(AND(ISNUMBER($G322),$G322&gt;=MA_MED),AVERAGE(INDEX($C$5:$C322,319-MA_MED):$C322),"")</f>
        <v>109860129.8</v>
      </c>
      <c r="K322" s="52" t="n">
        <f aca="false">IF(AND(ISNUMBER($G322),$G322&gt;=MA_LONG2),AVERAGE(INDEX($C$5:$C322,319-MA_LONG2):$C322),"")</f>
        <v>102842214</v>
      </c>
      <c r="L322" s="53" t="n">
        <f aca="false">IF(AND(ISNUMBER($G322),$G322&gt;=21),STDEV(INDEX($H$262:$H322,62-20):$H322)*SQRT(245),"")</f>
        <v>0.179417527335313</v>
      </c>
      <c r="M322" s="52" t="n">
        <f aca="false">IF(AND(ISNUMBER($G322),$G322&gt;=60),MAX(INDEX($D$122:$D322,202-60):$D322),"")</f>
        <v>116638452</v>
      </c>
      <c r="N322" s="52" t="n">
        <f aca="false">IF(AND(ISNUMBER($G322),$G322&gt;=60),MIN(INDEX($E$122:$E322,202-60):$E322),"")</f>
        <v>96825981</v>
      </c>
      <c r="O322" s="53" t="n">
        <f aca="false">IF(OR(NOT(ISNUMBER($C322)),NOT(ISNUMBER($M322)),$M322=0),"",$C322/$M322-1)</f>
        <v>-0.0600019108621229</v>
      </c>
      <c r="P322" s="54"/>
      <c r="Q322" s="53" t="str">
        <f aca="false">IF(NOT(ISNUMBER($P322)),"",IFERROR(PERCENTRANK($P$5:$P$1204,$P322),""))</f>
        <v/>
      </c>
    </row>
    <row r="323" customFormat="false" ht="15" hidden="false" customHeight="false" outlineLevel="0" collapsed="false">
      <c r="A323" s="47" t="n">
        <v>46014</v>
      </c>
      <c r="B323" s="48" t="s">
        <v>471</v>
      </c>
      <c r="C323" s="49" t="n">
        <v>109867155</v>
      </c>
      <c r="D323" s="49" t="n">
        <v>110010964</v>
      </c>
      <c r="E323" s="49" t="n">
        <v>109762231</v>
      </c>
      <c r="F323" s="49" t="n">
        <v>0</v>
      </c>
      <c r="G323" s="50" t="n">
        <f aca="false">IF($A323="","",IF(ISNUMBER($G322),$G322+1,1))</f>
        <v>319</v>
      </c>
      <c r="H323" s="51" t="n">
        <f aca="false">IF(OR(NOT(ISNUMBER($G323)),$G323&lt;2,NOT(ISNUMBER($C322)),$C322=0),"",$C323/$C322-1)</f>
        <v>0.00207253886955527</v>
      </c>
      <c r="I323" s="52" t="n">
        <f aca="false">IF(AND(ISNUMBER($G323),$G323&gt;=MA_SHORT),AVERAGE(INDEX($C$5:$C323,320-MA_SHORT):$C323),"")</f>
        <v>107949728.9</v>
      </c>
      <c r="J323" s="52" t="n">
        <f aca="false">IF(AND(ISNUMBER($G323),$G323&gt;=MA_MED),AVERAGE(INDEX($C$5:$C323,320-MA_MED):$C323),"")</f>
        <v>109973639.48</v>
      </c>
      <c r="K323" s="52" t="n">
        <f aca="false">IF(AND(ISNUMBER($G323),$G323&gt;=MA_LONG2),AVERAGE(INDEX($C$5:$C323,320-MA_LONG2):$C323),"")</f>
        <v>102932973.7</v>
      </c>
      <c r="L323" s="53" t="n">
        <f aca="false">IF(AND(ISNUMBER($G323),$G323&gt;=21),STDEV(INDEX($H$263:$H323,62-20):$H323)*SQRT(245),"")</f>
        <v>0.177638334860494</v>
      </c>
      <c r="M323" s="52" t="n">
        <f aca="false">IF(AND(ISNUMBER($G323),$G323&gt;=60),MAX(INDEX($D$123:$D323,202-60):$D323),"")</f>
        <v>116638452</v>
      </c>
      <c r="N323" s="52" t="n">
        <f aca="false">IF(AND(ISNUMBER($G323),$G323&gt;=60),MIN(INDEX($E$123:$E323,202-60):$E323),"")</f>
        <v>96825981</v>
      </c>
      <c r="O323" s="53" t="n">
        <f aca="false">IF(OR(NOT(ISNUMBER($C323)),NOT(ISNUMBER($M323)),$M323=0),"",$C323/$M323-1)</f>
        <v>-0.058053728285077</v>
      </c>
      <c r="P323" s="54"/>
      <c r="Q323" s="53" t="str">
        <f aca="false">IF(NOT(ISNUMBER($P323)),"",IFERROR(PERCENTRANK($P$5:$P$1204,$P323),""))</f>
        <v/>
      </c>
    </row>
    <row r="324" customFormat="false" ht="15" hidden="false" customHeight="false" outlineLevel="0" collapsed="false">
      <c r="A324" s="47" t="n">
        <v>46015</v>
      </c>
      <c r="B324" s="48" t="s">
        <v>472</v>
      </c>
      <c r="C324" s="49" t="n">
        <v>112366392</v>
      </c>
      <c r="D324" s="49" t="n">
        <v>113351464</v>
      </c>
      <c r="E324" s="49" t="n">
        <v>111905277</v>
      </c>
      <c r="F324" s="49" t="n">
        <v>0</v>
      </c>
      <c r="G324" s="50" t="n">
        <f aca="false">IF($A324="","",IF(ISNUMBER($G323),$G323+1,1))</f>
        <v>320</v>
      </c>
      <c r="H324" s="51" t="n">
        <f aca="false">IF(OR(NOT(ISNUMBER($G324)),$G324&lt;2,NOT(ISNUMBER($C323)),$C323=0),"",$C324/$C323-1)</f>
        <v>0.0227478084783392</v>
      </c>
      <c r="I324" s="52" t="n">
        <f aca="false">IF(AND(ISNUMBER($G324),$G324&gt;=MA_SHORT),AVERAGE(INDEX($C$5:$C324,321-MA_SHORT):$C324),"")</f>
        <v>108050977.2</v>
      </c>
      <c r="J324" s="52" t="n">
        <f aca="false">IF(AND(ISNUMBER($G324),$G324&gt;=MA_MED),AVERAGE(INDEX($C$5:$C324,321-MA_MED):$C324),"")</f>
        <v>110143590.46</v>
      </c>
      <c r="K324" s="52" t="n">
        <f aca="false">IF(AND(ISNUMBER($G324),$G324&gt;=MA_LONG2),AVERAGE(INDEX($C$5:$C324,321-MA_LONG2):$C324),"")</f>
        <v>103032154.615</v>
      </c>
      <c r="L324" s="53" t="n">
        <f aca="false">IF(AND(ISNUMBER($G324),$G324&gt;=21),STDEV(INDEX($H$264:$H324,62-20):$H324)*SQRT(245),"")</f>
        <v>0.18848591615435</v>
      </c>
      <c r="M324" s="52" t="n">
        <f aca="false">IF(AND(ISNUMBER($G324),$G324&gt;=60),MAX(INDEX($D$124:$D324,202-60):$D324),"")</f>
        <v>116638452</v>
      </c>
      <c r="N324" s="52" t="n">
        <f aca="false">IF(AND(ISNUMBER($G324),$G324&gt;=60),MIN(INDEX($E$124:$E324,202-60):$E324),"")</f>
        <v>98338432</v>
      </c>
      <c r="O324" s="53" t="n">
        <f aca="false">IF(OR(NOT(ISNUMBER($C324)),NOT(ISNUMBER($M324)),$M324=0),"",$C324/$M324-1)</f>
        <v>-0.0366265148992204</v>
      </c>
      <c r="P324" s="54"/>
      <c r="Q324" s="53" t="str">
        <f aca="false">IF(NOT(ISNUMBER($P324)),"",IFERROR(PERCENTRANK($P$5:$P$1204,$P324),""))</f>
        <v/>
      </c>
    </row>
    <row r="325" customFormat="false" ht="15" hidden="false" customHeight="false" outlineLevel="0" collapsed="false">
      <c r="A325" s="47" t="n">
        <v>46018</v>
      </c>
      <c r="B325" s="48" t="s">
        <v>473</v>
      </c>
      <c r="C325" s="49" t="n">
        <v>110578912</v>
      </c>
      <c r="D325" s="49" t="n">
        <v>110832230</v>
      </c>
      <c r="E325" s="49" t="n">
        <v>110207047</v>
      </c>
      <c r="F325" s="49" t="n">
        <v>0</v>
      </c>
      <c r="G325" s="50" t="n">
        <f aca="false">IF($A325="","",IF(ISNUMBER($G324),$G324+1,1))</f>
        <v>321</v>
      </c>
      <c r="H325" s="51" t="n">
        <f aca="false">IF(OR(NOT(ISNUMBER($G325)),$G325&lt;2,NOT(ISNUMBER($C324)),$C324=0),"",$C325/$C324-1)</f>
        <v>-0.0159076034051178</v>
      </c>
      <c r="I325" s="52" t="n">
        <f aca="false">IF(AND(ISNUMBER($G325),$G325&gt;=MA_SHORT),AVERAGE(INDEX($C$5:$C325,322-MA_SHORT):$C325),"")</f>
        <v>108089576.2</v>
      </c>
      <c r="J325" s="52" t="n">
        <f aca="false">IF(AND(ISNUMBER($G325),$G325&gt;=MA_MED),AVERAGE(INDEX($C$5:$C325,322-MA_MED):$C325),"")</f>
        <v>110242765.04</v>
      </c>
      <c r="K325" s="52" t="n">
        <f aca="false">IF(AND(ISNUMBER($G325),$G325&gt;=MA_LONG2),AVERAGE(INDEX($C$5:$C325,322-MA_LONG2):$C325),"")</f>
        <v>103112730.63</v>
      </c>
      <c r="L325" s="53" t="n">
        <f aca="false">IF(AND(ISNUMBER($G325),$G325&gt;=21),STDEV(INDEX($H$265:$H325,62-20):$H325)*SQRT(245),"")</f>
        <v>0.196691977614687</v>
      </c>
      <c r="M325" s="52" t="n">
        <f aca="false">IF(AND(ISNUMBER($G325),$G325&gt;=60),MAX(INDEX($D$125:$D325,202-60):$D325),"")</f>
        <v>116638452</v>
      </c>
      <c r="N325" s="52" t="n">
        <f aca="false">IF(AND(ISNUMBER($G325),$G325&gt;=60),MIN(INDEX($E$125:$E325,202-60):$E325),"")</f>
        <v>98702966</v>
      </c>
      <c r="O325" s="53" t="n">
        <f aca="false">IF(OR(NOT(ISNUMBER($C325)),NOT(ISNUMBER($M325)),$M325=0),"",$C325/$M325-1)</f>
        <v>-0.0519514782312097</v>
      </c>
      <c r="P325" s="54"/>
      <c r="Q325" s="53" t="str">
        <f aca="false">IF(NOT(ISNUMBER($P325)),"",IFERROR(PERCENTRANK($P$5:$P$1204,$P325),""))</f>
        <v/>
      </c>
    </row>
    <row r="326" customFormat="false" ht="15" hidden="false" customHeight="false" outlineLevel="0" collapsed="false">
      <c r="A326" s="47" t="n">
        <v>46019</v>
      </c>
      <c r="B326" s="48" t="s">
        <v>474</v>
      </c>
      <c r="C326" s="49" t="n">
        <v>111664838</v>
      </c>
      <c r="D326" s="49" t="n">
        <v>112424167</v>
      </c>
      <c r="E326" s="49" t="n">
        <v>111505104</v>
      </c>
      <c r="F326" s="49" t="n">
        <v>0</v>
      </c>
      <c r="G326" s="50" t="n">
        <f aca="false">IF($A326="","",IF(ISNUMBER($G325),$G325+1,1))</f>
        <v>322</v>
      </c>
      <c r="H326" s="51" t="n">
        <f aca="false">IF(OR(NOT(ISNUMBER($G326)),$G326&lt;2,NOT(ISNUMBER($C325)),$C325=0),"",$C326/$C325-1)</f>
        <v>0.00982037153702509</v>
      </c>
      <c r="I326" s="52" t="n">
        <f aca="false">IF(AND(ISNUMBER($G326),$G326&gt;=MA_SHORT),AVERAGE(INDEX($C$5:$C326,323-MA_SHORT):$C326),"")</f>
        <v>108179525.1</v>
      </c>
      <c r="J326" s="52" t="n">
        <f aca="false">IF(AND(ISNUMBER($G326),$G326&gt;=MA_MED),AVERAGE(INDEX($C$5:$C326,323-MA_MED):$C326),"")</f>
        <v>110353328.86</v>
      </c>
      <c r="K326" s="52" t="n">
        <f aca="false">IF(AND(ISNUMBER($G326),$G326&gt;=MA_LONG2),AVERAGE(INDEX($C$5:$C326,323-MA_LONG2):$C326),"")</f>
        <v>103210936.55</v>
      </c>
      <c r="L326" s="53" t="n">
        <f aca="false">IF(AND(ISNUMBER($G326),$G326&gt;=21),STDEV(INDEX($H$266:$H326,62-20):$H326)*SQRT(245),"")</f>
        <v>0.199424529272011</v>
      </c>
      <c r="M326" s="52" t="n">
        <f aca="false">IF(AND(ISNUMBER($G326),$G326&gt;=60),MAX(INDEX($D$126:$D326,202-60):$D326),"")</f>
        <v>116638452</v>
      </c>
      <c r="N326" s="52" t="n">
        <f aca="false">IF(AND(ISNUMBER($G326),$G326&gt;=60),MIN(INDEX($E$126:$E326,202-60):$E326),"")</f>
        <v>100534808</v>
      </c>
      <c r="O326" s="53" t="n">
        <f aca="false">IF(OR(NOT(ISNUMBER($C326)),NOT(ISNUMBER($M326)),$M326=0),"",$C326/$M326-1)</f>
        <v>-0.0426412895123128</v>
      </c>
      <c r="P326" s="54"/>
      <c r="Q326" s="53" t="str">
        <f aca="false">IF(NOT(ISNUMBER($P326)),"",IFERROR(PERCENTRANK($P$5:$P$1204,$P326),""))</f>
        <v/>
      </c>
    </row>
    <row r="327" customFormat="false" ht="15" hidden="false" customHeight="false" outlineLevel="0" collapsed="false">
      <c r="A327" s="47" t="n">
        <v>46020</v>
      </c>
      <c r="B327" s="48" t="s">
        <v>475</v>
      </c>
      <c r="C327" s="49" t="n">
        <v>111080484</v>
      </c>
      <c r="D327" s="49" t="n">
        <v>111222169</v>
      </c>
      <c r="E327" s="49" t="n">
        <v>110777041</v>
      </c>
      <c r="F327" s="49" t="n">
        <v>0</v>
      </c>
      <c r="G327" s="50" t="n">
        <f aca="false">IF($A327="","",IF(ISNUMBER($G326),$G326+1,1))</f>
        <v>323</v>
      </c>
      <c r="H327" s="51" t="n">
        <f aca="false">IF(OR(NOT(ISNUMBER($G327)),$G327&lt;2,NOT(ISNUMBER($C326)),$C326=0),"",$C327/$C326-1)</f>
        <v>-0.00523310659350085</v>
      </c>
      <c r="I327" s="52" t="n">
        <f aca="false">IF(AND(ISNUMBER($G327),$G327&gt;=MA_SHORT),AVERAGE(INDEX($C$5:$C327,324-MA_SHORT):$C327),"")</f>
        <v>108260290.35</v>
      </c>
      <c r="J327" s="52" t="n">
        <f aca="false">IF(AND(ISNUMBER($G327),$G327&gt;=MA_MED),AVERAGE(INDEX($C$5:$C327,324-MA_MED):$C327),"")</f>
        <v>110438239.12</v>
      </c>
      <c r="K327" s="52" t="n">
        <f aca="false">IF(AND(ISNUMBER($G327),$G327&gt;=MA_LONG2),AVERAGE(INDEX($C$5:$C327,324-MA_LONG2):$C327),"")</f>
        <v>103302027.435</v>
      </c>
      <c r="L327" s="53" t="n">
        <f aca="false">IF(AND(ISNUMBER($G327),$G327&gt;=21),STDEV(INDEX($H$267:$H327,62-20):$H327)*SQRT(245),"")</f>
        <v>0.199966329230311</v>
      </c>
      <c r="M327" s="52" t="n">
        <f aca="false">IF(AND(ISNUMBER($G327),$G327&gt;=60),MAX(INDEX($D$127:$D327,202-60):$D327),"")</f>
        <v>116638452</v>
      </c>
      <c r="N327" s="52" t="n">
        <f aca="false">IF(AND(ISNUMBER($G327),$G327&gt;=60),MIN(INDEX($E$127:$E327,202-60):$E327),"")</f>
        <v>100534808</v>
      </c>
      <c r="O327" s="53" t="n">
        <f aca="false">IF(OR(NOT(ISNUMBER($C327)),NOT(ISNUMBER($M327)),$M327=0),"",$C327/$M327-1)</f>
        <v>-0.0476512496925113</v>
      </c>
      <c r="P327" s="54"/>
      <c r="Q327" s="53" t="str">
        <f aca="false">IF(NOT(ISNUMBER($P327)),"",IFERROR(PERCENTRANK($P$5:$P$1204,$P327),""))</f>
        <v/>
      </c>
    </row>
    <row r="328" customFormat="false" ht="15" hidden="false" customHeight="false" outlineLevel="0" collapsed="false">
      <c r="A328" s="47" t="n">
        <v>46021</v>
      </c>
      <c r="B328" s="48" t="s">
        <v>476</v>
      </c>
      <c r="C328" s="49" t="n">
        <v>111717222</v>
      </c>
      <c r="D328" s="49" t="n">
        <v>111909361</v>
      </c>
      <c r="E328" s="49" t="n">
        <v>111607443</v>
      </c>
      <c r="F328" s="49" t="n">
        <v>0</v>
      </c>
      <c r="G328" s="50" t="n">
        <f aca="false">IF($A328="","",IF(ISNUMBER($G327),$G327+1,1))</f>
        <v>324</v>
      </c>
      <c r="H328" s="51" t="n">
        <f aca="false">IF(OR(NOT(ISNUMBER($G328)),$G328&lt;2,NOT(ISNUMBER($C327)),$C327=0),"",$C328/$C327-1)</f>
        <v>0.00573222205261548</v>
      </c>
      <c r="I328" s="52" t="n">
        <f aca="false">IF(AND(ISNUMBER($G328),$G328&gt;=MA_SHORT),AVERAGE(INDEX($C$5:$C328,325-MA_SHORT):$C328),"")</f>
        <v>108429167.05</v>
      </c>
      <c r="J328" s="52" t="n">
        <f aca="false">IF(AND(ISNUMBER($G328),$G328&gt;=MA_MED),AVERAGE(INDEX($C$5:$C328,325-MA_MED):$C328),"")</f>
        <v>110556682.54</v>
      </c>
      <c r="K328" s="52" t="n">
        <f aca="false">IF(AND(ISNUMBER($G328),$G328&gt;=MA_LONG2),AVERAGE(INDEX($C$5:$C328,325-MA_LONG2):$C328),"")</f>
        <v>103391424.145</v>
      </c>
      <c r="L328" s="53" t="n">
        <f aca="false">IF(AND(ISNUMBER($G328),$G328&gt;=21),STDEV(INDEX($H$268:$H328,62-20):$H328)*SQRT(245),"")</f>
        <v>0.196334051614243</v>
      </c>
      <c r="M328" s="52" t="n">
        <f aca="false">IF(AND(ISNUMBER($G328),$G328&gt;=60),MAX(INDEX($D$128:$D328,202-60):$D328),"")</f>
        <v>116638452</v>
      </c>
      <c r="N328" s="52" t="n">
        <f aca="false">IF(AND(ISNUMBER($G328),$G328&gt;=60),MIN(INDEX($E$128:$E328,202-60):$E328),"")</f>
        <v>101140023</v>
      </c>
      <c r="O328" s="53" t="n">
        <f aca="false">IF(OR(NOT(ISNUMBER($C328)),NOT(ISNUMBER($M328)),$M328=0),"",$C328/$M328-1)</f>
        <v>-0.042192175184218</v>
      </c>
      <c r="P328" s="54"/>
      <c r="Q328" s="53" t="str">
        <f aca="false">IF(NOT(ISNUMBER($P328)),"",IFERROR(PERCENTRANK($P$5:$P$1204,$P328),""))</f>
        <v/>
      </c>
    </row>
    <row r="329" customFormat="false" ht="15" hidden="false" customHeight="false" outlineLevel="0" collapsed="false">
      <c r="A329" s="47" t="n">
        <v>46022</v>
      </c>
      <c r="B329" s="48" t="s">
        <v>477</v>
      </c>
      <c r="C329" s="49" t="n">
        <v>112574337</v>
      </c>
      <c r="D329" s="49" t="n">
        <v>112920595</v>
      </c>
      <c r="E329" s="49" t="n">
        <v>112525749</v>
      </c>
      <c r="F329" s="49" t="n">
        <v>0</v>
      </c>
      <c r="G329" s="50" t="n">
        <f aca="false">IF($A329="","",IF(ISNUMBER($G328),$G328+1,1))</f>
        <v>325</v>
      </c>
      <c r="H329" s="51" t="n">
        <f aca="false">IF(OR(NOT(ISNUMBER($G329)),$G329&lt;2,NOT(ISNUMBER($C328)),$C328=0),"",$C329/$C328-1)</f>
        <v>0.00767218325568453</v>
      </c>
      <c r="I329" s="52" t="n">
        <f aca="false">IF(AND(ISNUMBER($G329),$G329&gt;=MA_SHORT),AVERAGE(INDEX($C$5:$C329,326-MA_SHORT):$C329),"")</f>
        <v>108638419.25</v>
      </c>
      <c r="J329" s="52" t="n">
        <f aca="false">IF(AND(ISNUMBER($G329),$G329&gt;=MA_MED),AVERAGE(INDEX($C$5:$C329,326-MA_MED):$C329),"")</f>
        <v>110694785.5</v>
      </c>
      <c r="K329" s="52" t="n">
        <f aca="false">IF(AND(ISNUMBER($G329),$G329&gt;=MA_LONG2),AVERAGE(INDEX($C$5:$C329,326-MA_LONG2):$C329),"")</f>
        <v>103497704.77</v>
      </c>
      <c r="L329" s="53" t="n">
        <f aca="false">IF(AND(ISNUMBER($G329),$G329&gt;=21),STDEV(INDEX($H$269:$H329,62-20):$H329)*SQRT(245),"")</f>
        <v>0.197408381340544</v>
      </c>
      <c r="M329" s="52" t="n">
        <f aca="false">IF(AND(ISNUMBER($G329),$G329&gt;=60),MAX(INDEX($D$129:$D329,202-60):$D329),"")</f>
        <v>116638452</v>
      </c>
      <c r="N329" s="52" t="n">
        <f aca="false">IF(AND(ISNUMBER($G329),$G329&gt;=60),MIN(INDEX($E$129:$E329,202-60):$E329),"")</f>
        <v>101446374</v>
      </c>
      <c r="O329" s="53" t="n">
        <f aca="false">IF(OR(NOT(ISNUMBER($C329)),NOT(ISNUMBER($M329)),$M329=0),"",$C329/$M329-1)</f>
        <v>-0.0348436980285026</v>
      </c>
      <c r="P329" s="54"/>
      <c r="Q329" s="53" t="str">
        <f aca="false">IF(NOT(ISNUMBER($P329)),"",IFERROR(PERCENTRANK($P$5:$P$1204,$P329),""))</f>
        <v/>
      </c>
    </row>
    <row r="330" customFormat="false" ht="15" hidden="false" customHeight="false" outlineLevel="0" collapsed="false">
      <c r="A330" s="47" t="n">
        <v>46025</v>
      </c>
      <c r="B330" s="48" t="s">
        <v>478</v>
      </c>
      <c r="C330" s="49" t="n">
        <v>114669408</v>
      </c>
      <c r="D330" s="49" t="n">
        <v>114724477</v>
      </c>
      <c r="E330" s="49" t="n">
        <v>114363511</v>
      </c>
      <c r="F330" s="49" t="n">
        <v>0</v>
      </c>
      <c r="G330" s="50" t="n">
        <f aca="false">IF($A330="","",IF(ISNUMBER($G329),$G329+1,1))</f>
        <v>326</v>
      </c>
      <c r="H330" s="51" t="n">
        <f aca="false">IF(OR(NOT(ISNUMBER($G330)),$G330&lt;2,NOT(ISNUMBER($C329)),$C329=0),"",$C330/$C329-1)</f>
        <v>0.0186105559742271</v>
      </c>
      <c r="I330" s="52" t="n">
        <f aca="false">IF(AND(ISNUMBER($G330),$G330&gt;=MA_SHORT),AVERAGE(INDEX($C$5:$C330,327-MA_SHORT):$C330),"")</f>
        <v>108972603.55</v>
      </c>
      <c r="J330" s="52" t="n">
        <f aca="false">IF(AND(ISNUMBER($G330),$G330&gt;=MA_MED),AVERAGE(INDEX($C$5:$C330,327-MA_MED):$C330),"")</f>
        <v>110857259.12</v>
      </c>
      <c r="K330" s="52" t="n">
        <f aca="false">IF(AND(ISNUMBER($G330),$G330&gt;=MA_LONG2),AVERAGE(INDEX($C$5:$C330,327-MA_LONG2):$C330),"")</f>
        <v>103615734.225</v>
      </c>
      <c r="L330" s="53" t="n">
        <f aca="false">IF(AND(ISNUMBER($G330),$G330&gt;=21),STDEV(INDEX($H$270:$H330,62-20):$H330)*SQRT(245),"")</f>
        <v>0.204450786446792</v>
      </c>
      <c r="M330" s="52" t="n">
        <f aca="false">IF(AND(ISNUMBER($G330),$G330&gt;=60),MAX(INDEX($D$130:$D330,202-60):$D330),"")</f>
        <v>116638452</v>
      </c>
      <c r="N330" s="52" t="n">
        <f aca="false">IF(AND(ISNUMBER($G330),$G330&gt;=60),MIN(INDEX($E$130:$E330,202-60):$E330),"")</f>
        <v>103011363</v>
      </c>
      <c r="O330" s="53" t="n">
        <f aca="false">IF(OR(NOT(ISNUMBER($C330)),NOT(ISNUMBER($M330)),$M330=0),"",$C330/$M330-1)</f>
        <v>-0.0168816026467841</v>
      </c>
      <c r="P330" s="54"/>
      <c r="Q330" s="53" t="str">
        <f aca="false">IF(NOT(ISNUMBER($P330)),"",IFERROR(PERCENTRANK($P$5:$P$1204,$P330),""))</f>
        <v/>
      </c>
    </row>
    <row r="331" customFormat="false" ht="15" hidden="false" customHeight="false" outlineLevel="0" collapsed="false">
      <c r="A331" s="47" t="n">
        <v>46026</v>
      </c>
      <c r="B331" s="48" t="s">
        <v>479</v>
      </c>
      <c r="C331" s="49" t="n">
        <v>114788412</v>
      </c>
      <c r="D331" s="49" t="n">
        <v>115428679</v>
      </c>
      <c r="E331" s="49" t="n">
        <v>114771689</v>
      </c>
      <c r="F331" s="49" t="n">
        <v>0</v>
      </c>
      <c r="G331" s="50" t="n">
        <f aca="false">IF($A331="","",IF(ISNUMBER($G330),$G330+1,1))</f>
        <v>327</v>
      </c>
      <c r="H331" s="51" t="n">
        <f aca="false">IF(OR(NOT(ISNUMBER($G331)),$G331&lt;2,NOT(ISNUMBER($C330)),$C330=0),"",$C331/$C330-1)</f>
        <v>0.00103780077071636</v>
      </c>
      <c r="I331" s="52" t="n">
        <f aca="false">IF(AND(ISNUMBER($G331),$G331&gt;=MA_SHORT),AVERAGE(INDEX($C$5:$C331,328-MA_SHORT):$C331),"")</f>
        <v>109287213.55</v>
      </c>
      <c r="J331" s="52" t="n">
        <f aca="false">IF(AND(ISNUMBER($G331),$G331&gt;=MA_MED),AVERAGE(INDEX($C$5:$C331,328-MA_MED):$C331),"")</f>
        <v>110987936.54</v>
      </c>
      <c r="K331" s="52" t="n">
        <f aca="false">IF(AND(ISNUMBER($G331),$G331&gt;=MA_LONG2),AVERAGE(INDEX($C$5:$C331,328-MA_LONG2):$C331),"")</f>
        <v>103726881.51</v>
      </c>
      <c r="L331" s="53" t="n">
        <f aca="false">IF(AND(ISNUMBER($G331),$G331&gt;=21),STDEV(INDEX($H$271:$H331,62-20):$H331)*SQRT(245),"")</f>
        <v>0.20447723273179</v>
      </c>
      <c r="M331" s="52" t="n">
        <f aca="false">IF(AND(ISNUMBER($G331),$G331&gt;=60),MAX(INDEX($D$131:$D331,202-60):$D331),"")</f>
        <v>116638452</v>
      </c>
      <c r="N331" s="52" t="n">
        <f aca="false">IF(AND(ISNUMBER($G331),$G331&gt;=60),MIN(INDEX($E$131:$E331,202-60):$E331),"")</f>
        <v>103397491</v>
      </c>
      <c r="O331" s="53" t="n">
        <f aca="false">IF(OR(NOT(ISNUMBER($C331)),NOT(ISNUMBER($M331)),$M331=0),"",$C331/$M331-1)</f>
        <v>-0.0158613216163054</v>
      </c>
      <c r="P331" s="54"/>
      <c r="Q331" s="53" t="str">
        <f aca="false">IF(NOT(ISNUMBER($P331)),"",IFERROR(PERCENTRANK($P$5:$P$1204,$P331),""))</f>
        <v/>
      </c>
    </row>
    <row r="332" customFormat="false" ht="15" hidden="false" customHeight="false" outlineLevel="0" collapsed="false">
      <c r="A332" s="47" t="n">
        <v>46027</v>
      </c>
      <c r="B332" s="48" t="s">
        <v>480</v>
      </c>
      <c r="C332" s="49" t="n">
        <v>114057206</v>
      </c>
      <c r="D332" s="49" t="n">
        <v>114366191</v>
      </c>
      <c r="E332" s="49" t="n">
        <v>113737359</v>
      </c>
      <c r="F332" s="49" t="n">
        <v>0</v>
      </c>
      <c r="G332" s="50" t="n">
        <f aca="false">IF($A332="","",IF(ISNUMBER($G331),$G331+1,1))</f>
        <v>328</v>
      </c>
      <c r="H332" s="51" t="n">
        <f aca="false">IF(OR(NOT(ISNUMBER($G332)),$G332&lt;2,NOT(ISNUMBER($C331)),$C331=0),"",$C332/$C331-1)</f>
        <v>-0.00637003323994068</v>
      </c>
      <c r="I332" s="52" t="n">
        <f aca="false">IF(AND(ISNUMBER($G332),$G332&gt;=MA_SHORT),AVERAGE(INDEX($C$5:$C332,329-MA_SHORT):$C332),"")</f>
        <v>109725628.3</v>
      </c>
      <c r="J332" s="52" t="n">
        <f aca="false">IF(AND(ISNUMBER($G332),$G332&gt;=MA_MED),AVERAGE(INDEX($C$5:$C332,329-MA_MED):$C332),"")</f>
        <v>111094522.7</v>
      </c>
      <c r="K332" s="52" t="n">
        <f aca="false">IF(AND(ISNUMBER($G332),$G332&gt;=MA_LONG2),AVERAGE(INDEX($C$5:$C332,329-MA_LONG2):$C332),"")</f>
        <v>103834052.305</v>
      </c>
      <c r="L332" s="53" t="n">
        <f aca="false">IF(AND(ISNUMBER($G332),$G332&gt;=21),STDEV(INDEX($H$272:$H332,62-20):$H332)*SQRT(245),"")</f>
        <v>0.170241374274373</v>
      </c>
      <c r="M332" s="52" t="n">
        <f aca="false">IF(AND(ISNUMBER($G332),$G332&gt;=60),MAX(INDEX($D$132:$D332,202-60):$D332),"")</f>
        <v>116638452</v>
      </c>
      <c r="N332" s="52" t="n">
        <f aca="false">IF(AND(ISNUMBER($G332),$G332&gt;=60),MIN(INDEX($E$132:$E332,202-60):$E332),"")</f>
        <v>103397491</v>
      </c>
      <c r="O332" s="53" t="n">
        <f aca="false">IF(OR(NOT(ISNUMBER($C332)),NOT(ISNUMBER($M332)),$M332=0),"",$C332/$M332-1)</f>
        <v>-0.0221303177103208</v>
      </c>
      <c r="P332" s="54"/>
      <c r="Q332" s="53" t="str">
        <f aca="false">IF(NOT(ISNUMBER($P332)),"",IFERROR(PERCENTRANK($P$5:$P$1204,$P332),""))</f>
        <v/>
      </c>
    </row>
    <row r="333" customFormat="false" ht="15" hidden="false" customHeight="false" outlineLevel="0" collapsed="false">
      <c r="A333" s="47" t="n">
        <v>46028</v>
      </c>
      <c r="B333" s="48" t="s">
        <v>481</v>
      </c>
      <c r="C333" s="49" t="n">
        <v>113145612</v>
      </c>
      <c r="D333" s="49" t="n">
        <v>113199652</v>
      </c>
      <c r="E333" s="49" t="n">
        <v>112803089</v>
      </c>
      <c r="F333" s="49" t="n">
        <v>0</v>
      </c>
      <c r="G333" s="50" t="n">
        <f aca="false">IF($A333="","",IF(ISNUMBER($G332),$G332+1,1))</f>
        <v>329</v>
      </c>
      <c r="H333" s="51" t="n">
        <f aca="false">IF(OR(NOT(ISNUMBER($G333)),$G333&lt;2,NOT(ISNUMBER($C332)),$C332=0),"",$C333/$C332-1)</f>
        <v>-0.00799242794006372</v>
      </c>
      <c r="I333" s="52" t="n">
        <f aca="false">IF(AND(ISNUMBER($G333),$G333&gt;=MA_SHORT),AVERAGE(INDEX($C$5:$C333,330-MA_SHORT):$C333),"")</f>
        <v>110183304.3</v>
      </c>
      <c r="J333" s="52" t="n">
        <f aca="false">IF(AND(ISNUMBER($G333),$G333&gt;=MA_MED),AVERAGE(INDEX($C$5:$C333,330-MA_MED):$C333),"")</f>
        <v>111164042</v>
      </c>
      <c r="K333" s="52" t="n">
        <f aca="false">IF(AND(ISNUMBER($G333),$G333&gt;=MA_LONG2),AVERAGE(INDEX($C$5:$C333,330-MA_LONG2):$C333),"")</f>
        <v>103938895.595</v>
      </c>
      <c r="L333" s="53" t="n">
        <f aca="false">IF(AND(ISNUMBER($G333),$G333&gt;=21),STDEV(INDEX($H$273:$H333,62-20):$H333)*SQRT(245),"")</f>
        <v>0.165482396413077</v>
      </c>
      <c r="M333" s="52" t="n">
        <f aca="false">IF(AND(ISNUMBER($G333),$G333&gt;=60),MAX(INDEX($D$133:$D333,202-60):$D333),"")</f>
        <v>116638452</v>
      </c>
      <c r="N333" s="52" t="n">
        <f aca="false">IF(AND(ISNUMBER($G333),$G333&gt;=60),MIN(INDEX($E$133:$E333,202-60):$E333),"")</f>
        <v>103397491</v>
      </c>
      <c r="O333" s="53" t="n">
        <f aca="false">IF(OR(NOT(ISNUMBER($C333)),NOT(ISNUMBER($M333)),$M333=0),"",$C333/$M333-1)</f>
        <v>-0.029945870680794</v>
      </c>
      <c r="P333" s="54"/>
      <c r="Q333" s="53" t="str">
        <f aca="false">IF(NOT(ISNUMBER($P333)),"",IFERROR(PERCENTRANK($P$5:$P$1204,$P333),""))</f>
        <v/>
      </c>
    </row>
    <row r="334" customFormat="false" ht="15" hidden="false" customHeight="false" outlineLevel="0" collapsed="false">
      <c r="A334" s="47" t="n">
        <v>46029</v>
      </c>
      <c r="B334" s="48" t="s">
        <v>482</v>
      </c>
      <c r="C334" s="49" t="n">
        <v>110789160</v>
      </c>
      <c r="D334" s="49" t="n">
        <v>111196937</v>
      </c>
      <c r="E334" s="49" t="n">
        <v>110688654</v>
      </c>
      <c r="F334" s="49" t="n">
        <v>0</v>
      </c>
      <c r="G334" s="50" t="n">
        <f aca="false">IF($A334="","",IF(ISNUMBER($G333),$G333+1,1))</f>
        <v>330</v>
      </c>
      <c r="H334" s="51" t="n">
        <f aca="false">IF(OR(NOT(ISNUMBER($G334)),$G334&lt;2,NOT(ISNUMBER($C333)),$C333=0),"",$C334/$C333-1)</f>
        <v>-0.0208267201736467</v>
      </c>
      <c r="I334" s="52" t="n">
        <f aca="false">IF(AND(ISNUMBER($G334),$G334&gt;=MA_SHORT),AVERAGE(INDEX($C$5:$C334,331-MA_SHORT):$C334),"")</f>
        <v>110476818.65</v>
      </c>
      <c r="J334" s="52" t="n">
        <f aca="false">IF(AND(ISNUMBER($G334),$G334&gt;=MA_MED),AVERAGE(INDEX($C$5:$C334,331-MA_MED):$C334),"")</f>
        <v>111200647.16</v>
      </c>
      <c r="K334" s="52" t="n">
        <f aca="false">IF(AND(ISNUMBER($G334),$G334&gt;=MA_LONG2),AVERAGE(INDEX($C$5:$C334,331-MA_LONG2):$C334),"")</f>
        <v>104031874.58</v>
      </c>
      <c r="L334" s="53" t="n">
        <f aca="false">IF(AND(ISNUMBER($G334),$G334&gt;=21),STDEV(INDEX($H$274:$H334,62-20):$H334)*SQRT(245),"")</f>
        <v>0.186186902531069</v>
      </c>
      <c r="M334" s="52" t="n">
        <f aca="false">IF(AND(ISNUMBER($G334),$G334&gt;=60),MAX(INDEX($D$134:$D334,202-60):$D334),"")</f>
        <v>116638452</v>
      </c>
      <c r="N334" s="52" t="n">
        <f aca="false">IF(AND(ISNUMBER($G334),$G334&gt;=60),MIN(INDEX($E$134:$E334,202-60):$E334),"")</f>
        <v>103805471</v>
      </c>
      <c r="O334" s="53" t="n">
        <f aca="false">IF(OR(NOT(ISNUMBER($C334)),NOT(ISNUMBER($M334)),$M334=0),"",$C334/$M334-1)</f>
        <v>-0.0501489165854155</v>
      </c>
      <c r="P334" s="54"/>
      <c r="Q334" s="53" t="str">
        <f aca="false">IF(NOT(ISNUMBER($P334)),"",IFERROR(PERCENTRANK($P$5:$P$1204,$P334),""))</f>
        <v/>
      </c>
    </row>
    <row r="335" customFormat="false" ht="15" hidden="false" customHeight="false" outlineLevel="0" collapsed="false">
      <c r="A335" s="47" t="n">
        <v>46032</v>
      </c>
      <c r="B335" s="48" t="s">
        <v>483</v>
      </c>
      <c r="C335" s="49" t="n">
        <v>110890722</v>
      </c>
      <c r="D335" s="49" t="n">
        <v>111416842</v>
      </c>
      <c r="E335" s="49" t="n">
        <v>110736660</v>
      </c>
      <c r="F335" s="49" t="n">
        <v>0</v>
      </c>
      <c r="G335" s="50" t="n">
        <f aca="false">IF($A335="","",IF(ISNUMBER($G334),$G334+1,1))</f>
        <v>331</v>
      </c>
      <c r="H335" s="51" t="n">
        <f aca="false">IF(OR(NOT(ISNUMBER($G335)),$G335&lt;2,NOT(ISNUMBER($C334)),$C334=0),"",$C335/$C334-1)</f>
        <v>0.00091671423449724</v>
      </c>
      <c r="I335" s="52" t="n">
        <f aca="false">IF(AND(ISNUMBER($G335),$G335&gt;=MA_SHORT),AVERAGE(INDEX($C$5:$C335,332-MA_SHORT):$C335),"")</f>
        <v>110736865.6</v>
      </c>
      <c r="J335" s="52" t="n">
        <f aca="false">IF(AND(ISNUMBER($G335),$G335&gt;=MA_MED),AVERAGE(INDEX($C$5:$C335,332-MA_MED):$C335),"")</f>
        <v>111167763.26</v>
      </c>
      <c r="K335" s="52" t="n">
        <f aca="false">IF(AND(ISNUMBER($G335),$G335&gt;=MA_LONG2),AVERAGE(INDEX($C$5:$C335,332-MA_LONG2):$C335),"")</f>
        <v>104134513.565</v>
      </c>
      <c r="L335" s="53" t="n">
        <f aca="false">IF(AND(ISNUMBER($G335),$G335&gt;=21),STDEV(INDEX($H$275:$H335,62-20):$H335)*SQRT(245),"")</f>
        <v>0.185517565833931</v>
      </c>
      <c r="M335" s="52" t="n">
        <f aca="false">IF(AND(ISNUMBER($G335),$G335&gt;=60),MAX(INDEX($D$135:$D335,202-60):$D335),"")</f>
        <v>116638452</v>
      </c>
      <c r="N335" s="52" t="n">
        <f aca="false">IF(AND(ISNUMBER($G335),$G335&gt;=60),MIN(INDEX($E$135:$E335,202-60):$E335),"")</f>
        <v>103805471</v>
      </c>
      <c r="O335" s="53" t="n">
        <f aca="false">IF(OR(NOT(ISNUMBER($C335)),NOT(ISNUMBER($M335)),$M335=0),"",$C335/$M335-1)</f>
        <v>-0.0492781745765968</v>
      </c>
      <c r="P335" s="54"/>
      <c r="Q335" s="53" t="str">
        <f aca="false">IF(NOT(ISNUMBER($P335)),"",IFERROR(PERCENTRANK($P$5:$P$1204,$P335),""))</f>
        <v/>
      </c>
    </row>
    <row r="336" customFormat="false" ht="15" hidden="false" customHeight="false" outlineLevel="0" collapsed="false">
      <c r="A336" s="47" t="n">
        <v>46033</v>
      </c>
      <c r="B336" s="48" t="s">
        <v>484</v>
      </c>
      <c r="C336" s="49" t="n">
        <v>112456300</v>
      </c>
      <c r="D336" s="49" t="n">
        <v>113139430</v>
      </c>
      <c r="E336" s="49" t="n">
        <v>111904851</v>
      </c>
      <c r="F336" s="49" t="n">
        <v>0</v>
      </c>
      <c r="G336" s="50" t="n">
        <f aca="false">IF($A336="","",IF(ISNUMBER($G335),$G335+1,1))</f>
        <v>332</v>
      </c>
      <c r="H336" s="51" t="n">
        <f aca="false">IF(OR(NOT(ISNUMBER($G336)),$G336&lt;2,NOT(ISNUMBER($C335)),$C335=0),"",$C336/$C335-1)</f>
        <v>0.0141182054888236</v>
      </c>
      <c r="I336" s="52" t="n">
        <f aca="false">IF(AND(ISNUMBER($G336),$G336&gt;=MA_SHORT),AVERAGE(INDEX($C$5:$C336,333-MA_SHORT):$C336),"")</f>
        <v>111014311.95</v>
      </c>
      <c r="J336" s="52" t="n">
        <f aca="false">IF(AND(ISNUMBER($G336),$G336&gt;=MA_MED),AVERAGE(INDEX($C$5:$C336,333-MA_MED):$C336),"")</f>
        <v>111182460.42</v>
      </c>
      <c r="K336" s="52" t="n">
        <f aca="false">IF(AND(ISNUMBER($G336),$G336&gt;=MA_LONG2),AVERAGE(INDEX($C$5:$C336,333-MA_LONG2):$C336),"")</f>
        <v>104245908.27</v>
      </c>
      <c r="L336" s="53" t="n">
        <f aca="false">IF(AND(ISNUMBER($G336),$G336&gt;=21),STDEV(INDEX($H$276:$H336,62-20):$H336)*SQRT(245),"")</f>
        <v>0.18736511855273</v>
      </c>
      <c r="M336" s="52" t="n">
        <f aca="false">IF(AND(ISNUMBER($G336),$G336&gt;=60),MAX(INDEX($D$136:$D336,202-60):$D336),"")</f>
        <v>116638452</v>
      </c>
      <c r="N336" s="52" t="n">
        <f aca="false">IF(AND(ISNUMBER($G336),$G336&gt;=60),MIN(INDEX($E$136:$E336,202-60):$E336),"")</f>
        <v>103805471</v>
      </c>
      <c r="O336" s="53" t="n">
        <f aca="false">IF(OR(NOT(ISNUMBER($C336)),NOT(ISNUMBER($M336)),$M336=0),"",$C336/$M336-1)</f>
        <v>-0.0358556884825597</v>
      </c>
      <c r="P336" s="54"/>
      <c r="Q336" s="53" t="str">
        <f aca="false">IF(NOT(ISNUMBER($P336)),"",IFERROR(PERCENTRANK($P$5:$P$1204,$P336),""))</f>
        <v/>
      </c>
    </row>
    <row r="337" customFormat="false" ht="15" hidden="false" customHeight="false" outlineLevel="0" collapsed="false">
      <c r="A337" s="47" t="n">
        <v>46034</v>
      </c>
      <c r="B337" s="48" t="s">
        <v>485</v>
      </c>
      <c r="C337" s="49" t="n">
        <v>112882655</v>
      </c>
      <c r="D337" s="49" t="n">
        <v>113013984</v>
      </c>
      <c r="E337" s="49" t="n">
        <v>112798779</v>
      </c>
      <c r="F337" s="49" t="n">
        <v>0</v>
      </c>
      <c r="G337" s="50" t="n">
        <f aca="false">IF($A337="","",IF(ISNUMBER($G336),$G336+1,1))</f>
        <v>333</v>
      </c>
      <c r="H337" s="51" t="n">
        <f aca="false">IF(OR(NOT(ISNUMBER($G337)),$G337&lt;2,NOT(ISNUMBER($C336)),$C336=0),"",$C337/$C336-1)</f>
        <v>0.003791294929675</v>
      </c>
      <c r="I337" s="52" t="n">
        <f aca="false">IF(AND(ISNUMBER($G337),$G337&gt;=MA_SHORT),AVERAGE(INDEX($C$5:$C337,334-MA_SHORT):$C337),"")</f>
        <v>111329674.65</v>
      </c>
      <c r="J337" s="52" t="n">
        <f aca="false">IF(AND(ISNUMBER($G337),$G337&gt;=MA_MED),AVERAGE(INDEX($C$5:$C337,334-MA_MED):$C337),"")</f>
        <v>111198541.24</v>
      </c>
      <c r="K337" s="52" t="n">
        <f aca="false">IF(AND(ISNUMBER($G337),$G337&gt;=MA_LONG2),AVERAGE(INDEX($C$5:$C337,334-MA_LONG2):$C337),"")</f>
        <v>104360502.33</v>
      </c>
      <c r="L337" s="53" t="n">
        <f aca="false">IF(AND(ISNUMBER($G337),$G337&gt;=21),STDEV(INDEX($H$277:$H337,62-20):$H337)*SQRT(245),"")</f>
        <v>0.186207922279249</v>
      </c>
      <c r="M337" s="52" t="n">
        <f aca="false">IF(AND(ISNUMBER($G337),$G337&gt;=60),MAX(INDEX($D$137:$D337,202-60):$D337),"")</f>
        <v>116638452</v>
      </c>
      <c r="N337" s="52" t="n">
        <f aca="false">IF(AND(ISNUMBER($G337),$G337&gt;=60),MIN(INDEX($E$137:$E337,202-60):$E337),"")</f>
        <v>103805471</v>
      </c>
      <c r="O337" s="53" t="n">
        <f aca="false">IF(OR(NOT(ISNUMBER($C337)),NOT(ISNUMBER($M337)),$M337=0),"",$C337/$M337-1)</f>
        <v>-0.0322003330428288</v>
      </c>
      <c r="P337" s="54"/>
      <c r="Q337" s="53" t="str">
        <f aca="false">IF(NOT(ISNUMBER($P337)),"",IFERROR(PERCENTRANK($P$5:$P$1204,$P337),""))</f>
        <v/>
      </c>
    </row>
    <row r="338" customFormat="false" ht="15" hidden="false" customHeight="false" outlineLevel="0" collapsed="false">
      <c r="A338" s="47" t="n">
        <v>46035</v>
      </c>
      <c r="B338" s="48" t="s">
        <v>486</v>
      </c>
      <c r="C338" s="49" t="n">
        <v>111554149</v>
      </c>
      <c r="D338" s="49" t="n">
        <v>111920288</v>
      </c>
      <c r="E338" s="49" t="n">
        <v>111225244</v>
      </c>
      <c r="F338" s="49" t="n">
        <v>0</v>
      </c>
      <c r="G338" s="50" t="n">
        <f aca="false">IF($A338="","",IF(ISNUMBER($G337),$G337+1,1))</f>
        <v>334</v>
      </c>
      <c r="H338" s="51" t="n">
        <f aca="false">IF(OR(NOT(ISNUMBER($G338)),$G338&lt;2,NOT(ISNUMBER($C337)),$C337=0),"",$C338/$C337-1)</f>
        <v>-0.0117689117074719</v>
      </c>
      <c r="I338" s="52" t="n">
        <f aca="false">IF(AND(ISNUMBER($G338),$G338&gt;=MA_SHORT),AVERAGE(INDEX($C$5:$C338,335-MA_SHORT):$C338),"")</f>
        <v>111510362.8</v>
      </c>
      <c r="J338" s="52" t="n">
        <f aca="false">IF(AND(ISNUMBER($G338),$G338&gt;=MA_MED),AVERAGE(INDEX($C$5:$C338,335-MA_MED):$C338),"")</f>
        <v>111167911.54</v>
      </c>
      <c r="K338" s="52" t="n">
        <f aca="false">IF(AND(ISNUMBER($G338),$G338&gt;=MA_LONG2),AVERAGE(INDEX($C$5:$C338,335-MA_LONG2):$C338),"")</f>
        <v>104463525.045</v>
      </c>
      <c r="L338" s="53" t="n">
        <f aca="false">IF(AND(ISNUMBER($G338),$G338&gt;=21),STDEV(INDEX($H$278:$H338,62-20):$H338)*SQRT(245),"")</f>
        <v>0.18926702493236</v>
      </c>
      <c r="M338" s="52" t="n">
        <f aca="false">IF(AND(ISNUMBER($G338),$G338&gt;=60),MAX(INDEX($D$138:$D338,202-60):$D338),"")</f>
        <v>116638452</v>
      </c>
      <c r="N338" s="52" t="n">
        <f aca="false">IF(AND(ISNUMBER($G338),$G338&gt;=60),MIN(INDEX($E$138:$E338,202-60):$E338),"")</f>
        <v>103805471</v>
      </c>
      <c r="O338" s="53" t="n">
        <f aca="false">IF(OR(NOT(ISNUMBER($C338)),NOT(ISNUMBER($M338)),$M338=0),"",$C338/$M338-1)</f>
        <v>-0.0435902818737683</v>
      </c>
      <c r="P338" s="54"/>
      <c r="Q338" s="53" t="str">
        <f aca="false">IF(NOT(ISNUMBER($P338)),"",IFERROR(PERCENTRANK($P$5:$P$1204,$P338),""))</f>
        <v/>
      </c>
    </row>
    <row r="339" customFormat="false" ht="15" hidden="false" customHeight="false" outlineLevel="0" collapsed="false">
      <c r="A339" s="47" t="n">
        <v>46036</v>
      </c>
      <c r="B339" s="48" t="s">
        <v>487</v>
      </c>
      <c r="C339" s="49" t="n">
        <v>112665165</v>
      </c>
      <c r="D339" s="49" t="n">
        <v>112987535</v>
      </c>
      <c r="E339" s="49" t="n">
        <v>112480567</v>
      </c>
      <c r="F339" s="49" t="n">
        <v>0</v>
      </c>
      <c r="G339" s="50" t="n">
        <f aca="false">IF($A339="","",IF(ISNUMBER($G338),$G338+1,1))</f>
        <v>335</v>
      </c>
      <c r="H339" s="51" t="n">
        <f aca="false">IF(OR(NOT(ISNUMBER($G339)),$G339&lt;2,NOT(ISNUMBER($C338)),$C338=0),"",$C339/$C338-1)</f>
        <v>0.00995943234706576</v>
      </c>
      <c r="I339" s="52" t="n">
        <f aca="false">IF(AND(ISNUMBER($G339),$G339&gt;=MA_SHORT),AVERAGE(INDEX($C$5:$C339,336-MA_SHORT):$C339),"")</f>
        <v>111792213.65</v>
      </c>
      <c r="J339" s="52" t="n">
        <f aca="false">IF(AND(ISNUMBER($G339),$G339&gt;=MA_MED),AVERAGE(INDEX($C$5:$C339,336-MA_MED):$C339),"")</f>
        <v>111111684.14</v>
      </c>
      <c r="K339" s="52" t="n">
        <f aca="false">IF(AND(ISNUMBER($G339),$G339&gt;=MA_LONG2),AVERAGE(INDEX($C$5:$C339,336-MA_LONG2):$C339),"")</f>
        <v>104568163.29</v>
      </c>
      <c r="L339" s="53" t="n">
        <f aca="false">IF(AND(ISNUMBER($G339),$G339&gt;=21),STDEV(INDEX($H$279:$H339,62-20):$H339)*SQRT(245),"")</f>
        <v>0.187473117848601</v>
      </c>
      <c r="M339" s="52" t="n">
        <f aca="false">IF(AND(ISNUMBER($G339),$G339&gt;=60),MAX(INDEX($D$139:$D339,202-60):$D339),"")</f>
        <v>116638452</v>
      </c>
      <c r="N339" s="52" t="n">
        <f aca="false">IF(AND(ISNUMBER($G339),$G339&gt;=60),MIN(INDEX($E$139:$E339,202-60):$E339),"")</f>
        <v>103805471</v>
      </c>
      <c r="O339" s="53" t="n">
        <f aca="false">IF(OR(NOT(ISNUMBER($C339)),NOT(ISNUMBER($M339)),$M339=0),"",$C339/$M339-1)</f>
        <v>-0.0340649839900139</v>
      </c>
      <c r="P339" s="54"/>
      <c r="Q339" s="53" t="str">
        <f aca="false">IF(NOT(ISNUMBER($P339)),"",IFERROR(PERCENTRANK($P$5:$P$1204,$P339),""))</f>
        <v/>
      </c>
    </row>
    <row r="340" customFormat="false" ht="15" hidden="false" customHeight="false" outlineLevel="0" collapsed="false">
      <c r="A340" s="47" t="n">
        <v>46039</v>
      </c>
      <c r="B340" s="48" t="s">
        <v>488</v>
      </c>
      <c r="C340" s="49" t="n">
        <v>114474888</v>
      </c>
      <c r="D340" s="49" t="n">
        <v>115416475</v>
      </c>
      <c r="E340" s="49" t="n">
        <v>114069012</v>
      </c>
      <c r="F340" s="49" t="n">
        <v>0</v>
      </c>
      <c r="G340" s="50" t="n">
        <f aca="false">IF($A340="","",IF(ISNUMBER($G339),$G339+1,1))</f>
        <v>336</v>
      </c>
      <c r="H340" s="51" t="n">
        <f aca="false">IF(OR(NOT(ISNUMBER($G340)),$G340&lt;2,NOT(ISNUMBER($C339)),$C339=0),"",$C340/$C339-1)</f>
        <v>0.0160628442695663</v>
      </c>
      <c r="I340" s="52" t="n">
        <f aca="false">IF(AND(ISNUMBER($G340),$G340&gt;=MA_SHORT),AVERAGE(INDEX($C$5:$C340,337-MA_SHORT):$C340),"")</f>
        <v>112045412.1</v>
      </c>
      <c r="J340" s="52" t="n">
        <f aca="false">IF(AND(ISNUMBER($G340),$G340&gt;=MA_MED),AVERAGE(INDEX($C$5:$C340,337-MA_MED):$C340),"")</f>
        <v>111080762.1</v>
      </c>
      <c r="K340" s="52" t="n">
        <f aca="false">IF(AND(ISNUMBER($G340),$G340&gt;=MA_LONG2),AVERAGE(INDEX($C$5:$C340,337-MA_LONG2):$C340),"")</f>
        <v>104682585.62</v>
      </c>
      <c r="L340" s="53" t="n">
        <f aca="false">IF(AND(ISNUMBER($G340),$G340&gt;=21),STDEV(INDEX($H$280:$H340,62-20):$H340)*SQRT(245),"")</f>
        <v>0.180219342970438</v>
      </c>
      <c r="M340" s="52" t="n">
        <f aca="false">IF(AND(ISNUMBER($G340),$G340&gt;=60),MAX(INDEX($D$140:$D340,202-60):$D340),"")</f>
        <v>116638452</v>
      </c>
      <c r="N340" s="52" t="n">
        <f aca="false">IF(AND(ISNUMBER($G340),$G340&gt;=60),MIN(INDEX($E$140:$E340,202-60):$E340),"")</f>
        <v>103805471</v>
      </c>
      <c r="O340" s="53" t="n">
        <f aca="false">IF(OR(NOT(ISNUMBER($C340)),NOT(ISNUMBER($M340)),$M340=0),"",$C340/$M340-1)</f>
        <v>-0.0185493202533243</v>
      </c>
      <c r="P340" s="54"/>
      <c r="Q340" s="53" t="str">
        <f aca="false">IF(NOT(ISNUMBER($P340)),"",IFERROR(PERCENTRANK($P$5:$P$1204,$P340),""))</f>
        <v/>
      </c>
    </row>
    <row r="341" customFormat="false" ht="15" hidden="false" customHeight="false" outlineLevel="0" collapsed="false">
      <c r="A341" s="47" t="n">
        <v>46040</v>
      </c>
      <c r="B341" s="48" t="s">
        <v>489</v>
      </c>
      <c r="C341" s="49" t="n">
        <v>118083708</v>
      </c>
      <c r="D341" s="49" t="n">
        <v>118819941</v>
      </c>
      <c r="E341" s="49" t="n">
        <v>117393108</v>
      </c>
      <c r="F341" s="49" t="n">
        <v>0</v>
      </c>
      <c r="G341" s="50" t="n">
        <f aca="false">IF($A341="","",IF(ISNUMBER($G340),$G340+1,1))</f>
        <v>337</v>
      </c>
      <c r="H341" s="51" t="n">
        <f aca="false">IF(OR(NOT(ISNUMBER($G341)),$G341&lt;2,NOT(ISNUMBER($C340)),$C340=0),"",$C341/$C340-1)</f>
        <v>0.0315249926254568</v>
      </c>
      <c r="I341" s="52" t="n">
        <f aca="false">IF(AND(ISNUMBER($G341),$G341&gt;=MA_SHORT),AVERAGE(INDEX($C$5:$C341,338-MA_SHORT):$C341),"")</f>
        <v>112497332.35</v>
      </c>
      <c r="J341" s="52" t="n">
        <f aca="false">IF(AND(ISNUMBER($G341),$G341&gt;=MA_MED),AVERAGE(INDEX($C$5:$C341,338-MA_MED):$C341),"")</f>
        <v>111127074.5</v>
      </c>
      <c r="K341" s="52" t="n">
        <f aca="false">IF(AND(ISNUMBER($G341),$G341&gt;=MA_LONG2),AVERAGE(INDEX($C$5:$C341,338-MA_LONG2):$C341),"")</f>
        <v>104816307.145</v>
      </c>
      <c r="L341" s="53" t="n">
        <f aca="false">IF(AND(ISNUMBER($G341),$G341&gt;=21),STDEV(INDEX($H$281:$H341,62-20):$H341)*SQRT(245),"")</f>
        <v>0.205604630278809</v>
      </c>
      <c r="M341" s="52" t="n">
        <f aca="false">IF(AND(ISNUMBER($G341),$G341&gt;=60),MAX(INDEX($D$141:$D341,202-60):$D341),"")</f>
        <v>118819941</v>
      </c>
      <c r="N341" s="52" t="n">
        <f aca="false">IF(AND(ISNUMBER($G341),$G341&gt;=60),MIN(INDEX($E$141:$E341,202-60):$E341),"")</f>
        <v>103805471</v>
      </c>
      <c r="O341" s="53" t="n">
        <f aca="false">IF(OR(NOT(ISNUMBER($C341)),NOT(ISNUMBER($M341)),$M341=0),"",$C341/$M341-1)</f>
        <v>-0.00619620741942639</v>
      </c>
      <c r="P341" s="54"/>
      <c r="Q341" s="53" t="str">
        <f aca="false">IF(NOT(ISNUMBER($P341)),"",IFERROR(PERCENTRANK($P$5:$P$1204,$P341),""))</f>
        <v/>
      </c>
    </row>
    <row r="342" customFormat="false" ht="15" hidden="false" customHeight="false" outlineLevel="0" collapsed="false">
      <c r="A342" s="47" t="n">
        <v>46041</v>
      </c>
      <c r="B342" s="48" t="s">
        <v>490</v>
      </c>
      <c r="C342" s="49" t="n">
        <v>119221226</v>
      </c>
      <c r="D342" s="49" t="n">
        <v>119853304</v>
      </c>
      <c r="E342" s="49" t="n">
        <v>119170264</v>
      </c>
      <c r="F342" s="49" t="n">
        <v>0</v>
      </c>
      <c r="G342" s="50" t="n">
        <f aca="false">IF($A342="","",IF(ISNUMBER($G341),$G341+1,1))</f>
        <v>338</v>
      </c>
      <c r="H342" s="51" t="n">
        <f aca="false">IF(OR(NOT(ISNUMBER($G342)),$G342&lt;2,NOT(ISNUMBER($C341)),$C341=0),"",$C342/$C341-1)</f>
        <v>0.00963314939263249</v>
      </c>
      <c r="I342" s="52" t="n">
        <f aca="false">IF(AND(ISNUMBER($G342),$G342&gt;=MA_SHORT),AVERAGE(INDEX($C$5:$C342,339-MA_SHORT):$C342),"")</f>
        <v>112976397.55</v>
      </c>
      <c r="J342" s="52" t="n">
        <f aca="false">IF(AND(ISNUMBER($G342),$G342&gt;=MA_MED),AVERAGE(INDEX($C$5:$C342,339-MA_MED):$C342),"")</f>
        <v>111211682.42</v>
      </c>
      <c r="K342" s="52" t="n">
        <f aca="false">IF(AND(ISNUMBER($G342),$G342&gt;=MA_LONG2),AVERAGE(INDEX($C$5:$C342,339-MA_LONG2):$C342),"")</f>
        <v>104953920.33</v>
      </c>
      <c r="L342" s="53" t="n">
        <f aca="false">IF(AND(ISNUMBER($G342),$G342&gt;=21),STDEV(INDEX($H$282:$H342,62-20):$H342)*SQRT(245),"")</f>
        <v>0.206485584243308</v>
      </c>
      <c r="M342" s="52" t="n">
        <f aca="false">IF(AND(ISNUMBER($G342),$G342&gt;=60),MAX(INDEX($D$142:$D342,202-60):$D342),"")</f>
        <v>119853304</v>
      </c>
      <c r="N342" s="52" t="n">
        <f aca="false">IF(AND(ISNUMBER($G342),$G342&gt;=60),MIN(INDEX($E$142:$E342,202-60):$E342),"")</f>
        <v>103805471</v>
      </c>
      <c r="O342" s="53" t="n">
        <f aca="false">IF(OR(NOT(ISNUMBER($C342)),NOT(ISNUMBER($M342)),$M342=0),"",$C342/$M342-1)</f>
        <v>-0.00527376366695742</v>
      </c>
      <c r="P342" s="54"/>
      <c r="Q342" s="53" t="str">
        <f aca="false">IF(NOT(ISNUMBER($P342)),"",IFERROR(PERCENTRANK($P$5:$P$1204,$P342),""))</f>
        <v/>
      </c>
    </row>
    <row r="343" customFormat="false" ht="15" hidden="false" customHeight="false" outlineLevel="0" collapsed="false">
      <c r="A343" s="47" t="n">
        <v>46042</v>
      </c>
      <c r="B343" s="48" t="s">
        <v>491</v>
      </c>
      <c r="C343" s="49" t="n">
        <v>120038409</v>
      </c>
      <c r="D343" s="49" t="n">
        <v>120378820</v>
      </c>
      <c r="E343" s="49" t="n">
        <v>119671968</v>
      </c>
      <c r="F343" s="49" t="n">
        <v>0</v>
      </c>
      <c r="G343" s="50" t="n">
        <f aca="false">IF($A343="","",IF(ISNUMBER($G342),$G342+1,1))</f>
        <v>339</v>
      </c>
      <c r="H343" s="51" t="n">
        <f aca="false">IF(OR(NOT(ISNUMBER($G343)),$G343&lt;2,NOT(ISNUMBER($C342)),$C342=0),"",$C343/$C342-1)</f>
        <v>0.00685434152472153</v>
      </c>
      <c r="I343" s="52" t="n">
        <f aca="false">IF(AND(ISNUMBER($G343),$G343&gt;=MA_SHORT),AVERAGE(INDEX($C$5:$C343,340-MA_SHORT):$C343),"")</f>
        <v>113484960.25</v>
      </c>
      <c r="J343" s="52" t="n">
        <f aca="false">IF(AND(ISNUMBER($G343),$G343&gt;=MA_MED),AVERAGE(INDEX($C$5:$C343,340-MA_MED):$C343),"")</f>
        <v>111317137.82</v>
      </c>
      <c r="K343" s="52" t="n">
        <f aca="false">IF(AND(ISNUMBER($G343),$G343&gt;=MA_LONG2),AVERAGE(INDEX($C$5:$C343,340-MA_LONG2):$C343),"")</f>
        <v>105086984.355</v>
      </c>
      <c r="L343" s="53" t="n">
        <f aca="false">IF(AND(ISNUMBER($G343),$G343&gt;=21),STDEV(INDEX($H$283:$H343,62-20):$H343)*SQRT(245),"")</f>
        <v>0.206504643953265</v>
      </c>
      <c r="M343" s="52" t="n">
        <f aca="false">IF(AND(ISNUMBER($G343),$G343&gt;=60),MAX(INDEX($D$143:$D343,202-60):$D343),"")</f>
        <v>120378820</v>
      </c>
      <c r="N343" s="52" t="n">
        <f aca="false">IF(AND(ISNUMBER($G343),$G343&gt;=60),MIN(INDEX($E$143:$E343,202-60):$E343),"")</f>
        <v>103805471</v>
      </c>
      <c r="O343" s="53" t="n">
        <f aca="false">IF(OR(NOT(ISNUMBER($C343)),NOT(ISNUMBER($M343)),$M343=0),"",$C343/$M343-1)</f>
        <v>-0.00282783134109477</v>
      </c>
      <c r="P343" s="54"/>
      <c r="Q343" s="53" t="str">
        <f aca="false">IF(NOT(ISNUMBER($P343)),"",IFERROR(PERCENTRANK($P$5:$P$1204,$P343),""))</f>
        <v/>
      </c>
    </row>
    <row r="344" customFormat="false" ht="15" hidden="false" customHeight="false" outlineLevel="0" collapsed="false">
      <c r="A344" s="47" t="n">
        <v>46043</v>
      </c>
      <c r="B344" s="48" t="s">
        <v>492</v>
      </c>
      <c r="C344" s="49" t="n">
        <v>120181731</v>
      </c>
      <c r="D344" s="49" t="n">
        <v>121258632</v>
      </c>
      <c r="E344" s="49" t="n">
        <v>119940382</v>
      </c>
      <c r="F344" s="49" t="n">
        <v>0</v>
      </c>
      <c r="G344" s="50" t="n">
        <f aca="false">IF($A344="","",IF(ISNUMBER($G343),$G343+1,1))</f>
        <v>340</v>
      </c>
      <c r="H344" s="51" t="n">
        <f aca="false">IF(OR(NOT(ISNUMBER($G344)),$G344&lt;2,NOT(ISNUMBER($C343)),$C343=0),"",$C344/$C343-1)</f>
        <v>0.00119396784074333</v>
      </c>
      <c r="I344" s="52" t="n">
        <f aca="false">IF(AND(ISNUMBER($G344),$G344&gt;=MA_SHORT),AVERAGE(INDEX($C$5:$C344,341-MA_SHORT):$C344),"")</f>
        <v>113875727.2</v>
      </c>
      <c r="J344" s="52" t="n">
        <f aca="false">IF(AND(ISNUMBER($G344),$G344&gt;=MA_MED),AVERAGE(INDEX($C$5:$C344,341-MA_MED):$C344),"")</f>
        <v>111421910.32</v>
      </c>
      <c r="K344" s="52" t="n">
        <f aca="false">IF(AND(ISNUMBER($G344),$G344&gt;=MA_LONG2),AVERAGE(INDEX($C$5:$C344,341-MA_LONG2):$C344),"")</f>
        <v>105218072.5</v>
      </c>
      <c r="L344" s="53" t="n">
        <f aca="false">IF(AND(ISNUMBER($G344),$G344&gt;=21),STDEV(INDEX($H$284:$H344,62-20):$H344)*SQRT(245),"")</f>
        <v>0.195454617216798</v>
      </c>
      <c r="M344" s="52" t="n">
        <f aca="false">IF(AND(ISNUMBER($G344),$G344&gt;=60),MAX(INDEX($D$144:$D344,202-60):$D344),"")</f>
        <v>121258632</v>
      </c>
      <c r="N344" s="52" t="n">
        <f aca="false">IF(AND(ISNUMBER($G344),$G344&gt;=60),MIN(INDEX($E$144:$E344,202-60):$E344),"")</f>
        <v>103805471</v>
      </c>
      <c r="O344" s="53" t="n">
        <f aca="false">IF(OR(NOT(ISNUMBER($C344)),NOT(ISNUMBER($M344)),$M344=0),"",$C344/$M344-1)</f>
        <v>-0.00888102547619041</v>
      </c>
      <c r="P344" s="54"/>
      <c r="Q344" s="53" t="str">
        <f aca="false">IF(NOT(ISNUMBER($P344)),"",IFERROR(PERCENTRANK($P$5:$P$1204,$P344),""))</f>
        <v/>
      </c>
    </row>
    <row r="345" customFormat="false" ht="15" hidden="false" customHeight="false" outlineLevel="0" collapsed="false">
      <c r="A345" s="47" t="n">
        <v>46046</v>
      </c>
      <c r="B345" s="48" t="s">
        <v>493</v>
      </c>
      <c r="C345" s="49" t="n">
        <v>119472197</v>
      </c>
      <c r="D345" s="49" t="n">
        <v>119530609</v>
      </c>
      <c r="E345" s="49" t="n">
        <v>119449741</v>
      </c>
      <c r="F345" s="49" t="n">
        <v>0</v>
      </c>
      <c r="G345" s="50" t="n">
        <f aca="false">IF($A345="","",IF(ISNUMBER($G344),$G344+1,1))</f>
        <v>341</v>
      </c>
      <c r="H345" s="51" t="n">
        <f aca="false">IF(OR(NOT(ISNUMBER($G345)),$G345&lt;2,NOT(ISNUMBER($C344)),$C344=0),"",$C345/$C344-1)</f>
        <v>-0.00590384240679642</v>
      </c>
      <c r="I345" s="52" t="n">
        <f aca="false">IF(AND(ISNUMBER($G345),$G345&gt;=MA_SHORT),AVERAGE(INDEX($C$5:$C345,342-MA_SHORT):$C345),"")</f>
        <v>114320391.45</v>
      </c>
      <c r="J345" s="52" t="n">
        <f aca="false">IF(AND(ISNUMBER($G345),$G345&gt;=MA_MED),AVERAGE(INDEX($C$5:$C345,342-MA_MED):$C345),"")</f>
        <v>111503087.26</v>
      </c>
      <c r="K345" s="52" t="n">
        <f aca="false">IF(AND(ISNUMBER($G345),$G345&gt;=MA_LONG2),AVERAGE(INDEX($C$5:$C345,342-MA_LONG2):$C345),"")</f>
        <v>105355448.665</v>
      </c>
      <c r="L345" s="53" t="n">
        <f aca="false">IF(AND(ISNUMBER($G345),$G345&gt;=21),STDEV(INDEX($H$285:$H345,62-20):$H345)*SQRT(245),"")</f>
        <v>0.185570821262115</v>
      </c>
      <c r="M345" s="52" t="n">
        <f aca="false">IF(AND(ISNUMBER($G345),$G345&gt;=60),MAX(INDEX($D$145:$D345,202-60):$D345),"")</f>
        <v>121258632</v>
      </c>
      <c r="N345" s="52" t="n">
        <f aca="false">IF(AND(ISNUMBER($G345),$G345&gt;=60),MIN(INDEX($E$145:$E345,202-60):$E345),"")</f>
        <v>103805471</v>
      </c>
      <c r="O345" s="53" t="n">
        <f aca="false">IF(OR(NOT(ISNUMBER($C345)),NOT(ISNUMBER($M345)),$M345=0),"",$C345/$M345-1)</f>
        <v>-0.0147324357081646</v>
      </c>
      <c r="P345" s="54"/>
      <c r="Q345" s="53" t="str">
        <f aca="false">IF(NOT(ISNUMBER($P345)),"",IFERROR(PERCENTRANK($P$5:$P$1204,$P345),""))</f>
        <v/>
      </c>
    </row>
    <row r="346" customFormat="false" ht="15" hidden="false" customHeight="false" outlineLevel="0" collapsed="false">
      <c r="A346" s="47" t="n">
        <v>46047</v>
      </c>
      <c r="B346" s="48" t="s">
        <v>494</v>
      </c>
      <c r="C346" s="49" t="n">
        <v>118237304</v>
      </c>
      <c r="D346" s="49" t="n">
        <v>118642541</v>
      </c>
      <c r="E346" s="49" t="n">
        <v>117848272</v>
      </c>
      <c r="F346" s="49" t="n">
        <v>0</v>
      </c>
      <c r="G346" s="50" t="n">
        <f aca="false">IF($A346="","",IF(ISNUMBER($G345),$G345+1,1))</f>
        <v>342</v>
      </c>
      <c r="H346" s="51" t="n">
        <f aca="false">IF(OR(NOT(ISNUMBER($G346)),$G346&lt;2,NOT(ISNUMBER($C345)),$C345=0),"",$C346/$C345-1)</f>
        <v>-0.0103362374762389</v>
      </c>
      <c r="I346" s="52" t="n">
        <f aca="false">IF(AND(ISNUMBER($G346),$G346&gt;=MA_SHORT),AVERAGE(INDEX($C$5:$C346,343-MA_SHORT):$C346),"")</f>
        <v>114649014.75</v>
      </c>
      <c r="J346" s="52" t="n">
        <f aca="false">IF(AND(ISNUMBER($G346),$G346&gt;=MA_MED),AVERAGE(INDEX($C$5:$C346,343-MA_MED):$C346),"")</f>
        <v>111545388.54</v>
      </c>
      <c r="K346" s="52" t="n">
        <f aca="false">IF(AND(ISNUMBER($G346),$G346&gt;=MA_LONG2),AVERAGE(INDEX($C$5:$C346,343-MA_LONG2):$C346),"")</f>
        <v>105484417.12</v>
      </c>
      <c r="L346" s="53" t="n">
        <f aca="false">IF(AND(ISNUMBER($G346),$G346&gt;=21),STDEV(INDEX($H$286:$H346,62-20):$H346)*SQRT(245),"")</f>
        <v>0.190676803551381</v>
      </c>
      <c r="M346" s="52" t="n">
        <f aca="false">IF(AND(ISNUMBER($G346),$G346&gt;=60),MAX(INDEX($D$146:$D346,202-60):$D346),"")</f>
        <v>121258632</v>
      </c>
      <c r="N346" s="52" t="n">
        <f aca="false">IF(AND(ISNUMBER($G346),$G346&gt;=60),MIN(INDEX($E$146:$E346,202-60):$E346),"")</f>
        <v>103805471</v>
      </c>
      <c r="O346" s="53" t="n">
        <f aca="false">IF(OR(NOT(ISNUMBER($C346)),NOT(ISNUMBER($M346)),$M346=0),"",$C346/$M346-1)</f>
        <v>-0.0249163952303206</v>
      </c>
      <c r="P346" s="54"/>
      <c r="Q346" s="53" t="str">
        <f aca="false">IF(NOT(ISNUMBER($P346)),"",IFERROR(PERCENTRANK($P$5:$P$1204,$P346),""))</f>
        <v/>
      </c>
    </row>
    <row r="347" customFormat="false" ht="15" hidden="false" customHeight="false" outlineLevel="0" collapsed="false">
      <c r="A347" s="47" t="n">
        <v>46048</v>
      </c>
      <c r="B347" s="48" t="s">
        <v>495</v>
      </c>
      <c r="C347" s="49" t="n">
        <v>118185681</v>
      </c>
      <c r="D347" s="49" t="n">
        <v>118349352</v>
      </c>
      <c r="E347" s="49" t="n">
        <v>118139298</v>
      </c>
      <c r="F347" s="49" t="n">
        <v>0</v>
      </c>
      <c r="G347" s="50" t="n">
        <f aca="false">IF($A347="","",IF(ISNUMBER($G346),$G346+1,1))</f>
        <v>343</v>
      </c>
      <c r="H347" s="51" t="n">
        <f aca="false">IF(OR(NOT(ISNUMBER($G347)),$G347&lt;2,NOT(ISNUMBER($C346)),$C346=0),"",$C347/$C346-1)</f>
        <v>-0.000436605015960101</v>
      </c>
      <c r="I347" s="52" t="n">
        <f aca="false">IF(AND(ISNUMBER($G347),$G347&gt;=MA_SHORT),AVERAGE(INDEX($C$5:$C347,344-MA_SHORT):$C347),"")</f>
        <v>115004274.6</v>
      </c>
      <c r="J347" s="52" t="n">
        <f aca="false">IF(AND(ISNUMBER($G347),$G347&gt;=MA_MED),AVERAGE(INDEX($C$5:$C347,344-MA_MED):$C347),"")</f>
        <v>111604182.08</v>
      </c>
      <c r="K347" s="52" t="n">
        <f aca="false">IF(AND(ISNUMBER($G347),$G347&gt;=MA_LONG2),AVERAGE(INDEX($C$5:$C347,344-MA_LONG2):$C347),"")</f>
        <v>105609973.5</v>
      </c>
      <c r="L347" s="53" t="n">
        <f aca="false">IF(AND(ISNUMBER($G347),$G347&gt;=21),STDEV(INDEX($H$287:$H347,62-20):$H347)*SQRT(245),"")</f>
        <v>0.188757064206999</v>
      </c>
      <c r="M347" s="52" t="n">
        <f aca="false">IF(AND(ISNUMBER($G347),$G347&gt;=60),MAX(INDEX($D$147:$D347,202-60):$D347),"")</f>
        <v>121258632</v>
      </c>
      <c r="N347" s="52" t="n">
        <f aca="false">IF(AND(ISNUMBER($G347),$G347&gt;=60),MIN(INDEX($E$147:$E347,202-60):$E347),"")</f>
        <v>103805471</v>
      </c>
      <c r="O347" s="53" t="n">
        <f aca="false">IF(OR(NOT(ISNUMBER($C347)),NOT(ISNUMBER($M347)),$M347=0),"",$C347/$M347-1)</f>
        <v>-0.0253421216231435</v>
      </c>
      <c r="P347" s="54"/>
      <c r="Q347" s="53" t="str">
        <f aca="false">IF(NOT(ISNUMBER($P347)),"",IFERROR(PERCENTRANK($P$5:$P$1204,$P347),""))</f>
        <v/>
      </c>
    </row>
    <row r="348" customFormat="false" ht="15" hidden="false" customHeight="false" outlineLevel="0" collapsed="false">
      <c r="A348" s="47" t="n">
        <v>46049</v>
      </c>
      <c r="B348" s="48" t="s">
        <v>496</v>
      </c>
      <c r="C348" s="49" t="n">
        <v>119679867</v>
      </c>
      <c r="D348" s="49" t="n">
        <v>119903436</v>
      </c>
      <c r="E348" s="49" t="n">
        <v>118914503</v>
      </c>
      <c r="F348" s="49" t="n">
        <v>0</v>
      </c>
      <c r="G348" s="50" t="n">
        <f aca="false">IF($A348="","",IF(ISNUMBER($G347),$G347+1,1))</f>
        <v>344</v>
      </c>
      <c r="H348" s="51" t="n">
        <f aca="false">IF(OR(NOT(ISNUMBER($G348)),$G348&lt;2,NOT(ISNUMBER($C347)),$C347=0),"",$C348/$C347-1)</f>
        <v>0.0126426990762105</v>
      </c>
      <c r="I348" s="52" t="n">
        <f aca="false">IF(AND(ISNUMBER($G348),$G348&gt;=MA_SHORT),AVERAGE(INDEX($C$5:$C348,345-MA_SHORT):$C348),"")</f>
        <v>115402406.85</v>
      </c>
      <c r="J348" s="52" t="n">
        <f aca="false">IF(AND(ISNUMBER($G348),$G348&gt;=MA_MED),AVERAGE(INDEX($C$5:$C348,345-MA_MED):$C348),"")</f>
        <v>111694983.1</v>
      </c>
      <c r="K348" s="52" t="n">
        <f aca="false">IF(AND(ISNUMBER($G348),$G348&gt;=MA_LONG2),AVERAGE(INDEX($C$5:$C348,345-MA_LONG2):$C348),"")</f>
        <v>105743633.335</v>
      </c>
      <c r="L348" s="53" t="n">
        <f aca="false">IF(AND(ISNUMBER($G348),$G348&gt;=21),STDEV(INDEX($H$288:$H348,62-20):$H348)*SQRT(245),"")</f>
        <v>0.191494666788072</v>
      </c>
      <c r="M348" s="52" t="n">
        <f aca="false">IF(AND(ISNUMBER($G348),$G348&gt;=60),MAX(INDEX($D$148:$D348,202-60):$D348),"")</f>
        <v>121258632</v>
      </c>
      <c r="N348" s="52" t="n">
        <f aca="false">IF(AND(ISNUMBER($G348),$G348&gt;=60),MIN(INDEX($E$148:$E348,202-60):$E348),"")</f>
        <v>103805471</v>
      </c>
      <c r="O348" s="53" t="n">
        <f aca="false">IF(OR(NOT(ISNUMBER($C348)),NOT(ISNUMBER($M348)),$M348=0),"",$C348/$M348-1)</f>
        <v>-0.0130198153645672</v>
      </c>
      <c r="P348" s="54"/>
      <c r="Q348" s="53" t="str">
        <f aca="false">IF(NOT(ISNUMBER($P348)),"",IFERROR(PERCENTRANK($P$5:$P$1204,$P348),""))</f>
        <v/>
      </c>
    </row>
    <row r="349" customFormat="false" ht="15" hidden="false" customHeight="false" outlineLevel="0" collapsed="false">
      <c r="A349" s="47" t="n">
        <v>46050</v>
      </c>
      <c r="B349" s="48" t="s">
        <v>497</v>
      </c>
      <c r="C349" s="49" t="n">
        <v>121084205</v>
      </c>
      <c r="D349" s="49" t="n">
        <v>121661794</v>
      </c>
      <c r="E349" s="49" t="n">
        <v>120395238</v>
      </c>
      <c r="F349" s="49" t="n">
        <v>0</v>
      </c>
      <c r="G349" s="50" t="n">
        <f aca="false">IF($A349="","",IF(ISNUMBER($G348),$G348+1,1))</f>
        <v>345</v>
      </c>
      <c r="H349" s="51" t="n">
        <f aca="false">IF(OR(NOT(ISNUMBER($G349)),$G349&lt;2,NOT(ISNUMBER($C348)),$C348=0),"",$C349/$C348-1)</f>
        <v>0.0117341206604116</v>
      </c>
      <c r="I349" s="52" t="n">
        <f aca="false">IF(AND(ISNUMBER($G349),$G349&gt;=MA_SHORT),AVERAGE(INDEX($C$5:$C349,346-MA_SHORT):$C349),"")</f>
        <v>115827900.25</v>
      </c>
      <c r="J349" s="52" t="n">
        <f aca="false">IF(AND(ISNUMBER($G349),$G349&gt;=MA_MED),AVERAGE(INDEX($C$5:$C349,346-MA_MED):$C349),"")</f>
        <v>111845735.68</v>
      </c>
      <c r="K349" s="52" t="n">
        <f aca="false">IF(AND(ISNUMBER($G349),$G349&gt;=MA_LONG2),AVERAGE(INDEX($C$5:$C349,346-MA_LONG2):$C349),"")</f>
        <v>105886275.355</v>
      </c>
      <c r="L349" s="53" t="n">
        <f aca="false">IF(AND(ISNUMBER($G349),$G349&gt;=21),STDEV(INDEX($H$289:$H349,62-20):$H349)*SQRT(245),"")</f>
        <v>0.193151169030474</v>
      </c>
      <c r="M349" s="52" t="n">
        <f aca="false">IF(AND(ISNUMBER($G349),$G349&gt;=60),MAX(INDEX($D$149:$D349,202-60):$D349),"")</f>
        <v>121661794</v>
      </c>
      <c r="N349" s="52" t="n">
        <f aca="false">IF(AND(ISNUMBER($G349),$G349&gt;=60),MIN(INDEX($E$149:$E349,202-60):$E349),"")</f>
        <v>103805471</v>
      </c>
      <c r="O349" s="53" t="n">
        <f aca="false">IF(OR(NOT(ISNUMBER($C349)),NOT(ISNUMBER($M349)),$M349=0),"",$C349/$M349-1)</f>
        <v>-0.00474749698331756</v>
      </c>
      <c r="P349" s="54"/>
      <c r="Q349" s="53" t="str">
        <f aca="false">IF(NOT(ISNUMBER($P349)),"",IFERROR(PERCENTRANK($P$5:$P$1204,$P349),""))</f>
        <v/>
      </c>
    </row>
    <row r="350" customFormat="false" ht="15" hidden="false" customHeight="false" outlineLevel="0" collapsed="false">
      <c r="A350" s="47" t="n">
        <v>46053</v>
      </c>
      <c r="B350" s="48" t="s">
        <v>498</v>
      </c>
      <c r="C350" s="49" t="n">
        <v>121942300</v>
      </c>
      <c r="D350" s="49" t="n">
        <v>122501686</v>
      </c>
      <c r="E350" s="49" t="n">
        <v>121780936</v>
      </c>
      <c r="F350" s="49" t="n">
        <v>0</v>
      </c>
      <c r="G350" s="50" t="n">
        <f aca="false">IF($A350="","",IF(ISNUMBER($G349),$G349+1,1))</f>
        <v>346</v>
      </c>
      <c r="H350" s="51" t="n">
        <f aca="false">IF(OR(NOT(ISNUMBER($G350)),$G350&lt;2,NOT(ISNUMBER($C349)),$C349=0),"",$C350/$C349-1)</f>
        <v>0.00708676247244644</v>
      </c>
      <c r="I350" s="52" t="n">
        <f aca="false">IF(AND(ISNUMBER($G350),$G350&gt;=MA_SHORT),AVERAGE(INDEX($C$5:$C350,347-MA_SHORT):$C350),"")</f>
        <v>116191544.85</v>
      </c>
      <c r="J350" s="52" t="n">
        <f aca="false">IF(AND(ISNUMBER($G350),$G350&gt;=MA_MED),AVERAGE(INDEX($C$5:$C350,347-MA_MED):$C350),"")</f>
        <v>111970750.1</v>
      </c>
      <c r="K350" s="52" t="n">
        <f aca="false">IF(AND(ISNUMBER($G350),$G350&gt;=MA_LONG2),AVERAGE(INDEX($C$5:$C350,347-MA_LONG2):$C350),"")</f>
        <v>106029668.375</v>
      </c>
      <c r="L350" s="53" t="n">
        <f aca="false">IF(AND(ISNUMBER($G350),$G350&gt;=21),STDEV(INDEX($H$290:$H350,62-20):$H350)*SQRT(245),"")</f>
        <v>0.185767215938223</v>
      </c>
      <c r="M350" s="52" t="n">
        <f aca="false">IF(AND(ISNUMBER($G350),$G350&gt;=60),MAX(INDEX($D$150:$D350,202-60):$D350),"")</f>
        <v>122501686</v>
      </c>
      <c r="N350" s="52" t="n">
        <f aca="false">IF(AND(ISNUMBER($G350),$G350&gt;=60),MIN(INDEX($E$150:$E350,202-60):$E350),"")</f>
        <v>103805471</v>
      </c>
      <c r="O350" s="53" t="n">
        <f aca="false">IF(OR(NOT(ISNUMBER($C350)),NOT(ISNUMBER($M350)),$M350=0),"",$C350/$M350-1)</f>
        <v>-0.00456635347859624</v>
      </c>
      <c r="P350" s="54"/>
      <c r="Q350" s="53" t="str">
        <f aca="false">IF(NOT(ISNUMBER($P350)),"",IFERROR(PERCENTRANK($P$5:$P$1204,$P350),""))</f>
        <v/>
      </c>
    </row>
    <row r="351" customFormat="false" ht="15" hidden="false" customHeight="false" outlineLevel="0" collapsed="false">
      <c r="A351" s="47" t="n">
        <v>46054</v>
      </c>
      <c r="B351" s="48" t="s">
        <v>499</v>
      </c>
      <c r="C351" s="49" t="n">
        <v>119911987</v>
      </c>
      <c r="D351" s="49" t="n">
        <v>120056216</v>
      </c>
      <c r="E351" s="49" t="n">
        <v>119806240</v>
      </c>
      <c r="F351" s="49" t="n">
        <v>0</v>
      </c>
      <c r="G351" s="50" t="n">
        <f aca="false">IF($A351="","",IF(ISNUMBER($G350),$G350+1,1))</f>
        <v>347</v>
      </c>
      <c r="H351" s="51" t="n">
        <f aca="false">IF(OR(NOT(ISNUMBER($G351)),$G351&lt;2,NOT(ISNUMBER($C350)),$C350=0),"",$C351/$C350-1)</f>
        <v>-0.0166497843652285</v>
      </c>
      <c r="I351" s="52" t="n">
        <f aca="false">IF(AND(ISNUMBER($G351),$G351&gt;=MA_SHORT),AVERAGE(INDEX($C$5:$C351,348-MA_SHORT):$C351),"")</f>
        <v>116447723.6</v>
      </c>
      <c r="J351" s="52" t="n">
        <f aca="false">IF(AND(ISNUMBER($G351),$G351&gt;=MA_MED),AVERAGE(INDEX($C$5:$C351,348-MA_MED):$C351),"")</f>
        <v>112115635.06</v>
      </c>
      <c r="K351" s="52" t="n">
        <f aca="false">IF(AND(ISNUMBER($G351),$G351&gt;=MA_LONG2),AVERAGE(INDEX($C$5:$C351,348-MA_LONG2):$C351),"")</f>
        <v>106156104.005</v>
      </c>
      <c r="L351" s="53" t="n">
        <f aca="false">IF(AND(ISNUMBER($G351),$G351&gt;=21),STDEV(INDEX($H$291:$H351,62-20):$H351)*SQRT(245),"")</f>
        <v>0.198251297548615</v>
      </c>
      <c r="M351" s="52" t="n">
        <f aca="false">IF(AND(ISNUMBER($G351),$G351&gt;=60),MAX(INDEX($D$151:$D351,202-60):$D351),"")</f>
        <v>122501686</v>
      </c>
      <c r="N351" s="52" t="n">
        <f aca="false">IF(AND(ISNUMBER($G351),$G351&gt;=60),MIN(INDEX($E$151:$E351,202-60):$E351),"")</f>
        <v>103805471</v>
      </c>
      <c r="O351" s="53" t="n">
        <f aca="false">IF(OR(NOT(ISNUMBER($C351)),NOT(ISNUMBER($M351)),$M351=0),"",$C351/$M351-1)</f>
        <v>-0.0211401090430706</v>
      </c>
      <c r="P351" s="54"/>
      <c r="Q351" s="53" t="str">
        <f aca="false">IF(NOT(ISNUMBER($P351)),"",IFERROR(PERCENTRANK($P$5:$P$1204,$P351),""))</f>
        <v/>
      </c>
    </row>
    <row r="352" customFormat="false" ht="15" hidden="false" customHeight="false" outlineLevel="0" collapsed="false">
      <c r="A352" s="47" t="n">
        <v>46055</v>
      </c>
      <c r="B352" s="48" t="s">
        <v>500</v>
      </c>
      <c r="C352" s="49" t="n">
        <v>123132474</v>
      </c>
      <c r="D352" s="49" t="n">
        <v>123440385</v>
      </c>
      <c r="E352" s="49" t="n">
        <v>122689102</v>
      </c>
      <c r="F352" s="49" t="n">
        <v>0</v>
      </c>
      <c r="G352" s="50" t="n">
        <f aca="false">IF($A352="","",IF(ISNUMBER($G351),$G351+1,1))</f>
        <v>348</v>
      </c>
      <c r="H352" s="51" t="n">
        <f aca="false">IF(OR(NOT(ISNUMBER($G352)),$G352&lt;2,NOT(ISNUMBER($C351)),$C351=0),"",$C352/$C351-1)</f>
        <v>0.0268570897753533</v>
      </c>
      <c r="I352" s="52" t="n">
        <f aca="false">IF(AND(ISNUMBER($G352),$G352&gt;=MA_SHORT),AVERAGE(INDEX($C$5:$C352,349-MA_SHORT):$C352),"")</f>
        <v>116901487</v>
      </c>
      <c r="J352" s="52" t="n">
        <f aca="false">IF(AND(ISNUMBER($G352),$G352&gt;=MA_MED),AVERAGE(INDEX($C$5:$C352,349-MA_MED):$C352),"")</f>
        <v>112386776.7</v>
      </c>
      <c r="K352" s="52" t="n">
        <f aca="false">IF(AND(ISNUMBER($G352),$G352&gt;=MA_LONG2),AVERAGE(INDEX($C$5:$C352,349-MA_LONG2):$C352),"")</f>
        <v>106291717.485</v>
      </c>
      <c r="L352" s="53" t="n">
        <f aca="false">IF(AND(ISNUMBER($G352),$G352&gt;=21),STDEV(INDEX($H$292:$H352,62-20):$H352)*SQRT(245),"")</f>
        <v>0.213146594625814</v>
      </c>
      <c r="M352" s="52" t="n">
        <f aca="false">IF(AND(ISNUMBER($G352),$G352&gt;=60),MAX(INDEX($D$152:$D352,202-60):$D352),"")</f>
        <v>123440385</v>
      </c>
      <c r="N352" s="52" t="n">
        <f aca="false">IF(AND(ISNUMBER($G352),$G352&gt;=60),MIN(INDEX($E$152:$E352,202-60):$E352),"")</f>
        <v>103805471</v>
      </c>
      <c r="O352" s="53" t="n">
        <f aca="false">IF(OR(NOT(ISNUMBER($C352)),NOT(ISNUMBER($M352)),$M352=0),"",$C352/$M352-1)</f>
        <v>-0.00249441056101696</v>
      </c>
      <c r="P352" s="54"/>
      <c r="Q352" s="53" t="str">
        <f aca="false">IF(NOT(ISNUMBER($P352)),"",IFERROR(PERCENTRANK($P$5:$P$1204,$P352),""))</f>
        <v/>
      </c>
    </row>
    <row r="353" customFormat="false" ht="15" hidden="false" customHeight="false" outlineLevel="0" collapsed="false">
      <c r="A353" s="47" t="n">
        <v>46056</v>
      </c>
      <c r="B353" s="48" t="s">
        <v>501</v>
      </c>
      <c r="C353" s="49" t="n">
        <v>124648510</v>
      </c>
      <c r="D353" s="49" t="n">
        <v>125063278</v>
      </c>
      <c r="E353" s="49" t="n">
        <v>124035785</v>
      </c>
      <c r="F353" s="49" t="n">
        <v>0</v>
      </c>
      <c r="G353" s="50" t="n">
        <f aca="false">IF($A353="","",IF(ISNUMBER($G352),$G352+1,1))</f>
        <v>349</v>
      </c>
      <c r="H353" s="51" t="n">
        <f aca="false">IF(OR(NOT(ISNUMBER($G353)),$G353&lt;2,NOT(ISNUMBER($C352)),$C352=0),"",$C353/$C352-1)</f>
        <v>0.0123122353571812</v>
      </c>
      <c r="I353" s="52" t="n">
        <f aca="false">IF(AND(ISNUMBER($G353),$G353&gt;=MA_SHORT),AVERAGE(INDEX($C$5:$C353,350-MA_SHORT):$C353),"")</f>
        <v>117476631.9</v>
      </c>
      <c r="J353" s="52" t="n">
        <f aca="false">IF(AND(ISNUMBER($G353),$G353&gt;=MA_MED),AVERAGE(INDEX($C$5:$C353,350-MA_MED):$C353),"")</f>
        <v>112703400.78</v>
      </c>
      <c r="K353" s="52" t="n">
        <f aca="false">IF(AND(ISNUMBER($G353),$G353&gt;=MA_LONG2),AVERAGE(INDEX($C$5:$C353,350-MA_LONG2):$C353),"")</f>
        <v>106424643.19</v>
      </c>
      <c r="L353" s="53" t="n">
        <f aca="false">IF(AND(ISNUMBER($G353),$G353&gt;=21),STDEV(INDEX($H$293:$H353,62-20):$H353)*SQRT(245),"")</f>
        <v>0.210338753795517</v>
      </c>
      <c r="M353" s="52" t="n">
        <f aca="false">IF(AND(ISNUMBER($G353),$G353&gt;=60),MAX(INDEX($D$153:$D353,202-60):$D353),"")</f>
        <v>125063278</v>
      </c>
      <c r="N353" s="52" t="n">
        <f aca="false">IF(AND(ISNUMBER($G353),$G353&gt;=60),MIN(INDEX($E$153:$E353,202-60):$E353),"")</f>
        <v>103805471</v>
      </c>
      <c r="O353" s="53" t="n">
        <f aca="false">IF(OR(NOT(ISNUMBER($C353)),NOT(ISNUMBER($M353)),$M353=0),"",$C353/$M353-1)</f>
        <v>-0.00331646512575823</v>
      </c>
      <c r="P353" s="54"/>
      <c r="Q353" s="53" t="str">
        <f aca="false">IF(NOT(ISNUMBER($P353)),"",IFERROR(PERCENTRANK($P$5:$P$1204,$P353),""))</f>
        <v/>
      </c>
    </row>
    <row r="354" customFormat="false" ht="15" hidden="false" customHeight="false" outlineLevel="0" collapsed="false">
      <c r="A354" s="47" t="n">
        <v>46057</v>
      </c>
      <c r="B354" s="48" t="s">
        <v>502</v>
      </c>
      <c r="C354" s="49" t="n">
        <v>124798264</v>
      </c>
      <c r="D354" s="49" t="n">
        <v>125130778</v>
      </c>
      <c r="E354" s="49" t="n">
        <v>123615945</v>
      </c>
      <c r="F354" s="49" t="n">
        <v>0</v>
      </c>
      <c r="G354" s="50" t="n">
        <f aca="false">IF($A354="","",IF(ISNUMBER($G353),$G353+1,1))</f>
        <v>350</v>
      </c>
      <c r="H354" s="51" t="n">
        <f aca="false">IF(OR(NOT(ISNUMBER($G354)),$G354&lt;2,NOT(ISNUMBER($C353)),$C353=0),"",$C354/$C353-1)</f>
        <v>0.00120141026956522</v>
      </c>
      <c r="I354" s="52" t="n">
        <f aca="false">IF(AND(ISNUMBER($G354),$G354&gt;=MA_SHORT),AVERAGE(INDEX($C$5:$C354,351-MA_SHORT):$C354),"")</f>
        <v>118177087.1</v>
      </c>
      <c r="J354" s="52" t="n">
        <f aca="false">IF(AND(ISNUMBER($G354),$G354&gt;=MA_MED),AVERAGE(INDEX($C$5:$C354,351-MA_MED):$C354),"")</f>
        <v>112992537.54</v>
      </c>
      <c r="K354" s="52" t="n">
        <f aca="false">IF(AND(ISNUMBER($G354),$G354&gt;=MA_LONG2),AVERAGE(INDEX($C$5:$C354,351-MA_LONG2):$C354),"")</f>
        <v>106566839.015</v>
      </c>
      <c r="L354" s="53" t="n">
        <f aca="false">IF(AND(ISNUMBER($G354),$G354&gt;=21),STDEV(INDEX($H$294:$H354,62-20):$H354)*SQRT(245),"")</f>
        <v>0.1885460684782</v>
      </c>
      <c r="M354" s="52" t="n">
        <f aca="false">IF(AND(ISNUMBER($G354),$G354&gt;=60),MAX(INDEX($D$154:$D354,202-60):$D354),"")</f>
        <v>125130778</v>
      </c>
      <c r="N354" s="52" t="n">
        <f aca="false">IF(AND(ISNUMBER($G354),$G354&gt;=60),MIN(INDEX($E$154:$E354,202-60):$E354),"")</f>
        <v>103805471</v>
      </c>
      <c r="O354" s="53" t="n">
        <f aca="false">IF(OR(NOT(ISNUMBER($C354)),NOT(ISNUMBER($M354)),$M354=0),"",$C354/$M354-1)</f>
        <v>-0.00265733183565753</v>
      </c>
      <c r="P354" s="54"/>
      <c r="Q354" s="53" t="str">
        <f aca="false">IF(NOT(ISNUMBER($P354)),"",IFERROR(PERCENTRANK($P$5:$P$1204,$P354),""))</f>
        <v/>
      </c>
    </row>
    <row r="355" customFormat="false" ht="15" hidden="false" customHeight="false" outlineLevel="0" collapsed="false">
      <c r="A355" s="47" t="n">
        <v>46060</v>
      </c>
      <c r="B355" s="48" t="s">
        <v>503</v>
      </c>
      <c r="C355" s="49" t="n">
        <v>123794217</v>
      </c>
      <c r="D355" s="49" t="n">
        <v>123911881</v>
      </c>
      <c r="E355" s="49" t="n">
        <v>123655204</v>
      </c>
      <c r="F355" s="49" t="n">
        <v>0</v>
      </c>
      <c r="G355" s="50" t="n">
        <f aca="false">IF($A355="","",IF(ISNUMBER($G354),$G354+1,1))</f>
        <v>351</v>
      </c>
      <c r="H355" s="51" t="n">
        <f aca="false">IF(OR(NOT(ISNUMBER($G355)),$G355&lt;2,NOT(ISNUMBER($C354)),$C354=0),"",$C355/$C354-1)</f>
        <v>-0.00804536031046077</v>
      </c>
      <c r="I355" s="52" t="n">
        <f aca="false">IF(AND(ISNUMBER($G355),$G355&gt;=MA_SHORT),AVERAGE(INDEX($C$5:$C355,352-MA_SHORT):$C355),"")</f>
        <v>118822261.85</v>
      </c>
      <c r="J355" s="52" t="n">
        <f aca="false">IF(AND(ISNUMBER($G355),$G355&gt;=MA_MED),AVERAGE(INDEX($C$5:$C355,352-MA_MED):$C355),"")</f>
        <v>113272283.24</v>
      </c>
      <c r="K355" s="52" t="n">
        <f aca="false">IF(AND(ISNUMBER($G355),$G355&gt;=MA_LONG2),AVERAGE(INDEX($C$5:$C355,352-MA_LONG2):$C355),"")</f>
        <v>106709724.335</v>
      </c>
      <c r="L355" s="53" t="n">
        <f aca="false">IF(AND(ISNUMBER($G355),$G355&gt;=21),STDEV(INDEX($H$295:$H355,62-20):$H355)*SQRT(245),"")</f>
        <v>0.194210156486466</v>
      </c>
      <c r="M355" s="52" t="n">
        <f aca="false">IF(AND(ISNUMBER($G355),$G355&gt;=60),MAX(INDEX($D$155:$D355,202-60):$D355),"")</f>
        <v>125130778</v>
      </c>
      <c r="N355" s="52" t="n">
        <f aca="false">IF(AND(ISNUMBER($G355),$G355&gt;=60),MIN(INDEX($E$155:$E355,202-60):$E355),"")</f>
        <v>103805471</v>
      </c>
      <c r="O355" s="53" t="n">
        <f aca="false">IF(OR(NOT(ISNUMBER($C355)),NOT(ISNUMBER($M355)),$M355=0),"",$C355/$M355-1)</f>
        <v>-0.010681312954036</v>
      </c>
      <c r="P355" s="54"/>
      <c r="Q355" s="53" t="str">
        <f aca="false">IF(NOT(ISNUMBER($P355)),"",IFERROR(PERCENTRANK($P$5:$P$1204,$P355),""))</f>
        <v/>
      </c>
    </row>
    <row r="356" customFormat="false" ht="15" hidden="false" customHeight="false" outlineLevel="0" collapsed="false">
      <c r="A356" s="47" t="n">
        <v>46061</v>
      </c>
      <c r="B356" s="48" t="s">
        <v>504</v>
      </c>
      <c r="C356" s="49" t="n">
        <v>123149191</v>
      </c>
      <c r="D356" s="49" t="n">
        <v>123682503</v>
      </c>
      <c r="E356" s="49" t="n">
        <v>123071564</v>
      </c>
      <c r="F356" s="49" t="n">
        <v>0</v>
      </c>
      <c r="G356" s="50" t="n">
        <f aca="false">IF($A356="","",IF(ISNUMBER($G355),$G355+1,1))</f>
        <v>352</v>
      </c>
      <c r="H356" s="51" t="n">
        <f aca="false">IF(OR(NOT(ISNUMBER($G356)),$G356&lt;2,NOT(ISNUMBER($C355)),$C355=0),"",$C356/$C355-1)</f>
        <v>-0.00521046956498783</v>
      </c>
      <c r="I356" s="52" t="n">
        <f aca="false">IF(AND(ISNUMBER($G356),$G356&gt;=MA_SHORT),AVERAGE(INDEX($C$5:$C356,353-MA_SHORT):$C356),"")</f>
        <v>119356906.4</v>
      </c>
      <c r="J356" s="52" t="n">
        <f aca="false">IF(AND(ISNUMBER($G356),$G356&gt;=MA_MED),AVERAGE(INDEX($C$5:$C356,353-MA_MED):$C356),"")</f>
        <v>113537949.86</v>
      </c>
      <c r="K356" s="52" t="n">
        <f aca="false">IF(AND(ISNUMBER($G356),$G356&gt;=MA_LONG2),AVERAGE(INDEX($C$5:$C356,353-MA_LONG2):$C356),"")</f>
        <v>106843642.945</v>
      </c>
      <c r="L356" s="53" t="n">
        <f aca="false">IF(AND(ISNUMBER($G356),$G356&gt;=21),STDEV(INDEX($H$296:$H356,62-20):$H356)*SQRT(245),"")</f>
        <v>0.195048302605432</v>
      </c>
      <c r="M356" s="52" t="n">
        <f aca="false">IF(AND(ISNUMBER($G356),$G356&gt;=60),MAX(INDEX($D$156:$D356,202-60):$D356),"")</f>
        <v>125130778</v>
      </c>
      <c r="N356" s="52" t="n">
        <f aca="false">IF(AND(ISNUMBER($G356),$G356&gt;=60),MIN(INDEX($E$156:$E356,202-60):$E356),"")</f>
        <v>103805471</v>
      </c>
      <c r="O356" s="53" t="n">
        <f aca="false">IF(OR(NOT(ISNUMBER($C356)),NOT(ISNUMBER($M356)),$M356=0),"",$C356/$M356-1)</f>
        <v>-0.0158361278629627</v>
      </c>
      <c r="P356" s="54"/>
      <c r="Q356" s="53" t="str">
        <f aca="false">IF(NOT(ISNUMBER($P356)),"",IFERROR(PERCENTRANK($P$5:$P$1204,$P356),""))</f>
        <v/>
      </c>
    </row>
    <row r="357" customFormat="false" ht="15" hidden="false" customHeight="false" outlineLevel="0" collapsed="false">
      <c r="A357" s="47" t="n">
        <v>46062</v>
      </c>
      <c r="B357" s="48" t="s">
        <v>505</v>
      </c>
      <c r="C357" s="49" t="n">
        <v>125728050</v>
      </c>
      <c r="D357" s="49" t="n">
        <v>126011789</v>
      </c>
      <c r="E357" s="49" t="n">
        <v>124802264</v>
      </c>
      <c r="F357" s="49" t="n">
        <v>0</v>
      </c>
      <c r="G357" s="50" t="n">
        <f aca="false">IF($A357="","",IF(ISNUMBER($G356),$G356+1,1))</f>
        <v>353</v>
      </c>
      <c r="H357" s="51" t="n">
        <f aca="false">IF(OR(NOT(ISNUMBER($G357)),$G357&lt;2,NOT(ISNUMBER($C356)),$C356=0),"",$C357/$C356-1)</f>
        <v>0.0209409333432</v>
      </c>
      <c r="I357" s="52" t="n">
        <f aca="false">IF(AND(ISNUMBER($G357),$G357&gt;=MA_SHORT),AVERAGE(INDEX($C$5:$C357,354-MA_SHORT):$C357),"")</f>
        <v>119999176.15</v>
      </c>
      <c r="J357" s="52" t="n">
        <f aca="false">IF(AND(ISNUMBER($G357),$G357&gt;=MA_MED),AVERAGE(INDEX($C$5:$C357,354-MA_MED):$C357),"")</f>
        <v>113863207.28</v>
      </c>
      <c r="K357" s="52" t="n">
        <f aca="false">IF(AND(ISNUMBER($G357),$G357&gt;=MA_LONG2),AVERAGE(INDEX($C$5:$C357,354-MA_LONG2):$C357),"")</f>
        <v>106997283.69</v>
      </c>
      <c r="L357" s="53" t="n">
        <f aca="false">IF(AND(ISNUMBER($G357),$G357&gt;=21),STDEV(INDEX($H$297:$H357,62-20):$H357)*SQRT(245),"")</f>
        <v>0.203169605585661</v>
      </c>
      <c r="M357" s="52" t="n">
        <f aca="false">IF(AND(ISNUMBER($G357),$G357&gt;=60),MAX(INDEX($D$157:$D357,202-60):$D357),"")</f>
        <v>126011789</v>
      </c>
      <c r="N357" s="52" t="n">
        <f aca="false">IF(AND(ISNUMBER($G357),$G357&gt;=60),MIN(INDEX($E$157:$E357,202-60):$E357),"")</f>
        <v>103805471</v>
      </c>
      <c r="O357" s="53" t="n">
        <f aca="false">IF(OR(NOT(ISNUMBER($C357)),NOT(ISNUMBER($M357)),$M357=0),"",$C357/$M357-1)</f>
        <v>-0.00225168614977767</v>
      </c>
      <c r="P357" s="54"/>
      <c r="Q357" s="53" t="str">
        <f aca="false">IF(NOT(ISNUMBER($P357)),"",IFERROR(PERCENTRANK($P$5:$P$1204,$P357),""))</f>
        <v/>
      </c>
    </row>
    <row r="358" customFormat="false" ht="15" hidden="false" customHeight="false" outlineLevel="0" collapsed="false">
      <c r="A358" s="47" t="n">
        <v>46063</v>
      </c>
      <c r="B358" s="48" t="s">
        <v>506</v>
      </c>
      <c r="C358" s="49" t="n">
        <v>122147001</v>
      </c>
      <c r="D358" s="49" t="n">
        <v>122735153</v>
      </c>
      <c r="E358" s="49" t="n">
        <v>121720276</v>
      </c>
      <c r="F358" s="49" t="n">
        <v>0</v>
      </c>
      <c r="G358" s="50" t="n">
        <f aca="false">IF($A358="","",IF(ISNUMBER($G357),$G357+1,1))</f>
        <v>354</v>
      </c>
      <c r="H358" s="51" t="n">
        <f aca="false">IF(OR(NOT(ISNUMBER($G358)),$G358&lt;2,NOT(ISNUMBER($C357)),$C357=0),"",$C358/$C357-1)</f>
        <v>-0.0284824985355296</v>
      </c>
      <c r="I358" s="52" t="n">
        <f aca="false">IF(AND(ISNUMBER($G358),$G358&gt;=MA_SHORT),AVERAGE(INDEX($C$5:$C358,355-MA_SHORT):$C358),"")</f>
        <v>120528818.75</v>
      </c>
      <c r="J358" s="52" t="n">
        <f aca="false">IF(AND(ISNUMBER($G358),$G358&gt;=MA_MED),AVERAGE(INDEX($C$5:$C358,355-MA_MED):$C358),"")</f>
        <v>114139353.54</v>
      </c>
      <c r="K358" s="52" t="n">
        <f aca="false">IF(AND(ISNUMBER($G358),$G358&gt;=MA_LONG2),AVERAGE(INDEX($C$5:$C358,355-MA_LONG2):$C358),"")</f>
        <v>107123657.525</v>
      </c>
      <c r="L358" s="53" t="n">
        <f aca="false">IF(AND(ISNUMBER($G358),$G358&gt;=21),STDEV(INDEX($H$298:$H358,62-20):$H358)*SQRT(245),"")</f>
        <v>0.228332800054024</v>
      </c>
      <c r="M358" s="52" t="n">
        <f aca="false">IF(AND(ISNUMBER($G358),$G358&gt;=60),MAX(INDEX($D$158:$D358,202-60):$D358),"")</f>
        <v>126011789</v>
      </c>
      <c r="N358" s="52" t="n">
        <f aca="false">IF(AND(ISNUMBER($G358),$G358&gt;=60),MIN(INDEX($E$158:$E358,202-60):$E358),"")</f>
        <v>103805471</v>
      </c>
      <c r="O358" s="53" t="n">
        <f aca="false">IF(OR(NOT(ISNUMBER($C358)),NOT(ISNUMBER($M358)),$M358=0),"",$C358/$M358-1)</f>
        <v>-0.0306700510378438</v>
      </c>
      <c r="P358" s="54"/>
      <c r="Q358" s="53" t="str">
        <f aca="false">IF(NOT(ISNUMBER($P358)),"",IFERROR(PERCENTRANK($P$5:$P$1204,$P358),""))</f>
        <v/>
      </c>
    </row>
    <row r="359" customFormat="false" ht="15" hidden="false" customHeight="false" outlineLevel="0" collapsed="false">
      <c r="A359" s="47" t="n">
        <v>46064</v>
      </c>
      <c r="B359" s="48" t="s">
        <v>507</v>
      </c>
      <c r="C359" s="49" t="n">
        <v>121139905</v>
      </c>
      <c r="D359" s="49" t="n">
        <v>121975697</v>
      </c>
      <c r="E359" s="49" t="n">
        <v>120471044</v>
      </c>
      <c r="F359" s="49" t="n">
        <v>0</v>
      </c>
      <c r="G359" s="50" t="n">
        <f aca="false">IF($A359="","",IF(ISNUMBER($G358),$G358+1,1))</f>
        <v>355</v>
      </c>
      <c r="H359" s="51" t="n">
        <f aca="false">IF(OR(NOT(ISNUMBER($G359)),$G359&lt;2,NOT(ISNUMBER($C358)),$C358=0),"",$C359/$C358-1)</f>
        <v>-0.00824495068855602</v>
      </c>
      <c r="I359" s="52" t="n">
        <f aca="false">IF(AND(ISNUMBER($G359),$G359&gt;=MA_SHORT),AVERAGE(INDEX($C$5:$C359,356-MA_SHORT):$C359),"")</f>
        <v>120952555.75</v>
      </c>
      <c r="J359" s="52" t="n">
        <f aca="false">IF(AND(ISNUMBER($G359),$G359&gt;=MA_MED),AVERAGE(INDEX($C$5:$C359,356-MA_MED):$C359),"")</f>
        <v>114394365.78</v>
      </c>
      <c r="K359" s="52" t="n">
        <f aca="false">IF(AND(ISNUMBER($G359),$G359&gt;=MA_LONG2),AVERAGE(INDEX($C$5:$C359,356-MA_LONG2):$C359),"")</f>
        <v>107244207.875</v>
      </c>
      <c r="L359" s="53" t="n">
        <f aca="false">IF(AND(ISNUMBER($G359),$G359&gt;=21),STDEV(INDEX($H$299:$H359,62-20):$H359)*SQRT(245),"")</f>
        <v>0.231735634965712</v>
      </c>
      <c r="M359" s="52" t="n">
        <f aca="false">IF(AND(ISNUMBER($G359),$G359&gt;=60),MAX(INDEX($D$159:$D359,202-60):$D359),"")</f>
        <v>126011789</v>
      </c>
      <c r="N359" s="52" t="n">
        <f aca="false">IF(AND(ISNUMBER($G359),$G359&gt;=60),MIN(INDEX($E$159:$E359,202-60):$E359),"")</f>
        <v>103805471</v>
      </c>
      <c r="O359" s="53" t="n">
        <f aca="false">IF(OR(NOT(ISNUMBER($C359)),NOT(ISNUMBER($M359)),$M359=0),"",$C359/$M359-1)</f>
        <v>-0.0386621286679773</v>
      </c>
      <c r="P359" s="54"/>
      <c r="Q359" s="53" t="str">
        <f aca="false">IF(NOT(ISNUMBER($P359)),"",IFERROR(PERCENTRANK($P$5:$P$1204,$P359),""))</f>
        <v/>
      </c>
    </row>
    <row r="360" customFormat="false" ht="15" hidden="false" customHeight="false" outlineLevel="0" collapsed="false">
      <c r="A360" s="47" t="n">
        <v>46067</v>
      </c>
      <c r="B360" s="48" t="s">
        <v>508</v>
      </c>
      <c r="C360" s="49" t="n">
        <v>118890490</v>
      </c>
      <c r="D360" s="49" t="n">
        <v>119874331</v>
      </c>
      <c r="E360" s="49" t="n">
        <v>118356160</v>
      </c>
      <c r="F360" s="49" t="n">
        <v>0</v>
      </c>
      <c r="G360" s="50" t="n">
        <f aca="false">IF($A360="","",IF(ISNUMBER($G359),$G359+1,1))</f>
        <v>356</v>
      </c>
      <c r="H360" s="51" t="n">
        <f aca="false">IF(OR(NOT(ISNUMBER($G360)),$G360&lt;2,NOT(ISNUMBER($C359)),$C359=0),"",$C360/$C359-1)</f>
        <v>-0.0185687367015849</v>
      </c>
      <c r="I360" s="52" t="n">
        <f aca="false">IF(AND(ISNUMBER($G360),$G360&gt;=MA_SHORT),AVERAGE(INDEX($C$5:$C360,357-MA_SHORT):$C360),"")</f>
        <v>121173335.85</v>
      </c>
      <c r="J360" s="52" t="n">
        <f aca="false">IF(AND(ISNUMBER($G360),$G360&gt;=MA_MED),AVERAGE(INDEX($C$5:$C360,357-MA_MED):$C360),"")</f>
        <v>114612461.14</v>
      </c>
      <c r="K360" s="52" t="n">
        <f aca="false">IF(AND(ISNUMBER($G360),$G360&gt;=MA_LONG2),AVERAGE(INDEX($C$5:$C360,357-MA_LONG2):$C360),"")</f>
        <v>107356968.635</v>
      </c>
      <c r="L360" s="53" t="n">
        <f aca="false">IF(AND(ISNUMBER($G360),$G360&gt;=21),STDEV(INDEX($H$300:$H360,62-20):$H360)*SQRT(245),"")</f>
        <v>0.23955079065138</v>
      </c>
      <c r="M360" s="52" t="n">
        <f aca="false">IF(AND(ISNUMBER($G360),$G360&gt;=60),MAX(INDEX($D$160:$D360,202-60):$D360),"")</f>
        <v>126011789</v>
      </c>
      <c r="N360" s="52" t="n">
        <f aca="false">IF(AND(ISNUMBER($G360),$G360&gt;=60),MIN(INDEX($E$160:$E360,202-60):$E360),"")</f>
        <v>103805471</v>
      </c>
      <c r="O360" s="53" t="n">
        <f aca="false">IF(OR(NOT(ISNUMBER($C360)),NOT(ISNUMBER($M360)),$M360=0),"",$C360/$M360-1)</f>
        <v>-0.0565129584820037</v>
      </c>
      <c r="P360" s="54"/>
      <c r="Q360" s="53" t="str">
        <f aca="false">IF(NOT(ISNUMBER($P360)),"",IFERROR(PERCENTRANK($P$5:$P$1204,$P360),""))</f>
        <v/>
      </c>
    </row>
    <row r="361" customFormat="false" ht="15" hidden="false" customHeight="false" outlineLevel="0" collapsed="false">
      <c r="A361" s="47" t="n">
        <v>46068</v>
      </c>
      <c r="B361" s="48" t="s">
        <v>509</v>
      </c>
      <c r="C361" s="49" t="n">
        <v>120286178</v>
      </c>
      <c r="D361" s="49" t="n">
        <v>121010731</v>
      </c>
      <c r="E361" s="49" t="n">
        <v>120053649</v>
      </c>
      <c r="F361" s="49" t="n">
        <v>0</v>
      </c>
      <c r="G361" s="50" t="n">
        <f aca="false">IF($A361="","",IF(ISNUMBER($G360),$G360+1,1))</f>
        <v>357</v>
      </c>
      <c r="H361" s="51" t="n">
        <f aca="false">IF(OR(NOT(ISNUMBER($G361)),$G361&lt;2,NOT(ISNUMBER($C360)),$C360=0),"",$C361/$C360-1)</f>
        <v>0.0117392736795012</v>
      </c>
      <c r="I361" s="52" t="n">
        <f aca="false">IF(AND(ISNUMBER($G361),$G361&gt;=MA_SHORT),AVERAGE(INDEX($C$5:$C361,358-MA_SHORT):$C361),"")</f>
        <v>121283459.35</v>
      </c>
      <c r="J361" s="52" t="n">
        <f aca="false">IF(AND(ISNUMBER($G361),$G361&gt;=MA_MED),AVERAGE(INDEX($C$5:$C361,358-MA_MED):$C361),"")</f>
        <v>114848260.46</v>
      </c>
      <c r="K361" s="52" t="n">
        <f aca="false">IF(AND(ISNUMBER($G361),$G361&gt;=MA_LONG2),AVERAGE(INDEX($C$5:$C361,358-MA_LONG2):$C361),"")</f>
        <v>107469960.65</v>
      </c>
      <c r="L361" s="53" t="n">
        <f aca="false">IF(AND(ISNUMBER($G361),$G361&gt;=21),STDEV(INDEX($H$301:$H361,62-20):$H361)*SQRT(245),"")</f>
        <v>0.217065105296995</v>
      </c>
      <c r="M361" s="52" t="n">
        <f aca="false">IF(AND(ISNUMBER($G361),$G361&gt;=60),MAX(INDEX($D$161:$D361,202-60):$D361),"")</f>
        <v>126011789</v>
      </c>
      <c r="N361" s="52" t="n">
        <f aca="false">IF(AND(ISNUMBER($G361),$G361&gt;=60),MIN(INDEX($E$161:$E361,202-60):$E361),"")</f>
        <v>103805471</v>
      </c>
      <c r="O361" s="53" t="n">
        <f aca="false">IF(OR(NOT(ISNUMBER($C361)),NOT(ISNUMBER($M361)),$M361=0),"",$C361/$M361-1)</f>
        <v>-0.045437105888561</v>
      </c>
      <c r="P361" s="54"/>
      <c r="Q361" s="53" t="str">
        <f aca="false">IF(NOT(ISNUMBER($P361)),"",IFERROR(PERCENTRANK($P$5:$P$1204,$P361),""))</f>
        <v/>
      </c>
    </row>
    <row r="362" customFormat="false" ht="15" hidden="false" customHeight="false" outlineLevel="0" collapsed="false">
      <c r="A362" s="47" t="n">
        <v>46069</v>
      </c>
      <c r="B362" s="48" t="s">
        <v>510</v>
      </c>
      <c r="C362" s="49" t="n">
        <v>117168671</v>
      </c>
      <c r="D362" s="49" t="n">
        <v>117680690</v>
      </c>
      <c r="E362" s="49" t="n">
        <v>116559069</v>
      </c>
      <c r="F362" s="49" t="n">
        <v>0</v>
      </c>
      <c r="G362" s="50" t="n">
        <f aca="false">IF($A362="","",IF(ISNUMBER($G361),$G361+1,1))</f>
        <v>358</v>
      </c>
      <c r="H362" s="51" t="n">
        <f aca="false">IF(OR(NOT(ISNUMBER($G362)),$G362&lt;2,NOT(ISNUMBER($C361)),$C361=0),"",$C362/$C361-1)</f>
        <v>-0.0259174167126667</v>
      </c>
      <c r="I362" s="52" t="n">
        <f aca="false">IF(AND(ISNUMBER($G362),$G362&gt;=MA_SHORT),AVERAGE(INDEX($C$5:$C362,359-MA_SHORT):$C362),"")</f>
        <v>121180831.6</v>
      </c>
      <c r="J362" s="52" t="n">
        <f aca="false">IF(AND(ISNUMBER($G362),$G362&gt;=MA_MED),AVERAGE(INDEX($C$5:$C362,359-MA_MED):$C362),"")</f>
        <v>115085855.66</v>
      </c>
      <c r="K362" s="52" t="n">
        <f aca="false">IF(AND(ISNUMBER($G362),$G362&gt;=MA_LONG2),AVERAGE(INDEX($C$5:$C362,359-MA_LONG2):$C362),"")</f>
        <v>107559551.335</v>
      </c>
      <c r="L362" s="53" t="n">
        <f aca="false">IF(AND(ISNUMBER($G362),$G362&gt;=21),STDEV(INDEX($H$302:$H362,62-20):$H362)*SQRT(245),"")</f>
        <v>0.233877648610522</v>
      </c>
      <c r="M362" s="52" t="n">
        <f aca="false">IF(AND(ISNUMBER($G362),$G362&gt;=60),MAX(INDEX($D$162:$D362,202-60):$D362),"")</f>
        <v>126011789</v>
      </c>
      <c r="N362" s="52" t="n">
        <f aca="false">IF(AND(ISNUMBER($G362),$G362&gt;=60),MIN(INDEX($E$162:$E362,202-60):$E362),"")</f>
        <v>103805471</v>
      </c>
      <c r="O362" s="53" t="n">
        <f aca="false">IF(OR(NOT(ISNUMBER($C362)),NOT(ISNUMBER($M362)),$M362=0),"",$C362/$M362-1)</f>
        <v>-0.0701769101936962</v>
      </c>
      <c r="P362" s="54"/>
      <c r="Q362" s="53" t="str">
        <f aca="false">IF(NOT(ISNUMBER($P362)),"",IFERROR(PERCENTRANK($P$5:$P$1204,$P362),""))</f>
        <v/>
      </c>
    </row>
    <row r="363" customFormat="false" ht="15" hidden="false" customHeight="false" outlineLevel="0" collapsed="false">
      <c r="A363" s="47" t="n">
        <v>46070</v>
      </c>
      <c r="B363" s="48" t="s">
        <v>511</v>
      </c>
      <c r="C363" s="49" t="n">
        <v>118777528</v>
      </c>
      <c r="D363" s="49" t="n">
        <v>118793624</v>
      </c>
      <c r="E363" s="49" t="n">
        <v>118727291</v>
      </c>
      <c r="F363" s="49" t="n">
        <v>0</v>
      </c>
      <c r="G363" s="50" t="n">
        <f aca="false">IF($A363="","",IF(ISNUMBER($G362),$G362+1,1))</f>
        <v>359</v>
      </c>
      <c r="H363" s="51" t="n">
        <f aca="false">IF(OR(NOT(ISNUMBER($G363)),$G363&lt;2,NOT(ISNUMBER($C362)),$C362=0),"",$C363/$C362-1)</f>
        <v>0.0137311193023604</v>
      </c>
      <c r="I363" s="52" t="n">
        <f aca="false">IF(AND(ISNUMBER($G363),$G363&gt;=MA_SHORT),AVERAGE(INDEX($C$5:$C363,360-MA_SHORT):$C363),"")</f>
        <v>121117787.55</v>
      </c>
      <c r="J363" s="52" t="n">
        <f aca="false">IF(AND(ISNUMBER($G363),$G363&gt;=MA_MED),AVERAGE(INDEX($C$5:$C363,360-MA_MED):$C363),"")</f>
        <v>115381564.38</v>
      </c>
      <c r="K363" s="52" t="n">
        <f aca="false">IF(AND(ISNUMBER($G363),$G363&gt;=MA_LONG2),AVERAGE(INDEX($C$5:$C363,360-MA_LONG2):$C363),"")</f>
        <v>107652651.645</v>
      </c>
      <c r="L363" s="53" t="n">
        <f aca="false">IF(AND(ISNUMBER($G363),$G363&gt;=21),STDEV(INDEX($H$303:$H363,62-20):$H363)*SQRT(245),"")</f>
        <v>0.23796794537712</v>
      </c>
      <c r="M363" s="52" t="n">
        <f aca="false">IF(AND(ISNUMBER($G363),$G363&gt;=60),MAX(INDEX($D$163:$D363,202-60):$D363),"")</f>
        <v>126011789</v>
      </c>
      <c r="N363" s="52" t="n">
        <f aca="false">IF(AND(ISNUMBER($G363),$G363&gt;=60),MIN(INDEX($E$163:$E363,202-60):$E363),"")</f>
        <v>103805471</v>
      </c>
      <c r="O363" s="53" t="n">
        <f aca="false">IF(OR(NOT(ISNUMBER($C363)),NOT(ISNUMBER($M363)),$M363=0),"",$C363/$M363-1)</f>
        <v>-0.0574093984174766</v>
      </c>
      <c r="P363" s="54"/>
      <c r="Q363" s="53" t="str">
        <f aca="false">IF(NOT(ISNUMBER($P363)),"",IFERROR(PERCENTRANK($P$5:$P$1204,$P363),""))</f>
        <v/>
      </c>
    </row>
    <row r="364" customFormat="false" ht="15" hidden="false" customHeight="false" outlineLevel="0" collapsed="false">
      <c r="A364" s="47" t="n">
        <v>46071</v>
      </c>
      <c r="B364" s="48" t="s">
        <v>512</v>
      </c>
      <c r="C364" s="49" t="n">
        <v>120022736</v>
      </c>
      <c r="D364" s="49" t="n">
        <v>120520320</v>
      </c>
      <c r="E364" s="49" t="n">
        <v>119731135</v>
      </c>
      <c r="F364" s="49" t="n">
        <v>0</v>
      </c>
      <c r="G364" s="50" t="n">
        <f aca="false">IF($A364="","",IF(ISNUMBER($G363),$G363+1,1))</f>
        <v>360</v>
      </c>
      <c r="H364" s="51" t="n">
        <f aca="false">IF(OR(NOT(ISNUMBER($G364)),$G364&lt;2,NOT(ISNUMBER($C363)),$C363=0),"",$C364/$C363-1)</f>
        <v>0.010483531868082</v>
      </c>
      <c r="I364" s="52" t="n">
        <f aca="false">IF(AND(ISNUMBER($G364),$G364&gt;=MA_SHORT),AVERAGE(INDEX($C$5:$C364,361-MA_SHORT):$C364),"")</f>
        <v>121109837.8</v>
      </c>
      <c r="J364" s="52" t="n">
        <f aca="false">IF(AND(ISNUMBER($G364),$G364&gt;=MA_MED),AVERAGE(INDEX($C$5:$C364,361-MA_MED):$C364),"")</f>
        <v>115683641.64</v>
      </c>
      <c r="K364" s="52" t="n">
        <f aca="false">IF(AND(ISNUMBER($G364),$G364&gt;=MA_LONG2),AVERAGE(INDEX($C$5:$C364,361-MA_LONG2):$C364),"")</f>
        <v>107754582.52</v>
      </c>
      <c r="L364" s="53" t="n">
        <f aca="false">IF(AND(ISNUMBER($G364),$G364&gt;=21),STDEV(INDEX($H$304:$H364,62-20):$H364)*SQRT(245),"")</f>
        <v>0.240981344718538</v>
      </c>
      <c r="M364" s="52" t="n">
        <f aca="false">IF(AND(ISNUMBER($G364),$G364&gt;=60),MAX(INDEX($D$164:$D364,202-60):$D364),"")</f>
        <v>126011789</v>
      </c>
      <c r="N364" s="52" t="n">
        <f aca="false">IF(AND(ISNUMBER($G364),$G364&gt;=60),MIN(INDEX($E$164:$E364,202-60):$E364),"")</f>
        <v>103805471</v>
      </c>
      <c r="O364" s="53" t="n">
        <f aca="false">IF(OR(NOT(ISNUMBER($C364)),NOT(ISNUMBER($M364)),$M364=0),"",$C364/$M364-1)</f>
        <v>-0.0475277198072317</v>
      </c>
      <c r="P364" s="54"/>
      <c r="Q364" s="53" t="str">
        <f aca="false">IF(NOT(ISNUMBER($P364)),"",IFERROR(PERCENTRANK($P$5:$P$1204,$P364),""))</f>
        <v/>
      </c>
    </row>
    <row r="365" customFormat="false" ht="15" hidden="false" customHeight="false" outlineLevel="0" collapsed="false">
      <c r="A365" s="47" t="n">
        <v>46074</v>
      </c>
      <c r="B365" s="48" t="s">
        <v>513</v>
      </c>
      <c r="C365" s="49" t="n">
        <v>120465022</v>
      </c>
      <c r="D365" s="49" t="n">
        <v>120588084</v>
      </c>
      <c r="E365" s="49" t="n">
        <v>119838628</v>
      </c>
      <c r="F365" s="49" t="n">
        <v>0</v>
      </c>
      <c r="G365" s="50" t="n">
        <f aca="false">IF($A365="","",IF(ISNUMBER($G364),$G364+1,1))</f>
        <v>361</v>
      </c>
      <c r="H365" s="51" t="n">
        <f aca="false">IF(OR(NOT(ISNUMBER($G365)),$G365&lt;2,NOT(ISNUMBER($C364)),$C364=0),"",$C365/$C364-1)</f>
        <v>0.00368501847849889</v>
      </c>
      <c r="I365" s="52" t="n">
        <f aca="false">IF(AND(ISNUMBER($G365),$G365&gt;=MA_SHORT),AVERAGE(INDEX($C$5:$C365,362-MA_SHORT):$C365),"")</f>
        <v>121159479.05</v>
      </c>
      <c r="J365" s="52" t="n">
        <f aca="false">IF(AND(ISNUMBER($G365),$G365&gt;=MA_MED),AVERAGE(INDEX($C$5:$C365,362-MA_MED):$C365),"")</f>
        <v>115979146.42</v>
      </c>
      <c r="K365" s="52" t="n">
        <f aca="false">IF(AND(ISNUMBER($G365),$G365&gt;=MA_LONG2),AVERAGE(INDEX($C$5:$C365,362-MA_LONG2):$C365),"")</f>
        <v>107857657.995</v>
      </c>
      <c r="L365" s="53" t="n">
        <f aca="false">IF(AND(ISNUMBER($G365),$G365&gt;=21),STDEV(INDEX($H$305:$H365,62-20):$H365)*SQRT(245),"")</f>
        <v>0.240264103596912</v>
      </c>
      <c r="M365" s="52" t="n">
        <f aca="false">IF(AND(ISNUMBER($G365),$G365&gt;=60),MAX(INDEX($D$165:$D365,202-60):$D365),"")</f>
        <v>126011789</v>
      </c>
      <c r="N365" s="52" t="n">
        <f aca="false">IF(AND(ISNUMBER($G365),$G365&gt;=60),MIN(INDEX($E$165:$E365,202-60):$E365),"")</f>
        <v>103805471</v>
      </c>
      <c r="O365" s="53" t="n">
        <f aca="false">IF(OR(NOT(ISNUMBER($C365)),NOT(ISNUMBER($M365)),$M365=0),"",$C365/$M365-1)</f>
        <v>-0.0440178418544633</v>
      </c>
      <c r="P365" s="54"/>
      <c r="Q365" s="53" t="str">
        <f aca="false">IF(NOT(ISNUMBER($P365)),"",IFERROR(PERCENTRANK($P$5:$P$1204,$P365),""))</f>
        <v/>
      </c>
    </row>
    <row r="366" customFormat="false" ht="15" hidden="false" customHeight="false" outlineLevel="0" collapsed="false">
      <c r="A366" s="47" t="n">
        <v>46075</v>
      </c>
      <c r="B366" s="48" t="s">
        <v>514</v>
      </c>
      <c r="C366" s="49" t="n">
        <v>118773595</v>
      </c>
      <c r="D366" s="49" t="n">
        <v>118838985</v>
      </c>
      <c r="E366" s="49" t="n">
        <v>118651593</v>
      </c>
      <c r="F366" s="49" t="n">
        <v>0</v>
      </c>
      <c r="G366" s="50" t="n">
        <f aca="false">IF($A366="","",IF(ISNUMBER($G365),$G365+1,1))</f>
        <v>362</v>
      </c>
      <c r="H366" s="51" t="n">
        <f aca="false">IF(OR(NOT(ISNUMBER($G366)),$G366&lt;2,NOT(ISNUMBER($C365)),$C365=0),"",$C366/$C365-1)</f>
        <v>-0.0140408142705524</v>
      </c>
      <c r="I366" s="52" t="n">
        <f aca="false">IF(AND(ISNUMBER($G366),$G366&gt;=MA_SHORT),AVERAGE(INDEX($C$5:$C366,363-MA_SHORT):$C366),"")</f>
        <v>121186293.6</v>
      </c>
      <c r="J366" s="52" t="n">
        <f aca="false">IF(AND(ISNUMBER($G366),$G366&gt;=MA_MED),AVERAGE(INDEX($C$5:$C366,363-MA_MED):$C366),"")</f>
        <v>116216470.86</v>
      </c>
      <c r="K366" s="52" t="n">
        <f aca="false">IF(AND(ISNUMBER($G366),$G366&gt;=MA_LONG2),AVERAGE(INDEX($C$5:$C366,363-MA_LONG2):$C366),"")</f>
        <v>107951812.63</v>
      </c>
      <c r="L366" s="53" t="n">
        <f aca="false">IF(AND(ISNUMBER($G366),$G366&gt;=21),STDEV(INDEX($H$306:$H366,62-20):$H366)*SQRT(245),"")</f>
        <v>0.242760654876912</v>
      </c>
      <c r="M366" s="52" t="n">
        <f aca="false">IF(AND(ISNUMBER($G366),$G366&gt;=60),MAX(INDEX($D$166:$D366,202-60):$D366),"")</f>
        <v>126011789</v>
      </c>
      <c r="N366" s="52" t="n">
        <f aca="false">IF(AND(ISNUMBER($G366),$G366&gt;=60),MIN(INDEX($E$166:$E366,202-60):$E366),"")</f>
        <v>103805471</v>
      </c>
      <c r="O366" s="53" t="n">
        <f aca="false">IF(OR(NOT(ISNUMBER($C366)),NOT(ISNUMBER($M366)),$M366=0),"",$C366/$M366-1)</f>
        <v>-0.0574406097829466</v>
      </c>
      <c r="P366" s="54"/>
      <c r="Q366" s="53" t="str">
        <f aca="false">IF(NOT(ISNUMBER($P366)),"",IFERROR(PERCENTRANK($P$5:$P$1204,$P366),""))</f>
        <v/>
      </c>
    </row>
    <row r="367" customFormat="false" ht="15" hidden="false" customHeight="false" outlineLevel="0" collapsed="false">
      <c r="A367" s="47" t="n">
        <v>46076</v>
      </c>
      <c r="B367" s="48" t="s">
        <v>515</v>
      </c>
      <c r="C367" s="49" t="n">
        <v>119868786</v>
      </c>
      <c r="D367" s="49" t="n">
        <v>120197059</v>
      </c>
      <c r="E367" s="49" t="n">
        <v>119083294</v>
      </c>
      <c r="F367" s="49" t="n">
        <v>0</v>
      </c>
      <c r="G367" s="50" t="n">
        <f aca="false">IF($A367="","",IF(ISNUMBER($G366),$G366+1,1))</f>
        <v>363</v>
      </c>
      <c r="H367" s="51" t="n">
        <f aca="false">IF(OR(NOT(ISNUMBER($G367)),$G367&lt;2,NOT(ISNUMBER($C366)),$C366=0),"",$C367/$C366-1)</f>
        <v>0.00922082892245535</v>
      </c>
      <c r="I367" s="52" t="n">
        <f aca="false">IF(AND(ISNUMBER($G367),$G367&gt;=MA_SHORT),AVERAGE(INDEX($C$5:$C367,364-MA_SHORT):$C367),"")</f>
        <v>121270448.85</v>
      </c>
      <c r="J367" s="52" t="n">
        <f aca="false">IF(AND(ISNUMBER($G367),$G367&gt;=MA_MED),AVERAGE(INDEX($C$5:$C367,364-MA_MED):$C367),"")</f>
        <v>116482338.56</v>
      </c>
      <c r="K367" s="52" t="n">
        <f aca="false">IF(AND(ISNUMBER($G367),$G367&gt;=MA_LONG2),AVERAGE(INDEX($C$5:$C367,364-MA_LONG2):$C367),"")</f>
        <v>108043111.11</v>
      </c>
      <c r="L367" s="53" t="n">
        <f aca="false">IF(AND(ISNUMBER($G367),$G367&gt;=21),STDEV(INDEX($H$307:$H367,62-20):$H367)*SQRT(245),"")</f>
        <v>0.24470718097966</v>
      </c>
      <c r="M367" s="52" t="n">
        <f aca="false">IF(AND(ISNUMBER($G367),$G367&gt;=60),MAX(INDEX($D$167:$D367,202-60):$D367),"")</f>
        <v>126011789</v>
      </c>
      <c r="N367" s="52" t="n">
        <f aca="false">IF(AND(ISNUMBER($G367),$G367&gt;=60),MIN(INDEX($E$167:$E367,202-60):$E367),"")</f>
        <v>103805471</v>
      </c>
      <c r="O367" s="53" t="n">
        <f aca="false">IF(OR(NOT(ISNUMBER($C367)),NOT(ISNUMBER($M367)),$M367=0),"",$C367/$M367-1)</f>
        <v>-0.0487494308965013</v>
      </c>
      <c r="P367" s="54"/>
      <c r="Q367" s="53" t="str">
        <f aca="false">IF(NOT(ISNUMBER($P367)),"",IFERROR(PERCENTRANK($P$5:$P$1204,$P367),""))</f>
        <v/>
      </c>
    </row>
    <row r="368" customFormat="false" ht="15" hidden="false" customHeight="false" outlineLevel="0" collapsed="false">
      <c r="A368" s="47" t="n">
        <v>46077</v>
      </c>
      <c r="B368" s="48" t="s">
        <v>516</v>
      </c>
      <c r="C368" s="49" t="n">
        <v>122160230</v>
      </c>
      <c r="D368" s="49" t="n">
        <v>122574606</v>
      </c>
      <c r="E368" s="49" t="n">
        <v>121581165</v>
      </c>
      <c r="F368" s="49" t="n">
        <v>0</v>
      </c>
      <c r="G368" s="50" t="n">
        <f aca="false">IF($A368="","",IF(ISNUMBER($G367),$G367+1,1))</f>
        <v>364</v>
      </c>
      <c r="H368" s="51" t="n">
        <f aca="false">IF(OR(NOT(ISNUMBER($G368)),$G368&lt;2,NOT(ISNUMBER($C367)),$C367=0),"",$C368/$C367-1)</f>
        <v>0.0191162693513889</v>
      </c>
      <c r="I368" s="52" t="n">
        <f aca="false">IF(AND(ISNUMBER($G368),$G368&gt;=MA_SHORT),AVERAGE(INDEX($C$5:$C368,365-MA_SHORT):$C368),"")</f>
        <v>121394467</v>
      </c>
      <c r="J368" s="52" t="n">
        <f aca="false">IF(AND(ISNUMBER($G368),$G368&gt;=MA_MED),AVERAGE(INDEX($C$5:$C368,365-MA_MED):$C368),"")</f>
        <v>116766735.44</v>
      </c>
      <c r="K368" s="52" t="n">
        <f aca="false">IF(AND(ISNUMBER($G368),$G368&gt;=MA_LONG2),AVERAGE(INDEX($C$5:$C368,365-MA_LONG2):$C368),"")</f>
        <v>108141000</v>
      </c>
      <c r="L368" s="53" t="n">
        <f aca="false">IF(AND(ISNUMBER($G368),$G368&gt;=21),STDEV(INDEX($H$308:$H368,62-20):$H368)*SQRT(245),"")</f>
        <v>0.249736140374916</v>
      </c>
      <c r="M368" s="52" t="n">
        <f aca="false">IF(AND(ISNUMBER($G368),$G368&gt;=60),MAX(INDEX($D$168:$D368,202-60):$D368),"")</f>
        <v>126011789</v>
      </c>
      <c r="N368" s="52" t="n">
        <f aca="false">IF(AND(ISNUMBER($G368),$G368&gt;=60),MIN(INDEX($E$168:$E368,202-60):$E368),"")</f>
        <v>103805471</v>
      </c>
      <c r="O368" s="53" t="n">
        <f aca="false">IF(OR(NOT(ISNUMBER($C368)),NOT(ISNUMBER($M368)),$M368=0),"",$C368/$M368-1)</f>
        <v>-0.0305650687968568</v>
      </c>
      <c r="P368" s="54"/>
      <c r="Q368" s="53" t="str">
        <f aca="false">IF(NOT(ISNUMBER($P368)),"",IFERROR(PERCENTRANK($P$5:$P$1204,$P368),""))</f>
        <v/>
      </c>
    </row>
    <row r="369" customFormat="false" ht="15" hidden="false" customHeight="false" outlineLevel="0" collapsed="false">
      <c r="A369" s="47" t="n">
        <v>46078</v>
      </c>
      <c r="B369" s="48" t="s">
        <v>517</v>
      </c>
      <c r="C369" s="49" t="n">
        <v>120827435</v>
      </c>
      <c r="D369" s="49" t="n">
        <v>121316284</v>
      </c>
      <c r="E369" s="49" t="n">
        <v>120519068</v>
      </c>
      <c r="F369" s="49" t="n">
        <v>0</v>
      </c>
      <c r="G369" s="50" t="n">
        <f aca="false">IF($A369="","",IF(ISNUMBER($G368),$G368+1,1))</f>
        <v>365</v>
      </c>
      <c r="H369" s="51" t="n">
        <f aca="false">IF(OR(NOT(ISNUMBER($G369)),$G369&lt;2,NOT(ISNUMBER($C368)),$C368=0),"",$C369/$C368-1)</f>
        <v>-0.0109102201264684</v>
      </c>
      <c r="I369" s="52" t="n">
        <f aca="false">IF(AND(ISNUMBER($G369),$G369&gt;=MA_SHORT),AVERAGE(INDEX($C$5:$C369,366-MA_SHORT):$C369),"")</f>
        <v>121381628.5</v>
      </c>
      <c r="J369" s="52" t="n">
        <f aca="false">IF(AND(ISNUMBER($G369),$G369&gt;=MA_MED),AVERAGE(INDEX($C$5:$C369,366-MA_MED):$C369),"")</f>
        <v>117042721.18</v>
      </c>
      <c r="K369" s="52" t="n">
        <f aca="false">IF(AND(ISNUMBER($G369),$G369&gt;=MA_LONG2),AVERAGE(INDEX($C$5:$C369,366-MA_LONG2):$C369),"")</f>
        <v>108233394.74</v>
      </c>
      <c r="L369" s="53" t="n">
        <f aca="false">IF(AND(ISNUMBER($G369),$G369&gt;=21),STDEV(INDEX($H$309:$H369,62-20):$H369)*SQRT(245),"")</f>
        <v>0.249934089440243</v>
      </c>
      <c r="M369" s="52" t="n">
        <f aca="false">IF(AND(ISNUMBER($G369),$G369&gt;=60),MAX(INDEX($D$169:$D369,202-60):$D369),"")</f>
        <v>126011789</v>
      </c>
      <c r="N369" s="52" t="n">
        <f aca="false">IF(AND(ISNUMBER($G369),$G369&gt;=60),MIN(INDEX($E$169:$E369,202-60):$E369),"")</f>
        <v>103805471</v>
      </c>
      <c r="O369" s="53" t="n">
        <f aca="false">IF(OR(NOT(ISNUMBER($C369)),NOT(ISNUMBER($M369)),$M369=0),"",$C369/$M369-1)</f>
        <v>-0.0411418172945708</v>
      </c>
      <c r="P369" s="54"/>
      <c r="Q369" s="53" t="str">
        <f aca="false">IF(NOT(ISNUMBER($P369)),"",IFERROR(PERCENTRANK($P$5:$P$1204,$P369),""))</f>
        <v/>
      </c>
    </row>
    <row r="370" customFormat="false" ht="15" hidden="false" customHeight="false" outlineLevel="0" collapsed="false">
      <c r="A370" s="47" t="n">
        <v>46081</v>
      </c>
      <c r="B370" s="48" t="s">
        <v>518</v>
      </c>
      <c r="C370" s="49" t="n">
        <v>121254925</v>
      </c>
      <c r="D370" s="49" t="n">
        <v>121805512</v>
      </c>
      <c r="E370" s="49" t="n">
        <v>121037578</v>
      </c>
      <c r="F370" s="49" t="n">
        <v>0</v>
      </c>
      <c r="G370" s="50" t="n">
        <f aca="false">IF($A370="","",IF(ISNUMBER($G369),$G369+1,1))</f>
        <v>366</v>
      </c>
      <c r="H370" s="51" t="n">
        <f aca="false">IF(OR(NOT(ISNUMBER($G370)),$G370&lt;2,NOT(ISNUMBER($C369)),$C369=0),"",$C370/$C369-1)</f>
        <v>0.00353802098008615</v>
      </c>
      <c r="I370" s="52" t="n">
        <f aca="false">IF(AND(ISNUMBER($G370),$G370&gt;=MA_SHORT),AVERAGE(INDEX($C$5:$C370,367-MA_SHORT):$C370),"")</f>
        <v>121347259.75</v>
      </c>
      <c r="J370" s="52" t="n">
        <f aca="false">IF(AND(ISNUMBER($G370),$G370&gt;=MA_MED),AVERAGE(INDEX($C$5:$C370,367-MA_MED):$C370),"")</f>
        <v>117279601.3</v>
      </c>
      <c r="K370" s="52" t="n">
        <f aca="false">IF(AND(ISNUMBER($G370),$G370&gt;=MA_LONG2),AVERAGE(INDEX($C$5:$C370,367-MA_LONG2):$C370),"")</f>
        <v>108337642.745</v>
      </c>
      <c r="L370" s="53" t="n">
        <f aca="false">IF(AND(ISNUMBER($G370),$G370&gt;=21),STDEV(INDEX($H$310:$H370,62-20):$H370)*SQRT(245),"")</f>
        <v>0.24894603958786</v>
      </c>
      <c r="M370" s="52" t="n">
        <f aca="false">IF(AND(ISNUMBER($G370),$G370&gt;=60),MAX(INDEX($D$170:$D370,202-60):$D370),"")</f>
        <v>126011789</v>
      </c>
      <c r="N370" s="52" t="n">
        <f aca="false">IF(AND(ISNUMBER($G370),$G370&gt;=60),MIN(INDEX($E$170:$E370,202-60):$E370),"")</f>
        <v>103805471</v>
      </c>
      <c r="O370" s="53" t="n">
        <f aca="false">IF(OR(NOT(ISNUMBER($C370)),NOT(ISNUMBER($M370)),$M370=0),"",$C370/$M370-1)</f>
        <v>-0.0377493569272316</v>
      </c>
      <c r="P370" s="54"/>
      <c r="Q370" s="53" t="str">
        <f aca="false">IF(NOT(ISNUMBER($P370)),"",IFERROR(PERCENTRANK($P$5:$P$1204,$P370),""))</f>
        <v/>
      </c>
    </row>
    <row r="371" customFormat="false" ht="15" hidden="false" customHeight="false" outlineLevel="0" collapsed="false">
      <c r="A371" s="47" t="n">
        <v>46082</v>
      </c>
      <c r="B371" s="48" t="s">
        <v>519</v>
      </c>
      <c r="C371" s="49" t="n">
        <v>122073060</v>
      </c>
      <c r="D371" s="49" t="n">
        <v>122568156</v>
      </c>
      <c r="E371" s="49" t="n">
        <v>121192953</v>
      </c>
      <c r="F371" s="49" t="n">
        <v>0</v>
      </c>
      <c r="G371" s="50" t="n">
        <f aca="false">IF($A371="","",IF(ISNUMBER($G370),$G370+1,1))</f>
        <v>367</v>
      </c>
      <c r="H371" s="51" t="n">
        <f aca="false">IF(OR(NOT(ISNUMBER($G371)),$G371&lt;2,NOT(ISNUMBER($C370)),$C370=0),"",$C371/$C370-1)</f>
        <v>0.0067472310918506</v>
      </c>
      <c r="I371" s="52" t="n">
        <f aca="false">IF(AND(ISNUMBER($G371),$G371&gt;=MA_SHORT),AVERAGE(INDEX($C$5:$C371,368-MA_SHORT):$C371),"")</f>
        <v>121455313.4</v>
      </c>
      <c r="J371" s="52" t="n">
        <f aca="false">IF(AND(ISNUMBER($G371),$G371&gt;=MA_MED),AVERAGE(INDEX($C$5:$C371,368-MA_MED):$C371),"")</f>
        <v>117540156.44</v>
      </c>
      <c r="K371" s="52" t="n">
        <f aca="false">IF(AND(ISNUMBER($G371),$G371&gt;=MA_LONG2),AVERAGE(INDEX($C$5:$C371,368-MA_LONG2):$C371),"")</f>
        <v>108435307.06</v>
      </c>
      <c r="L371" s="53" t="n">
        <f aca="false">IF(AND(ISNUMBER($G371),$G371&gt;=21),STDEV(INDEX($H$311:$H371,62-20):$H371)*SQRT(245),"")</f>
        <v>0.242345809019272</v>
      </c>
      <c r="M371" s="52" t="n">
        <f aca="false">IF(AND(ISNUMBER($G371),$G371&gt;=60),MAX(INDEX($D$171:$D371,202-60):$D371),"")</f>
        <v>126011789</v>
      </c>
      <c r="N371" s="52" t="n">
        <f aca="false">IF(AND(ISNUMBER($G371),$G371&gt;=60),MIN(INDEX($E$171:$E371,202-60):$E371),"")</f>
        <v>103805471</v>
      </c>
      <c r="O371" s="53" t="n">
        <f aca="false">IF(OR(NOT(ISNUMBER($C371)),NOT(ISNUMBER($M371)),$M371=0),"",$C371/$M371-1)</f>
        <v>-0.0312568294701379</v>
      </c>
      <c r="P371" s="54"/>
      <c r="Q371" s="53" t="str">
        <f aca="false">IF(NOT(ISNUMBER($P371)),"",IFERROR(PERCENTRANK($P$5:$P$1204,$P371),""))</f>
        <v/>
      </c>
    </row>
    <row r="372" customFormat="false" ht="15" hidden="false" customHeight="false" outlineLevel="0" collapsed="false">
      <c r="A372" s="47" t="n">
        <v>46083</v>
      </c>
      <c r="B372" s="48" t="s">
        <v>520</v>
      </c>
      <c r="C372" s="49" t="n">
        <v>120104490</v>
      </c>
      <c r="D372" s="49" t="n">
        <v>120177790</v>
      </c>
      <c r="E372" s="49" t="n">
        <v>119886198</v>
      </c>
      <c r="F372" s="49" t="n">
        <v>0</v>
      </c>
      <c r="G372" s="50" t="n">
        <f aca="false">IF($A372="","",IF(ISNUMBER($G371),$G371+1,1))</f>
        <v>368</v>
      </c>
      <c r="H372" s="51" t="n">
        <f aca="false">IF(OR(NOT(ISNUMBER($G372)),$G372&lt;2,NOT(ISNUMBER($C371)),$C371=0),"",$C372/$C371-1)</f>
        <v>-0.0161261624800755</v>
      </c>
      <c r="I372" s="52" t="n">
        <f aca="false">IF(AND(ISNUMBER($G372),$G372&gt;=MA_SHORT),AVERAGE(INDEX($C$5:$C372,369-MA_SHORT):$C372),"")</f>
        <v>121303914.2</v>
      </c>
      <c r="J372" s="52" t="n">
        <f aca="false">IF(AND(ISNUMBER($G372),$G372&gt;=MA_MED),AVERAGE(INDEX($C$5:$C372,369-MA_MED):$C372),"")</f>
        <v>117749447.8</v>
      </c>
      <c r="K372" s="52" t="n">
        <f aca="false">IF(AND(ISNUMBER($G372),$G372&gt;=MA_LONG2),AVERAGE(INDEX($C$5:$C372,369-MA_LONG2):$C372),"")</f>
        <v>108526933.155</v>
      </c>
      <c r="L372" s="53" t="n">
        <f aca="false">IF(AND(ISNUMBER($G372),$G372&gt;=21),STDEV(INDEX($H$312:$H372,62-20):$H372)*SQRT(245),"")</f>
        <v>0.229585647274774</v>
      </c>
      <c r="M372" s="52" t="n">
        <f aca="false">IF(AND(ISNUMBER($G372),$G372&gt;=60),MAX(INDEX($D$172:$D372,202-60):$D372),"")</f>
        <v>126011789</v>
      </c>
      <c r="N372" s="52" t="n">
        <f aca="false">IF(AND(ISNUMBER($G372),$G372&gt;=60),MIN(INDEX($E$172:$E372,202-60):$E372),"")</f>
        <v>103805471</v>
      </c>
      <c r="O372" s="53" t="n">
        <f aca="false">IF(OR(NOT(ISNUMBER($C372)),NOT(ISNUMBER($M372)),$M372=0),"",$C372/$M372-1)</f>
        <v>-0.0468789392395659</v>
      </c>
      <c r="P372" s="54"/>
      <c r="Q372" s="53" t="str">
        <f aca="false">IF(NOT(ISNUMBER($P372)),"",IFERROR(PERCENTRANK($P$5:$P$1204,$P372),""))</f>
        <v/>
      </c>
    </row>
    <row r="373" customFormat="false" ht="15" hidden="false" customHeight="false" outlineLevel="0" collapsed="false">
      <c r="A373" s="47" t="n">
        <v>46084</v>
      </c>
      <c r="B373" s="48" t="s">
        <v>521</v>
      </c>
      <c r="C373" s="49" t="n">
        <v>117242633</v>
      </c>
      <c r="D373" s="49" t="n">
        <v>117426586</v>
      </c>
      <c r="E373" s="49" t="n">
        <v>116207966</v>
      </c>
      <c r="F373" s="49" t="n">
        <v>0</v>
      </c>
      <c r="G373" s="50" t="n">
        <f aca="false">IF($A373="","",IF(ISNUMBER($G372),$G372+1,1))</f>
        <v>369</v>
      </c>
      <c r="H373" s="51" t="n">
        <f aca="false">IF(OR(NOT(ISNUMBER($G373)),$G373&lt;2,NOT(ISNUMBER($C372)),$C372=0),"",$C373/$C372-1)</f>
        <v>-0.0238280600500448</v>
      </c>
      <c r="I373" s="52" t="n">
        <f aca="false">IF(AND(ISNUMBER($G373),$G373&gt;=MA_SHORT),AVERAGE(INDEX($C$5:$C373,370-MA_SHORT):$C373),"")</f>
        <v>120933620.35</v>
      </c>
      <c r="J373" s="52" t="n">
        <f aca="false">IF(AND(ISNUMBER($G373),$G373&gt;=MA_MED),AVERAGE(INDEX($C$5:$C373,370-MA_MED):$C373),"")</f>
        <v>117896957.36</v>
      </c>
      <c r="K373" s="52" t="n">
        <f aca="false">IF(AND(ISNUMBER($G373),$G373&gt;=MA_LONG2),AVERAGE(INDEX($C$5:$C373,370-MA_LONG2):$C373),"")</f>
        <v>108596302.695</v>
      </c>
      <c r="L373" s="53" t="n">
        <f aca="false">IF(AND(ISNUMBER($G373),$G373&gt;=21),STDEV(INDEX($H$313:$H373,62-20):$H373)*SQRT(245),"")</f>
        <v>0.23700233570283</v>
      </c>
      <c r="M373" s="52" t="n">
        <f aca="false">IF(AND(ISNUMBER($G373),$G373&gt;=60),MAX(INDEX($D$173:$D373,202-60):$D373),"")</f>
        <v>126011789</v>
      </c>
      <c r="N373" s="52" t="n">
        <f aca="false">IF(AND(ISNUMBER($G373),$G373&gt;=60),MIN(INDEX($E$173:$E373,202-60):$E373),"")</f>
        <v>104709584</v>
      </c>
      <c r="O373" s="53" t="n">
        <f aca="false">IF(OR(NOT(ISNUMBER($C373)),NOT(ISNUMBER($M373)),$M373=0),"",$C373/$M373-1)</f>
        <v>-0.0695899651103279</v>
      </c>
      <c r="P373" s="54"/>
      <c r="Q373" s="53" t="str">
        <f aca="false">IF(NOT(ISNUMBER($P373)),"",IFERROR(PERCENTRANK($P$5:$P$1204,$P373),""))</f>
        <v/>
      </c>
    </row>
    <row r="374" customFormat="false" ht="15" hidden="false" customHeight="false" outlineLevel="0" collapsed="false">
      <c r="A374" s="47" t="n">
        <v>46085</v>
      </c>
      <c r="B374" s="48" t="s">
        <v>522</v>
      </c>
      <c r="C374" s="49" t="n">
        <v>117995702</v>
      </c>
      <c r="D374" s="49" t="n">
        <v>118529489</v>
      </c>
      <c r="E374" s="49" t="n">
        <v>117978374</v>
      </c>
      <c r="F374" s="49" t="n">
        <v>0</v>
      </c>
      <c r="G374" s="50" t="n">
        <f aca="false">IF($A374="","",IF(ISNUMBER($G373),$G373+1,1))</f>
        <v>370</v>
      </c>
      <c r="H374" s="51" t="n">
        <f aca="false">IF(OR(NOT(ISNUMBER($G374)),$G374&lt;2,NOT(ISNUMBER($C373)),$C373=0),"",$C374/$C373-1)</f>
        <v>0.00642316690380018</v>
      </c>
      <c r="I374" s="52" t="n">
        <f aca="false">IF(AND(ISNUMBER($G374),$G374&gt;=MA_SHORT),AVERAGE(INDEX($C$5:$C374,371-MA_SHORT):$C374),"")</f>
        <v>120593492.25</v>
      </c>
      <c r="J374" s="52" t="n">
        <f aca="false">IF(AND(ISNUMBER($G374),$G374&gt;=MA_MED),AVERAGE(INDEX($C$5:$C374,371-MA_MED):$C374),"")</f>
        <v>118009543.56</v>
      </c>
      <c r="K374" s="52" t="n">
        <f aca="false">IF(AND(ISNUMBER($G374),$G374&gt;=MA_LONG2),AVERAGE(INDEX($C$5:$C374,371-MA_LONG2):$C374),"")</f>
        <v>108668689.05</v>
      </c>
      <c r="L374" s="53" t="n">
        <f aca="false">IF(AND(ISNUMBER($G374),$G374&gt;=21),STDEV(INDEX($H$314:$H374,62-20):$H374)*SQRT(245),"")</f>
        <v>0.238878599078439</v>
      </c>
      <c r="M374" s="52" t="n">
        <f aca="false">IF(AND(ISNUMBER($G374),$G374&gt;=60),MAX(INDEX($D$174:$D374,202-60):$D374),"")</f>
        <v>126011789</v>
      </c>
      <c r="N374" s="52" t="n">
        <f aca="false">IF(AND(ISNUMBER($G374),$G374&gt;=60),MIN(INDEX($E$174:$E374,202-60):$E374),"")</f>
        <v>104998148</v>
      </c>
      <c r="O374" s="53" t="n">
        <f aca="false">IF(OR(NOT(ISNUMBER($C374)),NOT(ISNUMBER($M374)),$M374=0),"",$C374/$M374-1)</f>
        <v>-0.0636137861672609</v>
      </c>
      <c r="P374" s="54"/>
      <c r="Q374" s="53" t="str">
        <f aca="false">IF(NOT(ISNUMBER($P374)),"",IFERROR(PERCENTRANK($P$5:$P$1204,$P374),""))</f>
        <v/>
      </c>
    </row>
    <row r="375" customFormat="false" ht="15" hidden="false" customHeight="false" outlineLevel="0" collapsed="false">
      <c r="A375" s="47" t="n">
        <v>46088</v>
      </c>
      <c r="B375" s="48" t="s">
        <v>523</v>
      </c>
      <c r="C375" s="49" t="n">
        <v>116312085</v>
      </c>
      <c r="D375" s="49" t="n">
        <v>116845457</v>
      </c>
      <c r="E375" s="49" t="n">
        <v>115714819</v>
      </c>
      <c r="F375" s="49" t="n">
        <v>0</v>
      </c>
      <c r="G375" s="50" t="n">
        <f aca="false">IF($A375="","",IF(ISNUMBER($G374),$G374+1,1))</f>
        <v>371</v>
      </c>
      <c r="H375" s="51" t="n">
        <f aca="false">IF(OR(NOT(ISNUMBER($G375)),$G375&lt;2,NOT(ISNUMBER($C374)),$C374=0),"",$C375/$C374-1)</f>
        <v>-0.0142684603884978</v>
      </c>
      <c r="I375" s="52" t="n">
        <f aca="false">IF(AND(ISNUMBER($G375),$G375&gt;=MA_SHORT),AVERAGE(INDEX($C$5:$C375,372-MA_SHORT):$C375),"")</f>
        <v>120219385.65</v>
      </c>
      <c r="J375" s="52" t="n">
        <f aca="false">IF(AND(ISNUMBER($G375),$G375&gt;=MA_MED),AVERAGE(INDEX($C$5:$C375,372-MA_MED):$C375),"")</f>
        <v>118124207.02</v>
      </c>
      <c r="K375" s="52" t="n">
        <f aca="false">IF(AND(ISNUMBER($G375),$G375&gt;=MA_LONG2),AVERAGE(INDEX($C$5:$C375,372-MA_LONG2):$C375),"")</f>
        <v>108734278.32</v>
      </c>
      <c r="L375" s="53" t="n">
        <f aca="false">IF(AND(ISNUMBER($G375),$G375&gt;=21),STDEV(INDEX($H$315:$H375,62-20):$H375)*SQRT(245),"")</f>
        <v>0.241655295285163</v>
      </c>
      <c r="M375" s="52" t="n">
        <f aca="false">IF(AND(ISNUMBER($G375),$G375&gt;=60),MAX(INDEX($D$175:$D375,202-60):$D375),"")</f>
        <v>126011789</v>
      </c>
      <c r="N375" s="52" t="n">
        <f aca="false">IF(AND(ISNUMBER($G375),$G375&gt;=60),MIN(INDEX($E$175:$E375,202-60):$E375),"")</f>
        <v>105370908</v>
      </c>
      <c r="O375" s="53" t="n">
        <f aca="false">IF(OR(NOT(ISNUMBER($C375)),NOT(ISNUMBER($M375)),$M375=0),"",$C375/$M375-1)</f>
        <v>-0.0769745757676689</v>
      </c>
      <c r="P375" s="54"/>
      <c r="Q375" s="53" t="str">
        <f aca="false">IF(NOT(ISNUMBER($P375)),"",IFERROR(PERCENTRANK($P$5:$P$1204,$P375),""))</f>
        <v/>
      </c>
    </row>
    <row r="376" customFormat="false" ht="15" hidden="false" customHeight="false" outlineLevel="0" collapsed="false">
      <c r="A376" s="47" t="n">
        <v>46089</v>
      </c>
      <c r="B376" s="48" t="s">
        <v>524</v>
      </c>
      <c r="C376" s="49" t="n">
        <v>113585066</v>
      </c>
      <c r="D376" s="49" t="n">
        <v>113880190</v>
      </c>
      <c r="E376" s="49" t="n">
        <v>113323535</v>
      </c>
      <c r="F376" s="49" t="n">
        <v>0</v>
      </c>
      <c r="G376" s="50" t="n">
        <f aca="false">IF($A376="","",IF(ISNUMBER($G375),$G375+1,1))</f>
        <v>372</v>
      </c>
      <c r="H376" s="51" t="n">
        <f aca="false">IF(OR(NOT(ISNUMBER($G376)),$G376&lt;2,NOT(ISNUMBER($C375)),$C375=0),"",$C376/$C375-1)</f>
        <v>-0.0234457064371256</v>
      </c>
      <c r="I376" s="52" t="n">
        <f aca="false">IF(AND(ISNUMBER($G376),$G376&gt;=MA_SHORT),AVERAGE(INDEX($C$5:$C376,373-MA_SHORT):$C376),"")</f>
        <v>119741179.4</v>
      </c>
      <c r="J376" s="52" t="n">
        <f aca="false">IF(AND(ISNUMBER($G376),$G376&gt;=MA_MED),AVERAGE(INDEX($C$5:$C376,373-MA_MED):$C376),"")</f>
        <v>118162611.58</v>
      </c>
      <c r="K376" s="52" t="n">
        <f aca="false">IF(AND(ISNUMBER($G376),$G376&gt;=MA_LONG2),AVERAGE(INDEX($C$5:$C376,373-MA_LONG2):$C376),"")</f>
        <v>108795389.58</v>
      </c>
      <c r="L376" s="53" t="n">
        <f aca="false">IF(AND(ISNUMBER($G376),$G376&gt;=21),STDEV(INDEX($H$316:$H376,62-20):$H376)*SQRT(245),"")</f>
        <v>0.25201365341816</v>
      </c>
      <c r="M376" s="52" t="n">
        <f aca="false">IF(AND(ISNUMBER($G376),$G376&gt;=60),MAX(INDEX($D$176:$D376,202-60):$D376),"")</f>
        <v>126011789</v>
      </c>
      <c r="N376" s="52" t="n">
        <f aca="false">IF(AND(ISNUMBER($G376),$G376&gt;=60),MIN(INDEX($E$176:$E376,202-60):$E376),"")</f>
        <v>105370908</v>
      </c>
      <c r="O376" s="53" t="n">
        <f aca="false">IF(OR(NOT(ISNUMBER($C376)),NOT(ISNUMBER($M376)),$M376=0),"",$C376/$M376-1)</f>
        <v>-0.0986155588982234</v>
      </c>
      <c r="P376" s="54"/>
      <c r="Q376" s="53" t="str">
        <f aca="false">IF(NOT(ISNUMBER($P376)),"",IFERROR(PERCENTRANK($P$5:$P$1204,$P376),""))</f>
        <v/>
      </c>
    </row>
    <row r="377" customFormat="false" ht="15" hidden="false" customHeight="false" outlineLevel="0" collapsed="false">
      <c r="A377" s="47" t="n">
        <v>46090</v>
      </c>
      <c r="B377" s="48" t="s">
        <v>525</v>
      </c>
      <c r="C377" s="49" t="n">
        <v>112417330</v>
      </c>
      <c r="D377" s="49" t="n">
        <v>112676560</v>
      </c>
      <c r="E377" s="49" t="n">
        <v>112342300</v>
      </c>
      <c r="F377" s="49" t="n">
        <v>0</v>
      </c>
      <c r="G377" s="50" t="n">
        <f aca="false">IF($A377="","",IF(ISNUMBER($G376),$G376+1,1))</f>
        <v>373</v>
      </c>
      <c r="H377" s="51" t="n">
        <f aca="false">IF(OR(NOT(ISNUMBER($G377)),$G377&lt;2,NOT(ISNUMBER($C376)),$C376=0),"",$C377/$C376-1)</f>
        <v>-0.0102807177133656</v>
      </c>
      <c r="I377" s="52" t="n">
        <f aca="false">IF(AND(ISNUMBER($G377),$G377&gt;=MA_SHORT),AVERAGE(INDEX($C$5:$C377,374-MA_SHORT):$C377),"")</f>
        <v>119075643.4</v>
      </c>
      <c r="J377" s="52" t="n">
        <f aca="false">IF(AND(ISNUMBER($G377),$G377&gt;=MA_MED),AVERAGE(INDEX($C$5:$C377,374-MA_MED):$C377),"")</f>
        <v>118189348.5</v>
      </c>
      <c r="K377" s="52" t="n">
        <f aca="false">IF(AND(ISNUMBER($G377),$G377&gt;=MA_LONG2),AVERAGE(INDEX($C$5:$C377,374-MA_LONG2):$C377),"")</f>
        <v>108849365.28</v>
      </c>
      <c r="L377" s="53" t="n">
        <f aca="false">IF(AND(ISNUMBER($G377),$G377&gt;=21),STDEV(INDEX($H$317:$H377,62-20):$H377)*SQRT(245),"")</f>
        <v>0.235461352043125</v>
      </c>
      <c r="M377" s="52" t="n">
        <f aca="false">IF(AND(ISNUMBER($G377),$G377&gt;=60),MAX(INDEX($D$177:$D377,202-60):$D377),"")</f>
        <v>126011789</v>
      </c>
      <c r="N377" s="52" t="n">
        <f aca="false">IF(AND(ISNUMBER($G377),$G377&gt;=60),MIN(INDEX($E$177:$E377,202-60):$E377),"")</f>
        <v>106653838</v>
      </c>
      <c r="O377" s="53" t="n">
        <f aca="false">IF(OR(NOT(ISNUMBER($C377)),NOT(ISNUMBER($M377)),$M377=0),"",$C377/$M377-1)</f>
        <v>-0.107882437888411</v>
      </c>
      <c r="P377" s="54"/>
      <c r="Q377" s="53" t="str">
        <f aca="false">IF(NOT(ISNUMBER($P377)),"",IFERROR(PERCENTRANK($P$5:$P$1204,$P377),""))</f>
        <v/>
      </c>
    </row>
    <row r="378" customFormat="false" ht="15" hidden="false" customHeight="false" outlineLevel="0" collapsed="false">
      <c r="A378" s="47" t="n">
        <v>46091</v>
      </c>
      <c r="B378" s="48" t="s">
        <v>526</v>
      </c>
      <c r="C378" s="49" t="n">
        <v>113739355</v>
      </c>
      <c r="D378" s="49" t="n">
        <v>114513564</v>
      </c>
      <c r="E378" s="49" t="n">
        <v>112965063</v>
      </c>
      <c r="F378" s="49" t="n">
        <v>0</v>
      </c>
      <c r="G378" s="50" t="n">
        <f aca="false">IF($A378="","",IF(ISNUMBER($G377),$G377+1,1))</f>
        <v>374</v>
      </c>
      <c r="H378" s="51" t="n">
        <f aca="false">IF(OR(NOT(ISNUMBER($G378)),$G378&lt;2,NOT(ISNUMBER($C377)),$C377=0),"",$C378/$C377-1)</f>
        <v>0.0117599750856918</v>
      </c>
      <c r="I378" s="52" t="n">
        <f aca="false">IF(AND(ISNUMBER($G378),$G378&gt;=MA_SHORT),AVERAGE(INDEX($C$5:$C378,375-MA_SHORT):$C378),"")</f>
        <v>118655261.1</v>
      </c>
      <c r="J378" s="52" t="n">
        <f aca="false">IF(AND(ISNUMBER($G378),$G378&gt;=MA_MED),AVERAGE(INDEX($C$5:$C378,375-MA_MED):$C378),"")</f>
        <v>118229791.16</v>
      </c>
      <c r="K378" s="52" t="n">
        <f aca="false">IF(AND(ISNUMBER($G378),$G378&gt;=MA_LONG2),AVERAGE(INDEX($C$5:$C378,375-MA_LONG2):$C378),"")</f>
        <v>108917377.84</v>
      </c>
      <c r="L378" s="53" t="n">
        <f aca="false">IF(AND(ISNUMBER($G378),$G378&gt;=21),STDEV(INDEX($H$318:$H378,62-20):$H378)*SQRT(245),"")</f>
        <v>0.22671303431652</v>
      </c>
      <c r="M378" s="52" t="n">
        <f aca="false">IF(AND(ISNUMBER($G378),$G378&gt;=60),MAX(INDEX($D$178:$D378,202-60):$D378),"")</f>
        <v>126011789</v>
      </c>
      <c r="N378" s="52" t="n">
        <f aca="false">IF(AND(ISNUMBER($G378),$G378&gt;=60),MIN(INDEX($E$178:$E378,202-60):$E378),"")</f>
        <v>106653838</v>
      </c>
      <c r="O378" s="53" t="n">
        <f aca="false">IF(OR(NOT(ISNUMBER($C378)),NOT(ISNUMBER($M378)),$M378=0),"",$C378/$M378-1)</f>
        <v>-0.0973911575844701</v>
      </c>
      <c r="P378" s="54"/>
      <c r="Q378" s="53" t="str">
        <f aca="false">IF(NOT(ISNUMBER($P378)),"",IFERROR(PERCENTRANK($P$5:$P$1204,$P378),""))</f>
        <v/>
      </c>
    </row>
    <row r="379" customFormat="false" ht="15" hidden="false" customHeight="false" outlineLevel="0" collapsed="false">
      <c r="A379" s="47" t="n">
        <v>46092</v>
      </c>
      <c r="B379" s="48" t="s">
        <v>527</v>
      </c>
      <c r="C379" s="49" t="n">
        <v>115723991</v>
      </c>
      <c r="D379" s="49" t="n">
        <v>116196947</v>
      </c>
      <c r="E379" s="49" t="n">
        <v>115638496</v>
      </c>
      <c r="F379" s="49" t="n">
        <v>0</v>
      </c>
      <c r="G379" s="50" t="n">
        <f aca="false">IF($A379="","",IF(ISNUMBER($G378),$G378+1,1))</f>
        <v>375</v>
      </c>
      <c r="H379" s="51" t="n">
        <f aca="false">IF(OR(NOT(ISNUMBER($G379)),$G379&lt;2,NOT(ISNUMBER($C378)),$C378=0),"",$C379/$C378-1)</f>
        <v>0.0174489823685038</v>
      </c>
      <c r="I379" s="52" t="n">
        <f aca="false">IF(AND(ISNUMBER($G379),$G379&gt;=MA_SHORT),AVERAGE(INDEX($C$5:$C379,376-MA_SHORT):$C379),"")</f>
        <v>118384465.4</v>
      </c>
      <c r="J379" s="52" t="n">
        <f aca="false">IF(AND(ISNUMBER($G379),$G379&gt;=MA_MED),AVERAGE(INDEX($C$5:$C379,376-MA_MED):$C379),"")</f>
        <v>118292784.24</v>
      </c>
      <c r="K379" s="52" t="n">
        <f aca="false">IF(AND(ISNUMBER($G379),$G379&gt;=MA_LONG2),AVERAGE(INDEX($C$5:$C379,376-MA_LONG2):$C379),"")</f>
        <v>109002530.365</v>
      </c>
      <c r="L379" s="53" t="n">
        <f aca="false">IF(AND(ISNUMBER($G379),$G379&gt;=21),STDEV(INDEX($H$319:$H379,62-20):$H379)*SQRT(245),"")</f>
        <v>0.237307563175307</v>
      </c>
      <c r="M379" s="52" t="n">
        <f aca="false">IF(AND(ISNUMBER($G379),$G379&gt;=60),MAX(INDEX($D$179:$D379,202-60):$D379),"")</f>
        <v>126011789</v>
      </c>
      <c r="N379" s="52" t="n">
        <f aca="false">IF(AND(ISNUMBER($G379),$G379&gt;=60),MIN(INDEX($E$179:$E379,202-60):$E379),"")</f>
        <v>108250934</v>
      </c>
      <c r="O379" s="53" t="n">
        <f aca="false">IF(OR(NOT(ISNUMBER($C379)),NOT(ISNUMBER($M379)),$M379=0),"",$C379/$M379-1)</f>
        <v>-0.0816415518075059</v>
      </c>
      <c r="P379" s="54"/>
      <c r="Q379" s="53" t="str">
        <f aca="false">IF(NOT(ISNUMBER($P379)),"",IFERROR(PERCENTRANK($P$5:$P$1204,$P379),""))</f>
        <v/>
      </c>
    </row>
    <row r="380" customFormat="false" ht="15" hidden="false" customHeight="false" outlineLevel="0" collapsed="false">
      <c r="A380" s="47" t="n">
        <v>46095</v>
      </c>
      <c r="B380" s="48" t="s">
        <v>528</v>
      </c>
      <c r="C380" s="49" t="n">
        <v>114700579</v>
      </c>
      <c r="D380" s="49" t="n">
        <v>114906009</v>
      </c>
      <c r="E380" s="49" t="n">
        <v>114468242</v>
      </c>
      <c r="F380" s="49" t="n">
        <v>0</v>
      </c>
      <c r="G380" s="50" t="n">
        <f aca="false">IF($A380="","",IF(ISNUMBER($G379),$G379+1,1))</f>
        <v>376</v>
      </c>
      <c r="H380" s="51" t="n">
        <f aca="false">IF(OR(NOT(ISNUMBER($G380)),$G380&lt;2,NOT(ISNUMBER($C379)),$C379=0),"",$C380/$C379-1)</f>
        <v>-0.00884355950012128</v>
      </c>
      <c r="I380" s="52" t="n">
        <f aca="false">IF(AND(ISNUMBER($G380),$G380&gt;=MA_SHORT),AVERAGE(INDEX($C$5:$C380,377-MA_SHORT):$C380),"")</f>
        <v>118174969.85</v>
      </c>
      <c r="J380" s="52" t="n">
        <f aca="false">IF(AND(ISNUMBER($G380),$G380&gt;=MA_MED),AVERAGE(INDEX($C$5:$C380,377-MA_MED):$C380),"")</f>
        <v>118293407.66</v>
      </c>
      <c r="K380" s="52" t="n">
        <f aca="false">IF(AND(ISNUMBER($G380),$G380&gt;=MA_LONG2),AVERAGE(INDEX($C$5:$C380,377-MA_LONG2):$C380),"")</f>
        <v>109071648.85</v>
      </c>
      <c r="L380" s="53" t="n">
        <f aca="false">IF(AND(ISNUMBER($G380),$G380&gt;=21),STDEV(INDEX($H$320:$H380,62-20):$H380)*SQRT(245),"")</f>
        <v>0.231001551111615</v>
      </c>
      <c r="M380" s="52" t="n">
        <f aca="false">IF(AND(ISNUMBER($G380),$G380&gt;=60),MAX(INDEX($D$180:$D380,202-60):$D380),"")</f>
        <v>126011789</v>
      </c>
      <c r="N380" s="52" t="n">
        <f aca="false">IF(AND(ISNUMBER($G380),$G380&gt;=60),MIN(INDEX($E$180:$E380,202-60):$E380),"")</f>
        <v>108250934</v>
      </c>
      <c r="O380" s="53" t="n">
        <f aca="false">IF(OR(NOT(ISNUMBER($C380)),NOT(ISNUMBER($M380)),$M380=0),"",$C380/$M380-1)</f>
        <v>-0.0897631093865352</v>
      </c>
      <c r="P380" s="54"/>
      <c r="Q380" s="53" t="str">
        <f aca="false">IF(NOT(ISNUMBER($P380)),"",IFERROR(PERCENTRANK($P$5:$P$1204,$P380),""))</f>
        <v/>
      </c>
    </row>
    <row r="381" customFormat="false" ht="15" hidden="false" customHeight="false" outlineLevel="0" collapsed="false">
      <c r="A381" s="47" t="n">
        <v>46096</v>
      </c>
      <c r="B381" s="48" t="s">
        <v>529</v>
      </c>
      <c r="C381" s="49" t="n">
        <v>115747354</v>
      </c>
      <c r="D381" s="49" t="n">
        <v>116382306</v>
      </c>
      <c r="E381" s="49" t="n">
        <v>115692709</v>
      </c>
      <c r="F381" s="49" t="n">
        <v>0</v>
      </c>
      <c r="G381" s="50" t="n">
        <f aca="false">IF($A381="","",IF(ISNUMBER($G380),$G380+1,1))</f>
        <v>377</v>
      </c>
      <c r="H381" s="51" t="n">
        <f aca="false">IF(OR(NOT(ISNUMBER($G381)),$G381&lt;2,NOT(ISNUMBER($C380)),$C380=0),"",$C381/$C380-1)</f>
        <v>0.00912615271105133</v>
      </c>
      <c r="I381" s="52" t="n">
        <f aca="false">IF(AND(ISNUMBER($G381),$G381&gt;=MA_SHORT),AVERAGE(INDEX($C$5:$C381,378-MA_SHORT):$C381),"")</f>
        <v>117948028.65</v>
      </c>
      <c r="J381" s="52" t="n">
        <f aca="false">IF(AND(ISNUMBER($G381),$G381&gt;=MA_MED),AVERAGE(INDEX($C$5:$C381,378-MA_MED):$C381),"")</f>
        <v>118312586.5</v>
      </c>
      <c r="K381" s="52" t="n">
        <f aca="false">IF(AND(ISNUMBER($G381),$G381&gt;=MA_LONG2),AVERAGE(INDEX($C$5:$C381,378-MA_LONG2):$C381),"")</f>
        <v>109148255.805</v>
      </c>
      <c r="L381" s="53" t="n">
        <f aca="false">IF(AND(ISNUMBER($G381),$G381&gt;=21),STDEV(INDEX($H$321:$H381,62-20):$H381)*SQRT(245),"")</f>
        <v>0.22921706086528</v>
      </c>
      <c r="M381" s="52" t="n">
        <f aca="false">IF(AND(ISNUMBER($G381),$G381&gt;=60),MAX(INDEX($D$181:$D381,202-60):$D381),"")</f>
        <v>126011789</v>
      </c>
      <c r="N381" s="52" t="n">
        <f aca="false">IF(AND(ISNUMBER($G381),$G381&gt;=60),MIN(INDEX($E$181:$E381,202-60):$E381),"")</f>
        <v>109074411</v>
      </c>
      <c r="O381" s="53" t="n">
        <f aca="false">IF(OR(NOT(ISNUMBER($C381)),NOT(ISNUMBER($M381)),$M381=0),"",$C381/$M381-1)</f>
        <v>-0.0814561485195643</v>
      </c>
      <c r="P381" s="54"/>
      <c r="Q381" s="53" t="str">
        <f aca="false">IF(NOT(ISNUMBER($P381)),"",IFERROR(PERCENTRANK($P$5:$P$1204,$P381),""))</f>
        <v/>
      </c>
    </row>
    <row r="382" customFormat="false" ht="15" hidden="false" customHeight="false" outlineLevel="0" collapsed="false">
      <c r="A382" s="47" t="n">
        <v>46097</v>
      </c>
      <c r="B382" s="48" t="s">
        <v>530</v>
      </c>
      <c r="C382" s="49" t="n">
        <v>115605522</v>
      </c>
      <c r="D382" s="49" t="n">
        <v>115713317</v>
      </c>
      <c r="E382" s="49" t="n">
        <v>114790088</v>
      </c>
      <c r="F382" s="49" t="n">
        <v>0</v>
      </c>
      <c r="G382" s="50" t="n">
        <f aca="false">IF($A382="","",IF(ISNUMBER($G381),$G381+1,1))</f>
        <v>378</v>
      </c>
      <c r="H382" s="51" t="n">
        <f aca="false">IF(OR(NOT(ISNUMBER($G382)),$G382&lt;2,NOT(ISNUMBER($C381)),$C381=0),"",$C382/$C381-1)</f>
        <v>-0.00122535846478189</v>
      </c>
      <c r="I382" s="52" t="n">
        <f aca="false">IF(AND(ISNUMBER($G382),$G382&gt;=MA_SHORT),AVERAGE(INDEX($C$5:$C382,379-MA_SHORT):$C382),"")</f>
        <v>117869871.2</v>
      </c>
      <c r="J382" s="52" t="n">
        <f aca="false">IF(AND(ISNUMBER($G382),$G382&gt;=MA_MED),AVERAGE(INDEX($C$5:$C382,379-MA_MED):$C382),"")</f>
        <v>118343552.82</v>
      </c>
      <c r="K382" s="52" t="n">
        <f aca="false">IF(AND(ISNUMBER($G382),$G382&gt;=MA_LONG2),AVERAGE(INDEX($C$5:$C382,379-MA_LONG2):$C382),"")</f>
        <v>109224721.27</v>
      </c>
      <c r="L382" s="53" t="n">
        <f aca="false">IF(AND(ISNUMBER($G382),$G382&gt;=21),STDEV(INDEX($H$322:$H382,62-20):$H382)*SQRT(245),"")</f>
        <v>0.211337475803333</v>
      </c>
      <c r="M382" s="52" t="n">
        <f aca="false">IF(AND(ISNUMBER($G382),$G382&gt;=60),MAX(INDEX($D$182:$D382,202-60):$D382),"")</f>
        <v>126011789</v>
      </c>
      <c r="N382" s="52" t="n">
        <f aca="false">IF(AND(ISNUMBER($G382),$G382&gt;=60),MIN(INDEX($E$182:$E382,202-60):$E382),"")</f>
        <v>109762231</v>
      </c>
      <c r="O382" s="53" t="n">
        <f aca="false">IF(OR(NOT(ISNUMBER($C382)),NOT(ISNUMBER($M382)),$M382=0),"",$C382/$M382-1)</f>
        <v>-0.0825816940032492</v>
      </c>
      <c r="P382" s="54"/>
      <c r="Q382" s="53" t="str">
        <f aca="false">IF(NOT(ISNUMBER($P382)),"",IFERROR(PERCENTRANK($P$5:$P$1204,$P382),""))</f>
        <v/>
      </c>
    </row>
    <row r="383" customFormat="false" ht="15" hidden="false" customHeight="false" outlineLevel="0" collapsed="false">
      <c r="A383" s="47" t="n">
        <v>46098</v>
      </c>
      <c r="B383" s="48" t="s">
        <v>531</v>
      </c>
      <c r="C383" s="49" t="n">
        <v>113203241</v>
      </c>
      <c r="D383" s="49" t="n">
        <v>113309387</v>
      </c>
      <c r="E383" s="49" t="n">
        <v>112954421</v>
      </c>
      <c r="F383" s="49" t="n">
        <v>0</v>
      </c>
      <c r="G383" s="50" t="n">
        <f aca="false">IF($A383="","",IF(ISNUMBER($G382),$G382+1,1))</f>
        <v>379</v>
      </c>
      <c r="H383" s="51" t="n">
        <f aca="false">IF(OR(NOT(ISNUMBER($G383)),$G383&lt;2,NOT(ISNUMBER($C382)),$C382=0),"",$C383/$C382-1)</f>
        <v>-0.020779984886881</v>
      </c>
      <c r="I383" s="52" t="n">
        <f aca="false">IF(AND(ISNUMBER($G383),$G383&gt;=MA_SHORT),AVERAGE(INDEX($C$5:$C383,380-MA_SHORT):$C383),"")</f>
        <v>117591156.85</v>
      </c>
      <c r="J383" s="52" t="n">
        <f aca="false">IF(AND(ISNUMBER($G383),$G383&gt;=MA_MED),AVERAGE(INDEX($C$5:$C383,380-MA_MED):$C383),"")</f>
        <v>118344705.4</v>
      </c>
      <c r="K383" s="52" t="n">
        <f aca="false">IF(AND(ISNUMBER($G383),$G383&gt;=MA_LONG2),AVERAGE(INDEX($C$5:$C383,380-MA_LONG2):$C383),"")</f>
        <v>109300993.605</v>
      </c>
      <c r="L383" s="53" t="n">
        <f aca="false">IF(AND(ISNUMBER($G383),$G383&gt;=21),STDEV(INDEX($H$323:$H383,62-20):$H383)*SQRT(245),"")</f>
        <v>0.215667104792428</v>
      </c>
      <c r="M383" s="52" t="n">
        <f aca="false">IF(AND(ISNUMBER($G383),$G383&gt;=60),MAX(INDEX($D$183:$D383,202-60):$D383),"")</f>
        <v>126011789</v>
      </c>
      <c r="N383" s="52" t="n">
        <f aca="false">IF(AND(ISNUMBER($G383),$G383&gt;=60),MIN(INDEX($E$183:$E383,202-60):$E383),"")</f>
        <v>110207047</v>
      </c>
      <c r="O383" s="53" t="n">
        <f aca="false">IF(OR(NOT(ISNUMBER($C383)),NOT(ISNUMBER($M383)),$M383=0),"",$C383/$M383-1)</f>
        <v>-0.10164563253681</v>
      </c>
      <c r="P383" s="54"/>
      <c r="Q383" s="53" t="str">
        <f aca="false">IF(NOT(ISNUMBER($P383)),"",IFERROR(PERCENTRANK($P$5:$P$1204,$P383),""))</f>
        <v/>
      </c>
    </row>
    <row r="384" customFormat="false" ht="15" hidden="false" customHeight="false" outlineLevel="0" collapsed="false">
      <c r="A384" s="47" t="n">
        <v>46099</v>
      </c>
      <c r="B384" s="48" t="s">
        <v>532</v>
      </c>
      <c r="C384" s="49" t="n">
        <v>111372876</v>
      </c>
      <c r="D384" s="49" t="n">
        <v>111606711</v>
      </c>
      <c r="E384" s="49" t="n">
        <v>110851270</v>
      </c>
      <c r="F384" s="49" t="n">
        <v>0</v>
      </c>
      <c r="G384" s="50" t="n">
        <f aca="false">IF($A384="","",IF(ISNUMBER($G383),$G383+1,1))</f>
        <v>380</v>
      </c>
      <c r="H384" s="51" t="n">
        <f aca="false">IF(OR(NOT(ISNUMBER($G384)),$G384&lt;2,NOT(ISNUMBER($C383)),$C383=0),"",$C384/$C383-1)</f>
        <v>-0.0161688391942771</v>
      </c>
      <c r="I384" s="52" t="n">
        <f aca="false">IF(AND(ISNUMBER($G384),$G384&gt;=MA_SHORT),AVERAGE(INDEX($C$5:$C384,381-MA_SHORT):$C384),"")</f>
        <v>117158663.85</v>
      </c>
      <c r="J384" s="52" t="n">
        <f aca="false">IF(AND(ISNUMBER($G384),$G384&gt;=MA_MED),AVERAGE(INDEX($C$5:$C384,381-MA_MED):$C384),"")</f>
        <v>118356379.72</v>
      </c>
      <c r="K384" s="52" t="n">
        <f aca="false">IF(AND(ISNUMBER($G384),$G384&gt;=MA_LONG2),AVERAGE(INDEX($C$5:$C384,381-MA_LONG2):$C384),"")</f>
        <v>109374742.68</v>
      </c>
      <c r="L384" s="53" t="n">
        <f aca="false">IF(AND(ISNUMBER($G384),$G384&gt;=21),STDEV(INDEX($H$324:$H384,62-20):$H384)*SQRT(245),"")</f>
        <v>0.215454023881215</v>
      </c>
      <c r="M384" s="52" t="n">
        <f aca="false">IF(AND(ISNUMBER($G384),$G384&gt;=60),MAX(INDEX($D$184:$D384,202-60):$D384),"")</f>
        <v>126011789</v>
      </c>
      <c r="N384" s="52" t="n">
        <f aca="false">IF(AND(ISNUMBER($G384),$G384&gt;=60),MIN(INDEX($E$184:$E384,202-60):$E384),"")</f>
        <v>110207047</v>
      </c>
      <c r="O384" s="53" t="n">
        <f aca="false">IF(OR(NOT(ISNUMBER($C384)),NOT(ISNUMBER($M384)),$M384=0),"",$C384/$M384-1)</f>
        <v>-0.116170979843799</v>
      </c>
      <c r="P384" s="54"/>
      <c r="Q384" s="53" t="str">
        <f aca="false">IF(NOT(ISNUMBER($P384)),"",IFERROR(PERCENTRANK($P$5:$P$1204,$P384),""))</f>
        <v/>
      </c>
    </row>
    <row r="385" customFormat="false" ht="15" hidden="false" customHeight="false" outlineLevel="0" collapsed="false">
      <c r="A385" s="47" t="n">
        <v>46102</v>
      </c>
      <c r="B385" s="48" t="s">
        <v>533</v>
      </c>
      <c r="C385" s="49" t="n">
        <v>111949716</v>
      </c>
      <c r="D385" s="49" t="n">
        <v>112090335</v>
      </c>
      <c r="E385" s="49" t="n">
        <v>111754651</v>
      </c>
      <c r="F385" s="49" t="n">
        <v>0</v>
      </c>
      <c r="G385" s="50" t="n">
        <f aca="false">IF($A385="","",IF(ISNUMBER($G384),$G384+1,1))</f>
        <v>381</v>
      </c>
      <c r="H385" s="51" t="n">
        <f aca="false">IF(OR(NOT(ISNUMBER($G385)),$G385&lt;2,NOT(ISNUMBER($C384)),$C384=0),"",$C385/$C384-1)</f>
        <v>0.00517935803327907</v>
      </c>
      <c r="I385" s="52" t="n">
        <f aca="false">IF(AND(ISNUMBER($G385),$G385&gt;=MA_SHORT),AVERAGE(INDEX($C$5:$C385,382-MA_SHORT):$C385),"")</f>
        <v>116732898.55</v>
      </c>
      <c r="J385" s="52" t="n">
        <f aca="false">IF(AND(ISNUMBER($G385),$G385&gt;=MA_MED),AVERAGE(INDEX($C$5:$C385,382-MA_MED):$C385),"")</f>
        <v>118377559.6</v>
      </c>
      <c r="K385" s="52" t="n">
        <f aca="false">IF(AND(ISNUMBER($G385),$G385&gt;=MA_LONG2),AVERAGE(INDEX($C$5:$C385,382-MA_LONG2):$C385),"")</f>
        <v>109451822.445</v>
      </c>
      <c r="L385" s="53" t="n">
        <f aca="false">IF(AND(ISNUMBER($G385),$G385&gt;=21),STDEV(INDEX($H$325:$H385,62-20):$H385)*SQRT(245),"")</f>
        <v>0.216171656760218</v>
      </c>
      <c r="M385" s="52" t="n">
        <f aca="false">IF(AND(ISNUMBER($G385),$G385&gt;=60),MAX(INDEX($D$185:$D385,202-60):$D385),"")</f>
        <v>126011789</v>
      </c>
      <c r="N385" s="52" t="n">
        <f aca="false">IF(AND(ISNUMBER($G385),$G385&gt;=60),MIN(INDEX($E$185:$E385,202-60):$E385),"")</f>
        <v>110688654</v>
      </c>
      <c r="O385" s="53" t="n">
        <f aca="false">IF(OR(NOT(ISNUMBER($C385)),NOT(ISNUMBER($M385)),$M385=0),"",$C385/$M385-1)</f>
        <v>-0.111593312908207</v>
      </c>
      <c r="P385" s="54"/>
      <c r="Q385" s="53" t="str">
        <f aca="false">IF(NOT(ISNUMBER($P385)),"",IFERROR(PERCENTRANK($P$5:$P$1204,$P385),""))</f>
        <v/>
      </c>
    </row>
    <row r="386" customFormat="false" ht="15" hidden="false" customHeight="false" outlineLevel="0" collapsed="false">
      <c r="A386" s="47" t="n">
        <v>46103</v>
      </c>
      <c r="B386" s="48" t="s">
        <v>534</v>
      </c>
      <c r="C386" s="49" t="n">
        <v>110879547</v>
      </c>
      <c r="D386" s="49" t="n">
        <v>110962558</v>
      </c>
      <c r="E386" s="49" t="n">
        <v>110668692</v>
      </c>
      <c r="F386" s="49" t="n">
        <v>0</v>
      </c>
      <c r="G386" s="50" t="n">
        <f aca="false">IF($A386="","",IF(ISNUMBER($G385),$G385+1,1))</f>
        <v>382</v>
      </c>
      <c r="H386" s="51" t="n">
        <f aca="false">IF(OR(NOT(ISNUMBER($G386)),$G386&lt;2,NOT(ISNUMBER($C385)),$C385=0),"",$C386/$C385-1)</f>
        <v>-0.00955937217384273</v>
      </c>
      <c r="I386" s="52" t="n">
        <f aca="false">IF(AND(ISNUMBER($G386),$G386&gt;=MA_SHORT),AVERAGE(INDEX($C$5:$C386,383-MA_SHORT):$C386),"")</f>
        <v>116338196.15</v>
      </c>
      <c r="J386" s="52" t="n">
        <f aca="false">IF(AND(ISNUMBER($G386),$G386&gt;=MA_MED),AVERAGE(INDEX($C$5:$C386,383-MA_MED):$C386),"")</f>
        <v>118346024.54</v>
      </c>
      <c r="K386" s="52" t="n">
        <f aca="false">IF(AND(ISNUMBER($G386),$G386&gt;=MA_LONG2),AVERAGE(INDEX($C$5:$C386,383-MA_LONG2):$C386),"")</f>
        <v>109507869.02</v>
      </c>
      <c r="L386" s="53" t="n">
        <f aca="false">IF(AND(ISNUMBER($G386),$G386&gt;=21),STDEV(INDEX($H$326:$H386,62-20):$H386)*SQRT(245),"")</f>
        <v>0.213929447172862</v>
      </c>
      <c r="M386" s="52" t="n">
        <f aca="false">IF(AND(ISNUMBER($G386),$G386&gt;=60),MAX(INDEX($D$186:$D386,202-60):$D386),"")</f>
        <v>126011789</v>
      </c>
      <c r="N386" s="52" t="n">
        <f aca="false">IF(AND(ISNUMBER($G386),$G386&gt;=60),MIN(INDEX($E$186:$E386,202-60):$E386),"")</f>
        <v>110668692</v>
      </c>
      <c r="O386" s="53" t="n">
        <f aca="false">IF(OR(NOT(ISNUMBER($C386)),NOT(ISNUMBER($M386)),$M386=0),"",$C386/$M386-1)</f>
        <v>-0.120085923071849</v>
      </c>
      <c r="P386" s="54"/>
      <c r="Q386" s="53" t="str">
        <f aca="false">IF(NOT(ISNUMBER($P386)),"",IFERROR(PERCENTRANK($P$5:$P$1204,$P386),""))</f>
        <v/>
      </c>
    </row>
    <row r="387" customFormat="false" ht="15" hidden="false" customHeight="false" outlineLevel="0" collapsed="false">
      <c r="A387" s="47" t="n">
        <v>46104</v>
      </c>
      <c r="B387" s="48" t="s">
        <v>535</v>
      </c>
      <c r="C387" s="49" t="n">
        <v>106048178</v>
      </c>
      <c r="D387" s="49" t="n">
        <v>106458769</v>
      </c>
      <c r="E387" s="49" t="n">
        <v>105630677</v>
      </c>
      <c r="F387" s="49" t="n">
        <v>0</v>
      </c>
      <c r="G387" s="50" t="n">
        <f aca="false">IF($A387="","",IF(ISNUMBER($G386),$G386+1,1))</f>
        <v>383</v>
      </c>
      <c r="H387" s="51" t="n">
        <f aca="false">IF(OR(NOT(ISNUMBER($G387)),$G387&lt;2,NOT(ISNUMBER($C386)),$C386=0),"",$C387/$C386-1)</f>
        <v>-0.0435731307596341</v>
      </c>
      <c r="I387" s="52" t="n">
        <f aca="false">IF(AND(ISNUMBER($G387),$G387&gt;=MA_SHORT),AVERAGE(INDEX($C$5:$C387,384-MA_SHORT):$C387),"")</f>
        <v>115647165.75</v>
      </c>
      <c r="J387" s="52" t="n">
        <f aca="false">IF(AND(ISNUMBER($G387),$G387&gt;=MA_MED),AVERAGE(INDEX($C$5:$C387,384-MA_MED):$C387),"")</f>
        <v>118209335</v>
      </c>
      <c r="K387" s="52" t="n">
        <f aca="false">IF(AND(ISNUMBER($G387),$G387&gt;=MA_LONG2),AVERAGE(INDEX($C$5:$C387,384-MA_LONG2):$C387),"")</f>
        <v>109539857</v>
      </c>
      <c r="L387" s="53" t="n">
        <f aca="false">IF(AND(ISNUMBER($G387),$G387&gt;=21),STDEV(INDEX($H$327:$H387,62-20):$H387)*SQRT(245),"")</f>
        <v>0.250603081544001</v>
      </c>
      <c r="M387" s="52" t="n">
        <f aca="false">IF(AND(ISNUMBER($G387),$G387&gt;=60),MAX(INDEX($D$187:$D387,202-60):$D387),"")</f>
        <v>126011789</v>
      </c>
      <c r="N387" s="52" t="n">
        <f aca="false">IF(AND(ISNUMBER($G387),$G387&gt;=60),MIN(INDEX($E$187:$E387,202-60):$E387),"")</f>
        <v>105630677</v>
      </c>
      <c r="O387" s="53" t="n">
        <f aca="false">IF(OR(NOT(ISNUMBER($C387)),NOT(ISNUMBER($M387)),$M387=0),"",$C387/$M387-1)</f>
        <v>-0.158426534203082</v>
      </c>
      <c r="P387" s="54"/>
      <c r="Q387" s="53" t="str">
        <f aca="false">IF(NOT(ISNUMBER($P387)),"",IFERROR(PERCENTRANK($P$5:$P$1204,$P387),""))</f>
        <v/>
      </c>
    </row>
    <row r="388" customFormat="false" ht="15" hidden="false" customHeight="false" outlineLevel="0" collapsed="false">
      <c r="A388" s="47" t="n">
        <v>46105</v>
      </c>
      <c r="B388" s="48" t="s">
        <v>536</v>
      </c>
      <c r="C388" s="49" t="n">
        <v>105339215</v>
      </c>
      <c r="D388" s="49" t="n">
        <v>105498032</v>
      </c>
      <c r="E388" s="49" t="n">
        <v>104967024</v>
      </c>
      <c r="F388" s="49" t="n">
        <v>0</v>
      </c>
      <c r="G388" s="50" t="n">
        <f aca="false">IF($A388="","",IF(ISNUMBER($G387),$G387+1,1))</f>
        <v>384</v>
      </c>
      <c r="H388" s="51" t="n">
        <f aca="false">IF(OR(NOT(ISNUMBER($G388)),$G388&lt;2,NOT(ISNUMBER($C387)),$C387=0),"",$C388/$C387-1)</f>
        <v>-0.00668529166055076</v>
      </c>
      <c r="I388" s="52" t="n">
        <f aca="false">IF(AND(ISNUMBER($G388),$G388&gt;=MA_SHORT),AVERAGE(INDEX($C$5:$C388,385-MA_SHORT):$C388),"")</f>
        <v>114806115</v>
      </c>
      <c r="J388" s="52" t="n">
        <f aca="false">IF(AND(ISNUMBER($G388),$G388&gt;=MA_MED),AVERAGE(INDEX($C$5:$C388,385-MA_MED):$C388),"")</f>
        <v>118085036.32</v>
      </c>
      <c r="K388" s="52" t="n">
        <f aca="false">IF(AND(ISNUMBER($G388),$G388&gt;=MA_LONG2),AVERAGE(INDEX($C$5:$C388,385-MA_LONG2):$C388),"")</f>
        <v>109575894.505</v>
      </c>
      <c r="L388" s="53" t="n">
        <f aca="false">IF(AND(ISNUMBER($G388),$G388&gt;=21),STDEV(INDEX($H$328:$H388,62-20):$H388)*SQRT(245),"")</f>
        <v>0.232927806488403</v>
      </c>
      <c r="M388" s="52" t="n">
        <f aca="false">IF(AND(ISNUMBER($G388),$G388&gt;=60),MAX(INDEX($D$188:$D388,202-60):$D388),"")</f>
        <v>126011789</v>
      </c>
      <c r="N388" s="52" t="n">
        <f aca="false">IF(AND(ISNUMBER($G388),$G388&gt;=60),MIN(INDEX($E$188:$E388,202-60):$E388),"")</f>
        <v>104967024</v>
      </c>
      <c r="O388" s="53" t="n">
        <f aca="false">IF(OR(NOT(ISNUMBER($C388)),NOT(ISNUMBER($M388)),$M388=0),"",$C388/$M388-1)</f>
        <v>-0.164052698275715</v>
      </c>
      <c r="P388" s="54"/>
      <c r="Q388" s="53" t="str">
        <f aca="false">IF(NOT(ISNUMBER($P388)),"",IFERROR(PERCENTRANK($P$5:$P$1204,$P388),""))</f>
        <v/>
      </c>
    </row>
    <row r="389" customFormat="false" ht="15" hidden="false" customHeight="false" outlineLevel="0" collapsed="false">
      <c r="A389" s="47" t="n">
        <v>46106</v>
      </c>
      <c r="B389" s="48" t="s">
        <v>537</v>
      </c>
      <c r="C389" s="49" t="n">
        <v>103760867</v>
      </c>
      <c r="D389" s="49" t="n">
        <v>104540952</v>
      </c>
      <c r="E389" s="49" t="n">
        <v>103495939</v>
      </c>
      <c r="F389" s="49" t="n">
        <v>0</v>
      </c>
      <c r="G389" s="50" t="n">
        <f aca="false">IF($A389="","",IF(ISNUMBER($G388),$G388+1,1))</f>
        <v>385</v>
      </c>
      <c r="H389" s="51" t="n">
        <f aca="false">IF(OR(NOT(ISNUMBER($G389)),$G389&lt;2,NOT(ISNUMBER($C388)),$C388=0),"",$C389/$C388-1)</f>
        <v>-0.0149834797990474</v>
      </c>
      <c r="I389" s="52" t="n">
        <f aca="false">IF(AND(ISNUMBER($G389),$G389&gt;=MA_SHORT),AVERAGE(INDEX($C$5:$C389,386-MA_SHORT):$C389),"")</f>
        <v>113952786.6</v>
      </c>
      <c r="J389" s="52" t="n">
        <f aca="false">IF(AND(ISNUMBER($G389),$G389&gt;=MA_MED),AVERAGE(INDEX($C$5:$C389,386-MA_MED):$C389),"")</f>
        <v>117906950.36</v>
      </c>
      <c r="K389" s="52" t="n">
        <f aca="false">IF(AND(ISNUMBER($G389),$G389&gt;=MA_LONG2),AVERAGE(INDEX($C$5:$C389,386-MA_LONG2):$C389),"")</f>
        <v>109594095.525</v>
      </c>
      <c r="L389" s="53" t="n">
        <f aca="false">IF(AND(ISNUMBER($G389),$G389&gt;=21),STDEV(INDEX($H$329:$H389,62-20):$H389)*SQRT(245),"")</f>
        <v>0.234180753259906</v>
      </c>
      <c r="M389" s="52" t="n">
        <f aca="false">IF(AND(ISNUMBER($G389),$G389&gt;=60),MAX(INDEX($D$189:$D389,202-60):$D389),"")</f>
        <v>126011789</v>
      </c>
      <c r="N389" s="52" t="n">
        <f aca="false">IF(AND(ISNUMBER($G389),$G389&gt;=60),MIN(INDEX($E$189:$E389,202-60):$E389),"")</f>
        <v>103495939</v>
      </c>
      <c r="O389" s="53" t="n">
        <f aca="false">IF(OR(NOT(ISNUMBER($C389)),NOT(ISNUMBER($M389)),$M389=0),"",$C389/$M389-1)</f>
        <v>-0.176578097784168</v>
      </c>
      <c r="P389" s="54"/>
      <c r="Q389" s="53" t="str">
        <f aca="false">IF(NOT(ISNUMBER($P389)),"",IFERROR(PERCENTRANK($P$5:$P$1204,$P389),""))</f>
        <v/>
      </c>
    </row>
    <row r="390" customFormat="false" ht="15" hidden="false" customHeight="false" outlineLevel="0" collapsed="false">
      <c r="A390" s="47" t="n">
        <v>46109</v>
      </c>
      <c r="B390" s="48" t="s">
        <v>538</v>
      </c>
      <c r="C390" s="49" t="n">
        <v>104736584</v>
      </c>
      <c r="D390" s="49" t="n">
        <v>104978346</v>
      </c>
      <c r="E390" s="49" t="n">
        <v>104488193</v>
      </c>
      <c r="F390" s="49" t="n">
        <v>0</v>
      </c>
      <c r="G390" s="50" t="n">
        <f aca="false">IF($A390="","",IF(ISNUMBER($G389),$G389+1,1))</f>
        <v>386</v>
      </c>
      <c r="H390" s="51" t="n">
        <f aca="false">IF(OR(NOT(ISNUMBER($G390)),$G390&lt;2,NOT(ISNUMBER($C389)),$C389=0),"",$C390/$C389-1)</f>
        <v>0.00940351626013292</v>
      </c>
      <c r="I390" s="52" t="n">
        <f aca="false">IF(AND(ISNUMBER($G390),$G390&gt;=MA_SHORT),AVERAGE(INDEX($C$5:$C390,387-MA_SHORT):$C390),"")</f>
        <v>113126869.55</v>
      </c>
      <c r="J390" s="52" t="n">
        <f aca="false">IF(AND(ISNUMBER($G390),$G390&gt;=MA_MED),AVERAGE(INDEX($C$5:$C390,387-MA_MED):$C390),"")</f>
        <v>117712184.28</v>
      </c>
      <c r="K390" s="52" t="n">
        <f aca="false">IF(AND(ISNUMBER($G390),$G390&gt;=MA_LONG2),AVERAGE(INDEX($C$5:$C390,387-MA_LONG2):$C390),"")</f>
        <v>109604922.63</v>
      </c>
      <c r="L390" s="53" t="n">
        <f aca="false">IF(AND(ISNUMBER($G390),$G390&gt;=21),STDEV(INDEX($H$330:$H390,62-20):$H390)*SQRT(245),"")</f>
        <v>0.238596594320168</v>
      </c>
      <c r="M390" s="52" t="n">
        <f aca="false">IF(AND(ISNUMBER($G390),$G390&gt;=60),MAX(INDEX($D$190:$D390,202-60):$D390),"")</f>
        <v>126011789</v>
      </c>
      <c r="N390" s="52" t="n">
        <f aca="false">IF(AND(ISNUMBER($G390),$G390&gt;=60),MIN(INDEX($E$190:$E390,202-60):$E390),"")</f>
        <v>103495939</v>
      </c>
      <c r="O390" s="53" t="n">
        <f aca="false">IF(OR(NOT(ISNUMBER($C390)),NOT(ISNUMBER($M390)),$M390=0),"",$C390/$M390-1)</f>
        <v>-0.168835036537732</v>
      </c>
      <c r="P390" s="54"/>
      <c r="Q390" s="53" t="str">
        <f aca="false">IF(NOT(ISNUMBER($P390)),"",IFERROR(PERCENTRANK($P$5:$P$1204,$P390),""))</f>
        <v/>
      </c>
    </row>
    <row r="391" customFormat="false" ht="15" hidden="false" customHeight="false" outlineLevel="0" collapsed="false">
      <c r="A391" s="47" t="n">
        <v>46110</v>
      </c>
      <c r="B391" s="48" t="s">
        <v>539</v>
      </c>
      <c r="C391" s="49" t="n">
        <v>107293977</v>
      </c>
      <c r="D391" s="49" t="n">
        <v>107446422</v>
      </c>
      <c r="E391" s="49" t="n">
        <v>107209676</v>
      </c>
      <c r="F391" s="49" t="n">
        <v>0</v>
      </c>
      <c r="G391" s="50" t="n">
        <f aca="false">IF($A391="","",IF(ISNUMBER($G390),$G390+1,1))</f>
        <v>387</v>
      </c>
      <c r="H391" s="51" t="n">
        <f aca="false">IF(OR(NOT(ISNUMBER($G391)),$G391&lt;2,NOT(ISNUMBER($C390)),$C390=0),"",$C391/$C390-1)</f>
        <v>0.0244173802727803</v>
      </c>
      <c r="I391" s="52" t="n">
        <f aca="false">IF(AND(ISNUMBER($G391),$G391&gt;=MA_SHORT),AVERAGE(INDEX($C$5:$C391,388-MA_SHORT):$C391),"")</f>
        <v>112387915.4</v>
      </c>
      <c r="J391" s="52" t="n">
        <f aca="false">IF(AND(ISNUMBER($G391),$G391&gt;=MA_MED),AVERAGE(INDEX($C$5:$C391,388-MA_MED):$C391),"")</f>
        <v>117496389.66</v>
      </c>
      <c r="K391" s="52" t="n">
        <f aca="false">IF(AND(ISNUMBER($G391),$G391&gt;=MA_LONG2),AVERAGE(INDEX($C$5:$C391,388-MA_LONG2):$C391),"")</f>
        <v>109621921.905</v>
      </c>
      <c r="L391" s="53" t="n">
        <f aca="false">IF(AND(ISNUMBER($G391),$G391&gt;=21),STDEV(INDEX($H$331:$H391,62-20):$H391)*SQRT(245),"")</f>
        <v>0.259039983661077</v>
      </c>
      <c r="M391" s="52" t="n">
        <f aca="false">IF(AND(ISNUMBER($G391),$G391&gt;=60),MAX(INDEX($D$191:$D391,202-60):$D391),"")</f>
        <v>126011789</v>
      </c>
      <c r="N391" s="52" t="n">
        <f aca="false">IF(AND(ISNUMBER($G391),$G391&gt;=60),MIN(INDEX($E$191:$E391,202-60):$E391),"")</f>
        <v>103495939</v>
      </c>
      <c r="O391" s="53" t="n">
        <f aca="false">IF(OR(NOT(ISNUMBER($C391)),NOT(ISNUMBER($M391)),$M391=0),"",$C391/$M391-1)</f>
        <v>-0.148540165555462</v>
      </c>
      <c r="P391" s="54"/>
      <c r="Q391" s="53" t="str">
        <f aca="false">IF(NOT(ISNUMBER($P391)),"",IFERROR(PERCENTRANK($P$5:$P$1204,$P391),""))</f>
        <v/>
      </c>
    </row>
    <row r="392" customFormat="false" ht="15" hidden="false" customHeight="false" outlineLevel="0" collapsed="false">
      <c r="A392" s="47" t="n">
        <v>46111</v>
      </c>
      <c r="B392" s="48" t="s">
        <v>540</v>
      </c>
      <c r="C392" s="49" t="n">
        <v>107354324</v>
      </c>
      <c r="D392" s="49" t="n">
        <v>107909357</v>
      </c>
      <c r="E392" s="49" t="n">
        <v>106927418</v>
      </c>
      <c r="F392" s="49" t="n">
        <v>0</v>
      </c>
      <c r="G392" s="50" t="n">
        <f aca="false">IF($A392="","",IF(ISNUMBER($G391),$G391+1,1))</f>
        <v>388</v>
      </c>
      <c r="H392" s="51" t="n">
        <f aca="false">IF(OR(NOT(ISNUMBER($G392)),$G392&lt;2,NOT(ISNUMBER($C391)),$C391=0),"",$C392/$C391-1)</f>
        <v>0.000562445364477471</v>
      </c>
      <c r="I392" s="52" t="n">
        <f aca="false">IF(AND(ISNUMBER($G392),$G392&gt;=MA_SHORT),AVERAGE(INDEX($C$5:$C392,389-MA_SHORT):$C392),"")</f>
        <v>111750407.1</v>
      </c>
      <c r="J392" s="52" t="n">
        <f aca="false">IF(AND(ISNUMBER($G392),$G392&gt;=MA_MED),AVERAGE(INDEX($C$5:$C392,389-MA_MED):$C392),"")</f>
        <v>117259051.62</v>
      </c>
      <c r="K392" s="52" t="n">
        <f aca="false">IF(AND(ISNUMBER($G392),$G392&gt;=MA_LONG2),AVERAGE(INDEX($C$5:$C392,389-MA_LONG2):$C392),"")</f>
        <v>109631579.07</v>
      </c>
      <c r="L392" s="53" t="n">
        <f aca="false">IF(AND(ISNUMBER($G392),$G392&gt;=21),STDEV(INDEX($H$332:$H392,62-20):$H392)*SQRT(245),"")</f>
        <v>0.257457911920944</v>
      </c>
      <c r="M392" s="52" t="n">
        <f aca="false">IF(AND(ISNUMBER($G392),$G392&gt;=60),MAX(INDEX($D$192:$D392,202-60):$D392),"")</f>
        <v>126011789</v>
      </c>
      <c r="N392" s="52" t="n">
        <f aca="false">IF(AND(ISNUMBER($G392),$G392&gt;=60),MIN(INDEX($E$192:$E392,202-60):$E392),"")</f>
        <v>103495939</v>
      </c>
      <c r="O392" s="53" t="n">
        <f aca="false">IF(OR(NOT(ISNUMBER($C392)),NOT(ISNUMBER($M392)),$M392=0),"",$C392/$M392-1)</f>
        <v>-0.14806126591854</v>
      </c>
      <c r="P392" s="54"/>
      <c r="Q392" s="53" t="str">
        <f aca="false">IF(NOT(ISNUMBER($P392)),"",IFERROR(PERCENTRANK($P$5:$P$1204,$P392),""))</f>
        <v/>
      </c>
    </row>
    <row r="393" customFormat="false" ht="15" hidden="false" customHeight="false" outlineLevel="0" collapsed="false">
      <c r="A393" s="47" t="n">
        <v>46112</v>
      </c>
      <c r="B393" s="48" t="s">
        <v>541</v>
      </c>
      <c r="C393" s="49" t="n">
        <v>108325121</v>
      </c>
      <c r="D393" s="49" t="n">
        <v>108573819</v>
      </c>
      <c r="E393" s="49" t="n">
        <v>108134911</v>
      </c>
      <c r="F393" s="49" t="n">
        <v>0</v>
      </c>
      <c r="G393" s="50" t="n">
        <f aca="false">IF($A393="","",IF(ISNUMBER($G392),$G392+1,1))</f>
        <v>389</v>
      </c>
      <c r="H393" s="51" t="n">
        <f aca="false">IF(OR(NOT(ISNUMBER($G393)),$G393&lt;2,NOT(ISNUMBER($C392)),$C392=0),"",$C393/$C392-1)</f>
        <v>0.00904292406517326</v>
      </c>
      <c r="I393" s="52" t="n">
        <f aca="false">IF(AND(ISNUMBER($G393),$G393&gt;=MA_SHORT),AVERAGE(INDEX($C$5:$C393,390-MA_SHORT):$C393),"")</f>
        <v>111304531.5</v>
      </c>
      <c r="J393" s="52" t="n">
        <f aca="false">IF(AND(ISNUMBER($G393),$G393&gt;=MA_MED),AVERAGE(INDEX($C$5:$C393,390-MA_MED):$C393),"")</f>
        <v>117024785.86</v>
      </c>
      <c r="K393" s="52" t="n">
        <f aca="false">IF(AND(ISNUMBER($G393),$G393&gt;=MA_LONG2),AVERAGE(INDEX($C$5:$C393,390-MA_LONG2):$C393),"")</f>
        <v>109641247.175</v>
      </c>
      <c r="L393" s="53" t="n">
        <f aca="false">IF(AND(ISNUMBER($G393),$G393&gt;=21),STDEV(INDEX($H$333:$H393,62-20):$H393)*SQRT(245),"")</f>
        <v>0.252892819885254</v>
      </c>
      <c r="M393" s="52" t="n">
        <f aca="false">IF(AND(ISNUMBER($G393),$G393&gt;=60),MAX(INDEX($D$193:$D393,202-60):$D393),"")</f>
        <v>126011789</v>
      </c>
      <c r="N393" s="52" t="n">
        <f aca="false">IF(AND(ISNUMBER($G393),$G393&gt;=60),MIN(INDEX($E$193:$E393,202-60):$E393),"")</f>
        <v>103495939</v>
      </c>
      <c r="O393" s="53" t="n">
        <f aca="false">IF(OR(NOT(ISNUMBER($C393)),NOT(ISNUMBER($M393)),$M393=0),"",$C393/$M393-1)</f>
        <v>-0.140357248638062</v>
      </c>
      <c r="P393" s="54"/>
      <c r="Q393" s="53" t="str">
        <f aca="false">IF(NOT(ISNUMBER($P393)),"",IFERROR(PERCENTRANK($P$5:$P$1204,$P393),""))</f>
        <v/>
      </c>
    </row>
    <row r="394" customFormat="false" ht="15" hidden="false" customHeight="false" outlineLevel="0" collapsed="false">
      <c r="A394" s="47" t="n">
        <v>46113</v>
      </c>
      <c r="B394" s="48" t="s">
        <v>542</v>
      </c>
      <c r="C394" s="49" t="n">
        <v>109726213</v>
      </c>
      <c r="D394" s="49" t="n">
        <v>110126632</v>
      </c>
      <c r="E394" s="49" t="n">
        <v>109455385</v>
      </c>
      <c r="F394" s="49" t="n">
        <v>0</v>
      </c>
      <c r="G394" s="50" t="n">
        <f aca="false">IF($A394="","",IF(ISNUMBER($G393),$G393+1,1))</f>
        <v>390</v>
      </c>
      <c r="H394" s="51" t="n">
        <f aca="false">IF(OR(NOT(ISNUMBER($G394)),$G394&lt;2,NOT(ISNUMBER($C393)),$C393=0),"",$C394/$C393-1)</f>
        <v>0.0129341374102874</v>
      </c>
      <c r="I394" s="52" t="n">
        <f aca="false">IF(AND(ISNUMBER($G394),$G394&gt;=MA_SHORT),AVERAGE(INDEX($C$5:$C394,391-MA_SHORT):$C394),"")</f>
        <v>110891057.05</v>
      </c>
      <c r="J394" s="52" t="n">
        <f aca="false">IF(AND(ISNUMBER($G394),$G394&gt;=MA_MED),AVERAGE(INDEX($C$5:$C394,391-MA_MED):$C394),"")</f>
        <v>116815675.5</v>
      </c>
      <c r="K394" s="52" t="n">
        <f aca="false">IF(AND(ISNUMBER($G394),$G394&gt;=MA_LONG2),AVERAGE(INDEX($C$5:$C394,391-MA_LONG2):$C394),"")</f>
        <v>109664361.435</v>
      </c>
      <c r="L394" s="53" t="n">
        <f aca="false">IF(AND(ISNUMBER($G394),$G394&gt;=21),STDEV(INDEX($H$334:$H394,62-20):$H394)*SQRT(245),"")</f>
        <v>0.257282889904392</v>
      </c>
      <c r="M394" s="52" t="n">
        <f aca="false">IF(AND(ISNUMBER($G394),$G394&gt;=60),MAX(INDEX($D$194:$D394,202-60):$D394),"")</f>
        <v>126011789</v>
      </c>
      <c r="N394" s="52" t="n">
        <f aca="false">IF(AND(ISNUMBER($G394),$G394&gt;=60),MIN(INDEX($E$194:$E394,202-60):$E394),"")</f>
        <v>103495939</v>
      </c>
      <c r="O394" s="53" t="n">
        <f aca="false">IF(OR(NOT(ISNUMBER($C394)),NOT(ISNUMBER($M394)),$M394=0),"",$C394/$M394-1)</f>
        <v>-0.129238511168189</v>
      </c>
      <c r="P394" s="54"/>
      <c r="Q394" s="53" t="str">
        <f aca="false">IF(NOT(ISNUMBER($P394)),"",IFERROR(PERCENTRANK($P$5:$P$1204,$P394),""))</f>
        <v/>
      </c>
    </row>
    <row r="395" customFormat="false" ht="15" hidden="false" customHeight="false" outlineLevel="0" collapsed="false">
      <c r="A395" s="47" t="n">
        <v>46116</v>
      </c>
      <c r="B395" s="48" t="s">
        <v>543</v>
      </c>
      <c r="C395" s="49" t="n">
        <v>112613626</v>
      </c>
      <c r="D395" s="49" t="n">
        <v>112673076</v>
      </c>
      <c r="E395" s="49" t="n">
        <v>112180005</v>
      </c>
      <c r="F395" s="49" t="n">
        <v>0</v>
      </c>
      <c r="G395" s="50" t="n">
        <f aca="false">IF($A395="","",IF(ISNUMBER($G394),$G394+1,1))</f>
        <v>391</v>
      </c>
      <c r="H395" s="51" t="n">
        <f aca="false">IF(OR(NOT(ISNUMBER($G395)),$G395&lt;2,NOT(ISNUMBER($C394)),$C394=0),"",$C395/$C394-1)</f>
        <v>0.0263147056756621</v>
      </c>
      <c r="I395" s="52" t="n">
        <f aca="false">IF(AND(ISNUMBER($G395),$G395&gt;=MA_SHORT),AVERAGE(INDEX($C$5:$C395,392-MA_SHORT):$C395),"")</f>
        <v>110706134.1</v>
      </c>
      <c r="J395" s="52" t="n">
        <f aca="false">IF(AND(ISNUMBER($G395),$G395&gt;=MA_MED),AVERAGE(INDEX($C$5:$C395,392-MA_MED):$C395),"")</f>
        <v>116678504.08</v>
      </c>
      <c r="K395" s="52" t="n">
        <f aca="false">IF(AND(ISNUMBER($G395),$G395&gt;=MA_LONG2),AVERAGE(INDEX($C$5:$C395,392-MA_LONG2):$C395),"")</f>
        <v>109705935.905</v>
      </c>
      <c r="L395" s="53" t="n">
        <f aca="false">IF(AND(ISNUMBER($G395),$G395&gt;=21),STDEV(INDEX($H$335:$H395,62-20):$H395)*SQRT(245),"")</f>
        <v>0.274037394819065</v>
      </c>
      <c r="M395" s="52" t="n">
        <f aca="false">IF(AND(ISNUMBER($G395),$G395&gt;=60),MAX(INDEX($D$195:$D395,202-60):$D395),"")</f>
        <v>126011789</v>
      </c>
      <c r="N395" s="52" t="n">
        <f aca="false">IF(AND(ISNUMBER($G395),$G395&gt;=60),MIN(INDEX($E$195:$E395,202-60):$E395),"")</f>
        <v>103495939</v>
      </c>
      <c r="O395" s="53" t="n">
        <f aca="false">IF(OR(NOT(ISNUMBER($C395)),NOT(ISNUMBER($M395)),$M395=0),"",$C395/$M395-1)</f>
        <v>-0.106324678875879</v>
      </c>
      <c r="P395" s="54"/>
      <c r="Q395" s="53" t="str">
        <f aca="false">IF(NOT(ISNUMBER($P395)),"",IFERROR(PERCENTRANK($P$5:$P$1204,$P395),""))</f>
        <v/>
      </c>
    </row>
    <row r="396" customFormat="false" ht="15" hidden="false" customHeight="false" outlineLevel="0" collapsed="false">
      <c r="A396" s="47" t="n">
        <v>46117</v>
      </c>
      <c r="B396" s="48" t="s">
        <v>544</v>
      </c>
      <c r="C396" s="49" t="n">
        <v>113376575</v>
      </c>
      <c r="D396" s="49" t="n">
        <v>113687852</v>
      </c>
      <c r="E396" s="49" t="n">
        <v>112956559</v>
      </c>
      <c r="F396" s="49" t="n">
        <v>0</v>
      </c>
      <c r="G396" s="50" t="n">
        <f aca="false">IF($A396="","",IF(ISNUMBER($G395),$G395+1,1))</f>
        <v>392</v>
      </c>
      <c r="H396" s="51" t="n">
        <f aca="false">IF(OR(NOT(ISNUMBER($G396)),$G396&lt;2,NOT(ISNUMBER($C395)),$C395=0),"",$C396/$C395-1)</f>
        <v>0.00677492615325259</v>
      </c>
      <c r="I396" s="52" t="n">
        <f aca="false">IF(AND(ISNUMBER($G396),$G396&gt;=MA_SHORT),AVERAGE(INDEX($C$5:$C396,393-MA_SHORT):$C396),"")</f>
        <v>110695709.55</v>
      </c>
      <c r="J396" s="52" t="n">
        <f aca="false">IF(AND(ISNUMBER($G396),$G396&gt;=MA_MED),AVERAGE(INDEX($C$5:$C396,393-MA_MED):$C396),"")</f>
        <v>116581289.5</v>
      </c>
      <c r="K396" s="52" t="n">
        <f aca="false">IF(AND(ISNUMBER($G396),$G396&gt;=MA_LONG2),AVERAGE(INDEX($C$5:$C396,393-MA_LONG2):$C396),"")</f>
        <v>109750106.88</v>
      </c>
      <c r="L396" s="53" t="n">
        <f aca="false">IF(AND(ISNUMBER($G396),$G396&gt;=21),STDEV(INDEX($H$336:$H396,62-20):$H396)*SQRT(245),"")</f>
        <v>0.262973831890973</v>
      </c>
      <c r="M396" s="52" t="n">
        <f aca="false">IF(AND(ISNUMBER($G396),$G396&gt;=60),MAX(INDEX($D$196:$D396,202-60):$D396),"")</f>
        <v>126011789</v>
      </c>
      <c r="N396" s="52" t="n">
        <f aca="false">IF(AND(ISNUMBER($G396),$G396&gt;=60),MIN(INDEX($E$196:$E396,202-60):$E396),"")</f>
        <v>103495939</v>
      </c>
      <c r="O396" s="53" t="n">
        <f aca="false">IF(OR(NOT(ISNUMBER($C396)),NOT(ISNUMBER($M396)),$M396=0),"",$C396/$M396-1)</f>
        <v>-0.100270094570279</v>
      </c>
      <c r="P396" s="54"/>
      <c r="Q396" s="53" t="str">
        <f aca="false">IF(NOT(ISNUMBER($P396)),"",IFERROR(PERCENTRANK($P$5:$P$1204,$P396),""))</f>
        <v/>
      </c>
    </row>
    <row r="397" customFormat="false" ht="15" hidden="false" customHeight="false" outlineLevel="0" collapsed="false">
      <c r="A397" s="47" t="n">
        <v>46118</v>
      </c>
      <c r="B397" s="48" t="s">
        <v>545</v>
      </c>
      <c r="C397" s="49" t="n">
        <v>111394309</v>
      </c>
      <c r="D397" s="49" t="n">
        <v>111589588</v>
      </c>
      <c r="E397" s="49" t="n">
        <v>111110861</v>
      </c>
      <c r="F397" s="49" t="n">
        <v>0</v>
      </c>
      <c r="G397" s="50" t="n">
        <f aca="false">IF($A397="","",IF(ISNUMBER($G396),$G396+1,1))</f>
        <v>393</v>
      </c>
      <c r="H397" s="51" t="n">
        <f aca="false">IF(OR(NOT(ISNUMBER($G397)),$G397&lt;2,NOT(ISNUMBER($C396)),$C396=0),"",$C397/$C396-1)</f>
        <v>-0.0174839114693666</v>
      </c>
      <c r="I397" s="52" t="n">
        <f aca="false">IF(AND(ISNUMBER($G397),$G397&gt;=MA_SHORT),AVERAGE(INDEX($C$5:$C397,394-MA_SHORT):$C397),"")</f>
        <v>110644558.5</v>
      </c>
      <c r="J397" s="52" t="n">
        <f aca="false">IF(AND(ISNUMBER($G397),$G397&gt;=MA_MED),AVERAGE(INDEX($C$5:$C397,394-MA_MED):$C397),"")</f>
        <v>116445462.06</v>
      </c>
      <c r="K397" s="52" t="n">
        <f aca="false">IF(AND(ISNUMBER($G397),$G397&gt;=MA_LONG2),AVERAGE(INDEX($C$5:$C397,394-MA_LONG2):$C397),"")</f>
        <v>109785267.535</v>
      </c>
      <c r="L397" s="53" t="n">
        <f aca="false">IF(AND(ISNUMBER($G397),$G397&gt;=21),STDEV(INDEX($H$337:$H397,62-20):$H397)*SQRT(245),"")</f>
        <v>0.267784775053664</v>
      </c>
      <c r="M397" s="52" t="n">
        <f aca="false">IF(AND(ISNUMBER($G397),$G397&gt;=60),MAX(INDEX($D$197:$D397,202-60):$D397),"")</f>
        <v>126011789</v>
      </c>
      <c r="N397" s="52" t="n">
        <f aca="false">IF(AND(ISNUMBER($G397),$G397&gt;=60),MIN(INDEX($E$197:$E397,202-60):$E397),"")</f>
        <v>103495939</v>
      </c>
      <c r="O397" s="53" t="n">
        <f aca="false">IF(OR(NOT(ISNUMBER($C397)),NOT(ISNUMBER($M397)),$M397=0),"",$C397/$M397-1)</f>
        <v>-0.116000892583153</v>
      </c>
      <c r="P397" s="54"/>
      <c r="Q397" s="53" t="str">
        <f aca="false">IF(NOT(ISNUMBER($P397)),"",IFERROR(PERCENTRANK($P$5:$P$1204,$P397),""))</f>
        <v/>
      </c>
    </row>
    <row r="398" customFormat="false" ht="15" hidden="false" customHeight="false" outlineLevel="0" collapsed="false">
      <c r="A398" s="47" t="n">
        <v>46119</v>
      </c>
      <c r="B398" s="48" t="s">
        <v>546</v>
      </c>
      <c r="C398" s="49" t="n">
        <v>110123519</v>
      </c>
      <c r="D398" s="49" t="n">
        <v>110324077</v>
      </c>
      <c r="E398" s="49" t="n">
        <v>109916612</v>
      </c>
      <c r="F398" s="49" t="n">
        <v>0</v>
      </c>
      <c r="G398" s="50" t="n">
        <f aca="false">IF($A398="","",IF(ISNUMBER($G397),$G397+1,1))</f>
        <v>394</v>
      </c>
      <c r="H398" s="51" t="n">
        <f aca="false">IF(OR(NOT(ISNUMBER($G398)),$G398&lt;2,NOT(ISNUMBER($C397)),$C397=0),"",$C398/$C397-1)</f>
        <v>-0.0114080334211688</v>
      </c>
      <c r="I398" s="52" t="n">
        <f aca="false">IF(AND(ISNUMBER($G398),$G398&gt;=MA_SHORT),AVERAGE(INDEX($C$5:$C398,395-MA_SHORT):$C398),"")</f>
        <v>110463766.7</v>
      </c>
      <c r="J398" s="52" t="n">
        <f aca="false">IF(AND(ISNUMBER($G398),$G398&gt;=MA_MED),AVERAGE(INDEX($C$5:$C398,395-MA_MED):$C398),"")</f>
        <v>116254335.1</v>
      </c>
      <c r="K398" s="52" t="n">
        <f aca="false">IF(AND(ISNUMBER($G398),$G398&gt;=MA_LONG2),AVERAGE(INDEX($C$5:$C398,395-MA_LONG2):$C398),"")</f>
        <v>109815425.525</v>
      </c>
      <c r="L398" s="53" t="n">
        <f aca="false">IF(AND(ISNUMBER($G398),$G398&gt;=21),STDEV(INDEX($H$338:$H398,62-20):$H398)*SQRT(245),"")</f>
        <v>0.266586047160145</v>
      </c>
      <c r="M398" s="52" t="n">
        <f aca="false">IF(AND(ISNUMBER($G398),$G398&gt;=60),MAX(INDEX($D$198:$D398,202-60):$D398),"")</f>
        <v>126011789</v>
      </c>
      <c r="N398" s="52" t="n">
        <f aca="false">IF(AND(ISNUMBER($G398),$G398&gt;=60),MIN(INDEX($E$198:$E398,202-60):$E398),"")</f>
        <v>103495939</v>
      </c>
      <c r="O398" s="53" t="n">
        <f aca="false">IF(OR(NOT(ISNUMBER($C398)),NOT(ISNUMBER($M398)),$M398=0),"",$C398/$M398-1)</f>
        <v>-0.126085583944848</v>
      </c>
      <c r="P398" s="54"/>
      <c r="Q398" s="53" t="str">
        <f aca="false">IF(NOT(ISNUMBER($P398)),"",IFERROR(PERCENTRANK($P$5:$P$1204,$P398),""))</f>
        <v/>
      </c>
    </row>
    <row r="399" customFormat="false" ht="15" hidden="false" customHeight="false" outlineLevel="0" collapsed="false">
      <c r="A399" s="47" t="n">
        <v>46120</v>
      </c>
      <c r="B399" s="48" t="s">
        <v>547</v>
      </c>
      <c r="C399" s="49" t="n">
        <v>109824679</v>
      </c>
      <c r="D399" s="49" t="n">
        <v>110015950</v>
      </c>
      <c r="E399" s="49" t="n">
        <v>109468582</v>
      </c>
      <c r="F399" s="49" t="n">
        <v>0</v>
      </c>
      <c r="G399" s="50" t="n">
        <f aca="false">IF($A399="","",IF(ISNUMBER($G398),$G398+1,1))</f>
        <v>395</v>
      </c>
      <c r="H399" s="51" t="n">
        <f aca="false">IF(OR(NOT(ISNUMBER($G399)),$G399&lt;2,NOT(ISNUMBER($C398)),$C398=0),"",$C399/$C398-1)</f>
        <v>-0.00271368008136386</v>
      </c>
      <c r="I399" s="52" t="n">
        <f aca="false">IF(AND(ISNUMBER($G399),$G399&gt;=MA_SHORT),AVERAGE(INDEX($C$5:$C399,396-MA_SHORT):$C399),"")</f>
        <v>110168801.1</v>
      </c>
      <c r="J399" s="52" t="n">
        <f aca="false">IF(AND(ISNUMBER($G399),$G399&gt;=MA_MED),AVERAGE(INDEX($C$5:$C399,396-MA_MED):$C399),"")</f>
        <v>116029144.58</v>
      </c>
      <c r="K399" s="52" t="n">
        <f aca="false">IF(AND(ISNUMBER($G399),$G399&gt;=MA_LONG2),AVERAGE(INDEX($C$5:$C399,396-MA_LONG2):$C399),"")</f>
        <v>109834943.86</v>
      </c>
      <c r="L399" s="53" t="n">
        <f aca="false">IF(AND(ISNUMBER($G399),$G399&gt;=21),STDEV(INDEX($H$339:$H399,62-20):$H399)*SQRT(245),"")</f>
        <v>0.257308774427195</v>
      </c>
      <c r="M399" s="52" t="n">
        <f aca="false">IF(AND(ISNUMBER($G399),$G399&gt;=60),MAX(INDEX($D$199:$D399,202-60):$D399),"")</f>
        <v>126011789</v>
      </c>
      <c r="N399" s="52" t="n">
        <f aca="false">IF(AND(ISNUMBER($G399),$G399&gt;=60),MIN(INDEX($E$199:$E399,202-60):$E399),"")</f>
        <v>103495939</v>
      </c>
      <c r="O399" s="53" t="n">
        <f aca="false">IF(OR(NOT(ISNUMBER($C399)),NOT(ISNUMBER($M399)),$M399=0),"",$C399/$M399-1)</f>
        <v>-0.128457108088514</v>
      </c>
      <c r="P399" s="54"/>
      <c r="Q399" s="53" t="str">
        <f aca="false">IF(NOT(ISNUMBER($P399)),"",IFERROR(PERCENTRANK($P$5:$P$1204,$P399),""))</f>
        <v/>
      </c>
    </row>
    <row r="400" customFormat="false" ht="15" hidden="false" customHeight="false" outlineLevel="0" collapsed="false">
      <c r="A400" s="47" t="n">
        <v>46123</v>
      </c>
      <c r="B400" s="48" t="s">
        <v>548</v>
      </c>
      <c r="C400" s="49" t="n">
        <v>107573386</v>
      </c>
      <c r="D400" s="49" t="n">
        <v>107872443</v>
      </c>
      <c r="E400" s="49" t="n">
        <v>107396014</v>
      </c>
      <c r="F400" s="49" t="n">
        <v>0</v>
      </c>
      <c r="G400" s="50" t="n">
        <f aca="false">IF($A400="","",IF(ISNUMBER($G399),$G399+1,1))</f>
        <v>396</v>
      </c>
      <c r="H400" s="51" t="n">
        <f aca="false">IF(OR(NOT(ISNUMBER($G400)),$G400&lt;2,NOT(ISNUMBER($C399)),$C399=0),"",$C400/$C399-1)</f>
        <v>-0.0204989718203501</v>
      </c>
      <c r="I400" s="52" t="n">
        <f aca="false">IF(AND(ISNUMBER($G400),$G400&gt;=MA_SHORT),AVERAGE(INDEX($C$5:$C400,397-MA_SHORT):$C400),"")</f>
        <v>109812441.45</v>
      </c>
      <c r="J400" s="52" t="n">
        <f aca="false">IF(AND(ISNUMBER($G400),$G400&gt;=MA_MED),AVERAGE(INDEX($C$5:$C400,397-MA_MED):$C400),"")</f>
        <v>115741766.3</v>
      </c>
      <c r="K400" s="52" t="n">
        <f aca="false">IF(AND(ISNUMBER($G400),$G400&gt;=MA_LONG2),AVERAGE(INDEX($C$5:$C400,397-MA_LONG2):$C400),"")</f>
        <v>109850878.8</v>
      </c>
      <c r="L400" s="53" t="n">
        <f aca="false">IF(AND(ISNUMBER($G400),$G400&gt;=21),STDEV(INDEX($H$340:$H400,62-20):$H400)*SQRT(245),"")</f>
        <v>0.2641660759252</v>
      </c>
      <c r="M400" s="52" t="n">
        <f aca="false">IF(AND(ISNUMBER($G400),$G400&gt;=60),MAX(INDEX($D$200:$D400,202-60):$D400),"")</f>
        <v>126011789</v>
      </c>
      <c r="N400" s="52" t="n">
        <f aca="false">IF(AND(ISNUMBER($G400),$G400&gt;=60),MIN(INDEX($E$200:$E400,202-60):$E400),"")</f>
        <v>103495939</v>
      </c>
      <c r="O400" s="53" t="n">
        <f aca="false">IF(OR(NOT(ISNUMBER($C400)),NOT(ISNUMBER($M400)),$M400=0),"",$C400/$M400-1)</f>
        <v>-0.146322841270034</v>
      </c>
      <c r="P400" s="54"/>
      <c r="Q400" s="53" t="str">
        <f aca="false">IF(NOT(ISNUMBER($P400)),"",IFERROR(PERCENTRANK($P$5:$P$1204,$P400),""))</f>
        <v/>
      </c>
    </row>
    <row r="401" customFormat="false" ht="15" hidden="false" customHeight="false" outlineLevel="0" collapsed="false">
      <c r="A401" s="47" t="n">
        <v>46124</v>
      </c>
      <c r="B401" s="48" t="s">
        <v>549</v>
      </c>
      <c r="C401" s="49" t="n">
        <v>107446823</v>
      </c>
      <c r="D401" s="49" t="n">
        <v>107553251</v>
      </c>
      <c r="E401" s="49" t="n">
        <v>107242679</v>
      </c>
      <c r="F401" s="49" t="n">
        <v>0</v>
      </c>
      <c r="G401" s="50" t="n">
        <f aca="false">IF($A401="","",IF(ISNUMBER($G400),$G400+1,1))</f>
        <v>397</v>
      </c>
      <c r="H401" s="51" t="n">
        <f aca="false">IF(OR(NOT(ISNUMBER($G401)),$G401&lt;2,NOT(ISNUMBER($C400)),$C400=0),"",$C401/$C400-1)</f>
        <v>-0.00117652706404536</v>
      </c>
      <c r="I401" s="52" t="n">
        <f aca="false">IF(AND(ISNUMBER($G401),$G401&gt;=MA_SHORT),AVERAGE(INDEX($C$5:$C401,398-MA_SHORT):$C401),"")</f>
        <v>109397414.9</v>
      </c>
      <c r="J401" s="52" t="n">
        <f aca="false">IF(AND(ISNUMBER($G401),$G401&gt;=MA_MED),AVERAGE(INDEX($C$5:$C401,398-MA_MED):$C401),"")</f>
        <v>115492463.02</v>
      </c>
      <c r="K401" s="52" t="n">
        <f aca="false">IF(AND(ISNUMBER($G401),$G401&gt;=MA_LONG2),AVERAGE(INDEX($C$5:$C401,398-MA_LONG2):$C401),"")</f>
        <v>109857992.595</v>
      </c>
      <c r="L401" s="53" t="n">
        <f aca="false">IF(AND(ISNUMBER($G401),$G401&gt;=21),STDEV(INDEX($H$341:$H401,62-20):$H401)*SQRT(245),"")</f>
        <v>0.260469712707457</v>
      </c>
      <c r="M401" s="52" t="n">
        <f aca="false">IF(AND(ISNUMBER($G401),$G401&gt;=60),MAX(INDEX($D$201:$D401,202-60):$D401),"")</f>
        <v>126011789</v>
      </c>
      <c r="N401" s="52" t="n">
        <f aca="false">IF(AND(ISNUMBER($G401),$G401&gt;=60),MIN(INDEX($E$201:$E401,202-60):$E401),"")</f>
        <v>103495939</v>
      </c>
      <c r="O401" s="53" t="n">
        <f aca="false">IF(OR(NOT(ISNUMBER($C401)),NOT(ISNUMBER($M401)),$M401=0),"",$C401/$M401-1)</f>
        <v>-0.147327215551237</v>
      </c>
      <c r="P401" s="54"/>
      <c r="Q401" s="53" t="str">
        <f aca="false">IF(NOT(ISNUMBER($P401)),"",IFERROR(PERCENTRANK($P$5:$P$1204,$P401),""))</f>
        <v/>
      </c>
    </row>
    <row r="402" customFormat="false" ht="15" hidden="false" customHeight="false" outlineLevel="0" collapsed="false">
      <c r="A402" s="47" t="n">
        <v>46125</v>
      </c>
      <c r="B402" s="48" t="s">
        <v>550</v>
      </c>
      <c r="C402" s="49" t="n">
        <v>106835496</v>
      </c>
      <c r="D402" s="49" t="n">
        <v>106884817</v>
      </c>
      <c r="E402" s="49" t="n">
        <v>106490409</v>
      </c>
      <c r="F402" s="49" t="n">
        <v>0</v>
      </c>
      <c r="G402" s="50" t="n">
        <f aca="false">IF($A402="","",IF(ISNUMBER($G401),$G401+1,1))</f>
        <v>398</v>
      </c>
      <c r="H402" s="51" t="n">
        <f aca="false">IF(OR(NOT(ISNUMBER($G402)),$G402&lt;2,NOT(ISNUMBER($C401)),$C401=0),"",$C402/$C401-1)</f>
        <v>-0.00568957725255403</v>
      </c>
      <c r="I402" s="52" t="n">
        <f aca="false">IF(AND(ISNUMBER($G402),$G402&gt;=MA_SHORT),AVERAGE(INDEX($C$5:$C402,399-MA_SHORT):$C402),"")</f>
        <v>108958913.6</v>
      </c>
      <c r="J402" s="52" t="n">
        <f aca="false">IF(AND(ISNUMBER($G402),$G402&gt;=MA_MED),AVERAGE(INDEX($C$5:$C402,399-MA_MED):$C402),"")</f>
        <v>115166523.46</v>
      </c>
      <c r="K402" s="52" t="n">
        <f aca="false">IF(AND(ISNUMBER($G402),$G402&gt;=MA_LONG2),AVERAGE(INDEX($C$5:$C402,399-MA_LONG2):$C402),"")</f>
        <v>109860095.375</v>
      </c>
      <c r="L402" s="53" t="n">
        <f aca="false">IF(AND(ISNUMBER($G402),$G402&gt;=21),STDEV(INDEX($H$342:$H402,62-20):$H402)*SQRT(245),"")</f>
        <v>0.260417661659472</v>
      </c>
      <c r="M402" s="52" t="n">
        <f aca="false">IF(AND(ISNUMBER($G402),$G402&gt;=60),MAX(INDEX($D$202:$D402,202-60):$D402),"")</f>
        <v>126011789</v>
      </c>
      <c r="N402" s="52" t="n">
        <f aca="false">IF(AND(ISNUMBER($G402),$G402&gt;=60),MIN(INDEX($E$202:$E402,202-60):$E402),"")</f>
        <v>103495939</v>
      </c>
      <c r="O402" s="53" t="n">
        <f aca="false">IF(OR(NOT(ISNUMBER($C402)),NOT(ISNUMBER($M402)),$M402=0),"",$C402/$M402-1)</f>
        <v>-0.152178563229509</v>
      </c>
      <c r="P402" s="54"/>
      <c r="Q402" s="53" t="str">
        <f aca="false">IF(NOT(ISNUMBER($P402)),"",IFERROR(PERCENTRANK($P$5:$P$1204,$P402),""))</f>
        <v/>
      </c>
    </row>
    <row r="403" customFormat="false" ht="15" hidden="false" customHeight="false" outlineLevel="0" collapsed="false">
      <c r="A403" s="47" t="n">
        <v>46126</v>
      </c>
      <c r="B403" s="48" t="s">
        <v>551</v>
      </c>
      <c r="C403" s="49" t="n">
        <v>107238703</v>
      </c>
      <c r="D403" s="49" t="n">
        <v>107579857</v>
      </c>
      <c r="E403" s="49" t="n">
        <v>106716790</v>
      </c>
      <c r="F403" s="49" t="n">
        <v>0</v>
      </c>
      <c r="G403" s="50" t="n">
        <f aca="false">IF($A403="","",IF(ISNUMBER($G402),$G402+1,1))</f>
        <v>399</v>
      </c>
      <c r="H403" s="51" t="n">
        <f aca="false">IF(OR(NOT(ISNUMBER($G403)),$G403&lt;2,NOT(ISNUMBER($C402)),$C402=0),"",$C403/$C402-1)</f>
        <v>0.00377409208639801</v>
      </c>
      <c r="I403" s="52" t="n">
        <f aca="false">IF(AND(ISNUMBER($G403),$G403&gt;=MA_SHORT),AVERAGE(INDEX($C$5:$C403,400-MA_SHORT):$C403),"")</f>
        <v>108660686.7</v>
      </c>
      <c r="J403" s="52" t="n">
        <f aca="false">IF(AND(ISNUMBER($G403),$G403&gt;=MA_MED),AVERAGE(INDEX($C$5:$C403,400-MA_MED):$C403),"")</f>
        <v>114818327.32</v>
      </c>
      <c r="K403" s="52" t="n">
        <f aca="false">IF(AND(ISNUMBER($G403),$G403&gt;=MA_LONG2),AVERAGE(INDEX($C$5:$C403,400-MA_LONG2):$C403),"")</f>
        <v>109855590.41</v>
      </c>
      <c r="L403" s="53" t="n">
        <f aca="false">IF(AND(ISNUMBER($G403),$G403&gt;=21),STDEV(INDEX($H$343:$H403,62-20):$H403)*SQRT(245),"")</f>
        <v>0.253876861203842</v>
      </c>
      <c r="M403" s="52" t="n">
        <f aca="false">IF(AND(ISNUMBER($G403),$G403&gt;=60),MAX(INDEX($D$203:$D403,202-60):$D403),"")</f>
        <v>126011789</v>
      </c>
      <c r="N403" s="52" t="n">
        <f aca="false">IF(AND(ISNUMBER($G403),$G403&gt;=60),MIN(INDEX($E$203:$E403,202-60):$E403),"")</f>
        <v>103495939</v>
      </c>
      <c r="O403" s="53" t="n">
        <f aca="false">IF(OR(NOT(ISNUMBER($C403)),NOT(ISNUMBER($M403)),$M403=0),"",$C403/$M403-1)</f>
        <v>-0.148978807054315</v>
      </c>
      <c r="P403" s="54"/>
      <c r="Q403" s="53" t="str">
        <f aca="false">IF(NOT(ISNUMBER($P403)),"",IFERROR(PERCENTRANK($P$5:$P$1204,$P403),""))</f>
        <v/>
      </c>
    </row>
    <row r="404" customFormat="false" ht="15" hidden="false" customHeight="false" outlineLevel="0" collapsed="false">
      <c r="A404" s="47" t="n">
        <v>46127</v>
      </c>
      <c r="B404" s="48" t="s">
        <v>552</v>
      </c>
      <c r="C404" s="49" t="n">
        <v>106629818</v>
      </c>
      <c r="D404" s="49" t="n">
        <v>106848914</v>
      </c>
      <c r="E404" s="49" t="n">
        <v>106421609</v>
      </c>
      <c r="F404" s="49" t="n">
        <v>0</v>
      </c>
      <c r="G404" s="50" t="n">
        <f aca="false">IF($A404="","",IF(ISNUMBER($G403),$G403+1,1))</f>
        <v>400</v>
      </c>
      <c r="H404" s="51" t="n">
        <f aca="false">IF(OR(NOT(ISNUMBER($G404)),$G404&lt;2,NOT(ISNUMBER($C403)),$C403=0),"",$C404/$C403-1)</f>
        <v>-0.00567784748385103</v>
      </c>
      <c r="I404" s="52" t="n">
        <f aca="false">IF(AND(ISNUMBER($G404),$G404&gt;=MA_SHORT),AVERAGE(INDEX($C$5:$C404,401-MA_SHORT):$C404),"")</f>
        <v>108423533.8</v>
      </c>
      <c r="J404" s="52" t="n">
        <f aca="false">IF(AND(ISNUMBER($G404),$G404&gt;=MA_MED),AVERAGE(INDEX($C$5:$C404,401-MA_MED):$C404),"")</f>
        <v>114454958.4</v>
      </c>
      <c r="K404" s="52" t="n">
        <f aca="false">IF(AND(ISNUMBER($G404),$G404&gt;=MA_LONG2),AVERAGE(INDEX($C$5:$C404,401-MA_LONG2):$C404),"")</f>
        <v>109849395.195</v>
      </c>
      <c r="L404" s="53" t="n">
        <f aca="false">IF(AND(ISNUMBER($G404),$G404&gt;=21),STDEV(INDEX($H$344:$H404,62-20):$H404)*SQRT(245),"")</f>
        <v>0.24924746999673</v>
      </c>
      <c r="M404" s="52" t="n">
        <f aca="false">IF(AND(ISNUMBER($G404),$G404&gt;=60),MAX(INDEX($D$204:$D404,202-60):$D404),"")</f>
        <v>126011789</v>
      </c>
      <c r="N404" s="52" t="n">
        <f aca="false">IF(AND(ISNUMBER($G404),$G404&gt;=60),MIN(INDEX($E$204:$E404,202-60):$E404),"")</f>
        <v>103495939</v>
      </c>
      <c r="O404" s="53" t="n">
        <f aca="false">IF(OR(NOT(ISNUMBER($C404)),NOT(ISNUMBER($M404)),$M404=0),"",$C404/$M404-1)</f>
        <v>-0.153810775593385</v>
      </c>
      <c r="P404" s="54"/>
      <c r="Q404" s="53" t="str">
        <f aca="false">IF(NOT(ISNUMBER($P404)),"",IFERROR(PERCENTRANK($P$5:$P$1204,$P404),""))</f>
        <v/>
      </c>
    </row>
    <row r="405" customFormat="false" ht="15" hidden="false" customHeight="false" outlineLevel="0" collapsed="false">
      <c r="A405" s="47" t="n">
        <v>46130</v>
      </c>
      <c r="B405" s="48" t="s">
        <v>553</v>
      </c>
      <c r="C405" s="49" t="n">
        <v>108356263</v>
      </c>
      <c r="D405" s="49" t="n">
        <v>108369433</v>
      </c>
      <c r="E405" s="49" t="n">
        <v>108176531</v>
      </c>
      <c r="F405" s="49" t="n">
        <v>0</v>
      </c>
      <c r="G405" s="50" t="n">
        <f aca="false">IF($A405="","",IF(ISNUMBER($G404),$G404+1,1))</f>
        <v>401</v>
      </c>
      <c r="H405" s="51" t="n">
        <f aca="false">IF(OR(NOT(ISNUMBER($G405)),$G405&lt;2,NOT(ISNUMBER($C404)),$C404=0),"",$C405/$C404-1)</f>
        <v>0.0161910151623816</v>
      </c>
      <c r="I405" s="52" t="n">
        <f aca="false">IF(AND(ISNUMBER($G405),$G405&gt;=MA_SHORT),AVERAGE(INDEX($C$5:$C405,402-MA_SHORT):$C405),"")</f>
        <v>108243861.15</v>
      </c>
      <c r="J405" s="52" t="n">
        <f aca="false">IF(AND(ISNUMBER($G405),$G405&gt;=MA_MED),AVERAGE(INDEX($C$5:$C405,402-MA_MED):$C405),"")</f>
        <v>114146199.32</v>
      </c>
      <c r="K405" s="52" t="n">
        <f aca="false">IF(AND(ISNUMBER($G405),$G405&gt;=MA_LONG2),AVERAGE(INDEX($C$5:$C405,402-MA_LONG2):$C405),"")</f>
        <v>109844172.62</v>
      </c>
      <c r="L405" s="53" t="n">
        <f aca="false">IF(AND(ISNUMBER($G405),$G405&gt;=21),STDEV(INDEX($H$345:$H405,62-20):$H405)*SQRT(245),"")</f>
        <v>0.256248669494014</v>
      </c>
      <c r="M405" s="52" t="n">
        <f aca="false">IF(AND(ISNUMBER($G405),$G405&gt;=60),MAX(INDEX($D$205:$D405,202-60):$D405),"")</f>
        <v>126011789</v>
      </c>
      <c r="N405" s="52" t="n">
        <f aca="false">IF(AND(ISNUMBER($G405),$G405&gt;=60),MIN(INDEX($E$205:$E405,202-60):$E405),"")</f>
        <v>103495939</v>
      </c>
      <c r="O405" s="53" t="n">
        <f aca="false">IF(OR(NOT(ISNUMBER($C405)),NOT(ISNUMBER($M405)),$M405=0),"",$C405/$M405-1)</f>
        <v>-0.140110113030774</v>
      </c>
      <c r="P405" s="54"/>
      <c r="Q405" s="53" t="str">
        <f aca="false">IF(NOT(ISNUMBER($P405)),"",IFERROR(PERCENTRANK($P$5:$P$1204,$P405),""))</f>
        <v/>
      </c>
    </row>
    <row r="406" customFormat="false" ht="15" hidden="false" customHeight="false" outlineLevel="0" collapsed="false">
      <c r="A406" s="47" t="n">
        <v>46131</v>
      </c>
      <c r="B406" s="48" t="s">
        <v>554</v>
      </c>
      <c r="C406" s="49" t="n">
        <v>108170444</v>
      </c>
      <c r="D406" s="49" t="n">
        <v>108284780</v>
      </c>
      <c r="E406" s="49" t="n">
        <v>107769035</v>
      </c>
      <c r="F406" s="49" t="n">
        <v>0</v>
      </c>
      <c r="G406" s="50" t="n">
        <f aca="false">IF($A406="","",IF(ISNUMBER($G405),$G405+1,1))</f>
        <v>402</v>
      </c>
      <c r="H406" s="51" t="n">
        <f aca="false">IF(OR(NOT(ISNUMBER($G406)),$G406&lt;2,NOT(ISNUMBER($C405)),$C405=0),"",$C406/$C405-1)</f>
        <v>-0.0017148893368536</v>
      </c>
      <c r="I406" s="52" t="n">
        <f aca="false">IF(AND(ISNUMBER($G406),$G406&gt;=MA_SHORT),AVERAGE(INDEX($C$6:$C406,402-MA_SHORT):$C406),"")</f>
        <v>108108406</v>
      </c>
      <c r="J406" s="52" t="n">
        <f aca="false">IF(AND(ISNUMBER($G406),$G406&gt;=MA_MED),AVERAGE(INDEX($C$6:$C406,402-MA_MED):$C406),"")</f>
        <v>113846624.38</v>
      </c>
      <c r="K406" s="52" t="n">
        <f aca="false">IF(AND(ISNUMBER($G406),$G406&gt;=MA_LONG2),AVERAGE(INDEX($C$6:$C406,402-MA_LONG2):$C406),"")</f>
        <v>109833840.59</v>
      </c>
      <c r="L406" s="53" t="n">
        <f aca="false">IF(AND(ISNUMBER($G406),$G406&gt;=21),STDEV(INDEX($H$346:$H406,62-20):$H406)*SQRT(245),"")</f>
        <v>0.254533090908157</v>
      </c>
      <c r="M406" s="52" t="n">
        <f aca="false">IF(AND(ISNUMBER($G406),$G406&gt;=60),MAX(INDEX($D$206:$D406,202-60):$D406),"")</f>
        <v>126011789</v>
      </c>
      <c r="N406" s="52" t="n">
        <f aca="false">IF(AND(ISNUMBER($G406),$G406&gt;=60),MIN(INDEX($E$206:$E406,202-60):$E406),"")</f>
        <v>103495939</v>
      </c>
      <c r="O406" s="53" t="n">
        <f aca="false">IF(OR(NOT(ISNUMBER($C406)),NOT(ISNUMBER($M406)),$M406=0),"",$C406/$M406-1)</f>
        <v>-0.141584729028805</v>
      </c>
      <c r="P406" s="54"/>
      <c r="Q406" s="53" t="str">
        <f aca="false">IF(NOT(ISNUMBER($P406)),"",IFERROR(PERCENTRANK($P$5:$P$1204,$P406),""))</f>
        <v/>
      </c>
    </row>
    <row r="407" customFormat="false" ht="15" hidden="false" customHeight="false" outlineLevel="0" collapsed="false">
      <c r="A407" s="47" t="n">
        <v>46132</v>
      </c>
      <c r="B407" s="48" t="s">
        <v>555</v>
      </c>
      <c r="C407" s="49" t="n">
        <v>109030220</v>
      </c>
      <c r="D407" s="49" t="n">
        <v>109054633</v>
      </c>
      <c r="E407" s="49" t="n">
        <v>108953402</v>
      </c>
      <c r="F407" s="49" t="n">
        <v>0</v>
      </c>
      <c r="G407" s="50" t="n">
        <f aca="false">IF($A407="","",IF(ISNUMBER($G406),$G406+1,1))</f>
        <v>403</v>
      </c>
      <c r="H407" s="51" t="n">
        <f aca="false">IF(OR(NOT(ISNUMBER($G407)),$G407&lt;2,NOT(ISNUMBER($C406)),$C406=0),"",$C407/$C406-1)</f>
        <v>0.00794834492867569</v>
      </c>
      <c r="I407" s="52" t="n">
        <f aca="false">IF(AND(ISNUMBER($G407),$G407&gt;=MA_SHORT),AVERAGE(INDEX($C$7:$C407,402-MA_SHORT):$C407),"")</f>
        <v>108257508.1</v>
      </c>
      <c r="J407" s="52" t="n">
        <f aca="false">IF(AND(ISNUMBER($G407),$G407&gt;=MA_MED),AVERAGE(INDEX($C$7:$C407,402-MA_MED):$C407),"")</f>
        <v>113512667.78</v>
      </c>
      <c r="K407" s="52" t="n">
        <f aca="false">IF(AND(ISNUMBER($G407),$G407&gt;=MA_LONG2),AVERAGE(INDEX($C$7:$C407,402-MA_LONG2):$C407),"")</f>
        <v>109820653.695</v>
      </c>
      <c r="L407" s="53" t="n">
        <f aca="false">IF(AND(ISNUMBER($G407),$G407&gt;=21),STDEV(INDEX($H$347:$H407,62-20):$H407)*SQRT(245),"")</f>
        <v>0.202193837261786</v>
      </c>
      <c r="M407" s="52" t="n">
        <f aca="false">IF(AND(ISNUMBER($G407),$G407&gt;=60),MAX(INDEX($D$207:$D407,202-60):$D407),"")</f>
        <v>126011789</v>
      </c>
      <c r="N407" s="52" t="n">
        <f aca="false">IF(AND(ISNUMBER($G407),$G407&gt;=60),MIN(INDEX($E$207:$E407,202-60):$E407),"")</f>
        <v>103495939</v>
      </c>
      <c r="O407" s="53" t="n">
        <f aca="false">IF(OR(NOT(ISNUMBER($C407)),NOT(ISNUMBER($M407)),$M407=0),"",$C407/$M407-1)</f>
        <v>-0.134761748363084</v>
      </c>
      <c r="P407" s="54"/>
      <c r="Q407" s="53" t="str">
        <f aca="false">IF(NOT(ISNUMBER($P407)),"",IFERROR(PERCENTRANK($P$5:$P$1204,$P407),""))</f>
        <v/>
      </c>
    </row>
    <row r="408" customFormat="false" ht="15" hidden="false" customHeight="false" outlineLevel="0" collapsed="false">
      <c r="A408" s="47" t="n">
        <v>46133</v>
      </c>
      <c r="B408" s="48" t="s">
        <v>556</v>
      </c>
      <c r="C408" s="49" t="n">
        <v>109688557</v>
      </c>
      <c r="D408" s="49" t="n">
        <v>109905138</v>
      </c>
      <c r="E408" s="49" t="n">
        <v>109094431</v>
      </c>
      <c r="F408" s="49" t="n">
        <v>0</v>
      </c>
      <c r="G408" s="50" t="n">
        <f aca="false">IF($A408="","",IF(ISNUMBER($G407),$G407+1,1))</f>
        <v>404</v>
      </c>
      <c r="H408" s="51" t="n">
        <f aca="false">IF(OR(NOT(ISNUMBER($G408)),$G408&lt;2,NOT(ISNUMBER($C407)),$C407=0),"",$C408/$C407-1)</f>
        <v>0.0060381149373081</v>
      </c>
      <c r="I408" s="52" t="n">
        <f aca="false">IF(AND(ISNUMBER($G408),$G408&gt;=MA_SHORT),AVERAGE(INDEX($C$8:$C408,402-MA_SHORT):$C408),"")</f>
        <v>108474975.2</v>
      </c>
      <c r="J408" s="52" t="n">
        <f aca="false">IF(AND(ISNUMBER($G408),$G408&gt;=MA_MED),AVERAGE(INDEX($C$8:$C408,402-MA_MED):$C408),"")</f>
        <v>113263498.9</v>
      </c>
      <c r="K408" s="52" t="n">
        <f aca="false">IF(AND(ISNUMBER($G408),$G408&gt;=MA_LONG2),AVERAGE(INDEX($C$8:$C408,402-MA_LONG2):$C408),"")</f>
        <v>109811496.285</v>
      </c>
      <c r="L408" s="53" t="n">
        <f aca="false">IF(AND(ISNUMBER($G408),$G408&gt;=21),STDEV(INDEX($H$348:$H408,62-20):$H408)*SQRT(245),"")</f>
        <v>0.200475863796968</v>
      </c>
      <c r="M408" s="52" t="n">
        <f aca="false">IF(AND(ISNUMBER($G408),$G408&gt;=60),MAX(INDEX($D$208:$D408,202-60):$D408),"")</f>
        <v>126011789</v>
      </c>
      <c r="N408" s="52" t="n">
        <f aca="false">IF(AND(ISNUMBER($G408),$G408&gt;=60),MIN(INDEX($E$208:$E408,202-60):$E408),"")</f>
        <v>103495939</v>
      </c>
      <c r="O408" s="53" t="n">
        <f aca="false">IF(OR(NOT(ISNUMBER($C408)),NOT(ISNUMBER($M408)),$M408=0),"",$C408/$M408-1)</f>
        <v>-0.129537340351544</v>
      </c>
      <c r="P408" s="54"/>
      <c r="Q408" s="53" t="str">
        <f aca="false">IF(NOT(ISNUMBER($P408)),"",IFERROR(PERCENTRANK($P$5:$P$1204,$P408),""))</f>
        <v/>
      </c>
    </row>
    <row r="409" customFormat="false" ht="15" hidden="false" customHeight="false" outlineLevel="0" collapsed="false">
      <c r="A409" s="47" t="n">
        <v>46134</v>
      </c>
      <c r="B409" s="48" t="s">
        <v>557</v>
      </c>
      <c r="C409" s="49" t="n">
        <v>111135870</v>
      </c>
      <c r="D409" s="49" t="n">
        <v>112337836</v>
      </c>
      <c r="E409" s="49" t="n">
        <v>110646989</v>
      </c>
      <c r="F409" s="49" t="n">
        <v>0</v>
      </c>
      <c r="G409" s="50" t="n">
        <f aca="false">IF($A409="","",IF(ISNUMBER($G408),$G408+1,1))</f>
        <v>405</v>
      </c>
      <c r="H409" s="51" t="n">
        <f aca="false">IF(OR(NOT(ISNUMBER($G409)),$G409&lt;2,NOT(ISNUMBER($C408)),$C408=0),"",$C409/$C408-1)</f>
        <v>0.013194749202508</v>
      </c>
      <c r="I409" s="52" t="n">
        <f aca="false">IF(AND(ISNUMBER($G409),$G409&gt;=MA_SHORT),AVERAGE(INDEX($C$9:$C409,402-MA_SHORT):$C409),"")</f>
        <v>108843725.35</v>
      </c>
      <c r="J409" s="52" t="n">
        <f aca="false">IF(AND(ISNUMBER($G409),$G409&gt;=MA_MED),AVERAGE(INDEX($C$9:$C409,402-MA_MED):$C409),"")</f>
        <v>113063418.2</v>
      </c>
      <c r="K409" s="52" t="n">
        <f aca="false">IF(AND(ISNUMBER($G409),$G409&gt;=MA_LONG2),AVERAGE(INDEX($C$9:$C409,402-MA_LONG2):$C409),"")</f>
        <v>109811941.43</v>
      </c>
      <c r="L409" s="53" t="n">
        <f aca="false">IF(AND(ISNUMBER($G409),$G409&gt;=21),STDEV(INDEX($H$349:$H409,62-20):$H409)*SQRT(245),"")</f>
        <v>0.19365083394538</v>
      </c>
      <c r="M409" s="52" t="n">
        <f aca="false">IF(AND(ISNUMBER($G409),$G409&gt;=60),MAX(INDEX($D$209:$D409,202-60):$D409),"")</f>
        <v>126011789</v>
      </c>
      <c r="N409" s="52" t="n">
        <f aca="false">IF(AND(ISNUMBER($G409),$G409&gt;=60),MIN(INDEX($E$209:$E409,202-60):$E409),"")</f>
        <v>103495939</v>
      </c>
      <c r="O409" s="53" t="n">
        <f aca="false">IF(OR(NOT(ISNUMBER($C409)),NOT(ISNUMBER($M409)),$M409=0),"",$C409/$M409-1)</f>
        <v>-0.118051803867335</v>
      </c>
      <c r="P409" s="54"/>
      <c r="Q409" s="53" t="str">
        <f aca="false">IF(NOT(ISNUMBER($P409)),"",IFERROR(PERCENTRANK($P$5:$P$1204,$P409),""))</f>
        <v/>
      </c>
    </row>
    <row r="410" customFormat="false" ht="15" hidden="false" customHeight="false" outlineLevel="0" collapsed="false">
      <c r="A410" s="47" t="n">
        <v>46137</v>
      </c>
      <c r="B410" s="48" t="s">
        <v>558</v>
      </c>
      <c r="C410" s="49" t="n">
        <v>109863791</v>
      </c>
      <c r="D410" s="49" t="n">
        <v>110268296</v>
      </c>
      <c r="E410" s="49" t="n">
        <v>109521031</v>
      </c>
      <c r="F410" s="49" t="n">
        <v>0</v>
      </c>
      <c r="G410" s="50" t="n">
        <f aca="false">IF($A410="","",IF(ISNUMBER($G409),$G409+1,1))</f>
        <v>406</v>
      </c>
      <c r="H410" s="51" t="n">
        <f aca="false">IF(OR(NOT(ISNUMBER($G410)),$G410&lt;2,NOT(ISNUMBER($C409)),$C409=0),"",$C410/$C409-1)</f>
        <v>-0.0114461604520665</v>
      </c>
      <c r="I410" s="52" t="n">
        <f aca="false">IF(AND(ISNUMBER($G410),$G410&gt;=MA_SHORT),AVERAGE(INDEX($C$10:$C410,402-MA_SHORT):$C410),"")</f>
        <v>109100085.7</v>
      </c>
      <c r="J410" s="52" t="n">
        <f aca="false">IF(AND(ISNUMBER($G410),$G410&gt;=MA_MED),AVERAGE(INDEX($C$10:$C410,402-MA_MED):$C410),"")</f>
        <v>112882884.22</v>
      </c>
      <c r="K410" s="52" t="n">
        <f aca="false">IF(AND(ISNUMBER($G410),$G410&gt;=MA_LONG2),AVERAGE(INDEX($C$10:$C410,402-MA_LONG2):$C410),"")</f>
        <v>109815102.935</v>
      </c>
      <c r="L410" s="53" t="n">
        <f aca="false">IF(AND(ISNUMBER($G410),$G410&gt;=21),STDEV(INDEX($H$350:$H410,62-20):$H410)*SQRT(245),"")</f>
        <v>0.199142560148836</v>
      </c>
      <c r="M410" s="52" t="n">
        <f aca="false">IF(AND(ISNUMBER($G410),$G410&gt;=60),MAX(INDEX($D$210:$D410,202-60):$D410),"")</f>
        <v>126011789</v>
      </c>
      <c r="N410" s="52" t="n">
        <f aca="false">IF(AND(ISNUMBER($G410),$G410&gt;=60),MIN(INDEX($E$210:$E410,202-60):$E410),"")</f>
        <v>103495939</v>
      </c>
      <c r="O410" s="53" t="n">
        <f aca="false">IF(OR(NOT(ISNUMBER($C410)),NOT(ISNUMBER($M410)),$M410=0),"",$C410/$M410-1)</f>
        <v>-0.12814672443068</v>
      </c>
      <c r="P410" s="54"/>
      <c r="Q410" s="53" t="str">
        <f aca="false">IF(NOT(ISNUMBER($P410)),"",IFERROR(PERCENTRANK($P$5:$P$1204,$P410),""))</f>
        <v/>
      </c>
    </row>
    <row r="411" customFormat="false" ht="15" hidden="false" customHeight="false" outlineLevel="0" collapsed="false">
      <c r="A411" s="47" t="n">
        <v>46138</v>
      </c>
      <c r="B411" s="48" t="s">
        <v>559</v>
      </c>
      <c r="C411" s="49" t="n">
        <v>109276522</v>
      </c>
      <c r="D411" s="49" t="n">
        <v>109547041</v>
      </c>
      <c r="E411" s="49" t="n">
        <v>109104149</v>
      </c>
      <c r="F411" s="49" t="n">
        <v>0</v>
      </c>
      <c r="G411" s="50" t="n">
        <f aca="false">IF($A411="","",IF(ISNUMBER($G410),$G410+1,1))</f>
        <v>407</v>
      </c>
      <c r="H411" s="51" t="n">
        <f aca="false">IF(OR(NOT(ISNUMBER($G411)),$G411&lt;2,NOT(ISNUMBER($C410)),$C410=0),"",$C411/$C410-1)</f>
        <v>-0.0053454281401959</v>
      </c>
      <c r="I411" s="52" t="n">
        <f aca="false">IF(AND(ISNUMBER($G411),$G411&gt;=MA_SHORT),AVERAGE(INDEX($C$11:$C411,402-MA_SHORT):$C411),"")</f>
        <v>109199212.95</v>
      </c>
      <c r="J411" s="52" t="n">
        <f aca="false">IF(AND(ISNUMBER($G411),$G411&gt;=MA_MED),AVERAGE(INDEX($C$11:$C411,402-MA_MED):$C411),"")</f>
        <v>112662691.1</v>
      </c>
      <c r="K411" s="52" t="n">
        <f aca="false">IF(AND(ISNUMBER($G411),$G411&gt;=MA_LONG2),AVERAGE(INDEX($C$11:$C411,402-MA_LONG2):$C411),"")</f>
        <v>109825709.515</v>
      </c>
      <c r="L411" s="53" t="n">
        <f aca="false">IF(AND(ISNUMBER($G411),$G411&gt;=21),STDEV(INDEX($H$351:$H411,62-20):$H411)*SQRT(245),"")</f>
        <v>0.183473106605953</v>
      </c>
      <c r="M411" s="52" t="n">
        <f aca="false">IF(AND(ISNUMBER($G411),$G411&gt;=60),MAX(INDEX($D$211:$D411,202-60):$D411),"")</f>
        <v>126011789</v>
      </c>
      <c r="N411" s="52" t="n">
        <f aca="false">IF(AND(ISNUMBER($G411),$G411&gt;=60),MIN(INDEX($E$211:$E411,202-60):$E411),"")</f>
        <v>103495939</v>
      </c>
      <c r="O411" s="53" t="n">
        <f aca="false">IF(OR(NOT(ISNUMBER($C411)),NOT(ISNUMBER($M411)),$M411=0),"",$C411/$M411-1)</f>
        <v>-0.13280715346403</v>
      </c>
      <c r="P411" s="54"/>
      <c r="Q411" s="53" t="str">
        <f aca="false">IF(NOT(ISNUMBER($P411)),"",IFERROR(PERCENTRANK($P$5:$P$1204,$P411),""))</f>
        <v/>
      </c>
    </row>
    <row r="412" customFormat="false" ht="15" hidden="false" customHeight="false" outlineLevel="0" collapsed="false">
      <c r="A412" s="47" t="n">
        <v>46139</v>
      </c>
      <c r="B412" s="48" t="s">
        <v>560</v>
      </c>
      <c r="C412" s="49" t="n">
        <v>110214257</v>
      </c>
      <c r="D412" s="49" t="n">
        <v>110752144</v>
      </c>
      <c r="E412" s="49" t="n">
        <v>110031290</v>
      </c>
      <c r="F412" s="49" t="n">
        <v>0</v>
      </c>
      <c r="G412" s="50" t="n">
        <f aca="false">IF($A412="","",IF(ISNUMBER($G411),$G411+1,1))</f>
        <v>408</v>
      </c>
      <c r="H412" s="51" t="n">
        <f aca="false">IF(OR(NOT(ISNUMBER($G412)),$G412&lt;2,NOT(ISNUMBER($C411)),$C411=0),"",$C412/$C411-1)</f>
        <v>0.00858130349353536</v>
      </c>
      <c r="I412" s="52" t="n">
        <f aca="false">IF(AND(ISNUMBER($G412),$G412&gt;=MA_SHORT),AVERAGE(INDEX($C$12:$C412,402-MA_SHORT):$C412),"")</f>
        <v>109342209.6</v>
      </c>
      <c r="J412" s="52" t="n">
        <f aca="false">IF(AND(ISNUMBER($G412),$G412&gt;=MA_MED),AVERAGE(INDEX($C$12:$C412,402-MA_MED):$C412),"")</f>
        <v>112523602.82</v>
      </c>
      <c r="K412" s="52" t="n">
        <f aca="false">IF(AND(ISNUMBER($G412),$G412&gt;=MA_LONG2),AVERAGE(INDEX($C$12:$C412,402-MA_LONG2):$C412),"")</f>
        <v>109853116.15</v>
      </c>
      <c r="L412" s="53" t="n">
        <f aca="false">IF(AND(ISNUMBER($G412),$G412&gt;=21),STDEV(INDEX($H$352:$H412,62-20):$H412)*SQRT(245),"")</f>
        <v>0.185373997574053</v>
      </c>
      <c r="M412" s="52" t="n">
        <f aca="false">IF(AND(ISNUMBER($G412),$G412&gt;=60),MAX(INDEX($D$212:$D412,202-60):$D412),"")</f>
        <v>126011789</v>
      </c>
      <c r="N412" s="52" t="n">
        <f aca="false">IF(AND(ISNUMBER($G412),$G412&gt;=60),MIN(INDEX($E$212:$E412,202-60):$E412),"")</f>
        <v>103495939</v>
      </c>
      <c r="O412" s="53" t="n">
        <f aca="false">IF(OR(NOT(ISNUMBER($C412)),NOT(ISNUMBER($M412)),$M412=0),"",$C412/$M412-1)</f>
        <v>-0.125365508460482</v>
      </c>
      <c r="P412" s="54"/>
      <c r="Q412" s="53" t="str">
        <f aca="false">IF(NOT(ISNUMBER($P412)),"",IFERROR(PERCENTRANK($P$5:$P$1204,$P412),""))</f>
        <v/>
      </c>
    </row>
    <row r="413" customFormat="false" ht="15" hidden="false" customHeight="false" outlineLevel="0" collapsed="false">
      <c r="A413" s="47" t="n">
        <v>46140</v>
      </c>
      <c r="B413" s="48" t="s">
        <v>561</v>
      </c>
      <c r="C413" s="49" t="n">
        <v>111199941</v>
      </c>
      <c r="D413" s="49" t="n">
        <v>111837339</v>
      </c>
      <c r="E413" s="49" t="n">
        <v>110912258</v>
      </c>
      <c r="F413" s="49" t="n">
        <v>0</v>
      </c>
      <c r="G413" s="50" t="n">
        <f aca="false">IF($A413="","",IF(ISNUMBER($G412),$G412+1,1))</f>
        <v>409</v>
      </c>
      <c r="H413" s="51" t="n">
        <f aca="false">IF(OR(NOT(ISNUMBER($G413)),$G413&lt;2,NOT(ISNUMBER($C412)),$C412=0),"",$C413/$C412-1)</f>
        <v>0.00894334387247198</v>
      </c>
      <c r="I413" s="52" t="n">
        <f aca="false">IF(AND(ISNUMBER($G413),$G413&gt;=MA_SHORT),AVERAGE(INDEX($C$13:$C413,402-MA_SHORT):$C413),"")</f>
        <v>109485950.6</v>
      </c>
      <c r="J413" s="52" t="n">
        <f aca="false">IF(AND(ISNUMBER($G413),$G413&gt;=MA_MED),AVERAGE(INDEX($C$13:$C413,402-MA_MED):$C413),"")</f>
        <v>112372051.08</v>
      </c>
      <c r="K413" s="52" t="n">
        <f aca="false">IF(AND(ISNUMBER($G413),$G413&gt;=MA_LONG2),AVERAGE(INDEX($C$13:$C413,402-MA_LONG2):$C413),"")</f>
        <v>109884963.905</v>
      </c>
      <c r="L413" s="53" t="n">
        <f aca="false">IF(AND(ISNUMBER($G413),$G413&gt;=21),STDEV(INDEX($H$353:$H413,62-20):$H413)*SQRT(245),"")</f>
        <v>0.185321251292139</v>
      </c>
      <c r="M413" s="52" t="n">
        <f aca="false">IF(AND(ISNUMBER($G413),$G413&gt;=60),MAX(INDEX($D$213:$D413,202-60):$D413),"")</f>
        <v>126011789</v>
      </c>
      <c r="N413" s="52" t="n">
        <f aca="false">IF(AND(ISNUMBER($G413),$G413&gt;=60),MIN(INDEX($E$213:$E413,202-60):$E413),"")</f>
        <v>103495939</v>
      </c>
      <c r="O413" s="53" t="n">
        <f aca="false">IF(OR(NOT(ISNUMBER($C413)),NOT(ISNUMBER($M413)),$M413=0),"",$C413/$M413-1)</f>
        <v>-0.11754335143992</v>
      </c>
      <c r="P413" s="54"/>
      <c r="Q413" s="53" t="str">
        <f aca="false">IF(NOT(ISNUMBER($P413)),"",IFERROR(PERCENTRANK($P$5:$P$1204,$P413),""))</f>
        <v/>
      </c>
    </row>
    <row r="414" customFormat="false" ht="15" hidden="false" customHeight="false" outlineLevel="0" collapsed="false">
      <c r="A414" s="47" t="n">
        <v>46141</v>
      </c>
      <c r="B414" s="48" t="s">
        <v>562</v>
      </c>
      <c r="C414" s="49" t="n">
        <v>110168486</v>
      </c>
      <c r="D414" s="49" t="n">
        <v>110342543</v>
      </c>
      <c r="E414" s="49" t="n">
        <v>109976518</v>
      </c>
      <c r="F414" s="49" t="n">
        <v>0</v>
      </c>
      <c r="G414" s="50" t="n">
        <f aca="false">IF($A414="","",IF(ISNUMBER($G413),$G413+1,1))</f>
        <v>410</v>
      </c>
      <c r="H414" s="51" t="n">
        <f aca="false">IF(OR(NOT(ISNUMBER($G414)),$G414&lt;2,NOT(ISNUMBER($C413)),$C413=0),"",$C414/$C413-1)</f>
        <v>-0.00927567938188023</v>
      </c>
      <c r="I414" s="52" t="n">
        <f aca="false">IF(AND(ISNUMBER($G414),$G414&gt;=MA_SHORT),AVERAGE(INDEX($C$14:$C414,402-MA_SHORT):$C414),"")</f>
        <v>109508064.25</v>
      </c>
      <c r="J414" s="52" t="n">
        <f aca="false">IF(AND(ISNUMBER($G414),$G414&gt;=MA_MED),AVERAGE(INDEX($C$14:$C414,402-MA_MED):$C414),"")</f>
        <v>112174966.08</v>
      </c>
      <c r="K414" s="52" t="n">
        <f aca="false">IF(AND(ISNUMBER($G414),$G414&gt;=MA_LONG2),AVERAGE(INDEX($C$14:$C414,402-MA_LONG2):$C414),"")</f>
        <v>109910257.54</v>
      </c>
      <c r="L414" s="53" t="n">
        <f aca="false">IF(AND(ISNUMBER($G414),$G414&gt;=21),STDEV(INDEX($H$354:$H414,62-20):$H414)*SQRT(245),"")</f>
        <v>0.183757712991702</v>
      </c>
      <c r="M414" s="52" t="n">
        <f aca="false">IF(AND(ISNUMBER($G414),$G414&gt;=60),MAX(INDEX($D$214:$D414,202-60):$D414),"")</f>
        <v>126011789</v>
      </c>
      <c r="N414" s="52" t="n">
        <f aca="false">IF(AND(ISNUMBER($G414),$G414&gt;=60),MIN(INDEX($E$214:$E414,202-60):$E414),"")</f>
        <v>103495939</v>
      </c>
      <c r="O414" s="53" t="n">
        <f aca="false">IF(OR(NOT(ISNUMBER($C414)),NOT(ISNUMBER($M414)),$M414=0),"",$C414/$M414-1)</f>
        <v>-0.125728736380372</v>
      </c>
      <c r="P414" s="54"/>
      <c r="Q414" s="53" t="str">
        <f aca="false">IF(NOT(ISNUMBER($P414)),"",IFERROR(PERCENTRANK($P$5:$P$1204,$P414),""))</f>
        <v/>
      </c>
    </row>
    <row r="415" customFormat="false" ht="15" hidden="false" customHeight="false" outlineLevel="0" collapsed="false">
      <c r="A415" s="47" t="n">
        <v>46144</v>
      </c>
      <c r="B415" s="48" t="s">
        <v>563</v>
      </c>
      <c r="C415" s="49" t="n">
        <v>108244016</v>
      </c>
      <c r="D415" s="49" t="n">
        <v>108306140</v>
      </c>
      <c r="E415" s="49" t="n">
        <v>107915419</v>
      </c>
      <c r="F415" s="49" t="n">
        <v>0</v>
      </c>
      <c r="G415" s="50" t="n">
        <f aca="false">IF($A415="","",IF(ISNUMBER($G414),$G414+1,1))</f>
        <v>411</v>
      </c>
      <c r="H415" s="51" t="n">
        <f aca="false">IF(OR(NOT(ISNUMBER($G415)),$G415&lt;2,NOT(ISNUMBER($C414)),$C414=0),"",$C415/$C414-1)</f>
        <v>-0.0174684255895102</v>
      </c>
      <c r="I415" s="52" t="n">
        <f aca="false">IF(AND(ISNUMBER($G415),$G415&gt;=MA_SHORT),AVERAGE(INDEX($C$15:$C415,402-MA_SHORT):$C415),"")</f>
        <v>109289583.75</v>
      </c>
      <c r="J415" s="52" t="n">
        <f aca="false">IF(AND(ISNUMBER($G415),$G415&gt;=MA_MED),AVERAGE(INDEX($C$15:$C415,402-MA_MED):$C415),"")</f>
        <v>111930545.96</v>
      </c>
      <c r="K415" s="52" t="n">
        <f aca="false">IF(AND(ISNUMBER($G415),$G415&gt;=MA_LONG2),AVERAGE(INDEX($C$15:$C415,402-MA_LONG2):$C415),"")</f>
        <v>109934262.675</v>
      </c>
      <c r="L415" s="53" t="n">
        <f aca="false">IF(AND(ISNUMBER($G415),$G415&gt;=21),STDEV(INDEX($H$355:$H415,62-20):$H415)*SQRT(245),"")</f>
        <v>0.166845766059111</v>
      </c>
      <c r="M415" s="52" t="n">
        <f aca="false">IF(AND(ISNUMBER($G415),$G415&gt;=60),MAX(INDEX($D$215:$D415,202-60):$D415),"")</f>
        <v>126011789</v>
      </c>
      <c r="N415" s="52" t="n">
        <f aca="false">IF(AND(ISNUMBER($G415),$G415&gt;=60),MIN(INDEX($E$215:$E415,202-60):$E415),"")</f>
        <v>103495939</v>
      </c>
      <c r="O415" s="53" t="n">
        <f aca="false">IF(OR(NOT(ISNUMBER($C415)),NOT(ISNUMBER($M415)),$M415=0),"",$C415/$M415-1)</f>
        <v>-0.141000878893958</v>
      </c>
      <c r="P415" s="54"/>
      <c r="Q415" s="53" t="str">
        <f aca="false">IF(NOT(ISNUMBER($P415)),"",IFERROR(PERCENTRANK($P$5:$P$1204,$P415),""))</f>
        <v/>
      </c>
    </row>
    <row r="416" customFormat="false" ht="15" hidden="false" customHeight="false" outlineLevel="0" collapsed="false">
      <c r="A416" s="47" t="n">
        <v>46145</v>
      </c>
      <c r="B416" s="48" t="s">
        <v>564</v>
      </c>
      <c r="C416" s="49" t="n">
        <v>108507879</v>
      </c>
      <c r="D416" s="49" t="n">
        <v>109041167</v>
      </c>
      <c r="E416" s="49" t="n">
        <v>108058355</v>
      </c>
      <c r="F416" s="49" t="n">
        <v>0</v>
      </c>
      <c r="G416" s="50" t="n">
        <f aca="false">IF($A416="","",IF(ISNUMBER($G415),$G415+1,1))</f>
        <v>412</v>
      </c>
      <c r="H416" s="51" t="n">
        <f aca="false">IF(OR(NOT(ISNUMBER($G416)),$G416&lt;2,NOT(ISNUMBER($C415)),$C415=0),"",$C416/$C415-1)</f>
        <v>0.00243766824024716</v>
      </c>
      <c r="I416" s="52" t="n">
        <f aca="false">IF(AND(ISNUMBER($G416),$G416&gt;=MA_SHORT),AVERAGE(INDEX($C$16:$C416,402-MA_SHORT):$C416),"")</f>
        <v>109046148.95</v>
      </c>
      <c r="J416" s="52" t="n">
        <f aca="false">IF(AND(ISNUMBER($G416),$G416&gt;=MA_MED),AVERAGE(INDEX($C$16:$C416,402-MA_MED):$C416),"")</f>
        <v>111725231.64</v>
      </c>
      <c r="K416" s="52" t="n">
        <f aca="false">IF(AND(ISNUMBER($G416),$G416&gt;=MA_LONG2),AVERAGE(INDEX($C$16:$C416,402-MA_LONG2):$C416),"")</f>
        <v>109953789.325</v>
      </c>
      <c r="L416" s="53" t="n">
        <f aca="false">IF(AND(ISNUMBER($G416),$G416&gt;=21),STDEV(INDEX($H$356:$H416,62-20):$H416)*SQRT(245),"")</f>
        <v>0.164605833242651</v>
      </c>
      <c r="M416" s="52" t="n">
        <f aca="false">IF(AND(ISNUMBER($G416),$G416&gt;=60),MAX(INDEX($D$216:$D416,202-60):$D416),"")</f>
        <v>126011789</v>
      </c>
      <c r="N416" s="52" t="n">
        <f aca="false">IF(AND(ISNUMBER($G416),$G416&gt;=60),MIN(INDEX($E$216:$E416,202-60):$E416),"")</f>
        <v>103495939</v>
      </c>
      <c r="O416" s="53" t="n">
        <f aca="false">IF(OR(NOT(ISNUMBER($C416)),NOT(ISNUMBER($M416)),$M416=0),"",$C416/$M416-1)</f>
        <v>-0.138906924018038</v>
      </c>
      <c r="P416" s="54"/>
      <c r="Q416" s="53" t="str">
        <f aca="false">IF(NOT(ISNUMBER($P416)),"",IFERROR(PERCENTRANK($P$5:$P$1204,$P416),""))</f>
        <v/>
      </c>
    </row>
    <row r="417" customFormat="false" ht="15" hidden="false" customHeight="false" outlineLevel="0" collapsed="false">
      <c r="A417" s="47" t="n">
        <v>46146</v>
      </c>
      <c r="B417" s="48" t="s">
        <v>565</v>
      </c>
      <c r="C417" s="49" t="n">
        <v>105046121</v>
      </c>
      <c r="D417" s="49" t="n">
        <v>105676739</v>
      </c>
      <c r="E417" s="49" t="n">
        <v>104582873</v>
      </c>
      <c r="F417" s="49" t="n">
        <v>0</v>
      </c>
      <c r="G417" s="50" t="n">
        <f aca="false">IF($A417="","",IF(ISNUMBER($G416),$G416+1,1))</f>
        <v>413</v>
      </c>
      <c r="H417" s="51" t="n">
        <f aca="false">IF(OR(NOT(ISNUMBER($G417)),$G417&lt;2,NOT(ISNUMBER($C416)),$C416=0),"",$C417/$C416-1)</f>
        <v>-0.0319032869493283</v>
      </c>
      <c r="I417" s="52" t="n">
        <f aca="false">IF(AND(ISNUMBER($G417),$G417&gt;=MA_SHORT),AVERAGE(INDEX($C$17:$C417,402-MA_SHORT):$C417),"")</f>
        <v>108728739.55</v>
      </c>
      <c r="J417" s="52" t="n">
        <f aca="false">IF(AND(ISNUMBER($G417),$G417&gt;=MA_MED),AVERAGE(INDEX($C$17:$C417,402-MA_MED):$C417),"")</f>
        <v>111428778.34</v>
      </c>
      <c r="K417" s="52" t="n">
        <f aca="false">IF(AND(ISNUMBER($G417),$G417&gt;=MA_LONG2),AVERAGE(INDEX($C$17:$C417,402-MA_LONG2):$C417),"")</f>
        <v>109951779.085</v>
      </c>
      <c r="L417" s="53" t="n">
        <f aca="false">IF(AND(ISNUMBER($G417),$G417&gt;=21),STDEV(INDEX($H$357:$H417,62-20):$H417)*SQRT(245),"")</f>
        <v>0.188011086174256</v>
      </c>
      <c r="M417" s="52" t="n">
        <f aca="false">IF(AND(ISNUMBER($G417),$G417&gt;=60),MAX(INDEX($D$217:$D417,202-60):$D417),"")</f>
        <v>122735153</v>
      </c>
      <c r="N417" s="52" t="n">
        <f aca="false">IF(AND(ISNUMBER($G417),$G417&gt;=60),MIN(INDEX($E$217:$E417,202-60):$E417),"")</f>
        <v>103495939</v>
      </c>
      <c r="O417" s="53" t="n">
        <f aca="false">IF(OR(NOT(ISNUMBER($C417)),NOT(ISNUMBER($M417)),$M417=0),"",$C417/$M417-1)</f>
        <v>-0.144123599210407</v>
      </c>
      <c r="P417" s="54"/>
      <c r="Q417" s="53" t="str">
        <f aca="false">IF(NOT(ISNUMBER($P417)),"",IFERROR(PERCENTRANK($P$5:$P$1204,$P417),""))</f>
        <v/>
      </c>
    </row>
    <row r="418" customFormat="false" ht="15" hidden="false" customHeight="false" outlineLevel="0" collapsed="false">
      <c r="A418" s="47" t="n">
        <v>46147</v>
      </c>
      <c r="B418" s="48" t="s">
        <v>566</v>
      </c>
      <c r="C418" s="49" t="n">
        <v>103025284</v>
      </c>
      <c r="D418" s="49" t="n">
        <v>103523343</v>
      </c>
      <c r="E418" s="49" t="n">
        <v>102971144</v>
      </c>
      <c r="F418" s="49" t="n">
        <v>0</v>
      </c>
      <c r="G418" s="50" t="n">
        <f aca="false">IF($A418="","",IF(ISNUMBER($G417),$G417+1,1))</f>
        <v>414</v>
      </c>
      <c r="H418" s="51" t="n">
        <f aca="false">IF(OR(NOT(ISNUMBER($G418)),$G418&lt;2,NOT(ISNUMBER($C417)),$C417=0),"",$C418/$C417-1)</f>
        <v>-0.0192376165893836</v>
      </c>
      <c r="I418" s="52" t="n">
        <f aca="false">IF(AND(ISNUMBER($G418),$G418&gt;=MA_SHORT),AVERAGE(INDEX($C$18:$C418,402-MA_SHORT):$C418),"")</f>
        <v>108373827.8</v>
      </c>
      <c r="J418" s="52" t="n">
        <f aca="false">IF(AND(ISNUMBER($G418),$G418&gt;=MA_MED),AVERAGE(INDEX($C$18:$C418,402-MA_MED):$C418),"")</f>
        <v>111046079.42</v>
      </c>
      <c r="K418" s="52" t="n">
        <f aca="false">IF(AND(ISNUMBER($G418),$G418&gt;=MA_LONG2),AVERAGE(INDEX($C$18:$C418,402-MA_LONG2):$C418),"")</f>
        <v>109945539.945</v>
      </c>
      <c r="L418" s="53" t="n">
        <f aca="false">IF(AND(ISNUMBER($G418),$G418&gt;=21),STDEV(INDEX($H$358:$H418,62-20):$H418)*SQRT(245),"")</f>
        <v>0.194486629065031</v>
      </c>
      <c r="M418" s="52" t="n">
        <f aca="false">IF(AND(ISNUMBER($G418),$G418&gt;=60),MAX(INDEX($D$218:$D418,202-60):$D418),"")</f>
        <v>122574606</v>
      </c>
      <c r="N418" s="52" t="n">
        <f aca="false">IF(AND(ISNUMBER($G418),$G418&gt;=60),MIN(INDEX($E$218:$E418,202-60):$E418),"")</f>
        <v>102971144</v>
      </c>
      <c r="O418" s="53" t="n">
        <f aca="false">IF(OR(NOT(ISNUMBER($C418)),NOT(ISNUMBER($M418)),$M418=0),"",$C418/$M418-1)</f>
        <v>-0.159489168580317</v>
      </c>
      <c r="P418" s="54"/>
      <c r="Q418" s="53" t="str">
        <f aca="false">IF(NOT(ISNUMBER($P418)),"",IFERROR(PERCENTRANK($P$5:$P$1204,$P418),""))</f>
        <v/>
      </c>
    </row>
    <row r="419" customFormat="false" ht="15" hidden="false" customHeight="false" outlineLevel="0" collapsed="false">
      <c r="A419" s="47" t="n">
        <v>46148</v>
      </c>
      <c r="B419" s="48" t="s">
        <v>567</v>
      </c>
      <c r="C419" s="49" t="n">
        <v>102637475</v>
      </c>
      <c r="D419" s="49" t="n">
        <v>102763904</v>
      </c>
      <c r="E419" s="49" t="n">
        <v>102348335</v>
      </c>
      <c r="F419" s="49" t="n">
        <v>0</v>
      </c>
      <c r="G419" s="50" t="n">
        <f aca="false">IF($A419="","",IF(ISNUMBER($G418),$G418+1,1))</f>
        <v>415</v>
      </c>
      <c r="H419" s="51" t="n">
        <f aca="false">IF(OR(NOT(ISNUMBER($G419)),$G419&lt;2,NOT(ISNUMBER($C418)),$C418=0),"",$C419/$C418-1)</f>
        <v>-0.00376421189967313</v>
      </c>
      <c r="I419" s="52" t="n">
        <f aca="false">IF(AND(ISNUMBER($G419),$G419&gt;=MA_SHORT),AVERAGE(INDEX($C$19:$C419,402-MA_SHORT):$C419),"")</f>
        <v>108014467.6</v>
      </c>
      <c r="J419" s="52" t="n">
        <f aca="false">IF(AND(ISNUMBER($G419),$G419&gt;=MA_MED),AVERAGE(INDEX($C$19:$C419,402-MA_MED):$C419),"")</f>
        <v>110682280.22</v>
      </c>
      <c r="K419" s="52" t="n">
        <f aca="false">IF(AND(ISNUMBER($G419),$G419&gt;=MA_LONG2),AVERAGE(INDEX($C$19:$C419,402-MA_LONG2):$C419),"")</f>
        <v>109941948.94</v>
      </c>
      <c r="L419" s="53" t="n">
        <f aca="false">IF(AND(ISNUMBER($G419),$G419&gt;=21),STDEV(INDEX($H$359:$H419,62-20):$H419)*SQRT(245),"")</f>
        <v>0.194483892414037</v>
      </c>
      <c r="M419" s="52" t="n">
        <f aca="false">IF(AND(ISNUMBER($G419),$G419&gt;=60),MAX(INDEX($D$219:$D419,202-60):$D419),"")</f>
        <v>122574606</v>
      </c>
      <c r="N419" s="52" t="n">
        <f aca="false">IF(AND(ISNUMBER($G419),$G419&gt;=60),MIN(INDEX($E$219:$E419,202-60):$E419),"")</f>
        <v>102348335</v>
      </c>
      <c r="O419" s="53" t="n">
        <f aca="false">IF(OR(NOT(ISNUMBER($C419)),NOT(ISNUMBER($M419)),$M419=0),"",$C419/$M419-1)</f>
        <v>-0.162653029453752</v>
      </c>
      <c r="P419" s="54"/>
      <c r="Q419" s="53" t="str">
        <f aca="false">IF(NOT(ISNUMBER($P419)),"",IFERROR(PERCENTRANK($P$5:$P$1204,$P419),""))</f>
        <v/>
      </c>
    </row>
    <row r="420" customFormat="false" ht="15" hidden="false" customHeight="false" outlineLevel="0" collapsed="false">
      <c r="A420" s="47" t="n">
        <v>46151</v>
      </c>
      <c r="B420" s="48" t="s">
        <v>568</v>
      </c>
      <c r="C420" s="49" t="n">
        <v>102311044</v>
      </c>
      <c r="D420" s="49" t="n">
        <v>102612580</v>
      </c>
      <c r="E420" s="49" t="n">
        <v>101900733</v>
      </c>
      <c r="F420" s="49" t="n">
        <v>0</v>
      </c>
      <c r="G420" s="50" t="n">
        <f aca="false">IF($A420="","",IF(ISNUMBER($G419),$G419+1,1))</f>
        <v>416</v>
      </c>
      <c r="H420" s="51" t="n">
        <f aca="false">IF(OR(NOT(ISNUMBER($G420)),$G420&lt;2,NOT(ISNUMBER($C419)),$C419=0),"",$C420/$C419-1)</f>
        <v>-0.00318042703213417</v>
      </c>
      <c r="I420" s="52" t="n">
        <f aca="false">IF(AND(ISNUMBER($G420),$G420&gt;=MA_SHORT),AVERAGE(INDEX($C$20:$C420,402-MA_SHORT):$C420),"")</f>
        <v>107751350.5</v>
      </c>
      <c r="J420" s="52" t="n">
        <f aca="false">IF(AND(ISNUMBER($G420),$G420&gt;=MA_MED),AVERAGE(INDEX($C$20:$C420,402-MA_MED):$C420),"")</f>
        <v>110303402.6</v>
      </c>
      <c r="K420" s="52" t="n">
        <f aca="false">IF(AND(ISNUMBER($G420),$G420&gt;=MA_LONG2),AVERAGE(INDEX($C$20:$C420,402-MA_LONG2):$C420),"")</f>
        <v>109931498.89</v>
      </c>
      <c r="L420" s="53" t="n">
        <f aca="false">IF(AND(ISNUMBER($G420),$G420&gt;=21),STDEV(INDEX($H$360:$H420,62-20):$H420)*SQRT(245),"")</f>
        <v>0.183898010661265</v>
      </c>
      <c r="M420" s="52" t="n">
        <f aca="false">IF(AND(ISNUMBER($G420),$G420&gt;=60),MAX(INDEX($D$220:$D420,202-60):$D420),"")</f>
        <v>122574606</v>
      </c>
      <c r="N420" s="52" t="n">
        <f aca="false">IF(AND(ISNUMBER($G420),$G420&gt;=60),MIN(INDEX($E$220:$E420,202-60):$E420),"")</f>
        <v>101900733</v>
      </c>
      <c r="O420" s="53" t="n">
        <f aca="false">IF(OR(NOT(ISNUMBER($C420)),NOT(ISNUMBER($M420)),$M420=0),"",$C420/$M420-1)</f>
        <v>-0.165316150394153</v>
      </c>
      <c r="P420" s="54"/>
      <c r="Q420" s="53" t="str">
        <f aca="false">IF(NOT(ISNUMBER($P420)),"",IFERROR(PERCENTRANK($P$5:$P$1204,$P420),""))</f>
        <v/>
      </c>
    </row>
    <row r="421" customFormat="false" ht="15" hidden="false" customHeight="false" outlineLevel="0" collapsed="false">
      <c r="A421" s="47" t="n">
        <v>46152</v>
      </c>
      <c r="B421" s="48" t="s">
        <v>569</v>
      </c>
      <c r="C421" s="49" t="n">
        <v>103180902</v>
      </c>
      <c r="D421" s="49" t="n">
        <v>103711957</v>
      </c>
      <c r="E421" s="49" t="n">
        <v>103080920</v>
      </c>
      <c r="F421" s="49" t="n">
        <v>0</v>
      </c>
      <c r="G421" s="50" t="n">
        <f aca="false">IF($A421="","",IF(ISNUMBER($G420),$G420+1,1))</f>
        <v>417</v>
      </c>
      <c r="H421" s="51" t="n">
        <f aca="false">IF(OR(NOT(ISNUMBER($G421)),$G421&lt;2,NOT(ISNUMBER($C420)),$C420=0),"",$C421/$C420-1)</f>
        <v>0.00850209289233717</v>
      </c>
      <c r="I421" s="52" t="n">
        <f aca="false">IF(AND(ISNUMBER($G421),$G421&gt;=MA_SHORT),AVERAGE(INDEX($C$21:$C421,402-MA_SHORT):$C421),"")</f>
        <v>107538054.45</v>
      </c>
      <c r="J421" s="52" t="n">
        <f aca="false">IF(AND(ISNUMBER($G421),$G421&gt;=MA_MED),AVERAGE(INDEX($C$21:$C421,402-MA_MED):$C421),"")</f>
        <v>109925559.44</v>
      </c>
      <c r="K421" s="52" t="n">
        <f aca="false">IF(AND(ISNUMBER($G421),$G421&gt;=MA_LONG2),AVERAGE(INDEX($C$21:$C421,402-MA_LONG2):$C421),"")</f>
        <v>109931132.7</v>
      </c>
      <c r="L421" s="53" t="n">
        <f aca="false">IF(AND(ISNUMBER($G421),$G421&gt;=21),STDEV(INDEX($H$361:$H421,62-20):$H421)*SQRT(245),"")</f>
        <v>0.187832425743445</v>
      </c>
      <c r="M421" s="52" t="n">
        <f aca="false">IF(AND(ISNUMBER($G421),$G421&gt;=60),MAX(INDEX($D$221:$D421,202-60):$D421),"")</f>
        <v>122574606</v>
      </c>
      <c r="N421" s="52" t="n">
        <f aca="false">IF(AND(ISNUMBER($G421),$G421&gt;=60),MIN(INDEX($E$221:$E421,202-60):$E421),"")</f>
        <v>101900733</v>
      </c>
      <c r="O421" s="53" t="n">
        <f aca="false">IF(OR(NOT(ISNUMBER($C421)),NOT(ISNUMBER($M421)),$M421=0),"",$C421/$M421-1)</f>
        <v>-0.15821959076907</v>
      </c>
      <c r="P421" s="54"/>
      <c r="Q421" s="53" t="str">
        <f aca="false">IF(NOT(ISNUMBER($P421)),"",IFERROR(PERCENTRANK($P$5:$P$1204,$P421),""))</f>
        <v/>
      </c>
    </row>
    <row r="422" customFormat="false" ht="15" hidden="false" customHeight="false" outlineLevel="0" collapsed="false">
      <c r="A422" s="47" t="n">
        <v>46153</v>
      </c>
      <c r="B422" s="48" t="s">
        <v>570</v>
      </c>
      <c r="C422" s="49" t="n">
        <v>105754221</v>
      </c>
      <c r="D422" s="49" t="n">
        <v>106113270</v>
      </c>
      <c r="E422" s="49" t="n">
        <v>105746567</v>
      </c>
      <c r="F422" s="49" t="n">
        <v>0</v>
      </c>
      <c r="G422" s="50" t="n">
        <f aca="false">IF($A422="","",IF(ISNUMBER($G421),$G421+1,1))</f>
        <v>418</v>
      </c>
      <c r="H422" s="51" t="n">
        <f aca="false">IF(OR(NOT(ISNUMBER($G422)),$G422&lt;2,NOT(ISNUMBER($C421)),$C421=0),"",$C422/$C421-1)</f>
        <v>0.0249398769551366</v>
      </c>
      <c r="I422" s="52" t="n">
        <f aca="false">IF(AND(ISNUMBER($G422),$G422&gt;=MA_SHORT),AVERAGE(INDEX($C$22:$C422,402-MA_SHORT):$C422),"")</f>
        <v>107483990.7</v>
      </c>
      <c r="J422" s="52" t="n">
        <f aca="false">IF(AND(ISNUMBER($G422),$G422&gt;=MA_MED),AVERAGE(INDEX($C$22:$C422,402-MA_MED):$C422),"")</f>
        <v>109638554.06</v>
      </c>
      <c r="K422" s="52" t="n">
        <f aca="false">IF(AND(ISNUMBER($G422),$G422&gt;=MA_LONG2),AVERAGE(INDEX($C$22:$C422,402-MA_LONG2):$C422),"")</f>
        <v>109943428.725</v>
      </c>
      <c r="L422" s="53" t="n">
        <f aca="false">IF(AND(ISNUMBER($G422),$G422&gt;=21),STDEV(INDEX($H$362:$H422,62-20):$H422)*SQRT(245),"")</f>
        <v>0.209339989723034</v>
      </c>
      <c r="M422" s="52" t="n">
        <f aca="false">IF(AND(ISNUMBER($G422),$G422&gt;=60),MAX(INDEX($D$222:$D422,202-60):$D422),"")</f>
        <v>122574606</v>
      </c>
      <c r="N422" s="52" t="n">
        <f aca="false">IF(AND(ISNUMBER($G422),$G422&gt;=60),MIN(INDEX($E$222:$E422,202-60):$E422),"")</f>
        <v>101900733</v>
      </c>
      <c r="O422" s="53" t="n">
        <f aca="false">IF(OR(NOT(ISNUMBER($C422)),NOT(ISNUMBER($M422)),$M422=0),"",$C422/$M422-1)</f>
        <v>-0.137225690939606</v>
      </c>
      <c r="P422" s="54"/>
      <c r="Q422" s="53" t="str">
        <f aca="false">IF(NOT(ISNUMBER($P422)),"",IFERROR(PERCENTRANK($P$5:$P$1204,$P422),""))</f>
        <v/>
      </c>
    </row>
    <row r="423" customFormat="false" ht="15" hidden="false" customHeight="false" outlineLevel="0" collapsed="false">
      <c r="A423" s="47" t="n">
        <v>46154</v>
      </c>
      <c r="B423" s="48" t="s">
        <v>571</v>
      </c>
      <c r="C423" s="49" t="n">
        <v>105672786</v>
      </c>
      <c r="D423" s="49" t="n">
        <v>105854533</v>
      </c>
      <c r="E423" s="49" t="n">
        <v>105466808</v>
      </c>
      <c r="F423" s="49" t="n">
        <v>0</v>
      </c>
      <c r="G423" s="50" t="n">
        <f aca="false">IF($A423="","",IF(ISNUMBER($G422),$G422+1,1))</f>
        <v>419</v>
      </c>
      <c r="H423" s="51" t="n">
        <f aca="false">IF(OR(NOT(ISNUMBER($G423)),$G423&lt;2,NOT(ISNUMBER($C422)),$C422=0),"",$C423/$C422-1)</f>
        <v>-0.000770040185913756</v>
      </c>
      <c r="I423" s="52" t="n">
        <f aca="false">IF(AND(ISNUMBER($G423),$G423&gt;=MA_SHORT),AVERAGE(INDEX($C$23:$C423,402-MA_SHORT):$C423),"")</f>
        <v>107405694.85</v>
      </c>
      <c r="J423" s="52" t="n">
        <f aca="false">IF(AND(ISNUMBER($G423),$G423&gt;=MA_MED),AVERAGE(INDEX($C$23:$C423,402-MA_MED):$C423),"")</f>
        <v>109407157.12</v>
      </c>
      <c r="K423" s="52" t="n">
        <f aca="false">IF(AND(ISNUMBER($G423),$G423&gt;=MA_LONG2),AVERAGE(INDEX($C$23:$C423,402-MA_LONG2):$C423),"")</f>
        <v>109949799.71</v>
      </c>
      <c r="L423" s="53" t="n">
        <f aca="false">IF(AND(ISNUMBER($G423),$G423&gt;=21),STDEV(INDEX($H$363:$H423,62-20):$H423)*SQRT(245),"")</f>
        <v>0.208768539277792</v>
      </c>
      <c r="M423" s="52" t="n">
        <f aca="false">IF(AND(ISNUMBER($G423),$G423&gt;=60),MAX(INDEX($D$223:$D423,202-60):$D423),"")</f>
        <v>122574606</v>
      </c>
      <c r="N423" s="52" t="n">
        <f aca="false">IF(AND(ISNUMBER($G423),$G423&gt;=60),MIN(INDEX($E$223:$E423,202-60):$E423),"")</f>
        <v>101900733</v>
      </c>
      <c r="O423" s="53" t="n">
        <f aca="false">IF(OR(NOT(ISNUMBER($C423)),NOT(ISNUMBER($M423)),$M423=0),"",$C423/$M423-1)</f>
        <v>-0.137890061828957</v>
      </c>
      <c r="P423" s="54"/>
      <c r="Q423" s="53" t="str">
        <f aca="false">IF(NOT(ISNUMBER($P423)),"",IFERROR(PERCENTRANK($P$5:$P$1204,$P423),""))</f>
        <v/>
      </c>
    </row>
    <row r="424" customFormat="false" ht="15" hidden="false" customHeight="false" outlineLevel="0" collapsed="false">
      <c r="A424" s="47" t="n">
        <v>46155</v>
      </c>
      <c r="B424" s="48" t="s">
        <v>572</v>
      </c>
      <c r="C424" s="49" t="n">
        <v>105971952</v>
      </c>
      <c r="D424" s="49" t="n">
        <v>106014787</v>
      </c>
      <c r="E424" s="49" t="n">
        <v>105324627</v>
      </c>
      <c r="F424" s="49" t="n">
        <v>0</v>
      </c>
      <c r="G424" s="50" t="n">
        <f aca="false">IF($A424="","",IF(ISNUMBER($G423),$G423+1,1))</f>
        <v>420</v>
      </c>
      <c r="H424" s="51" t="n">
        <f aca="false">IF(OR(NOT(ISNUMBER($G424)),$G424&lt;2,NOT(ISNUMBER($C423)),$C423=0),"",$C424/$C423-1)</f>
        <v>0.0028310600233441</v>
      </c>
      <c r="I424" s="52" t="n">
        <f aca="false">IF(AND(ISNUMBER($G424),$G424&gt;=MA_SHORT),AVERAGE(INDEX($C$24:$C424,402-MA_SHORT):$C424),"")</f>
        <v>107372801.55</v>
      </c>
      <c r="J424" s="52" t="n">
        <f aca="false">IF(AND(ISNUMBER($G424),$G424&gt;=MA_MED),AVERAGE(INDEX($C$24:$C424,402-MA_MED):$C424),"")</f>
        <v>109166682.12</v>
      </c>
      <c r="K424" s="52" t="n">
        <f aca="false">IF(AND(ISNUMBER($G424),$G424&gt;=MA_LONG2),AVERAGE(INDEX($C$24:$C424,402-MA_LONG2):$C424),"")</f>
        <v>109959938.26</v>
      </c>
      <c r="L424" s="53" t="n">
        <f aca="false">IF(AND(ISNUMBER($G424),$G424&gt;=21),STDEV(INDEX($H$364:$H424,62-20):$H424)*SQRT(245),"")</f>
        <v>0.208249829986794</v>
      </c>
      <c r="M424" s="52" t="n">
        <f aca="false">IF(AND(ISNUMBER($G424),$G424&gt;=60),MAX(INDEX($D$224:$D424,202-60):$D424),"")</f>
        <v>122574606</v>
      </c>
      <c r="N424" s="52" t="n">
        <f aca="false">IF(AND(ISNUMBER($G424),$G424&gt;=60),MIN(INDEX($E$224:$E424,202-60):$E424),"")</f>
        <v>101900733</v>
      </c>
      <c r="O424" s="53" t="n">
        <f aca="false">IF(OR(NOT(ISNUMBER($C424)),NOT(ISNUMBER($M424)),$M424=0),"",$C424/$M424-1)</f>
        <v>-0.135449376847273</v>
      </c>
      <c r="P424" s="54"/>
      <c r="Q424" s="53" t="str">
        <f aca="false">IF(NOT(ISNUMBER($P424)),"",IFERROR(PERCENTRANK($P$5:$P$1204,$P424),""))</f>
        <v/>
      </c>
    </row>
    <row r="425" customFormat="false" ht="15" hidden="false" customHeight="false" outlineLevel="0" collapsed="false">
      <c r="A425" s="47" t="n">
        <v>46158</v>
      </c>
      <c r="B425" s="48" t="s">
        <v>573</v>
      </c>
      <c r="C425" s="49" t="n">
        <v>105843181</v>
      </c>
      <c r="D425" s="49" t="n">
        <v>106290695</v>
      </c>
      <c r="E425" s="49" t="n">
        <v>105510017</v>
      </c>
      <c r="F425" s="49" t="n">
        <v>0</v>
      </c>
      <c r="G425" s="50" t="n">
        <f aca="false">IF($A425="","",IF(ISNUMBER($G424),$G424+1,1))</f>
        <v>421</v>
      </c>
      <c r="H425" s="51" t="n">
        <f aca="false">IF(OR(NOT(ISNUMBER($G425)),$G425&lt;2,NOT(ISNUMBER($C424)),$C424=0),"",$C425/$C424-1)</f>
        <v>-0.00121514228595132</v>
      </c>
      <c r="I425" s="52" t="n">
        <f aca="false">IF(AND(ISNUMBER($G425),$G425&gt;=MA_SHORT),AVERAGE(INDEX($C$25:$C425,402-MA_SHORT):$C425),"")</f>
        <v>107247147.45</v>
      </c>
      <c r="J425" s="52" t="n">
        <f aca="false">IF(AND(ISNUMBER($G425),$G425&gt;=MA_MED),AVERAGE(INDEX($C$25:$C425,402-MA_MED):$C425),"")</f>
        <v>108957304.04</v>
      </c>
      <c r="K425" s="52" t="n">
        <f aca="false">IF(AND(ISNUMBER($G425),$G425&gt;=MA_LONG2),AVERAGE(INDEX($C$25:$C425,402-MA_LONG2):$C425),"")</f>
        <v>109967661.13</v>
      </c>
      <c r="L425" s="53" t="n">
        <f aca="false">IF(AND(ISNUMBER($G425),$G425&gt;=21),STDEV(INDEX($H$365:$H425,62-20):$H425)*SQRT(245),"")</f>
        <v>0.19927463703746</v>
      </c>
      <c r="M425" s="52" t="n">
        <f aca="false">IF(AND(ISNUMBER($G425),$G425&gt;=60),MAX(INDEX($D$225:$D425,202-60):$D425),"")</f>
        <v>122574606</v>
      </c>
      <c r="N425" s="52" t="n">
        <f aca="false">IF(AND(ISNUMBER($G425),$G425&gt;=60),MIN(INDEX($E$225:$E425,202-60):$E425),"")</f>
        <v>101900733</v>
      </c>
      <c r="O425" s="53" t="n">
        <f aca="false">IF(OR(NOT(ISNUMBER($C425)),NOT(ISNUMBER($M425)),$M425=0),"",$C425/$M425-1)</f>
        <v>-0.136499928867811</v>
      </c>
      <c r="P425" s="54"/>
      <c r="Q425" s="53" t="str">
        <f aca="false">IF(NOT(ISNUMBER($P425)),"",IFERROR(PERCENTRANK($P$5:$P$1204,$P425),""))</f>
        <v/>
      </c>
    </row>
    <row r="426" customFormat="false" ht="15" hidden="false" customHeight="false" outlineLevel="0" collapsed="false">
      <c r="A426" s="47" t="n">
        <v>46159</v>
      </c>
      <c r="B426" s="48" t="s">
        <v>574</v>
      </c>
      <c r="C426" s="49" t="n">
        <v>106620705</v>
      </c>
      <c r="D426" s="49" t="n">
        <v>107028418</v>
      </c>
      <c r="E426" s="49" t="n">
        <v>105611013</v>
      </c>
      <c r="F426" s="49" t="n">
        <v>0</v>
      </c>
      <c r="G426" s="50" t="n">
        <f aca="false">IF($A426="","",IF(ISNUMBER($G425),$G425+1,1))</f>
        <v>422</v>
      </c>
      <c r="H426" s="51" t="n">
        <f aca="false">IF(OR(NOT(ISNUMBER($G426)),$G426&lt;2,NOT(ISNUMBER($C425)),$C425=0),"",$C426/$C425-1)</f>
        <v>0.00734599992794993</v>
      </c>
      <c r="I426" s="52" t="n">
        <f aca="false">IF(AND(ISNUMBER($G426),$G426&gt;=MA_SHORT),AVERAGE(INDEX($C$26:$C426,402-MA_SHORT):$C426),"")</f>
        <v>107169660.5</v>
      </c>
      <c r="J426" s="52" t="n">
        <f aca="false">IF(AND(ISNUMBER($G426),$G426&gt;=MA_MED),AVERAGE(INDEX($C$26:$C426,402-MA_MED):$C426),"")</f>
        <v>108818016.82</v>
      </c>
      <c r="K426" s="52" t="n">
        <f aca="false">IF(AND(ISNUMBER($G426),$G426&gt;=MA_LONG2),AVERAGE(INDEX($C$26:$C426,402-MA_LONG2):$C426),"")</f>
        <v>109989956.985</v>
      </c>
      <c r="L426" s="53" t="n">
        <f aca="false">IF(AND(ISNUMBER($G426),$G426&gt;=21),STDEV(INDEX($H$366:$H426,62-20):$H426)*SQRT(245),"")</f>
        <v>0.201423198791741</v>
      </c>
      <c r="M426" s="52" t="n">
        <f aca="false">IF(AND(ISNUMBER($G426),$G426&gt;=60),MAX(INDEX($D$226:$D426,202-60):$D426),"")</f>
        <v>122574606</v>
      </c>
      <c r="N426" s="52" t="n">
        <f aca="false">IF(AND(ISNUMBER($G426),$G426&gt;=60),MIN(INDEX($E$226:$E426,202-60):$E426),"")</f>
        <v>101900733</v>
      </c>
      <c r="O426" s="53" t="n">
        <f aca="false">IF(OR(NOT(ISNUMBER($C426)),NOT(ISNUMBER($M426)),$M426=0),"",$C426/$M426-1)</f>
        <v>-0.13015665740749</v>
      </c>
      <c r="P426" s="54"/>
      <c r="Q426" s="53" t="str">
        <f aca="false">IF(NOT(ISNUMBER($P426)),"",IFERROR(PERCENTRANK($P$5:$P$1204,$P426),""))</f>
        <v/>
      </c>
    </row>
    <row r="427" customFormat="false" ht="15" hidden="false" customHeight="false" outlineLevel="0" collapsed="false">
      <c r="A427" s="47" t="n">
        <v>46160</v>
      </c>
      <c r="B427" s="48" t="s">
        <v>575</v>
      </c>
      <c r="C427" s="49" t="n">
        <v>107587394</v>
      </c>
      <c r="D427" s="49" t="n">
        <v>107949040</v>
      </c>
      <c r="E427" s="49" t="n">
        <v>107057889</v>
      </c>
      <c r="F427" s="49" t="n">
        <v>0</v>
      </c>
      <c r="G427" s="50" t="n">
        <f aca="false">IF($A427="","",IF(ISNUMBER($G426),$G426+1,1))</f>
        <v>423</v>
      </c>
      <c r="H427" s="51" t="n">
        <f aca="false">IF(OR(NOT(ISNUMBER($G427)),$G427&lt;2,NOT(ISNUMBER($C426)),$C426=0),"",$C427/$C426-1)</f>
        <v>0.0090666160948758</v>
      </c>
      <c r="I427" s="52" t="n">
        <f aca="false">IF(AND(ISNUMBER($G427),$G427&gt;=MA_SHORT),AVERAGE(INDEX($C$27:$C427,402-MA_SHORT):$C427),"")</f>
        <v>107097519.2</v>
      </c>
      <c r="J427" s="52" t="n">
        <f aca="false">IF(AND(ISNUMBER($G427),$G427&gt;=MA_MED),AVERAGE(INDEX($C$27:$C427,402-MA_MED):$C427),"")</f>
        <v>108721418.1</v>
      </c>
      <c r="K427" s="52" t="n">
        <f aca="false">IF(AND(ISNUMBER($G427),$G427&gt;=MA_LONG2),AVERAGE(INDEX($C$27:$C427,402-MA_LONG2):$C427),"")</f>
        <v>110017514.85</v>
      </c>
      <c r="L427" s="53" t="n">
        <f aca="false">IF(AND(ISNUMBER($G427),$G427&gt;=21),STDEV(INDEX($H$367:$H427,62-20):$H427)*SQRT(245),"")</f>
        <v>0.202075163999753</v>
      </c>
      <c r="M427" s="52" t="n">
        <f aca="false">IF(AND(ISNUMBER($G427),$G427&gt;=60),MAX(INDEX($D$227:$D427,202-60):$D427),"")</f>
        <v>122574606</v>
      </c>
      <c r="N427" s="52" t="n">
        <f aca="false">IF(AND(ISNUMBER($G427),$G427&gt;=60),MIN(INDEX($E$227:$E427,202-60):$E427),"")</f>
        <v>101900733</v>
      </c>
      <c r="O427" s="53" t="n">
        <f aca="false">IF(OR(NOT(ISNUMBER($C427)),NOT(ISNUMBER($M427)),$M427=0),"",$C427/$M427-1)</f>
        <v>-0.12227012175752</v>
      </c>
      <c r="P427" s="54"/>
      <c r="Q427" s="53" t="str">
        <f aca="false">IF(NOT(ISNUMBER($P427)),"",IFERROR(PERCENTRANK($P$5:$P$1204,$P427),""))</f>
        <v/>
      </c>
    </row>
    <row r="428" customFormat="false" ht="15" hidden="false" customHeight="false" outlineLevel="0" collapsed="false">
      <c r="A428" s="47" t="n">
        <v>46161</v>
      </c>
      <c r="B428" s="48" t="s">
        <v>576</v>
      </c>
      <c r="C428" s="49" t="n">
        <v>108015098</v>
      </c>
      <c r="D428" s="49" t="n">
        <v>108193146</v>
      </c>
      <c r="E428" s="49" t="n">
        <v>108000276</v>
      </c>
      <c r="F428" s="49" t="n">
        <v>0</v>
      </c>
      <c r="G428" s="50" t="n">
        <f aca="false">IF($A428="","",IF(ISNUMBER($G427),$G427+1,1))</f>
        <v>424</v>
      </c>
      <c r="H428" s="51" t="n">
        <f aca="false">IF(OR(NOT(ISNUMBER($G428)),$G428&lt;2,NOT(ISNUMBER($C427)),$C427=0),"",$C428/$C427-1)</f>
        <v>0.00397540998158208</v>
      </c>
      <c r="I428" s="52" t="n">
        <f aca="false">IF(AND(ISNUMBER($G428),$G428&gt;=MA_SHORT),AVERAGE(INDEX($C$28:$C428,402-MA_SHORT):$C428),"")</f>
        <v>107013846.25</v>
      </c>
      <c r="J428" s="52" t="n">
        <f aca="false">IF(AND(ISNUMBER($G428),$G428&gt;=MA_MED),AVERAGE(INDEX($C$28:$C428,402-MA_MED):$C428),"")</f>
        <v>108606932.96</v>
      </c>
      <c r="K428" s="52" t="n">
        <f aca="false">IF(AND(ISNUMBER($G428),$G428&gt;=MA_LONG2),AVERAGE(INDEX($C$28:$C428,402-MA_LONG2):$C428),"")</f>
        <v>110062949.205</v>
      </c>
      <c r="L428" s="53" t="n">
        <f aca="false">IF(AND(ISNUMBER($G428),$G428&gt;=21),STDEV(INDEX($H$368:$H428,62-20):$H428)*SQRT(245),"")</f>
        <v>0.20133082432201</v>
      </c>
      <c r="M428" s="52" t="n">
        <f aca="false">IF(AND(ISNUMBER($G428),$G428&gt;=60),MAX(INDEX($D$228:$D428,202-60):$D428),"")</f>
        <v>122568156</v>
      </c>
      <c r="N428" s="52" t="n">
        <f aca="false">IF(AND(ISNUMBER($G428),$G428&gt;=60),MIN(INDEX($E$228:$E428,202-60):$E428),"")</f>
        <v>101900733</v>
      </c>
      <c r="O428" s="53" t="n">
        <f aca="false">IF(OR(NOT(ISNUMBER($C428)),NOT(ISNUMBER($M428)),$M428=0),"",$C428/$M428-1)</f>
        <v>-0.118734412550026</v>
      </c>
      <c r="P428" s="54"/>
      <c r="Q428" s="53" t="str">
        <f aca="false">IF(NOT(ISNUMBER($P428)),"",IFERROR(PERCENTRANK($P$5:$P$1204,$P428),""))</f>
        <v/>
      </c>
    </row>
    <row r="429" customFormat="false" ht="15" hidden="false" customHeight="false" outlineLevel="0" collapsed="false">
      <c r="A429" s="47" t="n">
        <v>46162</v>
      </c>
      <c r="B429" s="48" t="s">
        <v>577</v>
      </c>
      <c r="C429" s="49" t="n">
        <v>106943652</v>
      </c>
      <c r="D429" s="49" t="n">
        <v>107300960</v>
      </c>
      <c r="E429" s="49" t="n">
        <v>106775020</v>
      </c>
      <c r="F429" s="49" t="n">
        <v>0</v>
      </c>
      <c r="G429" s="50" t="n">
        <f aca="false">IF($A429="","",IF(ISNUMBER($G428),$G428+1,1))</f>
        <v>425</v>
      </c>
      <c r="H429" s="51" t="n">
        <f aca="false">IF(OR(NOT(ISNUMBER($G429)),$G429&lt;2,NOT(ISNUMBER($C428)),$C428=0),"",$C429/$C428-1)</f>
        <v>-0.00991940959957283</v>
      </c>
      <c r="I429" s="52" t="n">
        <f aca="false">IF(AND(ISNUMBER($G429),$G429&gt;=MA_SHORT),AVERAGE(INDEX($C$29:$C429,402-MA_SHORT):$C429),"")</f>
        <v>106804235.35</v>
      </c>
      <c r="J429" s="52" t="n">
        <f aca="false">IF(AND(ISNUMBER($G429),$G429&gt;=MA_MED),AVERAGE(INDEX($C$29:$C429,402-MA_MED):$C429),"")</f>
        <v>108431326.18</v>
      </c>
      <c r="K429" s="52" t="n">
        <f aca="false">IF(AND(ISNUMBER($G429),$G429&gt;=MA_LONG2),AVERAGE(INDEX($C$29:$C429,402-MA_LONG2):$C429),"")</f>
        <v>110106598.16</v>
      </c>
      <c r="L429" s="53" t="n">
        <f aca="false">IF(AND(ISNUMBER($G429),$G429&gt;=21),STDEV(INDEX($H$369:$H429,62-20):$H429)*SQRT(245),"")</f>
        <v>0.196983403118388</v>
      </c>
      <c r="M429" s="52" t="n">
        <f aca="false">IF(AND(ISNUMBER($G429),$G429&gt;=60),MAX(INDEX($D$229:$D429,202-60):$D429),"")</f>
        <v>122568156</v>
      </c>
      <c r="N429" s="52" t="n">
        <f aca="false">IF(AND(ISNUMBER($G429),$G429&gt;=60),MIN(INDEX($E$229:$E429,202-60):$E429),"")</f>
        <v>101900733</v>
      </c>
      <c r="O429" s="53" t="n">
        <f aca="false">IF(OR(NOT(ISNUMBER($C429)),NOT(ISNUMBER($M429)),$M429=0),"",$C429/$M429-1)</f>
        <v>-0.127476046877951</v>
      </c>
      <c r="P429" s="54"/>
      <c r="Q429" s="53" t="str">
        <f aca="false">IF(NOT(ISNUMBER($P429)),"",IFERROR(PERCENTRANK($P$5:$P$1204,$P429),""))</f>
        <v/>
      </c>
    </row>
    <row r="430" customFormat="false" ht="15" hidden="false" customHeight="false" outlineLevel="0" collapsed="false">
      <c r="A430" s="47" t="n">
        <v>46165</v>
      </c>
      <c r="B430" s="48" t="s">
        <v>578</v>
      </c>
      <c r="C430" s="49" t="n">
        <v>105362536</v>
      </c>
      <c r="D430" s="49" t="n">
        <v>105643610</v>
      </c>
      <c r="E430" s="49" t="n">
        <v>104803968</v>
      </c>
      <c r="F430" s="49" t="n">
        <v>0</v>
      </c>
      <c r="G430" s="50" t="n">
        <f aca="false">IF($A430="","",IF(ISNUMBER($G429),$G429+1,1))</f>
        <v>426</v>
      </c>
      <c r="H430" s="51" t="n">
        <f aca="false">IF(OR(NOT(ISNUMBER($G430)),$G430&lt;2,NOT(ISNUMBER($C429)),$C429=0),"",$C430/$C429-1)</f>
        <v>-0.0147845708504513</v>
      </c>
      <c r="I430" s="52" t="n">
        <f aca="false">IF(AND(ISNUMBER($G430),$G430&gt;=MA_SHORT),AVERAGE(INDEX($C$30:$C430,402-MA_SHORT):$C430),"")</f>
        <v>106579172.6</v>
      </c>
      <c r="J430" s="52" t="n">
        <f aca="false">IF(AND(ISNUMBER($G430),$G430&gt;=MA_MED),AVERAGE(INDEX($C$30:$C430,402-MA_MED):$C430),"")</f>
        <v>108244565.32</v>
      </c>
      <c r="K430" s="52" t="n">
        <f aca="false">IF(AND(ISNUMBER($G430),$G430&gt;=MA_LONG2),AVERAGE(INDEX($C$30:$C430,402-MA_LONG2):$C430),"")</f>
        <v>110133899.115</v>
      </c>
      <c r="L430" s="53" t="n">
        <f aca="false">IF(AND(ISNUMBER($G430),$G430&gt;=21),STDEV(INDEX($H$370:$H430,62-20):$H430)*SQRT(245),"")</f>
        <v>0.199413130523338</v>
      </c>
      <c r="M430" s="52" t="n">
        <f aca="false">IF(AND(ISNUMBER($G430),$G430&gt;=60),MAX(INDEX($D$230:$D430,202-60):$D430),"")</f>
        <v>122568156</v>
      </c>
      <c r="N430" s="52" t="n">
        <f aca="false">IF(AND(ISNUMBER($G430),$G430&gt;=60),MIN(INDEX($E$230:$E430,202-60):$E430),"")</f>
        <v>101900733</v>
      </c>
      <c r="O430" s="53" t="n">
        <f aca="false">IF(OR(NOT(ISNUMBER($C430)),NOT(ISNUMBER($M430)),$M430=0),"",$C430/$M430-1)</f>
        <v>-0.1403759390816</v>
      </c>
      <c r="P430" s="54"/>
      <c r="Q430" s="53" t="str">
        <f aca="false">IF(NOT(ISNUMBER($P430)),"",IFERROR(PERCENTRANK($P$5:$P$1204,$P430),""))</f>
        <v/>
      </c>
    </row>
    <row r="431" customFormat="false" ht="15" hidden="false" customHeight="false" outlineLevel="0" collapsed="false">
      <c r="A431" s="47" t="n">
        <v>46166</v>
      </c>
      <c r="B431" s="48" t="s">
        <v>579</v>
      </c>
      <c r="C431" s="49" t="n">
        <v>102684541</v>
      </c>
      <c r="D431" s="49" t="n">
        <v>102702384</v>
      </c>
      <c r="E431" s="49" t="n">
        <v>101906107</v>
      </c>
      <c r="F431" s="49" t="n">
        <v>0</v>
      </c>
      <c r="G431" s="50" t="n">
        <f aca="false">IF($A431="","",IF(ISNUMBER($G430),$G430+1,1))</f>
        <v>427</v>
      </c>
      <c r="H431" s="51" t="n">
        <f aca="false">IF(OR(NOT(ISNUMBER($G431)),$G431&lt;2,NOT(ISNUMBER($C430)),$C430=0),"",$C431/$C430-1)</f>
        <v>-0.0254169565546524</v>
      </c>
      <c r="I431" s="52" t="n">
        <f aca="false">IF(AND(ISNUMBER($G431),$G431&gt;=MA_SHORT),AVERAGE(INDEX($C$31:$C431,402-MA_SHORT):$C431),"")</f>
        <v>106249573.55</v>
      </c>
      <c r="J431" s="52" t="n">
        <f aca="false">IF(AND(ISNUMBER($G431),$G431&gt;=MA_MED),AVERAGE(INDEX($C$31:$C431,402-MA_MED):$C431),"")</f>
        <v>107983309.06</v>
      </c>
      <c r="K431" s="52" t="n">
        <f aca="false">IF(AND(ISNUMBER($G431),$G431&gt;=MA_LONG2),AVERAGE(INDEX($C$31:$C431,402-MA_LONG2):$C431),"")</f>
        <v>110139334.82</v>
      </c>
      <c r="L431" s="53" t="n">
        <f aca="false">IF(AND(ISNUMBER($G431),$G431&gt;=21),STDEV(INDEX($H$371:$H431,62-20):$H431)*SQRT(245),"")</f>
        <v>0.215467357244164</v>
      </c>
      <c r="M431" s="52" t="n">
        <f aca="false">IF(AND(ISNUMBER($G431),$G431&gt;=60),MAX(INDEX($D$231:$D431,202-60):$D431),"")</f>
        <v>120177790</v>
      </c>
      <c r="N431" s="52" t="n">
        <f aca="false">IF(AND(ISNUMBER($G431),$G431&gt;=60),MIN(INDEX($E$231:$E431,202-60):$E431),"")</f>
        <v>101900733</v>
      </c>
      <c r="O431" s="53" t="n">
        <f aca="false">IF(OR(NOT(ISNUMBER($C431)),NOT(ISNUMBER($M431)),$M431=0),"",$C431/$M431-1)</f>
        <v>-0.145561413635581</v>
      </c>
      <c r="P431" s="54"/>
      <c r="Q431" s="53" t="str">
        <f aca="false">IF(NOT(ISNUMBER($P431)),"",IFERROR(PERCENTRANK($P$5:$P$1204,$P431),""))</f>
        <v/>
      </c>
    </row>
    <row r="432" customFormat="false" ht="15" hidden="false" customHeight="false" outlineLevel="0" collapsed="false">
      <c r="A432" s="47" t="n">
        <v>46167</v>
      </c>
      <c r="B432" s="48" t="s">
        <v>580</v>
      </c>
      <c r="C432" s="49" t="n">
        <v>101700695</v>
      </c>
      <c r="D432" s="49" t="n">
        <v>101887761</v>
      </c>
      <c r="E432" s="49" t="n">
        <v>101418631</v>
      </c>
      <c r="F432" s="49" t="n">
        <v>0</v>
      </c>
      <c r="G432" s="50" t="n">
        <f aca="false">IF($A432="","",IF(ISNUMBER($G431),$G431+1,1))</f>
        <v>428</v>
      </c>
      <c r="H432" s="51" t="n">
        <f aca="false">IF(OR(NOT(ISNUMBER($G432)),$G432&lt;2,NOT(ISNUMBER($C431)),$C431=0),"",$C432/$C431-1)</f>
        <v>-0.00958124748300715</v>
      </c>
      <c r="I432" s="52" t="n">
        <f aca="false">IF(AND(ISNUMBER($G432),$G432&gt;=MA_SHORT),AVERAGE(INDEX($C$32:$C432,402-MA_SHORT):$C432),"")</f>
        <v>105823895.45</v>
      </c>
      <c r="J432" s="52" t="n">
        <f aca="false">IF(AND(ISNUMBER($G432),$G432&gt;=MA_MED),AVERAGE(INDEX($C$32:$C432,402-MA_MED):$C432),"")</f>
        <v>107705212.52</v>
      </c>
      <c r="K432" s="52" t="n">
        <f aca="false">IF(AND(ISNUMBER($G432),$G432&gt;=MA_LONG2),AVERAGE(INDEX($C$32:$C432,402-MA_LONG2):$C432),"")</f>
        <v>110126159.81</v>
      </c>
      <c r="L432" s="53" t="n">
        <f aca="false">IF(AND(ISNUMBER($G432),$G432&gt;=21),STDEV(INDEX($H$372:$H432,62-20):$H432)*SQRT(245),"")</f>
        <v>0.212214894235486</v>
      </c>
      <c r="M432" s="52" t="n">
        <f aca="false">IF(AND(ISNUMBER($G432),$G432&gt;=60),MAX(INDEX($D$232:$D432,202-60):$D432),"")</f>
        <v>118529489</v>
      </c>
      <c r="N432" s="52" t="n">
        <f aca="false">IF(AND(ISNUMBER($G432),$G432&gt;=60),MIN(INDEX($E$232:$E432,202-60):$E432),"")</f>
        <v>101418631</v>
      </c>
      <c r="O432" s="53" t="n">
        <f aca="false">IF(OR(NOT(ISNUMBER($C432)),NOT(ISNUMBER($M432)),$M432=0),"",$C432/$M432-1)</f>
        <v>-0.141979807235987</v>
      </c>
      <c r="P432" s="54"/>
      <c r="Q432" s="53" t="str">
        <f aca="false">IF(NOT(ISNUMBER($P432)),"",IFERROR(PERCENTRANK($P$5:$P$1204,$P432),""))</f>
        <v/>
      </c>
    </row>
    <row r="433" customFormat="false" ht="15" hidden="false" customHeight="false" outlineLevel="0" collapsed="false">
      <c r="A433" s="47" t="n">
        <v>46168</v>
      </c>
      <c r="B433" s="48" t="s">
        <v>581</v>
      </c>
      <c r="C433" s="49" t="n">
        <v>104033260</v>
      </c>
      <c r="D433" s="49" t="n">
        <v>104438219</v>
      </c>
      <c r="E433" s="49" t="n">
        <v>103203424</v>
      </c>
      <c r="F433" s="49" t="n">
        <v>0</v>
      </c>
      <c r="G433" s="50" t="n">
        <f aca="false">IF($A433="","",IF(ISNUMBER($G432),$G432+1,1))</f>
        <v>429</v>
      </c>
      <c r="H433" s="51" t="n">
        <f aca="false">IF(OR(NOT(ISNUMBER($G433)),$G433&lt;2,NOT(ISNUMBER($C432)),$C432=0),"",$C433/$C432-1)</f>
        <v>0.0229355856417697</v>
      </c>
      <c r="I433" s="52" t="n">
        <f aca="false">IF(AND(ISNUMBER($G433),$G433&gt;=MA_SHORT),AVERAGE(INDEX($C$33:$C433,402-MA_SHORT):$C433),"")</f>
        <v>105465561.4</v>
      </c>
      <c r="J433" s="52" t="n">
        <f aca="false">IF(AND(ISNUMBER($G433),$G433&gt;=MA_MED),AVERAGE(INDEX($C$33:$C433,402-MA_MED):$C433),"")</f>
        <v>107521812.9</v>
      </c>
      <c r="K433" s="52" t="n">
        <f aca="false">IF(AND(ISNUMBER($G433),$G433&gt;=MA_LONG2),AVERAGE(INDEX($C$33:$C433,402-MA_LONG2):$C433),"")</f>
        <v>110126756.255</v>
      </c>
      <c r="L433" s="53" t="n">
        <f aca="false">IF(AND(ISNUMBER($G433),$G433&gt;=21),STDEV(INDEX($H$373:$H433,62-20):$H433)*SQRT(245),"")</f>
        <v>0.228203031704641</v>
      </c>
      <c r="M433" s="52" t="n">
        <f aca="false">IF(AND(ISNUMBER($G433),$G433&gt;=60),MAX(INDEX($D$233:$D433,202-60):$D433),"")</f>
        <v>118529489</v>
      </c>
      <c r="N433" s="52" t="n">
        <f aca="false">IF(AND(ISNUMBER($G433),$G433&gt;=60),MIN(INDEX($E$233:$E433,202-60):$E433),"")</f>
        <v>101418631</v>
      </c>
      <c r="O433" s="53" t="n">
        <f aca="false">IF(OR(NOT(ISNUMBER($C433)),NOT(ISNUMBER($M433)),$M433=0),"",$C433/$M433-1)</f>
        <v>-0.12230061162248</v>
      </c>
      <c r="P433" s="54"/>
      <c r="Q433" s="53" t="str">
        <f aca="false">IF(NOT(ISNUMBER($P433)),"",IFERROR(PERCENTRANK($P$5:$P$1204,$P433),""))</f>
        <v/>
      </c>
    </row>
    <row r="434" customFormat="false" ht="15" hidden="false" customHeight="false" outlineLevel="0" collapsed="false">
      <c r="A434" s="47" t="n">
        <v>46169</v>
      </c>
      <c r="B434" s="48" t="s">
        <v>582</v>
      </c>
      <c r="C434" s="49" t="n">
        <v>104504429</v>
      </c>
      <c r="D434" s="49" t="n">
        <v>104661696</v>
      </c>
      <c r="E434" s="49" t="n">
        <v>104202263</v>
      </c>
      <c r="F434" s="49" t="n">
        <v>0</v>
      </c>
      <c r="G434" s="50" t="n">
        <f aca="false">IF($A434="","",IF(ISNUMBER($G433),$G433+1,1))</f>
        <v>430</v>
      </c>
      <c r="H434" s="51" t="n">
        <f aca="false">IF(OR(NOT(ISNUMBER($G434)),$G434&lt;2,NOT(ISNUMBER($C433)),$C433=0),"",$C434/$C433-1)</f>
        <v>0.00452902273753608</v>
      </c>
      <c r="I434" s="52" t="n">
        <f aca="false">IF(AND(ISNUMBER($G434),$G434&gt;=MA_SHORT),AVERAGE(INDEX($C$34:$C434,402-MA_SHORT):$C434),"")</f>
        <v>105182358.55</v>
      </c>
      <c r="J434" s="52" t="n">
        <f aca="false">IF(AND(ISNUMBER($G434),$G434&gt;=MA_MED),AVERAGE(INDEX($C$34:$C434,402-MA_MED):$C434),"")</f>
        <v>107384443.96</v>
      </c>
      <c r="K434" s="52" t="n">
        <f aca="false">IF(AND(ISNUMBER($G434),$G434&gt;=MA_LONG2),AVERAGE(INDEX($C$34:$C434,402-MA_LONG2):$C434),"")</f>
        <v>110126397.46</v>
      </c>
      <c r="L434" s="53" t="n">
        <f aca="false">IF(AND(ISNUMBER($G434),$G434&gt;=21),STDEV(INDEX($H$374:$H434,62-20):$H434)*SQRT(245),"")</f>
        <v>0.228597150424836</v>
      </c>
      <c r="M434" s="52" t="n">
        <f aca="false">IF(AND(ISNUMBER($G434),$G434&gt;=60),MAX(INDEX($D$234:$D434,202-60):$D434),"")</f>
        <v>116845457</v>
      </c>
      <c r="N434" s="52" t="n">
        <f aca="false">IF(AND(ISNUMBER($G434),$G434&gt;=60),MIN(INDEX($E$234:$E434,202-60):$E434),"")</f>
        <v>101418631</v>
      </c>
      <c r="O434" s="53" t="n">
        <f aca="false">IF(OR(NOT(ISNUMBER($C434)),NOT(ISNUMBER($M434)),$M434=0),"",$C434/$M434-1)</f>
        <v>-0.105618381038126</v>
      </c>
      <c r="P434" s="54"/>
      <c r="Q434" s="53" t="str">
        <f aca="false">IF(NOT(ISNUMBER($P434)),"",IFERROR(PERCENTRANK($P$5:$P$1204,$P434),""))</f>
        <v/>
      </c>
    </row>
    <row r="435" customFormat="false" ht="15" hidden="false" customHeight="false" outlineLevel="0" collapsed="false">
      <c r="A435" s="47" t="n">
        <v>46172</v>
      </c>
      <c r="B435" s="48" t="s">
        <v>583</v>
      </c>
      <c r="C435" s="49" t="n">
        <v>104257401</v>
      </c>
      <c r="D435" s="49" t="n">
        <v>104482935</v>
      </c>
      <c r="E435" s="49" t="n">
        <v>103903893</v>
      </c>
      <c r="F435" s="49" t="n">
        <v>0</v>
      </c>
      <c r="G435" s="50" t="n">
        <f aca="false">IF($A435="","",IF(ISNUMBER($G434),$G434+1,1))</f>
        <v>431</v>
      </c>
      <c r="H435" s="51" t="n">
        <f aca="false">IF(OR(NOT(ISNUMBER($G435)),$G435&lt;2,NOT(ISNUMBER($C434)),$C434=0),"",$C435/$C434-1)</f>
        <v>-0.00236380412164161</v>
      </c>
      <c r="I435" s="52" t="n">
        <f aca="false">IF(AND(ISNUMBER($G435),$G435&gt;=MA_SHORT),AVERAGE(INDEX($C$35:$C435,402-MA_SHORT):$C435),"")</f>
        <v>104983027.8</v>
      </c>
      <c r="J435" s="52" t="n">
        <f aca="false">IF(AND(ISNUMBER($G435),$G435&gt;=MA_MED),AVERAGE(INDEX($C$35:$C435,402-MA_MED):$C435),"")</f>
        <v>107230597.66</v>
      </c>
      <c r="K435" s="52" t="n">
        <f aca="false">IF(AND(ISNUMBER($G435),$G435&gt;=MA_LONG2),AVERAGE(INDEX($C$35:$C435,402-MA_LONG2):$C435),"")</f>
        <v>110119515.3</v>
      </c>
      <c r="L435" s="53" t="n">
        <f aca="false">IF(AND(ISNUMBER($G435),$G435&gt;=21),STDEV(INDEX($H$375:$H435,62-20):$H435)*SQRT(245),"")</f>
        <v>0.221887113313969</v>
      </c>
      <c r="M435" s="52" t="n">
        <f aca="false">IF(AND(ISNUMBER($G435),$G435&gt;=60),MAX(INDEX($D$235:$D435,202-60):$D435),"")</f>
        <v>116382306</v>
      </c>
      <c r="N435" s="52" t="n">
        <f aca="false">IF(AND(ISNUMBER($G435),$G435&gt;=60),MIN(INDEX($E$235:$E435,202-60):$E435),"")</f>
        <v>101418631</v>
      </c>
      <c r="O435" s="53" t="n">
        <f aca="false">IF(OR(NOT(ISNUMBER($C435)),NOT(ISNUMBER($M435)),$M435=0),"",$C435/$M435-1)</f>
        <v>-0.104181687205957</v>
      </c>
      <c r="P435" s="54"/>
      <c r="Q435" s="53" t="str">
        <f aca="false">IF(NOT(ISNUMBER($P435)),"",IFERROR(PERCENTRANK($P$5:$P$1204,$P435),""))</f>
        <v/>
      </c>
    </row>
    <row r="436" customFormat="false" ht="15" hidden="false" customHeight="false" outlineLevel="0" collapsed="false">
      <c r="A436" s="47" t="n">
        <v>46173</v>
      </c>
      <c r="B436" s="48" t="s">
        <v>584</v>
      </c>
      <c r="C436" s="49" t="n">
        <v>105379934</v>
      </c>
      <c r="D436" s="49" t="n">
        <v>105611396</v>
      </c>
      <c r="E436" s="49" t="n">
        <v>105360565</v>
      </c>
      <c r="F436" s="49" t="n">
        <v>0</v>
      </c>
      <c r="G436" s="50" t="n">
        <f aca="false">IF($A436="","",IF(ISNUMBER($G435),$G435+1,1))</f>
        <v>432</v>
      </c>
      <c r="H436" s="51" t="n">
        <f aca="false">IF(OR(NOT(ISNUMBER($G436)),$G436&lt;2,NOT(ISNUMBER($C435)),$C435=0),"",$C436/$C435-1)</f>
        <v>0.0107669382627331</v>
      </c>
      <c r="I436" s="52" t="n">
        <f aca="false">IF(AND(ISNUMBER($G436),$G436&gt;=MA_SHORT),AVERAGE(INDEX($C$36:$C436,402-MA_SHORT):$C436),"")</f>
        <v>104826630.55</v>
      </c>
      <c r="J436" s="52" t="n">
        <f aca="false">IF(AND(ISNUMBER($G436),$G436&gt;=MA_MED),AVERAGE(INDEX($C$36:$C436,402-MA_MED):$C436),"")</f>
        <v>107120605.4</v>
      </c>
      <c r="K436" s="52" t="n">
        <f aca="false">IF(AND(ISNUMBER($G436),$G436&gt;=MA_LONG2),AVERAGE(INDEX($C$36:$C436,402-MA_LONG2):$C436),"")</f>
        <v>110121939.205</v>
      </c>
      <c r="L436" s="53" t="n">
        <f aca="false">IF(AND(ISNUMBER($G436),$G436&gt;=21),STDEV(INDEX($H$376:$H436,62-20):$H436)*SQRT(245),"")</f>
        <v>0.225808451879068</v>
      </c>
      <c r="M436" s="52" t="n">
        <f aca="false">IF(AND(ISNUMBER($G436),$G436&gt;=60),MAX(INDEX($D$236:$D436,202-60):$D436),"")</f>
        <v>116382306</v>
      </c>
      <c r="N436" s="52" t="n">
        <f aca="false">IF(AND(ISNUMBER($G436),$G436&gt;=60),MIN(INDEX($E$236:$E436,202-60):$E436),"")</f>
        <v>101418631</v>
      </c>
      <c r="O436" s="53" t="n">
        <f aca="false">IF(OR(NOT(ISNUMBER($C436)),NOT(ISNUMBER($M436)),$M436=0),"",$C436/$M436-1)</f>
        <v>-0.0945364667374781</v>
      </c>
      <c r="P436" s="54"/>
      <c r="Q436" s="53" t="str">
        <f aca="false">IF(NOT(ISNUMBER($P436)),"",IFERROR(PERCENTRANK($P$5:$P$1204,$P436),""))</f>
        <v/>
      </c>
    </row>
    <row r="437" customFormat="false" ht="15" hidden="false" customHeight="false" outlineLevel="0" collapsed="false">
      <c r="A437" s="47" t="n">
        <v>46174</v>
      </c>
      <c r="B437" s="48" t="s">
        <v>585</v>
      </c>
      <c r="C437" s="49" t="n">
        <v>105586043</v>
      </c>
      <c r="D437" s="49" t="n">
        <v>106179762</v>
      </c>
      <c r="E437" s="49" t="n">
        <v>105444282</v>
      </c>
      <c r="F437" s="49" t="n">
        <v>0</v>
      </c>
      <c r="G437" s="50" t="n">
        <f aca="false">IF($A437="","",IF(ISNUMBER($G436),$G436+1,1))</f>
        <v>433</v>
      </c>
      <c r="H437" s="51" t="n">
        <f aca="false">IF(OR(NOT(ISNUMBER($G437)),$G437&lt;2,NOT(ISNUMBER($C436)),$C436=0),"",$C437/$C436-1)</f>
        <v>0.00195586571538375</v>
      </c>
      <c r="I437" s="52" t="n">
        <f aca="false">IF(AND(ISNUMBER($G437),$G437&gt;=MA_SHORT),AVERAGE(INDEX($C$37:$C437,402-MA_SHORT):$C437),"")</f>
        <v>104853626.65</v>
      </c>
      <c r="J437" s="52" t="n">
        <f aca="false">IF(AND(ISNUMBER($G437),$G437&gt;=MA_MED),AVERAGE(INDEX($C$37:$C437,402-MA_MED):$C437),"")</f>
        <v>107111362.7</v>
      </c>
      <c r="K437" s="52" t="n">
        <f aca="false">IF(AND(ISNUMBER($G437),$G437&gt;=MA_LONG2),AVERAGE(INDEX($C$37:$C437,402-MA_LONG2):$C437),"")</f>
        <v>110133498.775</v>
      </c>
      <c r="L437" s="53" t="n">
        <f aca="false">IF(AND(ISNUMBER($G437),$G437&gt;=21),STDEV(INDEX($H$377:$H437,62-20):$H437)*SQRT(245),"")</f>
        <v>0.195868845881915</v>
      </c>
      <c r="M437" s="52" t="n">
        <f aca="false">IF(AND(ISNUMBER($G437),$G437&gt;=60),MAX(INDEX($D$237:$D437,202-60):$D437),"")</f>
        <v>116382306</v>
      </c>
      <c r="N437" s="52" t="n">
        <f aca="false">IF(AND(ISNUMBER($G437),$G437&gt;=60),MIN(INDEX($E$237:$E437,202-60):$E437),"")</f>
        <v>101418631</v>
      </c>
      <c r="O437" s="53" t="n">
        <f aca="false">IF(OR(NOT(ISNUMBER($C437)),NOT(ISNUMBER($M437)),$M437=0),"",$C437/$M437-1)</f>
        <v>-0.0927655016562398</v>
      </c>
      <c r="P437" s="54"/>
      <c r="Q437" s="53" t="str">
        <f aca="false">IF(NOT(ISNUMBER($P437)),"",IFERROR(PERCENTRANK($P$5:$P$1204,$P437),""))</f>
        <v/>
      </c>
    </row>
    <row r="438" customFormat="false" ht="15" hidden="false" customHeight="false" outlineLevel="0" collapsed="false">
      <c r="A438" s="47" t="n">
        <v>46175</v>
      </c>
      <c r="B438" s="48" t="s">
        <v>586</v>
      </c>
      <c r="C438" s="49" t="n">
        <v>105132660</v>
      </c>
      <c r="D438" s="49" t="n">
        <v>105438770</v>
      </c>
      <c r="E438" s="49" t="n">
        <v>105111317</v>
      </c>
      <c r="F438" s="49" t="n">
        <v>0</v>
      </c>
      <c r="G438" s="50" t="n">
        <f aca="false">IF($A438="","",IF(ISNUMBER($G437),$G437+1,1))</f>
        <v>434</v>
      </c>
      <c r="H438" s="51" t="n">
        <f aca="false">IF(OR(NOT(ISNUMBER($G438)),$G438&lt;2,NOT(ISNUMBER($C437)),$C437=0),"",$C438/$C437-1)</f>
        <v>-0.00429396714866948</v>
      </c>
      <c r="I438" s="52" t="n">
        <f aca="false">IF(AND(ISNUMBER($G438),$G438&gt;=MA_SHORT),AVERAGE(INDEX($C$38:$C438,402-MA_SHORT):$C438),"")</f>
        <v>104958995.45</v>
      </c>
      <c r="J438" s="52" t="n">
        <f aca="false">IF(AND(ISNUMBER($G438),$G438&gt;=MA_MED),AVERAGE(INDEX($C$38:$C438,402-MA_MED):$C438),"")</f>
        <v>107107231.6</v>
      </c>
      <c r="K438" s="52" t="n">
        <f aca="false">IF(AND(ISNUMBER($G438),$G438&gt;=MA_LONG2),AVERAGE(INDEX($C$38:$C438,402-MA_LONG2):$C438),"")</f>
        <v>110146404.545</v>
      </c>
      <c r="L438" s="53" t="n">
        <f aca="false">IF(AND(ISNUMBER($G438),$G438&gt;=21),STDEV(INDEX($H$378:$H438,62-20):$H438)*SQRT(245),"")</f>
        <v>0.183190484682949</v>
      </c>
      <c r="M438" s="52" t="n">
        <f aca="false">IF(AND(ISNUMBER($G438),$G438&gt;=60),MAX(INDEX($D$238:$D438,202-60):$D438),"")</f>
        <v>116382306</v>
      </c>
      <c r="N438" s="52" t="n">
        <f aca="false">IF(AND(ISNUMBER($G438),$G438&gt;=60),MIN(INDEX($E$238:$E438,202-60):$E438),"")</f>
        <v>101418631</v>
      </c>
      <c r="O438" s="53" t="n">
        <f aca="false">IF(OR(NOT(ISNUMBER($C438)),NOT(ISNUMBER($M438)),$M438=0),"",$C438/$M438-1)</f>
        <v>-0.0966611367882675</v>
      </c>
      <c r="P438" s="54"/>
      <c r="Q438" s="53" t="str">
        <f aca="false">IF(NOT(ISNUMBER($P438)),"",IFERROR(PERCENTRANK($P$5:$P$1204,$P438),""))</f>
        <v/>
      </c>
    </row>
    <row r="439" customFormat="false" ht="15" hidden="false" customHeight="false" outlineLevel="0" collapsed="false">
      <c r="A439" s="47" t="n">
        <v>46176</v>
      </c>
      <c r="B439" s="48" t="s">
        <v>587</v>
      </c>
      <c r="C439" s="49" t="n">
        <v>105854909</v>
      </c>
      <c r="D439" s="49" t="n">
        <v>106179038</v>
      </c>
      <c r="E439" s="49" t="n">
        <v>105546155</v>
      </c>
      <c r="F439" s="49" t="n">
        <v>0</v>
      </c>
      <c r="G439" s="50" t="n">
        <f aca="false">IF($A439="","",IF(ISNUMBER($G438),$G438+1,1))</f>
        <v>435</v>
      </c>
      <c r="H439" s="51" t="n">
        <f aca="false">IF(OR(NOT(ISNUMBER($G439)),$G439&lt;2,NOT(ISNUMBER($C438)),$C438=0),"",$C439/$C438-1)</f>
        <v>0.00686988229918284</v>
      </c>
      <c r="I439" s="52" t="n">
        <f aca="false">IF(AND(ISNUMBER($G439),$G439&gt;=MA_SHORT),AVERAGE(INDEX($C$39:$C439,402-MA_SHORT):$C439),"")</f>
        <v>105119867.15</v>
      </c>
      <c r="J439" s="52" t="n">
        <f aca="false">IF(AND(ISNUMBER($G439),$G439&gt;=MA_MED),AVERAGE(INDEX($C$39:$C439,402-MA_MED):$C439),"")</f>
        <v>107149112.44</v>
      </c>
      <c r="K439" s="52" t="n">
        <f aca="false">IF(AND(ISNUMBER($G439),$G439&gt;=MA_LONG2),AVERAGE(INDEX($C$39:$C439,402-MA_LONG2):$C439),"")</f>
        <v>110157821.67</v>
      </c>
      <c r="L439" s="53" t="n">
        <f aca="false">IF(AND(ISNUMBER($G439),$G439&gt;=21),STDEV(INDEX($H$379:$H439,62-20):$H439)*SQRT(245),"")</f>
        <v>0.183346897137271</v>
      </c>
      <c r="M439" s="52" t="n">
        <f aca="false">IF(AND(ISNUMBER($G439),$G439&gt;=60),MAX(INDEX($D$239:$D439,202-60):$D439),"")</f>
        <v>116382306</v>
      </c>
      <c r="N439" s="52" t="n">
        <f aca="false">IF(AND(ISNUMBER($G439),$G439&gt;=60),MIN(INDEX($E$239:$E439,202-60):$E439),"")</f>
        <v>101418631</v>
      </c>
      <c r="O439" s="53" t="n">
        <f aca="false">IF(OR(NOT(ISNUMBER($C439)),NOT(ISNUMBER($M439)),$M439=0),"",$C439/$M439-1)</f>
        <v>-0.0904553051217253</v>
      </c>
      <c r="P439" s="54"/>
      <c r="Q439" s="53" t="str">
        <f aca="false">IF(NOT(ISNUMBER($P439)),"",IFERROR(PERCENTRANK($P$5:$P$1204,$P439),""))</f>
        <v/>
      </c>
    </row>
    <row r="440" customFormat="false" ht="15" hidden="false" customHeight="false" outlineLevel="0" collapsed="false">
      <c r="A440" s="47" t="n">
        <v>46179</v>
      </c>
      <c r="B440" s="48" t="s">
        <v>588</v>
      </c>
      <c r="C440" s="49" t="n">
        <v>106826542</v>
      </c>
      <c r="D440" s="49" t="n">
        <v>107145207</v>
      </c>
      <c r="E440" s="49" t="n">
        <v>106752744</v>
      </c>
      <c r="F440" s="49" t="n">
        <v>0</v>
      </c>
      <c r="G440" s="50" t="n">
        <f aca="false">IF($A440="","",IF(ISNUMBER($G439),$G439+1,1))</f>
        <v>436</v>
      </c>
      <c r="H440" s="51" t="n">
        <f aca="false">IF(OR(NOT(ISNUMBER($G440)),$G440&lt;2,NOT(ISNUMBER($C439)),$C439=0),"",$C440/$C439-1)</f>
        <v>0.00917891299684559</v>
      </c>
      <c r="I440" s="52" t="n">
        <f aca="false">IF(AND(ISNUMBER($G440),$G440&gt;=MA_SHORT),AVERAGE(INDEX($C$40:$C440,402-MA_SHORT):$C440),"")</f>
        <v>105345642.05</v>
      </c>
      <c r="J440" s="52" t="n">
        <f aca="false">IF(AND(ISNUMBER($G440),$G440&gt;=MA_MED),AVERAGE(INDEX($C$40:$C440,402-MA_MED):$C440),"")</f>
        <v>107190911.6</v>
      </c>
      <c r="K440" s="52" t="n">
        <f aca="false">IF(AND(ISNUMBER($G440),$G440&gt;=MA_LONG2),AVERAGE(INDEX($C$40:$C440,402-MA_LONG2):$C440),"")</f>
        <v>110169276.055</v>
      </c>
      <c r="L440" s="53" t="n">
        <f aca="false">IF(AND(ISNUMBER($G440),$G440&gt;=21),STDEV(INDEX($H$380:$H440,62-20):$H440)*SQRT(245),"")</f>
        <v>0.184283809715133</v>
      </c>
      <c r="M440" s="52" t="n">
        <f aca="false">IF(AND(ISNUMBER($G440),$G440&gt;=60),MAX(INDEX($D$240:$D440,202-60):$D440),"")</f>
        <v>116382306</v>
      </c>
      <c r="N440" s="52" t="n">
        <f aca="false">IF(AND(ISNUMBER($G440),$G440&gt;=60),MIN(INDEX($E$240:$E440,202-60):$E440),"")</f>
        <v>101418631</v>
      </c>
      <c r="O440" s="53" t="n">
        <f aca="false">IF(OR(NOT(ISNUMBER($C440)),NOT(ISNUMBER($M440)),$M440=0),"",$C440/$M440-1)</f>
        <v>-0.0821066735006952</v>
      </c>
      <c r="P440" s="54"/>
      <c r="Q440" s="53" t="str">
        <f aca="false">IF(NOT(ISNUMBER($P440)),"",IFERROR(PERCENTRANK($P$5:$P$1204,$P440),""))</f>
        <v/>
      </c>
    </row>
    <row r="441" customFormat="false" ht="15" hidden="false" customHeight="false" outlineLevel="0" collapsed="false">
      <c r="A441" s="47" t="n">
        <v>46180</v>
      </c>
      <c r="B441" s="48" t="s">
        <v>589</v>
      </c>
      <c r="C441" s="49" t="n">
        <v>107259051</v>
      </c>
      <c r="D441" s="49" t="n">
        <v>107491698</v>
      </c>
      <c r="E441" s="49" t="n">
        <v>106834820</v>
      </c>
      <c r="F441" s="49" t="n">
        <v>0</v>
      </c>
      <c r="G441" s="50" t="n">
        <f aca="false">IF($A441="","",IF(ISNUMBER($G440),$G440+1,1))</f>
        <v>437</v>
      </c>
      <c r="H441" s="51" t="n">
        <f aca="false">IF(OR(NOT(ISNUMBER($G441)),$G441&lt;2,NOT(ISNUMBER($C440)),$C440=0),"",$C441/$C440-1)</f>
        <v>0.00404870355159481</v>
      </c>
      <c r="I441" s="52" t="n">
        <f aca="false">IF(AND(ISNUMBER($G441),$G441&gt;=MA_SHORT),AVERAGE(INDEX($C$41:$C441,402-MA_SHORT):$C441),"")</f>
        <v>105549549.5</v>
      </c>
      <c r="J441" s="52" t="n">
        <f aca="false">IF(AND(ISNUMBER($G441),$G441&gt;=MA_MED),AVERAGE(INDEX($C$41:$C441,402-MA_MED):$C441),"")</f>
        <v>107190213.08</v>
      </c>
      <c r="K441" s="52" t="n">
        <f aca="false">IF(AND(ISNUMBER($G441),$G441&gt;=MA_LONG2),AVERAGE(INDEX($C$41:$C441,402-MA_LONG2):$C441),"")</f>
        <v>110179956.125</v>
      </c>
      <c r="L441" s="53" t="n">
        <f aca="false">IF(AND(ISNUMBER($G441),$G441&gt;=21),STDEV(INDEX($H$381:$H441,62-20):$H441)*SQRT(245),"")</f>
        <v>0.182983180821686</v>
      </c>
      <c r="M441" s="52" t="n">
        <f aca="false">IF(AND(ISNUMBER($G441),$G441&gt;=60),MAX(INDEX($D$241:$D441,202-60):$D441),"")</f>
        <v>115713317</v>
      </c>
      <c r="N441" s="52" t="n">
        <f aca="false">IF(AND(ISNUMBER($G441),$G441&gt;=60),MIN(INDEX($E$241:$E441,202-60):$E441),"")</f>
        <v>101418631</v>
      </c>
      <c r="O441" s="53" t="n">
        <f aca="false">IF(OR(NOT(ISNUMBER($C441)),NOT(ISNUMBER($M441)),$M441=0),"",$C441/$M441-1)</f>
        <v>-0.0730621696723118</v>
      </c>
      <c r="P441" s="54"/>
      <c r="Q441" s="53" t="str">
        <f aca="false">IF(NOT(ISNUMBER($P441)),"",IFERROR(PERCENTRANK($P$5:$P$1204,$P441),""))</f>
        <v/>
      </c>
    </row>
    <row r="442" customFormat="false" ht="15" hidden="false" customHeight="false" outlineLevel="0" collapsed="false">
      <c r="A442" s="47" t="n">
        <v>46181</v>
      </c>
      <c r="B442" s="48" t="s">
        <v>590</v>
      </c>
      <c r="C442" s="49" t="n">
        <v>106603531</v>
      </c>
      <c r="D442" s="49" t="n">
        <v>106630548</v>
      </c>
      <c r="E442" s="49" t="n">
        <v>106353367</v>
      </c>
      <c r="F442" s="49" t="n">
        <v>0</v>
      </c>
      <c r="G442" s="50" t="n">
        <f aca="false">IF($A442="","",IF(ISNUMBER($G441),$G441+1,1))</f>
        <v>438</v>
      </c>
      <c r="H442" s="51" t="n">
        <f aca="false">IF(OR(NOT(ISNUMBER($G442)),$G442&lt;2,NOT(ISNUMBER($C441)),$C441=0),"",$C442/$C441-1)</f>
        <v>-0.00611155882779535</v>
      </c>
      <c r="I442" s="52" t="n">
        <f aca="false">IF(AND(ISNUMBER($G442),$G442&gt;=MA_SHORT),AVERAGE(INDEX($C$42:$C442,402-MA_SHORT):$C442),"")</f>
        <v>105592015</v>
      </c>
      <c r="J442" s="52" t="n">
        <f aca="false">IF(AND(ISNUMBER($G442),$G442&gt;=MA_MED),AVERAGE(INDEX($C$42:$C442,402-MA_MED):$C442),"")</f>
        <v>107175197.22</v>
      </c>
      <c r="K442" s="52" t="n">
        <f aca="false">IF(AND(ISNUMBER($G442),$G442&gt;=MA_LONG2),AVERAGE(INDEX($C$42:$C442,402-MA_LONG2):$C442),"")</f>
        <v>110188565.895</v>
      </c>
      <c r="L442" s="53" t="n">
        <f aca="false">IF(AND(ISNUMBER($G442),$G442&gt;=21),STDEV(INDEX($H$382:$H442,62-20):$H442)*SQRT(245),"")</f>
        <v>0.164097190733033</v>
      </c>
      <c r="M442" s="52" t="n">
        <f aca="false">IF(AND(ISNUMBER($G442),$G442&gt;=60),MAX(INDEX($D$242:$D442,202-60):$D442),"")</f>
        <v>113687852</v>
      </c>
      <c r="N442" s="52" t="n">
        <f aca="false">IF(AND(ISNUMBER($G442),$G442&gt;=60),MIN(INDEX($E$242:$E442,202-60):$E442),"")</f>
        <v>101418631</v>
      </c>
      <c r="O442" s="53" t="n">
        <f aca="false">IF(OR(NOT(ISNUMBER($C442)),NOT(ISNUMBER($M442)),$M442=0),"",$C442/$M442-1)</f>
        <v>-0.0623137905710454</v>
      </c>
      <c r="P442" s="54"/>
      <c r="Q442" s="53" t="str">
        <f aca="false">IF(NOT(ISNUMBER($P442)),"",IFERROR(PERCENTRANK($P$5:$P$1204,$P442),""))</f>
        <v/>
      </c>
    </row>
    <row r="443" customFormat="false" ht="15" hidden="false" customHeight="false" outlineLevel="0" collapsed="false">
      <c r="A443" s="47" t="n">
        <v>46182</v>
      </c>
      <c r="B443" s="48" t="s">
        <v>591</v>
      </c>
      <c r="C443" s="49" t="n">
        <v>107933874</v>
      </c>
      <c r="D443" s="49" t="n">
        <v>108026583</v>
      </c>
      <c r="E443" s="49" t="n">
        <v>107647986</v>
      </c>
      <c r="F443" s="49" t="n">
        <v>0</v>
      </c>
      <c r="G443" s="50" t="n">
        <f aca="false">IF($A443="","",IF(ISNUMBER($G442),$G442+1,1))</f>
        <v>439</v>
      </c>
      <c r="H443" s="51" t="n">
        <f aca="false">IF(OR(NOT(ISNUMBER($G443)),$G443&lt;2,NOT(ISNUMBER($C442)),$C442=0),"",$C443/$C442-1)</f>
        <v>0.0124793521145186</v>
      </c>
      <c r="I443" s="52" t="n">
        <f aca="false">IF(AND(ISNUMBER($G443),$G443&gt;=MA_SHORT),AVERAGE(INDEX($C$43:$C443,402-MA_SHORT):$C443),"")</f>
        <v>105705069.4</v>
      </c>
      <c r="J443" s="52" t="n">
        <f aca="false">IF(AND(ISNUMBER($G443),$G443&gt;=MA_MED),AVERAGE(INDEX($C$43:$C443,402-MA_MED):$C443),"")</f>
        <v>107167372.28</v>
      </c>
      <c r="K443" s="52" t="n">
        <f aca="false">IF(AND(ISNUMBER($G443),$G443&gt;=MA_LONG2),AVERAGE(INDEX($C$43:$C443,402-MA_LONG2):$C443),"")</f>
        <v>110204273.58</v>
      </c>
      <c r="L443" s="53" t="n">
        <f aca="false">IF(AND(ISNUMBER($G443),$G443&gt;=21),STDEV(INDEX($H$383:$H443,62-20):$H443)*SQRT(245),"")</f>
        <v>0.169294541544981</v>
      </c>
      <c r="M443" s="52" t="n">
        <f aca="false">IF(AND(ISNUMBER($G443),$G443&gt;=60),MAX(INDEX($D$243:$D443,202-60):$D443),"")</f>
        <v>113687852</v>
      </c>
      <c r="N443" s="52" t="n">
        <f aca="false">IF(AND(ISNUMBER($G443),$G443&gt;=60),MIN(INDEX($E$243:$E443,202-60):$E443),"")</f>
        <v>101418631</v>
      </c>
      <c r="O443" s="53" t="n">
        <f aca="false">IF(OR(NOT(ISNUMBER($C443)),NOT(ISNUMBER($M443)),$M443=0),"",$C443/$M443-1)</f>
        <v>-0.0506120741906532</v>
      </c>
      <c r="P443" s="54"/>
      <c r="Q443" s="53" t="str">
        <f aca="false">IF(NOT(ISNUMBER($P443)),"",IFERROR(PERCENTRANK($P$5:$P$1204,$P443),""))</f>
        <v/>
      </c>
    </row>
    <row r="444" customFormat="false" ht="15" hidden="false" customHeight="false" outlineLevel="0" collapsed="false">
      <c r="A444" s="47" t="n">
        <v>46183</v>
      </c>
      <c r="B444" s="48" t="s">
        <v>592</v>
      </c>
      <c r="C444" s="49" t="n">
        <v>107680935</v>
      </c>
      <c r="D444" s="49" t="n">
        <v>107696692</v>
      </c>
      <c r="E444" s="49" t="n">
        <v>106835119</v>
      </c>
      <c r="F444" s="49" t="n">
        <v>0</v>
      </c>
      <c r="G444" s="50" t="n">
        <f aca="false">IF($A444="","",IF(ISNUMBER($G443),$G443+1,1))</f>
        <v>440</v>
      </c>
      <c r="H444" s="51" t="n">
        <f aca="false">IF(OR(NOT(ISNUMBER($G444)),$G444&lt;2,NOT(ISNUMBER($C443)),$C443=0),"",$C444/$C443-1)</f>
        <v>-0.00234346262786789</v>
      </c>
      <c r="I444" s="52" t="n">
        <f aca="false">IF(AND(ISNUMBER($G444),$G444&gt;=MA_SHORT),AVERAGE(INDEX($C$44:$C444,402-MA_SHORT):$C444),"")</f>
        <v>105790518.55</v>
      </c>
      <c r="J444" s="52" t="n">
        <f aca="false">IF(AND(ISNUMBER($G444),$G444&gt;=MA_MED),AVERAGE(INDEX($C$44:$C444,402-MA_MED):$C444),"")</f>
        <v>107126466.72</v>
      </c>
      <c r="K444" s="52" t="n">
        <f aca="false">IF(AND(ISNUMBER($G444),$G444&gt;=MA_LONG2),AVERAGE(INDEX($C$44:$C444,402-MA_LONG2):$C444),"")</f>
        <v>110214722.92</v>
      </c>
      <c r="L444" s="53" t="n">
        <f aca="false">IF(AND(ISNUMBER($G444),$G444&gt;=21),STDEV(INDEX($H$384:$H444,62-20):$H444)*SQRT(245),"")</f>
        <v>0.16958660535763</v>
      </c>
      <c r="M444" s="52" t="n">
        <f aca="false">IF(AND(ISNUMBER($G444),$G444&gt;=60),MAX(INDEX($D$244:$D444,202-60):$D444),"")</f>
        <v>113687852</v>
      </c>
      <c r="N444" s="52" t="n">
        <f aca="false">IF(AND(ISNUMBER($G444),$G444&gt;=60),MIN(INDEX($E$244:$E444,202-60):$E444),"")</f>
        <v>101418631</v>
      </c>
      <c r="O444" s="53" t="n">
        <f aca="false">IF(OR(NOT(ISNUMBER($C444)),NOT(ISNUMBER($M444)),$M444=0),"",$C444/$M444-1)</f>
        <v>-0.0528369293141364</v>
      </c>
      <c r="P444" s="54"/>
      <c r="Q444" s="53" t="str">
        <f aca="false">IF(NOT(ISNUMBER($P444)),"",IFERROR(PERCENTRANK($P$5:$P$1204,$P444),""))</f>
        <v/>
      </c>
    </row>
    <row r="445" customFormat="false" ht="15" hidden="false" customHeight="false" outlineLevel="0" collapsed="false">
      <c r="A445" s="47" t="n">
        <v>46186</v>
      </c>
      <c r="B445" s="48" t="s">
        <v>593</v>
      </c>
      <c r="C445" s="49" t="n">
        <v>105839281</v>
      </c>
      <c r="D445" s="49" t="n">
        <v>106111741</v>
      </c>
      <c r="E445" s="49" t="n">
        <v>105485613</v>
      </c>
      <c r="F445" s="49" t="n">
        <v>0</v>
      </c>
      <c r="G445" s="50" t="n">
        <f aca="false">IF($A445="","",IF(ISNUMBER($G444),$G444+1,1))</f>
        <v>441</v>
      </c>
      <c r="H445" s="51" t="n">
        <f aca="false">IF(OR(NOT(ISNUMBER($G445)),$G445&lt;2,NOT(ISNUMBER($C444)),$C444=0),"",$C445/$C444-1)</f>
        <v>-0.0171028789822451</v>
      </c>
      <c r="I445" s="52" t="n">
        <f aca="false">IF(AND(ISNUMBER($G445),$G445&gt;=MA_SHORT),AVERAGE(INDEX($C$45:$C445,402-MA_SHORT):$C445),"")</f>
        <v>105790323.55</v>
      </c>
      <c r="J445" s="52" t="n">
        <f aca="false">IF(AND(ISNUMBER($G445),$G445&gt;=MA_MED),AVERAGE(INDEX($C$45:$C445,402-MA_MED):$C445),"")</f>
        <v>106990979.82</v>
      </c>
      <c r="K445" s="52" t="n">
        <f aca="false">IF(AND(ISNUMBER($G445),$G445&gt;=MA_LONG2),AVERAGE(INDEX($C$45:$C445,402-MA_LONG2):$C445),"")</f>
        <v>110205573.86</v>
      </c>
      <c r="L445" s="53" t="n">
        <f aca="false">IF(AND(ISNUMBER($G445),$G445&gt;=21),STDEV(INDEX($H$385:$H445,62-20):$H445)*SQRT(245),"")</f>
        <v>0.180832603969809</v>
      </c>
      <c r="M445" s="52" t="n">
        <f aca="false">IF(AND(ISNUMBER($G445),$G445&gt;=60),MAX(INDEX($D$245:$D445,202-60):$D445),"")</f>
        <v>113687852</v>
      </c>
      <c r="N445" s="52" t="n">
        <f aca="false">IF(AND(ISNUMBER($G445),$G445&gt;=60),MIN(INDEX($E$245:$E445,202-60):$E445),"")</f>
        <v>101418631</v>
      </c>
      <c r="O445" s="53" t="n">
        <f aca="false">IF(OR(NOT(ISNUMBER($C445)),NOT(ISNUMBER($M445)),$M445=0),"",$C445/$M445-1)</f>
        <v>-0.0690361446885284</v>
      </c>
      <c r="P445" s="54"/>
      <c r="Q445" s="53" t="str">
        <f aca="false">IF(NOT(ISNUMBER($P445)),"",IFERROR(PERCENTRANK($P$5:$P$1204,$P445),""))</f>
        <v/>
      </c>
    </row>
    <row r="446" customFormat="false" ht="15" hidden="false" customHeight="false" outlineLevel="0" collapsed="false">
      <c r="A446" s="47" t="n">
        <v>46187</v>
      </c>
      <c r="B446" s="48" t="s">
        <v>594</v>
      </c>
      <c r="C446" s="49" t="n">
        <v>104143256</v>
      </c>
      <c r="D446" s="49" t="n">
        <v>104234302</v>
      </c>
      <c r="E446" s="49" t="n">
        <v>103377747</v>
      </c>
      <c r="F446" s="49" t="n">
        <v>0</v>
      </c>
      <c r="G446" s="50" t="n">
        <f aca="false">IF($A446="","",IF(ISNUMBER($G445),$G445+1,1))</f>
        <v>442</v>
      </c>
      <c r="H446" s="51" t="n">
        <f aca="false">IF(OR(NOT(ISNUMBER($G446)),$G446&lt;2,NOT(ISNUMBER($C445)),$C445=0),"",$C446/$C445-1)</f>
        <v>-0.0160245325173741</v>
      </c>
      <c r="I446" s="52" t="n">
        <f aca="false">IF(AND(ISNUMBER($G446),$G446&gt;=MA_SHORT),AVERAGE(INDEX($C$46:$C446,402-MA_SHORT):$C446),"")</f>
        <v>105666451.1</v>
      </c>
      <c r="J446" s="52" t="n">
        <f aca="false">IF(AND(ISNUMBER($G446),$G446&gt;=MA_MED),AVERAGE(INDEX($C$46:$C446,402-MA_MED):$C446),"")</f>
        <v>106806313.44</v>
      </c>
      <c r="K446" s="52" t="n">
        <f aca="false">IF(AND(ISNUMBER($G446),$G446&gt;=MA_LONG2),AVERAGE(INDEX($C$46:$C446,402-MA_LONG2):$C446),"")</f>
        <v>110194542.64</v>
      </c>
      <c r="L446" s="53" t="n">
        <f aca="false">IF(AND(ISNUMBER($G446),$G446&gt;=21),STDEV(INDEX($H$386:$H446,62-20):$H446)*SQRT(245),"")</f>
        <v>0.187085068908011</v>
      </c>
      <c r="M446" s="52" t="n">
        <f aca="false">IF(AND(ISNUMBER($G446),$G446&gt;=60),MAX(INDEX($D$246:$D446,202-60):$D446),"")</f>
        <v>113687852</v>
      </c>
      <c r="N446" s="52" t="n">
        <f aca="false">IF(AND(ISNUMBER($G446),$G446&gt;=60),MIN(INDEX($E$246:$E446,202-60):$E446),"")</f>
        <v>101418631</v>
      </c>
      <c r="O446" s="53" t="n">
        <f aca="false">IF(OR(NOT(ISNUMBER($C446)),NOT(ISNUMBER($M446)),$M446=0),"",$C446/$M446-1)</f>
        <v>-0.0839544052604671</v>
      </c>
      <c r="P446" s="54"/>
      <c r="Q446" s="53" t="str">
        <f aca="false">IF(NOT(ISNUMBER($P446)),"",IFERROR(PERCENTRANK($P$5:$P$1204,$P446),""))</f>
        <v/>
      </c>
    </row>
    <row r="447" customFormat="false" ht="15" hidden="false" customHeight="false" outlineLevel="0" collapsed="false">
      <c r="A447" s="47" t="n">
        <v>46188</v>
      </c>
      <c r="B447" s="48" t="s">
        <v>595</v>
      </c>
      <c r="C447" s="49" t="n">
        <v>105216766</v>
      </c>
      <c r="D447" s="49" t="n">
        <v>105242724</v>
      </c>
      <c r="E447" s="49" t="n">
        <v>104571917</v>
      </c>
      <c r="F447" s="49" t="n">
        <v>0</v>
      </c>
      <c r="G447" s="50" t="n">
        <f aca="false">IF($A447="","",IF(ISNUMBER($G446),$G446+1,1))</f>
        <v>443</v>
      </c>
      <c r="H447" s="51" t="n">
        <f aca="false">IF(OR(NOT(ISNUMBER($G447)),$G447&lt;2,NOT(ISNUMBER($C446)),$C446=0),"",$C447/$C446-1)</f>
        <v>0.0103080126475017</v>
      </c>
      <c r="I447" s="52" t="n">
        <f aca="false">IF(AND(ISNUMBER($G447),$G447&gt;=MA_SHORT),AVERAGE(INDEX($C$47:$C447,402-MA_SHORT):$C447),"")</f>
        <v>105547919.7</v>
      </c>
      <c r="J447" s="52" t="n">
        <f aca="false">IF(AND(ISNUMBER($G447),$G447&gt;=MA_MED),AVERAGE(INDEX($C$47:$C447,402-MA_MED):$C447),"")</f>
        <v>106682762.58</v>
      </c>
      <c r="K447" s="52" t="n">
        <f aca="false">IF(AND(ISNUMBER($G447),$G447&gt;=MA_LONG2),AVERAGE(INDEX($C$47:$C447,402-MA_LONG2):$C447),"")</f>
        <v>110190511.5</v>
      </c>
      <c r="L447" s="53" t="n">
        <f aca="false">IF(AND(ISNUMBER($G447),$G447&gt;=21),STDEV(INDEX($H$387:$H447,62-20):$H447)*SQRT(245),"")</f>
        <v>0.188003730722826</v>
      </c>
      <c r="M447" s="52" t="n">
        <f aca="false">IF(AND(ISNUMBER($G447),$G447&gt;=60),MAX(INDEX($D$247:$D447,202-60):$D447),"")</f>
        <v>113687852</v>
      </c>
      <c r="N447" s="52" t="n">
        <f aca="false">IF(AND(ISNUMBER($G447),$G447&gt;=60),MIN(INDEX($E$247:$E447,202-60):$E447),"")</f>
        <v>101418631</v>
      </c>
      <c r="O447" s="53" t="n">
        <f aca="false">IF(OR(NOT(ISNUMBER($C447)),NOT(ISNUMBER($M447)),$M447=0),"",$C447/$M447-1)</f>
        <v>-0.0745117956842039</v>
      </c>
      <c r="P447" s="54"/>
      <c r="Q447" s="53" t="str">
        <f aca="false">IF(NOT(ISNUMBER($P447)),"",IFERROR(PERCENTRANK($P$5:$P$1204,$P447),""))</f>
        <v/>
      </c>
    </row>
    <row r="448" customFormat="false" ht="15" hidden="false" customHeight="false" outlineLevel="0" collapsed="false">
      <c r="A448" s="47" t="n">
        <v>46189</v>
      </c>
      <c r="B448" s="48" t="s">
        <v>596</v>
      </c>
      <c r="C448" s="49" t="n">
        <v>104099687</v>
      </c>
      <c r="D448" s="49" t="n">
        <v>104819129</v>
      </c>
      <c r="E448" s="49" t="n">
        <v>103600327</v>
      </c>
      <c r="F448" s="49" t="n">
        <v>0</v>
      </c>
      <c r="G448" s="50" t="n">
        <f aca="false">IF($A448="","",IF(ISNUMBER($G447),$G447+1,1))</f>
        <v>444</v>
      </c>
      <c r="H448" s="51" t="n">
        <f aca="false">IF(OR(NOT(ISNUMBER($G448)),$G448&lt;2,NOT(ISNUMBER($C447)),$C447=0),"",$C448/$C447-1)</f>
        <v>-0.0106169296250751</v>
      </c>
      <c r="I448" s="52" t="n">
        <f aca="false">IF(AND(ISNUMBER($G448),$G448&gt;=MA_SHORT),AVERAGE(INDEX($C$48:$C448,402-MA_SHORT):$C448),"")</f>
        <v>105352149.15</v>
      </c>
      <c r="J448" s="52" t="n">
        <f aca="false">IF(AND(ISNUMBER($G448),$G448&gt;=MA_MED),AVERAGE(INDEX($C$48:$C448,402-MA_MED):$C448),"")</f>
        <v>106562285.94</v>
      </c>
      <c r="K448" s="52" t="n">
        <f aca="false">IF(AND(ISNUMBER($G448),$G448&gt;=MA_LONG2),AVERAGE(INDEX($C$48:$C448,402-MA_LONG2):$C448),"")</f>
        <v>110180269.31</v>
      </c>
      <c r="L448" s="53" t="n">
        <f aca="false">IF(AND(ISNUMBER($G448),$G448&gt;=21),STDEV(INDEX($H$388:$H448,62-20):$H448)*SQRT(245),"")</f>
        <v>0.189906946641092</v>
      </c>
      <c r="M448" s="52" t="n">
        <f aca="false">IF(AND(ISNUMBER($G448),$G448&gt;=60),MAX(INDEX($D$248:$D448,202-60):$D448),"")</f>
        <v>113687852</v>
      </c>
      <c r="N448" s="52" t="n">
        <f aca="false">IF(AND(ISNUMBER($G448),$G448&gt;=60),MIN(INDEX($E$248:$E448,202-60):$E448),"")</f>
        <v>101418631</v>
      </c>
      <c r="O448" s="53" t="n">
        <f aca="false">IF(OR(NOT(ISNUMBER($C448)),NOT(ISNUMBER($M448)),$M448=0),"",$C448/$M448-1)</f>
        <v>-0.0843376388182617</v>
      </c>
      <c r="P448" s="54"/>
      <c r="Q448" s="53" t="str">
        <f aca="false">IF(NOT(ISNUMBER($P448)),"",IFERROR(PERCENTRANK($P$5:$P$1204,$P448),""))</f>
        <v/>
      </c>
    </row>
    <row r="449" customFormat="false" ht="15" hidden="false" customHeight="false" outlineLevel="0" collapsed="false">
      <c r="A449" s="47" t="n">
        <v>46190</v>
      </c>
      <c r="B449" s="48" t="s">
        <v>597</v>
      </c>
      <c r="C449" s="49" t="n">
        <v>104190241</v>
      </c>
      <c r="D449" s="49" t="n">
        <v>104606501</v>
      </c>
      <c r="E449" s="49" t="n">
        <v>103890289</v>
      </c>
      <c r="F449" s="49" t="n">
        <v>0</v>
      </c>
      <c r="G449" s="50" t="n">
        <f aca="false">IF($A449="","",IF(ISNUMBER($G448),$G448+1,1))</f>
        <v>445</v>
      </c>
      <c r="H449" s="51" t="n">
        <f aca="false">IF(OR(NOT(ISNUMBER($G449)),$G449&lt;2,NOT(ISNUMBER($C448)),$C448=0),"",$C449/$C448-1)</f>
        <v>0.000869877735559355</v>
      </c>
      <c r="I449" s="52" t="n">
        <f aca="false">IF(AND(ISNUMBER($G449),$G449&gt;=MA_SHORT),AVERAGE(INDEX($C$49:$C449,402-MA_SHORT):$C449),"")</f>
        <v>105214478.6</v>
      </c>
      <c r="J449" s="52" t="n">
        <f aca="false">IF(AND(ISNUMBER($G449),$G449&gt;=MA_MED),AVERAGE(INDEX($C$49:$C449,402-MA_MED):$C449),"")</f>
        <v>106449597.18</v>
      </c>
      <c r="K449" s="52" t="n">
        <f aca="false">IF(AND(ISNUMBER($G449),$G449&gt;=MA_LONG2),AVERAGE(INDEX($C$49:$C449,402-MA_LONG2):$C449),"")</f>
        <v>110177612.925</v>
      </c>
      <c r="L449" s="53" t="n">
        <f aca="false">IF(AND(ISNUMBER($G449),$G449&gt;=21),STDEV(INDEX($H$389:$H449,62-20):$H449)*SQRT(245),"")</f>
        <v>0.187681359310621</v>
      </c>
      <c r="M449" s="52" t="n">
        <f aca="false">IF(AND(ISNUMBER($G449),$G449&gt;=60),MAX(INDEX($D$249:$D449,202-60):$D449),"")</f>
        <v>113687852</v>
      </c>
      <c r="N449" s="52" t="n">
        <f aca="false">IF(AND(ISNUMBER($G449),$G449&gt;=60),MIN(INDEX($E$249:$E449,202-60):$E449),"")</f>
        <v>101418631</v>
      </c>
      <c r="O449" s="53" t="n">
        <f aca="false">IF(OR(NOT(ISNUMBER($C449)),NOT(ISNUMBER($M449)),$M449=0),"",$C449/$M449-1)</f>
        <v>-0.08354112451698</v>
      </c>
      <c r="P449" s="54"/>
      <c r="Q449" s="53" t="str">
        <f aca="false">IF(NOT(ISNUMBER($P449)),"",IFERROR(PERCENTRANK($P$5:$P$1204,$P449),""))</f>
        <v/>
      </c>
    </row>
    <row r="450" customFormat="false" ht="15" hidden="false" customHeight="false" outlineLevel="0" collapsed="false">
      <c r="A450" s="47" t="n">
        <v>46193</v>
      </c>
      <c r="B450" s="48" t="s">
        <v>598</v>
      </c>
      <c r="C450" s="49" t="n">
        <v>105073566</v>
      </c>
      <c r="D450" s="49" t="n">
        <v>105204441</v>
      </c>
      <c r="E450" s="49" t="n">
        <v>104768304</v>
      </c>
      <c r="F450" s="49" t="n">
        <v>0</v>
      </c>
      <c r="G450" s="50" t="n">
        <f aca="false">IF($A450="","",IF(ISNUMBER($G449),$G449+1,1))</f>
        <v>446</v>
      </c>
      <c r="H450" s="51" t="n">
        <f aca="false">IF(OR(NOT(ISNUMBER($G450)),$G450&lt;2,NOT(ISNUMBER($C449)),$C449=0),"",$C450/$C449-1)</f>
        <v>0.00847800131300214</v>
      </c>
      <c r="I450" s="52" t="n">
        <f aca="false">IF(AND(ISNUMBER($G450),$G450&gt;=MA_SHORT),AVERAGE(INDEX($C$50:$C450,402-MA_SHORT):$C450),"")</f>
        <v>105200030.1</v>
      </c>
      <c r="J450" s="52" t="n">
        <f aca="false">IF(AND(ISNUMBER($G450),$G450&gt;=MA_MED),AVERAGE(INDEX($C$50:$C450,402-MA_MED):$C450),"")</f>
        <v>106399600.78</v>
      </c>
      <c r="K450" s="52" t="n">
        <f aca="false">IF(AND(ISNUMBER($G450),$G450&gt;=MA_LONG2),AVERAGE(INDEX($C$50:$C450,402-MA_LONG2):$C450),"")</f>
        <v>110181026.165</v>
      </c>
      <c r="L450" s="53" t="n">
        <f aca="false">IF(AND(ISNUMBER($G450),$G450&gt;=21),STDEV(INDEX($H$390:$H450,62-20):$H450)*SQRT(245),"")</f>
        <v>0.183642293891583</v>
      </c>
      <c r="M450" s="52" t="n">
        <f aca="false">IF(AND(ISNUMBER($G450),$G450&gt;=60),MAX(INDEX($D$250:$D450,202-60):$D450),"")</f>
        <v>113687852</v>
      </c>
      <c r="N450" s="52" t="n">
        <f aca="false">IF(AND(ISNUMBER($G450),$G450&gt;=60),MIN(INDEX($E$250:$E450,202-60):$E450),"")</f>
        <v>101418631</v>
      </c>
      <c r="O450" s="53" t="n">
        <f aca="false">IF(OR(NOT(ISNUMBER($C450)),NOT(ISNUMBER($M450)),$M450=0),"",$C450/$M450-1)</f>
        <v>-0.0757713849673226</v>
      </c>
      <c r="P450" s="54"/>
      <c r="Q450" s="53" t="str">
        <f aca="false">IF(NOT(ISNUMBER($P450)),"",IFERROR(PERCENTRANK($P$5:$P$1204,$P450),""))</f>
        <v/>
      </c>
    </row>
    <row r="451" customFormat="false" ht="15" hidden="false" customHeight="false" outlineLevel="0" collapsed="false">
      <c r="A451" s="47" t="n">
        <v>46194</v>
      </c>
      <c r="B451" s="48" t="s">
        <v>599</v>
      </c>
      <c r="C451" s="49" t="n">
        <v>103538837</v>
      </c>
      <c r="D451" s="49" t="n">
        <v>103811339</v>
      </c>
      <c r="E451" s="49" t="n">
        <v>103052076</v>
      </c>
      <c r="F451" s="49" t="n">
        <v>0</v>
      </c>
      <c r="G451" s="50" t="n">
        <f aca="false">IF($A451="","",IF(ISNUMBER($G450),$G450+1,1))</f>
        <v>447</v>
      </c>
      <c r="H451" s="51" t="n">
        <f aca="false">IF(OR(NOT(ISNUMBER($G451)),$G451&lt;2,NOT(ISNUMBER($C450)),$C450=0),"",$C451/$C450-1)</f>
        <v>-0.0146062331224202</v>
      </c>
      <c r="I451" s="52" t="n">
        <f aca="false">IF(AND(ISNUMBER($G451),$G451&gt;=MA_SHORT),AVERAGE(INDEX($C$51:$C451,402-MA_SHORT):$C451),"")</f>
        <v>105242744.9</v>
      </c>
      <c r="J451" s="52" t="n">
        <f aca="false">IF(AND(ISNUMBER($G451),$G451&gt;=MA_MED),AVERAGE(INDEX($C$51:$C451,402-MA_MED):$C451),"")</f>
        <v>106321441.06</v>
      </c>
      <c r="K451" s="52" t="n">
        <f aca="false">IF(AND(ISNUMBER($G451),$G451&gt;=MA_LONG2),AVERAGE(INDEX($C$51:$C451,402-MA_LONG2):$C451),"")</f>
        <v>110185969.075</v>
      </c>
      <c r="L451" s="53" t="n">
        <f aca="false">IF(AND(ISNUMBER($G451),$G451&gt;=21),STDEV(INDEX($H$391:$H451,62-20):$H451)*SQRT(245),"")</f>
        <v>0.167600290035489</v>
      </c>
      <c r="M451" s="52" t="n">
        <f aca="false">IF(AND(ISNUMBER($G451),$G451&gt;=60),MAX(INDEX($D$251:$D451,202-60):$D451),"")</f>
        <v>113687852</v>
      </c>
      <c r="N451" s="52" t="n">
        <f aca="false">IF(AND(ISNUMBER($G451),$G451&gt;=60),MIN(INDEX($E$251:$E451,202-60):$E451),"")</f>
        <v>101418631</v>
      </c>
      <c r="O451" s="53" t="n">
        <f aca="false">IF(OR(NOT(ISNUMBER($C451)),NOT(ISNUMBER($M451)),$M451=0),"",$C451/$M451-1)</f>
        <v>-0.0892708835769014</v>
      </c>
      <c r="P451" s="54"/>
      <c r="Q451" s="53" t="str">
        <f aca="false">IF(NOT(ISNUMBER($P451)),"",IFERROR(PERCENTRANK($P$5:$P$1204,$P451),""))</f>
        <v/>
      </c>
    </row>
    <row r="452" customFormat="false" ht="15" hidden="false" customHeight="false" outlineLevel="0" collapsed="false">
      <c r="A452" s="47" t="n">
        <v>46195</v>
      </c>
      <c r="B452" s="48" t="s">
        <v>600</v>
      </c>
      <c r="C452" s="49" t="n">
        <v>103513161</v>
      </c>
      <c r="D452" s="49" t="n">
        <v>103879970</v>
      </c>
      <c r="E452" s="49" t="n">
        <v>103043238</v>
      </c>
      <c r="F452" s="49" t="n">
        <v>0</v>
      </c>
      <c r="G452" s="50" t="n">
        <f aca="false">IF($A452="","",IF(ISNUMBER($G451),$G451+1,1))</f>
        <v>448</v>
      </c>
      <c r="H452" s="51" t="n">
        <f aca="false">IF(OR(NOT(ISNUMBER($G452)),$G452&lt;2,NOT(ISNUMBER($C451)),$C451=0),"",$C452/$C451-1)</f>
        <v>-0.000247984241893651</v>
      </c>
      <c r="I452" s="52" t="n">
        <f aca="false">IF(AND(ISNUMBER($G452),$G452&gt;=MA_SHORT),AVERAGE(INDEX($C$52:$C452,402-MA_SHORT):$C452),"")</f>
        <v>105333368.2</v>
      </c>
      <c r="J452" s="52" t="n">
        <f aca="false">IF(AND(ISNUMBER($G452),$G452&gt;=MA_MED),AVERAGE(INDEX($C$52:$C452,402-MA_MED):$C452),"")</f>
        <v>106254994.36</v>
      </c>
      <c r="K452" s="52" t="n">
        <f aca="false">IF(AND(ISNUMBER($G452),$G452&gt;=MA_LONG2),AVERAGE(INDEX($C$52:$C452,402-MA_LONG2):$C452),"")</f>
        <v>110188281.915</v>
      </c>
      <c r="L452" s="53" t="n">
        <f aca="false">IF(AND(ISNUMBER($G452),$G452&gt;=21),STDEV(INDEX($H$392:$H452,62-20):$H452)*SQRT(245),"")</f>
        <v>0.163517313880892</v>
      </c>
      <c r="M452" s="52" t="n">
        <f aca="false">IF(AND(ISNUMBER($G452),$G452&gt;=60),MAX(INDEX($D$252:$D452,202-60):$D452),"")</f>
        <v>113687852</v>
      </c>
      <c r="N452" s="52" t="n">
        <f aca="false">IF(AND(ISNUMBER($G452),$G452&gt;=60),MIN(INDEX($E$252:$E452,202-60):$E452),"")</f>
        <v>101418631</v>
      </c>
      <c r="O452" s="53" t="n">
        <f aca="false">IF(OR(NOT(ISNUMBER($C452)),NOT(ISNUMBER($M452)),$M452=0),"",$C452/$M452-1)</f>
        <v>-0.0894967300464081</v>
      </c>
      <c r="P452" s="54"/>
      <c r="Q452" s="53" t="str">
        <f aca="false">IF(NOT(ISNUMBER($P452)),"",IFERROR(PERCENTRANK($P$5:$P$1204,$P452),""))</f>
        <v/>
      </c>
    </row>
    <row r="453" customFormat="false" ht="15" hidden="false" customHeight="false" outlineLevel="0" collapsed="false">
      <c r="A453" s="47" t="n">
        <v>46196</v>
      </c>
      <c r="B453" s="48" t="s">
        <v>601</v>
      </c>
      <c r="C453" s="49" t="n">
        <v>103017966</v>
      </c>
      <c r="D453" s="49" t="n">
        <v>104051633</v>
      </c>
      <c r="E453" s="49" t="n">
        <v>102760958</v>
      </c>
      <c r="F453" s="49" t="n">
        <v>0</v>
      </c>
      <c r="G453" s="50" t="n">
        <f aca="false">IF($A453="","",IF(ISNUMBER($G452),$G452+1,1))</f>
        <v>449</v>
      </c>
      <c r="H453" s="51" t="n">
        <f aca="false">IF(OR(NOT(ISNUMBER($G453)),$G453&lt;2,NOT(ISNUMBER($C452)),$C452=0),"",$C453/$C452-1)</f>
        <v>-0.00478388443765132</v>
      </c>
      <c r="I453" s="52" t="n">
        <f aca="false">IF(AND(ISNUMBER($G453),$G453&gt;=MA_SHORT),AVERAGE(INDEX($C$53:$C453,402-MA_SHORT):$C453),"")</f>
        <v>105282603.5</v>
      </c>
      <c r="J453" s="52" t="n">
        <f aca="false">IF(AND(ISNUMBER($G453),$G453&gt;=MA_MED),AVERAGE(INDEX($C$53:$C453,402-MA_MED):$C453),"")</f>
        <v>106170579.62</v>
      </c>
      <c r="K453" s="52" t="n">
        <f aca="false">IF(AND(ISNUMBER($G453),$G453&gt;=MA_LONG2),AVERAGE(INDEX($C$53:$C453,402-MA_LONG2):$C453),"")</f>
        <v>110201128.69</v>
      </c>
      <c r="L453" s="53" t="n">
        <f aca="false">IF(AND(ISNUMBER($G453),$G453&gt;=21),STDEV(INDEX($H$393:$H453,62-20):$H453)*SQRT(245),"")</f>
        <v>0.142909679523329</v>
      </c>
      <c r="M453" s="52" t="n">
        <f aca="false">IF(AND(ISNUMBER($G453),$G453&gt;=60),MAX(INDEX($D$253:$D453,202-60):$D453),"")</f>
        <v>113687852</v>
      </c>
      <c r="N453" s="52" t="n">
        <f aca="false">IF(AND(ISNUMBER($G453),$G453&gt;=60),MIN(INDEX($E$253:$E453,202-60):$E453),"")</f>
        <v>101418631</v>
      </c>
      <c r="O453" s="53" t="n">
        <f aca="false">IF(OR(NOT(ISNUMBER($C453)),NOT(ISNUMBER($M453)),$M453=0),"",$C453/$M453-1)</f>
        <v>-0.0938524724699698</v>
      </c>
      <c r="P453" s="54"/>
      <c r="Q453" s="53" t="str">
        <f aca="false">IF(NOT(ISNUMBER($P453)),"",IFERROR(PERCENTRANK($P$5:$P$1204,$P453),""))</f>
        <v/>
      </c>
    </row>
    <row r="454" customFormat="false" ht="15" hidden="false" customHeight="false" outlineLevel="0" collapsed="false">
      <c r="A454" s="47" t="n">
        <v>46197</v>
      </c>
      <c r="B454" s="48" t="s">
        <v>602</v>
      </c>
      <c r="C454" s="49" t="n">
        <v>106698363</v>
      </c>
      <c r="D454" s="49" t="n">
        <v>106871276</v>
      </c>
      <c r="E454" s="49" t="n">
        <v>106640211</v>
      </c>
      <c r="F454" s="49" t="n">
        <v>0</v>
      </c>
      <c r="G454" s="50" t="n">
        <f aca="false">IF($A454="","",IF(ISNUMBER($G453),$G453+1,1))</f>
        <v>450</v>
      </c>
      <c r="H454" s="51" t="n">
        <f aca="false">IF(OR(NOT(ISNUMBER($G454)),$G454&lt;2,NOT(ISNUMBER($C453)),$C453=0),"",$C454/$C453-1)</f>
        <v>0.0357257781618403</v>
      </c>
      <c r="I454" s="52" t="n">
        <f aca="false">IF(AND(ISNUMBER($G454),$G454&gt;=MA_SHORT),AVERAGE(INDEX($C$54:$C454,402-MA_SHORT):$C454),"")</f>
        <v>105392300.2</v>
      </c>
      <c r="J454" s="52" t="n">
        <f aca="false">IF(AND(ISNUMBER($G454),$G454&gt;=MA_MED),AVERAGE(INDEX($C$54:$C454,402-MA_MED):$C454),"")</f>
        <v>106171950.52</v>
      </c>
      <c r="K454" s="52" t="n">
        <f aca="false">IF(AND(ISNUMBER($G454),$G454&gt;=MA_LONG2),AVERAGE(INDEX($C$54:$C454,402-MA_LONG2):$C454),"")</f>
        <v>110226607.175</v>
      </c>
      <c r="L454" s="53" t="n">
        <f aca="false">IF(AND(ISNUMBER($G454),$G454&gt;=21),STDEV(INDEX($H$394:$H454,62-20):$H454)*SQRT(245),"")</f>
        <v>0.190661028676763</v>
      </c>
      <c r="M454" s="52" t="n">
        <f aca="false">IF(AND(ISNUMBER($G454),$G454&gt;=60),MAX(INDEX($D$254:$D454,202-60):$D454),"")</f>
        <v>113687852</v>
      </c>
      <c r="N454" s="52" t="n">
        <f aca="false">IF(AND(ISNUMBER($G454),$G454&gt;=60),MIN(INDEX($E$254:$E454,202-60):$E454),"")</f>
        <v>101418631</v>
      </c>
      <c r="O454" s="53" t="n">
        <f aca="false">IF(OR(NOT(ISNUMBER($C454)),NOT(ISNUMBER($M454)),$M454=0),"",$C454/$M454-1)</f>
        <v>-0.0614796469195319</v>
      </c>
      <c r="P454" s="54"/>
      <c r="Q454" s="53" t="str">
        <f aca="false">IF(NOT(ISNUMBER($P454)),"",IFERROR(PERCENTRANK($P$5:$P$1204,$P454),""))</f>
        <v/>
      </c>
    </row>
    <row r="455" customFormat="false" ht="15" hidden="false" customHeight="false" outlineLevel="0" collapsed="false">
      <c r="A455" s="47" t="n">
        <v>46200</v>
      </c>
      <c r="B455" s="48" t="s">
        <v>603</v>
      </c>
      <c r="C455" s="49" t="n">
        <v>105684204</v>
      </c>
      <c r="D455" s="49" t="n">
        <v>105906452</v>
      </c>
      <c r="E455" s="49" t="n">
        <v>105569974</v>
      </c>
      <c r="F455" s="49" t="n">
        <v>0</v>
      </c>
      <c r="G455" s="50" t="n">
        <f aca="false">IF($A455="","",IF(ISNUMBER($G454),$G454+1,1))</f>
        <v>451</v>
      </c>
      <c r="H455" s="51" t="n">
        <f aca="false">IF(OR(NOT(ISNUMBER($G455)),$G455&lt;2,NOT(ISNUMBER($C454)),$C454=0),"",$C455/$C454-1)</f>
        <v>-0.00950491620944549</v>
      </c>
      <c r="I455" s="52" t="n">
        <f aca="false">IF(AND(ISNUMBER($G455),$G455&gt;=MA_SHORT),AVERAGE(INDEX($C$55:$C455,402-MA_SHORT):$C455),"")</f>
        <v>105463640.35</v>
      </c>
      <c r="J455" s="52" t="n">
        <f aca="false">IF(AND(ISNUMBER($G455),$G455&gt;=MA_MED),AVERAGE(INDEX($C$55:$C455,402-MA_MED):$C455),"")</f>
        <v>106118509.34</v>
      </c>
      <c r="K455" s="52" t="n">
        <f aca="false">IF(AND(ISNUMBER($G455),$G455&gt;=MA_LONG2),AVERAGE(INDEX($C$55:$C455,402-MA_LONG2):$C455),"")</f>
        <v>110258618.545</v>
      </c>
      <c r="L455" s="53" t="n">
        <f aca="false">IF(AND(ISNUMBER($G455),$G455&gt;=21),STDEV(INDEX($H$395:$H455,62-20):$H455)*SQRT(245),"")</f>
        <v>0.193948316218699</v>
      </c>
      <c r="M455" s="52" t="n">
        <f aca="false">IF(AND(ISNUMBER($G455),$G455&gt;=60),MAX(INDEX($D$255:$D455,202-60):$D455),"")</f>
        <v>113687852</v>
      </c>
      <c r="N455" s="52" t="n">
        <f aca="false">IF(AND(ISNUMBER($G455),$G455&gt;=60),MIN(INDEX($E$255:$E455,202-60):$E455),"")</f>
        <v>101418631</v>
      </c>
      <c r="O455" s="53" t="n">
        <f aca="false">IF(OR(NOT(ISNUMBER($C455)),NOT(ISNUMBER($M455)),$M455=0),"",$C455/$M455-1)</f>
        <v>-0.070400204236421</v>
      </c>
      <c r="P455" s="54"/>
      <c r="Q455" s="53" t="str">
        <f aca="false">IF(NOT(ISNUMBER($P455)),"",IFERROR(PERCENTRANK($P$5:$P$1204,$P455),""))</f>
        <v/>
      </c>
    </row>
    <row r="456" customFormat="false" ht="15" hidden="false" customHeight="false" outlineLevel="0" collapsed="false">
      <c r="A456" s="47" t="n">
        <v>46201</v>
      </c>
      <c r="B456" s="48" t="s">
        <v>604</v>
      </c>
      <c r="C456" s="49" t="n">
        <v>107556346</v>
      </c>
      <c r="D456" s="49" t="n">
        <v>108155785</v>
      </c>
      <c r="E456" s="49" t="n">
        <v>107359434</v>
      </c>
      <c r="F456" s="49" t="n">
        <v>0</v>
      </c>
      <c r="G456" s="50" t="n">
        <f aca="false">IF($A456="","",IF(ISNUMBER($G455),$G455+1,1))</f>
        <v>452</v>
      </c>
      <c r="H456" s="51" t="n">
        <f aca="false">IF(OR(NOT(ISNUMBER($G456)),$G456&lt;2,NOT(ISNUMBER($C455)),$C455=0),"",$C456/$C455-1)</f>
        <v>0.0177144921297794</v>
      </c>
      <c r="I456" s="52" t="n">
        <f aca="false">IF(AND(ISNUMBER($G456),$G456&gt;=MA_SHORT),AVERAGE(INDEX($C$56:$C456,402-MA_SHORT):$C456),"")</f>
        <v>105572460.95</v>
      </c>
      <c r="J456" s="52" t="n">
        <f aca="false">IF(AND(ISNUMBER($G456),$G456&gt;=MA_MED),AVERAGE(INDEX($C$56:$C456,402-MA_MED):$C456),"")</f>
        <v>106106227.38</v>
      </c>
      <c r="K456" s="52" t="n">
        <f aca="false">IF(AND(ISNUMBER($G456),$G456&gt;=MA_LONG2),AVERAGE(INDEX($C$56:$C456,402-MA_LONG2):$C456),"")</f>
        <v>110302636.145</v>
      </c>
      <c r="L456" s="53" t="n">
        <f aca="false">IF(AND(ISNUMBER($G456),$G456&gt;=21),STDEV(INDEX($H$396:$H456,62-20):$H456)*SQRT(245),"")</f>
        <v>0.200004020159786</v>
      </c>
      <c r="M456" s="52" t="n">
        <f aca="false">IF(AND(ISNUMBER($G456),$G456&gt;=60),MAX(INDEX($D$256:$D456,202-60):$D456),"")</f>
        <v>112337836</v>
      </c>
      <c r="N456" s="52" t="n">
        <f aca="false">IF(AND(ISNUMBER($G456),$G456&gt;=60),MIN(INDEX($E$256:$E456,202-60):$E456),"")</f>
        <v>101418631</v>
      </c>
      <c r="O456" s="53" t="n">
        <f aca="false">IF(OR(NOT(ISNUMBER($C456)),NOT(ISNUMBER($M456)),$M456=0),"",$C456/$M456-1)</f>
        <v>-0.0425634868024341</v>
      </c>
      <c r="P456" s="54"/>
      <c r="Q456" s="53" t="str">
        <f aca="false">IF(NOT(ISNUMBER($P456)),"",IFERROR(PERCENTRANK($P$5:$P$1204,$P456),""))</f>
        <v/>
      </c>
    </row>
    <row r="457" customFormat="false" ht="15" hidden="false" customHeight="false" outlineLevel="0" collapsed="false">
      <c r="A457" s="47" t="n">
        <v>46202</v>
      </c>
      <c r="B457" s="48" t="s">
        <v>605</v>
      </c>
      <c r="C457" s="49" t="n">
        <v>106812204</v>
      </c>
      <c r="D457" s="49" t="n">
        <v>106904817</v>
      </c>
      <c r="E457" s="49" t="n">
        <v>106494052</v>
      </c>
      <c r="F457" s="49" t="n">
        <v>0</v>
      </c>
      <c r="G457" s="50" t="n">
        <f aca="false">IF($A457="","",IF(ISNUMBER($G456),$G456+1,1))</f>
        <v>453</v>
      </c>
      <c r="H457" s="51" t="n">
        <f aca="false">IF(OR(NOT(ISNUMBER($G457)),$G457&lt;2,NOT(ISNUMBER($C456)),$C456=0),"",$C457/$C456-1)</f>
        <v>-0.00691862477366045</v>
      </c>
      <c r="I457" s="52" t="n">
        <f aca="false">IF(AND(ISNUMBER($G457),$G457&gt;=MA_SHORT),AVERAGE(INDEX($C$57:$C457,402-MA_SHORT):$C457),"")</f>
        <v>105633769</v>
      </c>
      <c r="J457" s="52" t="n">
        <f aca="false">IF(AND(ISNUMBER($G457),$G457&gt;=MA_MED),AVERAGE(INDEX($C$57:$C457,402-MA_MED):$C457),"")</f>
        <v>106061867.06</v>
      </c>
      <c r="K457" s="52" t="n">
        <f aca="false">IF(AND(ISNUMBER($G457),$G457&gt;=MA_LONG2),AVERAGE(INDEX($C$57:$C457,402-MA_LONG2):$C457),"")</f>
        <v>110337063.555</v>
      </c>
      <c r="L457" s="53" t="n">
        <f aca="false">IF(AND(ISNUMBER($G457),$G457&gt;=21),STDEV(INDEX($H$397:$H457,62-20):$H457)*SQRT(245),"")</f>
        <v>0.201916839517477</v>
      </c>
      <c r="M457" s="52" t="n">
        <f aca="false">IF(AND(ISNUMBER($G457),$G457&gt;=60),MAX(INDEX($D$257:$D457,202-60):$D457),"")</f>
        <v>112337836</v>
      </c>
      <c r="N457" s="52" t="n">
        <f aca="false">IF(AND(ISNUMBER($G457),$G457&gt;=60),MIN(INDEX($E$257:$E457,202-60):$E457),"")</f>
        <v>101418631</v>
      </c>
      <c r="O457" s="53" t="n">
        <f aca="false">IF(OR(NOT(ISNUMBER($C457)),NOT(ISNUMBER($M457)),$M457=0),"",$C457/$M457-1)</f>
        <v>-0.0491876307818498</v>
      </c>
      <c r="P457" s="54"/>
      <c r="Q457" s="53" t="str">
        <f aca="false">IF(NOT(ISNUMBER($P457)),"",IFERROR(PERCENTRANK($P$5:$P$1204,$P457),""))</f>
        <v/>
      </c>
    </row>
    <row r="458" customFormat="false" ht="15" hidden="false" customHeight="false" outlineLevel="0" collapsed="false">
      <c r="A458" s="47" t="n">
        <v>46203</v>
      </c>
      <c r="B458" s="48" t="s">
        <v>606</v>
      </c>
      <c r="C458" s="49" t="n">
        <v>105752832</v>
      </c>
      <c r="D458" s="49" t="n">
        <v>106419819</v>
      </c>
      <c r="E458" s="49" t="n">
        <v>105683749</v>
      </c>
      <c r="F458" s="49" t="n">
        <v>0</v>
      </c>
      <c r="G458" s="50" t="n">
        <f aca="false">IF($A458="","",IF(ISNUMBER($G457),$G457+1,1))</f>
        <v>454</v>
      </c>
      <c r="H458" s="51" t="n">
        <f aca="false">IF(OR(NOT(ISNUMBER($G458)),$G458&lt;2,NOT(ISNUMBER($C457)),$C457=0),"",$C458/$C457-1)</f>
        <v>-0.00991808014747075</v>
      </c>
      <c r="I458" s="52" t="n">
        <f aca="false">IF(AND(ISNUMBER($G458),$G458&gt;=MA_SHORT),AVERAGE(INDEX($C$58:$C458,402-MA_SHORT):$C458),"")</f>
        <v>105664777.6</v>
      </c>
      <c r="J458" s="52" t="n">
        <f aca="false">IF(AND(ISNUMBER($G458),$G458&gt;=MA_MED),AVERAGE(INDEX($C$58:$C458,402-MA_MED):$C458),"")</f>
        <v>105983152.56</v>
      </c>
      <c r="K458" s="52" t="n">
        <f aca="false">IF(AND(ISNUMBER($G458),$G458&gt;=MA_LONG2),AVERAGE(INDEX($C$58:$C458,402-MA_LONG2):$C458),"")</f>
        <v>110358412.52</v>
      </c>
      <c r="L458" s="53" t="n">
        <f aca="false">IF(AND(ISNUMBER($G458),$G458&gt;=21),STDEV(INDEX($H$398:$H458,62-20):$H458)*SQRT(245),"")</f>
        <v>0.204635844748794</v>
      </c>
      <c r="M458" s="52" t="n">
        <f aca="false">IF(AND(ISNUMBER($G458),$G458&gt;=60),MAX(INDEX($D$258:$D458,202-60):$D458),"")</f>
        <v>112337836</v>
      </c>
      <c r="N458" s="52" t="n">
        <f aca="false">IF(AND(ISNUMBER($G458),$G458&gt;=60),MIN(INDEX($E$258:$E458,202-60):$E458),"")</f>
        <v>101418631</v>
      </c>
      <c r="O458" s="53" t="n">
        <f aca="false">IF(OR(NOT(ISNUMBER($C458)),NOT(ISNUMBER($M458)),$M458=0),"",$C458/$M458-1)</f>
        <v>-0.0586178640649621</v>
      </c>
      <c r="P458" s="54"/>
      <c r="Q458" s="53" t="str">
        <f aca="false">IF(NOT(ISNUMBER($P458)),"",IFERROR(PERCENTRANK($P$5:$P$1204,$P458),""))</f>
        <v/>
      </c>
    </row>
    <row r="459" customFormat="false" ht="15" hidden="false" customHeight="false" outlineLevel="0" collapsed="false">
      <c r="A459" s="47" t="n">
        <v>46204</v>
      </c>
      <c r="B459" s="48" t="s">
        <v>607</v>
      </c>
      <c r="C459" s="49" t="n">
        <v>108434214</v>
      </c>
      <c r="D459" s="49" t="n">
        <v>108579120</v>
      </c>
      <c r="E459" s="49" t="n">
        <v>108291165</v>
      </c>
      <c r="F459" s="49" t="n">
        <v>0</v>
      </c>
      <c r="G459" s="50" t="n">
        <f aca="false">IF($A459="","",IF(ISNUMBER($G458),$G458+1,1))</f>
        <v>455</v>
      </c>
      <c r="H459" s="51" t="n">
        <f aca="false">IF(OR(NOT(ISNUMBER($G459)),$G459&lt;2,NOT(ISNUMBER($C458)),$C458=0),"",$C459/$C458-1)</f>
        <v>0.0253551791407345</v>
      </c>
      <c r="I459" s="52" t="n">
        <f aca="false">IF(AND(ISNUMBER($G459),$G459&gt;=MA_SHORT),AVERAGE(INDEX($C$59:$C459,402-MA_SHORT):$C459),"")</f>
        <v>105793742.85</v>
      </c>
      <c r="J459" s="52" t="n">
        <f aca="false">IF(AND(ISNUMBER($G459),$G459&gt;=MA_MED),AVERAGE(INDEX($C$59:$C459,402-MA_MED):$C459),"")</f>
        <v>105929119.44</v>
      </c>
      <c r="K459" s="52" t="n">
        <f aca="false">IF(AND(ISNUMBER($G459),$G459&gt;=MA_LONG2),AVERAGE(INDEX($C$59:$C459,402-MA_LONG2):$C459),"")</f>
        <v>110400227.99</v>
      </c>
      <c r="L459" s="53" t="n">
        <f aca="false">IF(AND(ISNUMBER($G459),$G459&gt;=21),STDEV(INDEX($H$399:$H459,62-20):$H459)*SQRT(245),"")</f>
        <v>0.221716382797062</v>
      </c>
      <c r="M459" s="52" t="n">
        <f aca="false">IF(AND(ISNUMBER($G459),$G459&gt;=60),MAX(INDEX($D$259:$D459,202-60):$D459),"")</f>
        <v>112337836</v>
      </c>
      <c r="N459" s="52" t="n">
        <f aca="false">IF(AND(ISNUMBER($G459),$G459&gt;=60),MIN(INDEX($E$259:$E459,202-60):$E459),"")</f>
        <v>101418631</v>
      </c>
      <c r="O459" s="53" t="n">
        <f aca="false">IF(OR(NOT(ISNUMBER($C459)),NOT(ISNUMBER($M459)),$M459=0),"",$C459/$M459-1)</f>
        <v>-0.0347489513684419</v>
      </c>
      <c r="P459" s="54"/>
      <c r="Q459" s="53" t="str">
        <f aca="false">IF(NOT(ISNUMBER($P459)),"",IFERROR(PERCENTRANK($P$5:$P$1204,$P459),""))</f>
        <v/>
      </c>
    </row>
    <row r="460" customFormat="false" ht="15" hidden="false" customHeight="false" outlineLevel="0" collapsed="false">
      <c r="A460" s="47" t="n">
        <v>46207</v>
      </c>
      <c r="B460" s="48" t="s">
        <v>608</v>
      </c>
      <c r="C460" s="49" t="n">
        <v>106433311</v>
      </c>
      <c r="D460" s="49" t="n">
        <v>106579659</v>
      </c>
      <c r="E460" s="49" t="n">
        <v>106207860</v>
      </c>
      <c r="F460" s="49" t="n">
        <v>0</v>
      </c>
      <c r="G460" s="50" t="n">
        <f aca="false">IF($A460="","",IF(ISNUMBER($G459),$G459+1,1))</f>
        <v>456</v>
      </c>
      <c r="H460" s="51" t="n">
        <f aca="false">IF(OR(NOT(ISNUMBER($G460)),$G460&lt;2,NOT(ISNUMBER($C459)),$C459=0),"",$C460/$C459-1)</f>
        <v>-0.0184526905871241</v>
      </c>
      <c r="I460" s="52" t="n">
        <f aca="false">IF(AND(ISNUMBER($G460),$G460&gt;=MA_SHORT),AVERAGE(INDEX($C$60:$C460,402-MA_SHORT):$C460),"")</f>
        <v>105774081.3</v>
      </c>
      <c r="J460" s="52" t="n">
        <f aca="false">IF(AND(ISNUMBER($G460),$G460&gt;=MA_MED),AVERAGE(INDEX($C$60:$C460,402-MA_MED):$C460),"")</f>
        <v>105860509.84</v>
      </c>
      <c r="K460" s="52" t="n">
        <f aca="false">IF(AND(ISNUMBER($G460),$G460&gt;=MA_LONG2),AVERAGE(INDEX($C$60:$C460,402-MA_LONG2):$C460),"")</f>
        <v>110428151.655</v>
      </c>
      <c r="L460" s="53" t="n">
        <f aca="false">IF(AND(ISNUMBER($G460),$G460&gt;=21),STDEV(INDEX($H$400:$H460,62-20):$H460)*SQRT(245),"")</f>
        <v>0.229990886281834</v>
      </c>
      <c r="M460" s="52" t="n">
        <f aca="false">IF(AND(ISNUMBER($G460),$G460&gt;=60),MAX(INDEX($D$260:$D460,202-60):$D460),"")</f>
        <v>112337836</v>
      </c>
      <c r="N460" s="52" t="n">
        <f aca="false">IF(AND(ISNUMBER($G460),$G460&gt;=60),MIN(INDEX($E$260:$E460,202-60):$E460),"")</f>
        <v>101418631</v>
      </c>
      <c r="O460" s="53" t="n">
        <f aca="false">IF(OR(NOT(ISNUMBER($C460)),NOT(ISNUMBER($M460)),$M460=0),"",$C460/$M460-1)</f>
        <v>-0.0525604303077371</v>
      </c>
      <c r="P460" s="54"/>
      <c r="Q460" s="53" t="str">
        <f aca="false">IF(NOT(ISNUMBER($P460)),"",IFERROR(PERCENTRANK($P$5:$P$1204,$P460),""))</f>
        <v/>
      </c>
    </row>
    <row r="461" customFormat="false" ht="15" hidden="false" customHeight="false" outlineLevel="0" collapsed="false">
      <c r="A461" s="47" t="n">
        <v>46208</v>
      </c>
      <c r="B461" s="48" t="s">
        <v>609</v>
      </c>
      <c r="C461" s="49" t="n">
        <v>107651105</v>
      </c>
      <c r="D461" s="49" t="n">
        <v>108298515</v>
      </c>
      <c r="E461" s="49" t="n">
        <v>107320985</v>
      </c>
      <c r="F461" s="49" t="n">
        <v>0</v>
      </c>
      <c r="G461" s="50" t="n">
        <f aca="false">IF($A461="","",IF(ISNUMBER($G460),$G460+1,1))</f>
        <v>457</v>
      </c>
      <c r="H461" s="51" t="n">
        <f aca="false">IF(OR(NOT(ISNUMBER($G461)),$G461&lt;2,NOT(ISNUMBER($C460)),$C460=0),"",$C461/$C460-1)</f>
        <v>0.0114418501929345</v>
      </c>
      <c r="I461" s="52" t="n">
        <f aca="false">IF(AND(ISNUMBER($G461),$G461&gt;=MA_SHORT),AVERAGE(INDEX($C$61:$C461,402-MA_SHORT):$C461),"")</f>
        <v>105793684</v>
      </c>
      <c r="J461" s="52" t="n">
        <f aca="false">IF(AND(ISNUMBER($G461),$G461&gt;=MA_MED),AVERAGE(INDEX($C$61:$C461,402-MA_MED):$C461),"")</f>
        <v>105828001.5</v>
      </c>
      <c r="K461" s="52" t="n">
        <f aca="false">IF(AND(ISNUMBER($G461),$G461&gt;=MA_LONG2),AVERAGE(INDEX($C$61:$C461,402-MA_LONG2):$C461),"")</f>
        <v>110460119.365</v>
      </c>
      <c r="L461" s="53" t="n">
        <f aca="false">IF(AND(ISNUMBER($G461),$G461&gt;=21),STDEV(INDEX($H$401:$H461,62-20):$H461)*SQRT(245),"")</f>
        <v>0.233137461451817</v>
      </c>
      <c r="M461" s="52" t="n">
        <f aca="false">IF(AND(ISNUMBER($G461),$G461&gt;=60),MAX(INDEX($D$261:$D461,202-60):$D461),"")</f>
        <v>112337836</v>
      </c>
      <c r="N461" s="52" t="n">
        <f aca="false">IF(AND(ISNUMBER($G461),$G461&gt;=60),MIN(INDEX($E$261:$E461,202-60):$E461),"")</f>
        <v>101418631</v>
      </c>
      <c r="O461" s="53" t="n">
        <f aca="false">IF(OR(NOT(ISNUMBER($C461)),NOT(ISNUMBER($M461)),$M461=0),"",$C461/$M461-1)</f>
        <v>-0.0417199686844599</v>
      </c>
      <c r="P461" s="54"/>
      <c r="Q461" s="53" t="str">
        <f aca="false">IF(NOT(ISNUMBER($P461)),"",IFERROR(PERCENTRANK($P$5:$P$1204,$P461),""))</f>
        <v/>
      </c>
    </row>
    <row r="462" customFormat="false" ht="15" hidden="false" customHeight="false" outlineLevel="0" collapsed="false">
      <c r="A462" s="47" t="n">
        <v>46209</v>
      </c>
      <c r="B462" s="48" t="s">
        <v>610</v>
      </c>
      <c r="C462" s="49" t="n">
        <v>107303114</v>
      </c>
      <c r="D462" s="49" t="n">
        <v>108047571</v>
      </c>
      <c r="E462" s="49" t="n">
        <v>106675609</v>
      </c>
      <c r="F462" s="49" t="n">
        <v>0</v>
      </c>
      <c r="G462" s="50" t="n">
        <f aca="false">IF($A462="","",IF(ISNUMBER($G461),$G461+1,1))</f>
        <v>458</v>
      </c>
      <c r="H462" s="51" t="n">
        <f aca="false">IF(OR(NOT(ISNUMBER($G462)),$G462&lt;2,NOT(ISNUMBER($C461)),$C461=0),"",$C462/$C461-1)</f>
        <v>-0.00323258177424191</v>
      </c>
      <c r="I462" s="52" t="n">
        <f aca="false">IF(AND(ISNUMBER($G462),$G462&gt;=MA_SHORT),AVERAGE(INDEX($C$62:$C462,402-MA_SHORT):$C462),"")</f>
        <v>105828663.15</v>
      </c>
      <c r="J462" s="52" t="n">
        <f aca="false">IF(AND(ISNUMBER($G462),$G462&gt;=MA_MED),AVERAGE(INDEX($C$62:$C462,402-MA_MED):$C462),"")</f>
        <v>105769778.64</v>
      </c>
      <c r="K462" s="52" t="n">
        <f aca="false">IF(AND(ISNUMBER($G462),$G462&gt;=MA_LONG2),AVERAGE(INDEX($C$62:$C462,402-MA_LONG2):$C462),"")</f>
        <v>110495924.67</v>
      </c>
      <c r="L462" s="53" t="n">
        <f aca="false">IF(AND(ISNUMBER($G462),$G462&gt;=21),STDEV(INDEX($H$402:$H462,62-20):$H462)*SQRT(245),"")</f>
        <v>0.23233495557382</v>
      </c>
      <c r="M462" s="52" t="n">
        <f aca="false">IF(AND(ISNUMBER($G462),$G462&gt;=60),MAX(INDEX($D$262:$D462,202-60):$D462),"")</f>
        <v>112337836</v>
      </c>
      <c r="N462" s="52" t="n">
        <f aca="false">IF(AND(ISNUMBER($G462),$G462&gt;=60),MIN(INDEX($E$262:$E462,202-60):$E462),"")</f>
        <v>101418631</v>
      </c>
      <c r="O462" s="53" t="n">
        <f aca="false">IF(OR(NOT(ISNUMBER($C462)),NOT(ISNUMBER($M462)),$M462=0),"",$C462/$M462-1)</f>
        <v>-0.0448176872483105</v>
      </c>
      <c r="P462" s="54"/>
      <c r="Q462" s="53" t="str">
        <f aca="false">IF(NOT(ISNUMBER($P462)),"",IFERROR(PERCENTRANK($P$5:$P$1204,$P462),""))</f>
        <v/>
      </c>
    </row>
    <row r="463" customFormat="false" ht="15" hidden="false" customHeight="false" outlineLevel="0" collapsed="false">
      <c r="A463" s="47" t="n">
        <v>46210</v>
      </c>
      <c r="B463" s="48" t="s">
        <v>611</v>
      </c>
      <c r="C463" s="49" t="n">
        <v>108303136</v>
      </c>
      <c r="D463" s="49" t="n">
        <v>108536544</v>
      </c>
      <c r="E463" s="49" t="n">
        <v>107990975</v>
      </c>
      <c r="F463" s="49" t="n">
        <v>0</v>
      </c>
      <c r="G463" s="50" t="n">
        <f aca="false">IF($A463="","",IF(ISNUMBER($G462),$G462+1,1))</f>
        <v>459</v>
      </c>
      <c r="H463" s="51" t="n">
        <f aca="false">IF(OR(NOT(ISNUMBER($G463)),$G463&lt;2,NOT(ISNUMBER($C462)),$C462=0),"",$C463/$C462-1)</f>
        <v>0.00931959905655666</v>
      </c>
      <c r="I463" s="52" t="n">
        <f aca="false">IF(AND(ISNUMBER($G463),$G463&gt;=MA_SHORT),AVERAGE(INDEX($C$63:$C463,402-MA_SHORT):$C463),"")</f>
        <v>105847126.25</v>
      </c>
      <c r="J463" s="52" t="n">
        <f aca="false">IF(AND(ISNUMBER($G463),$G463&gt;=MA_MED),AVERAGE(INDEX($C$63:$C463,402-MA_MED):$C463),"")</f>
        <v>105711842.54</v>
      </c>
      <c r="K463" s="52" t="n">
        <f aca="false">IF(AND(ISNUMBER($G463),$G463&gt;=MA_LONG2),AVERAGE(INDEX($C$63:$C463,402-MA_LONG2):$C463),"")</f>
        <v>110537104.37</v>
      </c>
      <c r="L463" s="53" t="n">
        <f aca="false">IF(AND(ISNUMBER($G463),$G463&gt;=21),STDEV(INDEX($H$403:$H463,62-20):$H463)*SQRT(245),"")</f>
        <v>0.230477839428346</v>
      </c>
      <c r="M463" s="52" t="n">
        <f aca="false">IF(AND(ISNUMBER($G463),$G463&gt;=60),MAX(INDEX($D$263:$D463,202-60):$D463),"")</f>
        <v>112337836</v>
      </c>
      <c r="N463" s="52" t="n">
        <f aca="false">IF(AND(ISNUMBER($G463),$G463&gt;=60),MIN(INDEX($E$263:$E463,202-60):$E463),"")</f>
        <v>101418631</v>
      </c>
      <c r="O463" s="53" t="n">
        <f aca="false">IF(OR(NOT(ISNUMBER($C463)),NOT(ISNUMBER($M463)),$M463=0),"",$C463/$M463-1)</f>
        <v>-0.0359157710675502</v>
      </c>
      <c r="P463" s="54"/>
      <c r="Q463" s="53" t="str">
        <f aca="false">IF(NOT(ISNUMBER($P463)),"",IFERROR(PERCENTRANK($P$5:$P$1204,$P463),""))</f>
        <v/>
      </c>
    </row>
    <row r="464" customFormat="false" ht="15" hidden="false" customHeight="false" outlineLevel="0" collapsed="false">
      <c r="A464" s="47" t="n">
        <v>46211</v>
      </c>
      <c r="B464" s="48" t="s">
        <v>612</v>
      </c>
      <c r="C464" s="49" t="n">
        <v>107946234</v>
      </c>
      <c r="D464" s="49" t="n">
        <v>107974857</v>
      </c>
      <c r="E464" s="49" t="n">
        <v>107658602</v>
      </c>
      <c r="F464" s="49" t="n">
        <v>0</v>
      </c>
      <c r="G464" s="50" t="n">
        <f aca="false">IF($A464="","",IF(ISNUMBER($G463),$G463+1,1))</f>
        <v>460</v>
      </c>
      <c r="H464" s="51" t="n">
        <f aca="false">IF(OR(NOT(ISNUMBER($G464)),$G464&lt;2,NOT(ISNUMBER($C463)),$C463=0),"",$C464/$C463-1)</f>
        <v>-0.00329539857460826</v>
      </c>
      <c r="I464" s="52" t="n">
        <f aca="false">IF(AND(ISNUMBER($G464),$G464&gt;=MA_SHORT),AVERAGE(INDEX($C$64:$C464,402-MA_SHORT):$C464),"")</f>
        <v>105860391.2</v>
      </c>
      <c r="J464" s="52" t="n">
        <f aca="false">IF(AND(ISNUMBER($G464),$G464&gt;=MA_MED),AVERAGE(INDEX($C$64:$C464,402-MA_MED):$C464),"")</f>
        <v>105667397.5</v>
      </c>
      <c r="K464" s="52" t="n">
        <f aca="false">IF(AND(ISNUMBER($G464),$G464&gt;=MA_LONG2),AVERAGE(INDEX($C$64:$C464,402-MA_LONG2):$C464),"")</f>
        <v>110591134.58</v>
      </c>
      <c r="L464" s="53" t="n">
        <f aca="false">IF(AND(ISNUMBER($G464),$G464&gt;=21),STDEV(INDEX($H$404:$H464,62-20):$H464)*SQRT(245),"")</f>
        <v>0.230641213042306</v>
      </c>
      <c r="M464" s="52" t="n">
        <f aca="false">IF(AND(ISNUMBER($G464),$G464&gt;=60),MAX(INDEX($D$264:$D464,202-60):$D464),"")</f>
        <v>112337836</v>
      </c>
      <c r="N464" s="52" t="n">
        <f aca="false">IF(AND(ISNUMBER($G464),$G464&gt;=60),MIN(INDEX($E$264:$E464,202-60):$E464),"")</f>
        <v>101418631</v>
      </c>
      <c r="O464" s="53" t="n">
        <f aca="false">IF(OR(NOT(ISNUMBER($C464)),NOT(ISNUMBER($M464)),$M464=0),"",$C464/$M464-1)</f>
        <v>-0.0390928128613765</v>
      </c>
      <c r="P464" s="54"/>
      <c r="Q464" s="53" t="str">
        <f aca="false">IF(NOT(ISNUMBER($P464)),"",IFERROR(PERCENTRANK($P$5:$P$1204,$P464),""))</f>
        <v/>
      </c>
    </row>
    <row r="465" customFormat="false" ht="15" hidden="false" customHeight="false" outlineLevel="0" collapsed="false">
      <c r="A465" s="47" t="n">
        <v>46214</v>
      </c>
      <c r="B465" s="48" t="s">
        <v>613</v>
      </c>
      <c r="C465" s="49" t="n">
        <v>108645216</v>
      </c>
      <c r="D465" s="49" t="n">
        <v>108874466</v>
      </c>
      <c r="E465" s="49" t="n">
        <v>108203293</v>
      </c>
      <c r="F465" s="49" t="n">
        <v>0</v>
      </c>
      <c r="G465" s="50" t="n">
        <f aca="false">IF($A465="","",IF(ISNUMBER($G464),$G464+1,1))</f>
        <v>461</v>
      </c>
      <c r="H465" s="51" t="n">
        <f aca="false">IF(OR(NOT(ISNUMBER($G465)),$G465&lt;2,NOT(ISNUMBER($C464)),$C464=0),"",$C465/$C464-1)</f>
        <v>0.00647527916536661</v>
      </c>
      <c r="I465" s="52" t="n">
        <f aca="false">IF(AND(ISNUMBER($G465),$G465&gt;=MA_SHORT),AVERAGE(INDEX($C$65:$C465,402-MA_SHORT):$C465),"")</f>
        <v>106000687.95</v>
      </c>
      <c r="J465" s="52" t="n">
        <f aca="false">IF(AND(ISNUMBER($G465),$G465&gt;=MA_MED),AVERAGE(INDEX($C$65:$C465,402-MA_MED):$C465),"")</f>
        <v>105675421.5</v>
      </c>
      <c r="K465" s="52" t="n">
        <f aca="false">IF(AND(ISNUMBER($G465),$G465&gt;=MA_LONG2),AVERAGE(INDEX($C$65:$C465,402-MA_LONG2):$C465),"")</f>
        <v>110640321.75</v>
      </c>
      <c r="L465" s="53" t="n">
        <f aca="false">IF(AND(ISNUMBER($G465),$G465&gt;=21),STDEV(INDEX($H$405:$H465,62-20):$H465)*SQRT(245),"")</f>
        <v>0.222415663570476</v>
      </c>
      <c r="M465" s="52" t="n">
        <f aca="false">IF(AND(ISNUMBER($G465),$G465&gt;=60),MAX(INDEX($D$265:$D465,202-60):$D465),"")</f>
        <v>112337836</v>
      </c>
      <c r="N465" s="52" t="n">
        <f aca="false">IF(AND(ISNUMBER($G465),$G465&gt;=60),MIN(INDEX($E$265:$E465,202-60):$E465),"")</f>
        <v>101418631</v>
      </c>
      <c r="O465" s="53" t="n">
        <f aca="false">IF(OR(NOT(ISNUMBER($C465)),NOT(ISNUMBER($M465)),$M465=0),"",$C465/$M465-1)</f>
        <v>-0.0328706705726466</v>
      </c>
      <c r="P465" s="54"/>
      <c r="Q465" s="53" t="str">
        <f aca="false">IF(NOT(ISNUMBER($P465)),"",IFERROR(PERCENTRANK($P$5:$P$1204,$P465),""))</f>
        <v/>
      </c>
    </row>
    <row r="466" customFormat="false" ht="15" hidden="false" customHeight="false" outlineLevel="0" collapsed="false">
      <c r="A466" s="47" t="n">
        <v>46215</v>
      </c>
      <c r="B466" s="48" t="s">
        <v>614</v>
      </c>
      <c r="C466" s="49" t="n">
        <v>109007641</v>
      </c>
      <c r="D466" s="49" t="n">
        <v>110081599</v>
      </c>
      <c r="E466" s="49" t="n">
        <v>108835809</v>
      </c>
      <c r="F466" s="49" t="n">
        <v>0</v>
      </c>
      <c r="G466" s="50" t="n">
        <f aca="false">IF($A466="","",IF(ISNUMBER($G465),$G465+1,1))</f>
        <v>462</v>
      </c>
      <c r="H466" s="51" t="n">
        <f aca="false">IF(OR(NOT(ISNUMBER($G466)),$G466&lt;2,NOT(ISNUMBER($C465)),$C465=0),"",$C466/$C465-1)</f>
        <v>0.00333585788075563</v>
      </c>
      <c r="I466" s="52" t="n">
        <f aca="false">IF(AND(ISNUMBER($G466),$G466&gt;=MA_SHORT),AVERAGE(INDEX($C$66:$C466,402-MA_SHORT):$C466),"")</f>
        <v>106243907.2</v>
      </c>
      <c r="J466" s="52" t="n">
        <f aca="false">IF(AND(ISNUMBER($G466),$G466&gt;=MA_MED),AVERAGE(INDEX($C$66:$C466,402-MA_MED):$C466),"")</f>
        <v>105685416.74</v>
      </c>
      <c r="K466" s="52" t="n">
        <f aca="false">IF(AND(ISNUMBER($G466),$G466&gt;=MA_LONG2),AVERAGE(INDEX($C$66:$C466,402-MA_LONG2):$C466),"")</f>
        <v>110688260.295</v>
      </c>
      <c r="L466" s="53" t="n">
        <f aca="false">IF(AND(ISNUMBER($G466),$G466&gt;=21),STDEV(INDEX($H$406:$H466,62-20):$H466)*SQRT(245),"")</f>
        <v>0.212974666301143</v>
      </c>
      <c r="M466" s="52" t="n">
        <f aca="false">IF(AND(ISNUMBER($G466),$G466&gt;=60),MAX(INDEX($D$266:$D466,202-60):$D466),"")</f>
        <v>112337836</v>
      </c>
      <c r="N466" s="52" t="n">
        <f aca="false">IF(AND(ISNUMBER($G466),$G466&gt;=60),MIN(INDEX($E$266:$E466,202-60):$E466),"")</f>
        <v>101418631</v>
      </c>
      <c r="O466" s="53" t="n">
        <f aca="false">IF(OR(NOT(ISNUMBER($C466)),NOT(ISNUMBER($M466)),$M466=0),"",$C466/$M466-1)</f>
        <v>-0.0296444645773665</v>
      </c>
      <c r="P466" s="54"/>
      <c r="Q466" s="53" t="str">
        <f aca="false">IF(NOT(ISNUMBER($P466)),"",IFERROR(PERCENTRANK($P$5:$P$1204,$P466),""))</f>
        <v/>
      </c>
    </row>
    <row r="467" customFormat="false" ht="15" hidden="false" customHeight="false" outlineLevel="0" collapsed="false">
      <c r="A467" s="47" t="n">
        <v>46216</v>
      </c>
      <c r="B467" s="48" t="s">
        <v>615</v>
      </c>
      <c r="C467" s="49" t="n">
        <v>106015877</v>
      </c>
      <c r="D467" s="49" t="n">
        <v>106130288</v>
      </c>
      <c r="E467" s="49" t="n">
        <v>105660948</v>
      </c>
      <c r="F467" s="49" t="n">
        <v>0</v>
      </c>
      <c r="G467" s="50" t="n">
        <f aca="false">IF($A467="","",IF(ISNUMBER($G466),$G466+1,1))</f>
        <v>463</v>
      </c>
      <c r="H467" s="51" t="n">
        <f aca="false">IF(OR(NOT(ISNUMBER($G467)),$G467&lt;2,NOT(ISNUMBER($C466)),$C466=0),"",$C467/$C466-1)</f>
        <v>-0.0274454521954107</v>
      </c>
      <c r="I467" s="52" t="n">
        <f aca="false">IF(AND(ISNUMBER($G467),$G467&gt;=MA_SHORT),AVERAGE(INDEX($C$67:$C467,402-MA_SHORT):$C467),"")</f>
        <v>106283862.75</v>
      </c>
      <c r="J467" s="52" t="n">
        <f aca="false">IF(AND(ISNUMBER($G467),$G467&gt;=MA_MED),AVERAGE(INDEX($C$67:$C467,402-MA_MED):$C467),"")</f>
        <v>105704811.86</v>
      </c>
      <c r="K467" s="52" t="n">
        <f aca="false">IF(AND(ISNUMBER($G467),$G467&gt;=MA_LONG2),AVERAGE(INDEX($C$67:$C467,402-MA_LONG2):$C467),"")</f>
        <v>110713114.765</v>
      </c>
      <c r="L467" s="53" t="n">
        <f aca="false">IF(AND(ISNUMBER($G467),$G467&gt;=21),STDEV(INDEX($H$407:$H467,62-20):$H467)*SQRT(245),"")</f>
        <v>0.234716669980206</v>
      </c>
      <c r="M467" s="52" t="n">
        <f aca="false">IF(AND(ISNUMBER($G467),$G467&gt;=60),MAX(INDEX($D$267:$D467,202-60):$D467),"")</f>
        <v>112337836</v>
      </c>
      <c r="N467" s="52" t="n">
        <f aca="false">IF(AND(ISNUMBER($G467),$G467&gt;=60),MIN(INDEX($E$267:$E467,202-60):$E467),"")</f>
        <v>101418631</v>
      </c>
      <c r="O467" s="53" t="n">
        <f aca="false">IF(OR(NOT(ISNUMBER($C467)),NOT(ISNUMBER($M467)),$M467=0),"",$C467/$M467-1)</f>
        <v>-0.0562763110373605</v>
      </c>
      <c r="P467" s="54"/>
      <c r="Q467" s="53" t="str">
        <f aca="false">IF(NOT(ISNUMBER($P467)),"",IFERROR(PERCENTRANK($P$5:$P$1204,$P467),""))</f>
        <v/>
      </c>
    </row>
    <row r="468" customFormat="false" ht="15" hidden="false" customHeight="false" outlineLevel="0" collapsed="false">
      <c r="A468" s="47" t="n">
        <v>46217</v>
      </c>
      <c r="B468" s="48" t="s">
        <v>616</v>
      </c>
      <c r="C468" s="49" t="n">
        <v>106754595</v>
      </c>
      <c r="D468" s="49" t="n">
        <v>107092577</v>
      </c>
      <c r="E468" s="49" t="n">
        <v>106586879</v>
      </c>
      <c r="F468" s="49" t="n">
        <v>0</v>
      </c>
      <c r="G468" s="50" t="n">
        <f aca="false">IF($A468="","",IF(ISNUMBER($G467),$G467+1,1))</f>
        <v>464</v>
      </c>
      <c r="H468" s="51" t="n">
        <f aca="false">IF(OR(NOT(ISNUMBER($G468)),$G468&lt;2,NOT(ISNUMBER($C467)),$C467=0),"",$C468/$C467-1)</f>
        <v>0.00696799404866488</v>
      </c>
      <c r="I468" s="52" t="n">
        <f aca="false">IF(AND(ISNUMBER($G468),$G468&gt;=MA_SHORT),AVERAGE(INDEX($C$68:$C468,402-MA_SHORT):$C468),"")</f>
        <v>106416608.15</v>
      </c>
      <c r="J468" s="52" t="n">
        <f aca="false">IF(AND(ISNUMBER($G468),$G468&gt;=MA_MED),AVERAGE(INDEX($C$68:$C468,402-MA_MED):$C468),"")</f>
        <v>105779398.08</v>
      </c>
      <c r="K468" s="52" t="n">
        <f aca="false">IF(AND(ISNUMBER($G468),$G468&gt;=MA_LONG2),AVERAGE(INDEX($C$68:$C468,402-MA_LONG2):$C468),"")</f>
        <v>110743176.225</v>
      </c>
      <c r="L468" s="53" t="n">
        <f aca="false">IF(AND(ISNUMBER($G468),$G468&gt;=21),STDEV(INDEX($H$408:$H468,62-20):$H468)*SQRT(245),"")</f>
        <v>0.2320459905573</v>
      </c>
      <c r="M468" s="52" t="n">
        <f aca="false">IF(AND(ISNUMBER($G468),$G468&gt;=60),MAX(INDEX($D$268:$D468,202-60):$D468),"")</f>
        <v>112337836</v>
      </c>
      <c r="N468" s="52" t="n">
        <f aca="false">IF(AND(ISNUMBER($G468),$G468&gt;=60),MIN(INDEX($E$268:$E468,202-60):$E468),"")</f>
        <v>101418631</v>
      </c>
      <c r="O468" s="53" t="n">
        <f aca="false">IF(OR(NOT(ISNUMBER($C468)),NOT(ISNUMBER($M468)),$M468=0),"",$C468/$M468-1)</f>
        <v>-0.0497004499890847</v>
      </c>
      <c r="P468" s="54"/>
      <c r="Q468" s="53" t="str">
        <f aca="false">IF(NOT(ISNUMBER($P468)),"",IFERROR(PERCENTRANK($P$5:$P$1204,$P468),""))</f>
        <v/>
      </c>
    </row>
    <row r="469" customFormat="false" ht="15" hidden="false" customHeight="false" outlineLevel="0" collapsed="false">
      <c r="A469" s="47" t="n">
        <v>46218</v>
      </c>
      <c r="B469" s="48" t="s">
        <v>617</v>
      </c>
      <c r="C469" s="49" t="n">
        <v>107422792</v>
      </c>
      <c r="D469" s="49" t="n">
        <v>107441534</v>
      </c>
      <c r="E469" s="49" t="n">
        <v>107134664</v>
      </c>
      <c r="F469" s="49" t="n">
        <v>0</v>
      </c>
      <c r="G469" s="50" t="n">
        <f aca="false">IF($A469="","",IF(ISNUMBER($G468),$G468+1,1))</f>
        <v>465</v>
      </c>
      <c r="H469" s="51" t="n">
        <f aca="false">IF(OR(NOT(ISNUMBER($G469)),$G469&lt;2,NOT(ISNUMBER($C468)),$C468=0),"",$C469/$C468-1)</f>
        <v>0.00625918725090946</v>
      </c>
      <c r="I469" s="52" t="n">
        <f aca="false">IF(AND(ISNUMBER($G469),$G469&gt;=MA_SHORT),AVERAGE(INDEX($C$69:$C469,402-MA_SHORT):$C469),"")</f>
        <v>106578235.7</v>
      </c>
      <c r="J469" s="52" t="n">
        <f aca="false">IF(AND(ISNUMBER($G469),$G469&gt;=MA_MED),AVERAGE(INDEX($C$69:$C469,402-MA_MED):$C469),"")</f>
        <v>105875104.42</v>
      </c>
      <c r="K469" s="52" t="n">
        <f aca="false">IF(AND(ISNUMBER($G469),$G469&gt;=MA_LONG2),AVERAGE(INDEX($C$69:$C469,402-MA_LONG2):$C469),"")</f>
        <v>110773402.105</v>
      </c>
      <c r="L469" s="53" t="n">
        <f aca="false">IF(AND(ISNUMBER($G469),$G469&gt;=21),STDEV(INDEX($H$409:$H469,62-20):$H469)*SQRT(245),"")</f>
        <v>0.232663867948492</v>
      </c>
      <c r="M469" s="52" t="n">
        <f aca="false">IF(AND(ISNUMBER($G469),$G469&gt;=60),MAX(INDEX($D$269:$D469,202-60):$D469),"")</f>
        <v>111837339</v>
      </c>
      <c r="N469" s="52" t="n">
        <f aca="false">IF(AND(ISNUMBER($G469),$G469&gt;=60),MIN(INDEX($E$269:$E469,202-60):$E469),"")</f>
        <v>101418631</v>
      </c>
      <c r="O469" s="53" t="n">
        <f aca="false">IF(OR(NOT(ISNUMBER($C469)),NOT(ISNUMBER($M469)),$M469=0),"",$C469/$M469-1)</f>
        <v>-0.0394729259429179</v>
      </c>
      <c r="P469" s="54"/>
      <c r="Q469" s="53" t="str">
        <f aca="false">IF(NOT(ISNUMBER($P469)),"",IFERROR(PERCENTRANK($P$5:$P$1204,$P469),""))</f>
        <v/>
      </c>
    </row>
    <row r="470" customFormat="false" ht="15" hidden="false" customHeight="false" outlineLevel="0" collapsed="false">
      <c r="A470" s="47" t="n">
        <v>46221</v>
      </c>
      <c r="B470" s="48" t="s">
        <v>618</v>
      </c>
      <c r="C470" s="49" t="n">
        <v>105670694</v>
      </c>
      <c r="D470" s="49" t="n">
        <v>106188081</v>
      </c>
      <c r="E470" s="49" t="n">
        <v>105062617</v>
      </c>
      <c r="F470" s="49" t="n">
        <v>0</v>
      </c>
      <c r="G470" s="50" t="n">
        <f aca="false">IF($A470="","",IF(ISNUMBER($G469),$G469+1,1))</f>
        <v>466</v>
      </c>
      <c r="H470" s="51" t="n">
        <f aca="false">IF(OR(NOT(ISNUMBER($G470)),$G470&lt;2,NOT(ISNUMBER($C469)),$C469=0),"",$C470/$C469-1)</f>
        <v>-0.0163103003317955</v>
      </c>
      <c r="I470" s="52" t="n">
        <f aca="false">IF(AND(ISNUMBER($G470),$G470&gt;=MA_SHORT),AVERAGE(INDEX($C$70:$C470,402-MA_SHORT):$C470),"")</f>
        <v>106608092.1</v>
      </c>
      <c r="J470" s="52" t="n">
        <f aca="false">IF(AND(ISNUMBER($G470),$G470&gt;=MA_MED),AVERAGE(INDEX($C$70:$C470,402-MA_MED):$C470),"")</f>
        <v>105942297.42</v>
      </c>
      <c r="K470" s="52" t="n">
        <f aca="false">IF(AND(ISNUMBER($G470),$G470&gt;=MA_LONG2),AVERAGE(INDEX($C$70:$C470,402-MA_LONG2):$C470),"")</f>
        <v>110792162.235</v>
      </c>
      <c r="L470" s="53" t="n">
        <f aca="false">IF(AND(ISNUMBER($G470),$G470&gt;=21),STDEV(INDEX($H$410:$H470,62-20):$H470)*SQRT(245),"")</f>
        <v>0.239340742906889</v>
      </c>
      <c r="M470" s="52" t="n">
        <f aca="false">IF(AND(ISNUMBER($G470),$G470&gt;=60),MAX(INDEX($D$270:$D470,202-60):$D470),"")</f>
        <v>111837339</v>
      </c>
      <c r="N470" s="52" t="n">
        <f aca="false">IF(AND(ISNUMBER($G470),$G470&gt;=60),MIN(INDEX($E$270:$E470,202-60):$E470),"")</f>
        <v>101418631</v>
      </c>
      <c r="O470" s="53" t="n">
        <f aca="false">IF(OR(NOT(ISNUMBER($C470)),NOT(ISNUMBER($M470)),$M470=0),"",$C470/$M470-1)</f>
        <v>-0.0551394109976097</v>
      </c>
      <c r="P470" s="54"/>
      <c r="Q470" s="53" t="str">
        <f aca="false">IF(NOT(ISNUMBER($P470)),"",IFERROR(PERCENTRANK($P$5:$P$1204,$P470),""))</f>
        <v/>
      </c>
    </row>
    <row r="471" customFormat="false" ht="15" hidden="false" customHeight="false" outlineLevel="0" collapsed="false">
      <c r="A471" s="47" t="n">
        <v>46222</v>
      </c>
      <c r="B471" s="48" t="s">
        <v>619</v>
      </c>
      <c r="C471" s="49" t="n">
        <v>107377614</v>
      </c>
      <c r="D471" s="49" t="n">
        <v>108033741</v>
      </c>
      <c r="E471" s="49" t="n">
        <v>107371341</v>
      </c>
      <c r="F471" s="49" t="n">
        <v>0</v>
      </c>
      <c r="G471" s="50" t="n">
        <f aca="false">IF($A471="","",IF(ISNUMBER($G470),$G470+1,1))</f>
        <v>467</v>
      </c>
      <c r="H471" s="51" t="n">
        <f aca="false">IF(OR(NOT(ISNUMBER($G471)),$G471&lt;2,NOT(ISNUMBER($C470)),$C470=0),"",$C471/$C470-1)</f>
        <v>0.016153201378615</v>
      </c>
      <c r="I471" s="52" t="n">
        <f aca="false">IF(AND(ISNUMBER($G471),$G471&gt;=MA_SHORT),AVERAGE(INDEX($C$71:$C471,402-MA_SHORT):$C471),"")</f>
        <v>106800030.95</v>
      </c>
      <c r="J471" s="52" t="n">
        <f aca="false">IF(AND(ISNUMBER($G471),$G471&gt;=MA_MED),AVERAGE(INDEX($C$71:$C471,402-MA_MED):$C471),"")</f>
        <v>106026231.66</v>
      </c>
      <c r="K471" s="52" t="n">
        <f aca="false">IF(AND(ISNUMBER($G471),$G471&gt;=MA_LONG2),AVERAGE(INDEX($C$71:$C471,402-MA_LONG2):$C471),"")</f>
        <v>110813187.275</v>
      </c>
      <c r="L471" s="53" t="n">
        <f aca="false">IF(AND(ISNUMBER($G471),$G471&gt;=21),STDEV(INDEX($H$411:$H471,62-20):$H471)*SQRT(245),"")</f>
        <v>0.238694466173321</v>
      </c>
      <c r="M471" s="52" t="n">
        <f aca="false">IF(AND(ISNUMBER($G471),$G471&gt;=60),MAX(INDEX($D$271:$D471,202-60):$D471),"")</f>
        <v>111837339</v>
      </c>
      <c r="N471" s="52" t="n">
        <f aca="false">IF(AND(ISNUMBER($G471),$G471&gt;=60),MIN(INDEX($E$271:$E471,202-60):$E471),"")</f>
        <v>101418631</v>
      </c>
      <c r="O471" s="53" t="n">
        <f aca="false">IF(OR(NOT(ISNUMBER($C471)),NOT(ISNUMBER($M471)),$M471=0),"",$C471/$M471-1)</f>
        <v>-0.0398768876287373</v>
      </c>
      <c r="P471" s="54"/>
      <c r="Q471" s="53" t="str">
        <f aca="false">IF(NOT(ISNUMBER($P471)),"",IFERROR(PERCENTRANK($P$5:$P$1204,$P471),""))</f>
        <v/>
      </c>
    </row>
    <row r="472" customFormat="false" ht="15" hidden="false" customHeight="false" outlineLevel="0" collapsed="false">
      <c r="A472" s="47" t="n">
        <v>46223</v>
      </c>
      <c r="B472" s="48" t="s">
        <v>620</v>
      </c>
      <c r="C472" s="49" t="n">
        <v>106304210</v>
      </c>
      <c r="D472" s="49" t="n">
        <v>106908703</v>
      </c>
      <c r="E472" s="49" t="n">
        <v>106132957</v>
      </c>
      <c r="F472" s="49" t="n">
        <v>0</v>
      </c>
      <c r="G472" s="50" t="n">
        <f aca="false">IF($A472="","",IF(ISNUMBER($G471),$G471+1,1))</f>
        <v>468</v>
      </c>
      <c r="H472" s="51" t="n">
        <f aca="false">IF(OR(NOT(ISNUMBER($G472)),$G472&lt;2,NOT(ISNUMBER($C471)),$C471=0),"",$C472/$C471-1)</f>
        <v>-0.00999653428693248</v>
      </c>
      <c r="I472" s="52" t="n">
        <f aca="false">IF(AND(ISNUMBER($G472),$G472&gt;=MA_SHORT),AVERAGE(INDEX($C$72:$C472,402-MA_SHORT):$C472),"")</f>
        <v>106939583.4</v>
      </c>
      <c r="J472" s="52" t="n">
        <f aca="false">IF(AND(ISNUMBER($G472),$G472&gt;=MA_MED),AVERAGE(INDEX($C$72:$C472,402-MA_MED):$C472),"")</f>
        <v>106037231.44</v>
      </c>
      <c r="K472" s="52" t="n">
        <f aca="false">IF(AND(ISNUMBER($G472),$G472&gt;=MA_LONG2),AVERAGE(INDEX($C$72:$C472,402-MA_LONG2):$C472),"")</f>
        <v>110821340.775</v>
      </c>
      <c r="L472" s="53" t="n">
        <f aca="false">IF(AND(ISNUMBER($G472),$G472&gt;=21),STDEV(INDEX($H$412:$H472,62-20):$H472)*SQRT(245),"")</f>
        <v>0.242254553036103</v>
      </c>
      <c r="M472" s="52" t="n">
        <f aca="false">IF(AND(ISNUMBER($G472),$G472&gt;=60),MAX(INDEX($D$272:$D472,202-60):$D472),"")</f>
        <v>111837339</v>
      </c>
      <c r="N472" s="52" t="n">
        <f aca="false">IF(AND(ISNUMBER($G472),$G472&gt;=60),MIN(INDEX($E$272:$E472,202-60):$E472),"")</f>
        <v>101418631</v>
      </c>
      <c r="O472" s="53" t="n">
        <f aca="false">IF(OR(NOT(ISNUMBER($C472)),NOT(ISNUMBER($M472)),$M472=0),"",$C472/$M472-1)</f>
        <v>-0.049474791241233</v>
      </c>
      <c r="P472" s="54"/>
      <c r="Q472" s="53" t="str">
        <f aca="false">IF(NOT(ISNUMBER($P472)),"",IFERROR(PERCENTRANK($P$5:$P$1204,$P472),""))</f>
        <v/>
      </c>
    </row>
    <row r="473" customFormat="false" ht="15" hidden="false" customHeight="false" outlineLevel="0" collapsed="false">
      <c r="A473" s="47" t="n">
        <v>46224</v>
      </c>
      <c r="B473" s="48" t="s">
        <v>621</v>
      </c>
      <c r="C473" s="49" t="n">
        <v>105821872</v>
      </c>
      <c r="D473" s="49" t="n">
        <v>105874664</v>
      </c>
      <c r="E473" s="49" t="n">
        <v>105585355</v>
      </c>
      <c r="F473" s="49" t="n">
        <v>0</v>
      </c>
      <c r="G473" s="50" t="n">
        <f aca="false">IF($A473="","",IF(ISNUMBER($G472),$G472+1,1))</f>
        <v>469</v>
      </c>
      <c r="H473" s="51" t="n">
        <f aca="false">IF(OR(NOT(ISNUMBER($G473)),$G473&lt;2,NOT(ISNUMBER($C472)),$C472=0),"",$C473/$C472-1)</f>
        <v>-0.00453733676210943</v>
      </c>
      <c r="I473" s="52" t="n">
        <f aca="false">IF(AND(ISNUMBER($G473),$G473&gt;=MA_SHORT),AVERAGE(INDEX($C$73:$C473,402-MA_SHORT):$C473),"")</f>
        <v>107079778.7</v>
      </c>
      <c r="J473" s="52" t="n">
        <f aca="false">IF(AND(ISNUMBER($G473),$G473&gt;=MA_MED),AVERAGE(INDEX($C$73:$C473,402-MA_MED):$C473),"")</f>
        <v>106040213.16</v>
      </c>
      <c r="K473" s="52" t="n">
        <f aca="false">IF(AND(ISNUMBER($G473),$G473&gt;=MA_LONG2),AVERAGE(INDEX($C$73:$C473,402-MA_LONG2):$C473),"")</f>
        <v>110829491.78</v>
      </c>
      <c r="L473" s="53" t="n">
        <f aca="false">IF(AND(ISNUMBER($G473),$G473&gt;=21),STDEV(INDEX($H$413:$H473,62-20):$H473)*SQRT(245),"")</f>
        <v>0.242174339997156</v>
      </c>
      <c r="M473" s="52" t="n">
        <f aca="false">IF(AND(ISNUMBER($G473),$G473&gt;=60),MAX(INDEX($D$273:$D473,202-60):$D473),"")</f>
        <v>110342543</v>
      </c>
      <c r="N473" s="52" t="n">
        <f aca="false">IF(AND(ISNUMBER($G473),$G473&gt;=60),MIN(INDEX($E$273:$E473,202-60):$E473),"")</f>
        <v>101418631</v>
      </c>
      <c r="O473" s="53" t="n">
        <f aca="false">IF(OR(NOT(ISNUMBER($C473)),NOT(ISNUMBER($M473)),$M473=0),"",$C473/$M473-1)</f>
        <v>-0.0409694291711221</v>
      </c>
      <c r="P473" s="54"/>
      <c r="Q473" s="53" t="str">
        <f aca="false">IF(NOT(ISNUMBER($P473)),"",IFERROR(PERCENTRANK($P$5:$P$1204,$P473),""))</f>
        <v/>
      </c>
    </row>
    <row r="474" customFormat="false" ht="15" hidden="false" customHeight="false" outlineLevel="0" collapsed="false">
      <c r="A474" s="47" t="n">
        <v>46225</v>
      </c>
      <c r="B474" s="48" t="s">
        <v>622</v>
      </c>
      <c r="C474" s="49" t="n">
        <v>107077894</v>
      </c>
      <c r="D474" s="49" t="n">
        <v>107127570</v>
      </c>
      <c r="E474" s="49" t="n">
        <v>106920610</v>
      </c>
      <c r="F474" s="49" t="n">
        <v>0</v>
      </c>
      <c r="G474" s="50" t="n">
        <f aca="false">IF($A474="","",IF(ISNUMBER($G473),$G473+1,1))</f>
        <v>470</v>
      </c>
      <c r="H474" s="51" t="n">
        <f aca="false">IF(OR(NOT(ISNUMBER($G474)),$G474&lt;2,NOT(ISNUMBER($C473)),$C473=0),"",$C474/$C473-1)</f>
        <v>0.0118692097981408</v>
      </c>
      <c r="I474" s="52" t="n">
        <f aca="false">IF(AND(ISNUMBER($G474),$G474&gt;=MA_SHORT),AVERAGE(INDEX($C$74:$C474,402-MA_SHORT):$C474),"")</f>
        <v>107098755.25</v>
      </c>
      <c r="J474" s="52" t="n">
        <f aca="false">IF(AND(ISNUMBER($G474),$G474&gt;=MA_MED),AVERAGE(INDEX($C$74:$C474,402-MA_MED):$C474),"")</f>
        <v>106062332</v>
      </c>
      <c r="K474" s="52" t="n">
        <f aca="false">IF(AND(ISNUMBER($G474),$G474&gt;=MA_LONG2),AVERAGE(INDEX($C$74:$C474,402-MA_LONG2):$C474),"")</f>
        <v>110845537.035</v>
      </c>
      <c r="L474" s="53" t="n">
        <f aca="false">IF(AND(ISNUMBER($G474),$G474&gt;=21),STDEV(INDEX($H$414:$H474,62-20):$H474)*SQRT(245),"")</f>
        <v>0.211036510195297</v>
      </c>
      <c r="M474" s="52" t="n">
        <f aca="false">IF(AND(ISNUMBER($G474),$G474&gt;=60),MAX(INDEX($D$274:$D474,202-60):$D474),"")</f>
        <v>110081599</v>
      </c>
      <c r="N474" s="52" t="n">
        <f aca="false">IF(AND(ISNUMBER($G474),$G474&gt;=60),MIN(INDEX($E$274:$E474,202-60):$E474),"")</f>
        <v>101418631</v>
      </c>
      <c r="O474" s="53" t="n">
        <f aca="false">IF(OR(NOT(ISNUMBER($C474)),NOT(ISNUMBER($M474)),$M474=0),"",$C474/$M474-1)</f>
        <v>-0.0272861679634577</v>
      </c>
      <c r="P474" s="54"/>
      <c r="Q474" s="53" t="str">
        <f aca="false">IF(NOT(ISNUMBER($P474)),"",IFERROR(PERCENTRANK($P$5:$P$1204,$P474),""))</f>
        <v/>
      </c>
    </row>
    <row r="475" customFormat="false" ht="15" hidden="false" customHeight="false" outlineLevel="0" collapsed="false">
      <c r="A475" s="47" t="n">
        <v>46228</v>
      </c>
      <c r="B475" s="48" t="s">
        <v>623</v>
      </c>
      <c r="C475" s="49" t="n">
        <v>106271056</v>
      </c>
      <c r="D475" s="49" t="n">
        <v>106421941</v>
      </c>
      <c r="E475" s="49" t="n">
        <v>105992127</v>
      </c>
      <c r="F475" s="49" t="n">
        <v>0</v>
      </c>
      <c r="G475" s="50" t="n">
        <f aca="false">IF($A475="","",IF(ISNUMBER($G474),$G474+1,1))</f>
        <v>471</v>
      </c>
      <c r="H475" s="51" t="n">
        <f aca="false">IF(OR(NOT(ISNUMBER($G475)),$G475&lt;2,NOT(ISNUMBER($C474)),$C474=0),"",$C475/$C474-1)</f>
        <v>-0.00753505667565702</v>
      </c>
      <c r="I475" s="52" t="n">
        <f aca="false">IF(AND(ISNUMBER($G475),$G475&gt;=MA_SHORT),AVERAGE(INDEX($C$75:$C475,402-MA_SHORT):$C475),"")</f>
        <v>107128097.85</v>
      </c>
      <c r="J475" s="52" t="n">
        <f aca="false">IF(AND(ISNUMBER($G475),$G475&gt;=MA_MED),AVERAGE(INDEX($C$75:$C475,402-MA_MED):$C475),"")</f>
        <v>106070889.5</v>
      </c>
      <c r="K475" s="52" t="n">
        <f aca="false">IF(AND(ISNUMBER($G475),$G475&gt;=MA_LONG2),AVERAGE(INDEX($C$75:$C475,402-MA_LONG2):$C475),"")</f>
        <v>110848791.4</v>
      </c>
      <c r="L475" s="53" t="n">
        <f aca="false">IF(AND(ISNUMBER($G475),$G475&gt;=21),STDEV(INDEX($H$415:$H475,62-20):$H475)*SQRT(245),"")</f>
        <v>0.209970631463725</v>
      </c>
      <c r="M475" s="52" t="n">
        <f aca="false">IF(AND(ISNUMBER($G475),$G475&gt;=60),MAX(INDEX($D$275:$D475,202-60):$D475),"")</f>
        <v>110081599</v>
      </c>
      <c r="N475" s="52" t="n">
        <f aca="false">IF(AND(ISNUMBER($G475),$G475&gt;=60),MIN(INDEX($E$275:$E475,202-60):$E475),"")</f>
        <v>101418631</v>
      </c>
      <c r="O475" s="53" t="n">
        <f aca="false">IF(OR(NOT(ISNUMBER($C475)),NOT(ISNUMBER($M475)),$M475=0),"",$C475/$M475-1)</f>
        <v>-0.0346156218170487</v>
      </c>
      <c r="P475" s="54"/>
      <c r="Q475" s="53" t="str">
        <f aca="false">IF(NOT(ISNUMBER($P475)),"",IFERROR(PERCENTRANK($P$5:$P$1204,$P475),""))</f>
        <v/>
      </c>
    </row>
    <row r="476" customFormat="false" ht="15" hidden="false" customHeight="false" outlineLevel="0" collapsed="false">
      <c r="A476" s="47" t="n">
        <v>46229</v>
      </c>
      <c r="B476" s="48" t="s">
        <v>624</v>
      </c>
      <c r="C476" s="49" t="n">
        <v>105491783</v>
      </c>
      <c r="D476" s="49" t="n">
        <v>105856422</v>
      </c>
      <c r="E476" s="49" t="n">
        <v>104802997</v>
      </c>
      <c r="F476" s="49" t="n">
        <v>0</v>
      </c>
      <c r="G476" s="50" t="n">
        <f aca="false">IF($A476="","",IF(ISNUMBER($G475),$G475+1,1))</f>
        <v>472</v>
      </c>
      <c r="H476" s="51" t="n">
        <f aca="false">IF(OR(NOT(ISNUMBER($G476)),$G476&lt;2,NOT(ISNUMBER($C475)),$C475=0),"",$C476/$C475-1)</f>
        <v>-0.00733288093043882</v>
      </c>
      <c r="I476" s="52" t="n">
        <f aca="false">IF(AND(ISNUMBER($G476),$G476&gt;=MA_SHORT),AVERAGE(INDEX($C$76:$C476,402-MA_SHORT):$C476),"")</f>
        <v>107024869.7</v>
      </c>
      <c r="J476" s="52" t="n">
        <f aca="false">IF(AND(ISNUMBER($G476),$G476&gt;=MA_MED),AVERAGE(INDEX($C$76:$C476,402-MA_MED):$C476),"")</f>
        <v>106048311.06</v>
      </c>
      <c r="K476" s="52" t="n">
        <f aca="false">IF(AND(ISNUMBER($G476),$G476&gt;=MA_LONG2),AVERAGE(INDEX($C$76:$C476,402-MA_LONG2):$C476),"")</f>
        <v>110845567.08</v>
      </c>
      <c r="L476" s="53" t="n">
        <f aca="false">IF(AND(ISNUMBER($G476),$G476&gt;=21),STDEV(INDEX($H$416:$H476,62-20):$H476)*SQRT(245),"")</f>
        <v>0.201405771808344</v>
      </c>
      <c r="M476" s="52" t="n">
        <f aca="false">IF(AND(ISNUMBER($G476),$G476&gt;=60),MAX(INDEX($D$276:$D476,202-60):$D476),"")</f>
        <v>110081599</v>
      </c>
      <c r="N476" s="52" t="n">
        <f aca="false">IF(AND(ISNUMBER($G476),$G476&gt;=60),MIN(INDEX($E$276:$E476,202-60):$E476),"")</f>
        <v>101418631</v>
      </c>
      <c r="O476" s="53" t="n">
        <f aca="false">IF(OR(NOT(ISNUMBER($C476)),NOT(ISNUMBER($M476)),$M476=0),"",$C476/$M476-1)</f>
        <v>-0.04169467051437</v>
      </c>
      <c r="P476" s="54"/>
      <c r="Q476" s="53" t="str">
        <f aca="false">IF(NOT(ISNUMBER($P476)),"",IFERROR(PERCENTRANK($P$5:$P$1204,$P476),""))</f>
        <v/>
      </c>
    </row>
    <row r="477" customFormat="false" ht="15" hidden="false" customHeight="false" outlineLevel="0" collapsed="false">
      <c r="A477" s="47" t="n">
        <v>46230</v>
      </c>
      <c r="B477" s="48" t="s">
        <v>625</v>
      </c>
      <c r="C477" s="49" t="n">
        <v>104392866</v>
      </c>
      <c r="D477" s="49" t="n">
        <v>104482681</v>
      </c>
      <c r="E477" s="49" t="n">
        <v>104235640</v>
      </c>
      <c r="F477" s="49" t="n">
        <v>0</v>
      </c>
      <c r="G477" s="50" t="n">
        <f aca="false">IF($A477="","",IF(ISNUMBER($G476),$G476+1,1))</f>
        <v>473</v>
      </c>
      <c r="H477" s="51" t="n">
        <f aca="false">IF(OR(NOT(ISNUMBER($G477)),$G477&lt;2,NOT(ISNUMBER($C476)),$C476=0),"",$C477/$C476-1)</f>
        <v>-0.0104170862293607</v>
      </c>
      <c r="I477" s="52" t="n">
        <f aca="false">IF(AND(ISNUMBER($G477),$G477&gt;=MA_SHORT),AVERAGE(INDEX($C$77:$C477,402-MA_SHORT):$C477),"")</f>
        <v>106903902.8</v>
      </c>
      <c r="J477" s="52" t="n">
        <f aca="false">IF(AND(ISNUMBER($G477),$G477&gt;=MA_MED),AVERAGE(INDEX($C$77:$C477,402-MA_MED):$C477),"")</f>
        <v>105984420.5</v>
      </c>
      <c r="K477" s="52" t="n">
        <f aca="false">IF(AND(ISNUMBER($G477),$G477&gt;=MA_LONG2),AVERAGE(INDEX($C$77:$C477,402-MA_LONG2):$C477),"")</f>
        <v>110833356.555</v>
      </c>
      <c r="L477" s="53" t="n">
        <f aca="false">IF(AND(ISNUMBER($G477),$G477&gt;=21),STDEV(INDEX($H$417:$H477,62-20):$H477)*SQRT(245),"")</f>
        <v>0.203121022895427</v>
      </c>
      <c r="M477" s="52" t="n">
        <f aca="false">IF(AND(ISNUMBER($G477),$G477&gt;=60),MAX(INDEX($D$277:$D477,202-60):$D477),"")</f>
        <v>110081599</v>
      </c>
      <c r="N477" s="52" t="n">
        <f aca="false">IF(AND(ISNUMBER($G477),$G477&gt;=60),MIN(INDEX($E$277:$E477,202-60):$E477),"")</f>
        <v>101418631</v>
      </c>
      <c r="O477" s="53" t="n">
        <f aca="false">IF(OR(NOT(ISNUMBER($C477)),NOT(ISNUMBER($M477)),$M477=0),"",$C477/$M477-1)</f>
        <v>-0.0516774197656776</v>
      </c>
      <c r="P477" s="54"/>
      <c r="Q477" s="53" t="str">
        <f aca="false">IF(NOT(ISNUMBER($P477)),"",IFERROR(PERCENTRANK($P$5:$P$1204,$P477),""))</f>
        <v/>
      </c>
    </row>
    <row r="478" customFormat="false" ht="15" hidden="false" customHeight="false" outlineLevel="0" collapsed="false">
      <c r="A478" s="47" t="n">
        <v>46231</v>
      </c>
      <c r="B478" s="48" t="s">
        <v>626</v>
      </c>
      <c r="C478" s="49" t="n">
        <v>103499226</v>
      </c>
      <c r="D478" s="49" t="n">
        <v>103509530</v>
      </c>
      <c r="E478" s="49" t="n">
        <v>102477955</v>
      </c>
      <c r="F478" s="49" t="n">
        <v>0</v>
      </c>
      <c r="G478" s="50" t="n">
        <f aca="false">IF($A478="","",IF(ISNUMBER($G477),$G477+1,1))</f>
        <v>474</v>
      </c>
      <c r="H478" s="51" t="n">
        <f aca="false">IF(OR(NOT(ISNUMBER($G478)),$G478&lt;2,NOT(ISNUMBER($C477)),$C477=0),"",$C478/$C477-1)</f>
        <v>-0.00856035507253916</v>
      </c>
      <c r="I478" s="52" t="n">
        <f aca="false">IF(AND(ISNUMBER($G478),$G478&gt;=MA_SHORT),AVERAGE(INDEX($C$78:$C478,402-MA_SHORT):$C478),"")</f>
        <v>106791222.5</v>
      </c>
      <c r="J478" s="52" t="n">
        <f aca="false">IF(AND(ISNUMBER($G478),$G478&gt;=MA_MED),AVERAGE(INDEX($C$78:$C478,402-MA_MED):$C478),"")</f>
        <v>105894103.06</v>
      </c>
      <c r="K478" s="52" t="n">
        <f aca="false">IF(AND(ISNUMBER($G478),$G478&gt;=MA_LONG2),AVERAGE(INDEX($C$78:$C478,402-MA_LONG2):$C478),"")</f>
        <v>110821877.43</v>
      </c>
      <c r="L478" s="53" t="n">
        <f aca="false">IF(AND(ISNUMBER($G478),$G478&gt;=21),STDEV(INDEX($H$418:$H478,62-20):$H478)*SQRT(245),"")</f>
        <v>0.202412287517496</v>
      </c>
      <c r="M478" s="52" t="n">
        <f aca="false">IF(AND(ISNUMBER($G478),$G478&gt;=60),MAX(INDEX($D$278:$D478,202-60):$D478),"")</f>
        <v>110081599</v>
      </c>
      <c r="N478" s="52" t="n">
        <f aca="false">IF(AND(ISNUMBER($G478),$G478&gt;=60),MIN(INDEX($E$278:$E478,202-60):$E478),"")</f>
        <v>101418631</v>
      </c>
      <c r="O478" s="53" t="n">
        <f aca="false">IF(OR(NOT(ISNUMBER($C478)),NOT(ISNUMBER($M478)),$M478=0),"",$C478/$M478-1)</f>
        <v>-0.0597953977757899</v>
      </c>
      <c r="P478" s="54"/>
      <c r="Q478" s="53" t="str">
        <f aca="false">IF(NOT(ISNUMBER($P478)),"",IFERROR(PERCENTRANK($P$5:$P$1204,$P478),""))</f>
        <v/>
      </c>
    </row>
    <row r="479" customFormat="false" ht="15" hidden="false" customHeight="false" outlineLevel="0" collapsed="false">
      <c r="A479" s="47" t="n">
        <v>46232</v>
      </c>
      <c r="B479" s="48" t="s">
        <v>627</v>
      </c>
      <c r="C479" s="49" t="n">
        <v>104430690</v>
      </c>
      <c r="D479" s="49" t="n">
        <v>104914287</v>
      </c>
      <c r="E479" s="49" t="n">
        <v>103989939</v>
      </c>
      <c r="F479" s="49" t="n">
        <v>0</v>
      </c>
      <c r="G479" s="50" t="n">
        <f aca="false">IF($A479="","",IF(ISNUMBER($G478),$G478+1,1))</f>
        <v>475</v>
      </c>
      <c r="H479" s="51" t="n">
        <f aca="false">IF(OR(NOT(ISNUMBER($G479)),$G479&lt;2,NOT(ISNUMBER($C478)),$C478=0),"",$C479/$C478-1)</f>
        <v>0.00899971947616307</v>
      </c>
      <c r="I479" s="52" t="n">
        <f aca="false">IF(AND(ISNUMBER($G479),$G479&gt;=MA_SHORT),AVERAGE(INDEX($C$79:$C479,402-MA_SHORT):$C479),"")</f>
        <v>106591046.3</v>
      </c>
      <c r="J479" s="52" t="n">
        <f aca="false">IF(AND(ISNUMBER($G479),$G479&gt;=MA_MED),AVERAGE(INDEX($C$79:$C479,402-MA_MED):$C479),"")</f>
        <v>105843843.82</v>
      </c>
      <c r="K479" s="52" t="n">
        <f aca="false">IF(AND(ISNUMBER($G479),$G479&gt;=MA_LONG2),AVERAGE(INDEX($C$79:$C479,402-MA_LONG2):$C479),"")</f>
        <v>110815684.935</v>
      </c>
      <c r="L479" s="53" t="n">
        <f aca="false">IF(AND(ISNUMBER($G479),$G479&gt;=21),STDEV(INDEX($H$419:$H479,62-20):$H479)*SQRT(245),"")</f>
        <v>0.182022918460067</v>
      </c>
      <c r="M479" s="52" t="n">
        <f aca="false">IF(AND(ISNUMBER($G479),$G479&gt;=60),MAX(INDEX($D$279:$D479,202-60):$D479),"")</f>
        <v>110081599</v>
      </c>
      <c r="N479" s="52" t="n">
        <f aca="false">IF(AND(ISNUMBER($G479),$G479&gt;=60),MIN(INDEX($E$279:$E479,202-60):$E479),"")</f>
        <v>101418631</v>
      </c>
      <c r="O479" s="53" t="n">
        <f aca="false">IF(OR(NOT(ISNUMBER($C479)),NOT(ISNUMBER($M479)),$M479=0),"",$C479/$M479-1)</f>
        <v>-0.0513338201055746</v>
      </c>
      <c r="P479" s="54"/>
      <c r="Q479" s="53" t="str">
        <f aca="false">IF(NOT(ISNUMBER($P479)),"",IFERROR(PERCENTRANK($P$5:$P$1204,$P479),""))</f>
        <v/>
      </c>
    </row>
    <row r="480" customFormat="false" ht="15" hidden="false" customHeight="false" outlineLevel="0" collapsed="false">
      <c r="A480" s="47" t="n">
        <v>46235</v>
      </c>
      <c r="B480" s="48" t="s">
        <v>628</v>
      </c>
      <c r="C480" s="49" t="n">
        <v>103606609</v>
      </c>
      <c r="D480" s="49" t="n">
        <v>103650931</v>
      </c>
      <c r="E480" s="49" t="n">
        <v>103550717</v>
      </c>
      <c r="F480" s="49" t="n">
        <v>0</v>
      </c>
      <c r="G480" s="50" t="n">
        <f aca="false">IF($A480="","",IF(ISNUMBER($G479),$G479+1,1))</f>
        <v>476</v>
      </c>
      <c r="H480" s="51" t="n">
        <f aca="false">IF(OR(NOT(ISNUMBER($G480)),$G480&lt;2,NOT(ISNUMBER($C479)),$C479=0),"",$C480/$C479-1)</f>
        <v>-0.00789117643482007</v>
      </c>
      <c r="I480" s="52" t="n">
        <f aca="false">IF(AND(ISNUMBER($G480),$G480&gt;=MA_SHORT),AVERAGE(INDEX($C$80:$C480,402-MA_SHORT):$C480),"")</f>
        <v>106449711.2</v>
      </c>
      <c r="J480" s="52" t="n">
        <f aca="false">IF(AND(ISNUMBER($G480),$G480&gt;=MA_MED),AVERAGE(INDEX($C$80:$C480,402-MA_MED):$C480),"")</f>
        <v>105808725.28</v>
      </c>
      <c r="K480" s="52" t="n">
        <f aca="false">IF(AND(ISNUMBER($G480),$G480&gt;=MA_LONG2),AVERAGE(INDEX($C$80:$C480,402-MA_LONG2):$C480),"")</f>
        <v>110800989.345</v>
      </c>
      <c r="L480" s="53" t="n">
        <f aca="false">IF(AND(ISNUMBER($G480),$G480&gt;=21),STDEV(INDEX($H$420:$H480,62-20):$H480)*SQRT(245),"")</f>
        <v>0.173109750265136</v>
      </c>
      <c r="M480" s="52" t="n">
        <f aca="false">IF(AND(ISNUMBER($G480),$G480&gt;=60),MAX(INDEX($D$280:$D480,202-60):$D480),"")</f>
        <v>110081599</v>
      </c>
      <c r="N480" s="52" t="n">
        <f aca="false">IF(AND(ISNUMBER($G480),$G480&gt;=60),MIN(INDEX($E$280:$E480,202-60):$E480),"")</f>
        <v>101418631</v>
      </c>
      <c r="O480" s="53" t="n">
        <f aca="false">IF(OR(NOT(ISNUMBER($C480)),NOT(ISNUMBER($M480)),$M480=0),"",$C480/$M480-1)</f>
        <v>-0.0588199123088683</v>
      </c>
      <c r="P480" s="54"/>
      <c r="Q480" s="53" t="str">
        <f aca="false">IF(NOT(ISNUMBER($P480)),"",IFERROR(PERCENTRANK($P$5:$P$1204,$P480),""))</f>
        <v/>
      </c>
    </row>
    <row r="481" customFormat="false" ht="15" hidden="false" customHeight="false" outlineLevel="0" collapsed="false">
      <c r="A481" s="47" t="n">
        <v>46236</v>
      </c>
      <c r="B481" s="48" t="s">
        <v>629</v>
      </c>
      <c r="C481" s="49" t="n">
        <v>102872431</v>
      </c>
      <c r="D481" s="49" t="n">
        <v>103111058</v>
      </c>
      <c r="E481" s="49" t="n">
        <v>102742463</v>
      </c>
      <c r="F481" s="49" t="n">
        <v>0</v>
      </c>
      <c r="G481" s="50" t="n">
        <f aca="false">IF($A481="","",IF(ISNUMBER($G480),$G480+1,1))</f>
        <v>477</v>
      </c>
      <c r="H481" s="51" t="n">
        <f aca="false">IF(OR(NOT(ISNUMBER($G481)),$G481&lt;2,NOT(ISNUMBER($C480)),$C480=0),"",$C481/$C480-1)</f>
        <v>-0.00708620817809025</v>
      </c>
      <c r="I481" s="52" t="n">
        <f aca="false">IF(AND(ISNUMBER($G481),$G481&gt;=MA_SHORT),AVERAGE(INDEX($C$81:$C481,402-MA_SHORT):$C481),"")</f>
        <v>106210777.5</v>
      </c>
      <c r="J481" s="52" t="n">
        <f aca="false">IF(AND(ISNUMBER($G481),$G481&gt;=MA_MED),AVERAGE(INDEX($C$81:$C481,402-MA_MED):$C481),"")</f>
        <v>105812483.08</v>
      </c>
      <c r="K481" s="52" t="n">
        <f aca="false">IF(AND(ISNUMBER($G481),$G481&gt;=MA_LONG2),AVERAGE(INDEX($C$81:$C481,402-MA_LONG2):$C481),"")</f>
        <v>110774078.795</v>
      </c>
      <c r="L481" s="53" t="n">
        <f aca="false">IF(AND(ISNUMBER($G481),$G481&gt;=21),STDEV(INDEX($H$421:$H481,62-20):$H481)*SQRT(245),"")</f>
        <v>0.167601455783732</v>
      </c>
      <c r="M481" s="52" t="n">
        <f aca="false">IF(AND(ISNUMBER($G481),$G481&gt;=60),MAX(INDEX($D$281:$D481,202-60):$D481),"")</f>
        <v>110081599</v>
      </c>
      <c r="N481" s="52" t="n">
        <f aca="false">IF(AND(ISNUMBER($G481),$G481&gt;=60),MIN(INDEX($E$281:$E481,202-60):$E481),"")</f>
        <v>101418631</v>
      </c>
      <c r="O481" s="53" t="n">
        <f aca="false">IF(OR(NOT(ISNUMBER($C481)),NOT(ISNUMBER($M481)),$M481=0),"",$C481/$M481-1)</f>
        <v>-0.0654893103433208</v>
      </c>
      <c r="P481" s="54"/>
      <c r="Q481" s="53" t="str">
        <f aca="false">IF(NOT(ISNUMBER($P481)),"",IFERROR(PERCENTRANK($P$5:$P$1204,$P481),""))</f>
        <v/>
      </c>
    </row>
    <row r="482" customFormat="false" ht="15" hidden="false" customHeight="false" outlineLevel="0" collapsed="false">
      <c r="A482" s="47" t="n">
        <v>46237</v>
      </c>
      <c r="B482" s="48" t="s">
        <v>630</v>
      </c>
      <c r="C482" s="49" t="n">
        <v>103078399</v>
      </c>
      <c r="D482" s="49" t="n">
        <v>103295513</v>
      </c>
      <c r="E482" s="49" t="n">
        <v>102933042</v>
      </c>
      <c r="F482" s="49" t="n">
        <v>0</v>
      </c>
      <c r="G482" s="50" t="n">
        <f aca="false">IF($A482="","",IF(ISNUMBER($G481),$G481+1,1))</f>
        <v>478</v>
      </c>
      <c r="H482" s="51" t="n">
        <f aca="false">IF(OR(NOT(ISNUMBER($G482)),$G482&lt;2,NOT(ISNUMBER($C481)),$C481=0),"",$C482/$C481-1)</f>
        <v>0.00200216907482242</v>
      </c>
      <c r="I482" s="52" t="n">
        <f aca="false">IF(AND(ISNUMBER($G482),$G482&gt;=MA_SHORT),AVERAGE(INDEX($C$82:$C482,402-MA_SHORT):$C482),"")</f>
        <v>105999541.75</v>
      </c>
      <c r="J482" s="52" t="n">
        <f aca="false">IF(AND(ISNUMBER($G482),$G482&gt;=MA_MED),AVERAGE(INDEX($C$82:$C482,402-MA_MED):$C482),"")</f>
        <v>105840037.16</v>
      </c>
      <c r="K482" s="52" t="n">
        <f aca="false">IF(AND(ISNUMBER($G482),$G482&gt;=MA_LONG2),AVERAGE(INDEX($C$82:$C482,402-MA_LONG2):$C482),"")</f>
        <v>110745831.3</v>
      </c>
      <c r="L482" s="53" t="n">
        <f aca="false">IF(AND(ISNUMBER($G482),$G482&gt;=21),STDEV(INDEX($H$422:$H482,62-20):$H482)*SQRT(245),"")</f>
        <v>0.168191221978774</v>
      </c>
      <c r="M482" s="52" t="n">
        <f aca="false">IF(AND(ISNUMBER($G482),$G482&gt;=60),MAX(INDEX($D$282:$D482,202-60):$D482),"")</f>
        <v>110081599</v>
      </c>
      <c r="N482" s="52" t="n">
        <f aca="false">IF(AND(ISNUMBER($G482),$G482&gt;=60),MIN(INDEX($E$282:$E482,202-60):$E482),"")</f>
        <v>101418631</v>
      </c>
      <c r="O482" s="53" t="n">
        <f aca="false">IF(OR(NOT(ISNUMBER($C482)),NOT(ISNUMBER($M482)),$M482=0),"",$C482/$M482-1)</f>
        <v>-0.0636182619403993</v>
      </c>
      <c r="P482" s="54"/>
      <c r="Q482" s="53" t="str">
        <f aca="false">IF(NOT(ISNUMBER($P482)),"",IFERROR(PERCENTRANK($P$5:$P$1204,$P482),""))</f>
        <v/>
      </c>
    </row>
    <row r="483" customFormat="false" ht="15" hidden="false" customHeight="false" outlineLevel="0" collapsed="false">
      <c r="A483" s="47" t="n">
        <v>46238</v>
      </c>
      <c r="B483" s="48" t="s">
        <v>631</v>
      </c>
      <c r="C483" s="49" t="n">
        <v>100707956</v>
      </c>
      <c r="D483" s="49" t="n">
        <v>101109546</v>
      </c>
      <c r="E483" s="49" t="n">
        <v>100392280</v>
      </c>
      <c r="F483" s="49" t="n">
        <v>0</v>
      </c>
      <c r="G483" s="50" t="n">
        <f aca="false">IF($A483="","",IF(ISNUMBER($G482),$G482+1,1))</f>
        <v>479</v>
      </c>
      <c r="H483" s="51" t="n">
        <f aca="false">IF(OR(NOT(ISNUMBER($G483)),$G483&lt;2,NOT(ISNUMBER($C482)),$C482=0),"",$C483/$C482-1)</f>
        <v>-0.0229965057955547</v>
      </c>
      <c r="I483" s="52" t="n">
        <f aca="false">IF(AND(ISNUMBER($G483),$G483&gt;=MA_SHORT),AVERAGE(INDEX($C$83:$C483,402-MA_SHORT):$C483),"")</f>
        <v>105619782.75</v>
      </c>
      <c r="J483" s="52" t="n">
        <f aca="false">IF(AND(ISNUMBER($G483),$G483&gt;=MA_MED),AVERAGE(INDEX($C$83:$C483,402-MA_MED):$C483),"")</f>
        <v>105773531.08</v>
      </c>
      <c r="K483" s="52" t="n">
        <f aca="false">IF(AND(ISNUMBER($G483),$G483&gt;=MA_LONG2),AVERAGE(INDEX($C$83:$C483,402-MA_LONG2):$C483),"")</f>
        <v>110701022.845</v>
      </c>
      <c r="L483" s="53" t="n">
        <f aca="false">IF(AND(ISNUMBER($G483),$G483&gt;=21),STDEV(INDEX($H$423:$H483,62-20):$H483)*SQRT(245),"")</f>
        <v>0.178011278467003</v>
      </c>
      <c r="M483" s="52" t="n">
        <f aca="false">IF(AND(ISNUMBER($G483),$G483&gt;=60),MAX(INDEX($D$283:$D483,202-60):$D483),"")</f>
        <v>110081599</v>
      </c>
      <c r="N483" s="52" t="n">
        <f aca="false">IF(AND(ISNUMBER($G483),$G483&gt;=60),MIN(INDEX($E$283:$E483,202-60):$E483),"")</f>
        <v>100392280</v>
      </c>
      <c r="O483" s="53" t="n">
        <f aca="false">IF(OR(NOT(ISNUMBER($C483)),NOT(ISNUMBER($M483)),$M483=0),"",$C483/$M483-1)</f>
        <v>-0.0851517700065385</v>
      </c>
      <c r="P483" s="54"/>
      <c r="Q483" s="53" t="str">
        <f aca="false">IF(NOT(ISNUMBER($P483)),"",IFERROR(PERCENTRANK($P$5:$P$1204,$P483),""))</f>
        <v/>
      </c>
    </row>
    <row r="484" customFormat="false" ht="15" hidden="false" customHeight="false" outlineLevel="0" collapsed="false">
      <c r="A484" s="47" t="n">
        <v>46239</v>
      </c>
      <c r="B484" s="48" t="s">
        <v>632</v>
      </c>
      <c r="C484" s="49" t="n">
        <v>101221975</v>
      </c>
      <c r="D484" s="49" t="n">
        <v>101776671</v>
      </c>
      <c r="E484" s="49" t="n">
        <v>100892918</v>
      </c>
      <c r="F484" s="49" t="n">
        <v>0</v>
      </c>
      <c r="G484" s="50" t="n">
        <f aca="false">IF($A484="","",IF(ISNUMBER($G483),$G483+1,1))</f>
        <v>480</v>
      </c>
      <c r="H484" s="51" t="n">
        <f aca="false">IF(OR(NOT(ISNUMBER($G484)),$G484&lt;2,NOT(ISNUMBER($C483)),$C483=0),"",$C484/$C483-1)</f>
        <v>0.00510405553261362</v>
      </c>
      <c r="I484" s="52" t="n">
        <f aca="false">IF(AND(ISNUMBER($G484),$G484&gt;=MA_SHORT),AVERAGE(INDEX($C$84:$C484,402-MA_SHORT):$C484),"")</f>
        <v>105283569.8</v>
      </c>
      <c r="J484" s="52" t="n">
        <f aca="false">IF(AND(ISNUMBER($G484),$G484&gt;=MA_MED),AVERAGE(INDEX($C$84:$C484,402-MA_MED):$C484),"")</f>
        <v>105707882</v>
      </c>
      <c r="K484" s="52" t="n">
        <f aca="false">IF(AND(ISNUMBER($G484),$G484&gt;=MA_LONG2),AVERAGE(INDEX($C$84:$C484,402-MA_LONG2):$C484),"")</f>
        <v>110662338.21</v>
      </c>
      <c r="L484" s="53" t="n">
        <f aca="false">IF(AND(ISNUMBER($G484),$G484&gt;=21),STDEV(INDEX($H$424:$H484,62-20):$H484)*SQRT(245),"")</f>
        <v>0.180585477452196</v>
      </c>
      <c r="M484" s="52" t="n">
        <f aca="false">IF(AND(ISNUMBER($G484),$G484&gt;=60),MAX(INDEX($D$284:$D484,202-60):$D484),"")</f>
        <v>110081599</v>
      </c>
      <c r="N484" s="52" t="n">
        <f aca="false">IF(AND(ISNUMBER($G484),$G484&gt;=60),MIN(INDEX($E$284:$E484,202-60):$E484),"")</f>
        <v>100392280</v>
      </c>
      <c r="O484" s="53" t="n">
        <f aca="false">IF(OR(NOT(ISNUMBER($C484)),NOT(ISNUMBER($M484)),$M484=0),"",$C484/$M484-1)</f>
        <v>-0.0804823338367386</v>
      </c>
      <c r="P484" s="54"/>
      <c r="Q484" s="53" t="str">
        <f aca="false">IF(NOT(ISNUMBER($P484)),"",IFERROR(PERCENTRANK($P$5:$P$1204,$P484),""))</f>
        <v/>
      </c>
    </row>
    <row r="485" customFormat="false" ht="15" hidden="false" customHeight="false" outlineLevel="0" collapsed="false">
      <c r="A485" s="47" t="n">
        <v>46242</v>
      </c>
      <c r="B485" s="48" t="s">
        <v>633</v>
      </c>
      <c r="C485" s="49" t="n">
        <v>101034659</v>
      </c>
      <c r="D485" s="49" t="n">
        <v>101104690</v>
      </c>
      <c r="E485" s="49" t="n">
        <v>100868849</v>
      </c>
      <c r="F485" s="49" t="n">
        <v>0</v>
      </c>
      <c r="G485" s="50" t="n">
        <f aca="false">IF($A485="","",IF(ISNUMBER($G484),$G484+1,1))</f>
        <v>481</v>
      </c>
      <c r="H485" s="51" t="n">
        <f aca="false">IF(OR(NOT(ISNUMBER($G485)),$G485&lt;2,NOT(ISNUMBER($C484)),$C484=0),"",$C485/$C484-1)</f>
        <v>-0.00185054678097318</v>
      </c>
      <c r="I485" s="52" t="n">
        <f aca="false">IF(AND(ISNUMBER($G485),$G485&gt;=MA_SHORT),AVERAGE(INDEX($C$85:$C485,402-MA_SHORT):$C485),"")</f>
        <v>104903041.95</v>
      </c>
      <c r="J485" s="52" t="n">
        <f aca="false">IF(AND(ISNUMBER($G485),$G485&gt;=MA_MED),AVERAGE(INDEX($C$85:$C485,402-MA_MED):$C485),"")</f>
        <v>105643427.16</v>
      </c>
      <c r="K485" s="52" t="n">
        <f aca="false">IF(AND(ISNUMBER($G485),$G485&gt;=MA_LONG2),AVERAGE(INDEX($C$85:$C485,402-MA_LONG2):$C485),"")</f>
        <v>110604836.92</v>
      </c>
      <c r="L485" s="53" t="n">
        <f aca="false">IF(AND(ISNUMBER($G485),$G485&gt;=21),STDEV(INDEX($H$425:$H485,62-20):$H485)*SQRT(245),"")</f>
        <v>0.177184001085612</v>
      </c>
      <c r="M485" s="52" t="n">
        <f aca="false">IF(AND(ISNUMBER($G485),$G485&gt;=60),MAX(INDEX($D$285:$D485,202-60):$D485),"")</f>
        <v>110081599</v>
      </c>
      <c r="N485" s="52" t="n">
        <f aca="false">IF(AND(ISNUMBER($G485),$G485&gt;=60),MIN(INDEX($E$285:$E485,202-60):$E485),"")</f>
        <v>100392280</v>
      </c>
      <c r="O485" s="53" t="n">
        <f aca="false">IF(OR(NOT(ISNUMBER($C485)),NOT(ISNUMBER($M485)),$M485=0),"",$C485/$M485-1)</f>
        <v>-0.0821839442939051</v>
      </c>
      <c r="P485" s="54"/>
      <c r="Q485" s="53" t="str">
        <f aca="false">IF(NOT(ISNUMBER($P485)),"",IFERROR(PERCENTRANK($P$5:$P$1204,$P485),""))</f>
        <v/>
      </c>
    </row>
    <row r="486" customFormat="false" ht="15" hidden="false" customHeight="false" outlineLevel="0" collapsed="false">
      <c r="A486" s="47" t="n">
        <v>46243</v>
      </c>
      <c r="B486" s="48" t="s">
        <v>634</v>
      </c>
      <c r="C486" s="49" t="n">
        <v>101027277</v>
      </c>
      <c r="D486" s="49" t="n">
        <v>101082731</v>
      </c>
      <c r="E486" s="49" t="n">
        <v>100496849</v>
      </c>
      <c r="F486" s="49" t="n">
        <v>0</v>
      </c>
      <c r="G486" s="50" t="n">
        <f aca="false">IF($A486="","",IF(ISNUMBER($G485),$G485+1,1))</f>
        <v>482</v>
      </c>
      <c r="H486" s="51" t="n">
        <f aca="false">IF(OR(NOT(ISNUMBER($G486)),$G486&lt;2,NOT(ISNUMBER($C485)),$C485=0),"",$C486/$C485-1)</f>
        <v>-7.30640363718615E-005</v>
      </c>
      <c r="I486" s="52" t="n">
        <f aca="false">IF(AND(ISNUMBER($G486),$G486&gt;=MA_SHORT),AVERAGE(INDEX($C$86:$C486,402-MA_SHORT):$C486),"")</f>
        <v>104504023.75</v>
      </c>
      <c r="J486" s="52" t="n">
        <f aca="false">IF(AND(ISNUMBER($G486),$G486&gt;=MA_MED),AVERAGE(INDEX($C$86:$C486,402-MA_MED):$C486),"")</f>
        <v>105556374.02</v>
      </c>
      <c r="K486" s="52" t="n">
        <f aca="false">IF(AND(ISNUMBER($G486),$G486&gt;=MA_LONG2),AVERAGE(INDEX($C$86:$C486,402-MA_LONG2):$C486),"")</f>
        <v>110551366.095</v>
      </c>
      <c r="L486" s="53" t="n">
        <f aca="false">IF(AND(ISNUMBER($G486),$G486&gt;=21),STDEV(INDEX($H$426:$H486,62-20):$H486)*SQRT(245),"")</f>
        <v>0.175869214961768</v>
      </c>
      <c r="M486" s="52" t="n">
        <f aca="false">IF(AND(ISNUMBER($G486),$G486&gt;=60),MAX(INDEX($D$286:$D486,202-60):$D486),"")</f>
        <v>110081599</v>
      </c>
      <c r="N486" s="52" t="n">
        <f aca="false">IF(AND(ISNUMBER($G486),$G486&gt;=60),MIN(INDEX($E$286:$E486,202-60):$E486),"")</f>
        <v>100392280</v>
      </c>
      <c r="O486" s="53" t="n">
        <f aca="false">IF(OR(NOT(ISNUMBER($C486)),NOT(ISNUMBER($M486)),$M486=0),"",$C486/$M486-1)</f>
        <v>-0.0822510036395819</v>
      </c>
      <c r="P486" s="54"/>
      <c r="Q486" s="53" t="str">
        <f aca="false">IF(NOT(ISNUMBER($P486)),"",IFERROR(PERCENTRANK($P$5:$P$1204,$P486),""))</f>
        <v/>
      </c>
    </row>
    <row r="487" customFormat="false" ht="15" hidden="false" customHeight="false" outlineLevel="0" collapsed="false">
      <c r="A487" s="47" t="n">
        <v>46244</v>
      </c>
      <c r="B487" s="48" t="s">
        <v>635</v>
      </c>
      <c r="C487" s="49" t="n">
        <v>101347831</v>
      </c>
      <c r="D487" s="49" t="n">
        <v>101444069</v>
      </c>
      <c r="E487" s="49" t="n">
        <v>101184108</v>
      </c>
      <c r="F487" s="49" t="n">
        <v>0</v>
      </c>
      <c r="G487" s="50" t="n">
        <f aca="false">IF($A487="","",IF(ISNUMBER($G486),$G486+1,1))</f>
        <v>483</v>
      </c>
      <c r="H487" s="51" t="n">
        <f aca="false">IF(OR(NOT(ISNUMBER($G487)),$G487&lt;2,NOT(ISNUMBER($C486)),$C486=0),"",$C487/$C486-1)</f>
        <v>0.00317294506512344</v>
      </c>
      <c r="I487" s="52" t="n">
        <f aca="false">IF(AND(ISNUMBER($G487),$G487&gt;=MA_SHORT),AVERAGE(INDEX($C$87:$C487,402-MA_SHORT):$C487),"")</f>
        <v>104270621.45</v>
      </c>
      <c r="J487" s="52" t="n">
        <f aca="false">IF(AND(ISNUMBER($G487),$G487&gt;=MA_MED),AVERAGE(INDEX($C$87:$C487,402-MA_MED):$C487),"")</f>
        <v>105471609.78</v>
      </c>
      <c r="K487" s="52" t="n">
        <f aca="false">IF(AND(ISNUMBER($G487),$G487&gt;=MA_LONG2),AVERAGE(INDEX($C$87:$C487,402-MA_LONG2):$C487),"")</f>
        <v>110497712.18</v>
      </c>
      <c r="L487" s="53" t="n">
        <f aca="false">IF(AND(ISNUMBER($G487),$G487&gt;=21),STDEV(INDEX($H$427:$H487,62-20):$H487)*SQRT(245),"")</f>
        <v>0.153917958254588</v>
      </c>
      <c r="M487" s="52" t="n">
        <f aca="false">IF(AND(ISNUMBER($G487),$G487&gt;=60),MAX(INDEX($D$287:$D487,202-60):$D487),"")</f>
        <v>110081599</v>
      </c>
      <c r="N487" s="52" t="n">
        <f aca="false">IF(AND(ISNUMBER($G487),$G487&gt;=60),MIN(INDEX($E$287:$E487,202-60):$E487),"")</f>
        <v>100392280</v>
      </c>
      <c r="O487" s="53" t="n">
        <f aca="false">IF(OR(NOT(ISNUMBER($C487)),NOT(ISNUMBER($M487)),$M487=0),"",$C487/$M487-1)</f>
        <v>-0.0793390364905583</v>
      </c>
      <c r="P487" s="54"/>
      <c r="Q487" s="53" t="str">
        <f aca="false">IF(NOT(ISNUMBER($P487)),"",IFERROR(PERCENTRANK($P$5:$P$1204,$P487),""))</f>
        <v/>
      </c>
    </row>
    <row r="488" customFormat="false" ht="15" hidden="false" customHeight="false" outlineLevel="0" collapsed="false">
      <c r="A488" s="47" t="n">
        <v>46245</v>
      </c>
      <c r="B488" s="48" t="s">
        <v>636</v>
      </c>
      <c r="C488" s="49" t="n">
        <v>101168050</v>
      </c>
      <c r="D488" s="49" t="n">
        <v>101298104</v>
      </c>
      <c r="E488" s="49" t="n">
        <v>100475644</v>
      </c>
      <c r="F488" s="49" t="n">
        <v>0</v>
      </c>
      <c r="G488" s="50" t="n">
        <f aca="false">IF($A488="","",IF(ISNUMBER($G487),$G487+1,1))</f>
        <v>484</v>
      </c>
      <c r="H488" s="51" t="n">
        <f aca="false">IF(OR(NOT(ISNUMBER($G488)),$G488&lt;2,NOT(ISNUMBER($C487)),$C487=0),"",$C488/$C487-1)</f>
        <v>-0.00177390081490747</v>
      </c>
      <c r="I488" s="52" t="n">
        <f aca="false">IF(AND(ISNUMBER($G488),$G488&gt;=MA_SHORT),AVERAGE(INDEX($C$88:$C488,402-MA_SHORT):$C488),"")</f>
        <v>103991294.2</v>
      </c>
      <c r="J488" s="52" t="n">
        <f aca="false">IF(AND(ISNUMBER($G488),$G488&gt;=MA_MED),AVERAGE(INDEX($C$88:$C488,402-MA_MED):$C488),"")</f>
        <v>105392317.58</v>
      </c>
      <c r="K488" s="52" t="n">
        <f aca="false">IF(AND(ISNUMBER($G488),$G488&gt;=MA_LONG2),AVERAGE(INDEX($C$88:$C488,402-MA_LONG2):$C488),"")</f>
        <v>110438124.26</v>
      </c>
      <c r="L488" s="53" t="n">
        <f aca="false">IF(AND(ISNUMBER($G488),$G488&gt;=21),STDEV(INDEX($H$428:$H488,62-20):$H488)*SQRT(245),"")</f>
        <v>0.15019759539615</v>
      </c>
      <c r="M488" s="52" t="n">
        <f aca="false">IF(AND(ISNUMBER($G488),$G488&gt;=60),MAX(INDEX($D$288:$D488,202-60):$D488),"")</f>
        <v>110081599</v>
      </c>
      <c r="N488" s="52" t="n">
        <f aca="false">IF(AND(ISNUMBER($G488),$G488&gt;=60),MIN(INDEX($E$288:$E488,202-60):$E488),"")</f>
        <v>100392280</v>
      </c>
      <c r="O488" s="53" t="n">
        <f aca="false">IF(OR(NOT(ISNUMBER($C488)),NOT(ISNUMBER($M488)),$M488=0),"",$C488/$M488-1)</f>
        <v>-0.0809721977239811</v>
      </c>
      <c r="P488" s="54"/>
      <c r="Q488" s="53" t="str">
        <f aca="false">IF(NOT(ISNUMBER($P488)),"",IFERROR(PERCENTRANK($P$5:$P$1204,$P488),""))</f>
        <v/>
      </c>
    </row>
    <row r="489" customFormat="false" ht="15" hidden="false" customHeight="false" outlineLevel="0" collapsed="false">
      <c r="A489" s="47" t="n">
        <v>46246</v>
      </c>
      <c r="B489" s="48" t="s">
        <v>637</v>
      </c>
      <c r="C489" s="49" t="n">
        <v>101354306</v>
      </c>
      <c r="D489" s="49" t="n">
        <v>101399949</v>
      </c>
      <c r="E489" s="49" t="n">
        <v>100653511</v>
      </c>
      <c r="F489" s="49" t="n">
        <v>0</v>
      </c>
      <c r="G489" s="50" t="n">
        <f aca="false">IF($A489="","",IF(ISNUMBER($G488),$G488+1,1))</f>
        <v>485</v>
      </c>
      <c r="H489" s="51" t="n">
        <f aca="false">IF(OR(NOT(ISNUMBER($G489)),$G489&lt;2,NOT(ISNUMBER($C488)),$C488=0),"",$C489/$C488-1)</f>
        <v>0.00184105555064074</v>
      </c>
      <c r="I489" s="52" t="n">
        <f aca="false">IF(AND(ISNUMBER($G489),$G489&gt;=MA_SHORT),AVERAGE(INDEX($C$89:$C489,402-MA_SHORT):$C489),"")</f>
        <v>103687869.9</v>
      </c>
      <c r="J489" s="52" t="n">
        <f aca="false">IF(AND(ISNUMBER($G489),$G489&gt;=MA_MED),AVERAGE(INDEX($C$89:$C489,402-MA_MED):$C489),"")</f>
        <v>105302305.52</v>
      </c>
      <c r="K489" s="52" t="n">
        <f aca="false">IF(AND(ISNUMBER($G489),$G489&gt;=MA_LONG2),AVERAGE(INDEX($C$89:$C489,402-MA_LONG2):$C489),"")</f>
        <v>110367513.115</v>
      </c>
      <c r="L489" s="53" t="n">
        <f aca="false">IF(AND(ISNUMBER($G489),$G489&gt;=21),STDEV(INDEX($H$429:$H489,62-20):$H489)*SQRT(245),"")</f>
        <v>0.147595558041167</v>
      </c>
      <c r="M489" s="52" t="n">
        <f aca="false">IF(AND(ISNUMBER($G489),$G489&gt;=60),MAX(INDEX($D$289:$D489,202-60):$D489),"")</f>
        <v>110081599</v>
      </c>
      <c r="N489" s="52" t="n">
        <f aca="false">IF(AND(ISNUMBER($G489),$G489&gt;=60),MIN(INDEX($E$289:$E489,202-60):$E489),"")</f>
        <v>100392280</v>
      </c>
      <c r="O489" s="53" t="n">
        <f aca="false">IF(OR(NOT(ISNUMBER($C489)),NOT(ISNUMBER($M489)),$M489=0),"",$C489/$M489-1)</f>
        <v>-0.0792802164874077</v>
      </c>
      <c r="P489" s="54"/>
      <c r="Q489" s="53" t="str">
        <f aca="false">IF(NOT(ISNUMBER($P489)),"",IFERROR(PERCENTRANK($P$5:$P$1204,$P489),""))</f>
        <v/>
      </c>
    </row>
    <row r="490" customFormat="false" ht="15" hidden="false" customHeight="false" outlineLevel="0" collapsed="false">
      <c r="A490" s="47" t="n">
        <v>46249</v>
      </c>
      <c r="B490" s="48" t="s">
        <v>638</v>
      </c>
      <c r="C490" s="49" t="n">
        <v>103294555</v>
      </c>
      <c r="D490" s="49" t="n">
        <v>103795679</v>
      </c>
      <c r="E490" s="49" t="n">
        <v>103191152</v>
      </c>
      <c r="F490" s="49" t="n">
        <v>0</v>
      </c>
      <c r="G490" s="50" t="n">
        <f aca="false">IF($A490="","",IF(ISNUMBER($G489),$G489+1,1))</f>
        <v>486</v>
      </c>
      <c r="H490" s="51" t="n">
        <f aca="false">IF(OR(NOT(ISNUMBER($G490)),$G490&lt;2,NOT(ISNUMBER($C489)),$C489=0),"",$C490/$C489-1)</f>
        <v>0.0191432320596225</v>
      </c>
      <c r="I490" s="52" t="n">
        <f aca="false">IF(AND(ISNUMBER($G490),$G490&gt;=MA_SHORT),AVERAGE(INDEX($C$90:$C490,402-MA_SHORT):$C490),"")</f>
        <v>103569062.95</v>
      </c>
      <c r="J490" s="52" t="n">
        <f aca="false">IF(AND(ISNUMBER($G490),$G490&gt;=MA_MED),AVERAGE(INDEX($C$90:$C490,402-MA_MED):$C490),"")</f>
        <v>105231665.78</v>
      </c>
      <c r="K490" s="52" t="n">
        <f aca="false">IF(AND(ISNUMBER($G490),$G490&gt;=MA_LONG2),AVERAGE(INDEX($C$90:$C490,402-MA_LONG2):$C490),"")</f>
        <v>110303880.94</v>
      </c>
      <c r="L490" s="53" t="n">
        <f aca="false">IF(AND(ISNUMBER($G490),$G490&gt;=21),STDEV(INDEX($H$430:$H490,62-20):$H490)*SQRT(245),"")</f>
        <v>0.15774976152546</v>
      </c>
      <c r="M490" s="52" t="n">
        <f aca="false">IF(AND(ISNUMBER($G490),$G490&gt;=60),MAX(INDEX($D$290:$D490,202-60):$D490),"")</f>
        <v>110081599</v>
      </c>
      <c r="N490" s="52" t="n">
        <f aca="false">IF(AND(ISNUMBER($G490),$G490&gt;=60),MIN(INDEX($E$290:$E490,202-60):$E490),"")</f>
        <v>100392280</v>
      </c>
      <c r="O490" s="53" t="n">
        <f aca="false">IF(OR(NOT(ISNUMBER($C490)),NOT(ISNUMBER($M490)),$M490=0),"",$C490/$M490-1)</f>
        <v>-0.0616546640097406</v>
      </c>
      <c r="P490" s="54"/>
      <c r="Q490" s="53" t="str">
        <f aca="false">IF(NOT(ISNUMBER($P490)),"",IFERROR(PERCENTRANK($P$5:$P$1204,$P490),""))</f>
        <v/>
      </c>
    </row>
    <row r="491" customFormat="false" ht="15" hidden="false" customHeight="false" outlineLevel="0" collapsed="false">
      <c r="A491" s="47" t="n">
        <v>46250</v>
      </c>
      <c r="B491" s="48" t="s">
        <v>639</v>
      </c>
      <c r="C491" s="49" t="n">
        <v>104327611</v>
      </c>
      <c r="D491" s="49" t="n">
        <v>104451257</v>
      </c>
      <c r="E491" s="49" t="n">
        <v>103841835</v>
      </c>
      <c r="F491" s="49" t="n">
        <v>0</v>
      </c>
      <c r="G491" s="50" t="n">
        <f aca="false">IF($A491="","",IF(ISNUMBER($G490),$G490+1,1))</f>
        <v>487</v>
      </c>
      <c r="H491" s="51" t="n">
        <f aca="false">IF(OR(NOT(ISNUMBER($G491)),$G491&lt;2,NOT(ISNUMBER($C490)),$C490=0),"",$C491/$C490-1)</f>
        <v>0.0100010692722381</v>
      </c>
      <c r="I491" s="52" t="n">
        <f aca="false">IF(AND(ISNUMBER($G491),$G491&gt;=MA_SHORT),AVERAGE(INDEX($C$91:$C491,402-MA_SHORT):$C491),"")</f>
        <v>103416562.8</v>
      </c>
      <c r="J491" s="52" t="n">
        <f aca="false">IF(AND(ISNUMBER($G491),$G491&gt;=MA_MED),AVERAGE(INDEX($C$91:$C491,402-MA_MED):$C491),"")</f>
        <v>105173036.98</v>
      </c>
      <c r="K491" s="52" t="n">
        <f aca="false">IF(AND(ISNUMBER($G491),$G491&gt;=MA_LONG2),AVERAGE(INDEX($C$91:$C491,402-MA_LONG2):$C491),"")</f>
        <v>110246678.555</v>
      </c>
      <c r="L491" s="53" t="n">
        <f aca="false">IF(AND(ISNUMBER($G491),$G491&gt;=21),STDEV(INDEX($H$431:$H491,62-20):$H491)*SQRT(245),"")</f>
        <v>0.150376529814586</v>
      </c>
      <c r="M491" s="52" t="n">
        <f aca="false">IF(AND(ISNUMBER($G491),$G491&gt;=60),MAX(INDEX($D$291:$D491,202-60):$D491),"")</f>
        <v>110081599</v>
      </c>
      <c r="N491" s="52" t="n">
        <f aca="false">IF(AND(ISNUMBER($G491),$G491&gt;=60),MIN(INDEX($E$291:$E491,202-60):$E491),"")</f>
        <v>100392280</v>
      </c>
      <c r="O491" s="53" t="n">
        <f aca="false">IF(OR(NOT(ISNUMBER($C491)),NOT(ISNUMBER($M491)),$M491=0),"",$C491/$M491-1)</f>
        <v>-0.0522702073032206</v>
      </c>
      <c r="P491" s="54"/>
      <c r="Q491" s="53" t="str">
        <f aca="false">IF(NOT(ISNUMBER($P491)),"",IFERROR(PERCENTRANK($P$5:$P$1204,$P491),""))</f>
        <v/>
      </c>
    </row>
    <row r="492" customFormat="false" ht="15" hidden="false" customHeight="false" outlineLevel="0" collapsed="false">
      <c r="A492" s="47" t="n">
        <v>46251</v>
      </c>
      <c r="B492" s="48" t="s">
        <v>640</v>
      </c>
      <c r="C492" s="49" t="n">
        <v>104543182</v>
      </c>
      <c r="D492" s="49" t="n">
        <v>104697305</v>
      </c>
      <c r="E492" s="49" t="n">
        <v>103846110</v>
      </c>
      <c r="F492" s="49" t="n">
        <v>0</v>
      </c>
      <c r="G492" s="50" t="n">
        <f aca="false">IF($A492="","",IF(ISNUMBER($G491),$G491+1,1))</f>
        <v>488</v>
      </c>
      <c r="H492" s="51" t="n">
        <f aca="false">IF(OR(NOT(ISNUMBER($G492)),$G492&lt;2,NOT(ISNUMBER($C491)),$C491=0),"",$C492/$C491-1)</f>
        <v>0.00206628904787243</v>
      </c>
      <c r="I492" s="52" t="n">
        <f aca="false">IF(AND(ISNUMBER($G492),$G492&gt;=MA_SHORT),AVERAGE(INDEX($C$92:$C492,402-MA_SHORT):$C492),"")</f>
        <v>103328511.4</v>
      </c>
      <c r="J492" s="52" t="n">
        <f aca="false">IF(AND(ISNUMBER($G492),$G492&gt;=MA_MED),AVERAGE(INDEX($C$92:$C492,402-MA_MED):$C492),"")</f>
        <v>105131830</v>
      </c>
      <c r="K492" s="52" t="n">
        <f aca="false">IF(AND(ISNUMBER($G492),$G492&gt;=MA_LONG2),AVERAGE(INDEX($C$92:$C492,402-MA_LONG2):$C492),"")</f>
        <v>110194440.315</v>
      </c>
      <c r="L492" s="53" t="n">
        <f aca="false">IF(AND(ISNUMBER($G492),$G492&gt;=21),STDEV(INDEX($H$432:$H492,62-20):$H492)*SQRT(245),"")</f>
        <v>0.147377074413763</v>
      </c>
      <c r="M492" s="52" t="n">
        <f aca="false">IF(AND(ISNUMBER($G492),$G492&gt;=60),MAX(INDEX($D$292:$D492,202-60):$D492),"")</f>
        <v>110081599</v>
      </c>
      <c r="N492" s="52" t="n">
        <f aca="false">IF(AND(ISNUMBER($G492),$G492&gt;=60),MIN(INDEX($E$292:$E492,202-60):$E492),"")</f>
        <v>100392280</v>
      </c>
      <c r="O492" s="53" t="n">
        <f aca="false">IF(OR(NOT(ISNUMBER($C492)),NOT(ISNUMBER($M492)),$M492=0),"",$C492/$M492-1)</f>
        <v>-0.0503119236122288</v>
      </c>
      <c r="P492" s="54"/>
      <c r="Q492" s="53" t="str">
        <f aca="false">IF(NOT(ISNUMBER($P492)),"",IFERROR(PERCENTRANK($P$5:$P$1204,$P492),""))</f>
        <v/>
      </c>
    </row>
    <row r="493" customFormat="false" ht="15" hidden="false" customHeight="false" outlineLevel="0" collapsed="false">
      <c r="A493" s="47" t="n">
        <v>46252</v>
      </c>
      <c r="B493" s="48" t="s">
        <v>641</v>
      </c>
      <c r="C493" s="49" t="n">
        <v>104941636</v>
      </c>
      <c r="D493" s="49" t="n">
        <v>105277813</v>
      </c>
      <c r="E493" s="49" t="n">
        <v>104565207</v>
      </c>
      <c r="F493" s="49" t="n">
        <v>0</v>
      </c>
      <c r="G493" s="50" t="n">
        <f aca="false">IF($A493="","",IF(ISNUMBER($G492),$G492+1,1))</f>
        <v>489</v>
      </c>
      <c r="H493" s="51" t="n">
        <f aca="false">IF(OR(NOT(ISNUMBER($G493)),$G493&lt;2,NOT(ISNUMBER($C492)),$C492=0),"",$C493/$C492-1)</f>
        <v>0.00381138197993636</v>
      </c>
      <c r="I493" s="52" t="n">
        <f aca="false">IF(AND(ISNUMBER($G493),$G493&gt;=MA_SHORT),AVERAGE(INDEX($C$93:$C493,402-MA_SHORT):$C493),"")</f>
        <v>103284499.6</v>
      </c>
      <c r="J493" s="52" t="n">
        <f aca="false">IF(AND(ISNUMBER($G493),$G493&gt;=MA_MED),AVERAGE(INDEX($C$93:$C493,402-MA_MED):$C493),"")</f>
        <v>105071985.24</v>
      </c>
      <c r="K493" s="52" t="n">
        <f aca="false">IF(AND(ISNUMBER($G493),$G493&gt;=MA_LONG2),AVERAGE(INDEX($C$93:$C493,402-MA_LONG2):$C493),"")</f>
        <v>110145320.3</v>
      </c>
      <c r="L493" s="53" t="n">
        <f aca="false">IF(AND(ISNUMBER($G493),$G493&gt;=21),STDEV(INDEX($H$433:$H493,62-20):$H493)*SQRT(245),"")</f>
        <v>0.147538436952415</v>
      </c>
      <c r="M493" s="52" t="n">
        <f aca="false">IF(AND(ISNUMBER($G493),$G493&gt;=60),MAX(INDEX($D$293:$D493,202-60):$D493),"")</f>
        <v>110081599</v>
      </c>
      <c r="N493" s="52" t="n">
        <f aca="false">IF(AND(ISNUMBER($G493),$G493&gt;=60),MIN(INDEX($E$293:$E493,202-60):$E493),"")</f>
        <v>100392280</v>
      </c>
      <c r="O493" s="53" t="n">
        <f aca="false">IF(OR(NOT(ISNUMBER($C493)),NOT(ISNUMBER($M493)),$M493=0),"",$C493/$M493-1)</f>
        <v>-0.046692299591324</v>
      </c>
      <c r="P493" s="54"/>
      <c r="Q493" s="53" t="str">
        <f aca="false">IF(NOT(ISNUMBER($P493)),"",IFERROR(PERCENTRANK($P$5:$P$1204,$P493),""))</f>
        <v/>
      </c>
    </row>
    <row r="494" customFormat="false" ht="15" hidden="false" customHeight="false" outlineLevel="0" collapsed="false">
      <c r="A494" s="47" t="n">
        <v>46253</v>
      </c>
      <c r="B494" s="48" t="s">
        <v>642</v>
      </c>
      <c r="C494" s="49" t="n">
        <v>104799622</v>
      </c>
      <c r="D494" s="49" t="n">
        <v>105063323</v>
      </c>
      <c r="E494" s="49" t="n">
        <v>104582422</v>
      </c>
      <c r="F494" s="49" t="n">
        <v>0</v>
      </c>
      <c r="G494" s="50" t="n">
        <f aca="false">IF($A494="","",IF(ISNUMBER($G493),$G493+1,1))</f>
        <v>490</v>
      </c>
      <c r="H494" s="51" t="n">
        <f aca="false">IF(OR(NOT(ISNUMBER($G494)),$G494&lt;2,NOT(ISNUMBER($C493)),$C493=0),"",$C494/$C493-1)</f>
        <v>-0.0013532664956738</v>
      </c>
      <c r="I494" s="52" t="n">
        <f aca="false">IF(AND(ISNUMBER($G494),$G494&gt;=MA_SHORT),AVERAGE(INDEX($C$94:$C494,402-MA_SHORT):$C494),"")</f>
        <v>103170586</v>
      </c>
      <c r="J494" s="52" t="n">
        <f aca="false">IF(AND(ISNUMBER($G494),$G494&gt;=MA_MED),AVERAGE(INDEX($C$94:$C494,402-MA_MED):$C494),"")</f>
        <v>105014358.98</v>
      </c>
      <c r="K494" s="52" t="n">
        <f aca="false">IF(AND(ISNUMBER($G494),$G494&gt;=MA_LONG2),AVERAGE(INDEX($C$94:$C494,402-MA_LONG2):$C494),"")</f>
        <v>110094602.88</v>
      </c>
      <c r="L494" s="53" t="n">
        <f aca="false">IF(AND(ISNUMBER($G494),$G494&gt;=21),STDEV(INDEX($H$434:$H494,62-20):$H494)*SQRT(245),"")</f>
        <v>0.140477488700494</v>
      </c>
      <c r="M494" s="52" t="n">
        <f aca="false">IF(AND(ISNUMBER($G494),$G494&gt;=60),MAX(INDEX($D$294:$D494,202-60):$D494),"")</f>
        <v>110081599</v>
      </c>
      <c r="N494" s="52" t="n">
        <f aca="false">IF(AND(ISNUMBER($G494),$G494&gt;=60),MIN(INDEX($E$294:$E494,202-60):$E494),"")</f>
        <v>100392280</v>
      </c>
      <c r="O494" s="53" t="n">
        <f aca="false">IF(OR(NOT(ISNUMBER($C494)),NOT(ISNUMBER($M494)),$M494=0),"",$C494/$M494-1)</f>
        <v>-0.047982378962355</v>
      </c>
      <c r="P494" s="54"/>
      <c r="Q494" s="53" t="str">
        <f aca="false">IF(NOT(ISNUMBER($P494)),"",IFERROR(PERCENTRANK($P$5:$P$1204,$P494),""))</f>
        <v/>
      </c>
    </row>
    <row r="495" customFormat="false" ht="15" hidden="false" customHeight="false" outlineLevel="0" collapsed="false">
      <c r="A495" s="47" t="n">
        <v>46256</v>
      </c>
      <c r="B495" s="48" t="s">
        <v>643</v>
      </c>
      <c r="C495" s="49" t="n">
        <v>105676198</v>
      </c>
      <c r="D495" s="49" t="n">
        <v>106135782</v>
      </c>
      <c r="E495" s="49" t="n">
        <v>105385485</v>
      </c>
      <c r="F495" s="49" t="n">
        <v>0</v>
      </c>
      <c r="G495" s="50" t="n">
        <f aca="false">IF($A495="","",IF(ISNUMBER($G494),$G494+1,1))</f>
        <v>491</v>
      </c>
      <c r="H495" s="51" t="n">
        <f aca="false">IF(OR(NOT(ISNUMBER($G495)),$G495&lt;2,NOT(ISNUMBER($C494)),$C494=0),"",$C495/$C494-1)</f>
        <v>0.00836430497812302</v>
      </c>
      <c r="I495" s="52" t="n">
        <f aca="false">IF(AND(ISNUMBER($G495),$G495&gt;=MA_SHORT),AVERAGE(INDEX($C$95:$C495,402-MA_SHORT):$C495),"")</f>
        <v>103140843.1</v>
      </c>
      <c r="J495" s="52" t="n">
        <f aca="false">IF(AND(ISNUMBER($G495),$G495&gt;=MA_MED),AVERAGE(INDEX($C$95:$C495,402-MA_MED):$C495),"")</f>
        <v>105011097.32</v>
      </c>
      <c r="K495" s="52" t="n">
        <f aca="false">IF(AND(ISNUMBER($G495),$G495&gt;=MA_LONG2),AVERAGE(INDEX($C$95:$C495,402-MA_LONG2):$C495),"")</f>
        <v>110045917.12</v>
      </c>
      <c r="L495" s="53" t="n">
        <f aca="false">IF(AND(ISNUMBER($G495),$G495&gt;=21),STDEV(INDEX($H$435:$H495,62-20):$H495)*SQRT(245),"")</f>
        <v>0.142006750034087</v>
      </c>
      <c r="M495" s="52" t="n">
        <f aca="false">IF(AND(ISNUMBER($G495),$G495&gt;=60),MAX(INDEX($D$295:$D495,202-60):$D495),"")</f>
        <v>110081599</v>
      </c>
      <c r="N495" s="52" t="n">
        <f aca="false">IF(AND(ISNUMBER($G495),$G495&gt;=60),MIN(INDEX($E$295:$E495,202-60):$E495),"")</f>
        <v>100392280</v>
      </c>
      <c r="O495" s="53" t="n">
        <f aca="false">IF(OR(NOT(ISNUMBER($C495)),NOT(ISNUMBER($M495)),$M495=0),"",$C495/$M495-1)</f>
        <v>-0.0400194132354491</v>
      </c>
      <c r="P495" s="54"/>
      <c r="Q495" s="53" t="str">
        <f aca="false">IF(NOT(ISNUMBER($P495)),"",IFERROR(PERCENTRANK($P$5:$P$1204,$P495),""))</f>
        <v/>
      </c>
    </row>
    <row r="496" customFormat="false" ht="15" hidden="false" customHeight="false" outlineLevel="0" collapsed="false">
      <c r="A496" s="47" t="n">
        <v>46257</v>
      </c>
      <c r="B496" s="48" t="s">
        <v>644</v>
      </c>
      <c r="C496" s="49" t="n">
        <v>105403211</v>
      </c>
      <c r="D496" s="49" t="n">
        <v>105498934</v>
      </c>
      <c r="E496" s="49" t="n">
        <v>105074585</v>
      </c>
      <c r="F496" s="49" t="n">
        <v>0</v>
      </c>
      <c r="G496" s="50" t="n">
        <f aca="false">IF($A496="","",IF(ISNUMBER($G495),$G495+1,1))</f>
        <v>492</v>
      </c>
      <c r="H496" s="51" t="n">
        <f aca="false">IF(OR(NOT(ISNUMBER($G496)),$G496&lt;2,NOT(ISNUMBER($C495)),$C495=0),"",$C496/$C495-1)</f>
        <v>-0.00258324017296685</v>
      </c>
      <c r="I496" s="52" t="n">
        <f aca="false">IF(AND(ISNUMBER($G496),$G496&gt;=MA_SHORT),AVERAGE(INDEX($C$96:$C496,402-MA_SHORT):$C496),"")</f>
        <v>103136414.5</v>
      </c>
      <c r="J496" s="52" t="n">
        <f aca="false">IF(AND(ISNUMBER($G496),$G496&gt;=MA_MED),AVERAGE(INDEX($C$96:$C496,402-MA_MED):$C496),"")</f>
        <v>105036296.42</v>
      </c>
      <c r="K496" s="52" t="n">
        <f aca="false">IF(AND(ISNUMBER($G496),$G496&gt;=MA_LONG2),AVERAGE(INDEX($C$96:$C496,402-MA_LONG2):$C496),"")</f>
        <v>109992321.975</v>
      </c>
      <c r="L496" s="53" t="n">
        <f aca="false">IF(AND(ISNUMBER($G496),$G496&gt;=21),STDEV(INDEX($H$436:$H496,62-20):$H496)*SQRT(245),"")</f>
        <v>0.13990578926332</v>
      </c>
      <c r="M496" s="52" t="n">
        <f aca="false">IF(AND(ISNUMBER($G496),$G496&gt;=60),MAX(INDEX($D$296:$D496,202-60):$D496),"")</f>
        <v>110081599</v>
      </c>
      <c r="N496" s="52" t="n">
        <f aca="false">IF(AND(ISNUMBER($G496),$G496&gt;=60),MIN(INDEX($E$296:$E496,202-60):$E496),"")</f>
        <v>100392280</v>
      </c>
      <c r="O496" s="53" t="n">
        <f aca="false">IF(OR(NOT(ISNUMBER($C496)),NOT(ISNUMBER($M496)),$M496=0),"",$C496/$M496-1)</f>
        <v>-0.0424992736524475</v>
      </c>
      <c r="P496" s="54"/>
      <c r="Q496" s="53" t="str">
        <f aca="false">IF(NOT(ISNUMBER($P496)),"",IFERROR(PERCENTRANK($P$5:$P$1204,$P496),""))</f>
        <v/>
      </c>
    </row>
    <row r="497" customFormat="false" ht="15" hidden="false" customHeight="false" outlineLevel="0" collapsed="false">
      <c r="A497" s="47" t="n">
        <v>46258</v>
      </c>
      <c r="B497" s="48" t="s">
        <v>645</v>
      </c>
      <c r="C497" s="49" t="n">
        <v>104549277</v>
      </c>
      <c r="D497" s="49" t="n">
        <v>105333414</v>
      </c>
      <c r="E497" s="49" t="n">
        <v>103639791</v>
      </c>
      <c r="F497" s="49" t="n">
        <v>0</v>
      </c>
      <c r="G497" s="50" t="n">
        <f aca="false">IF($A497="","",IF(ISNUMBER($G496),$G496+1,1))</f>
        <v>493</v>
      </c>
      <c r="H497" s="51" t="n">
        <f aca="false">IF(OR(NOT(ISNUMBER($G497)),$G497&lt;2,NOT(ISNUMBER($C496)),$C496=0),"",$C497/$C496-1)</f>
        <v>-0.00810159379300124</v>
      </c>
      <c r="I497" s="52" t="n">
        <f aca="false">IF(AND(ISNUMBER($G497),$G497&gt;=MA_SHORT),AVERAGE(INDEX($C$97:$C497,402-MA_SHORT):$C497),"")</f>
        <v>103144235.05</v>
      </c>
      <c r="J497" s="52" t="n">
        <f aca="false">IF(AND(ISNUMBER($G497),$G497&gt;=MA_MED),AVERAGE(INDEX($C$97:$C497,402-MA_MED):$C497),"")</f>
        <v>105022946.64</v>
      </c>
      <c r="K497" s="52" t="n">
        <f aca="false">IF(AND(ISNUMBER($G497),$G497&gt;=MA_LONG2),AVERAGE(INDEX($C$97:$C497,402-MA_LONG2):$C497),"")</f>
        <v>109938838.34</v>
      </c>
      <c r="L497" s="53" t="n">
        <f aca="false">IF(AND(ISNUMBER($G497),$G497&gt;=21),STDEV(INDEX($H$437:$H497,62-20):$H497)*SQRT(245),"")</f>
        <v>0.137903897012192</v>
      </c>
      <c r="M497" s="52" t="n">
        <f aca="false">IF(AND(ISNUMBER($G497),$G497&gt;=60),MAX(INDEX($D$297:$D497,202-60):$D497),"")</f>
        <v>110081599</v>
      </c>
      <c r="N497" s="52" t="n">
        <f aca="false">IF(AND(ISNUMBER($G497),$G497&gt;=60),MIN(INDEX($E$297:$E497,202-60):$E497),"")</f>
        <v>100392280</v>
      </c>
      <c r="O497" s="53" t="n">
        <f aca="false">IF(OR(NOT(ISNUMBER($C497)),NOT(ISNUMBER($M497)),$M497=0),"",$C497/$M497-1)</f>
        <v>-0.0502565555938191</v>
      </c>
      <c r="P497" s="54"/>
      <c r="Q497" s="53" t="str">
        <f aca="false">IF(NOT(ISNUMBER($P497)),"",IFERROR(PERCENTRANK($P$5:$P$1204,$P497),""))</f>
        <v/>
      </c>
    </row>
    <row r="498" customFormat="false" ht="15" hidden="false" customHeight="false" outlineLevel="0" collapsed="false">
      <c r="A498" s="47" t="n">
        <v>46259</v>
      </c>
      <c r="B498" s="48" t="s">
        <v>646</v>
      </c>
      <c r="C498" s="49" t="n">
        <v>104506434</v>
      </c>
      <c r="D498" s="49" t="n">
        <v>104892471</v>
      </c>
      <c r="E498" s="49" t="n">
        <v>104181443</v>
      </c>
      <c r="F498" s="49" t="n">
        <v>0</v>
      </c>
      <c r="G498" s="50" t="n">
        <f aca="false">IF($A498="","",IF(ISNUMBER($G497),$G497+1,1))</f>
        <v>494</v>
      </c>
      <c r="H498" s="51" t="n">
        <f aca="false">IF(OR(NOT(ISNUMBER($G498)),$G498&lt;2,NOT(ISNUMBER($C497)),$C497=0),"",$C498/$C497-1)</f>
        <v>-0.000409787625791025</v>
      </c>
      <c r="I498" s="52" t="n">
        <f aca="false">IF(AND(ISNUMBER($G498),$G498&gt;=MA_SHORT),AVERAGE(INDEX($C$98:$C498,402-MA_SHORT):$C498),"")</f>
        <v>103194595.45</v>
      </c>
      <c r="J498" s="52" t="n">
        <f aca="false">IF(AND(ISNUMBER($G498),$G498&gt;=MA_MED),AVERAGE(INDEX($C$98:$C498,402-MA_MED):$C498),"")</f>
        <v>105031081.58</v>
      </c>
      <c r="K498" s="52" t="n">
        <f aca="false">IF(AND(ISNUMBER($G498),$G498&gt;=MA_LONG2),AVERAGE(INDEX($C$98:$C498,402-MA_LONG2):$C498),"")</f>
        <v>109885671.43</v>
      </c>
      <c r="L498" s="53" t="n">
        <f aca="false">IF(AND(ISNUMBER($G498),$G498&gt;=21),STDEV(INDEX($H$438:$H498,62-20):$H498)*SQRT(245),"")</f>
        <v>0.134195353635729</v>
      </c>
      <c r="M498" s="52" t="n">
        <f aca="false">IF(AND(ISNUMBER($G498),$G498&gt;=60),MAX(INDEX($D$298:$D498,202-60):$D498),"")</f>
        <v>110081599</v>
      </c>
      <c r="N498" s="52" t="n">
        <f aca="false">IF(AND(ISNUMBER($G498),$G498&gt;=60),MIN(INDEX($E$298:$E498,202-60):$E498),"")</f>
        <v>100392280</v>
      </c>
      <c r="O498" s="53" t="n">
        <f aca="false">IF(OR(NOT(ISNUMBER($C498)),NOT(ISNUMBER($M498)),$M498=0),"",$C498/$M498-1)</f>
        <v>-0.0506457487050129</v>
      </c>
      <c r="P498" s="54"/>
      <c r="Q498" s="53" t="str">
        <f aca="false">IF(NOT(ISNUMBER($P498)),"",IFERROR(PERCENTRANK($P$5:$P$1204,$P498),""))</f>
        <v/>
      </c>
    </row>
    <row r="499" customFormat="false" ht="15" hidden="false" customHeight="false" outlineLevel="0" collapsed="false">
      <c r="A499" s="47" t="n">
        <v>46260</v>
      </c>
      <c r="B499" s="48" t="s">
        <v>647</v>
      </c>
      <c r="C499" s="49" t="n">
        <v>104937078</v>
      </c>
      <c r="D499" s="49" t="n">
        <v>105320154</v>
      </c>
      <c r="E499" s="49" t="n">
        <v>104835416</v>
      </c>
      <c r="F499" s="49" t="n">
        <v>0</v>
      </c>
      <c r="G499" s="50" t="n">
        <f aca="false">IF($A499="","",IF(ISNUMBER($G498),$G498+1,1))</f>
        <v>495</v>
      </c>
      <c r="H499" s="51" t="n">
        <f aca="false">IF(OR(NOT(ISNUMBER($G499)),$G499&lt;2,NOT(ISNUMBER($C498)),$C498=0),"",$C499/$C498-1)</f>
        <v>0.0041207415038198</v>
      </c>
      <c r="I499" s="52" t="n">
        <f aca="false">IF(AND(ISNUMBER($G499),$G499&gt;=MA_SHORT),AVERAGE(INDEX($C$99:$C499,402-MA_SHORT):$C499),"")</f>
        <v>103219914.85</v>
      </c>
      <c r="J499" s="52" t="n">
        <f aca="false">IF(AND(ISNUMBER($G499),$G499&gt;=MA_MED),AVERAGE(INDEX($C$99:$C499,402-MA_MED):$C499),"")</f>
        <v>105046018.32</v>
      </c>
      <c r="K499" s="52" t="n">
        <f aca="false">IF(AND(ISNUMBER($G499),$G499&gt;=MA_LONG2),AVERAGE(INDEX($C$99:$C499,402-MA_LONG2):$C499),"")</f>
        <v>109842623.94</v>
      </c>
      <c r="L499" s="53" t="n">
        <f aca="false">IF(AND(ISNUMBER($G499),$G499&gt;=21),STDEV(INDEX($H$439:$H499,62-20):$H499)*SQRT(245),"")</f>
        <v>0.131274306071968</v>
      </c>
      <c r="M499" s="52" t="n">
        <f aca="false">IF(AND(ISNUMBER($G499),$G499&gt;=60),MAX(INDEX($D$299:$D499,202-60):$D499),"")</f>
        <v>110081599</v>
      </c>
      <c r="N499" s="52" t="n">
        <f aca="false">IF(AND(ISNUMBER($G499),$G499&gt;=60),MIN(INDEX($E$299:$E499,202-60):$E499),"")</f>
        <v>100392280</v>
      </c>
      <c r="O499" s="53" t="n">
        <f aca="false">IF(OR(NOT(ISNUMBER($C499)),NOT(ISNUMBER($M499)),$M499=0),"",$C499/$M499-1)</f>
        <v>-0.046733705239874</v>
      </c>
      <c r="P499" s="54"/>
      <c r="Q499" s="53" t="str">
        <f aca="false">IF(NOT(ISNUMBER($P499)),"",IFERROR(PERCENTRANK($P$5:$P$1204,$P499),""))</f>
        <v/>
      </c>
    </row>
    <row r="500" customFormat="false" ht="15" hidden="false" customHeight="false" outlineLevel="0" collapsed="false">
      <c r="A500" s="47" t="n">
        <v>46263</v>
      </c>
      <c r="B500" s="48" t="s">
        <v>648</v>
      </c>
      <c r="C500" s="49" t="n">
        <v>105990679</v>
      </c>
      <c r="D500" s="49" t="n">
        <v>106130301</v>
      </c>
      <c r="E500" s="49" t="n">
        <v>105857164</v>
      </c>
      <c r="F500" s="49" t="n">
        <v>0</v>
      </c>
      <c r="G500" s="50" t="n">
        <f aca="false">IF($A500="","",IF(ISNUMBER($G499),$G499+1,1))</f>
        <v>496</v>
      </c>
      <c r="H500" s="51" t="n">
        <f aca="false">IF(OR(NOT(ISNUMBER($G500)),$G500&lt;2,NOT(ISNUMBER($C499)),$C499=0),"",$C500/$C499-1)</f>
        <v>0.0100403119667578</v>
      </c>
      <c r="I500" s="52" t="n">
        <f aca="false">IF(AND(ISNUMBER($G500),$G500&gt;=MA_SHORT),AVERAGE(INDEX($C$100:$C500,402-MA_SHORT):$C500),"")</f>
        <v>103339118.35</v>
      </c>
      <c r="J500" s="52" t="n">
        <f aca="false">IF(AND(ISNUMBER($G500),$G500&gt;=MA_MED),AVERAGE(INDEX($C$100:$C500,402-MA_MED):$C500),"")</f>
        <v>105064360.58</v>
      </c>
      <c r="K500" s="52" t="n">
        <f aca="false">IF(AND(ISNUMBER($G500),$G500&gt;=MA_LONG2),AVERAGE(INDEX($C$100:$C500,402-MA_LONG2):$C500),"")</f>
        <v>109794119.44</v>
      </c>
      <c r="L500" s="53" t="n">
        <f aca="false">IF(AND(ISNUMBER($G500),$G500&gt;=21),STDEV(INDEX($H$440:$H500,62-20):$H500)*SQRT(245),"")</f>
        <v>0.131890890451714</v>
      </c>
      <c r="M500" s="52" t="n">
        <f aca="false">IF(AND(ISNUMBER($G500),$G500&gt;=60),MAX(INDEX($D$300:$D500,202-60):$D500),"")</f>
        <v>110081599</v>
      </c>
      <c r="N500" s="52" t="n">
        <f aca="false">IF(AND(ISNUMBER($G500),$G500&gt;=60),MIN(INDEX($E$300:$E500,202-60):$E500),"")</f>
        <v>100392280</v>
      </c>
      <c r="O500" s="53" t="n">
        <f aca="false">IF(OR(NOT(ISNUMBER($C500)),NOT(ISNUMBER($M500)),$M500=0),"",$C500/$M500-1)</f>
        <v>-0.037162614253087</v>
      </c>
      <c r="P500" s="54"/>
      <c r="Q500" s="53" t="str">
        <f aca="false">IF(NOT(ISNUMBER($P500)),"",IFERROR(PERCENTRANK($P$5:$P$1204,$P500),""))</f>
        <v/>
      </c>
    </row>
    <row r="501" customFormat="false" ht="15" hidden="false" customHeight="false" outlineLevel="0" collapsed="false">
      <c r="A501" s="47" t="n">
        <v>46264</v>
      </c>
      <c r="B501" s="48" t="s">
        <v>649</v>
      </c>
      <c r="C501" s="49" t="n">
        <v>104116215</v>
      </c>
      <c r="D501" s="49" t="n">
        <v>104305504</v>
      </c>
      <c r="E501" s="49" t="n">
        <v>103215144</v>
      </c>
      <c r="F501" s="49" t="n">
        <v>0</v>
      </c>
      <c r="G501" s="50" t="n">
        <f aca="false">IF($A501="","",IF(ISNUMBER($G500),$G500+1,1))</f>
        <v>497</v>
      </c>
      <c r="H501" s="51" t="n">
        <f aca="false">IF(OR(NOT(ISNUMBER($G501)),$G501&lt;2,NOT(ISNUMBER($C500)),$C500=0),"",$C501/$C500-1)</f>
        <v>-0.017685177769264</v>
      </c>
      <c r="I501" s="52" t="n">
        <f aca="false">IF(AND(ISNUMBER($G501),$G501&gt;=MA_SHORT),AVERAGE(INDEX($C$101:$C501,402-MA_SHORT):$C501),"")</f>
        <v>103401307.55</v>
      </c>
      <c r="J501" s="52" t="n">
        <f aca="false">IF(AND(ISNUMBER($G501),$G501&gt;=MA_MED),AVERAGE(INDEX($C$101:$C501,402-MA_MED):$C501),"")</f>
        <v>105075908.14</v>
      </c>
      <c r="K501" s="52" t="n">
        <f aca="false">IF(AND(ISNUMBER($G501),$G501&gt;=MA_LONG2),AVERAGE(INDEX($C$101:$C501,402-MA_LONG2):$C501),"")</f>
        <v>109751361.82</v>
      </c>
      <c r="L501" s="53" t="n">
        <f aca="false">IF(AND(ISNUMBER($G501),$G501&gt;=21),STDEV(INDEX($H$441:$H501,62-20):$H501)*SQRT(245),"")</f>
        <v>0.145012605167883</v>
      </c>
      <c r="M501" s="52" t="n">
        <f aca="false">IF(AND(ISNUMBER($G501),$G501&gt;=60),MAX(INDEX($D$301:$D501,202-60):$D501),"")</f>
        <v>110081599</v>
      </c>
      <c r="N501" s="52" t="n">
        <f aca="false">IF(AND(ISNUMBER($G501),$G501&gt;=60),MIN(INDEX($E$301:$E501,202-60):$E501),"")</f>
        <v>100392280</v>
      </c>
      <c r="O501" s="53" t="n">
        <f aca="false">IF(OR(NOT(ISNUMBER($C501)),NOT(ISNUMBER($M501)),$M501=0),"",$C501/$M501-1)</f>
        <v>-0.0541905645829145</v>
      </c>
      <c r="P501" s="54"/>
      <c r="Q501" s="53" t="str">
        <f aca="false">IF(NOT(ISNUMBER($P501)),"",IFERROR(PERCENTRANK($P$5:$P$1204,$P501),""))</f>
        <v/>
      </c>
    </row>
    <row r="502" customFormat="false" ht="15" hidden="false" customHeight="false" outlineLevel="0" collapsed="false">
      <c r="A502" s="47" t="n">
        <v>46265</v>
      </c>
      <c r="B502" s="48" t="s">
        <v>650</v>
      </c>
      <c r="C502" s="49" t="n">
        <v>106218754</v>
      </c>
      <c r="D502" s="49" t="n">
        <v>106446454</v>
      </c>
      <c r="E502" s="49" t="n">
        <v>106209061</v>
      </c>
      <c r="F502" s="49" t="n">
        <v>0</v>
      </c>
      <c r="G502" s="50" t="n">
        <f aca="false">IF($A502="","",IF(ISNUMBER($G501),$G501+1,1))</f>
        <v>498</v>
      </c>
      <c r="H502" s="51" t="n">
        <f aca="false">IF(OR(NOT(ISNUMBER($G502)),$G502&lt;2,NOT(ISNUMBER($C501)),$C501=0),"",$C502/$C501-1)</f>
        <v>0.0201941551563318</v>
      </c>
      <c r="I502" s="52" t="n">
        <f aca="false">IF(AND(ISNUMBER($G502),$G502&gt;=MA_SHORT),AVERAGE(INDEX($C$102:$C502,402-MA_SHORT):$C502),"")</f>
        <v>103558325.3</v>
      </c>
      <c r="J502" s="52" t="n">
        <f aca="false">IF(AND(ISNUMBER($G502),$G502&gt;=MA_MED),AVERAGE(INDEX($C$102:$C502,402-MA_MED):$C502),"")</f>
        <v>105130020</v>
      </c>
      <c r="K502" s="52" t="n">
        <f aca="false">IF(AND(ISNUMBER($G502),$G502&gt;=MA_LONG2),AVERAGE(INDEX($C$102:$C502,402-MA_LONG2):$C502),"")</f>
        <v>109734578.63</v>
      </c>
      <c r="L502" s="53" t="n">
        <f aca="false">IF(AND(ISNUMBER($G502),$G502&gt;=21),STDEV(INDEX($H$442:$H502,62-20):$H502)*SQRT(245),"")</f>
        <v>0.160377371367453</v>
      </c>
      <c r="M502" s="52" t="n">
        <f aca="false">IF(AND(ISNUMBER($G502),$G502&gt;=60),MAX(INDEX($D$302:$D502,202-60):$D502),"")</f>
        <v>110081599</v>
      </c>
      <c r="N502" s="52" t="n">
        <f aca="false">IF(AND(ISNUMBER($G502),$G502&gt;=60),MIN(INDEX($E$302:$E502,202-60):$E502),"")</f>
        <v>100392280</v>
      </c>
      <c r="O502" s="53" t="n">
        <f aca="false">IF(OR(NOT(ISNUMBER($C502)),NOT(ISNUMBER($M502)),$M502=0),"",$C502/$M502-1)</f>
        <v>-0.0350907420957793</v>
      </c>
      <c r="P502" s="54"/>
      <c r="Q502" s="53" t="str">
        <f aca="false">IF(NOT(ISNUMBER($P502)),"",IFERROR(PERCENTRANK($P$5:$P$1204,$P502),""))</f>
        <v/>
      </c>
    </row>
    <row r="503" customFormat="false" ht="15" hidden="false" customHeight="false" outlineLevel="0" collapsed="false">
      <c r="A503" s="47" t="n">
        <v>46266</v>
      </c>
      <c r="B503" s="48" t="s">
        <v>651</v>
      </c>
      <c r="C503" s="49" t="n">
        <v>107386629</v>
      </c>
      <c r="D503" s="49" t="n">
        <v>107417430</v>
      </c>
      <c r="E503" s="49" t="n">
        <v>107158870</v>
      </c>
      <c r="F503" s="49" t="n">
        <v>0</v>
      </c>
      <c r="G503" s="50" t="n">
        <f aca="false">IF($A503="","",IF(ISNUMBER($G502),$G502+1,1))</f>
        <v>499</v>
      </c>
      <c r="H503" s="51" t="n">
        <f aca="false">IF(OR(NOT(ISNUMBER($G503)),$G503&lt;2,NOT(ISNUMBER($C502)),$C502=0),"",$C503/$C502-1)</f>
        <v>0.010994998114928</v>
      </c>
      <c r="I503" s="52" t="n">
        <f aca="false">IF(AND(ISNUMBER($G503),$G503&gt;=MA_SHORT),AVERAGE(INDEX($C$103:$C503,402-MA_SHORT):$C503),"")</f>
        <v>103892258.95</v>
      </c>
      <c r="J503" s="52" t="n">
        <f aca="false">IF(AND(ISNUMBER($G503),$G503&gt;=MA_MED),AVERAGE(INDEX($C$103:$C503,402-MA_MED):$C503),"")</f>
        <v>105217393.26</v>
      </c>
      <c r="K503" s="52" t="n">
        <f aca="false">IF(AND(ISNUMBER($G503),$G503&gt;=MA_LONG2),AVERAGE(INDEX($C$103:$C503,402-MA_LONG2):$C503),"")</f>
        <v>109727425.245</v>
      </c>
      <c r="L503" s="53" t="n">
        <f aca="false">IF(AND(ISNUMBER($G503),$G503&gt;=21),STDEV(INDEX($H$443:$H503,62-20):$H503)*SQRT(245),"")</f>
        <v>0.135481994150388</v>
      </c>
      <c r="M503" s="52" t="n">
        <f aca="false">IF(AND(ISNUMBER($G503),$G503&gt;=60),MAX(INDEX($D$303:$D503,202-60):$D503),"")</f>
        <v>110081599</v>
      </c>
      <c r="N503" s="52" t="n">
        <f aca="false">IF(AND(ISNUMBER($G503),$G503&gt;=60),MIN(INDEX($E$303:$E503,202-60):$E503),"")</f>
        <v>100392280</v>
      </c>
      <c r="O503" s="53" t="n">
        <f aca="false">IF(OR(NOT(ISNUMBER($C503)),NOT(ISNUMBER($M503)),$M503=0),"",$C503/$M503-1)</f>
        <v>-0.0244815666240459</v>
      </c>
      <c r="P503" s="54"/>
      <c r="Q503" s="53" t="str">
        <f aca="false">IF(NOT(ISNUMBER($P503)),"",IFERROR(PERCENTRANK($P$5:$P$1204,$P503),""))</f>
        <v/>
      </c>
    </row>
    <row r="504" customFormat="false" ht="15" hidden="false" customHeight="false" outlineLevel="0" collapsed="false">
      <c r="A504" s="47" t="n">
        <v>46267</v>
      </c>
      <c r="B504" s="48" t="s">
        <v>652</v>
      </c>
      <c r="C504" s="49" t="n">
        <v>107465892</v>
      </c>
      <c r="D504" s="49" t="n">
        <v>107622593</v>
      </c>
      <c r="E504" s="49" t="n">
        <v>107047808</v>
      </c>
      <c r="F504" s="49" t="n">
        <v>0</v>
      </c>
      <c r="G504" s="50" t="n">
        <f aca="false">IF($A504="","",IF(ISNUMBER($G503),$G503+1,1))</f>
        <v>500</v>
      </c>
      <c r="H504" s="51" t="n">
        <f aca="false">IF(OR(NOT(ISNUMBER($G504)),$G504&lt;2,NOT(ISNUMBER($C503)),$C503=0),"",$C504/$C503-1)</f>
        <v>0.000738108652241998</v>
      </c>
      <c r="I504" s="52" t="n">
        <f aca="false">IF(AND(ISNUMBER($G504),$G504&gt;=MA_SHORT),AVERAGE(INDEX($C$104:$C504,402-MA_SHORT):$C504),"")</f>
        <v>104204454.8</v>
      </c>
      <c r="J504" s="52" t="n">
        <f aca="false">IF(AND(ISNUMBER($G504),$G504&gt;=MA_MED),AVERAGE(INDEX($C$104:$C504,402-MA_MED):$C504),"")</f>
        <v>105232743.84</v>
      </c>
      <c r="K504" s="52" t="n">
        <f aca="false">IF(AND(ISNUMBER($G504),$G504&gt;=MA_LONG2),AVERAGE(INDEX($C$104:$C504,402-MA_LONG2):$C504),"")</f>
        <v>109713047.575</v>
      </c>
      <c r="L504" s="53" t="n">
        <f aca="false">IF(AND(ISNUMBER($G504),$G504&gt;=21),STDEV(INDEX($H$444:$H504,62-20):$H504)*SQRT(245),"")</f>
        <v>0.135573783102082</v>
      </c>
      <c r="M504" s="52" t="n">
        <f aca="false">IF(AND(ISNUMBER($G504),$G504&gt;=60),MAX(INDEX($D$304:$D504,202-60):$D504),"")</f>
        <v>110081599</v>
      </c>
      <c r="N504" s="52" t="n">
        <f aca="false">IF(AND(ISNUMBER($G504),$G504&gt;=60),MIN(INDEX($E$304:$E504,202-60):$E504),"")</f>
        <v>100392280</v>
      </c>
      <c r="O504" s="53" t="n">
        <f aca="false">IF(OR(NOT(ISNUMBER($C504)),NOT(ISNUMBER($M504)),$M504=0),"",$C504/$M504-1)</f>
        <v>-0.0237615280279495</v>
      </c>
      <c r="P504" s="54"/>
      <c r="Q504" s="53" t="str">
        <f aca="false">IF(NOT(ISNUMBER($P504)),"",IFERROR(PERCENTRANK($P$5:$P$1204,$P504),""))</f>
        <v/>
      </c>
    </row>
    <row r="505" customFormat="false" ht="15" hidden="false" customHeight="false" outlineLevel="0" collapsed="false">
      <c r="A505" s="55"/>
      <c r="B505" s="56"/>
      <c r="C505" s="57"/>
      <c r="D505" s="56"/>
      <c r="E505" s="56"/>
      <c r="F505" s="56"/>
      <c r="G505" s="50" t="str">
        <f aca="false">IF($A505="","",IF(ISNUMBER($G504),$G504+1,1))</f>
        <v/>
      </c>
      <c r="H505" s="51" t="str">
        <f aca="false">IF(OR(NOT(ISNUMBER($G505)),$G505&lt;2,NOT(ISNUMBER($C504)),$C504=0),"",$C505/$C504-1)</f>
        <v/>
      </c>
      <c r="I505" s="52" t="str">
        <f aca="false">IF(AND(ISNUMBER($G505),$G505&gt;=MA_SHORT),AVERAGE(INDEX($C$105:$C505,402-MA_SHORT):$C505),"")</f>
        <v/>
      </c>
      <c r="J505" s="52" t="str">
        <f aca="false">IF(AND(ISNUMBER($G505),$G505&gt;=MA_MED),AVERAGE(INDEX($C$105:$C505,402-MA_MED):$C505),"")</f>
        <v/>
      </c>
      <c r="K505" s="52" t="str">
        <f aca="false">IF(AND(ISNUMBER($G505),$G505&gt;=MA_LONG2),AVERAGE(INDEX($C$105:$C505,402-MA_LONG2):$C505),"")</f>
        <v/>
      </c>
      <c r="L505" s="53" t="str">
        <f aca="false">IF(AND(ISNUMBER($G505),$G505&gt;=21),STDEV(INDEX($H$445:$H505,62-20):$H505)*SQRT(245),"")</f>
        <v/>
      </c>
      <c r="M505" s="52" t="str">
        <f aca="false">IF(AND(ISNUMBER($G505),$G505&gt;=60),MAX(INDEX($D$305:$D505,202-60):$D505),"")</f>
        <v/>
      </c>
      <c r="N505" s="52" t="str">
        <f aca="false">IF(AND(ISNUMBER($G505),$G505&gt;=60),MIN(INDEX($E$305:$E505,202-60):$E505),"")</f>
        <v/>
      </c>
      <c r="O505" s="53" t="str">
        <f aca="false">IF(OR(NOT(ISNUMBER($C505)),NOT(ISNUMBER($M505)),$M505=0),"",$C505/$M505-1)</f>
        <v/>
      </c>
      <c r="P505" s="54"/>
      <c r="Q505" s="53" t="str">
        <f aca="false">IF(NOT(ISNUMBER($P505)),"",IFERROR(PERCENTRANK($P$5:$P$1204,$P505),""))</f>
        <v/>
      </c>
    </row>
    <row r="506" customFormat="false" ht="15" hidden="false" customHeight="false" outlineLevel="0" collapsed="false">
      <c r="A506" s="55"/>
      <c r="B506" s="56"/>
      <c r="C506" s="57"/>
      <c r="D506" s="56"/>
      <c r="E506" s="56"/>
      <c r="F506" s="56"/>
      <c r="G506" s="50" t="str">
        <f aca="false">IF($A506="","",IF(ISNUMBER($G505),$G505+1,1))</f>
        <v/>
      </c>
      <c r="H506" s="51" t="str">
        <f aca="false">IF(OR(NOT(ISNUMBER($G506)),$G506&lt;2,NOT(ISNUMBER($C505)),$C505=0),"",$C506/$C505-1)</f>
        <v/>
      </c>
      <c r="I506" s="52" t="str">
        <f aca="false">IF(AND(ISNUMBER($G506),$G506&gt;=MA_SHORT),AVERAGE(INDEX($C$106:$C506,402-MA_SHORT):$C506),"")</f>
        <v/>
      </c>
      <c r="J506" s="52" t="str">
        <f aca="false">IF(AND(ISNUMBER($G506),$G506&gt;=MA_MED),AVERAGE(INDEX($C$106:$C506,402-MA_MED):$C506),"")</f>
        <v/>
      </c>
      <c r="K506" s="52" t="str">
        <f aca="false">IF(AND(ISNUMBER($G506),$G506&gt;=MA_LONG2),AVERAGE(INDEX($C$106:$C506,402-MA_LONG2):$C506),"")</f>
        <v/>
      </c>
      <c r="L506" s="53" t="str">
        <f aca="false">IF(AND(ISNUMBER($G506),$G506&gt;=21),STDEV(INDEX($H$446:$H506,62-20):$H506)*SQRT(245),"")</f>
        <v/>
      </c>
      <c r="M506" s="52" t="str">
        <f aca="false">IF(AND(ISNUMBER($G506),$G506&gt;=60),MAX(INDEX($D$306:$D506,202-60):$D506),"")</f>
        <v/>
      </c>
      <c r="N506" s="52" t="str">
        <f aca="false">IF(AND(ISNUMBER($G506),$G506&gt;=60),MIN(INDEX($E$306:$E506,202-60):$E506),"")</f>
        <v/>
      </c>
      <c r="O506" s="53" t="str">
        <f aca="false">IF(OR(NOT(ISNUMBER($C506)),NOT(ISNUMBER($M506)),$M506=0),"",$C506/$M506-1)</f>
        <v/>
      </c>
      <c r="P506" s="54"/>
      <c r="Q506" s="53" t="str">
        <f aca="false">IF(NOT(ISNUMBER($P506)),"",IFERROR(PERCENTRANK($P$5:$P$1204,$P506),""))</f>
        <v/>
      </c>
    </row>
    <row r="507" customFormat="false" ht="15" hidden="false" customHeight="false" outlineLevel="0" collapsed="false">
      <c r="A507" s="55"/>
      <c r="B507" s="56"/>
      <c r="C507" s="57"/>
      <c r="D507" s="56"/>
      <c r="E507" s="56"/>
      <c r="F507" s="56"/>
      <c r="G507" s="50" t="str">
        <f aca="false">IF($A507="","",IF(ISNUMBER($G506),$G506+1,1))</f>
        <v/>
      </c>
      <c r="H507" s="51" t="str">
        <f aca="false">IF(OR(NOT(ISNUMBER($G507)),$G507&lt;2,NOT(ISNUMBER($C506)),$C506=0),"",$C507/$C506-1)</f>
        <v/>
      </c>
      <c r="I507" s="52" t="str">
        <f aca="false">IF(AND(ISNUMBER($G507),$G507&gt;=MA_SHORT),AVERAGE(INDEX($C$107:$C507,402-MA_SHORT):$C507),"")</f>
        <v/>
      </c>
      <c r="J507" s="52" t="str">
        <f aca="false">IF(AND(ISNUMBER($G507),$G507&gt;=MA_MED),AVERAGE(INDEX($C$107:$C507,402-MA_MED):$C507),"")</f>
        <v/>
      </c>
      <c r="K507" s="52" t="str">
        <f aca="false">IF(AND(ISNUMBER($G507),$G507&gt;=MA_LONG2),AVERAGE(INDEX($C$107:$C507,402-MA_LONG2):$C507),"")</f>
        <v/>
      </c>
      <c r="L507" s="53" t="str">
        <f aca="false">IF(AND(ISNUMBER($G507),$G507&gt;=21),STDEV(INDEX($H$447:$H507,62-20):$H507)*SQRT(245),"")</f>
        <v/>
      </c>
      <c r="M507" s="52" t="str">
        <f aca="false">IF(AND(ISNUMBER($G507),$G507&gt;=60),MAX(INDEX($D$307:$D507,202-60):$D507),"")</f>
        <v/>
      </c>
      <c r="N507" s="52" t="str">
        <f aca="false">IF(AND(ISNUMBER($G507),$G507&gt;=60),MIN(INDEX($E$307:$E507,202-60):$E507),"")</f>
        <v/>
      </c>
      <c r="O507" s="53" t="str">
        <f aca="false">IF(OR(NOT(ISNUMBER($C507)),NOT(ISNUMBER($M507)),$M507=0),"",$C507/$M507-1)</f>
        <v/>
      </c>
      <c r="P507" s="54"/>
      <c r="Q507" s="53" t="str">
        <f aca="false">IF(NOT(ISNUMBER($P507)),"",IFERROR(PERCENTRANK($P$5:$P$1204,$P507),""))</f>
        <v/>
      </c>
    </row>
    <row r="508" customFormat="false" ht="15" hidden="false" customHeight="false" outlineLevel="0" collapsed="false">
      <c r="A508" s="55"/>
      <c r="B508" s="56"/>
      <c r="C508" s="57"/>
      <c r="D508" s="56"/>
      <c r="E508" s="56"/>
      <c r="F508" s="56"/>
      <c r="G508" s="50" t="str">
        <f aca="false">IF($A508="","",IF(ISNUMBER($G507),$G507+1,1))</f>
        <v/>
      </c>
      <c r="H508" s="51" t="str">
        <f aca="false">IF(OR(NOT(ISNUMBER($G508)),$G508&lt;2,NOT(ISNUMBER($C507)),$C507=0),"",$C508/$C507-1)</f>
        <v/>
      </c>
      <c r="I508" s="52" t="str">
        <f aca="false">IF(AND(ISNUMBER($G508),$G508&gt;=MA_SHORT),AVERAGE(INDEX($C$108:$C508,402-MA_SHORT):$C508),"")</f>
        <v/>
      </c>
      <c r="J508" s="52" t="str">
        <f aca="false">IF(AND(ISNUMBER($G508),$G508&gt;=MA_MED),AVERAGE(INDEX($C$108:$C508,402-MA_MED):$C508),"")</f>
        <v/>
      </c>
      <c r="K508" s="52" t="str">
        <f aca="false">IF(AND(ISNUMBER($G508),$G508&gt;=MA_LONG2),AVERAGE(INDEX($C$108:$C508,402-MA_LONG2):$C508),"")</f>
        <v/>
      </c>
      <c r="L508" s="53" t="str">
        <f aca="false">IF(AND(ISNUMBER($G508),$G508&gt;=21),STDEV(INDEX($H$448:$H508,62-20):$H508)*SQRT(245),"")</f>
        <v/>
      </c>
      <c r="M508" s="52" t="str">
        <f aca="false">IF(AND(ISNUMBER($G508),$G508&gt;=60),MAX(INDEX($D$308:$D508,202-60):$D508),"")</f>
        <v/>
      </c>
      <c r="N508" s="52" t="str">
        <f aca="false">IF(AND(ISNUMBER($G508),$G508&gt;=60),MIN(INDEX($E$308:$E508,202-60):$E508),"")</f>
        <v/>
      </c>
      <c r="O508" s="53" t="str">
        <f aca="false">IF(OR(NOT(ISNUMBER($C508)),NOT(ISNUMBER($M508)),$M508=0),"",$C508/$M508-1)</f>
        <v/>
      </c>
      <c r="P508" s="54"/>
      <c r="Q508" s="53" t="str">
        <f aca="false">IF(NOT(ISNUMBER($P508)),"",IFERROR(PERCENTRANK($P$5:$P$1204,$P508),""))</f>
        <v/>
      </c>
    </row>
    <row r="509" customFormat="false" ht="15" hidden="false" customHeight="false" outlineLevel="0" collapsed="false">
      <c r="A509" s="55"/>
      <c r="B509" s="56"/>
      <c r="C509" s="57"/>
      <c r="D509" s="56"/>
      <c r="E509" s="56"/>
      <c r="F509" s="56"/>
      <c r="G509" s="50" t="str">
        <f aca="false">IF($A509="","",IF(ISNUMBER($G508),$G508+1,1))</f>
        <v/>
      </c>
      <c r="H509" s="51" t="str">
        <f aca="false">IF(OR(NOT(ISNUMBER($G509)),$G509&lt;2,NOT(ISNUMBER($C508)),$C508=0),"",$C509/$C508-1)</f>
        <v/>
      </c>
      <c r="I509" s="52" t="str">
        <f aca="false">IF(AND(ISNUMBER($G509),$G509&gt;=MA_SHORT),AVERAGE(INDEX($C$109:$C509,402-MA_SHORT):$C509),"")</f>
        <v/>
      </c>
      <c r="J509" s="52" t="str">
        <f aca="false">IF(AND(ISNUMBER($G509),$G509&gt;=MA_MED),AVERAGE(INDEX($C$109:$C509,402-MA_MED):$C509),"")</f>
        <v/>
      </c>
      <c r="K509" s="52" t="str">
        <f aca="false">IF(AND(ISNUMBER($G509),$G509&gt;=MA_LONG2),AVERAGE(INDEX($C$109:$C509,402-MA_LONG2):$C509),"")</f>
        <v/>
      </c>
      <c r="L509" s="53" t="str">
        <f aca="false">IF(AND(ISNUMBER($G509),$G509&gt;=21),STDEV(INDEX($H$449:$H509,62-20):$H509)*SQRT(245),"")</f>
        <v/>
      </c>
      <c r="M509" s="52" t="str">
        <f aca="false">IF(AND(ISNUMBER($G509),$G509&gt;=60),MAX(INDEX($D$309:$D509,202-60):$D509),"")</f>
        <v/>
      </c>
      <c r="N509" s="52" t="str">
        <f aca="false">IF(AND(ISNUMBER($G509),$G509&gt;=60),MIN(INDEX($E$309:$E509,202-60):$E509),"")</f>
        <v/>
      </c>
      <c r="O509" s="53" t="str">
        <f aca="false">IF(OR(NOT(ISNUMBER($C509)),NOT(ISNUMBER($M509)),$M509=0),"",$C509/$M509-1)</f>
        <v/>
      </c>
      <c r="P509" s="54"/>
      <c r="Q509" s="53" t="str">
        <f aca="false">IF(NOT(ISNUMBER($P509)),"",IFERROR(PERCENTRANK($P$5:$P$1204,$P509),""))</f>
        <v/>
      </c>
    </row>
    <row r="510" customFormat="false" ht="15" hidden="false" customHeight="false" outlineLevel="0" collapsed="false">
      <c r="A510" s="55"/>
      <c r="B510" s="56"/>
      <c r="C510" s="57"/>
      <c r="D510" s="56"/>
      <c r="E510" s="56"/>
      <c r="F510" s="56"/>
      <c r="G510" s="50" t="str">
        <f aca="false">IF($A510="","",IF(ISNUMBER($G509),$G509+1,1))</f>
        <v/>
      </c>
      <c r="H510" s="51" t="str">
        <f aca="false">IF(OR(NOT(ISNUMBER($G510)),$G510&lt;2,NOT(ISNUMBER($C509)),$C509=0),"",$C510/$C509-1)</f>
        <v/>
      </c>
      <c r="I510" s="52" t="str">
        <f aca="false">IF(AND(ISNUMBER($G510),$G510&gt;=MA_SHORT),AVERAGE(INDEX($C$110:$C510,402-MA_SHORT):$C510),"")</f>
        <v/>
      </c>
      <c r="J510" s="52" t="str">
        <f aca="false">IF(AND(ISNUMBER($G510),$G510&gt;=MA_MED),AVERAGE(INDEX($C$110:$C510,402-MA_MED):$C510),"")</f>
        <v/>
      </c>
      <c r="K510" s="52" t="str">
        <f aca="false">IF(AND(ISNUMBER($G510),$G510&gt;=MA_LONG2),AVERAGE(INDEX($C$110:$C510,402-MA_LONG2):$C510),"")</f>
        <v/>
      </c>
      <c r="L510" s="53" t="str">
        <f aca="false">IF(AND(ISNUMBER($G510),$G510&gt;=21),STDEV(INDEX($H$450:$H510,62-20):$H510)*SQRT(245),"")</f>
        <v/>
      </c>
      <c r="M510" s="52" t="str">
        <f aca="false">IF(AND(ISNUMBER($G510),$G510&gt;=60),MAX(INDEX($D$310:$D510,202-60):$D510),"")</f>
        <v/>
      </c>
      <c r="N510" s="52" t="str">
        <f aca="false">IF(AND(ISNUMBER($G510),$G510&gt;=60),MIN(INDEX($E$310:$E510,202-60):$E510),"")</f>
        <v/>
      </c>
      <c r="O510" s="53" t="str">
        <f aca="false">IF(OR(NOT(ISNUMBER($C510)),NOT(ISNUMBER($M510)),$M510=0),"",$C510/$M510-1)</f>
        <v/>
      </c>
      <c r="P510" s="54"/>
      <c r="Q510" s="53" t="str">
        <f aca="false">IF(NOT(ISNUMBER($P510)),"",IFERROR(PERCENTRANK($P$5:$P$1204,$P510),""))</f>
        <v/>
      </c>
    </row>
    <row r="511" customFormat="false" ht="15" hidden="false" customHeight="false" outlineLevel="0" collapsed="false">
      <c r="A511" s="55"/>
      <c r="B511" s="56"/>
      <c r="C511" s="57"/>
      <c r="D511" s="56"/>
      <c r="E511" s="56"/>
      <c r="F511" s="56"/>
      <c r="G511" s="50" t="str">
        <f aca="false">IF($A511="","",IF(ISNUMBER($G510),$G510+1,1))</f>
        <v/>
      </c>
      <c r="H511" s="51" t="str">
        <f aca="false">IF(OR(NOT(ISNUMBER($G511)),$G511&lt;2,NOT(ISNUMBER($C510)),$C510=0),"",$C511/$C510-1)</f>
        <v/>
      </c>
      <c r="I511" s="52" t="str">
        <f aca="false">IF(AND(ISNUMBER($G511),$G511&gt;=MA_SHORT),AVERAGE(INDEX($C$111:$C511,402-MA_SHORT):$C511),"")</f>
        <v/>
      </c>
      <c r="J511" s="52" t="str">
        <f aca="false">IF(AND(ISNUMBER($G511),$G511&gt;=MA_MED),AVERAGE(INDEX($C$111:$C511,402-MA_MED):$C511),"")</f>
        <v/>
      </c>
      <c r="K511" s="52" t="str">
        <f aca="false">IF(AND(ISNUMBER($G511),$G511&gt;=MA_LONG2),AVERAGE(INDEX($C$111:$C511,402-MA_LONG2):$C511),"")</f>
        <v/>
      </c>
      <c r="L511" s="53" t="str">
        <f aca="false">IF(AND(ISNUMBER($G511),$G511&gt;=21),STDEV(INDEX($H$451:$H511,62-20):$H511)*SQRT(245),"")</f>
        <v/>
      </c>
      <c r="M511" s="52" t="str">
        <f aca="false">IF(AND(ISNUMBER($G511),$G511&gt;=60),MAX(INDEX($D$311:$D511,202-60):$D511),"")</f>
        <v/>
      </c>
      <c r="N511" s="52" t="str">
        <f aca="false">IF(AND(ISNUMBER($G511),$G511&gt;=60),MIN(INDEX($E$311:$E511,202-60):$E511),"")</f>
        <v/>
      </c>
      <c r="O511" s="53" t="str">
        <f aca="false">IF(OR(NOT(ISNUMBER($C511)),NOT(ISNUMBER($M511)),$M511=0),"",$C511/$M511-1)</f>
        <v/>
      </c>
      <c r="P511" s="54"/>
      <c r="Q511" s="53" t="str">
        <f aca="false">IF(NOT(ISNUMBER($P511)),"",IFERROR(PERCENTRANK($P$5:$P$1204,$P511),""))</f>
        <v/>
      </c>
    </row>
    <row r="512" customFormat="false" ht="15" hidden="false" customHeight="false" outlineLevel="0" collapsed="false">
      <c r="A512" s="55"/>
      <c r="B512" s="56"/>
      <c r="C512" s="57"/>
      <c r="D512" s="56"/>
      <c r="E512" s="56"/>
      <c r="F512" s="56"/>
      <c r="G512" s="50" t="str">
        <f aca="false">IF($A512="","",IF(ISNUMBER($G511),$G511+1,1))</f>
        <v/>
      </c>
      <c r="H512" s="51" t="str">
        <f aca="false">IF(OR(NOT(ISNUMBER($G512)),$G512&lt;2,NOT(ISNUMBER($C511)),$C511=0),"",$C512/$C511-1)</f>
        <v/>
      </c>
      <c r="I512" s="52" t="str">
        <f aca="false">IF(AND(ISNUMBER($G512),$G512&gt;=MA_SHORT),AVERAGE(INDEX($C$112:$C512,402-MA_SHORT):$C512),"")</f>
        <v/>
      </c>
      <c r="J512" s="52" t="str">
        <f aca="false">IF(AND(ISNUMBER($G512),$G512&gt;=MA_MED),AVERAGE(INDEX($C$112:$C512,402-MA_MED):$C512),"")</f>
        <v/>
      </c>
      <c r="K512" s="52" t="str">
        <f aca="false">IF(AND(ISNUMBER($G512),$G512&gt;=MA_LONG2),AVERAGE(INDEX($C$112:$C512,402-MA_LONG2):$C512),"")</f>
        <v/>
      </c>
      <c r="L512" s="53" t="str">
        <f aca="false">IF(AND(ISNUMBER($G512),$G512&gt;=21),STDEV(INDEX($H$452:$H512,62-20):$H512)*SQRT(245),"")</f>
        <v/>
      </c>
      <c r="M512" s="52" t="str">
        <f aca="false">IF(AND(ISNUMBER($G512),$G512&gt;=60),MAX(INDEX($D$312:$D512,202-60):$D512),"")</f>
        <v/>
      </c>
      <c r="N512" s="52" t="str">
        <f aca="false">IF(AND(ISNUMBER($G512),$G512&gt;=60),MIN(INDEX($E$312:$E512,202-60):$E512),"")</f>
        <v/>
      </c>
      <c r="O512" s="53" t="str">
        <f aca="false">IF(OR(NOT(ISNUMBER($C512)),NOT(ISNUMBER($M512)),$M512=0),"",$C512/$M512-1)</f>
        <v/>
      </c>
      <c r="P512" s="54"/>
      <c r="Q512" s="53" t="str">
        <f aca="false">IF(NOT(ISNUMBER($P512)),"",IFERROR(PERCENTRANK($P$5:$P$1204,$P512),""))</f>
        <v/>
      </c>
    </row>
    <row r="513" customFormat="false" ht="15" hidden="false" customHeight="false" outlineLevel="0" collapsed="false">
      <c r="A513" s="55"/>
      <c r="B513" s="56"/>
      <c r="C513" s="57"/>
      <c r="D513" s="56"/>
      <c r="E513" s="56"/>
      <c r="F513" s="56"/>
      <c r="G513" s="50" t="str">
        <f aca="false">IF($A513="","",IF(ISNUMBER($G512),$G512+1,1))</f>
        <v/>
      </c>
      <c r="H513" s="51" t="str">
        <f aca="false">IF(OR(NOT(ISNUMBER($G513)),$G513&lt;2,NOT(ISNUMBER($C512)),$C512=0),"",$C513/$C512-1)</f>
        <v/>
      </c>
      <c r="I513" s="52" t="str">
        <f aca="false">IF(AND(ISNUMBER($G513),$G513&gt;=MA_SHORT),AVERAGE(INDEX($C$113:$C513,402-MA_SHORT):$C513),"")</f>
        <v/>
      </c>
      <c r="J513" s="52" t="str">
        <f aca="false">IF(AND(ISNUMBER($G513),$G513&gt;=MA_MED),AVERAGE(INDEX($C$113:$C513,402-MA_MED):$C513),"")</f>
        <v/>
      </c>
      <c r="K513" s="52" t="str">
        <f aca="false">IF(AND(ISNUMBER($G513),$G513&gt;=MA_LONG2),AVERAGE(INDEX($C$113:$C513,402-MA_LONG2):$C513),"")</f>
        <v/>
      </c>
      <c r="L513" s="53" t="str">
        <f aca="false">IF(AND(ISNUMBER($G513),$G513&gt;=21),STDEV(INDEX($H$453:$H513,62-20):$H513)*SQRT(245),"")</f>
        <v/>
      </c>
      <c r="M513" s="52" t="str">
        <f aca="false">IF(AND(ISNUMBER($G513),$G513&gt;=60),MAX(INDEX($D$313:$D513,202-60):$D513),"")</f>
        <v/>
      </c>
      <c r="N513" s="52" t="str">
        <f aca="false">IF(AND(ISNUMBER($G513),$G513&gt;=60),MIN(INDEX($E$313:$E513,202-60):$E513),"")</f>
        <v/>
      </c>
      <c r="O513" s="53" t="str">
        <f aca="false">IF(OR(NOT(ISNUMBER($C513)),NOT(ISNUMBER($M513)),$M513=0),"",$C513/$M513-1)</f>
        <v/>
      </c>
      <c r="P513" s="54"/>
      <c r="Q513" s="53" t="str">
        <f aca="false">IF(NOT(ISNUMBER($P513)),"",IFERROR(PERCENTRANK($P$5:$P$1204,$P513),""))</f>
        <v/>
      </c>
    </row>
    <row r="514" customFormat="false" ht="15" hidden="false" customHeight="false" outlineLevel="0" collapsed="false">
      <c r="A514" s="55"/>
      <c r="B514" s="56"/>
      <c r="C514" s="57"/>
      <c r="D514" s="56"/>
      <c r="E514" s="56"/>
      <c r="F514" s="56"/>
      <c r="G514" s="50" t="str">
        <f aca="false">IF($A514="","",IF(ISNUMBER($G513),$G513+1,1))</f>
        <v/>
      </c>
      <c r="H514" s="51" t="str">
        <f aca="false">IF(OR(NOT(ISNUMBER($G514)),$G514&lt;2,NOT(ISNUMBER($C513)),$C513=0),"",$C514/$C513-1)</f>
        <v/>
      </c>
      <c r="I514" s="52" t="str">
        <f aca="false">IF(AND(ISNUMBER($G514),$G514&gt;=MA_SHORT),AVERAGE(INDEX($C$114:$C514,402-MA_SHORT):$C514),"")</f>
        <v/>
      </c>
      <c r="J514" s="52" t="str">
        <f aca="false">IF(AND(ISNUMBER($G514),$G514&gt;=MA_MED),AVERAGE(INDEX($C$114:$C514,402-MA_MED):$C514),"")</f>
        <v/>
      </c>
      <c r="K514" s="52" t="str">
        <f aca="false">IF(AND(ISNUMBER($G514),$G514&gt;=MA_LONG2),AVERAGE(INDEX($C$114:$C514,402-MA_LONG2):$C514),"")</f>
        <v/>
      </c>
      <c r="L514" s="53" t="str">
        <f aca="false">IF(AND(ISNUMBER($G514),$G514&gt;=21),STDEV(INDEX($H$454:$H514,62-20):$H514)*SQRT(245),"")</f>
        <v/>
      </c>
      <c r="M514" s="52" t="str">
        <f aca="false">IF(AND(ISNUMBER($G514),$G514&gt;=60),MAX(INDEX($D$314:$D514,202-60):$D514),"")</f>
        <v/>
      </c>
      <c r="N514" s="52" t="str">
        <f aca="false">IF(AND(ISNUMBER($G514),$G514&gt;=60),MIN(INDEX($E$314:$E514,202-60):$E514),"")</f>
        <v/>
      </c>
      <c r="O514" s="53" t="str">
        <f aca="false">IF(OR(NOT(ISNUMBER($C514)),NOT(ISNUMBER($M514)),$M514=0),"",$C514/$M514-1)</f>
        <v/>
      </c>
      <c r="P514" s="54"/>
      <c r="Q514" s="53" t="str">
        <f aca="false">IF(NOT(ISNUMBER($P514)),"",IFERROR(PERCENTRANK($P$5:$P$1204,$P514),""))</f>
        <v/>
      </c>
    </row>
    <row r="515" customFormat="false" ht="15" hidden="false" customHeight="false" outlineLevel="0" collapsed="false">
      <c r="A515" s="55"/>
      <c r="B515" s="56"/>
      <c r="C515" s="57"/>
      <c r="D515" s="56"/>
      <c r="E515" s="56"/>
      <c r="F515" s="56"/>
      <c r="G515" s="50" t="str">
        <f aca="false">IF($A515="","",IF(ISNUMBER($G514),$G514+1,1))</f>
        <v/>
      </c>
      <c r="H515" s="51" t="str">
        <f aca="false">IF(OR(NOT(ISNUMBER($G515)),$G515&lt;2,NOT(ISNUMBER($C514)),$C514=0),"",$C515/$C514-1)</f>
        <v/>
      </c>
      <c r="I515" s="52" t="str">
        <f aca="false">IF(AND(ISNUMBER($G515),$G515&gt;=MA_SHORT),AVERAGE(INDEX($C$115:$C515,402-MA_SHORT):$C515),"")</f>
        <v/>
      </c>
      <c r="J515" s="52" t="str">
        <f aca="false">IF(AND(ISNUMBER($G515),$G515&gt;=MA_MED),AVERAGE(INDEX($C$115:$C515,402-MA_MED):$C515),"")</f>
        <v/>
      </c>
      <c r="K515" s="52" t="str">
        <f aca="false">IF(AND(ISNUMBER($G515),$G515&gt;=MA_LONG2),AVERAGE(INDEX($C$115:$C515,402-MA_LONG2):$C515),"")</f>
        <v/>
      </c>
      <c r="L515" s="53" t="str">
        <f aca="false">IF(AND(ISNUMBER($G515),$G515&gt;=21),STDEV(INDEX($H$455:$H515,62-20):$H515)*SQRT(245),"")</f>
        <v/>
      </c>
      <c r="M515" s="52" t="str">
        <f aca="false">IF(AND(ISNUMBER($G515),$G515&gt;=60),MAX(INDEX($D$315:$D515,202-60):$D515),"")</f>
        <v/>
      </c>
      <c r="N515" s="52" t="str">
        <f aca="false">IF(AND(ISNUMBER($G515),$G515&gt;=60),MIN(INDEX($E$315:$E515,202-60):$E515),"")</f>
        <v/>
      </c>
      <c r="O515" s="53" t="str">
        <f aca="false">IF(OR(NOT(ISNUMBER($C515)),NOT(ISNUMBER($M515)),$M515=0),"",$C515/$M515-1)</f>
        <v/>
      </c>
      <c r="P515" s="54"/>
      <c r="Q515" s="53" t="str">
        <f aca="false">IF(NOT(ISNUMBER($P515)),"",IFERROR(PERCENTRANK($P$5:$P$1204,$P515),""))</f>
        <v/>
      </c>
    </row>
    <row r="516" customFormat="false" ht="15" hidden="false" customHeight="false" outlineLevel="0" collapsed="false">
      <c r="A516" s="55"/>
      <c r="B516" s="56"/>
      <c r="C516" s="57"/>
      <c r="D516" s="56"/>
      <c r="E516" s="56"/>
      <c r="F516" s="56"/>
      <c r="G516" s="50" t="str">
        <f aca="false">IF($A516="","",IF(ISNUMBER($G515),$G515+1,1))</f>
        <v/>
      </c>
      <c r="H516" s="51" t="str">
        <f aca="false">IF(OR(NOT(ISNUMBER($G516)),$G516&lt;2,NOT(ISNUMBER($C515)),$C515=0),"",$C516/$C515-1)</f>
        <v/>
      </c>
      <c r="I516" s="52" t="str">
        <f aca="false">IF(AND(ISNUMBER($G516),$G516&gt;=MA_SHORT),AVERAGE(INDEX($C$116:$C516,402-MA_SHORT):$C516),"")</f>
        <v/>
      </c>
      <c r="J516" s="52" t="str">
        <f aca="false">IF(AND(ISNUMBER($G516),$G516&gt;=MA_MED),AVERAGE(INDEX($C$116:$C516,402-MA_MED):$C516),"")</f>
        <v/>
      </c>
      <c r="K516" s="52" t="str">
        <f aca="false">IF(AND(ISNUMBER($G516),$G516&gt;=MA_LONG2),AVERAGE(INDEX($C$116:$C516,402-MA_LONG2):$C516),"")</f>
        <v/>
      </c>
      <c r="L516" s="53" t="str">
        <f aca="false">IF(AND(ISNUMBER($G516),$G516&gt;=21),STDEV(INDEX($H$456:$H516,62-20):$H516)*SQRT(245),"")</f>
        <v/>
      </c>
      <c r="M516" s="52" t="str">
        <f aca="false">IF(AND(ISNUMBER($G516),$G516&gt;=60),MAX(INDEX($D$316:$D516,202-60):$D516),"")</f>
        <v/>
      </c>
      <c r="N516" s="52" t="str">
        <f aca="false">IF(AND(ISNUMBER($G516),$G516&gt;=60),MIN(INDEX($E$316:$E516,202-60):$E516),"")</f>
        <v/>
      </c>
      <c r="O516" s="53" t="str">
        <f aca="false">IF(OR(NOT(ISNUMBER($C516)),NOT(ISNUMBER($M516)),$M516=0),"",$C516/$M516-1)</f>
        <v/>
      </c>
      <c r="P516" s="54"/>
      <c r="Q516" s="53" t="str">
        <f aca="false">IF(NOT(ISNUMBER($P516)),"",IFERROR(PERCENTRANK($P$5:$P$1204,$P516),""))</f>
        <v/>
      </c>
    </row>
    <row r="517" customFormat="false" ht="15" hidden="false" customHeight="false" outlineLevel="0" collapsed="false">
      <c r="A517" s="55"/>
      <c r="B517" s="56"/>
      <c r="C517" s="57"/>
      <c r="D517" s="56"/>
      <c r="E517" s="56"/>
      <c r="F517" s="56"/>
      <c r="G517" s="50" t="str">
        <f aca="false">IF($A517="","",IF(ISNUMBER($G516),$G516+1,1))</f>
        <v/>
      </c>
      <c r="H517" s="51" t="str">
        <f aca="false">IF(OR(NOT(ISNUMBER($G517)),$G517&lt;2,NOT(ISNUMBER($C516)),$C516=0),"",$C517/$C516-1)</f>
        <v/>
      </c>
      <c r="I517" s="52" t="str">
        <f aca="false">IF(AND(ISNUMBER($G517),$G517&gt;=MA_SHORT),AVERAGE(INDEX($C$117:$C517,402-MA_SHORT):$C517),"")</f>
        <v/>
      </c>
      <c r="J517" s="52" t="str">
        <f aca="false">IF(AND(ISNUMBER($G517),$G517&gt;=MA_MED),AVERAGE(INDEX($C$117:$C517,402-MA_MED):$C517),"")</f>
        <v/>
      </c>
      <c r="K517" s="52" t="str">
        <f aca="false">IF(AND(ISNUMBER($G517),$G517&gt;=MA_LONG2),AVERAGE(INDEX($C$117:$C517,402-MA_LONG2):$C517),"")</f>
        <v/>
      </c>
      <c r="L517" s="53" t="str">
        <f aca="false">IF(AND(ISNUMBER($G517),$G517&gt;=21),STDEV(INDEX($H$457:$H517,62-20):$H517)*SQRT(245),"")</f>
        <v/>
      </c>
      <c r="M517" s="52" t="str">
        <f aca="false">IF(AND(ISNUMBER($G517),$G517&gt;=60),MAX(INDEX($D$317:$D517,202-60):$D517),"")</f>
        <v/>
      </c>
      <c r="N517" s="52" t="str">
        <f aca="false">IF(AND(ISNUMBER($G517),$G517&gt;=60),MIN(INDEX($E$317:$E517,202-60):$E517),"")</f>
        <v/>
      </c>
      <c r="O517" s="53" t="str">
        <f aca="false">IF(OR(NOT(ISNUMBER($C517)),NOT(ISNUMBER($M517)),$M517=0),"",$C517/$M517-1)</f>
        <v/>
      </c>
      <c r="P517" s="54"/>
      <c r="Q517" s="53" t="str">
        <f aca="false">IF(NOT(ISNUMBER($P517)),"",IFERROR(PERCENTRANK($P$5:$P$1204,$P517),""))</f>
        <v/>
      </c>
    </row>
    <row r="518" customFormat="false" ht="15" hidden="false" customHeight="false" outlineLevel="0" collapsed="false">
      <c r="A518" s="55"/>
      <c r="B518" s="56"/>
      <c r="C518" s="57"/>
      <c r="D518" s="56"/>
      <c r="E518" s="56"/>
      <c r="F518" s="56"/>
      <c r="G518" s="50" t="str">
        <f aca="false">IF($A518="","",IF(ISNUMBER($G517),$G517+1,1))</f>
        <v/>
      </c>
      <c r="H518" s="51" t="str">
        <f aca="false">IF(OR(NOT(ISNUMBER($G518)),$G518&lt;2,NOT(ISNUMBER($C517)),$C517=0),"",$C518/$C517-1)</f>
        <v/>
      </c>
      <c r="I518" s="52" t="str">
        <f aca="false">IF(AND(ISNUMBER($G518),$G518&gt;=MA_SHORT),AVERAGE(INDEX($C$118:$C518,402-MA_SHORT):$C518),"")</f>
        <v/>
      </c>
      <c r="J518" s="52" t="str">
        <f aca="false">IF(AND(ISNUMBER($G518),$G518&gt;=MA_MED),AVERAGE(INDEX($C$118:$C518,402-MA_MED):$C518),"")</f>
        <v/>
      </c>
      <c r="K518" s="52" t="str">
        <f aca="false">IF(AND(ISNUMBER($G518),$G518&gt;=MA_LONG2),AVERAGE(INDEX($C$118:$C518,402-MA_LONG2):$C518),"")</f>
        <v/>
      </c>
      <c r="L518" s="53" t="str">
        <f aca="false">IF(AND(ISNUMBER($G518),$G518&gt;=21),STDEV(INDEX($H$458:$H518,62-20):$H518)*SQRT(245),"")</f>
        <v/>
      </c>
      <c r="M518" s="52" t="str">
        <f aca="false">IF(AND(ISNUMBER($G518),$G518&gt;=60),MAX(INDEX($D$318:$D518,202-60):$D518),"")</f>
        <v/>
      </c>
      <c r="N518" s="52" t="str">
        <f aca="false">IF(AND(ISNUMBER($G518),$G518&gt;=60),MIN(INDEX($E$318:$E518,202-60):$E518),"")</f>
        <v/>
      </c>
      <c r="O518" s="53" t="str">
        <f aca="false">IF(OR(NOT(ISNUMBER($C518)),NOT(ISNUMBER($M518)),$M518=0),"",$C518/$M518-1)</f>
        <v/>
      </c>
      <c r="P518" s="54"/>
      <c r="Q518" s="53" t="str">
        <f aca="false">IF(NOT(ISNUMBER($P518)),"",IFERROR(PERCENTRANK($P$5:$P$1204,$P518),""))</f>
        <v/>
      </c>
    </row>
    <row r="519" customFormat="false" ht="15" hidden="false" customHeight="false" outlineLevel="0" collapsed="false">
      <c r="A519" s="55"/>
      <c r="B519" s="56"/>
      <c r="C519" s="57"/>
      <c r="D519" s="56"/>
      <c r="E519" s="56"/>
      <c r="F519" s="56"/>
      <c r="G519" s="50" t="str">
        <f aca="false">IF($A519="","",IF(ISNUMBER($G518),$G518+1,1))</f>
        <v/>
      </c>
      <c r="H519" s="51" t="str">
        <f aca="false">IF(OR(NOT(ISNUMBER($G519)),$G519&lt;2,NOT(ISNUMBER($C518)),$C518=0),"",$C519/$C518-1)</f>
        <v/>
      </c>
      <c r="I519" s="52" t="str">
        <f aca="false">IF(AND(ISNUMBER($G519),$G519&gt;=MA_SHORT),AVERAGE(INDEX($C$119:$C519,402-MA_SHORT):$C519),"")</f>
        <v/>
      </c>
      <c r="J519" s="52" t="str">
        <f aca="false">IF(AND(ISNUMBER($G519),$G519&gt;=MA_MED),AVERAGE(INDEX($C$119:$C519,402-MA_MED):$C519),"")</f>
        <v/>
      </c>
      <c r="K519" s="52" t="str">
        <f aca="false">IF(AND(ISNUMBER($G519),$G519&gt;=MA_LONG2),AVERAGE(INDEX($C$119:$C519,402-MA_LONG2):$C519),"")</f>
        <v/>
      </c>
      <c r="L519" s="53" t="str">
        <f aca="false">IF(AND(ISNUMBER($G519),$G519&gt;=21),STDEV(INDEX($H$459:$H519,62-20):$H519)*SQRT(245),"")</f>
        <v/>
      </c>
      <c r="M519" s="52" t="str">
        <f aca="false">IF(AND(ISNUMBER($G519),$G519&gt;=60),MAX(INDEX($D$319:$D519,202-60):$D519),"")</f>
        <v/>
      </c>
      <c r="N519" s="52" t="str">
        <f aca="false">IF(AND(ISNUMBER($G519),$G519&gt;=60),MIN(INDEX($E$319:$E519,202-60):$E519),"")</f>
        <v/>
      </c>
      <c r="O519" s="53" t="str">
        <f aca="false">IF(OR(NOT(ISNUMBER($C519)),NOT(ISNUMBER($M519)),$M519=0),"",$C519/$M519-1)</f>
        <v/>
      </c>
      <c r="P519" s="54"/>
      <c r="Q519" s="53" t="str">
        <f aca="false">IF(NOT(ISNUMBER($P519)),"",IFERROR(PERCENTRANK($P$5:$P$1204,$P519),""))</f>
        <v/>
      </c>
    </row>
    <row r="520" customFormat="false" ht="15" hidden="false" customHeight="false" outlineLevel="0" collapsed="false">
      <c r="A520" s="55"/>
      <c r="B520" s="56"/>
      <c r="C520" s="57"/>
      <c r="D520" s="56"/>
      <c r="E520" s="56"/>
      <c r="F520" s="56"/>
      <c r="G520" s="50" t="str">
        <f aca="false">IF($A520="","",IF(ISNUMBER($G519),$G519+1,1))</f>
        <v/>
      </c>
      <c r="H520" s="51" t="str">
        <f aca="false">IF(OR(NOT(ISNUMBER($G520)),$G520&lt;2,NOT(ISNUMBER($C519)),$C519=0),"",$C520/$C519-1)</f>
        <v/>
      </c>
      <c r="I520" s="52" t="str">
        <f aca="false">IF(AND(ISNUMBER($G520),$G520&gt;=MA_SHORT),AVERAGE(INDEX($C$120:$C520,402-MA_SHORT):$C520),"")</f>
        <v/>
      </c>
      <c r="J520" s="52" t="str">
        <f aca="false">IF(AND(ISNUMBER($G520),$G520&gt;=MA_MED),AVERAGE(INDEX($C$120:$C520,402-MA_MED):$C520),"")</f>
        <v/>
      </c>
      <c r="K520" s="52" t="str">
        <f aca="false">IF(AND(ISNUMBER($G520),$G520&gt;=MA_LONG2),AVERAGE(INDEX($C$120:$C520,402-MA_LONG2):$C520),"")</f>
        <v/>
      </c>
      <c r="L520" s="53" t="str">
        <f aca="false">IF(AND(ISNUMBER($G520),$G520&gt;=21),STDEV(INDEX($H$460:$H520,62-20):$H520)*SQRT(245),"")</f>
        <v/>
      </c>
      <c r="M520" s="52" t="str">
        <f aca="false">IF(AND(ISNUMBER($G520),$G520&gt;=60),MAX(INDEX($D$320:$D520,202-60):$D520),"")</f>
        <v/>
      </c>
      <c r="N520" s="52" t="str">
        <f aca="false">IF(AND(ISNUMBER($G520),$G520&gt;=60),MIN(INDEX($E$320:$E520,202-60):$E520),"")</f>
        <v/>
      </c>
      <c r="O520" s="53" t="str">
        <f aca="false">IF(OR(NOT(ISNUMBER($C520)),NOT(ISNUMBER($M520)),$M520=0),"",$C520/$M520-1)</f>
        <v/>
      </c>
      <c r="P520" s="54"/>
      <c r="Q520" s="53" t="str">
        <f aca="false">IF(NOT(ISNUMBER($P520)),"",IFERROR(PERCENTRANK($P$5:$P$1204,$P520),""))</f>
        <v/>
      </c>
    </row>
    <row r="521" customFormat="false" ht="15" hidden="false" customHeight="false" outlineLevel="0" collapsed="false">
      <c r="A521" s="55"/>
      <c r="B521" s="56"/>
      <c r="C521" s="57"/>
      <c r="D521" s="56"/>
      <c r="E521" s="56"/>
      <c r="F521" s="56"/>
      <c r="G521" s="50" t="str">
        <f aca="false">IF($A521="","",IF(ISNUMBER($G520),$G520+1,1))</f>
        <v/>
      </c>
      <c r="H521" s="51" t="str">
        <f aca="false">IF(OR(NOT(ISNUMBER($G521)),$G521&lt;2,NOT(ISNUMBER($C520)),$C520=0),"",$C521/$C520-1)</f>
        <v/>
      </c>
      <c r="I521" s="52" t="str">
        <f aca="false">IF(AND(ISNUMBER($G521),$G521&gt;=MA_SHORT),AVERAGE(INDEX($C$121:$C521,402-MA_SHORT):$C521),"")</f>
        <v/>
      </c>
      <c r="J521" s="52" t="str">
        <f aca="false">IF(AND(ISNUMBER($G521),$G521&gt;=MA_MED),AVERAGE(INDEX($C$121:$C521,402-MA_MED):$C521),"")</f>
        <v/>
      </c>
      <c r="K521" s="52" t="str">
        <f aca="false">IF(AND(ISNUMBER($G521),$G521&gt;=MA_LONG2),AVERAGE(INDEX($C$121:$C521,402-MA_LONG2):$C521),"")</f>
        <v/>
      </c>
      <c r="L521" s="53" t="str">
        <f aca="false">IF(AND(ISNUMBER($G521),$G521&gt;=21),STDEV(INDEX($H$461:$H521,62-20):$H521)*SQRT(245),"")</f>
        <v/>
      </c>
      <c r="M521" s="52" t="str">
        <f aca="false">IF(AND(ISNUMBER($G521),$G521&gt;=60),MAX(INDEX($D$321:$D521,202-60):$D521),"")</f>
        <v/>
      </c>
      <c r="N521" s="52" t="str">
        <f aca="false">IF(AND(ISNUMBER($G521),$G521&gt;=60),MIN(INDEX($E$321:$E521,202-60):$E521),"")</f>
        <v/>
      </c>
      <c r="O521" s="53" t="str">
        <f aca="false">IF(OR(NOT(ISNUMBER($C521)),NOT(ISNUMBER($M521)),$M521=0),"",$C521/$M521-1)</f>
        <v/>
      </c>
      <c r="P521" s="54"/>
      <c r="Q521" s="53" t="str">
        <f aca="false">IF(NOT(ISNUMBER($P521)),"",IFERROR(PERCENTRANK($P$5:$P$1204,$P521),""))</f>
        <v/>
      </c>
    </row>
    <row r="522" customFormat="false" ht="15" hidden="false" customHeight="false" outlineLevel="0" collapsed="false">
      <c r="A522" s="55"/>
      <c r="B522" s="56"/>
      <c r="C522" s="57"/>
      <c r="D522" s="56"/>
      <c r="E522" s="56"/>
      <c r="F522" s="56"/>
      <c r="G522" s="50" t="str">
        <f aca="false">IF($A522="","",IF(ISNUMBER($G521),$G521+1,1))</f>
        <v/>
      </c>
      <c r="H522" s="51" t="str">
        <f aca="false">IF(OR(NOT(ISNUMBER($G522)),$G522&lt;2,NOT(ISNUMBER($C521)),$C521=0),"",$C522/$C521-1)</f>
        <v/>
      </c>
      <c r="I522" s="52" t="str">
        <f aca="false">IF(AND(ISNUMBER($G522),$G522&gt;=MA_SHORT),AVERAGE(INDEX($C$122:$C522,402-MA_SHORT):$C522),"")</f>
        <v/>
      </c>
      <c r="J522" s="52" t="str">
        <f aca="false">IF(AND(ISNUMBER($G522),$G522&gt;=MA_MED),AVERAGE(INDEX($C$122:$C522,402-MA_MED):$C522),"")</f>
        <v/>
      </c>
      <c r="K522" s="52" t="str">
        <f aca="false">IF(AND(ISNUMBER($G522),$G522&gt;=MA_LONG2),AVERAGE(INDEX($C$122:$C522,402-MA_LONG2):$C522),"")</f>
        <v/>
      </c>
      <c r="L522" s="53" t="str">
        <f aca="false">IF(AND(ISNUMBER($G522),$G522&gt;=21),STDEV(INDEX($H$462:$H522,62-20):$H522)*SQRT(245),"")</f>
        <v/>
      </c>
      <c r="M522" s="52" t="str">
        <f aca="false">IF(AND(ISNUMBER($G522),$G522&gt;=60),MAX(INDEX($D$322:$D522,202-60):$D522),"")</f>
        <v/>
      </c>
      <c r="N522" s="52" t="str">
        <f aca="false">IF(AND(ISNUMBER($G522),$G522&gt;=60),MIN(INDEX($E$322:$E522,202-60):$E522),"")</f>
        <v/>
      </c>
      <c r="O522" s="53" t="str">
        <f aca="false">IF(OR(NOT(ISNUMBER($C522)),NOT(ISNUMBER($M522)),$M522=0),"",$C522/$M522-1)</f>
        <v/>
      </c>
      <c r="P522" s="54"/>
      <c r="Q522" s="53" t="str">
        <f aca="false">IF(NOT(ISNUMBER($P522)),"",IFERROR(PERCENTRANK($P$5:$P$1204,$P522),""))</f>
        <v/>
      </c>
    </row>
    <row r="523" customFormat="false" ht="15" hidden="false" customHeight="false" outlineLevel="0" collapsed="false">
      <c r="A523" s="55"/>
      <c r="B523" s="56"/>
      <c r="C523" s="57"/>
      <c r="D523" s="56"/>
      <c r="E523" s="56"/>
      <c r="F523" s="56"/>
      <c r="G523" s="50" t="str">
        <f aca="false">IF($A523="","",IF(ISNUMBER($G522),$G522+1,1))</f>
        <v/>
      </c>
      <c r="H523" s="51" t="str">
        <f aca="false">IF(OR(NOT(ISNUMBER($G523)),$G523&lt;2,NOT(ISNUMBER($C522)),$C522=0),"",$C523/$C522-1)</f>
        <v/>
      </c>
      <c r="I523" s="52" t="str">
        <f aca="false">IF(AND(ISNUMBER($G523),$G523&gt;=MA_SHORT),AVERAGE(INDEX($C$123:$C523,402-MA_SHORT):$C523),"")</f>
        <v/>
      </c>
      <c r="J523" s="52" t="str">
        <f aca="false">IF(AND(ISNUMBER($G523),$G523&gt;=MA_MED),AVERAGE(INDEX($C$123:$C523,402-MA_MED):$C523),"")</f>
        <v/>
      </c>
      <c r="K523" s="52" t="str">
        <f aca="false">IF(AND(ISNUMBER($G523),$G523&gt;=MA_LONG2),AVERAGE(INDEX($C$123:$C523,402-MA_LONG2):$C523),"")</f>
        <v/>
      </c>
      <c r="L523" s="53" t="str">
        <f aca="false">IF(AND(ISNUMBER($G523),$G523&gt;=21),STDEV(INDEX($H$463:$H523,62-20):$H523)*SQRT(245),"")</f>
        <v/>
      </c>
      <c r="M523" s="52" t="str">
        <f aca="false">IF(AND(ISNUMBER($G523),$G523&gt;=60),MAX(INDEX($D$323:$D523,202-60):$D523),"")</f>
        <v/>
      </c>
      <c r="N523" s="52" t="str">
        <f aca="false">IF(AND(ISNUMBER($G523),$G523&gt;=60),MIN(INDEX($E$323:$E523,202-60):$E523),"")</f>
        <v/>
      </c>
      <c r="O523" s="53" t="str">
        <f aca="false">IF(OR(NOT(ISNUMBER($C523)),NOT(ISNUMBER($M523)),$M523=0),"",$C523/$M523-1)</f>
        <v/>
      </c>
      <c r="P523" s="54"/>
      <c r="Q523" s="53" t="str">
        <f aca="false">IF(NOT(ISNUMBER($P523)),"",IFERROR(PERCENTRANK($P$5:$P$1204,$P523),""))</f>
        <v/>
      </c>
    </row>
    <row r="524" customFormat="false" ht="15" hidden="false" customHeight="false" outlineLevel="0" collapsed="false">
      <c r="A524" s="55"/>
      <c r="B524" s="56"/>
      <c r="C524" s="57"/>
      <c r="D524" s="56"/>
      <c r="E524" s="56"/>
      <c r="F524" s="56"/>
      <c r="G524" s="50" t="str">
        <f aca="false">IF($A524="","",IF(ISNUMBER($G523),$G523+1,1))</f>
        <v/>
      </c>
      <c r="H524" s="51" t="str">
        <f aca="false">IF(OR(NOT(ISNUMBER($G524)),$G524&lt;2,NOT(ISNUMBER($C523)),$C523=0),"",$C524/$C523-1)</f>
        <v/>
      </c>
      <c r="I524" s="52" t="str">
        <f aca="false">IF(AND(ISNUMBER($G524),$G524&gt;=MA_SHORT),AVERAGE(INDEX($C$124:$C524,402-MA_SHORT):$C524),"")</f>
        <v/>
      </c>
      <c r="J524" s="52" t="str">
        <f aca="false">IF(AND(ISNUMBER($G524),$G524&gt;=MA_MED),AVERAGE(INDEX($C$124:$C524,402-MA_MED):$C524),"")</f>
        <v/>
      </c>
      <c r="K524" s="52" t="str">
        <f aca="false">IF(AND(ISNUMBER($G524),$G524&gt;=MA_LONG2),AVERAGE(INDEX($C$124:$C524,402-MA_LONG2):$C524),"")</f>
        <v/>
      </c>
      <c r="L524" s="53" t="str">
        <f aca="false">IF(AND(ISNUMBER($G524),$G524&gt;=21),STDEV(INDEX($H$464:$H524,62-20):$H524)*SQRT(245),"")</f>
        <v/>
      </c>
      <c r="M524" s="52" t="str">
        <f aca="false">IF(AND(ISNUMBER($G524),$G524&gt;=60),MAX(INDEX($D$324:$D524,202-60):$D524),"")</f>
        <v/>
      </c>
      <c r="N524" s="52" t="str">
        <f aca="false">IF(AND(ISNUMBER($G524),$G524&gt;=60),MIN(INDEX($E$324:$E524,202-60):$E524),"")</f>
        <v/>
      </c>
      <c r="O524" s="53" t="str">
        <f aca="false">IF(OR(NOT(ISNUMBER($C524)),NOT(ISNUMBER($M524)),$M524=0),"",$C524/$M524-1)</f>
        <v/>
      </c>
      <c r="P524" s="54"/>
      <c r="Q524" s="53" t="str">
        <f aca="false">IF(NOT(ISNUMBER($P524)),"",IFERROR(PERCENTRANK($P$5:$P$1204,$P524),""))</f>
        <v/>
      </c>
    </row>
    <row r="525" customFormat="false" ht="15" hidden="false" customHeight="false" outlineLevel="0" collapsed="false">
      <c r="A525" s="55"/>
      <c r="B525" s="56"/>
      <c r="C525" s="57"/>
      <c r="D525" s="56"/>
      <c r="E525" s="56"/>
      <c r="F525" s="56"/>
      <c r="G525" s="50" t="str">
        <f aca="false">IF($A525="","",IF(ISNUMBER($G524),$G524+1,1))</f>
        <v/>
      </c>
      <c r="H525" s="51" t="str">
        <f aca="false">IF(OR(NOT(ISNUMBER($G525)),$G525&lt;2,NOT(ISNUMBER($C524)),$C524=0),"",$C525/$C524-1)</f>
        <v/>
      </c>
      <c r="I525" s="52" t="str">
        <f aca="false">IF(AND(ISNUMBER($G525),$G525&gt;=MA_SHORT),AVERAGE(INDEX($C$125:$C525,402-MA_SHORT):$C525),"")</f>
        <v/>
      </c>
      <c r="J525" s="52" t="str">
        <f aca="false">IF(AND(ISNUMBER($G525),$G525&gt;=MA_MED),AVERAGE(INDEX($C$125:$C525,402-MA_MED):$C525),"")</f>
        <v/>
      </c>
      <c r="K525" s="52" t="str">
        <f aca="false">IF(AND(ISNUMBER($G525),$G525&gt;=MA_LONG2),AVERAGE(INDEX($C$125:$C525,402-MA_LONG2):$C525),"")</f>
        <v/>
      </c>
      <c r="L525" s="53" t="str">
        <f aca="false">IF(AND(ISNUMBER($G525),$G525&gt;=21),STDEV(INDEX($H$465:$H525,62-20):$H525)*SQRT(245),"")</f>
        <v/>
      </c>
      <c r="M525" s="52" t="str">
        <f aca="false">IF(AND(ISNUMBER($G525),$G525&gt;=60),MAX(INDEX($D$325:$D525,202-60):$D525),"")</f>
        <v/>
      </c>
      <c r="N525" s="52" t="str">
        <f aca="false">IF(AND(ISNUMBER($G525),$G525&gt;=60),MIN(INDEX($E$325:$E525,202-60):$E525),"")</f>
        <v/>
      </c>
      <c r="O525" s="53" t="str">
        <f aca="false">IF(OR(NOT(ISNUMBER($C525)),NOT(ISNUMBER($M525)),$M525=0),"",$C525/$M525-1)</f>
        <v/>
      </c>
      <c r="P525" s="54"/>
      <c r="Q525" s="53" t="str">
        <f aca="false">IF(NOT(ISNUMBER($P525)),"",IFERROR(PERCENTRANK($P$5:$P$1204,$P525),""))</f>
        <v/>
      </c>
    </row>
    <row r="526" customFormat="false" ht="15" hidden="false" customHeight="false" outlineLevel="0" collapsed="false">
      <c r="A526" s="55"/>
      <c r="B526" s="56"/>
      <c r="C526" s="57"/>
      <c r="D526" s="56"/>
      <c r="E526" s="56"/>
      <c r="F526" s="56"/>
      <c r="G526" s="50" t="str">
        <f aca="false">IF($A526="","",IF(ISNUMBER($G525),$G525+1,1))</f>
        <v/>
      </c>
      <c r="H526" s="51" t="str">
        <f aca="false">IF(OR(NOT(ISNUMBER($G526)),$G526&lt;2,NOT(ISNUMBER($C525)),$C525=0),"",$C526/$C525-1)</f>
        <v/>
      </c>
      <c r="I526" s="52" t="str">
        <f aca="false">IF(AND(ISNUMBER($G526),$G526&gt;=MA_SHORT),AVERAGE(INDEX($C$126:$C526,402-MA_SHORT):$C526),"")</f>
        <v/>
      </c>
      <c r="J526" s="52" t="str">
        <f aca="false">IF(AND(ISNUMBER($G526),$G526&gt;=MA_MED),AVERAGE(INDEX($C$126:$C526,402-MA_MED):$C526),"")</f>
        <v/>
      </c>
      <c r="K526" s="52" t="str">
        <f aca="false">IF(AND(ISNUMBER($G526),$G526&gt;=MA_LONG2),AVERAGE(INDEX($C$126:$C526,402-MA_LONG2):$C526),"")</f>
        <v/>
      </c>
      <c r="L526" s="53" t="str">
        <f aca="false">IF(AND(ISNUMBER($G526),$G526&gt;=21),STDEV(INDEX($H$466:$H526,62-20):$H526)*SQRT(245),"")</f>
        <v/>
      </c>
      <c r="M526" s="52" t="str">
        <f aca="false">IF(AND(ISNUMBER($G526),$G526&gt;=60),MAX(INDEX($D$326:$D526,202-60):$D526),"")</f>
        <v/>
      </c>
      <c r="N526" s="52" t="str">
        <f aca="false">IF(AND(ISNUMBER($G526),$G526&gt;=60),MIN(INDEX($E$326:$E526,202-60):$E526),"")</f>
        <v/>
      </c>
      <c r="O526" s="53" t="str">
        <f aca="false">IF(OR(NOT(ISNUMBER($C526)),NOT(ISNUMBER($M526)),$M526=0),"",$C526/$M526-1)</f>
        <v/>
      </c>
      <c r="P526" s="54"/>
      <c r="Q526" s="53" t="str">
        <f aca="false">IF(NOT(ISNUMBER($P526)),"",IFERROR(PERCENTRANK($P$5:$P$1204,$P526),""))</f>
        <v/>
      </c>
    </row>
    <row r="527" customFormat="false" ht="15" hidden="false" customHeight="false" outlineLevel="0" collapsed="false">
      <c r="A527" s="55"/>
      <c r="B527" s="56"/>
      <c r="C527" s="57"/>
      <c r="D527" s="56"/>
      <c r="E527" s="56"/>
      <c r="F527" s="56"/>
      <c r="G527" s="50" t="str">
        <f aca="false">IF($A527="","",IF(ISNUMBER($G526),$G526+1,1))</f>
        <v/>
      </c>
      <c r="H527" s="51" t="str">
        <f aca="false">IF(OR(NOT(ISNUMBER($G527)),$G527&lt;2,NOT(ISNUMBER($C526)),$C526=0),"",$C527/$C526-1)</f>
        <v/>
      </c>
      <c r="I527" s="52" t="str">
        <f aca="false">IF(AND(ISNUMBER($G527),$G527&gt;=MA_SHORT),AVERAGE(INDEX($C$127:$C527,402-MA_SHORT):$C527),"")</f>
        <v/>
      </c>
      <c r="J527" s="52" t="str">
        <f aca="false">IF(AND(ISNUMBER($G527),$G527&gt;=MA_MED),AVERAGE(INDEX($C$127:$C527,402-MA_MED):$C527),"")</f>
        <v/>
      </c>
      <c r="K527" s="52" t="str">
        <f aca="false">IF(AND(ISNUMBER($G527),$G527&gt;=MA_LONG2),AVERAGE(INDEX($C$127:$C527,402-MA_LONG2):$C527),"")</f>
        <v/>
      </c>
      <c r="L527" s="53" t="str">
        <f aca="false">IF(AND(ISNUMBER($G527),$G527&gt;=21),STDEV(INDEX($H$467:$H527,62-20):$H527)*SQRT(245),"")</f>
        <v/>
      </c>
      <c r="M527" s="52" t="str">
        <f aca="false">IF(AND(ISNUMBER($G527),$G527&gt;=60),MAX(INDEX($D$327:$D527,202-60):$D527),"")</f>
        <v/>
      </c>
      <c r="N527" s="52" t="str">
        <f aca="false">IF(AND(ISNUMBER($G527),$G527&gt;=60),MIN(INDEX($E$327:$E527,202-60):$E527),"")</f>
        <v/>
      </c>
      <c r="O527" s="53" t="str">
        <f aca="false">IF(OR(NOT(ISNUMBER($C527)),NOT(ISNUMBER($M527)),$M527=0),"",$C527/$M527-1)</f>
        <v/>
      </c>
      <c r="P527" s="54"/>
      <c r="Q527" s="53" t="str">
        <f aca="false">IF(NOT(ISNUMBER($P527)),"",IFERROR(PERCENTRANK($P$5:$P$1204,$P527),""))</f>
        <v/>
      </c>
    </row>
    <row r="528" customFormat="false" ht="15" hidden="false" customHeight="false" outlineLevel="0" collapsed="false">
      <c r="A528" s="55"/>
      <c r="B528" s="56"/>
      <c r="C528" s="57"/>
      <c r="D528" s="56"/>
      <c r="E528" s="56"/>
      <c r="F528" s="56"/>
      <c r="G528" s="50" t="str">
        <f aca="false">IF($A528="","",IF(ISNUMBER($G527),$G527+1,1))</f>
        <v/>
      </c>
      <c r="H528" s="51" t="str">
        <f aca="false">IF(OR(NOT(ISNUMBER($G528)),$G528&lt;2,NOT(ISNUMBER($C527)),$C527=0),"",$C528/$C527-1)</f>
        <v/>
      </c>
      <c r="I528" s="52" t="str">
        <f aca="false">IF(AND(ISNUMBER($G528),$G528&gt;=MA_SHORT),AVERAGE(INDEX($C$128:$C528,402-MA_SHORT):$C528),"")</f>
        <v/>
      </c>
      <c r="J528" s="52" t="str">
        <f aca="false">IF(AND(ISNUMBER($G528),$G528&gt;=MA_MED),AVERAGE(INDEX($C$128:$C528,402-MA_MED):$C528),"")</f>
        <v/>
      </c>
      <c r="K528" s="52" t="str">
        <f aca="false">IF(AND(ISNUMBER($G528),$G528&gt;=MA_LONG2),AVERAGE(INDEX($C$128:$C528,402-MA_LONG2):$C528),"")</f>
        <v/>
      </c>
      <c r="L528" s="53" t="str">
        <f aca="false">IF(AND(ISNUMBER($G528),$G528&gt;=21),STDEV(INDEX($H$468:$H528,62-20):$H528)*SQRT(245),"")</f>
        <v/>
      </c>
      <c r="M528" s="52" t="str">
        <f aca="false">IF(AND(ISNUMBER($G528),$G528&gt;=60),MAX(INDEX($D$328:$D528,202-60):$D528),"")</f>
        <v/>
      </c>
      <c r="N528" s="52" t="str">
        <f aca="false">IF(AND(ISNUMBER($G528),$G528&gt;=60),MIN(INDEX($E$328:$E528,202-60):$E528),"")</f>
        <v/>
      </c>
      <c r="O528" s="53" t="str">
        <f aca="false">IF(OR(NOT(ISNUMBER($C528)),NOT(ISNUMBER($M528)),$M528=0),"",$C528/$M528-1)</f>
        <v/>
      </c>
      <c r="P528" s="54"/>
      <c r="Q528" s="53" t="str">
        <f aca="false">IF(NOT(ISNUMBER($P528)),"",IFERROR(PERCENTRANK($P$5:$P$1204,$P528),""))</f>
        <v/>
      </c>
    </row>
    <row r="529" customFormat="false" ht="15" hidden="false" customHeight="false" outlineLevel="0" collapsed="false">
      <c r="A529" s="55"/>
      <c r="B529" s="56"/>
      <c r="C529" s="57"/>
      <c r="D529" s="56"/>
      <c r="E529" s="56"/>
      <c r="F529" s="56"/>
      <c r="G529" s="50" t="str">
        <f aca="false">IF($A529="","",IF(ISNUMBER($G528),$G528+1,1))</f>
        <v/>
      </c>
      <c r="H529" s="51" t="str">
        <f aca="false">IF(OR(NOT(ISNUMBER($G529)),$G529&lt;2,NOT(ISNUMBER($C528)),$C528=0),"",$C529/$C528-1)</f>
        <v/>
      </c>
      <c r="I529" s="52" t="str">
        <f aca="false">IF(AND(ISNUMBER($G529),$G529&gt;=MA_SHORT),AVERAGE(INDEX($C$129:$C529,402-MA_SHORT):$C529),"")</f>
        <v/>
      </c>
      <c r="J529" s="52" t="str">
        <f aca="false">IF(AND(ISNUMBER($G529),$G529&gt;=MA_MED),AVERAGE(INDEX($C$129:$C529,402-MA_MED):$C529),"")</f>
        <v/>
      </c>
      <c r="K529" s="52" t="str">
        <f aca="false">IF(AND(ISNUMBER($G529),$G529&gt;=MA_LONG2),AVERAGE(INDEX($C$129:$C529,402-MA_LONG2):$C529),"")</f>
        <v/>
      </c>
      <c r="L529" s="53" t="str">
        <f aca="false">IF(AND(ISNUMBER($G529),$G529&gt;=21),STDEV(INDEX($H$469:$H529,62-20):$H529)*SQRT(245),"")</f>
        <v/>
      </c>
      <c r="M529" s="52" t="str">
        <f aca="false">IF(AND(ISNUMBER($G529),$G529&gt;=60),MAX(INDEX($D$329:$D529,202-60):$D529),"")</f>
        <v/>
      </c>
      <c r="N529" s="52" t="str">
        <f aca="false">IF(AND(ISNUMBER($G529),$G529&gt;=60),MIN(INDEX($E$329:$E529,202-60):$E529),"")</f>
        <v/>
      </c>
      <c r="O529" s="53" t="str">
        <f aca="false">IF(OR(NOT(ISNUMBER($C529)),NOT(ISNUMBER($M529)),$M529=0),"",$C529/$M529-1)</f>
        <v/>
      </c>
      <c r="P529" s="54"/>
      <c r="Q529" s="53" t="str">
        <f aca="false">IF(NOT(ISNUMBER($P529)),"",IFERROR(PERCENTRANK($P$5:$P$1204,$P529),""))</f>
        <v/>
      </c>
    </row>
    <row r="530" customFormat="false" ht="15" hidden="false" customHeight="false" outlineLevel="0" collapsed="false">
      <c r="A530" s="55"/>
      <c r="B530" s="56"/>
      <c r="C530" s="57"/>
      <c r="D530" s="56"/>
      <c r="E530" s="56"/>
      <c r="F530" s="56"/>
      <c r="G530" s="50" t="str">
        <f aca="false">IF($A530="","",IF(ISNUMBER($G529),$G529+1,1))</f>
        <v/>
      </c>
      <c r="H530" s="51" t="str">
        <f aca="false">IF(OR(NOT(ISNUMBER($G530)),$G530&lt;2,NOT(ISNUMBER($C529)),$C529=0),"",$C530/$C529-1)</f>
        <v/>
      </c>
      <c r="I530" s="52" t="str">
        <f aca="false">IF(AND(ISNUMBER($G530),$G530&gt;=MA_SHORT),AVERAGE(INDEX($C$130:$C530,402-MA_SHORT):$C530),"")</f>
        <v/>
      </c>
      <c r="J530" s="52" t="str">
        <f aca="false">IF(AND(ISNUMBER($G530),$G530&gt;=MA_MED),AVERAGE(INDEX($C$130:$C530,402-MA_MED):$C530),"")</f>
        <v/>
      </c>
      <c r="K530" s="52" t="str">
        <f aca="false">IF(AND(ISNUMBER($G530),$G530&gt;=MA_LONG2),AVERAGE(INDEX($C$130:$C530,402-MA_LONG2):$C530),"")</f>
        <v/>
      </c>
      <c r="L530" s="53" t="str">
        <f aca="false">IF(AND(ISNUMBER($G530),$G530&gt;=21),STDEV(INDEX($H$470:$H530,62-20):$H530)*SQRT(245),"")</f>
        <v/>
      </c>
      <c r="M530" s="52" t="str">
        <f aca="false">IF(AND(ISNUMBER($G530),$G530&gt;=60),MAX(INDEX($D$330:$D530,202-60):$D530),"")</f>
        <v/>
      </c>
      <c r="N530" s="52" t="str">
        <f aca="false">IF(AND(ISNUMBER($G530),$G530&gt;=60),MIN(INDEX($E$330:$E530,202-60):$E530),"")</f>
        <v/>
      </c>
      <c r="O530" s="53" t="str">
        <f aca="false">IF(OR(NOT(ISNUMBER($C530)),NOT(ISNUMBER($M530)),$M530=0),"",$C530/$M530-1)</f>
        <v/>
      </c>
      <c r="P530" s="54"/>
      <c r="Q530" s="53" t="str">
        <f aca="false">IF(NOT(ISNUMBER($P530)),"",IFERROR(PERCENTRANK($P$5:$P$1204,$P530),""))</f>
        <v/>
      </c>
    </row>
    <row r="531" customFormat="false" ht="15" hidden="false" customHeight="false" outlineLevel="0" collapsed="false">
      <c r="A531" s="55"/>
      <c r="B531" s="56"/>
      <c r="C531" s="57"/>
      <c r="D531" s="56"/>
      <c r="E531" s="56"/>
      <c r="F531" s="56"/>
      <c r="G531" s="50" t="str">
        <f aca="false">IF($A531="","",IF(ISNUMBER($G530),$G530+1,1))</f>
        <v/>
      </c>
      <c r="H531" s="51" t="str">
        <f aca="false">IF(OR(NOT(ISNUMBER($G531)),$G531&lt;2,NOT(ISNUMBER($C530)),$C530=0),"",$C531/$C530-1)</f>
        <v/>
      </c>
      <c r="I531" s="52" t="str">
        <f aca="false">IF(AND(ISNUMBER($G531),$G531&gt;=MA_SHORT),AVERAGE(INDEX($C$131:$C531,402-MA_SHORT):$C531),"")</f>
        <v/>
      </c>
      <c r="J531" s="52" t="str">
        <f aca="false">IF(AND(ISNUMBER($G531),$G531&gt;=MA_MED),AVERAGE(INDEX($C$131:$C531,402-MA_MED):$C531),"")</f>
        <v/>
      </c>
      <c r="K531" s="52" t="str">
        <f aca="false">IF(AND(ISNUMBER($G531),$G531&gt;=MA_LONG2),AVERAGE(INDEX($C$131:$C531,402-MA_LONG2):$C531),"")</f>
        <v/>
      </c>
      <c r="L531" s="53" t="str">
        <f aca="false">IF(AND(ISNUMBER($G531),$G531&gt;=21),STDEV(INDEX($H$471:$H531,62-20):$H531)*SQRT(245),"")</f>
        <v/>
      </c>
      <c r="M531" s="52" t="str">
        <f aca="false">IF(AND(ISNUMBER($G531),$G531&gt;=60),MAX(INDEX($D$331:$D531,202-60):$D531),"")</f>
        <v/>
      </c>
      <c r="N531" s="52" t="str">
        <f aca="false">IF(AND(ISNUMBER($G531),$G531&gt;=60),MIN(INDEX($E$331:$E531,202-60):$E531),"")</f>
        <v/>
      </c>
      <c r="O531" s="53" t="str">
        <f aca="false">IF(OR(NOT(ISNUMBER($C531)),NOT(ISNUMBER($M531)),$M531=0),"",$C531/$M531-1)</f>
        <v/>
      </c>
      <c r="P531" s="54"/>
      <c r="Q531" s="53" t="str">
        <f aca="false">IF(NOT(ISNUMBER($P531)),"",IFERROR(PERCENTRANK($P$5:$P$1204,$P531),""))</f>
        <v/>
      </c>
    </row>
    <row r="532" customFormat="false" ht="15" hidden="false" customHeight="false" outlineLevel="0" collapsed="false">
      <c r="A532" s="55"/>
      <c r="B532" s="56"/>
      <c r="C532" s="57"/>
      <c r="D532" s="56"/>
      <c r="E532" s="56"/>
      <c r="F532" s="56"/>
      <c r="G532" s="50" t="str">
        <f aca="false">IF($A532="","",IF(ISNUMBER($G531),$G531+1,1))</f>
        <v/>
      </c>
      <c r="H532" s="51" t="str">
        <f aca="false">IF(OR(NOT(ISNUMBER($G532)),$G532&lt;2,NOT(ISNUMBER($C531)),$C531=0),"",$C532/$C531-1)</f>
        <v/>
      </c>
      <c r="I532" s="52" t="str">
        <f aca="false">IF(AND(ISNUMBER($G532),$G532&gt;=MA_SHORT),AVERAGE(INDEX($C$132:$C532,402-MA_SHORT):$C532),"")</f>
        <v/>
      </c>
      <c r="J532" s="52" t="str">
        <f aca="false">IF(AND(ISNUMBER($G532),$G532&gt;=MA_MED),AVERAGE(INDEX($C$132:$C532,402-MA_MED):$C532),"")</f>
        <v/>
      </c>
      <c r="K532" s="52" t="str">
        <f aca="false">IF(AND(ISNUMBER($G532),$G532&gt;=MA_LONG2),AVERAGE(INDEX($C$132:$C532,402-MA_LONG2):$C532),"")</f>
        <v/>
      </c>
      <c r="L532" s="53" t="str">
        <f aca="false">IF(AND(ISNUMBER($G532),$G532&gt;=21),STDEV(INDEX($H$472:$H532,62-20):$H532)*SQRT(245),"")</f>
        <v/>
      </c>
      <c r="M532" s="52" t="str">
        <f aca="false">IF(AND(ISNUMBER($G532),$G532&gt;=60),MAX(INDEX($D$332:$D532,202-60):$D532),"")</f>
        <v/>
      </c>
      <c r="N532" s="52" t="str">
        <f aca="false">IF(AND(ISNUMBER($G532),$G532&gt;=60),MIN(INDEX($E$332:$E532,202-60):$E532),"")</f>
        <v/>
      </c>
      <c r="O532" s="53" t="str">
        <f aca="false">IF(OR(NOT(ISNUMBER($C532)),NOT(ISNUMBER($M532)),$M532=0),"",$C532/$M532-1)</f>
        <v/>
      </c>
      <c r="P532" s="54"/>
      <c r="Q532" s="53" t="str">
        <f aca="false">IF(NOT(ISNUMBER($P532)),"",IFERROR(PERCENTRANK($P$5:$P$1204,$P532),""))</f>
        <v/>
      </c>
    </row>
    <row r="533" customFormat="false" ht="15" hidden="false" customHeight="false" outlineLevel="0" collapsed="false">
      <c r="A533" s="55"/>
      <c r="B533" s="56"/>
      <c r="C533" s="57"/>
      <c r="D533" s="56"/>
      <c r="E533" s="56"/>
      <c r="F533" s="56"/>
      <c r="G533" s="50" t="str">
        <f aca="false">IF($A533="","",IF(ISNUMBER($G532),$G532+1,1))</f>
        <v/>
      </c>
      <c r="H533" s="51" t="str">
        <f aca="false">IF(OR(NOT(ISNUMBER($G533)),$G533&lt;2,NOT(ISNUMBER($C532)),$C532=0),"",$C533/$C532-1)</f>
        <v/>
      </c>
      <c r="I533" s="52" t="str">
        <f aca="false">IF(AND(ISNUMBER($G533),$G533&gt;=MA_SHORT),AVERAGE(INDEX($C$133:$C533,402-MA_SHORT):$C533),"")</f>
        <v/>
      </c>
      <c r="J533" s="52" t="str">
        <f aca="false">IF(AND(ISNUMBER($G533),$G533&gt;=MA_MED),AVERAGE(INDEX($C$133:$C533,402-MA_MED):$C533),"")</f>
        <v/>
      </c>
      <c r="K533" s="52" t="str">
        <f aca="false">IF(AND(ISNUMBER($G533),$G533&gt;=MA_LONG2),AVERAGE(INDEX($C$133:$C533,402-MA_LONG2):$C533),"")</f>
        <v/>
      </c>
      <c r="L533" s="53" t="str">
        <f aca="false">IF(AND(ISNUMBER($G533),$G533&gt;=21),STDEV(INDEX($H$473:$H533,62-20):$H533)*SQRT(245),"")</f>
        <v/>
      </c>
      <c r="M533" s="52" t="str">
        <f aca="false">IF(AND(ISNUMBER($G533),$G533&gt;=60),MAX(INDEX($D$333:$D533,202-60):$D533),"")</f>
        <v/>
      </c>
      <c r="N533" s="52" t="str">
        <f aca="false">IF(AND(ISNUMBER($G533),$G533&gt;=60),MIN(INDEX($E$333:$E533,202-60):$E533),"")</f>
        <v/>
      </c>
      <c r="O533" s="53" t="str">
        <f aca="false">IF(OR(NOT(ISNUMBER($C533)),NOT(ISNUMBER($M533)),$M533=0),"",$C533/$M533-1)</f>
        <v/>
      </c>
      <c r="P533" s="54"/>
      <c r="Q533" s="53" t="str">
        <f aca="false">IF(NOT(ISNUMBER($P533)),"",IFERROR(PERCENTRANK($P$5:$P$1204,$P533),""))</f>
        <v/>
      </c>
    </row>
    <row r="534" customFormat="false" ht="15" hidden="false" customHeight="false" outlineLevel="0" collapsed="false">
      <c r="A534" s="55"/>
      <c r="B534" s="56"/>
      <c r="C534" s="57"/>
      <c r="D534" s="56"/>
      <c r="E534" s="56"/>
      <c r="F534" s="56"/>
      <c r="G534" s="50" t="str">
        <f aca="false">IF($A534="","",IF(ISNUMBER($G533),$G533+1,1))</f>
        <v/>
      </c>
      <c r="H534" s="51" t="str">
        <f aca="false">IF(OR(NOT(ISNUMBER($G534)),$G534&lt;2,NOT(ISNUMBER($C533)),$C533=0),"",$C534/$C533-1)</f>
        <v/>
      </c>
      <c r="I534" s="52" t="str">
        <f aca="false">IF(AND(ISNUMBER($G534),$G534&gt;=MA_SHORT),AVERAGE(INDEX($C$134:$C534,402-MA_SHORT):$C534),"")</f>
        <v/>
      </c>
      <c r="J534" s="52" t="str">
        <f aca="false">IF(AND(ISNUMBER($G534),$G534&gt;=MA_MED),AVERAGE(INDEX($C$134:$C534,402-MA_MED):$C534),"")</f>
        <v/>
      </c>
      <c r="K534" s="52" t="str">
        <f aca="false">IF(AND(ISNUMBER($G534),$G534&gt;=MA_LONG2),AVERAGE(INDEX($C$134:$C534,402-MA_LONG2):$C534),"")</f>
        <v/>
      </c>
      <c r="L534" s="53" t="str">
        <f aca="false">IF(AND(ISNUMBER($G534),$G534&gt;=21),STDEV(INDEX($H$474:$H534,62-20):$H534)*SQRT(245),"")</f>
        <v/>
      </c>
      <c r="M534" s="52" t="str">
        <f aca="false">IF(AND(ISNUMBER($G534),$G534&gt;=60),MAX(INDEX($D$334:$D534,202-60):$D534),"")</f>
        <v/>
      </c>
      <c r="N534" s="52" t="str">
        <f aca="false">IF(AND(ISNUMBER($G534),$G534&gt;=60),MIN(INDEX($E$334:$E534,202-60):$E534),"")</f>
        <v/>
      </c>
      <c r="O534" s="53" t="str">
        <f aca="false">IF(OR(NOT(ISNUMBER($C534)),NOT(ISNUMBER($M534)),$M534=0),"",$C534/$M534-1)</f>
        <v/>
      </c>
      <c r="P534" s="54"/>
      <c r="Q534" s="53" t="str">
        <f aca="false">IF(NOT(ISNUMBER($P534)),"",IFERROR(PERCENTRANK($P$5:$P$1204,$P534),""))</f>
        <v/>
      </c>
    </row>
    <row r="535" customFormat="false" ht="15" hidden="false" customHeight="false" outlineLevel="0" collapsed="false">
      <c r="A535" s="55"/>
      <c r="B535" s="56"/>
      <c r="C535" s="57"/>
      <c r="D535" s="56"/>
      <c r="E535" s="56"/>
      <c r="F535" s="56"/>
      <c r="G535" s="50" t="str">
        <f aca="false">IF($A535="","",IF(ISNUMBER($G534),$G534+1,1))</f>
        <v/>
      </c>
      <c r="H535" s="51" t="str">
        <f aca="false">IF(OR(NOT(ISNUMBER($G535)),$G535&lt;2,NOT(ISNUMBER($C534)),$C534=0),"",$C535/$C534-1)</f>
        <v/>
      </c>
      <c r="I535" s="52" t="str">
        <f aca="false">IF(AND(ISNUMBER($G535),$G535&gt;=MA_SHORT),AVERAGE(INDEX($C$135:$C535,402-MA_SHORT):$C535),"")</f>
        <v/>
      </c>
      <c r="J535" s="52" t="str">
        <f aca="false">IF(AND(ISNUMBER($G535),$G535&gt;=MA_MED),AVERAGE(INDEX($C$135:$C535,402-MA_MED):$C535),"")</f>
        <v/>
      </c>
      <c r="K535" s="52" t="str">
        <f aca="false">IF(AND(ISNUMBER($G535),$G535&gt;=MA_LONG2),AVERAGE(INDEX($C$135:$C535,402-MA_LONG2):$C535),"")</f>
        <v/>
      </c>
      <c r="L535" s="53" t="str">
        <f aca="false">IF(AND(ISNUMBER($G535),$G535&gt;=21),STDEV(INDEX($H$475:$H535,62-20):$H535)*SQRT(245),"")</f>
        <v/>
      </c>
      <c r="M535" s="52" t="str">
        <f aca="false">IF(AND(ISNUMBER($G535),$G535&gt;=60),MAX(INDEX($D$335:$D535,202-60):$D535),"")</f>
        <v/>
      </c>
      <c r="N535" s="52" t="str">
        <f aca="false">IF(AND(ISNUMBER($G535),$G535&gt;=60),MIN(INDEX($E$335:$E535,202-60):$E535),"")</f>
        <v/>
      </c>
      <c r="O535" s="53" t="str">
        <f aca="false">IF(OR(NOT(ISNUMBER($C535)),NOT(ISNUMBER($M535)),$M535=0),"",$C535/$M535-1)</f>
        <v/>
      </c>
      <c r="P535" s="54"/>
      <c r="Q535" s="53" t="str">
        <f aca="false">IF(NOT(ISNUMBER($P535)),"",IFERROR(PERCENTRANK($P$5:$P$1204,$P535),""))</f>
        <v/>
      </c>
    </row>
    <row r="536" customFormat="false" ht="15" hidden="false" customHeight="false" outlineLevel="0" collapsed="false">
      <c r="A536" s="55"/>
      <c r="B536" s="56"/>
      <c r="C536" s="57"/>
      <c r="D536" s="56"/>
      <c r="E536" s="56"/>
      <c r="F536" s="56"/>
      <c r="G536" s="50" t="str">
        <f aca="false">IF($A536="","",IF(ISNUMBER($G535),$G535+1,1))</f>
        <v/>
      </c>
      <c r="H536" s="51" t="str">
        <f aca="false">IF(OR(NOT(ISNUMBER($G536)),$G536&lt;2,NOT(ISNUMBER($C535)),$C535=0),"",$C536/$C535-1)</f>
        <v/>
      </c>
      <c r="I536" s="52" t="str">
        <f aca="false">IF(AND(ISNUMBER($G536),$G536&gt;=MA_SHORT),AVERAGE(INDEX($C$136:$C536,402-MA_SHORT):$C536),"")</f>
        <v/>
      </c>
      <c r="J536" s="52" t="str">
        <f aca="false">IF(AND(ISNUMBER($G536),$G536&gt;=MA_MED),AVERAGE(INDEX($C$136:$C536,402-MA_MED):$C536),"")</f>
        <v/>
      </c>
      <c r="K536" s="52" t="str">
        <f aca="false">IF(AND(ISNUMBER($G536),$G536&gt;=MA_LONG2),AVERAGE(INDEX($C$136:$C536,402-MA_LONG2):$C536),"")</f>
        <v/>
      </c>
      <c r="L536" s="53" t="str">
        <f aca="false">IF(AND(ISNUMBER($G536),$G536&gt;=21),STDEV(INDEX($H$476:$H536,62-20):$H536)*SQRT(245),"")</f>
        <v/>
      </c>
      <c r="M536" s="52" t="str">
        <f aca="false">IF(AND(ISNUMBER($G536),$G536&gt;=60),MAX(INDEX($D$336:$D536,202-60):$D536),"")</f>
        <v/>
      </c>
      <c r="N536" s="52" t="str">
        <f aca="false">IF(AND(ISNUMBER($G536),$G536&gt;=60),MIN(INDEX($E$336:$E536,202-60):$E536),"")</f>
        <v/>
      </c>
      <c r="O536" s="53" t="str">
        <f aca="false">IF(OR(NOT(ISNUMBER($C536)),NOT(ISNUMBER($M536)),$M536=0),"",$C536/$M536-1)</f>
        <v/>
      </c>
      <c r="P536" s="54"/>
      <c r="Q536" s="53" t="str">
        <f aca="false">IF(NOT(ISNUMBER($P536)),"",IFERROR(PERCENTRANK($P$5:$P$1204,$P536),""))</f>
        <v/>
      </c>
    </row>
    <row r="537" customFormat="false" ht="15" hidden="false" customHeight="false" outlineLevel="0" collapsed="false">
      <c r="A537" s="55"/>
      <c r="B537" s="56"/>
      <c r="C537" s="57"/>
      <c r="D537" s="56"/>
      <c r="E537" s="56"/>
      <c r="F537" s="56"/>
      <c r="G537" s="50" t="str">
        <f aca="false">IF($A537="","",IF(ISNUMBER($G536),$G536+1,1))</f>
        <v/>
      </c>
      <c r="H537" s="51" t="str">
        <f aca="false">IF(OR(NOT(ISNUMBER($G537)),$G537&lt;2,NOT(ISNUMBER($C536)),$C536=0),"",$C537/$C536-1)</f>
        <v/>
      </c>
      <c r="I537" s="52" t="str">
        <f aca="false">IF(AND(ISNUMBER($G537),$G537&gt;=MA_SHORT),AVERAGE(INDEX($C$137:$C537,402-MA_SHORT):$C537),"")</f>
        <v/>
      </c>
      <c r="J537" s="52" t="str">
        <f aca="false">IF(AND(ISNUMBER($G537),$G537&gt;=MA_MED),AVERAGE(INDEX($C$137:$C537,402-MA_MED):$C537),"")</f>
        <v/>
      </c>
      <c r="K537" s="52" t="str">
        <f aca="false">IF(AND(ISNUMBER($G537),$G537&gt;=MA_LONG2),AVERAGE(INDEX($C$137:$C537,402-MA_LONG2):$C537),"")</f>
        <v/>
      </c>
      <c r="L537" s="53" t="str">
        <f aca="false">IF(AND(ISNUMBER($G537),$G537&gt;=21),STDEV(INDEX($H$477:$H537,62-20):$H537)*SQRT(245),"")</f>
        <v/>
      </c>
      <c r="M537" s="52" t="str">
        <f aca="false">IF(AND(ISNUMBER($G537),$G537&gt;=60),MAX(INDEX($D$337:$D537,202-60):$D537),"")</f>
        <v/>
      </c>
      <c r="N537" s="52" t="str">
        <f aca="false">IF(AND(ISNUMBER($G537),$G537&gt;=60),MIN(INDEX($E$337:$E537,202-60):$E537),"")</f>
        <v/>
      </c>
      <c r="O537" s="53" t="str">
        <f aca="false">IF(OR(NOT(ISNUMBER($C537)),NOT(ISNUMBER($M537)),$M537=0),"",$C537/$M537-1)</f>
        <v/>
      </c>
      <c r="P537" s="54"/>
      <c r="Q537" s="53" t="str">
        <f aca="false">IF(NOT(ISNUMBER($P537)),"",IFERROR(PERCENTRANK($P$5:$P$1204,$P537),""))</f>
        <v/>
      </c>
    </row>
    <row r="538" customFormat="false" ht="15" hidden="false" customHeight="false" outlineLevel="0" collapsed="false">
      <c r="A538" s="55"/>
      <c r="B538" s="56"/>
      <c r="C538" s="57"/>
      <c r="D538" s="56"/>
      <c r="E538" s="56"/>
      <c r="F538" s="56"/>
      <c r="G538" s="50" t="str">
        <f aca="false">IF($A538="","",IF(ISNUMBER($G537),$G537+1,1))</f>
        <v/>
      </c>
      <c r="H538" s="51" t="str">
        <f aca="false">IF(OR(NOT(ISNUMBER($G538)),$G538&lt;2,NOT(ISNUMBER($C537)),$C537=0),"",$C538/$C537-1)</f>
        <v/>
      </c>
      <c r="I538" s="52" t="str">
        <f aca="false">IF(AND(ISNUMBER($G538),$G538&gt;=MA_SHORT),AVERAGE(INDEX($C$138:$C538,402-MA_SHORT):$C538),"")</f>
        <v/>
      </c>
      <c r="J538" s="52" t="str">
        <f aca="false">IF(AND(ISNUMBER($G538),$G538&gt;=MA_MED),AVERAGE(INDEX($C$138:$C538,402-MA_MED):$C538),"")</f>
        <v/>
      </c>
      <c r="K538" s="52" t="str">
        <f aca="false">IF(AND(ISNUMBER($G538),$G538&gt;=MA_LONG2),AVERAGE(INDEX($C$138:$C538,402-MA_LONG2):$C538),"")</f>
        <v/>
      </c>
      <c r="L538" s="53" t="str">
        <f aca="false">IF(AND(ISNUMBER($G538),$G538&gt;=21),STDEV(INDEX($H$478:$H538,62-20):$H538)*SQRT(245),"")</f>
        <v/>
      </c>
      <c r="M538" s="52" t="str">
        <f aca="false">IF(AND(ISNUMBER($G538),$G538&gt;=60),MAX(INDEX($D$338:$D538,202-60):$D538),"")</f>
        <v/>
      </c>
      <c r="N538" s="52" t="str">
        <f aca="false">IF(AND(ISNUMBER($G538),$G538&gt;=60),MIN(INDEX($E$338:$E538,202-60):$E538),"")</f>
        <v/>
      </c>
      <c r="O538" s="53" t="str">
        <f aca="false">IF(OR(NOT(ISNUMBER($C538)),NOT(ISNUMBER($M538)),$M538=0),"",$C538/$M538-1)</f>
        <v/>
      </c>
      <c r="P538" s="54"/>
      <c r="Q538" s="53" t="str">
        <f aca="false">IF(NOT(ISNUMBER($P538)),"",IFERROR(PERCENTRANK($P$5:$P$1204,$P538),""))</f>
        <v/>
      </c>
    </row>
    <row r="539" customFormat="false" ht="15" hidden="false" customHeight="false" outlineLevel="0" collapsed="false">
      <c r="A539" s="55"/>
      <c r="B539" s="56"/>
      <c r="C539" s="57"/>
      <c r="D539" s="56"/>
      <c r="E539" s="56"/>
      <c r="F539" s="56"/>
      <c r="G539" s="50" t="str">
        <f aca="false">IF($A539="","",IF(ISNUMBER($G538),$G538+1,1))</f>
        <v/>
      </c>
      <c r="H539" s="51" t="str">
        <f aca="false">IF(OR(NOT(ISNUMBER($G539)),$G539&lt;2,NOT(ISNUMBER($C538)),$C538=0),"",$C539/$C538-1)</f>
        <v/>
      </c>
      <c r="I539" s="52" t="str">
        <f aca="false">IF(AND(ISNUMBER($G539),$G539&gt;=MA_SHORT),AVERAGE(INDEX($C$139:$C539,402-MA_SHORT):$C539),"")</f>
        <v/>
      </c>
      <c r="J539" s="52" t="str">
        <f aca="false">IF(AND(ISNUMBER($G539),$G539&gt;=MA_MED),AVERAGE(INDEX($C$139:$C539,402-MA_MED):$C539),"")</f>
        <v/>
      </c>
      <c r="K539" s="52" t="str">
        <f aca="false">IF(AND(ISNUMBER($G539),$G539&gt;=MA_LONG2),AVERAGE(INDEX($C$139:$C539,402-MA_LONG2):$C539),"")</f>
        <v/>
      </c>
      <c r="L539" s="53" t="str">
        <f aca="false">IF(AND(ISNUMBER($G539),$G539&gt;=21),STDEV(INDEX($H$479:$H539,62-20):$H539)*SQRT(245),"")</f>
        <v/>
      </c>
      <c r="M539" s="52" t="str">
        <f aca="false">IF(AND(ISNUMBER($G539),$G539&gt;=60),MAX(INDEX($D$339:$D539,202-60):$D539),"")</f>
        <v/>
      </c>
      <c r="N539" s="52" t="str">
        <f aca="false">IF(AND(ISNUMBER($G539),$G539&gt;=60),MIN(INDEX($E$339:$E539,202-60):$E539),"")</f>
        <v/>
      </c>
      <c r="O539" s="53" t="str">
        <f aca="false">IF(OR(NOT(ISNUMBER($C539)),NOT(ISNUMBER($M539)),$M539=0),"",$C539/$M539-1)</f>
        <v/>
      </c>
      <c r="P539" s="54"/>
      <c r="Q539" s="53" t="str">
        <f aca="false">IF(NOT(ISNUMBER($P539)),"",IFERROR(PERCENTRANK($P$5:$P$1204,$P539),""))</f>
        <v/>
      </c>
    </row>
    <row r="540" customFormat="false" ht="15" hidden="false" customHeight="false" outlineLevel="0" collapsed="false">
      <c r="A540" s="55"/>
      <c r="B540" s="56"/>
      <c r="C540" s="57"/>
      <c r="D540" s="56"/>
      <c r="E540" s="56"/>
      <c r="F540" s="56"/>
      <c r="G540" s="50" t="str">
        <f aca="false">IF($A540="","",IF(ISNUMBER($G539),$G539+1,1))</f>
        <v/>
      </c>
      <c r="H540" s="51" t="str">
        <f aca="false">IF(OR(NOT(ISNUMBER($G540)),$G540&lt;2,NOT(ISNUMBER($C539)),$C539=0),"",$C540/$C539-1)</f>
        <v/>
      </c>
      <c r="I540" s="52" t="str">
        <f aca="false">IF(AND(ISNUMBER($G540),$G540&gt;=MA_SHORT),AVERAGE(INDEX($C$140:$C540,402-MA_SHORT):$C540),"")</f>
        <v/>
      </c>
      <c r="J540" s="52" t="str">
        <f aca="false">IF(AND(ISNUMBER($G540),$G540&gt;=MA_MED),AVERAGE(INDEX($C$140:$C540,402-MA_MED):$C540),"")</f>
        <v/>
      </c>
      <c r="K540" s="52" t="str">
        <f aca="false">IF(AND(ISNUMBER($G540),$G540&gt;=MA_LONG2),AVERAGE(INDEX($C$140:$C540,402-MA_LONG2):$C540),"")</f>
        <v/>
      </c>
      <c r="L540" s="53" t="str">
        <f aca="false">IF(AND(ISNUMBER($G540),$G540&gt;=21),STDEV(INDEX($H$480:$H540,62-20):$H540)*SQRT(245),"")</f>
        <v/>
      </c>
      <c r="M540" s="52" t="str">
        <f aca="false">IF(AND(ISNUMBER($G540),$G540&gt;=60),MAX(INDEX($D$340:$D540,202-60):$D540),"")</f>
        <v/>
      </c>
      <c r="N540" s="52" t="str">
        <f aca="false">IF(AND(ISNUMBER($G540),$G540&gt;=60),MIN(INDEX($E$340:$E540,202-60):$E540),"")</f>
        <v/>
      </c>
      <c r="O540" s="53" t="str">
        <f aca="false">IF(OR(NOT(ISNUMBER($C540)),NOT(ISNUMBER($M540)),$M540=0),"",$C540/$M540-1)</f>
        <v/>
      </c>
      <c r="P540" s="54"/>
      <c r="Q540" s="53" t="str">
        <f aca="false">IF(NOT(ISNUMBER($P540)),"",IFERROR(PERCENTRANK($P$5:$P$1204,$P540),""))</f>
        <v/>
      </c>
    </row>
    <row r="541" customFormat="false" ht="15" hidden="false" customHeight="false" outlineLevel="0" collapsed="false">
      <c r="A541" s="55"/>
      <c r="B541" s="56"/>
      <c r="C541" s="57"/>
      <c r="D541" s="56"/>
      <c r="E541" s="56"/>
      <c r="F541" s="56"/>
      <c r="G541" s="50" t="str">
        <f aca="false">IF($A541="","",IF(ISNUMBER($G540),$G540+1,1))</f>
        <v/>
      </c>
      <c r="H541" s="51" t="str">
        <f aca="false">IF(OR(NOT(ISNUMBER($G541)),$G541&lt;2,NOT(ISNUMBER($C540)),$C540=0),"",$C541/$C540-1)</f>
        <v/>
      </c>
      <c r="I541" s="52" t="str">
        <f aca="false">IF(AND(ISNUMBER($G541),$G541&gt;=MA_SHORT),AVERAGE(INDEX($C$141:$C541,402-MA_SHORT):$C541),"")</f>
        <v/>
      </c>
      <c r="J541" s="52" t="str">
        <f aca="false">IF(AND(ISNUMBER($G541),$G541&gt;=MA_MED),AVERAGE(INDEX($C$141:$C541,402-MA_MED):$C541),"")</f>
        <v/>
      </c>
      <c r="K541" s="52" t="str">
        <f aca="false">IF(AND(ISNUMBER($G541),$G541&gt;=MA_LONG2),AVERAGE(INDEX($C$141:$C541,402-MA_LONG2):$C541),"")</f>
        <v/>
      </c>
      <c r="L541" s="53" t="str">
        <f aca="false">IF(AND(ISNUMBER($G541),$G541&gt;=21),STDEV(INDEX($H$481:$H541,62-20):$H541)*SQRT(245),"")</f>
        <v/>
      </c>
      <c r="M541" s="52" t="str">
        <f aca="false">IF(AND(ISNUMBER($G541),$G541&gt;=60),MAX(INDEX($D$341:$D541,202-60):$D541),"")</f>
        <v/>
      </c>
      <c r="N541" s="52" t="str">
        <f aca="false">IF(AND(ISNUMBER($G541),$G541&gt;=60),MIN(INDEX($E$341:$E541,202-60):$E541),"")</f>
        <v/>
      </c>
      <c r="O541" s="53" t="str">
        <f aca="false">IF(OR(NOT(ISNUMBER($C541)),NOT(ISNUMBER($M541)),$M541=0),"",$C541/$M541-1)</f>
        <v/>
      </c>
      <c r="P541" s="54"/>
      <c r="Q541" s="53" t="str">
        <f aca="false">IF(NOT(ISNUMBER($P541)),"",IFERROR(PERCENTRANK($P$5:$P$1204,$P541),""))</f>
        <v/>
      </c>
    </row>
    <row r="542" customFormat="false" ht="15" hidden="false" customHeight="false" outlineLevel="0" collapsed="false">
      <c r="A542" s="55"/>
      <c r="B542" s="56"/>
      <c r="C542" s="57"/>
      <c r="D542" s="56"/>
      <c r="E542" s="56"/>
      <c r="F542" s="56"/>
      <c r="G542" s="50" t="str">
        <f aca="false">IF($A542="","",IF(ISNUMBER($G541),$G541+1,1))</f>
        <v/>
      </c>
      <c r="H542" s="51" t="str">
        <f aca="false">IF(OR(NOT(ISNUMBER($G542)),$G542&lt;2,NOT(ISNUMBER($C541)),$C541=0),"",$C542/$C541-1)</f>
        <v/>
      </c>
      <c r="I542" s="52" t="str">
        <f aca="false">IF(AND(ISNUMBER($G542),$G542&gt;=MA_SHORT),AVERAGE(INDEX($C$142:$C542,402-MA_SHORT):$C542),"")</f>
        <v/>
      </c>
      <c r="J542" s="52" t="str">
        <f aca="false">IF(AND(ISNUMBER($G542),$G542&gt;=MA_MED),AVERAGE(INDEX($C$142:$C542,402-MA_MED):$C542),"")</f>
        <v/>
      </c>
      <c r="K542" s="52" t="str">
        <f aca="false">IF(AND(ISNUMBER($G542),$G542&gt;=MA_LONG2),AVERAGE(INDEX($C$142:$C542,402-MA_LONG2):$C542),"")</f>
        <v/>
      </c>
      <c r="L542" s="53" t="str">
        <f aca="false">IF(AND(ISNUMBER($G542),$G542&gt;=21),STDEV(INDEX($H$482:$H542,62-20):$H542)*SQRT(245),"")</f>
        <v/>
      </c>
      <c r="M542" s="52" t="str">
        <f aca="false">IF(AND(ISNUMBER($G542),$G542&gt;=60),MAX(INDEX($D$342:$D542,202-60):$D542),"")</f>
        <v/>
      </c>
      <c r="N542" s="52" t="str">
        <f aca="false">IF(AND(ISNUMBER($G542),$G542&gt;=60),MIN(INDEX($E$342:$E542,202-60):$E542),"")</f>
        <v/>
      </c>
      <c r="O542" s="53" t="str">
        <f aca="false">IF(OR(NOT(ISNUMBER($C542)),NOT(ISNUMBER($M542)),$M542=0),"",$C542/$M542-1)</f>
        <v/>
      </c>
      <c r="P542" s="54"/>
      <c r="Q542" s="53" t="str">
        <f aca="false">IF(NOT(ISNUMBER($P542)),"",IFERROR(PERCENTRANK($P$5:$P$1204,$P542),""))</f>
        <v/>
      </c>
    </row>
    <row r="543" customFormat="false" ht="15" hidden="false" customHeight="false" outlineLevel="0" collapsed="false">
      <c r="A543" s="55"/>
      <c r="B543" s="56"/>
      <c r="C543" s="57"/>
      <c r="D543" s="56"/>
      <c r="E543" s="56"/>
      <c r="F543" s="56"/>
      <c r="G543" s="50" t="str">
        <f aca="false">IF($A543="","",IF(ISNUMBER($G542),$G542+1,1))</f>
        <v/>
      </c>
      <c r="H543" s="51" t="str">
        <f aca="false">IF(OR(NOT(ISNUMBER($G543)),$G543&lt;2,NOT(ISNUMBER($C542)),$C542=0),"",$C543/$C542-1)</f>
        <v/>
      </c>
      <c r="I543" s="52" t="str">
        <f aca="false">IF(AND(ISNUMBER($G543),$G543&gt;=MA_SHORT),AVERAGE(INDEX($C$143:$C543,402-MA_SHORT):$C543),"")</f>
        <v/>
      </c>
      <c r="J543" s="52" t="str">
        <f aca="false">IF(AND(ISNUMBER($G543),$G543&gt;=MA_MED),AVERAGE(INDEX($C$143:$C543,402-MA_MED):$C543),"")</f>
        <v/>
      </c>
      <c r="K543" s="52" t="str">
        <f aca="false">IF(AND(ISNUMBER($G543),$G543&gt;=MA_LONG2),AVERAGE(INDEX($C$143:$C543,402-MA_LONG2):$C543),"")</f>
        <v/>
      </c>
      <c r="L543" s="53" t="str">
        <f aca="false">IF(AND(ISNUMBER($G543),$G543&gt;=21),STDEV(INDEX($H$483:$H543,62-20):$H543)*SQRT(245),"")</f>
        <v/>
      </c>
      <c r="M543" s="52" t="str">
        <f aca="false">IF(AND(ISNUMBER($G543),$G543&gt;=60),MAX(INDEX($D$343:$D543,202-60):$D543),"")</f>
        <v/>
      </c>
      <c r="N543" s="52" t="str">
        <f aca="false">IF(AND(ISNUMBER($G543),$G543&gt;=60),MIN(INDEX($E$343:$E543,202-60):$E543),"")</f>
        <v/>
      </c>
      <c r="O543" s="53" t="str">
        <f aca="false">IF(OR(NOT(ISNUMBER($C543)),NOT(ISNUMBER($M543)),$M543=0),"",$C543/$M543-1)</f>
        <v/>
      </c>
      <c r="P543" s="54"/>
      <c r="Q543" s="53" t="str">
        <f aca="false">IF(NOT(ISNUMBER($P543)),"",IFERROR(PERCENTRANK($P$5:$P$1204,$P543),""))</f>
        <v/>
      </c>
    </row>
    <row r="544" customFormat="false" ht="15" hidden="false" customHeight="false" outlineLevel="0" collapsed="false">
      <c r="A544" s="55"/>
      <c r="B544" s="56"/>
      <c r="C544" s="57"/>
      <c r="D544" s="56"/>
      <c r="E544" s="56"/>
      <c r="F544" s="56"/>
      <c r="G544" s="50" t="str">
        <f aca="false">IF($A544="","",IF(ISNUMBER($G543),$G543+1,1))</f>
        <v/>
      </c>
      <c r="H544" s="51" t="str">
        <f aca="false">IF(OR(NOT(ISNUMBER($G544)),$G544&lt;2,NOT(ISNUMBER($C543)),$C543=0),"",$C544/$C543-1)</f>
        <v/>
      </c>
      <c r="I544" s="52" t="str">
        <f aca="false">IF(AND(ISNUMBER($G544),$G544&gt;=MA_SHORT),AVERAGE(INDEX($C$144:$C544,402-MA_SHORT):$C544),"")</f>
        <v/>
      </c>
      <c r="J544" s="52" t="str">
        <f aca="false">IF(AND(ISNUMBER($G544),$G544&gt;=MA_MED),AVERAGE(INDEX($C$144:$C544,402-MA_MED):$C544),"")</f>
        <v/>
      </c>
      <c r="K544" s="52" t="str">
        <f aca="false">IF(AND(ISNUMBER($G544),$G544&gt;=MA_LONG2),AVERAGE(INDEX($C$144:$C544,402-MA_LONG2):$C544),"")</f>
        <v/>
      </c>
      <c r="L544" s="53" t="str">
        <f aca="false">IF(AND(ISNUMBER($G544),$G544&gt;=21),STDEV(INDEX($H$484:$H544,62-20):$H544)*SQRT(245),"")</f>
        <v/>
      </c>
      <c r="M544" s="52" t="str">
        <f aca="false">IF(AND(ISNUMBER($G544),$G544&gt;=60),MAX(INDEX($D$344:$D544,202-60):$D544),"")</f>
        <v/>
      </c>
      <c r="N544" s="52" t="str">
        <f aca="false">IF(AND(ISNUMBER($G544),$G544&gt;=60),MIN(INDEX($E$344:$E544,202-60):$E544),"")</f>
        <v/>
      </c>
      <c r="O544" s="53" t="str">
        <f aca="false">IF(OR(NOT(ISNUMBER($C544)),NOT(ISNUMBER($M544)),$M544=0),"",$C544/$M544-1)</f>
        <v/>
      </c>
      <c r="P544" s="54"/>
      <c r="Q544" s="53" t="str">
        <f aca="false">IF(NOT(ISNUMBER($P544)),"",IFERROR(PERCENTRANK($P$5:$P$1204,$P544),""))</f>
        <v/>
      </c>
    </row>
    <row r="545" customFormat="false" ht="15" hidden="false" customHeight="false" outlineLevel="0" collapsed="false">
      <c r="A545" s="55"/>
      <c r="B545" s="56"/>
      <c r="C545" s="57"/>
      <c r="D545" s="56"/>
      <c r="E545" s="56"/>
      <c r="F545" s="56"/>
      <c r="G545" s="50" t="str">
        <f aca="false">IF($A545="","",IF(ISNUMBER($G544),$G544+1,1))</f>
        <v/>
      </c>
      <c r="H545" s="51" t="str">
        <f aca="false">IF(OR(NOT(ISNUMBER($G545)),$G545&lt;2,NOT(ISNUMBER($C544)),$C544=0),"",$C545/$C544-1)</f>
        <v/>
      </c>
      <c r="I545" s="52" t="str">
        <f aca="false">IF(AND(ISNUMBER($G545),$G545&gt;=MA_SHORT),AVERAGE(INDEX($C$145:$C545,402-MA_SHORT):$C545),"")</f>
        <v/>
      </c>
      <c r="J545" s="52" t="str">
        <f aca="false">IF(AND(ISNUMBER($G545),$G545&gt;=MA_MED),AVERAGE(INDEX($C$145:$C545,402-MA_MED):$C545),"")</f>
        <v/>
      </c>
      <c r="K545" s="52" t="str">
        <f aca="false">IF(AND(ISNUMBER($G545),$G545&gt;=MA_LONG2),AVERAGE(INDEX($C$145:$C545,402-MA_LONG2):$C545),"")</f>
        <v/>
      </c>
      <c r="L545" s="53" t="str">
        <f aca="false">IF(AND(ISNUMBER($G545),$G545&gt;=21),STDEV(INDEX($H$485:$H545,62-20):$H545)*SQRT(245),"")</f>
        <v/>
      </c>
      <c r="M545" s="52" t="str">
        <f aca="false">IF(AND(ISNUMBER($G545),$G545&gt;=60),MAX(INDEX($D$345:$D545,202-60):$D545),"")</f>
        <v/>
      </c>
      <c r="N545" s="52" t="str">
        <f aca="false">IF(AND(ISNUMBER($G545),$G545&gt;=60),MIN(INDEX($E$345:$E545,202-60):$E545),"")</f>
        <v/>
      </c>
      <c r="O545" s="53" t="str">
        <f aca="false">IF(OR(NOT(ISNUMBER($C545)),NOT(ISNUMBER($M545)),$M545=0),"",$C545/$M545-1)</f>
        <v/>
      </c>
      <c r="P545" s="54"/>
      <c r="Q545" s="53" t="str">
        <f aca="false">IF(NOT(ISNUMBER($P545)),"",IFERROR(PERCENTRANK($P$5:$P$1204,$P545),""))</f>
        <v/>
      </c>
    </row>
    <row r="546" customFormat="false" ht="15" hidden="false" customHeight="false" outlineLevel="0" collapsed="false">
      <c r="A546" s="55"/>
      <c r="B546" s="56"/>
      <c r="C546" s="57"/>
      <c r="D546" s="56"/>
      <c r="E546" s="56"/>
      <c r="F546" s="56"/>
      <c r="G546" s="50" t="str">
        <f aca="false">IF($A546="","",IF(ISNUMBER($G545),$G545+1,1))</f>
        <v/>
      </c>
      <c r="H546" s="51" t="str">
        <f aca="false">IF(OR(NOT(ISNUMBER($G546)),$G546&lt;2,NOT(ISNUMBER($C545)),$C545=0),"",$C546/$C545-1)</f>
        <v/>
      </c>
      <c r="I546" s="52" t="str">
        <f aca="false">IF(AND(ISNUMBER($G546),$G546&gt;=MA_SHORT),AVERAGE(INDEX($C$146:$C546,402-MA_SHORT):$C546),"")</f>
        <v/>
      </c>
      <c r="J546" s="52" t="str">
        <f aca="false">IF(AND(ISNUMBER($G546),$G546&gt;=MA_MED),AVERAGE(INDEX($C$146:$C546,402-MA_MED):$C546),"")</f>
        <v/>
      </c>
      <c r="K546" s="52" t="str">
        <f aca="false">IF(AND(ISNUMBER($G546),$G546&gt;=MA_LONG2),AVERAGE(INDEX($C$146:$C546,402-MA_LONG2):$C546),"")</f>
        <v/>
      </c>
      <c r="L546" s="53" t="str">
        <f aca="false">IF(AND(ISNUMBER($G546),$G546&gt;=21),STDEV(INDEX($H$486:$H546,62-20):$H546)*SQRT(245),"")</f>
        <v/>
      </c>
      <c r="M546" s="52" t="str">
        <f aca="false">IF(AND(ISNUMBER($G546),$G546&gt;=60),MAX(INDEX($D$346:$D546,202-60):$D546),"")</f>
        <v/>
      </c>
      <c r="N546" s="52" t="str">
        <f aca="false">IF(AND(ISNUMBER($G546),$G546&gt;=60),MIN(INDEX($E$346:$E546,202-60):$E546),"")</f>
        <v/>
      </c>
      <c r="O546" s="53" t="str">
        <f aca="false">IF(OR(NOT(ISNUMBER($C546)),NOT(ISNUMBER($M546)),$M546=0),"",$C546/$M546-1)</f>
        <v/>
      </c>
      <c r="P546" s="54"/>
      <c r="Q546" s="53" t="str">
        <f aca="false">IF(NOT(ISNUMBER($P546)),"",IFERROR(PERCENTRANK($P$5:$P$1204,$P546),""))</f>
        <v/>
      </c>
    </row>
    <row r="547" customFormat="false" ht="15" hidden="false" customHeight="false" outlineLevel="0" collapsed="false">
      <c r="A547" s="55"/>
      <c r="B547" s="56"/>
      <c r="C547" s="57"/>
      <c r="D547" s="56"/>
      <c r="E547" s="56"/>
      <c r="F547" s="56"/>
      <c r="G547" s="50" t="str">
        <f aca="false">IF($A547="","",IF(ISNUMBER($G546),$G546+1,1))</f>
        <v/>
      </c>
      <c r="H547" s="51" t="str">
        <f aca="false">IF(OR(NOT(ISNUMBER($G547)),$G547&lt;2,NOT(ISNUMBER($C546)),$C546=0),"",$C547/$C546-1)</f>
        <v/>
      </c>
      <c r="I547" s="52" t="str">
        <f aca="false">IF(AND(ISNUMBER($G547),$G547&gt;=MA_SHORT),AVERAGE(INDEX($C$147:$C547,402-MA_SHORT):$C547),"")</f>
        <v/>
      </c>
      <c r="J547" s="52" t="str">
        <f aca="false">IF(AND(ISNUMBER($G547),$G547&gt;=MA_MED),AVERAGE(INDEX($C$147:$C547,402-MA_MED):$C547),"")</f>
        <v/>
      </c>
      <c r="K547" s="52" t="str">
        <f aca="false">IF(AND(ISNUMBER($G547),$G547&gt;=MA_LONG2),AVERAGE(INDEX($C$147:$C547,402-MA_LONG2):$C547),"")</f>
        <v/>
      </c>
      <c r="L547" s="53" t="str">
        <f aca="false">IF(AND(ISNUMBER($G547),$G547&gt;=21),STDEV(INDEX($H$487:$H547,62-20):$H547)*SQRT(245),"")</f>
        <v/>
      </c>
      <c r="M547" s="52" t="str">
        <f aca="false">IF(AND(ISNUMBER($G547),$G547&gt;=60),MAX(INDEX($D$347:$D547,202-60):$D547),"")</f>
        <v/>
      </c>
      <c r="N547" s="52" t="str">
        <f aca="false">IF(AND(ISNUMBER($G547),$G547&gt;=60),MIN(INDEX($E$347:$E547,202-60):$E547),"")</f>
        <v/>
      </c>
      <c r="O547" s="53" t="str">
        <f aca="false">IF(OR(NOT(ISNUMBER($C547)),NOT(ISNUMBER($M547)),$M547=0),"",$C547/$M547-1)</f>
        <v/>
      </c>
      <c r="P547" s="54"/>
      <c r="Q547" s="53" t="str">
        <f aca="false">IF(NOT(ISNUMBER($P547)),"",IFERROR(PERCENTRANK($P$5:$P$1204,$P547),""))</f>
        <v/>
      </c>
    </row>
    <row r="548" customFormat="false" ht="15" hidden="false" customHeight="false" outlineLevel="0" collapsed="false">
      <c r="A548" s="55"/>
      <c r="B548" s="56"/>
      <c r="C548" s="57"/>
      <c r="D548" s="56"/>
      <c r="E548" s="56"/>
      <c r="F548" s="56"/>
      <c r="G548" s="50" t="str">
        <f aca="false">IF($A548="","",IF(ISNUMBER($G547),$G547+1,1))</f>
        <v/>
      </c>
      <c r="H548" s="51" t="str">
        <f aca="false">IF(OR(NOT(ISNUMBER($G548)),$G548&lt;2,NOT(ISNUMBER($C547)),$C547=0),"",$C548/$C547-1)</f>
        <v/>
      </c>
      <c r="I548" s="52" t="str">
        <f aca="false">IF(AND(ISNUMBER($G548),$G548&gt;=MA_SHORT),AVERAGE(INDEX($C$148:$C548,402-MA_SHORT):$C548),"")</f>
        <v/>
      </c>
      <c r="J548" s="52" t="str">
        <f aca="false">IF(AND(ISNUMBER($G548),$G548&gt;=MA_MED),AVERAGE(INDEX($C$148:$C548,402-MA_MED):$C548),"")</f>
        <v/>
      </c>
      <c r="K548" s="52" t="str">
        <f aca="false">IF(AND(ISNUMBER($G548),$G548&gt;=MA_LONG2),AVERAGE(INDEX($C$148:$C548,402-MA_LONG2):$C548),"")</f>
        <v/>
      </c>
      <c r="L548" s="53" t="str">
        <f aca="false">IF(AND(ISNUMBER($G548),$G548&gt;=21),STDEV(INDEX($H$488:$H548,62-20):$H548)*SQRT(245),"")</f>
        <v/>
      </c>
      <c r="M548" s="52" t="str">
        <f aca="false">IF(AND(ISNUMBER($G548),$G548&gt;=60),MAX(INDEX($D$348:$D548,202-60):$D548),"")</f>
        <v/>
      </c>
      <c r="N548" s="52" t="str">
        <f aca="false">IF(AND(ISNUMBER($G548),$G548&gt;=60),MIN(INDEX($E$348:$E548,202-60):$E548),"")</f>
        <v/>
      </c>
      <c r="O548" s="53" t="str">
        <f aca="false">IF(OR(NOT(ISNUMBER($C548)),NOT(ISNUMBER($M548)),$M548=0),"",$C548/$M548-1)</f>
        <v/>
      </c>
      <c r="P548" s="54"/>
      <c r="Q548" s="53" t="str">
        <f aca="false">IF(NOT(ISNUMBER($P548)),"",IFERROR(PERCENTRANK($P$5:$P$1204,$P548),""))</f>
        <v/>
      </c>
    </row>
    <row r="549" customFormat="false" ht="15" hidden="false" customHeight="false" outlineLevel="0" collapsed="false">
      <c r="A549" s="55"/>
      <c r="B549" s="56"/>
      <c r="C549" s="57"/>
      <c r="D549" s="56"/>
      <c r="E549" s="56"/>
      <c r="F549" s="56"/>
      <c r="G549" s="50" t="str">
        <f aca="false">IF($A549="","",IF(ISNUMBER($G548),$G548+1,1))</f>
        <v/>
      </c>
      <c r="H549" s="51" t="str">
        <f aca="false">IF(OR(NOT(ISNUMBER($G549)),$G549&lt;2,NOT(ISNUMBER($C548)),$C548=0),"",$C549/$C548-1)</f>
        <v/>
      </c>
      <c r="I549" s="52" t="str">
        <f aca="false">IF(AND(ISNUMBER($G549),$G549&gt;=MA_SHORT),AVERAGE(INDEX($C$149:$C549,402-MA_SHORT):$C549),"")</f>
        <v/>
      </c>
      <c r="J549" s="52" t="str">
        <f aca="false">IF(AND(ISNUMBER($G549),$G549&gt;=MA_MED),AVERAGE(INDEX($C$149:$C549,402-MA_MED):$C549),"")</f>
        <v/>
      </c>
      <c r="K549" s="52" t="str">
        <f aca="false">IF(AND(ISNUMBER($G549),$G549&gt;=MA_LONG2),AVERAGE(INDEX($C$149:$C549,402-MA_LONG2):$C549),"")</f>
        <v/>
      </c>
      <c r="L549" s="53" t="str">
        <f aca="false">IF(AND(ISNUMBER($G549),$G549&gt;=21),STDEV(INDEX($H$489:$H549,62-20):$H549)*SQRT(245),"")</f>
        <v/>
      </c>
      <c r="M549" s="52" t="str">
        <f aca="false">IF(AND(ISNUMBER($G549),$G549&gt;=60),MAX(INDEX($D$349:$D549,202-60):$D549),"")</f>
        <v/>
      </c>
      <c r="N549" s="52" t="str">
        <f aca="false">IF(AND(ISNUMBER($G549),$G549&gt;=60),MIN(INDEX($E$349:$E549,202-60):$E549),"")</f>
        <v/>
      </c>
      <c r="O549" s="53" t="str">
        <f aca="false">IF(OR(NOT(ISNUMBER($C549)),NOT(ISNUMBER($M549)),$M549=0),"",$C549/$M549-1)</f>
        <v/>
      </c>
      <c r="P549" s="54"/>
      <c r="Q549" s="53" t="str">
        <f aca="false">IF(NOT(ISNUMBER($P549)),"",IFERROR(PERCENTRANK($P$5:$P$1204,$P549),""))</f>
        <v/>
      </c>
    </row>
    <row r="550" customFormat="false" ht="15" hidden="false" customHeight="false" outlineLevel="0" collapsed="false">
      <c r="A550" s="55"/>
      <c r="B550" s="56"/>
      <c r="C550" s="57"/>
      <c r="D550" s="56"/>
      <c r="E550" s="56"/>
      <c r="F550" s="56"/>
      <c r="G550" s="50" t="str">
        <f aca="false">IF($A550="","",IF(ISNUMBER($G549),$G549+1,1))</f>
        <v/>
      </c>
      <c r="H550" s="51" t="str">
        <f aca="false">IF(OR(NOT(ISNUMBER($G550)),$G550&lt;2,NOT(ISNUMBER($C549)),$C549=0),"",$C550/$C549-1)</f>
        <v/>
      </c>
      <c r="I550" s="52" t="str">
        <f aca="false">IF(AND(ISNUMBER($G550),$G550&gt;=MA_SHORT),AVERAGE(INDEX($C$150:$C550,402-MA_SHORT):$C550),"")</f>
        <v/>
      </c>
      <c r="J550" s="52" t="str">
        <f aca="false">IF(AND(ISNUMBER($G550),$G550&gt;=MA_MED),AVERAGE(INDEX($C$150:$C550,402-MA_MED):$C550),"")</f>
        <v/>
      </c>
      <c r="K550" s="52" t="str">
        <f aca="false">IF(AND(ISNUMBER($G550),$G550&gt;=MA_LONG2),AVERAGE(INDEX($C$150:$C550,402-MA_LONG2):$C550),"")</f>
        <v/>
      </c>
      <c r="L550" s="53" t="str">
        <f aca="false">IF(AND(ISNUMBER($G550),$G550&gt;=21),STDEV(INDEX($H$490:$H550,62-20):$H550)*SQRT(245),"")</f>
        <v/>
      </c>
      <c r="M550" s="52" t="str">
        <f aca="false">IF(AND(ISNUMBER($G550),$G550&gt;=60),MAX(INDEX($D$350:$D550,202-60):$D550),"")</f>
        <v/>
      </c>
      <c r="N550" s="52" t="str">
        <f aca="false">IF(AND(ISNUMBER($G550),$G550&gt;=60),MIN(INDEX($E$350:$E550,202-60):$E550),"")</f>
        <v/>
      </c>
      <c r="O550" s="53" t="str">
        <f aca="false">IF(OR(NOT(ISNUMBER($C550)),NOT(ISNUMBER($M550)),$M550=0),"",$C550/$M550-1)</f>
        <v/>
      </c>
      <c r="P550" s="54"/>
      <c r="Q550" s="53" t="str">
        <f aca="false">IF(NOT(ISNUMBER($P550)),"",IFERROR(PERCENTRANK($P$5:$P$1204,$P550),""))</f>
        <v/>
      </c>
    </row>
    <row r="551" customFormat="false" ht="15" hidden="false" customHeight="false" outlineLevel="0" collapsed="false">
      <c r="A551" s="55"/>
      <c r="B551" s="56"/>
      <c r="C551" s="57"/>
      <c r="D551" s="56"/>
      <c r="E551" s="56"/>
      <c r="F551" s="56"/>
      <c r="G551" s="50" t="str">
        <f aca="false">IF($A551="","",IF(ISNUMBER($G550),$G550+1,1))</f>
        <v/>
      </c>
      <c r="H551" s="51" t="str">
        <f aca="false">IF(OR(NOT(ISNUMBER($G551)),$G551&lt;2,NOT(ISNUMBER($C550)),$C550=0),"",$C551/$C550-1)</f>
        <v/>
      </c>
      <c r="I551" s="52" t="str">
        <f aca="false">IF(AND(ISNUMBER($G551),$G551&gt;=MA_SHORT),AVERAGE(INDEX($C$151:$C551,402-MA_SHORT):$C551),"")</f>
        <v/>
      </c>
      <c r="J551" s="52" t="str">
        <f aca="false">IF(AND(ISNUMBER($G551),$G551&gt;=MA_MED),AVERAGE(INDEX($C$151:$C551,402-MA_MED):$C551),"")</f>
        <v/>
      </c>
      <c r="K551" s="52" t="str">
        <f aca="false">IF(AND(ISNUMBER($G551),$G551&gt;=MA_LONG2),AVERAGE(INDEX($C$151:$C551,402-MA_LONG2):$C551),"")</f>
        <v/>
      </c>
      <c r="L551" s="53" t="str">
        <f aca="false">IF(AND(ISNUMBER($G551),$G551&gt;=21),STDEV(INDEX($H$491:$H551,62-20):$H551)*SQRT(245),"")</f>
        <v/>
      </c>
      <c r="M551" s="52" t="str">
        <f aca="false">IF(AND(ISNUMBER($G551),$G551&gt;=60),MAX(INDEX($D$351:$D551,202-60):$D551),"")</f>
        <v/>
      </c>
      <c r="N551" s="52" t="str">
        <f aca="false">IF(AND(ISNUMBER($G551),$G551&gt;=60),MIN(INDEX($E$351:$E551,202-60):$E551),"")</f>
        <v/>
      </c>
      <c r="O551" s="53" t="str">
        <f aca="false">IF(OR(NOT(ISNUMBER($C551)),NOT(ISNUMBER($M551)),$M551=0),"",$C551/$M551-1)</f>
        <v/>
      </c>
      <c r="P551" s="54"/>
      <c r="Q551" s="53" t="str">
        <f aca="false">IF(NOT(ISNUMBER($P551)),"",IFERROR(PERCENTRANK($P$5:$P$1204,$P551),""))</f>
        <v/>
      </c>
    </row>
    <row r="552" customFormat="false" ht="15" hidden="false" customHeight="false" outlineLevel="0" collapsed="false">
      <c r="A552" s="55"/>
      <c r="B552" s="56"/>
      <c r="C552" s="57"/>
      <c r="D552" s="56"/>
      <c r="E552" s="56"/>
      <c r="F552" s="56"/>
      <c r="G552" s="50" t="str">
        <f aca="false">IF($A552="","",IF(ISNUMBER($G551),$G551+1,1))</f>
        <v/>
      </c>
      <c r="H552" s="51" t="str">
        <f aca="false">IF(OR(NOT(ISNUMBER($G552)),$G552&lt;2,NOT(ISNUMBER($C551)),$C551=0),"",$C552/$C551-1)</f>
        <v/>
      </c>
      <c r="I552" s="52" t="str">
        <f aca="false">IF(AND(ISNUMBER($G552),$G552&gt;=MA_SHORT),AVERAGE(INDEX($C$152:$C552,402-MA_SHORT):$C552),"")</f>
        <v/>
      </c>
      <c r="J552" s="52" t="str">
        <f aca="false">IF(AND(ISNUMBER($G552),$G552&gt;=MA_MED),AVERAGE(INDEX($C$152:$C552,402-MA_MED):$C552),"")</f>
        <v/>
      </c>
      <c r="K552" s="52" t="str">
        <f aca="false">IF(AND(ISNUMBER($G552),$G552&gt;=MA_LONG2),AVERAGE(INDEX($C$152:$C552,402-MA_LONG2):$C552),"")</f>
        <v/>
      </c>
      <c r="L552" s="53" t="str">
        <f aca="false">IF(AND(ISNUMBER($G552),$G552&gt;=21),STDEV(INDEX($H$492:$H552,62-20):$H552)*SQRT(245),"")</f>
        <v/>
      </c>
      <c r="M552" s="52" t="str">
        <f aca="false">IF(AND(ISNUMBER($G552),$G552&gt;=60),MAX(INDEX($D$352:$D552,202-60):$D552),"")</f>
        <v/>
      </c>
      <c r="N552" s="52" t="str">
        <f aca="false">IF(AND(ISNUMBER($G552),$G552&gt;=60),MIN(INDEX($E$352:$E552,202-60):$E552),"")</f>
        <v/>
      </c>
      <c r="O552" s="53" t="str">
        <f aca="false">IF(OR(NOT(ISNUMBER($C552)),NOT(ISNUMBER($M552)),$M552=0),"",$C552/$M552-1)</f>
        <v/>
      </c>
      <c r="P552" s="54"/>
      <c r="Q552" s="53" t="str">
        <f aca="false">IF(NOT(ISNUMBER($P552)),"",IFERROR(PERCENTRANK($P$5:$P$1204,$P552),""))</f>
        <v/>
      </c>
    </row>
    <row r="553" customFormat="false" ht="15" hidden="false" customHeight="false" outlineLevel="0" collapsed="false">
      <c r="A553" s="55"/>
      <c r="B553" s="56"/>
      <c r="C553" s="57"/>
      <c r="D553" s="56"/>
      <c r="E553" s="56"/>
      <c r="F553" s="56"/>
      <c r="G553" s="50" t="str">
        <f aca="false">IF($A553="","",IF(ISNUMBER($G552),$G552+1,1))</f>
        <v/>
      </c>
      <c r="H553" s="51" t="str">
        <f aca="false">IF(OR(NOT(ISNUMBER($G553)),$G553&lt;2,NOT(ISNUMBER($C552)),$C552=0),"",$C553/$C552-1)</f>
        <v/>
      </c>
      <c r="I553" s="52" t="str">
        <f aca="false">IF(AND(ISNUMBER($G553),$G553&gt;=MA_SHORT),AVERAGE(INDEX($C$153:$C553,402-MA_SHORT):$C553),"")</f>
        <v/>
      </c>
      <c r="J553" s="52" t="str">
        <f aca="false">IF(AND(ISNUMBER($G553),$G553&gt;=MA_MED),AVERAGE(INDEX($C$153:$C553,402-MA_MED):$C553),"")</f>
        <v/>
      </c>
      <c r="K553" s="52" t="str">
        <f aca="false">IF(AND(ISNUMBER($G553),$G553&gt;=MA_LONG2),AVERAGE(INDEX($C$153:$C553,402-MA_LONG2):$C553),"")</f>
        <v/>
      </c>
      <c r="L553" s="53" t="str">
        <f aca="false">IF(AND(ISNUMBER($G553),$G553&gt;=21),STDEV(INDEX($H$493:$H553,62-20):$H553)*SQRT(245),"")</f>
        <v/>
      </c>
      <c r="M553" s="52" t="str">
        <f aca="false">IF(AND(ISNUMBER($G553),$G553&gt;=60),MAX(INDEX($D$353:$D553,202-60):$D553),"")</f>
        <v/>
      </c>
      <c r="N553" s="52" t="str">
        <f aca="false">IF(AND(ISNUMBER($G553),$G553&gt;=60),MIN(INDEX($E$353:$E553,202-60):$E553),"")</f>
        <v/>
      </c>
      <c r="O553" s="53" t="str">
        <f aca="false">IF(OR(NOT(ISNUMBER($C553)),NOT(ISNUMBER($M553)),$M553=0),"",$C553/$M553-1)</f>
        <v/>
      </c>
      <c r="P553" s="54"/>
      <c r="Q553" s="53" t="str">
        <f aca="false">IF(NOT(ISNUMBER($P553)),"",IFERROR(PERCENTRANK($P$5:$P$1204,$P553),""))</f>
        <v/>
      </c>
    </row>
    <row r="554" customFormat="false" ht="15" hidden="false" customHeight="false" outlineLevel="0" collapsed="false">
      <c r="A554" s="55"/>
      <c r="B554" s="56"/>
      <c r="C554" s="57"/>
      <c r="D554" s="56"/>
      <c r="E554" s="56"/>
      <c r="F554" s="56"/>
      <c r="G554" s="50" t="str">
        <f aca="false">IF($A554="","",IF(ISNUMBER($G553),$G553+1,1))</f>
        <v/>
      </c>
      <c r="H554" s="51" t="str">
        <f aca="false">IF(OR(NOT(ISNUMBER($G554)),$G554&lt;2,NOT(ISNUMBER($C553)),$C553=0),"",$C554/$C553-1)</f>
        <v/>
      </c>
      <c r="I554" s="52" t="str">
        <f aca="false">IF(AND(ISNUMBER($G554),$G554&gt;=MA_SHORT),AVERAGE(INDEX($C$154:$C554,402-MA_SHORT):$C554),"")</f>
        <v/>
      </c>
      <c r="J554" s="52" t="str">
        <f aca="false">IF(AND(ISNUMBER($G554),$G554&gt;=MA_MED),AVERAGE(INDEX($C$154:$C554,402-MA_MED):$C554),"")</f>
        <v/>
      </c>
      <c r="K554" s="52" t="str">
        <f aca="false">IF(AND(ISNUMBER($G554),$G554&gt;=MA_LONG2),AVERAGE(INDEX($C$154:$C554,402-MA_LONG2):$C554),"")</f>
        <v/>
      </c>
      <c r="L554" s="53" t="str">
        <f aca="false">IF(AND(ISNUMBER($G554),$G554&gt;=21),STDEV(INDEX($H$494:$H554,62-20):$H554)*SQRT(245),"")</f>
        <v/>
      </c>
      <c r="M554" s="52" t="str">
        <f aca="false">IF(AND(ISNUMBER($G554),$G554&gt;=60),MAX(INDEX($D$354:$D554,202-60):$D554),"")</f>
        <v/>
      </c>
      <c r="N554" s="52" t="str">
        <f aca="false">IF(AND(ISNUMBER($G554),$G554&gt;=60),MIN(INDEX($E$354:$E554,202-60):$E554),"")</f>
        <v/>
      </c>
      <c r="O554" s="53" t="str">
        <f aca="false">IF(OR(NOT(ISNUMBER($C554)),NOT(ISNUMBER($M554)),$M554=0),"",$C554/$M554-1)</f>
        <v/>
      </c>
      <c r="P554" s="54"/>
      <c r="Q554" s="53" t="str">
        <f aca="false">IF(NOT(ISNUMBER($P554)),"",IFERROR(PERCENTRANK($P$5:$P$1204,$P554),""))</f>
        <v/>
      </c>
    </row>
    <row r="555" customFormat="false" ht="15" hidden="false" customHeight="false" outlineLevel="0" collapsed="false">
      <c r="A555" s="55"/>
      <c r="B555" s="56"/>
      <c r="C555" s="57"/>
      <c r="D555" s="56"/>
      <c r="E555" s="56"/>
      <c r="F555" s="56"/>
      <c r="G555" s="50" t="str">
        <f aca="false">IF($A555="","",IF(ISNUMBER($G554),$G554+1,1))</f>
        <v/>
      </c>
      <c r="H555" s="51" t="str">
        <f aca="false">IF(OR(NOT(ISNUMBER($G555)),$G555&lt;2,NOT(ISNUMBER($C554)),$C554=0),"",$C555/$C554-1)</f>
        <v/>
      </c>
      <c r="I555" s="52" t="str">
        <f aca="false">IF(AND(ISNUMBER($G555),$G555&gt;=MA_SHORT),AVERAGE(INDEX($C$155:$C555,402-MA_SHORT):$C555),"")</f>
        <v/>
      </c>
      <c r="J555" s="52" t="str">
        <f aca="false">IF(AND(ISNUMBER($G555),$G555&gt;=MA_MED),AVERAGE(INDEX($C$155:$C555,402-MA_MED):$C555),"")</f>
        <v/>
      </c>
      <c r="K555" s="52" t="str">
        <f aca="false">IF(AND(ISNUMBER($G555),$G555&gt;=MA_LONG2),AVERAGE(INDEX($C$155:$C555,402-MA_LONG2):$C555),"")</f>
        <v/>
      </c>
      <c r="L555" s="53" t="str">
        <f aca="false">IF(AND(ISNUMBER($G555),$G555&gt;=21),STDEV(INDEX($H$495:$H555,62-20):$H555)*SQRT(245),"")</f>
        <v/>
      </c>
      <c r="M555" s="52" t="str">
        <f aca="false">IF(AND(ISNUMBER($G555),$G555&gt;=60),MAX(INDEX($D$355:$D555,202-60):$D555),"")</f>
        <v/>
      </c>
      <c r="N555" s="52" t="str">
        <f aca="false">IF(AND(ISNUMBER($G555),$G555&gt;=60),MIN(INDEX($E$355:$E555,202-60):$E555),"")</f>
        <v/>
      </c>
      <c r="O555" s="53" t="str">
        <f aca="false">IF(OR(NOT(ISNUMBER($C555)),NOT(ISNUMBER($M555)),$M555=0),"",$C555/$M555-1)</f>
        <v/>
      </c>
      <c r="P555" s="54"/>
      <c r="Q555" s="53" t="str">
        <f aca="false">IF(NOT(ISNUMBER($P555)),"",IFERROR(PERCENTRANK($P$5:$P$1204,$P555),""))</f>
        <v/>
      </c>
    </row>
    <row r="556" customFormat="false" ht="15" hidden="false" customHeight="false" outlineLevel="0" collapsed="false">
      <c r="A556" s="55"/>
      <c r="B556" s="56"/>
      <c r="C556" s="57"/>
      <c r="D556" s="56"/>
      <c r="E556" s="56"/>
      <c r="F556" s="56"/>
      <c r="G556" s="50" t="str">
        <f aca="false">IF($A556="","",IF(ISNUMBER($G555),$G555+1,1))</f>
        <v/>
      </c>
      <c r="H556" s="51" t="str">
        <f aca="false">IF(OR(NOT(ISNUMBER($G556)),$G556&lt;2,NOT(ISNUMBER($C555)),$C555=0),"",$C556/$C555-1)</f>
        <v/>
      </c>
      <c r="I556" s="52" t="str">
        <f aca="false">IF(AND(ISNUMBER($G556),$G556&gt;=MA_SHORT),AVERAGE(INDEX($C$156:$C556,402-MA_SHORT):$C556),"")</f>
        <v/>
      </c>
      <c r="J556" s="52" t="str">
        <f aca="false">IF(AND(ISNUMBER($G556),$G556&gt;=MA_MED),AVERAGE(INDEX($C$156:$C556,402-MA_MED):$C556),"")</f>
        <v/>
      </c>
      <c r="K556" s="52" t="str">
        <f aca="false">IF(AND(ISNUMBER($G556),$G556&gt;=MA_LONG2),AVERAGE(INDEX($C$156:$C556,402-MA_LONG2):$C556),"")</f>
        <v/>
      </c>
      <c r="L556" s="53" t="str">
        <f aca="false">IF(AND(ISNUMBER($G556),$G556&gt;=21),STDEV(INDEX($H$496:$H556,62-20):$H556)*SQRT(245),"")</f>
        <v/>
      </c>
      <c r="M556" s="52" t="str">
        <f aca="false">IF(AND(ISNUMBER($G556),$G556&gt;=60),MAX(INDEX($D$356:$D556,202-60):$D556),"")</f>
        <v/>
      </c>
      <c r="N556" s="52" t="str">
        <f aca="false">IF(AND(ISNUMBER($G556),$G556&gt;=60),MIN(INDEX($E$356:$E556,202-60):$E556),"")</f>
        <v/>
      </c>
      <c r="O556" s="53" t="str">
        <f aca="false">IF(OR(NOT(ISNUMBER($C556)),NOT(ISNUMBER($M556)),$M556=0),"",$C556/$M556-1)</f>
        <v/>
      </c>
      <c r="P556" s="54"/>
      <c r="Q556" s="53" t="str">
        <f aca="false">IF(NOT(ISNUMBER($P556)),"",IFERROR(PERCENTRANK($P$5:$P$1204,$P556),""))</f>
        <v/>
      </c>
    </row>
    <row r="557" customFormat="false" ht="15" hidden="false" customHeight="false" outlineLevel="0" collapsed="false">
      <c r="A557" s="55"/>
      <c r="B557" s="56"/>
      <c r="C557" s="57"/>
      <c r="D557" s="56"/>
      <c r="E557" s="56"/>
      <c r="F557" s="56"/>
      <c r="G557" s="50" t="str">
        <f aca="false">IF($A557="","",IF(ISNUMBER($G556),$G556+1,1))</f>
        <v/>
      </c>
      <c r="H557" s="51" t="str">
        <f aca="false">IF(OR(NOT(ISNUMBER($G557)),$G557&lt;2,NOT(ISNUMBER($C556)),$C556=0),"",$C557/$C556-1)</f>
        <v/>
      </c>
      <c r="I557" s="52" t="str">
        <f aca="false">IF(AND(ISNUMBER($G557),$G557&gt;=MA_SHORT),AVERAGE(INDEX($C$157:$C557,402-MA_SHORT):$C557),"")</f>
        <v/>
      </c>
      <c r="J557" s="52" t="str">
        <f aca="false">IF(AND(ISNUMBER($G557),$G557&gt;=MA_MED),AVERAGE(INDEX($C$157:$C557,402-MA_MED):$C557),"")</f>
        <v/>
      </c>
      <c r="K557" s="52" t="str">
        <f aca="false">IF(AND(ISNUMBER($G557),$G557&gt;=MA_LONG2),AVERAGE(INDEX($C$157:$C557,402-MA_LONG2):$C557),"")</f>
        <v/>
      </c>
      <c r="L557" s="53" t="str">
        <f aca="false">IF(AND(ISNUMBER($G557),$G557&gt;=21),STDEV(INDEX($H$497:$H557,62-20):$H557)*SQRT(245),"")</f>
        <v/>
      </c>
      <c r="M557" s="52" t="str">
        <f aca="false">IF(AND(ISNUMBER($G557),$G557&gt;=60),MAX(INDEX($D$357:$D557,202-60):$D557),"")</f>
        <v/>
      </c>
      <c r="N557" s="52" t="str">
        <f aca="false">IF(AND(ISNUMBER($G557),$G557&gt;=60),MIN(INDEX($E$357:$E557,202-60):$E557),"")</f>
        <v/>
      </c>
      <c r="O557" s="53" t="str">
        <f aca="false">IF(OR(NOT(ISNUMBER($C557)),NOT(ISNUMBER($M557)),$M557=0),"",$C557/$M557-1)</f>
        <v/>
      </c>
      <c r="P557" s="54"/>
      <c r="Q557" s="53" t="str">
        <f aca="false">IF(NOT(ISNUMBER($P557)),"",IFERROR(PERCENTRANK($P$5:$P$1204,$P557),""))</f>
        <v/>
      </c>
    </row>
    <row r="558" customFormat="false" ht="15" hidden="false" customHeight="false" outlineLevel="0" collapsed="false">
      <c r="A558" s="55"/>
      <c r="B558" s="56"/>
      <c r="C558" s="57"/>
      <c r="D558" s="56"/>
      <c r="E558" s="56"/>
      <c r="F558" s="56"/>
      <c r="G558" s="50" t="str">
        <f aca="false">IF($A558="","",IF(ISNUMBER($G557),$G557+1,1))</f>
        <v/>
      </c>
      <c r="H558" s="51" t="str">
        <f aca="false">IF(OR(NOT(ISNUMBER($G558)),$G558&lt;2,NOT(ISNUMBER($C557)),$C557=0),"",$C558/$C557-1)</f>
        <v/>
      </c>
      <c r="I558" s="52" t="str">
        <f aca="false">IF(AND(ISNUMBER($G558),$G558&gt;=MA_SHORT),AVERAGE(INDEX($C$158:$C558,402-MA_SHORT):$C558),"")</f>
        <v/>
      </c>
      <c r="J558" s="52" t="str">
        <f aca="false">IF(AND(ISNUMBER($G558),$G558&gt;=MA_MED),AVERAGE(INDEX($C$158:$C558,402-MA_MED):$C558),"")</f>
        <v/>
      </c>
      <c r="K558" s="52" t="str">
        <f aca="false">IF(AND(ISNUMBER($G558),$G558&gt;=MA_LONG2),AVERAGE(INDEX($C$158:$C558,402-MA_LONG2):$C558),"")</f>
        <v/>
      </c>
      <c r="L558" s="53" t="str">
        <f aca="false">IF(AND(ISNUMBER($G558),$G558&gt;=21),STDEV(INDEX($H$498:$H558,62-20):$H558)*SQRT(245),"")</f>
        <v/>
      </c>
      <c r="M558" s="52" t="str">
        <f aca="false">IF(AND(ISNUMBER($G558),$G558&gt;=60),MAX(INDEX($D$358:$D558,202-60):$D558),"")</f>
        <v/>
      </c>
      <c r="N558" s="52" t="str">
        <f aca="false">IF(AND(ISNUMBER($G558),$G558&gt;=60),MIN(INDEX($E$358:$E558,202-60):$E558),"")</f>
        <v/>
      </c>
      <c r="O558" s="53" t="str">
        <f aca="false">IF(OR(NOT(ISNUMBER($C558)),NOT(ISNUMBER($M558)),$M558=0),"",$C558/$M558-1)</f>
        <v/>
      </c>
      <c r="P558" s="54"/>
      <c r="Q558" s="53" t="str">
        <f aca="false">IF(NOT(ISNUMBER($P558)),"",IFERROR(PERCENTRANK($P$5:$P$1204,$P558),""))</f>
        <v/>
      </c>
    </row>
    <row r="559" customFormat="false" ht="15" hidden="false" customHeight="false" outlineLevel="0" collapsed="false">
      <c r="A559" s="55"/>
      <c r="B559" s="56"/>
      <c r="C559" s="57"/>
      <c r="D559" s="56"/>
      <c r="E559" s="56"/>
      <c r="F559" s="56"/>
      <c r="G559" s="50" t="str">
        <f aca="false">IF($A559="","",IF(ISNUMBER($G558),$G558+1,1))</f>
        <v/>
      </c>
      <c r="H559" s="51" t="str">
        <f aca="false">IF(OR(NOT(ISNUMBER($G559)),$G559&lt;2,NOT(ISNUMBER($C558)),$C558=0),"",$C559/$C558-1)</f>
        <v/>
      </c>
      <c r="I559" s="52" t="str">
        <f aca="false">IF(AND(ISNUMBER($G559),$G559&gt;=MA_SHORT),AVERAGE(INDEX($C$159:$C559,402-MA_SHORT):$C559),"")</f>
        <v/>
      </c>
      <c r="J559" s="52" t="str">
        <f aca="false">IF(AND(ISNUMBER($G559),$G559&gt;=MA_MED),AVERAGE(INDEX($C$159:$C559,402-MA_MED):$C559),"")</f>
        <v/>
      </c>
      <c r="K559" s="52" t="str">
        <f aca="false">IF(AND(ISNUMBER($G559),$G559&gt;=MA_LONG2),AVERAGE(INDEX($C$159:$C559,402-MA_LONG2):$C559),"")</f>
        <v/>
      </c>
      <c r="L559" s="53" t="str">
        <f aca="false">IF(AND(ISNUMBER($G559),$G559&gt;=21),STDEV(INDEX($H$499:$H559,62-20):$H559)*SQRT(245),"")</f>
        <v/>
      </c>
      <c r="M559" s="52" t="str">
        <f aca="false">IF(AND(ISNUMBER($G559),$G559&gt;=60),MAX(INDEX($D$359:$D559,202-60):$D559),"")</f>
        <v/>
      </c>
      <c r="N559" s="52" t="str">
        <f aca="false">IF(AND(ISNUMBER($G559),$G559&gt;=60),MIN(INDEX($E$359:$E559,202-60):$E559),"")</f>
        <v/>
      </c>
      <c r="O559" s="53" t="str">
        <f aca="false">IF(OR(NOT(ISNUMBER($C559)),NOT(ISNUMBER($M559)),$M559=0),"",$C559/$M559-1)</f>
        <v/>
      </c>
      <c r="P559" s="54"/>
      <c r="Q559" s="53" t="str">
        <f aca="false">IF(NOT(ISNUMBER($P559)),"",IFERROR(PERCENTRANK($P$5:$P$1204,$P559),""))</f>
        <v/>
      </c>
    </row>
    <row r="560" customFormat="false" ht="15" hidden="false" customHeight="false" outlineLevel="0" collapsed="false">
      <c r="A560" s="55"/>
      <c r="B560" s="56"/>
      <c r="C560" s="57"/>
      <c r="D560" s="56"/>
      <c r="E560" s="56"/>
      <c r="F560" s="56"/>
      <c r="G560" s="50" t="str">
        <f aca="false">IF($A560="","",IF(ISNUMBER($G559),$G559+1,1))</f>
        <v/>
      </c>
      <c r="H560" s="51" t="str">
        <f aca="false">IF(OR(NOT(ISNUMBER($G560)),$G560&lt;2,NOT(ISNUMBER($C559)),$C559=0),"",$C560/$C559-1)</f>
        <v/>
      </c>
      <c r="I560" s="52" t="str">
        <f aca="false">IF(AND(ISNUMBER($G560),$G560&gt;=MA_SHORT),AVERAGE(INDEX($C$160:$C560,402-MA_SHORT):$C560),"")</f>
        <v/>
      </c>
      <c r="J560" s="52" t="str">
        <f aca="false">IF(AND(ISNUMBER($G560),$G560&gt;=MA_MED),AVERAGE(INDEX($C$160:$C560,402-MA_MED):$C560),"")</f>
        <v/>
      </c>
      <c r="K560" s="52" t="str">
        <f aca="false">IF(AND(ISNUMBER($G560),$G560&gt;=MA_LONG2),AVERAGE(INDEX($C$160:$C560,402-MA_LONG2):$C560),"")</f>
        <v/>
      </c>
      <c r="L560" s="53" t="str">
        <f aca="false">IF(AND(ISNUMBER($G560),$G560&gt;=21),STDEV(INDEX($H$500:$H560,62-20):$H560)*SQRT(245),"")</f>
        <v/>
      </c>
      <c r="M560" s="52" t="str">
        <f aca="false">IF(AND(ISNUMBER($G560),$G560&gt;=60),MAX(INDEX($D$360:$D560,202-60):$D560),"")</f>
        <v/>
      </c>
      <c r="N560" s="52" t="str">
        <f aca="false">IF(AND(ISNUMBER($G560),$G560&gt;=60),MIN(INDEX($E$360:$E560,202-60):$E560),"")</f>
        <v/>
      </c>
      <c r="O560" s="53" t="str">
        <f aca="false">IF(OR(NOT(ISNUMBER($C560)),NOT(ISNUMBER($M560)),$M560=0),"",$C560/$M560-1)</f>
        <v/>
      </c>
      <c r="P560" s="54"/>
      <c r="Q560" s="53" t="str">
        <f aca="false">IF(NOT(ISNUMBER($P560)),"",IFERROR(PERCENTRANK($P$5:$P$1204,$P560),""))</f>
        <v/>
      </c>
    </row>
    <row r="561" customFormat="false" ht="15" hidden="false" customHeight="false" outlineLevel="0" collapsed="false">
      <c r="A561" s="55"/>
      <c r="B561" s="56"/>
      <c r="C561" s="57"/>
      <c r="D561" s="56"/>
      <c r="E561" s="56"/>
      <c r="F561" s="56"/>
      <c r="G561" s="50" t="str">
        <f aca="false">IF($A561="","",IF(ISNUMBER($G560),$G560+1,1))</f>
        <v/>
      </c>
      <c r="H561" s="51" t="str">
        <f aca="false">IF(OR(NOT(ISNUMBER($G561)),$G561&lt;2,NOT(ISNUMBER($C560)),$C560=0),"",$C561/$C560-1)</f>
        <v/>
      </c>
      <c r="I561" s="52" t="str">
        <f aca="false">IF(AND(ISNUMBER($G561),$G561&gt;=MA_SHORT),AVERAGE(INDEX($C$161:$C561,402-MA_SHORT):$C561),"")</f>
        <v/>
      </c>
      <c r="J561" s="52" t="str">
        <f aca="false">IF(AND(ISNUMBER($G561),$G561&gt;=MA_MED),AVERAGE(INDEX($C$161:$C561,402-MA_MED):$C561),"")</f>
        <v/>
      </c>
      <c r="K561" s="52" t="str">
        <f aca="false">IF(AND(ISNUMBER($G561),$G561&gt;=MA_LONG2),AVERAGE(INDEX($C$161:$C561,402-MA_LONG2):$C561),"")</f>
        <v/>
      </c>
      <c r="L561" s="53" t="str">
        <f aca="false">IF(AND(ISNUMBER($G561),$G561&gt;=21),STDEV(INDEX($H$501:$H561,62-20):$H561)*SQRT(245),"")</f>
        <v/>
      </c>
      <c r="M561" s="52" t="str">
        <f aca="false">IF(AND(ISNUMBER($G561),$G561&gt;=60),MAX(INDEX($D$361:$D561,202-60):$D561),"")</f>
        <v/>
      </c>
      <c r="N561" s="52" t="str">
        <f aca="false">IF(AND(ISNUMBER($G561),$G561&gt;=60),MIN(INDEX($E$361:$E561,202-60):$E561),"")</f>
        <v/>
      </c>
      <c r="O561" s="53" t="str">
        <f aca="false">IF(OR(NOT(ISNUMBER($C561)),NOT(ISNUMBER($M561)),$M561=0),"",$C561/$M561-1)</f>
        <v/>
      </c>
      <c r="P561" s="54"/>
      <c r="Q561" s="53" t="str">
        <f aca="false">IF(NOT(ISNUMBER($P561)),"",IFERROR(PERCENTRANK($P$5:$P$1204,$P561),""))</f>
        <v/>
      </c>
    </row>
    <row r="562" customFormat="false" ht="15" hidden="false" customHeight="false" outlineLevel="0" collapsed="false">
      <c r="A562" s="55"/>
      <c r="B562" s="56"/>
      <c r="C562" s="57"/>
      <c r="D562" s="56"/>
      <c r="E562" s="56"/>
      <c r="F562" s="56"/>
      <c r="G562" s="50" t="str">
        <f aca="false">IF($A562="","",IF(ISNUMBER($G561),$G561+1,1))</f>
        <v/>
      </c>
      <c r="H562" s="51" t="str">
        <f aca="false">IF(OR(NOT(ISNUMBER($G562)),$G562&lt;2,NOT(ISNUMBER($C561)),$C561=0),"",$C562/$C561-1)</f>
        <v/>
      </c>
      <c r="I562" s="52" t="str">
        <f aca="false">IF(AND(ISNUMBER($G562),$G562&gt;=MA_SHORT),AVERAGE(INDEX($C$162:$C562,402-MA_SHORT):$C562),"")</f>
        <v/>
      </c>
      <c r="J562" s="52" t="str">
        <f aca="false">IF(AND(ISNUMBER($G562),$G562&gt;=MA_MED),AVERAGE(INDEX($C$162:$C562,402-MA_MED):$C562),"")</f>
        <v/>
      </c>
      <c r="K562" s="52" t="str">
        <f aca="false">IF(AND(ISNUMBER($G562),$G562&gt;=MA_LONG2),AVERAGE(INDEX($C$162:$C562,402-MA_LONG2):$C562),"")</f>
        <v/>
      </c>
      <c r="L562" s="53" t="str">
        <f aca="false">IF(AND(ISNUMBER($G562),$G562&gt;=21),STDEV(INDEX($H$502:$H562,62-20):$H562)*SQRT(245),"")</f>
        <v/>
      </c>
      <c r="M562" s="52" t="str">
        <f aca="false">IF(AND(ISNUMBER($G562),$G562&gt;=60),MAX(INDEX($D$362:$D562,202-60):$D562),"")</f>
        <v/>
      </c>
      <c r="N562" s="52" t="str">
        <f aca="false">IF(AND(ISNUMBER($G562),$G562&gt;=60),MIN(INDEX($E$362:$E562,202-60):$E562),"")</f>
        <v/>
      </c>
      <c r="O562" s="53" t="str">
        <f aca="false">IF(OR(NOT(ISNUMBER($C562)),NOT(ISNUMBER($M562)),$M562=0),"",$C562/$M562-1)</f>
        <v/>
      </c>
      <c r="P562" s="54"/>
      <c r="Q562" s="53" t="str">
        <f aca="false">IF(NOT(ISNUMBER($P562)),"",IFERROR(PERCENTRANK($P$5:$P$1204,$P562),""))</f>
        <v/>
      </c>
    </row>
    <row r="563" customFormat="false" ht="15" hidden="false" customHeight="false" outlineLevel="0" collapsed="false">
      <c r="A563" s="55"/>
      <c r="B563" s="56"/>
      <c r="C563" s="57"/>
      <c r="D563" s="56"/>
      <c r="E563" s="56"/>
      <c r="F563" s="56"/>
      <c r="G563" s="50" t="str">
        <f aca="false">IF($A563="","",IF(ISNUMBER($G562),$G562+1,1))</f>
        <v/>
      </c>
      <c r="H563" s="51" t="str">
        <f aca="false">IF(OR(NOT(ISNUMBER($G563)),$G563&lt;2,NOT(ISNUMBER($C562)),$C562=0),"",$C563/$C562-1)</f>
        <v/>
      </c>
      <c r="I563" s="52" t="str">
        <f aca="false">IF(AND(ISNUMBER($G563),$G563&gt;=MA_SHORT),AVERAGE(INDEX($C$163:$C563,402-MA_SHORT):$C563),"")</f>
        <v/>
      </c>
      <c r="J563" s="52" t="str">
        <f aca="false">IF(AND(ISNUMBER($G563),$G563&gt;=MA_MED),AVERAGE(INDEX($C$163:$C563,402-MA_MED):$C563),"")</f>
        <v/>
      </c>
      <c r="K563" s="52" t="str">
        <f aca="false">IF(AND(ISNUMBER($G563),$G563&gt;=MA_LONG2),AVERAGE(INDEX($C$163:$C563,402-MA_LONG2):$C563),"")</f>
        <v/>
      </c>
      <c r="L563" s="53" t="str">
        <f aca="false">IF(AND(ISNUMBER($G563),$G563&gt;=21),STDEV(INDEX($H$503:$H563,62-20):$H563)*SQRT(245),"")</f>
        <v/>
      </c>
      <c r="M563" s="52" t="str">
        <f aca="false">IF(AND(ISNUMBER($G563),$G563&gt;=60),MAX(INDEX($D$363:$D563,202-60):$D563),"")</f>
        <v/>
      </c>
      <c r="N563" s="52" t="str">
        <f aca="false">IF(AND(ISNUMBER($G563),$G563&gt;=60),MIN(INDEX($E$363:$E563,202-60):$E563),"")</f>
        <v/>
      </c>
      <c r="O563" s="53" t="str">
        <f aca="false">IF(OR(NOT(ISNUMBER($C563)),NOT(ISNUMBER($M563)),$M563=0),"",$C563/$M563-1)</f>
        <v/>
      </c>
      <c r="P563" s="54"/>
      <c r="Q563" s="53" t="str">
        <f aca="false">IF(NOT(ISNUMBER($P563)),"",IFERROR(PERCENTRANK($P$5:$P$1204,$P563),""))</f>
        <v/>
      </c>
    </row>
    <row r="564" customFormat="false" ht="15" hidden="false" customHeight="false" outlineLevel="0" collapsed="false">
      <c r="A564" s="55"/>
      <c r="B564" s="56"/>
      <c r="C564" s="57"/>
      <c r="D564" s="56"/>
      <c r="E564" s="56"/>
      <c r="F564" s="56"/>
      <c r="G564" s="50" t="str">
        <f aca="false">IF($A564="","",IF(ISNUMBER($G563),$G563+1,1))</f>
        <v/>
      </c>
      <c r="H564" s="51" t="str">
        <f aca="false">IF(OR(NOT(ISNUMBER($G564)),$G564&lt;2,NOT(ISNUMBER($C563)),$C563=0),"",$C564/$C563-1)</f>
        <v/>
      </c>
      <c r="I564" s="52" t="str">
        <f aca="false">IF(AND(ISNUMBER($G564),$G564&gt;=MA_SHORT),AVERAGE(INDEX($C$164:$C564,402-MA_SHORT):$C564),"")</f>
        <v/>
      </c>
      <c r="J564" s="52" t="str">
        <f aca="false">IF(AND(ISNUMBER($G564),$G564&gt;=MA_MED),AVERAGE(INDEX($C$164:$C564,402-MA_MED):$C564),"")</f>
        <v/>
      </c>
      <c r="K564" s="52" t="str">
        <f aca="false">IF(AND(ISNUMBER($G564),$G564&gt;=MA_LONG2),AVERAGE(INDEX($C$164:$C564,402-MA_LONG2):$C564),"")</f>
        <v/>
      </c>
      <c r="L564" s="53" t="str">
        <f aca="false">IF(AND(ISNUMBER($G564),$G564&gt;=21),STDEV(INDEX($H$504:$H564,62-20):$H564)*SQRT(245),"")</f>
        <v/>
      </c>
      <c r="M564" s="52" t="str">
        <f aca="false">IF(AND(ISNUMBER($G564),$G564&gt;=60),MAX(INDEX($D$364:$D564,202-60):$D564),"")</f>
        <v/>
      </c>
      <c r="N564" s="52" t="str">
        <f aca="false">IF(AND(ISNUMBER($G564),$G564&gt;=60),MIN(INDEX($E$364:$E564,202-60):$E564),"")</f>
        <v/>
      </c>
      <c r="O564" s="53" t="str">
        <f aca="false">IF(OR(NOT(ISNUMBER($C564)),NOT(ISNUMBER($M564)),$M564=0),"",$C564/$M564-1)</f>
        <v/>
      </c>
      <c r="P564" s="54"/>
      <c r="Q564" s="53" t="str">
        <f aca="false">IF(NOT(ISNUMBER($P564)),"",IFERROR(PERCENTRANK($P$5:$P$1204,$P564),""))</f>
        <v/>
      </c>
    </row>
    <row r="565" customFormat="false" ht="15" hidden="false" customHeight="false" outlineLevel="0" collapsed="false">
      <c r="A565" s="55"/>
      <c r="B565" s="56"/>
      <c r="C565" s="57"/>
      <c r="D565" s="56"/>
      <c r="E565" s="56"/>
      <c r="F565" s="56"/>
      <c r="G565" s="50" t="str">
        <f aca="false">IF($A565="","",IF(ISNUMBER($G564),$G564+1,1))</f>
        <v/>
      </c>
      <c r="H565" s="51" t="str">
        <f aca="false">IF(OR(NOT(ISNUMBER($G565)),$G565&lt;2,NOT(ISNUMBER($C564)),$C564=0),"",$C565/$C564-1)</f>
        <v/>
      </c>
      <c r="I565" s="52" t="str">
        <f aca="false">IF(AND(ISNUMBER($G565),$G565&gt;=MA_SHORT),AVERAGE(INDEX($C$165:$C565,402-MA_SHORT):$C565),"")</f>
        <v/>
      </c>
      <c r="J565" s="52" t="str">
        <f aca="false">IF(AND(ISNUMBER($G565),$G565&gt;=MA_MED),AVERAGE(INDEX($C$165:$C565,402-MA_MED):$C565),"")</f>
        <v/>
      </c>
      <c r="K565" s="52" t="str">
        <f aca="false">IF(AND(ISNUMBER($G565),$G565&gt;=MA_LONG2),AVERAGE(INDEX($C$165:$C565,402-MA_LONG2):$C565),"")</f>
        <v/>
      </c>
      <c r="L565" s="53" t="str">
        <f aca="false">IF(AND(ISNUMBER($G565),$G565&gt;=21),STDEV(INDEX($H$505:$H565,62-20):$H565)*SQRT(245),"")</f>
        <v/>
      </c>
      <c r="M565" s="52" t="str">
        <f aca="false">IF(AND(ISNUMBER($G565),$G565&gt;=60),MAX(INDEX($D$365:$D565,202-60):$D565),"")</f>
        <v/>
      </c>
      <c r="N565" s="52" t="str">
        <f aca="false">IF(AND(ISNUMBER($G565),$G565&gt;=60),MIN(INDEX($E$365:$E565,202-60):$E565),"")</f>
        <v/>
      </c>
      <c r="O565" s="53" t="str">
        <f aca="false">IF(OR(NOT(ISNUMBER($C565)),NOT(ISNUMBER($M565)),$M565=0),"",$C565/$M565-1)</f>
        <v/>
      </c>
      <c r="P565" s="54"/>
      <c r="Q565" s="53" t="str">
        <f aca="false">IF(NOT(ISNUMBER($P565)),"",IFERROR(PERCENTRANK($P$5:$P$1204,$P565),""))</f>
        <v/>
      </c>
    </row>
    <row r="566" customFormat="false" ht="15" hidden="false" customHeight="false" outlineLevel="0" collapsed="false">
      <c r="A566" s="55"/>
      <c r="B566" s="56"/>
      <c r="C566" s="57"/>
      <c r="D566" s="56"/>
      <c r="E566" s="56"/>
      <c r="F566" s="56"/>
      <c r="G566" s="50" t="str">
        <f aca="false">IF($A566="","",IF(ISNUMBER($G565),$G565+1,1))</f>
        <v/>
      </c>
      <c r="H566" s="51" t="str">
        <f aca="false">IF(OR(NOT(ISNUMBER($G566)),$G566&lt;2,NOT(ISNUMBER($C565)),$C565=0),"",$C566/$C565-1)</f>
        <v/>
      </c>
      <c r="I566" s="52" t="str">
        <f aca="false">IF(AND(ISNUMBER($G566),$G566&gt;=MA_SHORT),AVERAGE(INDEX($C$166:$C566,402-MA_SHORT):$C566),"")</f>
        <v/>
      </c>
      <c r="J566" s="52" t="str">
        <f aca="false">IF(AND(ISNUMBER($G566),$G566&gt;=MA_MED),AVERAGE(INDEX($C$166:$C566,402-MA_MED):$C566),"")</f>
        <v/>
      </c>
      <c r="K566" s="52" t="str">
        <f aca="false">IF(AND(ISNUMBER($G566),$G566&gt;=MA_LONG2),AVERAGE(INDEX($C$166:$C566,402-MA_LONG2):$C566),"")</f>
        <v/>
      </c>
      <c r="L566" s="53" t="str">
        <f aca="false">IF(AND(ISNUMBER($G566),$G566&gt;=21),STDEV(INDEX($H$506:$H566,62-20):$H566)*SQRT(245),"")</f>
        <v/>
      </c>
      <c r="M566" s="52" t="str">
        <f aca="false">IF(AND(ISNUMBER($G566),$G566&gt;=60),MAX(INDEX($D$366:$D566,202-60):$D566),"")</f>
        <v/>
      </c>
      <c r="N566" s="52" t="str">
        <f aca="false">IF(AND(ISNUMBER($G566),$G566&gt;=60),MIN(INDEX($E$366:$E566,202-60):$E566),"")</f>
        <v/>
      </c>
      <c r="O566" s="53" t="str">
        <f aca="false">IF(OR(NOT(ISNUMBER($C566)),NOT(ISNUMBER($M566)),$M566=0),"",$C566/$M566-1)</f>
        <v/>
      </c>
      <c r="P566" s="54"/>
      <c r="Q566" s="53" t="str">
        <f aca="false">IF(NOT(ISNUMBER($P566)),"",IFERROR(PERCENTRANK($P$5:$P$1204,$P566),""))</f>
        <v/>
      </c>
    </row>
    <row r="567" customFormat="false" ht="15" hidden="false" customHeight="false" outlineLevel="0" collapsed="false">
      <c r="A567" s="55"/>
      <c r="B567" s="56"/>
      <c r="C567" s="57"/>
      <c r="D567" s="56"/>
      <c r="E567" s="56"/>
      <c r="F567" s="56"/>
      <c r="G567" s="50" t="str">
        <f aca="false">IF($A567="","",IF(ISNUMBER($G566),$G566+1,1))</f>
        <v/>
      </c>
      <c r="H567" s="51" t="str">
        <f aca="false">IF(OR(NOT(ISNUMBER($G567)),$G567&lt;2,NOT(ISNUMBER($C566)),$C566=0),"",$C567/$C566-1)</f>
        <v/>
      </c>
      <c r="I567" s="52" t="str">
        <f aca="false">IF(AND(ISNUMBER($G567),$G567&gt;=MA_SHORT),AVERAGE(INDEX($C$167:$C567,402-MA_SHORT):$C567),"")</f>
        <v/>
      </c>
      <c r="J567" s="52" t="str">
        <f aca="false">IF(AND(ISNUMBER($G567),$G567&gt;=MA_MED),AVERAGE(INDEX($C$167:$C567,402-MA_MED):$C567),"")</f>
        <v/>
      </c>
      <c r="K567" s="52" t="str">
        <f aca="false">IF(AND(ISNUMBER($G567),$G567&gt;=MA_LONG2),AVERAGE(INDEX($C$167:$C567,402-MA_LONG2):$C567),"")</f>
        <v/>
      </c>
      <c r="L567" s="53" t="str">
        <f aca="false">IF(AND(ISNUMBER($G567),$G567&gt;=21),STDEV(INDEX($H$507:$H567,62-20):$H567)*SQRT(245),"")</f>
        <v/>
      </c>
      <c r="M567" s="52" t="str">
        <f aca="false">IF(AND(ISNUMBER($G567),$G567&gt;=60),MAX(INDEX($D$367:$D567,202-60):$D567),"")</f>
        <v/>
      </c>
      <c r="N567" s="52" t="str">
        <f aca="false">IF(AND(ISNUMBER($G567),$G567&gt;=60),MIN(INDEX($E$367:$E567,202-60):$E567),"")</f>
        <v/>
      </c>
      <c r="O567" s="53" t="str">
        <f aca="false">IF(OR(NOT(ISNUMBER($C567)),NOT(ISNUMBER($M567)),$M567=0),"",$C567/$M567-1)</f>
        <v/>
      </c>
      <c r="P567" s="54"/>
      <c r="Q567" s="53" t="str">
        <f aca="false">IF(NOT(ISNUMBER($P567)),"",IFERROR(PERCENTRANK($P$5:$P$1204,$P567),""))</f>
        <v/>
      </c>
    </row>
    <row r="568" customFormat="false" ht="15" hidden="false" customHeight="false" outlineLevel="0" collapsed="false">
      <c r="A568" s="55"/>
      <c r="B568" s="56"/>
      <c r="C568" s="57"/>
      <c r="D568" s="56"/>
      <c r="E568" s="56"/>
      <c r="F568" s="56"/>
      <c r="G568" s="50" t="str">
        <f aca="false">IF($A568="","",IF(ISNUMBER($G567),$G567+1,1))</f>
        <v/>
      </c>
      <c r="H568" s="51" t="str">
        <f aca="false">IF(OR(NOT(ISNUMBER($G568)),$G568&lt;2,NOT(ISNUMBER($C567)),$C567=0),"",$C568/$C567-1)</f>
        <v/>
      </c>
      <c r="I568" s="52" t="str">
        <f aca="false">IF(AND(ISNUMBER($G568),$G568&gt;=MA_SHORT),AVERAGE(INDEX($C$168:$C568,402-MA_SHORT):$C568),"")</f>
        <v/>
      </c>
      <c r="J568" s="52" t="str">
        <f aca="false">IF(AND(ISNUMBER($G568),$G568&gt;=MA_MED),AVERAGE(INDEX($C$168:$C568,402-MA_MED):$C568),"")</f>
        <v/>
      </c>
      <c r="K568" s="52" t="str">
        <f aca="false">IF(AND(ISNUMBER($G568),$G568&gt;=MA_LONG2),AVERAGE(INDEX($C$168:$C568,402-MA_LONG2):$C568),"")</f>
        <v/>
      </c>
      <c r="L568" s="53" t="str">
        <f aca="false">IF(AND(ISNUMBER($G568),$G568&gt;=21),STDEV(INDEX($H$508:$H568,62-20):$H568)*SQRT(245),"")</f>
        <v/>
      </c>
      <c r="M568" s="52" t="str">
        <f aca="false">IF(AND(ISNUMBER($G568),$G568&gt;=60),MAX(INDEX($D$368:$D568,202-60):$D568),"")</f>
        <v/>
      </c>
      <c r="N568" s="52" t="str">
        <f aca="false">IF(AND(ISNUMBER($G568),$G568&gt;=60),MIN(INDEX($E$368:$E568,202-60):$E568),"")</f>
        <v/>
      </c>
      <c r="O568" s="53" t="str">
        <f aca="false">IF(OR(NOT(ISNUMBER($C568)),NOT(ISNUMBER($M568)),$M568=0),"",$C568/$M568-1)</f>
        <v/>
      </c>
      <c r="P568" s="54"/>
      <c r="Q568" s="53" t="str">
        <f aca="false">IF(NOT(ISNUMBER($P568)),"",IFERROR(PERCENTRANK($P$5:$P$1204,$P568),""))</f>
        <v/>
      </c>
    </row>
    <row r="569" customFormat="false" ht="15" hidden="false" customHeight="false" outlineLevel="0" collapsed="false">
      <c r="A569" s="55"/>
      <c r="B569" s="56"/>
      <c r="C569" s="57"/>
      <c r="D569" s="56"/>
      <c r="E569" s="56"/>
      <c r="F569" s="56"/>
      <c r="G569" s="50" t="str">
        <f aca="false">IF($A569="","",IF(ISNUMBER($G568),$G568+1,1))</f>
        <v/>
      </c>
      <c r="H569" s="51" t="str">
        <f aca="false">IF(OR(NOT(ISNUMBER($G569)),$G569&lt;2,NOT(ISNUMBER($C568)),$C568=0),"",$C569/$C568-1)</f>
        <v/>
      </c>
      <c r="I569" s="52" t="str">
        <f aca="false">IF(AND(ISNUMBER($G569),$G569&gt;=MA_SHORT),AVERAGE(INDEX($C$169:$C569,402-MA_SHORT):$C569),"")</f>
        <v/>
      </c>
      <c r="J569" s="52" t="str">
        <f aca="false">IF(AND(ISNUMBER($G569),$G569&gt;=MA_MED),AVERAGE(INDEX($C$169:$C569,402-MA_MED):$C569),"")</f>
        <v/>
      </c>
      <c r="K569" s="52" t="str">
        <f aca="false">IF(AND(ISNUMBER($G569),$G569&gt;=MA_LONG2),AVERAGE(INDEX($C$169:$C569,402-MA_LONG2):$C569),"")</f>
        <v/>
      </c>
      <c r="L569" s="53" t="str">
        <f aca="false">IF(AND(ISNUMBER($G569),$G569&gt;=21),STDEV(INDEX($H$509:$H569,62-20):$H569)*SQRT(245),"")</f>
        <v/>
      </c>
      <c r="M569" s="52" t="str">
        <f aca="false">IF(AND(ISNUMBER($G569),$G569&gt;=60),MAX(INDEX($D$369:$D569,202-60):$D569),"")</f>
        <v/>
      </c>
      <c r="N569" s="52" t="str">
        <f aca="false">IF(AND(ISNUMBER($G569),$G569&gt;=60),MIN(INDEX($E$369:$E569,202-60):$E569),"")</f>
        <v/>
      </c>
      <c r="O569" s="53" t="str">
        <f aca="false">IF(OR(NOT(ISNUMBER($C569)),NOT(ISNUMBER($M569)),$M569=0),"",$C569/$M569-1)</f>
        <v/>
      </c>
      <c r="P569" s="54"/>
      <c r="Q569" s="53" t="str">
        <f aca="false">IF(NOT(ISNUMBER($P569)),"",IFERROR(PERCENTRANK($P$5:$P$1204,$P569),""))</f>
        <v/>
      </c>
    </row>
    <row r="570" customFormat="false" ht="15" hidden="false" customHeight="false" outlineLevel="0" collapsed="false">
      <c r="A570" s="55"/>
      <c r="B570" s="56"/>
      <c r="C570" s="57"/>
      <c r="D570" s="56"/>
      <c r="E570" s="56"/>
      <c r="F570" s="56"/>
      <c r="G570" s="50" t="str">
        <f aca="false">IF($A570="","",IF(ISNUMBER($G569),$G569+1,1))</f>
        <v/>
      </c>
      <c r="H570" s="51" t="str">
        <f aca="false">IF(OR(NOT(ISNUMBER($G570)),$G570&lt;2,NOT(ISNUMBER($C569)),$C569=0),"",$C570/$C569-1)</f>
        <v/>
      </c>
      <c r="I570" s="52" t="str">
        <f aca="false">IF(AND(ISNUMBER($G570),$G570&gt;=MA_SHORT),AVERAGE(INDEX($C$170:$C570,402-MA_SHORT):$C570),"")</f>
        <v/>
      </c>
      <c r="J570" s="52" t="str">
        <f aca="false">IF(AND(ISNUMBER($G570),$G570&gt;=MA_MED),AVERAGE(INDEX($C$170:$C570,402-MA_MED):$C570),"")</f>
        <v/>
      </c>
      <c r="K570" s="52" t="str">
        <f aca="false">IF(AND(ISNUMBER($G570),$G570&gt;=MA_LONG2),AVERAGE(INDEX($C$170:$C570,402-MA_LONG2):$C570),"")</f>
        <v/>
      </c>
      <c r="L570" s="53" t="str">
        <f aca="false">IF(AND(ISNUMBER($G570),$G570&gt;=21),STDEV(INDEX($H$510:$H570,62-20):$H570)*SQRT(245),"")</f>
        <v/>
      </c>
      <c r="M570" s="52" t="str">
        <f aca="false">IF(AND(ISNUMBER($G570),$G570&gt;=60),MAX(INDEX($D$370:$D570,202-60):$D570),"")</f>
        <v/>
      </c>
      <c r="N570" s="52" t="str">
        <f aca="false">IF(AND(ISNUMBER($G570),$G570&gt;=60),MIN(INDEX($E$370:$E570,202-60):$E570),"")</f>
        <v/>
      </c>
      <c r="O570" s="53" t="str">
        <f aca="false">IF(OR(NOT(ISNUMBER($C570)),NOT(ISNUMBER($M570)),$M570=0),"",$C570/$M570-1)</f>
        <v/>
      </c>
      <c r="P570" s="54"/>
      <c r="Q570" s="53" t="str">
        <f aca="false">IF(NOT(ISNUMBER($P570)),"",IFERROR(PERCENTRANK($P$5:$P$1204,$P570),""))</f>
        <v/>
      </c>
    </row>
    <row r="571" customFormat="false" ht="15" hidden="false" customHeight="false" outlineLevel="0" collapsed="false">
      <c r="A571" s="55"/>
      <c r="B571" s="56"/>
      <c r="C571" s="57"/>
      <c r="D571" s="56"/>
      <c r="E571" s="56"/>
      <c r="F571" s="56"/>
      <c r="G571" s="50" t="str">
        <f aca="false">IF($A571="","",IF(ISNUMBER($G570),$G570+1,1))</f>
        <v/>
      </c>
      <c r="H571" s="51" t="str">
        <f aca="false">IF(OR(NOT(ISNUMBER($G571)),$G571&lt;2,NOT(ISNUMBER($C570)),$C570=0),"",$C571/$C570-1)</f>
        <v/>
      </c>
      <c r="I571" s="52" t="str">
        <f aca="false">IF(AND(ISNUMBER($G571),$G571&gt;=MA_SHORT),AVERAGE(INDEX($C$171:$C571,402-MA_SHORT):$C571),"")</f>
        <v/>
      </c>
      <c r="J571" s="52" t="str">
        <f aca="false">IF(AND(ISNUMBER($G571),$G571&gt;=MA_MED),AVERAGE(INDEX($C$171:$C571,402-MA_MED):$C571),"")</f>
        <v/>
      </c>
      <c r="K571" s="52" t="str">
        <f aca="false">IF(AND(ISNUMBER($G571),$G571&gt;=MA_LONG2),AVERAGE(INDEX($C$171:$C571,402-MA_LONG2):$C571),"")</f>
        <v/>
      </c>
      <c r="L571" s="53" t="str">
        <f aca="false">IF(AND(ISNUMBER($G571),$G571&gt;=21),STDEV(INDEX($H$511:$H571,62-20):$H571)*SQRT(245),"")</f>
        <v/>
      </c>
      <c r="M571" s="52" t="str">
        <f aca="false">IF(AND(ISNUMBER($G571),$G571&gt;=60),MAX(INDEX($D$371:$D571,202-60):$D571),"")</f>
        <v/>
      </c>
      <c r="N571" s="52" t="str">
        <f aca="false">IF(AND(ISNUMBER($G571),$G571&gt;=60),MIN(INDEX($E$371:$E571,202-60):$E571),"")</f>
        <v/>
      </c>
      <c r="O571" s="53" t="str">
        <f aca="false">IF(OR(NOT(ISNUMBER($C571)),NOT(ISNUMBER($M571)),$M571=0),"",$C571/$M571-1)</f>
        <v/>
      </c>
      <c r="P571" s="54"/>
      <c r="Q571" s="53" t="str">
        <f aca="false">IF(NOT(ISNUMBER($P571)),"",IFERROR(PERCENTRANK($P$5:$P$1204,$P571),""))</f>
        <v/>
      </c>
    </row>
    <row r="572" customFormat="false" ht="15" hidden="false" customHeight="false" outlineLevel="0" collapsed="false">
      <c r="A572" s="55"/>
      <c r="B572" s="56"/>
      <c r="C572" s="57"/>
      <c r="D572" s="56"/>
      <c r="E572" s="56"/>
      <c r="F572" s="56"/>
      <c r="G572" s="50" t="str">
        <f aca="false">IF($A572="","",IF(ISNUMBER($G571),$G571+1,1))</f>
        <v/>
      </c>
      <c r="H572" s="51" t="str">
        <f aca="false">IF(OR(NOT(ISNUMBER($G572)),$G572&lt;2,NOT(ISNUMBER($C571)),$C571=0),"",$C572/$C571-1)</f>
        <v/>
      </c>
      <c r="I572" s="52" t="str">
        <f aca="false">IF(AND(ISNUMBER($G572),$G572&gt;=MA_SHORT),AVERAGE(INDEX($C$172:$C572,402-MA_SHORT):$C572),"")</f>
        <v/>
      </c>
      <c r="J572" s="52" t="str">
        <f aca="false">IF(AND(ISNUMBER($G572),$G572&gt;=MA_MED),AVERAGE(INDEX($C$172:$C572,402-MA_MED):$C572),"")</f>
        <v/>
      </c>
      <c r="K572" s="52" t="str">
        <f aca="false">IF(AND(ISNUMBER($G572),$G572&gt;=MA_LONG2),AVERAGE(INDEX($C$172:$C572,402-MA_LONG2):$C572),"")</f>
        <v/>
      </c>
      <c r="L572" s="53" t="str">
        <f aca="false">IF(AND(ISNUMBER($G572),$G572&gt;=21),STDEV(INDEX($H$512:$H572,62-20):$H572)*SQRT(245),"")</f>
        <v/>
      </c>
      <c r="M572" s="52" t="str">
        <f aca="false">IF(AND(ISNUMBER($G572),$G572&gt;=60),MAX(INDEX($D$372:$D572,202-60):$D572),"")</f>
        <v/>
      </c>
      <c r="N572" s="52" t="str">
        <f aca="false">IF(AND(ISNUMBER($G572),$G572&gt;=60),MIN(INDEX($E$372:$E572,202-60):$E572),"")</f>
        <v/>
      </c>
      <c r="O572" s="53" t="str">
        <f aca="false">IF(OR(NOT(ISNUMBER($C572)),NOT(ISNUMBER($M572)),$M572=0),"",$C572/$M572-1)</f>
        <v/>
      </c>
      <c r="P572" s="54"/>
      <c r="Q572" s="53" t="str">
        <f aca="false">IF(NOT(ISNUMBER($P572)),"",IFERROR(PERCENTRANK($P$5:$P$1204,$P572),""))</f>
        <v/>
      </c>
    </row>
    <row r="573" customFormat="false" ht="15" hidden="false" customHeight="false" outlineLevel="0" collapsed="false">
      <c r="A573" s="55"/>
      <c r="B573" s="56"/>
      <c r="C573" s="57"/>
      <c r="D573" s="56"/>
      <c r="E573" s="56"/>
      <c r="F573" s="56"/>
      <c r="G573" s="50" t="str">
        <f aca="false">IF($A573="","",IF(ISNUMBER($G572),$G572+1,1))</f>
        <v/>
      </c>
      <c r="H573" s="51" t="str">
        <f aca="false">IF(OR(NOT(ISNUMBER($G573)),$G573&lt;2,NOT(ISNUMBER($C572)),$C572=0),"",$C573/$C572-1)</f>
        <v/>
      </c>
      <c r="I573" s="52" t="str">
        <f aca="false">IF(AND(ISNUMBER($G573),$G573&gt;=MA_SHORT),AVERAGE(INDEX($C$173:$C573,402-MA_SHORT):$C573),"")</f>
        <v/>
      </c>
      <c r="J573" s="52" t="str">
        <f aca="false">IF(AND(ISNUMBER($G573),$G573&gt;=MA_MED),AVERAGE(INDEX($C$173:$C573,402-MA_MED):$C573),"")</f>
        <v/>
      </c>
      <c r="K573" s="52" t="str">
        <f aca="false">IF(AND(ISNUMBER($G573),$G573&gt;=MA_LONG2),AVERAGE(INDEX($C$173:$C573,402-MA_LONG2):$C573),"")</f>
        <v/>
      </c>
      <c r="L573" s="53" t="str">
        <f aca="false">IF(AND(ISNUMBER($G573),$G573&gt;=21),STDEV(INDEX($H$513:$H573,62-20):$H573)*SQRT(245),"")</f>
        <v/>
      </c>
      <c r="M573" s="52" t="str">
        <f aca="false">IF(AND(ISNUMBER($G573),$G573&gt;=60),MAX(INDEX($D$373:$D573,202-60):$D573),"")</f>
        <v/>
      </c>
      <c r="N573" s="52" t="str">
        <f aca="false">IF(AND(ISNUMBER($G573),$G573&gt;=60),MIN(INDEX($E$373:$E573,202-60):$E573),"")</f>
        <v/>
      </c>
      <c r="O573" s="53" t="str">
        <f aca="false">IF(OR(NOT(ISNUMBER($C573)),NOT(ISNUMBER($M573)),$M573=0),"",$C573/$M573-1)</f>
        <v/>
      </c>
      <c r="P573" s="54"/>
      <c r="Q573" s="53" t="str">
        <f aca="false">IF(NOT(ISNUMBER($P573)),"",IFERROR(PERCENTRANK($P$5:$P$1204,$P573),""))</f>
        <v/>
      </c>
    </row>
    <row r="574" customFormat="false" ht="15" hidden="false" customHeight="false" outlineLevel="0" collapsed="false">
      <c r="A574" s="55"/>
      <c r="B574" s="56"/>
      <c r="C574" s="57"/>
      <c r="D574" s="56"/>
      <c r="E574" s="56"/>
      <c r="F574" s="56"/>
      <c r="G574" s="50" t="str">
        <f aca="false">IF($A574="","",IF(ISNUMBER($G573),$G573+1,1))</f>
        <v/>
      </c>
      <c r="H574" s="51" t="str">
        <f aca="false">IF(OR(NOT(ISNUMBER($G574)),$G574&lt;2,NOT(ISNUMBER($C573)),$C573=0),"",$C574/$C573-1)</f>
        <v/>
      </c>
      <c r="I574" s="52" t="str">
        <f aca="false">IF(AND(ISNUMBER($G574),$G574&gt;=MA_SHORT),AVERAGE(INDEX($C$174:$C574,402-MA_SHORT):$C574),"")</f>
        <v/>
      </c>
      <c r="J574" s="52" t="str">
        <f aca="false">IF(AND(ISNUMBER($G574),$G574&gt;=MA_MED),AVERAGE(INDEX($C$174:$C574,402-MA_MED):$C574),"")</f>
        <v/>
      </c>
      <c r="K574" s="52" t="str">
        <f aca="false">IF(AND(ISNUMBER($G574),$G574&gt;=MA_LONG2),AVERAGE(INDEX($C$174:$C574,402-MA_LONG2):$C574),"")</f>
        <v/>
      </c>
      <c r="L574" s="53" t="str">
        <f aca="false">IF(AND(ISNUMBER($G574),$G574&gt;=21),STDEV(INDEX($H$514:$H574,62-20):$H574)*SQRT(245),"")</f>
        <v/>
      </c>
      <c r="M574" s="52" t="str">
        <f aca="false">IF(AND(ISNUMBER($G574),$G574&gt;=60),MAX(INDEX($D$374:$D574,202-60):$D574),"")</f>
        <v/>
      </c>
      <c r="N574" s="52" t="str">
        <f aca="false">IF(AND(ISNUMBER($G574),$G574&gt;=60),MIN(INDEX($E$374:$E574,202-60):$E574),"")</f>
        <v/>
      </c>
      <c r="O574" s="53" t="str">
        <f aca="false">IF(OR(NOT(ISNUMBER($C574)),NOT(ISNUMBER($M574)),$M574=0),"",$C574/$M574-1)</f>
        <v/>
      </c>
      <c r="P574" s="54"/>
      <c r="Q574" s="53" t="str">
        <f aca="false">IF(NOT(ISNUMBER($P574)),"",IFERROR(PERCENTRANK($P$5:$P$1204,$P574),""))</f>
        <v/>
      </c>
    </row>
    <row r="575" customFormat="false" ht="15" hidden="false" customHeight="false" outlineLevel="0" collapsed="false">
      <c r="A575" s="55"/>
      <c r="B575" s="56"/>
      <c r="C575" s="57"/>
      <c r="D575" s="56"/>
      <c r="E575" s="56"/>
      <c r="F575" s="56"/>
      <c r="G575" s="50" t="str">
        <f aca="false">IF($A575="","",IF(ISNUMBER($G574),$G574+1,1))</f>
        <v/>
      </c>
      <c r="H575" s="51" t="str">
        <f aca="false">IF(OR(NOT(ISNUMBER($G575)),$G575&lt;2,NOT(ISNUMBER($C574)),$C574=0),"",$C575/$C574-1)</f>
        <v/>
      </c>
      <c r="I575" s="52" t="str">
        <f aca="false">IF(AND(ISNUMBER($G575),$G575&gt;=MA_SHORT),AVERAGE(INDEX($C$175:$C575,402-MA_SHORT):$C575),"")</f>
        <v/>
      </c>
      <c r="J575" s="52" t="str">
        <f aca="false">IF(AND(ISNUMBER($G575),$G575&gt;=MA_MED),AVERAGE(INDEX($C$175:$C575,402-MA_MED):$C575),"")</f>
        <v/>
      </c>
      <c r="K575" s="52" t="str">
        <f aca="false">IF(AND(ISNUMBER($G575),$G575&gt;=MA_LONG2),AVERAGE(INDEX($C$175:$C575,402-MA_LONG2):$C575),"")</f>
        <v/>
      </c>
      <c r="L575" s="53" t="str">
        <f aca="false">IF(AND(ISNUMBER($G575),$G575&gt;=21),STDEV(INDEX($H$515:$H575,62-20):$H575)*SQRT(245),"")</f>
        <v/>
      </c>
      <c r="M575" s="52" t="str">
        <f aca="false">IF(AND(ISNUMBER($G575),$G575&gt;=60),MAX(INDEX($D$375:$D575,202-60):$D575),"")</f>
        <v/>
      </c>
      <c r="N575" s="52" t="str">
        <f aca="false">IF(AND(ISNUMBER($G575),$G575&gt;=60),MIN(INDEX($E$375:$E575,202-60):$E575),"")</f>
        <v/>
      </c>
      <c r="O575" s="53" t="str">
        <f aca="false">IF(OR(NOT(ISNUMBER($C575)),NOT(ISNUMBER($M575)),$M575=0),"",$C575/$M575-1)</f>
        <v/>
      </c>
      <c r="P575" s="54"/>
      <c r="Q575" s="53" t="str">
        <f aca="false">IF(NOT(ISNUMBER($P575)),"",IFERROR(PERCENTRANK($P$5:$P$1204,$P575),""))</f>
        <v/>
      </c>
    </row>
    <row r="576" customFormat="false" ht="15" hidden="false" customHeight="false" outlineLevel="0" collapsed="false">
      <c r="A576" s="55"/>
      <c r="B576" s="56"/>
      <c r="C576" s="57"/>
      <c r="D576" s="56"/>
      <c r="E576" s="56"/>
      <c r="F576" s="56"/>
      <c r="G576" s="50" t="str">
        <f aca="false">IF($A576="","",IF(ISNUMBER($G575),$G575+1,1))</f>
        <v/>
      </c>
      <c r="H576" s="51" t="str">
        <f aca="false">IF(OR(NOT(ISNUMBER($G576)),$G576&lt;2,NOT(ISNUMBER($C575)),$C575=0),"",$C576/$C575-1)</f>
        <v/>
      </c>
      <c r="I576" s="52" t="str">
        <f aca="false">IF(AND(ISNUMBER($G576),$G576&gt;=MA_SHORT),AVERAGE(INDEX($C$176:$C576,402-MA_SHORT):$C576),"")</f>
        <v/>
      </c>
      <c r="J576" s="52" t="str">
        <f aca="false">IF(AND(ISNUMBER($G576),$G576&gt;=MA_MED),AVERAGE(INDEX($C$176:$C576,402-MA_MED):$C576),"")</f>
        <v/>
      </c>
      <c r="K576" s="52" t="str">
        <f aca="false">IF(AND(ISNUMBER($G576),$G576&gt;=MA_LONG2),AVERAGE(INDEX($C$176:$C576,402-MA_LONG2):$C576),"")</f>
        <v/>
      </c>
      <c r="L576" s="53" t="str">
        <f aca="false">IF(AND(ISNUMBER($G576),$G576&gt;=21),STDEV(INDEX($H$516:$H576,62-20):$H576)*SQRT(245),"")</f>
        <v/>
      </c>
      <c r="M576" s="52" t="str">
        <f aca="false">IF(AND(ISNUMBER($G576),$G576&gt;=60),MAX(INDEX($D$376:$D576,202-60):$D576),"")</f>
        <v/>
      </c>
      <c r="N576" s="52" t="str">
        <f aca="false">IF(AND(ISNUMBER($G576),$G576&gt;=60),MIN(INDEX($E$376:$E576,202-60):$E576),"")</f>
        <v/>
      </c>
      <c r="O576" s="53" t="str">
        <f aca="false">IF(OR(NOT(ISNUMBER($C576)),NOT(ISNUMBER($M576)),$M576=0),"",$C576/$M576-1)</f>
        <v/>
      </c>
      <c r="P576" s="54"/>
      <c r="Q576" s="53" t="str">
        <f aca="false">IF(NOT(ISNUMBER($P576)),"",IFERROR(PERCENTRANK($P$5:$P$1204,$P576),""))</f>
        <v/>
      </c>
    </row>
    <row r="577" customFormat="false" ht="15" hidden="false" customHeight="false" outlineLevel="0" collapsed="false">
      <c r="A577" s="55"/>
      <c r="B577" s="56"/>
      <c r="C577" s="57"/>
      <c r="D577" s="56"/>
      <c r="E577" s="56"/>
      <c r="F577" s="56"/>
      <c r="G577" s="50" t="str">
        <f aca="false">IF($A577="","",IF(ISNUMBER($G576),$G576+1,1))</f>
        <v/>
      </c>
      <c r="H577" s="51" t="str">
        <f aca="false">IF(OR(NOT(ISNUMBER($G577)),$G577&lt;2,NOT(ISNUMBER($C576)),$C576=0),"",$C577/$C576-1)</f>
        <v/>
      </c>
      <c r="I577" s="52" t="str">
        <f aca="false">IF(AND(ISNUMBER($G577),$G577&gt;=MA_SHORT),AVERAGE(INDEX($C$177:$C577,402-MA_SHORT):$C577),"")</f>
        <v/>
      </c>
      <c r="J577" s="52" t="str">
        <f aca="false">IF(AND(ISNUMBER($G577),$G577&gt;=MA_MED),AVERAGE(INDEX($C$177:$C577,402-MA_MED):$C577),"")</f>
        <v/>
      </c>
      <c r="K577" s="52" t="str">
        <f aca="false">IF(AND(ISNUMBER($G577),$G577&gt;=MA_LONG2),AVERAGE(INDEX($C$177:$C577,402-MA_LONG2):$C577),"")</f>
        <v/>
      </c>
      <c r="L577" s="53" t="str">
        <f aca="false">IF(AND(ISNUMBER($G577),$G577&gt;=21),STDEV(INDEX($H$517:$H577,62-20):$H577)*SQRT(245),"")</f>
        <v/>
      </c>
      <c r="M577" s="52" t="str">
        <f aca="false">IF(AND(ISNUMBER($G577),$G577&gt;=60),MAX(INDEX($D$377:$D577,202-60):$D577),"")</f>
        <v/>
      </c>
      <c r="N577" s="52" t="str">
        <f aca="false">IF(AND(ISNUMBER($G577),$G577&gt;=60),MIN(INDEX($E$377:$E577,202-60):$E577),"")</f>
        <v/>
      </c>
      <c r="O577" s="53" t="str">
        <f aca="false">IF(OR(NOT(ISNUMBER($C577)),NOT(ISNUMBER($M577)),$M577=0),"",$C577/$M577-1)</f>
        <v/>
      </c>
      <c r="P577" s="54"/>
      <c r="Q577" s="53" t="str">
        <f aca="false">IF(NOT(ISNUMBER($P577)),"",IFERROR(PERCENTRANK($P$5:$P$1204,$P577),""))</f>
        <v/>
      </c>
    </row>
    <row r="578" customFormat="false" ht="15" hidden="false" customHeight="false" outlineLevel="0" collapsed="false">
      <c r="A578" s="55"/>
      <c r="B578" s="56"/>
      <c r="C578" s="57"/>
      <c r="D578" s="56"/>
      <c r="E578" s="56"/>
      <c r="F578" s="56"/>
      <c r="G578" s="50" t="str">
        <f aca="false">IF($A578="","",IF(ISNUMBER($G577),$G577+1,1))</f>
        <v/>
      </c>
      <c r="H578" s="51" t="str">
        <f aca="false">IF(OR(NOT(ISNUMBER($G578)),$G578&lt;2,NOT(ISNUMBER($C577)),$C577=0),"",$C578/$C577-1)</f>
        <v/>
      </c>
      <c r="I578" s="52" t="str">
        <f aca="false">IF(AND(ISNUMBER($G578),$G578&gt;=MA_SHORT),AVERAGE(INDEX($C$178:$C578,402-MA_SHORT):$C578),"")</f>
        <v/>
      </c>
      <c r="J578" s="52" t="str">
        <f aca="false">IF(AND(ISNUMBER($G578),$G578&gt;=MA_MED),AVERAGE(INDEX($C$178:$C578,402-MA_MED):$C578),"")</f>
        <v/>
      </c>
      <c r="K578" s="52" t="str">
        <f aca="false">IF(AND(ISNUMBER($G578),$G578&gt;=MA_LONG2),AVERAGE(INDEX($C$178:$C578,402-MA_LONG2):$C578),"")</f>
        <v/>
      </c>
      <c r="L578" s="53" t="str">
        <f aca="false">IF(AND(ISNUMBER($G578),$G578&gt;=21),STDEV(INDEX($H$518:$H578,62-20):$H578)*SQRT(245),"")</f>
        <v/>
      </c>
      <c r="M578" s="52" t="str">
        <f aca="false">IF(AND(ISNUMBER($G578),$G578&gt;=60),MAX(INDEX($D$378:$D578,202-60):$D578),"")</f>
        <v/>
      </c>
      <c r="N578" s="52" t="str">
        <f aca="false">IF(AND(ISNUMBER($G578),$G578&gt;=60),MIN(INDEX($E$378:$E578,202-60):$E578),"")</f>
        <v/>
      </c>
      <c r="O578" s="53" t="str">
        <f aca="false">IF(OR(NOT(ISNUMBER($C578)),NOT(ISNUMBER($M578)),$M578=0),"",$C578/$M578-1)</f>
        <v/>
      </c>
      <c r="P578" s="54"/>
      <c r="Q578" s="53" t="str">
        <f aca="false">IF(NOT(ISNUMBER($P578)),"",IFERROR(PERCENTRANK($P$5:$P$1204,$P578),""))</f>
        <v/>
      </c>
    </row>
    <row r="579" customFormat="false" ht="15" hidden="false" customHeight="false" outlineLevel="0" collapsed="false">
      <c r="A579" s="55"/>
      <c r="B579" s="56"/>
      <c r="C579" s="57"/>
      <c r="D579" s="56"/>
      <c r="E579" s="56"/>
      <c r="F579" s="56"/>
      <c r="G579" s="50" t="str">
        <f aca="false">IF($A579="","",IF(ISNUMBER($G578),$G578+1,1))</f>
        <v/>
      </c>
      <c r="H579" s="51" t="str">
        <f aca="false">IF(OR(NOT(ISNUMBER($G579)),$G579&lt;2,NOT(ISNUMBER($C578)),$C578=0),"",$C579/$C578-1)</f>
        <v/>
      </c>
      <c r="I579" s="52" t="str">
        <f aca="false">IF(AND(ISNUMBER($G579),$G579&gt;=MA_SHORT),AVERAGE(INDEX($C$179:$C579,402-MA_SHORT):$C579),"")</f>
        <v/>
      </c>
      <c r="J579" s="52" t="str">
        <f aca="false">IF(AND(ISNUMBER($G579),$G579&gt;=MA_MED),AVERAGE(INDEX($C$179:$C579,402-MA_MED):$C579),"")</f>
        <v/>
      </c>
      <c r="K579" s="52" t="str">
        <f aca="false">IF(AND(ISNUMBER($G579),$G579&gt;=MA_LONG2),AVERAGE(INDEX($C$179:$C579,402-MA_LONG2):$C579),"")</f>
        <v/>
      </c>
      <c r="L579" s="53" t="str">
        <f aca="false">IF(AND(ISNUMBER($G579),$G579&gt;=21),STDEV(INDEX($H$519:$H579,62-20):$H579)*SQRT(245),"")</f>
        <v/>
      </c>
      <c r="M579" s="52" t="str">
        <f aca="false">IF(AND(ISNUMBER($G579),$G579&gt;=60),MAX(INDEX($D$379:$D579,202-60):$D579),"")</f>
        <v/>
      </c>
      <c r="N579" s="52" t="str">
        <f aca="false">IF(AND(ISNUMBER($G579),$G579&gt;=60),MIN(INDEX($E$379:$E579,202-60):$E579),"")</f>
        <v/>
      </c>
      <c r="O579" s="53" t="str">
        <f aca="false">IF(OR(NOT(ISNUMBER($C579)),NOT(ISNUMBER($M579)),$M579=0),"",$C579/$M579-1)</f>
        <v/>
      </c>
      <c r="P579" s="54"/>
      <c r="Q579" s="53" t="str">
        <f aca="false">IF(NOT(ISNUMBER($P579)),"",IFERROR(PERCENTRANK($P$5:$P$1204,$P579),""))</f>
        <v/>
      </c>
    </row>
    <row r="580" customFormat="false" ht="15" hidden="false" customHeight="false" outlineLevel="0" collapsed="false">
      <c r="A580" s="55"/>
      <c r="B580" s="56"/>
      <c r="C580" s="57"/>
      <c r="D580" s="56"/>
      <c r="E580" s="56"/>
      <c r="F580" s="56"/>
      <c r="G580" s="50" t="str">
        <f aca="false">IF($A580="","",IF(ISNUMBER($G579),$G579+1,1))</f>
        <v/>
      </c>
      <c r="H580" s="51" t="str">
        <f aca="false">IF(OR(NOT(ISNUMBER($G580)),$G580&lt;2,NOT(ISNUMBER($C579)),$C579=0),"",$C580/$C579-1)</f>
        <v/>
      </c>
      <c r="I580" s="52" t="str">
        <f aca="false">IF(AND(ISNUMBER($G580),$G580&gt;=MA_SHORT),AVERAGE(INDEX($C$180:$C580,402-MA_SHORT):$C580),"")</f>
        <v/>
      </c>
      <c r="J580" s="52" t="str">
        <f aca="false">IF(AND(ISNUMBER($G580),$G580&gt;=MA_MED),AVERAGE(INDEX($C$180:$C580,402-MA_MED):$C580),"")</f>
        <v/>
      </c>
      <c r="K580" s="52" t="str">
        <f aca="false">IF(AND(ISNUMBER($G580),$G580&gt;=MA_LONG2),AVERAGE(INDEX($C$180:$C580,402-MA_LONG2):$C580),"")</f>
        <v/>
      </c>
      <c r="L580" s="53" t="str">
        <f aca="false">IF(AND(ISNUMBER($G580),$G580&gt;=21),STDEV(INDEX($H$520:$H580,62-20):$H580)*SQRT(245),"")</f>
        <v/>
      </c>
      <c r="M580" s="52" t="str">
        <f aca="false">IF(AND(ISNUMBER($G580),$G580&gt;=60),MAX(INDEX($D$380:$D580,202-60):$D580),"")</f>
        <v/>
      </c>
      <c r="N580" s="52" t="str">
        <f aca="false">IF(AND(ISNUMBER($G580),$G580&gt;=60),MIN(INDEX($E$380:$E580,202-60):$E580),"")</f>
        <v/>
      </c>
      <c r="O580" s="53" t="str">
        <f aca="false">IF(OR(NOT(ISNUMBER($C580)),NOT(ISNUMBER($M580)),$M580=0),"",$C580/$M580-1)</f>
        <v/>
      </c>
      <c r="P580" s="54"/>
      <c r="Q580" s="53" t="str">
        <f aca="false">IF(NOT(ISNUMBER($P580)),"",IFERROR(PERCENTRANK($P$5:$P$1204,$P580),""))</f>
        <v/>
      </c>
    </row>
    <row r="581" customFormat="false" ht="15" hidden="false" customHeight="false" outlineLevel="0" collapsed="false">
      <c r="A581" s="55"/>
      <c r="B581" s="56"/>
      <c r="C581" s="57"/>
      <c r="D581" s="56"/>
      <c r="E581" s="56"/>
      <c r="F581" s="56"/>
      <c r="G581" s="50" t="str">
        <f aca="false">IF($A581="","",IF(ISNUMBER($G580),$G580+1,1))</f>
        <v/>
      </c>
      <c r="H581" s="51" t="str">
        <f aca="false">IF(OR(NOT(ISNUMBER($G581)),$G581&lt;2,NOT(ISNUMBER($C580)),$C580=0),"",$C581/$C580-1)</f>
        <v/>
      </c>
      <c r="I581" s="52" t="str">
        <f aca="false">IF(AND(ISNUMBER($G581),$G581&gt;=MA_SHORT),AVERAGE(INDEX($C$181:$C581,402-MA_SHORT):$C581),"")</f>
        <v/>
      </c>
      <c r="J581" s="52" t="str">
        <f aca="false">IF(AND(ISNUMBER($G581),$G581&gt;=MA_MED),AVERAGE(INDEX($C$181:$C581,402-MA_MED):$C581),"")</f>
        <v/>
      </c>
      <c r="K581" s="52" t="str">
        <f aca="false">IF(AND(ISNUMBER($G581),$G581&gt;=MA_LONG2),AVERAGE(INDEX($C$181:$C581,402-MA_LONG2):$C581),"")</f>
        <v/>
      </c>
      <c r="L581" s="53" t="str">
        <f aca="false">IF(AND(ISNUMBER($G581),$G581&gt;=21),STDEV(INDEX($H$521:$H581,62-20):$H581)*SQRT(245),"")</f>
        <v/>
      </c>
      <c r="M581" s="52" t="str">
        <f aca="false">IF(AND(ISNUMBER($G581),$G581&gt;=60),MAX(INDEX($D$381:$D581,202-60):$D581),"")</f>
        <v/>
      </c>
      <c r="N581" s="52" t="str">
        <f aca="false">IF(AND(ISNUMBER($G581),$G581&gt;=60),MIN(INDEX($E$381:$E581,202-60):$E581),"")</f>
        <v/>
      </c>
      <c r="O581" s="53" t="str">
        <f aca="false">IF(OR(NOT(ISNUMBER($C581)),NOT(ISNUMBER($M581)),$M581=0),"",$C581/$M581-1)</f>
        <v/>
      </c>
      <c r="P581" s="54"/>
      <c r="Q581" s="53" t="str">
        <f aca="false">IF(NOT(ISNUMBER($P581)),"",IFERROR(PERCENTRANK($P$5:$P$1204,$P581),""))</f>
        <v/>
      </c>
    </row>
    <row r="582" customFormat="false" ht="15" hidden="false" customHeight="false" outlineLevel="0" collapsed="false">
      <c r="A582" s="55"/>
      <c r="B582" s="56"/>
      <c r="C582" s="57"/>
      <c r="D582" s="56"/>
      <c r="E582" s="56"/>
      <c r="F582" s="56"/>
      <c r="G582" s="50" t="str">
        <f aca="false">IF($A582="","",IF(ISNUMBER($G581),$G581+1,1))</f>
        <v/>
      </c>
      <c r="H582" s="51" t="str">
        <f aca="false">IF(OR(NOT(ISNUMBER($G582)),$G582&lt;2,NOT(ISNUMBER($C581)),$C581=0),"",$C582/$C581-1)</f>
        <v/>
      </c>
      <c r="I582" s="52" t="str">
        <f aca="false">IF(AND(ISNUMBER($G582),$G582&gt;=MA_SHORT),AVERAGE(INDEX($C$182:$C582,402-MA_SHORT):$C582),"")</f>
        <v/>
      </c>
      <c r="J582" s="52" t="str">
        <f aca="false">IF(AND(ISNUMBER($G582),$G582&gt;=MA_MED),AVERAGE(INDEX($C$182:$C582,402-MA_MED):$C582),"")</f>
        <v/>
      </c>
      <c r="K582" s="52" t="str">
        <f aca="false">IF(AND(ISNUMBER($G582),$G582&gt;=MA_LONG2),AVERAGE(INDEX($C$182:$C582,402-MA_LONG2):$C582),"")</f>
        <v/>
      </c>
      <c r="L582" s="53" t="str">
        <f aca="false">IF(AND(ISNUMBER($G582),$G582&gt;=21),STDEV(INDEX($H$522:$H582,62-20):$H582)*SQRT(245),"")</f>
        <v/>
      </c>
      <c r="M582" s="52" t="str">
        <f aca="false">IF(AND(ISNUMBER($G582),$G582&gt;=60),MAX(INDEX($D$382:$D582,202-60):$D582),"")</f>
        <v/>
      </c>
      <c r="N582" s="52" t="str">
        <f aca="false">IF(AND(ISNUMBER($G582),$G582&gt;=60),MIN(INDEX($E$382:$E582,202-60):$E582),"")</f>
        <v/>
      </c>
      <c r="O582" s="53" t="str">
        <f aca="false">IF(OR(NOT(ISNUMBER($C582)),NOT(ISNUMBER($M582)),$M582=0),"",$C582/$M582-1)</f>
        <v/>
      </c>
      <c r="P582" s="54"/>
      <c r="Q582" s="53" t="str">
        <f aca="false">IF(NOT(ISNUMBER($P582)),"",IFERROR(PERCENTRANK($P$5:$P$1204,$P582),""))</f>
        <v/>
      </c>
    </row>
    <row r="583" customFormat="false" ht="15" hidden="false" customHeight="false" outlineLevel="0" collapsed="false">
      <c r="A583" s="55"/>
      <c r="B583" s="56"/>
      <c r="C583" s="57"/>
      <c r="D583" s="56"/>
      <c r="E583" s="56"/>
      <c r="F583" s="56"/>
      <c r="G583" s="50" t="str">
        <f aca="false">IF($A583="","",IF(ISNUMBER($G582),$G582+1,1))</f>
        <v/>
      </c>
      <c r="H583" s="51" t="str">
        <f aca="false">IF(OR(NOT(ISNUMBER($G583)),$G583&lt;2,NOT(ISNUMBER($C582)),$C582=0),"",$C583/$C582-1)</f>
        <v/>
      </c>
      <c r="I583" s="52" t="str">
        <f aca="false">IF(AND(ISNUMBER($G583),$G583&gt;=MA_SHORT),AVERAGE(INDEX($C$183:$C583,402-MA_SHORT):$C583),"")</f>
        <v/>
      </c>
      <c r="J583" s="52" t="str">
        <f aca="false">IF(AND(ISNUMBER($G583),$G583&gt;=MA_MED),AVERAGE(INDEX($C$183:$C583,402-MA_MED):$C583),"")</f>
        <v/>
      </c>
      <c r="K583" s="52" t="str">
        <f aca="false">IF(AND(ISNUMBER($G583),$G583&gt;=MA_LONG2),AVERAGE(INDEX($C$183:$C583,402-MA_LONG2):$C583),"")</f>
        <v/>
      </c>
      <c r="L583" s="53" t="str">
        <f aca="false">IF(AND(ISNUMBER($G583),$G583&gt;=21),STDEV(INDEX($H$523:$H583,62-20):$H583)*SQRT(245),"")</f>
        <v/>
      </c>
      <c r="M583" s="52" t="str">
        <f aca="false">IF(AND(ISNUMBER($G583),$G583&gt;=60),MAX(INDEX($D$383:$D583,202-60):$D583),"")</f>
        <v/>
      </c>
      <c r="N583" s="52" t="str">
        <f aca="false">IF(AND(ISNUMBER($G583),$G583&gt;=60),MIN(INDEX($E$383:$E583,202-60):$E583),"")</f>
        <v/>
      </c>
      <c r="O583" s="53" t="str">
        <f aca="false">IF(OR(NOT(ISNUMBER($C583)),NOT(ISNUMBER($M583)),$M583=0),"",$C583/$M583-1)</f>
        <v/>
      </c>
      <c r="P583" s="54"/>
      <c r="Q583" s="53" t="str">
        <f aca="false">IF(NOT(ISNUMBER($P583)),"",IFERROR(PERCENTRANK($P$5:$P$1204,$P583),""))</f>
        <v/>
      </c>
    </row>
    <row r="584" customFormat="false" ht="15" hidden="false" customHeight="false" outlineLevel="0" collapsed="false">
      <c r="A584" s="55"/>
      <c r="B584" s="56"/>
      <c r="C584" s="57"/>
      <c r="D584" s="56"/>
      <c r="E584" s="56"/>
      <c r="F584" s="56"/>
      <c r="G584" s="50" t="str">
        <f aca="false">IF($A584="","",IF(ISNUMBER($G583),$G583+1,1))</f>
        <v/>
      </c>
      <c r="H584" s="51" t="str">
        <f aca="false">IF(OR(NOT(ISNUMBER($G584)),$G584&lt;2,NOT(ISNUMBER($C583)),$C583=0),"",$C584/$C583-1)</f>
        <v/>
      </c>
      <c r="I584" s="52" t="str">
        <f aca="false">IF(AND(ISNUMBER($G584),$G584&gt;=MA_SHORT),AVERAGE(INDEX($C$184:$C584,402-MA_SHORT):$C584),"")</f>
        <v/>
      </c>
      <c r="J584" s="52" t="str">
        <f aca="false">IF(AND(ISNUMBER($G584),$G584&gt;=MA_MED),AVERAGE(INDEX($C$184:$C584,402-MA_MED):$C584),"")</f>
        <v/>
      </c>
      <c r="K584" s="52" t="str">
        <f aca="false">IF(AND(ISNUMBER($G584),$G584&gt;=MA_LONG2),AVERAGE(INDEX($C$184:$C584,402-MA_LONG2):$C584),"")</f>
        <v/>
      </c>
      <c r="L584" s="53" t="str">
        <f aca="false">IF(AND(ISNUMBER($G584),$G584&gt;=21),STDEV(INDEX($H$524:$H584,62-20):$H584)*SQRT(245),"")</f>
        <v/>
      </c>
      <c r="M584" s="52" t="str">
        <f aca="false">IF(AND(ISNUMBER($G584),$G584&gt;=60),MAX(INDEX($D$384:$D584,202-60):$D584),"")</f>
        <v/>
      </c>
      <c r="N584" s="52" t="str">
        <f aca="false">IF(AND(ISNUMBER($G584),$G584&gt;=60),MIN(INDEX($E$384:$E584,202-60):$E584),"")</f>
        <v/>
      </c>
      <c r="O584" s="53" t="str">
        <f aca="false">IF(OR(NOT(ISNUMBER($C584)),NOT(ISNUMBER($M584)),$M584=0),"",$C584/$M584-1)</f>
        <v/>
      </c>
      <c r="P584" s="54"/>
      <c r="Q584" s="53" t="str">
        <f aca="false">IF(NOT(ISNUMBER($P584)),"",IFERROR(PERCENTRANK($P$5:$P$1204,$P584),""))</f>
        <v/>
      </c>
    </row>
    <row r="585" customFormat="false" ht="15" hidden="false" customHeight="false" outlineLevel="0" collapsed="false">
      <c r="A585" s="55"/>
      <c r="B585" s="56"/>
      <c r="C585" s="57"/>
      <c r="D585" s="56"/>
      <c r="E585" s="56"/>
      <c r="F585" s="56"/>
      <c r="G585" s="50" t="str">
        <f aca="false">IF($A585="","",IF(ISNUMBER($G584),$G584+1,1))</f>
        <v/>
      </c>
      <c r="H585" s="51" t="str">
        <f aca="false">IF(OR(NOT(ISNUMBER($G585)),$G585&lt;2,NOT(ISNUMBER($C584)),$C584=0),"",$C585/$C584-1)</f>
        <v/>
      </c>
      <c r="I585" s="52" t="str">
        <f aca="false">IF(AND(ISNUMBER($G585),$G585&gt;=MA_SHORT),AVERAGE(INDEX($C$185:$C585,402-MA_SHORT):$C585),"")</f>
        <v/>
      </c>
      <c r="J585" s="52" t="str">
        <f aca="false">IF(AND(ISNUMBER($G585),$G585&gt;=MA_MED),AVERAGE(INDEX($C$185:$C585,402-MA_MED):$C585),"")</f>
        <v/>
      </c>
      <c r="K585" s="52" t="str">
        <f aca="false">IF(AND(ISNUMBER($G585),$G585&gt;=MA_LONG2),AVERAGE(INDEX($C$185:$C585,402-MA_LONG2):$C585),"")</f>
        <v/>
      </c>
      <c r="L585" s="53" t="str">
        <f aca="false">IF(AND(ISNUMBER($G585),$G585&gt;=21),STDEV(INDEX($H$525:$H585,62-20):$H585)*SQRT(245),"")</f>
        <v/>
      </c>
      <c r="M585" s="52" t="str">
        <f aca="false">IF(AND(ISNUMBER($G585),$G585&gt;=60),MAX(INDEX($D$385:$D585,202-60):$D585),"")</f>
        <v/>
      </c>
      <c r="N585" s="52" t="str">
        <f aca="false">IF(AND(ISNUMBER($G585),$G585&gt;=60),MIN(INDEX($E$385:$E585,202-60):$E585),"")</f>
        <v/>
      </c>
      <c r="O585" s="53" t="str">
        <f aca="false">IF(OR(NOT(ISNUMBER($C585)),NOT(ISNUMBER($M585)),$M585=0),"",$C585/$M585-1)</f>
        <v/>
      </c>
      <c r="P585" s="54"/>
      <c r="Q585" s="53" t="str">
        <f aca="false">IF(NOT(ISNUMBER($P585)),"",IFERROR(PERCENTRANK($P$5:$P$1204,$P585),""))</f>
        <v/>
      </c>
    </row>
    <row r="586" customFormat="false" ht="15" hidden="false" customHeight="false" outlineLevel="0" collapsed="false">
      <c r="A586" s="55"/>
      <c r="B586" s="56"/>
      <c r="C586" s="57"/>
      <c r="D586" s="56"/>
      <c r="E586" s="56"/>
      <c r="F586" s="56"/>
      <c r="G586" s="50" t="str">
        <f aca="false">IF($A586="","",IF(ISNUMBER($G585),$G585+1,1))</f>
        <v/>
      </c>
      <c r="H586" s="51" t="str">
        <f aca="false">IF(OR(NOT(ISNUMBER($G586)),$G586&lt;2,NOT(ISNUMBER($C585)),$C585=0),"",$C586/$C585-1)</f>
        <v/>
      </c>
      <c r="I586" s="52" t="str">
        <f aca="false">IF(AND(ISNUMBER($G586),$G586&gt;=MA_SHORT),AVERAGE(INDEX($C$186:$C586,402-MA_SHORT):$C586),"")</f>
        <v/>
      </c>
      <c r="J586" s="52" t="str">
        <f aca="false">IF(AND(ISNUMBER($G586),$G586&gt;=MA_MED),AVERAGE(INDEX($C$186:$C586,402-MA_MED):$C586),"")</f>
        <v/>
      </c>
      <c r="K586" s="52" t="str">
        <f aca="false">IF(AND(ISNUMBER($G586),$G586&gt;=MA_LONG2),AVERAGE(INDEX($C$186:$C586,402-MA_LONG2):$C586),"")</f>
        <v/>
      </c>
      <c r="L586" s="53" t="str">
        <f aca="false">IF(AND(ISNUMBER($G586),$G586&gt;=21),STDEV(INDEX($H$526:$H586,62-20):$H586)*SQRT(245),"")</f>
        <v/>
      </c>
      <c r="M586" s="52" t="str">
        <f aca="false">IF(AND(ISNUMBER($G586),$G586&gt;=60),MAX(INDEX($D$386:$D586,202-60):$D586),"")</f>
        <v/>
      </c>
      <c r="N586" s="52" t="str">
        <f aca="false">IF(AND(ISNUMBER($G586),$G586&gt;=60),MIN(INDEX($E$386:$E586,202-60):$E586),"")</f>
        <v/>
      </c>
      <c r="O586" s="53" t="str">
        <f aca="false">IF(OR(NOT(ISNUMBER($C586)),NOT(ISNUMBER($M586)),$M586=0),"",$C586/$M586-1)</f>
        <v/>
      </c>
      <c r="P586" s="54"/>
      <c r="Q586" s="53" t="str">
        <f aca="false">IF(NOT(ISNUMBER($P586)),"",IFERROR(PERCENTRANK($P$5:$P$1204,$P586),""))</f>
        <v/>
      </c>
    </row>
    <row r="587" customFormat="false" ht="15" hidden="false" customHeight="false" outlineLevel="0" collapsed="false">
      <c r="A587" s="55"/>
      <c r="B587" s="56"/>
      <c r="C587" s="57"/>
      <c r="D587" s="56"/>
      <c r="E587" s="56"/>
      <c r="F587" s="56"/>
      <c r="G587" s="50" t="str">
        <f aca="false">IF($A587="","",IF(ISNUMBER($G586),$G586+1,1))</f>
        <v/>
      </c>
      <c r="H587" s="51" t="str">
        <f aca="false">IF(OR(NOT(ISNUMBER($G587)),$G587&lt;2,NOT(ISNUMBER($C586)),$C586=0),"",$C587/$C586-1)</f>
        <v/>
      </c>
      <c r="I587" s="52" t="str">
        <f aca="false">IF(AND(ISNUMBER($G587),$G587&gt;=MA_SHORT),AVERAGE(INDEX($C$187:$C587,402-MA_SHORT):$C587),"")</f>
        <v/>
      </c>
      <c r="J587" s="52" t="str">
        <f aca="false">IF(AND(ISNUMBER($G587),$G587&gt;=MA_MED),AVERAGE(INDEX($C$187:$C587,402-MA_MED):$C587),"")</f>
        <v/>
      </c>
      <c r="K587" s="52" t="str">
        <f aca="false">IF(AND(ISNUMBER($G587),$G587&gt;=MA_LONG2),AVERAGE(INDEX($C$187:$C587,402-MA_LONG2):$C587),"")</f>
        <v/>
      </c>
      <c r="L587" s="53" t="str">
        <f aca="false">IF(AND(ISNUMBER($G587),$G587&gt;=21),STDEV(INDEX($H$527:$H587,62-20):$H587)*SQRT(245),"")</f>
        <v/>
      </c>
      <c r="M587" s="52" t="str">
        <f aca="false">IF(AND(ISNUMBER($G587),$G587&gt;=60),MAX(INDEX($D$387:$D587,202-60):$D587),"")</f>
        <v/>
      </c>
      <c r="N587" s="52" t="str">
        <f aca="false">IF(AND(ISNUMBER($G587),$G587&gt;=60),MIN(INDEX($E$387:$E587,202-60):$E587),"")</f>
        <v/>
      </c>
      <c r="O587" s="53" t="str">
        <f aca="false">IF(OR(NOT(ISNUMBER($C587)),NOT(ISNUMBER($M587)),$M587=0),"",$C587/$M587-1)</f>
        <v/>
      </c>
      <c r="P587" s="54"/>
      <c r="Q587" s="53" t="str">
        <f aca="false">IF(NOT(ISNUMBER($P587)),"",IFERROR(PERCENTRANK($P$5:$P$1204,$P587),""))</f>
        <v/>
      </c>
    </row>
    <row r="588" customFormat="false" ht="15" hidden="false" customHeight="false" outlineLevel="0" collapsed="false">
      <c r="A588" s="55"/>
      <c r="B588" s="56"/>
      <c r="C588" s="57"/>
      <c r="D588" s="56"/>
      <c r="E588" s="56"/>
      <c r="F588" s="56"/>
      <c r="G588" s="50" t="str">
        <f aca="false">IF($A588="","",IF(ISNUMBER($G587),$G587+1,1))</f>
        <v/>
      </c>
      <c r="H588" s="51" t="str">
        <f aca="false">IF(OR(NOT(ISNUMBER($G588)),$G588&lt;2,NOT(ISNUMBER($C587)),$C587=0),"",$C588/$C587-1)</f>
        <v/>
      </c>
      <c r="I588" s="52" t="str">
        <f aca="false">IF(AND(ISNUMBER($G588),$G588&gt;=MA_SHORT),AVERAGE(INDEX($C$188:$C588,402-MA_SHORT):$C588),"")</f>
        <v/>
      </c>
      <c r="J588" s="52" t="str">
        <f aca="false">IF(AND(ISNUMBER($G588),$G588&gt;=MA_MED),AVERAGE(INDEX($C$188:$C588,402-MA_MED):$C588),"")</f>
        <v/>
      </c>
      <c r="K588" s="52" t="str">
        <f aca="false">IF(AND(ISNUMBER($G588),$G588&gt;=MA_LONG2),AVERAGE(INDEX($C$188:$C588,402-MA_LONG2):$C588),"")</f>
        <v/>
      </c>
      <c r="L588" s="53" t="str">
        <f aca="false">IF(AND(ISNUMBER($G588),$G588&gt;=21),STDEV(INDEX($H$528:$H588,62-20):$H588)*SQRT(245),"")</f>
        <v/>
      </c>
      <c r="M588" s="52" t="str">
        <f aca="false">IF(AND(ISNUMBER($G588),$G588&gt;=60),MAX(INDEX($D$388:$D588,202-60):$D588),"")</f>
        <v/>
      </c>
      <c r="N588" s="52" t="str">
        <f aca="false">IF(AND(ISNUMBER($G588),$G588&gt;=60),MIN(INDEX($E$388:$E588,202-60):$E588),"")</f>
        <v/>
      </c>
      <c r="O588" s="53" t="str">
        <f aca="false">IF(OR(NOT(ISNUMBER($C588)),NOT(ISNUMBER($M588)),$M588=0),"",$C588/$M588-1)</f>
        <v/>
      </c>
      <c r="P588" s="54"/>
      <c r="Q588" s="53" t="str">
        <f aca="false">IF(NOT(ISNUMBER($P588)),"",IFERROR(PERCENTRANK($P$5:$P$1204,$P588),""))</f>
        <v/>
      </c>
    </row>
    <row r="589" customFormat="false" ht="15" hidden="false" customHeight="false" outlineLevel="0" collapsed="false">
      <c r="A589" s="55"/>
      <c r="B589" s="56"/>
      <c r="C589" s="57"/>
      <c r="D589" s="56"/>
      <c r="E589" s="56"/>
      <c r="F589" s="56"/>
      <c r="G589" s="50" t="str">
        <f aca="false">IF($A589="","",IF(ISNUMBER($G588),$G588+1,1))</f>
        <v/>
      </c>
      <c r="H589" s="51" t="str">
        <f aca="false">IF(OR(NOT(ISNUMBER($G589)),$G589&lt;2,NOT(ISNUMBER($C588)),$C588=0),"",$C589/$C588-1)</f>
        <v/>
      </c>
      <c r="I589" s="52" t="str">
        <f aca="false">IF(AND(ISNUMBER($G589),$G589&gt;=MA_SHORT),AVERAGE(INDEX($C$189:$C589,402-MA_SHORT):$C589),"")</f>
        <v/>
      </c>
      <c r="J589" s="52" t="str">
        <f aca="false">IF(AND(ISNUMBER($G589),$G589&gt;=MA_MED),AVERAGE(INDEX($C$189:$C589,402-MA_MED):$C589),"")</f>
        <v/>
      </c>
      <c r="K589" s="52" t="str">
        <f aca="false">IF(AND(ISNUMBER($G589),$G589&gt;=MA_LONG2),AVERAGE(INDEX($C$189:$C589,402-MA_LONG2):$C589),"")</f>
        <v/>
      </c>
      <c r="L589" s="53" t="str">
        <f aca="false">IF(AND(ISNUMBER($G589),$G589&gt;=21),STDEV(INDEX($H$529:$H589,62-20):$H589)*SQRT(245),"")</f>
        <v/>
      </c>
      <c r="M589" s="52" t="str">
        <f aca="false">IF(AND(ISNUMBER($G589),$G589&gt;=60),MAX(INDEX($D$389:$D589,202-60):$D589),"")</f>
        <v/>
      </c>
      <c r="N589" s="52" t="str">
        <f aca="false">IF(AND(ISNUMBER($G589),$G589&gt;=60),MIN(INDEX($E$389:$E589,202-60):$E589),"")</f>
        <v/>
      </c>
      <c r="O589" s="53" t="str">
        <f aca="false">IF(OR(NOT(ISNUMBER($C589)),NOT(ISNUMBER($M589)),$M589=0),"",$C589/$M589-1)</f>
        <v/>
      </c>
      <c r="P589" s="54"/>
      <c r="Q589" s="53" t="str">
        <f aca="false">IF(NOT(ISNUMBER($P589)),"",IFERROR(PERCENTRANK($P$5:$P$1204,$P589),""))</f>
        <v/>
      </c>
    </row>
    <row r="590" customFormat="false" ht="15" hidden="false" customHeight="false" outlineLevel="0" collapsed="false">
      <c r="A590" s="55"/>
      <c r="B590" s="56"/>
      <c r="C590" s="57"/>
      <c r="D590" s="56"/>
      <c r="E590" s="56"/>
      <c r="F590" s="56"/>
      <c r="G590" s="50" t="str">
        <f aca="false">IF($A590="","",IF(ISNUMBER($G589),$G589+1,1))</f>
        <v/>
      </c>
      <c r="H590" s="51" t="str">
        <f aca="false">IF(OR(NOT(ISNUMBER($G590)),$G590&lt;2,NOT(ISNUMBER($C589)),$C589=0),"",$C590/$C589-1)</f>
        <v/>
      </c>
      <c r="I590" s="52" t="str">
        <f aca="false">IF(AND(ISNUMBER($G590),$G590&gt;=MA_SHORT),AVERAGE(INDEX($C$190:$C590,402-MA_SHORT):$C590),"")</f>
        <v/>
      </c>
      <c r="J590" s="52" t="str">
        <f aca="false">IF(AND(ISNUMBER($G590),$G590&gt;=MA_MED),AVERAGE(INDEX($C$190:$C590,402-MA_MED):$C590),"")</f>
        <v/>
      </c>
      <c r="K590" s="52" t="str">
        <f aca="false">IF(AND(ISNUMBER($G590),$G590&gt;=MA_LONG2),AVERAGE(INDEX($C$190:$C590,402-MA_LONG2):$C590),"")</f>
        <v/>
      </c>
      <c r="L590" s="53" t="str">
        <f aca="false">IF(AND(ISNUMBER($G590),$G590&gt;=21),STDEV(INDEX($H$530:$H590,62-20):$H590)*SQRT(245),"")</f>
        <v/>
      </c>
      <c r="M590" s="52" t="str">
        <f aca="false">IF(AND(ISNUMBER($G590),$G590&gt;=60),MAX(INDEX($D$390:$D590,202-60):$D590),"")</f>
        <v/>
      </c>
      <c r="N590" s="52" t="str">
        <f aca="false">IF(AND(ISNUMBER($G590),$G590&gt;=60),MIN(INDEX($E$390:$E590,202-60):$E590),"")</f>
        <v/>
      </c>
      <c r="O590" s="53" t="str">
        <f aca="false">IF(OR(NOT(ISNUMBER($C590)),NOT(ISNUMBER($M590)),$M590=0),"",$C590/$M590-1)</f>
        <v/>
      </c>
      <c r="P590" s="54"/>
      <c r="Q590" s="53" t="str">
        <f aca="false">IF(NOT(ISNUMBER($P590)),"",IFERROR(PERCENTRANK($P$5:$P$1204,$P590),""))</f>
        <v/>
      </c>
    </row>
    <row r="591" customFormat="false" ht="15" hidden="false" customHeight="false" outlineLevel="0" collapsed="false">
      <c r="A591" s="55"/>
      <c r="B591" s="56"/>
      <c r="C591" s="57"/>
      <c r="D591" s="56"/>
      <c r="E591" s="56"/>
      <c r="F591" s="56"/>
      <c r="G591" s="50" t="str">
        <f aca="false">IF($A591="","",IF(ISNUMBER($G590),$G590+1,1))</f>
        <v/>
      </c>
      <c r="H591" s="51" t="str">
        <f aca="false">IF(OR(NOT(ISNUMBER($G591)),$G591&lt;2,NOT(ISNUMBER($C590)),$C590=0),"",$C591/$C590-1)</f>
        <v/>
      </c>
      <c r="I591" s="52" t="str">
        <f aca="false">IF(AND(ISNUMBER($G591),$G591&gt;=MA_SHORT),AVERAGE(INDEX($C$191:$C591,402-MA_SHORT):$C591),"")</f>
        <v/>
      </c>
      <c r="J591" s="52" t="str">
        <f aca="false">IF(AND(ISNUMBER($G591),$G591&gt;=MA_MED),AVERAGE(INDEX($C$191:$C591,402-MA_MED):$C591),"")</f>
        <v/>
      </c>
      <c r="K591" s="52" t="str">
        <f aca="false">IF(AND(ISNUMBER($G591),$G591&gt;=MA_LONG2),AVERAGE(INDEX($C$191:$C591,402-MA_LONG2):$C591),"")</f>
        <v/>
      </c>
      <c r="L591" s="53" t="str">
        <f aca="false">IF(AND(ISNUMBER($G591),$G591&gt;=21),STDEV(INDEX($H$531:$H591,62-20):$H591)*SQRT(245),"")</f>
        <v/>
      </c>
      <c r="M591" s="52" t="str">
        <f aca="false">IF(AND(ISNUMBER($G591),$G591&gt;=60),MAX(INDEX($D$391:$D591,202-60):$D591),"")</f>
        <v/>
      </c>
      <c r="N591" s="52" t="str">
        <f aca="false">IF(AND(ISNUMBER($G591),$G591&gt;=60),MIN(INDEX($E$391:$E591,202-60):$E591),"")</f>
        <v/>
      </c>
      <c r="O591" s="53" t="str">
        <f aca="false">IF(OR(NOT(ISNUMBER($C591)),NOT(ISNUMBER($M591)),$M591=0),"",$C591/$M591-1)</f>
        <v/>
      </c>
      <c r="P591" s="54"/>
      <c r="Q591" s="53" t="str">
        <f aca="false">IF(NOT(ISNUMBER($P591)),"",IFERROR(PERCENTRANK($P$5:$P$1204,$P591),""))</f>
        <v/>
      </c>
    </row>
    <row r="592" customFormat="false" ht="15" hidden="false" customHeight="false" outlineLevel="0" collapsed="false">
      <c r="A592" s="55"/>
      <c r="B592" s="56"/>
      <c r="C592" s="57"/>
      <c r="D592" s="56"/>
      <c r="E592" s="56"/>
      <c r="F592" s="56"/>
      <c r="G592" s="50" t="str">
        <f aca="false">IF($A592="","",IF(ISNUMBER($G591),$G591+1,1))</f>
        <v/>
      </c>
      <c r="H592" s="51" t="str">
        <f aca="false">IF(OR(NOT(ISNUMBER($G592)),$G592&lt;2,NOT(ISNUMBER($C591)),$C591=0),"",$C592/$C591-1)</f>
        <v/>
      </c>
      <c r="I592" s="52" t="str">
        <f aca="false">IF(AND(ISNUMBER($G592),$G592&gt;=MA_SHORT),AVERAGE(INDEX($C$192:$C592,402-MA_SHORT):$C592),"")</f>
        <v/>
      </c>
      <c r="J592" s="52" t="str">
        <f aca="false">IF(AND(ISNUMBER($G592),$G592&gt;=MA_MED),AVERAGE(INDEX($C$192:$C592,402-MA_MED):$C592),"")</f>
        <v/>
      </c>
      <c r="K592" s="52" t="str">
        <f aca="false">IF(AND(ISNUMBER($G592),$G592&gt;=MA_LONG2),AVERAGE(INDEX($C$192:$C592,402-MA_LONG2):$C592),"")</f>
        <v/>
      </c>
      <c r="L592" s="53" t="str">
        <f aca="false">IF(AND(ISNUMBER($G592),$G592&gt;=21),STDEV(INDEX($H$532:$H592,62-20):$H592)*SQRT(245),"")</f>
        <v/>
      </c>
      <c r="M592" s="52" t="str">
        <f aca="false">IF(AND(ISNUMBER($G592),$G592&gt;=60),MAX(INDEX($D$392:$D592,202-60):$D592),"")</f>
        <v/>
      </c>
      <c r="N592" s="52" t="str">
        <f aca="false">IF(AND(ISNUMBER($G592),$G592&gt;=60),MIN(INDEX($E$392:$E592,202-60):$E592),"")</f>
        <v/>
      </c>
      <c r="O592" s="53" t="str">
        <f aca="false">IF(OR(NOT(ISNUMBER($C592)),NOT(ISNUMBER($M592)),$M592=0),"",$C592/$M592-1)</f>
        <v/>
      </c>
      <c r="P592" s="54"/>
      <c r="Q592" s="53" t="str">
        <f aca="false">IF(NOT(ISNUMBER($P592)),"",IFERROR(PERCENTRANK($P$5:$P$1204,$P592),""))</f>
        <v/>
      </c>
    </row>
    <row r="593" customFormat="false" ht="15" hidden="false" customHeight="false" outlineLevel="0" collapsed="false">
      <c r="A593" s="55"/>
      <c r="B593" s="56"/>
      <c r="C593" s="57"/>
      <c r="D593" s="56"/>
      <c r="E593" s="56"/>
      <c r="F593" s="56"/>
      <c r="G593" s="50" t="str">
        <f aca="false">IF($A593="","",IF(ISNUMBER($G592),$G592+1,1))</f>
        <v/>
      </c>
      <c r="H593" s="51" t="str">
        <f aca="false">IF(OR(NOT(ISNUMBER($G593)),$G593&lt;2,NOT(ISNUMBER($C592)),$C592=0),"",$C593/$C592-1)</f>
        <v/>
      </c>
      <c r="I593" s="52" t="str">
        <f aca="false">IF(AND(ISNUMBER($G593),$G593&gt;=MA_SHORT),AVERAGE(INDEX($C$193:$C593,402-MA_SHORT):$C593),"")</f>
        <v/>
      </c>
      <c r="J593" s="52" t="str">
        <f aca="false">IF(AND(ISNUMBER($G593),$G593&gt;=MA_MED),AVERAGE(INDEX($C$193:$C593,402-MA_MED):$C593),"")</f>
        <v/>
      </c>
      <c r="K593" s="52" t="str">
        <f aca="false">IF(AND(ISNUMBER($G593),$G593&gt;=MA_LONG2),AVERAGE(INDEX($C$193:$C593,402-MA_LONG2):$C593),"")</f>
        <v/>
      </c>
      <c r="L593" s="53" t="str">
        <f aca="false">IF(AND(ISNUMBER($G593),$G593&gt;=21),STDEV(INDEX($H$533:$H593,62-20):$H593)*SQRT(245),"")</f>
        <v/>
      </c>
      <c r="M593" s="52" t="str">
        <f aca="false">IF(AND(ISNUMBER($G593),$G593&gt;=60),MAX(INDEX($D$393:$D593,202-60):$D593),"")</f>
        <v/>
      </c>
      <c r="N593" s="52" t="str">
        <f aca="false">IF(AND(ISNUMBER($G593),$G593&gt;=60),MIN(INDEX($E$393:$E593,202-60):$E593),"")</f>
        <v/>
      </c>
      <c r="O593" s="53" t="str">
        <f aca="false">IF(OR(NOT(ISNUMBER($C593)),NOT(ISNUMBER($M593)),$M593=0),"",$C593/$M593-1)</f>
        <v/>
      </c>
      <c r="P593" s="54"/>
      <c r="Q593" s="53" t="str">
        <f aca="false">IF(NOT(ISNUMBER($P593)),"",IFERROR(PERCENTRANK($P$5:$P$1204,$P593),""))</f>
        <v/>
      </c>
    </row>
    <row r="594" customFormat="false" ht="15" hidden="false" customHeight="false" outlineLevel="0" collapsed="false">
      <c r="A594" s="55"/>
      <c r="B594" s="56"/>
      <c r="C594" s="57"/>
      <c r="D594" s="56"/>
      <c r="E594" s="56"/>
      <c r="F594" s="56"/>
      <c r="G594" s="50" t="str">
        <f aca="false">IF($A594="","",IF(ISNUMBER($G593),$G593+1,1))</f>
        <v/>
      </c>
      <c r="H594" s="51" t="str">
        <f aca="false">IF(OR(NOT(ISNUMBER($G594)),$G594&lt;2,NOT(ISNUMBER($C593)),$C593=0),"",$C594/$C593-1)</f>
        <v/>
      </c>
      <c r="I594" s="52" t="str">
        <f aca="false">IF(AND(ISNUMBER($G594),$G594&gt;=MA_SHORT),AVERAGE(INDEX($C$194:$C594,402-MA_SHORT):$C594),"")</f>
        <v/>
      </c>
      <c r="J594" s="52" t="str">
        <f aca="false">IF(AND(ISNUMBER($G594),$G594&gt;=MA_MED),AVERAGE(INDEX($C$194:$C594,402-MA_MED):$C594),"")</f>
        <v/>
      </c>
      <c r="K594" s="52" t="str">
        <f aca="false">IF(AND(ISNUMBER($G594),$G594&gt;=MA_LONG2),AVERAGE(INDEX($C$194:$C594,402-MA_LONG2):$C594),"")</f>
        <v/>
      </c>
      <c r="L594" s="53" t="str">
        <f aca="false">IF(AND(ISNUMBER($G594),$G594&gt;=21),STDEV(INDEX($H$534:$H594,62-20):$H594)*SQRT(245),"")</f>
        <v/>
      </c>
      <c r="M594" s="52" t="str">
        <f aca="false">IF(AND(ISNUMBER($G594),$G594&gt;=60),MAX(INDEX($D$394:$D594,202-60):$D594),"")</f>
        <v/>
      </c>
      <c r="N594" s="52" t="str">
        <f aca="false">IF(AND(ISNUMBER($G594),$G594&gt;=60),MIN(INDEX($E$394:$E594,202-60):$E594),"")</f>
        <v/>
      </c>
      <c r="O594" s="53" t="str">
        <f aca="false">IF(OR(NOT(ISNUMBER($C594)),NOT(ISNUMBER($M594)),$M594=0),"",$C594/$M594-1)</f>
        <v/>
      </c>
      <c r="P594" s="54"/>
      <c r="Q594" s="53" t="str">
        <f aca="false">IF(NOT(ISNUMBER($P594)),"",IFERROR(PERCENTRANK($P$5:$P$1204,$P594),""))</f>
        <v/>
      </c>
    </row>
    <row r="595" customFormat="false" ht="15" hidden="false" customHeight="false" outlineLevel="0" collapsed="false">
      <c r="A595" s="55"/>
      <c r="B595" s="56"/>
      <c r="C595" s="57"/>
      <c r="D595" s="56"/>
      <c r="E595" s="56"/>
      <c r="F595" s="56"/>
      <c r="G595" s="50" t="str">
        <f aca="false">IF($A595="","",IF(ISNUMBER($G594),$G594+1,1))</f>
        <v/>
      </c>
      <c r="H595" s="51" t="str">
        <f aca="false">IF(OR(NOT(ISNUMBER($G595)),$G595&lt;2,NOT(ISNUMBER($C594)),$C594=0),"",$C595/$C594-1)</f>
        <v/>
      </c>
      <c r="I595" s="52" t="str">
        <f aca="false">IF(AND(ISNUMBER($G595),$G595&gt;=MA_SHORT),AVERAGE(INDEX($C$195:$C595,402-MA_SHORT):$C595),"")</f>
        <v/>
      </c>
      <c r="J595" s="52" t="str">
        <f aca="false">IF(AND(ISNUMBER($G595),$G595&gt;=MA_MED),AVERAGE(INDEX($C$195:$C595,402-MA_MED):$C595),"")</f>
        <v/>
      </c>
      <c r="K595" s="52" t="str">
        <f aca="false">IF(AND(ISNUMBER($G595),$G595&gt;=MA_LONG2),AVERAGE(INDEX($C$195:$C595,402-MA_LONG2):$C595),"")</f>
        <v/>
      </c>
      <c r="L595" s="53" t="str">
        <f aca="false">IF(AND(ISNUMBER($G595),$G595&gt;=21),STDEV(INDEX($H$535:$H595,62-20):$H595)*SQRT(245),"")</f>
        <v/>
      </c>
      <c r="M595" s="52" t="str">
        <f aca="false">IF(AND(ISNUMBER($G595),$G595&gt;=60),MAX(INDEX($D$395:$D595,202-60):$D595),"")</f>
        <v/>
      </c>
      <c r="N595" s="52" t="str">
        <f aca="false">IF(AND(ISNUMBER($G595),$G595&gt;=60),MIN(INDEX($E$395:$E595,202-60):$E595),"")</f>
        <v/>
      </c>
      <c r="O595" s="53" t="str">
        <f aca="false">IF(OR(NOT(ISNUMBER($C595)),NOT(ISNUMBER($M595)),$M595=0),"",$C595/$M595-1)</f>
        <v/>
      </c>
      <c r="P595" s="54"/>
      <c r="Q595" s="53" t="str">
        <f aca="false">IF(NOT(ISNUMBER($P595)),"",IFERROR(PERCENTRANK($P$5:$P$1204,$P595),""))</f>
        <v/>
      </c>
    </row>
    <row r="596" customFormat="false" ht="15" hidden="false" customHeight="false" outlineLevel="0" collapsed="false">
      <c r="A596" s="55"/>
      <c r="B596" s="56"/>
      <c r="C596" s="57"/>
      <c r="D596" s="56"/>
      <c r="E596" s="56"/>
      <c r="F596" s="56"/>
      <c r="G596" s="50" t="str">
        <f aca="false">IF($A596="","",IF(ISNUMBER($G595),$G595+1,1))</f>
        <v/>
      </c>
      <c r="H596" s="51" t="str">
        <f aca="false">IF(OR(NOT(ISNUMBER($G596)),$G596&lt;2,NOT(ISNUMBER($C595)),$C595=0),"",$C596/$C595-1)</f>
        <v/>
      </c>
      <c r="I596" s="52" t="str">
        <f aca="false">IF(AND(ISNUMBER($G596),$G596&gt;=MA_SHORT),AVERAGE(INDEX($C$196:$C596,402-MA_SHORT):$C596),"")</f>
        <v/>
      </c>
      <c r="J596" s="52" t="str">
        <f aca="false">IF(AND(ISNUMBER($G596),$G596&gt;=MA_MED),AVERAGE(INDEX($C$196:$C596,402-MA_MED):$C596),"")</f>
        <v/>
      </c>
      <c r="K596" s="52" t="str">
        <f aca="false">IF(AND(ISNUMBER($G596),$G596&gt;=MA_LONG2),AVERAGE(INDEX($C$196:$C596,402-MA_LONG2):$C596),"")</f>
        <v/>
      </c>
      <c r="L596" s="53" t="str">
        <f aca="false">IF(AND(ISNUMBER($G596),$G596&gt;=21),STDEV(INDEX($H$536:$H596,62-20):$H596)*SQRT(245),"")</f>
        <v/>
      </c>
      <c r="M596" s="52" t="str">
        <f aca="false">IF(AND(ISNUMBER($G596),$G596&gt;=60),MAX(INDEX($D$396:$D596,202-60):$D596),"")</f>
        <v/>
      </c>
      <c r="N596" s="52" t="str">
        <f aca="false">IF(AND(ISNUMBER($G596),$G596&gt;=60),MIN(INDEX($E$396:$E596,202-60):$E596),"")</f>
        <v/>
      </c>
      <c r="O596" s="53" t="str">
        <f aca="false">IF(OR(NOT(ISNUMBER($C596)),NOT(ISNUMBER($M596)),$M596=0),"",$C596/$M596-1)</f>
        <v/>
      </c>
      <c r="P596" s="54"/>
      <c r="Q596" s="53" t="str">
        <f aca="false">IF(NOT(ISNUMBER($P596)),"",IFERROR(PERCENTRANK($P$5:$P$1204,$P596),""))</f>
        <v/>
      </c>
    </row>
    <row r="597" customFormat="false" ht="15" hidden="false" customHeight="false" outlineLevel="0" collapsed="false">
      <c r="A597" s="55"/>
      <c r="B597" s="56"/>
      <c r="C597" s="57"/>
      <c r="D597" s="56"/>
      <c r="E597" s="56"/>
      <c r="F597" s="56"/>
      <c r="G597" s="50" t="str">
        <f aca="false">IF($A597="","",IF(ISNUMBER($G596),$G596+1,1))</f>
        <v/>
      </c>
      <c r="H597" s="51" t="str">
        <f aca="false">IF(OR(NOT(ISNUMBER($G597)),$G597&lt;2,NOT(ISNUMBER($C596)),$C596=0),"",$C597/$C596-1)</f>
        <v/>
      </c>
      <c r="I597" s="52" t="str">
        <f aca="false">IF(AND(ISNUMBER($G597),$G597&gt;=MA_SHORT),AVERAGE(INDEX($C$197:$C597,402-MA_SHORT):$C597),"")</f>
        <v/>
      </c>
      <c r="J597" s="52" t="str">
        <f aca="false">IF(AND(ISNUMBER($G597),$G597&gt;=MA_MED),AVERAGE(INDEX($C$197:$C597,402-MA_MED):$C597),"")</f>
        <v/>
      </c>
      <c r="K597" s="52" t="str">
        <f aca="false">IF(AND(ISNUMBER($G597),$G597&gt;=MA_LONG2),AVERAGE(INDEX($C$197:$C597,402-MA_LONG2):$C597),"")</f>
        <v/>
      </c>
      <c r="L597" s="53" t="str">
        <f aca="false">IF(AND(ISNUMBER($G597),$G597&gt;=21),STDEV(INDEX($H$537:$H597,62-20):$H597)*SQRT(245),"")</f>
        <v/>
      </c>
      <c r="M597" s="52" t="str">
        <f aca="false">IF(AND(ISNUMBER($G597),$G597&gt;=60),MAX(INDEX($D$397:$D597,202-60):$D597),"")</f>
        <v/>
      </c>
      <c r="N597" s="52" t="str">
        <f aca="false">IF(AND(ISNUMBER($G597),$G597&gt;=60),MIN(INDEX($E$397:$E597,202-60):$E597),"")</f>
        <v/>
      </c>
      <c r="O597" s="53" t="str">
        <f aca="false">IF(OR(NOT(ISNUMBER($C597)),NOT(ISNUMBER($M597)),$M597=0),"",$C597/$M597-1)</f>
        <v/>
      </c>
      <c r="P597" s="54"/>
      <c r="Q597" s="53" t="str">
        <f aca="false">IF(NOT(ISNUMBER($P597)),"",IFERROR(PERCENTRANK($P$5:$P$1204,$P597),""))</f>
        <v/>
      </c>
    </row>
    <row r="598" customFormat="false" ht="15" hidden="false" customHeight="false" outlineLevel="0" collapsed="false">
      <c r="A598" s="55"/>
      <c r="B598" s="56"/>
      <c r="C598" s="57"/>
      <c r="D598" s="56"/>
      <c r="E598" s="56"/>
      <c r="F598" s="56"/>
      <c r="G598" s="50" t="str">
        <f aca="false">IF($A598="","",IF(ISNUMBER($G597),$G597+1,1))</f>
        <v/>
      </c>
      <c r="H598" s="51" t="str">
        <f aca="false">IF(OR(NOT(ISNUMBER($G598)),$G598&lt;2,NOT(ISNUMBER($C597)),$C597=0),"",$C598/$C597-1)</f>
        <v/>
      </c>
      <c r="I598" s="52" t="str">
        <f aca="false">IF(AND(ISNUMBER($G598),$G598&gt;=MA_SHORT),AVERAGE(INDEX($C$198:$C598,402-MA_SHORT):$C598),"")</f>
        <v/>
      </c>
      <c r="J598" s="52" t="str">
        <f aca="false">IF(AND(ISNUMBER($G598),$G598&gt;=MA_MED),AVERAGE(INDEX($C$198:$C598,402-MA_MED):$C598),"")</f>
        <v/>
      </c>
      <c r="K598" s="52" t="str">
        <f aca="false">IF(AND(ISNUMBER($G598),$G598&gt;=MA_LONG2),AVERAGE(INDEX($C$198:$C598,402-MA_LONG2):$C598),"")</f>
        <v/>
      </c>
      <c r="L598" s="53" t="str">
        <f aca="false">IF(AND(ISNUMBER($G598),$G598&gt;=21),STDEV(INDEX($H$538:$H598,62-20):$H598)*SQRT(245),"")</f>
        <v/>
      </c>
      <c r="M598" s="52" t="str">
        <f aca="false">IF(AND(ISNUMBER($G598),$G598&gt;=60),MAX(INDEX($D$398:$D598,202-60):$D598),"")</f>
        <v/>
      </c>
      <c r="N598" s="52" t="str">
        <f aca="false">IF(AND(ISNUMBER($G598),$G598&gt;=60),MIN(INDEX($E$398:$E598,202-60):$E598),"")</f>
        <v/>
      </c>
      <c r="O598" s="53" t="str">
        <f aca="false">IF(OR(NOT(ISNUMBER($C598)),NOT(ISNUMBER($M598)),$M598=0),"",$C598/$M598-1)</f>
        <v/>
      </c>
      <c r="P598" s="54"/>
      <c r="Q598" s="53" t="str">
        <f aca="false">IF(NOT(ISNUMBER($P598)),"",IFERROR(PERCENTRANK($P$5:$P$1204,$P598),""))</f>
        <v/>
      </c>
    </row>
    <row r="599" customFormat="false" ht="15" hidden="false" customHeight="false" outlineLevel="0" collapsed="false">
      <c r="A599" s="55"/>
      <c r="B599" s="56"/>
      <c r="C599" s="57"/>
      <c r="D599" s="56"/>
      <c r="E599" s="56"/>
      <c r="F599" s="56"/>
      <c r="G599" s="50" t="str">
        <f aca="false">IF($A599="","",IF(ISNUMBER($G598),$G598+1,1))</f>
        <v/>
      </c>
      <c r="H599" s="51" t="str">
        <f aca="false">IF(OR(NOT(ISNUMBER($G599)),$G599&lt;2,NOT(ISNUMBER($C598)),$C598=0),"",$C599/$C598-1)</f>
        <v/>
      </c>
      <c r="I599" s="52" t="str">
        <f aca="false">IF(AND(ISNUMBER($G599),$G599&gt;=MA_SHORT),AVERAGE(INDEX($C$199:$C599,402-MA_SHORT):$C599),"")</f>
        <v/>
      </c>
      <c r="J599" s="52" t="str">
        <f aca="false">IF(AND(ISNUMBER($G599),$G599&gt;=MA_MED),AVERAGE(INDEX($C$199:$C599,402-MA_MED):$C599),"")</f>
        <v/>
      </c>
      <c r="K599" s="52" t="str">
        <f aca="false">IF(AND(ISNUMBER($G599),$G599&gt;=MA_LONG2),AVERAGE(INDEX($C$199:$C599,402-MA_LONG2):$C599),"")</f>
        <v/>
      </c>
      <c r="L599" s="53" t="str">
        <f aca="false">IF(AND(ISNUMBER($G599),$G599&gt;=21),STDEV(INDEX($H$539:$H599,62-20):$H599)*SQRT(245),"")</f>
        <v/>
      </c>
      <c r="M599" s="52" t="str">
        <f aca="false">IF(AND(ISNUMBER($G599),$G599&gt;=60),MAX(INDEX($D$399:$D599,202-60):$D599),"")</f>
        <v/>
      </c>
      <c r="N599" s="52" t="str">
        <f aca="false">IF(AND(ISNUMBER($G599),$G599&gt;=60),MIN(INDEX($E$399:$E599,202-60):$E599),"")</f>
        <v/>
      </c>
      <c r="O599" s="53" t="str">
        <f aca="false">IF(OR(NOT(ISNUMBER($C599)),NOT(ISNUMBER($M599)),$M599=0),"",$C599/$M599-1)</f>
        <v/>
      </c>
      <c r="P599" s="54"/>
      <c r="Q599" s="53" t="str">
        <f aca="false">IF(NOT(ISNUMBER($P599)),"",IFERROR(PERCENTRANK($P$5:$P$1204,$P599),""))</f>
        <v/>
      </c>
    </row>
    <row r="600" customFormat="false" ht="15" hidden="false" customHeight="false" outlineLevel="0" collapsed="false">
      <c r="A600" s="55"/>
      <c r="B600" s="56"/>
      <c r="C600" s="57"/>
      <c r="D600" s="56"/>
      <c r="E600" s="56"/>
      <c r="F600" s="56"/>
      <c r="G600" s="50" t="str">
        <f aca="false">IF($A600="","",IF(ISNUMBER($G599),$G599+1,1))</f>
        <v/>
      </c>
      <c r="H600" s="51" t="str">
        <f aca="false">IF(OR(NOT(ISNUMBER($G600)),$G600&lt;2,NOT(ISNUMBER($C599)),$C599=0),"",$C600/$C599-1)</f>
        <v/>
      </c>
      <c r="I600" s="52" t="str">
        <f aca="false">IF(AND(ISNUMBER($G600),$G600&gt;=MA_SHORT),AVERAGE(INDEX($C$200:$C600,402-MA_SHORT):$C600),"")</f>
        <v/>
      </c>
      <c r="J600" s="52" t="str">
        <f aca="false">IF(AND(ISNUMBER($G600),$G600&gt;=MA_MED),AVERAGE(INDEX($C$200:$C600,402-MA_MED):$C600),"")</f>
        <v/>
      </c>
      <c r="K600" s="52" t="str">
        <f aca="false">IF(AND(ISNUMBER($G600),$G600&gt;=MA_LONG2),AVERAGE(INDEX($C$200:$C600,402-MA_LONG2):$C600),"")</f>
        <v/>
      </c>
      <c r="L600" s="53" t="str">
        <f aca="false">IF(AND(ISNUMBER($G600),$G600&gt;=21),STDEV(INDEX($H$540:$H600,62-20):$H600)*SQRT(245),"")</f>
        <v/>
      </c>
      <c r="M600" s="52" t="str">
        <f aca="false">IF(AND(ISNUMBER($G600),$G600&gt;=60),MAX(INDEX($D$400:$D600,202-60):$D600),"")</f>
        <v/>
      </c>
      <c r="N600" s="52" t="str">
        <f aca="false">IF(AND(ISNUMBER($G600),$G600&gt;=60),MIN(INDEX($E$400:$E600,202-60):$E600),"")</f>
        <v/>
      </c>
      <c r="O600" s="53" t="str">
        <f aca="false">IF(OR(NOT(ISNUMBER($C600)),NOT(ISNUMBER($M600)),$M600=0),"",$C600/$M600-1)</f>
        <v/>
      </c>
      <c r="P600" s="54"/>
      <c r="Q600" s="53" t="str">
        <f aca="false">IF(NOT(ISNUMBER($P600)),"",IFERROR(PERCENTRANK($P$5:$P$1204,$P600),""))</f>
        <v/>
      </c>
    </row>
    <row r="601" customFormat="false" ht="15" hidden="false" customHeight="false" outlineLevel="0" collapsed="false">
      <c r="A601" s="55"/>
      <c r="B601" s="56"/>
      <c r="C601" s="57"/>
      <c r="D601" s="56"/>
      <c r="E601" s="56"/>
      <c r="F601" s="56"/>
      <c r="G601" s="50" t="str">
        <f aca="false">IF($A601="","",IF(ISNUMBER($G600),$G600+1,1))</f>
        <v/>
      </c>
      <c r="H601" s="51" t="str">
        <f aca="false">IF(OR(NOT(ISNUMBER($G601)),$G601&lt;2,NOT(ISNUMBER($C600)),$C600=0),"",$C601/$C600-1)</f>
        <v/>
      </c>
      <c r="I601" s="52" t="str">
        <f aca="false">IF(AND(ISNUMBER($G601),$G601&gt;=MA_SHORT),AVERAGE(INDEX($C$201:$C601,402-MA_SHORT):$C601),"")</f>
        <v/>
      </c>
      <c r="J601" s="52" t="str">
        <f aca="false">IF(AND(ISNUMBER($G601),$G601&gt;=MA_MED),AVERAGE(INDEX($C$201:$C601,402-MA_MED):$C601),"")</f>
        <v/>
      </c>
      <c r="K601" s="52" t="str">
        <f aca="false">IF(AND(ISNUMBER($G601),$G601&gt;=MA_LONG2),AVERAGE(INDEX($C$201:$C601,402-MA_LONG2):$C601),"")</f>
        <v/>
      </c>
      <c r="L601" s="53" t="str">
        <f aca="false">IF(AND(ISNUMBER($G601),$G601&gt;=21),STDEV(INDEX($H$541:$H601,62-20):$H601)*SQRT(245),"")</f>
        <v/>
      </c>
      <c r="M601" s="52" t="str">
        <f aca="false">IF(AND(ISNUMBER($G601),$G601&gt;=60),MAX(INDEX($D$401:$D601,202-60):$D601),"")</f>
        <v/>
      </c>
      <c r="N601" s="52" t="str">
        <f aca="false">IF(AND(ISNUMBER($G601),$G601&gt;=60),MIN(INDEX($E$401:$E601,202-60):$E601),"")</f>
        <v/>
      </c>
      <c r="O601" s="53" t="str">
        <f aca="false">IF(OR(NOT(ISNUMBER($C601)),NOT(ISNUMBER($M601)),$M601=0),"",$C601/$M601-1)</f>
        <v/>
      </c>
      <c r="P601" s="54"/>
      <c r="Q601" s="53" t="str">
        <f aca="false">IF(NOT(ISNUMBER($P601)),"",IFERROR(PERCENTRANK($P$5:$P$1204,$P601),""))</f>
        <v/>
      </c>
    </row>
    <row r="602" customFormat="false" ht="15" hidden="false" customHeight="false" outlineLevel="0" collapsed="false">
      <c r="A602" s="55"/>
      <c r="B602" s="56"/>
      <c r="C602" s="57"/>
      <c r="D602" s="56"/>
      <c r="E602" s="56"/>
      <c r="F602" s="56"/>
      <c r="G602" s="50" t="str">
        <f aca="false">IF($A602="","",IF(ISNUMBER($G601),$G601+1,1))</f>
        <v/>
      </c>
      <c r="H602" s="51" t="str">
        <f aca="false">IF(OR(NOT(ISNUMBER($G602)),$G602&lt;2,NOT(ISNUMBER($C601)),$C601=0),"",$C602/$C601-1)</f>
        <v/>
      </c>
      <c r="I602" s="52" t="str">
        <f aca="false">IF(AND(ISNUMBER($G602),$G602&gt;=MA_SHORT),AVERAGE(INDEX($C$202:$C602,402-MA_SHORT):$C602),"")</f>
        <v/>
      </c>
      <c r="J602" s="52" t="str">
        <f aca="false">IF(AND(ISNUMBER($G602),$G602&gt;=MA_MED),AVERAGE(INDEX($C$202:$C602,402-MA_MED):$C602),"")</f>
        <v/>
      </c>
      <c r="K602" s="52" t="str">
        <f aca="false">IF(AND(ISNUMBER($G602),$G602&gt;=MA_LONG2),AVERAGE(INDEX($C$202:$C602,402-MA_LONG2):$C602),"")</f>
        <v/>
      </c>
      <c r="L602" s="53" t="str">
        <f aca="false">IF(AND(ISNUMBER($G602),$G602&gt;=21),STDEV(INDEX($H$542:$H602,62-20):$H602)*SQRT(245),"")</f>
        <v/>
      </c>
      <c r="M602" s="52" t="str">
        <f aca="false">IF(AND(ISNUMBER($G602),$G602&gt;=60),MAX(INDEX($D$402:$D602,202-60):$D602),"")</f>
        <v/>
      </c>
      <c r="N602" s="52" t="str">
        <f aca="false">IF(AND(ISNUMBER($G602),$G602&gt;=60),MIN(INDEX($E$402:$E602,202-60):$E602),"")</f>
        <v/>
      </c>
      <c r="O602" s="53" t="str">
        <f aca="false">IF(OR(NOT(ISNUMBER($C602)),NOT(ISNUMBER($M602)),$M602=0),"",$C602/$M602-1)</f>
        <v/>
      </c>
      <c r="P602" s="54"/>
      <c r="Q602" s="53" t="str">
        <f aca="false">IF(NOT(ISNUMBER($P602)),"",IFERROR(PERCENTRANK($P$5:$P$1204,$P602),""))</f>
        <v/>
      </c>
    </row>
    <row r="603" customFormat="false" ht="15" hidden="false" customHeight="false" outlineLevel="0" collapsed="false">
      <c r="A603" s="55"/>
      <c r="B603" s="56"/>
      <c r="C603" s="57"/>
      <c r="D603" s="56"/>
      <c r="E603" s="56"/>
      <c r="F603" s="56"/>
      <c r="G603" s="50" t="str">
        <f aca="false">IF($A603="","",IF(ISNUMBER($G602),$G602+1,1))</f>
        <v/>
      </c>
      <c r="H603" s="51" t="str">
        <f aca="false">IF(OR(NOT(ISNUMBER($G603)),$G603&lt;2,NOT(ISNUMBER($C602)),$C602=0),"",$C603/$C602-1)</f>
        <v/>
      </c>
      <c r="I603" s="52" t="str">
        <f aca="false">IF(AND(ISNUMBER($G603),$G603&gt;=MA_SHORT),AVERAGE(INDEX($C$203:$C603,402-MA_SHORT):$C603),"")</f>
        <v/>
      </c>
      <c r="J603" s="52" t="str">
        <f aca="false">IF(AND(ISNUMBER($G603),$G603&gt;=MA_MED),AVERAGE(INDEX($C$203:$C603,402-MA_MED):$C603),"")</f>
        <v/>
      </c>
      <c r="K603" s="52" t="str">
        <f aca="false">IF(AND(ISNUMBER($G603),$G603&gt;=MA_LONG2),AVERAGE(INDEX($C$203:$C603,402-MA_LONG2):$C603),"")</f>
        <v/>
      </c>
      <c r="L603" s="53" t="str">
        <f aca="false">IF(AND(ISNUMBER($G603),$G603&gt;=21),STDEV(INDEX($H$543:$H603,62-20):$H603)*SQRT(245),"")</f>
        <v/>
      </c>
      <c r="M603" s="52" t="str">
        <f aca="false">IF(AND(ISNUMBER($G603),$G603&gt;=60),MAX(INDEX($D$403:$D603,202-60):$D603),"")</f>
        <v/>
      </c>
      <c r="N603" s="52" t="str">
        <f aca="false">IF(AND(ISNUMBER($G603),$G603&gt;=60),MIN(INDEX($E$403:$E603,202-60):$E603),"")</f>
        <v/>
      </c>
      <c r="O603" s="53" t="str">
        <f aca="false">IF(OR(NOT(ISNUMBER($C603)),NOT(ISNUMBER($M603)),$M603=0),"",$C603/$M603-1)</f>
        <v/>
      </c>
      <c r="P603" s="54"/>
      <c r="Q603" s="53" t="str">
        <f aca="false">IF(NOT(ISNUMBER($P603)),"",IFERROR(PERCENTRANK($P$5:$P$1204,$P603),""))</f>
        <v/>
      </c>
    </row>
    <row r="604" customFormat="false" ht="15" hidden="false" customHeight="false" outlineLevel="0" collapsed="false">
      <c r="A604" s="55"/>
      <c r="B604" s="56"/>
      <c r="C604" s="57"/>
      <c r="D604" s="56"/>
      <c r="E604" s="56"/>
      <c r="F604" s="56"/>
      <c r="G604" s="50" t="str">
        <f aca="false">IF($A604="","",IF(ISNUMBER($G603),$G603+1,1))</f>
        <v/>
      </c>
      <c r="H604" s="51" t="str">
        <f aca="false">IF(OR(NOT(ISNUMBER($G604)),$G604&lt;2,NOT(ISNUMBER($C603)),$C603=0),"",$C604/$C603-1)</f>
        <v/>
      </c>
      <c r="I604" s="52" t="str">
        <f aca="false">IF(AND(ISNUMBER($G604),$G604&gt;=MA_SHORT),AVERAGE(INDEX($C$204:$C604,402-MA_SHORT):$C604),"")</f>
        <v/>
      </c>
      <c r="J604" s="52" t="str">
        <f aca="false">IF(AND(ISNUMBER($G604),$G604&gt;=MA_MED),AVERAGE(INDEX($C$204:$C604,402-MA_MED):$C604),"")</f>
        <v/>
      </c>
      <c r="K604" s="52" t="str">
        <f aca="false">IF(AND(ISNUMBER($G604),$G604&gt;=MA_LONG2),AVERAGE(INDEX($C$204:$C604,402-MA_LONG2):$C604),"")</f>
        <v/>
      </c>
      <c r="L604" s="53" t="str">
        <f aca="false">IF(AND(ISNUMBER($G604),$G604&gt;=21),STDEV(INDEX($H$544:$H604,62-20):$H604)*SQRT(245),"")</f>
        <v/>
      </c>
      <c r="M604" s="52" t="str">
        <f aca="false">IF(AND(ISNUMBER($G604),$G604&gt;=60),MAX(INDEX($D$404:$D604,202-60):$D604),"")</f>
        <v/>
      </c>
      <c r="N604" s="52" t="str">
        <f aca="false">IF(AND(ISNUMBER($G604),$G604&gt;=60),MIN(INDEX($E$404:$E604,202-60):$E604),"")</f>
        <v/>
      </c>
      <c r="O604" s="53" t="str">
        <f aca="false">IF(OR(NOT(ISNUMBER($C604)),NOT(ISNUMBER($M604)),$M604=0),"",$C604/$M604-1)</f>
        <v/>
      </c>
      <c r="P604" s="54"/>
      <c r="Q604" s="53" t="str">
        <f aca="false">IF(NOT(ISNUMBER($P604)),"",IFERROR(PERCENTRANK($P$5:$P$1204,$P604),""))</f>
        <v/>
      </c>
    </row>
    <row r="605" customFormat="false" ht="15" hidden="false" customHeight="false" outlineLevel="0" collapsed="false">
      <c r="A605" s="55"/>
      <c r="B605" s="56"/>
      <c r="C605" s="57"/>
      <c r="D605" s="56"/>
      <c r="E605" s="56"/>
      <c r="F605" s="56"/>
      <c r="G605" s="50" t="str">
        <f aca="false">IF($A605="","",IF(ISNUMBER($G604),$G604+1,1))</f>
        <v/>
      </c>
      <c r="H605" s="51" t="str">
        <f aca="false">IF(OR(NOT(ISNUMBER($G605)),$G605&lt;2,NOT(ISNUMBER($C604)),$C604=0),"",$C605/$C604-1)</f>
        <v/>
      </c>
      <c r="I605" s="52" t="str">
        <f aca="false">IF(AND(ISNUMBER($G605),$G605&gt;=MA_SHORT),AVERAGE(INDEX($C$205:$C605,402-MA_SHORT):$C605),"")</f>
        <v/>
      </c>
      <c r="J605" s="52" t="str">
        <f aca="false">IF(AND(ISNUMBER($G605),$G605&gt;=MA_MED),AVERAGE(INDEX($C$205:$C605,402-MA_MED):$C605),"")</f>
        <v/>
      </c>
      <c r="K605" s="52" t="str">
        <f aca="false">IF(AND(ISNUMBER($G605),$G605&gt;=MA_LONG2),AVERAGE(INDEX($C$205:$C605,402-MA_LONG2):$C605),"")</f>
        <v/>
      </c>
      <c r="L605" s="53" t="str">
        <f aca="false">IF(AND(ISNUMBER($G605),$G605&gt;=21),STDEV(INDEX($H$545:$H605,62-20):$H605)*SQRT(245),"")</f>
        <v/>
      </c>
      <c r="M605" s="52" t="str">
        <f aca="false">IF(AND(ISNUMBER($G605),$G605&gt;=60),MAX(INDEX($D$405:$D605,202-60):$D605),"")</f>
        <v/>
      </c>
      <c r="N605" s="52" t="str">
        <f aca="false">IF(AND(ISNUMBER($G605),$G605&gt;=60),MIN(INDEX($E$405:$E605,202-60):$E605),"")</f>
        <v/>
      </c>
      <c r="O605" s="53" t="str">
        <f aca="false">IF(OR(NOT(ISNUMBER($C605)),NOT(ISNUMBER($M605)),$M605=0),"",$C605/$M605-1)</f>
        <v/>
      </c>
      <c r="P605" s="54"/>
      <c r="Q605" s="53" t="str">
        <f aca="false">IF(NOT(ISNUMBER($P605)),"",IFERROR(PERCENTRANK($P$5:$P$1204,$P605),""))</f>
        <v/>
      </c>
    </row>
    <row r="606" customFormat="false" ht="15" hidden="false" customHeight="false" outlineLevel="0" collapsed="false">
      <c r="A606" s="55"/>
      <c r="B606" s="56"/>
      <c r="C606" s="57"/>
      <c r="D606" s="56"/>
      <c r="E606" s="56"/>
      <c r="F606" s="56"/>
      <c r="G606" s="50" t="str">
        <f aca="false">IF($A606="","",IF(ISNUMBER($G605),$G605+1,1))</f>
        <v/>
      </c>
      <c r="H606" s="51" t="str">
        <f aca="false">IF(OR(NOT(ISNUMBER($G606)),$G606&lt;2,NOT(ISNUMBER($C605)),$C605=0),"",$C606/$C605-1)</f>
        <v/>
      </c>
      <c r="I606" s="52" t="str">
        <f aca="false">IF(AND(ISNUMBER($G606),$G606&gt;=MA_SHORT),AVERAGE(INDEX($C$206:$C606,402-MA_SHORT):$C606),"")</f>
        <v/>
      </c>
      <c r="J606" s="52" t="str">
        <f aca="false">IF(AND(ISNUMBER($G606),$G606&gt;=MA_MED),AVERAGE(INDEX($C$206:$C606,402-MA_MED):$C606),"")</f>
        <v/>
      </c>
      <c r="K606" s="52" t="str">
        <f aca="false">IF(AND(ISNUMBER($G606),$G606&gt;=MA_LONG2),AVERAGE(INDEX($C$206:$C606,402-MA_LONG2):$C606),"")</f>
        <v/>
      </c>
      <c r="L606" s="53" t="str">
        <f aca="false">IF(AND(ISNUMBER($G606),$G606&gt;=21),STDEV(INDEX($H$546:$H606,62-20):$H606)*SQRT(245),"")</f>
        <v/>
      </c>
      <c r="M606" s="52" t="str">
        <f aca="false">IF(AND(ISNUMBER($G606),$G606&gt;=60),MAX(INDEX($D$406:$D606,202-60):$D606),"")</f>
        <v/>
      </c>
      <c r="N606" s="52" t="str">
        <f aca="false">IF(AND(ISNUMBER($G606),$G606&gt;=60),MIN(INDEX($E$406:$E606,202-60):$E606),"")</f>
        <v/>
      </c>
      <c r="O606" s="53" t="str">
        <f aca="false">IF(OR(NOT(ISNUMBER($C606)),NOT(ISNUMBER($M606)),$M606=0),"",$C606/$M606-1)</f>
        <v/>
      </c>
      <c r="P606" s="54"/>
      <c r="Q606" s="53" t="str">
        <f aca="false">IF(NOT(ISNUMBER($P606)),"",IFERROR(PERCENTRANK($P$5:$P$1204,$P606),""))</f>
        <v/>
      </c>
    </row>
    <row r="607" customFormat="false" ht="15" hidden="false" customHeight="false" outlineLevel="0" collapsed="false">
      <c r="A607" s="55"/>
      <c r="B607" s="56"/>
      <c r="C607" s="57"/>
      <c r="D607" s="56"/>
      <c r="E607" s="56"/>
      <c r="F607" s="56"/>
      <c r="G607" s="50" t="str">
        <f aca="false">IF($A607="","",IF(ISNUMBER($G606),$G606+1,1))</f>
        <v/>
      </c>
      <c r="H607" s="51" t="str">
        <f aca="false">IF(OR(NOT(ISNUMBER($G607)),$G607&lt;2,NOT(ISNUMBER($C606)),$C606=0),"",$C607/$C606-1)</f>
        <v/>
      </c>
      <c r="I607" s="52" t="str">
        <f aca="false">IF(AND(ISNUMBER($G607),$G607&gt;=MA_SHORT),AVERAGE(INDEX($C$207:$C607,402-MA_SHORT):$C607),"")</f>
        <v/>
      </c>
      <c r="J607" s="52" t="str">
        <f aca="false">IF(AND(ISNUMBER($G607),$G607&gt;=MA_MED),AVERAGE(INDEX($C$207:$C607,402-MA_MED):$C607),"")</f>
        <v/>
      </c>
      <c r="K607" s="52" t="str">
        <f aca="false">IF(AND(ISNUMBER($G607),$G607&gt;=MA_LONG2),AVERAGE(INDEX($C$207:$C607,402-MA_LONG2):$C607),"")</f>
        <v/>
      </c>
      <c r="L607" s="53" t="str">
        <f aca="false">IF(AND(ISNUMBER($G607),$G607&gt;=21),STDEV(INDEX($H$547:$H607,62-20):$H607)*SQRT(245),"")</f>
        <v/>
      </c>
      <c r="M607" s="52" t="str">
        <f aca="false">IF(AND(ISNUMBER($G607),$G607&gt;=60),MAX(INDEX($D$407:$D607,202-60):$D607),"")</f>
        <v/>
      </c>
      <c r="N607" s="52" t="str">
        <f aca="false">IF(AND(ISNUMBER($G607),$G607&gt;=60),MIN(INDEX($E$407:$E607,202-60):$E607),"")</f>
        <v/>
      </c>
      <c r="O607" s="53" t="str">
        <f aca="false">IF(OR(NOT(ISNUMBER($C607)),NOT(ISNUMBER($M607)),$M607=0),"",$C607/$M607-1)</f>
        <v/>
      </c>
      <c r="P607" s="54"/>
      <c r="Q607" s="53" t="str">
        <f aca="false">IF(NOT(ISNUMBER($P607)),"",IFERROR(PERCENTRANK($P$5:$P$1204,$P607),""))</f>
        <v/>
      </c>
    </row>
    <row r="608" customFormat="false" ht="15" hidden="false" customHeight="false" outlineLevel="0" collapsed="false">
      <c r="A608" s="55"/>
      <c r="B608" s="56"/>
      <c r="C608" s="57"/>
      <c r="D608" s="56"/>
      <c r="E608" s="56"/>
      <c r="F608" s="56"/>
      <c r="G608" s="50" t="str">
        <f aca="false">IF($A608="","",IF(ISNUMBER($G607),$G607+1,1))</f>
        <v/>
      </c>
      <c r="H608" s="51" t="str">
        <f aca="false">IF(OR(NOT(ISNUMBER($G608)),$G608&lt;2,NOT(ISNUMBER($C607)),$C607=0),"",$C608/$C607-1)</f>
        <v/>
      </c>
      <c r="I608" s="52" t="str">
        <f aca="false">IF(AND(ISNUMBER($G608),$G608&gt;=MA_SHORT),AVERAGE(INDEX($C$208:$C608,402-MA_SHORT):$C608),"")</f>
        <v/>
      </c>
      <c r="J608" s="52" t="str">
        <f aca="false">IF(AND(ISNUMBER($G608),$G608&gt;=MA_MED),AVERAGE(INDEX($C$208:$C608,402-MA_MED):$C608),"")</f>
        <v/>
      </c>
      <c r="K608" s="52" t="str">
        <f aca="false">IF(AND(ISNUMBER($G608),$G608&gt;=MA_LONG2),AVERAGE(INDEX($C$208:$C608,402-MA_LONG2):$C608),"")</f>
        <v/>
      </c>
      <c r="L608" s="53" t="str">
        <f aca="false">IF(AND(ISNUMBER($G608),$G608&gt;=21),STDEV(INDEX($H$548:$H608,62-20):$H608)*SQRT(245),"")</f>
        <v/>
      </c>
      <c r="M608" s="52" t="str">
        <f aca="false">IF(AND(ISNUMBER($G608),$G608&gt;=60),MAX(INDEX($D$408:$D608,202-60):$D608),"")</f>
        <v/>
      </c>
      <c r="N608" s="52" t="str">
        <f aca="false">IF(AND(ISNUMBER($G608),$G608&gt;=60),MIN(INDEX($E$408:$E608,202-60):$E608),"")</f>
        <v/>
      </c>
      <c r="O608" s="53" t="str">
        <f aca="false">IF(OR(NOT(ISNUMBER($C608)),NOT(ISNUMBER($M608)),$M608=0),"",$C608/$M608-1)</f>
        <v/>
      </c>
      <c r="P608" s="54"/>
      <c r="Q608" s="53" t="str">
        <f aca="false">IF(NOT(ISNUMBER($P608)),"",IFERROR(PERCENTRANK($P$5:$P$1204,$P608),""))</f>
        <v/>
      </c>
    </row>
    <row r="609" customFormat="false" ht="15" hidden="false" customHeight="false" outlineLevel="0" collapsed="false">
      <c r="A609" s="55"/>
      <c r="B609" s="56"/>
      <c r="C609" s="57"/>
      <c r="D609" s="56"/>
      <c r="E609" s="56"/>
      <c r="F609" s="56"/>
      <c r="G609" s="50" t="str">
        <f aca="false">IF($A609="","",IF(ISNUMBER($G608),$G608+1,1))</f>
        <v/>
      </c>
      <c r="H609" s="51" t="str">
        <f aca="false">IF(OR(NOT(ISNUMBER($G609)),$G609&lt;2,NOT(ISNUMBER($C608)),$C608=0),"",$C609/$C608-1)</f>
        <v/>
      </c>
      <c r="I609" s="52" t="str">
        <f aca="false">IF(AND(ISNUMBER($G609),$G609&gt;=MA_SHORT),AVERAGE(INDEX($C$209:$C609,402-MA_SHORT):$C609),"")</f>
        <v/>
      </c>
      <c r="J609" s="52" t="str">
        <f aca="false">IF(AND(ISNUMBER($G609),$G609&gt;=MA_MED),AVERAGE(INDEX($C$209:$C609,402-MA_MED):$C609),"")</f>
        <v/>
      </c>
      <c r="K609" s="52" t="str">
        <f aca="false">IF(AND(ISNUMBER($G609),$G609&gt;=MA_LONG2),AVERAGE(INDEX($C$209:$C609,402-MA_LONG2):$C609),"")</f>
        <v/>
      </c>
      <c r="L609" s="53" t="str">
        <f aca="false">IF(AND(ISNUMBER($G609),$G609&gt;=21),STDEV(INDEX($H$549:$H609,62-20):$H609)*SQRT(245),"")</f>
        <v/>
      </c>
      <c r="M609" s="52" t="str">
        <f aca="false">IF(AND(ISNUMBER($G609),$G609&gt;=60),MAX(INDEX($D$409:$D609,202-60):$D609),"")</f>
        <v/>
      </c>
      <c r="N609" s="52" t="str">
        <f aca="false">IF(AND(ISNUMBER($G609),$G609&gt;=60),MIN(INDEX($E$409:$E609,202-60):$E609),"")</f>
        <v/>
      </c>
      <c r="O609" s="53" t="str">
        <f aca="false">IF(OR(NOT(ISNUMBER($C609)),NOT(ISNUMBER($M609)),$M609=0),"",$C609/$M609-1)</f>
        <v/>
      </c>
      <c r="P609" s="54"/>
      <c r="Q609" s="53" t="str">
        <f aca="false">IF(NOT(ISNUMBER($P609)),"",IFERROR(PERCENTRANK($P$5:$P$1204,$P609),""))</f>
        <v/>
      </c>
    </row>
    <row r="610" customFormat="false" ht="15" hidden="false" customHeight="false" outlineLevel="0" collapsed="false">
      <c r="A610" s="55"/>
      <c r="B610" s="56"/>
      <c r="C610" s="57"/>
      <c r="D610" s="56"/>
      <c r="E610" s="56"/>
      <c r="F610" s="56"/>
      <c r="G610" s="50" t="str">
        <f aca="false">IF($A610="","",IF(ISNUMBER($G609),$G609+1,1))</f>
        <v/>
      </c>
      <c r="H610" s="51" t="str">
        <f aca="false">IF(OR(NOT(ISNUMBER($G610)),$G610&lt;2,NOT(ISNUMBER($C609)),$C609=0),"",$C610/$C609-1)</f>
        <v/>
      </c>
      <c r="I610" s="52" t="str">
        <f aca="false">IF(AND(ISNUMBER($G610),$G610&gt;=MA_SHORT),AVERAGE(INDEX($C$210:$C610,402-MA_SHORT):$C610),"")</f>
        <v/>
      </c>
      <c r="J610" s="52" t="str">
        <f aca="false">IF(AND(ISNUMBER($G610),$G610&gt;=MA_MED),AVERAGE(INDEX($C$210:$C610,402-MA_MED):$C610),"")</f>
        <v/>
      </c>
      <c r="K610" s="52" t="str">
        <f aca="false">IF(AND(ISNUMBER($G610),$G610&gt;=MA_LONG2),AVERAGE(INDEX($C$210:$C610,402-MA_LONG2):$C610),"")</f>
        <v/>
      </c>
      <c r="L610" s="53" t="str">
        <f aca="false">IF(AND(ISNUMBER($G610),$G610&gt;=21),STDEV(INDEX($H$550:$H610,62-20):$H610)*SQRT(245),"")</f>
        <v/>
      </c>
      <c r="M610" s="52" t="str">
        <f aca="false">IF(AND(ISNUMBER($G610),$G610&gt;=60),MAX(INDEX($D$410:$D610,202-60):$D610),"")</f>
        <v/>
      </c>
      <c r="N610" s="52" t="str">
        <f aca="false">IF(AND(ISNUMBER($G610),$G610&gt;=60),MIN(INDEX($E$410:$E610,202-60):$E610),"")</f>
        <v/>
      </c>
      <c r="O610" s="53" t="str">
        <f aca="false">IF(OR(NOT(ISNUMBER($C610)),NOT(ISNUMBER($M610)),$M610=0),"",$C610/$M610-1)</f>
        <v/>
      </c>
      <c r="P610" s="54"/>
      <c r="Q610" s="53" t="str">
        <f aca="false">IF(NOT(ISNUMBER($P610)),"",IFERROR(PERCENTRANK($P$5:$P$1204,$P610),""))</f>
        <v/>
      </c>
    </row>
    <row r="611" customFormat="false" ht="15" hidden="false" customHeight="false" outlineLevel="0" collapsed="false">
      <c r="A611" s="55"/>
      <c r="B611" s="56"/>
      <c r="C611" s="57"/>
      <c r="D611" s="56"/>
      <c r="E611" s="56"/>
      <c r="F611" s="56"/>
      <c r="G611" s="50" t="str">
        <f aca="false">IF($A611="","",IF(ISNUMBER($G610),$G610+1,1))</f>
        <v/>
      </c>
      <c r="H611" s="51" t="str">
        <f aca="false">IF(OR(NOT(ISNUMBER($G611)),$G611&lt;2,NOT(ISNUMBER($C610)),$C610=0),"",$C611/$C610-1)</f>
        <v/>
      </c>
      <c r="I611" s="52" t="str">
        <f aca="false">IF(AND(ISNUMBER($G611),$G611&gt;=MA_SHORT),AVERAGE(INDEX($C$211:$C611,402-MA_SHORT):$C611),"")</f>
        <v/>
      </c>
      <c r="J611" s="52" t="str">
        <f aca="false">IF(AND(ISNUMBER($G611),$G611&gt;=MA_MED),AVERAGE(INDEX($C$211:$C611,402-MA_MED):$C611),"")</f>
        <v/>
      </c>
      <c r="K611" s="52" t="str">
        <f aca="false">IF(AND(ISNUMBER($G611),$G611&gt;=MA_LONG2),AVERAGE(INDEX($C$211:$C611,402-MA_LONG2):$C611),"")</f>
        <v/>
      </c>
      <c r="L611" s="53" t="str">
        <f aca="false">IF(AND(ISNUMBER($G611),$G611&gt;=21),STDEV(INDEX($H$551:$H611,62-20):$H611)*SQRT(245),"")</f>
        <v/>
      </c>
      <c r="M611" s="52" t="str">
        <f aca="false">IF(AND(ISNUMBER($G611),$G611&gt;=60),MAX(INDEX($D$411:$D611,202-60):$D611),"")</f>
        <v/>
      </c>
      <c r="N611" s="52" t="str">
        <f aca="false">IF(AND(ISNUMBER($G611),$G611&gt;=60),MIN(INDEX($E$411:$E611,202-60):$E611),"")</f>
        <v/>
      </c>
      <c r="O611" s="53" t="str">
        <f aca="false">IF(OR(NOT(ISNUMBER($C611)),NOT(ISNUMBER($M611)),$M611=0),"",$C611/$M611-1)</f>
        <v/>
      </c>
      <c r="P611" s="54"/>
      <c r="Q611" s="53" t="str">
        <f aca="false">IF(NOT(ISNUMBER($P611)),"",IFERROR(PERCENTRANK($P$5:$P$1204,$P611),""))</f>
        <v/>
      </c>
    </row>
    <row r="612" customFormat="false" ht="15" hidden="false" customHeight="false" outlineLevel="0" collapsed="false">
      <c r="A612" s="55"/>
      <c r="B612" s="56"/>
      <c r="C612" s="57"/>
      <c r="D612" s="56"/>
      <c r="E612" s="56"/>
      <c r="F612" s="56"/>
      <c r="G612" s="50" t="str">
        <f aca="false">IF($A612="","",IF(ISNUMBER($G611),$G611+1,1))</f>
        <v/>
      </c>
      <c r="H612" s="51" t="str">
        <f aca="false">IF(OR(NOT(ISNUMBER($G612)),$G612&lt;2,NOT(ISNUMBER($C611)),$C611=0),"",$C612/$C611-1)</f>
        <v/>
      </c>
      <c r="I612" s="52" t="str">
        <f aca="false">IF(AND(ISNUMBER($G612),$G612&gt;=MA_SHORT),AVERAGE(INDEX($C$212:$C612,402-MA_SHORT):$C612),"")</f>
        <v/>
      </c>
      <c r="J612" s="52" t="str">
        <f aca="false">IF(AND(ISNUMBER($G612),$G612&gt;=MA_MED),AVERAGE(INDEX($C$212:$C612,402-MA_MED):$C612),"")</f>
        <v/>
      </c>
      <c r="K612" s="52" t="str">
        <f aca="false">IF(AND(ISNUMBER($G612),$G612&gt;=MA_LONG2),AVERAGE(INDEX($C$212:$C612,402-MA_LONG2):$C612),"")</f>
        <v/>
      </c>
      <c r="L612" s="53" t="str">
        <f aca="false">IF(AND(ISNUMBER($G612),$G612&gt;=21),STDEV(INDEX($H$552:$H612,62-20):$H612)*SQRT(245),"")</f>
        <v/>
      </c>
      <c r="M612" s="52" t="str">
        <f aca="false">IF(AND(ISNUMBER($G612),$G612&gt;=60),MAX(INDEX($D$412:$D612,202-60):$D612),"")</f>
        <v/>
      </c>
      <c r="N612" s="52" t="str">
        <f aca="false">IF(AND(ISNUMBER($G612),$G612&gt;=60),MIN(INDEX($E$412:$E612,202-60):$E612),"")</f>
        <v/>
      </c>
      <c r="O612" s="53" t="str">
        <f aca="false">IF(OR(NOT(ISNUMBER($C612)),NOT(ISNUMBER($M612)),$M612=0),"",$C612/$M612-1)</f>
        <v/>
      </c>
      <c r="P612" s="54"/>
      <c r="Q612" s="53" t="str">
        <f aca="false">IF(NOT(ISNUMBER($P612)),"",IFERROR(PERCENTRANK($P$5:$P$1204,$P612),""))</f>
        <v/>
      </c>
    </row>
    <row r="613" customFormat="false" ht="15" hidden="false" customHeight="false" outlineLevel="0" collapsed="false">
      <c r="A613" s="55"/>
      <c r="B613" s="56"/>
      <c r="C613" s="57"/>
      <c r="D613" s="56"/>
      <c r="E613" s="56"/>
      <c r="F613" s="56"/>
      <c r="G613" s="50" t="str">
        <f aca="false">IF($A613="","",IF(ISNUMBER($G612),$G612+1,1))</f>
        <v/>
      </c>
      <c r="H613" s="51" t="str">
        <f aca="false">IF(OR(NOT(ISNUMBER($G613)),$G613&lt;2,NOT(ISNUMBER($C612)),$C612=0),"",$C613/$C612-1)</f>
        <v/>
      </c>
      <c r="I613" s="52" t="str">
        <f aca="false">IF(AND(ISNUMBER($G613),$G613&gt;=MA_SHORT),AVERAGE(INDEX($C$213:$C613,402-MA_SHORT):$C613),"")</f>
        <v/>
      </c>
      <c r="J613" s="52" t="str">
        <f aca="false">IF(AND(ISNUMBER($G613),$G613&gt;=MA_MED),AVERAGE(INDEX($C$213:$C613,402-MA_MED):$C613),"")</f>
        <v/>
      </c>
      <c r="K613" s="52" t="str">
        <f aca="false">IF(AND(ISNUMBER($G613),$G613&gt;=MA_LONG2),AVERAGE(INDEX($C$213:$C613,402-MA_LONG2):$C613),"")</f>
        <v/>
      </c>
      <c r="L613" s="53" t="str">
        <f aca="false">IF(AND(ISNUMBER($G613),$G613&gt;=21),STDEV(INDEX($H$553:$H613,62-20):$H613)*SQRT(245),"")</f>
        <v/>
      </c>
      <c r="M613" s="52" t="str">
        <f aca="false">IF(AND(ISNUMBER($G613),$G613&gt;=60),MAX(INDEX($D$413:$D613,202-60):$D613),"")</f>
        <v/>
      </c>
      <c r="N613" s="52" t="str">
        <f aca="false">IF(AND(ISNUMBER($G613),$G613&gt;=60),MIN(INDEX($E$413:$E613,202-60):$E613),"")</f>
        <v/>
      </c>
      <c r="O613" s="53" t="str">
        <f aca="false">IF(OR(NOT(ISNUMBER($C613)),NOT(ISNUMBER($M613)),$M613=0),"",$C613/$M613-1)</f>
        <v/>
      </c>
      <c r="P613" s="54"/>
      <c r="Q613" s="53" t="str">
        <f aca="false">IF(NOT(ISNUMBER($P613)),"",IFERROR(PERCENTRANK($P$5:$P$1204,$P613),""))</f>
        <v/>
      </c>
    </row>
    <row r="614" customFormat="false" ht="15" hidden="false" customHeight="false" outlineLevel="0" collapsed="false">
      <c r="A614" s="55"/>
      <c r="B614" s="56"/>
      <c r="C614" s="57"/>
      <c r="D614" s="56"/>
      <c r="E614" s="56"/>
      <c r="F614" s="56"/>
      <c r="G614" s="50" t="str">
        <f aca="false">IF($A614="","",IF(ISNUMBER($G613),$G613+1,1))</f>
        <v/>
      </c>
      <c r="H614" s="51" t="str">
        <f aca="false">IF(OR(NOT(ISNUMBER($G614)),$G614&lt;2,NOT(ISNUMBER($C613)),$C613=0),"",$C614/$C613-1)</f>
        <v/>
      </c>
      <c r="I614" s="52" t="str">
        <f aca="false">IF(AND(ISNUMBER($G614),$G614&gt;=MA_SHORT),AVERAGE(INDEX($C$214:$C614,402-MA_SHORT):$C614),"")</f>
        <v/>
      </c>
      <c r="J614" s="52" t="str">
        <f aca="false">IF(AND(ISNUMBER($G614),$G614&gt;=MA_MED),AVERAGE(INDEX($C$214:$C614,402-MA_MED):$C614),"")</f>
        <v/>
      </c>
      <c r="K614" s="52" t="str">
        <f aca="false">IF(AND(ISNUMBER($G614),$G614&gt;=MA_LONG2),AVERAGE(INDEX($C$214:$C614,402-MA_LONG2):$C614),"")</f>
        <v/>
      </c>
      <c r="L614" s="53" t="str">
        <f aca="false">IF(AND(ISNUMBER($G614),$G614&gt;=21),STDEV(INDEX($H$554:$H614,62-20):$H614)*SQRT(245),"")</f>
        <v/>
      </c>
      <c r="M614" s="52" t="str">
        <f aca="false">IF(AND(ISNUMBER($G614),$G614&gt;=60),MAX(INDEX($D$414:$D614,202-60):$D614),"")</f>
        <v/>
      </c>
      <c r="N614" s="52" t="str">
        <f aca="false">IF(AND(ISNUMBER($G614),$G614&gt;=60),MIN(INDEX($E$414:$E614,202-60):$E614),"")</f>
        <v/>
      </c>
      <c r="O614" s="53" t="str">
        <f aca="false">IF(OR(NOT(ISNUMBER($C614)),NOT(ISNUMBER($M614)),$M614=0),"",$C614/$M614-1)</f>
        <v/>
      </c>
      <c r="P614" s="54"/>
      <c r="Q614" s="53" t="str">
        <f aca="false">IF(NOT(ISNUMBER($P614)),"",IFERROR(PERCENTRANK($P$5:$P$1204,$P614),""))</f>
        <v/>
      </c>
    </row>
    <row r="615" customFormat="false" ht="15" hidden="false" customHeight="false" outlineLevel="0" collapsed="false">
      <c r="A615" s="55"/>
      <c r="B615" s="56"/>
      <c r="C615" s="57"/>
      <c r="D615" s="56"/>
      <c r="E615" s="56"/>
      <c r="F615" s="56"/>
      <c r="G615" s="50" t="str">
        <f aca="false">IF($A615="","",IF(ISNUMBER($G614),$G614+1,1))</f>
        <v/>
      </c>
      <c r="H615" s="51" t="str">
        <f aca="false">IF(OR(NOT(ISNUMBER($G615)),$G615&lt;2,NOT(ISNUMBER($C614)),$C614=0),"",$C615/$C614-1)</f>
        <v/>
      </c>
      <c r="I615" s="52" t="str">
        <f aca="false">IF(AND(ISNUMBER($G615),$G615&gt;=MA_SHORT),AVERAGE(INDEX($C$215:$C615,402-MA_SHORT):$C615),"")</f>
        <v/>
      </c>
      <c r="J615" s="52" t="str">
        <f aca="false">IF(AND(ISNUMBER($G615),$G615&gt;=MA_MED),AVERAGE(INDEX($C$215:$C615,402-MA_MED):$C615),"")</f>
        <v/>
      </c>
      <c r="K615" s="52" t="str">
        <f aca="false">IF(AND(ISNUMBER($G615),$G615&gt;=MA_LONG2),AVERAGE(INDEX($C$215:$C615,402-MA_LONG2):$C615),"")</f>
        <v/>
      </c>
      <c r="L615" s="53" t="str">
        <f aca="false">IF(AND(ISNUMBER($G615),$G615&gt;=21),STDEV(INDEX($H$555:$H615,62-20):$H615)*SQRT(245),"")</f>
        <v/>
      </c>
      <c r="M615" s="52" t="str">
        <f aca="false">IF(AND(ISNUMBER($G615),$G615&gt;=60),MAX(INDEX($D$415:$D615,202-60):$D615),"")</f>
        <v/>
      </c>
      <c r="N615" s="52" t="str">
        <f aca="false">IF(AND(ISNUMBER($G615),$G615&gt;=60),MIN(INDEX($E$415:$E615,202-60):$E615),"")</f>
        <v/>
      </c>
      <c r="O615" s="53" t="str">
        <f aca="false">IF(OR(NOT(ISNUMBER($C615)),NOT(ISNUMBER($M615)),$M615=0),"",$C615/$M615-1)</f>
        <v/>
      </c>
      <c r="P615" s="54"/>
      <c r="Q615" s="53" t="str">
        <f aca="false">IF(NOT(ISNUMBER($P615)),"",IFERROR(PERCENTRANK($P$5:$P$1204,$P615),""))</f>
        <v/>
      </c>
    </row>
    <row r="616" customFormat="false" ht="15" hidden="false" customHeight="false" outlineLevel="0" collapsed="false">
      <c r="A616" s="55"/>
      <c r="B616" s="56"/>
      <c r="C616" s="57"/>
      <c r="D616" s="56"/>
      <c r="E616" s="56"/>
      <c r="F616" s="56"/>
      <c r="G616" s="50" t="str">
        <f aca="false">IF($A616="","",IF(ISNUMBER($G615),$G615+1,1))</f>
        <v/>
      </c>
      <c r="H616" s="51" t="str">
        <f aca="false">IF(OR(NOT(ISNUMBER($G616)),$G616&lt;2,NOT(ISNUMBER($C615)),$C615=0),"",$C616/$C615-1)</f>
        <v/>
      </c>
      <c r="I616" s="52" t="str">
        <f aca="false">IF(AND(ISNUMBER($G616),$G616&gt;=MA_SHORT),AVERAGE(INDEX($C$216:$C616,402-MA_SHORT):$C616),"")</f>
        <v/>
      </c>
      <c r="J616" s="52" t="str">
        <f aca="false">IF(AND(ISNUMBER($G616),$G616&gt;=MA_MED),AVERAGE(INDEX($C$216:$C616,402-MA_MED):$C616),"")</f>
        <v/>
      </c>
      <c r="K616" s="52" t="str">
        <f aca="false">IF(AND(ISNUMBER($G616),$G616&gt;=MA_LONG2),AVERAGE(INDEX($C$216:$C616,402-MA_LONG2):$C616),"")</f>
        <v/>
      </c>
      <c r="L616" s="53" t="str">
        <f aca="false">IF(AND(ISNUMBER($G616),$G616&gt;=21),STDEV(INDEX($H$556:$H616,62-20):$H616)*SQRT(245),"")</f>
        <v/>
      </c>
      <c r="M616" s="52" t="str">
        <f aca="false">IF(AND(ISNUMBER($G616),$G616&gt;=60),MAX(INDEX($D$416:$D616,202-60):$D616),"")</f>
        <v/>
      </c>
      <c r="N616" s="52" t="str">
        <f aca="false">IF(AND(ISNUMBER($G616),$G616&gt;=60),MIN(INDEX($E$416:$E616,202-60):$E616),"")</f>
        <v/>
      </c>
      <c r="O616" s="53" t="str">
        <f aca="false">IF(OR(NOT(ISNUMBER($C616)),NOT(ISNUMBER($M616)),$M616=0),"",$C616/$M616-1)</f>
        <v/>
      </c>
      <c r="P616" s="54"/>
      <c r="Q616" s="53" t="str">
        <f aca="false">IF(NOT(ISNUMBER($P616)),"",IFERROR(PERCENTRANK($P$5:$P$1204,$P616),""))</f>
        <v/>
      </c>
    </row>
    <row r="617" customFormat="false" ht="15" hidden="false" customHeight="false" outlineLevel="0" collapsed="false">
      <c r="A617" s="55"/>
      <c r="B617" s="56"/>
      <c r="C617" s="57"/>
      <c r="D617" s="56"/>
      <c r="E617" s="56"/>
      <c r="F617" s="56"/>
      <c r="G617" s="50" t="str">
        <f aca="false">IF($A617="","",IF(ISNUMBER($G616),$G616+1,1))</f>
        <v/>
      </c>
      <c r="H617" s="51" t="str">
        <f aca="false">IF(OR(NOT(ISNUMBER($G617)),$G617&lt;2,NOT(ISNUMBER($C616)),$C616=0),"",$C617/$C616-1)</f>
        <v/>
      </c>
      <c r="I617" s="52" t="str">
        <f aca="false">IF(AND(ISNUMBER($G617),$G617&gt;=MA_SHORT),AVERAGE(INDEX($C$217:$C617,402-MA_SHORT):$C617),"")</f>
        <v/>
      </c>
      <c r="J617" s="52" t="str">
        <f aca="false">IF(AND(ISNUMBER($G617),$G617&gt;=MA_MED),AVERAGE(INDEX($C$217:$C617,402-MA_MED):$C617),"")</f>
        <v/>
      </c>
      <c r="K617" s="52" t="str">
        <f aca="false">IF(AND(ISNUMBER($G617),$G617&gt;=MA_LONG2),AVERAGE(INDEX($C$217:$C617,402-MA_LONG2):$C617),"")</f>
        <v/>
      </c>
      <c r="L617" s="53" t="str">
        <f aca="false">IF(AND(ISNUMBER($G617),$G617&gt;=21),STDEV(INDEX($H$557:$H617,62-20):$H617)*SQRT(245),"")</f>
        <v/>
      </c>
      <c r="M617" s="52" t="str">
        <f aca="false">IF(AND(ISNUMBER($G617),$G617&gt;=60),MAX(INDEX($D$417:$D617,202-60):$D617),"")</f>
        <v/>
      </c>
      <c r="N617" s="52" t="str">
        <f aca="false">IF(AND(ISNUMBER($G617),$G617&gt;=60),MIN(INDEX($E$417:$E617,202-60):$E617),"")</f>
        <v/>
      </c>
      <c r="O617" s="53" t="str">
        <f aca="false">IF(OR(NOT(ISNUMBER($C617)),NOT(ISNUMBER($M617)),$M617=0),"",$C617/$M617-1)</f>
        <v/>
      </c>
      <c r="P617" s="54"/>
      <c r="Q617" s="53" t="str">
        <f aca="false">IF(NOT(ISNUMBER($P617)),"",IFERROR(PERCENTRANK($P$5:$P$1204,$P617),""))</f>
        <v/>
      </c>
    </row>
    <row r="618" customFormat="false" ht="15" hidden="false" customHeight="false" outlineLevel="0" collapsed="false">
      <c r="A618" s="55"/>
      <c r="B618" s="56"/>
      <c r="C618" s="57"/>
      <c r="D618" s="56"/>
      <c r="E618" s="56"/>
      <c r="F618" s="56"/>
      <c r="G618" s="50" t="str">
        <f aca="false">IF($A618="","",IF(ISNUMBER($G617),$G617+1,1))</f>
        <v/>
      </c>
      <c r="H618" s="51" t="str">
        <f aca="false">IF(OR(NOT(ISNUMBER($G618)),$G618&lt;2,NOT(ISNUMBER($C617)),$C617=0),"",$C618/$C617-1)</f>
        <v/>
      </c>
      <c r="I618" s="52" t="str">
        <f aca="false">IF(AND(ISNUMBER($G618),$G618&gt;=MA_SHORT),AVERAGE(INDEX($C$218:$C618,402-MA_SHORT):$C618),"")</f>
        <v/>
      </c>
      <c r="J618" s="52" t="str">
        <f aca="false">IF(AND(ISNUMBER($G618),$G618&gt;=MA_MED),AVERAGE(INDEX($C$218:$C618,402-MA_MED):$C618),"")</f>
        <v/>
      </c>
      <c r="K618" s="52" t="str">
        <f aca="false">IF(AND(ISNUMBER($G618),$G618&gt;=MA_LONG2),AVERAGE(INDEX($C$218:$C618,402-MA_LONG2):$C618),"")</f>
        <v/>
      </c>
      <c r="L618" s="53" t="str">
        <f aca="false">IF(AND(ISNUMBER($G618),$G618&gt;=21),STDEV(INDEX($H$558:$H618,62-20):$H618)*SQRT(245),"")</f>
        <v/>
      </c>
      <c r="M618" s="52" t="str">
        <f aca="false">IF(AND(ISNUMBER($G618),$G618&gt;=60),MAX(INDEX($D$418:$D618,202-60):$D618),"")</f>
        <v/>
      </c>
      <c r="N618" s="52" t="str">
        <f aca="false">IF(AND(ISNUMBER($G618),$G618&gt;=60),MIN(INDEX($E$418:$E618,202-60):$E618),"")</f>
        <v/>
      </c>
      <c r="O618" s="53" t="str">
        <f aca="false">IF(OR(NOT(ISNUMBER($C618)),NOT(ISNUMBER($M618)),$M618=0),"",$C618/$M618-1)</f>
        <v/>
      </c>
      <c r="P618" s="54"/>
      <c r="Q618" s="53" t="str">
        <f aca="false">IF(NOT(ISNUMBER($P618)),"",IFERROR(PERCENTRANK($P$5:$P$1204,$P618),""))</f>
        <v/>
      </c>
    </row>
    <row r="619" customFormat="false" ht="15" hidden="false" customHeight="false" outlineLevel="0" collapsed="false">
      <c r="A619" s="55"/>
      <c r="B619" s="56"/>
      <c r="C619" s="57"/>
      <c r="D619" s="56"/>
      <c r="E619" s="56"/>
      <c r="F619" s="56"/>
      <c r="G619" s="50" t="str">
        <f aca="false">IF($A619="","",IF(ISNUMBER($G618),$G618+1,1))</f>
        <v/>
      </c>
      <c r="H619" s="51" t="str">
        <f aca="false">IF(OR(NOT(ISNUMBER($G619)),$G619&lt;2,NOT(ISNUMBER($C618)),$C618=0),"",$C619/$C618-1)</f>
        <v/>
      </c>
      <c r="I619" s="52" t="str">
        <f aca="false">IF(AND(ISNUMBER($G619),$G619&gt;=MA_SHORT),AVERAGE(INDEX($C$219:$C619,402-MA_SHORT):$C619),"")</f>
        <v/>
      </c>
      <c r="J619" s="52" t="str">
        <f aca="false">IF(AND(ISNUMBER($G619),$G619&gt;=MA_MED),AVERAGE(INDEX($C$219:$C619,402-MA_MED):$C619),"")</f>
        <v/>
      </c>
      <c r="K619" s="52" t="str">
        <f aca="false">IF(AND(ISNUMBER($G619),$G619&gt;=MA_LONG2),AVERAGE(INDEX($C$219:$C619,402-MA_LONG2):$C619),"")</f>
        <v/>
      </c>
      <c r="L619" s="53" t="str">
        <f aca="false">IF(AND(ISNUMBER($G619),$G619&gt;=21),STDEV(INDEX($H$559:$H619,62-20):$H619)*SQRT(245),"")</f>
        <v/>
      </c>
      <c r="M619" s="52" t="str">
        <f aca="false">IF(AND(ISNUMBER($G619),$G619&gt;=60),MAX(INDEX($D$419:$D619,202-60):$D619),"")</f>
        <v/>
      </c>
      <c r="N619" s="52" t="str">
        <f aca="false">IF(AND(ISNUMBER($G619),$G619&gt;=60),MIN(INDEX($E$419:$E619,202-60):$E619),"")</f>
        <v/>
      </c>
      <c r="O619" s="53" t="str">
        <f aca="false">IF(OR(NOT(ISNUMBER($C619)),NOT(ISNUMBER($M619)),$M619=0),"",$C619/$M619-1)</f>
        <v/>
      </c>
      <c r="P619" s="54"/>
      <c r="Q619" s="53" t="str">
        <f aca="false">IF(NOT(ISNUMBER($P619)),"",IFERROR(PERCENTRANK($P$5:$P$1204,$P619),""))</f>
        <v/>
      </c>
    </row>
    <row r="620" customFormat="false" ht="15" hidden="false" customHeight="false" outlineLevel="0" collapsed="false">
      <c r="A620" s="55"/>
      <c r="B620" s="56"/>
      <c r="C620" s="57"/>
      <c r="D620" s="56"/>
      <c r="E620" s="56"/>
      <c r="F620" s="56"/>
      <c r="G620" s="50" t="str">
        <f aca="false">IF($A620="","",IF(ISNUMBER($G619),$G619+1,1))</f>
        <v/>
      </c>
      <c r="H620" s="51" t="str">
        <f aca="false">IF(OR(NOT(ISNUMBER($G620)),$G620&lt;2,NOT(ISNUMBER($C619)),$C619=0),"",$C620/$C619-1)</f>
        <v/>
      </c>
      <c r="I620" s="52" t="str">
        <f aca="false">IF(AND(ISNUMBER($G620),$G620&gt;=MA_SHORT),AVERAGE(INDEX($C$220:$C620,402-MA_SHORT):$C620),"")</f>
        <v/>
      </c>
      <c r="J620" s="52" t="str">
        <f aca="false">IF(AND(ISNUMBER($G620),$G620&gt;=MA_MED),AVERAGE(INDEX($C$220:$C620,402-MA_MED):$C620),"")</f>
        <v/>
      </c>
      <c r="K620" s="52" t="str">
        <f aca="false">IF(AND(ISNUMBER($G620),$G620&gt;=MA_LONG2),AVERAGE(INDEX($C$220:$C620,402-MA_LONG2):$C620),"")</f>
        <v/>
      </c>
      <c r="L620" s="53" t="str">
        <f aca="false">IF(AND(ISNUMBER($G620),$G620&gt;=21),STDEV(INDEX($H$560:$H620,62-20):$H620)*SQRT(245),"")</f>
        <v/>
      </c>
      <c r="M620" s="52" t="str">
        <f aca="false">IF(AND(ISNUMBER($G620),$G620&gt;=60),MAX(INDEX($D$420:$D620,202-60):$D620),"")</f>
        <v/>
      </c>
      <c r="N620" s="52" t="str">
        <f aca="false">IF(AND(ISNUMBER($G620),$G620&gt;=60),MIN(INDEX($E$420:$E620,202-60):$E620),"")</f>
        <v/>
      </c>
      <c r="O620" s="53" t="str">
        <f aca="false">IF(OR(NOT(ISNUMBER($C620)),NOT(ISNUMBER($M620)),$M620=0),"",$C620/$M620-1)</f>
        <v/>
      </c>
      <c r="P620" s="54"/>
      <c r="Q620" s="53" t="str">
        <f aca="false">IF(NOT(ISNUMBER($P620)),"",IFERROR(PERCENTRANK($P$5:$P$1204,$P620),""))</f>
        <v/>
      </c>
    </row>
    <row r="621" customFormat="false" ht="15" hidden="false" customHeight="false" outlineLevel="0" collapsed="false">
      <c r="A621" s="55"/>
      <c r="B621" s="56"/>
      <c r="C621" s="57"/>
      <c r="D621" s="56"/>
      <c r="E621" s="56"/>
      <c r="F621" s="56"/>
      <c r="G621" s="50" t="str">
        <f aca="false">IF($A621="","",IF(ISNUMBER($G620),$G620+1,1))</f>
        <v/>
      </c>
      <c r="H621" s="51" t="str">
        <f aca="false">IF(OR(NOT(ISNUMBER($G621)),$G621&lt;2,NOT(ISNUMBER($C620)),$C620=0),"",$C621/$C620-1)</f>
        <v/>
      </c>
      <c r="I621" s="52" t="str">
        <f aca="false">IF(AND(ISNUMBER($G621),$G621&gt;=MA_SHORT),AVERAGE(INDEX($C$221:$C621,402-MA_SHORT):$C621),"")</f>
        <v/>
      </c>
      <c r="J621" s="52" t="str">
        <f aca="false">IF(AND(ISNUMBER($G621),$G621&gt;=MA_MED),AVERAGE(INDEX($C$221:$C621,402-MA_MED):$C621),"")</f>
        <v/>
      </c>
      <c r="K621" s="52" t="str">
        <f aca="false">IF(AND(ISNUMBER($G621),$G621&gt;=MA_LONG2),AVERAGE(INDEX($C$221:$C621,402-MA_LONG2):$C621),"")</f>
        <v/>
      </c>
      <c r="L621" s="53" t="str">
        <f aca="false">IF(AND(ISNUMBER($G621),$G621&gt;=21),STDEV(INDEX($H$561:$H621,62-20):$H621)*SQRT(245),"")</f>
        <v/>
      </c>
      <c r="M621" s="52" t="str">
        <f aca="false">IF(AND(ISNUMBER($G621),$G621&gt;=60),MAX(INDEX($D$421:$D621,202-60):$D621),"")</f>
        <v/>
      </c>
      <c r="N621" s="52" t="str">
        <f aca="false">IF(AND(ISNUMBER($G621),$G621&gt;=60),MIN(INDEX($E$421:$E621,202-60):$E621),"")</f>
        <v/>
      </c>
      <c r="O621" s="53" t="str">
        <f aca="false">IF(OR(NOT(ISNUMBER($C621)),NOT(ISNUMBER($M621)),$M621=0),"",$C621/$M621-1)</f>
        <v/>
      </c>
      <c r="P621" s="54"/>
      <c r="Q621" s="53" t="str">
        <f aca="false">IF(NOT(ISNUMBER($P621)),"",IFERROR(PERCENTRANK($P$5:$P$1204,$P621),""))</f>
        <v/>
      </c>
    </row>
    <row r="622" customFormat="false" ht="15" hidden="false" customHeight="false" outlineLevel="0" collapsed="false">
      <c r="A622" s="55"/>
      <c r="B622" s="56"/>
      <c r="C622" s="57"/>
      <c r="D622" s="56"/>
      <c r="E622" s="56"/>
      <c r="F622" s="56"/>
      <c r="G622" s="50" t="str">
        <f aca="false">IF($A622="","",IF(ISNUMBER($G621),$G621+1,1))</f>
        <v/>
      </c>
      <c r="H622" s="51" t="str">
        <f aca="false">IF(OR(NOT(ISNUMBER($G622)),$G622&lt;2,NOT(ISNUMBER($C621)),$C621=0),"",$C622/$C621-1)</f>
        <v/>
      </c>
      <c r="I622" s="52" t="str">
        <f aca="false">IF(AND(ISNUMBER($G622),$G622&gt;=MA_SHORT),AVERAGE(INDEX($C$222:$C622,402-MA_SHORT):$C622),"")</f>
        <v/>
      </c>
      <c r="J622" s="52" t="str">
        <f aca="false">IF(AND(ISNUMBER($G622),$G622&gt;=MA_MED),AVERAGE(INDEX($C$222:$C622,402-MA_MED):$C622),"")</f>
        <v/>
      </c>
      <c r="K622" s="52" t="str">
        <f aca="false">IF(AND(ISNUMBER($G622),$G622&gt;=MA_LONG2),AVERAGE(INDEX($C$222:$C622,402-MA_LONG2):$C622),"")</f>
        <v/>
      </c>
      <c r="L622" s="53" t="str">
        <f aca="false">IF(AND(ISNUMBER($G622),$G622&gt;=21),STDEV(INDEX($H$562:$H622,62-20):$H622)*SQRT(245),"")</f>
        <v/>
      </c>
      <c r="M622" s="52" t="str">
        <f aca="false">IF(AND(ISNUMBER($G622),$G622&gt;=60),MAX(INDEX($D$422:$D622,202-60):$D622),"")</f>
        <v/>
      </c>
      <c r="N622" s="52" t="str">
        <f aca="false">IF(AND(ISNUMBER($G622),$G622&gt;=60),MIN(INDEX($E$422:$E622,202-60):$E622),"")</f>
        <v/>
      </c>
      <c r="O622" s="53" t="str">
        <f aca="false">IF(OR(NOT(ISNUMBER($C622)),NOT(ISNUMBER($M622)),$M622=0),"",$C622/$M622-1)</f>
        <v/>
      </c>
      <c r="P622" s="54"/>
      <c r="Q622" s="53" t="str">
        <f aca="false">IF(NOT(ISNUMBER($P622)),"",IFERROR(PERCENTRANK($P$5:$P$1204,$P622),""))</f>
        <v/>
      </c>
    </row>
    <row r="623" customFormat="false" ht="15" hidden="false" customHeight="false" outlineLevel="0" collapsed="false">
      <c r="A623" s="55"/>
      <c r="B623" s="56"/>
      <c r="C623" s="57"/>
      <c r="D623" s="56"/>
      <c r="E623" s="56"/>
      <c r="F623" s="56"/>
      <c r="G623" s="50" t="str">
        <f aca="false">IF($A623="","",IF(ISNUMBER($G622),$G622+1,1))</f>
        <v/>
      </c>
      <c r="H623" s="51" t="str">
        <f aca="false">IF(OR(NOT(ISNUMBER($G623)),$G623&lt;2,NOT(ISNUMBER($C622)),$C622=0),"",$C623/$C622-1)</f>
        <v/>
      </c>
      <c r="I623" s="52" t="str">
        <f aca="false">IF(AND(ISNUMBER($G623),$G623&gt;=MA_SHORT),AVERAGE(INDEX($C$223:$C623,402-MA_SHORT):$C623),"")</f>
        <v/>
      </c>
      <c r="J623" s="52" t="str">
        <f aca="false">IF(AND(ISNUMBER($G623),$G623&gt;=MA_MED),AVERAGE(INDEX($C$223:$C623,402-MA_MED):$C623),"")</f>
        <v/>
      </c>
      <c r="K623" s="52" t="str">
        <f aca="false">IF(AND(ISNUMBER($G623),$G623&gt;=MA_LONG2),AVERAGE(INDEX($C$223:$C623,402-MA_LONG2):$C623),"")</f>
        <v/>
      </c>
      <c r="L623" s="53" t="str">
        <f aca="false">IF(AND(ISNUMBER($G623),$G623&gt;=21),STDEV(INDEX($H$563:$H623,62-20):$H623)*SQRT(245),"")</f>
        <v/>
      </c>
      <c r="M623" s="52" t="str">
        <f aca="false">IF(AND(ISNUMBER($G623),$G623&gt;=60),MAX(INDEX($D$423:$D623,202-60):$D623),"")</f>
        <v/>
      </c>
      <c r="N623" s="52" t="str">
        <f aca="false">IF(AND(ISNUMBER($G623),$G623&gt;=60),MIN(INDEX($E$423:$E623,202-60):$E623),"")</f>
        <v/>
      </c>
      <c r="O623" s="53" t="str">
        <f aca="false">IF(OR(NOT(ISNUMBER($C623)),NOT(ISNUMBER($M623)),$M623=0),"",$C623/$M623-1)</f>
        <v/>
      </c>
      <c r="P623" s="54"/>
      <c r="Q623" s="53" t="str">
        <f aca="false">IF(NOT(ISNUMBER($P623)),"",IFERROR(PERCENTRANK($P$5:$P$1204,$P623),""))</f>
        <v/>
      </c>
    </row>
    <row r="624" customFormat="false" ht="15" hidden="false" customHeight="false" outlineLevel="0" collapsed="false">
      <c r="A624" s="55"/>
      <c r="B624" s="56"/>
      <c r="C624" s="57"/>
      <c r="D624" s="56"/>
      <c r="E624" s="56"/>
      <c r="F624" s="56"/>
      <c r="G624" s="50" t="str">
        <f aca="false">IF($A624="","",IF(ISNUMBER($G623),$G623+1,1))</f>
        <v/>
      </c>
      <c r="H624" s="51" t="str">
        <f aca="false">IF(OR(NOT(ISNUMBER($G624)),$G624&lt;2,NOT(ISNUMBER($C623)),$C623=0),"",$C624/$C623-1)</f>
        <v/>
      </c>
      <c r="I624" s="52" t="str">
        <f aca="false">IF(AND(ISNUMBER($G624),$G624&gt;=MA_SHORT),AVERAGE(INDEX($C$224:$C624,402-MA_SHORT):$C624),"")</f>
        <v/>
      </c>
      <c r="J624" s="52" t="str">
        <f aca="false">IF(AND(ISNUMBER($G624),$G624&gt;=MA_MED),AVERAGE(INDEX($C$224:$C624,402-MA_MED):$C624),"")</f>
        <v/>
      </c>
      <c r="K624" s="52" t="str">
        <f aca="false">IF(AND(ISNUMBER($G624),$G624&gt;=MA_LONG2),AVERAGE(INDEX($C$224:$C624,402-MA_LONG2):$C624),"")</f>
        <v/>
      </c>
      <c r="L624" s="53" t="str">
        <f aca="false">IF(AND(ISNUMBER($G624),$G624&gt;=21),STDEV(INDEX($H$564:$H624,62-20):$H624)*SQRT(245),"")</f>
        <v/>
      </c>
      <c r="M624" s="52" t="str">
        <f aca="false">IF(AND(ISNUMBER($G624),$G624&gt;=60),MAX(INDEX($D$424:$D624,202-60):$D624),"")</f>
        <v/>
      </c>
      <c r="N624" s="52" t="str">
        <f aca="false">IF(AND(ISNUMBER($G624),$G624&gt;=60),MIN(INDEX($E$424:$E624,202-60):$E624),"")</f>
        <v/>
      </c>
      <c r="O624" s="53" t="str">
        <f aca="false">IF(OR(NOT(ISNUMBER($C624)),NOT(ISNUMBER($M624)),$M624=0),"",$C624/$M624-1)</f>
        <v/>
      </c>
      <c r="P624" s="54"/>
      <c r="Q624" s="53" t="str">
        <f aca="false">IF(NOT(ISNUMBER($P624)),"",IFERROR(PERCENTRANK($P$5:$P$1204,$P624),""))</f>
        <v/>
      </c>
    </row>
    <row r="625" customFormat="false" ht="15" hidden="false" customHeight="false" outlineLevel="0" collapsed="false">
      <c r="A625" s="55"/>
      <c r="B625" s="56"/>
      <c r="C625" s="57"/>
      <c r="D625" s="56"/>
      <c r="E625" s="56"/>
      <c r="F625" s="56"/>
      <c r="G625" s="50" t="str">
        <f aca="false">IF($A625="","",IF(ISNUMBER($G624),$G624+1,1))</f>
        <v/>
      </c>
      <c r="H625" s="51" t="str">
        <f aca="false">IF(OR(NOT(ISNUMBER($G625)),$G625&lt;2,NOT(ISNUMBER($C624)),$C624=0),"",$C625/$C624-1)</f>
        <v/>
      </c>
      <c r="I625" s="52" t="str">
        <f aca="false">IF(AND(ISNUMBER($G625),$G625&gt;=MA_SHORT),AVERAGE(INDEX($C$225:$C625,402-MA_SHORT):$C625),"")</f>
        <v/>
      </c>
      <c r="J625" s="52" t="str">
        <f aca="false">IF(AND(ISNUMBER($G625),$G625&gt;=MA_MED),AVERAGE(INDEX($C$225:$C625,402-MA_MED):$C625),"")</f>
        <v/>
      </c>
      <c r="K625" s="52" t="str">
        <f aca="false">IF(AND(ISNUMBER($G625),$G625&gt;=MA_LONG2),AVERAGE(INDEX($C$225:$C625,402-MA_LONG2):$C625),"")</f>
        <v/>
      </c>
      <c r="L625" s="53" t="str">
        <f aca="false">IF(AND(ISNUMBER($G625),$G625&gt;=21),STDEV(INDEX($H$565:$H625,62-20):$H625)*SQRT(245),"")</f>
        <v/>
      </c>
      <c r="M625" s="52" t="str">
        <f aca="false">IF(AND(ISNUMBER($G625),$G625&gt;=60),MAX(INDEX($D$425:$D625,202-60):$D625),"")</f>
        <v/>
      </c>
      <c r="N625" s="52" t="str">
        <f aca="false">IF(AND(ISNUMBER($G625),$G625&gt;=60),MIN(INDEX($E$425:$E625,202-60):$E625),"")</f>
        <v/>
      </c>
      <c r="O625" s="53" t="str">
        <f aca="false">IF(OR(NOT(ISNUMBER($C625)),NOT(ISNUMBER($M625)),$M625=0),"",$C625/$M625-1)</f>
        <v/>
      </c>
      <c r="P625" s="54"/>
      <c r="Q625" s="53" t="str">
        <f aca="false">IF(NOT(ISNUMBER($P625)),"",IFERROR(PERCENTRANK($P$5:$P$1204,$P625),""))</f>
        <v/>
      </c>
    </row>
    <row r="626" customFormat="false" ht="15" hidden="false" customHeight="false" outlineLevel="0" collapsed="false">
      <c r="A626" s="55"/>
      <c r="B626" s="56"/>
      <c r="C626" s="57"/>
      <c r="D626" s="56"/>
      <c r="E626" s="56"/>
      <c r="F626" s="56"/>
      <c r="G626" s="50" t="str">
        <f aca="false">IF($A626="","",IF(ISNUMBER($G625),$G625+1,1))</f>
        <v/>
      </c>
      <c r="H626" s="51" t="str">
        <f aca="false">IF(OR(NOT(ISNUMBER($G626)),$G626&lt;2,NOT(ISNUMBER($C625)),$C625=0),"",$C626/$C625-1)</f>
        <v/>
      </c>
      <c r="I626" s="52" t="str">
        <f aca="false">IF(AND(ISNUMBER($G626),$G626&gt;=MA_SHORT),AVERAGE(INDEX($C$226:$C626,402-MA_SHORT):$C626),"")</f>
        <v/>
      </c>
      <c r="J626" s="52" t="str">
        <f aca="false">IF(AND(ISNUMBER($G626),$G626&gt;=MA_MED),AVERAGE(INDEX($C$226:$C626,402-MA_MED):$C626),"")</f>
        <v/>
      </c>
      <c r="K626" s="52" t="str">
        <f aca="false">IF(AND(ISNUMBER($G626),$G626&gt;=MA_LONG2),AVERAGE(INDEX($C$226:$C626,402-MA_LONG2):$C626),"")</f>
        <v/>
      </c>
      <c r="L626" s="53" t="str">
        <f aca="false">IF(AND(ISNUMBER($G626),$G626&gt;=21),STDEV(INDEX($H$566:$H626,62-20):$H626)*SQRT(245),"")</f>
        <v/>
      </c>
      <c r="M626" s="52" t="str">
        <f aca="false">IF(AND(ISNUMBER($G626),$G626&gt;=60),MAX(INDEX($D$426:$D626,202-60):$D626),"")</f>
        <v/>
      </c>
      <c r="N626" s="52" t="str">
        <f aca="false">IF(AND(ISNUMBER($G626),$G626&gt;=60),MIN(INDEX($E$426:$E626,202-60):$E626),"")</f>
        <v/>
      </c>
      <c r="O626" s="53" t="str">
        <f aca="false">IF(OR(NOT(ISNUMBER($C626)),NOT(ISNUMBER($M626)),$M626=0),"",$C626/$M626-1)</f>
        <v/>
      </c>
      <c r="P626" s="54"/>
      <c r="Q626" s="53" t="str">
        <f aca="false">IF(NOT(ISNUMBER($P626)),"",IFERROR(PERCENTRANK($P$5:$P$1204,$P626),""))</f>
        <v/>
      </c>
    </row>
    <row r="627" customFormat="false" ht="15" hidden="false" customHeight="false" outlineLevel="0" collapsed="false">
      <c r="A627" s="55"/>
      <c r="B627" s="56"/>
      <c r="C627" s="57"/>
      <c r="D627" s="56"/>
      <c r="E627" s="56"/>
      <c r="F627" s="56"/>
      <c r="G627" s="50" t="str">
        <f aca="false">IF($A627="","",IF(ISNUMBER($G626),$G626+1,1))</f>
        <v/>
      </c>
      <c r="H627" s="51" t="str">
        <f aca="false">IF(OR(NOT(ISNUMBER($G627)),$G627&lt;2,NOT(ISNUMBER($C626)),$C626=0),"",$C627/$C626-1)</f>
        <v/>
      </c>
      <c r="I627" s="52" t="str">
        <f aca="false">IF(AND(ISNUMBER($G627),$G627&gt;=MA_SHORT),AVERAGE(INDEX($C$227:$C627,402-MA_SHORT):$C627),"")</f>
        <v/>
      </c>
      <c r="J627" s="52" t="str">
        <f aca="false">IF(AND(ISNUMBER($G627),$G627&gt;=MA_MED),AVERAGE(INDEX($C$227:$C627,402-MA_MED):$C627),"")</f>
        <v/>
      </c>
      <c r="K627" s="52" t="str">
        <f aca="false">IF(AND(ISNUMBER($G627),$G627&gt;=MA_LONG2),AVERAGE(INDEX($C$227:$C627,402-MA_LONG2):$C627),"")</f>
        <v/>
      </c>
      <c r="L627" s="53" t="str">
        <f aca="false">IF(AND(ISNUMBER($G627),$G627&gt;=21),STDEV(INDEX($H$567:$H627,62-20):$H627)*SQRT(245),"")</f>
        <v/>
      </c>
      <c r="M627" s="52" t="str">
        <f aca="false">IF(AND(ISNUMBER($G627),$G627&gt;=60),MAX(INDEX($D$427:$D627,202-60):$D627),"")</f>
        <v/>
      </c>
      <c r="N627" s="52" t="str">
        <f aca="false">IF(AND(ISNUMBER($G627),$G627&gt;=60),MIN(INDEX($E$427:$E627,202-60):$E627),"")</f>
        <v/>
      </c>
      <c r="O627" s="53" t="str">
        <f aca="false">IF(OR(NOT(ISNUMBER($C627)),NOT(ISNUMBER($M627)),$M627=0),"",$C627/$M627-1)</f>
        <v/>
      </c>
      <c r="P627" s="54"/>
      <c r="Q627" s="53" t="str">
        <f aca="false">IF(NOT(ISNUMBER($P627)),"",IFERROR(PERCENTRANK($P$5:$P$1204,$P627),""))</f>
        <v/>
      </c>
    </row>
    <row r="628" customFormat="false" ht="15" hidden="false" customHeight="false" outlineLevel="0" collapsed="false">
      <c r="A628" s="55"/>
      <c r="B628" s="56"/>
      <c r="C628" s="57"/>
      <c r="D628" s="56"/>
      <c r="E628" s="56"/>
      <c r="F628" s="56"/>
      <c r="G628" s="50" t="str">
        <f aca="false">IF($A628="","",IF(ISNUMBER($G627),$G627+1,1))</f>
        <v/>
      </c>
      <c r="H628" s="51" t="str">
        <f aca="false">IF(OR(NOT(ISNUMBER($G628)),$G628&lt;2,NOT(ISNUMBER($C627)),$C627=0),"",$C628/$C627-1)</f>
        <v/>
      </c>
      <c r="I628" s="52" t="str">
        <f aca="false">IF(AND(ISNUMBER($G628),$G628&gt;=MA_SHORT),AVERAGE(INDEX($C$228:$C628,402-MA_SHORT):$C628),"")</f>
        <v/>
      </c>
      <c r="J628" s="52" t="str">
        <f aca="false">IF(AND(ISNUMBER($G628),$G628&gt;=MA_MED),AVERAGE(INDEX($C$228:$C628,402-MA_MED):$C628),"")</f>
        <v/>
      </c>
      <c r="K628" s="52" t="str">
        <f aca="false">IF(AND(ISNUMBER($G628),$G628&gt;=MA_LONG2),AVERAGE(INDEX($C$228:$C628,402-MA_LONG2):$C628),"")</f>
        <v/>
      </c>
      <c r="L628" s="53" t="str">
        <f aca="false">IF(AND(ISNUMBER($G628),$G628&gt;=21),STDEV(INDEX($H$568:$H628,62-20):$H628)*SQRT(245),"")</f>
        <v/>
      </c>
      <c r="M628" s="52" t="str">
        <f aca="false">IF(AND(ISNUMBER($G628),$G628&gt;=60),MAX(INDEX($D$428:$D628,202-60):$D628),"")</f>
        <v/>
      </c>
      <c r="N628" s="52" t="str">
        <f aca="false">IF(AND(ISNUMBER($G628),$G628&gt;=60),MIN(INDEX($E$428:$E628,202-60):$E628),"")</f>
        <v/>
      </c>
      <c r="O628" s="53" t="str">
        <f aca="false">IF(OR(NOT(ISNUMBER($C628)),NOT(ISNUMBER($M628)),$M628=0),"",$C628/$M628-1)</f>
        <v/>
      </c>
      <c r="P628" s="54"/>
      <c r="Q628" s="53" t="str">
        <f aca="false">IF(NOT(ISNUMBER($P628)),"",IFERROR(PERCENTRANK($P$5:$P$1204,$P628),""))</f>
        <v/>
      </c>
    </row>
    <row r="629" customFormat="false" ht="15" hidden="false" customHeight="false" outlineLevel="0" collapsed="false">
      <c r="A629" s="55"/>
      <c r="B629" s="56"/>
      <c r="C629" s="57"/>
      <c r="D629" s="56"/>
      <c r="E629" s="56"/>
      <c r="F629" s="56"/>
      <c r="G629" s="50" t="str">
        <f aca="false">IF($A629="","",IF(ISNUMBER($G628),$G628+1,1))</f>
        <v/>
      </c>
      <c r="H629" s="51" t="str">
        <f aca="false">IF(OR(NOT(ISNUMBER($G629)),$G629&lt;2,NOT(ISNUMBER($C628)),$C628=0),"",$C629/$C628-1)</f>
        <v/>
      </c>
      <c r="I629" s="52" t="str">
        <f aca="false">IF(AND(ISNUMBER($G629),$G629&gt;=MA_SHORT),AVERAGE(INDEX($C$229:$C629,402-MA_SHORT):$C629),"")</f>
        <v/>
      </c>
      <c r="J629" s="52" t="str">
        <f aca="false">IF(AND(ISNUMBER($G629),$G629&gt;=MA_MED),AVERAGE(INDEX($C$229:$C629,402-MA_MED):$C629),"")</f>
        <v/>
      </c>
      <c r="K629" s="52" t="str">
        <f aca="false">IF(AND(ISNUMBER($G629),$G629&gt;=MA_LONG2),AVERAGE(INDEX($C$229:$C629,402-MA_LONG2):$C629),"")</f>
        <v/>
      </c>
      <c r="L629" s="53" t="str">
        <f aca="false">IF(AND(ISNUMBER($G629),$G629&gt;=21),STDEV(INDEX($H$569:$H629,62-20):$H629)*SQRT(245),"")</f>
        <v/>
      </c>
      <c r="M629" s="52" t="str">
        <f aca="false">IF(AND(ISNUMBER($G629),$G629&gt;=60),MAX(INDEX($D$429:$D629,202-60):$D629),"")</f>
        <v/>
      </c>
      <c r="N629" s="52" t="str">
        <f aca="false">IF(AND(ISNUMBER($G629),$G629&gt;=60),MIN(INDEX($E$429:$E629,202-60):$E629),"")</f>
        <v/>
      </c>
      <c r="O629" s="53" t="str">
        <f aca="false">IF(OR(NOT(ISNUMBER($C629)),NOT(ISNUMBER($M629)),$M629=0),"",$C629/$M629-1)</f>
        <v/>
      </c>
      <c r="P629" s="54"/>
      <c r="Q629" s="53" t="str">
        <f aca="false">IF(NOT(ISNUMBER($P629)),"",IFERROR(PERCENTRANK($P$5:$P$1204,$P629),""))</f>
        <v/>
      </c>
    </row>
    <row r="630" customFormat="false" ht="15" hidden="false" customHeight="false" outlineLevel="0" collapsed="false">
      <c r="A630" s="55"/>
      <c r="B630" s="56"/>
      <c r="C630" s="57"/>
      <c r="D630" s="56"/>
      <c r="E630" s="56"/>
      <c r="F630" s="56"/>
      <c r="G630" s="50" t="str">
        <f aca="false">IF($A630="","",IF(ISNUMBER($G629),$G629+1,1))</f>
        <v/>
      </c>
      <c r="H630" s="51" t="str">
        <f aca="false">IF(OR(NOT(ISNUMBER($G630)),$G630&lt;2,NOT(ISNUMBER($C629)),$C629=0),"",$C630/$C629-1)</f>
        <v/>
      </c>
      <c r="I630" s="52" t="str">
        <f aca="false">IF(AND(ISNUMBER($G630),$G630&gt;=MA_SHORT),AVERAGE(INDEX($C$230:$C630,402-MA_SHORT):$C630),"")</f>
        <v/>
      </c>
      <c r="J630" s="52" t="str">
        <f aca="false">IF(AND(ISNUMBER($G630),$G630&gt;=MA_MED),AVERAGE(INDEX($C$230:$C630,402-MA_MED):$C630),"")</f>
        <v/>
      </c>
      <c r="K630" s="52" t="str">
        <f aca="false">IF(AND(ISNUMBER($G630),$G630&gt;=MA_LONG2),AVERAGE(INDEX($C$230:$C630,402-MA_LONG2):$C630),"")</f>
        <v/>
      </c>
      <c r="L630" s="53" t="str">
        <f aca="false">IF(AND(ISNUMBER($G630),$G630&gt;=21),STDEV(INDEX($H$570:$H630,62-20):$H630)*SQRT(245),"")</f>
        <v/>
      </c>
      <c r="M630" s="52" t="str">
        <f aca="false">IF(AND(ISNUMBER($G630),$G630&gt;=60),MAX(INDEX($D$430:$D630,202-60):$D630),"")</f>
        <v/>
      </c>
      <c r="N630" s="52" t="str">
        <f aca="false">IF(AND(ISNUMBER($G630),$G630&gt;=60),MIN(INDEX($E$430:$E630,202-60):$E630),"")</f>
        <v/>
      </c>
      <c r="O630" s="53" t="str">
        <f aca="false">IF(OR(NOT(ISNUMBER($C630)),NOT(ISNUMBER($M630)),$M630=0),"",$C630/$M630-1)</f>
        <v/>
      </c>
      <c r="P630" s="54"/>
      <c r="Q630" s="53" t="str">
        <f aca="false">IF(NOT(ISNUMBER($P630)),"",IFERROR(PERCENTRANK($P$5:$P$1204,$P630),""))</f>
        <v/>
      </c>
    </row>
    <row r="631" customFormat="false" ht="15" hidden="false" customHeight="false" outlineLevel="0" collapsed="false">
      <c r="A631" s="55"/>
      <c r="B631" s="56"/>
      <c r="C631" s="57"/>
      <c r="D631" s="56"/>
      <c r="E631" s="56"/>
      <c r="F631" s="56"/>
      <c r="G631" s="50" t="str">
        <f aca="false">IF($A631="","",IF(ISNUMBER($G630),$G630+1,1))</f>
        <v/>
      </c>
      <c r="H631" s="51" t="str">
        <f aca="false">IF(OR(NOT(ISNUMBER($G631)),$G631&lt;2,NOT(ISNUMBER($C630)),$C630=0),"",$C631/$C630-1)</f>
        <v/>
      </c>
      <c r="I631" s="52" t="str">
        <f aca="false">IF(AND(ISNUMBER($G631),$G631&gt;=MA_SHORT),AVERAGE(INDEX($C$231:$C631,402-MA_SHORT):$C631),"")</f>
        <v/>
      </c>
      <c r="J631" s="52" t="str">
        <f aca="false">IF(AND(ISNUMBER($G631),$G631&gt;=MA_MED),AVERAGE(INDEX($C$231:$C631,402-MA_MED):$C631),"")</f>
        <v/>
      </c>
      <c r="K631" s="52" t="str">
        <f aca="false">IF(AND(ISNUMBER($G631),$G631&gt;=MA_LONG2),AVERAGE(INDEX($C$231:$C631,402-MA_LONG2):$C631),"")</f>
        <v/>
      </c>
      <c r="L631" s="53" t="str">
        <f aca="false">IF(AND(ISNUMBER($G631),$G631&gt;=21),STDEV(INDEX($H$571:$H631,62-20):$H631)*SQRT(245),"")</f>
        <v/>
      </c>
      <c r="M631" s="52" t="str">
        <f aca="false">IF(AND(ISNUMBER($G631),$G631&gt;=60),MAX(INDEX($D$431:$D631,202-60):$D631),"")</f>
        <v/>
      </c>
      <c r="N631" s="52" t="str">
        <f aca="false">IF(AND(ISNUMBER($G631),$G631&gt;=60),MIN(INDEX($E$431:$E631,202-60):$E631),"")</f>
        <v/>
      </c>
      <c r="O631" s="53" t="str">
        <f aca="false">IF(OR(NOT(ISNUMBER($C631)),NOT(ISNUMBER($M631)),$M631=0),"",$C631/$M631-1)</f>
        <v/>
      </c>
      <c r="P631" s="54"/>
      <c r="Q631" s="53" t="str">
        <f aca="false">IF(NOT(ISNUMBER($P631)),"",IFERROR(PERCENTRANK($P$5:$P$1204,$P631),""))</f>
        <v/>
      </c>
    </row>
    <row r="632" customFormat="false" ht="15" hidden="false" customHeight="false" outlineLevel="0" collapsed="false">
      <c r="A632" s="55"/>
      <c r="B632" s="56"/>
      <c r="C632" s="57"/>
      <c r="D632" s="56"/>
      <c r="E632" s="56"/>
      <c r="F632" s="56"/>
      <c r="G632" s="50" t="str">
        <f aca="false">IF($A632="","",IF(ISNUMBER($G631),$G631+1,1))</f>
        <v/>
      </c>
      <c r="H632" s="51" t="str">
        <f aca="false">IF(OR(NOT(ISNUMBER($G632)),$G632&lt;2,NOT(ISNUMBER($C631)),$C631=0),"",$C632/$C631-1)</f>
        <v/>
      </c>
      <c r="I632" s="52" t="str">
        <f aca="false">IF(AND(ISNUMBER($G632),$G632&gt;=MA_SHORT),AVERAGE(INDEX($C$232:$C632,402-MA_SHORT):$C632),"")</f>
        <v/>
      </c>
      <c r="J632" s="52" t="str">
        <f aca="false">IF(AND(ISNUMBER($G632),$G632&gt;=MA_MED),AVERAGE(INDEX($C$232:$C632,402-MA_MED):$C632),"")</f>
        <v/>
      </c>
      <c r="K632" s="52" t="str">
        <f aca="false">IF(AND(ISNUMBER($G632),$G632&gt;=MA_LONG2),AVERAGE(INDEX($C$232:$C632,402-MA_LONG2):$C632),"")</f>
        <v/>
      </c>
      <c r="L632" s="53" t="str">
        <f aca="false">IF(AND(ISNUMBER($G632),$G632&gt;=21),STDEV(INDEX($H$572:$H632,62-20):$H632)*SQRT(245),"")</f>
        <v/>
      </c>
      <c r="M632" s="52" t="str">
        <f aca="false">IF(AND(ISNUMBER($G632),$G632&gt;=60),MAX(INDEX($D$432:$D632,202-60):$D632),"")</f>
        <v/>
      </c>
      <c r="N632" s="52" t="str">
        <f aca="false">IF(AND(ISNUMBER($G632),$G632&gt;=60),MIN(INDEX($E$432:$E632,202-60):$E632),"")</f>
        <v/>
      </c>
      <c r="O632" s="53" t="str">
        <f aca="false">IF(OR(NOT(ISNUMBER($C632)),NOT(ISNUMBER($M632)),$M632=0),"",$C632/$M632-1)</f>
        <v/>
      </c>
      <c r="P632" s="54"/>
      <c r="Q632" s="53" t="str">
        <f aca="false">IF(NOT(ISNUMBER($P632)),"",IFERROR(PERCENTRANK($P$5:$P$1204,$P632),""))</f>
        <v/>
      </c>
    </row>
    <row r="633" customFormat="false" ht="15" hidden="false" customHeight="false" outlineLevel="0" collapsed="false">
      <c r="A633" s="55"/>
      <c r="B633" s="56"/>
      <c r="C633" s="57"/>
      <c r="D633" s="56"/>
      <c r="E633" s="56"/>
      <c r="F633" s="56"/>
      <c r="G633" s="50" t="str">
        <f aca="false">IF($A633="","",IF(ISNUMBER($G632),$G632+1,1))</f>
        <v/>
      </c>
      <c r="H633" s="51" t="str">
        <f aca="false">IF(OR(NOT(ISNUMBER($G633)),$G633&lt;2,NOT(ISNUMBER($C632)),$C632=0),"",$C633/$C632-1)</f>
        <v/>
      </c>
      <c r="I633" s="52" t="str">
        <f aca="false">IF(AND(ISNUMBER($G633),$G633&gt;=MA_SHORT),AVERAGE(INDEX($C$233:$C633,402-MA_SHORT):$C633),"")</f>
        <v/>
      </c>
      <c r="J633" s="52" t="str">
        <f aca="false">IF(AND(ISNUMBER($G633),$G633&gt;=MA_MED),AVERAGE(INDEX($C$233:$C633,402-MA_MED):$C633),"")</f>
        <v/>
      </c>
      <c r="K633" s="52" t="str">
        <f aca="false">IF(AND(ISNUMBER($G633),$G633&gt;=MA_LONG2),AVERAGE(INDEX($C$233:$C633,402-MA_LONG2):$C633),"")</f>
        <v/>
      </c>
      <c r="L633" s="53" t="str">
        <f aca="false">IF(AND(ISNUMBER($G633),$G633&gt;=21),STDEV(INDEX($H$573:$H633,62-20):$H633)*SQRT(245),"")</f>
        <v/>
      </c>
      <c r="M633" s="52" t="str">
        <f aca="false">IF(AND(ISNUMBER($G633),$G633&gt;=60),MAX(INDEX($D$433:$D633,202-60):$D633),"")</f>
        <v/>
      </c>
      <c r="N633" s="52" t="str">
        <f aca="false">IF(AND(ISNUMBER($G633),$G633&gt;=60),MIN(INDEX($E$433:$E633,202-60):$E633),"")</f>
        <v/>
      </c>
      <c r="O633" s="53" t="str">
        <f aca="false">IF(OR(NOT(ISNUMBER($C633)),NOT(ISNUMBER($M633)),$M633=0),"",$C633/$M633-1)</f>
        <v/>
      </c>
      <c r="P633" s="54"/>
      <c r="Q633" s="53" t="str">
        <f aca="false">IF(NOT(ISNUMBER($P633)),"",IFERROR(PERCENTRANK($P$5:$P$1204,$P633),""))</f>
        <v/>
      </c>
    </row>
    <row r="634" customFormat="false" ht="15" hidden="false" customHeight="false" outlineLevel="0" collapsed="false">
      <c r="A634" s="55"/>
      <c r="B634" s="56"/>
      <c r="C634" s="57"/>
      <c r="D634" s="56"/>
      <c r="E634" s="56"/>
      <c r="F634" s="56"/>
      <c r="G634" s="50" t="str">
        <f aca="false">IF($A634="","",IF(ISNUMBER($G633),$G633+1,1))</f>
        <v/>
      </c>
      <c r="H634" s="51" t="str">
        <f aca="false">IF(OR(NOT(ISNUMBER($G634)),$G634&lt;2,NOT(ISNUMBER($C633)),$C633=0),"",$C634/$C633-1)</f>
        <v/>
      </c>
      <c r="I634" s="52" t="str">
        <f aca="false">IF(AND(ISNUMBER($G634),$G634&gt;=MA_SHORT),AVERAGE(INDEX($C$234:$C634,402-MA_SHORT):$C634),"")</f>
        <v/>
      </c>
      <c r="J634" s="52" t="str">
        <f aca="false">IF(AND(ISNUMBER($G634),$G634&gt;=MA_MED),AVERAGE(INDEX($C$234:$C634,402-MA_MED):$C634),"")</f>
        <v/>
      </c>
      <c r="K634" s="52" t="str">
        <f aca="false">IF(AND(ISNUMBER($G634),$G634&gt;=MA_LONG2),AVERAGE(INDEX($C$234:$C634,402-MA_LONG2):$C634),"")</f>
        <v/>
      </c>
      <c r="L634" s="53" t="str">
        <f aca="false">IF(AND(ISNUMBER($G634),$G634&gt;=21),STDEV(INDEX($H$574:$H634,62-20):$H634)*SQRT(245),"")</f>
        <v/>
      </c>
      <c r="M634" s="52" t="str">
        <f aca="false">IF(AND(ISNUMBER($G634),$G634&gt;=60),MAX(INDEX($D$434:$D634,202-60):$D634),"")</f>
        <v/>
      </c>
      <c r="N634" s="52" t="str">
        <f aca="false">IF(AND(ISNUMBER($G634),$G634&gt;=60),MIN(INDEX($E$434:$E634,202-60):$E634),"")</f>
        <v/>
      </c>
      <c r="O634" s="53" t="str">
        <f aca="false">IF(OR(NOT(ISNUMBER($C634)),NOT(ISNUMBER($M634)),$M634=0),"",$C634/$M634-1)</f>
        <v/>
      </c>
      <c r="P634" s="54"/>
      <c r="Q634" s="53" t="str">
        <f aca="false">IF(NOT(ISNUMBER($P634)),"",IFERROR(PERCENTRANK($P$5:$P$1204,$P634),""))</f>
        <v/>
      </c>
    </row>
    <row r="635" customFormat="false" ht="15" hidden="false" customHeight="false" outlineLevel="0" collapsed="false">
      <c r="A635" s="55"/>
      <c r="B635" s="56"/>
      <c r="C635" s="57"/>
      <c r="D635" s="56"/>
      <c r="E635" s="56"/>
      <c r="F635" s="56"/>
      <c r="G635" s="50" t="str">
        <f aca="false">IF($A635="","",IF(ISNUMBER($G634),$G634+1,1))</f>
        <v/>
      </c>
      <c r="H635" s="51" t="str">
        <f aca="false">IF(OR(NOT(ISNUMBER($G635)),$G635&lt;2,NOT(ISNUMBER($C634)),$C634=0),"",$C635/$C634-1)</f>
        <v/>
      </c>
      <c r="I635" s="52" t="str">
        <f aca="false">IF(AND(ISNUMBER($G635),$G635&gt;=MA_SHORT),AVERAGE(INDEX($C$235:$C635,402-MA_SHORT):$C635),"")</f>
        <v/>
      </c>
      <c r="J635" s="52" t="str">
        <f aca="false">IF(AND(ISNUMBER($G635),$G635&gt;=MA_MED),AVERAGE(INDEX($C$235:$C635,402-MA_MED):$C635),"")</f>
        <v/>
      </c>
      <c r="K635" s="52" t="str">
        <f aca="false">IF(AND(ISNUMBER($G635),$G635&gt;=MA_LONG2),AVERAGE(INDEX($C$235:$C635,402-MA_LONG2):$C635),"")</f>
        <v/>
      </c>
      <c r="L635" s="53" t="str">
        <f aca="false">IF(AND(ISNUMBER($G635),$G635&gt;=21),STDEV(INDEX($H$575:$H635,62-20):$H635)*SQRT(245),"")</f>
        <v/>
      </c>
      <c r="M635" s="52" t="str">
        <f aca="false">IF(AND(ISNUMBER($G635),$G635&gt;=60),MAX(INDEX($D$435:$D635,202-60):$D635),"")</f>
        <v/>
      </c>
      <c r="N635" s="52" t="str">
        <f aca="false">IF(AND(ISNUMBER($G635),$G635&gt;=60),MIN(INDEX($E$435:$E635,202-60):$E635),"")</f>
        <v/>
      </c>
      <c r="O635" s="53" t="str">
        <f aca="false">IF(OR(NOT(ISNUMBER($C635)),NOT(ISNUMBER($M635)),$M635=0),"",$C635/$M635-1)</f>
        <v/>
      </c>
      <c r="P635" s="54"/>
      <c r="Q635" s="53" t="str">
        <f aca="false">IF(NOT(ISNUMBER($P635)),"",IFERROR(PERCENTRANK($P$5:$P$1204,$P635),""))</f>
        <v/>
      </c>
    </row>
    <row r="636" customFormat="false" ht="15" hidden="false" customHeight="false" outlineLevel="0" collapsed="false">
      <c r="A636" s="55"/>
      <c r="B636" s="56"/>
      <c r="C636" s="57"/>
      <c r="D636" s="56"/>
      <c r="E636" s="56"/>
      <c r="F636" s="56"/>
      <c r="G636" s="50" t="str">
        <f aca="false">IF($A636="","",IF(ISNUMBER($G635),$G635+1,1))</f>
        <v/>
      </c>
      <c r="H636" s="51" t="str">
        <f aca="false">IF(OR(NOT(ISNUMBER($G636)),$G636&lt;2,NOT(ISNUMBER($C635)),$C635=0),"",$C636/$C635-1)</f>
        <v/>
      </c>
      <c r="I636" s="52" t="str">
        <f aca="false">IF(AND(ISNUMBER($G636),$G636&gt;=MA_SHORT),AVERAGE(INDEX($C$236:$C636,402-MA_SHORT):$C636),"")</f>
        <v/>
      </c>
      <c r="J636" s="52" t="str">
        <f aca="false">IF(AND(ISNUMBER($G636),$G636&gt;=MA_MED),AVERAGE(INDEX($C$236:$C636,402-MA_MED):$C636),"")</f>
        <v/>
      </c>
      <c r="K636" s="52" t="str">
        <f aca="false">IF(AND(ISNUMBER($G636),$G636&gt;=MA_LONG2),AVERAGE(INDEX($C$236:$C636,402-MA_LONG2):$C636),"")</f>
        <v/>
      </c>
      <c r="L636" s="53" t="str">
        <f aca="false">IF(AND(ISNUMBER($G636),$G636&gt;=21),STDEV(INDEX($H$576:$H636,62-20):$H636)*SQRT(245),"")</f>
        <v/>
      </c>
      <c r="M636" s="52" t="str">
        <f aca="false">IF(AND(ISNUMBER($G636),$G636&gt;=60),MAX(INDEX($D$436:$D636,202-60):$D636),"")</f>
        <v/>
      </c>
      <c r="N636" s="52" t="str">
        <f aca="false">IF(AND(ISNUMBER($G636),$G636&gt;=60),MIN(INDEX($E$436:$E636,202-60):$E636),"")</f>
        <v/>
      </c>
      <c r="O636" s="53" t="str">
        <f aca="false">IF(OR(NOT(ISNUMBER($C636)),NOT(ISNUMBER($M636)),$M636=0),"",$C636/$M636-1)</f>
        <v/>
      </c>
      <c r="P636" s="54"/>
      <c r="Q636" s="53" t="str">
        <f aca="false">IF(NOT(ISNUMBER($P636)),"",IFERROR(PERCENTRANK($P$5:$P$1204,$P636),""))</f>
        <v/>
      </c>
    </row>
    <row r="637" customFormat="false" ht="15" hidden="false" customHeight="false" outlineLevel="0" collapsed="false">
      <c r="A637" s="55"/>
      <c r="B637" s="56"/>
      <c r="C637" s="57"/>
      <c r="D637" s="56"/>
      <c r="E637" s="56"/>
      <c r="F637" s="56"/>
      <c r="G637" s="50" t="str">
        <f aca="false">IF($A637="","",IF(ISNUMBER($G636),$G636+1,1))</f>
        <v/>
      </c>
      <c r="H637" s="51" t="str">
        <f aca="false">IF(OR(NOT(ISNUMBER($G637)),$G637&lt;2,NOT(ISNUMBER($C636)),$C636=0),"",$C637/$C636-1)</f>
        <v/>
      </c>
      <c r="I637" s="52" t="str">
        <f aca="false">IF(AND(ISNUMBER($G637),$G637&gt;=MA_SHORT),AVERAGE(INDEX($C$237:$C637,402-MA_SHORT):$C637),"")</f>
        <v/>
      </c>
      <c r="J637" s="52" t="str">
        <f aca="false">IF(AND(ISNUMBER($G637),$G637&gt;=MA_MED),AVERAGE(INDEX($C$237:$C637,402-MA_MED):$C637),"")</f>
        <v/>
      </c>
      <c r="K637" s="52" t="str">
        <f aca="false">IF(AND(ISNUMBER($G637),$G637&gt;=MA_LONG2),AVERAGE(INDEX($C$237:$C637,402-MA_LONG2):$C637),"")</f>
        <v/>
      </c>
      <c r="L637" s="53" t="str">
        <f aca="false">IF(AND(ISNUMBER($G637),$G637&gt;=21),STDEV(INDEX($H$577:$H637,62-20):$H637)*SQRT(245),"")</f>
        <v/>
      </c>
      <c r="M637" s="52" t="str">
        <f aca="false">IF(AND(ISNUMBER($G637),$G637&gt;=60),MAX(INDEX($D$437:$D637,202-60):$D637),"")</f>
        <v/>
      </c>
      <c r="N637" s="52" t="str">
        <f aca="false">IF(AND(ISNUMBER($G637),$G637&gt;=60),MIN(INDEX($E$437:$E637,202-60):$E637),"")</f>
        <v/>
      </c>
      <c r="O637" s="53" t="str">
        <f aca="false">IF(OR(NOT(ISNUMBER($C637)),NOT(ISNUMBER($M637)),$M637=0),"",$C637/$M637-1)</f>
        <v/>
      </c>
      <c r="P637" s="54"/>
      <c r="Q637" s="53" t="str">
        <f aca="false">IF(NOT(ISNUMBER($P637)),"",IFERROR(PERCENTRANK($P$5:$P$1204,$P637),""))</f>
        <v/>
      </c>
    </row>
    <row r="638" customFormat="false" ht="15" hidden="false" customHeight="false" outlineLevel="0" collapsed="false">
      <c r="A638" s="55"/>
      <c r="B638" s="56"/>
      <c r="C638" s="57"/>
      <c r="D638" s="56"/>
      <c r="E638" s="56"/>
      <c r="F638" s="56"/>
      <c r="G638" s="50" t="str">
        <f aca="false">IF($A638="","",IF(ISNUMBER($G637),$G637+1,1))</f>
        <v/>
      </c>
      <c r="H638" s="51" t="str">
        <f aca="false">IF(OR(NOT(ISNUMBER($G638)),$G638&lt;2,NOT(ISNUMBER($C637)),$C637=0),"",$C638/$C637-1)</f>
        <v/>
      </c>
      <c r="I638" s="52" t="str">
        <f aca="false">IF(AND(ISNUMBER($G638),$G638&gt;=MA_SHORT),AVERAGE(INDEX($C$238:$C638,402-MA_SHORT):$C638),"")</f>
        <v/>
      </c>
      <c r="J638" s="52" t="str">
        <f aca="false">IF(AND(ISNUMBER($G638),$G638&gt;=MA_MED),AVERAGE(INDEX($C$238:$C638,402-MA_MED):$C638),"")</f>
        <v/>
      </c>
      <c r="K638" s="52" t="str">
        <f aca="false">IF(AND(ISNUMBER($G638),$G638&gt;=MA_LONG2),AVERAGE(INDEX($C$238:$C638,402-MA_LONG2):$C638),"")</f>
        <v/>
      </c>
      <c r="L638" s="53" t="str">
        <f aca="false">IF(AND(ISNUMBER($G638),$G638&gt;=21),STDEV(INDEX($H$578:$H638,62-20):$H638)*SQRT(245),"")</f>
        <v/>
      </c>
      <c r="M638" s="52" t="str">
        <f aca="false">IF(AND(ISNUMBER($G638),$G638&gt;=60),MAX(INDEX($D$438:$D638,202-60):$D638),"")</f>
        <v/>
      </c>
      <c r="N638" s="52" t="str">
        <f aca="false">IF(AND(ISNUMBER($G638),$G638&gt;=60),MIN(INDEX($E$438:$E638,202-60):$E638),"")</f>
        <v/>
      </c>
      <c r="O638" s="53" t="str">
        <f aca="false">IF(OR(NOT(ISNUMBER($C638)),NOT(ISNUMBER($M638)),$M638=0),"",$C638/$M638-1)</f>
        <v/>
      </c>
      <c r="P638" s="54"/>
      <c r="Q638" s="53" t="str">
        <f aca="false">IF(NOT(ISNUMBER($P638)),"",IFERROR(PERCENTRANK($P$5:$P$1204,$P638),""))</f>
        <v/>
      </c>
    </row>
    <row r="639" customFormat="false" ht="15" hidden="false" customHeight="false" outlineLevel="0" collapsed="false">
      <c r="A639" s="55"/>
      <c r="B639" s="56"/>
      <c r="C639" s="57"/>
      <c r="D639" s="56"/>
      <c r="E639" s="56"/>
      <c r="F639" s="56"/>
      <c r="G639" s="50" t="str">
        <f aca="false">IF($A639="","",IF(ISNUMBER($G638),$G638+1,1))</f>
        <v/>
      </c>
      <c r="H639" s="51" t="str">
        <f aca="false">IF(OR(NOT(ISNUMBER($G639)),$G639&lt;2,NOT(ISNUMBER($C638)),$C638=0),"",$C639/$C638-1)</f>
        <v/>
      </c>
      <c r="I639" s="52" t="str">
        <f aca="false">IF(AND(ISNUMBER($G639),$G639&gt;=MA_SHORT),AVERAGE(INDEX($C$239:$C639,402-MA_SHORT):$C639),"")</f>
        <v/>
      </c>
      <c r="J639" s="52" t="str">
        <f aca="false">IF(AND(ISNUMBER($G639),$G639&gt;=MA_MED),AVERAGE(INDEX($C$239:$C639,402-MA_MED):$C639),"")</f>
        <v/>
      </c>
      <c r="K639" s="52" t="str">
        <f aca="false">IF(AND(ISNUMBER($G639),$G639&gt;=MA_LONG2),AVERAGE(INDEX($C$239:$C639,402-MA_LONG2):$C639),"")</f>
        <v/>
      </c>
      <c r="L639" s="53" t="str">
        <f aca="false">IF(AND(ISNUMBER($G639),$G639&gt;=21),STDEV(INDEX($H$579:$H639,62-20):$H639)*SQRT(245),"")</f>
        <v/>
      </c>
      <c r="M639" s="52" t="str">
        <f aca="false">IF(AND(ISNUMBER($G639),$G639&gt;=60),MAX(INDEX($D$439:$D639,202-60):$D639),"")</f>
        <v/>
      </c>
      <c r="N639" s="52" t="str">
        <f aca="false">IF(AND(ISNUMBER($G639),$G639&gt;=60),MIN(INDEX($E$439:$E639,202-60):$E639),"")</f>
        <v/>
      </c>
      <c r="O639" s="53" t="str">
        <f aca="false">IF(OR(NOT(ISNUMBER($C639)),NOT(ISNUMBER($M639)),$M639=0),"",$C639/$M639-1)</f>
        <v/>
      </c>
      <c r="P639" s="54"/>
      <c r="Q639" s="53" t="str">
        <f aca="false">IF(NOT(ISNUMBER($P639)),"",IFERROR(PERCENTRANK($P$5:$P$1204,$P639),""))</f>
        <v/>
      </c>
    </row>
    <row r="640" customFormat="false" ht="15" hidden="false" customHeight="false" outlineLevel="0" collapsed="false">
      <c r="A640" s="55"/>
      <c r="B640" s="56"/>
      <c r="C640" s="57"/>
      <c r="D640" s="56"/>
      <c r="E640" s="56"/>
      <c r="F640" s="56"/>
      <c r="G640" s="50" t="str">
        <f aca="false">IF($A640="","",IF(ISNUMBER($G639),$G639+1,1))</f>
        <v/>
      </c>
      <c r="H640" s="51" t="str">
        <f aca="false">IF(OR(NOT(ISNUMBER($G640)),$G640&lt;2,NOT(ISNUMBER($C639)),$C639=0),"",$C640/$C639-1)</f>
        <v/>
      </c>
      <c r="I640" s="52" t="str">
        <f aca="false">IF(AND(ISNUMBER($G640),$G640&gt;=MA_SHORT),AVERAGE(INDEX($C$240:$C640,402-MA_SHORT):$C640),"")</f>
        <v/>
      </c>
      <c r="J640" s="52" t="str">
        <f aca="false">IF(AND(ISNUMBER($G640),$G640&gt;=MA_MED),AVERAGE(INDEX($C$240:$C640,402-MA_MED):$C640),"")</f>
        <v/>
      </c>
      <c r="K640" s="52" t="str">
        <f aca="false">IF(AND(ISNUMBER($G640),$G640&gt;=MA_LONG2),AVERAGE(INDEX($C$240:$C640,402-MA_LONG2):$C640),"")</f>
        <v/>
      </c>
      <c r="L640" s="53" t="str">
        <f aca="false">IF(AND(ISNUMBER($G640),$G640&gt;=21),STDEV(INDEX($H$580:$H640,62-20):$H640)*SQRT(245),"")</f>
        <v/>
      </c>
      <c r="M640" s="52" t="str">
        <f aca="false">IF(AND(ISNUMBER($G640),$G640&gt;=60),MAX(INDEX($D$440:$D640,202-60):$D640),"")</f>
        <v/>
      </c>
      <c r="N640" s="52" t="str">
        <f aca="false">IF(AND(ISNUMBER($G640),$G640&gt;=60),MIN(INDEX($E$440:$E640,202-60):$E640),"")</f>
        <v/>
      </c>
      <c r="O640" s="53" t="str">
        <f aca="false">IF(OR(NOT(ISNUMBER($C640)),NOT(ISNUMBER($M640)),$M640=0),"",$C640/$M640-1)</f>
        <v/>
      </c>
      <c r="P640" s="54"/>
      <c r="Q640" s="53" t="str">
        <f aca="false">IF(NOT(ISNUMBER($P640)),"",IFERROR(PERCENTRANK($P$5:$P$1204,$P640),""))</f>
        <v/>
      </c>
    </row>
    <row r="641" customFormat="false" ht="15" hidden="false" customHeight="false" outlineLevel="0" collapsed="false">
      <c r="A641" s="55"/>
      <c r="B641" s="56"/>
      <c r="C641" s="57"/>
      <c r="D641" s="56"/>
      <c r="E641" s="56"/>
      <c r="F641" s="56"/>
      <c r="G641" s="50" t="str">
        <f aca="false">IF($A641="","",IF(ISNUMBER($G640),$G640+1,1))</f>
        <v/>
      </c>
      <c r="H641" s="51" t="str">
        <f aca="false">IF(OR(NOT(ISNUMBER($G641)),$G641&lt;2,NOT(ISNUMBER($C640)),$C640=0),"",$C641/$C640-1)</f>
        <v/>
      </c>
      <c r="I641" s="52" t="str">
        <f aca="false">IF(AND(ISNUMBER($G641),$G641&gt;=MA_SHORT),AVERAGE(INDEX($C$241:$C641,402-MA_SHORT):$C641),"")</f>
        <v/>
      </c>
      <c r="J641" s="52" t="str">
        <f aca="false">IF(AND(ISNUMBER($G641),$G641&gt;=MA_MED),AVERAGE(INDEX($C$241:$C641,402-MA_MED):$C641),"")</f>
        <v/>
      </c>
      <c r="K641" s="52" t="str">
        <f aca="false">IF(AND(ISNUMBER($G641),$G641&gt;=MA_LONG2),AVERAGE(INDEX($C$241:$C641,402-MA_LONG2):$C641),"")</f>
        <v/>
      </c>
      <c r="L641" s="53" t="str">
        <f aca="false">IF(AND(ISNUMBER($G641),$G641&gt;=21),STDEV(INDEX($H$581:$H641,62-20):$H641)*SQRT(245),"")</f>
        <v/>
      </c>
      <c r="M641" s="52" t="str">
        <f aca="false">IF(AND(ISNUMBER($G641),$G641&gt;=60),MAX(INDEX($D$441:$D641,202-60):$D641),"")</f>
        <v/>
      </c>
      <c r="N641" s="52" t="str">
        <f aca="false">IF(AND(ISNUMBER($G641),$G641&gt;=60),MIN(INDEX($E$441:$E641,202-60):$E641),"")</f>
        <v/>
      </c>
      <c r="O641" s="53" t="str">
        <f aca="false">IF(OR(NOT(ISNUMBER($C641)),NOT(ISNUMBER($M641)),$M641=0),"",$C641/$M641-1)</f>
        <v/>
      </c>
      <c r="P641" s="54"/>
      <c r="Q641" s="53" t="str">
        <f aca="false">IF(NOT(ISNUMBER($P641)),"",IFERROR(PERCENTRANK($P$5:$P$1204,$P641),""))</f>
        <v/>
      </c>
    </row>
    <row r="642" customFormat="false" ht="15" hidden="false" customHeight="false" outlineLevel="0" collapsed="false">
      <c r="A642" s="55"/>
      <c r="B642" s="56"/>
      <c r="C642" s="57"/>
      <c r="D642" s="56"/>
      <c r="E642" s="56"/>
      <c r="F642" s="56"/>
      <c r="G642" s="50" t="str">
        <f aca="false">IF($A642="","",IF(ISNUMBER($G641),$G641+1,1))</f>
        <v/>
      </c>
      <c r="H642" s="51" t="str">
        <f aca="false">IF(OR(NOT(ISNUMBER($G642)),$G642&lt;2,NOT(ISNUMBER($C641)),$C641=0),"",$C642/$C641-1)</f>
        <v/>
      </c>
      <c r="I642" s="52" t="str">
        <f aca="false">IF(AND(ISNUMBER($G642),$G642&gt;=MA_SHORT),AVERAGE(INDEX($C$242:$C642,402-MA_SHORT):$C642),"")</f>
        <v/>
      </c>
      <c r="J642" s="52" t="str">
        <f aca="false">IF(AND(ISNUMBER($G642),$G642&gt;=MA_MED),AVERAGE(INDEX($C$242:$C642,402-MA_MED):$C642),"")</f>
        <v/>
      </c>
      <c r="K642" s="52" t="str">
        <f aca="false">IF(AND(ISNUMBER($G642),$G642&gt;=MA_LONG2),AVERAGE(INDEX($C$242:$C642,402-MA_LONG2):$C642),"")</f>
        <v/>
      </c>
      <c r="L642" s="53" t="str">
        <f aca="false">IF(AND(ISNUMBER($G642),$G642&gt;=21),STDEV(INDEX($H$582:$H642,62-20):$H642)*SQRT(245),"")</f>
        <v/>
      </c>
      <c r="M642" s="52" t="str">
        <f aca="false">IF(AND(ISNUMBER($G642),$G642&gt;=60),MAX(INDEX($D$442:$D642,202-60):$D642),"")</f>
        <v/>
      </c>
      <c r="N642" s="52" t="str">
        <f aca="false">IF(AND(ISNUMBER($G642),$G642&gt;=60),MIN(INDEX($E$442:$E642,202-60):$E642),"")</f>
        <v/>
      </c>
      <c r="O642" s="53" t="str">
        <f aca="false">IF(OR(NOT(ISNUMBER($C642)),NOT(ISNUMBER($M642)),$M642=0),"",$C642/$M642-1)</f>
        <v/>
      </c>
      <c r="P642" s="54"/>
      <c r="Q642" s="53" t="str">
        <f aca="false">IF(NOT(ISNUMBER($P642)),"",IFERROR(PERCENTRANK($P$5:$P$1204,$P642),""))</f>
        <v/>
      </c>
    </row>
    <row r="643" customFormat="false" ht="15" hidden="false" customHeight="false" outlineLevel="0" collapsed="false">
      <c r="A643" s="55"/>
      <c r="B643" s="56"/>
      <c r="C643" s="57"/>
      <c r="D643" s="56"/>
      <c r="E643" s="56"/>
      <c r="F643" s="56"/>
      <c r="G643" s="50" t="str">
        <f aca="false">IF($A643="","",IF(ISNUMBER($G642),$G642+1,1))</f>
        <v/>
      </c>
      <c r="H643" s="51" t="str">
        <f aca="false">IF(OR(NOT(ISNUMBER($G643)),$G643&lt;2,NOT(ISNUMBER($C642)),$C642=0),"",$C643/$C642-1)</f>
        <v/>
      </c>
      <c r="I643" s="52" t="str">
        <f aca="false">IF(AND(ISNUMBER($G643),$G643&gt;=MA_SHORT),AVERAGE(INDEX($C$243:$C643,402-MA_SHORT):$C643),"")</f>
        <v/>
      </c>
      <c r="J643" s="52" t="str">
        <f aca="false">IF(AND(ISNUMBER($G643),$G643&gt;=MA_MED),AVERAGE(INDEX($C$243:$C643,402-MA_MED):$C643),"")</f>
        <v/>
      </c>
      <c r="K643" s="52" t="str">
        <f aca="false">IF(AND(ISNUMBER($G643),$G643&gt;=MA_LONG2),AVERAGE(INDEX($C$243:$C643,402-MA_LONG2):$C643),"")</f>
        <v/>
      </c>
      <c r="L643" s="53" t="str">
        <f aca="false">IF(AND(ISNUMBER($G643),$G643&gt;=21),STDEV(INDEX($H$583:$H643,62-20):$H643)*SQRT(245),"")</f>
        <v/>
      </c>
      <c r="M643" s="52" t="str">
        <f aca="false">IF(AND(ISNUMBER($G643),$G643&gt;=60),MAX(INDEX($D$443:$D643,202-60):$D643),"")</f>
        <v/>
      </c>
      <c r="N643" s="52" t="str">
        <f aca="false">IF(AND(ISNUMBER($G643),$G643&gt;=60),MIN(INDEX($E$443:$E643,202-60):$E643),"")</f>
        <v/>
      </c>
      <c r="O643" s="53" t="str">
        <f aca="false">IF(OR(NOT(ISNUMBER($C643)),NOT(ISNUMBER($M643)),$M643=0),"",$C643/$M643-1)</f>
        <v/>
      </c>
      <c r="P643" s="54"/>
      <c r="Q643" s="53" t="str">
        <f aca="false">IF(NOT(ISNUMBER($P643)),"",IFERROR(PERCENTRANK($P$5:$P$1204,$P643),""))</f>
        <v/>
      </c>
    </row>
    <row r="644" customFormat="false" ht="15" hidden="false" customHeight="false" outlineLevel="0" collapsed="false">
      <c r="A644" s="55"/>
      <c r="B644" s="56"/>
      <c r="C644" s="57"/>
      <c r="D644" s="56"/>
      <c r="E644" s="56"/>
      <c r="F644" s="56"/>
      <c r="G644" s="50" t="str">
        <f aca="false">IF($A644="","",IF(ISNUMBER($G643),$G643+1,1))</f>
        <v/>
      </c>
      <c r="H644" s="51" t="str">
        <f aca="false">IF(OR(NOT(ISNUMBER($G644)),$G644&lt;2,NOT(ISNUMBER($C643)),$C643=0),"",$C644/$C643-1)</f>
        <v/>
      </c>
      <c r="I644" s="52" t="str">
        <f aca="false">IF(AND(ISNUMBER($G644),$G644&gt;=MA_SHORT),AVERAGE(INDEX($C$244:$C644,402-MA_SHORT):$C644),"")</f>
        <v/>
      </c>
      <c r="J644" s="52" t="str">
        <f aca="false">IF(AND(ISNUMBER($G644),$G644&gt;=MA_MED),AVERAGE(INDEX($C$244:$C644,402-MA_MED):$C644),"")</f>
        <v/>
      </c>
      <c r="K644" s="52" t="str">
        <f aca="false">IF(AND(ISNUMBER($G644),$G644&gt;=MA_LONG2),AVERAGE(INDEX($C$244:$C644,402-MA_LONG2):$C644),"")</f>
        <v/>
      </c>
      <c r="L644" s="53" t="str">
        <f aca="false">IF(AND(ISNUMBER($G644),$G644&gt;=21),STDEV(INDEX($H$584:$H644,62-20):$H644)*SQRT(245),"")</f>
        <v/>
      </c>
      <c r="M644" s="52" t="str">
        <f aca="false">IF(AND(ISNUMBER($G644),$G644&gt;=60),MAX(INDEX($D$444:$D644,202-60):$D644),"")</f>
        <v/>
      </c>
      <c r="N644" s="52" t="str">
        <f aca="false">IF(AND(ISNUMBER($G644),$G644&gt;=60),MIN(INDEX($E$444:$E644,202-60):$E644),"")</f>
        <v/>
      </c>
      <c r="O644" s="53" t="str">
        <f aca="false">IF(OR(NOT(ISNUMBER($C644)),NOT(ISNUMBER($M644)),$M644=0),"",$C644/$M644-1)</f>
        <v/>
      </c>
      <c r="P644" s="54"/>
      <c r="Q644" s="53" t="str">
        <f aca="false">IF(NOT(ISNUMBER($P644)),"",IFERROR(PERCENTRANK($P$5:$P$1204,$P644),""))</f>
        <v/>
      </c>
    </row>
    <row r="645" customFormat="false" ht="15" hidden="false" customHeight="false" outlineLevel="0" collapsed="false">
      <c r="A645" s="55"/>
      <c r="B645" s="56"/>
      <c r="C645" s="57"/>
      <c r="D645" s="56"/>
      <c r="E645" s="56"/>
      <c r="F645" s="56"/>
      <c r="G645" s="50" t="str">
        <f aca="false">IF($A645="","",IF(ISNUMBER($G644),$G644+1,1))</f>
        <v/>
      </c>
      <c r="H645" s="51" t="str">
        <f aca="false">IF(OR(NOT(ISNUMBER($G645)),$G645&lt;2,NOT(ISNUMBER($C644)),$C644=0),"",$C645/$C644-1)</f>
        <v/>
      </c>
      <c r="I645" s="52" t="str">
        <f aca="false">IF(AND(ISNUMBER($G645),$G645&gt;=MA_SHORT),AVERAGE(INDEX($C$245:$C645,402-MA_SHORT):$C645),"")</f>
        <v/>
      </c>
      <c r="J645" s="52" t="str">
        <f aca="false">IF(AND(ISNUMBER($G645),$G645&gt;=MA_MED),AVERAGE(INDEX($C$245:$C645,402-MA_MED):$C645),"")</f>
        <v/>
      </c>
      <c r="K645" s="52" t="str">
        <f aca="false">IF(AND(ISNUMBER($G645),$G645&gt;=MA_LONG2),AVERAGE(INDEX($C$245:$C645,402-MA_LONG2):$C645),"")</f>
        <v/>
      </c>
      <c r="L645" s="53" t="str">
        <f aca="false">IF(AND(ISNUMBER($G645),$G645&gt;=21),STDEV(INDEX($H$585:$H645,62-20):$H645)*SQRT(245),"")</f>
        <v/>
      </c>
      <c r="M645" s="52" t="str">
        <f aca="false">IF(AND(ISNUMBER($G645),$G645&gt;=60),MAX(INDEX($D$445:$D645,202-60):$D645),"")</f>
        <v/>
      </c>
      <c r="N645" s="52" t="str">
        <f aca="false">IF(AND(ISNUMBER($G645),$G645&gt;=60),MIN(INDEX($E$445:$E645,202-60):$E645),"")</f>
        <v/>
      </c>
      <c r="O645" s="53" t="str">
        <f aca="false">IF(OR(NOT(ISNUMBER($C645)),NOT(ISNUMBER($M645)),$M645=0),"",$C645/$M645-1)</f>
        <v/>
      </c>
      <c r="P645" s="54"/>
      <c r="Q645" s="53" t="str">
        <f aca="false">IF(NOT(ISNUMBER($P645)),"",IFERROR(PERCENTRANK($P$5:$P$1204,$P645),""))</f>
        <v/>
      </c>
    </row>
    <row r="646" customFormat="false" ht="15" hidden="false" customHeight="false" outlineLevel="0" collapsed="false">
      <c r="A646" s="55"/>
      <c r="B646" s="56"/>
      <c r="C646" s="57"/>
      <c r="D646" s="56"/>
      <c r="E646" s="56"/>
      <c r="F646" s="56"/>
      <c r="G646" s="50" t="str">
        <f aca="false">IF($A646="","",IF(ISNUMBER($G645),$G645+1,1))</f>
        <v/>
      </c>
      <c r="H646" s="51" t="str">
        <f aca="false">IF(OR(NOT(ISNUMBER($G646)),$G646&lt;2,NOT(ISNUMBER($C645)),$C645=0),"",$C646/$C645-1)</f>
        <v/>
      </c>
      <c r="I646" s="52" t="str">
        <f aca="false">IF(AND(ISNUMBER($G646),$G646&gt;=MA_SHORT),AVERAGE(INDEX($C$246:$C646,402-MA_SHORT):$C646),"")</f>
        <v/>
      </c>
      <c r="J646" s="52" t="str">
        <f aca="false">IF(AND(ISNUMBER($G646),$G646&gt;=MA_MED),AVERAGE(INDEX($C$246:$C646,402-MA_MED):$C646),"")</f>
        <v/>
      </c>
      <c r="K646" s="52" t="str">
        <f aca="false">IF(AND(ISNUMBER($G646),$G646&gt;=MA_LONG2),AVERAGE(INDEX($C$246:$C646,402-MA_LONG2):$C646),"")</f>
        <v/>
      </c>
      <c r="L646" s="53" t="str">
        <f aca="false">IF(AND(ISNUMBER($G646),$G646&gt;=21),STDEV(INDEX($H$586:$H646,62-20):$H646)*SQRT(245),"")</f>
        <v/>
      </c>
      <c r="M646" s="52" t="str">
        <f aca="false">IF(AND(ISNUMBER($G646),$G646&gt;=60),MAX(INDEX($D$446:$D646,202-60):$D646),"")</f>
        <v/>
      </c>
      <c r="N646" s="52" t="str">
        <f aca="false">IF(AND(ISNUMBER($G646),$G646&gt;=60),MIN(INDEX($E$446:$E646,202-60):$E646),"")</f>
        <v/>
      </c>
      <c r="O646" s="53" t="str">
        <f aca="false">IF(OR(NOT(ISNUMBER($C646)),NOT(ISNUMBER($M646)),$M646=0),"",$C646/$M646-1)</f>
        <v/>
      </c>
      <c r="P646" s="54"/>
      <c r="Q646" s="53" t="str">
        <f aca="false">IF(NOT(ISNUMBER($P646)),"",IFERROR(PERCENTRANK($P$5:$P$1204,$P646),""))</f>
        <v/>
      </c>
    </row>
    <row r="647" customFormat="false" ht="15" hidden="false" customHeight="false" outlineLevel="0" collapsed="false">
      <c r="A647" s="55"/>
      <c r="B647" s="56"/>
      <c r="C647" s="57"/>
      <c r="D647" s="56"/>
      <c r="E647" s="56"/>
      <c r="F647" s="56"/>
      <c r="G647" s="50" t="str">
        <f aca="false">IF($A647="","",IF(ISNUMBER($G646),$G646+1,1))</f>
        <v/>
      </c>
      <c r="H647" s="51" t="str">
        <f aca="false">IF(OR(NOT(ISNUMBER($G647)),$G647&lt;2,NOT(ISNUMBER($C646)),$C646=0),"",$C647/$C646-1)</f>
        <v/>
      </c>
      <c r="I647" s="52" t="str">
        <f aca="false">IF(AND(ISNUMBER($G647),$G647&gt;=MA_SHORT),AVERAGE(INDEX($C$247:$C647,402-MA_SHORT):$C647),"")</f>
        <v/>
      </c>
      <c r="J647" s="52" t="str">
        <f aca="false">IF(AND(ISNUMBER($G647),$G647&gt;=MA_MED),AVERAGE(INDEX($C$247:$C647,402-MA_MED):$C647),"")</f>
        <v/>
      </c>
      <c r="K647" s="52" t="str">
        <f aca="false">IF(AND(ISNUMBER($G647),$G647&gt;=MA_LONG2),AVERAGE(INDEX($C$247:$C647,402-MA_LONG2):$C647),"")</f>
        <v/>
      </c>
      <c r="L647" s="53" t="str">
        <f aca="false">IF(AND(ISNUMBER($G647),$G647&gt;=21),STDEV(INDEX($H$587:$H647,62-20):$H647)*SQRT(245),"")</f>
        <v/>
      </c>
      <c r="M647" s="52" t="str">
        <f aca="false">IF(AND(ISNUMBER($G647),$G647&gt;=60),MAX(INDEX($D$447:$D647,202-60):$D647),"")</f>
        <v/>
      </c>
      <c r="N647" s="52" t="str">
        <f aca="false">IF(AND(ISNUMBER($G647),$G647&gt;=60),MIN(INDEX($E$447:$E647,202-60):$E647),"")</f>
        <v/>
      </c>
      <c r="O647" s="53" t="str">
        <f aca="false">IF(OR(NOT(ISNUMBER($C647)),NOT(ISNUMBER($M647)),$M647=0),"",$C647/$M647-1)</f>
        <v/>
      </c>
      <c r="P647" s="54"/>
      <c r="Q647" s="53" t="str">
        <f aca="false">IF(NOT(ISNUMBER($P647)),"",IFERROR(PERCENTRANK($P$5:$P$1204,$P647),""))</f>
        <v/>
      </c>
    </row>
    <row r="648" customFormat="false" ht="15" hidden="false" customHeight="false" outlineLevel="0" collapsed="false">
      <c r="A648" s="55"/>
      <c r="B648" s="56"/>
      <c r="C648" s="57"/>
      <c r="D648" s="56"/>
      <c r="E648" s="56"/>
      <c r="F648" s="56"/>
      <c r="G648" s="50" t="str">
        <f aca="false">IF($A648="","",IF(ISNUMBER($G647),$G647+1,1))</f>
        <v/>
      </c>
      <c r="H648" s="51" t="str">
        <f aca="false">IF(OR(NOT(ISNUMBER($G648)),$G648&lt;2,NOT(ISNUMBER($C647)),$C647=0),"",$C648/$C647-1)</f>
        <v/>
      </c>
      <c r="I648" s="52" t="str">
        <f aca="false">IF(AND(ISNUMBER($G648),$G648&gt;=MA_SHORT),AVERAGE(INDEX($C$248:$C648,402-MA_SHORT):$C648),"")</f>
        <v/>
      </c>
      <c r="J648" s="52" t="str">
        <f aca="false">IF(AND(ISNUMBER($G648),$G648&gt;=MA_MED),AVERAGE(INDEX($C$248:$C648,402-MA_MED):$C648),"")</f>
        <v/>
      </c>
      <c r="K648" s="52" t="str">
        <f aca="false">IF(AND(ISNUMBER($G648),$G648&gt;=MA_LONG2),AVERAGE(INDEX($C$248:$C648,402-MA_LONG2):$C648),"")</f>
        <v/>
      </c>
      <c r="L648" s="53" t="str">
        <f aca="false">IF(AND(ISNUMBER($G648),$G648&gt;=21),STDEV(INDEX($H$588:$H648,62-20):$H648)*SQRT(245),"")</f>
        <v/>
      </c>
      <c r="M648" s="52" t="str">
        <f aca="false">IF(AND(ISNUMBER($G648),$G648&gt;=60),MAX(INDEX($D$448:$D648,202-60):$D648),"")</f>
        <v/>
      </c>
      <c r="N648" s="52" t="str">
        <f aca="false">IF(AND(ISNUMBER($G648),$G648&gt;=60),MIN(INDEX($E$448:$E648,202-60):$E648),"")</f>
        <v/>
      </c>
      <c r="O648" s="53" t="str">
        <f aca="false">IF(OR(NOT(ISNUMBER($C648)),NOT(ISNUMBER($M648)),$M648=0),"",$C648/$M648-1)</f>
        <v/>
      </c>
      <c r="P648" s="54"/>
      <c r="Q648" s="53" t="str">
        <f aca="false">IF(NOT(ISNUMBER($P648)),"",IFERROR(PERCENTRANK($P$5:$P$1204,$P648),""))</f>
        <v/>
      </c>
    </row>
    <row r="649" customFormat="false" ht="15" hidden="false" customHeight="false" outlineLevel="0" collapsed="false">
      <c r="A649" s="55"/>
      <c r="B649" s="56"/>
      <c r="C649" s="57"/>
      <c r="D649" s="56"/>
      <c r="E649" s="56"/>
      <c r="F649" s="56"/>
      <c r="G649" s="50" t="str">
        <f aca="false">IF($A649="","",IF(ISNUMBER($G648),$G648+1,1))</f>
        <v/>
      </c>
      <c r="H649" s="51" t="str">
        <f aca="false">IF(OR(NOT(ISNUMBER($G649)),$G649&lt;2,NOT(ISNUMBER($C648)),$C648=0),"",$C649/$C648-1)</f>
        <v/>
      </c>
      <c r="I649" s="52" t="str">
        <f aca="false">IF(AND(ISNUMBER($G649),$G649&gt;=MA_SHORT),AVERAGE(INDEX($C$249:$C649,402-MA_SHORT):$C649),"")</f>
        <v/>
      </c>
      <c r="J649" s="52" t="str">
        <f aca="false">IF(AND(ISNUMBER($G649),$G649&gt;=MA_MED),AVERAGE(INDEX($C$249:$C649,402-MA_MED):$C649),"")</f>
        <v/>
      </c>
      <c r="K649" s="52" t="str">
        <f aca="false">IF(AND(ISNUMBER($G649),$G649&gt;=MA_LONG2),AVERAGE(INDEX($C$249:$C649,402-MA_LONG2):$C649),"")</f>
        <v/>
      </c>
      <c r="L649" s="53" t="str">
        <f aca="false">IF(AND(ISNUMBER($G649),$G649&gt;=21),STDEV(INDEX($H$589:$H649,62-20):$H649)*SQRT(245),"")</f>
        <v/>
      </c>
      <c r="M649" s="52" t="str">
        <f aca="false">IF(AND(ISNUMBER($G649),$G649&gt;=60),MAX(INDEX($D$449:$D649,202-60):$D649),"")</f>
        <v/>
      </c>
      <c r="N649" s="52" t="str">
        <f aca="false">IF(AND(ISNUMBER($G649),$G649&gt;=60),MIN(INDEX($E$449:$E649,202-60):$E649),"")</f>
        <v/>
      </c>
      <c r="O649" s="53" t="str">
        <f aca="false">IF(OR(NOT(ISNUMBER($C649)),NOT(ISNUMBER($M649)),$M649=0),"",$C649/$M649-1)</f>
        <v/>
      </c>
      <c r="P649" s="54"/>
      <c r="Q649" s="53" t="str">
        <f aca="false">IF(NOT(ISNUMBER($P649)),"",IFERROR(PERCENTRANK($P$5:$P$1204,$P649),""))</f>
        <v/>
      </c>
    </row>
    <row r="650" customFormat="false" ht="15" hidden="false" customHeight="false" outlineLevel="0" collapsed="false">
      <c r="A650" s="55"/>
      <c r="B650" s="56"/>
      <c r="C650" s="57"/>
      <c r="D650" s="56"/>
      <c r="E650" s="56"/>
      <c r="F650" s="56"/>
      <c r="G650" s="50" t="str">
        <f aca="false">IF($A650="","",IF(ISNUMBER($G649),$G649+1,1))</f>
        <v/>
      </c>
      <c r="H650" s="51" t="str">
        <f aca="false">IF(OR(NOT(ISNUMBER($G650)),$G650&lt;2,NOT(ISNUMBER($C649)),$C649=0),"",$C650/$C649-1)</f>
        <v/>
      </c>
      <c r="I650" s="52" t="str">
        <f aca="false">IF(AND(ISNUMBER($G650),$G650&gt;=MA_SHORT),AVERAGE(INDEX($C$250:$C650,402-MA_SHORT):$C650),"")</f>
        <v/>
      </c>
      <c r="J650" s="52" t="str">
        <f aca="false">IF(AND(ISNUMBER($G650),$G650&gt;=MA_MED),AVERAGE(INDEX($C$250:$C650,402-MA_MED):$C650),"")</f>
        <v/>
      </c>
      <c r="K650" s="52" t="str">
        <f aca="false">IF(AND(ISNUMBER($G650),$G650&gt;=MA_LONG2),AVERAGE(INDEX($C$250:$C650,402-MA_LONG2):$C650),"")</f>
        <v/>
      </c>
      <c r="L650" s="53" t="str">
        <f aca="false">IF(AND(ISNUMBER($G650),$G650&gt;=21),STDEV(INDEX($H$590:$H650,62-20):$H650)*SQRT(245),"")</f>
        <v/>
      </c>
      <c r="M650" s="52" t="str">
        <f aca="false">IF(AND(ISNUMBER($G650),$G650&gt;=60),MAX(INDEX($D$450:$D650,202-60):$D650),"")</f>
        <v/>
      </c>
      <c r="N650" s="52" t="str">
        <f aca="false">IF(AND(ISNUMBER($G650),$G650&gt;=60),MIN(INDEX($E$450:$E650,202-60):$E650),"")</f>
        <v/>
      </c>
      <c r="O650" s="53" t="str">
        <f aca="false">IF(OR(NOT(ISNUMBER($C650)),NOT(ISNUMBER($M650)),$M650=0),"",$C650/$M650-1)</f>
        <v/>
      </c>
      <c r="P650" s="54"/>
      <c r="Q650" s="53" t="str">
        <f aca="false">IF(NOT(ISNUMBER($P650)),"",IFERROR(PERCENTRANK($P$5:$P$1204,$P650),""))</f>
        <v/>
      </c>
    </row>
    <row r="651" customFormat="false" ht="15" hidden="false" customHeight="false" outlineLevel="0" collapsed="false">
      <c r="A651" s="55"/>
      <c r="B651" s="56"/>
      <c r="C651" s="57"/>
      <c r="D651" s="56"/>
      <c r="E651" s="56"/>
      <c r="F651" s="56"/>
      <c r="G651" s="50" t="str">
        <f aca="false">IF($A651="","",IF(ISNUMBER($G650),$G650+1,1))</f>
        <v/>
      </c>
      <c r="H651" s="51" t="str">
        <f aca="false">IF(OR(NOT(ISNUMBER($G651)),$G651&lt;2,NOT(ISNUMBER($C650)),$C650=0),"",$C651/$C650-1)</f>
        <v/>
      </c>
      <c r="I651" s="52" t="str">
        <f aca="false">IF(AND(ISNUMBER($G651),$G651&gt;=MA_SHORT),AVERAGE(INDEX($C$251:$C651,402-MA_SHORT):$C651),"")</f>
        <v/>
      </c>
      <c r="J651" s="52" t="str">
        <f aca="false">IF(AND(ISNUMBER($G651),$G651&gt;=MA_MED),AVERAGE(INDEX($C$251:$C651,402-MA_MED):$C651),"")</f>
        <v/>
      </c>
      <c r="K651" s="52" t="str">
        <f aca="false">IF(AND(ISNUMBER($G651),$G651&gt;=MA_LONG2),AVERAGE(INDEX($C$251:$C651,402-MA_LONG2):$C651),"")</f>
        <v/>
      </c>
      <c r="L651" s="53" t="str">
        <f aca="false">IF(AND(ISNUMBER($G651),$G651&gt;=21),STDEV(INDEX($H$591:$H651,62-20):$H651)*SQRT(245),"")</f>
        <v/>
      </c>
      <c r="M651" s="52" t="str">
        <f aca="false">IF(AND(ISNUMBER($G651),$G651&gt;=60),MAX(INDEX($D$451:$D651,202-60):$D651),"")</f>
        <v/>
      </c>
      <c r="N651" s="52" t="str">
        <f aca="false">IF(AND(ISNUMBER($G651),$G651&gt;=60),MIN(INDEX($E$451:$E651,202-60):$E651),"")</f>
        <v/>
      </c>
      <c r="O651" s="53" t="str">
        <f aca="false">IF(OR(NOT(ISNUMBER($C651)),NOT(ISNUMBER($M651)),$M651=0),"",$C651/$M651-1)</f>
        <v/>
      </c>
      <c r="P651" s="54"/>
      <c r="Q651" s="53" t="str">
        <f aca="false">IF(NOT(ISNUMBER($P651)),"",IFERROR(PERCENTRANK($P$5:$P$1204,$P651),""))</f>
        <v/>
      </c>
    </row>
    <row r="652" customFormat="false" ht="15" hidden="false" customHeight="false" outlineLevel="0" collapsed="false">
      <c r="A652" s="55"/>
      <c r="B652" s="56"/>
      <c r="C652" s="57"/>
      <c r="D652" s="56"/>
      <c r="E652" s="56"/>
      <c r="F652" s="56"/>
      <c r="G652" s="50" t="str">
        <f aca="false">IF($A652="","",IF(ISNUMBER($G651),$G651+1,1))</f>
        <v/>
      </c>
      <c r="H652" s="51" t="str">
        <f aca="false">IF(OR(NOT(ISNUMBER($G652)),$G652&lt;2,NOT(ISNUMBER($C651)),$C651=0),"",$C652/$C651-1)</f>
        <v/>
      </c>
      <c r="I652" s="52" t="str">
        <f aca="false">IF(AND(ISNUMBER($G652),$G652&gt;=MA_SHORT),AVERAGE(INDEX($C$252:$C652,402-MA_SHORT):$C652),"")</f>
        <v/>
      </c>
      <c r="J652" s="52" t="str">
        <f aca="false">IF(AND(ISNUMBER($G652),$G652&gt;=MA_MED),AVERAGE(INDEX($C$252:$C652,402-MA_MED):$C652),"")</f>
        <v/>
      </c>
      <c r="K652" s="52" t="str">
        <f aca="false">IF(AND(ISNUMBER($G652),$G652&gt;=MA_LONG2),AVERAGE(INDEX($C$252:$C652,402-MA_LONG2):$C652),"")</f>
        <v/>
      </c>
      <c r="L652" s="53" t="str">
        <f aca="false">IF(AND(ISNUMBER($G652),$G652&gt;=21),STDEV(INDEX($H$592:$H652,62-20):$H652)*SQRT(245),"")</f>
        <v/>
      </c>
      <c r="M652" s="52" t="str">
        <f aca="false">IF(AND(ISNUMBER($G652),$G652&gt;=60),MAX(INDEX($D$452:$D652,202-60):$D652),"")</f>
        <v/>
      </c>
      <c r="N652" s="52" t="str">
        <f aca="false">IF(AND(ISNUMBER($G652),$G652&gt;=60),MIN(INDEX($E$452:$E652,202-60):$E652),"")</f>
        <v/>
      </c>
      <c r="O652" s="53" t="str">
        <f aca="false">IF(OR(NOT(ISNUMBER($C652)),NOT(ISNUMBER($M652)),$M652=0),"",$C652/$M652-1)</f>
        <v/>
      </c>
      <c r="P652" s="54"/>
      <c r="Q652" s="53" t="str">
        <f aca="false">IF(NOT(ISNUMBER($P652)),"",IFERROR(PERCENTRANK($P$5:$P$1204,$P652),""))</f>
        <v/>
      </c>
    </row>
    <row r="653" customFormat="false" ht="15" hidden="false" customHeight="false" outlineLevel="0" collapsed="false">
      <c r="A653" s="55"/>
      <c r="B653" s="56"/>
      <c r="C653" s="57"/>
      <c r="D653" s="56"/>
      <c r="E653" s="56"/>
      <c r="F653" s="56"/>
      <c r="G653" s="50" t="str">
        <f aca="false">IF($A653="","",IF(ISNUMBER($G652),$G652+1,1))</f>
        <v/>
      </c>
      <c r="H653" s="51" t="str">
        <f aca="false">IF(OR(NOT(ISNUMBER($G653)),$G653&lt;2,NOT(ISNUMBER($C652)),$C652=0),"",$C653/$C652-1)</f>
        <v/>
      </c>
      <c r="I653" s="52" t="str">
        <f aca="false">IF(AND(ISNUMBER($G653),$G653&gt;=MA_SHORT),AVERAGE(INDEX($C$253:$C653,402-MA_SHORT):$C653),"")</f>
        <v/>
      </c>
      <c r="J653" s="52" t="str">
        <f aca="false">IF(AND(ISNUMBER($G653),$G653&gt;=MA_MED),AVERAGE(INDEX($C$253:$C653,402-MA_MED):$C653),"")</f>
        <v/>
      </c>
      <c r="K653" s="52" t="str">
        <f aca="false">IF(AND(ISNUMBER($G653),$G653&gt;=MA_LONG2),AVERAGE(INDEX($C$253:$C653,402-MA_LONG2):$C653),"")</f>
        <v/>
      </c>
      <c r="L653" s="53" t="str">
        <f aca="false">IF(AND(ISNUMBER($G653),$G653&gt;=21),STDEV(INDEX($H$593:$H653,62-20):$H653)*SQRT(245),"")</f>
        <v/>
      </c>
      <c r="M653" s="52" t="str">
        <f aca="false">IF(AND(ISNUMBER($G653),$G653&gt;=60),MAX(INDEX($D$453:$D653,202-60):$D653),"")</f>
        <v/>
      </c>
      <c r="N653" s="52" t="str">
        <f aca="false">IF(AND(ISNUMBER($G653),$G653&gt;=60),MIN(INDEX($E$453:$E653,202-60):$E653),"")</f>
        <v/>
      </c>
      <c r="O653" s="53" t="str">
        <f aca="false">IF(OR(NOT(ISNUMBER($C653)),NOT(ISNUMBER($M653)),$M653=0),"",$C653/$M653-1)</f>
        <v/>
      </c>
      <c r="P653" s="54"/>
      <c r="Q653" s="53" t="str">
        <f aca="false">IF(NOT(ISNUMBER($P653)),"",IFERROR(PERCENTRANK($P$5:$P$1204,$P653),""))</f>
        <v/>
      </c>
    </row>
    <row r="654" customFormat="false" ht="15" hidden="false" customHeight="false" outlineLevel="0" collapsed="false">
      <c r="A654" s="55"/>
      <c r="B654" s="56"/>
      <c r="C654" s="57"/>
      <c r="D654" s="56"/>
      <c r="E654" s="56"/>
      <c r="F654" s="56"/>
      <c r="G654" s="50" t="str">
        <f aca="false">IF($A654="","",IF(ISNUMBER($G653),$G653+1,1))</f>
        <v/>
      </c>
      <c r="H654" s="51" t="str">
        <f aca="false">IF(OR(NOT(ISNUMBER($G654)),$G654&lt;2,NOT(ISNUMBER($C653)),$C653=0),"",$C654/$C653-1)</f>
        <v/>
      </c>
      <c r="I654" s="52" t="str">
        <f aca="false">IF(AND(ISNUMBER($G654),$G654&gt;=MA_SHORT),AVERAGE(INDEX($C$254:$C654,402-MA_SHORT):$C654),"")</f>
        <v/>
      </c>
      <c r="J654" s="52" t="str">
        <f aca="false">IF(AND(ISNUMBER($G654),$G654&gt;=MA_MED),AVERAGE(INDEX($C$254:$C654,402-MA_MED):$C654),"")</f>
        <v/>
      </c>
      <c r="K654" s="52" t="str">
        <f aca="false">IF(AND(ISNUMBER($G654),$G654&gt;=MA_LONG2),AVERAGE(INDEX($C$254:$C654,402-MA_LONG2):$C654),"")</f>
        <v/>
      </c>
      <c r="L654" s="53" t="str">
        <f aca="false">IF(AND(ISNUMBER($G654),$G654&gt;=21),STDEV(INDEX($H$594:$H654,62-20):$H654)*SQRT(245),"")</f>
        <v/>
      </c>
      <c r="M654" s="52" t="str">
        <f aca="false">IF(AND(ISNUMBER($G654),$G654&gt;=60),MAX(INDEX($D$454:$D654,202-60):$D654),"")</f>
        <v/>
      </c>
      <c r="N654" s="52" t="str">
        <f aca="false">IF(AND(ISNUMBER($G654),$G654&gt;=60),MIN(INDEX($E$454:$E654,202-60):$E654),"")</f>
        <v/>
      </c>
      <c r="O654" s="53" t="str">
        <f aca="false">IF(OR(NOT(ISNUMBER($C654)),NOT(ISNUMBER($M654)),$M654=0),"",$C654/$M654-1)</f>
        <v/>
      </c>
      <c r="P654" s="54"/>
      <c r="Q654" s="53" t="str">
        <f aca="false">IF(NOT(ISNUMBER($P654)),"",IFERROR(PERCENTRANK($P$5:$P$1204,$P654),""))</f>
        <v/>
      </c>
    </row>
    <row r="655" customFormat="false" ht="15" hidden="false" customHeight="false" outlineLevel="0" collapsed="false">
      <c r="A655" s="55"/>
      <c r="B655" s="56"/>
      <c r="C655" s="57"/>
      <c r="D655" s="56"/>
      <c r="E655" s="56"/>
      <c r="F655" s="56"/>
      <c r="G655" s="50" t="str">
        <f aca="false">IF($A655="","",IF(ISNUMBER($G654),$G654+1,1))</f>
        <v/>
      </c>
      <c r="H655" s="51" t="str">
        <f aca="false">IF(OR(NOT(ISNUMBER($G655)),$G655&lt;2,NOT(ISNUMBER($C654)),$C654=0),"",$C655/$C654-1)</f>
        <v/>
      </c>
      <c r="I655" s="52" t="str">
        <f aca="false">IF(AND(ISNUMBER($G655),$G655&gt;=MA_SHORT),AVERAGE(INDEX($C$255:$C655,402-MA_SHORT):$C655),"")</f>
        <v/>
      </c>
      <c r="J655" s="52" t="str">
        <f aca="false">IF(AND(ISNUMBER($G655),$G655&gt;=MA_MED),AVERAGE(INDEX($C$255:$C655,402-MA_MED):$C655),"")</f>
        <v/>
      </c>
      <c r="K655" s="52" t="str">
        <f aca="false">IF(AND(ISNUMBER($G655),$G655&gt;=MA_LONG2),AVERAGE(INDEX($C$255:$C655,402-MA_LONG2):$C655),"")</f>
        <v/>
      </c>
      <c r="L655" s="53" t="str">
        <f aca="false">IF(AND(ISNUMBER($G655),$G655&gt;=21),STDEV(INDEX($H$595:$H655,62-20):$H655)*SQRT(245),"")</f>
        <v/>
      </c>
      <c r="M655" s="52" t="str">
        <f aca="false">IF(AND(ISNUMBER($G655),$G655&gt;=60),MAX(INDEX($D$455:$D655,202-60):$D655),"")</f>
        <v/>
      </c>
      <c r="N655" s="52" t="str">
        <f aca="false">IF(AND(ISNUMBER($G655),$G655&gt;=60),MIN(INDEX($E$455:$E655,202-60):$E655),"")</f>
        <v/>
      </c>
      <c r="O655" s="53" t="str">
        <f aca="false">IF(OR(NOT(ISNUMBER($C655)),NOT(ISNUMBER($M655)),$M655=0),"",$C655/$M655-1)</f>
        <v/>
      </c>
      <c r="P655" s="54"/>
      <c r="Q655" s="53" t="str">
        <f aca="false">IF(NOT(ISNUMBER($P655)),"",IFERROR(PERCENTRANK($P$5:$P$1204,$P655),""))</f>
        <v/>
      </c>
    </row>
    <row r="656" customFormat="false" ht="15" hidden="false" customHeight="false" outlineLevel="0" collapsed="false">
      <c r="A656" s="55"/>
      <c r="B656" s="56"/>
      <c r="C656" s="57"/>
      <c r="D656" s="56"/>
      <c r="E656" s="56"/>
      <c r="F656" s="56"/>
      <c r="G656" s="50" t="str">
        <f aca="false">IF($A656="","",IF(ISNUMBER($G655),$G655+1,1))</f>
        <v/>
      </c>
      <c r="H656" s="51" t="str">
        <f aca="false">IF(OR(NOT(ISNUMBER($G656)),$G656&lt;2,NOT(ISNUMBER($C655)),$C655=0),"",$C656/$C655-1)</f>
        <v/>
      </c>
      <c r="I656" s="52" t="str">
        <f aca="false">IF(AND(ISNUMBER($G656),$G656&gt;=MA_SHORT),AVERAGE(INDEX($C$256:$C656,402-MA_SHORT):$C656),"")</f>
        <v/>
      </c>
      <c r="J656" s="52" t="str">
        <f aca="false">IF(AND(ISNUMBER($G656),$G656&gt;=MA_MED),AVERAGE(INDEX($C$256:$C656,402-MA_MED):$C656),"")</f>
        <v/>
      </c>
      <c r="K656" s="52" t="str">
        <f aca="false">IF(AND(ISNUMBER($G656),$G656&gt;=MA_LONG2),AVERAGE(INDEX($C$256:$C656,402-MA_LONG2):$C656),"")</f>
        <v/>
      </c>
      <c r="L656" s="53" t="str">
        <f aca="false">IF(AND(ISNUMBER($G656),$G656&gt;=21),STDEV(INDEX($H$596:$H656,62-20):$H656)*SQRT(245),"")</f>
        <v/>
      </c>
      <c r="M656" s="52" t="str">
        <f aca="false">IF(AND(ISNUMBER($G656),$G656&gt;=60),MAX(INDEX($D$456:$D656,202-60):$D656),"")</f>
        <v/>
      </c>
      <c r="N656" s="52" t="str">
        <f aca="false">IF(AND(ISNUMBER($G656),$G656&gt;=60),MIN(INDEX($E$456:$E656,202-60):$E656),"")</f>
        <v/>
      </c>
      <c r="O656" s="53" t="str">
        <f aca="false">IF(OR(NOT(ISNUMBER($C656)),NOT(ISNUMBER($M656)),$M656=0),"",$C656/$M656-1)</f>
        <v/>
      </c>
      <c r="P656" s="54"/>
      <c r="Q656" s="53" t="str">
        <f aca="false">IF(NOT(ISNUMBER($P656)),"",IFERROR(PERCENTRANK($P$5:$P$1204,$P656),""))</f>
        <v/>
      </c>
    </row>
    <row r="657" customFormat="false" ht="15" hidden="false" customHeight="false" outlineLevel="0" collapsed="false">
      <c r="A657" s="55"/>
      <c r="B657" s="56"/>
      <c r="C657" s="57"/>
      <c r="D657" s="56"/>
      <c r="E657" s="56"/>
      <c r="F657" s="56"/>
      <c r="G657" s="50" t="str">
        <f aca="false">IF($A657="","",IF(ISNUMBER($G656),$G656+1,1))</f>
        <v/>
      </c>
      <c r="H657" s="51" t="str">
        <f aca="false">IF(OR(NOT(ISNUMBER($G657)),$G657&lt;2,NOT(ISNUMBER($C656)),$C656=0),"",$C657/$C656-1)</f>
        <v/>
      </c>
      <c r="I657" s="52" t="str">
        <f aca="false">IF(AND(ISNUMBER($G657),$G657&gt;=MA_SHORT),AVERAGE(INDEX($C$257:$C657,402-MA_SHORT):$C657),"")</f>
        <v/>
      </c>
      <c r="J657" s="52" t="str">
        <f aca="false">IF(AND(ISNUMBER($G657),$G657&gt;=MA_MED),AVERAGE(INDEX($C$257:$C657,402-MA_MED):$C657),"")</f>
        <v/>
      </c>
      <c r="K657" s="52" t="str">
        <f aca="false">IF(AND(ISNUMBER($G657),$G657&gt;=MA_LONG2),AVERAGE(INDEX($C$257:$C657,402-MA_LONG2):$C657),"")</f>
        <v/>
      </c>
      <c r="L657" s="53" t="str">
        <f aca="false">IF(AND(ISNUMBER($G657),$G657&gt;=21),STDEV(INDEX($H$597:$H657,62-20):$H657)*SQRT(245),"")</f>
        <v/>
      </c>
      <c r="M657" s="52" t="str">
        <f aca="false">IF(AND(ISNUMBER($G657),$G657&gt;=60),MAX(INDEX($D$457:$D657,202-60):$D657),"")</f>
        <v/>
      </c>
      <c r="N657" s="52" t="str">
        <f aca="false">IF(AND(ISNUMBER($G657),$G657&gt;=60),MIN(INDEX($E$457:$E657,202-60):$E657),"")</f>
        <v/>
      </c>
      <c r="O657" s="53" t="str">
        <f aca="false">IF(OR(NOT(ISNUMBER($C657)),NOT(ISNUMBER($M657)),$M657=0),"",$C657/$M657-1)</f>
        <v/>
      </c>
      <c r="P657" s="54"/>
      <c r="Q657" s="53" t="str">
        <f aca="false">IF(NOT(ISNUMBER($P657)),"",IFERROR(PERCENTRANK($P$5:$P$1204,$P657),""))</f>
        <v/>
      </c>
    </row>
    <row r="658" customFormat="false" ht="15" hidden="false" customHeight="false" outlineLevel="0" collapsed="false">
      <c r="A658" s="55"/>
      <c r="B658" s="56"/>
      <c r="C658" s="57"/>
      <c r="D658" s="56"/>
      <c r="E658" s="56"/>
      <c r="F658" s="56"/>
      <c r="G658" s="50" t="str">
        <f aca="false">IF($A658="","",IF(ISNUMBER($G657),$G657+1,1))</f>
        <v/>
      </c>
      <c r="H658" s="51" t="str">
        <f aca="false">IF(OR(NOT(ISNUMBER($G658)),$G658&lt;2,NOT(ISNUMBER($C657)),$C657=0),"",$C658/$C657-1)</f>
        <v/>
      </c>
      <c r="I658" s="52" t="str">
        <f aca="false">IF(AND(ISNUMBER($G658),$G658&gt;=MA_SHORT),AVERAGE(INDEX($C$258:$C658,402-MA_SHORT):$C658),"")</f>
        <v/>
      </c>
      <c r="J658" s="52" t="str">
        <f aca="false">IF(AND(ISNUMBER($G658),$G658&gt;=MA_MED),AVERAGE(INDEX($C$258:$C658,402-MA_MED):$C658),"")</f>
        <v/>
      </c>
      <c r="K658" s="52" t="str">
        <f aca="false">IF(AND(ISNUMBER($G658),$G658&gt;=MA_LONG2),AVERAGE(INDEX($C$258:$C658,402-MA_LONG2):$C658),"")</f>
        <v/>
      </c>
      <c r="L658" s="53" t="str">
        <f aca="false">IF(AND(ISNUMBER($G658),$G658&gt;=21),STDEV(INDEX($H$598:$H658,62-20):$H658)*SQRT(245),"")</f>
        <v/>
      </c>
      <c r="M658" s="52" t="str">
        <f aca="false">IF(AND(ISNUMBER($G658),$G658&gt;=60),MAX(INDEX($D$458:$D658,202-60):$D658),"")</f>
        <v/>
      </c>
      <c r="N658" s="52" t="str">
        <f aca="false">IF(AND(ISNUMBER($G658),$G658&gt;=60),MIN(INDEX($E$458:$E658,202-60):$E658),"")</f>
        <v/>
      </c>
      <c r="O658" s="53" t="str">
        <f aca="false">IF(OR(NOT(ISNUMBER($C658)),NOT(ISNUMBER($M658)),$M658=0),"",$C658/$M658-1)</f>
        <v/>
      </c>
      <c r="P658" s="54"/>
      <c r="Q658" s="53" t="str">
        <f aca="false">IF(NOT(ISNUMBER($P658)),"",IFERROR(PERCENTRANK($P$5:$P$1204,$P658),""))</f>
        <v/>
      </c>
    </row>
    <row r="659" customFormat="false" ht="15" hidden="false" customHeight="false" outlineLevel="0" collapsed="false">
      <c r="A659" s="55"/>
      <c r="B659" s="56"/>
      <c r="C659" s="57"/>
      <c r="D659" s="56"/>
      <c r="E659" s="56"/>
      <c r="F659" s="56"/>
      <c r="G659" s="50" t="str">
        <f aca="false">IF($A659="","",IF(ISNUMBER($G658),$G658+1,1))</f>
        <v/>
      </c>
      <c r="H659" s="51" t="str">
        <f aca="false">IF(OR(NOT(ISNUMBER($G659)),$G659&lt;2,NOT(ISNUMBER($C658)),$C658=0),"",$C659/$C658-1)</f>
        <v/>
      </c>
      <c r="I659" s="52" t="str">
        <f aca="false">IF(AND(ISNUMBER($G659),$G659&gt;=MA_SHORT),AVERAGE(INDEX($C$259:$C659,402-MA_SHORT):$C659),"")</f>
        <v/>
      </c>
      <c r="J659" s="52" t="str">
        <f aca="false">IF(AND(ISNUMBER($G659),$G659&gt;=MA_MED),AVERAGE(INDEX($C$259:$C659,402-MA_MED):$C659),"")</f>
        <v/>
      </c>
      <c r="K659" s="52" t="str">
        <f aca="false">IF(AND(ISNUMBER($G659),$G659&gt;=MA_LONG2),AVERAGE(INDEX($C$259:$C659,402-MA_LONG2):$C659),"")</f>
        <v/>
      </c>
      <c r="L659" s="53" t="str">
        <f aca="false">IF(AND(ISNUMBER($G659),$G659&gt;=21),STDEV(INDEX($H$599:$H659,62-20):$H659)*SQRT(245),"")</f>
        <v/>
      </c>
      <c r="M659" s="52" t="str">
        <f aca="false">IF(AND(ISNUMBER($G659),$G659&gt;=60),MAX(INDEX($D$459:$D659,202-60):$D659),"")</f>
        <v/>
      </c>
      <c r="N659" s="52" t="str">
        <f aca="false">IF(AND(ISNUMBER($G659),$G659&gt;=60),MIN(INDEX($E$459:$E659,202-60):$E659),"")</f>
        <v/>
      </c>
      <c r="O659" s="53" t="str">
        <f aca="false">IF(OR(NOT(ISNUMBER($C659)),NOT(ISNUMBER($M659)),$M659=0),"",$C659/$M659-1)</f>
        <v/>
      </c>
      <c r="P659" s="54"/>
      <c r="Q659" s="53" t="str">
        <f aca="false">IF(NOT(ISNUMBER($P659)),"",IFERROR(PERCENTRANK($P$5:$P$1204,$P659),""))</f>
        <v/>
      </c>
    </row>
    <row r="660" customFormat="false" ht="15" hidden="false" customHeight="false" outlineLevel="0" collapsed="false">
      <c r="A660" s="55"/>
      <c r="B660" s="56"/>
      <c r="C660" s="57"/>
      <c r="D660" s="56"/>
      <c r="E660" s="56"/>
      <c r="F660" s="56"/>
      <c r="G660" s="50" t="str">
        <f aca="false">IF($A660="","",IF(ISNUMBER($G659),$G659+1,1))</f>
        <v/>
      </c>
      <c r="H660" s="51" t="str">
        <f aca="false">IF(OR(NOT(ISNUMBER($G660)),$G660&lt;2,NOT(ISNUMBER($C659)),$C659=0),"",$C660/$C659-1)</f>
        <v/>
      </c>
      <c r="I660" s="52" t="str">
        <f aca="false">IF(AND(ISNUMBER($G660),$G660&gt;=MA_SHORT),AVERAGE(INDEX($C$260:$C660,402-MA_SHORT):$C660),"")</f>
        <v/>
      </c>
      <c r="J660" s="52" t="str">
        <f aca="false">IF(AND(ISNUMBER($G660),$G660&gt;=MA_MED),AVERAGE(INDEX($C$260:$C660,402-MA_MED):$C660),"")</f>
        <v/>
      </c>
      <c r="K660" s="52" t="str">
        <f aca="false">IF(AND(ISNUMBER($G660),$G660&gt;=MA_LONG2),AVERAGE(INDEX($C$260:$C660,402-MA_LONG2):$C660),"")</f>
        <v/>
      </c>
      <c r="L660" s="53" t="str">
        <f aca="false">IF(AND(ISNUMBER($G660),$G660&gt;=21),STDEV(INDEX($H$600:$H660,62-20):$H660)*SQRT(245),"")</f>
        <v/>
      </c>
      <c r="M660" s="52" t="str">
        <f aca="false">IF(AND(ISNUMBER($G660),$G660&gt;=60),MAX(INDEX($D$460:$D660,202-60):$D660),"")</f>
        <v/>
      </c>
      <c r="N660" s="52" t="str">
        <f aca="false">IF(AND(ISNUMBER($G660),$G660&gt;=60),MIN(INDEX($E$460:$E660,202-60):$E660),"")</f>
        <v/>
      </c>
      <c r="O660" s="53" t="str">
        <f aca="false">IF(OR(NOT(ISNUMBER($C660)),NOT(ISNUMBER($M660)),$M660=0),"",$C660/$M660-1)</f>
        <v/>
      </c>
      <c r="P660" s="54"/>
      <c r="Q660" s="53" t="str">
        <f aca="false">IF(NOT(ISNUMBER($P660)),"",IFERROR(PERCENTRANK($P$5:$P$1204,$P660),""))</f>
        <v/>
      </c>
    </row>
    <row r="661" customFormat="false" ht="15" hidden="false" customHeight="false" outlineLevel="0" collapsed="false">
      <c r="A661" s="55"/>
      <c r="B661" s="56"/>
      <c r="C661" s="57"/>
      <c r="D661" s="56"/>
      <c r="E661" s="56"/>
      <c r="F661" s="56"/>
      <c r="G661" s="50" t="str">
        <f aca="false">IF($A661="","",IF(ISNUMBER($G660),$G660+1,1))</f>
        <v/>
      </c>
      <c r="H661" s="51" t="str">
        <f aca="false">IF(OR(NOT(ISNUMBER($G661)),$G661&lt;2,NOT(ISNUMBER($C660)),$C660=0),"",$C661/$C660-1)</f>
        <v/>
      </c>
      <c r="I661" s="52" t="str">
        <f aca="false">IF(AND(ISNUMBER($G661),$G661&gt;=MA_SHORT),AVERAGE(INDEX($C$261:$C661,402-MA_SHORT):$C661),"")</f>
        <v/>
      </c>
      <c r="J661" s="52" t="str">
        <f aca="false">IF(AND(ISNUMBER($G661),$G661&gt;=MA_MED),AVERAGE(INDEX($C$261:$C661,402-MA_MED):$C661),"")</f>
        <v/>
      </c>
      <c r="K661" s="52" t="str">
        <f aca="false">IF(AND(ISNUMBER($G661),$G661&gt;=MA_LONG2),AVERAGE(INDEX($C$261:$C661,402-MA_LONG2):$C661),"")</f>
        <v/>
      </c>
      <c r="L661" s="53" t="str">
        <f aca="false">IF(AND(ISNUMBER($G661),$G661&gt;=21),STDEV(INDEX($H$601:$H661,62-20):$H661)*SQRT(245),"")</f>
        <v/>
      </c>
      <c r="M661" s="52" t="str">
        <f aca="false">IF(AND(ISNUMBER($G661),$G661&gt;=60),MAX(INDEX($D$461:$D661,202-60):$D661),"")</f>
        <v/>
      </c>
      <c r="N661" s="52" t="str">
        <f aca="false">IF(AND(ISNUMBER($G661),$G661&gt;=60),MIN(INDEX($E$461:$E661,202-60):$E661),"")</f>
        <v/>
      </c>
      <c r="O661" s="53" t="str">
        <f aca="false">IF(OR(NOT(ISNUMBER($C661)),NOT(ISNUMBER($M661)),$M661=0),"",$C661/$M661-1)</f>
        <v/>
      </c>
      <c r="P661" s="54"/>
      <c r="Q661" s="53" t="str">
        <f aca="false">IF(NOT(ISNUMBER($P661)),"",IFERROR(PERCENTRANK($P$5:$P$1204,$P661),""))</f>
        <v/>
      </c>
    </row>
    <row r="662" customFormat="false" ht="15" hidden="false" customHeight="false" outlineLevel="0" collapsed="false">
      <c r="A662" s="55"/>
      <c r="B662" s="56"/>
      <c r="C662" s="57"/>
      <c r="D662" s="56"/>
      <c r="E662" s="56"/>
      <c r="F662" s="56"/>
      <c r="G662" s="50" t="str">
        <f aca="false">IF($A662="","",IF(ISNUMBER($G661),$G661+1,1))</f>
        <v/>
      </c>
      <c r="H662" s="51" t="str">
        <f aca="false">IF(OR(NOT(ISNUMBER($G662)),$G662&lt;2,NOT(ISNUMBER($C661)),$C661=0),"",$C662/$C661-1)</f>
        <v/>
      </c>
      <c r="I662" s="52" t="str">
        <f aca="false">IF(AND(ISNUMBER($G662),$G662&gt;=MA_SHORT),AVERAGE(INDEX($C$262:$C662,402-MA_SHORT):$C662),"")</f>
        <v/>
      </c>
      <c r="J662" s="52" t="str">
        <f aca="false">IF(AND(ISNUMBER($G662),$G662&gt;=MA_MED),AVERAGE(INDEX($C$262:$C662,402-MA_MED):$C662),"")</f>
        <v/>
      </c>
      <c r="K662" s="52" t="str">
        <f aca="false">IF(AND(ISNUMBER($G662),$G662&gt;=MA_LONG2),AVERAGE(INDEX($C$262:$C662,402-MA_LONG2):$C662),"")</f>
        <v/>
      </c>
      <c r="L662" s="53" t="str">
        <f aca="false">IF(AND(ISNUMBER($G662),$G662&gt;=21),STDEV(INDEX($H$602:$H662,62-20):$H662)*SQRT(245),"")</f>
        <v/>
      </c>
      <c r="M662" s="52" t="str">
        <f aca="false">IF(AND(ISNUMBER($G662),$G662&gt;=60),MAX(INDEX($D$462:$D662,202-60):$D662),"")</f>
        <v/>
      </c>
      <c r="N662" s="52" t="str">
        <f aca="false">IF(AND(ISNUMBER($G662),$G662&gt;=60),MIN(INDEX($E$462:$E662,202-60):$E662),"")</f>
        <v/>
      </c>
      <c r="O662" s="53" t="str">
        <f aca="false">IF(OR(NOT(ISNUMBER($C662)),NOT(ISNUMBER($M662)),$M662=0),"",$C662/$M662-1)</f>
        <v/>
      </c>
      <c r="P662" s="54"/>
      <c r="Q662" s="53" t="str">
        <f aca="false">IF(NOT(ISNUMBER($P662)),"",IFERROR(PERCENTRANK($P$5:$P$1204,$P662),""))</f>
        <v/>
      </c>
    </row>
    <row r="663" customFormat="false" ht="15" hidden="false" customHeight="false" outlineLevel="0" collapsed="false">
      <c r="A663" s="55"/>
      <c r="B663" s="56"/>
      <c r="C663" s="57"/>
      <c r="D663" s="56"/>
      <c r="E663" s="56"/>
      <c r="F663" s="56"/>
      <c r="G663" s="50" t="str">
        <f aca="false">IF($A663="","",IF(ISNUMBER($G662),$G662+1,1))</f>
        <v/>
      </c>
      <c r="H663" s="51" t="str">
        <f aca="false">IF(OR(NOT(ISNUMBER($G663)),$G663&lt;2,NOT(ISNUMBER($C662)),$C662=0),"",$C663/$C662-1)</f>
        <v/>
      </c>
      <c r="I663" s="52" t="str">
        <f aca="false">IF(AND(ISNUMBER($G663),$G663&gt;=MA_SHORT),AVERAGE(INDEX($C$263:$C663,402-MA_SHORT):$C663),"")</f>
        <v/>
      </c>
      <c r="J663" s="52" t="str">
        <f aca="false">IF(AND(ISNUMBER($G663),$G663&gt;=MA_MED),AVERAGE(INDEX($C$263:$C663,402-MA_MED):$C663),"")</f>
        <v/>
      </c>
      <c r="K663" s="52" t="str">
        <f aca="false">IF(AND(ISNUMBER($G663),$G663&gt;=MA_LONG2),AVERAGE(INDEX($C$263:$C663,402-MA_LONG2):$C663),"")</f>
        <v/>
      </c>
      <c r="L663" s="53" t="str">
        <f aca="false">IF(AND(ISNUMBER($G663),$G663&gt;=21),STDEV(INDEX($H$603:$H663,62-20):$H663)*SQRT(245),"")</f>
        <v/>
      </c>
      <c r="M663" s="52" t="str">
        <f aca="false">IF(AND(ISNUMBER($G663),$G663&gt;=60),MAX(INDEX($D$463:$D663,202-60):$D663),"")</f>
        <v/>
      </c>
      <c r="N663" s="52" t="str">
        <f aca="false">IF(AND(ISNUMBER($G663),$G663&gt;=60),MIN(INDEX($E$463:$E663,202-60):$E663),"")</f>
        <v/>
      </c>
      <c r="O663" s="53" t="str">
        <f aca="false">IF(OR(NOT(ISNUMBER($C663)),NOT(ISNUMBER($M663)),$M663=0),"",$C663/$M663-1)</f>
        <v/>
      </c>
      <c r="P663" s="54"/>
      <c r="Q663" s="53" t="str">
        <f aca="false">IF(NOT(ISNUMBER($P663)),"",IFERROR(PERCENTRANK($P$5:$P$1204,$P663),""))</f>
        <v/>
      </c>
    </row>
    <row r="664" customFormat="false" ht="15" hidden="false" customHeight="false" outlineLevel="0" collapsed="false">
      <c r="A664" s="55"/>
      <c r="B664" s="56"/>
      <c r="C664" s="57"/>
      <c r="D664" s="56"/>
      <c r="E664" s="56"/>
      <c r="F664" s="56"/>
      <c r="G664" s="50" t="str">
        <f aca="false">IF($A664="","",IF(ISNUMBER($G663),$G663+1,1))</f>
        <v/>
      </c>
      <c r="H664" s="51" t="str">
        <f aca="false">IF(OR(NOT(ISNUMBER($G664)),$G664&lt;2,NOT(ISNUMBER($C663)),$C663=0),"",$C664/$C663-1)</f>
        <v/>
      </c>
      <c r="I664" s="52" t="str">
        <f aca="false">IF(AND(ISNUMBER($G664),$G664&gt;=MA_SHORT),AVERAGE(INDEX($C$264:$C664,402-MA_SHORT):$C664),"")</f>
        <v/>
      </c>
      <c r="J664" s="52" t="str">
        <f aca="false">IF(AND(ISNUMBER($G664),$G664&gt;=MA_MED),AVERAGE(INDEX($C$264:$C664,402-MA_MED):$C664),"")</f>
        <v/>
      </c>
      <c r="K664" s="52" t="str">
        <f aca="false">IF(AND(ISNUMBER($G664),$G664&gt;=MA_LONG2),AVERAGE(INDEX($C$264:$C664,402-MA_LONG2):$C664),"")</f>
        <v/>
      </c>
      <c r="L664" s="53" t="str">
        <f aca="false">IF(AND(ISNUMBER($G664),$G664&gt;=21),STDEV(INDEX($H$604:$H664,62-20):$H664)*SQRT(245),"")</f>
        <v/>
      </c>
      <c r="M664" s="52" t="str">
        <f aca="false">IF(AND(ISNUMBER($G664),$G664&gt;=60),MAX(INDEX($D$464:$D664,202-60):$D664),"")</f>
        <v/>
      </c>
      <c r="N664" s="52" t="str">
        <f aca="false">IF(AND(ISNUMBER($G664),$G664&gt;=60),MIN(INDEX($E$464:$E664,202-60):$E664),"")</f>
        <v/>
      </c>
      <c r="O664" s="53" t="str">
        <f aca="false">IF(OR(NOT(ISNUMBER($C664)),NOT(ISNUMBER($M664)),$M664=0),"",$C664/$M664-1)</f>
        <v/>
      </c>
      <c r="P664" s="54"/>
      <c r="Q664" s="53" t="str">
        <f aca="false">IF(NOT(ISNUMBER($P664)),"",IFERROR(PERCENTRANK($P$5:$P$1204,$P664),""))</f>
        <v/>
      </c>
    </row>
    <row r="665" customFormat="false" ht="15" hidden="false" customHeight="false" outlineLevel="0" collapsed="false">
      <c r="A665" s="55"/>
      <c r="B665" s="56"/>
      <c r="C665" s="57"/>
      <c r="D665" s="56"/>
      <c r="E665" s="56"/>
      <c r="F665" s="56"/>
      <c r="G665" s="50" t="str">
        <f aca="false">IF($A665="","",IF(ISNUMBER($G664),$G664+1,1))</f>
        <v/>
      </c>
      <c r="H665" s="51" t="str">
        <f aca="false">IF(OR(NOT(ISNUMBER($G665)),$G665&lt;2,NOT(ISNUMBER($C664)),$C664=0),"",$C665/$C664-1)</f>
        <v/>
      </c>
      <c r="I665" s="52" t="str">
        <f aca="false">IF(AND(ISNUMBER($G665),$G665&gt;=MA_SHORT),AVERAGE(INDEX($C$265:$C665,402-MA_SHORT):$C665),"")</f>
        <v/>
      </c>
      <c r="J665" s="52" t="str">
        <f aca="false">IF(AND(ISNUMBER($G665),$G665&gt;=MA_MED),AVERAGE(INDEX($C$265:$C665,402-MA_MED):$C665),"")</f>
        <v/>
      </c>
      <c r="K665" s="52" t="str">
        <f aca="false">IF(AND(ISNUMBER($G665),$G665&gt;=MA_LONG2),AVERAGE(INDEX($C$265:$C665,402-MA_LONG2):$C665),"")</f>
        <v/>
      </c>
      <c r="L665" s="53" t="str">
        <f aca="false">IF(AND(ISNUMBER($G665),$G665&gt;=21),STDEV(INDEX($H$605:$H665,62-20):$H665)*SQRT(245),"")</f>
        <v/>
      </c>
      <c r="M665" s="52" t="str">
        <f aca="false">IF(AND(ISNUMBER($G665),$G665&gt;=60),MAX(INDEX($D$465:$D665,202-60):$D665),"")</f>
        <v/>
      </c>
      <c r="N665" s="52" t="str">
        <f aca="false">IF(AND(ISNUMBER($G665),$G665&gt;=60),MIN(INDEX($E$465:$E665,202-60):$E665),"")</f>
        <v/>
      </c>
      <c r="O665" s="53" t="str">
        <f aca="false">IF(OR(NOT(ISNUMBER($C665)),NOT(ISNUMBER($M665)),$M665=0),"",$C665/$M665-1)</f>
        <v/>
      </c>
      <c r="P665" s="54"/>
      <c r="Q665" s="53" t="str">
        <f aca="false">IF(NOT(ISNUMBER($P665)),"",IFERROR(PERCENTRANK($P$5:$P$1204,$P665),""))</f>
        <v/>
      </c>
    </row>
    <row r="666" customFormat="false" ht="15" hidden="false" customHeight="false" outlineLevel="0" collapsed="false">
      <c r="A666" s="55"/>
      <c r="B666" s="56"/>
      <c r="C666" s="57"/>
      <c r="D666" s="56"/>
      <c r="E666" s="56"/>
      <c r="F666" s="56"/>
      <c r="G666" s="50" t="str">
        <f aca="false">IF($A666="","",IF(ISNUMBER($G665),$G665+1,1))</f>
        <v/>
      </c>
      <c r="H666" s="51" t="str">
        <f aca="false">IF(OR(NOT(ISNUMBER($G666)),$G666&lt;2,NOT(ISNUMBER($C665)),$C665=0),"",$C666/$C665-1)</f>
        <v/>
      </c>
      <c r="I666" s="52" t="str">
        <f aca="false">IF(AND(ISNUMBER($G666),$G666&gt;=MA_SHORT),AVERAGE(INDEX($C$266:$C666,402-MA_SHORT):$C666),"")</f>
        <v/>
      </c>
      <c r="J666" s="52" t="str">
        <f aca="false">IF(AND(ISNUMBER($G666),$G666&gt;=MA_MED),AVERAGE(INDEX($C$266:$C666,402-MA_MED):$C666),"")</f>
        <v/>
      </c>
      <c r="K666" s="52" t="str">
        <f aca="false">IF(AND(ISNUMBER($G666),$G666&gt;=MA_LONG2),AVERAGE(INDEX($C$266:$C666,402-MA_LONG2):$C666),"")</f>
        <v/>
      </c>
      <c r="L666" s="53" t="str">
        <f aca="false">IF(AND(ISNUMBER($G666),$G666&gt;=21),STDEV(INDEX($H$606:$H666,62-20):$H666)*SQRT(245),"")</f>
        <v/>
      </c>
      <c r="M666" s="52" t="str">
        <f aca="false">IF(AND(ISNUMBER($G666),$G666&gt;=60),MAX(INDEX($D$466:$D666,202-60):$D666),"")</f>
        <v/>
      </c>
      <c r="N666" s="52" t="str">
        <f aca="false">IF(AND(ISNUMBER($G666),$G666&gt;=60),MIN(INDEX($E$466:$E666,202-60):$E666),"")</f>
        <v/>
      </c>
      <c r="O666" s="53" t="str">
        <f aca="false">IF(OR(NOT(ISNUMBER($C666)),NOT(ISNUMBER($M666)),$M666=0),"",$C666/$M666-1)</f>
        <v/>
      </c>
      <c r="P666" s="54"/>
      <c r="Q666" s="53" t="str">
        <f aca="false">IF(NOT(ISNUMBER($P666)),"",IFERROR(PERCENTRANK($P$5:$P$1204,$P666),""))</f>
        <v/>
      </c>
    </row>
    <row r="667" customFormat="false" ht="15" hidden="false" customHeight="false" outlineLevel="0" collapsed="false">
      <c r="A667" s="55"/>
      <c r="B667" s="56"/>
      <c r="C667" s="57"/>
      <c r="D667" s="56"/>
      <c r="E667" s="56"/>
      <c r="F667" s="56"/>
      <c r="G667" s="50" t="str">
        <f aca="false">IF($A667="","",IF(ISNUMBER($G666),$G666+1,1))</f>
        <v/>
      </c>
      <c r="H667" s="51" t="str">
        <f aca="false">IF(OR(NOT(ISNUMBER($G667)),$G667&lt;2,NOT(ISNUMBER($C666)),$C666=0),"",$C667/$C666-1)</f>
        <v/>
      </c>
      <c r="I667" s="52" t="str">
        <f aca="false">IF(AND(ISNUMBER($G667),$G667&gt;=MA_SHORT),AVERAGE(INDEX($C$267:$C667,402-MA_SHORT):$C667),"")</f>
        <v/>
      </c>
      <c r="J667" s="52" t="str">
        <f aca="false">IF(AND(ISNUMBER($G667),$G667&gt;=MA_MED),AVERAGE(INDEX($C$267:$C667,402-MA_MED):$C667),"")</f>
        <v/>
      </c>
      <c r="K667" s="52" t="str">
        <f aca="false">IF(AND(ISNUMBER($G667),$G667&gt;=MA_LONG2),AVERAGE(INDEX($C$267:$C667,402-MA_LONG2):$C667),"")</f>
        <v/>
      </c>
      <c r="L667" s="53" t="str">
        <f aca="false">IF(AND(ISNUMBER($G667),$G667&gt;=21),STDEV(INDEX($H$607:$H667,62-20):$H667)*SQRT(245),"")</f>
        <v/>
      </c>
      <c r="M667" s="52" t="str">
        <f aca="false">IF(AND(ISNUMBER($G667),$G667&gt;=60),MAX(INDEX($D$467:$D667,202-60):$D667),"")</f>
        <v/>
      </c>
      <c r="N667" s="52" t="str">
        <f aca="false">IF(AND(ISNUMBER($G667),$G667&gt;=60),MIN(INDEX($E$467:$E667,202-60):$E667),"")</f>
        <v/>
      </c>
      <c r="O667" s="53" t="str">
        <f aca="false">IF(OR(NOT(ISNUMBER($C667)),NOT(ISNUMBER($M667)),$M667=0),"",$C667/$M667-1)</f>
        <v/>
      </c>
      <c r="P667" s="54"/>
      <c r="Q667" s="53" t="str">
        <f aca="false">IF(NOT(ISNUMBER($P667)),"",IFERROR(PERCENTRANK($P$5:$P$1204,$P667),""))</f>
        <v/>
      </c>
    </row>
    <row r="668" customFormat="false" ht="15" hidden="false" customHeight="false" outlineLevel="0" collapsed="false">
      <c r="A668" s="55"/>
      <c r="B668" s="56"/>
      <c r="C668" s="57"/>
      <c r="D668" s="56"/>
      <c r="E668" s="56"/>
      <c r="F668" s="56"/>
      <c r="G668" s="50" t="str">
        <f aca="false">IF($A668="","",IF(ISNUMBER($G667),$G667+1,1))</f>
        <v/>
      </c>
      <c r="H668" s="51" t="str">
        <f aca="false">IF(OR(NOT(ISNUMBER($G668)),$G668&lt;2,NOT(ISNUMBER($C667)),$C667=0),"",$C668/$C667-1)</f>
        <v/>
      </c>
      <c r="I668" s="52" t="str">
        <f aca="false">IF(AND(ISNUMBER($G668),$G668&gt;=MA_SHORT),AVERAGE(INDEX($C$268:$C668,402-MA_SHORT):$C668),"")</f>
        <v/>
      </c>
      <c r="J668" s="52" t="str">
        <f aca="false">IF(AND(ISNUMBER($G668),$G668&gt;=MA_MED),AVERAGE(INDEX($C$268:$C668,402-MA_MED):$C668),"")</f>
        <v/>
      </c>
      <c r="K668" s="52" t="str">
        <f aca="false">IF(AND(ISNUMBER($G668),$G668&gt;=MA_LONG2),AVERAGE(INDEX($C$268:$C668,402-MA_LONG2):$C668),"")</f>
        <v/>
      </c>
      <c r="L668" s="53" t="str">
        <f aca="false">IF(AND(ISNUMBER($G668),$G668&gt;=21),STDEV(INDEX($H$608:$H668,62-20):$H668)*SQRT(245),"")</f>
        <v/>
      </c>
      <c r="M668" s="52" t="str">
        <f aca="false">IF(AND(ISNUMBER($G668),$G668&gt;=60),MAX(INDEX($D$468:$D668,202-60):$D668),"")</f>
        <v/>
      </c>
      <c r="N668" s="52" t="str">
        <f aca="false">IF(AND(ISNUMBER($G668),$G668&gt;=60),MIN(INDEX($E$468:$E668,202-60):$E668),"")</f>
        <v/>
      </c>
      <c r="O668" s="53" t="str">
        <f aca="false">IF(OR(NOT(ISNUMBER($C668)),NOT(ISNUMBER($M668)),$M668=0),"",$C668/$M668-1)</f>
        <v/>
      </c>
      <c r="P668" s="54"/>
      <c r="Q668" s="53" t="str">
        <f aca="false">IF(NOT(ISNUMBER($P668)),"",IFERROR(PERCENTRANK($P$5:$P$1204,$P668),""))</f>
        <v/>
      </c>
    </row>
    <row r="669" customFormat="false" ht="15" hidden="false" customHeight="false" outlineLevel="0" collapsed="false">
      <c r="A669" s="55"/>
      <c r="B669" s="56"/>
      <c r="C669" s="57"/>
      <c r="D669" s="56"/>
      <c r="E669" s="56"/>
      <c r="F669" s="56"/>
      <c r="G669" s="50" t="str">
        <f aca="false">IF($A669="","",IF(ISNUMBER($G668),$G668+1,1))</f>
        <v/>
      </c>
      <c r="H669" s="51" t="str">
        <f aca="false">IF(OR(NOT(ISNUMBER($G669)),$G669&lt;2,NOT(ISNUMBER($C668)),$C668=0),"",$C669/$C668-1)</f>
        <v/>
      </c>
      <c r="I669" s="52" t="str">
        <f aca="false">IF(AND(ISNUMBER($G669),$G669&gt;=MA_SHORT),AVERAGE(INDEX($C$269:$C669,402-MA_SHORT):$C669),"")</f>
        <v/>
      </c>
      <c r="J669" s="52" t="str">
        <f aca="false">IF(AND(ISNUMBER($G669),$G669&gt;=MA_MED),AVERAGE(INDEX($C$269:$C669,402-MA_MED):$C669),"")</f>
        <v/>
      </c>
      <c r="K669" s="52" t="str">
        <f aca="false">IF(AND(ISNUMBER($G669),$G669&gt;=MA_LONG2),AVERAGE(INDEX($C$269:$C669,402-MA_LONG2):$C669),"")</f>
        <v/>
      </c>
      <c r="L669" s="53" t="str">
        <f aca="false">IF(AND(ISNUMBER($G669),$G669&gt;=21),STDEV(INDEX($H$609:$H669,62-20):$H669)*SQRT(245),"")</f>
        <v/>
      </c>
      <c r="M669" s="52" t="str">
        <f aca="false">IF(AND(ISNUMBER($G669),$G669&gt;=60),MAX(INDEX($D$469:$D669,202-60):$D669),"")</f>
        <v/>
      </c>
      <c r="N669" s="52" t="str">
        <f aca="false">IF(AND(ISNUMBER($G669),$G669&gt;=60),MIN(INDEX($E$469:$E669,202-60):$E669),"")</f>
        <v/>
      </c>
      <c r="O669" s="53" t="str">
        <f aca="false">IF(OR(NOT(ISNUMBER($C669)),NOT(ISNUMBER($M669)),$M669=0),"",$C669/$M669-1)</f>
        <v/>
      </c>
      <c r="P669" s="54"/>
      <c r="Q669" s="53" t="str">
        <f aca="false">IF(NOT(ISNUMBER($P669)),"",IFERROR(PERCENTRANK($P$5:$P$1204,$P669),""))</f>
        <v/>
      </c>
    </row>
    <row r="670" customFormat="false" ht="15" hidden="false" customHeight="false" outlineLevel="0" collapsed="false">
      <c r="A670" s="55"/>
      <c r="B670" s="56"/>
      <c r="C670" s="57"/>
      <c r="D670" s="56"/>
      <c r="E670" s="56"/>
      <c r="F670" s="56"/>
      <c r="G670" s="50" t="str">
        <f aca="false">IF($A670="","",IF(ISNUMBER($G669),$G669+1,1))</f>
        <v/>
      </c>
      <c r="H670" s="51" t="str">
        <f aca="false">IF(OR(NOT(ISNUMBER($G670)),$G670&lt;2,NOT(ISNUMBER($C669)),$C669=0),"",$C670/$C669-1)</f>
        <v/>
      </c>
      <c r="I670" s="52" t="str">
        <f aca="false">IF(AND(ISNUMBER($G670),$G670&gt;=MA_SHORT),AVERAGE(INDEX($C$270:$C670,402-MA_SHORT):$C670),"")</f>
        <v/>
      </c>
      <c r="J670" s="52" t="str">
        <f aca="false">IF(AND(ISNUMBER($G670),$G670&gt;=MA_MED),AVERAGE(INDEX($C$270:$C670,402-MA_MED):$C670),"")</f>
        <v/>
      </c>
      <c r="K670" s="52" t="str">
        <f aca="false">IF(AND(ISNUMBER($G670),$G670&gt;=MA_LONG2),AVERAGE(INDEX($C$270:$C670,402-MA_LONG2):$C670),"")</f>
        <v/>
      </c>
      <c r="L670" s="53" t="str">
        <f aca="false">IF(AND(ISNUMBER($G670),$G670&gt;=21),STDEV(INDEX($H$610:$H670,62-20):$H670)*SQRT(245),"")</f>
        <v/>
      </c>
      <c r="M670" s="52" t="str">
        <f aca="false">IF(AND(ISNUMBER($G670),$G670&gt;=60),MAX(INDEX($D$470:$D670,202-60):$D670),"")</f>
        <v/>
      </c>
      <c r="N670" s="52" t="str">
        <f aca="false">IF(AND(ISNUMBER($G670),$G670&gt;=60),MIN(INDEX($E$470:$E670,202-60):$E670),"")</f>
        <v/>
      </c>
      <c r="O670" s="53" t="str">
        <f aca="false">IF(OR(NOT(ISNUMBER($C670)),NOT(ISNUMBER($M670)),$M670=0),"",$C670/$M670-1)</f>
        <v/>
      </c>
      <c r="P670" s="54"/>
      <c r="Q670" s="53" t="str">
        <f aca="false">IF(NOT(ISNUMBER($P670)),"",IFERROR(PERCENTRANK($P$5:$P$1204,$P670),""))</f>
        <v/>
      </c>
    </row>
    <row r="671" customFormat="false" ht="15" hidden="false" customHeight="false" outlineLevel="0" collapsed="false">
      <c r="A671" s="55"/>
      <c r="B671" s="56"/>
      <c r="C671" s="57"/>
      <c r="D671" s="56"/>
      <c r="E671" s="56"/>
      <c r="F671" s="56"/>
      <c r="G671" s="50" t="str">
        <f aca="false">IF($A671="","",IF(ISNUMBER($G670),$G670+1,1))</f>
        <v/>
      </c>
      <c r="H671" s="51" t="str">
        <f aca="false">IF(OR(NOT(ISNUMBER($G671)),$G671&lt;2,NOT(ISNUMBER($C670)),$C670=0),"",$C671/$C670-1)</f>
        <v/>
      </c>
      <c r="I671" s="52" t="str">
        <f aca="false">IF(AND(ISNUMBER($G671),$G671&gt;=MA_SHORT),AVERAGE(INDEX($C$271:$C671,402-MA_SHORT):$C671),"")</f>
        <v/>
      </c>
      <c r="J671" s="52" t="str">
        <f aca="false">IF(AND(ISNUMBER($G671),$G671&gt;=MA_MED),AVERAGE(INDEX($C$271:$C671,402-MA_MED):$C671),"")</f>
        <v/>
      </c>
      <c r="K671" s="52" t="str">
        <f aca="false">IF(AND(ISNUMBER($G671),$G671&gt;=MA_LONG2),AVERAGE(INDEX($C$271:$C671,402-MA_LONG2):$C671),"")</f>
        <v/>
      </c>
      <c r="L671" s="53" t="str">
        <f aca="false">IF(AND(ISNUMBER($G671),$G671&gt;=21),STDEV(INDEX($H$611:$H671,62-20):$H671)*SQRT(245),"")</f>
        <v/>
      </c>
      <c r="M671" s="52" t="str">
        <f aca="false">IF(AND(ISNUMBER($G671),$G671&gt;=60),MAX(INDEX($D$471:$D671,202-60):$D671),"")</f>
        <v/>
      </c>
      <c r="N671" s="52" t="str">
        <f aca="false">IF(AND(ISNUMBER($G671),$G671&gt;=60),MIN(INDEX($E$471:$E671,202-60):$E671),"")</f>
        <v/>
      </c>
      <c r="O671" s="53" t="str">
        <f aca="false">IF(OR(NOT(ISNUMBER($C671)),NOT(ISNUMBER($M671)),$M671=0),"",$C671/$M671-1)</f>
        <v/>
      </c>
      <c r="P671" s="54"/>
      <c r="Q671" s="53" t="str">
        <f aca="false">IF(NOT(ISNUMBER($P671)),"",IFERROR(PERCENTRANK($P$5:$P$1204,$P671),""))</f>
        <v/>
      </c>
    </row>
    <row r="672" customFormat="false" ht="15" hidden="false" customHeight="false" outlineLevel="0" collapsed="false">
      <c r="A672" s="55"/>
      <c r="B672" s="56"/>
      <c r="C672" s="57"/>
      <c r="D672" s="56"/>
      <c r="E672" s="56"/>
      <c r="F672" s="56"/>
      <c r="G672" s="50" t="str">
        <f aca="false">IF($A672="","",IF(ISNUMBER($G671),$G671+1,1))</f>
        <v/>
      </c>
      <c r="H672" s="51" t="str">
        <f aca="false">IF(OR(NOT(ISNUMBER($G672)),$G672&lt;2,NOT(ISNUMBER($C671)),$C671=0),"",$C672/$C671-1)</f>
        <v/>
      </c>
      <c r="I672" s="52" t="str">
        <f aca="false">IF(AND(ISNUMBER($G672),$G672&gt;=MA_SHORT),AVERAGE(INDEX($C$272:$C672,402-MA_SHORT):$C672),"")</f>
        <v/>
      </c>
      <c r="J672" s="52" t="str">
        <f aca="false">IF(AND(ISNUMBER($G672),$G672&gt;=MA_MED),AVERAGE(INDEX($C$272:$C672,402-MA_MED):$C672),"")</f>
        <v/>
      </c>
      <c r="K672" s="52" t="str">
        <f aca="false">IF(AND(ISNUMBER($G672),$G672&gt;=MA_LONG2),AVERAGE(INDEX($C$272:$C672,402-MA_LONG2):$C672),"")</f>
        <v/>
      </c>
      <c r="L672" s="53" t="str">
        <f aca="false">IF(AND(ISNUMBER($G672),$G672&gt;=21),STDEV(INDEX($H$612:$H672,62-20):$H672)*SQRT(245),"")</f>
        <v/>
      </c>
      <c r="M672" s="52" t="str">
        <f aca="false">IF(AND(ISNUMBER($G672),$G672&gt;=60),MAX(INDEX($D$472:$D672,202-60):$D672),"")</f>
        <v/>
      </c>
      <c r="N672" s="52" t="str">
        <f aca="false">IF(AND(ISNUMBER($G672),$G672&gt;=60),MIN(INDEX($E$472:$E672,202-60):$E672),"")</f>
        <v/>
      </c>
      <c r="O672" s="53" t="str">
        <f aca="false">IF(OR(NOT(ISNUMBER($C672)),NOT(ISNUMBER($M672)),$M672=0),"",$C672/$M672-1)</f>
        <v/>
      </c>
      <c r="P672" s="54"/>
      <c r="Q672" s="53" t="str">
        <f aca="false">IF(NOT(ISNUMBER($P672)),"",IFERROR(PERCENTRANK($P$5:$P$1204,$P672),""))</f>
        <v/>
      </c>
    </row>
    <row r="673" customFormat="false" ht="15" hidden="false" customHeight="false" outlineLevel="0" collapsed="false">
      <c r="A673" s="55"/>
      <c r="B673" s="56"/>
      <c r="C673" s="57"/>
      <c r="D673" s="56"/>
      <c r="E673" s="56"/>
      <c r="F673" s="56"/>
      <c r="G673" s="50" t="str">
        <f aca="false">IF($A673="","",IF(ISNUMBER($G672),$G672+1,1))</f>
        <v/>
      </c>
      <c r="H673" s="51" t="str">
        <f aca="false">IF(OR(NOT(ISNUMBER($G673)),$G673&lt;2,NOT(ISNUMBER($C672)),$C672=0),"",$C673/$C672-1)</f>
        <v/>
      </c>
      <c r="I673" s="52" t="str">
        <f aca="false">IF(AND(ISNUMBER($G673),$G673&gt;=MA_SHORT),AVERAGE(INDEX($C$273:$C673,402-MA_SHORT):$C673),"")</f>
        <v/>
      </c>
      <c r="J673" s="52" t="str">
        <f aca="false">IF(AND(ISNUMBER($G673),$G673&gt;=MA_MED),AVERAGE(INDEX($C$273:$C673,402-MA_MED):$C673),"")</f>
        <v/>
      </c>
      <c r="K673" s="52" t="str">
        <f aca="false">IF(AND(ISNUMBER($G673),$G673&gt;=MA_LONG2),AVERAGE(INDEX($C$273:$C673,402-MA_LONG2):$C673),"")</f>
        <v/>
      </c>
      <c r="L673" s="53" t="str">
        <f aca="false">IF(AND(ISNUMBER($G673),$G673&gt;=21),STDEV(INDEX($H$613:$H673,62-20):$H673)*SQRT(245),"")</f>
        <v/>
      </c>
      <c r="M673" s="52" t="str">
        <f aca="false">IF(AND(ISNUMBER($G673),$G673&gt;=60),MAX(INDEX($D$473:$D673,202-60):$D673),"")</f>
        <v/>
      </c>
      <c r="N673" s="52" t="str">
        <f aca="false">IF(AND(ISNUMBER($G673),$G673&gt;=60),MIN(INDEX($E$473:$E673,202-60):$E673),"")</f>
        <v/>
      </c>
      <c r="O673" s="53" t="str">
        <f aca="false">IF(OR(NOT(ISNUMBER($C673)),NOT(ISNUMBER($M673)),$M673=0),"",$C673/$M673-1)</f>
        <v/>
      </c>
      <c r="P673" s="54"/>
      <c r="Q673" s="53" t="str">
        <f aca="false">IF(NOT(ISNUMBER($P673)),"",IFERROR(PERCENTRANK($P$5:$P$1204,$P673),""))</f>
        <v/>
      </c>
    </row>
    <row r="674" customFormat="false" ht="15" hidden="false" customHeight="false" outlineLevel="0" collapsed="false">
      <c r="A674" s="55"/>
      <c r="B674" s="56"/>
      <c r="C674" s="57"/>
      <c r="D674" s="56"/>
      <c r="E674" s="56"/>
      <c r="F674" s="56"/>
      <c r="G674" s="50" t="str">
        <f aca="false">IF($A674="","",IF(ISNUMBER($G673),$G673+1,1))</f>
        <v/>
      </c>
      <c r="H674" s="51" t="str">
        <f aca="false">IF(OR(NOT(ISNUMBER($G674)),$G674&lt;2,NOT(ISNUMBER($C673)),$C673=0),"",$C674/$C673-1)</f>
        <v/>
      </c>
      <c r="I674" s="52" t="str">
        <f aca="false">IF(AND(ISNUMBER($G674),$G674&gt;=MA_SHORT),AVERAGE(INDEX($C$274:$C674,402-MA_SHORT):$C674),"")</f>
        <v/>
      </c>
      <c r="J674" s="52" t="str">
        <f aca="false">IF(AND(ISNUMBER($G674),$G674&gt;=MA_MED),AVERAGE(INDEX($C$274:$C674,402-MA_MED):$C674),"")</f>
        <v/>
      </c>
      <c r="K674" s="52" t="str">
        <f aca="false">IF(AND(ISNUMBER($G674),$G674&gt;=MA_LONG2),AVERAGE(INDEX($C$274:$C674,402-MA_LONG2):$C674),"")</f>
        <v/>
      </c>
      <c r="L674" s="53" t="str">
        <f aca="false">IF(AND(ISNUMBER($G674),$G674&gt;=21),STDEV(INDEX($H$614:$H674,62-20):$H674)*SQRT(245),"")</f>
        <v/>
      </c>
      <c r="M674" s="52" t="str">
        <f aca="false">IF(AND(ISNUMBER($G674),$G674&gt;=60),MAX(INDEX($D$474:$D674,202-60):$D674),"")</f>
        <v/>
      </c>
      <c r="N674" s="52" t="str">
        <f aca="false">IF(AND(ISNUMBER($G674),$G674&gt;=60),MIN(INDEX($E$474:$E674,202-60):$E674),"")</f>
        <v/>
      </c>
      <c r="O674" s="53" t="str">
        <f aca="false">IF(OR(NOT(ISNUMBER($C674)),NOT(ISNUMBER($M674)),$M674=0),"",$C674/$M674-1)</f>
        <v/>
      </c>
      <c r="P674" s="54"/>
      <c r="Q674" s="53" t="str">
        <f aca="false">IF(NOT(ISNUMBER($P674)),"",IFERROR(PERCENTRANK($P$5:$P$1204,$P674),""))</f>
        <v/>
      </c>
    </row>
    <row r="675" customFormat="false" ht="15" hidden="false" customHeight="false" outlineLevel="0" collapsed="false">
      <c r="A675" s="55"/>
      <c r="B675" s="56"/>
      <c r="C675" s="57"/>
      <c r="D675" s="56"/>
      <c r="E675" s="56"/>
      <c r="F675" s="56"/>
      <c r="G675" s="50" t="str">
        <f aca="false">IF($A675="","",IF(ISNUMBER($G674),$G674+1,1))</f>
        <v/>
      </c>
      <c r="H675" s="51" t="str">
        <f aca="false">IF(OR(NOT(ISNUMBER($G675)),$G675&lt;2,NOT(ISNUMBER($C674)),$C674=0),"",$C675/$C674-1)</f>
        <v/>
      </c>
      <c r="I675" s="52" t="str">
        <f aca="false">IF(AND(ISNUMBER($G675),$G675&gt;=MA_SHORT),AVERAGE(INDEX($C$275:$C675,402-MA_SHORT):$C675),"")</f>
        <v/>
      </c>
      <c r="J675" s="52" t="str">
        <f aca="false">IF(AND(ISNUMBER($G675),$G675&gt;=MA_MED),AVERAGE(INDEX($C$275:$C675,402-MA_MED):$C675),"")</f>
        <v/>
      </c>
      <c r="K675" s="52" t="str">
        <f aca="false">IF(AND(ISNUMBER($G675),$G675&gt;=MA_LONG2),AVERAGE(INDEX($C$275:$C675,402-MA_LONG2):$C675),"")</f>
        <v/>
      </c>
      <c r="L675" s="53" t="str">
        <f aca="false">IF(AND(ISNUMBER($G675),$G675&gt;=21),STDEV(INDEX($H$615:$H675,62-20):$H675)*SQRT(245),"")</f>
        <v/>
      </c>
      <c r="M675" s="52" t="str">
        <f aca="false">IF(AND(ISNUMBER($G675),$G675&gt;=60),MAX(INDEX($D$475:$D675,202-60):$D675),"")</f>
        <v/>
      </c>
      <c r="N675" s="52" t="str">
        <f aca="false">IF(AND(ISNUMBER($G675),$G675&gt;=60),MIN(INDEX($E$475:$E675,202-60):$E675),"")</f>
        <v/>
      </c>
      <c r="O675" s="53" t="str">
        <f aca="false">IF(OR(NOT(ISNUMBER($C675)),NOT(ISNUMBER($M675)),$M675=0),"",$C675/$M675-1)</f>
        <v/>
      </c>
      <c r="P675" s="54"/>
      <c r="Q675" s="53" t="str">
        <f aca="false">IF(NOT(ISNUMBER($P675)),"",IFERROR(PERCENTRANK($P$5:$P$1204,$P675),""))</f>
        <v/>
      </c>
    </row>
    <row r="676" customFormat="false" ht="15" hidden="false" customHeight="false" outlineLevel="0" collapsed="false">
      <c r="A676" s="55"/>
      <c r="B676" s="56"/>
      <c r="C676" s="57"/>
      <c r="D676" s="56"/>
      <c r="E676" s="56"/>
      <c r="F676" s="56"/>
      <c r="G676" s="50" t="str">
        <f aca="false">IF($A676="","",IF(ISNUMBER($G675),$G675+1,1))</f>
        <v/>
      </c>
      <c r="H676" s="51" t="str">
        <f aca="false">IF(OR(NOT(ISNUMBER($G676)),$G676&lt;2,NOT(ISNUMBER($C675)),$C675=0),"",$C676/$C675-1)</f>
        <v/>
      </c>
      <c r="I676" s="52" t="str">
        <f aca="false">IF(AND(ISNUMBER($G676),$G676&gt;=MA_SHORT),AVERAGE(INDEX($C$276:$C676,402-MA_SHORT):$C676),"")</f>
        <v/>
      </c>
      <c r="J676" s="52" t="str">
        <f aca="false">IF(AND(ISNUMBER($G676),$G676&gt;=MA_MED),AVERAGE(INDEX($C$276:$C676,402-MA_MED):$C676),"")</f>
        <v/>
      </c>
      <c r="K676" s="52" t="str">
        <f aca="false">IF(AND(ISNUMBER($G676),$G676&gt;=MA_LONG2),AVERAGE(INDEX($C$276:$C676,402-MA_LONG2):$C676),"")</f>
        <v/>
      </c>
      <c r="L676" s="53" t="str">
        <f aca="false">IF(AND(ISNUMBER($G676),$G676&gt;=21),STDEV(INDEX($H$616:$H676,62-20):$H676)*SQRT(245),"")</f>
        <v/>
      </c>
      <c r="M676" s="52" t="str">
        <f aca="false">IF(AND(ISNUMBER($G676),$G676&gt;=60),MAX(INDEX($D$476:$D676,202-60):$D676),"")</f>
        <v/>
      </c>
      <c r="N676" s="52" t="str">
        <f aca="false">IF(AND(ISNUMBER($G676),$G676&gt;=60),MIN(INDEX($E$476:$E676,202-60):$E676),"")</f>
        <v/>
      </c>
      <c r="O676" s="53" t="str">
        <f aca="false">IF(OR(NOT(ISNUMBER($C676)),NOT(ISNUMBER($M676)),$M676=0),"",$C676/$M676-1)</f>
        <v/>
      </c>
      <c r="P676" s="54"/>
      <c r="Q676" s="53" t="str">
        <f aca="false">IF(NOT(ISNUMBER($P676)),"",IFERROR(PERCENTRANK($P$5:$P$1204,$P676),""))</f>
        <v/>
      </c>
    </row>
    <row r="677" customFormat="false" ht="15" hidden="false" customHeight="false" outlineLevel="0" collapsed="false">
      <c r="A677" s="55"/>
      <c r="B677" s="56"/>
      <c r="C677" s="57"/>
      <c r="D677" s="56"/>
      <c r="E677" s="56"/>
      <c r="F677" s="56"/>
      <c r="G677" s="50" t="str">
        <f aca="false">IF($A677="","",IF(ISNUMBER($G676),$G676+1,1))</f>
        <v/>
      </c>
      <c r="H677" s="51" t="str">
        <f aca="false">IF(OR(NOT(ISNUMBER($G677)),$G677&lt;2,NOT(ISNUMBER($C676)),$C676=0),"",$C677/$C676-1)</f>
        <v/>
      </c>
      <c r="I677" s="52" t="str">
        <f aca="false">IF(AND(ISNUMBER($G677),$G677&gt;=MA_SHORT),AVERAGE(INDEX($C$277:$C677,402-MA_SHORT):$C677),"")</f>
        <v/>
      </c>
      <c r="J677" s="52" t="str">
        <f aca="false">IF(AND(ISNUMBER($G677),$G677&gt;=MA_MED),AVERAGE(INDEX($C$277:$C677,402-MA_MED):$C677),"")</f>
        <v/>
      </c>
      <c r="K677" s="52" t="str">
        <f aca="false">IF(AND(ISNUMBER($G677),$G677&gt;=MA_LONG2),AVERAGE(INDEX($C$277:$C677,402-MA_LONG2):$C677),"")</f>
        <v/>
      </c>
      <c r="L677" s="53" t="str">
        <f aca="false">IF(AND(ISNUMBER($G677),$G677&gt;=21),STDEV(INDEX($H$617:$H677,62-20):$H677)*SQRT(245),"")</f>
        <v/>
      </c>
      <c r="M677" s="52" t="str">
        <f aca="false">IF(AND(ISNUMBER($G677),$G677&gt;=60),MAX(INDEX($D$477:$D677,202-60):$D677),"")</f>
        <v/>
      </c>
      <c r="N677" s="52" t="str">
        <f aca="false">IF(AND(ISNUMBER($G677),$G677&gt;=60),MIN(INDEX($E$477:$E677,202-60):$E677),"")</f>
        <v/>
      </c>
      <c r="O677" s="53" t="str">
        <f aca="false">IF(OR(NOT(ISNUMBER($C677)),NOT(ISNUMBER($M677)),$M677=0),"",$C677/$M677-1)</f>
        <v/>
      </c>
      <c r="P677" s="54"/>
      <c r="Q677" s="53" t="str">
        <f aca="false">IF(NOT(ISNUMBER($P677)),"",IFERROR(PERCENTRANK($P$5:$P$1204,$P677),""))</f>
        <v/>
      </c>
    </row>
    <row r="678" customFormat="false" ht="15" hidden="false" customHeight="false" outlineLevel="0" collapsed="false">
      <c r="A678" s="55"/>
      <c r="B678" s="56"/>
      <c r="C678" s="57"/>
      <c r="D678" s="56"/>
      <c r="E678" s="56"/>
      <c r="F678" s="56"/>
      <c r="G678" s="50" t="str">
        <f aca="false">IF($A678="","",IF(ISNUMBER($G677),$G677+1,1))</f>
        <v/>
      </c>
      <c r="H678" s="51" t="str">
        <f aca="false">IF(OR(NOT(ISNUMBER($G678)),$G678&lt;2,NOT(ISNUMBER($C677)),$C677=0),"",$C678/$C677-1)</f>
        <v/>
      </c>
      <c r="I678" s="52" t="str">
        <f aca="false">IF(AND(ISNUMBER($G678),$G678&gt;=MA_SHORT),AVERAGE(INDEX($C$278:$C678,402-MA_SHORT):$C678),"")</f>
        <v/>
      </c>
      <c r="J678" s="52" t="str">
        <f aca="false">IF(AND(ISNUMBER($G678),$G678&gt;=MA_MED),AVERAGE(INDEX($C$278:$C678,402-MA_MED):$C678),"")</f>
        <v/>
      </c>
      <c r="K678" s="52" t="str">
        <f aca="false">IF(AND(ISNUMBER($G678),$G678&gt;=MA_LONG2),AVERAGE(INDEX($C$278:$C678,402-MA_LONG2):$C678),"")</f>
        <v/>
      </c>
      <c r="L678" s="53" t="str">
        <f aca="false">IF(AND(ISNUMBER($G678),$G678&gt;=21),STDEV(INDEX($H$618:$H678,62-20):$H678)*SQRT(245),"")</f>
        <v/>
      </c>
      <c r="M678" s="52" t="str">
        <f aca="false">IF(AND(ISNUMBER($G678),$G678&gt;=60),MAX(INDEX($D$478:$D678,202-60):$D678),"")</f>
        <v/>
      </c>
      <c r="N678" s="52" t="str">
        <f aca="false">IF(AND(ISNUMBER($G678),$G678&gt;=60),MIN(INDEX($E$478:$E678,202-60):$E678),"")</f>
        <v/>
      </c>
      <c r="O678" s="53" t="str">
        <f aca="false">IF(OR(NOT(ISNUMBER($C678)),NOT(ISNUMBER($M678)),$M678=0),"",$C678/$M678-1)</f>
        <v/>
      </c>
      <c r="P678" s="54"/>
      <c r="Q678" s="53" t="str">
        <f aca="false">IF(NOT(ISNUMBER($P678)),"",IFERROR(PERCENTRANK($P$5:$P$1204,$P678),""))</f>
        <v/>
      </c>
    </row>
    <row r="679" customFormat="false" ht="15" hidden="false" customHeight="false" outlineLevel="0" collapsed="false">
      <c r="A679" s="55"/>
      <c r="B679" s="56"/>
      <c r="C679" s="57"/>
      <c r="D679" s="56"/>
      <c r="E679" s="56"/>
      <c r="F679" s="56"/>
      <c r="G679" s="50" t="str">
        <f aca="false">IF($A679="","",IF(ISNUMBER($G678),$G678+1,1))</f>
        <v/>
      </c>
      <c r="H679" s="51" t="str">
        <f aca="false">IF(OR(NOT(ISNUMBER($G679)),$G679&lt;2,NOT(ISNUMBER($C678)),$C678=0),"",$C679/$C678-1)</f>
        <v/>
      </c>
      <c r="I679" s="52" t="str">
        <f aca="false">IF(AND(ISNUMBER($G679),$G679&gt;=MA_SHORT),AVERAGE(INDEX($C$279:$C679,402-MA_SHORT):$C679),"")</f>
        <v/>
      </c>
      <c r="J679" s="52" t="str">
        <f aca="false">IF(AND(ISNUMBER($G679),$G679&gt;=MA_MED),AVERAGE(INDEX($C$279:$C679,402-MA_MED):$C679),"")</f>
        <v/>
      </c>
      <c r="K679" s="52" t="str">
        <f aca="false">IF(AND(ISNUMBER($G679),$G679&gt;=MA_LONG2),AVERAGE(INDEX($C$279:$C679,402-MA_LONG2):$C679),"")</f>
        <v/>
      </c>
      <c r="L679" s="53" t="str">
        <f aca="false">IF(AND(ISNUMBER($G679),$G679&gt;=21),STDEV(INDEX($H$619:$H679,62-20):$H679)*SQRT(245),"")</f>
        <v/>
      </c>
      <c r="M679" s="52" t="str">
        <f aca="false">IF(AND(ISNUMBER($G679),$G679&gt;=60),MAX(INDEX($D$479:$D679,202-60):$D679),"")</f>
        <v/>
      </c>
      <c r="N679" s="52" t="str">
        <f aca="false">IF(AND(ISNUMBER($G679),$G679&gt;=60),MIN(INDEX($E$479:$E679,202-60):$E679),"")</f>
        <v/>
      </c>
      <c r="O679" s="53" t="str">
        <f aca="false">IF(OR(NOT(ISNUMBER($C679)),NOT(ISNUMBER($M679)),$M679=0),"",$C679/$M679-1)</f>
        <v/>
      </c>
      <c r="P679" s="54"/>
      <c r="Q679" s="53" t="str">
        <f aca="false">IF(NOT(ISNUMBER($P679)),"",IFERROR(PERCENTRANK($P$5:$P$1204,$P679),""))</f>
        <v/>
      </c>
    </row>
    <row r="680" customFormat="false" ht="15" hidden="false" customHeight="false" outlineLevel="0" collapsed="false">
      <c r="A680" s="55"/>
      <c r="B680" s="56"/>
      <c r="C680" s="57"/>
      <c r="D680" s="56"/>
      <c r="E680" s="56"/>
      <c r="F680" s="56"/>
      <c r="G680" s="50" t="str">
        <f aca="false">IF($A680="","",IF(ISNUMBER($G679),$G679+1,1))</f>
        <v/>
      </c>
      <c r="H680" s="51" t="str">
        <f aca="false">IF(OR(NOT(ISNUMBER($G680)),$G680&lt;2,NOT(ISNUMBER($C679)),$C679=0),"",$C680/$C679-1)</f>
        <v/>
      </c>
      <c r="I680" s="52" t="str">
        <f aca="false">IF(AND(ISNUMBER($G680),$G680&gt;=MA_SHORT),AVERAGE(INDEX($C$280:$C680,402-MA_SHORT):$C680),"")</f>
        <v/>
      </c>
      <c r="J680" s="52" t="str">
        <f aca="false">IF(AND(ISNUMBER($G680),$G680&gt;=MA_MED),AVERAGE(INDEX($C$280:$C680,402-MA_MED):$C680),"")</f>
        <v/>
      </c>
      <c r="K680" s="52" t="str">
        <f aca="false">IF(AND(ISNUMBER($G680),$G680&gt;=MA_LONG2),AVERAGE(INDEX($C$280:$C680,402-MA_LONG2):$C680),"")</f>
        <v/>
      </c>
      <c r="L680" s="53" t="str">
        <f aca="false">IF(AND(ISNUMBER($G680),$G680&gt;=21),STDEV(INDEX($H$620:$H680,62-20):$H680)*SQRT(245),"")</f>
        <v/>
      </c>
      <c r="M680" s="52" t="str">
        <f aca="false">IF(AND(ISNUMBER($G680),$G680&gt;=60),MAX(INDEX($D$480:$D680,202-60):$D680),"")</f>
        <v/>
      </c>
      <c r="N680" s="52" t="str">
        <f aca="false">IF(AND(ISNUMBER($G680),$G680&gt;=60),MIN(INDEX($E$480:$E680,202-60):$E680),"")</f>
        <v/>
      </c>
      <c r="O680" s="53" t="str">
        <f aca="false">IF(OR(NOT(ISNUMBER($C680)),NOT(ISNUMBER($M680)),$M680=0),"",$C680/$M680-1)</f>
        <v/>
      </c>
      <c r="P680" s="54"/>
      <c r="Q680" s="53" t="str">
        <f aca="false">IF(NOT(ISNUMBER($P680)),"",IFERROR(PERCENTRANK($P$5:$P$1204,$P680),""))</f>
        <v/>
      </c>
    </row>
    <row r="681" customFormat="false" ht="15" hidden="false" customHeight="false" outlineLevel="0" collapsed="false">
      <c r="A681" s="55"/>
      <c r="B681" s="56"/>
      <c r="C681" s="57"/>
      <c r="D681" s="56"/>
      <c r="E681" s="56"/>
      <c r="F681" s="56"/>
      <c r="G681" s="50" t="str">
        <f aca="false">IF($A681="","",IF(ISNUMBER($G680),$G680+1,1))</f>
        <v/>
      </c>
      <c r="H681" s="51" t="str">
        <f aca="false">IF(OR(NOT(ISNUMBER($G681)),$G681&lt;2,NOT(ISNUMBER($C680)),$C680=0),"",$C681/$C680-1)</f>
        <v/>
      </c>
      <c r="I681" s="52" t="str">
        <f aca="false">IF(AND(ISNUMBER($G681),$G681&gt;=MA_SHORT),AVERAGE(INDEX($C$281:$C681,402-MA_SHORT):$C681),"")</f>
        <v/>
      </c>
      <c r="J681" s="52" t="str">
        <f aca="false">IF(AND(ISNUMBER($G681),$G681&gt;=MA_MED),AVERAGE(INDEX($C$281:$C681,402-MA_MED):$C681),"")</f>
        <v/>
      </c>
      <c r="K681" s="52" t="str">
        <f aca="false">IF(AND(ISNUMBER($G681),$G681&gt;=MA_LONG2),AVERAGE(INDEX($C$281:$C681,402-MA_LONG2):$C681),"")</f>
        <v/>
      </c>
      <c r="L681" s="53" t="str">
        <f aca="false">IF(AND(ISNUMBER($G681),$G681&gt;=21),STDEV(INDEX($H$621:$H681,62-20):$H681)*SQRT(245),"")</f>
        <v/>
      </c>
      <c r="M681" s="52" t="str">
        <f aca="false">IF(AND(ISNUMBER($G681),$G681&gt;=60),MAX(INDEX($D$481:$D681,202-60):$D681),"")</f>
        <v/>
      </c>
      <c r="N681" s="52" t="str">
        <f aca="false">IF(AND(ISNUMBER($G681),$G681&gt;=60),MIN(INDEX($E$481:$E681,202-60):$E681),"")</f>
        <v/>
      </c>
      <c r="O681" s="53" t="str">
        <f aca="false">IF(OR(NOT(ISNUMBER($C681)),NOT(ISNUMBER($M681)),$M681=0),"",$C681/$M681-1)</f>
        <v/>
      </c>
      <c r="P681" s="54"/>
      <c r="Q681" s="53" t="str">
        <f aca="false">IF(NOT(ISNUMBER($P681)),"",IFERROR(PERCENTRANK($P$5:$P$1204,$P681),""))</f>
        <v/>
      </c>
    </row>
    <row r="682" customFormat="false" ht="15" hidden="false" customHeight="false" outlineLevel="0" collapsed="false">
      <c r="A682" s="55"/>
      <c r="B682" s="56"/>
      <c r="C682" s="57"/>
      <c r="D682" s="56"/>
      <c r="E682" s="56"/>
      <c r="F682" s="56"/>
      <c r="G682" s="50" t="str">
        <f aca="false">IF($A682="","",IF(ISNUMBER($G681),$G681+1,1))</f>
        <v/>
      </c>
      <c r="H682" s="51" t="str">
        <f aca="false">IF(OR(NOT(ISNUMBER($G682)),$G682&lt;2,NOT(ISNUMBER($C681)),$C681=0),"",$C682/$C681-1)</f>
        <v/>
      </c>
      <c r="I682" s="52" t="str">
        <f aca="false">IF(AND(ISNUMBER($G682),$G682&gt;=MA_SHORT),AVERAGE(INDEX($C$282:$C682,402-MA_SHORT):$C682),"")</f>
        <v/>
      </c>
      <c r="J682" s="52" t="str">
        <f aca="false">IF(AND(ISNUMBER($G682),$G682&gt;=MA_MED),AVERAGE(INDEX($C$282:$C682,402-MA_MED):$C682),"")</f>
        <v/>
      </c>
      <c r="K682" s="52" t="str">
        <f aca="false">IF(AND(ISNUMBER($G682),$G682&gt;=MA_LONG2),AVERAGE(INDEX($C$282:$C682,402-MA_LONG2):$C682),"")</f>
        <v/>
      </c>
      <c r="L682" s="53" t="str">
        <f aca="false">IF(AND(ISNUMBER($G682),$G682&gt;=21),STDEV(INDEX($H$622:$H682,62-20):$H682)*SQRT(245),"")</f>
        <v/>
      </c>
      <c r="M682" s="52" t="str">
        <f aca="false">IF(AND(ISNUMBER($G682),$G682&gt;=60),MAX(INDEX($D$482:$D682,202-60):$D682),"")</f>
        <v/>
      </c>
      <c r="N682" s="52" t="str">
        <f aca="false">IF(AND(ISNUMBER($G682),$G682&gt;=60),MIN(INDEX($E$482:$E682,202-60):$E682),"")</f>
        <v/>
      </c>
      <c r="O682" s="53" t="str">
        <f aca="false">IF(OR(NOT(ISNUMBER($C682)),NOT(ISNUMBER($M682)),$M682=0),"",$C682/$M682-1)</f>
        <v/>
      </c>
      <c r="P682" s="54"/>
      <c r="Q682" s="53" t="str">
        <f aca="false">IF(NOT(ISNUMBER($P682)),"",IFERROR(PERCENTRANK($P$5:$P$1204,$P682),""))</f>
        <v/>
      </c>
    </row>
    <row r="683" customFormat="false" ht="15" hidden="false" customHeight="false" outlineLevel="0" collapsed="false">
      <c r="A683" s="55"/>
      <c r="B683" s="56"/>
      <c r="C683" s="57"/>
      <c r="D683" s="56"/>
      <c r="E683" s="56"/>
      <c r="F683" s="56"/>
      <c r="G683" s="50" t="str">
        <f aca="false">IF($A683="","",IF(ISNUMBER($G682),$G682+1,1))</f>
        <v/>
      </c>
      <c r="H683" s="51" t="str">
        <f aca="false">IF(OR(NOT(ISNUMBER($G683)),$G683&lt;2,NOT(ISNUMBER($C682)),$C682=0),"",$C683/$C682-1)</f>
        <v/>
      </c>
      <c r="I683" s="52" t="str">
        <f aca="false">IF(AND(ISNUMBER($G683),$G683&gt;=MA_SHORT),AVERAGE(INDEX($C$283:$C683,402-MA_SHORT):$C683),"")</f>
        <v/>
      </c>
      <c r="J683" s="52" t="str">
        <f aca="false">IF(AND(ISNUMBER($G683),$G683&gt;=MA_MED),AVERAGE(INDEX($C$283:$C683,402-MA_MED):$C683),"")</f>
        <v/>
      </c>
      <c r="K683" s="52" t="str">
        <f aca="false">IF(AND(ISNUMBER($G683),$G683&gt;=MA_LONG2),AVERAGE(INDEX($C$283:$C683,402-MA_LONG2):$C683),"")</f>
        <v/>
      </c>
      <c r="L683" s="53" t="str">
        <f aca="false">IF(AND(ISNUMBER($G683),$G683&gt;=21),STDEV(INDEX($H$623:$H683,62-20):$H683)*SQRT(245),"")</f>
        <v/>
      </c>
      <c r="M683" s="52" t="str">
        <f aca="false">IF(AND(ISNUMBER($G683),$G683&gt;=60),MAX(INDEX($D$483:$D683,202-60):$D683),"")</f>
        <v/>
      </c>
      <c r="N683" s="52" t="str">
        <f aca="false">IF(AND(ISNUMBER($G683),$G683&gt;=60),MIN(INDEX($E$483:$E683,202-60):$E683),"")</f>
        <v/>
      </c>
      <c r="O683" s="53" t="str">
        <f aca="false">IF(OR(NOT(ISNUMBER($C683)),NOT(ISNUMBER($M683)),$M683=0),"",$C683/$M683-1)</f>
        <v/>
      </c>
      <c r="P683" s="54"/>
      <c r="Q683" s="53" t="str">
        <f aca="false">IF(NOT(ISNUMBER($P683)),"",IFERROR(PERCENTRANK($P$5:$P$1204,$P683),""))</f>
        <v/>
      </c>
    </row>
    <row r="684" customFormat="false" ht="15" hidden="false" customHeight="false" outlineLevel="0" collapsed="false">
      <c r="A684" s="55"/>
      <c r="B684" s="56"/>
      <c r="C684" s="57"/>
      <c r="D684" s="56"/>
      <c r="E684" s="56"/>
      <c r="F684" s="56"/>
      <c r="G684" s="50" t="str">
        <f aca="false">IF($A684="","",IF(ISNUMBER($G683),$G683+1,1))</f>
        <v/>
      </c>
      <c r="H684" s="51" t="str">
        <f aca="false">IF(OR(NOT(ISNUMBER($G684)),$G684&lt;2,NOT(ISNUMBER($C683)),$C683=0),"",$C684/$C683-1)</f>
        <v/>
      </c>
      <c r="I684" s="52" t="str">
        <f aca="false">IF(AND(ISNUMBER($G684),$G684&gt;=MA_SHORT),AVERAGE(INDEX($C$284:$C684,402-MA_SHORT):$C684),"")</f>
        <v/>
      </c>
      <c r="J684" s="52" t="str">
        <f aca="false">IF(AND(ISNUMBER($G684),$G684&gt;=MA_MED),AVERAGE(INDEX($C$284:$C684,402-MA_MED):$C684),"")</f>
        <v/>
      </c>
      <c r="K684" s="52" t="str">
        <f aca="false">IF(AND(ISNUMBER($G684),$G684&gt;=MA_LONG2),AVERAGE(INDEX($C$284:$C684,402-MA_LONG2):$C684),"")</f>
        <v/>
      </c>
      <c r="L684" s="53" t="str">
        <f aca="false">IF(AND(ISNUMBER($G684),$G684&gt;=21),STDEV(INDEX($H$624:$H684,62-20):$H684)*SQRT(245),"")</f>
        <v/>
      </c>
      <c r="M684" s="52" t="str">
        <f aca="false">IF(AND(ISNUMBER($G684),$G684&gt;=60),MAX(INDEX($D$484:$D684,202-60):$D684),"")</f>
        <v/>
      </c>
      <c r="N684" s="52" t="str">
        <f aca="false">IF(AND(ISNUMBER($G684),$G684&gt;=60),MIN(INDEX($E$484:$E684,202-60):$E684),"")</f>
        <v/>
      </c>
      <c r="O684" s="53" t="str">
        <f aca="false">IF(OR(NOT(ISNUMBER($C684)),NOT(ISNUMBER($M684)),$M684=0),"",$C684/$M684-1)</f>
        <v/>
      </c>
      <c r="P684" s="54"/>
      <c r="Q684" s="53" t="str">
        <f aca="false">IF(NOT(ISNUMBER($P684)),"",IFERROR(PERCENTRANK($P$5:$P$1204,$P684),""))</f>
        <v/>
      </c>
    </row>
    <row r="685" customFormat="false" ht="15" hidden="false" customHeight="false" outlineLevel="0" collapsed="false">
      <c r="A685" s="55"/>
      <c r="B685" s="56"/>
      <c r="C685" s="57"/>
      <c r="D685" s="56"/>
      <c r="E685" s="56"/>
      <c r="F685" s="56"/>
      <c r="G685" s="50" t="str">
        <f aca="false">IF($A685="","",IF(ISNUMBER($G684),$G684+1,1))</f>
        <v/>
      </c>
      <c r="H685" s="51" t="str">
        <f aca="false">IF(OR(NOT(ISNUMBER($G685)),$G685&lt;2,NOT(ISNUMBER($C684)),$C684=0),"",$C685/$C684-1)</f>
        <v/>
      </c>
      <c r="I685" s="52" t="str">
        <f aca="false">IF(AND(ISNUMBER($G685),$G685&gt;=MA_SHORT),AVERAGE(INDEX($C$285:$C685,402-MA_SHORT):$C685),"")</f>
        <v/>
      </c>
      <c r="J685" s="52" t="str">
        <f aca="false">IF(AND(ISNUMBER($G685),$G685&gt;=MA_MED),AVERAGE(INDEX($C$285:$C685,402-MA_MED):$C685),"")</f>
        <v/>
      </c>
      <c r="K685" s="52" t="str">
        <f aca="false">IF(AND(ISNUMBER($G685),$G685&gt;=MA_LONG2),AVERAGE(INDEX($C$285:$C685,402-MA_LONG2):$C685),"")</f>
        <v/>
      </c>
      <c r="L685" s="53" t="str">
        <f aca="false">IF(AND(ISNUMBER($G685),$G685&gt;=21),STDEV(INDEX($H$625:$H685,62-20):$H685)*SQRT(245),"")</f>
        <v/>
      </c>
      <c r="M685" s="52" t="str">
        <f aca="false">IF(AND(ISNUMBER($G685),$G685&gt;=60),MAX(INDEX($D$485:$D685,202-60):$D685),"")</f>
        <v/>
      </c>
      <c r="N685" s="52" t="str">
        <f aca="false">IF(AND(ISNUMBER($G685),$G685&gt;=60),MIN(INDEX($E$485:$E685,202-60):$E685),"")</f>
        <v/>
      </c>
      <c r="O685" s="53" t="str">
        <f aca="false">IF(OR(NOT(ISNUMBER($C685)),NOT(ISNUMBER($M685)),$M685=0),"",$C685/$M685-1)</f>
        <v/>
      </c>
      <c r="P685" s="54"/>
      <c r="Q685" s="53" t="str">
        <f aca="false">IF(NOT(ISNUMBER($P685)),"",IFERROR(PERCENTRANK($P$5:$P$1204,$P685),""))</f>
        <v/>
      </c>
    </row>
    <row r="686" customFormat="false" ht="15" hidden="false" customHeight="false" outlineLevel="0" collapsed="false">
      <c r="A686" s="55"/>
      <c r="B686" s="56"/>
      <c r="C686" s="57"/>
      <c r="D686" s="56"/>
      <c r="E686" s="56"/>
      <c r="F686" s="56"/>
      <c r="G686" s="50" t="str">
        <f aca="false">IF($A686="","",IF(ISNUMBER($G685),$G685+1,1))</f>
        <v/>
      </c>
      <c r="H686" s="51" t="str">
        <f aca="false">IF(OR(NOT(ISNUMBER($G686)),$G686&lt;2,NOT(ISNUMBER($C685)),$C685=0),"",$C686/$C685-1)</f>
        <v/>
      </c>
      <c r="I686" s="52" t="str">
        <f aca="false">IF(AND(ISNUMBER($G686),$G686&gt;=MA_SHORT),AVERAGE(INDEX($C$286:$C686,402-MA_SHORT):$C686),"")</f>
        <v/>
      </c>
      <c r="J686" s="52" t="str">
        <f aca="false">IF(AND(ISNUMBER($G686),$G686&gt;=MA_MED),AVERAGE(INDEX($C$286:$C686,402-MA_MED):$C686),"")</f>
        <v/>
      </c>
      <c r="K686" s="52" t="str">
        <f aca="false">IF(AND(ISNUMBER($G686),$G686&gt;=MA_LONG2),AVERAGE(INDEX($C$286:$C686,402-MA_LONG2):$C686),"")</f>
        <v/>
      </c>
      <c r="L686" s="53" t="str">
        <f aca="false">IF(AND(ISNUMBER($G686),$G686&gt;=21),STDEV(INDEX($H$626:$H686,62-20):$H686)*SQRT(245),"")</f>
        <v/>
      </c>
      <c r="M686" s="52" t="str">
        <f aca="false">IF(AND(ISNUMBER($G686),$G686&gt;=60),MAX(INDEX($D$486:$D686,202-60):$D686),"")</f>
        <v/>
      </c>
      <c r="N686" s="52" t="str">
        <f aca="false">IF(AND(ISNUMBER($G686),$G686&gt;=60),MIN(INDEX($E$486:$E686,202-60):$E686),"")</f>
        <v/>
      </c>
      <c r="O686" s="53" t="str">
        <f aca="false">IF(OR(NOT(ISNUMBER($C686)),NOT(ISNUMBER($M686)),$M686=0),"",$C686/$M686-1)</f>
        <v/>
      </c>
      <c r="P686" s="54"/>
      <c r="Q686" s="53" t="str">
        <f aca="false">IF(NOT(ISNUMBER($P686)),"",IFERROR(PERCENTRANK($P$5:$P$1204,$P686),""))</f>
        <v/>
      </c>
    </row>
    <row r="687" customFormat="false" ht="15" hidden="false" customHeight="false" outlineLevel="0" collapsed="false">
      <c r="A687" s="55"/>
      <c r="B687" s="56"/>
      <c r="C687" s="57"/>
      <c r="D687" s="56"/>
      <c r="E687" s="56"/>
      <c r="F687" s="56"/>
      <c r="G687" s="50" t="str">
        <f aca="false">IF($A687="","",IF(ISNUMBER($G686),$G686+1,1))</f>
        <v/>
      </c>
      <c r="H687" s="51" t="str">
        <f aca="false">IF(OR(NOT(ISNUMBER($G687)),$G687&lt;2,NOT(ISNUMBER($C686)),$C686=0),"",$C687/$C686-1)</f>
        <v/>
      </c>
      <c r="I687" s="52" t="str">
        <f aca="false">IF(AND(ISNUMBER($G687),$G687&gt;=MA_SHORT),AVERAGE(INDEX($C$287:$C687,402-MA_SHORT):$C687),"")</f>
        <v/>
      </c>
      <c r="J687" s="52" t="str">
        <f aca="false">IF(AND(ISNUMBER($G687),$G687&gt;=MA_MED),AVERAGE(INDEX($C$287:$C687,402-MA_MED):$C687),"")</f>
        <v/>
      </c>
      <c r="K687" s="52" t="str">
        <f aca="false">IF(AND(ISNUMBER($G687),$G687&gt;=MA_LONG2),AVERAGE(INDEX($C$287:$C687,402-MA_LONG2):$C687),"")</f>
        <v/>
      </c>
      <c r="L687" s="53" t="str">
        <f aca="false">IF(AND(ISNUMBER($G687),$G687&gt;=21),STDEV(INDEX($H$627:$H687,62-20):$H687)*SQRT(245),"")</f>
        <v/>
      </c>
      <c r="M687" s="52" t="str">
        <f aca="false">IF(AND(ISNUMBER($G687),$G687&gt;=60),MAX(INDEX($D$487:$D687,202-60):$D687),"")</f>
        <v/>
      </c>
      <c r="N687" s="52" t="str">
        <f aca="false">IF(AND(ISNUMBER($G687),$G687&gt;=60),MIN(INDEX($E$487:$E687,202-60):$E687),"")</f>
        <v/>
      </c>
      <c r="O687" s="53" t="str">
        <f aca="false">IF(OR(NOT(ISNUMBER($C687)),NOT(ISNUMBER($M687)),$M687=0),"",$C687/$M687-1)</f>
        <v/>
      </c>
      <c r="P687" s="54"/>
      <c r="Q687" s="53" t="str">
        <f aca="false">IF(NOT(ISNUMBER($P687)),"",IFERROR(PERCENTRANK($P$5:$P$1204,$P687),""))</f>
        <v/>
      </c>
    </row>
    <row r="688" customFormat="false" ht="15" hidden="false" customHeight="false" outlineLevel="0" collapsed="false">
      <c r="A688" s="55"/>
      <c r="B688" s="56"/>
      <c r="C688" s="57"/>
      <c r="D688" s="56"/>
      <c r="E688" s="56"/>
      <c r="F688" s="56"/>
      <c r="G688" s="50" t="str">
        <f aca="false">IF($A688="","",IF(ISNUMBER($G687),$G687+1,1))</f>
        <v/>
      </c>
      <c r="H688" s="51" t="str">
        <f aca="false">IF(OR(NOT(ISNUMBER($G688)),$G688&lt;2,NOT(ISNUMBER($C687)),$C687=0),"",$C688/$C687-1)</f>
        <v/>
      </c>
      <c r="I688" s="52" t="str">
        <f aca="false">IF(AND(ISNUMBER($G688),$G688&gt;=MA_SHORT),AVERAGE(INDEX($C$288:$C688,402-MA_SHORT):$C688),"")</f>
        <v/>
      </c>
      <c r="J688" s="52" t="str">
        <f aca="false">IF(AND(ISNUMBER($G688),$G688&gt;=MA_MED),AVERAGE(INDEX($C$288:$C688,402-MA_MED):$C688),"")</f>
        <v/>
      </c>
      <c r="K688" s="52" t="str">
        <f aca="false">IF(AND(ISNUMBER($G688),$G688&gt;=MA_LONG2),AVERAGE(INDEX($C$288:$C688,402-MA_LONG2):$C688),"")</f>
        <v/>
      </c>
      <c r="L688" s="53" t="str">
        <f aca="false">IF(AND(ISNUMBER($G688),$G688&gt;=21),STDEV(INDEX($H$628:$H688,62-20):$H688)*SQRT(245),"")</f>
        <v/>
      </c>
      <c r="M688" s="52" t="str">
        <f aca="false">IF(AND(ISNUMBER($G688),$G688&gt;=60),MAX(INDEX($D$488:$D688,202-60):$D688),"")</f>
        <v/>
      </c>
      <c r="N688" s="52" t="str">
        <f aca="false">IF(AND(ISNUMBER($G688),$G688&gt;=60),MIN(INDEX($E$488:$E688,202-60):$E688),"")</f>
        <v/>
      </c>
      <c r="O688" s="53" t="str">
        <f aca="false">IF(OR(NOT(ISNUMBER($C688)),NOT(ISNUMBER($M688)),$M688=0),"",$C688/$M688-1)</f>
        <v/>
      </c>
      <c r="P688" s="54"/>
      <c r="Q688" s="53" t="str">
        <f aca="false">IF(NOT(ISNUMBER($P688)),"",IFERROR(PERCENTRANK($P$5:$P$1204,$P688),""))</f>
        <v/>
      </c>
    </row>
    <row r="689" customFormat="false" ht="15" hidden="false" customHeight="false" outlineLevel="0" collapsed="false">
      <c r="A689" s="55"/>
      <c r="B689" s="56"/>
      <c r="C689" s="57"/>
      <c r="D689" s="56"/>
      <c r="E689" s="56"/>
      <c r="F689" s="56"/>
      <c r="G689" s="50" t="str">
        <f aca="false">IF($A689="","",IF(ISNUMBER($G688),$G688+1,1))</f>
        <v/>
      </c>
      <c r="H689" s="51" t="str">
        <f aca="false">IF(OR(NOT(ISNUMBER($G689)),$G689&lt;2,NOT(ISNUMBER($C688)),$C688=0),"",$C689/$C688-1)</f>
        <v/>
      </c>
      <c r="I689" s="52" t="str">
        <f aca="false">IF(AND(ISNUMBER($G689),$G689&gt;=MA_SHORT),AVERAGE(INDEX($C$289:$C689,402-MA_SHORT):$C689),"")</f>
        <v/>
      </c>
      <c r="J689" s="52" t="str">
        <f aca="false">IF(AND(ISNUMBER($G689),$G689&gt;=MA_MED),AVERAGE(INDEX($C$289:$C689,402-MA_MED):$C689),"")</f>
        <v/>
      </c>
      <c r="K689" s="52" t="str">
        <f aca="false">IF(AND(ISNUMBER($G689),$G689&gt;=MA_LONG2),AVERAGE(INDEX($C$289:$C689,402-MA_LONG2):$C689),"")</f>
        <v/>
      </c>
      <c r="L689" s="53" t="str">
        <f aca="false">IF(AND(ISNUMBER($G689),$G689&gt;=21),STDEV(INDEX($H$629:$H689,62-20):$H689)*SQRT(245),"")</f>
        <v/>
      </c>
      <c r="M689" s="52" t="str">
        <f aca="false">IF(AND(ISNUMBER($G689),$G689&gt;=60),MAX(INDEX($D$489:$D689,202-60):$D689),"")</f>
        <v/>
      </c>
      <c r="N689" s="52" t="str">
        <f aca="false">IF(AND(ISNUMBER($G689),$G689&gt;=60),MIN(INDEX($E$489:$E689,202-60):$E689),"")</f>
        <v/>
      </c>
      <c r="O689" s="53" t="str">
        <f aca="false">IF(OR(NOT(ISNUMBER($C689)),NOT(ISNUMBER($M689)),$M689=0),"",$C689/$M689-1)</f>
        <v/>
      </c>
      <c r="P689" s="54"/>
      <c r="Q689" s="53" t="str">
        <f aca="false">IF(NOT(ISNUMBER($P689)),"",IFERROR(PERCENTRANK($P$5:$P$1204,$P689),""))</f>
        <v/>
      </c>
    </row>
    <row r="690" customFormat="false" ht="15" hidden="false" customHeight="false" outlineLevel="0" collapsed="false">
      <c r="A690" s="55"/>
      <c r="B690" s="56"/>
      <c r="C690" s="57"/>
      <c r="D690" s="56"/>
      <c r="E690" s="56"/>
      <c r="F690" s="56"/>
      <c r="G690" s="50" t="str">
        <f aca="false">IF($A690="","",IF(ISNUMBER($G689),$G689+1,1))</f>
        <v/>
      </c>
      <c r="H690" s="51" t="str">
        <f aca="false">IF(OR(NOT(ISNUMBER($G690)),$G690&lt;2,NOT(ISNUMBER($C689)),$C689=0),"",$C690/$C689-1)</f>
        <v/>
      </c>
      <c r="I690" s="52" t="str">
        <f aca="false">IF(AND(ISNUMBER($G690),$G690&gt;=MA_SHORT),AVERAGE(INDEX($C$290:$C690,402-MA_SHORT):$C690),"")</f>
        <v/>
      </c>
      <c r="J690" s="52" t="str">
        <f aca="false">IF(AND(ISNUMBER($G690),$G690&gt;=MA_MED),AVERAGE(INDEX($C$290:$C690,402-MA_MED):$C690),"")</f>
        <v/>
      </c>
      <c r="K690" s="52" t="str">
        <f aca="false">IF(AND(ISNUMBER($G690),$G690&gt;=MA_LONG2),AVERAGE(INDEX($C$290:$C690,402-MA_LONG2):$C690),"")</f>
        <v/>
      </c>
      <c r="L690" s="53" t="str">
        <f aca="false">IF(AND(ISNUMBER($G690),$G690&gt;=21),STDEV(INDEX($H$630:$H690,62-20):$H690)*SQRT(245),"")</f>
        <v/>
      </c>
      <c r="M690" s="52" t="str">
        <f aca="false">IF(AND(ISNUMBER($G690),$G690&gt;=60),MAX(INDEX($D$490:$D690,202-60):$D690),"")</f>
        <v/>
      </c>
      <c r="N690" s="52" t="str">
        <f aca="false">IF(AND(ISNUMBER($G690),$G690&gt;=60),MIN(INDEX($E$490:$E690,202-60):$E690),"")</f>
        <v/>
      </c>
      <c r="O690" s="53" t="str">
        <f aca="false">IF(OR(NOT(ISNUMBER($C690)),NOT(ISNUMBER($M690)),$M690=0),"",$C690/$M690-1)</f>
        <v/>
      </c>
      <c r="P690" s="54"/>
      <c r="Q690" s="53" t="str">
        <f aca="false">IF(NOT(ISNUMBER($P690)),"",IFERROR(PERCENTRANK($P$5:$P$1204,$P690),""))</f>
        <v/>
      </c>
    </row>
    <row r="691" customFormat="false" ht="15" hidden="false" customHeight="false" outlineLevel="0" collapsed="false">
      <c r="A691" s="55"/>
      <c r="B691" s="56"/>
      <c r="C691" s="57"/>
      <c r="D691" s="56"/>
      <c r="E691" s="56"/>
      <c r="F691" s="56"/>
      <c r="G691" s="50" t="str">
        <f aca="false">IF($A691="","",IF(ISNUMBER($G690),$G690+1,1))</f>
        <v/>
      </c>
      <c r="H691" s="51" t="str">
        <f aca="false">IF(OR(NOT(ISNUMBER($G691)),$G691&lt;2,NOT(ISNUMBER($C690)),$C690=0),"",$C691/$C690-1)</f>
        <v/>
      </c>
      <c r="I691" s="52" t="str">
        <f aca="false">IF(AND(ISNUMBER($G691),$G691&gt;=MA_SHORT),AVERAGE(INDEX($C$291:$C691,402-MA_SHORT):$C691),"")</f>
        <v/>
      </c>
      <c r="J691" s="52" t="str">
        <f aca="false">IF(AND(ISNUMBER($G691),$G691&gt;=MA_MED),AVERAGE(INDEX($C$291:$C691,402-MA_MED):$C691),"")</f>
        <v/>
      </c>
      <c r="K691" s="52" t="str">
        <f aca="false">IF(AND(ISNUMBER($G691),$G691&gt;=MA_LONG2),AVERAGE(INDEX($C$291:$C691,402-MA_LONG2):$C691),"")</f>
        <v/>
      </c>
      <c r="L691" s="53" t="str">
        <f aca="false">IF(AND(ISNUMBER($G691),$G691&gt;=21),STDEV(INDEX($H$631:$H691,62-20):$H691)*SQRT(245),"")</f>
        <v/>
      </c>
      <c r="M691" s="52" t="str">
        <f aca="false">IF(AND(ISNUMBER($G691),$G691&gt;=60),MAX(INDEX($D$491:$D691,202-60):$D691),"")</f>
        <v/>
      </c>
      <c r="N691" s="52" t="str">
        <f aca="false">IF(AND(ISNUMBER($G691),$G691&gt;=60),MIN(INDEX($E$491:$E691,202-60):$E691),"")</f>
        <v/>
      </c>
      <c r="O691" s="53" t="str">
        <f aca="false">IF(OR(NOT(ISNUMBER($C691)),NOT(ISNUMBER($M691)),$M691=0),"",$C691/$M691-1)</f>
        <v/>
      </c>
      <c r="P691" s="54"/>
      <c r="Q691" s="53" t="str">
        <f aca="false">IF(NOT(ISNUMBER($P691)),"",IFERROR(PERCENTRANK($P$5:$P$1204,$P691),""))</f>
        <v/>
      </c>
    </row>
    <row r="692" customFormat="false" ht="15" hidden="false" customHeight="false" outlineLevel="0" collapsed="false">
      <c r="A692" s="55"/>
      <c r="B692" s="56"/>
      <c r="C692" s="57"/>
      <c r="D692" s="56"/>
      <c r="E692" s="56"/>
      <c r="F692" s="56"/>
      <c r="G692" s="50" t="str">
        <f aca="false">IF($A692="","",IF(ISNUMBER($G691),$G691+1,1))</f>
        <v/>
      </c>
      <c r="H692" s="51" t="str">
        <f aca="false">IF(OR(NOT(ISNUMBER($G692)),$G692&lt;2,NOT(ISNUMBER($C691)),$C691=0),"",$C692/$C691-1)</f>
        <v/>
      </c>
      <c r="I692" s="52" t="str">
        <f aca="false">IF(AND(ISNUMBER($G692),$G692&gt;=MA_SHORT),AVERAGE(INDEX($C$292:$C692,402-MA_SHORT):$C692),"")</f>
        <v/>
      </c>
      <c r="J692" s="52" t="str">
        <f aca="false">IF(AND(ISNUMBER($G692),$G692&gt;=MA_MED),AVERAGE(INDEX($C$292:$C692,402-MA_MED):$C692),"")</f>
        <v/>
      </c>
      <c r="K692" s="52" t="str">
        <f aca="false">IF(AND(ISNUMBER($G692),$G692&gt;=MA_LONG2),AVERAGE(INDEX($C$292:$C692,402-MA_LONG2):$C692),"")</f>
        <v/>
      </c>
      <c r="L692" s="53" t="str">
        <f aca="false">IF(AND(ISNUMBER($G692),$G692&gt;=21),STDEV(INDEX($H$632:$H692,62-20):$H692)*SQRT(245),"")</f>
        <v/>
      </c>
      <c r="M692" s="52" t="str">
        <f aca="false">IF(AND(ISNUMBER($G692),$G692&gt;=60),MAX(INDEX($D$492:$D692,202-60):$D692),"")</f>
        <v/>
      </c>
      <c r="N692" s="52" t="str">
        <f aca="false">IF(AND(ISNUMBER($G692),$G692&gt;=60),MIN(INDEX($E$492:$E692,202-60):$E692),"")</f>
        <v/>
      </c>
      <c r="O692" s="53" t="str">
        <f aca="false">IF(OR(NOT(ISNUMBER($C692)),NOT(ISNUMBER($M692)),$M692=0),"",$C692/$M692-1)</f>
        <v/>
      </c>
      <c r="P692" s="54"/>
      <c r="Q692" s="53" t="str">
        <f aca="false">IF(NOT(ISNUMBER($P692)),"",IFERROR(PERCENTRANK($P$5:$P$1204,$P692),""))</f>
        <v/>
      </c>
    </row>
    <row r="693" customFormat="false" ht="15" hidden="false" customHeight="false" outlineLevel="0" collapsed="false">
      <c r="A693" s="55"/>
      <c r="B693" s="56"/>
      <c r="C693" s="57"/>
      <c r="D693" s="56"/>
      <c r="E693" s="56"/>
      <c r="F693" s="56"/>
      <c r="G693" s="50" t="str">
        <f aca="false">IF($A693="","",IF(ISNUMBER($G692),$G692+1,1))</f>
        <v/>
      </c>
      <c r="H693" s="51" t="str">
        <f aca="false">IF(OR(NOT(ISNUMBER($G693)),$G693&lt;2,NOT(ISNUMBER($C692)),$C692=0),"",$C693/$C692-1)</f>
        <v/>
      </c>
      <c r="I693" s="52" t="str">
        <f aca="false">IF(AND(ISNUMBER($G693),$G693&gt;=MA_SHORT),AVERAGE(INDEX($C$293:$C693,402-MA_SHORT):$C693),"")</f>
        <v/>
      </c>
      <c r="J693" s="52" t="str">
        <f aca="false">IF(AND(ISNUMBER($G693),$G693&gt;=MA_MED),AVERAGE(INDEX($C$293:$C693,402-MA_MED):$C693),"")</f>
        <v/>
      </c>
      <c r="K693" s="52" t="str">
        <f aca="false">IF(AND(ISNUMBER($G693),$G693&gt;=MA_LONG2),AVERAGE(INDEX($C$293:$C693,402-MA_LONG2):$C693),"")</f>
        <v/>
      </c>
      <c r="L693" s="53" t="str">
        <f aca="false">IF(AND(ISNUMBER($G693),$G693&gt;=21),STDEV(INDEX($H$633:$H693,62-20):$H693)*SQRT(245),"")</f>
        <v/>
      </c>
      <c r="M693" s="52" t="str">
        <f aca="false">IF(AND(ISNUMBER($G693),$G693&gt;=60),MAX(INDEX($D$493:$D693,202-60):$D693),"")</f>
        <v/>
      </c>
      <c r="N693" s="52" t="str">
        <f aca="false">IF(AND(ISNUMBER($G693),$G693&gt;=60),MIN(INDEX($E$493:$E693,202-60):$E693),"")</f>
        <v/>
      </c>
      <c r="O693" s="53" t="str">
        <f aca="false">IF(OR(NOT(ISNUMBER($C693)),NOT(ISNUMBER($M693)),$M693=0),"",$C693/$M693-1)</f>
        <v/>
      </c>
      <c r="P693" s="54"/>
      <c r="Q693" s="53" t="str">
        <f aca="false">IF(NOT(ISNUMBER($P693)),"",IFERROR(PERCENTRANK($P$5:$P$1204,$P693),""))</f>
        <v/>
      </c>
    </row>
    <row r="694" customFormat="false" ht="15" hidden="false" customHeight="false" outlineLevel="0" collapsed="false">
      <c r="A694" s="55"/>
      <c r="B694" s="56"/>
      <c r="C694" s="57"/>
      <c r="D694" s="56"/>
      <c r="E694" s="56"/>
      <c r="F694" s="56"/>
      <c r="G694" s="50" t="str">
        <f aca="false">IF($A694="","",IF(ISNUMBER($G693),$G693+1,1))</f>
        <v/>
      </c>
      <c r="H694" s="51" t="str">
        <f aca="false">IF(OR(NOT(ISNUMBER($G694)),$G694&lt;2,NOT(ISNUMBER($C693)),$C693=0),"",$C694/$C693-1)</f>
        <v/>
      </c>
      <c r="I694" s="52" t="str">
        <f aca="false">IF(AND(ISNUMBER($G694),$G694&gt;=MA_SHORT),AVERAGE(INDEX($C$294:$C694,402-MA_SHORT):$C694),"")</f>
        <v/>
      </c>
      <c r="J694" s="52" t="str">
        <f aca="false">IF(AND(ISNUMBER($G694),$G694&gt;=MA_MED),AVERAGE(INDEX($C$294:$C694,402-MA_MED):$C694),"")</f>
        <v/>
      </c>
      <c r="K694" s="52" t="str">
        <f aca="false">IF(AND(ISNUMBER($G694),$G694&gt;=MA_LONG2),AVERAGE(INDEX($C$294:$C694,402-MA_LONG2):$C694),"")</f>
        <v/>
      </c>
      <c r="L694" s="53" t="str">
        <f aca="false">IF(AND(ISNUMBER($G694),$G694&gt;=21),STDEV(INDEX($H$634:$H694,62-20):$H694)*SQRT(245),"")</f>
        <v/>
      </c>
      <c r="M694" s="52" t="str">
        <f aca="false">IF(AND(ISNUMBER($G694),$G694&gt;=60),MAX(INDEX($D$494:$D694,202-60):$D694),"")</f>
        <v/>
      </c>
      <c r="N694" s="52" t="str">
        <f aca="false">IF(AND(ISNUMBER($G694),$G694&gt;=60),MIN(INDEX($E$494:$E694,202-60):$E694),"")</f>
        <v/>
      </c>
      <c r="O694" s="53" t="str">
        <f aca="false">IF(OR(NOT(ISNUMBER($C694)),NOT(ISNUMBER($M694)),$M694=0),"",$C694/$M694-1)</f>
        <v/>
      </c>
      <c r="P694" s="54"/>
      <c r="Q694" s="53" t="str">
        <f aca="false">IF(NOT(ISNUMBER($P694)),"",IFERROR(PERCENTRANK($P$5:$P$1204,$P694),""))</f>
        <v/>
      </c>
    </row>
    <row r="695" customFormat="false" ht="15" hidden="false" customHeight="false" outlineLevel="0" collapsed="false">
      <c r="A695" s="55"/>
      <c r="B695" s="56"/>
      <c r="C695" s="57"/>
      <c r="D695" s="56"/>
      <c r="E695" s="56"/>
      <c r="F695" s="56"/>
      <c r="G695" s="50" t="str">
        <f aca="false">IF($A695="","",IF(ISNUMBER($G694),$G694+1,1))</f>
        <v/>
      </c>
      <c r="H695" s="51" t="str">
        <f aca="false">IF(OR(NOT(ISNUMBER($G695)),$G695&lt;2,NOT(ISNUMBER($C694)),$C694=0),"",$C695/$C694-1)</f>
        <v/>
      </c>
      <c r="I695" s="52" t="str">
        <f aca="false">IF(AND(ISNUMBER($G695),$G695&gt;=MA_SHORT),AVERAGE(INDEX($C$295:$C695,402-MA_SHORT):$C695),"")</f>
        <v/>
      </c>
      <c r="J695" s="52" t="str">
        <f aca="false">IF(AND(ISNUMBER($G695),$G695&gt;=MA_MED),AVERAGE(INDEX($C$295:$C695,402-MA_MED):$C695),"")</f>
        <v/>
      </c>
      <c r="K695" s="52" t="str">
        <f aca="false">IF(AND(ISNUMBER($G695),$G695&gt;=MA_LONG2),AVERAGE(INDEX($C$295:$C695,402-MA_LONG2):$C695),"")</f>
        <v/>
      </c>
      <c r="L695" s="53" t="str">
        <f aca="false">IF(AND(ISNUMBER($G695),$G695&gt;=21),STDEV(INDEX($H$635:$H695,62-20):$H695)*SQRT(245),"")</f>
        <v/>
      </c>
      <c r="M695" s="52" t="str">
        <f aca="false">IF(AND(ISNUMBER($G695),$G695&gt;=60),MAX(INDEX($D$495:$D695,202-60):$D695),"")</f>
        <v/>
      </c>
      <c r="N695" s="52" t="str">
        <f aca="false">IF(AND(ISNUMBER($G695),$G695&gt;=60),MIN(INDEX($E$495:$E695,202-60):$E695),"")</f>
        <v/>
      </c>
      <c r="O695" s="53" t="str">
        <f aca="false">IF(OR(NOT(ISNUMBER($C695)),NOT(ISNUMBER($M695)),$M695=0),"",$C695/$M695-1)</f>
        <v/>
      </c>
      <c r="P695" s="54"/>
      <c r="Q695" s="53" t="str">
        <f aca="false">IF(NOT(ISNUMBER($P695)),"",IFERROR(PERCENTRANK($P$5:$P$1204,$P695),""))</f>
        <v/>
      </c>
    </row>
    <row r="696" customFormat="false" ht="15" hidden="false" customHeight="false" outlineLevel="0" collapsed="false">
      <c r="A696" s="55"/>
      <c r="B696" s="56"/>
      <c r="C696" s="57"/>
      <c r="D696" s="56"/>
      <c r="E696" s="56"/>
      <c r="F696" s="56"/>
      <c r="G696" s="50" t="str">
        <f aca="false">IF($A696="","",IF(ISNUMBER($G695),$G695+1,1))</f>
        <v/>
      </c>
      <c r="H696" s="51" t="str">
        <f aca="false">IF(OR(NOT(ISNUMBER($G696)),$G696&lt;2,NOT(ISNUMBER($C695)),$C695=0),"",$C696/$C695-1)</f>
        <v/>
      </c>
      <c r="I696" s="52" t="str">
        <f aca="false">IF(AND(ISNUMBER($G696),$G696&gt;=MA_SHORT),AVERAGE(INDEX($C$296:$C696,402-MA_SHORT):$C696),"")</f>
        <v/>
      </c>
      <c r="J696" s="52" t="str">
        <f aca="false">IF(AND(ISNUMBER($G696),$G696&gt;=MA_MED),AVERAGE(INDEX($C$296:$C696,402-MA_MED):$C696),"")</f>
        <v/>
      </c>
      <c r="K696" s="52" t="str">
        <f aca="false">IF(AND(ISNUMBER($G696),$G696&gt;=MA_LONG2),AVERAGE(INDEX($C$296:$C696,402-MA_LONG2):$C696),"")</f>
        <v/>
      </c>
      <c r="L696" s="53" t="str">
        <f aca="false">IF(AND(ISNUMBER($G696),$G696&gt;=21),STDEV(INDEX($H$636:$H696,62-20):$H696)*SQRT(245),"")</f>
        <v/>
      </c>
      <c r="M696" s="52" t="str">
        <f aca="false">IF(AND(ISNUMBER($G696),$G696&gt;=60),MAX(INDEX($D$496:$D696,202-60):$D696),"")</f>
        <v/>
      </c>
      <c r="N696" s="52" t="str">
        <f aca="false">IF(AND(ISNUMBER($G696),$G696&gt;=60),MIN(INDEX($E$496:$E696,202-60):$E696),"")</f>
        <v/>
      </c>
      <c r="O696" s="53" t="str">
        <f aca="false">IF(OR(NOT(ISNUMBER($C696)),NOT(ISNUMBER($M696)),$M696=0),"",$C696/$M696-1)</f>
        <v/>
      </c>
      <c r="P696" s="54"/>
      <c r="Q696" s="53" t="str">
        <f aca="false">IF(NOT(ISNUMBER($P696)),"",IFERROR(PERCENTRANK($P$5:$P$1204,$P696),""))</f>
        <v/>
      </c>
    </row>
    <row r="697" customFormat="false" ht="15" hidden="false" customHeight="false" outlineLevel="0" collapsed="false">
      <c r="A697" s="55"/>
      <c r="B697" s="56"/>
      <c r="C697" s="57"/>
      <c r="D697" s="56"/>
      <c r="E697" s="56"/>
      <c r="F697" s="56"/>
      <c r="G697" s="50" t="str">
        <f aca="false">IF($A697="","",IF(ISNUMBER($G696),$G696+1,1))</f>
        <v/>
      </c>
      <c r="H697" s="51" t="str">
        <f aca="false">IF(OR(NOT(ISNUMBER($G697)),$G697&lt;2,NOT(ISNUMBER($C696)),$C696=0),"",$C697/$C696-1)</f>
        <v/>
      </c>
      <c r="I697" s="52" t="str">
        <f aca="false">IF(AND(ISNUMBER($G697),$G697&gt;=MA_SHORT),AVERAGE(INDEX($C$297:$C697,402-MA_SHORT):$C697),"")</f>
        <v/>
      </c>
      <c r="J697" s="52" t="str">
        <f aca="false">IF(AND(ISNUMBER($G697),$G697&gt;=MA_MED),AVERAGE(INDEX($C$297:$C697,402-MA_MED):$C697),"")</f>
        <v/>
      </c>
      <c r="K697" s="52" t="str">
        <f aca="false">IF(AND(ISNUMBER($G697),$G697&gt;=MA_LONG2),AVERAGE(INDEX($C$297:$C697,402-MA_LONG2):$C697),"")</f>
        <v/>
      </c>
      <c r="L697" s="53" t="str">
        <f aca="false">IF(AND(ISNUMBER($G697),$G697&gt;=21),STDEV(INDEX($H$637:$H697,62-20):$H697)*SQRT(245),"")</f>
        <v/>
      </c>
      <c r="M697" s="52" t="str">
        <f aca="false">IF(AND(ISNUMBER($G697),$G697&gt;=60),MAX(INDEX($D$497:$D697,202-60):$D697),"")</f>
        <v/>
      </c>
      <c r="N697" s="52" t="str">
        <f aca="false">IF(AND(ISNUMBER($G697),$G697&gt;=60),MIN(INDEX($E$497:$E697,202-60):$E697),"")</f>
        <v/>
      </c>
      <c r="O697" s="53" t="str">
        <f aca="false">IF(OR(NOT(ISNUMBER($C697)),NOT(ISNUMBER($M697)),$M697=0),"",$C697/$M697-1)</f>
        <v/>
      </c>
      <c r="P697" s="54"/>
      <c r="Q697" s="53" t="str">
        <f aca="false">IF(NOT(ISNUMBER($P697)),"",IFERROR(PERCENTRANK($P$5:$P$1204,$P697),""))</f>
        <v/>
      </c>
    </row>
    <row r="698" customFormat="false" ht="15" hidden="false" customHeight="false" outlineLevel="0" collapsed="false">
      <c r="A698" s="55"/>
      <c r="B698" s="56"/>
      <c r="C698" s="57"/>
      <c r="D698" s="56"/>
      <c r="E698" s="56"/>
      <c r="F698" s="56"/>
      <c r="G698" s="50" t="str">
        <f aca="false">IF($A698="","",IF(ISNUMBER($G697),$G697+1,1))</f>
        <v/>
      </c>
      <c r="H698" s="51" t="str">
        <f aca="false">IF(OR(NOT(ISNUMBER($G698)),$G698&lt;2,NOT(ISNUMBER($C697)),$C697=0),"",$C698/$C697-1)</f>
        <v/>
      </c>
      <c r="I698" s="52" t="str">
        <f aca="false">IF(AND(ISNUMBER($G698),$G698&gt;=MA_SHORT),AVERAGE(INDEX($C$298:$C698,402-MA_SHORT):$C698),"")</f>
        <v/>
      </c>
      <c r="J698" s="52" t="str">
        <f aca="false">IF(AND(ISNUMBER($G698),$G698&gt;=MA_MED),AVERAGE(INDEX($C$298:$C698,402-MA_MED):$C698),"")</f>
        <v/>
      </c>
      <c r="K698" s="52" t="str">
        <f aca="false">IF(AND(ISNUMBER($G698),$G698&gt;=MA_LONG2),AVERAGE(INDEX($C$298:$C698,402-MA_LONG2):$C698),"")</f>
        <v/>
      </c>
      <c r="L698" s="53" t="str">
        <f aca="false">IF(AND(ISNUMBER($G698),$G698&gt;=21),STDEV(INDEX($H$638:$H698,62-20):$H698)*SQRT(245),"")</f>
        <v/>
      </c>
      <c r="M698" s="52" t="str">
        <f aca="false">IF(AND(ISNUMBER($G698),$G698&gt;=60),MAX(INDEX($D$498:$D698,202-60):$D698),"")</f>
        <v/>
      </c>
      <c r="N698" s="52" t="str">
        <f aca="false">IF(AND(ISNUMBER($G698),$G698&gt;=60),MIN(INDEX($E$498:$E698,202-60):$E698),"")</f>
        <v/>
      </c>
      <c r="O698" s="53" t="str">
        <f aca="false">IF(OR(NOT(ISNUMBER($C698)),NOT(ISNUMBER($M698)),$M698=0),"",$C698/$M698-1)</f>
        <v/>
      </c>
      <c r="P698" s="54"/>
      <c r="Q698" s="53" t="str">
        <f aca="false">IF(NOT(ISNUMBER($P698)),"",IFERROR(PERCENTRANK($P$5:$P$1204,$P698),""))</f>
        <v/>
      </c>
    </row>
    <row r="699" customFormat="false" ht="15" hidden="false" customHeight="false" outlineLevel="0" collapsed="false">
      <c r="A699" s="55"/>
      <c r="B699" s="56"/>
      <c r="C699" s="57"/>
      <c r="D699" s="56"/>
      <c r="E699" s="56"/>
      <c r="F699" s="56"/>
      <c r="G699" s="50" t="str">
        <f aca="false">IF($A699="","",IF(ISNUMBER($G698),$G698+1,1))</f>
        <v/>
      </c>
      <c r="H699" s="51" t="str">
        <f aca="false">IF(OR(NOT(ISNUMBER($G699)),$G699&lt;2,NOT(ISNUMBER($C698)),$C698=0),"",$C699/$C698-1)</f>
        <v/>
      </c>
      <c r="I699" s="52" t="str">
        <f aca="false">IF(AND(ISNUMBER($G699),$G699&gt;=MA_SHORT),AVERAGE(INDEX($C$299:$C699,402-MA_SHORT):$C699),"")</f>
        <v/>
      </c>
      <c r="J699" s="52" t="str">
        <f aca="false">IF(AND(ISNUMBER($G699),$G699&gt;=MA_MED),AVERAGE(INDEX($C$299:$C699,402-MA_MED):$C699),"")</f>
        <v/>
      </c>
      <c r="K699" s="52" t="str">
        <f aca="false">IF(AND(ISNUMBER($G699),$G699&gt;=MA_LONG2),AVERAGE(INDEX($C$299:$C699,402-MA_LONG2):$C699),"")</f>
        <v/>
      </c>
      <c r="L699" s="53" t="str">
        <f aca="false">IF(AND(ISNUMBER($G699),$G699&gt;=21),STDEV(INDEX($H$639:$H699,62-20):$H699)*SQRT(245),"")</f>
        <v/>
      </c>
      <c r="M699" s="52" t="str">
        <f aca="false">IF(AND(ISNUMBER($G699),$G699&gt;=60),MAX(INDEX($D$499:$D699,202-60):$D699),"")</f>
        <v/>
      </c>
      <c r="N699" s="52" t="str">
        <f aca="false">IF(AND(ISNUMBER($G699),$G699&gt;=60),MIN(INDEX($E$499:$E699,202-60):$E699),"")</f>
        <v/>
      </c>
      <c r="O699" s="53" t="str">
        <f aca="false">IF(OR(NOT(ISNUMBER($C699)),NOT(ISNUMBER($M699)),$M699=0),"",$C699/$M699-1)</f>
        <v/>
      </c>
      <c r="P699" s="54"/>
      <c r="Q699" s="53" t="str">
        <f aca="false">IF(NOT(ISNUMBER($P699)),"",IFERROR(PERCENTRANK($P$5:$P$1204,$P699),""))</f>
        <v/>
      </c>
    </row>
    <row r="700" customFormat="false" ht="15" hidden="false" customHeight="false" outlineLevel="0" collapsed="false">
      <c r="A700" s="55"/>
      <c r="B700" s="56"/>
      <c r="C700" s="57"/>
      <c r="D700" s="56"/>
      <c r="E700" s="56"/>
      <c r="F700" s="56"/>
      <c r="G700" s="50" t="str">
        <f aca="false">IF($A700="","",IF(ISNUMBER($G699),$G699+1,1))</f>
        <v/>
      </c>
      <c r="H700" s="51" t="str">
        <f aca="false">IF(OR(NOT(ISNUMBER($G700)),$G700&lt;2,NOT(ISNUMBER($C699)),$C699=0),"",$C700/$C699-1)</f>
        <v/>
      </c>
      <c r="I700" s="52" t="str">
        <f aca="false">IF(AND(ISNUMBER($G700),$G700&gt;=MA_SHORT),AVERAGE(INDEX($C$300:$C700,402-MA_SHORT):$C700),"")</f>
        <v/>
      </c>
      <c r="J700" s="52" t="str">
        <f aca="false">IF(AND(ISNUMBER($G700),$G700&gt;=MA_MED),AVERAGE(INDEX($C$300:$C700,402-MA_MED):$C700),"")</f>
        <v/>
      </c>
      <c r="K700" s="52" t="str">
        <f aca="false">IF(AND(ISNUMBER($G700),$G700&gt;=MA_LONG2),AVERAGE(INDEX($C$300:$C700,402-MA_LONG2):$C700),"")</f>
        <v/>
      </c>
      <c r="L700" s="53" t="str">
        <f aca="false">IF(AND(ISNUMBER($G700),$G700&gt;=21),STDEV(INDEX($H$640:$H700,62-20):$H700)*SQRT(245),"")</f>
        <v/>
      </c>
      <c r="M700" s="52" t="str">
        <f aca="false">IF(AND(ISNUMBER($G700),$G700&gt;=60),MAX(INDEX($D$500:$D700,202-60):$D700),"")</f>
        <v/>
      </c>
      <c r="N700" s="52" t="str">
        <f aca="false">IF(AND(ISNUMBER($G700),$G700&gt;=60),MIN(INDEX($E$500:$E700,202-60):$E700),"")</f>
        <v/>
      </c>
      <c r="O700" s="53" t="str">
        <f aca="false">IF(OR(NOT(ISNUMBER($C700)),NOT(ISNUMBER($M700)),$M700=0),"",$C700/$M700-1)</f>
        <v/>
      </c>
      <c r="P700" s="54"/>
      <c r="Q700" s="53" t="str">
        <f aca="false">IF(NOT(ISNUMBER($P700)),"",IFERROR(PERCENTRANK($P$5:$P$1204,$P700),""))</f>
        <v/>
      </c>
    </row>
    <row r="701" customFormat="false" ht="15" hidden="false" customHeight="false" outlineLevel="0" collapsed="false">
      <c r="A701" s="55"/>
      <c r="B701" s="56"/>
      <c r="C701" s="57"/>
      <c r="D701" s="56"/>
      <c r="E701" s="56"/>
      <c r="F701" s="56"/>
      <c r="G701" s="50" t="str">
        <f aca="false">IF($A701="","",IF(ISNUMBER($G700),$G700+1,1))</f>
        <v/>
      </c>
      <c r="H701" s="51" t="str">
        <f aca="false">IF(OR(NOT(ISNUMBER($G701)),$G701&lt;2,NOT(ISNUMBER($C700)),$C700=0),"",$C701/$C700-1)</f>
        <v/>
      </c>
      <c r="I701" s="52" t="str">
        <f aca="false">IF(AND(ISNUMBER($G701),$G701&gt;=MA_SHORT),AVERAGE(INDEX($C$301:$C701,402-MA_SHORT):$C701),"")</f>
        <v/>
      </c>
      <c r="J701" s="52" t="str">
        <f aca="false">IF(AND(ISNUMBER($G701),$G701&gt;=MA_MED),AVERAGE(INDEX($C$301:$C701,402-MA_MED):$C701),"")</f>
        <v/>
      </c>
      <c r="K701" s="52" t="str">
        <f aca="false">IF(AND(ISNUMBER($G701),$G701&gt;=MA_LONG2),AVERAGE(INDEX($C$301:$C701,402-MA_LONG2):$C701),"")</f>
        <v/>
      </c>
      <c r="L701" s="53" t="str">
        <f aca="false">IF(AND(ISNUMBER($G701),$G701&gt;=21),STDEV(INDEX($H$641:$H701,62-20):$H701)*SQRT(245),"")</f>
        <v/>
      </c>
      <c r="M701" s="52" t="str">
        <f aca="false">IF(AND(ISNUMBER($G701),$G701&gt;=60),MAX(INDEX($D$501:$D701,202-60):$D701),"")</f>
        <v/>
      </c>
      <c r="N701" s="52" t="str">
        <f aca="false">IF(AND(ISNUMBER($G701),$G701&gt;=60),MIN(INDEX($E$501:$E701,202-60):$E701),"")</f>
        <v/>
      </c>
      <c r="O701" s="53" t="str">
        <f aca="false">IF(OR(NOT(ISNUMBER($C701)),NOT(ISNUMBER($M701)),$M701=0),"",$C701/$M701-1)</f>
        <v/>
      </c>
      <c r="P701" s="54"/>
      <c r="Q701" s="53" t="str">
        <f aca="false">IF(NOT(ISNUMBER($P701)),"",IFERROR(PERCENTRANK($P$5:$P$1204,$P701),""))</f>
        <v/>
      </c>
    </row>
    <row r="702" customFormat="false" ht="15" hidden="false" customHeight="false" outlineLevel="0" collapsed="false">
      <c r="A702" s="55"/>
      <c r="B702" s="56"/>
      <c r="C702" s="57"/>
      <c r="D702" s="56"/>
      <c r="E702" s="56"/>
      <c r="F702" s="56"/>
      <c r="G702" s="50" t="str">
        <f aca="false">IF($A702="","",IF(ISNUMBER($G701),$G701+1,1))</f>
        <v/>
      </c>
      <c r="H702" s="51" t="str">
        <f aca="false">IF(OR(NOT(ISNUMBER($G702)),$G702&lt;2,NOT(ISNUMBER($C701)),$C701=0),"",$C702/$C701-1)</f>
        <v/>
      </c>
      <c r="I702" s="52" t="str">
        <f aca="false">IF(AND(ISNUMBER($G702),$G702&gt;=MA_SHORT),AVERAGE(INDEX($C$302:$C702,402-MA_SHORT):$C702),"")</f>
        <v/>
      </c>
      <c r="J702" s="52" t="str">
        <f aca="false">IF(AND(ISNUMBER($G702),$G702&gt;=MA_MED),AVERAGE(INDEX($C$302:$C702,402-MA_MED):$C702),"")</f>
        <v/>
      </c>
      <c r="K702" s="52" t="str">
        <f aca="false">IF(AND(ISNUMBER($G702),$G702&gt;=MA_LONG2),AVERAGE(INDEX($C$302:$C702,402-MA_LONG2):$C702),"")</f>
        <v/>
      </c>
      <c r="L702" s="53" t="str">
        <f aca="false">IF(AND(ISNUMBER($G702),$G702&gt;=21),STDEV(INDEX($H$642:$H702,62-20):$H702)*SQRT(245),"")</f>
        <v/>
      </c>
      <c r="M702" s="52" t="str">
        <f aca="false">IF(AND(ISNUMBER($G702),$G702&gt;=60),MAX(INDEX($D$502:$D702,202-60):$D702),"")</f>
        <v/>
      </c>
      <c r="N702" s="52" t="str">
        <f aca="false">IF(AND(ISNUMBER($G702),$G702&gt;=60),MIN(INDEX($E$502:$E702,202-60):$E702),"")</f>
        <v/>
      </c>
      <c r="O702" s="53" t="str">
        <f aca="false">IF(OR(NOT(ISNUMBER($C702)),NOT(ISNUMBER($M702)),$M702=0),"",$C702/$M702-1)</f>
        <v/>
      </c>
      <c r="P702" s="54"/>
      <c r="Q702" s="53" t="str">
        <f aca="false">IF(NOT(ISNUMBER($P702)),"",IFERROR(PERCENTRANK($P$5:$P$1204,$P702),""))</f>
        <v/>
      </c>
    </row>
    <row r="703" customFormat="false" ht="15" hidden="false" customHeight="false" outlineLevel="0" collapsed="false">
      <c r="A703" s="55"/>
      <c r="B703" s="56"/>
      <c r="C703" s="57"/>
      <c r="D703" s="56"/>
      <c r="E703" s="56"/>
      <c r="F703" s="56"/>
      <c r="G703" s="50" t="str">
        <f aca="false">IF($A703="","",IF(ISNUMBER($G702),$G702+1,1))</f>
        <v/>
      </c>
      <c r="H703" s="51" t="str">
        <f aca="false">IF(OR(NOT(ISNUMBER($G703)),$G703&lt;2,NOT(ISNUMBER($C702)),$C702=0),"",$C703/$C702-1)</f>
        <v/>
      </c>
      <c r="I703" s="52" t="str">
        <f aca="false">IF(AND(ISNUMBER($G703),$G703&gt;=MA_SHORT),AVERAGE(INDEX($C$303:$C703,402-MA_SHORT):$C703),"")</f>
        <v/>
      </c>
      <c r="J703" s="52" t="str">
        <f aca="false">IF(AND(ISNUMBER($G703),$G703&gt;=MA_MED),AVERAGE(INDEX($C$303:$C703,402-MA_MED):$C703),"")</f>
        <v/>
      </c>
      <c r="K703" s="52" t="str">
        <f aca="false">IF(AND(ISNUMBER($G703),$G703&gt;=MA_LONG2),AVERAGE(INDEX($C$303:$C703,402-MA_LONG2):$C703),"")</f>
        <v/>
      </c>
      <c r="L703" s="53" t="str">
        <f aca="false">IF(AND(ISNUMBER($G703),$G703&gt;=21),STDEV(INDEX($H$643:$H703,62-20):$H703)*SQRT(245),"")</f>
        <v/>
      </c>
      <c r="M703" s="52" t="str">
        <f aca="false">IF(AND(ISNUMBER($G703),$G703&gt;=60),MAX(INDEX($D$503:$D703,202-60):$D703),"")</f>
        <v/>
      </c>
      <c r="N703" s="52" t="str">
        <f aca="false">IF(AND(ISNUMBER($G703),$G703&gt;=60),MIN(INDEX($E$503:$E703,202-60):$E703),"")</f>
        <v/>
      </c>
      <c r="O703" s="53" t="str">
        <f aca="false">IF(OR(NOT(ISNUMBER($C703)),NOT(ISNUMBER($M703)),$M703=0),"",$C703/$M703-1)</f>
        <v/>
      </c>
      <c r="P703" s="54"/>
      <c r="Q703" s="53" t="str">
        <f aca="false">IF(NOT(ISNUMBER($P703)),"",IFERROR(PERCENTRANK($P$5:$P$1204,$P703),""))</f>
        <v/>
      </c>
    </row>
    <row r="704" customFormat="false" ht="15" hidden="false" customHeight="false" outlineLevel="0" collapsed="false">
      <c r="A704" s="55"/>
      <c r="B704" s="56"/>
      <c r="C704" s="57"/>
      <c r="D704" s="56"/>
      <c r="E704" s="56"/>
      <c r="F704" s="56"/>
      <c r="G704" s="50" t="str">
        <f aca="false">IF($A704="","",IF(ISNUMBER($G703),$G703+1,1))</f>
        <v/>
      </c>
      <c r="H704" s="51" t="str">
        <f aca="false">IF(OR(NOT(ISNUMBER($G704)),$G704&lt;2,NOT(ISNUMBER($C703)),$C703=0),"",$C704/$C703-1)</f>
        <v/>
      </c>
      <c r="I704" s="52" t="str">
        <f aca="false">IF(AND(ISNUMBER($G704),$G704&gt;=MA_SHORT),AVERAGE(INDEX($C$304:$C704,402-MA_SHORT):$C704),"")</f>
        <v/>
      </c>
      <c r="J704" s="52" t="str">
        <f aca="false">IF(AND(ISNUMBER($G704),$G704&gt;=MA_MED),AVERAGE(INDEX($C$304:$C704,402-MA_MED):$C704),"")</f>
        <v/>
      </c>
      <c r="K704" s="52" t="str">
        <f aca="false">IF(AND(ISNUMBER($G704),$G704&gt;=MA_LONG2),AVERAGE(INDEX($C$304:$C704,402-MA_LONG2):$C704),"")</f>
        <v/>
      </c>
      <c r="L704" s="53" t="str">
        <f aca="false">IF(AND(ISNUMBER($G704),$G704&gt;=21),STDEV(INDEX($H$644:$H704,62-20):$H704)*SQRT(245),"")</f>
        <v/>
      </c>
      <c r="M704" s="52" t="str">
        <f aca="false">IF(AND(ISNUMBER($G704),$G704&gt;=60),MAX(INDEX($D$504:$D704,202-60):$D704),"")</f>
        <v/>
      </c>
      <c r="N704" s="52" t="str">
        <f aca="false">IF(AND(ISNUMBER($G704),$G704&gt;=60),MIN(INDEX($E$504:$E704,202-60):$E704),"")</f>
        <v/>
      </c>
      <c r="O704" s="53" t="str">
        <f aca="false">IF(OR(NOT(ISNUMBER($C704)),NOT(ISNUMBER($M704)),$M704=0),"",$C704/$M704-1)</f>
        <v/>
      </c>
      <c r="P704" s="54"/>
      <c r="Q704" s="53" t="str">
        <f aca="false">IF(NOT(ISNUMBER($P704)),"",IFERROR(PERCENTRANK($P$5:$P$1204,$P704),""))</f>
        <v/>
      </c>
    </row>
    <row r="705" customFormat="false" ht="15" hidden="false" customHeight="false" outlineLevel="0" collapsed="false">
      <c r="A705" s="55"/>
      <c r="B705" s="56"/>
      <c r="C705" s="57"/>
      <c r="D705" s="56"/>
      <c r="E705" s="56"/>
      <c r="F705" s="56"/>
      <c r="G705" s="50" t="str">
        <f aca="false">IF($A705="","",IF(ISNUMBER($G704),$G704+1,1))</f>
        <v/>
      </c>
      <c r="H705" s="51" t="str">
        <f aca="false">IF(OR(NOT(ISNUMBER($G705)),$G705&lt;2,NOT(ISNUMBER($C704)),$C704=0),"",$C705/$C704-1)</f>
        <v/>
      </c>
      <c r="I705" s="52" t="str">
        <f aca="false">IF(AND(ISNUMBER($G705),$G705&gt;=MA_SHORT),AVERAGE(INDEX($C$305:$C705,402-MA_SHORT):$C705),"")</f>
        <v/>
      </c>
      <c r="J705" s="52" t="str">
        <f aca="false">IF(AND(ISNUMBER($G705),$G705&gt;=MA_MED),AVERAGE(INDEX($C$305:$C705,402-MA_MED):$C705),"")</f>
        <v/>
      </c>
      <c r="K705" s="52" t="str">
        <f aca="false">IF(AND(ISNUMBER($G705),$G705&gt;=MA_LONG2),AVERAGE(INDEX($C$305:$C705,402-MA_LONG2):$C705),"")</f>
        <v/>
      </c>
      <c r="L705" s="53" t="str">
        <f aca="false">IF(AND(ISNUMBER($G705),$G705&gt;=21),STDEV(INDEX($H$645:$H705,62-20):$H705)*SQRT(245),"")</f>
        <v/>
      </c>
      <c r="M705" s="52" t="str">
        <f aca="false">IF(AND(ISNUMBER($G705),$G705&gt;=60),MAX(INDEX($D$505:$D705,202-60):$D705),"")</f>
        <v/>
      </c>
      <c r="N705" s="52" t="str">
        <f aca="false">IF(AND(ISNUMBER($G705),$G705&gt;=60),MIN(INDEX($E$505:$E705,202-60):$E705),"")</f>
        <v/>
      </c>
      <c r="O705" s="53" t="str">
        <f aca="false">IF(OR(NOT(ISNUMBER($C705)),NOT(ISNUMBER($M705)),$M705=0),"",$C705/$M705-1)</f>
        <v/>
      </c>
      <c r="P705" s="54"/>
      <c r="Q705" s="53" t="str">
        <f aca="false">IF(NOT(ISNUMBER($P705)),"",IFERROR(PERCENTRANK($P$5:$P$1204,$P705),""))</f>
        <v/>
      </c>
    </row>
    <row r="706" customFormat="false" ht="15" hidden="false" customHeight="false" outlineLevel="0" collapsed="false">
      <c r="A706" s="55"/>
      <c r="B706" s="56"/>
      <c r="C706" s="57"/>
      <c r="D706" s="56"/>
      <c r="E706" s="56"/>
      <c r="F706" s="56"/>
      <c r="G706" s="50" t="str">
        <f aca="false">IF($A706="","",IF(ISNUMBER($G705),$G705+1,1))</f>
        <v/>
      </c>
      <c r="H706" s="51" t="str">
        <f aca="false">IF(OR(NOT(ISNUMBER($G706)),$G706&lt;2,NOT(ISNUMBER($C705)),$C705=0),"",$C706/$C705-1)</f>
        <v/>
      </c>
      <c r="I706" s="52" t="str">
        <f aca="false">IF(AND(ISNUMBER($G706),$G706&gt;=MA_SHORT),AVERAGE(INDEX($C$306:$C706,402-MA_SHORT):$C706),"")</f>
        <v/>
      </c>
      <c r="J706" s="52" t="str">
        <f aca="false">IF(AND(ISNUMBER($G706),$G706&gt;=MA_MED),AVERAGE(INDEX($C$306:$C706,402-MA_MED):$C706),"")</f>
        <v/>
      </c>
      <c r="K706" s="52" t="str">
        <f aca="false">IF(AND(ISNUMBER($G706),$G706&gt;=MA_LONG2),AVERAGE(INDEX($C$306:$C706,402-MA_LONG2):$C706),"")</f>
        <v/>
      </c>
      <c r="L706" s="53" t="str">
        <f aca="false">IF(AND(ISNUMBER($G706),$G706&gt;=21),STDEV(INDEX($H$646:$H706,62-20):$H706)*SQRT(245),"")</f>
        <v/>
      </c>
      <c r="M706" s="52" t="str">
        <f aca="false">IF(AND(ISNUMBER($G706),$G706&gt;=60),MAX(INDEX($D$506:$D706,202-60):$D706),"")</f>
        <v/>
      </c>
      <c r="N706" s="52" t="str">
        <f aca="false">IF(AND(ISNUMBER($G706),$G706&gt;=60),MIN(INDEX($E$506:$E706,202-60):$E706),"")</f>
        <v/>
      </c>
      <c r="O706" s="53" t="str">
        <f aca="false">IF(OR(NOT(ISNUMBER($C706)),NOT(ISNUMBER($M706)),$M706=0),"",$C706/$M706-1)</f>
        <v/>
      </c>
      <c r="P706" s="54"/>
      <c r="Q706" s="53" t="str">
        <f aca="false">IF(NOT(ISNUMBER($P706)),"",IFERROR(PERCENTRANK($P$5:$P$1204,$P706),""))</f>
        <v/>
      </c>
    </row>
    <row r="707" customFormat="false" ht="15" hidden="false" customHeight="false" outlineLevel="0" collapsed="false">
      <c r="A707" s="55"/>
      <c r="B707" s="56"/>
      <c r="C707" s="57"/>
      <c r="D707" s="56"/>
      <c r="E707" s="56"/>
      <c r="F707" s="56"/>
      <c r="G707" s="50" t="str">
        <f aca="false">IF($A707="","",IF(ISNUMBER($G706),$G706+1,1))</f>
        <v/>
      </c>
      <c r="H707" s="51" t="str">
        <f aca="false">IF(OR(NOT(ISNUMBER($G707)),$G707&lt;2,NOT(ISNUMBER($C706)),$C706=0),"",$C707/$C706-1)</f>
        <v/>
      </c>
      <c r="I707" s="52" t="str">
        <f aca="false">IF(AND(ISNUMBER($G707),$G707&gt;=MA_SHORT),AVERAGE(INDEX($C$307:$C707,402-MA_SHORT):$C707),"")</f>
        <v/>
      </c>
      <c r="J707" s="52" t="str">
        <f aca="false">IF(AND(ISNUMBER($G707),$G707&gt;=MA_MED),AVERAGE(INDEX($C$307:$C707,402-MA_MED):$C707),"")</f>
        <v/>
      </c>
      <c r="K707" s="52" t="str">
        <f aca="false">IF(AND(ISNUMBER($G707),$G707&gt;=MA_LONG2),AVERAGE(INDEX($C$307:$C707,402-MA_LONG2):$C707),"")</f>
        <v/>
      </c>
      <c r="L707" s="53" t="str">
        <f aca="false">IF(AND(ISNUMBER($G707),$G707&gt;=21),STDEV(INDEX($H$647:$H707,62-20):$H707)*SQRT(245),"")</f>
        <v/>
      </c>
      <c r="M707" s="52" t="str">
        <f aca="false">IF(AND(ISNUMBER($G707),$G707&gt;=60),MAX(INDEX($D$507:$D707,202-60):$D707),"")</f>
        <v/>
      </c>
      <c r="N707" s="52" t="str">
        <f aca="false">IF(AND(ISNUMBER($G707),$G707&gt;=60),MIN(INDEX($E$507:$E707,202-60):$E707),"")</f>
        <v/>
      </c>
      <c r="O707" s="53" t="str">
        <f aca="false">IF(OR(NOT(ISNUMBER($C707)),NOT(ISNUMBER($M707)),$M707=0),"",$C707/$M707-1)</f>
        <v/>
      </c>
      <c r="P707" s="54"/>
      <c r="Q707" s="53" t="str">
        <f aca="false">IF(NOT(ISNUMBER($P707)),"",IFERROR(PERCENTRANK($P$5:$P$1204,$P707),""))</f>
        <v/>
      </c>
    </row>
    <row r="708" customFormat="false" ht="15" hidden="false" customHeight="false" outlineLevel="0" collapsed="false">
      <c r="A708" s="55"/>
      <c r="B708" s="56"/>
      <c r="C708" s="57"/>
      <c r="D708" s="56"/>
      <c r="E708" s="56"/>
      <c r="F708" s="56"/>
      <c r="G708" s="50" t="str">
        <f aca="false">IF($A708="","",IF(ISNUMBER($G707),$G707+1,1))</f>
        <v/>
      </c>
      <c r="H708" s="51" t="str">
        <f aca="false">IF(OR(NOT(ISNUMBER($G708)),$G708&lt;2,NOT(ISNUMBER($C707)),$C707=0),"",$C708/$C707-1)</f>
        <v/>
      </c>
      <c r="I708" s="52" t="str">
        <f aca="false">IF(AND(ISNUMBER($G708),$G708&gt;=MA_SHORT),AVERAGE(INDEX($C$308:$C708,402-MA_SHORT):$C708),"")</f>
        <v/>
      </c>
      <c r="J708" s="52" t="str">
        <f aca="false">IF(AND(ISNUMBER($G708),$G708&gt;=MA_MED),AVERAGE(INDEX($C$308:$C708,402-MA_MED):$C708),"")</f>
        <v/>
      </c>
      <c r="K708" s="52" t="str">
        <f aca="false">IF(AND(ISNUMBER($G708),$G708&gt;=MA_LONG2),AVERAGE(INDEX($C$308:$C708,402-MA_LONG2):$C708),"")</f>
        <v/>
      </c>
      <c r="L708" s="53" t="str">
        <f aca="false">IF(AND(ISNUMBER($G708),$G708&gt;=21),STDEV(INDEX($H$648:$H708,62-20):$H708)*SQRT(245),"")</f>
        <v/>
      </c>
      <c r="M708" s="52" t="str">
        <f aca="false">IF(AND(ISNUMBER($G708),$G708&gt;=60),MAX(INDEX($D$508:$D708,202-60):$D708),"")</f>
        <v/>
      </c>
      <c r="N708" s="52" t="str">
        <f aca="false">IF(AND(ISNUMBER($G708),$G708&gt;=60),MIN(INDEX($E$508:$E708,202-60):$E708),"")</f>
        <v/>
      </c>
      <c r="O708" s="53" t="str">
        <f aca="false">IF(OR(NOT(ISNUMBER($C708)),NOT(ISNUMBER($M708)),$M708=0),"",$C708/$M708-1)</f>
        <v/>
      </c>
      <c r="P708" s="54"/>
      <c r="Q708" s="53" t="str">
        <f aca="false">IF(NOT(ISNUMBER($P708)),"",IFERROR(PERCENTRANK($P$5:$P$1204,$P708),""))</f>
        <v/>
      </c>
    </row>
    <row r="709" customFormat="false" ht="15" hidden="false" customHeight="false" outlineLevel="0" collapsed="false">
      <c r="A709" s="55"/>
      <c r="B709" s="56"/>
      <c r="C709" s="57"/>
      <c r="D709" s="56"/>
      <c r="E709" s="56"/>
      <c r="F709" s="56"/>
      <c r="G709" s="50" t="str">
        <f aca="false">IF($A709="","",IF(ISNUMBER($G708),$G708+1,1))</f>
        <v/>
      </c>
      <c r="H709" s="51" t="str">
        <f aca="false">IF(OR(NOT(ISNUMBER($G709)),$G709&lt;2,NOT(ISNUMBER($C708)),$C708=0),"",$C709/$C708-1)</f>
        <v/>
      </c>
      <c r="I709" s="52" t="str">
        <f aca="false">IF(AND(ISNUMBER($G709),$G709&gt;=MA_SHORT),AVERAGE(INDEX($C$309:$C709,402-MA_SHORT):$C709),"")</f>
        <v/>
      </c>
      <c r="J709" s="52" t="str">
        <f aca="false">IF(AND(ISNUMBER($G709),$G709&gt;=MA_MED),AVERAGE(INDEX($C$309:$C709,402-MA_MED):$C709),"")</f>
        <v/>
      </c>
      <c r="K709" s="52" t="str">
        <f aca="false">IF(AND(ISNUMBER($G709),$G709&gt;=MA_LONG2),AVERAGE(INDEX($C$309:$C709,402-MA_LONG2):$C709),"")</f>
        <v/>
      </c>
      <c r="L709" s="53" t="str">
        <f aca="false">IF(AND(ISNUMBER($G709),$G709&gt;=21),STDEV(INDEX($H$649:$H709,62-20):$H709)*SQRT(245),"")</f>
        <v/>
      </c>
      <c r="M709" s="52" t="str">
        <f aca="false">IF(AND(ISNUMBER($G709),$G709&gt;=60),MAX(INDEX($D$509:$D709,202-60):$D709),"")</f>
        <v/>
      </c>
      <c r="N709" s="52" t="str">
        <f aca="false">IF(AND(ISNUMBER($G709),$G709&gt;=60),MIN(INDEX($E$509:$E709,202-60):$E709),"")</f>
        <v/>
      </c>
      <c r="O709" s="53" t="str">
        <f aca="false">IF(OR(NOT(ISNUMBER($C709)),NOT(ISNUMBER($M709)),$M709=0),"",$C709/$M709-1)</f>
        <v/>
      </c>
      <c r="P709" s="54"/>
      <c r="Q709" s="53" t="str">
        <f aca="false">IF(NOT(ISNUMBER($P709)),"",IFERROR(PERCENTRANK($P$5:$P$1204,$P709),""))</f>
        <v/>
      </c>
    </row>
    <row r="710" customFormat="false" ht="15" hidden="false" customHeight="false" outlineLevel="0" collapsed="false">
      <c r="A710" s="55"/>
      <c r="B710" s="56"/>
      <c r="C710" s="57"/>
      <c r="D710" s="56"/>
      <c r="E710" s="56"/>
      <c r="F710" s="56"/>
      <c r="G710" s="50" t="str">
        <f aca="false">IF($A710="","",IF(ISNUMBER($G709),$G709+1,1))</f>
        <v/>
      </c>
      <c r="H710" s="51" t="str">
        <f aca="false">IF(OR(NOT(ISNUMBER($G710)),$G710&lt;2,NOT(ISNUMBER($C709)),$C709=0),"",$C710/$C709-1)</f>
        <v/>
      </c>
      <c r="I710" s="52" t="str">
        <f aca="false">IF(AND(ISNUMBER($G710),$G710&gt;=MA_SHORT),AVERAGE(INDEX($C$310:$C710,402-MA_SHORT):$C710),"")</f>
        <v/>
      </c>
      <c r="J710" s="52" t="str">
        <f aca="false">IF(AND(ISNUMBER($G710),$G710&gt;=MA_MED),AVERAGE(INDEX($C$310:$C710,402-MA_MED):$C710),"")</f>
        <v/>
      </c>
      <c r="K710" s="52" t="str">
        <f aca="false">IF(AND(ISNUMBER($G710),$G710&gt;=MA_LONG2),AVERAGE(INDEX($C$310:$C710,402-MA_LONG2):$C710),"")</f>
        <v/>
      </c>
      <c r="L710" s="53" t="str">
        <f aca="false">IF(AND(ISNUMBER($G710),$G710&gt;=21),STDEV(INDEX($H$650:$H710,62-20):$H710)*SQRT(245),"")</f>
        <v/>
      </c>
      <c r="M710" s="52" t="str">
        <f aca="false">IF(AND(ISNUMBER($G710),$G710&gt;=60),MAX(INDEX($D$510:$D710,202-60):$D710),"")</f>
        <v/>
      </c>
      <c r="N710" s="52" t="str">
        <f aca="false">IF(AND(ISNUMBER($G710),$G710&gt;=60),MIN(INDEX($E$510:$E710,202-60):$E710),"")</f>
        <v/>
      </c>
      <c r="O710" s="53" t="str">
        <f aca="false">IF(OR(NOT(ISNUMBER($C710)),NOT(ISNUMBER($M710)),$M710=0),"",$C710/$M710-1)</f>
        <v/>
      </c>
      <c r="P710" s="54"/>
      <c r="Q710" s="53" t="str">
        <f aca="false">IF(NOT(ISNUMBER($P710)),"",IFERROR(PERCENTRANK($P$5:$P$1204,$P710),""))</f>
        <v/>
      </c>
    </row>
    <row r="711" customFormat="false" ht="15" hidden="false" customHeight="false" outlineLevel="0" collapsed="false">
      <c r="A711" s="55"/>
      <c r="B711" s="56"/>
      <c r="C711" s="57"/>
      <c r="D711" s="56"/>
      <c r="E711" s="56"/>
      <c r="F711" s="56"/>
      <c r="G711" s="50" t="str">
        <f aca="false">IF($A711="","",IF(ISNUMBER($G710),$G710+1,1))</f>
        <v/>
      </c>
      <c r="H711" s="51" t="str">
        <f aca="false">IF(OR(NOT(ISNUMBER($G711)),$G711&lt;2,NOT(ISNUMBER($C710)),$C710=0),"",$C711/$C710-1)</f>
        <v/>
      </c>
      <c r="I711" s="52" t="str">
        <f aca="false">IF(AND(ISNUMBER($G711),$G711&gt;=MA_SHORT),AVERAGE(INDEX($C$311:$C711,402-MA_SHORT):$C711),"")</f>
        <v/>
      </c>
      <c r="J711" s="52" t="str">
        <f aca="false">IF(AND(ISNUMBER($G711),$G711&gt;=MA_MED),AVERAGE(INDEX($C$311:$C711,402-MA_MED):$C711),"")</f>
        <v/>
      </c>
      <c r="K711" s="52" t="str">
        <f aca="false">IF(AND(ISNUMBER($G711),$G711&gt;=MA_LONG2),AVERAGE(INDEX($C$311:$C711,402-MA_LONG2):$C711),"")</f>
        <v/>
      </c>
      <c r="L711" s="53" t="str">
        <f aca="false">IF(AND(ISNUMBER($G711),$G711&gt;=21),STDEV(INDEX($H$651:$H711,62-20):$H711)*SQRT(245),"")</f>
        <v/>
      </c>
      <c r="M711" s="52" t="str">
        <f aca="false">IF(AND(ISNUMBER($G711),$G711&gt;=60),MAX(INDEX($D$511:$D711,202-60):$D711),"")</f>
        <v/>
      </c>
      <c r="N711" s="52" t="str">
        <f aca="false">IF(AND(ISNUMBER($G711),$G711&gt;=60),MIN(INDEX($E$511:$E711,202-60):$E711),"")</f>
        <v/>
      </c>
      <c r="O711" s="53" t="str">
        <f aca="false">IF(OR(NOT(ISNUMBER($C711)),NOT(ISNUMBER($M711)),$M711=0),"",$C711/$M711-1)</f>
        <v/>
      </c>
      <c r="P711" s="54"/>
      <c r="Q711" s="53" t="str">
        <f aca="false">IF(NOT(ISNUMBER($P711)),"",IFERROR(PERCENTRANK($P$5:$P$1204,$P711),""))</f>
        <v/>
      </c>
    </row>
    <row r="712" customFormat="false" ht="15" hidden="false" customHeight="false" outlineLevel="0" collapsed="false">
      <c r="A712" s="55"/>
      <c r="B712" s="56"/>
      <c r="C712" s="57"/>
      <c r="D712" s="56"/>
      <c r="E712" s="56"/>
      <c r="F712" s="56"/>
      <c r="G712" s="50" t="str">
        <f aca="false">IF($A712="","",IF(ISNUMBER($G711),$G711+1,1))</f>
        <v/>
      </c>
      <c r="H712" s="51" t="str">
        <f aca="false">IF(OR(NOT(ISNUMBER($G712)),$G712&lt;2,NOT(ISNUMBER($C711)),$C711=0),"",$C712/$C711-1)</f>
        <v/>
      </c>
      <c r="I712" s="52" t="str">
        <f aca="false">IF(AND(ISNUMBER($G712),$G712&gt;=MA_SHORT),AVERAGE(INDEX($C$312:$C712,402-MA_SHORT):$C712),"")</f>
        <v/>
      </c>
      <c r="J712" s="52" t="str">
        <f aca="false">IF(AND(ISNUMBER($G712),$G712&gt;=MA_MED),AVERAGE(INDEX($C$312:$C712,402-MA_MED):$C712),"")</f>
        <v/>
      </c>
      <c r="K712" s="52" t="str">
        <f aca="false">IF(AND(ISNUMBER($G712),$G712&gt;=MA_LONG2),AVERAGE(INDEX($C$312:$C712,402-MA_LONG2):$C712),"")</f>
        <v/>
      </c>
      <c r="L712" s="53" t="str">
        <f aca="false">IF(AND(ISNUMBER($G712),$G712&gt;=21),STDEV(INDEX($H$652:$H712,62-20):$H712)*SQRT(245),"")</f>
        <v/>
      </c>
      <c r="M712" s="52" t="str">
        <f aca="false">IF(AND(ISNUMBER($G712),$G712&gt;=60),MAX(INDEX($D$512:$D712,202-60):$D712),"")</f>
        <v/>
      </c>
      <c r="N712" s="52" t="str">
        <f aca="false">IF(AND(ISNUMBER($G712),$G712&gt;=60),MIN(INDEX($E$512:$E712,202-60):$E712),"")</f>
        <v/>
      </c>
      <c r="O712" s="53" t="str">
        <f aca="false">IF(OR(NOT(ISNUMBER($C712)),NOT(ISNUMBER($M712)),$M712=0),"",$C712/$M712-1)</f>
        <v/>
      </c>
      <c r="P712" s="54"/>
      <c r="Q712" s="53" t="str">
        <f aca="false">IF(NOT(ISNUMBER($P712)),"",IFERROR(PERCENTRANK($P$5:$P$1204,$P712),""))</f>
        <v/>
      </c>
    </row>
    <row r="713" customFormat="false" ht="15" hidden="false" customHeight="false" outlineLevel="0" collapsed="false">
      <c r="A713" s="55"/>
      <c r="B713" s="56"/>
      <c r="C713" s="57"/>
      <c r="D713" s="56"/>
      <c r="E713" s="56"/>
      <c r="F713" s="56"/>
      <c r="G713" s="50" t="str">
        <f aca="false">IF($A713="","",IF(ISNUMBER($G712),$G712+1,1))</f>
        <v/>
      </c>
      <c r="H713" s="51" t="str">
        <f aca="false">IF(OR(NOT(ISNUMBER($G713)),$G713&lt;2,NOT(ISNUMBER($C712)),$C712=0),"",$C713/$C712-1)</f>
        <v/>
      </c>
      <c r="I713" s="52" t="str">
        <f aca="false">IF(AND(ISNUMBER($G713),$G713&gt;=MA_SHORT),AVERAGE(INDEX($C$313:$C713,402-MA_SHORT):$C713),"")</f>
        <v/>
      </c>
      <c r="J713" s="52" t="str">
        <f aca="false">IF(AND(ISNUMBER($G713),$G713&gt;=MA_MED),AVERAGE(INDEX($C$313:$C713,402-MA_MED):$C713),"")</f>
        <v/>
      </c>
      <c r="K713" s="52" t="str">
        <f aca="false">IF(AND(ISNUMBER($G713),$G713&gt;=MA_LONG2),AVERAGE(INDEX($C$313:$C713,402-MA_LONG2):$C713),"")</f>
        <v/>
      </c>
      <c r="L713" s="53" t="str">
        <f aca="false">IF(AND(ISNUMBER($G713),$G713&gt;=21),STDEV(INDEX($H$653:$H713,62-20):$H713)*SQRT(245),"")</f>
        <v/>
      </c>
      <c r="M713" s="52" t="str">
        <f aca="false">IF(AND(ISNUMBER($G713),$G713&gt;=60),MAX(INDEX($D$513:$D713,202-60):$D713),"")</f>
        <v/>
      </c>
      <c r="N713" s="52" t="str">
        <f aca="false">IF(AND(ISNUMBER($G713),$G713&gt;=60),MIN(INDEX($E$513:$E713,202-60):$E713),"")</f>
        <v/>
      </c>
      <c r="O713" s="53" t="str">
        <f aca="false">IF(OR(NOT(ISNUMBER($C713)),NOT(ISNUMBER($M713)),$M713=0),"",$C713/$M713-1)</f>
        <v/>
      </c>
      <c r="P713" s="54"/>
      <c r="Q713" s="53" t="str">
        <f aca="false">IF(NOT(ISNUMBER($P713)),"",IFERROR(PERCENTRANK($P$5:$P$1204,$P713),""))</f>
        <v/>
      </c>
    </row>
    <row r="714" customFormat="false" ht="15" hidden="false" customHeight="false" outlineLevel="0" collapsed="false">
      <c r="A714" s="55"/>
      <c r="B714" s="56"/>
      <c r="C714" s="57"/>
      <c r="D714" s="56"/>
      <c r="E714" s="56"/>
      <c r="F714" s="56"/>
      <c r="G714" s="50" t="str">
        <f aca="false">IF($A714="","",IF(ISNUMBER($G713),$G713+1,1))</f>
        <v/>
      </c>
      <c r="H714" s="51" t="str">
        <f aca="false">IF(OR(NOT(ISNUMBER($G714)),$G714&lt;2,NOT(ISNUMBER($C713)),$C713=0),"",$C714/$C713-1)</f>
        <v/>
      </c>
      <c r="I714" s="52" t="str">
        <f aca="false">IF(AND(ISNUMBER($G714),$G714&gt;=MA_SHORT),AVERAGE(INDEX($C$314:$C714,402-MA_SHORT):$C714),"")</f>
        <v/>
      </c>
      <c r="J714" s="52" t="str">
        <f aca="false">IF(AND(ISNUMBER($G714),$G714&gt;=MA_MED),AVERAGE(INDEX($C$314:$C714,402-MA_MED):$C714),"")</f>
        <v/>
      </c>
      <c r="K714" s="52" t="str">
        <f aca="false">IF(AND(ISNUMBER($G714),$G714&gt;=MA_LONG2),AVERAGE(INDEX($C$314:$C714,402-MA_LONG2):$C714),"")</f>
        <v/>
      </c>
      <c r="L714" s="53" t="str">
        <f aca="false">IF(AND(ISNUMBER($G714),$G714&gt;=21),STDEV(INDEX($H$654:$H714,62-20):$H714)*SQRT(245),"")</f>
        <v/>
      </c>
      <c r="M714" s="52" t="str">
        <f aca="false">IF(AND(ISNUMBER($G714),$G714&gt;=60),MAX(INDEX($D$514:$D714,202-60):$D714),"")</f>
        <v/>
      </c>
      <c r="N714" s="52" t="str">
        <f aca="false">IF(AND(ISNUMBER($G714),$G714&gt;=60),MIN(INDEX($E$514:$E714,202-60):$E714),"")</f>
        <v/>
      </c>
      <c r="O714" s="53" t="str">
        <f aca="false">IF(OR(NOT(ISNUMBER($C714)),NOT(ISNUMBER($M714)),$M714=0),"",$C714/$M714-1)</f>
        <v/>
      </c>
      <c r="P714" s="54"/>
      <c r="Q714" s="53" t="str">
        <f aca="false">IF(NOT(ISNUMBER($P714)),"",IFERROR(PERCENTRANK($P$5:$P$1204,$P714),""))</f>
        <v/>
      </c>
    </row>
    <row r="715" customFormat="false" ht="15" hidden="false" customHeight="false" outlineLevel="0" collapsed="false">
      <c r="A715" s="55"/>
      <c r="B715" s="56"/>
      <c r="C715" s="57"/>
      <c r="D715" s="56"/>
      <c r="E715" s="56"/>
      <c r="F715" s="56"/>
      <c r="G715" s="50" t="str">
        <f aca="false">IF($A715="","",IF(ISNUMBER($G714),$G714+1,1))</f>
        <v/>
      </c>
      <c r="H715" s="51" t="str">
        <f aca="false">IF(OR(NOT(ISNUMBER($G715)),$G715&lt;2,NOT(ISNUMBER($C714)),$C714=0),"",$C715/$C714-1)</f>
        <v/>
      </c>
      <c r="I715" s="52" t="str">
        <f aca="false">IF(AND(ISNUMBER($G715),$G715&gt;=MA_SHORT),AVERAGE(INDEX($C$315:$C715,402-MA_SHORT):$C715),"")</f>
        <v/>
      </c>
      <c r="J715" s="52" t="str">
        <f aca="false">IF(AND(ISNUMBER($G715),$G715&gt;=MA_MED),AVERAGE(INDEX($C$315:$C715,402-MA_MED):$C715),"")</f>
        <v/>
      </c>
      <c r="K715" s="52" t="str">
        <f aca="false">IF(AND(ISNUMBER($G715),$G715&gt;=MA_LONG2),AVERAGE(INDEX($C$315:$C715,402-MA_LONG2):$C715),"")</f>
        <v/>
      </c>
      <c r="L715" s="53" t="str">
        <f aca="false">IF(AND(ISNUMBER($G715),$G715&gt;=21),STDEV(INDEX($H$655:$H715,62-20):$H715)*SQRT(245),"")</f>
        <v/>
      </c>
      <c r="M715" s="52" t="str">
        <f aca="false">IF(AND(ISNUMBER($G715),$G715&gt;=60),MAX(INDEX($D$515:$D715,202-60):$D715),"")</f>
        <v/>
      </c>
      <c r="N715" s="52" t="str">
        <f aca="false">IF(AND(ISNUMBER($G715),$G715&gt;=60),MIN(INDEX($E$515:$E715,202-60):$E715),"")</f>
        <v/>
      </c>
      <c r="O715" s="53" t="str">
        <f aca="false">IF(OR(NOT(ISNUMBER($C715)),NOT(ISNUMBER($M715)),$M715=0),"",$C715/$M715-1)</f>
        <v/>
      </c>
      <c r="P715" s="54"/>
      <c r="Q715" s="53" t="str">
        <f aca="false">IF(NOT(ISNUMBER($P715)),"",IFERROR(PERCENTRANK($P$5:$P$1204,$P715),""))</f>
        <v/>
      </c>
    </row>
    <row r="716" customFormat="false" ht="15" hidden="false" customHeight="false" outlineLevel="0" collapsed="false">
      <c r="A716" s="55"/>
      <c r="B716" s="56"/>
      <c r="C716" s="57"/>
      <c r="D716" s="56"/>
      <c r="E716" s="56"/>
      <c r="F716" s="56"/>
      <c r="G716" s="50" t="str">
        <f aca="false">IF($A716="","",IF(ISNUMBER($G715),$G715+1,1))</f>
        <v/>
      </c>
      <c r="H716" s="51" t="str">
        <f aca="false">IF(OR(NOT(ISNUMBER($G716)),$G716&lt;2,NOT(ISNUMBER($C715)),$C715=0),"",$C716/$C715-1)</f>
        <v/>
      </c>
      <c r="I716" s="52" t="str">
        <f aca="false">IF(AND(ISNUMBER($G716),$G716&gt;=MA_SHORT),AVERAGE(INDEX($C$316:$C716,402-MA_SHORT):$C716),"")</f>
        <v/>
      </c>
      <c r="J716" s="52" t="str">
        <f aca="false">IF(AND(ISNUMBER($G716),$G716&gt;=MA_MED),AVERAGE(INDEX($C$316:$C716,402-MA_MED):$C716),"")</f>
        <v/>
      </c>
      <c r="K716" s="52" t="str">
        <f aca="false">IF(AND(ISNUMBER($G716),$G716&gt;=MA_LONG2),AVERAGE(INDEX($C$316:$C716,402-MA_LONG2):$C716),"")</f>
        <v/>
      </c>
      <c r="L716" s="53" t="str">
        <f aca="false">IF(AND(ISNUMBER($G716),$G716&gt;=21),STDEV(INDEX($H$656:$H716,62-20):$H716)*SQRT(245),"")</f>
        <v/>
      </c>
      <c r="M716" s="52" t="str">
        <f aca="false">IF(AND(ISNUMBER($G716),$G716&gt;=60),MAX(INDEX($D$516:$D716,202-60):$D716),"")</f>
        <v/>
      </c>
      <c r="N716" s="52" t="str">
        <f aca="false">IF(AND(ISNUMBER($G716),$G716&gt;=60),MIN(INDEX($E$516:$E716,202-60):$E716),"")</f>
        <v/>
      </c>
      <c r="O716" s="53" t="str">
        <f aca="false">IF(OR(NOT(ISNUMBER($C716)),NOT(ISNUMBER($M716)),$M716=0),"",$C716/$M716-1)</f>
        <v/>
      </c>
      <c r="P716" s="54"/>
      <c r="Q716" s="53" t="str">
        <f aca="false">IF(NOT(ISNUMBER($P716)),"",IFERROR(PERCENTRANK($P$5:$P$1204,$P716),""))</f>
        <v/>
      </c>
    </row>
    <row r="717" customFormat="false" ht="15" hidden="false" customHeight="false" outlineLevel="0" collapsed="false">
      <c r="A717" s="55"/>
      <c r="B717" s="56"/>
      <c r="C717" s="57"/>
      <c r="D717" s="56"/>
      <c r="E717" s="56"/>
      <c r="F717" s="56"/>
      <c r="G717" s="50" t="str">
        <f aca="false">IF($A717="","",IF(ISNUMBER($G716),$G716+1,1))</f>
        <v/>
      </c>
      <c r="H717" s="51" t="str">
        <f aca="false">IF(OR(NOT(ISNUMBER($G717)),$G717&lt;2,NOT(ISNUMBER($C716)),$C716=0),"",$C717/$C716-1)</f>
        <v/>
      </c>
      <c r="I717" s="52" t="str">
        <f aca="false">IF(AND(ISNUMBER($G717),$G717&gt;=MA_SHORT),AVERAGE(INDEX($C$317:$C717,402-MA_SHORT):$C717),"")</f>
        <v/>
      </c>
      <c r="J717" s="52" t="str">
        <f aca="false">IF(AND(ISNUMBER($G717),$G717&gt;=MA_MED),AVERAGE(INDEX($C$317:$C717,402-MA_MED):$C717),"")</f>
        <v/>
      </c>
      <c r="K717" s="52" t="str">
        <f aca="false">IF(AND(ISNUMBER($G717),$G717&gt;=MA_LONG2),AVERAGE(INDEX($C$317:$C717,402-MA_LONG2):$C717),"")</f>
        <v/>
      </c>
      <c r="L717" s="53" t="str">
        <f aca="false">IF(AND(ISNUMBER($G717),$G717&gt;=21),STDEV(INDEX($H$657:$H717,62-20):$H717)*SQRT(245),"")</f>
        <v/>
      </c>
      <c r="M717" s="52" t="str">
        <f aca="false">IF(AND(ISNUMBER($G717),$G717&gt;=60),MAX(INDEX($D$517:$D717,202-60):$D717),"")</f>
        <v/>
      </c>
      <c r="N717" s="52" t="str">
        <f aca="false">IF(AND(ISNUMBER($G717),$G717&gt;=60),MIN(INDEX($E$517:$E717,202-60):$E717),"")</f>
        <v/>
      </c>
      <c r="O717" s="53" t="str">
        <f aca="false">IF(OR(NOT(ISNUMBER($C717)),NOT(ISNUMBER($M717)),$M717=0),"",$C717/$M717-1)</f>
        <v/>
      </c>
      <c r="P717" s="54"/>
      <c r="Q717" s="53" t="str">
        <f aca="false">IF(NOT(ISNUMBER($P717)),"",IFERROR(PERCENTRANK($P$5:$P$1204,$P717),""))</f>
        <v/>
      </c>
    </row>
    <row r="718" customFormat="false" ht="15" hidden="false" customHeight="false" outlineLevel="0" collapsed="false">
      <c r="A718" s="55"/>
      <c r="B718" s="56"/>
      <c r="C718" s="57"/>
      <c r="D718" s="56"/>
      <c r="E718" s="56"/>
      <c r="F718" s="56"/>
      <c r="G718" s="50" t="str">
        <f aca="false">IF($A718="","",IF(ISNUMBER($G717),$G717+1,1))</f>
        <v/>
      </c>
      <c r="H718" s="51" t="str">
        <f aca="false">IF(OR(NOT(ISNUMBER($G718)),$G718&lt;2,NOT(ISNUMBER($C717)),$C717=0),"",$C718/$C717-1)</f>
        <v/>
      </c>
      <c r="I718" s="52" t="str">
        <f aca="false">IF(AND(ISNUMBER($G718),$G718&gt;=MA_SHORT),AVERAGE(INDEX($C$318:$C718,402-MA_SHORT):$C718),"")</f>
        <v/>
      </c>
      <c r="J718" s="52" t="str">
        <f aca="false">IF(AND(ISNUMBER($G718),$G718&gt;=MA_MED),AVERAGE(INDEX($C$318:$C718,402-MA_MED):$C718),"")</f>
        <v/>
      </c>
      <c r="K718" s="52" t="str">
        <f aca="false">IF(AND(ISNUMBER($G718),$G718&gt;=MA_LONG2),AVERAGE(INDEX($C$318:$C718,402-MA_LONG2):$C718),"")</f>
        <v/>
      </c>
      <c r="L718" s="53" t="str">
        <f aca="false">IF(AND(ISNUMBER($G718),$G718&gt;=21),STDEV(INDEX($H$658:$H718,62-20):$H718)*SQRT(245),"")</f>
        <v/>
      </c>
      <c r="M718" s="52" t="str">
        <f aca="false">IF(AND(ISNUMBER($G718),$G718&gt;=60),MAX(INDEX($D$518:$D718,202-60):$D718),"")</f>
        <v/>
      </c>
      <c r="N718" s="52" t="str">
        <f aca="false">IF(AND(ISNUMBER($G718),$G718&gt;=60),MIN(INDEX($E$518:$E718,202-60):$E718),"")</f>
        <v/>
      </c>
      <c r="O718" s="53" t="str">
        <f aca="false">IF(OR(NOT(ISNUMBER($C718)),NOT(ISNUMBER($M718)),$M718=0),"",$C718/$M718-1)</f>
        <v/>
      </c>
      <c r="P718" s="54"/>
      <c r="Q718" s="53" t="str">
        <f aca="false">IF(NOT(ISNUMBER($P718)),"",IFERROR(PERCENTRANK($P$5:$P$1204,$P718),""))</f>
        <v/>
      </c>
    </row>
    <row r="719" customFormat="false" ht="15" hidden="false" customHeight="false" outlineLevel="0" collapsed="false">
      <c r="A719" s="55"/>
      <c r="B719" s="56"/>
      <c r="C719" s="57"/>
      <c r="D719" s="56"/>
      <c r="E719" s="56"/>
      <c r="F719" s="56"/>
      <c r="G719" s="50" t="str">
        <f aca="false">IF($A719="","",IF(ISNUMBER($G718),$G718+1,1))</f>
        <v/>
      </c>
      <c r="H719" s="51" t="str">
        <f aca="false">IF(OR(NOT(ISNUMBER($G719)),$G719&lt;2,NOT(ISNUMBER($C718)),$C718=0),"",$C719/$C718-1)</f>
        <v/>
      </c>
      <c r="I719" s="52" t="str">
        <f aca="false">IF(AND(ISNUMBER($G719),$G719&gt;=MA_SHORT),AVERAGE(INDEX($C$319:$C719,402-MA_SHORT):$C719),"")</f>
        <v/>
      </c>
      <c r="J719" s="52" t="str">
        <f aca="false">IF(AND(ISNUMBER($G719),$G719&gt;=MA_MED),AVERAGE(INDEX($C$319:$C719,402-MA_MED):$C719),"")</f>
        <v/>
      </c>
      <c r="K719" s="52" t="str">
        <f aca="false">IF(AND(ISNUMBER($G719),$G719&gt;=MA_LONG2),AVERAGE(INDEX($C$319:$C719,402-MA_LONG2):$C719),"")</f>
        <v/>
      </c>
      <c r="L719" s="53" t="str">
        <f aca="false">IF(AND(ISNUMBER($G719),$G719&gt;=21),STDEV(INDEX($H$659:$H719,62-20):$H719)*SQRT(245),"")</f>
        <v/>
      </c>
      <c r="M719" s="52" t="str">
        <f aca="false">IF(AND(ISNUMBER($G719),$G719&gt;=60),MAX(INDEX($D$519:$D719,202-60):$D719),"")</f>
        <v/>
      </c>
      <c r="N719" s="52" t="str">
        <f aca="false">IF(AND(ISNUMBER($G719),$G719&gt;=60),MIN(INDEX($E$519:$E719,202-60):$E719),"")</f>
        <v/>
      </c>
      <c r="O719" s="53" t="str">
        <f aca="false">IF(OR(NOT(ISNUMBER($C719)),NOT(ISNUMBER($M719)),$M719=0),"",$C719/$M719-1)</f>
        <v/>
      </c>
      <c r="P719" s="54"/>
      <c r="Q719" s="53" t="str">
        <f aca="false">IF(NOT(ISNUMBER($P719)),"",IFERROR(PERCENTRANK($P$5:$P$1204,$P719),""))</f>
        <v/>
      </c>
    </row>
    <row r="720" customFormat="false" ht="15" hidden="false" customHeight="false" outlineLevel="0" collapsed="false">
      <c r="A720" s="55"/>
      <c r="B720" s="56"/>
      <c r="C720" s="57"/>
      <c r="D720" s="56"/>
      <c r="E720" s="56"/>
      <c r="F720" s="56"/>
      <c r="G720" s="50" t="str">
        <f aca="false">IF($A720="","",IF(ISNUMBER($G719),$G719+1,1))</f>
        <v/>
      </c>
      <c r="H720" s="51" t="str">
        <f aca="false">IF(OR(NOT(ISNUMBER($G720)),$G720&lt;2,NOT(ISNUMBER($C719)),$C719=0),"",$C720/$C719-1)</f>
        <v/>
      </c>
      <c r="I720" s="52" t="str">
        <f aca="false">IF(AND(ISNUMBER($G720),$G720&gt;=MA_SHORT),AVERAGE(INDEX($C$320:$C720,402-MA_SHORT):$C720),"")</f>
        <v/>
      </c>
      <c r="J720" s="52" t="str">
        <f aca="false">IF(AND(ISNUMBER($G720),$G720&gt;=MA_MED),AVERAGE(INDEX($C$320:$C720,402-MA_MED):$C720),"")</f>
        <v/>
      </c>
      <c r="K720" s="52" t="str">
        <f aca="false">IF(AND(ISNUMBER($G720),$G720&gt;=MA_LONG2),AVERAGE(INDEX($C$320:$C720,402-MA_LONG2):$C720),"")</f>
        <v/>
      </c>
      <c r="L720" s="53" t="str">
        <f aca="false">IF(AND(ISNUMBER($G720),$G720&gt;=21),STDEV(INDEX($H$660:$H720,62-20):$H720)*SQRT(245),"")</f>
        <v/>
      </c>
      <c r="M720" s="52" t="str">
        <f aca="false">IF(AND(ISNUMBER($G720),$G720&gt;=60),MAX(INDEX($D$520:$D720,202-60):$D720),"")</f>
        <v/>
      </c>
      <c r="N720" s="52" t="str">
        <f aca="false">IF(AND(ISNUMBER($G720),$G720&gt;=60),MIN(INDEX($E$520:$E720,202-60):$E720),"")</f>
        <v/>
      </c>
      <c r="O720" s="53" t="str">
        <f aca="false">IF(OR(NOT(ISNUMBER($C720)),NOT(ISNUMBER($M720)),$M720=0),"",$C720/$M720-1)</f>
        <v/>
      </c>
      <c r="P720" s="54"/>
      <c r="Q720" s="53" t="str">
        <f aca="false">IF(NOT(ISNUMBER($P720)),"",IFERROR(PERCENTRANK($P$5:$P$1204,$P720),""))</f>
        <v/>
      </c>
    </row>
    <row r="721" customFormat="false" ht="15" hidden="false" customHeight="false" outlineLevel="0" collapsed="false">
      <c r="A721" s="55"/>
      <c r="B721" s="56"/>
      <c r="C721" s="57"/>
      <c r="D721" s="56"/>
      <c r="E721" s="56"/>
      <c r="F721" s="56"/>
      <c r="G721" s="50" t="str">
        <f aca="false">IF($A721="","",IF(ISNUMBER($G720),$G720+1,1))</f>
        <v/>
      </c>
      <c r="H721" s="51" t="str">
        <f aca="false">IF(OR(NOT(ISNUMBER($G721)),$G721&lt;2,NOT(ISNUMBER($C720)),$C720=0),"",$C721/$C720-1)</f>
        <v/>
      </c>
      <c r="I721" s="52" t="str">
        <f aca="false">IF(AND(ISNUMBER($G721),$G721&gt;=MA_SHORT),AVERAGE(INDEX($C$321:$C721,402-MA_SHORT):$C721),"")</f>
        <v/>
      </c>
      <c r="J721" s="52" t="str">
        <f aca="false">IF(AND(ISNUMBER($G721),$G721&gt;=MA_MED),AVERAGE(INDEX($C$321:$C721,402-MA_MED):$C721),"")</f>
        <v/>
      </c>
      <c r="K721" s="52" t="str">
        <f aca="false">IF(AND(ISNUMBER($G721),$G721&gt;=MA_LONG2),AVERAGE(INDEX($C$321:$C721,402-MA_LONG2):$C721),"")</f>
        <v/>
      </c>
      <c r="L721" s="53" t="str">
        <f aca="false">IF(AND(ISNUMBER($G721),$G721&gt;=21),STDEV(INDEX($H$661:$H721,62-20):$H721)*SQRT(245),"")</f>
        <v/>
      </c>
      <c r="M721" s="52" t="str">
        <f aca="false">IF(AND(ISNUMBER($G721),$G721&gt;=60),MAX(INDEX($D$521:$D721,202-60):$D721),"")</f>
        <v/>
      </c>
      <c r="N721" s="52" t="str">
        <f aca="false">IF(AND(ISNUMBER($G721),$G721&gt;=60),MIN(INDEX($E$521:$E721,202-60):$E721),"")</f>
        <v/>
      </c>
      <c r="O721" s="53" t="str">
        <f aca="false">IF(OR(NOT(ISNUMBER($C721)),NOT(ISNUMBER($M721)),$M721=0),"",$C721/$M721-1)</f>
        <v/>
      </c>
      <c r="P721" s="54"/>
      <c r="Q721" s="53" t="str">
        <f aca="false">IF(NOT(ISNUMBER($P721)),"",IFERROR(PERCENTRANK($P$5:$P$1204,$P721),""))</f>
        <v/>
      </c>
    </row>
    <row r="722" customFormat="false" ht="15" hidden="false" customHeight="false" outlineLevel="0" collapsed="false">
      <c r="A722" s="55"/>
      <c r="B722" s="56"/>
      <c r="C722" s="57"/>
      <c r="D722" s="56"/>
      <c r="E722" s="56"/>
      <c r="F722" s="56"/>
      <c r="G722" s="50" t="str">
        <f aca="false">IF($A722="","",IF(ISNUMBER($G721),$G721+1,1))</f>
        <v/>
      </c>
      <c r="H722" s="51" t="str">
        <f aca="false">IF(OR(NOT(ISNUMBER($G722)),$G722&lt;2,NOT(ISNUMBER($C721)),$C721=0),"",$C722/$C721-1)</f>
        <v/>
      </c>
      <c r="I722" s="52" t="str">
        <f aca="false">IF(AND(ISNUMBER($G722),$G722&gt;=MA_SHORT),AVERAGE(INDEX($C$322:$C722,402-MA_SHORT):$C722),"")</f>
        <v/>
      </c>
      <c r="J722" s="52" t="str">
        <f aca="false">IF(AND(ISNUMBER($G722),$G722&gt;=MA_MED),AVERAGE(INDEX($C$322:$C722,402-MA_MED):$C722),"")</f>
        <v/>
      </c>
      <c r="K722" s="52" t="str">
        <f aca="false">IF(AND(ISNUMBER($G722),$G722&gt;=MA_LONG2),AVERAGE(INDEX($C$322:$C722,402-MA_LONG2):$C722),"")</f>
        <v/>
      </c>
      <c r="L722" s="53" t="str">
        <f aca="false">IF(AND(ISNUMBER($G722),$G722&gt;=21),STDEV(INDEX($H$662:$H722,62-20):$H722)*SQRT(245),"")</f>
        <v/>
      </c>
      <c r="M722" s="52" t="str">
        <f aca="false">IF(AND(ISNUMBER($G722),$G722&gt;=60),MAX(INDEX($D$522:$D722,202-60):$D722),"")</f>
        <v/>
      </c>
      <c r="N722" s="52" t="str">
        <f aca="false">IF(AND(ISNUMBER($G722),$G722&gt;=60),MIN(INDEX($E$522:$E722,202-60):$E722),"")</f>
        <v/>
      </c>
      <c r="O722" s="53" t="str">
        <f aca="false">IF(OR(NOT(ISNUMBER($C722)),NOT(ISNUMBER($M722)),$M722=0),"",$C722/$M722-1)</f>
        <v/>
      </c>
      <c r="P722" s="54"/>
      <c r="Q722" s="53" t="str">
        <f aca="false">IF(NOT(ISNUMBER($P722)),"",IFERROR(PERCENTRANK($P$5:$P$1204,$P722),""))</f>
        <v/>
      </c>
    </row>
    <row r="723" customFormat="false" ht="15" hidden="false" customHeight="false" outlineLevel="0" collapsed="false">
      <c r="A723" s="55"/>
      <c r="B723" s="56"/>
      <c r="C723" s="57"/>
      <c r="D723" s="56"/>
      <c r="E723" s="56"/>
      <c r="F723" s="56"/>
      <c r="G723" s="50" t="str">
        <f aca="false">IF($A723="","",IF(ISNUMBER($G722),$G722+1,1))</f>
        <v/>
      </c>
      <c r="H723" s="51" t="str">
        <f aca="false">IF(OR(NOT(ISNUMBER($G723)),$G723&lt;2,NOT(ISNUMBER($C722)),$C722=0),"",$C723/$C722-1)</f>
        <v/>
      </c>
      <c r="I723" s="52" t="str">
        <f aca="false">IF(AND(ISNUMBER($G723),$G723&gt;=MA_SHORT),AVERAGE(INDEX($C$323:$C723,402-MA_SHORT):$C723),"")</f>
        <v/>
      </c>
      <c r="J723" s="52" t="str">
        <f aca="false">IF(AND(ISNUMBER($G723),$G723&gt;=MA_MED),AVERAGE(INDEX($C$323:$C723,402-MA_MED):$C723),"")</f>
        <v/>
      </c>
      <c r="K723" s="52" t="str">
        <f aca="false">IF(AND(ISNUMBER($G723),$G723&gt;=MA_LONG2),AVERAGE(INDEX($C$323:$C723,402-MA_LONG2):$C723),"")</f>
        <v/>
      </c>
      <c r="L723" s="53" t="str">
        <f aca="false">IF(AND(ISNUMBER($G723),$G723&gt;=21),STDEV(INDEX($H$663:$H723,62-20):$H723)*SQRT(245),"")</f>
        <v/>
      </c>
      <c r="M723" s="52" t="str">
        <f aca="false">IF(AND(ISNUMBER($G723),$G723&gt;=60),MAX(INDEX($D$523:$D723,202-60):$D723),"")</f>
        <v/>
      </c>
      <c r="N723" s="52" t="str">
        <f aca="false">IF(AND(ISNUMBER($G723),$G723&gt;=60),MIN(INDEX($E$523:$E723,202-60):$E723),"")</f>
        <v/>
      </c>
      <c r="O723" s="53" t="str">
        <f aca="false">IF(OR(NOT(ISNUMBER($C723)),NOT(ISNUMBER($M723)),$M723=0),"",$C723/$M723-1)</f>
        <v/>
      </c>
      <c r="P723" s="54"/>
      <c r="Q723" s="53" t="str">
        <f aca="false">IF(NOT(ISNUMBER($P723)),"",IFERROR(PERCENTRANK($P$5:$P$1204,$P723),""))</f>
        <v/>
      </c>
    </row>
    <row r="724" customFormat="false" ht="15" hidden="false" customHeight="false" outlineLevel="0" collapsed="false">
      <c r="A724" s="55"/>
      <c r="B724" s="56"/>
      <c r="C724" s="57"/>
      <c r="D724" s="56"/>
      <c r="E724" s="56"/>
      <c r="F724" s="56"/>
      <c r="G724" s="50" t="str">
        <f aca="false">IF($A724="","",IF(ISNUMBER($G723),$G723+1,1))</f>
        <v/>
      </c>
      <c r="H724" s="51" t="str">
        <f aca="false">IF(OR(NOT(ISNUMBER($G724)),$G724&lt;2,NOT(ISNUMBER($C723)),$C723=0),"",$C724/$C723-1)</f>
        <v/>
      </c>
      <c r="I724" s="52" t="str">
        <f aca="false">IF(AND(ISNUMBER($G724),$G724&gt;=MA_SHORT),AVERAGE(INDEX($C$324:$C724,402-MA_SHORT):$C724),"")</f>
        <v/>
      </c>
      <c r="J724" s="52" t="str">
        <f aca="false">IF(AND(ISNUMBER($G724),$G724&gt;=MA_MED),AVERAGE(INDEX($C$324:$C724,402-MA_MED):$C724),"")</f>
        <v/>
      </c>
      <c r="K724" s="52" t="str">
        <f aca="false">IF(AND(ISNUMBER($G724),$G724&gt;=MA_LONG2),AVERAGE(INDEX($C$324:$C724,402-MA_LONG2):$C724),"")</f>
        <v/>
      </c>
      <c r="L724" s="53" t="str">
        <f aca="false">IF(AND(ISNUMBER($G724),$G724&gt;=21),STDEV(INDEX($H$664:$H724,62-20):$H724)*SQRT(245),"")</f>
        <v/>
      </c>
      <c r="M724" s="52" t="str">
        <f aca="false">IF(AND(ISNUMBER($G724),$G724&gt;=60),MAX(INDEX($D$524:$D724,202-60):$D724),"")</f>
        <v/>
      </c>
      <c r="N724" s="52" t="str">
        <f aca="false">IF(AND(ISNUMBER($G724),$G724&gt;=60),MIN(INDEX($E$524:$E724,202-60):$E724),"")</f>
        <v/>
      </c>
      <c r="O724" s="53" t="str">
        <f aca="false">IF(OR(NOT(ISNUMBER($C724)),NOT(ISNUMBER($M724)),$M724=0),"",$C724/$M724-1)</f>
        <v/>
      </c>
      <c r="P724" s="54"/>
      <c r="Q724" s="53" t="str">
        <f aca="false">IF(NOT(ISNUMBER($P724)),"",IFERROR(PERCENTRANK($P$5:$P$1204,$P724),""))</f>
        <v/>
      </c>
    </row>
    <row r="725" customFormat="false" ht="15" hidden="false" customHeight="false" outlineLevel="0" collapsed="false">
      <c r="A725" s="55"/>
      <c r="B725" s="56"/>
      <c r="C725" s="57"/>
      <c r="D725" s="56"/>
      <c r="E725" s="56"/>
      <c r="F725" s="56"/>
      <c r="G725" s="50" t="str">
        <f aca="false">IF($A725="","",IF(ISNUMBER($G724),$G724+1,1))</f>
        <v/>
      </c>
      <c r="H725" s="51" t="str">
        <f aca="false">IF(OR(NOT(ISNUMBER($G725)),$G725&lt;2,NOT(ISNUMBER($C724)),$C724=0),"",$C725/$C724-1)</f>
        <v/>
      </c>
      <c r="I725" s="52" t="str">
        <f aca="false">IF(AND(ISNUMBER($G725),$G725&gt;=MA_SHORT),AVERAGE(INDEX($C$325:$C725,402-MA_SHORT):$C725),"")</f>
        <v/>
      </c>
      <c r="J725" s="52" t="str">
        <f aca="false">IF(AND(ISNUMBER($G725),$G725&gt;=MA_MED),AVERAGE(INDEX($C$325:$C725,402-MA_MED):$C725),"")</f>
        <v/>
      </c>
      <c r="K725" s="52" t="str">
        <f aca="false">IF(AND(ISNUMBER($G725),$G725&gt;=MA_LONG2),AVERAGE(INDEX($C$325:$C725,402-MA_LONG2):$C725),"")</f>
        <v/>
      </c>
      <c r="L725" s="53" t="str">
        <f aca="false">IF(AND(ISNUMBER($G725),$G725&gt;=21),STDEV(INDEX($H$665:$H725,62-20):$H725)*SQRT(245),"")</f>
        <v/>
      </c>
      <c r="M725" s="52" t="str">
        <f aca="false">IF(AND(ISNUMBER($G725),$G725&gt;=60),MAX(INDEX($D$525:$D725,202-60):$D725),"")</f>
        <v/>
      </c>
      <c r="N725" s="52" t="str">
        <f aca="false">IF(AND(ISNUMBER($G725),$G725&gt;=60),MIN(INDEX($E$525:$E725,202-60):$E725),"")</f>
        <v/>
      </c>
      <c r="O725" s="53" t="str">
        <f aca="false">IF(OR(NOT(ISNUMBER($C725)),NOT(ISNUMBER($M725)),$M725=0),"",$C725/$M725-1)</f>
        <v/>
      </c>
      <c r="P725" s="54"/>
      <c r="Q725" s="53" t="str">
        <f aca="false">IF(NOT(ISNUMBER($P725)),"",IFERROR(PERCENTRANK($P$5:$P$1204,$P725),""))</f>
        <v/>
      </c>
    </row>
    <row r="726" customFormat="false" ht="15" hidden="false" customHeight="false" outlineLevel="0" collapsed="false">
      <c r="A726" s="55"/>
      <c r="B726" s="56"/>
      <c r="C726" s="57"/>
      <c r="D726" s="56"/>
      <c r="E726" s="56"/>
      <c r="F726" s="56"/>
      <c r="G726" s="50" t="str">
        <f aca="false">IF($A726="","",IF(ISNUMBER($G725),$G725+1,1))</f>
        <v/>
      </c>
      <c r="H726" s="51" t="str">
        <f aca="false">IF(OR(NOT(ISNUMBER($G726)),$G726&lt;2,NOT(ISNUMBER($C725)),$C725=0),"",$C726/$C725-1)</f>
        <v/>
      </c>
      <c r="I726" s="52" t="str">
        <f aca="false">IF(AND(ISNUMBER($G726),$G726&gt;=MA_SHORT),AVERAGE(INDEX($C$326:$C726,402-MA_SHORT):$C726),"")</f>
        <v/>
      </c>
      <c r="J726" s="52" t="str">
        <f aca="false">IF(AND(ISNUMBER($G726),$G726&gt;=MA_MED),AVERAGE(INDEX($C$326:$C726,402-MA_MED):$C726),"")</f>
        <v/>
      </c>
      <c r="K726" s="52" t="str">
        <f aca="false">IF(AND(ISNUMBER($G726),$G726&gt;=MA_LONG2),AVERAGE(INDEX($C$326:$C726,402-MA_LONG2):$C726),"")</f>
        <v/>
      </c>
      <c r="L726" s="53" t="str">
        <f aca="false">IF(AND(ISNUMBER($G726),$G726&gt;=21),STDEV(INDEX($H$666:$H726,62-20):$H726)*SQRT(245),"")</f>
        <v/>
      </c>
      <c r="M726" s="52" t="str">
        <f aca="false">IF(AND(ISNUMBER($G726),$G726&gt;=60),MAX(INDEX($D$526:$D726,202-60):$D726),"")</f>
        <v/>
      </c>
      <c r="N726" s="52" t="str">
        <f aca="false">IF(AND(ISNUMBER($G726),$G726&gt;=60),MIN(INDEX($E$526:$E726,202-60):$E726),"")</f>
        <v/>
      </c>
      <c r="O726" s="53" t="str">
        <f aca="false">IF(OR(NOT(ISNUMBER($C726)),NOT(ISNUMBER($M726)),$M726=0),"",$C726/$M726-1)</f>
        <v/>
      </c>
      <c r="P726" s="54"/>
      <c r="Q726" s="53" t="str">
        <f aca="false">IF(NOT(ISNUMBER($P726)),"",IFERROR(PERCENTRANK($P$5:$P$1204,$P726),""))</f>
        <v/>
      </c>
    </row>
    <row r="727" customFormat="false" ht="15" hidden="false" customHeight="false" outlineLevel="0" collapsed="false">
      <c r="A727" s="55"/>
      <c r="B727" s="56"/>
      <c r="C727" s="57"/>
      <c r="D727" s="56"/>
      <c r="E727" s="56"/>
      <c r="F727" s="56"/>
      <c r="G727" s="50" t="str">
        <f aca="false">IF($A727="","",IF(ISNUMBER($G726),$G726+1,1))</f>
        <v/>
      </c>
      <c r="H727" s="51" t="str">
        <f aca="false">IF(OR(NOT(ISNUMBER($G727)),$G727&lt;2,NOT(ISNUMBER($C726)),$C726=0),"",$C727/$C726-1)</f>
        <v/>
      </c>
      <c r="I727" s="52" t="str">
        <f aca="false">IF(AND(ISNUMBER($G727),$G727&gt;=MA_SHORT),AVERAGE(INDEX($C$327:$C727,402-MA_SHORT):$C727),"")</f>
        <v/>
      </c>
      <c r="J727" s="52" t="str">
        <f aca="false">IF(AND(ISNUMBER($G727),$G727&gt;=MA_MED),AVERAGE(INDEX($C$327:$C727,402-MA_MED):$C727),"")</f>
        <v/>
      </c>
      <c r="K727" s="52" t="str">
        <f aca="false">IF(AND(ISNUMBER($G727),$G727&gt;=MA_LONG2),AVERAGE(INDEX($C$327:$C727,402-MA_LONG2):$C727),"")</f>
        <v/>
      </c>
      <c r="L727" s="53" t="str">
        <f aca="false">IF(AND(ISNUMBER($G727),$G727&gt;=21),STDEV(INDEX($H$667:$H727,62-20):$H727)*SQRT(245),"")</f>
        <v/>
      </c>
      <c r="M727" s="52" t="str">
        <f aca="false">IF(AND(ISNUMBER($G727),$G727&gt;=60),MAX(INDEX($D$527:$D727,202-60):$D727),"")</f>
        <v/>
      </c>
      <c r="N727" s="52" t="str">
        <f aca="false">IF(AND(ISNUMBER($G727),$G727&gt;=60),MIN(INDEX($E$527:$E727,202-60):$E727),"")</f>
        <v/>
      </c>
      <c r="O727" s="53" t="str">
        <f aca="false">IF(OR(NOT(ISNUMBER($C727)),NOT(ISNUMBER($M727)),$M727=0),"",$C727/$M727-1)</f>
        <v/>
      </c>
      <c r="P727" s="54"/>
      <c r="Q727" s="53" t="str">
        <f aca="false">IF(NOT(ISNUMBER($P727)),"",IFERROR(PERCENTRANK($P$5:$P$1204,$P727),""))</f>
        <v/>
      </c>
    </row>
    <row r="728" customFormat="false" ht="15" hidden="false" customHeight="false" outlineLevel="0" collapsed="false">
      <c r="A728" s="55"/>
      <c r="B728" s="56"/>
      <c r="C728" s="57"/>
      <c r="D728" s="56"/>
      <c r="E728" s="56"/>
      <c r="F728" s="56"/>
      <c r="G728" s="50" t="str">
        <f aca="false">IF($A728="","",IF(ISNUMBER($G727),$G727+1,1))</f>
        <v/>
      </c>
      <c r="H728" s="51" t="str">
        <f aca="false">IF(OR(NOT(ISNUMBER($G728)),$G728&lt;2,NOT(ISNUMBER($C727)),$C727=0),"",$C728/$C727-1)</f>
        <v/>
      </c>
      <c r="I728" s="52" t="str">
        <f aca="false">IF(AND(ISNUMBER($G728),$G728&gt;=MA_SHORT),AVERAGE(INDEX($C$328:$C728,402-MA_SHORT):$C728),"")</f>
        <v/>
      </c>
      <c r="J728" s="52" t="str">
        <f aca="false">IF(AND(ISNUMBER($G728),$G728&gt;=MA_MED),AVERAGE(INDEX($C$328:$C728,402-MA_MED):$C728),"")</f>
        <v/>
      </c>
      <c r="K728" s="52" t="str">
        <f aca="false">IF(AND(ISNUMBER($G728),$G728&gt;=MA_LONG2),AVERAGE(INDEX($C$328:$C728,402-MA_LONG2):$C728),"")</f>
        <v/>
      </c>
      <c r="L728" s="53" t="str">
        <f aca="false">IF(AND(ISNUMBER($G728),$G728&gt;=21),STDEV(INDEX($H$668:$H728,62-20):$H728)*SQRT(245),"")</f>
        <v/>
      </c>
      <c r="M728" s="52" t="str">
        <f aca="false">IF(AND(ISNUMBER($G728),$G728&gt;=60),MAX(INDEX($D$528:$D728,202-60):$D728),"")</f>
        <v/>
      </c>
      <c r="N728" s="52" t="str">
        <f aca="false">IF(AND(ISNUMBER($G728),$G728&gt;=60),MIN(INDEX($E$528:$E728,202-60):$E728),"")</f>
        <v/>
      </c>
      <c r="O728" s="53" t="str">
        <f aca="false">IF(OR(NOT(ISNUMBER($C728)),NOT(ISNUMBER($M728)),$M728=0),"",$C728/$M728-1)</f>
        <v/>
      </c>
      <c r="P728" s="54"/>
      <c r="Q728" s="53" t="str">
        <f aca="false">IF(NOT(ISNUMBER($P728)),"",IFERROR(PERCENTRANK($P$5:$P$1204,$P728),""))</f>
        <v/>
      </c>
    </row>
    <row r="729" customFormat="false" ht="15" hidden="false" customHeight="false" outlineLevel="0" collapsed="false">
      <c r="A729" s="55"/>
      <c r="B729" s="56"/>
      <c r="C729" s="57"/>
      <c r="D729" s="56"/>
      <c r="E729" s="56"/>
      <c r="F729" s="56"/>
      <c r="G729" s="50" t="str">
        <f aca="false">IF($A729="","",IF(ISNUMBER($G728),$G728+1,1))</f>
        <v/>
      </c>
      <c r="H729" s="51" t="str">
        <f aca="false">IF(OR(NOT(ISNUMBER($G729)),$G729&lt;2,NOT(ISNUMBER($C728)),$C728=0),"",$C729/$C728-1)</f>
        <v/>
      </c>
      <c r="I729" s="52" t="str">
        <f aca="false">IF(AND(ISNUMBER($G729),$G729&gt;=MA_SHORT),AVERAGE(INDEX($C$329:$C729,402-MA_SHORT):$C729),"")</f>
        <v/>
      </c>
      <c r="J729" s="52" t="str">
        <f aca="false">IF(AND(ISNUMBER($G729),$G729&gt;=MA_MED),AVERAGE(INDEX($C$329:$C729,402-MA_MED):$C729),"")</f>
        <v/>
      </c>
      <c r="K729" s="52" t="str">
        <f aca="false">IF(AND(ISNUMBER($G729),$G729&gt;=MA_LONG2),AVERAGE(INDEX($C$329:$C729,402-MA_LONG2):$C729),"")</f>
        <v/>
      </c>
      <c r="L729" s="53" t="str">
        <f aca="false">IF(AND(ISNUMBER($G729),$G729&gt;=21),STDEV(INDEX($H$669:$H729,62-20):$H729)*SQRT(245),"")</f>
        <v/>
      </c>
      <c r="M729" s="52" t="str">
        <f aca="false">IF(AND(ISNUMBER($G729),$G729&gt;=60),MAX(INDEX($D$529:$D729,202-60):$D729),"")</f>
        <v/>
      </c>
      <c r="N729" s="52" t="str">
        <f aca="false">IF(AND(ISNUMBER($G729),$G729&gt;=60),MIN(INDEX($E$529:$E729,202-60):$E729),"")</f>
        <v/>
      </c>
      <c r="O729" s="53" t="str">
        <f aca="false">IF(OR(NOT(ISNUMBER($C729)),NOT(ISNUMBER($M729)),$M729=0),"",$C729/$M729-1)</f>
        <v/>
      </c>
      <c r="P729" s="54"/>
      <c r="Q729" s="53" t="str">
        <f aca="false">IF(NOT(ISNUMBER($P729)),"",IFERROR(PERCENTRANK($P$5:$P$1204,$P729),""))</f>
        <v/>
      </c>
    </row>
    <row r="730" customFormat="false" ht="15" hidden="false" customHeight="false" outlineLevel="0" collapsed="false">
      <c r="A730" s="55"/>
      <c r="B730" s="56"/>
      <c r="C730" s="57"/>
      <c r="D730" s="56"/>
      <c r="E730" s="56"/>
      <c r="F730" s="56"/>
      <c r="G730" s="50" t="str">
        <f aca="false">IF($A730="","",IF(ISNUMBER($G729),$G729+1,1))</f>
        <v/>
      </c>
      <c r="H730" s="51" t="str">
        <f aca="false">IF(OR(NOT(ISNUMBER($G730)),$G730&lt;2,NOT(ISNUMBER($C729)),$C729=0),"",$C730/$C729-1)</f>
        <v/>
      </c>
      <c r="I730" s="52" t="str">
        <f aca="false">IF(AND(ISNUMBER($G730),$G730&gt;=MA_SHORT),AVERAGE(INDEX($C$330:$C730,402-MA_SHORT):$C730),"")</f>
        <v/>
      </c>
      <c r="J730" s="52" t="str">
        <f aca="false">IF(AND(ISNUMBER($G730),$G730&gt;=MA_MED),AVERAGE(INDEX($C$330:$C730,402-MA_MED):$C730),"")</f>
        <v/>
      </c>
      <c r="K730" s="52" t="str">
        <f aca="false">IF(AND(ISNUMBER($G730),$G730&gt;=MA_LONG2),AVERAGE(INDEX($C$330:$C730,402-MA_LONG2):$C730),"")</f>
        <v/>
      </c>
      <c r="L730" s="53" t="str">
        <f aca="false">IF(AND(ISNUMBER($G730),$G730&gt;=21),STDEV(INDEX($H$670:$H730,62-20):$H730)*SQRT(245),"")</f>
        <v/>
      </c>
      <c r="M730" s="52" t="str">
        <f aca="false">IF(AND(ISNUMBER($G730),$G730&gt;=60),MAX(INDEX($D$530:$D730,202-60):$D730),"")</f>
        <v/>
      </c>
      <c r="N730" s="52" t="str">
        <f aca="false">IF(AND(ISNUMBER($G730),$G730&gt;=60),MIN(INDEX($E$530:$E730,202-60):$E730),"")</f>
        <v/>
      </c>
      <c r="O730" s="53" t="str">
        <f aca="false">IF(OR(NOT(ISNUMBER($C730)),NOT(ISNUMBER($M730)),$M730=0),"",$C730/$M730-1)</f>
        <v/>
      </c>
      <c r="P730" s="54"/>
      <c r="Q730" s="53" t="str">
        <f aca="false">IF(NOT(ISNUMBER($P730)),"",IFERROR(PERCENTRANK($P$5:$P$1204,$P730),""))</f>
        <v/>
      </c>
    </row>
    <row r="731" customFormat="false" ht="15" hidden="false" customHeight="false" outlineLevel="0" collapsed="false">
      <c r="A731" s="55"/>
      <c r="B731" s="56"/>
      <c r="C731" s="57"/>
      <c r="D731" s="56"/>
      <c r="E731" s="56"/>
      <c r="F731" s="56"/>
      <c r="G731" s="50" t="str">
        <f aca="false">IF($A731="","",IF(ISNUMBER($G730),$G730+1,1))</f>
        <v/>
      </c>
      <c r="H731" s="51" t="str">
        <f aca="false">IF(OR(NOT(ISNUMBER($G731)),$G731&lt;2,NOT(ISNUMBER($C730)),$C730=0),"",$C731/$C730-1)</f>
        <v/>
      </c>
      <c r="I731" s="52" t="str">
        <f aca="false">IF(AND(ISNUMBER($G731),$G731&gt;=MA_SHORT),AVERAGE(INDEX($C$331:$C731,402-MA_SHORT):$C731),"")</f>
        <v/>
      </c>
      <c r="J731" s="52" t="str">
        <f aca="false">IF(AND(ISNUMBER($G731),$G731&gt;=MA_MED),AVERAGE(INDEX($C$331:$C731,402-MA_MED):$C731),"")</f>
        <v/>
      </c>
      <c r="K731" s="52" t="str">
        <f aca="false">IF(AND(ISNUMBER($G731),$G731&gt;=MA_LONG2),AVERAGE(INDEX($C$331:$C731,402-MA_LONG2):$C731),"")</f>
        <v/>
      </c>
      <c r="L731" s="53" t="str">
        <f aca="false">IF(AND(ISNUMBER($G731),$G731&gt;=21),STDEV(INDEX($H$671:$H731,62-20):$H731)*SQRT(245),"")</f>
        <v/>
      </c>
      <c r="M731" s="52" t="str">
        <f aca="false">IF(AND(ISNUMBER($G731),$G731&gt;=60),MAX(INDEX($D$531:$D731,202-60):$D731),"")</f>
        <v/>
      </c>
      <c r="N731" s="52" t="str">
        <f aca="false">IF(AND(ISNUMBER($G731),$G731&gt;=60),MIN(INDEX($E$531:$E731,202-60):$E731),"")</f>
        <v/>
      </c>
      <c r="O731" s="53" t="str">
        <f aca="false">IF(OR(NOT(ISNUMBER($C731)),NOT(ISNUMBER($M731)),$M731=0),"",$C731/$M731-1)</f>
        <v/>
      </c>
      <c r="P731" s="54"/>
      <c r="Q731" s="53" t="str">
        <f aca="false">IF(NOT(ISNUMBER($P731)),"",IFERROR(PERCENTRANK($P$5:$P$1204,$P731),""))</f>
        <v/>
      </c>
    </row>
    <row r="732" customFormat="false" ht="15" hidden="false" customHeight="false" outlineLevel="0" collapsed="false">
      <c r="A732" s="55"/>
      <c r="B732" s="56"/>
      <c r="C732" s="57"/>
      <c r="D732" s="56"/>
      <c r="E732" s="56"/>
      <c r="F732" s="56"/>
      <c r="G732" s="50" t="str">
        <f aca="false">IF($A732="","",IF(ISNUMBER($G731),$G731+1,1))</f>
        <v/>
      </c>
      <c r="H732" s="51" t="str">
        <f aca="false">IF(OR(NOT(ISNUMBER($G732)),$G732&lt;2,NOT(ISNUMBER($C731)),$C731=0),"",$C732/$C731-1)</f>
        <v/>
      </c>
      <c r="I732" s="52" t="str">
        <f aca="false">IF(AND(ISNUMBER($G732),$G732&gt;=MA_SHORT),AVERAGE(INDEX($C$332:$C732,402-MA_SHORT):$C732),"")</f>
        <v/>
      </c>
      <c r="J732" s="52" t="str">
        <f aca="false">IF(AND(ISNUMBER($G732),$G732&gt;=MA_MED),AVERAGE(INDEX($C$332:$C732,402-MA_MED):$C732),"")</f>
        <v/>
      </c>
      <c r="K732" s="52" t="str">
        <f aca="false">IF(AND(ISNUMBER($G732),$G732&gt;=MA_LONG2),AVERAGE(INDEX($C$332:$C732,402-MA_LONG2):$C732),"")</f>
        <v/>
      </c>
      <c r="L732" s="53" t="str">
        <f aca="false">IF(AND(ISNUMBER($G732),$G732&gt;=21),STDEV(INDEX($H$672:$H732,62-20):$H732)*SQRT(245),"")</f>
        <v/>
      </c>
      <c r="M732" s="52" t="str">
        <f aca="false">IF(AND(ISNUMBER($G732),$G732&gt;=60),MAX(INDEX($D$532:$D732,202-60):$D732),"")</f>
        <v/>
      </c>
      <c r="N732" s="52" t="str">
        <f aca="false">IF(AND(ISNUMBER($G732),$G732&gt;=60),MIN(INDEX($E$532:$E732,202-60):$E732),"")</f>
        <v/>
      </c>
      <c r="O732" s="53" t="str">
        <f aca="false">IF(OR(NOT(ISNUMBER($C732)),NOT(ISNUMBER($M732)),$M732=0),"",$C732/$M732-1)</f>
        <v/>
      </c>
      <c r="P732" s="54"/>
      <c r="Q732" s="53" t="str">
        <f aca="false">IF(NOT(ISNUMBER($P732)),"",IFERROR(PERCENTRANK($P$5:$P$1204,$P732),""))</f>
        <v/>
      </c>
    </row>
    <row r="733" customFormat="false" ht="15" hidden="false" customHeight="false" outlineLevel="0" collapsed="false">
      <c r="A733" s="55"/>
      <c r="B733" s="56"/>
      <c r="C733" s="57"/>
      <c r="D733" s="56"/>
      <c r="E733" s="56"/>
      <c r="F733" s="56"/>
      <c r="G733" s="50" t="str">
        <f aca="false">IF($A733="","",IF(ISNUMBER($G732),$G732+1,1))</f>
        <v/>
      </c>
      <c r="H733" s="51" t="str">
        <f aca="false">IF(OR(NOT(ISNUMBER($G733)),$G733&lt;2,NOT(ISNUMBER($C732)),$C732=0),"",$C733/$C732-1)</f>
        <v/>
      </c>
      <c r="I733" s="52" t="str">
        <f aca="false">IF(AND(ISNUMBER($G733),$G733&gt;=MA_SHORT),AVERAGE(INDEX($C$333:$C733,402-MA_SHORT):$C733),"")</f>
        <v/>
      </c>
      <c r="J733" s="52" t="str">
        <f aca="false">IF(AND(ISNUMBER($G733),$G733&gt;=MA_MED),AVERAGE(INDEX($C$333:$C733,402-MA_MED):$C733),"")</f>
        <v/>
      </c>
      <c r="K733" s="52" t="str">
        <f aca="false">IF(AND(ISNUMBER($G733),$G733&gt;=MA_LONG2),AVERAGE(INDEX($C$333:$C733,402-MA_LONG2):$C733),"")</f>
        <v/>
      </c>
      <c r="L733" s="53" t="str">
        <f aca="false">IF(AND(ISNUMBER($G733),$G733&gt;=21),STDEV(INDEX($H$673:$H733,62-20):$H733)*SQRT(245),"")</f>
        <v/>
      </c>
      <c r="M733" s="52" t="str">
        <f aca="false">IF(AND(ISNUMBER($G733),$G733&gt;=60),MAX(INDEX($D$533:$D733,202-60):$D733),"")</f>
        <v/>
      </c>
      <c r="N733" s="52" t="str">
        <f aca="false">IF(AND(ISNUMBER($G733),$G733&gt;=60),MIN(INDEX($E$533:$E733,202-60):$E733),"")</f>
        <v/>
      </c>
      <c r="O733" s="53" t="str">
        <f aca="false">IF(OR(NOT(ISNUMBER($C733)),NOT(ISNUMBER($M733)),$M733=0),"",$C733/$M733-1)</f>
        <v/>
      </c>
      <c r="P733" s="54"/>
      <c r="Q733" s="53" t="str">
        <f aca="false">IF(NOT(ISNUMBER($P733)),"",IFERROR(PERCENTRANK($P$5:$P$1204,$P733),""))</f>
        <v/>
      </c>
    </row>
    <row r="734" customFormat="false" ht="15" hidden="false" customHeight="false" outlineLevel="0" collapsed="false">
      <c r="A734" s="55"/>
      <c r="B734" s="56"/>
      <c r="C734" s="57"/>
      <c r="D734" s="56"/>
      <c r="E734" s="56"/>
      <c r="F734" s="56"/>
      <c r="G734" s="50" t="str">
        <f aca="false">IF($A734="","",IF(ISNUMBER($G733),$G733+1,1))</f>
        <v/>
      </c>
      <c r="H734" s="51" t="str">
        <f aca="false">IF(OR(NOT(ISNUMBER($G734)),$G734&lt;2,NOT(ISNUMBER($C733)),$C733=0),"",$C734/$C733-1)</f>
        <v/>
      </c>
      <c r="I734" s="52" t="str">
        <f aca="false">IF(AND(ISNUMBER($G734),$G734&gt;=MA_SHORT),AVERAGE(INDEX($C$334:$C734,402-MA_SHORT):$C734),"")</f>
        <v/>
      </c>
      <c r="J734" s="52" t="str">
        <f aca="false">IF(AND(ISNUMBER($G734),$G734&gt;=MA_MED),AVERAGE(INDEX($C$334:$C734,402-MA_MED):$C734),"")</f>
        <v/>
      </c>
      <c r="K734" s="52" t="str">
        <f aca="false">IF(AND(ISNUMBER($G734),$G734&gt;=MA_LONG2),AVERAGE(INDEX($C$334:$C734,402-MA_LONG2):$C734),"")</f>
        <v/>
      </c>
      <c r="L734" s="53" t="str">
        <f aca="false">IF(AND(ISNUMBER($G734),$G734&gt;=21),STDEV(INDEX($H$674:$H734,62-20):$H734)*SQRT(245),"")</f>
        <v/>
      </c>
      <c r="M734" s="52" t="str">
        <f aca="false">IF(AND(ISNUMBER($G734),$G734&gt;=60),MAX(INDEX($D$534:$D734,202-60):$D734),"")</f>
        <v/>
      </c>
      <c r="N734" s="52" t="str">
        <f aca="false">IF(AND(ISNUMBER($G734),$G734&gt;=60),MIN(INDEX($E$534:$E734,202-60):$E734),"")</f>
        <v/>
      </c>
      <c r="O734" s="53" t="str">
        <f aca="false">IF(OR(NOT(ISNUMBER($C734)),NOT(ISNUMBER($M734)),$M734=0),"",$C734/$M734-1)</f>
        <v/>
      </c>
      <c r="P734" s="54"/>
      <c r="Q734" s="53" t="str">
        <f aca="false">IF(NOT(ISNUMBER($P734)),"",IFERROR(PERCENTRANK($P$5:$P$1204,$P734),""))</f>
        <v/>
      </c>
    </row>
    <row r="735" customFormat="false" ht="15" hidden="false" customHeight="false" outlineLevel="0" collapsed="false">
      <c r="A735" s="55"/>
      <c r="B735" s="56"/>
      <c r="C735" s="57"/>
      <c r="D735" s="56"/>
      <c r="E735" s="56"/>
      <c r="F735" s="56"/>
      <c r="G735" s="50" t="str">
        <f aca="false">IF($A735="","",IF(ISNUMBER($G734),$G734+1,1))</f>
        <v/>
      </c>
      <c r="H735" s="51" t="str">
        <f aca="false">IF(OR(NOT(ISNUMBER($G735)),$G735&lt;2,NOT(ISNUMBER($C734)),$C734=0),"",$C735/$C734-1)</f>
        <v/>
      </c>
      <c r="I735" s="52" t="str">
        <f aca="false">IF(AND(ISNUMBER($G735),$G735&gt;=MA_SHORT),AVERAGE(INDEX($C$335:$C735,402-MA_SHORT):$C735),"")</f>
        <v/>
      </c>
      <c r="J735" s="52" t="str">
        <f aca="false">IF(AND(ISNUMBER($G735),$G735&gt;=MA_MED),AVERAGE(INDEX($C$335:$C735,402-MA_MED):$C735),"")</f>
        <v/>
      </c>
      <c r="K735" s="52" t="str">
        <f aca="false">IF(AND(ISNUMBER($G735),$G735&gt;=MA_LONG2),AVERAGE(INDEX($C$335:$C735,402-MA_LONG2):$C735),"")</f>
        <v/>
      </c>
      <c r="L735" s="53" t="str">
        <f aca="false">IF(AND(ISNUMBER($G735),$G735&gt;=21),STDEV(INDEX($H$675:$H735,62-20):$H735)*SQRT(245),"")</f>
        <v/>
      </c>
      <c r="M735" s="52" t="str">
        <f aca="false">IF(AND(ISNUMBER($G735),$G735&gt;=60),MAX(INDEX($D$535:$D735,202-60):$D735),"")</f>
        <v/>
      </c>
      <c r="N735" s="52" t="str">
        <f aca="false">IF(AND(ISNUMBER($G735),$G735&gt;=60),MIN(INDEX($E$535:$E735,202-60):$E735),"")</f>
        <v/>
      </c>
      <c r="O735" s="53" t="str">
        <f aca="false">IF(OR(NOT(ISNUMBER($C735)),NOT(ISNUMBER($M735)),$M735=0),"",$C735/$M735-1)</f>
        <v/>
      </c>
      <c r="P735" s="54"/>
      <c r="Q735" s="53" t="str">
        <f aca="false">IF(NOT(ISNUMBER($P735)),"",IFERROR(PERCENTRANK($P$5:$P$1204,$P735),""))</f>
        <v/>
      </c>
    </row>
    <row r="736" customFormat="false" ht="15" hidden="false" customHeight="false" outlineLevel="0" collapsed="false">
      <c r="A736" s="55"/>
      <c r="B736" s="56"/>
      <c r="C736" s="57"/>
      <c r="D736" s="56"/>
      <c r="E736" s="56"/>
      <c r="F736" s="56"/>
      <c r="G736" s="50" t="str">
        <f aca="false">IF($A736="","",IF(ISNUMBER($G735),$G735+1,1))</f>
        <v/>
      </c>
      <c r="H736" s="51" t="str">
        <f aca="false">IF(OR(NOT(ISNUMBER($G736)),$G736&lt;2,NOT(ISNUMBER($C735)),$C735=0),"",$C736/$C735-1)</f>
        <v/>
      </c>
      <c r="I736" s="52" t="str">
        <f aca="false">IF(AND(ISNUMBER($G736),$G736&gt;=MA_SHORT),AVERAGE(INDEX($C$336:$C736,402-MA_SHORT):$C736),"")</f>
        <v/>
      </c>
      <c r="J736" s="52" t="str">
        <f aca="false">IF(AND(ISNUMBER($G736),$G736&gt;=MA_MED),AVERAGE(INDEX($C$336:$C736,402-MA_MED):$C736),"")</f>
        <v/>
      </c>
      <c r="K736" s="52" t="str">
        <f aca="false">IF(AND(ISNUMBER($G736),$G736&gt;=MA_LONG2),AVERAGE(INDEX($C$336:$C736,402-MA_LONG2):$C736),"")</f>
        <v/>
      </c>
      <c r="L736" s="53" t="str">
        <f aca="false">IF(AND(ISNUMBER($G736),$G736&gt;=21),STDEV(INDEX($H$676:$H736,62-20):$H736)*SQRT(245),"")</f>
        <v/>
      </c>
      <c r="M736" s="52" t="str">
        <f aca="false">IF(AND(ISNUMBER($G736),$G736&gt;=60),MAX(INDEX($D$536:$D736,202-60):$D736),"")</f>
        <v/>
      </c>
      <c r="N736" s="52" t="str">
        <f aca="false">IF(AND(ISNUMBER($G736),$G736&gt;=60),MIN(INDEX($E$536:$E736,202-60):$E736),"")</f>
        <v/>
      </c>
      <c r="O736" s="53" t="str">
        <f aca="false">IF(OR(NOT(ISNUMBER($C736)),NOT(ISNUMBER($M736)),$M736=0),"",$C736/$M736-1)</f>
        <v/>
      </c>
      <c r="P736" s="54"/>
      <c r="Q736" s="53" t="str">
        <f aca="false">IF(NOT(ISNUMBER($P736)),"",IFERROR(PERCENTRANK($P$5:$P$1204,$P736),""))</f>
        <v/>
      </c>
    </row>
    <row r="737" customFormat="false" ht="15" hidden="false" customHeight="false" outlineLevel="0" collapsed="false">
      <c r="A737" s="55"/>
      <c r="B737" s="56"/>
      <c r="C737" s="57"/>
      <c r="D737" s="56"/>
      <c r="E737" s="56"/>
      <c r="F737" s="56"/>
      <c r="G737" s="50" t="str">
        <f aca="false">IF($A737="","",IF(ISNUMBER($G736),$G736+1,1))</f>
        <v/>
      </c>
      <c r="H737" s="51" t="str">
        <f aca="false">IF(OR(NOT(ISNUMBER($G737)),$G737&lt;2,NOT(ISNUMBER($C736)),$C736=0),"",$C737/$C736-1)</f>
        <v/>
      </c>
      <c r="I737" s="52" t="str">
        <f aca="false">IF(AND(ISNUMBER($G737),$G737&gt;=MA_SHORT),AVERAGE(INDEX($C$337:$C737,402-MA_SHORT):$C737),"")</f>
        <v/>
      </c>
      <c r="J737" s="52" t="str">
        <f aca="false">IF(AND(ISNUMBER($G737),$G737&gt;=MA_MED),AVERAGE(INDEX($C$337:$C737,402-MA_MED):$C737),"")</f>
        <v/>
      </c>
      <c r="K737" s="52" t="str">
        <f aca="false">IF(AND(ISNUMBER($G737),$G737&gt;=MA_LONG2),AVERAGE(INDEX($C$337:$C737,402-MA_LONG2):$C737),"")</f>
        <v/>
      </c>
      <c r="L737" s="53" t="str">
        <f aca="false">IF(AND(ISNUMBER($G737),$G737&gt;=21),STDEV(INDEX($H$677:$H737,62-20):$H737)*SQRT(245),"")</f>
        <v/>
      </c>
      <c r="M737" s="52" t="str">
        <f aca="false">IF(AND(ISNUMBER($G737),$G737&gt;=60),MAX(INDEX($D$537:$D737,202-60):$D737),"")</f>
        <v/>
      </c>
      <c r="N737" s="52" t="str">
        <f aca="false">IF(AND(ISNUMBER($G737),$G737&gt;=60),MIN(INDEX($E$537:$E737,202-60):$E737),"")</f>
        <v/>
      </c>
      <c r="O737" s="53" t="str">
        <f aca="false">IF(OR(NOT(ISNUMBER($C737)),NOT(ISNUMBER($M737)),$M737=0),"",$C737/$M737-1)</f>
        <v/>
      </c>
      <c r="P737" s="54"/>
      <c r="Q737" s="53" t="str">
        <f aca="false">IF(NOT(ISNUMBER($P737)),"",IFERROR(PERCENTRANK($P$5:$P$1204,$P737),""))</f>
        <v/>
      </c>
    </row>
    <row r="738" customFormat="false" ht="15" hidden="false" customHeight="false" outlineLevel="0" collapsed="false">
      <c r="A738" s="55"/>
      <c r="B738" s="56"/>
      <c r="C738" s="57"/>
      <c r="D738" s="56"/>
      <c r="E738" s="56"/>
      <c r="F738" s="56"/>
      <c r="G738" s="50" t="str">
        <f aca="false">IF($A738="","",IF(ISNUMBER($G737),$G737+1,1))</f>
        <v/>
      </c>
      <c r="H738" s="51" t="str">
        <f aca="false">IF(OR(NOT(ISNUMBER($G738)),$G738&lt;2,NOT(ISNUMBER($C737)),$C737=0),"",$C738/$C737-1)</f>
        <v/>
      </c>
      <c r="I738" s="52" t="str">
        <f aca="false">IF(AND(ISNUMBER($G738),$G738&gt;=MA_SHORT),AVERAGE(INDEX($C$338:$C738,402-MA_SHORT):$C738),"")</f>
        <v/>
      </c>
      <c r="J738" s="52" t="str">
        <f aca="false">IF(AND(ISNUMBER($G738),$G738&gt;=MA_MED),AVERAGE(INDEX($C$338:$C738,402-MA_MED):$C738),"")</f>
        <v/>
      </c>
      <c r="K738" s="52" t="str">
        <f aca="false">IF(AND(ISNUMBER($G738),$G738&gt;=MA_LONG2),AVERAGE(INDEX($C$338:$C738,402-MA_LONG2):$C738),"")</f>
        <v/>
      </c>
      <c r="L738" s="53" t="str">
        <f aca="false">IF(AND(ISNUMBER($G738),$G738&gt;=21),STDEV(INDEX($H$678:$H738,62-20):$H738)*SQRT(245),"")</f>
        <v/>
      </c>
      <c r="M738" s="52" t="str">
        <f aca="false">IF(AND(ISNUMBER($G738),$G738&gt;=60),MAX(INDEX($D$538:$D738,202-60):$D738),"")</f>
        <v/>
      </c>
      <c r="N738" s="52" t="str">
        <f aca="false">IF(AND(ISNUMBER($G738),$G738&gt;=60),MIN(INDEX($E$538:$E738,202-60):$E738),"")</f>
        <v/>
      </c>
      <c r="O738" s="53" t="str">
        <f aca="false">IF(OR(NOT(ISNUMBER($C738)),NOT(ISNUMBER($M738)),$M738=0),"",$C738/$M738-1)</f>
        <v/>
      </c>
      <c r="P738" s="54"/>
      <c r="Q738" s="53" t="str">
        <f aca="false">IF(NOT(ISNUMBER($P738)),"",IFERROR(PERCENTRANK($P$5:$P$1204,$P738),""))</f>
        <v/>
      </c>
    </row>
    <row r="739" customFormat="false" ht="15" hidden="false" customHeight="false" outlineLevel="0" collapsed="false">
      <c r="A739" s="55"/>
      <c r="B739" s="56"/>
      <c r="C739" s="57"/>
      <c r="D739" s="56"/>
      <c r="E739" s="56"/>
      <c r="F739" s="56"/>
      <c r="G739" s="50" t="str">
        <f aca="false">IF($A739="","",IF(ISNUMBER($G738),$G738+1,1))</f>
        <v/>
      </c>
      <c r="H739" s="51" t="str">
        <f aca="false">IF(OR(NOT(ISNUMBER($G739)),$G739&lt;2,NOT(ISNUMBER($C738)),$C738=0),"",$C739/$C738-1)</f>
        <v/>
      </c>
      <c r="I739" s="52" t="str">
        <f aca="false">IF(AND(ISNUMBER($G739),$G739&gt;=MA_SHORT),AVERAGE(INDEX($C$339:$C739,402-MA_SHORT):$C739),"")</f>
        <v/>
      </c>
      <c r="J739" s="52" t="str">
        <f aca="false">IF(AND(ISNUMBER($G739),$G739&gt;=MA_MED),AVERAGE(INDEX($C$339:$C739,402-MA_MED):$C739),"")</f>
        <v/>
      </c>
      <c r="K739" s="52" t="str">
        <f aca="false">IF(AND(ISNUMBER($G739),$G739&gt;=MA_LONG2),AVERAGE(INDEX($C$339:$C739,402-MA_LONG2):$C739),"")</f>
        <v/>
      </c>
      <c r="L739" s="53" t="str">
        <f aca="false">IF(AND(ISNUMBER($G739),$G739&gt;=21),STDEV(INDEX($H$679:$H739,62-20):$H739)*SQRT(245),"")</f>
        <v/>
      </c>
      <c r="M739" s="52" t="str">
        <f aca="false">IF(AND(ISNUMBER($G739),$G739&gt;=60),MAX(INDEX($D$539:$D739,202-60):$D739),"")</f>
        <v/>
      </c>
      <c r="N739" s="52" t="str">
        <f aca="false">IF(AND(ISNUMBER($G739),$G739&gt;=60),MIN(INDEX($E$539:$E739,202-60):$E739),"")</f>
        <v/>
      </c>
      <c r="O739" s="53" t="str">
        <f aca="false">IF(OR(NOT(ISNUMBER($C739)),NOT(ISNUMBER($M739)),$M739=0),"",$C739/$M739-1)</f>
        <v/>
      </c>
      <c r="P739" s="54"/>
      <c r="Q739" s="53" t="str">
        <f aca="false">IF(NOT(ISNUMBER($P739)),"",IFERROR(PERCENTRANK($P$5:$P$1204,$P739),""))</f>
        <v/>
      </c>
    </row>
    <row r="740" customFormat="false" ht="15" hidden="false" customHeight="false" outlineLevel="0" collapsed="false">
      <c r="A740" s="55"/>
      <c r="B740" s="56"/>
      <c r="C740" s="57"/>
      <c r="D740" s="56"/>
      <c r="E740" s="56"/>
      <c r="F740" s="56"/>
      <c r="G740" s="50" t="str">
        <f aca="false">IF($A740="","",IF(ISNUMBER($G739),$G739+1,1))</f>
        <v/>
      </c>
      <c r="H740" s="51" t="str">
        <f aca="false">IF(OR(NOT(ISNUMBER($G740)),$G740&lt;2,NOT(ISNUMBER($C739)),$C739=0),"",$C740/$C739-1)</f>
        <v/>
      </c>
      <c r="I740" s="52" t="str">
        <f aca="false">IF(AND(ISNUMBER($G740),$G740&gt;=MA_SHORT),AVERAGE(INDEX($C$340:$C740,402-MA_SHORT):$C740),"")</f>
        <v/>
      </c>
      <c r="J740" s="52" t="str">
        <f aca="false">IF(AND(ISNUMBER($G740),$G740&gt;=MA_MED),AVERAGE(INDEX($C$340:$C740,402-MA_MED):$C740),"")</f>
        <v/>
      </c>
      <c r="K740" s="52" t="str">
        <f aca="false">IF(AND(ISNUMBER($G740),$G740&gt;=MA_LONG2),AVERAGE(INDEX($C$340:$C740,402-MA_LONG2):$C740),"")</f>
        <v/>
      </c>
      <c r="L740" s="53" t="str">
        <f aca="false">IF(AND(ISNUMBER($G740),$G740&gt;=21),STDEV(INDEX($H$680:$H740,62-20):$H740)*SQRT(245),"")</f>
        <v/>
      </c>
      <c r="M740" s="52" t="str">
        <f aca="false">IF(AND(ISNUMBER($G740),$G740&gt;=60),MAX(INDEX($D$540:$D740,202-60):$D740),"")</f>
        <v/>
      </c>
      <c r="N740" s="52" t="str">
        <f aca="false">IF(AND(ISNUMBER($G740),$G740&gt;=60),MIN(INDEX($E$540:$E740,202-60):$E740),"")</f>
        <v/>
      </c>
      <c r="O740" s="53" t="str">
        <f aca="false">IF(OR(NOT(ISNUMBER($C740)),NOT(ISNUMBER($M740)),$M740=0),"",$C740/$M740-1)</f>
        <v/>
      </c>
      <c r="P740" s="54"/>
      <c r="Q740" s="53" t="str">
        <f aca="false">IF(NOT(ISNUMBER($P740)),"",IFERROR(PERCENTRANK($P$5:$P$1204,$P740),""))</f>
        <v/>
      </c>
    </row>
    <row r="741" customFormat="false" ht="15" hidden="false" customHeight="false" outlineLevel="0" collapsed="false">
      <c r="A741" s="55"/>
      <c r="B741" s="56"/>
      <c r="C741" s="57"/>
      <c r="D741" s="56"/>
      <c r="E741" s="56"/>
      <c r="F741" s="56"/>
      <c r="G741" s="50" t="str">
        <f aca="false">IF($A741="","",IF(ISNUMBER($G740),$G740+1,1))</f>
        <v/>
      </c>
      <c r="H741" s="51" t="str">
        <f aca="false">IF(OR(NOT(ISNUMBER($G741)),$G741&lt;2,NOT(ISNUMBER($C740)),$C740=0),"",$C741/$C740-1)</f>
        <v/>
      </c>
      <c r="I741" s="52" t="str">
        <f aca="false">IF(AND(ISNUMBER($G741),$G741&gt;=MA_SHORT),AVERAGE(INDEX($C$341:$C741,402-MA_SHORT):$C741),"")</f>
        <v/>
      </c>
      <c r="J741" s="52" t="str">
        <f aca="false">IF(AND(ISNUMBER($G741),$G741&gt;=MA_MED),AVERAGE(INDEX($C$341:$C741,402-MA_MED):$C741),"")</f>
        <v/>
      </c>
      <c r="K741" s="52" t="str">
        <f aca="false">IF(AND(ISNUMBER($G741),$G741&gt;=MA_LONG2),AVERAGE(INDEX($C$341:$C741,402-MA_LONG2):$C741),"")</f>
        <v/>
      </c>
      <c r="L741" s="53" t="str">
        <f aca="false">IF(AND(ISNUMBER($G741),$G741&gt;=21),STDEV(INDEX($H$681:$H741,62-20):$H741)*SQRT(245),"")</f>
        <v/>
      </c>
      <c r="M741" s="52" t="str">
        <f aca="false">IF(AND(ISNUMBER($G741),$G741&gt;=60),MAX(INDEX($D$541:$D741,202-60):$D741),"")</f>
        <v/>
      </c>
      <c r="N741" s="52" t="str">
        <f aca="false">IF(AND(ISNUMBER($G741),$G741&gt;=60),MIN(INDEX($E$541:$E741,202-60):$E741),"")</f>
        <v/>
      </c>
      <c r="O741" s="53" t="str">
        <f aca="false">IF(OR(NOT(ISNUMBER($C741)),NOT(ISNUMBER($M741)),$M741=0),"",$C741/$M741-1)</f>
        <v/>
      </c>
      <c r="P741" s="54"/>
      <c r="Q741" s="53" t="str">
        <f aca="false">IF(NOT(ISNUMBER($P741)),"",IFERROR(PERCENTRANK($P$5:$P$1204,$P741),""))</f>
        <v/>
      </c>
    </row>
    <row r="742" customFormat="false" ht="15" hidden="false" customHeight="false" outlineLevel="0" collapsed="false">
      <c r="A742" s="55"/>
      <c r="B742" s="56"/>
      <c r="C742" s="57"/>
      <c r="D742" s="56"/>
      <c r="E742" s="56"/>
      <c r="F742" s="56"/>
      <c r="G742" s="50" t="str">
        <f aca="false">IF($A742="","",IF(ISNUMBER($G741),$G741+1,1))</f>
        <v/>
      </c>
      <c r="H742" s="51" t="str">
        <f aca="false">IF(OR(NOT(ISNUMBER($G742)),$G742&lt;2,NOT(ISNUMBER($C741)),$C741=0),"",$C742/$C741-1)</f>
        <v/>
      </c>
      <c r="I742" s="52" t="str">
        <f aca="false">IF(AND(ISNUMBER($G742),$G742&gt;=MA_SHORT),AVERAGE(INDEX($C$342:$C742,402-MA_SHORT):$C742),"")</f>
        <v/>
      </c>
      <c r="J742" s="52" t="str">
        <f aca="false">IF(AND(ISNUMBER($G742),$G742&gt;=MA_MED),AVERAGE(INDEX($C$342:$C742,402-MA_MED):$C742),"")</f>
        <v/>
      </c>
      <c r="K742" s="52" t="str">
        <f aca="false">IF(AND(ISNUMBER($G742),$G742&gt;=MA_LONG2),AVERAGE(INDEX($C$342:$C742,402-MA_LONG2):$C742),"")</f>
        <v/>
      </c>
      <c r="L742" s="53" t="str">
        <f aca="false">IF(AND(ISNUMBER($G742),$G742&gt;=21),STDEV(INDEX($H$682:$H742,62-20):$H742)*SQRT(245),"")</f>
        <v/>
      </c>
      <c r="M742" s="52" t="str">
        <f aca="false">IF(AND(ISNUMBER($G742),$G742&gt;=60),MAX(INDEX($D$542:$D742,202-60):$D742),"")</f>
        <v/>
      </c>
      <c r="N742" s="52" t="str">
        <f aca="false">IF(AND(ISNUMBER($G742),$G742&gt;=60),MIN(INDEX($E$542:$E742,202-60):$E742),"")</f>
        <v/>
      </c>
      <c r="O742" s="53" t="str">
        <f aca="false">IF(OR(NOT(ISNUMBER($C742)),NOT(ISNUMBER($M742)),$M742=0),"",$C742/$M742-1)</f>
        <v/>
      </c>
      <c r="P742" s="54"/>
      <c r="Q742" s="53" t="str">
        <f aca="false">IF(NOT(ISNUMBER($P742)),"",IFERROR(PERCENTRANK($P$5:$P$1204,$P742),""))</f>
        <v/>
      </c>
    </row>
    <row r="743" customFormat="false" ht="15" hidden="false" customHeight="false" outlineLevel="0" collapsed="false">
      <c r="A743" s="55"/>
      <c r="B743" s="56"/>
      <c r="C743" s="57"/>
      <c r="D743" s="56"/>
      <c r="E743" s="56"/>
      <c r="F743" s="56"/>
      <c r="G743" s="50" t="str">
        <f aca="false">IF($A743="","",IF(ISNUMBER($G742),$G742+1,1))</f>
        <v/>
      </c>
      <c r="H743" s="51" t="str">
        <f aca="false">IF(OR(NOT(ISNUMBER($G743)),$G743&lt;2,NOT(ISNUMBER($C742)),$C742=0),"",$C743/$C742-1)</f>
        <v/>
      </c>
      <c r="I743" s="52" t="str">
        <f aca="false">IF(AND(ISNUMBER($G743),$G743&gt;=MA_SHORT),AVERAGE(INDEX($C$343:$C743,402-MA_SHORT):$C743),"")</f>
        <v/>
      </c>
      <c r="J743" s="52" t="str">
        <f aca="false">IF(AND(ISNUMBER($G743),$G743&gt;=MA_MED),AVERAGE(INDEX($C$343:$C743,402-MA_MED):$C743),"")</f>
        <v/>
      </c>
      <c r="K743" s="52" t="str">
        <f aca="false">IF(AND(ISNUMBER($G743),$G743&gt;=MA_LONG2),AVERAGE(INDEX($C$343:$C743,402-MA_LONG2):$C743),"")</f>
        <v/>
      </c>
      <c r="L743" s="53" t="str">
        <f aca="false">IF(AND(ISNUMBER($G743),$G743&gt;=21),STDEV(INDEX($H$683:$H743,62-20):$H743)*SQRT(245),"")</f>
        <v/>
      </c>
      <c r="M743" s="52" t="str">
        <f aca="false">IF(AND(ISNUMBER($G743),$G743&gt;=60),MAX(INDEX($D$543:$D743,202-60):$D743),"")</f>
        <v/>
      </c>
      <c r="N743" s="52" t="str">
        <f aca="false">IF(AND(ISNUMBER($G743),$G743&gt;=60),MIN(INDEX($E$543:$E743,202-60):$E743),"")</f>
        <v/>
      </c>
      <c r="O743" s="53" t="str">
        <f aca="false">IF(OR(NOT(ISNUMBER($C743)),NOT(ISNUMBER($M743)),$M743=0),"",$C743/$M743-1)</f>
        <v/>
      </c>
      <c r="P743" s="54"/>
      <c r="Q743" s="53" t="str">
        <f aca="false">IF(NOT(ISNUMBER($P743)),"",IFERROR(PERCENTRANK($P$5:$P$1204,$P743),""))</f>
        <v/>
      </c>
    </row>
    <row r="744" customFormat="false" ht="15" hidden="false" customHeight="false" outlineLevel="0" collapsed="false">
      <c r="A744" s="55"/>
      <c r="B744" s="56"/>
      <c r="C744" s="57"/>
      <c r="D744" s="56"/>
      <c r="E744" s="56"/>
      <c r="F744" s="56"/>
      <c r="G744" s="50" t="str">
        <f aca="false">IF($A744="","",IF(ISNUMBER($G743),$G743+1,1))</f>
        <v/>
      </c>
      <c r="H744" s="51" t="str">
        <f aca="false">IF(OR(NOT(ISNUMBER($G744)),$G744&lt;2,NOT(ISNUMBER($C743)),$C743=0),"",$C744/$C743-1)</f>
        <v/>
      </c>
      <c r="I744" s="52" t="str">
        <f aca="false">IF(AND(ISNUMBER($G744),$G744&gt;=MA_SHORT),AVERAGE(INDEX($C$344:$C744,402-MA_SHORT):$C744),"")</f>
        <v/>
      </c>
      <c r="J744" s="52" t="str">
        <f aca="false">IF(AND(ISNUMBER($G744),$G744&gt;=MA_MED),AVERAGE(INDEX($C$344:$C744,402-MA_MED):$C744),"")</f>
        <v/>
      </c>
      <c r="K744" s="52" t="str">
        <f aca="false">IF(AND(ISNUMBER($G744),$G744&gt;=MA_LONG2),AVERAGE(INDEX($C$344:$C744,402-MA_LONG2):$C744),"")</f>
        <v/>
      </c>
      <c r="L744" s="53" t="str">
        <f aca="false">IF(AND(ISNUMBER($G744),$G744&gt;=21),STDEV(INDEX($H$684:$H744,62-20):$H744)*SQRT(245),"")</f>
        <v/>
      </c>
      <c r="M744" s="52" t="str">
        <f aca="false">IF(AND(ISNUMBER($G744),$G744&gt;=60),MAX(INDEX($D$544:$D744,202-60):$D744),"")</f>
        <v/>
      </c>
      <c r="N744" s="52" t="str">
        <f aca="false">IF(AND(ISNUMBER($G744),$G744&gt;=60),MIN(INDEX($E$544:$E744,202-60):$E744),"")</f>
        <v/>
      </c>
      <c r="O744" s="53" t="str">
        <f aca="false">IF(OR(NOT(ISNUMBER($C744)),NOT(ISNUMBER($M744)),$M744=0),"",$C744/$M744-1)</f>
        <v/>
      </c>
      <c r="P744" s="54"/>
      <c r="Q744" s="53" t="str">
        <f aca="false">IF(NOT(ISNUMBER($P744)),"",IFERROR(PERCENTRANK($P$5:$P$1204,$P744),""))</f>
        <v/>
      </c>
    </row>
    <row r="745" customFormat="false" ht="15" hidden="false" customHeight="false" outlineLevel="0" collapsed="false">
      <c r="A745" s="55"/>
      <c r="B745" s="56"/>
      <c r="C745" s="57"/>
      <c r="D745" s="56"/>
      <c r="E745" s="56"/>
      <c r="F745" s="56"/>
      <c r="G745" s="50" t="str">
        <f aca="false">IF($A745="","",IF(ISNUMBER($G744),$G744+1,1))</f>
        <v/>
      </c>
      <c r="H745" s="51" t="str">
        <f aca="false">IF(OR(NOT(ISNUMBER($G745)),$G745&lt;2,NOT(ISNUMBER($C744)),$C744=0),"",$C745/$C744-1)</f>
        <v/>
      </c>
      <c r="I745" s="52" t="str">
        <f aca="false">IF(AND(ISNUMBER($G745),$G745&gt;=MA_SHORT),AVERAGE(INDEX($C$345:$C745,402-MA_SHORT):$C745),"")</f>
        <v/>
      </c>
      <c r="J745" s="52" t="str">
        <f aca="false">IF(AND(ISNUMBER($G745),$G745&gt;=MA_MED),AVERAGE(INDEX($C$345:$C745,402-MA_MED):$C745),"")</f>
        <v/>
      </c>
      <c r="K745" s="52" t="str">
        <f aca="false">IF(AND(ISNUMBER($G745),$G745&gt;=MA_LONG2),AVERAGE(INDEX($C$345:$C745,402-MA_LONG2):$C745),"")</f>
        <v/>
      </c>
      <c r="L745" s="53" t="str">
        <f aca="false">IF(AND(ISNUMBER($G745),$G745&gt;=21),STDEV(INDEX($H$685:$H745,62-20):$H745)*SQRT(245),"")</f>
        <v/>
      </c>
      <c r="M745" s="52" t="str">
        <f aca="false">IF(AND(ISNUMBER($G745),$G745&gt;=60),MAX(INDEX($D$545:$D745,202-60):$D745),"")</f>
        <v/>
      </c>
      <c r="N745" s="52" t="str">
        <f aca="false">IF(AND(ISNUMBER($G745),$G745&gt;=60),MIN(INDEX($E$545:$E745,202-60):$E745),"")</f>
        <v/>
      </c>
      <c r="O745" s="53" t="str">
        <f aca="false">IF(OR(NOT(ISNUMBER($C745)),NOT(ISNUMBER($M745)),$M745=0),"",$C745/$M745-1)</f>
        <v/>
      </c>
      <c r="P745" s="54"/>
      <c r="Q745" s="53" t="str">
        <f aca="false">IF(NOT(ISNUMBER($P745)),"",IFERROR(PERCENTRANK($P$5:$P$1204,$P745),""))</f>
        <v/>
      </c>
    </row>
    <row r="746" customFormat="false" ht="15" hidden="false" customHeight="false" outlineLevel="0" collapsed="false">
      <c r="A746" s="55"/>
      <c r="B746" s="56"/>
      <c r="C746" s="57"/>
      <c r="D746" s="56"/>
      <c r="E746" s="56"/>
      <c r="F746" s="56"/>
      <c r="G746" s="50" t="str">
        <f aca="false">IF($A746="","",IF(ISNUMBER($G745),$G745+1,1))</f>
        <v/>
      </c>
      <c r="H746" s="51" t="str">
        <f aca="false">IF(OR(NOT(ISNUMBER($G746)),$G746&lt;2,NOT(ISNUMBER($C745)),$C745=0),"",$C746/$C745-1)</f>
        <v/>
      </c>
      <c r="I746" s="52" t="str">
        <f aca="false">IF(AND(ISNUMBER($G746),$G746&gt;=MA_SHORT),AVERAGE(INDEX($C$346:$C746,402-MA_SHORT):$C746),"")</f>
        <v/>
      </c>
      <c r="J746" s="52" t="str">
        <f aca="false">IF(AND(ISNUMBER($G746),$G746&gt;=MA_MED),AVERAGE(INDEX($C$346:$C746,402-MA_MED):$C746),"")</f>
        <v/>
      </c>
      <c r="K746" s="52" t="str">
        <f aca="false">IF(AND(ISNUMBER($G746),$G746&gt;=MA_LONG2),AVERAGE(INDEX($C$346:$C746,402-MA_LONG2):$C746),"")</f>
        <v/>
      </c>
      <c r="L746" s="53" t="str">
        <f aca="false">IF(AND(ISNUMBER($G746),$G746&gt;=21),STDEV(INDEX($H$686:$H746,62-20):$H746)*SQRT(245),"")</f>
        <v/>
      </c>
      <c r="M746" s="52" t="str">
        <f aca="false">IF(AND(ISNUMBER($G746),$G746&gt;=60),MAX(INDEX($D$546:$D746,202-60):$D746),"")</f>
        <v/>
      </c>
      <c r="N746" s="52" t="str">
        <f aca="false">IF(AND(ISNUMBER($G746),$G746&gt;=60),MIN(INDEX($E$546:$E746,202-60):$E746),"")</f>
        <v/>
      </c>
      <c r="O746" s="53" t="str">
        <f aca="false">IF(OR(NOT(ISNUMBER($C746)),NOT(ISNUMBER($M746)),$M746=0),"",$C746/$M746-1)</f>
        <v/>
      </c>
      <c r="P746" s="54"/>
      <c r="Q746" s="53" t="str">
        <f aca="false">IF(NOT(ISNUMBER($P746)),"",IFERROR(PERCENTRANK($P$5:$P$1204,$P746),""))</f>
        <v/>
      </c>
    </row>
    <row r="747" customFormat="false" ht="15" hidden="false" customHeight="false" outlineLevel="0" collapsed="false">
      <c r="A747" s="55"/>
      <c r="B747" s="56"/>
      <c r="C747" s="57"/>
      <c r="D747" s="56"/>
      <c r="E747" s="56"/>
      <c r="F747" s="56"/>
      <c r="G747" s="50" t="str">
        <f aca="false">IF($A747="","",IF(ISNUMBER($G746),$G746+1,1))</f>
        <v/>
      </c>
      <c r="H747" s="51" t="str">
        <f aca="false">IF(OR(NOT(ISNUMBER($G747)),$G747&lt;2,NOT(ISNUMBER($C746)),$C746=0),"",$C747/$C746-1)</f>
        <v/>
      </c>
      <c r="I747" s="52" t="str">
        <f aca="false">IF(AND(ISNUMBER($G747),$G747&gt;=MA_SHORT),AVERAGE(INDEX($C$347:$C747,402-MA_SHORT):$C747),"")</f>
        <v/>
      </c>
      <c r="J747" s="52" t="str">
        <f aca="false">IF(AND(ISNUMBER($G747),$G747&gt;=MA_MED),AVERAGE(INDEX($C$347:$C747,402-MA_MED):$C747),"")</f>
        <v/>
      </c>
      <c r="K747" s="52" t="str">
        <f aca="false">IF(AND(ISNUMBER($G747),$G747&gt;=MA_LONG2),AVERAGE(INDEX($C$347:$C747,402-MA_LONG2):$C747),"")</f>
        <v/>
      </c>
      <c r="L747" s="53" t="str">
        <f aca="false">IF(AND(ISNUMBER($G747),$G747&gt;=21),STDEV(INDEX($H$687:$H747,62-20):$H747)*SQRT(245),"")</f>
        <v/>
      </c>
      <c r="M747" s="52" t="str">
        <f aca="false">IF(AND(ISNUMBER($G747),$G747&gt;=60),MAX(INDEX($D$547:$D747,202-60):$D747),"")</f>
        <v/>
      </c>
      <c r="N747" s="52" t="str">
        <f aca="false">IF(AND(ISNUMBER($G747),$G747&gt;=60),MIN(INDEX($E$547:$E747,202-60):$E747),"")</f>
        <v/>
      </c>
      <c r="O747" s="53" t="str">
        <f aca="false">IF(OR(NOT(ISNUMBER($C747)),NOT(ISNUMBER($M747)),$M747=0),"",$C747/$M747-1)</f>
        <v/>
      </c>
      <c r="P747" s="54"/>
      <c r="Q747" s="53" t="str">
        <f aca="false">IF(NOT(ISNUMBER($P747)),"",IFERROR(PERCENTRANK($P$5:$P$1204,$P747),""))</f>
        <v/>
      </c>
    </row>
    <row r="748" customFormat="false" ht="15" hidden="false" customHeight="false" outlineLevel="0" collapsed="false">
      <c r="A748" s="55"/>
      <c r="B748" s="56"/>
      <c r="C748" s="57"/>
      <c r="D748" s="56"/>
      <c r="E748" s="56"/>
      <c r="F748" s="56"/>
      <c r="G748" s="50" t="str">
        <f aca="false">IF($A748="","",IF(ISNUMBER($G747),$G747+1,1))</f>
        <v/>
      </c>
      <c r="H748" s="51" t="str">
        <f aca="false">IF(OR(NOT(ISNUMBER($G748)),$G748&lt;2,NOT(ISNUMBER($C747)),$C747=0),"",$C748/$C747-1)</f>
        <v/>
      </c>
      <c r="I748" s="52" t="str">
        <f aca="false">IF(AND(ISNUMBER($G748),$G748&gt;=MA_SHORT),AVERAGE(INDEX($C$348:$C748,402-MA_SHORT):$C748),"")</f>
        <v/>
      </c>
      <c r="J748" s="52" t="str">
        <f aca="false">IF(AND(ISNUMBER($G748),$G748&gt;=MA_MED),AVERAGE(INDEX($C$348:$C748,402-MA_MED):$C748),"")</f>
        <v/>
      </c>
      <c r="K748" s="52" t="str">
        <f aca="false">IF(AND(ISNUMBER($G748),$G748&gt;=MA_LONG2),AVERAGE(INDEX($C$348:$C748,402-MA_LONG2):$C748),"")</f>
        <v/>
      </c>
      <c r="L748" s="53" t="str">
        <f aca="false">IF(AND(ISNUMBER($G748),$G748&gt;=21),STDEV(INDEX($H$688:$H748,62-20):$H748)*SQRT(245),"")</f>
        <v/>
      </c>
      <c r="M748" s="52" t="str">
        <f aca="false">IF(AND(ISNUMBER($G748),$G748&gt;=60),MAX(INDEX($D$548:$D748,202-60):$D748),"")</f>
        <v/>
      </c>
      <c r="N748" s="52" t="str">
        <f aca="false">IF(AND(ISNUMBER($G748),$G748&gt;=60),MIN(INDEX($E$548:$E748,202-60):$E748),"")</f>
        <v/>
      </c>
      <c r="O748" s="53" t="str">
        <f aca="false">IF(OR(NOT(ISNUMBER($C748)),NOT(ISNUMBER($M748)),$M748=0),"",$C748/$M748-1)</f>
        <v/>
      </c>
      <c r="P748" s="54"/>
      <c r="Q748" s="53" t="str">
        <f aca="false">IF(NOT(ISNUMBER($P748)),"",IFERROR(PERCENTRANK($P$5:$P$1204,$P748),""))</f>
        <v/>
      </c>
    </row>
    <row r="749" customFormat="false" ht="15" hidden="false" customHeight="false" outlineLevel="0" collapsed="false">
      <c r="A749" s="55"/>
      <c r="B749" s="56"/>
      <c r="C749" s="57"/>
      <c r="D749" s="56"/>
      <c r="E749" s="56"/>
      <c r="F749" s="56"/>
      <c r="G749" s="50" t="str">
        <f aca="false">IF($A749="","",IF(ISNUMBER($G748),$G748+1,1))</f>
        <v/>
      </c>
      <c r="H749" s="51" t="str">
        <f aca="false">IF(OR(NOT(ISNUMBER($G749)),$G749&lt;2,NOT(ISNUMBER($C748)),$C748=0),"",$C749/$C748-1)</f>
        <v/>
      </c>
      <c r="I749" s="52" t="str">
        <f aca="false">IF(AND(ISNUMBER($G749),$G749&gt;=MA_SHORT),AVERAGE(INDEX($C$349:$C749,402-MA_SHORT):$C749),"")</f>
        <v/>
      </c>
      <c r="J749" s="52" t="str">
        <f aca="false">IF(AND(ISNUMBER($G749),$G749&gt;=MA_MED),AVERAGE(INDEX($C$349:$C749,402-MA_MED):$C749),"")</f>
        <v/>
      </c>
      <c r="K749" s="52" t="str">
        <f aca="false">IF(AND(ISNUMBER($G749),$G749&gt;=MA_LONG2),AVERAGE(INDEX($C$349:$C749,402-MA_LONG2):$C749),"")</f>
        <v/>
      </c>
      <c r="L749" s="53" t="str">
        <f aca="false">IF(AND(ISNUMBER($G749),$G749&gt;=21),STDEV(INDEX($H$689:$H749,62-20):$H749)*SQRT(245),"")</f>
        <v/>
      </c>
      <c r="M749" s="52" t="str">
        <f aca="false">IF(AND(ISNUMBER($G749),$G749&gt;=60),MAX(INDEX($D$549:$D749,202-60):$D749),"")</f>
        <v/>
      </c>
      <c r="N749" s="52" t="str">
        <f aca="false">IF(AND(ISNUMBER($G749),$G749&gt;=60),MIN(INDEX($E$549:$E749,202-60):$E749),"")</f>
        <v/>
      </c>
      <c r="O749" s="53" t="str">
        <f aca="false">IF(OR(NOT(ISNUMBER($C749)),NOT(ISNUMBER($M749)),$M749=0),"",$C749/$M749-1)</f>
        <v/>
      </c>
      <c r="P749" s="54"/>
      <c r="Q749" s="53" t="str">
        <f aca="false">IF(NOT(ISNUMBER($P749)),"",IFERROR(PERCENTRANK($P$5:$P$1204,$P749),""))</f>
        <v/>
      </c>
    </row>
    <row r="750" customFormat="false" ht="15" hidden="false" customHeight="false" outlineLevel="0" collapsed="false">
      <c r="A750" s="55"/>
      <c r="B750" s="56"/>
      <c r="C750" s="57"/>
      <c r="D750" s="56"/>
      <c r="E750" s="56"/>
      <c r="F750" s="56"/>
      <c r="G750" s="50" t="str">
        <f aca="false">IF($A750="","",IF(ISNUMBER($G749),$G749+1,1))</f>
        <v/>
      </c>
      <c r="H750" s="51" t="str">
        <f aca="false">IF(OR(NOT(ISNUMBER($G750)),$G750&lt;2,NOT(ISNUMBER($C749)),$C749=0),"",$C750/$C749-1)</f>
        <v/>
      </c>
      <c r="I750" s="52" t="str">
        <f aca="false">IF(AND(ISNUMBER($G750),$G750&gt;=MA_SHORT),AVERAGE(INDEX($C$350:$C750,402-MA_SHORT):$C750),"")</f>
        <v/>
      </c>
      <c r="J750" s="52" t="str">
        <f aca="false">IF(AND(ISNUMBER($G750),$G750&gt;=MA_MED),AVERAGE(INDEX($C$350:$C750,402-MA_MED):$C750),"")</f>
        <v/>
      </c>
      <c r="K750" s="52" t="str">
        <f aca="false">IF(AND(ISNUMBER($G750),$G750&gt;=MA_LONG2),AVERAGE(INDEX($C$350:$C750,402-MA_LONG2):$C750),"")</f>
        <v/>
      </c>
      <c r="L750" s="53" t="str">
        <f aca="false">IF(AND(ISNUMBER($G750),$G750&gt;=21),STDEV(INDEX($H$690:$H750,62-20):$H750)*SQRT(245),"")</f>
        <v/>
      </c>
      <c r="M750" s="52" t="str">
        <f aca="false">IF(AND(ISNUMBER($G750),$G750&gt;=60),MAX(INDEX($D$550:$D750,202-60):$D750),"")</f>
        <v/>
      </c>
      <c r="N750" s="52" t="str">
        <f aca="false">IF(AND(ISNUMBER($G750),$G750&gt;=60),MIN(INDEX($E$550:$E750,202-60):$E750),"")</f>
        <v/>
      </c>
      <c r="O750" s="53" t="str">
        <f aca="false">IF(OR(NOT(ISNUMBER($C750)),NOT(ISNUMBER($M750)),$M750=0),"",$C750/$M750-1)</f>
        <v/>
      </c>
      <c r="P750" s="54"/>
      <c r="Q750" s="53" t="str">
        <f aca="false">IF(NOT(ISNUMBER($P750)),"",IFERROR(PERCENTRANK($P$5:$P$1204,$P750),""))</f>
        <v/>
      </c>
    </row>
    <row r="751" customFormat="false" ht="15" hidden="false" customHeight="false" outlineLevel="0" collapsed="false">
      <c r="A751" s="55"/>
      <c r="B751" s="56"/>
      <c r="C751" s="57"/>
      <c r="D751" s="56"/>
      <c r="E751" s="56"/>
      <c r="F751" s="56"/>
      <c r="G751" s="50" t="str">
        <f aca="false">IF($A751="","",IF(ISNUMBER($G750),$G750+1,1))</f>
        <v/>
      </c>
      <c r="H751" s="51" t="str">
        <f aca="false">IF(OR(NOT(ISNUMBER($G751)),$G751&lt;2,NOT(ISNUMBER($C750)),$C750=0),"",$C751/$C750-1)</f>
        <v/>
      </c>
      <c r="I751" s="52" t="str">
        <f aca="false">IF(AND(ISNUMBER($G751),$G751&gt;=MA_SHORT),AVERAGE(INDEX($C$351:$C751,402-MA_SHORT):$C751),"")</f>
        <v/>
      </c>
      <c r="J751" s="52" t="str">
        <f aca="false">IF(AND(ISNUMBER($G751),$G751&gt;=MA_MED),AVERAGE(INDEX($C$351:$C751,402-MA_MED):$C751),"")</f>
        <v/>
      </c>
      <c r="K751" s="52" t="str">
        <f aca="false">IF(AND(ISNUMBER($G751),$G751&gt;=MA_LONG2),AVERAGE(INDEX($C$351:$C751,402-MA_LONG2):$C751),"")</f>
        <v/>
      </c>
      <c r="L751" s="53" t="str">
        <f aca="false">IF(AND(ISNUMBER($G751),$G751&gt;=21),STDEV(INDEX($H$691:$H751,62-20):$H751)*SQRT(245),"")</f>
        <v/>
      </c>
      <c r="M751" s="52" t="str">
        <f aca="false">IF(AND(ISNUMBER($G751),$G751&gt;=60),MAX(INDEX($D$551:$D751,202-60):$D751),"")</f>
        <v/>
      </c>
      <c r="N751" s="52" t="str">
        <f aca="false">IF(AND(ISNUMBER($G751),$G751&gt;=60),MIN(INDEX($E$551:$E751,202-60):$E751),"")</f>
        <v/>
      </c>
      <c r="O751" s="53" t="str">
        <f aca="false">IF(OR(NOT(ISNUMBER($C751)),NOT(ISNUMBER($M751)),$M751=0),"",$C751/$M751-1)</f>
        <v/>
      </c>
      <c r="P751" s="54"/>
      <c r="Q751" s="53" t="str">
        <f aca="false">IF(NOT(ISNUMBER($P751)),"",IFERROR(PERCENTRANK($P$5:$P$1204,$P751),""))</f>
        <v/>
      </c>
    </row>
    <row r="752" customFormat="false" ht="15" hidden="false" customHeight="false" outlineLevel="0" collapsed="false">
      <c r="A752" s="55"/>
      <c r="B752" s="56"/>
      <c r="C752" s="57"/>
      <c r="D752" s="56"/>
      <c r="E752" s="56"/>
      <c r="F752" s="56"/>
      <c r="G752" s="50" t="str">
        <f aca="false">IF($A752="","",IF(ISNUMBER($G751),$G751+1,1))</f>
        <v/>
      </c>
      <c r="H752" s="51" t="str">
        <f aca="false">IF(OR(NOT(ISNUMBER($G752)),$G752&lt;2,NOT(ISNUMBER($C751)),$C751=0),"",$C752/$C751-1)</f>
        <v/>
      </c>
      <c r="I752" s="52" t="str">
        <f aca="false">IF(AND(ISNUMBER($G752),$G752&gt;=MA_SHORT),AVERAGE(INDEX($C$352:$C752,402-MA_SHORT):$C752),"")</f>
        <v/>
      </c>
      <c r="J752" s="52" t="str">
        <f aca="false">IF(AND(ISNUMBER($G752),$G752&gt;=MA_MED),AVERAGE(INDEX($C$352:$C752,402-MA_MED):$C752),"")</f>
        <v/>
      </c>
      <c r="K752" s="52" t="str">
        <f aca="false">IF(AND(ISNUMBER($G752),$G752&gt;=MA_LONG2),AVERAGE(INDEX($C$352:$C752,402-MA_LONG2):$C752),"")</f>
        <v/>
      </c>
      <c r="L752" s="53" t="str">
        <f aca="false">IF(AND(ISNUMBER($G752),$G752&gt;=21),STDEV(INDEX($H$692:$H752,62-20):$H752)*SQRT(245),"")</f>
        <v/>
      </c>
      <c r="M752" s="52" t="str">
        <f aca="false">IF(AND(ISNUMBER($G752),$G752&gt;=60),MAX(INDEX($D$552:$D752,202-60):$D752),"")</f>
        <v/>
      </c>
      <c r="N752" s="52" t="str">
        <f aca="false">IF(AND(ISNUMBER($G752),$G752&gt;=60),MIN(INDEX($E$552:$E752,202-60):$E752),"")</f>
        <v/>
      </c>
      <c r="O752" s="53" t="str">
        <f aca="false">IF(OR(NOT(ISNUMBER($C752)),NOT(ISNUMBER($M752)),$M752=0),"",$C752/$M752-1)</f>
        <v/>
      </c>
      <c r="P752" s="54"/>
      <c r="Q752" s="53" t="str">
        <f aca="false">IF(NOT(ISNUMBER($P752)),"",IFERROR(PERCENTRANK($P$5:$P$1204,$P752),""))</f>
        <v/>
      </c>
    </row>
    <row r="753" customFormat="false" ht="15" hidden="false" customHeight="false" outlineLevel="0" collapsed="false">
      <c r="A753" s="55"/>
      <c r="B753" s="56"/>
      <c r="C753" s="57"/>
      <c r="D753" s="56"/>
      <c r="E753" s="56"/>
      <c r="F753" s="56"/>
      <c r="G753" s="50" t="str">
        <f aca="false">IF($A753="","",IF(ISNUMBER($G752),$G752+1,1))</f>
        <v/>
      </c>
      <c r="H753" s="51" t="str">
        <f aca="false">IF(OR(NOT(ISNUMBER($G753)),$G753&lt;2,NOT(ISNUMBER($C752)),$C752=0),"",$C753/$C752-1)</f>
        <v/>
      </c>
      <c r="I753" s="52" t="str">
        <f aca="false">IF(AND(ISNUMBER($G753),$G753&gt;=MA_SHORT),AVERAGE(INDEX($C$353:$C753,402-MA_SHORT):$C753),"")</f>
        <v/>
      </c>
      <c r="J753" s="52" t="str">
        <f aca="false">IF(AND(ISNUMBER($G753),$G753&gt;=MA_MED),AVERAGE(INDEX($C$353:$C753,402-MA_MED):$C753),"")</f>
        <v/>
      </c>
      <c r="K753" s="52" t="str">
        <f aca="false">IF(AND(ISNUMBER($G753),$G753&gt;=MA_LONG2),AVERAGE(INDEX($C$353:$C753,402-MA_LONG2):$C753),"")</f>
        <v/>
      </c>
      <c r="L753" s="53" t="str">
        <f aca="false">IF(AND(ISNUMBER($G753),$G753&gt;=21),STDEV(INDEX($H$693:$H753,62-20):$H753)*SQRT(245),"")</f>
        <v/>
      </c>
      <c r="M753" s="52" t="str">
        <f aca="false">IF(AND(ISNUMBER($G753),$G753&gt;=60),MAX(INDEX($D$553:$D753,202-60):$D753),"")</f>
        <v/>
      </c>
      <c r="N753" s="52" t="str">
        <f aca="false">IF(AND(ISNUMBER($G753),$G753&gt;=60),MIN(INDEX($E$553:$E753,202-60):$E753),"")</f>
        <v/>
      </c>
      <c r="O753" s="53" t="str">
        <f aca="false">IF(OR(NOT(ISNUMBER($C753)),NOT(ISNUMBER($M753)),$M753=0),"",$C753/$M753-1)</f>
        <v/>
      </c>
      <c r="P753" s="54"/>
      <c r="Q753" s="53" t="str">
        <f aca="false">IF(NOT(ISNUMBER($P753)),"",IFERROR(PERCENTRANK($P$5:$P$1204,$P753),""))</f>
        <v/>
      </c>
    </row>
    <row r="754" customFormat="false" ht="15" hidden="false" customHeight="false" outlineLevel="0" collapsed="false">
      <c r="A754" s="55"/>
      <c r="B754" s="56"/>
      <c r="C754" s="57"/>
      <c r="D754" s="56"/>
      <c r="E754" s="56"/>
      <c r="F754" s="56"/>
      <c r="G754" s="50" t="str">
        <f aca="false">IF($A754="","",IF(ISNUMBER($G753),$G753+1,1))</f>
        <v/>
      </c>
      <c r="H754" s="51" t="str">
        <f aca="false">IF(OR(NOT(ISNUMBER($G754)),$G754&lt;2,NOT(ISNUMBER($C753)),$C753=0),"",$C754/$C753-1)</f>
        <v/>
      </c>
      <c r="I754" s="52" t="str">
        <f aca="false">IF(AND(ISNUMBER($G754),$G754&gt;=MA_SHORT),AVERAGE(INDEX($C$354:$C754,402-MA_SHORT):$C754),"")</f>
        <v/>
      </c>
      <c r="J754" s="52" t="str">
        <f aca="false">IF(AND(ISNUMBER($G754),$G754&gt;=MA_MED),AVERAGE(INDEX($C$354:$C754,402-MA_MED):$C754),"")</f>
        <v/>
      </c>
      <c r="K754" s="52" t="str">
        <f aca="false">IF(AND(ISNUMBER($G754),$G754&gt;=MA_LONG2),AVERAGE(INDEX($C$354:$C754,402-MA_LONG2):$C754),"")</f>
        <v/>
      </c>
      <c r="L754" s="53" t="str">
        <f aca="false">IF(AND(ISNUMBER($G754),$G754&gt;=21),STDEV(INDEX($H$694:$H754,62-20):$H754)*SQRT(245),"")</f>
        <v/>
      </c>
      <c r="M754" s="52" t="str">
        <f aca="false">IF(AND(ISNUMBER($G754),$G754&gt;=60),MAX(INDEX($D$554:$D754,202-60):$D754),"")</f>
        <v/>
      </c>
      <c r="N754" s="52" t="str">
        <f aca="false">IF(AND(ISNUMBER($G754),$G754&gt;=60),MIN(INDEX($E$554:$E754,202-60):$E754),"")</f>
        <v/>
      </c>
      <c r="O754" s="53" t="str">
        <f aca="false">IF(OR(NOT(ISNUMBER($C754)),NOT(ISNUMBER($M754)),$M754=0),"",$C754/$M754-1)</f>
        <v/>
      </c>
      <c r="P754" s="54"/>
      <c r="Q754" s="53" t="str">
        <f aca="false">IF(NOT(ISNUMBER($P754)),"",IFERROR(PERCENTRANK($P$5:$P$1204,$P754),""))</f>
        <v/>
      </c>
    </row>
    <row r="755" customFormat="false" ht="15" hidden="false" customHeight="false" outlineLevel="0" collapsed="false">
      <c r="A755" s="55"/>
      <c r="B755" s="56"/>
      <c r="C755" s="57"/>
      <c r="D755" s="56"/>
      <c r="E755" s="56"/>
      <c r="F755" s="56"/>
      <c r="G755" s="50" t="str">
        <f aca="false">IF($A755="","",IF(ISNUMBER($G754),$G754+1,1))</f>
        <v/>
      </c>
      <c r="H755" s="51" t="str">
        <f aca="false">IF(OR(NOT(ISNUMBER($G755)),$G755&lt;2,NOT(ISNUMBER($C754)),$C754=0),"",$C755/$C754-1)</f>
        <v/>
      </c>
      <c r="I755" s="52" t="str">
        <f aca="false">IF(AND(ISNUMBER($G755),$G755&gt;=MA_SHORT),AVERAGE(INDEX($C$355:$C755,402-MA_SHORT):$C755),"")</f>
        <v/>
      </c>
      <c r="J755" s="52" t="str">
        <f aca="false">IF(AND(ISNUMBER($G755),$G755&gt;=MA_MED),AVERAGE(INDEX($C$355:$C755,402-MA_MED):$C755),"")</f>
        <v/>
      </c>
      <c r="K755" s="52" t="str">
        <f aca="false">IF(AND(ISNUMBER($G755),$G755&gt;=MA_LONG2),AVERAGE(INDEX($C$355:$C755,402-MA_LONG2):$C755),"")</f>
        <v/>
      </c>
      <c r="L755" s="53" t="str">
        <f aca="false">IF(AND(ISNUMBER($G755),$G755&gt;=21),STDEV(INDEX($H$695:$H755,62-20):$H755)*SQRT(245),"")</f>
        <v/>
      </c>
      <c r="M755" s="52" t="str">
        <f aca="false">IF(AND(ISNUMBER($G755),$G755&gt;=60),MAX(INDEX($D$555:$D755,202-60):$D755),"")</f>
        <v/>
      </c>
      <c r="N755" s="52" t="str">
        <f aca="false">IF(AND(ISNUMBER($G755),$G755&gt;=60),MIN(INDEX($E$555:$E755,202-60):$E755),"")</f>
        <v/>
      </c>
      <c r="O755" s="53" t="str">
        <f aca="false">IF(OR(NOT(ISNUMBER($C755)),NOT(ISNUMBER($M755)),$M755=0),"",$C755/$M755-1)</f>
        <v/>
      </c>
      <c r="P755" s="54"/>
      <c r="Q755" s="53" t="str">
        <f aca="false">IF(NOT(ISNUMBER($P755)),"",IFERROR(PERCENTRANK($P$5:$P$1204,$P755),""))</f>
        <v/>
      </c>
    </row>
    <row r="756" customFormat="false" ht="15" hidden="false" customHeight="false" outlineLevel="0" collapsed="false">
      <c r="A756" s="55"/>
      <c r="B756" s="56"/>
      <c r="C756" s="57"/>
      <c r="D756" s="56"/>
      <c r="E756" s="56"/>
      <c r="F756" s="56"/>
      <c r="G756" s="50" t="str">
        <f aca="false">IF($A756="","",IF(ISNUMBER($G755),$G755+1,1))</f>
        <v/>
      </c>
      <c r="H756" s="51" t="str">
        <f aca="false">IF(OR(NOT(ISNUMBER($G756)),$G756&lt;2,NOT(ISNUMBER($C755)),$C755=0),"",$C756/$C755-1)</f>
        <v/>
      </c>
      <c r="I756" s="52" t="str">
        <f aca="false">IF(AND(ISNUMBER($G756),$G756&gt;=MA_SHORT),AVERAGE(INDEX($C$356:$C756,402-MA_SHORT):$C756),"")</f>
        <v/>
      </c>
      <c r="J756" s="52" t="str">
        <f aca="false">IF(AND(ISNUMBER($G756),$G756&gt;=MA_MED),AVERAGE(INDEX($C$356:$C756,402-MA_MED):$C756),"")</f>
        <v/>
      </c>
      <c r="K756" s="52" t="str">
        <f aca="false">IF(AND(ISNUMBER($G756),$G756&gt;=MA_LONG2),AVERAGE(INDEX($C$356:$C756,402-MA_LONG2):$C756),"")</f>
        <v/>
      </c>
      <c r="L756" s="53" t="str">
        <f aca="false">IF(AND(ISNUMBER($G756),$G756&gt;=21),STDEV(INDEX($H$696:$H756,62-20):$H756)*SQRT(245),"")</f>
        <v/>
      </c>
      <c r="M756" s="52" t="str">
        <f aca="false">IF(AND(ISNUMBER($G756),$G756&gt;=60),MAX(INDEX($D$556:$D756,202-60):$D756),"")</f>
        <v/>
      </c>
      <c r="N756" s="52" t="str">
        <f aca="false">IF(AND(ISNUMBER($G756),$G756&gt;=60),MIN(INDEX($E$556:$E756,202-60):$E756),"")</f>
        <v/>
      </c>
      <c r="O756" s="53" t="str">
        <f aca="false">IF(OR(NOT(ISNUMBER($C756)),NOT(ISNUMBER($M756)),$M756=0),"",$C756/$M756-1)</f>
        <v/>
      </c>
      <c r="P756" s="54"/>
      <c r="Q756" s="53" t="str">
        <f aca="false">IF(NOT(ISNUMBER($P756)),"",IFERROR(PERCENTRANK($P$5:$P$1204,$P756),""))</f>
        <v/>
      </c>
    </row>
    <row r="757" customFormat="false" ht="15" hidden="false" customHeight="false" outlineLevel="0" collapsed="false">
      <c r="A757" s="55"/>
      <c r="B757" s="56"/>
      <c r="C757" s="57"/>
      <c r="D757" s="56"/>
      <c r="E757" s="56"/>
      <c r="F757" s="56"/>
      <c r="G757" s="50" t="str">
        <f aca="false">IF($A757="","",IF(ISNUMBER($G756),$G756+1,1))</f>
        <v/>
      </c>
      <c r="H757" s="51" t="str">
        <f aca="false">IF(OR(NOT(ISNUMBER($G757)),$G757&lt;2,NOT(ISNUMBER($C756)),$C756=0),"",$C757/$C756-1)</f>
        <v/>
      </c>
      <c r="I757" s="52" t="str">
        <f aca="false">IF(AND(ISNUMBER($G757),$G757&gt;=MA_SHORT),AVERAGE(INDEX($C$357:$C757,402-MA_SHORT):$C757),"")</f>
        <v/>
      </c>
      <c r="J757" s="52" t="str">
        <f aca="false">IF(AND(ISNUMBER($G757),$G757&gt;=MA_MED),AVERAGE(INDEX($C$357:$C757,402-MA_MED):$C757),"")</f>
        <v/>
      </c>
      <c r="K757" s="52" t="str">
        <f aca="false">IF(AND(ISNUMBER($G757),$G757&gt;=MA_LONG2),AVERAGE(INDEX($C$357:$C757,402-MA_LONG2):$C757),"")</f>
        <v/>
      </c>
      <c r="L757" s="53" t="str">
        <f aca="false">IF(AND(ISNUMBER($G757),$G757&gt;=21),STDEV(INDEX($H$697:$H757,62-20):$H757)*SQRT(245),"")</f>
        <v/>
      </c>
      <c r="M757" s="52" t="str">
        <f aca="false">IF(AND(ISNUMBER($G757),$G757&gt;=60),MAX(INDEX($D$557:$D757,202-60):$D757),"")</f>
        <v/>
      </c>
      <c r="N757" s="52" t="str">
        <f aca="false">IF(AND(ISNUMBER($G757),$G757&gt;=60),MIN(INDEX($E$557:$E757,202-60):$E757),"")</f>
        <v/>
      </c>
      <c r="O757" s="53" t="str">
        <f aca="false">IF(OR(NOT(ISNUMBER($C757)),NOT(ISNUMBER($M757)),$M757=0),"",$C757/$M757-1)</f>
        <v/>
      </c>
      <c r="P757" s="54"/>
      <c r="Q757" s="53" t="str">
        <f aca="false">IF(NOT(ISNUMBER($P757)),"",IFERROR(PERCENTRANK($P$5:$P$1204,$P757),""))</f>
        <v/>
      </c>
    </row>
    <row r="758" customFormat="false" ht="15" hidden="false" customHeight="false" outlineLevel="0" collapsed="false">
      <c r="A758" s="55"/>
      <c r="B758" s="56"/>
      <c r="C758" s="57"/>
      <c r="D758" s="56"/>
      <c r="E758" s="56"/>
      <c r="F758" s="56"/>
      <c r="G758" s="50" t="str">
        <f aca="false">IF($A758="","",IF(ISNUMBER($G757),$G757+1,1))</f>
        <v/>
      </c>
      <c r="H758" s="51" t="str">
        <f aca="false">IF(OR(NOT(ISNUMBER($G758)),$G758&lt;2,NOT(ISNUMBER($C757)),$C757=0),"",$C758/$C757-1)</f>
        <v/>
      </c>
      <c r="I758" s="52" t="str">
        <f aca="false">IF(AND(ISNUMBER($G758),$G758&gt;=MA_SHORT),AVERAGE(INDEX($C$358:$C758,402-MA_SHORT):$C758),"")</f>
        <v/>
      </c>
      <c r="J758" s="52" t="str">
        <f aca="false">IF(AND(ISNUMBER($G758),$G758&gt;=MA_MED),AVERAGE(INDEX($C$358:$C758,402-MA_MED):$C758),"")</f>
        <v/>
      </c>
      <c r="K758" s="52" t="str">
        <f aca="false">IF(AND(ISNUMBER($G758),$G758&gt;=MA_LONG2),AVERAGE(INDEX($C$358:$C758,402-MA_LONG2):$C758),"")</f>
        <v/>
      </c>
      <c r="L758" s="53" t="str">
        <f aca="false">IF(AND(ISNUMBER($G758),$G758&gt;=21),STDEV(INDEX($H$698:$H758,62-20):$H758)*SQRT(245),"")</f>
        <v/>
      </c>
      <c r="M758" s="52" t="str">
        <f aca="false">IF(AND(ISNUMBER($G758),$G758&gt;=60),MAX(INDEX($D$558:$D758,202-60):$D758),"")</f>
        <v/>
      </c>
      <c r="N758" s="52" t="str">
        <f aca="false">IF(AND(ISNUMBER($G758),$G758&gt;=60),MIN(INDEX($E$558:$E758,202-60):$E758),"")</f>
        <v/>
      </c>
      <c r="O758" s="53" t="str">
        <f aca="false">IF(OR(NOT(ISNUMBER($C758)),NOT(ISNUMBER($M758)),$M758=0),"",$C758/$M758-1)</f>
        <v/>
      </c>
      <c r="P758" s="54"/>
      <c r="Q758" s="53" t="str">
        <f aca="false">IF(NOT(ISNUMBER($P758)),"",IFERROR(PERCENTRANK($P$5:$P$1204,$P758),""))</f>
        <v/>
      </c>
    </row>
    <row r="759" customFormat="false" ht="15" hidden="false" customHeight="false" outlineLevel="0" collapsed="false">
      <c r="A759" s="55"/>
      <c r="B759" s="56"/>
      <c r="C759" s="57"/>
      <c r="D759" s="56"/>
      <c r="E759" s="56"/>
      <c r="F759" s="56"/>
      <c r="G759" s="50" t="str">
        <f aca="false">IF($A759="","",IF(ISNUMBER($G758),$G758+1,1))</f>
        <v/>
      </c>
      <c r="H759" s="51" t="str">
        <f aca="false">IF(OR(NOT(ISNUMBER($G759)),$G759&lt;2,NOT(ISNUMBER($C758)),$C758=0),"",$C759/$C758-1)</f>
        <v/>
      </c>
      <c r="I759" s="52" t="str">
        <f aca="false">IF(AND(ISNUMBER($G759),$G759&gt;=MA_SHORT),AVERAGE(INDEX($C$359:$C759,402-MA_SHORT):$C759),"")</f>
        <v/>
      </c>
      <c r="J759" s="52" t="str">
        <f aca="false">IF(AND(ISNUMBER($G759),$G759&gt;=MA_MED),AVERAGE(INDEX($C$359:$C759,402-MA_MED):$C759),"")</f>
        <v/>
      </c>
      <c r="K759" s="52" t="str">
        <f aca="false">IF(AND(ISNUMBER($G759),$G759&gt;=MA_LONG2),AVERAGE(INDEX($C$359:$C759,402-MA_LONG2):$C759),"")</f>
        <v/>
      </c>
      <c r="L759" s="53" t="str">
        <f aca="false">IF(AND(ISNUMBER($G759),$G759&gt;=21),STDEV(INDEX($H$699:$H759,62-20):$H759)*SQRT(245),"")</f>
        <v/>
      </c>
      <c r="M759" s="52" t="str">
        <f aca="false">IF(AND(ISNUMBER($G759),$G759&gt;=60),MAX(INDEX($D$559:$D759,202-60):$D759),"")</f>
        <v/>
      </c>
      <c r="N759" s="52" t="str">
        <f aca="false">IF(AND(ISNUMBER($G759),$G759&gt;=60),MIN(INDEX($E$559:$E759,202-60):$E759),"")</f>
        <v/>
      </c>
      <c r="O759" s="53" t="str">
        <f aca="false">IF(OR(NOT(ISNUMBER($C759)),NOT(ISNUMBER($M759)),$M759=0),"",$C759/$M759-1)</f>
        <v/>
      </c>
      <c r="P759" s="54"/>
      <c r="Q759" s="53" t="str">
        <f aca="false">IF(NOT(ISNUMBER($P759)),"",IFERROR(PERCENTRANK($P$5:$P$1204,$P759),""))</f>
        <v/>
      </c>
    </row>
    <row r="760" customFormat="false" ht="15" hidden="false" customHeight="false" outlineLevel="0" collapsed="false">
      <c r="A760" s="55"/>
      <c r="B760" s="56"/>
      <c r="C760" s="57"/>
      <c r="D760" s="56"/>
      <c r="E760" s="56"/>
      <c r="F760" s="56"/>
      <c r="G760" s="50" t="str">
        <f aca="false">IF($A760="","",IF(ISNUMBER($G759),$G759+1,1))</f>
        <v/>
      </c>
      <c r="H760" s="51" t="str">
        <f aca="false">IF(OR(NOT(ISNUMBER($G760)),$G760&lt;2,NOT(ISNUMBER($C759)),$C759=0),"",$C760/$C759-1)</f>
        <v/>
      </c>
      <c r="I760" s="52" t="str">
        <f aca="false">IF(AND(ISNUMBER($G760),$G760&gt;=MA_SHORT),AVERAGE(INDEX($C$360:$C760,402-MA_SHORT):$C760),"")</f>
        <v/>
      </c>
      <c r="J760" s="52" t="str">
        <f aca="false">IF(AND(ISNUMBER($G760),$G760&gt;=MA_MED),AVERAGE(INDEX($C$360:$C760,402-MA_MED):$C760),"")</f>
        <v/>
      </c>
      <c r="K760" s="52" t="str">
        <f aca="false">IF(AND(ISNUMBER($G760),$G760&gt;=MA_LONG2),AVERAGE(INDEX($C$360:$C760,402-MA_LONG2):$C760),"")</f>
        <v/>
      </c>
      <c r="L760" s="53" t="str">
        <f aca="false">IF(AND(ISNUMBER($G760),$G760&gt;=21),STDEV(INDEX($H$700:$H760,62-20):$H760)*SQRT(245),"")</f>
        <v/>
      </c>
      <c r="M760" s="52" t="str">
        <f aca="false">IF(AND(ISNUMBER($G760),$G760&gt;=60),MAX(INDEX($D$560:$D760,202-60):$D760),"")</f>
        <v/>
      </c>
      <c r="N760" s="52" t="str">
        <f aca="false">IF(AND(ISNUMBER($G760),$G760&gt;=60),MIN(INDEX($E$560:$E760,202-60):$E760),"")</f>
        <v/>
      </c>
      <c r="O760" s="53" t="str">
        <f aca="false">IF(OR(NOT(ISNUMBER($C760)),NOT(ISNUMBER($M760)),$M760=0),"",$C760/$M760-1)</f>
        <v/>
      </c>
      <c r="P760" s="54"/>
      <c r="Q760" s="53" t="str">
        <f aca="false">IF(NOT(ISNUMBER($P760)),"",IFERROR(PERCENTRANK($P$5:$P$1204,$P760),""))</f>
        <v/>
      </c>
    </row>
    <row r="761" customFormat="false" ht="15" hidden="false" customHeight="false" outlineLevel="0" collapsed="false">
      <c r="A761" s="55"/>
      <c r="B761" s="56"/>
      <c r="C761" s="57"/>
      <c r="D761" s="56"/>
      <c r="E761" s="56"/>
      <c r="F761" s="56"/>
      <c r="G761" s="50" t="str">
        <f aca="false">IF($A761="","",IF(ISNUMBER($G760),$G760+1,1))</f>
        <v/>
      </c>
      <c r="H761" s="51" t="str">
        <f aca="false">IF(OR(NOT(ISNUMBER($G761)),$G761&lt;2,NOT(ISNUMBER($C760)),$C760=0),"",$C761/$C760-1)</f>
        <v/>
      </c>
      <c r="I761" s="52" t="str">
        <f aca="false">IF(AND(ISNUMBER($G761),$G761&gt;=MA_SHORT),AVERAGE(INDEX($C$361:$C761,402-MA_SHORT):$C761),"")</f>
        <v/>
      </c>
      <c r="J761" s="52" t="str">
        <f aca="false">IF(AND(ISNUMBER($G761),$G761&gt;=MA_MED),AVERAGE(INDEX($C$361:$C761,402-MA_MED):$C761),"")</f>
        <v/>
      </c>
      <c r="K761" s="52" t="str">
        <f aca="false">IF(AND(ISNUMBER($G761),$G761&gt;=MA_LONG2),AVERAGE(INDEX($C$361:$C761,402-MA_LONG2):$C761),"")</f>
        <v/>
      </c>
      <c r="L761" s="53" t="str">
        <f aca="false">IF(AND(ISNUMBER($G761),$G761&gt;=21),STDEV(INDEX($H$701:$H761,62-20):$H761)*SQRT(245),"")</f>
        <v/>
      </c>
      <c r="M761" s="52" t="str">
        <f aca="false">IF(AND(ISNUMBER($G761),$G761&gt;=60),MAX(INDEX($D$561:$D761,202-60):$D761),"")</f>
        <v/>
      </c>
      <c r="N761" s="52" t="str">
        <f aca="false">IF(AND(ISNUMBER($G761),$G761&gt;=60),MIN(INDEX($E$561:$E761,202-60):$E761),"")</f>
        <v/>
      </c>
      <c r="O761" s="53" t="str">
        <f aca="false">IF(OR(NOT(ISNUMBER($C761)),NOT(ISNUMBER($M761)),$M761=0),"",$C761/$M761-1)</f>
        <v/>
      </c>
      <c r="P761" s="54"/>
      <c r="Q761" s="53" t="str">
        <f aca="false">IF(NOT(ISNUMBER($P761)),"",IFERROR(PERCENTRANK($P$5:$P$1204,$P761),""))</f>
        <v/>
      </c>
    </row>
    <row r="762" customFormat="false" ht="15" hidden="false" customHeight="false" outlineLevel="0" collapsed="false">
      <c r="A762" s="55"/>
      <c r="B762" s="56"/>
      <c r="C762" s="57"/>
      <c r="D762" s="56"/>
      <c r="E762" s="56"/>
      <c r="F762" s="56"/>
      <c r="G762" s="50" t="str">
        <f aca="false">IF($A762="","",IF(ISNUMBER($G761),$G761+1,1))</f>
        <v/>
      </c>
      <c r="H762" s="51" t="str">
        <f aca="false">IF(OR(NOT(ISNUMBER($G762)),$G762&lt;2,NOT(ISNUMBER($C761)),$C761=0),"",$C762/$C761-1)</f>
        <v/>
      </c>
      <c r="I762" s="52" t="str">
        <f aca="false">IF(AND(ISNUMBER($G762),$G762&gt;=MA_SHORT),AVERAGE(INDEX($C$362:$C762,402-MA_SHORT):$C762),"")</f>
        <v/>
      </c>
      <c r="J762" s="52" t="str">
        <f aca="false">IF(AND(ISNUMBER($G762),$G762&gt;=MA_MED),AVERAGE(INDEX($C$362:$C762,402-MA_MED):$C762),"")</f>
        <v/>
      </c>
      <c r="K762" s="52" t="str">
        <f aca="false">IF(AND(ISNUMBER($G762),$G762&gt;=MA_LONG2),AVERAGE(INDEX($C$362:$C762,402-MA_LONG2):$C762),"")</f>
        <v/>
      </c>
      <c r="L762" s="53" t="str">
        <f aca="false">IF(AND(ISNUMBER($G762),$G762&gt;=21),STDEV(INDEX($H$702:$H762,62-20):$H762)*SQRT(245),"")</f>
        <v/>
      </c>
      <c r="M762" s="52" t="str">
        <f aca="false">IF(AND(ISNUMBER($G762),$G762&gt;=60),MAX(INDEX($D$562:$D762,202-60):$D762),"")</f>
        <v/>
      </c>
      <c r="N762" s="52" t="str">
        <f aca="false">IF(AND(ISNUMBER($G762),$G762&gt;=60),MIN(INDEX($E$562:$E762,202-60):$E762),"")</f>
        <v/>
      </c>
      <c r="O762" s="53" t="str">
        <f aca="false">IF(OR(NOT(ISNUMBER($C762)),NOT(ISNUMBER($M762)),$M762=0),"",$C762/$M762-1)</f>
        <v/>
      </c>
      <c r="P762" s="54"/>
      <c r="Q762" s="53" t="str">
        <f aca="false">IF(NOT(ISNUMBER($P762)),"",IFERROR(PERCENTRANK($P$5:$P$1204,$P762),""))</f>
        <v/>
      </c>
    </row>
    <row r="763" customFormat="false" ht="15" hidden="false" customHeight="false" outlineLevel="0" collapsed="false">
      <c r="A763" s="55"/>
      <c r="B763" s="56"/>
      <c r="C763" s="57"/>
      <c r="D763" s="56"/>
      <c r="E763" s="56"/>
      <c r="F763" s="56"/>
      <c r="G763" s="50" t="str">
        <f aca="false">IF($A763="","",IF(ISNUMBER($G762),$G762+1,1))</f>
        <v/>
      </c>
      <c r="H763" s="51" t="str">
        <f aca="false">IF(OR(NOT(ISNUMBER($G763)),$G763&lt;2,NOT(ISNUMBER($C762)),$C762=0),"",$C763/$C762-1)</f>
        <v/>
      </c>
      <c r="I763" s="52" t="str">
        <f aca="false">IF(AND(ISNUMBER($G763),$G763&gt;=MA_SHORT),AVERAGE(INDEX($C$363:$C763,402-MA_SHORT):$C763),"")</f>
        <v/>
      </c>
      <c r="J763" s="52" t="str">
        <f aca="false">IF(AND(ISNUMBER($G763),$G763&gt;=MA_MED),AVERAGE(INDEX($C$363:$C763,402-MA_MED):$C763),"")</f>
        <v/>
      </c>
      <c r="K763" s="52" t="str">
        <f aca="false">IF(AND(ISNUMBER($G763),$G763&gt;=MA_LONG2),AVERAGE(INDEX($C$363:$C763,402-MA_LONG2):$C763),"")</f>
        <v/>
      </c>
      <c r="L763" s="53" t="str">
        <f aca="false">IF(AND(ISNUMBER($G763),$G763&gt;=21),STDEV(INDEX($H$703:$H763,62-20):$H763)*SQRT(245),"")</f>
        <v/>
      </c>
      <c r="M763" s="52" t="str">
        <f aca="false">IF(AND(ISNUMBER($G763),$G763&gt;=60),MAX(INDEX($D$563:$D763,202-60):$D763),"")</f>
        <v/>
      </c>
      <c r="N763" s="52" t="str">
        <f aca="false">IF(AND(ISNUMBER($G763),$G763&gt;=60),MIN(INDEX($E$563:$E763,202-60):$E763),"")</f>
        <v/>
      </c>
      <c r="O763" s="53" t="str">
        <f aca="false">IF(OR(NOT(ISNUMBER($C763)),NOT(ISNUMBER($M763)),$M763=0),"",$C763/$M763-1)</f>
        <v/>
      </c>
      <c r="P763" s="54"/>
      <c r="Q763" s="53" t="str">
        <f aca="false">IF(NOT(ISNUMBER($P763)),"",IFERROR(PERCENTRANK($P$5:$P$1204,$P763),""))</f>
        <v/>
      </c>
    </row>
    <row r="764" customFormat="false" ht="15" hidden="false" customHeight="false" outlineLevel="0" collapsed="false">
      <c r="A764" s="55"/>
      <c r="B764" s="56"/>
      <c r="C764" s="57"/>
      <c r="D764" s="56"/>
      <c r="E764" s="56"/>
      <c r="F764" s="56"/>
      <c r="G764" s="50" t="str">
        <f aca="false">IF($A764="","",IF(ISNUMBER($G763),$G763+1,1))</f>
        <v/>
      </c>
      <c r="H764" s="51" t="str">
        <f aca="false">IF(OR(NOT(ISNUMBER($G764)),$G764&lt;2,NOT(ISNUMBER($C763)),$C763=0),"",$C764/$C763-1)</f>
        <v/>
      </c>
      <c r="I764" s="52" t="str">
        <f aca="false">IF(AND(ISNUMBER($G764),$G764&gt;=MA_SHORT),AVERAGE(INDEX($C$364:$C764,402-MA_SHORT):$C764),"")</f>
        <v/>
      </c>
      <c r="J764" s="52" t="str">
        <f aca="false">IF(AND(ISNUMBER($G764),$G764&gt;=MA_MED),AVERAGE(INDEX($C$364:$C764,402-MA_MED):$C764),"")</f>
        <v/>
      </c>
      <c r="K764" s="52" t="str">
        <f aca="false">IF(AND(ISNUMBER($G764),$G764&gt;=MA_LONG2),AVERAGE(INDEX($C$364:$C764,402-MA_LONG2):$C764),"")</f>
        <v/>
      </c>
      <c r="L764" s="53" t="str">
        <f aca="false">IF(AND(ISNUMBER($G764),$G764&gt;=21),STDEV(INDEX($H$704:$H764,62-20):$H764)*SQRT(245),"")</f>
        <v/>
      </c>
      <c r="M764" s="52" t="str">
        <f aca="false">IF(AND(ISNUMBER($G764),$G764&gt;=60),MAX(INDEX($D$564:$D764,202-60):$D764),"")</f>
        <v/>
      </c>
      <c r="N764" s="52" t="str">
        <f aca="false">IF(AND(ISNUMBER($G764),$G764&gt;=60),MIN(INDEX($E$564:$E764,202-60):$E764),"")</f>
        <v/>
      </c>
      <c r="O764" s="53" t="str">
        <f aca="false">IF(OR(NOT(ISNUMBER($C764)),NOT(ISNUMBER($M764)),$M764=0),"",$C764/$M764-1)</f>
        <v/>
      </c>
      <c r="P764" s="54"/>
      <c r="Q764" s="53" t="str">
        <f aca="false">IF(NOT(ISNUMBER($P764)),"",IFERROR(PERCENTRANK($P$5:$P$1204,$P764),""))</f>
        <v/>
      </c>
    </row>
    <row r="765" customFormat="false" ht="15" hidden="false" customHeight="false" outlineLevel="0" collapsed="false">
      <c r="A765" s="55"/>
      <c r="B765" s="56"/>
      <c r="C765" s="57"/>
      <c r="D765" s="56"/>
      <c r="E765" s="56"/>
      <c r="F765" s="56"/>
      <c r="G765" s="50" t="str">
        <f aca="false">IF($A765="","",IF(ISNUMBER($G764),$G764+1,1))</f>
        <v/>
      </c>
      <c r="H765" s="51" t="str">
        <f aca="false">IF(OR(NOT(ISNUMBER($G765)),$G765&lt;2,NOT(ISNUMBER($C764)),$C764=0),"",$C765/$C764-1)</f>
        <v/>
      </c>
      <c r="I765" s="52" t="str">
        <f aca="false">IF(AND(ISNUMBER($G765),$G765&gt;=MA_SHORT),AVERAGE(INDEX($C$365:$C765,402-MA_SHORT):$C765),"")</f>
        <v/>
      </c>
      <c r="J765" s="52" t="str">
        <f aca="false">IF(AND(ISNUMBER($G765),$G765&gt;=MA_MED),AVERAGE(INDEX($C$365:$C765,402-MA_MED):$C765),"")</f>
        <v/>
      </c>
      <c r="K765" s="52" t="str">
        <f aca="false">IF(AND(ISNUMBER($G765),$G765&gt;=MA_LONG2),AVERAGE(INDEX($C$365:$C765,402-MA_LONG2):$C765),"")</f>
        <v/>
      </c>
      <c r="L765" s="53" t="str">
        <f aca="false">IF(AND(ISNUMBER($G765),$G765&gt;=21),STDEV(INDEX($H$705:$H765,62-20):$H765)*SQRT(245),"")</f>
        <v/>
      </c>
      <c r="M765" s="52" t="str">
        <f aca="false">IF(AND(ISNUMBER($G765),$G765&gt;=60),MAX(INDEX($D$565:$D765,202-60):$D765),"")</f>
        <v/>
      </c>
      <c r="N765" s="52" t="str">
        <f aca="false">IF(AND(ISNUMBER($G765),$G765&gt;=60),MIN(INDEX($E$565:$E765,202-60):$E765),"")</f>
        <v/>
      </c>
      <c r="O765" s="53" t="str">
        <f aca="false">IF(OR(NOT(ISNUMBER($C765)),NOT(ISNUMBER($M765)),$M765=0),"",$C765/$M765-1)</f>
        <v/>
      </c>
      <c r="P765" s="54"/>
      <c r="Q765" s="53" t="str">
        <f aca="false">IF(NOT(ISNUMBER($P765)),"",IFERROR(PERCENTRANK($P$5:$P$1204,$P765),""))</f>
        <v/>
      </c>
    </row>
    <row r="766" customFormat="false" ht="15" hidden="false" customHeight="false" outlineLevel="0" collapsed="false">
      <c r="A766" s="55"/>
      <c r="B766" s="56"/>
      <c r="C766" s="57"/>
      <c r="D766" s="56"/>
      <c r="E766" s="56"/>
      <c r="F766" s="56"/>
      <c r="G766" s="50" t="str">
        <f aca="false">IF($A766="","",IF(ISNUMBER($G765),$G765+1,1))</f>
        <v/>
      </c>
      <c r="H766" s="51" t="str">
        <f aca="false">IF(OR(NOT(ISNUMBER($G766)),$G766&lt;2,NOT(ISNUMBER($C765)),$C765=0),"",$C766/$C765-1)</f>
        <v/>
      </c>
      <c r="I766" s="52" t="str">
        <f aca="false">IF(AND(ISNUMBER($G766),$G766&gt;=MA_SHORT),AVERAGE(INDEX($C$366:$C766,402-MA_SHORT):$C766),"")</f>
        <v/>
      </c>
      <c r="J766" s="52" t="str">
        <f aca="false">IF(AND(ISNUMBER($G766),$G766&gt;=MA_MED),AVERAGE(INDEX($C$366:$C766,402-MA_MED):$C766),"")</f>
        <v/>
      </c>
      <c r="K766" s="52" t="str">
        <f aca="false">IF(AND(ISNUMBER($G766),$G766&gt;=MA_LONG2),AVERAGE(INDEX($C$366:$C766,402-MA_LONG2):$C766),"")</f>
        <v/>
      </c>
      <c r="L766" s="53" t="str">
        <f aca="false">IF(AND(ISNUMBER($G766),$G766&gt;=21),STDEV(INDEX($H$706:$H766,62-20):$H766)*SQRT(245),"")</f>
        <v/>
      </c>
      <c r="M766" s="52" t="str">
        <f aca="false">IF(AND(ISNUMBER($G766),$G766&gt;=60),MAX(INDEX($D$566:$D766,202-60):$D766),"")</f>
        <v/>
      </c>
      <c r="N766" s="52" t="str">
        <f aca="false">IF(AND(ISNUMBER($G766),$G766&gt;=60),MIN(INDEX($E$566:$E766,202-60):$E766),"")</f>
        <v/>
      </c>
      <c r="O766" s="53" t="str">
        <f aca="false">IF(OR(NOT(ISNUMBER($C766)),NOT(ISNUMBER($M766)),$M766=0),"",$C766/$M766-1)</f>
        <v/>
      </c>
      <c r="P766" s="54"/>
      <c r="Q766" s="53" t="str">
        <f aca="false">IF(NOT(ISNUMBER($P766)),"",IFERROR(PERCENTRANK($P$5:$P$1204,$P766),""))</f>
        <v/>
      </c>
    </row>
    <row r="767" customFormat="false" ht="15" hidden="false" customHeight="false" outlineLevel="0" collapsed="false">
      <c r="A767" s="55"/>
      <c r="B767" s="56"/>
      <c r="C767" s="57"/>
      <c r="D767" s="56"/>
      <c r="E767" s="56"/>
      <c r="F767" s="56"/>
      <c r="G767" s="50" t="str">
        <f aca="false">IF($A767="","",IF(ISNUMBER($G766),$G766+1,1))</f>
        <v/>
      </c>
      <c r="H767" s="51" t="str">
        <f aca="false">IF(OR(NOT(ISNUMBER($G767)),$G767&lt;2,NOT(ISNUMBER($C766)),$C766=0),"",$C767/$C766-1)</f>
        <v/>
      </c>
      <c r="I767" s="52" t="str">
        <f aca="false">IF(AND(ISNUMBER($G767),$G767&gt;=MA_SHORT),AVERAGE(INDEX($C$367:$C767,402-MA_SHORT):$C767),"")</f>
        <v/>
      </c>
      <c r="J767" s="52" t="str">
        <f aca="false">IF(AND(ISNUMBER($G767),$G767&gt;=MA_MED),AVERAGE(INDEX($C$367:$C767,402-MA_MED):$C767),"")</f>
        <v/>
      </c>
      <c r="K767" s="52" t="str">
        <f aca="false">IF(AND(ISNUMBER($G767),$G767&gt;=MA_LONG2),AVERAGE(INDEX($C$367:$C767,402-MA_LONG2):$C767),"")</f>
        <v/>
      </c>
      <c r="L767" s="53" t="str">
        <f aca="false">IF(AND(ISNUMBER($G767),$G767&gt;=21),STDEV(INDEX($H$707:$H767,62-20):$H767)*SQRT(245),"")</f>
        <v/>
      </c>
      <c r="M767" s="52" t="str">
        <f aca="false">IF(AND(ISNUMBER($G767),$G767&gt;=60),MAX(INDEX($D$567:$D767,202-60):$D767),"")</f>
        <v/>
      </c>
      <c r="N767" s="52" t="str">
        <f aca="false">IF(AND(ISNUMBER($G767),$G767&gt;=60),MIN(INDEX($E$567:$E767,202-60):$E767),"")</f>
        <v/>
      </c>
      <c r="O767" s="53" t="str">
        <f aca="false">IF(OR(NOT(ISNUMBER($C767)),NOT(ISNUMBER($M767)),$M767=0),"",$C767/$M767-1)</f>
        <v/>
      </c>
      <c r="P767" s="54"/>
      <c r="Q767" s="53" t="str">
        <f aca="false">IF(NOT(ISNUMBER($P767)),"",IFERROR(PERCENTRANK($P$5:$P$1204,$P767),""))</f>
        <v/>
      </c>
    </row>
    <row r="768" customFormat="false" ht="15" hidden="false" customHeight="false" outlineLevel="0" collapsed="false">
      <c r="A768" s="55"/>
      <c r="B768" s="56"/>
      <c r="C768" s="57"/>
      <c r="D768" s="56"/>
      <c r="E768" s="56"/>
      <c r="F768" s="56"/>
      <c r="G768" s="50" t="str">
        <f aca="false">IF($A768="","",IF(ISNUMBER($G767),$G767+1,1))</f>
        <v/>
      </c>
      <c r="H768" s="51" t="str">
        <f aca="false">IF(OR(NOT(ISNUMBER($G768)),$G768&lt;2,NOT(ISNUMBER($C767)),$C767=0),"",$C768/$C767-1)</f>
        <v/>
      </c>
      <c r="I768" s="52" t="str">
        <f aca="false">IF(AND(ISNUMBER($G768),$G768&gt;=MA_SHORT),AVERAGE(INDEX($C$368:$C768,402-MA_SHORT):$C768),"")</f>
        <v/>
      </c>
      <c r="J768" s="52" t="str">
        <f aca="false">IF(AND(ISNUMBER($G768),$G768&gt;=MA_MED),AVERAGE(INDEX($C$368:$C768,402-MA_MED):$C768),"")</f>
        <v/>
      </c>
      <c r="K768" s="52" t="str">
        <f aca="false">IF(AND(ISNUMBER($G768),$G768&gt;=MA_LONG2),AVERAGE(INDEX($C$368:$C768,402-MA_LONG2):$C768),"")</f>
        <v/>
      </c>
      <c r="L768" s="53" t="str">
        <f aca="false">IF(AND(ISNUMBER($G768),$G768&gt;=21),STDEV(INDEX($H$708:$H768,62-20):$H768)*SQRT(245),"")</f>
        <v/>
      </c>
      <c r="M768" s="52" t="str">
        <f aca="false">IF(AND(ISNUMBER($G768),$G768&gt;=60),MAX(INDEX($D$568:$D768,202-60):$D768),"")</f>
        <v/>
      </c>
      <c r="N768" s="52" t="str">
        <f aca="false">IF(AND(ISNUMBER($G768),$G768&gt;=60),MIN(INDEX($E$568:$E768,202-60):$E768),"")</f>
        <v/>
      </c>
      <c r="O768" s="53" t="str">
        <f aca="false">IF(OR(NOT(ISNUMBER($C768)),NOT(ISNUMBER($M768)),$M768=0),"",$C768/$M768-1)</f>
        <v/>
      </c>
      <c r="P768" s="54"/>
      <c r="Q768" s="53" t="str">
        <f aca="false">IF(NOT(ISNUMBER($P768)),"",IFERROR(PERCENTRANK($P$5:$P$1204,$P768),""))</f>
        <v/>
      </c>
    </row>
    <row r="769" customFormat="false" ht="15" hidden="false" customHeight="false" outlineLevel="0" collapsed="false">
      <c r="A769" s="55"/>
      <c r="B769" s="56"/>
      <c r="C769" s="57"/>
      <c r="D769" s="56"/>
      <c r="E769" s="56"/>
      <c r="F769" s="56"/>
      <c r="G769" s="50" t="str">
        <f aca="false">IF($A769="","",IF(ISNUMBER($G768),$G768+1,1))</f>
        <v/>
      </c>
      <c r="H769" s="51" t="str">
        <f aca="false">IF(OR(NOT(ISNUMBER($G769)),$G769&lt;2,NOT(ISNUMBER($C768)),$C768=0),"",$C769/$C768-1)</f>
        <v/>
      </c>
      <c r="I769" s="52" t="str">
        <f aca="false">IF(AND(ISNUMBER($G769),$G769&gt;=MA_SHORT),AVERAGE(INDEX($C$369:$C769,402-MA_SHORT):$C769),"")</f>
        <v/>
      </c>
      <c r="J769" s="52" t="str">
        <f aca="false">IF(AND(ISNUMBER($G769),$G769&gt;=MA_MED),AVERAGE(INDEX($C$369:$C769,402-MA_MED):$C769),"")</f>
        <v/>
      </c>
      <c r="K769" s="52" t="str">
        <f aca="false">IF(AND(ISNUMBER($G769),$G769&gt;=MA_LONG2),AVERAGE(INDEX($C$369:$C769,402-MA_LONG2):$C769),"")</f>
        <v/>
      </c>
      <c r="L769" s="53" t="str">
        <f aca="false">IF(AND(ISNUMBER($G769),$G769&gt;=21),STDEV(INDEX($H$709:$H769,62-20):$H769)*SQRT(245),"")</f>
        <v/>
      </c>
      <c r="M769" s="52" t="str">
        <f aca="false">IF(AND(ISNUMBER($G769),$G769&gt;=60),MAX(INDEX($D$569:$D769,202-60):$D769),"")</f>
        <v/>
      </c>
      <c r="N769" s="52" t="str">
        <f aca="false">IF(AND(ISNUMBER($G769),$G769&gt;=60),MIN(INDEX($E$569:$E769,202-60):$E769),"")</f>
        <v/>
      </c>
      <c r="O769" s="53" t="str">
        <f aca="false">IF(OR(NOT(ISNUMBER($C769)),NOT(ISNUMBER($M769)),$M769=0),"",$C769/$M769-1)</f>
        <v/>
      </c>
      <c r="P769" s="54"/>
      <c r="Q769" s="53" t="str">
        <f aca="false">IF(NOT(ISNUMBER($P769)),"",IFERROR(PERCENTRANK($P$5:$P$1204,$P769),""))</f>
        <v/>
      </c>
    </row>
    <row r="770" customFormat="false" ht="15" hidden="false" customHeight="false" outlineLevel="0" collapsed="false">
      <c r="A770" s="55"/>
      <c r="B770" s="56"/>
      <c r="C770" s="57"/>
      <c r="D770" s="56"/>
      <c r="E770" s="56"/>
      <c r="F770" s="56"/>
      <c r="G770" s="50" t="str">
        <f aca="false">IF($A770="","",IF(ISNUMBER($G769),$G769+1,1))</f>
        <v/>
      </c>
      <c r="H770" s="51" t="str">
        <f aca="false">IF(OR(NOT(ISNUMBER($G770)),$G770&lt;2,NOT(ISNUMBER($C769)),$C769=0),"",$C770/$C769-1)</f>
        <v/>
      </c>
      <c r="I770" s="52" t="str">
        <f aca="false">IF(AND(ISNUMBER($G770),$G770&gt;=MA_SHORT),AVERAGE(INDEX($C$370:$C770,402-MA_SHORT):$C770),"")</f>
        <v/>
      </c>
      <c r="J770" s="52" t="str">
        <f aca="false">IF(AND(ISNUMBER($G770),$G770&gt;=MA_MED),AVERAGE(INDEX($C$370:$C770,402-MA_MED):$C770),"")</f>
        <v/>
      </c>
      <c r="K770" s="52" t="str">
        <f aca="false">IF(AND(ISNUMBER($G770),$G770&gt;=MA_LONG2),AVERAGE(INDEX($C$370:$C770,402-MA_LONG2):$C770),"")</f>
        <v/>
      </c>
      <c r="L770" s="53" t="str">
        <f aca="false">IF(AND(ISNUMBER($G770),$G770&gt;=21),STDEV(INDEX($H$710:$H770,62-20):$H770)*SQRT(245),"")</f>
        <v/>
      </c>
      <c r="M770" s="52" t="str">
        <f aca="false">IF(AND(ISNUMBER($G770),$G770&gt;=60),MAX(INDEX($D$570:$D770,202-60):$D770),"")</f>
        <v/>
      </c>
      <c r="N770" s="52" t="str">
        <f aca="false">IF(AND(ISNUMBER($G770),$G770&gt;=60),MIN(INDEX($E$570:$E770,202-60):$E770),"")</f>
        <v/>
      </c>
      <c r="O770" s="53" t="str">
        <f aca="false">IF(OR(NOT(ISNUMBER($C770)),NOT(ISNUMBER($M770)),$M770=0),"",$C770/$M770-1)</f>
        <v/>
      </c>
      <c r="P770" s="54"/>
      <c r="Q770" s="53" t="str">
        <f aca="false">IF(NOT(ISNUMBER($P770)),"",IFERROR(PERCENTRANK($P$5:$P$1204,$P770),""))</f>
        <v/>
      </c>
    </row>
    <row r="771" customFormat="false" ht="15" hidden="false" customHeight="false" outlineLevel="0" collapsed="false">
      <c r="A771" s="55"/>
      <c r="B771" s="56"/>
      <c r="C771" s="57"/>
      <c r="D771" s="56"/>
      <c r="E771" s="56"/>
      <c r="F771" s="56"/>
      <c r="G771" s="50" t="str">
        <f aca="false">IF($A771="","",IF(ISNUMBER($G770),$G770+1,1))</f>
        <v/>
      </c>
      <c r="H771" s="51" t="str">
        <f aca="false">IF(OR(NOT(ISNUMBER($G771)),$G771&lt;2,NOT(ISNUMBER($C770)),$C770=0),"",$C771/$C770-1)</f>
        <v/>
      </c>
      <c r="I771" s="52" t="str">
        <f aca="false">IF(AND(ISNUMBER($G771),$G771&gt;=MA_SHORT),AVERAGE(INDEX($C$371:$C771,402-MA_SHORT):$C771),"")</f>
        <v/>
      </c>
      <c r="J771" s="52" t="str">
        <f aca="false">IF(AND(ISNUMBER($G771),$G771&gt;=MA_MED),AVERAGE(INDEX($C$371:$C771,402-MA_MED):$C771),"")</f>
        <v/>
      </c>
      <c r="K771" s="52" t="str">
        <f aca="false">IF(AND(ISNUMBER($G771),$G771&gt;=MA_LONG2),AVERAGE(INDEX($C$371:$C771,402-MA_LONG2):$C771),"")</f>
        <v/>
      </c>
      <c r="L771" s="53" t="str">
        <f aca="false">IF(AND(ISNUMBER($G771),$G771&gt;=21),STDEV(INDEX($H$711:$H771,62-20):$H771)*SQRT(245),"")</f>
        <v/>
      </c>
      <c r="M771" s="52" t="str">
        <f aca="false">IF(AND(ISNUMBER($G771),$G771&gt;=60),MAX(INDEX($D$571:$D771,202-60):$D771),"")</f>
        <v/>
      </c>
      <c r="N771" s="52" t="str">
        <f aca="false">IF(AND(ISNUMBER($G771),$G771&gt;=60),MIN(INDEX($E$571:$E771,202-60):$E771),"")</f>
        <v/>
      </c>
      <c r="O771" s="53" t="str">
        <f aca="false">IF(OR(NOT(ISNUMBER($C771)),NOT(ISNUMBER($M771)),$M771=0),"",$C771/$M771-1)</f>
        <v/>
      </c>
      <c r="P771" s="54"/>
      <c r="Q771" s="53" t="str">
        <f aca="false">IF(NOT(ISNUMBER($P771)),"",IFERROR(PERCENTRANK($P$5:$P$1204,$P771),""))</f>
        <v/>
      </c>
    </row>
    <row r="772" customFormat="false" ht="15" hidden="false" customHeight="false" outlineLevel="0" collapsed="false">
      <c r="A772" s="55"/>
      <c r="B772" s="56"/>
      <c r="C772" s="57"/>
      <c r="D772" s="56"/>
      <c r="E772" s="56"/>
      <c r="F772" s="56"/>
      <c r="G772" s="50" t="str">
        <f aca="false">IF($A772="","",IF(ISNUMBER($G771),$G771+1,1))</f>
        <v/>
      </c>
      <c r="H772" s="51" t="str">
        <f aca="false">IF(OR(NOT(ISNUMBER($G772)),$G772&lt;2,NOT(ISNUMBER($C771)),$C771=0),"",$C772/$C771-1)</f>
        <v/>
      </c>
      <c r="I772" s="52" t="str">
        <f aca="false">IF(AND(ISNUMBER($G772),$G772&gt;=MA_SHORT),AVERAGE(INDEX($C$372:$C772,402-MA_SHORT):$C772),"")</f>
        <v/>
      </c>
      <c r="J772" s="52" t="str">
        <f aca="false">IF(AND(ISNUMBER($G772),$G772&gt;=MA_MED),AVERAGE(INDEX($C$372:$C772,402-MA_MED):$C772),"")</f>
        <v/>
      </c>
      <c r="K772" s="52" t="str">
        <f aca="false">IF(AND(ISNUMBER($G772),$G772&gt;=MA_LONG2),AVERAGE(INDEX($C$372:$C772,402-MA_LONG2):$C772),"")</f>
        <v/>
      </c>
      <c r="L772" s="53" t="str">
        <f aca="false">IF(AND(ISNUMBER($G772),$G772&gt;=21),STDEV(INDEX($H$712:$H772,62-20):$H772)*SQRT(245),"")</f>
        <v/>
      </c>
      <c r="M772" s="52" t="str">
        <f aca="false">IF(AND(ISNUMBER($G772),$G772&gt;=60),MAX(INDEX($D$572:$D772,202-60):$D772),"")</f>
        <v/>
      </c>
      <c r="N772" s="52" t="str">
        <f aca="false">IF(AND(ISNUMBER($G772),$G772&gt;=60),MIN(INDEX($E$572:$E772,202-60):$E772),"")</f>
        <v/>
      </c>
      <c r="O772" s="53" t="str">
        <f aca="false">IF(OR(NOT(ISNUMBER($C772)),NOT(ISNUMBER($M772)),$M772=0),"",$C772/$M772-1)</f>
        <v/>
      </c>
      <c r="P772" s="54"/>
      <c r="Q772" s="53" t="str">
        <f aca="false">IF(NOT(ISNUMBER($P772)),"",IFERROR(PERCENTRANK($P$5:$P$1204,$P772),""))</f>
        <v/>
      </c>
    </row>
    <row r="773" customFormat="false" ht="15" hidden="false" customHeight="false" outlineLevel="0" collapsed="false">
      <c r="A773" s="55"/>
      <c r="B773" s="56"/>
      <c r="C773" s="57"/>
      <c r="D773" s="56"/>
      <c r="E773" s="56"/>
      <c r="F773" s="56"/>
      <c r="G773" s="50" t="str">
        <f aca="false">IF($A773="","",IF(ISNUMBER($G772),$G772+1,1))</f>
        <v/>
      </c>
      <c r="H773" s="51" t="str">
        <f aca="false">IF(OR(NOT(ISNUMBER($G773)),$G773&lt;2,NOT(ISNUMBER($C772)),$C772=0),"",$C773/$C772-1)</f>
        <v/>
      </c>
      <c r="I773" s="52" t="str">
        <f aca="false">IF(AND(ISNUMBER($G773),$G773&gt;=MA_SHORT),AVERAGE(INDEX($C$373:$C773,402-MA_SHORT):$C773),"")</f>
        <v/>
      </c>
      <c r="J773" s="52" t="str">
        <f aca="false">IF(AND(ISNUMBER($G773),$G773&gt;=MA_MED),AVERAGE(INDEX($C$373:$C773,402-MA_MED):$C773),"")</f>
        <v/>
      </c>
      <c r="K773" s="52" t="str">
        <f aca="false">IF(AND(ISNUMBER($G773),$G773&gt;=MA_LONG2),AVERAGE(INDEX($C$373:$C773,402-MA_LONG2):$C773),"")</f>
        <v/>
      </c>
      <c r="L773" s="53" t="str">
        <f aca="false">IF(AND(ISNUMBER($G773),$G773&gt;=21),STDEV(INDEX($H$713:$H773,62-20):$H773)*SQRT(245),"")</f>
        <v/>
      </c>
      <c r="M773" s="52" t="str">
        <f aca="false">IF(AND(ISNUMBER($G773),$G773&gt;=60),MAX(INDEX($D$573:$D773,202-60):$D773),"")</f>
        <v/>
      </c>
      <c r="N773" s="52" t="str">
        <f aca="false">IF(AND(ISNUMBER($G773),$G773&gt;=60),MIN(INDEX($E$573:$E773,202-60):$E773),"")</f>
        <v/>
      </c>
      <c r="O773" s="53" t="str">
        <f aca="false">IF(OR(NOT(ISNUMBER($C773)),NOT(ISNUMBER($M773)),$M773=0),"",$C773/$M773-1)</f>
        <v/>
      </c>
      <c r="P773" s="54"/>
      <c r="Q773" s="53" t="str">
        <f aca="false">IF(NOT(ISNUMBER($P773)),"",IFERROR(PERCENTRANK($P$5:$P$1204,$P773),""))</f>
        <v/>
      </c>
    </row>
    <row r="774" customFormat="false" ht="15" hidden="false" customHeight="false" outlineLevel="0" collapsed="false">
      <c r="A774" s="55"/>
      <c r="B774" s="56"/>
      <c r="C774" s="57"/>
      <c r="D774" s="56"/>
      <c r="E774" s="56"/>
      <c r="F774" s="56"/>
      <c r="G774" s="50" t="str">
        <f aca="false">IF($A774="","",IF(ISNUMBER($G773),$G773+1,1))</f>
        <v/>
      </c>
      <c r="H774" s="51" t="str">
        <f aca="false">IF(OR(NOT(ISNUMBER($G774)),$G774&lt;2,NOT(ISNUMBER($C773)),$C773=0),"",$C774/$C773-1)</f>
        <v/>
      </c>
      <c r="I774" s="52" t="str">
        <f aca="false">IF(AND(ISNUMBER($G774),$G774&gt;=MA_SHORT),AVERAGE(INDEX($C$374:$C774,402-MA_SHORT):$C774),"")</f>
        <v/>
      </c>
      <c r="J774" s="52" t="str">
        <f aca="false">IF(AND(ISNUMBER($G774),$G774&gt;=MA_MED),AVERAGE(INDEX($C$374:$C774,402-MA_MED):$C774),"")</f>
        <v/>
      </c>
      <c r="K774" s="52" t="str">
        <f aca="false">IF(AND(ISNUMBER($G774),$G774&gt;=MA_LONG2),AVERAGE(INDEX($C$374:$C774,402-MA_LONG2):$C774),"")</f>
        <v/>
      </c>
      <c r="L774" s="53" t="str">
        <f aca="false">IF(AND(ISNUMBER($G774),$G774&gt;=21),STDEV(INDEX($H$714:$H774,62-20):$H774)*SQRT(245),"")</f>
        <v/>
      </c>
      <c r="M774" s="52" t="str">
        <f aca="false">IF(AND(ISNUMBER($G774),$G774&gt;=60),MAX(INDEX($D$574:$D774,202-60):$D774),"")</f>
        <v/>
      </c>
      <c r="N774" s="52" t="str">
        <f aca="false">IF(AND(ISNUMBER($G774),$G774&gt;=60),MIN(INDEX($E$574:$E774,202-60):$E774),"")</f>
        <v/>
      </c>
      <c r="O774" s="53" t="str">
        <f aca="false">IF(OR(NOT(ISNUMBER($C774)),NOT(ISNUMBER($M774)),$M774=0),"",$C774/$M774-1)</f>
        <v/>
      </c>
      <c r="P774" s="54"/>
      <c r="Q774" s="53" t="str">
        <f aca="false">IF(NOT(ISNUMBER($P774)),"",IFERROR(PERCENTRANK($P$5:$P$1204,$P774),""))</f>
        <v/>
      </c>
    </row>
    <row r="775" customFormat="false" ht="15" hidden="false" customHeight="false" outlineLevel="0" collapsed="false">
      <c r="A775" s="55"/>
      <c r="B775" s="56"/>
      <c r="C775" s="57"/>
      <c r="D775" s="56"/>
      <c r="E775" s="56"/>
      <c r="F775" s="56"/>
      <c r="G775" s="50" t="str">
        <f aca="false">IF($A775="","",IF(ISNUMBER($G774),$G774+1,1))</f>
        <v/>
      </c>
      <c r="H775" s="51" t="str">
        <f aca="false">IF(OR(NOT(ISNUMBER($G775)),$G775&lt;2,NOT(ISNUMBER($C774)),$C774=0),"",$C775/$C774-1)</f>
        <v/>
      </c>
      <c r="I775" s="52" t="str">
        <f aca="false">IF(AND(ISNUMBER($G775),$G775&gt;=MA_SHORT),AVERAGE(INDEX($C$375:$C775,402-MA_SHORT):$C775),"")</f>
        <v/>
      </c>
      <c r="J775" s="52" t="str">
        <f aca="false">IF(AND(ISNUMBER($G775),$G775&gt;=MA_MED),AVERAGE(INDEX($C$375:$C775,402-MA_MED):$C775),"")</f>
        <v/>
      </c>
      <c r="K775" s="52" t="str">
        <f aca="false">IF(AND(ISNUMBER($G775),$G775&gt;=MA_LONG2),AVERAGE(INDEX($C$375:$C775,402-MA_LONG2):$C775),"")</f>
        <v/>
      </c>
      <c r="L775" s="53" t="str">
        <f aca="false">IF(AND(ISNUMBER($G775),$G775&gt;=21),STDEV(INDEX($H$715:$H775,62-20):$H775)*SQRT(245),"")</f>
        <v/>
      </c>
      <c r="M775" s="52" t="str">
        <f aca="false">IF(AND(ISNUMBER($G775),$G775&gt;=60),MAX(INDEX($D$575:$D775,202-60):$D775),"")</f>
        <v/>
      </c>
      <c r="N775" s="52" t="str">
        <f aca="false">IF(AND(ISNUMBER($G775),$G775&gt;=60),MIN(INDEX($E$575:$E775,202-60):$E775),"")</f>
        <v/>
      </c>
      <c r="O775" s="53" t="str">
        <f aca="false">IF(OR(NOT(ISNUMBER($C775)),NOT(ISNUMBER($M775)),$M775=0),"",$C775/$M775-1)</f>
        <v/>
      </c>
      <c r="P775" s="54"/>
      <c r="Q775" s="53" t="str">
        <f aca="false">IF(NOT(ISNUMBER($P775)),"",IFERROR(PERCENTRANK($P$5:$P$1204,$P775),""))</f>
        <v/>
      </c>
    </row>
    <row r="776" customFormat="false" ht="15" hidden="false" customHeight="false" outlineLevel="0" collapsed="false">
      <c r="A776" s="55"/>
      <c r="B776" s="56"/>
      <c r="C776" s="57"/>
      <c r="D776" s="56"/>
      <c r="E776" s="56"/>
      <c r="F776" s="56"/>
      <c r="G776" s="50" t="str">
        <f aca="false">IF($A776="","",IF(ISNUMBER($G775),$G775+1,1))</f>
        <v/>
      </c>
      <c r="H776" s="51" t="str">
        <f aca="false">IF(OR(NOT(ISNUMBER($G776)),$G776&lt;2,NOT(ISNUMBER($C775)),$C775=0),"",$C776/$C775-1)</f>
        <v/>
      </c>
      <c r="I776" s="52" t="str">
        <f aca="false">IF(AND(ISNUMBER($G776),$G776&gt;=MA_SHORT),AVERAGE(INDEX($C$376:$C776,402-MA_SHORT):$C776),"")</f>
        <v/>
      </c>
      <c r="J776" s="52" t="str">
        <f aca="false">IF(AND(ISNUMBER($G776),$G776&gt;=MA_MED),AVERAGE(INDEX($C$376:$C776,402-MA_MED):$C776),"")</f>
        <v/>
      </c>
      <c r="K776" s="52" t="str">
        <f aca="false">IF(AND(ISNUMBER($G776),$G776&gt;=MA_LONG2),AVERAGE(INDEX($C$376:$C776,402-MA_LONG2):$C776),"")</f>
        <v/>
      </c>
      <c r="L776" s="53" t="str">
        <f aca="false">IF(AND(ISNUMBER($G776),$G776&gt;=21),STDEV(INDEX($H$716:$H776,62-20):$H776)*SQRT(245),"")</f>
        <v/>
      </c>
      <c r="M776" s="52" t="str">
        <f aca="false">IF(AND(ISNUMBER($G776),$G776&gt;=60),MAX(INDEX($D$576:$D776,202-60):$D776),"")</f>
        <v/>
      </c>
      <c r="N776" s="52" t="str">
        <f aca="false">IF(AND(ISNUMBER($G776),$G776&gt;=60),MIN(INDEX($E$576:$E776,202-60):$E776),"")</f>
        <v/>
      </c>
      <c r="O776" s="53" t="str">
        <f aca="false">IF(OR(NOT(ISNUMBER($C776)),NOT(ISNUMBER($M776)),$M776=0),"",$C776/$M776-1)</f>
        <v/>
      </c>
      <c r="P776" s="54"/>
      <c r="Q776" s="53" t="str">
        <f aca="false">IF(NOT(ISNUMBER($P776)),"",IFERROR(PERCENTRANK($P$5:$P$1204,$P776),""))</f>
        <v/>
      </c>
    </row>
    <row r="777" customFormat="false" ht="15" hidden="false" customHeight="false" outlineLevel="0" collapsed="false">
      <c r="A777" s="55"/>
      <c r="B777" s="56"/>
      <c r="C777" s="57"/>
      <c r="D777" s="56"/>
      <c r="E777" s="56"/>
      <c r="F777" s="56"/>
      <c r="G777" s="50" t="str">
        <f aca="false">IF($A777="","",IF(ISNUMBER($G776),$G776+1,1))</f>
        <v/>
      </c>
      <c r="H777" s="51" t="str">
        <f aca="false">IF(OR(NOT(ISNUMBER($G777)),$G777&lt;2,NOT(ISNUMBER($C776)),$C776=0),"",$C777/$C776-1)</f>
        <v/>
      </c>
      <c r="I777" s="52" t="str">
        <f aca="false">IF(AND(ISNUMBER($G777),$G777&gt;=MA_SHORT),AVERAGE(INDEX($C$377:$C777,402-MA_SHORT):$C777),"")</f>
        <v/>
      </c>
      <c r="J777" s="52" t="str">
        <f aca="false">IF(AND(ISNUMBER($G777),$G777&gt;=MA_MED),AVERAGE(INDEX($C$377:$C777,402-MA_MED):$C777),"")</f>
        <v/>
      </c>
      <c r="K777" s="52" t="str">
        <f aca="false">IF(AND(ISNUMBER($G777),$G777&gt;=MA_LONG2),AVERAGE(INDEX($C$377:$C777,402-MA_LONG2):$C777),"")</f>
        <v/>
      </c>
      <c r="L777" s="53" t="str">
        <f aca="false">IF(AND(ISNUMBER($G777),$G777&gt;=21),STDEV(INDEX($H$717:$H777,62-20):$H777)*SQRT(245),"")</f>
        <v/>
      </c>
      <c r="M777" s="52" t="str">
        <f aca="false">IF(AND(ISNUMBER($G777),$G777&gt;=60),MAX(INDEX($D$577:$D777,202-60):$D777),"")</f>
        <v/>
      </c>
      <c r="N777" s="52" t="str">
        <f aca="false">IF(AND(ISNUMBER($G777),$G777&gt;=60),MIN(INDEX($E$577:$E777,202-60):$E777),"")</f>
        <v/>
      </c>
      <c r="O777" s="53" t="str">
        <f aca="false">IF(OR(NOT(ISNUMBER($C777)),NOT(ISNUMBER($M777)),$M777=0),"",$C777/$M777-1)</f>
        <v/>
      </c>
      <c r="P777" s="54"/>
      <c r="Q777" s="53" t="str">
        <f aca="false">IF(NOT(ISNUMBER($P777)),"",IFERROR(PERCENTRANK($P$5:$P$1204,$P777),""))</f>
        <v/>
      </c>
    </row>
    <row r="778" customFormat="false" ht="15" hidden="false" customHeight="false" outlineLevel="0" collapsed="false">
      <c r="A778" s="55"/>
      <c r="B778" s="56"/>
      <c r="C778" s="57"/>
      <c r="D778" s="56"/>
      <c r="E778" s="56"/>
      <c r="F778" s="56"/>
      <c r="G778" s="50" t="str">
        <f aca="false">IF($A778="","",IF(ISNUMBER($G777),$G777+1,1))</f>
        <v/>
      </c>
      <c r="H778" s="51" t="str">
        <f aca="false">IF(OR(NOT(ISNUMBER($G778)),$G778&lt;2,NOT(ISNUMBER($C777)),$C777=0),"",$C778/$C777-1)</f>
        <v/>
      </c>
      <c r="I778" s="52" t="str">
        <f aca="false">IF(AND(ISNUMBER($G778),$G778&gt;=MA_SHORT),AVERAGE(INDEX($C$378:$C778,402-MA_SHORT):$C778),"")</f>
        <v/>
      </c>
      <c r="J778" s="52" t="str">
        <f aca="false">IF(AND(ISNUMBER($G778),$G778&gt;=MA_MED),AVERAGE(INDEX($C$378:$C778,402-MA_MED):$C778),"")</f>
        <v/>
      </c>
      <c r="K778" s="52" t="str">
        <f aca="false">IF(AND(ISNUMBER($G778),$G778&gt;=MA_LONG2),AVERAGE(INDEX($C$378:$C778,402-MA_LONG2):$C778),"")</f>
        <v/>
      </c>
      <c r="L778" s="53" t="str">
        <f aca="false">IF(AND(ISNUMBER($G778),$G778&gt;=21),STDEV(INDEX($H$718:$H778,62-20):$H778)*SQRT(245),"")</f>
        <v/>
      </c>
      <c r="M778" s="52" t="str">
        <f aca="false">IF(AND(ISNUMBER($G778),$G778&gt;=60),MAX(INDEX($D$578:$D778,202-60):$D778),"")</f>
        <v/>
      </c>
      <c r="N778" s="52" t="str">
        <f aca="false">IF(AND(ISNUMBER($G778),$G778&gt;=60),MIN(INDEX($E$578:$E778,202-60):$E778),"")</f>
        <v/>
      </c>
      <c r="O778" s="53" t="str">
        <f aca="false">IF(OR(NOT(ISNUMBER($C778)),NOT(ISNUMBER($M778)),$M778=0),"",$C778/$M778-1)</f>
        <v/>
      </c>
      <c r="P778" s="54"/>
      <c r="Q778" s="53" t="str">
        <f aca="false">IF(NOT(ISNUMBER($P778)),"",IFERROR(PERCENTRANK($P$5:$P$1204,$P778),""))</f>
        <v/>
      </c>
    </row>
    <row r="779" customFormat="false" ht="15" hidden="false" customHeight="false" outlineLevel="0" collapsed="false">
      <c r="A779" s="55"/>
      <c r="B779" s="56"/>
      <c r="C779" s="57"/>
      <c r="D779" s="56"/>
      <c r="E779" s="56"/>
      <c r="F779" s="56"/>
      <c r="G779" s="50" t="str">
        <f aca="false">IF($A779="","",IF(ISNUMBER($G778),$G778+1,1))</f>
        <v/>
      </c>
      <c r="H779" s="51" t="str">
        <f aca="false">IF(OR(NOT(ISNUMBER($G779)),$G779&lt;2,NOT(ISNUMBER($C778)),$C778=0),"",$C779/$C778-1)</f>
        <v/>
      </c>
      <c r="I779" s="52" t="str">
        <f aca="false">IF(AND(ISNUMBER($G779),$G779&gt;=MA_SHORT),AVERAGE(INDEX($C$379:$C779,402-MA_SHORT):$C779),"")</f>
        <v/>
      </c>
      <c r="J779" s="52" t="str">
        <f aca="false">IF(AND(ISNUMBER($G779),$G779&gt;=MA_MED),AVERAGE(INDEX($C$379:$C779,402-MA_MED):$C779),"")</f>
        <v/>
      </c>
      <c r="K779" s="52" t="str">
        <f aca="false">IF(AND(ISNUMBER($G779),$G779&gt;=MA_LONG2),AVERAGE(INDEX($C$379:$C779,402-MA_LONG2):$C779),"")</f>
        <v/>
      </c>
      <c r="L779" s="53" t="str">
        <f aca="false">IF(AND(ISNUMBER($G779),$G779&gt;=21),STDEV(INDEX($H$719:$H779,62-20):$H779)*SQRT(245),"")</f>
        <v/>
      </c>
      <c r="M779" s="52" t="str">
        <f aca="false">IF(AND(ISNUMBER($G779),$G779&gt;=60),MAX(INDEX($D$579:$D779,202-60):$D779),"")</f>
        <v/>
      </c>
      <c r="N779" s="52" t="str">
        <f aca="false">IF(AND(ISNUMBER($G779),$G779&gt;=60),MIN(INDEX($E$579:$E779,202-60):$E779),"")</f>
        <v/>
      </c>
      <c r="O779" s="53" t="str">
        <f aca="false">IF(OR(NOT(ISNUMBER($C779)),NOT(ISNUMBER($M779)),$M779=0),"",$C779/$M779-1)</f>
        <v/>
      </c>
      <c r="P779" s="54"/>
      <c r="Q779" s="53" t="str">
        <f aca="false">IF(NOT(ISNUMBER($P779)),"",IFERROR(PERCENTRANK($P$5:$P$1204,$P779),""))</f>
        <v/>
      </c>
    </row>
    <row r="780" customFormat="false" ht="15" hidden="false" customHeight="false" outlineLevel="0" collapsed="false">
      <c r="A780" s="55"/>
      <c r="B780" s="56"/>
      <c r="C780" s="57"/>
      <c r="D780" s="56"/>
      <c r="E780" s="56"/>
      <c r="F780" s="56"/>
      <c r="G780" s="50" t="str">
        <f aca="false">IF($A780="","",IF(ISNUMBER($G779),$G779+1,1))</f>
        <v/>
      </c>
      <c r="H780" s="51" t="str">
        <f aca="false">IF(OR(NOT(ISNUMBER($G780)),$G780&lt;2,NOT(ISNUMBER($C779)),$C779=0),"",$C780/$C779-1)</f>
        <v/>
      </c>
      <c r="I780" s="52" t="str">
        <f aca="false">IF(AND(ISNUMBER($G780),$G780&gt;=MA_SHORT),AVERAGE(INDEX($C$380:$C780,402-MA_SHORT):$C780),"")</f>
        <v/>
      </c>
      <c r="J780" s="52" t="str">
        <f aca="false">IF(AND(ISNUMBER($G780),$G780&gt;=MA_MED),AVERAGE(INDEX($C$380:$C780,402-MA_MED):$C780),"")</f>
        <v/>
      </c>
      <c r="K780" s="52" t="str">
        <f aca="false">IF(AND(ISNUMBER($G780),$G780&gt;=MA_LONG2),AVERAGE(INDEX($C$380:$C780,402-MA_LONG2):$C780),"")</f>
        <v/>
      </c>
      <c r="L780" s="53" t="str">
        <f aca="false">IF(AND(ISNUMBER($G780),$G780&gt;=21),STDEV(INDEX($H$720:$H780,62-20):$H780)*SQRT(245),"")</f>
        <v/>
      </c>
      <c r="M780" s="52" t="str">
        <f aca="false">IF(AND(ISNUMBER($G780),$G780&gt;=60),MAX(INDEX($D$580:$D780,202-60):$D780),"")</f>
        <v/>
      </c>
      <c r="N780" s="52" t="str">
        <f aca="false">IF(AND(ISNUMBER($G780),$G780&gt;=60),MIN(INDEX($E$580:$E780,202-60):$E780),"")</f>
        <v/>
      </c>
      <c r="O780" s="53" t="str">
        <f aca="false">IF(OR(NOT(ISNUMBER($C780)),NOT(ISNUMBER($M780)),$M780=0),"",$C780/$M780-1)</f>
        <v/>
      </c>
      <c r="P780" s="54"/>
      <c r="Q780" s="53" t="str">
        <f aca="false">IF(NOT(ISNUMBER($P780)),"",IFERROR(PERCENTRANK($P$5:$P$1204,$P780),""))</f>
        <v/>
      </c>
    </row>
    <row r="781" customFormat="false" ht="15" hidden="false" customHeight="false" outlineLevel="0" collapsed="false">
      <c r="A781" s="55"/>
      <c r="B781" s="56"/>
      <c r="C781" s="57"/>
      <c r="D781" s="56"/>
      <c r="E781" s="56"/>
      <c r="F781" s="56"/>
      <c r="G781" s="50" t="str">
        <f aca="false">IF($A781="","",IF(ISNUMBER($G780),$G780+1,1))</f>
        <v/>
      </c>
      <c r="H781" s="51" t="str">
        <f aca="false">IF(OR(NOT(ISNUMBER($G781)),$G781&lt;2,NOT(ISNUMBER($C780)),$C780=0),"",$C781/$C780-1)</f>
        <v/>
      </c>
      <c r="I781" s="52" t="str">
        <f aca="false">IF(AND(ISNUMBER($G781),$G781&gt;=MA_SHORT),AVERAGE(INDEX($C$381:$C781,402-MA_SHORT):$C781),"")</f>
        <v/>
      </c>
      <c r="J781" s="52" t="str">
        <f aca="false">IF(AND(ISNUMBER($G781),$G781&gt;=MA_MED),AVERAGE(INDEX($C$381:$C781,402-MA_MED):$C781),"")</f>
        <v/>
      </c>
      <c r="K781" s="52" t="str">
        <f aca="false">IF(AND(ISNUMBER($G781),$G781&gt;=MA_LONG2),AVERAGE(INDEX($C$381:$C781,402-MA_LONG2):$C781),"")</f>
        <v/>
      </c>
      <c r="L781" s="53" t="str">
        <f aca="false">IF(AND(ISNUMBER($G781),$G781&gt;=21),STDEV(INDEX($H$721:$H781,62-20):$H781)*SQRT(245),"")</f>
        <v/>
      </c>
      <c r="M781" s="52" t="str">
        <f aca="false">IF(AND(ISNUMBER($G781),$G781&gt;=60),MAX(INDEX($D$581:$D781,202-60):$D781),"")</f>
        <v/>
      </c>
      <c r="N781" s="52" t="str">
        <f aca="false">IF(AND(ISNUMBER($G781),$G781&gt;=60),MIN(INDEX($E$581:$E781,202-60):$E781),"")</f>
        <v/>
      </c>
      <c r="O781" s="53" t="str">
        <f aca="false">IF(OR(NOT(ISNUMBER($C781)),NOT(ISNUMBER($M781)),$M781=0),"",$C781/$M781-1)</f>
        <v/>
      </c>
      <c r="P781" s="54"/>
      <c r="Q781" s="53" t="str">
        <f aca="false">IF(NOT(ISNUMBER($P781)),"",IFERROR(PERCENTRANK($P$5:$P$1204,$P781),""))</f>
        <v/>
      </c>
    </row>
    <row r="782" customFormat="false" ht="15" hidden="false" customHeight="false" outlineLevel="0" collapsed="false">
      <c r="A782" s="55"/>
      <c r="B782" s="56"/>
      <c r="C782" s="57"/>
      <c r="D782" s="56"/>
      <c r="E782" s="56"/>
      <c r="F782" s="56"/>
      <c r="G782" s="50" t="str">
        <f aca="false">IF($A782="","",IF(ISNUMBER($G781),$G781+1,1))</f>
        <v/>
      </c>
      <c r="H782" s="51" t="str">
        <f aca="false">IF(OR(NOT(ISNUMBER($G782)),$G782&lt;2,NOT(ISNUMBER($C781)),$C781=0),"",$C782/$C781-1)</f>
        <v/>
      </c>
      <c r="I782" s="52" t="str">
        <f aca="false">IF(AND(ISNUMBER($G782),$G782&gt;=MA_SHORT),AVERAGE(INDEX($C$382:$C782,402-MA_SHORT):$C782),"")</f>
        <v/>
      </c>
      <c r="J782" s="52" t="str">
        <f aca="false">IF(AND(ISNUMBER($G782),$G782&gt;=MA_MED),AVERAGE(INDEX($C$382:$C782,402-MA_MED):$C782),"")</f>
        <v/>
      </c>
      <c r="K782" s="52" t="str">
        <f aca="false">IF(AND(ISNUMBER($G782),$G782&gt;=MA_LONG2),AVERAGE(INDEX($C$382:$C782,402-MA_LONG2):$C782),"")</f>
        <v/>
      </c>
      <c r="L782" s="53" t="str">
        <f aca="false">IF(AND(ISNUMBER($G782),$G782&gt;=21),STDEV(INDEX($H$722:$H782,62-20):$H782)*SQRT(245),"")</f>
        <v/>
      </c>
      <c r="M782" s="52" t="str">
        <f aca="false">IF(AND(ISNUMBER($G782),$G782&gt;=60),MAX(INDEX($D$582:$D782,202-60):$D782),"")</f>
        <v/>
      </c>
      <c r="N782" s="52" t="str">
        <f aca="false">IF(AND(ISNUMBER($G782),$G782&gt;=60),MIN(INDEX($E$582:$E782,202-60):$E782),"")</f>
        <v/>
      </c>
      <c r="O782" s="53" t="str">
        <f aca="false">IF(OR(NOT(ISNUMBER($C782)),NOT(ISNUMBER($M782)),$M782=0),"",$C782/$M782-1)</f>
        <v/>
      </c>
      <c r="P782" s="54"/>
      <c r="Q782" s="53" t="str">
        <f aca="false">IF(NOT(ISNUMBER($P782)),"",IFERROR(PERCENTRANK($P$5:$P$1204,$P782),""))</f>
        <v/>
      </c>
    </row>
    <row r="783" customFormat="false" ht="15" hidden="false" customHeight="false" outlineLevel="0" collapsed="false">
      <c r="A783" s="55"/>
      <c r="B783" s="56"/>
      <c r="C783" s="57"/>
      <c r="D783" s="56"/>
      <c r="E783" s="56"/>
      <c r="F783" s="56"/>
      <c r="G783" s="50" t="str">
        <f aca="false">IF($A783="","",IF(ISNUMBER($G782),$G782+1,1))</f>
        <v/>
      </c>
      <c r="H783" s="51" t="str">
        <f aca="false">IF(OR(NOT(ISNUMBER($G783)),$G783&lt;2,NOT(ISNUMBER($C782)),$C782=0),"",$C783/$C782-1)</f>
        <v/>
      </c>
      <c r="I783" s="52" t="str">
        <f aca="false">IF(AND(ISNUMBER($G783),$G783&gt;=MA_SHORT),AVERAGE(INDEX($C$383:$C783,402-MA_SHORT):$C783),"")</f>
        <v/>
      </c>
      <c r="J783" s="52" t="str">
        <f aca="false">IF(AND(ISNUMBER($G783),$G783&gt;=MA_MED),AVERAGE(INDEX($C$383:$C783,402-MA_MED):$C783),"")</f>
        <v/>
      </c>
      <c r="K783" s="52" t="str">
        <f aca="false">IF(AND(ISNUMBER($G783),$G783&gt;=MA_LONG2),AVERAGE(INDEX($C$383:$C783,402-MA_LONG2):$C783),"")</f>
        <v/>
      </c>
      <c r="L783" s="53" t="str">
        <f aca="false">IF(AND(ISNUMBER($G783),$G783&gt;=21),STDEV(INDEX($H$723:$H783,62-20):$H783)*SQRT(245),"")</f>
        <v/>
      </c>
      <c r="M783" s="52" t="str">
        <f aca="false">IF(AND(ISNUMBER($G783),$G783&gt;=60),MAX(INDEX($D$583:$D783,202-60):$D783),"")</f>
        <v/>
      </c>
      <c r="N783" s="52" t="str">
        <f aca="false">IF(AND(ISNUMBER($G783),$G783&gt;=60),MIN(INDEX($E$583:$E783,202-60):$E783),"")</f>
        <v/>
      </c>
      <c r="O783" s="53" t="str">
        <f aca="false">IF(OR(NOT(ISNUMBER($C783)),NOT(ISNUMBER($M783)),$M783=0),"",$C783/$M783-1)</f>
        <v/>
      </c>
      <c r="P783" s="54"/>
      <c r="Q783" s="53" t="str">
        <f aca="false">IF(NOT(ISNUMBER($P783)),"",IFERROR(PERCENTRANK($P$5:$P$1204,$P783),""))</f>
        <v/>
      </c>
    </row>
    <row r="784" customFormat="false" ht="15" hidden="false" customHeight="false" outlineLevel="0" collapsed="false">
      <c r="A784" s="55"/>
      <c r="B784" s="56"/>
      <c r="C784" s="57"/>
      <c r="D784" s="56"/>
      <c r="E784" s="56"/>
      <c r="F784" s="56"/>
      <c r="G784" s="50" t="str">
        <f aca="false">IF($A784="","",IF(ISNUMBER($G783),$G783+1,1))</f>
        <v/>
      </c>
      <c r="H784" s="51" t="str">
        <f aca="false">IF(OR(NOT(ISNUMBER($G784)),$G784&lt;2,NOT(ISNUMBER($C783)),$C783=0),"",$C784/$C783-1)</f>
        <v/>
      </c>
      <c r="I784" s="52" t="str">
        <f aca="false">IF(AND(ISNUMBER($G784),$G784&gt;=MA_SHORT),AVERAGE(INDEX($C$384:$C784,402-MA_SHORT):$C784),"")</f>
        <v/>
      </c>
      <c r="J784" s="52" t="str">
        <f aca="false">IF(AND(ISNUMBER($G784),$G784&gt;=MA_MED),AVERAGE(INDEX($C$384:$C784,402-MA_MED):$C784),"")</f>
        <v/>
      </c>
      <c r="K784" s="52" t="str">
        <f aca="false">IF(AND(ISNUMBER($G784),$G784&gt;=MA_LONG2),AVERAGE(INDEX($C$384:$C784,402-MA_LONG2):$C784),"")</f>
        <v/>
      </c>
      <c r="L784" s="53" t="str">
        <f aca="false">IF(AND(ISNUMBER($G784),$G784&gt;=21),STDEV(INDEX($H$724:$H784,62-20):$H784)*SQRT(245),"")</f>
        <v/>
      </c>
      <c r="M784" s="52" t="str">
        <f aca="false">IF(AND(ISNUMBER($G784),$G784&gt;=60),MAX(INDEX($D$584:$D784,202-60):$D784),"")</f>
        <v/>
      </c>
      <c r="N784" s="52" t="str">
        <f aca="false">IF(AND(ISNUMBER($G784),$G784&gt;=60),MIN(INDEX($E$584:$E784,202-60):$E784),"")</f>
        <v/>
      </c>
      <c r="O784" s="53" t="str">
        <f aca="false">IF(OR(NOT(ISNUMBER($C784)),NOT(ISNUMBER($M784)),$M784=0),"",$C784/$M784-1)</f>
        <v/>
      </c>
      <c r="P784" s="54"/>
      <c r="Q784" s="53" t="str">
        <f aca="false">IF(NOT(ISNUMBER($P784)),"",IFERROR(PERCENTRANK($P$5:$P$1204,$P784),""))</f>
        <v/>
      </c>
    </row>
    <row r="785" customFormat="false" ht="15" hidden="false" customHeight="false" outlineLevel="0" collapsed="false">
      <c r="A785" s="55"/>
      <c r="B785" s="56"/>
      <c r="C785" s="57"/>
      <c r="D785" s="56"/>
      <c r="E785" s="56"/>
      <c r="F785" s="56"/>
      <c r="G785" s="50" t="str">
        <f aca="false">IF($A785="","",IF(ISNUMBER($G784),$G784+1,1))</f>
        <v/>
      </c>
      <c r="H785" s="51" t="str">
        <f aca="false">IF(OR(NOT(ISNUMBER($G785)),$G785&lt;2,NOT(ISNUMBER($C784)),$C784=0),"",$C785/$C784-1)</f>
        <v/>
      </c>
      <c r="I785" s="52" t="str">
        <f aca="false">IF(AND(ISNUMBER($G785),$G785&gt;=MA_SHORT),AVERAGE(INDEX($C$385:$C785,402-MA_SHORT):$C785),"")</f>
        <v/>
      </c>
      <c r="J785" s="52" t="str">
        <f aca="false">IF(AND(ISNUMBER($G785),$G785&gt;=MA_MED),AVERAGE(INDEX($C$385:$C785,402-MA_MED):$C785),"")</f>
        <v/>
      </c>
      <c r="K785" s="52" t="str">
        <f aca="false">IF(AND(ISNUMBER($G785),$G785&gt;=MA_LONG2),AVERAGE(INDEX($C$385:$C785,402-MA_LONG2):$C785),"")</f>
        <v/>
      </c>
      <c r="L785" s="53" t="str">
        <f aca="false">IF(AND(ISNUMBER($G785),$G785&gt;=21),STDEV(INDEX($H$725:$H785,62-20):$H785)*SQRT(245),"")</f>
        <v/>
      </c>
      <c r="M785" s="52" t="str">
        <f aca="false">IF(AND(ISNUMBER($G785),$G785&gt;=60),MAX(INDEX($D$585:$D785,202-60):$D785),"")</f>
        <v/>
      </c>
      <c r="N785" s="52" t="str">
        <f aca="false">IF(AND(ISNUMBER($G785),$G785&gt;=60),MIN(INDEX($E$585:$E785,202-60):$E785),"")</f>
        <v/>
      </c>
      <c r="O785" s="53" t="str">
        <f aca="false">IF(OR(NOT(ISNUMBER($C785)),NOT(ISNUMBER($M785)),$M785=0),"",$C785/$M785-1)</f>
        <v/>
      </c>
      <c r="P785" s="54"/>
      <c r="Q785" s="53" t="str">
        <f aca="false">IF(NOT(ISNUMBER($P785)),"",IFERROR(PERCENTRANK($P$5:$P$1204,$P785),""))</f>
        <v/>
      </c>
    </row>
    <row r="786" customFormat="false" ht="15" hidden="false" customHeight="false" outlineLevel="0" collapsed="false">
      <c r="A786" s="55"/>
      <c r="B786" s="56"/>
      <c r="C786" s="57"/>
      <c r="D786" s="56"/>
      <c r="E786" s="56"/>
      <c r="F786" s="56"/>
      <c r="G786" s="50" t="str">
        <f aca="false">IF($A786="","",IF(ISNUMBER($G785),$G785+1,1))</f>
        <v/>
      </c>
      <c r="H786" s="51" t="str">
        <f aca="false">IF(OR(NOT(ISNUMBER($G786)),$G786&lt;2,NOT(ISNUMBER($C785)),$C785=0),"",$C786/$C785-1)</f>
        <v/>
      </c>
      <c r="I786" s="52" t="str">
        <f aca="false">IF(AND(ISNUMBER($G786),$G786&gt;=MA_SHORT),AVERAGE(INDEX($C$386:$C786,402-MA_SHORT):$C786),"")</f>
        <v/>
      </c>
      <c r="J786" s="52" t="str">
        <f aca="false">IF(AND(ISNUMBER($G786),$G786&gt;=MA_MED),AVERAGE(INDEX($C$386:$C786,402-MA_MED):$C786),"")</f>
        <v/>
      </c>
      <c r="K786" s="52" t="str">
        <f aca="false">IF(AND(ISNUMBER($G786),$G786&gt;=MA_LONG2),AVERAGE(INDEX($C$386:$C786,402-MA_LONG2):$C786),"")</f>
        <v/>
      </c>
      <c r="L786" s="53" t="str">
        <f aca="false">IF(AND(ISNUMBER($G786),$G786&gt;=21),STDEV(INDEX($H$726:$H786,62-20):$H786)*SQRT(245),"")</f>
        <v/>
      </c>
      <c r="M786" s="52" t="str">
        <f aca="false">IF(AND(ISNUMBER($G786),$G786&gt;=60),MAX(INDEX($D$586:$D786,202-60):$D786),"")</f>
        <v/>
      </c>
      <c r="N786" s="52" t="str">
        <f aca="false">IF(AND(ISNUMBER($G786),$G786&gt;=60),MIN(INDEX($E$586:$E786,202-60):$E786),"")</f>
        <v/>
      </c>
      <c r="O786" s="53" t="str">
        <f aca="false">IF(OR(NOT(ISNUMBER($C786)),NOT(ISNUMBER($M786)),$M786=0),"",$C786/$M786-1)</f>
        <v/>
      </c>
      <c r="P786" s="54"/>
      <c r="Q786" s="53" t="str">
        <f aca="false">IF(NOT(ISNUMBER($P786)),"",IFERROR(PERCENTRANK($P$5:$P$1204,$P786),""))</f>
        <v/>
      </c>
    </row>
    <row r="787" customFormat="false" ht="15" hidden="false" customHeight="false" outlineLevel="0" collapsed="false">
      <c r="A787" s="55"/>
      <c r="B787" s="56"/>
      <c r="C787" s="57"/>
      <c r="D787" s="56"/>
      <c r="E787" s="56"/>
      <c r="F787" s="56"/>
      <c r="G787" s="50" t="str">
        <f aca="false">IF($A787="","",IF(ISNUMBER($G786),$G786+1,1))</f>
        <v/>
      </c>
      <c r="H787" s="51" t="str">
        <f aca="false">IF(OR(NOT(ISNUMBER($G787)),$G787&lt;2,NOT(ISNUMBER($C786)),$C786=0),"",$C787/$C786-1)</f>
        <v/>
      </c>
      <c r="I787" s="52" t="str">
        <f aca="false">IF(AND(ISNUMBER($G787),$G787&gt;=MA_SHORT),AVERAGE(INDEX($C$387:$C787,402-MA_SHORT):$C787),"")</f>
        <v/>
      </c>
      <c r="J787" s="52" t="str">
        <f aca="false">IF(AND(ISNUMBER($G787),$G787&gt;=MA_MED),AVERAGE(INDEX($C$387:$C787,402-MA_MED):$C787),"")</f>
        <v/>
      </c>
      <c r="K787" s="52" t="str">
        <f aca="false">IF(AND(ISNUMBER($G787),$G787&gt;=MA_LONG2),AVERAGE(INDEX($C$387:$C787,402-MA_LONG2):$C787),"")</f>
        <v/>
      </c>
      <c r="L787" s="53" t="str">
        <f aca="false">IF(AND(ISNUMBER($G787),$G787&gt;=21),STDEV(INDEX($H$727:$H787,62-20):$H787)*SQRT(245),"")</f>
        <v/>
      </c>
      <c r="M787" s="52" t="str">
        <f aca="false">IF(AND(ISNUMBER($G787),$G787&gt;=60),MAX(INDEX($D$587:$D787,202-60):$D787),"")</f>
        <v/>
      </c>
      <c r="N787" s="52" t="str">
        <f aca="false">IF(AND(ISNUMBER($G787),$G787&gt;=60),MIN(INDEX($E$587:$E787,202-60):$E787),"")</f>
        <v/>
      </c>
      <c r="O787" s="53" t="str">
        <f aca="false">IF(OR(NOT(ISNUMBER($C787)),NOT(ISNUMBER($M787)),$M787=0),"",$C787/$M787-1)</f>
        <v/>
      </c>
      <c r="P787" s="54"/>
      <c r="Q787" s="53" t="str">
        <f aca="false">IF(NOT(ISNUMBER($P787)),"",IFERROR(PERCENTRANK($P$5:$P$1204,$P787),""))</f>
        <v/>
      </c>
    </row>
    <row r="788" customFormat="false" ht="15" hidden="false" customHeight="false" outlineLevel="0" collapsed="false">
      <c r="A788" s="55"/>
      <c r="B788" s="56"/>
      <c r="C788" s="57"/>
      <c r="D788" s="56"/>
      <c r="E788" s="56"/>
      <c r="F788" s="56"/>
      <c r="G788" s="50" t="str">
        <f aca="false">IF($A788="","",IF(ISNUMBER($G787),$G787+1,1))</f>
        <v/>
      </c>
      <c r="H788" s="51" t="str">
        <f aca="false">IF(OR(NOT(ISNUMBER($G788)),$G788&lt;2,NOT(ISNUMBER($C787)),$C787=0),"",$C788/$C787-1)</f>
        <v/>
      </c>
      <c r="I788" s="52" t="str">
        <f aca="false">IF(AND(ISNUMBER($G788),$G788&gt;=MA_SHORT),AVERAGE(INDEX($C$388:$C788,402-MA_SHORT):$C788),"")</f>
        <v/>
      </c>
      <c r="J788" s="52" t="str">
        <f aca="false">IF(AND(ISNUMBER($G788),$G788&gt;=MA_MED),AVERAGE(INDEX($C$388:$C788,402-MA_MED):$C788),"")</f>
        <v/>
      </c>
      <c r="K788" s="52" t="str">
        <f aca="false">IF(AND(ISNUMBER($G788),$G788&gt;=MA_LONG2),AVERAGE(INDEX($C$388:$C788,402-MA_LONG2):$C788),"")</f>
        <v/>
      </c>
      <c r="L788" s="53" t="str">
        <f aca="false">IF(AND(ISNUMBER($G788),$G788&gt;=21),STDEV(INDEX($H$728:$H788,62-20):$H788)*SQRT(245),"")</f>
        <v/>
      </c>
      <c r="M788" s="52" t="str">
        <f aca="false">IF(AND(ISNUMBER($G788),$G788&gt;=60),MAX(INDEX($D$588:$D788,202-60):$D788),"")</f>
        <v/>
      </c>
      <c r="N788" s="52" t="str">
        <f aca="false">IF(AND(ISNUMBER($G788),$G788&gt;=60),MIN(INDEX($E$588:$E788,202-60):$E788),"")</f>
        <v/>
      </c>
      <c r="O788" s="53" t="str">
        <f aca="false">IF(OR(NOT(ISNUMBER($C788)),NOT(ISNUMBER($M788)),$M788=0),"",$C788/$M788-1)</f>
        <v/>
      </c>
      <c r="P788" s="54"/>
      <c r="Q788" s="53" t="str">
        <f aca="false">IF(NOT(ISNUMBER($P788)),"",IFERROR(PERCENTRANK($P$5:$P$1204,$P788),""))</f>
        <v/>
      </c>
    </row>
    <row r="789" customFormat="false" ht="15" hidden="false" customHeight="false" outlineLevel="0" collapsed="false">
      <c r="A789" s="55"/>
      <c r="B789" s="56"/>
      <c r="C789" s="57"/>
      <c r="D789" s="56"/>
      <c r="E789" s="56"/>
      <c r="F789" s="56"/>
      <c r="G789" s="50" t="str">
        <f aca="false">IF($A789="","",IF(ISNUMBER($G788),$G788+1,1))</f>
        <v/>
      </c>
      <c r="H789" s="51" t="str">
        <f aca="false">IF(OR(NOT(ISNUMBER($G789)),$G789&lt;2,NOT(ISNUMBER($C788)),$C788=0),"",$C789/$C788-1)</f>
        <v/>
      </c>
      <c r="I789" s="52" t="str">
        <f aca="false">IF(AND(ISNUMBER($G789),$G789&gt;=MA_SHORT),AVERAGE(INDEX($C$389:$C789,402-MA_SHORT):$C789),"")</f>
        <v/>
      </c>
      <c r="J789" s="52" t="str">
        <f aca="false">IF(AND(ISNUMBER($G789),$G789&gt;=MA_MED),AVERAGE(INDEX($C$389:$C789,402-MA_MED):$C789),"")</f>
        <v/>
      </c>
      <c r="K789" s="52" t="str">
        <f aca="false">IF(AND(ISNUMBER($G789),$G789&gt;=MA_LONG2),AVERAGE(INDEX($C$389:$C789,402-MA_LONG2):$C789),"")</f>
        <v/>
      </c>
      <c r="L789" s="53" t="str">
        <f aca="false">IF(AND(ISNUMBER($G789),$G789&gt;=21),STDEV(INDEX($H$729:$H789,62-20):$H789)*SQRT(245),"")</f>
        <v/>
      </c>
      <c r="M789" s="52" t="str">
        <f aca="false">IF(AND(ISNUMBER($G789),$G789&gt;=60),MAX(INDEX($D$589:$D789,202-60):$D789),"")</f>
        <v/>
      </c>
      <c r="N789" s="52" t="str">
        <f aca="false">IF(AND(ISNUMBER($G789),$G789&gt;=60),MIN(INDEX($E$589:$E789,202-60):$E789),"")</f>
        <v/>
      </c>
      <c r="O789" s="53" t="str">
        <f aca="false">IF(OR(NOT(ISNUMBER($C789)),NOT(ISNUMBER($M789)),$M789=0),"",$C789/$M789-1)</f>
        <v/>
      </c>
      <c r="P789" s="54"/>
      <c r="Q789" s="53" t="str">
        <f aca="false">IF(NOT(ISNUMBER($P789)),"",IFERROR(PERCENTRANK($P$5:$P$1204,$P789),""))</f>
        <v/>
      </c>
    </row>
    <row r="790" customFormat="false" ht="15" hidden="false" customHeight="false" outlineLevel="0" collapsed="false">
      <c r="A790" s="55"/>
      <c r="B790" s="56"/>
      <c r="C790" s="57"/>
      <c r="D790" s="56"/>
      <c r="E790" s="56"/>
      <c r="F790" s="56"/>
      <c r="G790" s="50" t="str">
        <f aca="false">IF($A790="","",IF(ISNUMBER($G789),$G789+1,1))</f>
        <v/>
      </c>
      <c r="H790" s="51" t="str">
        <f aca="false">IF(OR(NOT(ISNUMBER($G790)),$G790&lt;2,NOT(ISNUMBER($C789)),$C789=0),"",$C790/$C789-1)</f>
        <v/>
      </c>
      <c r="I790" s="52" t="str">
        <f aca="false">IF(AND(ISNUMBER($G790),$G790&gt;=MA_SHORT),AVERAGE(INDEX($C$390:$C790,402-MA_SHORT):$C790),"")</f>
        <v/>
      </c>
      <c r="J790" s="52" t="str">
        <f aca="false">IF(AND(ISNUMBER($G790),$G790&gt;=MA_MED),AVERAGE(INDEX($C$390:$C790,402-MA_MED):$C790),"")</f>
        <v/>
      </c>
      <c r="K790" s="52" t="str">
        <f aca="false">IF(AND(ISNUMBER($G790),$G790&gt;=MA_LONG2),AVERAGE(INDEX($C$390:$C790,402-MA_LONG2):$C790),"")</f>
        <v/>
      </c>
      <c r="L790" s="53" t="str">
        <f aca="false">IF(AND(ISNUMBER($G790),$G790&gt;=21),STDEV(INDEX($H$730:$H790,62-20):$H790)*SQRT(245),"")</f>
        <v/>
      </c>
      <c r="M790" s="52" t="str">
        <f aca="false">IF(AND(ISNUMBER($G790),$G790&gt;=60),MAX(INDEX($D$590:$D790,202-60):$D790),"")</f>
        <v/>
      </c>
      <c r="N790" s="52" t="str">
        <f aca="false">IF(AND(ISNUMBER($G790),$G790&gt;=60),MIN(INDEX($E$590:$E790,202-60):$E790),"")</f>
        <v/>
      </c>
      <c r="O790" s="53" t="str">
        <f aca="false">IF(OR(NOT(ISNUMBER($C790)),NOT(ISNUMBER($M790)),$M790=0),"",$C790/$M790-1)</f>
        <v/>
      </c>
      <c r="P790" s="54"/>
      <c r="Q790" s="53" t="str">
        <f aca="false">IF(NOT(ISNUMBER($P790)),"",IFERROR(PERCENTRANK($P$5:$P$1204,$P790),""))</f>
        <v/>
      </c>
    </row>
    <row r="791" customFormat="false" ht="15" hidden="false" customHeight="false" outlineLevel="0" collapsed="false">
      <c r="A791" s="55"/>
      <c r="B791" s="56"/>
      <c r="C791" s="57"/>
      <c r="D791" s="56"/>
      <c r="E791" s="56"/>
      <c r="F791" s="56"/>
      <c r="G791" s="50" t="str">
        <f aca="false">IF($A791="","",IF(ISNUMBER($G790),$G790+1,1))</f>
        <v/>
      </c>
      <c r="H791" s="51" t="str">
        <f aca="false">IF(OR(NOT(ISNUMBER($G791)),$G791&lt;2,NOT(ISNUMBER($C790)),$C790=0),"",$C791/$C790-1)</f>
        <v/>
      </c>
      <c r="I791" s="52" t="str">
        <f aca="false">IF(AND(ISNUMBER($G791),$G791&gt;=MA_SHORT),AVERAGE(INDEX($C$391:$C791,402-MA_SHORT):$C791),"")</f>
        <v/>
      </c>
      <c r="J791" s="52" t="str">
        <f aca="false">IF(AND(ISNUMBER($G791),$G791&gt;=MA_MED),AVERAGE(INDEX($C$391:$C791,402-MA_MED):$C791),"")</f>
        <v/>
      </c>
      <c r="K791" s="52" t="str">
        <f aca="false">IF(AND(ISNUMBER($G791),$G791&gt;=MA_LONG2),AVERAGE(INDEX($C$391:$C791,402-MA_LONG2):$C791),"")</f>
        <v/>
      </c>
      <c r="L791" s="53" t="str">
        <f aca="false">IF(AND(ISNUMBER($G791),$G791&gt;=21),STDEV(INDEX($H$731:$H791,62-20):$H791)*SQRT(245),"")</f>
        <v/>
      </c>
      <c r="M791" s="52" t="str">
        <f aca="false">IF(AND(ISNUMBER($G791),$G791&gt;=60),MAX(INDEX($D$591:$D791,202-60):$D791),"")</f>
        <v/>
      </c>
      <c r="N791" s="52" t="str">
        <f aca="false">IF(AND(ISNUMBER($G791),$G791&gt;=60),MIN(INDEX($E$591:$E791,202-60):$E791),"")</f>
        <v/>
      </c>
      <c r="O791" s="53" t="str">
        <f aca="false">IF(OR(NOT(ISNUMBER($C791)),NOT(ISNUMBER($M791)),$M791=0),"",$C791/$M791-1)</f>
        <v/>
      </c>
      <c r="P791" s="54"/>
      <c r="Q791" s="53" t="str">
        <f aca="false">IF(NOT(ISNUMBER($P791)),"",IFERROR(PERCENTRANK($P$5:$P$1204,$P791),""))</f>
        <v/>
      </c>
    </row>
    <row r="792" customFormat="false" ht="15" hidden="false" customHeight="false" outlineLevel="0" collapsed="false">
      <c r="A792" s="55"/>
      <c r="B792" s="56"/>
      <c r="C792" s="57"/>
      <c r="D792" s="56"/>
      <c r="E792" s="56"/>
      <c r="F792" s="56"/>
      <c r="G792" s="50" t="str">
        <f aca="false">IF($A792="","",IF(ISNUMBER($G791),$G791+1,1))</f>
        <v/>
      </c>
      <c r="H792" s="51" t="str">
        <f aca="false">IF(OR(NOT(ISNUMBER($G792)),$G792&lt;2,NOT(ISNUMBER($C791)),$C791=0),"",$C792/$C791-1)</f>
        <v/>
      </c>
      <c r="I792" s="52" t="str">
        <f aca="false">IF(AND(ISNUMBER($G792),$G792&gt;=MA_SHORT),AVERAGE(INDEX($C$392:$C792,402-MA_SHORT):$C792),"")</f>
        <v/>
      </c>
      <c r="J792" s="52" t="str">
        <f aca="false">IF(AND(ISNUMBER($G792),$G792&gt;=MA_MED),AVERAGE(INDEX($C$392:$C792,402-MA_MED):$C792),"")</f>
        <v/>
      </c>
      <c r="K792" s="52" t="str">
        <f aca="false">IF(AND(ISNUMBER($G792),$G792&gt;=MA_LONG2),AVERAGE(INDEX($C$392:$C792,402-MA_LONG2):$C792),"")</f>
        <v/>
      </c>
      <c r="L792" s="53" t="str">
        <f aca="false">IF(AND(ISNUMBER($G792),$G792&gt;=21),STDEV(INDEX($H$732:$H792,62-20):$H792)*SQRT(245),"")</f>
        <v/>
      </c>
      <c r="M792" s="52" t="str">
        <f aca="false">IF(AND(ISNUMBER($G792),$G792&gt;=60),MAX(INDEX($D$592:$D792,202-60):$D792),"")</f>
        <v/>
      </c>
      <c r="N792" s="52" t="str">
        <f aca="false">IF(AND(ISNUMBER($G792),$G792&gt;=60),MIN(INDEX($E$592:$E792,202-60):$E792),"")</f>
        <v/>
      </c>
      <c r="O792" s="53" t="str">
        <f aca="false">IF(OR(NOT(ISNUMBER($C792)),NOT(ISNUMBER($M792)),$M792=0),"",$C792/$M792-1)</f>
        <v/>
      </c>
      <c r="P792" s="54"/>
      <c r="Q792" s="53" t="str">
        <f aca="false">IF(NOT(ISNUMBER($P792)),"",IFERROR(PERCENTRANK($P$5:$P$1204,$P792),""))</f>
        <v/>
      </c>
    </row>
    <row r="793" customFormat="false" ht="15" hidden="false" customHeight="false" outlineLevel="0" collapsed="false">
      <c r="A793" s="55"/>
      <c r="B793" s="56"/>
      <c r="C793" s="57"/>
      <c r="D793" s="56"/>
      <c r="E793" s="56"/>
      <c r="F793" s="56"/>
      <c r="G793" s="50" t="str">
        <f aca="false">IF($A793="","",IF(ISNUMBER($G792),$G792+1,1))</f>
        <v/>
      </c>
      <c r="H793" s="51" t="str">
        <f aca="false">IF(OR(NOT(ISNUMBER($G793)),$G793&lt;2,NOT(ISNUMBER($C792)),$C792=0),"",$C793/$C792-1)</f>
        <v/>
      </c>
      <c r="I793" s="52" t="str">
        <f aca="false">IF(AND(ISNUMBER($G793),$G793&gt;=MA_SHORT),AVERAGE(INDEX($C$393:$C793,402-MA_SHORT):$C793),"")</f>
        <v/>
      </c>
      <c r="J793" s="52" t="str">
        <f aca="false">IF(AND(ISNUMBER($G793),$G793&gt;=MA_MED),AVERAGE(INDEX($C$393:$C793,402-MA_MED):$C793),"")</f>
        <v/>
      </c>
      <c r="K793" s="52" t="str">
        <f aca="false">IF(AND(ISNUMBER($G793),$G793&gt;=MA_LONG2),AVERAGE(INDEX($C$393:$C793,402-MA_LONG2):$C793),"")</f>
        <v/>
      </c>
      <c r="L793" s="53" t="str">
        <f aca="false">IF(AND(ISNUMBER($G793),$G793&gt;=21),STDEV(INDEX($H$733:$H793,62-20):$H793)*SQRT(245),"")</f>
        <v/>
      </c>
      <c r="M793" s="52" t="str">
        <f aca="false">IF(AND(ISNUMBER($G793),$G793&gt;=60),MAX(INDEX($D$593:$D793,202-60):$D793),"")</f>
        <v/>
      </c>
      <c r="N793" s="52" t="str">
        <f aca="false">IF(AND(ISNUMBER($G793),$G793&gt;=60),MIN(INDEX($E$593:$E793,202-60):$E793),"")</f>
        <v/>
      </c>
      <c r="O793" s="53" t="str">
        <f aca="false">IF(OR(NOT(ISNUMBER($C793)),NOT(ISNUMBER($M793)),$M793=0),"",$C793/$M793-1)</f>
        <v/>
      </c>
      <c r="P793" s="54"/>
      <c r="Q793" s="53" t="str">
        <f aca="false">IF(NOT(ISNUMBER($P793)),"",IFERROR(PERCENTRANK($P$5:$P$1204,$P793),""))</f>
        <v/>
      </c>
    </row>
    <row r="794" customFormat="false" ht="15" hidden="false" customHeight="false" outlineLevel="0" collapsed="false">
      <c r="A794" s="55"/>
      <c r="B794" s="56"/>
      <c r="C794" s="57"/>
      <c r="D794" s="56"/>
      <c r="E794" s="56"/>
      <c r="F794" s="56"/>
      <c r="G794" s="50" t="str">
        <f aca="false">IF($A794="","",IF(ISNUMBER($G793),$G793+1,1))</f>
        <v/>
      </c>
      <c r="H794" s="51" t="str">
        <f aca="false">IF(OR(NOT(ISNUMBER($G794)),$G794&lt;2,NOT(ISNUMBER($C793)),$C793=0),"",$C794/$C793-1)</f>
        <v/>
      </c>
      <c r="I794" s="52" t="str">
        <f aca="false">IF(AND(ISNUMBER($G794),$G794&gt;=MA_SHORT),AVERAGE(INDEX($C$394:$C794,402-MA_SHORT):$C794),"")</f>
        <v/>
      </c>
      <c r="J794" s="52" t="str">
        <f aca="false">IF(AND(ISNUMBER($G794),$G794&gt;=MA_MED),AVERAGE(INDEX($C$394:$C794,402-MA_MED):$C794),"")</f>
        <v/>
      </c>
      <c r="K794" s="52" t="str">
        <f aca="false">IF(AND(ISNUMBER($G794),$G794&gt;=MA_LONG2),AVERAGE(INDEX($C$394:$C794,402-MA_LONG2):$C794),"")</f>
        <v/>
      </c>
      <c r="L794" s="53" t="str">
        <f aca="false">IF(AND(ISNUMBER($G794),$G794&gt;=21),STDEV(INDEX($H$734:$H794,62-20):$H794)*SQRT(245),"")</f>
        <v/>
      </c>
      <c r="M794" s="52" t="str">
        <f aca="false">IF(AND(ISNUMBER($G794),$G794&gt;=60),MAX(INDEX($D$594:$D794,202-60):$D794),"")</f>
        <v/>
      </c>
      <c r="N794" s="52" t="str">
        <f aca="false">IF(AND(ISNUMBER($G794),$G794&gt;=60),MIN(INDEX($E$594:$E794,202-60):$E794),"")</f>
        <v/>
      </c>
      <c r="O794" s="53" t="str">
        <f aca="false">IF(OR(NOT(ISNUMBER($C794)),NOT(ISNUMBER($M794)),$M794=0),"",$C794/$M794-1)</f>
        <v/>
      </c>
      <c r="P794" s="54"/>
      <c r="Q794" s="53" t="str">
        <f aca="false">IF(NOT(ISNUMBER($P794)),"",IFERROR(PERCENTRANK($P$5:$P$1204,$P794),""))</f>
        <v/>
      </c>
    </row>
    <row r="795" customFormat="false" ht="15" hidden="false" customHeight="false" outlineLevel="0" collapsed="false">
      <c r="A795" s="55"/>
      <c r="B795" s="56"/>
      <c r="C795" s="57"/>
      <c r="D795" s="56"/>
      <c r="E795" s="56"/>
      <c r="F795" s="56"/>
      <c r="G795" s="50" t="str">
        <f aca="false">IF($A795="","",IF(ISNUMBER($G794),$G794+1,1))</f>
        <v/>
      </c>
      <c r="H795" s="51" t="str">
        <f aca="false">IF(OR(NOT(ISNUMBER($G795)),$G795&lt;2,NOT(ISNUMBER($C794)),$C794=0),"",$C795/$C794-1)</f>
        <v/>
      </c>
      <c r="I795" s="52" t="str">
        <f aca="false">IF(AND(ISNUMBER($G795),$G795&gt;=MA_SHORT),AVERAGE(INDEX($C$395:$C795,402-MA_SHORT):$C795),"")</f>
        <v/>
      </c>
      <c r="J795" s="52" t="str">
        <f aca="false">IF(AND(ISNUMBER($G795),$G795&gt;=MA_MED),AVERAGE(INDEX($C$395:$C795,402-MA_MED):$C795),"")</f>
        <v/>
      </c>
      <c r="K795" s="52" t="str">
        <f aca="false">IF(AND(ISNUMBER($G795),$G795&gt;=MA_LONG2),AVERAGE(INDEX($C$395:$C795,402-MA_LONG2):$C795),"")</f>
        <v/>
      </c>
      <c r="L795" s="53" t="str">
        <f aca="false">IF(AND(ISNUMBER($G795),$G795&gt;=21),STDEV(INDEX($H$735:$H795,62-20):$H795)*SQRT(245),"")</f>
        <v/>
      </c>
      <c r="M795" s="52" t="str">
        <f aca="false">IF(AND(ISNUMBER($G795),$G795&gt;=60),MAX(INDEX($D$595:$D795,202-60):$D795),"")</f>
        <v/>
      </c>
      <c r="N795" s="52" t="str">
        <f aca="false">IF(AND(ISNUMBER($G795),$G795&gt;=60),MIN(INDEX($E$595:$E795,202-60):$E795),"")</f>
        <v/>
      </c>
      <c r="O795" s="53" t="str">
        <f aca="false">IF(OR(NOT(ISNUMBER($C795)),NOT(ISNUMBER($M795)),$M795=0),"",$C795/$M795-1)</f>
        <v/>
      </c>
      <c r="P795" s="54"/>
      <c r="Q795" s="53" t="str">
        <f aca="false">IF(NOT(ISNUMBER($P795)),"",IFERROR(PERCENTRANK($P$5:$P$1204,$P795),""))</f>
        <v/>
      </c>
    </row>
    <row r="796" customFormat="false" ht="15" hidden="false" customHeight="false" outlineLevel="0" collapsed="false">
      <c r="A796" s="55"/>
      <c r="B796" s="56"/>
      <c r="C796" s="57"/>
      <c r="D796" s="56"/>
      <c r="E796" s="56"/>
      <c r="F796" s="56"/>
      <c r="G796" s="50" t="str">
        <f aca="false">IF($A796="","",IF(ISNUMBER($G795),$G795+1,1))</f>
        <v/>
      </c>
      <c r="H796" s="51" t="str">
        <f aca="false">IF(OR(NOT(ISNUMBER($G796)),$G796&lt;2,NOT(ISNUMBER($C795)),$C795=0),"",$C796/$C795-1)</f>
        <v/>
      </c>
      <c r="I796" s="52" t="str">
        <f aca="false">IF(AND(ISNUMBER($G796),$G796&gt;=MA_SHORT),AVERAGE(INDEX($C$396:$C796,402-MA_SHORT):$C796),"")</f>
        <v/>
      </c>
      <c r="J796" s="52" t="str">
        <f aca="false">IF(AND(ISNUMBER($G796),$G796&gt;=MA_MED),AVERAGE(INDEX($C$396:$C796,402-MA_MED):$C796),"")</f>
        <v/>
      </c>
      <c r="K796" s="52" t="str">
        <f aca="false">IF(AND(ISNUMBER($G796),$G796&gt;=MA_LONG2),AVERAGE(INDEX($C$396:$C796,402-MA_LONG2):$C796),"")</f>
        <v/>
      </c>
      <c r="L796" s="53" t="str">
        <f aca="false">IF(AND(ISNUMBER($G796),$G796&gt;=21),STDEV(INDEX($H$736:$H796,62-20):$H796)*SQRT(245),"")</f>
        <v/>
      </c>
      <c r="M796" s="52" t="str">
        <f aca="false">IF(AND(ISNUMBER($G796),$G796&gt;=60),MAX(INDEX($D$596:$D796,202-60):$D796),"")</f>
        <v/>
      </c>
      <c r="N796" s="52" t="str">
        <f aca="false">IF(AND(ISNUMBER($G796),$G796&gt;=60),MIN(INDEX($E$596:$E796,202-60):$E796),"")</f>
        <v/>
      </c>
      <c r="O796" s="53" t="str">
        <f aca="false">IF(OR(NOT(ISNUMBER($C796)),NOT(ISNUMBER($M796)),$M796=0),"",$C796/$M796-1)</f>
        <v/>
      </c>
      <c r="P796" s="54"/>
      <c r="Q796" s="53" t="str">
        <f aca="false">IF(NOT(ISNUMBER($P796)),"",IFERROR(PERCENTRANK($P$5:$P$1204,$P796),""))</f>
        <v/>
      </c>
    </row>
    <row r="797" customFormat="false" ht="15" hidden="false" customHeight="false" outlineLevel="0" collapsed="false">
      <c r="A797" s="55"/>
      <c r="B797" s="56"/>
      <c r="C797" s="57"/>
      <c r="D797" s="56"/>
      <c r="E797" s="56"/>
      <c r="F797" s="56"/>
      <c r="G797" s="50" t="str">
        <f aca="false">IF($A797="","",IF(ISNUMBER($G796),$G796+1,1))</f>
        <v/>
      </c>
      <c r="H797" s="51" t="str">
        <f aca="false">IF(OR(NOT(ISNUMBER($G797)),$G797&lt;2,NOT(ISNUMBER($C796)),$C796=0),"",$C797/$C796-1)</f>
        <v/>
      </c>
      <c r="I797" s="52" t="str">
        <f aca="false">IF(AND(ISNUMBER($G797),$G797&gt;=MA_SHORT),AVERAGE(INDEX($C$397:$C797,402-MA_SHORT):$C797),"")</f>
        <v/>
      </c>
      <c r="J797" s="52" t="str">
        <f aca="false">IF(AND(ISNUMBER($G797),$G797&gt;=MA_MED),AVERAGE(INDEX($C$397:$C797,402-MA_MED):$C797),"")</f>
        <v/>
      </c>
      <c r="K797" s="52" t="str">
        <f aca="false">IF(AND(ISNUMBER($G797),$G797&gt;=MA_LONG2),AVERAGE(INDEX($C$397:$C797,402-MA_LONG2):$C797),"")</f>
        <v/>
      </c>
      <c r="L797" s="53" t="str">
        <f aca="false">IF(AND(ISNUMBER($G797),$G797&gt;=21),STDEV(INDEX($H$737:$H797,62-20):$H797)*SQRT(245),"")</f>
        <v/>
      </c>
      <c r="M797" s="52" t="str">
        <f aca="false">IF(AND(ISNUMBER($G797),$G797&gt;=60),MAX(INDEX($D$597:$D797,202-60):$D797),"")</f>
        <v/>
      </c>
      <c r="N797" s="52" t="str">
        <f aca="false">IF(AND(ISNUMBER($G797),$G797&gt;=60),MIN(INDEX($E$597:$E797,202-60):$E797),"")</f>
        <v/>
      </c>
      <c r="O797" s="53" t="str">
        <f aca="false">IF(OR(NOT(ISNUMBER($C797)),NOT(ISNUMBER($M797)),$M797=0),"",$C797/$M797-1)</f>
        <v/>
      </c>
      <c r="P797" s="54"/>
      <c r="Q797" s="53" t="str">
        <f aca="false">IF(NOT(ISNUMBER($P797)),"",IFERROR(PERCENTRANK($P$5:$P$1204,$P797),""))</f>
        <v/>
      </c>
    </row>
    <row r="798" customFormat="false" ht="15" hidden="false" customHeight="false" outlineLevel="0" collapsed="false">
      <c r="A798" s="55"/>
      <c r="B798" s="56"/>
      <c r="C798" s="57"/>
      <c r="D798" s="56"/>
      <c r="E798" s="56"/>
      <c r="F798" s="56"/>
      <c r="G798" s="50" t="str">
        <f aca="false">IF($A798="","",IF(ISNUMBER($G797),$G797+1,1))</f>
        <v/>
      </c>
      <c r="H798" s="51" t="str">
        <f aca="false">IF(OR(NOT(ISNUMBER($G798)),$G798&lt;2,NOT(ISNUMBER($C797)),$C797=0),"",$C798/$C797-1)</f>
        <v/>
      </c>
      <c r="I798" s="52" t="str">
        <f aca="false">IF(AND(ISNUMBER($G798),$G798&gt;=MA_SHORT),AVERAGE(INDEX($C$398:$C798,402-MA_SHORT):$C798),"")</f>
        <v/>
      </c>
      <c r="J798" s="52" t="str">
        <f aca="false">IF(AND(ISNUMBER($G798),$G798&gt;=MA_MED),AVERAGE(INDEX($C$398:$C798,402-MA_MED):$C798),"")</f>
        <v/>
      </c>
      <c r="K798" s="52" t="str">
        <f aca="false">IF(AND(ISNUMBER($G798),$G798&gt;=MA_LONG2),AVERAGE(INDEX($C$398:$C798,402-MA_LONG2):$C798),"")</f>
        <v/>
      </c>
      <c r="L798" s="53" t="str">
        <f aca="false">IF(AND(ISNUMBER($G798),$G798&gt;=21),STDEV(INDEX($H$738:$H798,62-20):$H798)*SQRT(245),"")</f>
        <v/>
      </c>
      <c r="M798" s="52" t="str">
        <f aca="false">IF(AND(ISNUMBER($G798),$G798&gt;=60),MAX(INDEX($D$598:$D798,202-60):$D798),"")</f>
        <v/>
      </c>
      <c r="N798" s="52" t="str">
        <f aca="false">IF(AND(ISNUMBER($G798),$G798&gt;=60),MIN(INDEX($E$598:$E798,202-60):$E798),"")</f>
        <v/>
      </c>
      <c r="O798" s="53" t="str">
        <f aca="false">IF(OR(NOT(ISNUMBER($C798)),NOT(ISNUMBER($M798)),$M798=0),"",$C798/$M798-1)</f>
        <v/>
      </c>
      <c r="P798" s="54"/>
      <c r="Q798" s="53" t="str">
        <f aca="false">IF(NOT(ISNUMBER($P798)),"",IFERROR(PERCENTRANK($P$5:$P$1204,$P798),""))</f>
        <v/>
      </c>
    </row>
    <row r="799" customFormat="false" ht="15" hidden="false" customHeight="false" outlineLevel="0" collapsed="false">
      <c r="A799" s="55"/>
      <c r="B799" s="56"/>
      <c r="C799" s="57"/>
      <c r="D799" s="56"/>
      <c r="E799" s="56"/>
      <c r="F799" s="56"/>
      <c r="G799" s="50" t="str">
        <f aca="false">IF($A799="","",IF(ISNUMBER($G798),$G798+1,1))</f>
        <v/>
      </c>
      <c r="H799" s="51" t="str">
        <f aca="false">IF(OR(NOT(ISNUMBER($G799)),$G799&lt;2,NOT(ISNUMBER($C798)),$C798=0),"",$C799/$C798-1)</f>
        <v/>
      </c>
      <c r="I799" s="52" t="str">
        <f aca="false">IF(AND(ISNUMBER($G799),$G799&gt;=MA_SHORT),AVERAGE(INDEX($C$399:$C799,402-MA_SHORT):$C799),"")</f>
        <v/>
      </c>
      <c r="J799" s="52" t="str">
        <f aca="false">IF(AND(ISNUMBER($G799),$G799&gt;=MA_MED),AVERAGE(INDEX($C$399:$C799,402-MA_MED):$C799),"")</f>
        <v/>
      </c>
      <c r="K799" s="52" t="str">
        <f aca="false">IF(AND(ISNUMBER($G799),$G799&gt;=MA_LONG2),AVERAGE(INDEX($C$399:$C799,402-MA_LONG2):$C799),"")</f>
        <v/>
      </c>
      <c r="L799" s="53" t="str">
        <f aca="false">IF(AND(ISNUMBER($G799),$G799&gt;=21),STDEV(INDEX($H$739:$H799,62-20):$H799)*SQRT(245),"")</f>
        <v/>
      </c>
      <c r="M799" s="52" t="str">
        <f aca="false">IF(AND(ISNUMBER($G799),$G799&gt;=60),MAX(INDEX($D$599:$D799,202-60):$D799),"")</f>
        <v/>
      </c>
      <c r="N799" s="52" t="str">
        <f aca="false">IF(AND(ISNUMBER($G799),$G799&gt;=60),MIN(INDEX($E$599:$E799,202-60):$E799),"")</f>
        <v/>
      </c>
      <c r="O799" s="53" t="str">
        <f aca="false">IF(OR(NOT(ISNUMBER($C799)),NOT(ISNUMBER($M799)),$M799=0),"",$C799/$M799-1)</f>
        <v/>
      </c>
      <c r="P799" s="54"/>
      <c r="Q799" s="53" t="str">
        <f aca="false">IF(NOT(ISNUMBER($P799)),"",IFERROR(PERCENTRANK($P$5:$P$1204,$P799),""))</f>
        <v/>
      </c>
    </row>
    <row r="800" customFormat="false" ht="15" hidden="false" customHeight="false" outlineLevel="0" collapsed="false">
      <c r="A800" s="55"/>
      <c r="B800" s="56"/>
      <c r="C800" s="57"/>
      <c r="D800" s="56"/>
      <c r="E800" s="56"/>
      <c r="F800" s="56"/>
      <c r="G800" s="50" t="str">
        <f aca="false">IF($A800="","",IF(ISNUMBER($G799),$G799+1,1))</f>
        <v/>
      </c>
      <c r="H800" s="51" t="str">
        <f aca="false">IF(OR(NOT(ISNUMBER($G800)),$G800&lt;2,NOT(ISNUMBER($C799)),$C799=0),"",$C800/$C799-1)</f>
        <v/>
      </c>
      <c r="I800" s="52" t="str">
        <f aca="false">IF(AND(ISNUMBER($G800),$G800&gt;=MA_SHORT),AVERAGE(INDEX($C$400:$C800,402-MA_SHORT):$C800),"")</f>
        <v/>
      </c>
      <c r="J800" s="52" t="str">
        <f aca="false">IF(AND(ISNUMBER($G800),$G800&gt;=MA_MED),AVERAGE(INDEX($C$400:$C800,402-MA_MED):$C800),"")</f>
        <v/>
      </c>
      <c r="K800" s="52" t="str">
        <f aca="false">IF(AND(ISNUMBER($G800),$G800&gt;=MA_LONG2),AVERAGE(INDEX($C$400:$C800,402-MA_LONG2):$C800),"")</f>
        <v/>
      </c>
      <c r="L800" s="53" t="str">
        <f aca="false">IF(AND(ISNUMBER($G800),$G800&gt;=21),STDEV(INDEX($H$740:$H800,62-20):$H800)*SQRT(245),"")</f>
        <v/>
      </c>
      <c r="M800" s="52" t="str">
        <f aca="false">IF(AND(ISNUMBER($G800),$G800&gt;=60),MAX(INDEX($D$600:$D800,202-60):$D800),"")</f>
        <v/>
      </c>
      <c r="N800" s="52" t="str">
        <f aca="false">IF(AND(ISNUMBER($G800),$G800&gt;=60),MIN(INDEX($E$600:$E800,202-60):$E800),"")</f>
        <v/>
      </c>
      <c r="O800" s="53" t="str">
        <f aca="false">IF(OR(NOT(ISNUMBER($C800)),NOT(ISNUMBER($M800)),$M800=0),"",$C800/$M800-1)</f>
        <v/>
      </c>
      <c r="P800" s="54"/>
      <c r="Q800" s="53" t="str">
        <f aca="false">IF(NOT(ISNUMBER($P800)),"",IFERROR(PERCENTRANK($P$5:$P$1204,$P800),""))</f>
        <v/>
      </c>
    </row>
    <row r="801" customFormat="false" ht="15" hidden="false" customHeight="false" outlineLevel="0" collapsed="false">
      <c r="A801" s="55"/>
      <c r="B801" s="56"/>
      <c r="C801" s="57"/>
      <c r="D801" s="56"/>
      <c r="E801" s="56"/>
      <c r="F801" s="56"/>
      <c r="G801" s="50" t="str">
        <f aca="false">IF($A801="","",IF(ISNUMBER($G800),$G800+1,1))</f>
        <v/>
      </c>
      <c r="H801" s="51" t="str">
        <f aca="false">IF(OR(NOT(ISNUMBER($G801)),$G801&lt;2,NOT(ISNUMBER($C800)),$C800=0),"",$C801/$C800-1)</f>
        <v/>
      </c>
      <c r="I801" s="52" t="str">
        <f aca="false">IF(AND(ISNUMBER($G801),$G801&gt;=MA_SHORT),AVERAGE(INDEX($C$401:$C801,402-MA_SHORT):$C801),"")</f>
        <v/>
      </c>
      <c r="J801" s="52" t="str">
        <f aca="false">IF(AND(ISNUMBER($G801),$G801&gt;=MA_MED),AVERAGE(INDEX($C$401:$C801,402-MA_MED):$C801),"")</f>
        <v/>
      </c>
      <c r="K801" s="52" t="str">
        <f aca="false">IF(AND(ISNUMBER($G801),$G801&gt;=MA_LONG2),AVERAGE(INDEX($C$401:$C801,402-MA_LONG2):$C801),"")</f>
        <v/>
      </c>
      <c r="L801" s="53" t="str">
        <f aca="false">IF(AND(ISNUMBER($G801),$G801&gt;=21),STDEV(INDEX($H$741:$H801,62-20):$H801)*SQRT(245),"")</f>
        <v/>
      </c>
      <c r="M801" s="52" t="str">
        <f aca="false">IF(AND(ISNUMBER($G801),$G801&gt;=60),MAX(INDEX($D$601:$D801,202-60):$D801),"")</f>
        <v/>
      </c>
      <c r="N801" s="52" t="str">
        <f aca="false">IF(AND(ISNUMBER($G801),$G801&gt;=60),MIN(INDEX($E$601:$E801,202-60):$E801),"")</f>
        <v/>
      </c>
      <c r="O801" s="53" t="str">
        <f aca="false">IF(OR(NOT(ISNUMBER($C801)),NOT(ISNUMBER($M801)),$M801=0),"",$C801/$M801-1)</f>
        <v/>
      </c>
      <c r="P801" s="54"/>
      <c r="Q801" s="53" t="str">
        <f aca="false">IF(NOT(ISNUMBER($P801)),"",IFERROR(PERCENTRANK($P$5:$P$1204,$P801),""))</f>
        <v/>
      </c>
    </row>
    <row r="802" customFormat="false" ht="15" hidden="false" customHeight="false" outlineLevel="0" collapsed="false">
      <c r="A802" s="55"/>
      <c r="B802" s="56"/>
      <c r="C802" s="57"/>
      <c r="D802" s="56"/>
      <c r="E802" s="56"/>
      <c r="F802" s="56"/>
      <c r="G802" s="50" t="str">
        <f aca="false">IF($A802="","",IF(ISNUMBER($G801),$G801+1,1))</f>
        <v/>
      </c>
      <c r="H802" s="51" t="str">
        <f aca="false">IF(OR(NOT(ISNUMBER($G802)),$G802&lt;2,NOT(ISNUMBER($C801)),$C801=0),"",$C802/$C801-1)</f>
        <v/>
      </c>
      <c r="I802" s="52" t="str">
        <f aca="false">IF(AND(ISNUMBER($G802),$G802&gt;=MA_SHORT),AVERAGE(INDEX($C$402:$C802,402-MA_SHORT):$C802),"")</f>
        <v/>
      </c>
      <c r="J802" s="52" t="str">
        <f aca="false">IF(AND(ISNUMBER($G802),$G802&gt;=MA_MED),AVERAGE(INDEX($C$402:$C802,402-MA_MED):$C802),"")</f>
        <v/>
      </c>
      <c r="K802" s="52" t="str">
        <f aca="false">IF(AND(ISNUMBER($G802),$G802&gt;=MA_LONG2),AVERAGE(INDEX($C$402:$C802,402-MA_LONG2):$C802),"")</f>
        <v/>
      </c>
      <c r="L802" s="53" t="str">
        <f aca="false">IF(AND(ISNUMBER($G802),$G802&gt;=21),STDEV(INDEX($H$742:$H802,62-20):$H802)*SQRT(245),"")</f>
        <v/>
      </c>
      <c r="M802" s="52" t="str">
        <f aca="false">IF(AND(ISNUMBER($G802),$G802&gt;=60),MAX(INDEX($D$602:$D802,202-60):$D802),"")</f>
        <v/>
      </c>
      <c r="N802" s="52" t="str">
        <f aca="false">IF(AND(ISNUMBER($G802),$G802&gt;=60),MIN(INDEX($E$602:$E802,202-60):$E802),"")</f>
        <v/>
      </c>
      <c r="O802" s="53" t="str">
        <f aca="false">IF(OR(NOT(ISNUMBER($C802)),NOT(ISNUMBER($M802)),$M802=0),"",$C802/$M802-1)</f>
        <v/>
      </c>
      <c r="P802" s="54"/>
      <c r="Q802" s="53" t="str">
        <f aca="false">IF(NOT(ISNUMBER($P802)),"",IFERROR(PERCENTRANK($P$5:$P$1204,$P802),""))</f>
        <v/>
      </c>
    </row>
    <row r="803" customFormat="false" ht="15" hidden="false" customHeight="false" outlineLevel="0" collapsed="false">
      <c r="A803" s="55"/>
      <c r="B803" s="56"/>
      <c r="C803" s="57"/>
      <c r="D803" s="56"/>
      <c r="E803" s="56"/>
      <c r="F803" s="56"/>
      <c r="G803" s="50" t="str">
        <f aca="false">IF($A803="","",IF(ISNUMBER($G802),$G802+1,1))</f>
        <v/>
      </c>
      <c r="H803" s="51" t="str">
        <f aca="false">IF(OR(NOT(ISNUMBER($G803)),$G803&lt;2,NOT(ISNUMBER($C802)),$C802=0),"",$C803/$C802-1)</f>
        <v/>
      </c>
      <c r="I803" s="52" t="str">
        <f aca="false">IF(AND(ISNUMBER($G803),$G803&gt;=MA_SHORT),AVERAGE(INDEX($C$403:$C803,402-MA_SHORT):$C803),"")</f>
        <v/>
      </c>
      <c r="J803" s="52" t="str">
        <f aca="false">IF(AND(ISNUMBER($G803),$G803&gt;=MA_MED),AVERAGE(INDEX($C$403:$C803,402-MA_MED):$C803),"")</f>
        <v/>
      </c>
      <c r="K803" s="52" t="str">
        <f aca="false">IF(AND(ISNUMBER($G803),$G803&gt;=MA_LONG2),AVERAGE(INDEX($C$403:$C803,402-MA_LONG2):$C803),"")</f>
        <v/>
      </c>
      <c r="L803" s="53" t="str">
        <f aca="false">IF(AND(ISNUMBER($G803),$G803&gt;=21),STDEV(INDEX($H$743:$H803,62-20):$H803)*SQRT(245),"")</f>
        <v/>
      </c>
      <c r="M803" s="52" t="str">
        <f aca="false">IF(AND(ISNUMBER($G803),$G803&gt;=60),MAX(INDEX($D$603:$D803,202-60):$D803),"")</f>
        <v/>
      </c>
      <c r="N803" s="52" t="str">
        <f aca="false">IF(AND(ISNUMBER($G803),$G803&gt;=60),MIN(INDEX($E$603:$E803,202-60):$E803),"")</f>
        <v/>
      </c>
      <c r="O803" s="53" t="str">
        <f aca="false">IF(OR(NOT(ISNUMBER($C803)),NOT(ISNUMBER($M803)),$M803=0),"",$C803/$M803-1)</f>
        <v/>
      </c>
      <c r="P803" s="54"/>
      <c r="Q803" s="53" t="str">
        <f aca="false">IF(NOT(ISNUMBER($P803)),"",IFERROR(PERCENTRANK($P$5:$P$1204,$P803),""))</f>
        <v/>
      </c>
    </row>
    <row r="804" customFormat="false" ht="15" hidden="false" customHeight="false" outlineLevel="0" collapsed="false">
      <c r="A804" s="55"/>
      <c r="B804" s="56"/>
      <c r="C804" s="57"/>
      <c r="D804" s="56"/>
      <c r="E804" s="56"/>
      <c r="F804" s="56"/>
      <c r="G804" s="50" t="str">
        <f aca="false">IF($A804="","",IF(ISNUMBER($G803),$G803+1,1))</f>
        <v/>
      </c>
      <c r="H804" s="51" t="str">
        <f aca="false">IF(OR(NOT(ISNUMBER($G804)),$G804&lt;2,NOT(ISNUMBER($C803)),$C803=0),"",$C804/$C803-1)</f>
        <v/>
      </c>
      <c r="I804" s="52" t="str">
        <f aca="false">IF(AND(ISNUMBER($G804),$G804&gt;=MA_SHORT),AVERAGE(INDEX($C$404:$C804,402-MA_SHORT):$C804),"")</f>
        <v/>
      </c>
      <c r="J804" s="52" t="str">
        <f aca="false">IF(AND(ISNUMBER($G804),$G804&gt;=MA_MED),AVERAGE(INDEX($C$404:$C804,402-MA_MED):$C804),"")</f>
        <v/>
      </c>
      <c r="K804" s="52" t="str">
        <f aca="false">IF(AND(ISNUMBER($G804),$G804&gt;=MA_LONG2),AVERAGE(INDEX($C$404:$C804,402-MA_LONG2):$C804),"")</f>
        <v/>
      </c>
      <c r="L804" s="53" t="str">
        <f aca="false">IF(AND(ISNUMBER($G804),$G804&gt;=21),STDEV(INDEX($H$744:$H804,62-20):$H804)*SQRT(245),"")</f>
        <v/>
      </c>
      <c r="M804" s="52" t="str">
        <f aca="false">IF(AND(ISNUMBER($G804),$G804&gt;=60),MAX(INDEX($D$604:$D804,202-60):$D804),"")</f>
        <v/>
      </c>
      <c r="N804" s="52" t="str">
        <f aca="false">IF(AND(ISNUMBER($G804),$G804&gt;=60),MIN(INDEX($E$604:$E804,202-60):$E804),"")</f>
        <v/>
      </c>
      <c r="O804" s="53" t="str">
        <f aca="false">IF(OR(NOT(ISNUMBER($C804)),NOT(ISNUMBER($M804)),$M804=0),"",$C804/$M804-1)</f>
        <v/>
      </c>
      <c r="P804" s="54"/>
      <c r="Q804" s="53" t="str">
        <f aca="false">IF(NOT(ISNUMBER($P804)),"",IFERROR(PERCENTRANK($P$5:$P$1204,$P804),""))</f>
        <v/>
      </c>
    </row>
    <row r="805" customFormat="false" ht="15" hidden="false" customHeight="false" outlineLevel="0" collapsed="false">
      <c r="A805" s="55"/>
      <c r="B805" s="56"/>
      <c r="C805" s="57"/>
      <c r="D805" s="56"/>
      <c r="E805" s="56"/>
      <c r="F805" s="56"/>
      <c r="G805" s="50" t="str">
        <f aca="false">IF($A805="","",IF(ISNUMBER($G804),$G804+1,1))</f>
        <v/>
      </c>
      <c r="H805" s="51" t="str">
        <f aca="false">IF(OR(NOT(ISNUMBER($G805)),$G805&lt;2,NOT(ISNUMBER($C804)),$C804=0),"",$C805/$C804-1)</f>
        <v/>
      </c>
      <c r="I805" s="52" t="str">
        <f aca="false">IF(AND(ISNUMBER($G805),$G805&gt;=MA_SHORT),AVERAGE(INDEX($C$405:$C805,402-MA_SHORT):$C805),"")</f>
        <v/>
      </c>
      <c r="J805" s="52" t="str">
        <f aca="false">IF(AND(ISNUMBER($G805),$G805&gt;=MA_MED),AVERAGE(INDEX($C$405:$C805,402-MA_MED):$C805),"")</f>
        <v/>
      </c>
      <c r="K805" s="52" t="str">
        <f aca="false">IF(AND(ISNUMBER($G805),$G805&gt;=MA_LONG2),AVERAGE(INDEX($C$405:$C805,402-MA_LONG2):$C805),"")</f>
        <v/>
      </c>
      <c r="L805" s="53" t="str">
        <f aca="false">IF(AND(ISNUMBER($G805),$G805&gt;=21),STDEV(INDEX($H$745:$H805,62-20):$H805)*SQRT(245),"")</f>
        <v/>
      </c>
      <c r="M805" s="52" t="str">
        <f aca="false">IF(AND(ISNUMBER($G805),$G805&gt;=60),MAX(INDEX($D$605:$D805,202-60):$D805),"")</f>
        <v/>
      </c>
      <c r="N805" s="52" t="str">
        <f aca="false">IF(AND(ISNUMBER($G805),$G805&gt;=60),MIN(INDEX($E$605:$E805,202-60):$E805),"")</f>
        <v/>
      </c>
      <c r="O805" s="53" t="str">
        <f aca="false">IF(OR(NOT(ISNUMBER($C805)),NOT(ISNUMBER($M805)),$M805=0),"",$C805/$M805-1)</f>
        <v/>
      </c>
      <c r="P805" s="54"/>
      <c r="Q805" s="53" t="str">
        <f aca="false">IF(NOT(ISNUMBER($P805)),"",IFERROR(PERCENTRANK($P$5:$P$1204,$P805),""))</f>
        <v/>
      </c>
    </row>
    <row r="806" customFormat="false" ht="15" hidden="false" customHeight="false" outlineLevel="0" collapsed="false">
      <c r="A806" s="55"/>
      <c r="B806" s="56"/>
      <c r="C806" s="57"/>
      <c r="D806" s="56"/>
      <c r="E806" s="56"/>
      <c r="F806" s="56"/>
      <c r="G806" s="50" t="str">
        <f aca="false">IF($A806="","",IF(ISNUMBER($G805),$G805+1,1))</f>
        <v/>
      </c>
      <c r="H806" s="51" t="str">
        <f aca="false">IF(OR(NOT(ISNUMBER($G806)),$G806&lt;2,NOT(ISNUMBER($C805)),$C805=0),"",$C806/$C805-1)</f>
        <v/>
      </c>
      <c r="I806" s="52" t="str">
        <f aca="false">IF(AND(ISNUMBER($G806),$G806&gt;=MA_SHORT),AVERAGE(INDEX($C$406:$C806,402-MA_SHORT):$C806),"")</f>
        <v/>
      </c>
      <c r="J806" s="52" t="str">
        <f aca="false">IF(AND(ISNUMBER($G806),$G806&gt;=MA_MED),AVERAGE(INDEX($C$406:$C806,402-MA_MED):$C806),"")</f>
        <v/>
      </c>
      <c r="K806" s="52" t="str">
        <f aca="false">IF(AND(ISNUMBER($G806),$G806&gt;=MA_LONG2),AVERAGE(INDEX($C$406:$C806,402-MA_LONG2):$C806),"")</f>
        <v/>
      </c>
      <c r="L806" s="53" t="str">
        <f aca="false">IF(AND(ISNUMBER($G806),$G806&gt;=21),STDEV(INDEX($H$746:$H806,62-20):$H806)*SQRT(245),"")</f>
        <v/>
      </c>
      <c r="M806" s="52" t="str">
        <f aca="false">IF(AND(ISNUMBER($G806),$G806&gt;=60),MAX(INDEX($D$606:$D806,202-60):$D806),"")</f>
        <v/>
      </c>
      <c r="N806" s="52" t="str">
        <f aca="false">IF(AND(ISNUMBER($G806),$G806&gt;=60),MIN(INDEX($E$606:$E806,202-60):$E806),"")</f>
        <v/>
      </c>
      <c r="O806" s="53" t="str">
        <f aca="false">IF(OR(NOT(ISNUMBER($C806)),NOT(ISNUMBER($M806)),$M806=0),"",$C806/$M806-1)</f>
        <v/>
      </c>
      <c r="P806" s="54"/>
      <c r="Q806" s="53" t="str">
        <f aca="false">IF(NOT(ISNUMBER($P806)),"",IFERROR(PERCENTRANK($P$5:$P$1204,$P806),""))</f>
        <v/>
      </c>
    </row>
    <row r="807" customFormat="false" ht="15" hidden="false" customHeight="false" outlineLevel="0" collapsed="false">
      <c r="A807" s="55"/>
      <c r="B807" s="56"/>
      <c r="C807" s="57"/>
      <c r="D807" s="56"/>
      <c r="E807" s="56"/>
      <c r="F807" s="56"/>
      <c r="G807" s="50" t="str">
        <f aca="false">IF($A807="","",IF(ISNUMBER($G806),$G806+1,1))</f>
        <v/>
      </c>
      <c r="H807" s="51" t="str">
        <f aca="false">IF(OR(NOT(ISNUMBER($G807)),$G807&lt;2,NOT(ISNUMBER($C806)),$C806=0),"",$C807/$C806-1)</f>
        <v/>
      </c>
      <c r="I807" s="52" t="str">
        <f aca="false">IF(AND(ISNUMBER($G807),$G807&gt;=MA_SHORT),AVERAGE(INDEX($C$407:$C807,402-MA_SHORT):$C807),"")</f>
        <v/>
      </c>
      <c r="J807" s="52" t="str">
        <f aca="false">IF(AND(ISNUMBER($G807),$G807&gt;=MA_MED),AVERAGE(INDEX($C$407:$C807,402-MA_MED):$C807),"")</f>
        <v/>
      </c>
      <c r="K807" s="52" t="str">
        <f aca="false">IF(AND(ISNUMBER($G807),$G807&gt;=MA_LONG2),AVERAGE(INDEX($C$407:$C807,402-MA_LONG2):$C807),"")</f>
        <v/>
      </c>
      <c r="L807" s="53" t="str">
        <f aca="false">IF(AND(ISNUMBER($G807),$G807&gt;=21),STDEV(INDEX($H$747:$H807,62-20):$H807)*SQRT(245),"")</f>
        <v/>
      </c>
      <c r="M807" s="52" t="str">
        <f aca="false">IF(AND(ISNUMBER($G807),$G807&gt;=60),MAX(INDEX($D$607:$D807,202-60):$D807),"")</f>
        <v/>
      </c>
      <c r="N807" s="52" t="str">
        <f aca="false">IF(AND(ISNUMBER($G807),$G807&gt;=60),MIN(INDEX($E$607:$E807,202-60):$E807),"")</f>
        <v/>
      </c>
      <c r="O807" s="53" t="str">
        <f aca="false">IF(OR(NOT(ISNUMBER($C807)),NOT(ISNUMBER($M807)),$M807=0),"",$C807/$M807-1)</f>
        <v/>
      </c>
      <c r="P807" s="54"/>
      <c r="Q807" s="53" t="str">
        <f aca="false">IF(NOT(ISNUMBER($P807)),"",IFERROR(PERCENTRANK($P$5:$P$1204,$P807),""))</f>
        <v/>
      </c>
    </row>
    <row r="808" customFormat="false" ht="15" hidden="false" customHeight="false" outlineLevel="0" collapsed="false">
      <c r="A808" s="55"/>
      <c r="B808" s="56"/>
      <c r="C808" s="57"/>
      <c r="D808" s="56"/>
      <c r="E808" s="56"/>
      <c r="F808" s="56"/>
      <c r="G808" s="50" t="str">
        <f aca="false">IF($A808="","",IF(ISNUMBER($G807),$G807+1,1))</f>
        <v/>
      </c>
      <c r="H808" s="51" t="str">
        <f aca="false">IF(OR(NOT(ISNUMBER($G808)),$G808&lt;2,NOT(ISNUMBER($C807)),$C807=0),"",$C808/$C807-1)</f>
        <v/>
      </c>
      <c r="I808" s="52" t="str">
        <f aca="false">IF(AND(ISNUMBER($G808),$G808&gt;=MA_SHORT),AVERAGE(INDEX($C$408:$C808,402-MA_SHORT):$C808),"")</f>
        <v/>
      </c>
      <c r="J808" s="52" t="str">
        <f aca="false">IF(AND(ISNUMBER($G808),$G808&gt;=MA_MED),AVERAGE(INDEX($C$408:$C808,402-MA_MED):$C808),"")</f>
        <v/>
      </c>
      <c r="K808" s="52" t="str">
        <f aca="false">IF(AND(ISNUMBER($G808),$G808&gt;=MA_LONG2),AVERAGE(INDEX($C$408:$C808,402-MA_LONG2):$C808),"")</f>
        <v/>
      </c>
      <c r="L808" s="53" t="str">
        <f aca="false">IF(AND(ISNUMBER($G808),$G808&gt;=21),STDEV(INDEX($H$748:$H808,62-20):$H808)*SQRT(245),"")</f>
        <v/>
      </c>
      <c r="M808" s="52" t="str">
        <f aca="false">IF(AND(ISNUMBER($G808),$G808&gt;=60),MAX(INDEX($D$608:$D808,202-60):$D808),"")</f>
        <v/>
      </c>
      <c r="N808" s="52" t="str">
        <f aca="false">IF(AND(ISNUMBER($G808),$G808&gt;=60),MIN(INDEX($E$608:$E808,202-60):$E808),"")</f>
        <v/>
      </c>
      <c r="O808" s="53" t="str">
        <f aca="false">IF(OR(NOT(ISNUMBER($C808)),NOT(ISNUMBER($M808)),$M808=0),"",$C808/$M808-1)</f>
        <v/>
      </c>
      <c r="P808" s="54"/>
      <c r="Q808" s="53" t="str">
        <f aca="false">IF(NOT(ISNUMBER($P808)),"",IFERROR(PERCENTRANK($P$5:$P$1204,$P808),""))</f>
        <v/>
      </c>
    </row>
    <row r="809" customFormat="false" ht="15" hidden="false" customHeight="false" outlineLevel="0" collapsed="false">
      <c r="A809" s="55"/>
      <c r="B809" s="56"/>
      <c r="C809" s="57"/>
      <c r="D809" s="56"/>
      <c r="E809" s="56"/>
      <c r="F809" s="56"/>
      <c r="G809" s="50" t="str">
        <f aca="false">IF($A809="","",IF(ISNUMBER($G808),$G808+1,1))</f>
        <v/>
      </c>
      <c r="H809" s="51" t="str">
        <f aca="false">IF(OR(NOT(ISNUMBER($G809)),$G809&lt;2,NOT(ISNUMBER($C808)),$C808=0),"",$C809/$C808-1)</f>
        <v/>
      </c>
      <c r="I809" s="52" t="str">
        <f aca="false">IF(AND(ISNUMBER($G809),$G809&gt;=MA_SHORT),AVERAGE(INDEX($C$409:$C809,402-MA_SHORT):$C809),"")</f>
        <v/>
      </c>
      <c r="J809" s="52" t="str">
        <f aca="false">IF(AND(ISNUMBER($G809),$G809&gt;=MA_MED),AVERAGE(INDEX($C$409:$C809,402-MA_MED):$C809),"")</f>
        <v/>
      </c>
      <c r="K809" s="52" t="str">
        <f aca="false">IF(AND(ISNUMBER($G809),$G809&gt;=MA_LONG2),AVERAGE(INDEX($C$409:$C809,402-MA_LONG2):$C809),"")</f>
        <v/>
      </c>
      <c r="L809" s="53" t="str">
        <f aca="false">IF(AND(ISNUMBER($G809),$G809&gt;=21),STDEV(INDEX($H$749:$H809,62-20):$H809)*SQRT(245),"")</f>
        <v/>
      </c>
      <c r="M809" s="52" t="str">
        <f aca="false">IF(AND(ISNUMBER($G809),$G809&gt;=60),MAX(INDEX($D$609:$D809,202-60):$D809),"")</f>
        <v/>
      </c>
      <c r="N809" s="52" t="str">
        <f aca="false">IF(AND(ISNUMBER($G809),$G809&gt;=60),MIN(INDEX($E$609:$E809,202-60):$E809),"")</f>
        <v/>
      </c>
      <c r="O809" s="53" t="str">
        <f aca="false">IF(OR(NOT(ISNUMBER($C809)),NOT(ISNUMBER($M809)),$M809=0),"",$C809/$M809-1)</f>
        <v/>
      </c>
      <c r="P809" s="54"/>
      <c r="Q809" s="53" t="str">
        <f aca="false">IF(NOT(ISNUMBER($P809)),"",IFERROR(PERCENTRANK($P$5:$P$1204,$P809),""))</f>
        <v/>
      </c>
    </row>
    <row r="810" customFormat="false" ht="15" hidden="false" customHeight="false" outlineLevel="0" collapsed="false">
      <c r="A810" s="55"/>
      <c r="B810" s="56"/>
      <c r="C810" s="57"/>
      <c r="D810" s="56"/>
      <c r="E810" s="56"/>
      <c r="F810" s="56"/>
      <c r="G810" s="50" t="str">
        <f aca="false">IF($A810="","",IF(ISNUMBER($G809),$G809+1,1))</f>
        <v/>
      </c>
      <c r="H810" s="51" t="str">
        <f aca="false">IF(OR(NOT(ISNUMBER($G810)),$G810&lt;2,NOT(ISNUMBER($C809)),$C809=0),"",$C810/$C809-1)</f>
        <v/>
      </c>
      <c r="I810" s="52" t="str">
        <f aca="false">IF(AND(ISNUMBER($G810),$G810&gt;=MA_SHORT),AVERAGE(INDEX($C$410:$C810,402-MA_SHORT):$C810),"")</f>
        <v/>
      </c>
      <c r="J810" s="52" t="str">
        <f aca="false">IF(AND(ISNUMBER($G810),$G810&gt;=MA_MED),AVERAGE(INDEX($C$410:$C810,402-MA_MED):$C810),"")</f>
        <v/>
      </c>
      <c r="K810" s="52" t="str">
        <f aca="false">IF(AND(ISNUMBER($G810),$G810&gt;=MA_LONG2),AVERAGE(INDEX($C$410:$C810,402-MA_LONG2):$C810),"")</f>
        <v/>
      </c>
      <c r="L810" s="53" t="str">
        <f aca="false">IF(AND(ISNUMBER($G810),$G810&gt;=21),STDEV(INDEX($H$750:$H810,62-20):$H810)*SQRT(245),"")</f>
        <v/>
      </c>
      <c r="M810" s="52" t="str">
        <f aca="false">IF(AND(ISNUMBER($G810),$G810&gt;=60),MAX(INDEX($D$610:$D810,202-60):$D810),"")</f>
        <v/>
      </c>
      <c r="N810" s="52" t="str">
        <f aca="false">IF(AND(ISNUMBER($G810),$G810&gt;=60),MIN(INDEX($E$610:$E810,202-60):$E810),"")</f>
        <v/>
      </c>
      <c r="O810" s="53" t="str">
        <f aca="false">IF(OR(NOT(ISNUMBER($C810)),NOT(ISNUMBER($M810)),$M810=0),"",$C810/$M810-1)</f>
        <v/>
      </c>
      <c r="P810" s="54"/>
      <c r="Q810" s="53" t="str">
        <f aca="false">IF(NOT(ISNUMBER($P810)),"",IFERROR(PERCENTRANK($P$5:$P$1204,$P810),""))</f>
        <v/>
      </c>
    </row>
    <row r="811" customFormat="false" ht="15" hidden="false" customHeight="false" outlineLevel="0" collapsed="false">
      <c r="A811" s="55"/>
      <c r="B811" s="56"/>
      <c r="C811" s="57"/>
      <c r="D811" s="56"/>
      <c r="E811" s="56"/>
      <c r="F811" s="56"/>
      <c r="G811" s="50" t="str">
        <f aca="false">IF($A811="","",IF(ISNUMBER($G810),$G810+1,1))</f>
        <v/>
      </c>
      <c r="H811" s="51" t="str">
        <f aca="false">IF(OR(NOT(ISNUMBER($G811)),$G811&lt;2,NOT(ISNUMBER($C810)),$C810=0),"",$C811/$C810-1)</f>
        <v/>
      </c>
      <c r="I811" s="52" t="str">
        <f aca="false">IF(AND(ISNUMBER($G811),$G811&gt;=MA_SHORT),AVERAGE(INDEX($C$411:$C811,402-MA_SHORT):$C811),"")</f>
        <v/>
      </c>
      <c r="J811" s="52" t="str">
        <f aca="false">IF(AND(ISNUMBER($G811),$G811&gt;=MA_MED),AVERAGE(INDEX($C$411:$C811,402-MA_MED):$C811),"")</f>
        <v/>
      </c>
      <c r="K811" s="52" t="str">
        <f aca="false">IF(AND(ISNUMBER($G811),$G811&gt;=MA_LONG2),AVERAGE(INDEX($C$411:$C811,402-MA_LONG2):$C811),"")</f>
        <v/>
      </c>
      <c r="L811" s="53" t="str">
        <f aca="false">IF(AND(ISNUMBER($G811),$G811&gt;=21),STDEV(INDEX($H$751:$H811,62-20):$H811)*SQRT(245),"")</f>
        <v/>
      </c>
      <c r="M811" s="52" t="str">
        <f aca="false">IF(AND(ISNUMBER($G811),$G811&gt;=60),MAX(INDEX($D$611:$D811,202-60):$D811),"")</f>
        <v/>
      </c>
      <c r="N811" s="52" t="str">
        <f aca="false">IF(AND(ISNUMBER($G811),$G811&gt;=60),MIN(INDEX($E$611:$E811,202-60):$E811),"")</f>
        <v/>
      </c>
      <c r="O811" s="53" t="str">
        <f aca="false">IF(OR(NOT(ISNUMBER($C811)),NOT(ISNUMBER($M811)),$M811=0),"",$C811/$M811-1)</f>
        <v/>
      </c>
      <c r="P811" s="54"/>
      <c r="Q811" s="53" t="str">
        <f aca="false">IF(NOT(ISNUMBER($P811)),"",IFERROR(PERCENTRANK($P$5:$P$1204,$P811),""))</f>
        <v/>
      </c>
    </row>
    <row r="812" customFormat="false" ht="15" hidden="false" customHeight="false" outlineLevel="0" collapsed="false">
      <c r="A812" s="55"/>
      <c r="B812" s="56"/>
      <c r="C812" s="57"/>
      <c r="D812" s="56"/>
      <c r="E812" s="56"/>
      <c r="F812" s="56"/>
      <c r="G812" s="50" t="str">
        <f aca="false">IF($A812="","",IF(ISNUMBER($G811),$G811+1,1))</f>
        <v/>
      </c>
      <c r="H812" s="51" t="str">
        <f aca="false">IF(OR(NOT(ISNUMBER($G812)),$G812&lt;2,NOT(ISNUMBER($C811)),$C811=0),"",$C812/$C811-1)</f>
        <v/>
      </c>
      <c r="I812" s="52" t="str">
        <f aca="false">IF(AND(ISNUMBER($G812),$G812&gt;=MA_SHORT),AVERAGE(INDEX($C$412:$C812,402-MA_SHORT):$C812),"")</f>
        <v/>
      </c>
      <c r="J812" s="52" t="str">
        <f aca="false">IF(AND(ISNUMBER($G812),$G812&gt;=MA_MED),AVERAGE(INDEX($C$412:$C812,402-MA_MED):$C812),"")</f>
        <v/>
      </c>
      <c r="K812" s="52" t="str">
        <f aca="false">IF(AND(ISNUMBER($G812),$G812&gt;=MA_LONG2),AVERAGE(INDEX($C$412:$C812,402-MA_LONG2):$C812),"")</f>
        <v/>
      </c>
      <c r="L812" s="53" t="str">
        <f aca="false">IF(AND(ISNUMBER($G812),$G812&gt;=21),STDEV(INDEX($H$752:$H812,62-20):$H812)*SQRT(245),"")</f>
        <v/>
      </c>
      <c r="M812" s="52" t="str">
        <f aca="false">IF(AND(ISNUMBER($G812),$G812&gt;=60),MAX(INDEX($D$612:$D812,202-60):$D812),"")</f>
        <v/>
      </c>
      <c r="N812" s="52" t="str">
        <f aca="false">IF(AND(ISNUMBER($G812),$G812&gt;=60),MIN(INDEX($E$612:$E812,202-60):$E812),"")</f>
        <v/>
      </c>
      <c r="O812" s="53" t="str">
        <f aca="false">IF(OR(NOT(ISNUMBER($C812)),NOT(ISNUMBER($M812)),$M812=0),"",$C812/$M812-1)</f>
        <v/>
      </c>
      <c r="P812" s="54"/>
      <c r="Q812" s="53" t="str">
        <f aca="false">IF(NOT(ISNUMBER($P812)),"",IFERROR(PERCENTRANK($P$5:$P$1204,$P812),""))</f>
        <v/>
      </c>
    </row>
    <row r="813" customFormat="false" ht="15" hidden="false" customHeight="false" outlineLevel="0" collapsed="false">
      <c r="A813" s="55"/>
      <c r="B813" s="56"/>
      <c r="C813" s="57"/>
      <c r="D813" s="56"/>
      <c r="E813" s="56"/>
      <c r="F813" s="56"/>
      <c r="G813" s="50" t="str">
        <f aca="false">IF($A813="","",IF(ISNUMBER($G812),$G812+1,1))</f>
        <v/>
      </c>
      <c r="H813" s="51" t="str">
        <f aca="false">IF(OR(NOT(ISNUMBER($G813)),$G813&lt;2,NOT(ISNUMBER($C812)),$C812=0),"",$C813/$C812-1)</f>
        <v/>
      </c>
      <c r="I813" s="52" t="str">
        <f aca="false">IF(AND(ISNUMBER($G813),$G813&gt;=MA_SHORT),AVERAGE(INDEX($C$413:$C813,402-MA_SHORT):$C813),"")</f>
        <v/>
      </c>
      <c r="J813" s="52" t="str">
        <f aca="false">IF(AND(ISNUMBER($G813),$G813&gt;=MA_MED),AVERAGE(INDEX($C$413:$C813,402-MA_MED):$C813),"")</f>
        <v/>
      </c>
      <c r="K813" s="52" t="str">
        <f aca="false">IF(AND(ISNUMBER($G813),$G813&gt;=MA_LONG2),AVERAGE(INDEX($C$413:$C813,402-MA_LONG2):$C813),"")</f>
        <v/>
      </c>
      <c r="L813" s="53" t="str">
        <f aca="false">IF(AND(ISNUMBER($G813),$G813&gt;=21),STDEV(INDEX($H$753:$H813,62-20):$H813)*SQRT(245),"")</f>
        <v/>
      </c>
      <c r="M813" s="52" t="str">
        <f aca="false">IF(AND(ISNUMBER($G813),$G813&gt;=60),MAX(INDEX($D$613:$D813,202-60):$D813),"")</f>
        <v/>
      </c>
      <c r="N813" s="52" t="str">
        <f aca="false">IF(AND(ISNUMBER($G813),$G813&gt;=60),MIN(INDEX($E$613:$E813,202-60):$E813),"")</f>
        <v/>
      </c>
      <c r="O813" s="53" t="str">
        <f aca="false">IF(OR(NOT(ISNUMBER($C813)),NOT(ISNUMBER($M813)),$M813=0),"",$C813/$M813-1)</f>
        <v/>
      </c>
      <c r="P813" s="54"/>
      <c r="Q813" s="53" t="str">
        <f aca="false">IF(NOT(ISNUMBER($P813)),"",IFERROR(PERCENTRANK($P$5:$P$1204,$P813),""))</f>
        <v/>
      </c>
    </row>
    <row r="814" customFormat="false" ht="15" hidden="false" customHeight="false" outlineLevel="0" collapsed="false">
      <c r="A814" s="55"/>
      <c r="B814" s="56"/>
      <c r="C814" s="57"/>
      <c r="D814" s="56"/>
      <c r="E814" s="56"/>
      <c r="F814" s="56"/>
      <c r="G814" s="50" t="str">
        <f aca="false">IF($A814="","",IF(ISNUMBER($G813),$G813+1,1))</f>
        <v/>
      </c>
      <c r="H814" s="51" t="str">
        <f aca="false">IF(OR(NOT(ISNUMBER($G814)),$G814&lt;2,NOT(ISNUMBER($C813)),$C813=0),"",$C814/$C813-1)</f>
        <v/>
      </c>
      <c r="I814" s="52" t="str">
        <f aca="false">IF(AND(ISNUMBER($G814),$G814&gt;=MA_SHORT),AVERAGE(INDEX($C$414:$C814,402-MA_SHORT):$C814),"")</f>
        <v/>
      </c>
      <c r="J814" s="52" t="str">
        <f aca="false">IF(AND(ISNUMBER($G814),$G814&gt;=MA_MED),AVERAGE(INDEX($C$414:$C814,402-MA_MED):$C814),"")</f>
        <v/>
      </c>
      <c r="K814" s="52" t="str">
        <f aca="false">IF(AND(ISNUMBER($G814),$G814&gt;=MA_LONG2),AVERAGE(INDEX($C$414:$C814,402-MA_LONG2):$C814),"")</f>
        <v/>
      </c>
      <c r="L814" s="53" t="str">
        <f aca="false">IF(AND(ISNUMBER($G814),$G814&gt;=21),STDEV(INDEX($H$754:$H814,62-20):$H814)*SQRT(245),"")</f>
        <v/>
      </c>
      <c r="M814" s="52" t="str">
        <f aca="false">IF(AND(ISNUMBER($G814),$G814&gt;=60),MAX(INDEX($D$614:$D814,202-60):$D814),"")</f>
        <v/>
      </c>
      <c r="N814" s="52" t="str">
        <f aca="false">IF(AND(ISNUMBER($G814),$G814&gt;=60),MIN(INDEX($E$614:$E814,202-60):$E814),"")</f>
        <v/>
      </c>
      <c r="O814" s="53" t="str">
        <f aca="false">IF(OR(NOT(ISNUMBER($C814)),NOT(ISNUMBER($M814)),$M814=0),"",$C814/$M814-1)</f>
        <v/>
      </c>
      <c r="P814" s="54"/>
      <c r="Q814" s="53" t="str">
        <f aca="false">IF(NOT(ISNUMBER($P814)),"",IFERROR(PERCENTRANK($P$5:$P$1204,$P814),""))</f>
        <v/>
      </c>
    </row>
    <row r="815" customFormat="false" ht="15" hidden="false" customHeight="false" outlineLevel="0" collapsed="false">
      <c r="A815" s="55"/>
      <c r="B815" s="56"/>
      <c r="C815" s="57"/>
      <c r="D815" s="56"/>
      <c r="E815" s="56"/>
      <c r="F815" s="56"/>
      <c r="G815" s="50" t="str">
        <f aca="false">IF($A815="","",IF(ISNUMBER($G814),$G814+1,1))</f>
        <v/>
      </c>
      <c r="H815" s="51" t="str">
        <f aca="false">IF(OR(NOT(ISNUMBER($G815)),$G815&lt;2,NOT(ISNUMBER($C814)),$C814=0),"",$C815/$C814-1)</f>
        <v/>
      </c>
      <c r="I815" s="52" t="str">
        <f aca="false">IF(AND(ISNUMBER($G815),$G815&gt;=MA_SHORT),AVERAGE(INDEX($C$415:$C815,402-MA_SHORT):$C815),"")</f>
        <v/>
      </c>
      <c r="J815" s="52" t="str">
        <f aca="false">IF(AND(ISNUMBER($G815),$G815&gt;=MA_MED),AVERAGE(INDEX($C$415:$C815,402-MA_MED):$C815),"")</f>
        <v/>
      </c>
      <c r="K815" s="52" t="str">
        <f aca="false">IF(AND(ISNUMBER($G815),$G815&gt;=MA_LONG2),AVERAGE(INDEX($C$415:$C815,402-MA_LONG2):$C815),"")</f>
        <v/>
      </c>
      <c r="L815" s="53" t="str">
        <f aca="false">IF(AND(ISNUMBER($G815),$G815&gt;=21),STDEV(INDEX($H$755:$H815,62-20):$H815)*SQRT(245),"")</f>
        <v/>
      </c>
      <c r="M815" s="52" t="str">
        <f aca="false">IF(AND(ISNUMBER($G815),$G815&gt;=60),MAX(INDEX($D$615:$D815,202-60):$D815),"")</f>
        <v/>
      </c>
      <c r="N815" s="52" t="str">
        <f aca="false">IF(AND(ISNUMBER($G815),$G815&gt;=60),MIN(INDEX($E$615:$E815,202-60):$E815),"")</f>
        <v/>
      </c>
      <c r="O815" s="53" t="str">
        <f aca="false">IF(OR(NOT(ISNUMBER($C815)),NOT(ISNUMBER($M815)),$M815=0),"",$C815/$M815-1)</f>
        <v/>
      </c>
      <c r="P815" s="54"/>
      <c r="Q815" s="53" t="str">
        <f aca="false">IF(NOT(ISNUMBER($P815)),"",IFERROR(PERCENTRANK($P$5:$P$1204,$P815),""))</f>
        <v/>
      </c>
    </row>
    <row r="816" customFormat="false" ht="15" hidden="false" customHeight="false" outlineLevel="0" collapsed="false">
      <c r="A816" s="55"/>
      <c r="B816" s="56"/>
      <c r="C816" s="57"/>
      <c r="D816" s="56"/>
      <c r="E816" s="56"/>
      <c r="F816" s="56"/>
      <c r="G816" s="50" t="str">
        <f aca="false">IF($A816="","",IF(ISNUMBER($G815),$G815+1,1))</f>
        <v/>
      </c>
      <c r="H816" s="51" t="str">
        <f aca="false">IF(OR(NOT(ISNUMBER($G816)),$G816&lt;2,NOT(ISNUMBER($C815)),$C815=0),"",$C816/$C815-1)</f>
        <v/>
      </c>
      <c r="I816" s="52" t="str">
        <f aca="false">IF(AND(ISNUMBER($G816),$G816&gt;=MA_SHORT),AVERAGE(INDEX($C$416:$C816,402-MA_SHORT):$C816),"")</f>
        <v/>
      </c>
      <c r="J816" s="52" t="str">
        <f aca="false">IF(AND(ISNUMBER($G816),$G816&gt;=MA_MED),AVERAGE(INDEX($C$416:$C816,402-MA_MED):$C816),"")</f>
        <v/>
      </c>
      <c r="K816" s="52" t="str">
        <f aca="false">IF(AND(ISNUMBER($G816),$G816&gt;=MA_LONG2),AVERAGE(INDEX($C$416:$C816,402-MA_LONG2):$C816),"")</f>
        <v/>
      </c>
      <c r="L816" s="53" t="str">
        <f aca="false">IF(AND(ISNUMBER($G816),$G816&gt;=21),STDEV(INDEX($H$756:$H816,62-20):$H816)*SQRT(245),"")</f>
        <v/>
      </c>
      <c r="M816" s="52" t="str">
        <f aca="false">IF(AND(ISNUMBER($G816),$G816&gt;=60),MAX(INDEX($D$616:$D816,202-60):$D816),"")</f>
        <v/>
      </c>
      <c r="N816" s="52" t="str">
        <f aca="false">IF(AND(ISNUMBER($G816),$G816&gt;=60),MIN(INDEX($E$616:$E816,202-60):$E816),"")</f>
        <v/>
      </c>
      <c r="O816" s="53" t="str">
        <f aca="false">IF(OR(NOT(ISNUMBER($C816)),NOT(ISNUMBER($M816)),$M816=0),"",$C816/$M816-1)</f>
        <v/>
      </c>
      <c r="P816" s="54"/>
      <c r="Q816" s="53" t="str">
        <f aca="false">IF(NOT(ISNUMBER($P816)),"",IFERROR(PERCENTRANK($P$5:$P$1204,$P816),""))</f>
        <v/>
      </c>
    </row>
    <row r="817" customFormat="false" ht="15" hidden="false" customHeight="false" outlineLevel="0" collapsed="false">
      <c r="A817" s="55"/>
      <c r="B817" s="56"/>
      <c r="C817" s="57"/>
      <c r="D817" s="56"/>
      <c r="E817" s="56"/>
      <c r="F817" s="56"/>
      <c r="G817" s="50" t="str">
        <f aca="false">IF($A817="","",IF(ISNUMBER($G816),$G816+1,1))</f>
        <v/>
      </c>
      <c r="H817" s="51" t="str">
        <f aca="false">IF(OR(NOT(ISNUMBER($G817)),$G817&lt;2,NOT(ISNUMBER($C816)),$C816=0),"",$C817/$C816-1)</f>
        <v/>
      </c>
      <c r="I817" s="52" t="str">
        <f aca="false">IF(AND(ISNUMBER($G817),$G817&gt;=MA_SHORT),AVERAGE(INDEX($C$417:$C817,402-MA_SHORT):$C817),"")</f>
        <v/>
      </c>
      <c r="J817" s="52" t="str">
        <f aca="false">IF(AND(ISNUMBER($G817),$G817&gt;=MA_MED),AVERAGE(INDEX($C$417:$C817,402-MA_MED):$C817),"")</f>
        <v/>
      </c>
      <c r="K817" s="52" t="str">
        <f aca="false">IF(AND(ISNUMBER($G817),$G817&gt;=MA_LONG2),AVERAGE(INDEX($C$417:$C817,402-MA_LONG2):$C817),"")</f>
        <v/>
      </c>
      <c r="L817" s="53" t="str">
        <f aca="false">IF(AND(ISNUMBER($G817),$G817&gt;=21),STDEV(INDEX($H$757:$H817,62-20):$H817)*SQRT(245),"")</f>
        <v/>
      </c>
      <c r="M817" s="52" t="str">
        <f aca="false">IF(AND(ISNUMBER($G817),$G817&gt;=60),MAX(INDEX($D$617:$D817,202-60):$D817),"")</f>
        <v/>
      </c>
      <c r="N817" s="52" t="str">
        <f aca="false">IF(AND(ISNUMBER($G817),$G817&gt;=60),MIN(INDEX($E$617:$E817,202-60):$E817),"")</f>
        <v/>
      </c>
      <c r="O817" s="53" t="str">
        <f aca="false">IF(OR(NOT(ISNUMBER($C817)),NOT(ISNUMBER($M817)),$M817=0),"",$C817/$M817-1)</f>
        <v/>
      </c>
      <c r="P817" s="54"/>
      <c r="Q817" s="53" t="str">
        <f aca="false">IF(NOT(ISNUMBER($P817)),"",IFERROR(PERCENTRANK($P$5:$P$1204,$P817),""))</f>
        <v/>
      </c>
    </row>
    <row r="818" customFormat="false" ht="15" hidden="false" customHeight="false" outlineLevel="0" collapsed="false">
      <c r="A818" s="55"/>
      <c r="B818" s="56"/>
      <c r="C818" s="57"/>
      <c r="D818" s="56"/>
      <c r="E818" s="56"/>
      <c r="F818" s="56"/>
      <c r="G818" s="50" t="str">
        <f aca="false">IF($A818="","",IF(ISNUMBER($G817),$G817+1,1))</f>
        <v/>
      </c>
      <c r="H818" s="51" t="str">
        <f aca="false">IF(OR(NOT(ISNUMBER($G818)),$G818&lt;2,NOT(ISNUMBER($C817)),$C817=0),"",$C818/$C817-1)</f>
        <v/>
      </c>
      <c r="I818" s="52" t="str">
        <f aca="false">IF(AND(ISNUMBER($G818),$G818&gt;=MA_SHORT),AVERAGE(INDEX($C$418:$C818,402-MA_SHORT):$C818),"")</f>
        <v/>
      </c>
      <c r="J818" s="52" t="str">
        <f aca="false">IF(AND(ISNUMBER($G818),$G818&gt;=MA_MED),AVERAGE(INDEX($C$418:$C818,402-MA_MED):$C818),"")</f>
        <v/>
      </c>
      <c r="K818" s="52" t="str">
        <f aca="false">IF(AND(ISNUMBER($G818),$G818&gt;=MA_LONG2),AVERAGE(INDEX($C$418:$C818,402-MA_LONG2):$C818),"")</f>
        <v/>
      </c>
      <c r="L818" s="53" t="str">
        <f aca="false">IF(AND(ISNUMBER($G818),$G818&gt;=21),STDEV(INDEX($H$758:$H818,62-20):$H818)*SQRT(245),"")</f>
        <v/>
      </c>
      <c r="M818" s="52" t="str">
        <f aca="false">IF(AND(ISNUMBER($G818),$G818&gt;=60),MAX(INDEX($D$618:$D818,202-60):$D818),"")</f>
        <v/>
      </c>
      <c r="N818" s="52" t="str">
        <f aca="false">IF(AND(ISNUMBER($G818),$G818&gt;=60),MIN(INDEX($E$618:$E818,202-60):$E818),"")</f>
        <v/>
      </c>
      <c r="O818" s="53" t="str">
        <f aca="false">IF(OR(NOT(ISNUMBER($C818)),NOT(ISNUMBER($M818)),$M818=0),"",$C818/$M818-1)</f>
        <v/>
      </c>
      <c r="P818" s="54"/>
      <c r="Q818" s="53" t="str">
        <f aca="false">IF(NOT(ISNUMBER($P818)),"",IFERROR(PERCENTRANK($P$5:$P$1204,$P818),""))</f>
        <v/>
      </c>
    </row>
    <row r="819" customFormat="false" ht="15" hidden="false" customHeight="false" outlineLevel="0" collapsed="false">
      <c r="A819" s="55"/>
      <c r="B819" s="56"/>
      <c r="C819" s="57"/>
      <c r="D819" s="56"/>
      <c r="E819" s="56"/>
      <c r="F819" s="56"/>
      <c r="G819" s="50" t="str">
        <f aca="false">IF($A819="","",IF(ISNUMBER($G818),$G818+1,1))</f>
        <v/>
      </c>
      <c r="H819" s="51" t="str">
        <f aca="false">IF(OR(NOT(ISNUMBER($G819)),$G819&lt;2,NOT(ISNUMBER($C818)),$C818=0),"",$C819/$C818-1)</f>
        <v/>
      </c>
      <c r="I819" s="52" t="str">
        <f aca="false">IF(AND(ISNUMBER($G819),$G819&gt;=MA_SHORT),AVERAGE(INDEX($C$419:$C819,402-MA_SHORT):$C819),"")</f>
        <v/>
      </c>
      <c r="J819" s="52" t="str">
        <f aca="false">IF(AND(ISNUMBER($G819),$G819&gt;=MA_MED),AVERAGE(INDEX($C$419:$C819,402-MA_MED):$C819),"")</f>
        <v/>
      </c>
      <c r="K819" s="52" t="str">
        <f aca="false">IF(AND(ISNUMBER($G819),$G819&gt;=MA_LONG2),AVERAGE(INDEX($C$419:$C819,402-MA_LONG2):$C819),"")</f>
        <v/>
      </c>
      <c r="L819" s="53" t="str">
        <f aca="false">IF(AND(ISNUMBER($G819),$G819&gt;=21),STDEV(INDEX($H$759:$H819,62-20):$H819)*SQRT(245),"")</f>
        <v/>
      </c>
      <c r="M819" s="52" t="str">
        <f aca="false">IF(AND(ISNUMBER($G819),$G819&gt;=60),MAX(INDEX($D$619:$D819,202-60):$D819),"")</f>
        <v/>
      </c>
      <c r="N819" s="52" t="str">
        <f aca="false">IF(AND(ISNUMBER($G819),$G819&gt;=60),MIN(INDEX($E$619:$E819,202-60):$E819),"")</f>
        <v/>
      </c>
      <c r="O819" s="53" t="str">
        <f aca="false">IF(OR(NOT(ISNUMBER($C819)),NOT(ISNUMBER($M819)),$M819=0),"",$C819/$M819-1)</f>
        <v/>
      </c>
      <c r="P819" s="54"/>
      <c r="Q819" s="53" t="str">
        <f aca="false">IF(NOT(ISNUMBER($P819)),"",IFERROR(PERCENTRANK($P$5:$P$1204,$P819),""))</f>
        <v/>
      </c>
    </row>
    <row r="820" customFormat="false" ht="15" hidden="false" customHeight="false" outlineLevel="0" collapsed="false">
      <c r="A820" s="55"/>
      <c r="B820" s="56"/>
      <c r="C820" s="57"/>
      <c r="D820" s="56"/>
      <c r="E820" s="56"/>
      <c r="F820" s="56"/>
      <c r="G820" s="50" t="str">
        <f aca="false">IF($A820="","",IF(ISNUMBER($G819),$G819+1,1))</f>
        <v/>
      </c>
      <c r="H820" s="51" t="str">
        <f aca="false">IF(OR(NOT(ISNUMBER($G820)),$G820&lt;2,NOT(ISNUMBER($C819)),$C819=0),"",$C820/$C819-1)</f>
        <v/>
      </c>
      <c r="I820" s="52" t="str">
        <f aca="false">IF(AND(ISNUMBER($G820),$G820&gt;=MA_SHORT),AVERAGE(INDEX($C$420:$C820,402-MA_SHORT):$C820),"")</f>
        <v/>
      </c>
      <c r="J820" s="52" t="str">
        <f aca="false">IF(AND(ISNUMBER($G820),$G820&gt;=MA_MED),AVERAGE(INDEX($C$420:$C820,402-MA_MED):$C820),"")</f>
        <v/>
      </c>
      <c r="K820" s="52" t="str">
        <f aca="false">IF(AND(ISNUMBER($G820),$G820&gt;=MA_LONG2),AVERAGE(INDEX($C$420:$C820,402-MA_LONG2):$C820),"")</f>
        <v/>
      </c>
      <c r="L820" s="53" t="str">
        <f aca="false">IF(AND(ISNUMBER($G820),$G820&gt;=21),STDEV(INDEX($H$760:$H820,62-20):$H820)*SQRT(245),"")</f>
        <v/>
      </c>
      <c r="M820" s="52" t="str">
        <f aca="false">IF(AND(ISNUMBER($G820),$G820&gt;=60),MAX(INDEX($D$620:$D820,202-60):$D820),"")</f>
        <v/>
      </c>
      <c r="N820" s="52" t="str">
        <f aca="false">IF(AND(ISNUMBER($G820),$G820&gt;=60),MIN(INDEX($E$620:$E820,202-60):$E820),"")</f>
        <v/>
      </c>
      <c r="O820" s="53" t="str">
        <f aca="false">IF(OR(NOT(ISNUMBER($C820)),NOT(ISNUMBER($M820)),$M820=0),"",$C820/$M820-1)</f>
        <v/>
      </c>
      <c r="P820" s="54"/>
      <c r="Q820" s="53" t="str">
        <f aca="false">IF(NOT(ISNUMBER($P820)),"",IFERROR(PERCENTRANK($P$5:$P$1204,$P820),""))</f>
        <v/>
      </c>
    </row>
    <row r="821" customFormat="false" ht="15" hidden="false" customHeight="false" outlineLevel="0" collapsed="false">
      <c r="A821" s="55"/>
      <c r="B821" s="56"/>
      <c r="C821" s="57"/>
      <c r="D821" s="56"/>
      <c r="E821" s="56"/>
      <c r="F821" s="56"/>
      <c r="G821" s="50" t="str">
        <f aca="false">IF($A821="","",IF(ISNUMBER($G820),$G820+1,1))</f>
        <v/>
      </c>
      <c r="H821" s="51" t="str">
        <f aca="false">IF(OR(NOT(ISNUMBER($G821)),$G821&lt;2,NOT(ISNUMBER($C820)),$C820=0),"",$C821/$C820-1)</f>
        <v/>
      </c>
      <c r="I821" s="52" t="str">
        <f aca="false">IF(AND(ISNUMBER($G821),$G821&gt;=MA_SHORT),AVERAGE(INDEX($C$421:$C821,402-MA_SHORT):$C821),"")</f>
        <v/>
      </c>
      <c r="J821" s="52" t="str">
        <f aca="false">IF(AND(ISNUMBER($G821),$G821&gt;=MA_MED),AVERAGE(INDEX($C$421:$C821,402-MA_MED):$C821),"")</f>
        <v/>
      </c>
      <c r="K821" s="52" t="str">
        <f aca="false">IF(AND(ISNUMBER($G821),$G821&gt;=MA_LONG2),AVERAGE(INDEX($C$421:$C821,402-MA_LONG2):$C821),"")</f>
        <v/>
      </c>
      <c r="L821" s="53" t="str">
        <f aca="false">IF(AND(ISNUMBER($G821),$G821&gt;=21),STDEV(INDEX($H$761:$H821,62-20):$H821)*SQRT(245),"")</f>
        <v/>
      </c>
      <c r="M821" s="52" t="str">
        <f aca="false">IF(AND(ISNUMBER($G821),$G821&gt;=60),MAX(INDEX($D$621:$D821,202-60):$D821),"")</f>
        <v/>
      </c>
      <c r="N821" s="52" t="str">
        <f aca="false">IF(AND(ISNUMBER($G821),$G821&gt;=60),MIN(INDEX($E$621:$E821,202-60):$E821),"")</f>
        <v/>
      </c>
      <c r="O821" s="53" t="str">
        <f aca="false">IF(OR(NOT(ISNUMBER($C821)),NOT(ISNUMBER($M821)),$M821=0),"",$C821/$M821-1)</f>
        <v/>
      </c>
      <c r="P821" s="54"/>
      <c r="Q821" s="53" t="str">
        <f aca="false">IF(NOT(ISNUMBER($P821)),"",IFERROR(PERCENTRANK($P$5:$P$1204,$P821),""))</f>
        <v/>
      </c>
    </row>
    <row r="822" customFormat="false" ht="15" hidden="false" customHeight="false" outlineLevel="0" collapsed="false">
      <c r="A822" s="55"/>
      <c r="B822" s="56"/>
      <c r="C822" s="57"/>
      <c r="D822" s="56"/>
      <c r="E822" s="56"/>
      <c r="F822" s="56"/>
      <c r="G822" s="50" t="str">
        <f aca="false">IF($A822="","",IF(ISNUMBER($G821),$G821+1,1))</f>
        <v/>
      </c>
      <c r="H822" s="51" t="str">
        <f aca="false">IF(OR(NOT(ISNUMBER($G822)),$G822&lt;2,NOT(ISNUMBER($C821)),$C821=0),"",$C822/$C821-1)</f>
        <v/>
      </c>
      <c r="I822" s="52" t="str">
        <f aca="false">IF(AND(ISNUMBER($G822),$G822&gt;=MA_SHORT),AVERAGE(INDEX($C$422:$C822,402-MA_SHORT):$C822),"")</f>
        <v/>
      </c>
      <c r="J822" s="52" t="str">
        <f aca="false">IF(AND(ISNUMBER($G822),$G822&gt;=MA_MED),AVERAGE(INDEX($C$422:$C822,402-MA_MED):$C822),"")</f>
        <v/>
      </c>
      <c r="K822" s="52" t="str">
        <f aca="false">IF(AND(ISNUMBER($G822),$G822&gt;=MA_LONG2),AVERAGE(INDEX($C$422:$C822,402-MA_LONG2):$C822),"")</f>
        <v/>
      </c>
      <c r="L822" s="53" t="str">
        <f aca="false">IF(AND(ISNUMBER($G822),$G822&gt;=21),STDEV(INDEX($H$762:$H822,62-20):$H822)*SQRT(245),"")</f>
        <v/>
      </c>
      <c r="M822" s="52" t="str">
        <f aca="false">IF(AND(ISNUMBER($G822),$G822&gt;=60),MAX(INDEX($D$622:$D822,202-60):$D822),"")</f>
        <v/>
      </c>
      <c r="N822" s="52" t="str">
        <f aca="false">IF(AND(ISNUMBER($G822),$G822&gt;=60),MIN(INDEX($E$622:$E822,202-60):$E822),"")</f>
        <v/>
      </c>
      <c r="O822" s="53" t="str">
        <f aca="false">IF(OR(NOT(ISNUMBER($C822)),NOT(ISNUMBER($M822)),$M822=0),"",$C822/$M822-1)</f>
        <v/>
      </c>
      <c r="P822" s="54"/>
      <c r="Q822" s="53" t="str">
        <f aca="false">IF(NOT(ISNUMBER($P822)),"",IFERROR(PERCENTRANK($P$5:$P$1204,$P822),""))</f>
        <v/>
      </c>
    </row>
    <row r="823" customFormat="false" ht="15" hidden="false" customHeight="false" outlineLevel="0" collapsed="false">
      <c r="A823" s="55"/>
      <c r="B823" s="56"/>
      <c r="C823" s="57"/>
      <c r="D823" s="56"/>
      <c r="E823" s="56"/>
      <c r="F823" s="56"/>
      <c r="G823" s="50" t="str">
        <f aca="false">IF($A823="","",IF(ISNUMBER($G822),$G822+1,1))</f>
        <v/>
      </c>
      <c r="H823" s="51" t="str">
        <f aca="false">IF(OR(NOT(ISNUMBER($G823)),$G823&lt;2,NOT(ISNUMBER($C822)),$C822=0),"",$C823/$C822-1)</f>
        <v/>
      </c>
      <c r="I823" s="52" t="str">
        <f aca="false">IF(AND(ISNUMBER($G823),$G823&gt;=MA_SHORT),AVERAGE(INDEX($C$423:$C823,402-MA_SHORT):$C823),"")</f>
        <v/>
      </c>
      <c r="J823" s="52" t="str">
        <f aca="false">IF(AND(ISNUMBER($G823),$G823&gt;=MA_MED),AVERAGE(INDEX($C$423:$C823,402-MA_MED):$C823),"")</f>
        <v/>
      </c>
      <c r="K823" s="52" t="str">
        <f aca="false">IF(AND(ISNUMBER($G823),$G823&gt;=MA_LONG2),AVERAGE(INDEX($C$423:$C823,402-MA_LONG2):$C823),"")</f>
        <v/>
      </c>
      <c r="L823" s="53" t="str">
        <f aca="false">IF(AND(ISNUMBER($G823),$G823&gt;=21),STDEV(INDEX($H$763:$H823,62-20):$H823)*SQRT(245),"")</f>
        <v/>
      </c>
      <c r="M823" s="52" t="str">
        <f aca="false">IF(AND(ISNUMBER($G823),$G823&gt;=60),MAX(INDEX($D$623:$D823,202-60):$D823),"")</f>
        <v/>
      </c>
      <c r="N823" s="52" t="str">
        <f aca="false">IF(AND(ISNUMBER($G823),$G823&gt;=60),MIN(INDEX($E$623:$E823,202-60):$E823),"")</f>
        <v/>
      </c>
      <c r="O823" s="53" t="str">
        <f aca="false">IF(OR(NOT(ISNUMBER($C823)),NOT(ISNUMBER($M823)),$M823=0),"",$C823/$M823-1)</f>
        <v/>
      </c>
      <c r="P823" s="54"/>
      <c r="Q823" s="53" t="str">
        <f aca="false">IF(NOT(ISNUMBER($P823)),"",IFERROR(PERCENTRANK($P$5:$P$1204,$P823),""))</f>
        <v/>
      </c>
    </row>
    <row r="824" customFormat="false" ht="15" hidden="false" customHeight="false" outlineLevel="0" collapsed="false">
      <c r="A824" s="55"/>
      <c r="B824" s="56"/>
      <c r="C824" s="57"/>
      <c r="D824" s="56"/>
      <c r="E824" s="56"/>
      <c r="F824" s="56"/>
      <c r="G824" s="50" t="str">
        <f aca="false">IF($A824="","",IF(ISNUMBER($G823),$G823+1,1))</f>
        <v/>
      </c>
      <c r="H824" s="51" t="str">
        <f aca="false">IF(OR(NOT(ISNUMBER($G824)),$G824&lt;2,NOT(ISNUMBER($C823)),$C823=0),"",$C824/$C823-1)</f>
        <v/>
      </c>
      <c r="I824" s="52" t="str">
        <f aca="false">IF(AND(ISNUMBER($G824),$G824&gt;=MA_SHORT),AVERAGE(INDEX($C$424:$C824,402-MA_SHORT):$C824),"")</f>
        <v/>
      </c>
      <c r="J824" s="52" t="str">
        <f aca="false">IF(AND(ISNUMBER($G824),$G824&gt;=MA_MED),AVERAGE(INDEX($C$424:$C824,402-MA_MED):$C824),"")</f>
        <v/>
      </c>
      <c r="K824" s="52" t="str">
        <f aca="false">IF(AND(ISNUMBER($G824),$G824&gt;=MA_LONG2),AVERAGE(INDEX($C$424:$C824,402-MA_LONG2):$C824),"")</f>
        <v/>
      </c>
      <c r="L824" s="53" t="str">
        <f aca="false">IF(AND(ISNUMBER($G824),$G824&gt;=21),STDEV(INDEX($H$764:$H824,62-20):$H824)*SQRT(245),"")</f>
        <v/>
      </c>
      <c r="M824" s="52" t="str">
        <f aca="false">IF(AND(ISNUMBER($G824),$G824&gt;=60),MAX(INDEX($D$624:$D824,202-60):$D824),"")</f>
        <v/>
      </c>
      <c r="N824" s="52" t="str">
        <f aca="false">IF(AND(ISNUMBER($G824),$G824&gt;=60),MIN(INDEX($E$624:$E824,202-60):$E824),"")</f>
        <v/>
      </c>
      <c r="O824" s="53" t="str">
        <f aca="false">IF(OR(NOT(ISNUMBER($C824)),NOT(ISNUMBER($M824)),$M824=0),"",$C824/$M824-1)</f>
        <v/>
      </c>
      <c r="P824" s="54"/>
      <c r="Q824" s="53" t="str">
        <f aca="false">IF(NOT(ISNUMBER($P824)),"",IFERROR(PERCENTRANK($P$5:$P$1204,$P824),""))</f>
        <v/>
      </c>
    </row>
    <row r="825" customFormat="false" ht="15" hidden="false" customHeight="false" outlineLevel="0" collapsed="false">
      <c r="A825" s="55"/>
      <c r="B825" s="56"/>
      <c r="C825" s="57"/>
      <c r="D825" s="56"/>
      <c r="E825" s="56"/>
      <c r="F825" s="56"/>
      <c r="G825" s="50" t="str">
        <f aca="false">IF($A825="","",IF(ISNUMBER($G824),$G824+1,1))</f>
        <v/>
      </c>
      <c r="H825" s="51" t="str">
        <f aca="false">IF(OR(NOT(ISNUMBER($G825)),$G825&lt;2,NOT(ISNUMBER($C824)),$C824=0),"",$C825/$C824-1)</f>
        <v/>
      </c>
      <c r="I825" s="52" t="str">
        <f aca="false">IF(AND(ISNUMBER($G825),$G825&gt;=MA_SHORT),AVERAGE(INDEX($C$425:$C825,402-MA_SHORT):$C825),"")</f>
        <v/>
      </c>
      <c r="J825" s="52" t="str">
        <f aca="false">IF(AND(ISNUMBER($G825),$G825&gt;=MA_MED),AVERAGE(INDEX($C$425:$C825,402-MA_MED):$C825),"")</f>
        <v/>
      </c>
      <c r="K825" s="52" t="str">
        <f aca="false">IF(AND(ISNUMBER($G825),$G825&gt;=MA_LONG2),AVERAGE(INDEX($C$425:$C825,402-MA_LONG2):$C825),"")</f>
        <v/>
      </c>
      <c r="L825" s="53" t="str">
        <f aca="false">IF(AND(ISNUMBER($G825),$G825&gt;=21),STDEV(INDEX($H$765:$H825,62-20):$H825)*SQRT(245),"")</f>
        <v/>
      </c>
      <c r="M825" s="52" t="str">
        <f aca="false">IF(AND(ISNUMBER($G825),$G825&gt;=60),MAX(INDEX($D$625:$D825,202-60):$D825),"")</f>
        <v/>
      </c>
      <c r="N825" s="52" t="str">
        <f aca="false">IF(AND(ISNUMBER($G825),$G825&gt;=60),MIN(INDEX($E$625:$E825,202-60):$E825),"")</f>
        <v/>
      </c>
      <c r="O825" s="53" t="str">
        <f aca="false">IF(OR(NOT(ISNUMBER($C825)),NOT(ISNUMBER($M825)),$M825=0),"",$C825/$M825-1)</f>
        <v/>
      </c>
      <c r="P825" s="54"/>
      <c r="Q825" s="53" t="str">
        <f aca="false">IF(NOT(ISNUMBER($P825)),"",IFERROR(PERCENTRANK($P$5:$P$1204,$P825),""))</f>
        <v/>
      </c>
    </row>
    <row r="826" customFormat="false" ht="15" hidden="false" customHeight="false" outlineLevel="0" collapsed="false">
      <c r="A826" s="55"/>
      <c r="B826" s="56"/>
      <c r="C826" s="57"/>
      <c r="D826" s="56"/>
      <c r="E826" s="56"/>
      <c r="F826" s="56"/>
      <c r="G826" s="50" t="str">
        <f aca="false">IF($A826="","",IF(ISNUMBER($G825),$G825+1,1))</f>
        <v/>
      </c>
      <c r="H826" s="51" t="str">
        <f aca="false">IF(OR(NOT(ISNUMBER($G826)),$G826&lt;2,NOT(ISNUMBER($C825)),$C825=0),"",$C826/$C825-1)</f>
        <v/>
      </c>
      <c r="I826" s="52" t="str">
        <f aca="false">IF(AND(ISNUMBER($G826),$G826&gt;=MA_SHORT),AVERAGE(INDEX($C$426:$C826,402-MA_SHORT):$C826),"")</f>
        <v/>
      </c>
      <c r="J826" s="52" t="str">
        <f aca="false">IF(AND(ISNUMBER($G826),$G826&gt;=MA_MED),AVERAGE(INDEX($C$426:$C826,402-MA_MED):$C826),"")</f>
        <v/>
      </c>
      <c r="K826" s="52" t="str">
        <f aca="false">IF(AND(ISNUMBER($G826),$G826&gt;=MA_LONG2),AVERAGE(INDEX($C$426:$C826,402-MA_LONG2):$C826),"")</f>
        <v/>
      </c>
      <c r="L826" s="53" t="str">
        <f aca="false">IF(AND(ISNUMBER($G826),$G826&gt;=21),STDEV(INDEX($H$766:$H826,62-20):$H826)*SQRT(245),"")</f>
        <v/>
      </c>
      <c r="M826" s="52" t="str">
        <f aca="false">IF(AND(ISNUMBER($G826),$G826&gt;=60),MAX(INDEX($D$626:$D826,202-60):$D826),"")</f>
        <v/>
      </c>
      <c r="N826" s="52" t="str">
        <f aca="false">IF(AND(ISNUMBER($G826),$G826&gt;=60),MIN(INDEX($E$626:$E826,202-60):$E826),"")</f>
        <v/>
      </c>
      <c r="O826" s="53" t="str">
        <f aca="false">IF(OR(NOT(ISNUMBER($C826)),NOT(ISNUMBER($M826)),$M826=0),"",$C826/$M826-1)</f>
        <v/>
      </c>
      <c r="P826" s="54"/>
      <c r="Q826" s="53" t="str">
        <f aca="false">IF(NOT(ISNUMBER($P826)),"",IFERROR(PERCENTRANK($P$5:$P$1204,$P826),""))</f>
        <v/>
      </c>
    </row>
    <row r="827" customFormat="false" ht="15" hidden="false" customHeight="false" outlineLevel="0" collapsed="false">
      <c r="A827" s="55"/>
      <c r="B827" s="56"/>
      <c r="C827" s="57"/>
      <c r="D827" s="56"/>
      <c r="E827" s="56"/>
      <c r="F827" s="56"/>
      <c r="G827" s="50" t="str">
        <f aca="false">IF($A827="","",IF(ISNUMBER($G826),$G826+1,1))</f>
        <v/>
      </c>
      <c r="H827" s="51" t="str">
        <f aca="false">IF(OR(NOT(ISNUMBER($G827)),$G827&lt;2,NOT(ISNUMBER($C826)),$C826=0),"",$C827/$C826-1)</f>
        <v/>
      </c>
      <c r="I827" s="52" t="str">
        <f aca="false">IF(AND(ISNUMBER($G827),$G827&gt;=MA_SHORT),AVERAGE(INDEX($C$427:$C827,402-MA_SHORT):$C827),"")</f>
        <v/>
      </c>
      <c r="J827" s="52" t="str">
        <f aca="false">IF(AND(ISNUMBER($G827),$G827&gt;=MA_MED),AVERAGE(INDEX($C$427:$C827,402-MA_MED):$C827),"")</f>
        <v/>
      </c>
      <c r="K827" s="52" t="str">
        <f aca="false">IF(AND(ISNUMBER($G827),$G827&gt;=MA_LONG2),AVERAGE(INDEX($C$427:$C827,402-MA_LONG2):$C827),"")</f>
        <v/>
      </c>
      <c r="L827" s="53" t="str">
        <f aca="false">IF(AND(ISNUMBER($G827),$G827&gt;=21),STDEV(INDEX($H$767:$H827,62-20):$H827)*SQRT(245),"")</f>
        <v/>
      </c>
      <c r="M827" s="52" t="str">
        <f aca="false">IF(AND(ISNUMBER($G827),$G827&gt;=60),MAX(INDEX($D$627:$D827,202-60):$D827),"")</f>
        <v/>
      </c>
      <c r="N827" s="52" t="str">
        <f aca="false">IF(AND(ISNUMBER($G827),$G827&gt;=60),MIN(INDEX($E$627:$E827,202-60):$E827),"")</f>
        <v/>
      </c>
      <c r="O827" s="53" t="str">
        <f aca="false">IF(OR(NOT(ISNUMBER($C827)),NOT(ISNUMBER($M827)),$M827=0),"",$C827/$M827-1)</f>
        <v/>
      </c>
      <c r="P827" s="54"/>
      <c r="Q827" s="53" t="str">
        <f aca="false">IF(NOT(ISNUMBER($P827)),"",IFERROR(PERCENTRANK($P$5:$P$1204,$P827),""))</f>
        <v/>
      </c>
    </row>
    <row r="828" customFormat="false" ht="15" hidden="false" customHeight="false" outlineLevel="0" collapsed="false">
      <c r="A828" s="55"/>
      <c r="B828" s="56"/>
      <c r="C828" s="57"/>
      <c r="D828" s="56"/>
      <c r="E828" s="56"/>
      <c r="F828" s="56"/>
      <c r="G828" s="50" t="str">
        <f aca="false">IF($A828="","",IF(ISNUMBER($G827),$G827+1,1))</f>
        <v/>
      </c>
      <c r="H828" s="51" t="str">
        <f aca="false">IF(OR(NOT(ISNUMBER($G828)),$G828&lt;2,NOT(ISNUMBER($C827)),$C827=0),"",$C828/$C827-1)</f>
        <v/>
      </c>
      <c r="I828" s="52" t="str">
        <f aca="false">IF(AND(ISNUMBER($G828),$G828&gt;=MA_SHORT),AVERAGE(INDEX($C$428:$C828,402-MA_SHORT):$C828),"")</f>
        <v/>
      </c>
      <c r="J828" s="52" t="str">
        <f aca="false">IF(AND(ISNUMBER($G828),$G828&gt;=MA_MED),AVERAGE(INDEX($C$428:$C828,402-MA_MED):$C828),"")</f>
        <v/>
      </c>
      <c r="K828" s="52" t="str">
        <f aca="false">IF(AND(ISNUMBER($G828),$G828&gt;=MA_LONG2),AVERAGE(INDEX($C$428:$C828,402-MA_LONG2):$C828),"")</f>
        <v/>
      </c>
      <c r="L828" s="53" t="str">
        <f aca="false">IF(AND(ISNUMBER($G828),$G828&gt;=21),STDEV(INDEX($H$768:$H828,62-20):$H828)*SQRT(245),"")</f>
        <v/>
      </c>
      <c r="M828" s="52" t="str">
        <f aca="false">IF(AND(ISNUMBER($G828),$G828&gt;=60),MAX(INDEX($D$628:$D828,202-60):$D828),"")</f>
        <v/>
      </c>
      <c r="N828" s="52" t="str">
        <f aca="false">IF(AND(ISNUMBER($G828),$G828&gt;=60),MIN(INDEX($E$628:$E828,202-60):$E828),"")</f>
        <v/>
      </c>
      <c r="O828" s="53" t="str">
        <f aca="false">IF(OR(NOT(ISNUMBER($C828)),NOT(ISNUMBER($M828)),$M828=0),"",$C828/$M828-1)</f>
        <v/>
      </c>
      <c r="P828" s="54"/>
      <c r="Q828" s="53" t="str">
        <f aca="false">IF(NOT(ISNUMBER($P828)),"",IFERROR(PERCENTRANK($P$5:$P$1204,$P828),""))</f>
        <v/>
      </c>
    </row>
    <row r="829" customFormat="false" ht="15" hidden="false" customHeight="false" outlineLevel="0" collapsed="false">
      <c r="A829" s="55"/>
      <c r="B829" s="56"/>
      <c r="C829" s="57"/>
      <c r="D829" s="56"/>
      <c r="E829" s="56"/>
      <c r="F829" s="56"/>
      <c r="G829" s="50" t="str">
        <f aca="false">IF($A829="","",IF(ISNUMBER($G828),$G828+1,1))</f>
        <v/>
      </c>
      <c r="H829" s="51" t="str">
        <f aca="false">IF(OR(NOT(ISNUMBER($G829)),$G829&lt;2,NOT(ISNUMBER($C828)),$C828=0),"",$C829/$C828-1)</f>
        <v/>
      </c>
      <c r="I829" s="52" t="str">
        <f aca="false">IF(AND(ISNUMBER($G829),$G829&gt;=MA_SHORT),AVERAGE(INDEX($C$429:$C829,402-MA_SHORT):$C829),"")</f>
        <v/>
      </c>
      <c r="J829" s="52" t="str">
        <f aca="false">IF(AND(ISNUMBER($G829),$G829&gt;=MA_MED),AVERAGE(INDEX($C$429:$C829,402-MA_MED):$C829),"")</f>
        <v/>
      </c>
      <c r="K829" s="52" t="str">
        <f aca="false">IF(AND(ISNUMBER($G829),$G829&gt;=MA_LONG2),AVERAGE(INDEX($C$429:$C829,402-MA_LONG2):$C829),"")</f>
        <v/>
      </c>
      <c r="L829" s="53" t="str">
        <f aca="false">IF(AND(ISNUMBER($G829),$G829&gt;=21),STDEV(INDEX($H$769:$H829,62-20):$H829)*SQRT(245),"")</f>
        <v/>
      </c>
      <c r="M829" s="52" t="str">
        <f aca="false">IF(AND(ISNUMBER($G829),$G829&gt;=60),MAX(INDEX($D$629:$D829,202-60):$D829),"")</f>
        <v/>
      </c>
      <c r="N829" s="52" t="str">
        <f aca="false">IF(AND(ISNUMBER($G829),$G829&gt;=60),MIN(INDEX($E$629:$E829,202-60):$E829),"")</f>
        <v/>
      </c>
      <c r="O829" s="53" t="str">
        <f aca="false">IF(OR(NOT(ISNUMBER($C829)),NOT(ISNUMBER($M829)),$M829=0),"",$C829/$M829-1)</f>
        <v/>
      </c>
      <c r="P829" s="54"/>
      <c r="Q829" s="53" t="str">
        <f aca="false">IF(NOT(ISNUMBER($P829)),"",IFERROR(PERCENTRANK($P$5:$P$1204,$P829),""))</f>
        <v/>
      </c>
    </row>
    <row r="830" customFormat="false" ht="15" hidden="false" customHeight="false" outlineLevel="0" collapsed="false">
      <c r="A830" s="55"/>
      <c r="B830" s="56"/>
      <c r="C830" s="57"/>
      <c r="D830" s="56"/>
      <c r="E830" s="56"/>
      <c r="F830" s="56"/>
      <c r="G830" s="50" t="str">
        <f aca="false">IF($A830="","",IF(ISNUMBER($G829),$G829+1,1))</f>
        <v/>
      </c>
      <c r="H830" s="51" t="str">
        <f aca="false">IF(OR(NOT(ISNUMBER($G830)),$G830&lt;2,NOT(ISNUMBER($C829)),$C829=0),"",$C830/$C829-1)</f>
        <v/>
      </c>
      <c r="I830" s="52" t="str">
        <f aca="false">IF(AND(ISNUMBER($G830),$G830&gt;=MA_SHORT),AVERAGE(INDEX($C$430:$C830,402-MA_SHORT):$C830),"")</f>
        <v/>
      </c>
      <c r="J830" s="52" t="str">
        <f aca="false">IF(AND(ISNUMBER($G830),$G830&gt;=MA_MED),AVERAGE(INDEX($C$430:$C830,402-MA_MED):$C830),"")</f>
        <v/>
      </c>
      <c r="K830" s="52" t="str">
        <f aca="false">IF(AND(ISNUMBER($G830),$G830&gt;=MA_LONG2),AVERAGE(INDEX($C$430:$C830,402-MA_LONG2):$C830),"")</f>
        <v/>
      </c>
      <c r="L830" s="53" t="str">
        <f aca="false">IF(AND(ISNUMBER($G830),$G830&gt;=21),STDEV(INDEX($H$770:$H830,62-20):$H830)*SQRT(245),"")</f>
        <v/>
      </c>
      <c r="M830" s="52" t="str">
        <f aca="false">IF(AND(ISNUMBER($G830),$G830&gt;=60),MAX(INDEX($D$630:$D830,202-60):$D830),"")</f>
        <v/>
      </c>
      <c r="N830" s="52" t="str">
        <f aca="false">IF(AND(ISNUMBER($G830),$G830&gt;=60),MIN(INDEX($E$630:$E830,202-60):$E830),"")</f>
        <v/>
      </c>
      <c r="O830" s="53" t="str">
        <f aca="false">IF(OR(NOT(ISNUMBER($C830)),NOT(ISNUMBER($M830)),$M830=0),"",$C830/$M830-1)</f>
        <v/>
      </c>
      <c r="P830" s="54"/>
      <c r="Q830" s="53" t="str">
        <f aca="false">IF(NOT(ISNUMBER($P830)),"",IFERROR(PERCENTRANK($P$5:$P$1204,$P830),""))</f>
        <v/>
      </c>
    </row>
    <row r="831" customFormat="false" ht="15" hidden="false" customHeight="false" outlineLevel="0" collapsed="false">
      <c r="A831" s="55"/>
      <c r="B831" s="56"/>
      <c r="C831" s="57"/>
      <c r="D831" s="56"/>
      <c r="E831" s="56"/>
      <c r="F831" s="56"/>
      <c r="G831" s="50" t="str">
        <f aca="false">IF($A831="","",IF(ISNUMBER($G830),$G830+1,1))</f>
        <v/>
      </c>
      <c r="H831" s="51" t="str">
        <f aca="false">IF(OR(NOT(ISNUMBER($G831)),$G831&lt;2,NOT(ISNUMBER($C830)),$C830=0),"",$C831/$C830-1)</f>
        <v/>
      </c>
      <c r="I831" s="52" t="str">
        <f aca="false">IF(AND(ISNUMBER($G831),$G831&gt;=MA_SHORT),AVERAGE(INDEX($C$431:$C831,402-MA_SHORT):$C831),"")</f>
        <v/>
      </c>
      <c r="J831" s="52" t="str">
        <f aca="false">IF(AND(ISNUMBER($G831),$G831&gt;=MA_MED),AVERAGE(INDEX($C$431:$C831,402-MA_MED):$C831),"")</f>
        <v/>
      </c>
      <c r="K831" s="52" t="str">
        <f aca="false">IF(AND(ISNUMBER($G831),$G831&gt;=MA_LONG2),AVERAGE(INDEX($C$431:$C831,402-MA_LONG2):$C831),"")</f>
        <v/>
      </c>
      <c r="L831" s="53" t="str">
        <f aca="false">IF(AND(ISNUMBER($G831),$G831&gt;=21),STDEV(INDEX($H$771:$H831,62-20):$H831)*SQRT(245),"")</f>
        <v/>
      </c>
      <c r="M831" s="52" t="str">
        <f aca="false">IF(AND(ISNUMBER($G831),$G831&gt;=60),MAX(INDEX($D$631:$D831,202-60):$D831),"")</f>
        <v/>
      </c>
      <c r="N831" s="52" t="str">
        <f aca="false">IF(AND(ISNUMBER($G831),$G831&gt;=60),MIN(INDEX($E$631:$E831,202-60):$E831),"")</f>
        <v/>
      </c>
      <c r="O831" s="53" t="str">
        <f aca="false">IF(OR(NOT(ISNUMBER($C831)),NOT(ISNUMBER($M831)),$M831=0),"",$C831/$M831-1)</f>
        <v/>
      </c>
      <c r="P831" s="54"/>
      <c r="Q831" s="53" t="str">
        <f aca="false">IF(NOT(ISNUMBER($P831)),"",IFERROR(PERCENTRANK($P$5:$P$1204,$P831),""))</f>
        <v/>
      </c>
    </row>
    <row r="832" customFormat="false" ht="15" hidden="false" customHeight="false" outlineLevel="0" collapsed="false">
      <c r="A832" s="55"/>
      <c r="B832" s="56"/>
      <c r="C832" s="57"/>
      <c r="D832" s="56"/>
      <c r="E832" s="56"/>
      <c r="F832" s="56"/>
      <c r="G832" s="50" t="str">
        <f aca="false">IF($A832="","",IF(ISNUMBER($G831),$G831+1,1))</f>
        <v/>
      </c>
      <c r="H832" s="51" t="str">
        <f aca="false">IF(OR(NOT(ISNUMBER($G832)),$G832&lt;2,NOT(ISNUMBER($C831)),$C831=0),"",$C832/$C831-1)</f>
        <v/>
      </c>
      <c r="I832" s="52" t="str">
        <f aca="false">IF(AND(ISNUMBER($G832),$G832&gt;=MA_SHORT),AVERAGE(INDEX($C$432:$C832,402-MA_SHORT):$C832),"")</f>
        <v/>
      </c>
      <c r="J832" s="52" t="str">
        <f aca="false">IF(AND(ISNUMBER($G832),$G832&gt;=MA_MED),AVERAGE(INDEX($C$432:$C832,402-MA_MED):$C832),"")</f>
        <v/>
      </c>
      <c r="K832" s="52" t="str">
        <f aca="false">IF(AND(ISNUMBER($G832),$G832&gt;=MA_LONG2),AVERAGE(INDEX($C$432:$C832,402-MA_LONG2):$C832),"")</f>
        <v/>
      </c>
      <c r="L832" s="53" t="str">
        <f aca="false">IF(AND(ISNUMBER($G832),$G832&gt;=21),STDEV(INDEX($H$772:$H832,62-20):$H832)*SQRT(245),"")</f>
        <v/>
      </c>
      <c r="M832" s="52" t="str">
        <f aca="false">IF(AND(ISNUMBER($G832),$G832&gt;=60),MAX(INDEX($D$632:$D832,202-60):$D832),"")</f>
        <v/>
      </c>
      <c r="N832" s="52" t="str">
        <f aca="false">IF(AND(ISNUMBER($G832),$G832&gt;=60),MIN(INDEX($E$632:$E832,202-60):$E832),"")</f>
        <v/>
      </c>
      <c r="O832" s="53" t="str">
        <f aca="false">IF(OR(NOT(ISNUMBER($C832)),NOT(ISNUMBER($M832)),$M832=0),"",$C832/$M832-1)</f>
        <v/>
      </c>
      <c r="P832" s="54"/>
      <c r="Q832" s="53" t="str">
        <f aca="false">IF(NOT(ISNUMBER($P832)),"",IFERROR(PERCENTRANK($P$5:$P$1204,$P832),""))</f>
        <v/>
      </c>
    </row>
    <row r="833" customFormat="false" ht="15" hidden="false" customHeight="false" outlineLevel="0" collapsed="false">
      <c r="A833" s="55"/>
      <c r="B833" s="56"/>
      <c r="C833" s="57"/>
      <c r="D833" s="56"/>
      <c r="E833" s="56"/>
      <c r="F833" s="56"/>
      <c r="G833" s="50" t="str">
        <f aca="false">IF($A833="","",IF(ISNUMBER($G832),$G832+1,1))</f>
        <v/>
      </c>
      <c r="H833" s="51" t="str">
        <f aca="false">IF(OR(NOT(ISNUMBER($G833)),$G833&lt;2,NOT(ISNUMBER($C832)),$C832=0),"",$C833/$C832-1)</f>
        <v/>
      </c>
      <c r="I833" s="52" t="str">
        <f aca="false">IF(AND(ISNUMBER($G833),$G833&gt;=MA_SHORT),AVERAGE(INDEX($C$433:$C833,402-MA_SHORT):$C833),"")</f>
        <v/>
      </c>
      <c r="J833" s="52" t="str">
        <f aca="false">IF(AND(ISNUMBER($G833),$G833&gt;=MA_MED),AVERAGE(INDEX($C$433:$C833,402-MA_MED):$C833),"")</f>
        <v/>
      </c>
      <c r="K833" s="52" t="str">
        <f aca="false">IF(AND(ISNUMBER($G833),$G833&gt;=MA_LONG2),AVERAGE(INDEX($C$433:$C833,402-MA_LONG2):$C833),"")</f>
        <v/>
      </c>
      <c r="L833" s="53" t="str">
        <f aca="false">IF(AND(ISNUMBER($G833),$G833&gt;=21),STDEV(INDEX($H$773:$H833,62-20):$H833)*SQRT(245),"")</f>
        <v/>
      </c>
      <c r="M833" s="52" t="str">
        <f aca="false">IF(AND(ISNUMBER($G833),$G833&gt;=60),MAX(INDEX($D$633:$D833,202-60):$D833),"")</f>
        <v/>
      </c>
      <c r="N833" s="52" t="str">
        <f aca="false">IF(AND(ISNUMBER($G833),$G833&gt;=60),MIN(INDEX($E$633:$E833,202-60):$E833),"")</f>
        <v/>
      </c>
      <c r="O833" s="53" t="str">
        <f aca="false">IF(OR(NOT(ISNUMBER($C833)),NOT(ISNUMBER($M833)),$M833=0),"",$C833/$M833-1)</f>
        <v/>
      </c>
      <c r="P833" s="54"/>
      <c r="Q833" s="53" t="str">
        <f aca="false">IF(NOT(ISNUMBER($P833)),"",IFERROR(PERCENTRANK($P$5:$P$1204,$P833),""))</f>
        <v/>
      </c>
    </row>
    <row r="834" customFormat="false" ht="15" hidden="false" customHeight="false" outlineLevel="0" collapsed="false">
      <c r="A834" s="55"/>
      <c r="B834" s="56"/>
      <c r="C834" s="57"/>
      <c r="D834" s="56"/>
      <c r="E834" s="56"/>
      <c r="F834" s="56"/>
      <c r="G834" s="50" t="str">
        <f aca="false">IF($A834="","",IF(ISNUMBER($G833),$G833+1,1))</f>
        <v/>
      </c>
      <c r="H834" s="51" t="str">
        <f aca="false">IF(OR(NOT(ISNUMBER($G834)),$G834&lt;2,NOT(ISNUMBER($C833)),$C833=0),"",$C834/$C833-1)</f>
        <v/>
      </c>
      <c r="I834" s="52" t="str">
        <f aca="false">IF(AND(ISNUMBER($G834),$G834&gt;=MA_SHORT),AVERAGE(INDEX($C$434:$C834,402-MA_SHORT):$C834),"")</f>
        <v/>
      </c>
      <c r="J834" s="52" t="str">
        <f aca="false">IF(AND(ISNUMBER($G834),$G834&gt;=MA_MED),AVERAGE(INDEX($C$434:$C834,402-MA_MED):$C834),"")</f>
        <v/>
      </c>
      <c r="K834" s="52" t="str">
        <f aca="false">IF(AND(ISNUMBER($G834),$G834&gt;=MA_LONG2),AVERAGE(INDEX($C$434:$C834,402-MA_LONG2):$C834),"")</f>
        <v/>
      </c>
      <c r="L834" s="53" t="str">
        <f aca="false">IF(AND(ISNUMBER($G834),$G834&gt;=21),STDEV(INDEX($H$774:$H834,62-20):$H834)*SQRT(245),"")</f>
        <v/>
      </c>
      <c r="M834" s="52" t="str">
        <f aca="false">IF(AND(ISNUMBER($G834),$G834&gt;=60),MAX(INDEX($D$634:$D834,202-60):$D834),"")</f>
        <v/>
      </c>
      <c r="N834" s="52" t="str">
        <f aca="false">IF(AND(ISNUMBER($G834),$G834&gt;=60),MIN(INDEX($E$634:$E834,202-60):$E834),"")</f>
        <v/>
      </c>
      <c r="O834" s="53" t="str">
        <f aca="false">IF(OR(NOT(ISNUMBER($C834)),NOT(ISNUMBER($M834)),$M834=0),"",$C834/$M834-1)</f>
        <v/>
      </c>
      <c r="P834" s="54"/>
      <c r="Q834" s="53" t="str">
        <f aca="false">IF(NOT(ISNUMBER($P834)),"",IFERROR(PERCENTRANK($P$5:$P$1204,$P834),""))</f>
        <v/>
      </c>
    </row>
    <row r="835" customFormat="false" ht="15" hidden="false" customHeight="false" outlineLevel="0" collapsed="false">
      <c r="A835" s="55"/>
      <c r="B835" s="56"/>
      <c r="C835" s="57"/>
      <c r="D835" s="56"/>
      <c r="E835" s="56"/>
      <c r="F835" s="56"/>
      <c r="G835" s="50" t="str">
        <f aca="false">IF($A835="","",IF(ISNUMBER($G834),$G834+1,1))</f>
        <v/>
      </c>
      <c r="H835" s="51" t="str">
        <f aca="false">IF(OR(NOT(ISNUMBER($G835)),$G835&lt;2,NOT(ISNUMBER($C834)),$C834=0),"",$C835/$C834-1)</f>
        <v/>
      </c>
      <c r="I835" s="52" t="str">
        <f aca="false">IF(AND(ISNUMBER($G835),$G835&gt;=MA_SHORT),AVERAGE(INDEX($C$435:$C835,402-MA_SHORT):$C835),"")</f>
        <v/>
      </c>
      <c r="J835" s="52" t="str">
        <f aca="false">IF(AND(ISNUMBER($G835),$G835&gt;=MA_MED),AVERAGE(INDEX($C$435:$C835,402-MA_MED):$C835),"")</f>
        <v/>
      </c>
      <c r="K835" s="52" t="str">
        <f aca="false">IF(AND(ISNUMBER($G835),$G835&gt;=MA_LONG2),AVERAGE(INDEX($C$435:$C835,402-MA_LONG2):$C835),"")</f>
        <v/>
      </c>
      <c r="L835" s="53" t="str">
        <f aca="false">IF(AND(ISNUMBER($G835),$G835&gt;=21),STDEV(INDEX($H$775:$H835,62-20):$H835)*SQRT(245),"")</f>
        <v/>
      </c>
      <c r="M835" s="52" t="str">
        <f aca="false">IF(AND(ISNUMBER($G835),$G835&gt;=60),MAX(INDEX($D$635:$D835,202-60):$D835),"")</f>
        <v/>
      </c>
      <c r="N835" s="52" t="str">
        <f aca="false">IF(AND(ISNUMBER($G835),$G835&gt;=60),MIN(INDEX($E$635:$E835,202-60):$E835),"")</f>
        <v/>
      </c>
      <c r="O835" s="53" t="str">
        <f aca="false">IF(OR(NOT(ISNUMBER($C835)),NOT(ISNUMBER($M835)),$M835=0),"",$C835/$M835-1)</f>
        <v/>
      </c>
      <c r="P835" s="54"/>
      <c r="Q835" s="53" t="str">
        <f aca="false">IF(NOT(ISNUMBER($P835)),"",IFERROR(PERCENTRANK($P$5:$P$1204,$P835),""))</f>
        <v/>
      </c>
    </row>
    <row r="836" customFormat="false" ht="15" hidden="false" customHeight="false" outlineLevel="0" collapsed="false">
      <c r="A836" s="55"/>
      <c r="B836" s="56"/>
      <c r="C836" s="57"/>
      <c r="D836" s="56"/>
      <c r="E836" s="56"/>
      <c r="F836" s="56"/>
      <c r="G836" s="50" t="str">
        <f aca="false">IF($A836="","",IF(ISNUMBER($G835),$G835+1,1))</f>
        <v/>
      </c>
      <c r="H836" s="51" t="str">
        <f aca="false">IF(OR(NOT(ISNUMBER($G836)),$G836&lt;2,NOT(ISNUMBER($C835)),$C835=0),"",$C836/$C835-1)</f>
        <v/>
      </c>
      <c r="I836" s="52" t="str">
        <f aca="false">IF(AND(ISNUMBER($G836),$G836&gt;=MA_SHORT),AVERAGE(INDEX($C$436:$C836,402-MA_SHORT):$C836),"")</f>
        <v/>
      </c>
      <c r="J836" s="52" t="str">
        <f aca="false">IF(AND(ISNUMBER($G836),$G836&gt;=MA_MED),AVERAGE(INDEX($C$436:$C836,402-MA_MED):$C836),"")</f>
        <v/>
      </c>
      <c r="K836" s="52" t="str">
        <f aca="false">IF(AND(ISNUMBER($G836),$G836&gt;=MA_LONG2),AVERAGE(INDEX($C$436:$C836,402-MA_LONG2):$C836),"")</f>
        <v/>
      </c>
      <c r="L836" s="53" t="str">
        <f aca="false">IF(AND(ISNUMBER($G836),$G836&gt;=21),STDEV(INDEX($H$776:$H836,62-20):$H836)*SQRT(245),"")</f>
        <v/>
      </c>
      <c r="M836" s="52" t="str">
        <f aca="false">IF(AND(ISNUMBER($G836),$G836&gt;=60),MAX(INDEX($D$636:$D836,202-60):$D836),"")</f>
        <v/>
      </c>
      <c r="N836" s="52" t="str">
        <f aca="false">IF(AND(ISNUMBER($G836),$G836&gt;=60),MIN(INDEX($E$636:$E836,202-60):$E836),"")</f>
        <v/>
      </c>
      <c r="O836" s="53" t="str">
        <f aca="false">IF(OR(NOT(ISNUMBER($C836)),NOT(ISNUMBER($M836)),$M836=0),"",$C836/$M836-1)</f>
        <v/>
      </c>
      <c r="P836" s="54"/>
      <c r="Q836" s="53" t="str">
        <f aca="false">IF(NOT(ISNUMBER($P836)),"",IFERROR(PERCENTRANK($P$5:$P$1204,$P836),""))</f>
        <v/>
      </c>
    </row>
    <row r="837" customFormat="false" ht="15" hidden="false" customHeight="false" outlineLevel="0" collapsed="false">
      <c r="A837" s="55"/>
      <c r="B837" s="56"/>
      <c r="C837" s="57"/>
      <c r="D837" s="56"/>
      <c r="E837" s="56"/>
      <c r="F837" s="56"/>
      <c r="G837" s="50" t="str">
        <f aca="false">IF($A837="","",IF(ISNUMBER($G836),$G836+1,1))</f>
        <v/>
      </c>
      <c r="H837" s="51" t="str">
        <f aca="false">IF(OR(NOT(ISNUMBER($G837)),$G837&lt;2,NOT(ISNUMBER($C836)),$C836=0),"",$C837/$C836-1)</f>
        <v/>
      </c>
      <c r="I837" s="52" t="str">
        <f aca="false">IF(AND(ISNUMBER($G837),$G837&gt;=MA_SHORT),AVERAGE(INDEX($C$437:$C837,402-MA_SHORT):$C837),"")</f>
        <v/>
      </c>
      <c r="J837" s="52" t="str">
        <f aca="false">IF(AND(ISNUMBER($G837),$G837&gt;=MA_MED),AVERAGE(INDEX($C$437:$C837,402-MA_MED):$C837),"")</f>
        <v/>
      </c>
      <c r="K837" s="52" t="str">
        <f aca="false">IF(AND(ISNUMBER($G837),$G837&gt;=MA_LONG2),AVERAGE(INDEX($C$437:$C837,402-MA_LONG2):$C837),"")</f>
        <v/>
      </c>
      <c r="L837" s="53" t="str">
        <f aca="false">IF(AND(ISNUMBER($G837),$G837&gt;=21),STDEV(INDEX($H$777:$H837,62-20):$H837)*SQRT(245),"")</f>
        <v/>
      </c>
      <c r="M837" s="52" t="str">
        <f aca="false">IF(AND(ISNUMBER($G837),$G837&gt;=60),MAX(INDEX($D$637:$D837,202-60):$D837),"")</f>
        <v/>
      </c>
      <c r="N837" s="52" t="str">
        <f aca="false">IF(AND(ISNUMBER($G837),$G837&gt;=60),MIN(INDEX($E$637:$E837,202-60):$E837),"")</f>
        <v/>
      </c>
      <c r="O837" s="53" t="str">
        <f aca="false">IF(OR(NOT(ISNUMBER($C837)),NOT(ISNUMBER($M837)),$M837=0),"",$C837/$M837-1)</f>
        <v/>
      </c>
      <c r="P837" s="54"/>
      <c r="Q837" s="53" t="str">
        <f aca="false">IF(NOT(ISNUMBER($P837)),"",IFERROR(PERCENTRANK($P$5:$P$1204,$P837),""))</f>
        <v/>
      </c>
    </row>
    <row r="838" customFormat="false" ht="15" hidden="false" customHeight="false" outlineLevel="0" collapsed="false">
      <c r="A838" s="55"/>
      <c r="B838" s="56"/>
      <c r="C838" s="57"/>
      <c r="D838" s="56"/>
      <c r="E838" s="56"/>
      <c r="F838" s="56"/>
      <c r="G838" s="50" t="str">
        <f aca="false">IF($A838="","",IF(ISNUMBER($G837),$G837+1,1))</f>
        <v/>
      </c>
      <c r="H838" s="51" t="str">
        <f aca="false">IF(OR(NOT(ISNUMBER($G838)),$G838&lt;2,NOT(ISNUMBER($C837)),$C837=0),"",$C838/$C837-1)</f>
        <v/>
      </c>
      <c r="I838" s="52" t="str">
        <f aca="false">IF(AND(ISNUMBER($G838),$G838&gt;=MA_SHORT),AVERAGE(INDEX($C$438:$C838,402-MA_SHORT):$C838),"")</f>
        <v/>
      </c>
      <c r="J838" s="52" t="str">
        <f aca="false">IF(AND(ISNUMBER($G838),$G838&gt;=MA_MED),AVERAGE(INDEX($C$438:$C838,402-MA_MED):$C838),"")</f>
        <v/>
      </c>
      <c r="K838" s="52" t="str">
        <f aca="false">IF(AND(ISNUMBER($G838),$G838&gt;=MA_LONG2),AVERAGE(INDEX($C$438:$C838,402-MA_LONG2):$C838),"")</f>
        <v/>
      </c>
      <c r="L838" s="53" t="str">
        <f aca="false">IF(AND(ISNUMBER($G838),$G838&gt;=21),STDEV(INDEX($H$778:$H838,62-20):$H838)*SQRT(245),"")</f>
        <v/>
      </c>
      <c r="M838" s="52" t="str">
        <f aca="false">IF(AND(ISNUMBER($G838),$G838&gt;=60),MAX(INDEX($D$638:$D838,202-60):$D838),"")</f>
        <v/>
      </c>
      <c r="N838" s="52" t="str">
        <f aca="false">IF(AND(ISNUMBER($G838),$G838&gt;=60),MIN(INDEX($E$638:$E838,202-60):$E838),"")</f>
        <v/>
      </c>
      <c r="O838" s="53" t="str">
        <f aca="false">IF(OR(NOT(ISNUMBER($C838)),NOT(ISNUMBER($M838)),$M838=0),"",$C838/$M838-1)</f>
        <v/>
      </c>
      <c r="P838" s="54"/>
      <c r="Q838" s="53" t="str">
        <f aca="false">IF(NOT(ISNUMBER($P838)),"",IFERROR(PERCENTRANK($P$5:$P$1204,$P838),""))</f>
        <v/>
      </c>
    </row>
    <row r="839" customFormat="false" ht="15" hidden="false" customHeight="false" outlineLevel="0" collapsed="false">
      <c r="A839" s="55"/>
      <c r="B839" s="56"/>
      <c r="C839" s="57"/>
      <c r="D839" s="56"/>
      <c r="E839" s="56"/>
      <c r="F839" s="56"/>
      <c r="G839" s="50" t="str">
        <f aca="false">IF($A839="","",IF(ISNUMBER($G838),$G838+1,1))</f>
        <v/>
      </c>
      <c r="H839" s="51" t="str">
        <f aca="false">IF(OR(NOT(ISNUMBER($G839)),$G839&lt;2,NOT(ISNUMBER($C838)),$C838=0),"",$C839/$C838-1)</f>
        <v/>
      </c>
      <c r="I839" s="52" t="str">
        <f aca="false">IF(AND(ISNUMBER($G839),$G839&gt;=MA_SHORT),AVERAGE(INDEX($C$439:$C839,402-MA_SHORT):$C839),"")</f>
        <v/>
      </c>
      <c r="J839" s="52" t="str">
        <f aca="false">IF(AND(ISNUMBER($G839),$G839&gt;=MA_MED),AVERAGE(INDEX($C$439:$C839,402-MA_MED):$C839),"")</f>
        <v/>
      </c>
      <c r="K839" s="52" t="str">
        <f aca="false">IF(AND(ISNUMBER($G839),$G839&gt;=MA_LONG2),AVERAGE(INDEX($C$439:$C839,402-MA_LONG2):$C839),"")</f>
        <v/>
      </c>
      <c r="L839" s="53" t="str">
        <f aca="false">IF(AND(ISNUMBER($G839),$G839&gt;=21),STDEV(INDEX($H$779:$H839,62-20):$H839)*SQRT(245),"")</f>
        <v/>
      </c>
      <c r="M839" s="52" t="str">
        <f aca="false">IF(AND(ISNUMBER($G839),$G839&gt;=60),MAX(INDEX($D$639:$D839,202-60):$D839),"")</f>
        <v/>
      </c>
      <c r="N839" s="52" t="str">
        <f aca="false">IF(AND(ISNUMBER($G839),$G839&gt;=60),MIN(INDEX($E$639:$E839,202-60):$E839),"")</f>
        <v/>
      </c>
      <c r="O839" s="53" t="str">
        <f aca="false">IF(OR(NOT(ISNUMBER($C839)),NOT(ISNUMBER($M839)),$M839=0),"",$C839/$M839-1)</f>
        <v/>
      </c>
      <c r="P839" s="54"/>
      <c r="Q839" s="53" t="str">
        <f aca="false">IF(NOT(ISNUMBER($P839)),"",IFERROR(PERCENTRANK($P$5:$P$1204,$P839),""))</f>
        <v/>
      </c>
    </row>
    <row r="840" customFormat="false" ht="15" hidden="false" customHeight="false" outlineLevel="0" collapsed="false">
      <c r="A840" s="55"/>
      <c r="B840" s="56"/>
      <c r="C840" s="57"/>
      <c r="D840" s="56"/>
      <c r="E840" s="56"/>
      <c r="F840" s="56"/>
      <c r="G840" s="50" t="str">
        <f aca="false">IF($A840="","",IF(ISNUMBER($G839),$G839+1,1))</f>
        <v/>
      </c>
      <c r="H840" s="51" t="str">
        <f aca="false">IF(OR(NOT(ISNUMBER($G840)),$G840&lt;2,NOT(ISNUMBER($C839)),$C839=0),"",$C840/$C839-1)</f>
        <v/>
      </c>
      <c r="I840" s="52" t="str">
        <f aca="false">IF(AND(ISNUMBER($G840),$G840&gt;=MA_SHORT),AVERAGE(INDEX($C$440:$C840,402-MA_SHORT):$C840),"")</f>
        <v/>
      </c>
      <c r="J840" s="52" t="str">
        <f aca="false">IF(AND(ISNUMBER($G840),$G840&gt;=MA_MED),AVERAGE(INDEX($C$440:$C840,402-MA_MED):$C840),"")</f>
        <v/>
      </c>
      <c r="K840" s="52" t="str">
        <f aca="false">IF(AND(ISNUMBER($G840),$G840&gt;=MA_LONG2),AVERAGE(INDEX($C$440:$C840,402-MA_LONG2):$C840),"")</f>
        <v/>
      </c>
      <c r="L840" s="53" t="str">
        <f aca="false">IF(AND(ISNUMBER($G840),$G840&gt;=21),STDEV(INDEX($H$780:$H840,62-20):$H840)*SQRT(245),"")</f>
        <v/>
      </c>
      <c r="M840" s="52" t="str">
        <f aca="false">IF(AND(ISNUMBER($G840),$G840&gt;=60),MAX(INDEX($D$640:$D840,202-60):$D840),"")</f>
        <v/>
      </c>
      <c r="N840" s="52" t="str">
        <f aca="false">IF(AND(ISNUMBER($G840),$G840&gt;=60),MIN(INDEX($E$640:$E840,202-60):$E840),"")</f>
        <v/>
      </c>
      <c r="O840" s="53" t="str">
        <f aca="false">IF(OR(NOT(ISNUMBER($C840)),NOT(ISNUMBER($M840)),$M840=0),"",$C840/$M840-1)</f>
        <v/>
      </c>
      <c r="P840" s="54"/>
      <c r="Q840" s="53" t="str">
        <f aca="false">IF(NOT(ISNUMBER($P840)),"",IFERROR(PERCENTRANK($P$5:$P$1204,$P840),""))</f>
        <v/>
      </c>
    </row>
    <row r="841" customFormat="false" ht="15" hidden="false" customHeight="false" outlineLevel="0" collapsed="false">
      <c r="A841" s="55"/>
      <c r="B841" s="56"/>
      <c r="C841" s="57"/>
      <c r="D841" s="56"/>
      <c r="E841" s="56"/>
      <c r="F841" s="56"/>
      <c r="G841" s="50" t="str">
        <f aca="false">IF($A841="","",IF(ISNUMBER($G840),$G840+1,1))</f>
        <v/>
      </c>
      <c r="H841" s="51" t="str">
        <f aca="false">IF(OR(NOT(ISNUMBER($G841)),$G841&lt;2,NOT(ISNUMBER($C840)),$C840=0),"",$C841/$C840-1)</f>
        <v/>
      </c>
      <c r="I841" s="52" t="str">
        <f aca="false">IF(AND(ISNUMBER($G841),$G841&gt;=MA_SHORT),AVERAGE(INDEX($C$441:$C841,402-MA_SHORT):$C841),"")</f>
        <v/>
      </c>
      <c r="J841" s="52" t="str">
        <f aca="false">IF(AND(ISNUMBER($G841),$G841&gt;=MA_MED),AVERAGE(INDEX($C$441:$C841,402-MA_MED):$C841),"")</f>
        <v/>
      </c>
      <c r="K841" s="52" t="str">
        <f aca="false">IF(AND(ISNUMBER($G841),$G841&gt;=MA_LONG2),AVERAGE(INDEX($C$441:$C841,402-MA_LONG2):$C841),"")</f>
        <v/>
      </c>
      <c r="L841" s="53" t="str">
        <f aca="false">IF(AND(ISNUMBER($G841),$G841&gt;=21),STDEV(INDEX($H$781:$H841,62-20):$H841)*SQRT(245),"")</f>
        <v/>
      </c>
      <c r="M841" s="52" t="str">
        <f aca="false">IF(AND(ISNUMBER($G841),$G841&gt;=60),MAX(INDEX($D$641:$D841,202-60):$D841),"")</f>
        <v/>
      </c>
      <c r="N841" s="52" t="str">
        <f aca="false">IF(AND(ISNUMBER($G841),$G841&gt;=60),MIN(INDEX($E$641:$E841,202-60):$E841),"")</f>
        <v/>
      </c>
      <c r="O841" s="53" t="str">
        <f aca="false">IF(OR(NOT(ISNUMBER($C841)),NOT(ISNUMBER($M841)),$M841=0),"",$C841/$M841-1)</f>
        <v/>
      </c>
      <c r="P841" s="54"/>
      <c r="Q841" s="53" t="str">
        <f aca="false">IF(NOT(ISNUMBER($P841)),"",IFERROR(PERCENTRANK($P$5:$P$1204,$P841),""))</f>
        <v/>
      </c>
    </row>
    <row r="842" customFormat="false" ht="15" hidden="false" customHeight="false" outlineLevel="0" collapsed="false">
      <c r="A842" s="55"/>
      <c r="B842" s="56"/>
      <c r="C842" s="57"/>
      <c r="D842" s="56"/>
      <c r="E842" s="56"/>
      <c r="F842" s="56"/>
      <c r="G842" s="50" t="str">
        <f aca="false">IF($A842="","",IF(ISNUMBER($G841),$G841+1,1))</f>
        <v/>
      </c>
      <c r="H842" s="51" t="str">
        <f aca="false">IF(OR(NOT(ISNUMBER($G842)),$G842&lt;2,NOT(ISNUMBER($C841)),$C841=0),"",$C842/$C841-1)</f>
        <v/>
      </c>
      <c r="I842" s="52" t="str">
        <f aca="false">IF(AND(ISNUMBER($G842),$G842&gt;=MA_SHORT),AVERAGE(INDEX($C$442:$C842,402-MA_SHORT):$C842),"")</f>
        <v/>
      </c>
      <c r="J842" s="52" t="str">
        <f aca="false">IF(AND(ISNUMBER($G842),$G842&gt;=MA_MED),AVERAGE(INDEX($C$442:$C842,402-MA_MED):$C842),"")</f>
        <v/>
      </c>
      <c r="K842" s="52" t="str">
        <f aca="false">IF(AND(ISNUMBER($G842),$G842&gt;=MA_LONG2),AVERAGE(INDEX($C$442:$C842,402-MA_LONG2):$C842),"")</f>
        <v/>
      </c>
      <c r="L842" s="53" t="str">
        <f aca="false">IF(AND(ISNUMBER($G842),$G842&gt;=21),STDEV(INDEX($H$782:$H842,62-20):$H842)*SQRT(245),"")</f>
        <v/>
      </c>
      <c r="M842" s="52" t="str">
        <f aca="false">IF(AND(ISNUMBER($G842),$G842&gt;=60),MAX(INDEX($D$642:$D842,202-60):$D842),"")</f>
        <v/>
      </c>
      <c r="N842" s="52" t="str">
        <f aca="false">IF(AND(ISNUMBER($G842),$G842&gt;=60),MIN(INDEX($E$642:$E842,202-60):$E842),"")</f>
        <v/>
      </c>
      <c r="O842" s="53" t="str">
        <f aca="false">IF(OR(NOT(ISNUMBER($C842)),NOT(ISNUMBER($M842)),$M842=0),"",$C842/$M842-1)</f>
        <v/>
      </c>
      <c r="P842" s="54"/>
      <c r="Q842" s="53" t="str">
        <f aca="false">IF(NOT(ISNUMBER($P842)),"",IFERROR(PERCENTRANK($P$5:$P$1204,$P842),""))</f>
        <v/>
      </c>
    </row>
    <row r="843" customFormat="false" ht="15" hidden="false" customHeight="false" outlineLevel="0" collapsed="false">
      <c r="A843" s="55"/>
      <c r="B843" s="56"/>
      <c r="C843" s="57"/>
      <c r="D843" s="56"/>
      <c r="E843" s="56"/>
      <c r="F843" s="56"/>
      <c r="G843" s="50" t="str">
        <f aca="false">IF($A843="","",IF(ISNUMBER($G842),$G842+1,1))</f>
        <v/>
      </c>
      <c r="H843" s="51" t="str">
        <f aca="false">IF(OR(NOT(ISNUMBER($G843)),$G843&lt;2,NOT(ISNUMBER($C842)),$C842=0),"",$C843/$C842-1)</f>
        <v/>
      </c>
      <c r="I843" s="52" t="str">
        <f aca="false">IF(AND(ISNUMBER($G843),$G843&gt;=MA_SHORT),AVERAGE(INDEX($C$443:$C843,402-MA_SHORT):$C843),"")</f>
        <v/>
      </c>
      <c r="J843" s="52" t="str">
        <f aca="false">IF(AND(ISNUMBER($G843),$G843&gt;=MA_MED),AVERAGE(INDEX($C$443:$C843,402-MA_MED):$C843),"")</f>
        <v/>
      </c>
      <c r="K843" s="52" t="str">
        <f aca="false">IF(AND(ISNUMBER($G843),$G843&gt;=MA_LONG2),AVERAGE(INDEX($C$443:$C843,402-MA_LONG2):$C843),"")</f>
        <v/>
      </c>
      <c r="L843" s="53" t="str">
        <f aca="false">IF(AND(ISNUMBER($G843),$G843&gt;=21),STDEV(INDEX($H$783:$H843,62-20):$H843)*SQRT(245),"")</f>
        <v/>
      </c>
      <c r="M843" s="52" t="str">
        <f aca="false">IF(AND(ISNUMBER($G843),$G843&gt;=60),MAX(INDEX($D$643:$D843,202-60):$D843),"")</f>
        <v/>
      </c>
      <c r="N843" s="52" t="str">
        <f aca="false">IF(AND(ISNUMBER($G843),$G843&gt;=60),MIN(INDEX($E$643:$E843,202-60):$E843),"")</f>
        <v/>
      </c>
      <c r="O843" s="53" t="str">
        <f aca="false">IF(OR(NOT(ISNUMBER($C843)),NOT(ISNUMBER($M843)),$M843=0),"",$C843/$M843-1)</f>
        <v/>
      </c>
      <c r="P843" s="54"/>
      <c r="Q843" s="53" t="str">
        <f aca="false">IF(NOT(ISNUMBER($P843)),"",IFERROR(PERCENTRANK($P$5:$P$1204,$P843),""))</f>
        <v/>
      </c>
    </row>
    <row r="844" customFormat="false" ht="15" hidden="false" customHeight="false" outlineLevel="0" collapsed="false">
      <c r="A844" s="55"/>
      <c r="B844" s="56"/>
      <c r="C844" s="57"/>
      <c r="D844" s="56"/>
      <c r="E844" s="56"/>
      <c r="F844" s="56"/>
      <c r="G844" s="50" t="str">
        <f aca="false">IF($A844="","",IF(ISNUMBER($G843),$G843+1,1))</f>
        <v/>
      </c>
      <c r="H844" s="51" t="str">
        <f aca="false">IF(OR(NOT(ISNUMBER($G844)),$G844&lt;2,NOT(ISNUMBER($C843)),$C843=0),"",$C844/$C843-1)</f>
        <v/>
      </c>
      <c r="I844" s="52" t="str">
        <f aca="false">IF(AND(ISNUMBER($G844),$G844&gt;=MA_SHORT),AVERAGE(INDEX($C$444:$C844,402-MA_SHORT):$C844),"")</f>
        <v/>
      </c>
      <c r="J844" s="52" t="str">
        <f aca="false">IF(AND(ISNUMBER($G844),$G844&gt;=MA_MED),AVERAGE(INDEX($C$444:$C844,402-MA_MED):$C844),"")</f>
        <v/>
      </c>
      <c r="K844" s="52" t="str">
        <f aca="false">IF(AND(ISNUMBER($G844),$G844&gt;=MA_LONG2),AVERAGE(INDEX($C$444:$C844,402-MA_LONG2):$C844),"")</f>
        <v/>
      </c>
      <c r="L844" s="53" t="str">
        <f aca="false">IF(AND(ISNUMBER($G844),$G844&gt;=21),STDEV(INDEX($H$784:$H844,62-20):$H844)*SQRT(245),"")</f>
        <v/>
      </c>
      <c r="M844" s="52" t="str">
        <f aca="false">IF(AND(ISNUMBER($G844),$G844&gt;=60),MAX(INDEX($D$644:$D844,202-60):$D844),"")</f>
        <v/>
      </c>
      <c r="N844" s="52" t="str">
        <f aca="false">IF(AND(ISNUMBER($G844),$G844&gt;=60),MIN(INDEX($E$644:$E844,202-60):$E844),"")</f>
        <v/>
      </c>
      <c r="O844" s="53" t="str">
        <f aca="false">IF(OR(NOT(ISNUMBER($C844)),NOT(ISNUMBER($M844)),$M844=0),"",$C844/$M844-1)</f>
        <v/>
      </c>
      <c r="P844" s="54"/>
      <c r="Q844" s="53" t="str">
        <f aca="false">IF(NOT(ISNUMBER($P844)),"",IFERROR(PERCENTRANK($P$5:$P$1204,$P844),""))</f>
        <v/>
      </c>
    </row>
    <row r="845" customFormat="false" ht="15" hidden="false" customHeight="false" outlineLevel="0" collapsed="false">
      <c r="A845" s="55"/>
      <c r="B845" s="56"/>
      <c r="C845" s="57"/>
      <c r="D845" s="56"/>
      <c r="E845" s="56"/>
      <c r="F845" s="56"/>
      <c r="G845" s="50" t="str">
        <f aca="false">IF($A845="","",IF(ISNUMBER($G844),$G844+1,1))</f>
        <v/>
      </c>
      <c r="H845" s="51" t="str">
        <f aca="false">IF(OR(NOT(ISNUMBER($G845)),$G845&lt;2,NOT(ISNUMBER($C844)),$C844=0),"",$C845/$C844-1)</f>
        <v/>
      </c>
      <c r="I845" s="52" t="str">
        <f aca="false">IF(AND(ISNUMBER($G845),$G845&gt;=MA_SHORT),AVERAGE(INDEX($C$445:$C845,402-MA_SHORT):$C845),"")</f>
        <v/>
      </c>
      <c r="J845" s="52" t="str">
        <f aca="false">IF(AND(ISNUMBER($G845),$G845&gt;=MA_MED),AVERAGE(INDEX($C$445:$C845,402-MA_MED):$C845),"")</f>
        <v/>
      </c>
      <c r="K845" s="52" t="str">
        <f aca="false">IF(AND(ISNUMBER($G845),$G845&gt;=MA_LONG2),AVERAGE(INDEX($C$445:$C845,402-MA_LONG2):$C845),"")</f>
        <v/>
      </c>
      <c r="L845" s="53" t="str">
        <f aca="false">IF(AND(ISNUMBER($G845),$G845&gt;=21),STDEV(INDEX($H$785:$H845,62-20):$H845)*SQRT(245),"")</f>
        <v/>
      </c>
      <c r="M845" s="52" t="str">
        <f aca="false">IF(AND(ISNUMBER($G845),$G845&gt;=60),MAX(INDEX($D$645:$D845,202-60):$D845),"")</f>
        <v/>
      </c>
      <c r="N845" s="52" t="str">
        <f aca="false">IF(AND(ISNUMBER($G845),$G845&gt;=60),MIN(INDEX($E$645:$E845,202-60):$E845),"")</f>
        <v/>
      </c>
      <c r="O845" s="53" t="str">
        <f aca="false">IF(OR(NOT(ISNUMBER($C845)),NOT(ISNUMBER($M845)),$M845=0),"",$C845/$M845-1)</f>
        <v/>
      </c>
      <c r="P845" s="54"/>
      <c r="Q845" s="53" t="str">
        <f aca="false">IF(NOT(ISNUMBER($P845)),"",IFERROR(PERCENTRANK($P$5:$P$1204,$P845),""))</f>
        <v/>
      </c>
    </row>
    <row r="846" customFormat="false" ht="15" hidden="false" customHeight="false" outlineLevel="0" collapsed="false">
      <c r="A846" s="55"/>
      <c r="B846" s="56"/>
      <c r="C846" s="57"/>
      <c r="D846" s="56"/>
      <c r="E846" s="56"/>
      <c r="F846" s="56"/>
      <c r="G846" s="50" t="str">
        <f aca="false">IF($A846="","",IF(ISNUMBER($G845),$G845+1,1))</f>
        <v/>
      </c>
      <c r="H846" s="51" t="str">
        <f aca="false">IF(OR(NOT(ISNUMBER($G846)),$G846&lt;2,NOT(ISNUMBER($C845)),$C845=0),"",$C846/$C845-1)</f>
        <v/>
      </c>
      <c r="I846" s="52" t="str">
        <f aca="false">IF(AND(ISNUMBER($G846),$G846&gt;=MA_SHORT),AVERAGE(INDEX($C$446:$C846,402-MA_SHORT):$C846),"")</f>
        <v/>
      </c>
      <c r="J846" s="52" t="str">
        <f aca="false">IF(AND(ISNUMBER($G846),$G846&gt;=MA_MED),AVERAGE(INDEX($C$446:$C846,402-MA_MED):$C846),"")</f>
        <v/>
      </c>
      <c r="K846" s="52" t="str">
        <f aca="false">IF(AND(ISNUMBER($G846),$G846&gt;=MA_LONG2),AVERAGE(INDEX($C$446:$C846,402-MA_LONG2):$C846),"")</f>
        <v/>
      </c>
      <c r="L846" s="53" t="str">
        <f aca="false">IF(AND(ISNUMBER($G846),$G846&gt;=21),STDEV(INDEX($H$786:$H846,62-20):$H846)*SQRT(245),"")</f>
        <v/>
      </c>
      <c r="M846" s="52" t="str">
        <f aca="false">IF(AND(ISNUMBER($G846),$G846&gt;=60),MAX(INDEX($D$646:$D846,202-60):$D846),"")</f>
        <v/>
      </c>
      <c r="N846" s="52" t="str">
        <f aca="false">IF(AND(ISNUMBER($G846),$G846&gt;=60),MIN(INDEX($E$646:$E846,202-60):$E846),"")</f>
        <v/>
      </c>
      <c r="O846" s="53" t="str">
        <f aca="false">IF(OR(NOT(ISNUMBER($C846)),NOT(ISNUMBER($M846)),$M846=0),"",$C846/$M846-1)</f>
        <v/>
      </c>
      <c r="P846" s="54"/>
      <c r="Q846" s="53" t="str">
        <f aca="false">IF(NOT(ISNUMBER($P846)),"",IFERROR(PERCENTRANK($P$5:$P$1204,$P846),""))</f>
        <v/>
      </c>
    </row>
    <row r="847" customFormat="false" ht="15" hidden="false" customHeight="false" outlineLevel="0" collapsed="false">
      <c r="A847" s="55"/>
      <c r="B847" s="56"/>
      <c r="C847" s="57"/>
      <c r="D847" s="56"/>
      <c r="E847" s="56"/>
      <c r="F847" s="56"/>
      <c r="G847" s="50" t="str">
        <f aca="false">IF($A847="","",IF(ISNUMBER($G846),$G846+1,1))</f>
        <v/>
      </c>
      <c r="H847" s="51" t="str">
        <f aca="false">IF(OR(NOT(ISNUMBER($G847)),$G847&lt;2,NOT(ISNUMBER($C846)),$C846=0),"",$C847/$C846-1)</f>
        <v/>
      </c>
      <c r="I847" s="52" t="str">
        <f aca="false">IF(AND(ISNUMBER($G847),$G847&gt;=MA_SHORT),AVERAGE(INDEX($C$447:$C847,402-MA_SHORT):$C847),"")</f>
        <v/>
      </c>
      <c r="J847" s="52" t="str">
        <f aca="false">IF(AND(ISNUMBER($G847),$G847&gt;=MA_MED),AVERAGE(INDEX($C$447:$C847,402-MA_MED):$C847),"")</f>
        <v/>
      </c>
      <c r="K847" s="52" t="str">
        <f aca="false">IF(AND(ISNUMBER($G847),$G847&gt;=MA_LONG2),AVERAGE(INDEX($C$447:$C847,402-MA_LONG2):$C847),"")</f>
        <v/>
      </c>
      <c r="L847" s="53" t="str">
        <f aca="false">IF(AND(ISNUMBER($G847),$G847&gt;=21),STDEV(INDEX($H$787:$H847,62-20):$H847)*SQRT(245),"")</f>
        <v/>
      </c>
      <c r="M847" s="52" t="str">
        <f aca="false">IF(AND(ISNUMBER($G847),$G847&gt;=60),MAX(INDEX($D$647:$D847,202-60):$D847),"")</f>
        <v/>
      </c>
      <c r="N847" s="52" t="str">
        <f aca="false">IF(AND(ISNUMBER($G847),$G847&gt;=60),MIN(INDEX($E$647:$E847,202-60):$E847),"")</f>
        <v/>
      </c>
      <c r="O847" s="53" t="str">
        <f aca="false">IF(OR(NOT(ISNUMBER($C847)),NOT(ISNUMBER($M847)),$M847=0),"",$C847/$M847-1)</f>
        <v/>
      </c>
      <c r="P847" s="54"/>
      <c r="Q847" s="53" t="str">
        <f aca="false">IF(NOT(ISNUMBER($P847)),"",IFERROR(PERCENTRANK($P$5:$P$1204,$P847),""))</f>
        <v/>
      </c>
    </row>
    <row r="848" customFormat="false" ht="15" hidden="false" customHeight="false" outlineLevel="0" collapsed="false">
      <c r="A848" s="55"/>
      <c r="B848" s="56"/>
      <c r="C848" s="57"/>
      <c r="D848" s="56"/>
      <c r="E848" s="56"/>
      <c r="F848" s="56"/>
      <c r="G848" s="50" t="str">
        <f aca="false">IF($A848="","",IF(ISNUMBER($G847),$G847+1,1))</f>
        <v/>
      </c>
      <c r="H848" s="51" t="str">
        <f aca="false">IF(OR(NOT(ISNUMBER($G848)),$G848&lt;2,NOT(ISNUMBER($C847)),$C847=0),"",$C848/$C847-1)</f>
        <v/>
      </c>
      <c r="I848" s="52" t="str">
        <f aca="false">IF(AND(ISNUMBER($G848),$G848&gt;=MA_SHORT),AVERAGE(INDEX($C$448:$C848,402-MA_SHORT):$C848),"")</f>
        <v/>
      </c>
      <c r="J848" s="52" t="str">
        <f aca="false">IF(AND(ISNUMBER($G848),$G848&gt;=MA_MED),AVERAGE(INDEX($C$448:$C848,402-MA_MED):$C848),"")</f>
        <v/>
      </c>
      <c r="K848" s="52" t="str">
        <f aca="false">IF(AND(ISNUMBER($G848),$G848&gt;=MA_LONG2),AVERAGE(INDEX($C$448:$C848,402-MA_LONG2):$C848),"")</f>
        <v/>
      </c>
      <c r="L848" s="53" t="str">
        <f aca="false">IF(AND(ISNUMBER($G848),$G848&gt;=21),STDEV(INDEX($H$788:$H848,62-20):$H848)*SQRT(245),"")</f>
        <v/>
      </c>
      <c r="M848" s="52" t="str">
        <f aca="false">IF(AND(ISNUMBER($G848),$G848&gt;=60),MAX(INDEX($D$648:$D848,202-60):$D848),"")</f>
        <v/>
      </c>
      <c r="N848" s="52" t="str">
        <f aca="false">IF(AND(ISNUMBER($G848),$G848&gt;=60),MIN(INDEX($E$648:$E848,202-60):$E848),"")</f>
        <v/>
      </c>
      <c r="O848" s="53" t="str">
        <f aca="false">IF(OR(NOT(ISNUMBER($C848)),NOT(ISNUMBER($M848)),$M848=0),"",$C848/$M848-1)</f>
        <v/>
      </c>
      <c r="P848" s="54"/>
      <c r="Q848" s="53" t="str">
        <f aca="false">IF(NOT(ISNUMBER($P848)),"",IFERROR(PERCENTRANK($P$5:$P$1204,$P848),""))</f>
        <v/>
      </c>
    </row>
    <row r="849" customFormat="false" ht="15" hidden="false" customHeight="false" outlineLevel="0" collapsed="false">
      <c r="A849" s="55"/>
      <c r="B849" s="56"/>
      <c r="C849" s="57"/>
      <c r="D849" s="56"/>
      <c r="E849" s="56"/>
      <c r="F849" s="56"/>
      <c r="G849" s="50" t="str">
        <f aca="false">IF($A849="","",IF(ISNUMBER($G848),$G848+1,1))</f>
        <v/>
      </c>
      <c r="H849" s="51" t="str">
        <f aca="false">IF(OR(NOT(ISNUMBER($G849)),$G849&lt;2,NOT(ISNUMBER($C848)),$C848=0),"",$C849/$C848-1)</f>
        <v/>
      </c>
      <c r="I849" s="52" t="str">
        <f aca="false">IF(AND(ISNUMBER($G849),$G849&gt;=MA_SHORT),AVERAGE(INDEX($C$449:$C849,402-MA_SHORT):$C849),"")</f>
        <v/>
      </c>
      <c r="J849" s="52" t="str">
        <f aca="false">IF(AND(ISNUMBER($G849),$G849&gt;=MA_MED),AVERAGE(INDEX($C$449:$C849,402-MA_MED):$C849),"")</f>
        <v/>
      </c>
      <c r="K849" s="52" t="str">
        <f aca="false">IF(AND(ISNUMBER($G849),$G849&gt;=MA_LONG2),AVERAGE(INDEX($C$449:$C849,402-MA_LONG2):$C849),"")</f>
        <v/>
      </c>
      <c r="L849" s="53" t="str">
        <f aca="false">IF(AND(ISNUMBER($G849),$G849&gt;=21),STDEV(INDEX($H$789:$H849,62-20):$H849)*SQRT(245),"")</f>
        <v/>
      </c>
      <c r="M849" s="52" t="str">
        <f aca="false">IF(AND(ISNUMBER($G849),$G849&gt;=60),MAX(INDEX($D$649:$D849,202-60):$D849),"")</f>
        <v/>
      </c>
      <c r="N849" s="52" t="str">
        <f aca="false">IF(AND(ISNUMBER($G849),$G849&gt;=60),MIN(INDEX($E$649:$E849,202-60):$E849),"")</f>
        <v/>
      </c>
      <c r="O849" s="53" t="str">
        <f aca="false">IF(OR(NOT(ISNUMBER($C849)),NOT(ISNUMBER($M849)),$M849=0),"",$C849/$M849-1)</f>
        <v/>
      </c>
      <c r="P849" s="54"/>
      <c r="Q849" s="53" t="str">
        <f aca="false">IF(NOT(ISNUMBER($P849)),"",IFERROR(PERCENTRANK($P$5:$P$1204,$P849),""))</f>
        <v/>
      </c>
    </row>
    <row r="850" customFormat="false" ht="15" hidden="false" customHeight="false" outlineLevel="0" collapsed="false">
      <c r="A850" s="55"/>
      <c r="B850" s="56"/>
      <c r="C850" s="57"/>
      <c r="D850" s="56"/>
      <c r="E850" s="56"/>
      <c r="F850" s="56"/>
      <c r="G850" s="50" t="str">
        <f aca="false">IF($A850="","",IF(ISNUMBER($G849),$G849+1,1))</f>
        <v/>
      </c>
      <c r="H850" s="51" t="str">
        <f aca="false">IF(OR(NOT(ISNUMBER($G850)),$G850&lt;2,NOT(ISNUMBER($C849)),$C849=0),"",$C850/$C849-1)</f>
        <v/>
      </c>
      <c r="I850" s="52" t="str">
        <f aca="false">IF(AND(ISNUMBER($G850),$G850&gt;=MA_SHORT),AVERAGE(INDEX($C$450:$C850,402-MA_SHORT):$C850),"")</f>
        <v/>
      </c>
      <c r="J850" s="52" t="str">
        <f aca="false">IF(AND(ISNUMBER($G850),$G850&gt;=MA_MED),AVERAGE(INDEX($C$450:$C850,402-MA_MED):$C850),"")</f>
        <v/>
      </c>
      <c r="K850" s="52" t="str">
        <f aca="false">IF(AND(ISNUMBER($G850),$G850&gt;=MA_LONG2),AVERAGE(INDEX($C$450:$C850,402-MA_LONG2):$C850),"")</f>
        <v/>
      </c>
      <c r="L850" s="53" t="str">
        <f aca="false">IF(AND(ISNUMBER($G850),$G850&gt;=21),STDEV(INDEX($H$790:$H850,62-20):$H850)*SQRT(245),"")</f>
        <v/>
      </c>
      <c r="M850" s="52" t="str">
        <f aca="false">IF(AND(ISNUMBER($G850),$G850&gt;=60),MAX(INDEX($D$650:$D850,202-60):$D850),"")</f>
        <v/>
      </c>
      <c r="N850" s="52" t="str">
        <f aca="false">IF(AND(ISNUMBER($G850),$G850&gt;=60),MIN(INDEX($E$650:$E850,202-60):$E850),"")</f>
        <v/>
      </c>
      <c r="O850" s="53" t="str">
        <f aca="false">IF(OR(NOT(ISNUMBER($C850)),NOT(ISNUMBER($M850)),$M850=0),"",$C850/$M850-1)</f>
        <v/>
      </c>
      <c r="P850" s="54"/>
      <c r="Q850" s="53" t="str">
        <f aca="false">IF(NOT(ISNUMBER($P850)),"",IFERROR(PERCENTRANK($P$5:$P$1204,$P850),""))</f>
        <v/>
      </c>
    </row>
    <row r="851" customFormat="false" ht="15" hidden="false" customHeight="false" outlineLevel="0" collapsed="false">
      <c r="A851" s="55"/>
      <c r="B851" s="56"/>
      <c r="C851" s="57"/>
      <c r="D851" s="56"/>
      <c r="E851" s="56"/>
      <c r="F851" s="56"/>
      <c r="G851" s="50" t="str">
        <f aca="false">IF($A851="","",IF(ISNUMBER($G850),$G850+1,1))</f>
        <v/>
      </c>
      <c r="H851" s="51" t="str">
        <f aca="false">IF(OR(NOT(ISNUMBER($G851)),$G851&lt;2,NOT(ISNUMBER($C850)),$C850=0),"",$C851/$C850-1)</f>
        <v/>
      </c>
      <c r="I851" s="52" t="str">
        <f aca="false">IF(AND(ISNUMBER($G851),$G851&gt;=MA_SHORT),AVERAGE(INDEX($C$451:$C851,402-MA_SHORT):$C851),"")</f>
        <v/>
      </c>
      <c r="J851" s="52" t="str">
        <f aca="false">IF(AND(ISNUMBER($G851),$G851&gt;=MA_MED),AVERAGE(INDEX($C$451:$C851,402-MA_MED):$C851),"")</f>
        <v/>
      </c>
      <c r="K851" s="52" t="str">
        <f aca="false">IF(AND(ISNUMBER($G851),$G851&gt;=MA_LONG2),AVERAGE(INDEX($C$451:$C851,402-MA_LONG2):$C851),"")</f>
        <v/>
      </c>
      <c r="L851" s="53" t="str">
        <f aca="false">IF(AND(ISNUMBER($G851),$G851&gt;=21),STDEV(INDEX($H$791:$H851,62-20):$H851)*SQRT(245),"")</f>
        <v/>
      </c>
      <c r="M851" s="52" t="str">
        <f aca="false">IF(AND(ISNUMBER($G851),$G851&gt;=60),MAX(INDEX($D$651:$D851,202-60):$D851),"")</f>
        <v/>
      </c>
      <c r="N851" s="52" t="str">
        <f aca="false">IF(AND(ISNUMBER($G851),$G851&gt;=60),MIN(INDEX($E$651:$E851,202-60):$E851),"")</f>
        <v/>
      </c>
      <c r="O851" s="53" t="str">
        <f aca="false">IF(OR(NOT(ISNUMBER($C851)),NOT(ISNUMBER($M851)),$M851=0),"",$C851/$M851-1)</f>
        <v/>
      </c>
      <c r="P851" s="54"/>
      <c r="Q851" s="53" t="str">
        <f aca="false">IF(NOT(ISNUMBER($P851)),"",IFERROR(PERCENTRANK($P$5:$P$1204,$P851),""))</f>
        <v/>
      </c>
    </row>
    <row r="852" customFormat="false" ht="15" hidden="false" customHeight="false" outlineLevel="0" collapsed="false">
      <c r="A852" s="55"/>
      <c r="B852" s="56"/>
      <c r="C852" s="57"/>
      <c r="D852" s="56"/>
      <c r="E852" s="56"/>
      <c r="F852" s="56"/>
      <c r="G852" s="50" t="str">
        <f aca="false">IF($A852="","",IF(ISNUMBER($G851),$G851+1,1))</f>
        <v/>
      </c>
      <c r="H852" s="51" t="str">
        <f aca="false">IF(OR(NOT(ISNUMBER($G852)),$G852&lt;2,NOT(ISNUMBER($C851)),$C851=0),"",$C852/$C851-1)</f>
        <v/>
      </c>
      <c r="I852" s="52" t="str">
        <f aca="false">IF(AND(ISNUMBER($G852),$G852&gt;=MA_SHORT),AVERAGE(INDEX($C$452:$C852,402-MA_SHORT):$C852),"")</f>
        <v/>
      </c>
      <c r="J852" s="52" t="str">
        <f aca="false">IF(AND(ISNUMBER($G852),$G852&gt;=MA_MED),AVERAGE(INDEX($C$452:$C852,402-MA_MED):$C852),"")</f>
        <v/>
      </c>
      <c r="K852" s="52" t="str">
        <f aca="false">IF(AND(ISNUMBER($G852),$G852&gt;=MA_LONG2),AVERAGE(INDEX($C$452:$C852,402-MA_LONG2):$C852),"")</f>
        <v/>
      </c>
      <c r="L852" s="53" t="str">
        <f aca="false">IF(AND(ISNUMBER($G852),$G852&gt;=21),STDEV(INDEX($H$792:$H852,62-20):$H852)*SQRT(245),"")</f>
        <v/>
      </c>
      <c r="M852" s="52" t="str">
        <f aca="false">IF(AND(ISNUMBER($G852),$G852&gt;=60),MAX(INDEX($D$652:$D852,202-60):$D852),"")</f>
        <v/>
      </c>
      <c r="N852" s="52" t="str">
        <f aca="false">IF(AND(ISNUMBER($G852),$G852&gt;=60),MIN(INDEX($E$652:$E852,202-60):$E852),"")</f>
        <v/>
      </c>
      <c r="O852" s="53" t="str">
        <f aca="false">IF(OR(NOT(ISNUMBER($C852)),NOT(ISNUMBER($M852)),$M852=0),"",$C852/$M852-1)</f>
        <v/>
      </c>
      <c r="P852" s="54"/>
      <c r="Q852" s="53" t="str">
        <f aca="false">IF(NOT(ISNUMBER($P852)),"",IFERROR(PERCENTRANK($P$5:$P$1204,$P852),""))</f>
        <v/>
      </c>
    </row>
    <row r="853" customFormat="false" ht="15" hidden="false" customHeight="false" outlineLevel="0" collapsed="false">
      <c r="A853" s="55"/>
      <c r="B853" s="56"/>
      <c r="C853" s="57"/>
      <c r="D853" s="56"/>
      <c r="E853" s="56"/>
      <c r="F853" s="56"/>
      <c r="G853" s="50" t="str">
        <f aca="false">IF($A853="","",IF(ISNUMBER($G852),$G852+1,1))</f>
        <v/>
      </c>
      <c r="H853" s="51" t="str">
        <f aca="false">IF(OR(NOT(ISNUMBER($G853)),$G853&lt;2,NOT(ISNUMBER($C852)),$C852=0),"",$C853/$C852-1)</f>
        <v/>
      </c>
      <c r="I853" s="52" t="str">
        <f aca="false">IF(AND(ISNUMBER($G853),$G853&gt;=MA_SHORT),AVERAGE(INDEX($C$453:$C853,402-MA_SHORT):$C853),"")</f>
        <v/>
      </c>
      <c r="J853" s="52" t="str">
        <f aca="false">IF(AND(ISNUMBER($G853),$G853&gt;=MA_MED),AVERAGE(INDEX($C$453:$C853,402-MA_MED):$C853),"")</f>
        <v/>
      </c>
      <c r="K853" s="52" t="str">
        <f aca="false">IF(AND(ISNUMBER($G853),$G853&gt;=MA_LONG2),AVERAGE(INDEX($C$453:$C853,402-MA_LONG2):$C853),"")</f>
        <v/>
      </c>
      <c r="L853" s="53" t="str">
        <f aca="false">IF(AND(ISNUMBER($G853),$G853&gt;=21),STDEV(INDEX($H$793:$H853,62-20):$H853)*SQRT(245),"")</f>
        <v/>
      </c>
      <c r="M853" s="52" t="str">
        <f aca="false">IF(AND(ISNUMBER($G853),$G853&gt;=60),MAX(INDEX($D$653:$D853,202-60):$D853),"")</f>
        <v/>
      </c>
      <c r="N853" s="52" t="str">
        <f aca="false">IF(AND(ISNUMBER($G853),$G853&gt;=60),MIN(INDEX($E$653:$E853,202-60):$E853),"")</f>
        <v/>
      </c>
      <c r="O853" s="53" t="str">
        <f aca="false">IF(OR(NOT(ISNUMBER($C853)),NOT(ISNUMBER($M853)),$M853=0),"",$C853/$M853-1)</f>
        <v/>
      </c>
      <c r="P853" s="54"/>
      <c r="Q853" s="53" t="str">
        <f aca="false">IF(NOT(ISNUMBER($P853)),"",IFERROR(PERCENTRANK($P$5:$P$1204,$P853),""))</f>
        <v/>
      </c>
    </row>
    <row r="854" customFormat="false" ht="15" hidden="false" customHeight="false" outlineLevel="0" collapsed="false">
      <c r="A854" s="55"/>
      <c r="B854" s="56"/>
      <c r="C854" s="57"/>
      <c r="D854" s="56"/>
      <c r="E854" s="56"/>
      <c r="F854" s="56"/>
      <c r="G854" s="50" t="str">
        <f aca="false">IF($A854="","",IF(ISNUMBER($G853),$G853+1,1))</f>
        <v/>
      </c>
      <c r="H854" s="51" t="str">
        <f aca="false">IF(OR(NOT(ISNUMBER($G854)),$G854&lt;2,NOT(ISNUMBER($C853)),$C853=0),"",$C854/$C853-1)</f>
        <v/>
      </c>
      <c r="I854" s="52" t="str">
        <f aca="false">IF(AND(ISNUMBER($G854),$G854&gt;=MA_SHORT),AVERAGE(INDEX($C$454:$C854,402-MA_SHORT):$C854),"")</f>
        <v/>
      </c>
      <c r="J854" s="52" t="str">
        <f aca="false">IF(AND(ISNUMBER($G854),$G854&gt;=MA_MED),AVERAGE(INDEX($C$454:$C854,402-MA_MED):$C854),"")</f>
        <v/>
      </c>
      <c r="K854" s="52" t="str">
        <f aca="false">IF(AND(ISNUMBER($G854),$G854&gt;=MA_LONG2),AVERAGE(INDEX($C$454:$C854,402-MA_LONG2):$C854),"")</f>
        <v/>
      </c>
      <c r="L854" s="53" t="str">
        <f aca="false">IF(AND(ISNUMBER($G854),$G854&gt;=21),STDEV(INDEX($H$794:$H854,62-20):$H854)*SQRT(245),"")</f>
        <v/>
      </c>
      <c r="M854" s="52" t="str">
        <f aca="false">IF(AND(ISNUMBER($G854),$G854&gt;=60),MAX(INDEX($D$654:$D854,202-60):$D854),"")</f>
        <v/>
      </c>
      <c r="N854" s="52" t="str">
        <f aca="false">IF(AND(ISNUMBER($G854),$G854&gt;=60),MIN(INDEX($E$654:$E854,202-60):$E854),"")</f>
        <v/>
      </c>
      <c r="O854" s="53" t="str">
        <f aca="false">IF(OR(NOT(ISNUMBER($C854)),NOT(ISNUMBER($M854)),$M854=0),"",$C854/$M854-1)</f>
        <v/>
      </c>
      <c r="P854" s="54"/>
      <c r="Q854" s="53" t="str">
        <f aca="false">IF(NOT(ISNUMBER($P854)),"",IFERROR(PERCENTRANK($P$5:$P$1204,$P854),""))</f>
        <v/>
      </c>
    </row>
    <row r="855" customFormat="false" ht="15" hidden="false" customHeight="false" outlineLevel="0" collapsed="false">
      <c r="A855" s="55"/>
      <c r="B855" s="56"/>
      <c r="C855" s="57"/>
      <c r="D855" s="56"/>
      <c r="E855" s="56"/>
      <c r="F855" s="56"/>
      <c r="G855" s="50" t="str">
        <f aca="false">IF($A855="","",IF(ISNUMBER($G854),$G854+1,1))</f>
        <v/>
      </c>
      <c r="H855" s="51" t="str">
        <f aca="false">IF(OR(NOT(ISNUMBER($G855)),$G855&lt;2,NOT(ISNUMBER($C854)),$C854=0),"",$C855/$C854-1)</f>
        <v/>
      </c>
      <c r="I855" s="52" t="str">
        <f aca="false">IF(AND(ISNUMBER($G855),$G855&gt;=MA_SHORT),AVERAGE(INDEX($C$455:$C855,402-MA_SHORT):$C855),"")</f>
        <v/>
      </c>
      <c r="J855" s="52" t="str">
        <f aca="false">IF(AND(ISNUMBER($G855),$G855&gt;=MA_MED),AVERAGE(INDEX($C$455:$C855,402-MA_MED):$C855),"")</f>
        <v/>
      </c>
      <c r="K855" s="52" t="str">
        <f aca="false">IF(AND(ISNUMBER($G855),$G855&gt;=MA_LONG2),AVERAGE(INDEX($C$455:$C855,402-MA_LONG2):$C855),"")</f>
        <v/>
      </c>
      <c r="L855" s="53" t="str">
        <f aca="false">IF(AND(ISNUMBER($G855),$G855&gt;=21),STDEV(INDEX($H$795:$H855,62-20):$H855)*SQRT(245),"")</f>
        <v/>
      </c>
      <c r="M855" s="52" t="str">
        <f aca="false">IF(AND(ISNUMBER($G855),$G855&gt;=60),MAX(INDEX($D$655:$D855,202-60):$D855),"")</f>
        <v/>
      </c>
      <c r="N855" s="52" t="str">
        <f aca="false">IF(AND(ISNUMBER($G855),$G855&gt;=60),MIN(INDEX($E$655:$E855,202-60):$E855),"")</f>
        <v/>
      </c>
      <c r="O855" s="53" t="str">
        <f aca="false">IF(OR(NOT(ISNUMBER($C855)),NOT(ISNUMBER($M855)),$M855=0),"",$C855/$M855-1)</f>
        <v/>
      </c>
      <c r="P855" s="54"/>
      <c r="Q855" s="53" t="str">
        <f aca="false">IF(NOT(ISNUMBER($P855)),"",IFERROR(PERCENTRANK($P$5:$P$1204,$P855),""))</f>
        <v/>
      </c>
    </row>
    <row r="856" customFormat="false" ht="15" hidden="false" customHeight="false" outlineLevel="0" collapsed="false">
      <c r="A856" s="55"/>
      <c r="B856" s="56"/>
      <c r="C856" s="57"/>
      <c r="D856" s="56"/>
      <c r="E856" s="56"/>
      <c r="F856" s="56"/>
      <c r="G856" s="50" t="str">
        <f aca="false">IF($A856="","",IF(ISNUMBER($G855),$G855+1,1))</f>
        <v/>
      </c>
      <c r="H856" s="51" t="str">
        <f aca="false">IF(OR(NOT(ISNUMBER($G856)),$G856&lt;2,NOT(ISNUMBER($C855)),$C855=0),"",$C856/$C855-1)</f>
        <v/>
      </c>
      <c r="I856" s="52" t="str">
        <f aca="false">IF(AND(ISNUMBER($G856),$G856&gt;=MA_SHORT),AVERAGE(INDEX($C$456:$C856,402-MA_SHORT):$C856),"")</f>
        <v/>
      </c>
      <c r="J856" s="52" t="str">
        <f aca="false">IF(AND(ISNUMBER($G856),$G856&gt;=MA_MED),AVERAGE(INDEX($C$456:$C856,402-MA_MED):$C856),"")</f>
        <v/>
      </c>
      <c r="K856" s="52" t="str">
        <f aca="false">IF(AND(ISNUMBER($G856),$G856&gt;=MA_LONG2),AVERAGE(INDEX($C$456:$C856,402-MA_LONG2):$C856),"")</f>
        <v/>
      </c>
      <c r="L856" s="53" t="str">
        <f aca="false">IF(AND(ISNUMBER($G856),$G856&gt;=21),STDEV(INDEX($H$796:$H856,62-20):$H856)*SQRT(245),"")</f>
        <v/>
      </c>
      <c r="M856" s="52" t="str">
        <f aca="false">IF(AND(ISNUMBER($G856),$G856&gt;=60),MAX(INDEX($D$656:$D856,202-60):$D856),"")</f>
        <v/>
      </c>
      <c r="N856" s="52" t="str">
        <f aca="false">IF(AND(ISNUMBER($G856),$G856&gt;=60),MIN(INDEX($E$656:$E856,202-60):$E856),"")</f>
        <v/>
      </c>
      <c r="O856" s="53" t="str">
        <f aca="false">IF(OR(NOT(ISNUMBER($C856)),NOT(ISNUMBER($M856)),$M856=0),"",$C856/$M856-1)</f>
        <v/>
      </c>
      <c r="P856" s="54"/>
      <c r="Q856" s="53" t="str">
        <f aca="false">IF(NOT(ISNUMBER($P856)),"",IFERROR(PERCENTRANK($P$5:$P$1204,$P856),""))</f>
        <v/>
      </c>
    </row>
    <row r="857" customFormat="false" ht="15" hidden="false" customHeight="false" outlineLevel="0" collapsed="false">
      <c r="A857" s="55"/>
      <c r="B857" s="56"/>
      <c r="C857" s="57"/>
      <c r="D857" s="56"/>
      <c r="E857" s="56"/>
      <c r="F857" s="56"/>
      <c r="G857" s="50" t="str">
        <f aca="false">IF($A857="","",IF(ISNUMBER($G856),$G856+1,1))</f>
        <v/>
      </c>
      <c r="H857" s="51" t="str">
        <f aca="false">IF(OR(NOT(ISNUMBER($G857)),$G857&lt;2,NOT(ISNUMBER($C856)),$C856=0),"",$C857/$C856-1)</f>
        <v/>
      </c>
      <c r="I857" s="52" t="str">
        <f aca="false">IF(AND(ISNUMBER($G857),$G857&gt;=MA_SHORT),AVERAGE(INDEX($C$457:$C857,402-MA_SHORT):$C857),"")</f>
        <v/>
      </c>
      <c r="J857" s="52" t="str">
        <f aca="false">IF(AND(ISNUMBER($G857),$G857&gt;=MA_MED),AVERAGE(INDEX($C$457:$C857,402-MA_MED):$C857),"")</f>
        <v/>
      </c>
      <c r="K857" s="52" t="str">
        <f aca="false">IF(AND(ISNUMBER($G857),$G857&gt;=MA_LONG2),AVERAGE(INDEX($C$457:$C857,402-MA_LONG2):$C857),"")</f>
        <v/>
      </c>
      <c r="L857" s="53" t="str">
        <f aca="false">IF(AND(ISNUMBER($G857),$G857&gt;=21),STDEV(INDEX($H$797:$H857,62-20):$H857)*SQRT(245),"")</f>
        <v/>
      </c>
      <c r="M857" s="52" t="str">
        <f aca="false">IF(AND(ISNUMBER($G857),$G857&gt;=60),MAX(INDEX($D$657:$D857,202-60):$D857),"")</f>
        <v/>
      </c>
      <c r="N857" s="52" t="str">
        <f aca="false">IF(AND(ISNUMBER($G857),$G857&gt;=60),MIN(INDEX($E$657:$E857,202-60):$E857),"")</f>
        <v/>
      </c>
      <c r="O857" s="53" t="str">
        <f aca="false">IF(OR(NOT(ISNUMBER($C857)),NOT(ISNUMBER($M857)),$M857=0),"",$C857/$M857-1)</f>
        <v/>
      </c>
      <c r="P857" s="54"/>
      <c r="Q857" s="53" t="str">
        <f aca="false">IF(NOT(ISNUMBER($P857)),"",IFERROR(PERCENTRANK($P$5:$P$1204,$P857),""))</f>
        <v/>
      </c>
    </row>
    <row r="858" customFormat="false" ht="15" hidden="false" customHeight="false" outlineLevel="0" collapsed="false">
      <c r="A858" s="55"/>
      <c r="B858" s="56"/>
      <c r="C858" s="57"/>
      <c r="D858" s="56"/>
      <c r="E858" s="56"/>
      <c r="F858" s="56"/>
      <c r="G858" s="50" t="str">
        <f aca="false">IF($A858="","",IF(ISNUMBER($G857),$G857+1,1))</f>
        <v/>
      </c>
      <c r="H858" s="51" t="str">
        <f aca="false">IF(OR(NOT(ISNUMBER($G858)),$G858&lt;2,NOT(ISNUMBER($C857)),$C857=0),"",$C858/$C857-1)</f>
        <v/>
      </c>
      <c r="I858" s="52" t="str">
        <f aca="false">IF(AND(ISNUMBER($G858),$G858&gt;=MA_SHORT),AVERAGE(INDEX($C$458:$C858,402-MA_SHORT):$C858),"")</f>
        <v/>
      </c>
      <c r="J858" s="52" t="str">
        <f aca="false">IF(AND(ISNUMBER($G858),$G858&gt;=MA_MED),AVERAGE(INDEX($C$458:$C858,402-MA_MED):$C858),"")</f>
        <v/>
      </c>
      <c r="K858" s="52" t="str">
        <f aca="false">IF(AND(ISNUMBER($G858),$G858&gt;=MA_LONG2),AVERAGE(INDEX($C$458:$C858,402-MA_LONG2):$C858),"")</f>
        <v/>
      </c>
      <c r="L858" s="53" t="str">
        <f aca="false">IF(AND(ISNUMBER($G858),$G858&gt;=21),STDEV(INDEX($H$798:$H858,62-20):$H858)*SQRT(245),"")</f>
        <v/>
      </c>
      <c r="M858" s="52" t="str">
        <f aca="false">IF(AND(ISNUMBER($G858),$G858&gt;=60),MAX(INDEX($D$658:$D858,202-60):$D858),"")</f>
        <v/>
      </c>
      <c r="N858" s="52" t="str">
        <f aca="false">IF(AND(ISNUMBER($G858),$G858&gt;=60),MIN(INDEX($E$658:$E858,202-60):$E858),"")</f>
        <v/>
      </c>
      <c r="O858" s="53" t="str">
        <f aca="false">IF(OR(NOT(ISNUMBER($C858)),NOT(ISNUMBER($M858)),$M858=0),"",$C858/$M858-1)</f>
        <v/>
      </c>
      <c r="P858" s="54"/>
      <c r="Q858" s="53" t="str">
        <f aca="false">IF(NOT(ISNUMBER($P858)),"",IFERROR(PERCENTRANK($P$5:$P$1204,$P858),""))</f>
        <v/>
      </c>
    </row>
    <row r="859" customFormat="false" ht="15" hidden="false" customHeight="false" outlineLevel="0" collapsed="false">
      <c r="A859" s="55"/>
      <c r="B859" s="56"/>
      <c r="C859" s="57"/>
      <c r="D859" s="56"/>
      <c r="E859" s="56"/>
      <c r="F859" s="56"/>
      <c r="G859" s="50" t="str">
        <f aca="false">IF($A859="","",IF(ISNUMBER($G858),$G858+1,1))</f>
        <v/>
      </c>
      <c r="H859" s="51" t="str">
        <f aca="false">IF(OR(NOT(ISNUMBER($G859)),$G859&lt;2,NOT(ISNUMBER($C858)),$C858=0),"",$C859/$C858-1)</f>
        <v/>
      </c>
      <c r="I859" s="52" t="str">
        <f aca="false">IF(AND(ISNUMBER($G859),$G859&gt;=MA_SHORT),AVERAGE(INDEX($C$459:$C859,402-MA_SHORT):$C859),"")</f>
        <v/>
      </c>
      <c r="J859" s="52" t="str">
        <f aca="false">IF(AND(ISNUMBER($G859),$G859&gt;=MA_MED),AVERAGE(INDEX($C$459:$C859,402-MA_MED):$C859),"")</f>
        <v/>
      </c>
      <c r="K859" s="52" t="str">
        <f aca="false">IF(AND(ISNUMBER($G859),$G859&gt;=MA_LONG2),AVERAGE(INDEX($C$459:$C859,402-MA_LONG2):$C859),"")</f>
        <v/>
      </c>
      <c r="L859" s="53" t="str">
        <f aca="false">IF(AND(ISNUMBER($G859),$G859&gt;=21),STDEV(INDEX($H$799:$H859,62-20):$H859)*SQRT(245),"")</f>
        <v/>
      </c>
      <c r="M859" s="52" t="str">
        <f aca="false">IF(AND(ISNUMBER($G859),$G859&gt;=60),MAX(INDEX($D$659:$D859,202-60):$D859),"")</f>
        <v/>
      </c>
      <c r="N859" s="52" t="str">
        <f aca="false">IF(AND(ISNUMBER($G859),$G859&gt;=60),MIN(INDEX($E$659:$E859,202-60):$E859),"")</f>
        <v/>
      </c>
      <c r="O859" s="53" t="str">
        <f aca="false">IF(OR(NOT(ISNUMBER($C859)),NOT(ISNUMBER($M859)),$M859=0),"",$C859/$M859-1)</f>
        <v/>
      </c>
      <c r="P859" s="54"/>
      <c r="Q859" s="53" t="str">
        <f aca="false">IF(NOT(ISNUMBER($P859)),"",IFERROR(PERCENTRANK($P$5:$P$1204,$P859),""))</f>
        <v/>
      </c>
    </row>
    <row r="860" customFormat="false" ht="15" hidden="false" customHeight="false" outlineLevel="0" collapsed="false">
      <c r="A860" s="55"/>
      <c r="B860" s="56"/>
      <c r="C860" s="57"/>
      <c r="D860" s="56"/>
      <c r="E860" s="56"/>
      <c r="F860" s="56"/>
      <c r="G860" s="50" t="str">
        <f aca="false">IF($A860="","",IF(ISNUMBER($G859),$G859+1,1))</f>
        <v/>
      </c>
      <c r="H860" s="51" t="str">
        <f aca="false">IF(OR(NOT(ISNUMBER($G860)),$G860&lt;2,NOT(ISNUMBER($C859)),$C859=0),"",$C860/$C859-1)</f>
        <v/>
      </c>
      <c r="I860" s="52" t="str">
        <f aca="false">IF(AND(ISNUMBER($G860),$G860&gt;=MA_SHORT),AVERAGE(INDEX($C$460:$C860,402-MA_SHORT):$C860),"")</f>
        <v/>
      </c>
      <c r="J860" s="52" t="str">
        <f aca="false">IF(AND(ISNUMBER($G860),$G860&gt;=MA_MED),AVERAGE(INDEX($C$460:$C860,402-MA_MED):$C860),"")</f>
        <v/>
      </c>
      <c r="K860" s="52" t="str">
        <f aca="false">IF(AND(ISNUMBER($G860),$G860&gt;=MA_LONG2),AVERAGE(INDEX($C$460:$C860,402-MA_LONG2):$C860),"")</f>
        <v/>
      </c>
      <c r="L860" s="53" t="str">
        <f aca="false">IF(AND(ISNUMBER($G860),$G860&gt;=21),STDEV(INDEX($H$800:$H860,62-20):$H860)*SQRT(245),"")</f>
        <v/>
      </c>
      <c r="M860" s="52" t="str">
        <f aca="false">IF(AND(ISNUMBER($G860),$G860&gt;=60),MAX(INDEX($D$660:$D860,202-60):$D860),"")</f>
        <v/>
      </c>
      <c r="N860" s="52" t="str">
        <f aca="false">IF(AND(ISNUMBER($G860),$G860&gt;=60),MIN(INDEX($E$660:$E860,202-60):$E860),"")</f>
        <v/>
      </c>
      <c r="O860" s="53" t="str">
        <f aca="false">IF(OR(NOT(ISNUMBER($C860)),NOT(ISNUMBER($M860)),$M860=0),"",$C860/$M860-1)</f>
        <v/>
      </c>
      <c r="P860" s="54"/>
      <c r="Q860" s="53" t="str">
        <f aca="false">IF(NOT(ISNUMBER($P860)),"",IFERROR(PERCENTRANK($P$5:$P$1204,$P860),""))</f>
        <v/>
      </c>
    </row>
    <row r="861" customFormat="false" ht="15" hidden="false" customHeight="false" outlineLevel="0" collapsed="false">
      <c r="A861" s="55"/>
      <c r="B861" s="56"/>
      <c r="C861" s="57"/>
      <c r="D861" s="56"/>
      <c r="E861" s="56"/>
      <c r="F861" s="56"/>
      <c r="G861" s="50" t="str">
        <f aca="false">IF($A861="","",IF(ISNUMBER($G860),$G860+1,1))</f>
        <v/>
      </c>
      <c r="H861" s="51" t="str">
        <f aca="false">IF(OR(NOT(ISNUMBER($G861)),$G861&lt;2,NOT(ISNUMBER($C860)),$C860=0),"",$C861/$C860-1)</f>
        <v/>
      </c>
      <c r="I861" s="52" t="str">
        <f aca="false">IF(AND(ISNUMBER($G861),$G861&gt;=MA_SHORT),AVERAGE(INDEX($C$461:$C861,402-MA_SHORT):$C861),"")</f>
        <v/>
      </c>
      <c r="J861" s="52" t="str">
        <f aca="false">IF(AND(ISNUMBER($G861),$G861&gt;=MA_MED),AVERAGE(INDEX($C$461:$C861,402-MA_MED):$C861),"")</f>
        <v/>
      </c>
      <c r="K861" s="52" t="str">
        <f aca="false">IF(AND(ISNUMBER($G861),$G861&gt;=MA_LONG2),AVERAGE(INDEX($C$461:$C861,402-MA_LONG2):$C861),"")</f>
        <v/>
      </c>
      <c r="L861" s="53" t="str">
        <f aca="false">IF(AND(ISNUMBER($G861),$G861&gt;=21),STDEV(INDEX($H$801:$H861,62-20):$H861)*SQRT(245),"")</f>
        <v/>
      </c>
      <c r="M861" s="52" t="str">
        <f aca="false">IF(AND(ISNUMBER($G861),$G861&gt;=60),MAX(INDEX($D$661:$D861,202-60):$D861),"")</f>
        <v/>
      </c>
      <c r="N861" s="52" t="str">
        <f aca="false">IF(AND(ISNUMBER($G861),$G861&gt;=60),MIN(INDEX($E$661:$E861,202-60):$E861),"")</f>
        <v/>
      </c>
      <c r="O861" s="53" t="str">
        <f aca="false">IF(OR(NOT(ISNUMBER($C861)),NOT(ISNUMBER($M861)),$M861=0),"",$C861/$M861-1)</f>
        <v/>
      </c>
      <c r="P861" s="54"/>
      <c r="Q861" s="53" t="str">
        <f aca="false">IF(NOT(ISNUMBER($P861)),"",IFERROR(PERCENTRANK($P$5:$P$1204,$P861),""))</f>
        <v/>
      </c>
    </row>
    <row r="862" customFormat="false" ht="15" hidden="false" customHeight="false" outlineLevel="0" collapsed="false">
      <c r="A862" s="55"/>
      <c r="B862" s="56"/>
      <c r="C862" s="57"/>
      <c r="D862" s="56"/>
      <c r="E862" s="56"/>
      <c r="F862" s="56"/>
      <c r="G862" s="50" t="str">
        <f aca="false">IF($A862="","",IF(ISNUMBER($G861),$G861+1,1))</f>
        <v/>
      </c>
      <c r="H862" s="51" t="str">
        <f aca="false">IF(OR(NOT(ISNUMBER($G862)),$G862&lt;2,NOT(ISNUMBER($C861)),$C861=0),"",$C862/$C861-1)</f>
        <v/>
      </c>
      <c r="I862" s="52" t="str">
        <f aca="false">IF(AND(ISNUMBER($G862),$G862&gt;=MA_SHORT),AVERAGE(INDEX($C$462:$C862,402-MA_SHORT):$C862),"")</f>
        <v/>
      </c>
      <c r="J862" s="52" t="str">
        <f aca="false">IF(AND(ISNUMBER($G862),$G862&gt;=MA_MED),AVERAGE(INDEX($C$462:$C862,402-MA_MED):$C862),"")</f>
        <v/>
      </c>
      <c r="K862" s="52" t="str">
        <f aca="false">IF(AND(ISNUMBER($G862),$G862&gt;=MA_LONG2),AVERAGE(INDEX($C$462:$C862,402-MA_LONG2):$C862),"")</f>
        <v/>
      </c>
      <c r="L862" s="53" t="str">
        <f aca="false">IF(AND(ISNUMBER($G862),$G862&gt;=21),STDEV(INDEX($H$802:$H862,62-20):$H862)*SQRT(245),"")</f>
        <v/>
      </c>
      <c r="M862" s="52" t="str">
        <f aca="false">IF(AND(ISNUMBER($G862),$G862&gt;=60),MAX(INDEX($D$662:$D862,202-60):$D862),"")</f>
        <v/>
      </c>
      <c r="N862" s="52" t="str">
        <f aca="false">IF(AND(ISNUMBER($G862),$G862&gt;=60),MIN(INDEX($E$662:$E862,202-60):$E862),"")</f>
        <v/>
      </c>
      <c r="O862" s="53" t="str">
        <f aca="false">IF(OR(NOT(ISNUMBER($C862)),NOT(ISNUMBER($M862)),$M862=0),"",$C862/$M862-1)</f>
        <v/>
      </c>
      <c r="P862" s="54"/>
      <c r="Q862" s="53" t="str">
        <f aca="false">IF(NOT(ISNUMBER($P862)),"",IFERROR(PERCENTRANK($P$5:$P$1204,$P862),""))</f>
        <v/>
      </c>
    </row>
    <row r="863" customFormat="false" ht="15" hidden="false" customHeight="false" outlineLevel="0" collapsed="false">
      <c r="A863" s="55"/>
      <c r="B863" s="56"/>
      <c r="C863" s="57"/>
      <c r="D863" s="56"/>
      <c r="E863" s="56"/>
      <c r="F863" s="56"/>
      <c r="G863" s="50" t="str">
        <f aca="false">IF($A863="","",IF(ISNUMBER($G862),$G862+1,1))</f>
        <v/>
      </c>
      <c r="H863" s="51" t="str">
        <f aca="false">IF(OR(NOT(ISNUMBER($G863)),$G863&lt;2,NOT(ISNUMBER($C862)),$C862=0),"",$C863/$C862-1)</f>
        <v/>
      </c>
      <c r="I863" s="52" t="str">
        <f aca="false">IF(AND(ISNUMBER($G863),$G863&gt;=MA_SHORT),AVERAGE(INDEX($C$463:$C863,402-MA_SHORT):$C863),"")</f>
        <v/>
      </c>
      <c r="J863" s="52" t="str">
        <f aca="false">IF(AND(ISNUMBER($G863),$G863&gt;=MA_MED),AVERAGE(INDEX($C$463:$C863,402-MA_MED):$C863),"")</f>
        <v/>
      </c>
      <c r="K863" s="52" t="str">
        <f aca="false">IF(AND(ISNUMBER($G863),$G863&gt;=MA_LONG2),AVERAGE(INDEX($C$463:$C863,402-MA_LONG2):$C863),"")</f>
        <v/>
      </c>
      <c r="L863" s="53" t="str">
        <f aca="false">IF(AND(ISNUMBER($G863),$G863&gt;=21),STDEV(INDEX($H$803:$H863,62-20):$H863)*SQRT(245),"")</f>
        <v/>
      </c>
      <c r="M863" s="52" t="str">
        <f aca="false">IF(AND(ISNUMBER($G863),$G863&gt;=60),MAX(INDEX($D$663:$D863,202-60):$D863),"")</f>
        <v/>
      </c>
      <c r="N863" s="52" t="str">
        <f aca="false">IF(AND(ISNUMBER($G863),$G863&gt;=60),MIN(INDEX($E$663:$E863,202-60):$E863),"")</f>
        <v/>
      </c>
      <c r="O863" s="53" t="str">
        <f aca="false">IF(OR(NOT(ISNUMBER($C863)),NOT(ISNUMBER($M863)),$M863=0),"",$C863/$M863-1)</f>
        <v/>
      </c>
      <c r="P863" s="54"/>
      <c r="Q863" s="53" t="str">
        <f aca="false">IF(NOT(ISNUMBER($P863)),"",IFERROR(PERCENTRANK($P$5:$P$1204,$P863),""))</f>
        <v/>
      </c>
    </row>
    <row r="864" customFormat="false" ht="15" hidden="false" customHeight="false" outlineLevel="0" collapsed="false">
      <c r="A864" s="55"/>
      <c r="B864" s="56"/>
      <c r="C864" s="57"/>
      <c r="D864" s="56"/>
      <c r="E864" s="56"/>
      <c r="F864" s="56"/>
      <c r="G864" s="50" t="str">
        <f aca="false">IF($A864="","",IF(ISNUMBER($G863),$G863+1,1))</f>
        <v/>
      </c>
      <c r="H864" s="51" t="str">
        <f aca="false">IF(OR(NOT(ISNUMBER($G864)),$G864&lt;2,NOT(ISNUMBER($C863)),$C863=0),"",$C864/$C863-1)</f>
        <v/>
      </c>
      <c r="I864" s="52" t="str">
        <f aca="false">IF(AND(ISNUMBER($G864),$G864&gt;=MA_SHORT),AVERAGE(INDEX($C$464:$C864,402-MA_SHORT):$C864),"")</f>
        <v/>
      </c>
      <c r="J864" s="52" t="str">
        <f aca="false">IF(AND(ISNUMBER($G864),$G864&gt;=MA_MED),AVERAGE(INDEX($C$464:$C864,402-MA_MED):$C864),"")</f>
        <v/>
      </c>
      <c r="K864" s="52" t="str">
        <f aca="false">IF(AND(ISNUMBER($G864),$G864&gt;=MA_LONG2),AVERAGE(INDEX($C$464:$C864,402-MA_LONG2):$C864),"")</f>
        <v/>
      </c>
      <c r="L864" s="53" t="str">
        <f aca="false">IF(AND(ISNUMBER($G864),$G864&gt;=21),STDEV(INDEX($H$804:$H864,62-20):$H864)*SQRT(245),"")</f>
        <v/>
      </c>
      <c r="M864" s="52" t="str">
        <f aca="false">IF(AND(ISNUMBER($G864),$G864&gt;=60),MAX(INDEX($D$664:$D864,202-60):$D864),"")</f>
        <v/>
      </c>
      <c r="N864" s="52" t="str">
        <f aca="false">IF(AND(ISNUMBER($G864),$G864&gt;=60),MIN(INDEX($E$664:$E864,202-60):$E864),"")</f>
        <v/>
      </c>
      <c r="O864" s="53" t="str">
        <f aca="false">IF(OR(NOT(ISNUMBER($C864)),NOT(ISNUMBER($M864)),$M864=0),"",$C864/$M864-1)</f>
        <v/>
      </c>
      <c r="P864" s="54"/>
      <c r="Q864" s="53" t="str">
        <f aca="false">IF(NOT(ISNUMBER($P864)),"",IFERROR(PERCENTRANK($P$5:$P$1204,$P864),""))</f>
        <v/>
      </c>
    </row>
    <row r="865" customFormat="false" ht="15" hidden="false" customHeight="false" outlineLevel="0" collapsed="false">
      <c r="A865" s="55"/>
      <c r="B865" s="56"/>
      <c r="C865" s="57"/>
      <c r="D865" s="56"/>
      <c r="E865" s="56"/>
      <c r="F865" s="56"/>
      <c r="G865" s="50" t="str">
        <f aca="false">IF($A865="","",IF(ISNUMBER($G864),$G864+1,1))</f>
        <v/>
      </c>
      <c r="H865" s="51" t="str">
        <f aca="false">IF(OR(NOT(ISNUMBER($G865)),$G865&lt;2,NOT(ISNUMBER($C864)),$C864=0),"",$C865/$C864-1)</f>
        <v/>
      </c>
      <c r="I865" s="52" t="str">
        <f aca="false">IF(AND(ISNUMBER($G865),$G865&gt;=MA_SHORT),AVERAGE(INDEX($C$465:$C865,402-MA_SHORT):$C865),"")</f>
        <v/>
      </c>
      <c r="J865" s="52" t="str">
        <f aca="false">IF(AND(ISNUMBER($G865),$G865&gt;=MA_MED),AVERAGE(INDEX($C$465:$C865,402-MA_MED):$C865),"")</f>
        <v/>
      </c>
      <c r="K865" s="52" t="str">
        <f aca="false">IF(AND(ISNUMBER($G865),$G865&gt;=MA_LONG2),AVERAGE(INDEX($C$465:$C865,402-MA_LONG2):$C865),"")</f>
        <v/>
      </c>
      <c r="L865" s="53" t="str">
        <f aca="false">IF(AND(ISNUMBER($G865),$G865&gt;=21),STDEV(INDEX($H$805:$H865,62-20):$H865)*SQRT(245),"")</f>
        <v/>
      </c>
      <c r="M865" s="52" t="str">
        <f aca="false">IF(AND(ISNUMBER($G865),$G865&gt;=60),MAX(INDEX($D$665:$D865,202-60):$D865),"")</f>
        <v/>
      </c>
      <c r="N865" s="52" t="str">
        <f aca="false">IF(AND(ISNUMBER($G865),$G865&gt;=60),MIN(INDEX($E$665:$E865,202-60):$E865),"")</f>
        <v/>
      </c>
      <c r="O865" s="53" t="str">
        <f aca="false">IF(OR(NOT(ISNUMBER($C865)),NOT(ISNUMBER($M865)),$M865=0),"",$C865/$M865-1)</f>
        <v/>
      </c>
      <c r="P865" s="54"/>
      <c r="Q865" s="53" t="str">
        <f aca="false">IF(NOT(ISNUMBER($P865)),"",IFERROR(PERCENTRANK($P$5:$P$1204,$P865),""))</f>
        <v/>
      </c>
    </row>
    <row r="866" customFormat="false" ht="15" hidden="false" customHeight="false" outlineLevel="0" collapsed="false">
      <c r="A866" s="55"/>
      <c r="B866" s="56"/>
      <c r="C866" s="57"/>
      <c r="D866" s="56"/>
      <c r="E866" s="56"/>
      <c r="F866" s="56"/>
      <c r="G866" s="50" t="str">
        <f aca="false">IF($A866="","",IF(ISNUMBER($G865),$G865+1,1))</f>
        <v/>
      </c>
      <c r="H866" s="51" t="str">
        <f aca="false">IF(OR(NOT(ISNUMBER($G866)),$G866&lt;2,NOT(ISNUMBER($C865)),$C865=0),"",$C866/$C865-1)</f>
        <v/>
      </c>
      <c r="I866" s="52" t="str">
        <f aca="false">IF(AND(ISNUMBER($G866),$G866&gt;=MA_SHORT),AVERAGE(INDEX($C$466:$C866,402-MA_SHORT):$C866),"")</f>
        <v/>
      </c>
      <c r="J866" s="52" t="str">
        <f aca="false">IF(AND(ISNUMBER($G866),$G866&gt;=MA_MED),AVERAGE(INDEX($C$466:$C866,402-MA_MED):$C866),"")</f>
        <v/>
      </c>
      <c r="K866" s="52" t="str">
        <f aca="false">IF(AND(ISNUMBER($G866),$G866&gt;=MA_LONG2),AVERAGE(INDEX($C$466:$C866,402-MA_LONG2):$C866),"")</f>
        <v/>
      </c>
      <c r="L866" s="53" t="str">
        <f aca="false">IF(AND(ISNUMBER($G866),$G866&gt;=21),STDEV(INDEX($H$806:$H866,62-20):$H866)*SQRT(245),"")</f>
        <v/>
      </c>
      <c r="M866" s="52" t="str">
        <f aca="false">IF(AND(ISNUMBER($G866),$G866&gt;=60),MAX(INDEX($D$666:$D866,202-60):$D866),"")</f>
        <v/>
      </c>
      <c r="N866" s="52" t="str">
        <f aca="false">IF(AND(ISNUMBER($G866),$G866&gt;=60),MIN(INDEX($E$666:$E866,202-60):$E866),"")</f>
        <v/>
      </c>
      <c r="O866" s="53" t="str">
        <f aca="false">IF(OR(NOT(ISNUMBER($C866)),NOT(ISNUMBER($M866)),$M866=0),"",$C866/$M866-1)</f>
        <v/>
      </c>
      <c r="P866" s="54"/>
      <c r="Q866" s="53" t="str">
        <f aca="false">IF(NOT(ISNUMBER($P866)),"",IFERROR(PERCENTRANK($P$5:$P$1204,$P866),""))</f>
        <v/>
      </c>
    </row>
    <row r="867" customFormat="false" ht="15" hidden="false" customHeight="false" outlineLevel="0" collapsed="false">
      <c r="A867" s="55"/>
      <c r="B867" s="56"/>
      <c r="C867" s="57"/>
      <c r="D867" s="56"/>
      <c r="E867" s="56"/>
      <c r="F867" s="56"/>
      <c r="G867" s="50" t="str">
        <f aca="false">IF($A867="","",IF(ISNUMBER($G866),$G866+1,1))</f>
        <v/>
      </c>
      <c r="H867" s="51" t="str">
        <f aca="false">IF(OR(NOT(ISNUMBER($G867)),$G867&lt;2,NOT(ISNUMBER($C866)),$C866=0),"",$C867/$C866-1)</f>
        <v/>
      </c>
      <c r="I867" s="52" t="str">
        <f aca="false">IF(AND(ISNUMBER($G867),$G867&gt;=MA_SHORT),AVERAGE(INDEX($C$467:$C867,402-MA_SHORT):$C867),"")</f>
        <v/>
      </c>
      <c r="J867" s="52" t="str">
        <f aca="false">IF(AND(ISNUMBER($G867),$G867&gt;=MA_MED),AVERAGE(INDEX($C$467:$C867,402-MA_MED):$C867),"")</f>
        <v/>
      </c>
      <c r="K867" s="52" t="str">
        <f aca="false">IF(AND(ISNUMBER($G867),$G867&gt;=MA_LONG2),AVERAGE(INDEX($C$467:$C867,402-MA_LONG2):$C867),"")</f>
        <v/>
      </c>
      <c r="L867" s="53" t="str">
        <f aca="false">IF(AND(ISNUMBER($G867),$G867&gt;=21),STDEV(INDEX($H$807:$H867,62-20):$H867)*SQRT(245),"")</f>
        <v/>
      </c>
      <c r="M867" s="52" t="str">
        <f aca="false">IF(AND(ISNUMBER($G867),$G867&gt;=60),MAX(INDEX($D$667:$D867,202-60):$D867),"")</f>
        <v/>
      </c>
      <c r="N867" s="52" t="str">
        <f aca="false">IF(AND(ISNUMBER($G867),$G867&gt;=60),MIN(INDEX($E$667:$E867,202-60):$E867),"")</f>
        <v/>
      </c>
      <c r="O867" s="53" t="str">
        <f aca="false">IF(OR(NOT(ISNUMBER($C867)),NOT(ISNUMBER($M867)),$M867=0),"",$C867/$M867-1)</f>
        <v/>
      </c>
      <c r="P867" s="54"/>
      <c r="Q867" s="53" t="str">
        <f aca="false">IF(NOT(ISNUMBER($P867)),"",IFERROR(PERCENTRANK($P$5:$P$1204,$P867),""))</f>
        <v/>
      </c>
    </row>
    <row r="868" customFormat="false" ht="15" hidden="false" customHeight="false" outlineLevel="0" collapsed="false">
      <c r="A868" s="55"/>
      <c r="B868" s="56"/>
      <c r="C868" s="57"/>
      <c r="D868" s="56"/>
      <c r="E868" s="56"/>
      <c r="F868" s="56"/>
      <c r="G868" s="50" t="str">
        <f aca="false">IF($A868="","",IF(ISNUMBER($G867),$G867+1,1))</f>
        <v/>
      </c>
      <c r="H868" s="51" t="str">
        <f aca="false">IF(OR(NOT(ISNUMBER($G868)),$G868&lt;2,NOT(ISNUMBER($C867)),$C867=0),"",$C868/$C867-1)</f>
        <v/>
      </c>
      <c r="I868" s="52" t="str">
        <f aca="false">IF(AND(ISNUMBER($G868),$G868&gt;=MA_SHORT),AVERAGE(INDEX($C$468:$C868,402-MA_SHORT):$C868),"")</f>
        <v/>
      </c>
      <c r="J868" s="52" t="str">
        <f aca="false">IF(AND(ISNUMBER($G868),$G868&gt;=MA_MED),AVERAGE(INDEX($C$468:$C868,402-MA_MED):$C868),"")</f>
        <v/>
      </c>
      <c r="K868" s="52" t="str">
        <f aca="false">IF(AND(ISNUMBER($G868),$G868&gt;=MA_LONG2),AVERAGE(INDEX($C$468:$C868,402-MA_LONG2):$C868),"")</f>
        <v/>
      </c>
      <c r="L868" s="53" t="str">
        <f aca="false">IF(AND(ISNUMBER($G868),$G868&gt;=21),STDEV(INDEX($H$808:$H868,62-20):$H868)*SQRT(245),"")</f>
        <v/>
      </c>
      <c r="M868" s="52" t="str">
        <f aca="false">IF(AND(ISNUMBER($G868),$G868&gt;=60),MAX(INDEX($D$668:$D868,202-60):$D868),"")</f>
        <v/>
      </c>
      <c r="N868" s="52" t="str">
        <f aca="false">IF(AND(ISNUMBER($G868),$G868&gt;=60),MIN(INDEX($E$668:$E868,202-60):$E868),"")</f>
        <v/>
      </c>
      <c r="O868" s="53" t="str">
        <f aca="false">IF(OR(NOT(ISNUMBER($C868)),NOT(ISNUMBER($M868)),$M868=0),"",$C868/$M868-1)</f>
        <v/>
      </c>
      <c r="P868" s="54"/>
      <c r="Q868" s="53" t="str">
        <f aca="false">IF(NOT(ISNUMBER($P868)),"",IFERROR(PERCENTRANK($P$5:$P$1204,$P868),""))</f>
        <v/>
      </c>
    </row>
    <row r="869" customFormat="false" ht="15" hidden="false" customHeight="false" outlineLevel="0" collapsed="false">
      <c r="A869" s="55"/>
      <c r="B869" s="56"/>
      <c r="C869" s="57"/>
      <c r="D869" s="56"/>
      <c r="E869" s="56"/>
      <c r="F869" s="56"/>
      <c r="G869" s="50" t="str">
        <f aca="false">IF($A869="","",IF(ISNUMBER($G868),$G868+1,1))</f>
        <v/>
      </c>
      <c r="H869" s="51" t="str">
        <f aca="false">IF(OR(NOT(ISNUMBER($G869)),$G869&lt;2,NOT(ISNUMBER($C868)),$C868=0),"",$C869/$C868-1)</f>
        <v/>
      </c>
      <c r="I869" s="52" t="str">
        <f aca="false">IF(AND(ISNUMBER($G869),$G869&gt;=MA_SHORT),AVERAGE(INDEX($C$469:$C869,402-MA_SHORT):$C869),"")</f>
        <v/>
      </c>
      <c r="J869" s="52" t="str">
        <f aca="false">IF(AND(ISNUMBER($G869),$G869&gt;=MA_MED),AVERAGE(INDEX($C$469:$C869,402-MA_MED):$C869),"")</f>
        <v/>
      </c>
      <c r="K869" s="52" t="str">
        <f aca="false">IF(AND(ISNUMBER($G869),$G869&gt;=MA_LONG2),AVERAGE(INDEX($C$469:$C869,402-MA_LONG2):$C869),"")</f>
        <v/>
      </c>
      <c r="L869" s="53" t="str">
        <f aca="false">IF(AND(ISNUMBER($G869),$G869&gt;=21),STDEV(INDEX($H$809:$H869,62-20):$H869)*SQRT(245),"")</f>
        <v/>
      </c>
      <c r="M869" s="52" t="str">
        <f aca="false">IF(AND(ISNUMBER($G869),$G869&gt;=60),MAX(INDEX($D$669:$D869,202-60):$D869),"")</f>
        <v/>
      </c>
      <c r="N869" s="52" t="str">
        <f aca="false">IF(AND(ISNUMBER($G869),$G869&gt;=60),MIN(INDEX($E$669:$E869,202-60):$E869),"")</f>
        <v/>
      </c>
      <c r="O869" s="53" t="str">
        <f aca="false">IF(OR(NOT(ISNUMBER($C869)),NOT(ISNUMBER($M869)),$M869=0),"",$C869/$M869-1)</f>
        <v/>
      </c>
      <c r="P869" s="54"/>
      <c r="Q869" s="53" t="str">
        <f aca="false">IF(NOT(ISNUMBER($P869)),"",IFERROR(PERCENTRANK($P$5:$P$1204,$P869),""))</f>
        <v/>
      </c>
    </row>
    <row r="870" customFormat="false" ht="15" hidden="false" customHeight="false" outlineLevel="0" collapsed="false">
      <c r="A870" s="55"/>
      <c r="B870" s="56"/>
      <c r="C870" s="57"/>
      <c r="D870" s="56"/>
      <c r="E870" s="56"/>
      <c r="F870" s="56"/>
      <c r="G870" s="50" t="str">
        <f aca="false">IF($A870="","",IF(ISNUMBER($G869),$G869+1,1))</f>
        <v/>
      </c>
      <c r="H870" s="51" t="str">
        <f aca="false">IF(OR(NOT(ISNUMBER($G870)),$G870&lt;2,NOT(ISNUMBER($C869)),$C869=0),"",$C870/$C869-1)</f>
        <v/>
      </c>
      <c r="I870" s="52" t="str">
        <f aca="false">IF(AND(ISNUMBER($G870),$G870&gt;=MA_SHORT),AVERAGE(INDEX($C$470:$C870,402-MA_SHORT):$C870),"")</f>
        <v/>
      </c>
      <c r="J870" s="52" t="str">
        <f aca="false">IF(AND(ISNUMBER($G870),$G870&gt;=MA_MED),AVERAGE(INDEX($C$470:$C870,402-MA_MED):$C870),"")</f>
        <v/>
      </c>
      <c r="K870" s="52" t="str">
        <f aca="false">IF(AND(ISNUMBER($G870),$G870&gt;=MA_LONG2),AVERAGE(INDEX($C$470:$C870,402-MA_LONG2):$C870),"")</f>
        <v/>
      </c>
      <c r="L870" s="53" t="str">
        <f aca="false">IF(AND(ISNUMBER($G870),$G870&gt;=21),STDEV(INDEX($H$810:$H870,62-20):$H870)*SQRT(245),"")</f>
        <v/>
      </c>
      <c r="M870" s="52" t="str">
        <f aca="false">IF(AND(ISNUMBER($G870),$G870&gt;=60),MAX(INDEX($D$670:$D870,202-60):$D870),"")</f>
        <v/>
      </c>
      <c r="N870" s="52" t="str">
        <f aca="false">IF(AND(ISNUMBER($G870),$G870&gt;=60),MIN(INDEX($E$670:$E870,202-60):$E870),"")</f>
        <v/>
      </c>
      <c r="O870" s="53" t="str">
        <f aca="false">IF(OR(NOT(ISNUMBER($C870)),NOT(ISNUMBER($M870)),$M870=0),"",$C870/$M870-1)</f>
        <v/>
      </c>
      <c r="P870" s="54"/>
      <c r="Q870" s="53" t="str">
        <f aca="false">IF(NOT(ISNUMBER($P870)),"",IFERROR(PERCENTRANK($P$5:$P$1204,$P870),""))</f>
        <v/>
      </c>
    </row>
    <row r="871" customFormat="false" ht="15" hidden="false" customHeight="false" outlineLevel="0" collapsed="false">
      <c r="A871" s="55"/>
      <c r="B871" s="56"/>
      <c r="C871" s="57"/>
      <c r="D871" s="56"/>
      <c r="E871" s="56"/>
      <c r="F871" s="56"/>
      <c r="G871" s="50" t="str">
        <f aca="false">IF($A871="","",IF(ISNUMBER($G870),$G870+1,1))</f>
        <v/>
      </c>
      <c r="H871" s="51" t="str">
        <f aca="false">IF(OR(NOT(ISNUMBER($G871)),$G871&lt;2,NOT(ISNUMBER($C870)),$C870=0),"",$C871/$C870-1)</f>
        <v/>
      </c>
      <c r="I871" s="52" t="str">
        <f aca="false">IF(AND(ISNUMBER($G871),$G871&gt;=MA_SHORT),AVERAGE(INDEX($C$471:$C871,402-MA_SHORT):$C871),"")</f>
        <v/>
      </c>
      <c r="J871" s="52" t="str">
        <f aca="false">IF(AND(ISNUMBER($G871),$G871&gt;=MA_MED),AVERAGE(INDEX($C$471:$C871,402-MA_MED):$C871),"")</f>
        <v/>
      </c>
      <c r="K871" s="52" t="str">
        <f aca="false">IF(AND(ISNUMBER($G871),$G871&gt;=MA_LONG2),AVERAGE(INDEX($C$471:$C871,402-MA_LONG2):$C871),"")</f>
        <v/>
      </c>
      <c r="L871" s="53" t="str">
        <f aca="false">IF(AND(ISNUMBER($G871),$G871&gt;=21),STDEV(INDEX($H$811:$H871,62-20):$H871)*SQRT(245),"")</f>
        <v/>
      </c>
      <c r="M871" s="52" t="str">
        <f aca="false">IF(AND(ISNUMBER($G871),$G871&gt;=60),MAX(INDEX($D$671:$D871,202-60):$D871),"")</f>
        <v/>
      </c>
      <c r="N871" s="52" t="str">
        <f aca="false">IF(AND(ISNUMBER($G871),$G871&gt;=60),MIN(INDEX($E$671:$E871,202-60):$E871),"")</f>
        <v/>
      </c>
      <c r="O871" s="53" t="str">
        <f aca="false">IF(OR(NOT(ISNUMBER($C871)),NOT(ISNUMBER($M871)),$M871=0),"",$C871/$M871-1)</f>
        <v/>
      </c>
      <c r="P871" s="54"/>
      <c r="Q871" s="53" t="str">
        <f aca="false">IF(NOT(ISNUMBER($P871)),"",IFERROR(PERCENTRANK($P$5:$P$1204,$P871),""))</f>
        <v/>
      </c>
    </row>
    <row r="872" customFormat="false" ht="15" hidden="false" customHeight="false" outlineLevel="0" collapsed="false">
      <c r="A872" s="55"/>
      <c r="B872" s="56"/>
      <c r="C872" s="57"/>
      <c r="D872" s="56"/>
      <c r="E872" s="56"/>
      <c r="F872" s="56"/>
      <c r="G872" s="50" t="str">
        <f aca="false">IF($A872="","",IF(ISNUMBER($G871),$G871+1,1))</f>
        <v/>
      </c>
      <c r="H872" s="51" t="str">
        <f aca="false">IF(OR(NOT(ISNUMBER($G872)),$G872&lt;2,NOT(ISNUMBER($C871)),$C871=0),"",$C872/$C871-1)</f>
        <v/>
      </c>
      <c r="I872" s="52" t="str">
        <f aca="false">IF(AND(ISNUMBER($G872),$G872&gt;=MA_SHORT),AVERAGE(INDEX($C$472:$C872,402-MA_SHORT):$C872),"")</f>
        <v/>
      </c>
      <c r="J872" s="52" t="str">
        <f aca="false">IF(AND(ISNUMBER($G872),$G872&gt;=MA_MED),AVERAGE(INDEX($C$472:$C872,402-MA_MED):$C872),"")</f>
        <v/>
      </c>
      <c r="K872" s="52" t="str">
        <f aca="false">IF(AND(ISNUMBER($G872),$G872&gt;=MA_LONG2),AVERAGE(INDEX($C$472:$C872,402-MA_LONG2):$C872),"")</f>
        <v/>
      </c>
      <c r="L872" s="53" t="str">
        <f aca="false">IF(AND(ISNUMBER($G872),$G872&gt;=21),STDEV(INDEX($H$812:$H872,62-20):$H872)*SQRT(245),"")</f>
        <v/>
      </c>
      <c r="M872" s="52" t="str">
        <f aca="false">IF(AND(ISNUMBER($G872),$G872&gt;=60),MAX(INDEX($D$672:$D872,202-60):$D872),"")</f>
        <v/>
      </c>
      <c r="N872" s="52" t="str">
        <f aca="false">IF(AND(ISNUMBER($G872),$G872&gt;=60),MIN(INDEX($E$672:$E872,202-60):$E872),"")</f>
        <v/>
      </c>
      <c r="O872" s="53" t="str">
        <f aca="false">IF(OR(NOT(ISNUMBER($C872)),NOT(ISNUMBER($M872)),$M872=0),"",$C872/$M872-1)</f>
        <v/>
      </c>
      <c r="P872" s="54"/>
      <c r="Q872" s="53" t="str">
        <f aca="false">IF(NOT(ISNUMBER($P872)),"",IFERROR(PERCENTRANK($P$5:$P$1204,$P872),""))</f>
        <v/>
      </c>
    </row>
    <row r="873" customFormat="false" ht="15" hidden="false" customHeight="false" outlineLevel="0" collapsed="false">
      <c r="A873" s="55"/>
      <c r="B873" s="56"/>
      <c r="C873" s="57"/>
      <c r="D873" s="56"/>
      <c r="E873" s="56"/>
      <c r="F873" s="56"/>
      <c r="G873" s="50" t="str">
        <f aca="false">IF($A873="","",IF(ISNUMBER($G872),$G872+1,1))</f>
        <v/>
      </c>
      <c r="H873" s="51" t="str">
        <f aca="false">IF(OR(NOT(ISNUMBER($G873)),$G873&lt;2,NOT(ISNUMBER($C872)),$C872=0),"",$C873/$C872-1)</f>
        <v/>
      </c>
      <c r="I873" s="52" t="str">
        <f aca="false">IF(AND(ISNUMBER($G873),$G873&gt;=MA_SHORT),AVERAGE(INDEX($C$473:$C873,402-MA_SHORT):$C873),"")</f>
        <v/>
      </c>
      <c r="J873" s="52" t="str">
        <f aca="false">IF(AND(ISNUMBER($G873),$G873&gt;=MA_MED),AVERAGE(INDEX($C$473:$C873,402-MA_MED):$C873),"")</f>
        <v/>
      </c>
      <c r="K873" s="52" t="str">
        <f aca="false">IF(AND(ISNUMBER($G873),$G873&gt;=MA_LONG2),AVERAGE(INDEX($C$473:$C873,402-MA_LONG2):$C873),"")</f>
        <v/>
      </c>
      <c r="L873" s="53" t="str">
        <f aca="false">IF(AND(ISNUMBER($G873),$G873&gt;=21),STDEV(INDEX($H$813:$H873,62-20):$H873)*SQRT(245),"")</f>
        <v/>
      </c>
      <c r="M873" s="52" t="str">
        <f aca="false">IF(AND(ISNUMBER($G873),$G873&gt;=60),MAX(INDEX($D$673:$D873,202-60):$D873),"")</f>
        <v/>
      </c>
      <c r="N873" s="52" t="str">
        <f aca="false">IF(AND(ISNUMBER($G873),$G873&gt;=60),MIN(INDEX($E$673:$E873,202-60):$E873),"")</f>
        <v/>
      </c>
      <c r="O873" s="53" t="str">
        <f aca="false">IF(OR(NOT(ISNUMBER($C873)),NOT(ISNUMBER($M873)),$M873=0),"",$C873/$M873-1)</f>
        <v/>
      </c>
      <c r="P873" s="54"/>
      <c r="Q873" s="53" t="str">
        <f aca="false">IF(NOT(ISNUMBER($P873)),"",IFERROR(PERCENTRANK($P$5:$P$1204,$P873),""))</f>
        <v/>
      </c>
    </row>
    <row r="874" customFormat="false" ht="15" hidden="false" customHeight="false" outlineLevel="0" collapsed="false">
      <c r="A874" s="55"/>
      <c r="B874" s="56"/>
      <c r="C874" s="57"/>
      <c r="D874" s="56"/>
      <c r="E874" s="56"/>
      <c r="F874" s="56"/>
      <c r="G874" s="50" t="str">
        <f aca="false">IF($A874="","",IF(ISNUMBER($G873),$G873+1,1))</f>
        <v/>
      </c>
      <c r="H874" s="51" t="str">
        <f aca="false">IF(OR(NOT(ISNUMBER($G874)),$G874&lt;2,NOT(ISNUMBER($C873)),$C873=0),"",$C874/$C873-1)</f>
        <v/>
      </c>
      <c r="I874" s="52" t="str">
        <f aca="false">IF(AND(ISNUMBER($G874),$G874&gt;=MA_SHORT),AVERAGE(INDEX($C$474:$C874,402-MA_SHORT):$C874),"")</f>
        <v/>
      </c>
      <c r="J874" s="52" t="str">
        <f aca="false">IF(AND(ISNUMBER($G874),$G874&gt;=MA_MED),AVERAGE(INDEX($C$474:$C874,402-MA_MED):$C874),"")</f>
        <v/>
      </c>
      <c r="K874" s="52" t="str">
        <f aca="false">IF(AND(ISNUMBER($G874),$G874&gt;=MA_LONG2),AVERAGE(INDEX($C$474:$C874,402-MA_LONG2):$C874),"")</f>
        <v/>
      </c>
      <c r="L874" s="53" t="str">
        <f aca="false">IF(AND(ISNUMBER($G874),$G874&gt;=21),STDEV(INDEX($H$814:$H874,62-20):$H874)*SQRT(245),"")</f>
        <v/>
      </c>
      <c r="M874" s="52" t="str">
        <f aca="false">IF(AND(ISNUMBER($G874),$G874&gt;=60),MAX(INDEX($D$674:$D874,202-60):$D874),"")</f>
        <v/>
      </c>
      <c r="N874" s="52" t="str">
        <f aca="false">IF(AND(ISNUMBER($G874),$G874&gt;=60),MIN(INDEX($E$674:$E874,202-60):$E874),"")</f>
        <v/>
      </c>
      <c r="O874" s="53" t="str">
        <f aca="false">IF(OR(NOT(ISNUMBER($C874)),NOT(ISNUMBER($M874)),$M874=0),"",$C874/$M874-1)</f>
        <v/>
      </c>
      <c r="P874" s="54"/>
      <c r="Q874" s="53" t="str">
        <f aca="false">IF(NOT(ISNUMBER($P874)),"",IFERROR(PERCENTRANK($P$5:$P$1204,$P874),""))</f>
        <v/>
      </c>
    </row>
    <row r="875" customFormat="false" ht="15" hidden="false" customHeight="false" outlineLevel="0" collapsed="false">
      <c r="A875" s="55"/>
      <c r="B875" s="56"/>
      <c r="C875" s="57"/>
      <c r="D875" s="56"/>
      <c r="E875" s="56"/>
      <c r="F875" s="56"/>
      <c r="G875" s="50" t="str">
        <f aca="false">IF($A875="","",IF(ISNUMBER($G874),$G874+1,1))</f>
        <v/>
      </c>
      <c r="H875" s="51" t="str">
        <f aca="false">IF(OR(NOT(ISNUMBER($G875)),$G875&lt;2,NOT(ISNUMBER($C874)),$C874=0),"",$C875/$C874-1)</f>
        <v/>
      </c>
      <c r="I875" s="52" t="str">
        <f aca="false">IF(AND(ISNUMBER($G875),$G875&gt;=MA_SHORT),AVERAGE(INDEX($C$475:$C875,402-MA_SHORT):$C875),"")</f>
        <v/>
      </c>
      <c r="J875" s="52" t="str">
        <f aca="false">IF(AND(ISNUMBER($G875),$G875&gt;=MA_MED),AVERAGE(INDEX($C$475:$C875,402-MA_MED):$C875),"")</f>
        <v/>
      </c>
      <c r="K875" s="52" t="str">
        <f aca="false">IF(AND(ISNUMBER($G875),$G875&gt;=MA_LONG2),AVERAGE(INDEX($C$475:$C875,402-MA_LONG2):$C875),"")</f>
        <v/>
      </c>
      <c r="L875" s="53" t="str">
        <f aca="false">IF(AND(ISNUMBER($G875),$G875&gt;=21),STDEV(INDEX($H$815:$H875,62-20):$H875)*SQRT(245),"")</f>
        <v/>
      </c>
      <c r="M875" s="52" t="str">
        <f aca="false">IF(AND(ISNUMBER($G875),$G875&gt;=60),MAX(INDEX($D$675:$D875,202-60):$D875),"")</f>
        <v/>
      </c>
      <c r="N875" s="52" t="str">
        <f aca="false">IF(AND(ISNUMBER($G875),$G875&gt;=60),MIN(INDEX($E$675:$E875,202-60):$E875),"")</f>
        <v/>
      </c>
      <c r="O875" s="53" t="str">
        <f aca="false">IF(OR(NOT(ISNUMBER($C875)),NOT(ISNUMBER($M875)),$M875=0),"",$C875/$M875-1)</f>
        <v/>
      </c>
      <c r="P875" s="54"/>
      <c r="Q875" s="53" t="str">
        <f aca="false">IF(NOT(ISNUMBER($P875)),"",IFERROR(PERCENTRANK($P$5:$P$1204,$P875),""))</f>
        <v/>
      </c>
    </row>
    <row r="876" customFormat="false" ht="15" hidden="false" customHeight="false" outlineLevel="0" collapsed="false">
      <c r="A876" s="55"/>
      <c r="B876" s="56"/>
      <c r="C876" s="57"/>
      <c r="D876" s="56"/>
      <c r="E876" s="56"/>
      <c r="F876" s="56"/>
      <c r="G876" s="50" t="str">
        <f aca="false">IF($A876="","",IF(ISNUMBER($G875),$G875+1,1))</f>
        <v/>
      </c>
      <c r="H876" s="51" t="str">
        <f aca="false">IF(OR(NOT(ISNUMBER($G876)),$G876&lt;2,NOT(ISNUMBER($C875)),$C875=0),"",$C876/$C875-1)</f>
        <v/>
      </c>
      <c r="I876" s="52" t="str">
        <f aca="false">IF(AND(ISNUMBER($G876),$G876&gt;=MA_SHORT),AVERAGE(INDEX($C$476:$C876,402-MA_SHORT):$C876),"")</f>
        <v/>
      </c>
      <c r="J876" s="52" t="str">
        <f aca="false">IF(AND(ISNUMBER($G876),$G876&gt;=MA_MED),AVERAGE(INDEX($C$476:$C876,402-MA_MED):$C876),"")</f>
        <v/>
      </c>
      <c r="K876" s="52" t="str">
        <f aca="false">IF(AND(ISNUMBER($G876),$G876&gt;=MA_LONG2),AVERAGE(INDEX($C$476:$C876,402-MA_LONG2):$C876),"")</f>
        <v/>
      </c>
      <c r="L876" s="53" t="str">
        <f aca="false">IF(AND(ISNUMBER($G876),$G876&gt;=21),STDEV(INDEX($H$816:$H876,62-20):$H876)*SQRT(245),"")</f>
        <v/>
      </c>
      <c r="M876" s="52" t="str">
        <f aca="false">IF(AND(ISNUMBER($G876),$G876&gt;=60),MAX(INDEX($D$676:$D876,202-60):$D876),"")</f>
        <v/>
      </c>
      <c r="N876" s="52" t="str">
        <f aca="false">IF(AND(ISNUMBER($G876),$G876&gt;=60),MIN(INDEX($E$676:$E876,202-60):$E876),"")</f>
        <v/>
      </c>
      <c r="O876" s="53" t="str">
        <f aca="false">IF(OR(NOT(ISNUMBER($C876)),NOT(ISNUMBER($M876)),$M876=0),"",$C876/$M876-1)</f>
        <v/>
      </c>
      <c r="P876" s="54"/>
      <c r="Q876" s="53" t="str">
        <f aca="false">IF(NOT(ISNUMBER($P876)),"",IFERROR(PERCENTRANK($P$5:$P$1204,$P876),""))</f>
        <v/>
      </c>
    </row>
    <row r="877" customFormat="false" ht="15" hidden="false" customHeight="false" outlineLevel="0" collapsed="false">
      <c r="A877" s="55"/>
      <c r="B877" s="56"/>
      <c r="C877" s="57"/>
      <c r="D877" s="56"/>
      <c r="E877" s="56"/>
      <c r="F877" s="56"/>
      <c r="G877" s="50" t="str">
        <f aca="false">IF($A877="","",IF(ISNUMBER($G876),$G876+1,1))</f>
        <v/>
      </c>
      <c r="H877" s="51" t="str">
        <f aca="false">IF(OR(NOT(ISNUMBER($G877)),$G877&lt;2,NOT(ISNUMBER($C876)),$C876=0),"",$C877/$C876-1)</f>
        <v/>
      </c>
      <c r="I877" s="52" t="str">
        <f aca="false">IF(AND(ISNUMBER($G877),$G877&gt;=MA_SHORT),AVERAGE(INDEX($C$477:$C877,402-MA_SHORT):$C877),"")</f>
        <v/>
      </c>
      <c r="J877" s="52" t="str">
        <f aca="false">IF(AND(ISNUMBER($G877),$G877&gt;=MA_MED),AVERAGE(INDEX($C$477:$C877,402-MA_MED):$C877),"")</f>
        <v/>
      </c>
      <c r="K877" s="52" t="str">
        <f aca="false">IF(AND(ISNUMBER($G877),$G877&gt;=MA_LONG2),AVERAGE(INDEX($C$477:$C877,402-MA_LONG2):$C877),"")</f>
        <v/>
      </c>
      <c r="L877" s="53" t="str">
        <f aca="false">IF(AND(ISNUMBER($G877),$G877&gt;=21),STDEV(INDEX($H$817:$H877,62-20):$H877)*SQRT(245),"")</f>
        <v/>
      </c>
      <c r="M877" s="52" t="str">
        <f aca="false">IF(AND(ISNUMBER($G877),$G877&gt;=60),MAX(INDEX($D$677:$D877,202-60):$D877),"")</f>
        <v/>
      </c>
      <c r="N877" s="52" t="str">
        <f aca="false">IF(AND(ISNUMBER($G877),$G877&gt;=60),MIN(INDEX($E$677:$E877,202-60):$E877),"")</f>
        <v/>
      </c>
      <c r="O877" s="53" t="str">
        <f aca="false">IF(OR(NOT(ISNUMBER($C877)),NOT(ISNUMBER($M877)),$M877=0),"",$C877/$M877-1)</f>
        <v/>
      </c>
      <c r="P877" s="54"/>
      <c r="Q877" s="53" t="str">
        <f aca="false">IF(NOT(ISNUMBER($P877)),"",IFERROR(PERCENTRANK($P$5:$P$1204,$P877),""))</f>
        <v/>
      </c>
    </row>
    <row r="878" customFormat="false" ht="15" hidden="false" customHeight="false" outlineLevel="0" collapsed="false">
      <c r="A878" s="55"/>
      <c r="B878" s="56"/>
      <c r="C878" s="57"/>
      <c r="D878" s="56"/>
      <c r="E878" s="56"/>
      <c r="F878" s="56"/>
      <c r="G878" s="50" t="str">
        <f aca="false">IF($A878="","",IF(ISNUMBER($G877),$G877+1,1))</f>
        <v/>
      </c>
      <c r="H878" s="51" t="str">
        <f aca="false">IF(OR(NOT(ISNUMBER($G878)),$G878&lt;2,NOT(ISNUMBER($C877)),$C877=0),"",$C878/$C877-1)</f>
        <v/>
      </c>
      <c r="I878" s="52" t="str">
        <f aca="false">IF(AND(ISNUMBER($G878),$G878&gt;=MA_SHORT),AVERAGE(INDEX($C$478:$C878,402-MA_SHORT):$C878),"")</f>
        <v/>
      </c>
      <c r="J878" s="52" t="str">
        <f aca="false">IF(AND(ISNUMBER($G878),$G878&gt;=MA_MED),AVERAGE(INDEX($C$478:$C878,402-MA_MED):$C878),"")</f>
        <v/>
      </c>
      <c r="K878" s="52" t="str">
        <f aca="false">IF(AND(ISNUMBER($G878),$G878&gt;=MA_LONG2),AVERAGE(INDEX($C$478:$C878,402-MA_LONG2):$C878),"")</f>
        <v/>
      </c>
      <c r="L878" s="53" t="str">
        <f aca="false">IF(AND(ISNUMBER($G878),$G878&gt;=21),STDEV(INDEX($H$818:$H878,62-20):$H878)*SQRT(245),"")</f>
        <v/>
      </c>
      <c r="M878" s="52" t="str">
        <f aca="false">IF(AND(ISNUMBER($G878),$G878&gt;=60),MAX(INDEX($D$678:$D878,202-60):$D878),"")</f>
        <v/>
      </c>
      <c r="N878" s="52" t="str">
        <f aca="false">IF(AND(ISNUMBER($G878),$G878&gt;=60),MIN(INDEX($E$678:$E878,202-60):$E878),"")</f>
        <v/>
      </c>
      <c r="O878" s="53" t="str">
        <f aca="false">IF(OR(NOT(ISNUMBER($C878)),NOT(ISNUMBER($M878)),$M878=0),"",$C878/$M878-1)</f>
        <v/>
      </c>
      <c r="P878" s="54"/>
      <c r="Q878" s="53" t="str">
        <f aca="false">IF(NOT(ISNUMBER($P878)),"",IFERROR(PERCENTRANK($P$5:$P$1204,$P878),""))</f>
        <v/>
      </c>
    </row>
    <row r="879" customFormat="false" ht="15" hidden="false" customHeight="false" outlineLevel="0" collapsed="false">
      <c r="A879" s="55"/>
      <c r="B879" s="56"/>
      <c r="C879" s="57"/>
      <c r="D879" s="56"/>
      <c r="E879" s="56"/>
      <c r="F879" s="56"/>
      <c r="G879" s="50" t="str">
        <f aca="false">IF($A879="","",IF(ISNUMBER($G878),$G878+1,1))</f>
        <v/>
      </c>
      <c r="H879" s="51" t="str">
        <f aca="false">IF(OR(NOT(ISNUMBER($G879)),$G879&lt;2,NOT(ISNUMBER($C878)),$C878=0),"",$C879/$C878-1)</f>
        <v/>
      </c>
      <c r="I879" s="52" t="str">
        <f aca="false">IF(AND(ISNUMBER($G879),$G879&gt;=MA_SHORT),AVERAGE(INDEX($C$479:$C879,402-MA_SHORT):$C879),"")</f>
        <v/>
      </c>
      <c r="J879" s="52" t="str">
        <f aca="false">IF(AND(ISNUMBER($G879),$G879&gt;=MA_MED),AVERAGE(INDEX($C$479:$C879,402-MA_MED):$C879),"")</f>
        <v/>
      </c>
      <c r="K879" s="52" t="str">
        <f aca="false">IF(AND(ISNUMBER($G879),$G879&gt;=MA_LONG2),AVERAGE(INDEX($C$479:$C879,402-MA_LONG2):$C879),"")</f>
        <v/>
      </c>
      <c r="L879" s="53" t="str">
        <f aca="false">IF(AND(ISNUMBER($G879),$G879&gt;=21),STDEV(INDEX($H$819:$H879,62-20):$H879)*SQRT(245),"")</f>
        <v/>
      </c>
      <c r="M879" s="52" t="str">
        <f aca="false">IF(AND(ISNUMBER($G879),$G879&gt;=60),MAX(INDEX($D$679:$D879,202-60):$D879),"")</f>
        <v/>
      </c>
      <c r="N879" s="52" t="str">
        <f aca="false">IF(AND(ISNUMBER($G879),$G879&gt;=60),MIN(INDEX($E$679:$E879,202-60):$E879),"")</f>
        <v/>
      </c>
      <c r="O879" s="53" t="str">
        <f aca="false">IF(OR(NOT(ISNUMBER($C879)),NOT(ISNUMBER($M879)),$M879=0),"",$C879/$M879-1)</f>
        <v/>
      </c>
      <c r="P879" s="54"/>
      <c r="Q879" s="53" t="str">
        <f aca="false">IF(NOT(ISNUMBER($P879)),"",IFERROR(PERCENTRANK($P$5:$P$1204,$P879),""))</f>
        <v/>
      </c>
    </row>
    <row r="880" customFormat="false" ht="15" hidden="false" customHeight="false" outlineLevel="0" collapsed="false">
      <c r="A880" s="55"/>
      <c r="B880" s="56"/>
      <c r="C880" s="57"/>
      <c r="D880" s="56"/>
      <c r="E880" s="56"/>
      <c r="F880" s="56"/>
      <c r="G880" s="50" t="str">
        <f aca="false">IF($A880="","",IF(ISNUMBER($G879),$G879+1,1))</f>
        <v/>
      </c>
      <c r="H880" s="51" t="str">
        <f aca="false">IF(OR(NOT(ISNUMBER($G880)),$G880&lt;2,NOT(ISNUMBER($C879)),$C879=0),"",$C880/$C879-1)</f>
        <v/>
      </c>
      <c r="I880" s="52" t="str">
        <f aca="false">IF(AND(ISNUMBER($G880),$G880&gt;=MA_SHORT),AVERAGE(INDEX($C$480:$C880,402-MA_SHORT):$C880),"")</f>
        <v/>
      </c>
      <c r="J880" s="52" t="str">
        <f aca="false">IF(AND(ISNUMBER($G880),$G880&gt;=MA_MED),AVERAGE(INDEX($C$480:$C880,402-MA_MED):$C880),"")</f>
        <v/>
      </c>
      <c r="K880" s="52" t="str">
        <f aca="false">IF(AND(ISNUMBER($G880),$G880&gt;=MA_LONG2),AVERAGE(INDEX($C$480:$C880,402-MA_LONG2):$C880),"")</f>
        <v/>
      </c>
      <c r="L880" s="53" t="str">
        <f aca="false">IF(AND(ISNUMBER($G880),$G880&gt;=21),STDEV(INDEX($H$820:$H880,62-20):$H880)*SQRT(245),"")</f>
        <v/>
      </c>
      <c r="M880" s="52" t="str">
        <f aca="false">IF(AND(ISNUMBER($G880),$G880&gt;=60),MAX(INDEX($D$680:$D880,202-60):$D880),"")</f>
        <v/>
      </c>
      <c r="N880" s="52" t="str">
        <f aca="false">IF(AND(ISNUMBER($G880),$G880&gt;=60),MIN(INDEX($E$680:$E880,202-60):$E880),"")</f>
        <v/>
      </c>
      <c r="O880" s="53" t="str">
        <f aca="false">IF(OR(NOT(ISNUMBER($C880)),NOT(ISNUMBER($M880)),$M880=0),"",$C880/$M880-1)</f>
        <v/>
      </c>
      <c r="P880" s="54"/>
      <c r="Q880" s="53" t="str">
        <f aca="false">IF(NOT(ISNUMBER($P880)),"",IFERROR(PERCENTRANK($P$5:$P$1204,$P880),""))</f>
        <v/>
      </c>
    </row>
    <row r="881" customFormat="false" ht="15" hidden="false" customHeight="false" outlineLevel="0" collapsed="false">
      <c r="A881" s="55"/>
      <c r="B881" s="56"/>
      <c r="C881" s="57"/>
      <c r="D881" s="56"/>
      <c r="E881" s="56"/>
      <c r="F881" s="56"/>
      <c r="G881" s="50" t="str">
        <f aca="false">IF($A881="","",IF(ISNUMBER($G880),$G880+1,1))</f>
        <v/>
      </c>
      <c r="H881" s="51" t="str">
        <f aca="false">IF(OR(NOT(ISNUMBER($G881)),$G881&lt;2,NOT(ISNUMBER($C880)),$C880=0),"",$C881/$C880-1)</f>
        <v/>
      </c>
      <c r="I881" s="52" t="str">
        <f aca="false">IF(AND(ISNUMBER($G881),$G881&gt;=MA_SHORT),AVERAGE(INDEX($C$481:$C881,402-MA_SHORT):$C881),"")</f>
        <v/>
      </c>
      <c r="J881" s="52" t="str">
        <f aca="false">IF(AND(ISNUMBER($G881),$G881&gt;=MA_MED),AVERAGE(INDEX($C$481:$C881,402-MA_MED):$C881),"")</f>
        <v/>
      </c>
      <c r="K881" s="52" t="str">
        <f aca="false">IF(AND(ISNUMBER($G881),$G881&gt;=MA_LONG2),AVERAGE(INDEX($C$481:$C881,402-MA_LONG2):$C881),"")</f>
        <v/>
      </c>
      <c r="L881" s="53" t="str">
        <f aca="false">IF(AND(ISNUMBER($G881),$G881&gt;=21),STDEV(INDEX($H$821:$H881,62-20):$H881)*SQRT(245),"")</f>
        <v/>
      </c>
      <c r="M881" s="52" t="str">
        <f aca="false">IF(AND(ISNUMBER($G881),$G881&gt;=60),MAX(INDEX($D$681:$D881,202-60):$D881),"")</f>
        <v/>
      </c>
      <c r="N881" s="52" t="str">
        <f aca="false">IF(AND(ISNUMBER($G881),$G881&gt;=60),MIN(INDEX($E$681:$E881,202-60):$E881),"")</f>
        <v/>
      </c>
      <c r="O881" s="53" t="str">
        <f aca="false">IF(OR(NOT(ISNUMBER($C881)),NOT(ISNUMBER($M881)),$M881=0),"",$C881/$M881-1)</f>
        <v/>
      </c>
      <c r="P881" s="54"/>
      <c r="Q881" s="53" t="str">
        <f aca="false">IF(NOT(ISNUMBER($P881)),"",IFERROR(PERCENTRANK($P$5:$P$1204,$P881),""))</f>
        <v/>
      </c>
    </row>
    <row r="882" customFormat="false" ht="15" hidden="false" customHeight="false" outlineLevel="0" collapsed="false">
      <c r="A882" s="55"/>
      <c r="B882" s="56"/>
      <c r="C882" s="57"/>
      <c r="D882" s="56"/>
      <c r="E882" s="56"/>
      <c r="F882" s="56"/>
      <c r="G882" s="50" t="str">
        <f aca="false">IF($A882="","",IF(ISNUMBER($G881),$G881+1,1))</f>
        <v/>
      </c>
      <c r="H882" s="51" t="str">
        <f aca="false">IF(OR(NOT(ISNUMBER($G882)),$G882&lt;2,NOT(ISNUMBER($C881)),$C881=0),"",$C882/$C881-1)</f>
        <v/>
      </c>
      <c r="I882" s="52" t="str">
        <f aca="false">IF(AND(ISNUMBER($G882),$G882&gt;=MA_SHORT),AVERAGE(INDEX($C$482:$C882,402-MA_SHORT):$C882),"")</f>
        <v/>
      </c>
      <c r="J882" s="52" t="str">
        <f aca="false">IF(AND(ISNUMBER($G882),$G882&gt;=MA_MED),AVERAGE(INDEX($C$482:$C882,402-MA_MED):$C882),"")</f>
        <v/>
      </c>
      <c r="K882" s="52" t="str">
        <f aca="false">IF(AND(ISNUMBER($G882),$G882&gt;=MA_LONG2),AVERAGE(INDEX($C$482:$C882,402-MA_LONG2):$C882),"")</f>
        <v/>
      </c>
      <c r="L882" s="53" t="str">
        <f aca="false">IF(AND(ISNUMBER($G882),$G882&gt;=21),STDEV(INDEX($H$822:$H882,62-20):$H882)*SQRT(245),"")</f>
        <v/>
      </c>
      <c r="M882" s="52" t="str">
        <f aca="false">IF(AND(ISNUMBER($G882),$G882&gt;=60),MAX(INDEX($D$682:$D882,202-60):$D882),"")</f>
        <v/>
      </c>
      <c r="N882" s="52" t="str">
        <f aca="false">IF(AND(ISNUMBER($G882),$G882&gt;=60),MIN(INDEX($E$682:$E882,202-60):$E882),"")</f>
        <v/>
      </c>
      <c r="O882" s="53" t="str">
        <f aca="false">IF(OR(NOT(ISNUMBER($C882)),NOT(ISNUMBER($M882)),$M882=0),"",$C882/$M882-1)</f>
        <v/>
      </c>
      <c r="P882" s="54"/>
      <c r="Q882" s="53" t="str">
        <f aca="false">IF(NOT(ISNUMBER($P882)),"",IFERROR(PERCENTRANK($P$5:$P$1204,$P882),""))</f>
        <v/>
      </c>
    </row>
    <row r="883" customFormat="false" ht="15" hidden="false" customHeight="false" outlineLevel="0" collapsed="false">
      <c r="A883" s="55"/>
      <c r="B883" s="56"/>
      <c r="C883" s="57"/>
      <c r="D883" s="56"/>
      <c r="E883" s="56"/>
      <c r="F883" s="56"/>
      <c r="G883" s="50" t="str">
        <f aca="false">IF($A883="","",IF(ISNUMBER($G882),$G882+1,1))</f>
        <v/>
      </c>
      <c r="H883" s="51" t="str">
        <f aca="false">IF(OR(NOT(ISNUMBER($G883)),$G883&lt;2,NOT(ISNUMBER($C882)),$C882=0),"",$C883/$C882-1)</f>
        <v/>
      </c>
      <c r="I883" s="52" t="str">
        <f aca="false">IF(AND(ISNUMBER($G883),$G883&gt;=MA_SHORT),AVERAGE(INDEX($C$483:$C883,402-MA_SHORT):$C883),"")</f>
        <v/>
      </c>
      <c r="J883" s="52" t="str">
        <f aca="false">IF(AND(ISNUMBER($G883),$G883&gt;=MA_MED),AVERAGE(INDEX($C$483:$C883,402-MA_MED):$C883),"")</f>
        <v/>
      </c>
      <c r="K883" s="52" t="str">
        <f aca="false">IF(AND(ISNUMBER($G883),$G883&gt;=MA_LONG2),AVERAGE(INDEX($C$483:$C883,402-MA_LONG2):$C883),"")</f>
        <v/>
      </c>
      <c r="L883" s="53" t="str">
        <f aca="false">IF(AND(ISNUMBER($G883),$G883&gt;=21),STDEV(INDEX($H$823:$H883,62-20):$H883)*SQRT(245),"")</f>
        <v/>
      </c>
      <c r="M883" s="52" t="str">
        <f aca="false">IF(AND(ISNUMBER($G883),$G883&gt;=60),MAX(INDEX($D$683:$D883,202-60):$D883),"")</f>
        <v/>
      </c>
      <c r="N883" s="52" t="str">
        <f aca="false">IF(AND(ISNUMBER($G883),$G883&gt;=60),MIN(INDEX($E$683:$E883,202-60):$E883),"")</f>
        <v/>
      </c>
      <c r="O883" s="53" t="str">
        <f aca="false">IF(OR(NOT(ISNUMBER($C883)),NOT(ISNUMBER($M883)),$M883=0),"",$C883/$M883-1)</f>
        <v/>
      </c>
      <c r="P883" s="54"/>
      <c r="Q883" s="53" t="str">
        <f aca="false">IF(NOT(ISNUMBER($P883)),"",IFERROR(PERCENTRANK($P$5:$P$1204,$P883),""))</f>
        <v/>
      </c>
    </row>
    <row r="884" customFormat="false" ht="15" hidden="false" customHeight="false" outlineLevel="0" collapsed="false">
      <c r="A884" s="55"/>
      <c r="B884" s="56"/>
      <c r="C884" s="57"/>
      <c r="D884" s="56"/>
      <c r="E884" s="56"/>
      <c r="F884" s="56"/>
      <c r="G884" s="50" t="str">
        <f aca="false">IF($A884="","",IF(ISNUMBER($G883),$G883+1,1))</f>
        <v/>
      </c>
      <c r="H884" s="51" t="str">
        <f aca="false">IF(OR(NOT(ISNUMBER($G884)),$G884&lt;2,NOT(ISNUMBER($C883)),$C883=0),"",$C884/$C883-1)</f>
        <v/>
      </c>
      <c r="I884" s="52" t="str">
        <f aca="false">IF(AND(ISNUMBER($G884),$G884&gt;=MA_SHORT),AVERAGE(INDEX($C$484:$C884,402-MA_SHORT):$C884),"")</f>
        <v/>
      </c>
      <c r="J884" s="52" t="str">
        <f aca="false">IF(AND(ISNUMBER($G884),$G884&gt;=MA_MED),AVERAGE(INDEX($C$484:$C884,402-MA_MED):$C884),"")</f>
        <v/>
      </c>
      <c r="K884" s="52" t="str">
        <f aca="false">IF(AND(ISNUMBER($G884),$G884&gt;=MA_LONG2),AVERAGE(INDEX($C$484:$C884,402-MA_LONG2):$C884),"")</f>
        <v/>
      </c>
      <c r="L884" s="53" t="str">
        <f aca="false">IF(AND(ISNUMBER($G884),$G884&gt;=21),STDEV(INDEX($H$824:$H884,62-20):$H884)*SQRT(245),"")</f>
        <v/>
      </c>
      <c r="M884" s="52" t="str">
        <f aca="false">IF(AND(ISNUMBER($G884),$G884&gt;=60),MAX(INDEX($D$684:$D884,202-60):$D884),"")</f>
        <v/>
      </c>
      <c r="N884" s="52" t="str">
        <f aca="false">IF(AND(ISNUMBER($G884),$G884&gt;=60),MIN(INDEX($E$684:$E884,202-60):$E884),"")</f>
        <v/>
      </c>
      <c r="O884" s="53" t="str">
        <f aca="false">IF(OR(NOT(ISNUMBER($C884)),NOT(ISNUMBER($M884)),$M884=0),"",$C884/$M884-1)</f>
        <v/>
      </c>
      <c r="P884" s="54"/>
      <c r="Q884" s="53" t="str">
        <f aca="false">IF(NOT(ISNUMBER($P884)),"",IFERROR(PERCENTRANK($P$5:$P$1204,$P884),""))</f>
        <v/>
      </c>
    </row>
    <row r="885" customFormat="false" ht="15" hidden="false" customHeight="false" outlineLevel="0" collapsed="false">
      <c r="A885" s="55"/>
      <c r="B885" s="56"/>
      <c r="C885" s="57"/>
      <c r="D885" s="56"/>
      <c r="E885" s="56"/>
      <c r="F885" s="56"/>
      <c r="G885" s="50" t="str">
        <f aca="false">IF($A885="","",IF(ISNUMBER($G884),$G884+1,1))</f>
        <v/>
      </c>
      <c r="H885" s="51" t="str">
        <f aca="false">IF(OR(NOT(ISNUMBER($G885)),$G885&lt;2,NOT(ISNUMBER($C884)),$C884=0),"",$C885/$C884-1)</f>
        <v/>
      </c>
      <c r="I885" s="52" t="str">
        <f aca="false">IF(AND(ISNUMBER($G885),$G885&gt;=MA_SHORT),AVERAGE(INDEX($C$485:$C885,402-MA_SHORT):$C885),"")</f>
        <v/>
      </c>
      <c r="J885" s="52" t="str">
        <f aca="false">IF(AND(ISNUMBER($G885),$G885&gt;=MA_MED),AVERAGE(INDEX($C$485:$C885,402-MA_MED):$C885),"")</f>
        <v/>
      </c>
      <c r="K885" s="52" t="str">
        <f aca="false">IF(AND(ISNUMBER($G885),$G885&gt;=MA_LONG2),AVERAGE(INDEX($C$485:$C885,402-MA_LONG2):$C885),"")</f>
        <v/>
      </c>
      <c r="L885" s="53" t="str">
        <f aca="false">IF(AND(ISNUMBER($G885),$G885&gt;=21),STDEV(INDEX($H$825:$H885,62-20):$H885)*SQRT(245),"")</f>
        <v/>
      </c>
      <c r="M885" s="52" t="str">
        <f aca="false">IF(AND(ISNUMBER($G885),$G885&gt;=60),MAX(INDEX($D$685:$D885,202-60):$D885),"")</f>
        <v/>
      </c>
      <c r="N885" s="52" t="str">
        <f aca="false">IF(AND(ISNUMBER($G885),$G885&gt;=60),MIN(INDEX($E$685:$E885,202-60):$E885),"")</f>
        <v/>
      </c>
      <c r="O885" s="53" t="str">
        <f aca="false">IF(OR(NOT(ISNUMBER($C885)),NOT(ISNUMBER($M885)),$M885=0),"",$C885/$M885-1)</f>
        <v/>
      </c>
      <c r="P885" s="54"/>
      <c r="Q885" s="53" t="str">
        <f aca="false">IF(NOT(ISNUMBER($P885)),"",IFERROR(PERCENTRANK($P$5:$P$1204,$P885),""))</f>
        <v/>
      </c>
    </row>
    <row r="886" customFormat="false" ht="15" hidden="false" customHeight="false" outlineLevel="0" collapsed="false">
      <c r="A886" s="55"/>
      <c r="B886" s="56"/>
      <c r="C886" s="57"/>
      <c r="D886" s="56"/>
      <c r="E886" s="56"/>
      <c r="F886" s="56"/>
      <c r="G886" s="50" t="str">
        <f aca="false">IF($A886="","",IF(ISNUMBER($G885),$G885+1,1))</f>
        <v/>
      </c>
      <c r="H886" s="51" t="str">
        <f aca="false">IF(OR(NOT(ISNUMBER($G886)),$G886&lt;2,NOT(ISNUMBER($C885)),$C885=0),"",$C886/$C885-1)</f>
        <v/>
      </c>
      <c r="I886" s="52" t="str">
        <f aca="false">IF(AND(ISNUMBER($G886),$G886&gt;=MA_SHORT),AVERAGE(INDEX($C$486:$C886,402-MA_SHORT):$C886),"")</f>
        <v/>
      </c>
      <c r="J886" s="52" t="str">
        <f aca="false">IF(AND(ISNUMBER($G886),$G886&gt;=MA_MED),AVERAGE(INDEX($C$486:$C886,402-MA_MED):$C886),"")</f>
        <v/>
      </c>
      <c r="K886" s="52" t="str">
        <f aca="false">IF(AND(ISNUMBER($G886),$G886&gt;=MA_LONG2),AVERAGE(INDEX($C$486:$C886,402-MA_LONG2):$C886),"")</f>
        <v/>
      </c>
      <c r="L886" s="53" t="str">
        <f aca="false">IF(AND(ISNUMBER($G886),$G886&gt;=21),STDEV(INDEX($H$826:$H886,62-20):$H886)*SQRT(245),"")</f>
        <v/>
      </c>
      <c r="M886" s="52" t="str">
        <f aca="false">IF(AND(ISNUMBER($G886),$G886&gt;=60),MAX(INDEX($D$686:$D886,202-60):$D886),"")</f>
        <v/>
      </c>
      <c r="N886" s="52" t="str">
        <f aca="false">IF(AND(ISNUMBER($G886),$G886&gt;=60),MIN(INDEX($E$686:$E886,202-60):$E886),"")</f>
        <v/>
      </c>
      <c r="O886" s="53" t="str">
        <f aca="false">IF(OR(NOT(ISNUMBER($C886)),NOT(ISNUMBER($M886)),$M886=0),"",$C886/$M886-1)</f>
        <v/>
      </c>
      <c r="P886" s="54"/>
      <c r="Q886" s="53" t="str">
        <f aca="false">IF(NOT(ISNUMBER($P886)),"",IFERROR(PERCENTRANK($P$5:$P$1204,$P886),""))</f>
        <v/>
      </c>
    </row>
    <row r="887" customFormat="false" ht="15" hidden="false" customHeight="false" outlineLevel="0" collapsed="false">
      <c r="A887" s="55"/>
      <c r="B887" s="56"/>
      <c r="C887" s="57"/>
      <c r="D887" s="56"/>
      <c r="E887" s="56"/>
      <c r="F887" s="56"/>
      <c r="G887" s="50" t="str">
        <f aca="false">IF($A887="","",IF(ISNUMBER($G886),$G886+1,1))</f>
        <v/>
      </c>
      <c r="H887" s="51" t="str">
        <f aca="false">IF(OR(NOT(ISNUMBER($G887)),$G887&lt;2,NOT(ISNUMBER($C886)),$C886=0),"",$C887/$C886-1)</f>
        <v/>
      </c>
      <c r="I887" s="52" t="str">
        <f aca="false">IF(AND(ISNUMBER($G887),$G887&gt;=MA_SHORT),AVERAGE(INDEX($C$487:$C887,402-MA_SHORT):$C887),"")</f>
        <v/>
      </c>
      <c r="J887" s="52" t="str">
        <f aca="false">IF(AND(ISNUMBER($G887),$G887&gt;=MA_MED),AVERAGE(INDEX($C$487:$C887,402-MA_MED):$C887),"")</f>
        <v/>
      </c>
      <c r="K887" s="52" t="str">
        <f aca="false">IF(AND(ISNUMBER($G887),$G887&gt;=MA_LONG2),AVERAGE(INDEX($C$487:$C887,402-MA_LONG2):$C887),"")</f>
        <v/>
      </c>
      <c r="L887" s="53" t="str">
        <f aca="false">IF(AND(ISNUMBER($G887),$G887&gt;=21),STDEV(INDEX($H$827:$H887,62-20):$H887)*SQRT(245),"")</f>
        <v/>
      </c>
      <c r="M887" s="52" t="str">
        <f aca="false">IF(AND(ISNUMBER($G887),$G887&gt;=60),MAX(INDEX($D$687:$D887,202-60):$D887),"")</f>
        <v/>
      </c>
      <c r="N887" s="52" t="str">
        <f aca="false">IF(AND(ISNUMBER($G887),$G887&gt;=60),MIN(INDEX($E$687:$E887,202-60):$E887),"")</f>
        <v/>
      </c>
      <c r="O887" s="53" t="str">
        <f aca="false">IF(OR(NOT(ISNUMBER($C887)),NOT(ISNUMBER($M887)),$M887=0),"",$C887/$M887-1)</f>
        <v/>
      </c>
      <c r="P887" s="54"/>
      <c r="Q887" s="53" t="str">
        <f aca="false">IF(NOT(ISNUMBER($P887)),"",IFERROR(PERCENTRANK($P$5:$P$1204,$P887),""))</f>
        <v/>
      </c>
    </row>
    <row r="888" customFormat="false" ht="15" hidden="false" customHeight="false" outlineLevel="0" collapsed="false">
      <c r="A888" s="55"/>
      <c r="B888" s="56"/>
      <c r="C888" s="57"/>
      <c r="D888" s="56"/>
      <c r="E888" s="56"/>
      <c r="F888" s="56"/>
      <c r="G888" s="50" t="str">
        <f aca="false">IF($A888="","",IF(ISNUMBER($G887),$G887+1,1))</f>
        <v/>
      </c>
      <c r="H888" s="51" t="str">
        <f aca="false">IF(OR(NOT(ISNUMBER($G888)),$G888&lt;2,NOT(ISNUMBER($C887)),$C887=0),"",$C888/$C887-1)</f>
        <v/>
      </c>
      <c r="I888" s="52" t="str">
        <f aca="false">IF(AND(ISNUMBER($G888),$G888&gt;=MA_SHORT),AVERAGE(INDEX($C$488:$C888,402-MA_SHORT):$C888),"")</f>
        <v/>
      </c>
      <c r="J888" s="52" t="str">
        <f aca="false">IF(AND(ISNUMBER($G888),$G888&gt;=MA_MED),AVERAGE(INDEX($C$488:$C888,402-MA_MED):$C888),"")</f>
        <v/>
      </c>
      <c r="K888" s="52" t="str">
        <f aca="false">IF(AND(ISNUMBER($G888),$G888&gt;=MA_LONG2),AVERAGE(INDEX($C$488:$C888,402-MA_LONG2):$C888),"")</f>
        <v/>
      </c>
      <c r="L888" s="53" t="str">
        <f aca="false">IF(AND(ISNUMBER($G888),$G888&gt;=21),STDEV(INDEX($H$828:$H888,62-20):$H888)*SQRT(245),"")</f>
        <v/>
      </c>
      <c r="M888" s="52" t="str">
        <f aca="false">IF(AND(ISNUMBER($G888),$G888&gt;=60),MAX(INDEX($D$688:$D888,202-60):$D888),"")</f>
        <v/>
      </c>
      <c r="N888" s="52" t="str">
        <f aca="false">IF(AND(ISNUMBER($G888),$G888&gt;=60),MIN(INDEX($E$688:$E888,202-60):$E888),"")</f>
        <v/>
      </c>
      <c r="O888" s="53" t="str">
        <f aca="false">IF(OR(NOT(ISNUMBER($C888)),NOT(ISNUMBER($M888)),$M888=0),"",$C888/$M888-1)</f>
        <v/>
      </c>
      <c r="P888" s="54"/>
      <c r="Q888" s="53" t="str">
        <f aca="false">IF(NOT(ISNUMBER($P888)),"",IFERROR(PERCENTRANK($P$5:$P$1204,$P888),""))</f>
        <v/>
      </c>
    </row>
    <row r="889" customFormat="false" ht="15" hidden="false" customHeight="false" outlineLevel="0" collapsed="false">
      <c r="A889" s="55"/>
      <c r="B889" s="56"/>
      <c r="C889" s="57"/>
      <c r="D889" s="56"/>
      <c r="E889" s="56"/>
      <c r="F889" s="56"/>
      <c r="G889" s="50" t="str">
        <f aca="false">IF($A889="","",IF(ISNUMBER($G888),$G888+1,1))</f>
        <v/>
      </c>
      <c r="H889" s="51" t="str">
        <f aca="false">IF(OR(NOT(ISNUMBER($G889)),$G889&lt;2,NOT(ISNUMBER($C888)),$C888=0),"",$C889/$C888-1)</f>
        <v/>
      </c>
      <c r="I889" s="52" t="str">
        <f aca="false">IF(AND(ISNUMBER($G889),$G889&gt;=MA_SHORT),AVERAGE(INDEX($C$489:$C889,402-MA_SHORT):$C889),"")</f>
        <v/>
      </c>
      <c r="J889" s="52" t="str">
        <f aca="false">IF(AND(ISNUMBER($G889),$G889&gt;=MA_MED),AVERAGE(INDEX($C$489:$C889,402-MA_MED):$C889),"")</f>
        <v/>
      </c>
      <c r="K889" s="52" t="str">
        <f aca="false">IF(AND(ISNUMBER($G889),$G889&gt;=MA_LONG2),AVERAGE(INDEX($C$489:$C889,402-MA_LONG2):$C889),"")</f>
        <v/>
      </c>
      <c r="L889" s="53" t="str">
        <f aca="false">IF(AND(ISNUMBER($G889),$G889&gt;=21),STDEV(INDEX($H$829:$H889,62-20):$H889)*SQRT(245),"")</f>
        <v/>
      </c>
      <c r="M889" s="52" t="str">
        <f aca="false">IF(AND(ISNUMBER($G889),$G889&gt;=60),MAX(INDEX($D$689:$D889,202-60):$D889),"")</f>
        <v/>
      </c>
      <c r="N889" s="52" t="str">
        <f aca="false">IF(AND(ISNUMBER($G889),$G889&gt;=60),MIN(INDEX($E$689:$E889,202-60):$E889),"")</f>
        <v/>
      </c>
      <c r="O889" s="53" t="str">
        <f aca="false">IF(OR(NOT(ISNUMBER($C889)),NOT(ISNUMBER($M889)),$M889=0),"",$C889/$M889-1)</f>
        <v/>
      </c>
      <c r="P889" s="54"/>
      <c r="Q889" s="53" t="str">
        <f aca="false">IF(NOT(ISNUMBER($P889)),"",IFERROR(PERCENTRANK($P$5:$P$1204,$P889),""))</f>
        <v/>
      </c>
    </row>
    <row r="890" customFormat="false" ht="15" hidden="false" customHeight="false" outlineLevel="0" collapsed="false">
      <c r="A890" s="55"/>
      <c r="B890" s="56"/>
      <c r="C890" s="57"/>
      <c r="D890" s="56"/>
      <c r="E890" s="56"/>
      <c r="F890" s="56"/>
      <c r="G890" s="50" t="str">
        <f aca="false">IF($A890="","",IF(ISNUMBER($G889),$G889+1,1))</f>
        <v/>
      </c>
      <c r="H890" s="51" t="str">
        <f aca="false">IF(OR(NOT(ISNUMBER($G890)),$G890&lt;2,NOT(ISNUMBER($C889)),$C889=0),"",$C890/$C889-1)</f>
        <v/>
      </c>
      <c r="I890" s="52" t="str">
        <f aca="false">IF(AND(ISNUMBER($G890),$G890&gt;=MA_SHORT),AVERAGE(INDEX($C$490:$C890,402-MA_SHORT):$C890),"")</f>
        <v/>
      </c>
      <c r="J890" s="52" t="str">
        <f aca="false">IF(AND(ISNUMBER($G890),$G890&gt;=MA_MED),AVERAGE(INDEX($C$490:$C890,402-MA_MED):$C890),"")</f>
        <v/>
      </c>
      <c r="K890" s="52" t="str">
        <f aca="false">IF(AND(ISNUMBER($G890),$G890&gt;=MA_LONG2),AVERAGE(INDEX($C$490:$C890,402-MA_LONG2):$C890),"")</f>
        <v/>
      </c>
      <c r="L890" s="53" t="str">
        <f aca="false">IF(AND(ISNUMBER($G890),$G890&gt;=21),STDEV(INDEX($H$830:$H890,62-20):$H890)*SQRT(245),"")</f>
        <v/>
      </c>
      <c r="M890" s="52" t="str">
        <f aca="false">IF(AND(ISNUMBER($G890),$G890&gt;=60),MAX(INDEX($D$690:$D890,202-60):$D890),"")</f>
        <v/>
      </c>
      <c r="N890" s="52" t="str">
        <f aca="false">IF(AND(ISNUMBER($G890),$G890&gt;=60),MIN(INDEX($E$690:$E890,202-60):$E890),"")</f>
        <v/>
      </c>
      <c r="O890" s="53" t="str">
        <f aca="false">IF(OR(NOT(ISNUMBER($C890)),NOT(ISNUMBER($M890)),$M890=0),"",$C890/$M890-1)</f>
        <v/>
      </c>
      <c r="P890" s="54"/>
      <c r="Q890" s="53" t="str">
        <f aca="false">IF(NOT(ISNUMBER($P890)),"",IFERROR(PERCENTRANK($P$5:$P$1204,$P890),""))</f>
        <v/>
      </c>
    </row>
    <row r="891" customFormat="false" ht="15" hidden="false" customHeight="false" outlineLevel="0" collapsed="false">
      <c r="A891" s="55"/>
      <c r="B891" s="56"/>
      <c r="C891" s="57"/>
      <c r="D891" s="56"/>
      <c r="E891" s="56"/>
      <c r="F891" s="56"/>
      <c r="G891" s="50" t="str">
        <f aca="false">IF($A891="","",IF(ISNUMBER($G890),$G890+1,1))</f>
        <v/>
      </c>
      <c r="H891" s="51" t="str">
        <f aca="false">IF(OR(NOT(ISNUMBER($G891)),$G891&lt;2,NOT(ISNUMBER($C890)),$C890=0),"",$C891/$C890-1)</f>
        <v/>
      </c>
      <c r="I891" s="52" t="str">
        <f aca="false">IF(AND(ISNUMBER($G891),$G891&gt;=MA_SHORT),AVERAGE(INDEX($C$491:$C891,402-MA_SHORT):$C891),"")</f>
        <v/>
      </c>
      <c r="J891" s="52" t="str">
        <f aca="false">IF(AND(ISNUMBER($G891),$G891&gt;=MA_MED),AVERAGE(INDEX($C$491:$C891,402-MA_MED):$C891),"")</f>
        <v/>
      </c>
      <c r="K891" s="52" t="str">
        <f aca="false">IF(AND(ISNUMBER($G891),$G891&gt;=MA_LONG2),AVERAGE(INDEX($C$491:$C891,402-MA_LONG2):$C891),"")</f>
        <v/>
      </c>
      <c r="L891" s="53" t="str">
        <f aca="false">IF(AND(ISNUMBER($G891),$G891&gt;=21),STDEV(INDEX($H$831:$H891,62-20):$H891)*SQRT(245),"")</f>
        <v/>
      </c>
      <c r="M891" s="52" t="str">
        <f aca="false">IF(AND(ISNUMBER($G891),$G891&gt;=60),MAX(INDEX($D$691:$D891,202-60):$D891),"")</f>
        <v/>
      </c>
      <c r="N891" s="52" t="str">
        <f aca="false">IF(AND(ISNUMBER($G891),$G891&gt;=60),MIN(INDEX($E$691:$E891,202-60):$E891),"")</f>
        <v/>
      </c>
      <c r="O891" s="53" t="str">
        <f aca="false">IF(OR(NOT(ISNUMBER($C891)),NOT(ISNUMBER($M891)),$M891=0),"",$C891/$M891-1)</f>
        <v/>
      </c>
      <c r="P891" s="54"/>
      <c r="Q891" s="53" t="str">
        <f aca="false">IF(NOT(ISNUMBER($P891)),"",IFERROR(PERCENTRANK($P$5:$P$1204,$P891),""))</f>
        <v/>
      </c>
    </row>
    <row r="892" customFormat="false" ht="15" hidden="false" customHeight="false" outlineLevel="0" collapsed="false">
      <c r="A892" s="55"/>
      <c r="B892" s="56"/>
      <c r="C892" s="57"/>
      <c r="D892" s="56"/>
      <c r="E892" s="56"/>
      <c r="F892" s="56"/>
      <c r="G892" s="50" t="str">
        <f aca="false">IF($A892="","",IF(ISNUMBER($G891),$G891+1,1))</f>
        <v/>
      </c>
      <c r="H892" s="51" t="str">
        <f aca="false">IF(OR(NOT(ISNUMBER($G892)),$G892&lt;2,NOT(ISNUMBER($C891)),$C891=0),"",$C892/$C891-1)</f>
        <v/>
      </c>
      <c r="I892" s="52" t="str">
        <f aca="false">IF(AND(ISNUMBER($G892),$G892&gt;=MA_SHORT),AVERAGE(INDEX($C$492:$C892,402-MA_SHORT):$C892),"")</f>
        <v/>
      </c>
      <c r="J892" s="52" t="str">
        <f aca="false">IF(AND(ISNUMBER($G892),$G892&gt;=MA_MED),AVERAGE(INDEX($C$492:$C892,402-MA_MED):$C892),"")</f>
        <v/>
      </c>
      <c r="K892" s="52" t="str">
        <f aca="false">IF(AND(ISNUMBER($G892),$G892&gt;=MA_LONG2),AVERAGE(INDEX($C$492:$C892,402-MA_LONG2):$C892),"")</f>
        <v/>
      </c>
      <c r="L892" s="53" t="str">
        <f aca="false">IF(AND(ISNUMBER($G892),$G892&gt;=21),STDEV(INDEX($H$832:$H892,62-20):$H892)*SQRT(245),"")</f>
        <v/>
      </c>
      <c r="M892" s="52" t="str">
        <f aca="false">IF(AND(ISNUMBER($G892),$G892&gt;=60),MAX(INDEX($D$692:$D892,202-60):$D892),"")</f>
        <v/>
      </c>
      <c r="N892" s="52" t="str">
        <f aca="false">IF(AND(ISNUMBER($G892),$G892&gt;=60),MIN(INDEX($E$692:$E892,202-60):$E892),"")</f>
        <v/>
      </c>
      <c r="O892" s="53" t="str">
        <f aca="false">IF(OR(NOT(ISNUMBER($C892)),NOT(ISNUMBER($M892)),$M892=0),"",$C892/$M892-1)</f>
        <v/>
      </c>
      <c r="P892" s="54"/>
      <c r="Q892" s="53" t="str">
        <f aca="false">IF(NOT(ISNUMBER($P892)),"",IFERROR(PERCENTRANK($P$5:$P$1204,$P892),""))</f>
        <v/>
      </c>
    </row>
    <row r="893" customFormat="false" ht="15" hidden="false" customHeight="false" outlineLevel="0" collapsed="false">
      <c r="A893" s="55"/>
      <c r="B893" s="56"/>
      <c r="C893" s="57"/>
      <c r="D893" s="56"/>
      <c r="E893" s="56"/>
      <c r="F893" s="56"/>
      <c r="G893" s="50" t="str">
        <f aca="false">IF($A893="","",IF(ISNUMBER($G892),$G892+1,1))</f>
        <v/>
      </c>
      <c r="H893" s="51" t="str">
        <f aca="false">IF(OR(NOT(ISNUMBER($G893)),$G893&lt;2,NOT(ISNUMBER($C892)),$C892=0),"",$C893/$C892-1)</f>
        <v/>
      </c>
      <c r="I893" s="52" t="str">
        <f aca="false">IF(AND(ISNUMBER($G893),$G893&gt;=MA_SHORT),AVERAGE(INDEX($C$493:$C893,402-MA_SHORT):$C893),"")</f>
        <v/>
      </c>
      <c r="J893" s="52" t="str">
        <f aca="false">IF(AND(ISNUMBER($G893),$G893&gt;=MA_MED),AVERAGE(INDEX($C$493:$C893,402-MA_MED):$C893),"")</f>
        <v/>
      </c>
      <c r="K893" s="52" t="str">
        <f aca="false">IF(AND(ISNUMBER($G893),$G893&gt;=MA_LONG2),AVERAGE(INDEX($C$493:$C893,402-MA_LONG2):$C893),"")</f>
        <v/>
      </c>
      <c r="L893" s="53" t="str">
        <f aca="false">IF(AND(ISNUMBER($G893),$G893&gt;=21),STDEV(INDEX($H$833:$H893,62-20):$H893)*SQRT(245),"")</f>
        <v/>
      </c>
      <c r="M893" s="52" t="str">
        <f aca="false">IF(AND(ISNUMBER($G893),$G893&gt;=60),MAX(INDEX($D$693:$D893,202-60):$D893),"")</f>
        <v/>
      </c>
      <c r="N893" s="52" t="str">
        <f aca="false">IF(AND(ISNUMBER($G893),$G893&gt;=60),MIN(INDEX($E$693:$E893,202-60):$E893),"")</f>
        <v/>
      </c>
      <c r="O893" s="53" t="str">
        <f aca="false">IF(OR(NOT(ISNUMBER($C893)),NOT(ISNUMBER($M893)),$M893=0),"",$C893/$M893-1)</f>
        <v/>
      </c>
      <c r="P893" s="54"/>
      <c r="Q893" s="53" t="str">
        <f aca="false">IF(NOT(ISNUMBER($P893)),"",IFERROR(PERCENTRANK($P$5:$P$1204,$P893),""))</f>
        <v/>
      </c>
    </row>
    <row r="894" customFormat="false" ht="15" hidden="false" customHeight="false" outlineLevel="0" collapsed="false">
      <c r="A894" s="55"/>
      <c r="B894" s="56"/>
      <c r="C894" s="57"/>
      <c r="D894" s="56"/>
      <c r="E894" s="56"/>
      <c r="F894" s="56"/>
      <c r="G894" s="50" t="str">
        <f aca="false">IF($A894="","",IF(ISNUMBER($G893),$G893+1,1))</f>
        <v/>
      </c>
      <c r="H894" s="51" t="str">
        <f aca="false">IF(OR(NOT(ISNUMBER($G894)),$G894&lt;2,NOT(ISNUMBER($C893)),$C893=0),"",$C894/$C893-1)</f>
        <v/>
      </c>
      <c r="I894" s="52" t="str">
        <f aca="false">IF(AND(ISNUMBER($G894),$G894&gt;=MA_SHORT),AVERAGE(INDEX($C$494:$C894,402-MA_SHORT):$C894),"")</f>
        <v/>
      </c>
      <c r="J894" s="52" t="str">
        <f aca="false">IF(AND(ISNUMBER($G894),$G894&gt;=MA_MED),AVERAGE(INDEX($C$494:$C894,402-MA_MED):$C894),"")</f>
        <v/>
      </c>
      <c r="K894" s="52" t="str">
        <f aca="false">IF(AND(ISNUMBER($G894),$G894&gt;=MA_LONG2),AVERAGE(INDEX($C$494:$C894,402-MA_LONG2):$C894),"")</f>
        <v/>
      </c>
      <c r="L894" s="53" t="str">
        <f aca="false">IF(AND(ISNUMBER($G894),$G894&gt;=21),STDEV(INDEX($H$834:$H894,62-20):$H894)*SQRT(245),"")</f>
        <v/>
      </c>
      <c r="M894" s="52" t="str">
        <f aca="false">IF(AND(ISNUMBER($G894),$G894&gt;=60),MAX(INDEX($D$694:$D894,202-60):$D894),"")</f>
        <v/>
      </c>
      <c r="N894" s="52" t="str">
        <f aca="false">IF(AND(ISNUMBER($G894),$G894&gt;=60),MIN(INDEX($E$694:$E894,202-60):$E894),"")</f>
        <v/>
      </c>
      <c r="O894" s="53" t="str">
        <f aca="false">IF(OR(NOT(ISNUMBER($C894)),NOT(ISNUMBER($M894)),$M894=0),"",$C894/$M894-1)</f>
        <v/>
      </c>
      <c r="P894" s="54"/>
      <c r="Q894" s="53" t="str">
        <f aca="false">IF(NOT(ISNUMBER($P894)),"",IFERROR(PERCENTRANK($P$5:$P$1204,$P894),""))</f>
        <v/>
      </c>
    </row>
    <row r="895" customFormat="false" ht="15" hidden="false" customHeight="false" outlineLevel="0" collapsed="false">
      <c r="A895" s="55"/>
      <c r="B895" s="56"/>
      <c r="C895" s="57"/>
      <c r="D895" s="56"/>
      <c r="E895" s="56"/>
      <c r="F895" s="56"/>
      <c r="G895" s="50" t="str">
        <f aca="false">IF($A895="","",IF(ISNUMBER($G894),$G894+1,1))</f>
        <v/>
      </c>
      <c r="H895" s="51" t="str">
        <f aca="false">IF(OR(NOT(ISNUMBER($G895)),$G895&lt;2,NOT(ISNUMBER($C894)),$C894=0),"",$C895/$C894-1)</f>
        <v/>
      </c>
      <c r="I895" s="52" t="str">
        <f aca="false">IF(AND(ISNUMBER($G895),$G895&gt;=MA_SHORT),AVERAGE(INDEX($C$495:$C895,402-MA_SHORT):$C895),"")</f>
        <v/>
      </c>
      <c r="J895" s="52" t="str">
        <f aca="false">IF(AND(ISNUMBER($G895),$G895&gt;=MA_MED),AVERAGE(INDEX($C$495:$C895,402-MA_MED):$C895),"")</f>
        <v/>
      </c>
      <c r="K895" s="52" t="str">
        <f aca="false">IF(AND(ISNUMBER($G895),$G895&gt;=MA_LONG2),AVERAGE(INDEX($C$495:$C895,402-MA_LONG2):$C895),"")</f>
        <v/>
      </c>
      <c r="L895" s="53" t="str">
        <f aca="false">IF(AND(ISNUMBER($G895),$G895&gt;=21),STDEV(INDEX($H$835:$H895,62-20):$H895)*SQRT(245),"")</f>
        <v/>
      </c>
      <c r="M895" s="52" t="str">
        <f aca="false">IF(AND(ISNUMBER($G895),$G895&gt;=60),MAX(INDEX($D$695:$D895,202-60):$D895),"")</f>
        <v/>
      </c>
      <c r="N895" s="52" t="str">
        <f aca="false">IF(AND(ISNUMBER($G895),$G895&gt;=60),MIN(INDEX($E$695:$E895,202-60):$E895),"")</f>
        <v/>
      </c>
      <c r="O895" s="53" t="str">
        <f aca="false">IF(OR(NOT(ISNUMBER($C895)),NOT(ISNUMBER($M895)),$M895=0),"",$C895/$M895-1)</f>
        <v/>
      </c>
      <c r="P895" s="54"/>
      <c r="Q895" s="53" t="str">
        <f aca="false">IF(NOT(ISNUMBER($P895)),"",IFERROR(PERCENTRANK($P$5:$P$1204,$P895),""))</f>
        <v/>
      </c>
    </row>
    <row r="896" customFormat="false" ht="15" hidden="false" customHeight="false" outlineLevel="0" collapsed="false">
      <c r="A896" s="55"/>
      <c r="B896" s="56"/>
      <c r="C896" s="57"/>
      <c r="D896" s="56"/>
      <c r="E896" s="56"/>
      <c r="F896" s="56"/>
      <c r="G896" s="50" t="str">
        <f aca="false">IF($A896="","",IF(ISNUMBER($G895),$G895+1,1))</f>
        <v/>
      </c>
      <c r="H896" s="51" t="str">
        <f aca="false">IF(OR(NOT(ISNUMBER($G896)),$G896&lt;2,NOT(ISNUMBER($C895)),$C895=0),"",$C896/$C895-1)</f>
        <v/>
      </c>
      <c r="I896" s="52" t="str">
        <f aca="false">IF(AND(ISNUMBER($G896),$G896&gt;=MA_SHORT),AVERAGE(INDEX($C$496:$C896,402-MA_SHORT):$C896),"")</f>
        <v/>
      </c>
      <c r="J896" s="52" t="str">
        <f aca="false">IF(AND(ISNUMBER($G896),$G896&gt;=MA_MED),AVERAGE(INDEX($C$496:$C896,402-MA_MED):$C896),"")</f>
        <v/>
      </c>
      <c r="K896" s="52" t="str">
        <f aca="false">IF(AND(ISNUMBER($G896),$G896&gt;=MA_LONG2),AVERAGE(INDEX($C$496:$C896,402-MA_LONG2):$C896),"")</f>
        <v/>
      </c>
      <c r="L896" s="53" t="str">
        <f aca="false">IF(AND(ISNUMBER($G896),$G896&gt;=21),STDEV(INDEX($H$836:$H896,62-20):$H896)*SQRT(245),"")</f>
        <v/>
      </c>
      <c r="M896" s="52" t="str">
        <f aca="false">IF(AND(ISNUMBER($G896),$G896&gt;=60),MAX(INDEX($D$696:$D896,202-60):$D896),"")</f>
        <v/>
      </c>
      <c r="N896" s="52" t="str">
        <f aca="false">IF(AND(ISNUMBER($G896),$G896&gt;=60),MIN(INDEX($E$696:$E896,202-60):$E896),"")</f>
        <v/>
      </c>
      <c r="O896" s="53" t="str">
        <f aca="false">IF(OR(NOT(ISNUMBER($C896)),NOT(ISNUMBER($M896)),$M896=0),"",$C896/$M896-1)</f>
        <v/>
      </c>
      <c r="P896" s="54"/>
      <c r="Q896" s="53" t="str">
        <f aca="false">IF(NOT(ISNUMBER($P896)),"",IFERROR(PERCENTRANK($P$5:$P$1204,$P896),""))</f>
        <v/>
      </c>
    </row>
    <row r="897" customFormat="false" ht="15" hidden="false" customHeight="false" outlineLevel="0" collapsed="false">
      <c r="A897" s="55"/>
      <c r="B897" s="56"/>
      <c r="C897" s="57"/>
      <c r="D897" s="56"/>
      <c r="E897" s="56"/>
      <c r="F897" s="56"/>
      <c r="G897" s="50" t="str">
        <f aca="false">IF($A897="","",IF(ISNUMBER($G896),$G896+1,1))</f>
        <v/>
      </c>
      <c r="H897" s="51" t="str">
        <f aca="false">IF(OR(NOT(ISNUMBER($G897)),$G897&lt;2,NOT(ISNUMBER($C896)),$C896=0),"",$C897/$C896-1)</f>
        <v/>
      </c>
      <c r="I897" s="52" t="str">
        <f aca="false">IF(AND(ISNUMBER($G897),$G897&gt;=MA_SHORT),AVERAGE(INDEX($C$497:$C897,402-MA_SHORT):$C897),"")</f>
        <v/>
      </c>
      <c r="J897" s="52" t="str">
        <f aca="false">IF(AND(ISNUMBER($G897),$G897&gt;=MA_MED),AVERAGE(INDEX($C$497:$C897,402-MA_MED):$C897),"")</f>
        <v/>
      </c>
      <c r="K897" s="52" t="str">
        <f aca="false">IF(AND(ISNUMBER($G897),$G897&gt;=MA_LONG2),AVERAGE(INDEX($C$497:$C897,402-MA_LONG2):$C897),"")</f>
        <v/>
      </c>
      <c r="L897" s="53" t="str">
        <f aca="false">IF(AND(ISNUMBER($G897),$G897&gt;=21),STDEV(INDEX($H$837:$H897,62-20):$H897)*SQRT(245),"")</f>
        <v/>
      </c>
      <c r="M897" s="52" t="str">
        <f aca="false">IF(AND(ISNUMBER($G897),$G897&gt;=60),MAX(INDEX($D$697:$D897,202-60):$D897),"")</f>
        <v/>
      </c>
      <c r="N897" s="52" t="str">
        <f aca="false">IF(AND(ISNUMBER($G897),$G897&gt;=60),MIN(INDEX($E$697:$E897,202-60):$E897),"")</f>
        <v/>
      </c>
      <c r="O897" s="53" t="str">
        <f aca="false">IF(OR(NOT(ISNUMBER($C897)),NOT(ISNUMBER($M897)),$M897=0),"",$C897/$M897-1)</f>
        <v/>
      </c>
      <c r="P897" s="54"/>
      <c r="Q897" s="53" t="str">
        <f aca="false">IF(NOT(ISNUMBER($P897)),"",IFERROR(PERCENTRANK($P$5:$P$1204,$P897),""))</f>
        <v/>
      </c>
    </row>
    <row r="898" customFormat="false" ht="15" hidden="false" customHeight="false" outlineLevel="0" collapsed="false">
      <c r="A898" s="55"/>
      <c r="B898" s="56"/>
      <c r="C898" s="57"/>
      <c r="D898" s="56"/>
      <c r="E898" s="56"/>
      <c r="F898" s="56"/>
      <c r="G898" s="50" t="str">
        <f aca="false">IF($A898="","",IF(ISNUMBER($G897),$G897+1,1))</f>
        <v/>
      </c>
      <c r="H898" s="51" t="str">
        <f aca="false">IF(OR(NOT(ISNUMBER($G898)),$G898&lt;2,NOT(ISNUMBER($C897)),$C897=0),"",$C898/$C897-1)</f>
        <v/>
      </c>
      <c r="I898" s="52" t="str">
        <f aca="false">IF(AND(ISNUMBER($G898),$G898&gt;=MA_SHORT),AVERAGE(INDEX($C$498:$C898,402-MA_SHORT):$C898),"")</f>
        <v/>
      </c>
      <c r="J898" s="52" t="str">
        <f aca="false">IF(AND(ISNUMBER($G898),$G898&gt;=MA_MED),AVERAGE(INDEX($C$498:$C898,402-MA_MED):$C898),"")</f>
        <v/>
      </c>
      <c r="K898" s="52" t="str">
        <f aca="false">IF(AND(ISNUMBER($G898),$G898&gt;=MA_LONG2),AVERAGE(INDEX($C$498:$C898,402-MA_LONG2):$C898),"")</f>
        <v/>
      </c>
      <c r="L898" s="53" t="str">
        <f aca="false">IF(AND(ISNUMBER($G898),$G898&gt;=21),STDEV(INDEX($H$838:$H898,62-20):$H898)*SQRT(245),"")</f>
        <v/>
      </c>
      <c r="M898" s="52" t="str">
        <f aca="false">IF(AND(ISNUMBER($G898),$G898&gt;=60),MAX(INDEX($D$698:$D898,202-60):$D898),"")</f>
        <v/>
      </c>
      <c r="N898" s="52" t="str">
        <f aca="false">IF(AND(ISNUMBER($G898),$G898&gt;=60),MIN(INDEX($E$698:$E898,202-60):$E898),"")</f>
        <v/>
      </c>
      <c r="O898" s="53" t="str">
        <f aca="false">IF(OR(NOT(ISNUMBER($C898)),NOT(ISNUMBER($M898)),$M898=0),"",$C898/$M898-1)</f>
        <v/>
      </c>
      <c r="P898" s="54"/>
      <c r="Q898" s="53" t="str">
        <f aca="false">IF(NOT(ISNUMBER($P898)),"",IFERROR(PERCENTRANK($P$5:$P$1204,$P898),""))</f>
        <v/>
      </c>
    </row>
    <row r="899" customFormat="false" ht="15" hidden="false" customHeight="false" outlineLevel="0" collapsed="false">
      <c r="A899" s="55"/>
      <c r="B899" s="56"/>
      <c r="C899" s="57"/>
      <c r="D899" s="56"/>
      <c r="E899" s="56"/>
      <c r="F899" s="56"/>
      <c r="G899" s="50" t="str">
        <f aca="false">IF($A899="","",IF(ISNUMBER($G898),$G898+1,1))</f>
        <v/>
      </c>
      <c r="H899" s="51" t="str">
        <f aca="false">IF(OR(NOT(ISNUMBER($G899)),$G899&lt;2,NOT(ISNUMBER($C898)),$C898=0),"",$C899/$C898-1)</f>
        <v/>
      </c>
      <c r="I899" s="52" t="str">
        <f aca="false">IF(AND(ISNUMBER($G899),$G899&gt;=MA_SHORT),AVERAGE(INDEX($C$499:$C899,402-MA_SHORT):$C899),"")</f>
        <v/>
      </c>
      <c r="J899" s="52" t="str">
        <f aca="false">IF(AND(ISNUMBER($G899),$G899&gt;=MA_MED),AVERAGE(INDEX($C$499:$C899,402-MA_MED):$C899),"")</f>
        <v/>
      </c>
      <c r="K899" s="52" t="str">
        <f aca="false">IF(AND(ISNUMBER($G899),$G899&gt;=MA_LONG2),AVERAGE(INDEX($C$499:$C899,402-MA_LONG2):$C899),"")</f>
        <v/>
      </c>
      <c r="L899" s="53" t="str">
        <f aca="false">IF(AND(ISNUMBER($G899),$G899&gt;=21),STDEV(INDEX($H$839:$H899,62-20):$H899)*SQRT(245),"")</f>
        <v/>
      </c>
      <c r="M899" s="52" t="str">
        <f aca="false">IF(AND(ISNUMBER($G899),$G899&gt;=60),MAX(INDEX($D$699:$D899,202-60):$D899),"")</f>
        <v/>
      </c>
      <c r="N899" s="52" t="str">
        <f aca="false">IF(AND(ISNUMBER($G899),$G899&gt;=60),MIN(INDEX($E$699:$E899,202-60):$E899),"")</f>
        <v/>
      </c>
      <c r="O899" s="53" t="str">
        <f aca="false">IF(OR(NOT(ISNUMBER($C899)),NOT(ISNUMBER($M899)),$M899=0),"",$C899/$M899-1)</f>
        <v/>
      </c>
      <c r="P899" s="54"/>
      <c r="Q899" s="53" t="str">
        <f aca="false">IF(NOT(ISNUMBER($P899)),"",IFERROR(PERCENTRANK($P$5:$P$1204,$P899),""))</f>
        <v/>
      </c>
    </row>
    <row r="900" customFormat="false" ht="15" hidden="false" customHeight="false" outlineLevel="0" collapsed="false">
      <c r="A900" s="55"/>
      <c r="B900" s="56"/>
      <c r="C900" s="57"/>
      <c r="D900" s="56"/>
      <c r="E900" s="56"/>
      <c r="F900" s="56"/>
      <c r="G900" s="50" t="str">
        <f aca="false">IF($A900="","",IF(ISNUMBER($G899),$G899+1,1))</f>
        <v/>
      </c>
      <c r="H900" s="51" t="str">
        <f aca="false">IF(OR(NOT(ISNUMBER($G900)),$G900&lt;2,NOT(ISNUMBER($C899)),$C899=0),"",$C900/$C899-1)</f>
        <v/>
      </c>
      <c r="I900" s="52" t="str">
        <f aca="false">IF(AND(ISNUMBER($G900),$G900&gt;=MA_SHORT),AVERAGE(INDEX($C$500:$C900,402-MA_SHORT):$C900),"")</f>
        <v/>
      </c>
      <c r="J900" s="52" t="str">
        <f aca="false">IF(AND(ISNUMBER($G900),$G900&gt;=MA_MED),AVERAGE(INDEX($C$500:$C900,402-MA_MED):$C900),"")</f>
        <v/>
      </c>
      <c r="K900" s="52" t="str">
        <f aca="false">IF(AND(ISNUMBER($G900),$G900&gt;=MA_LONG2),AVERAGE(INDEX($C$500:$C900,402-MA_LONG2):$C900),"")</f>
        <v/>
      </c>
      <c r="L900" s="53" t="str">
        <f aca="false">IF(AND(ISNUMBER($G900),$G900&gt;=21),STDEV(INDEX($H$840:$H900,62-20):$H900)*SQRT(245),"")</f>
        <v/>
      </c>
      <c r="M900" s="52" t="str">
        <f aca="false">IF(AND(ISNUMBER($G900),$G900&gt;=60),MAX(INDEX($D$700:$D900,202-60):$D900),"")</f>
        <v/>
      </c>
      <c r="N900" s="52" t="str">
        <f aca="false">IF(AND(ISNUMBER($G900),$G900&gt;=60),MIN(INDEX($E$700:$E900,202-60):$E900),"")</f>
        <v/>
      </c>
      <c r="O900" s="53" t="str">
        <f aca="false">IF(OR(NOT(ISNUMBER($C900)),NOT(ISNUMBER($M900)),$M900=0),"",$C900/$M900-1)</f>
        <v/>
      </c>
      <c r="P900" s="54"/>
      <c r="Q900" s="53" t="str">
        <f aca="false">IF(NOT(ISNUMBER($P900)),"",IFERROR(PERCENTRANK($P$5:$P$1204,$P900),""))</f>
        <v/>
      </c>
    </row>
    <row r="901" customFormat="false" ht="15" hidden="false" customHeight="false" outlineLevel="0" collapsed="false">
      <c r="A901" s="55"/>
      <c r="B901" s="56"/>
      <c r="C901" s="57"/>
      <c r="D901" s="56"/>
      <c r="E901" s="56"/>
      <c r="F901" s="56"/>
      <c r="G901" s="50" t="str">
        <f aca="false">IF($A901="","",IF(ISNUMBER($G900),$G900+1,1))</f>
        <v/>
      </c>
      <c r="H901" s="51" t="str">
        <f aca="false">IF(OR(NOT(ISNUMBER($G901)),$G901&lt;2,NOT(ISNUMBER($C900)),$C900=0),"",$C901/$C900-1)</f>
        <v/>
      </c>
      <c r="I901" s="52" t="str">
        <f aca="false">IF(AND(ISNUMBER($G901),$G901&gt;=MA_SHORT),AVERAGE(INDEX($C$501:$C901,402-MA_SHORT):$C901),"")</f>
        <v/>
      </c>
      <c r="J901" s="52" t="str">
        <f aca="false">IF(AND(ISNUMBER($G901),$G901&gt;=MA_MED),AVERAGE(INDEX($C$501:$C901,402-MA_MED):$C901),"")</f>
        <v/>
      </c>
      <c r="K901" s="52" t="str">
        <f aca="false">IF(AND(ISNUMBER($G901),$G901&gt;=MA_LONG2),AVERAGE(INDEX($C$501:$C901,402-MA_LONG2):$C901),"")</f>
        <v/>
      </c>
      <c r="L901" s="53" t="str">
        <f aca="false">IF(AND(ISNUMBER($G901),$G901&gt;=21),STDEV(INDEX($H$841:$H901,62-20):$H901)*SQRT(245),"")</f>
        <v/>
      </c>
      <c r="M901" s="52" t="str">
        <f aca="false">IF(AND(ISNUMBER($G901),$G901&gt;=60),MAX(INDEX($D$701:$D901,202-60):$D901),"")</f>
        <v/>
      </c>
      <c r="N901" s="52" t="str">
        <f aca="false">IF(AND(ISNUMBER($G901),$G901&gt;=60),MIN(INDEX($E$701:$E901,202-60):$E901),"")</f>
        <v/>
      </c>
      <c r="O901" s="53" t="str">
        <f aca="false">IF(OR(NOT(ISNUMBER($C901)),NOT(ISNUMBER($M901)),$M901=0),"",$C901/$M901-1)</f>
        <v/>
      </c>
      <c r="P901" s="54"/>
      <c r="Q901" s="53" t="str">
        <f aca="false">IF(NOT(ISNUMBER($P901)),"",IFERROR(PERCENTRANK($P$5:$P$1204,$P901),""))</f>
        <v/>
      </c>
    </row>
    <row r="902" customFormat="false" ht="15" hidden="false" customHeight="false" outlineLevel="0" collapsed="false">
      <c r="A902" s="55"/>
      <c r="B902" s="56"/>
      <c r="C902" s="57"/>
      <c r="D902" s="56"/>
      <c r="E902" s="56"/>
      <c r="F902" s="56"/>
      <c r="G902" s="50" t="str">
        <f aca="false">IF($A902="","",IF(ISNUMBER($G901),$G901+1,1))</f>
        <v/>
      </c>
      <c r="H902" s="51" t="str">
        <f aca="false">IF(OR(NOT(ISNUMBER($G902)),$G902&lt;2,NOT(ISNUMBER($C901)),$C901=0),"",$C902/$C901-1)</f>
        <v/>
      </c>
      <c r="I902" s="52" t="str">
        <f aca="false">IF(AND(ISNUMBER($G902),$G902&gt;=MA_SHORT),AVERAGE(INDEX($C$502:$C902,402-MA_SHORT):$C902),"")</f>
        <v/>
      </c>
      <c r="J902" s="52" t="str">
        <f aca="false">IF(AND(ISNUMBER($G902),$G902&gt;=MA_MED),AVERAGE(INDEX($C$502:$C902,402-MA_MED):$C902),"")</f>
        <v/>
      </c>
      <c r="K902" s="52" t="str">
        <f aca="false">IF(AND(ISNUMBER($G902),$G902&gt;=MA_LONG2),AVERAGE(INDEX($C$502:$C902,402-MA_LONG2):$C902),"")</f>
        <v/>
      </c>
      <c r="L902" s="53" t="str">
        <f aca="false">IF(AND(ISNUMBER($G902),$G902&gt;=21),STDEV(INDEX($H$842:$H902,62-20):$H902)*SQRT(245),"")</f>
        <v/>
      </c>
      <c r="M902" s="52" t="str">
        <f aca="false">IF(AND(ISNUMBER($G902),$G902&gt;=60),MAX(INDEX($D$702:$D902,202-60):$D902),"")</f>
        <v/>
      </c>
      <c r="N902" s="52" t="str">
        <f aca="false">IF(AND(ISNUMBER($G902),$G902&gt;=60),MIN(INDEX($E$702:$E902,202-60):$E902),"")</f>
        <v/>
      </c>
      <c r="O902" s="53" t="str">
        <f aca="false">IF(OR(NOT(ISNUMBER($C902)),NOT(ISNUMBER($M902)),$M902=0),"",$C902/$M902-1)</f>
        <v/>
      </c>
      <c r="P902" s="54"/>
      <c r="Q902" s="53" t="str">
        <f aca="false">IF(NOT(ISNUMBER($P902)),"",IFERROR(PERCENTRANK($P$5:$P$1204,$P902),""))</f>
        <v/>
      </c>
    </row>
    <row r="903" customFormat="false" ht="15" hidden="false" customHeight="false" outlineLevel="0" collapsed="false">
      <c r="A903" s="55"/>
      <c r="B903" s="56"/>
      <c r="C903" s="57"/>
      <c r="D903" s="56"/>
      <c r="E903" s="56"/>
      <c r="F903" s="56"/>
      <c r="G903" s="50" t="str">
        <f aca="false">IF($A903="","",IF(ISNUMBER($G902),$G902+1,1))</f>
        <v/>
      </c>
      <c r="H903" s="51" t="str">
        <f aca="false">IF(OR(NOT(ISNUMBER($G903)),$G903&lt;2,NOT(ISNUMBER($C902)),$C902=0),"",$C903/$C902-1)</f>
        <v/>
      </c>
      <c r="I903" s="52" t="str">
        <f aca="false">IF(AND(ISNUMBER($G903),$G903&gt;=MA_SHORT),AVERAGE(INDEX($C$503:$C903,402-MA_SHORT):$C903),"")</f>
        <v/>
      </c>
      <c r="J903" s="52" t="str">
        <f aca="false">IF(AND(ISNUMBER($G903),$G903&gt;=MA_MED),AVERAGE(INDEX($C$503:$C903,402-MA_MED):$C903),"")</f>
        <v/>
      </c>
      <c r="K903" s="52" t="str">
        <f aca="false">IF(AND(ISNUMBER($G903),$G903&gt;=MA_LONG2),AVERAGE(INDEX($C$503:$C903,402-MA_LONG2):$C903),"")</f>
        <v/>
      </c>
      <c r="L903" s="53" t="str">
        <f aca="false">IF(AND(ISNUMBER($G903),$G903&gt;=21),STDEV(INDEX($H$843:$H903,62-20):$H903)*SQRT(245),"")</f>
        <v/>
      </c>
      <c r="M903" s="52" t="str">
        <f aca="false">IF(AND(ISNUMBER($G903),$G903&gt;=60),MAX(INDEX($D$703:$D903,202-60):$D903),"")</f>
        <v/>
      </c>
      <c r="N903" s="52" t="str">
        <f aca="false">IF(AND(ISNUMBER($G903),$G903&gt;=60),MIN(INDEX($E$703:$E903,202-60):$E903),"")</f>
        <v/>
      </c>
      <c r="O903" s="53" t="str">
        <f aca="false">IF(OR(NOT(ISNUMBER($C903)),NOT(ISNUMBER($M903)),$M903=0),"",$C903/$M903-1)</f>
        <v/>
      </c>
      <c r="P903" s="54"/>
      <c r="Q903" s="53" t="str">
        <f aca="false">IF(NOT(ISNUMBER($P903)),"",IFERROR(PERCENTRANK($P$5:$P$1204,$P903),""))</f>
        <v/>
      </c>
    </row>
    <row r="904" customFormat="false" ht="15" hidden="false" customHeight="false" outlineLevel="0" collapsed="false">
      <c r="A904" s="55"/>
      <c r="B904" s="56"/>
      <c r="C904" s="57"/>
      <c r="D904" s="56"/>
      <c r="E904" s="56"/>
      <c r="F904" s="56"/>
      <c r="G904" s="50" t="str">
        <f aca="false">IF($A904="","",IF(ISNUMBER($G903),$G903+1,1))</f>
        <v/>
      </c>
      <c r="H904" s="51" t="str">
        <f aca="false">IF(OR(NOT(ISNUMBER($G904)),$G904&lt;2,NOT(ISNUMBER($C903)),$C903=0),"",$C904/$C903-1)</f>
        <v/>
      </c>
      <c r="I904" s="52" t="str">
        <f aca="false">IF(AND(ISNUMBER($G904),$G904&gt;=MA_SHORT),AVERAGE(INDEX($C$504:$C904,402-MA_SHORT):$C904),"")</f>
        <v/>
      </c>
      <c r="J904" s="52" t="str">
        <f aca="false">IF(AND(ISNUMBER($G904),$G904&gt;=MA_MED),AVERAGE(INDEX($C$504:$C904,402-MA_MED):$C904),"")</f>
        <v/>
      </c>
      <c r="K904" s="52" t="str">
        <f aca="false">IF(AND(ISNUMBER($G904),$G904&gt;=MA_LONG2),AVERAGE(INDEX($C$504:$C904,402-MA_LONG2):$C904),"")</f>
        <v/>
      </c>
      <c r="L904" s="53" t="str">
        <f aca="false">IF(AND(ISNUMBER($G904),$G904&gt;=21),STDEV(INDEX($H$844:$H904,62-20):$H904)*SQRT(245),"")</f>
        <v/>
      </c>
      <c r="M904" s="52" t="str">
        <f aca="false">IF(AND(ISNUMBER($G904),$G904&gt;=60),MAX(INDEX($D$704:$D904,202-60):$D904),"")</f>
        <v/>
      </c>
      <c r="N904" s="52" t="str">
        <f aca="false">IF(AND(ISNUMBER($G904),$G904&gt;=60),MIN(INDEX($E$704:$E904,202-60):$E904),"")</f>
        <v/>
      </c>
      <c r="O904" s="53" t="str">
        <f aca="false">IF(OR(NOT(ISNUMBER($C904)),NOT(ISNUMBER($M904)),$M904=0),"",$C904/$M904-1)</f>
        <v/>
      </c>
      <c r="P904" s="54"/>
      <c r="Q904" s="53" t="str">
        <f aca="false">IF(NOT(ISNUMBER($P904)),"",IFERROR(PERCENTRANK($P$5:$P$1204,$P904),""))</f>
        <v/>
      </c>
    </row>
    <row r="905" customFormat="false" ht="15" hidden="false" customHeight="false" outlineLevel="0" collapsed="false">
      <c r="A905" s="55"/>
      <c r="B905" s="56"/>
      <c r="C905" s="57"/>
      <c r="D905" s="56"/>
      <c r="E905" s="56"/>
      <c r="F905" s="56"/>
      <c r="G905" s="50" t="str">
        <f aca="false">IF($A905="","",IF(ISNUMBER($G904),$G904+1,1))</f>
        <v/>
      </c>
      <c r="H905" s="51" t="str">
        <f aca="false">IF(OR(NOT(ISNUMBER($G905)),$G905&lt;2,NOT(ISNUMBER($C904)),$C904=0),"",$C905/$C904-1)</f>
        <v/>
      </c>
      <c r="I905" s="52" t="str">
        <f aca="false">IF(AND(ISNUMBER($G905),$G905&gt;=MA_SHORT),AVERAGE(INDEX($C$505:$C905,402-MA_SHORT):$C905),"")</f>
        <v/>
      </c>
      <c r="J905" s="52" t="str">
        <f aca="false">IF(AND(ISNUMBER($G905),$G905&gt;=MA_MED),AVERAGE(INDEX($C$505:$C905,402-MA_MED):$C905),"")</f>
        <v/>
      </c>
      <c r="K905" s="52" t="str">
        <f aca="false">IF(AND(ISNUMBER($G905),$G905&gt;=MA_LONG2),AVERAGE(INDEX($C$505:$C905,402-MA_LONG2):$C905),"")</f>
        <v/>
      </c>
      <c r="L905" s="53" t="str">
        <f aca="false">IF(AND(ISNUMBER($G905),$G905&gt;=21),STDEV(INDEX($H$845:$H905,62-20):$H905)*SQRT(245),"")</f>
        <v/>
      </c>
      <c r="M905" s="52" t="str">
        <f aca="false">IF(AND(ISNUMBER($G905),$G905&gt;=60),MAX(INDEX($D$705:$D905,202-60):$D905),"")</f>
        <v/>
      </c>
      <c r="N905" s="52" t="str">
        <f aca="false">IF(AND(ISNUMBER($G905),$G905&gt;=60),MIN(INDEX($E$705:$E905,202-60):$E905),"")</f>
        <v/>
      </c>
      <c r="O905" s="53" t="str">
        <f aca="false">IF(OR(NOT(ISNUMBER($C905)),NOT(ISNUMBER($M905)),$M905=0),"",$C905/$M905-1)</f>
        <v/>
      </c>
      <c r="P905" s="54"/>
      <c r="Q905" s="53" t="str">
        <f aca="false">IF(NOT(ISNUMBER($P905)),"",IFERROR(PERCENTRANK($P$5:$P$1204,$P905),""))</f>
        <v/>
      </c>
    </row>
    <row r="906" customFormat="false" ht="15" hidden="false" customHeight="false" outlineLevel="0" collapsed="false">
      <c r="A906" s="55"/>
      <c r="B906" s="56"/>
      <c r="C906" s="57"/>
      <c r="D906" s="56"/>
      <c r="E906" s="56"/>
      <c r="F906" s="56"/>
      <c r="G906" s="50" t="str">
        <f aca="false">IF($A906="","",IF(ISNUMBER($G905),$G905+1,1))</f>
        <v/>
      </c>
      <c r="H906" s="51" t="str">
        <f aca="false">IF(OR(NOT(ISNUMBER($G906)),$G906&lt;2,NOT(ISNUMBER($C905)),$C905=0),"",$C906/$C905-1)</f>
        <v/>
      </c>
      <c r="I906" s="52" t="str">
        <f aca="false">IF(AND(ISNUMBER($G906),$G906&gt;=MA_SHORT),AVERAGE(INDEX($C$506:$C906,402-MA_SHORT):$C906),"")</f>
        <v/>
      </c>
      <c r="J906" s="52" t="str">
        <f aca="false">IF(AND(ISNUMBER($G906),$G906&gt;=MA_MED),AVERAGE(INDEX($C$506:$C906,402-MA_MED):$C906),"")</f>
        <v/>
      </c>
      <c r="K906" s="52" t="str">
        <f aca="false">IF(AND(ISNUMBER($G906),$G906&gt;=MA_LONG2),AVERAGE(INDEX($C$506:$C906,402-MA_LONG2):$C906),"")</f>
        <v/>
      </c>
      <c r="L906" s="53" t="str">
        <f aca="false">IF(AND(ISNUMBER($G906),$G906&gt;=21),STDEV(INDEX($H$846:$H906,62-20):$H906)*SQRT(245),"")</f>
        <v/>
      </c>
      <c r="M906" s="52" t="str">
        <f aca="false">IF(AND(ISNUMBER($G906),$G906&gt;=60),MAX(INDEX($D$706:$D906,202-60):$D906),"")</f>
        <v/>
      </c>
      <c r="N906" s="52" t="str">
        <f aca="false">IF(AND(ISNUMBER($G906),$G906&gt;=60),MIN(INDEX($E$706:$E906,202-60):$E906),"")</f>
        <v/>
      </c>
      <c r="O906" s="53" t="str">
        <f aca="false">IF(OR(NOT(ISNUMBER($C906)),NOT(ISNUMBER($M906)),$M906=0),"",$C906/$M906-1)</f>
        <v/>
      </c>
      <c r="P906" s="54"/>
      <c r="Q906" s="53" t="str">
        <f aca="false">IF(NOT(ISNUMBER($P906)),"",IFERROR(PERCENTRANK($P$5:$P$1204,$P906),""))</f>
        <v/>
      </c>
    </row>
    <row r="907" customFormat="false" ht="15" hidden="false" customHeight="false" outlineLevel="0" collapsed="false">
      <c r="A907" s="55"/>
      <c r="B907" s="56"/>
      <c r="C907" s="57"/>
      <c r="D907" s="56"/>
      <c r="E907" s="56"/>
      <c r="F907" s="56"/>
      <c r="G907" s="50" t="str">
        <f aca="false">IF($A907="","",IF(ISNUMBER($G906),$G906+1,1))</f>
        <v/>
      </c>
      <c r="H907" s="51" t="str">
        <f aca="false">IF(OR(NOT(ISNUMBER($G907)),$G907&lt;2,NOT(ISNUMBER($C906)),$C906=0),"",$C907/$C906-1)</f>
        <v/>
      </c>
      <c r="I907" s="52" t="str">
        <f aca="false">IF(AND(ISNUMBER($G907),$G907&gt;=MA_SHORT),AVERAGE(INDEX($C$507:$C907,402-MA_SHORT):$C907),"")</f>
        <v/>
      </c>
      <c r="J907" s="52" t="str">
        <f aca="false">IF(AND(ISNUMBER($G907),$G907&gt;=MA_MED),AVERAGE(INDEX($C$507:$C907,402-MA_MED):$C907),"")</f>
        <v/>
      </c>
      <c r="K907" s="52" t="str">
        <f aca="false">IF(AND(ISNUMBER($G907),$G907&gt;=MA_LONG2),AVERAGE(INDEX($C$507:$C907,402-MA_LONG2):$C907),"")</f>
        <v/>
      </c>
      <c r="L907" s="53" t="str">
        <f aca="false">IF(AND(ISNUMBER($G907),$G907&gt;=21),STDEV(INDEX($H$847:$H907,62-20):$H907)*SQRT(245),"")</f>
        <v/>
      </c>
      <c r="M907" s="52" t="str">
        <f aca="false">IF(AND(ISNUMBER($G907),$G907&gt;=60),MAX(INDEX($D$707:$D907,202-60):$D907),"")</f>
        <v/>
      </c>
      <c r="N907" s="52" t="str">
        <f aca="false">IF(AND(ISNUMBER($G907),$G907&gt;=60),MIN(INDEX($E$707:$E907,202-60):$E907),"")</f>
        <v/>
      </c>
      <c r="O907" s="53" t="str">
        <f aca="false">IF(OR(NOT(ISNUMBER($C907)),NOT(ISNUMBER($M907)),$M907=0),"",$C907/$M907-1)</f>
        <v/>
      </c>
      <c r="P907" s="54"/>
      <c r="Q907" s="53" t="str">
        <f aca="false">IF(NOT(ISNUMBER($P907)),"",IFERROR(PERCENTRANK($P$5:$P$1204,$P907),""))</f>
        <v/>
      </c>
    </row>
    <row r="908" customFormat="false" ht="15" hidden="false" customHeight="false" outlineLevel="0" collapsed="false">
      <c r="A908" s="55"/>
      <c r="B908" s="56"/>
      <c r="C908" s="57"/>
      <c r="D908" s="56"/>
      <c r="E908" s="56"/>
      <c r="F908" s="56"/>
      <c r="G908" s="50" t="str">
        <f aca="false">IF($A908="","",IF(ISNUMBER($G907),$G907+1,1))</f>
        <v/>
      </c>
      <c r="H908" s="51" t="str">
        <f aca="false">IF(OR(NOT(ISNUMBER($G908)),$G908&lt;2,NOT(ISNUMBER($C907)),$C907=0),"",$C908/$C907-1)</f>
        <v/>
      </c>
      <c r="I908" s="52" t="str">
        <f aca="false">IF(AND(ISNUMBER($G908),$G908&gt;=MA_SHORT),AVERAGE(INDEX($C$508:$C908,402-MA_SHORT):$C908),"")</f>
        <v/>
      </c>
      <c r="J908" s="52" t="str">
        <f aca="false">IF(AND(ISNUMBER($G908),$G908&gt;=MA_MED),AVERAGE(INDEX($C$508:$C908,402-MA_MED):$C908),"")</f>
        <v/>
      </c>
      <c r="K908" s="52" t="str">
        <f aca="false">IF(AND(ISNUMBER($G908),$G908&gt;=MA_LONG2),AVERAGE(INDEX($C$508:$C908,402-MA_LONG2):$C908),"")</f>
        <v/>
      </c>
      <c r="L908" s="53" t="str">
        <f aca="false">IF(AND(ISNUMBER($G908),$G908&gt;=21),STDEV(INDEX($H$848:$H908,62-20):$H908)*SQRT(245),"")</f>
        <v/>
      </c>
      <c r="M908" s="52" t="str">
        <f aca="false">IF(AND(ISNUMBER($G908),$G908&gt;=60),MAX(INDEX($D$708:$D908,202-60):$D908),"")</f>
        <v/>
      </c>
      <c r="N908" s="52" t="str">
        <f aca="false">IF(AND(ISNUMBER($G908),$G908&gt;=60),MIN(INDEX($E$708:$E908,202-60):$E908),"")</f>
        <v/>
      </c>
      <c r="O908" s="53" t="str">
        <f aca="false">IF(OR(NOT(ISNUMBER($C908)),NOT(ISNUMBER($M908)),$M908=0),"",$C908/$M908-1)</f>
        <v/>
      </c>
      <c r="P908" s="54"/>
      <c r="Q908" s="53" t="str">
        <f aca="false">IF(NOT(ISNUMBER($P908)),"",IFERROR(PERCENTRANK($P$5:$P$1204,$P908),""))</f>
        <v/>
      </c>
    </row>
    <row r="909" customFormat="false" ht="15" hidden="false" customHeight="false" outlineLevel="0" collapsed="false">
      <c r="A909" s="55"/>
      <c r="B909" s="56"/>
      <c r="C909" s="57"/>
      <c r="D909" s="56"/>
      <c r="E909" s="56"/>
      <c r="F909" s="56"/>
      <c r="G909" s="50" t="str">
        <f aca="false">IF($A909="","",IF(ISNUMBER($G908),$G908+1,1))</f>
        <v/>
      </c>
      <c r="H909" s="51" t="str">
        <f aca="false">IF(OR(NOT(ISNUMBER($G909)),$G909&lt;2,NOT(ISNUMBER($C908)),$C908=0),"",$C909/$C908-1)</f>
        <v/>
      </c>
      <c r="I909" s="52" t="str">
        <f aca="false">IF(AND(ISNUMBER($G909),$G909&gt;=MA_SHORT),AVERAGE(INDEX($C$509:$C909,402-MA_SHORT):$C909),"")</f>
        <v/>
      </c>
      <c r="J909" s="52" t="str">
        <f aca="false">IF(AND(ISNUMBER($G909),$G909&gt;=MA_MED),AVERAGE(INDEX($C$509:$C909,402-MA_MED):$C909),"")</f>
        <v/>
      </c>
      <c r="K909" s="52" t="str">
        <f aca="false">IF(AND(ISNUMBER($G909),$G909&gt;=MA_LONG2),AVERAGE(INDEX($C$509:$C909,402-MA_LONG2):$C909),"")</f>
        <v/>
      </c>
      <c r="L909" s="53" t="str">
        <f aca="false">IF(AND(ISNUMBER($G909),$G909&gt;=21),STDEV(INDEX($H$849:$H909,62-20):$H909)*SQRT(245),"")</f>
        <v/>
      </c>
      <c r="M909" s="52" t="str">
        <f aca="false">IF(AND(ISNUMBER($G909),$G909&gt;=60),MAX(INDEX($D$709:$D909,202-60):$D909),"")</f>
        <v/>
      </c>
      <c r="N909" s="52" t="str">
        <f aca="false">IF(AND(ISNUMBER($G909),$G909&gt;=60),MIN(INDEX($E$709:$E909,202-60):$E909),"")</f>
        <v/>
      </c>
      <c r="O909" s="53" t="str">
        <f aca="false">IF(OR(NOT(ISNUMBER($C909)),NOT(ISNUMBER($M909)),$M909=0),"",$C909/$M909-1)</f>
        <v/>
      </c>
      <c r="P909" s="54"/>
      <c r="Q909" s="53" t="str">
        <f aca="false">IF(NOT(ISNUMBER($P909)),"",IFERROR(PERCENTRANK($P$5:$P$1204,$P909),""))</f>
        <v/>
      </c>
    </row>
    <row r="910" customFormat="false" ht="15" hidden="false" customHeight="false" outlineLevel="0" collapsed="false">
      <c r="A910" s="55"/>
      <c r="B910" s="56"/>
      <c r="C910" s="57"/>
      <c r="D910" s="56"/>
      <c r="E910" s="56"/>
      <c r="F910" s="56"/>
      <c r="G910" s="50" t="str">
        <f aca="false">IF($A910="","",IF(ISNUMBER($G909),$G909+1,1))</f>
        <v/>
      </c>
      <c r="H910" s="51" t="str">
        <f aca="false">IF(OR(NOT(ISNUMBER($G910)),$G910&lt;2,NOT(ISNUMBER($C909)),$C909=0),"",$C910/$C909-1)</f>
        <v/>
      </c>
      <c r="I910" s="52" t="str">
        <f aca="false">IF(AND(ISNUMBER($G910),$G910&gt;=MA_SHORT),AVERAGE(INDEX($C$510:$C910,402-MA_SHORT):$C910),"")</f>
        <v/>
      </c>
      <c r="J910" s="52" t="str">
        <f aca="false">IF(AND(ISNUMBER($G910),$G910&gt;=MA_MED),AVERAGE(INDEX($C$510:$C910,402-MA_MED):$C910),"")</f>
        <v/>
      </c>
      <c r="K910" s="52" t="str">
        <f aca="false">IF(AND(ISNUMBER($G910),$G910&gt;=MA_LONG2),AVERAGE(INDEX($C$510:$C910,402-MA_LONG2):$C910),"")</f>
        <v/>
      </c>
      <c r="L910" s="53" t="str">
        <f aca="false">IF(AND(ISNUMBER($G910),$G910&gt;=21),STDEV(INDEX($H$850:$H910,62-20):$H910)*SQRT(245),"")</f>
        <v/>
      </c>
      <c r="M910" s="52" t="str">
        <f aca="false">IF(AND(ISNUMBER($G910),$G910&gt;=60),MAX(INDEX($D$710:$D910,202-60):$D910),"")</f>
        <v/>
      </c>
      <c r="N910" s="52" t="str">
        <f aca="false">IF(AND(ISNUMBER($G910),$G910&gt;=60),MIN(INDEX($E$710:$E910,202-60):$E910),"")</f>
        <v/>
      </c>
      <c r="O910" s="53" t="str">
        <f aca="false">IF(OR(NOT(ISNUMBER($C910)),NOT(ISNUMBER($M910)),$M910=0),"",$C910/$M910-1)</f>
        <v/>
      </c>
      <c r="P910" s="54"/>
      <c r="Q910" s="53" t="str">
        <f aca="false">IF(NOT(ISNUMBER($P910)),"",IFERROR(PERCENTRANK($P$5:$P$1204,$P910),""))</f>
        <v/>
      </c>
    </row>
    <row r="911" customFormat="false" ht="15" hidden="false" customHeight="false" outlineLevel="0" collapsed="false">
      <c r="A911" s="55"/>
      <c r="B911" s="56"/>
      <c r="C911" s="57"/>
      <c r="D911" s="56"/>
      <c r="E911" s="56"/>
      <c r="F911" s="56"/>
      <c r="G911" s="50" t="str">
        <f aca="false">IF($A911="","",IF(ISNUMBER($G910),$G910+1,1))</f>
        <v/>
      </c>
      <c r="H911" s="51" t="str">
        <f aca="false">IF(OR(NOT(ISNUMBER($G911)),$G911&lt;2,NOT(ISNUMBER($C910)),$C910=0),"",$C911/$C910-1)</f>
        <v/>
      </c>
      <c r="I911" s="52" t="str">
        <f aca="false">IF(AND(ISNUMBER($G911),$G911&gt;=MA_SHORT),AVERAGE(INDEX($C$511:$C911,402-MA_SHORT):$C911),"")</f>
        <v/>
      </c>
      <c r="J911" s="52" t="str">
        <f aca="false">IF(AND(ISNUMBER($G911),$G911&gt;=MA_MED),AVERAGE(INDEX($C$511:$C911,402-MA_MED):$C911),"")</f>
        <v/>
      </c>
      <c r="K911" s="52" t="str">
        <f aca="false">IF(AND(ISNUMBER($G911),$G911&gt;=MA_LONG2),AVERAGE(INDEX($C$511:$C911,402-MA_LONG2):$C911),"")</f>
        <v/>
      </c>
      <c r="L911" s="53" t="str">
        <f aca="false">IF(AND(ISNUMBER($G911),$G911&gt;=21),STDEV(INDEX($H$851:$H911,62-20):$H911)*SQRT(245),"")</f>
        <v/>
      </c>
      <c r="M911" s="52" t="str">
        <f aca="false">IF(AND(ISNUMBER($G911),$G911&gt;=60),MAX(INDEX($D$711:$D911,202-60):$D911),"")</f>
        <v/>
      </c>
      <c r="N911" s="52" t="str">
        <f aca="false">IF(AND(ISNUMBER($G911),$G911&gt;=60),MIN(INDEX($E$711:$E911,202-60):$E911),"")</f>
        <v/>
      </c>
      <c r="O911" s="53" t="str">
        <f aca="false">IF(OR(NOT(ISNUMBER($C911)),NOT(ISNUMBER($M911)),$M911=0),"",$C911/$M911-1)</f>
        <v/>
      </c>
      <c r="P911" s="54"/>
      <c r="Q911" s="53" t="str">
        <f aca="false">IF(NOT(ISNUMBER($P911)),"",IFERROR(PERCENTRANK($P$5:$P$1204,$P911),""))</f>
        <v/>
      </c>
    </row>
    <row r="912" customFormat="false" ht="15" hidden="false" customHeight="false" outlineLevel="0" collapsed="false">
      <c r="A912" s="55"/>
      <c r="B912" s="56"/>
      <c r="C912" s="57"/>
      <c r="D912" s="56"/>
      <c r="E912" s="56"/>
      <c r="F912" s="56"/>
      <c r="G912" s="50" t="str">
        <f aca="false">IF($A912="","",IF(ISNUMBER($G911),$G911+1,1))</f>
        <v/>
      </c>
      <c r="H912" s="51" t="str">
        <f aca="false">IF(OR(NOT(ISNUMBER($G912)),$G912&lt;2,NOT(ISNUMBER($C911)),$C911=0),"",$C912/$C911-1)</f>
        <v/>
      </c>
      <c r="I912" s="52" t="str">
        <f aca="false">IF(AND(ISNUMBER($G912),$G912&gt;=MA_SHORT),AVERAGE(INDEX($C$512:$C912,402-MA_SHORT):$C912),"")</f>
        <v/>
      </c>
      <c r="J912" s="52" t="str">
        <f aca="false">IF(AND(ISNUMBER($G912),$G912&gt;=MA_MED),AVERAGE(INDEX($C$512:$C912,402-MA_MED):$C912),"")</f>
        <v/>
      </c>
      <c r="K912" s="52" t="str">
        <f aca="false">IF(AND(ISNUMBER($G912),$G912&gt;=MA_LONG2),AVERAGE(INDEX($C$512:$C912,402-MA_LONG2):$C912),"")</f>
        <v/>
      </c>
      <c r="L912" s="53" t="str">
        <f aca="false">IF(AND(ISNUMBER($G912),$G912&gt;=21),STDEV(INDEX($H$852:$H912,62-20):$H912)*SQRT(245),"")</f>
        <v/>
      </c>
      <c r="M912" s="52" t="str">
        <f aca="false">IF(AND(ISNUMBER($G912),$G912&gt;=60),MAX(INDEX($D$712:$D912,202-60):$D912),"")</f>
        <v/>
      </c>
      <c r="N912" s="52" t="str">
        <f aca="false">IF(AND(ISNUMBER($G912),$G912&gt;=60),MIN(INDEX($E$712:$E912,202-60):$E912),"")</f>
        <v/>
      </c>
      <c r="O912" s="53" t="str">
        <f aca="false">IF(OR(NOT(ISNUMBER($C912)),NOT(ISNUMBER($M912)),$M912=0),"",$C912/$M912-1)</f>
        <v/>
      </c>
      <c r="P912" s="54"/>
      <c r="Q912" s="53" t="str">
        <f aca="false">IF(NOT(ISNUMBER($P912)),"",IFERROR(PERCENTRANK($P$5:$P$1204,$P912),""))</f>
        <v/>
      </c>
    </row>
    <row r="913" customFormat="false" ht="15" hidden="false" customHeight="false" outlineLevel="0" collapsed="false">
      <c r="A913" s="55"/>
      <c r="B913" s="56"/>
      <c r="C913" s="57"/>
      <c r="D913" s="56"/>
      <c r="E913" s="56"/>
      <c r="F913" s="56"/>
      <c r="G913" s="50" t="str">
        <f aca="false">IF($A913="","",IF(ISNUMBER($G912),$G912+1,1))</f>
        <v/>
      </c>
      <c r="H913" s="51" t="str">
        <f aca="false">IF(OR(NOT(ISNUMBER($G913)),$G913&lt;2,NOT(ISNUMBER($C912)),$C912=0),"",$C913/$C912-1)</f>
        <v/>
      </c>
      <c r="I913" s="52" t="str">
        <f aca="false">IF(AND(ISNUMBER($G913),$G913&gt;=MA_SHORT),AVERAGE(INDEX($C$513:$C913,402-MA_SHORT):$C913),"")</f>
        <v/>
      </c>
      <c r="J913" s="52" t="str">
        <f aca="false">IF(AND(ISNUMBER($G913),$G913&gt;=MA_MED),AVERAGE(INDEX($C$513:$C913,402-MA_MED):$C913),"")</f>
        <v/>
      </c>
      <c r="K913" s="52" t="str">
        <f aca="false">IF(AND(ISNUMBER($G913),$G913&gt;=MA_LONG2),AVERAGE(INDEX($C$513:$C913,402-MA_LONG2):$C913),"")</f>
        <v/>
      </c>
      <c r="L913" s="53" t="str">
        <f aca="false">IF(AND(ISNUMBER($G913),$G913&gt;=21),STDEV(INDEX($H$853:$H913,62-20):$H913)*SQRT(245),"")</f>
        <v/>
      </c>
      <c r="M913" s="52" t="str">
        <f aca="false">IF(AND(ISNUMBER($G913),$G913&gt;=60),MAX(INDEX($D$713:$D913,202-60):$D913),"")</f>
        <v/>
      </c>
      <c r="N913" s="52" t="str">
        <f aca="false">IF(AND(ISNUMBER($G913),$G913&gt;=60),MIN(INDEX($E$713:$E913,202-60):$E913),"")</f>
        <v/>
      </c>
      <c r="O913" s="53" t="str">
        <f aca="false">IF(OR(NOT(ISNUMBER($C913)),NOT(ISNUMBER($M913)),$M913=0),"",$C913/$M913-1)</f>
        <v/>
      </c>
      <c r="P913" s="54"/>
      <c r="Q913" s="53" t="str">
        <f aca="false">IF(NOT(ISNUMBER($P913)),"",IFERROR(PERCENTRANK($P$5:$P$1204,$P913),""))</f>
        <v/>
      </c>
    </row>
    <row r="914" customFormat="false" ht="15" hidden="false" customHeight="false" outlineLevel="0" collapsed="false">
      <c r="A914" s="55"/>
      <c r="B914" s="56"/>
      <c r="C914" s="57"/>
      <c r="D914" s="56"/>
      <c r="E914" s="56"/>
      <c r="F914" s="56"/>
      <c r="G914" s="50" t="str">
        <f aca="false">IF($A914="","",IF(ISNUMBER($G913),$G913+1,1))</f>
        <v/>
      </c>
      <c r="H914" s="51" t="str">
        <f aca="false">IF(OR(NOT(ISNUMBER($G914)),$G914&lt;2,NOT(ISNUMBER($C913)),$C913=0),"",$C914/$C913-1)</f>
        <v/>
      </c>
      <c r="I914" s="52" t="str">
        <f aca="false">IF(AND(ISNUMBER($G914),$G914&gt;=MA_SHORT),AVERAGE(INDEX($C$514:$C914,402-MA_SHORT):$C914),"")</f>
        <v/>
      </c>
      <c r="J914" s="52" t="str">
        <f aca="false">IF(AND(ISNUMBER($G914),$G914&gt;=MA_MED),AVERAGE(INDEX($C$514:$C914,402-MA_MED):$C914),"")</f>
        <v/>
      </c>
      <c r="K914" s="52" t="str">
        <f aca="false">IF(AND(ISNUMBER($G914),$G914&gt;=MA_LONG2),AVERAGE(INDEX($C$514:$C914,402-MA_LONG2):$C914),"")</f>
        <v/>
      </c>
      <c r="L914" s="53" t="str">
        <f aca="false">IF(AND(ISNUMBER($G914),$G914&gt;=21),STDEV(INDEX($H$854:$H914,62-20):$H914)*SQRT(245),"")</f>
        <v/>
      </c>
      <c r="M914" s="52" t="str">
        <f aca="false">IF(AND(ISNUMBER($G914),$G914&gt;=60),MAX(INDEX($D$714:$D914,202-60):$D914),"")</f>
        <v/>
      </c>
      <c r="N914" s="52" t="str">
        <f aca="false">IF(AND(ISNUMBER($G914),$G914&gt;=60),MIN(INDEX($E$714:$E914,202-60):$E914),"")</f>
        <v/>
      </c>
      <c r="O914" s="53" t="str">
        <f aca="false">IF(OR(NOT(ISNUMBER($C914)),NOT(ISNUMBER($M914)),$M914=0),"",$C914/$M914-1)</f>
        <v/>
      </c>
      <c r="P914" s="54"/>
      <c r="Q914" s="53" t="str">
        <f aca="false">IF(NOT(ISNUMBER($P914)),"",IFERROR(PERCENTRANK($P$5:$P$1204,$P914),""))</f>
        <v/>
      </c>
    </row>
    <row r="915" customFormat="false" ht="15" hidden="false" customHeight="false" outlineLevel="0" collapsed="false">
      <c r="A915" s="55"/>
      <c r="B915" s="56"/>
      <c r="C915" s="57"/>
      <c r="D915" s="56"/>
      <c r="E915" s="56"/>
      <c r="F915" s="56"/>
      <c r="G915" s="50" t="str">
        <f aca="false">IF($A915="","",IF(ISNUMBER($G914),$G914+1,1))</f>
        <v/>
      </c>
      <c r="H915" s="51" t="str">
        <f aca="false">IF(OR(NOT(ISNUMBER($G915)),$G915&lt;2,NOT(ISNUMBER($C914)),$C914=0),"",$C915/$C914-1)</f>
        <v/>
      </c>
      <c r="I915" s="52" t="str">
        <f aca="false">IF(AND(ISNUMBER($G915),$G915&gt;=MA_SHORT),AVERAGE(INDEX($C$515:$C915,402-MA_SHORT):$C915),"")</f>
        <v/>
      </c>
      <c r="J915" s="52" t="str">
        <f aca="false">IF(AND(ISNUMBER($G915),$G915&gt;=MA_MED),AVERAGE(INDEX($C$515:$C915,402-MA_MED):$C915),"")</f>
        <v/>
      </c>
      <c r="K915" s="52" t="str">
        <f aca="false">IF(AND(ISNUMBER($G915),$G915&gt;=MA_LONG2),AVERAGE(INDEX($C$515:$C915,402-MA_LONG2):$C915),"")</f>
        <v/>
      </c>
      <c r="L915" s="53" t="str">
        <f aca="false">IF(AND(ISNUMBER($G915),$G915&gt;=21),STDEV(INDEX($H$855:$H915,62-20):$H915)*SQRT(245),"")</f>
        <v/>
      </c>
      <c r="M915" s="52" t="str">
        <f aca="false">IF(AND(ISNUMBER($G915),$G915&gt;=60),MAX(INDEX($D$715:$D915,202-60):$D915),"")</f>
        <v/>
      </c>
      <c r="N915" s="52" t="str">
        <f aca="false">IF(AND(ISNUMBER($G915),$G915&gt;=60),MIN(INDEX($E$715:$E915,202-60):$E915),"")</f>
        <v/>
      </c>
      <c r="O915" s="53" t="str">
        <f aca="false">IF(OR(NOT(ISNUMBER($C915)),NOT(ISNUMBER($M915)),$M915=0),"",$C915/$M915-1)</f>
        <v/>
      </c>
      <c r="P915" s="54"/>
      <c r="Q915" s="53" t="str">
        <f aca="false">IF(NOT(ISNUMBER($P915)),"",IFERROR(PERCENTRANK($P$5:$P$1204,$P915),""))</f>
        <v/>
      </c>
    </row>
    <row r="916" customFormat="false" ht="15" hidden="false" customHeight="false" outlineLevel="0" collapsed="false">
      <c r="A916" s="55"/>
      <c r="B916" s="56"/>
      <c r="C916" s="57"/>
      <c r="D916" s="56"/>
      <c r="E916" s="56"/>
      <c r="F916" s="56"/>
      <c r="G916" s="50" t="str">
        <f aca="false">IF($A916="","",IF(ISNUMBER($G915),$G915+1,1))</f>
        <v/>
      </c>
      <c r="H916" s="51" t="str">
        <f aca="false">IF(OR(NOT(ISNUMBER($G916)),$G916&lt;2,NOT(ISNUMBER($C915)),$C915=0),"",$C916/$C915-1)</f>
        <v/>
      </c>
      <c r="I916" s="52" t="str">
        <f aca="false">IF(AND(ISNUMBER($G916),$G916&gt;=MA_SHORT),AVERAGE(INDEX($C$516:$C916,402-MA_SHORT):$C916),"")</f>
        <v/>
      </c>
      <c r="J916" s="52" t="str">
        <f aca="false">IF(AND(ISNUMBER($G916),$G916&gt;=MA_MED),AVERAGE(INDEX($C$516:$C916,402-MA_MED):$C916),"")</f>
        <v/>
      </c>
      <c r="K916" s="52" t="str">
        <f aca="false">IF(AND(ISNUMBER($G916),$G916&gt;=MA_LONG2),AVERAGE(INDEX($C$516:$C916,402-MA_LONG2):$C916),"")</f>
        <v/>
      </c>
      <c r="L916" s="53" t="str">
        <f aca="false">IF(AND(ISNUMBER($G916),$G916&gt;=21),STDEV(INDEX($H$856:$H916,62-20):$H916)*SQRT(245),"")</f>
        <v/>
      </c>
      <c r="M916" s="52" t="str">
        <f aca="false">IF(AND(ISNUMBER($G916),$G916&gt;=60),MAX(INDEX($D$716:$D916,202-60):$D916),"")</f>
        <v/>
      </c>
      <c r="N916" s="52" t="str">
        <f aca="false">IF(AND(ISNUMBER($G916),$G916&gt;=60),MIN(INDEX($E$716:$E916,202-60):$E916),"")</f>
        <v/>
      </c>
      <c r="O916" s="53" t="str">
        <f aca="false">IF(OR(NOT(ISNUMBER($C916)),NOT(ISNUMBER($M916)),$M916=0),"",$C916/$M916-1)</f>
        <v/>
      </c>
      <c r="P916" s="54"/>
      <c r="Q916" s="53" t="str">
        <f aca="false">IF(NOT(ISNUMBER($P916)),"",IFERROR(PERCENTRANK($P$5:$P$1204,$P916),""))</f>
        <v/>
      </c>
    </row>
    <row r="917" customFormat="false" ht="15" hidden="false" customHeight="false" outlineLevel="0" collapsed="false">
      <c r="A917" s="55"/>
      <c r="B917" s="56"/>
      <c r="C917" s="57"/>
      <c r="D917" s="56"/>
      <c r="E917" s="56"/>
      <c r="F917" s="56"/>
      <c r="G917" s="50" t="str">
        <f aca="false">IF($A917="","",IF(ISNUMBER($G916),$G916+1,1))</f>
        <v/>
      </c>
      <c r="H917" s="51" t="str">
        <f aca="false">IF(OR(NOT(ISNUMBER($G917)),$G917&lt;2,NOT(ISNUMBER($C916)),$C916=0),"",$C917/$C916-1)</f>
        <v/>
      </c>
      <c r="I917" s="52" t="str">
        <f aca="false">IF(AND(ISNUMBER($G917),$G917&gt;=MA_SHORT),AVERAGE(INDEX($C$517:$C917,402-MA_SHORT):$C917),"")</f>
        <v/>
      </c>
      <c r="J917" s="52" t="str">
        <f aca="false">IF(AND(ISNUMBER($G917),$G917&gt;=MA_MED),AVERAGE(INDEX($C$517:$C917,402-MA_MED):$C917),"")</f>
        <v/>
      </c>
      <c r="K917" s="52" t="str">
        <f aca="false">IF(AND(ISNUMBER($G917),$G917&gt;=MA_LONG2),AVERAGE(INDEX($C$517:$C917,402-MA_LONG2):$C917),"")</f>
        <v/>
      </c>
      <c r="L917" s="53" t="str">
        <f aca="false">IF(AND(ISNUMBER($G917),$G917&gt;=21),STDEV(INDEX($H$857:$H917,62-20):$H917)*SQRT(245),"")</f>
        <v/>
      </c>
      <c r="M917" s="52" t="str">
        <f aca="false">IF(AND(ISNUMBER($G917),$G917&gt;=60),MAX(INDEX($D$717:$D917,202-60):$D917),"")</f>
        <v/>
      </c>
      <c r="N917" s="52" t="str">
        <f aca="false">IF(AND(ISNUMBER($G917),$G917&gt;=60),MIN(INDEX($E$717:$E917,202-60):$E917),"")</f>
        <v/>
      </c>
      <c r="O917" s="53" t="str">
        <f aca="false">IF(OR(NOT(ISNUMBER($C917)),NOT(ISNUMBER($M917)),$M917=0),"",$C917/$M917-1)</f>
        <v/>
      </c>
      <c r="P917" s="54"/>
      <c r="Q917" s="53" t="str">
        <f aca="false">IF(NOT(ISNUMBER($P917)),"",IFERROR(PERCENTRANK($P$5:$P$1204,$P917),""))</f>
        <v/>
      </c>
    </row>
    <row r="918" customFormat="false" ht="15" hidden="false" customHeight="false" outlineLevel="0" collapsed="false">
      <c r="A918" s="55"/>
      <c r="B918" s="56"/>
      <c r="C918" s="57"/>
      <c r="D918" s="56"/>
      <c r="E918" s="56"/>
      <c r="F918" s="56"/>
      <c r="G918" s="50" t="str">
        <f aca="false">IF($A918="","",IF(ISNUMBER($G917),$G917+1,1))</f>
        <v/>
      </c>
      <c r="H918" s="51" t="str">
        <f aca="false">IF(OR(NOT(ISNUMBER($G918)),$G918&lt;2,NOT(ISNUMBER($C917)),$C917=0),"",$C918/$C917-1)</f>
        <v/>
      </c>
      <c r="I918" s="52" t="str">
        <f aca="false">IF(AND(ISNUMBER($G918),$G918&gt;=MA_SHORT),AVERAGE(INDEX($C$518:$C918,402-MA_SHORT):$C918),"")</f>
        <v/>
      </c>
      <c r="J918" s="52" t="str">
        <f aca="false">IF(AND(ISNUMBER($G918),$G918&gt;=MA_MED),AVERAGE(INDEX($C$518:$C918,402-MA_MED):$C918),"")</f>
        <v/>
      </c>
      <c r="K918" s="52" t="str">
        <f aca="false">IF(AND(ISNUMBER($G918),$G918&gt;=MA_LONG2),AVERAGE(INDEX($C$518:$C918,402-MA_LONG2):$C918),"")</f>
        <v/>
      </c>
      <c r="L918" s="53" t="str">
        <f aca="false">IF(AND(ISNUMBER($G918),$G918&gt;=21),STDEV(INDEX($H$858:$H918,62-20):$H918)*SQRT(245),"")</f>
        <v/>
      </c>
      <c r="M918" s="52" t="str">
        <f aca="false">IF(AND(ISNUMBER($G918),$G918&gt;=60),MAX(INDEX($D$718:$D918,202-60):$D918),"")</f>
        <v/>
      </c>
      <c r="N918" s="52" t="str">
        <f aca="false">IF(AND(ISNUMBER($G918),$G918&gt;=60),MIN(INDEX($E$718:$E918,202-60):$E918),"")</f>
        <v/>
      </c>
      <c r="O918" s="53" t="str">
        <f aca="false">IF(OR(NOT(ISNUMBER($C918)),NOT(ISNUMBER($M918)),$M918=0),"",$C918/$M918-1)</f>
        <v/>
      </c>
      <c r="P918" s="54"/>
      <c r="Q918" s="53" t="str">
        <f aca="false">IF(NOT(ISNUMBER($P918)),"",IFERROR(PERCENTRANK($P$5:$P$1204,$P918),""))</f>
        <v/>
      </c>
    </row>
    <row r="919" customFormat="false" ht="15" hidden="false" customHeight="false" outlineLevel="0" collapsed="false">
      <c r="A919" s="55"/>
      <c r="B919" s="56"/>
      <c r="C919" s="57"/>
      <c r="D919" s="56"/>
      <c r="E919" s="56"/>
      <c r="F919" s="56"/>
      <c r="G919" s="50" t="str">
        <f aca="false">IF($A919="","",IF(ISNUMBER($G918),$G918+1,1))</f>
        <v/>
      </c>
      <c r="H919" s="51" t="str">
        <f aca="false">IF(OR(NOT(ISNUMBER($G919)),$G919&lt;2,NOT(ISNUMBER($C918)),$C918=0),"",$C919/$C918-1)</f>
        <v/>
      </c>
      <c r="I919" s="52" t="str">
        <f aca="false">IF(AND(ISNUMBER($G919),$G919&gt;=MA_SHORT),AVERAGE(INDEX($C$519:$C919,402-MA_SHORT):$C919),"")</f>
        <v/>
      </c>
      <c r="J919" s="52" t="str">
        <f aca="false">IF(AND(ISNUMBER($G919),$G919&gt;=MA_MED),AVERAGE(INDEX($C$519:$C919,402-MA_MED):$C919),"")</f>
        <v/>
      </c>
      <c r="K919" s="52" t="str">
        <f aca="false">IF(AND(ISNUMBER($G919),$G919&gt;=MA_LONG2),AVERAGE(INDEX($C$519:$C919,402-MA_LONG2):$C919),"")</f>
        <v/>
      </c>
      <c r="L919" s="53" t="str">
        <f aca="false">IF(AND(ISNUMBER($G919),$G919&gt;=21),STDEV(INDEX($H$859:$H919,62-20):$H919)*SQRT(245),"")</f>
        <v/>
      </c>
      <c r="M919" s="52" t="str">
        <f aca="false">IF(AND(ISNUMBER($G919),$G919&gt;=60),MAX(INDEX($D$719:$D919,202-60):$D919),"")</f>
        <v/>
      </c>
      <c r="N919" s="52" t="str">
        <f aca="false">IF(AND(ISNUMBER($G919),$G919&gt;=60),MIN(INDEX($E$719:$E919,202-60):$E919),"")</f>
        <v/>
      </c>
      <c r="O919" s="53" t="str">
        <f aca="false">IF(OR(NOT(ISNUMBER($C919)),NOT(ISNUMBER($M919)),$M919=0),"",$C919/$M919-1)</f>
        <v/>
      </c>
      <c r="P919" s="54"/>
      <c r="Q919" s="53" t="str">
        <f aca="false">IF(NOT(ISNUMBER($P919)),"",IFERROR(PERCENTRANK($P$5:$P$1204,$P919),""))</f>
        <v/>
      </c>
    </row>
    <row r="920" customFormat="false" ht="15" hidden="false" customHeight="false" outlineLevel="0" collapsed="false">
      <c r="A920" s="55"/>
      <c r="B920" s="56"/>
      <c r="C920" s="57"/>
      <c r="D920" s="56"/>
      <c r="E920" s="56"/>
      <c r="F920" s="56"/>
      <c r="G920" s="50" t="str">
        <f aca="false">IF($A920="","",IF(ISNUMBER($G919),$G919+1,1))</f>
        <v/>
      </c>
      <c r="H920" s="51" t="str">
        <f aca="false">IF(OR(NOT(ISNUMBER($G920)),$G920&lt;2,NOT(ISNUMBER($C919)),$C919=0),"",$C920/$C919-1)</f>
        <v/>
      </c>
      <c r="I920" s="52" t="str">
        <f aca="false">IF(AND(ISNUMBER($G920),$G920&gt;=MA_SHORT),AVERAGE(INDEX($C$520:$C920,402-MA_SHORT):$C920),"")</f>
        <v/>
      </c>
      <c r="J920" s="52" t="str">
        <f aca="false">IF(AND(ISNUMBER($G920),$G920&gt;=MA_MED),AVERAGE(INDEX($C$520:$C920,402-MA_MED):$C920),"")</f>
        <v/>
      </c>
      <c r="K920" s="52" t="str">
        <f aca="false">IF(AND(ISNUMBER($G920),$G920&gt;=MA_LONG2),AVERAGE(INDEX($C$520:$C920,402-MA_LONG2):$C920),"")</f>
        <v/>
      </c>
      <c r="L920" s="53" t="str">
        <f aca="false">IF(AND(ISNUMBER($G920),$G920&gt;=21),STDEV(INDEX($H$860:$H920,62-20):$H920)*SQRT(245),"")</f>
        <v/>
      </c>
      <c r="M920" s="52" t="str">
        <f aca="false">IF(AND(ISNUMBER($G920),$G920&gt;=60),MAX(INDEX($D$720:$D920,202-60):$D920),"")</f>
        <v/>
      </c>
      <c r="N920" s="52" t="str">
        <f aca="false">IF(AND(ISNUMBER($G920),$G920&gt;=60),MIN(INDEX($E$720:$E920,202-60):$E920),"")</f>
        <v/>
      </c>
      <c r="O920" s="53" t="str">
        <f aca="false">IF(OR(NOT(ISNUMBER($C920)),NOT(ISNUMBER($M920)),$M920=0),"",$C920/$M920-1)</f>
        <v/>
      </c>
      <c r="P920" s="54"/>
      <c r="Q920" s="53" t="str">
        <f aca="false">IF(NOT(ISNUMBER($P920)),"",IFERROR(PERCENTRANK($P$5:$P$1204,$P920),""))</f>
        <v/>
      </c>
    </row>
    <row r="921" customFormat="false" ht="15" hidden="false" customHeight="false" outlineLevel="0" collapsed="false">
      <c r="A921" s="55"/>
      <c r="B921" s="56"/>
      <c r="C921" s="57"/>
      <c r="D921" s="56"/>
      <c r="E921" s="56"/>
      <c r="F921" s="56"/>
      <c r="G921" s="50" t="str">
        <f aca="false">IF($A921="","",IF(ISNUMBER($G920),$G920+1,1))</f>
        <v/>
      </c>
      <c r="H921" s="51" t="str">
        <f aca="false">IF(OR(NOT(ISNUMBER($G921)),$G921&lt;2,NOT(ISNUMBER($C920)),$C920=0),"",$C921/$C920-1)</f>
        <v/>
      </c>
      <c r="I921" s="52" t="str">
        <f aca="false">IF(AND(ISNUMBER($G921),$G921&gt;=MA_SHORT),AVERAGE(INDEX($C$521:$C921,402-MA_SHORT):$C921),"")</f>
        <v/>
      </c>
      <c r="J921" s="52" t="str">
        <f aca="false">IF(AND(ISNUMBER($G921),$G921&gt;=MA_MED),AVERAGE(INDEX($C$521:$C921,402-MA_MED):$C921),"")</f>
        <v/>
      </c>
      <c r="K921" s="52" t="str">
        <f aca="false">IF(AND(ISNUMBER($G921),$G921&gt;=MA_LONG2),AVERAGE(INDEX($C$521:$C921,402-MA_LONG2):$C921),"")</f>
        <v/>
      </c>
      <c r="L921" s="53" t="str">
        <f aca="false">IF(AND(ISNUMBER($G921),$G921&gt;=21),STDEV(INDEX($H$861:$H921,62-20):$H921)*SQRT(245),"")</f>
        <v/>
      </c>
      <c r="M921" s="52" t="str">
        <f aca="false">IF(AND(ISNUMBER($G921),$G921&gt;=60),MAX(INDEX($D$721:$D921,202-60):$D921),"")</f>
        <v/>
      </c>
      <c r="N921" s="52" t="str">
        <f aca="false">IF(AND(ISNUMBER($G921),$G921&gt;=60),MIN(INDEX($E$721:$E921,202-60):$E921),"")</f>
        <v/>
      </c>
      <c r="O921" s="53" t="str">
        <f aca="false">IF(OR(NOT(ISNUMBER($C921)),NOT(ISNUMBER($M921)),$M921=0),"",$C921/$M921-1)</f>
        <v/>
      </c>
      <c r="P921" s="54"/>
      <c r="Q921" s="53" t="str">
        <f aca="false">IF(NOT(ISNUMBER($P921)),"",IFERROR(PERCENTRANK($P$5:$P$1204,$P921),""))</f>
        <v/>
      </c>
    </row>
    <row r="922" customFormat="false" ht="15" hidden="false" customHeight="false" outlineLevel="0" collapsed="false">
      <c r="A922" s="55"/>
      <c r="B922" s="56"/>
      <c r="C922" s="57"/>
      <c r="D922" s="56"/>
      <c r="E922" s="56"/>
      <c r="F922" s="56"/>
      <c r="G922" s="50" t="str">
        <f aca="false">IF($A922="","",IF(ISNUMBER($G921),$G921+1,1))</f>
        <v/>
      </c>
      <c r="H922" s="51" t="str">
        <f aca="false">IF(OR(NOT(ISNUMBER($G922)),$G922&lt;2,NOT(ISNUMBER($C921)),$C921=0),"",$C922/$C921-1)</f>
        <v/>
      </c>
      <c r="I922" s="52" t="str">
        <f aca="false">IF(AND(ISNUMBER($G922),$G922&gt;=MA_SHORT),AVERAGE(INDEX($C$522:$C922,402-MA_SHORT):$C922),"")</f>
        <v/>
      </c>
      <c r="J922" s="52" t="str">
        <f aca="false">IF(AND(ISNUMBER($G922),$G922&gt;=MA_MED),AVERAGE(INDEX($C$522:$C922,402-MA_MED):$C922),"")</f>
        <v/>
      </c>
      <c r="K922" s="52" t="str">
        <f aca="false">IF(AND(ISNUMBER($G922),$G922&gt;=MA_LONG2),AVERAGE(INDEX($C$522:$C922,402-MA_LONG2):$C922),"")</f>
        <v/>
      </c>
      <c r="L922" s="53" t="str">
        <f aca="false">IF(AND(ISNUMBER($G922),$G922&gt;=21),STDEV(INDEX($H$862:$H922,62-20):$H922)*SQRT(245),"")</f>
        <v/>
      </c>
      <c r="M922" s="52" t="str">
        <f aca="false">IF(AND(ISNUMBER($G922),$G922&gt;=60),MAX(INDEX($D$722:$D922,202-60):$D922),"")</f>
        <v/>
      </c>
      <c r="N922" s="52" t="str">
        <f aca="false">IF(AND(ISNUMBER($G922),$G922&gt;=60),MIN(INDEX($E$722:$E922,202-60):$E922),"")</f>
        <v/>
      </c>
      <c r="O922" s="53" t="str">
        <f aca="false">IF(OR(NOT(ISNUMBER($C922)),NOT(ISNUMBER($M922)),$M922=0),"",$C922/$M922-1)</f>
        <v/>
      </c>
      <c r="P922" s="54"/>
      <c r="Q922" s="53" t="str">
        <f aca="false">IF(NOT(ISNUMBER($P922)),"",IFERROR(PERCENTRANK($P$5:$P$1204,$P922),""))</f>
        <v/>
      </c>
    </row>
    <row r="923" customFormat="false" ht="15" hidden="false" customHeight="false" outlineLevel="0" collapsed="false">
      <c r="A923" s="55"/>
      <c r="B923" s="56"/>
      <c r="C923" s="57"/>
      <c r="D923" s="56"/>
      <c r="E923" s="56"/>
      <c r="F923" s="56"/>
      <c r="G923" s="50" t="str">
        <f aca="false">IF($A923="","",IF(ISNUMBER($G922),$G922+1,1))</f>
        <v/>
      </c>
      <c r="H923" s="51" t="str">
        <f aca="false">IF(OR(NOT(ISNUMBER($G923)),$G923&lt;2,NOT(ISNUMBER($C922)),$C922=0),"",$C923/$C922-1)</f>
        <v/>
      </c>
      <c r="I923" s="52" t="str">
        <f aca="false">IF(AND(ISNUMBER($G923),$G923&gt;=MA_SHORT),AVERAGE(INDEX($C$523:$C923,402-MA_SHORT):$C923),"")</f>
        <v/>
      </c>
      <c r="J923" s="52" t="str">
        <f aca="false">IF(AND(ISNUMBER($G923),$G923&gt;=MA_MED),AVERAGE(INDEX($C$523:$C923,402-MA_MED):$C923),"")</f>
        <v/>
      </c>
      <c r="K923" s="52" t="str">
        <f aca="false">IF(AND(ISNUMBER($G923),$G923&gt;=MA_LONG2),AVERAGE(INDEX($C$523:$C923,402-MA_LONG2):$C923),"")</f>
        <v/>
      </c>
      <c r="L923" s="53" t="str">
        <f aca="false">IF(AND(ISNUMBER($G923),$G923&gt;=21),STDEV(INDEX($H$863:$H923,62-20):$H923)*SQRT(245),"")</f>
        <v/>
      </c>
      <c r="M923" s="52" t="str">
        <f aca="false">IF(AND(ISNUMBER($G923),$G923&gt;=60),MAX(INDEX($D$723:$D923,202-60):$D923),"")</f>
        <v/>
      </c>
      <c r="N923" s="52" t="str">
        <f aca="false">IF(AND(ISNUMBER($G923),$G923&gt;=60),MIN(INDEX($E$723:$E923,202-60):$E923),"")</f>
        <v/>
      </c>
      <c r="O923" s="53" t="str">
        <f aca="false">IF(OR(NOT(ISNUMBER($C923)),NOT(ISNUMBER($M923)),$M923=0),"",$C923/$M923-1)</f>
        <v/>
      </c>
      <c r="P923" s="54"/>
      <c r="Q923" s="53" t="str">
        <f aca="false">IF(NOT(ISNUMBER($P923)),"",IFERROR(PERCENTRANK($P$5:$P$1204,$P923),""))</f>
        <v/>
      </c>
    </row>
    <row r="924" customFormat="false" ht="15" hidden="false" customHeight="false" outlineLevel="0" collapsed="false">
      <c r="A924" s="55"/>
      <c r="B924" s="56"/>
      <c r="C924" s="57"/>
      <c r="D924" s="56"/>
      <c r="E924" s="56"/>
      <c r="F924" s="56"/>
      <c r="G924" s="50" t="str">
        <f aca="false">IF($A924="","",IF(ISNUMBER($G923),$G923+1,1))</f>
        <v/>
      </c>
      <c r="H924" s="51" t="str">
        <f aca="false">IF(OR(NOT(ISNUMBER($G924)),$G924&lt;2,NOT(ISNUMBER($C923)),$C923=0),"",$C924/$C923-1)</f>
        <v/>
      </c>
      <c r="I924" s="52" t="str">
        <f aca="false">IF(AND(ISNUMBER($G924),$G924&gt;=MA_SHORT),AVERAGE(INDEX($C$524:$C924,402-MA_SHORT):$C924),"")</f>
        <v/>
      </c>
      <c r="J924" s="52" t="str">
        <f aca="false">IF(AND(ISNUMBER($G924),$G924&gt;=MA_MED),AVERAGE(INDEX($C$524:$C924,402-MA_MED):$C924),"")</f>
        <v/>
      </c>
      <c r="K924" s="52" t="str">
        <f aca="false">IF(AND(ISNUMBER($G924),$G924&gt;=MA_LONG2),AVERAGE(INDEX($C$524:$C924,402-MA_LONG2):$C924),"")</f>
        <v/>
      </c>
      <c r="L924" s="53" t="str">
        <f aca="false">IF(AND(ISNUMBER($G924),$G924&gt;=21),STDEV(INDEX($H$864:$H924,62-20):$H924)*SQRT(245),"")</f>
        <v/>
      </c>
      <c r="M924" s="52" t="str">
        <f aca="false">IF(AND(ISNUMBER($G924),$G924&gt;=60),MAX(INDEX($D$724:$D924,202-60):$D924),"")</f>
        <v/>
      </c>
      <c r="N924" s="52" t="str">
        <f aca="false">IF(AND(ISNUMBER($G924),$G924&gt;=60),MIN(INDEX($E$724:$E924,202-60):$E924),"")</f>
        <v/>
      </c>
      <c r="O924" s="53" t="str">
        <f aca="false">IF(OR(NOT(ISNUMBER($C924)),NOT(ISNUMBER($M924)),$M924=0),"",$C924/$M924-1)</f>
        <v/>
      </c>
      <c r="P924" s="54"/>
      <c r="Q924" s="53" t="str">
        <f aca="false">IF(NOT(ISNUMBER($P924)),"",IFERROR(PERCENTRANK($P$5:$P$1204,$P924),""))</f>
        <v/>
      </c>
    </row>
    <row r="925" customFormat="false" ht="15" hidden="false" customHeight="false" outlineLevel="0" collapsed="false">
      <c r="A925" s="55"/>
      <c r="B925" s="56"/>
      <c r="C925" s="57"/>
      <c r="D925" s="56"/>
      <c r="E925" s="56"/>
      <c r="F925" s="56"/>
      <c r="G925" s="50" t="str">
        <f aca="false">IF($A925="","",IF(ISNUMBER($G924),$G924+1,1))</f>
        <v/>
      </c>
      <c r="H925" s="51" t="str">
        <f aca="false">IF(OR(NOT(ISNUMBER($G925)),$G925&lt;2,NOT(ISNUMBER($C924)),$C924=0),"",$C925/$C924-1)</f>
        <v/>
      </c>
      <c r="I925" s="52" t="str">
        <f aca="false">IF(AND(ISNUMBER($G925),$G925&gt;=MA_SHORT),AVERAGE(INDEX($C$525:$C925,402-MA_SHORT):$C925),"")</f>
        <v/>
      </c>
      <c r="J925" s="52" t="str">
        <f aca="false">IF(AND(ISNUMBER($G925),$G925&gt;=MA_MED),AVERAGE(INDEX($C$525:$C925,402-MA_MED):$C925),"")</f>
        <v/>
      </c>
      <c r="K925" s="52" t="str">
        <f aca="false">IF(AND(ISNUMBER($G925),$G925&gt;=MA_LONG2),AVERAGE(INDEX($C$525:$C925,402-MA_LONG2):$C925),"")</f>
        <v/>
      </c>
      <c r="L925" s="53" t="str">
        <f aca="false">IF(AND(ISNUMBER($G925),$G925&gt;=21),STDEV(INDEX($H$865:$H925,62-20):$H925)*SQRT(245),"")</f>
        <v/>
      </c>
      <c r="M925" s="52" t="str">
        <f aca="false">IF(AND(ISNUMBER($G925),$G925&gt;=60),MAX(INDEX($D$725:$D925,202-60):$D925),"")</f>
        <v/>
      </c>
      <c r="N925" s="52" t="str">
        <f aca="false">IF(AND(ISNUMBER($G925),$G925&gt;=60),MIN(INDEX($E$725:$E925,202-60):$E925),"")</f>
        <v/>
      </c>
      <c r="O925" s="53" t="str">
        <f aca="false">IF(OR(NOT(ISNUMBER($C925)),NOT(ISNUMBER($M925)),$M925=0),"",$C925/$M925-1)</f>
        <v/>
      </c>
      <c r="P925" s="54"/>
      <c r="Q925" s="53" t="str">
        <f aca="false">IF(NOT(ISNUMBER($P925)),"",IFERROR(PERCENTRANK($P$5:$P$1204,$P925),""))</f>
        <v/>
      </c>
    </row>
    <row r="926" customFormat="false" ht="15" hidden="false" customHeight="false" outlineLevel="0" collapsed="false">
      <c r="A926" s="55"/>
      <c r="B926" s="56"/>
      <c r="C926" s="57"/>
      <c r="D926" s="56"/>
      <c r="E926" s="56"/>
      <c r="F926" s="56"/>
      <c r="G926" s="50" t="str">
        <f aca="false">IF($A926="","",IF(ISNUMBER($G925),$G925+1,1))</f>
        <v/>
      </c>
      <c r="H926" s="51" t="str">
        <f aca="false">IF(OR(NOT(ISNUMBER($G926)),$G926&lt;2,NOT(ISNUMBER($C925)),$C925=0),"",$C926/$C925-1)</f>
        <v/>
      </c>
      <c r="I926" s="52" t="str">
        <f aca="false">IF(AND(ISNUMBER($G926),$G926&gt;=MA_SHORT),AVERAGE(INDEX($C$526:$C926,402-MA_SHORT):$C926),"")</f>
        <v/>
      </c>
      <c r="J926" s="52" t="str">
        <f aca="false">IF(AND(ISNUMBER($G926),$G926&gt;=MA_MED),AVERAGE(INDEX($C$526:$C926,402-MA_MED):$C926),"")</f>
        <v/>
      </c>
      <c r="K926" s="52" t="str">
        <f aca="false">IF(AND(ISNUMBER($G926),$G926&gt;=MA_LONG2),AVERAGE(INDEX($C$526:$C926,402-MA_LONG2):$C926),"")</f>
        <v/>
      </c>
      <c r="L926" s="53" t="str">
        <f aca="false">IF(AND(ISNUMBER($G926),$G926&gt;=21),STDEV(INDEX($H$866:$H926,62-20):$H926)*SQRT(245),"")</f>
        <v/>
      </c>
      <c r="M926" s="52" t="str">
        <f aca="false">IF(AND(ISNUMBER($G926),$G926&gt;=60),MAX(INDEX($D$726:$D926,202-60):$D926),"")</f>
        <v/>
      </c>
      <c r="N926" s="52" t="str">
        <f aca="false">IF(AND(ISNUMBER($G926),$G926&gt;=60),MIN(INDEX($E$726:$E926,202-60):$E926),"")</f>
        <v/>
      </c>
      <c r="O926" s="53" t="str">
        <f aca="false">IF(OR(NOT(ISNUMBER($C926)),NOT(ISNUMBER($M926)),$M926=0),"",$C926/$M926-1)</f>
        <v/>
      </c>
      <c r="P926" s="54"/>
      <c r="Q926" s="53" t="str">
        <f aca="false">IF(NOT(ISNUMBER($P926)),"",IFERROR(PERCENTRANK($P$5:$P$1204,$P926),""))</f>
        <v/>
      </c>
    </row>
    <row r="927" customFormat="false" ht="15" hidden="false" customHeight="false" outlineLevel="0" collapsed="false">
      <c r="A927" s="55"/>
      <c r="B927" s="56"/>
      <c r="C927" s="57"/>
      <c r="D927" s="56"/>
      <c r="E927" s="56"/>
      <c r="F927" s="56"/>
      <c r="G927" s="50" t="str">
        <f aca="false">IF($A927="","",IF(ISNUMBER($G926),$G926+1,1))</f>
        <v/>
      </c>
      <c r="H927" s="51" t="str">
        <f aca="false">IF(OR(NOT(ISNUMBER($G927)),$G927&lt;2,NOT(ISNUMBER($C926)),$C926=0),"",$C927/$C926-1)</f>
        <v/>
      </c>
      <c r="I927" s="52" t="str">
        <f aca="false">IF(AND(ISNUMBER($G927),$G927&gt;=MA_SHORT),AVERAGE(INDEX($C$527:$C927,402-MA_SHORT):$C927),"")</f>
        <v/>
      </c>
      <c r="J927" s="52" t="str">
        <f aca="false">IF(AND(ISNUMBER($G927),$G927&gt;=MA_MED),AVERAGE(INDEX($C$527:$C927,402-MA_MED):$C927),"")</f>
        <v/>
      </c>
      <c r="K927" s="52" t="str">
        <f aca="false">IF(AND(ISNUMBER($G927),$G927&gt;=MA_LONG2),AVERAGE(INDEX($C$527:$C927,402-MA_LONG2):$C927),"")</f>
        <v/>
      </c>
      <c r="L927" s="53" t="str">
        <f aca="false">IF(AND(ISNUMBER($G927),$G927&gt;=21),STDEV(INDEX($H$867:$H927,62-20):$H927)*SQRT(245),"")</f>
        <v/>
      </c>
      <c r="M927" s="52" t="str">
        <f aca="false">IF(AND(ISNUMBER($G927),$G927&gt;=60),MAX(INDEX($D$727:$D927,202-60):$D927),"")</f>
        <v/>
      </c>
      <c r="N927" s="52" t="str">
        <f aca="false">IF(AND(ISNUMBER($G927),$G927&gt;=60),MIN(INDEX($E$727:$E927,202-60):$E927),"")</f>
        <v/>
      </c>
      <c r="O927" s="53" t="str">
        <f aca="false">IF(OR(NOT(ISNUMBER($C927)),NOT(ISNUMBER($M927)),$M927=0),"",$C927/$M927-1)</f>
        <v/>
      </c>
      <c r="P927" s="54"/>
      <c r="Q927" s="53" t="str">
        <f aca="false">IF(NOT(ISNUMBER($P927)),"",IFERROR(PERCENTRANK($P$5:$P$1204,$P927),""))</f>
        <v/>
      </c>
    </row>
    <row r="928" customFormat="false" ht="15" hidden="false" customHeight="false" outlineLevel="0" collapsed="false">
      <c r="A928" s="55"/>
      <c r="B928" s="56"/>
      <c r="C928" s="57"/>
      <c r="D928" s="56"/>
      <c r="E928" s="56"/>
      <c r="F928" s="56"/>
      <c r="G928" s="50" t="str">
        <f aca="false">IF($A928="","",IF(ISNUMBER($G927),$G927+1,1))</f>
        <v/>
      </c>
      <c r="H928" s="51" t="str">
        <f aca="false">IF(OR(NOT(ISNUMBER($G928)),$G928&lt;2,NOT(ISNUMBER($C927)),$C927=0),"",$C928/$C927-1)</f>
        <v/>
      </c>
      <c r="I928" s="52" t="str">
        <f aca="false">IF(AND(ISNUMBER($G928),$G928&gt;=MA_SHORT),AVERAGE(INDEX($C$528:$C928,402-MA_SHORT):$C928),"")</f>
        <v/>
      </c>
      <c r="J928" s="52" t="str">
        <f aca="false">IF(AND(ISNUMBER($G928),$G928&gt;=MA_MED),AVERAGE(INDEX($C$528:$C928,402-MA_MED):$C928),"")</f>
        <v/>
      </c>
      <c r="K928" s="52" t="str">
        <f aca="false">IF(AND(ISNUMBER($G928),$G928&gt;=MA_LONG2),AVERAGE(INDEX($C$528:$C928,402-MA_LONG2):$C928),"")</f>
        <v/>
      </c>
      <c r="L928" s="53" t="str">
        <f aca="false">IF(AND(ISNUMBER($G928),$G928&gt;=21),STDEV(INDEX($H$868:$H928,62-20):$H928)*SQRT(245),"")</f>
        <v/>
      </c>
      <c r="M928" s="52" t="str">
        <f aca="false">IF(AND(ISNUMBER($G928),$G928&gt;=60),MAX(INDEX($D$728:$D928,202-60):$D928),"")</f>
        <v/>
      </c>
      <c r="N928" s="52" t="str">
        <f aca="false">IF(AND(ISNUMBER($G928),$G928&gt;=60),MIN(INDEX($E$728:$E928,202-60):$E928),"")</f>
        <v/>
      </c>
      <c r="O928" s="53" t="str">
        <f aca="false">IF(OR(NOT(ISNUMBER($C928)),NOT(ISNUMBER($M928)),$M928=0),"",$C928/$M928-1)</f>
        <v/>
      </c>
      <c r="P928" s="54"/>
      <c r="Q928" s="53" t="str">
        <f aca="false">IF(NOT(ISNUMBER($P928)),"",IFERROR(PERCENTRANK($P$5:$P$1204,$P928),""))</f>
        <v/>
      </c>
    </row>
    <row r="929" customFormat="false" ht="15" hidden="false" customHeight="false" outlineLevel="0" collapsed="false">
      <c r="A929" s="55"/>
      <c r="B929" s="56"/>
      <c r="C929" s="57"/>
      <c r="D929" s="56"/>
      <c r="E929" s="56"/>
      <c r="F929" s="56"/>
      <c r="G929" s="50" t="str">
        <f aca="false">IF($A929="","",IF(ISNUMBER($G928),$G928+1,1))</f>
        <v/>
      </c>
      <c r="H929" s="51" t="str">
        <f aca="false">IF(OR(NOT(ISNUMBER($G929)),$G929&lt;2,NOT(ISNUMBER($C928)),$C928=0),"",$C929/$C928-1)</f>
        <v/>
      </c>
      <c r="I929" s="52" t="str">
        <f aca="false">IF(AND(ISNUMBER($G929),$G929&gt;=MA_SHORT),AVERAGE(INDEX($C$529:$C929,402-MA_SHORT):$C929),"")</f>
        <v/>
      </c>
      <c r="J929" s="52" t="str">
        <f aca="false">IF(AND(ISNUMBER($G929),$G929&gt;=MA_MED),AVERAGE(INDEX($C$529:$C929,402-MA_MED):$C929),"")</f>
        <v/>
      </c>
      <c r="K929" s="52" t="str">
        <f aca="false">IF(AND(ISNUMBER($G929),$G929&gt;=MA_LONG2),AVERAGE(INDEX($C$529:$C929,402-MA_LONG2):$C929),"")</f>
        <v/>
      </c>
      <c r="L929" s="53" t="str">
        <f aca="false">IF(AND(ISNUMBER($G929),$G929&gt;=21),STDEV(INDEX($H$869:$H929,62-20):$H929)*SQRT(245),"")</f>
        <v/>
      </c>
      <c r="M929" s="52" t="str">
        <f aca="false">IF(AND(ISNUMBER($G929),$G929&gt;=60),MAX(INDEX($D$729:$D929,202-60):$D929),"")</f>
        <v/>
      </c>
      <c r="N929" s="52" t="str">
        <f aca="false">IF(AND(ISNUMBER($G929),$G929&gt;=60),MIN(INDEX($E$729:$E929,202-60):$E929),"")</f>
        <v/>
      </c>
      <c r="O929" s="53" t="str">
        <f aca="false">IF(OR(NOT(ISNUMBER($C929)),NOT(ISNUMBER($M929)),$M929=0),"",$C929/$M929-1)</f>
        <v/>
      </c>
      <c r="P929" s="54"/>
      <c r="Q929" s="53" t="str">
        <f aca="false">IF(NOT(ISNUMBER($P929)),"",IFERROR(PERCENTRANK($P$5:$P$1204,$P929),""))</f>
        <v/>
      </c>
    </row>
    <row r="930" customFormat="false" ht="15" hidden="false" customHeight="false" outlineLevel="0" collapsed="false">
      <c r="A930" s="55"/>
      <c r="B930" s="56"/>
      <c r="C930" s="57"/>
      <c r="D930" s="56"/>
      <c r="E930" s="56"/>
      <c r="F930" s="56"/>
      <c r="G930" s="50" t="str">
        <f aca="false">IF($A930="","",IF(ISNUMBER($G929),$G929+1,1))</f>
        <v/>
      </c>
      <c r="H930" s="51" t="str">
        <f aca="false">IF(OR(NOT(ISNUMBER($G930)),$G930&lt;2,NOT(ISNUMBER($C929)),$C929=0),"",$C930/$C929-1)</f>
        <v/>
      </c>
      <c r="I930" s="52" t="str">
        <f aca="false">IF(AND(ISNUMBER($G930),$G930&gt;=MA_SHORT),AVERAGE(INDEX($C$530:$C930,402-MA_SHORT):$C930),"")</f>
        <v/>
      </c>
      <c r="J930" s="52" t="str">
        <f aca="false">IF(AND(ISNUMBER($G930),$G930&gt;=MA_MED),AVERAGE(INDEX($C$530:$C930,402-MA_MED):$C930),"")</f>
        <v/>
      </c>
      <c r="K930" s="52" t="str">
        <f aca="false">IF(AND(ISNUMBER($G930),$G930&gt;=MA_LONG2),AVERAGE(INDEX($C$530:$C930,402-MA_LONG2):$C930),"")</f>
        <v/>
      </c>
      <c r="L930" s="53" t="str">
        <f aca="false">IF(AND(ISNUMBER($G930),$G930&gt;=21),STDEV(INDEX($H$870:$H930,62-20):$H930)*SQRT(245),"")</f>
        <v/>
      </c>
      <c r="M930" s="52" t="str">
        <f aca="false">IF(AND(ISNUMBER($G930),$G930&gt;=60),MAX(INDEX($D$730:$D930,202-60):$D930),"")</f>
        <v/>
      </c>
      <c r="N930" s="52" t="str">
        <f aca="false">IF(AND(ISNUMBER($G930),$G930&gt;=60),MIN(INDEX($E$730:$E930,202-60):$E930),"")</f>
        <v/>
      </c>
      <c r="O930" s="53" t="str">
        <f aca="false">IF(OR(NOT(ISNUMBER($C930)),NOT(ISNUMBER($M930)),$M930=0),"",$C930/$M930-1)</f>
        <v/>
      </c>
      <c r="P930" s="54"/>
      <c r="Q930" s="53" t="str">
        <f aca="false">IF(NOT(ISNUMBER($P930)),"",IFERROR(PERCENTRANK($P$5:$P$1204,$P930),""))</f>
        <v/>
      </c>
    </row>
    <row r="931" customFormat="false" ht="15" hidden="false" customHeight="false" outlineLevel="0" collapsed="false">
      <c r="A931" s="55"/>
      <c r="B931" s="56"/>
      <c r="C931" s="57"/>
      <c r="D931" s="56"/>
      <c r="E931" s="56"/>
      <c r="F931" s="56"/>
      <c r="G931" s="50" t="str">
        <f aca="false">IF($A931="","",IF(ISNUMBER($G930),$G930+1,1))</f>
        <v/>
      </c>
      <c r="H931" s="51" t="str">
        <f aca="false">IF(OR(NOT(ISNUMBER($G931)),$G931&lt;2,NOT(ISNUMBER($C930)),$C930=0),"",$C931/$C930-1)</f>
        <v/>
      </c>
      <c r="I931" s="52" t="str">
        <f aca="false">IF(AND(ISNUMBER($G931),$G931&gt;=MA_SHORT),AVERAGE(INDEX($C$531:$C931,402-MA_SHORT):$C931),"")</f>
        <v/>
      </c>
      <c r="J931" s="52" t="str">
        <f aca="false">IF(AND(ISNUMBER($G931),$G931&gt;=MA_MED),AVERAGE(INDEX($C$531:$C931,402-MA_MED):$C931),"")</f>
        <v/>
      </c>
      <c r="K931" s="52" t="str">
        <f aca="false">IF(AND(ISNUMBER($G931),$G931&gt;=MA_LONG2),AVERAGE(INDEX($C$531:$C931,402-MA_LONG2):$C931),"")</f>
        <v/>
      </c>
      <c r="L931" s="53" t="str">
        <f aca="false">IF(AND(ISNUMBER($G931),$G931&gt;=21),STDEV(INDEX($H$871:$H931,62-20):$H931)*SQRT(245),"")</f>
        <v/>
      </c>
      <c r="M931" s="52" t="str">
        <f aca="false">IF(AND(ISNUMBER($G931),$G931&gt;=60),MAX(INDEX($D$731:$D931,202-60):$D931),"")</f>
        <v/>
      </c>
      <c r="N931" s="52" t="str">
        <f aca="false">IF(AND(ISNUMBER($G931),$G931&gt;=60),MIN(INDEX($E$731:$E931,202-60):$E931),"")</f>
        <v/>
      </c>
      <c r="O931" s="53" t="str">
        <f aca="false">IF(OR(NOT(ISNUMBER($C931)),NOT(ISNUMBER($M931)),$M931=0),"",$C931/$M931-1)</f>
        <v/>
      </c>
      <c r="P931" s="54"/>
      <c r="Q931" s="53" t="str">
        <f aca="false">IF(NOT(ISNUMBER($P931)),"",IFERROR(PERCENTRANK($P$5:$P$1204,$P931),""))</f>
        <v/>
      </c>
    </row>
    <row r="932" customFormat="false" ht="15" hidden="false" customHeight="false" outlineLevel="0" collapsed="false">
      <c r="A932" s="55"/>
      <c r="B932" s="56"/>
      <c r="C932" s="57"/>
      <c r="D932" s="56"/>
      <c r="E932" s="56"/>
      <c r="F932" s="56"/>
      <c r="G932" s="50" t="str">
        <f aca="false">IF($A932="","",IF(ISNUMBER($G931),$G931+1,1))</f>
        <v/>
      </c>
      <c r="H932" s="51" t="str">
        <f aca="false">IF(OR(NOT(ISNUMBER($G932)),$G932&lt;2,NOT(ISNUMBER($C931)),$C931=0),"",$C932/$C931-1)</f>
        <v/>
      </c>
      <c r="I932" s="52" t="str">
        <f aca="false">IF(AND(ISNUMBER($G932),$G932&gt;=MA_SHORT),AVERAGE(INDEX($C$532:$C932,402-MA_SHORT):$C932),"")</f>
        <v/>
      </c>
      <c r="J932" s="52" t="str">
        <f aca="false">IF(AND(ISNUMBER($G932),$G932&gt;=MA_MED),AVERAGE(INDEX($C$532:$C932,402-MA_MED):$C932),"")</f>
        <v/>
      </c>
      <c r="K932" s="52" t="str">
        <f aca="false">IF(AND(ISNUMBER($G932),$G932&gt;=MA_LONG2),AVERAGE(INDEX($C$532:$C932,402-MA_LONG2):$C932),"")</f>
        <v/>
      </c>
      <c r="L932" s="53" t="str">
        <f aca="false">IF(AND(ISNUMBER($G932),$G932&gt;=21),STDEV(INDEX($H$872:$H932,62-20):$H932)*SQRT(245),"")</f>
        <v/>
      </c>
      <c r="M932" s="52" t="str">
        <f aca="false">IF(AND(ISNUMBER($G932),$G932&gt;=60),MAX(INDEX($D$732:$D932,202-60):$D932),"")</f>
        <v/>
      </c>
      <c r="N932" s="52" t="str">
        <f aca="false">IF(AND(ISNUMBER($G932),$G932&gt;=60),MIN(INDEX($E$732:$E932,202-60):$E932),"")</f>
        <v/>
      </c>
      <c r="O932" s="53" t="str">
        <f aca="false">IF(OR(NOT(ISNUMBER($C932)),NOT(ISNUMBER($M932)),$M932=0),"",$C932/$M932-1)</f>
        <v/>
      </c>
      <c r="P932" s="54"/>
      <c r="Q932" s="53" t="str">
        <f aca="false">IF(NOT(ISNUMBER($P932)),"",IFERROR(PERCENTRANK($P$5:$P$1204,$P932),""))</f>
        <v/>
      </c>
    </row>
    <row r="933" customFormat="false" ht="15" hidden="false" customHeight="false" outlineLevel="0" collapsed="false">
      <c r="A933" s="55"/>
      <c r="B933" s="56"/>
      <c r="C933" s="57"/>
      <c r="D933" s="56"/>
      <c r="E933" s="56"/>
      <c r="F933" s="56"/>
      <c r="G933" s="50" t="str">
        <f aca="false">IF($A933="","",IF(ISNUMBER($G932),$G932+1,1))</f>
        <v/>
      </c>
      <c r="H933" s="51" t="str">
        <f aca="false">IF(OR(NOT(ISNUMBER($G933)),$G933&lt;2,NOT(ISNUMBER($C932)),$C932=0),"",$C933/$C932-1)</f>
        <v/>
      </c>
      <c r="I933" s="52" t="str">
        <f aca="false">IF(AND(ISNUMBER($G933),$G933&gt;=MA_SHORT),AVERAGE(INDEX($C$533:$C933,402-MA_SHORT):$C933),"")</f>
        <v/>
      </c>
      <c r="J933" s="52" t="str">
        <f aca="false">IF(AND(ISNUMBER($G933),$G933&gt;=MA_MED),AVERAGE(INDEX($C$533:$C933,402-MA_MED):$C933),"")</f>
        <v/>
      </c>
      <c r="K933" s="52" t="str">
        <f aca="false">IF(AND(ISNUMBER($G933),$G933&gt;=MA_LONG2),AVERAGE(INDEX($C$533:$C933,402-MA_LONG2):$C933),"")</f>
        <v/>
      </c>
      <c r="L933" s="53" t="str">
        <f aca="false">IF(AND(ISNUMBER($G933),$G933&gt;=21),STDEV(INDEX($H$873:$H933,62-20):$H933)*SQRT(245),"")</f>
        <v/>
      </c>
      <c r="M933" s="52" t="str">
        <f aca="false">IF(AND(ISNUMBER($G933),$G933&gt;=60),MAX(INDEX($D$733:$D933,202-60):$D933),"")</f>
        <v/>
      </c>
      <c r="N933" s="52" t="str">
        <f aca="false">IF(AND(ISNUMBER($G933),$G933&gt;=60),MIN(INDEX($E$733:$E933,202-60):$E933),"")</f>
        <v/>
      </c>
      <c r="O933" s="53" t="str">
        <f aca="false">IF(OR(NOT(ISNUMBER($C933)),NOT(ISNUMBER($M933)),$M933=0),"",$C933/$M933-1)</f>
        <v/>
      </c>
      <c r="P933" s="54"/>
      <c r="Q933" s="53" t="str">
        <f aca="false">IF(NOT(ISNUMBER($P933)),"",IFERROR(PERCENTRANK($P$5:$P$1204,$P933),""))</f>
        <v/>
      </c>
    </row>
    <row r="934" customFormat="false" ht="15" hidden="false" customHeight="false" outlineLevel="0" collapsed="false">
      <c r="A934" s="55"/>
      <c r="B934" s="56"/>
      <c r="C934" s="57"/>
      <c r="D934" s="56"/>
      <c r="E934" s="56"/>
      <c r="F934" s="56"/>
      <c r="G934" s="50" t="str">
        <f aca="false">IF($A934="","",IF(ISNUMBER($G933),$G933+1,1))</f>
        <v/>
      </c>
      <c r="H934" s="51" t="str">
        <f aca="false">IF(OR(NOT(ISNUMBER($G934)),$G934&lt;2,NOT(ISNUMBER($C933)),$C933=0),"",$C934/$C933-1)</f>
        <v/>
      </c>
      <c r="I934" s="52" t="str">
        <f aca="false">IF(AND(ISNUMBER($G934),$G934&gt;=MA_SHORT),AVERAGE(INDEX($C$534:$C934,402-MA_SHORT):$C934),"")</f>
        <v/>
      </c>
      <c r="J934" s="52" t="str">
        <f aca="false">IF(AND(ISNUMBER($G934),$G934&gt;=MA_MED),AVERAGE(INDEX($C$534:$C934,402-MA_MED):$C934),"")</f>
        <v/>
      </c>
      <c r="K934" s="52" t="str">
        <f aca="false">IF(AND(ISNUMBER($G934),$G934&gt;=MA_LONG2),AVERAGE(INDEX($C$534:$C934,402-MA_LONG2):$C934),"")</f>
        <v/>
      </c>
      <c r="L934" s="53" t="str">
        <f aca="false">IF(AND(ISNUMBER($G934),$G934&gt;=21),STDEV(INDEX($H$874:$H934,62-20):$H934)*SQRT(245),"")</f>
        <v/>
      </c>
      <c r="M934" s="52" t="str">
        <f aca="false">IF(AND(ISNUMBER($G934),$G934&gt;=60),MAX(INDEX($D$734:$D934,202-60):$D934),"")</f>
        <v/>
      </c>
      <c r="N934" s="52" t="str">
        <f aca="false">IF(AND(ISNUMBER($G934),$G934&gt;=60),MIN(INDEX($E$734:$E934,202-60):$E934),"")</f>
        <v/>
      </c>
      <c r="O934" s="53" t="str">
        <f aca="false">IF(OR(NOT(ISNUMBER($C934)),NOT(ISNUMBER($M934)),$M934=0),"",$C934/$M934-1)</f>
        <v/>
      </c>
      <c r="P934" s="54"/>
      <c r="Q934" s="53" t="str">
        <f aca="false">IF(NOT(ISNUMBER($P934)),"",IFERROR(PERCENTRANK($P$5:$P$1204,$P934),""))</f>
        <v/>
      </c>
    </row>
    <row r="935" customFormat="false" ht="15" hidden="false" customHeight="false" outlineLevel="0" collapsed="false">
      <c r="A935" s="55"/>
      <c r="B935" s="56"/>
      <c r="C935" s="57"/>
      <c r="D935" s="56"/>
      <c r="E935" s="56"/>
      <c r="F935" s="56"/>
      <c r="G935" s="50" t="str">
        <f aca="false">IF($A935="","",IF(ISNUMBER($G934),$G934+1,1))</f>
        <v/>
      </c>
      <c r="H935" s="51" t="str">
        <f aca="false">IF(OR(NOT(ISNUMBER($G935)),$G935&lt;2,NOT(ISNUMBER($C934)),$C934=0),"",$C935/$C934-1)</f>
        <v/>
      </c>
      <c r="I935" s="52" t="str">
        <f aca="false">IF(AND(ISNUMBER($G935),$G935&gt;=MA_SHORT),AVERAGE(INDEX($C$535:$C935,402-MA_SHORT):$C935),"")</f>
        <v/>
      </c>
      <c r="J935" s="52" t="str">
        <f aca="false">IF(AND(ISNUMBER($G935),$G935&gt;=MA_MED),AVERAGE(INDEX($C$535:$C935,402-MA_MED):$C935),"")</f>
        <v/>
      </c>
      <c r="K935" s="52" t="str">
        <f aca="false">IF(AND(ISNUMBER($G935),$G935&gt;=MA_LONG2),AVERAGE(INDEX($C$535:$C935,402-MA_LONG2):$C935),"")</f>
        <v/>
      </c>
      <c r="L935" s="53" t="str">
        <f aca="false">IF(AND(ISNUMBER($G935),$G935&gt;=21),STDEV(INDEX($H$875:$H935,62-20):$H935)*SQRT(245),"")</f>
        <v/>
      </c>
      <c r="M935" s="52" t="str">
        <f aca="false">IF(AND(ISNUMBER($G935),$G935&gt;=60),MAX(INDEX($D$735:$D935,202-60):$D935),"")</f>
        <v/>
      </c>
      <c r="N935" s="52" t="str">
        <f aca="false">IF(AND(ISNUMBER($G935),$G935&gt;=60),MIN(INDEX($E$735:$E935,202-60):$E935),"")</f>
        <v/>
      </c>
      <c r="O935" s="53" t="str">
        <f aca="false">IF(OR(NOT(ISNUMBER($C935)),NOT(ISNUMBER($M935)),$M935=0),"",$C935/$M935-1)</f>
        <v/>
      </c>
      <c r="P935" s="54"/>
      <c r="Q935" s="53" t="str">
        <f aca="false">IF(NOT(ISNUMBER($P935)),"",IFERROR(PERCENTRANK($P$5:$P$1204,$P935),""))</f>
        <v/>
      </c>
    </row>
    <row r="936" customFormat="false" ht="15" hidden="false" customHeight="false" outlineLevel="0" collapsed="false">
      <c r="A936" s="55"/>
      <c r="B936" s="56"/>
      <c r="C936" s="57"/>
      <c r="D936" s="56"/>
      <c r="E936" s="56"/>
      <c r="F936" s="56"/>
      <c r="G936" s="50" t="str">
        <f aca="false">IF($A936="","",IF(ISNUMBER($G935),$G935+1,1))</f>
        <v/>
      </c>
      <c r="H936" s="51" t="str">
        <f aca="false">IF(OR(NOT(ISNUMBER($G936)),$G936&lt;2,NOT(ISNUMBER($C935)),$C935=0),"",$C936/$C935-1)</f>
        <v/>
      </c>
      <c r="I936" s="52" t="str">
        <f aca="false">IF(AND(ISNUMBER($G936),$G936&gt;=MA_SHORT),AVERAGE(INDEX($C$536:$C936,402-MA_SHORT):$C936),"")</f>
        <v/>
      </c>
      <c r="J936" s="52" t="str">
        <f aca="false">IF(AND(ISNUMBER($G936),$G936&gt;=MA_MED),AVERAGE(INDEX($C$536:$C936,402-MA_MED):$C936),"")</f>
        <v/>
      </c>
      <c r="K936" s="52" t="str">
        <f aca="false">IF(AND(ISNUMBER($G936),$G936&gt;=MA_LONG2),AVERAGE(INDEX($C$536:$C936,402-MA_LONG2):$C936),"")</f>
        <v/>
      </c>
      <c r="L936" s="53" t="str">
        <f aca="false">IF(AND(ISNUMBER($G936),$G936&gt;=21),STDEV(INDEX($H$876:$H936,62-20):$H936)*SQRT(245),"")</f>
        <v/>
      </c>
      <c r="M936" s="52" t="str">
        <f aca="false">IF(AND(ISNUMBER($G936),$G936&gt;=60),MAX(INDEX($D$736:$D936,202-60):$D936),"")</f>
        <v/>
      </c>
      <c r="N936" s="52" t="str">
        <f aca="false">IF(AND(ISNUMBER($G936),$G936&gt;=60),MIN(INDEX($E$736:$E936,202-60):$E936),"")</f>
        <v/>
      </c>
      <c r="O936" s="53" t="str">
        <f aca="false">IF(OR(NOT(ISNUMBER($C936)),NOT(ISNUMBER($M936)),$M936=0),"",$C936/$M936-1)</f>
        <v/>
      </c>
      <c r="P936" s="54"/>
      <c r="Q936" s="53" t="str">
        <f aca="false">IF(NOT(ISNUMBER($P936)),"",IFERROR(PERCENTRANK($P$5:$P$1204,$P936),""))</f>
        <v/>
      </c>
    </row>
    <row r="937" customFormat="false" ht="15" hidden="false" customHeight="false" outlineLevel="0" collapsed="false">
      <c r="A937" s="55"/>
      <c r="B937" s="56"/>
      <c r="C937" s="57"/>
      <c r="D937" s="56"/>
      <c r="E937" s="56"/>
      <c r="F937" s="56"/>
      <c r="G937" s="50" t="str">
        <f aca="false">IF($A937="","",IF(ISNUMBER($G936),$G936+1,1))</f>
        <v/>
      </c>
      <c r="H937" s="51" t="str">
        <f aca="false">IF(OR(NOT(ISNUMBER($G937)),$G937&lt;2,NOT(ISNUMBER($C936)),$C936=0),"",$C937/$C936-1)</f>
        <v/>
      </c>
      <c r="I937" s="52" t="str">
        <f aca="false">IF(AND(ISNUMBER($G937),$G937&gt;=MA_SHORT),AVERAGE(INDEX($C$537:$C937,402-MA_SHORT):$C937),"")</f>
        <v/>
      </c>
      <c r="J937" s="52" t="str">
        <f aca="false">IF(AND(ISNUMBER($G937),$G937&gt;=MA_MED),AVERAGE(INDEX($C$537:$C937,402-MA_MED):$C937),"")</f>
        <v/>
      </c>
      <c r="K937" s="52" t="str">
        <f aca="false">IF(AND(ISNUMBER($G937),$G937&gt;=MA_LONG2),AVERAGE(INDEX($C$537:$C937,402-MA_LONG2):$C937),"")</f>
        <v/>
      </c>
      <c r="L937" s="53" t="str">
        <f aca="false">IF(AND(ISNUMBER($G937),$G937&gt;=21),STDEV(INDEX($H$877:$H937,62-20):$H937)*SQRT(245),"")</f>
        <v/>
      </c>
      <c r="M937" s="52" t="str">
        <f aca="false">IF(AND(ISNUMBER($G937),$G937&gt;=60),MAX(INDEX($D$737:$D937,202-60):$D937),"")</f>
        <v/>
      </c>
      <c r="N937" s="52" t="str">
        <f aca="false">IF(AND(ISNUMBER($G937),$G937&gt;=60),MIN(INDEX($E$737:$E937,202-60):$E937),"")</f>
        <v/>
      </c>
      <c r="O937" s="53" t="str">
        <f aca="false">IF(OR(NOT(ISNUMBER($C937)),NOT(ISNUMBER($M937)),$M937=0),"",$C937/$M937-1)</f>
        <v/>
      </c>
      <c r="P937" s="54"/>
      <c r="Q937" s="53" t="str">
        <f aca="false">IF(NOT(ISNUMBER($P937)),"",IFERROR(PERCENTRANK($P$5:$P$1204,$P937),""))</f>
        <v/>
      </c>
    </row>
    <row r="938" customFormat="false" ht="15" hidden="false" customHeight="false" outlineLevel="0" collapsed="false">
      <c r="A938" s="55"/>
      <c r="B938" s="56"/>
      <c r="C938" s="57"/>
      <c r="D938" s="56"/>
      <c r="E938" s="56"/>
      <c r="F938" s="56"/>
      <c r="G938" s="50" t="str">
        <f aca="false">IF($A938="","",IF(ISNUMBER($G937),$G937+1,1))</f>
        <v/>
      </c>
      <c r="H938" s="51" t="str">
        <f aca="false">IF(OR(NOT(ISNUMBER($G938)),$G938&lt;2,NOT(ISNUMBER($C937)),$C937=0),"",$C938/$C937-1)</f>
        <v/>
      </c>
      <c r="I938" s="52" t="str">
        <f aca="false">IF(AND(ISNUMBER($G938),$G938&gt;=MA_SHORT),AVERAGE(INDEX($C$538:$C938,402-MA_SHORT):$C938),"")</f>
        <v/>
      </c>
      <c r="J938" s="52" t="str">
        <f aca="false">IF(AND(ISNUMBER($G938),$G938&gt;=MA_MED),AVERAGE(INDEX($C$538:$C938,402-MA_MED):$C938),"")</f>
        <v/>
      </c>
      <c r="K938" s="52" t="str">
        <f aca="false">IF(AND(ISNUMBER($G938),$G938&gt;=MA_LONG2),AVERAGE(INDEX($C$538:$C938,402-MA_LONG2):$C938),"")</f>
        <v/>
      </c>
      <c r="L938" s="53" t="str">
        <f aca="false">IF(AND(ISNUMBER($G938),$G938&gt;=21),STDEV(INDEX($H$878:$H938,62-20):$H938)*SQRT(245),"")</f>
        <v/>
      </c>
      <c r="M938" s="52" t="str">
        <f aca="false">IF(AND(ISNUMBER($G938),$G938&gt;=60),MAX(INDEX($D$738:$D938,202-60):$D938),"")</f>
        <v/>
      </c>
      <c r="N938" s="52" t="str">
        <f aca="false">IF(AND(ISNUMBER($G938),$G938&gt;=60),MIN(INDEX($E$738:$E938,202-60):$E938),"")</f>
        <v/>
      </c>
      <c r="O938" s="53" t="str">
        <f aca="false">IF(OR(NOT(ISNUMBER($C938)),NOT(ISNUMBER($M938)),$M938=0),"",$C938/$M938-1)</f>
        <v/>
      </c>
      <c r="P938" s="54"/>
      <c r="Q938" s="53" t="str">
        <f aca="false">IF(NOT(ISNUMBER($P938)),"",IFERROR(PERCENTRANK($P$5:$P$1204,$P938),""))</f>
        <v/>
      </c>
    </row>
    <row r="939" customFormat="false" ht="15" hidden="false" customHeight="false" outlineLevel="0" collapsed="false">
      <c r="A939" s="55"/>
      <c r="B939" s="56"/>
      <c r="C939" s="57"/>
      <c r="D939" s="56"/>
      <c r="E939" s="56"/>
      <c r="F939" s="56"/>
      <c r="G939" s="50" t="str">
        <f aca="false">IF($A939="","",IF(ISNUMBER($G938),$G938+1,1))</f>
        <v/>
      </c>
      <c r="H939" s="51" t="str">
        <f aca="false">IF(OR(NOT(ISNUMBER($G939)),$G939&lt;2,NOT(ISNUMBER($C938)),$C938=0),"",$C939/$C938-1)</f>
        <v/>
      </c>
      <c r="I939" s="52" t="str">
        <f aca="false">IF(AND(ISNUMBER($G939),$G939&gt;=MA_SHORT),AVERAGE(INDEX($C$539:$C939,402-MA_SHORT):$C939),"")</f>
        <v/>
      </c>
      <c r="J939" s="52" t="str">
        <f aca="false">IF(AND(ISNUMBER($G939),$G939&gt;=MA_MED),AVERAGE(INDEX($C$539:$C939,402-MA_MED):$C939),"")</f>
        <v/>
      </c>
      <c r="K939" s="52" t="str">
        <f aca="false">IF(AND(ISNUMBER($G939),$G939&gt;=MA_LONG2),AVERAGE(INDEX($C$539:$C939,402-MA_LONG2):$C939),"")</f>
        <v/>
      </c>
      <c r="L939" s="53" t="str">
        <f aca="false">IF(AND(ISNUMBER($G939),$G939&gt;=21),STDEV(INDEX($H$879:$H939,62-20):$H939)*SQRT(245),"")</f>
        <v/>
      </c>
      <c r="M939" s="52" t="str">
        <f aca="false">IF(AND(ISNUMBER($G939),$G939&gt;=60),MAX(INDEX($D$739:$D939,202-60):$D939),"")</f>
        <v/>
      </c>
      <c r="N939" s="52" t="str">
        <f aca="false">IF(AND(ISNUMBER($G939),$G939&gt;=60),MIN(INDEX($E$739:$E939,202-60):$E939),"")</f>
        <v/>
      </c>
      <c r="O939" s="53" t="str">
        <f aca="false">IF(OR(NOT(ISNUMBER($C939)),NOT(ISNUMBER($M939)),$M939=0),"",$C939/$M939-1)</f>
        <v/>
      </c>
      <c r="P939" s="54"/>
      <c r="Q939" s="53" t="str">
        <f aca="false">IF(NOT(ISNUMBER($P939)),"",IFERROR(PERCENTRANK($P$5:$P$1204,$P939),""))</f>
        <v/>
      </c>
    </row>
    <row r="940" customFormat="false" ht="15" hidden="false" customHeight="false" outlineLevel="0" collapsed="false">
      <c r="A940" s="55"/>
      <c r="B940" s="56"/>
      <c r="C940" s="57"/>
      <c r="D940" s="56"/>
      <c r="E940" s="56"/>
      <c r="F940" s="56"/>
      <c r="G940" s="50" t="str">
        <f aca="false">IF($A940="","",IF(ISNUMBER($G939),$G939+1,1))</f>
        <v/>
      </c>
      <c r="H940" s="51" t="str">
        <f aca="false">IF(OR(NOT(ISNUMBER($G940)),$G940&lt;2,NOT(ISNUMBER($C939)),$C939=0),"",$C940/$C939-1)</f>
        <v/>
      </c>
      <c r="I940" s="52" t="str">
        <f aca="false">IF(AND(ISNUMBER($G940),$G940&gt;=MA_SHORT),AVERAGE(INDEX($C$540:$C940,402-MA_SHORT):$C940),"")</f>
        <v/>
      </c>
      <c r="J940" s="52" t="str">
        <f aca="false">IF(AND(ISNUMBER($G940),$G940&gt;=MA_MED),AVERAGE(INDEX($C$540:$C940,402-MA_MED):$C940),"")</f>
        <v/>
      </c>
      <c r="K940" s="52" t="str">
        <f aca="false">IF(AND(ISNUMBER($G940),$G940&gt;=MA_LONG2),AVERAGE(INDEX($C$540:$C940,402-MA_LONG2):$C940),"")</f>
        <v/>
      </c>
      <c r="L940" s="53" t="str">
        <f aca="false">IF(AND(ISNUMBER($G940),$G940&gt;=21),STDEV(INDEX($H$880:$H940,62-20):$H940)*SQRT(245),"")</f>
        <v/>
      </c>
      <c r="M940" s="52" t="str">
        <f aca="false">IF(AND(ISNUMBER($G940),$G940&gt;=60),MAX(INDEX($D$740:$D940,202-60):$D940),"")</f>
        <v/>
      </c>
      <c r="N940" s="52" t="str">
        <f aca="false">IF(AND(ISNUMBER($G940),$G940&gt;=60),MIN(INDEX($E$740:$E940,202-60):$E940),"")</f>
        <v/>
      </c>
      <c r="O940" s="53" t="str">
        <f aca="false">IF(OR(NOT(ISNUMBER($C940)),NOT(ISNUMBER($M940)),$M940=0),"",$C940/$M940-1)</f>
        <v/>
      </c>
      <c r="P940" s="54"/>
      <c r="Q940" s="53" t="str">
        <f aca="false">IF(NOT(ISNUMBER($P940)),"",IFERROR(PERCENTRANK($P$5:$P$1204,$P940),""))</f>
        <v/>
      </c>
    </row>
    <row r="941" customFormat="false" ht="15" hidden="false" customHeight="false" outlineLevel="0" collapsed="false">
      <c r="A941" s="55"/>
      <c r="B941" s="56"/>
      <c r="C941" s="57"/>
      <c r="D941" s="56"/>
      <c r="E941" s="56"/>
      <c r="F941" s="56"/>
      <c r="G941" s="50" t="str">
        <f aca="false">IF($A941="","",IF(ISNUMBER($G940),$G940+1,1))</f>
        <v/>
      </c>
      <c r="H941" s="51" t="str">
        <f aca="false">IF(OR(NOT(ISNUMBER($G941)),$G941&lt;2,NOT(ISNUMBER($C940)),$C940=0),"",$C941/$C940-1)</f>
        <v/>
      </c>
      <c r="I941" s="52" t="str">
        <f aca="false">IF(AND(ISNUMBER($G941),$G941&gt;=MA_SHORT),AVERAGE(INDEX($C$541:$C941,402-MA_SHORT):$C941),"")</f>
        <v/>
      </c>
      <c r="J941" s="52" t="str">
        <f aca="false">IF(AND(ISNUMBER($G941),$G941&gt;=MA_MED),AVERAGE(INDEX($C$541:$C941,402-MA_MED):$C941),"")</f>
        <v/>
      </c>
      <c r="K941" s="52" t="str">
        <f aca="false">IF(AND(ISNUMBER($G941),$G941&gt;=MA_LONG2),AVERAGE(INDEX($C$541:$C941,402-MA_LONG2):$C941),"")</f>
        <v/>
      </c>
      <c r="L941" s="53" t="str">
        <f aca="false">IF(AND(ISNUMBER($G941),$G941&gt;=21),STDEV(INDEX($H$881:$H941,62-20):$H941)*SQRT(245),"")</f>
        <v/>
      </c>
      <c r="M941" s="52" t="str">
        <f aca="false">IF(AND(ISNUMBER($G941),$G941&gt;=60),MAX(INDEX($D$741:$D941,202-60):$D941),"")</f>
        <v/>
      </c>
      <c r="N941" s="52" t="str">
        <f aca="false">IF(AND(ISNUMBER($G941),$G941&gt;=60),MIN(INDEX($E$741:$E941,202-60):$E941),"")</f>
        <v/>
      </c>
      <c r="O941" s="53" t="str">
        <f aca="false">IF(OR(NOT(ISNUMBER($C941)),NOT(ISNUMBER($M941)),$M941=0),"",$C941/$M941-1)</f>
        <v/>
      </c>
      <c r="P941" s="54"/>
      <c r="Q941" s="53" t="str">
        <f aca="false">IF(NOT(ISNUMBER($P941)),"",IFERROR(PERCENTRANK($P$5:$P$1204,$P941),""))</f>
        <v/>
      </c>
    </row>
    <row r="942" customFormat="false" ht="15" hidden="false" customHeight="false" outlineLevel="0" collapsed="false">
      <c r="A942" s="55"/>
      <c r="B942" s="56"/>
      <c r="C942" s="57"/>
      <c r="D942" s="56"/>
      <c r="E942" s="56"/>
      <c r="F942" s="56"/>
      <c r="G942" s="50" t="str">
        <f aca="false">IF($A942="","",IF(ISNUMBER($G941),$G941+1,1))</f>
        <v/>
      </c>
      <c r="H942" s="51" t="str">
        <f aca="false">IF(OR(NOT(ISNUMBER($G942)),$G942&lt;2,NOT(ISNUMBER($C941)),$C941=0),"",$C942/$C941-1)</f>
        <v/>
      </c>
      <c r="I942" s="52" t="str">
        <f aca="false">IF(AND(ISNUMBER($G942),$G942&gt;=MA_SHORT),AVERAGE(INDEX($C$542:$C942,402-MA_SHORT):$C942),"")</f>
        <v/>
      </c>
      <c r="J942" s="52" t="str">
        <f aca="false">IF(AND(ISNUMBER($G942),$G942&gt;=MA_MED),AVERAGE(INDEX($C$542:$C942,402-MA_MED):$C942),"")</f>
        <v/>
      </c>
      <c r="K942" s="52" t="str">
        <f aca="false">IF(AND(ISNUMBER($G942),$G942&gt;=MA_LONG2),AVERAGE(INDEX($C$542:$C942,402-MA_LONG2):$C942),"")</f>
        <v/>
      </c>
      <c r="L942" s="53" t="str">
        <f aca="false">IF(AND(ISNUMBER($G942),$G942&gt;=21),STDEV(INDEX($H$882:$H942,62-20):$H942)*SQRT(245),"")</f>
        <v/>
      </c>
      <c r="M942" s="52" t="str">
        <f aca="false">IF(AND(ISNUMBER($G942),$G942&gt;=60),MAX(INDEX($D$742:$D942,202-60):$D942),"")</f>
        <v/>
      </c>
      <c r="N942" s="52" t="str">
        <f aca="false">IF(AND(ISNUMBER($G942),$G942&gt;=60),MIN(INDEX($E$742:$E942,202-60):$E942),"")</f>
        <v/>
      </c>
      <c r="O942" s="53" t="str">
        <f aca="false">IF(OR(NOT(ISNUMBER($C942)),NOT(ISNUMBER($M942)),$M942=0),"",$C942/$M942-1)</f>
        <v/>
      </c>
      <c r="P942" s="54"/>
      <c r="Q942" s="53" t="str">
        <f aca="false">IF(NOT(ISNUMBER($P942)),"",IFERROR(PERCENTRANK($P$5:$P$1204,$P942),""))</f>
        <v/>
      </c>
    </row>
    <row r="943" customFormat="false" ht="15" hidden="false" customHeight="false" outlineLevel="0" collapsed="false">
      <c r="A943" s="55"/>
      <c r="B943" s="56"/>
      <c r="C943" s="57"/>
      <c r="D943" s="56"/>
      <c r="E943" s="56"/>
      <c r="F943" s="56"/>
      <c r="G943" s="50" t="str">
        <f aca="false">IF($A943="","",IF(ISNUMBER($G942),$G942+1,1))</f>
        <v/>
      </c>
      <c r="H943" s="51" t="str">
        <f aca="false">IF(OR(NOT(ISNUMBER($G943)),$G943&lt;2,NOT(ISNUMBER($C942)),$C942=0),"",$C943/$C942-1)</f>
        <v/>
      </c>
      <c r="I943" s="52" t="str">
        <f aca="false">IF(AND(ISNUMBER($G943),$G943&gt;=MA_SHORT),AVERAGE(INDEX($C$543:$C943,402-MA_SHORT):$C943),"")</f>
        <v/>
      </c>
      <c r="J943" s="52" t="str">
        <f aca="false">IF(AND(ISNUMBER($G943),$G943&gt;=MA_MED),AVERAGE(INDEX($C$543:$C943,402-MA_MED):$C943),"")</f>
        <v/>
      </c>
      <c r="K943" s="52" t="str">
        <f aca="false">IF(AND(ISNUMBER($G943),$G943&gt;=MA_LONG2),AVERAGE(INDEX($C$543:$C943,402-MA_LONG2):$C943),"")</f>
        <v/>
      </c>
      <c r="L943" s="53" t="str">
        <f aca="false">IF(AND(ISNUMBER($G943),$G943&gt;=21),STDEV(INDEX($H$883:$H943,62-20):$H943)*SQRT(245),"")</f>
        <v/>
      </c>
      <c r="M943" s="52" t="str">
        <f aca="false">IF(AND(ISNUMBER($G943),$G943&gt;=60),MAX(INDEX($D$743:$D943,202-60):$D943),"")</f>
        <v/>
      </c>
      <c r="N943" s="52" t="str">
        <f aca="false">IF(AND(ISNUMBER($G943),$G943&gt;=60),MIN(INDEX($E$743:$E943,202-60):$E943),"")</f>
        <v/>
      </c>
      <c r="O943" s="53" t="str">
        <f aca="false">IF(OR(NOT(ISNUMBER($C943)),NOT(ISNUMBER($M943)),$M943=0),"",$C943/$M943-1)</f>
        <v/>
      </c>
      <c r="P943" s="54"/>
      <c r="Q943" s="53" t="str">
        <f aca="false">IF(NOT(ISNUMBER($P943)),"",IFERROR(PERCENTRANK($P$5:$P$1204,$P943),""))</f>
        <v/>
      </c>
    </row>
    <row r="944" customFormat="false" ht="15" hidden="false" customHeight="false" outlineLevel="0" collapsed="false">
      <c r="A944" s="55"/>
      <c r="B944" s="56"/>
      <c r="C944" s="57"/>
      <c r="D944" s="56"/>
      <c r="E944" s="56"/>
      <c r="F944" s="56"/>
      <c r="G944" s="50" t="str">
        <f aca="false">IF($A944="","",IF(ISNUMBER($G943),$G943+1,1))</f>
        <v/>
      </c>
      <c r="H944" s="51" t="str">
        <f aca="false">IF(OR(NOT(ISNUMBER($G944)),$G944&lt;2,NOT(ISNUMBER($C943)),$C943=0),"",$C944/$C943-1)</f>
        <v/>
      </c>
      <c r="I944" s="52" t="str">
        <f aca="false">IF(AND(ISNUMBER($G944),$G944&gt;=MA_SHORT),AVERAGE(INDEX($C$544:$C944,402-MA_SHORT):$C944),"")</f>
        <v/>
      </c>
      <c r="J944" s="52" t="str">
        <f aca="false">IF(AND(ISNUMBER($G944),$G944&gt;=MA_MED),AVERAGE(INDEX($C$544:$C944,402-MA_MED):$C944),"")</f>
        <v/>
      </c>
      <c r="K944" s="52" t="str">
        <f aca="false">IF(AND(ISNUMBER($G944),$G944&gt;=MA_LONG2),AVERAGE(INDEX($C$544:$C944,402-MA_LONG2):$C944),"")</f>
        <v/>
      </c>
      <c r="L944" s="53" t="str">
        <f aca="false">IF(AND(ISNUMBER($G944),$G944&gt;=21),STDEV(INDEX($H$884:$H944,62-20):$H944)*SQRT(245),"")</f>
        <v/>
      </c>
      <c r="M944" s="52" t="str">
        <f aca="false">IF(AND(ISNUMBER($G944),$G944&gt;=60),MAX(INDEX($D$744:$D944,202-60):$D944),"")</f>
        <v/>
      </c>
      <c r="N944" s="52" t="str">
        <f aca="false">IF(AND(ISNUMBER($G944),$G944&gt;=60),MIN(INDEX($E$744:$E944,202-60):$E944),"")</f>
        <v/>
      </c>
      <c r="O944" s="53" t="str">
        <f aca="false">IF(OR(NOT(ISNUMBER($C944)),NOT(ISNUMBER($M944)),$M944=0),"",$C944/$M944-1)</f>
        <v/>
      </c>
      <c r="P944" s="54"/>
      <c r="Q944" s="53" t="str">
        <f aca="false">IF(NOT(ISNUMBER($P944)),"",IFERROR(PERCENTRANK($P$5:$P$1204,$P944),""))</f>
        <v/>
      </c>
    </row>
    <row r="945" customFormat="false" ht="15" hidden="false" customHeight="false" outlineLevel="0" collapsed="false">
      <c r="A945" s="55"/>
      <c r="B945" s="56"/>
      <c r="C945" s="57"/>
      <c r="D945" s="56"/>
      <c r="E945" s="56"/>
      <c r="F945" s="56"/>
      <c r="G945" s="50" t="str">
        <f aca="false">IF($A945="","",IF(ISNUMBER($G944),$G944+1,1))</f>
        <v/>
      </c>
      <c r="H945" s="51" t="str">
        <f aca="false">IF(OR(NOT(ISNUMBER($G945)),$G945&lt;2,NOT(ISNUMBER($C944)),$C944=0),"",$C945/$C944-1)</f>
        <v/>
      </c>
      <c r="I945" s="52" t="str">
        <f aca="false">IF(AND(ISNUMBER($G945),$G945&gt;=MA_SHORT),AVERAGE(INDEX($C$545:$C945,402-MA_SHORT):$C945),"")</f>
        <v/>
      </c>
      <c r="J945" s="52" t="str">
        <f aca="false">IF(AND(ISNUMBER($G945),$G945&gt;=MA_MED),AVERAGE(INDEX($C$545:$C945,402-MA_MED):$C945),"")</f>
        <v/>
      </c>
      <c r="K945" s="52" t="str">
        <f aca="false">IF(AND(ISNUMBER($G945),$G945&gt;=MA_LONG2),AVERAGE(INDEX($C$545:$C945,402-MA_LONG2):$C945),"")</f>
        <v/>
      </c>
      <c r="L945" s="53" t="str">
        <f aca="false">IF(AND(ISNUMBER($G945),$G945&gt;=21),STDEV(INDEX($H$885:$H945,62-20):$H945)*SQRT(245),"")</f>
        <v/>
      </c>
      <c r="M945" s="52" t="str">
        <f aca="false">IF(AND(ISNUMBER($G945),$G945&gt;=60),MAX(INDEX($D$745:$D945,202-60):$D945),"")</f>
        <v/>
      </c>
      <c r="N945" s="52" t="str">
        <f aca="false">IF(AND(ISNUMBER($G945),$G945&gt;=60),MIN(INDEX($E$745:$E945,202-60):$E945),"")</f>
        <v/>
      </c>
      <c r="O945" s="53" t="str">
        <f aca="false">IF(OR(NOT(ISNUMBER($C945)),NOT(ISNUMBER($M945)),$M945=0),"",$C945/$M945-1)</f>
        <v/>
      </c>
      <c r="P945" s="54"/>
      <c r="Q945" s="53" t="str">
        <f aca="false">IF(NOT(ISNUMBER($P945)),"",IFERROR(PERCENTRANK($P$5:$P$1204,$P945),""))</f>
        <v/>
      </c>
    </row>
    <row r="946" customFormat="false" ht="15" hidden="false" customHeight="false" outlineLevel="0" collapsed="false">
      <c r="A946" s="55"/>
      <c r="B946" s="56"/>
      <c r="C946" s="57"/>
      <c r="D946" s="56"/>
      <c r="E946" s="56"/>
      <c r="F946" s="56"/>
      <c r="G946" s="50" t="str">
        <f aca="false">IF($A946="","",IF(ISNUMBER($G945),$G945+1,1))</f>
        <v/>
      </c>
      <c r="H946" s="51" t="str">
        <f aca="false">IF(OR(NOT(ISNUMBER($G946)),$G946&lt;2,NOT(ISNUMBER($C945)),$C945=0),"",$C946/$C945-1)</f>
        <v/>
      </c>
      <c r="I946" s="52" t="str">
        <f aca="false">IF(AND(ISNUMBER($G946),$G946&gt;=MA_SHORT),AVERAGE(INDEX($C$546:$C946,402-MA_SHORT):$C946),"")</f>
        <v/>
      </c>
      <c r="J946" s="52" t="str">
        <f aca="false">IF(AND(ISNUMBER($G946),$G946&gt;=MA_MED),AVERAGE(INDEX($C$546:$C946,402-MA_MED):$C946),"")</f>
        <v/>
      </c>
      <c r="K946" s="52" t="str">
        <f aca="false">IF(AND(ISNUMBER($G946),$G946&gt;=MA_LONG2),AVERAGE(INDEX($C$546:$C946,402-MA_LONG2):$C946),"")</f>
        <v/>
      </c>
      <c r="L946" s="53" t="str">
        <f aca="false">IF(AND(ISNUMBER($G946),$G946&gt;=21),STDEV(INDEX($H$886:$H946,62-20):$H946)*SQRT(245),"")</f>
        <v/>
      </c>
      <c r="M946" s="52" t="str">
        <f aca="false">IF(AND(ISNUMBER($G946),$G946&gt;=60),MAX(INDEX($D$746:$D946,202-60):$D946),"")</f>
        <v/>
      </c>
      <c r="N946" s="52" t="str">
        <f aca="false">IF(AND(ISNUMBER($G946),$G946&gt;=60),MIN(INDEX($E$746:$E946,202-60):$E946),"")</f>
        <v/>
      </c>
      <c r="O946" s="53" t="str">
        <f aca="false">IF(OR(NOT(ISNUMBER($C946)),NOT(ISNUMBER($M946)),$M946=0),"",$C946/$M946-1)</f>
        <v/>
      </c>
      <c r="P946" s="54"/>
      <c r="Q946" s="53" t="str">
        <f aca="false">IF(NOT(ISNUMBER($P946)),"",IFERROR(PERCENTRANK($P$5:$P$1204,$P946),""))</f>
        <v/>
      </c>
    </row>
    <row r="947" customFormat="false" ht="15" hidden="false" customHeight="false" outlineLevel="0" collapsed="false">
      <c r="A947" s="55"/>
      <c r="B947" s="56"/>
      <c r="C947" s="57"/>
      <c r="D947" s="56"/>
      <c r="E947" s="56"/>
      <c r="F947" s="56"/>
      <c r="G947" s="50" t="str">
        <f aca="false">IF($A947="","",IF(ISNUMBER($G946),$G946+1,1))</f>
        <v/>
      </c>
      <c r="H947" s="51" t="str">
        <f aca="false">IF(OR(NOT(ISNUMBER($G947)),$G947&lt;2,NOT(ISNUMBER($C946)),$C946=0),"",$C947/$C946-1)</f>
        <v/>
      </c>
      <c r="I947" s="52" t="str">
        <f aca="false">IF(AND(ISNUMBER($G947),$G947&gt;=MA_SHORT),AVERAGE(INDEX($C$547:$C947,402-MA_SHORT):$C947),"")</f>
        <v/>
      </c>
      <c r="J947" s="52" t="str">
        <f aca="false">IF(AND(ISNUMBER($G947),$G947&gt;=MA_MED),AVERAGE(INDEX($C$547:$C947,402-MA_MED):$C947),"")</f>
        <v/>
      </c>
      <c r="K947" s="52" t="str">
        <f aca="false">IF(AND(ISNUMBER($G947),$G947&gt;=MA_LONG2),AVERAGE(INDEX($C$547:$C947,402-MA_LONG2):$C947),"")</f>
        <v/>
      </c>
      <c r="L947" s="53" t="str">
        <f aca="false">IF(AND(ISNUMBER($G947),$G947&gt;=21),STDEV(INDEX($H$887:$H947,62-20):$H947)*SQRT(245),"")</f>
        <v/>
      </c>
      <c r="M947" s="52" t="str">
        <f aca="false">IF(AND(ISNUMBER($G947),$G947&gt;=60),MAX(INDEX($D$747:$D947,202-60):$D947),"")</f>
        <v/>
      </c>
      <c r="N947" s="52" t="str">
        <f aca="false">IF(AND(ISNUMBER($G947),$G947&gt;=60),MIN(INDEX($E$747:$E947,202-60):$E947),"")</f>
        <v/>
      </c>
      <c r="O947" s="53" t="str">
        <f aca="false">IF(OR(NOT(ISNUMBER($C947)),NOT(ISNUMBER($M947)),$M947=0),"",$C947/$M947-1)</f>
        <v/>
      </c>
      <c r="P947" s="54"/>
      <c r="Q947" s="53" t="str">
        <f aca="false">IF(NOT(ISNUMBER($P947)),"",IFERROR(PERCENTRANK($P$5:$P$1204,$P947),""))</f>
        <v/>
      </c>
    </row>
    <row r="948" customFormat="false" ht="15" hidden="false" customHeight="false" outlineLevel="0" collapsed="false">
      <c r="A948" s="55"/>
      <c r="B948" s="56"/>
      <c r="C948" s="57"/>
      <c r="D948" s="56"/>
      <c r="E948" s="56"/>
      <c r="F948" s="56"/>
      <c r="G948" s="50" t="str">
        <f aca="false">IF($A948="","",IF(ISNUMBER($G947),$G947+1,1))</f>
        <v/>
      </c>
      <c r="H948" s="51" t="str">
        <f aca="false">IF(OR(NOT(ISNUMBER($G948)),$G948&lt;2,NOT(ISNUMBER($C947)),$C947=0),"",$C948/$C947-1)</f>
        <v/>
      </c>
      <c r="I948" s="52" t="str">
        <f aca="false">IF(AND(ISNUMBER($G948),$G948&gt;=MA_SHORT),AVERAGE(INDEX($C$548:$C948,402-MA_SHORT):$C948),"")</f>
        <v/>
      </c>
      <c r="J948" s="52" t="str">
        <f aca="false">IF(AND(ISNUMBER($G948),$G948&gt;=MA_MED),AVERAGE(INDEX($C$548:$C948,402-MA_MED):$C948),"")</f>
        <v/>
      </c>
      <c r="K948" s="52" t="str">
        <f aca="false">IF(AND(ISNUMBER($G948),$G948&gt;=MA_LONG2),AVERAGE(INDEX($C$548:$C948,402-MA_LONG2):$C948),"")</f>
        <v/>
      </c>
      <c r="L948" s="53" t="str">
        <f aca="false">IF(AND(ISNUMBER($G948),$G948&gt;=21),STDEV(INDEX($H$888:$H948,62-20):$H948)*SQRT(245),"")</f>
        <v/>
      </c>
      <c r="M948" s="52" t="str">
        <f aca="false">IF(AND(ISNUMBER($G948),$G948&gt;=60),MAX(INDEX($D$748:$D948,202-60):$D948),"")</f>
        <v/>
      </c>
      <c r="N948" s="52" t="str">
        <f aca="false">IF(AND(ISNUMBER($G948),$G948&gt;=60),MIN(INDEX($E$748:$E948,202-60):$E948),"")</f>
        <v/>
      </c>
      <c r="O948" s="53" t="str">
        <f aca="false">IF(OR(NOT(ISNUMBER($C948)),NOT(ISNUMBER($M948)),$M948=0),"",$C948/$M948-1)</f>
        <v/>
      </c>
      <c r="P948" s="54"/>
      <c r="Q948" s="53" t="str">
        <f aca="false">IF(NOT(ISNUMBER($P948)),"",IFERROR(PERCENTRANK($P$5:$P$1204,$P948),""))</f>
        <v/>
      </c>
    </row>
    <row r="949" customFormat="false" ht="15" hidden="false" customHeight="false" outlineLevel="0" collapsed="false">
      <c r="A949" s="55"/>
      <c r="B949" s="56"/>
      <c r="C949" s="57"/>
      <c r="D949" s="56"/>
      <c r="E949" s="56"/>
      <c r="F949" s="56"/>
      <c r="G949" s="50" t="str">
        <f aca="false">IF($A949="","",IF(ISNUMBER($G948),$G948+1,1))</f>
        <v/>
      </c>
      <c r="H949" s="51" t="str">
        <f aca="false">IF(OR(NOT(ISNUMBER($G949)),$G949&lt;2,NOT(ISNUMBER($C948)),$C948=0),"",$C949/$C948-1)</f>
        <v/>
      </c>
      <c r="I949" s="52" t="str">
        <f aca="false">IF(AND(ISNUMBER($G949),$G949&gt;=MA_SHORT),AVERAGE(INDEX($C$549:$C949,402-MA_SHORT):$C949),"")</f>
        <v/>
      </c>
      <c r="J949" s="52" t="str">
        <f aca="false">IF(AND(ISNUMBER($G949),$G949&gt;=MA_MED),AVERAGE(INDEX($C$549:$C949,402-MA_MED):$C949),"")</f>
        <v/>
      </c>
      <c r="K949" s="52" t="str">
        <f aca="false">IF(AND(ISNUMBER($G949),$G949&gt;=MA_LONG2),AVERAGE(INDEX($C$549:$C949,402-MA_LONG2):$C949),"")</f>
        <v/>
      </c>
      <c r="L949" s="53" t="str">
        <f aca="false">IF(AND(ISNUMBER($G949),$G949&gt;=21),STDEV(INDEX($H$889:$H949,62-20):$H949)*SQRT(245),"")</f>
        <v/>
      </c>
      <c r="M949" s="52" t="str">
        <f aca="false">IF(AND(ISNUMBER($G949),$G949&gt;=60),MAX(INDEX($D$749:$D949,202-60):$D949),"")</f>
        <v/>
      </c>
      <c r="N949" s="52" t="str">
        <f aca="false">IF(AND(ISNUMBER($G949),$G949&gt;=60),MIN(INDEX($E$749:$E949,202-60):$E949),"")</f>
        <v/>
      </c>
      <c r="O949" s="53" t="str">
        <f aca="false">IF(OR(NOT(ISNUMBER($C949)),NOT(ISNUMBER($M949)),$M949=0),"",$C949/$M949-1)</f>
        <v/>
      </c>
      <c r="P949" s="54"/>
      <c r="Q949" s="53" t="str">
        <f aca="false">IF(NOT(ISNUMBER($P949)),"",IFERROR(PERCENTRANK($P$5:$P$1204,$P949),""))</f>
        <v/>
      </c>
    </row>
    <row r="950" customFormat="false" ht="15" hidden="false" customHeight="false" outlineLevel="0" collapsed="false">
      <c r="A950" s="55"/>
      <c r="B950" s="56"/>
      <c r="C950" s="57"/>
      <c r="D950" s="56"/>
      <c r="E950" s="56"/>
      <c r="F950" s="56"/>
      <c r="G950" s="50" t="str">
        <f aca="false">IF($A950="","",IF(ISNUMBER($G949),$G949+1,1))</f>
        <v/>
      </c>
      <c r="H950" s="51" t="str">
        <f aca="false">IF(OR(NOT(ISNUMBER($G950)),$G950&lt;2,NOT(ISNUMBER($C949)),$C949=0),"",$C950/$C949-1)</f>
        <v/>
      </c>
      <c r="I950" s="52" t="str">
        <f aca="false">IF(AND(ISNUMBER($G950),$G950&gt;=MA_SHORT),AVERAGE(INDEX($C$550:$C950,402-MA_SHORT):$C950),"")</f>
        <v/>
      </c>
      <c r="J950" s="52" t="str">
        <f aca="false">IF(AND(ISNUMBER($G950),$G950&gt;=MA_MED),AVERAGE(INDEX($C$550:$C950,402-MA_MED):$C950),"")</f>
        <v/>
      </c>
      <c r="K950" s="52" t="str">
        <f aca="false">IF(AND(ISNUMBER($G950),$G950&gt;=MA_LONG2),AVERAGE(INDEX($C$550:$C950,402-MA_LONG2):$C950),"")</f>
        <v/>
      </c>
      <c r="L950" s="53" t="str">
        <f aca="false">IF(AND(ISNUMBER($G950),$G950&gt;=21),STDEV(INDEX($H$890:$H950,62-20):$H950)*SQRT(245),"")</f>
        <v/>
      </c>
      <c r="M950" s="52" t="str">
        <f aca="false">IF(AND(ISNUMBER($G950),$G950&gt;=60),MAX(INDEX($D$750:$D950,202-60):$D950),"")</f>
        <v/>
      </c>
      <c r="N950" s="52" t="str">
        <f aca="false">IF(AND(ISNUMBER($G950),$G950&gt;=60),MIN(INDEX($E$750:$E950,202-60):$E950),"")</f>
        <v/>
      </c>
      <c r="O950" s="53" t="str">
        <f aca="false">IF(OR(NOT(ISNUMBER($C950)),NOT(ISNUMBER($M950)),$M950=0),"",$C950/$M950-1)</f>
        <v/>
      </c>
      <c r="P950" s="54"/>
      <c r="Q950" s="53" t="str">
        <f aca="false">IF(NOT(ISNUMBER($P950)),"",IFERROR(PERCENTRANK($P$5:$P$1204,$P950),""))</f>
        <v/>
      </c>
    </row>
    <row r="951" customFormat="false" ht="15" hidden="false" customHeight="false" outlineLevel="0" collapsed="false">
      <c r="A951" s="55"/>
      <c r="B951" s="56"/>
      <c r="C951" s="57"/>
      <c r="D951" s="56"/>
      <c r="E951" s="56"/>
      <c r="F951" s="56"/>
      <c r="G951" s="50" t="str">
        <f aca="false">IF($A951="","",IF(ISNUMBER($G950),$G950+1,1))</f>
        <v/>
      </c>
      <c r="H951" s="51" t="str">
        <f aca="false">IF(OR(NOT(ISNUMBER($G951)),$G951&lt;2,NOT(ISNUMBER($C950)),$C950=0),"",$C951/$C950-1)</f>
        <v/>
      </c>
      <c r="I951" s="52" t="str">
        <f aca="false">IF(AND(ISNUMBER($G951),$G951&gt;=MA_SHORT),AVERAGE(INDEX($C$551:$C951,402-MA_SHORT):$C951),"")</f>
        <v/>
      </c>
      <c r="J951" s="52" t="str">
        <f aca="false">IF(AND(ISNUMBER($G951),$G951&gt;=MA_MED),AVERAGE(INDEX($C$551:$C951,402-MA_MED):$C951),"")</f>
        <v/>
      </c>
      <c r="K951" s="52" t="str">
        <f aca="false">IF(AND(ISNUMBER($G951),$G951&gt;=MA_LONG2),AVERAGE(INDEX($C$551:$C951,402-MA_LONG2):$C951),"")</f>
        <v/>
      </c>
      <c r="L951" s="53" t="str">
        <f aca="false">IF(AND(ISNUMBER($G951),$G951&gt;=21),STDEV(INDEX($H$891:$H951,62-20):$H951)*SQRT(245),"")</f>
        <v/>
      </c>
      <c r="M951" s="52" t="str">
        <f aca="false">IF(AND(ISNUMBER($G951),$G951&gt;=60),MAX(INDEX($D$751:$D951,202-60):$D951),"")</f>
        <v/>
      </c>
      <c r="N951" s="52" t="str">
        <f aca="false">IF(AND(ISNUMBER($G951),$G951&gt;=60),MIN(INDEX($E$751:$E951,202-60):$E951),"")</f>
        <v/>
      </c>
      <c r="O951" s="53" t="str">
        <f aca="false">IF(OR(NOT(ISNUMBER($C951)),NOT(ISNUMBER($M951)),$M951=0),"",$C951/$M951-1)</f>
        <v/>
      </c>
      <c r="P951" s="54"/>
      <c r="Q951" s="53" t="str">
        <f aca="false">IF(NOT(ISNUMBER($P951)),"",IFERROR(PERCENTRANK($P$5:$P$1204,$P951),""))</f>
        <v/>
      </c>
    </row>
    <row r="952" customFormat="false" ht="15" hidden="false" customHeight="false" outlineLevel="0" collapsed="false">
      <c r="A952" s="55"/>
      <c r="B952" s="56"/>
      <c r="C952" s="57"/>
      <c r="D952" s="56"/>
      <c r="E952" s="56"/>
      <c r="F952" s="56"/>
      <c r="G952" s="50" t="str">
        <f aca="false">IF($A952="","",IF(ISNUMBER($G951),$G951+1,1))</f>
        <v/>
      </c>
      <c r="H952" s="51" t="str">
        <f aca="false">IF(OR(NOT(ISNUMBER($G952)),$G952&lt;2,NOT(ISNUMBER($C951)),$C951=0),"",$C952/$C951-1)</f>
        <v/>
      </c>
      <c r="I952" s="52" t="str">
        <f aca="false">IF(AND(ISNUMBER($G952),$G952&gt;=MA_SHORT),AVERAGE(INDEX($C$552:$C952,402-MA_SHORT):$C952),"")</f>
        <v/>
      </c>
      <c r="J952" s="52" t="str">
        <f aca="false">IF(AND(ISNUMBER($G952),$G952&gt;=MA_MED),AVERAGE(INDEX($C$552:$C952,402-MA_MED):$C952),"")</f>
        <v/>
      </c>
      <c r="K952" s="52" t="str">
        <f aca="false">IF(AND(ISNUMBER($G952),$G952&gt;=MA_LONG2),AVERAGE(INDEX($C$552:$C952,402-MA_LONG2):$C952),"")</f>
        <v/>
      </c>
      <c r="L952" s="53" t="str">
        <f aca="false">IF(AND(ISNUMBER($G952),$G952&gt;=21),STDEV(INDEX($H$892:$H952,62-20):$H952)*SQRT(245),"")</f>
        <v/>
      </c>
      <c r="M952" s="52" t="str">
        <f aca="false">IF(AND(ISNUMBER($G952),$G952&gt;=60),MAX(INDEX($D$752:$D952,202-60):$D952),"")</f>
        <v/>
      </c>
      <c r="N952" s="52" t="str">
        <f aca="false">IF(AND(ISNUMBER($G952),$G952&gt;=60),MIN(INDEX($E$752:$E952,202-60):$E952),"")</f>
        <v/>
      </c>
      <c r="O952" s="53" t="str">
        <f aca="false">IF(OR(NOT(ISNUMBER($C952)),NOT(ISNUMBER($M952)),$M952=0),"",$C952/$M952-1)</f>
        <v/>
      </c>
      <c r="P952" s="54"/>
      <c r="Q952" s="53" t="str">
        <f aca="false">IF(NOT(ISNUMBER($P952)),"",IFERROR(PERCENTRANK($P$5:$P$1204,$P952),""))</f>
        <v/>
      </c>
    </row>
    <row r="953" customFormat="false" ht="15" hidden="false" customHeight="false" outlineLevel="0" collapsed="false">
      <c r="A953" s="55"/>
      <c r="B953" s="56"/>
      <c r="C953" s="57"/>
      <c r="D953" s="56"/>
      <c r="E953" s="56"/>
      <c r="F953" s="56"/>
      <c r="G953" s="50" t="str">
        <f aca="false">IF($A953="","",IF(ISNUMBER($G952),$G952+1,1))</f>
        <v/>
      </c>
      <c r="H953" s="51" t="str">
        <f aca="false">IF(OR(NOT(ISNUMBER($G953)),$G953&lt;2,NOT(ISNUMBER($C952)),$C952=0),"",$C953/$C952-1)</f>
        <v/>
      </c>
      <c r="I953" s="52" t="str">
        <f aca="false">IF(AND(ISNUMBER($G953),$G953&gt;=MA_SHORT),AVERAGE(INDEX($C$553:$C953,402-MA_SHORT):$C953),"")</f>
        <v/>
      </c>
      <c r="J953" s="52" t="str">
        <f aca="false">IF(AND(ISNUMBER($G953),$G953&gt;=MA_MED),AVERAGE(INDEX($C$553:$C953,402-MA_MED):$C953),"")</f>
        <v/>
      </c>
      <c r="K953" s="52" t="str">
        <f aca="false">IF(AND(ISNUMBER($G953),$G953&gt;=MA_LONG2),AVERAGE(INDEX($C$553:$C953,402-MA_LONG2):$C953),"")</f>
        <v/>
      </c>
      <c r="L953" s="53" t="str">
        <f aca="false">IF(AND(ISNUMBER($G953),$G953&gt;=21),STDEV(INDEX($H$893:$H953,62-20):$H953)*SQRT(245),"")</f>
        <v/>
      </c>
      <c r="M953" s="52" t="str">
        <f aca="false">IF(AND(ISNUMBER($G953),$G953&gt;=60),MAX(INDEX($D$753:$D953,202-60):$D953),"")</f>
        <v/>
      </c>
      <c r="N953" s="52" t="str">
        <f aca="false">IF(AND(ISNUMBER($G953),$G953&gt;=60),MIN(INDEX($E$753:$E953,202-60):$E953),"")</f>
        <v/>
      </c>
      <c r="O953" s="53" t="str">
        <f aca="false">IF(OR(NOT(ISNUMBER($C953)),NOT(ISNUMBER($M953)),$M953=0),"",$C953/$M953-1)</f>
        <v/>
      </c>
      <c r="P953" s="54"/>
      <c r="Q953" s="53" t="str">
        <f aca="false">IF(NOT(ISNUMBER($P953)),"",IFERROR(PERCENTRANK($P$5:$P$1204,$P953),""))</f>
        <v/>
      </c>
    </row>
    <row r="954" customFormat="false" ht="15" hidden="false" customHeight="false" outlineLevel="0" collapsed="false">
      <c r="A954" s="55"/>
      <c r="B954" s="56"/>
      <c r="C954" s="57"/>
      <c r="D954" s="56"/>
      <c r="E954" s="56"/>
      <c r="F954" s="56"/>
      <c r="G954" s="50" t="str">
        <f aca="false">IF($A954="","",IF(ISNUMBER($G953),$G953+1,1))</f>
        <v/>
      </c>
      <c r="H954" s="51" t="str">
        <f aca="false">IF(OR(NOT(ISNUMBER($G954)),$G954&lt;2,NOT(ISNUMBER($C953)),$C953=0),"",$C954/$C953-1)</f>
        <v/>
      </c>
      <c r="I954" s="52" t="str">
        <f aca="false">IF(AND(ISNUMBER($G954),$G954&gt;=MA_SHORT),AVERAGE(INDEX($C$554:$C954,402-MA_SHORT):$C954),"")</f>
        <v/>
      </c>
      <c r="J954" s="52" t="str">
        <f aca="false">IF(AND(ISNUMBER($G954),$G954&gt;=MA_MED),AVERAGE(INDEX($C$554:$C954,402-MA_MED):$C954),"")</f>
        <v/>
      </c>
      <c r="K954" s="52" t="str">
        <f aca="false">IF(AND(ISNUMBER($G954),$G954&gt;=MA_LONG2),AVERAGE(INDEX($C$554:$C954,402-MA_LONG2):$C954),"")</f>
        <v/>
      </c>
      <c r="L954" s="53" t="str">
        <f aca="false">IF(AND(ISNUMBER($G954),$G954&gt;=21),STDEV(INDEX($H$894:$H954,62-20):$H954)*SQRT(245),"")</f>
        <v/>
      </c>
      <c r="M954" s="52" t="str">
        <f aca="false">IF(AND(ISNUMBER($G954),$G954&gt;=60),MAX(INDEX($D$754:$D954,202-60):$D954),"")</f>
        <v/>
      </c>
      <c r="N954" s="52" t="str">
        <f aca="false">IF(AND(ISNUMBER($G954),$G954&gt;=60),MIN(INDEX($E$754:$E954,202-60):$E954),"")</f>
        <v/>
      </c>
      <c r="O954" s="53" t="str">
        <f aca="false">IF(OR(NOT(ISNUMBER($C954)),NOT(ISNUMBER($M954)),$M954=0),"",$C954/$M954-1)</f>
        <v/>
      </c>
      <c r="P954" s="54"/>
      <c r="Q954" s="53" t="str">
        <f aca="false">IF(NOT(ISNUMBER($P954)),"",IFERROR(PERCENTRANK($P$5:$P$1204,$P954),""))</f>
        <v/>
      </c>
    </row>
    <row r="955" customFormat="false" ht="15" hidden="false" customHeight="false" outlineLevel="0" collapsed="false">
      <c r="A955" s="55"/>
      <c r="B955" s="56"/>
      <c r="C955" s="57"/>
      <c r="D955" s="56"/>
      <c r="E955" s="56"/>
      <c r="F955" s="56"/>
      <c r="G955" s="50" t="str">
        <f aca="false">IF($A955="","",IF(ISNUMBER($G954),$G954+1,1))</f>
        <v/>
      </c>
      <c r="H955" s="51" t="str">
        <f aca="false">IF(OR(NOT(ISNUMBER($G955)),$G955&lt;2,NOT(ISNUMBER($C954)),$C954=0),"",$C955/$C954-1)</f>
        <v/>
      </c>
      <c r="I955" s="52" t="str">
        <f aca="false">IF(AND(ISNUMBER($G955),$G955&gt;=MA_SHORT),AVERAGE(INDEX($C$555:$C955,402-MA_SHORT):$C955),"")</f>
        <v/>
      </c>
      <c r="J955" s="52" t="str">
        <f aca="false">IF(AND(ISNUMBER($G955),$G955&gt;=MA_MED),AVERAGE(INDEX($C$555:$C955,402-MA_MED):$C955),"")</f>
        <v/>
      </c>
      <c r="K955" s="52" t="str">
        <f aca="false">IF(AND(ISNUMBER($G955),$G955&gt;=MA_LONG2),AVERAGE(INDEX($C$555:$C955,402-MA_LONG2):$C955),"")</f>
        <v/>
      </c>
      <c r="L955" s="53" t="str">
        <f aca="false">IF(AND(ISNUMBER($G955),$G955&gt;=21),STDEV(INDEX($H$895:$H955,62-20):$H955)*SQRT(245),"")</f>
        <v/>
      </c>
      <c r="M955" s="52" t="str">
        <f aca="false">IF(AND(ISNUMBER($G955),$G955&gt;=60),MAX(INDEX($D$755:$D955,202-60):$D955),"")</f>
        <v/>
      </c>
      <c r="N955" s="52" t="str">
        <f aca="false">IF(AND(ISNUMBER($G955),$G955&gt;=60),MIN(INDEX($E$755:$E955,202-60):$E955),"")</f>
        <v/>
      </c>
      <c r="O955" s="53" t="str">
        <f aca="false">IF(OR(NOT(ISNUMBER($C955)),NOT(ISNUMBER($M955)),$M955=0),"",$C955/$M955-1)</f>
        <v/>
      </c>
      <c r="P955" s="54"/>
      <c r="Q955" s="53" t="str">
        <f aca="false">IF(NOT(ISNUMBER($P955)),"",IFERROR(PERCENTRANK($P$5:$P$1204,$P955),""))</f>
        <v/>
      </c>
    </row>
    <row r="956" customFormat="false" ht="15" hidden="false" customHeight="false" outlineLevel="0" collapsed="false">
      <c r="A956" s="55"/>
      <c r="B956" s="56"/>
      <c r="C956" s="57"/>
      <c r="D956" s="56"/>
      <c r="E956" s="56"/>
      <c r="F956" s="56"/>
      <c r="G956" s="50" t="str">
        <f aca="false">IF($A956="","",IF(ISNUMBER($G955),$G955+1,1))</f>
        <v/>
      </c>
      <c r="H956" s="51" t="str">
        <f aca="false">IF(OR(NOT(ISNUMBER($G956)),$G956&lt;2,NOT(ISNUMBER($C955)),$C955=0),"",$C956/$C955-1)</f>
        <v/>
      </c>
      <c r="I956" s="52" t="str">
        <f aca="false">IF(AND(ISNUMBER($G956),$G956&gt;=MA_SHORT),AVERAGE(INDEX($C$556:$C956,402-MA_SHORT):$C956),"")</f>
        <v/>
      </c>
      <c r="J956" s="52" t="str">
        <f aca="false">IF(AND(ISNUMBER($G956),$G956&gt;=MA_MED),AVERAGE(INDEX($C$556:$C956,402-MA_MED):$C956),"")</f>
        <v/>
      </c>
      <c r="K956" s="52" t="str">
        <f aca="false">IF(AND(ISNUMBER($G956),$G956&gt;=MA_LONG2),AVERAGE(INDEX($C$556:$C956,402-MA_LONG2):$C956),"")</f>
        <v/>
      </c>
      <c r="L956" s="53" t="str">
        <f aca="false">IF(AND(ISNUMBER($G956),$G956&gt;=21),STDEV(INDEX($H$896:$H956,62-20):$H956)*SQRT(245),"")</f>
        <v/>
      </c>
      <c r="M956" s="52" t="str">
        <f aca="false">IF(AND(ISNUMBER($G956),$G956&gt;=60),MAX(INDEX($D$756:$D956,202-60):$D956),"")</f>
        <v/>
      </c>
      <c r="N956" s="52" t="str">
        <f aca="false">IF(AND(ISNUMBER($G956),$G956&gt;=60),MIN(INDEX($E$756:$E956,202-60):$E956),"")</f>
        <v/>
      </c>
      <c r="O956" s="53" t="str">
        <f aca="false">IF(OR(NOT(ISNUMBER($C956)),NOT(ISNUMBER($M956)),$M956=0),"",$C956/$M956-1)</f>
        <v/>
      </c>
      <c r="P956" s="54"/>
      <c r="Q956" s="53" t="str">
        <f aca="false">IF(NOT(ISNUMBER($P956)),"",IFERROR(PERCENTRANK($P$5:$P$1204,$P956),""))</f>
        <v/>
      </c>
    </row>
    <row r="957" customFormat="false" ht="15" hidden="false" customHeight="false" outlineLevel="0" collapsed="false">
      <c r="A957" s="55"/>
      <c r="B957" s="56"/>
      <c r="C957" s="57"/>
      <c r="D957" s="56"/>
      <c r="E957" s="56"/>
      <c r="F957" s="56"/>
      <c r="G957" s="50" t="str">
        <f aca="false">IF($A957="","",IF(ISNUMBER($G956),$G956+1,1))</f>
        <v/>
      </c>
      <c r="H957" s="51" t="str">
        <f aca="false">IF(OR(NOT(ISNUMBER($G957)),$G957&lt;2,NOT(ISNUMBER($C956)),$C956=0),"",$C957/$C956-1)</f>
        <v/>
      </c>
      <c r="I957" s="52" t="str">
        <f aca="false">IF(AND(ISNUMBER($G957),$G957&gt;=MA_SHORT),AVERAGE(INDEX($C$557:$C957,402-MA_SHORT):$C957),"")</f>
        <v/>
      </c>
      <c r="J957" s="52" t="str">
        <f aca="false">IF(AND(ISNUMBER($G957),$G957&gt;=MA_MED),AVERAGE(INDEX($C$557:$C957,402-MA_MED):$C957),"")</f>
        <v/>
      </c>
      <c r="K957" s="52" t="str">
        <f aca="false">IF(AND(ISNUMBER($G957),$G957&gt;=MA_LONG2),AVERAGE(INDEX($C$557:$C957,402-MA_LONG2):$C957),"")</f>
        <v/>
      </c>
      <c r="L957" s="53" t="str">
        <f aca="false">IF(AND(ISNUMBER($G957),$G957&gt;=21),STDEV(INDEX($H$897:$H957,62-20):$H957)*SQRT(245),"")</f>
        <v/>
      </c>
      <c r="M957" s="52" t="str">
        <f aca="false">IF(AND(ISNUMBER($G957),$G957&gt;=60),MAX(INDEX($D$757:$D957,202-60):$D957),"")</f>
        <v/>
      </c>
      <c r="N957" s="52" t="str">
        <f aca="false">IF(AND(ISNUMBER($G957),$G957&gt;=60),MIN(INDEX($E$757:$E957,202-60):$E957),"")</f>
        <v/>
      </c>
      <c r="O957" s="53" t="str">
        <f aca="false">IF(OR(NOT(ISNUMBER($C957)),NOT(ISNUMBER($M957)),$M957=0),"",$C957/$M957-1)</f>
        <v/>
      </c>
      <c r="P957" s="54"/>
      <c r="Q957" s="53" t="str">
        <f aca="false">IF(NOT(ISNUMBER($P957)),"",IFERROR(PERCENTRANK($P$5:$P$1204,$P957),""))</f>
        <v/>
      </c>
    </row>
    <row r="958" customFormat="false" ht="15" hidden="false" customHeight="false" outlineLevel="0" collapsed="false">
      <c r="A958" s="55"/>
      <c r="B958" s="56"/>
      <c r="C958" s="57"/>
      <c r="D958" s="56"/>
      <c r="E958" s="56"/>
      <c r="F958" s="56"/>
      <c r="G958" s="50" t="str">
        <f aca="false">IF($A958="","",IF(ISNUMBER($G957),$G957+1,1))</f>
        <v/>
      </c>
      <c r="H958" s="51" t="str">
        <f aca="false">IF(OR(NOT(ISNUMBER($G958)),$G958&lt;2,NOT(ISNUMBER($C957)),$C957=0),"",$C958/$C957-1)</f>
        <v/>
      </c>
      <c r="I958" s="52" t="str">
        <f aca="false">IF(AND(ISNUMBER($G958),$G958&gt;=MA_SHORT),AVERAGE(INDEX($C$558:$C958,402-MA_SHORT):$C958),"")</f>
        <v/>
      </c>
      <c r="J958" s="52" t="str">
        <f aca="false">IF(AND(ISNUMBER($G958),$G958&gt;=MA_MED),AVERAGE(INDEX($C$558:$C958,402-MA_MED):$C958),"")</f>
        <v/>
      </c>
      <c r="K958" s="52" t="str">
        <f aca="false">IF(AND(ISNUMBER($G958),$G958&gt;=MA_LONG2),AVERAGE(INDEX($C$558:$C958,402-MA_LONG2):$C958),"")</f>
        <v/>
      </c>
      <c r="L958" s="53" t="str">
        <f aca="false">IF(AND(ISNUMBER($G958),$G958&gt;=21),STDEV(INDEX($H$898:$H958,62-20):$H958)*SQRT(245),"")</f>
        <v/>
      </c>
      <c r="M958" s="52" t="str">
        <f aca="false">IF(AND(ISNUMBER($G958),$G958&gt;=60),MAX(INDEX($D$758:$D958,202-60):$D958),"")</f>
        <v/>
      </c>
      <c r="N958" s="52" t="str">
        <f aca="false">IF(AND(ISNUMBER($G958),$G958&gt;=60),MIN(INDEX($E$758:$E958,202-60):$E958),"")</f>
        <v/>
      </c>
      <c r="O958" s="53" t="str">
        <f aca="false">IF(OR(NOT(ISNUMBER($C958)),NOT(ISNUMBER($M958)),$M958=0),"",$C958/$M958-1)</f>
        <v/>
      </c>
      <c r="P958" s="54"/>
      <c r="Q958" s="53" t="str">
        <f aca="false">IF(NOT(ISNUMBER($P958)),"",IFERROR(PERCENTRANK($P$5:$P$1204,$P958),""))</f>
        <v/>
      </c>
    </row>
    <row r="959" customFormat="false" ht="15" hidden="false" customHeight="false" outlineLevel="0" collapsed="false">
      <c r="A959" s="55"/>
      <c r="B959" s="56"/>
      <c r="C959" s="57"/>
      <c r="D959" s="56"/>
      <c r="E959" s="56"/>
      <c r="F959" s="56"/>
      <c r="G959" s="50" t="str">
        <f aca="false">IF($A959="","",IF(ISNUMBER($G958),$G958+1,1))</f>
        <v/>
      </c>
      <c r="H959" s="51" t="str">
        <f aca="false">IF(OR(NOT(ISNUMBER($G959)),$G959&lt;2,NOT(ISNUMBER($C958)),$C958=0),"",$C959/$C958-1)</f>
        <v/>
      </c>
      <c r="I959" s="52" t="str">
        <f aca="false">IF(AND(ISNUMBER($G959),$G959&gt;=MA_SHORT),AVERAGE(INDEX($C$559:$C959,402-MA_SHORT):$C959),"")</f>
        <v/>
      </c>
      <c r="J959" s="52" t="str">
        <f aca="false">IF(AND(ISNUMBER($G959),$G959&gt;=MA_MED),AVERAGE(INDEX($C$559:$C959,402-MA_MED):$C959),"")</f>
        <v/>
      </c>
      <c r="K959" s="52" t="str">
        <f aca="false">IF(AND(ISNUMBER($G959),$G959&gt;=MA_LONG2),AVERAGE(INDEX($C$559:$C959,402-MA_LONG2):$C959),"")</f>
        <v/>
      </c>
      <c r="L959" s="53" t="str">
        <f aca="false">IF(AND(ISNUMBER($G959),$G959&gt;=21),STDEV(INDEX($H$899:$H959,62-20):$H959)*SQRT(245),"")</f>
        <v/>
      </c>
      <c r="M959" s="52" t="str">
        <f aca="false">IF(AND(ISNUMBER($G959),$G959&gt;=60),MAX(INDEX($D$759:$D959,202-60):$D959),"")</f>
        <v/>
      </c>
      <c r="N959" s="52" t="str">
        <f aca="false">IF(AND(ISNUMBER($G959),$G959&gt;=60),MIN(INDEX($E$759:$E959,202-60):$E959),"")</f>
        <v/>
      </c>
      <c r="O959" s="53" t="str">
        <f aca="false">IF(OR(NOT(ISNUMBER($C959)),NOT(ISNUMBER($M959)),$M959=0),"",$C959/$M959-1)</f>
        <v/>
      </c>
      <c r="P959" s="54"/>
      <c r="Q959" s="53" t="str">
        <f aca="false">IF(NOT(ISNUMBER($P959)),"",IFERROR(PERCENTRANK($P$5:$P$1204,$P959),""))</f>
        <v/>
      </c>
    </row>
    <row r="960" customFormat="false" ht="15" hidden="false" customHeight="false" outlineLevel="0" collapsed="false">
      <c r="A960" s="55"/>
      <c r="B960" s="56"/>
      <c r="C960" s="57"/>
      <c r="D960" s="56"/>
      <c r="E960" s="56"/>
      <c r="F960" s="56"/>
      <c r="G960" s="50" t="str">
        <f aca="false">IF($A960="","",IF(ISNUMBER($G959),$G959+1,1))</f>
        <v/>
      </c>
      <c r="H960" s="51" t="str">
        <f aca="false">IF(OR(NOT(ISNUMBER($G960)),$G960&lt;2,NOT(ISNUMBER($C959)),$C959=0),"",$C960/$C959-1)</f>
        <v/>
      </c>
      <c r="I960" s="52" t="str">
        <f aca="false">IF(AND(ISNUMBER($G960),$G960&gt;=MA_SHORT),AVERAGE(INDEX($C$560:$C960,402-MA_SHORT):$C960),"")</f>
        <v/>
      </c>
      <c r="J960" s="52" t="str">
        <f aca="false">IF(AND(ISNUMBER($G960),$G960&gt;=MA_MED),AVERAGE(INDEX($C$560:$C960,402-MA_MED):$C960),"")</f>
        <v/>
      </c>
      <c r="K960" s="52" t="str">
        <f aca="false">IF(AND(ISNUMBER($G960),$G960&gt;=MA_LONG2),AVERAGE(INDEX($C$560:$C960,402-MA_LONG2):$C960),"")</f>
        <v/>
      </c>
      <c r="L960" s="53" t="str">
        <f aca="false">IF(AND(ISNUMBER($G960),$G960&gt;=21),STDEV(INDEX($H$900:$H960,62-20):$H960)*SQRT(245),"")</f>
        <v/>
      </c>
      <c r="M960" s="52" t="str">
        <f aca="false">IF(AND(ISNUMBER($G960),$G960&gt;=60),MAX(INDEX($D$760:$D960,202-60):$D960),"")</f>
        <v/>
      </c>
      <c r="N960" s="52" t="str">
        <f aca="false">IF(AND(ISNUMBER($G960),$G960&gt;=60),MIN(INDEX($E$760:$E960,202-60):$E960),"")</f>
        <v/>
      </c>
      <c r="O960" s="53" t="str">
        <f aca="false">IF(OR(NOT(ISNUMBER($C960)),NOT(ISNUMBER($M960)),$M960=0),"",$C960/$M960-1)</f>
        <v/>
      </c>
      <c r="P960" s="54"/>
      <c r="Q960" s="53" t="str">
        <f aca="false">IF(NOT(ISNUMBER($P960)),"",IFERROR(PERCENTRANK($P$5:$P$1204,$P960),""))</f>
        <v/>
      </c>
    </row>
    <row r="961" customFormat="false" ht="15" hidden="false" customHeight="false" outlineLevel="0" collapsed="false">
      <c r="A961" s="55"/>
      <c r="B961" s="56"/>
      <c r="C961" s="57"/>
      <c r="D961" s="56"/>
      <c r="E961" s="56"/>
      <c r="F961" s="56"/>
      <c r="G961" s="50" t="str">
        <f aca="false">IF($A961="","",IF(ISNUMBER($G960),$G960+1,1))</f>
        <v/>
      </c>
      <c r="H961" s="51" t="str">
        <f aca="false">IF(OR(NOT(ISNUMBER($G961)),$G961&lt;2,NOT(ISNUMBER($C960)),$C960=0),"",$C961/$C960-1)</f>
        <v/>
      </c>
      <c r="I961" s="52" t="str">
        <f aca="false">IF(AND(ISNUMBER($G961),$G961&gt;=MA_SHORT),AVERAGE(INDEX($C$561:$C961,402-MA_SHORT):$C961),"")</f>
        <v/>
      </c>
      <c r="J961" s="52" t="str">
        <f aca="false">IF(AND(ISNUMBER($G961),$G961&gt;=MA_MED),AVERAGE(INDEX($C$561:$C961,402-MA_MED):$C961),"")</f>
        <v/>
      </c>
      <c r="K961" s="52" t="str">
        <f aca="false">IF(AND(ISNUMBER($G961),$G961&gt;=MA_LONG2),AVERAGE(INDEX($C$561:$C961,402-MA_LONG2):$C961),"")</f>
        <v/>
      </c>
      <c r="L961" s="53" t="str">
        <f aca="false">IF(AND(ISNUMBER($G961),$G961&gt;=21),STDEV(INDEX($H$901:$H961,62-20):$H961)*SQRT(245),"")</f>
        <v/>
      </c>
      <c r="M961" s="52" t="str">
        <f aca="false">IF(AND(ISNUMBER($G961),$G961&gt;=60),MAX(INDEX($D$761:$D961,202-60):$D961),"")</f>
        <v/>
      </c>
      <c r="N961" s="52" t="str">
        <f aca="false">IF(AND(ISNUMBER($G961),$G961&gt;=60),MIN(INDEX($E$761:$E961,202-60):$E961),"")</f>
        <v/>
      </c>
      <c r="O961" s="53" t="str">
        <f aca="false">IF(OR(NOT(ISNUMBER($C961)),NOT(ISNUMBER($M961)),$M961=0),"",$C961/$M961-1)</f>
        <v/>
      </c>
      <c r="P961" s="54"/>
      <c r="Q961" s="53" t="str">
        <f aca="false">IF(NOT(ISNUMBER($P961)),"",IFERROR(PERCENTRANK($P$5:$P$1204,$P961),""))</f>
        <v/>
      </c>
    </row>
    <row r="962" customFormat="false" ht="15" hidden="false" customHeight="false" outlineLevel="0" collapsed="false">
      <c r="A962" s="55"/>
      <c r="B962" s="56"/>
      <c r="C962" s="57"/>
      <c r="D962" s="56"/>
      <c r="E962" s="56"/>
      <c r="F962" s="56"/>
      <c r="G962" s="50" t="str">
        <f aca="false">IF($A962="","",IF(ISNUMBER($G961),$G961+1,1))</f>
        <v/>
      </c>
      <c r="H962" s="51" t="str">
        <f aca="false">IF(OR(NOT(ISNUMBER($G962)),$G962&lt;2,NOT(ISNUMBER($C961)),$C961=0),"",$C962/$C961-1)</f>
        <v/>
      </c>
      <c r="I962" s="52" t="str">
        <f aca="false">IF(AND(ISNUMBER($G962),$G962&gt;=MA_SHORT),AVERAGE(INDEX($C$562:$C962,402-MA_SHORT):$C962),"")</f>
        <v/>
      </c>
      <c r="J962" s="52" t="str">
        <f aca="false">IF(AND(ISNUMBER($G962),$G962&gt;=MA_MED),AVERAGE(INDEX($C$562:$C962,402-MA_MED):$C962),"")</f>
        <v/>
      </c>
      <c r="K962" s="52" t="str">
        <f aca="false">IF(AND(ISNUMBER($G962),$G962&gt;=MA_LONG2),AVERAGE(INDEX($C$562:$C962,402-MA_LONG2):$C962),"")</f>
        <v/>
      </c>
      <c r="L962" s="53" t="str">
        <f aca="false">IF(AND(ISNUMBER($G962),$G962&gt;=21),STDEV(INDEX($H$902:$H962,62-20):$H962)*SQRT(245),"")</f>
        <v/>
      </c>
      <c r="M962" s="52" t="str">
        <f aca="false">IF(AND(ISNUMBER($G962),$G962&gt;=60),MAX(INDEX($D$762:$D962,202-60):$D962),"")</f>
        <v/>
      </c>
      <c r="N962" s="52" t="str">
        <f aca="false">IF(AND(ISNUMBER($G962),$G962&gt;=60),MIN(INDEX($E$762:$E962,202-60):$E962),"")</f>
        <v/>
      </c>
      <c r="O962" s="53" t="str">
        <f aca="false">IF(OR(NOT(ISNUMBER($C962)),NOT(ISNUMBER($M962)),$M962=0),"",$C962/$M962-1)</f>
        <v/>
      </c>
      <c r="P962" s="54"/>
      <c r="Q962" s="53" t="str">
        <f aca="false">IF(NOT(ISNUMBER($P962)),"",IFERROR(PERCENTRANK($P$5:$P$1204,$P962),""))</f>
        <v/>
      </c>
    </row>
    <row r="963" customFormat="false" ht="15" hidden="false" customHeight="false" outlineLevel="0" collapsed="false">
      <c r="A963" s="55"/>
      <c r="B963" s="56"/>
      <c r="C963" s="57"/>
      <c r="D963" s="56"/>
      <c r="E963" s="56"/>
      <c r="F963" s="56"/>
      <c r="G963" s="50" t="str">
        <f aca="false">IF($A963="","",IF(ISNUMBER($G962),$G962+1,1))</f>
        <v/>
      </c>
      <c r="H963" s="51" t="str">
        <f aca="false">IF(OR(NOT(ISNUMBER($G963)),$G963&lt;2,NOT(ISNUMBER($C962)),$C962=0),"",$C963/$C962-1)</f>
        <v/>
      </c>
      <c r="I963" s="52" t="str">
        <f aca="false">IF(AND(ISNUMBER($G963),$G963&gt;=MA_SHORT),AVERAGE(INDEX($C$563:$C963,402-MA_SHORT):$C963),"")</f>
        <v/>
      </c>
      <c r="J963" s="52" t="str">
        <f aca="false">IF(AND(ISNUMBER($G963),$G963&gt;=MA_MED),AVERAGE(INDEX($C$563:$C963,402-MA_MED):$C963),"")</f>
        <v/>
      </c>
      <c r="K963" s="52" t="str">
        <f aca="false">IF(AND(ISNUMBER($G963),$G963&gt;=MA_LONG2),AVERAGE(INDEX($C$563:$C963,402-MA_LONG2):$C963),"")</f>
        <v/>
      </c>
      <c r="L963" s="53" t="str">
        <f aca="false">IF(AND(ISNUMBER($G963),$G963&gt;=21),STDEV(INDEX($H$903:$H963,62-20):$H963)*SQRT(245),"")</f>
        <v/>
      </c>
      <c r="M963" s="52" t="str">
        <f aca="false">IF(AND(ISNUMBER($G963),$G963&gt;=60),MAX(INDEX($D$763:$D963,202-60):$D963),"")</f>
        <v/>
      </c>
      <c r="N963" s="52" t="str">
        <f aca="false">IF(AND(ISNUMBER($G963),$G963&gt;=60),MIN(INDEX($E$763:$E963,202-60):$E963),"")</f>
        <v/>
      </c>
      <c r="O963" s="53" t="str">
        <f aca="false">IF(OR(NOT(ISNUMBER($C963)),NOT(ISNUMBER($M963)),$M963=0),"",$C963/$M963-1)</f>
        <v/>
      </c>
      <c r="P963" s="54"/>
      <c r="Q963" s="53" t="str">
        <f aca="false">IF(NOT(ISNUMBER($P963)),"",IFERROR(PERCENTRANK($P$5:$P$1204,$P963),""))</f>
        <v/>
      </c>
    </row>
    <row r="964" customFormat="false" ht="15" hidden="false" customHeight="false" outlineLevel="0" collapsed="false">
      <c r="A964" s="55"/>
      <c r="B964" s="56"/>
      <c r="C964" s="57"/>
      <c r="D964" s="56"/>
      <c r="E964" s="56"/>
      <c r="F964" s="56"/>
      <c r="G964" s="50" t="str">
        <f aca="false">IF($A964="","",IF(ISNUMBER($G963),$G963+1,1))</f>
        <v/>
      </c>
      <c r="H964" s="51" t="str">
        <f aca="false">IF(OR(NOT(ISNUMBER($G964)),$G964&lt;2,NOT(ISNUMBER($C963)),$C963=0),"",$C964/$C963-1)</f>
        <v/>
      </c>
      <c r="I964" s="52" t="str">
        <f aca="false">IF(AND(ISNUMBER($G964),$G964&gt;=MA_SHORT),AVERAGE(INDEX($C$564:$C964,402-MA_SHORT):$C964),"")</f>
        <v/>
      </c>
      <c r="J964" s="52" t="str">
        <f aca="false">IF(AND(ISNUMBER($G964),$G964&gt;=MA_MED),AVERAGE(INDEX($C$564:$C964,402-MA_MED):$C964),"")</f>
        <v/>
      </c>
      <c r="K964" s="52" t="str">
        <f aca="false">IF(AND(ISNUMBER($G964),$G964&gt;=MA_LONG2),AVERAGE(INDEX($C$564:$C964,402-MA_LONG2):$C964),"")</f>
        <v/>
      </c>
      <c r="L964" s="53" t="str">
        <f aca="false">IF(AND(ISNUMBER($G964),$G964&gt;=21),STDEV(INDEX($H$904:$H964,62-20):$H964)*SQRT(245),"")</f>
        <v/>
      </c>
      <c r="M964" s="52" t="str">
        <f aca="false">IF(AND(ISNUMBER($G964),$G964&gt;=60),MAX(INDEX($D$764:$D964,202-60):$D964),"")</f>
        <v/>
      </c>
      <c r="N964" s="52" t="str">
        <f aca="false">IF(AND(ISNUMBER($G964),$G964&gt;=60),MIN(INDEX($E$764:$E964,202-60):$E964),"")</f>
        <v/>
      </c>
      <c r="O964" s="53" t="str">
        <f aca="false">IF(OR(NOT(ISNUMBER($C964)),NOT(ISNUMBER($M964)),$M964=0),"",$C964/$M964-1)</f>
        <v/>
      </c>
      <c r="P964" s="54"/>
      <c r="Q964" s="53" t="str">
        <f aca="false">IF(NOT(ISNUMBER($P964)),"",IFERROR(PERCENTRANK($P$5:$P$1204,$P964),""))</f>
        <v/>
      </c>
    </row>
    <row r="965" customFormat="false" ht="15" hidden="false" customHeight="false" outlineLevel="0" collapsed="false">
      <c r="A965" s="55"/>
      <c r="B965" s="56"/>
      <c r="C965" s="57"/>
      <c r="D965" s="56"/>
      <c r="E965" s="56"/>
      <c r="F965" s="56"/>
      <c r="G965" s="50" t="str">
        <f aca="false">IF($A965="","",IF(ISNUMBER($G964),$G964+1,1))</f>
        <v/>
      </c>
      <c r="H965" s="51" t="str">
        <f aca="false">IF(OR(NOT(ISNUMBER($G965)),$G965&lt;2,NOT(ISNUMBER($C964)),$C964=0),"",$C965/$C964-1)</f>
        <v/>
      </c>
      <c r="I965" s="52" t="str">
        <f aca="false">IF(AND(ISNUMBER($G965),$G965&gt;=MA_SHORT),AVERAGE(INDEX($C$565:$C965,402-MA_SHORT):$C965),"")</f>
        <v/>
      </c>
      <c r="J965" s="52" t="str">
        <f aca="false">IF(AND(ISNUMBER($G965),$G965&gt;=MA_MED),AVERAGE(INDEX($C$565:$C965,402-MA_MED):$C965),"")</f>
        <v/>
      </c>
      <c r="K965" s="52" t="str">
        <f aca="false">IF(AND(ISNUMBER($G965),$G965&gt;=MA_LONG2),AVERAGE(INDEX($C$565:$C965,402-MA_LONG2):$C965),"")</f>
        <v/>
      </c>
      <c r="L965" s="53" t="str">
        <f aca="false">IF(AND(ISNUMBER($G965),$G965&gt;=21),STDEV(INDEX($H$905:$H965,62-20):$H965)*SQRT(245),"")</f>
        <v/>
      </c>
      <c r="M965" s="52" t="str">
        <f aca="false">IF(AND(ISNUMBER($G965),$G965&gt;=60),MAX(INDEX($D$765:$D965,202-60):$D965),"")</f>
        <v/>
      </c>
      <c r="N965" s="52" t="str">
        <f aca="false">IF(AND(ISNUMBER($G965),$G965&gt;=60),MIN(INDEX($E$765:$E965,202-60):$E965),"")</f>
        <v/>
      </c>
      <c r="O965" s="53" t="str">
        <f aca="false">IF(OR(NOT(ISNUMBER($C965)),NOT(ISNUMBER($M965)),$M965=0),"",$C965/$M965-1)</f>
        <v/>
      </c>
      <c r="P965" s="54"/>
      <c r="Q965" s="53" t="str">
        <f aca="false">IF(NOT(ISNUMBER($P965)),"",IFERROR(PERCENTRANK($P$5:$P$1204,$P965),""))</f>
        <v/>
      </c>
    </row>
    <row r="966" customFormat="false" ht="15" hidden="false" customHeight="false" outlineLevel="0" collapsed="false">
      <c r="A966" s="55"/>
      <c r="B966" s="56"/>
      <c r="C966" s="57"/>
      <c r="D966" s="56"/>
      <c r="E966" s="56"/>
      <c r="F966" s="56"/>
      <c r="G966" s="50" t="str">
        <f aca="false">IF($A966="","",IF(ISNUMBER($G965),$G965+1,1))</f>
        <v/>
      </c>
      <c r="H966" s="51" t="str">
        <f aca="false">IF(OR(NOT(ISNUMBER($G966)),$G966&lt;2,NOT(ISNUMBER($C965)),$C965=0),"",$C966/$C965-1)</f>
        <v/>
      </c>
      <c r="I966" s="52" t="str">
        <f aca="false">IF(AND(ISNUMBER($G966),$G966&gt;=MA_SHORT),AVERAGE(INDEX($C$566:$C966,402-MA_SHORT):$C966),"")</f>
        <v/>
      </c>
      <c r="J966" s="52" t="str">
        <f aca="false">IF(AND(ISNUMBER($G966),$G966&gt;=MA_MED),AVERAGE(INDEX($C$566:$C966,402-MA_MED):$C966),"")</f>
        <v/>
      </c>
      <c r="K966" s="52" t="str">
        <f aca="false">IF(AND(ISNUMBER($G966),$G966&gt;=MA_LONG2),AVERAGE(INDEX($C$566:$C966,402-MA_LONG2):$C966),"")</f>
        <v/>
      </c>
      <c r="L966" s="53" t="str">
        <f aca="false">IF(AND(ISNUMBER($G966),$G966&gt;=21),STDEV(INDEX($H$906:$H966,62-20):$H966)*SQRT(245),"")</f>
        <v/>
      </c>
      <c r="M966" s="52" t="str">
        <f aca="false">IF(AND(ISNUMBER($G966),$G966&gt;=60),MAX(INDEX($D$766:$D966,202-60):$D966),"")</f>
        <v/>
      </c>
      <c r="N966" s="52" t="str">
        <f aca="false">IF(AND(ISNUMBER($G966),$G966&gt;=60),MIN(INDEX($E$766:$E966,202-60):$E966),"")</f>
        <v/>
      </c>
      <c r="O966" s="53" t="str">
        <f aca="false">IF(OR(NOT(ISNUMBER($C966)),NOT(ISNUMBER($M966)),$M966=0),"",$C966/$M966-1)</f>
        <v/>
      </c>
      <c r="P966" s="54"/>
      <c r="Q966" s="53" t="str">
        <f aca="false">IF(NOT(ISNUMBER($P966)),"",IFERROR(PERCENTRANK($P$5:$P$1204,$P966),""))</f>
        <v/>
      </c>
    </row>
    <row r="967" customFormat="false" ht="15" hidden="false" customHeight="false" outlineLevel="0" collapsed="false">
      <c r="A967" s="55"/>
      <c r="B967" s="56"/>
      <c r="C967" s="57"/>
      <c r="D967" s="56"/>
      <c r="E967" s="56"/>
      <c r="F967" s="56"/>
      <c r="G967" s="50" t="str">
        <f aca="false">IF($A967="","",IF(ISNUMBER($G966),$G966+1,1))</f>
        <v/>
      </c>
      <c r="H967" s="51" t="str">
        <f aca="false">IF(OR(NOT(ISNUMBER($G967)),$G967&lt;2,NOT(ISNUMBER($C966)),$C966=0),"",$C967/$C966-1)</f>
        <v/>
      </c>
      <c r="I967" s="52" t="str">
        <f aca="false">IF(AND(ISNUMBER($G967),$G967&gt;=MA_SHORT),AVERAGE(INDEX($C$567:$C967,402-MA_SHORT):$C967),"")</f>
        <v/>
      </c>
      <c r="J967" s="52" t="str">
        <f aca="false">IF(AND(ISNUMBER($G967),$G967&gt;=MA_MED),AVERAGE(INDEX($C$567:$C967,402-MA_MED):$C967),"")</f>
        <v/>
      </c>
      <c r="K967" s="52" t="str">
        <f aca="false">IF(AND(ISNUMBER($G967),$G967&gt;=MA_LONG2),AVERAGE(INDEX($C$567:$C967,402-MA_LONG2):$C967),"")</f>
        <v/>
      </c>
      <c r="L967" s="53" t="str">
        <f aca="false">IF(AND(ISNUMBER($G967),$G967&gt;=21),STDEV(INDEX($H$907:$H967,62-20):$H967)*SQRT(245),"")</f>
        <v/>
      </c>
      <c r="M967" s="52" t="str">
        <f aca="false">IF(AND(ISNUMBER($G967),$G967&gt;=60),MAX(INDEX($D$767:$D967,202-60):$D967),"")</f>
        <v/>
      </c>
      <c r="N967" s="52" t="str">
        <f aca="false">IF(AND(ISNUMBER($G967),$G967&gt;=60),MIN(INDEX($E$767:$E967,202-60):$E967),"")</f>
        <v/>
      </c>
      <c r="O967" s="53" t="str">
        <f aca="false">IF(OR(NOT(ISNUMBER($C967)),NOT(ISNUMBER($M967)),$M967=0),"",$C967/$M967-1)</f>
        <v/>
      </c>
      <c r="P967" s="54"/>
      <c r="Q967" s="53" t="str">
        <f aca="false">IF(NOT(ISNUMBER($P967)),"",IFERROR(PERCENTRANK($P$5:$P$1204,$P967),""))</f>
        <v/>
      </c>
    </row>
    <row r="968" customFormat="false" ht="15" hidden="false" customHeight="false" outlineLevel="0" collapsed="false">
      <c r="A968" s="55"/>
      <c r="B968" s="56"/>
      <c r="C968" s="57"/>
      <c r="D968" s="56"/>
      <c r="E968" s="56"/>
      <c r="F968" s="56"/>
      <c r="G968" s="50" t="str">
        <f aca="false">IF($A968="","",IF(ISNUMBER($G967),$G967+1,1))</f>
        <v/>
      </c>
      <c r="H968" s="51" t="str">
        <f aca="false">IF(OR(NOT(ISNUMBER($G968)),$G968&lt;2,NOT(ISNUMBER($C967)),$C967=0),"",$C968/$C967-1)</f>
        <v/>
      </c>
      <c r="I968" s="52" t="str">
        <f aca="false">IF(AND(ISNUMBER($G968),$G968&gt;=MA_SHORT),AVERAGE(INDEX($C$568:$C968,402-MA_SHORT):$C968),"")</f>
        <v/>
      </c>
      <c r="J968" s="52" t="str">
        <f aca="false">IF(AND(ISNUMBER($G968),$G968&gt;=MA_MED),AVERAGE(INDEX($C$568:$C968,402-MA_MED):$C968),"")</f>
        <v/>
      </c>
      <c r="K968" s="52" t="str">
        <f aca="false">IF(AND(ISNUMBER($G968),$G968&gt;=MA_LONG2),AVERAGE(INDEX($C$568:$C968,402-MA_LONG2):$C968),"")</f>
        <v/>
      </c>
      <c r="L968" s="53" t="str">
        <f aca="false">IF(AND(ISNUMBER($G968),$G968&gt;=21),STDEV(INDEX($H$908:$H968,62-20):$H968)*SQRT(245),"")</f>
        <v/>
      </c>
      <c r="M968" s="52" t="str">
        <f aca="false">IF(AND(ISNUMBER($G968),$G968&gt;=60),MAX(INDEX($D$768:$D968,202-60):$D968),"")</f>
        <v/>
      </c>
      <c r="N968" s="52" t="str">
        <f aca="false">IF(AND(ISNUMBER($G968),$G968&gt;=60),MIN(INDEX($E$768:$E968,202-60):$E968),"")</f>
        <v/>
      </c>
      <c r="O968" s="53" t="str">
        <f aca="false">IF(OR(NOT(ISNUMBER($C968)),NOT(ISNUMBER($M968)),$M968=0),"",$C968/$M968-1)</f>
        <v/>
      </c>
      <c r="P968" s="54"/>
      <c r="Q968" s="53" t="str">
        <f aca="false">IF(NOT(ISNUMBER($P968)),"",IFERROR(PERCENTRANK($P$5:$P$1204,$P968),""))</f>
        <v/>
      </c>
    </row>
    <row r="969" customFormat="false" ht="15" hidden="false" customHeight="false" outlineLevel="0" collapsed="false">
      <c r="A969" s="55"/>
      <c r="B969" s="56"/>
      <c r="C969" s="57"/>
      <c r="D969" s="56"/>
      <c r="E969" s="56"/>
      <c r="F969" s="56"/>
      <c r="G969" s="50" t="str">
        <f aca="false">IF($A969="","",IF(ISNUMBER($G968),$G968+1,1))</f>
        <v/>
      </c>
      <c r="H969" s="51" t="str">
        <f aca="false">IF(OR(NOT(ISNUMBER($G969)),$G969&lt;2,NOT(ISNUMBER($C968)),$C968=0),"",$C969/$C968-1)</f>
        <v/>
      </c>
      <c r="I969" s="52" t="str">
        <f aca="false">IF(AND(ISNUMBER($G969),$G969&gt;=MA_SHORT),AVERAGE(INDEX($C$569:$C969,402-MA_SHORT):$C969),"")</f>
        <v/>
      </c>
      <c r="J969" s="52" t="str">
        <f aca="false">IF(AND(ISNUMBER($G969),$G969&gt;=MA_MED),AVERAGE(INDEX($C$569:$C969,402-MA_MED):$C969),"")</f>
        <v/>
      </c>
      <c r="K969" s="52" t="str">
        <f aca="false">IF(AND(ISNUMBER($G969),$G969&gt;=MA_LONG2),AVERAGE(INDEX($C$569:$C969,402-MA_LONG2):$C969),"")</f>
        <v/>
      </c>
      <c r="L969" s="53" t="str">
        <f aca="false">IF(AND(ISNUMBER($G969),$G969&gt;=21),STDEV(INDEX($H$909:$H969,62-20):$H969)*SQRT(245),"")</f>
        <v/>
      </c>
      <c r="M969" s="52" t="str">
        <f aca="false">IF(AND(ISNUMBER($G969),$G969&gt;=60),MAX(INDEX($D$769:$D969,202-60):$D969),"")</f>
        <v/>
      </c>
      <c r="N969" s="52" t="str">
        <f aca="false">IF(AND(ISNUMBER($G969),$G969&gt;=60),MIN(INDEX($E$769:$E969,202-60):$E969),"")</f>
        <v/>
      </c>
      <c r="O969" s="53" t="str">
        <f aca="false">IF(OR(NOT(ISNUMBER($C969)),NOT(ISNUMBER($M969)),$M969=0),"",$C969/$M969-1)</f>
        <v/>
      </c>
      <c r="P969" s="54"/>
      <c r="Q969" s="53" t="str">
        <f aca="false">IF(NOT(ISNUMBER($P969)),"",IFERROR(PERCENTRANK($P$5:$P$1204,$P969),""))</f>
        <v/>
      </c>
    </row>
    <row r="970" customFormat="false" ht="15" hidden="false" customHeight="false" outlineLevel="0" collapsed="false">
      <c r="A970" s="55"/>
      <c r="B970" s="56"/>
      <c r="C970" s="57"/>
      <c r="D970" s="56"/>
      <c r="E970" s="56"/>
      <c r="F970" s="56"/>
      <c r="G970" s="50" t="str">
        <f aca="false">IF($A970="","",IF(ISNUMBER($G969),$G969+1,1))</f>
        <v/>
      </c>
      <c r="H970" s="51" t="str">
        <f aca="false">IF(OR(NOT(ISNUMBER($G970)),$G970&lt;2,NOT(ISNUMBER($C969)),$C969=0),"",$C970/$C969-1)</f>
        <v/>
      </c>
      <c r="I970" s="52" t="str">
        <f aca="false">IF(AND(ISNUMBER($G970),$G970&gt;=MA_SHORT),AVERAGE(INDEX($C$570:$C970,402-MA_SHORT):$C970),"")</f>
        <v/>
      </c>
      <c r="J970" s="52" t="str">
        <f aca="false">IF(AND(ISNUMBER($G970),$G970&gt;=MA_MED),AVERAGE(INDEX($C$570:$C970,402-MA_MED):$C970),"")</f>
        <v/>
      </c>
      <c r="K970" s="52" t="str">
        <f aca="false">IF(AND(ISNUMBER($G970),$G970&gt;=MA_LONG2),AVERAGE(INDEX($C$570:$C970,402-MA_LONG2):$C970),"")</f>
        <v/>
      </c>
      <c r="L970" s="53" t="str">
        <f aca="false">IF(AND(ISNUMBER($G970),$G970&gt;=21),STDEV(INDEX($H$910:$H970,62-20):$H970)*SQRT(245),"")</f>
        <v/>
      </c>
      <c r="M970" s="52" t="str">
        <f aca="false">IF(AND(ISNUMBER($G970),$G970&gt;=60),MAX(INDEX($D$770:$D970,202-60):$D970),"")</f>
        <v/>
      </c>
      <c r="N970" s="52" t="str">
        <f aca="false">IF(AND(ISNUMBER($G970),$G970&gt;=60),MIN(INDEX($E$770:$E970,202-60):$E970),"")</f>
        <v/>
      </c>
      <c r="O970" s="53" t="str">
        <f aca="false">IF(OR(NOT(ISNUMBER($C970)),NOT(ISNUMBER($M970)),$M970=0),"",$C970/$M970-1)</f>
        <v/>
      </c>
      <c r="P970" s="54"/>
      <c r="Q970" s="53" t="str">
        <f aca="false">IF(NOT(ISNUMBER($P970)),"",IFERROR(PERCENTRANK($P$5:$P$1204,$P970),""))</f>
        <v/>
      </c>
    </row>
    <row r="971" customFormat="false" ht="15" hidden="false" customHeight="false" outlineLevel="0" collapsed="false">
      <c r="A971" s="55"/>
      <c r="B971" s="56"/>
      <c r="C971" s="57"/>
      <c r="D971" s="56"/>
      <c r="E971" s="56"/>
      <c r="F971" s="56"/>
      <c r="G971" s="50" t="str">
        <f aca="false">IF($A971="","",IF(ISNUMBER($G970),$G970+1,1))</f>
        <v/>
      </c>
      <c r="H971" s="51" t="str">
        <f aca="false">IF(OR(NOT(ISNUMBER($G971)),$G971&lt;2,NOT(ISNUMBER($C970)),$C970=0),"",$C971/$C970-1)</f>
        <v/>
      </c>
      <c r="I971" s="52" t="str">
        <f aca="false">IF(AND(ISNUMBER($G971),$G971&gt;=MA_SHORT),AVERAGE(INDEX($C$571:$C971,402-MA_SHORT):$C971),"")</f>
        <v/>
      </c>
      <c r="J971" s="52" t="str">
        <f aca="false">IF(AND(ISNUMBER($G971),$G971&gt;=MA_MED),AVERAGE(INDEX($C$571:$C971,402-MA_MED):$C971),"")</f>
        <v/>
      </c>
      <c r="K971" s="52" t="str">
        <f aca="false">IF(AND(ISNUMBER($G971),$G971&gt;=MA_LONG2),AVERAGE(INDEX($C$571:$C971,402-MA_LONG2):$C971),"")</f>
        <v/>
      </c>
      <c r="L971" s="53" t="str">
        <f aca="false">IF(AND(ISNUMBER($G971),$G971&gt;=21),STDEV(INDEX($H$911:$H971,62-20):$H971)*SQRT(245),"")</f>
        <v/>
      </c>
      <c r="M971" s="52" t="str">
        <f aca="false">IF(AND(ISNUMBER($G971),$G971&gt;=60),MAX(INDEX($D$771:$D971,202-60):$D971),"")</f>
        <v/>
      </c>
      <c r="N971" s="52" t="str">
        <f aca="false">IF(AND(ISNUMBER($G971),$G971&gt;=60),MIN(INDEX($E$771:$E971,202-60):$E971),"")</f>
        <v/>
      </c>
      <c r="O971" s="53" t="str">
        <f aca="false">IF(OR(NOT(ISNUMBER($C971)),NOT(ISNUMBER($M971)),$M971=0),"",$C971/$M971-1)</f>
        <v/>
      </c>
      <c r="P971" s="54"/>
      <c r="Q971" s="53" t="str">
        <f aca="false">IF(NOT(ISNUMBER($P971)),"",IFERROR(PERCENTRANK($P$5:$P$1204,$P971),""))</f>
        <v/>
      </c>
    </row>
    <row r="972" customFormat="false" ht="15" hidden="false" customHeight="false" outlineLevel="0" collapsed="false">
      <c r="A972" s="55"/>
      <c r="B972" s="56"/>
      <c r="C972" s="57"/>
      <c r="D972" s="56"/>
      <c r="E972" s="56"/>
      <c r="F972" s="56"/>
      <c r="G972" s="50" t="str">
        <f aca="false">IF($A972="","",IF(ISNUMBER($G971),$G971+1,1))</f>
        <v/>
      </c>
      <c r="H972" s="51" t="str">
        <f aca="false">IF(OR(NOT(ISNUMBER($G972)),$G972&lt;2,NOT(ISNUMBER($C971)),$C971=0),"",$C972/$C971-1)</f>
        <v/>
      </c>
      <c r="I972" s="52" t="str">
        <f aca="false">IF(AND(ISNUMBER($G972),$G972&gt;=MA_SHORT),AVERAGE(INDEX($C$572:$C972,402-MA_SHORT):$C972),"")</f>
        <v/>
      </c>
      <c r="J972" s="52" t="str">
        <f aca="false">IF(AND(ISNUMBER($G972),$G972&gt;=MA_MED),AVERAGE(INDEX($C$572:$C972,402-MA_MED):$C972),"")</f>
        <v/>
      </c>
      <c r="K972" s="52" t="str">
        <f aca="false">IF(AND(ISNUMBER($G972),$G972&gt;=MA_LONG2),AVERAGE(INDEX($C$572:$C972,402-MA_LONG2):$C972),"")</f>
        <v/>
      </c>
      <c r="L972" s="53" t="str">
        <f aca="false">IF(AND(ISNUMBER($G972),$G972&gt;=21),STDEV(INDEX($H$912:$H972,62-20):$H972)*SQRT(245),"")</f>
        <v/>
      </c>
      <c r="M972" s="52" t="str">
        <f aca="false">IF(AND(ISNUMBER($G972),$G972&gt;=60),MAX(INDEX($D$772:$D972,202-60):$D972),"")</f>
        <v/>
      </c>
      <c r="N972" s="52" t="str">
        <f aca="false">IF(AND(ISNUMBER($G972),$G972&gt;=60),MIN(INDEX($E$772:$E972,202-60):$E972),"")</f>
        <v/>
      </c>
      <c r="O972" s="53" t="str">
        <f aca="false">IF(OR(NOT(ISNUMBER($C972)),NOT(ISNUMBER($M972)),$M972=0),"",$C972/$M972-1)</f>
        <v/>
      </c>
      <c r="P972" s="54"/>
      <c r="Q972" s="53" t="str">
        <f aca="false">IF(NOT(ISNUMBER($P972)),"",IFERROR(PERCENTRANK($P$5:$P$1204,$P972),""))</f>
        <v/>
      </c>
    </row>
    <row r="973" customFormat="false" ht="15" hidden="false" customHeight="false" outlineLevel="0" collapsed="false">
      <c r="A973" s="55"/>
      <c r="B973" s="56"/>
      <c r="C973" s="57"/>
      <c r="D973" s="56"/>
      <c r="E973" s="56"/>
      <c r="F973" s="56"/>
      <c r="G973" s="50" t="str">
        <f aca="false">IF($A973="","",IF(ISNUMBER($G972),$G972+1,1))</f>
        <v/>
      </c>
      <c r="H973" s="51" t="str">
        <f aca="false">IF(OR(NOT(ISNUMBER($G973)),$G973&lt;2,NOT(ISNUMBER($C972)),$C972=0),"",$C973/$C972-1)</f>
        <v/>
      </c>
      <c r="I973" s="52" t="str">
        <f aca="false">IF(AND(ISNUMBER($G973),$G973&gt;=MA_SHORT),AVERAGE(INDEX($C$573:$C973,402-MA_SHORT):$C973),"")</f>
        <v/>
      </c>
      <c r="J973" s="52" t="str">
        <f aca="false">IF(AND(ISNUMBER($G973),$G973&gt;=MA_MED),AVERAGE(INDEX($C$573:$C973,402-MA_MED):$C973),"")</f>
        <v/>
      </c>
      <c r="K973" s="52" t="str">
        <f aca="false">IF(AND(ISNUMBER($G973),$G973&gt;=MA_LONG2),AVERAGE(INDEX($C$573:$C973,402-MA_LONG2):$C973),"")</f>
        <v/>
      </c>
      <c r="L973" s="53" t="str">
        <f aca="false">IF(AND(ISNUMBER($G973),$G973&gt;=21),STDEV(INDEX($H$913:$H973,62-20):$H973)*SQRT(245),"")</f>
        <v/>
      </c>
      <c r="M973" s="52" t="str">
        <f aca="false">IF(AND(ISNUMBER($G973),$G973&gt;=60),MAX(INDEX($D$773:$D973,202-60):$D973),"")</f>
        <v/>
      </c>
      <c r="N973" s="52" t="str">
        <f aca="false">IF(AND(ISNUMBER($G973),$G973&gt;=60),MIN(INDEX($E$773:$E973,202-60):$E973),"")</f>
        <v/>
      </c>
      <c r="O973" s="53" t="str">
        <f aca="false">IF(OR(NOT(ISNUMBER($C973)),NOT(ISNUMBER($M973)),$M973=0),"",$C973/$M973-1)</f>
        <v/>
      </c>
      <c r="P973" s="54"/>
      <c r="Q973" s="53" t="str">
        <f aca="false">IF(NOT(ISNUMBER($P973)),"",IFERROR(PERCENTRANK($P$5:$P$1204,$P973),""))</f>
        <v/>
      </c>
    </row>
    <row r="974" customFormat="false" ht="15" hidden="false" customHeight="false" outlineLevel="0" collapsed="false">
      <c r="A974" s="55"/>
      <c r="B974" s="56"/>
      <c r="C974" s="57"/>
      <c r="D974" s="56"/>
      <c r="E974" s="56"/>
      <c r="F974" s="56"/>
      <c r="G974" s="50" t="str">
        <f aca="false">IF($A974="","",IF(ISNUMBER($G973),$G973+1,1))</f>
        <v/>
      </c>
      <c r="H974" s="51" t="str">
        <f aca="false">IF(OR(NOT(ISNUMBER($G974)),$G974&lt;2,NOT(ISNUMBER($C973)),$C973=0),"",$C974/$C973-1)</f>
        <v/>
      </c>
      <c r="I974" s="52" t="str">
        <f aca="false">IF(AND(ISNUMBER($G974),$G974&gt;=MA_SHORT),AVERAGE(INDEX($C$574:$C974,402-MA_SHORT):$C974),"")</f>
        <v/>
      </c>
      <c r="J974" s="52" t="str">
        <f aca="false">IF(AND(ISNUMBER($G974),$G974&gt;=MA_MED),AVERAGE(INDEX($C$574:$C974,402-MA_MED):$C974),"")</f>
        <v/>
      </c>
      <c r="K974" s="52" t="str">
        <f aca="false">IF(AND(ISNUMBER($G974),$G974&gt;=MA_LONG2),AVERAGE(INDEX($C$574:$C974,402-MA_LONG2):$C974),"")</f>
        <v/>
      </c>
      <c r="L974" s="53" t="str">
        <f aca="false">IF(AND(ISNUMBER($G974),$G974&gt;=21),STDEV(INDEX($H$914:$H974,62-20):$H974)*SQRT(245),"")</f>
        <v/>
      </c>
      <c r="M974" s="52" t="str">
        <f aca="false">IF(AND(ISNUMBER($G974),$G974&gt;=60),MAX(INDEX($D$774:$D974,202-60):$D974),"")</f>
        <v/>
      </c>
      <c r="N974" s="52" t="str">
        <f aca="false">IF(AND(ISNUMBER($G974),$G974&gt;=60),MIN(INDEX($E$774:$E974,202-60):$E974),"")</f>
        <v/>
      </c>
      <c r="O974" s="53" t="str">
        <f aca="false">IF(OR(NOT(ISNUMBER($C974)),NOT(ISNUMBER($M974)),$M974=0),"",$C974/$M974-1)</f>
        <v/>
      </c>
      <c r="P974" s="54"/>
      <c r="Q974" s="53" t="str">
        <f aca="false">IF(NOT(ISNUMBER($P974)),"",IFERROR(PERCENTRANK($P$5:$P$1204,$P974),""))</f>
        <v/>
      </c>
    </row>
    <row r="975" customFormat="false" ht="15" hidden="false" customHeight="false" outlineLevel="0" collapsed="false">
      <c r="A975" s="55"/>
      <c r="B975" s="56"/>
      <c r="C975" s="57"/>
      <c r="D975" s="56"/>
      <c r="E975" s="56"/>
      <c r="F975" s="56"/>
      <c r="G975" s="50" t="str">
        <f aca="false">IF($A975="","",IF(ISNUMBER($G974),$G974+1,1))</f>
        <v/>
      </c>
      <c r="H975" s="51" t="str">
        <f aca="false">IF(OR(NOT(ISNUMBER($G975)),$G975&lt;2,NOT(ISNUMBER($C974)),$C974=0),"",$C975/$C974-1)</f>
        <v/>
      </c>
      <c r="I975" s="52" t="str">
        <f aca="false">IF(AND(ISNUMBER($G975),$G975&gt;=MA_SHORT),AVERAGE(INDEX($C$575:$C975,402-MA_SHORT):$C975),"")</f>
        <v/>
      </c>
      <c r="J975" s="52" t="str">
        <f aca="false">IF(AND(ISNUMBER($G975),$G975&gt;=MA_MED),AVERAGE(INDEX($C$575:$C975,402-MA_MED):$C975),"")</f>
        <v/>
      </c>
      <c r="K975" s="52" t="str">
        <f aca="false">IF(AND(ISNUMBER($G975),$G975&gt;=MA_LONG2),AVERAGE(INDEX($C$575:$C975,402-MA_LONG2):$C975),"")</f>
        <v/>
      </c>
      <c r="L975" s="53" t="str">
        <f aca="false">IF(AND(ISNUMBER($G975),$G975&gt;=21),STDEV(INDEX($H$915:$H975,62-20):$H975)*SQRT(245),"")</f>
        <v/>
      </c>
      <c r="M975" s="52" t="str">
        <f aca="false">IF(AND(ISNUMBER($G975),$G975&gt;=60),MAX(INDEX($D$775:$D975,202-60):$D975),"")</f>
        <v/>
      </c>
      <c r="N975" s="52" t="str">
        <f aca="false">IF(AND(ISNUMBER($G975),$G975&gt;=60),MIN(INDEX($E$775:$E975,202-60):$E975),"")</f>
        <v/>
      </c>
      <c r="O975" s="53" t="str">
        <f aca="false">IF(OR(NOT(ISNUMBER($C975)),NOT(ISNUMBER($M975)),$M975=0),"",$C975/$M975-1)</f>
        <v/>
      </c>
      <c r="P975" s="54"/>
      <c r="Q975" s="53" t="str">
        <f aca="false">IF(NOT(ISNUMBER($P975)),"",IFERROR(PERCENTRANK($P$5:$P$1204,$P975),""))</f>
        <v/>
      </c>
    </row>
    <row r="976" customFormat="false" ht="15" hidden="false" customHeight="false" outlineLevel="0" collapsed="false">
      <c r="A976" s="55"/>
      <c r="B976" s="56"/>
      <c r="C976" s="57"/>
      <c r="D976" s="56"/>
      <c r="E976" s="56"/>
      <c r="F976" s="56"/>
      <c r="G976" s="50" t="str">
        <f aca="false">IF($A976="","",IF(ISNUMBER($G975),$G975+1,1))</f>
        <v/>
      </c>
      <c r="H976" s="51" t="str">
        <f aca="false">IF(OR(NOT(ISNUMBER($G976)),$G976&lt;2,NOT(ISNUMBER($C975)),$C975=0),"",$C976/$C975-1)</f>
        <v/>
      </c>
      <c r="I976" s="52" t="str">
        <f aca="false">IF(AND(ISNUMBER($G976),$G976&gt;=MA_SHORT),AVERAGE(INDEX($C$576:$C976,402-MA_SHORT):$C976),"")</f>
        <v/>
      </c>
      <c r="J976" s="52" t="str">
        <f aca="false">IF(AND(ISNUMBER($G976),$G976&gt;=MA_MED),AVERAGE(INDEX($C$576:$C976,402-MA_MED):$C976),"")</f>
        <v/>
      </c>
      <c r="K976" s="52" t="str">
        <f aca="false">IF(AND(ISNUMBER($G976),$G976&gt;=MA_LONG2),AVERAGE(INDEX($C$576:$C976,402-MA_LONG2):$C976),"")</f>
        <v/>
      </c>
      <c r="L976" s="53" t="str">
        <f aca="false">IF(AND(ISNUMBER($G976),$G976&gt;=21),STDEV(INDEX($H$916:$H976,62-20):$H976)*SQRT(245),"")</f>
        <v/>
      </c>
      <c r="M976" s="52" t="str">
        <f aca="false">IF(AND(ISNUMBER($G976),$G976&gt;=60),MAX(INDEX($D$776:$D976,202-60):$D976),"")</f>
        <v/>
      </c>
      <c r="N976" s="52" t="str">
        <f aca="false">IF(AND(ISNUMBER($G976),$G976&gt;=60),MIN(INDEX($E$776:$E976,202-60):$E976),"")</f>
        <v/>
      </c>
      <c r="O976" s="53" t="str">
        <f aca="false">IF(OR(NOT(ISNUMBER($C976)),NOT(ISNUMBER($M976)),$M976=0),"",$C976/$M976-1)</f>
        <v/>
      </c>
      <c r="P976" s="54"/>
      <c r="Q976" s="53" t="str">
        <f aca="false">IF(NOT(ISNUMBER($P976)),"",IFERROR(PERCENTRANK($P$5:$P$1204,$P976),""))</f>
        <v/>
      </c>
    </row>
    <row r="977" customFormat="false" ht="15" hidden="false" customHeight="false" outlineLevel="0" collapsed="false">
      <c r="A977" s="55"/>
      <c r="B977" s="56"/>
      <c r="C977" s="57"/>
      <c r="D977" s="56"/>
      <c r="E977" s="56"/>
      <c r="F977" s="56"/>
      <c r="G977" s="50" t="str">
        <f aca="false">IF($A977="","",IF(ISNUMBER($G976),$G976+1,1))</f>
        <v/>
      </c>
      <c r="H977" s="51" t="str">
        <f aca="false">IF(OR(NOT(ISNUMBER($G977)),$G977&lt;2,NOT(ISNUMBER($C976)),$C976=0),"",$C977/$C976-1)</f>
        <v/>
      </c>
      <c r="I977" s="52" t="str">
        <f aca="false">IF(AND(ISNUMBER($G977),$G977&gt;=MA_SHORT),AVERAGE(INDEX($C$577:$C977,402-MA_SHORT):$C977),"")</f>
        <v/>
      </c>
      <c r="J977" s="52" t="str">
        <f aca="false">IF(AND(ISNUMBER($G977),$G977&gt;=MA_MED),AVERAGE(INDEX($C$577:$C977,402-MA_MED):$C977),"")</f>
        <v/>
      </c>
      <c r="K977" s="52" t="str">
        <f aca="false">IF(AND(ISNUMBER($G977),$G977&gt;=MA_LONG2),AVERAGE(INDEX($C$577:$C977,402-MA_LONG2):$C977),"")</f>
        <v/>
      </c>
      <c r="L977" s="53" t="str">
        <f aca="false">IF(AND(ISNUMBER($G977),$G977&gt;=21),STDEV(INDEX($H$917:$H977,62-20):$H977)*SQRT(245),"")</f>
        <v/>
      </c>
      <c r="M977" s="52" t="str">
        <f aca="false">IF(AND(ISNUMBER($G977),$G977&gt;=60),MAX(INDEX($D$777:$D977,202-60):$D977),"")</f>
        <v/>
      </c>
      <c r="N977" s="52" t="str">
        <f aca="false">IF(AND(ISNUMBER($G977),$G977&gt;=60),MIN(INDEX($E$777:$E977,202-60):$E977),"")</f>
        <v/>
      </c>
      <c r="O977" s="53" t="str">
        <f aca="false">IF(OR(NOT(ISNUMBER($C977)),NOT(ISNUMBER($M977)),$M977=0),"",$C977/$M977-1)</f>
        <v/>
      </c>
      <c r="P977" s="54"/>
      <c r="Q977" s="53" t="str">
        <f aca="false">IF(NOT(ISNUMBER($P977)),"",IFERROR(PERCENTRANK($P$5:$P$1204,$P977),""))</f>
        <v/>
      </c>
    </row>
    <row r="978" customFormat="false" ht="15" hidden="false" customHeight="false" outlineLevel="0" collapsed="false">
      <c r="A978" s="55"/>
      <c r="B978" s="56"/>
      <c r="C978" s="57"/>
      <c r="D978" s="56"/>
      <c r="E978" s="56"/>
      <c r="F978" s="56"/>
      <c r="G978" s="50" t="str">
        <f aca="false">IF($A978="","",IF(ISNUMBER($G977),$G977+1,1))</f>
        <v/>
      </c>
      <c r="H978" s="51" t="str">
        <f aca="false">IF(OR(NOT(ISNUMBER($G978)),$G978&lt;2,NOT(ISNUMBER($C977)),$C977=0),"",$C978/$C977-1)</f>
        <v/>
      </c>
      <c r="I978" s="52" t="str">
        <f aca="false">IF(AND(ISNUMBER($G978),$G978&gt;=MA_SHORT),AVERAGE(INDEX($C$578:$C978,402-MA_SHORT):$C978),"")</f>
        <v/>
      </c>
      <c r="J978" s="52" t="str">
        <f aca="false">IF(AND(ISNUMBER($G978),$G978&gt;=MA_MED),AVERAGE(INDEX($C$578:$C978,402-MA_MED):$C978),"")</f>
        <v/>
      </c>
      <c r="K978" s="52" t="str">
        <f aca="false">IF(AND(ISNUMBER($G978),$G978&gt;=MA_LONG2),AVERAGE(INDEX($C$578:$C978,402-MA_LONG2):$C978),"")</f>
        <v/>
      </c>
      <c r="L978" s="53" t="str">
        <f aca="false">IF(AND(ISNUMBER($G978),$G978&gt;=21),STDEV(INDEX($H$918:$H978,62-20):$H978)*SQRT(245),"")</f>
        <v/>
      </c>
      <c r="M978" s="52" t="str">
        <f aca="false">IF(AND(ISNUMBER($G978),$G978&gt;=60),MAX(INDEX($D$778:$D978,202-60):$D978),"")</f>
        <v/>
      </c>
      <c r="N978" s="52" t="str">
        <f aca="false">IF(AND(ISNUMBER($G978),$G978&gt;=60),MIN(INDEX($E$778:$E978,202-60):$E978),"")</f>
        <v/>
      </c>
      <c r="O978" s="53" t="str">
        <f aca="false">IF(OR(NOT(ISNUMBER($C978)),NOT(ISNUMBER($M978)),$M978=0),"",$C978/$M978-1)</f>
        <v/>
      </c>
      <c r="P978" s="54"/>
      <c r="Q978" s="53" t="str">
        <f aca="false">IF(NOT(ISNUMBER($P978)),"",IFERROR(PERCENTRANK($P$5:$P$1204,$P978),""))</f>
        <v/>
      </c>
    </row>
    <row r="979" customFormat="false" ht="15" hidden="false" customHeight="false" outlineLevel="0" collapsed="false">
      <c r="A979" s="55"/>
      <c r="B979" s="56"/>
      <c r="C979" s="57"/>
      <c r="D979" s="56"/>
      <c r="E979" s="56"/>
      <c r="F979" s="56"/>
      <c r="G979" s="50" t="str">
        <f aca="false">IF($A979="","",IF(ISNUMBER($G978),$G978+1,1))</f>
        <v/>
      </c>
      <c r="H979" s="51" t="str">
        <f aca="false">IF(OR(NOT(ISNUMBER($G979)),$G979&lt;2,NOT(ISNUMBER($C978)),$C978=0),"",$C979/$C978-1)</f>
        <v/>
      </c>
      <c r="I979" s="52" t="str">
        <f aca="false">IF(AND(ISNUMBER($G979),$G979&gt;=MA_SHORT),AVERAGE(INDEX($C$579:$C979,402-MA_SHORT):$C979),"")</f>
        <v/>
      </c>
      <c r="J979" s="52" t="str">
        <f aca="false">IF(AND(ISNUMBER($G979),$G979&gt;=MA_MED),AVERAGE(INDEX($C$579:$C979,402-MA_MED):$C979),"")</f>
        <v/>
      </c>
      <c r="K979" s="52" t="str">
        <f aca="false">IF(AND(ISNUMBER($G979),$G979&gt;=MA_LONG2),AVERAGE(INDEX($C$579:$C979,402-MA_LONG2):$C979),"")</f>
        <v/>
      </c>
      <c r="L979" s="53" t="str">
        <f aca="false">IF(AND(ISNUMBER($G979),$G979&gt;=21),STDEV(INDEX($H$919:$H979,62-20):$H979)*SQRT(245),"")</f>
        <v/>
      </c>
      <c r="M979" s="52" t="str">
        <f aca="false">IF(AND(ISNUMBER($G979),$G979&gt;=60),MAX(INDEX($D$779:$D979,202-60):$D979),"")</f>
        <v/>
      </c>
      <c r="N979" s="52" t="str">
        <f aca="false">IF(AND(ISNUMBER($G979),$G979&gt;=60),MIN(INDEX($E$779:$E979,202-60):$E979),"")</f>
        <v/>
      </c>
      <c r="O979" s="53" t="str">
        <f aca="false">IF(OR(NOT(ISNUMBER($C979)),NOT(ISNUMBER($M979)),$M979=0),"",$C979/$M979-1)</f>
        <v/>
      </c>
      <c r="P979" s="54"/>
      <c r="Q979" s="53" t="str">
        <f aca="false">IF(NOT(ISNUMBER($P979)),"",IFERROR(PERCENTRANK($P$5:$P$1204,$P979),""))</f>
        <v/>
      </c>
    </row>
    <row r="980" customFormat="false" ht="15" hidden="false" customHeight="false" outlineLevel="0" collapsed="false">
      <c r="A980" s="55"/>
      <c r="B980" s="56"/>
      <c r="C980" s="57"/>
      <c r="D980" s="56"/>
      <c r="E980" s="56"/>
      <c r="F980" s="56"/>
      <c r="G980" s="50" t="str">
        <f aca="false">IF($A980="","",IF(ISNUMBER($G979),$G979+1,1))</f>
        <v/>
      </c>
      <c r="H980" s="51" t="str">
        <f aca="false">IF(OR(NOT(ISNUMBER($G980)),$G980&lt;2,NOT(ISNUMBER($C979)),$C979=0),"",$C980/$C979-1)</f>
        <v/>
      </c>
      <c r="I980" s="52" t="str">
        <f aca="false">IF(AND(ISNUMBER($G980),$G980&gt;=MA_SHORT),AVERAGE(INDEX($C$580:$C980,402-MA_SHORT):$C980),"")</f>
        <v/>
      </c>
      <c r="J980" s="52" t="str">
        <f aca="false">IF(AND(ISNUMBER($G980),$G980&gt;=MA_MED),AVERAGE(INDEX($C$580:$C980,402-MA_MED):$C980),"")</f>
        <v/>
      </c>
      <c r="K980" s="52" t="str">
        <f aca="false">IF(AND(ISNUMBER($G980),$G980&gt;=MA_LONG2),AVERAGE(INDEX($C$580:$C980,402-MA_LONG2):$C980),"")</f>
        <v/>
      </c>
      <c r="L980" s="53" t="str">
        <f aca="false">IF(AND(ISNUMBER($G980),$G980&gt;=21),STDEV(INDEX($H$920:$H980,62-20):$H980)*SQRT(245),"")</f>
        <v/>
      </c>
      <c r="M980" s="52" t="str">
        <f aca="false">IF(AND(ISNUMBER($G980),$G980&gt;=60),MAX(INDEX($D$780:$D980,202-60):$D980),"")</f>
        <v/>
      </c>
      <c r="N980" s="52" t="str">
        <f aca="false">IF(AND(ISNUMBER($G980),$G980&gt;=60),MIN(INDEX($E$780:$E980,202-60):$E980),"")</f>
        <v/>
      </c>
      <c r="O980" s="53" t="str">
        <f aca="false">IF(OR(NOT(ISNUMBER($C980)),NOT(ISNUMBER($M980)),$M980=0),"",$C980/$M980-1)</f>
        <v/>
      </c>
      <c r="P980" s="54"/>
      <c r="Q980" s="53" t="str">
        <f aca="false">IF(NOT(ISNUMBER($P980)),"",IFERROR(PERCENTRANK($P$5:$P$1204,$P980),""))</f>
        <v/>
      </c>
    </row>
    <row r="981" customFormat="false" ht="15" hidden="false" customHeight="false" outlineLevel="0" collapsed="false">
      <c r="A981" s="55"/>
      <c r="B981" s="56"/>
      <c r="C981" s="57"/>
      <c r="D981" s="56"/>
      <c r="E981" s="56"/>
      <c r="F981" s="56"/>
      <c r="G981" s="50" t="str">
        <f aca="false">IF($A981="","",IF(ISNUMBER($G980),$G980+1,1))</f>
        <v/>
      </c>
      <c r="H981" s="51" t="str">
        <f aca="false">IF(OR(NOT(ISNUMBER($G981)),$G981&lt;2,NOT(ISNUMBER($C980)),$C980=0),"",$C981/$C980-1)</f>
        <v/>
      </c>
      <c r="I981" s="52" t="str">
        <f aca="false">IF(AND(ISNUMBER($G981),$G981&gt;=MA_SHORT),AVERAGE(INDEX($C$581:$C981,402-MA_SHORT):$C981),"")</f>
        <v/>
      </c>
      <c r="J981" s="52" t="str">
        <f aca="false">IF(AND(ISNUMBER($G981),$G981&gt;=MA_MED),AVERAGE(INDEX($C$581:$C981,402-MA_MED):$C981),"")</f>
        <v/>
      </c>
      <c r="K981" s="52" t="str">
        <f aca="false">IF(AND(ISNUMBER($G981),$G981&gt;=MA_LONG2),AVERAGE(INDEX($C$581:$C981,402-MA_LONG2):$C981),"")</f>
        <v/>
      </c>
      <c r="L981" s="53" t="str">
        <f aca="false">IF(AND(ISNUMBER($G981),$G981&gt;=21),STDEV(INDEX($H$921:$H981,62-20):$H981)*SQRT(245),"")</f>
        <v/>
      </c>
      <c r="M981" s="52" t="str">
        <f aca="false">IF(AND(ISNUMBER($G981),$G981&gt;=60),MAX(INDEX($D$781:$D981,202-60):$D981),"")</f>
        <v/>
      </c>
      <c r="N981" s="52" t="str">
        <f aca="false">IF(AND(ISNUMBER($G981),$G981&gt;=60),MIN(INDEX($E$781:$E981,202-60):$E981),"")</f>
        <v/>
      </c>
      <c r="O981" s="53" t="str">
        <f aca="false">IF(OR(NOT(ISNUMBER($C981)),NOT(ISNUMBER($M981)),$M981=0),"",$C981/$M981-1)</f>
        <v/>
      </c>
      <c r="P981" s="54"/>
      <c r="Q981" s="53" t="str">
        <f aca="false">IF(NOT(ISNUMBER($P981)),"",IFERROR(PERCENTRANK($P$5:$P$1204,$P981),""))</f>
        <v/>
      </c>
    </row>
    <row r="982" customFormat="false" ht="15" hidden="false" customHeight="false" outlineLevel="0" collapsed="false">
      <c r="A982" s="55"/>
      <c r="B982" s="56"/>
      <c r="C982" s="57"/>
      <c r="D982" s="56"/>
      <c r="E982" s="56"/>
      <c r="F982" s="56"/>
      <c r="G982" s="50" t="str">
        <f aca="false">IF($A982="","",IF(ISNUMBER($G981),$G981+1,1))</f>
        <v/>
      </c>
      <c r="H982" s="51" t="str">
        <f aca="false">IF(OR(NOT(ISNUMBER($G982)),$G982&lt;2,NOT(ISNUMBER($C981)),$C981=0),"",$C982/$C981-1)</f>
        <v/>
      </c>
      <c r="I982" s="52" t="str">
        <f aca="false">IF(AND(ISNUMBER($G982),$G982&gt;=MA_SHORT),AVERAGE(INDEX($C$582:$C982,402-MA_SHORT):$C982),"")</f>
        <v/>
      </c>
      <c r="J982" s="52" t="str">
        <f aca="false">IF(AND(ISNUMBER($G982),$G982&gt;=MA_MED),AVERAGE(INDEX($C$582:$C982,402-MA_MED):$C982),"")</f>
        <v/>
      </c>
      <c r="K982" s="52" t="str">
        <f aca="false">IF(AND(ISNUMBER($G982),$G982&gt;=MA_LONG2),AVERAGE(INDEX($C$582:$C982,402-MA_LONG2):$C982),"")</f>
        <v/>
      </c>
      <c r="L982" s="53" t="str">
        <f aca="false">IF(AND(ISNUMBER($G982),$G982&gt;=21),STDEV(INDEX($H$922:$H982,62-20):$H982)*SQRT(245),"")</f>
        <v/>
      </c>
      <c r="M982" s="52" t="str">
        <f aca="false">IF(AND(ISNUMBER($G982),$G982&gt;=60),MAX(INDEX($D$782:$D982,202-60):$D982),"")</f>
        <v/>
      </c>
      <c r="N982" s="52" t="str">
        <f aca="false">IF(AND(ISNUMBER($G982),$G982&gt;=60),MIN(INDEX($E$782:$E982,202-60):$E982),"")</f>
        <v/>
      </c>
      <c r="O982" s="53" t="str">
        <f aca="false">IF(OR(NOT(ISNUMBER($C982)),NOT(ISNUMBER($M982)),$M982=0),"",$C982/$M982-1)</f>
        <v/>
      </c>
      <c r="P982" s="54"/>
      <c r="Q982" s="53" t="str">
        <f aca="false">IF(NOT(ISNUMBER($P982)),"",IFERROR(PERCENTRANK($P$5:$P$1204,$P982),""))</f>
        <v/>
      </c>
    </row>
    <row r="983" customFormat="false" ht="15" hidden="false" customHeight="false" outlineLevel="0" collapsed="false">
      <c r="A983" s="55"/>
      <c r="B983" s="56"/>
      <c r="C983" s="57"/>
      <c r="D983" s="56"/>
      <c r="E983" s="56"/>
      <c r="F983" s="56"/>
      <c r="G983" s="50" t="str">
        <f aca="false">IF($A983="","",IF(ISNUMBER($G982),$G982+1,1))</f>
        <v/>
      </c>
      <c r="H983" s="51" t="str">
        <f aca="false">IF(OR(NOT(ISNUMBER($G983)),$G983&lt;2,NOT(ISNUMBER($C982)),$C982=0),"",$C983/$C982-1)</f>
        <v/>
      </c>
      <c r="I983" s="52" t="str">
        <f aca="false">IF(AND(ISNUMBER($G983),$G983&gt;=MA_SHORT),AVERAGE(INDEX($C$583:$C983,402-MA_SHORT):$C983),"")</f>
        <v/>
      </c>
      <c r="J983" s="52" t="str">
        <f aca="false">IF(AND(ISNUMBER($G983),$G983&gt;=MA_MED),AVERAGE(INDEX($C$583:$C983,402-MA_MED):$C983),"")</f>
        <v/>
      </c>
      <c r="K983" s="52" t="str">
        <f aca="false">IF(AND(ISNUMBER($G983),$G983&gt;=MA_LONG2),AVERAGE(INDEX($C$583:$C983,402-MA_LONG2):$C983),"")</f>
        <v/>
      </c>
      <c r="L983" s="53" t="str">
        <f aca="false">IF(AND(ISNUMBER($G983),$G983&gt;=21),STDEV(INDEX($H$923:$H983,62-20):$H983)*SQRT(245),"")</f>
        <v/>
      </c>
      <c r="M983" s="52" t="str">
        <f aca="false">IF(AND(ISNUMBER($G983),$G983&gt;=60),MAX(INDEX($D$783:$D983,202-60):$D983),"")</f>
        <v/>
      </c>
      <c r="N983" s="52" t="str">
        <f aca="false">IF(AND(ISNUMBER($G983),$G983&gt;=60),MIN(INDEX($E$783:$E983,202-60):$E983),"")</f>
        <v/>
      </c>
      <c r="O983" s="53" t="str">
        <f aca="false">IF(OR(NOT(ISNUMBER($C983)),NOT(ISNUMBER($M983)),$M983=0),"",$C983/$M983-1)</f>
        <v/>
      </c>
      <c r="P983" s="54"/>
      <c r="Q983" s="53" t="str">
        <f aca="false">IF(NOT(ISNUMBER($P983)),"",IFERROR(PERCENTRANK($P$5:$P$1204,$P983),""))</f>
        <v/>
      </c>
    </row>
    <row r="984" customFormat="false" ht="15" hidden="false" customHeight="false" outlineLevel="0" collapsed="false">
      <c r="A984" s="55"/>
      <c r="B984" s="56"/>
      <c r="C984" s="57"/>
      <c r="D984" s="56"/>
      <c r="E984" s="56"/>
      <c r="F984" s="56"/>
      <c r="G984" s="50" t="str">
        <f aca="false">IF($A984="","",IF(ISNUMBER($G983),$G983+1,1))</f>
        <v/>
      </c>
      <c r="H984" s="51" t="str">
        <f aca="false">IF(OR(NOT(ISNUMBER($G984)),$G984&lt;2,NOT(ISNUMBER($C983)),$C983=0),"",$C984/$C983-1)</f>
        <v/>
      </c>
      <c r="I984" s="52" t="str">
        <f aca="false">IF(AND(ISNUMBER($G984),$G984&gt;=MA_SHORT),AVERAGE(INDEX($C$584:$C984,402-MA_SHORT):$C984),"")</f>
        <v/>
      </c>
      <c r="J984" s="52" t="str">
        <f aca="false">IF(AND(ISNUMBER($G984),$G984&gt;=MA_MED),AVERAGE(INDEX($C$584:$C984,402-MA_MED):$C984),"")</f>
        <v/>
      </c>
      <c r="K984" s="52" t="str">
        <f aca="false">IF(AND(ISNUMBER($G984),$G984&gt;=MA_LONG2),AVERAGE(INDEX($C$584:$C984,402-MA_LONG2):$C984),"")</f>
        <v/>
      </c>
      <c r="L984" s="53" t="str">
        <f aca="false">IF(AND(ISNUMBER($G984),$G984&gt;=21),STDEV(INDEX($H$924:$H984,62-20):$H984)*SQRT(245),"")</f>
        <v/>
      </c>
      <c r="M984" s="52" t="str">
        <f aca="false">IF(AND(ISNUMBER($G984),$G984&gt;=60),MAX(INDEX($D$784:$D984,202-60):$D984),"")</f>
        <v/>
      </c>
      <c r="N984" s="52" t="str">
        <f aca="false">IF(AND(ISNUMBER($G984),$G984&gt;=60),MIN(INDEX($E$784:$E984,202-60):$E984),"")</f>
        <v/>
      </c>
      <c r="O984" s="53" t="str">
        <f aca="false">IF(OR(NOT(ISNUMBER($C984)),NOT(ISNUMBER($M984)),$M984=0),"",$C984/$M984-1)</f>
        <v/>
      </c>
      <c r="P984" s="54"/>
      <c r="Q984" s="53" t="str">
        <f aca="false">IF(NOT(ISNUMBER($P984)),"",IFERROR(PERCENTRANK($P$5:$P$1204,$P984),""))</f>
        <v/>
      </c>
    </row>
    <row r="985" customFormat="false" ht="15" hidden="false" customHeight="false" outlineLevel="0" collapsed="false">
      <c r="A985" s="55"/>
      <c r="B985" s="56"/>
      <c r="C985" s="57"/>
      <c r="D985" s="56"/>
      <c r="E985" s="56"/>
      <c r="F985" s="56"/>
      <c r="G985" s="50" t="str">
        <f aca="false">IF($A985="","",IF(ISNUMBER($G984),$G984+1,1))</f>
        <v/>
      </c>
      <c r="H985" s="51" t="str">
        <f aca="false">IF(OR(NOT(ISNUMBER($G985)),$G985&lt;2,NOT(ISNUMBER($C984)),$C984=0),"",$C985/$C984-1)</f>
        <v/>
      </c>
      <c r="I985" s="52" t="str">
        <f aca="false">IF(AND(ISNUMBER($G985),$G985&gt;=MA_SHORT),AVERAGE(INDEX($C$585:$C985,402-MA_SHORT):$C985),"")</f>
        <v/>
      </c>
      <c r="J985" s="52" t="str">
        <f aca="false">IF(AND(ISNUMBER($G985),$G985&gt;=MA_MED),AVERAGE(INDEX($C$585:$C985,402-MA_MED):$C985),"")</f>
        <v/>
      </c>
      <c r="K985" s="52" t="str">
        <f aca="false">IF(AND(ISNUMBER($G985),$G985&gt;=MA_LONG2),AVERAGE(INDEX($C$585:$C985,402-MA_LONG2):$C985),"")</f>
        <v/>
      </c>
      <c r="L985" s="53" t="str">
        <f aca="false">IF(AND(ISNUMBER($G985),$G985&gt;=21),STDEV(INDEX($H$925:$H985,62-20):$H985)*SQRT(245),"")</f>
        <v/>
      </c>
      <c r="M985" s="52" t="str">
        <f aca="false">IF(AND(ISNUMBER($G985),$G985&gt;=60),MAX(INDEX($D$785:$D985,202-60):$D985),"")</f>
        <v/>
      </c>
      <c r="N985" s="52" t="str">
        <f aca="false">IF(AND(ISNUMBER($G985),$G985&gt;=60),MIN(INDEX($E$785:$E985,202-60):$E985),"")</f>
        <v/>
      </c>
      <c r="O985" s="53" t="str">
        <f aca="false">IF(OR(NOT(ISNUMBER($C985)),NOT(ISNUMBER($M985)),$M985=0),"",$C985/$M985-1)</f>
        <v/>
      </c>
      <c r="P985" s="54"/>
      <c r="Q985" s="53" t="str">
        <f aca="false">IF(NOT(ISNUMBER($P985)),"",IFERROR(PERCENTRANK($P$5:$P$1204,$P985),""))</f>
        <v/>
      </c>
    </row>
    <row r="986" customFormat="false" ht="15" hidden="false" customHeight="false" outlineLevel="0" collapsed="false">
      <c r="A986" s="55"/>
      <c r="B986" s="56"/>
      <c r="C986" s="57"/>
      <c r="D986" s="56"/>
      <c r="E986" s="56"/>
      <c r="F986" s="56"/>
      <c r="G986" s="50" t="str">
        <f aca="false">IF($A986="","",IF(ISNUMBER($G985),$G985+1,1))</f>
        <v/>
      </c>
      <c r="H986" s="51" t="str">
        <f aca="false">IF(OR(NOT(ISNUMBER($G986)),$G986&lt;2,NOT(ISNUMBER($C985)),$C985=0),"",$C986/$C985-1)</f>
        <v/>
      </c>
      <c r="I986" s="52" t="str">
        <f aca="false">IF(AND(ISNUMBER($G986),$G986&gt;=MA_SHORT),AVERAGE(INDEX($C$586:$C986,402-MA_SHORT):$C986),"")</f>
        <v/>
      </c>
      <c r="J986" s="52" t="str">
        <f aca="false">IF(AND(ISNUMBER($G986),$G986&gt;=MA_MED),AVERAGE(INDEX($C$586:$C986,402-MA_MED):$C986),"")</f>
        <v/>
      </c>
      <c r="K986" s="52" t="str">
        <f aca="false">IF(AND(ISNUMBER($G986),$G986&gt;=MA_LONG2),AVERAGE(INDEX($C$586:$C986,402-MA_LONG2):$C986),"")</f>
        <v/>
      </c>
      <c r="L986" s="53" t="str">
        <f aca="false">IF(AND(ISNUMBER($G986),$G986&gt;=21),STDEV(INDEX($H$926:$H986,62-20):$H986)*SQRT(245),"")</f>
        <v/>
      </c>
      <c r="M986" s="52" t="str">
        <f aca="false">IF(AND(ISNUMBER($G986),$G986&gt;=60),MAX(INDEX($D$786:$D986,202-60):$D986),"")</f>
        <v/>
      </c>
      <c r="N986" s="52" t="str">
        <f aca="false">IF(AND(ISNUMBER($G986),$G986&gt;=60),MIN(INDEX($E$786:$E986,202-60):$E986),"")</f>
        <v/>
      </c>
      <c r="O986" s="53" t="str">
        <f aca="false">IF(OR(NOT(ISNUMBER($C986)),NOT(ISNUMBER($M986)),$M986=0),"",$C986/$M986-1)</f>
        <v/>
      </c>
      <c r="P986" s="54"/>
      <c r="Q986" s="53" t="str">
        <f aca="false">IF(NOT(ISNUMBER($P986)),"",IFERROR(PERCENTRANK($P$5:$P$1204,$P986),""))</f>
        <v/>
      </c>
    </row>
    <row r="987" customFormat="false" ht="15" hidden="false" customHeight="false" outlineLevel="0" collapsed="false">
      <c r="A987" s="55"/>
      <c r="B987" s="56"/>
      <c r="C987" s="57"/>
      <c r="D987" s="56"/>
      <c r="E987" s="56"/>
      <c r="F987" s="56"/>
      <c r="G987" s="50" t="str">
        <f aca="false">IF($A987="","",IF(ISNUMBER($G986),$G986+1,1))</f>
        <v/>
      </c>
      <c r="H987" s="51" t="str">
        <f aca="false">IF(OR(NOT(ISNUMBER($G987)),$G987&lt;2,NOT(ISNUMBER($C986)),$C986=0),"",$C987/$C986-1)</f>
        <v/>
      </c>
      <c r="I987" s="52" t="str">
        <f aca="false">IF(AND(ISNUMBER($G987),$G987&gt;=MA_SHORT),AVERAGE(INDEX($C$587:$C987,402-MA_SHORT):$C987),"")</f>
        <v/>
      </c>
      <c r="J987" s="52" t="str">
        <f aca="false">IF(AND(ISNUMBER($G987),$G987&gt;=MA_MED),AVERAGE(INDEX($C$587:$C987,402-MA_MED):$C987),"")</f>
        <v/>
      </c>
      <c r="K987" s="52" t="str">
        <f aca="false">IF(AND(ISNUMBER($G987),$G987&gt;=MA_LONG2),AVERAGE(INDEX($C$587:$C987,402-MA_LONG2):$C987),"")</f>
        <v/>
      </c>
      <c r="L987" s="53" t="str">
        <f aca="false">IF(AND(ISNUMBER($G987),$G987&gt;=21),STDEV(INDEX($H$927:$H987,62-20):$H987)*SQRT(245),"")</f>
        <v/>
      </c>
      <c r="M987" s="52" t="str">
        <f aca="false">IF(AND(ISNUMBER($G987),$G987&gt;=60),MAX(INDEX($D$787:$D987,202-60):$D987),"")</f>
        <v/>
      </c>
      <c r="N987" s="52" t="str">
        <f aca="false">IF(AND(ISNUMBER($G987),$G987&gt;=60),MIN(INDEX($E$787:$E987,202-60):$E987),"")</f>
        <v/>
      </c>
      <c r="O987" s="53" t="str">
        <f aca="false">IF(OR(NOT(ISNUMBER($C987)),NOT(ISNUMBER($M987)),$M987=0),"",$C987/$M987-1)</f>
        <v/>
      </c>
      <c r="P987" s="54"/>
      <c r="Q987" s="53" t="str">
        <f aca="false">IF(NOT(ISNUMBER($P987)),"",IFERROR(PERCENTRANK($P$5:$P$1204,$P987),""))</f>
        <v/>
      </c>
    </row>
    <row r="988" customFormat="false" ht="15" hidden="false" customHeight="false" outlineLevel="0" collapsed="false">
      <c r="A988" s="55"/>
      <c r="B988" s="56"/>
      <c r="C988" s="57"/>
      <c r="D988" s="56"/>
      <c r="E988" s="56"/>
      <c r="F988" s="56"/>
      <c r="G988" s="50" t="str">
        <f aca="false">IF($A988="","",IF(ISNUMBER($G987),$G987+1,1))</f>
        <v/>
      </c>
      <c r="H988" s="51" t="str">
        <f aca="false">IF(OR(NOT(ISNUMBER($G988)),$G988&lt;2,NOT(ISNUMBER($C987)),$C987=0),"",$C988/$C987-1)</f>
        <v/>
      </c>
      <c r="I988" s="52" t="str">
        <f aca="false">IF(AND(ISNUMBER($G988),$G988&gt;=MA_SHORT),AVERAGE(INDEX($C$588:$C988,402-MA_SHORT):$C988),"")</f>
        <v/>
      </c>
      <c r="J988" s="52" t="str">
        <f aca="false">IF(AND(ISNUMBER($G988),$G988&gt;=MA_MED),AVERAGE(INDEX($C$588:$C988,402-MA_MED):$C988),"")</f>
        <v/>
      </c>
      <c r="K988" s="52" t="str">
        <f aca="false">IF(AND(ISNUMBER($G988),$G988&gt;=MA_LONG2),AVERAGE(INDEX($C$588:$C988,402-MA_LONG2):$C988),"")</f>
        <v/>
      </c>
      <c r="L988" s="53" t="str">
        <f aca="false">IF(AND(ISNUMBER($G988),$G988&gt;=21),STDEV(INDEX($H$928:$H988,62-20):$H988)*SQRT(245),"")</f>
        <v/>
      </c>
      <c r="M988" s="52" t="str">
        <f aca="false">IF(AND(ISNUMBER($G988),$G988&gt;=60),MAX(INDEX($D$788:$D988,202-60):$D988),"")</f>
        <v/>
      </c>
      <c r="N988" s="52" t="str">
        <f aca="false">IF(AND(ISNUMBER($G988),$G988&gt;=60),MIN(INDEX($E$788:$E988,202-60):$E988),"")</f>
        <v/>
      </c>
      <c r="O988" s="53" t="str">
        <f aca="false">IF(OR(NOT(ISNUMBER($C988)),NOT(ISNUMBER($M988)),$M988=0),"",$C988/$M988-1)</f>
        <v/>
      </c>
      <c r="P988" s="54"/>
      <c r="Q988" s="53" t="str">
        <f aca="false">IF(NOT(ISNUMBER($P988)),"",IFERROR(PERCENTRANK($P$5:$P$1204,$P988),""))</f>
        <v/>
      </c>
    </row>
    <row r="989" customFormat="false" ht="15" hidden="false" customHeight="false" outlineLevel="0" collapsed="false">
      <c r="A989" s="55"/>
      <c r="B989" s="56"/>
      <c r="C989" s="57"/>
      <c r="D989" s="56"/>
      <c r="E989" s="56"/>
      <c r="F989" s="56"/>
      <c r="G989" s="50" t="str">
        <f aca="false">IF($A989="","",IF(ISNUMBER($G988),$G988+1,1))</f>
        <v/>
      </c>
      <c r="H989" s="51" t="str">
        <f aca="false">IF(OR(NOT(ISNUMBER($G989)),$G989&lt;2,NOT(ISNUMBER($C988)),$C988=0),"",$C989/$C988-1)</f>
        <v/>
      </c>
      <c r="I989" s="52" t="str">
        <f aca="false">IF(AND(ISNUMBER($G989),$G989&gt;=MA_SHORT),AVERAGE(INDEX($C$589:$C989,402-MA_SHORT):$C989),"")</f>
        <v/>
      </c>
      <c r="J989" s="52" t="str">
        <f aca="false">IF(AND(ISNUMBER($G989),$G989&gt;=MA_MED),AVERAGE(INDEX($C$589:$C989,402-MA_MED):$C989),"")</f>
        <v/>
      </c>
      <c r="K989" s="52" t="str">
        <f aca="false">IF(AND(ISNUMBER($G989),$G989&gt;=MA_LONG2),AVERAGE(INDEX($C$589:$C989,402-MA_LONG2):$C989),"")</f>
        <v/>
      </c>
      <c r="L989" s="53" t="str">
        <f aca="false">IF(AND(ISNUMBER($G989),$G989&gt;=21),STDEV(INDEX($H$929:$H989,62-20):$H989)*SQRT(245),"")</f>
        <v/>
      </c>
      <c r="M989" s="52" t="str">
        <f aca="false">IF(AND(ISNUMBER($G989),$G989&gt;=60),MAX(INDEX($D$789:$D989,202-60):$D989),"")</f>
        <v/>
      </c>
      <c r="N989" s="52" t="str">
        <f aca="false">IF(AND(ISNUMBER($G989),$G989&gt;=60),MIN(INDEX($E$789:$E989,202-60):$E989),"")</f>
        <v/>
      </c>
      <c r="O989" s="53" t="str">
        <f aca="false">IF(OR(NOT(ISNUMBER($C989)),NOT(ISNUMBER($M989)),$M989=0),"",$C989/$M989-1)</f>
        <v/>
      </c>
      <c r="P989" s="54"/>
      <c r="Q989" s="53" t="str">
        <f aca="false">IF(NOT(ISNUMBER($P989)),"",IFERROR(PERCENTRANK($P$5:$P$1204,$P989),""))</f>
        <v/>
      </c>
    </row>
    <row r="990" customFormat="false" ht="15" hidden="false" customHeight="false" outlineLevel="0" collapsed="false">
      <c r="A990" s="55"/>
      <c r="B990" s="56"/>
      <c r="C990" s="57"/>
      <c r="D990" s="56"/>
      <c r="E990" s="56"/>
      <c r="F990" s="56"/>
      <c r="G990" s="50" t="str">
        <f aca="false">IF($A990="","",IF(ISNUMBER($G989),$G989+1,1))</f>
        <v/>
      </c>
      <c r="H990" s="51" t="str">
        <f aca="false">IF(OR(NOT(ISNUMBER($G990)),$G990&lt;2,NOT(ISNUMBER($C989)),$C989=0),"",$C990/$C989-1)</f>
        <v/>
      </c>
      <c r="I990" s="52" t="str">
        <f aca="false">IF(AND(ISNUMBER($G990),$G990&gt;=MA_SHORT),AVERAGE(INDEX($C$590:$C990,402-MA_SHORT):$C990),"")</f>
        <v/>
      </c>
      <c r="J990" s="52" t="str">
        <f aca="false">IF(AND(ISNUMBER($G990),$G990&gt;=MA_MED),AVERAGE(INDEX($C$590:$C990,402-MA_MED):$C990),"")</f>
        <v/>
      </c>
      <c r="K990" s="52" t="str">
        <f aca="false">IF(AND(ISNUMBER($G990),$G990&gt;=MA_LONG2),AVERAGE(INDEX($C$590:$C990,402-MA_LONG2):$C990),"")</f>
        <v/>
      </c>
      <c r="L990" s="53" t="str">
        <f aca="false">IF(AND(ISNUMBER($G990),$G990&gt;=21),STDEV(INDEX($H$930:$H990,62-20):$H990)*SQRT(245),"")</f>
        <v/>
      </c>
      <c r="M990" s="52" t="str">
        <f aca="false">IF(AND(ISNUMBER($G990),$G990&gt;=60),MAX(INDEX($D$790:$D990,202-60):$D990),"")</f>
        <v/>
      </c>
      <c r="N990" s="52" t="str">
        <f aca="false">IF(AND(ISNUMBER($G990),$G990&gt;=60),MIN(INDEX($E$790:$E990,202-60):$E990),"")</f>
        <v/>
      </c>
      <c r="O990" s="53" t="str">
        <f aca="false">IF(OR(NOT(ISNUMBER($C990)),NOT(ISNUMBER($M990)),$M990=0),"",$C990/$M990-1)</f>
        <v/>
      </c>
      <c r="P990" s="54"/>
      <c r="Q990" s="53" t="str">
        <f aca="false">IF(NOT(ISNUMBER($P990)),"",IFERROR(PERCENTRANK($P$5:$P$1204,$P990),""))</f>
        <v/>
      </c>
    </row>
    <row r="991" customFormat="false" ht="15" hidden="false" customHeight="false" outlineLevel="0" collapsed="false">
      <c r="A991" s="55"/>
      <c r="B991" s="56"/>
      <c r="C991" s="57"/>
      <c r="D991" s="56"/>
      <c r="E991" s="56"/>
      <c r="F991" s="56"/>
      <c r="G991" s="50" t="str">
        <f aca="false">IF($A991="","",IF(ISNUMBER($G990),$G990+1,1))</f>
        <v/>
      </c>
      <c r="H991" s="51" t="str">
        <f aca="false">IF(OR(NOT(ISNUMBER($G991)),$G991&lt;2,NOT(ISNUMBER($C990)),$C990=0),"",$C991/$C990-1)</f>
        <v/>
      </c>
      <c r="I991" s="52" t="str">
        <f aca="false">IF(AND(ISNUMBER($G991),$G991&gt;=MA_SHORT),AVERAGE(INDEX($C$591:$C991,402-MA_SHORT):$C991),"")</f>
        <v/>
      </c>
      <c r="J991" s="52" t="str">
        <f aca="false">IF(AND(ISNUMBER($G991),$G991&gt;=MA_MED),AVERAGE(INDEX($C$591:$C991,402-MA_MED):$C991),"")</f>
        <v/>
      </c>
      <c r="K991" s="52" t="str">
        <f aca="false">IF(AND(ISNUMBER($G991),$G991&gt;=MA_LONG2),AVERAGE(INDEX($C$591:$C991,402-MA_LONG2):$C991),"")</f>
        <v/>
      </c>
      <c r="L991" s="53" t="str">
        <f aca="false">IF(AND(ISNUMBER($G991),$G991&gt;=21),STDEV(INDEX($H$931:$H991,62-20):$H991)*SQRT(245),"")</f>
        <v/>
      </c>
      <c r="M991" s="52" t="str">
        <f aca="false">IF(AND(ISNUMBER($G991),$G991&gt;=60),MAX(INDEX($D$791:$D991,202-60):$D991),"")</f>
        <v/>
      </c>
      <c r="N991" s="52" t="str">
        <f aca="false">IF(AND(ISNUMBER($G991),$G991&gt;=60),MIN(INDEX($E$791:$E991,202-60):$E991),"")</f>
        <v/>
      </c>
      <c r="O991" s="53" t="str">
        <f aca="false">IF(OR(NOT(ISNUMBER($C991)),NOT(ISNUMBER($M991)),$M991=0),"",$C991/$M991-1)</f>
        <v/>
      </c>
      <c r="P991" s="54"/>
      <c r="Q991" s="53" t="str">
        <f aca="false">IF(NOT(ISNUMBER($P991)),"",IFERROR(PERCENTRANK($P$5:$P$1204,$P991),""))</f>
        <v/>
      </c>
    </row>
    <row r="992" customFormat="false" ht="15" hidden="false" customHeight="false" outlineLevel="0" collapsed="false">
      <c r="A992" s="55"/>
      <c r="B992" s="56"/>
      <c r="C992" s="57"/>
      <c r="D992" s="56"/>
      <c r="E992" s="56"/>
      <c r="F992" s="56"/>
      <c r="G992" s="50" t="str">
        <f aca="false">IF($A992="","",IF(ISNUMBER($G991),$G991+1,1))</f>
        <v/>
      </c>
      <c r="H992" s="51" t="str">
        <f aca="false">IF(OR(NOT(ISNUMBER($G992)),$G992&lt;2,NOT(ISNUMBER($C991)),$C991=0),"",$C992/$C991-1)</f>
        <v/>
      </c>
      <c r="I992" s="52" t="str">
        <f aca="false">IF(AND(ISNUMBER($G992),$G992&gt;=MA_SHORT),AVERAGE(INDEX($C$592:$C992,402-MA_SHORT):$C992),"")</f>
        <v/>
      </c>
      <c r="J992" s="52" t="str">
        <f aca="false">IF(AND(ISNUMBER($G992),$G992&gt;=MA_MED),AVERAGE(INDEX($C$592:$C992,402-MA_MED):$C992),"")</f>
        <v/>
      </c>
      <c r="K992" s="52" t="str">
        <f aca="false">IF(AND(ISNUMBER($G992),$G992&gt;=MA_LONG2),AVERAGE(INDEX($C$592:$C992,402-MA_LONG2):$C992),"")</f>
        <v/>
      </c>
      <c r="L992" s="53" t="str">
        <f aca="false">IF(AND(ISNUMBER($G992),$G992&gt;=21),STDEV(INDEX($H$932:$H992,62-20):$H992)*SQRT(245),"")</f>
        <v/>
      </c>
      <c r="M992" s="52" t="str">
        <f aca="false">IF(AND(ISNUMBER($G992),$G992&gt;=60),MAX(INDEX($D$792:$D992,202-60):$D992),"")</f>
        <v/>
      </c>
      <c r="N992" s="52" t="str">
        <f aca="false">IF(AND(ISNUMBER($G992),$G992&gt;=60),MIN(INDEX($E$792:$E992,202-60):$E992),"")</f>
        <v/>
      </c>
      <c r="O992" s="53" t="str">
        <f aca="false">IF(OR(NOT(ISNUMBER($C992)),NOT(ISNUMBER($M992)),$M992=0),"",$C992/$M992-1)</f>
        <v/>
      </c>
      <c r="P992" s="54"/>
      <c r="Q992" s="53" t="str">
        <f aca="false">IF(NOT(ISNUMBER($P992)),"",IFERROR(PERCENTRANK($P$5:$P$1204,$P992),""))</f>
        <v/>
      </c>
    </row>
    <row r="993" customFormat="false" ht="15" hidden="false" customHeight="false" outlineLevel="0" collapsed="false">
      <c r="A993" s="55"/>
      <c r="B993" s="56"/>
      <c r="C993" s="57"/>
      <c r="D993" s="56"/>
      <c r="E993" s="56"/>
      <c r="F993" s="56"/>
      <c r="G993" s="50" t="str">
        <f aca="false">IF($A993="","",IF(ISNUMBER($G992),$G992+1,1))</f>
        <v/>
      </c>
      <c r="H993" s="51" t="str">
        <f aca="false">IF(OR(NOT(ISNUMBER($G993)),$G993&lt;2,NOT(ISNUMBER($C992)),$C992=0),"",$C993/$C992-1)</f>
        <v/>
      </c>
      <c r="I993" s="52" t="str">
        <f aca="false">IF(AND(ISNUMBER($G993),$G993&gt;=MA_SHORT),AVERAGE(INDEX($C$593:$C993,402-MA_SHORT):$C993),"")</f>
        <v/>
      </c>
      <c r="J993" s="52" t="str">
        <f aca="false">IF(AND(ISNUMBER($G993),$G993&gt;=MA_MED),AVERAGE(INDEX($C$593:$C993,402-MA_MED):$C993),"")</f>
        <v/>
      </c>
      <c r="K993" s="52" t="str">
        <f aca="false">IF(AND(ISNUMBER($G993),$G993&gt;=MA_LONG2),AVERAGE(INDEX($C$593:$C993,402-MA_LONG2):$C993),"")</f>
        <v/>
      </c>
      <c r="L993" s="53" t="str">
        <f aca="false">IF(AND(ISNUMBER($G993),$G993&gt;=21),STDEV(INDEX($H$933:$H993,62-20):$H993)*SQRT(245),"")</f>
        <v/>
      </c>
      <c r="M993" s="52" t="str">
        <f aca="false">IF(AND(ISNUMBER($G993),$G993&gt;=60),MAX(INDEX($D$793:$D993,202-60):$D993),"")</f>
        <v/>
      </c>
      <c r="N993" s="52" t="str">
        <f aca="false">IF(AND(ISNUMBER($G993),$G993&gt;=60),MIN(INDEX($E$793:$E993,202-60):$E993),"")</f>
        <v/>
      </c>
      <c r="O993" s="53" t="str">
        <f aca="false">IF(OR(NOT(ISNUMBER($C993)),NOT(ISNUMBER($M993)),$M993=0),"",$C993/$M993-1)</f>
        <v/>
      </c>
      <c r="P993" s="54"/>
      <c r="Q993" s="53" t="str">
        <f aca="false">IF(NOT(ISNUMBER($P993)),"",IFERROR(PERCENTRANK($P$5:$P$1204,$P993),""))</f>
        <v/>
      </c>
    </row>
    <row r="994" customFormat="false" ht="15" hidden="false" customHeight="false" outlineLevel="0" collapsed="false">
      <c r="A994" s="55"/>
      <c r="B994" s="56"/>
      <c r="C994" s="57"/>
      <c r="D994" s="56"/>
      <c r="E994" s="56"/>
      <c r="F994" s="56"/>
      <c r="G994" s="50" t="str">
        <f aca="false">IF($A994="","",IF(ISNUMBER($G993),$G993+1,1))</f>
        <v/>
      </c>
      <c r="H994" s="51" t="str">
        <f aca="false">IF(OR(NOT(ISNUMBER($G994)),$G994&lt;2,NOT(ISNUMBER($C993)),$C993=0),"",$C994/$C993-1)</f>
        <v/>
      </c>
      <c r="I994" s="52" t="str">
        <f aca="false">IF(AND(ISNUMBER($G994),$G994&gt;=MA_SHORT),AVERAGE(INDEX($C$594:$C994,402-MA_SHORT):$C994),"")</f>
        <v/>
      </c>
      <c r="J994" s="52" t="str">
        <f aca="false">IF(AND(ISNUMBER($G994),$G994&gt;=MA_MED),AVERAGE(INDEX($C$594:$C994,402-MA_MED):$C994),"")</f>
        <v/>
      </c>
      <c r="K994" s="52" t="str">
        <f aca="false">IF(AND(ISNUMBER($G994),$G994&gt;=MA_LONG2),AVERAGE(INDEX($C$594:$C994,402-MA_LONG2):$C994),"")</f>
        <v/>
      </c>
      <c r="L994" s="53" t="str">
        <f aca="false">IF(AND(ISNUMBER($G994),$G994&gt;=21),STDEV(INDEX($H$934:$H994,62-20):$H994)*SQRT(245),"")</f>
        <v/>
      </c>
      <c r="M994" s="52" t="str">
        <f aca="false">IF(AND(ISNUMBER($G994),$G994&gt;=60),MAX(INDEX($D$794:$D994,202-60):$D994),"")</f>
        <v/>
      </c>
      <c r="N994" s="52" t="str">
        <f aca="false">IF(AND(ISNUMBER($G994),$G994&gt;=60),MIN(INDEX($E$794:$E994,202-60):$E994),"")</f>
        <v/>
      </c>
      <c r="O994" s="53" t="str">
        <f aca="false">IF(OR(NOT(ISNUMBER($C994)),NOT(ISNUMBER($M994)),$M994=0),"",$C994/$M994-1)</f>
        <v/>
      </c>
      <c r="P994" s="54"/>
      <c r="Q994" s="53" t="str">
        <f aca="false">IF(NOT(ISNUMBER($P994)),"",IFERROR(PERCENTRANK($P$5:$P$1204,$P994),""))</f>
        <v/>
      </c>
    </row>
    <row r="995" customFormat="false" ht="15" hidden="false" customHeight="false" outlineLevel="0" collapsed="false">
      <c r="A995" s="55"/>
      <c r="B995" s="56"/>
      <c r="C995" s="57"/>
      <c r="D995" s="56"/>
      <c r="E995" s="56"/>
      <c r="F995" s="56"/>
      <c r="G995" s="50" t="str">
        <f aca="false">IF($A995="","",IF(ISNUMBER($G994),$G994+1,1))</f>
        <v/>
      </c>
      <c r="H995" s="51" t="str">
        <f aca="false">IF(OR(NOT(ISNUMBER($G995)),$G995&lt;2,NOT(ISNUMBER($C994)),$C994=0),"",$C995/$C994-1)</f>
        <v/>
      </c>
      <c r="I995" s="52" t="str">
        <f aca="false">IF(AND(ISNUMBER($G995),$G995&gt;=MA_SHORT),AVERAGE(INDEX($C$595:$C995,402-MA_SHORT):$C995),"")</f>
        <v/>
      </c>
      <c r="J995" s="52" t="str">
        <f aca="false">IF(AND(ISNUMBER($G995),$G995&gt;=MA_MED),AVERAGE(INDEX($C$595:$C995,402-MA_MED):$C995),"")</f>
        <v/>
      </c>
      <c r="K995" s="52" t="str">
        <f aca="false">IF(AND(ISNUMBER($G995),$G995&gt;=MA_LONG2),AVERAGE(INDEX($C$595:$C995,402-MA_LONG2):$C995),"")</f>
        <v/>
      </c>
      <c r="L995" s="53" t="str">
        <f aca="false">IF(AND(ISNUMBER($G995),$G995&gt;=21),STDEV(INDEX($H$935:$H995,62-20):$H995)*SQRT(245),"")</f>
        <v/>
      </c>
      <c r="M995" s="52" t="str">
        <f aca="false">IF(AND(ISNUMBER($G995),$G995&gt;=60),MAX(INDEX($D$795:$D995,202-60):$D995),"")</f>
        <v/>
      </c>
      <c r="N995" s="52" t="str">
        <f aca="false">IF(AND(ISNUMBER($G995),$G995&gt;=60),MIN(INDEX($E$795:$E995,202-60):$E995),"")</f>
        <v/>
      </c>
      <c r="O995" s="53" t="str">
        <f aca="false">IF(OR(NOT(ISNUMBER($C995)),NOT(ISNUMBER($M995)),$M995=0),"",$C995/$M995-1)</f>
        <v/>
      </c>
      <c r="P995" s="54"/>
      <c r="Q995" s="53" t="str">
        <f aca="false">IF(NOT(ISNUMBER($P995)),"",IFERROR(PERCENTRANK($P$5:$P$1204,$P995),""))</f>
        <v/>
      </c>
    </row>
    <row r="996" customFormat="false" ht="15" hidden="false" customHeight="false" outlineLevel="0" collapsed="false">
      <c r="A996" s="55"/>
      <c r="B996" s="56"/>
      <c r="C996" s="57"/>
      <c r="D996" s="56"/>
      <c r="E996" s="56"/>
      <c r="F996" s="56"/>
      <c r="G996" s="50" t="str">
        <f aca="false">IF($A996="","",IF(ISNUMBER($G995),$G995+1,1))</f>
        <v/>
      </c>
      <c r="H996" s="51" t="str">
        <f aca="false">IF(OR(NOT(ISNUMBER($G996)),$G996&lt;2,NOT(ISNUMBER($C995)),$C995=0),"",$C996/$C995-1)</f>
        <v/>
      </c>
      <c r="I996" s="52" t="str">
        <f aca="false">IF(AND(ISNUMBER($G996),$G996&gt;=MA_SHORT),AVERAGE(INDEX($C$596:$C996,402-MA_SHORT):$C996),"")</f>
        <v/>
      </c>
      <c r="J996" s="52" t="str">
        <f aca="false">IF(AND(ISNUMBER($G996),$G996&gt;=MA_MED),AVERAGE(INDEX($C$596:$C996,402-MA_MED):$C996),"")</f>
        <v/>
      </c>
      <c r="K996" s="52" t="str">
        <f aca="false">IF(AND(ISNUMBER($G996),$G996&gt;=MA_LONG2),AVERAGE(INDEX($C$596:$C996,402-MA_LONG2):$C996),"")</f>
        <v/>
      </c>
      <c r="L996" s="53" t="str">
        <f aca="false">IF(AND(ISNUMBER($G996),$G996&gt;=21),STDEV(INDEX($H$936:$H996,62-20):$H996)*SQRT(245),"")</f>
        <v/>
      </c>
      <c r="M996" s="52" t="str">
        <f aca="false">IF(AND(ISNUMBER($G996),$G996&gt;=60),MAX(INDEX($D$796:$D996,202-60):$D996),"")</f>
        <v/>
      </c>
      <c r="N996" s="52" t="str">
        <f aca="false">IF(AND(ISNUMBER($G996),$G996&gt;=60),MIN(INDEX($E$796:$E996,202-60):$E996),"")</f>
        <v/>
      </c>
      <c r="O996" s="53" t="str">
        <f aca="false">IF(OR(NOT(ISNUMBER($C996)),NOT(ISNUMBER($M996)),$M996=0),"",$C996/$M996-1)</f>
        <v/>
      </c>
      <c r="P996" s="54"/>
      <c r="Q996" s="53" t="str">
        <f aca="false">IF(NOT(ISNUMBER($P996)),"",IFERROR(PERCENTRANK($P$5:$P$1204,$P996),""))</f>
        <v/>
      </c>
    </row>
    <row r="997" customFormat="false" ht="15" hidden="false" customHeight="false" outlineLevel="0" collapsed="false">
      <c r="A997" s="55"/>
      <c r="B997" s="56"/>
      <c r="C997" s="57"/>
      <c r="D997" s="56"/>
      <c r="E997" s="56"/>
      <c r="F997" s="56"/>
      <c r="G997" s="50" t="str">
        <f aca="false">IF($A997="","",IF(ISNUMBER($G996),$G996+1,1))</f>
        <v/>
      </c>
      <c r="H997" s="51" t="str">
        <f aca="false">IF(OR(NOT(ISNUMBER($G997)),$G997&lt;2,NOT(ISNUMBER($C996)),$C996=0),"",$C997/$C996-1)</f>
        <v/>
      </c>
      <c r="I997" s="52" t="str">
        <f aca="false">IF(AND(ISNUMBER($G997),$G997&gt;=MA_SHORT),AVERAGE(INDEX($C$597:$C997,402-MA_SHORT):$C997),"")</f>
        <v/>
      </c>
      <c r="J997" s="52" t="str">
        <f aca="false">IF(AND(ISNUMBER($G997),$G997&gt;=MA_MED),AVERAGE(INDEX($C$597:$C997,402-MA_MED):$C997),"")</f>
        <v/>
      </c>
      <c r="K997" s="52" t="str">
        <f aca="false">IF(AND(ISNUMBER($G997),$G997&gt;=MA_LONG2),AVERAGE(INDEX($C$597:$C997,402-MA_LONG2):$C997),"")</f>
        <v/>
      </c>
      <c r="L997" s="53" t="str">
        <f aca="false">IF(AND(ISNUMBER($G997),$G997&gt;=21),STDEV(INDEX($H$937:$H997,62-20):$H997)*SQRT(245),"")</f>
        <v/>
      </c>
      <c r="M997" s="52" t="str">
        <f aca="false">IF(AND(ISNUMBER($G997),$G997&gt;=60),MAX(INDEX($D$797:$D997,202-60):$D997),"")</f>
        <v/>
      </c>
      <c r="N997" s="52" t="str">
        <f aca="false">IF(AND(ISNUMBER($G997),$G997&gt;=60),MIN(INDEX($E$797:$E997,202-60):$E997),"")</f>
        <v/>
      </c>
      <c r="O997" s="53" t="str">
        <f aca="false">IF(OR(NOT(ISNUMBER($C997)),NOT(ISNUMBER($M997)),$M997=0),"",$C997/$M997-1)</f>
        <v/>
      </c>
      <c r="P997" s="54"/>
      <c r="Q997" s="53" t="str">
        <f aca="false">IF(NOT(ISNUMBER($P997)),"",IFERROR(PERCENTRANK($P$5:$P$1204,$P997),""))</f>
        <v/>
      </c>
    </row>
    <row r="998" customFormat="false" ht="15" hidden="false" customHeight="false" outlineLevel="0" collapsed="false">
      <c r="A998" s="55"/>
      <c r="B998" s="56"/>
      <c r="C998" s="57"/>
      <c r="D998" s="56"/>
      <c r="E998" s="56"/>
      <c r="F998" s="56"/>
      <c r="G998" s="50" t="str">
        <f aca="false">IF($A998="","",IF(ISNUMBER($G997),$G997+1,1))</f>
        <v/>
      </c>
      <c r="H998" s="51" t="str">
        <f aca="false">IF(OR(NOT(ISNUMBER($G998)),$G998&lt;2,NOT(ISNUMBER($C997)),$C997=0),"",$C998/$C997-1)</f>
        <v/>
      </c>
      <c r="I998" s="52" t="str">
        <f aca="false">IF(AND(ISNUMBER($G998),$G998&gt;=MA_SHORT),AVERAGE(INDEX($C$598:$C998,402-MA_SHORT):$C998),"")</f>
        <v/>
      </c>
      <c r="J998" s="52" t="str">
        <f aca="false">IF(AND(ISNUMBER($G998),$G998&gt;=MA_MED),AVERAGE(INDEX($C$598:$C998,402-MA_MED):$C998),"")</f>
        <v/>
      </c>
      <c r="K998" s="52" t="str">
        <f aca="false">IF(AND(ISNUMBER($G998),$G998&gt;=MA_LONG2),AVERAGE(INDEX($C$598:$C998,402-MA_LONG2):$C998),"")</f>
        <v/>
      </c>
      <c r="L998" s="53" t="str">
        <f aca="false">IF(AND(ISNUMBER($G998),$G998&gt;=21),STDEV(INDEX($H$938:$H998,62-20):$H998)*SQRT(245),"")</f>
        <v/>
      </c>
      <c r="M998" s="52" t="str">
        <f aca="false">IF(AND(ISNUMBER($G998),$G998&gt;=60),MAX(INDEX($D$798:$D998,202-60):$D998),"")</f>
        <v/>
      </c>
      <c r="N998" s="52" t="str">
        <f aca="false">IF(AND(ISNUMBER($G998),$G998&gt;=60),MIN(INDEX($E$798:$E998,202-60):$E998),"")</f>
        <v/>
      </c>
      <c r="O998" s="53" t="str">
        <f aca="false">IF(OR(NOT(ISNUMBER($C998)),NOT(ISNUMBER($M998)),$M998=0),"",$C998/$M998-1)</f>
        <v/>
      </c>
      <c r="P998" s="54"/>
      <c r="Q998" s="53" t="str">
        <f aca="false">IF(NOT(ISNUMBER($P998)),"",IFERROR(PERCENTRANK($P$5:$P$1204,$P998),""))</f>
        <v/>
      </c>
    </row>
    <row r="999" customFormat="false" ht="15" hidden="false" customHeight="false" outlineLevel="0" collapsed="false">
      <c r="A999" s="55"/>
      <c r="B999" s="56"/>
      <c r="C999" s="57"/>
      <c r="D999" s="56"/>
      <c r="E999" s="56"/>
      <c r="F999" s="56"/>
      <c r="G999" s="50" t="str">
        <f aca="false">IF($A999="","",IF(ISNUMBER($G998),$G998+1,1))</f>
        <v/>
      </c>
      <c r="H999" s="51" t="str">
        <f aca="false">IF(OR(NOT(ISNUMBER($G999)),$G999&lt;2,NOT(ISNUMBER($C998)),$C998=0),"",$C999/$C998-1)</f>
        <v/>
      </c>
      <c r="I999" s="52" t="str">
        <f aca="false">IF(AND(ISNUMBER($G999),$G999&gt;=MA_SHORT),AVERAGE(INDEX($C$599:$C999,402-MA_SHORT):$C999),"")</f>
        <v/>
      </c>
      <c r="J999" s="52" t="str">
        <f aca="false">IF(AND(ISNUMBER($G999),$G999&gt;=MA_MED),AVERAGE(INDEX($C$599:$C999,402-MA_MED):$C999),"")</f>
        <v/>
      </c>
      <c r="K999" s="52" t="str">
        <f aca="false">IF(AND(ISNUMBER($G999),$G999&gt;=MA_LONG2),AVERAGE(INDEX($C$599:$C999,402-MA_LONG2):$C999),"")</f>
        <v/>
      </c>
      <c r="L999" s="53" t="str">
        <f aca="false">IF(AND(ISNUMBER($G999),$G999&gt;=21),STDEV(INDEX($H$939:$H999,62-20):$H999)*SQRT(245),"")</f>
        <v/>
      </c>
      <c r="M999" s="52" t="str">
        <f aca="false">IF(AND(ISNUMBER($G999),$G999&gt;=60),MAX(INDEX($D$799:$D999,202-60):$D999),"")</f>
        <v/>
      </c>
      <c r="N999" s="52" t="str">
        <f aca="false">IF(AND(ISNUMBER($G999),$G999&gt;=60),MIN(INDEX($E$799:$E999,202-60):$E999),"")</f>
        <v/>
      </c>
      <c r="O999" s="53" t="str">
        <f aca="false">IF(OR(NOT(ISNUMBER($C999)),NOT(ISNUMBER($M999)),$M999=0),"",$C999/$M999-1)</f>
        <v/>
      </c>
      <c r="P999" s="54"/>
      <c r="Q999" s="53" t="str">
        <f aca="false">IF(NOT(ISNUMBER($P999)),"",IFERROR(PERCENTRANK($P$5:$P$1204,$P999),""))</f>
        <v/>
      </c>
    </row>
    <row r="1000" customFormat="false" ht="15" hidden="false" customHeight="false" outlineLevel="0" collapsed="false">
      <c r="A1000" s="55"/>
      <c r="B1000" s="56"/>
      <c r="C1000" s="57"/>
      <c r="D1000" s="56"/>
      <c r="E1000" s="56"/>
      <c r="F1000" s="56"/>
      <c r="G1000" s="50" t="str">
        <f aca="false">IF($A1000="","",IF(ISNUMBER($G999),$G999+1,1))</f>
        <v/>
      </c>
      <c r="H1000" s="51" t="str">
        <f aca="false">IF(OR(NOT(ISNUMBER($G1000)),$G1000&lt;2,NOT(ISNUMBER($C999)),$C999=0),"",$C1000/$C999-1)</f>
        <v/>
      </c>
      <c r="I1000" s="52" t="str">
        <f aca="false">IF(AND(ISNUMBER($G1000),$G1000&gt;=MA_SHORT),AVERAGE(INDEX($C$600:$C1000,402-MA_SHORT):$C1000),"")</f>
        <v/>
      </c>
      <c r="J1000" s="52" t="str">
        <f aca="false">IF(AND(ISNUMBER($G1000),$G1000&gt;=MA_MED),AVERAGE(INDEX($C$600:$C1000,402-MA_MED):$C1000),"")</f>
        <v/>
      </c>
      <c r="K1000" s="52" t="str">
        <f aca="false">IF(AND(ISNUMBER($G1000),$G1000&gt;=MA_LONG2),AVERAGE(INDEX($C$600:$C1000,402-MA_LONG2):$C1000),"")</f>
        <v/>
      </c>
      <c r="L1000" s="53" t="str">
        <f aca="false">IF(AND(ISNUMBER($G1000),$G1000&gt;=21),STDEV(INDEX($H$940:$H1000,62-20):$H1000)*SQRT(245),"")</f>
        <v/>
      </c>
      <c r="M1000" s="52" t="str">
        <f aca="false">IF(AND(ISNUMBER($G1000),$G1000&gt;=60),MAX(INDEX($D$800:$D1000,202-60):$D1000),"")</f>
        <v/>
      </c>
      <c r="N1000" s="52" t="str">
        <f aca="false">IF(AND(ISNUMBER($G1000),$G1000&gt;=60),MIN(INDEX($E$800:$E1000,202-60):$E1000),"")</f>
        <v/>
      </c>
      <c r="O1000" s="53" t="str">
        <f aca="false">IF(OR(NOT(ISNUMBER($C1000)),NOT(ISNUMBER($M1000)),$M1000=0),"",$C1000/$M1000-1)</f>
        <v/>
      </c>
      <c r="P1000" s="54"/>
      <c r="Q1000" s="53" t="str">
        <f aca="false">IF(NOT(ISNUMBER($P1000)),"",IFERROR(PERCENTRANK($P$5:$P$1204,$P1000),""))</f>
        <v/>
      </c>
    </row>
    <row r="1001" customFormat="false" ht="15" hidden="false" customHeight="false" outlineLevel="0" collapsed="false">
      <c r="A1001" s="55"/>
      <c r="B1001" s="56"/>
      <c r="C1001" s="57"/>
      <c r="D1001" s="56"/>
      <c r="E1001" s="56"/>
      <c r="F1001" s="56"/>
      <c r="G1001" s="50" t="str">
        <f aca="false">IF($A1001="","",IF(ISNUMBER($G1000),$G1000+1,1))</f>
        <v/>
      </c>
      <c r="H1001" s="51" t="str">
        <f aca="false">IF(OR(NOT(ISNUMBER($G1001)),$G1001&lt;2,NOT(ISNUMBER($C1000)),$C1000=0),"",$C1001/$C1000-1)</f>
        <v/>
      </c>
      <c r="I1001" s="52" t="str">
        <f aca="false">IF(AND(ISNUMBER($G1001),$G1001&gt;=MA_SHORT),AVERAGE(INDEX($C$601:$C1001,402-MA_SHORT):$C1001),"")</f>
        <v/>
      </c>
      <c r="J1001" s="52" t="str">
        <f aca="false">IF(AND(ISNUMBER($G1001),$G1001&gt;=MA_MED),AVERAGE(INDEX($C$601:$C1001,402-MA_MED):$C1001),"")</f>
        <v/>
      </c>
      <c r="K1001" s="52" t="str">
        <f aca="false">IF(AND(ISNUMBER($G1001),$G1001&gt;=MA_LONG2),AVERAGE(INDEX($C$601:$C1001,402-MA_LONG2):$C1001),"")</f>
        <v/>
      </c>
      <c r="L1001" s="53" t="str">
        <f aca="false">IF(AND(ISNUMBER($G1001),$G1001&gt;=21),STDEV(INDEX($H$941:$H1001,62-20):$H1001)*SQRT(245),"")</f>
        <v/>
      </c>
      <c r="M1001" s="52" t="str">
        <f aca="false">IF(AND(ISNUMBER($G1001),$G1001&gt;=60),MAX(INDEX($D$801:$D1001,202-60):$D1001),"")</f>
        <v/>
      </c>
      <c r="N1001" s="52" t="str">
        <f aca="false">IF(AND(ISNUMBER($G1001),$G1001&gt;=60),MIN(INDEX($E$801:$E1001,202-60):$E1001),"")</f>
        <v/>
      </c>
      <c r="O1001" s="53" t="str">
        <f aca="false">IF(OR(NOT(ISNUMBER($C1001)),NOT(ISNUMBER($M1001)),$M1001=0),"",$C1001/$M1001-1)</f>
        <v/>
      </c>
      <c r="P1001" s="54"/>
      <c r="Q1001" s="53" t="str">
        <f aca="false">IF(NOT(ISNUMBER($P1001)),"",IFERROR(PERCENTRANK($P$5:$P$1204,$P1001),""))</f>
        <v/>
      </c>
    </row>
    <row r="1002" customFormat="false" ht="15" hidden="false" customHeight="false" outlineLevel="0" collapsed="false">
      <c r="A1002" s="55"/>
      <c r="B1002" s="56"/>
      <c r="C1002" s="57"/>
      <c r="D1002" s="56"/>
      <c r="E1002" s="56"/>
      <c r="F1002" s="56"/>
      <c r="G1002" s="50" t="str">
        <f aca="false">IF($A1002="","",IF(ISNUMBER($G1001),$G1001+1,1))</f>
        <v/>
      </c>
      <c r="H1002" s="51" t="str">
        <f aca="false">IF(OR(NOT(ISNUMBER($G1002)),$G1002&lt;2,NOT(ISNUMBER($C1001)),$C1001=0),"",$C1002/$C1001-1)</f>
        <v/>
      </c>
      <c r="I1002" s="52" t="str">
        <f aca="false">IF(AND(ISNUMBER($G1002),$G1002&gt;=MA_SHORT),AVERAGE(INDEX($C$602:$C1002,402-MA_SHORT):$C1002),"")</f>
        <v/>
      </c>
      <c r="J1002" s="52" t="str">
        <f aca="false">IF(AND(ISNUMBER($G1002),$G1002&gt;=MA_MED),AVERAGE(INDEX($C$602:$C1002,402-MA_MED):$C1002),"")</f>
        <v/>
      </c>
      <c r="K1002" s="52" t="str">
        <f aca="false">IF(AND(ISNUMBER($G1002),$G1002&gt;=MA_LONG2),AVERAGE(INDEX($C$602:$C1002,402-MA_LONG2):$C1002),"")</f>
        <v/>
      </c>
      <c r="L1002" s="53" t="str">
        <f aca="false">IF(AND(ISNUMBER($G1002),$G1002&gt;=21),STDEV(INDEX($H$942:$H1002,62-20):$H1002)*SQRT(245),"")</f>
        <v/>
      </c>
      <c r="M1002" s="52" t="str">
        <f aca="false">IF(AND(ISNUMBER($G1002),$G1002&gt;=60),MAX(INDEX($D$802:$D1002,202-60):$D1002),"")</f>
        <v/>
      </c>
      <c r="N1002" s="52" t="str">
        <f aca="false">IF(AND(ISNUMBER($G1002),$G1002&gt;=60),MIN(INDEX($E$802:$E1002,202-60):$E1002),"")</f>
        <v/>
      </c>
      <c r="O1002" s="53" t="str">
        <f aca="false">IF(OR(NOT(ISNUMBER($C1002)),NOT(ISNUMBER($M1002)),$M1002=0),"",$C1002/$M1002-1)</f>
        <v/>
      </c>
      <c r="P1002" s="54"/>
      <c r="Q1002" s="53" t="str">
        <f aca="false">IF(NOT(ISNUMBER($P1002)),"",IFERROR(PERCENTRANK($P$5:$P$1204,$P1002),""))</f>
        <v/>
      </c>
    </row>
    <row r="1003" customFormat="false" ht="15" hidden="false" customHeight="false" outlineLevel="0" collapsed="false">
      <c r="A1003" s="55"/>
      <c r="B1003" s="56"/>
      <c r="C1003" s="57"/>
      <c r="D1003" s="56"/>
      <c r="E1003" s="56"/>
      <c r="F1003" s="56"/>
      <c r="G1003" s="50" t="str">
        <f aca="false">IF($A1003="","",IF(ISNUMBER($G1002),$G1002+1,1))</f>
        <v/>
      </c>
      <c r="H1003" s="51" t="str">
        <f aca="false">IF(OR(NOT(ISNUMBER($G1003)),$G1003&lt;2,NOT(ISNUMBER($C1002)),$C1002=0),"",$C1003/$C1002-1)</f>
        <v/>
      </c>
      <c r="I1003" s="52" t="str">
        <f aca="false">IF(AND(ISNUMBER($G1003),$G1003&gt;=MA_SHORT),AVERAGE(INDEX($C$603:$C1003,402-MA_SHORT):$C1003),"")</f>
        <v/>
      </c>
      <c r="J1003" s="52" t="str">
        <f aca="false">IF(AND(ISNUMBER($G1003),$G1003&gt;=MA_MED),AVERAGE(INDEX($C$603:$C1003,402-MA_MED):$C1003),"")</f>
        <v/>
      </c>
      <c r="K1003" s="52" t="str">
        <f aca="false">IF(AND(ISNUMBER($G1003),$G1003&gt;=MA_LONG2),AVERAGE(INDEX($C$603:$C1003,402-MA_LONG2):$C1003),"")</f>
        <v/>
      </c>
      <c r="L1003" s="53" t="str">
        <f aca="false">IF(AND(ISNUMBER($G1003),$G1003&gt;=21),STDEV(INDEX($H$943:$H1003,62-20):$H1003)*SQRT(245),"")</f>
        <v/>
      </c>
      <c r="M1003" s="52" t="str">
        <f aca="false">IF(AND(ISNUMBER($G1003),$G1003&gt;=60),MAX(INDEX($D$803:$D1003,202-60):$D1003),"")</f>
        <v/>
      </c>
      <c r="N1003" s="52" t="str">
        <f aca="false">IF(AND(ISNUMBER($G1003),$G1003&gt;=60),MIN(INDEX($E$803:$E1003,202-60):$E1003),"")</f>
        <v/>
      </c>
      <c r="O1003" s="53" t="str">
        <f aca="false">IF(OR(NOT(ISNUMBER($C1003)),NOT(ISNUMBER($M1003)),$M1003=0),"",$C1003/$M1003-1)</f>
        <v/>
      </c>
      <c r="P1003" s="54"/>
      <c r="Q1003" s="53" t="str">
        <f aca="false">IF(NOT(ISNUMBER($P1003)),"",IFERROR(PERCENTRANK($P$5:$P$1204,$P1003),""))</f>
        <v/>
      </c>
    </row>
    <row r="1004" customFormat="false" ht="15" hidden="false" customHeight="false" outlineLevel="0" collapsed="false">
      <c r="A1004" s="55"/>
      <c r="B1004" s="56"/>
      <c r="C1004" s="57"/>
      <c r="D1004" s="56"/>
      <c r="E1004" s="56"/>
      <c r="F1004" s="56"/>
      <c r="G1004" s="50" t="str">
        <f aca="false">IF($A1004="","",IF(ISNUMBER($G1003),$G1003+1,1))</f>
        <v/>
      </c>
      <c r="H1004" s="51" t="str">
        <f aca="false">IF(OR(NOT(ISNUMBER($G1004)),$G1004&lt;2,NOT(ISNUMBER($C1003)),$C1003=0),"",$C1004/$C1003-1)</f>
        <v/>
      </c>
      <c r="I1004" s="52" t="str">
        <f aca="false">IF(AND(ISNUMBER($G1004),$G1004&gt;=MA_SHORT),AVERAGE(INDEX($C$604:$C1004,402-MA_SHORT):$C1004),"")</f>
        <v/>
      </c>
      <c r="J1004" s="52" t="str">
        <f aca="false">IF(AND(ISNUMBER($G1004),$G1004&gt;=MA_MED),AVERAGE(INDEX($C$604:$C1004,402-MA_MED):$C1004),"")</f>
        <v/>
      </c>
      <c r="K1004" s="52" t="str">
        <f aca="false">IF(AND(ISNUMBER($G1004),$G1004&gt;=MA_LONG2),AVERAGE(INDEX($C$604:$C1004,402-MA_LONG2):$C1004),"")</f>
        <v/>
      </c>
      <c r="L1004" s="53" t="str">
        <f aca="false">IF(AND(ISNUMBER($G1004),$G1004&gt;=21),STDEV(INDEX($H$944:$H1004,62-20):$H1004)*SQRT(245),"")</f>
        <v/>
      </c>
      <c r="M1004" s="52" t="str">
        <f aca="false">IF(AND(ISNUMBER($G1004),$G1004&gt;=60),MAX(INDEX($D$804:$D1004,202-60):$D1004),"")</f>
        <v/>
      </c>
      <c r="N1004" s="52" t="str">
        <f aca="false">IF(AND(ISNUMBER($G1004),$G1004&gt;=60),MIN(INDEX($E$804:$E1004,202-60):$E1004),"")</f>
        <v/>
      </c>
      <c r="O1004" s="53" t="str">
        <f aca="false">IF(OR(NOT(ISNUMBER($C1004)),NOT(ISNUMBER($M1004)),$M1004=0),"",$C1004/$M1004-1)</f>
        <v/>
      </c>
      <c r="P1004" s="54"/>
      <c r="Q1004" s="53" t="str">
        <f aca="false">IF(NOT(ISNUMBER($P1004)),"",IFERROR(PERCENTRANK($P$5:$P$1204,$P1004),""))</f>
        <v/>
      </c>
    </row>
    <row r="1005" customFormat="false" ht="15" hidden="false" customHeight="false" outlineLevel="0" collapsed="false">
      <c r="A1005" s="55"/>
      <c r="B1005" s="56"/>
      <c r="C1005" s="57"/>
      <c r="D1005" s="56"/>
      <c r="E1005" s="56"/>
      <c r="F1005" s="56"/>
      <c r="G1005" s="50" t="str">
        <f aca="false">IF($A1005="","",IF(ISNUMBER($G1004),$G1004+1,1))</f>
        <v/>
      </c>
      <c r="H1005" s="51" t="str">
        <f aca="false">IF(OR(NOT(ISNUMBER($G1005)),$G1005&lt;2,NOT(ISNUMBER($C1004)),$C1004=0),"",$C1005/$C1004-1)</f>
        <v/>
      </c>
      <c r="I1005" s="52" t="str">
        <f aca="false">IF(AND(ISNUMBER($G1005),$G1005&gt;=MA_SHORT),AVERAGE(INDEX($C$605:$C1005,402-MA_SHORT):$C1005),"")</f>
        <v/>
      </c>
      <c r="J1005" s="52" t="str">
        <f aca="false">IF(AND(ISNUMBER($G1005),$G1005&gt;=MA_MED),AVERAGE(INDEX($C$605:$C1005,402-MA_MED):$C1005),"")</f>
        <v/>
      </c>
      <c r="K1005" s="52" t="str">
        <f aca="false">IF(AND(ISNUMBER($G1005),$G1005&gt;=MA_LONG2),AVERAGE(INDEX($C$605:$C1005,402-MA_LONG2):$C1005),"")</f>
        <v/>
      </c>
      <c r="L1005" s="53" t="str">
        <f aca="false">IF(AND(ISNUMBER($G1005),$G1005&gt;=21),STDEV(INDEX($H$945:$H1005,62-20):$H1005)*SQRT(245),"")</f>
        <v/>
      </c>
      <c r="M1005" s="52" t="str">
        <f aca="false">IF(AND(ISNUMBER($G1005),$G1005&gt;=60),MAX(INDEX($D$805:$D1005,202-60):$D1005),"")</f>
        <v/>
      </c>
      <c r="N1005" s="52" t="str">
        <f aca="false">IF(AND(ISNUMBER($G1005),$G1005&gt;=60),MIN(INDEX($E$805:$E1005,202-60):$E1005),"")</f>
        <v/>
      </c>
      <c r="O1005" s="53" t="str">
        <f aca="false">IF(OR(NOT(ISNUMBER($C1005)),NOT(ISNUMBER($M1005)),$M1005=0),"",$C1005/$M1005-1)</f>
        <v/>
      </c>
      <c r="P1005" s="54"/>
      <c r="Q1005" s="53" t="str">
        <f aca="false">IF(NOT(ISNUMBER($P1005)),"",IFERROR(PERCENTRANK($P$5:$P$1204,$P1005),""))</f>
        <v/>
      </c>
    </row>
    <row r="1006" customFormat="false" ht="15" hidden="false" customHeight="false" outlineLevel="0" collapsed="false">
      <c r="A1006" s="55"/>
      <c r="B1006" s="56"/>
      <c r="C1006" s="57"/>
      <c r="D1006" s="56"/>
      <c r="E1006" s="56"/>
      <c r="F1006" s="56"/>
      <c r="G1006" s="50" t="str">
        <f aca="false">IF($A1006="","",IF(ISNUMBER($G1005),$G1005+1,1))</f>
        <v/>
      </c>
      <c r="H1006" s="51" t="str">
        <f aca="false">IF(OR(NOT(ISNUMBER($G1006)),$G1006&lt;2,NOT(ISNUMBER($C1005)),$C1005=0),"",$C1006/$C1005-1)</f>
        <v/>
      </c>
      <c r="I1006" s="52" t="str">
        <f aca="false">IF(AND(ISNUMBER($G1006),$G1006&gt;=MA_SHORT),AVERAGE(INDEX($C$606:$C1006,402-MA_SHORT):$C1006),"")</f>
        <v/>
      </c>
      <c r="J1006" s="52" t="str">
        <f aca="false">IF(AND(ISNUMBER($G1006),$G1006&gt;=MA_MED),AVERAGE(INDEX($C$606:$C1006,402-MA_MED):$C1006),"")</f>
        <v/>
      </c>
      <c r="K1006" s="52" t="str">
        <f aca="false">IF(AND(ISNUMBER($G1006),$G1006&gt;=MA_LONG2),AVERAGE(INDEX($C$606:$C1006,402-MA_LONG2):$C1006),"")</f>
        <v/>
      </c>
      <c r="L1006" s="53" t="str">
        <f aca="false">IF(AND(ISNUMBER($G1006),$G1006&gt;=21),STDEV(INDEX($H$946:$H1006,62-20):$H1006)*SQRT(245),"")</f>
        <v/>
      </c>
      <c r="M1006" s="52" t="str">
        <f aca="false">IF(AND(ISNUMBER($G1006),$G1006&gt;=60),MAX(INDEX($D$806:$D1006,202-60):$D1006),"")</f>
        <v/>
      </c>
      <c r="N1006" s="52" t="str">
        <f aca="false">IF(AND(ISNUMBER($G1006),$G1006&gt;=60),MIN(INDEX($E$806:$E1006,202-60):$E1006),"")</f>
        <v/>
      </c>
      <c r="O1006" s="53" t="str">
        <f aca="false">IF(OR(NOT(ISNUMBER($C1006)),NOT(ISNUMBER($M1006)),$M1006=0),"",$C1006/$M1006-1)</f>
        <v/>
      </c>
      <c r="P1006" s="54"/>
      <c r="Q1006" s="53" t="str">
        <f aca="false">IF(NOT(ISNUMBER($P1006)),"",IFERROR(PERCENTRANK($P$5:$P$1204,$P1006),""))</f>
        <v/>
      </c>
    </row>
    <row r="1007" customFormat="false" ht="15" hidden="false" customHeight="false" outlineLevel="0" collapsed="false">
      <c r="A1007" s="55"/>
      <c r="B1007" s="56"/>
      <c r="C1007" s="57"/>
      <c r="D1007" s="56"/>
      <c r="E1007" s="56"/>
      <c r="F1007" s="56"/>
      <c r="G1007" s="50" t="str">
        <f aca="false">IF($A1007="","",IF(ISNUMBER($G1006),$G1006+1,1))</f>
        <v/>
      </c>
      <c r="H1007" s="51" t="str">
        <f aca="false">IF(OR(NOT(ISNUMBER($G1007)),$G1007&lt;2,NOT(ISNUMBER($C1006)),$C1006=0),"",$C1007/$C1006-1)</f>
        <v/>
      </c>
      <c r="I1007" s="52" t="str">
        <f aca="false">IF(AND(ISNUMBER($G1007),$G1007&gt;=MA_SHORT),AVERAGE(INDEX($C$607:$C1007,402-MA_SHORT):$C1007),"")</f>
        <v/>
      </c>
      <c r="J1007" s="52" t="str">
        <f aca="false">IF(AND(ISNUMBER($G1007),$G1007&gt;=MA_MED),AVERAGE(INDEX($C$607:$C1007,402-MA_MED):$C1007),"")</f>
        <v/>
      </c>
      <c r="K1007" s="52" t="str">
        <f aca="false">IF(AND(ISNUMBER($G1007),$G1007&gt;=MA_LONG2),AVERAGE(INDEX($C$607:$C1007,402-MA_LONG2):$C1007),"")</f>
        <v/>
      </c>
      <c r="L1007" s="53" t="str">
        <f aca="false">IF(AND(ISNUMBER($G1007),$G1007&gt;=21),STDEV(INDEX($H$947:$H1007,62-20):$H1007)*SQRT(245),"")</f>
        <v/>
      </c>
      <c r="M1007" s="52" t="str">
        <f aca="false">IF(AND(ISNUMBER($G1007),$G1007&gt;=60),MAX(INDEX($D$807:$D1007,202-60):$D1007),"")</f>
        <v/>
      </c>
      <c r="N1007" s="52" t="str">
        <f aca="false">IF(AND(ISNUMBER($G1007),$G1007&gt;=60),MIN(INDEX($E$807:$E1007,202-60):$E1007),"")</f>
        <v/>
      </c>
      <c r="O1007" s="53" t="str">
        <f aca="false">IF(OR(NOT(ISNUMBER($C1007)),NOT(ISNUMBER($M1007)),$M1007=0),"",$C1007/$M1007-1)</f>
        <v/>
      </c>
      <c r="P1007" s="54"/>
      <c r="Q1007" s="53" t="str">
        <f aca="false">IF(NOT(ISNUMBER($P1007)),"",IFERROR(PERCENTRANK($P$5:$P$1204,$P1007),""))</f>
        <v/>
      </c>
    </row>
    <row r="1008" customFormat="false" ht="15" hidden="false" customHeight="false" outlineLevel="0" collapsed="false">
      <c r="A1008" s="55"/>
      <c r="B1008" s="56"/>
      <c r="C1008" s="57"/>
      <c r="D1008" s="56"/>
      <c r="E1008" s="56"/>
      <c r="F1008" s="56"/>
      <c r="G1008" s="50" t="str">
        <f aca="false">IF($A1008="","",IF(ISNUMBER($G1007),$G1007+1,1))</f>
        <v/>
      </c>
      <c r="H1008" s="51" t="str">
        <f aca="false">IF(OR(NOT(ISNUMBER($G1008)),$G1008&lt;2,NOT(ISNUMBER($C1007)),$C1007=0),"",$C1008/$C1007-1)</f>
        <v/>
      </c>
      <c r="I1008" s="52" t="str">
        <f aca="false">IF(AND(ISNUMBER($G1008),$G1008&gt;=MA_SHORT),AVERAGE(INDEX($C$608:$C1008,402-MA_SHORT):$C1008),"")</f>
        <v/>
      </c>
      <c r="J1008" s="52" t="str">
        <f aca="false">IF(AND(ISNUMBER($G1008),$G1008&gt;=MA_MED),AVERAGE(INDEX($C$608:$C1008,402-MA_MED):$C1008),"")</f>
        <v/>
      </c>
      <c r="K1008" s="52" t="str">
        <f aca="false">IF(AND(ISNUMBER($G1008),$G1008&gt;=MA_LONG2),AVERAGE(INDEX($C$608:$C1008,402-MA_LONG2):$C1008),"")</f>
        <v/>
      </c>
      <c r="L1008" s="53" t="str">
        <f aca="false">IF(AND(ISNUMBER($G1008),$G1008&gt;=21),STDEV(INDEX($H$948:$H1008,62-20):$H1008)*SQRT(245),"")</f>
        <v/>
      </c>
      <c r="M1008" s="52" t="str">
        <f aca="false">IF(AND(ISNUMBER($G1008),$G1008&gt;=60),MAX(INDEX($D$808:$D1008,202-60):$D1008),"")</f>
        <v/>
      </c>
      <c r="N1008" s="52" t="str">
        <f aca="false">IF(AND(ISNUMBER($G1008),$G1008&gt;=60),MIN(INDEX($E$808:$E1008,202-60):$E1008),"")</f>
        <v/>
      </c>
      <c r="O1008" s="53" t="str">
        <f aca="false">IF(OR(NOT(ISNUMBER($C1008)),NOT(ISNUMBER($M1008)),$M1008=0),"",$C1008/$M1008-1)</f>
        <v/>
      </c>
      <c r="P1008" s="54"/>
      <c r="Q1008" s="53" t="str">
        <f aca="false">IF(NOT(ISNUMBER($P1008)),"",IFERROR(PERCENTRANK($P$5:$P$1204,$P1008),""))</f>
        <v/>
      </c>
    </row>
    <row r="1009" customFormat="false" ht="15" hidden="false" customHeight="false" outlineLevel="0" collapsed="false">
      <c r="A1009" s="55"/>
      <c r="B1009" s="56"/>
      <c r="C1009" s="57"/>
      <c r="D1009" s="56"/>
      <c r="E1009" s="56"/>
      <c r="F1009" s="56"/>
      <c r="G1009" s="50" t="str">
        <f aca="false">IF($A1009="","",IF(ISNUMBER($G1008),$G1008+1,1))</f>
        <v/>
      </c>
      <c r="H1009" s="51" t="str">
        <f aca="false">IF(OR(NOT(ISNUMBER($G1009)),$G1009&lt;2,NOT(ISNUMBER($C1008)),$C1008=0),"",$C1009/$C1008-1)</f>
        <v/>
      </c>
      <c r="I1009" s="52" t="str">
        <f aca="false">IF(AND(ISNUMBER($G1009),$G1009&gt;=MA_SHORT),AVERAGE(INDEX($C$609:$C1009,402-MA_SHORT):$C1009),"")</f>
        <v/>
      </c>
      <c r="J1009" s="52" t="str">
        <f aca="false">IF(AND(ISNUMBER($G1009),$G1009&gt;=MA_MED),AVERAGE(INDEX($C$609:$C1009,402-MA_MED):$C1009),"")</f>
        <v/>
      </c>
      <c r="K1009" s="52" t="str">
        <f aca="false">IF(AND(ISNUMBER($G1009),$G1009&gt;=MA_LONG2),AVERAGE(INDEX($C$609:$C1009,402-MA_LONG2):$C1009),"")</f>
        <v/>
      </c>
      <c r="L1009" s="53" t="str">
        <f aca="false">IF(AND(ISNUMBER($G1009),$G1009&gt;=21),STDEV(INDEX($H$949:$H1009,62-20):$H1009)*SQRT(245),"")</f>
        <v/>
      </c>
      <c r="M1009" s="52" t="str">
        <f aca="false">IF(AND(ISNUMBER($G1009),$G1009&gt;=60),MAX(INDEX($D$809:$D1009,202-60):$D1009),"")</f>
        <v/>
      </c>
      <c r="N1009" s="52" t="str">
        <f aca="false">IF(AND(ISNUMBER($G1009),$G1009&gt;=60),MIN(INDEX($E$809:$E1009,202-60):$E1009),"")</f>
        <v/>
      </c>
      <c r="O1009" s="53" t="str">
        <f aca="false">IF(OR(NOT(ISNUMBER($C1009)),NOT(ISNUMBER($M1009)),$M1009=0),"",$C1009/$M1009-1)</f>
        <v/>
      </c>
      <c r="P1009" s="54"/>
      <c r="Q1009" s="53" t="str">
        <f aca="false">IF(NOT(ISNUMBER($P1009)),"",IFERROR(PERCENTRANK($P$5:$P$1204,$P1009),""))</f>
        <v/>
      </c>
    </row>
    <row r="1010" customFormat="false" ht="15" hidden="false" customHeight="false" outlineLevel="0" collapsed="false">
      <c r="A1010" s="55"/>
      <c r="B1010" s="56"/>
      <c r="C1010" s="57"/>
      <c r="D1010" s="56"/>
      <c r="E1010" s="56"/>
      <c r="F1010" s="56"/>
      <c r="G1010" s="50" t="str">
        <f aca="false">IF($A1010="","",IF(ISNUMBER($G1009),$G1009+1,1))</f>
        <v/>
      </c>
      <c r="H1010" s="51" t="str">
        <f aca="false">IF(OR(NOT(ISNUMBER($G1010)),$G1010&lt;2,NOT(ISNUMBER($C1009)),$C1009=0),"",$C1010/$C1009-1)</f>
        <v/>
      </c>
      <c r="I1010" s="52" t="str">
        <f aca="false">IF(AND(ISNUMBER($G1010),$G1010&gt;=MA_SHORT),AVERAGE(INDEX($C$610:$C1010,402-MA_SHORT):$C1010),"")</f>
        <v/>
      </c>
      <c r="J1010" s="52" t="str">
        <f aca="false">IF(AND(ISNUMBER($G1010),$G1010&gt;=MA_MED),AVERAGE(INDEX($C$610:$C1010,402-MA_MED):$C1010),"")</f>
        <v/>
      </c>
      <c r="K1010" s="52" t="str">
        <f aca="false">IF(AND(ISNUMBER($G1010),$G1010&gt;=MA_LONG2),AVERAGE(INDEX($C$610:$C1010,402-MA_LONG2):$C1010),"")</f>
        <v/>
      </c>
      <c r="L1010" s="53" t="str">
        <f aca="false">IF(AND(ISNUMBER($G1010),$G1010&gt;=21),STDEV(INDEX($H$950:$H1010,62-20):$H1010)*SQRT(245),"")</f>
        <v/>
      </c>
      <c r="M1010" s="52" t="str">
        <f aca="false">IF(AND(ISNUMBER($G1010),$G1010&gt;=60),MAX(INDEX($D$810:$D1010,202-60):$D1010),"")</f>
        <v/>
      </c>
      <c r="N1010" s="52" t="str">
        <f aca="false">IF(AND(ISNUMBER($G1010),$G1010&gt;=60),MIN(INDEX($E$810:$E1010,202-60):$E1010),"")</f>
        <v/>
      </c>
      <c r="O1010" s="53" t="str">
        <f aca="false">IF(OR(NOT(ISNUMBER($C1010)),NOT(ISNUMBER($M1010)),$M1010=0),"",$C1010/$M1010-1)</f>
        <v/>
      </c>
      <c r="P1010" s="54"/>
      <c r="Q1010" s="53" t="str">
        <f aca="false">IF(NOT(ISNUMBER($P1010)),"",IFERROR(PERCENTRANK($P$5:$P$1204,$P1010),""))</f>
        <v/>
      </c>
    </row>
    <row r="1011" customFormat="false" ht="15" hidden="false" customHeight="false" outlineLevel="0" collapsed="false">
      <c r="A1011" s="55"/>
      <c r="B1011" s="56"/>
      <c r="C1011" s="57"/>
      <c r="D1011" s="56"/>
      <c r="E1011" s="56"/>
      <c r="F1011" s="56"/>
      <c r="G1011" s="50" t="str">
        <f aca="false">IF($A1011="","",IF(ISNUMBER($G1010),$G1010+1,1))</f>
        <v/>
      </c>
      <c r="H1011" s="51" t="str">
        <f aca="false">IF(OR(NOT(ISNUMBER($G1011)),$G1011&lt;2,NOT(ISNUMBER($C1010)),$C1010=0),"",$C1011/$C1010-1)</f>
        <v/>
      </c>
      <c r="I1011" s="52" t="str">
        <f aca="false">IF(AND(ISNUMBER($G1011),$G1011&gt;=MA_SHORT),AVERAGE(INDEX($C$611:$C1011,402-MA_SHORT):$C1011),"")</f>
        <v/>
      </c>
      <c r="J1011" s="52" t="str">
        <f aca="false">IF(AND(ISNUMBER($G1011),$G1011&gt;=MA_MED),AVERAGE(INDEX($C$611:$C1011,402-MA_MED):$C1011),"")</f>
        <v/>
      </c>
      <c r="K1011" s="52" t="str">
        <f aca="false">IF(AND(ISNUMBER($G1011),$G1011&gt;=MA_LONG2),AVERAGE(INDEX($C$611:$C1011,402-MA_LONG2):$C1011),"")</f>
        <v/>
      </c>
      <c r="L1011" s="53" t="str">
        <f aca="false">IF(AND(ISNUMBER($G1011),$G1011&gt;=21),STDEV(INDEX($H$951:$H1011,62-20):$H1011)*SQRT(245),"")</f>
        <v/>
      </c>
      <c r="M1011" s="52" t="str">
        <f aca="false">IF(AND(ISNUMBER($G1011),$G1011&gt;=60),MAX(INDEX($D$811:$D1011,202-60):$D1011),"")</f>
        <v/>
      </c>
      <c r="N1011" s="52" t="str">
        <f aca="false">IF(AND(ISNUMBER($G1011),$G1011&gt;=60),MIN(INDEX($E$811:$E1011,202-60):$E1011),"")</f>
        <v/>
      </c>
      <c r="O1011" s="53" t="str">
        <f aca="false">IF(OR(NOT(ISNUMBER($C1011)),NOT(ISNUMBER($M1011)),$M1011=0),"",$C1011/$M1011-1)</f>
        <v/>
      </c>
      <c r="P1011" s="54"/>
      <c r="Q1011" s="53" t="str">
        <f aca="false">IF(NOT(ISNUMBER($P1011)),"",IFERROR(PERCENTRANK($P$5:$P$1204,$P1011),""))</f>
        <v/>
      </c>
    </row>
    <row r="1012" customFormat="false" ht="15" hidden="false" customHeight="false" outlineLevel="0" collapsed="false">
      <c r="A1012" s="55"/>
      <c r="B1012" s="56"/>
      <c r="C1012" s="57"/>
      <c r="D1012" s="56"/>
      <c r="E1012" s="56"/>
      <c r="F1012" s="56"/>
      <c r="G1012" s="50" t="str">
        <f aca="false">IF($A1012="","",IF(ISNUMBER($G1011),$G1011+1,1))</f>
        <v/>
      </c>
      <c r="H1012" s="51" t="str">
        <f aca="false">IF(OR(NOT(ISNUMBER($G1012)),$G1012&lt;2,NOT(ISNUMBER($C1011)),$C1011=0),"",$C1012/$C1011-1)</f>
        <v/>
      </c>
      <c r="I1012" s="52" t="str">
        <f aca="false">IF(AND(ISNUMBER($G1012),$G1012&gt;=MA_SHORT),AVERAGE(INDEX($C$612:$C1012,402-MA_SHORT):$C1012),"")</f>
        <v/>
      </c>
      <c r="J1012" s="52" t="str">
        <f aca="false">IF(AND(ISNUMBER($G1012),$G1012&gt;=MA_MED),AVERAGE(INDEX($C$612:$C1012,402-MA_MED):$C1012),"")</f>
        <v/>
      </c>
      <c r="K1012" s="52" t="str">
        <f aca="false">IF(AND(ISNUMBER($G1012),$G1012&gt;=MA_LONG2),AVERAGE(INDEX($C$612:$C1012,402-MA_LONG2):$C1012),"")</f>
        <v/>
      </c>
      <c r="L1012" s="53" t="str">
        <f aca="false">IF(AND(ISNUMBER($G1012),$G1012&gt;=21),STDEV(INDEX($H$952:$H1012,62-20):$H1012)*SQRT(245),"")</f>
        <v/>
      </c>
      <c r="M1012" s="52" t="str">
        <f aca="false">IF(AND(ISNUMBER($G1012),$G1012&gt;=60),MAX(INDEX($D$812:$D1012,202-60):$D1012),"")</f>
        <v/>
      </c>
      <c r="N1012" s="52" t="str">
        <f aca="false">IF(AND(ISNUMBER($G1012),$G1012&gt;=60),MIN(INDEX($E$812:$E1012,202-60):$E1012),"")</f>
        <v/>
      </c>
      <c r="O1012" s="53" t="str">
        <f aca="false">IF(OR(NOT(ISNUMBER($C1012)),NOT(ISNUMBER($M1012)),$M1012=0),"",$C1012/$M1012-1)</f>
        <v/>
      </c>
      <c r="P1012" s="54"/>
      <c r="Q1012" s="53" t="str">
        <f aca="false">IF(NOT(ISNUMBER($P1012)),"",IFERROR(PERCENTRANK($P$5:$P$1204,$P1012),""))</f>
        <v/>
      </c>
    </row>
    <row r="1013" customFormat="false" ht="15" hidden="false" customHeight="false" outlineLevel="0" collapsed="false">
      <c r="A1013" s="55"/>
      <c r="B1013" s="56"/>
      <c r="C1013" s="57"/>
      <c r="D1013" s="56"/>
      <c r="E1013" s="56"/>
      <c r="F1013" s="56"/>
      <c r="G1013" s="50" t="str">
        <f aca="false">IF($A1013="","",IF(ISNUMBER($G1012),$G1012+1,1))</f>
        <v/>
      </c>
      <c r="H1013" s="51" t="str">
        <f aca="false">IF(OR(NOT(ISNUMBER($G1013)),$G1013&lt;2,NOT(ISNUMBER($C1012)),$C1012=0),"",$C1013/$C1012-1)</f>
        <v/>
      </c>
      <c r="I1013" s="52" t="str">
        <f aca="false">IF(AND(ISNUMBER($G1013),$G1013&gt;=MA_SHORT),AVERAGE(INDEX($C$613:$C1013,402-MA_SHORT):$C1013),"")</f>
        <v/>
      </c>
      <c r="J1013" s="52" t="str">
        <f aca="false">IF(AND(ISNUMBER($G1013),$G1013&gt;=MA_MED),AVERAGE(INDEX($C$613:$C1013,402-MA_MED):$C1013),"")</f>
        <v/>
      </c>
      <c r="K1013" s="52" t="str">
        <f aca="false">IF(AND(ISNUMBER($G1013),$G1013&gt;=MA_LONG2),AVERAGE(INDEX($C$613:$C1013,402-MA_LONG2):$C1013),"")</f>
        <v/>
      </c>
      <c r="L1013" s="53" t="str">
        <f aca="false">IF(AND(ISNUMBER($G1013),$G1013&gt;=21),STDEV(INDEX($H$953:$H1013,62-20):$H1013)*SQRT(245),"")</f>
        <v/>
      </c>
      <c r="M1013" s="52" t="str">
        <f aca="false">IF(AND(ISNUMBER($G1013),$G1013&gt;=60),MAX(INDEX($D$813:$D1013,202-60):$D1013),"")</f>
        <v/>
      </c>
      <c r="N1013" s="52" t="str">
        <f aca="false">IF(AND(ISNUMBER($G1013),$G1013&gt;=60),MIN(INDEX($E$813:$E1013,202-60):$E1013),"")</f>
        <v/>
      </c>
      <c r="O1013" s="53" t="str">
        <f aca="false">IF(OR(NOT(ISNUMBER($C1013)),NOT(ISNUMBER($M1013)),$M1013=0),"",$C1013/$M1013-1)</f>
        <v/>
      </c>
      <c r="P1013" s="54"/>
      <c r="Q1013" s="53" t="str">
        <f aca="false">IF(NOT(ISNUMBER($P1013)),"",IFERROR(PERCENTRANK($P$5:$P$1204,$P1013),""))</f>
        <v/>
      </c>
    </row>
    <row r="1014" customFormat="false" ht="15" hidden="false" customHeight="false" outlineLevel="0" collapsed="false">
      <c r="A1014" s="55"/>
      <c r="B1014" s="56"/>
      <c r="C1014" s="57"/>
      <c r="D1014" s="56"/>
      <c r="E1014" s="56"/>
      <c r="F1014" s="56"/>
      <c r="G1014" s="50" t="str">
        <f aca="false">IF($A1014="","",IF(ISNUMBER($G1013),$G1013+1,1))</f>
        <v/>
      </c>
      <c r="H1014" s="51" t="str">
        <f aca="false">IF(OR(NOT(ISNUMBER($G1014)),$G1014&lt;2,NOT(ISNUMBER($C1013)),$C1013=0),"",$C1014/$C1013-1)</f>
        <v/>
      </c>
      <c r="I1014" s="52" t="str">
        <f aca="false">IF(AND(ISNUMBER($G1014),$G1014&gt;=MA_SHORT),AVERAGE(INDEX($C$614:$C1014,402-MA_SHORT):$C1014),"")</f>
        <v/>
      </c>
      <c r="J1014" s="52" t="str">
        <f aca="false">IF(AND(ISNUMBER($G1014),$G1014&gt;=MA_MED),AVERAGE(INDEX($C$614:$C1014,402-MA_MED):$C1014),"")</f>
        <v/>
      </c>
      <c r="K1014" s="52" t="str">
        <f aca="false">IF(AND(ISNUMBER($G1014),$G1014&gt;=MA_LONG2),AVERAGE(INDEX($C$614:$C1014,402-MA_LONG2):$C1014),"")</f>
        <v/>
      </c>
      <c r="L1014" s="53" t="str">
        <f aca="false">IF(AND(ISNUMBER($G1014),$G1014&gt;=21),STDEV(INDEX($H$954:$H1014,62-20):$H1014)*SQRT(245),"")</f>
        <v/>
      </c>
      <c r="M1014" s="52" t="str">
        <f aca="false">IF(AND(ISNUMBER($G1014),$G1014&gt;=60),MAX(INDEX($D$814:$D1014,202-60):$D1014),"")</f>
        <v/>
      </c>
      <c r="N1014" s="52" t="str">
        <f aca="false">IF(AND(ISNUMBER($G1014),$G1014&gt;=60),MIN(INDEX($E$814:$E1014,202-60):$E1014),"")</f>
        <v/>
      </c>
      <c r="O1014" s="53" t="str">
        <f aca="false">IF(OR(NOT(ISNUMBER($C1014)),NOT(ISNUMBER($M1014)),$M1014=0),"",$C1014/$M1014-1)</f>
        <v/>
      </c>
      <c r="P1014" s="54"/>
      <c r="Q1014" s="53" t="str">
        <f aca="false">IF(NOT(ISNUMBER($P1014)),"",IFERROR(PERCENTRANK($P$5:$P$1204,$P1014),""))</f>
        <v/>
      </c>
    </row>
    <row r="1015" customFormat="false" ht="15" hidden="false" customHeight="false" outlineLevel="0" collapsed="false">
      <c r="A1015" s="55"/>
      <c r="B1015" s="56"/>
      <c r="C1015" s="57"/>
      <c r="D1015" s="56"/>
      <c r="E1015" s="56"/>
      <c r="F1015" s="56"/>
      <c r="G1015" s="50" t="str">
        <f aca="false">IF($A1015="","",IF(ISNUMBER($G1014),$G1014+1,1))</f>
        <v/>
      </c>
      <c r="H1015" s="51" t="str">
        <f aca="false">IF(OR(NOT(ISNUMBER($G1015)),$G1015&lt;2,NOT(ISNUMBER($C1014)),$C1014=0),"",$C1015/$C1014-1)</f>
        <v/>
      </c>
      <c r="I1015" s="52" t="str">
        <f aca="false">IF(AND(ISNUMBER($G1015),$G1015&gt;=MA_SHORT),AVERAGE(INDEX($C$615:$C1015,402-MA_SHORT):$C1015),"")</f>
        <v/>
      </c>
      <c r="J1015" s="52" t="str">
        <f aca="false">IF(AND(ISNUMBER($G1015),$G1015&gt;=MA_MED),AVERAGE(INDEX($C$615:$C1015,402-MA_MED):$C1015),"")</f>
        <v/>
      </c>
      <c r="K1015" s="52" t="str">
        <f aca="false">IF(AND(ISNUMBER($G1015),$G1015&gt;=MA_LONG2),AVERAGE(INDEX($C$615:$C1015,402-MA_LONG2):$C1015),"")</f>
        <v/>
      </c>
      <c r="L1015" s="53" t="str">
        <f aca="false">IF(AND(ISNUMBER($G1015),$G1015&gt;=21),STDEV(INDEX($H$955:$H1015,62-20):$H1015)*SQRT(245),"")</f>
        <v/>
      </c>
      <c r="M1015" s="52" t="str">
        <f aca="false">IF(AND(ISNUMBER($G1015),$G1015&gt;=60),MAX(INDEX($D$815:$D1015,202-60):$D1015),"")</f>
        <v/>
      </c>
      <c r="N1015" s="52" t="str">
        <f aca="false">IF(AND(ISNUMBER($G1015),$G1015&gt;=60),MIN(INDEX($E$815:$E1015,202-60):$E1015),"")</f>
        <v/>
      </c>
      <c r="O1015" s="53" t="str">
        <f aca="false">IF(OR(NOT(ISNUMBER($C1015)),NOT(ISNUMBER($M1015)),$M1015=0),"",$C1015/$M1015-1)</f>
        <v/>
      </c>
      <c r="P1015" s="54"/>
      <c r="Q1015" s="53" t="str">
        <f aca="false">IF(NOT(ISNUMBER($P1015)),"",IFERROR(PERCENTRANK($P$5:$P$1204,$P1015),""))</f>
        <v/>
      </c>
    </row>
    <row r="1016" customFormat="false" ht="15" hidden="false" customHeight="false" outlineLevel="0" collapsed="false">
      <c r="A1016" s="55"/>
      <c r="B1016" s="56"/>
      <c r="C1016" s="57"/>
      <c r="D1016" s="56"/>
      <c r="E1016" s="56"/>
      <c r="F1016" s="56"/>
      <c r="G1016" s="50" t="str">
        <f aca="false">IF($A1016="","",IF(ISNUMBER($G1015),$G1015+1,1))</f>
        <v/>
      </c>
      <c r="H1016" s="51" t="str">
        <f aca="false">IF(OR(NOT(ISNUMBER($G1016)),$G1016&lt;2,NOT(ISNUMBER($C1015)),$C1015=0),"",$C1016/$C1015-1)</f>
        <v/>
      </c>
      <c r="I1016" s="52" t="str">
        <f aca="false">IF(AND(ISNUMBER($G1016),$G1016&gt;=MA_SHORT),AVERAGE(INDEX($C$616:$C1016,402-MA_SHORT):$C1016),"")</f>
        <v/>
      </c>
      <c r="J1016" s="52" t="str">
        <f aca="false">IF(AND(ISNUMBER($G1016),$G1016&gt;=MA_MED),AVERAGE(INDEX($C$616:$C1016,402-MA_MED):$C1016),"")</f>
        <v/>
      </c>
      <c r="K1016" s="52" t="str">
        <f aca="false">IF(AND(ISNUMBER($G1016),$G1016&gt;=MA_LONG2),AVERAGE(INDEX($C$616:$C1016,402-MA_LONG2):$C1016),"")</f>
        <v/>
      </c>
      <c r="L1016" s="53" t="str">
        <f aca="false">IF(AND(ISNUMBER($G1016),$G1016&gt;=21),STDEV(INDEX($H$956:$H1016,62-20):$H1016)*SQRT(245),"")</f>
        <v/>
      </c>
      <c r="M1016" s="52" t="str">
        <f aca="false">IF(AND(ISNUMBER($G1016),$G1016&gt;=60),MAX(INDEX($D$816:$D1016,202-60):$D1016),"")</f>
        <v/>
      </c>
      <c r="N1016" s="52" t="str">
        <f aca="false">IF(AND(ISNUMBER($G1016),$G1016&gt;=60),MIN(INDEX($E$816:$E1016,202-60):$E1016),"")</f>
        <v/>
      </c>
      <c r="O1016" s="53" t="str">
        <f aca="false">IF(OR(NOT(ISNUMBER($C1016)),NOT(ISNUMBER($M1016)),$M1016=0),"",$C1016/$M1016-1)</f>
        <v/>
      </c>
      <c r="P1016" s="54"/>
      <c r="Q1016" s="53" t="str">
        <f aca="false">IF(NOT(ISNUMBER($P1016)),"",IFERROR(PERCENTRANK($P$5:$P$1204,$P1016),""))</f>
        <v/>
      </c>
    </row>
    <row r="1017" customFormat="false" ht="15" hidden="false" customHeight="false" outlineLevel="0" collapsed="false">
      <c r="A1017" s="55"/>
      <c r="B1017" s="56"/>
      <c r="C1017" s="57"/>
      <c r="D1017" s="56"/>
      <c r="E1017" s="56"/>
      <c r="F1017" s="56"/>
      <c r="G1017" s="50" t="str">
        <f aca="false">IF($A1017="","",IF(ISNUMBER($G1016),$G1016+1,1))</f>
        <v/>
      </c>
      <c r="H1017" s="51" t="str">
        <f aca="false">IF(OR(NOT(ISNUMBER($G1017)),$G1017&lt;2,NOT(ISNUMBER($C1016)),$C1016=0),"",$C1017/$C1016-1)</f>
        <v/>
      </c>
      <c r="I1017" s="52" t="str">
        <f aca="false">IF(AND(ISNUMBER($G1017),$G1017&gt;=MA_SHORT),AVERAGE(INDEX($C$617:$C1017,402-MA_SHORT):$C1017),"")</f>
        <v/>
      </c>
      <c r="J1017" s="52" t="str">
        <f aca="false">IF(AND(ISNUMBER($G1017),$G1017&gt;=MA_MED),AVERAGE(INDEX($C$617:$C1017,402-MA_MED):$C1017),"")</f>
        <v/>
      </c>
      <c r="K1017" s="52" t="str">
        <f aca="false">IF(AND(ISNUMBER($G1017),$G1017&gt;=MA_LONG2),AVERAGE(INDEX($C$617:$C1017,402-MA_LONG2):$C1017),"")</f>
        <v/>
      </c>
      <c r="L1017" s="53" t="str">
        <f aca="false">IF(AND(ISNUMBER($G1017),$G1017&gt;=21),STDEV(INDEX($H$957:$H1017,62-20):$H1017)*SQRT(245),"")</f>
        <v/>
      </c>
      <c r="M1017" s="52" t="str">
        <f aca="false">IF(AND(ISNUMBER($G1017),$G1017&gt;=60),MAX(INDEX($D$817:$D1017,202-60):$D1017),"")</f>
        <v/>
      </c>
      <c r="N1017" s="52" t="str">
        <f aca="false">IF(AND(ISNUMBER($G1017),$G1017&gt;=60),MIN(INDEX($E$817:$E1017,202-60):$E1017),"")</f>
        <v/>
      </c>
      <c r="O1017" s="53" t="str">
        <f aca="false">IF(OR(NOT(ISNUMBER($C1017)),NOT(ISNUMBER($M1017)),$M1017=0),"",$C1017/$M1017-1)</f>
        <v/>
      </c>
      <c r="P1017" s="54"/>
      <c r="Q1017" s="53" t="str">
        <f aca="false">IF(NOT(ISNUMBER($P1017)),"",IFERROR(PERCENTRANK($P$5:$P$1204,$P1017),""))</f>
        <v/>
      </c>
    </row>
    <row r="1018" customFormat="false" ht="15" hidden="false" customHeight="false" outlineLevel="0" collapsed="false">
      <c r="A1018" s="55"/>
      <c r="B1018" s="56"/>
      <c r="C1018" s="57"/>
      <c r="D1018" s="56"/>
      <c r="E1018" s="56"/>
      <c r="F1018" s="56"/>
      <c r="G1018" s="50" t="str">
        <f aca="false">IF($A1018="","",IF(ISNUMBER($G1017),$G1017+1,1))</f>
        <v/>
      </c>
      <c r="H1018" s="51" t="str">
        <f aca="false">IF(OR(NOT(ISNUMBER($G1018)),$G1018&lt;2,NOT(ISNUMBER($C1017)),$C1017=0),"",$C1018/$C1017-1)</f>
        <v/>
      </c>
      <c r="I1018" s="52" t="str">
        <f aca="false">IF(AND(ISNUMBER($G1018),$G1018&gt;=MA_SHORT),AVERAGE(INDEX($C$618:$C1018,402-MA_SHORT):$C1018),"")</f>
        <v/>
      </c>
      <c r="J1018" s="52" t="str">
        <f aca="false">IF(AND(ISNUMBER($G1018),$G1018&gt;=MA_MED),AVERAGE(INDEX($C$618:$C1018,402-MA_MED):$C1018),"")</f>
        <v/>
      </c>
      <c r="K1018" s="52" t="str">
        <f aca="false">IF(AND(ISNUMBER($G1018),$G1018&gt;=MA_LONG2),AVERAGE(INDEX($C$618:$C1018,402-MA_LONG2):$C1018),"")</f>
        <v/>
      </c>
      <c r="L1018" s="53" t="str">
        <f aca="false">IF(AND(ISNUMBER($G1018),$G1018&gt;=21),STDEV(INDEX($H$958:$H1018,62-20):$H1018)*SQRT(245),"")</f>
        <v/>
      </c>
      <c r="M1018" s="52" t="str">
        <f aca="false">IF(AND(ISNUMBER($G1018),$G1018&gt;=60),MAX(INDEX($D$818:$D1018,202-60):$D1018),"")</f>
        <v/>
      </c>
      <c r="N1018" s="52" t="str">
        <f aca="false">IF(AND(ISNUMBER($G1018),$G1018&gt;=60),MIN(INDEX($E$818:$E1018,202-60):$E1018),"")</f>
        <v/>
      </c>
      <c r="O1018" s="53" t="str">
        <f aca="false">IF(OR(NOT(ISNUMBER($C1018)),NOT(ISNUMBER($M1018)),$M1018=0),"",$C1018/$M1018-1)</f>
        <v/>
      </c>
      <c r="P1018" s="54"/>
      <c r="Q1018" s="53" t="str">
        <f aca="false">IF(NOT(ISNUMBER($P1018)),"",IFERROR(PERCENTRANK($P$5:$P$1204,$P1018),""))</f>
        <v/>
      </c>
    </row>
    <row r="1019" customFormat="false" ht="15" hidden="false" customHeight="false" outlineLevel="0" collapsed="false">
      <c r="A1019" s="55"/>
      <c r="B1019" s="56"/>
      <c r="C1019" s="57"/>
      <c r="D1019" s="56"/>
      <c r="E1019" s="56"/>
      <c r="F1019" s="56"/>
      <c r="G1019" s="50" t="str">
        <f aca="false">IF($A1019="","",IF(ISNUMBER($G1018),$G1018+1,1))</f>
        <v/>
      </c>
      <c r="H1019" s="51" t="str">
        <f aca="false">IF(OR(NOT(ISNUMBER($G1019)),$G1019&lt;2,NOT(ISNUMBER($C1018)),$C1018=0),"",$C1019/$C1018-1)</f>
        <v/>
      </c>
      <c r="I1019" s="52" t="str">
        <f aca="false">IF(AND(ISNUMBER($G1019),$G1019&gt;=MA_SHORT),AVERAGE(INDEX($C$619:$C1019,402-MA_SHORT):$C1019),"")</f>
        <v/>
      </c>
      <c r="J1019" s="52" t="str">
        <f aca="false">IF(AND(ISNUMBER($G1019),$G1019&gt;=MA_MED),AVERAGE(INDEX($C$619:$C1019,402-MA_MED):$C1019),"")</f>
        <v/>
      </c>
      <c r="K1019" s="52" t="str">
        <f aca="false">IF(AND(ISNUMBER($G1019),$G1019&gt;=MA_LONG2),AVERAGE(INDEX($C$619:$C1019,402-MA_LONG2):$C1019),"")</f>
        <v/>
      </c>
      <c r="L1019" s="53" t="str">
        <f aca="false">IF(AND(ISNUMBER($G1019),$G1019&gt;=21),STDEV(INDEX($H$959:$H1019,62-20):$H1019)*SQRT(245),"")</f>
        <v/>
      </c>
      <c r="M1019" s="52" t="str">
        <f aca="false">IF(AND(ISNUMBER($G1019),$G1019&gt;=60),MAX(INDEX($D$819:$D1019,202-60):$D1019),"")</f>
        <v/>
      </c>
      <c r="N1019" s="52" t="str">
        <f aca="false">IF(AND(ISNUMBER($G1019),$G1019&gt;=60),MIN(INDEX($E$819:$E1019,202-60):$E1019),"")</f>
        <v/>
      </c>
      <c r="O1019" s="53" t="str">
        <f aca="false">IF(OR(NOT(ISNUMBER($C1019)),NOT(ISNUMBER($M1019)),$M1019=0),"",$C1019/$M1019-1)</f>
        <v/>
      </c>
      <c r="P1019" s="54"/>
      <c r="Q1019" s="53" t="str">
        <f aca="false">IF(NOT(ISNUMBER($P1019)),"",IFERROR(PERCENTRANK($P$5:$P$1204,$P1019),""))</f>
        <v/>
      </c>
    </row>
    <row r="1020" customFormat="false" ht="15" hidden="false" customHeight="false" outlineLevel="0" collapsed="false">
      <c r="A1020" s="55"/>
      <c r="B1020" s="56"/>
      <c r="C1020" s="57"/>
      <c r="D1020" s="56"/>
      <c r="E1020" s="56"/>
      <c r="F1020" s="56"/>
      <c r="G1020" s="50" t="str">
        <f aca="false">IF($A1020="","",IF(ISNUMBER($G1019),$G1019+1,1))</f>
        <v/>
      </c>
      <c r="H1020" s="51" t="str">
        <f aca="false">IF(OR(NOT(ISNUMBER($G1020)),$G1020&lt;2,NOT(ISNUMBER($C1019)),$C1019=0),"",$C1020/$C1019-1)</f>
        <v/>
      </c>
      <c r="I1020" s="52" t="str">
        <f aca="false">IF(AND(ISNUMBER($G1020),$G1020&gt;=MA_SHORT),AVERAGE(INDEX($C$620:$C1020,402-MA_SHORT):$C1020),"")</f>
        <v/>
      </c>
      <c r="J1020" s="52" t="str">
        <f aca="false">IF(AND(ISNUMBER($G1020),$G1020&gt;=MA_MED),AVERAGE(INDEX($C$620:$C1020,402-MA_MED):$C1020),"")</f>
        <v/>
      </c>
      <c r="K1020" s="52" t="str">
        <f aca="false">IF(AND(ISNUMBER($G1020),$G1020&gt;=MA_LONG2),AVERAGE(INDEX($C$620:$C1020,402-MA_LONG2):$C1020),"")</f>
        <v/>
      </c>
      <c r="L1020" s="53" t="str">
        <f aca="false">IF(AND(ISNUMBER($G1020),$G1020&gt;=21),STDEV(INDEX($H$960:$H1020,62-20):$H1020)*SQRT(245),"")</f>
        <v/>
      </c>
      <c r="M1020" s="52" t="str">
        <f aca="false">IF(AND(ISNUMBER($G1020),$G1020&gt;=60),MAX(INDEX($D$820:$D1020,202-60):$D1020),"")</f>
        <v/>
      </c>
      <c r="N1020" s="52" t="str">
        <f aca="false">IF(AND(ISNUMBER($G1020),$G1020&gt;=60),MIN(INDEX($E$820:$E1020,202-60):$E1020),"")</f>
        <v/>
      </c>
      <c r="O1020" s="53" t="str">
        <f aca="false">IF(OR(NOT(ISNUMBER($C1020)),NOT(ISNUMBER($M1020)),$M1020=0),"",$C1020/$M1020-1)</f>
        <v/>
      </c>
      <c r="P1020" s="54"/>
      <c r="Q1020" s="53" t="str">
        <f aca="false">IF(NOT(ISNUMBER($P1020)),"",IFERROR(PERCENTRANK($P$5:$P$1204,$P1020),""))</f>
        <v/>
      </c>
    </row>
    <row r="1021" customFormat="false" ht="15" hidden="false" customHeight="false" outlineLevel="0" collapsed="false">
      <c r="A1021" s="55"/>
      <c r="B1021" s="56"/>
      <c r="C1021" s="57"/>
      <c r="D1021" s="56"/>
      <c r="E1021" s="56"/>
      <c r="F1021" s="56"/>
      <c r="G1021" s="50" t="str">
        <f aca="false">IF($A1021="","",IF(ISNUMBER($G1020),$G1020+1,1))</f>
        <v/>
      </c>
      <c r="H1021" s="51" t="str">
        <f aca="false">IF(OR(NOT(ISNUMBER($G1021)),$G1021&lt;2,NOT(ISNUMBER($C1020)),$C1020=0),"",$C1021/$C1020-1)</f>
        <v/>
      </c>
      <c r="I1021" s="52" t="str">
        <f aca="false">IF(AND(ISNUMBER($G1021),$G1021&gt;=MA_SHORT),AVERAGE(INDEX($C$621:$C1021,402-MA_SHORT):$C1021),"")</f>
        <v/>
      </c>
      <c r="J1021" s="52" t="str">
        <f aca="false">IF(AND(ISNUMBER($G1021),$G1021&gt;=MA_MED),AVERAGE(INDEX($C$621:$C1021,402-MA_MED):$C1021),"")</f>
        <v/>
      </c>
      <c r="K1021" s="52" t="str">
        <f aca="false">IF(AND(ISNUMBER($G1021),$G1021&gt;=MA_LONG2),AVERAGE(INDEX($C$621:$C1021,402-MA_LONG2):$C1021),"")</f>
        <v/>
      </c>
      <c r="L1021" s="53" t="str">
        <f aca="false">IF(AND(ISNUMBER($G1021),$G1021&gt;=21),STDEV(INDEX($H$961:$H1021,62-20):$H1021)*SQRT(245),"")</f>
        <v/>
      </c>
      <c r="M1021" s="52" t="str">
        <f aca="false">IF(AND(ISNUMBER($G1021),$G1021&gt;=60),MAX(INDEX($D$821:$D1021,202-60):$D1021),"")</f>
        <v/>
      </c>
      <c r="N1021" s="52" t="str">
        <f aca="false">IF(AND(ISNUMBER($G1021),$G1021&gt;=60),MIN(INDEX($E$821:$E1021,202-60):$E1021),"")</f>
        <v/>
      </c>
      <c r="O1021" s="53" t="str">
        <f aca="false">IF(OR(NOT(ISNUMBER($C1021)),NOT(ISNUMBER($M1021)),$M1021=0),"",$C1021/$M1021-1)</f>
        <v/>
      </c>
      <c r="P1021" s="54"/>
      <c r="Q1021" s="53" t="str">
        <f aca="false">IF(NOT(ISNUMBER($P1021)),"",IFERROR(PERCENTRANK($P$5:$P$1204,$P1021),""))</f>
        <v/>
      </c>
    </row>
    <row r="1022" customFormat="false" ht="15" hidden="false" customHeight="false" outlineLevel="0" collapsed="false">
      <c r="A1022" s="55"/>
      <c r="B1022" s="56"/>
      <c r="C1022" s="57"/>
      <c r="D1022" s="56"/>
      <c r="E1022" s="56"/>
      <c r="F1022" s="56"/>
      <c r="G1022" s="50" t="str">
        <f aca="false">IF($A1022="","",IF(ISNUMBER($G1021),$G1021+1,1))</f>
        <v/>
      </c>
      <c r="H1022" s="51" t="str">
        <f aca="false">IF(OR(NOT(ISNUMBER($G1022)),$G1022&lt;2,NOT(ISNUMBER($C1021)),$C1021=0),"",$C1022/$C1021-1)</f>
        <v/>
      </c>
      <c r="I1022" s="52" t="str">
        <f aca="false">IF(AND(ISNUMBER($G1022),$G1022&gt;=MA_SHORT),AVERAGE(INDEX($C$622:$C1022,402-MA_SHORT):$C1022),"")</f>
        <v/>
      </c>
      <c r="J1022" s="52" t="str">
        <f aca="false">IF(AND(ISNUMBER($G1022),$G1022&gt;=MA_MED),AVERAGE(INDEX($C$622:$C1022,402-MA_MED):$C1022),"")</f>
        <v/>
      </c>
      <c r="K1022" s="52" t="str">
        <f aca="false">IF(AND(ISNUMBER($G1022),$G1022&gt;=MA_LONG2),AVERAGE(INDEX($C$622:$C1022,402-MA_LONG2):$C1022),"")</f>
        <v/>
      </c>
      <c r="L1022" s="53" t="str">
        <f aca="false">IF(AND(ISNUMBER($G1022),$G1022&gt;=21),STDEV(INDEX($H$962:$H1022,62-20):$H1022)*SQRT(245),"")</f>
        <v/>
      </c>
      <c r="M1022" s="52" t="str">
        <f aca="false">IF(AND(ISNUMBER($G1022),$G1022&gt;=60),MAX(INDEX($D$822:$D1022,202-60):$D1022),"")</f>
        <v/>
      </c>
      <c r="N1022" s="52" t="str">
        <f aca="false">IF(AND(ISNUMBER($G1022),$G1022&gt;=60),MIN(INDEX($E$822:$E1022,202-60):$E1022),"")</f>
        <v/>
      </c>
      <c r="O1022" s="53" t="str">
        <f aca="false">IF(OR(NOT(ISNUMBER($C1022)),NOT(ISNUMBER($M1022)),$M1022=0),"",$C1022/$M1022-1)</f>
        <v/>
      </c>
      <c r="P1022" s="54"/>
      <c r="Q1022" s="53" t="str">
        <f aca="false">IF(NOT(ISNUMBER($P1022)),"",IFERROR(PERCENTRANK($P$5:$P$1204,$P1022),""))</f>
        <v/>
      </c>
    </row>
    <row r="1023" customFormat="false" ht="15" hidden="false" customHeight="false" outlineLevel="0" collapsed="false">
      <c r="A1023" s="55"/>
      <c r="B1023" s="56"/>
      <c r="C1023" s="57"/>
      <c r="D1023" s="56"/>
      <c r="E1023" s="56"/>
      <c r="F1023" s="56"/>
      <c r="G1023" s="50" t="str">
        <f aca="false">IF($A1023="","",IF(ISNUMBER($G1022),$G1022+1,1))</f>
        <v/>
      </c>
      <c r="H1023" s="51" t="str">
        <f aca="false">IF(OR(NOT(ISNUMBER($G1023)),$G1023&lt;2,NOT(ISNUMBER($C1022)),$C1022=0),"",$C1023/$C1022-1)</f>
        <v/>
      </c>
      <c r="I1023" s="52" t="str">
        <f aca="false">IF(AND(ISNUMBER($G1023),$G1023&gt;=MA_SHORT),AVERAGE(INDEX($C$623:$C1023,402-MA_SHORT):$C1023),"")</f>
        <v/>
      </c>
      <c r="J1023" s="52" t="str">
        <f aca="false">IF(AND(ISNUMBER($G1023),$G1023&gt;=MA_MED),AVERAGE(INDEX($C$623:$C1023,402-MA_MED):$C1023),"")</f>
        <v/>
      </c>
      <c r="K1023" s="52" t="str">
        <f aca="false">IF(AND(ISNUMBER($G1023),$G1023&gt;=MA_LONG2),AVERAGE(INDEX($C$623:$C1023,402-MA_LONG2):$C1023),"")</f>
        <v/>
      </c>
      <c r="L1023" s="53" t="str">
        <f aca="false">IF(AND(ISNUMBER($G1023),$G1023&gt;=21),STDEV(INDEX($H$963:$H1023,62-20):$H1023)*SQRT(245),"")</f>
        <v/>
      </c>
      <c r="M1023" s="52" t="str">
        <f aca="false">IF(AND(ISNUMBER($G1023),$G1023&gt;=60),MAX(INDEX($D$823:$D1023,202-60):$D1023),"")</f>
        <v/>
      </c>
      <c r="N1023" s="52" t="str">
        <f aca="false">IF(AND(ISNUMBER($G1023),$G1023&gt;=60),MIN(INDEX($E$823:$E1023,202-60):$E1023),"")</f>
        <v/>
      </c>
      <c r="O1023" s="53" t="str">
        <f aca="false">IF(OR(NOT(ISNUMBER($C1023)),NOT(ISNUMBER($M1023)),$M1023=0),"",$C1023/$M1023-1)</f>
        <v/>
      </c>
      <c r="P1023" s="54"/>
      <c r="Q1023" s="53" t="str">
        <f aca="false">IF(NOT(ISNUMBER($P1023)),"",IFERROR(PERCENTRANK($P$5:$P$1204,$P1023),""))</f>
        <v/>
      </c>
    </row>
    <row r="1024" customFormat="false" ht="15" hidden="false" customHeight="false" outlineLevel="0" collapsed="false">
      <c r="A1024" s="55"/>
      <c r="B1024" s="56"/>
      <c r="C1024" s="57"/>
      <c r="D1024" s="56"/>
      <c r="E1024" s="56"/>
      <c r="F1024" s="56"/>
      <c r="G1024" s="50" t="str">
        <f aca="false">IF($A1024="","",IF(ISNUMBER($G1023),$G1023+1,1))</f>
        <v/>
      </c>
      <c r="H1024" s="51" t="str">
        <f aca="false">IF(OR(NOT(ISNUMBER($G1024)),$G1024&lt;2,NOT(ISNUMBER($C1023)),$C1023=0),"",$C1024/$C1023-1)</f>
        <v/>
      </c>
      <c r="I1024" s="52" t="str">
        <f aca="false">IF(AND(ISNUMBER($G1024),$G1024&gt;=MA_SHORT),AVERAGE(INDEX($C$624:$C1024,402-MA_SHORT):$C1024),"")</f>
        <v/>
      </c>
      <c r="J1024" s="52" t="str">
        <f aca="false">IF(AND(ISNUMBER($G1024),$G1024&gt;=MA_MED),AVERAGE(INDEX($C$624:$C1024,402-MA_MED):$C1024),"")</f>
        <v/>
      </c>
      <c r="K1024" s="52" t="str">
        <f aca="false">IF(AND(ISNUMBER($G1024),$G1024&gt;=MA_LONG2),AVERAGE(INDEX($C$624:$C1024,402-MA_LONG2):$C1024),"")</f>
        <v/>
      </c>
      <c r="L1024" s="53" t="str">
        <f aca="false">IF(AND(ISNUMBER($G1024),$G1024&gt;=21),STDEV(INDEX($H$964:$H1024,62-20):$H1024)*SQRT(245),"")</f>
        <v/>
      </c>
      <c r="M1024" s="52" t="str">
        <f aca="false">IF(AND(ISNUMBER($G1024),$G1024&gt;=60),MAX(INDEX($D$824:$D1024,202-60):$D1024),"")</f>
        <v/>
      </c>
      <c r="N1024" s="52" t="str">
        <f aca="false">IF(AND(ISNUMBER($G1024),$G1024&gt;=60),MIN(INDEX($E$824:$E1024,202-60):$E1024),"")</f>
        <v/>
      </c>
      <c r="O1024" s="53" t="str">
        <f aca="false">IF(OR(NOT(ISNUMBER($C1024)),NOT(ISNUMBER($M1024)),$M1024=0),"",$C1024/$M1024-1)</f>
        <v/>
      </c>
      <c r="P1024" s="54"/>
      <c r="Q1024" s="53" t="str">
        <f aca="false">IF(NOT(ISNUMBER($P1024)),"",IFERROR(PERCENTRANK($P$5:$P$1204,$P1024),""))</f>
        <v/>
      </c>
    </row>
    <row r="1025" customFormat="false" ht="15" hidden="false" customHeight="false" outlineLevel="0" collapsed="false">
      <c r="A1025" s="55"/>
      <c r="B1025" s="56"/>
      <c r="C1025" s="57"/>
      <c r="D1025" s="56"/>
      <c r="E1025" s="56"/>
      <c r="F1025" s="56"/>
      <c r="G1025" s="50" t="str">
        <f aca="false">IF($A1025="","",IF(ISNUMBER($G1024),$G1024+1,1))</f>
        <v/>
      </c>
      <c r="H1025" s="51" t="str">
        <f aca="false">IF(OR(NOT(ISNUMBER($G1025)),$G1025&lt;2,NOT(ISNUMBER($C1024)),$C1024=0),"",$C1025/$C1024-1)</f>
        <v/>
      </c>
      <c r="I1025" s="52" t="str">
        <f aca="false">IF(AND(ISNUMBER($G1025),$G1025&gt;=MA_SHORT),AVERAGE(INDEX($C$625:$C1025,402-MA_SHORT):$C1025),"")</f>
        <v/>
      </c>
      <c r="J1025" s="52" t="str">
        <f aca="false">IF(AND(ISNUMBER($G1025),$G1025&gt;=MA_MED),AVERAGE(INDEX($C$625:$C1025,402-MA_MED):$C1025),"")</f>
        <v/>
      </c>
      <c r="K1025" s="52" t="str">
        <f aca="false">IF(AND(ISNUMBER($G1025),$G1025&gt;=MA_LONG2),AVERAGE(INDEX($C$625:$C1025,402-MA_LONG2):$C1025),"")</f>
        <v/>
      </c>
      <c r="L1025" s="53" t="str">
        <f aca="false">IF(AND(ISNUMBER($G1025),$G1025&gt;=21),STDEV(INDEX($H$965:$H1025,62-20):$H1025)*SQRT(245),"")</f>
        <v/>
      </c>
      <c r="M1025" s="52" t="str">
        <f aca="false">IF(AND(ISNUMBER($G1025),$G1025&gt;=60),MAX(INDEX($D$825:$D1025,202-60):$D1025),"")</f>
        <v/>
      </c>
      <c r="N1025" s="52" t="str">
        <f aca="false">IF(AND(ISNUMBER($G1025),$G1025&gt;=60),MIN(INDEX($E$825:$E1025,202-60):$E1025),"")</f>
        <v/>
      </c>
      <c r="O1025" s="53" t="str">
        <f aca="false">IF(OR(NOT(ISNUMBER($C1025)),NOT(ISNUMBER($M1025)),$M1025=0),"",$C1025/$M1025-1)</f>
        <v/>
      </c>
      <c r="P1025" s="54"/>
      <c r="Q1025" s="53" t="str">
        <f aca="false">IF(NOT(ISNUMBER($P1025)),"",IFERROR(PERCENTRANK($P$5:$P$1204,$P1025),""))</f>
        <v/>
      </c>
    </row>
    <row r="1026" customFormat="false" ht="15" hidden="false" customHeight="false" outlineLevel="0" collapsed="false">
      <c r="A1026" s="55"/>
      <c r="B1026" s="56"/>
      <c r="C1026" s="57"/>
      <c r="D1026" s="56"/>
      <c r="E1026" s="56"/>
      <c r="F1026" s="56"/>
      <c r="G1026" s="50" t="str">
        <f aca="false">IF($A1026="","",IF(ISNUMBER($G1025),$G1025+1,1))</f>
        <v/>
      </c>
      <c r="H1026" s="51" t="str">
        <f aca="false">IF(OR(NOT(ISNUMBER($G1026)),$G1026&lt;2,NOT(ISNUMBER($C1025)),$C1025=0),"",$C1026/$C1025-1)</f>
        <v/>
      </c>
      <c r="I1026" s="52" t="str">
        <f aca="false">IF(AND(ISNUMBER($G1026),$G1026&gt;=MA_SHORT),AVERAGE(INDEX($C$626:$C1026,402-MA_SHORT):$C1026),"")</f>
        <v/>
      </c>
      <c r="J1026" s="52" t="str">
        <f aca="false">IF(AND(ISNUMBER($G1026),$G1026&gt;=MA_MED),AVERAGE(INDEX($C$626:$C1026,402-MA_MED):$C1026),"")</f>
        <v/>
      </c>
      <c r="K1026" s="52" t="str">
        <f aca="false">IF(AND(ISNUMBER($G1026),$G1026&gt;=MA_LONG2),AVERAGE(INDEX($C$626:$C1026,402-MA_LONG2):$C1026),"")</f>
        <v/>
      </c>
      <c r="L1026" s="53" t="str">
        <f aca="false">IF(AND(ISNUMBER($G1026),$G1026&gt;=21),STDEV(INDEX($H$966:$H1026,62-20):$H1026)*SQRT(245),"")</f>
        <v/>
      </c>
      <c r="M1026" s="52" t="str">
        <f aca="false">IF(AND(ISNUMBER($G1026),$G1026&gt;=60),MAX(INDEX($D$826:$D1026,202-60):$D1026),"")</f>
        <v/>
      </c>
      <c r="N1026" s="52" t="str">
        <f aca="false">IF(AND(ISNUMBER($G1026),$G1026&gt;=60),MIN(INDEX($E$826:$E1026,202-60):$E1026),"")</f>
        <v/>
      </c>
      <c r="O1026" s="53" t="str">
        <f aca="false">IF(OR(NOT(ISNUMBER($C1026)),NOT(ISNUMBER($M1026)),$M1026=0),"",$C1026/$M1026-1)</f>
        <v/>
      </c>
      <c r="P1026" s="54"/>
      <c r="Q1026" s="53" t="str">
        <f aca="false">IF(NOT(ISNUMBER($P1026)),"",IFERROR(PERCENTRANK($P$5:$P$1204,$P1026),""))</f>
        <v/>
      </c>
    </row>
    <row r="1027" customFormat="false" ht="15" hidden="false" customHeight="false" outlineLevel="0" collapsed="false">
      <c r="A1027" s="55"/>
      <c r="B1027" s="56"/>
      <c r="C1027" s="57"/>
      <c r="D1027" s="56"/>
      <c r="E1027" s="56"/>
      <c r="F1027" s="56"/>
      <c r="G1027" s="50" t="str">
        <f aca="false">IF($A1027="","",IF(ISNUMBER($G1026),$G1026+1,1))</f>
        <v/>
      </c>
      <c r="H1027" s="51" t="str">
        <f aca="false">IF(OR(NOT(ISNUMBER($G1027)),$G1027&lt;2,NOT(ISNUMBER($C1026)),$C1026=0),"",$C1027/$C1026-1)</f>
        <v/>
      </c>
      <c r="I1027" s="52" t="str">
        <f aca="false">IF(AND(ISNUMBER($G1027),$G1027&gt;=MA_SHORT),AVERAGE(INDEX($C$627:$C1027,402-MA_SHORT):$C1027),"")</f>
        <v/>
      </c>
      <c r="J1027" s="52" t="str">
        <f aca="false">IF(AND(ISNUMBER($G1027),$G1027&gt;=MA_MED),AVERAGE(INDEX($C$627:$C1027,402-MA_MED):$C1027),"")</f>
        <v/>
      </c>
      <c r="K1027" s="52" t="str">
        <f aca="false">IF(AND(ISNUMBER($G1027),$G1027&gt;=MA_LONG2),AVERAGE(INDEX($C$627:$C1027,402-MA_LONG2):$C1027),"")</f>
        <v/>
      </c>
      <c r="L1027" s="53" t="str">
        <f aca="false">IF(AND(ISNUMBER($G1027),$G1027&gt;=21),STDEV(INDEX($H$967:$H1027,62-20):$H1027)*SQRT(245),"")</f>
        <v/>
      </c>
      <c r="M1027" s="52" t="str">
        <f aca="false">IF(AND(ISNUMBER($G1027),$G1027&gt;=60),MAX(INDEX($D$827:$D1027,202-60):$D1027),"")</f>
        <v/>
      </c>
      <c r="N1027" s="52" t="str">
        <f aca="false">IF(AND(ISNUMBER($G1027),$G1027&gt;=60),MIN(INDEX($E$827:$E1027,202-60):$E1027),"")</f>
        <v/>
      </c>
      <c r="O1027" s="53" t="str">
        <f aca="false">IF(OR(NOT(ISNUMBER($C1027)),NOT(ISNUMBER($M1027)),$M1027=0),"",$C1027/$M1027-1)</f>
        <v/>
      </c>
      <c r="P1027" s="54"/>
      <c r="Q1027" s="53" t="str">
        <f aca="false">IF(NOT(ISNUMBER($P1027)),"",IFERROR(PERCENTRANK($P$5:$P$1204,$P1027),""))</f>
        <v/>
      </c>
    </row>
    <row r="1028" customFormat="false" ht="15" hidden="false" customHeight="false" outlineLevel="0" collapsed="false">
      <c r="A1028" s="55"/>
      <c r="B1028" s="56"/>
      <c r="C1028" s="57"/>
      <c r="D1028" s="56"/>
      <c r="E1028" s="56"/>
      <c r="F1028" s="56"/>
      <c r="G1028" s="50" t="str">
        <f aca="false">IF($A1028="","",IF(ISNUMBER($G1027),$G1027+1,1))</f>
        <v/>
      </c>
      <c r="H1028" s="51" t="str">
        <f aca="false">IF(OR(NOT(ISNUMBER($G1028)),$G1028&lt;2,NOT(ISNUMBER($C1027)),$C1027=0),"",$C1028/$C1027-1)</f>
        <v/>
      </c>
      <c r="I1028" s="52" t="str">
        <f aca="false">IF(AND(ISNUMBER($G1028),$G1028&gt;=MA_SHORT),AVERAGE(INDEX($C$628:$C1028,402-MA_SHORT):$C1028),"")</f>
        <v/>
      </c>
      <c r="J1028" s="52" t="str">
        <f aca="false">IF(AND(ISNUMBER($G1028),$G1028&gt;=MA_MED),AVERAGE(INDEX($C$628:$C1028,402-MA_MED):$C1028),"")</f>
        <v/>
      </c>
      <c r="K1028" s="52" t="str">
        <f aca="false">IF(AND(ISNUMBER($G1028),$G1028&gt;=MA_LONG2),AVERAGE(INDEX($C$628:$C1028,402-MA_LONG2):$C1028),"")</f>
        <v/>
      </c>
      <c r="L1028" s="53" t="str">
        <f aca="false">IF(AND(ISNUMBER($G1028),$G1028&gt;=21),STDEV(INDEX($H$968:$H1028,62-20):$H1028)*SQRT(245),"")</f>
        <v/>
      </c>
      <c r="M1028" s="52" t="str">
        <f aca="false">IF(AND(ISNUMBER($G1028),$G1028&gt;=60),MAX(INDEX($D$828:$D1028,202-60):$D1028),"")</f>
        <v/>
      </c>
      <c r="N1028" s="52" t="str">
        <f aca="false">IF(AND(ISNUMBER($G1028),$G1028&gt;=60),MIN(INDEX($E$828:$E1028,202-60):$E1028),"")</f>
        <v/>
      </c>
      <c r="O1028" s="53" t="str">
        <f aca="false">IF(OR(NOT(ISNUMBER($C1028)),NOT(ISNUMBER($M1028)),$M1028=0),"",$C1028/$M1028-1)</f>
        <v/>
      </c>
      <c r="P1028" s="54"/>
      <c r="Q1028" s="53" t="str">
        <f aca="false">IF(NOT(ISNUMBER($P1028)),"",IFERROR(PERCENTRANK($P$5:$P$1204,$P1028),""))</f>
        <v/>
      </c>
    </row>
    <row r="1029" customFormat="false" ht="15" hidden="false" customHeight="false" outlineLevel="0" collapsed="false">
      <c r="A1029" s="55"/>
      <c r="B1029" s="56"/>
      <c r="C1029" s="57"/>
      <c r="D1029" s="56"/>
      <c r="E1029" s="56"/>
      <c r="F1029" s="56"/>
      <c r="G1029" s="50" t="str">
        <f aca="false">IF($A1029="","",IF(ISNUMBER($G1028),$G1028+1,1))</f>
        <v/>
      </c>
      <c r="H1029" s="51" t="str">
        <f aca="false">IF(OR(NOT(ISNUMBER($G1029)),$G1029&lt;2,NOT(ISNUMBER($C1028)),$C1028=0),"",$C1029/$C1028-1)</f>
        <v/>
      </c>
      <c r="I1029" s="52" t="str">
        <f aca="false">IF(AND(ISNUMBER($G1029),$G1029&gt;=MA_SHORT),AVERAGE(INDEX($C$629:$C1029,402-MA_SHORT):$C1029),"")</f>
        <v/>
      </c>
      <c r="J1029" s="52" t="str">
        <f aca="false">IF(AND(ISNUMBER($G1029),$G1029&gt;=MA_MED),AVERAGE(INDEX($C$629:$C1029,402-MA_MED):$C1029),"")</f>
        <v/>
      </c>
      <c r="K1029" s="52" t="str">
        <f aca="false">IF(AND(ISNUMBER($G1029),$G1029&gt;=MA_LONG2),AVERAGE(INDEX($C$629:$C1029,402-MA_LONG2):$C1029),"")</f>
        <v/>
      </c>
      <c r="L1029" s="53" t="str">
        <f aca="false">IF(AND(ISNUMBER($G1029),$G1029&gt;=21),STDEV(INDEX($H$969:$H1029,62-20):$H1029)*SQRT(245),"")</f>
        <v/>
      </c>
      <c r="M1029" s="52" t="str">
        <f aca="false">IF(AND(ISNUMBER($G1029),$G1029&gt;=60),MAX(INDEX($D$829:$D1029,202-60):$D1029),"")</f>
        <v/>
      </c>
      <c r="N1029" s="52" t="str">
        <f aca="false">IF(AND(ISNUMBER($G1029),$G1029&gt;=60),MIN(INDEX($E$829:$E1029,202-60):$E1029),"")</f>
        <v/>
      </c>
      <c r="O1029" s="53" t="str">
        <f aca="false">IF(OR(NOT(ISNUMBER($C1029)),NOT(ISNUMBER($M1029)),$M1029=0),"",$C1029/$M1029-1)</f>
        <v/>
      </c>
      <c r="P1029" s="54"/>
      <c r="Q1029" s="53" t="str">
        <f aca="false">IF(NOT(ISNUMBER($P1029)),"",IFERROR(PERCENTRANK($P$5:$P$1204,$P1029),""))</f>
        <v/>
      </c>
    </row>
    <row r="1030" customFormat="false" ht="15" hidden="false" customHeight="false" outlineLevel="0" collapsed="false">
      <c r="A1030" s="55"/>
      <c r="B1030" s="56"/>
      <c r="C1030" s="57"/>
      <c r="D1030" s="56"/>
      <c r="E1030" s="56"/>
      <c r="F1030" s="56"/>
      <c r="G1030" s="50" t="str">
        <f aca="false">IF($A1030="","",IF(ISNUMBER($G1029),$G1029+1,1))</f>
        <v/>
      </c>
      <c r="H1030" s="51" t="str">
        <f aca="false">IF(OR(NOT(ISNUMBER($G1030)),$G1030&lt;2,NOT(ISNUMBER($C1029)),$C1029=0),"",$C1030/$C1029-1)</f>
        <v/>
      </c>
      <c r="I1030" s="52" t="str">
        <f aca="false">IF(AND(ISNUMBER($G1030),$G1030&gt;=MA_SHORT),AVERAGE(INDEX($C$630:$C1030,402-MA_SHORT):$C1030),"")</f>
        <v/>
      </c>
      <c r="J1030" s="52" t="str">
        <f aca="false">IF(AND(ISNUMBER($G1030),$G1030&gt;=MA_MED),AVERAGE(INDEX($C$630:$C1030,402-MA_MED):$C1030),"")</f>
        <v/>
      </c>
      <c r="K1030" s="52" t="str">
        <f aca="false">IF(AND(ISNUMBER($G1030),$G1030&gt;=MA_LONG2),AVERAGE(INDEX($C$630:$C1030,402-MA_LONG2):$C1030),"")</f>
        <v/>
      </c>
      <c r="L1030" s="53" t="str">
        <f aca="false">IF(AND(ISNUMBER($G1030),$G1030&gt;=21),STDEV(INDEX($H$970:$H1030,62-20):$H1030)*SQRT(245),"")</f>
        <v/>
      </c>
      <c r="M1030" s="52" t="str">
        <f aca="false">IF(AND(ISNUMBER($G1030),$G1030&gt;=60),MAX(INDEX($D$830:$D1030,202-60):$D1030),"")</f>
        <v/>
      </c>
      <c r="N1030" s="52" t="str">
        <f aca="false">IF(AND(ISNUMBER($G1030),$G1030&gt;=60),MIN(INDEX($E$830:$E1030,202-60):$E1030),"")</f>
        <v/>
      </c>
      <c r="O1030" s="53" t="str">
        <f aca="false">IF(OR(NOT(ISNUMBER($C1030)),NOT(ISNUMBER($M1030)),$M1030=0),"",$C1030/$M1030-1)</f>
        <v/>
      </c>
      <c r="P1030" s="54"/>
      <c r="Q1030" s="53" t="str">
        <f aca="false">IF(NOT(ISNUMBER($P1030)),"",IFERROR(PERCENTRANK($P$5:$P$1204,$P1030),""))</f>
        <v/>
      </c>
    </row>
    <row r="1031" customFormat="false" ht="15" hidden="false" customHeight="false" outlineLevel="0" collapsed="false">
      <c r="A1031" s="55"/>
      <c r="B1031" s="56"/>
      <c r="C1031" s="57"/>
      <c r="D1031" s="56"/>
      <c r="E1031" s="56"/>
      <c r="F1031" s="56"/>
      <c r="G1031" s="50" t="str">
        <f aca="false">IF($A1031="","",IF(ISNUMBER($G1030),$G1030+1,1))</f>
        <v/>
      </c>
      <c r="H1031" s="51" t="str">
        <f aca="false">IF(OR(NOT(ISNUMBER($G1031)),$G1031&lt;2,NOT(ISNUMBER($C1030)),$C1030=0),"",$C1031/$C1030-1)</f>
        <v/>
      </c>
      <c r="I1031" s="52" t="str">
        <f aca="false">IF(AND(ISNUMBER($G1031),$G1031&gt;=MA_SHORT),AVERAGE(INDEX($C$631:$C1031,402-MA_SHORT):$C1031),"")</f>
        <v/>
      </c>
      <c r="J1031" s="52" t="str">
        <f aca="false">IF(AND(ISNUMBER($G1031),$G1031&gt;=MA_MED),AVERAGE(INDEX($C$631:$C1031,402-MA_MED):$C1031),"")</f>
        <v/>
      </c>
      <c r="K1031" s="52" t="str">
        <f aca="false">IF(AND(ISNUMBER($G1031),$G1031&gt;=MA_LONG2),AVERAGE(INDEX($C$631:$C1031,402-MA_LONG2):$C1031),"")</f>
        <v/>
      </c>
      <c r="L1031" s="53" t="str">
        <f aca="false">IF(AND(ISNUMBER($G1031),$G1031&gt;=21),STDEV(INDEX($H$971:$H1031,62-20):$H1031)*SQRT(245),"")</f>
        <v/>
      </c>
      <c r="M1031" s="52" t="str">
        <f aca="false">IF(AND(ISNUMBER($G1031),$G1031&gt;=60),MAX(INDEX($D$831:$D1031,202-60):$D1031),"")</f>
        <v/>
      </c>
      <c r="N1031" s="52" t="str">
        <f aca="false">IF(AND(ISNUMBER($G1031),$G1031&gt;=60),MIN(INDEX($E$831:$E1031,202-60):$E1031),"")</f>
        <v/>
      </c>
      <c r="O1031" s="53" t="str">
        <f aca="false">IF(OR(NOT(ISNUMBER($C1031)),NOT(ISNUMBER($M1031)),$M1031=0),"",$C1031/$M1031-1)</f>
        <v/>
      </c>
      <c r="P1031" s="54"/>
      <c r="Q1031" s="53" t="str">
        <f aca="false">IF(NOT(ISNUMBER($P1031)),"",IFERROR(PERCENTRANK($P$5:$P$1204,$P1031),""))</f>
        <v/>
      </c>
    </row>
    <row r="1032" customFormat="false" ht="15" hidden="false" customHeight="false" outlineLevel="0" collapsed="false">
      <c r="A1032" s="55"/>
      <c r="B1032" s="56"/>
      <c r="C1032" s="57"/>
      <c r="D1032" s="56"/>
      <c r="E1032" s="56"/>
      <c r="F1032" s="56"/>
      <c r="G1032" s="50" t="str">
        <f aca="false">IF($A1032="","",IF(ISNUMBER($G1031),$G1031+1,1))</f>
        <v/>
      </c>
      <c r="H1032" s="51" t="str">
        <f aca="false">IF(OR(NOT(ISNUMBER($G1032)),$G1032&lt;2,NOT(ISNUMBER($C1031)),$C1031=0),"",$C1032/$C1031-1)</f>
        <v/>
      </c>
      <c r="I1032" s="52" t="str">
        <f aca="false">IF(AND(ISNUMBER($G1032),$G1032&gt;=MA_SHORT),AVERAGE(INDEX($C$632:$C1032,402-MA_SHORT):$C1032),"")</f>
        <v/>
      </c>
      <c r="J1032" s="52" t="str">
        <f aca="false">IF(AND(ISNUMBER($G1032),$G1032&gt;=MA_MED),AVERAGE(INDEX($C$632:$C1032,402-MA_MED):$C1032),"")</f>
        <v/>
      </c>
      <c r="K1032" s="52" t="str">
        <f aca="false">IF(AND(ISNUMBER($G1032),$G1032&gt;=MA_LONG2),AVERAGE(INDEX($C$632:$C1032,402-MA_LONG2):$C1032),"")</f>
        <v/>
      </c>
      <c r="L1032" s="53" t="str">
        <f aca="false">IF(AND(ISNUMBER($G1032),$G1032&gt;=21),STDEV(INDEX($H$972:$H1032,62-20):$H1032)*SQRT(245),"")</f>
        <v/>
      </c>
      <c r="M1032" s="52" t="str">
        <f aca="false">IF(AND(ISNUMBER($G1032),$G1032&gt;=60),MAX(INDEX($D$832:$D1032,202-60):$D1032),"")</f>
        <v/>
      </c>
      <c r="N1032" s="52" t="str">
        <f aca="false">IF(AND(ISNUMBER($G1032),$G1032&gt;=60),MIN(INDEX($E$832:$E1032,202-60):$E1032),"")</f>
        <v/>
      </c>
      <c r="O1032" s="53" t="str">
        <f aca="false">IF(OR(NOT(ISNUMBER($C1032)),NOT(ISNUMBER($M1032)),$M1032=0),"",$C1032/$M1032-1)</f>
        <v/>
      </c>
      <c r="P1032" s="54"/>
      <c r="Q1032" s="53" t="str">
        <f aca="false">IF(NOT(ISNUMBER($P1032)),"",IFERROR(PERCENTRANK($P$5:$P$1204,$P1032),""))</f>
        <v/>
      </c>
    </row>
    <row r="1033" customFormat="false" ht="15" hidden="false" customHeight="false" outlineLevel="0" collapsed="false">
      <c r="A1033" s="55"/>
      <c r="B1033" s="56"/>
      <c r="C1033" s="57"/>
      <c r="D1033" s="56"/>
      <c r="E1033" s="56"/>
      <c r="F1033" s="56"/>
      <c r="G1033" s="50" t="str">
        <f aca="false">IF($A1033="","",IF(ISNUMBER($G1032),$G1032+1,1))</f>
        <v/>
      </c>
      <c r="H1033" s="51" t="str">
        <f aca="false">IF(OR(NOT(ISNUMBER($G1033)),$G1033&lt;2,NOT(ISNUMBER($C1032)),$C1032=0),"",$C1033/$C1032-1)</f>
        <v/>
      </c>
      <c r="I1033" s="52" t="str">
        <f aca="false">IF(AND(ISNUMBER($G1033),$G1033&gt;=MA_SHORT),AVERAGE(INDEX($C$633:$C1033,402-MA_SHORT):$C1033),"")</f>
        <v/>
      </c>
      <c r="J1033" s="52" t="str">
        <f aca="false">IF(AND(ISNUMBER($G1033),$G1033&gt;=MA_MED),AVERAGE(INDEX($C$633:$C1033,402-MA_MED):$C1033),"")</f>
        <v/>
      </c>
      <c r="K1033" s="52" t="str">
        <f aca="false">IF(AND(ISNUMBER($G1033),$G1033&gt;=MA_LONG2),AVERAGE(INDEX($C$633:$C1033,402-MA_LONG2):$C1033),"")</f>
        <v/>
      </c>
      <c r="L1033" s="53" t="str">
        <f aca="false">IF(AND(ISNUMBER($G1033),$G1033&gt;=21),STDEV(INDEX($H$973:$H1033,62-20):$H1033)*SQRT(245),"")</f>
        <v/>
      </c>
      <c r="M1033" s="52" t="str">
        <f aca="false">IF(AND(ISNUMBER($G1033),$G1033&gt;=60),MAX(INDEX($D$833:$D1033,202-60):$D1033),"")</f>
        <v/>
      </c>
      <c r="N1033" s="52" t="str">
        <f aca="false">IF(AND(ISNUMBER($G1033),$G1033&gt;=60),MIN(INDEX($E$833:$E1033,202-60):$E1033),"")</f>
        <v/>
      </c>
      <c r="O1033" s="53" t="str">
        <f aca="false">IF(OR(NOT(ISNUMBER($C1033)),NOT(ISNUMBER($M1033)),$M1033=0),"",$C1033/$M1033-1)</f>
        <v/>
      </c>
      <c r="P1033" s="54"/>
      <c r="Q1033" s="53" t="str">
        <f aca="false">IF(NOT(ISNUMBER($P1033)),"",IFERROR(PERCENTRANK($P$5:$P$1204,$P1033),""))</f>
        <v/>
      </c>
    </row>
    <row r="1034" customFormat="false" ht="15" hidden="false" customHeight="false" outlineLevel="0" collapsed="false">
      <c r="A1034" s="55"/>
      <c r="B1034" s="56"/>
      <c r="C1034" s="57"/>
      <c r="D1034" s="56"/>
      <c r="E1034" s="56"/>
      <c r="F1034" s="56"/>
      <c r="G1034" s="50" t="str">
        <f aca="false">IF($A1034="","",IF(ISNUMBER($G1033),$G1033+1,1))</f>
        <v/>
      </c>
      <c r="H1034" s="51" t="str">
        <f aca="false">IF(OR(NOT(ISNUMBER($G1034)),$G1034&lt;2,NOT(ISNUMBER($C1033)),$C1033=0),"",$C1034/$C1033-1)</f>
        <v/>
      </c>
      <c r="I1034" s="52" t="str">
        <f aca="false">IF(AND(ISNUMBER($G1034),$G1034&gt;=MA_SHORT),AVERAGE(INDEX($C$634:$C1034,402-MA_SHORT):$C1034),"")</f>
        <v/>
      </c>
      <c r="J1034" s="52" t="str">
        <f aca="false">IF(AND(ISNUMBER($G1034),$G1034&gt;=MA_MED),AVERAGE(INDEX($C$634:$C1034,402-MA_MED):$C1034),"")</f>
        <v/>
      </c>
      <c r="K1034" s="52" t="str">
        <f aca="false">IF(AND(ISNUMBER($G1034),$G1034&gt;=MA_LONG2),AVERAGE(INDEX($C$634:$C1034,402-MA_LONG2):$C1034),"")</f>
        <v/>
      </c>
      <c r="L1034" s="53" t="str">
        <f aca="false">IF(AND(ISNUMBER($G1034),$G1034&gt;=21),STDEV(INDEX($H$974:$H1034,62-20):$H1034)*SQRT(245),"")</f>
        <v/>
      </c>
      <c r="M1034" s="52" t="str">
        <f aca="false">IF(AND(ISNUMBER($G1034),$G1034&gt;=60),MAX(INDEX($D$834:$D1034,202-60):$D1034),"")</f>
        <v/>
      </c>
      <c r="N1034" s="52" t="str">
        <f aca="false">IF(AND(ISNUMBER($G1034),$G1034&gt;=60),MIN(INDEX($E$834:$E1034,202-60):$E1034),"")</f>
        <v/>
      </c>
      <c r="O1034" s="53" t="str">
        <f aca="false">IF(OR(NOT(ISNUMBER($C1034)),NOT(ISNUMBER($M1034)),$M1034=0),"",$C1034/$M1034-1)</f>
        <v/>
      </c>
      <c r="P1034" s="54"/>
      <c r="Q1034" s="53" t="str">
        <f aca="false">IF(NOT(ISNUMBER($P1034)),"",IFERROR(PERCENTRANK($P$5:$P$1204,$P1034),""))</f>
        <v/>
      </c>
    </row>
    <row r="1035" customFormat="false" ht="15" hidden="false" customHeight="false" outlineLevel="0" collapsed="false">
      <c r="A1035" s="55"/>
      <c r="B1035" s="56"/>
      <c r="C1035" s="57"/>
      <c r="D1035" s="56"/>
      <c r="E1035" s="56"/>
      <c r="F1035" s="56"/>
      <c r="G1035" s="50" t="str">
        <f aca="false">IF($A1035="","",IF(ISNUMBER($G1034),$G1034+1,1))</f>
        <v/>
      </c>
      <c r="H1035" s="51" t="str">
        <f aca="false">IF(OR(NOT(ISNUMBER($G1035)),$G1035&lt;2,NOT(ISNUMBER($C1034)),$C1034=0),"",$C1035/$C1034-1)</f>
        <v/>
      </c>
      <c r="I1035" s="52" t="str">
        <f aca="false">IF(AND(ISNUMBER($G1035),$G1035&gt;=MA_SHORT),AVERAGE(INDEX($C$635:$C1035,402-MA_SHORT):$C1035),"")</f>
        <v/>
      </c>
      <c r="J1035" s="52" t="str">
        <f aca="false">IF(AND(ISNUMBER($G1035),$G1035&gt;=MA_MED),AVERAGE(INDEX($C$635:$C1035,402-MA_MED):$C1035),"")</f>
        <v/>
      </c>
      <c r="K1035" s="52" t="str">
        <f aca="false">IF(AND(ISNUMBER($G1035),$G1035&gt;=MA_LONG2),AVERAGE(INDEX($C$635:$C1035,402-MA_LONG2):$C1035),"")</f>
        <v/>
      </c>
      <c r="L1035" s="53" t="str">
        <f aca="false">IF(AND(ISNUMBER($G1035),$G1035&gt;=21),STDEV(INDEX($H$975:$H1035,62-20):$H1035)*SQRT(245),"")</f>
        <v/>
      </c>
      <c r="M1035" s="52" t="str">
        <f aca="false">IF(AND(ISNUMBER($G1035),$G1035&gt;=60),MAX(INDEX($D$835:$D1035,202-60):$D1035),"")</f>
        <v/>
      </c>
      <c r="N1035" s="52" t="str">
        <f aca="false">IF(AND(ISNUMBER($G1035),$G1035&gt;=60),MIN(INDEX($E$835:$E1035,202-60):$E1035),"")</f>
        <v/>
      </c>
      <c r="O1035" s="53" t="str">
        <f aca="false">IF(OR(NOT(ISNUMBER($C1035)),NOT(ISNUMBER($M1035)),$M1035=0),"",$C1035/$M1035-1)</f>
        <v/>
      </c>
      <c r="P1035" s="54"/>
      <c r="Q1035" s="53" t="str">
        <f aca="false">IF(NOT(ISNUMBER($P1035)),"",IFERROR(PERCENTRANK($P$5:$P$1204,$P1035),""))</f>
        <v/>
      </c>
    </row>
    <row r="1036" customFormat="false" ht="15" hidden="false" customHeight="false" outlineLevel="0" collapsed="false">
      <c r="A1036" s="55"/>
      <c r="B1036" s="56"/>
      <c r="C1036" s="57"/>
      <c r="D1036" s="56"/>
      <c r="E1036" s="56"/>
      <c r="F1036" s="56"/>
      <c r="G1036" s="50" t="str">
        <f aca="false">IF($A1036="","",IF(ISNUMBER($G1035),$G1035+1,1))</f>
        <v/>
      </c>
      <c r="H1036" s="51" t="str">
        <f aca="false">IF(OR(NOT(ISNUMBER($G1036)),$G1036&lt;2,NOT(ISNUMBER($C1035)),$C1035=0),"",$C1036/$C1035-1)</f>
        <v/>
      </c>
      <c r="I1036" s="52" t="str">
        <f aca="false">IF(AND(ISNUMBER($G1036),$G1036&gt;=MA_SHORT),AVERAGE(INDEX($C$636:$C1036,402-MA_SHORT):$C1036),"")</f>
        <v/>
      </c>
      <c r="J1036" s="52" t="str">
        <f aca="false">IF(AND(ISNUMBER($G1036),$G1036&gt;=MA_MED),AVERAGE(INDEX($C$636:$C1036,402-MA_MED):$C1036),"")</f>
        <v/>
      </c>
      <c r="K1036" s="52" t="str">
        <f aca="false">IF(AND(ISNUMBER($G1036),$G1036&gt;=MA_LONG2),AVERAGE(INDEX($C$636:$C1036,402-MA_LONG2):$C1036),"")</f>
        <v/>
      </c>
      <c r="L1036" s="53" t="str">
        <f aca="false">IF(AND(ISNUMBER($G1036),$G1036&gt;=21),STDEV(INDEX($H$976:$H1036,62-20):$H1036)*SQRT(245),"")</f>
        <v/>
      </c>
      <c r="M1036" s="52" t="str">
        <f aca="false">IF(AND(ISNUMBER($G1036),$G1036&gt;=60),MAX(INDEX($D$836:$D1036,202-60):$D1036),"")</f>
        <v/>
      </c>
      <c r="N1036" s="52" t="str">
        <f aca="false">IF(AND(ISNUMBER($G1036),$G1036&gt;=60),MIN(INDEX($E$836:$E1036,202-60):$E1036),"")</f>
        <v/>
      </c>
      <c r="O1036" s="53" t="str">
        <f aca="false">IF(OR(NOT(ISNUMBER($C1036)),NOT(ISNUMBER($M1036)),$M1036=0),"",$C1036/$M1036-1)</f>
        <v/>
      </c>
      <c r="P1036" s="54"/>
      <c r="Q1036" s="53" t="str">
        <f aca="false">IF(NOT(ISNUMBER($P1036)),"",IFERROR(PERCENTRANK($P$5:$P$1204,$P1036),""))</f>
        <v/>
      </c>
    </row>
    <row r="1037" customFormat="false" ht="15" hidden="false" customHeight="false" outlineLevel="0" collapsed="false">
      <c r="A1037" s="55"/>
      <c r="B1037" s="56"/>
      <c r="C1037" s="57"/>
      <c r="D1037" s="56"/>
      <c r="E1037" s="56"/>
      <c r="F1037" s="56"/>
      <c r="G1037" s="50" t="str">
        <f aca="false">IF($A1037="","",IF(ISNUMBER($G1036),$G1036+1,1))</f>
        <v/>
      </c>
      <c r="H1037" s="51" t="str">
        <f aca="false">IF(OR(NOT(ISNUMBER($G1037)),$G1037&lt;2,NOT(ISNUMBER($C1036)),$C1036=0),"",$C1037/$C1036-1)</f>
        <v/>
      </c>
      <c r="I1037" s="52" t="str">
        <f aca="false">IF(AND(ISNUMBER($G1037),$G1037&gt;=MA_SHORT),AVERAGE(INDEX($C$637:$C1037,402-MA_SHORT):$C1037),"")</f>
        <v/>
      </c>
      <c r="J1037" s="52" t="str">
        <f aca="false">IF(AND(ISNUMBER($G1037),$G1037&gt;=MA_MED),AVERAGE(INDEX($C$637:$C1037,402-MA_MED):$C1037),"")</f>
        <v/>
      </c>
      <c r="K1037" s="52" t="str">
        <f aca="false">IF(AND(ISNUMBER($G1037),$G1037&gt;=MA_LONG2),AVERAGE(INDEX($C$637:$C1037,402-MA_LONG2):$C1037),"")</f>
        <v/>
      </c>
      <c r="L1037" s="53" t="str">
        <f aca="false">IF(AND(ISNUMBER($G1037),$G1037&gt;=21),STDEV(INDEX($H$977:$H1037,62-20):$H1037)*SQRT(245),"")</f>
        <v/>
      </c>
      <c r="M1037" s="52" t="str">
        <f aca="false">IF(AND(ISNUMBER($G1037),$G1037&gt;=60),MAX(INDEX($D$837:$D1037,202-60):$D1037),"")</f>
        <v/>
      </c>
      <c r="N1037" s="52" t="str">
        <f aca="false">IF(AND(ISNUMBER($G1037),$G1037&gt;=60),MIN(INDEX($E$837:$E1037,202-60):$E1037),"")</f>
        <v/>
      </c>
      <c r="O1037" s="53" t="str">
        <f aca="false">IF(OR(NOT(ISNUMBER($C1037)),NOT(ISNUMBER($M1037)),$M1037=0),"",$C1037/$M1037-1)</f>
        <v/>
      </c>
      <c r="P1037" s="54"/>
      <c r="Q1037" s="53" t="str">
        <f aca="false">IF(NOT(ISNUMBER($P1037)),"",IFERROR(PERCENTRANK($P$5:$P$1204,$P1037),""))</f>
        <v/>
      </c>
    </row>
    <row r="1038" customFormat="false" ht="15" hidden="false" customHeight="false" outlineLevel="0" collapsed="false">
      <c r="A1038" s="55"/>
      <c r="B1038" s="56"/>
      <c r="C1038" s="57"/>
      <c r="D1038" s="56"/>
      <c r="E1038" s="56"/>
      <c r="F1038" s="56"/>
      <c r="G1038" s="50" t="str">
        <f aca="false">IF($A1038="","",IF(ISNUMBER($G1037),$G1037+1,1))</f>
        <v/>
      </c>
      <c r="H1038" s="51" t="str">
        <f aca="false">IF(OR(NOT(ISNUMBER($G1038)),$G1038&lt;2,NOT(ISNUMBER($C1037)),$C1037=0),"",$C1038/$C1037-1)</f>
        <v/>
      </c>
      <c r="I1038" s="52" t="str">
        <f aca="false">IF(AND(ISNUMBER($G1038),$G1038&gt;=MA_SHORT),AVERAGE(INDEX($C$638:$C1038,402-MA_SHORT):$C1038),"")</f>
        <v/>
      </c>
      <c r="J1038" s="52" t="str">
        <f aca="false">IF(AND(ISNUMBER($G1038),$G1038&gt;=MA_MED),AVERAGE(INDEX($C$638:$C1038,402-MA_MED):$C1038),"")</f>
        <v/>
      </c>
      <c r="K1038" s="52" t="str">
        <f aca="false">IF(AND(ISNUMBER($G1038),$G1038&gt;=MA_LONG2),AVERAGE(INDEX($C$638:$C1038,402-MA_LONG2):$C1038),"")</f>
        <v/>
      </c>
      <c r="L1038" s="53" t="str">
        <f aca="false">IF(AND(ISNUMBER($G1038),$G1038&gt;=21),STDEV(INDEX($H$978:$H1038,62-20):$H1038)*SQRT(245),"")</f>
        <v/>
      </c>
      <c r="M1038" s="52" t="str">
        <f aca="false">IF(AND(ISNUMBER($G1038),$G1038&gt;=60),MAX(INDEX($D$838:$D1038,202-60):$D1038),"")</f>
        <v/>
      </c>
      <c r="N1038" s="52" t="str">
        <f aca="false">IF(AND(ISNUMBER($G1038),$G1038&gt;=60),MIN(INDEX($E$838:$E1038,202-60):$E1038),"")</f>
        <v/>
      </c>
      <c r="O1038" s="53" t="str">
        <f aca="false">IF(OR(NOT(ISNUMBER($C1038)),NOT(ISNUMBER($M1038)),$M1038=0),"",$C1038/$M1038-1)</f>
        <v/>
      </c>
      <c r="P1038" s="54"/>
      <c r="Q1038" s="53" t="str">
        <f aca="false">IF(NOT(ISNUMBER($P1038)),"",IFERROR(PERCENTRANK($P$5:$P$1204,$P1038),""))</f>
        <v/>
      </c>
    </row>
    <row r="1039" customFormat="false" ht="15" hidden="false" customHeight="false" outlineLevel="0" collapsed="false">
      <c r="A1039" s="55"/>
      <c r="B1039" s="56"/>
      <c r="C1039" s="57"/>
      <c r="D1039" s="56"/>
      <c r="E1039" s="56"/>
      <c r="F1039" s="56"/>
      <c r="G1039" s="50" t="str">
        <f aca="false">IF($A1039="","",IF(ISNUMBER($G1038),$G1038+1,1))</f>
        <v/>
      </c>
      <c r="H1039" s="51" t="str">
        <f aca="false">IF(OR(NOT(ISNUMBER($G1039)),$G1039&lt;2,NOT(ISNUMBER($C1038)),$C1038=0),"",$C1039/$C1038-1)</f>
        <v/>
      </c>
      <c r="I1039" s="52" t="str">
        <f aca="false">IF(AND(ISNUMBER($G1039),$G1039&gt;=MA_SHORT),AVERAGE(INDEX($C$639:$C1039,402-MA_SHORT):$C1039),"")</f>
        <v/>
      </c>
      <c r="J1039" s="52" t="str">
        <f aca="false">IF(AND(ISNUMBER($G1039),$G1039&gt;=MA_MED),AVERAGE(INDEX($C$639:$C1039,402-MA_MED):$C1039),"")</f>
        <v/>
      </c>
      <c r="K1039" s="52" t="str">
        <f aca="false">IF(AND(ISNUMBER($G1039),$G1039&gt;=MA_LONG2),AVERAGE(INDEX($C$639:$C1039,402-MA_LONG2):$C1039),"")</f>
        <v/>
      </c>
      <c r="L1039" s="53" t="str">
        <f aca="false">IF(AND(ISNUMBER($G1039),$G1039&gt;=21),STDEV(INDEX($H$979:$H1039,62-20):$H1039)*SQRT(245),"")</f>
        <v/>
      </c>
      <c r="M1039" s="52" t="str">
        <f aca="false">IF(AND(ISNUMBER($G1039),$G1039&gt;=60),MAX(INDEX($D$839:$D1039,202-60):$D1039),"")</f>
        <v/>
      </c>
      <c r="N1039" s="52" t="str">
        <f aca="false">IF(AND(ISNUMBER($G1039),$G1039&gt;=60),MIN(INDEX($E$839:$E1039,202-60):$E1039),"")</f>
        <v/>
      </c>
      <c r="O1039" s="53" t="str">
        <f aca="false">IF(OR(NOT(ISNUMBER($C1039)),NOT(ISNUMBER($M1039)),$M1039=0),"",$C1039/$M1039-1)</f>
        <v/>
      </c>
      <c r="P1039" s="54"/>
      <c r="Q1039" s="53" t="str">
        <f aca="false">IF(NOT(ISNUMBER($P1039)),"",IFERROR(PERCENTRANK($P$5:$P$1204,$P1039),""))</f>
        <v/>
      </c>
    </row>
    <row r="1040" customFormat="false" ht="15" hidden="false" customHeight="false" outlineLevel="0" collapsed="false">
      <c r="A1040" s="55"/>
      <c r="B1040" s="56"/>
      <c r="C1040" s="57"/>
      <c r="D1040" s="56"/>
      <c r="E1040" s="56"/>
      <c r="F1040" s="56"/>
      <c r="G1040" s="50" t="str">
        <f aca="false">IF($A1040="","",IF(ISNUMBER($G1039),$G1039+1,1))</f>
        <v/>
      </c>
      <c r="H1040" s="51" t="str">
        <f aca="false">IF(OR(NOT(ISNUMBER($G1040)),$G1040&lt;2,NOT(ISNUMBER($C1039)),$C1039=0),"",$C1040/$C1039-1)</f>
        <v/>
      </c>
      <c r="I1040" s="52" t="str">
        <f aca="false">IF(AND(ISNUMBER($G1040),$G1040&gt;=MA_SHORT),AVERAGE(INDEX($C$640:$C1040,402-MA_SHORT):$C1040),"")</f>
        <v/>
      </c>
      <c r="J1040" s="52" t="str">
        <f aca="false">IF(AND(ISNUMBER($G1040),$G1040&gt;=MA_MED),AVERAGE(INDEX($C$640:$C1040,402-MA_MED):$C1040),"")</f>
        <v/>
      </c>
      <c r="K1040" s="52" t="str">
        <f aca="false">IF(AND(ISNUMBER($G1040),$G1040&gt;=MA_LONG2),AVERAGE(INDEX($C$640:$C1040,402-MA_LONG2):$C1040),"")</f>
        <v/>
      </c>
      <c r="L1040" s="53" t="str">
        <f aca="false">IF(AND(ISNUMBER($G1040),$G1040&gt;=21),STDEV(INDEX($H$980:$H1040,62-20):$H1040)*SQRT(245),"")</f>
        <v/>
      </c>
      <c r="M1040" s="52" t="str">
        <f aca="false">IF(AND(ISNUMBER($G1040),$G1040&gt;=60),MAX(INDEX($D$840:$D1040,202-60):$D1040),"")</f>
        <v/>
      </c>
      <c r="N1040" s="52" t="str">
        <f aca="false">IF(AND(ISNUMBER($G1040),$G1040&gt;=60),MIN(INDEX($E$840:$E1040,202-60):$E1040),"")</f>
        <v/>
      </c>
      <c r="O1040" s="53" t="str">
        <f aca="false">IF(OR(NOT(ISNUMBER($C1040)),NOT(ISNUMBER($M1040)),$M1040=0),"",$C1040/$M1040-1)</f>
        <v/>
      </c>
      <c r="P1040" s="54"/>
      <c r="Q1040" s="53" t="str">
        <f aca="false">IF(NOT(ISNUMBER($P1040)),"",IFERROR(PERCENTRANK($P$5:$P$1204,$P1040),""))</f>
        <v/>
      </c>
    </row>
    <row r="1041" customFormat="false" ht="15" hidden="false" customHeight="false" outlineLevel="0" collapsed="false">
      <c r="A1041" s="55"/>
      <c r="B1041" s="56"/>
      <c r="C1041" s="57"/>
      <c r="D1041" s="56"/>
      <c r="E1041" s="56"/>
      <c r="F1041" s="56"/>
      <c r="G1041" s="50" t="str">
        <f aca="false">IF($A1041="","",IF(ISNUMBER($G1040),$G1040+1,1))</f>
        <v/>
      </c>
      <c r="H1041" s="51" t="str">
        <f aca="false">IF(OR(NOT(ISNUMBER($G1041)),$G1041&lt;2,NOT(ISNUMBER($C1040)),$C1040=0),"",$C1041/$C1040-1)</f>
        <v/>
      </c>
      <c r="I1041" s="52" t="str">
        <f aca="false">IF(AND(ISNUMBER($G1041),$G1041&gt;=MA_SHORT),AVERAGE(INDEX($C$641:$C1041,402-MA_SHORT):$C1041),"")</f>
        <v/>
      </c>
      <c r="J1041" s="52" t="str">
        <f aca="false">IF(AND(ISNUMBER($G1041),$G1041&gt;=MA_MED),AVERAGE(INDEX($C$641:$C1041,402-MA_MED):$C1041),"")</f>
        <v/>
      </c>
      <c r="K1041" s="52" t="str">
        <f aca="false">IF(AND(ISNUMBER($G1041),$G1041&gt;=MA_LONG2),AVERAGE(INDEX($C$641:$C1041,402-MA_LONG2):$C1041),"")</f>
        <v/>
      </c>
      <c r="L1041" s="53" t="str">
        <f aca="false">IF(AND(ISNUMBER($G1041),$G1041&gt;=21),STDEV(INDEX($H$981:$H1041,62-20):$H1041)*SQRT(245),"")</f>
        <v/>
      </c>
      <c r="M1041" s="52" t="str">
        <f aca="false">IF(AND(ISNUMBER($G1041),$G1041&gt;=60),MAX(INDEX($D$841:$D1041,202-60):$D1041),"")</f>
        <v/>
      </c>
      <c r="N1041" s="52" t="str">
        <f aca="false">IF(AND(ISNUMBER($G1041),$G1041&gt;=60),MIN(INDEX($E$841:$E1041,202-60):$E1041),"")</f>
        <v/>
      </c>
      <c r="O1041" s="53" t="str">
        <f aca="false">IF(OR(NOT(ISNUMBER($C1041)),NOT(ISNUMBER($M1041)),$M1041=0),"",$C1041/$M1041-1)</f>
        <v/>
      </c>
      <c r="P1041" s="54"/>
      <c r="Q1041" s="53" t="str">
        <f aca="false">IF(NOT(ISNUMBER($P1041)),"",IFERROR(PERCENTRANK($P$5:$P$1204,$P1041),""))</f>
        <v/>
      </c>
    </row>
    <row r="1042" customFormat="false" ht="15" hidden="false" customHeight="false" outlineLevel="0" collapsed="false">
      <c r="A1042" s="55"/>
      <c r="B1042" s="56"/>
      <c r="C1042" s="57"/>
      <c r="D1042" s="56"/>
      <c r="E1042" s="56"/>
      <c r="F1042" s="56"/>
      <c r="G1042" s="50" t="str">
        <f aca="false">IF($A1042="","",IF(ISNUMBER($G1041),$G1041+1,1))</f>
        <v/>
      </c>
      <c r="H1042" s="51" t="str">
        <f aca="false">IF(OR(NOT(ISNUMBER($G1042)),$G1042&lt;2,NOT(ISNUMBER($C1041)),$C1041=0),"",$C1042/$C1041-1)</f>
        <v/>
      </c>
      <c r="I1042" s="52" t="str">
        <f aca="false">IF(AND(ISNUMBER($G1042),$G1042&gt;=MA_SHORT),AVERAGE(INDEX($C$642:$C1042,402-MA_SHORT):$C1042),"")</f>
        <v/>
      </c>
      <c r="J1042" s="52" t="str">
        <f aca="false">IF(AND(ISNUMBER($G1042),$G1042&gt;=MA_MED),AVERAGE(INDEX($C$642:$C1042,402-MA_MED):$C1042),"")</f>
        <v/>
      </c>
      <c r="K1042" s="52" t="str">
        <f aca="false">IF(AND(ISNUMBER($G1042),$G1042&gt;=MA_LONG2),AVERAGE(INDEX($C$642:$C1042,402-MA_LONG2):$C1042),"")</f>
        <v/>
      </c>
      <c r="L1042" s="53" t="str">
        <f aca="false">IF(AND(ISNUMBER($G1042),$G1042&gt;=21),STDEV(INDEX($H$982:$H1042,62-20):$H1042)*SQRT(245),"")</f>
        <v/>
      </c>
      <c r="M1042" s="52" t="str">
        <f aca="false">IF(AND(ISNUMBER($G1042),$G1042&gt;=60),MAX(INDEX($D$842:$D1042,202-60):$D1042),"")</f>
        <v/>
      </c>
      <c r="N1042" s="52" t="str">
        <f aca="false">IF(AND(ISNUMBER($G1042),$G1042&gt;=60),MIN(INDEX($E$842:$E1042,202-60):$E1042),"")</f>
        <v/>
      </c>
      <c r="O1042" s="53" t="str">
        <f aca="false">IF(OR(NOT(ISNUMBER($C1042)),NOT(ISNUMBER($M1042)),$M1042=0),"",$C1042/$M1042-1)</f>
        <v/>
      </c>
      <c r="P1042" s="54"/>
      <c r="Q1042" s="53" t="str">
        <f aca="false">IF(NOT(ISNUMBER($P1042)),"",IFERROR(PERCENTRANK($P$5:$P$1204,$P1042),""))</f>
        <v/>
      </c>
    </row>
    <row r="1043" customFormat="false" ht="15" hidden="false" customHeight="false" outlineLevel="0" collapsed="false">
      <c r="A1043" s="55"/>
      <c r="B1043" s="56"/>
      <c r="C1043" s="57"/>
      <c r="D1043" s="56"/>
      <c r="E1043" s="56"/>
      <c r="F1043" s="56"/>
      <c r="G1043" s="50" t="str">
        <f aca="false">IF($A1043="","",IF(ISNUMBER($G1042),$G1042+1,1))</f>
        <v/>
      </c>
      <c r="H1043" s="51" t="str">
        <f aca="false">IF(OR(NOT(ISNUMBER($G1043)),$G1043&lt;2,NOT(ISNUMBER($C1042)),$C1042=0),"",$C1043/$C1042-1)</f>
        <v/>
      </c>
      <c r="I1043" s="52" t="str">
        <f aca="false">IF(AND(ISNUMBER($G1043),$G1043&gt;=MA_SHORT),AVERAGE(INDEX($C$643:$C1043,402-MA_SHORT):$C1043),"")</f>
        <v/>
      </c>
      <c r="J1043" s="52" t="str">
        <f aca="false">IF(AND(ISNUMBER($G1043),$G1043&gt;=MA_MED),AVERAGE(INDEX($C$643:$C1043,402-MA_MED):$C1043),"")</f>
        <v/>
      </c>
      <c r="K1043" s="52" t="str">
        <f aca="false">IF(AND(ISNUMBER($G1043),$G1043&gt;=MA_LONG2),AVERAGE(INDEX($C$643:$C1043,402-MA_LONG2):$C1043),"")</f>
        <v/>
      </c>
      <c r="L1043" s="53" t="str">
        <f aca="false">IF(AND(ISNUMBER($G1043),$G1043&gt;=21),STDEV(INDEX($H$983:$H1043,62-20):$H1043)*SQRT(245),"")</f>
        <v/>
      </c>
      <c r="M1043" s="52" t="str">
        <f aca="false">IF(AND(ISNUMBER($G1043),$G1043&gt;=60),MAX(INDEX($D$843:$D1043,202-60):$D1043),"")</f>
        <v/>
      </c>
      <c r="N1043" s="52" t="str">
        <f aca="false">IF(AND(ISNUMBER($G1043),$G1043&gt;=60),MIN(INDEX($E$843:$E1043,202-60):$E1043),"")</f>
        <v/>
      </c>
      <c r="O1043" s="53" t="str">
        <f aca="false">IF(OR(NOT(ISNUMBER($C1043)),NOT(ISNUMBER($M1043)),$M1043=0),"",$C1043/$M1043-1)</f>
        <v/>
      </c>
      <c r="P1043" s="54"/>
      <c r="Q1043" s="53" t="str">
        <f aca="false">IF(NOT(ISNUMBER($P1043)),"",IFERROR(PERCENTRANK($P$5:$P$1204,$P1043),""))</f>
        <v/>
      </c>
    </row>
    <row r="1044" customFormat="false" ht="15" hidden="false" customHeight="false" outlineLevel="0" collapsed="false">
      <c r="A1044" s="55"/>
      <c r="B1044" s="56"/>
      <c r="C1044" s="57"/>
      <c r="D1044" s="56"/>
      <c r="E1044" s="56"/>
      <c r="F1044" s="56"/>
      <c r="G1044" s="50" t="str">
        <f aca="false">IF($A1044="","",IF(ISNUMBER($G1043),$G1043+1,1))</f>
        <v/>
      </c>
      <c r="H1044" s="51" t="str">
        <f aca="false">IF(OR(NOT(ISNUMBER($G1044)),$G1044&lt;2,NOT(ISNUMBER($C1043)),$C1043=0),"",$C1044/$C1043-1)</f>
        <v/>
      </c>
      <c r="I1044" s="52" t="str">
        <f aca="false">IF(AND(ISNUMBER($G1044),$G1044&gt;=MA_SHORT),AVERAGE(INDEX($C$644:$C1044,402-MA_SHORT):$C1044),"")</f>
        <v/>
      </c>
      <c r="J1044" s="52" t="str">
        <f aca="false">IF(AND(ISNUMBER($G1044),$G1044&gt;=MA_MED),AVERAGE(INDEX($C$644:$C1044,402-MA_MED):$C1044),"")</f>
        <v/>
      </c>
      <c r="K1044" s="52" t="str">
        <f aca="false">IF(AND(ISNUMBER($G1044),$G1044&gt;=MA_LONG2),AVERAGE(INDEX($C$644:$C1044,402-MA_LONG2):$C1044),"")</f>
        <v/>
      </c>
      <c r="L1044" s="53" t="str">
        <f aca="false">IF(AND(ISNUMBER($G1044),$G1044&gt;=21),STDEV(INDEX($H$984:$H1044,62-20):$H1044)*SQRT(245),"")</f>
        <v/>
      </c>
      <c r="M1044" s="52" t="str">
        <f aca="false">IF(AND(ISNUMBER($G1044),$G1044&gt;=60),MAX(INDEX($D$844:$D1044,202-60):$D1044),"")</f>
        <v/>
      </c>
      <c r="N1044" s="52" t="str">
        <f aca="false">IF(AND(ISNUMBER($G1044),$G1044&gt;=60),MIN(INDEX($E$844:$E1044,202-60):$E1044),"")</f>
        <v/>
      </c>
      <c r="O1044" s="53" t="str">
        <f aca="false">IF(OR(NOT(ISNUMBER($C1044)),NOT(ISNUMBER($M1044)),$M1044=0),"",$C1044/$M1044-1)</f>
        <v/>
      </c>
      <c r="P1044" s="54"/>
      <c r="Q1044" s="53" t="str">
        <f aca="false">IF(NOT(ISNUMBER($P1044)),"",IFERROR(PERCENTRANK($P$5:$P$1204,$P1044),""))</f>
        <v/>
      </c>
    </row>
    <row r="1045" customFormat="false" ht="15" hidden="false" customHeight="false" outlineLevel="0" collapsed="false">
      <c r="A1045" s="55"/>
      <c r="B1045" s="56"/>
      <c r="C1045" s="57"/>
      <c r="D1045" s="56"/>
      <c r="E1045" s="56"/>
      <c r="F1045" s="56"/>
      <c r="G1045" s="50" t="str">
        <f aca="false">IF($A1045="","",IF(ISNUMBER($G1044),$G1044+1,1))</f>
        <v/>
      </c>
      <c r="H1045" s="51" t="str">
        <f aca="false">IF(OR(NOT(ISNUMBER($G1045)),$G1045&lt;2,NOT(ISNUMBER($C1044)),$C1044=0),"",$C1045/$C1044-1)</f>
        <v/>
      </c>
      <c r="I1045" s="52" t="str">
        <f aca="false">IF(AND(ISNUMBER($G1045),$G1045&gt;=MA_SHORT),AVERAGE(INDEX($C$645:$C1045,402-MA_SHORT):$C1045),"")</f>
        <v/>
      </c>
      <c r="J1045" s="52" t="str">
        <f aca="false">IF(AND(ISNUMBER($G1045),$G1045&gt;=MA_MED),AVERAGE(INDEX($C$645:$C1045,402-MA_MED):$C1045),"")</f>
        <v/>
      </c>
      <c r="K1045" s="52" t="str">
        <f aca="false">IF(AND(ISNUMBER($G1045),$G1045&gt;=MA_LONG2),AVERAGE(INDEX($C$645:$C1045,402-MA_LONG2):$C1045),"")</f>
        <v/>
      </c>
      <c r="L1045" s="53" t="str">
        <f aca="false">IF(AND(ISNUMBER($G1045),$G1045&gt;=21),STDEV(INDEX($H$985:$H1045,62-20):$H1045)*SQRT(245),"")</f>
        <v/>
      </c>
      <c r="M1045" s="52" t="str">
        <f aca="false">IF(AND(ISNUMBER($G1045),$G1045&gt;=60),MAX(INDEX($D$845:$D1045,202-60):$D1045),"")</f>
        <v/>
      </c>
      <c r="N1045" s="52" t="str">
        <f aca="false">IF(AND(ISNUMBER($G1045),$G1045&gt;=60),MIN(INDEX($E$845:$E1045,202-60):$E1045),"")</f>
        <v/>
      </c>
      <c r="O1045" s="53" t="str">
        <f aca="false">IF(OR(NOT(ISNUMBER($C1045)),NOT(ISNUMBER($M1045)),$M1045=0),"",$C1045/$M1045-1)</f>
        <v/>
      </c>
      <c r="P1045" s="54"/>
      <c r="Q1045" s="53" t="str">
        <f aca="false">IF(NOT(ISNUMBER($P1045)),"",IFERROR(PERCENTRANK($P$5:$P$1204,$P1045),""))</f>
        <v/>
      </c>
    </row>
    <row r="1046" customFormat="false" ht="15" hidden="false" customHeight="false" outlineLevel="0" collapsed="false">
      <c r="A1046" s="55"/>
      <c r="B1046" s="56"/>
      <c r="C1046" s="57"/>
      <c r="D1046" s="56"/>
      <c r="E1046" s="56"/>
      <c r="F1046" s="56"/>
      <c r="G1046" s="50" t="str">
        <f aca="false">IF($A1046="","",IF(ISNUMBER($G1045),$G1045+1,1))</f>
        <v/>
      </c>
      <c r="H1046" s="51" t="str">
        <f aca="false">IF(OR(NOT(ISNUMBER($G1046)),$G1046&lt;2,NOT(ISNUMBER($C1045)),$C1045=0),"",$C1046/$C1045-1)</f>
        <v/>
      </c>
      <c r="I1046" s="52" t="str">
        <f aca="false">IF(AND(ISNUMBER($G1046),$G1046&gt;=MA_SHORT),AVERAGE(INDEX($C$646:$C1046,402-MA_SHORT):$C1046),"")</f>
        <v/>
      </c>
      <c r="J1046" s="52" t="str">
        <f aca="false">IF(AND(ISNUMBER($G1046),$G1046&gt;=MA_MED),AVERAGE(INDEX($C$646:$C1046,402-MA_MED):$C1046),"")</f>
        <v/>
      </c>
      <c r="K1046" s="52" t="str">
        <f aca="false">IF(AND(ISNUMBER($G1046),$G1046&gt;=MA_LONG2),AVERAGE(INDEX($C$646:$C1046,402-MA_LONG2):$C1046),"")</f>
        <v/>
      </c>
      <c r="L1046" s="53" t="str">
        <f aca="false">IF(AND(ISNUMBER($G1046),$G1046&gt;=21),STDEV(INDEX($H$986:$H1046,62-20):$H1046)*SQRT(245),"")</f>
        <v/>
      </c>
      <c r="M1046" s="52" t="str">
        <f aca="false">IF(AND(ISNUMBER($G1046),$G1046&gt;=60),MAX(INDEX($D$846:$D1046,202-60):$D1046),"")</f>
        <v/>
      </c>
      <c r="N1046" s="52" t="str">
        <f aca="false">IF(AND(ISNUMBER($G1046),$G1046&gt;=60),MIN(INDEX($E$846:$E1046,202-60):$E1046),"")</f>
        <v/>
      </c>
      <c r="O1046" s="53" t="str">
        <f aca="false">IF(OR(NOT(ISNUMBER($C1046)),NOT(ISNUMBER($M1046)),$M1046=0),"",$C1046/$M1046-1)</f>
        <v/>
      </c>
      <c r="P1046" s="54"/>
      <c r="Q1046" s="53" t="str">
        <f aca="false">IF(NOT(ISNUMBER($P1046)),"",IFERROR(PERCENTRANK($P$5:$P$1204,$P1046),""))</f>
        <v/>
      </c>
    </row>
    <row r="1047" customFormat="false" ht="15" hidden="false" customHeight="false" outlineLevel="0" collapsed="false">
      <c r="A1047" s="55"/>
      <c r="B1047" s="56"/>
      <c r="C1047" s="57"/>
      <c r="D1047" s="56"/>
      <c r="E1047" s="56"/>
      <c r="F1047" s="56"/>
      <c r="G1047" s="50" t="str">
        <f aca="false">IF($A1047="","",IF(ISNUMBER($G1046),$G1046+1,1))</f>
        <v/>
      </c>
      <c r="H1047" s="51" t="str">
        <f aca="false">IF(OR(NOT(ISNUMBER($G1047)),$G1047&lt;2,NOT(ISNUMBER($C1046)),$C1046=0),"",$C1047/$C1046-1)</f>
        <v/>
      </c>
      <c r="I1047" s="52" t="str">
        <f aca="false">IF(AND(ISNUMBER($G1047),$G1047&gt;=MA_SHORT),AVERAGE(INDEX($C$647:$C1047,402-MA_SHORT):$C1047),"")</f>
        <v/>
      </c>
      <c r="J1047" s="52" t="str">
        <f aca="false">IF(AND(ISNUMBER($G1047),$G1047&gt;=MA_MED),AVERAGE(INDEX($C$647:$C1047,402-MA_MED):$C1047),"")</f>
        <v/>
      </c>
      <c r="K1047" s="52" t="str">
        <f aca="false">IF(AND(ISNUMBER($G1047),$G1047&gt;=MA_LONG2),AVERAGE(INDEX($C$647:$C1047,402-MA_LONG2):$C1047),"")</f>
        <v/>
      </c>
      <c r="L1047" s="53" t="str">
        <f aca="false">IF(AND(ISNUMBER($G1047),$G1047&gt;=21),STDEV(INDEX($H$987:$H1047,62-20):$H1047)*SQRT(245),"")</f>
        <v/>
      </c>
      <c r="M1047" s="52" t="str">
        <f aca="false">IF(AND(ISNUMBER($G1047),$G1047&gt;=60),MAX(INDEX($D$847:$D1047,202-60):$D1047),"")</f>
        <v/>
      </c>
      <c r="N1047" s="52" t="str">
        <f aca="false">IF(AND(ISNUMBER($G1047),$G1047&gt;=60),MIN(INDEX($E$847:$E1047,202-60):$E1047),"")</f>
        <v/>
      </c>
      <c r="O1047" s="53" t="str">
        <f aca="false">IF(OR(NOT(ISNUMBER($C1047)),NOT(ISNUMBER($M1047)),$M1047=0),"",$C1047/$M1047-1)</f>
        <v/>
      </c>
      <c r="P1047" s="54"/>
      <c r="Q1047" s="53" t="str">
        <f aca="false">IF(NOT(ISNUMBER($P1047)),"",IFERROR(PERCENTRANK($P$5:$P$1204,$P1047),""))</f>
        <v/>
      </c>
    </row>
    <row r="1048" customFormat="false" ht="15" hidden="false" customHeight="false" outlineLevel="0" collapsed="false">
      <c r="A1048" s="55"/>
      <c r="B1048" s="56"/>
      <c r="C1048" s="57"/>
      <c r="D1048" s="56"/>
      <c r="E1048" s="56"/>
      <c r="F1048" s="56"/>
      <c r="G1048" s="50" t="str">
        <f aca="false">IF($A1048="","",IF(ISNUMBER($G1047),$G1047+1,1))</f>
        <v/>
      </c>
      <c r="H1048" s="51" t="str">
        <f aca="false">IF(OR(NOT(ISNUMBER($G1048)),$G1048&lt;2,NOT(ISNUMBER($C1047)),$C1047=0),"",$C1048/$C1047-1)</f>
        <v/>
      </c>
      <c r="I1048" s="52" t="str">
        <f aca="false">IF(AND(ISNUMBER($G1048),$G1048&gt;=MA_SHORT),AVERAGE(INDEX($C$648:$C1048,402-MA_SHORT):$C1048),"")</f>
        <v/>
      </c>
      <c r="J1048" s="52" t="str">
        <f aca="false">IF(AND(ISNUMBER($G1048),$G1048&gt;=MA_MED),AVERAGE(INDEX($C$648:$C1048,402-MA_MED):$C1048),"")</f>
        <v/>
      </c>
      <c r="K1048" s="52" t="str">
        <f aca="false">IF(AND(ISNUMBER($G1048),$G1048&gt;=MA_LONG2),AVERAGE(INDEX($C$648:$C1048,402-MA_LONG2):$C1048),"")</f>
        <v/>
      </c>
      <c r="L1048" s="53" t="str">
        <f aca="false">IF(AND(ISNUMBER($G1048),$G1048&gt;=21),STDEV(INDEX($H$988:$H1048,62-20):$H1048)*SQRT(245),"")</f>
        <v/>
      </c>
      <c r="M1048" s="52" t="str">
        <f aca="false">IF(AND(ISNUMBER($G1048),$G1048&gt;=60),MAX(INDEX($D$848:$D1048,202-60):$D1048),"")</f>
        <v/>
      </c>
      <c r="N1048" s="52" t="str">
        <f aca="false">IF(AND(ISNUMBER($G1048),$G1048&gt;=60),MIN(INDEX($E$848:$E1048,202-60):$E1048),"")</f>
        <v/>
      </c>
      <c r="O1048" s="53" t="str">
        <f aca="false">IF(OR(NOT(ISNUMBER($C1048)),NOT(ISNUMBER($M1048)),$M1048=0),"",$C1048/$M1048-1)</f>
        <v/>
      </c>
      <c r="P1048" s="54"/>
      <c r="Q1048" s="53" t="str">
        <f aca="false">IF(NOT(ISNUMBER($P1048)),"",IFERROR(PERCENTRANK($P$5:$P$1204,$P1048),""))</f>
        <v/>
      </c>
    </row>
    <row r="1049" customFormat="false" ht="15" hidden="false" customHeight="false" outlineLevel="0" collapsed="false">
      <c r="A1049" s="55"/>
      <c r="B1049" s="56"/>
      <c r="C1049" s="57"/>
      <c r="D1049" s="56"/>
      <c r="E1049" s="56"/>
      <c r="F1049" s="56"/>
      <c r="G1049" s="50" t="str">
        <f aca="false">IF($A1049="","",IF(ISNUMBER($G1048),$G1048+1,1))</f>
        <v/>
      </c>
      <c r="H1049" s="51" t="str">
        <f aca="false">IF(OR(NOT(ISNUMBER($G1049)),$G1049&lt;2,NOT(ISNUMBER($C1048)),$C1048=0),"",$C1049/$C1048-1)</f>
        <v/>
      </c>
      <c r="I1049" s="52" t="str">
        <f aca="false">IF(AND(ISNUMBER($G1049),$G1049&gt;=MA_SHORT),AVERAGE(INDEX($C$649:$C1049,402-MA_SHORT):$C1049),"")</f>
        <v/>
      </c>
      <c r="J1049" s="52" t="str">
        <f aca="false">IF(AND(ISNUMBER($G1049),$G1049&gt;=MA_MED),AVERAGE(INDEX($C$649:$C1049,402-MA_MED):$C1049),"")</f>
        <v/>
      </c>
      <c r="K1049" s="52" t="str">
        <f aca="false">IF(AND(ISNUMBER($G1049),$G1049&gt;=MA_LONG2),AVERAGE(INDEX($C$649:$C1049,402-MA_LONG2):$C1049),"")</f>
        <v/>
      </c>
      <c r="L1049" s="53" t="str">
        <f aca="false">IF(AND(ISNUMBER($G1049),$G1049&gt;=21),STDEV(INDEX($H$989:$H1049,62-20):$H1049)*SQRT(245),"")</f>
        <v/>
      </c>
      <c r="M1049" s="52" t="str">
        <f aca="false">IF(AND(ISNUMBER($G1049),$G1049&gt;=60),MAX(INDEX($D$849:$D1049,202-60):$D1049),"")</f>
        <v/>
      </c>
      <c r="N1049" s="52" t="str">
        <f aca="false">IF(AND(ISNUMBER($G1049),$G1049&gt;=60),MIN(INDEX($E$849:$E1049,202-60):$E1049),"")</f>
        <v/>
      </c>
      <c r="O1049" s="53" t="str">
        <f aca="false">IF(OR(NOT(ISNUMBER($C1049)),NOT(ISNUMBER($M1049)),$M1049=0),"",$C1049/$M1049-1)</f>
        <v/>
      </c>
      <c r="P1049" s="54"/>
      <c r="Q1049" s="53" t="str">
        <f aca="false">IF(NOT(ISNUMBER($P1049)),"",IFERROR(PERCENTRANK($P$5:$P$1204,$P1049),""))</f>
        <v/>
      </c>
    </row>
    <row r="1050" customFormat="false" ht="15" hidden="false" customHeight="false" outlineLevel="0" collapsed="false">
      <c r="A1050" s="55"/>
      <c r="B1050" s="56"/>
      <c r="C1050" s="57"/>
      <c r="D1050" s="56"/>
      <c r="E1050" s="56"/>
      <c r="F1050" s="56"/>
      <c r="G1050" s="50" t="str">
        <f aca="false">IF($A1050="","",IF(ISNUMBER($G1049),$G1049+1,1))</f>
        <v/>
      </c>
      <c r="H1050" s="51" t="str">
        <f aca="false">IF(OR(NOT(ISNUMBER($G1050)),$G1050&lt;2,NOT(ISNUMBER($C1049)),$C1049=0),"",$C1050/$C1049-1)</f>
        <v/>
      </c>
      <c r="I1050" s="52" t="str">
        <f aca="false">IF(AND(ISNUMBER($G1050),$G1050&gt;=MA_SHORT),AVERAGE(INDEX($C$650:$C1050,402-MA_SHORT):$C1050),"")</f>
        <v/>
      </c>
      <c r="J1050" s="52" t="str">
        <f aca="false">IF(AND(ISNUMBER($G1050),$G1050&gt;=MA_MED),AVERAGE(INDEX($C$650:$C1050,402-MA_MED):$C1050),"")</f>
        <v/>
      </c>
      <c r="K1050" s="52" t="str">
        <f aca="false">IF(AND(ISNUMBER($G1050),$G1050&gt;=MA_LONG2),AVERAGE(INDEX($C$650:$C1050,402-MA_LONG2):$C1050),"")</f>
        <v/>
      </c>
      <c r="L1050" s="53" t="str">
        <f aca="false">IF(AND(ISNUMBER($G1050),$G1050&gt;=21),STDEV(INDEX($H$990:$H1050,62-20):$H1050)*SQRT(245),"")</f>
        <v/>
      </c>
      <c r="M1050" s="52" t="str">
        <f aca="false">IF(AND(ISNUMBER($G1050),$G1050&gt;=60),MAX(INDEX($D$850:$D1050,202-60):$D1050),"")</f>
        <v/>
      </c>
      <c r="N1050" s="52" t="str">
        <f aca="false">IF(AND(ISNUMBER($G1050),$G1050&gt;=60),MIN(INDEX($E$850:$E1050,202-60):$E1050),"")</f>
        <v/>
      </c>
      <c r="O1050" s="53" t="str">
        <f aca="false">IF(OR(NOT(ISNUMBER($C1050)),NOT(ISNUMBER($M1050)),$M1050=0),"",$C1050/$M1050-1)</f>
        <v/>
      </c>
      <c r="P1050" s="54"/>
      <c r="Q1050" s="53" t="str">
        <f aca="false">IF(NOT(ISNUMBER($P1050)),"",IFERROR(PERCENTRANK($P$5:$P$1204,$P1050),""))</f>
        <v/>
      </c>
    </row>
    <row r="1051" customFormat="false" ht="15" hidden="false" customHeight="false" outlineLevel="0" collapsed="false">
      <c r="A1051" s="55"/>
      <c r="B1051" s="56"/>
      <c r="C1051" s="57"/>
      <c r="D1051" s="56"/>
      <c r="E1051" s="56"/>
      <c r="F1051" s="56"/>
      <c r="G1051" s="50" t="str">
        <f aca="false">IF($A1051="","",IF(ISNUMBER($G1050),$G1050+1,1))</f>
        <v/>
      </c>
      <c r="H1051" s="51" t="str">
        <f aca="false">IF(OR(NOT(ISNUMBER($G1051)),$G1051&lt;2,NOT(ISNUMBER($C1050)),$C1050=0),"",$C1051/$C1050-1)</f>
        <v/>
      </c>
      <c r="I1051" s="52" t="str">
        <f aca="false">IF(AND(ISNUMBER($G1051),$G1051&gt;=MA_SHORT),AVERAGE(INDEX($C$651:$C1051,402-MA_SHORT):$C1051),"")</f>
        <v/>
      </c>
      <c r="J1051" s="52" t="str">
        <f aca="false">IF(AND(ISNUMBER($G1051),$G1051&gt;=MA_MED),AVERAGE(INDEX($C$651:$C1051,402-MA_MED):$C1051),"")</f>
        <v/>
      </c>
      <c r="K1051" s="52" t="str">
        <f aca="false">IF(AND(ISNUMBER($G1051),$G1051&gt;=MA_LONG2),AVERAGE(INDEX($C$651:$C1051,402-MA_LONG2):$C1051),"")</f>
        <v/>
      </c>
      <c r="L1051" s="53" t="str">
        <f aca="false">IF(AND(ISNUMBER($G1051),$G1051&gt;=21),STDEV(INDEX($H$991:$H1051,62-20):$H1051)*SQRT(245),"")</f>
        <v/>
      </c>
      <c r="M1051" s="52" t="str">
        <f aca="false">IF(AND(ISNUMBER($G1051),$G1051&gt;=60),MAX(INDEX($D$851:$D1051,202-60):$D1051),"")</f>
        <v/>
      </c>
      <c r="N1051" s="52" t="str">
        <f aca="false">IF(AND(ISNUMBER($G1051),$G1051&gt;=60),MIN(INDEX($E$851:$E1051,202-60):$E1051),"")</f>
        <v/>
      </c>
      <c r="O1051" s="53" t="str">
        <f aca="false">IF(OR(NOT(ISNUMBER($C1051)),NOT(ISNUMBER($M1051)),$M1051=0),"",$C1051/$M1051-1)</f>
        <v/>
      </c>
      <c r="P1051" s="54"/>
      <c r="Q1051" s="53" t="str">
        <f aca="false">IF(NOT(ISNUMBER($P1051)),"",IFERROR(PERCENTRANK($P$5:$P$1204,$P1051),""))</f>
        <v/>
      </c>
    </row>
    <row r="1052" customFormat="false" ht="15" hidden="false" customHeight="false" outlineLevel="0" collapsed="false">
      <c r="A1052" s="55"/>
      <c r="B1052" s="56"/>
      <c r="C1052" s="57"/>
      <c r="D1052" s="56"/>
      <c r="E1052" s="56"/>
      <c r="F1052" s="56"/>
      <c r="G1052" s="50" t="str">
        <f aca="false">IF($A1052="","",IF(ISNUMBER($G1051),$G1051+1,1))</f>
        <v/>
      </c>
      <c r="H1052" s="51" t="str">
        <f aca="false">IF(OR(NOT(ISNUMBER($G1052)),$G1052&lt;2,NOT(ISNUMBER($C1051)),$C1051=0),"",$C1052/$C1051-1)</f>
        <v/>
      </c>
      <c r="I1052" s="52" t="str">
        <f aca="false">IF(AND(ISNUMBER($G1052),$G1052&gt;=MA_SHORT),AVERAGE(INDEX($C$652:$C1052,402-MA_SHORT):$C1052),"")</f>
        <v/>
      </c>
      <c r="J1052" s="52" t="str">
        <f aca="false">IF(AND(ISNUMBER($G1052),$G1052&gt;=MA_MED),AVERAGE(INDEX($C$652:$C1052,402-MA_MED):$C1052),"")</f>
        <v/>
      </c>
      <c r="K1052" s="52" t="str">
        <f aca="false">IF(AND(ISNUMBER($G1052),$G1052&gt;=MA_LONG2),AVERAGE(INDEX($C$652:$C1052,402-MA_LONG2):$C1052),"")</f>
        <v/>
      </c>
      <c r="L1052" s="53" t="str">
        <f aca="false">IF(AND(ISNUMBER($G1052),$G1052&gt;=21),STDEV(INDEX($H$992:$H1052,62-20):$H1052)*SQRT(245),"")</f>
        <v/>
      </c>
      <c r="M1052" s="52" t="str">
        <f aca="false">IF(AND(ISNUMBER($G1052),$G1052&gt;=60),MAX(INDEX($D$852:$D1052,202-60):$D1052),"")</f>
        <v/>
      </c>
      <c r="N1052" s="52" t="str">
        <f aca="false">IF(AND(ISNUMBER($G1052),$G1052&gt;=60),MIN(INDEX($E$852:$E1052,202-60):$E1052),"")</f>
        <v/>
      </c>
      <c r="O1052" s="53" t="str">
        <f aca="false">IF(OR(NOT(ISNUMBER($C1052)),NOT(ISNUMBER($M1052)),$M1052=0),"",$C1052/$M1052-1)</f>
        <v/>
      </c>
      <c r="P1052" s="54"/>
      <c r="Q1052" s="53" t="str">
        <f aca="false">IF(NOT(ISNUMBER($P1052)),"",IFERROR(PERCENTRANK($P$5:$P$1204,$P1052),""))</f>
        <v/>
      </c>
    </row>
    <row r="1053" customFormat="false" ht="15" hidden="false" customHeight="false" outlineLevel="0" collapsed="false">
      <c r="A1053" s="55"/>
      <c r="B1053" s="56"/>
      <c r="C1053" s="57"/>
      <c r="D1053" s="56"/>
      <c r="E1053" s="56"/>
      <c r="F1053" s="56"/>
      <c r="G1053" s="50" t="str">
        <f aca="false">IF($A1053="","",IF(ISNUMBER($G1052),$G1052+1,1))</f>
        <v/>
      </c>
      <c r="H1053" s="51" t="str">
        <f aca="false">IF(OR(NOT(ISNUMBER($G1053)),$G1053&lt;2,NOT(ISNUMBER($C1052)),$C1052=0),"",$C1053/$C1052-1)</f>
        <v/>
      </c>
      <c r="I1053" s="52" t="str">
        <f aca="false">IF(AND(ISNUMBER($G1053),$G1053&gt;=MA_SHORT),AVERAGE(INDEX($C$653:$C1053,402-MA_SHORT):$C1053),"")</f>
        <v/>
      </c>
      <c r="J1053" s="52" t="str">
        <f aca="false">IF(AND(ISNUMBER($G1053),$G1053&gt;=MA_MED),AVERAGE(INDEX($C$653:$C1053,402-MA_MED):$C1053),"")</f>
        <v/>
      </c>
      <c r="K1053" s="52" t="str">
        <f aca="false">IF(AND(ISNUMBER($G1053),$G1053&gt;=MA_LONG2),AVERAGE(INDEX($C$653:$C1053,402-MA_LONG2):$C1053),"")</f>
        <v/>
      </c>
      <c r="L1053" s="53" t="str">
        <f aca="false">IF(AND(ISNUMBER($G1053),$G1053&gt;=21),STDEV(INDEX($H$993:$H1053,62-20):$H1053)*SQRT(245),"")</f>
        <v/>
      </c>
      <c r="M1053" s="52" t="str">
        <f aca="false">IF(AND(ISNUMBER($G1053),$G1053&gt;=60),MAX(INDEX($D$853:$D1053,202-60):$D1053),"")</f>
        <v/>
      </c>
      <c r="N1053" s="52" t="str">
        <f aca="false">IF(AND(ISNUMBER($G1053),$G1053&gt;=60),MIN(INDEX($E$853:$E1053,202-60):$E1053),"")</f>
        <v/>
      </c>
      <c r="O1053" s="53" t="str">
        <f aca="false">IF(OR(NOT(ISNUMBER($C1053)),NOT(ISNUMBER($M1053)),$M1053=0),"",$C1053/$M1053-1)</f>
        <v/>
      </c>
      <c r="P1053" s="54"/>
      <c r="Q1053" s="53" t="str">
        <f aca="false">IF(NOT(ISNUMBER($P1053)),"",IFERROR(PERCENTRANK($P$5:$P$1204,$P1053),""))</f>
        <v/>
      </c>
    </row>
    <row r="1054" customFormat="false" ht="15" hidden="false" customHeight="false" outlineLevel="0" collapsed="false">
      <c r="A1054" s="55"/>
      <c r="B1054" s="56"/>
      <c r="C1054" s="57"/>
      <c r="D1054" s="56"/>
      <c r="E1054" s="56"/>
      <c r="F1054" s="56"/>
      <c r="G1054" s="50" t="str">
        <f aca="false">IF($A1054="","",IF(ISNUMBER($G1053),$G1053+1,1))</f>
        <v/>
      </c>
      <c r="H1054" s="51" t="str">
        <f aca="false">IF(OR(NOT(ISNUMBER($G1054)),$G1054&lt;2,NOT(ISNUMBER($C1053)),$C1053=0),"",$C1054/$C1053-1)</f>
        <v/>
      </c>
      <c r="I1054" s="52" t="str">
        <f aca="false">IF(AND(ISNUMBER($G1054),$G1054&gt;=MA_SHORT),AVERAGE(INDEX($C$654:$C1054,402-MA_SHORT):$C1054),"")</f>
        <v/>
      </c>
      <c r="J1054" s="52" t="str">
        <f aca="false">IF(AND(ISNUMBER($G1054),$G1054&gt;=MA_MED),AVERAGE(INDEX($C$654:$C1054,402-MA_MED):$C1054),"")</f>
        <v/>
      </c>
      <c r="K1054" s="52" t="str">
        <f aca="false">IF(AND(ISNUMBER($G1054),$G1054&gt;=MA_LONG2),AVERAGE(INDEX($C$654:$C1054,402-MA_LONG2):$C1054),"")</f>
        <v/>
      </c>
      <c r="L1054" s="53" t="str">
        <f aca="false">IF(AND(ISNUMBER($G1054),$G1054&gt;=21),STDEV(INDEX($H$994:$H1054,62-20):$H1054)*SQRT(245),"")</f>
        <v/>
      </c>
      <c r="M1054" s="52" t="str">
        <f aca="false">IF(AND(ISNUMBER($G1054),$G1054&gt;=60),MAX(INDEX($D$854:$D1054,202-60):$D1054),"")</f>
        <v/>
      </c>
      <c r="N1054" s="52" t="str">
        <f aca="false">IF(AND(ISNUMBER($G1054),$G1054&gt;=60),MIN(INDEX($E$854:$E1054,202-60):$E1054),"")</f>
        <v/>
      </c>
      <c r="O1054" s="53" t="str">
        <f aca="false">IF(OR(NOT(ISNUMBER($C1054)),NOT(ISNUMBER($M1054)),$M1054=0),"",$C1054/$M1054-1)</f>
        <v/>
      </c>
      <c r="P1054" s="54"/>
      <c r="Q1054" s="53" t="str">
        <f aca="false">IF(NOT(ISNUMBER($P1054)),"",IFERROR(PERCENTRANK($P$5:$P$1204,$P1054),""))</f>
        <v/>
      </c>
    </row>
    <row r="1055" customFormat="false" ht="15" hidden="false" customHeight="false" outlineLevel="0" collapsed="false">
      <c r="A1055" s="55"/>
      <c r="B1055" s="56"/>
      <c r="C1055" s="57"/>
      <c r="D1055" s="56"/>
      <c r="E1055" s="56"/>
      <c r="F1055" s="56"/>
      <c r="G1055" s="50" t="str">
        <f aca="false">IF($A1055="","",IF(ISNUMBER($G1054),$G1054+1,1))</f>
        <v/>
      </c>
      <c r="H1055" s="51" t="str">
        <f aca="false">IF(OR(NOT(ISNUMBER($G1055)),$G1055&lt;2,NOT(ISNUMBER($C1054)),$C1054=0),"",$C1055/$C1054-1)</f>
        <v/>
      </c>
      <c r="I1055" s="52" t="str">
        <f aca="false">IF(AND(ISNUMBER($G1055),$G1055&gt;=MA_SHORT),AVERAGE(INDEX($C$655:$C1055,402-MA_SHORT):$C1055),"")</f>
        <v/>
      </c>
      <c r="J1055" s="52" t="str">
        <f aca="false">IF(AND(ISNUMBER($G1055),$G1055&gt;=MA_MED),AVERAGE(INDEX($C$655:$C1055,402-MA_MED):$C1055),"")</f>
        <v/>
      </c>
      <c r="K1055" s="52" t="str">
        <f aca="false">IF(AND(ISNUMBER($G1055),$G1055&gt;=MA_LONG2),AVERAGE(INDEX($C$655:$C1055,402-MA_LONG2):$C1055),"")</f>
        <v/>
      </c>
      <c r="L1055" s="53" t="str">
        <f aca="false">IF(AND(ISNUMBER($G1055),$G1055&gt;=21),STDEV(INDEX($H$995:$H1055,62-20):$H1055)*SQRT(245),"")</f>
        <v/>
      </c>
      <c r="M1055" s="52" t="str">
        <f aca="false">IF(AND(ISNUMBER($G1055),$G1055&gt;=60),MAX(INDEX($D$855:$D1055,202-60):$D1055),"")</f>
        <v/>
      </c>
      <c r="N1055" s="52" t="str">
        <f aca="false">IF(AND(ISNUMBER($G1055),$G1055&gt;=60),MIN(INDEX($E$855:$E1055,202-60):$E1055),"")</f>
        <v/>
      </c>
      <c r="O1055" s="53" t="str">
        <f aca="false">IF(OR(NOT(ISNUMBER($C1055)),NOT(ISNUMBER($M1055)),$M1055=0),"",$C1055/$M1055-1)</f>
        <v/>
      </c>
      <c r="P1055" s="54"/>
      <c r="Q1055" s="53" t="str">
        <f aca="false">IF(NOT(ISNUMBER($P1055)),"",IFERROR(PERCENTRANK($P$5:$P$1204,$P1055),""))</f>
        <v/>
      </c>
    </row>
    <row r="1056" customFormat="false" ht="15" hidden="false" customHeight="false" outlineLevel="0" collapsed="false">
      <c r="A1056" s="55"/>
      <c r="B1056" s="56"/>
      <c r="C1056" s="57"/>
      <c r="D1056" s="56"/>
      <c r="E1056" s="56"/>
      <c r="F1056" s="56"/>
      <c r="G1056" s="50" t="str">
        <f aca="false">IF($A1056="","",IF(ISNUMBER($G1055),$G1055+1,1))</f>
        <v/>
      </c>
      <c r="H1056" s="51" t="str">
        <f aca="false">IF(OR(NOT(ISNUMBER($G1056)),$G1056&lt;2,NOT(ISNUMBER($C1055)),$C1055=0),"",$C1056/$C1055-1)</f>
        <v/>
      </c>
      <c r="I1056" s="52" t="str">
        <f aca="false">IF(AND(ISNUMBER($G1056),$G1056&gt;=MA_SHORT),AVERAGE(INDEX($C$656:$C1056,402-MA_SHORT):$C1056),"")</f>
        <v/>
      </c>
      <c r="J1056" s="52" t="str">
        <f aca="false">IF(AND(ISNUMBER($G1056),$G1056&gt;=MA_MED),AVERAGE(INDEX($C$656:$C1056,402-MA_MED):$C1056),"")</f>
        <v/>
      </c>
      <c r="K1056" s="52" t="str">
        <f aca="false">IF(AND(ISNUMBER($G1056),$G1056&gt;=MA_LONG2),AVERAGE(INDEX($C$656:$C1056,402-MA_LONG2):$C1056),"")</f>
        <v/>
      </c>
      <c r="L1056" s="53" t="str">
        <f aca="false">IF(AND(ISNUMBER($G1056),$G1056&gt;=21),STDEV(INDEX($H$996:$H1056,62-20):$H1056)*SQRT(245),"")</f>
        <v/>
      </c>
      <c r="M1056" s="52" t="str">
        <f aca="false">IF(AND(ISNUMBER($G1056),$G1056&gt;=60),MAX(INDEX($D$856:$D1056,202-60):$D1056),"")</f>
        <v/>
      </c>
      <c r="N1056" s="52" t="str">
        <f aca="false">IF(AND(ISNUMBER($G1056),$G1056&gt;=60),MIN(INDEX($E$856:$E1056,202-60):$E1056),"")</f>
        <v/>
      </c>
      <c r="O1056" s="53" t="str">
        <f aca="false">IF(OR(NOT(ISNUMBER($C1056)),NOT(ISNUMBER($M1056)),$M1056=0),"",$C1056/$M1056-1)</f>
        <v/>
      </c>
      <c r="P1056" s="54"/>
      <c r="Q1056" s="53" t="str">
        <f aca="false">IF(NOT(ISNUMBER($P1056)),"",IFERROR(PERCENTRANK($P$5:$P$1204,$P1056),""))</f>
        <v/>
      </c>
    </row>
    <row r="1057" customFormat="false" ht="15" hidden="false" customHeight="false" outlineLevel="0" collapsed="false">
      <c r="A1057" s="55"/>
      <c r="B1057" s="56"/>
      <c r="C1057" s="57"/>
      <c r="D1057" s="56"/>
      <c r="E1057" s="56"/>
      <c r="F1057" s="56"/>
      <c r="G1057" s="50" t="str">
        <f aca="false">IF($A1057="","",IF(ISNUMBER($G1056),$G1056+1,1))</f>
        <v/>
      </c>
      <c r="H1057" s="51" t="str">
        <f aca="false">IF(OR(NOT(ISNUMBER($G1057)),$G1057&lt;2,NOT(ISNUMBER($C1056)),$C1056=0),"",$C1057/$C1056-1)</f>
        <v/>
      </c>
      <c r="I1057" s="52" t="str">
        <f aca="false">IF(AND(ISNUMBER($G1057),$G1057&gt;=MA_SHORT),AVERAGE(INDEX($C$657:$C1057,402-MA_SHORT):$C1057),"")</f>
        <v/>
      </c>
      <c r="J1057" s="52" t="str">
        <f aca="false">IF(AND(ISNUMBER($G1057),$G1057&gt;=MA_MED),AVERAGE(INDEX($C$657:$C1057,402-MA_MED):$C1057),"")</f>
        <v/>
      </c>
      <c r="K1057" s="52" t="str">
        <f aca="false">IF(AND(ISNUMBER($G1057),$G1057&gt;=MA_LONG2),AVERAGE(INDEX($C$657:$C1057,402-MA_LONG2):$C1057),"")</f>
        <v/>
      </c>
      <c r="L1057" s="53" t="str">
        <f aca="false">IF(AND(ISNUMBER($G1057),$G1057&gt;=21),STDEV(INDEX($H$997:$H1057,62-20):$H1057)*SQRT(245),"")</f>
        <v/>
      </c>
      <c r="M1057" s="52" t="str">
        <f aca="false">IF(AND(ISNUMBER($G1057),$G1057&gt;=60),MAX(INDEX($D$857:$D1057,202-60):$D1057),"")</f>
        <v/>
      </c>
      <c r="N1057" s="52" t="str">
        <f aca="false">IF(AND(ISNUMBER($G1057),$G1057&gt;=60),MIN(INDEX($E$857:$E1057,202-60):$E1057),"")</f>
        <v/>
      </c>
      <c r="O1057" s="53" t="str">
        <f aca="false">IF(OR(NOT(ISNUMBER($C1057)),NOT(ISNUMBER($M1057)),$M1057=0),"",$C1057/$M1057-1)</f>
        <v/>
      </c>
      <c r="P1057" s="54"/>
      <c r="Q1057" s="53" t="str">
        <f aca="false">IF(NOT(ISNUMBER($P1057)),"",IFERROR(PERCENTRANK($P$5:$P$1204,$P1057),""))</f>
        <v/>
      </c>
    </row>
    <row r="1058" customFormat="false" ht="15" hidden="false" customHeight="false" outlineLevel="0" collapsed="false">
      <c r="A1058" s="55"/>
      <c r="B1058" s="56"/>
      <c r="C1058" s="57"/>
      <c r="D1058" s="56"/>
      <c r="E1058" s="56"/>
      <c r="F1058" s="56"/>
      <c r="G1058" s="50" t="str">
        <f aca="false">IF($A1058="","",IF(ISNUMBER($G1057),$G1057+1,1))</f>
        <v/>
      </c>
      <c r="H1058" s="51" t="str">
        <f aca="false">IF(OR(NOT(ISNUMBER($G1058)),$G1058&lt;2,NOT(ISNUMBER($C1057)),$C1057=0),"",$C1058/$C1057-1)</f>
        <v/>
      </c>
      <c r="I1058" s="52" t="str">
        <f aca="false">IF(AND(ISNUMBER($G1058),$G1058&gt;=MA_SHORT),AVERAGE(INDEX($C$658:$C1058,402-MA_SHORT):$C1058),"")</f>
        <v/>
      </c>
      <c r="J1058" s="52" t="str">
        <f aca="false">IF(AND(ISNUMBER($G1058),$G1058&gt;=MA_MED),AVERAGE(INDEX($C$658:$C1058,402-MA_MED):$C1058),"")</f>
        <v/>
      </c>
      <c r="K1058" s="52" t="str">
        <f aca="false">IF(AND(ISNUMBER($G1058),$G1058&gt;=MA_LONG2),AVERAGE(INDEX($C$658:$C1058,402-MA_LONG2):$C1058),"")</f>
        <v/>
      </c>
      <c r="L1058" s="53" t="str">
        <f aca="false">IF(AND(ISNUMBER($G1058),$G1058&gt;=21),STDEV(INDEX($H$998:$H1058,62-20):$H1058)*SQRT(245),"")</f>
        <v/>
      </c>
      <c r="M1058" s="52" t="str">
        <f aca="false">IF(AND(ISNUMBER($G1058),$G1058&gt;=60),MAX(INDEX($D$858:$D1058,202-60):$D1058),"")</f>
        <v/>
      </c>
      <c r="N1058" s="52" t="str">
        <f aca="false">IF(AND(ISNUMBER($G1058),$G1058&gt;=60),MIN(INDEX($E$858:$E1058,202-60):$E1058),"")</f>
        <v/>
      </c>
      <c r="O1058" s="53" t="str">
        <f aca="false">IF(OR(NOT(ISNUMBER($C1058)),NOT(ISNUMBER($M1058)),$M1058=0),"",$C1058/$M1058-1)</f>
        <v/>
      </c>
      <c r="P1058" s="54"/>
      <c r="Q1058" s="53" t="str">
        <f aca="false">IF(NOT(ISNUMBER($P1058)),"",IFERROR(PERCENTRANK($P$5:$P$1204,$P1058),""))</f>
        <v/>
      </c>
    </row>
    <row r="1059" customFormat="false" ht="15" hidden="false" customHeight="false" outlineLevel="0" collapsed="false">
      <c r="A1059" s="55"/>
      <c r="B1059" s="56"/>
      <c r="C1059" s="57"/>
      <c r="D1059" s="56"/>
      <c r="E1059" s="56"/>
      <c r="F1059" s="56"/>
      <c r="G1059" s="50" t="str">
        <f aca="false">IF($A1059="","",IF(ISNUMBER($G1058),$G1058+1,1))</f>
        <v/>
      </c>
      <c r="H1059" s="51" t="str">
        <f aca="false">IF(OR(NOT(ISNUMBER($G1059)),$G1059&lt;2,NOT(ISNUMBER($C1058)),$C1058=0),"",$C1059/$C1058-1)</f>
        <v/>
      </c>
      <c r="I1059" s="52" t="str">
        <f aca="false">IF(AND(ISNUMBER($G1059),$G1059&gt;=MA_SHORT),AVERAGE(INDEX($C$659:$C1059,402-MA_SHORT):$C1059),"")</f>
        <v/>
      </c>
      <c r="J1059" s="52" t="str">
        <f aca="false">IF(AND(ISNUMBER($G1059),$G1059&gt;=MA_MED),AVERAGE(INDEX($C$659:$C1059,402-MA_MED):$C1059),"")</f>
        <v/>
      </c>
      <c r="K1059" s="52" t="str">
        <f aca="false">IF(AND(ISNUMBER($G1059),$G1059&gt;=MA_LONG2),AVERAGE(INDEX($C$659:$C1059,402-MA_LONG2):$C1059),"")</f>
        <v/>
      </c>
      <c r="L1059" s="53" t="str">
        <f aca="false">IF(AND(ISNUMBER($G1059),$G1059&gt;=21),STDEV(INDEX($H$999:$H1059,62-20):$H1059)*SQRT(245),"")</f>
        <v/>
      </c>
      <c r="M1059" s="52" t="str">
        <f aca="false">IF(AND(ISNUMBER($G1059),$G1059&gt;=60),MAX(INDEX($D$859:$D1059,202-60):$D1059),"")</f>
        <v/>
      </c>
      <c r="N1059" s="52" t="str">
        <f aca="false">IF(AND(ISNUMBER($G1059),$G1059&gt;=60),MIN(INDEX($E$859:$E1059,202-60):$E1059),"")</f>
        <v/>
      </c>
      <c r="O1059" s="53" t="str">
        <f aca="false">IF(OR(NOT(ISNUMBER($C1059)),NOT(ISNUMBER($M1059)),$M1059=0),"",$C1059/$M1059-1)</f>
        <v/>
      </c>
      <c r="P1059" s="54"/>
      <c r="Q1059" s="53" t="str">
        <f aca="false">IF(NOT(ISNUMBER($P1059)),"",IFERROR(PERCENTRANK($P$5:$P$1204,$P1059),""))</f>
        <v/>
      </c>
    </row>
    <row r="1060" customFormat="false" ht="15" hidden="false" customHeight="false" outlineLevel="0" collapsed="false">
      <c r="A1060" s="55"/>
      <c r="B1060" s="56"/>
      <c r="C1060" s="57"/>
      <c r="D1060" s="56"/>
      <c r="E1060" s="56"/>
      <c r="F1060" s="56"/>
      <c r="G1060" s="50" t="str">
        <f aca="false">IF($A1060="","",IF(ISNUMBER($G1059),$G1059+1,1))</f>
        <v/>
      </c>
      <c r="H1060" s="51" t="str">
        <f aca="false">IF(OR(NOT(ISNUMBER($G1060)),$G1060&lt;2,NOT(ISNUMBER($C1059)),$C1059=0),"",$C1060/$C1059-1)</f>
        <v/>
      </c>
      <c r="I1060" s="52" t="str">
        <f aca="false">IF(AND(ISNUMBER($G1060),$G1060&gt;=MA_SHORT),AVERAGE(INDEX($C$660:$C1060,402-MA_SHORT):$C1060),"")</f>
        <v/>
      </c>
      <c r="J1060" s="52" t="str">
        <f aca="false">IF(AND(ISNUMBER($G1060),$G1060&gt;=MA_MED),AVERAGE(INDEX($C$660:$C1060,402-MA_MED):$C1060),"")</f>
        <v/>
      </c>
      <c r="K1060" s="52" t="str">
        <f aca="false">IF(AND(ISNUMBER($G1060),$G1060&gt;=MA_LONG2),AVERAGE(INDEX($C$660:$C1060,402-MA_LONG2):$C1060),"")</f>
        <v/>
      </c>
      <c r="L1060" s="53" t="str">
        <f aca="false">IF(AND(ISNUMBER($G1060),$G1060&gt;=21),STDEV(INDEX($H$1000:$H1060,62-20):$H1060)*SQRT(245),"")</f>
        <v/>
      </c>
      <c r="M1060" s="52" t="str">
        <f aca="false">IF(AND(ISNUMBER($G1060),$G1060&gt;=60),MAX(INDEX($D$860:$D1060,202-60):$D1060),"")</f>
        <v/>
      </c>
      <c r="N1060" s="52" t="str">
        <f aca="false">IF(AND(ISNUMBER($G1060),$G1060&gt;=60),MIN(INDEX($E$860:$E1060,202-60):$E1060),"")</f>
        <v/>
      </c>
      <c r="O1060" s="53" t="str">
        <f aca="false">IF(OR(NOT(ISNUMBER($C1060)),NOT(ISNUMBER($M1060)),$M1060=0),"",$C1060/$M1060-1)</f>
        <v/>
      </c>
      <c r="P1060" s="54"/>
      <c r="Q1060" s="53" t="str">
        <f aca="false">IF(NOT(ISNUMBER($P1060)),"",IFERROR(PERCENTRANK($P$5:$P$1204,$P1060),""))</f>
        <v/>
      </c>
    </row>
    <row r="1061" customFormat="false" ht="15" hidden="false" customHeight="false" outlineLevel="0" collapsed="false">
      <c r="A1061" s="55"/>
      <c r="B1061" s="56"/>
      <c r="C1061" s="57"/>
      <c r="D1061" s="56"/>
      <c r="E1061" s="56"/>
      <c r="F1061" s="56"/>
      <c r="G1061" s="50" t="str">
        <f aca="false">IF($A1061="","",IF(ISNUMBER($G1060),$G1060+1,1))</f>
        <v/>
      </c>
      <c r="H1061" s="51" t="str">
        <f aca="false">IF(OR(NOT(ISNUMBER($G1061)),$G1061&lt;2,NOT(ISNUMBER($C1060)),$C1060=0),"",$C1061/$C1060-1)</f>
        <v/>
      </c>
      <c r="I1061" s="52" t="str">
        <f aca="false">IF(AND(ISNUMBER($G1061),$G1061&gt;=MA_SHORT),AVERAGE(INDEX($C$661:$C1061,402-MA_SHORT):$C1061),"")</f>
        <v/>
      </c>
      <c r="J1061" s="52" t="str">
        <f aca="false">IF(AND(ISNUMBER($G1061),$G1061&gt;=MA_MED),AVERAGE(INDEX($C$661:$C1061,402-MA_MED):$C1061),"")</f>
        <v/>
      </c>
      <c r="K1061" s="52" t="str">
        <f aca="false">IF(AND(ISNUMBER($G1061),$G1061&gt;=MA_LONG2),AVERAGE(INDEX($C$661:$C1061,402-MA_LONG2):$C1061),"")</f>
        <v/>
      </c>
      <c r="L1061" s="53" t="str">
        <f aca="false">IF(AND(ISNUMBER($G1061),$G1061&gt;=21),STDEV(INDEX($H$1001:$H1061,62-20):$H1061)*SQRT(245),"")</f>
        <v/>
      </c>
      <c r="M1061" s="52" t="str">
        <f aca="false">IF(AND(ISNUMBER($G1061),$G1061&gt;=60),MAX(INDEX($D$861:$D1061,202-60):$D1061),"")</f>
        <v/>
      </c>
      <c r="N1061" s="52" t="str">
        <f aca="false">IF(AND(ISNUMBER($G1061),$G1061&gt;=60),MIN(INDEX($E$861:$E1061,202-60):$E1061),"")</f>
        <v/>
      </c>
      <c r="O1061" s="53" t="str">
        <f aca="false">IF(OR(NOT(ISNUMBER($C1061)),NOT(ISNUMBER($M1061)),$M1061=0),"",$C1061/$M1061-1)</f>
        <v/>
      </c>
      <c r="P1061" s="54"/>
      <c r="Q1061" s="53" t="str">
        <f aca="false">IF(NOT(ISNUMBER($P1061)),"",IFERROR(PERCENTRANK($P$5:$P$1204,$P1061),""))</f>
        <v/>
      </c>
    </row>
    <row r="1062" customFormat="false" ht="15" hidden="false" customHeight="false" outlineLevel="0" collapsed="false">
      <c r="A1062" s="55"/>
      <c r="B1062" s="56"/>
      <c r="C1062" s="57"/>
      <c r="D1062" s="56"/>
      <c r="E1062" s="56"/>
      <c r="F1062" s="56"/>
      <c r="G1062" s="50" t="str">
        <f aca="false">IF($A1062="","",IF(ISNUMBER($G1061),$G1061+1,1))</f>
        <v/>
      </c>
      <c r="H1062" s="51" t="str">
        <f aca="false">IF(OR(NOT(ISNUMBER($G1062)),$G1062&lt;2,NOT(ISNUMBER($C1061)),$C1061=0),"",$C1062/$C1061-1)</f>
        <v/>
      </c>
      <c r="I1062" s="52" t="str">
        <f aca="false">IF(AND(ISNUMBER($G1062),$G1062&gt;=MA_SHORT),AVERAGE(INDEX($C$662:$C1062,402-MA_SHORT):$C1062),"")</f>
        <v/>
      </c>
      <c r="J1062" s="52" t="str">
        <f aca="false">IF(AND(ISNUMBER($G1062),$G1062&gt;=MA_MED),AVERAGE(INDEX($C$662:$C1062,402-MA_MED):$C1062),"")</f>
        <v/>
      </c>
      <c r="K1062" s="52" t="str">
        <f aca="false">IF(AND(ISNUMBER($G1062),$G1062&gt;=MA_LONG2),AVERAGE(INDEX($C$662:$C1062,402-MA_LONG2):$C1062),"")</f>
        <v/>
      </c>
      <c r="L1062" s="53" t="str">
        <f aca="false">IF(AND(ISNUMBER($G1062),$G1062&gt;=21),STDEV(INDEX($H$1002:$H1062,62-20):$H1062)*SQRT(245),"")</f>
        <v/>
      </c>
      <c r="M1062" s="52" t="str">
        <f aca="false">IF(AND(ISNUMBER($G1062),$G1062&gt;=60),MAX(INDEX($D$862:$D1062,202-60):$D1062),"")</f>
        <v/>
      </c>
      <c r="N1062" s="52" t="str">
        <f aca="false">IF(AND(ISNUMBER($G1062),$G1062&gt;=60),MIN(INDEX($E$862:$E1062,202-60):$E1062),"")</f>
        <v/>
      </c>
      <c r="O1062" s="53" t="str">
        <f aca="false">IF(OR(NOT(ISNUMBER($C1062)),NOT(ISNUMBER($M1062)),$M1062=0),"",$C1062/$M1062-1)</f>
        <v/>
      </c>
      <c r="P1062" s="54"/>
      <c r="Q1062" s="53" t="str">
        <f aca="false">IF(NOT(ISNUMBER($P1062)),"",IFERROR(PERCENTRANK($P$5:$P$1204,$P1062),""))</f>
        <v/>
      </c>
    </row>
    <row r="1063" customFormat="false" ht="15" hidden="false" customHeight="false" outlineLevel="0" collapsed="false">
      <c r="A1063" s="55"/>
      <c r="B1063" s="56"/>
      <c r="C1063" s="57"/>
      <c r="D1063" s="56"/>
      <c r="E1063" s="56"/>
      <c r="F1063" s="56"/>
      <c r="G1063" s="50" t="str">
        <f aca="false">IF($A1063="","",IF(ISNUMBER($G1062),$G1062+1,1))</f>
        <v/>
      </c>
      <c r="H1063" s="51" t="str">
        <f aca="false">IF(OR(NOT(ISNUMBER($G1063)),$G1063&lt;2,NOT(ISNUMBER($C1062)),$C1062=0),"",$C1063/$C1062-1)</f>
        <v/>
      </c>
      <c r="I1063" s="52" t="str">
        <f aca="false">IF(AND(ISNUMBER($G1063),$G1063&gt;=MA_SHORT),AVERAGE(INDEX($C$663:$C1063,402-MA_SHORT):$C1063),"")</f>
        <v/>
      </c>
      <c r="J1063" s="52" t="str">
        <f aca="false">IF(AND(ISNUMBER($G1063),$G1063&gt;=MA_MED),AVERAGE(INDEX($C$663:$C1063,402-MA_MED):$C1063),"")</f>
        <v/>
      </c>
      <c r="K1063" s="52" t="str">
        <f aca="false">IF(AND(ISNUMBER($G1063),$G1063&gt;=MA_LONG2),AVERAGE(INDEX($C$663:$C1063,402-MA_LONG2):$C1063),"")</f>
        <v/>
      </c>
      <c r="L1063" s="53" t="str">
        <f aca="false">IF(AND(ISNUMBER($G1063),$G1063&gt;=21),STDEV(INDEX($H$1003:$H1063,62-20):$H1063)*SQRT(245),"")</f>
        <v/>
      </c>
      <c r="M1063" s="52" t="str">
        <f aca="false">IF(AND(ISNUMBER($G1063),$G1063&gt;=60),MAX(INDEX($D$863:$D1063,202-60):$D1063),"")</f>
        <v/>
      </c>
      <c r="N1063" s="52" t="str">
        <f aca="false">IF(AND(ISNUMBER($G1063),$G1063&gt;=60),MIN(INDEX($E$863:$E1063,202-60):$E1063),"")</f>
        <v/>
      </c>
      <c r="O1063" s="53" t="str">
        <f aca="false">IF(OR(NOT(ISNUMBER($C1063)),NOT(ISNUMBER($M1063)),$M1063=0),"",$C1063/$M1063-1)</f>
        <v/>
      </c>
      <c r="P1063" s="54"/>
      <c r="Q1063" s="53" t="str">
        <f aca="false">IF(NOT(ISNUMBER($P1063)),"",IFERROR(PERCENTRANK($P$5:$P$1204,$P1063),""))</f>
        <v/>
      </c>
    </row>
    <row r="1064" customFormat="false" ht="15" hidden="false" customHeight="false" outlineLevel="0" collapsed="false">
      <c r="A1064" s="55"/>
      <c r="B1064" s="56"/>
      <c r="C1064" s="57"/>
      <c r="D1064" s="56"/>
      <c r="E1064" s="56"/>
      <c r="F1064" s="56"/>
      <c r="G1064" s="50" t="str">
        <f aca="false">IF($A1064="","",IF(ISNUMBER($G1063),$G1063+1,1))</f>
        <v/>
      </c>
      <c r="H1064" s="51" t="str">
        <f aca="false">IF(OR(NOT(ISNUMBER($G1064)),$G1064&lt;2,NOT(ISNUMBER($C1063)),$C1063=0),"",$C1064/$C1063-1)</f>
        <v/>
      </c>
      <c r="I1064" s="52" t="str">
        <f aca="false">IF(AND(ISNUMBER($G1064),$G1064&gt;=MA_SHORT),AVERAGE(INDEX($C$664:$C1064,402-MA_SHORT):$C1064),"")</f>
        <v/>
      </c>
      <c r="J1064" s="52" t="str">
        <f aca="false">IF(AND(ISNUMBER($G1064),$G1064&gt;=MA_MED),AVERAGE(INDEX($C$664:$C1064,402-MA_MED):$C1064),"")</f>
        <v/>
      </c>
      <c r="K1064" s="52" t="str">
        <f aca="false">IF(AND(ISNUMBER($G1064),$G1064&gt;=MA_LONG2),AVERAGE(INDEX($C$664:$C1064,402-MA_LONG2):$C1064),"")</f>
        <v/>
      </c>
      <c r="L1064" s="53" t="str">
        <f aca="false">IF(AND(ISNUMBER($G1064),$G1064&gt;=21),STDEV(INDEX($H$1004:$H1064,62-20):$H1064)*SQRT(245),"")</f>
        <v/>
      </c>
      <c r="M1064" s="52" t="str">
        <f aca="false">IF(AND(ISNUMBER($G1064),$G1064&gt;=60),MAX(INDEX($D$864:$D1064,202-60):$D1064),"")</f>
        <v/>
      </c>
      <c r="N1064" s="52" t="str">
        <f aca="false">IF(AND(ISNUMBER($G1064),$G1064&gt;=60),MIN(INDEX($E$864:$E1064,202-60):$E1064),"")</f>
        <v/>
      </c>
      <c r="O1064" s="53" t="str">
        <f aca="false">IF(OR(NOT(ISNUMBER($C1064)),NOT(ISNUMBER($M1064)),$M1064=0),"",$C1064/$M1064-1)</f>
        <v/>
      </c>
      <c r="P1064" s="54"/>
      <c r="Q1064" s="53" t="str">
        <f aca="false">IF(NOT(ISNUMBER($P1064)),"",IFERROR(PERCENTRANK($P$5:$P$1204,$P1064),""))</f>
        <v/>
      </c>
    </row>
    <row r="1065" customFormat="false" ht="15" hidden="false" customHeight="false" outlineLevel="0" collapsed="false">
      <c r="A1065" s="55"/>
      <c r="B1065" s="56"/>
      <c r="C1065" s="57"/>
      <c r="D1065" s="56"/>
      <c r="E1065" s="56"/>
      <c r="F1065" s="56"/>
      <c r="G1065" s="50" t="str">
        <f aca="false">IF($A1065="","",IF(ISNUMBER($G1064),$G1064+1,1))</f>
        <v/>
      </c>
      <c r="H1065" s="51" t="str">
        <f aca="false">IF(OR(NOT(ISNUMBER($G1065)),$G1065&lt;2,NOT(ISNUMBER($C1064)),$C1064=0),"",$C1065/$C1064-1)</f>
        <v/>
      </c>
      <c r="I1065" s="52" t="str">
        <f aca="false">IF(AND(ISNUMBER($G1065),$G1065&gt;=MA_SHORT),AVERAGE(INDEX($C$665:$C1065,402-MA_SHORT):$C1065),"")</f>
        <v/>
      </c>
      <c r="J1065" s="52" t="str">
        <f aca="false">IF(AND(ISNUMBER($G1065),$G1065&gt;=MA_MED),AVERAGE(INDEX($C$665:$C1065,402-MA_MED):$C1065),"")</f>
        <v/>
      </c>
      <c r="K1065" s="52" t="str">
        <f aca="false">IF(AND(ISNUMBER($G1065),$G1065&gt;=MA_LONG2),AVERAGE(INDEX($C$665:$C1065,402-MA_LONG2):$C1065),"")</f>
        <v/>
      </c>
      <c r="L1065" s="53" t="str">
        <f aca="false">IF(AND(ISNUMBER($G1065),$G1065&gt;=21),STDEV(INDEX($H$1005:$H1065,62-20):$H1065)*SQRT(245),"")</f>
        <v/>
      </c>
      <c r="M1065" s="52" t="str">
        <f aca="false">IF(AND(ISNUMBER($G1065),$G1065&gt;=60),MAX(INDEX($D$865:$D1065,202-60):$D1065),"")</f>
        <v/>
      </c>
      <c r="N1065" s="52" t="str">
        <f aca="false">IF(AND(ISNUMBER($G1065),$G1065&gt;=60),MIN(INDEX($E$865:$E1065,202-60):$E1065),"")</f>
        <v/>
      </c>
      <c r="O1065" s="53" t="str">
        <f aca="false">IF(OR(NOT(ISNUMBER($C1065)),NOT(ISNUMBER($M1065)),$M1065=0),"",$C1065/$M1065-1)</f>
        <v/>
      </c>
      <c r="P1065" s="54"/>
      <c r="Q1065" s="53" t="str">
        <f aca="false">IF(NOT(ISNUMBER($P1065)),"",IFERROR(PERCENTRANK($P$5:$P$1204,$P1065),""))</f>
        <v/>
      </c>
    </row>
    <row r="1066" customFormat="false" ht="15" hidden="false" customHeight="false" outlineLevel="0" collapsed="false">
      <c r="A1066" s="55"/>
      <c r="B1066" s="56"/>
      <c r="C1066" s="57"/>
      <c r="D1066" s="56"/>
      <c r="E1066" s="56"/>
      <c r="F1066" s="56"/>
      <c r="G1066" s="50" t="str">
        <f aca="false">IF($A1066="","",IF(ISNUMBER($G1065),$G1065+1,1))</f>
        <v/>
      </c>
      <c r="H1066" s="51" t="str">
        <f aca="false">IF(OR(NOT(ISNUMBER($G1066)),$G1066&lt;2,NOT(ISNUMBER($C1065)),$C1065=0),"",$C1066/$C1065-1)</f>
        <v/>
      </c>
      <c r="I1066" s="52" t="str">
        <f aca="false">IF(AND(ISNUMBER($G1066),$G1066&gt;=MA_SHORT),AVERAGE(INDEX($C$666:$C1066,402-MA_SHORT):$C1066),"")</f>
        <v/>
      </c>
      <c r="J1066" s="52" t="str">
        <f aca="false">IF(AND(ISNUMBER($G1066),$G1066&gt;=MA_MED),AVERAGE(INDEX($C$666:$C1066,402-MA_MED):$C1066),"")</f>
        <v/>
      </c>
      <c r="K1066" s="52" t="str">
        <f aca="false">IF(AND(ISNUMBER($G1066),$G1066&gt;=MA_LONG2),AVERAGE(INDEX($C$666:$C1066,402-MA_LONG2):$C1066),"")</f>
        <v/>
      </c>
      <c r="L1066" s="53" t="str">
        <f aca="false">IF(AND(ISNUMBER($G1066),$G1066&gt;=21),STDEV(INDEX($H$1006:$H1066,62-20):$H1066)*SQRT(245),"")</f>
        <v/>
      </c>
      <c r="M1066" s="52" t="str">
        <f aca="false">IF(AND(ISNUMBER($G1066),$G1066&gt;=60),MAX(INDEX($D$866:$D1066,202-60):$D1066),"")</f>
        <v/>
      </c>
      <c r="N1066" s="52" t="str">
        <f aca="false">IF(AND(ISNUMBER($G1066),$G1066&gt;=60),MIN(INDEX($E$866:$E1066,202-60):$E1066),"")</f>
        <v/>
      </c>
      <c r="O1066" s="53" t="str">
        <f aca="false">IF(OR(NOT(ISNUMBER($C1066)),NOT(ISNUMBER($M1066)),$M1066=0),"",$C1066/$M1066-1)</f>
        <v/>
      </c>
      <c r="P1066" s="54"/>
      <c r="Q1066" s="53" t="str">
        <f aca="false">IF(NOT(ISNUMBER($P1066)),"",IFERROR(PERCENTRANK($P$5:$P$1204,$P1066),""))</f>
        <v/>
      </c>
    </row>
    <row r="1067" customFormat="false" ht="15" hidden="false" customHeight="false" outlineLevel="0" collapsed="false">
      <c r="A1067" s="55"/>
      <c r="B1067" s="56"/>
      <c r="C1067" s="57"/>
      <c r="D1067" s="56"/>
      <c r="E1067" s="56"/>
      <c r="F1067" s="56"/>
      <c r="G1067" s="50" t="str">
        <f aca="false">IF($A1067="","",IF(ISNUMBER($G1066),$G1066+1,1))</f>
        <v/>
      </c>
      <c r="H1067" s="51" t="str">
        <f aca="false">IF(OR(NOT(ISNUMBER($G1067)),$G1067&lt;2,NOT(ISNUMBER($C1066)),$C1066=0),"",$C1067/$C1066-1)</f>
        <v/>
      </c>
      <c r="I1067" s="52" t="str">
        <f aca="false">IF(AND(ISNUMBER($G1067),$G1067&gt;=MA_SHORT),AVERAGE(INDEX($C$667:$C1067,402-MA_SHORT):$C1067),"")</f>
        <v/>
      </c>
      <c r="J1067" s="52" t="str">
        <f aca="false">IF(AND(ISNUMBER($G1067),$G1067&gt;=MA_MED),AVERAGE(INDEX($C$667:$C1067,402-MA_MED):$C1067),"")</f>
        <v/>
      </c>
      <c r="K1067" s="52" t="str">
        <f aca="false">IF(AND(ISNUMBER($G1067),$G1067&gt;=MA_LONG2),AVERAGE(INDEX($C$667:$C1067,402-MA_LONG2):$C1067),"")</f>
        <v/>
      </c>
      <c r="L1067" s="53" t="str">
        <f aca="false">IF(AND(ISNUMBER($G1067),$G1067&gt;=21),STDEV(INDEX($H$1007:$H1067,62-20):$H1067)*SQRT(245),"")</f>
        <v/>
      </c>
      <c r="M1067" s="52" t="str">
        <f aca="false">IF(AND(ISNUMBER($G1067),$G1067&gt;=60),MAX(INDEX($D$867:$D1067,202-60):$D1067),"")</f>
        <v/>
      </c>
      <c r="N1067" s="52" t="str">
        <f aca="false">IF(AND(ISNUMBER($G1067),$G1067&gt;=60),MIN(INDEX($E$867:$E1067,202-60):$E1067),"")</f>
        <v/>
      </c>
      <c r="O1067" s="53" t="str">
        <f aca="false">IF(OR(NOT(ISNUMBER($C1067)),NOT(ISNUMBER($M1067)),$M1067=0),"",$C1067/$M1067-1)</f>
        <v/>
      </c>
      <c r="P1067" s="54"/>
      <c r="Q1067" s="53" t="str">
        <f aca="false">IF(NOT(ISNUMBER($P1067)),"",IFERROR(PERCENTRANK($P$5:$P$1204,$P1067),""))</f>
        <v/>
      </c>
    </row>
    <row r="1068" customFormat="false" ht="15" hidden="false" customHeight="false" outlineLevel="0" collapsed="false">
      <c r="A1068" s="55"/>
      <c r="B1068" s="56"/>
      <c r="C1068" s="57"/>
      <c r="D1068" s="56"/>
      <c r="E1068" s="56"/>
      <c r="F1068" s="56"/>
      <c r="G1068" s="50" t="str">
        <f aca="false">IF($A1068="","",IF(ISNUMBER($G1067),$G1067+1,1))</f>
        <v/>
      </c>
      <c r="H1068" s="51" t="str">
        <f aca="false">IF(OR(NOT(ISNUMBER($G1068)),$G1068&lt;2,NOT(ISNUMBER($C1067)),$C1067=0),"",$C1068/$C1067-1)</f>
        <v/>
      </c>
      <c r="I1068" s="52" t="str">
        <f aca="false">IF(AND(ISNUMBER($G1068),$G1068&gt;=MA_SHORT),AVERAGE(INDEX($C$668:$C1068,402-MA_SHORT):$C1068),"")</f>
        <v/>
      </c>
      <c r="J1068" s="52" t="str">
        <f aca="false">IF(AND(ISNUMBER($G1068),$G1068&gt;=MA_MED),AVERAGE(INDEX($C$668:$C1068,402-MA_MED):$C1068),"")</f>
        <v/>
      </c>
      <c r="K1068" s="52" t="str">
        <f aca="false">IF(AND(ISNUMBER($G1068),$G1068&gt;=MA_LONG2),AVERAGE(INDEX($C$668:$C1068,402-MA_LONG2):$C1068),"")</f>
        <v/>
      </c>
      <c r="L1068" s="53" t="str">
        <f aca="false">IF(AND(ISNUMBER($G1068),$G1068&gt;=21),STDEV(INDEX($H$1008:$H1068,62-20):$H1068)*SQRT(245),"")</f>
        <v/>
      </c>
      <c r="M1068" s="52" t="str">
        <f aca="false">IF(AND(ISNUMBER($G1068),$G1068&gt;=60),MAX(INDEX($D$868:$D1068,202-60):$D1068),"")</f>
        <v/>
      </c>
      <c r="N1068" s="52" t="str">
        <f aca="false">IF(AND(ISNUMBER($G1068),$G1068&gt;=60),MIN(INDEX($E$868:$E1068,202-60):$E1068),"")</f>
        <v/>
      </c>
      <c r="O1068" s="53" t="str">
        <f aca="false">IF(OR(NOT(ISNUMBER($C1068)),NOT(ISNUMBER($M1068)),$M1068=0),"",$C1068/$M1068-1)</f>
        <v/>
      </c>
      <c r="P1068" s="54"/>
      <c r="Q1068" s="53" t="str">
        <f aca="false">IF(NOT(ISNUMBER($P1068)),"",IFERROR(PERCENTRANK($P$5:$P$1204,$P1068),""))</f>
        <v/>
      </c>
    </row>
    <row r="1069" customFormat="false" ht="15" hidden="false" customHeight="false" outlineLevel="0" collapsed="false">
      <c r="A1069" s="55"/>
      <c r="B1069" s="56"/>
      <c r="C1069" s="57"/>
      <c r="D1069" s="56"/>
      <c r="E1069" s="56"/>
      <c r="F1069" s="56"/>
      <c r="G1069" s="50" t="str">
        <f aca="false">IF($A1069="","",IF(ISNUMBER($G1068),$G1068+1,1))</f>
        <v/>
      </c>
      <c r="H1069" s="51" t="str">
        <f aca="false">IF(OR(NOT(ISNUMBER($G1069)),$G1069&lt;2,NOT(ISNUMBER($C1068)),$C1068=0),"",$C1069/$C1068-1)</f>
        <v/>
      </c>
      <c r="I1069" s="52" t="str">
        <f aca="false">IF(AND(ISNUMBER($G1069),$G1069&gt;=MA_SHORT),AVERAGE(INDEX($C$669:$C1069,402-MA_SHORT):$C1069),"")</f>
        <v/>
      </c>
      <c r="J1069" s="52" t="str">
        <f aca="false">IF(AND(ISNUMBER($G1069),$G1069&gt;=MA_MED),AVERAGE(INDEX($C$669:$C1069,402-MA_MED):$C1069),"")</f>
        <v/>
      </c>
      <c r="K1069" s="52" t="str">
        <f aca="false">IF(AND(ISNUMBER($G1069),$G1069&gt;=MA_LONG2),AVERAGE(INDEX($C$669:$C1069,402-MA_LONG2):$C1069),"")</f>
        <v/>
      </c>
      <c r="L1069" s="53" t="str">
        <f aca="false">IF(AND(ISNUMBER($G1069),$G1069&gt;=21),STDEV(INDEX($H$1009:$H1069,62-20):$H1069)*SQRT(245),"")</f>
        <v/>
      </c>
      <c r="M1069" s="52" t="str">
        <f aca="false">IF(AND(ISNUMBER($G1069),$G1069&gt;=60),MAX(INDEX($D$869:$D1069,202-60):$D1069),"")</f>
        <v/>
      </c>
      <c r="N1069" s="52" t="str">
        <f aca="false">IF(AND(ISNUMBER($G1069),$G1069&gt;=60),MIN(INDEX($E$869:$E1069,202-60):$E1069),"")</f>
        <v/>
      </c>
      <c r="O1069" s="53" t="str">
        <f aca="false">IF(OR(NOT(ISNUMBER($C1069)),NOT(ISNUMBER($M1069)),$M1069=0),"",$C1069/$M1069-1)</f>
        <v/>
      </c>
      <c r="P1069" s="54"/>
      <c r="Q1069" s="53" t="str">
        <f aca="false">IF(NOT(ISNUMBER($P1069)),"",IFERROR(PERCENTRANK($P$5:$P$1204,$P1069),""))</f>
        <v/>
      </c>
    </row>
    <row r="1070" customFormat="false" ht="15" hidden="false" customHeight="false" outlineLevel="0" collapsed="false">
      <c r="A1070" s="55"/>
      <c r="B1070" s="56"/>
      <c r="C1070" s="57"/>
      <c r="D1070" s="56"/>
      <c r="E1070" s="56"/>
      <c r="F1070" s="56"/>
      <c r="G1070" s="50" t="str">
        <f aca="false">IF($A1070="","",IF(ISNUMBER($G1069),$G1069+1,1))</f>
        <v/>
      </c>
      <c r="H1070" s="51" t="str">
        <f aca="false">IF(OR(NOT(ISNUMBER($G1070)),$G1070&lt;2,NOT(ISNUMBER($C1069)),$C1069=0),"",$C1070/$C1069-1)</f>
        <v/>
      </c>
      <c r="I1070" s="52" t="str">
        <f aca="false">IF(AND(ISNUMBER($G1070),$G1070&gt;=MA_SHORT),AVERAGE(INDEX($C$670:$C1070,402-MA_SHORT):$C1070),"")</f>
        <v/>
      </c>
      <c r="J1070" s="52" t="str">
        <f aca="false">IF(AND(ISNUMBER($G1070),$G1070&gt;=MA_MED),AVERAGE(INDEX($C$670:$C1070,402-MA_MED):$C1070),"")</f>
        <v/>
      </c>
      <c r="K1070" s="52" t="str">
        <f aca="false">IF(AND(ISNUMBER($G1070),$G1070&gt;=MA_LONG2),AVERAGE(INDEX($C$670:$C1070,402-MA_LONG2):$C1070),"")</f>
        <v/>
      </c>
      <c r="L1070" s="53" t="str">
        <f aca="false">IF(AND(ISNUMBER($G1070),$G1070&gt;=21),STDEV(INDEX($H$1010:$H1070,62-20):$H1070)*SQRT(245),"")</f>
        <v/>
      </c>
      <c r="M1070" s="52" t="str">
        <f aca="false">IF(AND(ISNUMBER($G1070),$G1070&gt;=60),MAX(INDEX($D$870:$D1070,202-60):$D1070),"")</f>
        <v/>
      </c>
      <c r="N1070" s="52" t="str">
        <f aca="false">IF(AND(ISNUMBER($G1070),$G1070&gt;=60),MIN(INDEX($E$870:$E1070,202-60):$E1070),"")</f>
        <v/>
      </c>
      <c r="O1070" s="53" t="str">
        <f aca="false">IF(OR(NOT(ISNUMBER($C1070)),NOT(ISNUMBER($M1070)),$M1070=0),"",$C1070/$M1070-1)</f>
        <v/>
      </c>
      <c r="P1070" s="54"/>
      <c r="Q1070" s="53" t="str">
        <f aca="false">IF(NOT(ISNUMBER($P1070)),"",IFERROR(PERCENTRANK($P$5:$P$1204,$P1070),""))</f>
        <v/>
      </c>
    </row>
    <row r="1071" customFormat="false" ht="15" hidden="false" customHeight="false" outlineLevel="0" collapsed="false">
      <c r="A1071" s="55"/>
      <c r="B1071" s="56"/>
      <c r="C1071" s="57"/>
      <c r="D1071" s="56"/>
      <c r="E1071" s="56"/>
      <c r="F1071" s="56"/>
      <c r="G1071" s="50" t="str">
        <f aca="false">IF($A1071="","",IF(ISNUMBER($G1070),$G1070+1,1))</f>
        <v/>
      </c>
      <c r="H1071" s="51" t="str">
        <f aca="false">IF(OR(NOT(ISNUMBER($G1071)),$G1071&lt;2,NOT(ISNUMBER($C1070)),$C1070=0),"",$C1071/$C1070-1)</f>
        <v/>
      </c>
      <c r="I1071" s="52" t="str">
        <f aca="false">IF(AND(ISNUMBER($G1071),$G1071&gt;=MA_SHORT),AVERAGE(INDEX($C$671:$C1071,402-MA_SHORT):$C1071),"")</f>
        <v/>
      </c>
      <c r="J1071" s="52" t="str">
        <f aca="false">IF(AND(ISNUMBER($G1071),$G1071&gt;=MA_MED),AVERAGE(INDEX($C$671:$C1071,402-MA_MED):$C1071),"")</f>
        <v/>
      </c>
      <c r="K1071" s="52" t="str">
        <f aca="false">IF(AND(ISNUMBER($G1071),$G1071&gt;=MA_LONG2),AVERAGE(INDEX($C$671:$C1071,402-MA_LONG2):$C1071),"")</f>
        <v/>
      </c>
      <c r="L1071" s="53" t="str">
        <f aca="false">IF(AND(ISNUMBER($G1071),$G1071&gt;=21),STDEV(INDEX($H$1011:$H1071,62-20):$H1071)*SQRT(245),"")</f>
        <v/>
      </c>
      <c r="M1071" s="52" t="str">
        <f aca="false">IF(AND(ISNUMBER($G1071),$G1071&gt;=60),MAX(INDEX($D$871:$D1071,202-60):$D1071),"")</f>
        <v/>
      </c>
      <c r="N1071" s="52" t="str">
        <f aca="false">IF(AND(ISNUMBER($G1071),$G1071&gt;=60),MIN(INDEX($E$871:$E1071,202-60):$E1071),"")</f>
        <v/>
      </c>
      <c r="O1071" s="53" t="str">
        <f aca="false">IF(OR(NOT(ISNUMBER($C1071)),NOT(ISNUMBER($M1071)),$M1071=0),"",$C1071/$M1071-1)</f>
        <v/>
      </c>
      <c r="P1071" s="54"/>
      <c r="Q1071" s="53" t="str">
        <f aca="false">IF(NOT(ISNUMBER($P1071)),"",IFERROR(PERCENTRANK($P$5:$P$1204,$P1071),""))</f>
        <v/>
      </c>
    </row>
    <row r="1072" customFormat="false" ht="15" hidden="false" customHeight="false" outlineLevel="0" collapsed="false">
      <c r="A1072" s="55"/>
      <c r="B1072" s="56"/>
      <c r="C1072" s="57"/>
      <c r="D1072" s="56"/>
      <c r="E1072" s="56"/>
      <c r="F1072" s="56"/>
      <c r="G1072" s="50" t="str">
        <f aca="false">IF($A1072="","",IF(ISNUMBER($G1071),$G1071+1,1))</f>
        <v/>
      </c>
      <c r="H1072" s="51" t="str">
        <f aca="false">IF(OR(NOT(ISNUMBER($G1072)),$G1072&lt;2,NOT(ISNUMBER($C1071)),$C1071=0),"",$C1072/$C1071-1)</f>
        <v/>
      </c>
      <c r="I1072" s="52" t="str">
        <f aca="false">IF(AND(ISNUMBER($G1072),$G1072&gt;=MA_SHORT),AVERAGE(INDEX($C$672:$C1072,402-MA_SHORT):$C1072),"")</f>
        <v/>
      </c>
      <c r="J1072" s="52" t="str">
        <f aca="false">IF(AND(ISNUMBER($G1072),$G1072&gt;=MA_MED),AVERAGE(INDEX($C$672:$C1072,402-MA_MED):$C1072),"")</f>
        <v/>
      </c>
      <c r="K1072" s="52" t="str">
        <f aca="false">IF(AND(ISNUMBER($G1072),$G1072&gt;=MA_LONG2),AVERAGE(INDEX($C$672:$C1072,402-MA_LONG2):$C1072),"")</f>
        <v/>
      </c>
      <c r="L1072" s="53" t="str">
        <f aca="false">IF(AND(ISNUMBER($G1072),$G1072&gt;=21),STDEV(INDEX($H$1012:$H1072,62-20):$H1072)*SQRT(245),"")</f>
        <v/>
      </c>
      <c r="M1072" s="52" t="str">
        <f aca="false">IF(AND(ISNUMBER($G1072),$G1072&gt;=60),MAX(INDEX($D$872:$D1072,202-60):$D1072),"")</f>
        <v/>
      </c>
      <c r="N1072" s="52" t="str">
        <f aca="false">IF(AND(ISNUMBER($G1072),$G1072&gt;=60),MIN(INDEX($E$872:$E1072,202-60):$E1072),"")</f>
        <v/>
      </c>
      <c r="O1072" s="53" t="str">
        <f aca="false">IF(OR(NOT(ISNUMBER($C1072)),NOT(ISNUMBER($M1072)),$M1072=0),"",$C1072/$M1072-1)</f>
        <v/>
      </c>
      <c r="P1072" s="54"/>
      <c r="Q1072" s="53" t="str">
        <f aca="false">IF(NOT(ISNUMBER($P1072)),"",IFERROR(PERCENTRANK($P$5:$P$1204,$P1072),""))</f>
        <v/>
      </c>
    </row>
    <row r="1073" customFormat="false" ht="15" hidden="false" customHeight="false" outlineLevel="0" collapsed="false">
      <c r="A1073" s="55"/>
      <c r="B1073" s="56"/>
      <c r="C1073" s="57"/>
      <c r="D1073" s="56"/>
      <c r="E1073" s="56"/>
      <c r="F1073" s="56"/>
      <c r="G1073" s="50" t="str">
        <f aca="false">IF($A1073="","",IF(ISNUMBER($G1072),$G1072+1,1))</f>
        <v/>
      </c>
      <c r="H1073" s="51" t="str">
        <f aca="false">IF(OR(NOT(ISNUMBER($G1073)),$G1073&lt;2,NOT(ISNUMBER($C1072)),$C1072=0),"",$C1073/$C1072-1)</f>
        <v/>
      </c>
      <c r="I1073" s="52" t="str">
        <f aca="false">IF(AND(ISNUMBER($G1073),$G1073&gt;=MA_SHORT),AVERAGE(INDEX($C$673:$C1073,402-MA_SHORT):$C1073),"")</f>
        <v/>
      </c>
      <c r="J1073" s="52" t="str">
        <f aca="false">IF(AND(ISNUMBER($G1073),$G1073&gt;=MA_MED),AVERAGE(INDEX($C$673:$C1073,402-MA_MED):$C1073),"")</f>
        <v/>
      </c>
      <c r="K1073" s="52" t="str">
        <f aca="false">IF(AND(ISNUMBER($G1073),$G1073&gt;=MA_LONG2),AVERAGE(INDEX($C$673:$C1073,402-MA_LONG2):$C1073),"")</f>
        <v/>
      </c>
      <c r="L1073" s="53" t="str">
        <f aca="false">IF(AND(ISNUMBER($G1073),$G1073&gt;=21),STDEV(INDEX($H$1013:$H1073,62-20):$H1073)*SQRT(245),"")</f>
        <v/>
      </c>
      <c r="M1073" s="52" t="str">
        <f aca="false">IF(AND(ISNUMBER($G1073),$G1073&gt;=60),MAX(INDEX($D$873:$D1073,202-60):$D1073),"")</f>
        <v/>
      </c>
      <c r="N1073" s="52" t="str">
        <f aca="false">IF(AND(ISNUMBER($G1073),$G1073&gt;=60),MIN(INDEX($E$873:$E1073,202-60):$E1073),"")</f>
        <v/>
      </c>
      <c r="O1073" s="53" t="str">
        <f aca="false">IF(OR(NOT(ISNUMBER($C1073)),NOT(ISNUMBER($M1073)),$M1073=0),"",$C1073/$M1073-1)</f>
        <v/>
      </c>
      <c r="P1073" s="54"/>
      <c r="Q1073" s="53" t="str">
        <f aca="false">IF(NOT(ISNUMBER($P1073)),"",IFERROR(PERCENTRANK($P$5:$P$1204,$P1073),""))</f>
        <v/>
      </c>
    </row>
    <row r="1074" customFormat="false" ht="15" hidden="false" customHeight="false" outlineLevel="0" collapsed="false">
      <c r="A1074" s="55"/>
      <c r="B1074" s="56"/>
      <c r="C1074" s="57"/>
      <c r="D1074" s="56"/>
      <c r="E1074" s="56"/>
      <c r="F1074" s="56"/>
      <c r="G1074" s="50" t="str">
        <f aca="false">IF($A1074="","",IF(ISNUMBER($G1073),$G1073+1,1))</f>
        <v/>
      </c>
      <c r="H1074" s="51" t="str">
        <f aca="false">IF(OR(NOT(ISNUMBER($G1074)),$G1074&lt;2,NOT(ISNUMBER($C1073)),$C1073=0),"",$C1074/$C1073-1)</f>
        <v/>
      </c>
      <c r="I1074" s="52" t="str">
        <f aca="false">IF(AND(ISNUMBER($G1074),$G1074&gt;=MA_SHORT),AVERAGE(INDEX($C$674:$C1074,402-MA_SHORT):$C1074),"")</f>
        <v/>
      </c>
      <c r="J1074" s="52" t="str">
        <f aca="false">IF(AND(ISNUMBER($G1074),$G1074&gt;=MA_MED),AVERAGE(INDEX($C$674:$C1074,402-MA_MED):$C1074),"")</f>
        <v/>
      </c>
      <c r="K1074" s="52" t="str">
        <f aca="false">IF(AND(ISNUMBER($G1074),$G1074&gt;=MA_LONG2),AVERAGE(INDEX($C$674:$C1074,402-MA_LONG2):$C1074),"")</f>
        <v/>
      </c>
      <c r="L1074" s="53" t="str">
        <f aca="false">IF(AND(ISNUMBER($G1074),$G1074&gt;=21),STDEV(INDEX($H$1014:$H1074,62-20):$H1074)*SQRT(245),"")</f>
        <v/>
      </c>
      <c r="M1074" s="52" t="str">
        <f aca="false">IF(AND(ISNUMBER($G1074),$G1074&gt;=60),MAX(INDEX($D$874:$D1074,202-60):$D1074),"")</f>
        <v/>
      </c>
      <c r="N1074" s="52" t="str">
        <f aca="false">IF(AND(ISNUMBER($G1074),$G1074&gt;=60),MIN(INDEX($E$874:$E1074,202-60):$E1074),"")</f>
        <v/>
      </c>
      <c r="O1074" s="53" t="str">
        <f aca="false">IF(OR(NOT(ISNUMBER($C1074)),NOT(ISNUMBER($M1074)),$M1074=0),"",$C1074/$M1074-1)</f>
        <v/>
      </c>
      <c r="P1074" s="54"/>
      <c r="Q1074" s="53" t="str">
        <f aca="false">IF(NOT(ISNUMBER($P1074)),"",IFERROR(PERCENTRANK($P$5:$P$1204,$P1074),""))</f>
        <v/>
      </c>
    </row>
    <row r="1075" customFormat="false" ht="15" hidden="false" customHeight="false" outlineLevel="0" collapsed="false">
      <c r="A1075" s="55"/>
      <c r="B1075" s="56"/>
      <c r="C1075" s="57"/>
      <c r="D1075" s="56"/>
      <c r="E1075" s="56"/>
      <c r="F1075" s="56"/>
      <c r="G1075" s="50" t="str">
        <f aca="false">IF($A1075="","",IF(ISNUMBER($G1074),$G1074+1,1))</f>
        <v/>
      </c>
      <c r="H1075" s="51" t="str">
        <f aca="false">IF(OR(NOT(ISNUMBER($G1075)),$G1075&lt;2,NOT(ISNUMBER($C1074)),$C1074=0),"",$C1075/$C1074-1)</f>
        <v/>
      </c>
      <c r="I1075" s="52" t="str">
        <f aca="false">IF(AND(ISNUMBER($G1075),$G1075&gt;=MA_SHORT),AVERAGE(INDEX($C$675:$C1075,402-MA_SHORT):$C1075),"")</f>
        <v/>
      </c>
      <c r="J1075" s="52" t="str">
        <f aca="false">IF(AND(ISNUMBER($G1075),$G1075&gt;=MA_MED),AVERAGE(INDEX($C$675:$C1075,402-MA_MED):$C1075),"")</f>
        <v/>
      </c>
      <c r="K1075" s="52" t="str">
        <f aca="false">IF(AND(ISNUMBER($G1075),$G1075&gt;=MA_LONG2),AVERAGE(INDEX($C$675:$C1075,402-MA_LONG2):$C1075),"")</f>
        <v/>
      </c>
      <c r="L1075" s="53" t="str">
        <f aca="false">IF(AND(ISNUMBER($G1075),$G1075&gt;=21),STDEV(INDEX($H$1015:$H1075,62-20):$H1075)*SQRT(245),"")</f>
        <v/>
      </c>
      <c r="M1075" s="52" t="str">
        <f aca="false">IF(AND(ISNUMBER($G1075),$G1075&gt;=60),MAX(INDEX($D$875:$D1075,202-60):$D1075),"")</f>
        <v/>
      </c>
      <c r="N1075" s="52" t="str">
        <f aca="false">IF(AND(ISNUMBER($G1075),$G1075&gt;=60),MIN(INDEX($E$875:$E1075,202-60):$E1075),"")</f>
        <v/>
      </c>
      <c r="O1075" s="53" t="str">
        <f aca="false">IF(OR(NOT(ISNUMBER($C1075)),NOT(ISNUMBER($M1075)),$M1075=0),"",$C1075/$M1075-1)</f>
        <v/>
      </c>
      <c r="P1075" s="54"/>
      <c r="Q1075" s="53" t="str">
        <f aca="false">IF(NOT(ISNUMBER($P1075)),"",IFERROR(PERCENTRANK($P$5:$P$1204,$P1075),""))</f>
        <v/>
      </c>
    </row>
    <row r="1076" customFormat="false" ht="15" hidden="false" customHeight="false" outlineLevel="0" collapsed="false">
      <c r="A1076" s="55"/>
      <c r="B1076" s="56"/>
      <c r="C1076" s="57"/>
      <c r="D1076" s="56"/>
      <c r="E1076" s="56"/>
      <c r="F1076" s="56"/>
      <c r="G1076" s="50" t="str">
        <f aca="false">IF($A1076="","",IF(ISNUMBER($G1075),$G1075+1,1))</f>
        <v/>
      </c>
      <c r="H1076" s="51" t="str">
        <f aca="false">IF(OR(NOT(ISNUMBER($G1076)),$G1076&lt;2,NOT(ISNUMBER($C1075)),$C1075=0),"",$C1076/$C1075-1)</f>
        <v/>
      </c>
      <c r="I1076" s="52" t="str">
        <f aca="false">IF(AND(ISNUMBER($G1076),$G1076&gt;=MA_SHORT),AVERAGE(INDEX($C$676:$C1076,402-MA_SHORT):$C1076),"")</f>
        <v/>
      </c>
      <c r="J1076" s="52" t="str">
        <f aca="false">IF(AND(ISNUMBER($G1076),$G1076&gt;=MA_MED),AVERAGE(INDEX($C$676:$C1076,402-MA_MED):$C1076),"")</f>
        <v/>
      </c>
      <c r="K1076" s="52" t="str">
        <f aca="false">IF(AND(ISNUMBER($G1076),$G1076&gt;=MA_LONG2),AVERAGE(INDEX($C$676:$C1076,402-MA_LONG2):$C1076),"")</f>
        <v/>
      </c>
      <c r="L1076" s="53" t="str">
        <f aca="false">IF(AND(ISNUMBER($G1076),$G1076&gt;=21),STDEV(INDEX($H$1016:$H1076,62-20):$H1076)*SQRT(245),"")</f>
        <v/>
      </c>
      <c r="M1076" s="52" t="str">
        <f aca="false">IF(AND(ISNUMBER($G1076),$G1076&gt;=60),MAX(INDEX($D$876:$D1076,202-60):$D1076),"")</f>
        <v/>
      </c>
      <c r="N1076" s="52" t="str">
        <f aca="false">IF(AND(ISNUMBER($G1076),$G1076&gt;=60),MIN(INDEX($E$876:$E1076,202-60):$E1076),"")</f>
        <v/>
      </c>
      <c r="O1076" s="53" t="str">
        <f aca="false">IF(OR(NOT(ISNUMBER($C1076)),NOT(ISNUMBER($M1076)),$M1076=0),"",$C1076/$M1076-1)</f>
        <v/>
      </c>
      <c r="P1076" s="54"/>
      <c r="Q1076" s="53" t="str">
        <f aca="false">IF(NOT(ISNUMBER($P1076)),"",IFERROR(PERCENTRANK($P$5:$P$1204,$P1076),""))</f>
        <v/>
      </c>
    </row>
    <row r="1077" customFormat="false" ht="15" hidden="false" customHeight="false" outlineLevel="0" collapsed="false">
      <c r="A1077" s="55"/>
      <c r="B1077" s="56"/>
      <c r="C1077" s="57"/>
      <c r="D1077" s="56"/>
      <c r="E1077" s="56"/>
      <c r="F1077" s="56"/>
      <c r="G1077" s="50" t="str">
        <f aca="false">IF($A1077="","",IF(ISNUMBER($G1076),$G1076+1,1))</f>
        <v/>
      </c>
      <c r="H1077" s="51" t="str">
        <f aca="false">IF(OR(NOT(ISNUMBER($G1077)),$G1077&lt;2,NOT(ISNUMBER($C1076)),$C1076=0),"",$C1077/$C1076-1)</f>
        <v/>
      </c>
      <c r="I1077" s="52" t="str">
        <f aca="false">IF(AND(ISNUMBER($G1077),$G1077&gt;=MA_SHORT),AVERAGE(INDEX($C$677:$C1077,402-MA_SHORT):$C1077),"")</f>
        <v/>
      </c>
      <c r="J1077" s="52" t="str">
        <f aca="false">IF(AND(ISNUMBER($G1077),$G1077&gt;=MA_MED),AVERAGE(INDEX($C$677:$C1077,402-MA_MED):$C1077),"")</f>
        <v/>
      </c>
      <c r="K1077" s="52" t="str">
        <f aca="false">IF(AND(ISNUMBER($G1077),$G1077&gt;=MA_LONG2),AVERAGE(INDEX($C$677:$C1077,402-MA_LONG2):$C1077),"")</f>
        <v/>
      </c>
      <c r="L1077" s="53" t="str">
        <f aca="false">IF(AND(ISNUMBER($G1077),$G1077&gt;=21),STDEV(INDEX($H$1017:$H1077,62-20):$H1077)*SQRT(245),"")</f>
        <v/>
      </c>
      <c r="M1077" s="52" t="str">
        <f aca="false">IF(AND(ISNUMBER($G1077),$G1077&gt;=60),MAX(INDEX($D$877:$D1077,202-60):$D1077),"")</f>
        <v/>
      </c>
      <c r="N1077" s="52" t="str">
        <f aca="false">IF(AND(ISNUMBER($G1077),$G1077&gt;=60),MIN(INDEX($E$877:$E1077,202-60):$E1077),"")</f>
        <v/>
      </c>
      <c r="O1077" s="53" t="str">
        <f aca="false">IF(OR(NOT(ISNUMBER($C1077)),NOT(ISNUMBER($M1077)),$M1077=0),"",$C1077/$M1077-1)</f>
        <v/>
      </c>
      <c r="P1077" s="54"/>
      <c r="Q1077" s="53" t="str">
        <f aca="false">IF(NOT(ISNUMBER($P1077)),"",IFERROR(PERCENTRANK($P$5:$P$1204,$P1077),""))</f>
        <v/>
      </c>
    </row>
    <row r="1078" customFormat="false" ht="15" hidden="false" customHeight="false" outlineLevel="0" collapsed="false">
      <c r="A1078" s="55"/>
      <c r="B1078" s="56"/>
      <c r="C1078" s="57"/>
      <c r="D1078" s="56"/>
      <c r="E1078" s="56"/>
      <c r="F1078" s="56"/>
      <c r="G1078" s="50" t="str">
        <f aca="false">IF($A1078="","",IF(ISNUMBER($G1077),$G1077+1,1))</f>
        <v/>
      </c>
      <c r="H1078" s="51" t="str">
        <f aca="false">IF(OR(NOT(ISNUMBER($G1078)),$G1078&lt;2,NOT(ISNUMBER($C1077)),$C1077=0),"",$C1078/$C1077-1)</f>
        <v/>
      </c>
      <c r="I1078" s="52" t="str">
        <f aca="false">IF(AND(ISNUMBER($G1078),$G1078&gt;=MA_SHORT),AVERAGE(INDEX($C$678:$C1078,402-MA_SHORT):$C1078),"")</f>
        <v/>
      </c>
      <c r="J1078" s="52" t="str">
        <f aca="false">IF(AND(ISNUMBER($G1078),$G1078&gt;=MA_MED),AVERAGE(INDEX($C$678:$C1078,402-MA_MED):$C1078),"")</f>
        <v/>
      </c>
      <c r="K1078" s="52" t="str">
        <f aca="false">IF(AND(ISNUMBER($G1078),$G1078&gt;=MA_LONG2),AVERAGE(INDEX($C$678:$C1078,402-MA_LONG2):$C1078),"")</f>
        <v/>
      </c>
      <c r="L1078" s="53" t="str">
        <f aca="false">IF(AND(ISNUMBER($G1078),$G1078&gt;=21),STDEV(INDEX($H$1018:$H1078,62-20):$H1078)*SQRT(245),"")</f>
        <v/>
      </c>
      <c r="M1078" s="52" t="str">
        <f aca="false">IF(AND(ISNUMBER($G1078),$G1078&gt;=60),MAX(INDEX($D$878:$D1078,202-60):$D1078),"")</f>
        <v/>
      </c>
      <c r="N1078" s="52" t="str">
        <f aca="false">IF(AND(ISNUMBER($G1078),$G1078&gt;=60),MIN(INDEX($E$878:$E1078,202-60):$E1078),"")</f>
        <v/>
      </c>
      <c r="O1078" s="53" t="str">
        <f aca="false">IF(OR(NOT(ISNUMBER($C1078)),NOT(ISNUMBER($M1078)),$M1078=0),"",$C1078/$M1078-1)</f>
        <v/>
      </c>
      <c r="P1078" s="54"/>
      <c r="Q1078" s="53" t="str">
        <f aca="false">IF(NOT(ISNUMBER($P1078)),"",IFERROR(PERCENTRANK($P$5:$P$1204,$P1078),""))</f>
        <v/>
      </c>
    </row>
    <row r="1079" customFormat="false" ht="15" hidden="false" customHeight="false" outlineLevel="0" collapsed="false">
      <c r="A1079" s="55"/>
      <c r="B1079" s="56"/>
      <c r="C1079" s="57"/>
      <c r="D1079" s="56"/>
      <c r="E1079" s="56"/>
      <c r="F1079" s="56"/>
      <c r="G1079" s="50" t="str">
        <f aca="false">IF($A1079="","",IF(ISNUMBER($G1078),$G1078+1,1))</f>
        <v/>
      </c>
      <c r="H1079" s="51" t="str">
        <f aca="false">IF(OR(NOT(ISNUMBER($G1079)),$G1079&lt;2,NOT(ISNUMBER($C1078)),$C1078=0),"",$C1079/$C1078-1)</f>
        <v/>
      </c>
      <c r="I1079" s="52" t="str">
        <f aca="false">IF(AND(ISNUMBER($G1079),$G1079&gt;=MA_SHORT),AVERAGE(INDEX($C$679:$C1079,402-MA_SHORT):$C1079),"")</f>
        <v/>
      </c>
      <c r="J1079" s="52" t="str">
        <f aca="false">IF(AND(ISNUMBER($G1079),$G1079&gt;=MA_MED),AVERAGE(INDEX($C$679:$C1079,402-MA_MED):$C1079),"")</f>
        <v/>
      </c>
      <c r="K1079" s="52" t="str">
        <f aca="false">IF(AND(ISNUMBER($G1079),$G1079&gt;=MA_LONG2),AVERAGE(INDEX($C$679:$C1079,402-MA_LONG2):$C1079),"")</f>
        <v/>
      </c>
      <c r="L1079" s="53" t="str">
        <f aca="false">IF(AND(ISNUMBER($G1079),$G1079&gt;=21),STDEV(INDEX($H$1019:$H1079,62-20):$H1079)*SQRT(245),"")</f>
        <v/>
      </c>
      <c r="M1079" s="52" t="str">
        <f aca="false">IF(AND(ISNUMBER($G1079),$G1079&gt;=60),MAX(INDEX($D$879:$D1079,202-60):$D1079),"")</f>
        <v/>
      </c>
      <c r="N1079" s="52" t="str">
        <f aca="false">IF(AND(ISNUMBER($G1079),$G1079&gt;=60),MIN(INDEX($E$879:$E1079,202-60):$E1079),"")</f>
        <v/>
      </c>
      <c r="O1079" s="53" t="str">
        <f aca="false">IF(OR(NOT(ISNUMBER($C1079)),NOT(ISNUMBER($M1079)),$M1079=0),"",$C1079/$M1079-1)</f>
        <v/>
      </c>
      <c r="P1079" s="54"/>
      <c r="Q1079" s="53" t="str">
        <f aca="false">IF(NOT(ISNUMBER($P1079)),"",IFERROR(PERCENTRANK($P$5:$P$1204,$P1079),""))</f>
        <v/>
      </c>
    </row>
    <row r="1080" customFormat="false" ht="15" hidden="false" customHeight="false" outlineLevel="0" collapsed="false">
      <c r="A1080" s="55"/>
      <c r="B1080" s="56"/>
      <c r="C1080" s="57"/>
      <c r="D1080" s="56"/>
      <c r="E1080" s="56"/>
      <c r="F1080" s="56"/>
      <c r="G1080" s="50" t="str">
        <f aca="false">IF($A1080="","",IF(ISNUMBER($G1079),$G1079+1,1))</f>
        <v/>
      </c>
      <c r="H1080" s="51" t="str">
        <f aca="false">IF(OR(NOT(ISNUMBER($G1080)),$G1080&lt;2,NOT(ISNUMBER($C1079)),$C1079=0),"",$C1080/$C1079-1)</f>
        <v/>
      </c>
      <c r="I1080" s="52" t="str">
        <f aca="false">IF(AND(ISNUMBER($G1080),$G1080&gt;=MA_SHORT),AVERAGE(INDEX($C$680:$C1080,402-MA_SHORT):$C1080),"")</f>
        <v/>
      </c>
      <c r="J1080" s="52" t="str">
        <f aca="false">IF(AND(ISNUMBER($G1080),$G1080&gt;=MA_MED),AVERAGE(INDEX($C$680:$C1080,402-MA_MED):$C1080),"")</f>
        <v/>
      </c>
      <c r="K1080" s="52" t="str">
        <f aca="false">IF(AND(ISNUMBER($G1080),$G1080&gt;=MA_LONG2),AVERAGE(INDEX($C$680:$C1080,402-MA_LONG2):$C1080),"")</f>
        <v/>
      </c>
      <c r="L1080" s="53" t="str">
        <f aca="false">IF(AND(ISNUMBER($G1080),$G1080&gt;=21),STDEV(INDEX($H$1020:$H1080,62-20):$H1080)*SQRT(245),"")</f>
        <v/>
      </c>
      <c r="M1080" s="52" t="str">
        <f aca="false">IF(AND(ISNUMBER($G1080),$G1080&gt;=60),MAX(INDEX($D$880:$D1080,202-60):$D1080),"")</f>
        <v/>
      </c>
      <c r="N1080" s="52" t="str">
        <f aca="false">IF(AND(ISNUMBER($G1080),$G1080&gt;=60),MIN(INDEX($E$880:$E1080,202-60):$E1080),"")</f>
        <v/>
      </c>
      <c r="O1080" s="53" t="str">
        <f aca="false">IF(OR(NOT(ISNUMBER($C1080)),NOT(ISNUMBER($M1080)),$M1080=0),"",$C1080/$M1080-1)</f>
        <v/>
      </c>
      <c r="P1080" s="54"/>
      <c r="Q1080" s="53" t="str">
        <f aca="false">IF(NOT(ISNUMBER($P1080)),"",IFERROR(PERCENTRANK($P$5:$P$1204,$P1080),""))</f>
        <v/>
      </c>
    </row>
    <row r="1081" customFormat="false" ht="15" hidden="false" customHeight="false" outlineLevel="0" collapsed="false">
      <c r="A1081" s="55"/>
      <c r="B1081" s="56"/>
      <c r="C1081" s="57"/>
      <c r="D1081" s="56"/>
      <c r="E1081" s="56"/>
      <c r="F1081" s="56"/>
      <c r="G1081" s="50" t="str">
        <f aca="false">IF($A1081="","",IF(ISNUMBER($G1080),$G1080+1,1))</f>
        <v/>
      </c>
      <c r="H1081" s="51" t="str">
        <f aca="false">IF(OR(NOT(ISNUMBER($G1081)),$G1081&lt;2,NOT(ISNUMBER($C1080)),$C1080=0),"",$C1081/$C1080-1)</f>
        <v/>
      </c>
      <c r="I1081" s="52" t="str">
        <f aca="false">IF(AND(ISNUMBER($G1081),$G1081&gt;=MA_SHORT),AVERAGE(INDEX($C$681:$C1081,402-MA_SHORT):$C1081),"")</f>
        <v/>
      </c>
      <c r="J1081" s="52" t="str">
        <f aca="false">IF(AND(ISNUMBER($G1081),$G1081&gt;=MA_MED),AVERAGE(INDEX($C$681:$C1081,402-MA_MED):$C1081),"")</f>
        <v/>
      </c>
      <c r="K1081" s="52" t="str">
        <f aca="false">IF(AND(ISNUMBER($G1081),$G1081&gt;=MA_LONG2),AVERAGE(INDEX($C$681:$C1081,402-MA_LONG2):$C1081),"")</f>
        <v/>
      </c>
      <c r="L1081" s="53" t="str">
        <f aca="false">IF(AND(ISNUMBER($G1081),$G1081&gt;=21),STDEV(INDEX($H$1021:$H1081,62-20):$H1081)*SQRT(245),"")</f>
        <v/>
      </c>
      <c r="M1081" s="52" t="str">
        <f aca="false">IF(AND(ISNUMBER($G1081),$G1081&gt;=60),MAX(INDEX($D$881:$D1081,202-60):$D1081),"")</f>
        <v/>
      </c>
      <c r="N1081" s="52" t="str">
        <f aca="false">IF(AND(ISNUMBER($G1081),$G1081&gt;=60),MIN(INDEX($E$881:$E1081,202-60):$E1081),"")</f>
        <v/>
      </c>
      <c r="O1081" s="53" t="str">
        <f aca="false">IF(OR(NOT(ISNUMBER($C1081)),NOT(ISNUMBER($M1081)),$M1081=0),"",$C1081/$M1081-1)</f>
        <v/>
      </c>
      <c r="P1081" s="54"/>
      <c r="Q1081" s="53" t="str">
        <f aca="false">IF(NOT(ISNUMBER($P1081)),"",IFERROR(PERCENTRANK($P$5:$P$1204,$P1081),""))</f>
        <v/>
      </c>
    </row>
    <row r="1082" customFormat="false" ht="15" hidden="false" customHeight="false" outlineLevel="0" collapsed="false">
      <c r="A1082" s="55"/>
      <c r="B1082" s="56"/>
      <c r="C1082" s="57"/>
      <c r="D1082" s="56"/>
      <c r="E1082" s="56"/>
      <c r="F1082" s="56"/>
      <c r="G1082" s="50" t="str">
        <f aca="false">IF($A1082="","",IF(ISNUMBER($G1081),$G1081+1,1))</f>
        <v/>
      </c>
      <c r="H1082" s="51" t="str">
        <f aca="false">IF(OR(NOT(ISNUMBER($G1082)),$G1082&lt;2,NOT(ISNUMBER($C1081)),$C1081=0),"",$C1082/$C1081-1)</f>
        <v/>
      </c>
      <c r="I1082" s="52" t="str">
        <f aca="false">IF(AND(ISNUMBER($G1082),$G1082&gt;=MA_SHORT),AVERAGE(INDEX($C$682:$C1082,402-MA_SHORT):$C1082),"")</f>
        <v/>
      </c>
      <c r="J1082" s="52" t="str">
        <f aca="false">IF(AND(ISNUMBER($G1082),$G1082&gt;=MA_MED),AVERAGE(INDEX($C$682:$C1082,402-MA_MED):$C1082),"")</f>
        <v/>
      </c>
      <c r="K1082" s="52" t="str">
        <f aca="false">IF(AND(ISNUMBER($G1082),$G1082&gt;=MA_LONG2),AVERAGE(INDEX($C$682:$C1082,402-MA_LONG2):$C1082),"")</f>
        <v/>
      </c>
      <c r="L1082" s="53" t="str">
        <f aca="false">IF(AND(ISNUMBER($G1082),$G1082&gt;=21),STDEV(INDEX($H$1022:$H1082,62-20):$H1082)*SQRT(245),"")</f>
        <v/>
      </c>
      <c r="M1082" s="52" t="str">
        <f aca="false">IF(AND(ISNUMBER($G1082),$G1082&gt;=60),MAX(INDEX($D$882:$D1082,202-60):$D1082),"")</f>
        <v/>
      </c>
      <c r="N1082" s="52" t="str">
        <f aca="false">IF(AND(ISNUMBER($G1082),$G1082&gt;=60),MIN(INDEX($E$882:$E1082,202-60):$E1082),"")</f>
        <v/>
      </c>
      <c r="O1082" s="53" t="str">
        <f aca="false">IF(OR(NOT(ISNUMBER($C1082)),NOT(ISNUMBER($M1082)),$M1082=0),"",$C1082/$M1082-1)</f>
        <v/>
      </c>
      <c r="P1082" s="54"/>
      <c r="Q1082" s="53" t="str">
        <f aca="false">IF(NOT(ISNUMBER($P1082)),"",IFERROR(PERCENTRANK($P$5:$P$1204,$P1082),""))</f>
        <v/>
      </c>
    </row>
    <row r="1083" customFormat="false" ht="15" hidden="false" customHeight="false" outlineLevel="0" collapsed="false">
      <c r="A1083" s="55"/>
      <c r="B1083" s="56"/>
      <c r="C1083" s="57"/>
      <c r="D1083" s="56"/>
      <c r="E1083" s="56"/>
      <c r="F1083" s="56"/>
      <c r="G1083" s="50" t="str">
        <f aca="false">IF($A1083="","",IF(ISNUMBER($G1082),$G1082+1,1))</f>
        <v/>
      </c>
      <c r="H1083" s="51" t="str">
        <f aca="false">IF(OR(NOT(ISNUMBER($G1083)),$G1083&lt;2,NOT(ISNUMBER($C1082)),$C1082=0),"",$C1083/$C1082-1)</f>
        <v/>
      </c>
      <c r="I1083" s="52" t="str">
        <f aca="false">IF(AND(ISNUMBER($G1083),$G1083&gt;=MA_SHORT),AVERAGE(INDEX($C$683:$C1083,402-MA_SHORT):$C1083),"")</f>
        <v/>
      </c>
      <c r="J1083" s="52" t="str">
        <f aca="false">IF(AND(ISNUMBER($G1083),$G1083&gt;=MA_MED),AVERAGE(INDEX($C$683:$C1083,402-MA_MED):$C1083),"")</f>
        <v/>
      </c>
      <c r="K1083" s="52" t="str">
        <f aca="false">IF(AND(ISNUMBER($G1083),$G1083&gt;=MA_LONG2),AVERAGE(INDEX($C$683:$C1083,402-MA_LONG2):$C1083),"")</f>
        <v/>
      </c>
      <c r="L1083" s="53" t="str">
        <f aca="false">IF(AND(ISNUMBER($G1083),$G1083&gt;=21),STDEV(INDEX($H$1023:$H1083,62-20):$H1083)*SQRT(245),"")</f>
        <v/>
      </c>
      <c r="M1083" s="52" t="str">
        <f aca="false">IF(AND(ISNUMBER($G1083),$G1083&gt;=60),MAX(INDEX($D$883:$D1083,202-60):$D1083),"")</f>
        <v/>
      </c>
      <c r="N1083" s="52" t="str">
        <f aca="false">IF(AND(ISNUMBER($G1083),$G1083&gt;=60),MIN(INDEX($E$883:$E1083,202-60):$E1083),"")</f>
        <v/>
      </c>
      <c r="O1083" s="53" t="str">
        <f aca="false">IF(OR(NOT(ISNUMBER($C1083)),NOT(ISNUMBER($M1083)),$M1083=0),"",$C1083/$M1083-1)</f>
        <v/>
      </c>
      <c r="P1083" s="54"/>
      <c r="Q1083" s="53" t="str">
        <f aca="false">IF(NOT(ISNUMBER($P1083)),"",IFERROR(PERCENTRANK($P$5:$P$1204,$P1083),""))</f>
        <v/>
      </c>
    </row>
    <row r="1084" customFormat="false" ht="15" hidden="false" customHeight="false" outlineLevel="0" collapsed="false">
      <c r="A1084" s="55"/>
      <c r="B1084" s="56"/>
      <c r="C1084" s="57"/>
      <c r="D1084" s="56"/>
      <c r="E1084" s="56"/>
      <c r="F1084" s="56"/>
      <c r="G1084" s="50" t="str">
        <f aca="false">IF($A1084="","",IF(ISNUMBER($G1083),$G1083+1,1))</f>
        <v/>
      </c>
      <c r="H1084" s="51" t="str">
        <f aca="false">IF(OR(NOT(ISNUMBER($G1084)),$G1084&lt;2,NOT(ISNUMBER($C1083)),$C1083=0),"",$C1084/$C1083-1)</f>
        <v/>
      </c>
      <c r="I1084" s="52" t="str">
        <f aca="false">IF(AND(ISNUMBER($G1084),$G1084&gt;=MA_SHORT),AVERAGE(INDEX($C$684:$C1084,402-MA_SHORT):$C1084),"")</f>
        <v/>
      </c>
      <c r="J1084" s="52" t="str">
        <f aca="false">IF(AND(ISNUMBER($G1084),$G1084&gt;=MA_MED),AVERAGE(INDEX($C$684:$C1084,402-MA_MED):$C1084),"")</f>
        <v/>
      </c>
      <c r="K1084" s="52" t="str">
        <f aca="false">IF(AND(ISNUMBER($G1084),$G1084&gt;=MA_LONG2),AVERAGE(INDEX($C$684:$C1084,402-MA_LONG2):$C1084),"")</f>
        <v/>
      </c>
      <c r="L1084" s="53" t="str">
        <f aca="false">IF(AND(ISNUMBER($G1084),$G1084&gt;=21),STDEV(INDEX($H$1024:$H1084,62-20):$H1084)*SQRT(245),"")</f>
        <v/>
      </c>
      <c r="M1084" s="52" t="str">
        <f aca="false">IF(AND(ISNUMBER($G1084),$G1084&gt;=60),MAX(INDEX($D$884:$D1084,202-60):$D1084),"")</f>
        <v/>
      </c>
      <c r="N1084" s="52" t="str">
        <f aca="false">IF(AND(ISNUMBER($G1084),$G1084&gt;=60),MIN(INDEX($E$884:$E1084,202-60):$E1084),"")</f>
        <v/>
      </c>
      <c r="O1084" s="53" t="str">
        <f aca="false">IF(OR(NOT(ISNUMBER($C1084)),NOT(ISNUMBER($M1084)),$M1084=0),"",$C1084/$M1084-1)</f>
        <v/>
      </c>
      <c r="P1084" s="54"/>
      <c r="Q1084" s="53" t="str">
        <f aca="false">IF(NOT(ISNUMBER($P1084)),"",IFERROR(PERCENTRANK($P$5:$P$1204,$P1084),""))</f>
        <v/>
      </c>
    </row>
    <row r="1085" customFormat="false" ht="15" hidden="false" customHeight="false" outlineLevel="0" collapsed="false">
      <c r="A1085" s="55"/>
      <c r="B1085" s="56"/>
      <c r="C1085" s="57"/>
      <c r="D1085" s="56"/>
      <c r="E1085" s="56"/>
      <c r="F1085" s="56"/>
      <c r="G1085" s="50" t="str">
        <f aca="false">IF($A1085="","",IF(ISNUMBER($G1084),$G1084+1,1))</f>
        <v/>
      </c>
      <c r="H1085" s="51" t="str">
        <f aca="false">IF(OR(NOT(ISNUMBER($G1085)),$G1085&lt;2,NOT(ISNUMBER($C1084)),$C1084=0),"",$C1085/$C1084-1)</f>
        <v/>
      </c>
      <c r="I1085" s="52" t="str">
        <f aca="false">IF(AND(ISNUMBER($G1085),$G1085&gt;=MA_SHORT),AVERAGE(INDEX($C$685:$C1085,402-MA_SHORT):$C1085),"")</f>
        <v/>
      </c>
      <c r="J1085" s="52" t="str">
        <f aca="false">IF(AND(ISNUMBER($G1085),$G1085&gt;=MA_MED),AVERAGE(INDEX($C$685:$C1085,402-MA_MED):$C1085),"")</f>
        <v/>
      </c>
      <c r="K1085" s="52" t="str">
        <f aca="false">IF(AND(ISNUMBER($G1085),$G1085&gt;=MA_LONG2),AVERAGE(INDEX($C$685:$C1085,402-MA_LONG2):$C1085),"")</f>
        <v/>
      </c>
      <c r="L1085" s="53" t="str">
        <f aca="false">IF(AND(ISNUMBER($G1085),$G1085&gt;=21),STDEV(INDEX($H$1025:$H1085,62-20):$H1085)*SQRT(245),"")</f>
        <v/>
      </c>
      <c r="M1085" s="52" t="str">
        <f aca="false">IF(AND(ISNUMBER($G1085),$G1085&gt;=60),MAX(INDEX($D$885:$D1085,202-60):$D1085),"")</f>
        <v/>
      </c>
      <c r="N1085" s="52" t="str">
        <f aca="false">IF(AND(ISNUMBER($G1085),$G1085&gt;=60),MIN(INDEX($E$885:$E1085,202-60):$E1085),"")</f>
        <v/>
      </c>
      <c r="O1085" s="53" t="str">
        <f aca="false">IF(OR(NOT(ISNUMBER($C1085)),NOT(ISNUMBER($M1085)),$M1085=0),"",$C1085/$M1085-1)</f>
        <v/>
      </c>
      <c r="P1085" s="54"/>
      <c r="Q1085" s="53" t="str">
        <f aca="false">IF(NOT(ISNUMBER($P1085)),"",IFERROR(PERCENTRANK($P$5:$P$1204,$P1085),""))</f>
        <v/>
      </c>
    </row>
    <row r="1086" customFormat="false" ht="15" hidden="false" customHeight="false" outlineLevel="0" collapsed="false">
      <c r="A1086" s="55"/>
      <c r="B1086" s="56"/>
      <c r="C1086" s="57"/>
      <c r="D1086" s="56"/>
      <c r="E1086" s="56"/>
      <c r="F1086" s="56"/>
      <c r="G1086" s="50" t="str">
        <f aca="false">IF($A1086="","",IF(ISNUMBER($G1085),$G1085+1,1))</f>
        <v/>
      </c>
      <c r="H1086" s="51" t="str">
        <f aca="false">IF(OR(NOT(ISNUMBER($G1086)),$G1086&lt;2,NOT(ISNUMBER($C1085)),$C1085=0),"",$C1086/$C1085-1)</f>
        <v/>
      </c>
      <c r="I1086" s="52" t="str">
        <f aca="false">IF(AND(ISNUMBER($G1086),$G1086&gt;=MA_SHORT),AVERAGE(INDEX($C$686:$C1086,402-MA_SHORT):$C1086),"")</f>
        <v/>
      </c>
      <c r="J1086" s="52" t="str">
        <f aca="false">IF(AND(ISNUMBER($G1086),$G1086&gt;=MA_MED),AVERAGE(INDEX($C$686:$C1086,402-MA_MED):$C1086),"")</f>
        <v/>
      </c>
      <c r="K1086" s="52" t="str">
        <f aca="false">IF(AND(ISNUMBER($G1086),$G1086&gt;=MA_LONG2),AVERAGE(INDEX($C$686:$C1086,402-MA_LONG2):$C1086),"")</f>
        <v/>
      </c>
      <c r="L1086" s="53" t="str">
        <f aca="false">IF(AND(ISNUMBER($G1086),$G1086&gt;=21),STDEV(INDEX($H$1026:$H1086,62-20):$H1086)*SQRT(245),"")</f>
        <v/>
      </c>
      <c r="M1086" s="52" t="str">
        <f aca="false">IF(AND(ISNUMBER($G1086),$G1086&gt;=60),MAX(INDEX($D$886:$D1086,202-60):$D1086),"")</f>
        <v/>
      </c>
      <c r="N1086" s="52" t="str">
        <f aca="false">IF(AND(ISNUMBER($G1086),$G1086&gt;=60),MIN(INDEX($E$886:$E1086,202-60):$E1086),"")</f>
        <v/>
      </c>
      <c r="O1086" s="53" t="str">
        <f aca="false">IF(OR(NOT(ISNUMBER($C1086)),NOT(ISNUMBER($M1086)),$M1086=0),"",$C1086/$M1086-1)</f>
        <v/>
      </c>
      <c r="P1086" s="54"/>
      <c r="Q1086" s="53" t="str">
        <f aca="false">IF(NOT(ISNUMBER($P1086)),"",IFERROR(PERCENTRANK($P$5:$P$1204,$P1086),""))</f>
        <v/>
      </c>
    </row>
    <row r="1087" customFormat="false" ht="15" hidden="false" customHeight="false" outlineLevel="0" collapsed="false">
      <c r="A1087" s="55"/>
      <c r="B1087" s="56"/>
      <c r="C1087" s="57"/>
      <c r="D1087" s="56"/>
      <c r="E1087" s="56"/>
      <c r="F1087" s="56"/>
      <c r="G1087" s="50" t="str">
        <f aca="false">IF($A1087="","",IF(ISNUMBER($G1086),$G1086+1,1))</f>
        <v/>
      </c>
      <c r="H1087" s="51" t="str">
        <f aca="false">IF(OR(NOT(ISNUMBER($G1087)),$G1087&lt;2,NOT(ISNUMBER($C1086)),$C1086=0),"",$C1087/$C1086-1)</f>
        <v/>
      </c>
      <c r="I1087" s="52" t="str">
        <f aca="false">IF(AND(ISNUMBER($G1087),$G1087&gt;=MA_SHORT),AVERAGE(INDEX($C$687:$C1087,402-MA_SHORT):$C1087),"")</f>
        <v/>
      </c>
      <c r="J1087" s="52" t="str">
        <f aca="false">IF(AND(ISNUMBER($G1087),$G1087&gt;=MA_MED),AVERAGE(INDEX($C$687:$C1087,402-MA_MED):$C1087),"")</f>
        <v/>
      </c>
      <c r="K1087" s="52" t="str">
        <f aca="false">IF(AND(ISNUMBER($G1087),$G1087&gt;=MA_LONG2),AVERAGE(INDEX($C$687:$C1087,402-MA_LONG2):$C1087),"")</f>
        <v/>
      </c>
      <c r="L1087" s="53" t="str">
        <f aca="false">IF(AND(ISNUMBER($G1087),$G1087&gt;=21),STDEV(INDEX($H$1027:$H1087,62-20):$H1087)*SQRT(245),"")</f>
        <v/>
      </c>
      <c r="M1087" s="52" t="str">
        <f aca="false">IF(AND(ISNUMBER($G1087),$G1087&gt;=60),MAX(INDEX($D$887:$D1087,202-60):$D1087),"")</f>
        <v/>
      </c>
      <c r="N1087" s="52" t="str">
        <f aca="false">IF(AND(ISNUMBER($G1087),$G1087&gt;=60),MIN(INDEX($E$887:$E1087,202-60):$E1087),"")</f>
        <v/>
      </c>
      <c r="O1087" s="53" t="str">
        <f aca="false">IF(OR(NOT(ISNUMBER($C1087)),NOT(ISNUMBER($M1087)),$M1087=0),"",$C1087/$M1087-1)</f>
        <v/>
      </c>
      <c r="P1087" s="54"/>
      <c r="Q1087" s="53" t="str">
        <f aca="false">IF(NOT(ISNUMBER($P1087)),"",IFERROR(PERCENTRANK($P$5:$P$1204,$P1087),""))</f>
        <v/>
      </c>
    </row>
    <row r="1088" customFormat="false" ht="15" hidden="false" customHeight="false" outlineLevel="0" collapsed="false">
      <c r="A1088" s="55"/>
      <c r="B1088" s="56"/>
      <c r="C1088" s="57"/>
      <c r="D1088" s="56"/>
      <c r="E1088" s="56"/>
      <c r="F1088" s="56"/>
      <c r="G1088" s="50" t="str">
        <f aca="false">IF($A1088="","",IF(ISNUMBER($G1087),$G1087+1,1))</f>
        <v/>
      </c>
      <c r="H1088" s="51" t="str">
        <f aca="false">IF(OR(NOT(ISNUMBER($G1088)),$G1088&lt;2,NOT(ISNUMBER($C1087)),$C1087=0),"",$C1088/$C1087-1)</f>
        <v/>
      </c>
      <c r="I1088" s="52" t="str">
        <f aca="false">IF(AND(ISNUMBER($G1088),$G1088&gt;=MA_SHORT),AVERAGE(INDEX($C$688:$C1088,402-MA_SHORT):$C1088),"")</f>
        <v/>
      </c>
      <c r="J1088" s="52" t="str">
        <f aca="false">IF(AND(ISNUMBER($G1088),$G1088&gt;=MA_MED),AVERAGE(INDEX($C$688:$C1088,402-MA_MED):$C1088),"")</f>
        <v/>
      </c>
      <c r="K1088" s="52" t="str">
        <f aca="false">IF(AND(ISNUMBER($G1088),$G1088&gt;=MA_LONG2),AVERAGE(INDEX($C$688:$C1088,402-MA_LONG2):$C1088),"")</f>
        <v/>
      </c>
      <c r="L1088" s="53" t="str">
        <f aca="false">IF(AND(ISNUMBER($G1088),$G1088&gt;=21),STDEV(INDEX($H$1028:$H1088,62-20):$H1088)*SQRT(245),"")</f>
        <v/>
      </c>
      <c r="M1088" s="52" t="str">
        <f aca="false">IF(AND(ISNUMBER($G1088),$G1088&gt;=60),MAX(INDEX($D$888:$D1088,202-60):$D1088),"")</f>
        <v/>
      </c>
      <c r="N1088" s="52" t="str">
        <f aca="false">IF(AND(ISNUMBER($G1088),$G1088&gt;=60),MIN(INDEX($E$888:$E1088,202-60):$E1088),"")</f>
        <v/>
      </c>
      <c r="O1088" s="53" t="str">
        <f aca="false">IF(OR(NOT(ISNUMBER($C1088)),NOT(ISNUMBER($M1088)),$M1088=0),"",$C1088/$M1088-1)</f>
        <v/>
      </c>
      <c r="P1088" s="54"/>
      <c r="Q1088" s="53" t="str">
        <f aca="false">IF(NOT(ISNUMBER($P1088)),"",IFERROR(PERCENTRANK($P$5:$P$1204,$P1088),""))</f>
        <v/>
      </c>
    </row>
    <row r="1089" customFormat="false" ht="15" hidden="false" customHeight="false" outlineLevel="0" collapsed="false">
      <c r="A1089" s="55"/>
      <c r="B1089" s="56"/>
      <c r="C1089" s="57"/>
      <c r="D1089" s="56"/>
      <c r="E1089" s="56"/>
      <c r="F1089" s="56"/>
      <c r="G1089" s="50" t="str">
        <f aca="false">IF($A1089="","",IF(ISNUMBER($G1088),$G1088+1,1))</f>
        <v/>
      </c>
      <c r="H1089" s="51" t="str">
        <f aca="false">IF(OR(NOT(ISNUMBER($G1089)),$G1089&lt;2,NOT(ISNUMBER($C1088)),$C1088=0),"",$C1089/$C1088-1)</f>
        <v/>
      </c>
      <c r="I1089" s="52" t="str">
        <f aca="false">IF(AND(ISNUMBER($G1089),$G1089&gt;=MA_SHORT),AVERAGE(INDEX($C$689:$C1089,402-MA_SHORT):$C1089),"")</f>
        <v/>
      </c>
      <c r="J1089" s="52" t="str">
        <f aca="false">IF(AND(ISNUMBER($G1089),$G1089&gt;=MA_MED),AVERAGE(INDEX($C$689:$C1089,402-MA_MED):$C1089),"")</f>
        <v/>
      </c>
      <c r="K1089" s="52" t="str">
        <f aca="false">IF(AND(ISNUMBER($G1089),$G1089&gt;=MA_LONG2),AVERAGE(INDEX($C$689:$C1089,402-MA_LONG2):$C1089),"")</f>
        <v/>
      </c>
      <c r="L1089" s="53" t="str">
        <f aca="false">IF(AND(ISNUMBER($G1089),$G1089&gt;=21),STDEV(INDEX($H$1029:$H1089,62-20):$H1089)*SQRT(245),"")</f>
        <v/>
      </c>
      <c r="M1089" s="52" t="str">
        <f aca="false">IF(AND(ISNUMBER($G1089),$G1089&gt;=60),MAX(INDEX($D$889:$D1089,202-60):$D1089),"")</f>
        <v/>
      </c>
      <c r="N1089" s="52" t="str">
        <f aca="false">IF(AND(ISNUMBER($G1089),$G1089&gt;=60),MIN(INDEX($E$889:$E1089,202-60):$E1089),"")</f>
        <v/>
      </c>
      <c r="O1089" s="53" t="str">
        <f aca="false">IF(OR(NOT(ISNUMBER($C1089)),NOT(ISNUMBER($M1089)),$M1089=0),"",$C1089/$M1089-1)</f>
        <v/>
      </c>
      <c r="P1089" s="54"/>
      <c r="Q1089" s="53" t="str">
        <f aca="false">IF(NOT(ISNUMBER($P1089)),"",IFERROR(PERCENTRANK($P$5:$P$1204,$P1089),""))</f>
        <v/>
      </c>
    </row>
    <row r="1090" customFormat="false" ht="15" hidden="false" customHeight="false" outlineLevel="0" collapsed="false">
      <c r="A1090" s="55"/>
      <c r="B1090" s="56"/>
      <c r="C1090" s="57"/>
      <c r="D1090" s="56"/>
      <c r="E1090" s="56"/>
      <c r="F1090" s="56"/>
      <c r="G1090" s="50" t="str">
        <f aca="false">IF($A1090="","",IF(ISNUMBER($G1089),$G1089+1,1))</f>
        <v/>
      </c>
      <c r="H1090" s="51" t="str">
        <f aca="false">IF(OR(NOT(ISNUMBER($G1090)),$G1090&lt;2,NOT(ISNUMBER($C1089)),$C1089=0),"",$C1090/$C1089-1)</f>
        <v/>
      </c>
      <c r="I1090" s="52" t="str">
        <f aca="false">IF(AND(ISNUMBER($G1090),$G1090&gt;=MA_SHORT),AVERAGE(INDEX($C$690:$C1090,402-MA_SHORT):$C1090),"")</f>
        <v/>
      </c>
      <c r="J1090" s="52" t="str">
        <f aca="false">IF(AND(ISNUMBER($G1090),$G1090&gt;=MA_MED),AVERAGE(INDEX($C$690:$C1090,402-MA_MED):$C1090),"")</f>
        <v/>
      </c>
      <c r="K1090" s="52" t="str">
        <f aca="false">IF(AND(ISNUMBER($G1090),$G1090&gt;=MA_LONG2),AVERAGE(INDEX($C$690:$C1090,402-MA_LONG2):$C1090),"")</f>
        <v/>
      </c>
      <c r="L1090" s="53" t="str">
        <f aca="false">IF(AND(ISNUMBER($G1090),$G1090&gt;=21),STDEV(INDEX($H$1030:$H1090,62-20):$H1090)*SQRT(245),"")</f>
        <v/>
      </c>
      <c r="M1090" s="52" t="str">
        <f aca="false">IF(AND(ISNUMBER($G1090),$G1090&gt;=60),MAX(INDEX($D$890:$D1090,202-60):$D1090),"")</f>
        <v/>
      </c>
      <c r="N1090" s="52" t="str">
        <f aca="false">IF(AND(ISNUMBER($G1090),$G1090&gt;=60),MIN(INDEX($E$890:$E1090,202-60):$E1090),"")</f>
        <v/>
      </c>
      <c r="O1090" s="53" t="str">
        <f aca="false">IF(OR(NOT(ISNUMBER($C1090)),NOT(ISNUMBER($M1090)),$M1090=0),"",$C1090/$M1090-1)</f>
        <v/>
      </c>
      <c r="P1090" s="54"/>
      <c r="Q1090" s="53" t="str">
        <f aca="false">IF(NOT(ISNUMBER($P1090)),"",IFERROR(PERCENTRANK($P$5:$P$1204,$P1090),""))</f>
        <v/>
      </c>
    </row>
    <row r="1091" customFormat="false" ht="15" hidden="false" customHeight="false" outlineLevel="0" collapsed="false">
      <c r="A1091" s="55"/>
      <c r="B1091" s="56"/>
      <c r="C1091" s="57"/>
      <c r="D1091" s="56"/>
      <c r="E1091" s="56"/>
      <c r="F1091" s="56"/>
      <c r="G1091" s="50" t="str">
        <f aca="false">IF($A1091="","",IF(ISNUMBER($G1090),$G1090+1,1))</f>
        <v/>
      </c>
      <c r="H1091" s="51" t="str">
        <f aca="false">IF(OR(NOT(ISNUMBER($G1091)),$G1091&lt;2,NOT(ISNUMBER($C1090)),$C1090=0),"",$C1091/$C1090-1)</f>
        <v/>
      </c>
      <c r="I1091" s="52" t="str">
        <f aca="false">IF(AND(ISNUMBER($G1091),$G1091&gt;=MA_SHORT),AVERAGE(INDEX($C$691:$C1091,402-MA_SHORT):$C1091),"")</f>
        <v/>
      </c>
      <c r="J1091" s="52" t="str">
        <f aca="false">IF(AND(ISNUMBER($G1091),$G1091&gt;=MA_MED),AVERAGE(INDEX($C$691:$C1091,402-MA_MED):$C1091),"")</f>
        <v/>
      </c>
      <c r="K1091" s="52" t="str">
        <f aca="false">IF(AND(ISNUMBER($G1091),$G1091&gt;=MA_LONG2),AVERAGE(INDEX($C$691:$C1091,402-MA_LONG2):$C1091),"")</f>
        <v/>
      </c>
      <c r="L1091" s="53" t="str">
        <f aca="false">IF(AND(ISNUMBER($G1091),$G1091&gt;=21),STDEV(INDEX($H$1031:$H1091,62-20):$H1091)*SQRT(245),"")</f>
        <v/>
      </c>
      <c r="M1091" s="52" t="str">
        <f aca="false">IF(AND(ISNUMBER($G1091),$G1091&gt;=60),MAX(INDEX($D$891:$D1091,202-60):$D1091),"")</f>
        <v/>
      </c>
      <c r="N1091" s="52" t="str">
        <f aca="false">IF(AND(ISNUMBER($G1091),$G1091&gt;=60),MIN(INDEX($E$891:$E1091,202-60):$E1091),"")</f>
        <v/>
      </c>
      <c r="O1091" s="53" t="str">
        <f aca="false">IF(OR(NOT(ISNUMBER($C1091)),NOT(ISNUMBER($M1091)),$M1091=0),"",$C1091/$M1091-1)</f>
        <v/>
      </c>
      <c r="P1091" s="54"/>
      <c r="Q1091" s="53" t="str">
        <f aca="false">IF(NOT(ISNUMBER($P1091)),"",IFERROR(PERCENTRANK($P$5:$P$1204,$P1091),""))</f>
        <v/>
      </c>
    </row>
    <row r="1092" customFormat="false" ht="15" hidden="false" customHeight="false" outlineLevel="0" collapsed="false">
      <c r="A1092" s="55"/>
      <c r="B1092" s="56"/>
      <c r="C1092" s="57"/>
      <c r="D1092" s="56"/>
      <c r="E1092" s="56"/>
      <c r="F1092" s="56"/>
      <c r="G1092" s="50" t="str">
        <f aca="false">IF($A1092="","",IF(ISNUMBER($G1091),$G1091+1,1))</f>
        <v/>
      </c>
      <c r="H1092" s="51" t="str">
        <f aca="false">IF(OR(NOT(ISNUMBER($G1092)),$G1092&lt;2,NOT(ISNUMBER($C1091)),$C1091=0),"",$C1092/$C1091-1)</f>
        <v/>
      </c>
      <c r="I1092" s="52" t="str">
        <f aca="false">IF(AND(ISNUMBER($G1092),$G1092&gt;=MA_SHORT),AVERAGE(INDEX($C$692:$C1092,402-MA_SHORT):$C1092),"")</f>
        <v/>
      </c>
      <c r="J1092" s="52" t="str">
        <f aca="false">IF(AND(ISNUMBER($G1092),$G1092&gt;=MA_MED),AVERAGE(INDEX($C$692:$C1092,402-MA_MED):$C1092),"")</f>
        <v/>
      </c>
      <c r="K1092" s="52" t="str">
        <f aca="false">IF(AND(ISNUMBER($G1092),$G1092&gt;=MA_LONG2),AVERAGE(INDEX($C$692:$C1092,402-MA_LONG2):$C1092),"")</f>
        <v/>
      </c>
      <c r="L1092" s="53" t="str">
        <f aca="false">IF(AND(ISNUMBER($G1092),$G1092&gt;=21),STDEV(INDEX($H$1032:$H1092,62-20):$H1092)*SQRT(245),"")</f>
        <v/>
      </c>
      <c r="M1092" s="52" t="str">
        <f aca="false">IF(AND(ISNUMBER($G1092),$G1092&gt;=60),MAX(INDEX($D$892:$D1092,202-60):$D1092),"")</f>
        <v/>
      </c>
      <c r="N1092" s="52" t="str">
        <f aca="false">IF(AND(ISNUMBER($G1092),$G1092&gt;=60),MIN(INDEX($E$892:$E1092,202-60):$E1092),"")</f>
        <v/>
      </c>
      <c r="O1092" s="53" t="str">
        <f aca="false">IF(OR(NOT(ISNUMBER($C1092)),NOT(ISNUMBER($M1092)),$M1092=0),"",$C1092/$M1092-1)</f>
        <v/>
      </c>
      <c r="P1092" s="54"/>
      <c r="Q1092" s="53" t="str">
        <f aca="false">IF(NOT(ISNUMBER($P1092)),"",IFERROR(PERCENTRANK($P$5:$P$1204,$P1092),""))</f>
        <v/>
      </c>
    </row>
    <row r="1093" customFormat="false" ht="15" hidden="false" customHeight="false" outlineLevel="0" collapsed="false">
      <c r="A1093" s="55"/>
      <c r="B1093" s="56"/>
      <c r="C1093" s="57"/>
      <c r="D1093" s="56"/>
      <c r="E1093" s="56"/>
      <c r="F1093" s="56"/>
      <c r="G1093" s="50" t="str">
        <f aca="false">IF($A1093="","",IF(ISNUMBER($G1092),$G1092+1,1))</f>
        <v/>
      </c>
      <c r="H1093" s="51" t="str">
        <f aca="false">IF(OR(NOT(ISNUMBER($G1093)),$G1093&lt;2,NOT(ISNUMBER($C1092)),$C1092=0),"",$C1093/$C1092-1)</f>
        <v/>
      </c>
      <c r="I1093" s="52" t="str">
        <f aca="false">IF(AND(ISNUMBER($G1093),$G1093&gt;=MA_SHORT),AVERAGE(INDEX($C$693:$C1093,402-MA_SHORT):$C1093),"")</f>
        <v/>
      </c>
      <c r="J1093" s="52" t="str">
        <f aca="false">IF(AND(ISNUMBER($G1093),$G1093&gt;=MA_MED),AVERAGE(INDEX($C$693:$C1093,402-MA_MED):$C1093),"")</f>
        <v/>
      </c>
      <c r="K1093" s="52" t="str">
        <f aca="false">IF(AND(ISNUMBER($G1093),$G1093&gt;=MA_LONG2),AVERAGE(INDEX($C$693:$C1093,402-MA_LONG2):$C1093),"")</f>
        <v/>
      </c>
      <c r="L1093" s="53" t="str">
        <f aca="false">IF(AND(ISNUMBER($G1093),$G1093&gt;=21),STDEV(INDEX($H$1033:$H1093,62-20):$H1093)*SQRT(245),"")</f>
        <v/>
      </c>
      <c r="M1093" s="52" t="str">
        <f aca="false">IF(AND(ISNUMBER($G1093),$G1093&gt;=60),MAX(INDEX($D$893:$D1093,202-60):$D1093),"")</f>
        <v/>
      </c>
      <c r="N1093" s="52" t="str">
        <f aca="false">IF(AND(ISNUMBER($G1093),$G1093&gt;=60),MIN(INDEX($E$893:$E1093,202-60):$E1093),"")</f>
        <v/>
      </c>
      <c r="O1093" s="53" t="str">
        <f aca="false">IF(OR(NOT(ISNUMBER($C1093)),NOT(ISNUMBER($M1093)),$M1093=0),"",$C1093/$M1093-1)</f>
        <v/>
      </c>
      <c r="P1093" s="54"/>
      <c r="Q1093" s="53" t="str">
        <f aca="false">IF(NOT(ISNUMBER($P1093)),"",IFERROR(PERCENTRANK($P$5:$P$1204,$P1093),""))</f>
        <v/>
      </c>
    </row>
    <row r="1094" customFormat="false" ht="15" hidden="false" customHeight="false" outlineLevel="0" collapsed="false">
      <c r="A1094" s="55"/>
      <c r="B1094" s="56"/>
      <c r="C1094" s="57"/>
      <c r="D1094" s="56"/>
      <c r="E1094" s="56"/>
      <c r="F1094" s="56"/>
      <c r="G1094" s="50" t="str">
        <f aca="false">IF($A1094="","",IF(ISNUMBER($G1093),$G1093+1,1))</f>
        <v/>
      </c>
      <c r="H1094" s="51" t="str">
        <f aca="false">IF(OR(NOT(ISNUMBER($G1094)),$G1094&lt;2,NOT(ISNUMBER($C1093)),$C1093=0),"",$C1094/$C1093-1)</f>
        <v/>
      </c>
      <c r="I1094" s="52" t="str">
        <f aca="false">IF(AND(ISNUMBER($G1094),$G1094&gt;=MA_SHORT),AVERAGE(INDEX($C$694:$C1094,402-MA_SHORT):$C1094),"")</f>
        <v/>
      </c>
      <c r="J1094" s="52" t="str">
        <f aca="false">IF(AND(ISNUMBER($G1094),$G1094&gt;=MA_MED),AVERAGE(INDEX($C$694:$C1094,402-MA_MED):$C1094),"")</f>
        <v/>
      </c>
      <c r="K1094" s="52" t="str">
        <f aca="false">IF(AND(ISNUMBER($G1094),$G1094&gt;=MA_LONG2),AVERAGE(INDEX($C$694:$C1094,402-MA_LONG2):$C1094),"")</f>
        <v/>
      </c>
      <c r="L1094" s="53" t="str">
        <f aca="false">IF(AND(ISNUMBER($G1094),$G1094&gt;=21),STDEV(INDEX($H$1034:$H1094,62-20):$H1094)*SQRT(245),"")</f>
        <v/>
      </c>
      <c r="M1094" s="52" t="str">
        <f aca="false">IF(AND(ISNUMBER($G1094),$G1094&gt;=60),MAX(INDEX($D$894:$D1094,202-60):$D1094),"")</f>
        <v/>
      </c>
      <c r="N1094" s="52" t="str">
        <f aca="false">IF(AND(ISNUMBER($G1094),$G1094&gt;=60),MIN(INDEX($E$894:$E1094,202-60):$E1094),"")</f>
        <v/>
      </c>
      <c r="O1094" s="53" t="str">
        <f aca="false">IF(OR(NOT(ISNUMBER($C1094)),NOT(ISNUMBER($M1094)),$M1094=0),"",$C1094/$M1094-1)</f>
        <v/>
      </c>
      <c r="P1094" s="54"/>
      <c r="Q1094" s="53" t="str">
        <f aca="false">IF(NOT(ISNUMBER($P1094)),"",IFERROR(PERCENTRANK($P$5:$P$1204,$P1094),""))</f>
        <v/>
      </c>
    </row>
    <row r="1095" customFormat="false" ht="15" hidden="false" customHeight="false" outlineLevel="0" collapsed="false">
      <c r="A1095" s="55"/>
      <c r="B1095" s="56"/>
      <c r="C1095" s="57"/>
      <c r="D1095" s="56"/>
      <c r="E1095" s="56"/>
      <c r="F1095" s="56"/>
      <c r="G1095" s="50" t="str">
        <f aca="false">IF($A1095="","",IF(ISNUMBER($G1094),$G1094+1,1))</f>
        <v/>
      </c>
      <c r="H1095" s="51" t="str">
        <f aca="false">IF(OR(NOT(ISNUMBER($G1095)),$G1095&lt;2,NOT(ISNUMBER($C1094)),$C1094=0),"",$C1095/$C1094-1)</f>
        <v/>
      </c>
      <c r="I1095" s="52" t="str">
        <f aca="false">IF(AND(ISNUMBER($G1095),$G1095&gt;=MA_SHORT),AVERAGE(INDEX($C$695:$C1095,402-MA_SHORT):$C1095),"")</f>
        <v/>
      </c>
      <c r="J1095" s="52" t="str">
        <f aca="false">IF(AND(ISNUMBER($G1095),$G1095&gt;=MA_MED),AVERAGE(INDEX($C$695:$C1095,402-MA_MED):$C1095),"")</f>
        <v/>
      </c>
      <c r="K1095" s="52" t="str">
        <f aca="false">IF(AND(ISNUMBER($G1095),$G1095&gt;=MA_LONG2),AVERAGE(INDEX($C$695:$C1095,402-MA_LONG2):$C1095),"")</f>
        <v/>
      </c>
      <c r="L1095" s="53" t="str">
        <f aca="false">IF(AND(ISNUMBER($G1095),$G1095&gt;=21),STDEV(INDEX($H$1035:$H1095,62-20):$H1095)*SQRT(245),"")</f>
        <v/>
      </c>
      <c r="M1095" s="52" t="str">
        <f aca="false">IF(AND(ISNUMBER($G1095),$G1095&gt;=60),MAX(INDEX($D$895:$D1095,202-60):$D1095),"")</f>
        <v/>
      </c>
      <c r="N1095" s="52" t="str">
        <f aca="false">IF(AND(ISNUMBER($G1095),$G1095&gt;=60),MIN(INDEX($E$895:$E1095,202-60):$E1095),"")</f>
        <v/>
      </c>
      <c r="O1095" s="53" t="str">
        <f aca="false">IF(OR(NOT(ISNUMBER($C1095)),NOT(ISNUMBER($M1095)),$M1095=0),"",$C1095/$M1095-1)</f>
        <v/>
      </c>
      <c r="P1095" s="54"/>
      <c r="Q1095" s="53" t="str">
        <f aca="false">IF(NOT(ISNUMBER($P1095)),"",IFERROR(PERCENTRANK($P$5:$P$1204,$P1095),""))</f>
        <v/>
      </c>
    </row>
    <row r="1096" customFormat="false" ht="15" hidden="false" customHeight="false" outlineLevel="0" collapsed="false">
      <c r="A1096" s="55"/>
      <c r="B1096" s="56"/>
      <c r="C1096" s="57"/>
      <c r="D1096" s="56"/>
      <c r="E1096" s="56"/>
      <c r="F1096" s="56"/>
      <c r="G1096" s="50" t="str">
        <f aca="false">IF($A1096="","",IF(ISNUMBER($G1095),$G1095+1,1))</f>
        <v/>
      </c>
      <c r="H1096" s="51" t="str">
        <f aca="false">IF(OR(NOT(ISNUMBER($G1096)),$G1096&lt;2,NOT(ISNUMBER($C1095)),$C1095=0),"",$C1096/$C1095-1)</f>
        <v/>
      </c>
      <c r="I1096" s="52" t="str">
        <f aca="false">IF(AND(ISNUMBER($G1096),$G1096&gt;=MA_SHORT),AVERAGE(INDEX($C$696:$C1096,402-MA_SHORT):$C1096),"")</f>
        <v/>
      </c>
      <c r="J1096" s="52" t="str">
        <f aca="false">IF(AND(ISNUMBER($G1096),$G1096&gt;=MA_MED),AVERAGE(INDEX($C$696:$C1096,402-MA_MED):$C1096),"")</f>
        <v/>
      </c>
      <c r="K1096" s="52" t="str">
        <f aca="false">IF(AND(ISNUMBER($G1096),$G1096&gt;=MA_LONG2),AVERAGE(INDEX($C$696:$C1096,402-MA_LONG2):$C1096),"")</f>
        <v/>
      </c>
      <c r="L1096" s="53" t="str">
        <f aca="false">IF(AND(ISNUMBER($G1096),$G1096&gt;=21),STDEV(INDEX($H$1036:$H1096,62-20):$H1096)*SQRT(245),"")</f>
        <v/>
      </c>
      <c r="M1096" s="52" t="str">
        <f aca="false">IF(AND(ISNUMBER($G1096),$G1096&gt;=60),MAX(INDEX($D$896:$D1096,202-60):$D1096),"")</f>
        <v/>
      </c>
      <c r="N1096" s="52" t="str">
        <f aca="false">IF(AND(ISNUMBER($G1096),$G1096&gt;=60),MIN(INDEX($E$896:$E1096,202-60):$E1096),"")</f>
        <v/>
      </c>
      <c r="O1096" s="53" t="str">
        <f aca="false">IF(OR(NOT(ISNUMBER($C1096)),NOT(ISNUMBER($M1096)),$M1096=0),"",$C1096/$M1096-1)</f>
        <v/>
      </c>
      <c r="P1096" s="54"/>
      <c r="Q1096" s="53" t="str">
        <f aca="false">IF(NOT(ISNUMBER($P1096)),"",IFERROR(PERCENTRANK($P$5:$P$1204,$P1096),""))</f>
        <v/>
      </c>
    </row>
    <row r="1097" customFormat="false" ht="15" hidden="false" customHeight="false" outlineLevel="0" collapsed="false">
      <c r="A1097" s="55"/>
      <c r="B1097" s="56"/>
      <c r="C1097" s="57"/>
      <c r="D1097" s="56"/>
      <c r="E1097" s="56"/>
      <c r="F1097" s="56"/>
      <c r="G1097" s="50" t="str">
        <f aca="false">IF($A1097="","",IF(ISNUMBER($G1096),$G1096+1,1))</f>
        <v/>
      </c>
      <c r="H1097" s="51" t="str">
        <f aca="false">IF(OR(NOT(ISNUMBER($G1097)),$G1097&lt;2,NOT(ISNUMBER($C1096)),$C1096=0),"",$C1097/$C1096-1)</f>
        <v/>
      </c>
      <c r="I1097" s="52" t="str">
        <f aca="false">IF(AND(ISNUMBER($G1097),$G1097&gt;=MA_SHORT),AVERAGE(INDEX($C$697:$C1097,402-MA_SHORT):$C1097),"")</f>
        <v/>
      </c>
      <c r="J1097" s="52" t="str">
        <f aca="false">IF(AND(ISNUMBER($G1097),$G1097&gt;=MA_MED),AVERAGE(INDEX($C$697:$C1097,402-MA_MED):$C1097),"")</f>
        <v/>
      </c>
      <c r="K1097" s="52" t="str">
        <f aca="false">IF(AND(ISNUMBER($G1097),$G1097&gt;=MA_LONG2),AVERAGE(INDEX($C$697:$C1097,402-MA_LONG2):$C1097),"")</f>
        <v/>
      </c>
      <c r="L1097" s="53" t="str">
        <f aca="false">IF(AND(ISNUMBER($G1097),$G1097&gt;=21),STDEV(INDEX($H$1037:$H1097,62-20):$H1097)*SQRT(245),"")</f>
        <v/>
      </c>
      <c r="M1097" s="52" t="str">
        <f aca="false">IF(AND(ISNUMBER($G1097),$G1097&gt;=60),MAX(INDEX($D$897:$D1097,202-60):$D1097),"")</f>
        <v/>
      </c>
      <c r="N1097" s="52" t="str">
        <f aca="false">IF(AND(ISNUMBER($G1097),$G1097&gt;=60),MIN(INDEX($E$897:$E1097,202-60):$E1097),"")</f>
        <v/>
      </c>
      <c r="O1097" s="53" t="str">
        <f aca="false">IF(OR(NOT(ISNUMBER($C1097)),NOT(ISNUMBER($M1097)),$M1097=0),"",$C1097/$M1097-1)</f>
        <v/>
      </c>
      <c r="P1097" s="54"/>
      <c r="Q1097" s="53" t="str">
        <f aca="false">IF(NOT(ISNUMBER($P1097)),"",IFERROR(PERCENTRANK($P$5:$P$1204,$P1097),""))</f>
        <v/>
      </c>
    </row>
    <row r="1098" customFormat="false" ht="15" hidden="false" customHeight="false" outlineLevel="0" collapsed="false">
      <c r="A1098" s="55"/>
      <c r="B1098" s="56"/>
      <c r="C1098" s="57"/>
      <c r="D1098" s="56"/>
      <c r="E1098" s="56"/>
      <c r="F1098" s="56"/>
      <c r="G1098" s="50" t="str">
        <f aca="false">IF($A1098="","",IF(ISNUMBER($G1097),$G1097+1,1))</f>
        <v/>
      </c>
      <c r="H1098" s="51" t="str">
        <f aca="false">IF(OR(NOT(ISNUMBER($G1098)),$G1098&lt;2,NOT(ISNUMBER($C1097)),$C1097=0),"",$C1098/$C1097-1)</f>
        <v/>
      </c>
      <c r="I1098" s="52" t="str">
        <f aca="false">IF(AND(ISNUMBER($G1098),$G1098&gt;=MA_SHORT),AVERAGE(INDEX($C$698:$C1098,402-MA_SHORT):$C1098),"")</f>
        <v/>
      </c>
      <c r="J1098" s="52" t="str">
        <f aca="false">IF(AND(ISNUMBER($G1098),$G1098&gt;=MA_MED),AVERAGE(INDEX($C$698:$C1098,402-MA_MED):$C1098),"")</f>
        <v/>
      </c>
      <c r="K1098" s="52" t="str">
        <f aca="false">IF(AND(ISNUMBER($G1098),$G1098&gt;=MA_LONG2),AVERAGE(INDEX($C$698:$C1098,402-MA_LONG2):$C1098),"")</f>
        <v/>
      </c>
      <c r="L1098" s="53" t="str">
        <f aca="false">IF(AND(ISNUMBER($G1098),$G1098&gt;=21),STDEV(INDEX($H$1038:$H1098,62-20):$H1098)*SQRT(245),"")</f>
        <v/>
      </c>
      <c r="M1098" s="52" t="str">
        <f aca="false">IF(AND(ISNUMBER($G1098),$G1098&gt;=60),MAX(INDEX($D$898:$D1098,202-60):$D1098),"")</f>
        <v/>
      </c>
      <c r="N1098" s="52" t="str">
        <f aca="false">IF(AND(ISNUMBER($G1098),$G1098&gt;=60),MIN(INDEX($E$898:$E1098,202-60):$E1098),"")</f>
        <v/>
      </c>
      <c r="O1098" s="53" t="str">
        <f aca="false">IF(OR(NOT(ISNUMBER($C1098)),NOT(ISNUMBER($M1098)),$M1098=0),"",$C1098/$M1098-1)</f>
        <v/>
      </c>
      <c r="P1098" s="54"/>
      <c r="Q1098" s="53" t="str">
        <f aca="false">IF(NOT(ISNUMBER($P1098)),"",IFERROR(PERCENTRANK($P$5:$P$1204,$P1098),""))</f>
        <v/>
      </c>
    </row>
    <row r="1099" customFormat="false" ht="15" hidden="false" customHeight="false" outlineLevel="0" collapsed="false">
      <c r="A1099" s="55"/>
      <c r="B1099" s="56"/>
      <c r="C1099" s="57"/>
      <c r="D1099" s="56"/>
      <c r="E1099" s="56"/>
      <c r="F1099" s="56"/>
      <c r="G1099" s="50" t="str">
        <f aca="false">IF($A1099="","",IF(ISNUMBER($G1098),$G1098+1,1))</f>
        <v/>
      </c>
      <c r="H1099" s="51" t="str">
        <f aca="false">IF(OR(NOT(ISNUMBER($G1099)),$G1099&lt;2,NOT(ISNUMBER($C1098)),$C1098=0),"",$C1099/$C1098-1)</f>
        <v/>
      </c>
      <c r="I1099" s="52" t="str">
        <f aca="false">IF(AND(ISNUMBER($G1099),$G1099&gt;=MA_SHORT),AVERAGE(INDEX($C$699:$C1099,402-MA_SHORT):$C1099),"")</f>
        <v/>
      </c>
      <c r="J1099" s="52" t="str">
        <f aca="false">IF(AND(ISNUMBER($G1099),$G1099&gt;=MA_MED),AVERAGE(INDEX($C$699:$C1099,402-MA_MED):$C1099),"")</f>
        <v/>
      </c>
      <c r="K1099" s="52" t="str">
        <f aca="false">IF(AND(ISNUMBER($G1099),$G1099&gt;=MA_LONG2),AVERAGE(INDEX($C$699:$C1099,402-MA_LONG2):$C1099),"")</f>
        <v/>
      </c>
      <c r="L1099" s="53" t="str">
        <f aca="false">IF(AND(ISNUMBER($G1099),$G1099&gt;=21),STDEV(INDEX($H$1039:$H1099,62-20):$H1099)*SQRT(245),"")</f>
        <v/>
      </c>
      <c r="M1099" s="52" t="str">
        <f aca="false">IF(AND(ISNUMBER($G1099),$G1099&gt;=60),MAX(INDEX($D$899:$D1099,202-60):$D1099),"")</f>
        <v/>
      </c>
      <c r="N1099" s="52" t="str">
        <f aca="false">IF(AND(ISNUMBER($G1099),$G1099&gt;=60),MIN(INDEX($E$899:$E1099,202-60):$E1099),"")</f>
        <v/>
      </c>
      <c r="O1099" s="53" t="str">
        <f aca="false">IF(OR(NOT(ISNUMBER($C1099)),NOT(ISNUMBER($M1099)),$M1099=0),"",$C1099/$M1099-1)</f>
        <v/>
      </c>
      <c r="P1099" s="54"/>
      <c r="Q1099" s="53" t="str">
        <f aca="false">IF(NOT(ISNUMBER($P1099)),"",IFERROR(PERCENTRANK($P$5:$P$1204,$P1099),""))</f>
        <v/>
      </c>
    </row>
    <row r="1100" customFormat="false" ht="15" hidden="false" customHeight="false" outlineLevel="0" collapsed="false">
      <c r="A1100" s="55"/>
      <c r="B1100" s="56"/>
      <c r="C1100" s="57"/>
      <c r="D1100" s="56"/>
      <c r="E1100" s="56"/>
      <c r="F1100" s="56"/>
      <c r="G1100" s="50" t="str">
        <f aca="false">IF($A1100="","",IF(ISNUMBER($G1099),$G1099+1,1))</f>
        <v/>
      </c>
      <c r="H1100" s="51" t="str">
        <f aca="false">IF(OR(NOT(ISNUMBER($G1100)),$G1100&lt;2,NOT(ISNUMBER($C1099)),$C1099=0),"",$C1100/$C1099-1)</f>
        <v/>
      </c>
      <c r="I1100" s="52" t="str">
        <f aca="false">IF(AND(ISNUMBER($G1100),$G1100&gt;=MA_SHORT),AVERAGE(INDEX($C$700:$C1100,402-MA_SHORT):$C1100),"")</f>
        <v/>
      </c>
      <c r="J1100" s="52" t="str">
        <f aca="false">IF(AND(ISNUMBER($G1100),$G1100&gt;=MA_MED),AVERAGE(INDEX($C$700:$C1100,402-MA_MED):$C1100),"")</f>
        <v/>
      </c>
      <c r="K1100" s="52" t="str">
        <f aca="false">IF(AND(ISNUMBER($G1100),$G1100&gt;=MA_LONG2),AVERAGE(INDEX($C$700:$C1100,402-MA_LONG2):$C1100),"")</f>
        <v/>
      </c>
      <c r="L1100" s="53" t="str">
        <f aca="false">IF(AND(ISNUMBER($G1100),$G1100&gt;=21),STDEV(INDEX($H$1040:$H1100,62-20):$H1100)*SQRT(245),"")</f>
        <v/>
      </c>
      <c r="M1100" s="52" t="str">
        <f aca="false">IF(AND(ISNUMBER($G1100),$G1100&gt;=60),MAX(INDEX($D$900:$D1100,202-60):$D1100),"")</f>
        <v/>
      </c>
      <c r="N1100" s="52" t="str">
        <f aca="false">IF(AND(ISNUMBER($G1100),$G1100&gt;=60),MIN(INDEX($E$900:$E1100,202-60):$E1100),"")</f>
        <v/>
      </c>
      <c r="O1100" s="53" t="str">
        <f aca="false">IF(OR(NOT(ISNUMBER($C1100)),NOT(ISNUMBER($M1100)),$M1100=0),"",$C1100/$M1100-1)</f>
        <v/>
      </c>
      <c r="P1100" s="54"/>
      <c r="Q1100" s="53" t="str">
        <f aca="false">IF(NOT(ISNUMBER($P1100)),"",IFERROR(PERCENTRANK($P$5:$P$1204,$P1100),""))</f>
        <v/>
      </c>
    </row>
    <row r="1101" customFormat="false" ht="15" hidden="false" customHeight="false" outlineLevel="0" collapsed="false">
      <c r="A1101" s="55"/>
      <c r="B1101" s="56"/>
      <c r="C1101" s="57"/>
      <c r="D1101" s="56"/>
      <c r="E1101" s="56"/>
      <c r="F1101" s="56"/>
      <c r="G1101" s="50" t="str">
        <f aca="false">IF($A1101="","",IF(ISNUMBER($G1100),$G1100+1,1))</f>
        <v/>
      </c>
      <c r="H1101" s="51" t="str">
        <f aca="false">IF(OR(NOT(ISNUMBER($G1101)),$G1101&lt;2,NOT(ISNUMBER($C1100)),$C1100=0),"",$C1101/$C1100-1)</f>
        <v/>
      </c>
      <c r="I1101" s="52" t="str">
        <f aca="false">IF(AND(ISNUMBER($G1101),$G1101&gt;=MA_SHORT),AVERAGE(INDEX($C$701:$C1101,402-MA_SHORT):$C1101),"")</f>
        <v/>
      </c>
      <c r="J1101" s="52" t="str">
        <f aca="false">IF(AND(ISNUMBER($G1101),$G1101&gt;=MA_MED),AVERAGE(INDEX($C$701:$C1101,402-MA_MED):$C1101),"")</f>
        <v/>
      </c>
      <c r="K1101" s="52" t="str">
        <f aca="false">IF(AND(ISNUMBER($G1101),$G1101&gt;=MA_LONG2),AVERAGE(INDEX($C$701:$C1101,402-MA_LONG2):$C1101),"")</f>
        <v/>
      </c>
      <c r="L1101" s="53" t="str">
        <f aca="false">IF(AND(ISNUMBER($G1101),$G1101&gt;=21),STDEV(INDEX($H$1041:$H1101,62-20):$H1101)*SQRT(245),"")</f>
        <v/>
      </c>
      <c r="M1101" s="52" t="str">
        <f aca="false">IF(AND(ISNUMBER($G1101),$G1101&gt;=60),MAX(INDEX($D$901:$D1101,202-60):$D1101),"")</f>
        <v/>
      </c>
      <c r="N1101" s="52" t="str">
        <f aca="false">IF(AND(ISNUMBER($G1101),$G1101&gt;=60),MIN(INDEX($E$901:$E1101,202-60):$E1101),"")</f>
        <v/>
      </c>
      <c r="O1101" s="53" t="str">
        <f aca="false">IF(OR(NOT(ISNUMBER($C1101)),NOT(ISNUMBER($M1101)),$M1101=0),"",$C1101/$M1101-1)</f>
        <v/>
      </c>
      <c r="P1101" s="54"/>
      <c r="Q1101" s="53" t="str">
        <f aca="false">IF(NOT(ISNUMBER($P1101)),"",IFERROR(PERCENTRANK($P$5:$P$1204,$P1101),""))</f>
        <v/>
      </c>
    </row>
    <row r="1102" customFormat="false" ht="15" hidden="false" customHeight="false" outlineLevel="0" collapsed="false">
      <c r="A1102" s="55"/>
      <c r="B1102" s="56"/>
      <c r="C1102" s="57"/>
      <c r="D1102" s="56"/>
      <c r="E1102" s="56"/>
      <c r="F1102" s="56"/>
      <c r="G1102" s="50" t="str">
        <f aca="false">IF($A1102="","",IF(ISNUMBER($G1101),$G1101+1,1))</f>
        <v/>
      </c>
      <c r="H1102" s="51" t="str">
        <f aca="false">IF(OR(NOT(ISNUMBER($G1102)),$G1102&lt;2,NOT(ISNUMBER($C1101)),$C1101=0),"",$C1102/$C1101-1)</f>
        <v/>
      </c>
      <c r="I1102" s="52" t="str">
        <f aca="false">IF(AND(ISNUMBER($G1102),$G1102&gt;=MA_SHORT),AVERAGE(INDEX($C$702:$C1102,402-MA_SHORT):$C1102),"")</f>
        <v/>
      </c>
      <c r="J1102" s="52" t="str">
        <f aca="false">IF(AND(ISNUMBER($G1102),$G1102&gt;=MA_MED),AVERAGE(INDEX($C$702:$C1102,402-MA_MED):$C1102),"")</f>
        <v/>
      </c>
      <c r="K1102" s="52" t="str">
        <f aca="false">IF(AND(ISNUMBER($G1102),$G1102&gt;=MA_LONG2),AVERAGE(INDEX($C$702:$C1102,402-MA_LONG2):$C1102),"")</f>
        <v/>
      </c>
      <c r="L1102" s="53" t="str">
        <f aca="false">IF(AND(ISNUMBER($G1102),$G1102&gt;=21),STDEV(INDEX($H$1042:$H1102,62-20):$H1102)*SQRT(245),"")</f>
        <v/>
      </c>
      <c r="M1102" s="52" t="str">
        <f aca="false">IF(AND(ISNUMBER($G1102),$G1102&gt;=60),MAX(INDEX($D$902:$D1102,202-60):$D1102),"")</f>
        <v/>
      </c>
      <c r="N1102" s="52" t="str">
        <f aca="false">IF(AND(ISNUMBER($G1102),$G1102&gt;=60),MIN(INDEX($E$902:$E1102,202-60):$E1102),"")</f>
        <v/>
      </c>
      <c r="O1102" s="53" t="str">
        <f aca="false">IF(OR(NOT(ISNUMBER($C1102)),NOT(ISNUMBER($M1102)),$M1102=0),"",$C1102/$M1102-1)</f>
        <v/>
      </c>
      <c r="P1102" s="54"/>
      <c r="Q1102" s="53" t="str">
        <f aca="false">IF(NOT(ISNUMBER($P1102)),"",IFERROR(PERCENTRANK($P$5:$P$1204,$P1102),""))</f>
        <v/>
      </c>
    </row>
    <row r="1103" customFormat="false" ht="15" hidden="false" customHeight="false" outlineLevel="0" collapsed="false">
      <c r="A1103" s="55"/>
      <c r="B1103" s="56"/>
      <c r="C1103" s="57"/>
      <c r="D1103" s="56"/>
      <c r="E1103" s="56"/>
      <c r="F1103" s="56"/>
      <c r="G1103" s="50" t="str">
        <f aca="false">IF($A1103="","",IF(ISNUMBER($G1102),$G1102+1,1))</f>
        <v/>
      </c>
      <c r="H1103" s="51" t="str">
        <f aca="false">IF(OR(NOT(ISNUMBER($G1103)),$G1103&lt;2,NOT(ISNUMBER($C1102)),$C1102=0),"",$C1103/$C1102-1)</f>
        <v/>
      </c>
      <c r="I1103" s="52" t="str">
        <f aca="false">IF(AND(ISNUMBER($G1103),$G1103&gt;=MA_SHORT),AVERAGE(INDEX($C$703:$C1103,402-MA_SHORT):$C1103),"")</f>
        <v/>
      </c>
      <c r="J1103" s="52" t="str">
        <f aca="false">IF(AND(ISNUMBER($G1103),$G1103&gt;=MA_MED),AVERAGE(INDEX($C$703:$C1103,402-MA_MED):$C1103),"")</f>
        <v/>
      </c>
      <c r="K1103" s="52" t="str">
        <f aca="false">IF(AND(ISNUMBER($G1103),$G1103&gt;=MA_LONG2),AVERAGE(INDEX($C$703:$C1103,402-MA_LONG2):$C1103),"")</f>
        <v/>
      </c>
      <c r="L1103" s="53" t="str">
        <f aca="false">IF(AND(ISNUMBER($G1103),$G1103&gt;=21),STDEV(INDEX($H$1043:$H1103,62-20):$H1103)*SQRT(245),"")</f>
        <v/>
      </c>
      <c r="M1103" s="52" t="str">
        <f aca="false">IF(AND(ISNUMBER($G1103),$G1103&gt;=60),MAX(INDEX($D$903:$D1103,202-60):$D1103),"")</f>
        <v/>
      </c>
      <c r="N1103" s="52" t="str">
        <f aca="false">IF(AND(ISNUMBER($G1103),$G1103&gt;=60),MIN(INDEX($E$903:$E1103,202-60):$E1103),"")</f>
        <v/>
      </c>
      <c r="O1103" s="53" t="str">
        <f aca="false">IF(OR(NOT(ISNUMBER($C1103)),NOT(ISNUMBER($M1103)),$M1103=0),"",$C1103/$M1103-1)</f>
        <v/>
      </c>
      <c r="P1103" s="54"/>
      <c r="Q1103" s="53" t="str">
        <f aca="false">IF(NOT(ISNUMBER($P1103)),"",IFERROR(PERCENTRANK($P$5:$P$1204,$P1103),""))</f>
        <v/>
      </c>
    </row>
    <row r="1104" customFormat="false" ht="15" hidden="false" customHeight="false" outlineLevel="0" collapsed="false">
      <c r="A1104" s="55"/>
      <c r="B1104" s="56"/>
      <c r="C1104" s="57"/>
      <c r="D1104" s="56"/>
      <c r="E1104" s="56"/>
      <c r="F1104" s="56"/>
      <c r="G1104" s="50" t="str">
        <f aca="false">IF($A1104="","",IF(ISNUMBER($G1103),$G1103+1,1))</f>
        <v/>
      </c>
      <c r="H1104" s="51" t="str">
        <f aca="false">IF(OR(NOT(ISNUMBER($G1104)),$G1104&lt;2,NOT(ISNUMBER($C1103)),$C1103=0),"",$C1104/$C1103-1)</f>
        <v/>
      </c>
      <c r="I1104" s="52" t="str">
        <f aca="false">IF(AND(ISNUMBER($G1104),$G1104&gt;=MA_SHORT),AVERAGE(INDEX($C$704:$C1104,402-MA_SHORT):$C1104),"")</f>
        <v/>
      </c>
      <c r="J1104" s="52" t="str">
        <f aca="false">IF(AND(ISNUMBER($G1104),$G1104&gt;=MA_MED),AVERAGE(INDEX($C$704:$C1104,402-MA_MED):$C1104),"")</f>
        <v/>
      </c>
      <c r="K1104" s="52" t="str">
        <f aca="false">IF(AND(ISNUMBER($G1104),$G1104&gt;=MA_LONG2),AVERAGE(INDEX($C$704:$C1104,402-MA_LONG2):$C1104),"")</f>
        <v/>
      </c>
      <c r="L1104" s="53" t="str">
        <f aca="false">IF(AND(ISNUMBER($G1104),$G1104&gt;=21),STDEV(INDEX($H$1044:$H1104,62-20):$H1104)*SQRT(245),"")</f>
        <v/>
      </c>
      <c r="M1104" s="52" t="str">
        <f aca="false">IF(AND(ISNUMBER($G1104),$G1104&gt;=60),MAX(INDEX($D$904:$D1104,202-60):$D1104),"")</f>
        <v/>
      </c>
      <c r="N1104" s="52" t="str">
        <f aca="false">IF(AND(ISNUMBER($G1104),$G1104&gt;=60),MIN(INDEX($E$904:$E1104,202-60):$E1104),"")</f>
        <v/>
      </c>
      <c r="O1104" s="53" t="str">
        <f aca="false">IF(OR(NOT(ISNUMBER($C1104)),NOT(ISNUMBER($M1104)),$M1104=0),"",$C1104/$M1104-1)</f>
        <v/>
      </c>
      <c r="P1104" s="54"/>
      <c r="Q1104" s="53" t="str">
        <f aca="false">IF(NOT(ISNUMBER($P1104)),"",IFERROR(PERCENTRANK($P$5:$P$1204,$P1104),""))</f>
        <v/>
      </c>
    </row>
    <row r="1105" customFormat="false" ht="15" hidden="false" customHeight="false" outlineLevel="0" collapsed="false">
      <c r="A1105" s="55"/>
      <c r="B1105" s="56"/>
      <c r="C1105" s="57"/>
      <c r="D1105" s="56"/>
      <c r="E1105" s="56"/>
      <c r="F1105" s="56"/>
      <c r="G1105" s="50" t="str">
        <f aca="false">IF($A1105="","",IF(ISNUMBER($G1104),$G1104+1,1))</f>
        <v/>
      </c>
      <c r="H1105" s="51" t="str">
        <f aca="false">IF(OR(NOT(ISNUMBER($G1105)),$G1105&lt;2,NOT(ISNUMBER($C1104)),$C1104=0),"",$C1105/$C1104-1)</f>
        <v/>
      </c>
      <c r="I1105" s="52" t="str">
        <f aca="false">IF(AND(ISNUMBER($G1105),$G1105&gt;=MA_SHORT),AVERAGE(INDEX($C$705:$C1105,402-MA_SHORT):$C1105),"")</f>
        <v/>
      </c>
      <c r="J1105" s="52" t="str">
        <f aca="false">IF(AND(ISNUMBER($G1105),$G1105&gt;=MA_MED),AVERAGE(INDEX($C$705:$C1105,402-MA_MED):$C1105),"")</f>
        <v/>
      </c>
      <c r="K1105" s="52" t="str">
        <f aca="false">IF(AND(ISNUMBER($G1105),$G1105&gt;=MA_LONG2),AVERAGE(INDEX($C$705:$C1105,402-MA_LONG2):$C1105),"")</f>
        <v/>
      </c>
      <c r="L1105" s="53" t="str">
        <f aca="false">IF(AND(ISNUMBER($G1105),$G1105&gt;=21),STDEV(INDEX($H$1045:$H1105,62-20):$H1105)*SQRT(245),"")</f>
        <v/>
      </c>
      <c r="M1105" s="52" t="str">
        <f aca="false">IF(AND(ISNUMBER($G1105),$G1105&gt;=60),MAX(INDEX($D$905:$D1105,202-60):$D1105),"")</f>
        <v/>
      </c>
      <c r="N1105" s="52" t="str">
        <f aca="false">IF(AND(ISNUMBER($G1105),$G1105&gt;=60),MIN(INDEX($E$905:$E1105,202-60):$E1105),"")</f>
        <v/>
      </c>
      <c r="O1105" s="53" t="str">
        <f aca="false">IF(OR(NOT(ISNUMBER($C1105)),NOT(ISNUMBER($M1105)),$M1105=0),"",$C1105/$M1105-1)</f>
        <v/>
      </c>
      <c r="P1105" s="54"/>
      <c r="Q1105" s="53" t="str">
        <f aca="false">IF(NOT(ISNUMBER($P1105)),"",IFERROR(PERCENTRANK($P$5:$P$1204,$P1105),""))</f>
        <v/>
      </c>
    </row>
    <row r="1106" customFormat="false" ht="15" hidden="false" customHeight="false" outlineLevel="0" collapsed="false">
      <c r="A1106" s="55"/>
      <c r="B1106" s="56"/>
      <c r="C1106" s="57"/>
      <c r="D1106" s="56"/>
      <c r="E1106" s="56"/>
      <c r="F1106" s="56"/>
      <c r="G1106" s="50" t="str">
        <f aca="false">IF($A1106="","",IF(ISNUMBER($G1105),$G1105+1,1))</f>
        <v/>
      </c>
      <c r="H1106" s="51" t="str">
        <f aca="false">IF(OR(NOT(ISNUMBER($G1106)),$G1106&lt;2,NOT(ISNUMBER($C1105)),$C1105=0),"",$C1106/$C1105-1)</f>
        <v/>
      </c>
      <c r="I1106" s="52" t="str">
        <f aca="false">IF(AND(ISNUMBER($G1106),$G1106&gt;=MA_SHORT),AVERAGE(INDEX($C$706:$C1106,402-MA_SHORT):$C1106),"")</f>
        <v/>
      </c>
      <c r="J1106" s="52" t="str">
        <f aca="false">IF(AND(ISNUMBER($G1106),$G1106&gt;=MA_MED),AVERAGE(INDEX($C$706:$C1106,402-MA_MED):$C1106),"")</f>
        <v/>
      </c>
      <c r="K1106" s="52" t="str">
        <f aca="false">IF(AND(ISNUMBER($G1106),$G1106&gt;=MA_LONG2),AVERAGE(INDEX($C$706:$C1106,402-MA_LONG2):$C1106),"")</f>
        <v/>
      </c>
      <c r="L1106" s="53" t="str">
        <f aca="false">IF(AND(ISNUMBER($G1106),$G1106&gt;=21),STDEV(INDEX($H$1046:$H1106,62-20):$H1106)*SQRT(245),"")</f>
        <v/>
      </c>
      <c r="M1106" s="52" t="str">
        <f aca="false">IF(AND(ISNUMBER($G1106),$G1106&gt;=60),MAX(INDEX($D$906:$D1106,202-60):$D1106),"")</f>
        <v/>
      </c>
      <c r="N1106" s="52" t="str">
        <f aca="false">IF(AND(ISNUMBER($G1106),$G1106&gt;=60),MIN(INDEX($E$906:$E1106,202-60):$E1106),"")</f>
        <v/>
      </c>
      <c r="O1106" s="53" t="str">
        <f aca="false">IF(OR(NOT(ISNUMBER($C1106)),NOT(ISNUMBER($M1106)),$M1106=0),"",$C1106/$M1106-1)</f>
        <v/>
      </c>
      <c r="P1106" s="54"/>
      <c r="Q1106" s="53" t="str">
        <f aca="false">IF(NOT(ISNUMBER($P1106)),"",IFERROR(PERCENTRANK($P$5:$P$1204,$P1106),""))</f>
        <v/>
      </c>
    </row>
    <row r="1107" customFormat="false" ht="15" hidden="false" customHeight="false" outlineLevel="0" collapsed="false">
      <c r="A1107" s="55"/>
      <c r="B1107" s="56"/>
      <c r="C1107" s="57"/>
      <c r="D1107" s="56"/>
      <c r="E1107" s="56"/>
      <c r="F1107" s="56"/>
      <c r="G1107" s="50" t="str">
        <f aca="false">IF($A1107="","",IF(ISNUMBER($G1106),$G1106+1,1))</f>
        <v/>
      </c>
      <c r="H1107" s="51" t="str">
        <f aca="false">IF(OR(NOT(ISNUMBER($G1107)),$G1107&lt;2,NOT(ISNUMBER($C1106)),$C1106=0),"",$C1107/$C1106-1)</f>
        <v/>
      </c>
      <c r="I1107" s="52" t="str">
        <f aca="false">IF(AND(ISNUMBER($G1107),$G1107&gt;=MA_SHORT),AVERAGE(INDEX($C$707:$C1107,402-MA_SHORT):$C1107),"")</f>
        <v/>
      </c>
      <c r="J1107" s="52" t="str">
        <f aca="false">IF(AND(ISNUMBER($G1107),$G1107&gt;=MA_MED),AVERAGE(INDEX($C$707:$C1107,402-MA_MED):$C1107),"")</f>
        <v/>
      </c>
      <c r="K1107" s="52" t="str">
        <f aca="false">IF(AND(ISNUMBER($G1107),$G1107&gt;=MA_LONG2),AVERAGE(INDEX($C$707:$C1107,402-MA_LONG2):$C1107),"")</f>
        <v/>
      </c>
      <c r="L1107" s="53" t="str">
        <f aca="false">IF(AND(ISNUMBER($G1107),$G1107&gt;=21),STDEV(INDEX($H$1047:$H1107,62-20):$H1107)*SQRT(245),"")</f>
        <v/>
      </c>
      <c r="M1107" s="52" t="str">
        <f aca="false">IF(AND(ISNUMBER($G1107),$G1107&gt;=60),MAX(INDEX($D$907:$D1107,202-60):$D1107),"")</f>
        <v/>
      </c>
      <c r="N1107" s="52" t="str">
        <f aca="false">IF(AND(ISNUMBER($G1107),$G1107&gt;=60),MIN(INDEX($E$907:$E1107,202-60):$E1107),"")</f>
        <v/>
      </c>
      <c r="O1107" s="53" t="str">
        <f aca="false">IF(OR(NOT(ISNUMBER($C1107)),NOT(ISNUMBER($M1107)),$M1107=0),"",$C1107/$M1107-1)</f>
        <v/>
      </c>
      <c r="P1107" s="54"/>
      <c r="Q1107" s="53" t="str">
        <f aca="false">IF(NOT(ISNUMBER($P1107)),"",IFERROR(PERCENTRANK($P$5:$P$1204,$P1107),""))</f>
        <v/>
      </c>
    </row>
    <row r="1108" customFormat="false" ht="15" hidden="false" customHeight="false" outlineLevel="0" collapsed="false">
      <c r="A1108" s="55"/>
      <c r="B1108" s="56"/>
      <c r="C1108" s="57"/>
      <c r="D1108" s="56"/>
      <c r="E1108" s="56"/>
      <c r="F1108" s="56"/>
      <c r="G1108" s="50" t="str">
        <f aca="false">IF($A1108="","",IF(ISNUMBER($G1107),$G1107+1,1))</f>
        <v/>
      </c>
      <c r="H1108" s="51" t="str">
        <f aca="false">IF(OR(NOT(ISNUMBER($G1108)),$G1108&lt;2,NOT(ISNUMBER($C1107)),$C1107=0),"",$C1108/$C1107-1)</f>
        <v/>
      </c>
      <c r="I1108" s="52" t="str">
        <f aca="false">IF(AND(ISNUMBER($G1108),$G1108&gt;=MA_SHORT),AVERAGE(INDEX($C$708:$C1108,402-MA_SHORT):$C1108),"")</f>
        <v/>
      </c>
      <c r="J1108" s="52" t="str">
        <f aca="false">IF(AND(ISNUMBER($G1108),$G1108&gt;=MA_MED),AVERAGE(INDEX($C$708:$C1108,402-MA_MED):$C1108),"")</f>
        <v/>
      </c>
      <c r="K1108" s="52" t="str">
        <f aca="false">IF(AND(ISNUMBER($G1108),$G1108&gt;=MA_LONG2),AVERAGE(INDEX($C$708:$C1108,402-MA_LONG2):$C1108),"")</f>
        <v/>
      </c>
      <c r="L1108" s="53" t="str">
        <f aca="false">IF(AND(ISNUMBER($G1108),$G1108&gt;=21),STDEV(INDEX($H$1048:$H1108,62-20):$H1108)*SQRT(245),"")</f>
        <v/>
      </c>
      <c r="M1108" s="52" t="str">
        <f aca="false">IF(AND(ISNUMBER($G1108),$G1108&gt;=60),MAX(INDEX($D$908:$D1108,202-60):$D1108),"")</f>
        <v/>
      </c>
      <c r="N1108" s="52" t="str">
        <f aca="false">IF(AND(ISNUMBER($G1108),$G1108&gt;=60),MIN(INDEX($E$908:$E1108,202-60):$E1108),"")</f>
        <v/>
      </c>
      <c r="O1108" s="53" t="str">
        <f aca="false">IF(OR(NOT(ISNUMBER($C1108)),NOT(ISNUMBER($M1108)),$M1108=0),"",$C1108/$M1108-1)</f>
        <v/>
      </c>
      <c r="P1108" s="54"/>
      <c r="Q1108" s="53" t="str">
        <f aca="false">IF(NOT(ISNUMBER($P1108)),"",IFERROR(PERCENTRANK($P$5:$P$1204,$P1108),""))</f>
        <v/>
      </c>
    </row>
    <row r="1109" customFormat="false" ht="15" hidden="false" customHeight="false" outlineLevel="0" collapsed="false">
      <c r="A1109" s="55"/>
      <c r="B1109" s="56"/>
      <c r="C1109" s="57"/>
      <c r="D1109" s="56"/>
      <c r="E1109" s="56"/>
      <c r="F1109" s="56"/>
      <c r="G1109" s="50" t="str">
        <f aca="false">IF($A1109="","",IF(ISNUMBER($G1108),$G1108+1,1))</f>
        <v/>
      </c>
      <c r="H1109" s="51" t="str">
        <f aca="false">IF(OR(NOT(ISNUMBER($G1109)),$G1109&lt;2,NOT(ISNUMBER($C1108)),$C1108=0),"",$C1109/$C1108-1)</f>
        <v/>
      </c>
      <c r="I1109" s="52" t="str">
        <f aca="false">IF(AND(ISNUMBER($G1109),$G1109&gt;=MA_SHORT),AVERAGE(INDEX($C$709:$C1109,402-MA_SHORT):$C1109),"")</f>
        <v/>
      </c>
      <c r="J1109" s="52" t="str">
        <f aca="false">IF(AND(ISNUMBER($G1109),$G1109&gt;=MA_MED),AVERAGE(INDEX($C$709:$C1109,402-MA_MED):$C1109),"")</f>
        <v/>
      </c>
      <c r="K1109" s="52" t="str">
        <f aca="false">IF(AND(ISNUMBER($G1109),$G1109&gt;=MA_LONG2),AVERAGE(INDEX($C$709:$C1109,402-MA_LONG2):$C1109),"")</f>
        <v/>
      </c>
      <c r="L1109" s="53" t="str">
        <f aca="false">IF(AND(ISNUMBER($G1109),$G1109&gt;=21),STDEV(INDEX($H$1049:$H1109,62-20):$H1109)*SQRT(245),"")</f>
        <v/>
      </c>
      <c r="M1109" s="52" t="str">
        <f aca="false">IF(AND(ISNUMBER($G1109),$G1109&gt;=60),MAX(INDEX($D$909:$D1109,202-60):$D1109),"")</f>
        <v/>
      </c>
      <c r="N1109" s="52" t="str">
        <f aca="false">IF(AND(ISNUMBER($G1109),$G1109&gt;=60),MIN(INDEX($E$909:$E1109,202-60):$E1109),"")</f>
        <v/>
      </c>
      <c r="O1109" s="53" t="str">
        <f aca="false">IF(OR(NOT(ISNUMBER($C1109)),NOT(ISNUMBER($M1109)),$M1109=0),"",$C1109/$M1109-1)</f>
        <v/>
      </c>
      <c r="P1109" s="54"/>
      <c r="Q1109" s="53" t="str">
        <f aca="false">IF(NOT(ISNUMBER($P1109)),"",IFERROR(PERCENTRANK($P$5:$P$1204,$P1109),""))</f>
        <v/>
      </c>
    </row>
    <row r="1110" customFormat="false" ht="15" hidden="false" customHeight="false" outlineLevel="0" collapsed="false">
      <c r="A1110" s="55"/>
      <c r="B1110" s="56"/>
      <c r="C1110" s="57"/>
      <c r="D1110" s="56"/>
      <c r="E1110" s="56"/>
      <c r="F1110" s="56"/>
      <c r="G1110" s="50" t="str">
        <f aca="false">IF($A1110="","",IF(ISNUMBER($G1109),$G1109+1,1))</f>
        <v/>
      </c>
      <c r="H1110" s="51" t="str">
        <f aca="false">IF(OR(NOT(ISNUMBER($G1110)),$G1110&lt;2,NOT(ISNUMBER($C1109)),$C1109=0),"",$C1110/$C1109-1)</f>
        <v/>
      </c>
      <c r="I1110" s="52" t="str">
        <f aca="false">IF(AND(ISNUMBER($G1110),$G1110&gt;=MA_SHORT),AVERAGE(INDEX($C$710:$C1110,402-MA_SHORT):$C1110),"")</f>
        <v/>
      </c>
      <c r="J1110" s="52" t="str">
        <f aca="false">IF(AND(ISNUMBER($G1110),$G1110&gt;=MA_MED),AVERAGE(INDEX($C$710:$C1110,402-MA_MED):$C1110),"")</f>
        <v/>
      </c>
      <c r="K1110" s="52" t="str">
        <f aca="false">IF(AND(ISNUMBER($G1110),$G1110&gt;=MA_LONG2),AVERAGE(INDEX($C$710:$C1110,402-MA_LONG2):$C1110),"")</f>
        <v/>
      </c>
      <c r="L1110" s="53" t="str">
        <f aca="false">IF(AND(ISNUMBER($G1110),$G1110&gt;=21),STDEV(INDEX($H$1050:$H1110,62-20):$H1110)*SQRT(245),"")</f>
        <v/>
      </c>
      <c r="M1110" s="52" t="str">
        <f aca="false">IF(AND(ISNUMBER($G1110),$G1110&gt;=60),MAX(INDEX($D$910:$D1110,202-60):$D1110),"")</f>
        <v/>
      </c>
      <c r="N1110" s="52" t="str">
        <f aca="false">IF(AND(ISNUMBER($G1110),$G1110&gt;=60),MIN(INDEX($E$910:$E1110,202-60):$E1110),"")</f>
        <v/>
      </c>
      <c r="O1110" s="53" t="str">
        <f aca="false">IF(OR(NOT(ISNUMBER($C1110)),NOT(ISNUMBER($M1110)),$M1110=0),"",$C1110/$M1110-1)</f>
        <v/>
      </c>
      <c r="P1110" s="54"/>
      <c r="Q1110" s="53" t="str">
        <f aca="false">IF(NOT(ISNUMBER($P1110)),"",IFERROR(PERCENTRANK($P$5:$P$1204,$P1110),""))</f>
        <v/>
      </c>
    </row>
    <row r="1111" customFormat="false" ht="15" hidden="false" customHeight="false" outlineLevel="0" collapsed="false">
      <c r="A1111" s="55"/>
      <c r="B1111" s="56"/>
      <c r="C1111" s="57"/>
      <c r="D1111" s="56"/>
      <c r="E1111" s="56"/>
      <c r="F1111" s="56"/>
      <c r="G1111" s="50" t="str">
        <f aca="false">IF($A1111="","",IF(ISNUMBER($G1110),$G1110+1,1))</f>
        <v/>
      </c>
      <c r="H1111" s="51" t="str">
        <f aca="false">IF(OR(NOT(ISNUMBER($G1111)),$G1111&lt;2,NOT(ISNUMBER($C1110)),$C1110=0),"",$C1111/$C1110-1)</f>
        <v/>
      </c>
      <c r="I1111" s="52" t="str">
        <f aca="false">IF(AND(ISNUMBER($G1111),$G1111&gt;=MA_SHORT),AVERAGE(INDEX($C$711:$C1111,402-MA_SHORT):$C1111),"")</f>
        <v/>
      </c>
      <c r="J1111" s="52" t="str">
        <f aca="false">IF(AND(ISNUMBER($G1111),$G1111&gt;=MA_MED),AVERAGE(INDEX($C$711:$C1111,402-MA_MED):$C1111),"")</f>
        <v/>
      </c>
      <c r="K1111" s="52" t="str">
        <f aca="false">IF(AND(ISNUMBER($G1111),$G1111&gt;=MA_LONG2),AVERAGE(INDEX($C$711:$C1111,402-MA_LONG2):$C1111),"")</f>
        <v/>
      </c>
      <c r="L1111" s="53" t="str">
        <f aca="false">IF(AND(ISNUMBER($G1111),$G1111&gt;=21),STDEV(INDEX($H$1051:$H1111,62-20):$H1111)*SQRT(245),"")</f>
        <v/>
      </c>
      <c r="M1111" s="52" t="str">
        <f aca="false">IF(AND(ISNUMBER($G1111),$G1111&gt;=60),MAX(INDEX($D$911:$D1111,202-60):$D1111),"")</f>
        <v/>
      </c>
      <c r="N1111" s="52" t="str">
        <f aca="false">IF(AND(ISNUMBER($G1111),$G1111&gt;=60),MIN(INDEX($E$911:$E1111,202-60):$E1111),"")</f>
        <v/>
      </c>
      <c r="O1111" s="53" t="str">
        <f aca="false">IF(OR(NOT(ISNUMBER($C1111)),NOT(ISNUMBER($M1111)),$M1111=0),"",$C1111/$M1111-1)</f>
        <v/>
      </c>
      <c r="P1111" s="54"/>
      <c r="Q1111" s="53" t="str">
        <f aca="false">IF(NOT(ISNUMBER($P1111)),"",IFERROR(PERCENTRANK($P$5:$P$1204,$P1111),""))</f>
        <v/>
      </c>
    </row>
    <row r="1112" customFormat="false" ht="15" hidden="false" customHeight="false" outlineLevel="0" collapsed="false">
      <c r="A1112" s="55"/>
      <c r="B1112" s="56"/>
      <c r="C1112" s="57"/>
      <c r="D1112" s="56"/>
      <c r="E1112" s="56"/>
      <c r="F1112" s="56"/>
      <c r="G1112" s="50" t="str">
        <f aca="false">IF($A1112="","",IF(ISNUMBER($G1111),$G1111+1,1))</f>
        <v/>
      </c>
      <c r="H1112" s="51" t="str">
        <f aca="false">IF(OR(NOT(ISNUMBER($G1112)),$G1112&lt;2,NOT(ISNUMBER($C1111)),$C1111=0),"",$C1112/$C1111-1)</f>
        <v/>
      </c>
      <c r="I1112" s="52" t="str">
        <f aca="false">IF(AND(ISNUMBER($G1112),$G1112&gt;=MA_SHORT),AVERAGE(INDEX($C$712:$C1112,402-MA_SHORT):$C1112),"")</f>
        <v/>
      </c>
      <c r="J1112" s="52" t="str">
        <f aca="false">IF(AND(ISNUMBER($G1112),$G1112&gt;=MA_MED),AVERAGE(INDEX($C$712:$C1112,402-MA_MED):$C1112),"")</f>
        <v/>
      </c>
      <c r="K1112" s="52" t="str">
        <f aca="false">IF(AND(ISNUMBER($G1112),$G1112&gt;=MA_LONG2),AVERAGE(INDEX($C$712:$C1112,402-MA_LONG2):$C1112),"")</f>
        <v/>
      </c>
      <c r="L1112" s="53" t="str">
        <f aca="false">IF(AND(ISNUMBER($G1112),$G1112&gt;=21),STDEV(INDEX($H$1052:$H1112,62-20):$H1112)*SQRT(245),"")</f>
        <v/>
      </c>
      <c r="M1112" s="52" t="str">
        <f aca="false">IF(AND(ISNUMBER($G1112),$G1112&gt;=60),MAX(INDEX($D$912:$D1112,202-60):$D1112),"")</f>
        <v/>
      </c>
      <c r="N1112" s="52" t="str">
        <f aca="false">IF(AND(ISNUMBER($G1112),$G1112&gt;=60),MIN(INDEX($E$912:$E1112,202-60):$E1112),"")</f>
        <v/>
      </c>
      <c r="O1112" s="53" t="str">
        <f aca="false">IF(OR(NOT(ISNUMBER($C1112)),NOT(ISNUMBER($M1112)),$M1112=0),"",$C1112/$M1112-1)</f>
        <v/>
      </c>
      <c r="P1112" s="54"/>
      <c r="Q1112" s="53" t="str">
        <f aca="false">IF(NOT(ISNUMBER($P1112)),"",IFERROR(PERCENTRANK($P$5:$P$1204,$P1112),""))</f>
        <v/>
      </c>
    </row>
    <row r="1113" customFormat="false" ht="15" hidden="false" customHeight="false" outlineLevel="0" collapsed="false">
      <c r="A1113" s="55"/>
      <c r="B1113" s="56"/>
      <c r="C1113" s="57"/>
      <c r="D1113" s="56"/>
      <c r="E1113" s="56"/>
      <c r="F1113" s="56"/>
      <c r="G1113" s="50" t="str">
        <f aca="false">IF($A1113="","",IF(ISNUMBER($G1112),$G1112+1,1))</f>
        <v/>
      </c>
      <c r="H1113" s="51" t="str">
        <f aca="false">IF(OR(NOT(ISNUMBER($G1113)),$G1113&lt;2,NOT(ISNUMBER($C1112)),$C1112=0),"",$C1113/$C1112-1)</f>
        <v/>
      </c>
      <c r="I1113" s="52" t="str">
        <f aca="false">IF(AND(ISNUMBER($G1113),$G1113&gt;=MA_SHORT),AVERAGE(INDEX($C$713:$C1113,402-MA_SHORT):$C1113),"")</f>
        <v/>
      </c>
      <c r="J1113" s="52" t="str">
        <f aca="false">IF(AND(ISNUMBER($G1113),$G1113&gt;=MA_MED),AVERAGE(INDEX($C$713:$C1113,402-MA_MED):$C1113),"")</f>
        <v/>
      </c>
      <c r="K1113" s="52" t="str">
        <f aca="false">IF(AND(ISNUMBER($G1113),$G1113&gt;=MA_LONG2),AVERAGE(INDEX($C$713:$C1113,402-MA_LONG2):$C1113),"")</f>
        <v/>
      </c>
      <c r="L1113" s="53" t="str">
        <f aca="false">IF(AND(ISNUMBER($G1113),$G1113&gt;=21),STDEV(INDEX($H$1053:$H1113,62-20):$H1113)*SQRT(245),"")</f>
        <v/>
      </c>
      <c r="M1113" s="52" t="str">
        <f aca="false">IF(AND(ISNUMBER($G1113),$G1113&gt;=60),MAX(INDEX($D$913:$D1113,202-60):$D1113),"")</f>
        <v/>
      </c>
      <c r="N1113" s="52" t="str">
        <f aca="false">IF(AND(ISNUMBER($G1113),$G1113&gt;=60),MIN(INDEX($E$913:$E1113,202-60):$E1113),"")</f>
        <v/>
      </c>
      <c r="O1113" s="53" t="str">
        <f aca="false">IF(OR(NOT(ISNUMBER($C1113)),NOT(ISNUMBER($M1113)),$M1113=0),"",$C1113/$M1113-1)</f>
        <v/>
      </c>
      <c r="P1113" s="54"/>
      <c r="Q1113" s="53" t="str">
        <f aca="false">IF(NOT(ISNUMBER($P1113)),"",IFERROR(PERCENTRANK($P$5:$P$1204,$P1113),""))</f>
        <v/>
      </c>
    </row>
    <row r="1114" customFormat="false" ht="15" hidden="false" customHeight="false" outlineLevel="0" collapsed="false">
      <c r="A1114" s="55"/>
      <c r="B1114" s="56"/>
      <c r="C1114" s="57"/>
      <c r="D1114" s="56"/>
      <c r="E1114" s="56"/>
      <c r="F1114" s="56"/>
      <c r="G1114" s="50" t="str">
        <f aca="false">IF($A1114="","",IF(ISNUMBER($G1113),$G1113+1,1))</f>
        <v/>
      </c>
      <c r="H1114" s="51" t="str">
        <f aca="false">IF(OR(NOT(ISNUMBER($G1114)),$G1114&lt;2,NOT(ISNUMBER($C1113)),$C1113=0),"",$C1114/$C1113-1)</f>
        <v/>
      </c>
      <c r="I1114" s="52" t="str">
        <f aca="false">IF(AND(ISNUMBER($G1114),$G1114&gt;=MA_SHORT),AVERAGE(INDEX($C$714:$C1114,402-MA_SHORT):$C1114),"")</f>
        <v/>
      </c>
      <c r="J1114" s="52" t="str">
        <f aca="false">IF(AND(ISNUMBER($G1114),$G1114&gt;=MA_MED),AVERAGE(INDEX($C$714:$C1114,402-MA_MED):$C1114),"")</f>
        <v/>
      </c>
      <c r="K1114" s="52" t="str">
        <f aca="false">IF(AND(ISNUMBER($G1114),$G1114&gt;=MA_LONG2),AVERAGE(INDEX($C$714:$C1114,402-MA_LONG2):$C1114),"")</f>
        <v/>
      </c>
      <c r="L1114" s="53" t="str">
        <f aca="false">IF(AND(ISNUMBER($G1114),$G1114&gt;=21),STDEV(INDEX($H$1054:$H1114,62-20):$H1114)*SQRT(245),"")</f>
        <v/>
      </c>
      <c r="M1114" s="52" t="str">
        <f aca="false">IF(AND(ISNUMBER($G1114),$G1114&gt;=60),MAX(INDEX($D$914:$D1114,202-60):$D1114),"")</f>
        <v/>
      </c>
      <c r="N1114" s="52" t="str">
        <f aca="false">IF(AND(ISNUMBER($G1114),$G1114&gt;=60),MIN(INDEX($E$914:$E1114,202-60):$E1114),"")</f>
        <v/>
      </c>
      <c r="O1114" s="53" t="str">
        <f aca="false">IF(OR(NOT(ISNUMBER($C1114)),NOT(ISNUMBER($M1114)),$M1114=0),"",$C1114/$M1114-1)</f>
        <v/>
      </c>
      <c r="P1114" s="54"/>
      <c r="Q1114" s="53" t="str">
        <f aca="false">IF(NOT(ISNUMBER($P1114)),"",IFERROR(PERCENTRANK($P$5:$P$1204,$P1114),""))</f>
        <v/>
      </c>
    </row>
    <row r="1115" customFormat="false" ht="15" hidden="false" customHeight="false" outlineLevel="0" collapsed="false">
      <c r="A1115" s="55"/>
      <c r="B1115" s="56"/>
      <c r="C1115" s="57"/>
      <c r="D1115" s="56"/>
      <c r="E1115" s="56"/>
      <c r="F1115" s="56"/>
      <c r="G1115" s="50" t="str">
        <f aca="false">IF($A1115="","",IF(ISNUMBER($G1114),$G1114+1,1))</f>
        <v/>
      </c>
      <c r="H1115" s="51" t="str">
        <f aca="false">IF(OR(NOT(ISNUMBER($G1115)),$G1115&lt;2,NOT(ISNUMBER($C1114)),$C1114=0),"",$C1115/$C1114-1)</f>
        <v/>
      </c>
      <c r="I1115" s="52" t="str">
        <f aca="false">IF(AND(ISNUMBER($G1115),$G1115&gt;=MA_SHORT),AVERAGE(INDEX($C$715:$C1115,402-MA_SHORT):$C1115),"")</f>
        <v/>
      </c>
      <c r="J1115" s="52" t="str">
        <f aca="false">IF(AND(ISNUMBER($G1115),$G1115&gt;=MA_MED),AVERAGE(INDEX($C$715:$C1115,402-MA_MED):$C1115),"")</f>
        <v/>
      </c>
      <c r="K1115" s="52" t="str">
        <f aca="false">IF(AND(ISNUMBER($G1115),$G1115&gt;=MA_LONG2),AVERAGE(INDEX($C$715:$C1115,402-MA_LONG2):$C1115),"")</f>
        <v/>
      </c>
      <c r="L1115" s="53" t="str">
        <f aca="false">IF(AND(ISNUMBER($G1115),$G1115&gt;=21),STDEV(INDEX($H$1055:$H1115,62-20):$H1115)*SQRT(245),"")</f>
        <v/>
      </c>
      <c r="M1115" s="52" t="str">
        <f aca="false">IF(AND(ISNUMBER($G1115),$G1115&gt;=60),MAX(INDEX($D$915:$D1115,202-60):$D1115),"")</f>
        <v/>
      </c>
      <c r="N1115" s="52" t="str">
        <f aca="false">IF(AND(ISNUMBER($G1115),$G1115&gt;=60),MIN(INDEX($E$915:$E1115,202-60):$E1115),"")</f>
        <v/>
      </c>
      <c r="O1115" s="53" t="str">
        <f aca="false">IF(OR(NOT(ISNUMBER($C1115)),NOT(ISNUMBER($M1115)),$M1115=0),"",$C1115/$M1115-1)</f>
        <v/>
      </c>
      <c r="P1115" s="54"/>
      <c r="Q1115" s="53" t="str">
        <f aca="false">IF(NOT(ISNUMBER($P1115)),"",IFERROR(PERCENTRANK($P$5:$P$1204,$P1115),""))</f>
        <v/>
      </c>
    </row>
    <row r="1116" customFormat="false" ht="15" hidden="false" customHeight="false" outlineLevel="0" collapsed="false">
      <c r="A1116" s="55"/>
      <c r="B1116" s="56"/>
      <c r="C1116" s="57"/>
      <c r="D1116" s="56"/>
      <c r="E1116" s="56"/>
      <c r="F1116" s="56"/>
      <c r="G1116" s="50" t="str">
        <f aca="false">IF($A1116="","",IF(ISNUMBER($G1115),$G1115+1,1))</f>
        <v/>
      </c>
      <c r="H1116" s="51" t="str">
        <f aca="false">IF(OR(NOT(ISNUMBER($G1116)),$G1116&lt;2,NOT(ISNUMBER($C1115)),$C1115=0),"",$C1116/$C1115-1)</f>
        <v/>
      </c>
      <c r="I1116" s="52" t="str">
        <f aca="false">IF(AND(ISNUMBER($G1116),$G1116&gt;=MA_SHORT),AVERAGE(INDEX($C$716:$C1116,402-MA_SHORT):$C1116),"")</f>
        <v/>
      </c>
      <c r="J1116" s="52" t="str">
        <f aca="false">IF(AND(ISNUMBER($G1116),$G1116&gt;=MA_MED),AVERAGE(INDEX($C$716:$C1116,402-MA_MED):$C1116),"")</f>
        <v/>
      </c>
      <c r="K1116" s="52" t="str">
        <f aca="false">IF(AND(ISNUMBER($G1116),$G1116&gt;=MA_LONG2),AVERAGE(INDEX($C$716:$C1116,402-MA_LONG2):$C1116),"")</f>
        <v/>
      </c>
      <c r="L1116" s="53" t="str">
        <f aca="false">IF(AND(ISNUMBER($G1116),$G1116&gt;=21),STDEV(INDEX($H$1056:$H1116,62-20):$H1116)*SQRT(245),"")</f>
        <v/>
      </c>
      <c r="M1116" s="52" t="str">
        <f aca="false">IF(AND(ISNUMBER($G1116),$G1116&gt;=60),MAX(INDEX($D$916:$D1116,202-60):$D1116),"")</f>
        <v/>
      </c>
      <c r="N1116" s="52" t="str">
        <f aca="false">IF(AND(ISNUMBER($G1116),$G1116&gt;=60),MIN(INDEX($E$916:$E1116,202-60):$E1116),"")</f>
        <v/>
      </c>
      <c r="O1116" s="53" t="str">
        <f aca="false">IF(OR(NOT(ISNUMBER($C1116)),NOT(ISNUMBER($M1116)),$M1116=0),"",$C1116/$M1116-1)</f>
        <v/>
      </c>
      <c r="P1116" s="54"/>
      <c r="Q1116" s="53" t="str">
        <f aca="false">IF(NOT(ISNUMBER($P1116)),"",IFERROR(PERCENTRANK($P$5:$P$1204,$P1116),""))</f>
        <v/>
      </c>
    </row>
    <row r="1117" customFormat="false" ht="15" hidden="false" customHeight="false" outlineLevel="0" collapsed="false">
      <c r="A1117" s="55"/>
      <c r="B1117" s="56"/>
      <c r="C1117" s="57"/>
      <c r="D1117" s="56"/>
      <c r="E1117" s="56"/>
      <c r="F1117" s="56"/>
      <c r="G1117" s="50" t="str">
        <f aca="false">IF($A1117="","",IF(ISNUMBER($G1116),$G1116+1,1))</f>
        <v/>
      </c>
      <c r="H1117" s="51" t="str">
        <f aca="false">IF(OR(NOT(ISNUMBER($G1117)),$G1117&lt;2,NOT(ISNUMBER($C1116)),$C1116=0),"",$C1117/$C1116-1)</f>
        <v/>
      </c>
      <c r="I1117" s="52" t="str">
        <f aca="false">IF(AND(ISNUMBER($G1117),$G1117&gt;=MA_SHORT),AVERAGE(INDEX($C$717:$C1117,402-MA_SHORT):$C1117),"")</f>
        <v/>
      </c>
      <c r="J1117" s="52" t="str">
        <f aca="false">IF(AND(ISNUMBER($G1117),$G1117&gt;=MA_MED),AVERAGE(INDEX($C$717:$C1117,402-MA_MED):$C1117),"")</f>
        <v/>
      </c>
      <c r="K1117" s="52" t="str">
        <f aca="false">IF(AND(ISNUMBER($G1117),$G1117&gt;=MA_LONG2),AVERAGE(INDEX($C$717:$C1117,402-MA_LONG2):$C1117),"")</f>
        <v/>
      </c>
      <c r="L1117" s="53" t="str">
        <f aca="false">IF(AND(ISNUMBER($G1117),$G1117&gt;=21),STDEV(INDEX($H$1057:$H1117,62-20):$H1117)*SQRT(245),"")</f>
        <v/>
      </c>
      <c r="M1117" s="52" t="str">
        <f aca="false">IF(AND(ISNUMBER($G1117),$G1117&gt;=60),MAX(INDEX($D$917:$D1117,202-60):$D1117),"")</f>
        <v/>
      </c>
      <c r="N1117" s="52" t="str">
        <f aca="false">IF(AND(ISNUMBER($G1117),$G1117&gt;=60),MIN(INDEX($E$917:$E1117,202-60):$E1117),"")</f>
        <v/>
      </c>
      <c r="O1117" s="53" t="str">
        <f aca="false">IF(OR(NOT(ISNUMBER($C1117)),NOT(ISNUMBER($M1117)),$M1117=0),"",$C1117/$M1117-1)</f>
        <v/>
      </c>
      <c r="P1117" s="54"/>
      <c r="Q1117" s="53" t="str">
        <f aca="false">IF(NOT(ISNUMBER($P1117)),"",IFERROR(PERCENTRANK($P$5:$P$1204,$P1117),""))</f>
        <v/>
      </c>
    </row>
    <row r="1118" customFormat="false" ht="15" hidden="false" customHeight="false" outlineLevel="0" collapsed="false">
      <c r="A1118" s="55"/>
      <c r="B1118" s="56"/>
      <c r="C1118" s="57"/>
      <c r="D1118" s="56"/>
      <c r="E1118" s="56"/>
      <c r="F1118" s="56"/>
      <c r="G1118" s="50" t="str">
        <f aca="false">IF($A1118="","",IF(ISNUMBER($G1117),$G1117+1,1))</f>
        <v/>
      </c>
      <c r="H1118" s="51" t="str">
        <f aca="false">IF(OR(NOT(ISNUMBER($G1118)),$G1118&lt;2,NOT(ISNUMBER($C1117)),$C1117=0),"",$C1118/$C1117-1)</f>
        <v/>
      </c>
      <c r="I1118" s="52" t="str">
        <f aca="false">IF(AND(ISNUMBER($G1118),$G1118&gt;=MA_SHORT),AVERAGE(INDEX($C$718:$C1118,402-MA_SHORT):$C1118),"")</f>
        <v/>
      </c>
      <c r="J1118" s="52" t="str">
        <f aca="false">IF(AND(ISNUMBER($G1118),$G1118&gt;=MA_MED),AVERAGE(INDEX($C$718:$C1118,402-MA_MED):$C1118),"")</f>
        <v/>
      </c>
      <c r="K1118" s="52" t="str">
        <f aca="false">IF(AND(ISNUMBER($G1118),$G1118&gt;=MA_LONG2),AVERAGE(INDEX($C$718:$C1118,402-MA_LONG2):$C1118),"")</f>
        <v/>
      </c>
      <c r="L1118" s="53" t="str">
        <f aca="false">IF(AND(ISNUMBER($G1118),$G1118&gt;=21),STDEV(INDEX($H$1058:$H1118,62-20):$H1118)*SQRT(245),"")</f>
        <v/>
      </c>
      <c r="M1118" s="52" t="str">
        <f aca="false">IF(AND(ISNUMBER($G1118),$G1118&gt;=60),MAX(INDEX($D$918:$D1118,202-60):$D1118),"")</f>
        <v/>
      </c>
      <c r="N1118" s="52" t="str">
        <f aca="false">IF(AND(ISNUMBER($G1118),$G1118&gt;=60),MIN(INDEX($E$918:$E1118,202-60):$E1118),"")</f>
        <v/>
      </c>
      <c r="O1118" s="53" t="str">
        <f aca="false">IF(OR(NOT(ISNUMBER($C1118)),NOT(ISNUMBER($M1118)),$M1118=0),"",$C1118/$M1118-1)</f>
        <v/>
      </c>
      <c r="P1118" s="54"/>
      <c r="Q1118" s="53" t="str">
        <f aca="false">IF(NOT(ISNUMBER($P1118)),"",IFERROR(PERCENTRANK($P$5:$P$1204,$P1118),""))</f>
        <v/>
      </c>
    </row>
    <row r="1119" customFormat="false" ht="15" hidden="false" customHeight="false" outlineLevel="0" collapsed="false">
      <c r="A1119" s="55"/>
      <c r="B1119" s="56"/>
      <c r="C1119" s="57"/>
      <c r="D1119" s="56"/>
      <c r="E1119" s="56"/>
      <c r="F1119" s="56"/>
      <c r="G1119" s="50" t="str">
        <f aca="false">IF($A1119="","",IF(ISNUMBER($G1118),$G1118+1,1))</f>
        <v/>
      </c>
      <c r="H1119" s="51" t="str">
        <f aca="false">IF(OR(NOT(ISNUMBER($G1119)),$G1119&lt;2,NOT(ISNUMBER($C1118)),$C1118=0),"",$C1119/$C1118-1)</f>
        <v/>
      </c>
      <c r="I1119" s="52" t="str">
        <f aca="false">IF(AND(ISNUMBER($G1119),$G1119&gt;=MA_SHORT),AVERAGE(INDEX($C$719:$C1119,402-MA_SHORT):$C1119),"")</f>
        <v/>
      </c>
      <c r="J1119" s="52" t="str">
        <f aca="false">IF(AND(ISNUMBER($G1119),$G1119&gt;=MA_MED),AVERAGE(INDEX($C$719:$C1119,402-MA_MED):$C1119),"")</f>
        <v/>
      </c>
      <c r="K1119" s="52" t="str">
        <f aca="false">IF(AND(ISNUMBER($G1119),$G1119&gt;=MA_LONG2),AVERAGE(INDEX($C$719:$C1119,402-MA_LONG2):$C1119),"")</f>
        <v/>
      </c>
      <c r="L1119" s="53" t="str">
        <f aca="false">IF(AND(ISNUMBER($G1119),$G1119&gt;=21),STDEV(INDEX($H$1059:$H1119,62-20):$H1119)*SQRT(245),"")</f>
        <v/>
      </c>
      <c r="M1119" s="52" t="str">
        <f aca="false">IF(AND(ISNUMBER($G1119),$G1119&gt;=60),MAX(INDEX($D$919:$D1119,202-60):$D1119),"")</f>
        <v/>
      </c>
      <c r="N1119" s="52" t="str">
        <f aca="false">IF(AND(ISNUMBER($G1119),$G1119&gt;=60),MIN(INDEX($E$919:$E1119,202-60):$E1119),"")</f>
        <v/>
      </c>
      <c r="O1119" s="53" t="str">
        <f aca="false">IF(OR(NOT(ISNUMBER($C1119)),NOT(ISNUMBER($M1119)),$M1119=0),"",$C1119/$M1119-1)</f>
        <v/>
      </c>
      <c r="P1119" s="54"/>
      <c r="Q1119" s="53" t="str">
        <f aca="false">IF(NOT(ISNUMBER($P1119)),"",IFERROR(PERCENTRANK($P$5:$P$1204,$P1119),""))</f>
        <v/>
      </c>
    </row>
    <row r="1120" customFormat="false" ht="15" hidden="false" customHeight="false" outlineLevel="0" collapsed="false">
      <c r="A1120" s="55"/>
      <c r="B1120" s="56"/>
      <c r="C1120" s="57"/>
      <c r="D1120" s="56"/>
      <c r="E1120" s="56"/>
      <c r="F1120" s="56"/>
      <c r="G1120" s="50" t="str">
        <f aca="false">IF($A1120="","",IF(ISNUMBER($G1119),$G1119+1,1))</f>
        <v/>
      </c>
      <c r="H1120" s="51" t="str">
        <f aca="false">IF(OR(NOT(ISNUMBER($G1120)),$G1120&lt;2,NOT(ISNUMBER($C1119)),$C1119=0),"",$C1120/$C1119-1)</f>
        <v/>
      </c>
      <c r="I1120" s="52" t="str">
        <f aca="false">IF(AND(ISNUMBER($G1120),$G1120&gt;=MA_SHORT),AVERAGE(INDEX($C$720:$C1120,402-MA_SHORT):$C1120),"")</f>
        <v/>
      </c>
      <c r="J1120" s="52" t="str">
        <f aca="false">IF(AND(ISNUMBER($G1120),$G1120&gt;=MA_MED),AVERAGE(INDEX($C$720:$C1120,402-MA_MED):$C1120),"")</f>
        <v/>
      </c>
      <c r="K1120" s="52" t="str">
        <f aca="false">IF(AND(ISNUMBER($G1120),$G1120&gt;=MA_LONG2),AVERAGE(INDEX($C$720:$C1120,402-MA_LONG2):$C1120),"")</f>
        <v/>
      </c>
      <c r="L1120" s="53" t="str">
        <f aca="false">IF(AND(ISNUMBER($G1120),$G1120&gt;=21),STDEV(INDEX($H$1060:$H1120,62-20):$H1120)*SQRT(245),"")</f>
        <v/>
      </c>
      <c r="M1120" s="52" t="str">
        <f aca="false">IF(AND(ISNUMBER($G1120),$G1120&gt;=60),MAX(INDEX($D$920:$D1120,202-60):$D1120),"")</f>
        <v/>
      </c>
      <c r="N1120" s="52" t="str">
        <f aca="false">IF(AND(ISNUMBER($G1120),$G1120&gt;=60),MIN(INDEX($E$920:$E1120,202-60):$E1120),"")</f>
        <v/>
      </c>
      <c r="O1120" s="53" t="str">
        <f aca="false">IF(OR(NOT(ISNUMBER($C1120)),NOT(ISNUMBER($M1120)),$M1120=0),"",$C1120/$M1120-1)</f>
        <v/>
      </c>
      <c r="P1120" s="54"/>
      <c r="Q1120" s="53" t="str">
        <f aca="false">IF(NOT(ISNUMBER($P1120)),"",IFERROR(PERCENTRANK($P$5:$P$1204,$P1120),""))</f>
        <v/>
      </c>
    </row>
    <row r="1121" customFormat="false" ht="15" hidden="false" customHeight="false" outlineLevel="0" collapsed="false">
      <c r="A1121" s="55"/>
      <c r="B1121" s="56"/>
      <c r="C1121" s="57"/>
      <c r="D1121" s="56"/>
      <c r="E1121" s="56"/>
      <c r="F1121" s="56"/>
      <c r="G1121" s="50" t="str">
        <f aca="false">IF($A1121="","",IF(ISNUMBER($G1120),$G1120+1,1))</f>
        <v/>
      </c>
      <c r="H1121" s="51" t="str">
        <f aca="false">IF(OR(NOT(ISNUMBER($G1121)),$G1121&lt;2,NOT(ISNUMBER($C1120)),$C1120=0),"",$C1121/$C1120-1)</f>
        <v/>
      </c>
      <c r="I1121" s="52" t="str">
        <f aca="false">IF(AND(ISNUMBER($G1121),$G1121&gt;=MA_SHORT),AVERAGE(INDEX($C$721:$C1121,402-MA_SHORT):$C1121),"")</f>
        <v/>
      </c>
      <c r="J1121" s="52" t="str">
        <f aca="false">IF(AND(ISNUMBER($G1121),$G1121&gt;=MA_MED),AVERAGE(INDEX($C$721:$C1121,402-MA_MED):$C1121),"")</f>
        <v/>
      </c>
      <c r="K1121" s="52" t="str">
        <f aca="false">IF(AND(ISNUMBER($G1121),$G1121&gt;=MA_LONG2),AVERAGE(INDEX($C$721:$C1121,402-MA_LONG2):$C1121),"")</f>
        <v/>
      </c>
      <c r="L1121" s="53" t="str">
        <f aca="false">IF(AND(ISNUMBER($G1121),$G1121&gt;=21),STDEV(INDEX($H$1061:$H1121,62-20):$H1121)*SQRT(245),"")</f>
        <v/>
      </c>
      <c r="M1121" s="52" t="str">
        <f aca="false">IF(AND(ISNUMBER($G1121),$G1121&gt;=60),MAX(INDEX($D$921:$D1121,202-60):$D1121),"")</f>
        <v/>
      </c>
      <c r="N1121" s="52" t="str">
        <f aca="false">IF(AND(ISNUMBER($G1121),$G1121&gt;=60),MIN(INDEX($E$921:$E1121,202-60):$E1121),"")</f>
        <v/>
      </c>
      <c r="O1121" s="53" t="str">
        <f aca="false">IF(OR(NOT(ISNUMBER($C1121)),NOT(ISNUMBER($M1121)),$M1121=0),"",$C1121/$M1121-1)</f>
        <v/>
      </c>
      <c r="P1121" s="54"/>
      <c r="Q1121" s="53" t="str">
        <f aca="false">IF(NOT(ISNUMBER($P1121)),"",IFERROR(PERCENTRANK($P$5:$P$1204,$P1121),""))</f>
        <v/>
      </c>
    </row>
    <row r="1122" customFormat="false" ht="15" hidden="false" customHeight="false" outlineLevel="0" collapsed="false">
      <c r="A1122" s="55"/>
      <c r="B1122" s="56"/>
      <c r="C1122" s="57"/>
      <c r="D1122" s="56"/>
      <c r="E1122" s="56"/>
      <c r="F1122" s="56"/>
      <c r="G1122" s="50" t="str">
        <f aca="false">IF($A1122="","",IF(ISNUMBER($G1121),$G1121+1,1))</f>
        <v/>
      </c>
      <c r="H1122" s="51" t="str">
        <f aca="false">IF(OR(NOT(ISNUMBER($G1122)),$G1122&lt;2,NOT(ISNUMBER($C1121)),$C1121=0),"",$C1122/$C1121-1)</f>
        <v/>
      </c>
      <c r="I1122" s="52" t="str">
        <f aca="false">IF(AND(ISNUMBER($G1122),$G1122&gt;=MA_SHORT),AVERAGE(INDEX($C$722:$C1122,402-MA_SHORT):$C1122),"")</f>
        <v/>
      </c>
      <c r="J1122" s="52" t="str">
        <f aca="false">IF(AND(ISNUMBER($G1122),$G1122&gt;=MA_MED),AVERAGE(INDEX($C$722:$C1122,402-MA_MED):$C1122),"")</f>
        <v/>
      </c>
      <c r="K1122" s="52" t="str">
        <f aca="false">IF(AND(ISNUMBER($G1122),$G1122&gt;=MA_LONG2),AVERAGE(INDEX($C$722:$C1122,402-MA_LONG2):$C1122),"")</f>
        <v/>
      </c>
      <c r="L1122" s="53" t="str">
        <f aca="false">IF(AND(ISNUMBER($G1122),$G1122&gt;=21),STDEV(INDEX($H$1062:$H1122,62-20):$H1122)*SQRT(245),"")</f>
        <v/>
      </c>
      <c r="M1122" s="52" t="str">
        <f aca="false">IF(AND(ISNUMBER($G1122),$G1122&gt;=60),MAX(INDEX($D$922:$D1122,202-60):$D1122),"")</f>
        <v/>
      </c>
      <c r="N1122" s="52" t="str">
        <f aca="false">IF(AND(ISNUMBER($G1122),$G1122&gt;=60),MIN(INDEX($E$922:$E1122,202-60):$E1122),"")</f>
        <v/>
      </c>
      <c r="O1122" s="53" t="str">
        <f aca="false">IF(OR(NOT(ISNUMBER($C1122)),NOT(ISNUMBER($M1122)),$M1122=0),"",$C1122/$M1122-1)</f>
        <v/>
      </c>
      <c r="P1122" s="54"/>
      <c r="Q1122" s="53" t="str">
        <f aca="false">IF(NOT(ISNUMBER($P1122)),"",IFERROR(PERCENTRANK($P$5:$P$1204,$P1122),""))</f>
        <v/>
      </c>
    </row>
    <row r="1123" customFormat="false" ht="15" hidden="false" customHeight="false" outlineLevel="0" collapsed="false">
      <c r="A1123" s="55"/>
      <c r="B1123" s="56"/>
      <c r="C1123" s="57"/>
      <c r="D1123" s="56"/>
      <c r="E1123" s="56"/>
      <c r="F1123" s="56"/>
      <c r="G1123" s="50" t="str">
        <f aca="false">IF($A1123="","",IF(ISNUMBER($G1122),$G1122+1,1))</f>
        <v/>
      </c>
      <c r="H1123" s="51" t="str">
        <f aca="false">IF(OR(NOT(ISNUMBER($G1123)),$G1123&lt;2,NOT(ISNUMBER($C1122)),$C1122=0),"",$C1123/$C1122-1)</f>
        <v/>
      </c>
      <c r="I1123" s="52" t="str">
        <f aca="false">IF(AND(ISNUMBER($G1123),$G1123&gt;=MA_SHORT),AVERAGE(INDEX($C$723:$C1123,402-MA_SHORT):$C1123),"")</f>
        <v/>
      </c>
      <c r="J1123" s="52" t="str">
        <f aca="false">IF(AND(ISNUMBER($G1123),$G1123&gt;=MA_MED),AVERAGE(INDEX($C$723:$C1123,402-MA_MED):$C1123),"")</f>
        <v/>
      </c>
      <c r="K1123" s="52" t="str">
        <f aca="false">IF(AND(ISNUMBER($G1123),$G1123&gt;=MA_LONG2),AVERAGE(INDEX($C$723:$C1123,402-MA_LONG2):$C1123),"")</f>
        <v/>
      </c>
      <c r="L1123" s="53" t="str">
        <f aca="false">IF(AND(ISNUMBER($G1123),$G1123&gt;=21),STDEV(INDEX($H$1063:$H1123,62-20):$H1123)*SQRT(245),"")</f>
        <v/>
      </c>
      <c r="M1123" s="52" t="str">
        <f aca="false">IF(AND(ISNUMBER($G1123),$G1123&gt;=60),MAX(INDEX($D$923:$D1123,202-60):$D1123),"")</f>
        <v/>
      </c>
      <c r="N1123" s="52" t="str">
        <f aca="false">IF(AND(ISNUMBER($G1123),$G1123&gt;=60),MIN(INDEX($E$923:$E1123,202-60):$E1123),"")</f>
        <v/>
      </c>
      <c r="O1123" s="53" t="str">
        <f aca="false">IF(OR(NOT(ISNUMBER($C1123)),NOT(ISNUMBER($M1123)),$M1123=0),"",$C1123/$M1123-1)</f>
        <v/>
      </c>
      <c r="P1123" s="54"/>
      <c r="Q1123" s="53" t="str">
        <f aca="false">IF(NOT(ISNUMBER($P1123)),"",IFERROR(PERCENTRANK($P$5:$P$1204,$P1123),""))</f>
        <v/>
      </c>
    </row>
    <row r="1124" customFormat="false" ht="15" hidden="false" customHeight="false" outlineLevel="0" collapsed="false">
      <c r="A1124" s="55"/>
      <c r="B1124" s="56"/>
      <c r="C1124" s="57"/>
      <c r="D1124" s="56"/>
      <c r="E1124" s="56"/>
      <c r="F1124" s="56"/>
      <c r="G1124" s="50" t="str">
        <f aca="false">IF($A1124="","",IF(ISNUMBER($G1123),$G1123+1,1))</f>
        <v/>
      </c>
      <c r="H1124" s="51" t="str">
        <f aca="false">IF(OR(NOT(ISNUMBER($G1124)),$G1124&lt;2,NOT(ISNUMBER($C1123)),$C1123=0),"",$C1124/$C1123-1)</f>
        <v/>
      </c>
      <c r="I1124" s="52" t="str">
        <f aca="false">IF(AND(ISNUMBER($G1124),$G1124&gt;=MA_SHORT),AVERAGE(INDEX($C$724:$C1124,402-MA_SHORT):$C1124),"")</f>
        <v/>
      </c>
      <c r="J1124" s="52" t="str">
        <f aca="false">IF(AND(ISNUMBER($G1124),$G1124&gt;=MA_MED),AVERAGE(INDEX($C$724:$C1124,402-MA_MED):$C1124),"")</f>
        <v/>
      </c>
      <c r="K1124" s="52" t="str">
        <f aca="false">IF(AND(ISNUMBER($G1124),$G1124&gt;=MA_LONG2),AVERAGE(INDEX($C$724:$C1124,402-MA_LONG2):$C1124),"")</f>
        <v/>
      </c>
      <c r="L1124" s="53" t="str">
        <f aca="false">IF(AND(ISNUMBER($G1124),$G1124&gt;=21),STDEV(INDEX($H$1064:$H1124,62-20):$H1124)*SQRT(245),"")</f>
        <v/>
      </c>
      <c r="M1124" s="52" t="str">
        <f aca="false">IF(AND(ISNUMBER($G1124),$G1124&gt;=60),MAX(INDEX($D$924:$D1124,202-60):$D1124),"")</f>
        <v/>
      </c>
      <c r="N1124" s="52" t="str">
        <f aca="false">IF(AND(ISNUMBER($G1124),$G1124&gt;=60),MIN(INDEX($E$924:$E1124,202-60):$E1124),"")</f>
        <v/>
      </c>
      <c r="O1124" s="53" t="str">
        <f aca="false">IF(OR(NOT(ISNUMBER($C1124)),NOT(ISNUMBER($M1124)),$M1124=0),"",$C1124/$M1124-1)</f>
        <v/>
      </c>
      <c r="P1124" s="54"/>
      <c r="Q1124" s="53" t="str">
        <f aca="false">IF(NOT(ISNUMBER($P1124)),"",IFERROR(PERCENTRANK($P$5:$P$1204,$P1124),""))</f>
        <v/>
      </c>
    </row>
    <row r="1125" customFormat="false" ht="15" hidden="false" customHeight="false" outlineLevel="0" collapsed="false">
      <c r="A1125" s="55"/>
      <c r="B1125" s="56"/>
      <c r="C1125" s="57"/>
      <c r="D1125" s="56"/>
      <c r="E1125" s="56"/>
      <c r="F1125" s="56"/>
      <c r="G1125" s="50" t="str">
        <f aca="false">IF($A1125="","",IF(ISNUMBER($G1124),$G1124+1,1))</f>
        <v/>
      </c>
      <c r="H1125" s="51" t="str">
        <f aca="false">IF(OR(NOT(ISNUMBER($G1125)),$G1125&lt;2,NOT(ISNUMBER($C1124)),$C1124=0),"",$C1125/$C1124-1)</f>
        <v/>
      </c>
      <c r="I1125" s="52" t="str">
        <f aca="false">IF(AND(ISNUMBER($G1125),$G1125&gt;=MA_SHORT),AVERAGE(INDEX($C$725:$C1125,402-MA_SHORT):$C1125),"")</f>
        <v/>
      </c>
      <c r="J1125" s="52" t="str">
        <f aca="false">IF(AND(ISNUMBER($G1125),$G1125&gt;=MA_MED),AVERAGE(INDEX($C$725:$C1125,402-MA_MED):$C1125),"")</f>
        <v/>
      </c>
      <c r="K1125" s="52" t="str">
        <f aca="false">IF(AND(ISNUMBER($G1125),$G1125&gt;=MA_LONG2),AVERAGE(INDEX($C$725:$C1125,402-MA_LONG2):$C1125),"")</f>
        <v/>
      </c>
      <c r="L1125" s="53" t="str">
        <f aca="false">IF(AND(ISNUMBER($G1125),$G1125&gt;=21),STDEV(INDEX($H$1065:$H1125,62-20):$H1125)*SQRT(245),"")</f>
        <v/>
      </c>
      <c r="M1125" s="52" t="str">
        <f aca="false">IF(AND(ISNUMBER($G1125),$G1125&gt;=60),MAX(INDEX($D$925:$D1125,202-60):$D1125),"")</f>
        <v/>
      </c>
      <c r="N1125" s="52" t="str">
        <f aca="false">IF(AND(ISNUMBER($G1125),$G1125&gt;=60),MIN(INDEX($E$925:$E1125,202-60):$E1125),"")</f>
        <v/>
      </c>
      <c r="O1125" s="53" t="str">
        <f aca="false">IF(OR(NOT(ISNUMBER($C1125)),NOT(ISNUMBER($M1125)),$M1125=0),"",$C1125/$M1125-1)</f>
        <v/>
      </c>
      <c r="P1125" s="54"/>
      <c r="Q1125" s="53" t="str">
        <f aca="false">IF(NOT(ISNUMBER($P1125)),"",IFERROR(PERCENTRANK($P$5:$P$1204,$P1125),""))</f>
        <v/>
      </c>
    </row>
    <row r="1126" customFormat="false" ht="15" hidden="false" customHeight="false" outlineLevel="0" collapsed="false">
      <c r="A1126" s="55"/>
      <c r="B1126" s="56"/>
      <c r="C1126" s="57"/>
      <c r="D1126" s="56"/>
      <c r="E1126" s="56"/>
      <c r="F1126" s="56"/>
      <c r="G1126" s="50" t="str">
        <f aca="false">IF($A1126="","",IF(ISNUMBER($G1125),$G1125+1,1))</f>
        <v/>
      </c>
      <c r="H1126" s="51" t="str">
        <f aca="false">IF(OR(NOT(ISNUMBER($G1126)),$G1126&lt;2,NOT(ISNUMBER($C1125)),$C1125=0),"",$C1126/$C1125-1)</f>
        <v/>
      </c>
      <c r="I1126" s="52" t="str">
        <f aca="false">IF(AND(ISNUMBER($G1126),$G1126&gt;=MA_SHORT),AVERAGE(INDEX($C$726:$C1126,402-MA_SHORT):$C1126),"")</f>
        <v/>
      </c>
      <c r="J1126" s="52" t="str">
        <f aca="false">IF(AND(ISNUMBER($G1126),$G1126&gt;=MA_MED),AVERAGE(INDEX($C$726:$C1126,402-MA_MED):$C1126),"")</f>
        <v/>
      </c>
      <c r="K1126" s="52" t="str">
        <f aca="false">IF(AND(ISNUMBER($G1126),$G1126&gt;=MA_LONG2),AVERAGE(INDEX($C$726:$C1126,402-MA_LONG2):$C1126),"")</f>
        <v/>
      </c>
      <c r="L1126" s="53" t="str">
        <f aca="false">IF(AND(ISNUMBER($G1126),$G1126&gt;=21),STDEV(INDEX($H$1066:$H1126,62-20):$H1126)*SQRT(245),"")</f>
        <v/>
      </c>
      <c r="M1126" s="52" t="str">
        <f aca="false">IF(AND(ISNUMBER($G1126),$G1126&gt;=60),MAX(INDEX($D$926:$D1126,202-60):$D1126),"")</f>
        <v/>
      </c>
      <c r="N1126" s="52" t="str">
        <f aca="false">IF(AND(ISNUMBER($G1126),$G1126&gt;=60),MIN(INDEX($E$926:$E1126,202-60):$E1126),"")</f>
        <v/>
      </c>
      <c r="O1126" s="53" t="str">
        <f aca="false">IF(OR(NOT(ISNUMBER($C1126)),NOT(ISNUMBER($M1126)),$M1126=0),"",$C1126/$M1126-1)</f>
        <v/>
      </c>
      <c r="P1126" s="54"/>
      <c r="Q1126" s="53" t="str">
        <f aca="false">IF(NOT(ISNUMBER($P1126)),"",IFERROR(PERCENTRANK($P$5:$P$1204,$P1126),""))</f>
        <v/>
      </c>
    </row>
    <row r="1127" customFormat="false" ht="15" hidden="false" customHeight="false" outlineLevel="0" collapsed="false">
      <c r="A1127" s="55"/>
      <c r="B1127" s="56"/>
      <c r="C1127" s="57"/>
      <c r="D1127" s="56"/>
      <c r="E1127" s="56"/>
      <c r="F1127" s="56"/>
      <c r="G1127" s="50" t="str">
        <f aca="false">IF($A1127="","",IF(ISNUMBER($G1126),$G1126+1,1))</f>
        <v/>
      </c>
      <c r="H1127" s="51" t="str">
        <f aca="false">IF(OR(NOT(ISNUMBER($G1127)),$G1127&lt;2,NOT(ISNUMBER($C1126)),$C1126=0),"",$C1127/$C1126-1)</f>
        <v/>
      </c>
      <c r="I1127" s="52" t="str">
        <f aca="false">IF(AND(ISNUMBER($G1127),$G1127&gt;=MA_SHORT),AVERAGE(INDEX($C$727:$C1127,402-MA_SHORT):$C1127),"")</f>
        <v/>
      </c>
      <c r="J1127" s="52" t="str">
        <f aca="false">IF(AND(ISNUMBER($G1127),$G1127&gt;=MA_MED),AVERAGE(INDEX($C$727:$C1127,402-MA_MED):$C1127),"")</f>
        <v/>
      </c>
      <c r="K1127" s="52" t="str">
        <f aca="false">IF(AND(ISNUMBER($G1127),$G1127&gt;=MA_LONG2),AVERAGE(INDEX($C$727:$C1127,402-MA_LONG2):$C1127),"")</f>
        <v/>
      </c>
      <c r="L1127" s="53" t="str">
        <f aca="false">IF(AND(ISNUMBER($G1127),$G1127&gt;=21),STDEV(INDEX($H$1067:$H1127,62-20):$H1127)*SQRT(245),"")</f>
        <v/>
      </c>
      <c r="M1127" s="52" t="str">
        <f aca="false">IF(AND(ISNUMBER($G1127),$G1127&gt;=60),MAX(INDEX($D$927:$D1127,202-60):$D1127),"")</f>
        <v/>
      </c>
      <c r="N1127" s="52" t="str">
        <f aca="false">IF(AND(ISNUMBER($G1127),$G1127&gt;=60),MIN(INDEX($E$927:$E1127,202-60):$E1127),"")</f>
        <v/>
      </c>
      <c r="O1127" s="53" t="str">
        <f aca="false">IF(OR(NOT(ISNUMBER($C1127)),NOT(ISNUMBER($M1127)),$M1127=0),"",$C1127/$M1127-1)</f>
        <v/>
      </c>
      <c r="P1127" s="54"/>
      <c r="Q1127" s="53" t="str">
        <f aca="false">IF(NOT(ISNUMBER($P1127)),"",IFERROR(PERCENTRANK($P$5:$P$1204,$P1127),""))</f>
        <v/>
      </c>
    </row>
    <row r="1128" customFormat="false" ht="15" hidden="false" customHeight="false" outlineLevel="0" collapsed="false">
      <c r="A1128" s="55"/>
      <c r="B1128" s="56"/>
      <c r="C1128" s="57"/>
      <c r="D1128" s="56"/>
      <c r="E1128" s="56"/>
      <c r="F1128" s="56"/>
      <c r="G1128" s="50" t="str">
        <f aca="false">IF($A1128="","",IF(ISNUMBER($G1127),$G1127+1,1))</f>
        <v/>
      </c>
      <c r="H1128" s="51" t="str">
        <f aca="false">IF(OR(NOT(ISNUMBER($G1128)),$G1128&lt;2,NOT(ISNUMBER($C1127)),$C1127=0),"",$C1128/$C1127-1)</f>
        <v/>
      </c>
      <c r="I1128" s="52" t="str">
        <f aca="false">IF(AND(ISNUMBER($G1128),$G1128&gt;=MA_SHORT),AVERAGE(INDEX($C$728:$C1128,402-MA_SHORT):$C1128),"")</f>
        <v/>
      </c>
      <c r="J1128" s="52" t="str">
        <f aca="false">IF(AND(ISNUMBER($G1128),$G1128&gt;=MA_MED),AVERAGE(INDEX($C$728:$C1128,402-MA_MED):$C1128),"")</f>
        <v/>
      </c>
      <c r="K1128" s="52" t="str">
        <f aca="false">IF(AND(ISNUMBER($G1128),$G1128&gt;=MA_LONG2),AVERAGE(INDEX($C$728:$C1128,402-MA_LONG2):$C1128),"")</f>
        <v/>
      </c>
      <c r="L1128" s="53" t="str">
        <f aca="false">IF(AND(ISNUMBER($G1128),$G1128&gt;=21),STDEV(INDEX($H$1068:$H1128,62-20):$H1128)*SQRT(245),"")</f>
        <v/>
      </c>
      <c r="M1128" s="52" t="str">
        <f aca="false">IF(AND(ISNUMBER($G1128),$G1128&gt;=60),MAX(INDEX($D$928:$D1128,202-60):$D1128),"")</f>
        <v/>
      </c>
      <c r="N1128" s="52" t="str">
        <f aca="false">IF(AND(ISNUMBER($G1128),$G1128&gt;=60),MIN(INDEX($E$928:$E1128,202-60):$E1128),"")</f>
        <v/>
      </c>
      <c r="O1128" s="53" t="str">
        <f aca="false">IF(OR(NOT(ISNUMBER($C1128)),NOT(ISNUMBER($M1128)),$M1128=0),"",$C1128/$M1128-1)</f>
        <v/>
      </c>
      <c r="P1128" s="54"/>
      <c r="Q1128" s="53" t="str">
        <f aca="false">IF(NOT(ISNUMBER($P1128)),"",IFERROR(PERCENTRANK($P$5:$P$1204,$P1128),""))</f>
        <v/>
      </c>
    </row>
    <row r="1129" customFormat="false" ht="15" hidden="false" customHeight="false" outlineLevel="0" collapsed="false">
      <c r="A1129" s="55"/>
      <c r="B1129" s="56"/>
      <c r="C1129" s="57"/>
      <c r="D1129" s="56"/>
      <c r="E1129" s="56"/>
      <c r="F1129" s="56"/>
      <c r="G1129" s="50" t="str">
        <f aca="false">IF($A1129="","",IF(ISNUMBER($G1128),$G1128+1,1))</f>
        <v/>
      </c>
      <c r="H1129" s="51" t="str">
        <f aca="false">IF(OR(NOT(ISNUMBER($G1129)),$G1129&lt;2,NOT(ISNUMBER($C1128)),$C1128=0),"",$C1129/$C1128-1)</f>
        <v/>
      </c>
      <c r="I1129" s="52" t="str">
        <f aca="false">IF(AND(ISNUMBER($G1129),$G1129&gt;=MA_SHORT),AVERAGE(INDEX($C$729:$C1129,402-MA_SHORT):$C1129),"")</f>
        <v/>
      </c>
      <c r="J1129" s="52" t="str">
        <f aca="false">IF(AND(ISNUMBER($G1129),$G1129&gt;=MA_MED),AVERAGE(INDEX($C$729:$C1129,402-MA_MED):$C1129),"")</f>
        <v/>
      </c>
      <c r="K1129" s="52" t="str">
        <f aca="false">IF(AND(ISNUMBER($G1129),$G1129&gt;=MA_LONG2),AVERAGE(INDEX($C$729:$C1129,402-MA_LONG2):$C1129),"")</f>
        <v/>
      </c>
      <c r="L1129" s="53" t="str">
        <f aca="false">IF(AND(ISNUMBER($G1129),$G1129&gt;=21),STDEV(INDEX($H$1069:$H1129,62-20):$H1129)*SQRT(245),"")</f>
        <v/>
      </c>
      <c r="M1129" s="52" t="str">
        <f aca="false">IF(AND(ISNUMBER($G1129),$G1129&gt;=60),MAX(INDEX($D$929:$D1129,202-60):$D1129),"")</f>
        <v/>
      </c>
      <c r="N1129" s="52" t="str">
        <f aca="false">IF(AND(ISNUMBER($G1129),$G1129&gt;=60),MIN(INDEX($E$929:$E1129,202-60):$E1129),"")</f>
        <v/>
      </c>
      <c r="O1129" s="53" t="str">
        <f aca="false">IF(OR(NOT(ISNUMBER($C1129)),NOT(ISNUMBER($M1129)),$M1129=0),"",$C1129/$M1129-1)</f>
        <v/>
      </c>
      <c r="P1129" s="54"/>
      <c r="Q1129" s="53" t="str">
        <f aca="false">IF(NOT(ISNUMBER($P1129)),"",IFERROR(PERCENTRANK($P$5:$P$1204,$P1129),""))</f>
        <v/>
      </c>
    </row>
    <row r="1130" customFormat="false" ht="15" hidden="false" customHeight="false" outlineLevel="0" collapsed="false">
      <c r="A1130" s="55"/>
      <c r="B1130" s="56"/>
      <c r="C1130" s="57"/>
      <c r="D1130" s="56"/>
      <c r="E1130" s="56"/>
      <c r="F1130" s="56"/>
      <c r="G1130" s="50" t="str">
        <f aca="false">IF($A1130="","",IF(ISNUMBER($G1129),$G1129+1,1))</f>
        <v/>
      </c>
      <c r="H1130" s="51" t="str">
        <f aca="false">IF(OR(NOT(ISNUMBER($G1130)),$G1130&lt;2,NOT(ISNUMBER($C1129)),$C1129=0),"",$C1130/$C1129-1)</f>
        <v/>
      </c>
      <c r="I1130" s="52" t="str">
        <f aca="false">IF(AND(ISNUMBER($G1130),$G1130&gt;=MA_SHORT),AVERAGE(INDEX($C$730:$C1130,402-MA_SHORT):$C1130),"")</f>
        <v/>
      </c>
      <c r="J1130" s="52" t="str">
        <f aca="false">IF(AND(ISNUMBER($G1130),$G1130&gt;=MA_MED),AVERAGE(INDEX($C$730:$C1130,402-MA_MED):$C1130),"")</f>
        <v/>
      </c>
      <c r="K1130" s="52" t="str">
        <f aca="false">IF(AND(ISNUMBER($G1130),$G1130&gt;=MA_LONG2),AVERAGE(INDEX($C$730:$C1130,402-MA_LONG2):$C1130),"")</f>
        <v/>
      </c>
      <c r="L1130" s="53" t="str">
        <f aca="false">IF(AND(ISNUMBER($G1130),$G1130&gt;=21),STDEV(INDEX($H$1070:$H1130,62-20):$H1130)*SQRT(245),"")</f>
        <v/>
      </c>
      <c r="M1130" s="52" t="str">
        <f aca="false">IF(AND(ISNUMBER($G1130),$G1130&gt;=60),MAX(INDEX($D$930:$D1130,202-60):$D1130),"")</f>
        <v/>
      </c>
      <c r="N1130" s="52" t="str">
        <f aca="false">IF(AND(ISNUMBER($G1130),$G1130&gt;=60),MIN(INDEX($E$930:$E1130,202-60):$E1130),"")</f>
        <v/>
      </c>
      <c r="O1130" s="53" t="str">
        <f aca="false">IF(OR(NOT(ISNUMBER($C1130)),NOT(ISNUMBER($M1130)),$M1130=0),"",$C1130/$M1130-1)</f>
        <v/>
      </c>
      <c r="P1130" s="54"/>
      <c r="Q1130" s="53" t="str">
        <f aca="false">IF(NOT(ISNUMBER($P1130)),"",IFERROR(PERCENTRANK($P$5:$P$1204,$P1130),""))</f>
        <v/>
      </c>
    </row>
    <row r="1131" customFormat="false" ht="15" hidden="false" customHeight="false" outlineLevel="0" collapsed="false">
      <c r="A1131" s="55"/>
      <c r="B1131" s="56"/>
      <c r="C1131" s="57"/>
      <c r="D1131" s="56"/>
      <c r="E1131" s="56"/>
      <c r="F1131" s="56"/>
      <c r="G1131" s="50" t="str">
        <f aca="false">IF($A1131="","",IF(ISNUMBER($G1130),$G1130+1,1))</f>
        <v/>
      </c>
      <c r="H1131" s="51" t="str">
        <f aca="false">IF(OR(NOT(ISNUMBER($G1131)),$G1131&lt;2,NOT(ISNUMBER($C1130)),$C1130=0),"",$C1131/$C1130-1)</f>
        <v/>
      </c>
      <c r="I1131" s="52" t="str">
        <f aca="false">IF(AND(ISNUMBER($G1131),$G1131&gt;=MA_SHORT),AVERAGE(INDEX($C$731:$C1131,402-MA_SHORT):$C1131),"")</f>
        <v/>
      </c>
      <c r="J1131" s="52" t="str">
        <f aca="false">IF(AND(ISNUMBER($G1131),$G1131&gt;=MA_MED),AVERAGE(INDEX($C$731:$C1131,402-MA_MED):$C1131),"")</f>
        <v/>
      </c>
      <c r="K1131" s="52" t="str">
        <f aca="false">IF(AND(ISNUMBER($G1131),$G1131&gt;=MA_LONG2),AVERAGE(INDEX($C$731:$C1131,402-MA_LONG2):$C1131),"")</f>
        <v/>
      </c>
      <c r="L1131" s="53" t="str">
        <f aca="false">IF(AND(ISNUMBER($G1131),$G1131&gt;=21),STDEV(INDEX($H$1071:$H1131,62-20):$H1131)*SQRT(245),"")</f>
        <v/>
      </c>
      <c r="M1131" s="52" t="str">
        <f aca="false">IF(AND(ISNUMBER($G1131),$G1131&gt;=60),MAX(INDEX($D$931:$D1131,202-60):$D1131),"")</f>
        <v/>
      </c>
      <c r="N1131" s="52" t="str">
        <f aca="false">IF(AND(ISNUMBER($G1131),$G1131&gt;=60),MIN(INDEX($E$931:$E1131,202-60):$E1131),"")</f>
        <v/>
      </c>
      <c r="O1131" s="53" t="str">
        <f aca="false">IF(OR(NOT(ISNUMBER($C1131)),NOT(ISNUMBER($M1131)),$M1131=0),"",$C1131/$M1131-1)</f>
        <v/>
      </c>
      <c r="P1131" s="54"/>
      <c r="Q1131" s="53" t="str">
        <f aca="false">IF(NOT(ISNUMBER($P1131)),"",IFERROR(PERCENTRANK($P$5:$P$1204,$P1131),""))</f>
        <v/>
      </c>
    </row>
    <row r="1132" customFormat="false" ht="15" hidden="false" customHeight="false" outlineLevel="0" collapsed="false">
      <c r="A1132" s="55"/>
      <c r="B1132" s="56"/>
      <c r="C1132" s="57"/>
      <c r="D1132" s="56"/>
      <c r="E1132" s="56"/>
      <c r="F1132" s="56"/>
      <c r="G1132" s="50" t="str">
        <f aca="false">IF($A1132="","",IF(ISNUMBER($G1131),$G1131+1,1))</f>
        <v/>
      </c>
      <c r="H1132" s="51" t="str">
        <f aca="false">IF(OR(NOT(ISNUMBER($G1132)),$G1132&lt;2,NOT(ISNUMBER($C1131)),$C1131=0),"",$C1132/$C1131-1)</f>
        <v/>
      </c>
      <c r="I1132" s="52" t="str">
        <f aca="false">IF(AND(ISNUMBER($G1132),$G1132&gt;=MA_SHORT),AVERAGE(INDEX($C$732:$C1132,402-MA_SHORT):$C1132),"")</f>
        <v/>
      </c>
      <c r="J1132" s="52" t="str">
        <f aca="false">IF(AND(ISNUMBER($G1132),$G1132&gt;=MA_MED),AVERAGE(INDEX($C$732:$C1132,402-MA_MED):$C1132),"")</f>
        <v/>
      </c>
      <c r="K1132" s="52" t="str">
        <f aca="false">IF(AND(ISNUMBER($G1132),$G1132&gt;=MA_LONG2),AVERAGE(INDEX($C$732:$C1132,402-MA_LONG2):$C1132),"")</f>
        <v/>
      </c>
      <c r="L1132" s="53" t="str">
        <f aca="false">IF(AND(ISNUMBER($G1132),$G1132&gt;=21),STDEV(INDEX($H$1072:$H1132,62-20):$H1132)*SQRT(245),"")</f>
        <v/>
      </c>
      <c r="M1132" s="52" t="str">
        <f aca="false">IF(AND(ISNUMBER($G1132),$G1132&gt;=60),MAX(INDEX($D$932:$D1132,202-60):$D1132),"")</f>
        <v/>
      </c>
      <c r="N1132" s="52" t="str">
        <f aca="false">IF(AND(ISNUMBER($G1132),$G1132&gt;=60),MIN(INDEX($E$932:$E1132,202-60):$E1132),"")</f>
        <v/>
      </c>
      <c r="O1132" s="53" t="str">
        <f aca="false">IF(OR(NOT(ISNUMBER($C1132)),NOT(ISNUMBER($M1132)),$M1132=0),"",$C1132/$M1132-1)</f>
        <v/>
      </c>
      <c r="P1132" s="54"/>
      <c r="Q1132" s="53" t="str">
        <f aca="false">IF(NOT(ISNUMBER($P1132)),"",IFERROR(PERCENTRANK($P$5:$P$1204,$P1132),""))</f>
        <v/>
      </c>
    </row>
    <row r="1133" customFormat="false" ht="15" hidden="false" customHeight="false" outlineLevel="0" collapsed="false">
      <c r="A1133" s="55"/>
      <c r="B1133" s="56"/>
      <c r="C1133" s="57"/>
      <c r="D1133" s="56"/>
      <c r="E1133" s="56"/>
      <c r="F1133" s="56"/>
      <c r="G1133" s="50" t="str">
        <f aca="false">IF($A1133="","",IF(ISNUMBER($G1132),$G1132+1,1))</f>
        <v/>
      </c>
      <c r="H1133" s="51" t="str">
        <f aca="false">IF(OR(NOT(ISNUMBER($G1133)),$G1133&lt;2,NOT(ISNUMBER($C1132)),$C1132=0),"",$C1133/$C1132-1)</f>
        <v/>
      </c>
      <c r="I1133" s="52" t="str">
        <f aca="false">IF(AND(ISNUMBER($G1133),$G1133&gt;=MA_SHORT),AVERAGE(INDEX($C$733:$C1133,402-MA_SHORT):$C1133),"")</f>
        <v/>
      </c>
      <c r="J1133" s="52" t="str">
        <f aca="false">IF(AND(ISNUMBER($G1133),$G1133&gt;=MA_MED),AVERAGE(INDEX($C$733:$C1133,402-MA_MED):$C1133),"")</f>
        <v/>
      </c>
      <c r="K1133" s="52" t="str">
        <f aca="false">IF(AND(ISNUMBER($G1133),$G1133&gt;=MA_LONG2),AVERAGE(INDEX($C$733:$C1133,402-MA_LONG2):$C1133),"")</f>
        <v/>
      </c>
      <c r="L1133" s="53" t="str">
        <f aca="false">IF(AND(ISNUMBER($G1133),$G1133&gt;=21),STDEV(INDEX($H$1073:$H1133,62-20):$H1133)*SQRT(245),"")</f>
        <v/>
      </c>
      <c r="M1133" s="52" t="str">
        <f aca="false">IF(AND(ISNUMBER($G1133),$G1133&gt;=60),MAX(INDEX($D$933:$D1133,202-60):$D1133),"")</f>
        <v/>
      </c>
      <c r="N1133" s="52" t="str">
        <f aca="false">IF(AND(ISNUMBER($G1133),$G1133&gt;=60),MIN(INDEX($E$933:$E1133,202-60):$E1133),"")</f>
        <v/>
      </c>
      <c r="O1133" s="53" t="str">
        <f aca="false">IF(OR(NOT(ISNUMBER($C1133)),NOT(ISNUMBER($M1133)),$M1133=0),"",$C1133/$M1133-1)</f>
        <v/>
      </c>
      <c r="P1133" s="54"/>
      <c r="Q1133" s="53" t="str">
        <f aca="false">IF(NOT(ISNUMBER($P1133)),"",IFERROR(PERCENTRANK($P$5:$P$1204,$P1133),""))</f>
        <v/>
      </c>
    </row>
    <row r="1134" customFormat="false" ht="15" hidden="false" customHeight="false" outlineLevel="0" collapsed="false">
      <c r="A1134" s="55"/>
      <c r="B1134" s="56"/>
      <c r="C1134" s="57"/>
      <c r="D1134" s="56"/>
      <c r="E1134" s="56"/>
      <c r="F1134" s="56"/>
      <c r="G1134" s="50" t="str">
        <f aca="false">IF($A1134="","",IF(ISNUMBER($G1133),$G1133+1,1))</f>
        <v/>
      </c>
      <c r="H1134" s="51" t="str">
        <f aca="false">IF(OR(NOT(ISNUMBER($G1134)),$G1134&lt;2,NOT(ISNUMBER($C1133)),$C1133=0),"",$C1134/$C1133-1)</f>
        <v/>
      </c>
      <c r="I1134" s="52" t="str">
        <f aca="false">IF(AND(ISNUMBER($G1134),$G1134&gt;=MA_SHORT),AVERAGE(INDEX($C$734:$C1134,402-MA_SHORT):$C1134),"")</f>
        <v/>
      </c>
      <c r="J1134" s="52" t="str">
        <f aca="false">IF(AND(ISNUMBER($G1134),$G1134&gt;=MA_MED),AVERAGE(INDEX($C$734:$C1134,402-MA_MED):$C1134),"")</f>
        <v/>
      </c>
      <c r="K1134" s="52" t="str">
        <f aca="false">IF(AND(ISNUMBER($G1134),$G1134&gt;=MA_LONG2),AVERAGE(INDEX($C$734:$C1134,402-MA_LONG2):$C1134),"")</f>
        <v/>
      </c>
      <c r="L1134" s="53" t="str">
        <f aca="false">IF(AND(ISNUMBER($G1134),$G1134&gt;=21),STDEV(INDEX($H$1074:$H1134,62-20):$H1134)*SQRT(245),"")</f>
        <v/>
      </c>
      <c r="M1134" s="52" t="str">
        <f aca="false">IF(AND(ISNUMBER($G1134),$G1134&gt;=60),MAX(INDEX($D$934:$D1134,202-60):$D1134),"")</f>
        <v/>
      </c>
      <c r="N1134" s="52" t="str">
        <f aca="false">IF(AND(ISNUMBER($G1134),$G1134&gt;=60),MIN(INDEX($E$934:$E1134,202-60):$E1134),"")</f>
        <v/>
      </c>
      <c r="O1134" s="53" t="str">
        <f aca="false">IF(OR(NOT(ISNUMBER($C1134)),NOT(ISNUMBER($M1134)),$M1134=0),"",$C1134/$M1134-1)</f>
        <v/>
      </c>
      <c r="P1134" s="54"/>
      <c r="Q1134" s="53" t="str">
        <f aca="false">IF(NOT(ISNUMBER($P1134)),"",IFERROR(PERCENTRANK($P$5:$P$1204,$P1134),""))</f>
        <v/>
      </c>
    </row>
    <row r="1135" customFormat="false" ht="15" hidden="false" customHeight="false" outlineLevel="0" collapsed="false">
      <c r="A1135" s="55"/>
      <c r="B1135" s="56"/>
      <c r="C1135" s="57"/>
      <c r="D1135" s="56"/>
      <c r="E1135" s="56"/>
      <c r="F1135" s="56"/>
      <c r="G1135" s="50" t="str">
        <f aca="false">IF($A1135="","",IF(ISNUMBER($G1134),$G1134+1,1))</f>
        <v/>
      </c>
      <c r="H1135" s="51" t="str">
        <f aca="false">IF(OR(NOT(ISNUMBER($G1135)),$G1135&lt;2,NOT(ISNUMBER($C1134)),$C1134=0),"",$C1135/$C1134-1)</f>
        <v/>
      </c>
      <c r="I1135" s="52" t="str">
        <f aca="false">IF(AND(ISNUMBER($G1135),$G1135&gt;=MA_SHORT),AVERAGE(INDEX($C$735:$C1135,402-MA_SHORT):$C1135),"")</f>
        <v/>
      </c>
      <c r="J1135" s="52" t="str">
        <f aca="false">IF(AND(ISNUMBER($G1135),$G1135&gt;=MA_MED),AVERAGE(INDEX($C$735:$C1135,402-MA_MED):$C1135),"")</f>
        <v/>
      </c>
      <c r="K1135" s="52" t="str">
        <f aca="false">IF(AND(ISNUMBER($G1135),$G1135&gt;=MA_LONG2),AVERAGE(INDEX($C$735:$C1135,402-MA_LONG2):$C1135),"")</f>
        <v/>
      </c>
      <c r="L1135" s="53" t="str">
        <f aca="false">IF(AND(ISNUMBER($G1135),$G1135&gt;=21),STDEV(INDEX($H$1075:$H1135,62-20):$H1135)*SQRT(245),"")</f>
        <v/>
      </c>
      <c r="M1135" s="52" t="str">
        <f aca="false">IF(AND(ISNUMBER($G1135),$G1135&gt;=60),MAX(INDEX($D$935:$D1135,202-60):$D1135),"")</f>
        <v/>
      </c>
      <c r="N1135" s="52" t="str">
        <f aca="false">IF(AND(ISNUMBER($G1135),$G1135&gt;=60),MIN(INDEX($E$935:$E1135,202-60):$E1135),"")</f>
        <v/>
      </c>
      <c r="O1135" s="53" t="str">
        <f aca="false">IF(OR(NOT(ISNUMBER($C1135)),NOT(ISNUMBER($M1135)),$M1135=0),"",$C1135/$M1135-1)</f>
        <v/>
      </c>
      <c r="P1135" s="54"/>
      <c r="Q1135" s="53" t="str">
        <f aca="false">IF(NOT(ISNUMBER($P1135)),"",IFERROR(PERCENTRANK($P$5:$P$1204,$P1135),""))</f>
        <v/>
      </c>
    </row>
    <row r="1136" customFormat="false" ht="15" hidden="false" customHeight="false" outlineLevel="0" collapsed="false">
      <c r="A1136" s="55"/>
      <c r="B1136" s="56"/>
      <c r="C1136" s="57"/>
      <c r="D1136" s="56"/>
      <c r="E1136" s="56"/>
      <c r="F1136" s="56"/>
      <c r="G1136" s="50" t="str">
        <f aca="false">IF($A1136="","",IF(ISNUMBER($G1135),$G1135+1,1))</f>
        <v/>
      </c>
      <c r="H1136" s="51" t="str">
        <f aca="false">IF(OR(NOT(ISNUMBER($G1136)),$G1136&lt;2,NOT(ISNUMBER($C1135)),$C1135=0),"",$C1136/$C1135-1)</f>
        <v/>
      </c>
      <c r="I1136" s="52" t="str">
        <f aca="false">IF(AND(ISNUMBER($G1136),$G1136&gt;=MA_SHORT),AVERAGE(INDEX($C$736:$C1136,402-MA_SHORT):$C1136),"")</f>
        <v/>
      </c>
      <c r="J1136" s="52" t="str">
        <f aca="false">IF(AND(ISNUMBER($G1136),$G1136&gt;=MA_MED),AVERAGE(INDEX($C$736:$C1136,402-MA_MED):$C1136),"")</f>
        <v/>
      </c>
      <c r="K1136" s="52" t="str">
        <f aca="false">IF(AND(ISNUMBER($G1136),$G1136&gt;=MA_LONG2),AVERAGE(INDEX($C$736:$C1136,402-MA_LONG2):$C1136),"")</f>
        <v/>
      </c>
      <c r="L1136" s="53" t="str">
        <f aca="false">IF(AND(ISNUMBER($G1136),$G1136&gt;=21),STDEV(INDEX($H$1076:$H1136,62-20):$H1136)*SQRT(245),"")</f>
        <v/>
      </c>
      <c r="M1136" s="52" t="str">
        <f aca="false">IF(AND(ISNUMBER($G1136),$G1136&gt;=60),MAX(INDEX($D$936:$D1136,202-60):$D1136),"")</f>
        <v/>
      </c>
      <c r="N1136" s="52" t="str">
        <f aca="false">IF(AND(ISNUMBER($G1136),$G1136&gt;=60),MIN(INDEX($E$936:$E1136,202-60):$E1136),"")</f>
        <v/>
      </c>
      <c r="O1136" s="53" t="str">
        <f aca="false">IF(OR(NOT(ISNUMBER($C1136)),NOT(ISNUMBER($M1136)),$M1136=0),"",$C1136/$M1136-1)</f>
        <v/>
      </c>
      <c r="P1136" s="54"/>
      <c r="Q1136" s="53" t="str">
        <f aca="false">IF(NOT(ISNUMBER($P1136)),"",IFERROR(PERCENTRANK($P$5:$P$1204,$P1136),""))</f>
        <v/>
      </c>
    </row>
    <row r="1137" customFormat="false" ht="15" hidden="false" customHeight="false" outlineLevel="0" collapsed="false">
      <c r="A1137" s="55"/>
      <c r="B1137" s="56"/>
      <c r="C1137" s="57"/>
      <c r="D1137" s="56"/>
      <c r="E1137" s="56"/>
      <c r="F1137" s="56"/>
      <c r="G1137" s="50" t="str">
        <f aca="false">IF($A1137="","",IF(ISNUMBER($G1136),$G1136+1,1))</f>
        <v/>
      </c>
      <c r="H1137" s="51" t="str">
        <f aca="false">IF(OR(NOT(ISNUMBER($G1137)),$G1137&lt;2,NOT(ISNUMBER($C1136)),$C1136=0),"",$C1137/$C1136-1)</f>
        <v/>
      </c>
      <c r="I1137" s="52" t="str">
        <f aca="false">IF(AND(ISNUMBER($G1137),$G1137&gt;=MA_SHORT),AVERAGE(INDEX($C$737:$C1137,402-MA_SHORT):$C1137),"")</f>
        <v/>
      </c>
      <c r="J1137" s="52" t="str">
        <f aca="false">IF(AND(ISNUMBER($G1137),$G1137&gt;=MA_MED),AVERAGE(INDEX($C$737:$C1137,402-MA_MED):$C1137),"")</f>
        <v/>
      </c>
      <c r="K1137" s="52" t="str">
        <f aca="false">IF(AND(ISNUMBER($G1137),$G1137&gt;=MA_LONG2),AVERAGE(INDEX($C$737:$C1137,402-MA_LONG2):$C1137),"")</f>
        <v/>
      </c>
      <c r="L1137" s="53" t="str">
        <f aca="false">IF(AND(ISNUMBER($G1137),$G1137&gt;=21),STDEV(INDEX($H$1077:$H1137,62-20):$H1137)*SQRT(245),"")</f>
        <v/>
      </c>
      <c r="M1137" s="52" t="str">
        <f aca="false">IF(AND(ISNUMBER($G1137),$G1137&gt;=60),MAX(INDEX($D$937:$D1137,202-60):$D1137),"")</f>
        <v/>
      </c>
      <c r="N1137" s="52" t="str">
        <f aca="false">IF(AND(ISNUMBER($G1137),$G1137&gt;=60),MIN(INDEX($E$937:$E1137,202-60):$E1137),"")</f>
        <v/>
      </c>
      <c r="O1137" s="53" t="str">
        <f aca="false">IF(OR(NOT(ISNUMBER($C1137)),NOT(ISNUMBER($M1137)),$M1137=0),"",$C1137/$M1137-1)</f>
        <v/>
      </c>
      <c r="P1137" s="54"/>
      <c r="Q1137" s="53" t="str">
        <f aca="false">IF(NOT(ISNUMBER($P1137)),"",IFERROR(PERCENTRANK($P$5:$P$1204,$P1137),""))</f>
        <v/>
      </c>
    </row>
    <row r="1138" customFormat="false" ht="15" hidden="false" customHeight="false" outlineLevel="0" collapsed="false">
      <c r="A1138" s="55"/>
      <c r="B1138" s="56"/>
      <c r="C1138" s="57"/>
      <c r="D1138" s="56"/>
      <c r="E1138" s="56"/>
      <c r="F1138" s="56"/>
      <c r="G1138" s="50" t="str">
        <f aca="false">IF($A1138="","",IF(ISNUMBER($G1137),$G1137+1,1))</f>
        <v/>
      </c>
      <c r="H1138" s="51" t="str">
        <f aca="false">IF(OR(NOT(ISNUMBER($G1138)),$G1138&lt;2,NOT(ISNUMBER($C1137)),$C1137=0),"",$C1138/$C1137-1)</f>
        <v/>
      </c>
      <c r="I1138" s="52" t="str">
        <f aca="false">IF(AND(ISNUMBER($G1138),$G1138&gt;=MA_SHORT),AVERAGE(INDEX($C$738:$C1138,402-MA_SHORT):$C1138),"")</f>
        <v/>
      </c>
      <c r="J1138" s="52" t="str">
        <f aca="false">IF(AND(ISNUMBER($G1138),$G1138&gt;=MA_MED),AVERAGE(INDEX($C$738:$C1138,402-MA_MED):$C1138),"")</f>
        <v/>
      </c>
      <c r="K1138" s="52" t="str">
        <f aca="false">IF(AND(ISNUMBER($G1138),$G1138&gt;=MA_LONG2),AVERAGE(INDEX($C$738:$C1138,402-MA_LONG2):$C1138),"")</f>
        <v/>
      </c>
      <c r="L1138" s="53" t="str">
        <f aca="false">IF(AND(ISNUMBER($G1138),$G1138&gt;=21),STDEV(INDEX($H$1078:$H1138,62-20):$H1138)*SQRT(245),"")</f>
        <v/>
      </c>
      <c r="M1138" s="52" t="str">
        <f aca="false">IF(AND(ISNUMBER($G1138),$G1138&gt;=60),MAX(INDEX($D$938:$D1138,202-60):$D1138),"")</f>
        <v/>
      </c>
      <c r="N1138" s="52" t="str">
        <f aca="false">IF(AND(ISNUMBER($G1138),$G1138&gt;=60),MIN(INDEX($E$938:$E1138,202-60):$E1138),"")</f>
        <v/>
      </c>
      <c r="O1138" s="53" t="str">
        <f aca="false">IF(OR(NOT(ISNUMBER($C1138)),NOT(ISNUMBER($M1138)),$M1138=0),"",$C1138/$M1138-1)</f>
        <v/>
      </c>
      <c r="P1138" s="54"/>
      <c r="Q1138" s="53" t="str">
        <f aca="false">IF(NOT(ISNUMBER($P1138)),"",IFERROR(PERCENTRANK($P$5:$P$1204,$P1138),""))</f>
        <v/>
      </c>
    </row>
    <row r="1139" customFormat="false" ht="15" hidden="false" customHeight="false" outlineLevel="0" collapsed="false">
      <c r="A1139" s="55"/>
      <c r="B1139" s="56"/>
      <c r="C1139" s="57"/>
      <c r="D1139" s="56"/>
      <c r="E1139" s="56"/>
      <c r="F1139" s="56"/>
      <c r="G1139" s="50" t="str">
        <f aca="false">IF($A1139="","",IF(ISNUMBER($G1138),$G1138+1,1))</f>
        <v/>
      </c>
      <c r="H1139" s="51" t="str">
        <f aca="false">IF(OR(NOT(ISNUMBER($G1139)),$G1139&lt;2,NOT(ISNUMBER($C1138)),$C1138=0),"",$C1139/$C1138-1)</f>
        <v/>
      </c>
      <c r="I1139" s="52" t="str">
        <f aca="false">IF(AND(ISNUMBER($G1139),$G1139&gt;=MA_SHORT),AVERAGE(INDEX($C$739:$C1139,402-MA_SHORT):$C1139),"")</f>
        <v/>
      </c>
      <c r="J1139" s="52" t="str">
        <f aca="false">IF(AND(ISNUMBER($G1139),$G1139&gt;=MA_MED),AVERAGE(INDEX($C$739:$C1139,402-MA_MED):$C1139),"")</f>
        <v/>
      </c>
      <c r="K1139" s="52" t="str">
        <f aca="false">IF(AND(ISNUMBER($G1139),$G1139&gt;=MA_LONG2),AVERAGE(INDEX($C$739:$C1139,402-MA_LONG2):$C1139),"")</f>
        <v/>
      </c>
      <c r="L1139" s="53" t="str">
        <f aca="false">IF(AND(ISNUMBER($G1139),$G1139&gt;=21),STDEV(INDEX($H$1079:$H1139,62-20):$H1139)*SQRT(245),"")</f>
        <v/>
      </c>
      <c r="M1139" s="52" t="str">
        <f aca="false">IF(AND(ISNUMBER($G1139),$G1139&gt;=60),MAX(INDEX($D$939:$D1139,202-60):$D1139),"")</f>
        <v/>
      </c>
      <c r="N1139" s="52" t="str">
        <f aca="false">IF(AND(ISNUMBER($G1139),$G1139&gt;=60),MIN(INDEX($E$939:$E1139,202-60):$E1139),"")</f>
        <v/>
      </c>
      <c r="O1139" s="53" t="str">
        <f aca="false">IF(OR(NOT(ISNUMBER($C1139)),NOT(ISNUMBER($M1139)),$M1139=0),"",$C1139/$M1139-1)</f>
        <v/>
      </c>
      <c r="P1139" s="54"/>
      <c r="Q1139" s="53" t="str">
        <f aca="false">IF(NOT(ISNUMBER($P1139)),"",IFERROR(PERCENTRANK($P$5:$P$1204,$P1139),""))</f>
        <v/>
      </c>
    </row>
    <row r="1140" customFormat="false" ht="15" hidden="false" customHeight="false" outlineLevel="0" collapsed="false">
      <c r="A1140" s="55"/>
      <c r="B1140" s="56"/>
      <c r="C1140" s="57"/>
      <c r="D1140" s="56"/>
      <c r="E1140" s="56"/>
      <c r="F1140" s="56"/>
      <c r="G1140" s="50" t="str">
        <f aca="false">IF($A1140="","",IF(ISNUMBER($G1139),$G1139+1,1))</f>
        <v/>
      </c>
      <c r="H1140" s="51" t="str">
        <f aca="false">IF(OR(NOT(ISNUMBER($G1140)),$G1140&lt;2,NOT(ISNUMBER($C1139)),$C1139=0),"",$C1140/$C1139-1)</f>
        <v/>
      </c>
      <c r="I1140" s="52" t="str">
        <f aca="false">IF(AND(ISNUMBER($G1140),$G1140&gt;=MA_SHORT),AVERAGE(INDEX($C$740:$C1140,402-MA_SHORT):$C1140),"")</f>
        <v/>
      </c>
      <c r="J1140" s="52" t="str">
        <f aca="false">IF(AND(ISNUMBER($G1140),$G1140&gt;=MA_MED),AVERAGE(INDEX($C$740:$C1140,402-MA_MED):$C1140),"")</f>
        <v/>
      </c>
      <c r="K1140" s="52" t="str">
        <f aca="false">IF(AND(ISNUMBER($G1140),$G1140&gt;=MA_LONG2),AVERAGE(INDEX($C$740:$C1140,402-MA_LONG2):$C1140),"")</f>
        <v/>
      </c>
      <c r="L1140" s="53" t="str">
        <f aca="false">IF(AND(ISNUMBER($G1140),$G1140&gt;=21),STDEV(INDEX($H$1080:$H1140,62-20):$H1140)*SQRT(245),"")</f>
        <v/>
      </c>
      <c r="M1140" s="52" t="str">
        <f aca="false">IF(AND(ISNUMBER($G1140),$G1140&gt;=60),MAX(INDEX($D$940:$D1140,202-60):$D1140),"")</f>
        <v/>
      </c>
      <c r="N1140" s="52" t="str">
        <f aca="false">IF(AND(ISNUMBER($G1140),$G1140&gt;=60),MIN(INDEX($E$940:$E1140,202-60):$E1140),"")</f>
        <v/>
      </c>
      <c r="O1140" s="53" t="str">
        <f aca="false">IF(OR(NOT(ISNUMBER($C1140)),NOT(ISNUMBER($M1140)),$M1140=0),"",$C1140/$M1140-1)</f>
        <v/>
      </c>
      <c r="P1140" s="54"/>
      <c r="Q1140" s="53" t="str">
        <f aca="false">IF(NOT(ISNUMBER($P1140)),"",IFERROR(PERCENTRANK($P$5:$P$1204,$P1140),""))</f>
        <v/>
      </c>
    </row>
    <row r="1141" customFormat="false" ht="15" hidden="false" customHeight="false" outlineLevel="0" collapsed="false">
      <c r="A1141" s="55"/>
      <c r="B1141" s="56"/>
      <c r="C1141" s="57"/>
      <c r="D1141" s="56"/>
      <c r="E1141" s="56"/>
      <c r="F1141" s="56"/>
      <c r="G1141" s="50" t="str">
        <f aca="false">IF($A1141="","",IF(ISNUMBER($G1140),$G1140+1,1))</f>
        <v/>
      </c>
      <c r="H1141" s="51" t="str">
        <f aca="false">IF(OR(NOT(ISNUMBER($G1141)),$G1141&lt;2,NOT(ISNUMBER($C1140)),$C1140=0),"",$C1141/$C1140-1)</f>
        <v/>
      </c>
      <c r="I1141" s="52" t="str">
        <f aca="false">IF(AND(ISNUMBER($G1141),$G1141&gt;=MA_SHORT),AVERAGE(INDEX($C$741:$C1141,402-MA_SHORT):$C1141),"")</f>
        <v/>
      </c>
      <c r="J1141" s="52" t="str">
        <f aca="false">IF(AND(ISNUMBER($G1141),$G1141&gt;=MA_MED),AVERAGE(INDEX($C$741:$C1141,402-MA_MED):$C1141),"")</f>
        <v/>
      </c>
      <c r="K1141" s="52" t="str">
        <f aca="false">IF(AND(ISNUMBER($G1141),$G1141&gt;=MA_LONG2),AVERAGE(INDEX($C$741:$C1141,402-MA_LONG2):$C1141),"")</f>
        <v/>
      </c>
      <c r="L1141" s="53" t="str">
        <f aca="false">IF(AND(ISNUMBER($G1141),$G1141&gt;=21),STDEV(INDEX($H$1081:$H1141,62-20):$H1141)*SQRT(245),"")</f>
        <v/>
      </c>
      <c r="M1141" s="52" t="str">
        <f aca="false">IF(AND(ISNUMBER($G1141),$G1141&gt;=60),MAX(INDEX($D$941:$D1141,202-60):$D1141),"")</f>
        <v/>
      </c>
      <c r="N1141" s="52" t="str">
        <f aca="false">IF(AND(ISNUMBER($G1141),$G1141&gt;=60),MIN(INDEX($E$941:$E1141,202-60):$E1141),"")</f>
        <v/>
      </c>
      <c r="O1141" s="53" t="str">
        <f aca="false">IF(OR(NOT(ISNUMBER($C1141)),NOT(ISNUMBER($M1141)),$M1141=0),"",$C1141/$M1141-1)</f>
        <v/>
      </c>
      <c r="P1141" s="54"/>
      <c r="Q1141" s="53" t="str">
        <f aca="false">IF(NOT(ISNUMBER($P1141)),"",IFERROR(PERCENTRANK($P$5:$P$1204,$P1141),""))</f>
        <v/>
      </c>
    </row>
    <row r="1142" customFormat="false" ht="15" hidden="false" customHeight="false" outlineLevel="0" collapsed="false">
      <c r="A1142" s="55"/>
      <c r="B1142" s="56"/>
      <c r="C1142" s="57"/>
      <c r="D1142" s="56"/>
      <c r="E1142" s="56"/>
      <c r="F1142" s="56"/>
      <c r="G1142" s="50" t="str">
        <f aca="false">IF($A1142="","",IF(ISNUMBER($G1141),$G1141+1,1))</f>
        <v/>
      </c>
      <c r="H1142" s="51" t="str">
        <f aca="false">IF(OR(NOT(ISNUMBER($G1142)),$G1142&lt;2,NOT(ISNUMBER($C1141)),$C1141=0),"",$C1142/$C1141-1)</f>
        <v/>
      </c>
      <c r="I1142" s="52" t="str">
        <f aca="false">IF(AND(ISNUMBER($G1142),$G1142&gt;=MA_SHORT),AVERAGE(INDEX($C$742:$C1142,402-MA_SHORT):$C1142),"")</f>
        <v/>
      </c>
      <c r="J1142" s="52" t="str">
        <f aca="false">IF(AND(ISNUMBER($G1142),$G1142&gt;=MA_MED),AVERAGE(INDEX($C$742:$C1142,402-MA_MED):$C1142),"")</f>
        <v/>
      </c>
      <c r="K1142" s="52" t="str">
        <f aca="false">IF(AND(ISNUMBER($G1142),$G1142&gt;=MA_LONG2),AVERAGE(INDEX($C$742:$C1142,402-MA_LONG2):$C1142),"")</f>
        <v/>
      </c>
      <c r="L1142" s="53" t="str">
        <f aca="false">IF(AND(ISNUMBER($G1142),$G1142&gt;=21),STDEV(INDEX($H$1082:$H1142,62-20):$H1142)*SQRT(245),"")</f>
        <v/>
      </c>
      <c r="M1142" s="52" t="str">
        <f aca="false">IF(AND(ISNUMBER($G1142),$G1142&gt;=60),MAX(INDEX($D$942:$D1142,202-60):$D1142),"")</f>
        <v/>
      </c>
      <c r="N1142" s="52" t="str">
        <f aca="false">IF(AND(ISNUMBER($G1142),$G1142&gt;=60),MIN(INDEX($E$942:$E1142,202-60):$E1142),"")</f>
        <v/>
      </c>
      <c r="O1142" s="53" t="str">
        <f aca="false">IF(OR(NOT(ISNUMBER($C1142)),NOT(ISNUMBER($M1142)),$M1142=0),"",$C1142/$M1142-1)</f>
        <v/>
      </c>
      <c r="P1142" s="54"/>
      <c r="Q1142" s="53" t="str">
        <f aca="false">IF(NOT(ISNUMBER($P1142)),"",IFERROR(PERCENTRANK($P$5:$P$1204,$P1142),""))</f>
        <v/>
      </c>
    </row>
    <row r="1143" customFormat="false" ht="15" hidden="false" customHeight="false" outlineLevel="0" collapsed="false">
      <c r="A1143" s="55"/>
      <c r="B1143" s="56"/>
      <c r="C1143" s="57"/>
      <c r="D1143" s="56"/>
      <c r="E1143" s="56"/>
      <c r="F1143" s="56"/>
      <c r="G1143" s="50" t="str">
        <f aca="false">IF($A1143="","",IF(ISNUMBER($G1142),$G1142+1,1))</f>
        <v/>
      </c>
      <c r="H1143" s="51" t="str">
        <f aca="false">IF(OR(NOT(ISNUMBER($G1143)),$G1143&lt;2,NOT(ISNUMBER($C1142)),$C1142=0),"",$C1143/$C1142-1)</f>
        <v/>
      </c>
      <c r="I1143" s="52" t="str">
        <f aca="false">IF(AND(ISNUMBER($G1143),$G1143&gt;=MA_SHORT),AVERAGE(INDEX($C$743:$C1143,402-MA_SHORT):$C1143),"")</f>
        <v/>
      </c>
      <c r="J1143" s="52" t="str">
        <f aca="false">IF(AND(ISNUMBER($G1143),$G1143&gt;=MA_MED),AVERAGE(INDEX($C$743:$C1143,402-MA_MED):$C1143),"")</f>
        <v/>
      </c>
      <c r="K1143" s="52" t="str">
        <f aca="false">IF(AND(ISNUMBER($G1143),$G1143&gt;=MA_LONG2),AVERAGE(INDEX($C$743:$C1143,402-MA_LONG2):$C1143),"")</f>
        <v/>
      </c>
      <c r="L1143" s="53" t="str">
        <f aca="false">IF(AND(ISNUMBER($G1143),$G1143&gt;=21),STDEV(INDEX($H$1083:$H1143,62-20):$H1143)*SQRT(245),"")</f>
        <v/>
      </c>
      <c r="M1143" s="52" t="str">
        <f aca="false">IF(AND(ISNUMBER($G1143),$G1143&gt;=60),MAX(INDEX($D$943:$D1143,202-60):$D1143),"")</f>
        <v/>
      </c>
      <c r="N1143" s="52" t="str">
        <f aca="false">IF(AND(ISNUMBER($G1143),$G1143&gt;=60),MIN(INDEX($E$943:$E1143,202-60):$E1143),"")</f>
        <v/>
      </c>
      <c r="O1143" s="53" t="str">
        <f aca="false">IF(OR(NOT(ISNUMBER($C1143)),NOT(ISNUMBER($M1143)),$M1143=0),"",$C1143/$M1143-1)</f>
        <v/>
      </c>
      <c r="P1143" s="54"/>
      <c r="Q1143" s="53" t="str">
        <f aca="false">IF(NOT(ISNUMBER($P1143)),"",IFERROR(PERCENTRANK($P$5:$P$1204,$P1143),""))</f>
        <v/>
      </c>
    </row>
    <row r="1144" customFormat="false" ht="15" hidden="false" customHeight="false" outlineLevel="0" collapsed="false">
      <c r="A1144" s="55"/>
      <c r="B1144" s="56"/>
      <c r="C1144" s="57"/>
      <c r="D1144" s="56"/>
      <c r="E1144" s="56"/>
      <c r="F1144" s="56"/>
      <c r="G1144" s="50" t="str">
        <f aca="false">IF($A1144="","",IF(ISNUMBER($G1143),$G1143+1,1))</f>
        <v/>
      </c>
      <c r="H1144" s="51" t="str">
        <f aca="false">IF(OR(NOT(ISNUMBER($G1144)),$G1144&lt;2,NOT(ISNUMBER($C1143)),$C1143=0),"",$C1144/$C1143-1)</f>
        <v/>
      </c>
      <c r="I1144" s="52" t="str">
        <f aca="false">IF(AND(ISNUMBER($G1144),$G1144&gt;=MA_SHORT),AVERAGE(INDEX($C$744:$C1144,402-MA_SHORT):$C1144),"")</f>
        <v/>
      </c>
      <c r="J1144" s="52" t="str">
        <f aca="false">IF(AND(ISNUMBER($G1144),$G1144&gt;=MA_MED),AVERAGE(INDEX($C$744:$C1144,402-MA_MED):$C1144),"")</f>
        <v/>
      </c>
      <c r="K1144" s="52" t="str">
        <f aca="false">IF(AND(ISNUMBER($G1144),$G1144&gt;=MA_LONG2),AVERAGE(INDEX($C$744:$C1144,402-MA_LONG2):$C1144),"")</f>
        <v/>
      </c>
      <c r="L1144" s="53" t="str">
        <f aca="false">IF(AND(ISNUMBER($G1144),$G1144&gt;=21),STDEV(INDEX($H$1084:$H1144,62-20):$H1144)*SQRT(245),"")</f>
        <v/>
      </c>
      <c r="M1144" s="52" t="str">
        <f aca="false">IF(AND(ISNUMBER($G1144),$G1144&gt;=60),MAX(INDEX($D$944:$D1144,202-60):$D1144),"")</f>
        <v/>
      </c>
      <c r="N1144" s="52" t="str">
        <f aca="false">IF(AND(ISNUMBER($G1144),$G1144&gt;=60),MIN(INDEX($E$944:$E1144,202-60):$E1144),"")</f>
        <v/>
      </c>
      <c r="O1144" s="53" t="str">
        <f aca="false">IF(OR(NOT(ISNUMBER($C1144)),NOT(ISNUMBER($M1144)),$M1144=0),"",$C1144/$M1144-1)</f>
        <v/>
      </c>
      <c r="P1144" s="54"/>
      <c r="Q1144" s="53" t="str">
        <f aca="false">IF(NOT(ISNUMBER($P1144)),"",IFERROR(PERCENTRANK($P$5:$P$1204,$P1144),""))</f>
        <v/>
      </c>
    </row>
    <row r="1145" customFormat="false" ht="15" hidden="false" customHeight="false" outlineLevel="0" collapsed="false">
      <c r="A1145" s="55"/>
      <c r="B1145" s="56"/>
      <c r="C1145" s="57"/>
      <c r="D1145" s="56"/>
      <c r="E1145" s="56"/>
      <c r="F1145" s="56"/>
      <c r="G1145" s="50" t="str">
        <f aca="false">IF($A1145="","",IF(ISNUMBER($G1144),$G1144+1,1))</f>
        <v/>
      </c>
      <c r="H1145" s="51" t="str">
        <f aca="false">IF(OR(NOT(ISNUMBER($G1145)),$G1145&lt;2,NOT(ISNUMBER($C1144)),$C1144=0),"",$C1145/$C1144-1)</f>
        <v/>
      </c>
      <c r="I1145" s="52" t="str">
        <f aca="false">IF(AND(ISNUMBER($G1145),$G1145&gt;=MA_SHORT),AVERAGE(INDEX($C$745:$C1145,402-MA_SHORT):$C1145),"")</f>
        <v/>
      </c>
      <c r="J1145" s="52" t="str">
        <f aca="false">IF(AND(ISNUMBER($G1145),$G1145&gt;=MA_MED),AVERAGE(INDEX($C$745:$C1145,402-MA_MED):$C1145),"")</f>
        <v/>
      </c>
      <c r="K1145" s="52" t="str">
        <f aca="false">IF(AND(ISNUMBER($G1145),$G1145&gt;=MA_LONG2),AVERAGE(INDEX($C$745:$C1145,402-MA_LONG2):$C1145),"")</f>
        <v/>
      </c>
      <c r="L1145" s="53" t="str">
        <f aca="false">IF(AND(ISNUMBER($G1145),$G1145&gt;=21),STDEV(INDEX($H$1085:$H1145,62-20):$H1145)*SQRT(245),"")</f>
        <v/>
      </c>
      <c r="M1145" s="52" t="str">
        <f aca="false">IF(AND(ISNUMBER($G1145),$G1145&gt;=60),MAX(INDEX($D$945:$D1145,202-60):$D1145),"")</f>
        <v/>
      </c>
      <c r="N1145" s="52" t="str">
        <f aca="false">IF(AND(ISNUMBER($G1145),$G1145&gt;=60),MIN(INDEX($E$945:$E1145,202-60):$E1145),"")</f>
        <v/>
      </c>
      <c r="O1145" s="53" t="str">
        <f aca="false">IF(OR(NOT(ISNUMBER($C1145)),NOT(ISNUMBER($M1145)),$M1145=0),"",$C1145/$M1145-1)</f>
        <v/>
      </c>
      <c r="P1145" s="54"/>
      <c r="Q1145" s="53" t="str">
        <f aca="false">IF(NOT(ISNUMBER($P1145)),"",IFERROR(PERCENTRANK($P$5:$P$1204,$P1145),""))</f>
        <v/>
      </c>
    </row>
    <row r="1146" customFormat="false" ht="15" hidden="false" customHeight="false" outlineLevel="0" collapsed="false">
      <c r="A1146" s="55"/>
      <c r="B1146" s="56"/>
      <c r="C1146" s="57"/>
      <c r="D1146" s="56"/>
      <c r="E1146" s="56"/>
      <c r="F1146" s="56"/>
      <c r="G1146" s="50" t="str">
        <f aca="false">IF($A1146="","",IF(ISNUMBER($G1145),$G1145+1,1))</f>
        <v/>
      </c>
      <c r="H1146" s="51" t="str">
        <f aca="false">IF(OR(NOT(ISNUMBER($G1146)),$G1146&lt;2,NOT(ISNUMBER($C1145)),$C1145=0),"",$C1146/$C1145-1)</f>
        <v/>
      </c>
      <c r="I1146" s="52" t="str">
        <f aca="false">IF(AND(ISNUMBER($G1146),$G1146&gt;=MA_SHORT),AVERAGE(INDEX($C$746:$C1146,402-MA_SHORT):$C1146),"")</f>
        <v/>
      </c>
      <c r="J1146" s="52" t="str">
        <f aca="false">IF(AND(ISNUMBER($G1146),$G1146&gt;=MA_MED),AVERAGE(INDEX($C$746:$C1146,402-MA_MED):$C1146),"")</f>
        <v/>
      </c>
      <c r="K1146" s="52" t="str">
        <f aca="false">IF(AND(ISNUMBER($G1146),$G1146&gt;=MA_LONG2),AVERAGE(INDEX($C$746:$C1146,402-MA_LONG2):$C1146),"")</f>
        <v/>
      </c>
      <c r="L1146" s="53" t="str">
        <f aca="false">IF(AND(ISNUMBER($G1146),$G1146&gt;=21),STDEV(INDEX($H$1086:$H1146,62-20):$H1146)*SQRT(245),"")</f>
        <v/>
      </c>
      <c r="M1146" s="52" t="str">
        <f aca="false">IF(AND(ISNUMBER($G1146),$G1146&gt;=60),MAX(INDEX($D$946:$D1146,202-60):$D1146),"")</f>
        <v/>
      </c>
      <c r="N1146" s="52" t="str">
        <f aca="false">IF(AND(ISNUMBER($G1146),$G1146&gt;=60),MIN(INDEX($E$946:$E1146,202-60):$E1146),"")</f>
        <v/>
      </c>
      <c r="O1146" s="53" t="str">
        <f aca="false">IF(OR(NOT(ISNUMBER($C1146)),NOT(ISNUMBER($M1146)),$M1146=0),"",$C1146/$M1146-1)</f>
        <v/>
      </c>
      <c r="P1146" s="54"/>
      <c r="Q1146" s="53" t="str">
        <f aca="false">IF(NOT(ISNUMBER($P1146)),"",IFERROR(PERCENTRANK($P$5:$P$1204,$P1146),""))</f>
        <v/>
      </c>
    </row>
    <row r="1147" customFormat="false" ht="15" hidden="false" customHeight="false" outlineLevel="0" collapsed="false">
      <c r="A1147" s="55"/>
      <c r="B1147" s="56"/>
      <c r="C1147" s="57"/>
      <c r="D1147" s="56"/>
      <c r="E1147" s="56"/>
      <c r="F1147" s="56"/>
      <c r="G1147" s="50" t="str">
        <f aca="false">IF($A1147="","",IF(ISNUMBER($G1146),$G1146+1,1))</f>
        <v/>
      </c>
      <c r="H1147" s="51" t="str">
        <f aca="false">IF(OR(NOT(ISNUMBER($G1147)),$G1147&lt;2,NOT(ISNUMBER($C1146)),$C1146=0),"",$C1147/$C1146-1)</f>
        <v/>
      </c>
      <c r="I1147" s="52" t="str">
        <f aca="false">IF(AND(ISNUMBER($G1147),$G1147&gt;=MA_SHORT),AVERAGE(INDEX($C$747:$C1147,402-MA_SHORT):$C1147),"")</f>
        <v/>
      </c>
      <c r="J1147" s="52" t="str">
        <f aca="false">IF(AND(ISNUMBER($G1147),$G1147&gt;=MA_MED),AVERAGE(INDEX($C$747:$C1147,402-MA_MED):$C1147),"")</f>
        <v/>
      </c>
      <c r="K1147" s="52" t="str">
        <f aca="false">IF(AND(ISNUMBER($G1147),$G1147&gt;=MA_LONG2),AVERAGE(INDEX($C$747:$C1147,402-MA_LONG2):$C1147),"")</f>
        <v/>
      </c>
      <c r="L1147" s="53" t="str">
        <f aca="false">IF(AND(ISNUMBER($G1147),$G1147&gt;=21),STDEV(INDEX($H$1087:$H1147,62-20):$H1147)*SQRT(245),"")</f>
        <v/>
      </c>
      <c r="M1147" s="52" t="str">
        <f aca="false">IF(AND(ISNUMBER($G1147),$G1147&gt;=60),MAX(INDEX($D$947:$D1147,202-60):$D1147),"")</f>
        <v/>
      </c>
      <c r="N1147" s="52" t="str">
        <f aca="false">IF(AND(ISNUMBER($G1147),$G1147&gt;=60),MIN(INDEX($E$947:$E1147,202-60):$E1147),"")</f>
        <v/>
      </c>
      <c r="O1147" s="53" t="str">
        <f aca="false">IF(OR(NOT(ISNUMBER($C1147)),NOT(ISNUMBER($M1147)),$M1147=0),"",$C1147/$M1147-1)</f>
        <v/>
      </c>
      <c r="P1147" s="54"/>
      <c r="Q1147" s="53" t="str">
        <f aca="false">IF(NOT(ISNUMBER($P1147)),"",IFERROR(PERCENTRANK($P$5:$P$1204,$P1147),""))</f>
        <v/>
      </c>
    </row>
    <row r="1148" customFormat="false" ht="15" hidden="false" customHeight="false" outlineLevel="0" collapsed="false">
      <c r="A1148" s="55"/>
      <c r="B1148" s="56"/>
      <c r="C1148" s="57"/>
      <c r="D1148" s="56"/>
      <c r="E1148" s="56"/>
      <c r="F1148" s="56"/>
      <c r="G1148" s="50" t="str">
        <f aca="false">IF($A1148="","",IF(ISNUMBER($G1147),$G1147+1,1))</f>
        <v/>
      </c>
      <c r="H1148" s="51" t="str">
        <f aca="false">IF(OR(NOT(ISNUMBER($G1148)),$G1148&lt;2,NOT(ISNUMBER($C1147)),$C1147=0),"",$C1148/$C1147-1)</f>
        <v/>
      </c>
      <c r="I1148" s="52" t="str">
        <f aca="false">IF(AND(ISNUMBER($G1148),$G1148&gt;=MA_SHORT),AVERAGE(INDEX($C$748:$C1148,402-MA_SHORT):$C1148),"")</f>
        <v/>
      </c>
      <c r="J1148" s="52" t="str">
        <f aca="false">IF(AND(ISNUMBER($G1148),$G1148&gt;=MA_MED),AVERAGE(INDEX($C$748:$C1148,402-MA_MED):$C1148),"")</f>
        <v/>
      </c>
      <c r="K1148" s="52" t="str">
        <f aca="false">IF(AND(ISNUMBER($G1148),$G1148&gt;=MA_LONG2),AVERAGE(INDEX($C$748:$C1148,402-MA_LONG2):$C1148),"")</f>
        <v/>
      </c>
      <c r="L1148" s="53" t="str">
        <f aca="false">IF(AND(ISNUMBER($G1148),$G1148&gt;=21),STDEV(INDEX($H$1088:$H1148,62-20):$H1148)*SQRT(245),"")</f>
        <v/>
      </c>
      <c r="M1148" s="52" t="str">
        <f aca="false">IF(AND(ISNUMBER($G1148),$G1148&gt;=60),MAX(INDEX($D$948:$D1148,202-60):$D1148),"")</f>
        <v/>
      </c>
      <c r="N1148" s="52" t="str">
        <f aca="false">IF(AND(ISNUMBER($G1148),$G1148&gt;=60),MIN(INDEX($E$948:$E1148,202-60):$E1148),"")</f>
        <v/>
      </c>
      <c r="O1148" s="53" t="str">
        <f aca="false">IF(OR(NOT(ISNUMBER($C1148)),NOT(ISNUMBER($M1148)),$M1148=0),"",$C1148/$M1148-1)</f>
        <v/>
      </c>
      <c r="P1148" s="54"/>
      <c r="Q1148" s="53" t="str">
        <f aca="false">IF(NOT(ISNUMBER($P1148)),"",IFERROR(PERCENTRANK($P$5:$P$1204,$P1148),""))</f>
        <v/>
      </c>
    </row>
    <row r="1149" customFormat="false" ht="15" hidden="false" customHeight="false" outlineLevel="0" collapsed="false">
      <c r="A1149" s="55"/>
      <c r="B1149" s="56"/>
      <c r="C1149" s="57"/>
      <c r="D1149" s="56"/>
      <c r="E1149" s="56"/>
      <c r="F1149" s="56"/>
      <c r="G1149" s="50" t="str">
        <f aca="false">IF($A1149="","",IF(ISNUMBER($G1148),$G1148+1,1))</f>
        <v/>
      </c>
      <c r="H1149" s="51" t="str">
        <f aca="false">IF(OR(NOT(ISNUMBER($G1149)),$G1149&lt;2,NOT(ISNUMBER($C1148)),$C1148=0),"",$C1149/$C1148-1)</f>
        <v/>
      </c>
      <c r="I1149" s="52" t="str">
        <f aca="false">IF(AND(ISNUMBER($G1149),$G1149&gt;=MA_SHORT),AVERAGE(INDEX($C$749:$C1149,402-MA_SHORT):$C1149),"")</f>
        <v/>
      </c>
      <c r="J1149" s="52" t="str">
        <f aca="false">IF(AND(ISNUMBER($G1149),$G1149&gt;=MA_MED),AVERAGE(INDEX($C$749:$C1149,402-MA_MED):$C1149),"")</f>
        <v/>
      </c>
      <c r="K1149" s="52" t="str">
        <f aca="false">IF(AND(ISNUMBER($G1149),$G1149&gt;=MA_LONG2),AVERAGE(INDEX($C$749:$C1149,402-MA_LONG2):$C1149),"")</f>
        <v/>
      </c>
      <c r="L1149" s="53" t="str">
        <f aca="false">IF(AND(ISNUMBER($G1149),$G1149&gt;=21),STDEV(INDEX($H$1089:$H1149,62-20):$H1149)*SQRT(245),"")</f>
        <v/>
      </c>
      <c r="M1149" s="52" t="str">
        <f aca="false">IF(AND(ISNUMBER($G1149),$G1149&gt;=60),MAX(INDEX($D$949:$D1149,202-60):$D1149),"")</f>
        <v/>
      </c>
      <c r="N1149" s="52" t="str">
        <f aca="false">IF(AND(ISNUMBER($G1149),$G1149&gt;=60),MIN(INDEX($E$949:$E1149,202-60):$E1149),"")</f>
        <v/>
      </c>
      <c r="O1149" s="53" t="str">
        <f aca="false">IF(OR(NOT(ISNUMBER($C1149)),NOT(ISNUMBER($M1149)),$M1149=0),"",$C1149/$M1149-1)</f>
        <v/>
      </c>
      <c r="P1149" s="54"/>
      <c r="Q1149" s="53" t="str">
        <f aca="false">IF(NOT(ISNUMBER($P1149)),"",IFERROR(PERCENTRANK($P$5:$P$1204,$P1149),""))</f>
        <v/>
      </c>
    </row>
    <row r="1150" customFormat="false" ht="15" hidden="false" customHeight="false" outlineLevel="0" collapsed="false">
      <c r="A1150" s="55"/>
      <c r="B1150" s="56"/>
      <c r="C1150" s="57"/>
      <c r="D1150" s="56"/>
      <c r="E1150" s="56"/>
      <c r="F1150" s="56"/>
      <c r="G1150" s="50" t="str">
        <f aca="false">IF($A1150="","",IF(ISNUMBER($G1149),$G1149+1,1))</f>
        <v/>
      </c>
      <c r="H1150" s="51" t="str">
        <f aca="false">IF(OR(NOT(ISNUMBER($G1150)),$G1150&lt;2,NOT(ISNUMBER($C1149)),$C1149=0),"",$C1150/$C1149-1)</f>
        <v/>
      </c>
      <c r="I1150" s="52" t="str">
        <f aca="false">IF(AND(ISNUMBER($G1150),$G1150&gt;=MA_SHORT),AVERAGE(INDEX($C$750:$C1150,402-MA_SHORT):$C1150),"")</f>
        <v/>
      </c>
      <c r="J1150" s="52" t="str">
        <f aca="false">IF(AND(ISNUMBER($G1150),$G1150&gt;=MA_MED),AVERAGE(INDEX($C$750:$C1150,402-MA_MED):$C1150),"")</f>
        <v/>
      </c>
      <c r="K1150" s="52" t="str">
        <f aca="false">IF(AND(ISNUMBER($G1150),$G1150&gt;=MA_LONG2),AVERAGE(INDEX($C$750:$C1150,402-MA_LONG2):$C1150),"")</f>
        <v/>
      </c>
      <c r="L1150" s="53" t="str">
        <f aca="false">IF(AND(ISNUMBER($G1150),$G1150&gt;=21),STDEV(INDEX($H$1090:$H1150,62-20):$H1150)*SQRT(245),"")</f>
        <v/>
      </c>
      <c r="M1150" s="52" t="str">
        <f aca="false">IF(AND(ISNUMBER($G1150),$G1150&gt;=60),MAX(INDEX($D$950:$D1150,202-60):$D1150),"")</f>
        <v/>
      </c>
      <c r="N1150" s="52" t="str">
        <f aca="false">IF(AND(ISNUMBER($G1150),$G1150&gt;=60),MIN(INDEX($E$950:$E1150,202-60):$E1150),"")</f>
        <v/>
      </c>
      <c r="O1150" s="53" t="str">
        <f aca="false">IF(OR(NOT(ISNUMBER($C1150)),NOT(ISNUMBER($M1150)),$M1150=0),"",$C1150/$M1150-1)</f>
        <v/>
      </c>
      <c r="P1150" s="54"/>
      <c r="Q1150" s="53" t="str">
        <f aca="false">IF(NOT(ISNUMBER($P1150)),"",IFERROR(PERCENTRANK($P$5:$P$1204,$P1150),""))</f>
        <v/>
      </c>
    </row>
    <row r="1151" customFormat="false" ht="15" hidden="false" customHeight="false" outlineLevel="0" collapsed="false">
      <c r="A1151" s="55"/>
      <c r="B1151" s="56"/>
      <c r="C1151" s="57"/>
      <c r="D1151" s="56"/>
      <c r="E1151" s="56"/>
      <c r="F1151" s="56"/>
      <c r="G1151" s="50" t="str">
        <f aca="false">IF($A1151="","",IF(ISNUMBER($G1150),$G1150+1,1))</f>
        <v/>
      </c>
      <c r="H1151" s="51" t="str">
        <f aca="false">IF(OR(NOT(ISNUMBER($G1151)),$G1151&lt;2,NOT(ISNUMBER($C1150)),$C1150=0),"",$C1151/$C1150-1)</f>
        <v/>
      </c>
      <c r="I1151" s="52" t="str">
        <f aca="false">IF(AND(ISNUMBER($G1151),$G1151&gt;=MA_SHORT),AVERAGE(INDEX($C$751:$C1151,402-MA_SHORT):$C1151),"")</f>
        <v/>
      </c>
      <c r="J1151" s="52" t="str">
        <f aca="false">IF(AND(ISNUMBER($G1151),$G1151&gt;=MA_MED),AVERAGE(INDEX($C$751:$C1151,402-MA_MED):$C1151),"")</f>
        <v/>
      </c>
      <c r="K1151" s="52" t="str">
        <f aca="false">IF(AND(ISNUMBER($G1151),$G1151&gt;=MA_LONG2),AVERAGE(INDEX($C$751:$C1151,402-MA_LONG2):$C1151),"")</f>
        <v/>
      </c>
      <c r="L1151" s="53" t="str">
        <f aca="false">IF(AND(ISNUMBER($G1151),$G1151&gt;=21),STDEV(INDEX($H$1091:$H1151,62-20):$H1151)*SQRT(245),"")</f>
        <v/>
      </c>
      <c r="M1151" s="52" t="str">
        <f aca="false">IF(AND(ISNUMBER($G1151),$G1151&gt;=60),MAX(INDEX($D$951:$D1151,202-60):$D1151),"")</f>
        <v/>
      </c>
      <c r="N1151" s="52" t="str">
        <f aca="false">IF(AND(ISNUMBER($G1151),$G1151&gt;=60),MIN(INDEX($E$951:$E1151,202-60):$E1151),"")</f>
        <v/>
      </c>
      <c r="O1151" s="53" t="str">
        <f aca="false">IF(OR(NOT(ISNUMBER($C1151)),NOT(ISNUMBER($M1151)),$M1151=0),"",$C1151/$M1151-1)</f>
        <v/>
      </c>
      <c r="P1151" s="54"/>
      <c r="Q1151" s="53" t="str">
        <f aca="false">IF(NOT(ISNUMBER($P1151)),"",IFERROR(PERCENTRANK($P$5:$P$1204,$P1151),""))</f>
        <v/>
      </c>
    </row>
    <row r="1152" customFormat="false" ht="15" hidden="false" customHeight="false" outlineLevel="0" collapsed="false">
      <c r="A1152" s="55"/>
      <c r="B1152" s="56"/>
      <c r="C1152" s="57"/>
      <c r="D1152" s="56"/>
      <c r="E1152" s="56"/>
      <c r="F1152" s="56"/>
      <c r="G1152" s="50" t="str">
        <f aca="false">IF($A1152="","",IF(ISNUMBER($G1151),$G1151+1,1))</f>
        <v/>
      </c>
      <c r="H1152" s="51" t="str">
        <f aca="false">IF(OR(NOT(ISNUMBER($G1152)),$G1152&lt;2,NOT(ISNUMBER($C1151)),$C1151=0),"",$C1152/$C1151-1)</f>
        <v/>
      </c>
      <c r="I1152" s="52" t="str">
        <f aca="false">IF(AND(ISNUMBER($G1152),$G1152&gt;=MA_SHORT),AVERAGE(INDEX($C$752:$C1152,402-MA_SHORT):$C1152),"")</f>
        <v/>
      </c>
      <c r="J1152" s="52" t="str">
        <f aca="false">IF(AND(ISNUMBER($G1152),$G1152&gt;=MA_MED),AVERAGE(INDEX($C$752:$C1152,402-MA_MED):$C1152),"")</f>
        <v/>
      </c>
      <c r="K1152" s="52" t="str">
        <f aca="false">IF(AND(ISNUMBER($G1152),$G1152&gt;=MA_LONG2),AVERAGE(INDEX($C$752:$C1152,402-MA_LONG2):$C1152),"")</f>
        <v/>
      </c>
      <c r="L1152" s="53" t="str">
        <f aca="false">IF(AND(ISNUMBER($G1152),$G1152&gt;=21),STDEV(INDEX($H$1092:$H1152,62-20):$H1152)*SQRT(245),"")</f>
        <v/>
      </c>
      <c r="M1152" s="52" t="str">
        <f aca="false">IF(AND(ISNUMBER($G1152),$G1152&gt;=60),MAX(INDEX($D$952:$D1152,202-60):$D1152),"")</f>
        <v/>
      </c>
      <c r="N1152" s="52" t="str">
        <f aca="false">IF(AND(ISNUMBER($G1152),$G1152&gt;=60),MIN(INDEX($E$952:$E1152,202-60):$E1152),"")</f>
        <v/>
      </c>
      <c r="O1152" s="53" t="str">
        <f aca="false">IF(OR(NOT(ISNUMBER($C1152)),NOT(ISNUMBER($M1152)),$M1152=0),"",$C1152/$M1152-1)</f>
        <v/>
      </c>
      <c r="P1152" s="54"/>
      <c r="Q1152" s="53" t="str">
        <f aca="false">IF(NOT(ISNUMBER($P1152)),"",IFERROR(PERCENTRANK($P$5:$P$1204,$P1152),""))</f>
        <v/>
      </c>
    </row>
    <row r="1153" customFormat="false" ht="15" hidden="false" customHeight="false" outlineLevel="0" collapsed="false">
      <c r="A1153" s="55"/>
      <c r="B1153" s="56"/>
      <c r="C1153" s="57"/>
      <c r="D1153" s="56"/>
      <c r="E1153" s="56"/>
      <c r="F1153" s="56"/>
      <c r="G1153" s="50" t="str">
        <f aca="false">IF($A1153="","",IF(ISNUMBER($G1152),$G1152+1,1))</f>
        <v/>
      </c>
      <c r="H1153" s="51" t="str">
        <f aca="false">IF(OR(NOT(ISNUMBER($G1153)),$G1153&lt;2,NOT(ISNUMBER($C1152)),$C1152=0),"",$C1153/$C1152-1)</f>
        <v/>
      </c>
      <c r="I1153" s="52" t="str">
        <f aca="false">IF(AND(ISNUMBER($G1153),$G1153&gt;=MA_SHORT),AVERAGE(INDEX($C$753:$C1153,402-MA_SHORT):$C1153),"")</f>
        <v/>
      </c>
      <c r="J1153" s="52" t="str">
        <f aca="false">IF(AND(ISNUMBER($G1153),$G1153&gt;=MA_MED),AVERAGE(INDEX($C$753:$C1153,402-MA_MED):$C1153),"")</f>
        <v/>
      </c>
      <c r="K1153" s="52" t="str">
        <f aca="false">IF(AND(ISNUMBER($G1153),$G1153&gt;=MA_LONG2),AVERAGE(INDEX($C$753:$C1153,402-MA_LONG2):$C1153),"")</f>
        <v/>
      </c>
      <c r="L1153" s="53" t="str">
        <f aca="false">IF(AND(ISNUMBER($G1153),$G1153&gt;=21),STDEV(INDEX($H$1093:$H1153,62-20):$H1153)*SQRT(245),"")</f>
        <v/>
      </c>
      <c r="M1153" s="52" t="str">
        <f aca="false">IF(AND(ISNUMBER($G1153),$G1153&gt;=60),MAX(INDEX($D$953:$D1153,202-60):$D1153),"")</f>
        <v/>
      </c>
      <c r="N1153" s="52" t="str">
        <f aca="false">IF(AND(ISNUMBER($G1153),$G1153&gt;=60),MIN(INDEX($E$953:$E1153,202-60):$E1153),"")</f>
        <v/>
      </c>
      <c r="O1153" s="53" t="str">
        <f aca="false">IF(OR(NOT(ISNUMBER($C1153)),NOT(ISNUMBER($M1153)),$M1153=0),"",$C1153/$M1153-1)</f>
        <v/>
      </c>
      <c r="P1153" s="54"/>
      <c r="Q1153" s="53" t="str">
        <f aca="false">IF(NOT(ISNUMBER($P1153)),"",IFERROR(PERCENTRANK($P$5:$P$1204,$P1153),""))</f>
        <v/>
      </c>
    </row>
    <row r="1154" customFormat="false" ht="15" hidden="false" customHeight="false" outlineLevel="0" collapsed="false">
      <c r="A1154" s="55"/>
      <c r="B1154" s="56"/>
      <c r="C1154" s="57"/>
      <c r="D1154" s="56"/>
      <c r="E1154" s="56"/>
      <c r="F1154" s="56"/>
      <c r="G1154" s="50" t="str">
        <f aca="false">IF($A1154="","",IF(ISNUMBER($G1153),$G1153+1,1))</f>
        <v/>
      </c>
      <c r="H1154" s="51" t="str">
        <f aca="false">IF(OR(NOT(ISNUMBER($G1154)),$G1154&lt;2,NOT(ISNUMBER($C1153)),$C1153=0),"",$C1154/$C1153-1)</f>
        <v/>
      </c>
      <c r="I1154" s="52" t="str">
        <f aca="false">IF(AND(ISNUMBER($G1154),$G1154&gt;=MA_SHORT),AVERAGE(INDEX($C$754:$C1154,402-MA_SHORT):$C1154),"")</f>
        <v/>
      </c>
      <c r="J1154" s="52" t="str">
        <f aca="false">IF(AND(ISNUMBER($G1154),$G1154&gt;=MA_MED),AVERAGE(INDEX($C$754:$C1154,402-MA_MED):$C1154),"")</f>
        <v/>
      </c>
      <c r="K1154" s="52" t="str">
        <f aca="false">IF(AND(ISNUMBER($G1154),$G1154&gt;=MA_LONG2),AVERAGE(INDEX($C$754:$C1154,402-MA_LONG2):$C1154),"")</f>
        <v/>
      </c>
      <c r="L1154" s="53" t="str">
        <f aca="false">IF(AND(ISNUMBER($G1154),$G1154&gt;=21),STDEV(INDEX($H$1094:$H1154,62-20):$H1154)*SQRT(245),"")</f>
        <v/>
      </c>
      <c r="M1154" s="52" t="str">
        <f aca="false">IF(AND(ISNUMBER($G1154),$G1154&gt;=60),MAX(INDEX($D$954:$D1154,202-60):$D1154),"")</f>
        <v/>
      </c>
      <c r="N1154" s="52" t="str">
        <f aca="false">IF(AND(ISNUMBER($G1154),$G1154&gt;=60),MIN(INDEX($E$954:$E1154,202-60):$E1154),"")</f>
        <v/>
      </c>
      <c r="O1154" s="53" t="str">
        <f aca="false">IF(OR(NOT(ISNUMBER($C1154)),NOT(ISNUMBER($M1154)),$M1154=0),"",$C1154/$M1154-1)</f>
        <v/>
      </c>
      <c r="P1154" s="54"/>
      <c r="Q1154" s="53" t="str">
        <f aca="false">IF(NOT(ISNUMBER($P1154)),"",IFERROR(PERCENTRANK($P$5:$P$1204,$P1154),""))</f>
        <v/>
      </c>
    </row>
    <row r="1155" customFormat="false" ht="15" hidden="false" customHeight="false" outlineLevel="0" collapsed="false">
      <c r="A1155" s="55"/>
      <c r="B1155" s="56"/>
      <c r="C1155" s="57"/>
      <c r="D1155" s="56"/>
      <c r="E1155" s="56"/>
      <c r="F1155" s="56"/>
      <c r="G1155" s="50" t="str">
        <f aca="false">IF($A1155="","",IF(ISNUMBER($G1154),$G1154+1,1))</f>
        <v/>
      </c>
      <c r="H1155" s="51" t="str">
        <f aca="false">IF(OR(NOT(ISNUMBER($G1155)),$G1155&lt;2,NOT(ISNUMBER($C1154)),$C1154=0),"",$C1155/$C1154-1)</f>
        <v/>
      </c>
      <c r="I1155" s="52" t="str">
        <f aca="false">IF(AND(ISNUMBER($G1155),$G1155&gt;=MA_SHORT),AVERAGE(INDEX($C$755:$C1155,402-MA_SHORT):$C1155),"")</f>
        <v/>
      </c>
      <c r="J1155" s="52" t="str">
        <f aca="false">IF(AND(ISNUMBER($G1155),$G1155&gt;=MA_MED),AVERAGE(INDEX($C$755:$C1155,402-MA_MED):$C1155),"")</f>
        <v/>
      </c>
      <c r="K1155" s="52" t="str">
        <f aca="false">IF(AND(ISNUMBER($G1155),$G1155&gt;=MA_LONG2),AVERAGE(INDEX($C$755:$C1155,402-MA_LONG2):$C1155),"")</f>
        <v/>
      </c>
      <c r="L1155" s="53" t="str">
        <f aca="false">IF(AND(ISNUMBER($G1155),$G1155&gt;=21),STDEV(INDEX($H$1095:$H1155,62-20):$H1155)*SQRT(245),"")</f>
        <v/>
      </c>
      <c r="M1155" s="52" t="str">
        <f aca="false">IF(AND(ISNUMBER($G1155),$G1155&gt;=60),MAX(INDEX($D$955:$D1155,202-60):$D1155),"")</f>
        <v/>
      </c>
      <c r="N1155" s="52" t="str">
        <f aca="false">IF(AND(ISNUMBER($G1155),$G1155&gt;=60),MIN(INDEX($E$955:$E1155,202-60):$E1155),"")</f>
        <v/>
      </c>
      <c r="O1155" s="53" t="str">
        <f aca="false">IF(OR(NOT(ISNUMBER($C1155)),NOT(ISNUMBER($M1155)),$M1155=0),"",$C1155/$M1155-1)</f>
        <v/>
      </c>
      <c r="P1155" s="54"/>
      <c r="Q1155" s="53" t="str">
        <f aca="false">IF(NOT(ISNUMBER($P1155)),"",IFERROR(PERCENTRANK($P$5:$P$1204,$P1155),""))</f>
        <v/>
      </c>
    </row>
    <row r="1156" customFormat="false" ht="15" hidden="false" customHeight="false" outlineLevel="0" collapsed="false">
      <c r="A1156" s="55"/>
      <c r="B1156" s="56"/>
      <c r="C1156" s="57"/>
      <c r="D1156" s="56"/>
      <c r="E1156" s="56"/>
      <c r="F1156" s="56"/>
      <c r="G1156" s="50" t="str">
        <f aca="false">IF($A1156="","",IF(ISNUMBER($G1155),$G1155+1,1))</f>
        <v/>
      </c>
      <c r="H1156" s="51" t="str">
        <f aca="false">IF(OR(NOT(ISNUMBER($G1156)),$G1156&lt;2,NOT(ISNUMBER($C1155)),$C1155=0),"",$C1156/$C1155-1)</f>
        <v/>
      </c>
      <c r="I1156" s="52" t="str">
        <f aca="false">IF(AND(ISNUMBER($G1156),$G1156&gt;=MA_SHORT),AVERAGE(INDEX($C$756:$C1156,402-MA_SHORT):$C1156),"")</f>
        <v/>
      </c>
      <c r="J1156" s="52" t="str">
        <f aca="false">IF(AND(ISNUMBER($G1156),$G1156&gt;=MA_MED),AVERAGE(INDEX($C$756:$C1156,402-MA_MED):$C1156),"")</f>
        <v/>
      </c>
      <c r="K1156" s="52" t="str">
        <f aca="false">IF(AND(ISNUMBER($G1156),$G1156&gt;=MA_LONG2),AVERAGE(INDEX($C$756:$C1156,402-MA_LONG2):$C1156),"")</f>
        <v/>
      </c>
      <c r="L1156" s="53" t="str">
        <f aca="false">IF(AND(ISNUMBER($G1156),$G1156&gt;=21),STDEV(INDEX($H$1096:$H1156,62-20):$H1156)*SQRT(245),"")</f>
        <v/>
      </c>
      <c r="M1156" s="52" t="str">
        <f aca="false">IF(AND(ISNUMBER($G1156),$G1156&gt;=60),MAX(INDEX($D$956:$D1156,202-60):$D1156),"")</f>
        <v/>
      </c>
      <c r="N1156" s="52" t="str">
        <f aca="false">IF(AND(ISNUMBER($G1156),$G1156&gt;=60),MIN(INDEX($E$956:$E1156,202-60):$E1156),"")</f>
        <v/>
      </c>
      <c r="O1156" s="53" t="str">
        <f aca="false">IF(OR(NOT(ISNUMBER($C1156)),NOT(ISNUMBER($M1156)),$M1156=0),"",$C1156/$M1156-1)</f>
        <v/>
      </c>
      <c r="P1156" s="54"/>
      <c r="Q1156" s="53" t="str">
        <f aca="false">IF(NOT(ISNUMBER($P1156)),"",IFERROR(PERCENTRANK($P$5:$P$1204,$P1156),""))</f>
        <v/>
      </c>
    </row>
    <row r="1157" customFormat="false" ht="15" hidden="false" customHeight="false" outlineLevel="0" collapsed="false">
      <c r="A1157" s="55"/>
      <c r="B1157" s="56"/>
      <c r="C1157" s="57"/>
      <c r="D1157" s="56"/>
      <c r="E1157" s="56"/>
      <c r="F1157" s="56"/>
      <c r="G1157" s="50" t="str">
        <f aca="false">IF($A1157="","",IF(ISNUMBER($G1156),$G1156+1,1))</f>
        <v/>
      </c>
      <c r="H1157" s="51" t="str">
        <f aca="false">IF(OR(NOT(ISNUMBER($G1157)),$G1157&lt;2,NOT(ISNUMBER($C1156)),$C1156=0),"",$C1157/$C1156-1)</f>
        <v/>
      </c>
      <c r="I1157" s="52" t="str">
        <f aca="false">IF(AND(ISNUMBER($G1157),$G1157&gt;=MA_SHORT),AVERAGE(INDEX($C$757:$C1157,402-MA_SHORT):$C1157),"")</f>
        <v/>
      </c>
      <c r="J1157" s="52" t="str">
        <f aca="false">IF(AND(ISNUMBER($G1157),$G1157&gt;=MA_MED),AVERAGE(INDEX($C$757:$C1157,402-MA_MED):$C1157),"")</f>
        <v/>
      </c>
      <c r="K1157" s="52" t="str">
        <f aca="false">IF(AND(ISNUMBER($G1157),$G1157&gt;=MA_LONG2),AVERAGE(INDEX($C$757:$C1157,402-MA_LONG2):$C1157),"")</f>
        <v/>
      </c>
      <c r="L1157" s="53" t="str">
        <f aca="false">IF(AND(ISNUMBER($G1157),$G1157&gt;=21),STDEV(INDEX($H$1097:$H1157,62-20):$H1157)*SQRT(245),"")</f>
        <v/>
      </c>
      <c r="M1157" s="52" t="str">
        <f aca="false">IF(AND(ISNUMBER($G1157),$G1157&gt;=60),MAX(INDEX($D$957:$D1157,202-60):$D1157),"")</f>
        <v/>
      </c>
      <c r="N1157" s="52" t="str">
        <f aca="false">IF(AND(ISNUMBER($G1157),$G1157&gt;=60),MIN(INDEX($E$957:$E1157,202-60):$E1157),"")</f>
        <v/>
      </c>
      <c r="O1157" s="53" t="str">
        <f aca="false">IF(OR(NOT(ISNUMBER($C1157)),NOT(ISNUMBER($M1157)),$M1157=0),"",$C1157/$M1157-1)</f>
        <v/>
      </c>
      <c r="P1157" s="54"/>
      <c r="Q1157" s="53" t="str">
        <f aca="false">IF(NOT(ISNUMBER($P1157)),"",IFERROR(PERCENTRANK($P$5:$P$1204,$P1157),""))</f>
        <v/>
      </c>
    </row>
    <row r="1158" customFormat="false" ht="15" hidden="false" customHeight="false" outlineLevel="0" collapsed="false">
      <c r="A1158" s="55"/>
      <c r="B1158" s="56"/>
      <c r="C1158" s="57"/>
      <c r="D1158" s="56"/>
      <c r="E1158" s="56"/>
      <c r="F1158" s="56"/>
      <c r="G1158" s="50" t="str">
        <f aca="false">IF($A1158="","",IF(ISNUMBER($G1157),$G1157+1,1))</f>
        <v/>
      </c>
      <c r="H1158" s="51" t="str">
        <f aca="false">IF(OR(NOT(ISNUMBER($G1158)),$G1158&lt;2,NOT(ISNUMBER($C1157)),$C1157=0),"",$C1158/$C1157-1)</f>
        <v/>
      </c>
      <c r="I1158" s="52" t="str">
        <f aca="false">IF(AND(ISNUMBER($G1158),$G1158&gt;=MA_SHORT),AVERAGE(INDEX($C$758:$C1158,402-MA_SHORT):$C1158),"")</f>
        <v/>
      </c>
      <c r="J1158" s="52" t="str">
        <f aca="false">IF(AND(ISNUMBER($G1158),$G1158&gt;=MA_MED),AVERAGE(INDEX($C$758:$C1158,402-MA_MED):$C1158),"")</f>
        <v/>
      </c>
      <c r="K1158" s="52" t="str">
        <f aca="false">IF(AND(ISNUMBER($G1158),$G1158&gt;=MA_LONG2),AVERAGE(INDEX($C$758:$C1158,402-MA_LONG2):$C1158),"")</f>
        <v/>
      </c>
      <c r="L1158" s="53" t="str">
        <f aca="false">IF(AND(ISNUMBER($G1158),$G1158&gt;=21),STDEV(INDEX($H$1098:$H1158,62-20):$H1158)*SQRT(245),"")</f>
        <v/>
      </c>
      <c r="M1158" s="52" t="str">
        <f aca="false">IF(AND(ISNUMBER($G1158),$G1158&gt;=60),MAX(INDEX($D$958:$D1158,202-60):$D1158),"")</f>
        <v/>
      </c>
      <c r="N1158" s="52" t="str">
        <f aca="false">IF(AND(ISNUMBER($G1158),$G1158&gt;=60),MIN(INDEX($E$958:$E1158,202-60):$E1158),"")</f>
        <v/>
      </c>
      <c r="O1158" s="53" t="str">
        <f aca="false">IF(OR(NOT(ISNUMBER($C1158)),NOT(ISNUMBER($M1158)),$M1158=0),"",$C1158/$M1158-1)</f>
        <v/>
      </c>
      <c r="P1158" s="54"/>
      <c r="Q1158" s="53" t="str">
        <f aca="false">IF(NOT(ISNUMBER($P1158)),"",IFERROR(PERCENTRANK($P$5:$P$1204,$P1158),""))</f>
        <v/>
      </c>
    </row>
    <row r="1159" customFormat="false" ht="15" hidden="false" customHeight="false" outlineLevel="0" collapsed="false">
      <c r="A1159" s="55"/>
      <c r="B1159" s="56"/>
      <c r="C1159" s="57"/>
      <c r="D1159" s="56"/>
      <c r="E1159" s="56"/>
      <c r="F1159" s="56"/>
      <c r="G1159" s="50" t="str">
        <f aca="false">IF($A1159="","",IF(ISNUMBER($G1158),$G1158+1,1))</f>
        <v/>
      </c>
      <c r="H1159" s="51" t="str">
        <f aca="false">IF(OR(NOT(ISNUMBER($G1159)),$G1159&lt;2,NOT(ISNUMBER($C1158)),$C1158=0),"",$C1159/$C1158-1)</f>
        <v/>
      </c>
      <c r="I1159" s="52" t="str">
        <f aca="false">IF(AND(ISNUMBER($G1159),$G1159&gt;=MA_SHORT),AVERAGE(INDEX($C$759:$C1159,402-MA_SHORT):$C1159),"")</f>
        <v/>
      </c>
      <c r="J1159" s="52" t="str">
        <f aca="false">IF(AND(ISNUMBER($G1159),$G1159&gt;=MA_MED),AVERAGE(INDEX($C$759:$C1159,402-MA_MED):$C1159),"")</f>
        <v/>
      </c>
      <c r="K1159" s="52" t="str">
        <f aca="false">IF(AND(ISNUMBER($G1159),$G1159&gt;=MA_LONG2),AVERAGE(INDEX($C$759:$C1159,402-MA_LONG2):$C1159),"")</f>
        <v/>
      </c>
      <c r="L1159" s="53" t="str">
        <f aca="false">IF(AND(ISNUMBER($G1159),$G1159&gt;=21),STDEV(INDEX($H$1099:$H1159,62-20):$H1159)*SQRT(245),"")</f>
        <v/>
      </c>
      <c r="M1159" s="52" t="str">
        <f aca="false">IF(AND(ISNUMBER($G1159),$G1159&gt;=60),MAX(INDEX($D$959:$D1159,202-60):$D1159),"")</f>
        <v/>
      </c>
      <c r="N1159" s="52" t="str">
        <f aca="false">IF(AND(ISNUMBER($G1159),$G1159&gt;=60),MIN(INDEX($E$959:$E1159,202-60):$E1159),"")</f>
        <v/>
      </c>
      <c r="O1159" s="53" t="str">
        <f aca="false">IF(OR(NOT(ISNUMBER($C1159)),NOT(ISNUMBER($M1159)),$M1159=0),"",$C1159/$M1159-1)</f>
        <v/>
      </c>
      <c r="P1159" s="54"/>
      <c r="Q1159" s="53" t="str">
        <f aca="false">IF(NOT(ISNUMBER($P1159)),"",IFERROR(PERCENTRANK($P$5:$P$1204,$P1159),""))</f>
        <v/>
      </c>
    </row>
    <row r="1160" customFormat="false" ht="15" hidden="false" customHeight="false" outlineLevel="0" collapsed="false">
      <c r="A1160" s="55"/>
      <c r="B1160" s="56"/>
      <c r="C1160" s="57"/>
      <c r="D1160" s="56"/>
      <c r="E1160" s="56"/>
      <c r="F1160" s="56"/>
      <c r="G1160" s="50" t="str">
        <f aca="false">IF($A1160="","",IF(ISNUMBER($G1159),$G1159+1,1))</f>
        <v/>
      </c>
      <c r="H1160" s="51" t="str">
        <f aca="false">IF(OR(NOT(ISNUMBER($G1160)),$G1160&lt;2,NOT(ISNUMBER($C1159)),$C1159=0),"",$C1160/$C1159-1)</f>
        <v/>
      </c>
      <c r="I1160" s="52" t="str">
        <f aca="false">IF(AND(ISNUMBER($G1160),$G1160&gt;=MA_SHORT),AVERAGE(INDEX($C$760:$C1160,402-MA_SHORT):$C1160),"")</f>
        <v/>
      </c>
      <c r="J1160" s="52" t="str">
        <f aca="false">IF(AND(ISNUMBER($G1160),$G1160&gt;=MA_MED),AVERAGE(INDEX($C$760:$C1160,402-MA_MED):$C1160),"")</f>
        <v/>
      </c>
      <c r="K1160" s="52" t="str">
        <f aca="false">IF(AND(ISNUMBER($G1160),$G1160&gt;=MA_LONG2),AVERAGE(INDEX($C$760:$C1160,402-MA_LONG2):$C1160),"")</f>
        <v/>
      </c>
      <c r="L1160" s="53" t="str">
        <f aca="false">IF(AND(ISNUMBER($G1160),$G1160&gt;=21),STDEV(INDEX($H$1100:$H1160,62-20):$H1160)*SQRT(245),"")</f>
        <v/>
      </c>
      <c r="M1160" s="52" t="str">
        <f aca="false">IF(AND(ISNUMBER($G1160),$G1160&gt;=60),MAX(INDEX($D$960:$D1160,202-60):$D1160),"")</f>
        <v/>
      </c>
      <c r="N1160" s="52" t="str">
        <f aca="false">IF(AND(ISNUMBER($G1160),$G1160&gt;=60),MIN(INDEX($E$960:$E1160,202-60):$E1160),"")</f>
        <v/>
      </c>
      <c r="O1160" s="53" t="str">
        <f aca="false">IF(OR(NOT(ISNUMBER($C1160)),NOT(ISNUMBER($M1160)),$M1160=0),"",$C1160/$M1160-1)</f>
        <v/>
      </c>
      <c r="P1160" s="54"/>
      <c r="Q1160" s="53" t="str">
        <f aca="false">IF(NOT(ISNUMBER($P1160)),"",IFERROR(PERCENTRANK($P$5:$P$1204,$P1160),""))</f>
        <v/>
      </c>
    </row>
    <row r="1161" customFormat="false" ht="15" hidden="false" customHeight="false" outlineLevel="0" collapsed="false">
      <c r="A1161" s="55"/>
      <c r="B1161" s="56"/>
      <c r="C1161" s="57"/>
      <c r="D1161" s="56"/>
      <c r="E1161" s="56"/>
      <c r="F1161" s="56"/>
      <c r="G1161" s="50" t="str">
        <f aca="false">IF($A1161="","",IF(ISNUMBER($G1160),$G1160+1,1))</f>
        <v/>
      </c>
      <c r="H1161" s="51" t="str">
        <f aca="false">IF(OR(NOT(ISNUMBER($G1161)),$G1161&lt;2,NOT(ISNUMBER($C1160)),$C1160=0),"",$C1161/$C1160-1)</f>
        <v/>
      </c>
      <c r="I1161" s="52" t="str">
        <f aca="false">IF(AND(ISNUMBER($G1161),$G1161&gt;=MA_SHORT),AVERAGE(INDEX($C$761:$C1161,402-MA_SHORT):$C1161),"")</f>
        <v/>
      </c>
      <c r="J1161" s="52" t="str">
        <f aca="false">IF(AND(ISNUMBER($G1161),$G1161&gt;=MA_MED),AVERAGE(INDEX($C$761:$C1161,402-MA_MED):$C1161),"")</f>
        <v/>
      </c>
      <c r="K1161" s="52" t="str">
        <f aca="false">IF(AND(ISNUMBER($G1161),$G1161&gt;=MA_LONG2),AVERAGE(INDEX($C$761:$C1161,402-MA_LONG2):$C1161),"")</f>
        <v/>
      </c>
      <c r="L1161" s="53" t="str">
        <f aca="false">IF(AND(ISNUMBER($G1161),$G1161&gt;=21),STDEV(INDEX($H$1101:$H1161,62-20):$H1161)*SQRT(245),"")</f>
        <v/>
      </c>
      <c r="M1161" s="52" t="str">
        <f aca="false">IF(AND(ISNUMBER($G1161),$G1161&gt;=60),MAX(INDEX($D$961:$D1161,202-60):$D1161),"")</f>
        <v/>
      </c>
      <c r="N1161" s="52" t="str">
        <f aca="false">IF(AND(ISNUMBER($G1161),$G1161&gt;=60),MIN(INDEX($E$961:$E1161,202-60):$E1161),"")</f>
        <v/>
      </c>
      <c r="O1161" s="53" t="str">
        <f aca="false">IF(OR(NOT(ISNUMBER($C1161)),NOT(ISNUMBER($M1161)),$M1161=0),"",$C1161/$M1161-1)</f>
        <v/>
      </c>
      <c r="P1161" s="54"/>
      <c r="Q1161" s="53" t="str">
        <f aca="false">IF(NOT(ISNUMBER($P1161)),"",IFERROR(PERCENTRANK($P$5:$P$1204,$P1161),""))</f>
        <v/>
      </c>
    </row>
    <row r="1162" customFormat="false" ht="15" hidden="false" customHeight="false" outlineLevel="0" collapsed="false">
      <c r="A1162" s="55"/>
      <c r="B1162" s="56"/>
      <c r="C1162" s="57"/>
      <c r="D1162" s="56"/>
      <c r="E1162" s="56"/>
      <c r="F1162" s="56"/>
      <c r="G1162" s="50" t="str">
        <f aca="false">IF($A1162="","",IF(ISNUMBER($G1161),$G1161+1,1))</f>
        <v/>
      </c>
      <c r="H1162" s="51" t="str">
        <f aca="false">IF(OR(NOT(ISNUMBER($G1162)),$G1162&lt;2,NOT(ISNUMBER($C1161)),$C1161=0),"",$C1162/$C1161-1)</f>
        <v/>
      </c>
      <c r="I1162" s="52" t="str">
        <f aca="false">IF(AND(ISNUMBER($G1162),$G1162&gt;=MA_SHORT),AVERAGE(INDEX($C$762:$C1162,402-MA_SHORT):$C1162),"")</f>
        <v/>
      </c>
      <c r="J1162" s="52" t="str">
        <f aca="false">IF(AND(ISNUMBER($G1162),$G1162&gt;=MA_MED),AVERAGE(INDEX($C$762:$C1162,402-MA_MED):$C1162),"")</f>
        <v/>
      </c>
      <c r="K1162" s="52" t="str">
        <f aca="false">IF(AND(ISNUMBER($G1162),$G1162&gt;=MA_LONG2),AVERAGE(INDEX($C$762:$C1162,402-MA_LONG2):$C1162),"")</f>
        <v/>
      </c>
      <c r="L1162" s="53" t="str">
        <f aca="false">IF(AND(ISNUMBER($G1162),$G1162&gt;=21),STDEV(INDEX($H$1102:$H1162,62-20):$H1162)*SQRT(245),"")</f>
        <v/>
      </c>
      <c r="M1162" s="52" t="str">
        <f aca="false">IF(AND(ISNUMBER($G1162),$G1162&gt;=60),MAX(INDEX($D$962:$D1162,202-60):$D1162),"")</f>
        <v/>
      </c>
      <c r="N1162" s="52" t="str">
        <f aca="false">IF(AND(ISNUMBER($G1162),$G1162&gt;=60),MIN(INDEX($E$962:$E1162,202-60):$E1162),"")</f>
        <v/>
      </c>
      <c r="O1162" s="53" t="str">
        <f aca="false">IF(OR(NOT(ISNUMBER($C1162)),NOT(ISNUMBER($M1162)),$M1162=0),"",$C1162/$M1162-1)</f>
        <v/>
      </c>
      <c r="P1162" s="54"/>
      <c r="Q1162" s="53" t="str">
        <f aca="false">IF(NOT(ISNUMBER($P1162)),"",IFERROR(PERCENTRANK($P$5:$P$1204,$P1162),""))</f>
        <v/>
      </c>
    </row>
    <row r="1163" customFormat="false" ht="15" hidden="false" customHeight="false" outlineLevel="0" collapsed="false">
      <c r="A1163" s="55"/>
      <c r="B1163" s="56"/>
      <c r="C1163" s="57"/>
      <c r="D1163" s="56"/>
      <c r="E1163" s="56"/>
      <c r="F1163" s="56"/>
      <c r="G1163" s="50" t="str">
        <f aca="false">IF($A1163="","",IF(ISNUMBER($G1162),$G1162+1,1))</f>
        <v/>
      </c>
      <c r="H1163" s="51" t="str">
        <f aca="false">IF(OR(NOT(ISNUMBER($G1163)),$G1163&lt;2,NOT(ISNUMBER($C1162)),$C1162=0),"",$C1163/$C1162-1)</f>
        <v/>
      </c>
      <c r="I1163" s="52" t="str">
        <f aca="false">IF(AND(ISNUMBER($G1163),$G1163&gt;=MA_SHORT),AVERAGE(INDEX($C$763:$C1163,402-MA_SHORT):$C1163),"")</f>
        <v/>
      </c>
      <c r="J1163" s="52" t="str">
        <f aca="false">IF(AND(ISNUMBER($G1163),$G1163&gt;=MA_MED),AVERAGE(INDEX($C$763:$C1163,402-MA_MED):$C1163),"")</f>
        <v/>
      </c>
      <c r="K1163" s="52" t="str">
        <f aca="false">IF(AND(ISNUMBER($G1163),$G1163&gt;=MA_LONG2),AVERAGE(INDEX($C$763:$C1163,402-MA_LONG2):$C1163),"")</f>
        <v/>
      </c>
      <c r="L1163" s="53" t="str">
        <f aca="false">IF(AND(ISNUMBER($G1163),$G1163&gt;=21),STDEV(INDEX($H$1103:$H1163,62-20):$H1163)*SQRT(245),"")</f>
        <v/>
      </c>
      <c r="M1163" s="52" t="str">
        <f aca="false">IF(AND(ISNUMBER($G1163),$G1163&gt;=60),MAX(INDEX($D$963:$D1163,202-60):$D1163),"")</f>
        <v/>
      </c>
      <c r="N1163" s="52" t="str">
        <f aca="false">IF(AND(ISNUMBER($G1163),$G1163&gt;=60),MIN(INDEX($E$963:$E1163,202-60):$E1163),"")</f>
        <v/>
      </c>
      <c r="O1163" s="53" t="str">
        <f aca="false">IF(OR(NOT(ISNUMBER($C1163)),NOT(ISNUMBER($M1163)),$M1163=0),"",$C1163/$M1163-1)</f>
        <v/>
      </c>
      <c r="P1163" s="54"/>
      <c r="Q1163" s="53" t="str">
        <f aca="false">IF(NOT(ISNUMBER($P1163)),"",IFERROR(PERCENTRANK($P$5:$P$1204,$P1163),""))</f>
        <v/>
      </c>
    </row>
    <row r="1164" customFormat="false" ht="15" hidden="false" customHeight="false" outlineLevel="0" collapsed="false">
      <c r="A1164" s="55"/>
      <c r="B1164" s="56"/>
      <c r="C1164" s="57"/>
      <c r="D1164" s="56"/>
      <c r="E1164" s="56"/>
      <c r="F1164" s="56"/>
      <c r="G1164" s="50" t="str">
        <f aca="false">IF($A1164="","",IF(ISNUMBER($G1163),$G1163+1,1))</f>
        <v/>
      </c>
      <c r="H1164" s="51" t="str">
        <f aca="false">IF(OR(NOT(ISNUMBER($G1164)),$G1164&lt;2,NOT(ISNUMBER($C1163)),$C1163=0),"",$C1164/$C1163-1)</f>
        <v/>
      </c>
      <c r="I1164" s="52" t="str">
        <f aca="false">IF(AND(ISNUMBER($G1164),$G1164&gt;=MA_SHORT),AVERAGE(INDEX($C$764:$C1164,402-MA_SHORT):$C1164),"")</f>
        <v/>
      </c>
      <c r="J1164" s="52" t="str">
        <f aca="false">IF(AND(ISNUMBER($G1164),$G1164&gt;=MA_MED),AVERAGE(INDEX($C$764:$C1164,402-MA_MED):$C1164),"")</f>
        <v/>
      </c>
      <c r="K1164" s="52" t="str">
        <f aca="false">IF(AND(ISNUMBER($G1164),$G1164&gt;=MA_LONG2),AVERAGE(INDEX($C$764:$C1164,402-MA_LONG2):$C1164),"")</f>
        <v/>
      </c>
      <c r="L1164" s="53" t="str">
        <f aca="false">IF(AND(ISNUMBER($G1164),$G1164&gt;=21),STDEV(INDEX($H$1104:$H1164,62-20):$H1164)*SQRT(245),"")</f>
        <v/>
      </c>
      <c r="M1164" s="52" t="str">
        <f aca="false">IF(AND(ISNUMBER($G1164),$G1164&gt;=60),MAX(INDEX($D$964:$D1164,202-60):$D1164),"")</f>
        <v/>
      </c>
      <c r="N1164" s="52" t="str">
        <f aca="false">IF(AND(ISNUMBER($G1164),$G1164&gt;=60),MIN(INDEX($E$964:$E1164,202-60):$E1164),"")</f>
        <v/>
      </c>
      <c r="O1164" s="53" t="str">
        <f aca="false">IF(OR(NOT(ISNUMBER($C1164)),NOT(ISNUMBER($M1164)),$M1164=0),"",$C1164/$M1164-1)</f>
        <v/>
      </c>
      <c r="P1164" s="54"/>
      <c r="Q1164" s="53" t="str">
        <f aca="false">IF(NOT(ISNUMBER($P1164)),"",IFERROR(PERCENTRANK($P$5:$P$1204,$P1164),""))</f>
        <v/>
      </c>
    </row>
    <row r="1165" customFormat="false" ht="15" hidden="false" customHeight="false" outlineLevel="0" collapsed="false">
      <c r="A1165" s="55"/>
      <c r="B1165" s="56"/>
      <c r="C1165" s="57"/>
      <c r="D1165" s="56"/>
      <c r="E1165" s="56"/>
      <c r="F1165" s="56"/>
      <c r="G1165" s="50" t="str">
        <f aca="false">IF($A1165="","",IF(ISNUMBER($G1164),$G1164+1,1))</f>
        <v/>
      </c>
      <c r="H1165" s="51" t="str">
        <f aca="false">IF(OR(NOT(ISNUMBER($G1165)),$G1165&lt;2,NOT(ISNUMBER($C1164)),$C1164=0),"",$C1165/$C1164-1)</f>
        <v/>
      </c>
      <c r="I1165" s="52" t="str">
        <f aca="false">IF(AND(ISNUMBER($G1165),$G1165&gt;=MA_SHORT),AVERAGE(INDEX($C$765:$C1165,402-MA_SHORT):$C1165),"")</f>
        <v/>
      </c>
      <c r="J1165" s="52" t="str">
        <f aca="false">IF(AND(ISNUMBER($G1165),$G1165&gt;=MA_MED),AVERAGE(INDEX($C$765:$C1165,402-MA_MED):$C1165),"")</f>
        <v/>
      </c>
      <c r="K1165" s="52" t="str">
        <f aca="false">IF(AND(ISNUMBER($G1165),$G1165&gt;=MA_LONG2),AVERAGE(INDEX($C$765:$C1165,402-MA_LONG2):$C1165),"")</f>
        <v/>
      </c>
      <c r="L1165" s="53" t="str">
        <f aca="false">IF(AND(ISNUMBER($G1165),$G1165&gt;=21),STDEV(INDEX($H$1105:$H1165,62-20):$H1165)*SQRT(245),"")</f>
        <v/>
      </c>
      <c r="M1165" s="52" t="str">
        <f aca="false">IF(AND(ISNUMBER($G1165),$G1165&gt;=60),MAX(INDEX($D$965:$D1165,202-60):$D1165),"")</f>
        <v/>
      </c>
      <c r="N1165" s="52" t="str">
        <f aca="false">IF(AND(ISNUMBER($G1165),$G1165&gt;=60),MIN(INDEX($E$965:$E1165,202-60):$E1165),"")</f>
        <v/>
      </c>
      <c r="O1165" s="53" t="str">
        <f aca="false">IF(OR(NOT(ISNUMBER($C1165)),NOT(ISNUMBER($M1165)),$M1165=0),"",$C1165/$M1165-1)</f>
        <v/>
      </c>
      <c r="P1165" s="54"/>
      <c r="Q1165" s="53" t="str">
        <f aca="false">IF(NOT(ISNUMBER($P1165)),"",IFERROR(PERCENTRANK($P$5:$P$1204,$P1165),""))</f>
        <v/>
      </c>
    </row>
    <row r="1166" customFormat="false" ht="15" hidden="false" customHeight="false" outlineLevel="0" collapsed="false">
      <c r="A1166" s="55"/>
      <c r="B1166" s="56"/>
      <c r="C1166" s="57"/>
      <c r="D1166" s="56"/>
      <c r="E1166" s="56"/>
      <c r="F1166" s="56"/>
      <c r="G1166" s="50" t="str">
        <f aca="false">IF($A1166="","",IF(ISNUMBER($G1165),$G1165+1,1))</f>
        <v/>
      </c>
      <c r="H1166" s="51" t="str">
        <f aca="false">IF(OR(NOT(ISNUMBER($G1166)),$G1166&lt;2,NOT(ISNUMBER($C1165)),$C1165=0),"",$C1166/$C1165-1)</f>
        <v/>
      </c>
      <c r="I1166" s="52" t="str">
        <f aca="false">IF(AND(ISNUMBER($G1166),$G1166&gt;=MA_SHORT),AVERAGE(INDEX($C$766:$C1166,402-MA_SHORT):$C1166),"")</f>
        <v/>
      </c>
      <c r="J1166" s="52" t="str">
        <f aca="false">IF(AND(ISNUMBER($G1166),$G1166&gt;=MA_MED),AVERAGE(INDEX($C$766:$C1166,402-MA_MED):$C1166),"")</f>
        <v/>
      </c>
      <c r="K1166" s="52" t="str">
        <f aca="false">IF(AND(ISNUMBER($G1166),$G1166&gt;=MA_LONG2),AVERAGE(INDEX($C$766:$C1166,402-MA_LONG2):$C1166),"")</f>
        <v/>
      </c>
      <c r="L1166" s="53" t="str">
        <f aca="false">IF(AND(ISNUMBER($G1166),$G1166&gt;=21),STDEV(INDEX($H$1106:$H1166,62-20):$H1166)*SQRT(245),"")</f>
        <v/>
      </c>
      <c r="M1166" s="52" t="str">
        <f aca="false">IF(AND(ISNUMBER($G1166),$G1166&gt;=60),MAX(INDEX($D$966:$D1166,202-60):$D1166),"")</f>
        <v/>
      </c>
      <c r="N1166" s="52" t="str">
        <f aca="false">IF(AND(ISNUMBER($G1166),$G1166&gt;=60),MIN(INDEX($E$966:$E1166,202-60):$E1166),"")</f>
        <v/>
      </c>
      <c r="O1166" s="53" t="str">
        <f aca="false">IF(OR(NOT(ISNUMBER($C1166)),NOT(ISNUMBER($M1166)),$M1166=0),"",$C1166/$M1166-1)</f>
        <v/>
      </c>
      <c r="P1166" s="54"/>
      <c r="Q1166" s="53" t="str">
        <f aca="false">IF(NOT(ISNUMBER($P1166)),"",IFERROR(PERCENTRANK($P$5:$P$1204,$P1166),""))</f>
        <v/>
      </c>
    </row>
    <row r="1167" customFormat="false" ht="15" hidden="false" customHeight="false" outlineLevel="0" collapsed="false">
      <c r="A1167" s="55"/>
      <c r="B1167" s="56"/>
      <c r="C1167" s="57"/>
      <c r="D1167" s="56"/>
      <c r="E1167" s="56"/>
      <c r="F1167" s="56"/>
      <c r="G1167" s="50" t="str">
        <f aca="false">IF($A1167="","",IF(ISNUMBER($G1166),$G1166+1,1))</f>
        <v/>
      </c>
      <c r="H1167" s="51" t="str">
        <f aca="false">IF(OR(NOT(ISNUMBER($G1167)),$G1167&lt;2,NOT(ISNUMBER($C1166)),$C1166=0),"",$C1167/$C1166-1)</f>
        <v/>
      </c>
      <c r="I1167" s="52" t="str">
        <f aca="false">IF(AND(ISNUMBER($G1167),$G1167&gt;=MA_SHORT),AVERAGE(INDEX($C$767:$C1167,402-MA_SHORT):$C1167),"")</f>
        <v/>
      </c>
      <c r="J1167" s="52" t="str">
        <f aca="false">IF(AND(ISNUMBER($G1167),$G1167&gt;=MA_MED),AVERAGE(INDEX($C$767:$C1167,402-MA_MED):$C1167),"")</f>
        <v/>
      </c>
      <c r="K1167" s="52" t="str">
        <f aca="false">IF(AND(ISNUMBER($G1167),$G1167&gt;=MA_LONG2),AVERAGE(INDEX($C$767:$C1167,402-MA_LONG2):$C1167),"")</f>
        <v/>
      </c>
      <c r="L1167" s="53" t="str">
        <f aca="false">IF(AND(ISNUMBER($G1167),$G1167&gt;=21),STDEV(INDEX($H$1107:$H1167,62-20):$H1167)*SQRT(245),"")</f>
        <v/>
      </c>
      <c r="M1167" s="52" t="str">
        <f aca="false">IF(AND(ISNUMBER($G1167),$G1167&gt;=60),MAX(INDEX($D$967:$D1167,202-60):$D1167),"")</f>
        <v/>
      </c>
      <c r="N1167" s="52" t="str">
        <f aca="false">IF(AND(ISNUMBER($G1167),$G1167&gt;=60),MIN(INDEX($E$967:$E1167,202-60):$E1167),"")</f>
        <v/>
      </c>
      <c r="O1167" s="53" t="str">
        <f aca="false">IF(OR(NOT(ISNUMBER($C1167)),NOT(ISNUMBER($M1167)),$M1167=0),"",$C1167/$M1167-1)</f>
        <v/>
      </c>
      <c r="P1167" s="54"/>
      <c r="Q1167" s="53" t="str">
        <f aca="false">IF(NOT(ISNUMBER($P1167)),"",IFERROR(PERCENTRANK($P$5:$P$1204,$P1167),""))</f>
        <v/>
      </c>
    </row>
    <row r="1168" customFormat="false" ht="15" hidden="false" customHeight="false" outlineLevel="0" collapsed="false">
      <c r="A1168" s="55"/>
      <c r="B1168" s="56"/>
      <c r="C1168" s="57"/>
      <c r="D1168" s="56"/>
      <c r="E1168" s="56"/>
      <c r="F1168" s="56"/>
      <c r="G1168" s="50" t="str">
        <f aca="false">IF($A1168="","",IF(ISNUMBER($G1167),$G1167+1,1))</f>
        <v/>
      </c>
      <c r="H1168" s="51" t="str">
        <f aca="false">IF(OR(NOT(ISNUMBER($G1168)),$G1168&lt;2,NOT(ISNUMBER($C1167)),$C1167=0),"",$C1168/$C1167-1)</f>
        <v/>
      </c>
      <c r="I1168" s="52" t="str">
        <f aca="false">IF(AND(ISNUMBER($G1168),$G1168&gt;=MA_SHORT),AVERAGE(INDEX($C$768:$C1168,402-MA_SHORT):$C1168),"")</f>
        <v/>
      </c>
      <c r="J1168" s="52" t="str">
        <f aca="false">IF(AND(ISNUMBER($G1168),$G1168&gt;=MA_MED),AVERAGE(INDEX($C$768:$C1168,402-MA_MED):$C1168),"")</f>
        <v/>
      </c>
      <c r="K1168" s="52" t="str">
        <f aca="false">IF(AND(ISNUMBER($G1168),$G1168&gt;=MA_LONG2),AVERAGE(INDEX($C$768:$C1168,402-MA_LONG2):$C1168),"")</f>
        <v/>
      </c>
      <c r="L1168" s="53" t="str">
        <f aca="false">IF(AND(ISNUMBER($G1168),$G1168&gt;=21),STDEV(INDEX($H$1108:$H1168,62-20):$H1168)*SQRT(245),"")</f>
        <v/>
      </c>
      <c r="M1168" s="52" t="str">
        <f aca="false">IF(AND(ISNUMBER($G1168),$G1168&gt;=60),MAX(INDEX($D$968:$D1168,202-60):$D1168),"")</f>
        <v/>
      </c>
      <c r="N1168" s="52" t="str">
        <f aca="false">IF(AND(ISNUMBER($G1168),$G1168&gt;=60),MIN(INDEX($E$968:$E1168,202-60):$E1168),"")</f>
        <v/>
      </c>
      <c r="O1168" s="53" t="str">
        <f aca="false">IF(OR(NOT(ISNUMBER($C1168)),NOT(ISNUMBER($M1168)),$M1168=0),"",$C1168/$M1168-1)</f>
        <v/>
      </c>
      <c r="P1168" s="54"/>
      <c r="Q1168" s="53" t="str">
        <f aca="false">IF(NOT(ISNUMBER($P1168)),"",IFERROR(PERCENTRANK($P$5:$P$1204,$P1168),""))</f>
        <v/>
      </c>
    </row>
    <row r="1169" customFormat="false" ht="15" hidden="false" customHeight="false" outlineLevel="0" collapsed="false">
      <c r="A1169" s="55"/>
      <c r="B1169" s="56"/>
      <c r="C1169" s="57"/>
      <c r="D1169" s="56"/>
      <c r="E1169" s="56"/>
      <c r="F1169" s="56"/>
      <c r="G1169" s="50" t="str">
        <f aca="false">IF($A1169="","",IF(ISNUMBER($G1168),$G1168+1,1))</f>
        <v/>
      </c>
      <c r="H1169" s="51" t="str">
        <f aca="false">IF(OR(NOT(ISNUMBER($G1169)),$G1169&lt;2,NOT(ISNUMBER($C1168)),$C1168=0),"",$C1169/$C1168-1)</f>
        <v/>
      </c>
      <c r="I1169" s="52" t="str">
        <f aca="false">IF(AND(ISNUMBER($G1169),$G1169&gt;=MA_SHORT),AVERAGE(INDEX($C$769:$C1169,402-MA_SHORT):$C1169),"")</f>
        <v/>
      </c>
      <c r="J1169" s="52" t="str">
        <f aca="false">IF(AND(ISNUMBER($G1169),$G1169&gt;=MA_MED),AVERAGE(INDEX($C$769:$C1169,402-MA_MED):$C1169),"")</f>
        <v/>
      </c>
      <c r="K1169" s="52" t="str">
        <f aca="false">IF(AND(ISNUMBER($G1169),$G1169&gt;=MA_LONG2),AVERAGE(INDEX($C$769:$C1169,402-MA_LONG2):$C1169),"")</f>
        <v/>
      </c>
      <c r="L1169" s="53" t="str">
        <f aca="false">IF(AND(ISNUMBER($G1169),$G1169&gt;=21),STDEV(INDEX($H$1109:$H1169,62-20):$H1169)*SQRT(245),"")</f>
        <v/>
      </c>
      <c r="M1169" s="52" t="str">
        <f aca="false">IF(AND(ISNUMBER($G1169),$G1169&gt;=60),MAX(INDEX($D$969:$D1169,202-60):$D1169),"")</f>
        <v/>
      </c>
      <c r="N1169" s="52" t="str">
        <f aca="false">IF(AND(ISNUMBER($G1169),$G1169&gt;=60),MIN(INDEX($E$969:$E1169,202-60):$E1169),"")</f>
        <v/>
      </c>
      <c r="O1169" s="53" t="str">
        <f aca="false">IF(OR(NOT(ISNUMBER($C1169)),NOT(ISNUMBER($M1169)),$M1169=0),"",$C1169/$M1169-1)</f>
        <v/>
      </c>
      <c r="P1169" s="54"/>
      <c r="Q1169" s="53" t="str">
        <f aca="false">IF(NOT(ISNUMBER($P1169)),"",IFERROR(PERCENTRANK($P$5:$P$1204,$P1169),""))</f>
        <v/>
      </c>
    </row>
    <row r="1170" customFormat="false" ht="15" hidden="false" customHeight="false" outlineLevel="0" collapsed="false">
      <c r="A1170" s="55"/>
      <c r="B1170" s="56"/>
      <c r="C1170" s="57"/>
      <c r="D1170" s="56"/>
      <c r="E1170" s="56"/>
      <c r="F1170" s="56"/>
      <c r="G1170" s="50" t="str">
        <f aca="false">IF($A1170="","",IF(ISNUMBER($G1169),$G1169+1,1))</f>
        <v/>
      </c>
      <c r="H1170" s="51" t="str">
        <f aca="false">IF(OR(NOT(ISNUMBER($G1170)),$G1170&lt;2,NOT(ISNUMBER($C1169)),$C1169=0),"",$C1170/$C1169-1)</f>
        <v/>
      </c>
      <c r="I1170" s="52" t="str">
        <f aca="false">IF(AND(ISNUMBER($G1170),$G1170&gt;=MA_SHORT),AVERAGE(INDEX($C$770:$C1170,402-MA_SHORT):$C1170),"")</f>
        <v/>
      </c>
      <c r="J1170" s="52" t="str">
        <f aca="false">IF(AND(ISNUMBER($G1170),$G1170&gt;=MA_MED),AVERAGE(INDEX($C$770:$C1170,402-MA_MED):$C1170),"")</f>
        <v/>
      </c>
      <c r="K1170" s="52" t="str">
        <f aca="false">IF(AND(ISNUMBER($G1170),$G1170&gt;=MA_LONG2),AVERAGE(INDEX($C$770:$C1170,402-MA_LONG2):$C1170),"")</f>
        <v/>
      </c>
      <c r="L1170" s="53" t="str">
        <f aca="false">IF(AND(ISNUMBER($G1170),$G1170&gt;=21),STDEV(INDEX($H$1110:$H1170,62-20):$H1170)*SQRT(245),"")</f>
        <v/>
      </c>
      <c r="M1170" s="52" t="str">
        <f aca="false">IF(AND(ISNUMBER($G1170),$G1170&gt;=60),MAX(INDEX($D$970:$D1170,202-60):$D1170),"")</f>
        <v/>
      </c>
      <c r="N1170" s="52" t="str">
        <f aca="false">IF(AND(ISNUMBER($G1170),$G1170&gt;=60),MIN(INDEX($E$970:$E1170,202-60):$E1170),"")</f>
        <v/>
      </c>
      <c r="O1170" s="53" t="str">
        <f aca="false">IF(OR(NOT(ISNUMBER($C1170)),NOT(ISNUMBER($M1170)),$M1170=0),"",$C1170/$M1170-1)</f>
        <v/>
      </c>
      <c r="P1170" s="54"/>
      <c r="Q1170" s="53" t="str">
        <f aca="false">IF(NOT(ISNUMBER($P1170)),"",IFERROR(PERCENTRANK($P$5:$P$1204,$P1170),""))</f>
        <v/>
      </c>
    </row>
    <row r="1171" customFormat="false" ht="15" hidden="false" customHeight="false" outlineLevel="0" collapsed="false">
      <c r="A1171" s="55"/>
      <c r="B1171" s="56"/>
      <c r="C1171" s="57"/>
      <c r="D1171" s="56"/>
      <c r="E1171" s="56"/>
      <c r="F1171" s="56"/>
      <c r="G1171" s="50" t="str">
        <f aca="false">IF($A1171="","",IF(ISNUMBER($G1170),$G1170+1,1))</f>
        <v/>
      </c>
      <c r="H1171" s="51" t="str">
        <f aca="false">IF(OR(NOT(ISNUMBER($G1171)),$G1171&lt;2,NOT(ISNUMBER($C1170)),$C1170=0),"",$C1171/$C1170-1)</f>
        <v/>
      </c>
      <c r="I1171" s="52" t="str">
        <f aca="false">IF(AND(ISNUMBER($G1171),$G1171&gt;=MA_SHORT),AVERAGE(INDEX($C$771:$C1171,402-MA_SHORT):$C1171),"")</f>
        <v/>
      </c>
      <c r="J1171" s="52" t="str">
        <f aca="false">IF(AND(ISNUMBER($G1171),$G1171&gt;=MA_MED),AVERAGE(INDEX($C$771:$C1171,402-MA_MED):$C1171),"")</f>
        <v/>
      </c>
      <c r="K1171" s="52" t="str">
        <f aca="false">IF(AND(ISNUMBER($G1171),$G1171&gt;=MA_LONG2),AVERAGE(INDEX($C$771:$C1171,402-MA_LONG2):$C1171),"")</f>
        <v/>
      </c>
      <c r="L1171" s="53" t="str">
        <f aca="false">IF(AND(ISNUMBER($G1171),$G1171&gt;=21),STDEV(INDEX($H$1111:$H1171,62-20):$H1171)*SQRT(245),"")</f>
        <v/>
      </c>
      <c r="M1171" s="52" t="str">
        <f aca="false">IF(AND(ISNUMBER($G1171),$G1171&gt;=60),MAX(INDEX($D$971:$D1171,202-60):$D1171),"")</f>
        <v/>
      </c>
      <c r="N1171" s="52" t="str">
        <f aca="false">IF(AND(ISNUMBER($G1171),$G1171&gt;=60),MIN(INDEX($E$971:$E1171,202-60):$E1171),"")</f>
        <v/>
      </c>
      <c r="O1171" s="53" t="str">
        <f aca="false">IF(OR(NOT(ISNUMBER($C1171)),NOT(ISNUMBER($M1171)),$M1171=0),"",$C1171/$M1171-1)</f>
        <v/>
      </c>
      <c r="P1171" s="54"/>
      <c r="Q1171" s="53" t="str">
        <f aca="false">IF(NOT(ISNUMBER($P1171)),"",IFERROR(PERCENTRANK($P$5:$P$1204,$P1171),""))</f>
        <v/>
      </c>
    </row>
    <row r="1172" customFormat="false" ht="15" hidden="false" customHeight="false" outlineLevel="0" collapsed="false">
      <c r="A1172" s="55"/>
      <c r="B1172" s="56"/>
      <c r="C1172" s="57"/>
      <c r="D1172" s="56"/>
      <c r="E1172" s="56"/>
      <c r="F1172" s="56"/>
      <c r="G1172" s="50" t="str">
        <f aca="false">IF($A1172="","",IF(ISNUMBER($G1171),$G1171+1,1))</f>
        <v/>
      </c>
      <c r="H1172" s="51" t="str">
        <f aca="false">IF(OR(NOT(ISNUMBER($G1172)),$G1172&lt;2,NOT(ISNUMBER($C1171)),$C1171=0),"",$C1172/$C1171-1)</f>
        <v/>
      </c>
      <c r="I1172" s="52" t="str">
        <f aca="false">IF(AND(ISNUMBER($G1172),$G1172&gt;=MA_SHORT),AVERAGE(INDEX($C$772:$C1172,402-MA_SHORT):$C1172),"")</f>
        <v/>
      </c>
      <c r="J1172" s="52" t="str">
        <f aca="false">IF(AND(ISNUMBER($G1172),$G1172&gt;=MA_MED),AVERAGE(INDEX($C$772:$C1172,402-MA_MED):$C1172),"")</f>
        <v/>
      </c>
      <c r="K1172" s="52" t="str">
        <f aca="false">IF(AND(ISNUMBER($G1172),$G1172&gt;=MA_LONG2),AVERAGE(INDEX($C$772:$C1172,402-MA_LONG2):$C1172),"")</f>
        <v/>
      </c>
      <c r="L1172" s="53" t="str">
        <f aca="false">IF(AND(ISNUMBER($G1172),$G1172&gt;=21),STDEV(INDEX($H$1112:$H1172,62-20):$H1172)*SQRT(245),"")</f>
        <v/>
      </c>
      <c r="M1172" s="52" t="str">
        <f aca="false">IF(AND(ISNUMBER($G1172),$G1172&gt;=60),MAX(INDEX($D$972:$D1172,202-60):$D1172),"")</f>
        <v/>
      </c>
      <c r="N1172" s="52" t="str">
        <f aca="false">IF(AND(ISNUMBER($G1172),$G1172&gt;=60),MIN(INDEX($E$972:$E1172,202-60):$E1172),"")</f>
        <v/>
      </c>
      <c r="O1172" s="53" t="str">
        <f aca="false">IF(OR(NOT(ISNUMBER($C1172)),NOT(ISNUMBER($M1172)),$M1172=0),"",$C1172/$M1172-1)</f>
        <v/>
      </c>
      <c r="P1172" s="54"/>
      <c r="Q1172" s="53" t="str">
        <f aca="false">IF(NOT(ISNUMBER($P1172)),"",IFERROR(PERCENTRANK($P$5:$P$1204,$P1172),""))</f>
        <v/>
      </c>
    </row>
    <row r="1173" customFormat="false" ht="15" hidden="false" customHeight="false" outlineLevel="0" collapsed="false">
      <c r="A1173" s="55"/>
      <c r="B1173" s="56"/>
      <c r="C1173" s="57"/>
      <c r="D1173" s="56"/>
      <c r="E1173" s="56"/>
      <c r="F1173" s="56"/>
      <c r="G1173" s="50" t="str">
        <f aca="false">IF($A1173="","",IF(ISNUMBER($G1172),$G1172+1,1))</f>
        <v/>
      </c>
      <c r="H1173" s="51" t="str">
        <f aca="false">IF(OR(NOT(ISNUMBER($G1173)),$G1173&lt;2,NOT(ISNUMBER($C1172)),$C1172=0),"",$C1173/$C1172-1)</f>
        <v/>
      </c>
      <c r="I1173" s="52" t="str">
        <f aca="false">IF(AND(ISNUMBER($G1173),$G1173&gt;=MA_SHORT),AVERAGE(INDEX($C$773:$C1173,402-MA_SHORT):$C1173),"")</f>
        <v/>
      </c>
      <c r="J1173" s="52" t="str">
        <f aca="false">IF(AND(ISNUMBER($G1173),$G1173&gt;=MA_MED),AVERAGE(INDEX($C$773:$C1173,402-MA_MED):$C1173),"")</f>
        <v/>
      </c>
      <c r="K1173" s="52" t="str">
        <f aca="false">IF(AND(ISNUMBER($G1173),$G1173&gt;=MA_LONG2),AVERAGE(INDEX($C$773:$C1173,402-MA_LONG2):$C1173),"")</f>
        <v/>
      </c>
      <c r="L1173" s="53" t="str">
        <f aca="false">IF(AND(ISNUMBER($G1173),$G1173&gt;=21),STDEV(INDEX($H$1113:$H1173,62-20):$H1173)*SQRT(245),"")</f>
        <v/>
      </c>
      <c r="M1173" s="52" t="str">
        <f aca="false">IF(AND(ISNUMBER($G1173),$G1173&gt;=60),MAX(INDEX($D$973:$D1173,202-60):$D1173),"")</f>
        <v/>
      </c>
      <c r="N1173" s="52" t="str">
        <f aca="false">IF(AND(ISNUMBER($G1173),$G1173&gt;=60),MIN(INDEX($E$973:$E1173,202-60):$E1173),"")</f>
        <v/>
      </c>
      <c r="O1173" s="53" t="str">
        <f aca="false">IF(OR(NOT(ISNUMBER($C1173)),NOT(ISNUMBER($M1173)),$M1173=0),"",$C1173/$M1173-1)</f>
        <v/>
      </c>
      <c r="P1173" s="54"/>
      <c r="Q1173" s="53" t="str">
        <f aca="false">IF(NOT(ISNUMBER($P1173)),"",IFERROR(PERCENTRANK($P$5:$P$1204,$P1173),""))</f>
        <v/>
      </c>
    </row>
    <row r="1174" customFormat="false" ht="15" hidden="false" customHeight="false" outlineLevel="0" collapsed="false">
      <c r="A1174" s="55"/>
      <c r="B1174" s="56"/>
      <c r="C1174" s="57"/>
      <c r="D1174" s="56"/>
      <c r="E1174" s="56"/>
      <c r="F1174" s="56"/>
      <c r="G1174" s="50" t="str">
        <f aca="false">IF($A1174="","",IF(ISNUMBER($G1173),$G1173+1,1))</f>
        <v/>
      </c>
      <c r="H1174" s="51" t="str">
        <f aca="false">IF(OR(NOT(ISNUMBER($G1174)),$G1174&lt;2,NOT(ISNUMBER($C1173)),$C1173=0),"",$C1174/$C1173-1)</f>
        <v/>
      </c>
      <c r="I1174" s="52" t="str">
        <f aca="false">IF(AND(ISNUMBER($G1174),$G1174&gt;=MA_SHORT),AVERAGE(INDEX($C$774:$C1174,402-MA_SHORT):$C1174),"")</f>
        <v/>
      </c>
      <c r="J1174" s="52" t="str">
        <f aca="false">IF(AND(ISNUMBER($G1174),$G1174&gt;=MA_MED),AVERAGE(INDEX($C$774:$C1174,402-MA_MED):$C1174),"")</f>
        <v/>
      </c>
      <c r="K1174" s="52" t="str">
        <f aca="false">IF(AND(ISNUMBER($G1174),$G1174&gt;=MA_LONG2),AVERAGE(INDEX($C$774:$C1174,402-MA_LONG2):$C1174),"")</f>
        <v/>
      </c>
      <c r="L1174" s="53" t="str">
        <f aca="false">IF(AND(ISNUMBER($G1174),$G1174&gt;=21),STDEV(INDEX($H$1114:$H1174,62-20):$H1174)*SQRT(245),"")</f>
        <v/>
      </c>
      <c r="M1174" s="52" t="str">
        <f aca="false">IF(AND(ISNUMBER($G1174),$G1174&gt;=60),MAX(INDEX($D$974:$D1174,202-60):$D1174),"")</f>
        <v/>
      </c>
      <c r="N1174" s="52" t="str">
        <f aca="false">IF(AND(ISNUMBER($G1174),$G1174&gt;=60),MIN(INDEX($E$974:$E1174,202-60):$E1174),"")</f>
        <v/>
      </c>
      <c r="O1174" s="53" t="str">
        <f aca="false">IF(OR(NOT(ISNUMBER($C1174)),NOT(ISNUMBER($M1174)),$M1174=0),"",$C1174/$M1174-1)</f>
        <v/>
      </c>
      <c r="P1174" s="54"/>
      <c r="Q1174" s="53" t="str">
        <f aca="false">IF(NOT(ISNUMBER($P1174)),"",IFERROR(PERCENTRANK($P$5:$P$1204,$P1174),""))</f>
        <v/>
      </c>
    </row>
    <row r="1175" customFormat="false" ht="15" hidden="false" customHeight="false" outlineLevel="0" collapsed="false">
      <c r="A1175" s="55"/>
      <c r="B1175" s="56"/>
      <c r="C1175" s="57"/>
      <c r="D1175" s="56"/>
      <c r="E1175" s="56"/>
      <c r="F1175" s="56"/>
      <c r="G1175" s="50" t="str">
        <f aca="false">IF($A1175="","",IF(ISNUMBER($G1174),$G1174+1,1))</f>
        <v/>
      </c>
      <c r="H1175" s="51" t="str">
        <f aca="false">IF(OR(NOT(ISNUMBER($G1175)),$G1175&lt;2,NOT(ISNUMBER($C1174)),$C1174=0),"",$C1175/$C1174-1)</f>
        <v/>
      </c>
      <c r="I1175" s="52" t="str">
        <f aca="false">IF(AND(ISNUMBER($G1175),$G1175&gt;=MA_SHORT),AVERAGE(INDEX($C$775:$C1175,402-MA_SHORT):$C1175),"")</f>
        <v/>
      </c>
      <c r="J1175" s="52" t="str">
        <f aca="false">IF(AND(ISNUMBER($G1175),$G1175&gt;=MA_MED),AVERAGE(INDEX($C$775:$C1175,402-MA_MED):$C1175),"")</f>
        <v/>
      </c>
      <c r="K1175" s="52" t="str">
        <f aca="false">IF(AND(ISNUMBER($G1175),$G1175&gt;=MA_LONG2),AVERAGE(INDEX($C$775:$C1175,402-MA_LONG2):$C1175),"")</f>
        <v/>
      </c>
      <c r="L1175" s="53" t="str">
        <f aca="false">IF(AND(ISNUMBER($G1175),$G1175&gt;=21),STDEV(INDEX($H$1115:$H1175,62-20):$H1175)*SQRT(245),"")</f>
        <v/>
      </c>
      <c r="M1175" s="52" t="str">
        <f aca="false">IF(AND(ISNUMBER($G1175),$G1175&gt;=60),MAX(INDEX($D$975:$D1175,202-60):$D1175),"")</f>
        <v/>
      </c>
      <c r="N1175" s="52" t="str">
        <f aca="false">IF(AND(ISNUMBER($G1175),$G1175&gt;=60),MIN(INDEX($E$975:$E1175,202-60):$E1175),"")</f>
        <v/>
      </c>
      <c r="O1175" s="53" t="str">
        <f aca="false">IF(OR(NOT(ISNUMBER($C1175)),NOT(ISNUMBER($M1175)),$M1175=0),"",$C1175/$M1175-1)</f>
        <v/>
      </c>
      <c r="P1175" s="54"/>
      <c r="Q1175" s="53" t="str">
        <f aca="false">IF(NOT(ISNUMBER($P1175)),"",IFERROR(PERCENTRANK($P$5:$P$1204,$P1175),""))</f>
        <v/>
      </c>
    </row>
    <row r="1176" customFormat="false" ht="15" hidden="false" customHeight="false" outlineLevel="0" collapsed="false">
      <c r="A1176" s="55"/>
      <c r="B1176" s="56"/>
      <c r="C1176" s="57"/>
      <c r="D1176" s="56"/>
      <c r="E1176" s="56"/>
      <c r="F1176" s="56"/>
      <c r="G1176" s="50" t="str">
        <f aca="false">IF($A1176="","",IF(ISNUMBER($G1175),$G1175+1,1))</f>
        <v/>
      </c>
      <c r="H1176" s="51" t="str">
        <f aca="false">IF(OR(NOT(ISNUMBER($G1176)),$G1176&lt;2,NOT(ISNUMBER($C1175)),$C1175=0),"",$C1176/$C1175-1)</f>
        <v/>
      </c>
      <c r="I1176" s="52" t="str">
        <f aca="false">IF(AND(ISNUMBER($G1176),$G1176&gt;=MA_SHORT),AVERAGE(INDEX($C$776:$C1176,402-MA_SHORT):$C1176),"")</f>
        <v/>
      </c>
      <c r="J1176" s="52" t="str">
        <f aca="false">IF(AND(ISNUMBER($G1176),$G1176&gt;=MA_MED),AVERAGE(INDEX($C$776:$C1176,402-MA_MED):$C1176),"")</f>
        <v/>
      </c>
      <c r="K1176" s="52" t="str">
        <f aca="false">IF(AND(ISNUMBER($G1176),$G1176&gt;=MA_LONG2),AVERAGE(INDEX($C$776:$C1176,402-MA_LONG2):$C1176),"")</f>
        <v/>
      </c>
      <c r="L1176" s="53" t="str">
        <f aca="false">IF(AND(ISNUMBER($G1176),$G1176&gt;=21),STDEV(INDEX($H$1116:$H1176,62-20):$H1176)*SQRT(245),"")</f>
        <v/>
      </c>
      <c r="M1176" s="52" t="str">
        <f aca="false">IF(AND(ISNUMBER($G1176),$G1176&gt;=60),MAX(INDEX($D$976:$D1176,202-60):$D1176),"")</f>
        <v/>
      </c>
      <c r="N1176" s="52" t="str">
        <f aca="false">IF(AND(ISNUMBER($G1176),$G1176&gt;=60),MIN(INDEX($E$976:$E1176,202-60):$E1176),"")</f>
        <v/>
      </c>
      <c r="O1176" s="53" t="str">
        <f aca="false">IF(OR(NOT(ISNUMBER($C1176)),NOT(ISNUMBER($M1176)),$M1176=0),"",$C1176/$M1176-1)</f>
        <v/>
      </c>
      <c r="P1176" s="54"/>
      <c r="Q1176" s="53" t="str">
        <f aca="false">IF(NOT(ISNUMBER($P1176)),"",IFERROR(PERCENTRANK($P$5:$P$1204,$P1176),""))</f>
        <v/>
      </c>
    </row>
    <row r="1177" customFormat="false" ht="15" hidden="false" customHeight="false" outlineLevel="0" collapsed="false">
      <c r="A1177" s="55"/>
      <c r="B1177" s="56"/>
      <c r="C1177" s="57"/>
      <c r="D1177" s="56"/>
      <c r="E1177" s="56"/>
      <c r="F1177" s="56"/>
      <c r="G1177" s="50" t="str">
        <f aca="false">IF($A1177="","",IF(ISNUMBER($G1176),$G1176+1,1))</f>
        <v/>
      </c>
      <c r="H1177" s="51" t="str">
        <f aca="false">IF(OR(NOT(ISNUMBER($G1177)),$G1177&lt;2,NOT(ISNUMBER($C1176)),$C1176=0),"",$C1177/$C1176-1)</f>
        <v/>
      </c>
      <c r="I1177" s="52" t="str">
        <f aca="false">IF(AND(ISNUMBER($G1177),$G1177&gt;=MA_SHORT),AVERAGE(INDEX($C$777:$C1177,402-MA_SHORT):$C1177),"")</f>
        <v/>
      </c>
      <c r="J1177" s="52" t="str">
        <f aca="false">IF(AND(ISNUMBER($G1177),$G1177&gt;=MA_MED),AVERAGE(INDEX($C$777:$C1177,402-MA_MED):$C1177),"")</f>
        <v/>
      </c>
      <c r="K1177" s="52" t="str">
        <f aca="false">IF(AND(ISNUMBER($G1177),$G1177&gt;=MA_LONG2),AVERAGE(INDEX($C$777:$C1177,402-MA_LONG2):$C1177),"")</f>
        <v/>
      </c>
      <c r="L1177" s="53" t="str">
        <f aca="false">IF(AND(ISNUMBER($G1177),$G1177&gt;=21),STDEV(INDEX($H$1117:$H1177,62-20):$H1177)*SQRT(245),"")</f>
        <v/>
      </c>
      <c r="M1177" s="52" t="str">
        <f aca="false">IF(AND(ISNUMBER($G1177),$G1177&gt;=60),MAX(INDEX($D$977:$D1177,202-60):$D1177),"")</f>
        <v/>
      </c>
      <c r="N1177" s="52" t="str">
        <f aca="false">IF(AND(ISNUMBER($G1177),$G1177&gt;=60),MIN(INDEX($E$977:$E1177,202-60):$E1177),"")</f>
        <v/>
      </c>
      <c r="O1177" s="53" t="str">
        <f aca="false">IF(OR(NOT(ISNUMBER($C1177)),NOT(ISNUMBER($M1177)),$M1177=0),"",$C1177/$M1177-1)</f>
        <v/>
      </c>
      <c r="P1177" s="54"/>
      <c r="Q1177" s="53" t="str">
        <f aca="false">IF(NOT(ISNUMBER($P1177)),"",IFERROR(PERCENTRANK($P$5:$P$1204,$P1177),""))</f>
        <v/>
      </c>
    </row>
    <row r="1178" customFormat="false" ht="15" hidden="false" customHeight="false" outlineLevel="0" collapsed="false">
      <c r="A1178" s="55"/>
      <c r="B1178" s="56"/>
      <c r="C1178" s="57"/>
      <c r="D1178" s="56"/>
      <c r="E1178" s="56"/>
      <c r="F1178" s="56"/>
      <c r="G1178" s="50" t="str">
        <f aca="false">IF($A1178="","",IF(ISNUMBER($G1177),$G1177+1,1))</f>
        <v/>
      </c>
      <c r="H1178" s="51" t="str">
        <f aca="false">IF(OR(NOT(ISNUMBER($G1178)),$G1178&lt;2,NOT(ISNUMBER($C1177)),$C1177=0),"",$C1178/$C1177-1)</f>
        <v/>
      </c>
      <c r="I1178" s="52" t="str">
        <f aca="false">IF(AND(ISNUMBER($G1178),$G1178&gt;=MA_SHORT),AVERAGE(INDEX($C$778:$C1178,402-MA_SHORT):$C1178),"")</f>
        <v/>
      </c>
      <c r="J1178" s="52" t="str">
        <f aca="false">IF(AND(ISNUMBER($G1178),$G1178&gt;=MA_MED),AVERAGE(INDEX($C$778:$C1178,402-MA_MED):$C1178),"")</f>
        <v/>
      </c>
      <c r="K1178" s="52" t="str">
        <f aca="false">IF(AND(ISNUMBER($G1178),$G1178&gt;=MA_LONG2),AVERAGE(INDEX($C$778:$C1178,402-MA_LONG2):$C1178),"")</f>
        <v/>
      </c>
      <c r="L1178" s="53" t="str">
        <f aca="false">IF(AND(ISNUMBER($G1178),$G1178&gt;=21),STDEV(INDEX($H$1118:$H1178,62-20):$H1178)*SQRT(245),"")</f>
        <v/>
      </c>
      <c r="M1178" s="52" t="str">
        <f aca="false">IF(AND(ISNUMBER($G1178),$G1178&gt;=60),MAX(INDEX($D$978:$D1178,202-60):$D1178),"")</f>
        <v/>
      </c>
      <c r="N1178" s="52" t="str">
        <f aca="false">IF(AND(ISNUMBER($G1178),$G1178&gt;=60),MIN(INDEX($E$978:$E1178,202-60):$E1178),"")</f>
        <v/>
      </c>
      <c r="O1178" s="53" t="str">
        <f aca="false">IF(OR(NOT(ISNUMBER($C1178)),NOT(ISNUMBER($M1178)),$M1178=0),"",$C1178/$M1178-1)</f>
        <v/>
      </c>
      <c r="P1178" s="54"/>
      <c r="Q1178" s="53" t="str">
        <f aca="false">IF(NOT(ISNUMBER($P1178)),"",IFERROR(PERCENTRANK($P$5:$P$1204,$P1178),""))</f>
        <v/>
      </c>
    </row>
    <row r="1179" customFormat="false" ht="15" hidden="false" customHeight="false" outlineLevel="0" collapsed="false">
      <c r="A1179" s="55"/>
      <c r="B1179" s="56"/>
      <c r="C1179" s="57"/>
      <c r="D1179" s="56"/>
      <c r="E1179" s="56"/>
      <c r="F1179" s="56"/>
      <c r="G1179" s="50" t="str">
        <f aca="false">IF($A1179="","",IF(ISNUMBER($G1178),$G1178+1,1))</f>
        <v/>
      </c>
      <c r="H1179" s="51" t="str">
        <f aca="false">IF(OR(NOT(ISNUMBER($G1179)),$G1179&lt;2,NOT(ISNUMBER($C1178)),$C1178=0),"",$C1179/$C1178-1)</f>
        <v/>
      </c>
      <c r="I1179" s="52" t="str">
        <f aca="false">IF(AND(ISNUMBER($G1179),$G1179&gt;=MA_SHORT),AVERAGE(INDEX($C$779:$C1179,402-MA_SHORT):$C1179),"")</f>
        <v/>
      </c>
      <c r="J1179" s="52" t="str">
        <f aca="false">IF(AND(ISNUMBER($G1179),$G1179&gt;=MA_MED),AVERAGE(INDEX($C$779:$C1179,402-MA_MED):$C1179),"")</f>
        <v/>
      </c>
      <c r="K1179" s="52" t="str">
        <f aca="false">IF(AND(ISNUMBER($G1179),$G1179&gt;=MA_LONG2),AVERAGE(INDEX($C$779:$C1179,402-MA_LONG2):$C1179),"")</f>
        <v/>
      </c>
      <c r="L1179" s="53" t="str">
        <f aca="false">IF(AND(ISNUMBER($G1179),$G1179&gt;=21),STDEV(INDEX($H$1119:$H1179,62-20):$H1179)*SQRT(245),"")</f>
        <v/>
      </c>
      <c r="M1179" s="52" t="str">
        <f aca="false">IF(AND(ISNUMBER($G1179),$G1179&gt;=60),MAX(INDEX($D$979:$D1179,202-60):$D1179),"")</f>
        <v/>
      </c>
      <c r="N1179" s="52" t="str">
        <f aca="false">IF(AND(ISNUMBER($G1179),$G1179&gt;=60),MIN(INDEX($E$979:$E1179,202-60):$E1179),"")</f>
        <v/>
      </c>
      <c r="O1179" s="53" t="str">
        <f aca="false">IF(OR(NOT(ISNUMBER($C1179)),NOT(ISNUMBER($M1179)),$M1179=0),"",$C1179/$M1179-1)</f>
        <v/>
      </c>
      <c r="P1179" s="54"/>
      <c r="Q1179" s="53" t="str">
        <f aca="false">IF(NOT(ISNUMBER($P1179)),"",IFERROR(PERCENTRANK($P$5:$P$1204,$P1179),""))</f>
        <v/>
      </c>
    </row>
    <row r="1180" customFormat="false" ht="15" hidden="false" customHeight="false" outlineLevel="0" collapsed="false">
      <c r="A1180" s="55"/>
      <c r="B1180" s="56"/>
      <c r="C1180" s="57"/>
      <c r="D1180" s="56"/>
      <c r="E1180" s="56"/>
      <c r="F1180" s="56"/>
      <c r="G1180" s="50" t="str">
        <f aca="false">IF($A1180="","",IF(ISNUMBER($G1179),$G1179+1,1))</f>
        <v/>
      </c>
      <c r="H1180" s="51" t="str">
        <f aca="false">IF(OR(NOT(ISNUMBER($G1180)),$G1180&lt;2,NOT(ISNUMBER($C1179)),$C1179=0),"",$C1180/$C1179-1)</f>
        <v/>
      </c>
      <c r="I1180" s="52" t="str">
        <f aca="false">IF(AND(ISNUMBER($G1180),$G1180&gt;=MA_SHORT),AVERAGE(INDEX($C$780:$C1180,402-MA_SHORT):$C1180),"")</f>
        <v/>
      </c>
      <c r="J1180" s="52" t="str">
        <f aca="false">IF(AND(ISNUMBER($G1180),$G1180&gt;=MA_MED),AVERAGE(INDEX($C$780:$C1180,402-MA_MED):$C1180),"")</f>
        <v/>
      </c>
      <c r="K1180" s="52" t="str">
        <f aca="false">IF(AND(ISNUMBER($G1180),$G1180&gt;=MA_LONG2),AVERAGE(INDEX($C$780:$C1180,402-MA_LONG2):$C1180),"")</f>
        <v/>
      </c>
      <c r="L1180" s="53" t="str">
        <f aca="false">IF(AND(ISNUMBER($G1180),$G1180&gt;=21),STDEV(INDEX($H$1120:$H1180,62-20):$H1180)*SQRT(245),"")</f>
        <v/>
      </c>
      <c r="M1180" s="52" t="str">
        <f aca="false">IF(AND(ISNUMBER($G1180),$G1180&gt;=60),MAX(INDEX($D$980:$D1180,202-60):$D1180),"")</f>
        <v/>
      </c>
      <c r="N1180" s="52" t="str">
        <f aca="false">IF(AND(ISNUMBER($G1180),$G1180&gt;=60),MIN(INDEX($E$980:$E1180,202-60):$E1180),"")</f>
        <v/>
      </c>
      <c r="O1180" s="53" t="str">
        <f aca="false">IF(OR(NOT(ISNUMBER($C1180)),NOT(ISNUMBER($M1180)),$M1180=0),"",$C1180/$M1180-1)</f>
        <v/>
      </c>
      <c r="P1180" s="54"/>
      <c r="Q1180" s="53" t="str">
        <f aca="false">IF(NOT(ISNUMBER($P1180)),"",IFERROR(PERCENTRANK($P$5:$P$1204,$P1180),""))</f>
        <v/>
      </c>
    </row>
    <row r="1181" customFormat="false" ht="15" hidden="false" customHeight="false" outlineLevel="0" collapsed="false">
      <c r="A1181" s="55"/>
      <c r="B1181" s="56"/>
      <c r="C1181" s="57"/>
      <c r="D1181" s="56"/>
      <c r="E1181" s="56"/>
      <c r="F1181" s="56"/>
      <c r="G1181" s="50" t="str">
        <f aca="false">IF($A1181="","",IF(ISNUMBER($G1180),$G1180+1,1))</f>
        <v/>
      </c>
      <c r="H1181" s="51" t="str">
        <f aca="false">IF(OR(NOT(ISNUMBER($G1181)),$G1181&lt;2,NOT(ISNUMBER($C1180)),$C1180=0),"",$C1181/$C1180-1)</f>
        <v/>
      </c>
      <c r="I1181" s="52" t="str">
        <f aca="false">IF(AND(ISNUMBER($G1181),$G1181&gt;=MA_SHORT),AVERAGE(INDEX($C$781:$C1181,402-MA_SHORT):$C1181),"")</f>
        <v/>
      </c>
      <c r="J1181" s="52" t="str">
        <f aca="false">IF(AND(ISNUMBER($G1181),$G1181&gt;=MA_MED),AVERAGE(INDEX($C$781:$C1181,402-MA_MED):$C1181),"")</f>
        <v/>
      </c>
      <c r="K1181" s="52" t="str">
        <f aca="false">IF(AND(ISNUMBER($G1181),$G1181&gt;=MA_LONG2),AVERAGE(INDEX($C$781:$C1181,402-MA_LONG2):$C1181),"")</f>
        <v/>
      </c>
      <c r="L1181" s="53" t="str">
        <f aca="false">IF(AND(ISNUMBER($G1181),$G1181&gt;=21),STDEV(INDEX($H$1121:$H1181,62-20):$H1181)*SQRT(245),"")</f>
        <v/>
      </c>
      <c r="M1181" s="52" t="str">
        <f aca="false">IF(AND(ISNUMBER($G1181),$G1181&gt;=60),MAX(INDEX($D$981:$D1181,202-60):$D1181),"")</f>
        <v/>
      </c>
      <c r="N1181" s="52" t="str">
        <f aca="false">IF(AND(ISNUMBER($G1181),$G1181&gt;=60),MIN(INDEX($E$981:$E1181,202-60):$E1181),"")</f>
        <v/>
      </c>
      <c r="O1181" s="53" t="str">
        <f aca="false">IF(OR(NOT(ISNUMBER($C1181)),NOT(ISNUMBER($M1181)),$M1181=0),"",$C1181/$M1181-1)</f>
        <v/>
      </c>
      <c r="P1181" s="54"/>
      <c r="Q1181" s="53" t="str">
        <f aca="false">IF(NOT(ISNUMBER($P1181)),"",IFERROR(PERCENTRANK($P$5:$P$1204,$P1181),""))</f>
        <v/>
      </c>
    </row>
    <row r="1182" customFormat="false" ht="15" hidden="false" customHeight="false" outlineLevel="0" collapsed="false">
      <c r="A1182" s="55"/>
      <c r="B1182" s="56"/>
      <c r="C1182" s="57"/>
      <c r="D1182" s="56"/>
      <c r="E1182" s="56"/>
      <c r="F1182" s="56"/>
      <c r="G1182" s="50" t="str">
        <f aca="false">IF($A1182="","",IF(ISNUMBER($G1181),$G1181+1,1))</f>
        <v/>
      </c>
      <c r="H1182" s="51" t="str">
        <f aca="false">IF(OR(NOT(ISNUMBER($G1182)),$G1182&lt;2,NOT(ISNUMBER($C1181)),$C1181=0),"",$C1182/$C1181-1)</f>
        <v/>
      </c>
      <c r="I1182" s="52" t="str">
        <f aca="false">IF(AND(ISNUMBER($G1182),$G1182&gt;=MA_SHORT),AVERAGE(INDEX($C$782:$C1182,402-MA_SHORT):$C1182),"")</f>
        <v/>
      </c>
      <c r="J1182" s="52" t="str">
        <f aca="false">IF(AND(ISNUMBER($G1182),$G1182&gt;=MA_MED),AVERAGE(INDEX($C$782:$C1182,402-MA_MED):$C1182),"")</f>
        <v/>
      </c>
      <c r="K1182" s="52" t="str">
        <f aca="false">IF(AND(ISNUMBER($G1182),$G1182&gt;=MA_LONG2),AVERAGE(INDEX($C$782:$C1182,402-MA_LONG2):$C1182),"")</f>
        <v/>
      </c>
      <c r="L1182" s="53" t="str">
        <f aca="false">IF(AND(ISNUMBER($G1182),$G1182&gt;=21),STDEV(INDEX($H$1122:$H1182,62-20):$H1182)*SQRT(245),"")</f>
        <v/>
      </c>
      <c r="M1182" s="52" t="str">
        <f aca="false">IF(AND(ISNUMBER($G1182),$G1182&gt;=60),MAX(INDEX($D$982:$D1182,202-60):$D1182),"")</f>
        <v/>
      </c>
      <c r="N1182" s="52" t="str">
        <f aca="false">IF(AND(ISNUMBER($G1182),$G1182&gt;=60),MIN(INDEX($E$982:$E1182,202-60):$E1182),"")</f>
        <v/>
      </c>
      <c r="O1182" s="53" t="str">
        <f aca="false">IF(OR(NOT(ISNUMBER($C1182)),NOT(ISNUMBER($M1182)),$M1182=0),"",$C1182/$M1182-1)</f>
        <v/>
      </c>
      <c r="P1182" s="54"/>
      <c r="Q1182" s="53" t="str">
        <f aca="false">IF(NOT(ISNUMBER($P1182)),"",IFERROR(PERCENTRANK($P$5:$P$1204,$P1182),""))</f>
        <v/>
      </c>
    </row>
    <row r="1183" customFormat="false" ht="15" hidden="false" customHeight="false" outlineLevel="0" collapsed="false">
      <c r="A1183" s="55"/>
      <c r="B1183" s="56"/>
      <c r="C1183" s="57"/>
      <c r="D1183" s="56"/>
      <c r="E1183" s="56"/>
      <c r="F1183" s="56"/>
      <c r="G1183" s="50" t="str">
        <f aca="false">IF($A1183="","",IF(ISNUMBER($G1182),$G1182+1,1))</f>
        <v/>
      </c>
      <c r="H1183" s="51" t="str">
        <f aca="false">IF(OR(NOT(ISNUMBER($G1183)),$G1183&lt;2,NOT(ISNUMBER($C1182)),$C1182=0),"",$C1183/$C1182-1)</f>
        <v/>
      </c>
      <c r="I1183" s="52" t="str">
        <f aca="false">IF(AND(ISNUMBER($G1183),$G1183&gt;=MA_SHORT),AVERAGE(INDEX($C$783:$C1183,402-MA_SHORT):$C1183),"")</f>
        <v/>
      </c>
      <c r="J1183" s="52" t="str">
        <f aca="false">IF(AND(ISNUMBER($G1183),$G1183&gt;=MA_MED),AVERAGE(INDEX($C$783:$C1183,402-MA_MED):$C1183),"")</f>
        <v/>
      </c>
      <c r="K1183" s="52" t="str">
        <f aca="false">IF(AND(ISNUMBER($G1183),$G1183&gt;=MA_LONG2),AVERAGE(INDEX($C$783:$C1183,402-MA_LONG2):$C1183),"")</f>
        <v/>
      </c>
      <c r="L1183" s="53" t="str">
        <f aca="false">IF(AND(ISNUMBER($G1183),$G1183&gt;=21),STDEV(INDEX($H$1123:$H1183,62-20):$H1183)*SQRT(245),"")</f>
        <v/>
      </c>
      <c r="M1183" s="52" t="str">
        <f aca="false">IF(AND(ISNUMBER($G1183),$G1183&gt;=60),MAX(INDEX($D$983:$D1183,202-60):$D1183),"")</f>
        <v/>
      </c>
      <c r="N1183" s="52" t="str">
        <f aca="false">IF(AND(ISNUMBER($G1183),$G1183&gt;=60),MIN(INDEX($E$983:$E1183,202-60):$E1183),"")</f>
        <v/>
      </c>
      <c r="O1183" s="53" t="str">
        <f aca="false">IF(OR(NOT(ISNUMBER($C1183)),NOT(ISNUMBER($M1183)),$M1183=0),"",$C1183/$M1183-1)</f>
        <v/>
      </c>
      <c r="P1183" s="54"/>
      <c r="Q1183" s="53" t="str">
        <f aca="false">IF(NOT(ISNUMBER($P1183)),"",IFERROR(PERCENTRANK($P$5:$P$1204,$P1183),""))</f>
        <v/>
      </c>
    </row>
    <row r="1184" customFormat="false" ht="15" hidden="false" customHeight="false" outlineLevel="0" collapsed="false">
      <c r="A1184" s="55"/>
      <c r="B1184" s="56"/>
      <c r="C1184" s="57"/>
      <c r="D1184" s="56"/>
      <c r="E1184" s="56"/>
      <c r="F1184" s="56"/>
      <c r="G1184" s="50" t="str">
        <f aca="false">IF($A1184="","",IF(ISNUMBER($G1183),$G1183+1,1))</f>
        <v/>
      </c>
      <c r="H1184" s="51" t="str">
        <f aca="false">IF(OR(NOT(ISNUMBER($G1184)),$G1184&lt;2,NOT(ISNUMBER($C1183)),$C1183=0),"",$C1184/$C1183-1)</f>
        <v/>
      </c>
      <c r="I1184" s="52" t="str">
        <f aca="false">IF(AND(ISNUMBER($G1184),$G1184&gt;=MA_SHORT),AVERAGE(INDEX($C$784:$C1184,402-MA_SHORT):$C1184),"")</f>
        <v/>
      </c>
      <c r="J1184" s="52" t="str">
        <f aca="false">IF(AND(ISNUMBER($G1184),$G1184&gt;=MA_MED),AVERAGE(INDEX($C$784:$C1184,402-MA_MED):$C1184),"")</f>
        <v/>
      </c>
      <c r="K1184" s="52" t="str">
        <f aca="false">IF(AND(ISNUMBER($G1184),$G1184&gt;=MA_LONG2),AVERAGE(INDEX($C$784:$C1184,402-MA_LONG2):$C1184),"")</f>
        <v/>
      </c>
      <c r="L1184" s="53" t="str">
        <f aca="false">IF(AND(ISNUMBER($G1184),$G1184&gt;=21),STDEV(INDEX($H$1124:$H1184,62-20):$H1184)*SQRT(245),"")</f>
        <v/>
      </c>
      <c r="M1184" s="52" t="str">
        <f aca="false">IF(AND(ISNUMBER($G1184),$G1184&gt;=60),MAX(INDEX($D$984:$D1184,202-60):$D1184),"")</f>
        <v/>
      </c>
      <c r="N1184" s="52" t="str">
        <f aca="false">IF(AND(ISNUMBER($G1184),$G1184&gt;=60),MIN(INDEX($E$984:$E1184,202-60):$E1184),"")</f>
        <v/>
      </c>
      <c r="O1184" s="53" t="str">
        <f aca="false">IF(OR(NOT(ISNUMBER($C1184)),NOT(ISNUMBER($M1184)),$M1184=0),"",$C1184/$M1184-1)</f>
        <v/>
      </c>
      <c r="P1184" s="54"/>
      <c r="Q1184" s="53" t="str">
        <f aca="false">IF(NOT(ISNUMBER($P1184)),"",IFERROR(PERCENTRANK($P$5:$P$1204,$P1184),""))</f>
        <v/>
      </c>
    </row>
    <row r="1185" customFormat="false" ht="15" hidden="false" customHeight="false" outlineLevel="0" collapsed="false">
      <c r="A1185" s="55"/>
      <c r="B1185" s="56"/>
      <c r="C1185" s="57"/>
      <c r="D1185" s="56"/>
      <c r="E1185" s="56"/>
      <c r="F1185" s="56"/>
      <c r="G1185" s="50" t="str">
        <f aca="false">IF($A1185="","",IF(ISNUMBER($G1184),$G1184+1,1))</f>
        <v/>
      </c>
      <c r="H1185" s="51" t="str">
        <f aca="false">IF(OR(NOT(ISNUMBER($G1185)),$G1185&lt;2,NOT(ISNUMBER($C1184)),$C1184=0),"",$C1185/$C1184-1)</f>
        <v/>
      </c>
      <c r="I1185" s="52" t="str">
        <f aca="false">IF(AND(ISNUMBER($G1185),$G1185&gt;=MA_SHORT),AVERAGE(INDEX($C$785:$C1185,402-MA_SHORT):$C1185),"")</f>
        <v/>
      </c>
      <c r="J1185" s="52" t="str">
        <f aca="false">IF(AND(ISNUMBER($G1185),$G1185&gt;=MA_MED),AVERAGE(INDEX($C$785:$C1185,402-MA_MED):$C1185),"")</f>
        <v/>
      </c>
      <c r="K1185" s="52" t="str">
        <f aca="false">IF(AND(ISNUMBER($G1185),$G1185&gt;=MA_LONG2),AVERAGE(INDEX($C$785:$C1185,402-MA_LONG2):$C1185),"")</f>
        <v/>
      </c>
      <c r="L1185" s="53" t="str">
        <f aca="false">IF(AND(ISNUMBER($G1185),$G1185&gt;=21),STDEV(INDEX($H$1125:$H1185,62-20):$H1185)*SQRT(245),"")</f>
        <v/>
      </c>
      <c r="M1185" s="52" t="str">
        <f aca="false">IF(AND(ISNUMBER($G1185),$G1185&gt;=60),MAX(INDEX($D$985:$D1185,202-60):$D1185),"")</f>
        <v/>
      </c>
      <c r="N1185" s="52" t="str">
        <f aca="false">IF(AND(ISNUMBER($G1185),$G1185&gt;=60),MIN(INDEX($E$985:$E1185,202-60):$E1185),"")</f>
        <v/>
      </c>
      <c r="O1185" s="53" t="str">
        <f aca="false">IF(OR(NOT(ISNUMBER($C1185)),NOT(ISNUMBER($M1185)),$M1185=0),"",$C1185/$M1185-1)</f>
        <v/>
      </c>
      <c r="P1185" s="54"/>
      <c r="Q1185" s="53" t="str">
        <f aca="false">IF(NOT(ISNUMBER($P1185)),"",IFERROR(PERCENTRANK($P$5:$P$1204,$P1185),""))</f>
        <v/>
      </c>
    </row>
    <row r="1186" customFormat="false" ht="15" hidden="false" customHeight="false" outlineLevel="0" collapsed="false">
      <c r="A1186" s="55"/>
      <c r="B1186" s="56"/>
      <c r="C1186" s="57"/>
      <c r="D1186" s="56"/>
      <c r="E1186" s="56"/>
      <c r="F1186" s="56"/>
      <c r="G1186" s="50" t="str">
        <f aca="false">IF($A1186="","",IF(ISNUMBER($G1185),$G1185+1,1))</f>
        <v/>
      </c>
      <c r="H1186" s="51" t="str">
        <f aca="false">IF(OR(NOT(ISNUMBER($G1186)),$G1186&lt;2,NOT(ISNUMBER($C1185)),$C1185=0),"",$C1186/$C1185-1)</f>
        <v/>
      </c>
      <c r="I1186" s="52" t="str">
        <f aca="false">IF(AND(ISNUMBER($G1186),$G1186&gt;=MA_SHORT),AVERAGE(INDEX($C$786:$C1186,402-MA_SHORT):$C1186),"")</f>
        <v/>
      </c>
      <c r="J1186" s="52" t="str">
        <f aca="false">IF(AND(ISNUMBER($G1186),$G1186&gt;=MA_MED),AVERAGE(INDEX($C$786:$C1186,402-MA_MED):$C1186),"")</f>
        <v/>
      </c>
      <c r="K1186" s="52" t="str">
        <f aca="false">IF(AND(ISNUMBER($G1186),$G1186&gt;=MA_LONG2),AVERAGE(INDEX($C$786:$C1186,402-MA_LONG2):$C1186),"")</f>
        <v/>
      </c>
      <c r="L1186" s="53" t="str">
        <f aca="false">IF(AND(ISNUMBER($G1186),$G1186&gt;=21),STDEV(INDEX($H$1126:$H1186,62-20):$H1186)*SQRT(245),"")</f>
        <v/>
      </c>
      <c r="M1186" s="52" t="str">
        <f aca="false">IF(AND(ISNUMBER($G1186),$G1186&gt;=60),MAX(INDEX($D$986:$D1186,202-60):$D1186),"")</f>
        <v/>
      </c>
      <c r="N1186" s="52" t="str">
        <f aca="false">IF(AND(ISNUMBER($G1186),$G1186&gt;=60),MIN(INDEX($E$986:$E1186,202-60):$E1186),"")</f>
        <v/>
      </c>
      <c r="O1186" s="53" t="str">
        <f aca="false">IF(OR(NOT(ISNUMBER($C1186)),NOT(ISNUMBER($M1186)),$M1186=0),"",$C1186/$M1186-1)</f>
        <v/>
      </c>
      <c r="P1186" s="54"/>
      <c r="Q1186" s="53" t="str">
        <f aca="false">IF(NOT(ISNUMBER($P1186)),"",IFERROR(PERCENTRANK($P$5:$P$1204,$P1186),""))</f>
        <v/>
      </c>
    </row>
    <row r="1187" customFormat="false" ht="15" hidden="false" customHeight="false" outlineLevel="0" collapsed="false">
      <c r="A1187" s="55"/>
      <c r="B1187" s="56"/>
      <c r="C1187" s="57"/>
      <c r="D1187" s="56"/>
      <c r="E1187" s="56"/>
      <c r="F1187" s="56"/>
      <c r="G1187" s="50" t="str">
        <f aca="false">IF($A1187="","",IF(ISNUMBER($G1186),$G1186+1,1))</f>
        <v/>
      </c>
      <c r="H1187" s="51" t="str">
        <f aca="false">IF(OR(NOT(ISNUMBER($G1187)),$G1187&lt;2,NOT(ISNUMBER($C1186)),$C1186=0),"",$C1187/$C1186-1)</f>
        <v/>
      </c>
      <c r="I1187" s="52" t="str">
        <f aca="false">IF(AND(ISNUMBER($G1187),$G1187&gt;=MA_SHORT),AVERAGE(INDEX($C$787:$C1187,402-MA_SHORT):$C1187),"")</f>
        <v/>
      </c>
      <c r="J1187" s="52" t="str">
        <f aca="false">IF(AND(ISNUMBER($G1187),$G1187&gt;=MA_MED),AVERAGE(INDEX($C$787:$C1187,402-MA_MED):$C1187),"")</f>
        <v/>
      </c>
      <c r="K1187" s="52" t="str">
        <f aca="false">IF(AND(ISNUMBER($G1187),$G1187&gt;=MA_LONG2),AVERAGE(INDEX($C$787:$C1187,402-MA_LONG2):$C1187),"")</f>
        <v/>
      </c>
      <c r="L1187" s="53" t="str">
        <f aca="false">IF(AND(ISNUMBER($G1187),$G1187&gt;=21),STDEV(INDEX($H$1127:$H1187,62-20):$H1187)*SQRT(245),"")</f>
        <v/>
      </c>
      <c r="M1187" s="52" t="str">
        <f aca="false">IF(AND(ISNUMBER($G1187),$G1187&gt;=60),MAX(INDEX($D$987:$D1187,202-60):$D1187),"")</f>
        <v/>
      </c>
      <c r="N1187" s="52" t="str">
        <f aca="false">IF(AND(ISNUMBER($G1187),$G1187&gt;=60),MIN(INDEX($E$987:$E1187,202-60):$E1187),"")</f>
        <v/>
      </c>
      <c r="O1187" s="53" t="str">
        <f aca="false">IF(OR(NOT(ISNUMBER($C1187)),NOT(ISNUMBER($M1187)),$M1187=0),"",$C1187/$M1187-1)</f>
        <v/>
      </c>
      <c r="P1187" s="54"/>
      <c r="Q1187" s="53" t="str">
        <f aca="false">IF(NOT(ISNUMBER($P1187)),"",IFERROR(PERCENTRANK($P$5:$P$1204,$P1187),""))</f>
        <v/>
      </c>
    </row>
    <row r="1188" customFormat="false" ht="15" hidden="false" customHeight="false" outlineLevel="0" collapsed="false">
      <c r="A1188" s="55"/>
      <c r="B1188" s="56"/>
      <c r="C1188" s="57"/>
      <c r="D1188" s="56"/>
      <c r="E1188" s="56"/>
      <c r="F1188" s="56"/>
      <c r="G1188" s="50" t="str">
        <f aca="false">IF($A1188="","",IF(ISNUMBER($G1187),$G1187+1,1))</f>
        <v/>
      </c>
      <c r="H1188" s="51" t="str">
        <f aca="false">IF(OR(NOT(ISNUMBER($G1188)),$G1188&lt;2,NOT(ISNUMBER($C1187)),$C1187=0),"",$C1188/$C1187-1)</f>
        <v/>
      </c>
      <c r="I1188" s="52" t="str">
        <f aca="false">IF(AND(ISNUMBER($G1188),$G1188&gt;=MA_SHORT),AVERAGE(INDEX($C$788:$C1188,402-MA_SHORT):$C1188),"")</f>
        <v/>
      </c>
      <c r="J1188" s="52" t="str">
        <f aca="false">IF(AND(ISNUMBER($G1188),$G1188&gt;=MA_MED),AVERAGE(INDEX($C$788:$C1188,402-MA_MED):$C1188),"")</f>
        <v/>
      </c>
      <c r="K1188" s="52" t="str">
        <f aca="false">IF(AND(ISNUMBER($G1188),$G1188&gt;=MA_LONG2),AVERAGE(INDEX($C$788:$C1188,402-MA_LONG2):$C1188),"")</f>
        <v/>
      </c>
      <c r="L1188" s="53" t="str">
        <f aca="false">IF(AND(ISNUMBER($G1188),$G1188&gt;=21),STDEV(INDEX($H$1128:$H1188,62-20):$H1188)*SQRT(245),"")</f>
        <v/>
      </c>
      <c r="M1188" s="52" t="str">
        <f aca="false">IF(AND(ISNUMBER($G1188),$G1188&gt;=60),MAX(INDEX($D$988:$D1188,202-60):$D1188),"")</f>
        <v/>
      </c>
      <c r="N1188" s="52" t="str">
        <f aca="false">IF(AND(ISNUMBER($G1188),$G1188&gt;=60),MIN(INDEX($E$988:$E1188,202-60):$E1188),"")</f>
        <v/>
      </c>
      <c r="O1188" s="53" t="str">
        <f aca="false">IF(OR(NOT(ISNUMBER($C1188)),NOT(ISNUMBER($M1188)),$M1188=0),"",$C1188/$M1188-1)</f>
        <v/>
      </c>
      <c r="P1188" s="54"/>
      <c r="Q1188" s="53" t="str">
        <f aca="false">IF(NOT(ISNUMBER($P1188)),"",IFERROR(PERCENTRANK($P$5:$P$1204,$P1188),""))</f>
        <v/>
      </c>
    </row>
    <row r="1189" customFormat="false" ht="15" hidden="false" customHeight="false" outlineLevel="0" collapsed="false">
      <c r="A1189" s="55"/>
      <c r="B1189" s="56"/>
      <c r="C1189" s="57"/>
      <c r="D1189" s="56"/>
      <c r="E1189" s="56"/>
      <c r="F1189" s="56"/>
      <c r="G1189" s="50" t="str">
        <f aca="false">IF($A1189="","",IF(ISNUMBER($G1188),$G1188+1,1))</f>
        <v/>
      </c>
      <c r="H1189" s="51" t="str">
        <f aca="false">IF(OR(NOT(ISNUMBER($G1189)),$G1189&lt;2,NOT(ISNUMBER($C1188)),$C1188=0),"",$C1189/$C1188-1)</f>
        <v/>
      </c>
      <c r="I1189" s="52" t="str">
        <f aca="false">IF(AND(ISNUMBER($G1189),$G1189&gt;=MA_SHORT),AVERAGE(INDEX($C$789:$C1189,402-MA_SHORT):$C1189),"")</f>
        <v/>
      </c>
      <c r="J1189" s="52" t="str">
        <f aca="false">IF(AND(ISNUMBER($G1189),$G1189&gt;=MA_MED),AVERAGE(INDEX($C$789:$C1189,402-MA_MED):$C1189),"")</f>
        <v/>
      </c>
      <c r="K1189" s="52" t="str">
        <f aca="false">IF(AND(ISNUMBER($G1189),$G1189&gt;=MA_LONG2),AVERAGE(INDEX($C$789:$C1189,402-MA_LONG2):$C1189),"")</f>
        <v/>
      </c>
      <c r="L1189" s="53" t="str">
        <f aca="false">IF(AND(ISNUMBER($G1189),$G1189&gt;=21),STDEV(INDEX($H$1129:$H1189,62-20):$H1189)*SQRT(245),"")</f>
        <v/>
      </c>
      <c r="M1189" s="52" t="str">
        <f aca="false">IF(AND(ISNUMBER($G1189),$G1189&gt;=60),MAX(INDEX($D$989:$D1189,202-60):$D1189),"")</f>
        <v/>
      </c>
      <c r="N1189" s="52" t="str">
        <f aca="false">IF(AND(ISNUMBER($G1189),$G1189&gt;=60),MIN(INDEX($E$989:$E1189,202-60):$E1189),"")</f>
        <v/>
      </c>
      <c r="O1189" s="53" t="str">
        <f aca="false">IF(OR(NOT(ISNUMBER($C1189)),NOT(ISNUMBER($M1189)),$M1189=0),"",$C1189/$M1189-1)</f>
        <v/>
      </c>
      <c r="P1189" s="54"/>
      <c r="Q1189" s="53" t="str">
        <f aca="false">IF(NOT(ISNUMBER($P1189)),"",IFERROR(PERCENTRANK($P$5:$P$1204,$P1189),""))</f>
        <v/>
      </c>
    </row>
    <row r="1190" customFormat="false" ht="15" hidden="false" customHeight="false" outlineLevel="0" collapsed="false">
      <c r="A1190" s="55"/>
      <c r="B1190" s="56"/>
      <c r="C1190" s="57"/>
      <c r="D1190" s="56"/>
      <c r="E1190" s="56"/>
      <c r="F1190" s="56"/>
      <c r="G1190" s="50" t="str">
        <f aca="false">IF($A1190="","",IF(ISNUMBER($G1189),$G1189+1,1))</f>
        <v/>
      </c>
      <c r="H1190" s="51" t="str">
        <f aca="false">IF(OR(NOT(ISNUMBER($G1190)),$G1190&lt;2,NOT(ISNUMBER($C1189)),$C1189=0),"",$C1190/$C1189-1)</f>
        <v/>
      </c>
      <c r="I1190" s="52" t="str">
        <f aca="false">IF(AND(ISNUMBER($G1190),$G1190&gt;=MA_SHORT),AVERAGE(INDEX($C$790:$C1190,402-MA_SHORT):$C1190),"")</f>
        <v/>
      </c>
      <c r="J1190" s="52" t="str">
        <f aca="false">IF(AND(ISNUMBER($G1190),$G1190&gt;=MA_MED),AVERAGE(INDEX($C$790:$C1190,402-MA_MED):$C1190),"")</f>
        <v/>
      </c>
      <c r="K1190" s="52" t="str">
        <f aca="false">IF(AND(ISNUMBER($G1190),$G1190&gt;=MA_LONG2),AVERAGE(INDEX($C$790:$C1190,402-MA_LONG2):$C1190),"")</f>
        <v/>
      </c>
      <c r="L1190" s="53" t="str">
        <f aca="false">IF(AND(ISNUMBER($G1190),$G1190&gt;=21),STDEV(INDEX($H$1130:$H1190,62-20):$H1190)*SQRT(245),"")</f>
        <v/>
      </c>
      <c r="M1190" s="52" t="str">
        <f aca="false">IF(AND(ISNUMBER($G1190),$G1190&gt;=60),MAX(INDEX($D$990:$D1190,202-60):$D1190),"")</f>
        <v/>
      </c>
      <c r="N1190" s="52" t="str">
        <f aca="false">IF(AND(ISNUMBER($G1190),$G1190&gt;=60),MIN(INDEX($E$990:$E1190,202-60):$E1190),"")</f>
        <v/>
      </c>
      <c r="O1190" s="53" t="str">
        <f aca="false">IF(OR(NOT(ISNUMBER($C1190)),NOT(ISNUMBER($M1190)),$M1190=0),"",$C1190/$M1190-1)</f>
        <v/>
      </c>
      <c r="P1190" s="54"/>
      <c r="Q1190" s="53" t="str">
        <f aca="false">IF(NOT(ISNUMBER($P1190)),"",IFERROR(PERCENTRANK($P$5:$P$1204,$P1190),""))</f>
        <v/>
      </c>
    </row>
    <row r="1191" customFormat="false" ht="15" hidden="false" customHeight="false" outlineLevel="0" collapsed="false">
      <c r="A1191" s="55"/>
      <c r="B1191" s="56"/>
      <c r="C1191" s="57"/>
      <c r="D1191" s="56"/>
      <c r="E1191" s="56"/>
      <c r="F1191" s="56"/>
      <c r="G1191" s="50" t="str">
        <f aca="false">IF($A1191="","",IF(ISNUMBER($G1190),$G1190+1,1))</f>
        <v/>
      </c>
      <c r="H1191" s="51" t="str">
        <f aca="false">IF(OR(NOT(ISNUMBER($G1191)),$G1191&lt;2,NOT(ISNUMBER($C1190)),$C1190=0),"",$C1191/$C1190-1)</f>
        <v/>
      </c>
      <c r="I1191" s="52" t="str">
        <f aca="false">IF(AND(ISNUMBER($G1191),$G1191&gt;=MA_SHORT),AVERAGE(INDEX($C$791:$C1191,402-MA_SHORT):$C1191),"")</f>
        <v/>
      </c>
      <c r="J1191" s="52" t="str">
        <f aca="false">IF(AND(ISNUMBER($G1191),$G1191&gt;=MA_MED),AVERAGE(INDEX($C$791:$C1191,402-MA_MED):$C1191),"")</f>
        <v/>
      </c>
      <c r="K1191" s="52" t="str">
        <f aca="false">IF(AND(ISNUMBER($G1191),$G1191&gt;=MA_LONG2),AVERAGE(INDEX($C$791:$C1191,402-MA_LONG2):$C1191),"")</f>
        <v/>
      </c>
      <c r="L1191" s="53" t="str">
        <f aca="false">IF(AND(ISNUMBER($G1191),$G1191&gt;=21),STDEV(INDEX($H$1131:$H1191,62-20):$H1191)*SQRT(245),"")</f>
        <v/>
      </c>
      <c r="M1191" s="52" t="str">
        <f aca="false">IF(AND(ISNUMBER($G1191),$G1191&gt;=60),MAX(INDEX($D$991:$D1191,202-60):$D1191),"")</f>
        <v/>
      </c>
      <c r="N1191" s="52" t="str">
        <f aca="false">IF(AND(ISNUMBER($G1191),$G1191&gt;=60),MIN(INDEX($E$991:$E1191,202-60):$E1191),"")</f>
        <v/>
      </c>
      <c r="O1191" s="53" t="str">
        <f aca="false">IF(OR(NOT(ISNUMBER($C1191)),NOT(ISNUMBER($M1191)),$M1191=0),"",$C1191/$M1191-1)</f>
        <v/>
      </c>
      <c r="P1191" s="54"/>
      <c r="Q1191" s="53" t="str">
        <f aca="false">IF(NOT(ISNUMBER($P1191)),"",IFERROR(PERCENTRANK($P$5:$P$1204,$P1191),""))</f>
        <v/>
      </c>
    </row>
    <row r="1192" customFormat="false" ht="15" hidden="false" customHeight="false" outlineLevel="0" collapsed="false">
      <c r="A1192" s="55"/>
      <c r="B1192" s="56"/>
      <c r="C1192" s="57"/>
      <c r="D1192" s="56"/>
      <c r="E1192" s="56"/>
      <c r="F1192" s="56"/>
      <c r="G1192" s="50" t="str">
        <f aca="false">IF($A1192="","",IF(ISNUMBER($G1191),$G1191+1,1))</f>
        <v/>
      </c>
      <c r="H1192" s="51" t="str">
        <f aca="false">IF(OR(NOT(ISNUMBER($G1192)),$G1192&lt;2,NOT(ISNUMBER($C1191)),$C1191=0),"",$C1192/$C1191-1)</f>
        <v/>
      </c>
      <c r="I1192" s="52" t="str">
        <f aca="false">IF(AND(ISNUMBER($G1192),$G1192&gt;=MA_SHORT),AVERAGE(INDEX($C$792:$C1192,402-MA_SHORT):$C1192),"")</f>
        <v/>
      </c>
      <c r="J1192" s="52" t="str">
        <f aca="false">IF(AND(ISNUMBER($G1192),$G1192&gt;=MA_MED),AVERAGE(INDEX($C$792:$C1192,402-MA_MED):$C1192),"")</f>
        <v/>
      </c>
      <c r="K1192" s="52" t="str">
        <f aca="false">IF(AND(ISNUMBER($G1192),$G1192&gt;=MA_LONG2),AVERAGE(INDEX($C$792:$C1192,402-MA_LONG2):$C1192),"")</f>
        <v/>
      </c>
      <c r="L1192" s="53" t="str">
        <f aca="false">IF(AND(ISNUMBER($G1192),$G1192&gt;=21),STDEV(INDEX($H$1132:$H1192,62-20):$H1192)*SQRT(245),"")</f>
        <v/>
      </c>
      <c r="M1192" s="52" t="str">
        <f aca="false">IF(AND(ISNUMBER($G1192),$G1192&gt;=60),MAX(INDEX($D$992:$D1192,202-60):$D1192),"")</f>
        <v/>
      </c>
      <c r="N1192" s="52" t="str">
        <f aca="false">IF(AND(ISNUMBER($G1192),$G1192&gt;=60),MIN(INDEX($E$992:$E1192,202-60):$E1192),"")</f>
        <v/>
      </c>
      <c r="O1192" s="53" t="str">
        <f aca="false">IF(OR(NOT(ISNUMBER($C1192)),NOT(ISNUMBER($M1192)),$M1192=0),"",$C1192/$M1192-1)</f>
        <v/>
      </c>
      <c r="P1192" s="54"/>
      <c r="Q1192" s="53" t="str">
        <f aca="false">IF(NOT(ISNUMBER($P1192)),"",IFERROR(PERCENTRANK($P$5:$P$1204,$P1192),""))</f>
        <v/>
      </c>
    </row>
    <row r="1193" customFormat="false" ht="15" hidden="false" customHeight="false" outlineLevel="0" collapsed="false">
      <c r="A1193" s="55"/>
      <c r="B1193" s="56"/>
      <c r="C1193" s="57"/>
      <c r="D1193" s="56"/>
      <c r="E1193" s="56"/>
      <c r="F1193" s="56"/>
      <c r="G1193" s="50" t="str">
        <f aca="false">IF($A1193="","",IF(ISNUMBER($G1192),$G1192+1,1))</f>
        <v/>
      </c>
      <c r="H1193" s="51" t="str">
        <f aca="false">IF(OR(NOT(ISNUMBER($G1193)),$G1193&lt;2,NOT(ISNUMBER($C1192)),$C1192=0),"",$C1193/$C1192-1)</f>
        <v/>
      </c>
      <c r="I1193" s="52" t="str">
        <f aca="false">IF(AND(ISNUMBER($G1193),$G1193&gt;=MA_SHORT),AVERAGE(INDEX($C$793:$C1193,402-MA_SHORT):$C1193),"")</f>
        <v/>
      </c>
      <c r="J1193" s="52" t="str">
        <f aca="false">IF(AND(ISNUMBER($G1193),$G1193&gt;=MA_MED),AVERAGE(INDEX($C$793:$C1193,402-MA_MED):$C1193),"")</f>
        <v/>
      </c>
      <c r="K1193" s="52" t="str">
        <f aca="false">IF(AND(ISNUMBER($G1193),$G1193&gt;=MA_LONG2),AVERAGE(INDEX($C$793:$C1193,402-MA_LONG2):$C1193),"")</f>
        <v/>
      </c>
      <c r="L1193" s="53" t="str">
        <f aca="false">IF(AND(ISNUMBER($G1193),$G1193&gt;=21),STDEV(INDEX($H$1133:$H1193,62-20):$H1193)*SQRT(245),"")</f>
        <v/>
      </c>
      <c r="M1193" s="52" t="str">
        <f aca="false">IF(AND(ISNUMBER($G1193),$G1193&gt;=60),MAX(INDEX($D$993:$D1193,202-60):$D1193),"")</f>
        <v/>
      </c>
      <c r="N1193" s="52" t="str">
        <f aca="false">IF(AND(ISNUMBER($G1193),$G1193&gt;=60),MIN(INDEX($E$993:$E1193,202-60):$E1193),"")</f>
        <v/>
      </c>
      <c r="O1193" s="53" t="str">
        <f aca="false">IF(OR(NOT(ISNUMBER($C1193)),NOT(ISNUMBER($M1193)),$M1193=0),"",$C1193/$M1193-1)</f>
        <v/>
      </c>
      <c r="P1193" s="54"/>
      <c r="Q1193" s="53" t="str">
        <f aca="false">IF(NOT(ISNUMBER($P1193)),"",IFERROR(PERCENTRANK($P$5:$P$1204,$P1193),""))</f>
        <v/>
      </c>
    </row>
    <row r="1194" customFormat="false" ht="15" hidden="false" customHeight="false" outlineLevel="0" collapsed="false">
      <c r="A1194" s="55"/>
      <c r="B1194" s="56"/>
      <c r="C1194" s="57"/>
      <c r="D1194" s="56"/>
      <c r="E1194" s="56"/>
      <c r="F1194" s="56"/>
      <c r="G1194" s="50" t="str">
        <f aca="false">IF($A1194="","",IF(ISNUMBER($G1193),$G1193+1,1))</f>
        <v/>
      </c>
      <c r="H1194" s="51" t="str">
        <f aca="false">IF(OR(NOT(ISNUMBER($G1194)),$G1194&lt;2,NOT(ISNUMBER($C1193)),$C1193=0),"",$C1194/$C1193-1)</f>
        <v/>
      </c>
      <c r="I1194" s="52" t="str">
        <f aca="false">IF(AND(ISNUMBER($G1194),$G1194&gt;=MA_SHORT),AVERAGE(INDEX($C$794:$C1194,402-MA_SHORT):$C1194),"")</f>
        <v/>
      </c>
      <c r="J1194" s="52" t="str">
        <f aca="false">IF(AND(ISNUMBER($G1194),$G1194&gt;=MA_MED),AVERAGE(INDEX($C$794:$C1194,402-MA_MED):$C1194),"")</f>
        <v/>
      </c>
      <c r="K1194" s="52" t="str">
        <f aca="false">IF(AND(ISNUMBER($G1194),$G1194&gt;=MA_LONG2),AVERAGE(INDEX($C$794:$C1194,402-MA_LONG2):$C1194),"")</f>
        <v/>
      </c>
      <c r="L1194" s="53" t="str">
        <f aca="false">IF(AND(ISNUMBER($G1194),$G1194&gt;=21),STDEV(INDEX($H$1134:$H1194,62-20):$H1194)*SQRT(245),"")</f>
        <v/>
      </c>
      <c r="M1194" s="52" t="str">
        <f aca="false">IF(AND(ISNUMBER($G1194),$G1194&gt;=60),MAX(INDEX($D$994:$D1194,202-60):$D1194),"")</f>
        <v/>
      </c>
      <c r="N1194" s="52" t="str">
        <f aca="false">IF(AND(ISNUMBER($G1194),$G1194&gt;=60),MIN(INDEX($E$994:$E1194,202-60):$E1194),"")</f>
        <v/>
      </c>
      <c r="O1194" s="53" t="str">
        <f aca="false">IF(OR(NOT(ISNUMBER($C1194)),NOT(ISNUMBER($M1194)),$M1194=0),"",$C1194/$M1194-1)</f>
        <v/>
      </c>
      <c r="P1194" s="54"/>
      <c r="Q1194" s="53" t="str">
        <f aca="false">IF(NOT(ISNUMBER($P1194)),"",IFERROR(PERCENTRANK($P$5:$P$1204,$P1194),""))</f>
        <v/>
      </c>
    </row>
    <row r="1195" customFormat="false" ht="15" hidden="false" customHeight="false" outlineLevel="0" collapsed="false">
      <c r="A1195" s="55"/>
      <c r="B1195" s="56"/>
      <c r="C1195" s="57"/>
      <c r="D1195" s="56"/>
      <c r="E1195" s="56"/>
      <c r="F1195" s="56"/>
      <c r="G1195" s="50" t="str">
        <f aca="false">IF($A1195="","",IF(ISNUMBER($G1194),$G1194+1,1))</f>
        <v/>
      </c>
      <c r="H1195" s="51" t="str">
        <f aca="false">IF(OR(NOT(ISNUMBER($G1195)),$G1195&lt;2,NOT(ISNUMBER($C1194)),$C1194=0),"",$C1195/$C1194-1)</f>
        <v/>
      </c>
      <c r="I1195" s="52" t="str">
        <f aca="false">IF(AND(ISNUMBER($G1195),$G1195&gt;=MA_SHORT),AVERAGE(INDEX($C$795:$C1195,402-MA_SHORT):$C1195),"")</f>
        <v/>
      </c>
      <c r="J1195" s="52" t="str">
        <f aca="false">IF(AND(ISNUMBER($G1195),$G1195&gt;=MA_MED),AVERAGE(INDEX($C$795:$C1195,402-MA_MED):$C1195),"")</f>
        <v/>
      </c>
      <c r="K1195" s="52" t="str">
        <f aca="false">IF(AND(ISNUMBER($G1195),$G1195&gt;=MA_LONG2),AVERAGE(INDEX($C$795:$C1195,402-MA_LONG2):$C1195),"")</f>
        <v/>
      </c>
      <c r="L1195" s="53" t="str">
        <f aca="false">IF(AND(ISNUMBER($G1195),$G1195&gt;=21),STDEV(INDEX($H$1135:$H1195,62-20):$H1195)*SQRT(245),"")</f>
        <v/>
      </c>
      <c r="M1195" s="52" t="str">
        <f aca="false">IF(AND(ISNUMBER($G1195),$G1195&gt;=60),MAX(INDEX($D$995:$D1195,202-60):$D1195),"")</f>
        <v/>
      </c>
      <c r="N1195" s="52" t="str">
        <f aca="false">IF(AND(ISNUMBER($G1195),$G1195&gt;=60),MIN(INDEX($E$995:$E1195,202-60):$E1195),"")</f>
        <v/>
      </c>
      <c r="O1195" s="53" t="str">
        <f aca="false">IF(OR(NOT(ISNUMBER($C1195)),NOT(ISNUMBER($M1195)),$M1195=0),"",$C1195/$M1195-1)</f>
        <v/>
      </c>
      <c r="P1195" s="54"/>
      <c r="Q1195" s="53" t="str">
        <f aca="false">IF(NOT(ISNUMBER($P1195)),"",IFERROR(PERCENTRANK($P$5:$P$1204,$P1195),""))</f>
        <v/>
      </c>
    </row>
    <row r="1196" customFormat="false" ht="15" hidden="false" customHeight="false" outlineLevel="0" collapsed="false">
      <c r="A1196" s="55"/>
      <c r="B1196" s="56"/>
      <c r="C1196" s="57"/>
      <c r="D1196" s="56"/>
      <c r="E1196" s="56"/>
      <c r="F1196" s="56"/>
      <c r="G1196" s="50" t="str">
        <f aca="false">IF($A1196="","",IF(ISNUMBER($G1195),$G1195+1,1))</f>
        <v/>
      </c>
      <c r="H1196" s="51" t="str">
        <f aca="false">IF(OR(NOT(ISNUMBER($G1196)),$G1196&lt;2,NOT(ISNUMBER($C1195)),$C1195=0),"",$C1196/$C1195-1)</f>
        <v/>
      </c>
      <c r="I1196" s="52" t="str">
        <f aca="false">IF(AND(ISNUMBER($G1196),$G1196&gt;=MA_SHORT),AVERAGE(INDEX($C$796:$C1196,402-MA_SHORT):$C1196),"")</f>
        <v/>
      </c>
      <c r="J1196" s="52" t="str">
        <f aca="false">IF(AND(ISNUMBER($G1196),$G1196&gt;=MA_MED),AVERAGE(INDEX($C$796:$C1196,402-MA_MED):$C1196),"")</f>
        <v/>
      </c>
      <c r="K1196" s="52" t="str">
        <f aca="false">IF(AND(ISNUMBER($G1196),$G1196&gt;=MA_LONG2),AVERAGE(INDEX($C$796:$C1196,402-MA_LONG2):$C1196),"")</f>
        <v/>
      </c>
      <c r="L1196" s="53" t="str">
        <f aca="false">IF(AND(ISNUMBER($G1196),$G1196&gt;=21),STDEV(INDEX($H$1136:$H1196,62-20):$H1196)*SQRT(245),"")</f>
        <v/>
      </c>
      <c r="M1196" s="52" t="str">
        <f aca="false">IF(AND(ISNUMBER($G1196),$G1196&gt;=60),MAX(INDEX($D$996:$D1196,202-60):$D1196),"")</f>
        <v/>
      </c>
      <c r="N1196" s="52" t="str">
        <f aca="false">IF(AND(ISNUMBER($G1196),$G1196&gt;=60),MIN(INDEX($E$996:$E1196,202-60):$E1196),"")</f>
        <v/>
      </c>
      <c r="O1196" s="53" t="str">
        <f aca="false">IF(OR(NOT(ISNUMBER($C1196)),NOT(ISNUMBER($M1196)),$M1196=0),"",$C1196/$M1196-1)</f>
        <v/>
      </c>
      <c r="P1196" s="54"/>
      <c r="Q1196" s="53" t="str">
        <f aca="false">IF(NOT(ISNUMBER($P1196)),"",IFERROR(PERCENTRANK($P$5:$P$1204,$P1196),""))</f>
        <v/>
      </c>
    </row>
    <row r="1197" customFormat="false" ht="15" hidden="false" customHeight="false" outlineLevel="0" collapsed="false">
      <c r="A1197" s="55"/>
      <c r="B1197" s="56"/>
      <c r="C1197" s="57"/>
      <c r="D1197" s="56"/>
      <c r="E1197" s="56"/>
      <c r="F1197" s="56"/>
      <c r="G1197" s="50" t="str">
        <f aca="false">IF($A1197="","",IF(ISNUMBER($G1196),$G1196+1,1))</f>
        <v/>
      </c>
      <c r="H1197" s="51" t="str">
        <f aca="false">IF(OR(NOT(ISNUMBER($G1197)),$G1197&lt;2,NOT(ISNUMBER($C1196)),$C1196=0),"",$C1197/$C1196-1)</f>
        <v/>
      </c>
      <c r="I1197" s="52" t="str">
        <f aca="false">IF(AND(ISNUMBER($G1197),$G1197&gt;=MA_SHORT),AVERAGE(INDEX($C$797:$C1197,402-MA_SHORT):$C1197),"")</f>
        <v/>
      </c>
      <c r="J1197" s="52" t="str">
        <f aca="false">IF(AND(ISNUMBER($G1197),$G1197&gt;=MA_MED),AVERAGE(INDEX($C$797:$C1197,402-MA_MED):$C1197),"")</f>
        <v/>
      </c>
      <c r="K1197" s="52" t="str">
        <f aca="false">IF(AND(ISNUMBER($G1197),$G1197&gt;=MA_LONG2),AVERAGE(INDEX($C$797:$C1197,402-MA_LONG2):$C1197),"")</f>
        <v/>
      </c>
      <c r="L1197" s="53" t="str">
        <f aca="false">IF(AND(ISNUMBER($G1197),$G1197&gt;=21),STDEV(INDEX($H$1137:$H1197,62-20):$H1197)*SQRT(245),"")</f>
        <v/>
      </c>
      <c r="M1197" s="52" t="str">
        <f aca="false">IF(AND(ISNUMBER($G1197),$G1197&gt;=60),MAX(INDEX($D$997:$D1197,202-60):$D1197),"")</f>
        <v/>
      </c>
      <c r="N1197" s="52" t="str">
        <f aca="false">IF(AND(ISNUMBER($G1197),$G1197&gt;=60),MIN(INDEX($E$997:$E1197,202-60):$E1197),"")</f>
        <v/>
      </c>
      <c r="O1197" s="53" t="str">
        <f aca="false">IF(OR(NOT(ISNUMBER($C1197)),NOT(ISNUMBER($M1197)),$M1197=0),"",$C1197/$M1197-1)</f>
        <v/>
      </c>
      <c r="P1197" s="54"/>
      <c r="Q1197" s="53" t="str">
        <f aca="false">IF(NOT(ISNUMBER($P1197)),"",IFERROR(PERCENTRANK($P$5:$P$1204,$P1197),""))</f>
        <v/>
      </c>
    </row>
    <row r="1198" customFormat="false" ht="15" hidden="false" customHeight="false" outlineLevel="0" collapsed="false">
      <c r="A1198" s="55"/>
      <c r="B1198" s="56"/>
      <c r="C1198" s="57"/>
      <c r="D1198" s="56"/>
      <c r="E1198" s="56"/>
      <c r="F1198" s="56"/>
      <c r="G1198" s="50" t="str">
        <f aca="false">IF($A1198="","",IF(ISNUMBER($G1197),$G1197+1,1))</f>
        <v/>
      </c>
      <c r="H1198" s="51" t="str">
        <f aca="false">IF(OR(NOT(ISNUMBER($G1198)),$G1198&lt;2,NOT(ISNUMBER($C1197)),$C1197=0),"",$C1198/$C1197-1)</f>
        <v/>
      </c>
      <c r="I1198" s="52" t="str">
        <f aca="false">IF(AND(ISNUMBER($G1198),$G1198&gt;=MA_SHORT),AVERAGE(INDEX($C$798:$C1198,402-MA_SHORT):$C1198),"")</f>
        <v/>
      </c>
      <c r="J1198" s="52" t="str">
        <f aca="false">IF(AND(ISNUMBER($G1198),$G1198&gt;=MA_MED),AVERAGE(INDEX($C$798:$C1198,402-MA_MED):$C1198),"")</f>
        <v/>
      </c>
      <c r="K1198" s="52" t="str">
        <f aca="false">IF(AND(ISNUMBER($G1198),$G1198&gt;=MA_LONG2),AVERAGE(INDEX($C$798:$C1198,402-MA_LONG2):$C1198),"")</f>
        <v/>
      </c>
      <c r="L1198" s="53" t="str">
        <f aca="false">IF(AND(ISNUMBER($G1198),$G1198&gt;=21),STDEV(INDEX($H$1138:$H1198,62-20):$H1198)*SQRT(245),"")</f>
        <v/>
      </c>
      <c r="M1198" s="52" t="str">
        <f aca="false">IF(AND(ISNUMBER($G1198),$G1198&gt;=60),MAX(INDEX($D$998:$D1198,202-60):$D1198),"")</f>
        <v/>
      </c>
      <c r="N1198" s="52" t="str">
        <f aca="false">IF(AND(ISNUMBER($G1198),$G1198&gt;=60),MIN(INDEX($E$998:$E1198,202-60):$E1198),"")</f>
        <v/>
      </c>
      <c r="O1198" s="53" t="str">
        <f aca="false">IF(OR(NOT(ISNUMBER($C1198)),NOT(ISNUMBER($M1198)),$M1198=0),"",$C1198/$M1198-1)</f>
        <v/>
      </c>
      <c r="P1198" s="54"/>
      <c r="Q1198" s="53" t="str">
        <f aca="false">IF(NOT(ISNUMBER($P1198)),"",IFERROR(PERCENTRANK($P$5:$P$1204,$P1198),""))</f>
        <v/>
      </c>
    </row>
    <row r="1199" customFormat="false" ht="15" hidden="false" customHeight="false" outlineLevel="0" collapsed="false">
      <c r="A1199" s="55"/>
      <c r="B1199" s="56"/>
      <c r="C1199" s="57"/>
      <c r="D1199" s="56"/>
      <c r="E1199" s="56"/>
      <c r="F1199" s="56"/>
      <c r="G1199" s="50" t="str">
        <f aca="false">IF($A1199="","",IF(ISNUMBER($G1198),$G1198+1,1))</f>
        <v/>
      </c>
      <c r="H1199" s="51" t="str">
        <f aca="false">IF(OR(NOT(ISNUMBER($G1199)),$G1199&lt;2,NOT(ISNUMBER($C1198)),$C1198=0),"",$C1199/$C1198-1)</f>
        <v/>
      </c>
      <c r="I1199" s="52" t="str">
        <f aca="false">IF(AND(ISNUMBER($G1199),$G1199&gt;=MA_SHORT),AVERAGE(INDEX($C$799:$C1199,402-MA_SHORT):$C1199),"")</f>
        <v/>
      </c>
      <c r="J1199" s="52" t="str">
        <f aca="false">IF(AND(ISNUMBER($G1199),$G1199&gt;=MA_MED),AVERAGE(INDEX($C$799:$C1199,402-MA_MED):$C1199),"")</f>
        <v/>
      </c>
      <c r="K1199" s="52" t="str">
        <f aca="false">IF(AND(ISNUMBER($G1199),$G1199&gt;=MA_LONG2),AVERAGE(INDEX($C$799:$C1199,402-MA_LONG2):$C1199),"")</f>
        <v/>
      </c>
      <c r="L1199" s="53" t="str">
        <f aca="false">IF(AND(ISNUMBER($G1199),$G1199&gt;=21),STDEV(INDEX($H$1139:$H1199,62-20):$H1199)*SQRT(245),"")</f>
        <v/>
      </c>
      <c r="M1199" s="52" t="str">
        <f aca="false">IF(AND(ISNUMBER($G1199),$G1199&gt;=60),MAX(INDEX($D$999:$D1199,202-60):$D1199),"")</f>
        <v/>
      </c>
      <c r="N1199" s="52" t="str">
        <f aca="false">IF(AND(ISNUMBER($G1199),$G1199&gt;=60),MIN(INDEX($E$999:$E1199,202-60):$E1199),"")</f>
        <v/>
      </c>
      <c r="O1199" s="53" t="str">
        <f aca="false">IF(OR(NOT(ISNUMBER($C1199)),NOT(ISNUMBER($M1199)),$M1199=0),"",$C1199/$M1199-1)</f>
        <v/>
      </c>
      <c r="P1199" s="54"/>
      <c r="Q1199" s="53" t="str">
        <f aca="false">IF(NOT(ISNUMBER($P1199)),"",IFERROR(PERCENTRANK($P$5:$P$1204,$P1199),""))</f>
        <v/>
      </c>
    </row>
    <row r="1200" customFormat="false" ht="15" hidden="false" customHeight="false" outlineLevel="0" collapsed="false">
      <c r="A1200" s="55"/>
      <c r="B1200" s="56"/>
      <c r="C1200" s="57"/>
      <c r="D1200" s="56"/>
      <c r="E1200" s="56"/>
      <c r="F1200" s="56"/>
      <c r="G1200" s="50" t="str">
        <f aca="false">IF($A1200="","",IF(ISNUMBER($G1199),$G1199+1,1))</f>
        <v/>
      </c>
      <c r="H1200" s="51" t="str">
        <f aca="false">IF(OR(NOT(ISNUMBER($G1200)),$G1200&lt;2,NOT(ISNUMBER($C1199)),$C1199=0),"",$C1200/$C1199-1)</f>
        <v/>
      </c>
      <c r="I1200" s="52" t="str">
        <f aca="false">IF(AND(ISNUMBER($G1200),$G1200&gt;=MA_SHORT),AVERAGE(INDEX($C$800:$C1200,402-MA_SHORT):$C1200),"")</f>
        <v/>
      </c>
      <c r="J1200" s="52" t="str">
        <f aca="false">IF(AND(ISNUMBER($G1200),$G1200&gt;=MA_MED),AVERAGE(INDEX($C$800:$C1200,402-MA_MED):$C1200),"")</f>
        <v/>
      </c>
      <c r="K1200" s="52" t="str">
        <f aca="false">IF(AND(ISNUMBER($G1200),$G1200&gt;=MA_LONG2),AVERAGE(INDEX($C$800:$C1200,402-MA_LONG2):$C1200),"")</f>
        <v/>
      </c>
      <c r="L1200" s="53" t="str">
        <f aca="false">IF(AND(ISNUMBER($G1200),$G1200&gt;=21),STDEV(INDEX($H$1140:$H1200,62-20):$H1200)*SQRT(245),"")</f>
        <v/>
      </c>
      <c r="M1200" s="52" t="str">
        <f aca="false">IF(AND(ISNUMBER($G1200),$G1200&gt;=60),MAX(INDEX($D$1000:$D1200,202-60):$D1200),"")</f>
        <v/>
      </c>
      <c r="N1200" s="52" t="str">
        <f aca="false">IF(AND(ISNUMBER($G1200),$G1200&gt;=60),MIN(INDEX($E$1000:$E1200,202-60):$E1200),"")</f>
        <v/>
      </c>
      <c r="O1200" s="53" t="str">
        <f aca="false">IF(OR(NOT(ISNUMBER($C1200)),NOT(ISNUMBER($M1200)),$M1200=0),"",$C1200/$M1200-1)</f>
        <v/>
      </c>
      <c r="P1200" s="54"/>
      <c r="Q1200" s="53" t="str">
        <f aca="false">IF(NOT(ISNUMBER($P1200)),"",IFERROR(PERCENTRANK($P$5:$P$1204,$P1200),""))</f>
        <v/>
      </c>
    </row>
    <row r="1201" customFormat="false" ht="15" hidden="false" customHeight="false" outlineLevel="0" collapsed="false">
      <c r="A1201" s="55"/>
      <c r="B1201" s="56"/>
      <c r="C1201" s="57"/>
      <c r="D1201" s="56"/>
      <c r="E1201" s="56"/>
      <c r="F1201" s="56"/>
      <c r="G1201" s="50" t="str">
        <f aca="false">IF($A1201="","",IF(ISNUMBER($G1200),$G1200+1,1))</f>
        <v/>
      </c>
      <c r="H1201" s="51" t="str">
        <f aca="false">IF(OR(NOT(ISNUMBER($G1201)),$G1201&lt;2,NOT(ISNUMBER($C1200)),$C1200=0),"",$C1201/$C1200-1)</f>
        <v/>
      </c>
      <c r="I1201" s="52" t="str">
        <f aca="false">IF(AND(ISNUMBER($G1201),$G1201&gt;=MA_SHORT),AVERAGE(INDEX($C$801:$C1201,402-MA_SHORT):$C1201),"")</f>
        <v/>
      </c>
      <c r="J1201" s="52" t="str">
        <f aca="false">IF(AND(ISNUMBER($G1201),$G1201&gt;=MA_MED),AVERAGE(INDEX($C$801:$C1201,402-MA_MED):$C1201),"")</f>
        <v/>
      </c>
      <c r="K1201" s="52" t="str">
        <f aca="false">IF(AND(ISNUMBER($G1201),$G1201&gt;=MA_LONG2),AVERAGE(INDEX($C$801:$C1201,402-MA_LONG2):$C1201),"")</f>
        <v/>
      </c>
      <c r="L1201" s="53" t="str">
        <f aca="false">IF(AND(ISNUMBER($G1201),$G1201&gt;=21),STDEV(INDEX($H$1141:$H1201,62-20):$H1201)*SQRT(245),"")</f>
        <v/>
      </c>
      <c r="M1201" s="52" t="str">
        <f aca="false">IF(AND(ISNUMBER($G1201),$G1201&gt;=60),MAX(INDEX($D$1001:$D1201,202-60):$D1201),"")</f>
        <v/>
      </c>
      <c r="N1201" s="52" t="str">
        <f aca="false">IF(AND(ISNUMBER($G1201),$G1201&gt;=60),MIN(INDEX($E$1001:$E1201,202-60):$E1201),"")</f>
        <v/>
      </c>
      <c r="O1201" s="53" t="str">
        <f aca="false">IF(OR(NOT(ISNUMBER($C1201)),NOT(ISNUMBER($M1201)),$M1201=0),"",$C1201/$M1201-1)</f>
        <v/>
      </c>
      <c r="P1201" s="54"/>
      <c r="Q1201" s="53" t="str">
        <f aca="false">IF(NOT(ISNUMBER($P1201)),"",IFERROR(PERCENTRANK($P$5:$P$1204,$P1201),""))</f>
        <v/>
      </c>
    </row>
    <row r="1202" customFormat="false" ht="15" hidden="false" customHeight="false" outlineLevel="0" collapsed="false">
      <c r="A1202" s="55"/>
      <c r="B1202" s="56"/>
      <c r="C1202" s="57"/>
      <c r="D1202" s="56"/>
      <c r="E1202" s="56"/>
      <c r="F1202" s="56"/>
      <c r="G1202" s="50" t="str">
        <f aca="false">IF($A1202="","",IF(ISNUMBER($G1201),$G1201+1,1))</f>
        <v/>
      </c>
      <c r="H1202" s="51" t="str">
        <f aca="false">IF(OR(NOT(ISNUMBER($G1202)),$G1202&lt;2,NOT(ISNUMBER($C1201)),$C1201=0),"",$C1202/$C1201-1)</f>
        <v/>
      </c>
      <c r="I1202" s="52" t="str">
        <f aca="false">IF(AND(ISNUMBER($G1202),$G1202&gt;=MA_SHORT),AVERAGE(INDEX($C$802:$C1202,402-MA_SHORT):$C1202),"")</f>
        <v/>
      </c>
      <c r="J1202" s="52" t="str">
        <f aca="false">IF(AND(ISNUMBER($G1202),$G1202&gt;=MA_MED),AVERAGE(INDEX($C$802:$C1202,402-MA_MED):$C1202),"")</f>
        <v/>
      </c>
      <c r="K1202" s="52" t="str">
        <f aca="false">IF(AND(ISNUMBER($G1202),$G1202&gt;=MA_LONG2),AVERAGE(INDEX($C$802:$C1202,402-MA_LONG2):$C1202),"")</f>
        <v/>
      </c>
      <c r="L1202" s="53" t="str">
        <f aca="false">IF(AND(ISNUMBER($G1202),$G1202&gt;=21),STDEV(INDEX($H$1142:$H1202,62-20):$H1202)*SQRT(245),"")</f>
        <v/>
      </c>
      <c r="M1202" s="52" t="str">
        <f aca="false">IF(AND(ISNUMBER($G1202),$G1202&gt;=60),MAX(INDEX($D$1002:$D1202,202-60):$D1202),"")</f>
        <v/>
      </c>
      <c r="N1202" s="52" t="str">
        <f aca="false">IF(AND(ISNUMBER($G1202),$G1202&gt;=60),MIN(INDEX($E$1002:$E1202,202-60):$E1202),"")</f>
        <v/>
      </c>
      <c r="O1202" s="53" t="str">
        <f aca="false">IF(OR(NOT(ISNUMBER($C1202)),NOT(ISNUMBER($M1202)),$M1202=0),"",$C1202/$M1202-1)</f>
        <v/>
      </c>
      <c r="P1202" s="54"/>
      <c r="Q1202" s="53" t="str">
        <f aca="false">IF(NOT(ISNUMBER($P1202)),"",IFERROR(PERCENTRANK($P$5:$P$1204,$P1202),""))</f>
        <v/>
      </c>
    </row>
    <row r="1203" customFormat="false" ht="15" hidden="false" customHeight="false" outlineLevel="0" collapsed="false">
      <c r="A1203" s="55"/>
      <c r="B1203" s="56"/>
      <c r="C1203" s="57"/>
      <c r="D1203" s="56"/>
      <c r="E1203" s="56"/>
      <c r="F1203" s="56"/>
      <c r="G1203" s="50" t="str">
        <f aca="false">IF($A1203="","",IF(ISNUMBER($G1202),$G1202+1,1))</f>
        <v/>
      </c>
      <c r="H1203" s="51" t="str">
        <f aca="false">IF(OR(NOT(ISNUMBER($G1203)),$G1203&lt;2,NOT(ISNUMBER($C1202)),$C1202=0),"",$C1203/$C1202-1)</f>
        <v/>
      </c>
      <c r="I1203" s="52" t="str">
        <f aca="false">IF(AND(ISNUMBER($G1203),$G1203&gt;=MA_SHORT),AVERAGE(INDEX($C$803:$C1203,402-MA_SHORT):$C1203),"")</f>
        <v/>
      </c>
      <c r="J1203" s="52" t="str">
        <f aca="false">IF(AND(ISNUMBER($G1203),$G1203&gt;=MA_MED),AVERAGE(INDEX($C$803:$C1203,402-MA_MED):$C1203),"")</f>
        <v/>
      </c>
      <c r="K1203" s="52" t="str">
        <f aca="false">IF(AND(ISNUMBER($G1203),$G1203&gt;=MA_LONG2),AVERAGE(INDEX($C$803:$C1203,402-MA_LONG2):$C1203),"")</f>
        <v/>
      </c>
      <c r="L1203" s="53" t="str">
        <f aca="false">IF(AND(ISNUMBER($G1203),$G1203&gt;=21),STDEV(INDEX($H$1143:$H1203,62-20):$H1203)*SQRT(245),"")</f>
        <v/>
      </c>
      <c r="M1203" s="52" t="str">
        <f aca="false">IF(AND(ISNUMBER($G1203),$G1203&gt;=60),MAX(INDEX($D$1003:$D1203,202-60):$D1203),"")</f>
        <v/>
      </c>
      <c r="N1203" s="52" t="str">
        <f aca="false">IF(AND(ISNUMBER($G1203),$G1203&gt;=60),MIN(INDEX($E$1003:$E1203,202-60):$E1203),"")</f>
        <v/>
      </c>
      <c r="O1203" s="53" t="str">
        <f aca="false">IF(OR(NOT(ISNUMBER($C1203)),NOT(ISNUMBER($M1203)),$M1203=0),"",$C1203/$M1203-1)</f>
        <v/>
      </c>
      <c r="P1203" s="54"/>
      <c r="Q1203" s="53" t="str">
        <f aca="false">IF(NOT(ISNUMBER($P1203)),"",IFERROR(PERCENTRANK($P$5:$P$1204,$P1203),""))</f>
        <v/>
      </c>
    </row>
    <row r="1204" customFormat="false" ht="15" hidden="false" customHeight="false" outlineLevel="0" collapsed="false">
      <c r="A1204" s="55"/>
      <c r="B1204" s="56"/>
      <c r="C1204" s="57"/>
      <c r="D1204" s="56"/>
      <c r="E1204" s="56"/>
      <c r="F1204" s="56"/>
      <c r="G1204" s="50" t="str">
        <f aca="false">IF($A1204="","",IF(ISNUMBER($G1203),$G1203+1,1))</f>
        <v/>
      </c>
      <c r="H1204" s="51" t="str">
        <f aca="false">IF(OR(NOT(ISNUMBER($G1204)),$G1204&lt;2,NOT(ISNUMBER($C1203)),$C1203=0),"",$C1204/$C1203-1)</f>
        <v/>
      </c>
      <c r="I1204" s="52" t="str">
        <f aca="false">IF(AND(ISNUMBER($G1204),$G1204&gt;=MA_SHORT),AVERAGE(INDEX($C$804:$C1204,402-MA_SHORT):$C1204),"")</f>
        <v/>
      </c>
      <c r="J1204" s="52" t="str">
        <f aca="false">IF(AND(ISNUMBER($G1204),$G1204&gt;=MA_MED),AVERAGE(INDEX($C$804:$C1204,402-MA_MED):$C1204),"")</f>
        <v/>
      </c>
      <c r="K1204" s="52" t="str">
        <f aca="false">IF(AND(ISNUMBER($G1204),$G1204&gt;=MA_LONG2),AVERAGE(INDEX($C$804:$C1204,402-MA_LONG2):$C1204),"")</f>
        <v/>
      </c>
      <c r="L1204" s="53" t="str">
        <f aca="false">IF(AND(ISNUMBER($G1204),$G1204&gt;=21),STDEV(INDEX($H$1144:$H1204,62-20):$H1204)*SQRT(245),"")</f>
        <v/>
      </c>
      <c r="M1204" s="52" t="str">
        <f aca="false">IF(AND(ISNUMBER($G1204),$G1204&gt;=60),MAX(INDEX($D$1004:$D1204,202-60):$D1204),"")</f>
        <v/>
      </c>
      <c r="N1204" s="52" t="str">
        <f aca="false">IF(AND(ISNUMBER($G1204),$G1204&gt;=60),MIN(INDEX($E$1004:$E1204,202-60):$E1204),"")</f>
        <v/>
      </c>
      <c r="O1204" s="53" t="str">
        <f aca="false">IF(OR(NOT(ISNUMBER($C1204)),NOT(ISNUMBER($M1204)),$M1204=0),"",$C1204/$M1204-1)</f>
        <v/>
      </c>
      <c r="P1204" s="54"/>
      <c r="Q1204" s="53" t="str">
        <f aca="false">IF(NOT(ISNUMBER($P1204)),"",IFERROR(PERCENTRANK($P$5:$P$1204,$P1204),""))</f>
        <v/>
      </c>
    </row>
  </sheetData>
  <autoFilter ref="A4:Q1204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2"/>
  </cols>
  <sheetData>
    <row r="1" customFormat="false" ht="27.75" hidden="false" customHeight="true" outlineLevel="0" collapsed="false">
      <c r="A1" s="1" t="s">
        <v>656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9" t="s">
        <v>654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customFormat="false" ht="30" hidden="false" customHeight="true" outlineLevel="0" collapsed="false">
      <c r="A3" s="20" t="s">
        <v>134</v>
      </c>
      <c r="B3" s="20" t="s">
        <v>16</v>
      </c>
      <c r="C3" s="20" t="s">
        <v>17</v>
      </c>
      <c r="D3" s="20" t="s">
        <v>135</v>
      </c>
      <c r="E3" s="20" t="s">
        <v>136</v>
      </c>
      <c r="F3" s="20" t="s">
        <v>137</v>
      </c>
      <c r="G3" s="20" t="s">
        <v>138</v>
      </c>
      <c r="H3" s="20" t="s">
        <v>139</v>
      </c>
      <c r="I3" s="20" t="s">
        <v>19</v>
      </c>
      <c r="J3" s="20" t="s">
        <v>20</v>
      </c>
      <c r="K3" s="20" t="s">
        <v>21</v>
      </c>
      <c r="L3" s="20" t="s">
        <v>140</v>
      </c>
      <c r="M3" s="20" t="s">
        <v>23</v>
      </c>
      <c r="N3" s="20" t="s">
        <v>24</v>
      </c>
      <c r="O3" s="20" t="s">
        <v>25</v>
      </c>
    </row>
    <row r="4" customFormat="false" ht="21.75" hidden="false" customHeight="true" outlineLevel="0" collapsed="false">
      <c r="A4" s="21" t="s">
        <v>92</v>
      </c>
      <c r="B4" s="21" t="s">
        <v>92</v>
      </c>
      <c r="C4" s="21" t="s">
        <v>143</v>
      </c>
      <c r="D4" s="21" t="s">
        <v>144</v>
      </c>
      <c r="E4" s="21" t="s">
        <v>145</v>
      </c>
      <c r="F4" s="21" t="s">
        <v>146</v>
      </c>
      <c r="G4" s="21" t="s">
        <v>147</v>
      </c>
      <c r="H4" s="21" t="s">
        <v>92</v>
      </c>
      <c r="I4" s="21" t="s">
        <v>148</v>
      </c>
      <c r="J4" s="21" t="s">
        <v>149</v>
      </c>
      <c r="K4" s="21" t="s">
        <v>150</v>
      </c>
      <c r="L4" s="21" t="s">
        <v>92</v>
      </c>
      <c r="M4" s="21" t="s">
        <v>92</v>
      </c>
      <c r="N4" s="21" t="s">
        <v>92</v>
      </c>
      <c r="O4" s="21" t="s">
        <v>92</v>
      </c>
    </row>
    <row r="5" customFormat="false" ht="15" hidden="false" customHeight="false" outlineLevel="0" collapsed="false">
      <c r="A5" s="47" t="n">
        <v>45570</v>
      </c>
      <c r="B5" s="48" t="s">
        <v>153</v>
      </c>
      <c r="C5" s="49" t="n">
        <v>3367</v>
      </c>
      <c r="D5" s="49" t="n">
        <v>3372</v>
      </c>
      <c r="E5" s="49" t="n">
        <v>3358</v>
      </c>
      <c r="F5" s="49" t="n">
        <v>0</v>
      </c>
      <c r="G5" s="50" t="n">
        <f aca="false">IF($A5="","",IF(ISNUMBER($G4),$G4+1,1))</f>
        <v>1</v>
      </c>
      <c r="H5" s="51" t="str">
        <f aca="false">IF(OR(NOT(ISNUMBER($G5)),$G5&lt;2,NOT(ISNUMBER($C4)),$C4=0),"",$C5/$C4-1)</f>
        <v/>
      </c>
      <c r="I5" s="52" t="str">
        <f aca="false">IF(AND(ISNUMBER($G5),$G5&gt;=MA_SHORT),AVERAGE(INDEX($C$5:$C5,2-MA_SHORT):$C5),"")</f>
        <v/>
      </c>
      <c r="J5" s="52" t="str">
        <f aca="false">IF(AND(ISNUMBER($G5),$G5&gt;=MA_MED),AVERAGE(INDEX($C$5:$C5,2-MA_MED):$C5),"")</f>
        <v/>
      </c>
      <c r="K5" s="52" t="str">
        <f aca="false">IF(AND(ISNUMBER($G5),$G5&gt;=MA_LONG2),AVERAGE(INDEX($C$5:$C5,2-MA_LONG2):$C5),"")</f>
        <v/>
      </c>
      <c r="L5" s="53" t="str">
        <f aca="false">IF(AND(ISNUMBER($G5),$G5&gt;=21),STDEV(INDEX($H$5:$H5,2-20):$H5)*SQRT(245),"")</f>
        <v/>
      </c>
      <c r="M5" s="52" t="str">
        <f aca="false">IF(AND(ISNUMBER($G5),$G5&gt;=60),MAX(INDEX($D$5:$D5,2-60):$D5),"")</f>
        <v/>
      </c>
      <c r="N5" s="52" t="str">
        <f aca="false">IF(AND(ISNUMBER($G5),$G5&gt;=60),MIN(INDEX($E$5:$E5,2-60):$E5),"")</f>
        <v/>
      </c>
      <c r="O5" s="53" t="str">
        <f aca="false">IF(OR(NOT(ISNUMBER($C5)),NOT(ISNUMBER($M5)),$M5=0),"",$C5/$M5-1)</f>
        <v/>
      </c>
    </row>
    <row r="6" customFormat="false" ht="15" hidden="false" customHeight="false" outlineLevel="0" collapsed="false">
      <c r="A6" s="47" t="n">
        <v>45571</v>
      </c>
      <c r="B6" s="48" t="s">
        <v>154</v>
      </c>
      <c r="C6" s="49" t="n">
        <v>3409</v>
      </c>
      <c r="D6" s="49" t="n">
        <v>3420</v>
      </c>
      <c r="E6" s="49" t="n">
        <v>3387</v>
      </c>
      <c r="F6" s="49" t="n">
        <v>0</v>
      </c>
      <c r="G6" s="50" t="n">
        <f aca="false">IF($A6="","",IF(ISNUMBER($G5),$G5+1,1))</f>
        <v>2</v>
      </c>
      <c r="H6" s="51" t="n">
        <f aca="false">IF(OR(NOT(ISNUMBER($G6)),$G6&lt;2,NOT(ISNUMBER($C5)),$C5=0),"",$C6/$C5-1)</f>
        <v>0.0124740124740124</v>
      </c>
      <c r="I6" s="52" t="str">
        <f aca="false">IF(AND(ISNUMBER($G6),$G6&gt;=MA_SHORT),AVERAGE(INDEX($C$5:$C6,3-MA_SHORT):$C6),"")</f>
        <v/>
      </c>
      <c r="J6" s="52" t="str">
        <f aca="false">IF(AND(ISNUMBER($G6),$G6&gt;=MA_MED),AVERAGE(INDEX($C$5:$C6,3-MA_MED):$C6),"")</f>
        <v/>
      </c>
      <c r="K6" s="52" t="str">
        <f aca="false">IF(AND(ISNUMBER($G6),$G6&gt;=MA_LONG2),AVERAGE(INDEX($C$5:$C6,3-MA_LONG2):$C6),"")</f>
        <v/>
      </c>
      <c r="L6" s="53" t="str">
        <f aca="false">IF(AND(ISNUMBER($G6),$G6&gt;=21),STDEV(INDEX($H$5:$H6,3-20):$H6)*SQRT(245),"")</f>
        <v/>
      </c>
      <c r="M6" s="52" t="str">
        <f aca="false">IF(AND(ISNUMBER($G6),$G6&gt;=60),MAX(INDEX($D$5:$D6,3-60):$D6),"")</f>
        <v/>
      </c>
      <c r="N6" s="52" t="str">
        <f aca="false">IF(AND(ISNUMBER($G6),$G6&gt;=60),MIN(INDEX($E$5:$E6,3-60):$E6),"")</f>
        <v/>
      </c>
      <c r="O6" s="53" t="str">
        <f aca="false">IF(OR(NOT(ISNUMBER($C6)),NOT(ISNUMBER($M6)),$M6=0),"",$C6/$M6-1)</f>
        <v/>
      </c>
    </row>
    <row r="7" customFormat="false" ht="15" hidden="false" customHeight="false" outlineLevel="0" collapsed="false">
      <c r="A7" s="47" t="n">
        <v>45572</v>
      </c>
      <c r="B7" s="48" t="s">
        <v>155</v>
      </c>
      <c r="C7" s="49" t="n">
        <v>3362</v>
      </c>
      <c r="D7" s="49" t="n">
        <v>3366</v>
      </c>
      <c r="E7" s="49" t="n">
        <v>3348</v>
      </c>
      <c r="F7" s="49" t="n">
        <v>0</v>
      </c>
      <c r="G7" s="50" t="n">
        <f aca="false">IF($A7="","",IF(ISNUMBER($G6),$G6+1,1))</f>
        <v>3</v>
      </c>
      <c r="H7" s="51" t="n">
        <f aca="false">IF(OR(NOT(ISNUMBER($G7)),$G7&lt;2,NOT(ISNUMBER($C6)),$C6=0),"",$C7/$C6-1)</f>
        <v>-0.0137870343209152</v>
      </c>
      <c r="I7" s="52" t="str">
        <f aca="false">IF(AND(ISNUMBER($G7),$G7&gt;=MA_SHORT),AVERAGE(INDEX($C$5:$C7,4-MA_SHORT):$C7),"")</f>
        <v/>
      </c>
      <c r="J7" s="52" t="str">
        <f aca="false">IF(AND(ISNUMBER($G7),$G7&gt;=MA_MED),AVERAGE(INDEX($C$5:$C7,4-MA_MED):$C7),"")</f>
        <v/>
      </c>
      <c r="K7" s="52" t="str">
        <f aca="false">IF(AND(ISNUMBER($G7),$G7&gt;=MA_LONG2),AVERAGE(INDEX($C$5:$C7,4-MA_LONG2):$C7),"")</f>
        <v/>
      </c>
      <c r="L7" s="53" t="str">
        <f aca="false">IF(AND(ISNUMBER($G7),$G7&gt;=21),STDEV(INDEX($H$5:$H7,4-20):$H7)*SQRT(245),"")</f>
        <v/>
      </c>
      <c r="M7" s="52" t="str">
        <f aca="false">IF(AND(ISNUMBER($G7),$G7&gt;=60),MAX(INDEX($D$5:$D7,4-60):$D7),"")</f>
        <v/>
      </c>
      <c r="N7" s="52" t="str">
        <f aca="false">IF(AND(ISNUMBER($G7),$G7&gt;=60),MIN(INDEX($E$5:$E7,4-60):$E7),"")</f>
        <v/>
      </c>
      <c r="O7" s="53" t="str">
        <f aca="false">IF(OR(NOT(ISNUMBER($C7)),NOT(ISNUMBER($M7)),$M7=0),"",$C7/$M7-1)</f>
        <v/>
      </c>
    </row>
    <row r="8" customFormat="false" ht="15" hidden="false" customHeight="false" outlineLevel="0" collapsed="false">
      <c r="A8" s="47" t="n">
        <v>45573</v>
      </c>
      <c r="B8" s="48" t="s">
        <v>156</v>
      </c>
      <c r="C8" s="49" t="n">
        <v>3371</v>
      </c>
      <c r="D8" s="49" t="n">
        <v>3389</v>
      </c>
      <c r="E8" s="49" t="n">
        <v>3352</v>
      </c>
      <c r="F8" s="49" t="n">
        <v>0</v>
      </c>
      <c r="G8" s="50" t="n">
        <f aca="false">IF($A8="","",IF(ISNUMBER($G7),$G7+1,1))</f>
        <v>4</v>
      </c>
      <c r="H8" s="51" t="n">
        <f aca="false">IF(OR(NOT(ISNUMBER($G8)),$G8&lt;2,NOT(ISNUMBER($C7)),$C7=0),"",$C8/$C7-1)</f>
        <v>0.00267697798929212</v>
      </c>
      <c r="I8" s="52" t="str">
        <f aca="false">IF(AND(ISNUMBER($G8),$G8&gt;=MA_SHORT),AVERAGE(INDEX($C$5:$C8,5-MA_SHORT):$C8),"")</f>
        <v/>
      </c>
      <c r="J8" s="52" t="str">
        <f aca="false">IF(AND(ISNUMBER($G8),$G8&gt;=MA_MED),AVERAGE(INDEX($C$5:$C8,5-MA_MED):$C8),"")</f>
        <v/>
      </c>
      <c r="K8" s="52" t="str">
        <f aca="false">IF(AND(ISNUMBER($G8),$G8&gt;=MA_LONG2),AVERAGE(INDEX($C$5:$C8,5-MA_LONG2):$C8),"")</f>
        <v/>
      </c>
      <c r="L8" s="53" t="str">
        <f aca="false">IF(AND(ISNUMBER($G8),$G8&gt;=21),STDEV(INDEX($H$5:$H8,5-20):$H8)*SQRT(245),"")</f>
        <v/>
      </c>
      <c r="M8" s="52" t="str">
        <f aca="false">IF(AND(ISNUMBER($G8),$G8&gt;=60),MAX(INDEX($D$5:$D8,5-60):$D8),"")</f>
        <v/>
      </c>
      <c r="N8" s="52" t="str">
        <f aca="false">IF(AND(ISNUMBER($G8),$G8&gt;=60),MIN(INDEX($E$5:$E8,5-60):$E8),"")</f>
        <v/>
      </c>
      <c r="O8" s="53" t="str">
        <f aca="false">IF(OR(NOT(ISNUMBER($C8)),NOT(ISNUMBER($M8)),$M8=0),"",$C8/$M8-1)</f>
        <v/>
      </c>
    </row>
    <row r="9" customFormat="false" ht="15" hidden="false" customHeight="false" outlineLevel="0" collapsed="false">
      <c r="A9" s="47" t="n">
        <v>45574</v>
      </c>
      <c r="B9" s="48" t="s">
        <v>157</v>
      </c>
      <c r="C9" s="49" t="n">
        <v>3303</v>
      </c>
      <c r="D9" s="49" t="n">
        <v>3310</v>
      </c>
      <c r="E9" s="49" t="n">
        <v>3296</v>
      </c>
      <c r="F9" s="49" t="n">
        <v>0</v>
      </c>
      <c r="G9" s="50" t="n">
        <f aca="false">IF($A9="","",IF(ISNUMBER($G8),$G8+1,1))</f>
        <v>5</v>
      </c>
      <c r="H9" s="51" t="n">
        <f aca="false">IF(OR(NOT(ISNUMBER($G9)),$G9&lt;2,NOT(ISNUMBER($C8)),$C8=0),"",$C9/$C8-1)</f>
        <v>-0.0201720557698013</v>
      </c>
      <c r="I9" s="52" t="str">
        <f aca="false">IF(AND(ISNUMBER($G9),$G9&gt;=MA_SHORT),AVERAGE(INDEX($C$5:$C9,6-MA_SHORT):$C9),"")</f>
        <v/>
      </c>
      <c r="J9" s="52" t="str">
        <f aca="false">IF(AND(ISNUMBER($G9),$G9&gt;=MA_MED),AVERAGE(INDEX($C$5:$C9,6-MA_MED):$C9),"")</f>
        <v/>
      </c>
      <c r="K9" s="52" t="str">
        <f aca="false">IF(AND(ISNUMBER($G9),$G9&gt;=MA_LONG2),AVERAGE(INDEX($C$5:$C9,6-MA_LONG2):$C9),"")</f>
        <v/>
      </c>
      <c r="L9" s="53" t="str">
        <f aca="false">IF(AND(ISNUMBER($G9),$G9&gt;=21),STDEV(INDEX($H$5:$H9,6-20):$H9)*SQRT(245),"")</f>
        <v/>
      </c>
      <c r="M9" s="52" t="str">
        <f aca="false">IF(AND(ISNUMBER($G9),$G9&gt;=60),MAX(INDEX($D$5:$D9,6-60):$D9),"")</f>
        <v/>
      </c>
      <c r="N9" s="52" t="str">
        <f aca="false">IF(AND(ISNUMBER($G9),$G9&gt;=60),MIN(INDEX($E$5:$E9,6-60):$E9),"")</f>
        <v/>
      </c>
      <c r="O9" s="53" t="str">
        <f aca="false">IF(OR(NOT(ISNUMBER($C9)),NOT(ISNUMBER($M9)),$M9=0),"",$C9/$M9-1)</f>
        <v/>
      </c>
    </row>
    <row r="10" customFormat="false" ht="15" hidden="false" customHeight="false" outlineLevel="0" collapsed="false">
      <c r="A10" s="47" t="n">
        <v>45577</v>
      </c>
      <c r="B10" s="48" t="s">
        <v>158</v>
      </c>
      <c r="C10" s="49" t="n">
        <v>3317</v>
      </c>
      <c r="D10" s="49" t="n">
        <v>3331</v>
      </c>
      <c r="E10" s="49" t="n">
        <v>3297</v>
      </c>
      <c r="F10" s="49" t="n">
        <v>0</v>
      </c>
      <c r="G10" s="50" t="n">
        <f aca="false">IF($A10="","",IF(ISNUMBER($G9),$G9+1,1))</f>
        <v>6</v>
      </c>
      <c r="H10" s="51" t="n">
        <f aca="false">IF(OR(NOT(ISNUMBER($G10)),$G10&lt;2,NOT(ISNUMBER($C9)),$C9=0),"",$C10/$C9-1)</f>
        <v>0.00423857099606417</v>
      </c>
      <c r="I10" s="52" t="str">
        <f aca="false">IF(AND(ISNUMBER($G10),$G10&gt;=MA_SHORT),AVERAGE(INDEX($C$5:$C10,7-MA_SHORT):$C10),"")</f>
        <v/>
      </c>
      <c r="J10" s="52" t="str">
        <f aca="false">IF(AND(ISNUMBER($G10),$G10&gt;=MA_MED),AVERAGE(INDEX($C$5:$C10,7-MA_MED):$C10),"")</f>
        <v/>
      </c>
      <c r="K10" s="52" t="str">
        <f aca="false">IF(AND(ISNUMBER($G10),$G10&gt;=MA_LONG2),AVERAGE(INDEX($C$5:$C10,7-MA_LONG2):$C10),"")</f>
        <v/>
      </c>
      <c r="L10" s="53" t="str">
        <f aca="false">IF(AND(ISNUMBER($G10),$G10&gt;=21),STDEV(INDEX($H$5:$H10,7-20):$H10)*SQRT(245),"")</f>
        <v/>
      </c>
      <c r="M10" s="52" t="str">
        <f aca="false">IF(AND(ISNUMBER($G10),$G10&gt;=60),MAX(INDEX($D$5:$D10,7-60):$D10),"")</f>
        <v/>
      </c>
      <c r="N10" s="52" t="str">
        <f aca="false">IF(AND(ISNUMBER($G10),$G10&gt;=60),MIN(INDEX($E$5:$E10,7-60):$E10),"")</f>
        <v/>
      </c>
      <c r="O10" s="53" t="str">
        <f aca="false">IF(OR(NOT(ISNUMBER($C10)),NOT(ISNUMBER($M10)),$M10=0),"",$C10/$M10-1)</f>
        <v/>
      </c>
    </row>
    <row r="11" customFormat="false" ht="15" hidden="false" customHeight="false" outlineLevel="0" collapsed="false">
      <c r="A11" s="47" t="n">
        <v>45578</v>
      </c>
      <c r="B11" s="48" t="s">
        <v>159</v>
      </c>
      <c r="C11" s="49" t="n">
        <v>3306</v>
      </c>
      <c r="D11" s="49" t="n">
        <v>3310</v>
      </c>
      <c r="E11" s="49" t="n">
        <v>3291</v>
      </c>
      <c r="F11" s="49" t="n">
        <v>0</v>
      </c>
      <c r="G11" s="50" t="n">
        <f aca="false">IF($A11="","",IF(ISNUMBER($G10),$G10+1,1))</f>
        <v>7</v>
      </c>
      <c r="H11" s="51" t="n">
        <f aca="false">IF(OR(NOT(ISNUMBER($G11)),$G11&lt;2,NOT(ISNUMBER($C10)),$C10=0),"",$C11/$C10-1)</f>
        <v>-0.00331624962315347</v>
      </c>
      <c r="I11" s="52" t="str">
        <f aca="false">IF(AND(ISNUMBER($G11),$G11&gt;=MA_SHORT),AVERAGE(INDEX($C$5:$C11,8-MA_SHORT):$C11),"")</f>
        <v/>
      </c>
      <c r="J11" s="52" t="str">
        <f aca="false">IF(AND(ISNUMBER($G11),$G11&gt;=MA_MED),AVERAGE(INDEX($C$5:$C11,8-MA_MED):$C11),"")</f>
        <v/>
      </c>
      <c r="K11" s="52" t="str">
        <f aca="false">IF(AND(ISNUMBER($G11),$G11&gt;=MA_LONG2),AVERAGE(INDEX($C$5:$C11,8-MA_LONG2):$C11),"")</f>
        <v/>
      </c>
      <c r="L11" s="53" t="str">
        <f aca="false">IF(AND(ISNUMBER($G11),$G11&gt;=21),STDEV(INDEX($H$5:$H11,8-20):$H11)*SQRT(245),"")</f>
        <v/>
      </c>
      <c r="M11" s="52" t="str">
        <f aca="false">IF(AND(ISNUMBER($G11),$G11&gt;=60),MAX(INDEX($D$5:$D11,8-60):$D11),"")</f>
        <v/>
      </c>
      <c r="N11" s="52" t="str">
        <f aca="false">IF(AND(ISNUMBER($G11),$G11&gt;=60),MIN(INDEX($E$5:$E11,8-60):$E11),"")</f>
        <v/>
      </c>
      <c r="O11" s="53" t="str">
        <f aca="false">IF(OR(NOT(ISNUMBER($C11)),NOT(ISNUMBER($M11)),$M11=0),"",$C11/$M11-1)</f>
        <v/>
      </c>
    </row>
    <row r="12" customFormat="false" ht="15" hidden="false" customHeight="false" outlineLevel="0" collapsed="false">
      <c r="A12" s="47" t="n">
        <v>45579</v>
      </c>
      <c r="B12" s="48" t="s">
        <v>160</v>
      </c>
      <c r="C12" s="49" t="n">
        <v>3305</v>
      </c>
      <c r="D12" s="49" t="n">
        <v>3308</v>
      </c>
      <c r="E12" s="49" t="n">
        <v>3288</v>
      </c>
      <c r="F12" s="49" t="n">
        <v>0</v>
      </c>
      <c r="G12" s="50" t="n">
        <f aca="false">IF($A12="","",IF(ISNUMBER($G11),$G11+1,1))</f>
        <v>8</v>
      </c>
      <c r="H12" s="51" t="n">
        <f aca="false">IF(OR(NOT(ISNUMBER($G12)),$G12&lt;2,NOT(ISNUMBER($C11)),$C11=0),"",$C12/$C11-1)</f>
        <v>-0.000302480338778</v>
      </c>
      <c r="I12" s="52" t="str">
        <f aca="false">IF(AND(ISNUMBER($G12),$G12&gt;=MA_SHORT),AVERAGE(INDEX($C$5:$C12,9-MA_SHORT):$C12),"")</f>
        <v/>
      </c>
      <c r="J12" s="52" t="str">
        <f aca="false">IF(AND(ISNUMBER($G12),$G12&gt;=MA_MED),AVERAGE(INDEX($C$5:$C12,9-MA_MED):$C12),"")</f>
        <v/>
      </c>
      <c r="K12" s="52" t="str">
        <f aca="false">IF(AND(ISNUMBER($G12),$G12&gt;=MA_LONG2),AVERAGE(INDEX($C$5:$C12,9-MA_LONG2):$C12),"")</f>
        <v/>
      </c>
      <c r="L12" s="53" t="str">
        <f aca="false">IF(AND(ISNUMBER($G12),$G12&gt;=21),STDEV(INDEX($H$5:$H12,9-20):$H12)*SQRT(245),"")</f>
        <v/>
      </c>
      <c r="M12" s="52" t="str">
        <f aca="false">IF(AND(ISNUMBER($G12),$G12&gt;=60),MAX(INDEX($D$5:$D12,9-60):$D12),"")</f>
        <v/>
      </c>
      <c r="N12" s="52" t="str">
        <f aca="false">IF(AND(ISNUMBER($G12),$G12&gt;=60),MIN(INDEX($E$5:$E12,9-60):$E12),"")</f>
        <v/>
      </c>
      <c r="O12" s="53" t="str">
        <f aca="false">IF(OR(NOT(ISNUMBER($C12)),NOT(ISNUMBER($M12)),$M12=0),"",$C12/$M12-1)</f>
        <v/>
      </c>
    </row>
    <row r="13" customFormat="false" ht="15" hidden="false" customHeight="false" outlineLevel="0" collapsed="false">
      <c r="A13" s="47" t="n">
        <v>45580</v>
      </c>
      <c r="B13" s="48" t="s">
        <v>161</v>
      </c>
      <c r="C13" s="49" t="n">
        <v>3252</v>
      </c>
      <c r="D13" s="49" t="n">
        <v>3253</v>
      </c>
      <c r="E13" s="49" t="n">
        <v>3249</v>
      </c>
      <c r="F13" s="49" t="n">
        <v>0</v>
      </c>
      <c r="G13" s="50" t="n">
        <f aca="false">IF($A13="","",IF(ISNUMBER($G12),$G12+1,1))</f>
        <v>9</v>
      </c>
      <c r="H13" s="51" t="n">
        <f aca="false">IF(OR(NOT(ISNUMBER($G13)),$G13&lt;2,NOT(ISNUMBER($C12)),$C12=0),"",$C13/$C12-1)</f>
        <v>-0.0160363086232981</v>
      </c>
      <c r="I13" s="52" t="str">
        <f aca="false">IF(AND(ISNUMBER($G13),$G13&gt;=MA_SHORT),AVERAGE(INDEX($C$5:$C13,10-MA_SHORT):$C13),"")</f>
        <v/>
      </c>
      <c r="J13" s="52" t="str">
        <f aca="false">IF(AND(ISNUMBER($G13),$G13&gt;=MA_MED),AVERAGE(INDEX($C$5:$C13,10-MA_MED):$C13),"")</f>
        <v/>
      </c>
      <c r="K13" s="52" t="str">
        <f aca="false">IF(AND(ISNUMBER($G13),$G13&gt;=MA_LONG2),AVERAGE(INDEX($C$5:$C13,10-MA_LONG2):$C13),"")</f>
        <v/>
      </c>
      <c r="L13" s="53" t="str">
        <f aca="false">IF(AND(ISNUMBER($G13),$G13&gt;=21),STDEV(INDEX($H$5:$H13,10-20):$H13)*SQRT(245),"")</f>
        <v/>
      </c>
      <c r="M13" s="52" t="str">
        <f aca="false">IF(AND(ISNUMBER($G13),$G13&gt;=60),MAX(INDEX($D$5:$D13,10-60):$D13),"")</f>
        <v/>
      </c>
      <c r="N13" s="52" t="str">
        <f aca="false">IF(AND(ISNUMBER($G13),$G13&gt;=60),MIN(INDEX($E$5:$E13,10-60):$E13),"")</f>
        <v/>
      </c>
      <c r="O13" s="53" t="str">
        <f aca="false">IF(OR(NOT(ISNUMBER($C13)),NOT(ISNUMBER($M13)),$M13=0),"",$C13/$M13-1)</f>
        <v/>
      </c>
    </row>
    <row r="14" customFormat="false" ht="15" hidden="false" customHeight="false" outlineLevel="0" collapsed="false">
      <c r="A14" s="47" t="n">
        <v>45581</v>
      </c>
      <c r="B14" s="48" t="s">
        <v>162</v>
      </c>
      <c r="C14" s="49" t="n">
        <v>3264</v>
      </c>
      <c r="D14" s="49" t="n">
        <v>3293</v>
      </c>
      <c r="E14" s="49" t="n">
        <v>3253</v>
      </c>
      <c r="F14" s="49" t="n">
        <v>0</v>
      </c>
      <c r="G14" s="50" t="n">
        <f aca="false">IF($A14="","",IF(ISNUMBER($G13),$G13+1,1))</f>
        <v>10</v>
      </c>
      <c r="H14" s="51" t="n">
        <f aca="false">IF(OR(NOT(ISNUMBER($G14)),$G14&lt;2,NOT(ISNUMBER($C13)),$C13=0),"",$C14/$C13-1)</f>
        <v>0.00369003690036895</v>
      </c>
      <c r="I14" s="52" t="str">
        <f aca="false">IF(AND(ISNUMBER($G14),$G14&gt;=MA_SHORT),AVERAGE(INDEX($C$5:$C14,11-MA_SHORT):$C14),"")</f>
        <v/>
      </c>
      <c r="J14" s="52" t="str">
        <f aca="false">IF(AND(ISNUMBER($G14),$G14&gt;=MA_MED),AVERAGE(INDEX($C$5:$C14,11-MA_MED):$C14),"")</f>
        <v/>
      </c>
      <c r="K14" s="52" t="str">
        <f aca="false">IF(AND(ISNUMBER($G14),$G14&gt;=MA_LONG2),AVERAGE(INDEX($C$5:$C14,11-MA_LONG2):$C14),"")</f>
        <v/>
      </c>
      <c r="L14" s="53" t="str">
        <f aca="false">IF(AND(ISNUMBER($G14),$G14&gt;=21),STDEV(INDEX($H$5:$H14,11-20):$H14)*SQRT(245),"")</f>
        <v/>
      </c>
      <c r="M14" s="52" t="str">
        <f aca="false">IF(AND(ISNUMBER($G14),$G14&gt;=60),MAX(INDEX($D$5:$D14,11-60):$D14),"")</f>
        <v/>
      </c>
      <c r="N14" s="52" t="str">
        <f aca="false">IF(AND(ISNUMBER($G14),$G14&gt;=60),MIN(INDEX($E$5:$E14,11-60):$E14),"")</f>
        <v/>
      </c>
      <c r="O14" s="53" t="str">
        <f aca="false">IF(OR(NOT(ISNUMBER($C14)),NOT(ISNUMBER($M14)),$M14=0),"",$C14/$M14-1)</f>
        <v/>
      </c>
    </row>
    <row r="15" customFormat="false" ht="15" hidden="false" customHeight="false" outlineLevel="0" collapsed="false">
      <c r="A15" s="47" t="n">
        <v>45584</v>
      </c>
      <c r="B15" s="48" t="s">
        <v>163</v>
      </c>
      <c r="C15" s="49" t="n">
        <v>3286</v>
      </c>
      <c r="D15" s="49" t="n">
        <v>3295</v>
      </c>
      <c r="E15" s="49" t="n">
        <v>3274</v>
      </c>
      <c r="F15" s="49" t="n">
        <v>0</v>
      </c>
      <c r="G15" s="50" t="n">
        <f aca="false">IF($A15="","",IF(ISNUMBER($G14),$G14+1,1))</f>
        <v>11</v>
      </c>
      <c r="H15" s="51" t="n">
        <f aca="false">IF(OR(NOT(ISNUMBER($G15)),$G15&lt;2,NOT(ISNUMBER($C14)),$C14=0),"",$C15/$C14-1)</f>
        <v>0.00674019607843146</v>
      </c>
      <c r="I15" s="52" t="str">
        <f aca="false">IF(AND(ISNUMBER($G15),$G15&gt;=MA_SHORT),AVERAGE(INDEX($C$5:$C15,12-MA_SHORT):$C15),"")</f>
        <v/>
      </c>
      <c r="J15" s="52" t="str">
        <f aca="false">IF(AND(ISNUMBER($G15),$G15&gt;=MA_MED),AVERAGE(INDEX($C$5:$C15,12-MA_MED):$C15),"")</f>
        <v/>
      </c>
      <c r="K15" s="52" t="str">
        <f aca="false">IF(AND(ISNUMBER($G15),$G15&gt;=MA_LONG2),AVERAGE(INDEX($C$5:$C15,12-MA_LONG2):$C15),"")</f>
        <v/>
      </c>
      <c r="L15" s="53" t="str">
        <f aca="false">IF(AND(ISNUMBER($G15),$G15&gt;=21),STDEV(INDEX($H$5:$H15,12-20):$H15)*SQRT(245),"")</f>
        <v/>
      </c>
      <c r="M15" s="52" t="str">
        <f aca="false">IF(AND(ISNUMBER($G15),$G15&gt;=60),MAX(INDEX($D$5:$D15,12-60):$D15),"")</f>
        <v/>
      </c>
      <c r="N15" s="52" t="str">
        <f aca="false">IF(AND(ISNUMBER($G15),$G15&gt;=60),MIN(INDEX($E$5:$E15,12-60):$E15),"")</f>
        <v/>
      </c>
      <c r="O15" s="53" t="str">
        <f aca="false">IF(OR(NOT(ISNUMBER($C15)),NOT(ISNUMBER($M15)),$M15=0),"",$C15/$M15-1)</f>
        <v/>
      </c>
    </row>
    <row r="16" customFormat="false" ht="15" hidden="false" customHeight="false" outlineLevel="0" collapsed="false">
      <c r="A16" s="47" t="n">
        <v>45585</v>
      </c>
      <c r="B16" s="48" t="s">
        <v>164</v>
      </c>
      <c r="C16" s="49" t="n">
        <v>3256</v>
      </c>
      <c r="D16" s="49" t="n">
        <v>3276</v>
      </c>
      <c r="E16" s="49" t="n">
        <v>3240</v>
      </c>
      <c r="F16" s="49" t="n">
        <v>0</v>
      </c>
      <c r="G16" s="50" t="n">
        <f aca="false">IF($A16="","",IF(ISNUMBER($G15),$G15+1,1))</f>
        <v>12</v>
      </c>
      <c r="H16" s="51" t="n">
        <f aca="false">IF(OR(NOT(ISNUMBER($G16)),$G16&lt;2,NOT(ISNUMBER($C15)),$C15=0),"",$C16/$C15-1)</f>
        <v>-0.00912964090079127</v>
      </c>
      <c r="I16" s="52" t="str">
        <f aca="false">IF(AND(ISNUMBER($G16),$G16&gt;=MA_SHORT),AVERAGE(INDEX($C$5:$C16,13-MA_SHORT):$C16),"")</f>
        <v/>
      </c>
      <c r="J16" s="52" t="str">
        <f aca="false">IF(AND(ISNUMBER($G16),$G16&gt;=MA_MED),AVERAGE(INDEX($C$5:$C16,13-MA_MED):$C16),"")</f>
        <v/>
      </c>
      <c r="K16" s="52" t="str">
        <f aca="false">IF(AND(ISNUMBER($G16),$G16&gt;=MA_LONG2),AVERAGE(INDEX($C$5:$C16,13-MA_LONG2):$C16),"")</f>
        <v/>
      </c>
      <c r="L16" s="53" t="str">
        <f aca="false">IF(AND(ISNUMBER($G16),$G16&gt;=21),STDEV(INDEX($H$5:$H16,13-20):$H16)*SQRT(245),"")</f>
        <v/>
      </c>
      <c r="M16" s="52" t="str">
        <f aca="false">IF(AND(ISNUMBER($G16),$G16&gt;=60),MAX(INDEX($D$5:$D16,13-60):$D16),"")</f>
        <v/>
      </c>
      <c r="N16" s="52" t="str">
        <f aca="false">IF(AND(ISNUMBER($G16),$G16&gt;=60),MIN(INDEX($E$5:$E16,13-60):$E16),"")</f>
        <v/>
      </c>
      <c r="O16" s="53" t="str">
        <f aca="false">IF(OR(NOT(ISNUMBER($C16)),NOT(ISNUMBER($M16)),$M16=0),"",$C16/$M16-1)</f>
        <v/>
      </c>
    </row>
    <row r="17" customFormat="false" ht="15" hidden="false" customHeight="false" outlineLevel="0" collapsed="false">
      <c r="A17" s="47" t="n">
        <v>45586</v>
      </c>
      <c r="B17" s="48" t="s">
        <v>165</v>
      </c>
      <c r="C17" s="49" t="n">
        <v>3174</v>
      </c>
      <c r="D17" s="49" t="n">
        <v>3189</v>
      </c>
      <c r="E17" s="49" t="n">
        <v>3171</v>
      </c>
      <c r="F17" s="49" t="n">
        <v>0</v>
      </c>
      <c r="G17" s="50" t="n">
        <f aca="false">IF($A17="","",IF(ISNUMBER($G16),$G16+1,1))</f>
        <v>13</v>
      </c>
      <c r="H17" s="51" t="n">
        <f aca="false">IF(OR(NOT(ISNUMBER($G17)),$G17&lt;2,NOT(ISNUMBER($C16)),$C16=0),"",$C17/$C16-1)</f>
        <v>-0.0251842751842751</v>
      </c>
      <c r="I17" s="52" t="str">
        <f aca="false">IF(AND(ISNUMBER($G17),$G17&gt;=MA_SHORT),AVERAGE(INDEX($C$5:$C17,14-MA_SHORT):$C17),"")</f>
        <v/>
      </c>
      <c r="J17" s="52" t="str">
        <f aca="false">IF(AND(ISNUMBER($G17),$G17&gt;=MA_MED),AVERAGE(INDEX($C$5:$C17,14-MA_MED):$C17),"")</f>
        <v/>
      </c>
      <c r="K17" s="52" t="str">
        <f aca="false">IF(AND(ISNUMBER($G17),$G17&gt;=MA_LONG2),AVERAGE(INDEX($C$5:$C17,14-MA_LONG2):$C17),"")</f>
        <v/>
      </c>
      <c r="L17" s="53" t="str">
        <f aca="false">IF(AND(ISNUMBER($G17),$G17&gt;=21),STDEV(INDEX($H$5:$H17,14-20):$H17)*SQRT(245),"")</f>
        <v/>
      </c>
      <c r="M17" s="52" t="str">
        <f aca="false">IF(AND(ISNUMBER($G17),$G17&gt;=60),MAX(INDEX($D$5:$D17,14-60):$D17),"")</f>
        <v/>
      </c>
      <c r="N17" s="52" t="str">
        <f aca="false">IF(AND(ISNUMBER($G17),$G17&gt;=60),MIN(INDEX($E$5:$E17,14-60):$E17),"")</f>
        <v/>
      </c>
      <c r="O17" s="53" t="str">
        <f aca="false">IF(OR(NOT(ISNUMBER($C17)),NOT(ISNUMBER($M17)),$M17=0),"",$C17/$M17-1)</f>
        <v/>
      </c>
    </row>
    <row r="18" customFormat="false" ht="15" hidden="false" customHeight="false" outlineLevel="0" collapsed="false">
      <c r="A18" s="47" t="n">
        <v>45587</v>
      </c>
      <c r="B18" s="48" t="s">
        <v>166</v>
      </c>
      <c r="C18" s="49" t="n">
        <v>3160</v>
      </c>
      <c r="D18" s="49" t="n">
        <v>3176</v>
      </c>
      <c r="E18" s="49" t="n">
        <v>3145</v>
      </c>
      <c r="F18" s="49" t="n">
        <v>0</v>
      </c>
      <c r="G18" s="50" t="n">
        <f aca="false">IF($A18="","",IF(ISNUMBER($G17),$G17+1,1))</f>
        <v>14</v>
      </c>
      <c r="H18" s="51" t="n">
        <f aca="false">IF(OR(NOT(ISNUMBER($G18)),$G18&lt;2,NOT(ISNUMBER($C17)),$C17=0),"",$C18/$C17-1)</f>
        <v>-0.00441083805923126</v>
      </c>
      <c r="I18" s="52" t="str">
        <f aca="false">IF(AND(ISNUMBER($G18),$G18&gt;=MA_SHORT),AVERAGE(INDEX($C$5:$C18,15-MA_SHORT):$C18),"")</f>
        <v/>
      </c>
      <c r="J18" s="52" t="str">
        <f aca="false">IF(AND(ISNUMBER($G18),$G18&gt;=MA_MED),AVERAGE(INDEX($C$5:$C18,15-MA_MED):$C18),"")</f>
        <v/>
      </c>
      <c r="K18" s="52" t="str">
        <f aca="false">IF(AND(ISNUMBER($G18),$G18&gt;=MA_LONG2),AVERAGE(INDEX($C$5:$C18,15-MA_LONG2):$C18),"")</f>
        <v/>
      </c>
      <c r="L18" s="53" t="str">
        <f aca="false">IF(AND(ISNUMBER($G18),$G18&gt;=21),STDEV(INDEX($H$5:$H18,15-20):$H18)*SQRT(245),"")</f>
        <v/>
      </c>
      <c r="M18" s="52" t="str">
        <f aca="false">IF(AND(ISNUMBER($G18),$G18&gt;=60),MAX(INDEX($D$5:$D18,15-60):$D18),"")</f>
        <v/>
      </c>
      <c r="N18" s="52" t="str">
        <f aca="false">IF(AND(ISNUMBER($G18),$G18&gt;=60),MIN(INDEX($E$5:$E18,15-60):$E18),"")</f>
        <v/>
      </c>
      <c r="O18" s="53" t="str">
        <f aca="false">IF(OR(NOT(ISNUMBER($C18)),NOT(ISNUMBER($M18)),$M18=0),"",$C18/$M18-1)</f>
        <v/>
      </c>
    </row>
    <row r="19" customFormat="false" ht="15" hidden="false" customHeight="false" outlineLevel="0" collapsed="false">
      <c r="A19" s="47" t="n">
        <v>45588</v>
      </c>
      <c r="B19" s="48" t="s">
        <v>167</v>
      </c>
      <c r="C19" s="49" t="n">
        <v>3193</v>
      </c>
      <c r="D19" s="49" t="n">
        <v>3199</v>
      </c>
      <c r="E19" s="49" t="n">
        <v>3173</v>
      </c>
      <c r="F19" s="49" t="n">
        <v>0</v>
      </c>
      <c r="G19" s="50" t="n">
        <f aca="false">IF($A19="","",IF(ISNUMBER($G18),$G18+1,1))</f>
        <v>15</v>
      </c>
      <c r="H19" s="51" t="n">
        <f aca="false">IF(OR(NOT(ISNUMBER($G19)),$G19&lt;2,NOT(ISNUMBER($C18)),$C18=0),"",$C19/$C18-1)</f>
        <v>0.0104430379746836</v>
      </c>
      <c r="I19" s="52" t="str">
        <f aca="false">IF(AND(ISNUMBER($G19),$G19&gt;=MA_SHORT),AVERAGE(INDEX($C$5:$C19,16-MA_SHORT):$C19),"")</f>
        <v/>
      </c>
      <c r="J19" s="52" t="str">
        <f aca="false">IF(AND(ISNUMBER($G19),$G19&gt;=MA_MED),AVERAGE(INDEX($C$5:$C19,16-MA_MED):$C19),"")</f>
        <v/>
      </c>
      <c r="K19" s="52" t="str">
        <f aca="false">IF(AND(ISNUMBER($G19),$G19&gt;=MA_LONG2),AVERAGE(INDEX($C$5:$C19,16-MA_LONG2):$C19),"")</f>
        <v/>
      </c>
      <c r="L19" s="53" t="str">
        <f aca="false">IF(AND(ISNUMBER($G19),$G19&gt;=21),STDEV(INDEX($H$5:$H19,16-20):$H19)*SQRT(245),"")</f>
        <v/>
      </c>
      <c r="M19" s="52" t="str">
        <f aca="false">IF(AND(ISNUMBER($G19),$G19&gt;=60),MAX(INDEX($D$5:$D19,16-60):$D19),"")</f>
        <v/>
      </c>
      <c r="N19" s="52" t="str">
        <f aca="false">IF(AND(ISNUMBER($G19),$G19&gt;=60),MIN(INDEX($E$5:$E19,16-60):$E19),"")</f>
        <v/>
      </c>
      <c r="O19" s="53" t="str">
        <f aca="false">IF(OR(NOT(ISNUMBER($C19)),NOT(ISNUMBER($M19)),$M19=0),"",$C19/$M19-1)</f>
        <v/>
      </c>
    </row>
    <row r="20" customFormat="false" ht="15" hidden="false" customHeight="false" outlineLevel="0" collapsed="false">
      <c r="A20" s="47" t="n">
        <v>45591</v>
      </c>
      <c r="B20" s="48" t="s">
        <v>168</v>
      </c>
      <c r="C20" s="49" t="n">
        <v>3184</v>
      </c>
      <c r="D20" s="49" t="n">
        <v>3196</v>
      </c>
      <c r="E20" s="49" t="n">
        <v>3162</v>
      </c>
      <c r="F20" s="49" t="n">
        <v>0</v>
      </c>
      <c r="G20" s="50" t="n">
        <f aca="false">IF($A20="","",IF(ISNUMBER($G19),$G19+1,1))</f>
        <v>16</v>
      </c>
      <c r="H20" s="51" t="n">
        <f aca="false">IF(OR(NOT(ISNUMBER($G20)),$G20&lt;2,NOT(ISNUMBER($C19)),$C19=0),"",$C20/$C19-1)</f>
        <v>-0.00281866583150647</v>
      </c>
      <c r="I20" s="52" t="str">
        <f aca="false">IF(AND(ISNUMBER($G20),$G20&gt;=MA_SHORT),AVERAGE(INDEX($C$5:$C20,17-MA_SHORT):$C20),"")</f>
        <v/>
      </c>
      <c r="J20" s="52" t="str">
        <f aca="false">IF(AND(ISNUMBER($G20),$G20&gt;=MA_MED),AVERAGE(INDEX($C$5:$C20,17-MA_MED):$C20),"")</f>
        <v/>
      </c>
      <c r="K20" s="52" t="str">
        <f aca="false">IF(AND(ISNUMBER($G20),$G20&gt;=MA_LONG2),AVERAGE(INDEX($C$5:$C20,17-MA_LONG2):$C20),"")</f>
        <v/>
      </c>
      <c r="L20" s="53" t="str">
        <f aca="false">IF(AND(ISNUMBER($G20),$G20&gt;=21),STDEV(INDEX($H$5:$H20,17-20):$H20)*SQRT(245),"")</f>
        <v/>
      </c>
      <c r="M20" s="52" t="str">
        <f aca="false">IF(AND(ISNUMBER($G20),$G20&gt;=60),MAX(INDEX($D$5:$D20,17-60):$D20),"")</f>
        <v/>
      </c>
      <c r="N20" s="52" t="str">
        <f aca="false">IF(AND(ISNUMBER($G20),$G20&gt;=60),MIN(INDEX($E$5:$E20,17-60):$E20),"")</f>
        <v/>
      </c>
      <c r="O20" s="53" t="str">
        <f aca="false">IF(OR(NOT(ISNUMBER($C20)),NOT(ISNUMBER($M20)),$M20=0),"",$C20/$M20-1)</f>
        <v/>
      </c>
    </row>
    <row r="21" customFormat="false" ht="15" hidden="false" customHeight="false" outlineLevel="0" collapsed="false">
      <c r="A21" s="47" t="n">
        <v>45592</v>
      </c>
      <c r="B21" s="48" t="s">
        <v>169</v>
      </c>
      <c r="C21" s="49" t="n">
        <v>3189</v>
      </c>
      <c r="D21" s="49" t="n">
        <v>3193</v>
      </c>
      <c r="E21" s="49" t="n">
        <v>3179</v>
      </c>
      <c r="F21" s="49" t="n">
        <v>0</v>
      </c>
      <c r="G21" s="50" t="n">
        <f aca="false">IF($A21="","",IF(ISNUMBER($G20),$G20+1,1))</f>
        <v>17</v>
      </c>
      <c r="H21" s="51" t="n">
        <f aca="false">IF(OR(NOT(ISNUMBER($G21)),$G21&lt;2,NOT(ISNUMBER($C20)),$C20=0),"",$C21/$C20-1)</f>
        <v>0.00157035175879394</v>
      </c>
      <c r="I21" s="52" t="str">
        <f aca="false">IF(AND(ISNUMBER($G21),$G21&gt;=MA_SHORT),AVERAGE(INDEX($C$5:$C21,18-MA_SHORT):$C21),"")</f>
        <v/>
      </c>
      <c r="J21" s="52" t="str">
        <f aca="false">IF(AND(ISNUMBER($G21),$G21&gt;=MA_MED),AVERAGE(INDEX($C$5:$C21,18-MA_MED):$C21),"")</f>
        <v/>
      </c>
      <c r="K21" s="52" t="str">
        <f aca="false">IF(AND(ISNUMBER($G21),$G21&gt;=MA_LONG2),AVERAGE(INDEX($C$5:$C21,18-MA_LONG2):$C21),"")</f>
        <v/>
      </c>
      <c r="L21" s="53" t="str">
        <f aca="false">IF(AND(ISNUMBER($G21),$G21&gt;=21),STDEV(INDEX($H$5:$H21,18-20):$H21)*SQRT(245),"")</f>
        <v/>
      </c>
      <c r="M21" s="52" t="str">
        <f aca="false">IF(AND(ISNUMBER($G21),$G21&gt;=60),MAX(INDEX($D$5:$D21,18-60):$D21),"")</f>
        <v/>
      </c>
      <c r="N21" s="52" t="str">
        <f aca="false">IF(AND(ISNUMBER($G21),$G21&gt;=60),MIN(INDEX($E$5:$E21,18-60):$E21),"")</f>
        <v/>
      </c>
      <c r="O21" s="53" t="str">
        <f aca="false">IF(OR(NOT(ISNUMBER($C21)),NOT(ISNUMBER($M21)),$M21=0),"",$C21/$M21-1)</f>
        <v/>
      </c>
    </row>
    <row r="22" customFormat="false" ht="15" hidden="false" customHeight="false" outlineLevel="0" collapsed="false">
      <c r="A22" s="47" t="n">
        <v>45593</v>
      </c>
      <c r="B22" s="48" t="s">
        <v>170</v>
      </c>
      <c r="C22" s="49" t="n">
        <v>3170</v>
      </c>
      <c r="D22" s="49" t="n">
        <v>3177</v>
      </c>
      <c r="E22" s="49" t="n">
        <v>3155</v>
      </c>
      <c r="F22" s="49" t="n">
        <v>0</v>
      </c>
      <c r="G22" s="50" t="n">
        <f aca="false">IF($A22="","",IF(ISNUMBER($G21),$G21+1,1))</f>
        <v>18</v>
      </c>
      <c r="H22" s="51" t="n">
        <f aca="false">IF(OR(NOT(ISNUMBER($G22)),$G22&lt;2,NOT(ISNUMBER($C21)),$C21=0),"",$C22/$C21-1)</f>
        <v>-0.00595798055816865</v>
      </c>
      <c r="I22" s="52" t="str">
        <f aca="false">IF(AND(ISNUMBER($G22),$G22&gt;=MA_SHORT),AVERAGE(INDEX($C$5:$C22,19-MA_SHORT):$C22),"")</f>
        <v/>
      </c>
      <c r="J22" s="52" t="str">
        <f aca="false">IF(AND(ISNUMBER($G22),$G22&gt;=MA_MED),AVERAGE(INDEX($C$5:$C22,19-MA_MED):$C22),"")</f>
        <v/>
      </c>
      <c r="K22" s="52" t="str">
        <f aca="false">IF(AND(ISNUMBER($G22),$G22&gt;=MA_LONG2),AVERAGE(INDEX($C$5:$C22,19-MA_LONG2):$C22),"")</f>
        <v/>
      </c>
      <c r="L22" s="53" t="str">
        <f aca="false">IF(AND(ISNUMBER($G22),$G22&gt;=21),STDEV(INDEX($H$5:$H22,19-20):$H22)*SQRT(245),"")</f>
        <v/>
      </c>
      <c r="M22" s="52" t="str">
        <f aca="false">IF(AND(ISNUMBER($G22),$G22&gt;=60),MAX(INDEX($D$5:$D22,19-60):$D22),"")</f>
        <v/>
      </c>
      <c r="N22" s="52" t="str">
        <f aca="false">IF(AND(ISNUMBER($G22),$G22&gt;=60),MIN(INDEX($E$5:$E22,19-60):$E22),"")</f>
        <v/>
      </c>
      <c r="O22" s="53" t="str">
        <f aca="false">IF(OR(NOT(ISNUMBER($C22)),NOT(ISNUMBER($M22)),$M22=0),"",$C22/$M22-1)</f>
        <v/>
      </c>
    </row>
    <row r="23" customFormat="false" ht="15" hidden="false" customHeight="false" outlineLevel="0" collapsed="false">
      <c r="A23" s="47" t="n">
        <v>45594</v>
      </c>
      <c r="B23" s="48" t="s">
        <v>171</v>
      </c>
      <c r="C23" s="49" t="n">
        <v>3225</v>
      </c>
      <c r="D23" s="49" t="n">
        <v>3228</v>
      </c>
      <c r="E23" s="49" t="n">
        <v>3213</v>
      </c>
      <c r="F23" s="49" t="n">
        <v>0</v>
      </c>
      <c r="G23" s="50" t="n">
        <f aca="false">IF($A23="","",IF(ISNUMBER($G22),$G22+1,1))</f>
        <v>19</v>
      </c>
      <c r="H23" s="51" t="n">
        <f aca="false">IF(OR(NOT(ISNUMBER($G23)),$G23&lt;2,NOT(ISNUMBER($C22)),$C22=0),"",$C23/$C22-1)</f>
        <v>0.0173501577287065</v>
      </c>
      <c r="I23" s="52" t="str">
        <f aca="false">IF(AND(ISNUMBER($G23),$G23&gt;=MA_SHORT),AVERAGE(INDEX($C$5:$C23,20-MA_SHORT):$C23),"")</f>
        <v/>
      </c>
      <c r="J23" s="52" t="str">
        <f aca="false">IF(AND(ISNUMBER($G23),$G23&gt;=MA_MED),AVERAGE(INDEX($C$5:$C23,20-MA_MED):$C23),"")</f>
        <v/>
      </c>
      <c r="K23" s="52" t="str">
        <f aca="false">IF(AND(ISNUMBER($G23),$G23&gt;=MA_LONG2),AVERAGE(INDEX($C$5:$C23,20-MA_LONG2):$C23),"")</f>
        <v/>
      </c>
      <c r="L23" s="53" t="str">
        <f aca="false">IF(AND(ISNUMBER($G23),$G23&gt;=21),STDEV(INDEX($H$5:$H23,20-20):$H23)*SQRT(245),"")</f>
        <v/>
      </c>
      <c r="M23" s="52" t="str">
        <f aca="false">IF(AND(ISNUMBER($G23),$G23&gt;=60),MAX(INDEX($D$5:$D23,20-60):$D23),"")</f>
        <v/>
      </c>
      <c r="N23" s="52" t="str">
        <f aca="false">IF(AND(ISNUMBER($G23),$G23&gt;=60),MIN(INDEX($E$5:$E23,20-60):$E23),"")</f>
        <v/>
      </c>
      <c r="O23" s="53" t="str">
        <f aca="false">IF(OR(NOT(ISNUMBER($C23)),NOT(ISNUMBER($M23)),$M23=0),"",$C23/$M23-1)</f>
        <v/>
      </c>
    </row>
    <row r="24" customFormat="false" ht="15" hidden="false" customHeight="false" outlineLevel="0" collapsed="false">
      <c r="A24" s="47" t="n">
        <v>45595</v>
      </c>
      <c r="B24" s="48" t="s">
        <v>172</v>
      </c>
      <c r="C24" s="49" t="n">
        <v>3260</v>
      </c>
      <c r="D24" s="49" t="n">
        <v>3265</v>
      </c>
      <c r="E24" s="49" t="n">
        <v>3228</v>
      </c>
      <c r="F24" s="49" t="n">
        <v>0</v>
      </c>
      <c r="G24" s="50" t="n">
        <f aca="false">IF($A24="","",IF(ISNUMBER($G23),$G23+1,1))</f>
        <v>20</v>
      </c>
      <c r="H24" s="51" t="n">
        <f aca="false">IF(OR(NOT(ISNUMBER($G24)),$G24&lt;2,NOT(ISNUMBER($C23)),$C23=0),"",$C24/$C23-1)</f>
        <v>0.0108527131782945</v>
      </c>
      <c r="I24" s="52" t="n">
        <f aca="false">IF(AND(ISNUMBER($G24),$G24&gt;=MA_SHORT),AVERAGE(INDEX($C$5:$C24,21-MA_SHORT):$C24),"")</f>
        <v>3267.65</v>
      </c>
      <c r="J24" s="52" t="str">
        <f aca="false">IF(AND(ISNUMBER($G24),$G24&gt;=MA_MED),AVERAGE(INDEX($C$5:$C24,21-MA_MED):$C24),"")</f>
        <v/>
      </c>
      <c r="K24" s="52" t="str">
        <f aca="false">IF(AND(ISNUMBER($G24),$G24&gt;=MA_LONG2),AVERAGE(INDEX($C$5:$C24,21-MA_LONG2):$C24),"")</f>
        <v/>
      </c>
      <c r="L24" s="53" t="str">
        <f aca="false">IF(AND(ISNUMBER($G24),$G24&gt;=21),STDEV(INDEX($H$5:$H24,21-20):$H24)*SQRT(245),"")</f>
        <v/>
      </c>
      <c r="M24" s="52" t="str">
        <f aca="false">IF(AND(ISNUMBER($G24),$G24&gt;=60),MAX(INDEX($D$5:$D24,21-60):$D24),"")</f>
        <v/>
      </c>
      <c r="N24" s="52" t="str">
        <f aca="false">IF(AND(ISNUMBER($G24),$G24&gt;=60),MIN(INDEX($E$5:$E24,21-60):$E24),"")</f>
        <v/>
      </c>
      <c r="O24" s="53" t="str">
        <f aca="false">IF(OR(NOT(ISNUMBER($C24)),NOT(ISNUMBER($M24)),$M24=0),"",$C24/$M24-1)</f>
        <v/>
      </c>
    </row>
    <row r="25" customFormat="false" ht="15" hidden="false" customHeight="false" outlineLevel="0" collapsed="false">
      <c r="A25" s="47" t="n">
        <v>45598</v>
      </c>
      <c r="B25" s="48" t="s">
        <v>173</v>
      </c>
      <c r="C25" s="49" t="n">
        <v>3260</v>
      </c>
      <c r="D25" s="49" t="n">
        <v>3263</v>
      </c>
      <c r="E25" s="49" t="n">
        <v>3242</v>
      </c>
      <c r="F25" s="49" t="n">
        <v>0</v>
      </c>
      <c r="G25" s="50" t="n">
        <f aca="false">IF($A25="","",IF(ISNUMBER($G24),$G24+1,1))</f>
        <v>21</v>
      </c>
      <c r="H25" s="51" t="n">
        <f aca="false">IF(OR(NOT(ISNUMBER($G25)),$G25&lt;2,NOT(ISNUMBER($C24)),$C24=0),"",$C25/$C24-1)</f>
        <v>0</v>
      </c>
      <c r="I25" s="52" t="n">
        <f aca="false">IF(AND(ISNUMBER($G25),$G25&gt;=MA_SHORT),AVERAGE(INDEX($C$5:$C25,22-MA_SHORT):$C25),"")</f>
        <v>3262.3</v>
      </c>
      <c r="J25" s="52" t="str">
        <f aca="false">IF(AND(ISNUMBER($G25),$G25&gt;=MA_MED),AVERAGE(INDEX($C$5:$C25,22-MA_MED):$C25),"")</f>
        <v/>
      </c>
      <c r="K25" s="52" t="str">
        <f aca="false">IF(AND(ISNUMBER($G25),$G25&gt;=MA_LONG2),AVERAGE(INDEX($C$5:$C25,22-MA_LONG2):$C25),"")</f>
        <v/>
      </c>
      <c r="L25" s="53" t="n">
        <f aca="false">IF(AND(ISNUMBER($G25),$G25&gt;=21),STDEV(INDEX($H$5:$H25,22-20):$H25)*SQRT(245),"")</f>
        <v>0.174725581080531</v>
      </c>
      <c r="M25" s="52" t="str">
        <f aca="false">IF(AND(ISNUMBER($G25),$G25&gt;=60),MAX(INDEX($D$5:$D25,22-60):$D25),"")</f>
        <v/>
      </c>
      <c r="N25" s="52" t="str">
        <f aca="false">IF(AND(ISNUMBER($G25),$G25&gt;=60),MIN(INDEX($E$5:$E25,22-60):$E25),"")</f>
        <v/>
      </c>
      <c r="O25" s="53" t="str">
        <f aca="false">IF(OR(NOT(ISNUMBER($C25)),NOT(ISNUMBER($M25)),$M25=0),"",$C25/$M25-1)</f>
        <v/>
      </c>
    </row>
    <row r="26" customFormat="false" ht="15" hidden="false" customHeight="false" outlineLevel="0" collapsed="false">
      <c r="A26" s="47" t="n">
        <v>45599</v>
      </c>
      <c r="B26" s="48" t="s">
        <v>174</v>
      </c>
      <c r="C26" s="49" t="n">
        <v>3251</v>
      </c>
      <c r="D26" s="49" t="n">
        <v>3257</v>
      </c>
      <c r="E26" s="49" t="n">
        <v>3247</v>
      </c>
      <c r="F26" s="49" t="n">
        <v>0</v>
      </c>
      <c r="G26" s="50" t="n">
        <f aca="false">IF($A26="","",IF(ISNUMBER($G25),$G25+1,1))</f>
        <v>22</v>
      </c>
      <c r="H26" s="51" t="n">
        <f aca="false">IF(OR(NOT(ISNUMBER($G26)),$G26&lt;2,NOT(ISNUMBER($C25)),$C25=0),"",$C26/$C25-1)</f>
        <v>-0.002760736196319</v>
      </c>
      <c r="I26" s="52" t="n">
        <f aca="false">IF(AND(ISNUMBER($G26),$G26&gt;=MA_SHORT),AVERAGE(INDEX($C$5:$C26,23-MA_SHORT):$C26),"")</f>
        <v>3254.4</v>
      </c>
      <c r="J26" s="52" t="str">
        <f aca="false">IF(AND(ISNUMBER($G26),$G26&gt;=MA_MED),AVERAGE(INDEX($C$5:$C26,23-MA_MED):$C26),"")</f>
        <v/>
      </c>
      <c r="K26" s="52" t="str">
        <f aca="false">IF(AND(ISNUMBER($G26),$G26&gt;=MA_LONG2),AVERAGE(INDEX($C$5:$C26,23-MA_LONG2):$C26),"")</f>
        <v/>
      </c>
      <c r="L26" s="53" t="n">
        <f aca="false">IF(AND(ISNUMBER($G26),$G26&gt;=21),STDEV(INDEX($H$5:$H26,23-20):$H26)*SQRT(245),"")</f>
        <v>0.166915194391652</v>
      </c>
      <c r="M26" s="52" t="str">
        <f aca="false">IF(AND(ISNUMBER($G26),$G26&gt;=60),MAX(INDEX($D$5:$D26,23-60):$D26),"")</f>
        <v/>
      </c>
      <c r="N26" s="52" t="str">
        <f aca="false">IF(AND(ISNUMBER($G26),$G26&gt;=60),MIN(INDEX($E$5:$E26,23-60):$E26),"")</f>
        <v/>
      </c>
      <c r="O26" s="53" t="str">
        <f aca="false">IF(OR(NOT(ISNUMBER($C26)),NOT(ISNUMBER($M26)),$M26=0),"",$C26/$M26-1)</f>
        <v/>
      </c>
    </row>
    <row r="27" customFormat="false" ht="15" hidden="false" customHeight="false" outlineLevel="0" collapsed="false">
      <c r="A27" s="47" t="n">
        <v>45600</v>
      </c>
      <c r="B27" s="48" t="s">
        <v>175</v>
      </c>
      <c r="C27" s="49" t="n">
        <v>3307</v>
      </c>
      <c r="D27" s="49" t="n">
        <v>3317</v>
      </c>
      <c r="E27" s="49" t="n">
        <v>3294</v>
      </c>
      <c r="F27" s="49" t="n">
        <v>0</v>
      </c>
      <c r="G27" s="50" t="n">
        <f aca="false">IF($A27="","",IF(ISNUMBER($G26),$G26+1,1))</f>
        <v>23</v>
      </c>
      <c r="H27" s="51" t="n">
        <f aca="false">IF(OR(NOT(ISNUMBER($G27)),$G27&lt;2,NOT(ISNUMBER($C26)),$C26=0),"",$C27/$C26-1)</f>
        <v>0.0172254690864349</v>
      </c>
      <c r="I27" s="52" t="n">
        <f aca="false">IF(AND(ISNUMBER($G27),$G27&gt;=MA_SHORT),AVERAGE(INDEX($C$5:$C27,24-MA_SHORT):$C27),"")</f>
        <v>3251.65</v>
      </c>
      <c r="J27" s="52" t="str">
        <f aca="false">IF(AND(ISNUMBER($G27),$G27&gt;=MA_MED),AVERAGE(INDEX($C$5:$C27,24-MA_MED):$C27),"")</f>
        <v/>
      </c>
      <c r="K27" s="52" t="str">
        <f aca="false">IF(AND(ISNUMBER($G27),$G27&gt;=MA_LONG2),AVERAGE(INDEX($C$5:$C27,24-MA_LONG2):$C27),"")</f>
        <v/>
      </c>
      <c r="L27" s="53" t="n">
        <f aca="false">IF(AND(ISNUMBER($G27),$G27&gt;=21),STDEV(INDEX($H$5:$H27,24-20):$H27)*SQRT(245),"")</f>
        <v>0.174550022530133</v>
      </c>
      <c r="M27" s="52" t="str">
        <f aca="false">IF(AND(ISNUMBER($G27),$G27&gt;=60),MAX(INDEX($D$5:$D27,24-60):$D27),"")</f>
        <v/>
      </c>
      <c r="N27" s="52" t="str">
        <f aca="false">IF(AND(ISNUMBER($G27),$G27&gt;=60),MIN(INDEX($E$5:$E27,24-60):$E27),"")</f>
        <v/>
      </c>
      <c r="O27" s="53" t="str">
        <f aca="false">IF(OR(NOT(ISNUMBER($C27)),NOT(ISNUMBER($M27)),$M27=0),"",$C27/$M27-1)</f>
        <v/>
      </c>
    </row>
    <row r="28" customFormat="false" ht="15" hidden="false" customHeight="false" outlineLevel="0" collapsed="false">
      <c r="A28" s="47" t="n">
        <v>45601</v>
      </c>
      <c r="B28" s="48" t="s">
        <v>176</v>
      </c>
      <c r="C28" s="49" t="n">
        <v>3374</v>
      </c>
      <c r="D28" s="49" t="n">
        <v>3387</v>
      </c>
      <c r="E28" s="49" t="n">
        <v>3364</v>
      </c>
      <c r="F28" s="49" t="n">
        <v>0</v>
      </c>
      <c r="G28" s="50" t="n">
        <f aca="false">IF($A28="","",IF(ISNUMBER($G27),$G27+1,1))</f>
        <v>24</v>
      </c>
      <c r="H28" s="51" t="n">
        <f aca="false">IF(OR(NOT(ISNUMBER($G28)),$G28&lt;2,NOT(ISNUMBER($C27)),$C27=0),"",$C28/$C27-1)</f>
        <v>0.0202600544299969</v>
      </c>
      <c r="I28" s="52" t="n">
        <f aca="false">IF(AND(ISNUMBER($G28),$G28&gt;=MA_SHORT),AVERAGE(INDEX($C$5:$C28,25-MA_SHORT):$C28),"")</f>
        <v>3251.8</v>
      </c>
      <c r="J28" s="52" t="str">
        <f aca="false">IF(AND(ISNUMBER($G28),$G28&gt;=MA_MED),AVERAGE(INDEX($C$5:$C28,25-MA_MED):$C28),"")</f>
        <v/>
      </c>
      <c r="K28" s="52" t="str">
        <f aca="false">IF(AND(ISNUMBER($G28),$G28&gt;=MA_LONG2),AVERAGE(INDEX($C$5:$C28,25-MA_LONG2):$C28),"")</f>
        <v/>
      </c>
      <c r="L28" s="53" t="n">
        <f aca="false">IF(AND(ISNUMBER($G28),$G28&gt;=21),STDEV(INDEX($H$5:$H28,25-20):$H28)*SQRT(245),"")</f>
        <v>0.189250650889539</v>
      </c>
      <c r="M28" s="52" t="str">
        <f aca="false">IF(AND(ISNUMBER($G28),$G28&gt;=60),MAX(INDEX($D$5:$D28,25-60):$D28),"")</f>
        <v/>
      </c>
      <c r="N28" s="52" t="str">
        <f aca="false">IF(AND(ISNUMBER($G28),$G28&gt;=60),MIN(INDEX($E$5:$E28,25-60):$E28),"")</f>
        <v/>
      </c>
      <c r="O28" s="53" t="str">
        <f aca="false">IF(OR(NOT(ISNUMBER($C28)),NOT(ISNUMBER($M28)),$M28=0),"",$C28/$M28-1)</f>
        <v/>
      </c>
    </row>
    <row r="29" customFormat="false" ht="15" hidden="false" customHeight="false" outlineLevel="0" collapsed="false">
      <c r="A29" s="47" t="n">
        <v>45602</v>
      </c>
      <c r="B29" s="48" t="s">
        <v>177</v>
      </c>
      <c r="C29" s="49" t="n">
        <v>3366</v>
      </c>
      <c r="D29" s="49" t="n">
        <v>3367</v>
      </c>
      <c r="E29" s="49" t="n">
        <v>3337</v>
      </c>
      <c r="F29" s="49" t="n">
        <v>0</v>
      </c>
      <c r="G29" s="50" t="n">
        <f aca="false">IF($A29="","",IF(ISNUMBER($G28),$G28+1,1))</f>
        <v>25</v>
      </c>
      <c r="H29" s="51" t="n">
        <f aca="false">IF(OR(NOT(ISNUMBER($G29)),$G29&lt;2,NOT(ISNUMBER($C28)),$C28=0),"",$C29/$C28-1)</f>
        <v>-0.00237107291049199</v>
      </c>
      <c r="I29" s="52" t="n">
        <f aca="false">IF(AND(ISNUMBER($G29),$G29&gt;=MA_SHORT),AVERAGE(INDEX($C$5:$C29,26-MA_SHORT):$C29),"")</f>
        <v>3254.95</v>
      </c>
      <c r="J29" s="52" t="str">
        <f aca="false">IF(AND(ISNUMBER($G29),$G29&gt;=MA_MED),AVERAGE(INDEX($C$5:$C29,26-MA_MED):$C29),"")</f>
        <v/>
      </c>
      <c r="K29" s="52" t="str">
        <f aca="false">IF(AND(ISNUMBER($G29),$G29&gt;=MA_LONG2),AVERAGE(INDEX($C$5:$C29,26-MA_LONG2):$C29),"")</f>
        <v/>
      </c>
      <c r="L29" s="53" t="n">
        <f aca="false">IF(AND(ISNUMBER($G29),$G29&gt;=21),STDEV(INDEX($H$5:$H29,26-20):$H29)*SQRT(245),"")</f>
        <v>0.174311832256557</v>
      </c>
      <c r="M29" s="52" t="str">
        <f aca="false">IF(AND(ISNUMBER($G29),$G29&gt;=60),MAX(INDEX($D$5:$D29,26-60):$D29),"")</f>
        <v/>
      </c>
      <c r="N29" s="52" t="str">
        <f aca="false">IF(AND(ISNUMBER($G29),$G29&gt;=60),MIN(INDEX($E$5:$E29,26-60):$E29),"")</f>
        <v/>
      </c>
      <c r="O29" s="53" t="str">
        <f aca="false">IF(OR(NOT(ISNUMBER($C29)),NOT(ISNUMBER($M29)),$M29=0),"",$C29/$M29-1)</f>
        <v/>
      </c>
    </row>
    <row r="30" customFormat="false" ht="15" hidden="false" customHeight="false" outlineLevel="0" collapsed="false">
      <c r="A30" s="47" t="n">
        <v>45605</v>
      </c>
      <c r="B30" s="48" t="s">
        <v>178</v>
      </c>
      <c r="C30" s="49" t="n">
        <v>3371</v>
      </c>
      <c r="D30" s="49" t="n">
        <v>3377</v>
      </c>
      <c r="E30" s="49" t="n">
        <v>3370</v>
      </c>
      <c r="F30" s="49" t="n">
        <v>0</v>
      </c>
      <c r="G30" s="50" t="n">
        <f aca="false">IF($A30="","",IF(ISNUMBER($G29),$G29+1,1))</f>
        <v>26</v>
      </c>
      <c r="H30" s="51" t="n">
        <f aca="false">IF(OR(NOT(ISNUMBER($G30)),$G30&lt;2,NOT(ISNUMBER($C29)),$C29=0),"",$C30/$C29-1)</f>
        <v>0.00148544266191331</v>
      </c>
      <c r="I30" s="52" t="n">
        <f aca="false">IF(AND(ISNUMBER($G30),$G30&gt;=MA_SHORT),AVERAGE(INDEX($C$5:$C30,27-MA_SHORT):$C30),"")</f>
        <v>3257.65</v>
      </c>
      <c r="J30" s="52" t="str">
        <f aca="false">IF(AND(ISNUMBER($G30),$G30&gt;=MA_MED),AVERAGE(INDEX($C$5:$C30,27-MA_MED):$C30),"")</f>
        <v/>
      </c>
      <c r="K30" s="52" t="str">
        <f aca="false">IF(AND(ISNUMBER($G30),$G30&gt;=MA_LONG2),AVERAGE(INDEX($C$5:$C30,27-MA_LONG2):$C30),"")</f>
        <v/>
      </c>
      <c r="L30" s="53" t="n">
        <f aca="false">IF(AND(ISNUMBER($G30),$G30&gt;=21),STDEV(INDEX($H$5:$H30,27-20):$H30)*SQRT(245),"")</f>
        <v>0.173918988466002</v>
      </c>
      <c r="M30" s="52" t="str">
        <f aca="false">IF(AND(ISNUMBER($G30),$G30&gt;=60),MAX(INDEX($D$5:$D30,27-60):$D30),"")</f>
        <v/>
      </c>
      <c r="N30" s="52" t="str">
        <f aca="false">IF(AND(ISNUMBER($G30),$G30&gt;=60),MIN(INDEX($E$5:$E30,27-60):$E30),"")</f>
        <v/>
      </c>
      <c r="O30" s="53" t="str">
        <f aca="false">IF(OR(NOT(ISNUMBER($C30)),NOT(ISNUMBER($M30)),$M30=0),"",$C30/$M30-1)</f>
        <v/>
      </c>
    </row>
    <row r="31" customFormat="false" ht="15" hidden="false" customHeight="false" outlineLevel="0" collapsed="false">
      <c r="A31" s="47" t="n">
        <v>45606</v>
      </c>
      <c r="B31" s="48" t="s">
        <v>179</v>
      </c>
      <c r="C31" s="49" t="n">
        <v>3361</v>
      </c>
      <c r="D31" s="49" t="n">
        <v>3401</v>
      </c>
      <c r="E31" s="49" t="n">
        <v>3338</v>
      </c>
      <c r="F31" s="49" t="n">
        <v>0</v>
      </c>
      <c r="G31" s="50" t="n">
        <f aca="false">IF($A31="","",IF(ISNUMBER($G30),$G30+1,1))</f>
        <v>27</v>
      </c>
      <c r="H31" s="51" t="n">
        <f aca="false">IF(OR(NOT(ISNUMBER($G31)),$G31&lt;2,NOT(ISNUMBER($C30)),$C30=0),"",$C31/$C30-1)</f>
        <v>-0.00296647878967671</v>
      </c>
      <c r="I31" s="52" t="n">
        <f aca="false">IF(AND(ISNUMBER($G31),$G31&gt;=MA_SHORT),AVERAGE(INDEX($C$5:$C31,28-MA_SHORT):$C31),"")</f>
        <v>3260.4</v>
      </c>
      <c r="J31" s="52" t="str">
        <f aca="false">IF(AND(ISNUMBER($G31),$G31&gt;=MA_MED),AVERAGE(INDEX($C$5:$C31,28-MA_MED):$C31),"")</f>
        <v/>
      </c>
      <c r="K31" s="52" t="str">
        <f aca="false">IF(AND(ISNUMBER($G31),$G31&gt;=MA_LONG2),AVERAGE(INDEX($C$5:$C31,28-MA_LONG2):$C31),"")</f>
        <v/>
      </c>
      <c r="L31" s="53" t="n">
        <f aca="false">IF(AND(ISNUMBER($G31),$G31&gt;=21),STDEV(INDEX($H$5:$H31,28-20):$H31)*SQRT(245),"")</f>
        <v>0.173814796454761</v>
      </c>
      <c r="M31" s="52" t="str">
        <f aca="false">IF(AND(ISNUMBER($G31),$G31&gt;=60),MAX(INDEX($D$5:$D31,28-60):$D31),"")</f>
        <v/>
      </c>
      <c r="N31" s="52" t="str">
        <f aca="false">IF(AND(ISNUMBER($G31),$G31&gt;=60),MIN(INDEX($E$5:$E31,28-60):$E31),"")</f>
        <v/>
      </c>
      <c r="O31" s="53" t="str">
        <f aca="false">IF(OR(NOT(ISNUMBER($C31)),NOT(ISNUMBER($M31)),$M31=0),"",$C31/$M31-1)</f>
        <v/>
      </c>
    </row>
    <row r="32" customFormat="false" ht="15" hidden="false" customHeight="false" outlineLevel="0" collapsed="false">
      <c r="A32" s="47" t="n">
        <v>45607</v>
      </c>
      <c r="B32" s="48" t="s">
        <v>180</v>
      </c>
      <c r="C32" s="49" t="n">
        <v>3312</v>
      </c>
      <c r="D32" s="49" t="n">
        <v>3323</v>
      </c>
      <c r="E32" s="49" t="n">
        <v>3294</v>
      </c>
      <c r="F32" s="49" t="n">
        <v>0</v>
      </c>
      <c r="G32" s="50" t="n">
        <f aca="false">IF($A32="","",IF(ISNUMBER($G31),$G31+1,1))</f>
        <v>28</v>
      </c>
      <c r="H32" s="51" t="n">
        <f aca="false">IF(OR(NOT(ISNUMBER($G32)),$G32&lt;2,NOT(ISNUMBER($C31)),$C31=0),"",$C32/$C31-1)</f>
        <v>-0.0145789943469206</v>
      </c>
      <c r="I32" s="52" t="n">
        <f aca="false">IF(AND(ISNUMBER($G32),$G32&gt;=MA_SHORT),AVERAGE(INDEX($C$5:$C32,29-MA_SHORT):$C32),"")</f>
        <v>3260.75</v>
      </c>
      <c r="J32" s="52" t="str">
        <f aca="false">IF(AND(ISNUMBER($G32),$G32&gt;=MA_MED),AVERAGE(INDEX($C$5:$C32,29-MA_MED):$C32),"")</f>
        <v/>
      </c>
      <c r="K32" s="52" t="str">
        <f aca="false">IF(AND(ISNUMBER($G32),$G32&gt;=MA_LONG2),AVERAGE(INDEX($C$5:$C32,29-MA_LONG2):$C32),"")</f>
        <v/>
      </c>
      <c r="L32" s="53" t="n">
        <f aca="false">IF(AND(ISNUMBER($G32),$G32&gt;=21),STDEV(INDEX($H$5:$H32,29-20):$H32)*SQRT(245),"")</f>
        <v>0.182058200837092</v>
      </c>
      <c r="M32" s="52" t="str">
        <f aca="false">IF(AND(ISNUMBER($G32),$G32&gt;=60),MAX(INDEX($D$5:$D32,29-60):$D32),"")</f>
        <v/>
      </c>
      <c r="N32" s="52" t="str">
        <f aca="false">IF(AND(ISNUMBER($G32),$G32&gt;=60),MIN(INDEX($E$5:$E32,29-60):$E32),"")</f>
        <v/>
      </c>
      <c r="O32" s="53" t="str">
        <f aca="false">IF(OR(NOT(ISNUMBER($C32)),NOT(ISNUMBER($M32)),$M32=0),"",$C32/$M32-1)</f>
        <v/>
      </c>
    </row>
    <row r="33" customFormat="false" ht="15" hidden="false" customHeight="false" outlineLevel="0" collapsed="false">
      <c r="A33" s="47" t="n">
        <v>45608</v>
      </c>
      <c r="B33" s="48" t="s">
        <v>181</v>
      </c>
      <c r="C33" s="49" t="n">
        <v>3214</v>
      </c>
      <c r="D33" s="49" t="n">
        <v>3214</v>
      </c>
      <c r="E33" s="49" t="n">
        <v>3207</v>
      </c>
      <c r="F33" s="49" t="n">
        <v>0</v>
      </c>
      <c r="G33" s="50" t="n">
        <f aca="false">IF($A33="","",IF(ISNUMBER($G32),$G32+1,1))</f>
        <v>29</v>
      </c>
      <c r="H33" s="51" t="n">
        <f aca="false">IF(OR(NOT(ISNUMBER($G33)),$G33&lt;2,NOT(ISNUMBER($C32)),$C32=0),"",$C33/$C32-1)</f>
        <v>-0.0295893719806764</v>
      </c>
      <c r="I33" s="52" t="n">
        <f aca="false">IF(AND(ISNUMBER($G33),$G33&gt;=MA_SHORT),AVERAGE(INDEX($C$5:$C33,30-MA_SHORT):$C33),"")</f>
        <v>3258.85</v>
      </c>
      <c r="J33" s="52" t="str">
        <f aca="false">IF(AND(ISNUMBER($G33),$G33&gt;=MA_MED),AVERAGE(INDEX($C$5:$C33,30-MA_MED):$C33),"")</f>
        <v/>
      </c>
      <c r="K33" s="52" t="str">
        <f aca="false">IF(AND(ISNUMBER($G33),$G33&gt;=MA_LONG2),AVERAGE(INDEX($C$5:$C33,30-MA_LONG2):$C33),"")</f>
        <v/>
      </c>
      <c r="L33" s="53" t="n">
        <f aca="false">IF(AND(ISNUMBER($G33),$G33&gt;=21),STDEV(INDEX($H$5:$H33,30-20):$H33)*SQRT(245),"")</f>
        <v>0.202632454374036</v>
      </c>
      <c r="M33" s="52" t="str">
        <f aca="false">IF(AND(ISNUMBER($G33),$G33&gt;=60),MAX(INDEX($D$5:$D33,30-60):$D33),"")</f>
        <v/>
      </c>
      <c r="N33" s="52" t="str">
        <f aca="false">IF(AND(ISNUMBER($G33),$G33&gt;=60),MIN(INDEX($E$5:$E33,30-60):$E33),"")</f>
        <v/>
      </c>
      <c r="O33" s="53" t="str">
        <f aca="false">IF(OR(NOT(ISNUMBER($C33)),NOT(ISNUMBER($M33)),$M33=0),"",$C33/$M33-1)</f>
        <v/>
      </c>
    </row>
    <row r="34" customFormat="false" ht="15" hidden="false" customHeight="false" outlineLevel="0" collapsed="false">
      <c r="A34" s="47" t="n">
        <v>45609</v>
      </c>
      <c r="B34" s="48" t="s">
        <v>182</v>
      </c>
      <c r="C34" s="49" t="n">
        <v>3140</v>
      </c>
      <c r="D34" s="49" t="n">
        <v>3147</v>
      </c>
      <c r="E34" s="49" t="n">
        <v>3130</v>
      </c>
      <c r="F34" s="49" t="n">
        <v>0</v>
      </c>
      <c r="G34" s="50" t="n">
        <f aca="false">IF($A34="","",IF(ISNUMBER($G33),$G33+1,1))</f>
        <v>30</v>
      </c>
      <c r="H34" s="51" t="n">
        <f aca="false">IF(OR(NOT(ISNUMBER($G34)),$G34&lt;2,NOT(ISNUMBER($C33)),$C33=0),"",$C34/$C33-1)</f>
        <v>-0.0230242688238954</v>
      </c>
      <c r="I34" s="52" t="n">
        <f aca="false">IF(AND(ISNUMBER($G34),$G34&gt;=MA_SHORT),AVERAGE(INDEX($C$5:$C34,31-MA_SHORT):$C34),"")</f>
        <v>3252.65</v>
      </c>
      <c r="J34" s="52" t="str">
        <f aca="false">IF(AND(ISNUMBER($G34),$G34&gt;=MA_MED),AVERAGE(INDEX($C$5:$C34,31-MA_MED):$C34),"")</f>
        <v/>
      </c>
      <c r="K34" s="52" t="str">
        <f aca="false">IF(AND(ISNUMBER($G34),$G34&gt;=MA_LONG2),AVERAGE(INDEX($C$5:$C34,31-MA_LONG2):$C34),"")</f>
        <v/>
      </c>
      <c r="L34" s="53" t="n">
        <f aca="false">IF(AND(ISNUMBER($G34),$G34&gt;=21),STDEV(INDEX($H$5:$H34,31-20):$H34)*SQRT(245),"")</f>
        <v>0.216587788205753</v>
      </c>
      <c r="M34" s="52" t="str">
        <f aca="false">IF(AND(ISNUMBER($G34),$G34&gt;=60),MAX(INDEX($D$5:$D34,31-60):$D34),"")</f>
        <v/>
      </c>
      <c r="N34" s="52" t="str">
        <f aca="false">IF(AND(ISNUMBER($G34),$G34&gt;=60),MIN(INDEX($E$5:$E34,31-60):$E34),"")</f>
        <v/>
      </c>
      <c r="O34" s="53" t="str">
        <f aca="false">IF(OR(NOT(ISNUMBER($C34)),NOT(ISNUMBER($M34)),$M34=0),"",$C34/$M34-1)</f>
        <v/>
      </c>
    </row>
    <row r="35" customFormat="false" ht="15" hidden="false" customHeight="false" outlineLevel="0" collapsed="false">
      <c r="A35" s="47" t="n">
        <v>45612</v>
      </c>
      <c r="B35" s="48" t="s">
        <v>183</v>
      </c>
      <c r="C35" s="49" t="n">
        <v>3138</v>
      </c>
      <c r="D35" s="49" t="n">
        <v>3144</v>
      </c>
      <c r="E35" s="49" t="n">
        <v>3130</v>
      </c>
      <c r="F35" s="49" t="n">
        <v>0</v>
      </c>
      <c r="G35" s="50" t="n">
        <f aca="false">IF($A35="","",IF(ISNUMBER($G34),$G34+1,1))</f>
        <v>31</v>
      </c>
      <c r="H35" s="51" t="n">
        <f aca="false">IF(OR(NOT(ISNUMBER($G35)),$G35&lt;2,NOT(ISNUMBER($C34)),$C34=0),"",$C35/$C34-1)</f>
        <v>-0.000636942675159236</v>
      </c>
      <c r="I35" s="52" t="n">
        <f aca="false">IF(AND(ISNUMBER($G35),$G35&gt;=MA_SHORT),AVERAGE(INDEX($C$5:$C35,32-MA_SHORT):$C35),"")</f>
        <v>3245.25</v>
      </c>
      <c r="J35" s="52" t="str">
        <f aca="false">IF(AND(ISNUMBER($G35),$G35&gt;=MA_MED),AVERAGE(INDEX($C$5:$C35,32-MA_MED):$C35),"")</f>
        <v/>
      </c>
      <c r="K35" s="52" t="str">
        <f aca="false">IF(AND(ISNUMBER($G35),$G35&gt;=MA_LONG2),AVERAGE(INDEX($C$5:$C35,32-MA_LONG2):$C35),"")</f>
        <v/>
      </c>
      <c r="L35" s="53" t="n">
        <f aca="false">IF(AND(ISNUMBER($G35),$G35&gt;=21),STDEV(INDEX($H$5:$H35,32-20):$H35)*SQRT(245),"")</f>
        <v>0.214345329566261</v>
      </c>
      <c r="M35" s="52" t="str">
        <f aca="false">IF(AND(ISNUMBER($G35),$G35&gt;=60),MAX(INDEX($D$5:$D35,32-60):$D35),"")</f>
        <v/>
      </c>
      <c r="N35" s="52" t="str">
        <f aca="false">IF(AND(ISNUMBER($G35),$G35&gt;=60),MIN(INDEX($E$5:$E35,32-60):$E35),"")</f>
        <v/>
      </c>
      <c r="O35" s="53" t="str">
        <f aca="false">IF(OR(NOT(ISNUMBER($C35)),NOT(ISNUMBER($M35)),$M35=0),"",$C35/$M35-1)</f>
        <v/>
      </c>
    </row>
    <row r="36" customFormat="false" ht="15" hidden="false" customHeight="false" outlineLevel="0" collapsed="false">
      <c r="A36" s="47" t="n">
        <v>45613</v>
      </c>
      <c r="B36" s="48" t="s">
        <v>184</v>
      </c>
      <c r="C36" s="49" t="n">
        <v>3233</v>
      </c>
      <c r="D36" s="49" t="n">
        <v>3250</v>
      </c>
      <c r="E36" s="49" t="n">
        <v>3222</v>
      </c>
      <c r="F36" s="49" t="n">
        <v>0</v>
      </c>
      <c r="G36" s="50" t="n">
        <f aca="false">IF($A36="","",IF(ISNUMBER($G35),$G35+1,1))</f>
        <v>32</v>
      </c>
      <c r="H36" s="51" t="n">
        <f aca="false">IF(OR(NOT(ISNUMBER($G36)),$G36&lt;2,NOT(ISNUMBER($C35)),$C35=0),"",$C36/$C35-1)</f>
        <v>0.0302740599107711</v>
      </c>
      <c r="I36" s="52" t="n">
        <f aca="false">IF(AND(ISNUMBER($G36),$G36&gt;=MA_SHORT),AVERAGE(INDEX($C$5:$C36,33-MA_SHORT):$C36),"")</f>
        <v>3244.1</v>
      </c>
      <c r="J36" s="52" t="str">
        <f aca="false">IF(AND(ISNUMBER($G36),$G36&gt;=MA_MED),AVERAGE(INDEX($C$5:$C36,33-MA_MED):$C36),"")</f>
        <v/>
      </c>
      <c r="K36" s="52" t="str">
        <f aca="false">IF(AND(ISNUMBER($G36),$G36&gt;=MA_LONG2),AVERAGE(INDEX($C$5:$C36,33-MA_LONG2):$C36),"")</f>
        <v/>
      </c>
      <c r="L36" s="53" t="n">
        <f aca="false">IF(AND(ISNUMBER($G36),$G36&gt;=21),STDEV(INDEX($H$5:$H36,33-20):$H36)*SQRT(245),"")</f>
        <v>0.240695440195044</v>
      </c>
      <c r="M36" s="52" t="str">
        <f aca="false">IF(AND(ISNUMBER($G36),$G36&gt;=60),MAX(INDEX($D$5:$D36,33-60):$D36),"")</f>
        <v/>
      </c>
      <c r="N36" s="52" t="str">
        <f aca="false">IF(AND(ISNUMBER($G36),$G36&gt;=60),MIN(INDEX($E$5:$E36,33-60):$E36),"")</f>
        <v/>
      </c>
      <c r="O36" s="53" t="str">
        <f aca="false">IF(OR(NOT(ISNUMBER($C36)),NOT(ISNUMBER($M36)),$M36=0),"",$C36/$M36-1)</f>
        <v/>
      </c>
    </row>
    <row r="37" customFormat="false" ht="15" hidden="false" customHeight="false" outlineLevel="0" collapsed="false">
      <c r="A37" s="47" t="n">
        <v>45614</v>
      </c>
      <c r="B37" s="48" t="s">
        <v>185</v>
      </c>
      <c r="C37" s="49" t="n">
        <v>3207</v>
      </c>
      <c r="D37" s="49" t="n">
        <v>3212</v>
      </c>
      <c r="E37" s="49" t="n">
        <v>3183</v>
      </c>
      <c r="F37" s="49" t="n">
        <v>0</v>
      </c>
      <c r="G37" s="50" t="n">
        <f aca="false">IF($A37="","",IF(ISNUMBER($G36),$G36+1,1))</f>
        <v>33</v>
      </c>
      <c r="H37" s="51" t="n">
        <f aca="false">IF(OR(NOT(ISNUMBER($G37)),$G37&lt;2,NOT(ISNUMBER($C36)),$C36=0),"",$C37/$C36-1)</f>
        <v>-0.00804206619239101</v>
      </c>
      <c r="I37" s="52" t="n">
        <f aca="false">IF(AND(ISNUMBER($G37),$G37&gt;=MA_SHORT),AVERAGE(INDEX($C$5:$C37,34-MA_SHORT):$C37),"")</f>
        <v>3245.75</v>
      </c>
      <c r="J37" s="52" t="str">
        <f aca="false">IF(AND(ISNUMBER($G37),$G37&gt;=MA_MED),AVERAGE(INDEX($C$5:$C37,34-MA_MED):$C37),"")</f>
        <v/>
      </c>
      <c r="K37" s="52" t="str">
        <f aca="false">IF(AND(ISNUMBER($G37),$G37&gt;=MA_LONG2),AVERAGE(INDEX($C$5:$C37,34-MA_LONG2):$C37),"")</f>
        <v/>
      </c>
      <c r="L37" s="53" t="n">
        <f aca="false">IF(AND(ISNUMBER($G37),$G37&gt;=21),STDEV(INDEX($H$5:$H37,34-20):$H37)*SQRT(245),"")</f>
        <v>0.224738273946678</v>
      </c>
      <c r="M37" s="52" t="str">
        <f aca="false">IF(AND(ISNUMBER($G37),$G37&gt;=60),MAX(INDEX($D$5:$D37,34-60):$D37),"")</f>
        <v/>
      </c>
      <c r="N37" s="52" t="str">
        <f aca="false">IF(AND(ISNUMBER($G37),$G37&gt;=60),MIN(INDEX($E$5:$E37,34-60):$E37),"")</f>
        <v/>
      </c>
      <c r="O37" s="53" t="str">
        <f aca="false">IF(OR(NOT(ISNUMBER($C37)),NOT(ISNUMBER($M37)),$M37=0),"",$C37/$M37-1)</f>
        <v/>
      </c>
    </row>
    <row r="38" customFormat="false" ht="15" hidden="false" customHeight="false" outlineLevel="0" collapsed="false">
      <c r="A38" s="47" t="n">
        <v>45615</v>
      </c>
      <c r="B38" s="48" t="s">
        <v>186</v>
      </c>
      <c r="C38" s="49" t="n">
        <v>3163</v>
      </c>
      <c r="D38" s="49" t="n">
        <v>3168</v>
      </c>
      <c r="E38" s="49" t="n">
        <v>3152</v>
      </c>
      <c r="F38" s="49" t="n">
        <v>0</v>
      </c>
      <c r="G38" s="50" t="n">
        <f aca="false">IF($A38="","",IF(ISNUMBER($G37),$G37+1,1))</f>
        <v>34</v>
      </c>
      <c r="H38" s="51" t="n">
        <f aca="false">IF(OR(NOT(ISNUMBER($G38)),$G38&lt;2,NOT(ISNUMBER($C37)),$C37=0),"",$C38/$C37-1)</f>
        <v>-0.0137199875272841</v>
      </c>
      <c r="I38" s="52" t="n">
        <f aca="false">IF(AND(ISNUMBER($G38),$G38&gt;=MA_SHORT),AVERAGE(INDEX($C$5:$C38,35-MA_SHORT):$C38),"")</f>
        <v>3245.9</v>
      </c>
      <c r="J38" s="52" t="str">
        <f aca="false">IF(AND(ISNUMBER($G38),$G38&gt;=MA_MED),AVERAGE(INDEX($C$5:$C38,35-MA_MED):$C38),"")</f>
        <v/>
      </c>
      <c r="K38" s="52" t="str">
        <f aca="false">IF(AND(ISNUMBER($G38),$G38&gt;=MA_LONG2),AVERAGE(INDEX($C$5:$C38,35-MA_LONG2):$C38),"")</f>
        <v/>
      </c>
      <c r="L38" s="53" t="n">
        <f aca="false">IF(AND(ISNUMBER($G38),$G38&gt;=21),STDEV(INDEX($H$5:$H38,35-20):$H38)*SQRT(245),"")</f>
        <v>0.229729231803903</v>
      </c>
      <c r="M38" s="52" t="str">
        <f aca="false">IF(AND(ISNUMBER($G38),$G38&gt;=60),MAX(INDEX($D$5:$D38,35-60):$D38),"")</f>
        <v/>
      </c>
      <c r="N38" s="52" t="str">
        <f aca="false">IF(AND(ISNUMBER($G38),$G38&gt;=60),MIN(INDEX($E$5:$E38,35-60):$E38),"")</f>
        <v/>
      </c>
      <c r="O38" s="53" t="str">
        <f aca="false">IF(OR(NOT(ISNUMBER($C38)),NOT(ISNUMBER($M38)),$M38=0),"",$C38/$M38-1)</f>
        <v/>
      </c>
    </row>
    <row r="39" customFormat="false" ht="15" hidden="false" customHeight="false" outlineLevel="0" collapsed="false">
      <c r="A39" s="47" t="n">
        <v>45616</v>
      </c>
      <c r="B39" s="48" t="s">
        <v>187</v>
      </c>
      <c r="C39" s="49" t="n">
        <v>3176</v>
      </c>
      <c r="D39" s="49" t="n">
        <v>3183</v>
      </c>
      <c r="E39" s="49" t="n">
        <v>3166</v>
      </c>
      <c r="F39" s="49" t="n">
        <v>0</v>
      </c>
      <c r="G39" s="50" t="n">
        <f aca="false">IF($A39="","",IF(ISNUMBER($G38),$G38+1,1))</f>
        <v>35</v>
      </c>
      <c r="H39" s="51" t="n">
        <f aca="false">IF(OR(NOT(ISNUMBER($G39)),$G39&lt;2,NOT(ISNUMBER($C38)),$C38=0),"",$C39/$C38-1)</f>
        <v>0.00411002213088829</v>
      </c>
      <c r="I39" s="52" t="n">
        <f aca="false">IF(AND(ISNUMBER($G39),$G39&gt;=MA_SHORT),AVERAGE(INDEX($C$5:$C39,36-MA_SHORT):$C39),"")</f>
        <v>3245.05</v>
      </c>
      <c r="J39" s="52" t="str">
        <f aca="false">IF(AND(ISNUMBER($G39),$G39&gt;=MA_MED),AVERAGE(INDEX($C$5:$C39,36-MA_MED):$C39),"")</f>
        <v/>
      </c>
      <c r="K39" s="52" t="str">
        <f aca="false">IF(AND(ISNUMBER($G39),$G39&gt;=MA_LONG2),AVERAGE(INDEX($C$5:$C39,36-MA_LONG2):$C39),"")</f>
        <v/>
      </c>
      <c r="L39" s="53" t="n">
        <f aca="false">IF(AND(ISNUMBER($G39),$G39&gt;=21),STDEV(INDEX($H$5:$H39,36-20):$H39)*SQRT(245),"")</f>
        <v>0.227124804367473</v>
      </c>
      <c r="M39" s="52" t="str">
        <f aca="false">IF(AND(ISNUMBER($G39),$G39&gt;=60),MAX(INDEX($D$5:$D39,36-60):$D39),"")</f>
        <v/>
      </c>
      <c r="N39" s="52" t="str">
        <f aca="false">IF(AND(ISNUMBER($G39),$G39&gt;=60),MIN(INDEX($E$5:$E39,36-60):$E39),"")</f>
        <v/>
      </c>
      <c r="O39" s="53" t="str">
        <f aca="false">IF(OR(NOT(ISNUMBER($C39)),NOT(ISNUMBER($M39)),$M39=0),"",$C39/$M39-1)</f>
        <v/>
      </c>
    </row>
    <row r="40" customFormat="false" ht="15" hidden="false" customHeight="false" outlineLevel="0" collapsed="false">
      <c r="A40" s="47" t="n">
        <v>45619</v>
      </c>
      <c r="B40" s="48" t="s">
        <v>188</v>
      </c>
      <c r="C40" s="49" t="n">
        <v>3121</v>
      </c>
      <c r="D40" s="49" t="n">
        <v>3139</v>
      </c>
      <c r="E40" s="49" t="n">
        <v>3117</v>
      </c>
      <c r="F40" s="49" t="n">
        <v>0</v>
      </c>
      <c r="G40" s="50" t="n">
        <f aca="false">IF($A40="","",IF(ISNUMBER($G39),$G39+1,1))</f>
        <v>36</v>
      </c>
      <c r="H40" s="51" t="n">
        <f aca="false">IF(OR(NOT(ISNUMBER($G40)),$G40&lt;2,NOT(ISNUMBER($C39)),$C39=0),"",$C40/$C39-1)</f>
        <v>-0.0173173803526449</v>
      </c>
      <c r="I40" s="52" t="n">
        <f aca="false">IF(AND(ISNUMBER($G40),$G40&gt;=MA_SHORT),AVERAGE(INDEX($C$5:$C40,37-MA_SHORT):$C40),"")</f>
        <v>3241.9</v>
      </c>
      <c r="J40" s="52" t="str">
        <f aca="false">IF(AND(ISNUMBER($G40),$G40&gt;=MA_MED),AVERAGE(INDEX($C$5:$C40,37-MA_MED):$C40),"")</f>
        <v/>
      </c>
      <c r="K40" s="52" t="str">
        <f aca="false">IF(AND(ISNUMBER($G40),$G40&gt;=MA_LONG2),AVERAGE(INDEX($C$5:$C40,37-MA_LONG2):$C40),"")</f>
        <v/>
      </c>
      <c r="L40" s="53" t="n">
        <f aca="false">IF(AND(ISNUMBER($G40),$G40&gt;=21),STDEV(INDEX($H$5:$H40,37-20):$H40)*SQRT(245),"")</f>
        <v>0.234845289588892</v>
      </c>
      <c r="M40" s="52" t="str">
        <f aca="false">IF(AND(ISNUMBER($G40),$G40&gt;=60),MAX(INDEX($D$5:$D40,37-60):$D40),"")</f>
        <v/>
      </c>
      <c r="N40" s="52" t="str">
        <f aca="false">IF(AND(ISNUMBER($G40),$G40&gt;=60),MIN(INDEX($E$5:$E40,37-60):$E40),"")</f>
        <v/>
      </c>
      <c r="O40" s="53" t="str">
        <f aca="false">IF(OR(NOT(ISNUMBER($C40)),NOT(ISNUMBER($M40)),$M40=0),"",$C40/$M40-1)</f>
        <v/>
      </c>
    </row>
    <row r="41" customFormat="false" ht="15" hidden="false" customHeight="false" outlineLevel="0" collapsed="false">
      <c r="A41" s="47" t="n">
        <v>45620</v>
      </c>
      <c r="B41" s="48" t="s">
        <v>189</v>
      </c>
      <c r="C41" s="49" t="n">
        <v>3152</v>
      </c>
      <c r="D41" s="49" t="n">
        <v>3154</v>
      </c>
      <c r="E41" s="49" t="n">
        <v>3149</v>
      </c>
      <c r="F41" s="49" t="n">
        <v>0</v>
      </c>
      <c r="G41" s="50" t="n">
        <f aca="false">IF($A41="","",IF(ISNUMBER($G40),$G40+1,1))</f>
        <v>37</v>
      </c>
      <c r="H41" s="51" t="n">
        <f aca="false">IF(OR(NOT(ISNUMBER($G41)),$G41&lt;2,NOT(ISNUMBER($C40)),$C40=0),"",$C41/$C40-1)</f>
        <v>0.00993271387375838</v>
      </c>
      <c r="I41" s="52" t="n">
        <f aca="false">IF(AND(ISNUMBER($G41),$G41&gt;=MA_SHORT),AVERAGE(INDEX($C$5:$C41,38-MA_SHORT):$C41),"")</f>
        <v>3240.05</v>
      </c>
      <c r="J41" s="52" t="str">
        <f aca="false">IF(AND(ISNUMBER($G41),$G41&gt;=MA_MED),AVERAGE(INDEX($C$5:$C41,38-MA_MED):$C41),"")</f>
        <v/>
      </c>
      <c r="K41" s="52" t="str">
        <f aca="false">IF(AND(ISNUMBER($G41),$G41&gt;=MA_LONG2),AVERAGE(INDEX($C$5:$C41,38-MA_LONG2):$C41),"")</f>
        <v/>
      </c>
      <c r="L41" s="53" t="n">
        <f aca="false">IF(AND(ISNUMBER($G41),$G41&gt;=21),STDEV(INDEX($H$5:$H41,38-20):$H41)*SQRT(245),"")</f>
        <v>0.237781290920433</v>
      </c>
      <c r="M41" s="52" t="str">
        <f aca="false">IF(AND(ISNUMBER($G41),$G41&gt;=60),MAX(INDEX($D$5:$D41,38-60):$D41),"")</f>
        <v/>
      </c>
      <c r="N41" s="52" t="str">
        <f aca="false">IF(AND(ISNUMBER($G41),$G41&gt;=60),MIN(INDEX($E$5:$E41,38-60):$E41),"")</f>
        <v/>
      </c>
      <c r="O41" s="53" t="str">
        <f aca="false">IF(OR(NOT(ISNUMBER($C41)),NOT(ISNUMBER($M41)),$M41=0),"",$C41/$M41-1)</f>
        <v/>
      </c>
    </row>
    <row r="42" customFormat="false" ht="15" hidden="false" customHeight="false" outlineLevel="0" collapsed="false">
      <c r="A42" s="47" t="n">
        <v>45621</v>
      </c>
      <c r="B42" s="48" t="s">
        <v>190</v>
      </c>
      <c r="C42" s="49" t="n">
        <v>3181</v>
      </c>
      <c r="D42" s="49" t="n">
        <v>3210</v>
      </c>
      <c r="E42" s="49" t="n">
        <v>3156</v>
      </c>
      <c r="F42" s="49" t="n">
        <v>0</v>
      </c>
      <c r="G42" s="50" t="n">
        <f aca="false">IF($A42="","",IF(ISNUMBER($G41),$G41+1,1))</f>
        <v>38</v>
      </c>
      <c r="H42" s="51" t="n">
        <f aca="false">IF(OR(NOT(ISNUMBER($G42)),$G42&lt;2,NOT(ISNUMBER($C41)),$C41=0),"",$C42/$C41-1)</f>
        <v>0.00920050761421321</v>
      </c>
      <c r="I42" s="52" t="n">
        <f aca="false">IF(AND(ISNUMBER($G42),$G42&gt;=MA_SHORT),AVERAGE(INDEX($C$5:$C42,39-MA_SHORT):$C42),"")</f>
        <v>3240.6</v>
      </c>
      <c r="J42" s="52" t="str">
        <f aca="false">IF(AND(ISNUMBER($G42),$G42&gt;=MA_MED),AVERAGE(INDEX($C$5:$C42,39-MA_MED):$C42),"")</f>
        <v/>
      </c>
      <c r="K42" s="52" t="str">
        <f aca="false">IF(AND(ISNUMBER($G42),$G42&gt;=MA_LONG2),AVERAGE(INDEX($C$5:$C42,39-MA_LONG2):$C42),"")</f>
        <v/>
      </c>
      <c r="L42" s="53" t="n">
        <f aca="false">IF(AND(ISNUMBER($G42),$G42&gt;=21),STDEV(INDEX($H$5:$H42,39-20):$H42)*SQRT(245),"")</f>
        <v>0.239187772237051</v>
      </c>
      <c r="M42" s="52" t="str">
        <f aca="false">IF(AND(ISNUMBER($G42),$G42&gt;=60),MAX(INDEX($D$5:$D42,39-60):$D42),"")</f>
        <v/>
      </c>
      <c r="N42" s="52" t="str">
        <f aca="false">IF(AND(ISNUMBER($G42),$G42&gt;=60),MIN(INDEX($E$5:$E42,39-60):$E42),"")</f>
        <v/>
      </c>
      <c r="O42" s="53" t="str">
        <f aca="false">IF(OR(NOT(ISNUMBER($C42)),NOT(ISNUMBER($M42)),$M42=0),"",$C42/$M42-1)</f>
        <v/>
      </c>
    </row>
    <row r="43" customFormat="false" ht="15" hidden="false" customHeight="false" outlineLevel="0" collapsed="false">
      <c r="A43" s="47" t="n">
        <v>45622</v>
      </c>
      <c r="B43" s="48" t="s">
        <v>191</v>
      </c>
      <c r="C43" s="49" t="n">
        <v>3191</v>
      </c>
      <c r="D43" s="49" t="n">
        <v>3205</v>
      </c>
      <c r="E43" s="49" t="n">
        <v>3189</v>
      </c>
      <c r="F43" s="49" t="n">
        <v>0</v>
      </c>
      <c r="G43" s="50" t="n">
        <f aca="false">IF($A43="","",IF(ISNUMBER($G42),$G42+1,1))</f>
        <v>39</v>
      </c>
      <c r="H43" s="51" t="n">
        <f aca="false">IF(OR(NOT(ISNUMBER($G43)),$G43&lt;2,NOT(ISNUMBER($C42)),$C42=0),"",$C43/$C42-1)</f>
        <v>0.00314366551398937</v>
      </c>
      <c r="I43" s="52" t="n">
        <f aca="false">IF(AND(ISNUMBER($G43),$G43&gt;=MA_SHORT),AVERAGE(INDEX($C$5:$C43,40-MA_SHORT):$C43),"")</f>
        <v>3238.9</v>
      </c>
      <c r="J43" s="52" t="str">
        <f aca="false">IF(AND(ISNUMBER($G43),$G43&gt;=MA_MED),AVERAGE(INDEX($C$5:$C43,40-MA_MED):$C43),"")</f>
        <v/>
      </c>
      <c r="K43" s="52" t="str">
        <f aca="false">IF(AND(ISNUMBER($G43),$G43&gt;=MA_LONG2),AVERAGE(INDEX($C$5:$C43,40-MA_LONG2):$C43),"")</f>
        <v/>
      </c>
      <c r="L43" s="53" t="n">
        <f aca="false">IF(AND(ISNUMBER($G43),$G43&gt;=21),STDEV(INDEX($H$5:$H43,40-20):$H43)*SQRT(245),"")</f>
        <v>0.231150483236912</v>
      </c>
      <c r="M43" s="52" t="str">
        <f aca="false">IF(AND(ISNUMBER($G43),$G43&gt;=60),MAX(INDEX($D$5:$D43,40-60):$D43),"")</f>
        <v/>
      </c>
      <c r="N43" s="52" t="str">
        <f aca="false">IF(AND(ISNUMBER($G43),$G43&gt;=60),MIN(INDEX($E$5:$E43,40-60):$E43),"")</f>
        <v/>
      </c>
      <c r="O43" s="53" t="str">
        <f aca="false">IF(OR(NOT(ISNUMBER($C43)),NOT(ISNUMBER($M43)),$M43=0),"",$C43/$M43-1)</f>
        <v/>
      </c>
    </row>
    <row r="44" customFormat="false" ht="15" hidden="false" customHeight="false" outlineLevel="0" collapsed="false">
      <c r="A44" s="47" t="n">
        <v>45623</v>
      </c>
      <c r="B44" s="48" t="s">
        <v>192</v>
      </c>
      <c r="C44" s="49" t="n">
        <v>3198</v>
      </c>
      <c r="D44" s="49" t="n">
        <v>3215</v>
      </c>
      <c r="E44" s="49" t="n">
        <v>3193</v>
      </c>
      <c r="F44" s="49" t="n">
        <v>0</v>
      </c>
      <c r="G44" s="50" t="n">
        <f aca="false">IF($A44="","",IF(ISNUMBER($G43),$G43+1,1))</f>
        <v>40</v>
      </c>
      <c r="H44" s="51" t="n">
        <f aca="false">IF(OR(NOT(ISNUMBER($G44)),$G44&lt;2,NOT(ISNUMBER($C43)),$C43=0),"",$C44/$C43-1)</f>
        <v>0.00219366969602008</v>
      </c>
      <c r="I44" s="52" t="n">
        <f aca="false">IF(AND(ISNUMBER($G44),$G44&gt;=MA_SHORT),AVERAGE(INDEX($C$5:$C44,41-MA_SHORT):$C44),"")</f>
        <v>3235.8</v>
      </c>
      <c r="J44" s="52" t="str">
        <f aca="false">IF(AND(ISNUMBER($G44),$G44&gt;=MA_MED),AVERAGE(INDEX($C$5:$C44,41-MA_MED):$C44),"")</f>
        <v/>
      </c>
      <c r="K44" s="52" t="str">
        <f aca="false">IF(AND(ISNUMBER($G44),$G44&gt;=MA_LONG2),AVERAGE(INDEX($C$5:$C44,41-MA_LONG2):$C44),"")</f>
        <v/>
      </c>
      <c r="L44" s="53" t="n">
        <f aca="false">IF(AND(ISNUMBER($G44),$G44&gt;=21),STDEV(INDEX($H$5:$H44,41-20):$H44)*SQRT(245),"")</f>
        <v>0.227662767054924</v>
      </c>
      <c r="M44" s="52" t="str">
        <f aca="false">IF(AND(ISNUMBER($G44),$G44&gt;=60),MAX(INDEX($D$5:$D44,41-60):$D44),"")</f>
        <v/>
      </c>
      <c r="N44" s="52" t="str">
        <f aca="false">IF(AND(ISNUMBER($G44),$G44&gt;=60),MIN(INDEX($E$5:$E44,41-60):$E44),"")</f>
        <v/>
      </c>
      <c r="O44" s="53" t="str">
        <f aca="false">IF(OR(NOT(ISNUMBER($C44)),NOT(ISNUMBER($M44)),$M44=0),"",$C44/$M44-1)</f>
        <v/>
      </c>
    </row>
    <row r="45" customFormat="false" ht="15" hidden="false" customHeight="false" outlineLevel="0" collapsed="false">
      <c r="A45" s="47" t="n">
        <v>45626</v>
      </c>
      <c r="B45" s="48" t="s">
        <v>193</v>
      </c>
      <c r="C45" s="49" t="n">
        <v>3109</v>
      </c>
      <c r="D45" s="49" t="n">
        <v>3111</v>
      </c>
      <c r="E45" s="49" t="n">
        <v>3089</v>
      </c>
      <c r="F45" s="49" t="n">
        <v>0</v>
      </c>
      <c r="G45" s="50" t="n">
        <f aca="false">IF($A45="","",IF(ISNUMBER($G44),$G44+1,1))</f>
        <v>41</v>
      </c>
      <c r="H45" s="51" t="n">
        <f aca="false">IF(OR(NOT(ISNUMBER($G45)),$G45&lt;2,NOT(ISNUMBER($C44)),$C44=0),"",$C45/$C44-1)</f>
        <v>-0.0278298936835523</v>
      </c>
      <c r="I45" s="52" t="n">
        <f aca="false">IF(AND(ISNUMBER($G45),$G45&gt;=MA_SHORT),AVERAGE(INDEX($C$5:$C45,42-MA_SHORT):$C45),"")</f>
        <v>3228.25</v>
      </c>
      <c r="J45" s="52" t="str">
        <f aca="false">IF(AND(ISNUMBER($G45),$G45&gt;=MA_MED),AVERAGE(INDEX($C$5:$C45,42-MA_MED):$C45),"")</f>
        <v/>
      </c>
      <c r="K45" s="52" t="str">
        <f aca="false">IF(AND(ISNUMBER($G45),$G45&gt;=MA_LONG2),AVERAGE(INDEX($C$5:$C45,42-MA_LONG2):$C45),"")</f>
        <v/>
      </c>
      <c r="L45" s="53" t="n">
        <f aca="false">IF(AND(ISNUMBER($G45),$G45&gt;=21),STDEV(INDEX($H$5:$H45,42-20):$H45)*SQRT(245),"")</f>
        <v>0.246376573940731</v>
      </c>
      <c r="M45" s="52" t="str">
        <f aca="false">IF(AND(ISNUMBER($G45),$G45&gt;=60),MAX(INDEX($D$5:$D45,42-60):$D45),"")</f>
        <v/>
      </c>
      <c r="N45" s="52" t="str">
        <f aca="false">IF(AND(ISNUMBER($G45),$G45&gt;=60),MIN(INDEX($E$5:$E45,42-60):$E45),"")</f>
        <v/>
      </c>
      <c r="O45" s="53" t="str">
        <f aca="false">IF(OR(NOT(ISNUMBER($C45)),NOT(ISNUMBER($M45)),$M45=0),"",$C45/$M45-1)</f>
        <v/>
      </c>
    </row>
    <row r="46" customFormat="false" ht="15" hidden="false" customHeight="false" outlineLevel="0" collapsed="false">
      <c r="A46" s="47" t="n">
        <v>45627</v>
      </c>
      <c r="B46" s="48" t="s">
        <v>194</v>
      </c>
      <c r="C46" s="49" t="n">
        <v>3035</v>
      </c>
      <c r="D46" s="49" t="n">
        <v>3044</v>
      </c>
      <c r="E46" s="49" t="n">
        <v>3031</v>
      </c>
      <c r="F46" s="49" t="n">
        <v>0</v>
      </c>
      <c r="G46" s="50" t="n">
        <f aca="false">IF($A46="","",IF(ISNUMBER($G45),$G45+1,1))</f>
        <v>42</v>
      </c>
      <c r="H46" s="51" t="n">
        <f aca="false">IF(OR(NOT(ISNUMBER($G46)),$G46&lt;2,NOT(ISNUMBER($C45)),$C45=0),"",$C46/$C45-1)</f>
        <v>-0.0238018655516243</v>
      </c>
      <c r="I46" s="52" t="n">
        <f aca="false">IF(AND(ISNUMBER($G46),$G46&gt;=MA_SHORT),AVERAGE(INDEX($C$5:$C46,43-MA_SHORT):$C46),"")</f>
        <v>3217.45</v>
      </c>
      <c r="J46" s="52" t="str">
        <f aca="false">IF(AND(ISNUMBER($G46),$G46&gt;=MA_MED),AVERAGE(INDEX($C$5:$C46,43-MA_MED):$C46),"")</f>
        <v/>
      </c>
      <c r="K46" s="52" t="str">
        <f aca="false">IF(AND(ISNUMBER($G46),$G46&gt;=MA_LONG2),AVERAGE(INDEX($C$5:$C46,43-MA_LONG2):$C46),"")</f>
        <v/>
      </c>
      <c r="L46" s="53" t="n">
        <f aca="false">IF(AND(ISNUMBER($G46),$G46&gt;=21),STDEV(INDEX($H$5:$H46,43-20):$H46)*SQRT(245),"")</f>
        <v>0.257685232897741</v>
      </c>
      <c r="M46" s="52" t="str">
        <f aca="false">IF(AND(ISNUMBER($G46),$G46&gt;=60),MAX(INDEX($D$5:$D46,43-60):$D46),"")</f>
        <v/>
      </c>
      <c r="N46" s="52" t="str">
        <f aca="false">IF(AND(ISNUMBER($G46),$G46&gt;=60),MIN(INDEX($E$5:$E46,43-60):$E46),"")</f>
        <v/>
      </c>
      <c r="O46" s="53" t="str">
        <f aca="false">IF(OR(NOT(ISNUMBER($C46)),NOT(ISNUMBER($M46)),$M46=0),"",$C46/$M46-1)</f>
        <v/>
      </c>
    </row>
    <row r="47" customFormat="false" ht="15" hidden="false" customHeight="false" outlineLevel="0" collapsed="false">
      <c r="A47" s="47" t="n">
        <v>45628</v>
      </c>
      <c r="B47" s="48" t="s">
        <v>195</v>
      </c>
      <c r="C47" s="49" t="n">
        <v>3084</v>
      </c>
      <c r="D47" s="49" t="n">
        <v>3099</v>
      </c>
      <c r="E47" s="49" t="n">
        <v>3083</v>
      </c>
      <c r="F47" s="49" t="n">
        <v>0</v>
      </c>
      <c r="G47" s="50" t="n">
        <f aca="false">IF($A47="","",IF(ISNUMBER($G46),$G46+1,1))</f>
        <v>43</v>
      </c>
      <c r="H47" s="51" t="n">
        <f aca="false">IF(OR(NOT(ISNUMBER($G47)),$G47&lt;2,NOT(ISNUMBER($C46)),$C46=0),"",$C47/$C46-1)</f>
        <v>0.0161449752883032</v>
      </c>
      <c r="I47" s="52" t="n">
        <f aca="false">IF(AND(ISNUMBER($G47),$G47&gt;=MA_SHORT),AVERAGE(INDEX($C$5:$C47,44-MA_SHORT):$C47),"")</f>
        <v>3206.3</v>
      </c>
      <c r="J47" s="52" t="str">
        <f aca="false">IF(AND(ISNUMBER($G47),$G47&gt;=MA_MED),AVERAGE(INDEX($C$5:$C47,44-MA_MED):$C47),"")</f>
        <v/>
      </c>
      <c r="K47" s="52" t="str">
        <f aca="false">IF(AND(ISNUMBER($G47),$G47&gt;=MA_LONG2),AVERAGE(INDEX($C$5:$C47,44-MA_LONG2):$C47),"")</f>
        <v/>
      </c>
      <c r="L47" s="53" t="n">
        <f aca="false">IF(AND(ISNUMBER($G47),$G47&gt;=21),STDEV(INDEX($H$5:$H47,44-20):$H47)*SQRT(245),"")</f>
        <v>0.256600774660127</v>
      </c>
      <c r="M47" s="52" t="str">
        <f aca="false">IF(AND(ISNUMBER($G47),$G47&gt;=60),MAX(INDEX($D$5:$D47,44-60):$D47),"")</f>
        <v/>
      </c>
      <c r="N47" s="52" t="str">
        <f aca="false">IF(AND(ISNUMBER($G47),$G47&gt;=60),MIN(INDEX($E$5:$E47,44-60):$E47),"")</f>
        <v/>
      </c>
      <c r="O47" s="53" t="str">
        <f aca="false">IF(OR(NOT(ISNUMBER($C47)),NOT(ISNUMBER($M47)),$M47=0),"",$C47/$M47-1)</f>
        <v/>
      </c>
    </row>
    <row r="48" customFormat="false" ht="15" hidden="false" customHeight="false" outlineLevel="0" collapsed="false">
      <c r="A48" s="47" t="n">
        <v>45629</v>
      </c>
      <c r="B48" s="48" t="s">
        <v>196</v>
      </c>
      <c r="C48" s="49" t="n">
        <v>3090</v>
      </c>
      <c r="D48" s="49" t="n">
        <v>3092</v>
      </c>
      <c r="E48" s="49" t="n">
        <v>3084</v>
      </c>
      <c r="F48" s="49" t="n">
        <v>0</v>
      </c>
      <c r="G48" s="50" t="n">
        <f aca="false">IF($A48="","",IF(ISNUMBER($G47),$G47+1,1))</f>
        <v>44</v>
      </c>
      <c r="H48" s="51" t="n">
        <f aca="false">IF(OR(NOT(ISNUMBER($G48)),$G48&lt;2,NOT(ISNUMBER($C47)),$C47=0),"",$C48/$C47-1)</f>
        <v>0.00194552529182879</v>
      </c>
      <c r="I48" s="52" t="n">
        <f aca="false">IF(AND(ISNUMBER($G48),$G48&gt;=MA_SHORT),AVERAGE(INDEX($C$5:$C48,45-MA_SHORT):$C48),"")</f>
        <v>3192.1</v>
      </c>
      <c r="J48" s="52" t="str">
        <f aca="false">IF(AND(ISNUMBER($G48),$G48&gt;=MA_MED),AVERAGE(INDEX($C$5:$C48,45-MA_MED):$C48),"")</f>
        <v/>
      </c>
      <c r="K48" s="52" t="str">
        <f aca="false">IF(AND(ISNUMBER($G48),$G48&gt;=MA_LONG2),AVERAGE(INDEX($C$5:$C48,45-MA_LONG2):$C48),"")</f>
        <v/>
      </c>
      <c r="L48" s="53" t="n">
        <f aca="false">IF(AND(ISNUMBER($G48),$G48&gt;=21),STDEV(INDEX($H$5:$H48,45-20):$H48)*SQRT(245),"")</f>
        <v>0.242483362570258</v>
      </c>
      <c r="M48" s="52" t="str">
        <f aca="false">IF(AND(ISNUMBER($G48),$G48&gt;=60),MAX(INDEX($D$5:$D48,45-60):$D48),"")</f>
        <v/>
      </c>
      <c r="N48" s="52" t="str">
        <f aca="false">IF(AND(ISNUMBER($G48),$G48&gt;=60),MIN(INDEX($E$5:$E48,45-60):$E48),"")</f>
        <v/>
      </c>
      <c r="O48" s="53" t="str">
        <f aca="false">IF(OR(NOT(ISNUMBER($C48)),NOT(ISNUMBER($M48)),$M48=0),"",$C48/$M48-1)</f>
        <v/>
      </c>
    </row>
    <row r="49" customFormat="false" ht="15" hidden="false" customHeight="false" outlineLevel="0" collapsed="false">
      <c r="A49" s="47" t="n">
        <v>45630</v>
      </c>
      <c r="B49" s="48" t="s">
        <v>197</v>
      </c>
      <c r="C49" s="49" t="n">
        <v>3074</v>
      </c>
      <c r="D49" s="49" t="n">
        <v>3080</v>
      </c>
      <c r="E49" s="49" t="n">
        <v>3072</v>
      </c>
      <c r="F49" s="49" t="n">
        <v>0</v>
      </c>
      <c r="G49" s="50" t="n">
        <f aca="false">IF($A49="","",IF(ISNUMBER($G48),$G48+1,1))</f>
        <v>45</v>
      </c>
      <c r="H49" s="51" t="n">
        <f aca="false">IF(OR(NOT(ISNUMBER($G49)),$G49&lt;2,NOT(ISNUMBER($C48)),$C48=0),"",$C49/$C48-1)</f>
        <v>-0.00517799352750814</v>
      </c>
      <c r="I49" s="52" t="n">
        <f aca="false">IF(AND(ISNUMBER($G49),$G49&gt;=MA_SHORT),AVERAGE(INDEX($C$5:$C49,46-MA_SHORT):$C49),"")</f>
        <v>3177.5</v>
      </c>
      <c r="J49" s="52" t="str">
        <f aca="false">IF(AND(ISNUMBER($G49),$G49&gt;=MA_MED),AVERAGE(INDEX($C$5:$C49,46-MA_MED):$C49),"")</f>
        <v/>
      </c>
      <c r="K49" s="52" t="str">
        <f aca="false">IF(AND(ISNUMBER($G49),$G49&gt;=MA_LONG2),AVERAGE(INDEX($C$5:$C49,46-MA_LONG2):$C49),"")</f>
        <v/>
      </c>
      <c r="L49" s="53" t="n">
        <f aca="false">IF(AND(ISNUMBER($G49),$G49&gt;=21),STDEV(INDEX($H$5:$H49,46-20):$H49)*SQRT(245),"")</f>
        <v>0.242398560691823</v>
      </c>
      <c r="M49" s="52" t="str">
        <f aca="false">IF(AND(ISNUMBER($G49),$G49&gt;=60),MAX(INDEX($D$5:$D49,46-60):$D49),"")</f>
        <v/>
      </c>
      <c r="N49" s="52" t="str">
        <f aca="false">IF(AND(ISNUMBER($G49),$G49&gt;=60),MIN(INDEX($E$5:$E49,46-60):$E49),"")</f>
        <v/>
      </c>
      <c r="O49" s="53" t="str">
        <f aca="false">IF(OR(NOT(ISNUMBER($C49)),NOT(ISNUMBER($M49)),$M49=0),"",$C49/$M49-1)</f>
        <v/>
      </c>
    </row>
    <row r="50" customFormat="false" ht="15" hidden="false" customHeight="false" outlineLevel="0" collapsed="false">
      <c r="A50" s="47" t="n">
        <v>45633</v>
      </c>
      <c r="B50" s="48" t="s">
        <v>198</v>
      </c>
      <c r="C50" s="49" t="n">
        <v>3080</v>
      </c>
      <c r="D50" s="49" t="n">
        <v>3088</v>
      </c>
      <c r="E50" s="49" t="n">
        <v>3072</v>
      </c>
      <c r="F50" s="49" t="n">
        <v>0</v>
      </c>
      <c r="G50" s="50" t="n">
        <f aca="false">IF($A50="","",IF(ISNUMBER($G49),$G49+1,1))</f>
        <v>46</v>
      </c>
      <c r="H50" s="51" t="n">
        <f aca="false">IF(OR(NOT(ISNUMBER($G50)),$G50&lt;2,NOT(ISNUMBER($C49)),$C49=0),"",$C50/$C49-1)</f>
        <v>0.00195185426154842</v>
      </c>
      <c r="I50" s="52" t="n">
        <f aca="false">IF(AND(ISNUMBER($G50),$G50&gt;=MA_SHORT),AVERAGE(INDEX($C$5:$C50,47-MA_SHORT):$C50),"")</f>
        <v>3162.95</v>
      </c>
      <c r="J50" s="52" t="str">
        <f aca="false">IF(AND(ISNUMBER($G50),$G50&gt;=MA_MED),AVERAGE(INDEX($C$5:$C50,47-MA_MED):$C50),"")</f>
        <v/>
      </c>
      <c r="K50" s="52" t="str">
        <f aca="false">IF(AND(ISNUMBER($G50),$G50&gt;=MA_LONG2),AVERAGE(INDEX($C$5:$C50,47-MA_LONG2):$C50),"")</f>
        <v/>
      </c>
      <c r="L50" s="53" t="n">
        <f aca="false">IF(AND(ISNUMBER($G50),$G50&gt;=21),STDEV(INDEX($H$5:$H50,47-20):$H50)*SQRT(245),"")</f>
        <v>0.242550352198616</v>
      </c>
      <c r="M50" s="52" t="str">
        <f aca="false">IF(AND(ISNUMBER($G50),$G50&gt;=60),MAX(INDEX($D$5:$D50,47-60):$D50),"")</f>
        <v/>
      </c>
      <c r="N50" s="52" t="str">
        <f aca="false">IF(AND(ISNUMBER($G50),$G50&gt;=60),MIN(INDEX($E$5:$E50,47-60):$E50),"")</f>
        <v/>
      </c>
      <c r="O50" s="53" t="str">
        <f aca="false">IF(OR(NOT(ISNUMBER($C50)),NOT(ISNUMBER($M50)),$M50=0),"",$C50/$M50-1)</f>
        <v/>
      </c>
    </row>
    <row r="51" customFormat="false" ht="15" hidden="false" customHeight="false" outlineLevel="0" collapsed="false">
      <c r="A51" s="47" t="n">
        <v>45634</v>
      </c>
      <c r="B51" s="48" t="s">
        <v>199</v>
      </c>
      <c r="C51" s="49" t="n">
        <v>3081</v>
      </c>
      <c r="D51" s="49" t="n">
        <v>3088</v>
      </c>
      <c r="E51" s="49" t="n">
        <v>3064</v>
      </c>
      <c r="F51" s="49" t="n">
        <v>0</v>
      </c>
      <c r="G51" s="50" t="n">
        <f aca="false">IF($A51="","",IF(ISNUMBER($G50),$G50+1,1))</f>
        <v>47</v>
      </c>
      <c r="H51" s="51" t="n">
        <f aca="false">IF(OR(NOT(ISNUMBER($G51)),$G51&lt;2,NOT(ISNUMBER($C50)),$C50=0),"",$C51/$C50-1)</f>
        <v>0.000324675324675283</v>
      </c>
      <c r="I51" s="52" t="n">
        <f aca="false">IF(AND(ISNUMBER($G51),$G51&gt;=MA_SHORT),AVERAGE(INDEX($C$5:$C51,48-MA_SHORT):$C51),"")</f>
        <v>3148.95</v>
      </c>
      <c r="J51" s="52" t="str">
        <f aca="false">IF(AND(ISNUMBER($G51),$G51&gt;=MA_MED),AVERAGE(INDEX($C$5:$C51,48-MA_MED):$C51),"")</f>
        <v/>
      </c>
      <c r="K51" s="52" t="str">
        <f aca="false">IF(AND(ISNUMBER($G51),$G51&gt;=MA_LONG2),AVERAGE(INDEX($C$5:$C51,48-MA_LONG2):$C51),"")</f>
        <v/>
      </c>
      <c r="L51" s="53" t="n">
        <f aca="false">IF(AND(ISNUMBER($G51),$G51&gt;=21),STDEV(INDEX($H$5:$H51,48-20):$H51)*SQRT(245),"")</f>
        <v>0.243072285859135</v>
      </c>
      <c r="M51" s="52" t="str">
        <f aca="false">IF(AND(ISNUMBER($G51),$G51&gt;=60),MAX(INDEX($D$5:$D51,48-60):$D51),"")</f>
        <v/>
      </c>
      <c r="N51" s="52" t="str">
        <f aca="false">IF(AND(ISNUMBER($G51),$G51&gt;=60),MIN(INDEX($E$5:$E51,48-60):$E51),"")</f>
        <v/>
      </c>
      <c r="O51" s="53" t="str">
        <f aca="false">IF(OR(NOT(ISNUMBER($C51)),NOT(ISNUMBER($M51)),$M51=0),"",$C51/$M51-1)</f>
        <v/>
      </c>
    </row>
    <row r="52" customFormat="false" ht="15" hidden="false" customHeight="false" outlineLevel="0" collapsed="false">
      <c r="A52" s="47" t="n">
        <v>45635</v>
      </c>
      <c r="B52" s="48" t="s">
        <v>200</v>
      </c>
      <c r="C52" s="49" t="n">
        <v>3056</v>
      </c>
      <c r="D52" s="49" t="n">
        <v>3057</v>
      </c>
      <c r="E52" s="49" t="n">
        <v>3052</v>
      </c>
      <c r="F52" s="49" t="n">
        <v>0</v>
      </c>
      <c r="G52" s="50" t="n">
        <f aca="false">IF($A52="","",IF(ISNUMBER($G51),$G51+1,1))</f>
        <v>48</v>
      </c>
      <c r="H52" s="51" t="n">
        <f aca="false">IF(OR(NOT(ISNUMBER($G52)),$G52&lt;2,NOT(ISNUMBER($C51)),$C51=0),"",$C52/$C51-1)</f>
        <v>-0.00811424862057775</v>
      </c>
      <c r="I52" s="52" t="n">
        <f aca="false">IF(AND(ISNUMBER($G52),$G52&gt;=MA_SHORT),AVERAGE(INDEX($C$5:$C52,49-MA_SHORT):$C52),"")</f>
        <v>3136.15</v>
      </c>
      <c r="J52" s="52" t="str">
        <f aca="false">IF(AND(ISNUMBER($G52),$G52&gt;=MA_MED),AVERAGE(INDEX($C$5:$C52,49-MA_MED):$C52),"")</f>
        <v/>
      </c>
      <c r="K52" s="52" t="str">
        <f aca="false">IF(AND(ISNUMBER($G52),$G52&gt;=MA_LONG2),AVERAGE(INDEX($C$5:$C52,49-MA_LONG2):$C52),"")</f>
        <v/>
      </c>
      <c r="L52" s="53" t="n">
        <f aca="false">IF(AND(ISNUMBER($G52),$G52&gt;=21),STDEV(INDEX($H$5:$H52,49-20):$H52)*SQRT(245),"")</f>
        <v>0.240561494722916</v>
      </c>
      <c r="M52" s="52" t="str">
        <f aca="false">IF(AND(ISNUMBER($G52),$G52&gt;=60),MAX(INDEX($D$5:$D52,49-60):$D52),"")</f>
        <v/>
      </c>
      <c r="N52" s="52" t="str">
        <f aca="false">IF(AND(ISNUMBER($G52),$G52&gt;=60),MIN(INDEX($E$5:$E52,49-60):$E52),"")</f>
        <v/>
      </c>
      <c r="O52" s="53" t="str">
        <f aca="false">IF(OR(NOT(ISNUMBER($C52)),NOT(ISNUMBER($M52)),$M52=0),"",$C52/$M52-1)</f>
        <v/>
      </c>
    </row>
    <row r="53" customFormat="false" ht="15" hidden="false" customHeight="false" outlineLevel="0" collapsed="false">
      <c r="A53" s="47" t="n">
        <v>45636</v>
      </c>
      <c r="B53" s="48" t="s">
        <v>201</v>
      </c>
      <c r="C53" s="49" t="n">
        <v>3051</v>
      </c>
      <c r="D53" s="49" t="n">
        <v>3070</v>
      </c>
      <c r="E53" s="49" t="n">
        <v>3049</v>
      </c>
      <c r="F53" s="49" t="n">
        <v>0</v>
      </c>
      <c r="G53" s="50" t="n">
        <f aca="false">IF($A53="","",IF(ISNUMBER($G52),$G52+1,1))</f>
        <v>49</v>
      </c>
      <c r="H53" s="51" t="n">
        <f aca="false">IF(OR(NOT(ISNUMBER($G53)),$G53&lt;2,NOT(ISNUMBER($C52)),$C52=0),"",$C53/$C52-1)</f>
        <v>-0.00163612565445026</v>
      </c>
      <c r="I53" s="52" t="n">
        <f aca="false">IF(AND(ISNUMBER($G53),$G53&gt;=MA_SHORT),AVERAGE(INDEX($C$5:$C53,50-MA_SHORT):$C53),"")</f>
        <v>3128</v>
      </c>
      <c r="J53" s="52" t="str">
        <f aca="false">IF(AND(ISNUMBER($G53),$G53&gt;=MA_MED),AVERAGE(INDEX($C$5:$C53,50-MA_MED):$C53),"")</f>
        <v/>
      </c>
      <c r="K53" s="52" t="str">
        <f aca="false">IF(AND(ISNUMBER($G53),$G53&gt;=MA_LONG2),AVERAGE(INDEX($C$5:$C53,50-MA_LONG2):$C53),"")</f>
        <v/>
      </c>
      <c r="L53" s="53" t="n">
        <f aca="false">IF(AND(ISNUMBER($G53),$G53&gt;=21),STDEV(INDEX($H$5:$H53,50-20):$H53)*SQRT(245),"")</f>
        <v>0.221186565754076</v>
      </c>
      <c r="M53" s="52" t="str">
        <f aca="false">IF(AND(ISNUMBER($G53),$G53&gt;=60),MAX(INDEX($D$5:$D53,50-60):$D53),"")</f>
        <v/>
      </c>
      <c r="N53" s="52" t="str">
        <f aca="false">IF(AND(ISNUMBER($G53),$G53&gt;=60),MIN(INDEX($E$5:$E53,50-60):$E53),"")</f>
        <v/>
      </c>
      <c r="O53" s="53" t="str">
        <f aca="false">IF(OR(NOT(ISNUMBER($C53)),NOT(ISNUMBER($M53)),$M53=0),"",$C53/$M53-1)</f>
        <v/>
      </c>
    </row>
    <row r="54" customFormat="false" ht="15" hidden="false" customHeight="false" outlineLevel="0" collapsed="false">
      <c r="A54" s="47" t="n">
        <v>45637</v>
      </c>
      <c r="B54" s="48" t="s">
        <v>202</v>
      </c>
      <c r="C54" s="49" t="n">
        <v>3111</v>
      </c>
      <c r="D54" s="49" t="n">
        <v>3128</v>
      </c>
      <c r="E54" s="49" t="n">
        <v>3102</v>
      </c>
      <c r="F54" s="49" t="n">
        <v>0</v>
      </c>
      <c r="G54" s="50" t="n">
        <f aca="false">IF($A54="","",IF(ISNUMBER($G53),$G53+1,1))</f>
        <v>50</v>
      </c>
      <c r="H54" s="51" t="n">
        <f aca="false">IF(OR(NOT(ISNUMBER($G54)),$G54&lt;2,NOT(ISNUMBER($C53)),$C53=0),"",$C54/$C53-1)</f>
        <v>0.0196656833824975</v>
      </c>
      <c r="I54" s="52" t="n">
        <f aca="false">IF(AND(ISNUMBER($G54),$G54&gt;=MA_SHORT),AVERAGE(INDEX($C$5:$C54,51-MA_SHORT):$C54),"")</f>
        <v>3126.55</v>
      </c>
      <c r="J54" s="52" t="n">
        <f aca="false">IF(AND(ISNUMBER($G54),$G54&gt;=MA_MED),AVERAGE(INDEX($C$5:$C54,51-MA_MED):$C54),"")</f>
        <v>3216.8</v>
      </c>
      <c r="K54" s="52" t="str">
        <f aca="false">IF(AND(ISNUMBER($G54),$G54&gt;=MA_LONG2),AVERAGE(INDEX($C$5:$C54,51-MA_LONG2):$C54),"")</f>
        <v/>
      </c>
      <c r="L54" s="53" t="n">
        <f aca="false">IF(AND(ISNUMBER($G54),$G54&gt;=21),STDEV(INDEX($H$5:$H54,51-20):$H54)*SQRT(245),"")</f>
        <v>0.220582005383268</v>
      </c>
      <c r="M54" s="52" t="str">
        <f aca="false">IF(AND(ISNUMBER($G54),$G54&gt;=60),MAX(INDEX($D$5:$D54,51-60):$D54),"")</f>
        <v/>
      </c>
      <c r="N54" s="52" t="str">
        <f aca="false">IF(AND(ISNUMBER($G54),$G54&gt;=60),MIN(INDEX($E$5:$E54,51-60):$E54),"")</f>
        <v/>
      </c>
      <c r="O54" s="53" t="str">
        <f aca="false">IF(OR(NOT(ISNUMBER($C54)),NOT(ISNUMBER($M54)),$M54=0),"",$C54/$M54-1)</f>
        <v/>
      </c>
    </row>
    <row r="55" customFormat="false" ht="15" hidden="false" customHeight="false" outlineLevel="0" collapsed="false">
      <c r="A55" s="47" t="n">
        <v>45640</v>
      </c>
      <c r="B55" s="48" t="s">
        <v>203</v>
      </c>
      <c r="C55" s="49" t="n">
        <v>3132</v>
      </c>
      <c r="D55" s="49" t="n">
        <v>3139</v>
      </c>
      <c r="E55" s="49" t="n">
        <v>3130</v>
      </c>
      <c r="F55" s="49" t="n">
        <v>0</v>
      </c>
      <c r="G55" s="50" t="n">
        <f aca="false">IF($A55="","",IF(ISNUMBER($G54),$G54+1,1))</f>
        <v>51</v>
      </c>
      <c r="H55" s="51" t="n">
        <f aca="false">IF(OR(NOT(ISNUMBER($G55)),$G55&lt;2,NOT(ISNUMBER($C54)),$C54=0),"",$C55/$C54-1)</f>
        <v>0.00675024108003863</v>
      </c>
      <c r="I55" s="52" t="n">
        <f aca="false">IF(AND(ISNUMBER($G55),$G55&gt;=MA_SHORT),AVERAGE(INDEX($C$5:$C55,52-MA_SHORT):$C55),"")</f>
        <v>3126.25</v>
      </c>
      <c r="J55" s="52" t="n">
        <f aca="false">IF(AND(ISNUMBER($G55),$G55&gt;=MA_MED),AVERAGE(INDEX($C$5:$C55,52-MA_MED):$C55),"")</f>
        <v>3212.1</v>
      </c>
      <c r="K55" s="52" t="str">
        <f aca="false">IF(AND(ISNUMBER($G55),$G55&gt;=MA_LONG2),AVERAGE(INDEX($C$5:$C55,52-MA_LONG2):$C55),"")</f>
        <v/>
      </c>
      <c r="L55" s="53" t="n">
        <f aca="false">IF(AND(ISNUMBER($G55),$G55&gt;=21),STDEV(INDEX($H$5:$H55,52-20):$H55)*SQRT(245),"")</f>
        <v>0.221977364874186</v>
      </c>
      <c r="M55" s="52" t="str">
        <f aca="false">IF(AND(ISNUMBER($G55),$G55&gt;=60),MAX(INDEX($D$5:$D55,52-60):$D55),"")</f>
        <v/>
      </c>
      <c r="N55" s="52" t="str">
        <f aca="false">IF(AND(ISNUMBER($G55),$G55&gt;=60),MIN(INDEX($E$5:$E55,52-60):$E55),"")</f>
        <v/>
      </c>
      <c r="O55" s="53" t="str">
        <f aca="false">IF(OR(NOT(ISNUMBER($C55)),NOT(ISNUMBER($M55)),$M55=0),"",$C55/$M55-1)</f>
        <v/>
      </c>
    </row>
    <row r="56" customFormat="false" ht="15" hidden="false" customHeight="false" outlineLevel="0" collapsed="false">
      <c r="A56" s="47" t="n">
        <v>45641</v>
      </c>
      <c r="B56" s="48" t="s">
        <v>204</v>
      </c>
      <c r="C56" s="49" t="n">
        <v>3089</v>
      </c>
      <c r="D56" s="49" t="n">
        <v>3095</v>
      </c>
      <c r="E56" s="49" t="n">
        <v>3081</v>
      </c>
      <c r="F56" s="49" t="n">
        <v>0</v>
      </c>
      <c r="G56" s="50" t="n">
        <f aca="false">IF($A56="","",IF(ISNUMBER($G55),$G55+1,1))</f>
        <v>52</v>
      </c>
      <c r="H56" s="51" t="n">
        <f aca="false">IF(OR(NOT(ISNUMBER($G56)),$G56&lt;2,NOT(ISNUMBER($C55)),$C55=0),"",$C56/$C55-1)</f>
        <v>-0.0137292464878672</v>
      </c>
      <c r="I56" s="52" t="n">
        <f aca="false">IF(AND(ISNUMBER($G56),$G56&gt;=MA_SHORT),AVERAGE(INDEX($C$5:$C56,53-MA_SHORT):$C56),"")</f>
        <v>3119.05</v>
      </c>
      <c r="J56" s="52" t="n">
        <f aca="false">IF(AND(ISNUMBER($G56),$G56&gt;=MA_MED),AVERAGE(INDEX($C$5:$C56,53-MA_MED):$C56),"")</f>
        <v>3205.7</v>
      </c>
      <c r="K56" s="52" t="str">
        <f aca="false">IF(AND(ISNUMBER($G56),$G56&gt;=MA_LONG2),AVERAGE(INDEX($C$5:$C56,53-MA_LONG2):$C56),"")</f>
        <v/>
      </c>
      <c r="L56" s="53" t="n">
        <f aca="false">IF(AND(ISNUMBER($G56),$G56&gt;=21),STDEV(INDEX($H$5:$H56,53-20):$H56)*SQRT(245),"")</f>
        <v>0.196564825637427</v>
      </c>
      <c r="M56" s="52" t="str">
        <f aca="false">IF(AND(ISNUMBER($G56),$G56&gt;=60),MAX(INDEX($D$5:$D56,53-60):$D56),"")</f>
        <v/>
      </c>
      <c r="N56" s="52" t="str">
        <f aca="false">IF(AND(ISNUMBER($G56),$G56&gt;=60),MIN(INDEX($E$5:$E56,53-60):$E56),"")</f>
        <v/>
      </c>
      <c r="O56" s="53" t="str">
        <f aca="false">IF(OR(NOT(ISNUMBER($C56)),NOT(ISNUMBER($M56)),$M56=0),"",$C56/$M56-1)</f>
        <v/>
      </c>
    </row>
    <row r="57" customFormat="false" ht="15" hidden="false" customHeight="false" outlineLevel="0" collapsed="false">
      <c r="A57" s="47" t="n">
        <v>45642</v>
      </c>
      <c r="B57" s="48" t="s">
        <v>205</v>
      </c>
      <c r="C57" s="49" t="n">
        <v>3075</v>
      </c>
      <c r="D57" s="49" t="n">
        <v>3084</v>
      </c>
      <c r="E57" s="49" t="n">
        <v>3062</v>
      </c>
      <c r="F57" s="49" t="n">
        <v>0</v>
      </c>
      <c r="G57" s="50" t="n">
        <f aca="false">IF($A57="","",IF(ISNUMBER($G56),$G56+1,1))</f>
        <v>53</v>
      </c>
      <c r="H57" s="51" t="n">
        <f aca="false">IF(OR(NOT(ISNUMBER($G57)),$G57&lt;2,NOT(ISNUMBER($C56)),$C56=0),"",$C57/$C56-1)</f>
        <v>-0.00453221107154422</v>
      </c>
      <c r="I57" s="52" t="n">
        <f aca="false">IF(AND(ISNUMBER($G57),$G57&gt;=MA_SHORT),AVERAGE(INDEX($C$5:$C57,54-MA_SHORT):$C57),"")</f>
        <v>3112.45</v>
      </c>
      <c r="J57" s="52" t="n">
        <f aca="false">IF(AND(ISNUMBER($G57),$G57&gt;=MA_MED),AVERAGE(INDEX($C$5:$C57,54-MA_MED):$C57),"")</f>
        <v>3199.96</v>
      </c>
      <c r="K57" s="52" t="str">
        <f aca="false">IF(AND(ISNUMBER($G57),$G57&gt;=MA_LONG2),AVERAGE(INDEX($C$5:$C57,54-MA_LONG2):$C57),"")</f>
        <v/>
      </c>
      <c r="L57" s="53" t="n">
        <f aca="false">IF(AND(ISNUMBER($G57),$G57&gt;=21),STDEV(INDEX($H$5:$H57,54-20):$H57)*SQRT(245),"")</f>
        <v>0.195601265745045</v>
      </c>
      <c r="M57" s="52" t="str">
        <f aca="false">IF(AND(ISNUMBER($G57),$G57&gt;=60),MAX(INDEX($D$5:$D57,54-60):$D57),"")</f>
        <v/>
      </c>
      <c r="N57" s="52" t="str">
        <f aca="false">IF(AND(ISNUMBER($G57),$G57&gt;=60),MIN(INDEX($E$5:$E57,54-60):$E57),"")</f>
        <v/>
      </c>
      <c r="O57" s="53" t="str">
        <f aca="false">IF(OR(NOT(ISNUMBER($C57)),NOT(ISNUMBER($M57)),$M57=0),"",$C57/$M57-1)</f>
        <v/>
      </c>
    </row>
    <row r="58" customFormat="false" ht="15" hidden="false" customHeight="false" outlineLevel="0" collapsed="false">
      <c r="A58" s="47" t="n">
        <v>45643</v>
      </c>
      <c r="B58" s="48" t="s">
        <v>206</v>
      </c>
      <c r="C58" s="49" t="n">
        <v>3083</v>
      </c>
      <c r="D58" s="49" t="n">
        <v>3100</v>
      </c>
      <c r="E58" s="49" t="n">
        <v>3072</v>
      </c>
      <c r="F58" s="49" t="n">
        <v>0</v>
      </c>
      <c r="G58" s="50" t="n">
        <f aca="false">IF($A58="","",IF(ISNUMBER($G57),$G57+1,1))</f>
        <v>54</v>
      </c>
      <c r="H58" s="51" t="n">
        <f aca="false">IF(OR(NOT(ISNUMBER($G58)),$G58&lt;2,NOT(ISNUMBER($C57)),$C57=0),"",$C58/$C57-1)</f>
        <v>0.00260162601626024</v>
      </c>
      <c r="I58" s="52" t="n">
        <f aca="false">IF(AND(ISNUMBER($G58),$G58&gt;=MA_SHORT),AVERAGE(INDEX($C$5:$C58,55-MA_SHORT):$C58),"")</f>
        <v>3108.45</v>
      </c>
      <c r="J58" s="52" t="n">
        <f aca="false">IF(AND(ISNUMBER($G58),$G58&gt;=MA_MED),AVERAGE(INDEX($C$5:$C58,55-MA_MED):$C58),"")</f>
        <v>3194.2</v>
      </c>
      <c r="K58" s="52" t="str">
        <f aca="false">IF(AND(ISNUMBER($G58),$G58&gt;=MA_LONG2),AVERAGE(INDEX($C$5:$C58,55-MA_LONG2):$C58),"")</f>
        <v/>
      </c>
      <c r="L58" s="53" t="n">
        <f aca="false">IF(AND(ISNUMBER($G58),$G58&gt;=21),STDEV(INDEX($H$5:$H58,55-20):$H58)*SQRT(245),"")</f>
        <v>0.191312247621697</v>
      </c>
      <c r="M58" s="52" t="str">
        <f aca="false">IF(AND(ISNUMBER($G58),$G58&gt;=60),MAX(INDEX($D$5:$D58,55-60):$D58),"")</f>
        <v/>
      </c>
      <c r="N58" s="52" t="str">
        <f aca="false">IF(AND(ISNUMBER($G58),$G58&gt;=60),MIN(INDEX($E$5:$E58,55-60):$E58),"")</f>
        <v/>
      </c>
      <c r="O58" s="53" t="str">
        <f aca="false">IF(OR(NOT(ISNUMBER($C58)),NOT(ISNUMBER($M58)),$M58=0),"",$C58/$M58-1)</f>
        <v/>
      </c>
    </row>
    <row r="59" customFormat="false" ht="15" hidden="false" customHeight="false" outlineLevel="0" collapsed="false">
      <c r="A59" s="47" t="n">
        <v>45644</v>
      </c>
      <c r="B59" s="48" t="s">
        <v>207</v>
      </c>
      <c r="C59" s="49" t="n">
        <v>3012</v>
      </c>
      <c r="D59" s="49" t="n">
        <v>3019</v>
      </c>
      <c r="E59" s="49" t="n">
        <v>2997</v>
      </c>
      <c r="F59" s="49" t="n">
        <v>0</v>
      </c>
      <c r="G59" s="50" t="n">
        <f aca="false">IF($A59="","",IF(ISNUMBER($G58),$G58+1,1))</f>
        <v>55</v>
      </c>
      <c r="H59" s="51" t="n">
        <f aca="false">IF(OR(NOT(ISNUMBER($G59)),$G59&lt;2,NOT(ISNUMBER($C58)),$C58=0),"",$C59/$C58-1)</f>
        <v>-0.0230295167045086</v>
      </c>
      <c r="I59" s="52" t="n">
        <f aca="false">IF(AND(ISNUMBER($G59),$G59&gt;=MA_SHORT),AVERAGE(INDEX($C$5:$C59,56-MA_SHORT):$C59),"")</f>
        <v>3100.25</v>
      </c>
      <c r="J59" s="52" t="n">
        <f aca="false">IF(AND(ISNUMBER($G59),$G59&gt;=MA_MED),AVERAGE(INDEX($C$5:$C59,56-MA_MED):$C59),"")</f>
        <v>3188.38</v>
      </c>
      <c r="K59" s="52" t="str">
        <f aca="false">IF(AND(ISNUMBER($G59),$G59&gt;=MA_LONG2),AVERAGE(INDEX($C$5:$C59,56-MA_LONG2):$C59),"")</f>
        <v/>
      </c>
      <c r="L59" s="53" t="n">
        <f aca="false">IF(AND(ISNUMBER($G59),$G59&gt;=21),STDEV(INDEX($H$5:$H59,56-20):$H59)*SQRT(245),"")</f>
        <v>0.204696179810012</v>
      </c>
      <c r="M59" s="52" t="str">
        <f aca="false">IF(AND(ISNUMBER($G59),$G59&gt;=60),MAX(INDEX($D$5:$D59,56-60):$D59),"")</f>
        <v/>
      </c>
      <c r="N59" s="52" t="str">
        <f aca="false">IF(AND(ISNUMBER($G59),$G59&gt;=60),MIN(INDEX($E$5:$E59,56-60):$E59),"")</f>
        <v/>
      </c>
      <c r="O59" s="53" t="str">
        <f aca="false">IF(OR(NOT(ISNUMBER($C59)),NOT(ISNUMBER($M59)),$M59=0),"",$C59/$M59-1)</f>
        <v/>
      </c>
    </row>
    <row r="60" customFormat="false" ht="15" hidden="false" customHeight="false" outlineLevel="0" collapsed="false">
      <c r="A60" s="47" t="n">
        <v>45647</v>
      </c>
      <c r="B60" s="48" t="s">
        <v>208</v>
      </c>
      <c r="C60" s="49" t="n">
        <v>2974</v>
      </c>
      <c r="D60" s="49" t="n">
        <v>2990</v>
      </c>
      <c r="E60" s="49" t="n">
        <v>2973</v>
      </c>
      <c r="F60" s="49" t="n">
        <v>0</v>
      </c>
      <c r="G60" s="50" t="n">
        <f aca="false">IF($A60="","",IF(ISNUMBER($G59),$G59+1,1))</f>
        <v>56</v>
      </c>
      <c r="H60" s="51" t="n">
        <f aca="false">IF(OR(NOT(ISNUMBER($G60)),$G60&lt;2,NOT(ISNUMBER($C59)),$C59=0),"",$C60/$C59-1)</f>
        <v>-0.0126162018592297</v>
      </c>
      <c r="I60" s="52" t="n">
        <f aca="false">IF(AND(ISNUMBER($G60),$G60&gt;=MA_SHORT),AVERAGE(INDEX($C$5:$C60,57-MA_SHORT):$C60),"")</f>
        <v>3092.9</v>
      </c>
      <c r="J60" s="52" t="n">
        <f aca="false">IF(AND(ISNUMBER($G60),$G60&gt;=MA_MED),AVERAGE(INDEX($C$5:$C60,57-MA_MED):$C60),"")</f>
        <v>3181.52</v>
      </c>
      <c r="K60" s="52" t="str">
        <f aca="false">IF(AND(ISNUMBER($G60),$G60&gt;=MA_LONG2),AVERAGE(INDEX($C$5:$C60,57-MA_LONG2):$C60),"")</f>
        <v/>
      </c>
      <c r="L60" s="53" t="n">
        <f aca="false">IF(AND(ISNUMBER($G60),$G60&gt;=21),STDEV(INDEX($H$5:$H60,57-20):$H60)*SQRT(245),"")</f>
        <v>0.200954604304498</v>
      </c>
      <c r="M60" s="52" t="str">
        <f aca="false">IF(AND(ISNUMBER($G60),$G60&gt;=60),MAX(INDEX($D$5:$D60,57-60):$D60),"")</f>
        <v/>
      </c>
      <c r="N60" s="52" t="str">
        <f aca="false">IF(AND(ISNUMBER($G60),$G60&gt;=60),MIN(INDEX($E$5:$E60,57-60):$E60),"")</f>
        <v/>
      </c>
      <c r="O60" s="53" t="str">
        <f aca="false">IF(OR(NOT(ISNUMBER($C60)),NOT(ISNUMBER($M60)),$M60=0),"",$C60/$M60-1)</f>
        <v/>
      </c>
    </row>
    <row r="61" customFormat="false" ht="15" hidden="false" customHeight="false" outlineLevel="0" collapsed="false">
      <c r="A61" s="47" t="n">
        <v>45648</v>
      </c>
      <c r="B61" s="48" t="s">
        <v>209</v>
      </c>
      <c r="C61" s="49" t="n">
        <v>2997</v>
      </c>
      <c r="D61" s="49" t="n">
        <v>3024</v>
      </c>
      <c r="E61" s="49" t="n">
        <v>2983</v>
      </c>
      <c r="F61" s="49" t="n">
        <v>0</v>
      </c>
      <c r="G61" s="50" t="n">
        <f aca="false">IF($A61="","",IF(ISNUMBER($G60),$G60+1,1))</f>
        <v>57</v>
      </c>
      <c r="H61" s="51" t="n">
        <f aca="false">IF(OR(NOT(ISNUMBER($G61)),$G61&lt;2,NOT(ISNUMBER($C60)),$C60=0),"",$C61/$C60-1)</f>
        <v>0.00773369199731011</v>
      </c>
      <c r="I61" s="52" t="n">
        <f aca="false">IF(AND(ISNUMBER($G61),$G61&gt;=MA_SHORT),AVERAGE(INDEX($C$5:$C61,58-MA_SHORT):$C61),"")</f>
        <v>3085.15</v>
      </c>
      <c r="J61" s="52" t="n">
        <f aca="false">IF(AND(ISNUMBER($G61),$G61&gt;=MA_MED),AVERAGE(INDEX($C$5:$C61,58-MA_MED):$C61),"")</f>
        <v>3175.34</v>
      </c>
      <c r="K61" s="52" t="str">
        <f aca="false">IF(AND(ISNUMBER($G61),$G61&gt;=MA_LONG2),AVERAGE(INDEX($C$5:$C61,58-MA_LONG2):$C61),"")</f>
        <v/>
      </c>
      <c r="L61" s="53" t="n">
        <f aca="false">IF(AND(ISNUMBER($G61),$G61&gt;=21),STDEV(INDEX($H$5:$H61,58-20):$H61)*SQRT(245),"")</f>
        <v>0.199365286483314</v>
      </c>
      <c r="M61" s="52" t="str">
        <f aca="false">IF(AND(ISNUMBER($G61),$G61&gt;=60),MAX(INDEX($D$5:$D61,58-60):$D61),"")</f>
        <v/>
      </c>
      <c r="N61" s="52" t="str">
        <f aca="false">IF(AND(ISNUMBER($G61),$G61&gt;=60),MIN(INDEX($E$5:$E61,58-60):$E61),"")</f>
        <v/>
      </c>
      <c r="O61" s="53" t="str">
        <f aca="false">IF(OR(NOT(ISNUMBER($C61)),NOT(ISNUMBER($M61)),$M61=0),"",$C61/$M61-1)</f>
        <v/>
      </c>
    </row>
    <row r="62" customFormat="false" ht="15" hidden="false" customHeight="false" outlineLevel="0" collapsed="false">
      <c r="A62" s="47" t="n">
        <v>45649</v>
      </c>
      <c r="B62" s="48" t="s">
        <v>210</v>
      </c>
      <c r="C62" s="49" t="n">
        <v>2945</v>
      </c>
      <c r="D62" s="49" t="n">
        <v>2947</v>
      </c>
      <c r="E62" s="49" t="n">
        <v>2943</v>
      </c>
      <c r="F62" s="49" t="n">
        <v>0</v>
      </c>
      <c r="G62" s="50" t="n">
        <f aca="false">IF($A62="","",IF(ISNUMBER($G61),$G61+1,1))</f>
        <v>58</v>
      </c>
      <c r="H62" s="51" t="n">
        <f aca="false">IF(OR(NOT(ISNUMBER($G62)),$G62&lt;2,NOT(ISNUMBER($C61)),$C61=0),"",$C62/$C61-1)</f>
        <v>-0.0173506840173507</v>
      </c>
      <c r="I62" s="52" t="n">
        <f aca="false">IF(AND(ISNUMBER($G62),$G62&gt;=MA_SHORT),AVERAGE(INDEX($C$5:$C62,59-MA_SHORT):$C62),"")</f>
        <v>3073.35</v>
      </c>
      <c r="J62" s="52" t="n">
        <f aca="false">IF(AND(ISNUMBER($G62),$G62&gt;=MA_MED),AVERAGE(INDEX($C$5:$C62,59-MA_MED):$C62),"")</f>
        <v>3168.14</v>
      </c>
      <c r="K62" s="52" t="str">
        <f aca="false">IF(AND(ISNUMBER($G62),$G62&gt;=MA_LONG2),AVERAGE(INDEX($C$5:$C62,59-MA_LONG2):$C62),"")</f>
        <v/>
      </c>
      <c r="L62" s="53" t="n">
        <f aca="false">IF(AND(ISNUMBER($G62),$G62&gt;=21),STDEV(INDEX($H$5:$H62,59-20):$H62)*SQRT(245),"")</f>
        <v>0.201025444567991</v>
      </c>
      <c r="M62" s="52" t="str">
        <f aca="false">IF(AND(ISNUMBER($G62),$G62&gt;=60),MAX(INDEX($D$5:$D62,59-60):$D62),"")</f>
        <v/>
      </c>
      <c r="N62" s="52" t="str">
        <f aca="false">IF(AND(ISNUMBER($G62),$G62&gt;=60),MIN(INDEX($E$5:$E62,59-60):$E62),"")</f>
        <v/>
      </c>
      <c r="O62" s="53" t="str">
        <f aca="false">IF(OR(NOT(ISNUMBER($C62)),NOT(ISNUMBER($M62)),$M62=0),"",$C62/$M62-1)</f>
        <v/>
      </c>
    </row>
    <row r="63" customFormat="false" ht="15" hidden="false" customHeight="false" outlineLevel="0" collapsed="false">
      <c r="A63" s="47" t="n">
        <v>45650</v>
      </c>
      <c r="B63" s="48" t="s">
        <v>211</v>
      </c>
      <c r="C63" s="49" t="n">
        <v>3009</v>
      </c>
      <c r="D63" s="49" t="n">
        <v>3024</v>
      </c>
      <c r="E63" s="49" t="n">
        <v>3001</v>
      </c>
      <c r="F63" s="49" t="n">
        <v>0</v>
      </c>
      <c r="G63" s="50" t="n">
        <f aca="false">IF($A63="","",IF(ISNUMBER($G62),$G62+1,1))</f>
        <v>59</v>
      </c>
      <c r="H63" s="51" t="n">
        <f aca="false">IF(OR(NOT(ISNUMBER($G63)),$G63&lt;2,NOT(ISNUMBER($C62)),$C62=0),"",$C63/$C62-1)</f>
        <v>0.0217317487266553</v>
      </c>
      <c r="I63" s="52" t="n">
        <f aca="false">IF(AND(ISNUMBER($G63),$G63&gt;=MA_SHORT),AVERAGE(INDEX($C$5:$C63,60-MA_SHORT):$C63),"")</f>
        <v>3064.25</v>
      </c>
      <c r="J63" s="52" t="n">
        <f aca="false">IF(AND(ISNUMBER($G63),$G63&gt;=MA_MED),AVERAGE(INDEX($C$5:$C63,60-MA_MED):$C63),"")</f>
        <v>3163.28</v>
      </c>
      <c r="K63" s="52" t="str">
        <f aca="false">IF(AND(ISNUMBER($G63),$G63&gt;=MA_LONG2),AVERAGE(INDEX($C$5:$C63,60-MA_LONG2):$C63),"")</f>
        <v/>
      </c>
      <c r="L63" s="53" t="n">
        <f aca="false">IF(AND(ISNUMBER($G63),$G63&gt;=21),STDEV(INDEX($H$5:$H63,60-20):$H63)*SQRT(245),"")</f>
        <v>0.218991233437544</v>
      </c>
      <c r="M63" s="52" t="str">
        <f aca="false">IF(AND(ISNUMBER($G63),$G63&gt;=60),MAX(INDEX($D$5:$D63,60-60):$D63),"")</f>
        <v/>
      </c>
      <c r="N63" s="52" t="str">
        <f aca="false">IF(AND(ISNUMBER($G63),$G63&gt;=60),MIN(INDEX($E$5:$E63,60-60):$E63),"")</f>
        <v/>
      </c>
      <c r="O63" s="53" t="str">
        <f aca="false">IF(OR(NOT(ISNUMBER($C63)),NOT(ISNUMBER($M63)),$M63=0),"",$C63/$M63-1)</f>
        <v/>
      </c>
    </row>
    <row r="64" customFormat="false" ht="15" hidden="false" customHeight="false" outlineLevel="0" collapsed="false">
      <c r="A64" s="47" t="n">
        <v>45651</v>
      </c>
      <c r="B64" s="48" t="s">
        <v>212</v>
      </c>
      <c r="C64" s="49" t="n">
        <v>2931</v>
      </c>
      <c r="D64" s="49" t="n">
        <v>2938</v>
      </c>
      <c r="E64" s="49" t="n">
        <v>2926</v>
      </c>
      <c r="F64" s="49" t="n">
        <v>0</v>
      </c>
      <c r="G64" s="50" t="n">
        <f aca="false">IF($A64="","",IF(ISNUMBER($G63),$G63+1,1))</f>
        <v>60</v>
      </c>
      <c r="H64" s="51" t="n">
        <f aca="false">IF(OR(NOT(ISNUMBER($G64)),$G64&lt;2,NOT(ISNUMBER($C63)),$C63=0),"",$C64/$C63-1)</f>
        <v>-0.0259222333000997</v>
      </c>
      <c r="I64" s="52" t="n">
        <f aca="false">IF(AND(ISNUMBER($G64),$G64&gt;=MA_SHORT),AVERAGE(INDEX($C$5:$C64,61-MA_SHORT):$C64),"")</f>
        <v>3050.9</v>
      </c>
      <c r="J64" s="52" t="n">
        <f aca="false">IF(AND(ISNUMBER($G64),$G64&gt;=MA_MED),AVERAGE(INDEX($C$5:$C64,61-MA_MED):$C64),"")</f>
        <v>3156.62</v>
      </c>
      <c r="K64" s="52" t="str">
        <f aca="false">IF(AND(ISNUMBER($G64),$G64&gt;=MA_LONG2),AVERAGE(INDEX($C$5:$C64,61-MA_LONG2):$C64),"")</f>
        <v/>
      </c>
      <c r="L64" s="53" t="n">
        <f aca="false">IF(AND(ISNUMBER($G64),$G64&gt;=21),STDEV(INDEX($H$5:$H64,61-20):$H64)*SQRT(245),"")</f>
        <v>0.232361530415973</v>
      </c>
      <c r="M64" s="52" t="n">
        <f aca="false">IF(AND(ISNUMBER($G64),$G64&gt;=60),MAX(INDEX($D$5:$D64,61-60):$D64),"")</f>
        <v>3420</v>
      </c>
      <c r="N64" s="52" t="n">
        <f aca="false">IF(AND(ISNUMBER($G64),$G64&gt;=60),MIN(INDEX($E$5:$E64,61-60):$E64),"")</f>
        <v>2926</v>
      </c>
      <c r="O64" s="53" t="n">
        <f aca="false">IF(OR(NOT(ISNUMBER($C64)),NOT(ISNUMBER($M64)),$M64=0),"",$C64/$M64-1)</f>
        <v>-0.142982456140351</v>
      </c>
    </row>
    <row r="65" customFormat="false" ht="15" hidden="false" customHeight="false" outlineLevel="0" collapsed="false">
      <c r="A65" s="47" t="n">
        <v>45654</v>
      </c>
      <c r="B65" s="48" t="s">
        <v>213</v>
      </c>
      <c r="C65" s="49" t="n">
        <v>2986</v>
      </c>
      <c r="D65" s="49" t="n">
        <v>2987</v>
      </c>
      <c r="E65" s="49" t="n">
        <v>2984</v>
      </c>
      <c r="F65" s="49" t="n">
        <v>0</v>
      </c>
      <c r="G65" s="50" t="n">
        <f aca="false">IF($A65="","",IF(ISNUMBER($G64),$G64+1,1))</f>
        <v>61</v>
      </c>
      <c r="H65" s="51" t="n">
        <f aca="false">IF(OR(NOT(ISNUMBER($G65)),$G65&lt;2,NOT(ISNUMBER($C64)),$C64=0),"",$C65/$C64-1)</f>
        <v>0.0187649266461958</v>
      </c>
      <c r="I65" s="52" t="n">
        <f aca="false">IF(AND(ISNUMBER($G65),$G65&gt;=MA_SHORT),AVERAGE(INDEX($C$5:$C65,62-MA_SHORT):$C65),"")</f>
        <v>3044.75</v>
      </c>
      <c r="J65" s="52" t="n">
        <f aca="false">IF(AND(ISNUMBER($G65),$G65&gt;=MA_MED),AVERAGE(INDEX($C$5:$C65,62-MA_MED):$C65),"")</f>
        <v>3150.62</v>
      </c>
      <c r="K65" s="52" t="str">
        <f aca="false">IF(AND(ISNUMBER($G65),$G65&gt;=MA_LONG2),AVERAGE(INDEX($C$5:$C65,62-MA_LONG2):$C65),"")</f>
        <v/>
      </c>
      <c r="L65" s="53" t="n">
        <f aca="false">IF(AND(ISNUMBER($G65),$G65&gt;=21),STDEV(INDEX($H$5:$H65,62-20):$H65)*SQRT(245),"")</f>
        <v>0.228573975284994</v>
      </c>
      <c r="M65" s="52" t="n">
        <f aca="false">IF(AND(ISNUMBER($G65),$G65&gt;=60),MAX(INDEX($D$5:$D65,62-60):$D65),"")</f>
        <v>3420</v>
      </c>
      <c r="N65" s="52" t="n">
        <f aca="false">IF(AND(ISNUMBER($G65),$G65&gt;=60),MIN(INDEX($E$5:$E65,62-60):$E65),"")</f>
        <v>2926</v>
      </c>
      <c r="O65" s="53" t="n">
        <f aca="false">IF(OR(NOT(ISNUMBER($C65)),NOT(ISNUMBER($M65)),$M65=0),"",$C65/$M65-1)</f>
        <v>-0.126900584795322</v>
      </c>
    </row>
    <row r="66" customFormat="false" ht="15" hidden="false" customHeight="false" outlineLevel="0" collapsed="false">
      <c r="A66" s="47" t="n">
        <v>45655</v>
      </c>
      <c r="B66" s="48" t="s">
        <v>214</v>
      </c>
      <c r="C66" s="49" t="n">
        <v>2942</v>
      </c>
      <c r="D66" s="49" t="n">
        <v>2942</v>
      </c>
      <c r="E66" s="49" t="n">
        <v>2928</v>
      </c>
      <c r="F66" s="49" t="n">
        <v>0</v>
      </c>
      <c r="G66" s="50" t="n">
        <f aca="false">IF($A66="","",IF(ISNUMBER($G65),$G65+1,1))</f>
        <v>62</v>
      </c>
      <c r="H66" s="51" t="n">
        <f aca="false">IF(OR(NOT(ISNUMBER($G66)),$G66&lt;2,NOT(ISNUMBER($C65)),$C65=0),"",$C66/$C65-1)</f>
        <v>-0.014735432016075</v>
      </c>
      <c r="I66" s="52" t="n">
        <f aca="false">IF(AND(ISNUMBER($G66),$G66&gt;=MA_SHORT),AVERAGE(INDEX($C$5:$C66,63-MA_SHORT):$C66),"")</f>
        <v>3040.1</v>
      </c>
      <c r="J66" s="52" t="n">
        <f aca="false">IF(AND(ISNUMBER($G66),$G66&gt;=MA_MED),AVERAGE(INDEX($C$5:$C66,63-MA_MED):$C66),"")</f>
        <v>3144.34</v>
      </c>
      <c r="K66" s="52" t="str">
        <f aca="false">IF(AND(ISNUMBER($G66),$G66&gt;=MA_LONG2),AVERAGE(INDEX($C$5:$C66,63-MA_LONG2):$C66),"")</f>
        <v/>
      </c>
      <c r="L66" s="53" t="n">
        <f aca="false">IF(AND(ISNUMBER($G66),$G66&gt;=21),STDEV(INDEX($H$6:$H66,62-20):$H66)*SQRT(245),"")</f>
        <v>0.219397825110176</v>
      </c>
      <c r="M66" s="52" t="n">
        <f aca="false">IF(AND(ISNUMBER($G66),$G66&gt;=60),MAX(INDEX($D$5:$D66,63-60):$D66),"")</f>
        <v>3401</v>
      </c>
      <c r="N66" s="52" t="n">
        <f aca="false">IF(AND(ISNUMBER($G66),$G66&gt;=60),MIN(INDEX($E$5:$E66,63-60):$E66),"")</f>
        <v>2926</v>
      </c>
      <c r="O66" s="53" t="n">
        <f aca="false">IF(OR(NOT(ISNUMBER($C66)),NOT(ISNUMBER($M66)),$M66=0),"",$C66/$M66-1)</f>
        <v>-0.134960305792414</v>
      </c>
    </row>
    <row r="67" customFormat="false" ht="15" hidden="false" customHeight="false" outlineLevel="0" collapsed="false">
      <c r="A67" s="47" t="n">
        <v>45656</v>
      </c>
      <c r="B67" s="48" t="s">
        <v>215</v>
      </c>
      <c r="C67" s="49" t="n">
        <v>2913</v>
      </c>
      <c r="D67" s="49" t="n">
        <v>2916</v>
      </c>
      <c r="E67" s="49" t="n">
        <v>2906</v>
      </c>
      <c r="F67" s="49" t="n">
        <v>0</v>
      </c>
      <c r="G67" s="50" t="n">
        <f aca="false">IF($A67="","",IF(ISNUMBER($G66),$G66+1,1))</f>
        <v>63</v>
      </c>
      <c r="H67" s="51" t="n">
        <f aca="false">IF(OR(NOT(ISNUMBER($G67)),$G67&lt;2,NOT(ISNUMBER($C66)),$C66=0),"",$C67/$C66-1)</f>
        <v>-0.00985723997280763</v>
      </c>
      <c r="I67" s="52" t="n">
        <f aca="false">IF(AND(ISNUMBER($G67),$G67&gt;=MA_SHORT),AVERAGE(INDEX($C$5:$C67,64-MA_SHORT):$C67),"")</f>
        <v>3031.55</v>
      </c>
      <c r="J67" s="52" t="n">
        <f aca="false">IF(AND(ISNUMBER($G67),$G67&gt;=MA_MED),AVERAGE(INDEX($C$5:$C67,64-MA_MED):$C67),"")</f>
        <v>3139.12</v>
      </c>
      <c r="K67" s="52" t="str">
        <f aca="false">IF(AND(ISNUMBER($G67),$G67&gt;=MA_LONG2),AVERAGE(INDEX($C$5:$C67,64-MA_LONG2):$C67),"")</f>
        <v/>
      </c>
      <c r="L67" s="53" t="n">
        <f aca="false">IF(AND(ISNUMBER($G67),$G67&gt;=21),STDEV(INDEX($H$7:$H67,62-20):$H67)*SQRT(245),"")</f>
        <v>0.211213733775098</v>
      </c>
      <c r="M67" s="52" t="n">
        <f aca="false">IF(AND(ISNUMBER($G67),$G67&gt;=60),MAX(INDEX($D$5:$D67,64-60):$D67),"")</f>
        <v>3401</v>
      </c>
      <c r="N67" s="52" t="n">
        <f aca="false">IF(AND(ISNUMBER($G67),$G67&gt;=60),MIN(INDEX($E$5:$E67,64-60):$E67),"")</f>
        <v>2906</v>
      </c>
      <c r="O67" s="53" t="n">
        <f aca="false">IF(OR(NOT(ISNUMBER($C67)),NOT(ISNUMBER($M67)),$M67=0),"",$C67/$M67-1)</f>
        <v>-0.143487209644222</v>
      </c>
    </row>
    <row r="68" customFormat="false" ht="15" hidden="false" customHeight="false" outlineLevel="0" collapsed="false">
      <c r="A68" s="47" t="n">
        <v>45657</v>
      </c>
      <c r="B68" s="48" t="s">
        <v>216</v>
      </c>
      <c r="C68" s="49" t="n">
        <v>2950</v>
      </c>
      <c r="D68" s="49" t="n">
        <v>2951</v>
      </c>
      <c r="E68" s="49" t="n">
        <v>2944</v>
      </c>
      <c r="F68" s="49" t="n">
        <v>0</v>
      </c>
      <c r="G68" s="50" t="n">
        <f aca="false">IF($A68="","",IF(ISNUMBER($G67),$G67+1,1))</f>
        <v>64</v>
      </c>
      <c r="H68" s="51" t="n">
        <f aca="false">IF(OR(NOT(ISNUMBER($G68)),$G68&lt;2,NOT(ISNUMBER($C67)),$C67=0),"",$C68/$C67-1)</f>
        <v>0.0127016821146584</v>
      </c>
      <c r="I68" s="52" t="n">
        <f aca="false">IF(AND(ISNUMBER($G68),$G68&gt;=MA_SHORT),AVERAGE(INDEX($C$5:$C68,65-MA_SHORT):$C68),"")</f>
        <v>3024.55</v>
      </c>
      <c r="J68" s="52" t="n">
        <f aca="false">IF(AND(ISNUMBER($G68),$G68&gt;=MA_MED),AVERAGE(INDEX($C$5:$C68,65-MA_MED):$C68),"")</f>
        <v>3134.92</v>
      </c>
      <c r="K68" s="52" t="str">
        <f aca="false">IF(AND(ISNUMBER($G68),$G68&gt;=MA_LONG2),AVERAGE(INDEX($C$5:$C68,65-MA_LONG2):$C68),"")</f>
        <v/>
      </c>
      <c r="L68" s="53" t="n">
        <f aca="false">IF(AND(ISNUMBER($G68),$G68&gt;=21),STDEV(INDEX($H$8:$H68,62-20):$H68)*SQRT(245),"")</f>
        <v>0.217564308397705</v>
      </c>
      <c r="M68" s="52" t="n">
        <f aca="false">IF(AND(ISNUMBER($G68),$G68&gt;=60),MAX(INDEX($D$5:$D68,65-60):$D68),"")</f>
        <v>3401</v>
      </c>
      <c r="N68" s="52" t="n">
        <f aca="false">IF(AND(ISNUMBER($G68),$G68&gt;=60),MIN(INDEX($E$5:$E68,65-60):$E68),"")</f>
        <v>2906</v>
      </c>
      <c r="O68" s="53" t="n">
        <f aca="false">IF(OR(NOT(ISNUMBER($C68)),NOT(ISNUMBER($M68)),$M68=0),"",$C68/$M68-1)</f>
        <v>-0.132608056453984</v>
      </c>
    </row>
    <row r="69" customFormat="false" ht="15" hidden="false" customHeight="false" outlineLevel="0" collapsed="false">
      <c r="A69" s="47" t="n">
        <v>45658</v>
      </c>
      <c r="B69" s="48" t="s">
        <v>217</v>
      </c>
      <c r="C69" s="49" t="n">
        <v>2965</v>
      </c>
      <c r="D69" s="49" t="n">
        <v>2976</v>
      </c>
      <c r="E69" s="49" t="n">
        <v>2951</v>
      </c>
      <c r="F69" s="49" t="n">
        <v>0</v>
      </c>
      <c r="G69" s="50" t="n">
        <f aca="false">IF($A69="","",IF(ISNUMBER($G68),$G68+1,1))</f>
        <v>65</v>
      </c>
      <c r="H69" s="51" t="n">
        <f aca="false">IF(OR(NOT(ISNUMBER($G69)),$G69&lt;2,NOT(ISNUMBER($C68)),$C68=0),"",$C69/$C68-1)</f>
        <v>0.0050847457627119</v>
      </c>
      <c r="I69" s="52" t="n">
        <f aca="false">IF(AND(ISNUMBER($G69),$G69&gt;=MA_SHORT),AVERAGE(INDEX($C$5:$C69,66-MA_SHORT):$C69),"")</f>
        <v>3019.1</v>
      </c>
      <c r="J69" s="52" t="n">
        <f aca="false">IF(AND(ISNUMBER($G69),$G69&gt;=MA_MED),AVERAGE(INDEX($C$5:$C69,66-MA_MED):$C69),"")</f>
        <v>3130.36</v>
      </c>
      <c r="K69" s="52" t="str">
        <f aca="false">IF(AND(ISNUMBER($G69),$G69&gt;=MA_LONG2),AVERAGE(INDEX($C$5:$C69,66-MA_LONG2):$C69),"")</f>
        <v/>
      </c>
      <c r="L69" s="53" t="n">
        <f aca="false">IF(AND(ISNUMBER($G69),$G69&gt;=21),STDEV(INDEX($H$9:$H69,62-20):$H69)*SQRT(245),"")</f>
        <v>0.218729384320271</v>
      </c>
      <c r="M69" s="52" t="n">
        <f aca="false">IF(AND(ISNUMBER($G69),$G69&gt;=60),MAX(INDEX($D$5:$D69,66-60):$D69),"")</f>
        <v>3401</v>
      </c>
      <c r="N69" s="52" t="n">
        <f aca="false">IF(AND(ISNUMBER($G69),$G69&gt;=60),MIN(INDEX($E$5:$E69,66-60):$E69),"")</f>
        <v>2906</v>
      </c>
      <c r="O69" s="53" t="n">
        <f aca="false">IF(OR(NOT(ISNUMBER($C69)),NOT(ISNUMBER($M69)),$M69=0),"",$C69/$M69-1)</f>
        <v>-0.128197588944428</v>
      </c>
    </row>
    <row r="70" customFormat="false" ht="15" hidden="false" customHeight="false" outlineLevel="0" collapsed="false">
      <c r="A70" s="47" t="n">
        <v>45661</v>
      </c>
      <c r="B70" s="48" t="s">
        <v>218</v>
      </c>
      <c r="C70" s="49" t="n">
        <v>3018</v>
      </c>
      <c r="D70" s="49" t="n">
        <v>3023</v>
      </c>
      <c r="E70" s="49" t="n">
        <v>3006</v>
      </c>
      <c r="F70" s="49" t="n">
        <v>0</v>
      </c>
      <c r="G70" s="50" t="n">
        <f aca="false">IF($A70="","",IF(ISNUMBER($G69),$G69+1,1))</f>
        <v>66</v>
      </c>
      <c r="H70" s="51" t="n">
        <f aca="false">IF(OR(NOT(ISNUMBER($G70)),$G70&lt;2,NOT(ISNUMBER($C69)),$C69=0),"",$C70/$C69-1)</f>
        <v>0.0178752107925801</v>
      </c>
      <c r="I70" s="52" t="n">
        <f aca="false">IF(AND(ISNUMBER($G70),$G70&gt;=MA_SHORT),AVERAGE(INDEX($C$5:$C70,67-MA_SHORT):$C70),"")</f>
        <v>3016</v>
      </c>
      <c r="J70" s="52" t="n">
        <f aca="false">IF(AND(ISNUMBER($G70),$G70&gt;=MA_MED),AVERAGE(INDEX($C$5:$C70,67-MA_MED):$C70),"")</f>
        <v>3127.04</v>
      </c>
      <c r="K70" s="52" t="str">
        <f aca="false">IF(AND(ISNUMBER($G70),$G70&gt;=MA_LONG2),AVERAGE(INDEX($C$5:$C70,67-MA_LONG2):$C70),"")</f>
        <v/>
      </c>
      <c r="L70" s="53" t="n">
        <f aca="false">IF(AND(ISNUMBER($G70),$G70&gt;=21),STDEV(INDEX($H$10:$H70,62-20):$H70)*SQRT(245),"")</f>
        <v>0.229025286399082</v>
      </c>
      <c r="M70" s="52" t="n">
        <f aca="false">IF(AND(ISNUMBER($G70),$G70&gt;=60),MAX(INDEX($D$5:$D70,67-60):$D70),"")</f>
        <v>3401</v>
      </c>
      <c r="N70" s="52" t="n">
        <f aca="false">IF(AND(ISNUMBER($G70),$G70&gt;=60),MIN(INDEX($E$5:$E70,67-60):$E70),"")</f>
        <v>2906</v>
      </c>
      <c r="O70" s="53" t="n">
        <f aca="false">IF(OR(NOT(ISNUMBER($C70)),NOT(ISNUMBER($M70)),$M70=0),"",$C70/$M70-1)</f>
        <v>-0.11261393707733</v>
      </c>
    </row>
    <row r="71" customFormat="false" ht="15" hidden="false" customHeight="false" outlineLevel="0" collapsed="false">
      <c r="A71" s="47" t="n">
        <v>45662</v>
      </c>
      <c r="B71" s="48" t="s">
        <v>219</v>
      </c>
      <c r="C71" s="49" t="n">
        <v>2995</v>
      </c>
      <c r="D71" s="49" t="n">
        <v>3015</v>
      </c>
      <c r="E71" s="49" t="n">
        <v>2994</v>
      </c>
      <c r="F71" s="49" t="n">
        <v>0</v>
      </c>
      <c r="G71" s="50" t="n">
        <f aca="false">IF($A71="","",IF(ISNUMBER($G70),$G70+1,1))</f>
        <v>67</v>
      </c>
      <c r="H71" s="51" t="n">
        <f aca="false">IF(OR(NOT(ISNUMBER($G71)),$G71&lt;2,NOT(ISNUMBER($C70)),$C70=0),"",$C71/$C70-1)</f>
        <v>-0.00762094102054345</v>
      </c>
      <c r="I71" s="52" t="n">
        <f aca="false">IF(AND(ISNUMBER($G71),$G71&gt;=MA_SHORT),AVERAGE(INDEX($C$5:$C71,68-MA_SHORT):$C71),"")</f>
        <v>3011.7</v>
      </c>
      <c r="J71" s="52" t="n">
        <f aca="false">IF(AND(ISNUMBER($G71),$G71&gt;=MA_MED),AVERAGE(INDEX($C$5:$C71,68-MA_MED):$C71),"")</f>
        <v>3123.16</v>
      </c>
      <c r="K71" s="52" t="str">
        <f aca="false">IF(AND(ISNUMBER($G71),$G71&gt;=MA_LONG2),AVERAGE(INDEX($C$5:$C71,68-MA_LONG2):$C71),"")</f>
        <v/>
      </c>
      <c r="L71" s="53" t="n">
        <f aca="false">IF(AND(ISNUMBER($G71),$G71&gt;=21),STDEV(INDEX($H$11:$H71,62-20):$H71)*SQRT(245),"")</f>
        <v>0.230156569695307</v>
      </c>
      <c r="M71" s="52" t="n">
        <f aca="false">IF(AND(ISNUMBER($G71),$G71&gt;=60),MAX(INDEX($D$5:$D71,68-60):$D71),"")</f>
        <v>3401</v>
      </c>
      <c r="N71" s="52" t="n">
        <f aca="false">IF(AND(ISNUMBER($G71),$G71&gt;=60),MIN(INDEX($E$5:$E71,68-60):$E71),"")</f>
        <v>2906</v>
      </c>
      <c r="O71" s="53" t="n">
        <f aca="false">IF(OR(NOT(ISNUMBER($C71)),NOT(ISNUMBER($M71)),$M71=0),"",$C71/$M71-1)</f>
        <v>-0.119376653925316</v>
      </c>
    </row>
    <row r="72" customFormat="false" ht="15" hidden="false" customHeight="false" outlineLevel="0" collapsed="false">
      <c r="A72" s="47" t="n">
        <v>45663</v>
      </c>
      <c r="B72" s="48" t="s">
        <v>220</v>
      </c>
      <c r="C72" s="49" t="n">
        <v>3041</v>
      </c>
      <c r="D72" s="49" t="n">
        <v>3069</v>
      </c>
      <c r="E72" s="49" t="n">
        <v>3013</v>
      </c>
      <c r="F72" s="49" t="n">
        <v>0</v>
      </c>
      <c r="G72" s="50" t="n">
        <f aca="false">IF($A72="","",IF(ISNUMBER($G71),$G71+1,1))</f>
        <v>68</v>
      </c>
      <c r="H72" s="51" t="n">
        <f aca="false">IF(OR(NOT(ISNUMBER($G72)),$G72&lt;2,NOT(ISNUMBER($C71)),$C71=0),"",$C72/$C71-1)</f>
        <v>0.0153589315525877</v>
      </c>
      <c r="I72" s="52" t="n">
        <f aca="false">IF(AND(ISNUMBER($G72),$G72&gt;=MA_SHORT),AVERAGE(INDEX($C$5:$C72,69-MA_SHORT):$C72),"")</f>
        <v>3010.95</v>
      </c>
      <c r="J72" s="52" t="n">
        <f aca="false">IF(AND(ISNUMBER($G72),$G72&gt;=MA_MED),AVERAGE(INDEX($C$5:$C72,69-MA_MED):$C72),"")</f>
        <v>3120.58</v>
      </c>
      <c r="K72" s="52" t="str">
        <f aca="false">IF(AND(ISNUMBER($G72),$G72&gt;=MA_LONG2),AVERAGE(INDEX($C$5:$C72,69-MA_LONG2):$C72),"")</f>
        <v/>
      </c>
      <c r="L72" s="53" t="n">
        <f aca="false">IF(AND(ISNUMBER($G72),$G72&gt;=21),STDEV(INDEX($H$12:$H72,62-20):$H72)*SQRT(245),"")</f>
        <v>0.235804357163546</v>
      </c>
      <c r="M72" s="52" t="n">
        <f aca="false">IF(AND(ISNUMBER($G72),$G72&gt;=60),MAX(INDEX($D$5:$D72,69-60):$D72),"")</f>
        <v>3401</v>
      </c>
      <c r="N72" s="52" t="n">
        <f aca="false">IF(AND(ISNUMBER($G72),$G72&gt;=60),MIN(INDEX($E$5:$E72,69-60):$E72),"")</f>
        <v>2906</v>
      </c>
      <c r="O72" s="53" t="n">
        <f aca="false">IF(OR(NOT(ISNUMBER($C72)),NOT(ISNUMBER($M72)),$M72=0),"",$C72/$M72-1)</f>
        <v>-0.105851220229344</v>
      </c>
    </row>
    <row r="73" customFormat="false" ht="15" hidden="false" customHeight="false" outlineLevel="0" collapsed="false">
      <c r="A73" s="47" t="n">
        <v>45664</v>
      </c>
      <c r="B73" s="48" t="s">
        <v>221</v>
      </c>
      <c r="C73" s="49" t="n">
        <v>3048</v>
      </c>
      <c r="D73" s="49" t="n">
        <v>3064</v>
      </c>
      <c r="E73" s="49" t="n">
        <v>3044</v>
      </c>
      <c r="F73" s="49" t="n">
        <v>0</v>
      </c>
      <c r="G73" s="50" t="n">
        <f aca="false">IF($A73="","",IF(ISNUMBER($G72),$G72+1,1))</f>
        <v>69</v>
      </c>
      <c r="H73" s="51" t="n">
        <f aca="false">IF(OR(NOT(ISNUMBER($G73)),$G73&lt;2,NOT(ISNUMBER($C72)),$C72=0),"",$C73/$C72-1)</f>
        <v>0.00230187438342644</v>
      </c>
      <c r="I73" s="52" t="n">
        <f aca="false">IF(AND(ISNUMBER($G73),$G73&gt;=MA_SHORT),AVERAGE(INDEX($C$5:$C73,70-MA_SHORT):$C73),"")</f>
        <v>3010.8</v>
      </c>
      <c r="J73" s="52" t="n">
        <f aca="false">IF(AND(ISNUMBER($G73),$G73&gt;=MA_MED),AVERAGE(INDEX($C$5:$C73,70-MA_MED):$C73),"")</f>
        <v>3117.04</v>
      </c>
      <c r="K73" s="52" t="str">
        <f aca="false">IF(AND(ISNUMBER($G73),$G73&gt;=MA_LONG2),AVERAGE(INDEX($C$5:$C73,70-MA_LONG2):$C73),"")</f>
        <v/>
      </c>
      <c r="L73" s="53" t="n">
        <f aca="false">IF(AND(ISNUMBER($G73),$G73&gt;=21),STDEV(INDEX($H$13:$H73,62-20):$H73)*SQRT(245),"")</f>
        <v>0.235884558012901</v>
      </c>
      <c r="M73" s="52" t="n">
        <f aca="false">IF(AND(ISNUMBER($G73),$G73&gt;=60),MAX(INDEX($D$5:$D73,70-60):$D73),"")</f>
        <v>3401</v>
      </c>
      <c r="N73" s="52" t="n">
        <f aca="false">IF(AND(ISNUMBER($G73),$G73&gt;=60),MIN(INDEX($E$5:$E73,70-60):$E73),"")</f>
        <v>2906</v>
      </c>
      <c r="O73" s="53" t="n">
        <f aca="false">IF(OR(NOT(ISNUMBER($C73)),NOT(ISNUMBER($M73)),$M73=0),"",$C73/$M73-1)</f>
        <v>-0.103793002058218</v>
      </c>
    </row>
    <row r="74" customFormat="false" ht="15" hidden="false" customHeight="false" outlineLevel="0" collapsed="false">
      <c r="A74" s="47" t="n">
        <v>45665</v>
      </c>
      <c r="B74" s="48" t="s">
        <v>222</v>
      </c>
      <c r="C74" s="49" t="n">
        <v>3048</v>
      </c>
      <c r="D74" s="49" t="n">
        <v>3059</v>
      </c>
      <c r="E74" s="49" t="n">
        <v>3025</v>
      </c>
      <c r="F74" s="49" t="n">
        <v>0</v>
      </c>
      <c r="G74" s="50" t="n">
        <f aca="false">IF($A74="","",IF(ISNUMBER($G73),$G73+1,1))</f>
        <v>70</v>
      </c>
      <c r="H74" s="51" t="n">
        <f aca="false">IF(OR(NOT(ISNUMBER($G74)),$G74&lt;2,NOT(ISNUMBER($C73)),$C73=0),"",$C74/$C73-1)</f>
        <v>0</v>
      </c>
      <c r="I74" s="52" t="n">
        <f aca="false">IF(AND(ISNUMBER($G74),$G74&gt;=MA_SHORT),AVERAGE(INDEX($C$5:$C74,71-MA_SHORT):$C74),"")</f>
        <v>3007.65</v>
      </c>
      <c r="J74" s="52" t="n">
        <f aca="false">IF(AND(ISNUMBER($G74),$G74&gt;=MA_MED),AVERAGE(INDEX($C$5:$C74,71-MA_MED):$C74),"")</f>
        <v>3112.8</v>
      </c>
      <c r="K74" s="52" t="str">
        <f aca="false">IF(AND(ISNUMBER($G74),$G74&gt;=MA_LONG2),AVERAGE(INDEX($C$5:$C74,71-MA_LONG2):$C74),"")</f>
        <v/>
      </c>
      <c r="L74" s="53" t="n">
        <f aca="false">IF(AND(ISNUMBER($G74),$G74&gt;=21),STDEV(INDEX($H$14:$H74,62-20):$H74)*SQRT(245),"")</f>
        <v>0.22457764557961</v>
      </c>
      <c r="M74" s="52" t="n">
        <f aca="false">IF(AND(ISNUMBER($G74),$G74&gt;=60),MAX(INDEX($D$5:$D74,71-60):$D74),"")</f>
        <v>3401</v>
      </c>
      <c r="N74" s="52" t="n">
        <f aca="false">IF(AND(ISNUMBER($G74),$G74&gt;=60),MIN(INDEX($E$5:$E74,71-60):$E74),"")</f>
        <v>2906</v>
      </c>
      <c r="O74" s="53" t="n">
        <f aca="false">IF(OR(NOT(ISNUMBER($C74)),NOT(ISNUMBER($M74)),$M74=0),"",$C74/$M74-1)</f>
        <v>-0.103793002058218</v>
      </c>
    </row>
    <row r="75" customFormat="false" ht="15" hidden="false" customHeight="false" outlineLevel="0" collapsed="false">
      <c r="A75" s="47" t="n">
        <v>45668</v>
      </c>
      <c r="B75" s="48" t="s">
        <v>223</v>
      </c>
      <c r="C75" s="49" t="n">
        <v>3057</v>
      </c>
      <c r="D75" s="49" t="n">
        <v>3066</v>
      </c>
      <c r="E75" s="49" t="n">
        <v>3045</v>
      </c>
      <c r="F75" s="49" t="n">
        <v>0</v>
      </c>
      <c r="G75" s="50" t="n">
        <f aca="false">IF($A75="","",IF(ISNUMBER($G74),$G74+1,1))</f>
        <v>71</v>
      </c>
      <c r="H75" s="51" t="n">
        <f aca="false">IF(OR(NOT(ISNUMBER($G75)),$G75&lt;2,NOT(ISNUMBER($C74)),$C74=0),"",$C75/$C74-1)</f>
        <v>0.00295275590551181</v>
      </c>
      <c r="I75" s="52" t="n">
        <f aca="false">IF(AND(ISNUMBER($G75),$G75&gt;=MA_SHORT),AVERAGE(INDEX($C$5:$C75,72-MA_SHORT):$C75),"")</f>
        <v>3003.9</v>
      </c>
      <c r="J75" s="52" t="n">
        <f aca="false">IF(AND(ISNUMBER($G75),$G75&gt;=MA_MED),AVERAGE(INDEX($C$5:$C75,72-MA_MED):$C75),"")</f>
        <v>3108.74</v>
      </c>
      <c r="K75" s="52" t="str">
        <f aca="false">IF(AND(ISNUMBER($G75),$G75&gt;=MA_LONG2),AVERAGE(INDEX($C$5:$C75,72-MA_LONG2):$C75),"")</f>
        <v/>
      </c>
      <c r="L75" s="53" t="n">
        <f aca="false">IF(AND(ISNUMBER($G75),$G75&gt;=21),STDEV(INDEX($H$15:$H75,62-20):$H75)*SQRT(245),"")</f>
        <v>0.223293870787706</v>
      </c>
      <c r="M75" s="52" t="n">
        <f aca="false">IF(AND(ISNUMBER($G75),$G75&gt;=60),MAX(INDEX($D$5:$D75,72-60):$D75),"")</f>
        <v>3401</v>
      </c>
      <c r="N75" s="52" t="n">
        <f aca="false">IF(AND(ISNUMBER($G75),$G75&gt;=60),MIN(INDEX($E$5:$E75,72-60):$E75),"")</f>
        <v>2906</v>
      </c>
      <c r="O75" s="53" t="n">
        <f aca="false">IF(OR(NOT(ISNUMBER($C75)),NOT(ISNUMBER($M75)),$M75=0),"",$C75/$M75-1)</f>
        <v>-0.101146721552485</v>
      </c>
    </row>
    <row r="76" customFormat="false" ht="15" hidden="false" customHeight="false" outlineLevel="0" collapsed="false">
      <c r="A76" s="47" t="n">
        <v>45669</v>
      </c>
      <c r="B76" s="48" t="s">
        <v>224</v>
      </c>
      <c r="C76" s="49" t="n">
        <v>3145</v>
      </c>
      <c r="D76" s="49" t="n">
        <v>3162</v>
      </c>
      <c r="E76" s="49" t="n">
        <v>3134</v>
      </c>
      <c r="F76" s="49" t="n">
        <v>0</v>
      </c>
      <c r="G76" s="50" t="n">
        <f aca="false">IF($A76="","",IF(ISNUMBER($G75),$G75+1,1))</f>
        <v>72</v>
      </c>
      <c r="H76" s="51" t="n">
        <f aca="false">IF(OR(NOT(ISNUMBER($G76)),$G76&lt;2,NOT(ISNUMBER($C75)),$C75=0),"",$C76/$C75-1)</f>
        <v>0.0287863918874713</v>
      </c>
      <c r="I76" s="52" t="n">
        <f aca="false">IF(AND(ISNUMBER($G76),$G76&gt;=MA_SHORT),AVERAGE(INDEX($C$5:$C76,73-MA_SHORT):$C76),"")</f>
        <v>3006.7</v>
      </c>
      <c r="J76" s="52" t="n">
        <f aca="false">IF(AND(ISNUMBER($G76),$G76&gt;=MA_MED),AVERAGE(INDEX($C$5:$C76,73-MA_MED):$C76),"")</f>
        <v>3106.62</v>
      </c>
      <c r="K76" s="52" t="str">
        <f aca="false">IF(AND(ISNUMBER($G76),$G76&gt;=MA_LONG2),AVERAGE(INDEX($C$5:$C76,73-MA_LONG2):$C76),"")</f>
        <v/>
      </c>
      <c r="L76" s="53" t="n">
        <f aca="false">IF(AND(ISNUMBER($G76),$G76&gt;=21),STDEV(INDEX($H$16:$H76,62-20):$H76)*SQRT(245),"")</f>
        <v>0.241187265030509</v>
      </c>
      <c r="M76" s="52" t="n">
        <f aca="false">IF(AND(ISNUMBER($G76),$G76&gt;=60),MAX(INDEX($D$5:$D76,73-60):$D76),"")</f>
        <v>3401</v>
      </c>
      <c r="N76" s="52" t="n">
        <f aca="false">IF(AND(ISNUMBER($G76),$G76&gt;=60),MIN(INDEX($E$5:$E76,73-60):$E76),"")</f>
        <v>2906</v>
      </c>
      <c r="O76" s="53" t="n">
        <f aca="false">IF(OR(NOT(ISNUMBER($C76)),NOT(ISNUMBER($M76)),$M76=0),"",$C76/$M76-1)</f>
        <v>-0.075271978829756</v>
      </c>
    </row>
    <row r="77" customFormat="false" ht="15" hidden="false" customHeight="false" outlineLevel="0" collapsed="false">
      <c r="A77" s="47" t="n">
        <v>45670</v>
      </c>
      <c r="B77" s="48" t="s">
        <v>225</v>
      </c>
      <c r="C77" s="49" t="n">
        <v>3174</v>
      </c>
      <c r="D77" s="49" t="n">
        <v>3180</v>
      </c>
      <c r="E77" s="49" t="n">
        <v>3146</v>
      </c>
      <c r="F77" s="49" t="n">
        <v>0</v>
      </c>
      <c r="G77" s="50" t="n">
        <f aca="false">IF($A77="","",IF(ISNUMBER($G76),$G76+1,1))</f>
        <v>73</v>
      </c>
      <c r="H77" s="51" t="n">
        <f aca="false">IF(OR(NOT(ISNUMBER($G77)),$G77&lt;2,NOT(ISNUMBER($C76)),$C76=0),"",$C77/$C76-1)</f>
        <v>0.00922098569157392</v>
      </c>
      <c r="I77" s="52" t="n">
        <f aca="false">IF(AND(ISNUMBER($G77),$G77&gt;=MA_SHORT),AVERAGE(INDEX($C$5:$C77,74-MA_SHORT):$C77),"")</f>
        <v>3011.65</v>
      </c>
      <c r="J77" s="52" t="n">
        <f aca="false">IF(AND(ISNUMBER($G77),$G77&gt;=MA_MED),AVERAGE(INDEX($C$5:$C77,74-MA_MED):$C77),"")</f>
        <v>3103.96</v>
      </c>
      <c r="K77" s="52" t="str">
        <f aca="false">IF(AND(ISNUMBER($G77),$G77&gt;=MA_LONG2),AVERAGE(INDEX($C$5:$C77,74-MA_LONG2):$C77),"")</f>
        <v/>
      </c>
      <c r="L77" s="53" t="n">
        <f aca="false">IF(AND(ISNUMBER($G77),$G77&gt;=21),STDEV(INDEX($H$17:$H77,62-20):$H77)*SQRT(245),"")</f>
        <v>0.241913453145903</v>
      </c>
      <c r="M77" s="52" t="n">
        <f aca="false">IF(AND(ISNUMBER($G77),$G77&gt;=60),MAX(INDEX($D$5:$D77,74-60):$D77),"")</f>
        <v>3401</v>
      </c>
      <c r="N77" s="52" t="n">
        <f aca="false">IF(AND(ISNUMBER($G77),$G77&gt;=60),MIN(INDEX($E$5:$E77,74-60):$E77),"")</f>
        <v>2906</v>
      </c>
      <c r="O77" s="53" t="n">
        <f aca="false">IF(OR(NOT(ISNUMBER($C77)),NOT(ISNUMBER($M77)),$M77=0),"",$C77/$M77-1)</f>
        <v>-0.0667450749779477</v>
      </c>
    </row>
    <row r="78" customFormat="false" ht="15" hidden="false" customHeight="false" outlineLevel="0" collapsed="false">
      <c r="A78" s="47" t="n">
        <v>45671</v>
      </c>
      <c r="B78" s="48" t="s">
        <v>226</v>
      </c>
      <c r="C78" s="49" t="n">
        <v>3177</v>
      </c>
      <c r="D78" s="49" t="n">
        <v>3181</v>
      </c>
      <c r="E78" s="49" t="n">
        <v>3168</v>
      </c>
      <c r="F78" s="49" t="n">
        <v>0</v>
      </c>
      <c r="G78" s="50" t="n">
        <f aca="false">IF($A78="","",IF(ISNUMBER($G77),$G77+1,1))</f>
        <v>74</v>
      </c>
      <c r="H78" s="51" t="n">
        <f aca="false">IF(OR(NOT(ISNUMBER($G78)),$G78&lt;2,NOT(ISNUMBER($C77)),$C77=0),"",$C78/$C77-1)</f>
        <v>0.000945179584120881</v>
      </c>
      <c r="I78" s="52" t="n">
        <f aca="false">IF(AND(ISNUMBER($G78),$G78&gt;=MA_SHORT),AVERAGE(INDEX($C$5:$C78,75-MA_SHORT):$C78),"")</f>
        <v>3016.35</v>
      </c>
      <c r="J78" s="52" t="n">
        <f aca="false">IF(AND(ISNUMBER($G78),$G78&gt;=MA_MED),AVERAGE(INDEX($C$5:$C78,75-MA_MED):$C78),"")</f>
        <v>3100.02</v>
      </c>
      <c r="K78" s="52" t="str">
        <f aca="false">IF(AND(ISNUMBER($G78),$G78&gt;=MA_LONG2),AVERAGE(INDEX($C$5:$C78,75-MA_LONG2):$C78),"")</f>
        <v/>
      </c>
      <c r="L78" s="53" t="n">
        <f aca="false">IF(AND(ISNUMBER($G78),$G78&gt;=21),STDEV(INDEX($H$18:$H78,62-20):$H78)*SQRT(245),"")</f>
        <v>0.241903237537231</v>
      </c>
      <c r="M78" s="52" t="n">
        <f aca="false">IF(AND(ISNUMBER($G78),$G78&gt;=60),MAX(INDEX($D$5:$D78,75-60):$D78),"")</f>
        <v>3401</v>
      </c>
      <c r="N78" s="52" t="n">
        <f aca="false">IF(AND(ISNUMBER($G78),$G78&gt;=60),MIN(INDEX($E$5:$E78,75-60):$E78),"")</f>
        <v>2906</v>
      </c>
      <c r="O78" s="53" t="n">
        <f aca="false">IF(OR(NOT(ISNUMBER($C78)),NOT(ISNUMBER($M78)),$M78=0),"",$C78/$M78-1)</f>
        <v>-0.0658629814760364</v>
      </c>
    </row>
    <row r="79" customFormat="false" ht="15" hidden="false" customHeight="false" outlineLevel="0" collapsed="false">
      <c r="A79" s="47" t="n">
        <v>45672</v>
      </c>
      <c r="B79" s="48" t="s">
        <v>227</v>
      </c>
      <c r="C79" s="49" t="n">
        <v>3238</v>
      </c>
      <c r="D79" s="49" t="n">
        <v>3255</v>
      </c>
      <c r="E79" s="49" t="n">
        <v>3231</v>
      </c>
      <c r="F79" s="49" t="n">
        <v>0</v>
      </c>
      <c r="G79" s="50" t="n">
        <f aca="false">IF($A79="","",IF(ISNUMBER($G78),$G78+1,1))</f>
        <v>75</v>
      </c>
      <c r="H79" s="51" t="n">
        <f aca="false">IF(OR(NOT(ISNUMBER($G79)),$G79&lt;2,NOT(ISNUMBER($C78)),$C78=0),"",$C79/$C78-1)</f>
        <v>0.0192005036197671</v>
      </c>
      <c r="I79" s="52" t="n">
        <f aca="false">IF(AND(ISNUMBER($G79),$G79&gt;=MA_SHORT),AVERAGE(INDEX($C$5:$C79,76-MA_SHORT):$C79),"")</f>
        <v>3027.65</v>
      </c>
      <c r="J79" s="52" t="n">
        <f aca="false">IF(AND(ISNUMBER($G79),$G79&gt;=MA_MED),AVERAGE(INDEX($C$5:$C79,76-MA_MED):$C79),"")</f>
        <v>3097.46</v>
      </c>
      <c r="K79" s="52" t="str">
        <f aca="false">IF(AND(ISNUMBER($G79),$G79&gt;=MA_LONG2),AVERAGE(INDEX($C$5:$C79,76-MA_LONG2):$C79),"")</f>
        <v/>
      </c>
      <c r="L79" s="53" t="n">
        <f aca="false">IF(AND(ISNUMBER($G79),$G79&gt;=21),STDEV(INDEX($H$19:$H79,62-20):$H79)*SQRT(245),"")</f>
        <v>0.231348243275745</v>
      </c>
      <c r="M79" s="52" t="n">
        <f aca="false">IF(AND(ISNUMBER($G79),$G79&gt;=60),MAX(INDEX($D$5:$D79,76-60):$D79),"")</f>
        <v>3401</v>
      </c>
      <c r="N79" s="52" t="n">
        <f aca="false">IF(AND(ISNUMBER($G79),$G79&gt;=60),MIN(INDEX($E$5:$E79,76-60):$E79),"")</f>
        <v>2906</v>
      </c>
      <c r="O79" s="53" t="n">
        <f aca="false">IF(OR(NOT(ISNUMBER($C79)),NOT(ISNUMBER($M79)),$M79=0),"",$C79/$M79-1)</f>
        <v>-0.0479270802705086</v>
      </c>
    </row>
    <row r="80" customFormat="false" ht="15" hidden="false" customHeight="false" outlineLevel="0" collapsed="false">
      <c r="A80" s="47" t="n">
        <v>45675</v>
      </c>
      <c r="B80" s="48" t="s">
        <v>228</v>
      </c>
      <c r="C80" s="49" t="n">
        <v>3239</v>
      </c>
      <c r="D80" s="49" t="n">
        <v>3245</v>
      </c>
      <c r="E80" s="49" t="n">
        <v>3229</v>
      </c>
      <c r="F80" s="49" t="n">
        <v>0</v>
      </c>
      <c r="G80" s="50" t="n">
        <f aca="false">IF($A80="","",IF(ISNUMBER($G79),$G79+1,1))</f>
        <v>76</v>
      </c>
      <c r="H80" s="51" t="n">
        <f aca="false">IF(OR(NOT(ISNUMBER($G80)),$G80&lt;2,NOT(ISNUMBER($C79)),$C79=0),"",$C80/$C79-1)</f>
        <v>0.000308832612723853</v>
      </c>
      <c r="I80" s="52" t="n">
        <f aca="false">IF(AND(ISNUMBER($G80),$G80&gt;=MA_SHORT),AVERAGE(INDEX($C$5:$C80,77-MA_SHORT):$C80),"")</f>
        <v>3040.9</v>
      </c>
      <c r="J80" s="52" t="n">
        <f aca="false">IF(AND(ISNUMBER($G80),$G80&gt;=MA_MED),AVERAGE(INDEX($C$5:$C80,77-MA_MED):$C80),"")</f>
        <v>3094.82</v>
      </c>
      <c r="K80" s="52" t="str">
        <f aca="false">IF(AND(ISNUMBER($G80),$G80&gt;=MA_LONG2),AVERAGE(INDEX($C$5:$C80,77-MA_LONG2):$C80),"")</f>
        <v/>
      </c>
      <c r="L80" s="53" t="n">
        <f aca="false">IF(AND(ISNUMBER($G80),$G80&gt;=21),STDEV(INDEX($H$20:$H80,62-20):$H80)*SQRT(245),"")</f>
        <v>0.22387610468469</v>
      </c>
      <c r="M80" s="52" t="n">
        <f aca="false">IF(AND(ISNUMBER($G80),$G80&gt;=60),MAX(INDEX($D$5:$D80,77-60):$D80),"")</f>
        <v>3401</v>
      </c>
      <c r="N80" s="52" t="n">
        <f aca="false">IF(AND(ISNUMBER($G80),$G80&gt;=60),MIN(INDEX($E$5:$E80,77-60):$E80),"")</f>
        <v>2906</v>
      </c>
      <c r="O80" s="53" t="n">
        <f aca="false">IF(OR(NOT(ISNUMBER($C80)),NOT(ISNUMBER($M80)),$M80=0),"",$C80/$M80-1)</f>
        <v>-0.047633049103205</v>
      </c>
    </row>
    <row r="81" customFormat="false" ht="15" hidden="false" customHeight="false" outlineLevel="0" collapsed="false">
      <c r="A81" s="47" t="n">
        <v>45676</v>
      </c>
      <c r="B81" s="48" t="s">
        <v>229</v>
      </c>
      <c r="C81" s="49" t="n">
        <v>3243</v>
      </c>
      <c r="D81" s="49" t="n">
        <v>3253</v>
      </c>
      <c r="E81" s="49" t="n">
        <v>3232</v>
      </c>
      <c r="F81" s="49" t="n">
        <v>0</v>
      </c>
      <c r="G81" s="50" t="n">
        <f aca="false">IF($A81="","",IF(ISNUMBER($G80),$G80+1,1))</f>
        <v>77</v>
      </c>
      <c r="H81" s="51" t="n">
        <f aca="false">IF(OR(NOT(ISNUMBER($G81)),$G81&lt;2,NOT(ISNUMBER($C80)),$C80=0),"",$C81/$C80-1)</f>
        <v>0.00123494905835142</v>
      </c>
      <c r="I81" s="52" t="n">
        <f aca="false">IF(AND(ISNUMBER($G81),$G81&gt;=MA_SHORT),AVERAGE(INDEX($C$5:$C81,78-MA_SHORT):$C81),"")</f>
        <v>3053.2</v>
      </c>
      <c r="J81" s="52" t="n">
        <f aca="false">IF(AND(ISNUMBER($G81),$G81&gt;=MA_MED),AVERAGE(INDEX($C$5:$C81,78-MA_MED):$C81),"")</f>
        <v>3092.46</v>
      </c>
      <c r="K81" s="52" t="str">
        <f aca="false">IF(AND(ISNUMBER($G81),$G81&gt;=MA_LONG2),AVERAGE(INDEX($C$5:$C81,78-MA_LONG2):$C81),"")</f>
        <v/>
      </c>
      <c r="L81" s="53" t="n">
        <f aca="false">IF(AND(ISNUMBER($G81),$G81&gt;=21),STDEV(INDEX($H$21:$H81,62-20):$H81)*SQRT(245),"")</f>
        <v>0.223773990503541</v>
      </c>
      <c r="M81" s="52" t="n">
        <f aca="false">IF(AND(ISNUMBER($G81),$G81&gt;=60),MAX(INDEX($D$5:$D81,78-60):$D81),"")</f>
        <v>3401</v>
      </c>
      <c r="N81" s="52" t="n">
        <f aca="false">IF(AND(ISNUMBER($G81),$G81&gt;=60),MIN(INDEX($E$5:$E81,78-60):$E81),"")</f>
        <v>2906</v>
      </c>
      <c r="O81" s="53" t="n">
        <f aca="false">IF(OR(NOT(ISNUMBER($C81)),NOT(ISNUMBER($M81)),$M81=0),"",$C81/$M81-1)</f>
        <v>-0.04645692443399</v>
      </c>
    </row>
    <row r="82" customFormat="false" ht="15" hidden="false" customHeight="false" outlineLevel="0" collapsed="false">
      <c r="A82" s="47" t="n">
        <v>45677</v>
      </c>
      <c r="B82" s="48" t="s">
        <v>230</v>
      </c>
      <c r="C82" s="49" t="n">
        <v>3300</v>
      </c>
      <c r="D82" s="49" t="n">
        <v>3310</v>
      </c>
      <c r="E82" s="49" t="n">
        <v>3292</v>
      </c>
      <c r="F82" s="49" t="n">
        <v>0</v>
      </c>
      <c r="G82" s="50" t="n">
        <f aca="false">IF($A82="","",IF(ISNUMBER($G81),$G81+1,1))</f>
        <v>78</v>
      </c>
      <c r="H82" s="51" t="n">
        <f aca="false">IF(OR(NOT(ISNUMBER($G82)),$G82&lt;2,NOT(ISNUMBER($C81)),$C81=0),"",$C82/$C81-1)</f>
        <v>0.0175763182238669</v>
      </c>
      <c r="I82" s="52" t="n">
        <f aca="false">IF(AND(ISNUMBER($G82),$G82&gt;=MA_SHORT),AVERAGE(INDEX($C$5:$C82,79-MA_SHORT):$C82),"")</f>
        <v>3070.95</v>
      </c>
      <c r="J82" s="52" t="n">
        <f aca="false">IF(AND(ISNUMBER($G82),$G82&gt;=MA_MED),AVERAGE(INDEX($C$5:$C82,79-MA_MED):$C82),"")</f>
        <v>3092.22</v>
      </c>
      <c r="K82" s="52" t="str">
        <f aca="false">IF(AND(ISNUMBER($G82),$G82&gt;=MA_LONG2),AVERAGE(INDEX($C$5:$C82,79-MA_LONG2):$C82),"")</f>
        <v/>
      </c>
      <c r="L82" s="53" t="n">
        <f aca="false">IF(AND(ISNUMBER($G82),$G82&gt;=21),STDEV(INDEX($H$22:$H82,62-20):$H82)*SQRT(245),"")</f>
        <v>0.213875374674046</v>
      </c>
      <c r="M82" s="52" t="n">
        <f aca="false">IF(AND(ISNUMBER($G82),$G82&gt;=60),MAX(INDEX($D$5:$D82,79-60):$D82),"")</f>
        <v>3401</v>
      </c>
      <c r="N82" s="52" t="n">
        <f aca="false">IF(AND(ISNUMBER($G82),$G82&gt;=60),MIN(INDEX($E$5:$E82,79-60):$E82),"")</f>
        <v>2906</v>
      </c>
      <c r="O82" s="53" t="n">
        <f aca="false">IF(OR(NOT(ISNUMBER($C82)),NOT(ISNUMBER($M82)),$M82=0),"",$C82/$M82-1)</f>
        <v>-0.0296971478976772</v>
      </c>
    </row>
    <row r="83" customFormat="false" ht="15" hidden="false" customHeight="false" outlineLevel="0" collapsed="false">
      <c r="A83" s="47" t="n">
        <v>45678</v>
      </c>
      <c r="B83" s="48" t="s">
        <v>231</v>
      </c>
      <c r="C83" s="49" t="n">
        <v>3259</v>
      </c>
      <c r="D83" s="49" t="n">
        <v>3264</v>
      </c>
      <c r="E83" s="49" t="n">
        <v>3240</v>
      </c>
      <c r="F83" s="49" t="n">
        <v>0</v>
      </c>
      <c r="G83" s="50" t="n">
        <f aca="false">IF($A83="","",IF(ISNUMBER($G82),$G82+1,1))</f>
        <v>79</v>
      </c>
      <c r="H83" s="51" t="n">
        <f aca="false">IF(OR(NOT(ISNUMBER($G83)),$G83&lt;2,NOT(ISNUMBER($C82)),$C82=0),"",$C83/$C82-1)</f>
        <v>-0.0124242424242424</v>
      </c>
      <c r="I83" s="52" t="n">
        <f aca="false">IF(AND(ISNUMBER($G83),$G83&gt;=MA_SHORT),AVERAGE(INDEX($C$5:$C83,80-MA_SHORT):$C83),"")</f>
        <v>3083.45</v>
      </c>
      <c r="J83" s="52" t="n">
        <f aca="false">IF(AND(ISNUMBER($G83),$G83&gt;=MA_MED),AVERAGE(INDEX($C$5:$C83,80-MA_MED):$C83),"")</f>
        <v>3093.12</v>
      </c>
      <c r="K83" s="52" t="str">
        <f aca="false">IF(AND(ISNUMBER($G83),$G83&gt;=MA_LONG2),AVERAGE(INDEX($C$5:$C83,80-MA_LONG2):$C83),"")</f>
        <v/>
      </c>
      <c r="L83" s="53" t="n">
        <f aca="false">IF(AND(ISNUMBER($G83),$G83&gt;=21),STDEV(INDEX($H$23:$H83,62-20):$H83)*SQRT(245),"")</f>
        <v>0.214467234437923</v>
      </c>
      <c r="M83" s="52" t="n">
        <f aca="false">IF(AND(ISNUMBER($G83),$G83&gt;=60),MAX(INDEX($D$5:$D83,80-60):$D83),"")</f>
        <v>3401</v>
      </c>
      <c r="N83" s="52" t="n">
        <f aca="false">IF(AND(ISNUMBER($G83),$G83&gt;=60),MIN(INDEX($E$5:$E83,80-60):$E83),"")</f>
        <v>2906</v>
      </c>
      <c r="O83" s="53" t="n">
        <f aca="false">IF(OR(NOT(ISNUMBER($C83)),NOT(ISNUMBER($M83)),$M83=0),"",$C83/$M83-1)</f>
        <v>-0.0417524257571302</v>
      </c>
    </row>
    <row r="84" customFormat="false" ht="15" hidden="false" customHeight="false" outlineLevel="0" collapsed="false">
      <c r="A84" s="47" t="n">
        <v>45679</v>
      </c>
      <c r="B84" s="48" t="s">
        <v>232</v>
      </c>
      <c r="C84" s="49" t="n">
        <v>3273</v>
      </c>
      <c r="D84" s="49" t="n">
        <v>3288</v>
      </c>
      <c r="E84" s="49" t="n">
        <v>3261</v>
      </c>
      <c r="F84" s="49" t="n">
        <v>0</v>
      </c>
      <c r="G84" s="50" t="n">
        <f aca="false">IF($A84="","",IF(ISNUMBER($G83),$G83+1,1))</f>
        <v>80</v>
      </c>
      <c r="H84" s="51" t="n">
        <f aca="false">IF(OR(NOT(ISNUMBER($G84)),$G84&lt;2,NOT(ISNUMBER($C83)),$C83=0),"",$C84/$C83-1)</f>
        <v>0.00429579625652043</v>
      </c>
      <c r="I84" s="52" t="n">
        <f aca="false">IF(AND(ISNUMBER($G84),$G84&gt;=MA_SHORT),AVERAGE(INDEX($C$5:$C84,81-MA_SHORT):$C84),"")</f>
        <v>3100.55</v>
      </c>
      <c r="J84" s="52" t="n">
        <f aca="false">IF(AND(ISNUMBER($G84),$G84&gt;=MA_MED),AVERAGE(INDEX($C$5:$C84,81-MA_MED):$C84),"")</f>
        <v>3095.78</v>
      </c>
      <c r="K84" s="52" t="str">
        <f aca="false">IF(AND(ISNUMBER($G84),$G84&gt;=MA_LONG2),AVERAGE(INDEX($C$5:$C84,81-MA_LONG2):$C84),"")</f>
        <v/>
      </c>
      <c r="L84" s="53" t="n">
        <f aca="false">IF(AND(ISNUMBER($G84),$G84&gt;=21),STDEV(INDEX($H$24:$H84,62-20):$H84)*SQRT(245),"")</f>
        <v>0.183834453989103</v>
      </c>
      <c r="M84" s="52" t="n">
        <f aca="false">IF(AND(ISNUMBER($G84),$G84&gt;=60),MAX(INDEX($D$5:$D84,81-60):$D84),"")</f>
        <v>3401</v>
      </c>
      <c r="N84" s="52" t="n">
        <f aca="false">IF(AND(ISNUMBER($G84),$G84&gt;=60),MIN(INDEX($E$5:$E84,81-60):$E84),"")</f>
        <v>2906</v>
      </c>
      <c r="O84" s="53" t="n">
        <f aca="false">IF(OR(NOT(ISNUMBER($C84)),NOT(ISNUMBER($M84)),$M84=0),"",$C84/$M84-1)</f>
        <v>-0.037635989414878</v>
      </c>
    </row>
    <row r="85" customFormat="false" ht="15" hidden="false" customHeight="false" outlineLevel="0" collapsed="false">
      <c r="A85" s="47" t="n">
        <v>45682</v>
      </c>
      <c r="B85" s="48" t="s">
        <v>233</v>
      </c>
      <c r="C85" s="49" t="n">
        <v>3197</v>
      </c>
      <c r="D85" s="49" t="n">
        <v>3199</v>
      </c>
      <c r="E85" s="49" t="n">
        <v>3193</v>
      </c>
      <c r="F85" s="49" t="n">
        <v>0</v>
      </c>
      <c r="G85" s="50" t="n">
        <f aca="false">IF($A85="","",IF(ISNUMBER($G84),$G84+1,1))</f>
        <v>81</v>
      </c>
      <c r="H85" s="51" t="n">
        <f aca="false">IF(OR(NOT(ISNUMBER($G85)),$G85&lt;2,NOT(ISNUMBER($C84)),$C84=0),"",$C85/$C84-1)</f>
        <v>-0.0232202871982891</v>
      </c>
      <c r="I85" s="52" t="n">
        <f aca="false">IF(AND(ISNUMBER($G85),$G85&gt;=MA_SHORT),AVERAGE(INDEX($C$5:$C85,82-MA_SHORT):$C85),"")</f>
        <v>3111.1</v>
      </c>
      <c r="J85" s="52" t="n">
        <f aca="false">IF(AND(ISNUMBER($G85),$G85&gt;=MA_MED),AVERAGE(INDEX($C$5:$C85,82-MA_MED):$C85),"")</f>
        <v>3096.96</v>
      </c>
      <c r="K85" s="52" t="str">
        <f aca="false">IF(AND(ISNUMBER($G85),$G85&gt;=MA_LONG2),AVERAGE(INDEX($C$5:$C85,82-MA_LONG2):$C85),"")</f>
        <v/>
      </c>
      <c r="L85" s="53" t="n">
        <f aca="false">IF(AND(ISNUMBER($G85),$G85&gt;=21),STDEV(INDEX($H$25:$H85,62-20):$H85)*SQRT(245),"")</f>
        <v>0.202811889357324</v>
      </c>
      <c r="M85" s="52" t="n">
        <f aca="false">IF(AND(ISNUMBER($G85),$G85&gt;=60),MAX(INDEX($D$5:$D85,82-60):$D85),"")</f>
        <v>3401</v>
      </c>
      <c r="N85" s="52" t="n">
        <f aca="false">IF(AND(ISNUMBER($G85),$G85&gt;=60),MIN(INDEX($E$5:$E85,82-60):$E85),"")</f>
        <v>2906</v>
      </c>
      <c r="O85" s="53" t="n">
        <f aca="false">IF(OR(NOT(ISNUMBER($C85)),NOT(ISNUMBER($M85)),$M85=0),"",$C85/$M85-1)</f>
        <v>-0.0599823581299618</v>
      </c>
    </row>
    <row r="86" customFormat="false" ht="15" hidden="false" customHeight="false" outlineLevel="0" collapsed="false">
      <c r="A86" s="47" t="n">
        <v>45683</v>
      </c>
      <c r="B86" s="48" t="s">
        <v>234</v>
      </c>
      <c r="C86" s="49" t="n">
        <v>3260</v>
      </c>
      <c r="D86" s="49" t="n">
        <v>3266</v>
      </c>
      <c r="E86" s="49" t="n">
        <v>3241</v>
      </c>
      <c r="F86" s="49" t="n">
        <v>0</v>
      </c>
      <c r="G86" s="50" t="n">
        <f aca="false">IF($A86="","",IF(ISNUMBER($G85),$G85+1,1))</f>
        <v>82</v>
      </c>
      <c r="H86" s="51" t="n">
        <f aca="false">IF(OR(NOT(ISNUMBER($G86)),$G86&lt;2,NOT(ISNUMBER($C85)),$C85=0),"",$C86/$C85-1)</f>
        <v>0.019705974350954</v>
      </c>
      <c r="I86" s="52" t="n">
        <f aca="false">IF(AND(ISNUMBER($G86),$G86&gt;=MA_SHORT),AVERAGE(INDEX($C$5:$C86,83-MA_SHORT):$C86),"")</f>
        <v>3127</v>
      </c>
      <c r="J86" s="52" t="n">
        <f aca="false">IF(AND(ISNUMBER($G86),$G86&gt;=MA_MED),AVERAGE(INDEX($C$5:$C86,83-MA_MED):$C86),"")</f>
        <v>3097.5</v>
      </c>
      <c r="K86" s="52" t="str">
        <f aca="false">IF(AND(ISNUMBER($G86),$G86&gt;=MA_LONG2),AVERAGE(INDEX($C$5:$C86,83-MA_LONG2):$C86),"")</f>
        <v/>
      </c>
      <c r="L86" s="53" t="n">
        <f aca="false">IF(AND(ISNUMBER($G86),$G86&gt;=21),STDEV(INDEX($H$26:$H86,62-20):$H86)*SQRT(245),"")</f>
        <v>0.19866348859131</v>
      </c>
      <c r="M86" s="52" t="n">
        <f aca="false">IF(AND(ISNUMBER($G86),$G86&gt;=60),MAX(INDEX($D$5:$D86,83-60):$D86),"")</f>
        <v>3401</v>
      </c>
      <c r="N86" s="52" t="n">
        <f aca="false">IF(AND(ISNUMBER($G86),$G86&gt;=60),MIN(INDEX($E$5:$E86,83-60):$E86),"")</f>
        <v>2906</v>
      </c>
      <c r="O86" s="53" t="n">
        <f aca="false">IF(OR(NOT(ISNUMBER($C86)),NOT(ISNUMBER($M86)),$M86=0),"",$C86/$M86-1)</f>
        <v>-0.0414583945898265</v>
      </c>
    </row>
    <row r="87" customFormat="false" ht="15" hidden="false" customHeight="false" outlineLevel="0" collapsed="false">
      <c r="A87" s="47" t="n">
        <v>45684</v>
      </c>
      <c r="B87" s="48" t="s">
        <v>235</v>
      </c>
      <c r="C87" s="49" t="n">
        <v>3241</v>
      </c>
      <c r="D87" s="49" t="n">
        <v>3256</v>
      </c>
      <c r="E87" s="49" t="n">
        <v>3209</v>
      </c>
      <c r="F87" s="49" t="n">
        <v>0</v>
      </c>
      <c r="G87" s="50" t="n">
        <f aca="false">IF($A87="","",IF(ISNUMBER($G86),$G86+1,1))</f>
        <v>83</v>
      </c>
      <c r="H87" s="51" t="n">
        <f aca="false">IF(OR(NOT(ISNUMBER($G87)),$G87&lt;2,NOT(ISNUMBER($C86)),$C86=0),"",$C87/$C86-1)</f>
        <v>-0.00582822085889567</v>
      </c>
      <c r="I87" s="52" t="n">
        <f aca="false">IF(AND(ISNUMBER($G87),$G87&gt;=MA_SHORT),AVERAGE(INDEX($C$5:$C87,84-MA_SHORT):$C87),"")</f>
        <v>3143.4</v>
      </c>
      <c r="J87" s="52" t="n">
        <f aca="false">IF(AND(ISNUMBER($G87),$G87&gt;=MA_MED),AVERAGE(INDEX($C$5:$C87,84-MA_MED):$C87),"")</f>
        <v>3098.18</v>
      </c>
      <c r="K87" s="52" t="str">
        <f aca="false">IF(AND(ISNUMBER($G87),$G87&gt;=MA_LONG2),AVERAGE(INDEX($C$5:$C87,84-MA_LONG2):$C87),"")</f>
        <v/>
      </c>
      <c r="L87" s="53" t="n">
        <f aca="false">IF(AND(ISNUMBER($G87),$G87&gt;=21),STDEV(INDEX($H$27:$H87,62-20):$H87)*SQRT(245),"")</f>
        <v>0.195190351892761</v>
      </c>
      <c r="M87" s="52" t="n">
        <f aca="false">IF(AND(ISNUMBER($G87),$G87&gt;=60),MAX(INDEX($D$5:$D87,84-60):$D87),"")</f>
        <v>3401</v>
      </c>
      <c r="N87" s="52" t="n">
        <f aca="false">IF(AND(ISNUMBER($G87),$G87&gt;=60),MIN(INDEX($E$5:$E87,84-60):$E87),"")</f>
        <v>2906</v>
      </c>
      <c r="O87" s="53" t="n">
        <f aca="false">IF(OR(NOT(ISNUMBER($C87)),NOT(ISNUMBER($M87)),$M87=0),"",$C87/$M87-1)</f>
        <v>-0.0470449867685975</v>
      </c>
    </row>
    <row r="88" customFormat="false" ht="15" hidden="false" customHeight="false" outlineLevel="0" collapsed="false">
      <c r="A88" s="47" t="n">
        <v>45685</v>
      </c>
      <c r="B88" s="48" t="s">
        <v>236</v>
      </c>
      <c r="C88" s="49" t="n">
        <v>3257</v>
      </c>
      <c r="D88" s="49" t="n">
        <v>3260</v>
      </c>
      <c r="E88" s="49" t="n">
        <v>3253</v>
      </c>
      <c r="F88" s="49" t="n">
        <v>0</v>
      </c>
      <c r="G88" s="50" t="n">
        <f aca="false">IF($A88="","",IF(ISNUMBER($G87),$G87+1,1))</f>
        <v>84</v>
      </c>
      <c r="H88" s="51" t="n">
        <f aca="false">IF(OR(NOT(ISNUMBER($G88)),$G88&lt;2,NOT(ISNUMBER($C87)),$C87=0),"",$C88/$C87-1)</f>
        <v>0.00493674791730947</v>
      </c>
      <c r="I88" s="52" t="n">
        <f aca="false">IF(AND(ISNUMBER($G88),$G88&gt;=MA_SHORT),AVERAGE(INDEX($C$5:$C88,85-MA_SHORT):$C88),"")</f>
        <v>3158.75</v>
      </c>
      <c r="J88" s="52" t="n">
        <f aca="false">IF(AND(ISNUMBER($G88),$G88&gt;=MA_MED),AVERAGE(INDEX($C$5:$C88,85-MA_MED):$C88),"")</f>
        <v>3100.06</v>
      </c>
      <c r="K88" s="52" t="str">
        <f aca="false">IF(AND(ISNUMBER($G88),$G88&gt;=MA_LONG2),AVERAGE(INDEX($C$5:$C88,85-MA_LONG2):$C88),"")</f>
        <v/>
      </c>
      <c r="L88" s="53" t="n">
        <f aca="false">IF(AND(ISNUMBER($G88),$G88&gt;=21),STDEV(INDEX($H$28:$H88,62-20):$H88)*SQRT(245),"")</f>
        <v>0.193339752165467</v>
      </c>
      <c r="M88" s="52" t="n">
        <f aca="false">IF(AND(ISNUMBER($G88),$G88&gt;=60),MAX(INDEX($D$5:$D88,85-60):$D88),"")</f>
        <v>3401</v>
      </c>
      <c r="N88" s="52" t="n">
        <f aca="false">IF(AND(ISNUMBER($G88),$G88&gt;=60),MIN(INDEX($E$5:$E88,85-60):$E88),"")</f>
        <v>2906</v>
      </c>
      <c r="O88" s="53" t="n">
        <f aca="false">IF(OR(NOT(ISNUMBER($C88)),NOT(ISNUMBER($M88)),$M88=0),"",$C88/$M88-1)</f>
        <v>-0.0423404880917377</v>
      </c>
    </row>
    <row r="89" customFormat="false" ht="15" hidden="false" customHeight="false" outlineLevel="0" collapsed="false">
      <c r="A89" s="47" t="n">
        <v>45686</v>
      </c>
      <c r="B89" s="48" t="s">
        <v>237</v>
      </c>
      <c r="C89" s="49" t="n">
        <v>3254</v>
      </c>
      <c r="D89" s="49" t="n">
        <v>3257</v>
      </c>
      <c r="E89" s="49" t="n">
        <v>3235</v>
      </c>
      <c r="F89" s="49" t="n">
        <v>0</v>
      </c>
      <c r="G89" s="50" t="n">
        <f aca="false">IF($A89="","",IF(ISNUMBER($G88),$G88+1,1))</f>
        <v>85</v>
      </c>
      <c r="H89" s="51" t="n">
        <f aca="false">IF(OR(NOT(ISNUMBER($G89)),$G89&lt;2,NOT(ISNUMBER($C88)),$C88=0),"",$C89/$C88-1)</f>
        <v>-0.000921093030396114</v>
      </c>
      <c r="I89" s="52" t="n">
        <f aca="false">IF(AND(ISNUMBER($G89),$G89&gt;=MA_SHORT),AVERAGE(INDEX($C$5:$C89,86-MA_SHORT):$C89),"")</f>
        <v>3173.2</v>
      </c>
      <c r="J89" s="52" t="n">
        <f aca="false">IF(AND(ISNUMBER($G89),$G89&gt;=MA_MED),AVERAGE(INDEX($C$5:$C89,86-MA_MED):$C89),"")</f>
        <v>3101.62</v>
      </c>
      <c r="K89" s="52" t="str">
        <f aca="false">IF(AND(ISNUMBER($G89),$G89&gt;=MA_LONG2),AVERAGE(INDEX($C$5:$C89,86-MA_LONG2):$C89),"")</f>
        <v/>
      </c>
      <c r="L89" s="53" t="n">
        <f aca="false">IF(AND(ISNUMBER($G89),$G89&gt;=21),STDEV(INDEX($H$29:$H89,62-20):$H89)*SQRT(245),"")</f>
        <v>0.1944591157924</v>
      </c>
      <c r="M89" s="52" t="n">
        <f aca="false">IF(AND(ISNUMBER($G89),$G89&gt;=60),MAX(INDEX($D$5:$D89,86-60):$D89),"")</f>
        <v>3401</v>
      </c>
      <c r="N89" s="52" t="n">
        <f aca="false">IF(AND(ISNUMBER($G89),$G89&gt;=60),MIN(INDEX($E$5:$E89,86-60):$E89),"")</f>
        <v>2906</v>
      </c>
      <c r="O89" s="53" t="n">
        <f aca="false">IF(OR(NOT(ISNUMBER($C89)),NOT(ISNUMBER($M89)),$M89=0),"",$C89/$M89-1)</f>
        <v>-0.0432225815936489</v>
      </c>
    </row>
    <row r="90" customFormat="false" ht="15" hidden="false" customHeight="false" outlineLevel="0" collapsed="false">
      <c r="A90" s="47" t="n">
        <v>45689</v>
      </c>
      <c r="B90" s="48" t="s">
        <v>238</v>
      </c>
      <c r="C90" s="49" t="n">
        <v>3206</v>
      </c>
      <c r="D90" s="49" t="n">
        <v>3213</v>
      </c>
      <c r="E90" s="49" t="n">
        <v>3189</v>
      </c>
      <c r="F90" s="49" t="n">
        <v>0</v>
      </c>
      <c r="G90" s="50" t="n">
        <f aca="false">IF($A90="","",IF(ISNUMBER($G89),$G89+1,1))</f>
        <v>86</v>
      </c>
      <c r="H90" s="51" t="n">
        <f aca="false">IF(OR(NOT(ISNUMBER($G90)),$G90&lt;2,NOT(ISNUMBER($C89)),$C89=0),"",$C90/$C89-1)</f>
        <v>-0.0147510755992625</v>
      </c>
      <c r="I90" s="52" t="n">
        <f aca="false">IF(AND(ISNUMBER($G90),$G90&gt;=MA_SHORT),AVERAGE(INDEX($C$5:$C90,87-MA_SHORT):$C90),"")</f>
        <v>3182.6</v>
      </c>
      <c r="J90" s="52" t="n">
        <f aca="false">IF(AND(ISNUMBER($G90),$G90&gt;=MA_MED),AVERAGE(INDEX($C$5:$C90,87-MA_MED):$C90),"")</f>
        <v>3103.32</v>
      </c>
      <c r="K90" s="52" t="str">
        <f aca="false">IF(AND(ISNUMBER($G90),$G90&gt;=MA_LONG2),AVERAGE(INDEX($C$5:$C90,87-MA_LONG2):$C90),"")</f>
        <v/>
      </c>
      <c r="L90" s="53" t="n">
        <f aca="false">IF(AND(ISNUMBER($G90),$G90&gt;=21),STDEV(INDEX($H$30:$H90,62-20):$H90)*SQRT(245),"")</f>
        <v>0.199492332929331</v>
      </c>
      <c r="M90" s="52" t="n">
        <f aca="false">IF(AND(ISNUMBER($G90),$G90&gt;=60),MAX(INDEX($D$5:$D90,87-60):$D90),"")</f>
        <v>3401</v>
      </c>
      <c r="N90" s="52" t="n">
        <f aca="false">IF(AND(ISNUMBER($G90),$G90&gt;=60),MIN(INDEX($E$5:$E90,87-60):$E90),"")</f>
        <v>2906</v>
      </c>
      <c r="O90" s="53" t="n">
        <f aca="false">IF(OR(NOT(ISNUMBER($C90)),NOT(ISNUMBER($M90)),$M90=0),"",$C90/$M90-1)</f>
        <v>-0.0573360776242282</v>
      </c>
    </row>
    <row r="91" customFormat="false" ht="15" hidden="false" customHeight="false" outlineLevel="0" collapsed="false">
      <c r="A91" s="47" t="n">
        <v>45690</v>
      </c>
      <c r="B91" s="48" t="s">
        <v>239</v>
      </c>
      <c r="C91" s="49" t="n">
        <v>3232</v>
      </c>
      <c r="D91" s="49" t="n">
        <v>3256</v>
      </c>
      <c r="E91" s="49" t="n">
        <v>3228</v>
      </c>
      <c r="F91" s="49" t="n">
        <v>0</v>
      </c>
      <c r="G91" s="50" t="n">
        <f aca="false">IF($A91="","",IF(ISNUMBER($G90),$G90+1,1))</f>
        <v>87</v>
      </c>
      <c r="H91" s="51" t="n">
        <f aca="false">IF(OR(NOT(ISNUMBER($G91)),$G91&lt;2,NOT(ISNUMBER($C90)),$C90=0),"",$C91/$C90-1)</f>
        <v>0.00810979413599511</v>
      </c>
      <c r="I91" s="52" t="n">
        <f aca="false">IF(AND(ISNUMBER($G91),$G91&gt;=MA_SHORT),AVERAGE(INDEX($C$5:$C91,88-MA_SHORT):$C91),"")</f>
        <v>3194.45</v>
      </c>
      <c r="J91" s="52" t="n">
        <f aca="false">IF(AND(ISNUMBER($G91),$G91&gt;=MA_MED),AVERAGE(INDEX($C$5:$C91,88-MA_MED):$C91),"")</f>
        <v>3104.92</v>
      </c>
      <c r="K91" s="52" t="str">
        <f aca="false">IF(AND(ISNUMBER($G91),$G91&gt;=MA_LONG2),AVERAGE(INDEX($C$5:$C91,88-MA_LONG2):$C91),"")</f>
        <v/>
      </c>
      <c r="L91" s="53" t="n">
        <f aca="false">IF(AND(ISNUMBER($G91),$G91&gt;=21),STDEV(INDEX($H$31:$H91,62-20):$H91)*SQRT(245),"")</f>
        <v>0.196158028807454</v>
      </c>
      <c r="M91" s="52" t="n">
        <f aca="false">IF(AND(ISNUMBER($G91),$G91&gt;=60),MAX(INDEX($D$5:$D91,88-60):$D91),"")</f>
        <v>3323</v>
      </c>
      <c r="N91" s="52" t="n">
        <f aca="false">IF(AND(ISNUMBER($G91),$G91&gt;=60),MIN(INDEX($E$5:$E91,88-60):$E91),"")</f>
        <v>2906</v>
      </c>
      <c r="O91" s="53" t="n">
        <f aca="false">IF(OR(NOT(ISNUMBER($C91)),NOT(ISNUMBER($M91)),$M91=0),"",$C91/$M91-1)</f>
        <v>-0.0273848931688233</v>
      </c>
    </row>
    <row r="92" customFormat="false" ht="15" hidden="false" customHeight="false" outlineLevel="0" collapsed="false">
      <c r="A92" s="47" t="n">
        <v>45691</v>
      </c>
      <c r="B92" s="48" t="s">
        <v>240</v>
      </c>
      <c r="C92" s="49" t="n">
        <v>3242</v>
      </c>
      <c r="D92" s="49" t="n">
        <v>3246</v>
      </c>
      <c r="E92" s="49" t="n">
        <v>3238</v>
      </c>
      <c r="F92" s="49" t="n">
        <v>0</v>
      </c>
      <c r="G92" s="50" t="n">
        <f aca="false">IF($A92="","",IF(ISNUMBER($G91),$G91+1,1))</f>
        <v>88</v>
      </c>
      <c r="H92" s="51" t="n">
        <f aca="false">IF(OR(NOT(ISNUMBER($G92)),$G92&lt;2,NOT(ISNUMBER($C91)),$C91=0),"",$C92/$C91-1)</f>
        <v>0.00309405940594054</v>
      </c>
      <c r="I92" s="52" t="n">
        <f aca="false">IF(AND(ISNUMBER($G92),$G92&gt;=MA_SHORT),AVERAGE(INDEX($C$5:$C92,89-MA_SHORT):$C92),"")</f>
        <v>3204.5</v>
      </c>
      <c r="J92" s="52" t="n">
        <f aca="false">IF(AND(ISNUMBER($G92),$G92&gt;=MA_MED),AVERAGE(INDEX($C$5:$C92,89-MA_MED):$C92),"")</f>
        <v>3106.14</v>
      </c>
      <c r="K92" s="52" t="str">
        <f aca="false">IF(AND(ISNUMBER($G92),$G92&gt;=MA_LONG2),AVERAGE(INDEX($C$5:$C92,89-MA_LONG2):$C92),"")</f>
        <v/>
      </c>
      <c r="L92" s="53" t="n">
        <f aca="false">IF(AND(ISNUMBER($G92),$G92&gt;=21),STDEV(INDEX($H$32:$H92,62-20):$H92)*SQRT(245),"")</f>
        <v>0.191553835796506</v>
      </c>
      <c r="M92" s="52" t="n">
        <f aca="false">IF(AND(ISNUMBER($G92),$G92&gt;=60),MAX(INDEX($D$5:$D92,89-60):$D92),"")</f>
        <v>3310</v>
      </c>
      <c r="N92" s="52" t="n">
        <f aca="false">IF(AND(ISNUMBER($G92),$G92&gt;=60),MIN(INDEX($E$5:$E92,89-60):$E92),"")</f>
        <v>2906</v>
      </c>
      <c r="O92" s="53" t="n">
        <f aca="false">IF(OR(NOT(ISNUMBER($C92)),NOT(ISNUMBER($M92)),$M92=0),"",$C92/$M92-1)</f>
        <v>-0.0205438066465257</v>
      </c>
    </row>
    <row r="93" customFormat="false" ht="15" hidden="false" customHeight="false" outlineLevel="0" collapsed="false">
      <c r="A93" s="47" t="n">
        <v>45692</v>
      </c>
      <c r="B93" s="48" t="s">
        <v>241</v>
      </c>
      <c r="C93" s="49" t="n">
        <v>3321</v>
      </c>
      <c r="D93" s="49" t="n">
        <v>3340</v>
      </c>
      <c r="E93" s="49" t="n">
        <v>3314</v>
      </c>
      <c r="F93" s="49" t="n">
        <v>0</v>
      </c>
      <c r="G93" s="50" t="n">
        <f aca="false">IF($A93="","",IF(ISNUMBER($G92),$G92+1,1))</f>
        <v>89</v>
      </c>
      <c r="H93" s="51" t="n">
        <f aca="false">IF(OR(NOT(ISNUMBER($G93)),$G93&lt;2,NOT(ISNUMBER($C92)),$C92=0),"",$C93/$C92-1)</f>
        <v>0.0243676742751389</v>
      </c>
      <c r="I93" s="52" t="n">
        <f aca="false">IF(AND(ISNUMBER($G93),$G93&gt;=MA_SHORT),AVERAGE(INDEX($C$5:$C93,90-MA_SHORT):$C93),"")</f>
        <v>3218.15</v>
      </c>
      <c r="J93" s="52" t="n">
        <f aca="false">IF(AND(ISNUMBER($G93),$G93&gt;=MA_MED),AVERAGE(INDEX($C$5:$C93,90-MA_MED):$C93),"")</f>
        <v>3108.74</v>
      </c>
      <c r="K93" s="52" t="str">
        <f aca="false">IF(AND(ISNUMBER($G93),$G93&gt;=MA_LONG2),AVERAGE(INDEX($C$5:$C93,90-MA_LONG2):$C93),"")</f>
        <v/>
      </c>
      <c r="L93" s="53" t="n">
        <f aca="false">IF(AND(ISNUMBER($G93),$G93&gt;=21),STDEV(INDEX($H$33:$H93,62-20):$H93)*SQRT(245),"")</f>
        <v>0.205189914057703</v>
      </c>
      <c r="M93" s="52" t="n">
        <f aca="false">IF(AND(ISNUMBER($G93),$G93&gt;=60),MAX(INDEX($D$5:$D93,90-60):$D93),"")</f>
        <v>3340</v>
      </c>
      <c r="N93" s="52" t="n">
        <f aca="false">IF(AND(ISNUMBER($G93),$G93&gt;=60),MIN(INDEX($E$5:$E93,90-60):$E93),"")</f>
        <v>2906</v>
      </c>
      <c r="O93" s="53" t="n">
        <f aca="false">IF(OR(NOT(ISNUMBER($C93)),NOT(ISNUMBER($M93)),$M93=0),"",$C93/$M93-1)</f>
        <v>-0.005688622754491</v>
      </c>
    </row>
    <row r="94" customFormat="false" ht="15" hidden="false" customHeight="false" outlineLevel="0" collapsed="false">
      <c r="A94" s="47" t="n">
        <v>45693</v>
      </c>
      <c r="B94" s="48" t="s">
        <v>242</v>
      </c>
      <c r="C94" s="49" t="n">
        <v>3303</v>
      </c>
      <c r="D94" s="49" t="n">
        <v>3304</v>
      </c>
      <c r="E94" s="49" t="n">
        <v>3299</v>
      </c>
      <c r="F94" s="49" t="n">
        <v>0</v>
      </c>
      <c r="G94" s="50" t="n">
        <f aca="false">IF($A94="","",IF(ISNUMBER($G93),$G93+1,1))</f>
        <v>90</v>
      </c>
      <c r="H94" s="51" t="n">
        <f aca="false">IF(OR(NOT(ISNUMBER($G94)),$G94&lt;2,NOT(ISNUMBER($C93)),$C93=0),"",$C94/$C93-1)</f>
        <v>-0.00542005420054204</v>
      </c>
      <c r="I94" s="52" t="n">
        <f aca="false">IF(AND(ISNUMBER($G94),$G94&gt;=MA_SHORT),AVERAGE(INDEX($C$5:$C94,91-MA_SHORT):$C94),"")</f>
        <v>3230.9</v>
      </c>
      <c r="J94" s="52" t="n">
        <f aca="false">IF(AND(ISNUMBER($G94),$G94&gt;=MA_MED),AVERAGE(INDEX($C$5:$C94,91-MA_MED):$C94),"")</f>
        <v>3110.84</v>
      </c>
      <c r="K94" s="52" t="str">
        <f aca="false">IF(AND(ISNUMBER($G94),$G94&gt;=MA_LONG2),AVERAGE(INDEX($C$5:$C94,91-MA_LONG2):$C94),"")</f>
        <v/>
      </c>
      <c r="L94" s="53" t="n">
        <f aca="false">IF(AND(ISNUMBER($G94),$G94&gt;=21),STDEV(INDEX($H$34:$H94,62-20):$H94)*SQRT(245),"")</f>
        <v>0.207545041485575</v>
      </c>
      <c r="M94" s="52" t="n">
        <f aca="false">IF(AND(ISNUMBER($G94),$G94&gt;=60),MAX(INDEX($D$5:$D94,91-60):$D94),"")</f>
        <v>3340</v>
      </c>
      <c r="N94" s="52" t="n">
        <f aca="false">IF(AND(ISNUMBER($G94),$G94&gt;=60),MIN(INDEX($E$5:$E94,91-60):$E94),"")</f>
        <v>2906</v>
      </c>
      <c r="O94" s="53" t="n">
        <f aca="false">IF(OR(NOT(ISNUMBER($C94)),NOT(ISNUMBER($M94)),$M94=0),"",$C94/$M94-1)</f>
        <v>-0.0110778443113773</v>
      </c>
    </row>
    <row r="95" customFormat="false" ht="15" hidden="false" customHeight="false" outlineLevel="0" collapsed="false">
      <c r="A95" s="47" t="n">
        <v>45696</v>
      </c>
      <c r="B95" s="48" t="s">
        <v>243</v>
      </c>
      <c r="C95" s="49" t="n">
        <v>3334</v>
      </c>
      <c r="D95" s="49" t="n">
        <v>3341</v>
      </c>
      <c r="E95" s="49" t="n">
        <v>3310</v>
      </c>
      <c r="F95" s="49" t="n">
        <v>0</v>
      </c>
      <c r="G95" s="50" t="n">
        <f aca="false">IF($A95="","",IF(ISNUMBER($G94),$G94+1,1))</f>
        <v>91</v>
      </c>
      <c r="H95" s="51" t="n">
        <f aca="false">IF(OR(NOT(ISNUMBER($G95)),$G95&lt;2,NOT(ISNUMBER($C94)),$C94=0),"",$C95/$C94-1)</f>
        <v>0.0093854072055708</v>
      </c>
      <c r="I95" s="52" t="n">
        <f aca="false">IF(AND(ISNUMBER($G95),$G95&gt;=MA_SHORT),AVERAGE(INDEX($C$5:$C95,92-MA_SHORT):$C95),"")</f>
        <v>3244.75</v>
      </c>
      <c r="J95" s="52" t="n">
        <f aca="false">IF(AND(ISNUMBER($G95),$G95&gt;=MA_MED),AVERAGE(INDEX($C$5:$C95,92-MA_MED):$C95),"")</f>
        <v>3115.34</v>
      </c>
      <c r="K95" s="52" t="str">
        <f aca="false">IF(AND(ISNUMBER($G95),$G95&gt;=MA_LONG2),AVERAGE(INDEX($C$5:$C95,92-MA_LONG2):$C95),"")</f>
        <v/>
      </c>
      <c r="L95" s="53" t="n">
        <f aca="false">IF(AND(ISNUMBER($G95),$G95&gt;=21),STDEV(INDEX($H$35:$H95,62-20):$H95)*SQRT(245),"")</f>
        <v>0.208302897268408</v>
      </c>
      <c r="M95" s="52" t="n">
        <f aca="false">IF(AND(ISNUMBER($G95),$G95&gt;=60),MAX(INDEX($D$5:$D95,92-60):$D95),"")</f>
        <v>3341</v>
      </c>
      <c r="N95" s="52" t="n">
        <f aca="false">IF(AND(ISNUMBER($G95),$G95&gt;=60),MIN(INDEX($E$5:$E95,92-60):$E95),"")</f>
        <v>2906</v>
      </c>
      <c r="O95" s="53" t="n">
        <f aca="false">IF(OR(NOT(ISNUMBER($C95)),NOT(ISNUMBER($M95)),$M95=0),"",$C95/$M95-1)</f>
        <v>-0.00209518108350792</v>
      </c>
    </row>
    <row r="96" customFormat="false" ht="15" hidden="false" customHeight="false" outlineLevel="0" collapsed="false">
      <c r="A96" s="47" t="n">
        <v>45697</v>
      </c>
      <c r="B96" s="48" t="s">
        <v>244</v>
      </c>
      <c r="C96" s="49" t="n">
        <v>3376</v>
      </c>
      <c r="D96" s="49" t="n">
        <v>3388</v>
      </c>
      <c r="E96" s="49" t="n">
        <v>3354</v>
      </c>
      <c r="F96" s="49" t="n">
        <v>0</v>
      </c>
      <c r="G96" s="50" t="n">
        <f aca="false">IF($A96="","",IF(ISNUMBER($G95),$G95+1,1))</f>
        <v>92</v>
      </c>
      <c r="H96" s="51" t="n">
        <f aca="false">IF(OR(NOT(ISNUMBER($G96)),$G96&lt;2,NOT(ISNUMBER($C95)),$C95=0),"",$C96/$C95-1)</f>
        <v>0.0125974805038993</v>
      </c>
      <c r="I96" s="52" t="n">
        <f aca="false">IF(AND(ISNUMBER($G96),$G96&gt;=MA_SHORT),AVERAGE(INDEX($C$5:$C96,93-MA_SHORT):$C96),"")</f>
        <v>3256.3</v>
      </c>
      <c r="J96" s="52" t="n">
        <f aca="false">IF(AND(ISNUMBER($G96),$G96&gt;=MA_MED),AVERAGE(INDEX($C$5:$C96,93-MA_MED):$C96),"")</f>
        <v>3122.16</v>
      </c>
      <c r="K96" s="52" t="str">
        <f aca="false">IF(AND(ISNUMBER($G96),$G96&gt;=MA_LONG2),AVERAGE(INDEX($C$5:$C96,93-MA_LONG2):$C96),"")</f>
        <v/>
      </c>
      <c r="L96" s="53" t="n">
        <f aca="false">IF(AND(ISNUMBER($G96),$G96&gt;=21),STDEV(INDEX($H$36:$H96,62-20):$H96)*SQRT(245),"")</f>
        <v>0.19087112010248</v>
      </c>
      <c r="M96" s="52" t="n">
        <f aca="false">IF(AND(ISNUMBER($G96),$G96&gt;=60),MAX(INDEX($D$5:$D96,93-60):$D96),"")</f>
        <v>3388</v>
      </c>
      <c r="N96" s="52" t="n">
        <f aca="false">IF(AND(ISNUMBER($G96),$G96&gt;=60),MIN(INDEX($E$5:$E96,93-60):$E96),"")</f>
        <v>2906</v>
      </c>
      <c r="O96" s="53" t="n">
        <f aca="false">IF(OR(NOT(ISNUMBER($C96)),NOT(ISNUMBER($M96)),$M96=0),"",$C96/$M96-1)</f>
        <v>-0.00354191263282178</v>
      </c>
    </row>
    <row r="97" customFormat="false" ht="15" hidden="false" customHeight="false" outlineLevel="0" collapsed="false">
      <c r="A97" s="47" t="n">
        <v>45698</v>
      </c>
      <c r="B97" s="48" t="s">
        <v>245</v>
      </c>
      <c r="C97" s="49" t="n">
        <v>3361</v>
      </c>
      <c r="D97" s="49" t="n">
        <v>3369</v>
      </c>
      <c r="E97" s="49" t="n">
        <v>3358</v>
      </c>
      <c r="F97" s="49" t="n">
        <v>0</v>
      </c>
      <c r="G97" s="50" t="n">
        <f aca="false">IF($A97="","",IF(ISNUMBER($G96),$G96+1,1))</f>
        <v>93</v>
      </c>
      <c r="H97" s="51" t="n">
        <f aca="false">IF(OR(NOT(ISNUMBER($G97)),$G97&lt;2,NOT(ISNUMBER($C96)),$C96=0),"",$C97/$C96-1)</f>
        <v>-0.00444312796208535</v>
      </c>
      <c r="I97" s="52" t="n">
        <f aca="false">IF(AND(ISNUMBER($G97),$G97&gt;=MA_SHORT),AVERAGE(INDEX($C$5:$C97,94-MA_SHORT):$C97),"")</f>
        <v>3265.65</v>
      </c>
      <c r="J97" s="52" t="n">
        <f aca="false">IF(AND(ISNUMBER($G97),$G97&gt;=MA_MED),AVERAGE(INDEX($C$5:$C97,94-MA_MED):$C97),"")</f>
        <v>3127.7</v>
      </c>
      <c r="K97" s="52" t="str">
        <f aca="false">IF(AND(ISNUMBER($G97),$G97&gt;=MA_LONG2),AVERAGE(INDEX($C$5:$C97,94-MA_LONG2):$C97),"")</f>
        <v/>
      </c>
      <c r="L97" s="53" t="n">
        <f aca="false">IF(AND(ISNUMBER($G97),$G97&gt;=21),STDEV(INDEX($H$37:$H97,62-20):$H97)*SQRT(245),"")</f>
        <v>0.191691116160427</v>
      </c>
      <c r="M97" s="52" t="n">
        <f aca="false">IF(AND(ISNUMBER($G97),$G97&gt;=60),MAX(INDEX($D$5:$D97,94-60):$D97),"")</f>
        <v>3388</v>
      </c>
      <c r="N97" s="52" t="n">
        <f aca="false">IF(AND(ISNUMBER($G97),$G97&gt;=60),MIN(INDEX($E$5:$E97,94-60):$E97),"")</f>
        <v>2906</v>
      </c>
      <c r="O97" s="53" t="n">
        <f aca="false">IF(OR(NOT(ISNUMBER($C97)),NOT(ISNUMBER($M97)),$M97=0),"",$C97/$M97-1)</f>
        <v>-0.00796930342384883</v>
      </c>
    </row>
    <row r="98" customFormat="false" ht="15" hidden="false" customHeight="false" outlineLevel="0" collapsed="false">
      <c r="A98" s="47" t="n">
        <v>45699</v>
      </c>
      <c r="B98" s="48" t="s">
        <v>246</v>
      </c>
      <c r="C98" s="49" t="n">
        <v>3423</v>
      </c>
      <c r="D98" s="49" t="n">
        <v>3428</v>
      </c>
      <c r="E98" s="49" t="n">
        <v>3405</v>
      </c>
      <c r="F98" s="49" t="n">
        <v>0</v>
      </c>
      <c r="G98" s="50" t="n">
        <f aca="false">IF($A98="","",IF(ISNUMBER($G97),$G97+1,1))</f>
        <v>94</v>
      </c>
      <c r="H98" s="51" t="n">
        <f aca="false">IF(OR(NOT(ISNUMBER($G98)),$G98&lt;2,NOT(ISNUMBER($C97)),$C97=0),"",$C98/$C97-1)</f>
        <v>0.0184468908063076</v>
      </c>
      <c r="I98" s="52" t="n">
        <f aca="false">IF(AND(ISNUMBER($G98),$G98&gt;=MA_SHORT),AVERAGE(INDEX($C$5:$C98,95-MA_SHORT):$C98),"")</f>
        <v>3277.95</v>
      </c>
      <c r="J98" s="52" t="n">
        <f aca="false">IF(AND(ISNUMBER($G98),$G98&gt;=MA_MED),AVERAGE(INDEX($C$5:$C98,95-MA_MED):$C98),"")</f>
        <v>3134.36</v>
      </c>
      <c r="K98" s="52" t="str">
        <f aca="false">IF(AND(ISNUMBER($G98),$G98&gt;=MA_LONG2),AVERAGE(INDEX($C$5:$C98,95-MA_LONG2):$C98),"")</f>
        <v/>
      </c>
      <c r="L98" s="53" t="n">
        <f aca="false">IF(AND(ISNUMBER($G98),$G98&gt;=21),STDEV(INDEX($H$38:$H98,62-20):$H98)*SQRT(245),"")</f>
        <v>0.198993750536575</v>
      </c>
      <c r="M98" s="52" t="n">
        <f aca="false">IF(AND(ISNUMBER($G98),$G98&gt;=60),MAX(INDEX($D$5:$D98,95-60):$D98),"")</f>
        <v>3428</v>
      </c>
      <c r="N98" s="52" t="n">
        <f aca="false">IF(AND(ISNUMBER($G98),$G98&gt;=60),MIN(INDEX($E$5:$E98,95-60):$E98),"")</f>
        <v>2906</v>
      </c>
      <c r="O98" s="53" t="n">
        <f aca="false">IF(OR(NOT(ISNUMBER($C98)),NOT(ISNUMBER($M98)),$M98=0),"",$C98/$M98-1)</f>
        <v>-0.00145857642940495</v>
      </c>
    </row>
    <row r="99" customFormat="false" ht="15" hidden="false" customHeight="false" outlineLevel="0" collapsed="false">
      <c r="A99" s="47" t="n">
        <v>45700</v>
      </c>
      <c r="B99" s="48" t="s">
        <v>247</v>
      </c>
      <c r="C99" s="49" t="n">
        <v>3392</v>
      </c>
      <c r="D99" s="49" t="n">
        <v>3414</v>
      </c>
      <c r="E99" s="49" t="n">
        <v>3376</v>
      </c>
      <c r="F99" s="49" t="n">
        <v>0</v>
      </c>
      <c r="G99" s="50" t="n">
        <f aca="false">IF($A99="","",IF(ISNUMBER($G98),$G98+1,1))</f>
        <v>95</v>
      </c>
      <c r="H99" s="51" t="n">
        <f aca="false">IF(OR(NOT(ISNUMBER($G99)),$G99&lt;2,NOT(ISNUMBER($C98)),$C98=0),"",$C99/$C98-1)</f>
        <v>-0.00905638328951208</v>
      </c>
      <c r="I99" s="52" t="n">
        <f aca="false">IF(AND(ISNUMBER($G99),$G99&gt;=MA_SHORT),AVERAGE(INDEX($C$5:$C99,96-MA_SHORT):$C99),"")</f>
        <v>3285.65</v>
      </c>
      <c r="J99" s="52" t="n">
        <f aca="false">IF(AND(ISNUMBER($G99),$G99&gt;=MA_MED),AVERAGE(INDEX($C$5:$C99,96-MA_MED):$C99),"")</f>
        <v>3140.72</v>
      </c>
      <c r="K99" s="52" t="str">
        <f aca="false">IF(AND(ISNUMBER($G99),$G99&gt;=MA_LONG2),AVERAGE(INDEX($C$5:$C99,96-MA_LONG2):$C99),"")</f>
        <v/>
      </c>
      <c r="L99" s="53" t="n">
        <f aca="false">IF(AND(ISNUMBER($G99),$G99&gt;=21),STDEV(INDEX($H$39:$H99,62-20):$H99)*SQRT(245),"")</f>
        <v>0.195361016480828</v>
      </c>
      <c r="M99" s="52" t="n">
        <f aca="false">IF(AND(ISNUMBER($G99),$G99&gt;=60),MAX(INDEX($D$5:$D99,96-60):$D99),"")</f>
        <v>3428</v>
      </c>
      <c r="N99" s="52" t="n">
        <f aca="false">IF(AND(ISNUMBER($G99),$G99&gt;=60),MIN(INDEX($E$5:$E99,96-60):$E99),"")</f>
        <v>2906</v>
      </c>
      <c r="O99" s="53" t="n">
        <f aca="false">IF(OR(NOT(ISNUMBER($C99)),NOT(ISNUMBER($M99)),$M99=0),"",$C99/$M99-1)</f>
        <v>-0.0105017502917153</v>
      </c>
    </row>
    <row r="100" customFormat="false" ht="15" hidden="false" customHeight="false" outlineLevel="0" collapsed="false">
      <c r="A100" s="47" t="n">
        <v>45703</v>
      </c>
      <c r="B100" s="48" t="s">
        <v>248</v>
      </c>
      <c r="C100" s="49" t="n">
        <v>3428</v>
      </c>
      <c r="D100" s="49" t="n">
        <v>3440</v>
      </c>
      <c r="E100" s="49" t="n">
        <v>3412</v>
      </c>
      <c r="F100" s="49" t="n">
        <v>0</v>
      </c>
      <c r="G100" s="50" t="n">
        <f aca="false">IF($A100="","",IF(ISNUMBER($G99),$G99+1,1))</f>
        <v>96</v>
      </c>
      <c r="H100" s="51" t="n">
        <f aca="false">IF(OR(NOT(ISNUMBER($G100)),$G100&lt;2,NOT(ISNUMBER($C99)),$C99=0),"",$C100/$C99-1)</f>
        <v>0.0106132075471699</v>
      </c>
      <c r="I100" s="52" t="n">
        <f aca="false">IF(AND(ISNUMBER($G100),$G100&gt;=MA_SHORT),AVERAGE(INDEX($C$5:$C100,97-MA_SHORT):$C100),"")</f>
        <v>3295.1</v>
      </c>
      <c r="J100" s="52" t="n">
        <f aca="false">IF(AND(ISNUMBER($G100),$G100&gt;=MA_MED),AVERAGE(INDEX($C$5:$C100,97-MA_MED):$C100),"")</f>
        <v>3147.68</v>
      </c>
      <c r="K100" s="52" t="str">
        <f aca="false">IF(AND(ISNUMBER($G100),$G100&gt;=MA_LONG2),AVERAGE(INDEX($C$5:$C100,97-MA_LONG2):$C100),"")</f>
        <v/>
      </c>
      <c r="L100" s="53" t="n">
        <f aca="false">IF(AND(ISNUMBER($G100),$G100&gt;=21),STDEV(INDEX($H$40:$H100,62-20):$H100)*SQRT(245),"")</f>
        <v>0.197258657759803</v>
      </c>
      <c r="M100" s="52" t="n">
        <f aca="false">IF(AND(ISNUMBER($G100),$G100&gt;=60),MAX(INDEX($D$5:$D100,97-60):$D100),"")</f>
        <v>3440</v>
      </c>
      <c r="N100" s="52" t="n">
        <f aca="false">IF(AND(ISNUMBER($G100),$G100&gt;=60),MIN(INDEX($E$5:$E100,97-60):$E100),"")</f>
        <v>2906</v>
      </c>
      <c r="O100" s="53" t="n">
        <f aca="false">IF(OR(NOT(ISNUMBER($C100)),NOT(ISNUMBER($M100)),$M100=0),"",$C100/$M100-1)</f>
        <v>-0.00348837209302322</v>
      </c>
    </row>
    <row r="101" customFormat="false" ht="15" hidden="false" customHeight="false" outlineLevel="0" collapsed="false">
      <c r="A101" s="47" t="n">
        <v>45704</v>
      </c>
      <c r="B101" s="48" t="s">
        <v>249</v>
      </c>
      <c r="C101" s="49" t="n">
        <v>3374</v>
      </c>
      <c r="D101" s="49" t="n">
        <v>3378</v>
      </c>
      <c r="E101" s="49" t="n">
        <v>3369</v>
      </c>
      <c r="F101" s="49" t="n">
        <v>0</v>
      </c>
      <c r="G101" s="50" t="n">
        <f aca="false">IF($A101="","",IF(ISNUMBER($G100),$G100+1,1))</f>
        <v>97</v>
      </c>
      <c r="H101" s="51" t="n">
        <f aca="false">IF(OR(NOT(ISNUMBER($G101)),$G101&lt;2,NOT(ISNUMBER($C100)),$C100=0),"",$C101/$C100-1)</f>
        <v>-0.0157526254375729</v>
      </c>
      <c r="I101" s="52" t="n">
        <f aca="false">IF(AND(ISNUMBER($G101),$G101&gt;=MA_SHORT),AVERAGE(INDEX($C$5:$C101,98-MA_SHORT):$C101),"")</f>
        <v>3301.65</v>
      </c>
      <c r="J101" s="52" t="n">
        <f aca="false">IF(AND(ISNUMBER($G101),$G101&gt;=MA_MED),AVERAGE(INDEX($C$5:$C101,98-MA_MED):$C101),"")</f>
        <v>3153.54</v>
      </c>
      <c r="K101" s="52" t="str">
        <f aca="false">IF(AND(ISNUMBER($G101),$G101&gt;=MA_LONG2),AVERAGE(INDEX($C$5:$C101,98-MA_LONG2):$C101),"")</f>
        <v/>
      </c>
      <c r="L101" s="53" t="n">
        <f aca="false">IF(AND(ISNUMBER($G101),$G101&gt;=21),STDEV(INDEX($H$41:$H101,62-20):$H101)*SQRT(245),"")</f>
        <v>0.207802988465093</v>
      </c>
      <c r="M101" s="52" t="n">
        <f aca="false">IF(AND(ISNUMBER($G101),$G101&gt;=60),MAX(INDEX($D$5:$D101,98-60):$D101),"")</f>
        <v>3440</v>
      </c>
      <c r="N101" s="52" t="n">
        <f aca="false">IF(AND(ISNUMBER($G101),$G101&gt;=60),MIN(INDEX($E$5:$E101,98-60):$E101),"")</f>
        <v>2906</v>
      </c>
      <c r="O101" s="53" t="n">
        <f aca="false">IF(OR(NOT(ISNUMBER($C101)),NOT(ISNUMBER($M101)),$M101=0),"",$C101/$M101-1)</f>
        <v>-0.0191860465116279</v>
      </c>
    </row>
    <row r="102" customFormat="false" ht="15" hidden="false" customHeight="false" outlineLevel="0" collapsed="false">
      <c r="A102" s="47" t="n">
        <v>45705</v>
      </c>
      <c r="B102" s="48" t="s">
        <v>250</v>
      </c>
      <c r="C102" s="49" t="n">
        <v>3422</v>
      </c>
      <c r="D102" s="49" t="n">
        <v>3429</v>
      </c>
      <c r="E102" s="49" t="n">
        <v>3408</v>
      </c>
      <c r="F102" s="49" t="n">
        <v>0</v>
      </c>
      <c r="G102" s="50" t="n">
        <f aca="false">IF($A102="","",IF(ISNUMBER($G101),$G101+1,1))</f>
        <v>98</v>
      </c>
      <c r="H102" s="51" t="n">
        <f aca="false">IF(OR(NOT(ISNUMBER($G102)),$G102&lt;2,NOT(ISNUMBER($C101)),$C101=0),"",$C102/$C101-1)</f>
        <v>0.0142264374629519</v>
      </c>
      <c r="I102" s="52" t="n">
        <f aca="false">IF(AND(ISNUMBER($G102),$G102&gt;=MA_SHORT),AVERAGE(INDEX($C$5:$C102,99-MA_SHORT):$C102),"")</f>
        <v>3307.75</v>
      </c>
      <c r="J102" s="52" t="n">
        <f aca="false">IF(AND(ISNUMBER($G102),$G102&gt;=MA_MED),AVERAGE(INDEX($C$5:$C102,99-MA_MED):$C102),"")</f>
        <v>3160.86</v>
      </c>
      <c r="K102" s="52" t="str">
        <f aca="false">IF(AND(ISNUMBER($G102),$G102&gt;=MA_LONG2),AVERAGE(INDEX($C$5:$C102,99-MA_LONG2):$C102),"")</f>
        <v/>
      </c>
      <c r="L102" s="53" t="n">
        <f aca="false">IF(AND(ISNUMBER($G102),$G102&gt;=21),STDEV(INDEX($H$42:$H102,62-20):$H102)*SQRT(245),"")</f>
        <v>0.204889121651429</v>
      </c>
      <c r="M102" s="52" t="n">
        <f aca="false">IF(AND(ISNUMBER($G102),$G102&gt;=60),MAX(INDEX($D$5:$D102,99-60):$D102),"")</f>
        <v>3440</v>
      </c>
      <c r="N102" s="52" t="n">
        <f aca="false">IF(AND(ISNUMBER($G102),$G102&gt;=60),MIN(INDEX($E$5:$E102,99-60):$E102),"")</f>
        <v>2906</v>
      </c>
      <c r="O102" s="53" t="n">
        <f aca="false">IF(OR(NOT(ISNUMBER($C102)),NOT(ISNUMBER($M102)),$M102=0),"",$C102/$M102-1)</f>
        <v>-0.00523255813953494</v>
      </c>
    </row>
    <row r="103" customFormat="false" ht="15" hidden="false" customHeight="false" outlineLevel="0" collapsed="false">
      <c r="A103" s="47" t="n">
        <v>45706</v>
      </c>
      <c r="B103" s="48" t="s">
        <v>251</v>
      </c>
      <c r="C103" s="49" t="n">
        <v>3506</v>
      </c>
      <c r="D103" s="49" t="n">
        <v>3509</v>
      </c>
      <c r="E103" s="49" t="n">
        <v>3504</v>
      </c>
      <c r="F103" s="49" t="n">
        <v>0</v>
      </c>
      <c r="G103" s="50" t="n">
        <f aca="false">IF($A103="","",IF(ISNUMBER($G102),$G102+1,1))</f>
        <v>99</v>
      </c>
      <c r="H103" s="51" t="n">
        <f aca="false">IF(OR(NOT(ISNUMBER($G103)),$G103&lt;2,NOT(ISNUMBER($C102)),$C102=0),"",$C103/$C102-1)</f>
        <v>0.0245470485096435</v>
      </c>
      <c r="I103" s="52" t="n">
        <f aca="false">IF(AND(ISNUMBER($G103),$G103&gt;=MA_SHORT),AVERAGE(INDEX($C$5:$C103,100-MA_SHORT):$C103),"")</f>
        <v>3320.1</v>
      </c>
      <c r="J103" s="52" t="n">
        <f aca="false">IF(AND(ISNUMBER($G103),$G103&gt;=MA_MED),AVERAGE(INDEX($C$5:$C103,100-MA_MED):$C103),"")</f>
        <v>3169.96</v>
      </c>
      <c r="K103" s="52" t="str">
        <f aca="false">IF(AND(ISNUMBER($G103),$G103&gt;=MA_LONG2),AVERAGE(INDEX($C$5:$C103,100-MA_LONG2):$C103),"")</f>
        <v/>
      </c>
      <c r="L103" s="53" t="n">
        <f aca="false">IF(AND(ISNUMBER($G103),$G103&gt;=21),STDEV(INDEX($H$43:$H103,62-20):$H103)*SQRT(245),"")</f>
        <v>0.212291885346417</v>
      </c>
      <c r="M103" s="52" t="n">
        <f aca="false">IF(AND(ISNUMBER($G103),$G103&gt;=60),MAX(INDEX($D$5:$D103,100-60):$D103),"")</f>
        <v>3509</v>
      </c>
      <c r="N103" s="52" t="n">
        <f aca="false">IF(AND(ISNUMBER($G103),$G103&gt;=60),MIN(INDEX($E$5:$E103,100-60):$E103),"")</f>
        <v>2906</v>
      </c>
      <c r="O103" s="53" t="n">
        <f aca="false">IF(OR(NOT(ISNUMBER($C103)),NOT(ISNUMBER($M103)),$M103=0),"",$C103/$M103-1)</f>
        <v>-0.000854944428612114</v>
      </c>
    </row>
    <row r="104" customFormat="false" ht="15" hidden="false" customHeight="false" outlineLevel="0" collapsed="false">
      <c r="A104" s="47" t="n">
        <v>45707</v>
      </c>
      <c r="B104" s="48" t="s">
        <v>252</v>
      </c>
      <c r="C104" s="49" t="n">
        <v>3519</v>
      </c>
      <c r="D104" s="49" t="n">
        <v>3540</v>
      </c>
      <c r="E104" s="49" t="n">
        <v>3507</v>
      </c>
      <c r="F104" s="49" t="n">
        <v>0</v>
      </c>
      <c r="G104" s="50" t="n">
        <f aca="false">IF($A104="","",IF(ISNUMBER($G103),$G103+1,1))</f>
        <v>100</v>
      </c>
      <c r="H104" s="51" t="n">
        <f aca="false">IF(OR(NOT(ISNUMBER($G104)),$G104&lt;2,NOT(ISNUMBER($C103)),$C103=0),"",$C104/$C103-1)</f>
        <v>0.00370792926411867</v>
      </c>
      <c r="I104" s="52" t="n">
        <f aca="false">IF(AND(ISNUMBER($G104),$G104&gt;=MA_SHORT),AVERAGE(INDEX($C$5:$C104,101-MA_SHORT):$C104),"")</f>
        <v>3332.4</v>
      </c>
      <c r="J104" s="52" t="n">
        <f aca="false">IF(AND(ISNUMBER($G104),$G104&gt;=MA_MED),AVERAGE(INDEX($C$5:$C104,101-MA_MED):$C104),"")</f>
        <v>3178.12</v>
      </c>
      <c r="K104" s="52" t="str">
        <f aca="false">IF(AND(ISNUMBER($G104),$G104&gt;=MA_LONG2),AVERAGE(INDEX($C$5:$C104,101-MA_LONG2):$C104),"")</f>
        <v/>
      </c>
      <c r="L104" s="53" t="n">
        <f aca="false">IF(AND(ISNUMBER($G104),$G104&gt;=21),STDEV(INDEX($H$44:$H104,62-20):$H104)*SQRT(245),"")</f>
        <v>0.212282248526846</v>
      </c>
      <c r="M104" s="52" t="n">
        <f aca="false">IF(AND(ISNUMBER($G104),$G104&gt;=60),MAX(INDEX($D$5:$D104,101-60):$D104),"")</f>
        <v>3540</v>
      </c>
      <c r="N104" s="52" t="n">
        <f aca="false">IF(AND(ISNUMBER($G104),$G104&gt;=60),MIN(INDEX($E$5:$E104,101-60):$E104),"")</f>
        <v>2906</v>
      </c>
      <c r="O104" s="53" t="n">
        <f aca="false">IF(OR(NOT(ISNUMBER($C104)),NOT(ISNUMBER($M104)),$M104=0),"",$C104/$M104-1)</f>
        <v>-0.00593220338983047</v>
      </c>
    </row>
    <row r="105" customFormat="false" ht="15" hidden="false" customHeight="false" outlineLevel="0" collapsed="false">
      <c r="A105" s="47" t="n">
        <v>45710</v>
      </c>
      <c r="B105" s="48" t="s">
        <v>253</v>
      </c>
      <c r="C105" s="49" t="n">
        <v>3560</v>
      </c>
      <c r="D105" s="49" t="n">
        <v>3570</v>
      </c>
      <c r="E105" s="49" t="n">
        <v>3553</v>
      </c>
      <c r="F105" s="49" t="n">
        <v>0</v>
      </c>
      <c r="G105" s="50" t="n">
        <f aca="false">IF($A105="","",IF(ISNUMBER($G104),$G104+1,1))</f>
        <v>101</v>
      </c>
      <c r="H105" s="51" t="n">
        <f aca="false">IF(OR(NOT(ISNUMBER($G105)),$G105&lt;2,NOT(ISNUMBER($C104)),$C104=0),"",$C105/$C104-1)</f>
        <v>0.0116510372264849</v>
      </c>
      <c r="I105" s="52" t="n">
        <f aca="false">IF(AND(ISNUMBER($G105),$G105&gt;=MA_SHORT),AVERAGE(INDEX($C$5:$C105,102-MA_SHORT):$C105),"")</f>
        <v>3350.55</v>
      </c>
      <c r="J105" s="52" t="n">
        <f aca="false">IF(AND(ISNUMBER($G105),$G105&gt;=MA_MED),AVERAGE(INDEX($C$5:$C105,102-MA_MED):$C105),"")</f>
        <v>3186.68</v>
      </c>
      <c r="K105" s="52" t="str">
        <f aca="false">IF(AND(ISNUMBER($G105),$G105&gt;=MA_LONG2),AVERAGE(INDEX($C$5:$C105,102-MA_LONG2):$C105),"")</f>
        <v/>
      </c>
      <c r="L105" s="53" t="n">
        <f aca="false">IF(AND(ISNUMBER($G105),$G105&gt;=21),STDEV(INDEX($H$45:$H105,62-20):$H105)*SQRT(245),"")</f>
        <v>0.189035846168995</v>
      </c>
      <c r="M105" s="52" t="n">
        <f aca="false">IF(AND(ISNUMBER($G105),$G105&gt;=60),MAX(INDEX($D$5:$D105,102-60):$D105),"")</f>
        <v>3570</v>
      </c>
      <c r="N105" s="52" t="n">
        <f aca="false">IF(AND(ISNUMBER($G105),$G105&gt;=60),MIN(INDEX($E$5:$E105,102-60):$E105),"")</f>
        <v>2906</v>
      </c>
      <c r="O105" s="53" t="n">
        <f aca="false">IF(OR(NOT(ISNUMBER($C105)),NOT(ISNUMBER($M105)),$M105=0),"",$C105/$M105-1)</f>
        <v>-0.00280112044817926</v>
      </c>
    </row>
    <row r="106" customFormat="false" ht="15" hidden="false" customHeight="false" outlineLevel="0" collapsed="false">
      <c r="A106" s="47" t="n">
        <v>45711</v>
      </c>
      <c r="B106" s="48" t="s">
        <v>254</v>
      </c>
      <c r="C106" s="49" t="n">
        <v>3568</v>
      </c>
      <c r="D106" s="49" t="n">
        <v>3576</v>
      </c>
      <c r="E106" s="49" t="n">
        <v>3561</v>
      </c>
      <c r="F106" s="49" t="n">
        <v>0</v>
      </c>
      <c r="G106" s="50" t="n">
        <f aca="false">IF($A106="","",IF(ISNUMBER($G105),$G105+1,1))</f>
        <v>102</v>
      </c>
      <c r="H106" s="51" t="n">
        <f aca="false">IF(OR(NOT(ISNUMBER($G106)),$G106&lt;2,NOT(ISNUMBER($C105)),$C105=0),"",$C106/$C105-1)</f>
        <v>0.00224719101123605</v>
      </c>
      <c r="I106" s="52" t="n">
        <f aca="false">IF(AND(ISNUMBER($G106),$G106&gt;=MA_SHORT),AVERAGE(INDEX($C$5:$C106,103-MA_SHORT):$C106),"")</f>
        <v>3365.95</v>
      </c>
      <c r="J106" s="52" t="n">
        <f aca="false">IF(AND(ISNUMBER($G106),$G106&gt;=MA_MED),AVERAGE(INDEX($C$5:$C106,103-MA_MED):$C106),"")</f>
        <v>3196.26</v>
      </c>
      <c r="K106" s="52" t="str">
        <f aca="false">IF(AND(ISNUMBER($G106),$G106&gt;=MA_LONG2),AVERAGE(INDEX($C$5:$C106,103-MA_LONG2):$C106),"")</f>
        <v/>
      </c>
      <c r="L106" s="53" t="n">
        <f aca="false">IF(AND(ISNUMBER($G106),$G106&gt;=21),STDEV(INDEX($H$46:$H106,62-20):$H106)*SQRT(245),"")</f>
        <v>0.181809124188693</v>
      </c>
      <c r="M106" s="52" t="n">
        <f aca="false">IF(AND(ISNUMBER($G106),$G106&gt;=60),MAX(INDEX($D$5:$D106,103-60):$D106),"")</f>
        <v>3576</v>
      </c>
      <c r="N106" s="52" t="n">
        <f aca="false">IF(AND(ISNUMBER($G106),$G106&gt;=60),MIN(INDEX($E$5:$E106,103-60):$E106),"")</f>
        <v>2906</v>
      </c>
      <c r="O106" s="53" t="n">
        <f aca="false">IF(OR(NOT(ISNUMBER($C106)),NOT(ISNUMBER($M106)),$M106=0),"",$C106/$M106-1)</f>
        <v>-0.00223713646532442</v>
      </c>
    </row>
    <row r="107" customFormat="false" ht="15" hidden="false" customHeight="false" outlineLevel="0" collapsed="false">
      <c r="A107" s="47" t="n">
        <v>45712</v>
      </c>
      <c r="B107" s="48" t="s">
        <v>255</v>
      </c>
      <c r="C107" s="49" t="n">
        <v>3552</v>
      </c>
      <c r="D107" s="49" t="n">
        <v>3568</v>
      </c>
      <c r="E107" s="49" t="n">
        <v>3542</v>
      </c>
      <c r="F107" s="49" t="n">
        <v>0</v>
      </c>
      <c r="G107" s="50" t="n">
        <f aca="false">IF($A107="","",IF(ISNUMBER($G106),$G106+1,1))</f>
        <v>103</v>
      </c>
      <c r="H107" s="51" t="n">
        <f aca="false">IF(OR(NOT(ISNUMBER($G107)),$G107&lt;2,NOT(ISNUMBER($C106)),$C106=0),"",$C107/$C106-1)</f>
        <v>-0.00448430493273544</v>
      </c>
      <c r="I107" s="52" t="n">
        <f aca="false">IF(AND(ISNUMBER($G107),$G107&gt;=MA_SHORT),AVERAGE(INDEX($C$5:$C107,104-MA_SHORT):$C107),"")</f>
        <v>3381.5</v>
      </c>
      <c r="J107" s="52" t="n">
        <f aca="false">IF(AND(ISNUMBER($G107),$G107&gt;=MA_MED),AVERAGE(INDEX($C$5:$C107,104-MA_MED):$C107),"")</f>
        <v>3205.8</v>
      </c>
      <c r="K107" s="52" t="str">
        <f aca="false">IF(AND(ISNUMBER($G107),$G107&gt;=MA_LONG2),AVERAGE(INDEX($C$5:$C107,104-MA_LONG2):$C107),"")</f>
        <v/>
      </c>
      <c r="L107" s="53" t="n">
        <f aca="false">IF(AND(ISNUMBER($G107),$G107&gt;=21),STDEV(INDEX($H$47:$H107,62-20):$H107)*SQRT(245),"")</f>
        <v>0.180874737854892</v>
      </c>
      <c r="M107" s="52" t="n">
        <f aca="false">IF(AND(ISNUMBER($G107),$G107&gt;=60),MAX(INDEX($D$5:$D107,104-60):$D107),"")</f>
        <v>3576</v>
      </c>
      <c r="N107" s="52" t="n">
        <f aca="false">IF(AND(ISNUMBER($G107),$G107&gt;=60),MIN(INDEX($E$5:$E107,104-60):$E107),"")</f>
        <v>2906</v>
      </c>
      <c r="O107" s="53" t="n">
        <f aca="false">IF(OR(NOT(ISNUMBER($C107)),NOT(ISNUMBER($M107)),$M107=0),"",$C107/$M107-1)</f>
        <v>-0.00671140939597315</v>
      </c>
    </row>
    <row r="108" customFormat="false" ht="15" hidden="false" customHeight="false" outlineLevel="0" collapsed="false">
      <c r="A108" s="47" t="n">
        <v>45713</v>
      </c>
      <c r="B108" s="48" t="s">
        <v>256</v>
      </c>
      <c r="C108" s="49" t="n">
        <v>3550</v>
      </c>
      <c r="D108" s="49" t="n">
        <v>3550</v>
      </c>
      <c r="E108" s="49" t="n">
        <v>3548</v>
      </c>
      <c r="F108" s="49" t="n">
        <v>0</v>
      </c>
      <c r="G108" s="50" t="n">
        <f aca="false">IF($A108="","",IF(ISNUMBER($G107),$G107+1,1))</f>
        <v>104</v>
      </c>
      <c r="H108" s="51" t="n">
        <f aca="false">IF(OR(NOT(ISNUMBER($G108)),$G108&lt;2,NOT(ISNUMBER($C107)),$C107=0),"",$C108/$C107-1)</f>
        <v>-0.000563063063063085</v>
      </c>
      <c r="I108" s="52" t="n">
        <f aca="false">IF(AND(ISNUMBER($G108),$G108&gt;=MA_SHORT),AVERAGE(INDEX($C$5:$C108,105-MA_SHORT):$C108),"")</f>
        <v>3396.15</v>
      </c>
      <c r="J108" s="52" t="n">
        <f aca="false">IF(AND(ISNUMBER($G108),$G108&gt;=MA_MED),AVERAGE(INDEX($C$5:$C108,105-MA_MED):$C108),"")</f>
        <v>3215.14</v>
      </c>
      <c r="K108" s="52" t="str">
        <f aca="false">IF(AND(ISNUMBER($G108),$G108&gt;=MA_LONG2),AVERAGE(INDEX($C$5:$C108,105-MA_LONG2):$C108),"")</f>
        <v/>
      </c>
      <c r="L108" s="53" t="n">
        <f aca="false">IF(AND(ISNUMBER($G108),$G108&gt;=21),STDEV(INDEX($H$48:$H108,62-20):$H108)*SQRT(245),"")</f>
        <v>0.181786306886405</v>
      </c>
      <c r="M108" s="52" t="n">
        <f aca="false">IF(AND(ISNUMBER($G108),$G108&gt;=60),MAX(INDEX($D$5:$D108,105-60):$D108),"")</f>
        <v>3576</v>
      </c>
      <c r="N108" s="52" t="n">
        <f aca="false">IF(AND(ISNUMBER($G108),$G108&gt;=60),MIN(INDEX($E$5:$E108,105-60):$E108),"")</f>
        <v>2906</v>
      </c>
      <c r="O108" s="53" t="n">
        <f aca="false">IF(OR(NOT(ISNUMBER($C108)),NOT(ISNUMBER($M108)),$M108=0),"",$C108/$M108-1)</f>
        <v>-0.00727069351230425</v>
      </c>
    </row>
    <row r="109" customFormat="false" ht="15" hidden="false" customHeight="false" outlineLevel="0" collapsed="false">
      <c r="A109" s="47" t="n">
        <v>45714</v>
      </c>
      <c r="B109" s="48" t="s">
        <v>257</v>
      </c>
      <c r="C109" s="49" t="n">
        <v>3545</v>
      </c>
      <c r="D109" s="49" t="n">
        <v>3551</v>
      </c>
      <c r="E109" s="49" t="n">
        <v>3543</v>
      </c>
      <c r="F109" s="49" t="n">
        <v>0</v>
      </c>
      <c r="G109" s="50" t="n">
        <f aca="false">IF($A109="","",IF(ISNUMBER($G108),$G108+1,1))</f>
        <v>105</v>
      </c>
      <c r="H109" s="51" t="n">
        <f aca="false">IF(OR(NOT(ISNUMBER($G109)),$G109&lt;2,NOT(ISNUMBER($C108)),$C108=0),"",$C109/$C108-1)</f>
        <v>-0.00140845070422535</v>
      </c>
      <c r="I109" s="52" t="n">
        <f aca="false">IF(AND(ISNUMBER($G109),$G109&gt;=MA_SHORT),AVERAGE(INDEX($C$5:$C109,106-MA_SHORT):$C109),"")</f>
        <v>3410.7</v>
      </c>
      <c r="J109" s="52" t="n">
        <f aca="false">IF(AND(ISNUMBER($G109),$G109&gt;=MA_MED),AVERAGE(INDEX($C$5:$C109,106-MA_MED):$C109),"")</f>
        <v>3225.8</v>
      </c>
      <c r="K109" s="52" t="str">
        <f aca="false">IF(AND(ISNUMBER($G109),$G109&gt;=MA_LONG2),AVERAGE(INDEX($C$5:$C109,106-MA_LONG2):$C109),"")</f>
        <v/>
      </c>
      <c r="L109" s="53" t="n">
        <f aca="false">IF(AND(ISNUMBER($G109),$G109&gt;=21),STDEV(INDEX($H$49:$H109,62-20):$H109)*SQRT(245),"")</f>
        <v>0.181977472025129</v>
      </c>
      <c r="M109" s="52" t="n">
        <f aca="false">IF(AND(ISNUMBER($G109),$G109&gt;=60),MAX(INDEX($D$5:$D109,106-60):$D109),"")</f>
        <v>3576</v>
      </c>
      <c r="N109" s="52" t="n">
        <f aca="false">IF(AND(ISNUMBER($G109),$G109&gt;=60),MIN(INDEX($E$5:$E109,106-60):$E109),"")</f>
        <v>2906</v>
      </c>
      <c r="O109" s="53" t="n">
        <f aca="false">IF(OR(NOT(ISNUMBER($C109)),NOT(ISNUMBER($M109)),$M109=0),"",$C109/$M109-1)</f>
        <v>-0.00866890380313201</v>
      </c>
    </row>
    <row r="110" customFormat="false" ht="15" hidden="false" customHeight="false" outlineLevel="0" collapsed="false">
      <c r="A110" s="47" t="n">
        <v>45717</v>
      </c>
      <c r="B110" s="48" t="s">
        <v>258</v>
      </c>
      <c r="C110" s="49" t="n">
        <v>3552</v>
      </c>
      <c r="D110" s="49" t="n">
        <v>3557</v>
      </c>
      <c r="E110" s="49" t="n">
        <v>3551</v>
      </c>
      <c r="F110" s="49" t="n">
        <v>0</v>
      </c>
      <c r="G110" s="50" t="n">
        <f aca="false">IF($A110="","",IF(ISNUMBER($G109),$G109+1,1))</f>
        <v>106</v>
      </c>
      <c r="H110" s="51" t="n">
        <f aca="false">IF(OR(NOT(ISNUMBER($G110)),$G110&lt;2,NOT(ISNUMBER($C109)),$C109=0),"",$C110/$C109-1)</f>
        <v>0.00197461212976013</v>
      </c>
      <c r="I110" s="52" t="n">
        <f aca="false">IF(AND(ISNUMBER($G110),$G110&gt;=MA_SHORT),AVERAGE(INDEX($C$5:$C110,107-MA_SHORT):$C110),"")</f>
        <v>3428</v>
      </c>
      <c r="J110" s="52" t="n">
        <f aca="false">IF(AND(ISNUMBER($G110),$G110&gt;=MA_MED),AVERAGE(INDEX($C$5:$C110,107-MA_MED):$C110),"")</f>
        <v>3237.36</v>
      </c>
      <c r="K110" s="52" t="str">
        <f aca="false">IF(AND(ISNUMBER($G110),$G110&gt;=MA_LONG2),AVERAGE(INDEX($C$5:$C110,107-MA_LONG2):$C110),"")</f>
        <v/>
      </c>
      <c r="L110" s="53" t="n">
        <f aca="false">IF(AND(ISNUMBER($G110),$G110&gt;=21),STDEV(INDEX($H$50:$H110,62-20):$H110)*SQRT(245),"")</f>
        <v>0.168229169975565</v>
      </c>
      <c r="M110" s="52" t="n">
        <f aca="false">IF(AND(ISNUMBER($G110),$G110&gt;=60),MAX(INDEX($D$5:$D110,107-60):$D110),"")</f>
        <v>3576</v>
      </c>
      <c r="N110" s="52" t="n">
        <f aca="false">IF(AND(ISNUMBER($G110),$G110&gt;=60),MIN(INDEX($E$5:$E110,107-60):$E110),"")</f>
        <v>2906</v>
      </c>
      <c r="O110" s="53" t="n">
        <f aca="false">IF(OR(NOT(ISNUMBER($C110)),NOT(ISNUMBER($M110)),$M110=0),"",$C110/$M110-1)</f>
        <v>-0.00671140939597315</v>
      </c>
    </row>
    <row r="111" customFormat="false" ht="15" hidden="false" customHeight="false" outlineLevel="0" collapsed="false">
      <c r="A111" s="47" t="n">
        <v>45718</v>
      </c>
      <c r="B111" s="48" t="s">
        <v>259</v>
      </c>
      <c r="C111" s="49" t="n">
        <v>3592</v>
      </c>
      <c r="D111" s="49" t="n">
        <v>3602</v>
      </c>
      <c r="E111" s="49" t="n">
        <v>3588</v>
      </c>
      <c r="F111" s="49" t="n">
        <v>0</v>
      </c>
      <c r="G111" s="50" t="n">
        <f aca="false">IF($A111="","",IF(ISNUMBER($G110),$G110+1,1))</f>
        <v>107</v>
      </c>
      <c r="H111" s="51" t="n">
        <f aca="false">IF(OR(NOT(ISNUMBER($G111)),$G111&lt;2,NOT(ISNUMBER($C110)),$C110=0),"",$C111/$C110-1)</f>
        <v>0.0112612612612613</v>
      </c>
      <c r="I111" s="52" t="n">
        <f aca="false">IF(AND(ISNUMBER($G111),$G111&gt;=MA_SHORT),AVERAGE(INDEX($C$5:$C111,108-MA_SHORT):$C111),"")</f>
        <v>3446</v>
      </c>
      <c r="J111" s="52" t="n">
        <f aca="false">IF(AND(ISNUMBER($G111),$G111&gt;=MA_MED),AVERAGE(INDEX($C$5:$C111,108-MA_MED):$C111),"")</f>
        <v>3249.26</v>
      </c>
      <c r="K111" s="52" t="str">
        <f aca="false">IF(AND(ISNUMBER($G111),$G111&gt;=MA_LONG2),AVERAGE(INDEX($C$5:$C111,108-MA_LONG2):$C111),"")</f>
        <v/>
      </c>
      <c r="L111" s="53" t="n">
        <f aca="false">IF(AND(ISNUMBER($G111),$G111&gt;=21),STDEV(INDEX($H$51:$H111,62-20):$H111)*SQRT(245),"")</f>
        <v>0.169292224274278</v>
      </c>
      <c r="M111" s="52" t="n">
        <f aca="false">IF(AND(ISNUMBER($G111),$G111&gt;=60),MAX(INDEX($D$5:$D111,108-60):$D111),"")</f>
        <v>3602</v>
      </c>
      <c r="N111" s="52" t="n">
        <f aca="false">IF(AND(ISNUMBER($G111),$G111&gt;=60),MIN(INDEX($E$5:$E111,108-60):$E111),"")</f>
        <v>2906</v>
      </c>
      <c r="O111" s="53" t="n">
        <f aca="false">IF(OR(NOT(ISNUMBER($C111)),NOT(ISNUMBER($M111)),$M111=0),"",$C111/$M111-1)</f>
        <v>-0.00277623542476402</v>
      </c>
    </row>
    <row r="112" customFormat="false" ht="15" hidden="false" customHeight="false" outlineLevel="0" collapsed="false">
      <c r="A112" s="47" t="n">
        <v>45719</v>
      </c>
      <c r="B112" s="48" t="s">
        <v>260</v>
      </c>
      <c r="C112" s="49" t="n">
        <v>3567</v>
      </c>
      <c r="D112" s="49" t="n">
        <v>3577</v>
      </c>
      <c r="E112" s="49" t="n">
        <v>3552</v>
      </c>
      <c r="F112" s="49" t="n">
        <v>0</v>
      </c>
      <c r="G112" s="50" t="n">
        <f aca="false">IF($A112="","",IF(ISNUMBER($G111),$G111+1,1))</f>
        <v>108</v>
      </c>
      <c r="H112" s="51" t="n">
        <f aca="false">IF(OR(NOT(ISNUMBER($G112)),$G112&lt;2,NOT(ISNUMBER($C111)),$C111=0),"",$C112/$C111-1)</f>
        <v>-0.0069599109131403</v>
      </c>
      <c r="I112" s="52" t="n">
        <f aca="false">IF(AND(ISNUMBER($G112),$G112&gt;=MA_SHORT),AVERAGE(INDEX($C$5:$C112,109-MA_SHORT):$C112),"")</f>
        <v>3462.25</v>
      </c>
      <c r="J112" s="52" t="n">
        <f aca="false">IF(AND(ISNUMBER($G112),$G112&gt;=MA_MED),AVERAGE(INDEX($C$5:$C112,109-MA_MED):$C112),"")</f>
        <v>3261.7</v>
      </c>
      <c r="K112" s="52" t="str">
        <f aca="false">IF(AND(ISNUMBER($G112),$G112&gt;=MA_LONG2),AVERAGE(INDEX($C$5:$C112,109-MA_LONG2):$C112),"")</f>
        <v/>
      </c>
      <c r="L112" s="53" t="n">
        <f aca="false">IF(AND(ISNUMBER($G112),$G112&gt;=21),STDEV(INDEX($H$52:$H112,62-20):$H112)*SQRT(245),"")</f>
        <v>0.174593671166209</v>
      </c>
      <c r="M112" s="52" t="n">
        <f aca="false">IF(AND(ISNUMBER($G112),$G112&gt;=60),MAX(INDEX($D$5:$D112,109-60):$D112),"")</f>
        <v>3602</v>
      </c>
      <c r="N112" s="52" t="n">
        <f aca="false">IF(AND(ISNUMBER($G112),$G112&gt;=60),MIN(INDEX($E$5:$E112,109-60):$E112),"")</f>
        <v>2906</v>
      </c>
      <c r="O112" s="53" t="n">
        <f aca="false">IF(OR(NOT(ISNUMBER($C112)),NOT(ISNUMBER($M112)),$M112=0),"",$C112/$M112-1)</f>
        <v>-0.00971682398667406</v>
      </c>
    </row>
    <row r="113" customFormat="false" ht="15" hidden="false" customHeight="false" outlineLevel="0" collapsed="false">
      <c r="A113" s="47" t="n">
        <v>45720</v>
      </c>
      <c r="B113" s="48" t="s">
        <v>261</v>
      </c>
      <c r="C113" s="49" t="n">
        <v>3645</v>
      </c>
      <c r="D113" s="49" t="n">
        <v>3657</v>
      </c>
      <c r="E113" s="49" t="n">
        <v>3631</v>
      </c>
      <c r="F113" s="49" t="n">
        <v>0</v>
      </c>
      <c r="G113" s="50" t="n">
        <f aca="false">IF($A113="","",IF(ISNUMBER($G112),$G112+1,1))</f>
        <v>109</v>
      </c>
      <c r="H113" s="51" t="n">
        <f aca="false">IF(OR(NOT(ISNUMBER($G113)),$G113&lt;2,NOT(ISNUMBER($C112)),$C112=0),"",$C113/$C112-1)</f>
        <v>0.0218671152228764</v>
      </c>
      <c r="I113" s="52" t="n">
        <f aca="false">IF(AND(ISNUMBER($G113),$G113&gt;=MA_SHORT),AVERAGE(INDEX($C$5:$C113,110-MA_SHORT):$C113),"")</f>
        <v>3478.45</v>
      </c>
      <c r="J113" s="52" t="n">
        <f aca="false">IF(AND(ISNUMBER($G113),$G113&gt;=MA_MED),AVERAGE(INDEX($C$5:$C113,110-MA_MED):$C113),"")</f>
        <v>3274.42</v>
      </c>
      <c r="K113" s="52" t="str">
        <f aca="false">IF(AND(ISNUMBER($G113),$G113&gt;=MA_LONG2),AVERAGE(INDEX($C$5:$C113,110-MA_LONG2):$C113),"")</f>
        <v/>
      </c>
      <c r="L113" s="53" t="n">
        <f aca="false">IF(AND(ISNUMBER($G113),$G113&gt;=21),STDEV(INDEX($H$53:$H113,62-20):$H113)*SQRT(245),"")</f>
        <v>0.171174442907414</v>
      </c>
      <c r="M113" s="52" t="n">
        <f aca="false">IF(AND(ISNUMBER($G113),$G113&gt;=60),MAX(INDEX($D$5:$D113,110-60):$D113),"")</f>
        <v>3657</v>
      </c>
      <c r="N113" s="52" t="n">
        <f aca="false">IF(AND(ISNUMBER($G113),$G113&gt;=60),MIN(INDEX($E$5:$E113,110-60):$E113),"")</f>
        <v>2906</v>
      </c>
      <c r="O113" s="53" t="n">
        <f aca="false">IF(OR(NOT(ISNUMBER($C113)),NOT(ISNUMBER($M113)),$M113=0),"",$C113/$M113-1)</f>
        <v>-0.00328137817883512</v>
      </c>
    </row>
    <row r="114" customFormat="false" ht="15" hidden="false" customHeight="false" outlineLevel="0" collapsed="false">
      <c r="A114" s="47" t="n">
        <v>45721</v>
      </c>
      <c r="B114" s="48" t="s">
        <v>262</v>
      </c>
      <c r="C114" s="49" t="n">
        <v>3646</v>
      </c>
      <c r="D114" s="49" t="n">
        <v>3656</v>
      </c>
      <c r="E114" s="49" t="n">
        <v>3638</v>
      </c>
      <c r="F114" s="49" t="n">
        <v>0</v>
      </c>
      <c r="G114" s="50" t="n">
        <f aca="false">IF($A114="","",IF(ISNUMBER($G113),$G113+1,1))</f>
        <v>110</v>
      </c>
      <c r="H114" s="51" t="n">
        <f aca="false">IF(OR(NOT(ISNUMBER($G114)),$G114&lt;2,NOT(ISNUMBER($C113)),$C113=0),"",$C114/$C113-1)</f>
        <v>0.000274348422496518</v>
      </c>
      <c r="I114" s="52" t="n">
        <f aca="false">IF(AND(ISNUMBER($G114),$G114&gt;=MA_SHORT),AVERAGE(INDEX($C$5:$C114,111-MA_SHORT):$C114),"")</f>
        <v>3495.6</v>
      </c>
      <c r="J114" s="52" t="n">
        <f aca="false">IF(AND(ISNUMBER($G114),$G114&gt;=MA_MED),AVERAGE(INDEX($C$5:$C114,111-MA_MED):$C114),"")</f>
        <v>3288.72</v>
      </c>
      <c r="K114" s="52" t="str">
        <f aca="false">IF(AND(ISNUMBER($G114),$G114&gt;=MA_LONG2),AVERAGE(INDEX($C$5:$C114,111-MA_LONG2):$C114),"")</f>
        <v/>
      </c>
      <c r="L114" s="53" t="n">
        <f aca="false">IF(AND(ISNUMBER($G114),$G114&gt;=21),STDEV(INDEX($H$54:$H114,62-20):$H114)*SQRT(245),"")</f>
        <v>0.167953892759365</v>
      </c>
      <c r="M114" s="52" t="n">
        <f aca="false">IF(AND(ISNUMBER($G114),$G114&gt;=60),MAX(INDEX($D$5:$D114,111-60):$D114),"")</f>
        <v>3657</v>
      </c>
      <c r="N114" s="52" t="n">
        <f aca="false">IF(AND(ISNUMBER($G114),$G114&gt;=60),MIN(INDEX($E$5:$E114,111-60):$E114),"")</f>
        <v>2906</v>
      </c>
      <c r="O114" s="53" t="n">
        <f aca="false">IF(OR(NOT(ISNUMBER($C114)),NOT(ISNUMBER($M114)),$M114=0),"",$C114/$M114-1)</f>
        <v>-0.00300792999726551</v>
      </c>
    </row>
    <row r="115" customFormat="false" ht="15" hidden="false" customHeight="false" outlineLevel="0" collapsed="false">
      <c r="A115" s="47" t="n">
        <v>45724</v>
      </c>
      <c r="B115" s="48" t="s">
        <v>263</v>
      </c>
      <c r="C115" s="49" t="n">
        <v>3639</v>
      </c>
      <c r="D115" s="49" t="n">
        <v>3654</v>
      </c>
      <c r="E115" s="49" t="n">
        <v>3616</v>
      </c>
      <c r="F115" s="49" t="n">
        <v>0</v>
      </c>
      <c r="G115" s="50" t="n">
        <f aca="false">IF($A115="","",IF(ISNUMBER($G114),$G114+1,1))</f>
        <v>111</v>
      </c>
      <c r="H115" s="51" t="n">
        <f aca="false">IF(OR(NOT(ISNUMBER($G115)),$G115&lt;2,NOT(ISNUMBER($C114)),$C114=0),"",$C115/$C114-1)</f>
        <v>-0.0019199122325837</v>
      </c>
      <c r="I115" s="52" t="n">
        <f aca="false">IF(AND(ISNUMBER($G115),$G115&gt;=MA_SHORT),AVERAGE(INDEX($C$5:$C115,112-MA_SHORT):$C115),"")</f>
        <v>3510.85</v>
      </c>
      <c r="J115" s="52" t="n">
        <f aca="false">IF(AND(ISNUMBER($G115),$G115&gt;=MA_MED),AVERAGE(INDEX($C$5:$C115,112-MA_MED):$C115),"")</f>
        <v>3301.78</v>
      </c>
      <c r="K115" s="52" t="str">
        <f aca="false">IF(AND(ISNUMBER($G115),$G115&gt;=MA_LONG2),AVERAGE(INDEX($C$5:$C115,112-MA_LONG2):$C115),"")</f>
        <v/>
      </c>
      <c r="L115" s="53" t="n">
        <f aca="false">IF(AND(ISNUMBER($G115),$G115&gt;=21),STDEV(INDEX($H$55:$H115,62-20):$H115)*SQRT(245),"")</f>
        <v>0.168812054586862</v>
      </c>
      <c r="M115" s="52" t="n">
        <f aca="false">IF(AND(ISNUMBER($G115),$G115&gt;=60),MAX(INDEX($D$5:$D115,112-60):$D115),"")</f>
        <v>3657</v>
      </c>
      <c r="N115" s="52" t="n">
        <f aca="false">IF(AND(ISNUMBER($G115),$G115&gt;=60),MIN(INDEX($E$5:$E115,112-60):$E115),"")</f>
        <v>2906</v>
      </c>
      <c r="O115" s="53" t="n">
        <f aca="false">IF(OR(NOT(ISNUMBER($C115)),NOT(ISNUMBER($M115)),$M115=0),"",$C115/$M115-1)</f>
        <v>-0.00492206726825262</v>
      </c>
    </row>
    <row r="116" customFormat="false" ht="15" hidden="false" customHeight="false" outlineLevel="0" collapsed="false">
      <c r="A116" s="47" t="n">
        <v>45725</v>
      </c>
      <c r="B116" s="48" t="s">
        <v>264</v>
      </c>
      <c r="C116" s="49" t="n">
        <v>3653</v>
      </c>
      <c r="D116" s="49" t="n">
        <v>3670</v>
      </c>
      <c r="E116" s="49" t="n">
        <v>3643</v>
      </c>
      <c r="F116" s="49" t="n">
        <v>0</v>
      </c>
      <c r="G116" s="50" t="n">
        <f aca="false">IF($A116="","",IF(ISNUMBER($G115),$G115+1,1))</f>
        <v>112</v>
      </c>
      <c r="H116" s="51" t="n">
        <f aca="false">IF(OR(NOT(ISNUMBER($G116)),$G116&lt;2,NOT(ISNUMBER($C115)),$C115=0),"",$C116/$C115-1)</f>
        <v>0.00384721077219008</v>
      </c>
      <c r="I116" s="52" t="n">
        <f aca="false">IF(AND(ISNUMBER($G116),$G116&gt;=MA_SHORT),AVERAGE(INDEX($C$5:$C116,113-MA_SHORT):$C116),"")</f>
        <v>3524.7</v>
      </c>
      <c r="J116" s="52" t="n">
        <f aca="false">IF(AND(ISNUMBER($G116),$G116&gt;=MA_MED),AVERAGE(INDEX($C$5:$C116,113-MA_MED):$C116),"")</f>
        <v>3316</v>
      </c>
      <c r="K116" s="52" t="str">
        <f aca="false">IF(AND(ISNUMBER($G116),$G116&gt;=MA_LONG2),AVERAGE(INDEX($C$5:$C116,113-MA_LONG2):$C116),"")</f>
        <v/>
      </c>
      <c r="L116" s="53" t="n">
        <f aca="false">IF(AND(ISNUMBER($G116),$G116&gt;=21),STDEV(INDEX($H$56:$H116,62-20):$H116)*SQRT(245),"")</f>
        <v>0.166117138717991</v>
      </c>
      <c r="M116" s="52" t="n">
        <f aca="false">IF(AND(ISNUMBER($G116),$G116&gt;=60),MAX(INDEX($D$5:$D116,113-60):$D116),"")</f>
        <v>3670</v>
      </c>
      <c r="N116" s="52" t="n">
        <f aca="false">IF(AND(ISNUMBER($G116),$G116&gt;=60),MIN(INDEX($E$5:$E116,113-60):$E116),"")</f>
        <v>2906</v>
      </c>
      <c r="O116" s="53" t="n">
        <f aca="false">IF(OR(NOT(ISNUMBER($C116)),NOT(ISNUMBER($M116)),$M116=0),"",$C116/$M116-1)</f>
        <v>-0.00463215258855587</v>
      </c>
    </row>
    <row r="117" customFormat="false" ht="15" hidden="false" customHeight="false" outlineLevel="0" collapsed="false">
      <c r="A117" s="47" t="n">
        <v>45726</v>
      </c>
      <c r="B117" s="48" t="s">
        <v>265</v>
      </c>
      <c r="C117" s="49" t="n">
        <v>3703</v>
      </c>
      <c r="D117" s="49" t="n">
        <v>3709</v>
      </c>
      <c r="E117" s="49" t="n">
        <v>3703</v>
      </c>
      <c r="F117" s="49" t="n">
        <v>0</v>
      </c>
      <c r="G117" s="50" t="n">
        <f aca="false">IF($A117="","",IF(ISNUMBER($G116),$G116+1,1))</f>
        <v>113</v>
      </c>
      <c r="H117" s="51" t="n">
        <f aca="false">IF(OR(NOT(ISNUMBER($G117)),$G117&lt;2,NOT(ISNUMBER($C116)),$C116=0),"",$C117/$C116-1)</f>
        <v>0.0136873802354229</v>
      </c>
      <c r="I117" s="52" t="n">
        <f aca="false">IF(AND(ISNUMBER($G117),$G117&gt;=MA_SHORT),AVERAGE(INDEX($C$5:$C117,114-MA_SHORT):$C117),"")</f>
        <v>3541.8</v>
      </c>
      <c r="J117" s="52" t="n">
        <f aca="false">IF(AND(ISNUMBER($G117),$G117&gt;=MA_MED),AVERAGE(INDEX($C$5:$C117,114-MA_MED):$C117),"")</f>
        <v>3331.8</v>
      </c>
      <c r="K117" s="52" t="str">
        <f aca="false">IF(AND(ISNUMBER($G117),$G117&gt;=MA_LONG2),AVERAGE(INDEX($C$5:$C117,114-MA_LONG2):$C117),"")</f>
        <v/>
      </c>
      <c r="L117" s="53" t="n">
        <f aca="false">IF(AND(ISNUMBER($G117),$G117&gt;=21),STDEV(INDEX($H$57:$H117,62-20):$H117)*SQRT(245),"")</f>
        <v>0.166349245774192</v>
      </c>
      <c r="M117" s="52" t="n">
        <f aca="false">IF(AND(ISNUMBER($G117),$G117&gt;=60),MAX(INDEX($D$5:$D117,114-60):$D117),"")</f>
        <v>3709</v>
      </c>
      <c r="N117" s="52" t="n">
        <f aca="false">IF(AND(ISNUMBER($G117),$G117&gt;=60),MIN(INDEX($E$5:$E117,114-60):$E117),"")</f>
        <v>2906</v>
      </c>
      <c r="O117" s="53" t="n">
        <f aca="false">IF(OR(NOT(ISNUMBER($C117)),NOT(ISNUMBER($M117)),$M117=0),"",$C117/$M117-1)</f>
        <v>-0.00161768670800755</v>
      </c>
    </row>
    <row r="118" customFormat="false" ht="15" hidden="false" customHeight="false" outlineLevel="0" collapsed="false">
      <c r="A118" s="47" t="n">
        <v>45727</v>
      </c>
      <c r="B118" s="48" t="s">
        <v>266</v>
      </c>
      <c r="C118" s="49" t="n">
        <v>3823</v>
      </c>
      <c r="D118" s="49" t="n">
        <v>3827</v>
      </c>
      <c r="E118" s="49" t="n">
        <v>3809</v>
      </c>
      <c r="F118" s="49" t="n">
        <v>0</v>
      </c>
      <c r="G118" s="50" t="n">
        <f aca="false">IF($A118="","",IF(ISNUMBER($G117),$G117+1,1))</f>
        <v>114</v>
      </c>
      <c r="H118" s="51" t="n">
        <f aca="false">IF(OR(NOT(ISNUMBER($G118)),$G118&lt;2,NOT(ISNUMBER($C117)),$C117=0),"",$C118/$C117-1)</f>
        <v>0.0324061571698622</v>
      </c>
      <c r="I118" s="52" t="n">
        <f aca="false">IF(AND(ISNUMBER($G118),$G118&gt;=MA_SHORT),AVERAGE(INDEX($C$5:$C118,115-MA_SHORT):$C118),"")</f>
        <v>3561.8</v>
      </c>
      <c r="J118" s="52" t="n">
        <f aca="false">IF(AND(ISNUMBER($G118),$G118&gt;=MA_MED),AVERAGE(INDEX($C$5:$C118,115-MA_MED):$C118),"")</f>
        <v>3349.26</v>
      </c>
      <c r="K118" s="52" t="str">
        <f aca="false">IF(AND(ISNUMBER($G118),$G118&gt;=MA_LONG2),AVERAGE(INDEX($C$5:$C118,115-MA_LONG2):$C118),"")</f>
        <v/>
      </c>
      <c r="L118" s="53" t="n">
        <f aca="false">IF(AND(ISNUMBER($G118),$G118&gt;=21),STDEV(INDEX($H$58:$H118,62-20):$H118)*SQRT(245),"")</f>
        <v>0.186901855175154</v>
      </c>
      <c r="M118" s="52" t="n">
        <f aca="false">IF(AND(ISNUMBER($G118),$G118&gt;=60),MAX(INDEX($D$5:$D118,115-60):$D118),"")</f>
        <v>3827</v>
      </c>
      <c r="N118" s="52" t="n">
        <f aca="false">IF(AND(ISNUMBER($G118),$G118&gt;=60),MIN(INDEX($E$5:$E118,115-60):$E118),"")</f>
        <v>2906</v>
      </c>
      <c r="O118" s="53" t="n">
        <f aca="false">IF(OR(NOT(ISNUMBER($C118)),NOT(ISNUMBER($M118)),$M118=0),"",$C118/$M118-1)</f>
        <v>-0.00104520512150508</v>
      </c>
    </row>
    <row r="119" customFormat="false" ht="15" hidden="false" customHeight="false" outlineLevel="0" collapsed="false">
      <c r="A119" s="47" t="n">
        <v>45728</v>
      </c>
      <c r="B119" s="48" t="s">
        <v>267</v>
      </c>
      <c r="C119" s="49" t="n">
        <v>3817</v>
      </c>
      <c r="D119" s="49" t="n">
        <v>3824</v>
      </c>
      <c r="E119" s="49" t="n">
        <v>3809</v>
      </c>
      <c r="F119" s="49" t="n">
        <v>0</v>
      </c>
      <c r="G119" s="50" t="n">
        <f aca="false">IF($A119="","",IF(ISNUMBER($G118),$G118+1,1))</f>
        <v>115</v>
      </c>
      <c r="H119" s="51" t="n">
        <f aca="false">IF(OR(NOT(ISNUMBER($G119)),$G119&lt;2,NOT(ISNUMBER($C118)),$C118=0),"",$C119/$C118-1)</f>
        <v>-0.00156944807742609</v>
      </c>
      <c r="I119" s="52" t="n">
        <f aca="false">IF(AND(ISNUMBER($G119),$G119&gt;=MA_SHORT),AVERAGE(INDEX($C$5:$C119,116-MA_SHORT):$C119),"")</f>
        <v>3583.05</v>
      </c>
      <c r="J119" s="52" t="n">
        <f aca="false">IF(AND(ISNUMBER($G119),$G119&gt;=MA_MED),AVERAGE(INDEX($C$5:$C119,116-MA_MED):$C119),"")</f>
        <v>3366.3</v>
      </c>
      <c r="K119" s="52" t="str">
        <f aca="false">IF(AND(ISNUMBER($G119),$G119&gt;=MA_LONG2),AVERAGE(INDEX($C$5:$C119,116-MA_LONG2):$C119),"")</f>
        <v/>
      </c>
      <c r="L119" s="53" t="n">
        <f aca="false">IF(AND(ISNUMBER($G119),$G119&gt;=21),STDEV(INDEX($H$59:$H119,62-20):$H119)*SQRT(245),"")</f>
        <v>0.181073043820219</v>
      </c>
      <c r="M119" s="52" t="n">
        <f aca="false">IF(AND(ISNUMBER($G119),$G119&gt;=60),MAX(INDEX($D$5:$D119,116-60):$D119),"")</f>
        <v>3827</v>
      </c>
      <c r="N119" s="52" t="n">
        <f aca="false">IF(AND(ISNUMBER($G119),$G119&gt;=60),MIN(INDEX($E$5:$E119,116-60):$E119),"")</f>
        <v>2906</v>
      </c>
      <c r="O119" s="53" t="n">
        <f aca="false">IF(OR(NOT(ISNUMBER($C119)),NOT(ISNUMBER($M119)),$M119=0),"",$C119/$M119-1)</f>
        <v>-0.00261301280376269</v>
      </c>
    </row>
    <row r="120" customFormat="false" ht="15" hidden="false" customHeight="false" outlineLevel="0" collapsed="false">
      <c r="A120" s="47" t="n">
        <v>45731</v>
      </c>
      <c r="B120" s="48" t="s">
        <v>268</v>
      </c>
      <c r="C120" s="49" t="n">
        <v>3787</v>
      </c>
      <c r="D120" s="49" t="n">
        <v>3789</v>
      </c>
      <c r="E120" s="49" t="n">
        <v>3774</v>
      </c>
      <c r="F120" s="49" t="n">
        <v>0</v>
      </c>
      <c r="G120" s="50" t="n">
        <f aca="false">IF($A120="","",IF(ISNUMBER($G119),$G119+1,1))</f>
        <v>116</v>
      </c>
      <c r="H120" s="51" t="n">
        <f aca="false">IF(OR(NOT(ISNUMBER($G120)),$G120&lt;2,NOT(ISNUMBER($C119)),$C119=0),"",$C120/$C119-1)</f>
        <v>-0.0078595755829185</v>
      </c>
      <c r="I120" s="52" t="n">
        <f aca="false">IF(AND(ISNUMBER($G120),$G120&gt;=MA_SHORT),AVERAGE(INDEX($C$5:$C120,117-MA_SHORT):$C120),"")</f>
        <v>3601</v>
      </c>
      <c r="J120" s="52" t="n">
        <f aca="false">IF(AND(ISNUMBER($G120),$G120&gt;=MA_MED),AVERAGE(INDEX($C$5:$C120,117-MA_MED):$C120),"")</f>
        <v>3381.68</v>
      </c>
      <c r="K120" s="52" t="str">
        <f aca="false">IF(AND(ISNUMBER($G120),$G120&gt;=MA_LONG2),AVERAGE(INDEX($C$5:$C120,117-MA_LONG2):$C120),"")</f>
        <v/>
      </c>
      <c r="L120" s="53" t="n">
        <f aca="false">IF(AND(ISNUMBER($G120),$G120&gt;=21),STDEV(INDEX($H$60:$H120,62-20):$H120)*SQRT(245),"")</f>
        <v>0.186444830551403</v>
      </c>
      <c r="M120" s="52" t="n">
        <f aca="false">IF(AND(ISNUMBER($G120),$G120&gt;=60),MAX(INDEX($D$5:$D120,117-60):$D120),"")</f>
        <v>3827</v>
      </c>
      <c r="N120" s="52" t="n">
        <f aca="false">IF(AND(ISNUMBER($G120),$G120&gt;=60),MIN(INDEX($E$5:$E120,117-60):$E120),"")</f>
        <v>2906</v>
      </c>
      <c r="O120" s="53" t="n">
        <f aca="false">IF(OR(NOT(ISNUMBER($C120)),NOT(ISNUMBER($M120)),$M120=0),"",$C120/$M120-1)</f>
        <v>-0.010452051215051</v>
      </c>
    </row>
    <row r="121" customFormat="false" ht="15" hidden="false" customHeight="false" outlineLevel="0" collapsed="false">
      <c r="A121" s="47" t="n">
        <v>45732</v>
      </c>
      <c r="B121" s="48" t="s">
        <v>269</v>
      </c>
      <c r="C121" s="49" t="n">
        <v>3738</v>
      </c>
      <c r="D121" s="49" t="n">
        <v>3759</v>
      </c>
      <c r="E121" s="49" t="n">
        <v>3736</v>
      </c>
      <c r="F121" s="49" t="n">
        <v>0</v>
      </c>
      <c r="G121" s="50" t="n">
        <f aca="false">IF($A121="","",IF(ISNUMBER($G120),$G120+1,1))</f>
        <v>117</v>
      </c>
      <c r="H121" s="51" t="n">
        <f aca="false">IF(OR(NOT(ISNUMBER($G121)),$G121&lt;2,NOT(ISNUMBER($C120)),$C120=0),"",$C121/$C120-1)</f>
        <v>-0.0129390018484289</v>
      </c>
      <c r="I121" s="52" t="n">
        <f aca="false">IF(AND(ISNUMBER($G121),$G121&gt;=MA_SHORT),AVERAGE(INDEX($C$5:$C121,118-MA_SHORT):$C121),"")</f>
        <v>3619.2</v>
      </c>
      <c r="J121" s="52" t="n">
        <f aca="false">IF(AND(ISNUMBER($G121),$G121&gt;=MA_MED),AVERAGE(INDEX($C$5:$C121,118-MA_MED):$C121),"")</f>
        <v>3396.54</v>
      </c>
      <c r="K121" s="52" t="str">
        <f aca="false">IF(AND(ISNUMBER($G121),$G121&gt;=MA_LONG2),AVERAGE(INDEX($C$5:$C121,118-MA_LONG2):$C121),"")</f>
        <v/>
      </c>
      <c r="L121" s="53" t="n">
        <f aca="false">IF(AND(ISNUMBER($G121),$G121&gt;=21),STDEV(INDEX($H$61:$H121,62-20):$H121)*SQRT(245),"")</f>
        <v>0.182615770436454</v>
      </c>
      <c r="M121" s="52" t="n">
        <f aca="false">IF(AND(ISNUMBER($G121),$G121&gt;=60),MAX(INDEX($D$5:$D121,118-60):$D121),"")</f>
        <v>3827</v>
      </c>
      <c r="N121" s="52" t="n">
        <f aca="false">IF(AND(ISNUMBER($G121),$G121&gt;=60),MIN(INDEX($E$5:$E121,118-60):$E121),"")</f>
        <v>2906</v>
      </c>
      <c r="O121" s="53" t="n">
        <f aca="false">IF(OR(NOT(ISNUMBER($C121)),NOT(ISNUMBER($M121)),$M121=0),"",$C121/$M121-1)</f>
        <v>-0.0232558139534884</v>
      </c>
    </row>
    <row r="122" customFormat="false" ht="15" hidden="false" customHeight="false" outlineLevel="0" collapsed="false">
      <c r="A122" s="47" t="n">
        <v>45733</v>
      </c>
      <c r="B122" s="48" t="s">
        <v>270</v>
      </c>
      <c r="C122" s="49" t="n">
        <v>3766</v>
      </c>
      <c r="D122" s="49" t="n">
        <v>3775</v>
      </c>
      <c r="E122" s="49" t="n">
        <v>3749</v>
      </c>
      <c r="F122" s="49" t="n">
        <v>0</v>
      </c>
      <c r="G122" s="50" t="n">
        <f aca="false">IF($A122="","",IF(ISNUMBER($G121),$G121+1,1))</f>
        <v>118</v>
      </c>
      <c r="H122" s="51" t="n">
        <f aca="false">IF(OR(NOT(ISNUMBER($G122)),$G122&lt;2,NOT(ISNUMBER($C121)),$C121=0),"",$C122/$C121-1)</f>
        <v>0.00749063670411987</v>
      </c>
      <c r="I122" s="52" t="n">
        <f aca="false">IF(AND(ISNUMBER($G122),$G122&gt;=MA_SHORT),AVERAGE(INDEX($C$5:$C122,119-MA_SHORT):$C122),"")</f>
        <v>3636.4</v>
      </c>
      <c r="J122" s="52" t="n">
        <f aca="false">IF(AND(ISNUMBER($G122),$G122&gt;=MA_MED),AVERAGE(INDEX($C$5:$C122,119-MA_MED):$C122),"")</f>
        <v>3411.04</v>
      </c>
      <c r="K122" s="52" t="str">
        <f aca="false">IF(AND(ISNUMBER($G122),$G122&gt;=MA_LONG2),AVERAGE(INDEX($C$5:$C122,119-MA_LONG2):$C122),"")</f>
        <v/>
      </c>
      <c r="L122" s="53" t="n">
        <f aca="false">IF(AND(ISNUMBER($G122),$G122&gt;=21),STDEV(INDEX($H$62:$H122,62-20):$H122)*SQRT(245),"")</f>
        <v>0.179822845028222</v>
      </c>
      <c r="M122" s="52" t="n">
        <f aca="false">IF(AND(ISNUMBER($G122),$G122&gt;=60),MAX(INDEX($D$5:$D122,119-60):$D122),"")</f>
        <v>3827</v>
      </c>
      <c r="N122" s="52" t="n">
        <f aca="false">IF(AND(ISNUMBER($G122),$G122&gt;=60),MIN(INDEX($E$5:$E122,119-60):$E122),"")</f>
        <v>2906</v>
      </c>
      <c r="O122" s="53" t="n">
        <f aca="false">IF(OR(NOT(ISNUMBER($C122)),NOT(ISNUMBER($M122)),$M122=0),"",$C122/$M122-1)</f>
        <v>-0.0159393781029527</v>
      </c>
    </row>
    <row r="123" customFormat="false" ht="15" hidden="false" customHeight="false" outlineLevel="0" collapsed="false">
      <c r="A123" s="47" t="n">
        <v>45734</v>
      </c>
      <c r="B123" s="48" t="s">
        <v>271</v>
      </c>
      <c r="C123" s="49" t="n">
        <v>3764</v>
      </c>
      <c r="D123" s="49" t="n">
        <v>3772</v>
      </c>
      <c r="E123" s="49" t="n">
        <v>3740</v>
      </c>
      <c r="F123" s="49" t="n">
        <v>0</v>
      </c>
      <c r="G123" s="50" t="n">
        <f aca="false">IF($A123="","",IF(ISNUMBER($G122),$G122+1,1))</f>
        <v>119</v>
      </c>
      <c r="H123" s="51" t="n">
        <f aca="false">IF(OR(NOT(ISNUMBER($G123)),$G123&lt;2,NOT(ISNUMBER($C122)),$C122=0),"",$C123/$C122-1)</f>
        <v>-0.000531067445565636</v>
      </c>
      <c r="I123" s="52" t="n">
        <f aca="false">IF(AND(ISNUMBER($G123),$G123&gt;=MA_SHORT),AVERAGE(INDEX($C$5:$C123,120-MA_SHORT):$C123),"")</f>
        <v>3649.3</v>
      </c>
      <c r="J123" s="52" t="n">
        <f aca="false">IF(AND(ISNUMBER($G123),$G123&gt;=MA_MED),AVERAGE(INDEX($C$5:$C123,120-MA_MED):$C123),"")</f>
        <v>3425.36</v>
      </c>
      <c r="K123" s="52" t="str">
        <f aca="false">IF(AND(ISNUMBER($G123),$G123&gt;=MA_LONG2),AVERAGE(INDEX($C$5:$C123,120-MA_LONG2):$C123),"")</f>
        <v/>
      </c>
      <c r="L123" s="53" t="n">
        <f aca="false">IF(AND(ISNUMBER($G123),$G123&gt;=21),STDEV(INDEX($H$63:$H123,62-20):$H123)*SQRT(245),"")</f>
        <v>0.165256418820576</v>
      </c>
      <c r="M123" s="52" t="n">
        <f aca="false">IF(AND(ISNUMBER($G123),$G123&gt;=60),MAX(INDEX($D$5:$D123,120-60):$D123),"")</f>
        <v>3827</v>
      </c>
      <c r="N123" s="52" t="n">
        <f aca="false">IF(AND(ISNUMBER($G123),$G123&gt;=60),MIN(INDEX($E$5:$E123,120-60):$E123),"")</f>
        <v>2906</v>
      </c>
      <c r="O123" s="53" t="n">
        <f aca="false">IF(OR(NOT(ISNUMBER($C123)),NOT(ISNUMBER($M123)),$M123=0),"",$C123/$M123-1)</f>
        <v>-0.0164619806637053</v>
      </c>
    </row>
    <row r="124" customFormat="false" ht="15" hidden="false" customHeight="false" outlineLevel="0" collapsed="false">
      <c r="A124" s="47" t="n">
        <v>45735</v>
      </c>
      <c r="B124" s="48" t="s">
        <v>272</v>
      </c>
      <c r="C124" s="49" t="n">
        <v>3865</v>
      </c>
      <c r="D124" s="49" t="n">
        <v>3878</v>
      </c>
      <c r="E124" s="49" t="n">
        <v>3855</v>
      </c>
      <c r="F124" s="49" t="n">
        <v>0</v>
      </c>
      <c r="G124" s="50" t="n">
        <f aca="false">IF($A124="","",IF(ISNUMBER($G123),$G123+1,1))</f>
        <v>120</v>
      </c>
      <c r="H124" s="51" t="n">
        <f aca="false">IF(OR(NOT(ISNUMBER($G124)),$G124&lt;2,NOT(ISNUMBER($C123)),$C123=0),"",$C124/$C123-1)</f>
        <v>0.0268331562167907</v>
      </c>
      <c r="I124" s="52" t="n">
        <f aca="false">IF(AND(ISNUMBER($G124),$G124&gt;=MA_SHORT),AVERAGE(INDEX($C$5:$C124,121-MA_SHORT):$C124),"")</f>
        <v>3666.6</v>
      </c>
      <c r="J124" s="52" t="n">
        <f aca="false">IF(AND(ISNUMBER($G124),$G124&gt;=MA_MED),AVERAGE(INDEX($C$5:$C124,121-MA_MED):$C124),"")</f>
        <v>3441.7</v>
      </c>
      <c r="K124" s="52" t="str">
        <f aca="false">IF(AND(ISNUMBER($G124),$G124&gt;=MA_LONG2),AVERAGE(INDEX($C$5:$C124,121-MA_LONG2):$C124),"")</f>
        <v/>
      </c>
      <c r="L124" s="53" t="n">
        <f aca="false">IF(AND(ISNUMBER($G124),$G124&gt;=21),STDEV(INDEX($H$64:$H124,62-20):$H124)*SQRT(245),"")</f>
        <v>0.184172982026293</v>
      </c>
      <c r="M124" s="52" t="n">
        <f aca="false">IF(AND(ISNUMBER($G124),$G124&gt;=60),MAX(INDEX($D$5:$D124,121-60):$D124),"")</f>
        <v>3878</v>
      </c>
      <c r="N124" s="52" t="n">
        <f aca="false">IF(AND(ISNUMBER($G124),$G124&gt;=60),MIN(INDEX($E$5:$E124,121-60):$E124),"")</f>
        <v>2906</v>
      </c>
      <c r="O124" s="53" t="n">
        <f aca="false">IF(OR(NOT(ISNUMBER($C124)),NOT(ISNUMBER($M124)),$M124=0),"",$C124/$M124-1)</f>
        <v>-0.00335224342444562</v>
      </c>
    </row>
    <row r="125" customFormat="false" ht="15" hidden="false" customHeight="false" outlineLevel="0" collapsed="false">
      <c r="A125" s="47" t="n">
        <v>45738</v>
      </c>
      <c r="B125" s="48" t="s">
        <v>273</v>
      </c>
      <c r="C125" s="49" t="n">
        <v>3840</v>
      </c>
      <c r="D125" s="49" t="n">
        <v>3844</v>
      </c>
      <c r="E125" s="49" t="n">
        <v>3829</v>
      </c>
      <c r="F125" s="49" t="n">
        <v>0</v>
      </c>
      <c r="G125" s="50" t="n">
        <f aca="false">IF($A125="","",IF(ISNUMBER($G124),$G124+1,1))</f>
        <v>121</v>
      </c>
      <c r="H125" s="51" t="n">
        <f aca="false">IF(OR(NOT(ISNUMBER($G125)),$G125&lt;2,NOT(ISNUMBER($C124)),$C124=0),"",$C125/$C124-1)</f>
        <v>-0.00646830530401032</v>
      </c>
      <c r="I125" s="52" t="n">
        <f aca="false">IF(AND(ISNUMBER($G125),$G125&gt;=MA_SHORT),AVERAGE(INDEX($C$5:$C125,122-MA_SHORT):$C125),"")</f>
        <v>3680.6</v>
      </c>
      <c r="J125" s="52" t="n">
        <f aca="false">IF(AND(ISNUMBER($G125),$G125&gt;=MA_MED),AVERAGE(INDEX($C$5:$C125,122-MA_MED):$C125),"")</f>
        <v>3457.36</v>
      </c>
      <c r="K125" s="52" t="str">
        <f aca="false">IF(AND(ISNUMBER($G125),$G125&gt;=MA_LONG2),AVERAGE(INDEX($C$5:$C125,122-MA_LONG2):$C125),"")</f>
        <v/>
      </c>
      <c r="L125" s="53" t="n">
        <f aca="false">IF(AND(ISNUMBER($G125),$G125&gt;=21),STDEV(INDEX($H$65:$H125,62-20):$H125)*SQRT(245),"")</f>
        <v>0.186343372998264</v>
      </c>
      <c r="M125" s="52" t="n">
        <f aca="false">IF(AND(ISNUMBER($G125),$G125&gt;=60),MAX(INDEX($D$5:$D125,122-60):$D125),"")</f>
        <v>3878</v>
      </c>
      <c r="N125" s="52" t="n">
        <f aca="false">IF(AND(ISNUMBER($G125),$G125&gt;=60),MIN(INDEX($E$5:$E125,122-60):$E125),"")</f>
        <v>2906</v>
      </c>
      <c r="O125" s="53" t="n">
        <f aca="false">IF(OR(NOT(ISNUMBER($C125)),NOT(ISNUMBER($M125)),$M125=0),"",$C125/$M125-1)</f>
        <v>-0.00979886539453323</v>
      </c>
    </row>
    <row r="126" customFormat="false" ht="15" hidden="false" customHeight="false" outlineLevel="0" collapsed="false">
      <c r="A126" s="47" t="n">
        <v>45739</v>
      </c>
      <c r="B126" s="48" t="s">
        <v>274</v>
      </c>
      <c r="C126" s="49" t="n">
        <v>3773</v>
      </c>
      <c r="D126" s="49" t="n">
        <v>3775</v>
      </c>
      <c r="E126" s="49" t="n">
        <v>3752</v>
      </c>
      <c r="F126" s="49" t="n">
        <v>0</v>
      </c>
      <c r="G126" s="50" t="n">
        <f aca="false">IF($A126="","",IF(ISNUMBER($G125),$G125+1,1))</f>
        <v>122</v>
      </c>
      <c r="H126" s="51" t="n">
        <f aca="false">IF(OR(NOT(ISNUMBER($G126)),$G126&lt;2,NOT(ISNUMBER($C125)),$C125=0),"",$C126/$C125-1)</f>
        <v>-0.0174479166666667</v>
      </c>
      <c r="I126" s="52" t="n">
        <f aca="false">IF(AND(ISNUMBER($G126),$G126&gt;=MA_SHORT),AVERAGE(INDEX($C$5:$C126,123-MA_SHORT):$C126),"")</f>
        <v>3690.85</v>
      </c>
      <c r="J126" s="52" t="n">
        <f aca="false">IF(AND(ISNUMBER($G126),$G126&gt;=MA_MED),AVERAGE(INDEX($C$5:$C126,123-MA_MED):$C126),"")</f>
        <v>3469.92</v>
      </c>
      <c r="K126" s="52" t="str">
        <f aca="false">IF(AND(ISNUMBER($G126),$G126&gt;=MA_LONG2),AVERAGE(INDEX($C$5:$C126,123-MA_LONG2):$C126),"")</f>
        <v/>
      </c>
      <c r="L126" s="53" t="n">
        <f aca="false">IF(AND(ISNUMBER($G126),$G126&gt;=21),STDEV(INDEX($H$66:$H126,62-20):$H126)*SQRT(245),"")</f>
        <v>0.200734719780978</v>
      </c>
      <c r="M126" s="52" t="n">
        <f aca="false">IF(AND(ISNUMBER($G126),$G126&gt;=60),MAX(INDEX($D$5:$D126,123-60):$D126),"")</f>
        <v>3878</v>
      </c>
      <c r="N126" s="52" t="n">
        <f aca="false">IF(AND(ISNUMBER($G126),$G126&gt;=60),MIN(INDEX($E$5:$E126,123-60):$E126),"")</f>
        <v>2906</v>
      </c>
      <c r="O126" s="53" t="n">
        <f aca="false">IF(OR(NOT(ISNUMBER($C126)),NOT(ISNUMBER($M126)),$M126=0),"",$C126/$M126-1)</f>
        <v>-0.0270758122743683</v>
      </c>
    </row>
    <row r="127" customFormat="false" ht="15" hidden="false" customHeight="false" outlineLevel="0" collapsed="false">
      <c r="A127" s="47" t="n">
        <v>45740</v>
      </c>
      <c r="B127" s="48" t="s">
        <v>275</v>
      </c>
      <c r="C127" s="49" t="n">
        <v>3811</v>
      </c>
      <c r="D127" s="49" t="n">
        <v>3819</v>
      </c>
      <c r="E127" s="49" t="n">
        <v>3805</v>
      </c>
      <c r="F127" s="49" t="n">
        <v>0</v>
      </c>
      <c r="G127" s="50" t="n">
        <f aca="false">IF($A127="","",IF(ISNUMBER($G126),$G126+1,1))</f>
        <v>123</v>
      </c>
      <c r="H127" s="51" t="n">
        <f aca="false">IF(OR(NOT(ISNUMBER($G127)),$G127&lt;2,NOT(ISNUMBER($C126)),$C126=0),"",$C127/$C126-1)</f>
        <v>0.0100715610919693</v>
      </c>
      <c r="I127" s="52" t="n">
        <f aca="false">IF(AND(ISNUMBER($G127),$G127&gt;=MA_SHORT),AVERAGE(INDEX($C$5:$C127,124-MA_SHORT):$C127),"")</f>
        <v>3703.8</v>
      </c>
      <c r="J127" s="52" t="n">
        <f aca="false">IF(AND(ISNUMBER($G127),$G127&gt;=MA_MED),AVERAGE(INDEX($C$5:$C127,124-MA_MED):$C127),"")</f>
        <v>3482.66</v>
      </c>
      <c r="K127" s="52" t="str">
        <f aca="false">IF(AND(ISNUMBER($G127),$G127&gt;=MA_LONG2),AVERAGE(INDEX($C$5:$C127,124-MA_LONG2):$C127),"")</f>
        <v/>
      </c>
      <c r="L127" s="53" t="n">
        <f aca="false">IF(AND(ISNUMBER($G127),$G127&gt;=21),STDEV(INDEX($H$67:$H127,62-20):$H127)*SQRT(245),"")</f>
        <v>0.200318370582184</v>
      </c>
      <c r="M127" s="52" t="n">
        <f aca="false">IF(AND(ISNUMBER($G127),$G127&gt;=60),MAX(INDEX($D$5:$D127,124-60):$D127),"")</f>
        <v>3878</v>
      </c>
      <c r="N127" s="52" t="n">
        <f aca="false">IF(AND(ISNUMBER($G127),$G127&gt;=60),MIN(INDEX($E$5:$E127,124-60):$E127),"")</f>
        <v>2944</v>
      </c>
      <c r="O127" s="53" t="n">
        <f aca="false">IF(OR(NOT(ISNUMBER($C127)),NOT(ISNUMBER($M127)),$M127=0),"",$C127/$M127-1)</f>
        <v>-0.0172769468798349</v>
      </c>
    </row>
    <row r="128" customFormat="false" ht="15" hidden="false" customHeight="false" outlineLevel="0" collapsed="false">
      <c r="A128" s="47" t="n">
        <v>45741</v>
      </c>
      <c r="B128" s="48" t="s">
        <v>276</v>
      </c>
      <c r="C128" s="49" t="n">
        <v>3900</v>
      </c>
      <c r="D128" s="49" t="n">
        <v>3914</v>
      </c>
      <c r="E128" s="49" t="n">
        <v>3888</v>
      </c>
      <c r="F128" s="49" t="n">
        <v>0</v>
      </c>
      <c r="G128" s="50" t="n">
        <f aca="false">IF($A128="","",IF(ISNUMBER($G127),$G127+1,1))</f>
        <v>124</v>
      </c>
      <c r="H128" s="51" t="n">
        <f aca="false">IF(OR(NOT(ISNUMBER($G128)),$G128&lt;2,NOT(ISNUMBER($C127)),$C127=0),"",$C128/$C127-1)</f>
        <v>0.0233534505379165</v>
      </c>
      <c r="I128" s="52" t="n">
        <f aca="false">IF(AND(ISNUMBER($G128),$G128&gt;=MA_SHORT),AVERAGE(INDEX($C$5:$C128,125-MA_SHORT):$C128),"")</f>
        <v>3721.3</v>
      </c>
      <c r="J128" s="52" t="n">
        <f aca="false">IF(AND(ISNUMBER($G128),$G128&gt;=MA_MED),AVERAGE(INDEX($C$5:$C128,125-MA_MED):$C128),"")</f>
        <v>3497.12</v>
      </c>
      <c r="K128" s="52" t="str">
        <f aca="false">IF(AND(ISNUMBER($G128),$G128&gt;=MA_LONG2),AVERAGE(INDEX($C$5:$C128,125-MA_LONG2):$C128),"")</f>
        <v/>
      </c>
      <c r="L128" s="53" t="n">
        <f aca="false">IF(AND(ISNUMBER($G128),$G128&gt;=21),STDEV(INDEX($H$68:$H128,62-20):$H128)*SQRT(245),"")</f>
        <v>0.211104828231221</v>
      </c>
      <c r="M128" s="52" t="n">
        <f aca="false">IF(AND(ISNUMBER($G128),$G128&gt;=60),MAX(INDEX($D$5:$D128,125-60):$D128),"")</f>
        <v>3914</v>
      </c>
      <c r="N128" s="52" t="n">
        <f aca="false">IF(AND(ISNUMBER($G128),$G128&gt;=60),MIN(INDEX($E$5:$E128,125-60):$E128),"")</f>
        <v>2951</v>
      </c>
      <c r="O128" s="53" t="n">
        <f aca="false">IF(OR(NOT(ISNUMBER($C128)),NOT(ISNUMBER($M128)),$M128=0),"",$C128/$M128-1)</f>
        <v>-0.00357690342360761</v>
      </c>
    </row>
    <row r="129" customFormat="false" ht="15" hidden="false" customHeight="false" outlineLevel="0" collapsed="false">
      <c r="A129" s="47" t="n">
        <v>45742</v>
      </c>
      <c r="B129" s="48" t="s">
        <v>277</v>
      </c>
      <c r="C129" s="49" t="n">
        <v>3844</v>
      </c>
      <c r="D129" s="49" t="n">
        <v>3852</v>
      </c>
      <c r="E129" s="49" t="n">
        <v>3833</v>
      </c>
      <c r="F129" s="49" t="n">
        <v>0</v>
      </c>
      <c r="G129" s="50" t="n">
        <f aca="false">IF($A129="","",IF(ISNUMBER($G128),$G128+1,1))</f>
        <v>125</v>
      </c>
      <c r="H129" s="51" t="n">
        <f aca="false">IF(OR(NOT(ISNUMBER($G129)),$G129&lt;2,NOT(ISNUMBER($C128)),$C128=0),"",$C129/$C128-1)</f>
        <v>-0.0143589743589744</v>
      </c>
      <c r="I129" s="52" t="n">
        <f aca="false">IF(AND(ISNUMBER($G129),$G129&gt;=MA_SHORT),AVERAGE(INDEX($C$5:$C129,126-MA_SHORT):$C129),"")</f>
        <v>3736.25</v>
      </c>
      <c r="J129" s="52" t="n">
        <f aca="false">IF(AND(ISNUMBER($G129),$G129&gt;=MA_MED),AVERAGE(INDEX($C$5:$C129,126-MA_MED):$C129),"")</f>
        <v>3509.24</v>
      </c>
      <c r="K129" s="52" t="str">
        <f aca="false">IF(AND(ISNUMBER($G129),$G129&gt;=MA_LONG2),AVERAGE(INDEX($C$5:$C129,126-MA_LONG2):$C129),"")</f>
        <v/>
      </c>
      <c r="L129" s="53" t="n">
        <f aca="false">IF(AND(ISNUMBER($G129),$G129&gt;=21),STDEV(INDEX($H$69:$H129,62-20):$H129)*SQRT(245),"")</f>
        <v>0.220664225515106</v>
      </c>
      <c r="M129" s="52" t="n">
        <f aca="false">IF(AND(ISNUMBER($G129),$G129&gt;=60),MAX(INDEX($D$5:$D129,126-60):$D129),"")</f>
        <v>3914</v>
      </c>
      <c r="N129" s="52" t="n">
        <f aca="false">IF(AND(ISNUMBER($G129),$G129&gt;=60),MIN(INDEX($E$5:$E129,126-60):$E129),"")</f>
        <v>2994</v>
      </c>
      <c r="O129" s="53" t="n">
        <f aca="false">IF(OR(NOT(ISNUMBER($C129)),NOT(ISNUMBER($M129)),$M129=0),"",$C129/$M129-1)</f>
        <v>-0.0178845171180378</v>
      </c>
    </row>
    <row r="130" customFormat="false" ht="15" hidden="false" customHeight="false" outlineLevel="0" collapsed="false">
      <c r="A130" s="47" t="n">
        <v>45745</v>
      </c>
      <c r="B130" s="48" t="s">
        <v>278</v>
      </c>
      <c r="C130" s="49" t="n">
        <v>3852</v>
      </c>
      <c r="D130" s="49" t="n">
        <v>3866</v>
      </c>
      <c r="E130" s="49" t="n">
        <v>3828</v>
      </c>
      <c r="F130" s="49" t="n">
        <v>0</v>
      </c>
      <c r="G130" s="50" t="n">
        <f aca="false">IF($A130="","",IF(ISNUMBER($G129),$G129+1,1))</f>
        <v>126</v>
      </c>
      <c r="H130" s="51" t="n">
        <f aca="false">IF(OR(NOT(ISNUMBER($G130)),$G130&lt;2,NOT(ISNUMBER($C129)),$C129=0),"",$C130/$C129-1)</f>
        <v>0.00208116545265358</v>
      </c>
      <c r="I130" s="52" t="n">
        <f aca="false">IF(AND(ISNUMBER($G130),$G130&gt;=MA_SHORT),AVERAGE(INDEX($C$5:$C130,127-MA_SHORT):$C130),"")</f>
        <v>3751.25</v>
      </c>
      <c r="J130" s="52" t="n">
        <f aca="false">IF(AND(ISNUMBER($G130),$G130&gt;=MA_MED),AVERAGE(INDEX($C$5:$C130,127-MA_MED):$C130),"")</f>
        <v>3521.5</v>
      </c>
      <c r="K130" s="52" t="str">
        <f aca="false">IF(AND(ISNUMBER($G130),$G130&gt;=MA_LONG2),AVERAGE(INDEX($C$5:$C130,127-MA_LONG2):$C130),"")</f>
        <v/>
      </c>
      <c r="L130" s="53" t="n">
        <f aca="false">IF(AND(ISNUMBER($G130),$G130&gt;=21),STDEV(INDEX($H$70:$H130,62-20):$H130)*SQRT(245),"")</f>
        <v>0.220650991120098</v>
      </c>
      <c r="M130" s="52" t="n">
        <f aca="false">IF(AND(ISNUMBER($G130),$G130&gt;=60),MAX(INDEX($D$5:$D130,127-60):$D130),"")</f>
        <v>3914</v>
      </c>
      <c r="N130" s="52" t="n">
        <f aca="false">IF(AND(ISNUMBER($G130),$G130&gt;=60),MIN(INDEX($E$5:$E130,127-60):$E130),"")</f>
        <v>2994</v>
      </c>
      <c r="O130" s="53" t="n">
        <f aca="false">IF(OR(NOT(ISNUMBER($C130)),NOT(ISNUMBER($M130)),$M130=0),"",$C130/$M130-1)</f>
        <v>-0.0158405723045478</v>
      </c>
    </row>
    <row r="131" customFormat="false" ht="15" hidden="false" customHeight="false" outlineLevel="0" collapsed="false">
      <c r="A131" s="47" t="n">
        <v>45746</v>
      </c>
      <c r="B131" s="48" t="s">
        <v>279</v>
      </c>
      <c r="C131" s="49" t="n">
        <v>3817</v>
      </c>
      <c r="D131" s="49" t="n">
        <v>3827</v>
      </c>
      <c r="E131" s="49" t="n">
        <v>3815</v>
      </c>
      <c r="F131" s="49" t="n">
        <v>0</v>
      </c>
      <c r="G131" s="50" t="n">
        <f aca="false">IF($A131="","",IF(ISNUMBER($G130),$G130+1,1))</f>
        <v>127</v>
      </c>
      <c r="H131" s="51" t="n">
        <f aca="false">IF(OR(NOT(ISNUMBER($G131)),$G131&lt;2,NOT(ISNUMBER($C130)),$C130=0),"",$C131/$C130-1)</f>
        <v>-0.00908618899273106</v>
      </c>
      <c r="I131" s="52" t="n">
        <f aca="false">IF(AND(ISNUMBER($G131),$G131&gt;=MA_SHORT),AVERAGE(INDEX($C$5:$C131,128-MA_SHORT):$C131),"")</f>
        <v>3762.5</v>
      </c>
      <c r="J131" s="52" t="n">
        <f aca="false">IF(AND(ISNUMBER($G131),$G131&gt;=MA_MED),AVERAGE(INDEX($C$5:$C131,128-MA_MED):$C131),"")</f>
        <v>3532.98</v>
      </c>
      <c r="K131" s="52" t="str">
        <f aca="false">IF(AND(ISNUMBER($G131),$G131&gt;=MA_LONG2),AVERAGE(INDEX($C$5:$C131,128-MA_LONG2):$C131),"")</f>
        <v/>
      </c>
      <c r="L131" s="53" t="n">
        <f aca="false">IF(AND(ISNUMBER($G131),$G131&gt;=21),STDEV(INDEX($H$71:$H131,62-20):$H131)*SQRT(245),"")</f>
        <v>0.22367406131483</v>
      </c>
      <c r="M131" s="52" t="n">
        <f aca="false">IF(AND(ISNUMBER($G131),$G131&gt;=60),MAX(INDEX($D$5:$D131,128-60):$D131),"")</f>
        <v>3914</v>
      </c>
      <c r="N131" s="52" t="n">
        <f aca="false">IF(AND(ISNUMBER($G131),$G131&gt;=60),MIN(INDEX($E$5:$E131,128-60):$E131),"")</f>
        <v>3013</v>
      </c>
      <c r="O131" s="53" t="n">
        <f aca="false">IF(OR(NOT(ISNUMBER($C131)),NOT(ISNUMBER($M131)),$M131=0),"",$C131/$M131-1)</f>
        <v>-0.0247828308635667</v>
      </c>
    </row>
    <row r="132" customFormat="false" ht="15" hidden="false" customHeight="false" outlineLevel="0" collapsed="false">
      <c r="A132" s="47" t="n">
        <v>45747</v>
      </c>
      <c r="B132" s="48" t="s">
        <v>280</v>
      </c>
      <c r="C132" s="49" t="n">
        <v>3816</v>
      </c>
      <c r="D132" s="49" t="n">
        <v>3817</v>
      </c>
      <c r="E132" s="49" t="n">
        <v>3807</v>
      </c>
      <c r="F132" s="49" t="n">
        <v>0</v>
      </c>
      <c r="G132" s="50" t="n">
        <f aca="false">IF($A132="","",IF(ISNUMBER($G131),$G131+1,1))</f>
        <v>128</v>
      </c>
      <c r="H132" s="51" t="n">
        <f aca="false">IF(OR(NOT(ISNUMBER($G132)),$G132&lt;2,NOT(ISNUMBER($C131)),$C131=0),"",$C132/$C131-1)</f>
        <v>-0.000261985852763935</v>
      </c>
      <c r="I132" s="52" t="n">
        <f aca="false">IF(AND(ISNUMBER($G132),$G132&gt;=MA_SHORT),AVERAGE(INDEX($C$5:$C132,129-MA_SHORT):$C132),"")</f>
        <v>3774.95</v>
      </c>
      <c r="J132" s="52" t="n">
        <f aca="false">IF(AND(ISNUMBER($G132),$G132&gt;=MA_MED),AVERAGE(INDEX($C$5:$C132,129-MA_MED):$C132),"")</f>
        <v>3543.3</v>
      </c>
      <c r="K132" s="52" t="str">
        <f aca="false">IF(AND(ISNUMBER($G132),$G132&gt;=MA_LONG2),AVERAGE(INDEX($C$5:$C132,129-MA_LONG2):$C132),"")</f>
        <v/>
      </c>
      <c r="L132" s="53" t="n">
        <f aca="false">IF(AND(ISNUMBER($G132),$G132&gt;=21),STDEV(INDEX($H$72:$H132,62-20):$H132)*SQRT(245),"")</f>
        <v>0.220987041907911</v>
      </c>
      <c r="M132" s="52" t="n">
        <f aca="false">IF(AND(ISNUMBER($G132),$G132&gt;=60),MAX(INDEX($D$5:$D132,129-60):$D132),"")</f>
        <v>3914</v>
      </c>
      <c r="N132" s="52" t="n">
        <f aca="false">IF(AND(ISNUMBER($G132),$G132&gt;=60),MIN(INDEX($E$5:$E132,129-60):$E132),"")</f>
        <v>3025</v>
      </c>
      <c r="O132" s="53" t="n">
        <f aca="false">IF(OR(NOT(ISNUMBER($C132)),NOT(ISNUMBER($M132)),$M132=0),"",$C132/$M132-1)</f>
        <v>-0.025038323965253</v>
      </c>
    </row>
    <row r="133" customFormat="false" ht="15" hidden="false" customHeight="false" outlineLevel="0" collapsed="false">
      <c r="A133" s="47" t="n">
        <v>45748</v>
      </c>
      <c r="B133" s="48" t="s">
        <v>281</v>
      </c>
      <c r="C133" s="49" t="n">
        <v>3837</v>
      </c>
      <c r="D133" s="49" t="n">
        <v>3850</v>
      </c>
      <c r="E133" s="49" t="n">
        <v>3827</v>
      </c>
      <c r="F133" s="49" t="n">
        <v>0</v>
      </c>
      <c r="G133" s="50" t="n">
        <f aca="false">IF($A133="","",IF(ISNUMBER($G132),$G132+1,1))</f>
        <v>129</v>
      </c>
      <c r="H133" s="51" t="n">
        <f aca="false">IF(OR(NOT(ISNUMBER($G133)),$G133&lt;2,NOT(ISNUMBER($C132)),$C132=0),"",$C133/$C132-1)</f>
        <v>0.00550314465408808</v>
      </c>
      <c r="I133" s="52" t="n">
        <f aca="false">IF(AND(ISNUMBER($G133),$G133&gt;=MA_SHORT),AVERAGE(INDEX($C$5:$C133,130-MA_SHORT):$C133),"")</f>
        <v>3784.55</v>
      </c>
      <c r="J133" s="52" t="n">
        <f aca="false">IF(AND(ISNUMBER($G133),$G133&gt;=MA_MED),AVERAGE(INDEX($C$5:$C133,130-MA_MED):$C133),"")</f>
        <v>3554.86</v>
      </c>
      <c r="K133" s="52" t="str">
        <f aca="false">IF(AND(ISNUMBER($G133),$G133&gt;=MA_LONG2),AVERAGE(INDEX($C$5:$C133,130-MA_LONG2):$C133),"")</f>
        <v/>
      </c>
      <c r="L133" s="53" t="n">
        <f aca="false">IF(AND(ISNUMBER($G133),$G133&gt;=21),STDEV(INDEX($H$73:$H133,62-20):$H133)*SQRT(245),"")</f>
        <v>0.210601822616081</v>
      </c>
      <c r="M133" s="52" t="n">
        <f aca="false">IF(AND(ISNUMBER($G133),$G133&gt;=60),MAX(INDEX($D$5:$D133,130-60):$D133),"")</f>
        <v>3914</v>
      </c>
      <c r="N133" s="52" t="n">
        <f aca="false">IF(AND(ISNUMBER($G133),$G133&gt;=60),MIN(INDEX($E$5:$E133,130-60):$E133),"")</f>
        <v>3025</v>
      </c>
      <c r="O133" s="53" t="n">
        <f aca="false">IF(OR(NOT(ISNUMBER($C133)),NOT(ISNUMBER($M133)),$M133=0),"",$C133/$M133-1)</f>
        <v>-0.0196729688298416</v>
      </c>
    </row>
    <row r="134" customFormat="false" ht="15" hidden="false" customHeight="false" outlineLevel="0" collapsed="false">
      <c r="A134" s="47" t="n">
        <v>45749</v>
      </c>
      <c r="B134" s="48" t="s">
        <v>282</v>
      </c>
      <c r="C134" s="49" t="n">
        <v>3809</v>
      </c>
      <c r="D134" s="49" t="n">
        <v>3827</v>
      </c>
      <c r="E134" s="49" t="n">
        <v>3807</v>
      </c>
      <c r="F134" s="49" t="n">
        <v>0</v>
      </c>
      <c r="G134" s="50" t="n">
        <f aca="false">IF($A134="","",IF(ISNUMBER($G133),$G133+1,1))</f>
        <v>130</v>
      </c>
      <c r="H134" s="51" t="n">
        <f aca="false">IF(OR(NOT(ISNUMBER($G134)),$G134&lt;2,NOT(ISNUMBER($C133)),$C133=0),"",$C134/$C133-1)</f>
        <v>-0.00729736773520984</v>
      </c>
      <c r="I134" s="52" t="n">
        <f aca="false">IF(AND(ISNUMBER($G134),$G134&gt;=MA_SHORT),AVERAGE(INDEX($C$5:$C134,131-MA_SHORT):$C134),"")</f>
        <v>3792.7</v>
      </c>
      <c r="J134" s="52" t="n">
        <f aca="false">IF(AND(ISNUMBER($G134),$G134&gt;=MA_MED),AVERAGE(INDEX($C$5:$C134,131-MA_MED):$C134),"")</f>
        <v>3565.58</v>
      </c>
      <c r="K134" s="52" t="str">
        <f aca="false">IF(AND(ISNUMBER($G134),$G134&gt;=MA_LONG2),AVERAGE(INDEX($C$5:$C134,131-MA_LONG2):$C134),"")</f>
        <v/>
      </c>
      <c r="L134" s="53" t="n">
        <f aca="false">IF(AND(ISNUMBER($G134),$G134&gt;=21),STDEV(INDEX($H$74:$H134,62-20):$H134)*SQRT(245),"")</f>
        <v>0.213355007459629</v>
      </c>
      <c r="M134" s="52" t="n">
        <f aca="false">IF(AND(ISNUMBER($G134),$G134&gt;=60),MAX(INDEX($D$5:$D134,131-60):$D134),"")</f>
        <v>3914</v>
      </c>
      <c r="N134" s="52" t="n">
        <f aca="false">IF(AND(ISNUMBER($G134),$G134&gt;=60),MIN(INDEX($E$5:$E134,131-60):$E134),"")</f>
        <v>3045</v>
      </c>
      <c r="O134" s="53" t="n">
        <f aca="false">IF(OR(NOT(ISNUMBER($C134)),NOT(ISNUMBER($M134)),$M134=0),"",$C134/$M134-1)</f>
        <v>-0.0268267756770567</v>
      </c>
    </row>
    <row r="135" customFormat="false" ht="15" hidden="false" customHeight="false" outlineLevel="0" collapsed="false">
      <c r="A135" s="47" t="n">
        <v>45752</v>
      </c>
      <c r="B135" s="48" t="s">
        <v>283</v>
      </c>
      <c r="C135" s="49" t="n">
        <v>3870</v>
      </c>
      <c r="D135" s="49" t="n">
        <v>3880</v>
      </c>
      <c r="E135" s="49" t="n">
        <v>3867</v>
      </c>
      <c r="F135" s="49" t="n">
        <v>0</v>
      </c>
      <c r="G135" s="50" t="n">
        <f aca="false">IF($A135="","",IF(ISNUMBER($G134),$G134+1,1))</f>
        <v>131</v>
      </c>
      <c r="H135" s="51" t="n">
        <f aca="false">IF(OR(NOT(ISNUMBER($G135)),$G135&lt;2,NOT(ISNUMBER($C134)),$C134=0),"",$C135/$C134-1)</f>
        <v>0.016014702021528</v>
      </c>
      <c r="I135" s="52" t="n">
        <f aca="false">IF(AND(ISNUMBER($G135),$G135&gt;=MA_SHORT),AVERAGE(INDEX($C$5:$C135,132-MA_SHORT):$C135),"")</f>
        <v>3804.25</v>
      </c>
      <c r="J135" s="52" t="n">
        <f aca="false">IF(AND(ISNUMBER($G135),$G135&gt;=MA_MED),AVERAGE(INDEX($C$5:$C135,132-MA_MED):$C135),"")</f>
        <v>3579.04</v>
      </c>
      <c r="K135" s="52" t="str">
        <f aca="false">IF(AND(ISNUMBER($G135),$G135&gt;=MA_LONG2),AVERAGE(INDEX($C$5:$C135,132-MA_LONG2):$C135),"")</f>
        <v/>
      </c>
      <c r="L135" s="53" t="n">
        <f aca="false">IF(AND(ISNUMBER($G135),$G135&gt;=21),STDEV(INDEX($H$75:$H135,62-20):$H135)*SQRT(245),"")</f>
        <v>0.217989767519867</v>
      </c>
      <c r="M135" s="52" t="n">
        <f aca="false">IF(AND(ISNUMBER($G135),$G135&gt;=60),MAX(INDEX($D$5:$D135,132-60):$D135),"")</f>
        <v>3914</v>
      </c>
      <c r="N135" s="52" t="n">
        <f aca="false">IF(AND(ISNUMBER($G135),$G135&gt;=60),MIN(INDEX($E$5:$E135,132-60):$E135),"")</f>
        <v>3134</v>
      </c>
      <c r="O135" s="53" t="n">
        <f aca="false">IF(OR(NOT(ISNUMBER($C135)),NOT(ISNUMBER($M135)),$M135=0),"",$C135/$M135-1)</f>
        <v>-0.0112416964741952</v>
      </c>
    </row>
    <row r="136" customFormat="false" ht="15" hidden="false" customHeight="false" outlineLevel="0" collapsed="false">
      <c r="A136" s="47" t="n">
        <v>45753</v>
      </c>
      <c r="B136" s="48" t="s">
        <v>284</v>
      </c>
      <c r="C136" s="49" t="n">
        <v>3944</v>
      </c>
      <c r="D136" s="49" t="n">
        <v>3957</v>
      </c>
      <c r="E136" s="49" t="n">
        <v>3939</v>
      </c>
      <c r="F136" s="49" t="n">
        <v>0</v>
      </c>
      <c r="G136" s="50" t="n">
        <f aca="false">IF($A136="","",IF(ISNUMBER($G135),$G135+1,1))</f>
        <v>132</v>
      </c>
      <c r="H136" s="51" t="n">
        <f aca="false">IF(OR(NOT(ISNUMBER($G136)),$G136&lt;2,NOT(ISNUMBER($C135)),$C135=0),"",$C136/$C135-1)</f>
        <v>0.0191214470284238</v>
      </c>
      <c r="I136" s="52" t="n">
        <f aca="false">IF(AND(ISNUMBER($G136),$G136&gt;=MA_SHORT),AVERAGE(INDEX($C$5:$C136,133-MA_SHORT):$C136),"")</f>
        <v>3818.8</v>
      </c>
      <c r="J136" s="52" t="n">
        <f aca="false">IF(AND(ISNUMBER($G136),$G136&gt;=MA_MED),AVERAGE(INDEX($C$5:$C136,133-MA_MED):$C136),"")</f>
        <v>3592.72</v>
      </c>
      <c r="K136" s="52" t="str">
        <f aca="false">IF(AND(ISNUMBER($G136),$G136&gt;=MA_LONG2),AVERAGE(INDEX($C$5:$C136,133-MA_LONG2):$C136),"")</f>
        <v/>
      </c>
      <c r="L136" s="53" t="n">
        <f aca="false">IF(AND(ISNUMBER($G136),$G136&gt;=21),STDEV(INDEX($H$76:$H136,62-20):$H136)*SQRT(245),"")</f>
        <v>0.225039777020056</v>
      </c>
      <c r="M136" s="52" t="n">
        <f aca="false">IF(AND(ISNUMBER($G136),$G136&gt;=60),MAX(INDEX($D$5:$D136,133-60):$D136),"")</f>
        <v>3957</v>
      </c>
      <c r="N136" s="52" t="n">
        <f aca="false">IF(AND(ISNUMBER($G136),$G136&gt;=60),MIN(INDEX($E$5:$E136,133-60):$E136),"")</f>
        <v>3146</v>
      </c>
      <c r="O136" s="53" t="n">
        <f aca="false">IF(OR(NOT(ISNUMBER($C136)),NOT(ISNUMBER($M136)),$M136=0),"",$C136/$M136-1)</f>
        <v>-0.00328531715946423</v>
      </c>
    </row>
    <row r="137" customFormat="false" ht="15" hidden="false" customHeight="false" outlineLevel="0" collapsed="false">
      <c r="A137" s="47" t="n">
        <v>45754</v>
      </c>
      <c r="B137" s="48" t="s">
        <v>285</v>
      </c>
      <c r="C137" s="49" t="n">
        <v>3946</v>
      </c>
      <c r="D137" s="49" t="n">
        <v>3949</v>
      </c>
      <c r="E137" s="49" t="n">
        <v>3914</v>
      </c>
      <c r="F137" s="49" t="n">
        <v>0</v>
      </c>
      <c r="G137" s="50" t="n">
        <f aca="false">IF($A137="","",IF(ISNUMBER($G136),$G136+1,1))</f>
        <v>133</v>
      </c>
      <c r="H137" s="51" t="n">
        <f aca="false">IF(OR(NOT(ISNUMBER($G137)),$G137&lt;2,NOT(ISNUMBER($C136)),$C136=0),"",$C137/$C136-1)</f>
        <v>0.000507099391480637</v>
      </c>
      <c r="I137" s="52" t="n">
        <f aca="false">IF(AND(ISNUMBER($G137),$G137&gt;=MA_SHORT),AVERAGE(INDEX($C$5:$C137,134-MA_SHORT):$C137),"")</f>
        <v>3830.95</v>
      </c>
      <c r="J137" s="52" t="n">
        <f aca="false">IF(AND(ISNUMBER($G137),$G137&gt;=MA_MED),AVERAGE(INDEX($C$5:$C137,134-MA_MED):$C137),"")</f>
        <v>3606.82</v>
      </c>
      <c r="K137" s="52" t="str">
        <f aca="false">IF(AND(ISNUMBER($G137),$G137&gt;=MA_LONG2),AVERAGE(INDEX($C$5:$C137,134-MA_LONG2):$C137),"")</f>
        <v/>
      </c>
      <c r="L137" s="53" t="n">
        <f aca="false">IF(AND(ISNUMBER($G137),$G137&gt;=21),STDEV(INDEX($H$77:$H137,62-20):$H137)*SQRT(245),"")</f>
        <v>0.222388720743011</v>
      </c>
      <c r="M137" s="52" t="n">
        <f aca="false">IF(AND(ISNUMBER($G137),$G137&gt;=60),MAX(INDEX($D$5:$D137,134-60):$D137),"")</f>
        <v>3957</v>
      </c>
      <c r="N137" s="52" t="n">
        <f aca="false">IF(AND(ISNUMBER($G137),$G137&gt;=60),MIN(INDEX($E$5:$E137,134-60):$E137),"")</f>
        <v>3168</v>
      </c>
      <c r="O137" s="53" t="n">
        <f aca="false">IF(OR(NOT(ISNUMBER($C137)),NOT(ISNUMBER($M137)),$M137=0),"",$C137/$M137-1)</f>
        <v>-0.0027798837503159</v>
      </c>
    </row>
    <row r="138" customFormat="false" ht="15" hidden="false" customHeight="false" outlineLevel="0" collapsed="false">
      <c r="A138" s="47" t="n">
        <v>45755</v>
      </c>
      <c r="B138" s="48" t="s">
        <v>286</v>
      </c>
      <c r="C138" s="49" t="n">
        <v>3941</v>
      </c>
      <c r="D138" s="49" t="n">
        <v>3964</v>
      </c>
      <c r="E138" s="49" t="n">
        <v>3932</v>
      </c>
      <c r="F138" s="49" t="n">
        <v>0</v>
      </c>
      <c r="G138" s="50" t="n">
        <f aca="false">IF($A138="","",IF(ISNUMBER($G137),$G137+1,1))</f>
        <v>134</v>
      </c>
      <c r="H138" s="51" t="n">
        <f aca="false">IF(OR(NOT(ISNUMBER($G138)),$G138&lt;2,NOT(ISNUMBER($C137)),$C137=0),"",$C138/$C137-1)</f>
        <v>-0.00126710593005575</v>
      </c>
      <c r="I138" s="52" t="n">
        <f aca="false">IF(AND(ISNUMBER($G138),$G138&gt;=MA_SHORT),AVERAGE(INDEX($C$5:$C138,135-MA_SHORT):$C138),"")</f>
        <v>3836.85</v>
      </c>
      <c r="J138" s="52" t="n">
        <f aca="false">IF(AND(ISNUMBER($G138),$G138&gt;=MA_MED),AVERAGE(INDEX($C$5:$C138,135-MA_MED):$C138),"")</f>
        <v>3620.5</v>
      </c>
      <c r="K138" s="52" t="str">
        <f aca="false">IF(AND(ISNUMBER($G138),$G138&gt;=MA_LONG2),AVERAGE(INDEX($C$5:$C138,135-MA_LONG2):$C138),"")</f>
        <v/>
      </c>
      <c r="L138" s="53" t="n">
        <f aca="false">IF(AND(ISNUMBER($G138),$G138&gt;=21),STDEV(INDEX($H$78:$H138,62-20):$H138)*SQRT(245),"")</f>
        <v>0.19506831068772</v>
      </c>
      <c r="M138" s="52" t="n">
        <f aca="false">IF(AND(ISNUMBER($G138),$G138&gt;=60),MAX(INDEX($D$5:$D138,135-60):$D138),"")</f>
        <v>3964</v>
      </c>
      <c r="N138" s="52" t="n">
        <f aca="false">IF(AND(ISNUMBER($G138),$G138&gt;=60),MIN(INDEX($E$5:$E138,135-60):$E138),"")</f>
        <v>3189</v>
      </c>
      <c r="O138" s="53" t="n">
        <f aca="false">IF(OR(NOT(ISNUMBER($C138)),NOT(ISNUMBER($M138)),$M138=0),"",$C138/$M138-1)</f>
        <v>-0.00580221997981834</v>
      </c>
    </row>
    <row r="139" customFormat="false" ht="15" hidden="false" customHeight="false" outlineLevel="0" collapsed="false">
      <c r="A139" s="47" t="n">
        <v>45756</v>
      </c>
      <c r="B139" s="48" t="s">
        <v>287</v>
      </c>
      <c r="C139" s="49" t="n">
        <v>4051</v>
      </c>
      <c r="D139" s="49" t="n">
        <v>4088</v>
      </c>
      <c r="E139" s="49" t="n">
        <v>4026</v>
      </c>
      <c r="F139" s="49" t="n">
        <v>0</v>
      </c>
      <c r="G139" s="50" t="n">
        <f aca="false">IF($A139="","",IF(ISNUMBER($G138),$G138+1,1))</f>
        <v>135</v>
      </c>
      <c r="H139" s="51" t="n">
        <f aca="false">IF(OR(NOT(ISNUMBER($G139)),$G139&lt;2,NOT(ISNUMBER($C138)),$C138=0),"",$C139/$C138-1)</f>
        <v>0.0279116975386957</v>
      </c>
      <c r="I139" s="52" t="n">
        <f aca="false">IF(AND(ISNUMBER($G139),$G139&gt;=MA_SHORT),AVERAGE(INDEX($C$5:$C139,136-MA_SHORT):$C139),"")</f>
        <v>3848.55</v>
      </c>
      <c r="J139" s="52" t="n">
        <f aca="false">IF(AND(ISNUMBER($G139),$G139&gt;=MA_MED),AVERAGE(INDEX($C$5:$C139,136-MA_MED):$C139),"")</f>
        <v>3636.44</v>
      </c>
      <c r="K139" s="52" t="str">
        <f aca="false">IF(AND(ISNUMBER($G139),$G139&gt;=MA_LONG2),AVERAGE(INDEX($C$5:$C139,136-MA_LONG2):$C139),"")</f>
        <v/>
      </c>
      <c r="L139" s="53" t="n">
        <f aca="false">IF(AND(ISNUMBER($G139),$G139&gt;=21),STDEV(INDEX($H$79:$H139,62-20):$H139)*SQRT(245),"")</f>
        <v>0.21515819201389</v>
      </c>
      <c r="M139" s="52" t="n">
        <f aca="false">IF(AND(ISNUMBER($G139),$G139&gt;=60),MAX(INDEX($D$5:$D139,136-60):$D139),"")</f>
        <v>4088</v>
      </c>
      <c r="N139" s="52" t="n">
        <f aca="false">IF(AND(ISNUMBER($G139),$G139&gt;=60),MIN(INDEX($E$5:$E139,136-60):$E139),"")</f>
        <v>3189</v>
      </c>
      <c r="O139" s="53" t="n">
        <f aca="false">IF(OR(NOT(ISNUMBER($C139)),NOT(ISNUMBER($M139)),$M139=0),"",$C139/$M139-1)</f>
        <v>-0.00905088062622306</v>
      </c>
    </row>
    <row r="140" customFormat="false" ht="15" hidden="false" customHeight="false" outlineLevel="0" collapsed="false">
      <c r="A140" s="47" t="n">
        <v>45759</v>
      </c>
      <c r="B140" s="48" t="s">
        <v>288</v>
      </c>
      <c r="C140" s="49" t="n">
        <v>4081</v>
      </c>
      <c r="D140" s="49" t="n">
        <v>4082</v>
      </c>
      <c r="E140" s="49" t="n">
        <v>4057</v>
      </c>
      <c r="F140" s="49" t="n">
        <v>0</v>
      </c>
      <c r="G140" s="50" t="n">
        <f aca="false">IF($A140="","",IF(ISNUMBER($G139),$G139+1,1))</f>
        <v>136</v>
      </c>
      <c r="H140" s="51" t="n">
        <f aca="false">IF(OR(NOT(ISNUMBER($G140)),$G140&lt;2,NOT(ISNUMBER($C139)),$C139=0),"",$C140/$C139-1)</f>
        <v>0.00740557886941495</v>
      </c>
      <c r="I140" s="52" t="n">
        <f aca="false">IF(AND(ISNUMBER($G140),$G140&gt;=MA_SHORT),AVERAGE(INDEX($C$5:$C140,137-MA_SHORT):$C140),"")</f>
        <v>3863.25</v>
      </c>
      <c r="J140" s="52" t="n">
        <f aca="false">IF(AND(ISNUMBER($G140),$G140&gt;=MA_MED),AVERAGE(INDEX($C$5:$C140,137-MA_MED):$C140),"")</f>
        <v>3653.94</v>
      </c>
      <c r="K140" s="52" t="str">
        <f aca="false">IF(AND(ISNUMBER($G140),$G140&gt;=MA_LONG2),AVERAGE(INDEX($C$5:$C140,137-MA_LONG2):$C140),"")</f>
        <v/>
      </c>
      <c r="L140" s="53" t="n">
        <f aca="false">IF(AND(ISNUMBER($G140),$G140&gt;=21),STDEV(INDEX($H$80:$H140,62-20):$H140)*SQRT(245),"")</f>
        <v>0.211767381364293</v>
      </c>
      <c r="M140" s="52" t="n">
        <f aca="false">IF(AND(ISNUMBER($G140),$G140&gt;=60),MAX(INDEX($D$5:$D140,137-60):$D140),"")</f>
        <v>4088</v>
      </c>
      <c r="N140" s="52" t="n">
        <f aca="false">IF(AND(ISNUMBER($G140),$G140&gt;=60),MIN(INDEX($E$5:$E140,137-60):$E140),"")</f>
        <v>3189</v>
      </c>
      <c r="O140" s="53" t="n">
        <f aca="false">IF(OR(NOT(ISNUMBER($C140)),NOT(ISNUMBER($M140)),$M140=0),"",$C140/$M140-1)</f>
        <v>-0.00171232876712324</v>
      </c>
    </row>
    <row r="141" customFormat="false" ht="15" hidden="false" customHeight="false" outlineLevel="0" collapsed="false">
      <c r="A141" s="47" t="n">
        <v>45760</v>
      </c>
      <c r="B141" s="48" t="s">
        <v>289</v>
      </c>
      <c r="C141" s="49" t="n">
        <v>4178</v>
      </c>
      <c r="D141" s="49" t="n">
        <v>4183</v>
      </c>
      <c r="E141" s="49" t="n">
        <v>4177</v>
      </c>
      <c r="F141" s="49" t="n">
        <v>0</v>
      </c>
      <c r="G141" s="50" t="n">
        <f aca="false">IF($A141="","",IF(ISNUMBER($G140),$G140+1,1))</f>
        <v>137</v>
      </c>
      <c r="H141" s="51" t="n">
        <f aca="false">IF(OR(NOT(ISNUMBER($G141)),$G141&lt;2,NOT(ISNUMBER($C140)),$C140=0),"",$C141/$C140-1)</f>
        <v>0.0237686841460427</v>
      </c>
      <c r="I141" s="52" t="n">
        <f aca="false">IF(AND(ISNUMBER($G141),$G141&gt;=MA_SHORT),AVERAGE(INDEX($C$5:$C141,138-MA_SHORT):$C141),"")</f>
        <v>3885.25</v>
      </c>
      <c r="J141" s="52" t="n">
        <f aca="false">IF(AND(ISNUMBER($G141),$G141&gt;=MA_MED),AVERAGE(INDEX($C$5:$C141,138-MA_MED):$C141),"")</f>
        <v>3672.86</v>
      </c>
      <c r="K141" s="52" t="str">
        <f aca="false">IF(AND(ISNUMBER($G141),$G141&gt;=MA_LONG2),AVERAGE(INDEX($C$5:$C141,138-MA_LONG2):$C141),"")</f>
        <v/>
      </c>
      <c r="L141" s="53" t="n">
        <f aca="false">IF(AND(ISNUMBER($G141),$G141&gt;=21),STDEV(INDEX($H$81:$H141,62-20):$H141)*SQRT(245),"")</f>
        <v>0.213249393929476</v>
      </c>
      <c r="M141" s="52" t="n">
        <f aca="false">IF(AND(ISNUMBER($G141),$G141&gt;=60),MAX(INDEX($D$5:$D141,138-60):$D141),"")</f>
        <v>4183</v>
      </c>
      <c r="N141" s="52" t="n">
        <f aca="false">IF(AND(ISNUMBER($G141),$G141&gt;=60),MIN(INDEX($E$5:$E141,138-60):$E141),"")</f>
        <v>3189</v>
      </c>
      <c r="O141" s="53" t="n">
        <f aca="false">IF(OR(NOT(ISNUMBER($C141)),NOT(ISNUMBER($M141)),$M141=0),"",$C141/$M141-1)</f>
        <v>-0.00119531436767872</v>
      </c>
    </row>
    <row r="142" customFormat="false" ht="15" hidden="false" customHeight="false" outlineLevel="0" collapsed="false">
      <c r="A142" s="47" t="n">
        <v>45761</v>
      </c>
      <c r="B142" s="48" t="s">
        <v>290</v>
      </c>
      <c r="C142" s="49" t="n">
        <v>4215</v>
      </c>
      <c r="D142" s="49" t="n">
        <v>4233</v>
      </c>
      <c r="E142" s="49" t="n">
        <v>4208</v>
      </c>
      <c r="F142" s="49" t="n">
        <v>0</v>
      </c>
      <c r="G142" s="50" t="n">
        <f aca="false">IF($A142="","",IF(ISNUMBER($G141),$G141+1,1))</f>
        <v>138</v>
      </c>
      <c r="H142" s="51" t="n">
        <f aca="false">IF(OR(NOT(ISNUMBER($G142)),$G142&lt;2,NOT(ISNUMBER($C141)),$C141=0),"",$C142/$C141-1)</f>
        <v>0.0088559119195788</v>
      </c>
      <c r="I142" s="52" t="n">
        <f aca="false">IF(AND(ISNUMBER($G142),$G142&gt;=MA_SHORT),AVERAGE(INDEX($C$5:$C142,139-MA_SHORT):$C142),"")</f>
        <v>3907.7</v>
      </c>
      <c r="J142" s="52" t="n">
        <f aca="false">IF(AND(ISNUMBER($G142),$G142&gt;=MA_MED),AVERAGE(INDEX($C$5:$C142,139-MA_MED):$C142),"")</f>
        <v>3692.32</v>
      </c>
      <c r="K142" s="52" t="str">
        <f aca="false">IF(AND(ISNUMBER($G142),$G142&gt;=MA_LONG2),AVERAGE(INDEX($C$5:$C142,139-MA_LONG2):$C142),"")</f>
        <v/>
      </c>
      <c r="L142" s="53" t="n">
        <f aca="false">IF(AND(ISNUMBER($G142),$G142&gt;=21),STDEV(INDEX($H$82:$H142,62-20):$H142)*SQRT(245),"")</f>
        <v>0.213453370718946</v>
      </c>
      <c r="M142" s="52" t="n">
        <f aca="false">IF(AND(ISNUMBER($G142),$G142&gt;=60),MAX(INDEX($D$5:$D142,139-60):$D142),"")</f>
        <v>4233</v>
      </c>
      <c r="N142" s="52" t="n">
        <f aca="false">IF(AND(ISNUMBER($G142),$G142&gt;=60),MIN(INDEX($E$5:$E142,139-60):$E142),"")</f>
        <v>3189</v>
      </c>
      <c r="O142" s="53" t="n">
        <f aca="false">IF(OR(NOT(ISNUMBER($C142)),NOT(ISNUMBER($M142)),$M142=0),"",$C142/$M142-1)</f>
        <v>-0.00425230333097093</v>
      </c>
    </row>
    <row r="143" customFormat="false" ht="15" hidden="false" customHeight="false" outlineLevel="0" collapsed="false">
      <c r="A143" s="47" t="n">
        <v>45762</v>
      </c>
      <c r="B143" s="48" t="s">
        <v>291</v>
      </c>
      <c r="C143" s="49" t="n">
        <v>4250</v>
      </c>
      <c r="D143" s="49" t="n">
        <v>4253</v>
      </c>
      <c r="E143" s="49" t="n">
        <v>4235</v>
      </c>
      <c r="F143" s="49" t="n">
        <v>0</v>
      </c>
      <c r="G143" s="50" t="n">
        <f aca="false">IF($A143="","",IF(ISNUMBER($G142),$G142+1,1))</f>
        <v>139</v>
      </c>
      <c r="H143" s="51" t="n">
        <f aca="false">IF(OR(NOT(ISNUMBER($G143)),$G143&lt;2,NOT(ISNUMBER($C142)),$C142=0),"",$C143/$C142-1)</f>
        <v>0.00830367734282334</v>
      </c>
      <c r="I143" s="52" t="n">
        <f aca="false">IF(AND(ISNUMBER($G143),$G143&gt;=MA_SHORT),AVERAGE(INDEX($C$5:$C143,140-MA_SHORT):$C143),"")</f>
        <v>3932</v>
      </c>
      <c r="J143" s="52" t="n">
        <f aca="false">IF(AND(ISNUMBER($G143),$G143&gt;=MA_MED),AVERAGE(INDEX($C$5:$C143,140-MA_MED):$C143),"")</f>
        <v>3710.9</v>
      </c>
      <c r="K143" s="52" t="str">
        <f aca="false">IF(AND(ISNUMBER($G143),$G143&gt;=MA_LONG2),AVERAGE(INDEX($C$5:$C143,140-MA_LONG2):$C143),"")</f>
        <v/>
      </c>
      <c r="L143" s="53" t="n">
        <f aca="false">IF(AND(ISNUMBER($G143),$G143&gt;=21),STDEV(INDEX($H$83:$H143,62-20):$H143)*SQRT(245),"")</f>
        <v>0.212345722940654</v>
      </c>
      <c r="M143" s="52" t="n">
        <f aca="false">IF(AND(ISNUMBER($G143),$G143&gt;=60),MAX(INDEX($D$5:$D143,140-60):$D143),"")</f>
        <v>4253</v>
      </c>
      <c r="N143" s="52" t="n">
        <f aca="false">IF(AND(ISNUMBER($G143),$G143&gt;=60),MIN(INDEX($E$5:$E143,140-60):$E143),"")</f>
        <v>3189</v>
      </c>
      <c r="O143" s="53" t="n">
        <f aca="false">IF(OR(NOT(ISNUMBER($C143)),NOT(ISNUMBER($M143)),$M143=0),"",$C143/$M143-1)</f>
        <v>-0.000705384434516843</v>
      </c>
    </row>
    <row r="144" customFormat="false" ht="15" hidden="false" customHeight="false" outlineLevel="0" collapsed="false">
      <c r="A144" s="47" t="n">
        <v>45763</v>
      </c>
      <c r="B144" s="48" t="s">
        <v>292</v>
      </c>
      <c r="C144" s="49" t="n">
        <v>4301</v>
      </c>
      <c r="D144" s="49" t="n">
        <v>4304</v>
      </c>
      <c r="E144" s="49" t="n">
        <v>4292</v>
      </c>
      <c r="F144" s="49" t="n">
        <v>0</v>
      </c>
      <c r="G144" s="50" t="n">
        <f aca="false">IF($A144="","",IF(ISNUMBER($G143),$G143+1,1))</f>
        <v>140</v>
      </c>
      <c r="H144" s="51" t="n">
        <f aca="false">IF(OR(NOT(ISNUMBER($G144)),$G144&lt;2,NOT(ISNUMBER($C143)),$C143=0),"",$C144/$C143-1)</f>
        <v>0.012</v>
      </c>
      <c r="I144" s="52" t="n">
        <f aca="false">IF(AND(ISNUMBER($G144),$G144&gt;=MA_SHORT),AVERAGE(INDEX($C$5:$C144,141-MA_SHORT):$C144),"")</f>
        <v>3953.8</v>
      </c>
      <c r="J144" s="52" t="n">
        <f aca="false">IF(AND(ISNUMBER($G144),$G144&gt;=MA_MED),AVERAGE(INDEX($C$5:$C144,141-MA_MED):$C144),"")</f>
        <v>3730.86</v>
      </c>
      <c r="K144" s="52" t="str">
        <f aca="false">IF(AND(ISNUMBER($G144),$G144&gt;=MA_LONG2),AVERAGE(INDEX($C$5:$C144,141-MA_LONG2):$C144),"")</f>
        <v/>
      </c>
      <c r="L144" s="53" t="n">
        <f aca="false">IF(AND(ISNUMBER($G144),$G144&gt;=21),STDEV(INDEX($H$84:$H144,62-20):$H144)*SQRT(245),"")</f>
        <v>0.199710430927564</v>
      </c>
      <c r="M144" s="52" t="n">
        <f aca="false">IF(AND(ISNUMBER($G144),$G144&gt;=60),MAX(INDEX($D$5:$D144,141-60):$D144),"")</f>
        <v>4304</v>
      </c>
      <c r="N144" s="52" t="n">
        <f aca="false">IF(AND(ISNUMBER($G144),$G144&gt;=60),MIN(INDEX($E$5:$E144,141-60):$E144),"")</f>
        <v>3189</v>
      </c>
      <c r="O144" s="53" t="n">
        <f aca="false">IF(OR(NOT(ISNUMBER($C144)),NOT(ISNUMBER($M144)),$M144=0),"",$C144/$M144-1)</f>
        <v>-0.000697026022304814</v>
      </c>
    </row>
    <row r="145" customFormat="false" ht="15" hidden="false" customHeight="false" outlineLevel="0" collapsed="false">
      <c r="A145" s="47" t="n">
        <v>45766</v>
      </c>
      <c r="B145" s="48" t="s">
        <v>293</v>
      </c>
      <c r="C145" s="49" t="n">
        <v>4328</v>
      </c>
      <c r="D145" s="49" t="n">
        <v>4343</v>
      </c>
      <c r="E145" s="49" t="n">
        <v>4312</v>
      </c>
      <c r="F145" s="49" t="n">
        <v>0</v>
      </c>
      <c r="G145" s="50" t="n">
        <f aca="false">IF($A145="","",IF(ISNUMBER($G144),$G144+1,1))</f>
        <v>141</v>
      </c>
      <c r="H145" s="51" t="n">
        <f aca="false">IF(OR(NOT(ISNUMBER($G145)),$G145&lt;2,NOT(ISNUMBER($C144)),$C144=0),"",$C145/$C144-1)</f>
        <v>0.0062776098581725</v>
      </c>
      <c r="I145" s="52" t="n">
        <f aca="false">IF(AND(ISNUMBER($G145),$G145&gt;=MA_SHORT),AVERAGE(INDEX($C$5:$C145,142-MA_SHORT):$C145),"")</f>
        <v>3978.2</v>
      </c>
      <c r="J145" s="52" t="n">
        <f aca="false">IF(AND(ISNUMBER($G145),$G145&gt;=MA_MED),AVERAGE(INDEX($C$5:$C145,142-MA_MED):$C145),"")</f>
        <v>3750.74</v>
      </c>
      <c r="K145" s="52" t="str">
        <f aca="false">IF(AND(ISNUMBER($G145),$G145&gt;=MA_LONG2),AVERAGE(INDEX($C$5:$C145,142-MA_LONG2):$C145),"")</f>
        <v/>
      </c>
      <c r="L145" s="53" t="n">
        <f aca="false">IF(AND(ISNUMBER($G145),$G145&gt;=21),STDEV(INDEX($H$85:$H145,62-20):$H145)*SQRT(245),"")</f>
        <v>0.194837012409039</v>
      </c>
      <c r="M145" s="52" t="n">
        <f aca="false">IF(AND(ISNUMBER($G145),$G145&gt;=60),MAX(INDEX($D$5:$D145,142-60):$D145),"")</f>
        <v>4343</v>
      </c>
      <c r="N145" s="52" t="n">
        <f aca="false">IF(AND(ISNUMBER($G145),$G145&gt;=60),MIN(INDEX($E$5:$E145,142-60):$E145),"")</f>
        <v>3189</v>
      </c>
      <c r="O145" s="53" t="n">
        <f aca="false">IF(OR(NOT(ISNUMBER($C145)),NOT(ISNUMBER($M145)),$M145=0),"",$C145/$M145-1)</f>
        <v>-0.00345383375546859</v>
      </c>
    </row>
    <row r="146" customFormat="false" ht="15" hidden="false" customHeight="false" outlineLevel="0" collapsed="false">
      <c r="A146" s="47" t="n">
        <v>45767</v>
      </c>
      <c r="B146" s="48" t="s">
        <v>294</v>
      </c>
      <c r="C146" s="49" t="n">
        <v>4329</v>
      </c>
      <c r="D146" s="49" t="n">
        <v>4344</v>
      </c>
      <c r="E146" s="49" t="n">
        <v>4324</v>
      </c>
      <c r="F146" s="49" t="n">
        <v>0</v>
      </c>
      <c r="G146" s="50" t="n">
        <f aca="false">IF($A146="","",IF(ISNUMBER($G145),$G145+1,1))</f>
        <v>142</v>
      </c>
      <c r="H146" s="51" t="n">
        <f aca="false">IF(OR(NOT(ISNUMBER($G146)),$G146&lt;2,NOT(ISNUMBER($C145)),$C145=0),"",$C146/$C145-1)</f>
        <v>0.000231053604436315</v>
      </c>
      <c r="I146" s="52" t="n">
        <f aca="false">IF(AND(ISNUMBER($G146),$G146&gt;=MA_SHORT),AVERAGE(INDEX($C$5:$C146,143-MA_SHORT):$C146),"")</f>
        <v>4006</v>
      </c>
      <c r="J146" s="52" t="n">
        <f aca="false">IF(AND(ISNUMBER($G146),$G146&gt;=MA_MED),AVERAGE(INDEX($C$5:$C146,143-MA_MED):$C146),"")</f>
        <v>3769.8</v>
      </c>
      <c r="K146" s="52" t="str">
        <f aca="false">IF(AND(ISNUMBER($G146),$G146&gt;=MA_LONG2),AVERAGE(INDEX($C$5:$C146,143-MA_LONG2):$C146),"")</f>
        <v/>
      </c>
      <c r="L146" s="53" t="n">
        <f aca="false">IF(AND(ISNUMBER($G146),$G146&gt;=21),STDEV(INDEX($H$86:$H146,62-20):$H146)*SQRT(245),"")</f>
        <v>0.17625638600507</v>
      </c>
      <c r="M146" s="52" t="n">
        <f aca="false">IF(AND(ISNUMBER($G146),$G146&gt;=60),MAX(INDEX($D$5:$D146,143-60):$D146),"")</f>
        <v>4344</v>
      </c>
      <c r="N146" s="52" t="n">
        <f aca="false">IF(AND(ISNUMBER($G146),$G146&gt;=60),MIN(INDEX($E$5:$E146,143-60):$E146),"")</f>
        <v>3189</v>
      </c>
      <c r="O146" s="53" t="n">
        <f aca="false">IF(OR(NOT(ISNUMBER($C146)),NOT(ISNUMBER($M146)),$M146=0),"",$C146/$M146-1)</f>
        <v>-0.00345303867403313</v>
      </c>
    </row>
    <row r="147" customFormat="false" ht="15" hidden="false" customHeight="false" outlineLevel="0" collapsed="false">
      <c r="A147" s="47" t="n">
        <v>45768</v>
      </c>
      <c r="B147" s="48" t="s">
        <v>295</v>
      </c>
      <c r="C147" s="49" t="n">
        <v>4446</v>
      </c>
      <c r="D147" s="49" t="n">
        <v>4465</v>
      </c>
      <c r="E147" s="49" t="n">
        <v>4420</v>
      </c>
      <c r="F147" s="49" t="n">
        <v>0</v>
      </c>
      <c r="G147" s="50" t="n">
        <f aca="false">IF($A147="","",IF(ISNUMBER($G146),$G146+1,1))</f>
        <v>143</v>
      </c>
      <c r="H147" s="51" t="n">
        <f aca="false">IF(OR(NOT(ISNUMBER($G147)),$G147&lt;2,NOT(ISNUMBER($C146)),$C146=0),"",$C147/$C146-1)</f>
        <v>0.027027027027027</v>
      </c>
      <c r="I147" s="52" t="n">
        <f aca="false">IF(AND(ISNUMBER($G147),$G147&gt;=MA_SHORT),AVERAGE(INDEX($C$5:$C147,144-MA_SHORT):$C147),"")</f>
        <v>4037.75</v>
      </c>
      <c r="J147" s="52" t="n">
        <f aca="false">IF(AND(ISNUMBER($G147),$G147&gt;=MA_MED),AVERAGE(INDEX($C$5:$C147,144-MA_MED):$C147),"")</f>
        <v>3791.5</v>
      </c>
      <c r="K147" s="52" t="str">
        <f aca="false">IF(AND(ISNUMBER($G147),$G147&gt;=MA_LONG2),AVERAGE(INDEX($C$5:$C147,144-MA_LONG2):$C147),"")</f>
        <v/>
      </c>
      <c r="L147" s="53" t="n">
        <f aca="false">IF(AND(ISNUMBER($G147),$G147&gt;=21),STDEV(INDEX($H$87:$H147,62-20):$H147)*SQRT(245),"")</f>
        <v>0.18960500341345</v>
      </c>
      <c r="M147" s="52" t="n">
        <f aca="false">IF(AND(ISNUMBER($G147),$G147&gt;=60),MAX(INDEX($D$5:$D147,144-60):$D147),"")</f>
        <v>4465</v>
      </c>
      <c r="N147" s="52" t="n">
        <f aca="false">IF(AND(ISNUMBER($G147),$G147&gt;=60),MIN(INDEX($E$5:$E147,144-60):$E147),"")</f>
        <v>3189</v>
      </c>
      <c r="O147" s="53" t="n">
        <f aca="false">IF(OR(NOT(ISNUMBER($C147)),NOT(ISNUMBER($M147)),$M147=0),"",$C147/$M147-1)</f>
        <v>-0.00425531914893618</v>
      </c>
    </row>
    <row r="148" customFormat="false" ht="15" hidden="false" customHeight="false" outlineLevel="0" collapsed="false">
      <c r="A148" s="47" t="n">
        <v>45769</v>
      </c>
      <c r="B148" s="48" t="s">
        <v>296</v>
      </c>
      <c r="C148" s="49" t="n">
        <v>4397</v>
      </c>
      <c r="D148" s="49" t="n">
        <v>4408</v>
      </c>
      <c r="E148" s="49" t="n">
        <v>4380</v>
      </c>
      <c r="F148" s="49" t="n">
        <v>0</v>
      </c>
      <c r="G148" s="50" t="n">
        <f aca="false">IF($A148="","",IF(ISNUMBER($G147),$G147+1,1))</f>
        <v>144</v>
      </c>
      <c r="H148" s="51" t="n">
        <f aca="false">IF(OR(NOT(ISNUMBER($G148)),$G148&lt;2,NOT(ISNUMBER($C147)),$C147=0),"",$C148/$C147-1)</f>
        <v>-0.01102114260009</v>
      </c>
      <c r="I148" s="52" t="n">
        <f aca="false">IF(AND(ISNUMBER($G148),$G148&gt;=MA_SHORT),AVERAGE(INDEX($C$5:$C148,145-MA_SHORT):$C148),"")</f>
        <v>4062.6</v>
      </c>
      <c r="J148" s="52" t="n">
        <f aca="false">IF(AND(ISNUMBER($G148),$G148&gt;=MA_MED),AVERAGE(INDEX($C$5:$C148,145-MA_MED):$C148),"")</f>
        <v>3810.98</v>
      </c>
      <c r="K148" s="52" t="str">
        <f aca="false">IF(AND(ISNUMBER($G148),$G148&gt;=MA_LONG2),AVERAGE(INDEX($C$5:$C148,145-MA_LONG2):$C148),"")</f>
        <v/>
      </c>
      <c r="L148" s="53" t="n">
        <f aca="false">IF(AND(ISNUMBER($G148),$G148&gt;=21),STDEV(INDEX($H$88:$H148,62-20):$H148)*SQRT(245),"")</f>
        <v>0.191417486145701</v>
      </c>
      <c r="M148" s="52" t="n">
        <f aca="false">IF(AND(ISNUMBER($G148),$G148&gt;=60),MAX(INDEX($D$5:$D148,145-60):$D148),"")</f>
        <v>4465</v>
      </c>
      <c r="N148" s="52" t="n">
        <f aca="false">IF(AND(ISNUMBER($G148),$G148&gt;=60),MIN(INDEX($E$5:$E148,145-60):$E148),"")</f>
        <v>3189</v>
      </c>
      <c r="O148" s="53" t="n">
        <f aca="false">IF(OR(NOT(ISNUMBER($C148)),NOT(ISNUMBER($M148)),$M148=0),"",$C148/$M148-1)</f>
        <v>-0.0152295632698768</v>
      </c>
    </row>
    <row r="149" customFormat="false" ht="15" hidden="false" customHeight="false" outlineLevel="0" collapsed="false">
      <c r="A149" s="47" t="n">
        <v>45770</v>
      </c>
      <c r="B149" s="48" t="s">
        <v>297</v>
      </c>
      <c r="C149" s="49" t="n">
        <v>4391</v>
      </c>
      <c r="D149" s="49" t="n">
        <v>4404</v>
      </c>
      <c r="E149" s="49" t="n">
        <v>4371</v>
      </c>
      <c r="F149" s="49" t="n">
        <v>0</v>
      </c>
      <c r="G149" s="50" t="n">
        <f aca="false">IF($A149="","",IF(ISNUMBER($G148),$G148+1,1))</f>
        <v>145</v>
      </c>
      <c r="H149" s="51" t="n">
        <f aca="false">IF(OR(NOT(ISNUMBER($G149)),$G149&lt;2,NOT(ISNUMBER($C148)),$C148=0),"",$C149/$C148-1)</f>
        <v>-0.00136456675005681</v>
      </c>
      <c r="I149" s="52" t="n">
        <f aca="false">IF(AND(ISNUMBER($G149),$G149&gt;=MA_SHORT),AVERAGE(INDEX($C$5:$C149,146-MA_SHORT):$C149),"")</f>
        <v>4089.95</v>
      </c>
      <c r="J149" s="52" t="n">
        <f aca="false">IF(AND(ISNUMBER($G149),$G149&gt;=MA_MED),AVERAGE(INDEX($C$5:$C149,146-MA_MED):$C149),"")</f>
        <v>3830.96</v>
      </c>
      <c r="K149" s="52" t="str">
        <f aca="false">IF(AND(ISNUMBER($G149),$G149&gt;=MA_LONG2),AVERAGE(INDEX($C$5:$C149,146-MA_LONG2):$C149),"")</f>
        <v/>
      </c>
      <c r="L149" s="53" t="n">
        <f aca="false">IF(AND(ISNUMBER($G149),$G149&gt;=21),STDEV(INDEX($H$89:$H149,62-20):$H149)*SQRT(245),"")</f>
        <v>0.178487231138331</v>
      </c>
      <c r="M149" s="52" t="n">
        <f aca="false">IF(AND(ISNUMBER($G149),$G149&gt;=60),MAX(INDEX($D$5:$D149,146-60):$D149),"")</f>
        <v>4465</v>
      </c>
      <c r="N149" s="52" t="n">
        <f aca="false">IF(AND(ISNUMBER($G149),$G149&gt;=60),MIN(INDEX($E$5:$E149,146-60):$E149),"")</f>
        <v>3189</v>
      </c>
      <c r="O149" s="53" t="n">
        <f aca="false">IF(OR(NOT(ISNUMBER($C149)),NOT(ISNUMBER($M149)),$M149=0),"",$C149/$M149-1)</f>
        <v>-0.0165733482642777</v>
      </c>
    </row>
    <row r="150" customFormat="false" ht="15" hidden="false" customHeight="false" outlineLevel="0" collapsed="false">
      <c r="A150" s="47" t="n">
        <v>45773</v>
      </c>
      <c r="B150" s="48" t="s">
        <v>298</v>
      </c>
      <c r="C150" s="49" t="n">
        <v>4444</v>
      </c>
      <c r="D150" s="49" t="n">
        <v>4470</v>
      </c>
      <c r="E150" s="49" t="n">
        <v>4437</v>
      </c>
      <c r="F150" s="49" t="n">
        <v>0</v>
      </c>
      <c r="G150" s="50" t="n">
        <f aca="false">IF($A150="","",IF(ISNUMBER($G149),$G149+1,1))</f>
        <v>146</v>
      </c>
      <c r="H150" s="51" t="n">
        <f aca="false">IF(OR(NOT(ISNUMBER($G150)),$G150&lt;2,NOT(ISNUMBER($C149)),$C149=0),"",$C150/$C149-1)</f>
        <v>0.0120701434752903</v>
      </c>
      <c r="I150" s="52" t="n">
        <f aca="false">IF(AND(ISNUMBER($G150),$G150&gt;=MA_SHORT),AVERAGE(INDEX($C$5:$C150,147-MA_SHORT):$C150),"")</f>
        <v>4119.55</v>
      </c>
      <c r="J150" s="52" t="n">
        <f aca="false">IF(AND(ISNUMBER($G150),$G150&gt;=MA_MED),AVERAGE(INDEX($C$5:$C150,147-MA_MED):$C150),"")</f>
        <v>3851.28</v>
      </c>
      <c r="K150" s="52" t="str">
        <f aca="false">IF(AND(ISNUMBER($G150),$G150&gt;=MA_LONG2),AVERAGE(INDEX($C$5:$C150,147-MA_LONG2):$C150),"")</f>
        <v/>
      </c>
      <c r="L150" s="53" t="n">
        <f aca="false">IF(AND(ISNUMBER($G150),$G150&gt;=21),STDEV(INDEX($H$90:$H150,62-20):$H150)*SQRT(245),"")</f>
        <v>0.178552462091369</v>
      </c>
      <c r="M150" s="52" t="n">
        <f aca="false">IF(AND(ISNUMBER($G150),$G150&gt;=60),MAX(INDEX($D$5:$D150,147-60):$D150),"")</f>
        <v>4470</v>
      </c>
      <c r="N150" s="52" t="n">
        <f aca="false">IF(AND(ISNUMBER($G150),$G150&gt;=60),MIN(INDEX($E$5:$E150,147-60):$E150),"")</f>
        <v>3228</v>
      </c>
      <c r="O150" s="53" t="n">
        <f aca="false">IF(OR(NOT(ISNUMBER($C150)),NOT(ISNUMBER($M150)),$M150=0),"",$C150/$M150-1)</f>
        <v>-0.00581655480984344</v>
      </c>
    </row>
    <row r="151" customFormat="false" ht="15" hidden="false" customHeight="false" outlineLevel="0" collapsed="false">
      <c r="A151" s="47" t="n">
        <v>45774</v>
      </c>
      <c r="B151" s="48" t="s">
        <v>299</v>
      </c>
      <c r="C151" s="49" t="n">
        <v>4525</v>
      </c>
      <c r="D151" s="49" t="n">
        <v>4527</v>
      </c>
      <c r="E151" s="49" t="n">
        <v>4511</v>
      </c>
      <c r="F151" s="49" t="n">
        <v>0</v>
      </c>
      <c r="G151" s="50" t="n">
        <f aca="false">IF($A151="","",IF(ISNUMBER($G150),$G150+1,1))</f>
        <v>147</v>
      </c>
      <c r="H151" s="51" t="n">
        <f aca="false">IF(OR(NOT(ISNUMBER($G151)),$G151&lt;2,NOT(ISNUMBER($C150)),$C150=0),"",$C151/$C150-1)</f>
        <v>0.0182268226822682</v>
      </c>
      <c r="I151" s="52" t="n">
        <f aca="false">IF(AND(ISNUMBER($G151),$G151&gt;=MA_SHORT),AVERAGE(INDEX($C$5:$C151,148-MA_SHORT):$C151),"")</f>
        <v>4154.95</v>
      </c>
      <c r="J151" s="52" t="n">
        <f aca="false">IF(AND(ISNUMBER($G151),$G151&gt;=MA_MED),AVERAGE(INDEX($C$5:$C151,148-MA_MED):$C151),"")</f>
        <v>3874.3</v>
      </c>
      <c r="K151" s="52" t="str">
        <f aca="false">IF(AND(ISNUMBER($G151),$G151&gt;=MA_LONG2),AVERAGE(INDEX($C$5:$C151,148-MA_LONG2):$C151),"")</f>
        <v/>
      </c>
      <c r="L151" s="53" t="n">
        <f aca="false">IF(AND(ISNUMBER($G151),$G151&gt;=21),STDEV(INDEX($H$91:$H151,62-20):$H151)*SQRT(245),"")</f>
        <v>0.171822748043502</v>
      </c>
      <c r="M151" s="52" t="n">
        <f aca="false">IF(AND(ISNUMBER($G151),$G151&gt;=60),MAX(INDEX($D$5:$D151,148-60):$D151),"")</f>
        <v>4527</v>
      </c>
      <c r="N151" s="52" t="n">
        <f aca="false">IF(AND(ISNUMBER($G151),$G151&gt;=60),MIN(INDEX($E$5:$E151,148-60):$E151),"")</f>
        <v>3238</v>
      </c>
      <c r="O151" s="53" t="n">
        <f aca="false">IF(OR(NOT(ISNUMBER($C151)),NOT(ISNUMBER($M151)),$M151=0),"",$C151/$M151-1)</f>
        <v>-0.000441793682350311</v>
      </c>
    </row>
    <row r="152" customFormat="false" ht="15" hidden="false" customHeight="false" outlineLevel="0" collapsed="false">
      <c r="A152" s="47" t="n">
        <v>45775</v>
      </c>
      <c r="B152" s="48" t="s">
        <v>300</v>
      </c>
      <c r="C152" s="49" t="n">
        <v>4391</v>
      </c>
      <c r="D152" s="49" t="n">
        <v>4407</v>
      </c>
      <c r="E152" s="49" t="n">
        <v>4388</v>
      </c>
      <c r="F152" s="49" t="n">
        <v>0</v>
      </c>
      <c r="G152" s="50" t="n">
        <f aca="false">IF($A152="","",IF(ISNUMBER($G151),$G151+1,1))</f>
        <v>148</v>
      </c>
      <c r="H152" s="51" t="n">
        <f aca="false">IF(OR(NOT(ISNUMBER($G152)),$G152&lt;2,NOT(ISNUMBER($C151)),$C151=0),"",$C152/$C151-1)</f>
        <v>-0.0296132596685083</v>
      </c>
      <c r="I152" s="52" t="n">
        <f aca="false">IF(AND(ISNUMBER($G152),$G152&gt;=MA_SHORT),AVERAGE(INDEX($C$5:$C152,149-MA_SHORT):$C152),"")</f>
        <v>4183.7</v>
      </c>
      <c r="J152" s="52" t="n">
        <f aca="false">IF(AND(ISNUMBER($G152),$G152&gt;=MA_MED),AVERAGE(INDEX($C$5:$C152,149-MA_MED):$C152),"")</f>
        <v>3893.68</v>
      </c>
      <c r="K152" s="52" t="str">
        <f aca="false">IF(AND(ISNUMBER($G152),$G152&gt;=MA_LONG2),AVERAGE(INDEX($C$5:$C152,149-MA_LONG2):$C152),"")</f>
        <v/>
      </c>
      <c r="L152" s="53" t="n">
        <f aca="false">IF(AND(ISNUMBER($G152),$G152&gt;=21),STDEV(INDEX($H$92:$H152,62-20):$H152)*SQRT(245),"")</f>
        <v>0.216298367117443</v>
      </c>
      <c r="M152" s="52" t="n">
        <f aca="false">IF(AND(ISNUMBER($G152),$G152&gt;=60),MAX(INDEX($D$5:$D152,149-60):$D152),"")</f>
        <v>4527</v>
      </c>
      <c r="N152" s="52" t="n">
        <f aca="false">IF(AND(ISNUMBER($G152),$G152&gt;=60),MIN(INDEX($E$5:$E152,149-60):$E152),"")</f>
        <v>3299</v>
      </c>
      <c r="O152" s="53" t="n">
        <f aca="false">IF(OR(NOT(ISNUMBER($C152)),NOT(ISNUMBER($M152)),$M152=0),"",$C152/$M152-1)</f>
        <v>-0.0300419703998233</v>
      </c>
    </row>
    <row r="153" customFormat="false" ht="15" hidden="false" customHeight="false" outlineLevel="0" collapsed="false">
      <c r="A153" s="47" t="n">
        <v>45776</v>
      </c>
      <c r="B153" s="48" t="s">
        <v>301</v>
      </c>
      <c r="C153" s="49" t="n">
        <v>4441</v>
      </c>
      <c r="D153" s="49" t="n">
        <v>4464</v>
      </c>
      <c r="E153" s="49" t="n">
        <v>4408</v>
      </c>
      <c r="F153" s="49" t="n">
        <v>0</v>
      </c>
      <c r="G153" s="50" t="n">
        <f aca="false">IF($A153="","",IF(ISNUMBER($G152),$G152+1,1))</f>
        <v>149</v>
      </c>
      <c r="H153" s="51" t="n">
        <f aca="false">IF(OR(NOT(ISNUMBER($G153)),$G153&lt;2,NOT(ISNUMBER($C152)),$C152=0),"",$C153/$C152-1)</f>
        <v>0.0113869278068777</v>
      </c>
      <c r="I153" s="52" t="n">
        <f aca="false">IF(AND(ISNUMBER($G153),$G153&gt;=MA_SHORT),AVERAGE(INDEX($C$5:$C153,150-MA_SHORT):$C153),"")</f>
        <v>4213.9</v>
      </c>
      <c r="J153" s="52" t="n">
        <f aca="false">IF(AND(ISNUMBER($G153),$G153&gt;=MA_MED),AVERAGE(INDEX($C$5:$C153,150-MA_MED):$C153),"")</f>
        <v>3912.38</v>
      </c>
      <c r="K153" s="52" t="str">
        <f aca="false">IF(AND(ISNUMBER($G153),$G153&gt;=MA_LONG2),AVERAGE(INDEX($C$5:$C153,150-MA_LONG2):$C153),"")</f>
        <v/>
      </c>
      <c r="L153" s="53" t="n">
        <f aca="false">IF(AND(ISNUMBER($G153),$G153&gt;=21),STDEV(INDEX($H$93:$H153,62-20):$H153)*SQRT(245),"")</f>
        <v>0.21670658204859</v>
      </c>
      <c r="M153" s="52" t="n">
        <f aca="false">IF(AND(ISNUMBER($G153),$G153&gt;=60),MAX(INDEX($D$5:$D153,150-60):$D153),"")</f>
        <v>4527</v>
      </c>
      <c r="N153" s="52" t="n">
        <f aca="false">IF(AND(ISNUMBER($G153),$G153&gt;=60),MIN(INDEX($E$5:$E153,150-60):$E153),"")</f>
        <v>3299</v>
      </c>
      <c r="O153" s="53" t="n">
        <f aca="false">IF(OR(NOT(ISNUMBER($C153)),NOT(ISNUMBER($M153)),$M153=0),"",$C153/$M153-1)</f>
        <v>-0.0189971283410647</v>
      </c>
    </row>
    <row r="154" customFormat="false" ht="15" hidden="false" customHeight="false" outlineLevel="0" collapsed="false">
      <c r="A154" s="47" t="n">
        <v>45777</v>
      </c>
      <c r="B154" s="48" t="s">
        <v>302</v>
      </c>
      <c r="C154" s="49" t="n">
        <v>4458</v>
      </c>
      <c r="D154" s="49" t="n">
        <v>4488</v>
      </c>
      <c r="E154" s="49" t="n">
        <v>4435</v>
      </c>
      <c r="F154" s="49" t="n">
        <v>0</v>
      </c>
      <c r="G154" s="50" t="n">
        <f aca="false">IF($A154="","",IF(ISNUMBER($G153),$G153+1,1))</f>
        <v>150</v>
      </c>
      <c r="H154" s="51" t="n">
        <f aca="false">IF(OR(NOT(ISNUMBER($G154)),$G154&lt;2,NOT(ISNUMBER($C153)),$C153=0),"",$C154/$C153-1)</f>
        <v>0.00382796667417251</v>
      </c>
      <c r="I154" s="52" t="n">
        <f aca="false">IF(AND(ISNUMBER($G154),$G154&gt;=MA_SHORT),AVERAGE(INDEX($C$5:$C154,151-MA_SHORT):$C154),"")</f>
        <v>4246.35</v>
      </c>
      <c r="J154" s="52" t="n">
        <f aca="false">IF(AND(ISNUMBER($G154),$G154&gt;=MA_MED),AVERAGE(INDEX($C$5:$C154,151-MA_MED):$C154),"")</f>
        <v>3931.16</v>
      </c>
      <c r="K154" s="52" t="str">
        <f aca="false">IF(AND(ISNUMBER($G154),$G154&gt;=MA_LONG2),AVERAGE(INDEX($C$5:$C154,151-MA_LONG2):$C154),"")</f>
        <v/>
      </c>
      <c r="L154" s="53" t="n">
        <f aca="false">IF(AND(ISNUMBER($G154),$G154&gt;=21),STDEV(INDEX($H$94:$H154,62-20):$H154)*SQRT(245),"")</f>
        <v>0.210364511157955</v>
      </c>
      <c r="M154" s="52" t="n">
        <f aca="false">IF(AND(ISNUMBER($G154),$G154&gt;=60),MAX(INDEX($D$5:$D154,151-60):$D154),"")</f>
        <v>4527</v>
      </c>
      <c r="N154" s="52" t="n">
        <f aca="false">IF(AND(ISNUMBER($G154),$G154&gt;=60),MIN(INDEX($E$5:$E154,151-60):$E154),"")</f>
        <v>3310</v>
      </c>
      <c r="O154" s="53" t="n">
        <f aca="false">IF(OR(NOT(ISNUMBER($C154)),NOT(ISNUMBER($M154)),$M154=0),"",$C154/$M154-1)</f>
        <v>-0.0152418820410868</v>
      </c>
    </row>
    <row r="155" customFormat="false" ht="15" hidden="false" customHeight="false" outlineLevel="0" collapsed="false">
      <c r="A155" s="47" t="n">
        <v>45780</v>
      </c>
      <c r="B155" s="48" t="s">
        <v>303</v>
      </c>
      <c r="C155" s="49" t="n">
        <v>4414</v>
      </c>
      <c r="D155" s="49" t="n">
        <v>4438</v>
      </c>
      <c r="E155" s="49" t="n">
        <v>4405</v>
      </c>
      <c r="F155" s="49" t="n">
        <v>0</v>
      </c>
      <c r="G155" s="50" t="n">
        <f aca="false">IF($A155="","",IF(ISNUMBER($G154),$G154+1,1))</f>
        <v>151</v>
      </c>
      <c r="H155" s="51" t="n">
        <f aca="false">IF(OR(NOT(ISNUMBER($G155)),$G155&lt;2,NOT(ISNUMBER($C154)),$C154=0),"",$C155/$C154-1)</f>
        <v>-0.00986989681471517</v>
      </c>
      <c r="I155" s="52" t="n">
        <f aca="false">IF(AND(ISNUMBER($G155),$G155&gt;=MA_SHORT),AVERAGE(INDEX($C$5:$C155,152-MA_SHORT):$C155),"")</f>
        <v>4273.55</v>
      </c>
      <c r="J155" s="52" t="n">
        <f aca="false">IF(AND(ISNUMBER($G155),$G155&gt;=MA_MED),AVERAGE(INDEX($C$5:$C155,152-MA_MED):$C155),"")</f>
        <v>3948.24</v>
      </c>
      <c r="K155" s="52" t="str">
        <f aca="false">IF(AND(ISNUMBER($G155),$G155&gt;=MA_LONG2),AVERAGE(INDEX($C$5:$C155,152-MA_LONG2):$C155),"")</f>
        <v/>
      </c>
      <c r="L155" s="53" t="n">
        <f aca="false">IF(AND(ISNUMBER($G155),$G155&gt;=21),STDEV(INDEX($H$95:$H155,62-20):$H155)*SQRT(245),"")</f>
        <v>0.217024558409275</v>
      </c>
      <c r="M155" s="52" t="n">
        <f aca="false">IF(AND(ISNUMBER($G155),$G155&gt;=60),MAX(INDEX($D$5:$D155,152-60):$D155),"")</f>
        <v>4527</v>
      </c>
      <c r="N155" s="52" t="n">
        <f aca="false">IF(AND(ISNUMBER($G155),$G155&gt;=60),MIN(INDEX($E$5:$E155,152-60):$E155),"")</f>
        <v>3354</v>
      </c>
      <c r="O155" s="53" t="n">
        <f aca="false">IF(OR(NOT(ISNUMBER($C155)),NOT(ISNUMBER($M155)),$M155=0),"",$C155/$M155-1)</f>
        <v>-0.0249613430527943</v>
      </c>
    </row>
    <row r="156" customFormat="false" ht="15" hidden="false" customHeight="false" outlineLevel="0" collapsed="false">
      <c r="A156" s="47" t="n">
        <v>45781</v>
      </c>
      <c r="B156" s="48" t="s">
        <v>304</v>
      </c>
      <c r="C156" s="49" t="n">
        <v>4363</v>
      </c>
      <c r="D156" s="49" t="n">
        <v>4374</v>
      </c>
      <c r="E156" s="49" t="n">
        <v>4350</v>
      </c>
      <c r="F156" s="49" t="n">
        <v>0</v>
      </c>
      <c r="G156" s="50" t="n">
        <f aca="false">IF($A156="","",IF(ISNUMBER($G155),$G155+1,1))</f>
        <v>152</v>
      </c>
      <c r="H156" s="51" t="n">
        <f aca="false">IF(OR(NOT(ISNUMBER($G156)),$G156&lt;2,NOT(ISNUMBER($C155)),$C155=0),"",$C156/$C155-1)</f>
        <v>-0.011554145899411</v>
      </c>
      <c r="I156" s="52" t="n">
        <f aca="false">IF(AND(ISNUMBER($G156),$G156&gt;=MA_SHORT),AVERAGE(INDEX($C$5:$C156,153-MA_SHORT):$C156),"")</f>
        <v>4294.5</v>
      </c>
      <c r="J156" s="52" t="n">
        <f aca="false">IF(AND(ISNUMBER($G156),$G156&gt;=MA_MED),AVERAGE(INDEX($C$5:$C156,153-MA_MED):$C156),"")</f>
        <v>3964.14</v>
      </c>
      <c r="K156" s="52" t="str">
        <f aca="false">IF(AND(ISNUMBER($G156),$G156&gt;=MA_LONG2),AVERAGE(INDEX($C$5:$C156,153-MA_LONG2):$C156),"")</f>
        <v/>
      </c>
      <c r="L156" s="53" t="n">
        <f aca="false">IF(AND(ISNUMBER($G156),$G156&gt;=21),STDEV(INDEX($H$96:$H156,62-20):$H156)*SQRT(245),"")</f>
        <v>0.220888285496949</v>
      </c>
      <c r="M156" s="52" t="n">
        <f aca="false">IF(AND(ISNUMBER($G156),$G156&gt;=60),MAX(INDEX($D$5:$D156,153-60):$D156),"")</f>
        <v>4527</v>
      </c>
      <c r="N156" s="52" t="n">
        <f aca="false">IF(AND(ISNUMBER($G156),$G156&gt;=60),MIN(INDEX($E$5:$E156,153-60):$E156),"")</f>
        <v>3358</v>
      </c>
      <c r="O156" s="53" t="n">
        <f aca="false">IF(OR(NOT(ISNUMBER($C156)),NOT(ISNUMBER($M156)),$M156=0),"",$C156/$M156-1)</f>
        <v>-0.0362270819527281</v>
      </c>
    </row>
    <row r="157" customFormat="false" ht="15" hidden="false" customHeight="false" outlineLevel="0" collapsed="false">
      <c r="A157" s="47" t="n">
        <v>45782</v>
      </c>
      <c r="B157" s="48" t="s">
        <v>305</v>
      </c>
      <c r="C157" s="49" t="n">
        <v>4427</v>
      </c>
      <c r="D157" s="49" t="n">
        <v>4438</v>
      </c>
      <c r="E157" s="49" t="n">
        <v>4426</v>
      </c>
      <c r="F157" s="49" t="n">
        <v>0</v>
      </c>
      <c r="G157" s="50" t="n">
        <f aca="false">IF($A157="","",IF(ISNUMBER($G156),$G156+1,1))</f>
        <v>153</v>
      </c>
      <c r="H157" s="51" t="n">
        <f aca="false">IF(OR(NOT(ISNUMBER($G157)),$G157&lt;2,NOT(ISNUMBER($C156)),$C156=0),"",$C157/$C156-1)</f>
        <v>0.0146688058675224</v>
      </c>
      <c r="I157" s="52" t="n">
        <f aca="false">IF(AND(ISNUMBER($G157),$G157&gt;=MA_SHORT),AVERAGE(INDEX($C$5:$C157,154-MA_SHORT):$C157),"")</f>
        <v>4318.55</v>
      </c>
      <c r="J157" s="52" t="n">
        <f aca="false">IF(AND(ISNUMBER($G157),$G157&gt;=MA_MED),AVERAGE(INDEX($C$5:$C157,154-MA_MED):$C157),"")</f>
        <v>3981.64</v>
      </c>
      <c r="K157" s="52" t="str">
        <f aca="false">IF(AND(ISNUMBER($G157),$G157&gt;=MA_LONG2),AVERAGE(INDEX($C$5:$C157,154-MA_LONG2):$C157),"")</f>
        <v/>
      </c>
      <c r="L157" s="53" t="n">
        <f aca="false">IF(AND(ISNUMBER($G157),$G157&gt;=21),STDEV(INDEX($H$97:$H157,62-20):$H157)*SQRT(245),"")</f>
        <v>0.222599901602022</v>
      </c>
      <c r="M157" s="52" t="n">
        <f aca="false">IF(AND(ISNUMBER($G157),$G157&gt;=60),MAX(INDEX($D$5:$D157,154-60):$D157),"")</f>
        <v>4527</v>
      </c>
      <c r="N157" s="52" t="n">
        <f aca="false">IF(AND(ISNUMBER($G157),$G157&gt;=60),MIN(INDEX($E$5:$E157,154-60):$E157),"")</f>
        <v>3369</v>
      </c>
      <c r="O157" s="53" t="n">
        <f aca="false">IF(OR(NOT(ISNUMBER($C157)),NOT(ISNUMBER($M157)),$M157=0),"",$C157/$M157-1)</f>
        <v>-0.0220896841175171</v>
      </c>
    </row>
    <row r="158" customFormat="false" ht="15" hidden="false" customHeight="false" outlineLevel="0" collapsed="false">
      <c r="A158" s="47" t="n">
        <v>45783</v>
      </c>
      <c r="B158" s="48" t="s">
        <v>306</v>
      </c>
      <c r="C158" s="49" t="n">
        <v>4492</v>
      </c>
      <c r="D158" s="49" t="n">
        <v>4507</v>
      </c>
      <c r="E158" s="49" t="n">
        <v>4483</v>
      </c>
      <c r="F158" s="49" t="n">
        <v>0</v>
      </c>
      <c r="G158" s="50" t="n">
        <f aca="false">IF($A158="","",IF(ISNUMBER($G157),$G157+1,1))</f>
        <v>154</v>
      </c>
      <c r="H158" s="51" t="n">
        <f aca="false">IF(OR(NOT(ISNUMBER($G158)),$G158&lt;2,NOT(ISNUMBER($C157)),$C157=0),"",$C158/$C157-1)</f>
        <v>0.0146826293200812</v>
      </c>
      <c r="I158" s="52" t="n">
        <f aca="false">IF(AND(ISNUMBER($G158),$G158&gt;=MA_SHORT),AVERAGE(INDEX($C$5:$C158,155-MA_SHORT):$C158),"")</f>
        <v>4346.1</v>
      </c>
      <c r="J158" s="52" t="n">
        <f aca="false">IF(AND(ISNUMBER($G158),$G158&gt;=MA_MED),AVERAGE(INDEX($C$5:$C158,155-MA_MED):$C158),"")</f>
        <v>4000.48</v>
      </c>
      <c r="K158" s="52" t="str">
        <f aca="false">IF(AND(ISNUMBER($G158),$G158&gt;=MA_LONG2),AVERAGE(INDEX($C$5:$C158,155-MA_LONG2):$C158),"")</f>
        <v/>
      </c>
      <c r="L158" s="53" t="n">
        <f aca="false">IF(AND(ISNUMBER($G158),$G158&gt;=21),STDEV(INDEX($H$98:$H158,62-20):$H158)*SQRT(245),"")</f>
        <v>0.223011068773363</v>
      </c>
      <c r="M158" s="52" t="n">
        <f aca="false">IF(AND(ISNUMBER($G158),$G158&gt;=60),MAX(INDEX($D$5:$D158,155-60):$D158),"")</f>
        <v>4527</v>
      </c>
      <c r="N158" s="52" t="n">
        <f aca="false">IF(AND(ISNUMBER($G158),$G158&gt;=60),MIN(INDEX($E$5:$E158,155-60):$E158),"")</f>
        <v>3369</v>
      </c>
      <c r="O158" s="53" t="n">
        <f aca="false">IF(OR(NOT(ISNUMBER($C158)),NOT(ISNUMBER($M158)),$M158=0),"",$C158/$M158-1)</f>
        <v>-0.00773138944113094</v>
      </c>
    </row>
    <row r="159" customFormat="false" ht="15" hidden="false" customHeight="false" outlineLevel="0" collapsed="false">
      <c r="A159" s="47" t="n">
        <v>45784</v>
      </c>
      <c r="B159" s="48" t="s">
        <v>307</v>
      </c>
      <c r="C159" s="49" t="n">
        <v>4457</v>
      </c>
      <c r="D159" s="49" t="n">
        <v>4479</v>
      </c>
      <c r="E159" s="49" t="n">
        <v>4448</v>
      </c>
      <c r="F159" s="49" t="n">
        <v>0</v>
      </c>
      <c r="G159" s="50" t="n">
        <f aca="false">IF($A159="","",IF(ISNUMBER($G158),$G158+1,1))</f>
        <v>155</v>
      </c>
      <c r="H159" s="51" t="n">
        <f aca="false">IF(OR(NOT(ISNUMBER($G159)),$G159&lt;2,NOT(ISNUMBER($C158)),$C158=0),"",$C159/$C158-1)</f>
        <v>-0.00779162956366875</v>
      </c>
      <c r="I159" s="52" t="n">
        <f aca="false">IF(AND(ISNUMBER($G159),$G159&gt;=MA_SHORT),AVERAGE(INDEX($C$5:$C159,156-MA_SHORT):$C159),"")</f>
        <v>4366.4</v>
      </c>
      <c r="J159" s="52" t="n">
        <f aca="false">IF(AND(ISNUMBER($G159),$G159&gt;=MA_MED),AVERAGE(INDEX($C$5:$C159,156-MA_MED):$C159),"")</f>
        <v>4018.72</v>
      </c>
      <c r="K159" s="52" t="str">
        <f aca="false">IF(AND(ISNUMBER($G159),$G159&gt;=MA_LONG2),AVERAGE(INDEX($C$5:$C159,156-MA_LONG2):$C159),"")</f>
        <v/>
      </c>
      <c r="L159" s="53" t="n">
        <f aca="false">IF(AND(ISNUMBER($G159),$G159&gt;=21),STDEV(INDEX($H$99:$H159,62-20):$H159)*SQRT(245),"")</f>
        <v>0.213968256001086</v>
      </c>
      <c r="M159" s="52" t="n">
        <f aca="false">IF(AND(ISNUMBER($G159),$G159&gt;=60),MAX(INDEX($D$5:$D159,156-60):$D159),"")</f>
        <v>4527</v>
      </c>
      <c r="N159" s="52" t="n">
        <f aca="false">IF(AND(ISNUMBER($G159),$G159&gt;=60),MIN(INDEX($E$5:$E159,156-60):$E159),"")</f>
        <v>3369</v>
      </c>
      <c r="O159" s="53" t="n">
        <f aca="false">IF(OR(NOT(ISNUMBER($C159)),NOT(ISNUMBER($M159)),$M159=0),"",$C159/$M159-1)</f>
        <v>-0.015462778882262</v>
      </c>
    </row>
    <row r="160" customFormat="false" ht="15" hidden="false" customHeight="false" outlineLevel="0" collapsed="false">
      <c r="A160" s="47" t="n">
        <v>45787</v>
      </c>
      <c r="B160" s="48" t="s">
        <v>308</v>
      </c>
      <c r="C160" s="49" t="n">
        <v>4522</v>
      </c>
      <c r="D160" s="49" t="n">
        <v>4536</v>
      </c>
      <c r="E160" s="49" t="n">
        <v>4514</v>
      </c>
      <c r="F160" s="49" t="n">
        <v>0</v>
      </c>
      <c r="G160" s="50" t="n">
        <f aca="false">IF($A160="","",IF(ISNUMBER($G159),$G159+1,1))</f>
        <v>156</v>
      </c>
      <c r="H160" s="51" t="n">
        <f aca="false">IF(OR(NOT(ISNUMBER($G160)),$G160&lt;2,NOT(ISNUMBER($C159)),$C159=0),"",$C160/$C159-1)</f>
        <v>0.0145838007628449</v>
      </c>
      <c r="I160" s="52" t="n">
        <f aca="false">IF(AND(ISNUMBER($G160),$G160&gt;=MA_SHORT),AVERAGE(INDEX($C$5:$C160,157-MA_SHORT):$C160),"")</f>
        <v>4388.45</v>
      </c>
      <c r="J160" s="52" t="n">
        <f aca="false">IF(AND(ISNUMBER($G160),$G160&gt;=MA_MED),AVERAGE(INDEX($C$5:$C160,157-MA_MED):$C160),"")</f>
        <v>4038.12</v>
      </c>
      <c r="K160" s="52" t="str">
        <f aca="false">IF(AND(ISNUMBER($G160),$G160&gt;=MA_LONG2),AVERAGE(INDEX($C$5:$C160,157-MA_LONG2):$C160),"")</f>
        <v/>
      </c>
      <c r="L160" s="53" t="n">
        <f aca="false">IF(AND(ISNUMBER($G160),$G160&gt;=21),STDEV(INDEX($H$100:$H160,62-20):$H160)*SQRT(245),"")</f>
        <v>0.216522325735506</v>
      </c>
      <c r="M160" s="52" t="n">
        <f aca="false">IF(AND(ISNUMBER($G160),$G160&gt;=60),MAX(INDEX($D$5:$D160,157-60):$D160),"")</f>
        <v>4536</v>
      </c>
      <c r="N160" s="52" t="n">
        <f aca="false">IF(AND(ISNUMBER($G160),$G160&gt;=60),MIN(INDEX($E$5:$E160,157-60):$E160),"")</f>
        <v>3369</v>
      </c>
      <c r="O160" s="53" t="n">
        <f aca="false">IF(OR(NOT(ISNUMBER($C160)),NOT(ISNUMBER($M160)),$M160=0),"",$C160/$M160-1)</f>
        <v>-0.00308641975308643</v>
      </c>
    </row>
    <row r="161" customFormat="false" ht="15" hidden="false" customHeight="false" outlineLevel="0" collapsed="false">
      <c r="A161" s="47" t="n">
        <v>45788</v>
      </c>
      <c r="B161" s="48" t="s">
        <v>309</v>
      </c>
      <c r="C161" s="49" t="n">
        <v>4577</v>
      </c>
      <c r="D161" s="49" t="n">
        <v>4591</v>
      </c>
      <c r="E161" s="49" t="n">
        <v>4569</v>
      </c>
      <c r="F161" s="49" t="n">
        <v>0</v>
      </c>
      <c r="G161" s="50" t="n">
        <f aca="false">IF($A161="","",IF(ISNUMBER($G160),$G160+1,1))</f>
        <v>157</v>
      </c>
      <c r="H161" s="51" t="n">
        <f aca="false">IF(OR(NOT(ISNUMBER($G161)),$G161&lt;2,NOT(ISNUMBER($C160)),$C160=0),"",$C161/$C160-1)</f>
        <v>0.0121627598407785</v>
      </c>
      <c r="I161" s="52" t="n">
        <f aca="false">IF(AND(ISNUMBER($G161),$G161&gt;=MA_SHORT),AVERAGE(INDEX($C$5:$C161,158-MA_SHORT):$C161),"")</f>
        <v>4408.4</v>
      </c>
      <c r="J161" s="52" t="n">
        <f aca="false">IF(AND(ISNUMBER($G161),$G161&gt;=MA_MED),AVERAGE(INDEX($C$5:$C161,158-MA_MED):$C161),"")</f>
        <v>4057.82</v>
      </c>
      <c r="K161" s="52" t="str">
        <f aca="false">IF(AND(ISNUMBER($G161),$G161&gt;=MA_LONG2),AVERAGE(INDEX($C$5:$C161,158-MA_LONG2):$C161),"")</f>
        <v/>
      </c>
      <c r="L161" s="53" t="n">
        <f aca="false">IF(AND(ISNUMBER($G161),$G161&gt;=21),STDEV(INDEX($H$101:$H161,62-20):$H161)*SQRT(245),"")</f>
        <v>0.2073272256029</v>
      </c>
      <c r="M161" s="52" t="n">
        <f aca="false">IF(AND(ISNUMBER($G161),$G161&gt;=60),MAX(INDEX($D$5:$D161,158-60):$D161),"")</f>
        <v>4591</v>
      </c>
      <c r="N161" s="52" t="n">
        <f aca="false">IF(AND(ISNUMBER($G161),$G161&gt;=60),MIN(INDEX($E$5:$E161,158-60):$E161),"")</f>
        <v>3408</v>
      </c>
      <c r="O161" s="53" t="n">
        <f aca="false">IF(OR(NOT(ISNUMBER($C161)),NOT(ISNUMBER($M161)),$M161=0),"",$C161/$M161-1)</f>
        <v>-0.0030494445654542</v>
      </c>
    </row>
    <row r="162" customFormat="false" ht="15" hidden="false" customHeight="false" outlineLevel="0" collapsed="false">
      <c r="A162" s="47" t="n">
        <v>45789</v>
      </c>
      <c r="B162" s="48" t="s">
        <v>310</v>
      </c>
      <c r="C162" s="49" t="n">
        <v>4632</v>
      </c>
      <c r="D162" s="49" t="n">
        <v>4687</v>
      </c>
      <c r="E162" s="49" t="n">
        <v>4622</v>
      </c>
      <c r="F162" s="49" t="n">
        <v>0</v>
      </c>
      <c r="G162" s="50" t="n">
        <f aca="false">IF($A162="","",IF(ISNUMBER($G161),$G161+1,1))</f>
        <v>158</v>
      </c>
      <c r="H162" s="51" t="n">
        <f aca="false">IF(OR(NOT(ISNUMBER($G162)),$G162&lt;2,NOT(ISNUMBER($C161)),$C161=0),"",$C162/$C161-1)</f>
        <v>0.0120166047629451</v>
      </c>
      <c r="I162" s="52" t="n">
        <f aca="false">IF(AND(ISNUMBER($G162),$G162&gt;=MA_SHORT),AVERAGE(INDEX($C$5:$C162,159-MA_SHORT):$C162),"")</f>
        <v>4429.25</v>
      </c>
      <c r="J162" s="52" t="n">
        <f aca="false">IF(AND(ISNUMBER($G162),$G162&gt;=MA_MED),AVERAGE(INDEX($C$5:$C162,159-MA_MED):$C162),"")</f>
        <v>4079.12</v>
      </c>
      <c r="K162" s="52" t="str">
        <f aca="false">IF(AND(ISNUMBER($G162),$G162&gt;=MA_LONG2),AVERAGE(INDEX($C$5:$C162,159-MA_LONG2):$C162),"")</f>
        <v/>
      </c>
      <c r="L162" s="53" t="n">
        <f aca="false">IF(AND(ISNUMBER($G162),$G162&gt;=21),STDEV(INDEX($H$102:$H162,62-20):$H162)*SQRT(245),"")</f>
        <v>0.208445248770259</v>
      </c>
      <c r="M162" s="52" t="n">
        <f aca="false">IF(AND(ISNUMBER($G162),$G162&gt;=60),MAX(INDEX($D$5:$D162,159-60):$D162),"")</f>
        <v>4687</v>
      </c>
      <c r="N162" s="52" t="n">
        <f aca="false">IF(AND(ISNUMBER($G162),$G162&gt;=60),MIN(INDEX($E$5:$E162,159-60):$E162),"")</f>
        <v>3504</v>
      </c>
      <c r="O162" s="53" t="n">
        <f aca="false">IF(OR(NOT(ISNUMBER($C162)),NOT(ISNUMBER($M162)),$M162=0),"",$C162/$M162-1)</f>
        <v>-0.0117345850224024</v>
      </c>
    </row>
    <row r="163" customFormat="false" ht="15" hidden="false" customHeight="false" outlineLevel="0" collapsed="false">
      <c r="A163" s="47" t="n">
        <v>45790</v>
      </c>
      <c r="B163" s="48" t="s">
        <v>311</v>
      </c>
      <c r="C163" s="49" t="n">
        <v>4638</v>
      </c>
      <c r="D163" s="49" t="n">
        <v>4641</v>
      </c>
      <c r="E163" s="49" t="n">
        <v>4634</v>
      </c>
      <c r="F163" s="49" t="n">
        <v>0</v>
      </c>
      <c r="G163" s="50" t="n">
        <f aca="false">IF($A163="","",IF(ISNUMBER($G162),$G162+1,1))</f>
        <v>159</v>
      </c>
      <c r="H163" s="51" t="n">
        <f aca="false">IF(OR(NOT(ISNUMBER($G163)),$G163&lt;2,NOT(ISNUMBER($C162)),$C162=0),"",$C163/$C162-1)</f>
        <v>0.00129533678756477</v>
      </c>
      <c r="I163" s="52" t="n">
        <f aca="false">IF(AND(ISNUMBER($G163),$G163&gt;=MA_SHORT),AVERAGE(INDEX($C$5:$C163,160-MA_SHORT):$C163),"")</f>
        <v>4448.65</v>
      </c>
      <c r="J163" s="52" t="n">
        <f aca="false">IF(AND(ISNUMBER($G163),$G163&gt;=MA_MED),AVERAGE(INDEX($C$5:$C163,160-MA_MED):$C163),"")</f>
        <v>4098.98</v>
      </c>
      <c r="K163" s="52" t="str">
        <f aca="false">IF(AND(ISNUMBER($G163),$G163&gt;=MA_LONG2),AVERAGE(INDEX($C$5:$C163,160-MA_LONG2):$C163),"")</f>
        <v/>
      </c>
      <c r="L163" s="53" t="n">
        <f aca="false">IF(AND(ISNUMBER($G163),$G163&gt;=21),STDEV(INDEX($H$103:$H163,62-20):$H163)*SQRT(245),"")</f>
        <v>0.208374934661772</v>
      </c>
      <c r="M163" s="52" t="n">
        <f aca="false">IF(AND(ISNUMBER($G163),$G163&gt;=60),MAX(INDEX($D$5:$D163,160-60):$D163),"")</f>
        <v>4687</v>
      </c>
      <c r="N163" s="52" t="n">
        <f aca="false">IF(AND(ISNUMBER($G163),$G163&gt;=60),MIN(INDEX($E$5:$E163,160-60):$E163),"")</f>
        <v>3507</v>
      </c>
      <c r="O163" s="53" t="n">
        <f aca="false">IF(OR(NOT(ISNUMBER($C163)),NOT(ISNUMBER($M163)),$M163=0),"",$C163/$M163-1)</f>
        <v>-0.0104544484745039</v>
      </c>
    </row>
    <row r="164" customFormat="false" ht="15" hidden="false" customHeight="false" outlineLevel="0" collapsed="false">
      <c r="A164" s="47" t="n">
        <v>45791</v>
      </c>
      <c r="B164" s="48" t="s">
        <v>312</v>
      </c>
      <c r="C164" s="49" t="n">
        <v>4634</v>
      </c>
      <c r="D164" s="49" t="n">
        <v>4671</v>
      </c>
      <c r="E164" s="49" t="n">
        <v>4616</v>
      </c>
      <c r="F164" s="49" t="n">
        <v>0</v>
      </c>
      <c r="G164" s="50" t="n">
        <f aca="false">IF($A164="","",IF(ISNUMBER($G163),$G163+1,1))</f>
        <v>160</v>
      </c>
      <c r="H164" s="51" t="n">
        <f aca="false">IF(OR(NOT(ISNUMBER($G164)),$G164&lt;2,NOT(ISNUMBER($C163)),$C163=0),"",$C164/$C163-1)</f>
        <v>-0.000862440707201428</v>
      </c>
      <c r="I164" s="52" t="n">
        <f aca="false">IF(AND(ISNUMBER($G164),$G164&gt;=MA_SHORT),AVERAGE(INDEX($C$5:$C164,161-MA_SHORT):$C164),"")</f>
        <v>4465.3</v>
      </c>
      <c r="J164" s="52" t="n">
        <f aca="false">IF(AND(ISNUMBER($G164),$G164&gt;=MA_MED),AVERAGE(INDEX($C$5:$C164,161-MA_MED):$C164),"")</f>
        <v>4118.74</v>
      </c>
      <c r="K164" s="52" t="str">
        <f aca="false">IF(AND(ISNUMBER($G164),$G164&gt;=MA_LONG2),AVERAGE(INDEX($C$5:$C164,161-MA_LONG2):$C164),"")</f>
        <v/>
      </c>
      <c r="L164" s="53" t="n">
        <f aca="false">IF(AND(ISNUMBER($G164),$G164&gt;=21),STDEV(INDEX($H$104:$H164,62-20):$H164)*SQRT(245),"")</f>
        <v>0.207235030271401</v>
      </c>
      <c r="M164" s="52" t="n">
        <f aca="false">IF(AND(ISNUMBER($G164),$G164&gt;=60),MAX(INDEX($D$5:$D164,161-60):$D164),"")</f>
        <v>4687</v>
      </c>
      <c r="N164" s="52" t="n">
        <f aca="false">IF(AND(ISNUMBER($G164),$G164&gt;=60),MIN(INDEX($E$5:$E164,161-60):$E164),"")</f>
        <v>3542</v>
      </c>
      <c r="O164" s="53" t="n">
        <f aca="false">IF(OR(NOT(ISNUMBER($C164)),NOT(ISNUMBER($M164)),$M164=0),"",$C164/$M164-1)</f>
        <v>-0.0113078728397695</v>
      </c>
    </row>
    <row r="165" customFormat="false" ht="15" hidden="false" customHeight="false" outlineLevel="0" collapsed="false">
      <c r="A165" s="47" t="n">
        <v>45794</v>
      </c>
      <c r="B165" s="48" t="s">
        <v>313</v>
      </c>
      <c r="C165" s="49" t="n">
        <v>4702</v>
      </c>
      <c r="D165" s="49" t="n">
        <v>4710</v>
      </c>
      <c r="E165" s="49" t="n">
        <v>4695</v>
      </c>
      <c r="F165" s="49" t="n">
        <v>0</v>
      </c>
      <c r="G165" s="50" t="n">
        <f aca="false">IF($A165="","",IF(ISNUMBER($G164),$G164+1,1))</f>
        <v>161</v>
      </c>
      <c r="H165" s="51" t="n">
        <f aca="false">IF(OR(NOT(ISNUMBER($G165)),$G165&lt;2,NOT(ISNUMBER($C164)),$C164=0),"",$C165/$C164-1)</f>
        <v>0.0146741476046612</v>
      </c>
      <c r="I165" s="52" t="n">
        <f aca="false">IF(AND(ISNUMBER($G165),$G165&gt;=MA_SHORT),AVERAGE(INDEX($C$5:$C165,162-MA_SHORT):$C165),"")</f>
        <v>4484</v>
      </c>
      <c r="J165" s="52" t="n">
        <f aca="false">IF(AND(ISNUMBER($G165),$G165&gt;=MA_MED),AVERAGE(INDEX($C$5:$C165,162-MA_MED):$C165),"")</f>
        <v>4140</v>
      </c>
      <c r="K165" s="52" t="str">
        <f aca="false">IF(AND(ISNUMBER($G165),$G165&gt;=MA_LONG2),AVERAGE(INDEX($C$5:$C165,162-MA_LONG2):$C165),"")</f>
        <v/>
      </c>
      <c r="L165" s="53" t="n">
        <f aca="false">IF(AND(ISNUMBER($G165),$G165&gt;=21),STDEV(INDEX($H$105:$H165,62-20):$H165)*SQRT(245),"")</f>
        <v>0.210576337685094</v>
      </c>
      <c r="M165" s="52" t="n">
        <f aca="false">IF(AND(ISNUMBER($G165),$G165&gt;=60),MAX(INDEX($D$5:$D165,162-60):$D165),"")</f>
        <v>4710</v>
      </c>
      <c r="N165" s="52" t="n">
        <f aca="false">IF(AND(ISNUMBER($G165),$G165&gt;=60),MIN(INDEX($E$5:$E165,162-60):$E165),"")</f>
        <v>3542</v>
      </c>
      <c r="O165" s="53" t="n">
        <f aca="false">IF(OR(NOT(ISNUMBER($C165)),NOT(ISNUMBER($M165)),$M165=0),"",$C165/$M165-1)</f>
        <v>-0.00169851380042463</v>
      </c>
    </row>
    <row r="166" customFormat="false" ht="15" hidden="false" customHeight="false" outlineLevel="0" collapsed="false">
      <c r="A166" s="47" t="n">
        <v>45795</v>
      </c>
      <c r="B166" s="48" t="s">
        <v>314</v>
      </c>
      <c r="C166" s="49" t="n">
        <v>4667</v>
      </c>
      <c r="D166" s="49" t="n">
        <v>4672</v>
      </c>
      <c r="E166" s="49" t="n">
        <v>4663</v>
      </c>
      <c r="F166" s="49" t="n">
        <v>0</v>
      </c>
      <c r="G166" s="50" t="n">
        <f aca="false">IF($A166="","",IF(ISNUMBER($G165),$G165+1,1))</f>
        <v>162</v>
      </c>
      <c r="H166" s="51" t="n">
        <f aca="false">IF(OR(NOT(ISNUMBER($G166)),$G166&lt;2,NOT(ISNUMBER($C165)),$C165=0),"",$C166/$C165-1)</f>
        <v>-0.00744364100382811</v>
      </c>
      <c r="I166" s="52" t="n">
        <f aca="false">IF(AND(ISNUMBER($G166),$G166&gt;=MA_SHORT),AVERAGE(INDEX($C$5:$C166,163-MA_SHORT):$C166),"")</f>
        <v>4500.9</v>
      </c>
      <c r="J166" s="52" t="n">
        <f aca="false">IF(AND(ISNUMBER($G166),$G166&gt;=MA_MED),AVERAGE(INDEX($C$5:$C166,163-MA_MED):$C166),"")</f>
        <v>4160.28</v>
      </c>
      <c r="K166" s="52" t="str">
        <f aca="false">IF(AND(ISNUMBER($G166),$G166&gt;=MA_LONG2),AVERAGE(INDEX($C$5:$C166,163-MA_LONG2):$C166),"")</f>
        <v/>
      </c>
      <c r="L166" s="53" t="n">
        <f aca="false">IF(AND(ISNUMBER($G166),$G166&gt;=21),STDEV(INDEX($H$106:$H166,62-20):$H166)*SQRT(245),"")</f>
        <v>0.214142892419074</v>
      </c>
      <c r="M166" s="52" t="n">
        <f aca="false">IF(AND(ISNUMBER($G166),$G166&gt;=60),MAX(INDEX($D$5:$D166,163-60):$D166),"")</f>
        <v>4710</v>
      </c>
      <c r="N166" s="52" t="n">
        <f aca="false">IF(AND(ISNUMBER($G166),$G166&gt;=60),MIN(INDEX($E$5:$E166,163-60):$E166),"")</f>
        <v>3542</v>
      </c>
      <c r="O166" s="53" t="n">
        <f aca="false">IF(OR(NOT(ISNUMBER($C166)),NOT(ISNUMBER($M166)),$M166=0),"",$C166/$M166-1)</f>
        <v>-0.00912951167728238</v>
      </c>
    </row>
    <row r="167" customFormat="false" ht="15" hidden="false" customHeight="false" outlineLevel="0" collapsed="false">
      <c r="A167" s="47" t="n">
        <v>45796</v>
      </c>
      <c r="B167" s="48" t="s">
        <v>315</v>
      </c>
      <c r="C167" s="49" t="n">
        <v>4637</v>
      </c>
      <c r="D167" s="49" t="n">
        <v>4667</v>
      </c>
      <c r="E167" s="49" t="n">
        <v>4622</v>
      </c>
      <c r="F167" s="49" t="n">
        <v>0</v>
      </c>
      <c r="G167" s="50" t="n">
        <f aca="false">IF($A167="","",IF(ISNUMBER($G166),$G166+1,1))</f>
        <v>163</v>
      </c>
      <c r="H167" s="51" t="n">
        <f aca="false">IF(OR(NOT(ISNUMBER($G167)),$G167&lt;2,NOT(ISNUMBER($C166)),$C166=0),"",$C167/$C166-1)</f>
        <v>-0.00642811227769446</v>
      </c>
      <c r="I167" s="52" t="n">
        <f aca="false">IF(AND(ISNUMBER($G167),$G167&gt;=MA_SHORT),AVERAGE(INDEX($C$5:$C167,164-MA_SHORT):$C167),"")</f>
        <v>4510.45</v>
      </c>
      <c r="J167" s="52" t="n">
        <f aca="false">IF(AND(ISNUMBER($G167),$G167&gt;=MA_MED),AVERAGE(INDEX($C$5:$C167,164-MA_MED):$C167),"")</f>
        <v>4178.96</v>
      </c>
      <c r="K167" s="52" t="str">
        <f aca="false">IF(AND(ISNUMBER($G167),$G167&gt;=MA_LONG2),AVERAGE(INDEX($C$5:$C167,164-MA_LONG2):$C167),"")</f>
        <v/>
      </c>
      <c r="L167" s="53" t="n">
        <f aca="false">IF(AND(ISNUMBER($G167),$G167&gt;=21),STDEV(INDEX($H$107:$H167,62-20):$H167)*SQRT(245),"")</f>
        <v>0.198935768242367</v>
      </c>
      <c r="M167" s="52" t="n">
        <f aca="false">IF(AND(ISNUMBER($G167),$G167&gt;=60),MAX(INDEX($D$5:$D167,164-60):$D167),"")</f>
        <v>4710</v>
      </c>
      <c r="N167" s="52" t="n">
        <f aca="false">IF(AND(ISNUMBER($G167),$G167&gt;=60),MIN(INDEX($E$5:$E167,164-60):$E167),"")</f>
        <v>3543</v>
      </c>
      <c r="O167" s="53" t="n">
        <f aca="false">IF(OR(NOT(ISNUMBER($C167)),NOT(ISNUMBER($M167)),$M167=0),"",$C167/$M167-1)</f>
        <v>-0.0154989384288747</v>
      </c>
    </row>
    <row r="168" customFormat="false" ht="15" hidden="false" customHeight="false" outlineLevel="0" collapsed="false">
      <c r="A168" s="47" t="n">
        <v>45797</v>
      </c>
      <c r="B168" s="48" t="s">
        <v>316</v>
      </c>
      <c r="C168" s="49" t="n">
        <v>4666</v>
      </c>
      <c r="D168" s="49" t="n">
        <v>4680</v>
      </c>
      <c r="E168" s="49" t="n">
        <v>4665</v>
      </c>
      <c r="F168" s="49" t="n">
        <v>0</v>
      </c>
      <c r="G168" s="50" t="n">
        <f aca="false">IF($A168="","",IF(ISNUMBER($G167),$G167+1,1))</f>
        <v>164</v>
      </c>
      <c r="H168" s="51" t="n">
        <f aca="false">IF(OR(NOT(ISNUMBER($G168)),$G168&lt;2,NOT(ISNUMBER($C167)),$C167=0),"",$C168/$C167-1)</f>
        <v>0.00625404356264836</v>
      </c>
      <c r="I168" s="52" t="n">
        <f aca="false">IF(AND(ISNUMBER($G168),$G168&gt;=MA_SHORT),AVERAGE(INDEX($C$5:$C168,165-MA_SHORT):$C168),"")</f>
        <v>4523.9</v>
      </c>
      <c r="J168" s="52" t="n">
        <f aca="false">IF(AND(ISNUMBER($G168),$G168&gt;=MA_MED),AVERAGE(INDEX($C$5:$C168,165-MA_MED):$C168),"")</f>
        <v>4195.82</v>
      </c>
      <c r="K168" s="52" t="str">
        <f aca="false">IF(AND(ISNUMBER($G168),$G168&gt;=MA_LONG2),AVERAGE(INDEX($C$5:$C168,165-MA_LONG2):$C168),"")</f>
        <v/>
      </c>
      <c r="L168" s="53" t="n">
        <f aca="false">IF(AND(ISNUMBER($G168),$G168&gt;=21),STDEV(INDEX($H$108:$H168,62-20):$H168)*SQRT(245),"")</f>
        <v>0.193258472137421</v>
      </c>
      <c r="M168" s="52" t="n">
        <f aca="false">IF(AND(ISNUMBER($G168),$G168&gt;=60),MAX(INDEX($D$5:$D168,165-60):$D168),"")</f>
        <v>4710</v>
      </c>
      <c r="N168" s="52" t="n">
        <f aca="false">IF(AND(ISNUMBER($G168),$G168&gt;=60),MIN(INDEX($E$5:$E168,165-60):$E168),"")</f>
        <v>3543</v>
      </c>
      <c r="O168" s="53" t="n">
        <f aca="false">IF(OR(NOT(ISNUMBER($C168)),NOT(ISNUMBER($M168)),$M168=0),"",$C168/$M168-1)</f>
        <v>-0.00934182590233545</v>
      </c>
    </row>
    <row r="169" customFormat="false" ht="15" hidden="false" customHeight="false" outlineLevel="0" collapsed="false">
      <c r="A169" s="47" t="n">
        <v>45798</v>
      </c>
      <c r="B169" s="48" t="s">
        <v>317</v>
      </c>
      <c r="C169" s="49" t="n">
        <v>4705</v>
      </c>
      <c r="D169" s="49" t="n">
        <v>4737</v>
      </c>
      <c r="E169" s="49" t="n">
        <v>4673</v>
      </c>
      <c r="F169" s="49" t="n">
        <v>0</v>
      </c>
      <c r="G169" s="50" t="n">
        <f aca="false">IF($A169="","",IF(ISNUMBER($G168),$G168+1,1))</f>
        <v>165</v>
      </c>
      <c r="H169" s="51" t="n">
        <f aca="false">IF(OR(NOT(ISNUMBER($G169)),$G169&lt;2,NOT(ISNUMBER($C168)),$C168=0),"",$C169/$C168-1)</f>
        <v>0.00835833690527221</v>
      </c>
      <c r="I169" s="52" t="n">
        <f aca="false">IF(AND(ISNUMBER($G169),$G169&gt;=MA_SHORT),AVERAGE(INDEX($C$5:$C169,166-MA_SHORT):$C169),"")</f>
        <v>4539.6</v>
      </c>
      <c r="J169" s="52" t="n">
        <f aca="false">IF(AND(ISNUMBER($G169),$G169&gt;=MA_MED),AVERAGE(INDEX($C$5:$C169,166-MA_MED):$C169),"")</f>
        <v>4213.58</v>
      </c>
      <c r="K169" s="52" t="str">
        <f aca="false">IF(AND(ISNUMBER($G169),$G169&gt;=MA_LONG2),AVERAGE(INDEX($C$5:$C169,166-MA_LONG2):$C169),"")</f>
        <v/>
      </c>
      <c r="L169" s="53" t="n">
        <f aca="false">IF(AND(ISNUMBER($G169),$G169&gt;=21),STDEV(INDEX($H$109:$H169,62-20):$H169)*SQRT(245),"")</f>
        <v>0.193393166747119</v>
      </c>
      <c r="M169" s="52" t="n">
        <f aca="false">IF(AND(ISNUMBER($G169),$G169&gt;=60),MAX(INDEX($D$5:$D169,166-60):$D169),"")</f>
        <v>4737</v>
      </c>
      <c r="N169" s="52" t="n">
        <f aca="false">IF(AND(ISNUMBER($G169),$G169&gt;=60),MIN(INDEX($E$5:$E169,166-60):$E169),"")</f>
        <v>3551</v>
      </c>
      <c r="O169" s="53" t="n">
        <f aca="false">IF(OR(NOT(ISNUMBER($C169)),NOT(ISNUMBER($M169)),$M169=0),"",$C169/$M169-1)</f>
        <v>-0.00675533037787635</v>
      </c>
    </row>
    <row r="170" customFormat="false" ht="15" hidden="false" customHeight="false" outlineLevel="0" collapsed="false">
      <c r="A170" s="47" t="n">
        <v>45801</v>
      </c>
      <c r="B170" s="48" t="s">
        <v>318</v>
      </c>
      <c r="C170" s="49" t="n">
        <v>4740</v>
      </c>
      <c r="D170" s="49" t="n">
        <v>4759</v>
      </c>
      <c r="E170" s="49" t="n">
        <v>4704</v>
      </c>
      <c r="F170" s="49" t="n">
        <v>0</v>
      </c>
      <c r="G170" s="50" t="n">
        <f aca="false">IF($A170="","",IF(ISNUMBER($G169),$G169+1,1))</f>
        <v>166</v>
      </c>
      <c r="H170" s="51" t="n">
        <f aca="false">IF(OR(NOT(ISNUMBER($G170)),$G170&lt;2,NOT(ISNUMBER($C169)),$C169=0),"",$C170/$C169-1)</f>
        <v>0.00743889479277371</v>
      </c>
      <c r="I170" s="52" t="n">
        <f aca="false">IF(AND(ISNUMBER($G170),$G170&gt;=MA_SHORT),AVERAGE(INDEX($C$5:$C170,167-MA_SHORT):$C170),"")</f>
        <v>4554.4</v>
      </c>
      <c r="J170" s="52" t="n">
        <f aca="false">IF(AND(ISNUMBER($G170),$G170&gt;=MA_MED),AVERAGE(INDEX($C$5:$C170,167-MA_MED):$C170),"")</f>
        <v>4232.64</v>
      </c>
      <c r="K170" s="52" t="str">
        <f aca="false">IF(AND(ISNUMBER($G170),$G170&gt;=MA_LONG2),AVERAGE(INDEX($C$5:$C170,167-MA_LONG2):$C170),"")</f>
        <v/>
      </c>
      <c r="L170" s="53" t="n">
        <f aca="false">IF(AND(ISNUMBER($G170),$G170&gt;=21),STDEV(INDEX($H$110:$H170,62-20):$H170)*SQRT(245),"")</f>
        <v>0.191426010422037</v>
      </c>
      <c r="M170" s="52" t="n">
        <f aca="false">IF(AND(ISNUMBER($G170),$G170&gt;=60),MAX(INDEX($D$5:$D170,167-60):$D170),"")</f>
        <v>4759</v>
      </c>
      <c r="N170" s="52" t="n">
        <f aca="false">IF(AND(ISNUMBER($G170),$G170&gt;=60),MIN(INDEX($E$5:$E170,167-60):$E170),"")</f>
        <v>3552</v>
      </c>
      <c r="O170" s="53" t="n">
        <f aca="false">IF(OR(NOT(ISNUMBER($C170)),NOT(ISNUMBER($M170)),$M170=0),"",$C170/$M170-1)</f>
        <v>-0.00399243538558525</v>
      </c>
    </row>
    <row r="171" customFormat="false" ht="15" hidden="false" customHeight="false" outlineLevel="0" collapsed="false">
      <c r="A171" s="47" t="n">
        <v>45802</v>
      </c>
      <c r="B171" s="48" t="s">
        <v>319</v>
      </c>
      <c r="C171" s="49" t="n">
        <v>4742</v>
      </c>
      <c r="D171" s="49" t="n">
        <v>4768</v>
      </c>
      <c r="E171" s="49" t="n">
        <v>4727</v>
      </c>
      <c r="F171" s="49" t="n">
        <v>0</v>
      </c>
      <c r="G171" s="50" t="n">
        <f aca="false">IF($A171="","",IF(ISNUMBER($G170),$G170+1,1))</f>
        <v>167</v>
      </c>
      <c r="H171" s="51" t="n">
        <f aca="false">IF(OR(NOT(ISNUMBER($G171)),$G171&lt;2,NOT(ISNUMBER($C170)),$C170=0),"",$C171/$C170-1)</f>
        <v>0.00042194092826997</v>
      </c>
      <c r="I171" s="52" t="n">
        <f aca="false">IF(AND(ISNUMBER($G171),$G171&gt;=MA_SHORT),AVERAGE(INDEX($C$5:$C171,168-MA_SHORT):$C171),"")</f>
        <v>4565.25</v>
      </c>
      <c r="J171" s="52" t="n">
        <f aca="false">IF(AND(ISNUMBER($G171),$G171&gt;=MA_MED),AVERAGE(INDEX($C$5:$C171,168-MA_MED):$C171),"")</f>
        <v>4252.72</v>
      </c>
      <c r="K171" s="52" t="str">
        <f aca="false">IF(AND(ISNUMBER($G171),$G171&gt;=MA_LONG2),AVERAGE(INDEX($C$5:$C171,168-MA_LONG2):$C171),"")</f>
        <v/>
      </c>
      <c r="L171" s="53" t="n">
        <f aca="false">IF(AND(ISNUMBER($G171),$G171&gt;=21),STDEV(INDEX($H$111:$H171,62-20):$H171)*SQRT(245),"")</f>
        <v>0.18350362533857</v>
      </c>
      <c r="M171" s="52" t="n">
        <f aca="false">IF(AND(ISNUMBER($G171),$G171&gt;=60),MAX(INDEX($D$5:$D171,168-60):$D171),"")</f>
        <v>4768</v>
      </c>
      <c r="N171" s="52" t="n">
        <f aca="false">IF(AND(ISNUMBER($G171),$G171&gt;=60),MIN(INDEX($E$5:$E171,168-60):$E171),"")</f>
        <v>3552</v>
      </c>
      <c r="O171" s="53" t="n">
        <f aca="false">IF(OR(NOT(ISNUMBER($C171)),NOT(ISNUMBER($M171)),$M171=0),"",$C171/$M171-1)</f>
        <v>-0.00545302013422822</v>
      </c>
    </row>
    <row r="172" customFormat="false" ht="15" hidden="false" customHeight="false" outlineLevel="0" collapsed="false">
      <c r="A172" s="47" t="n">
        <v>45803</v>
      </c>
      <c r="B172" s="48" t="s">
        <v>320</v>
      </c>
      <c r="C172" s="49" t="n">
        <v>4668</v>
      </c>
      <c r="D172" s="49" t="n">
        <v>4680</v>
      </c>
      <c r="E172" s="49" t="n">
        <v>4655</v>
      </c>
      <c r="F172" s="49" t="n">
        <v>0</v>
      </c>
      <c r="G172" s="50" t="n">
        <f aca="false">IF($A172="","",IF(ISNUMBER($G171),$G171+1,1))</f>
        <v>168</v>
      </c>
      <c r="H172" s="51" t="n">
        <f aca="false">IF(OR(NOT(ISNUMBER($G172)),$G172&lt;2,NOT(ISNUMBER($C171)),$C171=0),"",$C172/$C171-1)</f>
        <v>-0.0156052298608182</v>
      </c>
      <c r="I172" s="52" t="n">
        <f aca="false">IF(AND(ISNUMBER($G172),$G172&gt;=MA_SHORT),AVERAGE(INDEX($C$5:$C172,169-MA_SHORT):$C172),"")</f>
        <v>4579.1</v>
      </c>
      <c r="J172" s="52" t="n">
        <f aca="false">IF(AND(ISNUMBER($G172),$G172&gt;=MA_MED),AVERAGE(INDEX($C$5:$C172,169-MA_MED):$C172),"")</f>
        <v>4270.76</v>
      </c>
      <c r="K172" s="52" t="str">
        <f aca="false">IF(AND(ISNUMBER($G172),$G172&gt;=MA_LONG2),AVERAGE(INDEX($C$5:$C172,169-MA_LONG2):$C172),"")</f>
        <v/>
      </c>
      <c r="L172" s="53" t="n">
        <f aca="false">IF(AND(ISNUMBER($G172),$G172&gt;=21),STDEV(INDEX($H$112:$H172,62-20):$H172)*SQRT(245),"")</f>
        <v>0.156551774198006</v>
      </c>
      <c r="M172" s="52" t="n">
        <f aca="false">IF(AND(ISNUMBER($G172),$G172&gt;=60),MAX(INDEX($D$5:$D172,169-60):$D172),"")</f>
        <v>4768</v>
      </c>
      <c r="N172" s="52" t="n">
        <f aca="false">IF(AND(ISNUMBER($G172),$G172&gt;=60),MIN(INDEX($E$5:$E172,169-60):$E172),"")</f>
        <v>3616</v>
      </c>
      <c r="O172" s="53" t="n">
        <f aca="false">IF(OR(NOT(ISNUMBER($C172)),NOT(ISNUMBER($M172)),$M172=0),"",$C172/$M172-1)</f>
        <v>-0.0209731543624161</v>
      </c>
    </row>
    <row r="173" customFormat="false" ht="15" hidden="false" customHeight="false" outlineLevel="0" collapsed="false">
      <c r="A173" s="47" t="n">
        <v>45804</v>
      </c>
      <c r="B173" s="48" t="s">
        <v>321</v>
      </c>
      <c r="C173" s="49" t="n">
        <v>4569</v>
      </c>
      <c r="D173" s="49" t="n">
        <v>4600</v>
      </c>
      <c r="E173" s="49" t="n">
        <v>4555</v>
      </c>
      <c r="F173" s="49" t="n">
        <v>0</v>
      </c>
      <c r="G173" s="50" t="n">
        <f aca="false">IF($A173="","",IF(ISNUMBER($G172),$G172+1,1))</f>
        <v>169</v>
      </c>
      <c r="H173" s="51" t="n">
        <f aca="false">IF(OR(NOT(ISNUMBER($G173)),$G173&lt;2,NOT(ISNUMBER($C172)),$C172=0),"",$C173/$C172-1)</f>
        <v>-0.0212082262210797</v>
      </c>
      <c r="I173" s="52" t="n">
        <f aca="false">IF(AND(ISNUMBER($G173),$G173&gt;=MA_SHORT),AVERAGE(INDEX($C$5:$C173,170-MA_SHORT):$C173),"")</f>
        <v>4585.5</v>
      </c>
      <c r="J173" s="52" t="n">
        <f aca="false">IF(AND(ISNUMBER($G173),$G173&gt;=MA_MED),AVERAGE(INDEX($C$5:$C173,170-MA_MED):$C173),"")</f>
        <v>4286.86</v>
      </c>
      <c r="K173" s="52" t="str">
        <f aca="false">IF(AND(ISNUMBER($G173),$G173&gt;=MA_LONG2),AVERAGE(INDEX($C$5:$C173,170-MA_LONG2):$C173),"")</f>
        <v/>
      </c>
      <c r="L173" s="53" t="n">
        <f aca="false">IF(AND(ISNUMBER($G173),$G173&gt;=21),STDEV(INDEX($H$113:$H173,62-20):$H173)*SQRT(245),"")</f>
        <v>0.174832585003337</v>
      </c>
      <c r="M173" s="52" t="n">
        <f aca="false">IF(AND(ISNUMBER($G173),$G173&gt;=60),MAX(INDEX($D$5:$D173,170-60):$D173),"")</f>
        <v>4768</v>
      </c>
      <c r="N173" s="52" t="n">
        <f aca="false">IF(AND(ISNUMBER($G173),$G173&gt;=60),MIN(INDEX($E$5:$E173,170-60):$E173),"")</f>
        <v>3616</v>
      </c>
      <c r="O173" s="53" t="n">
        <f aca="false">IF(OR(NOT(ISNUMBER($C173)),NOT(ISNUMBER($M173)),$M173=0),"",$C173/$M173-1)</f>
        <v>-0.041736577181208</v>
      </c>
    </row>
    <row r="174" customFormat="false" ht="15" hidden="false" customHeight="false" outlineLevel="0" collapsed="false">
      <c r="A174" s="47" t="n">
        <v>45805</v>
      </c>
      <c r="B174" s="48" t="s">
        <v>322</v>
      </c>
      <c r="C174" s="49" t="n">
        <v>4593</v>
      </c>
      <c r="D174" s="49" t="n">
        <v>4600</v>
      </c>
      <c r="E174" s="49" t="n">
        <v>4577</v>
      </c>
      <c r="F174" s="49" t="n">
        <v>0</v>
      </c>
      <c r="G174" s="50" t="n">
        <f aca="false">IF($A174="","",IF(ISNUMBER($G173),$G173+1,1))</f>
        <v>170</v>
      </c>
      <c r="H174" s="51" t="n">
        <f aca="false">IF(OR(NOT(ISNUMBER($G174)),$G174&lt;2,NOT(ISNUMBER($C173)),$C173=0),"",$C174/$C173-1)</f>
        <v>0.00525279054497707</v>
      </c>
      <c r="I174" s="52" t="n">
        <f aca="false">IF(AND(ISNUMBER($G174),$G174&gt;=MA_SHORT),AVERAGE(INDEX($C$5:$C174,171-MA_SHORT):$C174),"")</f>
        <v>4592.25</v>
      </c>
      <c r="J174" s="52" t="n">
        <f aca="false">IF(AND(ISNUMBER($G174),$G174&gt;=MA_MED),AVERAGE(INDEX($C$5:$C174,171-MA_MED):$C174),"")</f>
        <v>4301.42</v>
      </c>
      <c r="K174" s="52" t="str">
        <f aca="false">IF(AND(ISNUMBER($G174),$G174&gt;=MA_LONG2),AVERAGE(INDEX($C$5:$C174,171-MA_LONG2):$C174),"")</f>
        <v/>
      </c>
      <c r="L174" s="53" t="n">
        <f aca="false">IF(AND(ISNUMBER($G174),$G174&gt;=21),STDEV(INDEX($H$114:$H174,62-20):$H174)*SQRT(245),"")</f>
        <v>0.175150045894437</v>
      </c>
      <c r="M174" s="52" t="n">
        <f aca="false">IF(AND(ISNUMBER($G174),$G174&gt;=60),MAX(INDEX($D$5:$D174,171-60):$D174),"")</f>
        <v>4768</v>
      </c>
      <c r="N174" s="52" t="n">
        <f aca="false">IF(AND(ISNUMBER($G174),$G174&gt;=60),MIN(INDEX($E$5:$E174,171-60):$E174),"")</f>
        <v>3616</v>
      </c>
      <c r="O174" s="53" t="n">
        <f aca="false">IF(OR(NOT(ISNUMBER($C174)),NOT(ISNUMBER($M174)),$M174=0),"",$C174/$M174-1)</f>
        <v>-0.0367030201342282</v>
      </c>
    </row>
    <row r="175" customFormat="false" ht="15" hidden="false" customHeight="false" outlineLevel="0" collapsed="false">
      <c r="A175" s="47" t="n">
        <v>45808</v>
      </c>
      <c r="B175" s="48" t="s">
        <v>323</v>
      </c>
      <c r="C175" s="49" t="n">
        <v>4530</v>
      </c>
      <c r="D175" s="49" t="n">
        <v>4542</v>
      </c>
      <c r="E175" s="49" t="n">
        <v>4501</v>
      </c>
      <c r="F175" s="49" t="n">
        <v>0</v>
      </c>
      <c r="G175" s="50" t="n">
        <f aca="false">IF($A175="","",IF(ISNUMBER($G174),$G174+1,1))</f>
        <v>171</v>
      </c>
      <c r="H175" s="51" t="n">
        <f aca="false">IF(OR(NOT(ISNUMBER($G175)),$G175&lt;2,NOT(ISNUMBER($C174)),$C174=0),"",$C175/$C174-1)</f>
        <v>-0.0137165251469628</v>
      </c>
      <c r="I175" s="52" t="n">
        <f aca="false">IF(AND(ISNUMBER($G175),$G175&gt;=MA_SHORT),AVERAGE(INDEX($C$5:$C175,172-MA_SHORT):$C175),"")</f>
        <v>4598.05</v>
      </c>
      <c r="J175" s="52" t="n">
        <f aca="false">IF(AND(ISNUMBER($G175),$G175&gt;=MA_MED),AVERAGE(INDEX($C$5:$C175,172-MA_MED):$C175),"")</f>
        <v>4315.22</v>
      </c>
      <c r="K175" s="52" t="str">
        <f aca="false">IF(AND(ISNUMBER($G175),$G175&gt;=MA_LONG2),AVERAGE(INDEX($C$5:$C175,172-MA_LONG2):$C175),"")</f>
        <v/>
      </c>
      <c r="L175" s="53" t="n">
        <f aca="false">IF(AND(ISNUMBER($G175),$G175&gt;=21),STDEV(INDEX($H$115:$H175,62-20):$H175)*SQRT(245),"")</f>
        <v>0.178862826865018</v>
      </c>
      <c r="M175" s="52" t="n">
        <f aca="false">IF(AND(ISNUMBER($G175),$G175&gt;=60),MAX(INDEX($D$5:$D175,172-60):$D175),"")</f>
        <v>4768</v>
      </c>
      <c r="N175" s="52" t="n">
        <f aca="false">IF(AND(ISNUMBER($G175),$G175&gt;=60),MIN(INDEX($E$5:$E175,172-60):$E175),"")</f>
        <v>3643</v>
      </c>
      <c r="O175" s="53" t="n">
        <f aca="false">IF(OR(NOT(ISNUMBER($C175)),NOT(ISNUMBER($M175)),$M175=0),"",$C175/$M175-1)</f>
        <v>-0.0499161073825504</v>
      </c>
    </row>
    <row r="176" customFormat="false" ht="15" hidden="false" customHeight="false" outlineLevel="0" collapsed="false">
      <c r="A176" s="47" t="n">
        <v>45809</v>
      </c>
      <c r="B176" s="48" t="s">
        <v>324</v>
      </c>
      <c r="C176" s="49" t="n">
        <v>4594</v>
      </c>
      <c r="D176" s="49" t="n">
        <v>4598</v>
      </c>
      <c r="E176" s="49" t="n">
        <v>4590</v>
      </c>
      <c r="F176" s="49" t="n">
        <v>0</v>
      </c>
      <c r="G176" s="50" t="n">
        <f aca="false">IF($A176="","",IF(ISNUMBER($G175),$G175+1,1))</f>
        <v>172</v>
      </c>
      <c r="H176" s="51" t="n">
        <f aca="false">IF(OR(NOT(ISNUMBER($G176)),$G176&lt;2,NOT(ISNUMBER($C175)),$C175=0),"",$C176/$C175-1)</f>
        <v>0.0141280353200883</v>
      </c>
      <c r="I176" s="52" t="n">
        <f aca="false">IF(AND(ISNUMBER($G176),$G176&gt;=MA_SHORT),AVERAGE(INDEX($C$5:$C176,173-MA_SHORT):$C176),"")</f>
        <v>4609.6</v>
      </c>
      <c r="J176" s="52" t="n">
        <f aca="false">IF(AND(ISNUMBER($G176),$G176&gt;=MA_MED),AVERAGE(INDEX($C$5:$C176,173-MA_MED):$C176),"")</f>
        <v>4331.64</v>
      </c>
      <c r="K176" s="52" t="str">
        <f aca="false">IF(AND(ISNUMBER($G176),$G176&gt;=MA_LONG2),AVERAGE(INDEX($C$5:$C176,173-MA_LONG2):$C176),"")</f>
        <v/>
      </c>
      <c r="L176" s="53" t="n">
        <f aca="false">IF(AND(ISNUMBER($G176),$G176&gt;=21),STDEV(INDEX($H$116:$H176,62-20):$H176)*SQRT(245),"")</f>
        <v>0.177533848949455</v>
      </c>
      <c r="M176" s="52" t="n">
        <f aca="false">IF(AND(ISNUMBER($G176),$G176&gt;=60),MAX(INDEX($D$5:$D176,173-60):$D176),"")</f>
        <v>4768</v>
      </c>
      <c r="N176" s="52" t="n">
        <f aca="false">IF(AND(ISNUMBER($G176),$G176&gt;=60),MIN(INDEX($E$5:$E176,173-60):$E176),"")</f>
        <v>3703</v>
      </c>
      <c r="O176" s="53" t="n">
        <f aca="false">IF(OR(NOT(ISNUMBER($C176)),NOT(ISNUMBER($M176)),$M176=0),"",$C176/$M176-1)</f>
        <v>-0.0364932885906041</v>
      </c>
    </row>
    <row r="177" customFormat="false" ht="15" hidden="false" customHeight="false" outlineLevel="0" collapsed="false">
      <c r="A177" s="47" t="n">
        <v>45810</v>
      </c>
      <c r="B177" s="48" t="s">
        <v>325</v>
      </c>
      <c r="C177" s="49" t="n">
        <v>4639</v>
      </c>
      <c r="D177" s="49" t="n">
        <v>4648</v>
      </c>
      <c r="E177" s="49" t="n">
        <v>4609</v>
      </c>
      <c r="F177" s="49" t="n">
        <v>0</v>
      </c>
      <c r="G177" s="50" t="n">
        <f aca="false">IF($A177="","",IF(ISNUMBER($G176),$G176+1,1))</f>
        <v>173</v>
      </c>
      <c r="H177" s="51" t="n">
        <f aca="false">IF(OR(NOT(ISNUMBER($G177)),$G177&lt;2,NOT(ISNUMBER($C176)),$C176=0),"",$C177/$C176-1)</f>
        <v>0.00979538528515445</v>
      </c>
      <c r="I177" s="52" t="n">
        <f aca="false">IF(AND(ISNUMBER($G177),$G177&gt;=MA_SHORT),AVERAGE(INDEX($C$5:$C177,174-MA_SHORT):$C177),"")</f>
        <v>4620.2</v>
      </c>
      <c r="J177" s="52" t="n">
        <f aca="false">IF(AND(ISNUMBER($G177),$G177&gt;=MA_MED),AVERAGE(INDEX($C$5:$C177,174-MA_MED):$C177),"")</f>
        <v>4348.2</v>
      </c>
      <c r="K177" s="52" t="str">
        <f aca="false">IF(AND(ISNUMBER($G177),$G177&gt;=MA_LONG2),AVERAGE(INDEX($C$5:$C177,174-MA_LONG2):$C177),"")</f>
        <v/>
      </c>
      <c r="L177" s="53" t="n">
        <f aca="false">IF(AND(ISNUMBER($G177),$G177&gt;=21),STDEV(INDEX($H$117:$H177,62-20):$H177)*SQRT(245),"")</f>
        <v>0.174062946413371</v>
      </c>
      <c r="M177" s="52" t="n">
        <f aca="false">IF(AND(ISNUMBER($G177),$G177&gt;=60),MAX(INDEX($D$5:$D177,174-60):$D177),"")</f>
        <v>4768</v>
      </c>
      <c r="N177" s="52" t="n">
        <f aca="false">IF(AND(ISNUMBER($G177),$G177&gt;=60),MIN(INDEX($E$5:$E177,174-60):$E177),"")</f>
        <v>3736</v>
      </c>
      <c r="O177" s="53" t="n">
        <f aca="false">IF(OR(NOT(ISNUMBER($C177)),NOT(ISNUMBER($M177)),$M177=0),"",$C177/$M177-1)</f>
        <v>-0.0270553691275168</v>
      </c>
    </row>
    <row r="178" customFormat="false" ht="15" hidden="false" customHeight="false" outlineLevel="0" collapsed="false">
      <c r="A178" s="47" t="n">
        <v>45811</v>
      </c>
      <c r="B178" s="48" t="s">
        <v>326</v>
      </c>
      <c r="C178" s="49" t="n">
        <v>4690</v>
      </c>
      <c r="D178" s="49" t="n">
        <v>4699</v>
      </c>
      <c r="E178" s="49" t="n">
        <v>4660</v>
      </c>
      <c r="F178" s="49" t="n">
        <v>0</v>
      </c>
      <c r="G178" s="50" t="n">
        <f aca="false">IF($A178="","",IF(ISNUMBER($G177),$G177+1,1))</f>
        <v>174</v>
      </c>
      <c r="H178" s="51" t="n">
        <f aca="false">IF(OR(NOT(ISNUMBER($G178)),$G178&lt;2,NOT(ISNUMBER($C177)),$C177=0),"",$C178/$C177-1)</f>
        <v>0.010993748652727</v>
      </c>
      <c r="I178" s="52" t="n">
        <f aca="false">IF(AND(ISNUMBER($G178),$G178&gt;=MA_SHORT),AVERAGE(INDEX($C$5:$C178,175-MA_SHORT):$C178),"")</f>
        <v>4630.1</v>
      </c>
      <c r="J178" s="52" t="n">
        <f aca="false">IF(AND(ISNUMBER($G178),$G178&gt;=MA_MED),AVERAGE(INDEX($C$5:$C178,175-MA_MED):$C178),"")</f>
        <v>4364</v>
      </c>
      <c r="K178" s="52" t="str">
        <f aca="false">IF(AND(ISNUMBER($G178),$G178&gt;=MA_LONG2),AVERAGE(INDEX($C$5:$C178,175-MA_LONG2):$C178),"")</f>
        <v/>
      </c>
      <c r="L178" s="53" t="n">
        <f aca="false">IF(AND(ISNUMBER($G178),$G178&gt;=21),STDEV(INDEX($H$118:$H178,62-20):$H178)*SQRT(245),"")</f>
        <v>0.171161176886111</v>
      </c>
      <c r="M178" s="52" t="n">
        <f aca="false">IF(AND(ISNUMBER($G178),$G178&gt;=60),MAX(INDEX($D$5:$D178,175-60):$D178),"")</f>
        <v>4768</v>
      </c>
      <c r="N178" s="52" t="n">
        <f aca="false">IF(AND(ISNUMBER($G178),$G178&gt;=60),MIN(INDEX($E$5:$E178,175-60):$E178),"")</f>
        <v>3736</v>
      </c>
      <c r="O178" s="53" t="n">
        <f aca="false">IF(OR(NOT(ISNUMBER($C178)),NOT(ISNUMBER($M178)),$M178=0),"",$C178/$M178-1)</f>
        <v>-0.0163590604026845</v>
      </c>
    </row>
    <row r="179" customFormat="false" ht="15" hidden="false" customHeight="false" outlineLevel="0" collapsed="false">
      <c r="A179" s="47" t="n">
        <v>45812</v>
      </c>
      <c r="B179" s="48" t="s">
        <v>327</v>
      </c>
      <c r="C179" s="49" t="n">
        <v>4685</v>
      </c>
      <c r="D179" s="49" t="n">
        <v>4707</v>
      </c>
      <c r="E179" s="49" t="n">
        <v>4670</v>
      </c>
      <c r="F179" s="49" t="n">
        <v>0</v>
      </c>
      <c r="G179" s="50" t="n">
        <f aca="false">IF($A179="","",IF(ISNUMBER($G178),$G178+1,1))</f>
        <v>175</v>
      </c>
      <c r="H179" s="51" t="n">
        <f aca="false">IF(OR(NOT(ISNUMBER($G179)),$G179&lt;2,NOT(ISNUMBER($C178)),$C178=0),"",$C179/$C178-1)</f>
        <v>-0.00106609808102343</v>
      </c>
      <c r="I179" s="52" t="n">
        <f aca="false">IF(AND(ISNUMBER($G179),$G179&gt;=MA_SHORT),AVERAGE(INDEX($C$5:$C179,176-MA_SHORT):$C179),"")</f>
        <v>4641.5</v>
      </c>
      <c r="J179" s="52" t="n">
        <f aca="false">IF(AND(ISNUMBER($G179),$G179&gt;=MA_MED),AVERAGE(INDEX($C$5:$C179,176-MA_MED):$C179),"")</f>
        <v>4380.82</v>
      </c>
      <c r="K179" s="52" t="str">
        <f aca="false">IF(AND(ISNUMBER($G179),$G179&gt;=MA_LONG2),AVERAGE(INDEX($C$5:$C179,176-MA_LONG2):$C179),"")</f>
        <v/>
      </c>
      <c r="L179" s="53" t="n">
        <f aca="false">IF(AND(ISNUMBER($G179),$G179&gt;=21),STDEV(INDEX($H$119:$H179,62-20):$H179)*SQRT(245),"")</f>
        <v>0.167673633185231</v>
      </c>
      <c r="M179" s="52" t="n">
        <f aca="false">IF(AND(ISNUMBER($G179),$G179&gt;=60),MAX(INDEX($D$5:$D179,176-60):$D179),"")</f>
        <v>4768</v>
      </c>
      <c r="N179" s="52" t="n">
        <f aca="false">IF(AND(ISNUMBER($G179),$G179&gt;=60),MIN(INDEX($E$5:$E179,176-60):$E179),"")</f>
        <v>3736</v>
      </c>
      <c r="O179" s="53" t="n">
        <f aca="false">IF(OR(NOT(ISNUMBER($C179)),NOT(ISNUMBER($M179)),$M179=0),"",$C179/$M179-1)</f>
        <v>-0.0174077181208053</v>
      </c>
    </row>
    <row r="180" customFormat="false" ht="15" hidden="false" customHeight="false" outlineLevel="0" collapsed="false">
      <c r="A180" s="47" t="n">
        <v>45815</v>
      </c>
      <c r="B180" s="48" t="s">
        <v>328</v>
      </c>
      <c r="C180" s="49" t="n">
        <v>4719</v>
      </c>
      <c r="D180" s="49" t="n">
        <v>4719</v>
      </c>
      <c r="E180" s="49" t="n">
        <v>4714</v>
      </c>
      <c r="F180" s="49" t="n">
        <v>0</v>
      </c>
      <c r="G180" s="50" t="n">
        <f aca="false">IF($A180="","",IF(ISNUMBER($G179),$G179+1,1))</f>
        <v>176</v>
      </c>
      <c r="H180" s="51" t="n">
        <f aca="false">IF(OR(NOT(ISNUMBER($G180)),$G180&lt;2,NOT(ISNUMBER($C179)),$C179=0),"",$C180/$C179-1)</f>
        <v>0.00725720384204909</v>
      </c>
      <c r="I180" s="52" t="n">
        <f aca="false">IF(AND(ISNUMBER($G180),$G180&gt;=MA_SHORT),AVERAGE(INDEX($C$5:$C180,177-MA_SHORT):$C180),"")</f>
        <v>4651.35</v>
      </c>
      <c r="J180" s="52" t="n">
        <f aca="false">IF(AND(ISNUMBER($G180),$G180&gt;=MA_MED),AVERAGE(INDEX($C$5:$C180,177-MA_MED):$C180),"")</f>
        <v>4398.16</v>
      </c>
      <c r="K180" s="52" t="str">
        <f aca="false">IF(AND(ISNUMBER($G180),$G180&gt;=MA_LONG2),AVERAGE(INDEX($C$5:$C180,177-MA_LONG2):$C180),"")</f>
        <v/>
      </c>
      <c r="L180" s="53" t="n">
        <f aca="false">IF(AND(ISNUMBER($G180),$G180&gt;=21),STDEV(INDEX($H$120:$H180,62-20):$H180)*SQRT(245),"")</f>
        <v>0.162784121093919</v>
      </c>
      <c r="M180" s="52" t="n">
        <f aca="false">IF(AND(ISNUMBER($G180),$G180&gt;=60),MAX(INDEX($D$5:$D180,177-60):$D180),"")</f>
        <v>4768</v>
      </c>
      <c r="N180" s="52" t="n">
        <f aca="false">IF(AND(ISNUMBER($G180),$G180&gt;=60),MIN(INDEX($E$5:$E180,177-60):$E180),"")</f>
        <v>3736</v>
      </c>
      <c r="O180" s="53" t="n">
        <f aca="false">IF(OR(NOT(ISNUMBER($C180)),NOT(ISNUMBER($M180)),$M180=0),"",$C180/$M180-1)</f>
        <v>-0.0102768456375839</v>
      </c>
    </row>
    <row r="181" customFormat="false" ht="15" hidden="false" customHeight="false" outlineLevel="0" collapsed="false">
      <c r="A181" s="47" t="n">
        <v>45816</v>
      </c>
      <c r="B181" s="48" t="s">
        <v>329</v>
      </c>
      <c r="C181" s="49" t="n">
        <v>4724</v>
      </c>
      <c r="D181" s="49" t="n">
        <v>4727</v>
      </c>
      <c r="E181" s="49" t="n">
        <v>4716</v>
      </c>
      <c r="F181" s="49" t="n">
        <v>0</v>
      </c>
      <c r="G181" s="50" t="n">
        <f aca="false">IF($A181="","",IF(ISNUMBER($G180),$G180+1,1))</f>
        <v>177</v>
      </c>
      <c r="H181" s="51" t="n">
        <f aca="false">IF(OR(NOT(ISNUMBER($G181)),$G181&lt;2,NOT(ISNUMBER($C180)),$C180=0),"",$C181/$C180-1)</f>
        <v>0.0010595465140919</v>
      </c>
      <c r="I181" s="52" t="n">
        <f aca="false">IF(AND(ISNUMBER($G181),$G181&gt;=MA_SHORT),AVERAGE(INDEX($C$5:$C181,178-MA_SHORT):$C181),"")</f>
        <v>4658.7</v>
      </c>
      <c r="J181" s="52" t="n">
        <f aca="false">IF(AND(ISNUMBER($G181),$G181&gt;=MA_MED),AVERAGE(INDEX($C$5:$C181,178-MA_MED):$C181),"")</f>
        <v>4416.3</v>
      </c>
      <c r="K181" s="52" t="str">
        <f aca="false">IF(AND(ISNUMBER($G181),$G181&gt;=MA_LONG2),AVERAGE(INDEX($C$5:$C181,178-MA_LONG2):$C181),"")</f>
        <v/>
      </c>
      <c r="L181" s="53" t="n">
        <f aca="false">IF(AND(ISNUMBER($G181),$G181&gt;=21),STDEV(INDEX($H$121:$H181,62-20):$H181)*SQRT(245),"")</f>
        <v>0.158593966043223</v>
      </c>
      <c r="M181" s="52" t="n">
        <f aca="false">IF(AND(ISNUMBER($G181),$G181&gt;=60),MAX(INDEX($D$5:$D181,178-60):$D181),"")</f>
        <v>4768</v>
      </c>
      <c r="N181" s="52" t="n">
        <f aca="false">IF(AND(ISNUMBER($G181),$G181&gt;=60),MIN(INDEX($E$5:$E181,178-60):$E181),"")</f>
        <v>3740</v>
      </c>
      <c r="O181" s="53" t="n">
        <f aca="false">IF(OR(NOT(ISNUMBER($C181)),NOT(ISNUMBER($M181)),$M181=0),"",$C181/$M181-1)</f>
        <v>-0.00922818791946312</v>
      </c>
    </row>
    <row r="182" customFormat="false" ht="15" hidden="false" customHeight="false" outlineLevel="0" collapsed="false">
      <c r="A182" s="47" t="n">
        <v>45817</v>
      </c>
      <c r="B182" s="48" t="s">
        <v>330</v>
      </c>
      <c r="C182" s="49" t="n">
        <v>4776</v>
      </c>
      <c r="D182" s="49" t="n">
        <v>4788</v>
      </c>
      <c r="E182" s="49" t="n">
        <v>4775</v>
      </c>
      <c r="F182" s="49" t="n">
        <v>0</v>
      </c>
      <c r="G182" s="50" t="n">
        <f aca="false">IF($A182="","",IF(ISNUMBER($G181),$G181+1,1))</f>
        <v>178</v>
      </c>
      <c r="H182" s="51" t="n">
        <f aca="false">IF(OR(NOT(ISNUMBER($G182)),$G182&lt;2,NOT(ISNUMBER($C181)),$C181=0),"",$C182/$C181-1)</f>
        <v>0.0110076206604572</v>
      </c>
      <c r="I182" s="52" t="n">
        <f aca="false">IF(AND(ISNUMBER($G182),$G182&gt;=MA_SHORT),AVERAGE(INDEX($C$5:$C182,179-MA_SHORT):$C182),"")</f>
        <v>4665.9</v>
      </c>
      <c r="J182" s="52" t="n">
        <f aca="false">IF(AND(ISNUMBER($G182),$G182&gt;=MA_MED),AVERAGE(INDEX($C$5:$C182,179-MA_MED):$C182),"")</f>
        <v>4435.5</v>
      </c>
      <c r="K182" s="52" t="str">
        <f aca="false">IF(AND(ISNUMBER($G182),$G182&gt;=MA_LONG2),AVERAGE(INDEX($C$5:$C182,179-MA_LONG2):$C182),"")</f>
        <v/>
      </c>
      <c r="L182" s="53" t="n">
        <f aca="false">IF(AND(ISNUMBER($G182),$G182&gt;=21),STDEV(INDEX($H$122:$H182,62-20):$H182)*SQRT(245),"")</f>
        <v>0.157779168614428</v>
      </c>
      <c r="M182" s="52" t="n">
        <f aca="false">IF(AND(ISNUMBER($G182),$G182&gt;=60),MAX(INDEX($D$5:$D182,179-60):$D182),"")</f>
        <v>4788</v>
      </c>
      <c r="N182" s="52" t="n">
        <f aca="false">IF(AND(ISNUMBER($G182),$G182&gt;=60),MIN(INDEX($E$5:$E182,179-60):$E182),"")</f>
        <v>3740</v>
      </c>
      <c r="O182" s="53" t="n">
        <f aca="false">IF(OR(NOT(ISNUMBER($C182)),NOT(ISNUMBER($M182)),$M182=0),"",$C182/$M182-1)</f>
        <v>-0.00250626566416046</v>
      </c>
    </row>
    <row r="183" customFormat="false" ht="15" hidden="false" customHeight="false" outlineLevel="0" collapsed="false">
      <c r="A183" s="47" t="n">
        <v>45818</v>
      </c>
      <c r="B183" s="48" t="s">
        <v>331</v>
      </c>
      <c r="C183" s="49" t="n">
        <v>4751</v>
      </c>
      <c r="D183" s="49" t="n">
        <v>4753</v>
      </c>
      <c r="E183" s="49" t="n">
        <v>4742</v>
      </c>
      <c r="F183" s="49" t="n">
        <v>0</v>
      </c>
      <c r="G183" s="50" t="n">
        <f aca="false">IF($A183="","",IF(ISNUMBER($G182),$G182+1,1))</f>
        <v>179</v>
      </c>
      <c r="H183" s="51" t="n">
        <f aca="false">IF(OR(NOT(ISNUMBER($G183)),$G183&lt;2,NOT(ISNUMBER($C182)),$C182=0),"",$C183/$C182-1)</f>
        <v>-0.00523450586264662</v>
      </c>
      <c r="I183" s="52" t="n">
        <f aca="false">IF(AND(ISNUMBER($G183),$G183&gt;=MA_SHORT),AVERAGE(INDEX($C$5:$C183,180-MA_SHORT):$C183),"")</f>
        <v>4671.55</v>
      </c>
      <c r="J183" s="52" t="n">
        <f aca="false">IF(AND(ISNUMBER($G183),$G183&gt;=MA_MED),AVERAGE(INDEX($C$5:$C183,180-MA_MED):$C183),"")</f>
        <v>4453.78</v>
      </c>
      <c r="K183" s="52" t="str">
        <f aca="false">IF(AND(ISNUMBER($G183),$G183&gt;=MA_LONG2),AVERAGE(INDEX($C$5:$C183,180-MA_LONG2):$C183),"")</f>
        <v/>
      </c>
      <c r="L183" s="53" t="n">
        <f aca="false">IF(AND(ISNUMBER($G183),$G183&gt;=21),STDEV(INDEX($H$123:$H183,62-20):$H183)*SQRT(245),"")</f>
        <v>0.159576271519396</v>
      </c>
      <c r="M183" s="52" t="n">
        <f aca="false">IF(AND(ISNUMBER($G183),$G183&gt;=60),MAX(INDEX($D$5:$D183,180-60):$D183),"")</f>
        <v>4788</v>
      </c>
      <c r="N183" s="52" t="n">
        <f aca="false">IF(AND(ISNUMBER($G183),$G183&gt;=60),MIN(INDEX($E$5:$E183,180-60):$E183),"")</f>
        <v>3752</v>
      </c>
      <c r="O183" s="53" t="n">
        <f aca="false">IF(OR(NOT(ISNUMBER($C183)),NOT(ISNUMBER($M183)),$M183=0),"",$C183/$M183-1)</f>
        <v>-0.00772765246449458</v>
      </c>
    </row>
    <row r="184" customFormat="false" ht="15" hidden="false" customHeight="false" outlineLevel="0" collapsed="false">
      <c r="A184" s="47" t="n">
        <v>45819</v>
      </c>
      <c r="B184" s="48" t="s">
        <v>332</v>
      </c>
      <c r="C184" s="49" t="n">
        <v>4641</v>
      </c>
      <c r="D184" s="49" t="n">
        <v>4674</v>
      </c>
      <c r="E184" s="49" t="n">
        <v>4621</v>
      </c>
      <c r="F184" s="49" t="n">
        <v>0</v>
      </c>
      <c r="G184" s="50" t="n">
        <f aca="false">IF($A184="","",IF(ISNUMBER($G183),$G183+1,1))</f>
        <v>180</v>
      </c>
      <c r="H184" s="51" t="n">
        <f aca="false">IF(OR(NOT(ISNUMBER($G184)),$G184&lt;2,NOT(ISNUMBER($C183)),$C183=0),"",$C184/$C183-1)</f>
        <v>-0.0231530204167544</v>
      </c>
      <c r="I184" s="52" t="n">
        <f aca="false">IF(AND(ISNUMBER($G184),$G184&gt;=MA_SHORT),AVERAGE(INDEX($C$5:$C184,181-MA_SHORT):$C184),"")</f>
        <v>4671.9</v>
      </c>
      <c r="J184" s="52" t="n">
        <f aca="false">IF(AND(ISNUMBER($G184),$G184&gt;=MA_MED),AVERAGE(INDEX($C$5:$C184,181-MA_MED):$C184),"")</f>
        <v>4470.42</v>
      </c>
      <c r="K184" s="52" t="str">
        <f aca="false">IF(AND(ISNUMBER($G184),$G184&gt;=MA_LONG2),AVERAGE(INDEX($C$5:$C184,181-MA_LONG2):$C184),"")</f>
        <v/>
      </c>
      <c r="L184" s="53" t="n">
        <f aca="false">IF(AND(ISNUMBER($G184),$G184&gt;=21),STDEV(INDEX($H$124:$H184,62-20):$H184)*SQRT(245),"")</f>
        <v>0.181018829397687</v>
      </c>
      <c r="M184" s="52" t="n">
        <f aca="false">IF(AND(ISNUMBER($G184),$G184&gt;=60),MAX(INDEX($D$5:$D184,181-60):$D184),"")</f>
        <v>4788</v>
      </c>
      <c r="N184" s="52" t="n">
        <f aca="false">IF(AND(ISNUMBER($G184),$G184&gt;=60),MIN(INDEX($E$5:$E184,181-60):$E184),"")</f>
        <v>3752</v>
      </c>
      <c r="O184" s="53" t="n">
        <f aca="false">IF(OR(NOT(ISNUMBER($C184)),NOT(ISNUMBER($M184)),$M184=0),"",$C184/$M184-1)</f>
        <v>-0.0307017543859649</v>
      </c>
    </row>
    <row r="185" customFormat="false" ht="15" hidden="false" customHeight="false" outlineLevel="0" collapsed="false">
      <c r="A185" s="47" t="n">
        <v>45822</v>
      </c>
      <c r="B185" s="48" t="s">
        <v>333</v>
      </c>
      <c r="C185" s="49" t="n">
        <v>4606</v>
      </c>
      <c r="D185" s="49" t="n">
        <v>4626</v>
      </c>
      <c r="E185" s="49" t="n">
        <v>4593</v>
      </c>
      <c r="F185" s="49" t="n">
        <v>0</v>
      </c>
      <c r="G185" s="50" t="n">
        <f aca="false">IF($A185="","",IF(ISNUMBER($G184),$G184+1,1))</f>
        <v>181</v>
      </c>
      <c r="H185" s="51" t="n">
        <f aca="false">IF(OR(NOT(ISNUMBER($G185)),$G185&lt;2,NOT(ISNUMBER($C184)),$C184=0),"",$C185/$C184-1)</f>
        <v>-0.0075414781297134</v>
      </c>
      <c r="I185" s="52" t="n">
        <f aca="false">IF(AND(ISNUMBER($G185),$G185&gt;=MA_SHORT),AVERAGE(INDEX($C$5:$C185,182-MA_SHORT):$C185),"")</f>
        <v>4667.1</v>
      </c>
      <c r="J185" s="52" t="n">
        <f aca="false">IF(AND(ISNUMBER($G185),$G185&gt;=MA_MED),AVERAGE(INDEX($C$5:$C185,182-MA_MED):$C185),"")</f>
        <v>4485.14</v>
      </c>
      <c r="K185" s="52" t="str">
        <f aca="false">IF(AND(ISNUMBER($G185),$G185&gt;=MA_LONG2),AVERAGE(INDEX($C$5:$C185,182-MA_LONG2):$C185),"")</f>
        <v/>
      </c>
      <c r="L185" s="53" t="n">
        <f aca="false">IF(AND(ISNUMBER($G185),$G185&gt;=21),STDEV(INDEX($H$125:$H185,62-20):$H185)*SQRT(245),"")</f>
        <v>0.174602915346493</v>
      </c>
      <c r="M185" s="52" t="n">
        <f aca="false">IF(AND(ISNUMBER($G185),$G185&gt;=60),MAX(INDEX($D$5:$D185,182-60):$D185),"")</f>
        <v>4788</v>
      </c>
      <c r="N185" s="52" t="n">
        <f aca="false">IF(AND(ISNUMBER($G185),$G185&gt;=60),MIN(INDEX($E$5:$E185,182-60):$E185),"")</f>
        <v>3752</v>
      </c>
      <c r="O185" s="53" t="n">
        <f aca="false">IF(OR(NOT(ISNUMBER($C185)),NOT(ISNUMBER($M185)),$M185=0),"",$C185/$M185-1)</f>
        <v>-0.0380116959064327</v>
      </c>
    </row>
    <row r="186" customFormat="false" ht="15" hidden="false" customHeight="false" outlineLevel="0" collapsed="false">
      <c r="A186" s="47" t="n">
        <v>45823</v>
      </c>
      <c r="B186" s="48" t="s">
        <v>334</v>
      </c>
      <c r="C186" s="49" t="n">
        <v>4561</v>
      </c>
      <c r="D186" s="49" t="n">
        <v>4586</v>
      </c>
      <c r="E186" s="49" t="n">
        <v>4531</v>
      </c>
      <c r="F186" s="49" t="n">
        <v>0</v>
      </c>
      <c r="G186" s="50" t="n">
        <f aca="false">IF($A186="","",IF(ISNUMBER($G185),$G185+1,1))</f>
        <v>182</v>
      </c>
      <c r="H186" s="51" t="n">
        <f aca="false">IF(OR(NOT(ISNUMBER($G186)),$G186&lt;2,NOT(ISNUMBER($C185)),$C185=0),"",$C186/$C185-1)</f>
        <v>-0.00976986539296565</v>
      </c>
      <c r="I186" s="52" t="n">
        <f aca="false">IF(AND(ISNUMBER($G186),$G186&gt;=MA_SHORT),AVERAGE(INDEX($C$5:$C186,183-MA_SHORT):$C186),"")</f>
        <v>4661.8</v>
      </c>
      <c r="J186" s="52" t="n">
        <f aca="false">IF(AND(ISNUMBER($G186),$G186&gt;=MA_MED),AVERAGE(INDEX($C$5:$C186,183-MA_MED):$C186),"")</f>
        <v>4497.48</v>
      </c>
      <c r="K186" s="52" t="str">
        <f aca="false">IF(AND(ISNUMBER($G186),$G186&gt;=MA_LONG2),AVERAGE(INDEX($C$5:$C186,183-MA_LONG2):$C186),"")</f>
        <v/>
      </c>
      <c r="L186" s="53" t="n">
        <f aca="false">IF(AND(ISNUMBER($G186),$G186&gt;=21),STDEV(INDEX($H$126:$H186,62-20):$H186)*SQRT(245),"")</f>
        <v>0.175899818628949</v>
      </c>
      <c r="M186" s="52" t="n">
        <f aca="false">IF(AND(ISNUMBER($G186),$G186&gt;=60),MAX(INDEX($D$5:$D186,183-60):$D186),"")</f>
        <v>4788</v>
      </c>
      <c r="N186" s="52" t="n">
        <f aca="false">IF(AND(ISNUMBER($G186),$G186&gt;=60),MIN(INDEX($E$5:$E186,183-60):$E186),"")</f>
        <v>3805</v>
      </c>
      <c r="O186" s="53" t="n">
        <f aca="false">IF(OR(NOT(ISNUMBER($C186)),NOT(ISNUMBER($M186)),$M186=0),"",$C186/$M186-1)</f>
        <v>-0.0474101921470342</v>
      </c>
    </row>
    <row r="187" customFormat="false" ht="15" hidden="false" customHeight="false" outlineLevel="0" collapsed="false">
      <c r="A187" s="47" t="n">
        <v>45824</v>
      </c>
      <c r="B187" s="48" t="s">
        <v>335</v>
      </c>
      <c r="C187" s="49" t="n">
        <v>4582</v>
      </c>
      <c r="D187" s="49" t="n">
        <v>4619</v>
      </c>
      <c r="E187" s="49" t="n">
        <v>4565</v>
      </c>
      <c r="F187" s="49" t="n">
        <v>0</v>
      </c>
      <c r="G187" s="50" t="n">
        <f aca="false">IF($A187="","",IF(ISNUMBER($G186),$G186+1,1))</f>
        <v>183</v>
      </c>
      <c r="H187" s="51" t="n">
        <f aca="false">IF(OR(NOT(ISNUMBER($G187)),$G187&lt;2,NOT(ISNUMBER($C186)),$C186=0),"",$C187/$C186-1)</f>
        <v>0.00460425345319004</v>
      </c>
      <c r="I187" s="52" t="n">
        <f aca="false">IF(AND(ISNUMBER($G187),$G187&gt;=MA_SHORT),AVERAGE(INDEX($C$5:$C187,184-MA_SHORT):$C187),"")</f>
        <v>4659.05</v>
      </c>
      <c r="J187" s="52" t="n">
        <f aca="false">IF(AND(ISNUMBER($G187),$G187&gt;=MA_MED),AVERAGE(INDEX($C$5:$C187,184-MA_MED):$C187),"")</f>
        <v>4510.2</v>
      </c>
      <c r="K187" s="52" t="str">
        <f aca="false">IF(AND(ISNUMBER($G187),$G187&gt;=MA_LONG2),AVERAGE(INDEX($C$5:$C187,184-MA_LONG2):$C187),"")</f>
        <v/>
      </c>
      <c r="L187" s="53" t="n">
        <f aca="false">IF(AND(ISNUMBER($G187),$G187&gt;=21),STDEV(INDEX($H$127:$H187,62-20):$H187)*SQRT(245),"")</f>
        <v>0.17581895482813</v>
      </c>
      <c r="M187" s="52" t="n">
        <f aca="false">IF(AND(ISNUMBER($G187),$G187&gt;=60),MAX(INDEX($D$5:$D187,184-60):$D187),"")</f>
        <v>4788</v>
      </c>
      <c r="N187" s="52" t="n">
        <f aca="false">IF(AND(ISNUMBER($G187),$G187&gt;=60),MIN(INDEX($E$5:$E187,184-60):$E187),"")</f>
        <v>3807</v>
      </c>
      <c r="O187" s="53" t="n">
        <f aca="false">IF(OR(NOT(ISNUMBER($C187)),NOT(ISNUMBER($M187)),$M187=0),"",$C187/$M187-1)</f>
        <v>-0.0430242272347535</v>
      </c>
    </row>
    <row r="188" customFormat="false" ht="15" hidden="false" customHeight="false" outlineLevel="0" collapsed="false">
      <c r="A188" s="47" t="n">
        <v>45825</v>
      </c>
      <c r="B188" s="48" t="s">
        <v>336</v>
      </c>
      <c r="C188" s="49" t="n">
        <v>4637</v>
      </c>
      <c r="D188" s="49" t="n">
        <v>4650</v>
      </c>
      <c r="E188" s="49" t="n">
        <v>4625</v>
      </c>
      <c r="F188" s="49" t="n">
        <v>0</v>
      </c>
      <c r="G188" s="50" t="n">
        <f aca="false">IF($A188="","",IF(ISNUMBER($G187),$G187+1,1))</f>
        <v>184</v>
      </c>
      <c r="H188" s="51" t="n">
        <f aca="false">IF(OR(NOT(ISNUMBER($G188)),$G188&lt;2,NOT(ISNUMBER($C187)),$C187=0),"",$C188/$C187-1)</f>
        <v>0.0120034919249237</v>
      </c>
      <c r="I188" s="52" t="n">
        <f aca="false">IF(AND(ISNUMBER($G188),$G188&gt;=MA_SHORT),AVERAGE(INDEX($C$5:$C188,185-MA_SHORT):$C188),"")</f>
        <v>4657.6</v>
      </c>
      <c r="J188" s="52" t="n">
        <f aca="false">IF(AND(ISNUMBER($G188),$G188&gt;=MA_MED),AVERAGE(INDEX($C$5:$C188,185-MA_MED):$C188),"")</f>
        <v>4524.12</v>
      </c>
      <c r="K188" s="52" t="str">
        <f aca="false">IF(AND(ISNUMBER($G188),$G188&gt;=MA_LONG2),AVERAGE(INDEX($C$5:$C188,185-MA_LONG2):$C188),"")</f>
        <v/>
      </c>
      <c r="L188" s="53" t="n">
        <f aca="false">IF(AND(ISNUMBER($G188),$G188&gt;=21),STDEV(INDEX($H$128:$H188,62-20):$H188)*SQRT(245),"")</f>
        <v>0.179788936047161</v>
      </c>
      <c r="M188" s="52" t="n">
        <f aca="false">IF(AND(ISNUMBER($G188),$G188&gt;=60),MAX(INDEX($D$5:$D188,185-60):$D188),"")</f>
        <v>4788</v>
      </c>
      <c r="N188" s="52" t="n">
        <f aca="false">IF(AND(ISNUMBER($G188),$G188&gt;=60),MIN(INDEX($E$5:$E188,185-60):$E188),"")</f>
        <v>3807</v>
      </c>
      <c r="O188" s="53" t="n">
        <f aca="false">IF(OR(NOT(ISNUMBER($C188)),NOT(ISNUMBER($M188)),$M188=0),"",$C188/$M188-1)</f>
        <v>-0.0315371762740184</v>
      </c>
    </row>
    <row r="189" customFormat="false" ht="15" hidden="false" customHeight="false" outlineLevel="0" collapsed="false">
      <c r="A189" s="47" t="n">
        <v>45826</v>
      </c>
      <c r="B189" s="48" t="s">
        <v>337</v>
      </c>
      <c r="C189" s="49" t="n">
        <v>4758</v>
      </c>
      <c r="D189" s="49" t="n">
        <v>4760</v>
      </c>
      <c r="E189" s="49" t="n">
        <v>4745</v>
      </c>
      <c r="F189" s="49" t="n">
        <v>0</v>
      </c>
      <c r="G189" s="50" t="n">
        <f aca="false">IF($A189="","",IF(ISNUMBER($G188),$G188+1,1))</f>
        <v>185</v>
      </c>
      <c r="H189" s="51" t="n">
        <f aca="false">IF(OR(NOT(ISNUMBER($G189)),$G189&lt;2,NOT(ISNUMBER($C188)),$C188=0),"",$C189/$C188-1)</f>
        <v>0.0260944576234634</v>
      </c>
      <c r="I189" s="52" t="n">
        <f aca="false">IF(AND(ISNUMBER($G189),$G189&gt;=MA_SHORT),AVERAGE(INDEX($C$5:$C189,186-MA_SHORT):$C189),"")</f>
        <v>4660.25</v>
      </c>
      <c r="J189" s="52" t="n">
        <f aca="false">IF(AND(ISNUMBER($G189),$G189&gt;=MA_MED),AVERAGE(INDEX($C$5:$C189,186-MA_MED):$C189),"")</f>
        <v>4538.26</v>
      </c>
      <c r="K189" s="52" t="str">
        <f aca="false">IF(AND(ISNUMBER($G189),$G189&gt;=MA_LONG2),AVERAGE(INDEX($C$5:$C189,186-MA_LONG2):$C189),"")</f>
        <v/>
      </c>
      <c r="L189" s="53" t="n">
        <f aca="false">IF(AND(ISNUMBER($G189),$G189&gt;=21),STDEV(INDEX($H$129:$H189,62-20):$H189)*SQRT(245),"")</f>
        <v>0.200285896905036</v>
      </c>
      <c r="M189" s="52" t="n">
        <f aca="false">IF(AND(ISNUMBER($G189),$G189&gt;=60),MAX(INDEX($D$5:$D189,186-60):$D189),"")</f>
        <v>4788</v>
      </c>
      <c r="N189" s="52" t="n">
        <f aca="false">IF(AND(ISNUMBER($G189),$G189&gt;=60),MIN(INDEX($E$5:$E189,186-60):$E189),"")</f>
        <v>3807</v>
      </c>
      <c r="O189" s="53" t="n">
        <f aca="false">IF(OR(NOT(ISNUMBER($C189)),NOT(ISNUMBER($M189)),$M189=0),"",$C189/$M189-1)</f>
        <v>-0.00626566416040097</v>
      </c>
    </row>
    <row r="190" customFormat="false" ht="15" hidden="false" customHeight="false" outlineLevel="0" collapsed="false">
      <c r="A190" s="47" t="n">
        <v>45829</v>
      </c>
      <c r="B190" s="48" t="s">
        <v>338</v>
      </c>
      <c r="C190" s="49" t="n">
        <v>4799</v>
      </c>
      <c r="D190" s="49" t="n">
        <v>4834</v>
      </c>
      <c r="E190" s="49" t="n">
        <v>4770</v>
      </c>
      <c r="F190" s="49" t="n">
        <v>0</v>
      </c>
      <c r="G190" s="50" t="n">
        <f aca="false">IF($A190="","",IF(ISNUMBER($G189),$G189+1,1))</f>
        <v>186</v>
      </c>
      <c r="H190" s="51" t="n">
        <f aca="false">IF(OR(NOT(ISNUMBER($G190)),$G190&lt;2,NOT(ISNUMBER($C189)),$C189=0),"",$C190/$C189-1)</f>
        <v>0.00861706599411516</v>
      </c>
      <c r="I190" s="52" t="n">
        <f aca="false">IF(AND(ISNUMBER($G190),$G190&gt;=MA_SHORT),AVERAGE(INDEX($C$5:$C190,187-MA_SHORT):$C190),"")</f>
        <v>4663.2</v>
      </c>
      <c r="J190" s="52" t="n">
        <f aca="false">IF(AND(ISNUMBER($G190),$G190&gt;=MA_MED),AVERAGE(INDEX($C$5:$C190,187-MA_MED):$C190),"")</f>
        <v>4552.62</v>
      </c>
      <c r="K190" s="52" t="str">
        <f aca="false">IF(AND(ISNUMBER($G190),$G190&gt;=MA_LONG2),AVERAGE(INDEX($C$5:$C190,187-MA_LONG2):$C190),"")</f>
        <v/>
      </c>
      <c r="L190" s="53" t="n">
        <f aca="false">IF(AND(ISNUMBER($G190),$G190&gt;=21),STDEV(INDEX($H$130:$H190,62-20):$H190)*SQRT(245),"")</f>
        <v>0.200843426836309</v>
      </c>
      <c r="M190" s="52" t="n">
        <f aca="false">IF(AND(ISNUMBER($G190),$G190&gt;=60),MAX(INDEX($D$5:$D190,187-60):$D190),"")</f>
        <v>4834</v>
      </c>
      <c r="N190" s="52" t="n">
        <f aca="false">IF(AND(ISNUMBER($G190),$G190&gt;=60),MIN(INDEX($E$5:$E190,187-60):$E190),"")</f>
        <v>3807</v>
      </c>
      <c r="O190" s="53" t="n">
        <f aca="false">IF(OR(NOT(ISNUMBER($C190)),NOT(ISNUMBER($M190)),$M190=0),"",$C190/$M190-1)</f>
        <v>-0.00724038063715349</v>
      </c>
    </row>
    <row r="191" customFormat="false" ht="15" hidden="false" customHeight="false" outlineLevel="0" collapsed="false">
      <c r="A191" s="47" t="n">
        <v>45830</v>
      </c>
      <c r="B191" s="48" t="s">
        <v>339</v>
      </c>
      <c r="C191" s="49" t="n">
        <v>4783</v>
      </c>
      <c r="D191" s="49" t="n">
        <v>4791</v>
      </c>
      <c r="E191" s="49" t="n">
        <v>4762</v>
      </c>
      <c r="F191" s="49" t="n">
        <v>0</v>
      </c>
      <c r="G191" s="50" t="n">
        <f aca="false">IF($A191="","",IF(ISNUMBER($G190),$G190+1,1))</f>
        <v>187</v>
      </c>
      <c r="H191" s="51" t="n">
        <f aca="false">IF(OR(NOT(ISNUMBER($G191)),$G191&lt;2,NOT(ISNUMBER($C190)),$C190=0),"",$C191/$C190-1)</f>
        <v>-0.00333402792248383</v>
      </c>
      <c r="I191" s="52" t="n">
        <f aca="false">IF(AND(ISNUMBER($G191),$G191&gt;=MA_SHORT),AVERAGE(INDEX($C$5:$C191,188-MA_SHORT):$C191),"")</f>
        <v>4665.25</v>
      </c>
      <c r="J191" s="52" t="n">
        <f aca="false">IF(AND(ISNUMBER($G191),$G191&gt;=MA_MED),AVERAGE(INDEX($C$5:$C191,188-MA_MED):$C191),"")</f>
        <v>4564.72</v>
      </c>
      <c r="K191" s="52" t="str">
        <f aca="false">IF(AND(ISNUMBER($G191),$G191&gt;=MA_LONG2),AVERAGE(INDEX($C$5:$C191,188-MA_LONG2):$C191),"")</f>
        <v/>
      </c>
      <c r="L191" s="53" t="n">
        <f aca="false">IF(AND(ISNUMBER($G191),$G191&gt;=21),STDEV(INDEX($H$131:$H191,62-20):$H191)*SQRT(245),"")</f>
        <v>0.201339372371023</v>
      </c>
      <c r="M191" s="52" t="n">
        <f aca="false">IF(AND(ISNUMBER($G191),$G191&gt;=60),MAX(INDEX($D$5:$D191,188-60):$D191),"")</f>
        <v>4834</v>
      </c>
      <c r="N191" s="52" t="n">
        <f aca="false">IF(AND(ISNUMBER($G191),$G191&gt;=60),MIN(INDEX($E$5:$E191,188-60):$E191),"")</f>
        <v>3807</v>
      </c>
      <c r="O191" s="53" t="n">
        <f aca="false">IF(OR(NOT(ISNUMBER($C191)),NOT(ISNUMBER($M191)),$M191=0),"",$C191/$M191-1)</f>
        <v>-0.0105502689284237</v>
      </c>
    </row>
    <row r="192" customFormat="false" ht="15" hidden="false" customHeight="false" outlineLevel="0" collapsed="false">
      <c r="A192" s="47" t="n">
        <v>45831</v>
      </c>
      <c r="B192" s="48" t="s">
        <v>340</v>
      </c>
      <c r="C192" s="49" t="n">
        <v>4772</v>
      </c>
      <c r="D192" s="49" t="n">
        <v>4796</v>
      </c>
      <c r="E192" s="49" t="n">
        <v>4763</v>
      </c>
      <c r="F192" s="49" t="n">
        <v>0</v>
      </c>
      <c r="G192" s="50" t="n">
        <f aca="false">IF($A192="","",IF(ISNUMBER($G191),$G191+1,1))</f>
        <v>188</v>
      </c>
      <c r="H192" s="51" t="n">
        <f aca="false">IF(OR(NOT(ISNUMBER($G192)),$G192&lt;2,NOT(ISNUMBER($C191)),$C191=0),"",$C192/$C191-1)</f>
        <v>-0.0022998118335773</v>
      </c>
      <c r="I192" s="52" t="n">
        <f aca="false">IF(AND(ISNUMBER($G192),$G192&gt;=MA_SHORT),AVERAGE(INDEX($C$5:$C192,189-MA_SHORT):$C192),"")</f>
        <v>4670.45</v>
      </c>
      <c r="J192" s="52" t="n">
        <f aca="false">IF(AND(ISNUMBER($G192),$G192&gt;=MA_MED),AVERAGE(INDEX($C$5:$C192,189-MA_MED):$C192),"")</f>
        <v>4575.86</v>
      </c>
      <c r="K192" s="52" t="str">
        <f aca="false">IF(AND(ISNUMBER($G192),$G192&gt;=MA_LONG2),AVERAGE(INDEX($C$5:$C192,189-MA_LONG2):$C192),"")</f>
        <v/>
      </c>
      <c r="L192" s="53" t="n">
        <f aca="false">IF(AND(ISNUMBER($G192),$G192&gt;=21),STDEV(INDEX($H$132:$H192,62-20):$H192)*SQRT(245),"")</f>
        <v>0.192812601831498</v>
      </c>
      <c r="M192" s="52" t="n">
        <f aca="false">IF(AND(ISNUMBER($G192),$G192&gt;=60),MAX(INDEX($D$5:$D192,189-60):$D192),"")</f>
        <v>4834</v>
      </c>
      <c r="N192" s="52" t="n">
        <f aca="false">IF(AND(ISNUMBER($G192),$G192&gt;=60),MIN(INDEX($E$5:$E192,189-60):$E192),"")</f>
        <v>3807</v>
      </c>
      <c r="O192" s="53" t="n">
        <f aca="false">IF(OR(NOT(ISNUMBER($C192)),NOT(ISNUMBER($M192)),$M192=0),"",$C192/$M192-1)</f>
        <v>-0.0128258171286719</v>
      </c>
    </row>
    <row r="193" customFormat="false" ht="15" hidden="false" customHeight="false" outlineLevel="0" collapsed="false">
      <c r="A193" s="47" t="n">
        <v>45832</v>
      </c>
      <c r="B193" s="48" t="s">
        <v>341</v>
      </c>
      <c r="C193" s="49" t="n">
        <v>4856</v>
      </c>
      <c r="D193" s="49" t="n">
        <v>4858</v>
      </c>
      <c r="E193" s="49" t="n">
        <v>4846</v>
      </c>
      <c r="F193" s="49" t="n">
        <v>0</v>
      </c>
      <c r="G193" s="50" t="n">
        <f aca="false">IF($A193="","",IF(ISNUMBER($G192),$G192+1,1))</f>
        <v>189</v>
      </c>
      <c r="H193" s="51" t="n">
        <f aca="false">IF(OR(NOT(ISNUMBER($G193)),$G193&lt;2,NOT(ISNUMBER($C192)),$C192=0),"",$C193/$C192-1)</f>
        <v>0.0176026823134954</v>
      </c>
      <c r="I193" s="52" t="n">
        <f aca="false">IF(AND(ISNUMBER($G193),$G193&gt;=MA_SHORT),AVERAGE(INDEX($C$5:$C193,190-MA_SHORT):$C193),"")</f>
        <v>4684.8</v>
      </c>
      <c r="J193" s="52" t="n">
        <f aca="false">IF(AND(ISNUMBER($G193),$G193&gt;=MA_MED),AVERAGE(INDEX($C$5:$C193,190-MA_MED):$C193),"")</f>
        <v>4587.98</v>
      </c>
      <c r="K193" s="52" t="str">
        <f aca="false">IF(AND(ISNUMBER($G193),$G193&gt;=MA_LONG2),AVERAGE(INDEX($C$5:$C193,190-MA_LONG2):$C193),"")</f>
        <v/>
      </c>
      <c r="L193" s="53" t="n">
        <f aca="false">IF(AND(ISNUMBER($G193),$G193&gt;=21),STDEV(INDEX($H$133:$H193,62-20):$H193)*SQRT(245),"")</f>
        <v>0.182278767235955</v>
      </c>
      <c r="M193" s="52" t="n">
        <f aca="false">IF(AND(ISNUMBER($G193),$G193&gt;=60),MAX(INDEX($D$5:$D193,190-60):$D193),"")</f>
        <v>4858</v>
      </c>
      <c r="N193" s="52" t="n">
        <f aca="false">IF(AND(ISNUMBER($G193),$G193&gt;=60),MIN(INDEX($E$5:$E193,190-60):$E193),"")</f>
        <v>3807</v>
      </c>
      <c r="O193" s="53" t="n">
        <f aca="false">IF(OR(NOT(ISNUMBER($C193)),NOT(ISNUMBER($M193)),$M193=0),"",$C193/$M193-1)</f>
        <v>-0.000411692054343327</v>
      </c>
    </row>
    <row r="194" customFormat="false" ht="15" hidden="false" customHeight="false" outlineLevel="0" collapsed="false">
      <c r="A194" s="47" t="n">
        <v>45833</v>
      </c>
      <c r="B194" s="48" t="s">
        <v>342</v>
      </c>
      <c r="C194" s="49" t="n">
        <v>4788</v>
      </c>
      <c r="D194" s="49" t="n">
        <v>4813</v>
      </c>
      <c r="E194" s="49" t="n">
        <v>4787</v>
      </c>
      <c r="F194" s="49" t="n">
        <v>0</v>
      </c>
      <c r="G194" s="50" t="n">
        <f aca="false">IF($A194="","",IF(ISNUMBER($G193),$G193+1,1))</f>
        <v>190</v>
      </c>
      <c r="H194" s="51" t="n">
        <f aca="false">IF(OR(NOT(ISNUMBER($G194)),$G194&lt;2,NOT(ISNUMBER($C193)),$C193=0),"",$C194/$C193-1)</f>
        <v>-0.014003294892916</v>
      </c>
      <c r="I194" s="52" t="n">
        <f aca="false">IF(AND(ISNUMBER($G194),$G194&gt;=MA_SHORT),AVERAGE(INDEX($C$5:$C194,191-MA_SHORT):$C194),"")</f>
        <v>4694.55</v>
      </c>
      <c r="J194" s="52" t="n">
        <f aca="false">IF(AND(ISNUMBER($G194),$G194&gt;=MA_MED),AVERAGE(INDEX($C$5:$C194,191-MA_MED):$C194),"")</f>
        <v>4597.72</v>
      </c>
      <c r="K194" s="52" t="str">
        <f aca="false">IF(AND(ISNUMBER($G194),$G194&gt;=MA_LONG2),AVERAGE(INDEX($C$5:$C194,191-MA_LONG2):$C194),"")</f>
        <v/>
      </c>
      <c r="L194" s="53" t="n">
        <f aca="false">IF(AND(ISNUMBER($G194),$G194&gt;=21),STDEV(INDEX($H$134:$H194,62-20):$H194)*SQRT(245),"")</f>
        <v>0.191588615750218</v>
      </c>
      <c r="M194" s="52" t="n">
        <f aca="false">IF(AND(ISNUMBER($G194),$G194&gt;=60),MAX(INDEX($D$5:$D194,191-60):$D194),"")</f>
        <v>4858</v>
      </c>
      <c r="N194" s="52" t="n">
        <f aca="false">IF(AND(ISNUMBER($G194),$G194&gt;=60),MIN(INDEX($E$5:$E194,191-60):$E194),"")</f>
        <v>3867</v>
      </c>
      <c r="O194" s="53" t="n">
        <f aca="false">IF(OR(NOT(ISNUMBER($C194)),NOT(ISNUMBER($M194)),$M194=0),"",$C194/$M194-1)</f>
        <v>-0.0144092219020173</v>
      </c>
    </row>
    <row r="195" customFormat="false" ht="15" hidden="false" customHeight="false" outlineLevel="0" collapsed="false">
      <c r="A195" s="47" t="n">
        <v>45836</v>
      </c>
      <c r="B195" s="48" t="s">
        <v>343</v>
      </c>
      <c r="C195" s="49" t="n">
        <v>4874</v>
      </c>
      <c r="D195" s="49" t="n">
        <v>4889</v>
      </c>
      <c r="E195" s="49" t="n">
        <v>4855</v>
      </c>
      <c r="F195" s="49" t="n">
        <v>0</v>
      </c>
      <c r="G195" s="50" t="n">
        <f aca="false">IF($A195="","",IF(ISNUMBER($G194),$G194+1,1))</f>
        <v>191</v>
      </c>
      <c r="H195" s="51" t="n">
        <f aca="false">IF(OR(NOT(ISNUMBER($G195)),$G195&lt;2,NOT(ISNUMBER($C194)),$C194=0),"",$C195/$C194-1)</f>
        <v>0.0179615705931495</v>
      </c>
      <c r="I195" s="52" t="n">
        <f aca="false">IF(AND(ISNUMBER($G195),$G195&gt;=MA_SHORT),AVERAGE(INDEX($C$5:$C195,192-MA_SHORT):$C195),"")</f>
        <v>4711.75</v>
      </c>
      <c r="J195" s="52" t="n">
        <f aca="false">IF(AND(ISNUMBER($G195),$G195&gt;=MA_MED),AVERAGE(INDEX($C$5:$C195,192-MA_MED):$C195),"")</f>
        <v>4608.64</v>
      </c>
      <c r="K195" s="52" t="str">
        <f aca="false">IF(AND(ISNUMBER($G195),$G195&gt;=MA_LONG2),AVERAGE(INDEX($C$5:$C195,192-MA_LONG2):$C195),"")</f>
        <v/>
      </c>
      <c r="L195" s="53" t="n">
        <f aca="false">IF(AND(ISNUMBER($G195),$G195&gt;=21),STDEV(INDEX($H$135:$H195,62-20):$H195)*SQRT(245),"")</f>
        <v>0.189828666583591</v>
      </c>
      <c r="M195" s="52" t="n">
        <f aca="false">IF(AND(ISNUMBER($G195),$G195&gt;=60),MAX(INDEX($D$5:$D195,192-60):$D195),"")</f>
        <v>4889</v>
      </c>
      <c r="N195" s="52" t="n">
        <f aca="false">IF(AND(ISNUMBER($G195),$G195&gt;=60),MIN(INDEX($E$5:$E195,192-60):$E195),"")</f>
        <v>3914</v>
      </c>
      <c r="O195" s="53" t="n">
        <f aca="false">IF(OR(NOT(ISNUMBER($C195)),NOT(ISNUMBER($M195)),$M195=0),"",$C195/$M195-1)</f>
        <v>-0.00306811208836166</v>
      </c>
    </row>
    <row r="196" customFormat="false" ht="15" hidden="false" customHeight="false" outlineLevel="0" collapsed="false">
      <c r="A196" s="47" t="n">
        <v>45837</v>
      </c>
      <c r="B196" s="48" t="s">
        <v>344</v>
      </c>
      <c r="C196" s="49" t="n">
        <v>4872</v>
      </c>
      <c r="D196" s="49" t="n">
        <v>4877</v>
      </c>
      <c r="E196" s="49" t="n">
        <v>4851</v>
      </c>
      <c r="F196" s="49" t="n">
        <v>0</v>
      </c>
      <c r="G196" s="50" t="n">
        <f aca="false">IF($A196="","",IF(ISNUMBER($G195),$G195+1,1))</f>
        <v>192</v>
      </c>
      <c r="H196" s="51" t="n">
        <f aca="false">IF(OR(NOT(ISNUMBER($G196)),$G196&lt;2,NOT(ISNUMBER($C195)),$C195=0),"",$C196/$C195-1)</f>
        <v>-0.000410340582683633</v>
      </c>
      <c r="I196" s="52" t="n">
        <f aca="false">IF(AND(ISNUMBER($G196),$G196&gt;=MA_SHORT),AVERAGE(INDEX($C$5:$C196,193-MA_SHORT):$C196),"")</f>
        <v>4725.65</v>
      </c>
      <c r="J196" s="52" t="n">
        <f aca="false">IF(AND(ISNUMBER($G196),$G196&gt;=MA_MED),AVERAGE(INDEX($C$5:$C196,193-MA_MED):$C196),"")</f>
        <v>4619.5</v>
      </c>
      <c r="K196" s="52" t="str">
        <f aca="false">IF(AND(ISNUMBER($G196),$G196&gt;=MA_LONG2),AVERAGE(INDEX($C$5:$C196,193-MA_LONG2):$C196),"")</f>
        <v/>
      </c>
      <c r="L196" s="53" t="n">
        <f aca="false">IF(AND(ISNUMBER($G196),$G196&gt;=21),STDEV(INDEX($H$136:$H196,62-20):$H196)*SQRT(245),"")</f>
        <v>0.186354051531272</v>
      </c>
      <c r="M196" s="52" t="n">
        <f aca="false">IF(AND(ISNUMBER($G196),$G196&gt;=60),MAX(INDEX($D$5:$D196,193-60):$D196),"")</f>
        <v>4889</v>
      </c>
      <c r="N196" s="52" t="n">
        <f aca="false">IF(AND(ISNUMBER($G196),$G196&gt;=60),MIN(INDEX($E$5:$E196,193-60):$E196),"")</f>
        <v>3914</v>
      </c>
      <c r="O196" s="53" t="n">
        <f aca="false">IF(OR(NOT(ISNUMBER($C196)),NOT(ISNUMBER($M196)),$M196=0),"",$C196/$M196-1)</f>
        <v>-0.00347719370014321</v>
      </c>
    </row>
    <row r="197" customFormat="false" ht="15" hidden="false" customHeight="false" outlineLevel="0" collapsed="false">
      <c r="A197" s="47" t="n">
        <v>45838</v>
      </c>
      <c r="B197" s="48" t="s">
        <v>345</v>
      </c>
      <c r="C197" s="49" t="n">
        <v>4912</v>
      </c>
      <c r="D197" s="49" t="n">
        <v>4915</v>
      </c>
      <c r="E197" s="49" t="n">
        <v>4894</v>
      </c>
      <c r="F197" s="49" t="n">
        <v>0</v>
      </c>
      <c r="G197" s="50" t="n">
        <f aca="false">IF($A197="","",IF(ISNUMBER($G196),$G196+1,1))</f>
        <v>193</v>
      </c>
      <c r="H197" s="51" t="n">
        <f aca="false">IF(OR(NOT(ISNUMBER($G197)),$G197&lt;2,NOT(ISNUMBER($C196)),$C196=0),"",$C197/$C196-1)</f>
        <v>0.00821018062397383</v>
      </c>
      <c r="I197" s="52" t="n">
        <f aca="false">IF(AND(ISNUMBER($G197),$G197&gt;=MA_SHORT),AVERAGE(INDEX($C$5:$C197,194-MA_SHORT):$C197),"")</f>
        <v>4739.3</v>
      </c>
      <c r="J197" s="52" t="n">
        <f aca="false">IF(AND(ISNUMBER($G197),$G197&gt;=MA_MED),AVERAGE(INDEX($C$5:$C197,194-MA_MED):$C197),"")</f>
        <v>4628.82</v>
      </c>
      <c r="K197" s="52" t="str">
        <f aca="false">IF(AND(ISNUMBER($G197),$G197&gt;=MA_LONG2),AVERAGE(INDEX($C$5:$C197,194-MA_LONG2):$C197),"")</f>
        <v/>
      </c>
      <c r="L197" s="53" t="n">
        <f aca="false">IF(AND(ISNUMBER($G197),$G197&gt;=21),STDEV(INDEX($H$137:$H197,62-20):$H197)*SQRT(245),"")</f>
        <v>0.185691104656871</v>
      </c>
      <c r="M197" s="52" t="n">
        <f aca="false">IF(AND(ISNUMBER($G197),$G197&gt;=60),MAX(INDEX($D$5:$D197,194-60):$D197),"")</f>
        <v>4915</v>
      </c>
      <c r="N197" s="52" t="n">
        <f aca="false">IF(AND(ISNUMBER($G197),$G197&gt;=60),MIN(INDEX($E$5:$E197,194-60):$E197),"")</f>
        <v>3932</v>
      </c>
      <c r="O197" s="53" t="n">
        <f aca="false">IF(OR(NOT(ISNUMBER($C197)),NOT(ISNUMBER($M197)),$M197=0),"",$C197/$M197-1)</f>
        <v>-0.000610376398779255</v>
      </c>
    </row>
    <row r="198" customFormat="false" ht="15" hidden="false" customHeight="false" outlineLevel="0" collapsed="false">
      <c r="A198" s="47" t="n">
        <v>45839</v>
      </c>
      <c r="B198" s="48" t="s">
        <v>346</v>
      </c>
      <c r="C198" s="49" t="n">
        <v>4863</v>
      </c>
      <c r="D198" s="49" t="n">
        <v>4875</v>
      </c>
      <c r="E198" s="49" t="n">
        <v>4855</v>
      </c>
      <c r="F198" s="49" t="n">
        <v>0</v>
      </c>
      <c r="G198" s="50" t="n">
        <f aca="false">IF($A198="","",IF(ISNUMBER($G197),$G197+1,1))</f>
        <v>194</v>
      </c>
      <c r="H198" s="51" t="n">
        <f aca="false">IF(OR(NOT(ISNUMBER($G198)),$G198&lt;2,NOT(ISNUMBER($C197)),$C197=0),"",$C198/$C197-1)</f>
        <v>-0.00997557003257332</v>
      </c>
      <c r="I198" s="52" t="n">
        <f aca="false">IF(AND(ISNUMBER($G198),$G198&gt;=MA_SHORT),AVERAGE(INDEX($C$5:$C198,195-MA_SHORT):$C198),"")</f>
        <v>4747.95</v>
      </c>
      <c r="J198" s="52" t="n">
        <f aca="false">IF(AND(ISNUMBER($G198),$G198&gt;=MA_MED),AVERAGE(INDEX($C$5:$C198,195-MA_MED):$C198),"")</f>
        <v>4638.14</v>
      </c>
      <c r="K198" s="52" t="str">
        <f aca="false">IF(AND(ISNUMBER($G198),$G198&gt;=MA_LONG2),AVERAGE(INDEX($C$5:$C198,195-MA_LONG2):$C198),"")</f>
        <v/>
      </c>
      <c r="L198" s="53" t="n">
        <f aca="false">IF(AND(ISNUMBER($G198),$G198&gt;=21),STDEV(INDEX($H$138:$H198,62-20):$H198)*SQRT(245),"")</f>
        <v>0.188432665767834</v>
      </c>
      <c r="M198" s="52" t="n">
        <f aca="false">IF(AND(ISNUMBER($G198),$G198&gt;=60),MAX(INDEX($D$5:$D198,195-60):$D198),"")</f>
        <v>4915</v>
      </c>
      <c r="N198" s="52" t="n">
        <f aca="false">IF(AND(ISNUMBER($G198),$G198&gt;=60),MIN(INDEX($E$5:$E198,195-60):$E198),"")</f>
        <v>4026</v>
      </c>
      <c r="O198" s="53" t="n">
        <f aca="false">IF(OR(NOT(ISNUMBER($C198)),NOT(ISNUMBER($M198)),$M198=0),"",$C198/$M198-1)</f>
        <v>-0.0105798575788403</v>
      </c>
    </row>
    <row r="199" customFormat="false" ht="15" hidden="false" customHeight="false" outlineLevel="0" collapsed="false">
      <c r="A199" s="47" t="n">
        <v>45840</v>
      </c>
      <c r="B199" s="48" t="s">
        <v>347</v>
      </c>
      <c r="C199" s="49" t="n">
        <v>4866</v>
      </c>
      <c r="D199" s="49" t="n">
        <v>4874</v>
      </c>
      <c r="E199" s="49" t="n">
        <v>4835</v>
      </c>
      <c r="F199" s="49" t="n">
        <v>0</v>
      </c>
      <c r="G199" s="50" t="n">
        <f aca="false">IF($A199="","",IF(ISNUMBER($G198),$G198+1,1))</f>
        <v>195</v>
      </c>
      <c r="H199" s="51" t="n">
        <f aca="false">IF(OR(NOT(ISNUMBER($G199)),$G199&lt;2,NOT(ISNUMBER($C198)),$C198=0),"",$C199/$C198-1)</f>
        <v>0.000616903146205994</v>
      </c>
      <c r="I199" s="52" t="n">
        <f aca="false">IF(AND(ISNUMBER($G199),$G199&gt;=MA_SHORT),AVERAGE(INDEX($C$5:$C199,196-MA_SHORT):$C199),"")</f>
        <v>4757</v>
      </c>
      <c r="J199" s="52" t="n">
        <f aca="false">IF(AND(ISNUMBER($G199),$G199&gt;=MA_MED),AVERAGE(INDEX($C$5:$C199,196-MA_MED):$C199),"")</f>
        <v>4647.64</v>
      </c>
      <c r="K199" s="52" t="str">
        <f aca="false">IF(AND(ISNUMBER($G199),$G199&gt;=MA_LONG2),AVERAGE(INDEX($C$5:$C199,196-MA_LONG2):$C199),"")</f>
        <v/>
      </c>
      <c r="L199" s="53" t="n">
        <f aca="false">IF(AND(ISNUMBER($G199),$G199&gt;=21),STDEV(INDEX($H$139:$H199,62-20):$H199)*SQRT(245),"")</f>
        <v>0.188185096988515</v>
      </c>
      <c r="M199" s="52" t="n">
        <f aca="false">IF(AND(ISNUMBER($G199),$G199&gt;=60),MAX(INDEX($D$5:$D199,196-60):$D199),"")</f>
        <v>4915</v>
      </c>
      <c r="N199" s="52" t="n">
        <f aca="false">IF(AND(ISNUMBER($G199),$G199&gt;=60),MIN(INDEX($E$5:$E199,196-60):$E199),"")</f>
        <v>4057</v>
      </c>
      <c r="O199" s="53" t="n">
        <f aca="false">IF(OR(NOT(ISNUMBER($C199)),NOT(ISNUMBER($M199)),$M199=0),"",$C199/$M199-1)</f>
        <v>-0.00996948118006102</v>
      </c>
    </row>
    <row r="200" customFormat="false" ht="15" hidden="false" customHeight="false" outlineLevel="0" collapsed="false">
      <c r="A200" s="47" t="n">
        <v>45843</v>
      </c>
      <c r="B200" s="48" t="s">
        <v>348</v>
      </c>
      <c r="C200" s="49" t="n">
        <v>4936</v>
      </c>
      <c r="D200" s="49" t="n">
        <v>4947</v>
      </c>
      <c r="E200" s="49" t="n">
        <v>4909</v>
      </c>
      <c r="F200" s="49" t="n">
        <v>0</v>
      </c>
      <c r="G200" s="50" t="n">
        <f aca="false">IF($A200="","",IF(ISNUMBER($G199),$G199+1,1))</f>
        <v>196</v>
      </c>
      <c r="H200" s="51" t="n">
        <f aca="false">IF(OR(NOT(ISNUMBER($G200)),$G200&lt;2,NOT(ISNUMBER($C199)),$C199=0),"",$C200/$C199-1)</f>
        <v>0.0143855322646937</v>
      </c>
      <c r="I200" s="52" t="n">
        <f aca="false">IF(AND(ISNUMBER($G200),$G200&gt;=MA_SHORT),AVERAGE(INDEX($C$5:$C200,197-MA_SHORT):$C200),"")</f>
        <v>4767.85</v>
      </c>
      <c r="J200" s="52" t="n">
        <f aca="false">IF(AND(ISNUMBER($G200),$G200&gt;=MA_MED),AVERAGE(INDEX($C$5:$C200,197-MA_MED):$C200),"")</f>
        <v>4657.48</v>
      </c>
      <c r="K200" s="52" t="str">
        <f aca="false">IF(AND(ISNUMBER($G200),$G200&gt;=MA_LONG2),AVERAGE(INDEX($C$5:$C200,197-MA_LONG2):$C200),"")</f>
        <v/>
      </c>
      <c r="L200" s="53" t="n">
        <f aca="false">IF(AND(ISNUMBER($G200),$G200&gt;=21),STDEV(INDEX($H$140:$H200,62-20):$H200)*SQRT(245),"")</f>
        <v>0.192376889095821</v>
      </c>
      <c r="M200" s="52" t="n">
        <f aca="false">IF(AND(ISNUMBER($G200),$G200&gt;=60),MAX(INDEX($D$5:$D200,197-60):$D200),"")</f>
        <v>4947</v>
      </c>
      <c r="N200" s="52" t="n">
        <f aca="false">IF(AND(ISNUMBER($G200),$G200&gt;=60),MIN(INDEX($E$5:$E200,197-60):$E200),"")</f>
        <v>4177</v>
      </c>
      <c r="O200" s="53" t="n">
        <f aca="false">IF(OR(NOT(ISNUMBER($C200)),NOT(ISNUMBER($M200)),$M200=0),"",$C200/$M200-1)</f>
        <v>-0.00222356984030725</v>
      </c>
    </row>
    <row r="201" customFormat="false" ht="15" hidden="false" customHeight="false" outlineLevel="0" collapsed="false">
      <c r="A201" s="47" t="n">
        <v>45844</v>
      </c>
      <c r="B201" s="48" t="s">
        <v>349</v>
      </c>
      <c r="C201" s="49" t="n">
        <v>4863</v>
      </c>
      <c r="D201" s="49" t="n">
        <v>4865</v>
      </c>
      <c r="E201" s="49" t="n">
        <v>4859</v>
      </c>
      <c r="F201" s="49" t="n">
        <v>0</v>
      </c>
      <c r="G201" s="50" t="n">
        <f aca="false">IF($A201="","",IF(ISNUMBER($G200),$G200+1,1))</f>
        <v>197</v>
      </c>
      <c r="H201" s="51" t="n">
        <f aca="false">IF(OR(NOT(ISNUMBER($G201)),$G201&lt;2,NOT(ISNUMBER($C200)),$C200=0),"",$C201/$C200-1)</f>
        <v>-0.0147893030794165</v>
      </c>
      <c r="I201" s="52" t="n">
        <f aca="false">IF(AND(ISNUMBER($G201),$G201&gt;=MA_SHORT),AVERAGE(INDEX($C$5:$C201,198-MA_SHORT):$C201),"")</f>
        <v>4774.8</v>
      </c>
      <c r="J201" s="52" t="n">
        <f aca="false">IF(AND(ISNUMBER($G201),$G201&gt;=MA_MED),AVERAGE(INDEX($C$5:$C201,198-MA_MED):$C201),"")</f>
        <v>4664.24</v>
      </c>
      <c r="K201" s="52" t="str">
        <f aca="false">IF(AND(ISNUMBER($G201),$G201&gt;=MA_LONG2),AVERAGE(INDEX($C$5:$C201,198-MA_LONG2):$C201),"")</f>
        <v/>
      </c>
      <c r="L201" s="53" t="n">
        <f aca="false">IF(AND(ISNUMBER($G201),$G201&gt;=21),STDEV(INDEX($H$141:$H201,62-20):$H201)*SQRT(245),"")</f>
        <v>0.201499210406272</v>
      </c>
      <c r="M201" s="52" t="n">
        <f aca="false">IF(AND(ISNUMBER($G201),$G201&gt;=60),MAX(INDEX($D$5:$D201,198-60):$D201),"")</f>
        <v>4947</v>
      </c>
      <c r="N201" s="52" t="n">
        <f aca="false">IF(AND(ISNUMBER($G201),$G201&gt;=60),MIN(INDEX($E$5:$E201,198-60):$E201),"")</f>
        <v>4208</v>
      </c>
      <c r="O201" s="53" t="n">
        <f aca="false">IF(OR(NOT(ISNUMBER($C201)),NOT(ISNUMBER($M201)),$M201=0),"",$C201/$M201-1)</f>
        <v>-0.0169799878714373</v>
      </c>
    </row>
    <row r="202" customFormat="false" ht="15" hidden="false" customHeight="false" outlineLevel="0" collapsed="false">
      <c r="A202" s="47" t="n">
        <v>45845</v>
      </c>
      <c r="B202" s="48" t="s">
        <v>350</v>
      </c>
      <c r="C202" s="49" t="n">
        <v>4872</v>
      </c>
      <c r="D202" s="49" t="n">
        <v>4881</v>
      </c>
      <c r="E202" s="49" t="n">
        <v>4868</v>
      </c>
      <c r="F202" s="49" t="n">
        <v>0</v>
      </c>
      <c r="G202" s="50" t="n">
        <f aca="false">IF($A202="","",IF(ISNUMBER($G201),$G201+1,1))</f>
        <v>198</v>
      </c>
      <c r="H202" s="51" t="n">
        <f aca="false">IF(OR(NOT(ISNUMBER($G202)),$G202&lt;2,NOT(ISNUMBER($C201)),$C201=0),"",$C202/$C201-1)</f>
        <v>0.0018507094386182</v>
      </c>
      <c r="I202" s="52" t="n">
        <f aca="false">IF(AND(ISNUMBER($G202),$G202&gt;=MA_SHORT),AVERAGE(INDEX($C$5:$C202,199-MA_SHORT):$C202),"")</f>
        <v>4779.6</v>
      </c>
      <c r="J202" s="52" t="n">
        <f aca="false">IF(AND(ISNUMBER($G202),$G202&gt;=MA_MED),AVERAGE(INDEX($C$5:$C202,199-MA_MED):$C202),"")</f>
        <v>4673.86</v>
      </c>
      <c r="K202" s="52" t="str">
        <f aca="false">IF(AND(ISNUMBER($G202),$G202&gt;=MA_LONG2),AVERAGE(INDEX($C$5:$C202,199-MA_LONG2):$C202),"")</f>
        <v/>
      </c>
      <c r="L202" s="53" t="n">
        <f aca="false">IF(AND(ISNUMBER($G202),$G202&gt;=21),STDEV(INDEX($H$142:$H202,62-20):$H202)*SQRT(245),"")</f>
        <v>0.198471247093806</v>
      </c>
      <c r="M202" s="52" t="n">
        <f aca="false">IF(AND(ISNUMBER($G202),$G202&gt;=60),MAX(INDEX($D$5:$D202,199-60):$D202),"")</f>
        <v>4947</v>
      </c>
      <c r="N202" s="52" t="n">
        <f aca="false">IF(AND(ISNUMBER($G202),$G202&gt;=60),MIN(INDEX($E$5:$E202,199-60):$E202),"")</f>
        <v>4235</v>
      </c>
      <c r="O202" s="53" t="n">
        <f aca="false">IF(OR(NOT(ISNUMBER($C202)),NOT(ISNUMBER($M202)),$M202=0),"",$C202/$M202-1)</f>
        <v>-0.0151607034566403</v>
      </c>
    </row>
    <row r="203" customFormat="false" ht="15" hidden="false" customHeight="false" outlineLevel="0" collapsed="false">
      <c r="A203" s="47" t="n">
        <v>45846</v>
      </c>
      <c r="B203" s="48" t="s">
        <v>351</v>
      </c>
      <c r="C203" s="49" t="n">
        <v>4915</v>
      </c>
      <c r="D203" s="49" t="n">
        <v>4943</v>
      </c>
      <c r="E203" s="49" t="n">
        <v>4886</v>
      </c>
      <c r="F203" s="49" t="n">
        <v>0</v>
      </c>
      <c r="G203" s="50" t="n">
        <f aca="false">IF($A203="","",IF(ISNUMBER($G202),$G202+1,1))</f>
        <v>199</v>
      </c>
      <c r="H203" s="51" t="n">
        <f aca="false">IF(OR(NOT(ISNUMBER($G203)),$G203&lt;2,NOT(ISNUMBER($C202)),$C202=0),"",$C203/$C202-1)</f>
        <v>0.00882594417077165</v>
      </c>
      <c r="I203" s="52" t="n">
        <f aca="false">IF(AND(ISNUMBER($G203),$G203&gt;=MA_SHORT),AVERAGE(INDEX($C$5:$C203,200-MA_SHORT):$C203),"")</f>
        <v>4787.8</v>
      </c>
      <c r="J203" s="52" t="n">
        <f aca="false">IF(AND(ISNUMBER($G203),$G203&gt;=MA_MED),AVERAGE(INDEX($C$5:$C203,200-MA_MED):$C203),"")</f>
        <v>4683.34</v>
      </c>
      <c r="K203" s="52" t="str">
        <f aca="false">IF(AND(ISNUMBER($G203),$G203&gt;=MA_LONG2),AVERAGE(INDEX($C$5:$C203,200-MA_LONG2):$C203),"")</f>
        <v/>
      </c>
      <c r="L203" s="53" t="n">
        <f aca="false">IF(AND(ISNUMBER($G203),$G203&gt;=21),STDEV(INDEX($H$143:$H203,62-20):$H203)*SQRT(245),"")</f>
        <v>0.198811171902302</v>
      </c>
      <c r="M203" s="52" t="n">
        <f aca="false">IF(AND(ISNUMBER($G203),$G203&gt;=60),MAX(INDEX($D$5:$D203,200-60):$D203),"")</f>
        <v>4947</v>
      </c>
      <c r="N203" s="52" t="n">
        <f aca="false">IF(AND(ISNUMBER($G203),$G203&gt;=60),MIN(INDEX($E$5:$E203,200-60):$E203),"")</f>
        <v>4292</v>
      </c>
      <c r="O203" s="53" t="n">
        <f aca="false">IF(OR(NOT(ISNUMBER($C203)),NOT(ISNUMBER($M203)),$M203=0),"",$C203/$M203-1)</f>
        <v>-0.00646856680816654</v>
      </c>
    </row>
    <row r="204" customFormat="false" ht="15" hidden="false" customHeight="false" outlineLevel="0" collapsed="false">
      <c r="A204" s="47" t="n">
        <v>45847</v>
      </c>
      <c r="B204" s="48" t="s">
        <v>352</v>
      </c>
      <c r="C204" s="49" t="n">
        <v>4896</v>
      </c>
      <c r="D204" s="49" t="n">
        <v>4900</v>
      </c>
      <c r="E204" s="49" t="n">
        <v>4870</v>
      </c>
      <c r="F204" s="49" t="n">
        <v>0</v>
      </c>
      <c r="G204" s="50" t="n">
        <f aca="false">IF($A204="","",IF(ISNUMBER($G203),$G203+1,1))</f>
        <v>200</v>
      </c>
      <c r="H204" s="51" t="n">
        <f aca="false">IF(OR(NOT(ISNUMBER($G204)),$G204&lt;2,NOT(ISNUMBER($C203)),$C203=0),"",$C204/$C203-1)</f>
        <v>-0.00386571719226858</v>
      </c>
      <c r="I204" s="52" t="n">
        <f aca="false">IF(AND(ISNUMBER($G204),$G204&gt;=MA_SHORT),AVERAGE(INDEX($C$5:$C204,201-MA_SHORT):$C204),"")</f>
        <v>4800.55</v>
      </c>
      <c r="J204" s="52" t="n">
        <f aca="false">IF(AND(ISNUMBER($G204),$G204&gt;=MA_MED),AVERAGE(INDEX($C$5:$C204,201-MA_MED):$C204),"")</f>
        <v>4692.1</v>
      </c>
      <c r="K204" s="52" t="n">
        <f aca="false">IF(AND(ISNUMBER($G204),$G204&gt;=MA_LONG2),AVERAGE(INDEX($C$5:$C204,201-MA_LONG2):$C204),"")</f>
        <v>3754.545</v>
      </c>
      <c r="L204" s="53" t="n">
        <f aca="false">IF(AND(ISNUMBER($G204),$G204&gt;=21),STDEV(INDEX($H$144:$H204,62-20):$H204)*SQRT(245),"")</f>
        <v>0.177998732399363</v>
      </c>
      <c r="M204" s="52" t="n">
        <f aca="false">IF(AND(ISNUMBER($G204),$G204&gt;=60),MAX(INDEX($D$5:$D204,201-60):$D204),"")</f>
        <v>4947</v>
      </c>
      <c r="N204" s="52" t="n">
        <f aca="false">IF(AND(ISNUMBER($G204),$G204&gt;=60),MIN(INDEX($E$5:$E204,201-60):$E204),"")</f>
        <v>4312</v>
      </c>
      <c r="O204" s="53" t="n">
        <f aca="false">IF(OR(NOT(ISNUMBER($C204)),NOT(ISNUMBER($M204)),$M204=0),"",$C204/$M204-1)</f>
        <v>-0.0103092783505154</v>
      </c>
    </row>
    <row r="205" customFormat="false" ht="15" hidden="false" customHeight="false" outlineLevel="0" collapsed="false">
      <c r="A205" s="47" t="n">
        <v>45850</v>
      </c>
      <c r="B205" s="48" t="s">
        <v>353</v>
      </c>
      <c r="C205" s="49" t="n">
        <v>4874</v>
      </c>
      <c r="D205" s="49" t="n">
        <v>4887</v>
      </c>
      <c r="E205" s="49" t="n">
        <v>4844</v>
      </c>
      <c r="F205" s="49" t="n">
        <v>0</v>
      </c>
      <c r="G205" s="50" t="n">
        <f aca="false">IF($A205="","",IF(ISNUMBER($G204),$G204+1,1))</f>
        <v>201</v>
      </c>
      <c r="H205" s="51" t="n">
        <f aca="false">IF(OR(NOT(ISNUMBER($G205)),$G205&lt;2,NOT(ISNUMBER($C204)),$C204=0),"",$C205/$C204-1)</f>
        <v>-0.00449346405228757</v>
      </c>
      <c r="I205" s="52" t="n">
        <f aca="false">IF(AND(ISNUMBER($G205),$G205&gt;=MA_SHORT),AVERAGE(INDEX($C$5:$C205,202-MA_SHORT):$C205),"")</f>
        <v>4813.95</v>
      </c>
      <c r="J205" s="52" t="n">
        <f aca="false">IF(AND(ISNUMBER($G205),$G205&gt;=MA_MED),AVERAGE(INDEX($C$5:$C205,202-MA_MED):$C205),"")</f>
        <v>4701.3</v>
      </c>
      <c r="K205" s="52" t="n">
        <f aca="false">IF(AND(ISNUMBER($G205),$G205&gt;=MA_LONG2),AVERAGE(INDEX($C$5:$C205,202-MA_LONG2):$C205),"")</f>
        <v>3762.08</v>
      </c>
      <c r="L205" s="53" t="n">
        <f aca="false">IF(AND(ISNUMBER($G205),$G205&gt;=21),STDEV(INDEX($H$145:$H205,62-20):$H205)*SQRT(245),"")</f>
        <v>0.176037576880814</v>
      </c>
      <c r="M205" s="52" t="n">
        <f aca="false">IF(AND(ISNUMBER($G205),$G205&gt;=60),MAX(INDEX($D$5:$D205,202-60):$D205),"")</f>
        <v>4947</v>
      </c>
      <c r="N205" s="52" t="n">
        <f aca="false">IF(AND(ISNUMBER($G205),$G205&gt;=60),MIN(INDEX($E$5:$E205,202-60):$E205),"")</f>
        <v>4324</v>
      </c>
      <c r="O205" s="53" t="n">
        <f aca="false">IF(OR(NOT(ISNUMBER($C205)),NOT(ISNUMBER($M205)),$M205=0),"",$C205/$M205-1)</f>
        <v>-0.0147564180311299</v>
      </c>
    </row>
    <row r="206" customFormat="false" ht="15" hidden="false" customHeight="false" outlineLevel="0" collapsed="false">
      <c r="A206" s="47" t="n">
        <v>45851</v>
      </c>
      <c r="B206" s="48" t="s">
        <v>354</v>
      </c>
      <c r="C206" s="49" t="n">
        <v>4937</v>
      </c>
      <c r="D206" s="49" t="n">
        <v>4938</v>
      </c>
      <c r="E206" s="49" t="n">
        <v>4932</v>
      </c>
      <c r="F206" s="49" t="n">
        <v>0</v>
      </c>
      <c r="G206" s="50" t="n">
        <f aca="false">IF($A206="","",IF(ISNUMBER($G205),$G205+1,1))</f>
        <v>202</v>
      </c>
      <c r="H206" s="51" t="n">
        <f aca="false">IF(OR(NOT(ISNUMBER($G206)),$G206&lt;2,NOT(ISNUMBER($C205)),$C205=0),"",$C206/$C205-1)</f>
        <v>0.0129257283545343</v>
      </c>
      <c r="I206" s="52" t="n">
        <f aca="false">IF(AND(ISNUMBER($G206),$G206&gt;=MA_SHORT),AVERAGE(INDEX($C$5:$C206,203-MA_SHORT):$C206),"")</f>
        <v>4832.75</v>
      </c>
      <c r="J206" s="52" t="n">
        <f aca="false">IF(AND(ISNUMBER($G206),$G206&gt;=MA_MED),AVERAGE(INDEX($C$5:$C206,203-MA_MED):$C206),"")</f>
        <v>4712.78</v>
      </c>
      <c r="K206" s="52" t="n">
        <f aca="false">IF(AND(ISNUMBER($G206),$G206&gt;=MA_LONG2),AVERAGE(INDEX($C$5:$C206,203-MA_LONG2):$C206),"")</f>
        <v>3769.72</v>
      </c>
      <c r="L206" s="53" t="n">
        <f aca="false">IF(AND(ISNUMBER($G206),$G206&gt;=21),STDEV(INDEX($H$146:$H206,62-20):$H206)*SQRT(245),"")</f>
        <v>0.172882181617637</v>
      </c>
      <c r="M206" s="52" t="n">
        <f aca="false">IF(AND(ISNUMBER($G206),$G206&gt;=60),MAX(INDEX($D$6:$D206,202-60):$D206),"")</f>
        <v>4947</v>
      </c>
      <c r="N206" s="52" t="n">
        <f aca="false">IF(AND(ISNUMBER($G206),$G206&gt;=60),MIN(INDEX($E$6:$E206,202-60):$E206),"")</f>
        <v>4350</v>
      </c>
      <c r="O206" s="53" t="n">
        <f aca="false">IF(OR(NOT(ISNUMBER($C206)),NOT(ISNUMBER($M206)),$M206=0),"",$C206/$M206-1)</f>
        <v>-0.00202142712755204</v>
      </c>
    </row>
    <row r="207" customFormat="false" ht="15" hidden="false" customHeight="false" outlineLevel="0" collapsed="false">
      <c r="A207" s="47" t="n">
        <v>45852</v>
      </c>
      <c r="B207" s="48" t="s">
        <v>355</v>
      </c>
      <c r="C207" s="49" t="n">
        <v>4987</v>
      </c>
      <c r="D207" s="49" t="n">
        <v>4999</v>
      </c>
      <c r="E207" s="49" t="n">
        <v>4945</v>
      </c>
      <c r="F207" s="49" t="n">
        <v>0</v>
      </c>
      <c r="G207" s="50" t="n">
        <f aca="false">IF($A207="","",IF(ISNUMBER($G206),$G206+1,1))</f>
        <v>203</v>
      </c>
      <c r="H207" s="51" t="n">
        <f aca="false">IF(OR(NOT(ISNUMBER($G207)),$G207&lt;2,NOT(ISNUMBER($C206)),$C206=0),"",$C207/$C206-1)</f>
        <v>0.0101276078590238</v>
      </c>
      <c r="I207" s="52" t="n">
        <f aca="false">IF(AND(ISNUMBER($G207),$G207&gt;=MA_SHORT),AVERAGE(INDEX($C$5:$C207,204-MA_SHORT):$C207),"")</f>
        <v>4853</v>
      </c>
      <c r="J207" s="52" t="n">
        <f aca="false">IF(AND(ISNUMBER($G207),$G207&gt;=MA_MED),AVERAGE(INDEX($C$5:$C207,204-MA_MED):$C207),"")</f>
        <v>4723.98</v>
      </c>
      <c r="K207" s="52" t="n">
        <f aca="false">IF(AND(ISNUMBER($G207),$G207&gt;=MA_LONG2),AVERAGE(INDEX($C$5:$C207,204-MA_LONG2):$C207),"")</f>
        <v>3777.845</v>
      </c>
      <c r="L207" s="53" t="n">
        <f aca="false">IF(AND(ISNUMBER($G207),$G207&gt;=21),STDEV(INDEX($H$147:$H207,62-20):$H207)*SQRT(245),"")</f>
        <v>0.174196108136742</v>
      </c>
      <c r="M207" s="52" t="n">
        <f aca="false">IF(AND(ISNUMBER($G207),$G207&gt;=60),MAX(INDEX($D$7:$D207,202-60):$D207),"")</f>
        <v>4999</v>
      </c>
      <c r="N207" s="52" t="n">
        <f aca="false">IF(AND(ISNUMBER($G207),$G207&gt;=60),MIN(INDEX($E$7:$E207,202-60):$E207),"")</f>
        <v>4350</v>
      </c>
      <c r="O207" s="53" t="n">
        <f aca="false">IF(OR(NOT(ISNUMBER($C207)),NOT(ISNUMBER($M207)),$M207=0),"",$C207/$M207-1)</f>
        <v>-0.00240048009601923</v>
      </c>
    </row>
    <row r="208" customFormat="false" ht="15" hidden="false" customHeight="false" outlineLevel="0" collapsed="false">
      <c r="A208" s="47" t="n">
        <v>45853</v>
      </c>
      <c r="B208" s="48" t="s">
        <v>356</v>
      </c>
      <c r="C208" s="49" t="n">
        <v>4884</v>
      </c>
      <c r="D208" s="49" t="n">
        <v>4889</v>
      </c>
      <c r="E208" s="49" t="n">
        <v>4869</v>
      </c>
      <c r="F208" s="49" t="n">
        <v>0</v>
      </c>
      <c r="G208" s="50" t="n">
        <f aca="false">IF($A208="","",IF(ISNUMBER($G207),$G207+1,1))</f>
        <v>204</v>
      </c>
      <c r="H208" s="51" t="n">
        <f aca="false">IF(OR(NOT(ISNUMBER($G208)),$G208&lt;2,NOT(ISNUMBER($C207)),$C207=0),"",$C208/$C207-1)</f>
        <v>-0.0206536996190094</v>
      </c>
      <c r="I208" s="52" t="n">
        <f aca="false">IF(AND(ISNUMBER($G208),$G208&gt;=MA_SHORT),AVERAGE(INDEX($C$5:$C208,205-MA_SHORT):$C208),"")</f>
        <v>4865.35</v>
      </c>
      <c r="J208" s="52" t="n">
        <f aca="false">IF(AND(ISNUMBER($G208),$G208&gt;=MA_MED),AVERAGE(INDEX($C$5:$C208,205-MA_MED):$C208),"")</f>
        <v>4731.82</v>
      </c>
      <c r="K208" s="52" t="n">
        <f aca="false">IF(AND(ISNUMBER($G208),$G208&gt;=MA_LONG2),AVERAGE(INDEX($C$5:$C208,205-MA_LONG2):$C208),"")</f>
        <v>3785.41</v>
      </c>
      <c r="L208" s="53" t="n">
        <f aca="false">IF(AND(ISNUMBER($G208),$G208&gt;=21),STDEV(INDEX($H$148:$H208,62-20):$H208)*SQRT(245),"")</f>
        <v>0.192153484040667</v>
      </c>
      <c r="M208" s="52" t="n">
        <f aca="false">IF(AND(ISNUMBER($G208),$G208&gt;=60),MAX(INDEX($D$8:$D208,202-60):$D208),"")</f>
        <v>4999</v>
      </c>
      <c r="N208" s="52" t="n">
        <f aca="false">IF(AND(ISNUMBER($G208),$G208&gt;=60),MIN(INDEX($E$8:$E208,202-60):$E208),"")</f>
        <v>4350</v>
      </c>
      <c r="O208" s="53" t="n">
        <f aca="false">IF(OR(NOT(ISNUMBER($C208)),NOT(ISNUMBER($M208)),$M208=0),"",$C208/$M208-1)</f>
        <v>-0.0230046009201841</v>
      </c>
    </row>
    <row r="209" customFormat="false" ht="15" hidden="false" customHeight="false" outlineLevel="0" collapsed="false">
      <c r="A209" s="47" t="n">
        <v>45854</v>
      </c>
      <c r="B209" s="48" t="s">
        <v>357</v>
      </c>
      <c r="C209" s="49" t="n">
        <v>4862</v>
      </c>
      <c r="D209" s="49" t="n">
        <v>4875</v>
      </c>
      <c r="E209" s="49" t="n">
        <v>4858</v>
      </c>
      <c r="F209" s="49" t="n">
        <v>0</v>
      </c>
      <c r="G209" s="50" t="n">
        <f aca="false">IF($A209="","",IF(ISNUMBER($G208),$G208+1,1))</f>
        <v>205</v>
      </c>
      <c r="H209" s="51" t="n">
        <f aca="false">IF(OR(NOT(ISNUMBER($G209)),$G209&lt;2,NOT(ISNUMBER($C208)),$C208=0),"",$C209/$C208-1)</f>
        <v>-0.00450450450450446</v>
      </c>
      <c r="I209" s="52" t="n">
        <f aca="false">IF(AND(ISNUMBER($G209),$G209&gt;=MA_SHORT),AVERAGE(INDEX($C$5:$C209,206-MA_SHORT):$C209),"")</f>
        <v>4870.55</v>
      </c>
      <c r="J209" s="52" t="n">
        <f aca="false">IF(AND(ISNUMBER($G209),$G209&gt;=MA_MED),AVERAGE(INDEX($C$5:$C209,206-MA_MED):$C209),"")</f>
        <v>4739.92</v>
      </c>
      <c r="K209" s="52" t="n">
        <f aca="false">IF(AND(ISNUMBER($G209),$G209&gt;=MA_LONG2),AVERAGE(INDEX($C$5:$C209,206-MA_LONG2):$C209),"")</f>
        <v>3793.205</v>
      </c>
      <c r="L209" s="53" t="n">
        <f aca="false">IF(AND(ISNUMBER($G209),$G209&gt;=21),STDEV(INDEX($H$149:$H209,62-20):$H209)*SQRT(245),"")</f>
        <v>0.172937429485254</v>
      </c>
      <c r="M209" s="52" t="n">
        <f aca="false">IF(AND(ISNUMBER($G209),$G209&gt;=60),MAX(INDEX($D$9:$D209,202-60):$D209),"")</f>
        <v>4999</v>
      </c>
      <c r="N209" s="52" t="n">
        <f aca="false">IF(AND(ISNUMBER($G209),$G209&gt;=60),MIN(INDEX($E$9:$E209,202-60):$E209),"")</f>
        <v>4350</v>
      </c>
      <c r="O209" s="53" t="n">
        <f aca="false">IF(OR(NOT(ISNUMBER($C209)),NOT(ISNUMBER($M209)),$M209=0),"",$C209/$M209-1)</f>
        <v>-0.0274054810962192</v>
      </c>
    </row>
    <row r="210" customFormat="false" ht="15" hidden="false" customHeight="false" outlineLevel="0" collapsed="false">
      <c r="A210" s="47" t="n">
        <v>45857</v>
      </c>
      <c r="B210" s="48" t="s">
        <v>358</v>
      </c>
      <c r="C210" s="49" t="n">
        <v>4866</v>
      </c>
      <c r="D210" s="49" t="n">
        <v>4891</v>
      </c>
      <c r="E210" s="49" t="n">
        <v>4802</v>
      </c>
      <c r="F210" s="49" t="n">
        <v>0</v>
      </c>
      <c r="G210" s="50" t="n">
        <f aca="false">IF($A210="","",IF(ISNUMBER($G209),$G209+1,1))</f>
        <v>206</v>
      </c>
      <c r="H210" s="51" t="n">
        <f aca="false">IF(OR(NOT(ISNUMBER($G210)),$G210&lt;2,NOT(ISNUMBER($C209)),$C209=0),"",$C210/$C209-1)</f>
        <v>0.000822706705059684</v>
      </c>
      <c r="I210" s="52" t="n">
        <f aca="false">IF(AND(ISNUMBER($G210),$G210&gt;=MA_SHORT),AVERAGE(INDEX($C$5:$C210,207-MA_SHORT):$C210),"")</f>
        <v>4873.9</v>
      </c>
      <c r="J210" s="52" t="n">
        <f aca="false">IF(AND(ISNUMBER($G210),$G210&gt;=MA_MED),AVERAGE(INDEX($C$5:$C210,207-MA_MED):$C210),"")</f>
        <v>4746.8</v>
      </c>
      <c r="K210" s="52" t="n">
        <f aca="false">IF(AND(ISNUMBER($G210),$G210&gt;=MA_LONG2),AVERAGE(INDEX($C$5:$C210,207-MA_LONG2):$C210),"")</f>
        <v>3800.95</v>
      </c>
      <c r="L210" s="53" t="n">
        <f aca="false">IF(AND(ISNUMBER($G210),$G210&gt;=21),STDEV(INDEX($H$150:$H210,62-20):$H210)*SQRT(245),"")</f>
        <v>0.170729392387825</v>
      </c>
      <c r="M210" s="52" t="n">
        <f aca="false">IF(AND(ISNUMBER($G210),$G210&gt;=60),MAX(INDEX($D$10:$D210,202-60):$D210),"")</f>
        <v>4999</v>
      </c>
      <c r="N210" s="52" t="n">
        <f aca="false">IF(AND(ISNUMBER($G210),$G210&gt;=60),MIN(INDEX($E$10:$E210,202-60):$E210),"")</f>
        <v>4350</v>
      </c>
      <c r="O210" s="53" t="n">
        <f aca="false">IF(OR(NOT(ISNUMBER($C210)),NOT(ISNUMBER($M210)),$M210=0),"",$C210/$M210-1)</f>
        <v>-0.0266053210642129</v>
      </c>
    </row>
    <row r="211" customFormat="false" ht="15" hidden="false" customHeight="false" outlineLevel="0" collapsed="false">
      <c r="A211" s="47" t="n">
        <v>45858</v>
      </c>
      <c r="B211" s="48" t="s">
        <v>359</v>
      </c>
      <c r="C211" s="49" t="n">
        <v>4885</v>
      </c>
      <c r="D211" s="49" t="n">
        <v>4904</v>
      </c>
      <c r="E211" s="49" t="n">
        <v>4864</v>
      </c>
      <c r="F211" s="49" t="n">
        <v>0</v>
      </c>
      <c r="G211" s="50" t="n">
        <f aca="false">IF($A211="","",IF(ISNUMBER($G210),$G210+1,1))</f>
        <v>207</v>
      </c>
      <c r="H211" s="51" t="n">
        <f aca="false">IF(OR(NOT(ISNUMBER($G211)),$G211&lt;2,NOT(ISNUMBER($C210)),$C210=0),"",$C211/$C210-1)</f>
        <v>0.00390464447184535</v>
      </c>
      <c r="I211" s="52" t="n">
        <f aca="false">IF(AND(ISNUMBER($G211),$G211&gt;=MA_SHORT),AVERAGE(INDEX($C$5:$C211,208-MA_SHORT):$C211),"")</f>
        <v>4879</v>
      </c>
      <c r="J211" s="52" t="n">
        <f aca="false">IF(AND(ISNUMBER($G211),$G211&gt;=MA_MED),AVERAGE(INDEX($C$5:$C211,208-MA_MED):$C211),"")</f>
        <v>4752.96</v>
      </c>
      <c r="K211" s="52" t="n">
        <f aca="false">IF(AND(ISNUMBER($G211),$G211&gt;=MA_LONG2),AVERAGE(INDEX($C$5:$C211,208-MA_LONG2):$C211),"")</f>
        <v>3808.845</v>
      </c>
      <c r="L211" s="53" t="n">
        <f aca="false">IF(AND(ISNUMBER($G211),$G211&gt;=21),STDEV(INDEX($H$151:$H211,62-20):$H211)*SQRT(245),"")</f>
        <v>0.170376038393299</v>
      </c>
      <c r="M211" s="52" t="n">
        <f aca="false">IF(AND(ISNUMBER($G211),$G211&gt;=60),MAX(INDEX($D$11:$D211,202-60):$D211),"")</f>
        <v>4999</v>
      </c>
      <c r="N211" s="52" t="n">
        <f aca="false">IF(AND(ISNUMBER($G211),$G211&gt;=60),MIN(INDEX($E$11:$E211,202-60):$E211),"")</f>
        <v>4350</v>
      </c>
      <c r="O211" s="53" t="n">
        <f aca="false">IF(OR(NOT(ISNUMBER($C211)),NOT(ISNUMBER($M211)),$M211=0),"",$C211/$M211-1)</f>
        <v>-0.0228045609121824</v>
      </c>
    </row>
    <row r="212" customFormat="false" ht="15" hidden="false" customHeight="false" outlineLevel="0" collapsed="false">
      <c r="A212" s="47" t="n">
        <v>45859</v>
      </c>
      <c r="B212" s="48" t="s">
        <v>360</v>
      </c>
      <c r="C212" s="49" t="n">
        <v>4960</v>
      </c>
      <c r="D212" s="49" t="n">
        <v>4994</v>
      </c>
      <c r="E212" s="49" t="n">
        <v>4940</v>
      </c>
      <c r="F212" s="49" t="n">
        <v>0</v>
      </c>
      <c r="G212" s="50" t="n">
        <f aca="false">IF($A212="","",IF(ISNUMBER($G211),$G211+1,1))</f>
        <v>208</v>
      </c>
      <c r="H212" s="51" t="n">
        <f aca="false">IF(OR(NOT(ISNUMBER($G212)),$G212&lt;2,NOT(ISNUMBER($C211)),$C211=0),"",$C212/$C211-1)</f>
        <v>0.0153531218014329</v>
      </c>
      <c r="I212" s="52" t="n">
        <f aca="false">IF(AND(ISNUMBER($G212),$G212&gt;=MA_SHORT),AVERAGE(INDEX($C$5:$C212,209-MA_SHORT):$C212),"")</f>
        <v>4888.4</v>
      </c>
      <c r="J212" s="52" t="n">
        <f aca="false">IF(AND(ISNUMBER($G212),$G212&gt;=MA_MED),AVERAGE(INDEX($C$5:$C212,209-MA_MED):$C212),"")</f>
        <v>4759.52</v>
      </c>
      <c r="K212" s="52" t="n">
        <f aca="false">IF(AND(ISNUMBER($G212),$G212&gt;=MA_LONG2),AVERAGE(INDEX($C$5:$C212,209-MA_LONG2):$C212),"")</f>
        <v>3817.12</v>
      </c>
      <c r="L212" s="53" t="n">
        <f aca="false">IF(AND(ISNUMBER($G212),$G212&gt;=21),STDEV(INDEX($H$152:$H212,62-20):$H212)*SQRT(245),"")</f>
        <v>0.176895977379554</v>
      </c>
      <c r="M212" s="52" t="n">
        <f aca="false">IF(AND(ISNUMBER($G212),$G212&gt;=60),MAX(INDEX($D$12:$D212,202-60):$D212),"")</f>
        <v>4999</v>
      </c>
      <c r="N212" s="52" t="n">
        <f aca="false">IF(AND(ISNUMBER($G212),$G212&gt;=60),MIN(INDEX($E$12:$E212,202-60):$E212),"")</f>
        <v>4350</v>
      </c>
      <c r="O212" s="53" t="n">
        <f aca="false">IF(OR(NOT(ISNUMBER($C212)),NOT(ISNUMBER($M212)),$M212=0),"",$C212/$M212-1)</f>
        <v>-0.00780156031206236</v>
      </c>
    </row>
    <row r="213" customFormat="false" ht="15" hidden="false" customHeight="false" outlineLevel="0" collapsed="false">
      <c r="A213" s="47" t="n">
        <v>45860</v>
      </c>
      <c r="B213" s="48" t="s">
        <v>361</v>
      </c>
      <c r="C213" s="49" t="n">
        <v>5012</v>
      </c>
      <c r="D213" s="49" t="n">
        <v>5017</v>
      </c>
      <c r="E213" s="49" t="n">
        <v>4992</v>
      </c>
      <c r="F213" s="49" t="n">
        <v>0</v>
      </c>
      <c r="G213" s="50" t="n">
        <f aca="false">IF($A213="","",IF(ISNUMBER($G212),$G212+1,1))</f>
        <v>209</v>
      </c>
      <c r="H213" s="51" t="n">
        <f aca="false">IF(OR(NOT(ISNUMBER($G213)),$G213&lt;2,NOT(ISNUMBER($C212)),$C212=0),"",$C213/$C212-1)</f>
        <v>0.0104838709677419</v>
      </c>
      <c r="I213" s="52" t="n">
        <f aca="false">IF(AND(ISNUMBER($G213),$G213&gt;=MA_SHORT),AVERAGE(INDEX($C$5:$C213,210-MA_SHORT):$C213),"")</f>
        <v>4896.2</v>
      </c>
      <c r="J213" s="52" t="n">
        <f aca="false">IF(AND(ISNUMBER($G213),$G213&gt;=MA_MED),AVERAGE(INDEX($C$5:$C213,210-MA_MED):$C213),"")</f>
        <v>4767</v>
      </c>
      <c r="K213" s="52" t="n">
        <f aca="false">IF(AND(ISNUMBER($G213),$G213&gt;=MA_LONG2),AVERAGE(INDEX($C$5:$C213,210-MA_LONG2):$C213),"")</f>
        <v>3825.92</v>
      </c>
      <c r="L213" s="53" t="n">
        <f aca="false">IF(AND(ISNUMBER($G213),$G213&gt;=21),STDEV(INDEX($H$153:$H213,62-20):$H213)*SQRT(245),"")</f>
        <v>0.170433232319444</v>
      </c>
      <c r="M213" s="52" t="n">
        <f aca="false">IF(AND(ISNUMBER($G213),$G213&gt;=60),MAX(INDEX($D$13:$D213,202-60):$D213),"")</f>
        <v>5017</v>
      </c>
      <c r="N213" s="52" t="n">
        <f aca="false">IF(AND(ISNUMBER($G213),$G213&gt;=60),MIN(INDEX($E$13:$E213,202-60):$E213),"")</f>
        <v>4350</v>
      </c>
      <c r="O213" s="53" t="n">
        <f aca="false">IF(OR(NOT(ISNUMBER($C213)),NOT(ISNUMBER($M213)),$M213=0),"",$C213/$M213-1)</f>
        <v>-0.000996611520829194</v>
      </c>
    </row>
    <row r="214" customFormat="false" ht="15" hidden="false" customHeight="false" outlineLevel="0" collapsed="false">
      <c r="A214" s="47" t="n">
        <v>45861</v>
      </c>
      <c r="B214" s="48" t="s">
        <v>362</v>
      </c>
      <c r="C214" s="49" t="n">
        <v>5077</v>
      </c>
      <c r="D214" s="49" t="n">
        <v>5096</v>
      </c>
      <c r="E214" s="49" t="n">
        <v>5069</v>
      </c>
      <c r="F214" s="49" t="n">
        <v>0</v>
      </c>
      <c r="G214" s="50" t="n">
        <f aca="false">IF($A214="","",IF(ISNUMBER($G213),$G213+1,1))</f>
        <v>210</v>
      </c>
      <c r="H214" s="51" t="n">
        <f aca="false">IF(OR(NOT(ISNUMBER($G214)),$G214&lt;2,NOT(ISNUMBER($C213)),$C213=0),"",$C214/$C213-1)</f>
        <v>0.0129688747007182</v>
      </c>
      <c r="I214" s="52" t="n">
        <f aca="false">IF(AND(ISNUMBER($G214),$G214&gt;=MA_SHORT),AVERAGE(INDEX($C$5:$C214,211-MA_SHORT):$C214),"")</f>
        <v>4910.65</v>
      </c>
      <c r="J214" s="52" t="n">
        <f aca="false">IF(AND(ISNUMBER($G214),$G214&gt;=MA_MED),AVERAGE(INDEX($C$5:$C214,211-MA_MED):$C214),"")</f>
        <v>4775.86</v>
      </c>
      <c r="K214" s="52" t="n">
        <f aca="false">IF(AND(ISNUMBER($G214),$G214&gt;=MA_LONG2),AVERAGE(INDEX($C$5:$C214,211-MA_LONG2):$C214),"")</f>
        <v>3834.985</v>
      </c>
      <c r="L214" s="53" t="n">
        <f aca="false">IF(AND(ISNUMBER($G214),$G214&gt;=21),STDEV(INDEX($H$154:$H214,62-20):$H214)*SQRT(245),"")</f>
        <v>0.164556503534354</v>
      </c>
      <c r="M214" s="52" t="n">
        <f aca="false">IF(AND(ISNUMBER($G214),$G214&gt;=60),MAX(INDEX($D$14:$D214,202-60):$D214),"")</f>
        <v>5096</v>
      </c>
      <c r="N214" s="52" t="n">
        <f aca="false">IF(AND(ISNUMBER($G214),$G214&gt;=60),MIN(INDEX($E$14:$E214,202-60):$E214),"")</f>
        <v>4350</v>
      </c>
      <c r="O214" s="53" t="n">
        <f aca="false">IF(OR(NOT(ISNUMBER($C214)),NOT(ISNUMBER($M214)),$M214=0),"",$C214/$M214-1)</f>
        <v>-0.00372841444270011</v>
      </c>
    </row>
    <row r="215" customFormat="false" ht="15" hidden="false" customHeight="false" outlineLevel="0" collapsed="false">
      <c r="A215" s="47" t="n">
        <v>45864</v>
      </c>
      <c r="B215" s="48" t="s">
        <v>363</v>
      </c>
      <c r="C215" s="49" t="n">
        <v>5123</v>
      </c>
      <c r="D215" s="49" t="n">
        <v>5159</v>
      </c>
      <c r="E215" s="49" t="n">
        <v>5091</v>
      </c>
      <c r="F215" s="49" t="n">
        <v>0</v>
      </c>
      <c r="G215" s="50" t="n">
        <f aca="false">IF($A215="","",IF(ISNUMBER($G214),$G214+1,1))</f>
        <v>211</v>
      </c>
      <c r="H215" s="51" t="n">
        <f aca="false">IF(OR(NOT(ISNUMBER($G215)),$G215&lt;2,NOT(ISNUMBER($C214)),$C214=0),"",$C215/$C214-1)</f>
        <v>0.00906046878077604</v>
      </c>
      <c r="I215" s="52" t="n">
        <f aca="false">IF(AND(ISNUMBER($G215),$G215&gt;=MA_SHORT),AVERAGE(INDEX($C$5:$C215,212-MA_SHORT):$C215),"")</f>
        <v>4923.1</v>
      </c>
      <c r="J215" s="52" t="n">
        <f aca="false">IF(AND(ISNUMBER($G215),$G215&gt;=MA_MED),AVERAGE(INDEX($C$5:$C215,212-MA_MED):$C215),"")</f>
        <v>4784.28</v>
      </c>
      <c r="K215" s="52" t="n">
        <f aca="false">IF(AND(ISNUMBER($G215),$G215&gt;=MA_LONG2),AVERAGE(INDEX($C$5:$C215,212-MA_LONG2):$C215),"")</f>
        <v>3844.17</v>
      </c>
      <c r="L215" s="53" t="n">
        <f aca="false">IF(AND(ISNUMBER($G215),$G215&gt;=21),STDEV(INDEX($H$155:$H215,62-20):$H215)*SQRT(245),"")</f>
        <v>0.156882048509462</v>
      </c>
      <c r="M215" s="52" t="n">
        <f aca="false">IF(AND(ISNUMBER($G215),$G215&gt;=60),MAX(INDEX($D$15:$D215,202-60):$D215),"")</f>
        <v>5159</v>
      </c>
      <c r="N215" s="52" t="n">
        <f aca="false">IF(AND(ISNUMBER($G215),$G215&gt;=60),MIN(INDEX($E$15:$E215,202-60):$E215),"")</f>
        <v>4350</v>
      </c>
      <c r="O215" s="53" t="n">
        <f aca="false">IF(OR(NOT(ISNUMBER($C215)),NOT(ISNUMBER($M215)),$M215=0),"",$C215/$M215-1)</f>
        <v>-0.00697809653033532</v>
      </c>
    </row>
    <row r="216" customFormat="false" ht="15" hidden="false" customHeight="false" outlineLevel="0" collapsed="false">
      <c r="A216" s="47" t="n">
        <v>45865</v>
      </c>
      <c r="B216" s="48" t="s">
        <v>364</v>
      </c>
      <c r="C216" s="49" t="n">
        <v>5199</v>
      </c>
      <c r="D216" s="49" t="n">
        <v>5227</v>
      </c>
      <c r="E216" s="49" t="n">
        <v>5180</v>
      </c>
      <c r="F216" s="49" t="n">
        <v>0</v>
      </c>
      <c r="G216" s="50" t="n">
        <f aca="false">IF($A216="","",IF(ISNUMBER($G215),$G215+1,1))</f>
        <v>212</v>
      </c>
      <c r="H216" s="51" t="n">
        <f aca="false">IF(OR(NOT(ISNUMBER($G216)),$G216&lt;2,NOT(ISNUMBER($C215)),$C215=0),"",$C216/$C215-1)</f>
        <v>0.0148350575834473</v>
      </c>
      <c r="I216" s="52" t="n">
        <f aca="false">IF(AND(ISNUMBER($G216),$G216&gt;=MA_SHORT),AVERAGE(INDEX($C$5:$C216,213-MA_SHORT):$C216),"")</f>
        <v>4939.45</v>
      </c>
      <c r="J216" s="52" t="n">
        <f aca="false">IF(AND(ISNUMBER($G216),$G216&gt;=MA_MED),AVERAGE(INDEX($C$5:$C216,213-MA_MED):$C216),"")</f>
        <v>4794.92</v>
      </c>
      <c r="K216" s="52" t="n">
        <f aca="false">IF(AND(ISNUMBER($G216),$G216&gt;=MA_LONG2),AVERAGE(INDEX($C$5:$C216,213-MA_LONG2):$C216),"")</f>
        <v>3853.885</v>
      </c>
      <c r="L216" s="53" t="n">
        <f aca="false">IF(AND(ISNUMBER($G216),$G216&gt;=21),STDEV(INDEX($H$156:$H216,62-20):$H216)*SQRT(245),"")</f>
        <v>0.162167512012406</v>
      </c>
      <c r="M216" s="52" t="n">
        <f aca="false">IF(AND(ISNUMBER($G216),$G216&gt;=60),MAX(INDEX($D$16:$D216,202-60):$D216),"")</f>
        <v>5227</v>
      </c>
      <c r="N216" s="52" t="n">
        <f aca="false">IF(AND(ISNUMBER($G216),$G216&gt;=60),MIN(INDEX($E$16:$E216,202-60):$E216),"")</f>
        <v>4426</v>
      </c>
      <c r="O216" s="53" t="n">
        <f aca="false">IF(OR(NOT(ISNUMBER($C216)),NOT(ISNUMBER($M216)),$M216=0),"",$C216/$M216-1)</f>
        <v>-0.00535680122441173</v>
      </c>
    </row>
    <row r="217" customFormat="false" ht="15" hidden="false" customHeight="false" outlineLevel="0" collapsed="false">
      <c r="A217" s="47" t="n">
        <v>45866</v>
      </c>
      <c r="B217" s="48" t="s">
        <v>365</v>
      </c>
      <c r="C217" s="49" t="n">
        <v>5143</v>
      </c>
      <c r="D217" s="49" t="n">
        <v>5175</v>
      </c>
      <c r="E217" s="49" t="n">
        <v>5140</v>
      </c>
      <c r="F217" s="49" t="n">
        <v>0</v>
      </c>
      <c r="G217" s="50" t="n">
        <f aca="false">IF($A217="","",IF(ISNUMBER($G216),$G216+1,1))</f>
        <v>213</v>
      </c>
      <c r="H217" s="51" t="n">
        <f aca="false">IF(OR(NOT(ISNUMBER($G217)),$G217&lt;2,NOT(ISNUMBER($C216)),$C216=0),"",$C217/$C216-1)</f>
        <v>-0.0107713021734949</v>
      </c>
      <c r="I217" s="52" t="n">
        <f aca="false">IF(AND(ISNUMBER($G217),$G217&gt;=MA_SHORT),AVERAGE(INDEX($C$5:$C217,214-MA_SHORT):$C217),"")</f>
        <v>4951</v>
      </c>
      <c r="J217" s="52" t="n">
        <f aca="false">IF(AND(ISNUMBER($G217),$G217&gt;=MA_MED),AVERAGE(INDEX($C$5:$C217,214-MA_MED):$C217),"")</f>
        <v>4805.04</v>
      </c>
      <c r="K217" s="52" t="n">
        <f aca="false">IF(AND(ISNUMBER($G217),$G217&gt;=MA_LONG2),AVERAGE(INDEX($C$5:$C217,214-MA_LONG2):$C217),"")</f>
        <v>3863.73</v>
      </c>
      <c r="L217" s="53" t="n">
        <f aca="false">IF(AND(ISNUMBER($G217),$G217&gt;=21),STDEV(INDEX($H$157:$H217,62-20):$H217)*SQRT(245),"")</f>
        <v>0.168257164414328</v>
      </c>
      <c r="M217" s="52" t="n">
        <f aca="false">IF(AND(ISNUMBER($G217),$G217&gt;=60),MAX(INDEX($D$17:$D217,202-60):$D217),"")</f>
        <v>5227</v>
      </c>
      <c r="N217" s="52" t="n">
        <f aca="false">IF(AND(ISNUMBER($G217),$G217&gt;=60),MIN(INDEX($E$17:$E217,202-60):$E217),"")</f>
        <v>4448</v>
      </c>
      <c r="O217" s="53" t="n">
        <f aca="false">IF(OR(NOT(ISNUMBER($C217)),NOT(ISNUMBER($M217)),$M217=0),"",$C217/$M217-1)</f>
        <v>-0.0160704036732351</v>
      </c>
    </row>
    <row r="218" customFormat="false" ht="15" hidden="false" customHeight="false" outlineLevel="0" collapsed="false">
      <c r="A218" s="47" t="n">
        <v>45867</v>
      </c>
      <c r="B218" s="48" t="s">
        <v>366</v>
      </c>
      <c r="C218" s="49" t="n">
        <v>5028</v>
      </c>
      <c r="D218" s="49" t="n">
        <v>5037</v>
      </c>
      <c r="E218" s="49" t="n">
        <v>5020</v>
      </c>
      <c r="F218" s="49" t="n">
        <v>0</v>
      </c>
      <c r="G218" s="50" t="n">
        <f aca="false">IF($A218="","",IF(ISNUMBER($G217),$G217+1,1))</f>
        <v>214</v>
      </c>
      <c r="H218" s="51" t="n">
        <f aca="false">IF(OR(NOT(ISNUMBER($G218)),$G218&lt;2,NOT(ISNUMBER($C217)),$C217=0),"",$C218/$C217-1)</f>
        <v>-0.0223604899863893</v>
      </c>
      <c r="I218" s="52" t="n">
        <f aca="false">IF(AND(ISNUMBER($G218),$G218&gt;=MA_SHORT),AVERAGE(INDEX($C$5:$C218,215-MA_SHORT):$C218),"")</f>
        <v>4959.25</v>
      </c>
      <c r="J218" s="52" t="n">
        <f aca="false">IF(AND(ISNUMBER($G218),$G218&gt;=MA_MED),AVERAGE(INDEX($C$5:$C218,215-MA_MED):$C218),"")</f>
        <v>4812.28</v>
      </c>
      <c r="K218" s="52" t="n">
        <f aca="false">IF(AND(ISNUMBER($G218),$G218&gt;=MA_LONG2),AVERAGE(INDEX($C$5:$C218,215-MA_LONG2):$C218),"")</f>
        <v>3873.07</v>
      </c>
      <c r="L218" s="53" t="n">
        <f aca="false">IF(AND(ISNUMBER($G218),$G218&gt;=21),STDEV(INDEX($H$158:$H218,62-20):$H218)*SQRT(245),"")</f>
        <v>0.184737563674871</v>
      </c>
      <c r="M218" s="52" t="n">
        <f aca="false">IF(AND(ISNUMBER($G218),$G218&gt;=60),MAX(INDEX($D$18:$D218,202-60):$D218),"")</f>
        <v>5227</v>
      </c>
      <c r="N218" s="52" t="n">
        <f aca="false">IF(AND(ISNUMBER($G218),$G218&gt;=60),MIN(INDEX($E$18:$E218,202-60):$E218),"")</f>
        <v>4448</v>
      </c>
      <c r="O218" s="53" t="n">
        <f aca="false">IF(OR(NOT(ISNUMBER($C218)),NOT(ISNUMBER($M218)),$M218=0),"",$C218/$M218-1)</f>
        <v>-0.0380715515592118</v>
      </c>
    </row>
    <row r="219" customFormat="false" ht="15" hidden="false" customHeight="false" outlineLevel="0" collapsed="false">
      <c r="A219" s="47" t="n">
        <v>45868</v>
      </c>
      <c r="B219" s="48" t="s">
        <v>367</v>
      </c>
      <c r="C219" s="49" t="n">
        <v>5046</v>
      </c>
      <c r="D219" s="49" t="n">
        <v>5082</v>
      </c>
      <c r="E219" s="49" t="n">
        <v>5020</v>
      </c>
      <c r="F219" s="49" t="n">
        <v>0</v>
      </c>
      <c r="G219" s="50" t="n">
        <f aca="false">IF($A219="","",IF(ISNUMBER($G218),$G218+1,1))</f>
        <v>215</v>
      </c>
      <c r="H219" s="51" t="n">
        <f aca="false">IF(OR(NOT(ISNUMBER($G219)),$G219&lt;2,NOT(ISNUMBER($C218)),$C218=0),"",$C219/$C218-1)</f>
        <v>0.00357995226730301</v>
      </c>
      <c r="I219" s="52" t="n">
        <f aca="false">IF(AND(ISNUMBER($G219),$G219&gt;=MA_SHORT),AVERAGE(INDEX($C$5:$C219,216-MA_SHORT):$C219),"")</f>
        <v>4968.25</v>
      </c>
      <c r="J219" s="52" t="n">
        <f aca="false">IF(AND(ISNUMBER($G219),$G219&gt;=MA_MED),AVERAGE(INDEX($C$5:$C219,216-MA_MED):$C219),"")</f>
        <v>4819.1</v>
      </c>
      <c r="K219" s="52" t="n">
        <f aca="false">IF(AND(ISNUMBER($G219),$G219&gt;=MA_LONG2),AVERAGE(INDEX($C$5:$C219,216-MA_LONG2):$C219),"")</f>
        <v>3882.335</v>
      </c>
      <c r="L219" s="53" t="n">
        <f aca="false">IF(AND(ISNUMBER($G219),$G219&gt;=21),STDEV(INDEX($H$159:$H219,62-20):$H219)*SQRT(245),"")</f>
        <v>0.184797163592727</v>
      </c>
      <c r="M219" s="52" t="n">
        <f aca="false">IF(AND(ISNUMBER($G219),$G219&gt;=60),MAX(INDEX($D$19:$D219,202-60):$D219),"")</f>
        <v>5227</v>
      </c>
      <c r="N219" s="52" t="n">
        <f aca="false">IF(AND(ISNUMBER($G219),$G219&gt;=60),MIN(INDEX($E$19:$E219,202-60):$E219),"")</f>
        <v>4501</v>
      </c>
      <c r="O219" s="53" t="n">
        <f aca="false">IF(OR(NOT(ISNUMBER($C219)),NOT(ISNUMBER($M219)),$M219=0),"",$C219/$M219-1)</f>
        <v>-0.0346278936292328</v>
      </c>
    </row>
    <row r="220" customFormat="false" ht="15" hidden="false" customHeight="false" outlineLevel="0" collapsed="false">
      <c r="A220" s="47" t="n">
        <v>45871</v>
      </c>
      <c r="B220" s="48" t="s">
        <v>368</v>
      </c>
      <c r="C220" s="49" t="n">
        <v>5124</v>
      </c>
      <c r="D220" s="49" t="n">
        <v>5128</v>
      </c>
      <c r="E220" s="49" t="n">
        <v>5123</v>
      </c>
      <c r="F220" s="49" t="n">
        <v>0</v>
      </c>
      <c r="G220" s="50" t="n">
        <f aca="false">IF($A220="","",IF(ISNUMBER($G219),$G219+1,1))</f>
        <v>216</v>
      </c>
      <c r="H220" s="51" t="n">
        <f aca="false">IF(OR(NOT(ISNUMBER($G220)),$G220&lt;2,NOT(ISNUMBER($C219)),$C219=0),"",$C220/$C219-1)</f>
        <v>0.0154577883472058</v>
      </c>
      <c r="I220" s="52" t="n">
        <f aca="false">IF(AND(ISNUMBER($G220),$G220&gt;=MA_SHORT),AVERAGE(INDEX($C$5:$C220,217-MA_SHORT):$C220),"")</f>
        <v>4977.65</v>
      </c>
      <c r="J220" s="52" t="n">
        <f aca="false">IF(AND(ISNUMBER($G220),$G220&gt;=MA_MED),AVERAGE(INDEX($C$5:$C220,217-MA_MED):$C220),"")</f>
        <v>4826.78</v>
      </c>
      <c r="K220" s="52" t="n">
        <f aca="false">IF(AND(ISNUMBER($G220),$G220&gt;=MA_LONG2),AVERAGE(INDEX($C$5:$C220,217-MA_LONG2):$C220),"")</f>
        <v>3892.035</v>
      </c>
      <c r="L220" s="53" t="n">
        <f aca="false">IF(AND(ISNUMBER($G220),$G220&gt;=21),STDEV(INDEX($H$160:$H220,62-20):$H220)*SQRT(245),"")</f>
        <v>0.185768059255827</v>
      </c>
      <c r="M220" s="52" t="n">
        <f aca="false">IF(AND(ISNUMBER($G220),$G220&gt;=60),MAX(INDEX($D$20:$D220,202-60):$D220),"")</f>
        <v>5227</v>
      </c>
      <c r="N220" s="52" t="n">
        <f aca="false">IF(AND(ISNUMBER($G220),$G220&gt;=60),MIN(INDEX($E$20:$E220,202-60):$E220),"")</f>
        <v>4501</v>
      </c>
      <c r="O220" s="53" t="n">
        <f aca="false">IF(OR(NOT(ISNUMBER($C220)),NOT(ISNUMBER($M220)),$M220=0),"",$C220/$M220-1)</f>
        <v>-0.0197053759326573</v>
      </c>
    </row>
    <row r="221" customFormat="false" ht="15" hidden="false" customHeight="false" outlineLevel="0" collapsed="false">
      <c r="A221" s="47" t="n">
        <v>45872</v>
      </c>
      <c r="B221" s="48" t="s">
        <v>369</v>
      </c>
      <c r="C221" s="49" t="n">
        <v>5118</v>
      </c>
      <c r="D221" s="49" t="n">
        <v>5151</v>
      </c>
      <c r="E221" s="49" t="n">
        <v>5114</v>
      </c>
      <c r="F221" s="49" t="n">
        <v>0</v>
      </c>
      <c r="G221" s="50" t="n">
        <f aca="false">IF($A221="","",IF(ISNUMBER($G220),$G220+1,1))</f>
        <v>217</v>
      </c>
      <c r="H221" s="51" t="n">
        <f aca="false">IF(OR(NOT(ISNUMBER($G221)),$G221&lt;2,NOT(ISNUMBER($C220)),$C220=0),"",$C221/$C220-1)</f>
        <v>-0.00117096018735363</v>
      </c>
      <c r="I221" s="52" t="n">
        <f aca="false">IF(AND(ISNUMBER($G221),$G221&gt;=MA_SHORT),AVERAGE(INDEX($C$5:$C221,218-MA_SHORT):$C221),"")</f>
        <v>4990.4</v>
      </c>
      <c r="J221" s="52" t="n">
        <f aca="false">IF(AND(ISNUMBER($G221),$G221&gt;=MA_MED),AVERAGE(INDEX($C$5:$C221,218-MA_MED):$C221),"")</f>
        <v>4834.3</v>
      </c>
      <c r="K221" s="52" t="n">
        <f aca="false">IF(AND(ISNUMBER($G221),$G221&gt;=MA_LONG2),AVERAGE(INDEX($C$5:$C221,218-MA_LONG2):$C221),"")</f>
        <v>3901.68</v>
      </c>
      <c r="L221" s="53" t="n">
        <f aca="false">IF(AND(ISNUMBER($G221),$G221&gt;=21),STDEV(INDEX($H$161:$H221,62-20):$H221)*SQRT(245),"")</f>
        <v>0.175803551317181</v>
      </c>
      <c r="M221" s="52" t="n">
        <f aca="false">IF(AND(ISNUMBER($G221),$G221&gt;=60),MAX(INDEX($D$21:$D221,202-60):$D221),"")</f>
        <v>5227</v>
      </c>
      <c r="N221" s="52" t="n">
        <f aca="false">IF(AND(ISNUMBER($G221),$G221&gt;=60),MIN(INDEX($E$21:$E221,202-60):$E221),"")</f>
        <v>4501</v>
      </c>
      <c r="O221" s="53" t="n">
        <f aca="false">IF(OR(NOT(ISNUMBER($C221)),NOT(ISNUMBER($M221)),$M221=0),"",$C221/$M221-1)</f>
        <v>-0.020853261909317</v>
      </c>
    </row>
    <row r="222" customFormat="false" ht="15" hidden="false" customHeight="false" outlineLevel="0" collapsed="false">
      <c r="A222" s="47" t="n">
        <v>45873</v>
      </c>
      <c r="B222" s="48" t="s">
        <v>370</v>
      </c>
      <c r="C222" s="49" t="n">
        <v>5061</v>
      </c>
      <c r="D222" s="49" t="n">
        <v>5074</v>
      </c>
      <c r="E222" s="49" t="n">
        <v>5030</v>
      </c>
      <c r="F222" s="49" t="n">
        <v>0</v>
      </c>
      <c r="G222" s="50" t="n">
        <f aca="false">IF($A222="","",IF(ISNUMBER($G221),$G221+1,1))</f>
        <v>218</v>
      </c>
      <c r="H222" s="51" t="n">
        <f aca="false">IF(OR(NOT(ISNUMBER($G222)),$G222&lt;2,NOT(ISNUMBER($C221)),$C221=0),"",$C222/$C221-1)</f>
        <v>-0.011137162954279</v>
      </c>
      <c r="I222" s="52" t="n">
        <f aca="false">IF(AND(ISNUMBER($G222),$G222&gt;=MA_SHORT),AVERAGE(INDEX($C$5:$C222,219-MA_SHORT):$C222),"")</f>
        <v>4999.85</v>
      </c>
      <c r="J222" s="52" t="n">
        <f aca="false">IF(AND(ISNUMBER($G222),$G222&gt;=MA_MED),AVERAGE(INDEX($C$5:$C222,219-MA_MED):$C222),"")</f>
        <v>4842.16</v>
      </c>
      <c r="K222" s="52" t="n">
        <f aca="false">IF(AND(ISNUMBER($G222),$G222&gt;=MA_LONG2),AVERAGE(INDEX($C$5:$C222,219-MA_LONG2):$C222),"")</f>
        <v>3911.135</v>
      </c>
      <c r="L222" s="53" t="n">
        <f aca="false">IF(AND(ISNUMBER($G222),$G222&gt;=21),STDEV(INDEX($H$162:$H222,62-20):$H222)*SQRT(245),"")</f>
        <v>0.18229250041183</v>
      </c>
      <c r="M222" s="52" t="n">
        <f aca="false">IF(AND(ISNUMBER($G222),$G222&gt;=60),MAX(INDEX($D$22:$D222,202-60):$D222),"")</f>
        <v>5227</v>
      </c>
      <c r="N222" s="52" t="n">
        <f aca="false">IF(AND(ISNUMBER($G222),$G222&gt;=60),MIN(INDEX($E$22:$E222,202-60):$E222),"")</f>
        <v>4501</v>
      </c>
      <c r="O222" s="53" t="n">
        <f aca="false">IF(OR(NOT(ISNUMBER($C222)),NOT(ISNUMBER($M222)),$M222=0),"",$C222/$M222-1)</f>
        <v>-0.0317581786875837</v>
      </c>
    </row>
    <row r="223" customFormat="false" ht="15" hidden="false" customHeight="false" outlineLevel="0" collapsed="false">
      <c r="A223" s="47" t="n">
        <v>45874</v>
      </c>
      <c r="B223" s="48" t="s">
        <v>371</v>
      </c>
      <c r="C223" s="49" t="n">
        <v>5069</v>
      </c>
      <c r="D223" s="49" t="n">
        <v>5079</v>
      </c>
      <c r="E223" s="49" t="n">
        <v>5053</v>
      </c>
      <c r="F223" s="49" t="n">
        <v>0</v>
      </c>
      <c r="G223" s="50" t="n">
        <f aca="false">IF($A223="","",IF(ISNUMBER($G222),$G222+1,1))</f>
        <v>219</v>
      </c>
      <c r="H223" s="51" t="n">
        <f aca="false">IF(OR(NOT(ISNUMBER($G223)),$G223&lt;2,NOT(ISNUMBER($C222)),$C222=0),"",$C223/$C222-1)</f>
        <v>0.00158071527366133</v>
      </c>
      <c r="I223" s="52" t="n">
        <f aca="false">IF(AND(ISNUMBER($G223),$G223&gt;=MA_SHORT),AVERAGE(INDEX($C$5:$C223,220-MA_SHORT):$C223),"")</f>
        <v>5007.55</v>
      </c>
      <c r="J223" s="52" t="n">
        <f aca="false">IF(AND(ISNUMBER($G223),$G223&gt;=MA_MED),AVERAGE(INDEX($C$5:$C223,220-MA_MED):$C223),"")</f>
        <v>4852.16</v>
      </c>
      <c r="K223" s="52" t="n">
        <f aca="false">IF(AND(ISNUMBER($G223),$G223&gt;=MA_LONG2),AVERAGE(INDEX($C$5:$C223,220-MA_LONG2):$C223),"")</f>
        <v>3920.355</v>
      </c>
      <c r="L223" s="53" t="n">
        <f aca="false">IF(AND(ISNUMBER($G223),$G223&gt;=21),STDEV(INDEX($H$163:$H223,62-20):$H223)*SQRT(245),"")</f>
        <v>0.180533802442112</v>
      </c>
      <c r="M223" s="52" t="n">
        <f aca="false">IF(AND(ISNUMBER($G223),$G223&gt;=60),MAX(INDEX($D$23:$D223,202-60):$D223),"")</f>
        <v>5227</v>
      </c>
      <c r="N223" s="52" t="n">
        <f aca="false">IF(AND(ISNUMBER($G223),$G223&gt;=60),MIN(INDEX($E$23:$E223,202-60):$E223),"")</f>
        <v>4501</v>
      </c>
      <c r="O223" s="53" t="n">
        <f aca="false">IF(OR(NOT(ISNUMBER($C223)),NOT(ISNUMBER($M223)),$M223=0),"",$C223/$M223-1)</f>
        <v>-0.0302276640520375</v>
      </c>
    </row>
    <row r="224" customFormat="false" ht="15" hidden="false" customHeight="false" outlineLevel="0" collapsed="false">
      <c r="A224" s="47" t="n">
        <v>45875</v>
      </c>
      <c r="B224" s="48" t="s">
        <v>372</v>
      </c>
      <c r="C224" s="49" t="n">
        <v>5095</v>
      </c>
      <c r="D224" s="49" t="n">
        <v>5097</v>
      </c>
      <c r="E224" s="49" t="n">
        <v>5080</v>
      </c>
      <c r="F224" s="49" t="n">
        <v>0</v>
      </c>
      <c r="G224" s="50" t="n">
        <f aca="false">IF($A224="","",IF(ISNUMBER($G223),$G223+1,1))</f>
        <v>220</v>
      </c>
      <c r="H224" s="51" t="n">
        <f aca="false">IF(OR(NOT(ISNUMBER($G224)),$G224&lt;2,NOT(ISNUMBER($C223)),$C223=0),"",$C224/$C223-1)</f>
        <v>0.00512921680804901</v>
      </c>
      <c r="I224" s="52" t="n">
        <f aca="false">IF(AND(ISNUMBER($G224),$G224&gt;=MA_SHORT),AVERAGE(INDEX($C$5:$C224,221-MA_SHORT):$C224),"")</f>
        <v>5017.5</v>
      </c>
      <c r="J224" s="52" t="n">
        <f aca="false">IF(AND(ISNUMBER($G224),$G224&gt;=MA_MED),AVERAGE(INDEX($C$5:$C224,221-MA_MED):$C224),"")</f>
        <v>4862.2</v>
      </c>
      <c r="K224" s="52" t="n">
        <f aca="false">IF(AND(ISNUMBER($G224),$G224&gt;=MA_LONG2),AVERAGE(INDEX($C$5:$C224,221-MA_LONG2):$C224),"")</f>
        <v>3929.53</v>
      </c>
      <c r="L224" s="53" t="n">
        <f aca="false">IF(AND(ISNUMBER($G224),$G224&gt;=21),STDEV(INDEX($H$164:$H224,62-20):$H224)*SQRT(245),"")</f>
        <v>0.179761002696661</v>
      </c>
      <c r="M224" s="52" t="n">
        <f aca="false">IF(AND(ISNUMBER($G224),$G224&gt;=60),MAX(INDEX($D$24:$D224,202-60):$D224),"")</f>
        <v>5227</v>
      </c>
      <c r="N224" s="52" t="n">
        <f aca="false">IF(AND(ISNUMBER($G224),$G224&gt;=60),MIN(INDEX($E$24:$E224,202-60):$E224),"")</f>
        <v>4501</v>
      </c>
      <c r="O224" s="53" t="n">
        <f aca="false">IF(OR(NOT(ISNUMBER($C224)),NOT(ISNUMBER($M224)),$M224=0),"",$C224/$M224-1)</f>
        <v>-0.0252534914865123</v>
      </c>
    </row>
    <row r="225" customFormat="false" ht="15" hidden="false" customHeight="false" outlineLevel="0" collapsed="false">
      <c r="A225" s="47" t="n">
        <v>45878</v>
      </c>
      <c r="B225" s="48" t="s">
        <v>373</v>
      </c>
      <c r="C225" s="49" t="n">
        <v>5148</v>
      </c>
      <c r="D225" s="49" t="n">
        <v>5174</v>
      </c>
      <c r="E225" s="49" t="n">
        <v>5132</v>
      </c>
      <c r="F225" s="49" t="n">
        <v>0</v>
      </c>
      <c r="G225" s="50" t="n">
        <f aca="false">IF($A225="","",IF(ISNUMBER($G224),$G224+1,1))</f>
        <v>221</v>
      </c>
      <c r="H225" s="51" t="n">
        <f aca="false">IF(OR(NOT(ISNUMBER($G225)),$G225&lt;2,NOT(ISNUMBER($C224)),$C224=0),"",$C225/$C224-1)</f>
        <v>0.0104023552502452</v>
      </c>
      <c r="I225" s="52" t="n">
        <f aca="false">IF(AND(ISNUMBER($G225),$G225&gt;=MA_SHORT),AVERAGE(INDEX($C$5:$C225,222-MA_SHORT):$C225),"")</f>
        <v>5031.2</v>
      </c>
      <c r="J225" s="52" t="n">
        <f aca="false">IF(AND(ISNUMBER($G225),$G225&gt;=MA_MED),AVERAGE(INDEX($C$5:$C225,222-MA_MED):$C225),"")</f>
        <v>4874.56</v>
      </c>
      <c r="K225" s="52" t="n">
        <f aca="false">IF(AND(ISNUMBER($G225),$G225&gt;=MA_LONG2),AVERAGE(INDEX($C$5:$C225,222-MA_LONG2):$C225),"")</f>
        <v>3938.97</v>
      </c>
      <c r="L225" s="53" t="n">
        <f aca="false">IF(AND(ISNUMBER($G225),$G225&gt;=21),STDEV(INDEX($H$165:$H225,62-20):$H225)*SQRT(245),"")</f>
        <v>0.180321252319699</v>
      </c>
      <c r="M225" s="52" t="n">
        <f aca="false">IF(AND(ISNUMBER($G225),$G225&gt;=60),MAX(INDEX($D$25:$D225,202-60):$D225),"")</f>
        <v>5227</v>
      </c>
      <c r="N225" s="52" t="n">
        <f aca="false">IF(AND(ISNUMBER($G225),$G225&gt;=60),MIN(INDEX($E$25:$E225,202-60):$E225),"")</f>
        <v>4501</v>
      </c>
      <c r="O225" s="53" t="n">
        <f aca="false">IF(OR(NOT(ISNUMBER($C225)),NOT(ISNUMBER($M225)),$M225=0),"",$C225/$M225-1)</f>
        <v>-0.0151138320260188</v>
      </c>
    </row>
    <row r="226" customFormat="false" ht="15" hidden="false" customHeight="false" outlineLevel="0" collapsed="false">
      <c r="A226" s="47" t="n">
        <v>45879</v>
      </c>
      <c r="B226" s="48" t="s">
        <v>374</v>
      </c>
      <c r="C226" s="49" t="n">
        <v>5137</v>
      </c>
      <c r="D226" s="49" t="n">
        <v>5172</v>
      </c>
      <c r="E226" s="49" t="n">
        <v>5131</v>
      </c>
      <c r="F226" s="49" t="n">
        <v>0</v>
      </c>
      <c r="G226" s="50" t="n">
        <f aca="false">IF($A226="","",IF(ISNUMBER($G225),$G225+1,1))</f>
        <v>222</v>
      </c>
      <c r="H226" s="51" t="n">
        <f aca="false">IF(OR(NOT(ISNUMBER($G226)),$G226&lt;2,NOT(ISNUMBER($C225)),$C225=0),"",$C226/$C225-1)</f>
        <v>-0.00213675213675213</v>
      </c>
      <c r="I226" s="52" t="n">
        <f aca="false">IF(AND(ISNUMBER($G226),$G226&gt;=MA_SHORT),AVERAGE(INDEX($C$5:$C226,223-MA_SHORT):$C226),"")</f>
        <v>5041.2</v>
      </c>
      <c r="J226" s="52" t="n">
        <f aca="false">IF(AND(ISNUMBER($G226),$G226&gt;=MA_MED),AVERAGE(INDEX($C$5:$C226,223-MA_MED):$C226),"")</f>
        <v>4885.42</v>
      </c>
      <c r="K226" s="52" t="n">
        <f aca="false">IF(AND(ISNUMBER($G226),$G226&gt;=MA_LONG2),AVERAGE(INDEX($C$5:$C226,223-MA_LONG2):$C226),"")</f>
        <v>3948.4</v>
      </c>
      <c r="L226" s="53" t="n">
        <f aca="false">IF(AND(ISNUMBER($G226),$G226&gt;=21),STDEV(INDEX($H$166:$H226,62-20):$H226)*SQRT(245),"")</f>
        <v>0.177094041563328</v>
      </c>
      <c r="M226" s="52" t="n">
        <f aca="false">IF(AND(ISNUMBER($G226),$G226&gt;=60),MAX(INDEX($D$26:$D226,202-60):$D226),"")</f>
        <v>5227</v>
      </c>
      <c r="N226" s="52" t="n">
        <f aca="false">IF(AND(ISNUMBER($G226),$G226&gt;=60),MIN(INDEX($E$26:$E226,202-60):$E226),"")</f>
        <v>4501</v>
      </c>
      <c r="O226" s="53" t="n">
        <f aca="false">IF(OR(NOT(ISNUMBER($C226)),NOT(ISNUMBER($M226)),$M226=0),"",$C226/$M226-1)</f>
        <v>-0.0172182896498948</v>
      </c>
    </row>
    <row r="227" customFormat="false" ht="15" hidden="false" customHeight="false" outlineLevel="0" collapsed="false">
      <c r="A227" s="47" t="n">
        <v>45880</v>
      </c>
      <c r="B227" s="48" t="s">
        <v>375</v>
      </c>
      <c r="C227" s="49" t="n">
        <v>5193</v>
      </c>
      <c r="D227" s="49" t="n">
        <v>5198</v>
      </c>
      <c r="E227" s="49" t="n">
        <v>5179</v>
      </c>
      <c r="F227" s="49" t="n">
        <v>0</v>
      </c>
      <c r="G227" s="50" t="n">
        <f aca="false">IF($A227="","",IF(ISNUMBER($G226),$G226+1,1))</f>
        <v>223</v>
      </c>
      <c r="H227" s="51" t="n">
        <f aca="false">IF(OR(NOT(ISNUMBER($G227)),$G227&lt;2,NOT(ISNUMBER($C226)),$C226=0),"",$C227/$C226-1)</f>
        <v>0.0109013042631887</v>
      </c>
      <c r="I227" s="52" t="n">
        <f aca="false">IF(AND(ISNUMBER($G227),$G227&gt;=MA_SHORT),AVERAGE(INDEX($C$5:$C227,224-MA_SHORT):$C227),"")</f>
        <v>5051.5</v>
      </c>
      <c r="J227" s="52" t="n">
        <f aca="false">IF(AND(ISNUMBER($G227),$G227&gt;=MA_MED),AVERAGE(INDEX($C$5:$C227,224-MA_MED):$C227),"")</f>
        <v>4896.5</v>
      </c>
      <c r="K227" s="52" t="n">
        <f aca="false">IF(AND(ISNUMBER($G227),$G227&gt;=MA_LONG2),AVERAGE(INDEX($C$5:$C227,224-MA_LONG2):$C227),"")</f>
        <v>3957.83</v>
      </c>
      <c r="L227" s="53" t="n">
        <f aca="false">IF(AND(ISNUMBER($G227),$G227&gt;=21),STDEV(INDEX($H$167:$H227,62-20):$H227)*SQRT(245),"")</f>
        <v>0.177569240629522</v>
      </c>
      <c r="M227" s="52" t="n">
        <f aca="false">IF(AND(ISNUMBER($G227),$G227&gt;=60),MAX(INDEX($D$27:$D227,202-60):$D227),"")</f>
        <v>5227</v>
      </c>
      <c r="N227" s="52" t="n">
        <f aca="false">IF(AND(ISNUMBER($G227),$G227&gt;=60),MIN(INDEX($E$27:$E227,202-60):$E227),"")</f>
        <v>4501</v>
      </c>
      <c r="O227" s="53" t="n">
        <f aca="false">IF(OR(NOT(ISNUMBER($C227)),NOT(ISNUMBER($M227)),$M227=0),"",$C227/$M227-1)</f>
        <v>-0.00650468720107134</v>
      </c>
    </row>
    <row r="228" customFormat="false" ht="15" hidden="false" customHeight="false" outlineLevel="0" collapsed="false">
      <c r="A228" s="47" t="n">
        <v>45881</v>
      </c>
      <c r="B228" s="48" t="s">
        <v>376</v>
      </c>
      <c r="C228" s="49" t="n">
        <v>5238</v>
      </c>
      <c r="D228" s="49" t="n">
        <v>5285</v>
      </c>
      <c r="E228" s="49" t="n">
        <v>5210</v>
      </c>
      <c r="F228" s="49" t="n">
        <v>0</v>
      </c>
      <c r="G228" s="50" t="n">
        <f aca="false">IF($A228="","",IF(ISNUMBER($G227),$G227+1,1))</f>
        <v>224</v>
      </c>
      <c r="H228" s="51" t="n">
        <f aca="false">IF(OR(NOT(ISNUMBER($G228)),$G228&lt;2,NOT(ISNUMBER($C227)),$C227=0),"",$C228/$C227-1)</f>
        <v>0.00866551126516457</v>
      </c>
      <c r="I228" s="52" t="n">
        <f aca="false">IF(AND(ISNUMBER($G228),$G228&gt;=MA_SHORT),AVERAGE(INDEX($C$5:$C228,225-MA_SHORT):$C228),"")</f>
        <v>5069.2</v>
      </c>
      <c r="J228" s="52" t="n">
        <f aca="false">IF(AND(ISNUMBER($G228),$G228&gt;=MA_MED),AVERAGE(INDEX($C$5:$C228,225-MA_MED):$C228),"")</f>
        <v>4907.46</v>
      </c>
      <c r="K228" s="52" t="n">
        <f aca="false">IF(AND(ISNUMBER($G228),$G228&gt;=MA_LONG2),AVERAGE(INDEX($C$5:$C228,225-MA_LONG2):$C228),"")</f>
        <v>3967.15</v>
      </c>
      <c r="L228" s="53" t="n">
        <f aca="false">IF(AND(ISNUMBER($G228),$G228&gt;=21),STDEV(INDEX($H$168:$H228,62-20):$H228)*SQRT(245),"")</f>
        <v>0.157689817633438</v>
      </c>
      <c r="M228" s="52" t="n">
        <f aca="false">IF(AND(ISNUMBER($G228),$G228&gt;=60),MAX(INDEX($D$28:$D228,202-60):$D228),"")</f>
        <v>5285</v>
      </c>
      <c r="N228" s="52" t="n">
        <f aca="false">IF(AND(ISNUMBER($G228),$G228&gt;=60),MIN(INDEX($E$28:$E228,202-60):$E228),"")</f>
        <v>4501</v>
      </c>
      <c r="O228" s="53" t="n">
        <f aca="false">IF(OR(NOT(ISNUMBER($C228)),NOT(ISNUMBER($M228)),$M228=0),"",$C228/$M228-1)</f>
        <v>-0.00889309366130553</v>
      </c>
    </row>
    <row r="229" customFormat="false" ht="15" hidden="false" customHeight="false" outlineLevel="0" collapsed="false">
      <c r="A229" s="47" t="n">
        <v>45882</v>
      </c>
      <c r="B229" s="48" t="s">
        <v>377</v>
      </c>
      <c r="C229" s="49" t="n">
        <v>5280</v>
      </c>
      <c r="D229" s="49" t="n">
        <v>5294</v>
      </c>
      <c r="E229" s="49" t="n">
        <v>5258</v>
      </c>
      <c r="F229" s="49" t="n">
        <v>0</v>
      </c>
      <c r="G229" s="50" t="n">
        <f aca="false">IF($A229="","",IF(ISNUMBER($G228),$G228+1,1))</f>
        <v>225</v>
      </c>
      <c r="H229" s="51" t="n">
        <f aca="false">IF(OR(NOT(ISNUMBER($G229)),$G229&lt;2,NOT(ISNUMBER($C228)),$C228=0),"",$C229/$C228-1)</f>
        <v>0.00801832760595644</v>
      </c>
      <c r="I229" s="52" t="n">
        <f aca="false">IF(AND(ISNUMBER($G229),$G229&gt;=MA_SHORT),AVERAGE(INDEX($C$5:$C229,226-MA_SHORT):$C229),"")</f>
        <v>5090.1</v>
      </c>
      <c r="J229" s="52" t="n">
        <f aca="false">IF(AND(ISNUMBER($G229),$G229&gt;=MA_MED),AVERAGE(INDEX($C$5:$C229,226-MA_MED):$C229),"")</f>
        <v>4919.36</v>
      </c>
      <c r="K229" s="52" t="n">
        <f aca="false">IF(AND(ISNUMBER($G229),$G229&gt;=MA_LONG2),AVERAGE(INDEX($C$5:$C229,226-MA_LONG2):$C229),"")</f>
        <v>3976.72</v>
      </c>
      <c r="L229" s="53" t="n">
        <f aca="false">IF(AND(ISNUMBER($G229),$G229&gt;=21),STDEV(INDEX($H$169:$H229,62-20):$H229)*SQRT(245),"")</f>
        <v>0.155514754918785</v>
      </c>
      <c r="M229" s="52" t="n">
        <f aca="false">IF(AND(ISNUMBER($G229),$G229&gt;=60),MAX(INDEX($D$29:$D229,202-60):$D229),"")</f>
        <v>5294</v>
      </c>
      <c r="N229" s="52" t="n">
        <f aca="false">IF(AND(ISNUMBER($G229),$G229&gt;=60),MIN(INDEX($E$29:$E229,202-60):$E229),"")</f>
        <v>4501</v>
      </c>
      <c r="O229" s="53" t="n">
        <f aca="false">IF(OR(NOT(ISNUMBER($C229)),NOT(ISNUMBER($M229)),$M229=0),"",$C229/$M229-1)</f>
        <v>-0.00264450321118248</v>
      </c>
    </row>
    <row r="230" customFormat="false" ht="15" hidden="false" customHeight="false" outlineLevel="0" collapsed="false">
      <c r="A230" s="47" t="n">
        <v>45885</v>
      </c>
      <c r="B230" s="48" t="s">
        <v>378</v>
      </c>
      <c r="C230" s="49" t="n">
        <v>5244</v>
      </c>
      <c r="D230" s="49" t="n">
        <v>5261</v>
      </c>
      <c r="E230" s="49" t="n">
        <v>5242</v>
      </c>
      <c r="F230" s="49" t="n">
        <v>0</v>
      </c>
      <c r="G230" s="50" t="n">
        <f aca="false">IF($A230="","",IF(ISNUMBER($G229),$G229+1,1))</f>
        <v>226</v>
      </c>
      <c r="H230" s="51" t="n">
        <f aca="false">IF(OR(NOT(ISNUMBER($G230)),$G230&lt;2,NOT(ISNUMBER($C229)),$C229=0),"",$C230/$C229-1)</f>
        <v>-0.00681818181818183</v>
      </c>
      <c r="I230" s="52" t="n">
        <f aca="false">IF(AND(ISNUMBER($G230),$G230&gt;=MA_SHORT),AVERAGE(INDEX($C$5:$C230,227-MA_SHORT):$C230),"")</f>
        <v>5109</v>
      </c>
      <c r="J230" s="52" t="n">
        <f aca="false">IF(AND(ISNUMBER($G230),$G230&gt;=MA_MED),AVERAGE(INDEX($C$5:$C230,227-MA_MED):$C230),"")</f>
        <v>4929.86</v>
      </c>
      <c r="K230" s="52" t="n">
        <f aca="false">IF(AND(ISNUMBER($G230),$G230&gt;=MA_LONG2),AVERAGE(INDEX($C$5:$C230,227-MA_LONG2):$C230),"")</f>
        <v>3986.085</v>
      </c>
      <c r="L230" s="53" t="n">
        <f aca="false">IF(AND(ISNUMBER($G230),$G230&gt;=21),STDEV(INDEX($H$170:$H230,62-20):$H230)*SQRT(245),"")</f>
        <v>0.1598795703495</v>
      </c>
      <c r="M230" s="52" t="n">
        <f aca="false">IF(AND(ISNUMBER($G230),$G230&gt;=60),MAX(INDEX($D$30:$D230,202-60):$D230),"")</f>
        <v>5294</v>
      </c>
      <c r="N230" s="52" t="n">
        <f aca="false">IF(AND(ISNUMBER($G230),$G230&gt;=60),MIN(INDEX($E$30:$E230,202-60):$E230),"")</f>
        <v>4501</v>
      </c>
      <c r="O230" s="53" t="n">
        <f aca="false">IF(OR(NOT(ISNUMBER($C230)),NOT(ISNUMBER($M230)),$M230=0),"",$C230/$M230-1)</f>
        <v>-0.00944465432565167</v>
      </c>
    </row>
    <row r="231" customFormat="false" ht="15" hidden="false" customHeight="false" outlineLevel="0" collapsed="false">
      <c r="A231" s="47" t="n">
        <v>45886</v>
      </c>
      <c r="B231" s="48" t="s">
        <v>379</v>
      </c>
      <c r="C231" s="49" t="n">
        <v>5167</v>
      </c>
      <c r="D231" s="49" t="n">
        <v>5168</v>
      </c>
      <c r="E231" s="49" t="n">
        <v>5164</v>
      </c>
      <c r="F231" s="49" t="n">
        <v>0</v>
      </c>
      <c r="G231" s="50" t="n">
        <f aca="false">IF($A231="","",IF(ISNUMBER($G230),$G230+1,1))</f>
        <v>227</v>
      </c>
      <c r="H231" s="51" t="n">
        <f aca="false">IF(OR(NOT(ISNUMBER($G231)),$G231&lt;2,NOT(ISNUMBER($C230)),$C230=0),"",$C231/$C230-1)</f>
        <v>-0.0146834477498093</v>
      </c>
      <c r="I231" s="52" t="n">
        <f aca="false">IF(AND(ISNUMBER($G231),$G231&gt;=MA_SHORT),AVERAGE(INDEX($C$5:$C231,228-MA_SHORT):$C231),"")</f>
        <v>5123.1</v>
      </c>
      <c r="J231" s="52" t="n">
        <f aca="false">IF(AND(ISNUMBER($G231),$G231&gt;=MA_MED),AVERAGE(INDEX($C$5:$C231,228-MA_MED):$C231),"")</f>
        <v>4938.72</v>
      </c>
      <c r="K231" s="52" t="n">
        <f aca="false">IF(AND(ISNUMBER($G231),$G231&gt;=MA_LONG2),AVERAGE(INDEX($C$5:$C231,228-MA_LONG2):$C231),"")</f>
        <v>3995.115</v>
      </c>
      <c r="L231" s="53" t="n">
        <f aca="false">IF(AND(ISNUMBER($G231),$G231&gt;=21),STDEV(INDEX($H$171:$H231,62-20):$H231)*SQRT(245),"")</f>
        <v>0.172460466560328</v>
      </c>
      <c r="M231" s="52" t="n">
        <f aca="false">IF(AND(ISNUMBER($G231),$G231&gt;=60),MAX(INDEX($D$31:$D231,202-60):$D231),"")</f>
        <v>5294</v>
      </c>
      <c r="N231" s="52" t="n">
        <f aca="false">IF(AND(ISNUMBER($G231),$G231&gt;=60),MIN(INDEX($E$31:$E231,202-60):$E231),"")</f>
        <v>4501</v>
      </c>
      <c r="O231" s="53" t="n">
        <f aca="false">IF(OR(NOT(ISNUMBER($C231)),NOT(ISNUMBER($M231)),$M231=0),"",$C231/$M231-1)</f>
        <v>-0.0239894219871553</v>
      </c>
    </row>
    <row r="232" customFormat="false" ht="15" hidden="false" customHeight="false" outlineLevel="0" collapsed="false">
      <c r="A232" s="47" t="n">
        <v>45887</v>
      </c>
      <c r="B232" s="48" t="s">
        <v>380</v>
      </c>
      <c r="C232" s="49" t="n">
        <v>5116</v>
      </c>
      <c r="D232" s="49" t="n">
        <v>5162</v>
      </c>
      <c r="E232" s="49" t="n">
        <v>5111</v>
      </c>
      <c r="F232" s="49" t="n">
        <v>0</v>
      </c>
      <c r="G232" s="50" t="n">
        <f aca="false">IF($A232="","",IF(ISNUMBER($G231),$G231+1,1))</f>
        <v>228</v>
      </c>
      <c r="H232" s="51" t="n">
        <f aca="false">IF(OR(NOT(ISNUMBER($G232)),$G232&lt;2,NOT(ISNUMBER($C231)),$C231=0),"",$C232/$C231-1)</f>
        <v>-0.00987033094639056</v>
      </c>
      <c r="I232" s="52" t="n">
        <f aca="false">IF(AND(ISNUMBER($G232),$G232&gt;=MA_SHORT),AVERAGE(INDEX($C$5:$C232,229-MA_SHORT):$C232),"")</f>
        <v>5130.9</v>
      </c>
      <c r="J232" s="52" t="n">
        <f aca="false">IF(AND(ISNUMBER($G232),$G232&gt;=MA_MED),AVERAGE(INDEX($C$5:$C232,229-MA_MED):$C232),"")</f>
        <v>4945.52</v>
      </c>
      <c r="K232" s="52" t="n">
        <f aca="false">IF(AND(ISNUMBER($G232),$G232&gt;=MA_LONG2),AVERAGE(INDEX($C$5:$C232,229-MA_LONG2):$C232),"")</f>
        <v>4004.135</v>
      </c>
      <c r="L232" s="53" t="n">
        <f aca="false">IF(AND(ISNUMBER($G232),$G232&gt;=21),STDEV(INDEX($H$172:$H232,62-20):$H232)*SQRT(245),"")</f>
        <v>0.171507190170947</v>
      </c>
      <c r="M232" s="52" t="n">
        <f aca="false">IF(AND(ISNUMBER($G232),$G232&gt;=60),MAX(INDEX($D$32:$D232,202-60):$D232),"")</f>
        <v>5294</v>
      </c>
      <c r="N232" s="52" t="n">
        <f aca="false">IF(AND(ISNUMBER($G232),$G232&gt;=60),MIN(INDEX($E$32:$E232,202-60):$E232),"")</f>
        <v>4501</v>
      </c>
      <c r="O232" s="53" t="n">
        <f aca="false">IF(OR(NOT(ISNUMBER($C232)),NOT(ISNUMBER($M232)),$M232=0),"",$C232/$M232-1)</f>
        <v>-0.03362296939932</v>
      </c>
    </row>
    <row r="233" customFormat="false" ht="15" hidden="false" customHeight="false" outlineLevel="0" collapsed="false">
      <c r="A233" s="47" t="n">
        <v>45888</v>
      </c>
      <c r="B233" s="48" t="s">
        <v>381</v>
      </c>
      <c r="C233" s="49" t="n">
        <v>5110</v>
      </c>
      <c r="D233" s="49" t="n">
        <v>5121</v>
      </c>
      <c r="E233" s="49" t="n">
        <v>5107</v>
      </c>
      <c r="F233" s="49" t="n">
        <v>0</v>
      </c>
      <c r="G233" s="50" t="n">
        <f aca="false">IF($A233="","",IF(ISNUMBER($G232),$G232+1,1))</f>
        <v>229</v>
      </c>
      <c r="H233" s="51" t="n">
        <f aca="false">IF(OR(NOT(ISNUMBER($G233)),$G233&lt;2,NOT(ISNUMBER($C232)),$C232=0),"",$C233/$C232-1)</f>
        <v>-0.00117279124315872</v>
      </c>
      <c r="I233" s="52" t="n">
        <f aca="false">IF(AND(ISNUMBER($G233),$G233&gt;=MA_SHORT),AVERAGE(INDEX($C$5:$C233,230-MA_SHORT):$C233),"")</f>
        <v>5135.8</v>
      </c>
      <c r="J233" s="52" t="n">
        <f aca="false">IF(AND(ISNUMBER($G233),$G233&gt;=MA_MED),AVERAGE(INDEX($C$5:$C233,230-MA_MED):$C233),"")</f>
        <v>4952.7</v>
      </c>
      <c r="K233" s="52" t="n">
        <f aca="false">IF(AND(ISNUMBER($G233),$G233&gt;=MA_LONG2),AVERAGE(INDEX($C$5:$C233,230-MA_LONG2):$C233),"")</f>
        <v>4013.615</v>
      </c>
      <c r="L233" s="53" t="n">
        <f aca="false">IF(AND(ISNUMBER($G233),$G233&gt;=21),STDEV(INDEX($H$173:$H233,62-20):$H233)*SQRT(245),"")</f>
        <v>0.168554392931804</v>
      </c>
      <c r="M233" s="52" t="n">
        <f aca="false">IF(AND(ISNUMBER($G233),$G233&gt;=60),MAX(INDEX($D$33:$D233,202-60):$D233),"")</f>
        <v>5294</v>
      </c>
      <c r="N233" s="52" t="n">
        <f aca="false">IF(AND(ISNUMBER($G233),$G233&gt;=60),MIN(INDEX($E$33:$E233,202-60):$E233),"")</f>
        <v>4501</v>
      </c>
      <c r="O233" s="53" t="n">
        <f aca="false">IF(OR(NOT(ISNUMBER($C233)),NOT(ISNUMBER($M233)),$M233=0),"",$C233/$M233-1)</f>
        <v>-0.0347563279183982</v>
      </c>
    </row>
    <row r="234" customFormat="false" ht="15" hidden="false" customHeight="false" outlineLevel="0" collapsed="false">
      <c r="A234" s="47" t="n">
        <v>45889</v>
      </c>
      <c r="B234" s="48" t="s">
        <v>382</v>
      </c>
      <c r="C234" s="49" t="n">
        <v>5176</v>
      </c>
      <c r="D234" s="49" t="n">
        <v>5198</v>
      </c>
      <c r="E234" s="49" t="n">
        <v>5173</v>
      </c>
      <c r="F234" s="49" t="n">
        <v>0</v>
      </c>
      <c r="G234" s="50" t="n">
        <f aca="false">IF($A234="","",IF(ISNUMBER($G233),$G233+1,1))</f>
        <v>230</v>
      </c>
      <c r="H234" s="51" t="n">
        <f aca="false">IF(OR(NOT(ISNUMBER($G234)),$G234&lt;2,NOT(ISNUMBER($C233)),$C233=0),"",$C234/$C233-1)</f>
        <v>0.0129158512720156</v>
      </c>
      <c r="I234" s="52" t="n">
        <f aca="false">IF(AND(ISNUMBER($G234),$G234&gt;=MA_SHORT),AVERAGE(INDEX($C$5:$C234,231-MA_SHORT):$C234),"")</f>
        <v>5140.75</v>
      </c>
      <c r="J234" s="52" t="n">
        <f aca="false">IF(AND(ISNUMBER($G234),$G234&gt;=MA_MED),AVERAGE(INDEX($C$5:$C234,231-MA_MED):$C234),"")</f>
        <v>4963.4</v>
      </c>
      <c r="K234" s="52" t="n">
        <f aca="false">IF(AND(ISNUMBER($G234),$G234&gt;=MA_LONG2),AVERAGE(INDEX($C$5:$C234,231-MA_LONG2):$C234),"")</f>
        <v>4023.795</v>
      </c>
      <c r="L234" s="53" t="n">
        <f aca="false">IF(AND(ISNUMBER($G234),$G234&gt;=21),STDEV(INDEX($H$174:$H234,62-20):$H234)*SQRT(245),"")</f>
        <v>0.168506034657689</v>
      </c>
      <c r="M234" s="52" t="n">
        <f aca="false">IF(AND(ISNUMBER($G234),$G234&gt;=60),MAX(INDEX($D$34:$D234,202-60):$D234),"")</f>
        <v>5294</v>
      </c>
      <c r="N234" s="52" t="n">
        <f aca="false">IF(AND(ISNUMBER($G234),$G234&gt;=60),MIN(INDEX($E$34:$E234,202-60):$E234),"")</f>
        <v>4501</v>
      </c>
      <c r="O234" s="53" t="n">
        <f aca="false">IF(OR(NOT(ISNUMBER($C234)),NOT(ISNUMBER($M234)),$M234=0),"",$C234/$M234-1)</f>
        <v>-0.022289384208538</v>
      </c>
    </row>
    <row r="235" customFormat="false" ht="15" hidden="false" customHeight="false" outlineLevel="0" collapsed="false">
      <c r="A235" s="47" t="n">
        <v>45892</v>
      </c>
      <c r="B235" s="48" t="s">
        <v>383</v>
      </c>
      <c r="C235" s="49" t="n">
        <v>5096</v>
      </c>
      <c r="D235" s="49" t="n">
        <v>5117</v>
      </c>
      <c r="E235" s="49" t="n">
        <v>5086</v>
      </c>
      <c r="F235" s="49" t="n">
        <v>0</v>
      </c>
      <c r="G235" s="50" t="n">
        <f aca="false">IF($A235="","",IF(ISNUMBER($G234),$G234+1,1))</f>
        <v>231</v>
      </c>
      <c r="H235" s="51" t="n">
        <f aca="false">IF(OR(NOT(ISNUMBER($G235)),$G235&lt;2,NOT(ISNUMBER($C234)),$C234=0),"",$C235/$C234-1)</f>
        <v>-0.0154559505409583</v>
      </c>
      <c r="I235" s="52" t="n">
        <f aca="false">IF(AND(ISNUMBER($G235),$G235&gt;=MA_SHORT),AVERAGE(INDEX($C$5:$C235,232-MA_SHORT):$C235),"")</f>
        <v>5139.4</v>
      </c>
      <c r="J235" s="52" t="n">
        <f aca="false">IF(AND(ISNUMBER($G235),$G235&gt;=MA_MED),AVERAGE(INDEX($C$5:$C235,232-MA_MED):$C235),"")</f>
        <v>4973.2</v>
      </c>
      <c r="K235" s="52" t="n">
        <f aca="false">IF(AND(ISNUMBER($G235),$G235&gt;=MA_LONG2),AVERAGE(INDEX($C$5:$C235,232-MA_LONG2):$C235),"")</f>
        <v>4033.585</v>
      </c>
      <c r="L235" s="53" t="n">
        <f aca="false">IF(AND(ISNUMBER($G235),$G235&gt;=21),STDEV(INDEX($H$175:$H235,62-20):$H235)*SQRT(245),"")</f>
        <v>0.175140766869343</v>
      </c>
      <c r="M235" s="52" t="n">
        <f aca="false">IF(AND(ISNUMBER($G235),$G235&gt;=60),MAX(INDEX($D$35:$D235,202-60):$D235),"")</f>
        <v>5294</v>
      </c>
      <c r="N235" s="52" t="n">
        <f aca="false">IF(AND(ISNUMBER($G235),$G235&gt;=60),MIN(INDEX($E$35:$E235,202-60):$E235),"")</f>
        <v>4531</v>
      </c>
      <c r="O235" s="53" t="n">
        <f aca="false">IF(OR(NOT(ISNUMBER($C235)),NOT(ISNUMBER($M235)),$M235=0),"",$C235/$M235-1)</f>
        <v>-0.0374008311295807</v>
      </c>
    </row>
    <row r="236" customFormat="false" ht="15" hidden="false" customHeight="false" outlineLevel="0" collapsed="false">
      <c r="A236" s="47" t="n">
        <v>45893</v>
      </c>
      <c r="B236" s="48" t="s">
        <v>384</v>
      </c>
      <c r="C236" s="49" t="n">
        <v>5103</v>
      </c>
      <c r="D236" s="49" t="n">
        <v>5125</v>
      </c>
      <c r="E236" s="49" t="n">
        <v>5094</v>
      </c>
      <c r="F236" s="49" t="n">
        <v>0</v>
      </c>
      <c r="G236" s="50" t="n">
        <f aca="false">IF($A236="","",IF(ISNUMBER($G235),$G235+1,1))</f>
        <v>232</v>
      </c>
      <c r="H236" s="51" t="n">
        <f aca="false">IF(OR(NOT(ISNUMBER($G236)),$G236&lt;2,NOT(ISNUMBER($C235)),$C235=0),"",$C236/$C235-1)</f>
        <v>0.00137362637362637</v>
      </c>
      <c r="I236" s="52" t="n">
        <f aca="false">IF(AND(ISNUMBER($G236),$G236&gt;=MA_SHORT),AVERAGE(INDEX($C$5:$C236,233-MA_SHORT):$C236),"")</f>
        <v>5134.6</v>
      </c>
      <c r="J236" s="52" t="n">
        <f aca="false">IF(AND(ISNUMBER($G236),$G236&gt;=MA_MED),AVERAGE(INDEX($C$5:$C236,233-MA_MED):$C236),"")</f>
        <v>4984.04</v>
      </c>
      <c r="K236" s="52" t="n">
        <f aca="false">IF(AND(ISNUMBER($G236),$G236&gt;=MA_LONG2),AVERAGE(INDEX($C$5:$C236,233-MA_LONG2):$C236),"")</f>
        <v>4042.935</v>
      </c>
      <c r="L236" s="53" t="n">
        <f aca="false">IF(AND(ISNUMBER($G236),$G236&gt;=21),STDEV(INDEX($H$176:$H236,62-20):$H236)*SQRT(245),"")</f>
        <v>0.166351761634281</v>
      </c>
      <c r="M236" s="52" t="n">
        <f aca="false">IF(AND(ISNUMBER($G236),$G236&gt;=60),MAX(INDEX($D$36:$D236,202-60):$D236),"")</f>
        <v>5294</v>
      </c>
      <c r="N236" s="52" t="n">
        <f aca="false">IF(AND(ISNUMBER($G236),$G236&gt;=60),MIN(INDEX($E$36:$E236,202-60):$E236),"")</f>
        <v>4531</v>
      </c>
      <c r="O236" s="53" t="n">
        <f aca="false">IF(OR(NOT(ISNUMBER($C236)),NOT(ISNUMBER($M236)),$M236=0),"",$C236/$M236-1)</f>
        <v>-0.0360785795239894</v>
      </c>
    </row>
    <row r="237" customFormat="false" ht="15" hidden="false" customHeight="false" outlineLevel="0" collapsed="false">
      <c r="A237" s="47" t="n">
        <v>45894</v>
      </c>
      <c r="B237" s="48" t="s">
        <v>385</v>
      </c>
      <c r="C237" s="49" t="n">
        <v>5105</v>
      </c>
      <c r="D237" s="49" t="n">
        <v>5139</v>
      </c>
      <c r="E237" s="49" t="n">
        <v>5083</v>
      </c>
      <c r="F237" s="49" t="n">
        <v>0</v>
      </c>
      <c r="G237" s="50" t="n">
        <f aca="false">IF($A237="","",IF(ISNUMBER($G236),$G236+1,1))</f>
        <v>233</v>
      </c>
      <c r="H237" s="51" t="n">
        <f aca="false">IF(OR(NOT(ISNUMBER($G237)),$G237&lt;2,NOT(ISNUMBER($C236)),$C236=0),"",$C237/$C236-1)</f>
        <v>0.000391926317852231</v>
      </c>
      <c r="I237" s="52" t="n">
        <f aca="false">IF(AND(ISNUMBER($G237),$G237&gt;=MA_SHORT),AVERAGE(INDEX($C$5:$C237,234-MA_SHORT):$C237),"")</f>
        <v>5132.7</v>
      </c>
      <c r="J237" s="52" t="n">
        <f aca="false">IF(AND(ISNUMBER($G237),$G237&gt;=MA_MED),AVERAGE(INDEX($C$5:$C237,234-MA_MED):$C237),"")</f>
        <v>4994.5</v>
      </c>
      <c r="K237" s="52" t="n">
        <f aca="false">IF(AND(ISNUMBER($G237),$G237&gt;=MA_LONG2),AVERAGE(INDEX($C$5:$C237,234-MA_LONG2):$C237),"")</f>
        <v>4052.425</v>
      </c>
      <c r="L237" s="53" t="n">
        <f aca="false">IF(AND(ISNUMBER($G237),$G237&gt;=21),STDEV(INDEX($H$177:$H237,62-20):$H237)*SQRT(245),"")</f>
        <v>0.162330373156468</v>
      </c>
      <c r="M237" s="52" t="n">
        <f aca="false">IF(AND(ISNUMBER($G237),$G237&gt;=60),MAX(INDEX($D$37:$D237,202-60):$D237),"")</f>
        <v>5294</v>
      </c>
      <c r="N237" s="52" t="n">
        <f aca="false">IF(AND(ISNUMBER($G237),$G237&gt;=60),MIN(INDEX($E$37:$E237,202-60):$E237),"")</f>
        <v>4531</v>
      </c>
      <c r="O237" s="53" t="n">
        <f aca="false">IF(OR(NOT(ISNUMBER($C237)),NOT(ISNUMBER($M237)),$M237=0),"",$C237/$M237-1)</f>
        <v>-0.0357007933509633</v>
      </c>
    </row>
    <row r="238" customFormat="false" ht="15" hidden="false" customHeight="false" outlineLevel="0" collapsed="false">
      <c r="A238" s="47" t="n">
        <v>45895</v>
      </c>
      <c r="B238" s="48" t="s">
        <v>386</v>
      </c>
      <c r="C238" s="49" t="n">
        <v>5173</v>
      </c>
      <c r="D238" s="49" t="n">
        <v>5180</v>
      </c>
      <c r="E238" s="49" t="n">
        <v>5149</v>
      </c>
      <c r="F238" s="49" t="n">
        <v>0</v>
      </c>
      <c r="G238" s="50" t="n">
        <f aca="false">IF($A238="","",IF(ISNUMBER($G237),$G237+1,1))</f>
        <v>234</v>
      </c>
      <c r="H238" s="51" t="n">
        <f aca="false">IF(OR(NOT(ISNUMBER($G238)),$G238&lt;2,NOT(ISNUMBER($C237)),$C237=0),"",$C238/$C237-1)</f>
        <v>0.0133202742409402</v>
      </c>
      <c r="I238" s="52" t="n">
        <f aca="false">IF(AND(ISNUMBER($G238),$G238&gt;=MA_SHORT),AVERAGE(INDEX($C$5:$C238,235-MA_SHORT):$C238),"")</f>
        <v>5139.95</v>
      </c>
      <c r="J238" s="52" t="n">
        <f aca="false">IF(AND(ISNUMBER($G238),$G238&gt;=MA_MED),AVERAGE(INDEX($C$5:$C238,235-MA_MED):$C238),"")</f>
        <v>5005.22</v>
      </c>
      <c r="K238" s="52" t="n">
        <f aca="false">IF(AND(ISNUMBER($G238),$G238&gt;=MA_LONG2),AVERAGE(INDEX($C$5:$C238,235-MA_LONG2):$C238),"")</f>
        <v>4062.475</v>
      </c>
      <c r="L238" s="53" t="n">
        <f aca="false">IF(AND(ISNUMBER($G238),$G238&gt;=21),STDEV(INDEX($H$178:$H238,62-20):$H238)*SQRT(245),"")</f>
        <v>0.147190189224001</v>
      </c>
      <c r="M238" s="52" t="n">
        <f aca="false">IF(AND(ISNUMBER($G238),$G238&gt;=60),MAX(INDEX($D$38:$D238,202-60):$D238),"")</f>
        <v>5294</v>
      </c>
      <c r="N238" s="52" t="n">
        <f aca="false">IF(AND(ISNUMBER($G238),$G238&gt;=60),MIN(INDEX($E$38:$E238,202-60):$E238),"")</f>
        <v>4531</v>
      </c>
      <c r="O238" s="53" t="n">
        <f aca="false">IF(OR(NOT(ISNUMBER($C238)),NOT(ISNUMBER($M238)),$M238=0),"",$C238/$M238-1)</f>
        <v>-0.0228560634680771</v>
      </c>
    </row>
    <row r="239" customFormat="false" ht="15" hidden="false" customHeight="false" outlineLevel="0" collapsed="false">
      <c r="A239" s="47" t="n">
        <v>45896</v>
      </c>
      <c r="B239" s="48" t="s">
        <v>387</v>
      </c>
      <c r="C239" s="49" t="n">
        <v>5236</v>
      </c>
      <c r="D239" s="49" t="n">
        <v>5264</v>
      </c>
      <c r="E239" s="49" t="n">
        <v>5202</v>
      </c>
      <c r="F239" s="49" t="n">
        <v>0</v>
      </c>
      <c r="G239" s="50" t="n">
        <f aca="false">IF($A239="","",IF(ISNUMBER($G238),$G238+1,1))</f>
        <v>235</v>
      </c>
      <c r="H239" s="51" t="n">
        <f aca="false">IF(OR(NOT(ISNUMBER($G239)),$G239&lt;2,NOT(ISNUMBER($C238)),$C238=0),"",$C239/$C238-1)</f>
        <v>0.0121786197564275</v>
      </c>
      <c r="I239" s="52" t="n">
        <f aca="false">IF(AND(ISNUMBER($G239),$G239&gt;=MA_SHORT),AVERAGE(INDEX($C$5:$C239,236-MA_SHORT):$C239),"")</f>
        <v>5149.45</v>
      </c>
      <c r="J239" s="52" t="n">
        <f aca="false">IF(AND(ISNUMBER($G239),$G239&gt;=MA_MED),AVERAGE(INDEX($C$5:$C239,236-MA_MED):$C239),"")</f>
        <v>5014.78</v>
      </c>
      <c r="K239" s="52" t="n">
        <f aca="false">IF(AND(ISNUMBER($G239),$G239&gt;=MA_LONG2),AVERAGE(INDEX($C$5:$C239,236-MA_LONG2):$C239),"")</f>
        <v>4072.775</v>
      </c>
      <c r="L239" s="53" t="n">
        <f aca="false">IF(AND(ISNUMBER($G239),$G239&gt;=21),STDEV(INDEX($H$179:$H239,62-20):$H239)*SQRT(245),"")</f>
        <v>0.151788600734995</v>
      </c>
      <c r="M239" s="52" t="n">
        <f aca="false">IF(AND(ISNUMBER($G239),$G239&gt;=60),MAX(INDEX($D$39:$D239,202-60):$D239),"")</f>
        <v>5294</v>
      </c>
      <c r="N239" s="52" t="n">
        <f aca="false">IF(AND(ISNUMBER($G239),$G239&gt;=60),MIN(INDEX($E$39:$E239,202-60):$E239),"")</f>
        <v>4531</v>
      </c>
      <c r="O239" s="53" t="n">
        <f aca="false">IF(OR(NOT(ISNUMBER($C239)),NOT(ISNUMBER($M239)),$M239=0),"",$C239/$M239-1)</f>
        <v>-0.0109557990177559</v>
      </c>
    </row>
    <row r="240" customFormat="false" ht="15" hidden="false" customHeight="false" outlineLevel="0" collapsed="false">
      <c r="A240" s="47" t="n">
        <v>45899</v>
      </c>
      <c r="B240" s="48" t="s">
        <v>388</v>
      </c>
      <c r="C240" s="49" t="n">
        <v>5254</v>
      </c>
      <c r="D240" s="49" t="n">
        <v>5293</v>
      </c>
      <c r="E240" s="49" t="n">
        <v>5234</v>
      </c>
      <c r="F240" s="49" t="n">
        <v>0</v>
      </c>
      <c r="G240" s="50" t="n">
        <f aca="false">IF($A240="","",IF(ISNUMBER($G239),$G239+1,1))</f>
        <v>236</v>
      </c>
      <c r="H240" s="51" t="n">
        <f aca="false">IF(OR(NOT(ISNUMBER($G240)),$G240&lt;2,NOT(ISNUMBER($C239)),$C239=0),"",$C240/$C239-1)</f>
        <v>0.00343773873185649</v>
      </c>
      <c r="I240" s="52" t="n">
        <f aca="false">IF(AND(ISNUMBER($G240),$G240&gt;=MA_SHORT),AVERAGE(INDEX($C$5:$C240,237-MA_SHORT):$C240),"")</f>
        <v>5155.95</v>
      </c>
      <c r="J240" s="52" t="n">
        <f aca="false">IF(AND(ISNUMBER($G240),$G240&gt;=MA_MED),AVERAGE(INDEX($C$5:$C240,237-MA_MED):$C240),"")</f>
        <v>5023.88</v>
      </c>
      <c r="K240" s="52" t="n">
        <f aca="false">IF(AND(ISNUMBER($G240),$G240&gt;=MA_LONG2),AVERAGE(INDEX($C$5:$C240,237-MA_LONG2):$C240),"")</f>
        <v>4083.44</v>
      </c>
      <c r="L240" s="53" t="n">
        <f aca="false">IF(AND(ISNUMBER($G240),$G240&gt;=21),STDEV(INDEX($H$180:$H240,62-20):$H240)*SQRT(245),"")</f>
        <v>0.143545058817073</v>
      </c>
      <c r="M240" s="52" t="n">
        <f aca="false">IF(AND(ISNUMBER($G240),$G240&gt;=60),MAX(INDEX($D$40:$D240,202-60):$D240),"")</f>
        <v>5294</v>
      </c>
      <c r="N240" s="52" t="n">
        <f aca="false">IF(AND(ISNUMBER($G240),$G240&gt;=60),MIN(INDEX($E$40:$E240,202-60):$E240),"")</f>
        <v>4531</v>
      </c>
      <c r="O240" s="53" t="n">
        <f aca="false">IF(OR(NOT(ISNUMBER($C240)),NOT(ISNUMBER($M240)),$M240=0),"",$C240/$M240-1)</f>
        <v>-0.00755572346052136</v>
      </c>
    </row>
    <row r="241" customFormat="false" ht="15" hidden="false" customHeight="false" outlineLevel="0" collapsed="false">
      <c r="A241" s="47" t="n">
        <v>45900</v>
      </c>
      <c r="B241" s="48" t="s">
        <v>389</v>
      </c>
      <c r="C241" s="49" t="n">
        <v>5261</v>
      </c>
      <c r="D241" s="49" t="n">
        <v>5261</v>
      </c>
      <c r="E241" s="49" t="n">
        <v>5243</v>
      </c>
      <c r="F241" s="49" t="n">
        <v>0</v>
      </c>
      <c r="G241" s="50" t="n">
        <f aca="false">IF($A241="","",IF(ISNUMBER($G240),$G240+1,1))</f>
        <v>237</v>
      </c>
      <c r="H241" s="51" t="n">
        <f aca="false">IF(OR(NOT(ISNUMBER($G241)),$G241&lt;2,NOT(ISNUMBER($C240)),$C240=0),"",$C241/$C240-1)</f>
        <v>0.00133231823372659</v>
      </c>
      <c r="I241" s="52" t="n">
        <f aca="false">IF(AND(ISNUMBER($G241),$G241&gt;=MA_SHORT),AVERAGE(INDEX($C$5:$C241,238-MA_SHORT):$C241),"")</f>
        <v>5163.1</v>
      </c>
      <c r="J241" s="52" t="n">
        <f aca="false">IF(AND(ISNUMBER($G241),$G241&gt;=MA_MED),AVERAGE(INDEX($C$5:$C241,238-MA_MED):$C241),"")</f>
        <v>5033.44</v>
      </c>
      <c r="K241" s="52" t="n">
        <f aca="false">IF(AND(ISNUMBER($G241),$G241&gt;=MA_LONG2),AVERAGE(INDEX($C$5:$C241,238-MA_LONG2):$C241),"")</f>
        <v>4093.985</v>
      </c>
      <c r="L241" s="53" t="n">
        <f aca="false">IF(AND(ISNUMBER($G241),$G241&gt;=21),STDEV(INDEX($H$181:$H241,62-20):$H241)*SQRT(245),"")</f>
        <v>0.143257971880323</v>
      </c>
      <c r="M241" s="52" t="n">
        <f aca="false">IF(AND(ISNUMBER($G241),$G241&gt;=60),MAX(INDEX($D$41:$D241,202-60):$D241),"")</f>
        <v>5294</v>
      </c>
      <c r="N241" s="52" t="n">
        <f aca="false">IF(AND(ISNUMBER($G241),$G241&gt;=60),MIN(INDEX($E$41:$E241,202-60):$E241),"")</f>
        <v>4531</v>
      </c>
      <c r="O241" s="53" t="n">
        <f aca="false">IF(OR(NOT(ISNUMBER($C241)),NOT(ISNUMBER($M241)),$M241=0),"",$C241/$M241-1)</f>
        <v>-0.00623347185493006</v>
      </c>
    </row>
    <row r="242" customFormat="false" ht="15" hidden="false" customHeight="false" outlineLevel="0" collapsed="false">
      <c r="A242" s="47" t="n">
        <v>45901</v>
      </c>
      <c r="B242" s="48" t="s">
        <v>390</v>
      </c>
      <c r="C242" s="49" t="n">
        <v>5445</v>
      </c>
      <c r="D242" s="49" t="n">
        <v>5461</v>
      </c>
      <c r="E242" s="49" t="n">
        <v>5422</v>
      </c>
      <c r="F242" s="49" t="n">
        <v>0</v>
      </c>
      <c r="G242" s="50" t="n">
        <f aca="false">IF($A242="","",IF(ISNUMBER($G241),$G241+1,1))</f>
        <v>238</v>
      </c>
      <c r="H242" s="51" t="n">
        <f aca="false">IF(OR(NOT(ISNUMBER($G242)),$G242&lt;2,NOT(ISNUMBER($C241)),$C241=0),"",$C242/$C241-1)</f>
        <v>0.0349743394791864</v>
      </c>
      <c r="I242" s="52" t="n">
        <f aca="false">IF(AND(ISNUMBER($G242),$G242&gt;=MA_SHORT),AVERAGE(INDEX($C$5:$C242,239-MA_SHORT):$C242),"")</f>
        <v>5182.3</v>
      </c>
      <c r="J242" s="52" t="n">
        <f aca="false">IF(AND(ISNUMBER($G242),$G242&gt;=MA_MED),AVERAGE(INDEX($C$5:$C242,239-MA_MED):$C242),"")</f>
        <v>5046.9</v>
      </c>
      <c r="K242" s="52" t="n">
        <f aca="false">IF(AND(ISNUMBER($G242),$G242&gt;=MA_LONG2),AVERAGE(INDEX($C$5:$C242,239-MA_LONG2):$C242),"")</f>
        <v>4105.305</v>
      </c>
      <c r="L242" s="53" t="n">
        <f aca="false">IF(AND(ISNUMBER($G242),$G242&gt;=21),STDEV(INDEX($H$182:$H242,62-20):$H242)*SQRT(245),"")</f>
        <v>0.177871828984276</v>
      </c>
      <c r="M242" s="52" t="n">
        <f aca="false">IF(AND(ISNUMBER($G242),$G242&gt;=60),MAX(INDEX($D$42:$D242,202-60):$D242),"")</f>
        <v>5461</v>
      </c>
      <c r="N242" s="52" t="n">
        <f aca="false">IF(AND(ISNUMBER($G242),$G242&gt;=60),MIN(INDEX($E$42:$E242,202-60):$E242),"")</f>
        <v>4531</v>
      </c>
      <c r="O242" s="53" t="n">
        <f aca="false">IF(OR(NOT(ISNUMBER($C242)),NOT(ISNUMBER($M242)),$M242=0),"",$C242/$M242-1)</f>
        <v>-0.00292986632484893</v>
      </c>
    </row>
    <row r="243" customFormat="false" ht="15" hidden="false" customHeight="false" outlineLevel="0" collapsed="false">
      <c r="A243" s="47" t="n">
        <v>45902</v>
      </c>
      <c r="B243" s="48" t="s">
        <v>391</v>
      </c>
      <c r="C243" s="49" t="n">
        <v>5469</v>
      </c>
      <c r="D243" s="49" t="n">
        <v>5494</v>
      </c>
      <c r="E243" s="49" t="n">
        <v>5467</v>
      </c>
      <c r="F243" s="49" t="n">
        <v>0</v>
      </c>
      <c r="G243" s="50" t="n">
        <f aca="false">IF($A243="","",IF(ISNUMBER($G242),$G242+1,1))</f>
        <v>239</v>
      </c>
      <c r="H243" s="51" t="n">
        <f aca="false">IF(OR(NOT(ISNUMBER($G243)),$G243&lt;2,NOT(ISNUMBER($C242)),$C242=0),"",$C243/$C242-1)</f>
        <v>0.00440771349862268</v>
      </c>
      <c r="I243" s="52" t="n">
        <f aca="false">IF(AND(ISNUMBER($G243),$G243&gt;=MA_SHORT),AVERAGE(INDEX($C$5:$C243,240-MA_SHORT):$C243),"")</f>
        <v>5202.3</v>
      </c>
      <c r="J243" s="52" t="n">
        <f aca="false">IF(AND(ISNUMBER($G243),$G243&gt;=MA_MED),AVERAGE(INDEX($C$5:$C243,240-MA_MED):$C243),"")</f>
        <v>5059.16</v>
      </c>
      <c r="K243" s="52" t="n">
        <f aca="false">IF(AND(ISNUMBER($G243),$G243&gt;=MA_LONG2),AVERAGE(INDEX($C$5:$C243,240-MA_LONG2):$C243),"")</f>
        <v>4116.695</v>
      </c>
      <c r="L243" s="53" t="n">
        <f aca="false">IF(AND(ISNUMBER($G243),$G243&gt;=21),STDEV(INDEX($H$183:$H243,62-20):$H243)*SQRT(245),"")</f>
        <v>0.177707657418512</v>
      </c>
      <c r="M243" s="52" t="n">
        <f aca="false">IF(AND(ISNUMBER($G243),$G243&gt;=60),MAX(INDEX($D$43:$D243,202-60):$D243),"")</f>
        <v>5494</v>
      </c>
      <c r="N243" s="52" t="n">
        <f aca="false">IF(AND(ISNUMBER($G243),$G243&gt;=60),MIN(INDEX($E$43:$E243,202-60):$E243),"")</f>
        <v>4531</v>
      </c>
      <c r="O243" s="53" t="n">
        <f aca="false">IF(OR(NOT(ISNUMBER($C243)),NOT(ISNUMBER($M243)),$M243=0),"",$C243/$M243-1)</f>
        <v>-0.0045504186385148</v>
      </c>
    </row>
    <row r="244" customFormat="false" ht="15" hidden="false" customHeight="false" outlineLevel="0" collapsed="false">
      <c r="A244" s="47" t="n">
        <v>45903</v>
      </c>
      <c r="B244" s="48" t="s">
        <v>392</v>
      </c>
      <c r="C244" s="49" t="n">
        <v>5412</v>
      </c>
      <c r="D244" s="49" t="n">
        <v>5437</v>
      </c>
      <c r="E244" s="49" t="n">
        <v>5397</v>
      </c>
      <c r="F244" s="49" t="n">
        <v>0</v>
      </c>
      <c r="G244" s="50" t="n">
        <f aca="false">IF($A244="","",IF(ISNUMBER($G243),$G243+1,1))</f>
        <v>240</v>
      </c>
      <c r="H244" s="51" t="n">
        <f aca="false">IF(OR(NOT(ISNUMBER($G244)),$G244&lt;2,NOT(ISNUMBER($C243)),$C243=0),"",$C244/$C243-1)</f>
        <v>-0.0104223806911684</v>
      </c>
      <c r="I244" s="52" t="n">
        <f aca="false">IF(AND(ISNUMBER($G244),$G244&gt;=MA_SHORT),AVERAGE(INDEX($C$5:$C244,241-MA_SHORT):$C244),"")</f>
        <v>5218.15</v>
      </c>
      <c r="J244" s="52" t="n">
        <f aca="false">IF(AND(ISNUMBER($G244),$G244&gt;=MA_MED),AVERAGE(INDEX($C$5:$C244,241-MA_MED):$C244),"")</f>
        <v>5071.64</v>
      </c>
      <c r="K244" s="52" t="n">
        <f aca="false">IF(AND(ISNUMBER($G244),$G244&gt;=MA_LONG2),AVERAGE(INDEX($C$5:$C244,241-MA_LONG2):$C244),"")</f>
        <v>4127.765</v>
      </c>
      <c r="L244" s="53" t="n">
        <f aca="false">IF(AND(ISNUMBER($G244),$G244&gt;=21),STDEV(INDEX($H$184:$H244,62-20):$H244)*SQRT(245),"")</f>
        <v>0.184488206863806</v>
      </c>
      <c r="M244" s="52" t="n">
        <f aca="false">IF(AND(ISNUMBER($G244),$G244&gt;=60),MAX(INDEX($D$44:$D244,202-60):$D244),"")</f>
        <v>5494</v>
      </c>
      <c r="N244" s="52" t="n">
        <f aca="false">IF(AND(ISNUMBER($G244),$G244&gt;=60),MIN(INDEX($E$44:$E244,202-60):$E244),"")</f>
        <v>4531</v>
      </c>
      <c r="O244" s="53" t="n">
        <f aca="false">IF(OR(NOT(ISNUMBER($C244)),NOT(ISNUMBER($M244)),$M244=0),"",$C244/$M244-1)</f>
        <v>-0.0149253731343284</v>
      </c>
    </row>
    <row r="245" customFormat="false" ht="15" hidden="false" customHeight="false" outlineLevel="0" collapsed="false">
      <c r="A245" s="47" t="n">
        <v>45906</v>
      </c>
      <c r="B245" s="48" t="s">
        <v>393</v>
      </c>
      <c r="C245" s="49" t="n">
        <v>5432</v>
      </c>
      <c r="D245" s="49" t="n">
        <v>5435</v>
      </c>
      <c r="E245" s="49" t="n">
        <v>5421</v>
      </c>
      <c r="F245" s="49" t="n">
        <v>0</v>
      </c>
      <c r="G245" s="50" t="n">
        <f aca="false">IF($A245="","",IF(ISNUMBER($G244),$G244+1,1))</f>
        <v>241</v>
      </c>
      <c r="H245" s="51" t="n">
        <f aca="false">IF(OR(NOT(ISNUMBER($G245)),$G245&lt;2,NOT(ISNUMBER($C244)),$C244=0),"",$C245/$C244-1)</f>
        <v>0.00369549150036952</v>
      </c>
      <c r="I245" s="52" t="n">
        <f aca="false">IF(AND(ISNUMBER($G245),$G245&gt;=MA_SHORT),AVERAGE(INDEX($C$5:$C245,242-MA_SHORT):$C245),"")</f>
        <v>5232.35</v>
      </c>
      <c r="J245" s="52" t="n">
        <f aca="false">IF(AND(ISNUMBER($G245),$G245&gt;=MA_MED),AVERAGE(INDEX($C$5:$C245,242-MA_MED):$C245),"")</f>
        <v>5082.8</v>
      </c>
      <c r="K245" s="52" t="n">
        <f aca="false">IF(AND(ISNUMBER($G245),$G245&gt;=MA_LONG2),AVERAGE(INDEX($C$5:$C245,242-MA_LONG2):$C245),"")</f>
        <v>4139.38</v>
      </c>
      <c r="L245" s="53" t="n">
        <f aca="false">IF(AND(ISNUMBER($G245),$G245&gt;=21),STDEV(INDEX($H$185:$H245,62-20):$H245)*SQRT(245),"")</f>
        <v>0.182542571808869</v>
      </c>
      <c r="M245" s="52" t="n">
        <f aca="false">IF(AND(ISNUMBER($G245),$G245&gt;=60),MAX(INDEX($D$45:$D245,202-60):$D245),"")</f>
        <v>5494</v>
      </c>
      <c r="N245" s="52" t="n">
        <f aca="false">IF(AND(ISNUMBER($G245),$G245&gt;=60),MIN(INDEX($E$45:$E245,202-60):$E245),"")</f>
        <v>4531</v>
      </c>
      <c r="O245" s="53" t="n">
        <f aca="false">IF(OR(NOT(ISNUMBER($C245)),NOT(ISNUMBER($M245)),$M245=0),"",$C245/$M245-1)</f>
        <v>-0.0112850382235166</v>
      </c>
    </row>
    <row r="246" customFormat="false" ht="15" hidden="false" customHeight="false" outlineLevel="0" collapsed="false">
      <c r="A246" s="47" t="n">
        <v>45907</v>
      </c>
      <c r="B246" s="48" t="s">
        <v>394</v>
      </c>
      <c r="C246" s="49" t="n">
        <v>5492</v>
      </c>
      <c r="D246" s="49" t="n">
        <v>5521</v>
      </c>
      <c r="E246" s="49" t="n">
        <v>5443</v>
      </c>
      <c r="F246" s="49" t="n">
        <v>0</v>
      </c>
      <c r="G246" s="50" t="n">
        <f aca="false">IF($A246="","",IF(ISNUMBER($G245),$G245+1,1))</f>
        <v>242</v>
      </c>
      <c r="H246" s="51" t="n">
        <f aca="false">IF(OR(NOT(ISNUMBER($G246)),$G246&lt;2,NOT(ISNUMBER($C245)),$C245=0),"",$C246/$C245-1)</f>
        <v>0.0110456553755522</v>
      </c>
      <c r="I246" s="52" t="n">
        <f aca="false">IF(AND(ISNUMBER($G246),$G246&gt;=MA_SHORT),AVERAGE(INDEX($C$5:$C246,243-MA_SHORT):$C246),"")</f>
        <v>5250.1</v>
      </c>
      <c r="J246" s="52" t="n">
        <f aca="false">IF(AND(ISNUMBER($G246),$G246&gt;=MA_MED),AVERAGE(INDEX($C$5:$C246,243-MA_MED):$C246),"")</f>
        <v>5095.2</v>
      </c>
      <c r="K246" s="52" t="n">
        <f aca="false">IF(AND(ISNUMBER($G246),$G246&gt;=MA_LONG2),AVERAGE(INDEX($C$5:$C246,243-MA_LONG2):$C246),"")</f>
        <v>4151.665</v>
      </c>
      <c r="L246" s="53" t="n">
        <f aca="false">IF(AND(ISNUMBER($G246),$G246&gt;=21),STDEV(INDEX($H$186:$H246,62-20):$H246)*SQRT(245),"")</f>
        <v>0.183815952197358</v>
      </c>
      <c r="M246" s="52" t="n">
        <f aca="false">IF(AND(ISNUMBER($G246),$G246&gt;=60),MAX(INDEX($D$46:$D246,202-60):$D246),"")</f>
        <v>5521</v>
      </c>
      <c r="N246" s="52" t="n">
        <f aca="false">IF(AND(ISNUMBER($G246),$G246&gt;=60),MIN(INDEX($E$46:$E246,202-60):$E246),"")</f>
        <v>4565</v>
      </c>
      <c r="O246" s="53" t="n">
        <f aca="false">IF(OR(NOT(ISNUMBER($C246)),NOT(ISNUMBER($M246)),$M246=0),"",$C246/$M246-1)</f>
        <v>-0.00525267161746057</v>
      </c>
    </row>
    <row r="247" customFormat="false" ht="15" hidden="false" customHeight="false" outlineLevel="0" collapsed="false">
      <c r="A247" s="47" t="n">
        <v>45908</v>
      </c>
      <c r="B247" s="48" t="s">
        <v>395</v>
      </c>
      <c r="C247" s="49" t="n">
        <v>5449</v>
      </c>
      <c r="D247" s="49" t="n">
        <v>5482</v>
      </c>
      <c r="E247" s="49" t="n">
        <v>5441</v>
      </c>
      <c r="F247" s="49" t="n">
        <v>0</v>
      </c>
      <c r="G247" s="50" t="n">
        <f aca="false">IF($A247="","",IF(ISNUMBER($G246),$G246+1,1))</f>
        <v>243</v>
      </c>
      <c r="H247" s="51" t="n">
        <f aca="false">IF(OR(NOT(ISNUMBER($G247)),$G247&lt;2,NOT(ISNUMBER($C246)),$C246=0),"",$C247/$C246-1)</f>
        <v>-0.00782957028404951</v>
      </c>
      <c r="I247" s="52" t="n">
        <f aca="false">IF(AND(ISNUMBER($G247),$G247&gt;=MA_SHORT),AVERAGE(INDEX($C$5:$C247,244-MA_SHORT):$C247),"")</f>
        <v>5262.9</v>
      </c>
      <c r="J247" s="52" t="n">
        <f aca="false">IF(AND(ISNUMBER($G247),$G247&gt;=MA_MED),AVERAGE(INDEX($C$5:$C247,244-MA_MED):$C247),"")</f>
        <v>5105.94</v>
      </c>
      <c r="K247" s="52" t="n">
        <f aca="false">IF(AND(ISNUMBER($G247),$G247&gt;=MA_LONG2),AVERAGE(INDEX($C$5:$C247,244-MA_LONG2):$C247),"")</f>
        <v>4163.49</v>
      </c>
      <c r="L247" s="53" t="n">
        <f aca="false">IF(AND(ISNUMBER($G247),$G247&gt;=21),STDEV(INDEX($H$187:$H247,62-20):$H247)*SQRT(245),"")</f>
        <v>0.185656346309899</v>
      </c>
      <c r="M247" s="52" t="n">
        <f aca="false">IF(AND(ISNUMBER($G247),$G247&gt;=60),MAX(INDEX($D$47:$D247,202-60):$D247),"")</f>
        <v>5521</v>
      </c>
      <c r="N247" s="52" t="n">
        <f aca="false">IF(AND(ISNUMBER($G247),$G247&gt;=60),MIN(INDEX($E$47:$E247,202-60):$E247),"")</f>
        <v>4625</v>
      </c>
      <c r="O247" s="53" t="n">
        <f aca="false">IF(OR(NOT(ISNUMBER($C247)),NOT(ISNUMBER($M247)),$M247=0),"",$C247/$M247-1)</f>
        <v>-0.0130411157399022</v>
      </c>
    </row>
    <row r="248" customFormat="false" ht="15" hidden="false" customHeight="false" outlineLevel="0" collapsed="false">
      <c r="A248" s="47" t="n">
        <v>45909</v>
      </c>
      <c r="B248" s="48" t="s">
        <v>396</v>
      </c>
      <c r="C248" s="49" t="n">
        <v>5397</v>
      </c>
      <c r="D248" s="49" t="n">
        <v>5400</v>
      </c>
      <c r="E248" s="49" t="n">
        <v>5396</v>
      </c>
      <c r="F248" s="49" t="n">
        <v>0</v>
      </c>
      <c r="G248" s="50" t="n">
        <f aca="false">IF($A248="","",IF(ISNUMBER($G247),$G247+1,1))</f>
        <v>244</v>
      </c>
      <c r="H248" s="51" t="n">
        <f aca="false">IF(OR(NOT(ISNUMBER($G248)),$G248&lt;2,NOT(ISNUMBER($C247)),$C247=0),"",$C248/$C247-1)</f>
        <v>-0.00954303541934298</v>
      </c>
      <c r="I248" s="52" t="n">
        <f aca="false">IF(AND(ISNUMBER($G248),$G248&gt;=MA_SHORT),AVERAGE(INDEX($C$5:$C248,245-MA_SHORT):$C248),"")</f>
        <v>5270.85</v>
      </c>
      <c r="J248" s="52" t="n">
        <f aca="false">IF(AND(ISNUMBER($G248),$G248&gt;=MA_MED),AVERAGE(INDEX($C$5:$C248,245-MA_MED):$C248),"")</f>
        <v>5116.62</v>
      </c>
      <c r="K248" s="52" t="n">
        <f aca="false">IF(AND(ISNUMBER($G248),$G248&gt;=MA_LONG2),AVERAGE(INDEX($C$5:$C248,245-MA_LONG2):$C248),"")</f>
        <v>4175.025</v>
      </c>
      <c r="L248" s="53" t="n">
        <f aca="false">IF(AND(ISNUMBER($G248),$G248&gt;=21),STDEV(INDEX($H$188:$H248,62-20):$H248)*SQRT(245),"")</f>
        <v>0.18874029011194</v>
      </c>
      <c r="M248" s="52" t="n">
        <f aca="false">IF(AND(ISNUMBER($G248),$G248&gt;=60),MAX(INDEX($D$48:$D248,202-60):$D248),"")</f>
        <v>5521</v>
      </c>
      <c r="N248" s="52" t="n">
        <f aca="false">IF(AND(ISNUMBER($G248),$G248&gt;=60),MIN(INDEX($E$48:$E248,202-60):$E248),"")</f>
        <v>4745</v>
      </c>
      <c r="O248" s="53" t="n">
        <f aca="false">IF(OR(NOT(ISNUMBER($C248)),NOT(ISNUMBER($M248)),$M248=0),"",$C248/$M248-1)</f>
        <v>-0.0224596993298316</v>
      </c>
    </row>
    <row r="249" customFormat="false" ht="15" hidden="false" customHeight="false" outlineLevel="0" collapsed="false">
      <c r="A249" s="47" t="n">
        <v>45910</v>
      </c>
      <c r="B249" s="48" t="s">
        <v>397</v>
      </c>
      <c r="C249" s="49" t="n">
        <v>5444</v>
      </c>
      <c r="D249" s="49" t="n">
        <v>5460</v>
      </c>
      <c r="E249" s="49" t="n">
        <v>5408</v>
      </c>
      <c r="F249" s="49" t="n">
        <v>0</v>
      </c>
      <c r="G249" s="50" t="n">
        <f aca="false">IF($A249="","",IF(ISNUMBER($G248),$G248+1,1))</f>
        <v>245</v>
      </c>
      <c r="H249" s="51" t="n">
        <f aca="false">IF(OR(NOT(ISNUMBER($G249)),$G249&lt;2,NOT(ISNUMBER($C248)),$C248=0),"",$C249/$C248-1)</f>
        <v>0.00870854178247171</v>
      </c>
      <c r="I249" s="52" t="n">
        <f aca="false">IF(AND(ISNUMBER($G249),$G249&gt;=MA_SHORT),AVERAGE(INDEX($C$5:$C249,246-MA_SHORT):$C249),"")</f>
        <v>5279.05</v>
      </c>
      <c r="J249" s="52" t="n">
        <f aca="false">IF(AND(ISNUMBER($G249),$G249&gt;=MA_MED),AVERAGE(INDEX($C$5:$C249,246-MA_MED):$C249),"")</f>
        <v>5128.18</v>
      </c>
      <c r="K249" s="52" t="n">
        <f aca="false">IF(AND(ISNUMBER($G249),$G249&gt;=MA_LONG2),AVERAGE(INDEX($C$5:$C249,246-MA_LONG2):$C249),"")</f>
        <v>4186.875</v>
      </c>
      <c r="L249" s="53" t="n">
        <f aca="false">IF(AND(ISNUMBER($G249),$G249&gt;=21),STDEV(INDEX($H$189:$H249,62-20):$H249)*SQRT(245),"")</f>
        <v>0.189059798098047</v>
      </c>
      <c r="M249" s="52" t="n">
        <f aca="false">IF(AND(ISNUMBER($G249),$G249&gt;=60),MAX(INDEX($D$49:$D249,202-60):$D249),"")</f>
        <v>5521</v>
      </c>
      <c r="N249" s="52" t="n">
        <f aca="false">IF(AND(ISNUMBER($G249),$G249&gt;=60),MIN(INDEX($E$49:$E249,202-60):$E249),"")</f>
        <v>4762</v>
      </c>
      <c r="O249" s="53" t="n">
        <f aca="false">IF(OR(NOT(ISNUMBER($C249)),NOT(ISNUMBER($M249)),$M249=0),"",$C249/$M249-1)</f>
        <v>-0.0139467487773954</v>
      </c>
    </row>
    <row r="250" customFormat="false" ht="15" hidden="false" customHeight="false" outlineLevel="0" collapsed="false">
      <c r="A250" s="47" t="n">
        <v>45913</v>
      </c>
      <c r="B250" s="48" t="s">
        <v>398</v>
      </c>
      <c r="C250" s="49" t="n">
        <v>5429</v>
      </c>
      <c r="D250" s="49" t="n">
        <v>5467</v>
      </c>
      <c r="E250" s="49" t="n">
        <v>5411</v>
      </c>
      <c r="F250" s="49" t="n">
        <v>0</v>
      </c>
      <c r="G250" s="50" t="n">
        <f aca="false">IF($A250="","",IF(ISNUMBER($G249),$G249+1,1))</f>
        <v>246</v>
      </c>
      <c r="H250" s="51" t="n">
        <f aca="false">IF(OR(NOT(ISNUMBER($G250)),$G250&lt;2,NOT(ISNUMBER($C249)),$C249=0),"",$C250/$C249-1)</f>
        <v>-0.00275532696546654</v>
      </c>
      <c r="I250" s="52" t="n">
        <f aca="false">IF(AND(ISNUMBER($G250),$G250&gt;=MA_SHORT),AVERAGE(INDEX($C$5:$C250,247-MA_SHORT):$C250),"")</f>
        <v>5288.3</v>
      </c>
      <c r="J250" s="52" t="n">
        <f aca="false">IF(AND(ISNUMBER($G250),$G250&gt;=MA_MED),AVERAGE(INDEX($C$5:$C250,247-MA_MED):$C250),"")</f>
        <v>5138.04</v>
      </c>
      <c r="K250" s="52" t="n">
        <f aca="false">IF(AND(ISNUMBER($G250),$G250&gt;=MA_LONG2),AVERAGE(INDEX($C$5:$C250,247-MA_LONG2):$C250),"")</f>
        <v>4198.62</v>
      </c>
      <c r="L250" s="53" t="n">
        <f aca="false">IF(AND(ISNUMBER($G250),$G250&gt;=21),STDEV(INDEX($H$190:$H250,62-20):$H250)*SQRT(245),"")</f>
        <v>0.18725340825965</v>
      </c>
      <c r="M250" s="52" t="n">
        <f aca="false">IF(AND(ISNUMBER($G250),$G250&gt;=60),MAX(INDEX($D$50:$D250,202-60):$D250),"")</f>
        <v>5521</v>
      </c>
      <c r="N250" s="52" t="n">
        <f aca="false">IF(AND(ISNUMBER($G250),$G250&gt;=60),MIN(INDEX($E$50:$E250,202-60):$E250),"")</f>
        <v>4762</v>
      </c>
      <c r="O250" s="53" t="n">
        <f aca="false">IF(OR(NOT(ISNUMBER($C250)),NOT(ISNUMBER($M250)),$M250=0),"",$C250/$M250-1)</f>
        <v>-0.0166636478898751</v>
      </c>
    </row>
    <row r="251" customFormat="false" ht="15" hidden="false" customHeight="false" outlineLevel="0" collapsed="false">
      <c r="A251" s="47" t="n">
        <v>45914</v>
      </c>
      <c r="B251" s="48" t="s">
        <v>399</v>
      </c>
      <c r="C251" s="49" t="n">
        <v>5344</v>
      </c>
      <c r="D251" s="49" t="n">
        <v>5364</v>
      </c>
      <c r="E251" s="49" t="n">
        <v>5295</v>
      </c>
      <c r="F251" s="49" t="n">
        <v>0</v>
      </c>
      <c r="G251" s="50" t="n">
        <f aca="false">IF($A251="","",IF(ISNUMBER($G250),$G250+1,1))</f>
        <v>247</v>
      </c>
      <c r="H251" s="51" t="n">
        <f aca="false">IF(OR(NOT(ISNUMBER($G251)),$G251&lt;2,NOT(ISNUMBER($C250)),$C250=0),"",$C251/$C250-1)</f>
        <v>-0.0156566586848407</v>
      </c>
      <c r="I251" s="52" t="n">
        <f aca="false">IF(AND(ISNUMBER($G251),$G251&gt;=MA_SHORT),AVERAGE(INDEX($C$5:$C251,248-MA_SHORT):$C251),"")</f>
        <v>5297.15</v>
      </c>
      <c r="J251" s="52" t="n">
        <f aca="false">IF(AND(ISNUMBER($G251),$G251&gt;=MA_MED),AVERAGE(INDEX($C$5:$C251,248-MA_MED):$C251),"")</f>
        <v>5147.66</v>
      </c>
      <c r="K251" s="52" t="n">
        <f aca="false">IF(AND(ISNUMBER($G251),$G251&gt;=MA_LONG2),AVERAGE(INDEX($C$5:$C251,248-MA_LONG2):$C251),"")</f>
        <v>4209.935</v>
      </c>
      <c r="L251" s="53" t="n">
        <f aca="false">IF(AND(ISNUMBER($G251),$G251&gt;=21),STDEV(INDEX($H$191:$H251,62-20):$H251)*SQRT(245),"")</f>
        <v>0.188385813188486</v>
      </c>
      <c r="M251" s="52" t="n">
        <f aca="false">IF(AND(ISNUMBER($G251),$G251&gt;=60),MAX(INDEX($D$51:$D251,202-60):$D251),"")</f>
        <v>5521</v>
      </c>
      <c r="N251" s="52" t="n">
        <f aca="false">IF(AND(ISNUMBER($G251),$G251&gt;=60),MIN(INDEX($E$51:$E251,202-60):$E251),"")</f>
        <v>4763</v>
      </c>
      <c r="O251" s="53" t="n">
        <f aca="false">IF(OR(NOT(ISNUMBER($C251)),NOT(ISNUMBER($M251)),$M251=0),"",$C251/$M251-1)</f>
        <v>-0.0320594095272596</v>
      </c>
    </row>
    <row r="252" customFormat="false" ht="15" hidden="false" customHeight="false" outlineLevel="0" collapsed="false">
      <c r="A252" s="47" t="n">
        <v>45915</v>
      </c>
      <c r="B252" s="48" t="s">
        <v>400</v>
      </c>
      <c r="C252" s="49" t="n">
        <v>5306</v>
      </c>
      <c r="D252" s="49" t="n">
        <v>5329</v>
      </c>
      <c r="E252" s="49" t="n">
        <v>5283</v>
      </c>
      <c r="F252" s="49" t="n">
        <v>0</v>
      </c>
      <c r="G252" s="50" t="n">
        <f aca="false">IF($A252="","",IF(ISNUMBER($G251),$G251+1,1))</f>
        <v>248</v>
      </c>
      <c r="H252" s="51" t="n">
        <f aca="false">IF(OR(NOT(ISNUMBER($G252)),$G252&lt;2,NOT(ISNUMBER($C251)),$C251=0),"",$C252/$C251-1)</f>
        <v>-0.00711077844311381</v>
      </c>
      <c r="I252" s="52" t="n">
        <f aca="false">IF(AND(ISNUMBER($G252),$G252&gt;=MA_SHORT),AVERAGE(INDEX($C$5:$C252,249-MA_SHORT):$C252),"")</f>
        <v>5306.65</v>
      </c>
      <c r="J252" s="52" t="n">
        <f aca="false">IF(AND(ISNUMBER($G252),$G252&gt;=MA_MED),AVERAGE(INDEX($C$5:$C252,249-MA_MED):$C252),"")</f>
        <v>5156.34</v>
      </c>
      <c r="K252" s="52" t="n">
        <f aca="false">IF(AND(ISNUMBER($G252),$G252&gt;=MA_LONG2),AVERAGE(INDEX($C$5:$C252,249-MA_LONG2):$C252),"")</f>
        <v>4221.185</v>
      </c>
      <c r="L252" s="53" t="n">
        <f aca="false">IF(AND(ISNUMBER($G252),$G252&gt;=21),STDEV(INDEX($H$192:$H252,62-20):$H252)*SQRT(245),"")</f>
        <v>0.186427574449068</v>
      </c>
      <c r="M252" s="52" t="n">
        <f aca="false">IF(AND(ISNUMBER($G252),$G252&gt;=60),MAX(INDEX($D$52:$D252,202-60):$D252),"")</f>
        <v>5521</v>
      </c>
      <c r="N252" s="52" t="n">
        <f aca="false">IF(AND(ISNUMBER($G252),$G252&gt;=60),MIN(INDEX($E$52:$E252,202-60):$E252),"")</f>
        <v>4787</v>
      </c>
      <c r="O252" s="53" t="n">
        <f aca="false">IF(OR(NOT(ISNUMBER($C252)),NOT(ISNUMBER($M252)),$M252=0),"",$C252/$M252-1)</f>
        <v>-0.038942220612208</v>
      </c>
    </row>
    <row r="253" customFormat="false" ht="15" hidden="false" customHeight="false" outlineLevel="0" collapsed="false">
      <c r="A253" s="47" t="n">
        <v>45916</v>
      </c>
      <c r="B253" s="48" t="s">
        <v>401</v>
      </c>
      <c r="C253" s="49" t="n">
        <v>5383</v>
      </c>
      <c r="D253" s="49" t="n">
        <v>5420</v>
      </c>
      <c r="E253" s="49" t="n">
        <v>5356</v>
      </c>
      <c r="F253" s="49" t="n">
        <v>0</v>
      </c>
      <c r="G253" s="50" t="n">
        <f aca="false">IF($A253="","",IF(ISNUMBER($G252),$G252+1,1))</f>
        <v>249</v>
      </c>
      <c r="H253" s="51" t="n">
        <f aca="false">IF(OR(NOT(ISNUMBER($G253)),$G253&lt;2,NOT(ISNUMBER($C252)),$C252=0),"",$C253/$C252-1)</f>
        <v>0.0145118733509235</v>
      </c>
      <c r="I253" s="52" t="n">
        <f aca="false">IF(AND(ISNUMBER($G253),$G253&gt;=MA_SHORT),AVERAGE(INDEX($C$5:$C253,250-MA_SHORT):$C253),"")</f>
        <v>5320.3</v>
      </c>
      <c r="J253" s="52" t="n">
        <f aca="false">IF(AND(ISNUMBER($G253),$G253&gt;=MA_MED),AVERAGE(INDEX($C$5:$C253,250-MA_MED):$C253),"")</f>
        <v>5165.7</v>
      </c>
      <c r="K253" s="52" t="n">
        <f aca="false">IF(AND(ISNUMBER($G253),$G253&gt;=MA_LONG2),AVERAGE(INDEX($C$5:$C253,250-MA_LONG2):$C253),"")</f>
        <v>4232.845</v>
      </c>
      <c r="L253" s="53" t="n">
        <f aca="false">IF(AND(ISNUMBER($G253),$G253&gt;=21),STDEV(INDEX($H$193:$H253,62-20):$H253)*SQRT(245),"")</f>
        <v>0.191126215605585</v>
      </c>
      <c r="M253" s="52" t="n">
        <f aca="false">IF(AND(ISNUMBER($G253),$G253&gt;=60),MAX(INDEX($D$53:$D253,202-60):$D253),"")</f>
        <v>5521</v>
      </c>
      <c r="N253" s="52" t="n">
        <f aca="false">IF(AND(ISNUMBER($G253),$G253&gt;=60),MIN(INDEX($E$53:$E253,202-60):$E253),"")</f>
        <v>4787</v>
      </c>
      <c r="O253" s="53" t="n">
        <f aca="false">IF(OR(NOT(ISNUMBER($C253)),NOT(ISNUMBER($M253)),$M253=0),"",$C253/$M253-1)</f>
        <v>-0.0249954718348125</v>
      </c>
    </row>
    <row r="254" customFormat="false" ht="15" hidden="false" customHeight="false" outlineLevel="0" collapsed="false">
      <c r="A254" s="47" t="n">
        <v>45917</v>
      </c>
      <c r="B254" s="48" t="s">
        <v>402</v>
      </c>
      <c r="C254" s="49" t="n">
        <v>5369</v>
      </c>
      <c r="D254" s="49" t="n">
        <v>5386</v>
      </c>
      <c r="E254" s="49" t="n">
        <v>5365</v>
      </c>
      <c r="F254" s="49" t="n">
        <v>0</v>
      </c>
      <c r="G254" s="50" t="n">
        <f aca="false">IF($A254="","",IF(ISNUMBER($G253),$G253+1,1))</f>
        <v>250</v>
      </c>
      <c r="H254" s="51" t="n">
        <f aca="false">IF(OR(NOT(ISNUMBER($G254)),$G254&lt;2,NOT(ISNUMBER($C253)),$C253=0),"",$C254/$C253-1)</f>
        <v>-0.00260078023407018</v>
      </c>
      <c r="I254" s="52" t="n">
        <f aca="false">IF(AND(ISNUMBER($G254),$G254&gt;=MA_SHORT),AVERAGE(INDEX($C$5:$C254,251-MA_SHORT):$C254),"")</f>
        <v>5329.95</v>
      </c>
      <c r="J254" s="52" t="n">
        <f aca="false">IF(AND(ISNUMBER($G254),$G254&gt;=MA_MED),AVERAGE(INDEX($C$5:$C254,251-MA_MED):$C254),"")</f>
        <v>5175.16</v>
      </c>
      <c r="K254" s="52" t="n">
        <f aca="false">IF(AND(ISNUMBER($G254),$G254&gt;=MA_LONG2),AVERAGE(INDEX($C$5:$C254,251-MA_LONG2):$C254),"")</f>
        <v>4244.135</v>
      </c>
      <c r="L254" s="53" t="n">
        <f aca="false">IF(AND(ISNUMBER($G254),$G254&gt;=21),STDEV(INDEX($H$194:$H254,62-20):$H254)*SQRT(245),"")</f>
        <v>0.188098324046335</v>
      </c>
      <c r="M254" s="52" t="n">
        <f aca="false">IF(AND(ISNUMBER($G254),$G254&gt;=60),MAX(INDEX($D$54:$D254,202-60):$D254),"")</f>
        <v>5521</v>
      </c>
      <c r="N254" s="52" t="n">
        <f aca="false">IF(AND(ISNUMBER($G254),$G254&gt;=60),MIN(INDEX($E$54:$E254,202-60):$E254),"")</f>
        <v>4802</v>
      </c>
      <c r="O254" s="53" t="n">
        <f aca="false">IF(OR(NOT(ISNUMBER($C254)),NOT(ISNUMBER($M254)),$M254=0),"",$C254/$M254-1)</f>
        <v>-0.0275312443397935</v>
      </c>
    </row>
    <row r="255" customFormat="false" ht="15" hidden="false" customHeight="false" outlineLevel="0" collapsed="false">
      <c r="A255" s="47" t="n">
        <v>45920</v>
      </c>
      <c r="B255" s="48" t="s">
        <v>403</v>
      </c>
      <c r="C255" s="49" t="n">
        <v>5251</v>
      </c>
      <c r="D255" s="49" t="n">
        <v>5309</v>
      </c>
      <c r="E255" s="49" t="n">
        <v>5223</v>
      </c>
      <c r="F255" s="49" t="n">
        <v>0</v>
      </c>
      <c r="G255" s="50" t="n">
        <f aca="false">IF($A255="","",IF(ISNUMBER($G254),$G254+1,1))</f>
        <v>251</v>
      </c>
      <c r="H255" s="51" t="n">
        <f aca="false">IF(OR(NOT(ISNUMBER($G255)),$G255&lt;2,NOT(ISNUMBER($C254)),$C254=0),"",$C255/$C254-1)</f>
        <v>-0.021978021978022</v>
      </c>
      <c r="I255" s="52" t="n">
        <f aca="false">IF(AND(ISNUMBER($G255),$G255&gt;=MA_SHORT),AVERAGE(INDEX($C$5:$C255,252-MA_SHORT):$C255),"")</f>
        <v>5337.7</v>
      </c>
      <c r="J255" s="52" t="n">
        <f aca="false">IF(AND(ISNUMBER($G255),$G255&gt;=MA_MED),AVERAGE(INDEX($C$5:$C255,252-MA_MED):$C255),"")</f>
        <v>5182.7</v>
      </c>
      <c r="K255" s="52" t="n">
        <f aca="false">IF(AND(ISNUMBER($G255),$G255&gt;=MA_LONG2),AVERAGE(INDEX($C$5:$C255,252-MA_LONG2):$C255),"")</f>
        <v>4254.73</v>
      </c>
      <c r="L255" s="53" t="n">
        <f aca="false">IF(AND(ISNUMBER($G255),$G255&gt;=21),STDEV(INDEX($H$195:$H255,62-20):$H255)*SQRT(245),"")</f>
        <v>0.197031413815953</v>
      </c>
      <c r="M255" s="52" t="n">
        <f aca="false">IF(AND(ISNUMBER($G255),$G255&gt;=60),MAX(INDEX($D$55:$D255,202-60):$D255),"")</f>
        <v>5521</v>
      </c>
      <c r="N255" s="52" t="n">
        <f aca="false">IF(AND(ISNUMBER($G255),$G255&gt;=60),MIN(INDEX($E$55:$E255,202-60):$E255),"")</f>
        <v>4802</v>
      </c>
      <c r="O255" s="53" t="n">
        <f aca="false">IF(OR(NOT(ISNUMBER($C255)),NOT(ISNUMBER($M255)),$M255=0),"",$C255/$M255-1)</f>
        <v>-0.0489041840246333</v>
      </c>
    </row>
    <row r="256" customFormat="false" ht="15" hidden="false" customHeight="false" outlineLevel="0" collapsed="false">
      <c r="A256" s="47" t="n">
        <v>45921</v>
      </c>
      <c r="B256" s="48" t="s">
        <v>404</v>
      </c>
      <c r="C256" s="49" t="n">
        <v>5248</v>
      </c>
      <c r="D256" s="49" t="n">
        <v>5250</v>
      </c>
      <c r="E256" s="49" t="n">
        <v>5246</v>
      </c>
      <c r="F256" s="49" t="n">
        <v>0</v>
      </c>
      <c r="G256" s="50" t="n">
        <f aca="false">IF($A256="","",IF(ISNUMBER($G255),$G255+1,1))</f>
        <v>252</v>
      </c>
      <c r="H256" s="51" t="n">
        <f aca="false">IF(OR(NOT(ISNUMBER($G256)),$G256&lt;2,NOT(ISNUMBER($C255)),$C255=0),"",$C256/$C255-1)</f>
        <v>-0.000571319748619348</v>
      </c>
      <c r="I256" s="52" t="n">
        <f aca="false">IF(AND(ISNUMBER($G256),$G256&gt;=MA_SHORT),AVERAGE(INDEX($C$5:$C256,253-MA_SHORT):$C256),"")</f>
        <v>5344.95</v>
      </c>
      <c r="J256" s="52" t="n">
        <f aca="false">IF(AND(ISNUMBER($G256),$G256&gt;=MA_MED),AVERAGE(INDEX($C$5:$C256,253-MA_MED):$C256),"")</f>
        <v>5188.92</v>
      </c>
      <c r="K256" s="52" t="n">
        <f aca="false">IF(AND(ISNUMBER($G256),$G256&gt;=MA_LONG2),AVERAGE(INDEX($C$5:$C256,253-MA_LONG2):$C256),"")</f>
        <v>4265.525</v>
      </c>
      <c r="L256" s="53" t="n">
        <f aca="false">IF(AND(ISNUMBER($G256),$G256&gt;=21),STDEV(INDEX($H$196:$H256,62-20):$H256)*SQRT(245),"")</f>
        <v>0.19717447100131</v>
      </c>
      <c r="M256" s="52" t="n">
        <f aca="false">IF(AND(ISNUMBER($G256),$G256&gt;=60),MAX(INDEX($D$56:$D256,202-60):$D256),"")</f>
        <v>5521</v>
      </c>
      <c r="N256" s="52" t="n">
        <f aca="false">IF(AND(ISNUMBER($G256),$G256&gt;=60),MIN(INDEX($E$56:$E256,202-60):$E256),"")</f>
        <v>4802</v>
      </c>
      <c r="O256" s="53" t="n">
        <f aca="false">IF(OR(NOT(ISNUMBER($C256)),NOT(ISNUMBER($M256)),$M256=0),"",$C256/$M256-1)</f>
        <v>-0.0494475638471291</v>
      </c>
    </row>
    <row r="257" customFormat="false" ht="15" hidden="false" customHeight="false" outlineLevel="0" collapsed="false">
      <c r="A257" s="47" t="n">
        <v>45922</v>
      </c>
      <c r="B257" s="48" t="s">
        <v>405</v>
      </c>
      <c r="C257" s="49" t="n">
        <v>5145</v>
      </c>
      <c r="D257" s="49" t="n">
        <v>5162</v>
      </c>
      <c r="E257" s="49" t="n">
        <v>5135</v>
      </c>
      <c r="F257" s="49" t="n">
        <v>0</v>
      </c>
      <c r="G257" s="50" t="n">
        <f aca="false">IF($A257="","",IF(ISNUMBER($G256),$G256+1,1))</f>
        <v>253</v>
      </c>
      <c r="H257" s="51" t="n">
        <f aca="false">IF(OR(NOT(ISNUMBER($G257)),$G257&lt;2,NOT(ISNUMBER($C256)),$C256=0),"",$C257/$C256-1)</f>
        <v>-0.0196265243902439</v>
      </c>
      <c r="I257" s="52" t="n">
        <f aca="false">IF(AND(ISNUMBER($G257),$G257&gt;=MA_SHORT),AVERAGE(INDEX($C$5:$C257,254-MA_SHORT):$C257),"")</f>
        <v>5346.95</v>
      </c>
      <c r="J257" s="52" t="n">
        <f aca="false">IF(AND(ISNUMBER($G257),$G257&gt;=MA_MED),AVERAGE(INDEX($C$5:$C257,254-MA_MED):$C257),"")</f>
        <v>5192.08</v>
      </c>
      <c r="K257" s="52" t="n">
        <f aca="false">IF(AND(ISNUMBER($G257),$G257&gt;=MA_LONG2),AVERAGE(INDEX($C$5:$C257,254-MA_LONG2):$C257),"")</f>
        <v>4275.875</v>
      </c>
      <c r="L257" s="53" t="n">
        <f aca="false">IF(AND(ISNUMBER($G257),$G257&gt;=21),STDEV(INDEX($H$197:$H257,62-20):$H257)*SQRT(245),"")</f>
        <v>0.210587073859699</v>
      </c>
      <c r="M257" s="52" t="n">
        <f aca="false">IF(AND(ISNUMBER($G257),$G257&gt;=60),MAX(INDEX($D$57:$D257,202-60):$D257),"")</f>
        <v>5521</v>
      </c>
      <c r="N257" s="52" t="n">
        <f aca="false">IF(AND(ISNUMBER($G257),$G257&gt;=60),MIN(INDEX($E$57:$E257,202-60):$E257),"")</f>
        <v>4802</v>
      </c>
      <c r="O257" s="53" t="n">
        <f aca="false">IF(OR(NOT(ISNUMBER($C257)),NOT(ISNUMBER($M257)),$M257=0),"",$C257/$M257-1)</f>
        <v>-0.0681036044194893</v>
      </c>
    </row>
    <row r="258" customFormat="false" ht="15" hidden="false" customHeight="false" outlineLevel="0" collapsed="false">
      <c r="A258" s="47" t="n">
        <v>45923</v>
      </c>
      <c r="B258" s="48" t="s">
        <v>406</v>
      </c>
      <c r="C258" s="49" t="n">
        <v>5162</v>
      </c>
      <c r="D258" s="49" t="n">
        <v>5168</v>
      </c>
      <c r="E258" s="49" t="n">
        <v>5159</v>
      </c>
      <c r="F258" s="49" t="n">
        <v>0</v>
      </c>
      <c r="G258" s="50" t="n">
        <f aca="false">IF($A258="","",IF(ISNUMBER($G257),$G257+1,1))</f>
        <v>254</v>
      </c>
      <c r="H258" s="51" t="n">
        <f aca="false">IF(OR(NOT(ISNUMBER($G258)),$G258&lt;2,NOT(ISNUMBER($C257)),$C257=0),"",$C258/$C257-1)</f>
        <v>0.00330417881438283</v>
      </c>
      <c r="I258" s="52" t="n">
        <f aca="false">IF(AND(ISNUMBER($G258),$G258&gt;=MA_SHORT),AVERAGE(INDEX($C$5:$C258,255-MA_SHORT):$C258),"")</f>
        <v>5346.4</v>
      </c>
      <c r="J258" s="52" t="n">
        <f aca="false">IF(AND(ISNUMBER($G258),$G258&gt;=MA_MED),AVERAGE(INDEX($C$5:$C258,255-MA_MED):$C258),"")</f>
        <v>5197.64</v>
      </c>
      <c r="K258" s="52" t="n">
        <f aca="false">IF(AND(ISNUMBER($G258),$G258&gt;=MA_LONG2),AVERAGE(INDEX($C$5:$C258,255-MA_LONG2):$C258),"")</f>
        <v>4286.27</v>
      </c>
      <c r="L258" s="53" t="n">
        <f aca="false">IF(AND(ISNUMBER($G258),$G258&gt;=21),STDEV(INDEX($H$198:$H258,62-20):$H258)*SQRT(245),"")</f>
        <v>0.205567595439464</v>
      </c>
      <c r="M258" s="52" t="n">
        <f aca="false">IF(AND(ISNUMBER($G258),$G258&gt;=60),MAX(INDEX($D$58:$D258,202-60):$D258),"")</f>
        <v>5521</v>
      </c>
      <c r="N258" s="52" t="n">
        <f aca="false">IF(AND(ISNUMBER($G258),$G258&gt;=60),MIN(INDEX($E$58:$E258,202-60):$E258),"")</f>
        <v>4802</v>
      </c>
      <c r="O258" s="53" t="n">
        <f aca="false">IF(OR(NOT(ISNUMBER($C258)),NOT(ISNUMBER($M258)),$M258=0),"",$C258/$M258-1)</f>
        <v>-0.0650244520920124</v>
      </c>
    </row>
    <row r="259" customFormat="false" ht="15" hidden="false" customHeight="false" outlineLevel="0" collapsed="false">
      <c r="A259" s="47" t="n">
        <v>45924</v>
      </c>
      <c r="B259" s="48" t="s">
        <v>407</v>
      </c>
      <c r="C259" s="49" t="n">
        <v>5227</v>
      </c>
      <c r="D259" s="49" t="n">
        <v>5249</v>
      </c>
      <c r="E259" s="49" t="n">
        <v>5215</v>
      </c>
      <c r="F259" s="49" t="n">
        <v>0</v>
      </c>
      <c r="G259" s="50" t="n">
        <f aca="false">IF($A259="","",IF(ISNUMBER($G258),$G258+1,1))</f>
        <v>255</v>
      </c>
      <c r="H259" s="51" t="n">
        <f aca="false">IF(OR(NOT(ISNUMBER($G259)),$G259&lt;2,NOT(ISNUMBER($C258)),$C258=0),"",$C259/$C258-1)</f>
        <v>0.0125920185974429</v>
      </c>
      <c r="I259" s="52" t="n">
        <f aca="false">IF(AND(ISNUMBER($G259),$G259&gt;=MA_SHORT),AVERAGE(INDEX($C$5:$C259,256-MA_SHORT):$C259),"")</f>
        <v>5345.95</v>
      </c>
      <c r="J259" s="52" t="n">
        <f aca="false">IF(AND(ISNUMBER($G259),$G259&gt;=MA_MED),AVERAGE(INDEX($C$5:$C259,256-MA_MED):$C259),"")</f>
        <v>5204.94</v>
      </c>
      <c r="K259" s="52" t="n">
        <f aca="false">IF(AND(ISNUMBER($G259),$G259&gt;=MA_LONG2),AVERAGE(INDEX($C$5:$C259,256-MA_LONG2):$C259),"")</f>
        <v>4297.345</v>
      </c>
      <c r="L259" s="53" t="n">
        <f aca="false">IF(AND(ISNUMBER($G259),$G259&gt;=21),STDEV(INDEX($H$199:$H259,62-20):$H259)*SQRT(245),"")</f>
        <v>0.205888891440879</v>
      </c>
      <c r="M259" s="52" t="n">
        <f aca="false">IF(AND(ISNUMBER($G259),$G259&gt;=60),MAX(INDEX($D$59:$D259,202-60):$D259),"")</f>
        <v>5521</v>
      </c>
      <c r="N259" s="52" t="n">
        <f aca="false">IF(AND(ISNUMBER($G259),$G259&gt;=60),MIN(INDEX($E$59:$E259,202-60):$E259),"")</f>
        <v>4802</v>
      </c>
      <c r="O259" s="53" t="n">
        <f aca="false">IF(OR(NOT(ISNUMBER($C259)),NOT(ISNUMBER($M259)),$M259=0),"",$C259/$M259-1)</f>
        <v>-0.0532512226046006</v>
      </c>
    </row>
    <row r="260" customFormat="false" ht="15" hidden="false" customHeight="false" outlineLevel="0" collapsed="false">
      <c r="A260" s="47" t="n">
        <v>45927</v>
      </c>
      <c r="B260" s="48" t="s">
        <v>408</v>
      </c>
      <c r="C260" s="49" t="n">
        <v>5111</v>
      </c>
      <c r="D260" s="49" t="n">
        <v>5136</v>
      </c>
      <c r="E260" s="49" t="n">
        <v>5107</v>
      </c>
      <c r="F260" s="49" t="n">
        <v>0</v>
      </c>
      <c r="G260" s="50" t="n">
        <f aca="false">IF($A260="","",IF(ISNUMBER($G259),$G259+1,1))</f>
        <v>256</v>
      </c>
      <c r="H260" s="51" t="n">
        <f aca="false">IF(OR(NOT(ISNUMBER($G260)),$G260&lt;2,NOT(ISNUMBER($C259)),$C259=0),"",$C260/$C259-1)</f>
        <v>-0.0221924622154199</v>
      </c>
      <c r="I260" s="52" t="n">
        <f aca="false">IF(AND(ISNUMBER($G260),$G260&gt;=MA_SHORT),AVERAGE(INDEX($C$5:$C260,257-MA_SHORT):$C260),"")</f>
        <v>5338.8</v>
      </c>
      <c r="J260" s="52" t="n">
        <f aca="false">IF(AND(ISNUMBER($G260),$G260&gt;=MA_MED),AVERAGE(INDEX($C$5:$C260,257-MA_MED):$C260),"")</f>
        <v>5209.84</v>
      </c>
      <c r="K260" s="52" t="n">
        <f aca="false">IF(AND(ISNUMBER($G260),$G260&gt;=MA_LONG2),AVERAGE(INDEX($C$5:$C260,257-MA_LONG2):$C260),"")</f>
        <v>4308.03</v>
      </c>
      <c r="L260" s="53" t="n">
        <f aca="false">IF(AND(ISNUMBER($G260),$G260&gt;=21),STDEV(INDEX($H$200:$H260,62-20):$H260)*SQRT(245),"")</f>
        <v>0.219458985691468</v>
      </c>
      <c r="M260" s="52" t="n">
        <f aca="false">IF(AND(ISNUMBER($G260),$G260&gt;=60),MAX(INDEX($D$60:$D260,202-60):$D260),"")</f>
        <v>5521</v>
      </c>
      <c r="N260" s="52" t="n">
        <f aca="false">IF(AND(ISNUMBER($G260),$G260&gt;=60),MIN(INDEX($E$60:$E260,202-60):$E260),"")</f>
        <v>4802</v>
      </c>
      <c r="O260" s="53" t="n">
        <f aca="false">IF(OR(NOT(ISNUMBER($C260)),NOT(ISNUMBER($M260)),$M260=0),"",$C260/$M260-1)</f>
        <v>-0.0742619090744431</v>
      </c>
    </row>
    <row r="261" customFormat="false" ht="15" hidden="false" customHeight="false" outlineLevel="0" collapsed="false">
      <c r="A261" s="47" t="n">
        <v>45928</v>
      </c>
      <c r="B261" s="48" t="s">
        <v>409</v>
      </c>
      <c r="C261" s="49" t="n">
        <v>5145</v>
      </c>
      <c r="D261" s="49" t="n">
        <v>5159</v>
      </c>
      <c r="E261" s="49" t="n">
        <v>5134</v>
      </c>
      <c r="F261" s="49" t="n">
        <v>0</v>
      </c>
      <c r="G261" s="50" t="n">
        <f aca="false">IF($A261="","",IF(ISNUMBER($G260),$G260+1,1))</f>
        <v>257</v>
      </c>
      <c r="H261" s="51" t="n">
        <f aca="false">IF(OR(NOT(ISNUMBER($G261)),$G261&lt;2,NOT(ISNUMBER($C260)),$C260=0),"",$C261/$C260-1)</f>
        <v>0.00665231852866377</v>
      </c>
      <c r="I261" s="52" t="n">
        <f aca="false">IF(AND(ISNUMBER($G261),$G261&gt;=MA_SHORT),AVERAGE(INDEX($C$5:$C261,258-MA_SHORT):$C261),"")</f>
        <v>5333</v>
      </c>
      <c r="J261" s="52" t="n">
        <f aca="false">IF(AND(ISNUMBER($G261),$G261&gt;=MA_MED),AVERAGE(INDEX($C$5:$C261,258-MA_MED):$C261),"")</f>
        <v>5215.04</v>
      </c>
      <c r="K261" s="52" t="n">
        <f aca="false">IF(AND(ISNUMBER($G261),$G261&gt;=MA_LONG2),AVERAGE(INDEX($C$5:$C261,258-MA_LONG2):$C261),"")</f>
        <v>4318.77</v>
      </c>
      <c r="L261" s="53" t="n">
        <f aca="false">IF(AND(ISNUMBER($G261),$G261&gt;=21),STDEV(INDEX($H$201:$H261,62-20):$H261)*SQRT(245),"")</f>
        <v>0.221061412186125</v>
      </c>
      <c r="M261" s="52" t="n">
        <f aca="false">IF(AND(ISNUMBER($G261),$G261&gt;=60),MAX(INDEX($D$61:$D261,202-60):$D261),"")</f>
        <v>5521</v>
      </c>
      <c r="N261" s="52" t="n">
        <f aca="false">IF(AND(ISNUMBER($G261),$G261&gt;=60),MIN(INDEX($E$61:$E261,202-60):$E261),"")</f>
        <v>4802</v>
      </c>
      <c r="O261" s="53" t="n">
        <f aca="false">IF(OR(NOT(ISNUMBER($C261)),NOT(ISNUMBER($M261)),$M261=0),"",$C261/$M261-1)</f>
        <v>-0.0681036044194893</v>
      </c>
    </row>
    <row r="262" customFormat="false" ht="15" hidden="false" customHeight="false" outlineLevel="0" collapsed="false">
      <c r="A262" s="47" t="n">
        <v>45929</v>
      </c>
      <c r="B262" s="48" t="s">
        <v>410</v>
      </c>
      <c r="C262" s="49" t="n">
        <v>5223</v>
      </c>
      <c r="D262" s="49" t="n">
        <v>5227</v>
      </c>
      <c r="E262" s="49" t="n">
        <v>5215</v>
      </c>
      <c r="F262" s="49" t="n">
        <v>0</v>
      </c>
      <c r="G262" s="50" t="n">
        <f aca="false">IF($A262="","",IF(ISNUMBER($G261),$G261+1,1))</f>
        <v>258</v>
      </c>
      <c r="H262" s="51" t="n">
        <f aca="false">IF(OR(NOT(ISNUMBER($G262)),$G262&lt;2,NOT(ISNUMBER($C261)),$C261=0),"",$C262/$C261-1)</f>
        <v>0.0151603498542274</v>
      </c>
      <c r="I262" s="52" t="n">
        <f aca="false">IF(AND(ISNUMBER($G262),$G262&gt;=MA_SHORT),AVERAGE(INDEX($C$5:$C262,259-MA_SHORT):$C262),"")</f>
        <v>5321.9</v>
      </c>
      <c r="J262" s="52" t="n">
        <f aca="false">IF(AND(ISNUMBER($G262),$G262&gt;=MA_MED),AVERAGE(INDEX($C$5:$C262,259-MA_MED):$C262),"")</f>
        <v>5220.3</v>
      </c>
      <c r="K262" s="52" t="n">
        <f aca="false">IF(AND(ISNUMBER($G262),$G262&gt;=MA_LONG2),AVERAGE(INDEX($C$5:$C262,259-MA_LONG2):$C262),"")</f>
        <v>4330.16</v>
      </c>
      <c r="L262" s="53" t="n">
        <f aca="false">IF(AND(ISNUMBER($G262),$G262&gt;=21),STDEV(INDEX($H$202:$H262,62-20):$H262)*SQRT(245),"")</f>
        <v>0.187842297672967</v>
      </c>
      <c r="M262" s="52" t="n">
        <f aca="false">IF(AND(ISNUMBER($G262),$G262&gt;=60),MAX(INDEX($D$62:$D262,202-60):$D262),"")</f>
        <v>5521</v>
      </c>
      <c r="N262" s="52" t="n">
        <f aca="false">IF(AND(ISNUMBER($G262),$G262&gt;=60),MIN(INDEX($E$62:$E262,202-60):$E262),"")</f>
        <v>4802</v>
      </c>
      <c r="O262" s="53" t="n">
        <f aca="false">IF(OR(NOT(ISNUMBER($C262)),NOT(ISNUMBER($M262)),$M262=0),"",$C262/$M262-1)</f>
        <v>-0.0539757290345951</v>
      </c>
    </row>
    <row r="263" customFormat="false" ht="15" hidden="false" customHeight="false" outlineLevel="0" collapsed="false">
      <c r="A263" s="47" t="n">
        <v>45930</v>
      </c>
      <c r="B263" s="48" t="s">
        <v>411</v>
      </c>
      <c r="C263" s="49" t="n">
        <v>5271</v>
      </c>
      <c r="D263" s="49" t="n">
        <v>5310</v>
      </c>
      <c r="E263" s="49" t="n">
        <v>5229</v>
      </c>
      <c r="F263" s="49" t="n">
        <v>0</v>
      </c>
      <c r="G263" s="50" t="n">
        <f aca="false">IF($A263="","",IF(ISNUMBER($G262),$G262+1,1))</f>
        <v>259</v>
      </c>
      <c r="H263" s="51" t="n">
        <f aca="false">IF(OR(NOT(ISNUMBER($G263)),$G263&lt;2,NOT(ISNUMBER($C262)),$C262=0),"",$C263/$C262-1)</f>
        <v>0.00919012062033309</v>
      </c>
      <c r="I263" s="52" t="n">
        <f aca="false">IF(AND(ISNUMBER($G263),$G263&gt;=MA_SHORT),AVERAGE(INDEX($C$5:$C263,260-MA_SHORT):$C263),"")</f>
        <v>5312</v>
      </c>
      <c r="J263" s="52" t="n">
        <f aca="false">IF(AND(ISNUMBER($G263),$G263&gt;=MA_MED),AVERAGE(INDEX($C$5:$C263,260-MA_MED):$C263),"")</f>
        <v>5225.48</v>
      </c>
      <c r="K263" s="52" t="n">
        <f aca="false">IF(AND(ISNUMBER($G263),$G263&gt;=MA_LONG2),AVERAGE(INDEX($C$5:$C263,260-MA_LONG2):$C263),"")</f>
        <v>4341.47</v>
      </c>
      <c r="L263" s="53" t="n">
        <f aca="false">IF(AND(ISNUMBER($G263),$G263&gt;=21),STDEV(INDEX($H$203:$H263,62-20):$H263)*SQRT(245),"")</f>
        <v>0.190673781661694</v>
      </c>
      <c r="M263" s="52" t="n">
        <f aca="false">IF(AND(ISNUMBER($G263),$G263&gt;=60),MAX(INDEX($D$63:$D263,202-60):$D263),"")</f>
        <v>5521</v>
      </c>
      <c r="N263" s="52" t="n">
        <f aca="false">IF(AND(ISNUMBER($G263),$G263&gt;=60),MIN(INDEX($E$63:$E263,202-60):$E263),"")</f>
        <v>4802</v>
      </c>
      <c r="O263" s="53" t="n">
        <f aca="false">IF(OR(NOT(ISNUMBER($C263)),NOT(ISNUMBER($M263)),$M263=0),"",$C263/$M263-1)</f>
        <v>-0.0452816518746604</v>
      </c>
    </row>
    <row r="264" customFormat="false" ht="15" hidden="false" customHeight="false" outlineLevel="0" collapsed="false">
      <c r="A264" s="47" t="n">
        <v>45931</v>
      </c>
      <c r="B264" s="48" t="s">
        <v>412</v>
      </c>
      <c r="C264" s="49" t="n">
        <v>5234</v>
      </c>
      <c r="D264" s="49" t="n">
        <v>5247</v>
      </c>
      <c r="E264" s="49" t="n">
        <v>5232</v>
      </c>
      <c r="F264" s="49" t="n">
        <v>0</v>
      </c>
      <c r="G264" s="50" t="n">
        <f aca="false">IF($A264="","",IF(ISNUMBER($G263),$G263+1,1))</f>
        <v>260</v>
      </c>
      <c r="H264" s="51" t="n">
        <f aca="false">IF(OR(NOT(ISNUMBER($G264)),$G264&lt;2,NOT(ISNUMBER($C263)),$C263=0),"",$C264/$C263-1)</f>
        <v>-0.00701954088408274</v>
      </c>
      <c r="I264" s="52" t="n">
        <f aca="false">IF(AND(ISNUMBER($G264),$G264&gt;=MA_SHORT),AVERAGE(INDEX($C$5:$C264,261-MA_SHORT):$C264),"")</f>
        <v>5303.1</v>
      </c>
      <c r="J264" s="52" t="n">
        <f aca="false">IF(AND(ISNUMBER($G264),$G264&gt;=MA_MED),AVERAGE(INDEX($C$5:$C264,261-MA_MED):$C264),"")</f>
        <v>5228.62</v>
      </c>
      <c r="K264" s="52" t="n">
        <f aca="false">IF(AND(ISNUMBER($G264),$G264&gt;=MA_LONG2),AVERAGE(INDEX($C$5:$C264,261-MA_LONG2):$C264),"")</f>
        <v>4352.985</v>
      </c>
      <c r="L264" s="53" t="n">
        <f aca="false">IF(AND(ISNUMBER($G264),$G264&gt;=21),STDEV(INDEX($H$204:$H264,62-20):$H264)*SQRT(245),"")</f>
        <v>0.189047989330672</v>
      </c>
      <c r="M264" s="52" t="n">
        <f aca="false">IF(AND(ISNUMBER($G264),$G264&gt;=60),MAX(INDEX($D$64:$D264,202-60):$D264),"")</f>
        <v>5521</v>
      </c>
      <c r="N264" s="52" t="n">
        <f aca="false">IF(AND(ISNUMBER($G264),$G264&gt;=60),MIN(INDEX($E$64:$E264,202-60):$E264),"")</f>
        <v>4802</v>
      </c>
      <c r="O264" s="53" t="n">
        <f aca="false">IF(OR(NOT(ISNUMBER($C264)),NOT(ISNUMBER($M264)),$M264=0),"",$C264/$M264-1)</f>
        <v>-0.0519833363521102</v>
      </c>
    </row>
    <row r="265" customFormat="false" ht="15" hidden="false" customHeight="false" outlineLevel="0" collapsed="false">
      <c r="A265" s="47" t="n">
        <v>45934</v>
      </c>
      <c r="B265" s="48" t="s">
        <v>413</v>
      </c>
      <c r="C265" s="49" t="n">
        <v>5269</v>
      </c>
      <c r="D265" s="49" t="n">
        <v>5294</v>
      </c>
      <c r="E265" s="49" t="n">
        <v>5262</v>
      </c>
      <c r="F265" s="49" t="n">
        <v>0</v>
      </c>
      <c r="G265" s="50" t="n">
        <f aca="false">IF($A265="","",IF(ISNUMBER($G264),$G264+1,1))</f>
        <v>261</v>
      </c>
      <c r="H265" s="51" t="n">
        <f aca="false">IF(OR(NOT(ISNUMBER($G265)),$G265&lt;2,NOT(ISNUMBER($C264)),$C264=0),"",$C265/$C264-1)</f>
        <v>0.00668704623614835</v>
      </c>
      <c r="I265" s="52" t="n">
        <f aca="false">IF(AND(ISNUMBER($G265),$G265&gt;=MA_SHORT),AVERAGE(INDEX($C$5:$C265,262-MA_SHORT):$C265),"")</f>
        <v>5294.95</v>
      </c>
      <c r="J265" s="52" t="n">
        <f aca="false">IF(AND(ISNUMBER($G265),$G265&gt;=MA_MED),AVERAGE(INDEX($C$5:$C265,262-MA_MED):$C265),"")</f>
        <v>5231.54</v>
      </c>
      <c r="K265" s="52" t="n">
        <f aca="false">IF(AND(ISNUMBER($G265),$G265&gt;=MA_LONG2),AVERAGE(INDEX($C$5:$C265,262-MA_LONG2):$C265),"")</f>
        <v>4364.4</v>
      </c>
      <c r="L265" s="53" t="n">
        <f aca="false">IF(AND(ISNUMBER($G265),$G265&gt;=21),STDEV(INDEX($H$205:$H265,62-20):$H265)*SQRT(245),"")</f>
        <v>0.190413795245866</v>
      </c>
      <c r="M265" s="52" t="n">
        <f aca="false">IF(AND(ISNUMBER($G265),$G265&gt;=60),MAX(INDEX($D$65:$D265,202-60):$D265),"")</f>
        <v>5521</v>
      </c>
      <c r="N265" s="52" t="n">
        <f aca="false">IF(AND(ISNUMBER($G265),$G265&gt;=60),MIN(INDEX($E$65:$E265,202-60):$E265),"")</f>
        <v>4802</v>
      </c>
      <c r="O265" s="53" t="n">
        <f aca="false">IF(OR(NOT(ISNUMBER($C265)),NOT(ISNUMBER($M265)),$M265=0),"",$C265/$M265-1)</f>
        <v>-0.0456439050896577</v>
      </c>
    </row>
    <row r="266" customFormat="false" ht="15" hidden="false" customHeight="false" outlineLevel="0" collapsed="false">
      <c r="A266" s="47" t="n">
        <v>45935</v>
      </c>
      <c r="B266" s="48" t="s">
        <v>414</v>
      </c>
      <c r="C266" s="49" t="n">
        <v>5295</v>
      </c>
      <c r="D266" s="49" t="n">
        <v>5303</v>
      </c>
      <c r="E266" s="49" t="n">
        <v>5280</v>
      </c>
      <c r="F266" s="49" t="n">
        <v>0</v>
      </c>
      <c r="G266" s="50" t="n">
        <f aca="false">IF($A266="","",IF(ISNUMBER($G265),$G265+1,1))</f>
        <v>262</v>
      </c>
      <c r="H266" s="51" t="n">
        <f aca="false">IF(OR(NOT(ISNUMBER($G266)),$G266&lt;2,NOT(ISNUMBER($C265)),$C265=0),"",$C266/$C265-1)</f>
        <v>0.00493452267982542</v>
      </c>
      <c r="I266" s="52" t="n">
        <f aca="false">IF(AND(ISNUMBER($G266),$G266&gt;=MA_SHORT),AVERAGE(INDEX($C$5:$C266,263-MA_SHORT):$C266),"")</f>
        <v>5285.1</v>
      </c>
      <c r="J266" s="52" t="n">
        <f aca="false">IF(AND(ISNUMBER($G266),$G266&gt;=MA_MED),AVERAGE(INDEX($C$5:$C266,263-MA_MED):$C266),"")</f>
        <v>5233.46</v>
      </c>
      <c r="K266" s="52" t="n">
        <f aca="false">IF(AND(ISNUMBER($G266),$G266&gt;=MA_LONG2),AVERAGE(INDEX($C$5:$C266,263-MA_LONG2):$C266),"")</f>
        <v>4376.165</v>
      </c>
      <c r="L266" s="53" t="n">
        <f aca="false">IF(AND(ISNUMBER($G266),$G266&gt;=21),STDEV(INDEX($H$206:$H266,62-20):$H266)*SQRT(245),"")</f>
        <v>0.186400907303532</v>
      </c>
      <c r="M266" s="52" t="n">
        <f aca="false">IF(AND(ISNUMBER($G266),$G266&gt;=60),MAX(INDEX($D$66:$D266,202-60):$D266),"")</f>
        <v>5521</v>
      </c>
      <c r="N266" s="52" t="n">
        <f aca="false">IF(AND(ISNUMBER($G266),$G266&gt;=60),MIN(INDEX($E$66:$E266,202-60):$E266),"")</f>
        <v>4802</v>
      </c>
      <c r="O266" s="53" t="n">
        <f aca="false">IF(OR(NOT(ISNUMBER($C266)),NOT(ISNUMBER($M266)),$M266=0),"",$C266/$M266-1)</f>
        <v>-0.0409346132946929</v>
      </c>
    </row>
    <row r="267" customFormat="false" ht="15" hidden="false" customHeight="false" outlineLevel="0" collapsed="false">
      <c r="A267" s="47" t="n">
        <v>45936</v>
      </c>
      <c r="B267" s="48" t="s">
        <v>415</v>
      </c>
      <c r="C267" s="49" t="n">
        <v>5348</v>
      </c>
      <c r="D267" s="49" t="n">
        <v>5351</v>
      </c>
      <c r="E267" s="49" t="n">
        <v>5343</v>
      </c>
      <c r="F267" s="49" t="n">
        <v>0</v>
      </c>
      <c r="G267" s="50" t="n">
        <f aca="false">IF($A267="","",IF(ISNUMBER($G266),$G266+1,1))</f>
        <v>263</v>
      </c>
      <c r="H267" s="51" t="n">
        <f aca="false">IF(OR(NOT(ISNUMBER($G267)),$G267&lt;2,NOT(ISNUMBER($C266)),$C266=0),"",$C267/$C266-1)</f>
        <v>0.0100094428706328</v>
      </c>
      <c r="I267" s="52" t="n">
        <f aca="false">IF(AND(ISNUMBER($G267),$G267&gt;=MA_SHORT),AVERAGE(INDEX($C$5:$C267,264-MA_SHORT):$C267),"")</f>
        <v>5280.05</v>
      </c>
      <c r="J267" s="52" t="n">
        <f aca="false">IF(AND(ISNUMBER($G267),$G267&gt;=MA_MED),AVERAGE(INDEX($C$5:$C267,264-MA_MED):$C267),"")</f>
        <v>5237.56</v>
      </c>
      <c r="K267" s="52" t="n">
        <f aca="false">IF(AND(ISNUMBER($G267),$G267&gt;=MA_LONG2),AVERAGE(INDEX($C$5:$C267,264-MA_LONG2):$C267),"")</f>
        <v>4388.34</v>
      </c>
      <c r="L267" s="53" t="n">
        <f aca="false">IF(AND(ISNUMBER($G267),$G267&gt;=21),STDEV(INDEX($H$207:$H267,62-20):$H267)*SQRT(245),"")</f>
        <v>0.189340834210101</v>
      </c>
      <c r="M267" s="52" t="n">
        <f aca="false">IF(AND(ISNUMBER($G267),$G267&gt;=60),MAX(INDEX($D$67:$D267,202-60):$D267),"")</f>
        <v>5521</v>
      </c>
      <c r="N267" s="52" t="n">
        <f aca="false">IF(AND(ISNUMBER($G267),$G267&gt;=60),MIN(INDEX($E$67:$E267,202-60):$E267),"")</f>
        <v>4802</v>
      </c>
      <c r="O267" s="53" t="n">
        <f aca="false">IF(OR(NOT(ISNUMBER($C267)),NOT(ISNUMBER($M267)),$M267=0),"",$C267/$M267-1)</f>
        <v>-0.0313349030972649</v>
      </c>
    </row>
    <row r="268" customFormat="false" ht="15" hidden="false" customHeight="false" outlineLevel="0" collapsed="false">
      <c r="A268" s="47" t="n">
        <v>45937</v>
      </c>
      <c r="B268" s="48" t="s">
        <v>416</v>
      </c>
      <c r="C268" s="49" t="n">
        <v>5450</v>
      </c>
      <c r="D268" s="49" t="n">
        <v>5466</v>
      </c>
      <c r="E268" s="49" t="n">
        <v>5402</v>
      </c>
      <c r="F268" s="49" t="n">
        <v>0</v>
      </c>
      <c r="G268" s="50" t="n">
        <f aca="false">IF($A268="","",IF(ISNUMBER($G267),$G267+1,1))</f>
        <v>264</v>
      </c>
      <c r="H268" s="51" t="n">
        <f aca="false">IF(OR(NOT(ISNUMBER($G268)),$G268&lt;2,NOT(ISNUMBER($C267)),$C267=0),"",$C268/$C267-1)</f>
        <v>0.0190725504861631</v>
      </c>
      <c r="I268" s="52" t="n">
        <f aca="false">IF(AND(ISNUMBER($G268),$G268&gt;=MA_SHORT),AVERAGE(INDEX($C$5:$C268,265-MA_SHORT):$C268),"")</f>
        <v>5282.7</v>
      </c>
      <c r="J268" s="52" t="n">
        <f aca="false">IF(AND(ISNUMBER($G268),$G268&gt;=MA_MED),AVERAGE(INDEX($C$5:$C268,265-MA_MED):$C268),"")</f>
        <v>5246</v>
      </c>
      <c r="K268" s="52" t="n">
        <f aca="false">IF(AND(ISNUMBER($G268),$G268&gt;=MA_LONG2),AVERAGE(INDEX($C$5:$C268,265-MA_LONG2):$C268),"")</f>
        <v>4400.84</v>
      </c>
      <c r="L268" s="53" t="n">
        <f aca="false">IF(AND(ISNUMBER($G268),$G268&gt;=21),STDEV(INDEX($H$208:$H268,62-20):$H268)*SQRT(245),"")</f>
        <v>0.198687719912041</v>
      </c>
      <c r="M268" s="52" t="n">
        <f aca="false">IF(AND(ISNUMBER($G268),$G268&gt;=60),MAX(INDEX($D$68:$D268,202-60):$D268),"")</f>
        <v>5521</v>
      </c>
      <c r="N268" s="52" t="n">
        <f aca="false">IF(AND(ISNUMBER($G268),$G268&gt;=60),MIN(INDEX($E$68:$E268,202-60):$E268),"")</f>
        <v>4802</v>
      </c>
      <c r="O268" s="53" t="n">
        <f aca="false">IF(OR(NOT(ISNUMBER($C268)),NOT(ISNUMBER($M268)),$M268=0),"",$C268/$M268-1)</f>
        <v>-0.0128599891324036</v>
      </c>
    </row>
    <row r="269" customFormat="false" ht="15" hidden="false" customHeight="false" outlineLevel="0" collapsed="false">
      <c r="A269" s="47" t="n">
        <v>45938</v>
      </c>
      <c r="B269" s="48" t="s">
        <v>417</v>
      </c>
      <c r="C269" s="49" t="n">
        <v>5445</v>
      </c>
      <c r="D269" s="49" t="n">
        <v>5455</v>
      </c>
      <c r="E269" s="49" t="n">
        <v>5436</v>
      </c>
      <c r="F269" s="49" t="n">
        <v>0</v>
      </c>
      <c r="G269" s="50" t="n">
        <f aca="false">IF($A269="","",IF(ISNUMBER($G268),$G268+1,1))</f>
        <v>265</v>
      </c>
      <c r="H269" s="51" t="n">
        <f aca="false">IF(OR(NOT(ISNUMBER($G269)),$G269&lt;2,NOT(ISNUMBER($C268)),$C268=0),"",$C269/$C268-1)</f>
        <v>-0.000917431192660523</v>
      </c>
      <c r="I269" s="52" t="n">
        <f aca="false">IF(AND(ISNUMBER($G269),$G269&gt;=MA_SHORT),AVERAGE(INDEX($C$5:$C269,266-MA_SHORT):$C269),"")</f>
        <v>5282.75</v>
      </c>
      <c r="J269" s="52" t="n">
        <f aca="false">IF(AND(ISNUMBER($G269),$G269&gt;=MA_MED),AVERAGE(INDEX($C$5:$C269,266-MA_MED):$C269),"")</f>
        <v>5253.98</v>
      </c>
      <c r="K269" s="52" t="n">
        <f aca="false">IF(AND(ISNUMBER($G269),$G269&gt;=MA_LONG2),AVERAGE(INDEX($C$5:$C269,266-MA_LONG2):$C269),"")</f>
        <v>4413.24</v>
      </c>
      <c r="L269" s="53" t="n">
        <f aca="false">IF(AND(ISNUMBER($G269),$G269&gt;=21),STDEV(INDEX($H$209:$H269,62-20):$H269)*SQRT(245),"")</f>
        <v>0.19644441003189</v>
      </c>
      <c r="M269" s="52" t="n">
        <f aca="false">IF(AND(ISNUMBER($G269),$G269&gt;=60),MAX(INDEX($D$69:$D269,202-60):$D269),"")</f>
        <v>5521</v>
      </c>
      <c r="N269" s="52" t="n">
        <f aca="false">IF(AND(ISNUMBER($G269),$G269&gt;=60),MIN(INDEX($E$69:$E269,202-60):$E269),"")</f>
        <v>4802</v>
      </c>
      <c r="O269" s="53" t="n">
        <f aca="false">IF(OR(NOT(ISNUMBER($C269)),NOT(ISNUMBER($M269)),$M269=0),"",$C269/$M269-1)</f>
        <v>-0.0137656221698967</v>
      </c>
    </row>
    <row r="270" customFormat="false" ht="15" hidden="false" customHeight="false" outlineLevel="0" collapsed="false">
      <c r="A270" s="47" t="n">
        <v>45941</v>
      </c>
      <c r="B270" s="48" t="s">
        <v>418</v>
      </c>
      <c r="C270" s="49" t="n">
        <v>5390</v>
      </c>
      <c r="D270" s="49" t="n">
        <v>5404</v>
      </c>
      <c r="E270" s="49" t="n">
        <v>5378</v>
      </c>
      <c r="F270" s="49" t="n">
        <v>0</v>
      </c>
      <c r="G270" s="50" t="n">
        <f aca="false">IF($A270="","",IF(ISNUMBER($G269),$G269+1,1))</f>
        <v>266</v>
      </c>
      <c r="H270" s="51" t="n">
        <f aca="false">IF(OR(NOT(ISNUMBER($G270)),$G270&lt;2,NOT(ISNUMBER($C269)),$C269=0),"",$C270/$C269-1)</f>
        <v>-0.0101010101010101</v>
      </c>
      <c r="I270" s="52" t="n">
        <f aca="false">IF(AND(ISNUMBER($G270),$G270&gt;=MA_SHORT),AVERAGE(INDEX($C$5:$C270,267-MA_SHORT):$C270),"")</f>
        <v>5280.8</v>
      </c>
      <c r="J270" s="52" t="n">
        <f aca="false">IF(AND(ISNUMBER($G270),$G270&gt;=MA_MED),AVERAGE(INDEX($C$5:$C270,267-MA_MED):$C270),"")</f>
        <v>5259.3</v>
      </c>
      <c r="K270" s="52" t="n">
        <f aca="false">IF(AND(ISNUMBER($G270),$G270&gt;=MA_LONG2),AVERAGE(INDEX($C$5:$C270,267-MA_LONG2):$C270),"")</f>
        <v>4425.1</v>
      </c>
      <c r="L270" s="53" t="n">
        <f aca="false">IF(AND(ISNUMBER($G270),$G270&gt;=21),STDEV(INDEX($H$210:$H270,62-20):$H270)*SQRT(245),"")</f>
        <v>0.199472663170088</v>
      </c>
      <c r="M270" s="52" t="n">
        <f aca="false">IF(AND(ISNUMBER($G270),$G270&gt;=60),MAX(INDEX($D$70:$D270,202-60):$D270),"")</f>
        <v>5521</v>
      </c>
      <c r="N270" s="52" t="n">
        <f aca="false">IF(AND(ISNUMBER($G270),$G270&gt;=60),MIN(INDEX($E$70:$E270,202-60):$E270),"")</f>
        <v>4864</v>
      </c>
      <c r="O270" s="53" t="n">
        <f aca="false">IF(OR(NOT(ISNUMBER($C270)),NOT(ISNUMBER($M270)),$M270=0),"",$C270/$M270-1)</f>
        <v>-0.023727585582322</v>
      </c>
    </row>
    <row r="271" customFormat="false" ht="15" hidden="false" customHeight="false" outlineLevel="0" collapsed="false">
      <c r="A271" s="47" t="n">
        <v>45942</v>
      </c>
      <c r="B271" s="48" t="s">
        <v>419</v>
      </c>
      <c r="C271" s="49" t="n">
        <v>5385</v>
      </c>
      <c r="D271" s="49" t="n">
        <v>5389</v>
      </c>
      <c r="E271" s="49" t="n">
        <v>5343</v>
      </c>
      <c r="F271" s="49" t="n">
        <v>0</v>
      </c>
      <c r="G271" s="50" t="n">
        <f aca="false">IF($A271="","",IF(ISNUMBER($G270),$G270+1,1))</f>
        <v>267</v>
      </c>
      <c r="H271" s="51" t="n">
        <f aca="false">IF(OR(NOT(ISNUMBER($G271)),$G271&lt;2,NOT(ISNUMBER($C270)),$C270=0),"",$C271/$C270-1)</f>
        <v>-0.000927643784786603</v>
      </c>
      <c r="I271" s="52" t="n">
        <f aca="false">IF(AND(ISNUMBER($G271),$G271&gt;=MA_SHORT),AVERAGE(INDEX($C$5:$C271,268-MA_SHORT):$C271),"")</f>
        <v>5282.85</v>
      </c>
      <c r="J271" s="52" t="n">
        <f aca="false">IF(AND(ISNUMBER($G271),$G271&gt;=MA_MED),AVERAGE(INDEX($C$5:$C271,268-MA_MED):$C271),"")</f>
        <v>5264.64</v>
      </c>
      <c r="K271" s="52" t="n">
        <f aca="false">IF(AND(ISNUMBER($G271),$G271&gt;=MA_LONG2),AVERAGE(INDEX($C$5:$C271,268-MA_LONG2):$C271),"")</f>
        <v>4437.05</v>
      </c>
      <c r="L271" s="53" t="n">
        <f aca="false">IF(AND(ISNUMBER($G271),$G271&gt;=21),STDEV(INDEX($H$211:$H271,62-20):$H271)*SQRT(245),"")</f>
        <v>0.191330000742003</v>
      </c>
      <c r="M271" s="52" t="n">
        <f aca="false">IF(AND(ISNUMBER($G271),$G271&gt;=60),MAX(INDEX($D$71:$D271,202-60):$D271),"")</f>
        <v>5521</v>
      </c>
      <c r="N271" s="52" t="n">
        <f aca="false">IF(AND(ISNUMBER($G271),$G271&gt;=60),MIN(INDEX($E$71:$E271,202-60):$E271),"")</f>
        <v>4940</v>
      </c>
      <c r="O271" s="53" t="n">
        <f aca="false">IF(OR(NOT(ISNUMBER($C271)),NOT(ISNUMBER($M271)),$M271=0),"",$C271/$M271-1)</f>
        <v>-0.0246332186198153</v>
      </c>
    </row>
    <row r="272" customFormat="false" ht="15" hidden="false" customHeight="false" outlineLevel="0" collapsed="false">
      <c r="A272" s="47" t="n">
        <v>45943</v>
      </c>
      <c r="B272" s="48" t="s">
        <v>420</v>
      </c>
      <c r="C272" s="49" t="n">
        <v>5380</v>
      </c>
      <c r="D272" s="49" t="n">
        <v>5402</v>
      </c>
      <c r="E272" s="49" t="n">
        <v>5371</v>
      </c>
      <c r="F272" s="49" t="n">
        <v>0</v>
      </c>
      <c r="G272" s="50" t="n">
        <f aca="false">IF($A272="","",IF(ISNUMBER($G271),$G271+1,1))</f>
        <v>268</v>
      </c>
      <c r="H272" s="51" t="n">
        <f aca="false">IF(OR(NOT(ISNUMBER($G272)),$G272&lt;2,NOT(ISNUMBER($C271)),$C271=0),"",$C272/$C271-1)</f>
        <v>-0.00092850510677811</v>
      </c>
      <c r="I272" s="52" t="n">
        <f aca="false">IF(AND(ISNUMBER($G272),$G272&gt;=MA_SHORT),AVERAGE(INDEX($C$5:$C272,269-MA_SHORT):$C272),"")</f>
        <v>5286.55</v>
      </c>
      <c r="J272" s="52" t="n">
        <f aca="false">IF(AND(ISNUMBER($G272),$G272&gt;=MA_MED),AVERAGE(INDEX($C$5:$C272,269-MA_MED):$C272),"")</f>
        <v>5271.02</v>
      </c>
      <c r="K272" s="52" t="n">
        <f aca="false">IF(AND(ISNUMBER($G272),$G272&gt;=MA_LONG2),AVERAGE(INDEX($C$5:$C272,269-MA_LONG2):$C272),"")</f>
        <v>4448.745</v>
      </c>
      <c r="L272" s="53" t="n">
        <f aca="false">IF(AND(ISNUMBER($G272),$G272&gt;=21),STDEV(INDEX($H$212:$H272,62-20):$H272)*SQRT(245),"")</f>
        <v>0.189392050610335</v>
      </c>
      <c r="M272" s="52" t="n">
        <f aca="false">IF(AND(ISNUMBER($G272),$G272&gt;=60),MAX(INDEX($D$72:$D272,202-60):$D272),"")</f>
        <v>5521</v>
      </c>
      <c r="N272" s="52" t="n">
        <f aca="false">IF(AND(ISNUMBER($G272),$G272&gt;=60),MIN(INDEX($E$72:$E272,202-60):$E272),"")</f>
        <v>4992</v>
      </c>
      <c r="O272" s="53" t="n">
        <f aca="false">IF(OR(NOT(ISNUMBER($C272)),NOT(ISNUMBER($M272)),$M272=0),"",$C272/$M272-1)</f>
        <v>-0.0255388516573084</v>
      </c>
    </row>
    <row r="273" customFormat="false" ht="15" hidden="false" customHeight="false" outlineLevel="0" collapsed="false">
      <c r="A273" s="47" t="n">
        <v>45944</v>
      </c>
      <c r="B273" s="48" t="s">
        <v>421</v>
      </c>
      <c r="C273" s="49" t="n">
        <v>5470</v>
      </c>
      <c r="D273" s="49" t="n">
        <v>5476</v>
      </c>
      <c r="E273" s="49" t="n">
        <v>5449</v>
      </c>
      <c r="F273" s="49" t="n">
        <v>0</v>
      </c>
      <c r="G273" s="50" t="n">
        <f aca="false">IF($A273="","",IF(ISNUMBER($G272),$G272+1,1))</f>
        <v>269</v>
      </c>
      <c r="H273" s="51" t="n">
        <f aca="false">IF(OR(NOT(ISNUMBER($G273)),$G273&lt;2,NOT(ISNUMBER($C272)),$C272=0),"",$C273/$C272-1)</f>
        <v>0.016728624535316</v>
      </c>
      <c r="I273" s="52" t="n">
        <f aca="false">IF(AND(ISNUMBER($G273),$G273&gt;=MA_SHORT),AVERAGE(INDEX($C$5:$C273,270-MA_SHORT):$C273),"")</f>
        <v>5290.9</v>
      </c>
      <c r="J273" s="52" t="n">
        <f aca="false">IF(AND(ISNUMBER($G273),$G273&gt;=MA_MED),AVERAGE(INDEX($C$5:$C273,270-MA_MED):$C273),"")</f>
        <v>5279.04</v>
      </c>
      <c r="K273" s="52" t="n">
        <f aca="false">IF(AND(ISNUMBER($G273),$G273&gt;=MA_LONG2),AVERAGE(INDEX($C$5:$C273,270-MA_LONG2):$C273),"")</f>
        <v>4460.855</v>
      </c>
      <c r="L273" s="53" t="n">
        <f aca="false">IF(AND(ISNUMBER($G273),$G273&gt;=21),STDEV(INDEX($H$213:$H273,62-20):$H273)*SQRT(245),"")</f>
        <v>0.191613093480234</v>
      </c>
      <c r="M273" s="52" t="n">
        <f aca="false">IF(AND(ISNUMBER($G273),$G273&gt;=60),MAX(INDEX($D$73:$D273,202-60):$D273),"")</f>
        <v>5521</v>
      </c>
      <c r="N273" s="52" t="n">
        <f aca="false">IF(AND(ISNUMBER($G273),$G273&gt;=60),MIN(INDEX($E$73:$E273,202-60):$E273),"")</f>
        <v>5020</v>
      </c>
      <c r="O273" s="53" t="n">
        <f aca="false">IF(OR(NOT(ISNUMBER($C273)),NOT(ISNUMBER($M273)),$M273=0),"",$C273/$M273-1)</f>
        <v>-0.00923745698243073</v>
      </c>
    </row>
    <row r="274" customFormat="false" ht="15" hidden="false" customHeight="false" outlineLevel="0" collapsed="false">
      <c r="A274" s="47" t="n">
        <v>45945</v>
      </c>
      <c r="B274" s="48" t="s">
        <v>422</v>
      </c>
      <c r="C274" s="49" t="n">
        <v>5584</v>
      </c>
      <c r="D274" s="49" t="n">
        <v>5594</v>
      </c>
      <c r="E274" s="49" t="n">
        <v>5569</v>
      </c>
      <c r="F274" s="49" t="n">
        <v>0</v>
      </c>
      <c r="G274" s="50" t="n">
        <f aca="false">IF($A274="","",IF(ISNUMBER($G273),$G273+1,1))</f>
        <v>270</v>
      </c>
      <c r="H274" s="51" t="n">
        <f aca="false">IF(OR(NOT(ISNUMBER($G274)),$G274&lt;2,NOT(ISNUMBER($C273)),$C273=0),"",$C274/$C273-1)</f>
        <v>0.0208409506398537</v>
      </c>
      <c r="I274" s="52" t="n">
        <f aca="false">IF(AND(ISNUMBER($G274),$G274&gt;=MA_SHORT),AVERAGE(INDEX($C$5:$C274,271-MA_SHORT):$C274),"")</f>
        <v>5301.65</v>
      </c>
      <c r="J274" s="52" t="n">
        <f aca="false">IF(AND(ISNUMBER($G274),$G274&gt;=MA_MED),AVERAGE(INDEX($C$5:$C274,271-MA_MED):$C274),"")</f>
        <v>5288.82</v>
      </c>
      <c r="K274" s="52" t="n">
        <f aca="false">IF(AND(ISNUMBER($G274),$G274&gt;=MA_LONG2),AVERAGE(INDEX($C$5:$C274,271-MA_LONG2):$C274),"")</f>
        <v>4473.535</v>
      </c>
      <c r="L274" s="53" t="n">
        <f aca="false">IF(AND(ISNUMBER($G274),$G274&gt;=21),STDEV(INDEX($H$214:$H274,62-20):$H274)*SQRT(245),"")</f>
        <v>0.203339174595741</v>
      </c>
      <c r="M274" s="52" t="n">
        <f aca="false">IF(AND(ISNUMBER($G274),$G274&gt;=60),MAX(INDEX($D$74:$D274,202-60):$D274),"")</f>
        <v>5594</v>
      </c>
      <c r="N274" s="52" t="n">
        <f aca="false">IF(AND(ISNUMBER($G274),$G274&gt;=60),MIN(INDEX($E$74:$E274,202-60):$E274),"")</f>
        <v>5020</v>
      </c>
      <c r="O274" s="53" t="n">
        <f aca="false">IF(OR(NOT(ISNUMBER($C274)),NOT(ISNUMBER($M274)),$M274=0),"",$C274/$M274-1)</f>
        <v>-0.00178762960314627</v>
      </c>
    </row>
    <row r="275" customFormat="false" ht="15" hidden="false" customHeight="false" outlineLevel="0" collapsed="false">
      <c r="A275" s="47" t="n">
        <v>45948</v>
      </c>
      <c r="B275" s="48" t="s">
        <v>423</v>
      </c>
      <c r="C275" s="49" t="n">
        <v>5597</v>
      </c>
      <c r="D275" s="49" t="n">
        <v>5665</v>
      </c>
      <c r="E275" s="49" t="n">
        <v>5578</v>
      </c>
      <c r="F275" s="49" t="n">
        <v>0</v>
      </c>
      <c r="G275" s="50" t="n">
        <f aca="false">IF($A275="","",IF(ISNUMBER($G274),$G274+1,1))</f>
        <v>271</v>
      </c>
      <c r="H275" s="51" t="n">
        <f aca="false">IF(OR(NOT(ISNUMBER($G275)),$G275&lt;2,NOT(ISNUMBER($C274)),$C274=0),"",$C275/$C274-1)</f>
        <v>0.00232808022922626</v>
      </c>
      <c r="I275" s="52" t="n">
        <f aca="false">IF(AND(ISNUMBER($G275),$G275&gt;=MA_SHORT),AVERAGE(INDEX($C$5:$C275,272-MA_SHORT):$C275),"")</f>
        <v>5318.95</v>
      </c>
      <c r="J275" s="52" t="n">
        <f aca="false">IF(AND(ISNUMBER($G275),$G275&gt;=MA_MED),AVERAGE(INDEX($C$5:$C275,272-MA_MED):$C275),"")</f>
        <v>5297.8</v>
      </c>
      <c r="K275" s="52" t="n">
        <f aca="false">IF(AND(ISNUMBER($G275),$G275&gt;=MA_LONG2),AVERAGE(INDEX($C$5:$C275,272-MA_LONG2):$C275),"")</f>
        <v>4486.235</v>
      </c>
      <c r="L275" s="53" t="n">
        <f aca="false">IF(AND(ISNUMBER($G275),$G275&gt;=21),STDEV(INDEX($H$215:$H275,62-20):$H275)*SQRT(245),"")</f>
        <v>0.183098399215558</v>
      </c>
      <c r="M275" s="52" t="n">
        <f aca="false">IF(AND(ISNUMBER($G275),$G275&gt;=60),MAX(INDEX($D$75:$D275,202-60):$D275),"")</f>
        <v>5665</v>
      </c>
      <c r="N275" s="52" t="n">
        <f aca="false">IF(AND(ISNUMBER($G275),$G275&gt;=60),MIN(INDEX($E$75:$E275,202-60):$E275),"")</f>
        <v>5020</v>
      </c>
      <c r="O275" s="53" t="n">
        <f aca="false">IF(OR(NOT(ISNUMBER($C275)),NOT(ISNUMBER($M275)),$M275=0),"",$C275/$M275-1)</f>
        <v>-0.0120035304501324</v>
      </c>
    </row>
    <row r="276" customFormat="false" ht="15" hidden="false" customHeight="false" outlineLevel="0" collapsed="false">
      <c r="A276" s="47" t="n">
        <v>45949</v>
      </c>
      <c r="B276" s="48" t="s">
        <v>424</v>
      </c>
      <c r="C276" s="49" t="n">
        <v>5588</v>
      </c>
      <c r="D276" s="49" t="n">
        <v>5611</v>
      </c>
      <c r="E276" s="49" t="n">
        <v>5534</v>
      </c>
      <c r="F276" s="49" t="n">
        <v>0</v>
      </c>
      <c r="G276" s="50" t="n">
        <f aca="false">IF($A276="","",IF(ISNUMBER($G275),$G275+1,1))</f>
        <v>272</v>
      </c>
      <c r="H276" s="51" t="n">
        <f aca="false">IF(OR(NOT(ISNUMBER($G276)),$G276&lt;2,NOT(ISNUMBER($C275)),$C275=0),"",$C276/$C275-1)</f>
        <v>-0.00160800428801144</v>
      </c>
      <c r="I276" s="52" t="n">
        <f aca="false">IF(AND(ISNUMBER($G276),$G276&gt;=MA_SHORT),AVERAGE(INDEX($C$5:$C276,273-MA_SHORT):$C276),"")</f>
        <v>5335.95</v>
      </c>
      <c r="J276" s="52" t="n">
        <f aca="false">IF(AND(ISNUMBER($G276),$G276&gt;=MA_MED),AVERAGE(INDEX($C$5:$C276,273-MA_MED):$C276),"")</f>
        <v>5306.82</v>
      </c>
      <c r="K276" s="52" t="n">
        <f aca="false">IF(AND(ISNUMBER($G276),$G276&gt;=MA_LONG2),AVERAGE(INDEX($C$5:$C276,273-MA_LONG2):$C276),"")</f>
        <v>4498.45</v>
      </c>
      <c r="L276" s="53" t="n">
        <f aca="false">IF(AND(ISNUMBER($G276),$G276&gt;=21),STDEV(INDEX($H$216:$H276,62-20):$H276)*SQRT(245),"")</f>
        <v>0.183413855976229</v>
      </c>
      <c r="M276" s="52" t="n">
        <f aca="false">IF(AND(ISNUMBER($G276),$G276&gt;=60),MAX(INDEX($D$76:$D276,202-60):$D276),"")</f>
        <v>5665</v>
      </c>
      <c r="N276" s="52" t="n">
        <f aca="false">IF(AND(ISNUMBER($G276),$G276&gt;=60),MIN(INDEX($E$76:$E276,202-60):$E276),"")</f>
        <v>5020</v>
      </c>
      <c r="O276" s="53" t="n">
        <f aca="false">IF(OR(NOT(ISNUMBER($C276)),NOT(ISNUMBER($M276)),$M276=0),"",$C276/$M276-1)</f>
        <v>-0.0135922330097087</v>
      </c>
    </row>
    <row r="277" customFormat="false" ht="15" hidden="false" customHeight="false" outlineLevel="0" collapsed="false">
      <c r="A277" s="47" t="n">
        <v>45950</v>
      </c>
      <c r="B277" s="48" t="s">
        <v>425</v>
      </c>
      <c r="C277" s="49" t="n">
        <v>5641</v>
      </c>
      <c r="D277" s="49" t="n">
        <v>5643</v>
      </c>
      <c r="E277" s="49" t="n">
        <v>5620</v>
      </c>
      <c r="F277" s="49" t="n">
        <v>0</v>
      </c>
      <c r="G277" s="50" t="n">
        <f aca="false">IF($A277="","",IF(ISNUMBER($G276),$G276+1,1))</f>
        <v>273</v>
      </c>
      <c r="H277" s="51" t="n">
        <f aca="false">IF(OR(NOT(ISNUMBER($G277)),$G277&lt;2,NOT(ISNUMBER($C276)),$C276=0),"",$C277/$C276-1)</f>
        <v>0.00948460987831057</v>
      </c>
      <c r="I277" s="52" t="n">
        <f aca="false">IF(AND(ISNUMBER($G277),$G277&gt;=MA_SHORT),AVERAGE(INDEX($C$5:$C277,274-MA_SHORT):$C277),"")</f>
        <v>5360.75</v>
      </c>
      <c r="J277" s="52" t="n">
        <f aca="false">IF(AND(ISNUMBER($G277),$G277&gt;=MA_MED),AVERAGE(INDEX($C$5:$C277,274-MA_MED):$C277),"")</f>
        <v>5315.78</v>
      </c>
      <c r="K277" s="52" t="n">
        <f aca="false">IF(AND(ISNUMBER($G277),$G277&gt;=MA_LONG2),AVERAGE(INDEX($C$5:$C277,274-MA_LONG2):$C277),"")</f>
        <v>4510.785</v>
      </c>
      <c r="L277" s="53" t="n">
        <f aca="false">IF(AND(ISNUMBER($G277),$G277&gt;=21),STDEV(INDEX($H$217:$H277,62-20):$H277)*SQRT(245),"")</f>
        <v>0.163945179690979</v>
      </c>
      <c r="M277" s="52" t="n">
        <f aca="false">IF(AND(ISNUMBER($G277),$G277&gt;=60),MAX(INDEX($D$77:$D277,202-60):$D277),"")</f>
        <v>5665</v>
      </c>
      <c r="N277" s="52" t="n">
        <f aca="false">IF(AND(ISNUMBER($G277),$G277&gt;=60),MIN(INDEX($E$77:$E277,202-60):$E277),"")</f>
        <v>5020</v>
      </c>
      <c r="O277" s="53" t="n">
        <f aca="false">IF(OR(NOT(ISNUMBER($C277)),NOT(ISNUMBER($M277)),$M277=0),"",$C277/$M277-1)</f>
        <v>-0.00423654015887021</v>
      </c>
    </row>
    <row r="278" customFormat="false" ht="15" hidden="false" customHeight="false" outlineLevel="0" collapsed="false">
      <c r="A278" s="47" t="n">
        <v>45951</v>
      </c>
      <c r="B278" s="48" t="s">
        <v>426</v>
      </c>
      <c r="C278" s="49" t="n">
        <v>5716</v>
      </c>
      <c r="D278" s="49" t="n">
        <v>5727</v>
      </c>
      <c r="E278" s="49" t="n">
        <v>5698</v>
      </c>
      <c r="F278" s="49" t="n">
        <v>0</v>
      </c>
      <c r="G278" s="50" t="n">
        <f aca="false">IF($A278="","",IF(ISNUMBER($G277),$G277+1,1))</f>
        <v>274</v>
      </c>
      <c r="H278" s="51" t="n">
        <f aca="false">IF(OR(NOT(ISNUMBER($G278)),$G278&lt;2,NOT(ISNUMBER($C277)),$C277=0),"",$C278/$C277-1)</f>
        <v>0.0132955149796135</v>
      </c>
      <c r="I278" s="52" t="n">
        <f aca="false">IF(AND(ISNUMBER($G278),$G278&gt;=MA_SHORT),AVERAGE(INDEX($C$5:$C278,275-MA_SHORT):$C278),"")</f>
        <v>5388.45</v>
      </c>
      <c r="J278" s="52" t="n">
        <f aca="false">IF(AND(ISNUMBER($G278),$G278&gt;=MA_MED),AVERAGE(INDEX($C$5:$C278,275-MA_MED):$C278),"")</f>
        <v>5325.34</v>
      </c>
      <c r="K278" s="52" t="n">
        <f aca="false">IF(AND(ISNUMBER($G278),$G278&gt;=MA_LONG2),AVERAGE(INDEX($C$5:$C278,275-MA_LONG2):$C278),"")</f>
        <v>4523.48</v>
      </c>
      <c r="L278" s="53" t="n">
        <f aca="false">IF(AND(ISNUMBER($G278),$G278&gt;=21),STDEV(INDEX($H$218:$H278,62-20):$H278)*SQRT(245),"")</f>
        <v>0.166584458176949</v>
      </c>
      <c r="M278" s="52" t="n">
        <f aca="false">IF(AND(ISNUMBER($G278),$G278&gt;=60),MAX(INDEX($D$78:$D278,202-60):$D278),"")</f>
        <v>5727</v>
      </c>
      <c r="N278" s="52" t="n">
        <f aca="false">IF(AND(ISNUMBER($G278),$G278&gt;=60),MIN(INDEX($E$78:$E278,202-60):$E278),"")</f>
        <v>5020</v>
      </c>
      <c r="O278" s="53" t="n">
        <f aca="false">IF(OR(NOT(ISNUMBER($C278)),NOT(ISNUMBER($M278)),$M278=0),"",$C278/$M278-1)</f>
        <v>-0.00192072638379603</v>
      </c>
    </row>
    <row r="279" customFormat="false" ht="15" hidden="false" customHeight="false" outlineLevel="0" collapsed="false">
      <c r="A279" s="47" t="n">
        <v>45952</v>
      </c>
      <c r="B279" s="48" t="s">
        <v>427</v>
      </c>
      <c r="C279" s="49" t="n">
        <v>5726</v>
      </c>
      <c r="D279" s="49" t="n">
        <v>5730</v>
      </c>
      <c r="E279" s="49" t="n">
        <v>5713</v>
      </c>
      <c r="F279" s="49" t="n">
        <v>0</v>
      </c>
      <c r="G279" s="50" t="n">
        <f aca="false">IF($A279="","",IF(ISNUMBER($G278),$G278+1,1))</f>
        <v>275</v>
      </c>
      <c r="H279" s="51" t="n">
        <f aca="false">IF(OR(NOT(ISNUMBER($G279)),$G279&lt;2,NOT(ISNUMBER($C278)),$C278=0),"",$C279/$C278-1)</f>
        <v>0.00174947515745272</v>
      </c>
      <c r="I279" s="52" t="n">
        <f aca="false">IF(AND(ISNUMBER($G279),$G279&gt;=MA_SHORT),AVERAGE(INDEX($C$5:$C279,276-MA_SHORT):$C279),"")</f>
        <v>5413.4</v>
      </c>
      <c r="J279" s="52" t="n">
        <f aca="false">IF(AND(ISNUMBER($G279),$G279&gt;=MA_MED),AVERAGE(INDEX($C$5:$C279,276-MA_MED):$C279),"")</f>
        <v>5334.26</v>
      </c>
      <c r="K279" s="52" t="n">
        <f aca="false">IF(AND(ISNUMBER($G279),$G279&gt;=MA_LONG2),AVERAGE(INDEX($C$5:$C279,276-MA_LONG2):$C279),"")</f>
        <v>4535.92</v>
      </c>
      <c r="L279" s="53" t="n">
        <f aca="false">IF(AND(ISNUMBER($G279),$G279&gt;=21),STDEV(INDEX($H$219:$H279,62-20):$H279)*SQRT(245),"")</f>
        <v>0.164661695923308</v>
      </c>
      <c r="M279" s="52" t="n">
        <f aca="false">IF(AND(ISNUMBER($G279),$G279&gt;=60),MAX(INDEX($D$79:$D279,202-60):$D279),"")</f>
        <v>5730</v>
      </c>
      <c r="N279" s="52" t="n">
        <f aca="false">IF(AND(ISNUMBER($G279),$G279&gt;=60),MIN(INDEX($E$79:$E279,202-60):$E279),"")</f>
        <v>5030</v>
      </c>
      <c r="O279" s="53" t="n">
        <f aca="false">IF(OR(NOT(ISNUMBER($C279)),NOT(ISNUMBER($M279)),$M279=0),"",$C279/$M279-1)</f>
        <v>-0.000698080279232127</v>
      </c>
    </row>
    <row r="280" customFormat="false" ht="15" hidden="false" customHeight="false" outlineLevel="0" collapsed="false">
      <c r="A280" s="47" t="n">
        <v>45955</v>
      </c>
      <c r="B280" s="48" t="s">
        <v>428</v>
      </c>
      <c r="C280" s="49" t="n">
        <v>5759</v>
      </c>
      <c r="D280" s="49" t="n">
        <v>5775</v>
      </c>
      <c r="E280" s="49" t="n">
        <v>5732</v>
      </c>
      <c r="F280" s="49" t="n">
        <v>0</v>
      </c>
      <c r="G280" s="50" t="n">
        <f aca="false">IF($A280="","",IF(ISNUMBER($G279),$G279+1,1))</f>
        <v>276</v>
      </c>
      <c r="H280" s="51" t="n">
        <f aca="false">IF(OR(NOT(ISNUMBER($G280)),$G280&lt;2,NOT(ISNUMBER($C279)),$C279=0),"",$C280/$C279-1)</f>
        <v>0.00576318546978705</v>
      </c>
      <c r="I280" s="52" t="n">
        <f aca="false">IF(AND(ISNUMBER($G280),$G280&gt;=MA_SHORT),AVERAGE(INDEX($C$5:$C280,277-MA_SHORT):$C280),"")</f>
        <v>5445.8</v>
      </c>
      <c r="J280" s="52" t="n">
        <f aca="false">IF(AND(ISNUMBER($G280),$G280&gt;=MA_MED),AVERAGE(INDEX($C$5:$C280,277-MA_MED):$C280),"")</f>
        <v>5344.56</v>
      </c>
      <c r="K280" s="52" t="n">
        <f aca="false">IF(AND(ISNUMBER($G280),$G280&gt;=MA_LONG2),AVERAGE(INDEX($C$5:$C280,277-MA_LONG2):$C280),"")</f>
        <v>4548.52</v>
      </c>
      <c r="L280" s="53" t="n">
        <f aca="false">IF(AND(ISNUMBER($G280),$G280&gt;=21),STDEV(INDEX($H$220:$H280,62-20):$H280)*SQRT(245),"")</f>
        <v>0.131738054233167</v>
      </c>
      <c r="M280" s="52" t="n">
        <f aca="false">IF(AND(ISNUMBER($G280),$G280&gt;=60),MAX(INDEX($D$80:$D280,202-60):$D280),"")</f>
        <v>5775</v>
      </c>
      <c r="N280" s="52" t="n">
        <f aca="false">IF(AND(ISNUMBER($G280),$G280&gt;=60),MIN(INDEX($E$80:$E280,202-60):$E280),"")</f>
        <v>5030</v>
      </c>
      <c r="O280" s="53" t="n">
        <f aca="false">IF(OR(NOT(ISNUMBER($C280)),NOT(ISNUMBER($M280)),$M280=0),"",$C280/$M280-1)</f>
        <v>-0.00277056277056276</v>
      </c>
    </row>
    <row r="281" customFormat="false" ht="15" hidden="false" customHeight="false" outlineLevel="0" collapsed="false">
      <c r="A281" s="47" t="n">
        <v>45956</v>
      </c>
      <c r="B281" s="48" t="s">
        <v>429</v>
      </c>
      <c r="C281" s="49" t="n">
        <v>5872</v>
      </c>
      <c r="D281" s="49" t="n">
        <v>5886</v>
      </c>
      <c r="E281" s="49" t="n">
        <v>5854</v>
      </c>
      <c r="F281" s="49" t="n">
        <v>0</v>
      </c>
      <c r="G281" s="50" t="n">
        <f aca="false">IF($A281="","",IF(ISNUMBER($G280),$G280+1,1))</f>
        <v>277</v>
      </c>
      <c r="H281" s="51" t="n">
        <f aca="false">IF(OR(NOT(ISNUMBER($G281)),$G281&lt;2,NOT(ISNUMBER($C280)),$C280=0),"",$C281/$C280-1)</f>
        <v>0.0196214620593853</v>
      </c>
      <c r="I281" s="52" t="n">
        <f aca="false">IF(AND(ISNUMBER($G281),$G281&gt;=MA_SHORT),AVERAGE(INDEX($C$5:$C281,278-MA_SHORT):$C281),"")</f>
        <v>5482.15</v>
      </c>
      <c r="J281" s="52" t="n">
        <f aca="false">IF(AND(ISNUMBER($G281),$G281&gt;=MA_MED),AVERAGE(INDEX($C$5:$C281,278-MA_MED):$C281),"")</f>
        <v>5358.66</v>
      </c>
      <c r="K281" s="52" t="n">
        <f aca="false">IF(AND(ISNUMBER($G281),$G281&gt;=MA_LONG2),AVERAGE(INDEX($C$5:$C281,278-MA_LONG2):$C281),"")</f>
        <v>4561.665</v>
      </c>
      <c r="L281" s="53" t="n">
        <f aca="false">IF(AND(ISNUMBER($G281),$G281&gt;=21),STDEV(INDEX($H$221:$H281,62-20):$H281)*SQRT(245),"")</f>
        <v>0.14009613874981</v>
      </c>
      <c r="M281" s="52" t="n">
        <f aca="false">IF(AND(ISNUMBER($G281),$G281&gt;=60),MAX(INDEX($D$81:$D281,202-60):$D281),"")</f>
        <v>5886</v>
      </c>
      <c r="N281" s="52" t="n">
        <f aca="false">IF(AND(ISNUMBER($G281),$G281&gt;=60),MIN(INDEX($E$81:$E281,202-60):$E281),"")</f>
        <v>5030</v>
      </c>
      <c r="O281" s="53" t="n">
        <f aca="false">IF(OR(NOT(ISNUMBER($C281)),NOT(ISNUMBER($M281)),$M281=0),"",$C281/$M281-1)</f>
        <v>-0.00237852531430516</v>
      </c>
    </row>
    <row r="282" customFormat="false" ht="15" hidden="false" customHeight="false" outlineLevel="0" collapsed="false">
      <c r="A282" s="47" t="n">
        <v>45957</v>
      </c>
      <c r="B282" s="48" t="s">
        <v>430</v>
      </c>
      <c r="C282" s="49" t="n">
        <v>5819</v>
      </c>
      <c r="D282" s="49" t="n">
        <v>5867</v>
      </c>
      <c r="E282" s="49" t="n">
        <v>5814</v>
      </c>
      <c r="F282" s="49" t="n">
        <v>0</v>
      </c>
      <c r="G282" s="50" t="n">
        <f aca="false">IF($A282="","",IF(ISNUMBER($G281),$G281+1,1))</f>
        <v>278</v>
      </c>
      <c r="H282" s="51" t="n">
        <f aca="false">IF(OR(NOT(ISNUMBER($G282)),$G282&lt;2,NOT(ISNUMBER($C281)),$C281=0),"",$C282/$C281-1)</f>
        <v>-0.00902588555858308</v>
      </c>
      <c r="I282" s="52" t="n">
        <f aca="false">IF(AND(ISNUMBER($G282),$G282&gt;=MA_SHORT),AVERAGE(INDEX($C$5:$C282,279-MA_SHORT):$C282),"")</f>
        <v>5511.95</v>
      </c>
      <c r="J282" s="52" t="n">
        <f aca="false">IF(AND(ISNUMBER($G282),$G282&gt;=MA_MED),AVERAGE(INDEX($C$5:$C282,279-MA_MED):$C282),"")</f>
        <v>5372.72</v>
      </c>
      <c r="K282" s="52" t="n">
        <f aca="false">IF(AND(ISNUMBER($G282),$G282&gt;=MA_LONG2),AVERAGE(INDEX($C$5:$C282,279-MA_LONG2):$C282),"")</f>
        <v>4574.26</v>
      </c>
      <c r="L282" s="53" t="n">
        <f aca="false">IF(AND(ISNUMBER($G282),$G282&gt;=21),STDEV(INDEX($H$222:$H282,62-20):$H282)*SQRT(245),"")</f>
        <v>0.146614706967135</v>
      </c>
      <c r="M282" s="52" t="n">
        <f aca="false">IF(AND(ISNUMBER($G282),$G282&gt;=60),MAX(INDEX($D$82:$D282,202-60):$D282),"")</f>
        <v>5886</v>
      </c>
      <c r="N282" s="52" t="n">
        <f aca="false">IF(AND(ISNUMBER($G282),$G282&gt;=60),MIN(INDEX($E$82:$E282,202-60):$E282),"")</f>
        <v>5053</v>
      </c>
      <c r="O282" s="53" t="n">
        <f aca="false">IF(OR(NOT(ISNUMBER($C282)),NOT(ISNUMBER($M282)),$M282=0),"",$C282/$M282-1)</f>
        <v>-0.0113829425756031</v>
      </c>
    </row>
    <row r="283" customFormat="false" ht="15" hidden="false" customHeight="false" outlineLevel="0" collapsed="false">
      <c r="A283" s="47" t="n">
        <v>45958</v>
      </c>
      <c r="B283" s="48" t="s">
        <v>431</v>
      </c>
      <c r="C283" s="49" t="n">
        <v>5846</v>
      </c>
      <c r="D283" s="49" t="n">
        <v>5864</v>
      </c>
      <c r="E283" s="49" t="n">
        <v>5837</v>
      </c>
      <c r="F283" s="49" t="n">
        <v>0</v>
      </c>
      <c r="G283" s="50" t="n">
        <f aca="false">IF($A283="","",IF(ISNUMBER($G282),$G282+1,1))</f>
        <v>279</v>
      </c>
      <c r="H283" s="51" t="n">
        <f aca="false">IF(OR(NOT(ISNUMBER($G283)),$G283&lt;2,NOT(ISNUMBER($C282)),$C282=0),"",$C283/$C282-1)</f>
        <v>0.00463997250386661</v>
      </c>
      <c r="I283" s="52" t="n">
        <f aca="false">IF(AND(ISNUMBER($G283),$G283&gt;=MA_SHORT),AVERAGE(INDEX($C$5:$C283,280-MA_SHORT):$C283),"")</f>
        <v>5540.7</v>
      </c>
      <c r="J283" s="52" t="n">
        <f aca="false">IF(AND(ISNUMBER($G283),$G283&gt;=MA_MED),AVERAGE(INDEX($C$5:$C283,280-MA_MED):$C283),"")</f>
        <v>5387.44</v>
      </c>
      <c r="K283" s="52" t="n">
        <f aca="false">IF(AND(ISNUMBER($G283),$G283&gt;=MA_LONG2),AVERAGE(INDEX($C$5:$C283,280-MA_LONG2):$C283),"")</f>
        <v>4587.195</v>
      </c>
      <c r="L283" s="53" t="n">
        <f aca="false">IF(AND(ISNUMBER($G283),$G283&gt;=21),STDEV(INDEX($H$223:$H283,62-20):$H283)*SQRT(245),"")</f>
        <v>0.145985096319539</v>
      </c>
      <c r="M283" s="52" t="n">
        <f aca="false">IF(AND(ISNUMBER($G283),$G283&gt;=60),MAX(INDEX($D$83:$D283,202-60):$D283),"")</f>
        <v>5886</v>
      </c>
      <c r="N283" s="52" t="n">
        <f aca="false">IF(AND(ISNUMBER($G283),$G283&gt;=60),MIN(INDEX($E$83:$E283,202-60):$E283),"")</f>
        <v>5080</v>
      </c>
      <c r="O283" s="53" t="n">
        <f aca="false">IF(OR(NOT(ISNUMBER($C283)),NOT(ISNUMBER($M283)),$M283=0),"",$C283/$M283-1)</f>
        <v>-0.0067957866123004</v>
      </c>
    </row>
    <row r="284" customFormat="false" ht="15" hidden="false" customHeight="false" outlineLevel="0" collapsed="false">
      <c r="A284" s="47" t="n">
        <v>45959</v>
      </c>
      <c r="B284" s="48" t="s">
        <v>432</v>
      </c>
      <c r="C284" s="49" t="n">
        <v>5801</v>
      </c>
      <c r="D284" s="49" t="n">
        <v>5801</v>
      </c>
      <c r="E284" s="49" t="n">
        <v>5791</v>
      </c>
      <c r="F284" s="49" t="n">
        <v>0</v>
      </c>
      <c r="G284" s="50" t="n">
        <f aca="false">IF($A284="","",IF(ISNUMBER($G283),$G283+1,1))</f>
        <v>280</v>
      </c>
      <c r="H284" s="51" t="n">
        <f aca="false">IF(OR(NOT(ISNUMBER($G284)),$G284&lt;2,NOT(ISNUMBER($C283)),$C283=0),"",$C284/$C283-1)</f>
        <v>-0.00769757098871027</v>
      </c>
      <c r="I284" s="52" t="n">
        <f aca="false">IF(AND(ISNUMBER($G284),$G284&gt;=MA_SHORT),AVERAGE(INDEX($C$5:$C284,281-MA_SHORT):$C284),"")</f>
        <v>5569.05</v>
      </c>
      <c r="J284" s="52" t="n">
        <f aca="false">IF(AND(ISNUMBER($G284),$G284&gt;=MA_MED),AVERAGE(INDEX($C$5:$C284,281-MA_MED):$C284),"")</f>
        <v>5399.94</v>
      </c>
      <c r="K284" s="52" t="n">
        <f aca="false">IF(AND(ISNUMBER($G284),$G284&gt;=MA_LONG2),AVERAGE(INDEX($C$5:$C284,281-MA_LONG2):$C284),"")</f>
        <v>4599.835</v>
      </c>
      <c r="L284" s="53" t="n">
        <f aca="false">IF(AND(ISNUMBER($G284),$G284&gt;=21),STDEV(INDEX($H$224:$H284,62-20):$H284)*SQRT(245),"")</f>
        <v>0.146736157450459</v>
      </c>
      <c r="M284" s="52" t="n">
        <f aca="false">IF(AND(ISNUMBER($G284),$G284&gt;=60),MAX(INDEX($D$84:$D284,202-60):$D284),"")</f>
        <v>5886</v>
      </c>
      <c r="N284" s="52" t="n">
        <f aca="false">IF(AND(ISNUMBER($G284),$G284&gt;=60),MIN(INDEX($E$84:$E284,202-60):$E284),"")</f>
        <v>5083</v>
      </c>
      <c r="O284" s="53" t="n">
        <f aca="false">IF(OR(NOT(ISNUMBER($C284)),NOT(ISNUMBER($M284)),$M284=0),"",$C284/$M284-1)</f>
        <v>-0.0144410465511383</v>
      </c>
    </row>
    <row r="285" customFormat="false" ht="15" hidden="false" customHeight="false" outlineLevel="0" collapsed="false">
      <c r="A285" s="47" t="n">
        <v>45962</v>
      </c>
      <c r="B285" s="48" t="s">
        <v>433</v>
      </c>
      <c r="C285" s="49" t="n">
        <v>5829</v>
      </c>
      <c r="D285" s="49" t="n">
        <v>5853</v>
      </c>
      <c r="E285" s="49" t="n">
        <v>5810</v>
      </c>
      <c r="F285" s="49" t="n">
        <v>0</v>
      </c>
      <c r="G285" s="50" t="n">
        <f aca="false">IF($A285="","",IF(ISNUMBER($G284),$G284+1,1))</f>
        <v>281</v>
      </c>
      <c r="H285" s="51" t="n">
        <f aca="false">IF(OR(NOT(ISNUMBER($G285)),$G285&lt;2,NOT(ISNUMBER($C284)),$C284=0),"",$C285/$C284-1)</f>
        <v>0.00482675400792965</v>
      </c>
      <c r="I285" s="52" t="n">
        <f aca="false">IF(AND(ISNUMBER($G285),$G285&gt;=MA_SHORT),AVERAGE(INDEX($C$5:$C285,282-MA_SHORT):$C285),"")</f>
        <v>5597.05</v>
      </c>
      <c r="J285" s="52" t="n">
        <f aca="false">IF(AND(ISNUMBER($G285),$G285&gt;=MA_MED),AVERAGE(INDEX($C$5:$C285,282-MA_MED):$C285),"")</f>
        <v>5414.6</v>
      </c>
      <c r="K285" s="52" t="n">
        <f aca="false">IF(AND(ISNUMBER($G285),$G285&gt;=MA_LONG2),AVERAGE(INDEX($C$5:$C285,282-MA_LONG2):$C285),"")</f>
        <v>4612.995</v>
      </c>
      <c r="L285" s="53" t="n">
        <f aca="false">IF(AND(ISNUMBER($G285),$G285&gt;=21),STDEV(INDEX($H$225:$H285,62-20):$H285)*SQRT(245),"")</f>
        <v>0.146637067084603</v>
      </c>
      <c r="M285" s="52" t="n">
        <f aca="false">IF(AND(ISNUMBER($G285),$G285&gt;=60),MAX(INDEX($D$85:$D285,202-60):$D285),"")</f>
        <v>5886</v>
      </c>
      <c r="N285" s="52" t="n">
        <f aca="false">IF(AND(ISNUMBER($G285),$G285&gt;=60),MIN(INDEX($E$85:$E285,202-60):$E285),"")</f>
        <v>5083</v>
      </c>
      <c r="O285" s="53" t="n">
        <f aca="false">IF(OR(NOT(ISNUMBER($C285)),NOT(ISNUMBER($M285)),$M285=0),"",$C285/$M285-1)</f>
        <v>-0.009683995922528</v>
      </c>
    </row>
    <row r="286" customFormat="false" ht="15" hidden="false" customHeight="false" outlineLevel="0" collapsed="false">
      <c r="A286" s="47" t="n">
        <v>45963</v>
      </c>
      <c r="B286" s="48" t="s">
        <v>434</v>
      </c>
      <c r="C286" s="49" t="n">
        <v>5827</v>
      </c>
      <c r="D286" s="49" t="n">
        <v>5835</v>
      </c>
      <c r="E286" s="49" t="n">
        <v>5822</v>
      </c>
      <c r="F286" s="49" t="n">
        <v>0</v>
      </c>
      <c r="G286" s="50" t="n">
        <f aca="false">IF($A286="","",IF(ISNUMBER($G285),$G285+1,1))</f>
        <v>282</v>
      </c>
      <c r="H286" s="51" t="n">
        <f aca="false">IF(OR(NOT(ISNUMBER($G286)),$G286&lt;2,NOT(ISNUMBER($C285)),$C285=0),"",$C286/$C285-1)</f>
        <v>-0.000343112026076509</v>
      </c>
      <c r="I286" s="52" t="n">
        <f aca="false">IF(AND(ISNUMBER($G286),$G286&gt;=MA_SHORT),AVERAGE(INDEX($C$5:$C286,283-MA_SHORT):$C286),"")</f>
        <v>5623.65</v>
      </c>
      <c r="J286" s="52" t="n">
        <f aca="false">IF(AND(ISNUMBER($G286),$G286&gt;=MA_MED),AVERAGE(INDEX($C$5:$C286,283-MA_MED):$C286),"")</f>
        <v>5429.08</v>
      </c>
      <c r="K286" s="52" t="n">
        <f aca="false">IF(AND(ISNUMBER($G286),$G286&gt;=MA_LONG2),AVERAGE(INDEX($C$5:$C286,283-MA_LONG2):$C286),"")</f>
        <v>4625.83</v>
      </c>
      <c r="L286" s="53" t="n">
        <f aca="false">IF(AND(ISNUMBER($G286),$G286&gt;=21),STDEV(INDEX($H$226:$H286,62-20):$H286)*SQRT(245),"")</f>
        <v>0.147874145642778</v>
      </c>
      <c r="M286" s="52" t="n">
        <f aca="false">IF(AND(ISNUMBER($G286),$G286&gt;=60),MAX(INDEX($D$86:$D286,202-60):$D286),"")</f>
        <v>5886</v>
      </c>
      <c r="N286" s="52" t="n">
        <f aca="false">IF(AND(ISNUMBER($G286),$G286&gt;=60),MIN(INDEX($E$86:$E286,202-60):$E286),"")</f>
        <v>5083</v>
      </c>
      <c r="O286" s="53" t="n">
        <f aca="false">IF(OR(NOT(ISNUMBER($C286)),NOT(ISNUMBER($M286)),$M286=0),"",$C286/$M286-1)</f>
        <v>-0.0100237852531431</v>
      </c>
    </row>
    <row r="287" customFormat="false" ht="15" hidden="false" customHeight="false" outlineLevel="0" collapsed="false">
      <c r="A287" s="47" t="n">
        <v>45964</v>
      </c>
      <c r="B287" s="48" t="s">
        <v>435</v>
      </c>
      <c r="C287" s="49" t="n">
        <v>5866</v>
      </c>
      <c r="D287" s="49" t="n">
        <v>5883</v>
      </c>
      <c r="E287" s="49" t="n">
        <v>5844</v>
      </c>
      <c r="F287" s="49" t="n">
        <v>0</v>
      </c>
      <c r="G287" s="50" t="n">
        <f aca="false">IF($A287="","",IF(ISNUMBER($G286),$G286+1,1))</f>
        <v>283</v>
      </c>
      <c r="H287" s="51" t="n">
        <f aca="false">IF(OR(NOT(ISNUMBER($G287)),$G287&lt;2,NOT(ISNUMBER($C286)),$C286=0),"",$C287/$C286-1)</f>
        <v>0.00669298095074655</v>
      </c>
      <c r="I287" s="52" t="n">
        <f aca="false">IF(AND(ISNUMBER($G287),$G287&gt;=MA_SHORT),AVERAGE(INDEX($C$5:$C287,284-MA_SHORT):$C287),"")</f>
        <v>5649.55</v>
      </c>
      <c r="J287" s="52" t="n">
        <f aca="false">IF(AND(ISNUMBER($G287),$G287&gt;=MA_MED),AVERAGE(INDEX($C$5:$C287,284-MA_MED):$C287),"")</f>
        <v>5444.3</v>
      </c>
      <c r="K287" s="52" t="n">
        <f aca="false">IF(AND(ISNUMBER($G287),$G287&gt;=MA_LONG2),AVERAGE(INDEX($C$5:$C287,284-MA_LONG2):$C287),"")</f>
        <v>4638.955</v>
      </c>
      <c r="L287" s="53" t="n">
        <f aca="false">IF(AND(ISNUMBER($G287),$G287&gt;=21),STDEV(INDEX($H$227:$H287,62-20):$H287)*SQRT(245),"")</f>
        <v>0.146831220351671</v>
      </c>
      <c r="M287" s="52" t="n">
        <f aca="false">IF(AND(ISNUMBER($G287),$G287&gt;=60),MAX(INDEX($D$87:$D287,202-60):$D287),"")</f>
        <v>5886</v>
      </c>
      <c r="N287" s="52" t="n">
        <f aca="false">IF(AND(ISNUMBER($G287),$G287&gt;=60),MIN(INDEX($E$87:$E287,202-60):$E287),"")</f>
        <v>5083</v>
      </c>
      <c r="O287" s="53" t="n">
        <f aca="false">IF(OR(NOT(ISNUMBER($C287)),NOT(ISNUMBER($M287)),$M287=0),"",$C287/$M287-1)</f>
        <v>-0.00339789330615015</v>
      </c>
    </row>
    <row r="288" customFormat="false" ht="15" hidden="false" customHeight="false" outlineLevel="0" collapsed="false">
      <c r="A288" s="47" t="n">
        <v>45965</v>
      </c>
      <c r="B288" s="48" t="s">
        <v>436</v>
      </c>
      <c r="C288" s="49" t="n">
        <v>5978</v>
      </c>
      <c r="D288" s="49" t="n">
        <v>5989</v>
      </c>
      <c r="E288" s="49" t="n">
        <v>5955</v>
      </c>
      <c r="F288" s="49" t="n">
        <v>0</v>
      </c>
      <c r="G288" s="50" t="n">
        <f aca="false">IF($A288="","",IF(ISNUMBER($G287),$G287+1,1))</f>
        <v>284</v>
      </c>
      <c r="H288" s="51" t="n">
        <f aca="false">IF(OR(NOT(ISNUMBER($G288)),$G288&lt;2,NOT(ISNUMBER($C287)),$C287=0),"",$C288/$C287-1)</f>
        <v>0.0190930787589498</v>
      </c>
      <c r="I288" s="52" t="n">
        <f aca="false">IF(AND(ISNUMBER($G288),$G288&gt;=MA_SHORT),AVERAGE(INDEX($C$5:$C288,285-MA_SHORT):$C288),"")</f>
        <v>5675.95</v>
      </c>
      <c r="J288" s="52" t="n">
        <f aca="false">IF(AND(ISNUMBER($G288),$G288&gt;=MA_MED),AVERAGE(INDEX($C$5:$C288,285-MA_MED):$C288),"")</f>
        <v>5460.4</v>
      </c>
      <c r="K288" s="52" t="n">
        <f aca="false">IF(AND(ISNUMBER($G288),$G288&gt;=MA_LONG2),AVERAGE(INDEX($C$5:$C288,285-MA_LONG2):$C288),"")</f>
        <v>4652.56</v>
      </c>
      <c r="L288" s="53" t="n">
        <f aca="false">IF(AND(ISNUMBER($G288),$G288&gt;=21),STDEV(INDEX($H$228:$H288,62-20):$H288)*SQRT(245),"")</f>
        <v>0.146857191924979</v>
      </c>
      <c r="M288" s="52" t="n">
        <f aca="false">IF(AND(ISNUMBER($G288),$G288&gt;=60),MAX(INDEX($D$88:$D288,202-60):$D288),"")</f>
        <v>5989</v>
      </c>
      <c r="N288" s="52" t="n">
        <f aca="false">IF(AND(ISNUMBER($G288),$G288&gt;=60),MIN(INDEX($E$88:$E288,202-60):$E288),"")</f>
        <v>5083</v>
      </c>
      <c r="O288" s="53" t="n">
        <f aca="false">IF(OR(NOT(ISNUMBER($C288)),NOT(ISNUMBER($M288)),$M288=0),"",$C288/$M288-1)</f>
        <v>-0.00183670061779928</v>
      </c>
    </row>
    <row r="289" customFormat="false" ht="15" hidden="false" customHeight="false" outlineLevel="0" collapsed="false">
      <c r="A289" s="47" t="n">
        <v>45966</v>
      </c>
      <c r="B289" s="48" t="s">
        <v>437</v>
      </c>
      <c r="C289" s="49" t="n">
        <v>5984</v>
      </c>
      <c r="D289" s="49" t="n">
        <v>6010</v>
      </c>
      <c r="E289" s="49" t="n">
        <v>5965</v>
      </c>
      <c r="F289" s="49" t="n">
        <v>0</v>
      </c>
      <c r="G289" s="50" t="n">
        <f aca="false">IF($A289="","",IF(ISNUMBER($G288),$G288+1,1))</f>
        <v>285</v>
      </c>
      <c r="H289" s="51" t="n">
        <f aca="false">IF(OR(NOT(ISNUMBER($G289)),$G289&lt;2,NOT(ISNUMBER($C288)),$C288=0),"",$C289/$C288-1)</f>
        <v>0.00100368016058883</v>
      </c>
      <c r="I289" s="52" t="n">
        <f aca="false">IF(AND(ISNUMBER($G289),$G289&gt;=MA_SHORT),AVERAGE(INDEX($C$5:$C289,286-MA_SHORT):$C289),"")</f>
        <v>5702.9</v>
      </c>
      <c r="J289" s="52" t="n">
        <f aca="false">IF(AND(ISNUMBER($G289),$G289&gt;=MA_MED),AVERAGE(INDEX($C$5:$C289,286-MA_MED):$C289),"")</f>
        <v>5475.36</v>
      </c>
      <c r="K289" s="52" t="n">
        <f aca="false">IF(AND(ISNUMBER($G289),$G289&gt;=MA_LONG2),AVERAGE(INDEX($C$5:$C289,286-MA_LONG2):$C289),"")</f>
        <v>4666.21</v>
      </c>
      <c r="L289" s="53" t="n">
        <f aca="false">IF(AND(ISNUMBER($G289),$G289&gt;=21),STDEV(INDEX($H$229:$H289,62-20):$H289)*SQRT(245),"")</f>
        <v>0.146065509687114</v>
      </c>
      <c r="M289" s="52" t="n">
        <f aca="false">IF(AND(ISNUMBER($G289),$G289&gt;=60),MAX(INDEX($D$89:$D289,202-60):$D289),"")</f>
        <v>6010</v>
      </c>
      <c r="N289" s="52" t="n">
        <f aca="false">IF(AND(ISNUMBER($G289),$G289&gt;=60),MIN(INDEX($E$89:$E289,202-60):$E289),"")</f>
        <v>5083</v>
      </c>
      <c r="O289" s="53" t="n">
        <f aca="false">IF(OR(NOT(ISNUMBER($C289)),NOT(ISNUMBER($M289)),$M289=0),"",$C289/$M289-1)</f>
        <v>-0.00432612312811975</v>
      </c>
    </row>
    <row r="290" customFormat="false" ht="15" hidden="false" customHeight="false" outlineLevel="0" collapsed="false">
      <c r="A290" s="47" t="n">
        <v>45969</v>
      </c>
      <c r="B290" s="48" t="s">
        <v>438</v>
      </c>
      <c r="C290" s="49" t="n">
        <v>5900</v>
      </c>
      <c r="D290" s="49" t="n">
        <v>5903</v>
      </c>
      <c r="E290" s="49" t="n">
        <v>5879</v>
      </c>
      <c r="F290" s="49" t="n">
        <v>0</v>
      </c>
      <c r="G290" s="50" t="n">
        <f aca="false">IF($A290="","",IF(ISNUMBER($G289),$G289+1,1))</f>
        <v>286</v>
      </c>
      <c r="H290" s="51" t="n">
        <f aca="false">IF(OR(NOT(ISNUMBER($G290)),$G290&lt;2,NOT(ISNUMBER($C289)),$C289=0),"",$C290/$C289-1)</f>
        <v>-0.0140374331550802</v>
      </c>
      <c r="I290" s="52" t="n">
        <f aca="false">IF(AND(ISNUMBER($G290),$G290&gt;=MA_SHORT),AVERAGE(INDEX($C$5:$C290,287-MA_SHORT):$C290),"")</f>
        <v>5728.4</v>
      </c>
      <c r="J290" s="52" t="n">
        <f aca="false">IF(AND(ISNUMBER($G290),$G290&gt;=MA_MED),AVERAGE(INDEX($C$5:$C290,287-MA_MED):$C290),"")</f>
        <v>5488.28</v>
      </c>
      <c r="K290" s="52" t="n">
        <f aca="false">IF(AND(ISNUMBER($G290),$G290&gt;=MA_LONG2),AVERAGE(INDEX($C$5:$C290,287-MA_LONG2):$C290),"")</f>
        <v>4679.68</v>
      </c>
      <c r="L290" s="53" t="n">
        <f aca="false">IF(AND(ISNUMBER($G290),$G290&gt;=21),STDEV(INDEX($H$230:$H290,62-20):$H290)*SQRT(245),"")</f>
        <v>0.151772255079442</v>
      </c>
      <c r="M290" s="52" t="n">
        <f aca="false">IF(AND(ISNUMBER($G290),$G290&gt;=60),MAX(INDEX($D$90:$D290,202-60):$D290),"")</f>
        <v>6010</v>
      </c>
      <c r="N290" s="52" t="n">
        <f aca="false">IF(AND(ISNUMBER($G290),$G290&gt;=60),MIN(INDEX($E$90:$E290,202-60):$E290),"")</f>
        <v>5083</v>
      </c>
      <c r="O290" s="53" t="n">
        <f aca="false">IF(OR(NOT(ISNUMBER($C290)),NOT(ISNUMBER($M290)),$M290=0),"",$C290/$M290-1)</f>
        <v>-0.0183028286189684</v>
      </c>
    </row>
    <row r="291" customFormat="false" ht="15" hidden="false" customHeight="false" outlineLevel="0" collapsed="false">
      <c r="A291" s="47" t="n">
        <v>45970</v>
      </c>
      <c r="B291" s="48" t="s">
        <v>439</v>
      </c>
      <c r="C291" s="49" t="n">
        <v>5884</v>
      </c>
      <c r="D291" s="49" t="n">
        <v>5935</v>
      </c>
      <c r="E291" s="49" t="n">
        <v>5875</v>
      </c>
      <c r="F291" s="49" t="n">
        <v>0</v>
      </c>
      <c r="G291" s="50" t="n">
        <f aca="false">IF($A291="","",IF(ISNUMBER($G290),$G290+1,1))</f>
        <v>287</v>
      </c>
      <c r="H291" s="51" t="n">
        <f aca="false">IF(OR(NOT(ISNUMBER($G291)),$G291&lt;2,NOT(ISNUMBER($C290)),$C290=0),"",$C291/$C290-1)</f>
        <v>-0.00271186440677962</v>
      </c>
      <c r="I291" s="52" t="n">
        <f aca="false">IF(AND(ISNUMBER($G291),$G291&gt;=MA_SHORT),AVERAGE(INDEX($C$5:$C291,288-MA_SHORT):$C291),"")</f>
        <v>5753.35</v>
      </c>
      <c r="J291" s="52" t="n">
        <f aca="false">IF(AND(ISNUMBER($G291),$G291&gt;=MA_MED),AVERAGE(INDEX($C$5:$C291,288-MA_MED):$C291),"")</f>
        <v>5500.74</v>
      </c>
      <c r="K291" s="52" t="n">
        <f aca="false">IF(AND(ISNUMBER($G291),$G291&gt;=MA_LONG2),AVERAGE(INDEX($C$5:$C291,288-MA_LONG2):$C291),"")</f>
        <v>4692.94</v>
      </c>
      <c r="L291" s="53" t="n">
        <f aca="false">IF(AND(ISNUMBER($G291),$G291&gt;=21),STDEV(INDEX($H$231:$H291,62-20):$H291)*SQRT(245),"")</f>
        <v>0.152731838021577</v>
      </c>
      <c r="M291" s="52" t="n">
        <f aca="false">IF(AND(ISNUMBER($G291),$G291&gt;=60),MAX(INDEX($D$91:$D291,202-60):$D291),"")</f>
        <v>6010</v>
      </c>
      <c r="N291" s="52" t="n">
        <f aca="false">IF(AND(ISNUMBER($G291),$G291&gt;=60),MIN(INDEX($E$91:$E291,202-60):$E291),"")</f>
        <v>5083</v>
      </c>
      <c r="O291" s="53" t="n">
        <f aca="false">IF(OR(NOT(ISNUMBER($C291)),NOT(ISNUMBER($M291)),$M291=0),"",$C291/$M291-1)</f>
        <v>-0.0209650582362729</v>
      </c>
    </row>
    <row r="292" customFormat="false" ht="15" hidden="false" customHeight="false" outlineLevel="0" collapsed="false">
      <c r="A292" s="47" t="n">
        <v>45971</v>
      </c>
      <c r="B292" s="48" t="s">
        <v>440</v>
      </c>
      <c r="C292" s="49" t="n">
        <v>5965</v>
      </c>
      <c r="D292" s="49" t="n">
        <v>5968</v>
      </c>
      <c r="E292" s="49" t="n">
        <v>5934</v>
      </c>
      <c r="F292" s="49" t="n">
        <v>0</v>
      </c>
      <c r="G292" s="50" t="n">
        <f aca="false">IF($A292="","",IF(ISNUMBER($G291),$G291+1,1))</f>
        <v>288</v>
      </c>
      <c r="H292" s="51" t="n">
        <f aca="false">IF(OR(NOT(ISNUMBER($G292)),$G292&lt;2,NOT(ISNUMBER($C291)),$C291=0),"",$C292/$C291-1)</f>
        <v>0.0137661454792659</v>
      </c>
      <c r="I292" s="52" t="n">
        <f aca="false">IF(AND(ISNUMBER($G292),$G292&gt;=MA_SHORT),AVERAGE(INDEX($C$5:$C292,289-MA_SHORT):$C292),"")</f>
        <v>5782.6</v>
      </c>
      <c r="J292" s="52" t="n">
        <f aca="false">IF(AND(ISNUMBER($G292),$G292&gt;=MA_MED),AVERAGE(INDEX($C$5:$C292,289-MA_MED):$C292),"")</f>
        <v>5511.14</v>
      </c>
      <c r="K292" s="52" t="n">
        <f aca="false">IF(AND(ISNUMBER($G292),$G292&gt;=MA_LONG2),AVERAGE(INDEX($C$5:$C292,289-MA_LONG2):$C292),"")</f>
        <v>4706.555</v>
      </c>
      <c r="L292" s="53" t="n">
        <f aca="false">IF(AND(ISNUMBER($G292),$G292&gt;=21),STDEV(INDEX($H$232:$H292,62-20):$H292)*SQRT(245),"")</f>
        <v>0.154662038359426</v>
      </c>
      <c r="M292" s="52" t="n">
        <f aca="false">IF(AND(ISNUMBER($G292),$G292&gt;=60),MAX(INDEX($D$92:$D292,202-60):$D292),"")</f>
        <v>6010</v>
      </c>
      <c r="N292" s="52" t="n">
        <f aca="false">IF(AND(ISNUMBER($G292),$G292&gt;=60),MIN(INDEX($E$92:$E292,202-60):$E292),"")</f>
        <v>5083</v>
      </c>
      <c r="O292" s="53" t="n">
        <f aca="false">IF(OR(NOT(ISNUMBER($C292)),NOT(ISNUMBER($M292)),$M292=0),"",$C292/$M292-1)</f>
        <v>-0.00748752079866888</v>
      </c>
    </row>
    <row r="293" customFormat="false" ht="15" hidden="false" customHeight="false" outlineLevel="0" collapsed="false">
      <c r="A293" s="47" t="n">
        <v>45972</v>
      </c>
      <c r="B293" s="48" t="s">
        <v>441</v>
      </c>
      <c r="C293" s="49" t="n">
        <v>5842</v>
      </c>
      <c r="D293" s="49" t="n">
        <v>5852</v>
      </c>
      <c r="E293" s="49" t="n">
        <v>5809</v>
      </c>
      <c r="F293" s="49" t="n">
        <v>0</v>
      </c>
      <c r="G293" s="50" t="n">
        <f aca="false">IF($A293="","",IF(ISNUMBER($G292),$G292+1,1))</f>
        <v>289</v>
      </c>
      <c r="H293" s="51" t="n">
        <f aca="false">IF(OR(NOT(ISNUMBER($G293)),$G293&lt;2,NOT(ISNUMBER($C292)),$C292=0),"",$C293/$C292-1)</f>
        <v>-0.0206202849958089</v>
      </c>
      <c r="I293" s="52" t="n">
        <f aca="false">IF(AND(ISNUMBER($G293),$G293&gt;=MA_SHORT),AVERAGE(INDEX($C$5:$C293,290-MA_SHORT):$C293),"")</f>
        <v>5801.2</v>
      </c>
      <c r="J293" s="52" t="n">
        <f aca="false">IF(AND(ISNUMBER($G293),$G293&gt;=MA_MED),AVERAGE(INDEX($C$5:$C293,290-MA_MED):$C293),"")</f>
        <v>5518.6</v>
      </c>
      <c r="K293" s="52" t="n">
        <f aca="false">IF(AND(ISNUMBER($G293),$G293&gt;=MA_LONG2),AVERAGE(INDEX($C$5:$C293,290-MA_LONG2):$C293),"")</f>
        <v>4719.16</v>
      </c>
      <c r="L293" s="53" t="n">
        <f aca="false">IF(AND(ISNUMBER($G293),$G293&gt;=21),STDEV(INDEX($H$233:$H293,62-20):$H293)*SQRT(245),"")</f>
        <v>0.17298462077554</v>
      </c>
      <c r="M293" s="52" t="n">
        <f aca="false">IF(AND(ISNUMBER($G293),$G293&gt;=60),MAX(INDEX($D$93:$D293,202-60):$D293),"")</f>
        <v>6010</v>
      </c>
      <c r="N293" s="52" t="n">
        <f aca="false">IF(AND(ISNUMBER($G293),$G293&gt;=60),MIN(INDEX($E$93:$E293,202-60):$E293),"")</f>
        <v>5083</v>
      </c>
      <c r="O293" s="53" t="n">
        <f aca="false">IF(OR(NOT(ISNUMBER($C293)),NOT(ISNUMBER($M293)),$M293=0),"",$C293/$M293-1)</f>
        <v>-0.0279534109816971</v>
      </c>
    </row>
    <row r="294" customFormat="false" ht="15" hidden="false" customHeight="false" outlineLevel="0" collapsed="false">
      <c r="A294" s="47" t="n">
        <v>45973</v>
      </c>
      <c r="B294" s="48" t="s">
        <v>442</v>
      </c>
      <c r="C294" s="49" t="n">
        <v>5751</v>
      </c>
      <c r="D294" s="49" t="n">
        <v>5776</v>
      </c>
      <c r="E294" s="49" t="n">
        <v>5739</v>
      </c>
      <c r="F294" s="49" t="n">
        <v>0</v>
      </c>
      <c r="G294" s="50" t="n">
        <f aca="false">IF($A294="","",IF(ISNUMBER($G293),$G293+1,1))</f>
        <v>290</v>
      </c>
      <c r="H294" s="51" t="n">
        <f aca="false">IF(OR(NOT(ISNUMBER($G294)),$G294&lt;2,NOT(ISNUMBER($C293)),$C293=0),"",$C294/$C293-1)</f>
        <v>-0.015576857240671</v>
      </c>
      <c r="I294" s="52" t="n">
        <f aca="false">IF(AND(ISNUMBER($G294),$G294&gt;=MA_SHORT),AVERAGE(INDEX($C$5:$C294,291-MA_SHORT):$C294),"")</f>
        <v>5809.55</v>
      </c>
      <c r="J294" s="52" t="n">
        <f aca="false">IF(AND(ISNUMBER($G294),$G294&gt;=MA_MED),AVERAGE(INDEX($C$5:$C294,291-MA_MED):$C294),"")</f>
        <v>5525.38</v>
      </c>
      <c r="K294" s="52" t="n">
        <f aca="false">IF(AND(ISNUMBER($G294),$G294&gt;=MA_LONG2),AVERAGE(INDEX($C$5:$C294,291-MA_LONG2):$C294),"")</f>
        <v>4731.4</v>
      </c>
      <c r="L294" s="53" t="n">
        <f aca="false">IF(AND(ISNUMBER($G294),$G294&gt;=21),STDEV(INDEX($H$234:$H294,62-20):$H294)*SQRT(245),"")</f>
        <v>0.172469679780143</v>
      </c>
      <c r="M294" s="52" t="n">
        <f aca="false">IF(AND(ISNUMBER($G294),$G294&gt;=60),MAX(INDEX($D$94:$D294,202-60):$D294),"")</f>
        <v>6010</v>
      </c>
      <c r="N294" s="52" t="n">
        <f aca="false">IF(AND(ISNUMBER($G294),$G294&gt;=60),MIN(INDEX($E$94:$E294,202-60):$E294),"")</f>
        <v>5083</v>
      </c>
      <c r="O294" s="53" t="n">
        <f aca="false">IF(OR(NOT(ISNUMBER($C294)),NOT(ISNUMBER($M294)),$M294=0),"",$C294/$M294-1)</f>
        <v>-0.0430948419301165</v>
      </c>
    </row>
    <row r="295" customFormat="false" ht="15" hidden="false" customHeight="false" outlineLevel="0" collapsed="false">
      <c r="A295" s="47" t="n">
        <v>45976</v>
      </c>
      <c r="B295" s="48" t="s">
        <v>443</v>
      </c>
      <c r="C295" s="49" t="n">
        <v>5865</v>
      </c>
      <c r="D295" s="49" t="n">
        <v>5889</v>
      </c>
      <c r="E295" s="49" t="n">
        <v>5854</v>
      </c>
      <c r="F295" s="49" t="n">
        <v>0</v>
      </c>
      <c r="G295" s="50" t="n">
        <f aca="false">IF($A295="","",IF(ISNUMBER($G294),$G294+1,1))</f>
        <v>291</v>
      </c>
      <c r="H295" s="51" t="n">
        <f aca="false">IF(OR(NOT(ISNUMBER($G295)),$G295&lt;2,NOT(ISNUMBER($C294)),$C294=0),"",$C295/$C294-1)</f>
        <v>0.0198226395409493</v>
      </c>
      <c r="I295" s="52" t="n">
        <f aca="false">IF(AND(ISNUMBER($G295),$G295&gt;=MA_SHORT),AVERAGE(INDEX($C$5:$C295,292-MA_SHORT):$C295),"")</f>
        <v>5822.95</v>
      </c>
      <c r="J295" s="52" t="n">
        <f aca="false">IF(AND(ISNUMBER($G295),$G295&gt;=MA_MED),AVERAGE(INDEX($C$5:$C295,292-MA_MED):$C295),"")</f>
        <v>5534.04</v>
      </c>
      <c r="K295" s="52" t="n">
        <f aca="false">IF(AND(ISNUMBER($G295),$G295&gt;=MA_LONG2),AVERAGE(INDEX($C$5:$C295,292-MA_LONG2):$C295),"")</f>
        <v>4744.055</v>
      </c>
      <c r="L295" s="53" t="n">
        <f aca="false">IF(AND(ISNUMBER($G295),$G295&gt;=21),STDEV(INDEX($H$235:$H295,62-20):$H295)*SQRT(245),"")</f>
        <v>0.183994847483212</v>
      </c>
      <c r="M295" s="52" t="n">
        <f aca="false">IF(AND(ISNUMBER($G295),$G295&gt;=60),MAX(INDEX($D$95:$D295,202-60):$D295),"")</f>
        <v>6010</v>
      </c>
      <c r="N295" s="52" t="n">
        <f aca="false">IF(AND(ISNUMBER($G295),$G295&gt;=60),MIN(INDEX($E$95:$E295,202-60):$E295),"")</f>
        <v>5083</v>
      </c>
      <c r="O295" s="53" t="n">
        <f aca="false">IF(OR(NOT(ISNUMBER($C295)),NOT(ISNUMBER($M295)),$M295=0),"",$C295/$M295-1)</f>
        <v>-0.0241264559068219</v>
      </c>
    </row>
    <row r="296" customFormat="false" ht="15" hidden="false" customHeight="false" outlineLevel="0" collapsed="false">
      <c r="A296" s="47" t="n">
        <v>45977</v>
      </c>
      <c r="B296" s="48" t="s">
        <v>444</v>
      </c>
      <c r="C296" s="49" t="n">
        <v>5881</v>
      </c>
      <c r="D296" s="49" t="n">
        <v>5900</v>
      </c>
      <c r="E296" s="49" t="n">
        <v>5850</v>
      </c>
      <c r="F296" s="49" t="n">
        <v>0</v>
      </c>
      <c r="G296" s="50" t="n">
        <f aca="false">IF($A296="","",IF(ISNUMBER($G295),$G295+1,1))</f>
        <v>292</v>
      </c>
      <c r="H296" s="51" t="n">
        <f aca="false">IF(OR(NOT(ISNUMBER($G296)),$G296&lt;2,NOT(ISNUMBER($C295)),$C295=0),"",$C296/$C295-1)</f>
        <v>0.00272804774083557</v>
      </c>
      <c r="I296" s="52" t="n">
        <f aca="false">IF(AND(ISNUMBER($G296),$G296&gt;=MA_SHORT),AVERAGE(INDEX($C$5:$C296,293-MA_SHORT):$C296),"")</f>
        <v>5837.6</v>
      </c>
      <c r="J296" s="52" t="n">
        <f aca="false">IF(AND(ISNUMBER($G296),$G296&gt;=MA_MED),AVERAGE(INDEX($C$5:$C296,293-MA_MED):$C296),"")</f>
        <v>5541.82</v>
      </c>
      <c r="K296" s="52" t="n">
        <f aca="false">IF(AND(ISNUMBER($G296),$G296&gt;=MA_LONG2),AVERAGE(INDEX($C$5:$C296,293-MA_LONG2):$C296),"")</f>
        <v>4756.58</v>
      </c>
      <c r="L296" s="53" t="n">
        <f aca="false">IF(AND(ISNUMBER($G296),$G296&gt;=21),STDEV(INDEX($H$236:$H296,62-20):$H296)*SQRT(245),"")</f>
        <v>0.183399708345667</v>
      </c>
      <c r="M296" s="52" t="n">
        <f aca="false">IF(AND(ISNUMBER($G296),$G296&gt;=60),MAX(INDEX($D$96:$D296,202-60):$D296),"")</f>
        <v>6010</v>
      </c>
      <c r="N296" s="52" t="n">
        <f aca="false">IF(AND(ISNUMBER($G296),$G296&gt;=60),MIN(INDEX($E$96:$E296,202-60):$E296),"")</f>
        <v>5083</v>
      </c>
      <c r="O296" s="53" t="n">
        <f aca="false">IF(OR(NOT(ISNUMBER($C296)),NOT(ISNUMBER($M296)),$M296=0),"",$C296/$M296-1)</f>
        <v>-0.0214642262895175</v>
      </c>
    </row>
    <row r="297" customFormat="false" ht="15" hidden="false" customHeight="false" outlineLevel="0" collapsed="false">
      <c r="A297" s="47" t="n">
        <v>45978</v>
      </c>
      <c r="B297" s="48" t="s">
        <v>445</v>
      </c>
      <c r="C297" s="49" t="n">
        <v>5905</v>
      </c>
      <c r="D297" s="49" t="n">
        <v>5923</v>
      </c>
      <c r="E297" s="49" t="n">
        <v>5904</v>
      </c>
      <c r="F297" s="49" t="n">
        <v>0</v>
      </c>
      <c r="G297" s="50" t="n">
        <f aca="false">IF($A297="","",IF(ISNUMBER($G296),$G296+1,1))</f>
        <v>293</v>
      </c>
      <c r="H297" s="51" t="n">
        <f aca="false">IF(OR(NOT(ISNUMBER($G297)),$G297&lt;2,NOT(ISNUMBER($C296)),$C296=0),"",$C297/$C296-1)</f>
        <v>0.00408093861588155</v>
      </c>
      <c r="I297" s="52" t="n">
        <f aca="false">IF(AND(ISNUMBER($G297),$G297&gt;=MA_SHORT),AVERAGE(INDEX($C$5:$C297,294-MA_SHORT):$C297),"")</f>
        <v>5850.8</v>
      </c>
      <c r="J297" s="52" t="n">
        <f aca="false">IF(AND(ISNUMBER($G297),$G297&gt;=MA_MED),AVERAGE(INDEX($C$5:$C297,294-MA_MED):$C297),"")</f>
        <v>5550.94</v>
      </c>
      <c r="K297" s="52" t="n">
        <f aca="false">IF(AND(ISNUMBER($G297),$G297&gt;=MA_LONG2),AVERAGE(INDEX($C$5:$C297,294-MA_LONG2):$C297),"")</f>
        <v>4769.3</v>
      </c>
      <c r="L297" s="53" t="n">
        <f aca="false">IF(AND(ISNUMBER($G297),$G297&gt;=21),STDEV(INDEX($H$237:$H297,62-20):$H297)*SQRT(245),"")</f>
        <v>0.181760917359061</v>
      </c>
      <c r="M297" s="52" t="n">
        <f aca="false">IF(AND(ISNUMBER($G297),$G297&gt;=60),MAX(INDEX($D$97:$D297,202-60):$D297),"")</f>
        <v>6010</v>
      </c>
      <c r="N297" s="52" t="n">
        <f aca="false">IF(AND(ISNUMBER($G297),$G297&gt;=60),MIN(INDEX($E$97:$E297,202-60):$E297),"")</f>
        <v>5107</v>
      </c>
      <c r="O297" s="53" t="n">
        <f aca="false">IF(OR(NOT(ISNUMBER($C297)),NOT(ISNUMBER($M297)),$M297=0),"",$C297/$M297-1)</f>
        <v>-0.0174708818635607</v>
      </c>
    </row>
    <row r="298" customFormat="false" ht="15" hidden="false" customHeight="false" outlineLevel="0" collapsed="false">
      <c r="A298" s="47" t="n">
        <v>45979</v>
      </c>
      <c r="B298" s="48" t="s">
        <v>446</v>
      </c>
      <c r="C298" s="49" t="n">
        <v>5827</v>
      </c>
      <c r="D298" s="49" t="n">
        <v>5865</v>
      </c>
      <c r="E298" s="49" t="n">
        <v>5823</v>
      </c>
      <c r="F298" s="49" t="n">
        <v>0</v>
      </c>
      <c r="G298" s="50" t="n">
        <f aca="false">IF($A298="","",IF(ISNUMBER($G297),$G297+1,1))</f>
        <v>294</v>
      </c>
      <c r="H298" s="51" t="n">
        <f aca="false">IF(OR(NOT(ISNUMBER($G298)),$G298&lt;2,NOT(ISNUMBER($C297)),$C297=0),"",$C298/$C297-1)</f>
        <v>-0.0132091447925486</v>
      </c>
      <c r="I298" s="52" t="n">
        <f aca="false">IF(AND(ISNUMBER($G298),$G298&gt;=MA_SHORT),AVERAGE(INDEX($C$5:$C298,295-MA_SHORT):$C298),"")</f>
        <v>5856.35</v>
      </c>
      <c r="J298" s="52" t="n">
        <f aca="false">IF(AND(ISNUMBER($G298),$G298&gt;=MA_MED),AVERAGE(INDEX($C$5:$C298,295-MA_MED):$C298),"")</f>
        <v>5559.54</v>
      </c>
      <c r="K298" s="52" t="n">
        <f aca="false">IF(AND(ISNUMBER($G298),$G298&gt;=MA_LONG2),AVERAGE(INDEX($C$5:$C298,295-MA_LONG2):$C298),"")</f>
        <v>4781.32</v>
      </c>
      <c r="L298" s="53" t="n">
        <f aca="false">IF(AND(ISNUMBER($G298),$G298&gt;=21),STDEV(INDEX($H$238:$H298,62-20):$H298)*SQRT(245),"")</f>
        <v>0.184833250538935</v>
      </c>
      <c r="M298" s="52" t="n">
        <f aca="false">IF(AND(ISNUMBER($G298),$G298&gt;=60),MAX(INDEX($D$98:$D298,202-60):$D298),"")</f>
        <v>6010</v>
      </c>
      <c r="N298" s="52" t="n">
        <f aca="false">IF(AND(ISNUMBER($G298),$G298&gt;=60),MIN(INDEX($E$98:$E298,202-60):$E298),"")</f>
        <v>5107</v>
      </c>
      <c r="O298" s="53" t="n">
        <f aca="false">IF(OR(NOT(ISNUMBER($C298)),NOT(ISNUMBER($M298)),$M298=0),"",$C298/$M298-1)</f>
        <v>-0.0304492512479201</v>
      </c>
    </row>
    <row r="299" customFormat="false" ht="15" hidden="false" customHeight="false" outlineLevel="0" collapsed="false">
      <c r="A299" s="47" t="n">
        <v>45980</v>
      </c>
      <c r="B299" s="48" t="s">
        <v>447</v>
      </c>
      <c r="C299" s="49" t="n">
        <v>5794</v>
      </c>
      <c r="D299" s="49" t="n">
        <v>5812</v>
      </c>
      <c r="E299" s="49" t="n">
        <v>5783</v>
      </c>
      <c r="F299" s="49" t="n">
        <v>0</v>
      </c>
      <c r="G299" s="50" t="n">
        <f aca="false">IF($A299="","",IF(ISNUMBER($G298),$G298+1,1))</f>
        <v>295</v>
      </c>
      <c r="H299" s="51" t="n">
        <f aca="false">IF(OR(NOT(ISNUMBER($G299)),$G299&lt;2,NOT(ISNUMBER($C298)),$C298=0),"",$C299/$C298-1)</f>
        <v>-0.0056632915737086</v>
      </c>
      <c r="I299" s="52" t="n">
        <f aca="false">IF(AND(ISNUMBER($G299),$G299&gt;=MA_SHORT),AVERAGE(INDEX($C$5:$C299,296-MA_SHORT):$C299),"")</f>
        <v>5859.75</v>
      </c>
      <c r="J299" s="52" t="n">
        <f aca="false">IF(AND(ISNUMBER($G299),$G299&gt;=MA_MED),AVERAGE(INDEX($C$5:$C299,296-MA_MED):$C299),"")</f>
        <v>5566.54</v>
      </c>
      <c r="K299" s="52" t="n">
        <f aca="false">IF(AND(ISNUMBER($G299),$G299&gt;=MA_LONG2),AVERAGE(INDEX($C$5:$C299,296-MA_LONG2):$C299),"")</f>
        <v>4793.33</v>
      </c>
      <c r="L299" s="53" t="n">
        <f aca="false">IF(AND(ISNUMBER($G299),$G299&gt;=21),STDEV(INDEX($H$239:$H299,62-20):$H299)*SQRT(245),"")</f>
        <v>0.186275578272658</v>
      </c>
      <c r="M299" s="52" t="n">
        <f aca="false">IF(AND(ISNUMBER($G299),$G299&gt;=60),MAX(INDEX($D$99:$D299,202-60):$D299),"")</f>
        <v>6010</v>
      </c>
      <c r="N299" s="52" t="n">
        <f aca="false">IF(AND(ISNUMBER($G299),$G299&gt;=60),MIN(INDEX($E$99:$E299,202-60):$E299),"")</f>
        <v>5107</v>
      </c>
      <c r="O299" s="53" t="n">
        <f aca="false">IF(OR(NOT(ISNUMBER($C299)),NOT(ISNUMBER($M299)),$M299=0),"",$C299/$M299-1)</f>
        <v>-0.0359400998336107</v>
      </c>
    </row>
    <row r="300" customFormat="false" ht="15" hidden="false" customHeight="false" outlineLevel="0" collapsed="false">
      <c r="A300" s="47" t="n">
        <v>45983</v>
      </c>
      <c r="B300" s="48" t="s">
        <v>448</v>
      </c>
      <c r="C300" s="49" t="n">
        <v>5819</v>
      </c>
      <c r="D300" s="49" t="n">
        <v>5825</v>
      </c>
      <c r="E300" s="49" t="n">
        <v>5803</v>
      </c>
      <c r="F300" s="49" t="n">
        <v>0</v>
      </c>
      <c r="G300" s="50" t="n">
        <f aca="false">IF($A300="","",IF(ISNUMBER($G299),$G299+1,1))</f>
        <v>296</v>
      </c>
      <c r="H300" s="51" t="n">
        <f aca="false">IF(OR(NOT(ISNUMBER($G300)),$G300&lt;2,NOT(ISNUMBER($C299)),$C299=0),"",$C300/$C299-1)</f>
        <v>0.00431480842250598</v>
      </c>
      <c r="I300" s="52" t="n">
        <f aca="false">IF(AND(ISNUMBER($G300),$G300&gt;=MA_SHORT),AVERAGE(INDEX($C$5:$C300,297-MA_SHORT):$C300),"")</f>
        <v>5862.75</v>
      </c>
      <c r="J300" s="52" t="n">
        <f aca="false">IF(AND(ISNUMBER($G300),$G300&gt;=MA_MED),AVERAGE(INDEX($C$5:$C300,297-MA_MED):$C300),"")</f>
        <v>5574.34</v>
      </c>
      <c r="K300" s="52" t="n">
        <f aca="false">IF(AND(ISNUMBER($G300),$G300&gt;=MA_LONG2),AVERAGE(INDEX($C$5:$C300,297-MA_LONG2):$C300),"")</f>
        <v>4805.285</v>
      </c>
      <c r="L300" s="53" t="n">
        <f aca="false">IF(AND(ISNUMBER($G300),$G300&gt;=21),STDEV(INDEX($H$240:$H300,62-20):$H300)*SQRT(245),"")</f>
        <v>0.18583213775562</v>
      </c>
      <c r="M300" s="52" t="n">
        <f aca="false">IF(AND(ISNUMBER($G300),$G300&gt;=60),MAX(INDEX($D$100:$D300,202-60):$D300),"")</f>
        <v>6010</v>
      </c>
      <c r="N300" s="52" t="n">
        <f aca="false">IF(AND(ISNUMBER($G300),$G300&gt;=60),MIN(INDEX($E$100:$E300,202-60):$E300),"")</f>
        <v>5107</v>
      </c>
      <c r="O300" s="53" t="n">
        <f aca="false">IF(OR(NOT(ISNUMBER($C300)),NOT(ISNUMBER($M300)),$M300=0),"",$C300/$M300-1)</f>
        <v>-0.0317803660565724</v>
      </c>
    </row>
    <row r="301" customFormat="false" ht="15" hidden="false" customHeight="false" outlineLevel="0" collapsed="false">
      <c r="A301" s="47" t="n">
        <v>45984</v>
      </c>
      <c r="B301" s="48" t="s">
        <v>449</v>
      </c>
      <c r="C301" s="49" t="n">
        <v>5853</v>
      </c>
      <c r="D301" s="49" t="n">
        <v>5893</v>
      </c>
      <c r="E301" s="49" t="n">
        <v>5829</v>
      </c>
      <c r="F301" s="49" t="n">
        <v>0</v>
      </c>
      <c r="G301" s="50" t="n">
        <f aca="false">IF($A301="","",IF(ISNUMBER($G300),$G300+1,1))</f>
        <v>297</v>
      </c>
      <c r="H301" s="51" t="n">
        <f aca="false">IF(OR(NOT(ISNUMBER($G301)),$G301&lt;2,NOT(ISNUMBER($C300)),$C300=0),"",$C301/$C300-1)</f>
        <v>0.00584292833820244</v>
      </c>
      <c r="I301" s="52" t="n">
        <f aca="false">IF(AND(ISNUMBER($G301),$G301&gt;=MA_SHORT),AVERAGE(INDEX($C$5:$C301,298-MA_SHORT):$C301),"")</f>
        <v>5861.8</v>
      </c>
      <c r="J301" s="52" t="n">
        <f aca="false">IF(AND(ISNUMBER($G301),$G301&gt;=MA_MED),AVERAGE(INDEX($C$5:$C301,298-MA_MED):$C301),"")</f>
        <v>5584.52</v>
      </c>
      <c r="K301" s="52" t="n">
        <f aca="false">IF(AND(ISNUMBER($G301),$G301&gt;=MA_LONG2),AVERAGE(INDEX($C$5:$C301,298-MA_LONG2):$C301),"")</f>
        <v>4817.68</v>
      </c>
      <c r="L301" s="53" t="n">
        <f aca="false">IF(AND(ISNUMBER($G301),$G301&gt;=21),STDEV(INDEX($H$241:$H301,62-20):$H301)*SQRT(245),"")</f>
        <v>0.173478740165609</v>
      </c>
      <c r="M301" s="52" t="n">
        <f aca="false">IF(AND(ISNUMBER($G301),$G301&gt;=60),MAX(INDEX($D$101:$D301,202-60):$D301),"")</f>
        <v>6010</v>
      </c>
      <c r="N301" s="52" t="n">
        <f aca="false">IF(AND(ISNUMBER($G301),$G301&gt;=60),MIN(INDEX($E$101:$E301,202-60):$E301),"")</f>
        <v>5107</v>
      </c>
      <c r="O301" s="53" t="n">
        <f aca="false">IF(OR(NOT(ISNUMBER($C301)),NOT(ISNUMBER($M301)),$M301=0),"",$C301/$M301-1)</f>
        <v>-0.0261231281198003</v>
      </c>
    </row>
    <row r="302" customFormat="false" ht="15" hidden="false" customHeight="false" outlineLevel="0" collapsed="false">
      <c r="A302" s="47" t="n">
        <v>45985</v>
      </c>
      <c r="B302" s="48" t="s">
        <v>450</v>
      </c>
      <c r="C302" s="49" t="n">
        <v>5930</v>
      </c>
      <c r="D302" s="49" t="n">
        <v>5958</v>
      </c>
      <c r="E302" s="49" t="n">
        <v>5926</v>
      </c>
      <c r="F302" s="49" t="n">
        <v>0</v>
      </c>
      <c r="G302" s="50" t="n">
        <f aca="false">IF($A302="","",IF(ISNUMBER($G301),$G301+1,1))</f>
        <v>298</v>
      </c>
      <c r="H302" s="51" t="n">
        <f aca="false">IF(OR(NOT(ISNUMBER($G302)),$G302&lt;2,NOT(ISNUMBER($C301)),$C301=0),"",$C302/$C301-1)</f>
        <v>0.0131556466769178</v>
      </c>
      <c r="I302" s="52" t="n">
        <f aca="false">IF(AND(ISNUMBER($G302),$G302&gt;=MA_SHORT),AVERAGE(INDEX($C$5:$C302,299-MA_SHORT):$C302),"")</f>
        <v>5867.35</v>
      </c>
      <c r="J302" s="52" t="n">
        <f aca="false">IF(AND(ISNUMBER($G302),$G302&gt;=MA_MED),AVERAGE(INDEX($C$5:$C302,299-MA_MED):$C302),"")</f>
        <v>5597</v>
      </c>
      <c r="K302" s="52" t="n">
        <f aca="false">IF(AND(ISNUMBER($G302),$G302&gt;=MA_LONG2),AVERAGE(INDEX($C$5:$C302,299-MA_LONG2):$C302),"")</f>
        <v>4830.22</v>
      </c>
      <c r="L302" s="53" t="n">
        <f aca="false">IF(AND(ISNUMBER($G302),$G302&gt;=21),STDEV(INDEX($H$242:$H302,62-20):$H302)*SQRT(245),"")</f>
        <v>0.176119763442154</v>
      </c>
      <c r="M302" s="52" t="n">
        <f aca="false">IF(AND(ISNUMBER($G302),$G302&gt;=60),MAX(INDEX($D$102:$D302,202-60):$D302),"")</f>
        <v>6010</v>
      </c>
      <c r="N302" s="52" t="n">
        <f aca="false">IF(AND(ISNUMBER($G302),$G302&gt;=60),MIN(INDEX($E$102:$E302,202-60):$E302),"")</f>
        <v>5107</v>
      </c>
      <c r="O302" s="53" t="n">
        <f aca="false">IF(OR(NOT(ISNUMBER($C302)),NOT(ISNUMBER($M302)),$M302=0),"",$C302/$M302-1)</f>
        <v>-0.0133111480865225</v>
      </c>
    </row>
    <row r="303" customFormat="false" ht="15" hidden="false" customHeight="false" outlineLevel="0" collapsed="false">
      <c r="A303" s="47" t="n">
        <v>45986</v>
      </c>
      <c r="B303" s="48" t="s">
        <v>451</v>
      </c>
      <c r="C303" s="49" t="n">
        <v>5869</v>
      </c>
      <c r="D303" s="49" t="n">
        <v>5887</v>
      </c>
      <c r="E303" s="49" t="n">
        <v>5844</v>
      </c>
      <c r="F303" s="49" t="n">
        <v>0</v>
      </c>
      <c r="G303" s="50" t="n">
        <f aca="false">IF($A303="","",IF(ISNUMBER($G302),$G302+1,1))</f>
        <v>299</v>
      </c>
      <c r="H303" s="51" t="n">
        <f aca="false">IF(OR(NOT(ISNUMBER($G303)),$G303&lt;2,NOT(ISNUMBER($C302)),$C302=0),"",$C303/$C302-1)</f>
        <v>-0.0102866779089376</v>
      </c>
      <c r="I303" s="52" t="n">
        <f aca="false">IF(AND(ISNUMBER($G303),$G303&gt;=MA_SHORT),AVERAGE(INDEX($C$5:$C303,300-MA_SHORT):$C303),"")</f>
        <v>5868.5</v>
      </c>
      <c r="J303" s="52" t="n">
        <f aca="false">IF(AND(ISNUMBER($G303),$G303&gt;=MA_MED),AVERAGE(INDEX($C$5:$C303,300-MA_MED):$C303),"")</f>
        <v>5606.72</v>
      </c>
      <c r="K303" s="52" t="n">
        <f aca="false">IF(AND(ISNUMBER($G303),$G303&gt;=MA_LONG2),AVERAGE(INDEX($C$5:$C303,300-MA_LONG2):$C303),"")</f>
        <v>4842.035</v>
      </c>
      <c r="L303" s="53" t="n">
        <f aca="false">IF(AND(ISNUMBER($G303),$G303&gt;=21),STDEV(INDEX($H$243:$H303,62-20):$H303)*SQRT(245),"")</f>
        <v>0.179856614702485</v>
      </c>
      <c r="M303" s="52" t="n">
        <f aca="false">IF(AND(ISNUMBER($G303),$G303&gt;=60),MAX(INDEX($D$103:$D303,202-60):$D303),"")</f>
        <v>6010</v>
      </c>
      <c r="N303" s="52" t="n">
        <f aca="false">IF(AND(ISNUMBER($G303),$G303&gt;=60),MIN(INDEX($E$103:$E303,202-60):$E303),"")</f>
        <v>5107</v>
      </c>
      <c r="O303" s="53" t="n">
        <f aca="false">IF(OR(NOT(ISNUMBER($C303)),NOT(ISNUMBER($M303)),$M303=0),"",$C303/$M303-1)</f>
        <v>-0.0234608985024959</v>
      </c>
    </row>
    <row r="304" customFormat="false" ht="15" hidden="false" customHeight="false" outlineLevel="0" collapsed="false">
      <c r="A304" s="47" t="n">
        <v>45987</v>
      </c>
      <c r="B304" s="48" t="s">
        <v>452</v>
      </c>
      <c r="C304" s="49" t="n">
        <v>5916</v>
      </c>
      <c r="D304" s="49" t="n">
        <v>5920</v>
      </c>
      <c r="E304" s="49" t="n">
        <v>5915</v>
      </c>
      <c r="F304" s="49" t="n">
        <v>0</v>
      </c>
      <c r="G304" s="50" t="n">
        <f aca="false">IF($A304="","",IF(ISNUMBER($G303),$G303+1,1))</f>
        <v>300</v>
      </c>
      <c r="H304" s="51" t="n">
        <f aca="false">IF(OR(NOT(ISNUMBER($G304)),$G304&lt;2,NOT(ISNUMBER($C303)),$C303=0),"",$C304/$C303-1)</f>
        <v>0.00800817856534342</v>
      </c>
      <c r="I304" s="52" t="n">
        <f aca="false">IF(AND(ISNUMBER($G304),$G304&gt;=MA_SHORT),AVERAGE(INDEX($C$5:$C304,301-MA_SHORT):$C304),"")</f>
        <v>5874.25</v>
      </c>
      <c r="J304" s="52" t="n">
        <f aca="false">IF(AND(ISNUMBER($G304),$G304&gt;=MA_MED),AVERAGE(INDEX($C$5:$C304,301-MA_MED):$C304),"")</f>
        <v>5617.66</v>
      </c>
      <c r="K304" s="52" t="n">
        <f aca="false">IF(AND(ISNUMBER($G304),$G304&gt;=MA_LONG2),AVERAGE(INDEX($C$5:$C304,301-MA_LONG2):$C304),"")</f>
        <v>4854.02</v>
      </c>
      <c r="L304" s="53" t="n">
        <f aca="false">IF(AND(ISNUMBER($G304),$G304&gt;=21),STDEV(INDEX($H$244:$H304,62-20):$H304)*SQRT(245),"")</f>
        <v>0.179296776976816</v>
      </c>
      <c r="M304" s="52" t="n">
        <f aca="false">IF(AND(ISNUMBER($G304),$G304&gt;=60),MAX(INDEX($D$104:$D304,202-60):$D304),"")</f>
        <v>6010</v>
      </c>
      <c r="N304" s="52" t="n">
        <f aca="false">IF(AND(ISNUMBER($G304),$G304&gt;=60),MIN(INDEX($E$104:$E304,202-60):$E304),"")</f>
        <v>5107</v>
      </c>
      <c r="O304" s="53" t="n">
        <f aca="false">IF(OR(NOT(ISNUMBER($C304)),NOT(ISNUMBER($M304)),$M304=0),"",$C304/$M304-1)</f>
        <v>-0.0156405990016639</v>
      </c>
    </row>
    <row r="305" customFormat="false" ht="15" hidden="false" customHeight="false" outlineLevel="0" collapsed="false">
      <c r="A305" s="47" t="n">
        <v>45990</v>
      </c>
      <c r="B305" s="48" t="s">
        <v>453</v>
      </c>
      <c r="C305" s="49" t="n">
        <v>6132</v>
      </c>
      <c r="D305" s="49" t="n">
        <v>6133</v>
      </c>
      <c r="E305" s="49" t="n">
        <v>6126</v>
      </c>
      <c r="F305" s="49" t="n">
        <v>0</v>
      </c>
      <c r="G305" s="50" t="n">
        <f aca="false">IF($A305="","",IF(ISNUMBER($G304),$G304+1,1))</f>
        <v>301</v>
      </c>
      <c r="H305" s="51" t="n">
        <f aca="false">IF(OR(NOT(ISNUMBER($G305)),$G305&lt;2,NOT(ISNUMBER($C304)),$C304=0),"",$C305/$C304-1)</f>
        <v>0.0365111561866125</v>
      </c>
      <c r="I305" s="52" t="n">
        <f aca="false">IF(AND(ISNUMBER($G305),$G305&gt;=MA_SHORT),AVERAGE(INDEX($C$5:$C305,302-MA_SHORT):$C305),"")</f>
        <v>5889.4</v>
      </c>
      <c r="J305" s="52" t="n">
        <f aca="false">IF(AND(ISNUMBER($G305),$G305&gt;=MA_MED),AVERAGE(INDEX($C$5:$C305,302-MA_MED):$C305),"")</f>
        <v>5635.28</v>
      </c>
      <c r="K305" s="52" t="n">
        <f aca="false">IF(AND(ISNUMBER($G305),$G305&gt;=MA_LONG2),AVERAGE(INDEX($C$5:$C305,302-MA_LONG2):$C305),"")</f>
        <v>4866.88</v>
      </c>
      <c r="L305" s="53" t="n">
        <f aca="false">IF(AND(ISNUMBER($G305),$G305&gt;=21),STDEV(INDEX($H$245:$H305,62-20):$H305)*SQRT(245),"")</f>
        <v>0.218027090948461</v>
      </c>
      <c r="M305" s="52" t="n">
        <f aca="false">IF(AND(ISNUMBER($G305),$G305&gt;=60),MAX(INDEX($D$105:$D305,202-60):$D305),"")</f>
        <v>6133</v>
      </c>
      <c r="N305" s="52" t="n">
        <f aca="false">IF(AND(ISNUMBER($G305),$G305&gt;=60),MIN(INDEX($E$105:$E305,202-60):$E305),"")</f>
        <v>5107</v>
      </c>
      <c r="O305" s="53" t="n">
        <f aca="false">IF(OR(NOT(ISNUMBER($C305)),NOT(ISNUMBER($M305)),$M305=0),"",$C305/$M305-1)</f>
        <v>-0.000163052339801073</v>
      </c>
    </row>
    <row r="306" customFormat="false" ht="15" hidden="false" customHeight="false" outlineLevel="0" collapsed="false">
      <c r="A306" s="47" t="n">
        <v>45991</v>
      </c>
      <c r="B306" s="48" t="s">
        <v>454</v>
      </c>
      <c r="C306" s="49" t="n">
        <v>6171</v>
      </c>
      <c r="D306" s="49" t="n">
        <v>6193</v>
      </c>
      <c r="E306" s="49" t="n">
        <v>6156</v>
      </c>
      <c r="F306" s="49" t="n">
        <v>0</v>
      </c>
      <c r="G306" s="50" t="n">
        <f aca="false">IF($A306="","",IF(ISNUMBER($G305),$G305+1,1))</f>
        <v>302</v>
      </c>
      <c r="H306" s="51" t="n">
        <f aca="false">IF(OR(NOT(ISNUMBER($G306)),$G306&lt;2,NOT(ISNUMBER($C305)),$C305=0),"",$C306/$C305-1)</f>
        <v>0.00636007827788654</v>
      </c>
      <c r="I306" s="52" t="n">
        <f aca="false">IF(AND(ISNUMBER($G306),$G306&gt;=MA_SHORT),AVERAGE(INDEX($C$5:$C306,303-MA_SHORT):$C306),"")</f>
        <v>5906.6</v>
      </c>
      <c r="J306" s="52" t="n">
        <f aca="false">IF(AND(ISNUMBER($G306),$G306&gt;=MA_MED),AVERAGE(INDEX($C$5:$C306,303-MA_MED):$C306),"")</f>
        <v>5653.74</v>
      </c>
      <c r="K306" s="52" t="n">
        <f aca="false">IF(AND(ISNUMBER($G306),$G306&gt;=MA_LONG2),AVERAGE(INDEX($C$5:$C306,303-MA_LONG2):$C306),"")</f>
        <v>4879.895</v>
      </c>
      <c r="L306" s="53" t="n">
        <f aca="false">IF(AND(ISNUMBER($G306),$G306&gt;=21),STDEV(INDEX($H$246:$H306,62-20):$H306)*SQRT(245),"")</f>
        <v>0.218111250091736</v>
      </c>
      <c r="M306" s="52" t="n">
        <f aca="false">IF(AND(ISNUMBER($G306),$G306&gt;=60),MAX(INDEX($D$106:$D306,202-60):$D306),"")</f>
        <v>6193</v>
      </c>
      <c r="N306" s="52" t="n">
        <f aca="false">IF(AND(ISNUMBER($G306),$G306&gt;=60),MIN(INDEX($E$106:$E306,202-60):$E306),"")</f>
        <v>5107</v>
      </c>
      <c r="O306" s="53" t="n">
        <f aca="false">IF(OR(NOT(ISNUMBER($C306)),NOT(ISNUMBER($M306)),$M306=0),"",$C306/$M306-1)</f>
        <v>-0.00355239786856132</v>
      </c>
    </row>
    <row r="307" customFormat="false" ht="15" hidden="false" customHeight="false" outlineLevel="0" collapsed="false">
      <c r="A307" s="47" t="n">
        <v>45992</v>
      </c>
      <c r="B307" s="48" t="s">
        <v>455</v>
      </c>
      <c r="C307" s="49" t="n">
        <v>6284</v>
      </c>
      <c r="D307" s="49" t="n">
        <v>6317</v>
      </c>
      <c r="E307" s="49" t="n">
        <v>6243</v>
      </c>
      <c r="F307" s="49" t="n">
        <v>0</v>
      </c>
      <c r="G307" s="50" t="n">
        <f aca="false">IF($A307="","",IF(ISNUMBER($G306),$G306+1,1))</f>
        <v>303</v>
      </c>
      <c r="H307" s="51" t="n">
        <f aca="false">IF(OR(NOT(ISNUMBER($G307)),$G307&lt;2,NOT(ISNUMBER($C306)),$C306=0),"",$C307/$C306-1)</f>
        <v>0.0183114568141307</v>
      </c>
      <c r="I307" s="52" t="n">
        <f aca="false">IF(AND(ISNUMBER($G307),$G307&gt;=MA_SHORT),AVERAGE(INDEX($C$5:$C307,304-MA_SHORT):$C307),"")</f>
        <v>5927.5</v>
      </c>
      <c r="J307" s="52" t="n">
        <f aca="false">IF(AND(ISNUMBER($G307),$G307&gt;=MA_MED),AVERAGE(INDEX($C$5:$C307,304-MA_MED):$C307),"")</f>
        <v>5676.52</v>
      </c>
      <c r="K307" s="52" t="n">
        <f aca="false">IF(AND(ISNUMBER($G307),$G307&gt;=MA_LONG2),AVERAGE(INDEX($C$5:$C307,304-MA_LONG2):$C307),"")</f>
        <v>4893.555</v>
      </c>
      <c r="L307" s="53" t="n">
        <f aca="false">IF(AND(ISNUMBER($G307),$G307&gt;=21),STDEV(INDEX($H$247:$H307,62-20):$H307)*SQRT(245),"")</f>
        <v>0.224373665843505</v>
      </c>
      <c r="M307" s="52" t="n">
        <f aca="false">IF(AND(ISNUMBER($G307),$G307&gt;=60),MAX(INDEX($D$107:$D307,202-60):$D307),"")</f>
        <v>6317</v>
      </c>
      <c r="N307" s="52" t="n">
        <f aca="false">IF(AND(ISNUMBER($G307),$G307&gt;=60),MIN(INDEX($E$107:$E307,202-60):$E307),"")</f>
        <v>5107</v>
      </c>
      <c r="O307" s="53" t="n">
        <f aca="false">IF(OR(NOT(ISNUMBER($C307)),NOT(ISNUMBER($M307)),$M307=0),"",$C307/$M307-1)</f>
        <v>-0.00522399873357604</v>
      </c>
    </row>
    <row r="308" customFormat="false" ht="15" hidden="false" customHeight="false" outlineLevel="0" collapsed="false">
      <c r="A308" s="47" t="n">
        <v>45993</v>
      </c>
      <c r="B308" s="48" t="s">
        <v>456</v>
      </c>
      <c r="C308" s="49" t="n">
        <v>6294</v>
      </c>
      <c r="D308" s="49" t="n">
        <v>6312</v>
      </c>
      <c r="E308" s="49" t="n">
        <v>6257</v>
      </c>
      <c r="F308" s="49" t="n">
        <v>0</v>
      </c>
      <c r="G308" s="50" t="n">
        <f aca="false">IF($A308="","",IF(ISNUMBER($G307),$G307+1,1))</f>
        <v>304</v>
      </c>
      <c r="H308" s="51" t="n">
        <f aca="false">IF(OR(NOT(ISNUMBER($G308)),$G308&lt;2,NOT(ISNUMBER($C307)),$C307=0),"",$C308/$C307-1)</f>
        <v>0.00159134309357101</v>
      </c>
      <c r="I308" s="52" t="n">
        <f aca="false">IF(AND(ISNUMBER($G308),$G308&gt;=MA_SHORT),AVERAGE(INDEX($C$5:$C308,305-MA_SHORT):$C308),"")</f>
        <v>5943.3</v>
      </c>
      <c r="J308" s="52" t="n">
        <f aca="false">IF(AND(ISNUMBER($G308),$G308&gt;=MA_MED),AVERAGE(INDEX($C$5:$C308,305-MA_MED):$C308),"")</f>
        <v>5699.16</v>
      </c>
      <c r="K308" s="52" t="n">
        <f aca="false">IF(AND(ISNUMBER($G308),$G308&gt;=MA_LONG2),AVERAGE(INDEX($C$5:$C308,305-MA_LONG2):$C308),"")</f>
        <v>4907.275</v>
      </c>
      <c r="L308" s="53" t="n">
        <f aca="false">IF(AND(ISNUMBER($G308),$G308&gt;=21),STDEV(INDEX($H$248:$H308,62-20):$H308)*SQRT(245),"")</f>
        <v>0.2169744372717</v>
      </c>
      <c r="M308" s="52" t="n">
        <f aca="false">IF(AND(ISNUMBER($G308),$G308&gt;=60),MAX(INDEX($D$108:$D308,202-60):$D308),"")</f>
        <v>6317</v>
      </c>
      <c r="N308" s="52" t="n">
        <f aca="false">IF(AND(ISNUMBER($G308),$G308&gt;=60),MIN(INDEX($E$108:$E308,202-60):$E308),"")</f>
        <v>5107</v>
      </c>
      <c r="O308" s="53" t="n">
        <f aca="false">IF(OR(NOT(ISNUMBER($C308)),NOT(ISNUMBER($M308)),$M308=0),"",$C308/$M308-1)</f>
        <v>-0.00364096881431064</v>
      </c>
    </row>
    <row r="309" customFormat="false" ht="15" hidden="false" customHeight="false" outlineLevel="0" collapsed="false">
      <c r="A309" s="47" t="n">
        <v>45994</v>
      </c>
      <c r="B309" s="48" t="s">
        <v>457</v>
      </c>
      <c r="C309" s="49" t="n">
        <v>6360</v>
      </c>
      <c r="D309" s="49" t="n">
        <v>6375</v>
      </c>
      <c r="E309" s="49" t="n">
        <v>6318</v>
      </c>
      <c r="F309" s="49" t="n">
        <v>0</v>
      </c>
      <c r="G309" s="50" t="n">
        <f aca="false">IF($A309="","",IF(ISNUMBER($G308),$G308+1,1))</f>
        <v>305</v>
      </c>
      <c r="H309" s="51" t="n">
        <f aca="false">IF(OR(NOT(ISNUMBER($G309)),$G309&lt;2,NOT(ISNUMBER($C308)),$C308=0),"",$C309/$C308-1)</f>
        <v>0.0104861773117255</v>
      </c>
      <c r="I309" s="52" t="n">
        <f aca="false">IF(AND(ISNUMBER($G309),$G309&gt;=MA_SHORT),AVERAGE(INDEX($C$5:$C309,306-MA_SHORT):$C309),"")</f>
        <v>5962.1</v>
      </c>
      <c r="J309" s="52" t="n">
        <f aca="false">IF(AND(ISNUMBER($G309),$G309&gt;=MA_MED),AVERAGE(INDEX($C$5:$C309,306-MA_MED):$C309),"")</f>
        <v>5721.82</v>
      </c>
      <c r="K309" s="52" t="n">
        <f aca="false">IF(AND(ISNUMBER($G309),$G309&gt;=MA_LONG2),AVERAGE(INDEX($C$5:$C309,306-MA_LONG2):$C309),"")</f>
        <v>4921.35</v>
      </c>
      <c r="L309" s="53" t="n">
        <f aca="false">IF(AND(ISNUMBER($G309),$G309&gt;=21),STDEV(INDEX($H$249:$H309,62-20):$H309)*SQRT(245),"")</f>
        <v>0.218568082529898</v>
      </c>
      <c r="M309" s="52" t="n">
        <f aca="false">IF(AND(ISNUMBER($G309),$G309&gt;=60),MAX(INDEX($D$109:$D309,202-60):$D309),"")</f>
        <v>6375</v>
      </c>
      <c r="N309" s="52" t="n">
        <f aca="false">IF(AND(ISNUMBER($G309),$G309&gt;=60),MIN(INDEX($E$109:$E309,202-60):$E309),"")</f>
        <v>5107</v>
      </c>
      <c r="O309" s="53" t="n">
        <f aca="false">IF(OR(NOT(ISNUMBER($C309)),NOT(ISNUMBER($M309)),$M309=0),"",$C309/$M309-1)</f>
        <v>-0.00235294117647056</v>
      </c>
    </row>
    <row r="310" customFormat="false" ht="15" hidden="false" customHeight="false" outlineLevel="0" collapsed="false">
      <c r="A310" s="47" t="n">
        <v>45997</v>
      </c>
      <c r="B310" s="48" t="s">
        <v>458</v>
      </c>
      <c r="C310" s="49" t="n">
        <v>6369</v>
      </c>
      <c r="D310" s="49" t="n">
        <v>6370</v>
      </c>
      <c r="E310" s="49" t="n">
        <v>6321</v>
      </c>
      <c r="F310" s="49" t="n">
        <v>0</v>
      </c>
      <c r="G310" s="50" t="n">
        <f aca="false">IF($A310="","",IF(ISNUMBER($G309),$G309+1,1))</f>
        <v>306</v>
      </c>
      <c r="H310" s="51" t="n">
        <f aca="false">IF(OR(NOT(ISNUMBER($G310)),$G310&lt;2,NOT(ISNUMBER($C309)),$C309=0),"",$C310/$C309-1)</f>
        <v>0.00141509433962272</v>
      </c>
      <c r="I310" s="52" t="n">
        <f aca="false">IF(AND(ISNUMBER($G310),$G310&gt;=MA_SHORT),AVERAGE(INDEX($C$5:$C310,307-MA_SHORT):$C310),"")</f>
        <v>5985.55</v>
      </c>
      <c r="J310" s="52" t="n">
        <f aca="false">IF(AND(ISNUMBER($G310),$G310&gt;=MA_MED),AVERAGE(INDEX($C$5:$C310,307-MA_MED):$C310),"")</f>
        <v>5746.98</v>
      </c>
      <c r="K310" s="52" t="n">
        <f aca="false">IF(AND(ISNUMBER($G310),$G310&gt;=MA_LONG2),AVERAGE(INDEX($C$5:$C310,307-MA_LONG2):$C310),"")</f>
        <v>4935.435</v>
      </c>
      <c r="L310" s="53" t="n">
        <f aca="false">IF(AND(ISNUMBER($G310),$G310&gt;=21),STDEV(INDEX($H$250:$H310,62-20):$H310)*SQRT(245),"")</f>
        <v>0.209404326836216</v>
      </c>
      <c r="M310" s="52" t="n">
        <f aca="false">IF(AND(ISNUMBER($G310),$G310&gt;=60),MAX(INDEX($D$110:$D310,202-60):$D310),"")</f>
        <v>6375</v>
      </c>
      <c r="N310" s="52" t="n">
        <f aca="false">IF(AND(ISNUMBER($G310),$G310&gt;=60),MIN(INDEX($E$110:$E310,202-60):$E310),"")</f>
        <v>5107</v>
      </c>
      <c r="O310" s="53" t="n">
        <f aca="false">IF(OR(NOT(ISNUMBER($C310)),NOT(ISNUMBER($M310)),$M310=0),"",$C310/$M310-1)</f>
        <v>-0.000941176470588223</v>
      </c>
    </row>
    <row r="311" customFormat="false" ht="15" hidden="false" customHeight="false" outlineLevel="0" collapsed="false">
      <c r="A311" s="47" t="n">
        <v>45998</v>
      </c>
      <c r="B311" s="48" t="s">
        <v>459</v>
      </c>
      <c r="C311" s="49" t="n">
        <v>6484</v>
      </c>
      <c r="D311" s="49" t="n">
        <v>6503</v>
      </c>
      <c r="E311" s="49" t="n">
        <v>6479</v>
      </c>
      <c r="F311" s="49" t="n">
        <v>0</v>
      </c>
      <c r="G311" s="50" t="n">
        <f aca="false">IF($A311="","",IF(ISNUMBER($G310),$G310+1,1))</f>
        <v>307</v>
      </c>
      <c r="H311" s="51" t="n">
        <f aca="false">IF(OR(NOT(ISNUMBER($G311)),$G311&lt;2,NOT(ISNUMBER($C310)),$C310=0),"",$C311/$C310-1)</f>
        <v>0.0180562097660544</v>
      </c>
      <c r="I311" s="52" t="n">
        <f aca="false">IF(AND(ISNUMBER($G311),$G311&gt;=MA_SHORT),AVERAGE(INDEX($C$5:$C311,308-MA_SHORT):$C311),"")</f>
        <v>6015.55</v>
      </c>
      <c r="J311" s="52" t="n">
        <f aca="false">IF(AND(ISNUMBER($G311),$G311&gt;=MA_MED),AVERAGE(INDEX($C$5:$C311,308-MA_MED):$C311),"")</f>
        <v>5773.76</v>
      </c>
      <c r="K311" s="52" t="n">
        <f aca="false">IF(AND(ISNUMBER($G311),$G311&gt;=MA_LONG2),AVERAGE(INDEX($C$5:$C311,308-MA_LONG2):$C311),"")</f>
        <v>4949.895</v>
      </c>
      <c r="L311" s="53" t="n">
        <f aca="false">IF(AND(ISNUMBER($G311),$G311&gt;=21),STDEV(INDEX($H$251:$H311,62-20):$H311)*SQRT(245),"")</f>
        <v>0.213503423087475</v>
      </c>
      <c r="M311" s="52" t="n">
        <f aca="false">IF(AND(ISNUMBER($G311),$G311&gt;=60),MAX(INDEX($D$111:$D311,202-60):$D311),"")</f>
        <v>6503</v>
      </c>
      <c r="N311" s="52" t="n">
        <f aca="false">IF(AND(ISNUMBER($G311),$G311&gt;=60),MIN(INDEX($E$111:$E311,202-60):$E311),"")</f>
        <v>5107</v>
      </c>
      <c r="O311" s="53" t="n">
        <f aca="false">IF(OR(NOT(ISNUMBER($C311)),NOT(ISNUMBER($M311)),$M311=0),"",$C311/$M311-1)</f>
        <v>-0.00292172843303096</v>
      </c>
    </row>
    <row r="312" customFormat="false" ht="15" hidden="false" customHeight="false" outlineLevel="0" collapsed="false">
      <c r="A312" s="47" t="n">
        <v>45999</v>
      </c>
      <c r="B312" s="48" t="s">
        <v>460</v>
      </c>
      <c r="C312" s="49" t="n">
        <v>6373</v>
      </c>
      <c r="D312" s="49" t="n">
        <v>6390</v>
      </c>
      <c r="E312" s="49" t="n">
        <v>6360</v>
      </c>
      <c r="F312" s="49" t="n">
        <v>0</v>
      </c>
      <c r="G312" s="50" t="n">
        <f aca="false">IF($A312="","",IF(ISNUMBER($G311),$G311+1,1))</f>
        <v>308</v>
      </c>
      <c r="H312" s="51" t="n">
        <f aca="false">IF(OR(NOT(ISNUMBER($G312)),$G312&lt;2,NOT(ISNUMBER($C311)),$C311=0),"",$C312/$C311-1)</f>
        <v>-0.0171190623072177</v>
      </c>
      <c r="I312" s="52" t="n">
        <f aca="false">IF(AND(ISNUMBER($G312),$G312&gt;=MA_SHORT),AVERAGE(INDEX($C$5:$C312,309-MA_SHORT):$C312),"")</f>
        <v>6035.95</v>
      </c>
      <c r="J312" s="52" t="n">
        <f aca="false">IF(AND(ISNUMBER($G312),$G312&gt;=MA_MED),AVERAGE(INDEX($C$5:$C312,309-MA_MED):$C312),"")</f>
        <v>5796.76</v>
      </c>
      <c r="K312" s="52" t="n">
        <f aca="false">IF(AND(ISNUMBER($G312),$G312&gt;=MA_LONG2),AVERAGE(INDEX($C$5:$C312,309-MA_LONG2):$C312),"")</f>
        <v>4963.925</v>
      </c>
      <c r="L312" s="53" t="n">
        <f aca="false">IF(AND(ISNUMBER($G312),$G312&gt;=21),STDEV(INDEX($H$252:$H312,62-20):$H312)*SQRT(245),"")</f>
        <v>0.224166297426772</v>
      </c>
      <c r="M312" s="52" t="n">
        <f aca="false">IF(AND(ISNUMBER($G312),$G312&gt;=60),MAX(INDEX($D$112:$D312,202-60):$D312),"")</f>
        <v>6503</v>
      </c>
      <c r="N312" s="52" t="n">
        <f aca="false">IF(AND(ISNUMBER($G312),$G312&gt;=60),MIN(INDEX($E$112:$E312,202-60):$E312),"")</f>
        <v>5107</v>
      </c>
      <c r="O312" s="53" t="n">
        <f aca="false">IF(OR(NOT(ISNUMBER($C312)),NOT(ISNUMBER($M312)),$M312=0),"",$C312/$M312-1)</f>
        <v>-0.0199907734891589</v>
      </c>
    </row>
    <row r="313" customFormat="false" ht="15" hidden="false" customHeight="false" outlineLevel="0" collapsed="false">
      <c r="A313" s="47" t="n">
        <v>46000</v>
      </c>
      <c r="B313" s="48" t="s">
        <v>461</v>
      </c>
      <c r="C313" s="49" t="n">
        <v>6342</v>
      </c>
      <c r="D313" s="49" t="n">
        <v>6356</v>
      </c>
      <c r="E313" s="49" t="n">
        <v>6332</v>
      </c>
      <c r="F313" s="49" t="n">
        <v>0</v>
      </c>
      <c r="G313" s="50" t="n">
        <f aca="false">IF($A313="","",IF(ISNUMBER($G312),$G312+1,1))</f>
        <v>309</v>
      </c>
      <c r="H313" s="51" t="n">
        <f aca="false">IF(OR(NOT(ISNUMBER($G313)),$G313&lt;2,NOT(ISNUMBER($C312)),$C312=0),"",$C313/$C312-1)</f>
        <v>-0.00486427114388832</v>
      </c>
      <c r="I313" s="52" t="n">
        <f aca="false">IF(AND(ISNUMBER($G313),$G313&gt;=MA_SHORT),AVERAGE(INDEX($C$5:$C313,310-MA_SHORT):$C313),"")</f>
        <v>6060.95</v>
      </c>
      <c r="J313" s="52" t="n">
        <f aca="false">IF(AND(ISNUMBER($G313),$G313&gt;=MA_MED),AVERAGE(INDEX($C$5:$C313,310-MA_MED):$C313),"")</f>
        <v>5818.18</v>
      </c>
      <c r="K313" s="52" t="n">
        <f aca="false">IF(AND(ISNUMBER($G313),$G313&gt;=MA_LONG2),AVERAGE(INDEX($C$5:$C313,310-MA_LONG2):$C313),"")</f>
        <v>4977.41</v>
      </c>
      <c r="L313" s="53" t="n">
        <f aca="false">IF(AND(ISNUMBER($G313),$G313&gt;=21),STDEV(INDEX($H$253:$H313,62-20):$H313)*SQRT(245),"")</f>
        <v>0.208631195171007</v>
      </c>
      <c r="M313" s="52" t="n">
        <f aca="false">IF(AND(ISNUMBER($G313),$G313&gt;=60),MAX(INDEX($D$113:$D313,202-60):$D313),"")</f>
        <v>6503</v>
      </c>
      <c r="N313" s="52" t="n">
        <f aca="false">IF(AND(ISNUMBER($G313),$G313&gt;=60),MIN(INDEX($E$113:$E313,202-60):$E313),"")</f>
        <v>5107</v>
      </c>
      <c r="O313" s="53" t="n">
        <f aca="false">IF(OR(NOT(ISNUMBER($C313)),NOT(ISNUMBER($M313)),$M313=0),"",$C313/$M313-1)</f>
        <v>-0.0247578040904198</v>
      </c>
    </row>
    <row r="314" customFormat="false" ht="15" hidden="false" customHeight="false" outlineLevel="0" collapsed="false">
      <c r="A314" s="47" t="n">
        <v>46001</v>
      </c>
      <c r="B314" s="48" t="s">
        <v>462</v>
      </c>
      <c r="C314" s="49" t="n">
        <v>6349</v>
      </c>
      <c r="D314" s="49" t="n">
        <v>6428</v>
      </c>
      <c r="E314" s="49" t="n">
        <v>6311</v>
      </c>
      <c r="F314" s="49" t="n">
        <v>0</v>
      </c>
      <c r="G314" s="50" t="n">
        <f aca="false">IF($A314="","",IF(ISNUMBER($G313),$G313+1,1))</f>
        <v>310</v>
      </c>
      <c r="H314" s="51" t="n">
        <f aca="false">IF(OR(NOT(ISNUMBER($G314)),$G314&lt;2,NOT(ISNUMBER($C313)),$C313=0),"",$C314/$C313-1)</f>
        <v>0.00110375275938179</v>
      </c>
      <c r="I314" s="52" t="n">
        <f aca="false">IF(AND(ISNUMBER($G314),$G314&gt;=MA_SHORT),AVERAGE(INDEX($C$5:$C314,311-MA_SHORT):$C314),"")</f>
        <v>6090.85</v>
      </c>
      <c r="J314" s="52" t="n">
        <f aca="false">IF(AND(ISNUMBER($G314),$G314&gt;=MA_MED),AVERAGE(INDEX($C$5:$C314,311-MA_MED):$C314),"")</f>
        <v>5840.48</v>
      </c>
      <c r="K314" s="52" t="n">
        <f aca="false">IF(AND(ISNUMBER($G314),$G314&gt;=MA_LONG2),AVERAGE(INDEX($C$5:$C314,311-MA_LONG2):$C314),"")</f>
        <v>4990.925</v>
      </c>
      <c r="L314" s="53" t="n">
        <f aca="false">IF(AND(ISNUMBER($G314),$G314&gt;=21),STDEV(INDEX($H$254:$H314,62-20):$H314)*SQRT(245),"")</f>
        <v>0.196031892705976</v>
      </c>
      <c r="M314" s="52" t="n">
        <f aca="false">IF(AND(ISNUMBER($G314),$G314&gt;=60),MAX(INDEX($D$114:$D314,202-60):$D314),"")</f>
        <v>6503</v>
      </c>
      <c r="N314" s="52" t="n">
        <f aca="false">IF(AND(ISNUMBER($G314),$G314&gt;=60),MIN(INDEX($E$114:$E314,202-60):$E314),"")</f>
        <v>5107</v>
      </c>
      <c r="O314" s="53" t="n">
        <f aca="false">IF(OR(NOT(ISNUMBER($C314)),NOT(ISNUMBER($M314)),$M314=0),"",$C314/$M314-1)</f>
        <v>-0.023681377825619</v>
      </c>
    </row>
    <row r="315" customFormat="false" ht="15" hidden="false" customHeight="false" outlineLevel="0" collapsed="false">
      <c r="A315" s="47" t="n">
        <v>46004</v>
      </c>
      <c r="B315" s="48" t="s">
        <v>463</v>
      </c>
      <c r="C315" s="49" t="n">
        <v>6169</v>
      </c>
      <c r="D315" s="49" t="n">
        <v>6180</v>
      </c>
      <c r="E315" s="49" t="n">
        <v>6133</v>
      </c>
      <c r="F315" s="49" t="n">
        <v>0</v>
      </c>
      <c r="G315" s="50" t="n">
        <f aca="false">IF($A315="","",IF(ISNUMBER($G314),$G314+1,1))</f>
        <v>311</v>
      </c>
      <c r="H315" s="51" t="n">
        <f aca="false">IF(OR(NOT(ISNUMBER($G315)),$G315&lt;2,NOT(ISNUMBER($C314)),$C314=0),"",$C315/$C314-1)</f>
        <v>-0.0283509214049457</v>
      </c>
      <c r="I315" s="52" t="n">
        <f aca="false">IF(AND(ISNUMBER($G315),$G315&gt;=MA_SHORT),AVERAGE(INDEX($C$5:$C315,312-MA_SHORT):$C315),"")</f>
        <v>6106.05</v>
      </c>
      <c r="J315" s="52" t="n">
        <f aca="false">IF(AND(ISNUMBER($G315),$G315&gt;=MA_MED),AVERAGE(INDEX($C$5:$C315,312-MA_MED):$C315),"")</f>
        <v>5858.48</v>
      </c>
      <c r="K315" s="52" t="n">
        <f aca="false">IF(AND(ISNUMBER($G315),$G315&gt;=MA_LONG2),AVERAGE(INDEX($C$5:$C315,312-MA_LONG2):$C315),"")</f>
        <v>5003.575</v>
      </c>
      <c r="L315" s="53" t="n">
        <f aca="false">IF(AND(ISNUMBER($G315),$G315&gt;=21),STDEV(INDEX($H$255:$H315,62-20):$H315)*SQRT(245),"")</f>
        <v>0.220186045148202</v>
      </c>
      <c r="M315" s="52" t="n">
        <f aca="false">IF(AND(ISNUMBER($G315),$G315&gt;=60),MAX(INDEX($D$115:$D315,202-60):$D315),"")</f>
        <v>6503</v>
      </c>
      <c r="N315" s="52" t="n">
        <f aca="false">IF(AND(ISNUMBER($G315),$G315&gt;=60),MIN(INDEX($E$115:$E315,202-60):$E315),"")</f>
        <v>5107</v>
      </c>
      <c r="O315" s="53" t="n">
        <f aca="false">IF(OR(NOT(ISNUMBER($C315)),NOT(ISNUMBER($M315)),$M315=0),"",$C315/$M315-1)</f>
        <v>-0.0513609103490696</v>
      </c>
    </row>
    <row r="316" customFormat="false" ht="15" hidden="false" customHeight="false" outlineLevel="0" collapsed="false">
      <c r="A316" s="47" t="n">
        <v>46005</v>
      </c>
      <c r="B316" s="48" t="s">
        <v>464</v>
      </c>
      <c r="C316" s="49" t="n">
        <v>6201</v>
      </c>
      <c r="D316" s="49" t="n">
        <v>6201</v>
      </c>
      <c r="E316" s="49" t="n">
        <v>6193</v>
      </c>
      <c r="F316" s="49" t="n">
        <v>0</v>
      </c>
      <c r="G316" s="50" t="n">
        <f aca="false">IF($A316="","",IF(ISNUMBER($G315),$G315+1,1))</f>
        <v>312</v>
      </c>
      <c r="H316" s="51" t="n">
        <f aca="false">IF(OR(NOT(ISNUMBER($G316)),$G316&lt;2,NOT(ISNUMBER($C315)),$C315=0),"",$C316/$C315-1)</f>
        <v>0.00518722645485492</v>
      </c>
      <c r="I316" s="52" t="n">
        <f aca="false">IF(AND(ISNUMBER($G316),$G316&gt;=MA_SHORT),AVERAGE(INDEX($C$5:$C316,313-MA_SHORT):$C316),"")</f>
        <v>6122.05</v>
      </c>
      <c r="J316" s="52" t="n">
        <f aca="false">IF(AND(ISNUMBER($G316),$G316&gt;=MA_MED),AVERAGE(INDEX($C$5:$C316,313-MA_MED):$C316),"")</f>
        <v>5876.6</v>
      </c>
      <c r="K316" s="52" t="n">
        <f aca="false">IF(AND(ISNUMBER($G316),$G316&gt;=MA_LONG2),AVERAGE(INDEX($C$5:$C316,313-MA_LONG2):$C316),"")</f>
        <v>5016.315</v>
      </c>
      <c r="L316" s="53" t="n">
        <f aca="false">IF(AND(ISNUMBER($G316),$G316&gt;=21),STDEV(INDEX($H$256:$H316,62-20):$H316)*SQRT(245),"")</f>
        <v>0.220369235238837</v>
      </c>
      <c r="M316" s="52" t="n">
        <f aca="false">IF(AND(ISNUMBER($G316),$G316&gt;=60),MAX(INDEX($D$116:$D316,202-60):$D316),"")</f>
        <v>6503</v>
      </c>
      <c r="N316" s="52" t="n">
        <f aca="false">IF(AND(ISNUMBER($G316),$G316&gt;=60),MIN(INDEX($E$116:$E316,202-60):$E316),"")</f>
        <v>5107</v>
      </c>
      <c r="O316" s="53" t="n">
        <f aca="false">IF(OR(NOT(ISNUMBER($C316)),NOT(ISNUMBER($M316)),$M316=0),"",$C316/$M316-1)</f>
        <v>-0.0464401045671229</v>
      </c>
    </row>
    <row r="317" customFormat="false" ht="15" hidden="false" customHeight="false" outlineLevel="0" collapsed="false">
      <c r="A317" s="47" t="n">
        <v>46006</v>
      </c>
      <c r="B317" s="48" t="s">
        <v>465</v>
      </c>
      <c r="C317" s="49" t="n">
        <v>6178</v>
      </c>
      <c r="D317" s="49" t="n">
        <v>6185</v>
      </c>
      <c r="E317" s="49" t="n">
        <v>6162</v>
      </c>
      <c r="F317" s="49" t="n">
        <v>0</v>
      </c>
      <c r="G317" s="50" t="n">
        <f aca="false">IF($A317="","",IF(ISNUMBER($G316),$G316+1,1))</f>
        <v>313</v>
      </c>
      <c r="H317" s="51" t="n">
        <f aca="false">IF(OR(NOT(ISNUMBER($G317)),$G317&lt;2,NOT(ISNUMBER($C316)),$C316=0),"",$C317/$C316-1)</f>
        <v>-0.00370907918077734</v>
      </c>
      <c r="I317" s="52" t="n">
        <f aca="false">IF(AND(ISNUMBER($G317),$G317&gt;=MA_SHORT),AVERAGE(INDEX($C$5:$C317,314-MA_SHORT):$C317),"")</f>
        <v>6135.7</v>
      </c>
      <c r="J317" s="52" t="n">
        <f aca="false">IF(AND(ISNUMBER($G317),$G317&gt;=MA_MED),AVERAGE(INDEX($C$5:$C317,314-MA_MED):$C317),"")</f>
        <v>5893.2</v>
      </c>
      <c r="K317" s="52" t="n">
        <f aca="false">IF(AND(ISNUMBER($G317),$G317&gt;=MA_LONG2),AVERAGE(INDEX($C$5:$C317,314-MA_LONG2):$C317),"")</f>
        <v>5028.69</v>
      </c>
      <c r="L317" s="53" t="n">
        <f aca="false">IF(AND(ISNUMBER($G317),$G317&gt;=21),STDEV(INDEX($H$257:$H317,62-20):$H317)*SQRT(245),"")</f>
        <v>0.221445050676428</v>
      </c>
      <c r="M317" s="52" t="n">
        <f aca="false">IF(AND(ISNUMBER($G317),$G317&gt;=60),MAX(INDEX($D$117:$D317,202-60):$D317),"")</f>
        <v>6503</v>
      </c>
      <c r="N317" s="52" t="n">
        <f aca="false">IF(AND(ISNUMBER($G317),$G317&gt;=60),MIN(INDEX($E$117:$E317,202-60):$E317),"")</f>
        <v>5107</v>
      </c>
      <c r="O317" s="53" t="n">
        <f aca="false">IF(OR(NOT(ISNUMBER($C317)),NOT(ISNUMBER($M317)),$M317=0),"",$C317/$M317-1)</f>
        <v>-0.0499769337228971</v>
      </c>
    </row>
    <row r="318" customFormat="false" ht="15" hidden="false" customHeight="false" outlineLevel="0" collapsed="false">
      <c r="A318" s="47" t="n">
        <v>46007</v>
      </c>
      <c r="B318" s="48" t="s">
        <v>466</v>
      </c>
      <c r="C318" s="49" t="n">
        <v>6215</v>
      </c>
      <c r="D318" s="49" t="n">
        <v>6246</v>
      </c>
      <c r="E318" s="49" t="n">
        <v>6187</v>
      </c>
      <c r="F318" s="49" t="n">
        <v>0</v>
      </c>
      <c r="G318" s="50" t="n">
        <f aca="false">IF($A318="","",IF(ISNUMBER($G317),$G317+1,1))</f>
        <v>314</v>
      </c>
      <c r="H318" s="51" t="n">
        <f aca="false">IF(OR(NOT(ISNUMBER($G318)),$G318&lt;2,NOT(ISNUMBER($C317)),$C317=0),"",$C318/$C317-1)</f>
        <v>0.00598899320168345</v>
      </c>
      <c r="I318" s="52" t="n">
        <f aca="false">IF(AND(ISNUMBER($G318),$G318&gt;=MA_SHORT),AVERAGE(INDEX($C$5:$C318,315-MA_SHORT):$C318),"")</f>
        <v>6155.1</v>
      </c>
      <c r="J318" s="52" t="n">
        <f aca="false">IF(AND(ISNUMBER($G318),$G318&gt;=MA_MED),AVERAGE(INDEX($C$5:$C318,315-MA_MED):$C318),"")</f>
        <v>5908.5</v>
      </c>
      <c r="K318" s="52" t="n">
        <f aca="false">IF(AND(ISNUMBER($G318),$G318&gt;=MA_LONG2),AVERAGE(INDEX($C$5:$C318,315-MA_LONG2):$C318),"")</f>
        <v>5040.65</v>
      </c>
      <c r="L318" s="53" t="n">
        <f aca="false">IF(AND(ISNUMBER($G318),$G318&gt;=21),STDEV(INDEX($H$258:$H318,62-20):$H318)*SQRT(245),"")</f>
        <v>0.214116516887305</v>
      </c>
      <c r="M318" s="52" t="n">
        <f aca="false">IF(AND(ISNUMBER($G318),$G318&gt;=60),MAX(INDEX($D$118:$D318,202-60):$D318),"")</f>
        <v>6503</v>
      </c>
      <c r="N318" s="52" t="n">
        <f aca="false">IF(AND(ISNUMBER($G318),$G318&gt;=60),MIN(INDEX($E$118:$E318,202-60):$E318),"")</f>
        <v>5107</v>
      </c>
      <c r="O318" s="53" t="n">
        <f aca="false">IF(OR(NOT(ISNUMBER($C318)),NOT(ISNUMBER($M318)),$M318=0),"",$C318/$M318-1)</f>
        <v>-0.0442872520375212</v>
      </c>
    </row>
    <row r="319" customFormat="false" ht="15" hidden="false" customHeight="false" outlineLevel="0" collapsed="false">
      <c r="A319" s="47" t="n">
        <v>46008</v>
      </c>
      <c r="B319" s="48" t="s">
        <v>467</v>
      </c>
      <c r="C319" s="49" t="n">
        <v>6263</v>
      </c>
      <c r="D319" s="49" t="n">
        <v>6278</v>
      </c>
      <c r="E319" s="49" t="n">
        <v>6251</v>
      </c>
      <c r="F319" s="49" t="n">
        <v>0</v>
      </c>
      <c r="G319" s="50" t="n">
        <f aca="false">IF($A319="","",IF(ISNUMBER($G318),$G318+1,1))</f>
        <v>315</v>
      </c>
      <c r="H319" s="51" t="n">
        <f aca="false">IF(OR(NOT(ISNUMBER($G319)),$G319&lt;2,NOT(ISNUMBER($C318)),$C318=0),"",$C319/$C318-1)</f>
        <v>0.00772325020112641</v>
      </c>
      <c r="I319" s="52" t="n">
        <f aca="false">IF(AND(ISNUMBER($G319),$G319&gt;=MA_SHORT),AVERAGE(INDEX($C$5:$C319,316-MA_SHORT):$C319),"")</f>
        <v>6178.55</v>
      </c>
      <c r="J319" s="52" t="n">
        <f aca="false">IF(AND(ISNUMBER($G319),$G319&gt;=MA_MED),AVERAGE(INDEX($C$5:$C319,316-MA_MED):$C319),"")</f>
        <v>5924.86</v>
      </c>
      <c r="K319" s="52" t="n">
        <f aca="false">IF(AND(ISNUMBER($G319),$G319&gt;=MA_LONG2),AVERAGE(INDEX($C$5:$C319,316-MA_LONG2):$C319),"")</f>
        <v>5052.88</v>
      </c>
      <c r="L319" s="53" t="n">
        <f aca="false">IF(AND(ISNUMBER($G319),$G319&gt;=21),STDEV(INDEX($H$259:$H319,62-20):$H319)*SQRT(245),"")</f>
        <v>0.21199244853373</v>
      </c>
      <c r="M319" s="52" t="n">
        <f aca="false">IF(AND(ISNUMBER($G319),$G319&gt;=60),MAX(INDEX($D$119:$D319,202-60):$D319),"")</f>
        <v>6503</v>
      </c>
      <c r="N319" s="52" t="n">
        <f aca="false">IF(AND(ISNUMBER($G319),$G319&gt;=60),MIN(INDEX($E$119:$E319,202-60):$E319),"")</f>
        <v>5107</v>
      </c>
      <c r="O319" s="53" t="n">
        <f aca="false">IF(OR(NOT(ISNUMBER($C319)),NOT(ISNUMBER($M319)),$M319=0),"",$C319/$M319-1)</f>
        <v>-0.0369060433646009</v>
      </c>
    </row>
    <row r="320" customFormat="false" ht="15" hidden="false" customHeight="false" outlineLevel="0" collapsed="false">
      <c r="A320" s="47" t="n">
        <v>46011</v>
      </c>
      <c r="B320" s="48" t="s">
        <v>468</v>
      </c>
      <c r="C320" s="49" t="n">
        <v>6312</v>
      </c>
      <c r="D320" s="49" t="n">
        <v>6325</v>
      </c>
      <c r="E320" s="49" t="n">
        <v>6291</v>
      </c>
      <c r="F320" s="49" t="n">
        <v>0</v>
      </c>
      <c r="G320" s="50" t="n">
        <f aca="false">IF($A320="","",IF(ISNUMBER($G319),$G319+1,1))</f>
        <v>316</v>
      </c>
      <c r="H320" s="51" t="n">
        <f aca="false">IF(OR(NOT(ISNUMBER($G320)),$G320&lt;2,NOT(ISNUMBER($C319)),$C319=0),"",$C320/$C319-1)</f>
        <v>0.00782372664857101</v>
      </c>
      <c r="I320" s="52" t="n">
        <f aca="false">IF(AND(ISNUMBER($G320),$G320&gt;=MA_SHORT),AVERAGE(INDEX($C$5:$C320,317-MA_SHORT):$C320),"")</f>
        <v>6203.2</v>
      </c>
      <c r="J320" s="52" t="n">
        <f aca="false">IF(AND(ISNUMBER($G320),$G320&gt;=MA_MED),AVERAGE(INDEX($C$5:$C320,317-MA_MED):$C320),"")</f>
        <v>5943.3</v>
      </c>
      <c r="K320" s="52" t="n">
        <f aca="false">IF(AND(ISNUMBER($G320),$G320&gt;=MA_LONG2),AVERAGE(INDEX($C$5:$C320,317-MA_LONG2):$C320),"")</f>
        <v>5065.505</v>
      </c>
      <c r="L320" s="53" t="n">
        <f aca="false">IF(AND(ISNUMBER($G320),$G320&gt;=21),STDEV(INDEX($H$260:$H320,62-20):$H320)*SQRT(245),"")</f>
        <v>0.212417873319697</v>
      </c>
      <c r="M320" s="52" t="n">
        <f aca="false">IF(AND(ISNUMBER($G320),$G320&gt;=60),MAX(INDEX($D$120:$D320,202-60):$D320),"")</f>
        <v>6503</v>
      </c>
      <c r="N320" s="52" t="n">
        <f aca="false">IF(AND(ISNUMBER($G320),$G320&gt;=60),MIN(INDEX($E$120:$E320,202-60):$E320),"")</f>
        <v>5134</v>
      </c>
      <c r="O320" s="53" t="n">
        <f aca="false">IF(OR(NOT(ISNUMBER($C320)),NOT(ISNUMBER($M320)),$M320=0),"",$C320/$M320-1)</f>
        <v>-0.0293710595109949</v>
      </c>
    </row>
    <row r="321" customFormat="false" ht="15" hidden="false" customHeight="false" outlineLevel="0" collapsed="false">
      <c r="A321" s="47" t="n">
        <v>46012</v>
      </c>
      <c r="B321" s="48" t="s">
        <v>469</v>
      </c>
      <c r="C321" s="49" t="n">
        <v>6357</v>
      </c>
      <c r="D321" s="49" t="n">
        <v>6419</v>
      </c>
      <c r="E321" s="49" t="n">
        <v>6345</v>
      </c>
      <c r="F321" s="49" t="n">
        <v>0</v>
      </c>
      <c r="G321" s="50" t="n">
        <f aca="false">IF($A321="","",IF(ISNUMBER($G320),$G320+1,1))</f>
        <v>317</v>
      </c>
      <c r="H321" s="51" t="n">
        <f aca="false">IF(OR(NOT(ISNUMBER($G321)),$G321&lt;2,NOT(ISNUMBER($C320)),$C320=0),"",$C321/$C320-1)</f>
        <v>0.00712927756653992</v>
      </c>
      <c r="I321" s="52" t="n">
        <f aca="false">IF(AND(ISNUMBER($G321),$G321&gt;=MA_SHORT),AVERAGE(INDEX($C$5:$C321,318-MA_SHORT):$C321),"")</f>
        <v>6228.4</v>
      </c>
      <c r="J321" s="52" t="n">
        <f aca="false">IF(AND(ISNUMBER($G321),$G321&gt;=MA_MED),AVERAGE(INDEX($C$5:$C321,318-MA_MED):$C321),"")</f>
        <v>5962.74</v>
      </c>
      <c r="K321" s="52" t="n">
        <f aca="false">IF(AND(ISNUMBER($G321),$G321&gt;=MA_LONG2),AVERAGE(INDEX($C$5:$C321,318-MA_LONG2):$C321),"")</f>
        <v>5078.6</v>
      </c>
      <c r="L321" s="53" t="n">
        <f aca="false">IF(AND(ISNUMBER($G321),$G321&gt;=21),STDEV(INDEX($H$261:$H321,62-20):$H321)*SQRT(245),"")</f>
        <v>0.21259678838554</v>
      </c>
      <c r="M321" s="52" t="n">
        <f aca="false">IF(AND(ISNUMBER($G321),$G321&gt;=60),MAX(INDEX($D$121:$D321,202-60):$D321),"")</f>
        <v>6503</v>
      </c>
      <c r="N321" s="52" t="n">
        <f aca="false">IF(AND(ISNUMBER($G321),$G321&gt;=60),MIN(INDEX($E$121:$E321,202-60):$E321),"")</f>
        <v>5215</v>
      </c>
      <c r="O321" s="53" t="n">
        <f aca="false">IF(OR(NOT(ISNUMBER($C321)),NOT(ISNUMBER($M321)),$M321=0),"",$C321/$M321-1)</f>
        <v>-0.0224511763801323</v>
      </c>
    </row>
    <row r="322" customFormat="false" ht="15" hidden="false" customHeight="false" outlineLevel="0" collapsed="false">
      <c r="A322" s="47" t="n">
        <v>46013</v>
      </c>
      <c r="B322" s="48" t="s">
        <v>470</v>
      </c>
      <c r="C322" s="49" t="n">
        <v>6481</v>
      </c>
      <c r="D322" s="49" t="n">
        <v>6503</v>
      </c>
      <c r="E322" s="49" t="n">
        <v>6415</v>
      </c>
      <c r="F322" s="49" t="n">
        <v>0</v>
      </c>
      <c r="G322" s="50" t="n">
        <f aca="false">IF($A322="","",IF(ISNUMBER($G321),$G321+1,1))</f>
        <v>318</v>
      </c>
      <c r="H322" s="51" t="n">
        <f aca="false">IF(OR(NOT(ISNUMBER($G322)),$G322&lt;2,NOT(ISNUMBER($C321)),$C321=0),"",$C322/$C321-1)</f>
        <v>0.0195060563158722</v>
      </c>
      <c r="I322" s="52" t="n">
        <f aca="false">IF(AND(ISNUMBER($G322),$G322&gt;=MA_SHORT),AVERAGE(INDEX($C$5:$C322,319-MA_SHORT):$C322),"")</f>
        <v>6255.95</v>
      </c>
      <c r="J322" s="52" t="n">
        <f aca="false">IF(AND(ISNUMBER($G322),$G322&gt;=MA_MED),AVERAGE(INDEX($C$5:$C322,319-MA_MED):$C322),"")</f>
        <v>5984.76</v>
      </c>
      <c r="K322" s="52" t="n">
        <f aca="false">IF(AND(ISNUMBER($G322),$G322&gt;=MA_LONG2),AVERAGE(INDEX($C$5:$C322,319-MA_LONG2):$C322),"")</f>
        <v>5092.175</v>
      </c>
      <c r="L322" s="53" t="n">
        <f aca="false">IF(AND(ISNUMBER($G322),$G322&gt;=21),STDEV(INDEX($H$262:$H322,62-20):$H322)*SQRT(245),"")</f>
        <v>0.217149343822105</v>
      </c>
      <c r="M322" s="52" t="n">
        <f aca="false">IF(AND(ISNUMBER($G322),$G322&gt;=60),MAX(INDEX($D$122:$D322,202-60):$D322),"")</f>
        <v>6503</v>
      </c>
      <c r="N322" s="52" t="n">
        <f aca="false">IF(AND(ISNUMBER($G322),$G322&gt;=60),MIN(INDEX($E$122:$E322,202-60):$E322),"")</f>
        <v>5229</v>
      </c>
      <c r="O322" s="53" t="n">
        <f aca="false">IF(OR(NOT(ISNUMBER($C322)),NOT(ISNUMBER($M322)),$M322=0),"",$C322/$M322-1)</f>
        <v>-0.00338305397508842</v>
      </c>
    </row>
    <row r="323" customFormat="false" ht="15" hidden="false" customHeight="false" outlineLevel="0" collapsed="false">
      <c r="A323" s="47" t="n">
        <v>46014</v>
      </c>
      <c r="B323" s="48" t="s">
        <v>471</v>
      </c>
      <c r="C323" s="49" t="n">
        <v>6559</v>
      </c>
      <c r="D323" s="49" t="n">
        <v>6591</v>
      </c>
      <c r="E323" s="49" t="n">
        <v>6558</v>
      </c>
      <c r="F323" s="49" t="n">
        <v>0</v>
      </c>
      <c r="G323" s="50" t="n">
        <f aca="false">IF($A323="","",IF(ISNUMBER($G322),$G322+1,1))</f>
        <v>319</v>
      </c>
      <c r="H323" s="51" t="n">
        <f aca="false">IF(OR(NOT(ISNUMBER($G323)),$G323&lt;2,NOT(ISNUMBER($C322)),$C322=0),"",$C323/$C322-1)</f>
        <v>0.0120351797562104</v>
      </c>
      <c r="I323" s="52" t="n">
        <f aca="false">IF(AND(ISNUMBER($G323),$G323&gt;=MA_SHORT),AVERAGE(INDEX($C$5:$C323,320-MA_SHORT):$C323),"")</f>
        <v>6290.45</v>
      </c>
      <c r="J323" s="52" t="n">
        <f aca="false">IF(AND(ISNUMBER($G323),$G323&gt;=MA_MED),AVERAGE(INDEX($C$5:$C323,320-MA_MED):$C323),"")</f>
        <v>6006.54</v>
      </c>
      <c r="K323" s="52" t="n">
        <f aca="false">IF(AND(ISNUMBER($G323),$G323&gt;=MA_LONG2),AVERAGE(INDEX($C$5:$C323,320-MA_LONG2):$C323),"")</f>
        <v>5106.15</v>
      </c>
      <c r="L323" s="53" t="n">
        <f aca="false">IF(AND(ISNUMBER($G323),$G323&gt;=21),STDEV(INDEX($H$263:$H323,62-20):$H323)*SQRT(245),"")</f>
        <v>0.211471648522584</v>
      </c>
      <c r="M323" s="52" t="n">
        <f aca="false">IF(AND(ISNUMBER($G323),$G323&gt;=60),MAX(INDEX($D$123:$D323,202-60):$D323),"")</f>
        <v>6591</v>
      </c>
      <c r="N323" s="52" t="n">
        <f aca="false">IF(AND(ISNUMBER($G323),$G323&gt;=60),MIN(INDEX($E$123:$E323,202-60):$E323),"")</f>
        <v>5232</v>
      </c>
      <c r="O323" s="53" t="n">
        <f aca="false">IF(OR(NOT(ISNUMBER($C323)),NOT(ISNUMBER($M323)),$M323=0),"",$C323/$M323-1)</f>
        <v>-0.00485510544682144</v>
      </c>
    </row>
    <row r="324" customFormat="false" ht="15" hidden="false" customHeight="false" outlineLevel="0" collapsed="false">
      <c r="A324" s="47" t="n">
        <v>46015</v>
      </c>
      <c r="B324" s="48" t="s">
        <v>472</v>
      </c>
      <c r="C324" s="49" t="n">
        <v>6489</v>
      </c>
      <c r="D324" s="49" t="n">
        <v>6525</v>
      </c>
      <c r="E324" s="49" t="n">
        <v>6477</v>
      </c>
      <c r="F324" s="49" t="n">
        <v>0</v>
      </c>
      <c r="G324" s="50" t="n">
        <f aca="false">IF($A324="","",IF(ISNUMBER($G323),$G323+1,1))</f>
        <v>320</v>
      </c>
      <c r="H324" s="51" t="n">
        <f aca="false">IF(OR(NOT(ISNUMBER($G324)),$G324&lt;2,NOT(ISNUMBER($C323)),$C323=0),"",$C324/$C323-1)</f>
        <v>-0.0106723585912487</v>
      </c>
      <c r="I324" s="52" t="n">
        <f aca="false">IF(AND(ISNUMBER($G324),$G324&gt;=MA_SHORT),AVERAGE(INDEX($C$5:$C324,321-MA_SHORT):$C324),"")</f>
        <v>6319.1</v>
      </c>
      <c r="J324" s="52" t="n">
        <f aca="false">IF(AND(ISNUMBER($G324),$G324&gt;=MA_MED),AVERAGE(INDEX($C$5:$C324,321-MA_MED):$C324),"")</f>
        <v>6024.64</v>
      </c>
      <c r="K324" s="52" t="n">
        <f aca="false">IF(AND(ISNUMBER($G324),$G324&gt;=MA_LONG2),AVERAGE(INDEX($C$5:$C324,321-MA_LONG2):$C324),"")</f>
        <v>5119.27</v>
      </c>
      <c r="L324" s="53" t="n">
        <f aca="false">IF(AND(ISNUMBER($G324),$G324&gt;=21),STDEV(INDEX($H$264:$H324,62-20):$H324)*SQRT(245),"")</f>
        <v>0.218777599875219</v>
      </c>
      <c r="M324" s="52" t="n">
        <f aca="false">IF(AND(ISNUMBER($G324),$G324&gt;=60),MAX(INDEX($D$124:$D324,202-60):$D324),"")</f>
        <v>6591</v>
      </c>
      <c r="N324" s="52" t="n">
        <f aca="false">IF(AND(ISNUMBER($G324),$G324&gt;=60),MIN(INDEX($E$124:$E324,202-60):$E324),"")</f>
        <v>5262</v>
      </c>
      <c r="O324" s="53" t="n">
        <f aca="false">IF(OR(NOT(ISNUMBER($C324)),NOT(ISNUMBER($M324)),$M324=0),"",$C324/$M324-1)</f>
        <v>-0.0154756486117433</v>
      </c>
    </row>
    <row r="325" customFormat="false" ht="15" hidden="false" customHeight="false" outlineLevel="0" collapsed="false">
      <c r="A325" s="47" t="n">
        <v>46018</v>
      </c>
      <c r="B325" s="48" t="s">
        <v>473</v>
      </c>
      <c r="C325" s="49" t="n">
        <v>6677</v>
      </c>
      <c r="D325" s="49" t="n">
        <v>6685</v>
      </c>
      <c r="E325" s="49" t="n">
        <v>6630</v>
      </c>
      <c r="F325" s="49" t="n">
        <v>0</v>
      </c>
      <c r="G325" s="50" t="n">
        <f aca="false">IF($A325="","",IF(ISNUMBER($G324),$G324+1,1))</f>
        <v>321</v>
      </c>
      <c r="H325" s="51" t="n">
        <f aca="false">IF(OR(NOT(ISNUMBER($G325)),$G325&lt;2,NOT(ISNUMBER($C324)),$C324=0),"",$C325/$C324-1)</f>
        <v>0.0289721066420097</v>
      </c>
      <c r="I325" s="52" t="n">
        <f aca="false">IF(AND(ISNUMBER($G325),$G325&gt;=MA_SHORT),AVERAGE(INDEX($C$5:$C325,322-MA_SHORT):$C325),"")</f>
        <v>6346.35</v>
      </c>
      <c r="J325" s="52" t="n">
        <f aca="false">IF(AND(ISNUMBER($G325),$G325&gt;=MA_MED),AVERAGE(INDEX($C$5:$C325,322-MA_MED):$C325),"")</f>
        <v>6046.24</v>
      </c>
      <c r="K325" s="52" t="n">
        <f aca="false">IF(AND(ISNUMBER($G325),$G325&gt;=MA_LONG2),AVERAGE(INDEX($C$5:$C325,322-MA_LONG2):$C325),"")</f>
        <v>5133.455</v>
      </c>
      <c r="L325" s="53" t="n">
        <f aca="false">IF(AND(ISNUMBER($G325),$G325&gt;=21),STDEV(INDEX($H$265:$H325,62-20):$H325)*SQRT(245),"")</f>
        <v>0.205863793115042</v>
      </c>
      <c r="M325" s="52" t="n">
        <f aca="false">IF(AND(ISNUMBER($G325),$G325&gt;=60),MAX(INDEX($D$125:$D325,202-60):$D325),"")</f>
        <v>6685</v>
      </c>
      <c r="N325" s="52" t="n">
        <f aca="false">IF(AND(ISNUMBER($G325),$G325&gt;=60),MIN(INDEX($E$125:$E325,202-60):$E325),"")</f>
        <v>5280</v>
      </c>
      <c r="O325" s="53" t="n">
        <f aca="false">IF(OR(NOT(ISNUMBER($C325)),NOT(ISNUMBER($M325)),$M325=0),"",$C325/$M325-1)</f>
        <v>-0.00119670905011215</v>
      </c>
    </row>
    <row r="326" customFormat="false" ht="15" hidden="false" customHeight="false" outlineLevel="0" collapsed="false">
      <c r="A326" s="47" t="n">
        <v>46019</v>
      </c>
      <c r="B326" s="48" t="s">
        <v>474</v>
      </c>
      <c r="C326" s="49" t="n">
        <v>6664</v>
      </c>
      <c r="D326" s="49" t="n">
        <v>6668</v>
      </c>
      <c r="E326" s="49" t="n">
        <v>6653</v>
      </c>
      <c r="F326" s="49" t="n">
        <v>0</v>
      </c>
      <c r="G326" s="50" t="n">
        <f aca="false">IF($A326="","",IF(ISNUMBER($G325),$G325+1,1))</f>
        <v>322</v>
      </c>
      <c r="H326" s="51" t="n">
        <f aca="false">IF(OR(NOT(ISNUMBER($G326)),$G326&lt;2,NOT(ISNUMBER($C325)),$C325=0),"",$C326/$C325-1)</f>
        <v>-0.00194698217762468</v>
      </c>
      <c r="I326" s="52" t="n">
        <f aca="false">IF(AND(ISNUMBER($G326),$G326&gt;=MA_SHORT),AVERAGE(INDEX($C$5:$C326,323-MA_SHORT):$C326),"")</f>
        <v>6371</v>
      </c>
      <c r="J326" s="52" t="n">
        <f aca="false">IF(AND(ISNUMBER($G326),$G326&gt;=MA_MED),AVERAGE(INDEX($C$5:$C326,323-MA_MED):$C326),"")</f>
        <v>6067.76</v>
      </c>
      <c r="K326" s="52" t="n">
        <f aca="false">IF(AND(ISNUMBER($G326),$G326&gt;=MA_LONG2),AVERAGE(INDEX($C$5:$C326,323-MA_LONG2):$C326),"")</f>
        <v>5147.91</v>
      </c>
      <c r="L326" s="53" t="n">
        <f aca="false">IF(AND(ISNUMBER($G326),$G326&gt;=21),STDEV(INDEX($H$266:$H326,62-20):$H326)*SQRT(245),"")</f>
        <v>0.206867918361915</v>
      </c>
      <c r="M326" s="52" t="n">
        <f aca="false">IF(AND(ISNUMBER($G326),$G326&gt;=60),MAX(INDEX($D$126:$D326,202-60):$D326),"")</f>
        <v>6685</v>
      </c>
      <c r="N326" s="52" t="n">
        <f aca="false">IF(AND(ISNUMBER($G326),$G326&gt;=60),MIN(INDEX($E$126:$E326,202-60):$E326),"")</f>
        <v>5343</v>
      </c>
      <c r="O326" s="53" t="n">
        <f aca="false">IF(OR(NOT(ISNUMBER($C326)),NOT(ISNUMBER($M326)),$M326=0),"",$C326/$M326-1)</f>
        <v>-0.00314136125654452</v>
      </c>
    </row>
    <row r="327" customFormat="false" ht="15" hidden="false" customHeight="false" outlineLevel="0" collapsed="false">
      <c r="A327" s="47" t="n">
        <v>46020</v>
      </c>
      <c r="B327" s="48" t="s">
        <v>475</v>
      </c>
      <c r="C327" s="49" t="n">
        <v>6626</v>
      </c>
      <c r="D327" s="49" t="n">
        <v>6682</v>
      </c>
      <c r="E327" s="49" t="n">
        <v>6616</v>
      </c>
      <c r="F327" s="49" t="n">
        <v>0</v>
      </c>
      <c r="G327" s="50" t="n">
        <f aca="false">IF($A327="","",IF(ISNUMBER($G326),$G326+1,1))</f>
        <v>323</v>
      </c>
      <c r="H327" s="51" t="n">
        <f aca="false">IF(OR(NOT(ISNUMBER($G327)),$G327&lt;2,NOT(ISNUMBER($C326)),$C326=0),"",$C327/$C326-1)</f>
        <v>-0.00570228091236491</v>
      </c>
      <c r="I327" s="52" t="n">
        <f aca="false">IF(AND(ISNUMBER($G327),$G327&gt;=MA_SHORT),AVERAGE(INDEX($C$5:$C327,324-MA_SHORT):$C327),"")</f>
        <v>6388.1</v>
      </c>
      <c r="J327" s="52" t="n">
        <f aca="false">IF(AND(ISNUMBER($G327),$G327&gt;=MA_MED),AVERAGE(INDEX($C$5:$C327,324-MA_MED):$C327),"")</f>
        <v>6087.46</v>
      </c>
      <c r="K327" s="52" t="n">
        <f aca="false">IF(AND(ISNUMBER($G327),$G327&gt;=MA_LONG2),AVERAGE(INDEX($C$5:$C327,324-MA_LONG2):$C327),"")</f>
        <v>5161.985</v>
      </c>
      <c r="L327" s="53" t="n">
        <f aca="false">IF(AND(ISNUMBER($G327),$G327&gt;=21),STDEV(INDEX($H$267:$H327,62-20):$H327)*SQRT(245),"")</f>
        <v>0.202371035026187</v>
      </c>
      <c r="M327" s="52" t="n">
        <f aca="false">IF(AND(ISNUMBER($G327),$G327&gt;=60),MAX(INDEX($D$127:$D327,202-60):$D327),"")</f>
        <v>6685</v>
      </c>
      <c r="N327" s="52" t="n">
        <f aca="false">IF(AND(ISNUMBER($G327),$G327&gt;=60),MIN(INDEX($E$127:$E327,202-60):$E327),"")</f>
        <v>5343</v>
      </c>
      <c r="O327" s="53" t="n">
        <f aca="false">IF(OR(NOT(ISNUMBER($C327)),NOT(ISNUMBER($M327)),$M327=0),"",$C327/$M327-1)</f>
        <v>-0.00882572924457736</v>
      </c>
    </row>
    <row r="328" customFormat="false" ht="15" hidden="false" customHeight="false" outlineLevel="0" collapsed="false">
      <c r="A328" s="47" t="n">
        <v>46021</v>
      </c>
      <c r="B328" s="48" t="s">
        <v>476</v>
      </c>
      <c r="C328" s="49" t="n">
        <v>6538</v>
      </c>
      <c r="D328" s="49" t="n">
        <v>6551</v>
      </c>
      <c r="E328" s="49" t="n">
        <v>6504</v>
      </c>
      <c r="F328" s="49" t="n">
        <v>0</v>
      </c>
      <c r="G328" s="50" t="n">
        <f aca="false">IF($A328="","",IF(ISNUMBER($G327),$G327+1,1))</f>
        <v>324</v>
      </c>
      <c r="H328" s="51" t="n">
        <f aca="false">IF(OR(NOT(ISNUMBER($G328)),$G328&lt;2,NOT(ISNUMBER($C327)),$C327=0),"",$C328/$C327-1)</f>
        <v>-0.0132810141865379</v>
      </c>
      <c r="I328" s="52" t="n">
        <f aca="false">IF(AND(ISNUMBER($G328),$G328&gt;=MA_SHORT),AVERAGE(INDEX($C$5:$C328,325-MA_SHORT):$C328),"")</f>
        <v>6400.3</v>
      </c>
      <c r="J328" s="52" t="n">
        <f aca="false">IF(AND(ISNUMBER($G328),$G328&gt;=MA_MED),AVERAGE(INDEX($C$5:$C328,325-MA_MED):$C328),"")</f>
        <v>6103.9</v>
      </c>
      <c r="K328" s="52" t="n">
        <f aca="false">IF(AND(ISNUMBER($G328),$G328&gt;=MA_LONG2),AVERAGE(INDEX($C$5:$C328,325-MA_LONG2):$C328),"")</f>
        <v>5175.175</v>
      </c>
      <c r="L328" s="53" t="n">
        <f aca="false">IF(AND(ISNUMBER($G328),$G328&gt;=21),STDEV(INDEX($H$268:$H328,62-20):$H328)*SQRT(245),"")</f>
        <v>0.21000317539919</v>
      </c>
      <c r="M328" s="52" t="n">
        <f aca="false">IF(AND(ISNUMBER($G328),$G328&gt;=60),MAX(INDEX($D$128:$D328,202-60):$D328),"")</f>
        <v>6685</v>
      </c>
      <c r="N328" s="52" t="n">
        <f aca="false">IF(AND(ISNUMBER($G328),$G328&gt;=60),MIN(INDEX($E$128:$E328,202-60):$E328),"")</f>
        <v>5343</v>
      </c>
      <c r="O328" s="53" t="n">
        <f aca="false">IF(OR(NOT(ISNUMBER($C328)),NOT(ISNUMBER($M328)),$M328=0),"",$C328/$M328-1)</f>
        <v>-0.0219895287958115</v>
      </c>
    </row>
    <row r="329" customFormat="false" ht="15" hidden="false" customHeight="false" outlineLevel="0" collapsed="false">
      <c r="A329" s="47" t="n">
        <v>46022</v>
      </c>
      <c r="B329" s="48" t="s">
        <v>477</v>
      </c>
      <c r="C329" s="49" t="n">
        <v>6515</v>
      </c>
      <c r="D329" s="49" t="n">
        <v>6527</v>
      </c>
      <c r="E329" s="49" t="n">
        <v>6482</v>
      </c>
      <c r="F329" s="49" t="n">
        <v>0</v>
      </c>
      <c r="G329" s="50" t="n">
        <f aca="false">IF($A329="","",IF(ISNUMBER($G328),$G328+1,1))</f>
        <v>325</v>
      </c>
      <c r="H329" s="51" t="n">
        <f aca="false">IF(OR(NOT(ISNUMBER($G329)),$G329&lt;2,NOT(ISNUMBER($C328)),$C328=0),"",$C329/$C328-1)</f>
        <v>-0.00351789538085046</v>
      </c>
      <c r="I329" s="52" t="n">
        <f aca="false">IF(AND(ISNUMBER($G329),$G329&gt;=MA_SHORT),AVERAGE(INDEX($C$5:$C329,326-MA_SHORT):$C329),"")</f>
        <v>6408.05</v>
      </c>
      <c r="J329" s="52" t="n">
        <f aca="false">IF(AND(ISNUMBER($G329),$G329&gt;=MA_MED),AVERAGE(INDEX($C$5:$C329,326-MA_MED):$C329),"")</f>
        <v>6119.68</v>
      </c>
      <c r="K329" s="52" t="n">
        <f aca="false">IF(AND(ISNUMBER($G329),$G329&gt;=MA_LONG2),AVERAGE(INDEX($C$5:$C329,326-MA_LONG2):$C329),"")</f>
        <v>5188.53</v>
      </c>
      <c r="L329" s="53" t="n">
        <f aca="false">IF(AND(ISNUMBER($G329),$G329&gt;=21),STDEV(INDEX($H$269:$H329,62-20):$H329)*SQRT(245),"")</f>
        <v>0.208410483484212</v>
      </c>
      <c r="M329" s="52" t="n">
        <f aca="false">IF(AND(ISNUMBER($G329),$G329&gt;=60),MAX(INDEX($D$129:$D329,202-60):$D329),"")</f>
        <v>6685</v>
      </c>
      <c r="N329" s="52" t="n">
        <f aca="false">IF(AND(ISNUMBER($G329),$G329&gt;=60),MIN(INDEX($E$129:$E329,202-60):$E329),"")</f>
        <v>5343</v>
      </c>
      <c r="O329" s="53" t="n">
        <f aca="false">IF(OR(NOT(ISNUMBER($C329)),NOT(ISNUMBER($M329)),$M329=0),"",$C329/$M329-1)</f>
        <v>-0.0254300673148841</v>
      </c>
    </row>
    <row r="330" customFormat="false" ht="15" hidden="false" customHeight="false" outlineLevel="0" collapsed="false">
      <c r="A330" s="47" t="n">
        <v>46025</v>
      </c>
      <c r="B330" s="48" t="s">
        <v>478</v>
      </c>
      <c r="C330" s="49" t="n">
        <v>6540</v>
      </c>
      <c r="D330" s="49" t="n">
        <v>6557</v>
      </c>
      <c r="E330" s="49" t="n">
        <v>6504</v>
      </c>
      <c r="F330" s="49" t="n">
        <v>0</v>
      </c>
      <c r="G330" s="50" t="n">
        <f aca="false">IF($A330="","",IF(ISNUMBER($G329),$G329+1,1))</f>
        <v>326</v>
      </c>
      <c r="H330" s="51" t="n">
        <f aca="false">IF(OR(NOT(ISNUMBER($G330)),$G330&lt;2,NOT(ISNUMBER($C329)),$C329=0),"",$C330/$C329-1)</f>
        <v>0.00383729854182646</v>
      </c>
      <c r="I330" s="52" t="n">
        <f aca="false">IF(AND(ISNUMBER($G330),$G330&gt;=MA_SHORT),AVERAGE(INDEX($C$5:$C330,327-MA_SHORT):$C330),"")</f>
        <v>6416.6</v>
      </c>
      <c r="J330" s="52" t="n">
        <f aca="false">IF(AND(ISNUMBER($G330),$G330&gt;=MA_MED),AVERAGE(INDEX($C$5:$C330,327-MA_MED):$C330),"")</f>
        <v>6135.3</v>
      </c>
      <c r="K330" s="52" t="n">
        <f aca="false">IF(AND(ISNUMBER($G330),$G330&gt;=MA_LONG2),AVERAGE(INDEX($C$5:$C330,327-MA_LONG2):$C330),"")</f>
        <v>5201.97</v>
      </c>
      <c r="L330" s="53" t="n">
        <f aca="false">IF(AND(ISNUMBER($G330),$G330&gt;=21),STDEV(INDEX($H$270:$H330,62-20):$H330)*SQRT(245),"")</f>
        <v>0.208601743517938</v>
      </c>
      <c r="M330" s="52" t="n">
        <f aca="false">IF(AND(ISNUMBER($G330),$G330&gt;=60),MAX(INDEX($D$130:$D330,202-60):$D330),"")</f>
        <v>6685</v>
      </c>
      <c r="N330" s="52" t="n">
        <f aca="false">IF(AND(ISNUMBER($G330),$G330&gt;=60),MIN(INDEX($E$130:$E330,202-60):$E330),"")</f>
        <v>5343</v>
      </c>
      <c r="O330" s="53" t="n">
        <f aca="false">IF(OR(NOT(ISNUMBER($C330)),NOT(ISNUMBER($M330)),$M330=0),"",$C330/$M330-1)</f>
        <v>-0.0216903515332835</v>
      </c>
    </row>
    <row r="331" customFormat="false" ht="15" hidden="false" customHeight="false" outlineLevel="0" collapsed="false">
      <c r="A331" s="47" t="n">
        <v>46026</v>
      </c>
      <c r="B331" s="48" t="s">
        <v>479</v>
      </c>
      <c r="C331" s="49" t="n">
        <v>6506</v>
      </c>
      <c r="D331" s="49" t="n">
        <v>6533</v>
      </c>
      <c r="E331" s="49" t="n">
        <v>6505</v>
      </c>
      <c r="F331" s="49" t="n">
        <v>0</v>
      </c>
      <c r="G331" s="50" t="n">
        <f aca="false">IF($A331="","",IF(ISNUMBER($G330),$G330+1,1))</f>
        <v>327</v>
      </c>
      <c r="H331" s="51" t="n">
        <f aca="false">IF(OR(NOT(ISNUMBER($G331)),$G331&lt;2,NOT(ISNUMBER($C330)),$C330=0),"",$C331/$C330-1)</f>
        <v>-0.00519877675840974</v>
      </c>
      <c r="I331" s="52" t="n">
        <f aca="false">IF(AND(ISNUMBER($G331),$G331&gt;=MA_SHORT),AVERAGE(INDEX($C$5:$C331,328-MA_SHORT):$C331),"")</f>
        <v>6417.7</v>
      </c>
      <c r="J331" s="52" t="n">
        <f aca="false">IF(AND(ISNUMBER($G331),$G331&gt;=MA_MED),AVERAGE(INDEX($C$5:$C331,328-MA_MED):$C331),"")</f>
        <v>6147.98</v>
      </c>
      <c r="K331" s="52" t="n">
        <f aca="false">IF(AND(ISNUMBER($G331),$G331&gt;=MA_LONG2),AVERAGE(INDEX($C$5:$C331,328-MA_LONG2):$C331),"")</f>
        <v>5215.415</v>
      </c>
      <c r="L331" s="53" t="n">
        <f aca="false">IF(AND(ISNUMBER($G331),$G331&gt;=21),STDEV(INDEX($H$271:$H331,62-20):$H331)*SQRT(245),"")</f>
        <v>0.200389868699913</v>
      </c>
      <c r="M331" s="52" t="n">
        <f aca="false">IF(AND(ISNUMBER($G331),$G331&gt;=60),MAX(INDEX($D$131:$D331,202-60):$D331),"")</f>
        <v>6685</v>
      </c>
      <c r="N331" s="52" t="n">
        <f aca="false">IF(AND(ISNUMBER($G331),$G331&gt;=60),MIN(INDEX($E$131:$E331,202-60):$E331),"")</f>
        <v>5371</v>
      </c>
      <c r="O331" s="53" t="n">
        <f aca="false">IF(OR(NOT(ISNUMBER($C331)),NOT(ISNUMBER($M331)),$M331=0),"",$C331/$M331-1)</f>
        <v>-0.0267763649962602</v>
      </c>
    </row>
    <row r="332" customFormat="false" ht="15" hidden="false" customHeight="false" outlineLevel="0" collapsed="false">
      <c r="A332" s="47" t="n">
        <v>46027</v>
      </c>
      <c r="B332" s="48" t="s">
        <v>480</v>
      </c>
      <c r="C332" s="49" t="n">
        <v>6320</v>
      </c>
      <c r="D332" s="49" t="n">
        <v>6326</v>
      </c>
      <c r="E332" s="49" t="n">
        <v>6291</v>
      </c>
      <c r="F332" s="49" t="n">
        <v>0</v>
      </c>
      <c r="G332" s="50" t="n">
        <f aca="false">IF($A332="","",IF(ISNUMBER($G331),$G331+1,1))</f>
        <v>328</v>
      </c>
      <c r="H332" s="51" t="n">
        <f aca="false">IF(OR(NOT(ISNUMBER($G332)),$G332&lt;2,NOT(ISNUMBER($C331)),$C331=0),"",$C332/$C331-1)</f>
        <v>-0.0285889947740547</v>
      </c>
      <c r="I332" s="52" t="n">
        <f aca="false">IF(AND(ISNUMBER($G332),$G332&gt;=MA_SHORT),AVERAGE(INDEX($C$5:$C332,329-MA_SHORT):$C332),"")</f>
        <v>6415.05</v>
      </c>
      <c r="J332" s="52" t="n">
        <f aca="false">IF(AND(ISNUMBER($G332),$G332&gt;=MA_MED),AVERAGE(INDEX($C$5:$C332,329-MA_MED):$C332),"")</f>
        <v>6158</v>
      </c>
      <c r="K332" s="52" t="n">
        <f aca="false">IF(AND(ISNUMBER($G332),$G332&gt;=MA_LONG2),AVERAGE(INDEX($C$5:$C332,329-MA_LONG2):$C332),"")</f>
        <v>5227.935</v>
      </c>
      <c r="L332" s="53" t="n">
        <f aca="false">IF(AND(ISNUMBER($G332),$G332&gt;=21),STDEV(INDEX($H$272:$H332,62-20):$H332)*SQRT(245),"")</f>
        <v>0.216574944104858</v>
      </c>
      <c r="M332" s="52" t="n">
        <f aca="false">IF(AND(ISNUMBER($G332),$G332&gt;=60),MAX(INDEX($D$132:$D332,202-60):$D332),"")</f>
        <v>6685</v>
      </c>
      <c r="N332" s="52" t="n">
        <f aca="false">IF(AND(ISNUMBER($G332),$G332&gt;=60),MIN(INDEX($E$132:$E332,202-60):$E332),"")</f>
        <v>5449</v>
      </c>
      <c r="O332" s="53" t="n">
        <f aca="false">IF(OR(NOT(ISNUMBER($C332)),NOT(ISNUMBER($M332)),$M332=0),"",$C332/$M332-1)</f>
        <v>-0.0545998504113687</v>
      </c>
    </row>
    <row r="333" customFormat="false" ht="15" hidden="false" customHeight="false" outlineLevel="0" collapsed="false">
      <c r="A333" s="47" t="n">
        <v>46028</v>
      </c>
      <c r="B333" s="48" t="s">
        <v>481</v>
      </c>
      <c r="C333" s="49" t="n">
        <v>6416</v>
      </c>
      <c r="D333" s="49" t="n">
        <v>6419</v>
      </c>
      <c r="E333" s="49" t="n">
        <v>6383</v>
      </c>
      <c r="F333" s="49" t="n">
        <v>0</v>
      </c>
      <c r="G333" s="50" t="n">
        <f aca="false">IF($A333="","",IF(ISNUMBER($G332),$G332+1,1))</f>
        <v>329</v>
      </c>
      <c r="H333" s="51" t="n">
        <f aca="false">IF(OR(NOT(ISNUMBER($G333)),$G333&lt;2,NOT(ISNUMBER($C332)),$C332=0),"",$C333/$C332-1)</f>
        <v>0.0151898734177216</v>
      </c>
      <c r="I333" s="52" t="n">
        <f aca="false">IF(AND(ISNUMBER($G333),$G333&gt;=MA_SHORT),AVERAGE(INDEX($C$5:$C333,330-MA_SHORT):$C333),"")</f>
        <v>6418.75</v>
      </c>
      <c r="J333" s="52" t="n">
        <f aca="false">IF(AND(ISNUMBER($G333),$G333&gt;=MA_MED),AVERAGE(INDEX($C$5:$C333,330-MA_MED):$C333),"")</f>
        <v>6169.4</v>
      </c>
      <c r="K333" s="52" t="n">
        <f aca="false">IF(AND(ISNUMBER($G333),$G333&gt;=MA_LONG2),AVERAGE(INDEX($C$5:$C333,330-MA_LONG2):$C333),"")</f>
        <v>5240.83</v>
      </c>
      <c r="L333" s="53" t="n">
        <f aca="false">IF(AND(ISNUMBER($G333),$G333&gt;=21),STDEV(INDEX($H$273:$H333,62-20):$H333)*SQRT(245),"")</f>
        <v>0.222450648868197</v>
      </c>
      <c r="M333" s="52" t="n">
        <f aca="false">IF(AND(ISNUMBER($G333),$G333&gt;=60),MAX(INDEX($D$133:$D333,202-60):$D333),"")</f>
        <v>6685</v>
      </c>
      <c r="N333" s="52" t="n">
        <f aca="false">IF(AND(ISNUMBER($G333),$G333&gt;=60),MIN(INDEX($E$133:$E333,202-60):$E333),"")</f>
        <v>5534</v>
      </c>
      <c r="O333" s="53" t="n">
        <f aca="false">IF(OR(NOT(ISNUMBER($C333)),NOT(ISNUMBER($M333)),$M333=0),"",$C333/$M333-1)</f>
        <v>-0.0402393418100224</v>
      </c>
    </row>
    <row r="334" customFormat="false" ht="15" hidden="false" customHeight="false" outlineLevel="0" collapsed="false">
      <c r="A334" s="47" t="n">
        <v>46029</v>
      </c>
      <c r="B334" s="48" t="s">
        <v>482</v>
      </c>
      <c r="C334" s="49" t="n">
        <v>6426</v>
      </c>
      <c r="D334" s="49" t="n">
        <v>6454</v>
      </c>
      <c r="E334" s="49" t="n">
        <v>6418</v>
      </c>
      <c r="F334" s="49" t="n">
        <v>0</v>
      </c>
      <c r="G334" s="50" t="n">
        <f aca="false">IF($A334="","",IF(ISNUMBER($G333),$G333+1,1))</f>
        <v>330</v>
      </c>
      <c r="H334" s="51" t="n">
        <f aca="false">IF(OR(NOT(ISNUMBER($G334)),$G334&lt;2,NOT(ISNUMBER($C333)),$C333=0),"",$C334/$C333-1)</f>
        <v>0.00155860349127179</v>
      </c>
      <c r="I334" s="52" t="n">
        <f aca="false">IF(AND(ISNUMBER($G334),$G334&gt;=MA_SHORT),AVERAGE(INDEX($C$5:$C334,331-MA_SHORT):$C334),"")</f>
        <v>6422.6</v>
      </c>
      <c r="J334" s="52" t="n">
        <f aca="false">IF(AND(ISNUMBER($G334),$G334&gt;=MA_MED),AVERAGE(INDEX($C$5:$C334,331-MA_MED):$C334),"")</f>
        <v>6181.9</v>
      </c>
      <c r="K334" s="52" t="n">
        <f aca="false">IF(AND(ISNUMBER($G334),$G334&gt;=MA_LONG2),AVERAGE(INDEX($C$5:$C334,331-MA_LONG2):$C334),"")</f>
        <v>5253.915</v>
      </c>
      <c r="L334" s="53" t="n">
        <f aca="false">IF(AND(ISNUMBER($G334),$G334&gt;=21),STDEV(INDEX($H$274:$H334,62-20):$H334)*SQRT(245),"")</f>
        <v>0.222467611844052</v>
      </c>
      <c r="M334" s="52" t="n">
        <f aca="false">IF(AND(ISNUMBER($G334),$G334&gt;=60),MAX(INDEX($D$134:$D334,202-60):$D334),"")</f>
        <v>6685</v>
      </c>
      <c r="N334" s="52" t="n">
        <f aca="false">IF(AND(ISNUMBER($G334),$G334&gt;=60),MIN(INDEX($E$134:$E334,202-60):$E334),"")</f>
        <v>5534</v>
      </c>
      <c r="O334" s="53" t="n">
        <f aca="false">IF(OR(NOT(ISNUMBER($C334)),NOT(ISNUMBER($M334)),$M334=0),"",$C334/$M334-1)</f>
        <v>-0.0387434554973822</v>
      </c>
    </row>
    <row r="335" customFormat="false" ht="15" hidden="false" customHeight="false" outlineLevel="0" collapsed="false">
      <c r="A335" s="47" t="n">
        <v>46032</v>
      </c>
      <c r="B335" s="48" t="s">
        <v>483</v>
      </c>
      <c r="C335" s="49" t="n">
        <v>6341</v>
      </c>
      <c r="D335" s="49" t="n">
        <v>6356</v>
      </c>
      <c r="E335" s="49" t="n">
        <v>6323</v>
      </c>
      <c r="F335" s="49" t="n">
        <v>0</v>
      </c>
      <c r="G335" s="50" t="n">
        <f aca="false">IF($A335="","",IF(ISNUMBER($G334),$G334+1,1))</f>
        <v>331</v>
      </c>
      <c r="H335" s="51" t="n">
        <f aca="false">IF(OR(NOT(ISNUMBER($G335)),$G335&lt;2,NOT(ISNUMBER($C334)),$C334=0),"",$C335/$C334-1)</f>
        <v>-0.0132275132275133</v>
      </c>
      <c r="I335" s="52" t="n">
        <f aca="false">IF(AND(ISNUMBER($G335),$G335&gt;=MA_SHORT),AVERAGE(INDEX($C$5:$C335,332-MA_SHORT):$C335),"")</f>
        <v>6431.2</v>
      </c>
      <c r="J335" s="52" t="n">
        <f aca="false">IF(AND(ISNUMBER($G335),$G335&gt;=MA_MED),AVERAGE(INDEX($C$5:$C335,332-MA_MED):$C335),"")</f>
        <v>6192.14</v>
      </c>
      <c r="K335" s="52" t="n">
        <f aca="false">IF(AND(ISNUMBER($G335),$G335&gt;=MA_LONG2),AVERAGE(INDEX($C$5:$C335,332-MA_LONG2):$C335),"")</f>
        <v>5266.27</v>
      </c>
      <c r="L335" s="53" t="n">
        <f aca="false">IF(AND(ISNUMBER($G335),$G335&gt;=21),STDEV(INDEX($H$275:$H335,62-20):$H335)*SQRT(245),"")</f>
        <v>0.202394108827861</v>
      </c>
      <c r="M335" s="52" t="n">
        <f aca="false">IF(AND(ISNUMBER($G335),$G335&gt;=60),MAX(INDEX($D$135:$D335,202-60):$D335),"")</f>
        <v>6685</v>
      </c>
      <c r="N335" s="52" t="n">
        <f aca="false">IF(AND(ISNUMBER($G335),$G335&gt;=60),MIN(INDEX($E$135:$E335,202-60):$E335),"")</f>
        <v>5534</v>
      </c>
      <c r="O335" s="53" t="n">
        <f aca="false">IF(OR(NOT(ISNUMBER($C335)),NOT(ISNUMBER($M335)),$M335=0),"",$C335/$M335-1)</f>
        <v>-0.0514584891548242</v>
      </c>
    </row>
    <row r="336" customFormat="false" ht="15" hidden="false" customHeight="false" outlineLevel="0" collapsed="false">
      <c r="A336" s="47" t="n">
        <v>46033</v>
      </c>
      <c r="B336" s="48" t="s">
        <v>484</v>
      </c>
      <c r="C336" s="49" t="n">
        <v>6480</v>
      </c>
      <c r="D336" s="49" t="n">
        <v>6511</v>
      </c>
      <c r="E336" s="49" t="n">
        <v>6435</v>
      </c>
      <c r="F336" s="49" t="n">
        <v>0</v>
      </c>
      <c r="G336" s="50" t="n">
        <f aca="false">IF($A336="","",IF(ISNUMBER($G335),$G335+1,1))</f>
        <v>332</v>
      </c>
      <c r="H336" s="51" t="n">
        <f aca="false">IF(OR(NOT(ISNUMBER($G336)),$G336&lt;2,NOT(ISNUMBER($C335)),$C335=0),"",$C336/$C335-1)</f>
        <v>0.0219208326762341</v>
      </c>
      <c r="I336" s="52" t="n">
        <f aca="false">IF(AND(ISNUMBER($G336),$G336&gt;=MA_SHORT),AVERAGE(INDEX($C$5:$C336,333-MA_SHORT):$C336),"")</f>
        <v>6445.15</v>
      </c>
      <c r="J336" s="52" t="n">
        <f aca="false">IF(AND(ISNUMBER($G336),$G336&gt;=MA_MED),AVERAGE(INDEX($C$5:$C336,333-MA_MED):$C336),"")</f>
        <v>6205.2</v>
      </c>
      <c r="K336" s="52" t="n">
        <f aca="false">IF(AND(ISNUMBER($G336),$G336&gt;=MA_LONG2),AVERAGE(INDEX($C$5:$C336,333-MA_LONG2):$C336),"")</f>
        <v>5278.95</v>
      </c>
      <c r="L336" s="53" t="n">
        <f aca="false">IF(AND(ISNUMBER($G336),$G336&gt;=21),STDEV(INDEX($H$276:$H336,62-20):$H336)*SQRT(245),"")</f>
        <v>0.214485530463476</v>
      </c>
      <c r="M336" s="52" t="n">
        <f aca="false">IF(AND(ISNUMBER($G336),$G336&gt;=60),MAX(INDEX($D$136:$D336,202-60):$D336),"")</f>
        <v>6685</v>
      </c>
      <c r="N336" s="52" t="n">
        <f aca="false">IF(AND(ISNUMBER($G336),$G336&gt;=60),MIN(INDEX($E$136:$E336,202-60):$E336),"")</f>
        <v>5620</v>
      </c>
      <c r="O336" s="53" t="n">
        <f aca="false">IF(OR(NOT(ISNUMBER($C336)),NOT(ISNUMBER($M336)),$M336=0),"",$C336/$M336-1)</f>
        <v>-0.0306656694091249</v>
      </c>
    </row>
    <row r="337" customFormat="false" ht="15" hidden="false" customHeight="false" outlineLevel="0" collapsed="false">
      <c r="A337" s="47" t="n">
        <v>46034</v>
      </c>
      <c r="B337" s="48" t="s">
        <v>485</v>
      </c>
      <c r="C337" s="49" t="n">
        <v>6614</v>
      </c>
      <c r="D337" s="49" t="n">
        <v>6627</v>
      </c>
      <c r="E337" s="49" t="n">
        <v>6575</v>
      </c>
      <c r="F337" s="49" t="n">
        <v>0</v>
      </c>
      <c r="G337" s="50" t="n">
        <f aca="false">IF($A337="","",IF(ISNUMBER($G336),$G336+1,1))</f>
        <v>333</v>
      </c>
      <c r="H337" s="51" t="n">
        <f aca="false">IF(OR(NOT(ISNUMBER($G337)),$G337&lt;2,NOT(ISNUMBER($C336)),$C336=0),"",$C337/$C336-1)</f>
        <v>0.020679012345679</v>
      </c>
      <c r="I337" s="52" t="n">
        <f aca="false">IF(AND(ISNUMBER($G337),$G337&gt;=MA_SHORT),AVERAGE(INDEX($C$5:$C337,334-MA_SHORT):$C337),"")</f>
        <v>6466.95</v>
      </c>
      <c r="J337" s="52" t="n">
        <f aca="false">IF(AND(ISNUMBER($G337),$G337&gt;=MA_MED),AVERAGE(INDEX($C$5:$C337,334-MA_MED):$C337),"")</f>
        <v>6220.16</v>
      </c>
      <c r="K337" s="52" t="n">
        <f aca="false">IF(AND(ISNUMBER($G337),$G337&gt;=MA_LONG2),AVERAGE(INDEX($C$5:$C337,334-MA_LONG2):$C337),"")</f>
        <v>5292.29</v>
      </c>
      <c r="L337" s="53" t="n">
        <f aca="false">IF(AND(ISNUMBER($G337),$G337&gt;=21),STDEV(INDEX($H$277:$H337,62-20):$H337)*SQRT(245),"")</f>
        <v>0.222521147461745</v>
      </c>
      <c r="M337" s="52" t="n">
        <f aca="false">IF(AND(ISNUMBER($G337),$G337&gt;=60),MAX(INDEX($D$137:$D337,202-60):$D337),"")</f>
        <v>6685</v>
      </c>
      <c r="N337" s="52" t="n">
        <f aca="false">IF(AND(ISNUMBER($G337),$G337&gt;=60),MIN(INDEX($E$137:$E337,202-60):$E337),"")</f>
        <v>5698</v>
      </c>
      <c r="O337" s="53" t="n">
        <f aca="false">IF(OR(NOT(ISNUMBER($C337)),NOT(ISNUMBER($M337)),$M337=0),"",$C337/$M337-1)</f>
        <v>-0.0106207928197457</v>
      </c>
    </row>
    <row r="338" customFormat="false" ht="15" hidden="false" customHeight="false" outlineLevel="0" collapsed="false">
      <c r="A338" s="47" t="n">
        <v>46035</v>
      </c>
      <c r="B338" s="48" t="s">
        <v>486</v>
      </c>
      <c r="C338" s="49" t="n">
        <v>6715</v>
      </c>
      <c r="D338" s="49" t="n">
        <v>6720</v>
      </c>
      <c r="E338" s="49" t="n">
        <v>6709</v>
      </c>
      <c r="F338" s="49" t="n">
        <v>0</v>
      </c>
      <c r="G338" s="50" t="n">
        <f aca="false">IF($A338="","",IF(ISNUMBER($G337),$G337+1,1))</f>
        <v>334</v>
      </c>
      <c r="H338" s="51" t="n">
        <f aca="false">IF(OR(NOT(ISNUMBER($G338)),$G338&lt;2,NOT(ISNUMBER($C337)),$C337=0),"",$C338/$C337-1)</f>
        <v>0.0152706380405201</v>
      </c>
      <c r="I338" s="52" t="n">
        <f aca="false">IF(AND(ISNUMBER($G338),$G338&gt;=MA_SHORT),AVERAGE(INDEX($C$5:$C338,335-MA_SHORT):$C338),"")</f>
        <v>6491.95</v>
      </c>
      <c r="J338" s="52" t="n">
        <f aca="false">IF(AND(ISNUMBER($G338),$G338&gt;=MA_MED),AVERAGE(INDEX($C$5:$C338,335-MA_MED):$C338),"")</f>
        <v>6234.9</v>
      </c>
      <c r="K338" s="52" t="n">
        <f aca="false">IF(AND(ISNUMBER($G338),$G338&gt;=MA_LONG2),AVERAGE(INDEX($C$5:$C338,335-MA_LONG2):$C338),"")</f>
        <v>5306.16</v>
      </c>
      <c r="L338" s="53" t="n">
        <f aca="false">IF(AND(ISNUMBER($G338),$G338&gt;=21),STDEV(INDEX($H$278:$H338,62-20):$H338)*SQRT(245),"")</f>
        <v>0.226194692903298</v>
      </c>
      <c r="M338" s="52" t="n">
        <f aca="false">IF(AND(ISNUMBER($G338),$G338&gt;=60),MAX(INDEX($D$138:$D338,202-60):$D338),"")</f>
        <v>6720</v>
      </c>
      <c r="N338" s="52" t="n">
        <f aca="false">IF(AND(ISNUMBER($G338),$G338&gt;=60),MIN(INDEX($E$138:$E338,202-60):$E338),"")</f>
        <v>5713</v>
      </c>
      <c r="O338" s="53" t="n">
        <f aca="false">IF(OR(NOT(ISNUMBER($C338)),NOT(ISNUMBER($M338)),$M338=0),"",$C338/$M338-1)</f>
        <v>-0.000744047619047672</v>
      </c>
    </row>
    <row r="339" customFormat="false" ht="15" hidden="false" customHeight="false" outlineLevel="0" collapsed="false">
      <c r="A339" s="47" t="n">
        <v>46036</v>
      </c>
      <c r="B339" s="48" t="s">
        <v>487</v>
      </c>
      <c r="C339" s="49" t="n">
        <v>6709</v>
      </c>
      <c r="D339" s="49" t="n">
        <v>6754</v>
      </c>
      <c r="E339" s="49" t="n">
        <v>6695</v>
      </c>
      <c r="F339" s="49" t="n">
        <v>0</v>
      </c>
      <c r="G339" s="50" t="n">
        <f aca="false">IF($A339="","",IF(ISNUMBER($G338),$G338+1,1))</f>
        <v>335</v>
      </c>
      <c r="H339" s="51" t="n">
        <f aca="false">IF(OR(NOT(ISNUMBER($G339)),$G339&lt;2,NOT(ISNUMBER($C338)),$C338=0),"",$C339/$C338-1)</f>
        <v>-0.000893521965748323</v>
      </c>
      <c r="I339" s="52" t="n">
        <f aca="false">IF(AND(ISNUMBER($G339),$G339&gt;=MA_SHORT),AVERAGE(INDEX($C$5:$C339,336-MA_SHORT):$C339),"")</f>
        <v>6514.25</v>
      </c>
      <c r="J339" s="52" t="n">
        <f aca="false">IF(AND(ISNUMBER($G339),$G339&gt;=MA_MED),AVERAGE(INDEX($C$5:$C339,336-MA_MED):$C339),"")</f>
        <v>6249.4</v>
      </c>
      <c r="K339" s="52" t="n">
        <f aca="false">IF(AND(ISNUMBER($G339),$G339&gt;=MA_LONG2),AVERAGE(INDEX($C$5:$C339,336-MA_LONG2):$C339),"")</f>
        <v>5319.45</v>
      </c>
      <c r="L339" s="53" t="n">
        <f aca="false">IF(AND(ISNUMBER($G339),$G339&gt;=21),STDEV(INDEX($H$279:$H339,62-20):$H339)*SQRT(245),"")</f>
        <v>0.226364207115449</v>
      </c>
      <c r="M339" s="52" t="n">
        <f aca="false">IF(AND(ISNUMBER($G339),$G339&gt;=60),MAX(INDEX($D$139:$D339,202-60):$D339),"")</f>
        <v>6754</v>
      </c>
      <c r="N339" s="52" t="n">
        <f aca="false">IF(AND(ISNUMBER($G339),$G339&gt;=60),MIN(INDEX($E$139:$E339,202-60):$E339),"")</f>
        <v>5732</v>
      </c>
      <c r="O339" s="53" t="n">
        <f aca="false">IF(OR(NOT(ISNUMBER($C339)),NOT(ISNUMBER($M339)),$M339=0),"",$C339/$M339-1)</f>
        <v>-0.00666271838910271</v>
      </c>
    </row>
    <row r="340" customFormat="false" ht="15" hidden="false" customHeight="false" outlineLevel="0" collapsed="false">
      <c r="A340" s="47" t="n">
        <v>46039</v>
      </c>
      <c r="B340" s="48" t="s">
        <v>488</v>
      </c>
      <c r="C340" s="49" t="n">
        <v>6770</v>
      </c>
      <c r="D340" s="49" t="n">
        <v>6829</v>
      </c>
      <c r="E340" s="49" t="n">
        <v>6766</v>
      </c>
      <c r="F340" s="49" t="n">
        <v>0</v>
      </c>
      <c r="G340" s="50" t="n">
        <f aca="false">IF($A340="","",IF(ISNUMBER($G339),$G339+1,1))</f>
        <v>336</v>
      </c>
      <c r="H340" s="51" t="n">
        <f aca="false">IF(OR(NOT(ISNUMBER($G340)),$G340&lt;2,NOT(ISNUMBER($C339)),$C339=0),"",$C340/$C339-1)</f>
        <v>0.00909226412282016</v>
      </c>
      <c r="I340" s="52" t="n">
        <f aca="false">IF(AND(ISNUMBER($G340),$G340&gt;=MA_SHORT),AVERAGE(INDEX($C$5:$C340,337-MA_SHORT):$C340),"")</f>
        <v>6537.15</v>
      </c>
      <c r="J340" s="52" t="n">
        <f aca="false">IF(AND(ISNUMBER($G340),$G340&gt;=MA_MED),AVERAGE(INDEX($C$5:$C340,337-MA_MED):$C340),"")</f>
        <v>6266.8</v>
      </c>
      <c r="K340" s="52" t="n">
        <f aca="false">IF(AND(ISNUMBER($G340),$G340&gt;=MA_LONG2),AVERAGE(INDEX($C$5:$C340,337-MA_LONG2):$C340),"")</f>
        <v>5332.895</v>
      </c>
      <c r="L340" s="53" t="n">
        <f aca="false">IF(AND(ISNUMBER($G340),$G340&gt;=21),STDEV(INDEX($H$280:$H340,62-20):$H340)*SQRT(245),"")</f>
        <v>0.226716686624413</v>
      </c>
      <c r="M340" s="52" t="n">
        <f aca="false">IF(AND(ISNUMBER($G340),$G340&gt;=60),MAX(INDEX($D$140:$D340,202-60):$D340),"")</f>
        <v>6829</v>
      </c>
      <c r="N340" s="52" t="n">
        <f aca="false">IF(AND(ISNUMBER($G340),$G340&gt;=60),MIN(INDEX($E$140:$E340,202-60):$E340),"")</f>
        <v>5739</v>
      </c>
      <c r="O340" s="53" t="n">
        <f aca="false">IF(OR(NOT(ISNUMBER($C340)),NOT(ISNUMBER($M340)),$M340=0),"",$C340/$M340-1)</f>
        <v>-0.00863962512812999</v>
      </c>
    </row>
    <row r="341" customFormat="false" ht="15" hidden="false" customHeight="false" outlineLevel="0" collapsed="false">
      <c r="A341" s="47" t="n">
        <v>46040</v>
      </c>
      <c r="B341" s="48" t="s">
        <v>489</v>
      </c>
      <c r="C341" s="49" t="n">
        <v>6679</v>
      </c>
      <c r="D341" s="49" t="n">
        <v>6714</v>
      </c>
      <c r="E341" s="49" t="n">
        <v>6660</v>
      </c>
      <c r="F341" s="49" t="n">
        <v>0</v>
      </c>
      <c r="G341" s="50" t="n">
        <f aca="false">IF($A341="","",IF(ISNUMBER($G340),$G340+1,1))</f>
        <v>337</v>
      </c>
      <c r="H341" s="51" t="n">
        <f aca="false">IF(OR(NOT(ISNUMBER($G341)),$G341&lt;2,NOT(ISNUMBER($C340)),$C340=0),"",$C341/$C340-1)</f>
        <v>-0.0134416543574594</v>
      </c>
      <c r="I341" s="52" t="n">
        <f aca="false">IF(AND(ISNUMBER($G341),$G341&gt;=MA_SHORT),AVERAGE(INDEX($C$5:$C341,338-MA_SHORT):$C341),"")</f>
        <v>6553.25</v>
      </c>
      <c r="J341" s="52" t="n">
        <f aca="false">IF(AND(ISNUMBER($G341),$G341&gt;=MA_MED),AVERAGE(INDEX($C$5:$C341,338-MA_MED):$C341),"")</f>
        <v>6282.7</v>
      </c>
      <c r="K341" s="52" t="n">
        <f aca="false">IF(AND(ISNUMBER($G341),$G341&gt;=MA_LONG2),AVERAGE(INDEX($C$5:$C341,338-MA_LONG2):$C341),"")</f>
        <v>5345.4</v>
      </c>
      <c r="L341" s="53" t="n">
        <f aca="false">IF(AND(ISNUMBER($G341),$G341&gt;=21),STDEV(INDEX($H$281:$H341,62-20):$H341)*SQRT(245),"")</f>
        <v>0.233914873941847</v>
      </c>
      <c r="M341" s="52" t="n">
        <f aca="false">IF(AND(ISNUMBER($G341),$G341&gt;=60),MAX(INDEX($D$141:$D341,202-60):$D341),"")</f>
        <v>6829</v>
      </c>
      <c r="N341" s="52" t="n">
        <f aca="false">IF(AND(ISNUMBER($G341),$G341&gt;=60),MIN(INDEX($E$141:$E341,202-60):$E341),"")</f>
        <v>5739</v>
      </c>
      <c r="O341" s="53" t="n">
        <f aca="false">IF(OR(NOT(ISNUMBER($C341)),NOT(ISNUMBER($M341)),$M341=0),"",$C341/$M341-1)</f>
        <v>-0.0219651486308391</v>
      </c>
    </row>
    <row r="342" customFormat="false" ht="15" hidden="false" customHeight="false" outlineLevel="0" collapsed="false">
      <c r="A342" s="47" t="n">
        <v>46041</v>
      </c>
      <c r="B342" s="48" t="s">
        <v>490</v>
      </c>
      <c r="C342" s="49" t="n">
        <v>6820</v>
      </c>
      <c r="D342" s="49" t="n">
        <v>6828</v>
      </c>
      <c r="E342" s="49" t="n">
        <v>6786</v>
      </c>
      <c r="F342" s="49" t="n">
        <v>0</v>
      </c>
      <c r="G342" s="50" t="n">
        <f aca="false">IF($A342="","",IF(ISNUMBER($G341),$G341+1,1))</f>
        <v>338</v>
      </c>
      <c r="H342" s="51" t="n">
        <f aca="false">IF(OR(NOT(ISNUMBER($G342)),$G342&lt;2,NOT(ISNUMBER($C341)),$C341=0),"",$C342/$C341-1)</f>
        <v>0.0211109447522084</v>
      </c>
      <c r="I342" s="52" t="n">
        <f aca="false">IF(AND(ISNUMBER($G342),$G342&gt;=MA_SHORT),AVERAGE(INDEX($C$5:$C342,339-MA_SHORT):$C342),"")</f>
        <v>6570.2</v>
      </c>
      <c r="J342" s="52" t="n">
        <f aca="false">IF(AND(ISNUMBER($G342),$G342&gt;=MA_MED),AVERAGE(INDEX($C$5:$C342,339-MA_MED):$C342),"")</f>
        <v>6299.8</v>
      </c>
      <c r="K342" s="52" t="n">
        <f aca="false">IF(AND(ISNUMBER($G342),$G342&gt;=MA_LONG2),AVERAGE(INDEX($C$5:$C342,339-MA_LONG2):$C342),"")</f>
        <v>5358.425</v>
      </c>
      <c r="L342" s="53" t="n">
        <f aca="false">IF(AND(ISNUMBER($G342),$G342&gt;=21),STDEV(INDEX($H$282:$H342,62-20):$H342)*SQRT(245),"")</f>
        <v>0.2354746174521</v>
      </c>
      <c r="M342" s="52" t="n">
        <f aca="false">IF(AND(ISNUMBER($G342),$G342&gt;=60),MAX(INDEX($D$142:$D342,202-60):$D342),"")</f>
        <v>6829</v>
      </c>
      <c r="N342" s="52" t="n">
        <f aca="false">IF(AND(ISNUMBER($G342),$G342&gt;=60),MIN(INDEX($E$142:$E342,202-60):$E342),"")</f>
        <v>5739</v>
      </c>
      <c r="O342" s="53" t="n">
        <f aca="false">IF(OR(NOT(ISNUMBER($C342)),NOT(ISNUMBER($M342)),$M342=0),"",$C342/$M342-1)</f>
        <v>-0.00131790891785033</v>
      </c>
    </row>
    <row r="343" customFormat="false" ht="15" hidden="false" customHeight="false" outlineLevel="0" collapsed="false">
      <c r="A343" s="47" t="n">
        <v>46042</v>
      </c>
      <c r="B343" s="48" t="s">
        <v>491</v>
      </c>
      <c r="C343" s="49" t="n">
        <v>6823</v>
      </c>
      <c r="D343" s="49" t="n">
        <v>6851</v>
      </c>
      <c r="E343" s="49" t="n">
        <v>6813</v>
      </c>
      <c r="F343" s="49" t="n">
        <v>0</v>
      </c>
      <c r="G343" s="50" t="n">
        <f aca="false">IF($A343="","",IF(ISNUMBER($G342),$G342+1,1))</f>
        <v>339</v>
      </c>
      <c r="H343" s="51" t="n">
        <f aca="false">IF(OR(NOT(ISNUMBER($G343)),$G343&lt;2,NOT(ISNUMBER($C342)),$C342=0),"",$C343/$C342-1)</f>
        <v>0.000439882697947258</v>
      </c>
      <c r="I343" s="52" t="n">
        <f aca="false">IF(AND(ISNUMBER($G343),$G343&gt;=MA_SHORT),AVERAGE(INDEX($C$5:$C343,340-MA_SHORT):$C343),"")</f>
        <v>6583.4</v>
      </c>
      <c r="J343" s="52" t="n">
        <f aca="false">IF(AND(ISNUMBER($G343),$G343&gt;=MA_MED),AVERAGE(INDEX($C$5:$C343,340-MA_MED):$C343),"")</f>
        <v>6319.42</v>
      </c>
      <c r="K343" s="52" t="n">
        <f aca="false">IF(AND(ISNUMBER($G343),$G343&gt;=MA_LONG2),AVERAGE(INDEX($C$5:$C343,340-MA_LONG2):$C343),"")</f>
        <v>5371.29</v>
      </c>
      <c r="L343" s="53" t="n">
        <f aca="false">IF(AND(ISNUMBER($G343),$G343&gt;=21),STDEV(INDEX($H$283:$H343,62-20):$H343)*SQRT(245),"")</f>
        <v>0.23300586651023</v>
      </c>
      <c r="M343" s="52" t="n">
        <f aca="false">IF(AND(ISNUMBER($G343),$G343&gt;=60),MAX(INDEX($D$143:$D343,202-60):$D343),"")</f>
        <v>6851</v>
      </c>
      <c r="N343" s="52" t="n">
        <f aca="false">IF(AND(ISNUMBER($G343),$G343&gt;=60),MIN(INDEX($E$143:$E343,202-60):$E343),"")</f>
        <v>5739</v>
      </c>
      <c r="O343" s="53" t="n">
        <f aca="false">IF(OR(NOT(ISNUMBER($C343)),NOT(ISNUMBER($M343)),$M343=0),"",$C343/$M343-1)</f>
        <v>-0.0040869945993286</v>
      </c>
    </row>
    <row r="344" customFormat="false" ht="15" hidden="false" customHeight="false" outlineLevel="0" collapsed="false">
      <c r="A344" s="47" t="n">
        <v>46043</v>
      </c>
      <c r="B344" s="48" t="s">
        <v>492</v>
      </c>
      <c r="C344" s="49" t="n">
        <v>6790</v>
      </c>
      <c r="D344" s="49" t="n">
        <v>6799</v>
      </c>
      <c r="E344" s="49" t="n">
        <v>6764</v>
      </c>
      <c r="F344" s="49" t="n">
        <v>0</v>
      </c>
      <c r="G344" s="50" t="n">
        <f aca="false">IF($A344="","",IF(ISNUMBER($G343),$G343+1,1))</f>
        <v>340</v>
      </c>
      <c r="H344" s="51" t="n">
        <f aca="false">IF(OR(NOT(ISNUMBER($G344)),$G344&lt;2,NOT(ISNUMBER($C343)),$C343=0),"",$C344/$C343-1)</f>
        <v>-0.00483658214861493</v>
      </c>
      <c r="I344" s="52" t="n">
        <f aca="false">IF(AND(ISNUMBER($G344),$G344&gt;=MA_SHORT),AVERAGE(INDEX($C$5:$C344,341-MA_SHORT):$C344),"")</f>
        <v>6598.45</v>
      </c>
      <c r="J344" s="52" t="n">
        <f aca="false">IF(AND(ISNUMBER($G344),$G344&gt;=MA_MED),AVERAGE(INDEX($C$5:$C344,341-MA_MED):$C344),"")</f>
        <v>6340.2</v>
      </c>
      <c r="K344" s="52" t="n">
        <f aca="false">IF(AND(ISNUMBER($G344),$G344&gt;=MA_LONG2),AVERAGE(INDEX($C$5:$C344,341-MA_LONG2):$C344),"")</f>
        <v>5383.735</v>
      </c>
      <c r="L344" s="53" t="n">
        <f aca="false">IF(AND(ISNUMBER($G344),$G344&gt;=21),STDEV(INDEX($H$284:$H344,62-20):$H344)*SQRT(245),"")</f>
        <v>0.229760025756343</v>
      </c>
      <c r="M344" s="52" t="n">
        <f aca="false">IF(AND(ISNUMBER($G344),$G344&gt;=60),MAX(INDEX($D$144:$D344,202-60):$D344),"")</f>
        <v>6851</v>
      </c>
      <c r="N344" s="52" t="n">
        <f aca="false">IF(AND(ISNUMBER($G344),$G344&gt;=60),MIN(INDEX($E$144:$E344,202-60):$E344),"")</f>
        <v>5739</v>
      </c>
      <c r="O344" s="53" t="n">
        <f aca="false">IF(OR(NOT(ISNUMBER($C344)),NOT(ISNUMBER($M344)),$M344=0),"",$C344/$M344-1)</f>
        <v>-0.00890380966282289</v>
      </c>
    </row>
    <row r="345" customFormat="false" ht="15" hidden="false" customHeight="false" outlineLevel="0" collapsed="false">
      <c r="A345" s="47" t="n">
        <v>46046</v>
      </c>
      <c r="B345" s="48" t="s">
        <v>493</v>
      </c>
      <c r="C345" s="49" t="n">
        <v>6728</v>
      </c>
      <c r="D345" s="49" t="n">
        <v>6746</v>
      </c>
      <c r="E345" s="49" t="n">
        <v>6728</v>
      </c>
      <c r="F345" s="49" t="n">
        <v>0</v>
      </c>
      <c r="G345" s="50" t="n">
        <f aca="false">IF($A345="","",IF(ISNUMBER($G344),$G344+1,1))</f>
        <v>341</v>
      </c>
      <c r="H345" s="51" t="n">
        <f aca="false">IF(OR(NOT(ISNUMBER($G345)),$G345&lt;2,NOT(ISNUMBER($C344)),$C344=0),"",$C345/$C344-1)</f>
        <v>-0.00913107511045652</v>
      </c>
      <c r="I345" s="52" t="n">
        <f aca="false">IF(AND(ISNUMBER($G345),$G345&gt;=MA_SHORT),AVERAGE(INDEX($C$5:$C345,342-MA_SHORT):$C345),"")</f>
        <v>6601</v>
      </c>
      <c r="J345" s="52" t="n">
        <f aca="false">IF(AND(ISNUMBER($G345),$G345&gt;=MA_MED),AVERAGE(INDEX($C$5:$C345,342-MA_MED):$C345),"")</f>
        <v>6357.46</v>
      </c>
      <c r="K345" s="52" t="n">
        <f aca="false">IF(AND(ISNUMBER($G345),$G345&gt;=MA_LONG2),AVERAGE(INDEX($C$5:$C345,342-MA_LONG2):$C345),"")</f>
        <v>5395.735</v>
      </c>
      <c r="L345" s="53" t="n">
        <f aca="false">IF(AND(ISNUMBER($G345),$G345&gt;=21),STDEV(INDEX($H$285:$H345,62-20):$H345)*SQRT(245),"")</f>
        <v>0.210797983605701</v>
      </c>
      <c r="M345" s="52" t="n">
        <f aca="false">IF(AND(ISNUMBER($G345),$G345&gt;=60),MAX(INDEX($D$145:$D345,202-60):$D345),"")</f>
        <v>6851</v>
      </c>
      <c r="N345" s="52" t="n">
        <f aca="false">IF(AND(ISNUMBER($G345),$G345&gt;=60),MIN(INDEX($E$145:$E345,202-60):$E345),"")</f>
        <v>5739</v>
      </c>
      <c r="O345" s="53" t="n">
        <f aca="false">IF(OR(NOT(ISNUMBER($C345)),NOT(ISNUMBER($M345)),$M345=0),"",$C345/$M345-1)</f>
        <v>-0.0179535834184791</v>
      </c>
    </row>
    <row r="346" customFormat="false" ht="15" hidden="false" customHeight="false" outlineLevel="0" collapsed="false">
      <c r="A346" s="47" t="n">
        <v>46047</v>
      </c>
      <c r="B346" s="48" t="s">
        <v>494</v>
      </c>
      <c r="C346" s="49" t="n">
        <v>6779</v>
      </c>
      <c r="D346" s="49" t="n">
        <v>6780</v>
      </c>
      <c r="E346" s="49" t="n">
        <v>6747</v>
      </c>
      <c r="F346" s="49" t="n">
        <v>0</v>
      </c>
      <c r="G346" s="50" t="n">
        <f aca="false">IF($A346="","",IF(ISNUMBER($G345),$G345+1,1))</f>
        <v>342</v>
      </c>
      <c r="H346" s="51" t="n">
        <f aca="false">IF(OR(NOT(ISNUMBER($G346)),$G346&lt;2,NOT(ISNUMBER($C345)),$C345=0),"",$C346/$C345-1)</f>
        <v>0.00758026159334135</v>
      </c>
      <c r="I346" s="52" t="n">
        <f aca="false">IF(AND(ISNUMBER($G346),$G346&gt;=MA_SHORT),AVERAGE(INDEX($C$5:$C346,343-MA_SHORT):$C346),"")</f>
        <v>6606.75</v>
      </c>
      <c r="J346" s="52" t="n">
        <f aca="false">IF(AND(ISNUMBER($G346),$G346&gt;=MA_MED),AVERAGE(INDEX($C$5:$C346,343-MA_MED):$C346),"")</f>
        <v>6375.42</v>
      </c>
      <c r="K346" s="52" t="n">
        <f aca="false">IF(AND(ISNUMBER($G346),$G346&gt;=MA_LONG2),AVERAGE(INDEX($C$5:$C346,343-MA_LONG2):$C346),"")</f>
        <v>5407.985</v>
      </c>
      <c r="L346" s="53" t="n">
        <f aca="false">IF(AND(ISNUMBER($G346),$G346&gt;=21),STDEV(INDEX($H$286:$H346,62-20):$H346)*SQRT(245),"")</f>
        <v>0.212025154259378</v>
      </c>
      <c r="M346" s="52" t="n">
        <f aca="false">IF(AND(ISNUMBER($G346),$G346&gt;=60),MAX(INDEX($D$146:$D346,202-60):$D346),"")</f>
        <v>6851</v>
      </c>
      <c r="N346" s="52" t="n">
        <f aca="false">IF(AND(ISNUMBER($G346),$G346&gt;=60),MIN(INDEX($E$146:$E346,202-60):$E346),"")</f>
        <v>5739</v>
      </c>
      <c r="O346" s="53" t="n">
        <f aca="false">IF(OR(NOT(ISNUMBER($C346)),NOT(ISNUMBER($M346)),$M346=0),"",$C346/$M346-1)</f>
        <v>-0.0105094146839877</v>
      </c>
    </row>
    <row r="347" customFormat="false" ht="15" hidden="false" customHeight="false" outlineLevel="0" collapsed="false">
      <c r="A347" s="47" t="n">
        <v>46048</v>
      </c>
      <c r="B347" s="48" t="s">
        <v>495</v>
      </c>
      <c r="C347" s="49" t="n">
        <v>6807</v>
      </c>
      <c r="D347" s="49" t="n">
        <v>6825</v>
      </c>
      <c r="E347" s="49" t="n">
        <v>6796</v>
      </c>
      <c r="F347" s="49" t="n">
        <v>0</v>
      </c>
      <c r="G347" s="50" t="n">
        <f aca="false">IF($A347="","",IF(ISNUMBER($G346),$G346+1,1))</f>
        <v>343</v>
      </c>
      <c r="H347" s="51" t="n">
        <f aca="false">IF(OR(NOT(ISNUMBER($G347)),$G347&lt;2,NOT(ISNUMBER($C346)),$C346=0),"",$C347/$C346-1)</f>
        <v>0.00413040271426457</v>
      </c>
      <c r="I347" s="52" t="n">
        <f aca="false">IF(AND(ISNUMBER($G347),$G347&gt;=MA_SHORT),AVERAGE(INDEX($C$5:$C347,344-MA_SHORT):$C347),"")</f>
        <v>6615.8</v>
      </c>
      <c r="J347" s="52" t="n">
        <f aca="false">IF(AND(ISNUMBER($G347),$G347&gt;=MA_MED),AVERAGE(INDEX($C$5:$C347,344-MA_MED):$C347),"")</f>
        <v>6393.46</v>
      </c>
      <c r="K347" s="52" t="n">
        <f aca="false">IF(AND(ISNUMBER($G347),$G347&gt;=MA_LONG2),AVERAGE(INDEX($C$5:$C347,344-MA_LONG2):$C347),"")</f>
        <v>5419.79</v>
      </c>
      <c r="L347" s="53" t="n">
        <f aca="false">IF(AND(ISNUMBER($G347),$G347&gt;=21),STDEV(INDEX($H$287:$H347,62-20):$H347)*SQRT(245),"")</f>
        <v>0.210840944899836</v>
      </c>
      <c r="M347" s="52" t="n">
        <f aca="false">IF(AND(ISNUMBER($G347),$G347&gt;=60),MAX(INDEX($D$147:$D347,202-60):$D347),"")</f>
        <v>6851</v>
      </c>
      <c r="N347" s="52" t="n">
        <f aca="false">IF(AND(ISNUMBER($G347),$G347&gt;=60),MIN(INDEX($E$147:$E347,202-60):$E347),"")</f>
        <v>5739</v>
      </c>
      <c r="O347" s="53" t="n">
        <f aca="false">IF(OR(NOT(ISNUMBER($C347)),NOT(ISNUMBER($M347)),$M347=0),"",$C347/$M347-1)</f>
        <v>-0.00642242008465921</v>
      </c>
    </row>
    <row r="348" customFormat="false" ht="15" hidden="false" customHeight="false" outlineLevel="0" collapsed="false">
      <c r="A348" s="47" t="n">
        <v>46049</v>
      </c>
      <c r="B348" s="48" t="s">
        <v>496</v>
      </c>
      <c r="C348" s="49" t="n">
        <v>6812</v>
      </c>
      <c r="D348" s="49" t="n">
        <v>6882</v>
      </c>
      <c r="E348" s="49" t="n">
        <v>6801</v>
      </c>
      <c r="F348" s="49" t="n">
        <v>0</v>
      </c>
      <c r="G348" s="50" t="n">
        <f aca="false">IF($A348="","",IF(ISNUMBER($G347),$G347+1,1))</f>
        <v>344</v>
      </c>
      <c r="H348" s="51" t="n">
        <f aca="false">IF(OR(NOT(ISNUMBER($G348)),$G348&lt;2,NOT(ISNUMBER($C347)),$C347=0),"",$C348/$C347-1)</f>
        <v>0.000734537975613403</v>
      </c>
      <c r="I348" s="52" t="n">
        <f aca="false">IF(AND(ISNUMBER($G348),$G348&gt;=MA_SHORT),AVERAGE(INDEX($C$5:$C348,345-MA_SHORT):$C348),"")</f>
        <v>6629.5</v>
      </c>
      <c r="J348" s="52" t="n">
        <f aca="false">IF(AND(ISNUMBER($G348),$G348&gt;=MA_MED),AVERAGE(INDEX($C$5:$C348,345-MA_MED):$C348),"")</f>
        <v>6413.16</v>
      </c>
      <c r="K348" s="52" t="n">
        <f aca="false">IF(AND(ISNUMBER($G348),$G348&gt;=MA_LONG2),AVERAGE(INDEX($C$5:$C348,345-MA_LONG2):$C348),"")</f>
        <v>5431.865</v>
      </c>
      <c r="L348" s="53" t="n">
        <f aca="false">IF(AND(ISNUMBER($G348),$G348&gt;=21),STDEV(INDEX($H$288:$H348,62-20):$H348)*SQRT(245),"")</f>
        <v>0.203816609175784</v>
      </c>
      <c r="M348" s="52" t="n">
        <f aca="false">IF(AND(ISNUMBER($G348),$G348&gt;=60),MAX(INDEX($D$148:$D348,202-60):$D348),"")</f>
        <v>6882</v>
      </c>
      <c r="N348" s="52" t="n">
        <f aca="false">IF(AND(ISNUMBER($G348),$G348&gt;=60),MIN(INDEX($E$148:$E348,202-60):$E348),"")</f>
        <v>5739</v>
      </c>
      <c r="O348" s="53" t="n">
        <f aca="false">IF(OR(NOT(ISNUMBER($C348)),NOT(ISNUMBER($M348)),$M348=0),"",$C348/$M348-1)</f>
        <v>-0.010171461784365</v>
      </c>
    </row>
    <row r="349" customFormat="false" ht="15" hidden="false" customHeight="false" outlineLevel="0" collapsed="false">
      <c r="A349" s="47" t="n">
        <v>46050</v>
      </c>
      <c r="B349" s="48" t="s">
        <v>497</v>
      </c>
      <c r="C349" s="49" t="n">
        <v>6763</v>
      </c>
      <c r="D349" s="49" t="n">
        <v>6790</v>
      </c>
      <c r="E349" s="49" t="n">
        <v>6748</v>
      </c>
      <c r="F349" s="49" t="n">
        <v>0</v>
      </c>
      <c r="G349" s="50" t="n">
        <f aca="false">IF($A349="","",IF(ISNUMBER($G348),$G348+1,1))</f>
        <v>345</v>
      </c>
      <c r="H349" s="51" t="n">
        <f aca="false">IF(OR(NOT(ISNUMBER($G349)),$G349&lt;2,NOT(ISNUMBER($C348)),$C348=0),"",$C349/$C348-1)</f>
        <v>-0.00719318849089845</v>
      </c>
      <c r="I349" s="52" t="n">
        <f aca="false">IF(AND(ISNUMBER($G349),$G349&gt;=MA_SHORT),AVERAGE(INDEX($C$5:$C349,346-MA_SHORT):$C349),"")</f>
        <v>6641.9</v>
      </c>
      <c r="J349" s="52" t="n">
        <f aca="false">IF(AND(ISNUMBER($G349),$G349&gt;=MA_MED),AVERAGE(INDEX($C$5:$C349,346-MA_MED):$C349),"")</f>
        <v>6432.54</v>
      </c>
      <c r="K349" s="52" t="n">
        <f aca="false">IF(AND(ISNUMBER($G349),$G349&gt;=MA_LONG2),AVERAGE(INDEX($C$5:$C349,346-MA_LONG2):$C349),"")</f>
        <v>5443.725</v>
      </c>
      <c r="L349" s="53" t="n">
        <f aca="false">IF(AND(ISNUMBER($G349),$G349&gt;=21),STDEV(INDEX($H$289:$H349,62-20):$H349)*SQRT(245),"")</f>
        <v>0.205529862232373</v>
      </c>
      <c r="M349" s="52" t="n">
        <f aca="false">IF(AND(ISNUMBER($G349),$G349&gt;=60),MAX(INDEX($D$149:$D349,202-60):$D349),"")</f>
        <v>6882</v>
      </c>
      <c r="N349" s="52" t="n">
        <f aca="false">IF(AND(ISNUMBER($G349),$G349&gt;=60),MIN(INDEX($E$149:$E349,202-60):$E349),"")</f>
        <v>5739</v>
      </c>
      <c r="O349" s="53" t="n">
        <f aca="false">IF(OR(NOT(ISNUMBER($C349)),NOT(ISNUMBER($M349)),$M349=0),"",$C349/$M349-1)</f>
        <v>-0.0172914850334205</v>
      </c>
    </row>
    <row r="350" customFormat="false" ht="15" hidden="false" customHeight="false" outlineLevel="0" collapsed="false">
      <c r="A350" s="47" t="n">
        <v>46053</v>
      </c>
      <c r="B350" s="48" t="s">
        <v>498</v>
      </c>
      <c r="C350" s="49" t="n">
        <v>6806</v>
      </c>
      <c r="D350" s="49" t="n">
        <v>6865</v>
      </c>
      <c r="E350" s="49" t="n">
        <v>6781</v>
      </c>
      <c r="F350" s="49" t="n">
        <v>0</v>
      </c>
      <c r="G350" s="50" t="n">
        <f aca="false">IF($A350="","",IF(ISNUMBER($G349),$G349+1,1))</f>
        <v>346</v>
      </c>
      <c r="H350" s="51" t="n">
        <f aca="false">IF(OR(NOT(ISNUMBER($G350)),$G350&lt;2,NOT(ISNUMBER($C349)),$C349=0),"",$C350/$C349-1)</f>
        <v>0.00635812509241451</v>
      </c>
      <c r="I350" s="52" t="n">
        <f aca="false">IF(AND(ISNUMBER($G350),$G350&gt;=MA_SHORT),AVERAGE(INDEX($C$5:$C350,347-MA_SHORT):$C350),"")</f>
        <v>6655.2</v>
      </c>
      <c r="J350" s="52" t="n">
        <f aca="false">IF(AND(ISNUMBER($G350),$G350&gt;=MA_MED),AVERAGE(INDEX($C$5:$C350,347-MA_MED):$C350),"")</f>
        <v>6452.28</v>
      </c>
      <c r="K350" s="52" t="n">
        <f aca="false">IF(AND(ISNUMBER($G350),$G350&gt;=MA_LONG2),AVERAGE(INDEX($C$5:$C350,347-MA_LONG2):$C350),"")</f>
        <v>5455.535</v>
      </c>
      <c r="L350" s="53" t="n">
        <f aca="false">IF(AND(ISNUMBER($G350),$G350&gt;=21),STDEV(INDEX($H$290:$H350,62-20):$H350)*SQRT(245),"")</f>
        <v>0.20601687894947</v>
      </c>
      <c r="M350" s="52" t="n">
        <f aca="false">IF(AND(ISNUMBER($G350),$G350&gt;=60),MAX(INDEX($D$150:$D350,202-60):$D350),"")</f>
        <v>6882</v>
      </c>
      <c r="N350" s="52" t="n">
        <f aca="false">IF(AND(ISNUMBER($G350),$G350&gt;=60),MIN(INDEX($E$150:$E350,202-60):$E350),"")</f>
        <v>5739</v>
      </c>
      <c r="O350" s="53" t="n">
        <f aca="false">IF(OR(NOT(ISNUMBER($C350)),NOT(ISNUMBER($M350)),$M350=0),"",$C350/$M350-1)</f>
        <v>-0.0110433013658821</v>
      </c>
    </row>
    <row r="351" customFormat="false" ht="15" hidden="false" customHeight="false" outlineLevel="0" collapsed="false">
      <c r="A351" s="47" t="n">
        <v>46054</v>
      </c>
      <c r="B351" s="48" t="s">
        <v>499</v>
      </c>
      <c r="C351" s="49" t="n">
        <v>6699</v>
      </c>
      <c r="D351" s="49" t="n">
        <v>6700</v>
      </c>
      <c r="E351" s="49" t="n">
        <v>6664</v>
      </c>
      <c r="F351" s="49" t="n">
        <v>0</v>
      </c>
      <c r="G351" s="50" t="n">
        <f aca="false">IF($A351="","",IF(ISNUMBER($G350),$G350+1,1))</f>
        <v>347</v>
      </c>
      <c r="H351" s="51" t="n">
        <f aca="false">IF(OR(NOT(ISNUMBER($G351)),$G351&lt;2,NOT(ISNUMBER($C350)),$C350=0),"",$C351/$C350-1)</f>
        <v>-0.0157214222744637</v>
      </c>
      <c r="I351" s="52" t="n">
        <f aca="false">IF(AND(ISNUMBER($G351),$G351&gt;=MA_SHORT),AVERAGE(INDEX($C$5:$C351,348-MA_SHORT):$C351),"")</f>
        <v>6664.85</v>
      </c>
      <c r="J351" s="52" t="n">
        <f aca="false">IF(AND(ISNUMBER($G351),$G351&gt;=MA_MED),AVERAGE(INDEX($C$5:$C351,348-MA_MED):$C351),"")</f>
        <v>6469.2</v>
      </c>
      <c r="K351" s="52" t="n">
        <f aca="false">IF(AND(ISNUMBER($G351),$G351&gt;=MA_LONG2),AVERAGE(INDEX($C$5:$C351,348-MA_LONG2):$C351),"")</f>
        <v>5466.405</v>
      </c>
      <c r="L351" s="53" t="n">
        <f aca="false">IF(AND(ISNUMBER($G351),$G351&gt;=21),STDEV(INDEX($H$291:$H351,62-20):$H351)*SQRT(245),"")</f>
        <v>0.213948574712121</v>
      </c>
      <c r="M351" s="52" t="n">
        <f aca="false">IF(AND(ISNUMBER($G351),$G351&gt;=60),MAX(INDEX($D$151:$D351,202-60):$D351),"")</f>
        <v>6882</v>
      </c>
      <c r="N351" s="52" t="n">
        <f aca="false">IF(AND(ISNUMBER($G351),$G351&gt;=60),MIN(INDEX($E$151:$E351,202-60):$E351),"")</f>
        <v>5739</v>
      </c>
      <c r="O351" s="53" t="n">
        <f aca="false">IF(OR(NOT(ISNUMBER($C351)),NOT(ISNUMBER($M351)),$M351=0),"",$C351/$M351-1)</f>
        <v>-0.0265911072362686</v>
      </c>
    </row>
    <row r="352" customFormat="false" ht="15" hidden="false" customHeight="false" outlineLevel="0" collapsed="false">
      <c r="A352" s="47" t="n">
        <v>46055</v>
      </c>
      <c r="B352" s="48" t="s">
        <v>500</v>
      </c>
      <c r="C352" s="49" t="n">
        <v>6798</v>
      </c>
      <c r="D352" s="49" t="n">
        <v>6822</v>
      </c>
      <c r="E352" s="49" t="n">
        <v>6779</v>
      </c>
      <c r="F352" s="49" t="n">
        <v>0</v>
      </c>
      <c r="G352" s="50" t="n">
        <f aca="false">IF($A352="","",IF(ISNUMBER($G351),$G351+1,1))</f>
        <v>348</v>
      </c>
      <c r="H352" s="51" t="n">
        <f aca="false">IF(OR(NOT(ISNUMBER($G352)),$G352&lt;2,NOT(ISNUMBER($C351)),$C351=0),"",$C352/$C351-1)</f>
        <v>0.0147783251231528</v>
      </c>
      <c r="I352" s="52" t="n">
        <f aca="false">IF(AND(ISNUMBER($G352),$G352&gt;=MA_SHORT),AVERAGE(INDEX($C$5:$C352,349-MA_SHORT):$C352),"")</f>
        <v>6688.75</v>
      </c>
      <c r="J352" s="52" t="n">
        <f aca="false">IF(AND(ISNUMBER($G352),$G352&gt;=MA_MED),AVERAGE(INDEX($C$5:$C352,349-MA_MED):$C352),"")</f>
        <v>6486.56</v>
      </c>
      <c r="K352" s="52" t="n">
        <f aca="false">IF(AND(ISNUMBER($G352),$G352&gt;=MA_LONG2),AVERAGE(INDEX($C$5:$C352,349-MA_LONG2):$C352),"")</f>
        <v>5478.44</v>
      </c>
      <c r="L352" s="53" t="n">
        <f aca="false">IF(AND(ISNUMBER($G352),$G352&gt;=21),STDEV(INDEX($H$292:$H352,62-20):$H352)*SQRT(245),"")</f>
        <v>0.18735806441998</v>
      </c>
      <c r="M352" s="52" t="n">
        <f aca="false">IF(AND(ISNUMBER($G352),$G352&gt;=60),MAX(INDEX($D$152:$D352,202-60):$D352),"")</f>
        <v>6882</v>
      </c>
      <c r="N352" s="52" t="n">
        <f aca="false">IF(AND(ISNUMBER($G352),$G352&gt;=60),MIN(INDEX($E$152:$E352,202-60):$E352),"")</f>
        <v>5739</v>
      </c>
      <c r="O352" s="53" t="n">
        <f aca="false">IF(OR(NOT(ISNUMBER($C352)),NOT(ISNUMBER($M352)),$M352=0),"",$C352/$M352-1)</f>
        <v>-0.012205754141238</v>
      </c>
    </row>
    <row r="353" customFormat="false" ht="15" hidden="false" customHeight="false" outlineLevel="0" collapsed="false">
      <c r="A353" s="47" t="n">
        <v>46056</v>
      </c>
      <c r="B353" s="48" t="s">
        <v>501</v>
      </c>
      <c r="C353" s="49" t="n">
        <v>6956</v>
      </c>
      <c r="D353" s="49" t="n">
        <v>6985</v>
      </c>
      <c r="E353" s="49" t="n">
        <v>6944</v>
      </c>
      <c r="F353" s="49" t="n">
        <v>0</v>
      </c>
      <c r="G353" s="50" t="n">
        <f aca="false">IF($A353="","",IF(ISNUMBER($G352),$G352+1,1))</f>
        <v>349</v>
      </c>
      <c r="H353" s="51" t="n">
        <f aca="false">IF(OR(NOT(ISNUMBER($G353)),$G353&lt;2,NOT(ISNUMBER($C352)),$C352=0),"",$C353/$C352-1)</f>
        <v>0.0232421300382466</v>
      </c>
      <c r="I353" s="52" t="n">
        <f aca="false">IF(AND(ISNUMBER($G353),$G353&gt;=MA_SHORT),AVERAGE(INDEX($C$5:$C353,350-MA_SHORT):$C353),"")</f>
        <v>6715.75</v>
      </c>
      <c r="J353" s="52" t="n">
        <f aca="false">IF(AND(ISNUMBER($G353),$G353&gt;=MA_MED),AVERAGE(INDEX($C$5:$C353,350-MA_MED):$C353),"")</f>
        <v>6508.3</v>
      </c>
      <c r="K353" s="52" t="n">
        <f aca="false">IF(AND(ISNUMBER($G353),$G353&gt;=MA_LONG2),AVERAGE(INDEX($C$5:$C353,350-MA_LONG2):$C353),"")</f>
        <v>5491.015</v>
      </c>
      <c r="L353" s="53" t="n">
        <f aca="false">IF(AND(ISNUMBER($G353),$G353&gt;=21),STDEV(INDEX($H$293:$H353,62-20):$H353)*SQRT(245),"")</f>
        <v>0.195650726219813</v>
      </c>
      <c r="M353" s="52" t="n">
        <f aca="false">IF(AND(ISNUMBER($G353),$G353&gt;=60),MAX(INDEX($D$153:$D353,202-60):$D353),"")</f>
        <v>6985</v>
      </c>
      <c r="N353" s="52" t="n">
        <f aca="false">IF(AND(ISNUMBER($G353),$G353&gt;=60),MIN(INDEX($E$153:$E353,202-60):$E353),"")</f>
        <v>5739</v>
      </c>
      <c r="O353" s="53" t="n">
        <f aca="false">IF(OR(NOT(ISNUMBER($C353)),NOT(ISNUMBER($M353)),$M353=0),"",$C353/$M353-1)</f>
        <v>-0.00415175375805299</v>
      </c>
    </row>
    <row r="354" customFormat="false" ht="15" hidden="false" customHeight="false" outlineLevel="0" collapsed="false">
      <c r="A354" s="47" t="n">
        <v>46057</v>
      </c>
      <c r="B354" s="48" t="s">
        <v>502</v>
      </c>
      <c r="C354" s="49" t="n">
        <v>6896</v>
      </c>
      <c r="D354" s="49" t="n">
        <v>6898</v>
      </c>
      <c r="E354" s="49" t="n">
        <v>6860</v>
      </c>
      <c r="F354" s="49" t="n">
        <v>0</v>
      </c>
      <c r="G354" s="50" t="n">
        <f aca="false">IF($A354="","",IF(ISNUMBER($G353),$G353+1,1))</f>
        <v>350</v>
      </c>
      <c r="H354" s="51" t="n">
        <f aca="false">IF(OR(NOT(ISNUMBER($G354)),$G354&lt;2,NOT(ISNUMBER($C353)),$C353=0),"",$C354/$C353-1)</f>
        <v>-0.0086256469235193</v>
      </c>
      <c r="I354" s="52" t="n">
        <f aca="false">IF(AND(ISNUMBER($G354),$G354&gt;=MA_SHORT),AVERAGE(INDEX($C$5:$C354,351-MA_SHORT):$C354),"")</f>
        <v>6739.25</v>
      </c>
      <c r="J354" s="52" t="n">
        <f aca="false">IF(AND(ISNUMBER($G354),$G354&gt;=MA_MED),AVERAGE(INDEX($C$5:$C354,351-MA_MED):$C354),"")</f>
        <v>6527.9</v>
      </c>
      <c r="K354" s="52" t="n">
        <f aca="false">IF(AND(ISNUMBER($G354),$G354&gt;=MA_LONG2),AVERAGE(INDEX($C$5:$C354,351-MA_LONG2):$C354),"")</f>
        <v>5503.205</v>
      </c>
      <c r="L354" s="53" t="n">
        <f aca="false">IF(AND(ISNUMBER($G354),$G354&gt;=21),STDEV(INDEX($H$294:$H354,62-20):$H354)*SQRT(245),"")</f>
        <v>0.200557162418472</v>
      </c>
      <c r="M354" s="52" t="n">
        <f aca="false">IF(AND(ISNUMBER($G354),$G354&gt;=60),MAX(INDEX($D$154:$D354,202-60):$D354),"")</f>
        <v>6985</v>
      </c>
      <c r="N354" s="52" t="n">
        <f aca="false">IF(AND(ISNUMBER($G354),$G354&gt;=60),MIN(INDEX($E$154:$E354,202-60):$E354),"")</f>
        <v>5783</v>
      </c>
      <c r="O354" s="53" t="n">
        <f aca="false">IF(OR(NOT(ISNUMBER($C354)),NOT(ISNUMBER($M354)),$M354=0),"",$C354/$M354-1)</f>
        <v>-0.0127415891195419</v>
      </c>
    </row>
    <row r="355" customFormat="false" ht="15" hidden="false" customHeight="false" outlineLevel="0" collapsed="false">
      <c r="A355" s="47" t="n">
        <v>46060</v>
      </c>
      <c r="B355" s="48" t="s">
        <v>503</v>
      </c>
      <c r="C355" s="49" t="n">
        <v>6945</v>
      </c>
      <c r="D355" s="49" t="n">
        <v>6953</v>
      </c>
      <c r="E355" s="49" t="n">
        <v>6907</v>
      </c>
      <c r="F355" s="49" t="n">
        <v>0</v>
      </c>
      <c r="G355" s="50" t="n">
        <f aca="false">IF($A355="","",IF(ISNUMBER($G354),$G354+1,1))</f>
        <v>351</v>
      </c>
      <c r="H355" s="51" t="n">
        <f aca="false">IF(OR(NOT(ISNUMBER($G355)),$G355&lt;2,NOT(ISNUMBER($C354)),$C354=0),"",$C355/$C354-1)</f>
        <v>0.00710556844547572</v>
      </c>
      <c r="I355" s="52" t="n">
        <f aca="false">IF(AND(ISNUMBER($G355),$G355&gt;=MA_SHORT),AVERAGE(INDEX($C$5:$C355,352-MA_SHORT):$C355),"")</f>
        <v>6769.45</v>
      </c>
      <c r="J355" s="52" t="n">
        <f aca="false">IF(AND(ISNUMBER($G355),$G355&gt;=MA_MED),AVERAGE(INDEX($C$5:$C355,352-MA_MED):$C355),"")</f>
        <v>6544.16</v>
      </c>
      <c r="K355" s="52" t="n">
        <f aca="false">IF(AND(ISNUMBER($G355),$G355&gt;=MA_LONG2),AVERAGE(INDEX($C$5:$C355,352-MA_LONG2):$C355),"")</f>
        <v>5515.86</v>
      </c>
      <c r="L355" s="53" t="n">
        <f aca="false">IF(AND(ISNUMBER($G355),$G355&gt;=21),STDEV(INDEX($H$295:$H355,62-20):$H355)*SQRT(245),"")</f>
        <v>0.190936502390887</v>
      </c>
      <c r="M355" s="52" t="n">
        <f aca="false">IF(AND(ISNUMBER($G355),$G355&gt;=60),MAX(INDEX($D$155:$D355,202-60):$D355),"")</f>
        <v>6985</v>
      </c>
      <c r="N355" s="52" t="n">
        <f aca="false">IF(AND(ISNUMBER($G355),$G355&gt;=60),MIN(INDEX($E$155:$E355,202-60):$E355),"")</f>
        <v>5783</v>
      </c>
      <c r="O355" s="53" t="n">
        <f aca="false">IF(OR(NOT(ISNUMBER($C355)),NOT(ISNUMBER($M355)),$M355=0),"",$C355/$M355-1)</f>
        <v>-0.00572655690765922</v>
      </c>
    </row>
    <row r="356" customFormat="false" ht="15" hidden="false" customHeight="false" outlineLevel="0" collapsed="false">
      <c r="A356" s="47" t="n">
        <v>46061</v>
      </c>
      <c r="B356" s="48" t="s">
        <v>504</v>
      </c>
      <c r="C356" s="49" t="n">
        <v>7004</v>
      </c>
      <c r="D356" s="49" t="n">
        <v>7007</v>
      </c>
      <c r="E356" s="49" t="n">
        <v>6953</v>
      </c>
      <c r="F356" s="49" t="n">
        <v>0</v>
      </c>
      <c r="G356" s="50" t="n">
        <f aca="false">IF($A356="","",IF(ISNUMBER($G355),$G355+1,1))</f>
        <v>352</v>
      </c>
      <c r="H356" s="51" t="n">
        <f aca="false">IF(OR(NOT(ISNUMBER($G356)),$G356&lt;2,NOT(ISNUMBER($C355)),$C355=0),"",$C356/$C355-1)</f>
        <v>0.00849532037437006</v>
      </c>
      <c r="I356" s="52" t="n">
        <f aca="false">IF(AND(ISNUMBER($G356),$G356&gt;=MA_SHORT),AVERAGE(INDEX($C$5:$C356,353-MA_SHORT):$C356),"")</f>
        <v>6795.65</v>
      </c>
      <c r="J356" s="52" t="n">
        <f aca="false">IF(AND(ISNUMBER($G356),$G356&gt;=MA_MED),AVERAGE(INDEX($C$5:$C356,353-MA_MED):$C356),"")</f>
        <v>6560.82</v>
      </c>
      <c r="K356" s="52" t="n">
        <f aca="false">IF(AND(ISNUMBER($G356),$G356&gt;=MA_LONG2),AVERAGE(INDEX($C$5:$C356,353-MA_LONG2):$C356),"")</f>
        <v>5529.065</v>
      </c>
      <c r="L356" s="53" t="n">
        <f aca="false">IF(AND(ISNUMBER($G356),$G356&gt;=21),STDEV(INDEX($H$296:$H356,62-20):$H356)*SQRT(245),"")</f>
        <v>0.180770612934785</v>
      </c>
      <c r="M356" s="52" t="n">
        <f aca="false">IF(AND(ISNUMBER($G356),$G356&gt;=60),MAX(INDEX($D$156:$D356,202-60):$D356),"")</f>
        <v>7007</v>
      </c>
      <c r="N356" s="52" t="n">
        <f aca="false">IF(AND(ISNUMBER($G356),$G356&gt;=60),MIN(INDEX($E$156:$E356,202-60):$E356),"")</f>
        <v>5783</v>
      </c>
      <c r="O356" s="53" t="n">
        <f aca="false">IF(OR(NOT(ISNUMBER($C356)),NOT(ISNUMBER($M356)),$M356=0),"",$C356/$M356-1)</f>
        <v>-0.000428143285286176</v>
      </c>
    </row>
    <row r="357" customFormat="false" ht="15" hidden="false" customHeight="false" outlineLevel="0" collapsed="false">
      <c r="A357" s="47" t="n">
        <v>46062</v>
      </c>
      <c r="B357" s="48" t="s">
        <v>505</v>
      </c>
      <c r="C357" s="49" t="n">
        <v>7113</v>
      </c>
      <c r="D357" s="49" t="n">
        <v>7126</v>
      </c>
      <c r="E357" s="49" t="n">
        <v>7097</v>
      </c>
      <c r="F357" s="49" t="n">
        <v>0</v>
      </c>
      <c r="G357" s="50" t="n">
        <f aca="false">IF($A357="","",IF(ISNUMBER($G356),$G356+1,1))</f>
        <v>353</v>
      </c>
      <c r="H357" s="51" t="n">
        <f aca="false">IF(OR(NOT(ISNUMBER($G357)),$G357&lt;2,NOT(ISNUMBER($C356)),$C356=0),"",$C357/$C356-1)</f>
        <v>0.0155625356938891</v>
      </c>
      <c r="I357" s="52" t="n">
        <f aca="false">IF(AND(ISNUMBER($G357),$G357&gt;=MA_SHORT),AVERAGE(INDEX($C$5:$C357,354-MA_SHORT):$C357),"")</f>
        <v>6820.6</v>
      </c>
      <c r="J357" s="52" t="n">
        <f aca="false">IF(AND(ISNUMBER($G357),$G357&gt;=MA_MED),AVERAGE(INDEX($C$5:$C357,354-MA_MED):$C357),"")</f>
        <v>6577.4</v>
      </c>
      <c r="K357" s="52" t="n">
        <f aca="false">IF(AND(ISNUMBER($G357),$G357&gt;=MA_LONG2),AVERAGE(INDEX($C$5:$C357,354-MA_LONG2):$C357),"")</f>
        <v>5542.495</v>
      </c>
      <c r="L357" s="53" t="n">
        <f aca="false">IF(AND(ISNUMBER($G357),$G357&gt;=21),STDEV(INDEX($H$297:$H357,62-20):$H357)*SQRT(245),"")</f>
        <v>0.175477734377183</v>
      </c>
      <c r="M357" s="52" t="n">
        <f aca="false">IF(AND(ISNUMBER($G357),$G357&gt;=60),MAX(INDEX($D$157:$D357,202-60):$D357),"")</f>
        <v>7126</v>
      </c>
      <c r="N357" s="52" t="n">
        <f aca="false">IF(AND(ISNUMBER($G357),$G357&gt;=60),MIN(INDEX($E$157:$E357,202-60):$E357),"")</f>
        <v>5783</v>
      </c>
      <c r="O357" s="53" t="n">
        <f aca="false">IF(OR(NOT(ISNUMBER($C357)),NOT(ISNUMBER($M357)),$M357=0),"",$C357/$M357-1)</f>
        <v>-0.00182430536065115</v>
      </c>
    </row>
    <row r="358" customFormat="false" ht="15" hidden="false" customHeight="false" outlineLevel="0" collapsed="false">
      <c r="A358" s="47" t="n">
        <v>46063</v>
      </c>
      <c r="B358" s="48" t="s">
        <v>506</v>
      </c>
      <c r="C358" s="49" t="n">
        <v>7175</v>
      </c>
      <c r="D358" s="49" t="n">
        <v>7203</v>
      </c>
      <c r="E358" s="49" t="n">
        <v>7149</v>
      </c>
      <c r="F358" s="49" t="n">
        <v>0</v>
      </c>
      <c r="G358" s="50" t="n">
        <f aca="false">IF($A358="","",IF(ISNUMBER($G357),$G357+1,1))</f>
        <v>354</v>
      </c>
      <c r="H358" s="51" t="n">
        <f aca="false">IF(OR(NOT(ISNUMBER($G358)),$G358&lt;2,NOT(ISNUMBER($C357)),$C357=0),"",$C358/$C357-1)</f>
        <v>0.00871643469703365</v>
      </c>
      <c r="I358" s="52" t="n">
        <f aca="false">IF(AND(ISNUMBER($G358),$G358&gt;=MA_SHORT),AVERAGE(INDEX($C$5:$C358,355-MA_SHORT):$C358),"")</f>
        <v>6843.6</v>
      </c>
      <c r="J358" s="52" t="n">
        <f aca="false">IF(AND(ISNUMBER($G358),$G358&gt;=MA_MED),AVERAGE(INDEX($C$5:$C358,355-MA_MED):$C358),"")</f>
        <v>6595.02</v>
      </c>
      <c r="K358" s="52" t="n">
        <f aca="false">IF(AND(ISNUMBER($G358),$G358&gt;=MA_LONG2),AVERAGE(INDEX($C$5:$C358,355-MA_LONG2):$C358),"")</f>
        <v>5555.91</v>
      </c>
      <c r="L358" s="53" t="n">
        <f aca="false">IF(AND(ISNUMBER($G358),$G358&gt;=21),STDEV(INDEX($H$298:$H358,62-20):$H358)*SQRT(245),"")</f>
        <v>0.171357450599545</v>
      </c>
      <c r="M358" s="52" t="n">
        <f aca="false">IF(AND(ISNUMBER($G358),$G358&gt;=60),MAX(INDEX($D$158:$D358,202-60):$D358),"")</f>
        <v>7203</v>
      </c>
      <c r="N358" s="52" t="n">
        <f aca="false">IF(AND(ISNUMBER($G358),$G358&gt;=60),MIN(INDEX($E$158:$E358,202-60):$E358),"")</f>
        <v>5783</v>
      </c>
      <c r="O358" s="53" t="n">
        <f aca="false">IF(OR(NOT(ISNUMBER($C358)),NOT(ISNUMBER($M358)),$M358=0),"",$C358/$M358-1)</f>
        <v>-0.00388726919339166</v>
      </c>
    </row>
    <row r="359" customFormat="false" ht="15" hidden="false" customHeight="false" outlineLevel="0" collapsed="false">
      <c r="A359" s="47" t="n">
        <v>46064</v>
      </c>
      <c r="B359" s="48" t="s">
        <v>507</v>
      </c>
      <c r="C359" s="49" t="n">
        <v>7151</v>
      </c>
      <c r="D359" s="49" t="n">
        <v>7168</v>
      </c>
      <c r="E359" s="49" t="n">
        <v>7133</v>
      </c>
      <c r="F359" s="49" t="n">
        <v>0</v>
      </c>
      <c r="G359" s="50" t="n">
        <f aca="false">IF($A359="","",IF(ISNUMBER($G358),$G358+1,1))</f>
        <v>355</v>
      </c>
      <c r="H359" s="51" t="n">
        <f aca="false">IF(OR(NOT(ISNUMBER($G359)),$G359&lt;2,NOT(ISNUMBER($C358)),$C358=0),"",$C359/$C358-1)</f>
        <v>-0.00334494773519167</v>
      </c>
      <c r="I359" s="52" t="n">
        <f aca="false">IF(AND(ISNUMBER($G359),$G359&gt;=MA_SHORT),AVERAGE(INDEX($C$5:$C359,356-MA_SHORT):$C359),"")</f>
        <v>6865.7</v>
      </c>
      <c r="J359" s="52" t="n">
        <f aca="false">IF(AND(ISNUMBER($G359),$G359&gt;=MA_MED),AVERAGE(INDEX($C$5:$C359,356-MA_MED):$C359),"")</f>
        <v>6610.84</v>
      </c>
      <c r="K359" s="52" t="n">
        <f aca="false">IF(AND(ISNUMBER($G359),$G359&gt;=MA_LONG2),AVERAGE(INDEX($C$5:$C359,356-MA_LONG2):$C359),"")</f>
        <v>5569.38</v>
      </c>
      <c r="L359" s="53" t="n">
        <f aca="false">IF(AND(ISNUMBER($G359),$G359&gt;=21),STDEV(INDEX($H$299:$H359,62-20):$H359)*SQRT(245),"")</f>
        <v>0.172356792044267</v>
      </c>
      <c r="M359" s="52" t="n">
        <f aca="false">IF(AND(ISNUMBER($G359),$G359&gt;=60),MAX(INDEX($D$159:$D359,202-60):$D359),"")</f>
        <v>7203</v>
      </c>
      <c r="N359" s="52" t="n">
        <f aca="false">IF(AND(ISNUMBER($G359),$G359&gt;=60),MIN(INDEX($E$159:$E359,202-60):$E359),"")</f>
        <v>5803</v>
      </c>
      <c r="O359" s="53" t="n">
        <f aca="false">IF(OR(NOT(ISNUMBER($C359)),NOT(ISNUMBER($M359)),$M359=0),"",$C359/$M359-1)</f>
        <v>-0.00721921421629879</v>
      </c>
    </row>
    <row r="360" customFormat="false" ht="15" hidden="false" customHeight="false" outlineLevel="0" collapsed="false">
      <c r="A360" s="47" t="n">
        <v>46067</v>
      </c>
      <c r="B360" s="48" t="s">
        <v>508</v>
      </c>
      <c r="C360" s="49" t="n">
        <v>7181</v>
      </c>
      <c r="D360" s="49" t="n">
        <v>7205</v>
      </c>
      <c r="E360" s="49" t="n">
        <v>7152</v>
      </c>
      <c r="F360" s="49" t="n">
        <v>0</v>
      </c>
      <c r="G360" s="50" t="n">
        <f aca="false">IF($A360="","",IF(ISNUMBER($G359),$G359+1,1))</f>
        <v>356</v>
      </c>
      <c r="H360" s="51" t="n">
        <f aca="false">IF(OR(NOT(ISNUMBER($G360)),$G360&lt;2,NOT(ISNUMBER($C359)),$C359=0),"",$C360/$C359-1)</f>
        <v>0.00419521745210449</v>
      </c>
      <c r="I360" s="52" t="n">
        <f aca="false">IF(AND(ISNUMBER($G360),$G360&gt;=MA_SHORT),AVERAGE(INDEX($C$5:$C360,357-MA_SHORT):$C360),"")</f>
        <v>6886.25</v>
      </c>
      <c r="J360" s="52" t="n">
        <f aca="false">IF(AND(ISNUMBER($G360),$G360&gt;=MA_MED),AVERAGE(INDEX($C$5:$C360,357-MA_MED):$C360),"")</f>
        <v>6627.08</v>
      </c>
      <c r="K360" s="52" t="n">
        <f aca="false">IF(AND(ISNUMBER($G360),$G360&gt;=MA_LONG2),AVERAGE(INDEX($C$5:$C360,357-MA_LONG2):$C360),"")</f>
        <v>5582.675</v>
      </c>
      <c r="L360" s="53" t="n">
        <f aca="false">IF(AND(ISNUMBER($G360),$G360&gt;=21),STDEV(INDEX($H$300:$H360,62-20):$H360)*SQRT(245),"")</f>
        <v>0.171064691948396</v>
      </c>
      <c r="M360" s="52" t="n">
        <f aca="false">IF(AND(ISNUMBER($G360),$G360&gt;=60),MAX(INDEX($D$160:$D360,202-60):$D360),"")</f>
        <v>7205</v>
      </c>
      <c r="N360" s="52" t="n">
        <f aca="false">IF(AND(ISNUMBER($G360),$G360&gt;=60),MIN(INDEX($E$160:$E360,202-60):$E360),"")</f>
        <v>5829</v>
      </c>
      <c r="O360" s="53" t="n">
        <f aca="false">IF(OR(NOT(ISNUMBER($C360)),NOT(ISNUMBER($M360)),$M360=0),"",$C360/$M360-1)</f>
        <v>-0.00333102012491326</v>
      </c>
    </row>
    <row r="361" customFormat="false" ht="15" hidden="false" customHeight="false" outlineLevel="0" collapsed="false">
      <c r="A361" s="47" t="n">
        <v>46068</v>
      </c>
      <c r="B361" s="48" t="s">
        <v>509</v>
      </c>
      <c r="C361" s="49" t="n">
        <v>7310</v>
      </c>
      <c r="D361" s="49" t="n">
        <v>7330</v>
      </c>
      <c r="E361" s="49" t="n">
        <v>7307</v>
      </c>
      <c r="F361" s="49" t="n">
        <v>0</v>
      </c>
      <c r="G361" s="50" t="n">
        <f aca="false">IF($A361="","",IF(ISNUMBER($G360),$G360+1,1))</f>
        <v>357</v>
      </c>
      <c r="H361" s="51" t="n">
        <f aca="false">IF(OR(NOT(ISNUMBER($G361)),$G361&lt;2,NOT(ISNUMBER($C360)),$C360=0),"",$C361/$C360-1)</f>
        <v>0.0179640718562875</v>
      </c>
      <c r="I361" s="52" t="n">
        <f aca="false">IF(AND(ISNUMBER($G361),$G361&gt;=MA_SHORT),AVERAGE(INDEX($C$5:$C361,358-MA_SHORT):$C361),"")</f>
        <v>6917.8</v>
      </c>
      <c r="J361" s="52" t="n">
        <f aca="false">IF(AND(ISNUMBER($G361),$G361&gt;=MA_MED),AVERAGE(INDEX($C$5:$C361,358-MA_MED):$C361),"")</f>
        <v>6643.6</v>
      </c>
      <c r="K361" s="52" t="n">
        <f aca="false">IF(AND(ISNUMBER($G361),$G361&gt;=MA_LONG2),AVERAGE(INDEX($C$5:$C361,358-MA_LONG2):$C361),"")</f>
        <v>5596.34</v>
      </c>
      <c r="L361" s="53" t="n">
        <f aca="false">IF(AND(ISNUMBER($G361),$G361&gt;=21),STDEV(INDEX($H$301:$H361,62-20):$H361)*SQRT(245),"")</f>
        <v>0.167399384290193</v>
      </c>
      <c r="M361" s="52" t="n">
        <f aca="false">IF(AND(ISNUMBER($G361),$G361&gt;=60),MAX(INDEX($D$161:$D361,202-60):$D361),"")</f>
        <v>7330</v>
      </c>
      <c r="N361" s="52" t="n">
        <f aca="false">IF(AND(ISNUMBER($G361),$G361&gt;=60),MIN(INDEX($E$161:$E361,202-60):$E361),"")</f>
        <v>5844</v>
      </c>
      <c r="O361" s="53" t="n">
        <f aca="false">IF(OR(NOT(ISNUMBER($C361)),NOT(ISNUMBER($M361)),$M361=0),"",$C361/$M361-1)</f>
        <v>-0.00272851296043652</v>
      </c>
    </row>
    <row r="362" customFormat="false" ht="15" hidden="false" customHeight="false" outlineLevel="0" collapsed="false">
      <c r="A362" s="47" t="n">
        <v>46069</v>
      </c>
      <c r="B362" s="48" t="s">
        <v>510</v>
      </c>
      <c r="C362" s="49" t="n">
        <v>7257</v>
      </c>
      <c r="D362" s="49" t="n">
        <v>7288</v>
      </c>
      <c r="E362" s="49" t="n">
        <v>7226</v>
      </c>
      <c r="F362" s="49" t="n">
        <v>0</v>
      </c>
      <c r="G362" s="50" t="n">
        <f aca="false">IF($A362="","",IF(ISNUMBER($G361),$G361+1,1))</f>
        <v>358</v>
      </c>
      <c r="H362" s="51" t="n">
        <f aca="false">IF(OR(NOT(ISNUMBER($G362)),$G362&lt;2,NOT(ISNUMBER($C361)),$C361=0),"",$C362/$C361-1)</f>
        <v>-0.00725034199726404</v>
      </c>
      <c r="I362" s="52" t="n">
        <f aca="false">IF(AND(ISNUMBER($G362),$G362&gt;=MA_SHORT),AVERAGE(INDEX($C$5:$C362,359-MA_SHORT):$C362),"")</f>
        <v>6939.65</v>
      </c>
      <c r="J362" s="52" t="n">
        <f aca="false">IF(AND(ISNUMBER($G362),$G362&gt;=MA_MED),AVERAGE(INDEX($C$5:$C362,359-MA_MED):$C362),"")</f>
        <v>6661.28</v>
      </c>
      <c r="K362" s="52" t="n">
        <f aca="false">IF(AND(ISNUMBER($G362),$G362&gt;=MA_LONG2),AVERAGE(INDEX($C$5:$C362,359-MA_LONG2):$C362),"")</f>
        <v>5609.465</v>
      </c>
      <c r="L362" s="53" t="n">
        <f aca="false">IF(AND(ISNUMBER($G362),$G362&gt;=21),STDEV(INDEX($H$302:$H362,62-20):$H362)*SQRT(245),"")</f>
        <v>0.160572282482899</v>
      </c>
      <c r="M362" s="52" t="n">
        <f aca="false">IF(AND(ISNUMBER($G362),$G362&gt;=60),MAX(INDEX($D$162:$D362,202-60):$D362),"")</f>
        <v>7330</v>
      </c>
      <c r="N362" s="52" t="n">
        <f aca="false">IF(AND(ISNUMBER($G362),$G362&gt;=60),MIN(INDEX($E$162:$E362,202-60):$E362),"")</f>
        <v>5844</v>
      </c>
      <c r="O362" s="53" t="n">
        <f aca="false">IF(OR(NOT(ISNUMBER($C362)),NOT(ISNUMBER($M362)),$M362=0),"",$C362/$M362-1)</f>
        <v>-0.00995907230559345</v>
      </c>
    </row>
    <row r="363" customFormat="false" ht="15" hidden="false" customHeight="false" outlineLevel="0" collapsed="false">
      <c r="A363" s="47" t="n">
        <v>46070</v>
      </c>
      <c r="B363" s="48" t="s">
        <v>511</v>
      </c>
      <c r="C363" s="49" t="n">
        <v>7228</v>
      </c>
      <c r="D363" s="49" t="n">
        <v>7275</v>
      </c>
      <c r="E363" s="49" t="n">
        <v>7209</v>
      </c>
      <c r="F363" s="49" t="n">
        <v>0</v>
      </c>
      <c r="G363" s="50" t="n">
        <f aca="false">IF($A363="","",IF(ISNUMBER($G362),$G362+1,1))</f>
        <v>359</v>
      </c>
      <c r="H363" s="51" t="n">
        <f aca="false">IF(OR(NOT(ISNUMBER($G363)),$G363&lt;2,NOT(ISNUMBER($C362)),$C362=0),"",$C363/$C362-1)</f>
        <v>-0.00399614165633178</v>
      </c>
      <c r="I363" s="52" t="n">
        <f aca="false">IF(AND(ISNUMBER($G363),$G363&gt;=MA_SHORT),AVERAGE(INDEX($C$5:$C363,360-MA_SHORT):$C363),"")</f>
        <v>6959.9</v>
      </c>
      <c r="J363" s="52" t="n">
        <f aca="false">IF(AND(ISNUMBER($G363),$G363&gt;=MA_MED),AVERAGE(INDEX($C$5:$C363,360-MA_MED):$C363),"")</f>
        <v>6679</v>
      </c>
      <c r="K363" s="52" t="n">
        <f aca="false">IF(AND(ISNUMBER($G363),$G363&gt;=MA_LONG2),AVERAGE(INDEX($C$5:$C363,360-MA_LONG2):$C363),"")</f>
        <v>5622.415</v>
      </c>
      <c r="L363" s="53" t="n">
        <f aca="false">IF(AND(ISNUMBER($G363),$G363&gt;=21),STDEV(INDEX($H$303:$H363,62-20):$H363)*SQRT(245),"")</f>
        <v>0.162282789730997</v>
      </c>
      <c r="M363" s="52" t="n">
        <f aca="false">IF(AND(ISNUMBER($G363),$G363&gt;=60),MAX(INDEX($D$163:$D363,202-60):$D363),"")</f>
        <v>7330</v>
      </c>
      <c r="N363" s="52" t="n">
        <f aca="false">IF(AND(ISNUMBER($G363),$G363&gt;=60),MIN(INDEX($E$163:$E363,202-60):$E363),"")</f>
        <v>5915</v>
      </c>
      <c r="O363" s="53" t="n">
        <f aca="false">IF(OR(NOT(ISNUMBER($C363)),NOT(ISNUMBER($M363)),$M363=0),"",$C363/$M363-1)</f>
        <v>-0.0139154160982264</v>
      </c>
    </row>
    <row r="364" customFormat="false" ht="15" hidden="false" customHeight="false" outlineLevel="0" collapsed="false">
      <c r="A364" s="47" t="n">
        <v>46071</v>
      </c>
      <c r="B364" s="48" t="s">
        <v>512</v>
      </c>
      <c r="C364" s="49" t="n">
        <v>7254</v>
      </c>
      <c r="D364" s="49" t="n">
        <v>7264</v>
      </c>
      <c r="E364" s="49" t="n">
        <v>7232</v>
      </c>
      <c r="F364" s="49" t="n">
        <v>0</v>
      </c>
      <c r="G364" s="50" t="n">
        <f aca="false">IF($A364="","",IF(ISNUMBER($G363),$G363+1,1))</f>
        <v>360</v>
      </c>
      <c r="H364" s="51" t="n">
        <f aca="false">IF(OR(NOT(ISNUMBER($G364)),$G364&lt;2,NOT(ISNUMBER($C363)),$C363=0),"",$C364/$C363-1)</f>
        <v>0.00359712230215825</v>
      </c>
      <c r="I364" s="52" t="n">
        <f aca="false">IF(AND(ISNUMBER($G364),$G364&gt;=MA_SHORT),AVERAGE(INDEX($C$5:$C364,361-MA_SHORT):$C364),"")</f>
        <v>6983.1</v>
      </c>
      <c r="J364" s="52" t="n">
        <f aca="false">IF(AND(ISNUMBER($G364),$G364&gt;=MA_MED),AVERAGE(INDEX($C$5:$C364,361-MA_MED):$C364),"")</f>
        <v>6697.1</v>
      </c>
      <c r="K364" s="52" t="n">
        <f aca="false">IF(AND(ISNUMBER($G364),$G364&gt;=MA_LONG2),AVERAGE(INDEX($C$5:$C364,361-MA_LONG2):$C364),"")</f>
        <v>5635.515</v>
      </c>
      <c r="L364" s="53" t="n">
        <f aca="false">IF(AND(ISNUMBER($G364),$G364&gt;=21),STDEV(INDEX($H$304:$H364,62-20):$H364)*SQRT(245),"")</f>
        <v>0.159737275930163</v>
      </c>
      <c r="M364" s="52" t="n">
        <f aca="false">IF(AND(ISNUMBER($G364),$G364&gt;=60),MAX(INDEX($D$164:$D364,202-60):$D364),"")</f>
        <v>7330</v>
      </c>
      <c r="N364" s="52" t="n">
        <f aca="false">IF(AND(ISNUMBER($G364),$G364&gt;=60),MIN(INDEX($E$164:$E364,202-60):$E364),"")</f>
        <v>6126</v>
      </c>
      <c r="O364" s="53" t="n">
        <f aca="false">IF(OR(NOT(ISNUMBER($C364)),NOT(ISNUMBER($M364)),$M364=0),"",$C364/$M364-1)</f>
        <v>-0.0103683492496589</v>
      </c>
    </row>
    <row r="365" customFormat="false" ht="15" hidden="false" customHeight="false" outlineLevel="0" collapsed="false">
      <c r="A365" s="47" t="n">
        <v>46074</v>
      </c>
      <c r="B365" s="48" t="s">
        <v>513</v>
      </c>
      <c r="C365" s="49" t="n">
        <v>7318</v>
      </c>
      <c r="D365" s="49" t="n">
        <v>7340</v>
      </c>
      <c r="E365" s="49" t="n">
        <v>7302</v>
      </c>
      <c r="F365" s="49" t="n">
        <v>0</v>
      </c>
      <c r="G365" s="50" t="n">
        <f aca="false">IF($A365="","",IF(ISNUMBER($G364),$G364+1,1))</f>
        <v>361</v>
      </c>
      <c r="H365" s="51" t="n">
        <f aca="false">IF(OR(NOT(ISNUMBER($G365)),$G365&lt;2,NOT(ISNUMBER($C364)),$C364=0),"",$C365/$C364-1)</f>
        <v>0.00882271850013794</v>
      </c>
      <c r="I365" s="52" t="n">
        <f aca="false">IF(AND(ISNUMBER($G365),$G365&gt;=MA_SHORT),AVERAGE(INDEX($C$5:$C365,362-MA_SHORT):$C365),"")</f>
        <v>7012.6</v>
      </c>
      <c r="J365" s="52" t="n">
        <f aca="false">IF(AND(ISNUMBER($G365),$G365&gt;=MA_MED),AVERAGE(INDEX($C$5:$C365,362-MA_MED):$C365),"")</f>
        <v>6720.08</v>
      </c>
      <c r="K365" s="52" t="n">
        <f aca="false">IF(AND(ISNUMBER($G365),$G365&gt;=MA_LONG2),AVERAGE(INDEX($C$5:$C365,362-MA_LONG2):$C365),"")</f>
        <v>5648.595</v>
      </c>
      <c r="L365" s="53" t="n">
        <f aca="false">IF(AND(ISNUMBER($G365),$G365&gt;=21),STDEV(INDEX($H$305:$H365,62-20):$H365)*SQRT(245),"")</f>
        <v>0.153886664498688</v>
      </c>
      <c r="M365" s="52" t="n">
        <f aca="false">IF(AND(ISNUMBER($G365),$G365&gt;=60),MAX(INDEX($D$165:$D365,202-60):$D365),"")</f>
        <v>7340</v>
      </c>
      <c r="N365" s="52" t="n">
        <f aca="false">IF(AND(ISNUMBER($G365),$G365&gt;=60),MIN(INDEX($E$165:$E365,202-60):$E365),"")</f>
        <v>6133</v>
      </c>
      <c r="O365" s="53" t="n">
        <f aca="false">IF(OR(NOT(ISNUMBER($C365)),NOT(ISNUMBER($M365)),$M365=0),"",$C365/$M365-1)</f>
        <v>-0.00299727520435966</v>
      </c>
    </row>
    <row r="366" customFormat="false" ht="15" hidden="false" customHeight="false" outlineLevel="0" collapsed="false">
      <c r="A366" s="47" t="n">
        <v>46075</v>
      </c>
      <c r="B366" s="48" t="s">
        <v>514</v>
      </c>
      <c r="C366" s="49" t="n">
        <v>7294</v>
      </c>
      <c r="D366" s="49" t="n">
        <v>7296</v>
      </c>
      <c r="E366" s="49" t="n">
        <v>7257</v>
      </c>
      <c r="F366" s="49" t="n">
        <v>0</v>
      </c>
      <c r="G366" s="50" t="n">
        <f aca="false">IF($A366="","",IF(ISNUMBER($G365),$G365+1,1))</f>
        <v>362</v>
      </c>
      <c r="H366" s="51" t="n">
        <f aca="false">IF(OR(NOT(ISNUMBER($G366)),$G366&lt;2,NOT(ISNUMBER($C365)),$C365=0),"",$C366/$C365-1)</f>
        <v>-0.00327958458595246</v>
      </c>
      <c r="I366" s="52" t="n">
        <f aca="false">IF(AND(ISNUMBER($G366),$G366&gt;=MA_SHORT),AVERAGE(INDEX($C$5:$C366,363-MA_SHORT):$C366),"")</f>
        <v>7038.35</v>
      </c>
      <c r="J366" s="52" t="n">
        <f aca="false">IF(AND(ISNUMBER($G366),$G366&gt;=MA_MED),AVERAGE(INDEX($C$5:$C366,363-MA_MED):$C366),"")</f>
        <v>6741.94</v>
      </c>
      <c r="K366" s="52" t="n">
        <f aca="false">IF(AND(ISNUMBER($G366),$G366&gt;=MA_LONG2),AVERAGE(INDEX($C$5:$C366,363-MA_LONG2):$C366),"")</f>
        <v>5661.73</v>
      </c>
      <c r="L366" s="53" t="n">
        <f aca="false">IF(AND(ISNUMBER($G366),$G366&gt;=21),STDEV(INDEX($H$306:$H366,62-20):$H366)*SQRT(245),"")</f>
        <v>0.155548175645032</v>
      </c>
      <c r="M366" s="52" t="n">
        <f aca="false">IF(AND(ISNUMBER($G366),$G366&gt;=60),MAX(INDEX($D$166:$D366,202-60):$D366),"")</f>
        <v>7340</v>
      </c>
      <c r="N366" s="52" t="n">
        <f aca="false">IF(AND(ISNUMBER($G366),$G366&gt;=60),MIN(INDEX($E$166:$E366,202-60):$E366),"")</f>
        <v>6133</v>
      </c>
      <c r="O366" s="53" t="n">
        <f aca="false">IF(OR(NOT(ISNUMBER($C366)),NOT(ISNUMBER($M366)),$M366=0),"",$C366/$M366-1)</f>
        <v>-0.00626702997275208</v>
      </c>
    </row>
    <row r="367" customFormat="false" ht="15" hidden="false" customHeight="false" outlineLevel="0" collapsed="false">
      <c r="A367" s="47" t="n">
        <v>46076</v>
      </c>
      <c r="B367" s="48" t="s">
        <v>515</v>
      </c>
      <c r="C367" s="49" t="n">
        <v>7176</v>
      </c>
      <c r="D367" s="49" t="n">
        <v>7177</v>
      </c>
      <c r="E367" s="49" t="n">
        <v>7140</v>
      </c>
      <c r="F367" s="49" t="n">
        <v>0</v>
      </c>
      <c r="G367" s="50" t="n">
        <f aca="false">IF($A367="","",IF(ISNUMBER($G366),$G366+1,1))</f>
        <v>363</v>
      </c>
      <c r="H367" s="51" t="n">
        <f aca="false">IF(OR(NOT(ISNUMBER($G367)),$G367&lt;2,NOT(ISNUMBER($C366)),$C366=0),"",$C367/$C366-1)</f>
        <v>-0.0161776802851659</v>
      </c>
      <c r="I367" s="52" t="n">
        <f aca="false">IF(AND(ISNUMBER($G367),$G367&gt;=MA_SHORT),AVERAGE(INDEX($C$5:$C367,364-MA_SHORT):$C367),"")</f>
        <v>7056.8</v>
      </c>
      <c r="J367" s="52" t="n">
        <f aca="false">IF(AND(ISNUMBER($G367),$G367&gt;=MA_MED),AVERAGE(INDEX($C$5:$C367,364-MA_MED):$C367),"")</f>
        <v>6761.9</v>
      </c>
      <c r="K367" s="52" t="n">
        <f aca="false">IF(AND(ISNUMBER($G367),$G367&gt;=MA_LONG2),AVERAGE(INDEX($C$5:$C367,364-MA_LONG2):$C367),"")</f>
        <v>5674.425</v>
      </c>
      <c r="L367" s="53" t="n">
        <f aca="false">IF(AND(ISNUMBER($G367),$G367&gt;=21),STDEV(INDEX($H$307:$H367,62-20):$H367)*SQRT(245),"")</f>
        <v>0.170380656167038</v>
      </c>
      <c r="M367" s="52" t="n">
        <f aca="false">IF(AND(ISNUMBER($G367),$G367&gt;=60),MAX(INDEX($D$167:$D367,202-60):$D367),"")</f>
        <v>7340</v>
      </c>
      <c r="N367" s="52" t="n">
        <f aca="false">IF(AND(ISNUMBER($G367),$G367&gt;=60),MIN(INDEX($E$167:$E367,202-60):$E367),"")</f>
        <v>6133</v>
      </c>
      <c r="O367" s="53" t="n">
        <f aca="false">IF(OR(NOT(ISNUMBER($C367)),NOT(ISNUMBER($M367)),$M367=0),"",$C367/$M367-1)</f>
        <v>-0.0223433242506812</v>
      </c>
    </row>
    <row r="368" customFormat="false" ht="15" hidden="false" customHeight="false" outlineLevel="0" collapsed="false">
      <c r="A368" s="47" t="n">
        <v>46077</v>
      </c>
      <c r="B368" s="48" t="s">
        <v>516</v>
      </c>
      <c r="C368" s="49" t="n">
        <v>7215</v>
      </c>
      <c r="D368" s="49" t="n">
        <v>7243</v>
      </c>
      <c r="E368" s="49" t="n">
        <v>7181</v>
      </c>
      <c r="F368" s="49" t="n">
        <v>0</v>
      </c>
      <c r="G368" s="50" t="n">
        <f aca="false">IF($A368="","",IF(ISNUMBER($G367),$G367+1,1))</f>
        <v>364</v>
      </c>
      <c r="H368" s="51" t="n">
        <f aca="false">IF(OR(NOT(ISNUMBER($G368)),$G368&lt;2,NOT(ISNUMBER($C367)),$C367=0),"",$C368/$C367-1)</f>
        <v>0.00543478260869557</v>
      </c>
      <c r="I368" s="52" t="n">
        <f aca="false">IF(AND(ISNUMBER($G368),$G368&gt;=MA_SHORT),AVERAGE(INDEX($C$5:$C368,365-MA_SHORT):$C368),"")</f>
        <v>7076.95</v>
      </c>
      <c r="J368" s="52" t="n">
        <f aca="false">IF(AND(ISNUMBER($G368),$G368&gt;=MA_MED),AVERAGE(INDEX($C$5:$C368,365-MA_MED):$C368),"")</f>
        <v>6781.9</v>
      </c>
      <c r="K368" s="52" t="n">
        <f aca="false">IF(AND(ISNUMBER($G368),$G368&gt;=MA_LONG2),AVERAGE(INDEX($C$5:$C368,365-MA_LONG2):$C368),"")</f>
        <v>5687.17</v>
      </c>
      <c r="L368" s="53" t="n">
        <f aca="false">IF(AND(ISNUMBER($G368),$G368&gt;=21),STDEV(INDEX($H$308:$H368,62-20):$H368)*SQRT(245),"")</f>
        <v>0.170475962185427</v>
      </c>
      <c r="M368" s="52" t="n">
        <f aca="false">IF(AND(ISNUMBER($G368),$G368&gt;=60),MAX(INDEX($D$168:$D368,202-60):$D368),"")</f>
        <v>7340</v>
      </c>
      <c r="N368" s="52" t="n">
        <f aca="false">IF(AND(ISNUMBER($G368),$G368&gt;=60),MIN(INDEX($E$168:$E368,202-60):$E368),"")</f>
        <v>6133</v>
      </c>
      <c r="O368" s="53" t="n">
        <f aca="false">IF(OR(NOT(ISNUMBER($C368)),NOT(ISNUMBER($M368)),$M368=0),"",$C368/$M368-1)</f>
        <v>-0.0170299727520435</v>
      </c>
    </row>
    <row r="369" customFormat="false" ht="15" hidden="false" customHeight="false" outlineLevel="0" collapsed="false">
      <c r="A369" s="47" t="n">
        <v>46078</v>
      </c>
      <c r="B369" s="48" t="s">
        <v>517</v>
      </c>
      <c r="C369" s="49" t="n">
        <v>7287</v>
      </c>
      <c r="D369" s="49" t="n">
        <v>7295</v>
      </c>
      <c r="E369" s="49" t="n">
        <v>7276</v>
      </c>
      <c r="F369" s="49" t="n">
        <v>0</v>
      </c>
      <c r="G369" s="50" t="n">
        <f aca="false">IF($A369="","",IF(ISNUMBER($G368),$G368+1,1))</f>
        <v>365</v>
      </c>
      <c r="H369" s="51" t="n">
        <f aca="false">IF(OR(NOT(ISNUMBER($G369)),$G369&lt;2,NOT(ISNUMBER($C368)),$C368=0),"",$C369/$C368-1)</f>
        <v>0.00997920997920998</v>
      </c>
      <c r="I369" s="52" t="n">
        <f aca="false">IF(AND(ISNUMBER($G369),$G369&gt;=MA_SHORT),AVERAGE(INDEX($C$5:$C369,366-MA_SHORT):$C369),"")</f>
        <v>7103.15</v>
      </c>
      <c r="J369" s="52" t="n">
        <f aca="false">IF(AND(ISNUMBER($G369),$G369&gt;=MA_MED),AVERAGE(INDEX($C$5:$C369,366-MA_MED):$C369),"")</f>
        <v>6802.38</v>
      </c>
      <c r="K369" s="52" t="n">
        <f aca="false">IF(AND(ISNUMBER($G369),$G369&gt;=MA_LONG2),AVERAGE(INDEX($C$5:$C369,366-MA_LONG2):$C369),"")</f>
        <v>5700.08</v>
      </c>
      <c r="L369" s="53" t="n">
        <f aca="false">IF(AND(ISNUMBER($G369),$G369&gt;=21),STDEV(INDEX($H$309:$H369,62-20):$H369)*SQRT(245),"")</f>
        <v>0.167896985374232</v>
      </c>
      <c r="M369" s="52" t="n">
        <f aca="false">IF(AND(ISNUMBER($G369),$G369&gt;=60),MAX(INDEX($D$169:$D369,202-60):$D369),"")</f>
        <v>7340</v>
      </c>
      <c r="N369" s="52" t="n">
        <f aca="false">IF(AND(ISNUMBER($G369),$G369&gt;=60),MIN(INDEX($E$169:$E369,202-60):$E369),"")</f>
        <v>6133</v>
      </c>
      <c r="O369" s="53" t="n">
        <f aca="false">IF(OR(NOT(ISNUMBER($C369)),NOT(ISNUMBER($M369)),$M369=0),"",$C369/$M369-1)</f>
        <v>-0.00722070844686651</v>
      </c>
    </row>
    <row r="370" customFormat="false" ht="15" hidden="false" customHeight="false" outlineLevel="0" collapsed="false">
      <c r="A370" s="47" t="n">
        <v>46081</v>
      </c>
      <c r="B370" s="48" t="s">
        <v>518</v>
      </c>
      <c r="C370" s="49" t="n">
        <v>7315</v>
      </c>
      <c r="D370" s="49" t="n">
        <v>7320</v>
      </c>
      <c r="E370" s="49" t="n">
        <v>7286</v>
      </c>
      <c r="F370" s="49" t="n">
        <v>0</v>
      </c>
      <c r="G370" s="50" t="n">
        <f aca="false">IF($A370="","",IF(ISNUMBER($G369),$G369+1,1))</f>
        <v>366</v>
      </c>
      <c r="H370" s="51" t="n">
        <f aca="false">IF(OR(NOT(ISNUMBER($G370)),$G370&lt;2,NOT(ISNUMBER($C369)),$C369=0),"",$C370/$C369-1)</f>
        <v>0.00384245917387127</v>
      </c>
      <c r="I370" s="52" t="n">
        <f aca="false">IF(AND(ISNUMBER($G370),$G370&gt;=MA_SHORT),AVERAGE(INDEX($C$5:$C370,367-MA_SHORT):$C370),"")</f>
        <v>7128.6</v>
      </c>
      <c r="J370" s="52" t="n">
        <f aca="false">IF(AND(ISNUMBER($G370),$G370&gt;=MA_MED),AVERAGE(INDEX($C$5:$C370,367-MA_MED):$C370),"")</f>
        <v>6822.44</v>
      </c>
      <c r="K370" s="52" t="n">
        <f aca="false">IF(AND(ISNUMBER($G370),$G370&gt;=MA_LONG2),AVERAGE(INDEX($C$5:$C370,367-MA_LONG2):$C370),"")</f>
        <v>5712.955</v>
      </c>
      <c r="L370" s="53" t="n">
        <f aca="false">IF(AND(ISNUMBER($G370),$G370&gt;=21),STDEV(INDEX($H$310:$H370,62-20):$H370)*SQRT(245),"")</f>
        <v>0.167632006760191</v>
      </c>
      <c r="M370" s="52" t="n">
        <f aca="false">IF(AND(ISNUMBER($G370),$G370&gt;=60),MAX(INDEX($D$170:$D370,202-60):$D370),"")</f>
        <v>7340</v>
      </c>
      <c r="N370" s="52" t="n">
        <f aca="false">IF(AND(ISNUMBER($G370),$G370&gt;=60),MIN(INDEX($E$170:$E370,202-60):$E370),"")</f>
        <v>6133</v>
      </c>
      <c r="O370" s="53" t="n">
        <f aca="false">IF(OR(NOT(ISNUMBER($C370)),NOT(ISNUMBER($M370)),$M370=0),"",$C370/$M370-1)</f>
        <v>-0.00340599455040869</v>
      </c>
    </row>
    <row r="371" customFormat="false" ht="15" hidden="false" customHeight="false" outlineLevel="0" collapsed="false">
      <c r="A371" s="47" t="n">
        <v>46082</v>
      </c>
      <c r="B371" s="48" t="s">
        <v>519</v>
      </c>
      <c r="C371" s="49" t="n">
        <v>7287</v>
      </c>
      <c r="D371" s="49" t="n">
        <v>7313</v>
      </c>
      <c r="E371" s="49" t="n">
        <v>7272</v>
      </c>
      <c r="F371" s="49" t="n">
        <v>0</v>
      </c>
      <c r="G371" s="50" t="n">
        <f aca="false">IF($A371="","",IF(ISNUMBER($G370),$G370+1,1))</f>
        <v>367</v>
      </c>
      <c r="H371" s="51" t="n">
        <f aca="false">IF(OR(NOT(ISNUMBER($G371)),$G371&lt;2,NOT(ISNUMBER($C370)),$C370=0),"",$C371/$C370-1)</f>
        <v>-0.00382775119617229</v>
      </c>
      <c r="I371" s="52" t="n">
        <f aca="false">IF(AND(ISNUMBER($G371),$G371&gt;=MA_SHORT),AVERAGE(INDEX($C$5:$C371,368-MA_SHORT):$C371),"")</f>
        <v>7158</v>
      </c>
      <c r="J371" s="52" t="n">
        <f aca="false">IF(AND(ISNUMBER($G371),$G371&gt;=MA_MED),AVERAGE(INDEX($C$5:$C371,368-MA_MED):$C371),"")</f>
        <v>6841.04</v>
      </c>
      <c r="K371" s="52" t="n">
        <f aca="false">IF(AND(ISNUMBER($G371),$G371&gt;=MA_LONG2),AVERAGE(INDEX($C$5:$C371,368-MA_LONG2):$C371),"")</f>
        <v>5725.68</v>
      </c>
      <c r="L371" s="53" t="n">
        <f aca="false">IF(AND(ISNUMBER($G371),$G371&gt;=21),STDEV(INDEX($H$311:$H371,62-20):$H371)*SQRT(245),"")</f>
        <v>0.15455201485657</v>
      </c>
      <c r="M371" s="52" t="n">
        <f aca="false">IF(AND(ISNUMBER($G371),$G371&gt;=60),MAX(INDEX($D$171:$D371,202-60):$D371),"")</f>
        <v>7340</v>
      </c>
      <c r="N371" s="52" t="n">
        <f aca="false">IF(AND(ISNUMBER($G371),$G371&gt;=60),MIN(INDEX($E$171:$E371,202-60):$E371),"")</f>
        <v>6133</v>
      </c>
      <c r="O371" s="53" t="n">
        <f aca="false">IF(OR(NOT(ISNUMBER($C371)),NOT(ISNUMBER($M371)),$M371=0),"",$C371/$M371-1)</f>
        <v>-0.00722070844686651</v>
      </c>
    </row>
    <row r="372" customFormat="false" ht="15" hidden="false" customHeight="false" outlineLevel="0" collapsed="false">
      <c r="A372" s="47" t="n">
        <v>46083</v>
      </c>
      <c r="B372" s="48" t="s">
        <v>520</v>
      </c>
      <c r="C372" s="49" t="n">
        <v>7176</v>
      </c>
      <c r="D372" s="49" t="n">
        <v>7176</v>
      </c>
      <c r="E372" s="49" t="n">
        <v>7142</v>
      </c>
      <c r="F372" s="49" t="n">
        <v>0</v>
      </c>
      <c r="G372" s="50" t="n">
        <f aca="false">IF($A372="","",IF(ISNUMBER($G371),$G371+1,1))</f>
        <v>368</v>
      </c>
      <c r="H372" s="51" t="n">
        <f aca="false">IF(OR(NOT(ISNUMBER($G372)),$G372&lt;2,NOT(ISNUMBER($C371)),$C371=0),"",$C372/$C371-1)</f>
        <v>-0.015232606010704</v>
      </c>
      <c r="I372" s="52" t="n">
        <f aca="false">IF(AND(ISNUMBER($G372),$G372&gt;=MA_SHORT),AVERAGE(INDEX($C$5:$C372,369-MA_SHORT):$C372),"")</f>
        <v>7176.9</v>
      </c>
      <c r="J372" s="52" t="n">
        <f aca="false">IF(AND(ISNUMBER($G372),$G372&gt;=MA_MED),AVERAGE(INDEX($C$5:$C372,369-MA_MED):$C372),"")</f>
        <v>6854.94</v>
      </c>
      <c r="K372" s="52" t="n">
        <f aca="false">IF(AND(ISNUMBER($G372),$G372&gt;=MA_LONG2),AVERAGE(INDEX($C$5:$C372,369-MA_LONG2):$C372),"")</f>
        <v>5738.22</v>
      </c>
      <c r="L372" s="53" t="n">
        <f aca="false">IF(AND(ISNUMBER($G372),$G372&gt;=21),STDEV(INDEX($H$312:$H372,62-20):$H372)*SQRT(245),"")</f>
        <v>0.163645476403478</v>
      </c>
      <c r="M372" s="52" t="n">
        <f aca="false">IF(AND(ISNUMBER($G372),$G372&gt;=60),MAX(INDEX($D$172:$D372,202-60):$D372),"")</f>
        <v>7340</v>
      </c>
      <c r="N372" s="52" t="n">
        <f aca="false">IF(AND(ISNUMBER($G372),$G372&gt;=60),MIN(INDEX($E$172:$E372,202-60):$E372),"")</f>
        <v>6133</v>
      </c>
      <c r="O372" s="53" t="n">
        <f aca="false">IF(OR(NOT(ISNUMBER($C372)),NOT(ISNUMBER($M372)),$M372=0),"",$C372/$M372-1)</f>
        <v>-0.0223433242506812</v>
      </c>
    </row>
    <row r="373" customFormat="false" ht="15" hidden="false" customHeight="false" outlineLevel="0" collapsed="false">
      <c r="A373" s="47" t="n">
        <v>46084</v>
      </c>
      <c r="B373" s="48" t="s">
        <v>521</v>
      </c>
      <c r="C373" s="49" t="n">
        <v>7082</v>
      </c>
      <c r="D373" s="49" t="n">
        <v>7121</v>
      </c>
      <c r="E373" s="49" t="n">
        <v>7068</v>
      </c>
      <c r="F373" s="49" t="n">
        <v>0</v>
      </c>
      <c r="G373" s="50" t="n">
        <f aca="false">IF($A373="","",IF(ISNUMBER($G372),$G372+1,1))</f>
        <v>369</v>
      </c>
      <c r="H373" s="51" t="n">
        <f aca="false">IF(OR(NOT(ISNUMBER($G373)),$G373&lt;2,NOT(ISNUMBER($C372)),$C372=0),"",$C373/$C372-1)</f>
        <v>-0.0130992196209587</v>
      </c>
      <c r="I373" s="52" t="n">
        <f aca="false">IF(AND(ISNUMBER($G373),$G373&gt;=MA_SHORT),AVERAGE(INDEX($C$5:$C373,370-MA_SHORT):$C373),"")</f>
        <v>7183.2</v>
      </c>
      <c r="J373" s="52" t="n">
        <f aca="false">IF(AND(ISNUMBER($G373),$G373&gt;=MA_MED),AVERAGE(INDEX($C$5:$C373,370-MA_MED):$C373),"")</f>
        <v>6865.4</v>
      </c>
      <c r="K373" s="52" t="n">
        <f aca="false">IF(AND(ISNUMBER($G373),$G373&gt;=MA_LONG2),AVERAGE(INDEX($C$5:$C373,370-MA_LONG2):$C373),"")</f>
        <v>5750.785</v>
      </c>
      <c r="L373" s="53" t="n">
        <f aca="false">IF(AND(ISNUMBER($G373),$G373&gt;=21),STDEV(INDEX($H$313:$H373,62-20):$H373)*SQRT(245),"")</f>
        <v>0.154152722551233</v>
      </c>
      <c r="M373" s="52" t="n">
        <f aca="false">IF(AND(ISNUMBER($G373),$G373&gt;=60),MAX(INDEX($D$173:$D373,202-60):$D373),"")</f>
        <v>7340</v>
      </c>
      <c r="N373" s="52" t="n">
        <f aca="false">IF(AND(ISNUMBER($G373),$G373&gt;=60),MIN(INDEX($E$173:$E373,202-60):$E373),"")</f>
        <v>6133</v>
      </c>
      <c r="O373" s="53" t="n">
        <f aca="false">IF(OR(NOT(ISNUMBER($C373)),NOT(ISNUMBER($M373)),$M373=0),"",$C373/$M373-1)</f>
        <v>-0.035149863760218</v>
      </c>
    </row>
    <row r="374" customFormat="false" ht="15" hidden="false" customHeight="false" outlineLevel="0" collapsed="false">
      <c r="A374" s="47" t="n">
        <v>46085</v>
      </c>
      <c r="B374" s="48" t="s">
        <v>522</v>
      </c>
      <c r="C374" s="49" t="n">
        <v>7051</v>
      </c>
      <c r="D374" s="49" t="n">
        <v>7113</v>
      </c>
      <c r="E374" s="49" t="n">
        <v>7032</v>
      </c>
      <c r="F374" s="49" t="n">
        <v>0</v>
      </c>
      <c r="G374" s="50" t="n">
        <f aca="false">IF($A374="","",IF(ISNUMBER($G373),$G373+1,1))</f>
        <v>370</v>
      </c>
      <c r="H374" s="51" t="n">
        <f aca="false">IF(OR(NOT(ISNUMBER($G374)),$G374&lt;2,NOT(ISNUMBER($C373)),$C373=0),"",$C374/$C373-1)</f>
        <v>-0.00437729454956226</v>
      </c>
      <c r="I374" s="52" t="n">
        <f aca="false">IF(AND(ISNUMBER($G374),$G374&gt;=MA_SHORT),AVERAGE(INDEX($C$5:$C374,371-MA_SHORT):$C374),"")</f>
        <v>7190.95</v>
      </c>
      <c r="J374" s="52" t="n">
        <f aca="false">IF(AND(ISNUMBER($G374),$G374&gt;=MA_MED),AVERAGE(INDEX($C$5:$C374,371-MA_MED):$C374),"")</f>
        <v>6876.64</v>
      </c>
      <c r="K374" s="52" t="n">
        <f aca="false">IF(AND(ISNUMBER($G374),$G374&gt;=MA_LONG2),AVERAGE(INDEX($C$5:$C374,371-MA_LONG2):$C374),"")</f>
        <v>5763.075</v>
      </c>
      <c r="L374" s="53" t="n">
        <f aca="false">IF(AND(ISNUMBER($G374),$G374&gt;=21),STDEV(INDEX($H$314:$H374,62-20):$H374)*SQRT(245),"")</f>
        <v>0.151445272606652</v>
      </c>
      <c r="M374" s="52" t="n">
        <f aca="false">IF(AND(ISNUMBER($G374),$G374&gt;=60),MAX(INDEX($D$174:$D374,202-60):$D374),"")</f>
        <v>7340</v>
      </c>
      <c r="N374" s="52" t="n">
        <f aca="false">IF(AND(ISNUMBER($G374),$G374&gt;=60),MIN(INDEX($E$174:$E374,202-60):$E374),"")</f>
        <v>6133</v>
      </c>
      <c r="O374" s="53" t="n">
        <f aca="false">IF(OR(NOT(ISNUMBER($C374)),NOT(ISNUMBER($M374)),$M374=0),"",$C374/$M374-1)</f>
        <v>-0.0393732970027249</v>
      </c>
    </row>
    <row r="375" customFormat="false" ht="15" hidden="false" customHeight="false" outlineLevel="0" collapsed="false">
      <c r="A375" s="47" t="n">
        <v>46088</v>
      </c>
      <c r="B375" s="48" t="s">
        <v>523</v>
      </c>
      <c r="C375" s="49" t="n">
        <v>6937</v>
      </c>
      <c r="D375" s="49" t="n">
        <v>6938</v>
      </c>
      <c r="E375" s="49" t="n">
        <v>6909</v>
      </c>
      <c r="F375" s="49" t="n">
        <v>0</v>
      </c>
      <c r="G375" s="50" t="n">
        <f aca="false">IF($A375="","",IF(ISNUMBER($G374),$G374+1,1))</f>
        <v>371</v>
      </c>
      <c r="H375" s="51" t="n">
        <f aca="false">IF(OR(NOT(ISNUMBER($G375)),$G375&lt;2,NOT(ISNUMBER($C374)),$C374=0),"",$C375/$C374-1)</f>
        <v>-0.0161679194440505</v>
      </c>
      <c r="I375" s="52" t="n">
        <f aca="false">IF(AND(ISNUMBER($G375),$G375&gt;=MA_SHORT),AVERAGE(INDEX($C$5:$C375,372-MA_SHORT):$C375),"")</f>
        <v>7190.55</v>
      </c>
      <c r="J375" s="52" t="n">
        <f aca="false">IF(AND(ISNUMBER($G375),$G375&gt;=MA_MED),AVERAGE(INDEX($C$5:$C375,372-MA_MED):$C375),"")</f>
        <v>6881.84</v>
      </c>
      <c r="K375" s="52" t="n">
        <f aca="false">IF(AND(ISNUMBER($G375),$G375&gt;=MA_LONG2),AVERAGE(INDEX($C$5:$C375,372-MA_LONG2):$C375),"")</f>
        <v>5775.11</v>
      </c>
      <c r="L375" s="53" t="n">
        <f aca="false">IF(AND(ISNUMBER($G375),$G375&gt;=21),STDEV(INDEX($H$315:$H375,62-20):$H375)*SQRT(245),"")</f>
        <v>0.161245921274796</v>
      </c>
      <c r="M375" s="52" t="n">
        <f aca="false">IF(AND(ISNUMBER($G375),$G375&gt;=60),MAX(INDEX($D$175:$D375,202-60):$D375),"")</f>
        <v>7340</v>
      </c>
      <c r="N375" s="52" t="n">
        <f aca="false">IF(AND(ISNUMBER($G375),$G375&gt;=60),MIN(INDEX($E$175:$E375,202-60):$E375),"")</f>
        <v>6162</v>
      </c>
      <c r="O375" s="53" t="n">
        <f aca="false">IF(OR(NOT(ISNUMBER($C375)),NOT(ISNUMBER($M375)),$M375=0),"",$C375/$M375-1)</f>
        <v>-0.0549046321525886</v>
      </c>
    </row>
    <row r="376" customFormat="false" ht="15" hidden="false" customHeight="false" outlineLevel="0" collapsed="false">
      <c r="A376" s="47" t="n">
        <v>46089</v>
      </c>
      <c r="B376" s="48" t="s">
        <v>524</v>
      </c>
      <c r="C376" s="49" t="n">
        <v>6971</v>
      </c>
      <c r="D376" s="49" t="n">
        <v>7011</v>
      </c>
      <c r="E376" s="49" t="n">
        <v>6964</v>
      </c>
      <c r="F376" s="49" t="n">
        <v>0</v>
      </c>
      <c r="G376" s="50" t="n">
        <f aca="false">IF($A376="","",IF(ISNUMBER($G375),$G375+1,1))</f>
        <v>372</v>
      </c>
      <c r="H376" s="51" t="n">
        <f aca="false">IF(OR(NOT(ISNUMBER($G376)),$G376&lt;2,NOT(ISNUMBER($C375)),$C375=0),"",$C376/$C375-1)</f>
        <v>0.00490125414444287</v>
      </c>
      <c r="I376" s="52" t="n">
        <f aca="false">IF(AND(ISNUMBER($G376),$G376&gt;=MA_SHORT),AVERAGE(INDEX($C$5:$C376,373-MA_SHORT):$C376),"")</f>
        <v>7188.9</v>
      </c>
      <c r="J376" s="52" t="n">
        <f aca="false">IF(AND(ISNUMBER($G376),$G376&gt;=MA_MED),AVERAGE(INDEX($C$5:$C376,373-MA_MED):$C376),"")</f>
        <v>6887.98</v>
      </c>
      <c r="K376" s="52" t="n">
        <f aca="false">IF(AND(ISNUMBER($G376),$G376&gt;=MA_LONG2),AVERAGE(INDEX($C$5:$C376,373-MA_LONG2):$C376),"")</f>
        <v>5786.995</v>
      </c>
      <c r="L376" s="53" t="n">
        <f aca="false">IF(AND(ISNUMBER($G376),$G376&gt;=21),STDEV(INDEX($H$316:$H376,62-20):$H376)*SQRT(245),"")</f>
        <v>0.15928086899044</v>
      </c>
      <c r="M376" s="52" t="n">
        <f aca="false">IF(AND(ISNUMBER($G376),$G376&gt;=60),MAX(INDEX($D$176:$D376,202-60):$D376),"")</f>
        <v>7340</v>
      </c>
      <c r="N376" s="52" t="n">
        <f aca="false">IF(AND(ISNUMBER($G376),$G376&gt;=60),MIN(INDEX($E$176:$E376,202-60):$E376),"")</f>
        <v>6162</v>
      </c>
      <c r="O376" s="53" t="n">
        <f aca="false">IF(OR(NOT(ISNUMBER($C376)),NOT(ISNUMBER($M376)),$M376=0),"",$C376/$M376-1)</f>
        <v>-0.0502724795640327</v>
      </c>
    </row>
    <row r="377" customFormat="false" ht="15" hidden="false" customHeight="false" outlineLevel="0" collapsed="false">
      <c r="A377" s="47" t="n">
        <v>46090</v>
      </c>
      <c r="B377" s="48" t="s">
        <v>525</v>
      </c>
      <c r="C377" s="49" t="n">
        <v>6900</v>
      </c>
      <c r="D377" s="49" t="n">
        <v>6934</v>
      </c>
      <c r="E377" s="49" t="n">
        <v>6874</v>
      </c>
      <c r="F377" s="49" t="n">
        <v>0</v>
      </c>
      <c r="G377" s="50" t="n">
        <f aca="false">IF($A377="","",IF(ISNUMBER($G376),$G376+1,1))</f>
        <v>373</v>
      </c>
      <c r="H377" s="51" t="n">
        <f aca="false">IF(OR(NOT(ISNUMBER($G377)),$G377&lt;2,NOT(ISNUMBER($C376)),$C376=0),"",$C377/$C376-1)</f>
        <v>-0.0101850523597762</v>
      </c>
      <c r="I377" s="52" t="n">
        <f aca="false">IF(AND(ISNUMBER($G377),$G377&gt;=MA_SHORT),AVERAGE(INDEX($C$5:$C377,374-MA_SHORT):$C377),"")</f>
        <v>7178.25</v>
      </c>
      <c r="J377" s="52" t="n">
        <f aca="false">IF(AND(ISNUMBER($G377),$G377&gt;=MA_MED),AVERAGE(INDEX($C$5:$C377,374-MA_MED):$C377),"")</f>
        <v>6893.46</v>
      </c>
      <c r="K377" s="52" t="n">
        <f aca="false">IF(AND(ISNUMBER($G377),$G377&gt;=MA_LONG2),AVERAGE(INDEX($C$5:$C377,374-MA_LONG2):$C377),"")</f>
        <v>5798.3</v>
      </c>
      <c r="L377" s="53" t="n">
        <f aca="false">IF(AND(ISNUMBER($G377),$G377&gt;=21),STDEV(INDEX($H$317:$H377,62-20):$H377)*SQRT(245),"")</f>
        <v>0.151767950734166</v>
      </c>
      <c r="M377" s="52" t="n">
        <f aca="false">IF(AND(ISNUMBER($G377),$G377&gt;=60),MAX(INDEX($D$177:$D377,202-60):$D377),"")</f>
        <v>7340</v>
      </c>
      <c r="N377" s="52" t="n">
        <f aca="false">IF(AND(ISNUMBER($G377),$G377&gt;=60),MIN(INDEX($E$177:$E377,202-60):$E377),"")</f>
        <v>6187</v>
      </c>
      <c r="O377" s="53" t="n">
        <f aca="false">IF(OR(NOT(ISNUMBER($C377)),NOT(ISNUMBER($M377)),$M377=0),"",$C377/$M377-1)</f>
        <v>-0.0599455040871935</v>
      </c>
    </row>
    <row r="378" customFormat="false" ht="15" hidden="false" customHeight="false" outlineLevel="0" collapsed="false">
      <c r="A378" s="47" t="n">
        <v>46091</v>
      </c>
      <c r="B378" s="48" t="s">
        <v>526</v>
      </c>
      <c r="C378" s="49" t="n">
        <v>6836</v>
      </c>
      <c r="D378" s="49" t="n">
        <v>6846</v>
      </c>
      <c r="E378" s="49" t="n">
        <v>6826</v>
      </c>
      <c r="F378" s="49" t="n">
        <v>0</v>
      </c>
      <c r="G378" s="50" t="n">
        <f aca="false">IF($A378="","",IF(ISNUMBER($G377),$G377+1,1))</f>
        <v>374</v>
      </c>
      <c r="H378" s="51" t="n">
        <f aca="false">IF(OR(NOT(ISNUMBER($G378)),$G378&lt;2,NOT(ISNUMBER($C377)),$C377=0),"",$C378/$C377-1)</f>
        <v>-0.00927536231884063</v>
      </c>
      <c r="I378" s="52" t="n">
        <f aca="false">IF(AND(ISNUMBER($G378),$G378&gt;=MA_SHORT),AVERAGE(INDEX($C$5:$C378,375-MA_SHORT):$C378),"")</f>
        <v>7161.3</v>
      </c>
      <c r="J378" s="52" t="n">
        <f aca="false">IF(AND(ISNUMBER($G378),$G378&gt;=MA_MED),AVERAGE(INDEX($C$5:$C378,375-MA_MED):$C378),"")</f>
        <v>6899.42</v>
      </c>
      <c r="K378" s="52" t="n">
        <f aca="false">IF(AND(ISNUMBER($G378),$G378&gt;=MA_LONG2),AVERAGE(INDEX($C$5:$C378,375-MA_LONG2):$C378),"")</f>
        <v>5809.03</v>
      </c>
      <c r="L378" s="53" t="n">
        <f aca="false">IF(AND(ISNUMBER($G378),$G378&gt;=21),STDEV(INDEX($H$318:$H378,62-20):$H378)*SQRT(245),"")</f>
        <v>0.149232773488453</v>
      </c>
      <c r="M378" s="52" t="n">
        <f aca="false">IF(AND(ISNUMBER($G378),$G378&gt;=60),MAX(INDEX($D$178:$D378,202-60):$D378),"")</f>
        <v>7340</v>
      </c>
      <c r="N378" s="52" t="n">
        <f aca="false">IF(AND(ISNUMBER($G378),$G378&gt;=60),MIN(INDEX($E$178:$E378,202-60):$E378),"")</f>
        <v>6251</v>
      </c>
      <c r="O378" s="53" t="n">
        <f aca="false">IF(OR(NOT(ISNUMBER($C378)),NOT(ISNUMBER($M378)),$M378=0),"",$C378/$M378-1)</f>
        <v>-0.0686648501362398</v>
      </c>
    </row>
    <row r="379" customFormat="false" ht="15" hidden="false" customHeight="false" outlineLevel="0" collapsed="false">
      <c r="A379" s="47" t="n">
        <v>46092</v>
      </c>
      <c r="B379" s="48" t="s">
        <v>527</v>
      </c>
      <c r="C379" s="49" t="n">
        <v>6865</v>
      </c>
      <c r="D379" s="49" t="n">
        <v>6871</v>
      </c>
      <c r="E379" s="49" t="n">
        <v>6840</v>
      </c>
      <c r="F379" s="49" t="n">
        <v>0</v>
      </c>
      <c r="G379" s="50" t="n">
        <f aca="false">IF($A379="","",IF(ISNUMBER($G378),$G378+1,1))</f>
        <v>375</v>
      </c>
      <c r="H379" s="51" t="n">
        <f aca="false">IF(OR(NOT(ISNUMBER($G379)),$G379&lt;2,NOT(ISNUMBER($C378)),$C378=0),"",$C379/$C378-1)</f>
        <v>0.0042422469280281</v>
      </c>
      <c r="I379" s="52" t="n">
        <f aca="false">IF(AND(ISNUMBER($G379),$G379&gt;=MA_SHORT),AVERAGE(INDEX($C$5:$C379,376-MA_SHORT):$C379),"")</f>
        <v>7147</v>
      </c>
      <c r="J379" s="52" t="n">
        <f aca="false">IF(AND(ISNUMBER($G379),$G379&gt;=MA_MED),AVERAGE(INDEX($C$5:$C379,376-MA_MED):$C379),"")</f>
        <v>6906.42</v>
      </c>
      <c r="K379" s="52" t="n">
        <f aca="false">IF(AND(ISNUMBER($G379),$G379&gt;=MA_LONG2),AVERAGE(INDEX($C$5:$C379,376-MA_LONG2):$C379),"")</f>
        <v>5819.93</v>
      </c>
      <c r="L379" s="53" t="n">
        <f aca="false">IF(AND(ISNUMBER($G379),$G379&gt;=21),STDEV(INDEX($H$319:$H379,62-20):$H379)*SQRT(245),"")</f>
        <v>0.150948946744549</v>
      </c>
      <c r="M379" s="52" t="n">
        <f aca="false">IF(AND(ISNUMBER($G379),$G379&gt;=60),MAX(INDEX($D$179:$D379,202-60):$D379),"")</f>
        <v>7340</v>
      </c>
      <c r="N379" s="52" t="n">
        <f aca="false">IF(AND(ISNUMBER($G379),$G379&gt;=60),MIN(INDEX($E$179:$E379,202-60):$E379),"")</f>
        <v>6291</v>
      </c>
      <c r="O379" s="53" t="n">
        <f aca="false">IF(OR(NOT(ISNUMBER($C379)),NOT(ISNUMBER($M379)),$M379=0),"",$C379/$M379-1)</f>
        <v>-0.0647138964577657</v>
      </c>
    </row>
    <row r="380" customFormat="false" ht="15" hidden="false" customHeight="false" outlineLevel="0" collapsed="false">
      <c r="A380" s="47" t="n">
        <v>46095</v>
      </c>
      <c r="B380" s="48" t="s">
        <v>528</v>
      </c>
      <c r="C380" s="49" t="n">
        <v>6838</v>
      </c>
      <c r="D380" s="49" t="n">
        <v>6880</v>
      </c>
      <c r="E380" s="49" t="n">
        <v>6766</v>
      </c>
      <c r="F380" s="49" t="n">
        <v>0</v>
      </c>
      <c r="G380" s="50" t="n">
        <f aca="false">IF($A380="","",IF(ISNUMBER($G379),$G379+1,1))</f>
        <v>376</v>
      </c>
      <c r="H380" s="51" t="n">
        <f aca="false">IF(OR(NOT(ISNUMBER($G380)),$G380&lt;2,NOT(ISNUMBER($C379)),$C379=0),"",$C380/$C379-1)</f>
        <v>-0.00393299344501097</v>
      </c>
      <c r="I380" s="52" t="n">
        <f aca="false">IF(AND(ISNUMBER($G380),$G380&gt;=MA_SHORT),AVERAGE(INDEX($C$5:$C380,377-MA_SHORT):$C380),"")</f>
        <v>7129.85</v>
      </c>
      <c r="J380" s="52" t="n">
        <f aca="false">IF(AND(ISNUMBER($G380),$G380&gt;=MA_MED),AVERAGE(INDEX($C$5:$C380,377-MA_MED):$C380),"")</f>
        <v>6912.38</v>
      </c>
      <c r="K380" s="52" t="n">
        <f aca="false">IF(AND(ISNUMBER($G380),$G380&gt;=MA_LONG2),AVERAGE(INDEX($C$5:$C380,377-MA_LONG2):$C380),"")</f>
        <v>5830.525</v>
      </c>
      <c r="L380" s="53" t="n">
        <f aca="false">IF(AND(ISNUMBER($G380),$G380&gt;=21),STDEV(INDEX($H$320:$H380,62-20):$H380)*SQRT(245),"")</f>
        <v>0.149323186026221</v>
      </c>
      <c r="M380" s="52" t="n">
        <f aca="false">IF(AND(ISNUMBER($G380),$G380&gt;=60),MAX(INDEX($D$180:$D380,202-60):$D380),"")</f>
        <v>7340</v>
      </c>
      <c r="N380" s="52" t="n">
        <f aca="false">IF(AND(ISNUMBER($G380),$G380&gt;=60),MIN(INDEX($E$180:$E380,202-60):$E380),"")</f>
        <v>6291</v>
      </c>
      <c r="O380" s="53" t="n">
        <f aca="false">IF(OR(NOT(ISNUMBER($C380)),NOT(ISNUMBER($M380)),$M380=0),"",$C380/$M380-1)</f>
        <v>-0.068392370572207</v>
      </c>
    </row>
    <row r="381" customFormat="false" ht="15" hidden="false" customHeight="false" outlineLevel="0" collapsed="false">
      <c r="A381" s="47" t="n">
        <v>46096</v>
      </c>
      <c r="B381" s="48" t="s">
        <v>529</v>
      </c>
      <c r="C381" s="49" t="n">
        <v>6817</v>
      </c>
      <c r="D381" s="49" t="n">
        <v>6856</v>
      </c>
      <c r="E381" s="49" t="n">
        <v>6815</v>
      </c>
      <c r="F381" s="49" t="n">
        <v>0</v>
      </c>
      <c r="G381" s="50" t="n">
        <f aca="false">IF($A381="","",IF(ISNUMBER($G380),$G380+1,1))</f>
        <v>377</v>
      </c>
      <c r="H381" s="51" t="n">
        <f aca="false">IF(OR(NOT(ISNUMBER($G381)),$G381&lt;2,NOT(ISNUMBER($C380)),$C380=0),"",$C381/$C380-1)</f>
        <v>-0.00307107341327872</v>
      </c>
      <c r="I381" s="52" t="n">
        <f aca="false">IF(AND(ISNUMBER($G381),$G381&gt;=MA_SHORT),AVERAGE(INDEX($C$5:$C381,378-MA_SHORT):$C381),"")</f>
        <v>7105.2</v>
      </c>
      <c r="J381" s="52" t="n">
        <f aca="false">IF(AND(ISNUMBER($G381),$G381&gt;=MA_MED),AVERAGE(INDEX($C$5:$C381,378-MA_MED):$C381),"")</f>
        <v>6918.6</v>
      </c>
      <c r="K381" s="52" t="n">
        <f aca="false">IF(AND(ISNUMBER($G381),$G381&gt;=MA_LONG2),AVERAGE(INDEX($C$5:$C381,378-MA_LONG2):$C381),"")</f>
        <v>5840.99</v>
      </c>
      <c r="L381" s="53" t="n">
        <f aca="false">IF(AND(ISNUMBER($G381),$G381&gt;=21),STDEV(INDEX($H$321:$H381,62-20):$H381)*SQRT(245),"")</f>
        <v>0.129112589045589</v>
      </c>
      <c r="M381" s="52" t="n">
        <f aca="false">IF(AND(ISNUMBER($G381),$G381&gt;=60),MAX(INDEX($D$181:$D381,202-60):$D381),"")</f>
        <v>7340</v>
      </c>
      <c r="N381" s="52" t="n">
        <f aca="false">IF(AND(ISNUMBER($G381),$G381&gt;=60),MIN(INDEX($E$181:$E381,202-60):$E381),"")</f>
        <v>6291</v>
      </c>
      <c r="O381" s="53" t="n">
        <f aca="false">IF(OR(NOT(ISNUMBER($C381)),NOT(ISNUMBER($M381)),$M381=0),"",$C381/$M381-1)</f>
        <v>-0.0712534059945504</v>
      </c>
    </row>
    <row r="382" customFormat="false" ht="15" hidden="false" customHeight="false" outlineLevel="0" collapsed="false">
      <c r="A382" s="47" t="n">
        <v>46097</v>
      </c>
      <c r="B382" s="48" t="s">
        <v>530</v>
      </c>
      <c r="C382" s="49" t="n">
        <v>6838</v>
      </c>
      <c r="D382" s="49" t="n">
        <v>6877</v>
      </c>
      <c r="E382" s="49" t="n">
        <v>6811</v>
      </c>
      <c r="F382" s="49" t="n">
        <v>0</v>
      </c>
      <c r="G382" s="50" t="n">
        <f aca="false">IF($A382="","",IF(ISNUMBER($G381),$G381+1,1))</f>
        <v>378</v>
      </c>
      <c r="H382" s="51" t="n">
        <f aca="false">IF(OR(NOT(ISNUMBER($G382)),$G382&lt;2,NOT(ISNUMBER($C381)),$C381=0),"",$C382/$C381-1)</f>
        <v>0.0030805339592197</v>
      </c>
      <c r="I382" s="52" t="n">
        <f aca="false">IF(AND(ISNUMBER($G382),$G382&gt;=MA_SHORT),AVERAGE(INDEX($C$5:$C382,379-MA_SHORT):$C382),"")</f>
        <v>7084.25</v>
      </c>
      <c r="J382" s="52" t="n">
        <f aca="false">IF(AND(ISNUMBER($G382),$G382&gt;=MA_MED),AVERAGE(INDEX($C$5:$C382,379-MA_MED):$C382),"")</f>
        <v>6928.96</v>
      </c>
      <c r="K382" s="52" t="n">
        <f aca="false">IF(AND(ISNUMBER($G382),$G382&gt;=MA_LONG2),AVERAGE(INDEX($C$5:$C382,379-MA_LONG2):$C382),"")</f>
        <v>5851.3</v>
      </c>
      <c r="L382" s="53" t="n">
        <f aca="false">IF(AND(ISNUMBER($G382),$G382&gt;=21),STDEV(INDEX($H$322:$H382,62-20):$H382)*SQRT(245),"")</f>
        <v>0.130252287794192</v>
      </c>
      <c r="M382" s="52" t="n">
        <f aca="false">IF(AND(ISNUMBER($G382),$G382&gt;=60),MAX(INDEX($D$182:$D382,202-60):$D382),"")</f>
        <v>7340</v>
      </c>
      <c r="N382" s="52" t="n">
        <f aca="false">IF(AND(ISNUMBER($G382),$G382&gt;=60),MIN(INDEX($E$182:$E382,202-60):$E382),"")</f>
        <v>6291</v>
      </c>
      <c r="O382" s="53" t="n">
        <f aca="false">IF(OR(NOT(ISNUMBER($C382)),NOT(ISNUMBER($M382)),$M382=0),"",$C382/$M382-1)</f>
        <v>-0.068392370572207</v>
      </c>
    </row>
    <row r="383" customFormat="false" ht="15" hidden="false" customHeight="false" outlineLevel="0" collapsed="false">
      <c r="A383" s="47" t="n">
        <v>46098</v>
      </c>
      <c r="B383" s="48" t="s">
        <v>531</v>
      </c>
      <c r="C383" s="49" t="n">
        <v>6870</v>
      </c>
      <c r="D383" s="49" t="n">
        <v>6888</v>
      </c>
      <c r="E383" s="49" t="n">
        <v>6868</v>
      </c>
      <c r="F383" s="49" t="n">
        <v>0</v>
      </c>
      <c r="G383" s="50" t="n">
        <f aca="false">IF($A383="","",IF(ISNUMBER($G382),$G382+1,1))</f>
        <v>379</v>
      </c>
      <c r="H383" s="51" t="n">
        <f aca="false">IF(OR(NOT(ISNUMBER($G383)),$G383&lt;2,NOT(ISNUMBER($C382)),$C382=0),"",$C383/$C382-1)</f>
        <v>0.00467973091547247</v>
      </c>
      <c r="I383" s="52" t="n">
        <f aca="false">IF(AND(ISNUMBER($G383),$G383&gt;=MA_SHORT),AVERAGE(INDEX($C$5:$C383,380-MA_SHORT):$C383),"")</f>
        <v>7066.35</v>
      </c>
      <c r="J383" s="52" t="n">
        <f aca="false">IF(AND(ISNUMBER($G383),$G383&gt;=MA_MED),AVERAGE(INDEX($C$5:$C383,380-MA_MED):$C383),"")</f>
        <v>6938.04</v>
      </c>
      <c r="K383" s="52" t="n">
        <f aca="false">IF(AND(ISNUMBER($G383),$G383&gt;=MA_LONG2),AVERAGE(INDEX($C$5:$C383,380-MA_LONG2):$C383),"")</f>
        <v>5861.895</v>
      </c>
      <c r="L383" s="53" t="n">
        <f aca="false">IF(AND(ISNUMBER($G383),$G383&gt;=21),STDEV(INDEX($H$323:$H383,62-20):$H383)*SQRT(245),"")</f>
        <v>0.132855368714825</v>
      </c>
      <c r="M383" s="52" t="n">
        <f aca="false">IF(AND(ISNUMBER($G383),$G383&gt;=60),MAX(INDEX($D$183:$D383,202-60):$D383),"")</f>
        <v>7340</v>
      </c>
      <c r="N383" s="52" t="n">
        <f aca="false">IF(AND(ISNUMBER($G383),$G383&gt;=60),MIN(INDEX($E$183:$E383,202-60):$E383),"")</f>
        <v>6291</v>
      </c>
      <c r="O383" s="53" t="n">
        <f aca="false">IF(OR(NOT(ISNUMBER($C383)),NOT(ISNUMBER($M383)),$M383=0),"",$C383/$M383-1)</f>
        <v>-0.0640326975476839</v>
      </c>
    </row>
    <row r="384" customFormat="false" ht="15" hidden="false" customHeight="false" outlineLevel="0" collapsed="false">
      <c r="A384" s="47" t="n">
        <v>46099</v>
      </c>
      <c r="B384" s="48" t="s">
        <v>532</v>
      </c>
      <c r="C384" s="49" t="n">
        <v>6781</v>
      </c>
      <c r="D384" s="49" t="n">
        <v>6806</v>
      </c>
      <c r="E384" s="49" t="n">
        <v>6744</v>
      </c>
      <c r="F384" s="49" t="n">
        <v>0</v>
      </c>
      <c r="G384" s="50" t="n">
        <f aca="false">IF($A384="","",IF(ISNUMBER($G383),$G383+1,1))</f>
        <v>380</v>
      </c>
      <c r="H384" s="51" t="n">
        <f aca="false">IF(OR(NOT(ISNUMBER($G384)),$G384&lt;2,NOT(ISNUMBER($C383)),$C383=0),"",$C384/$C383-1)</f>
        <v>-0.0129548762736535</v>
      </c>
      <c r="I384" s="52" t="n">
        <f aca="false">IF(AND(ISNUMBER($G384),$G384&gt;=MA_SHORT),AVERAGE(INDEX($C$5:$C384,381-MA_SHORT):$C384),"")</f>
        <v>7042.7</v>
      </c>
      <c r="J384" s="52" t="n">
        <f aca="false">IF(AND(ISNUMBER($G384),$G384&gt;=MA_MED),AVERAGE(INDEX($C$5:$C384,381-MA_MED):$C384),"")</f>
        <v>6945.14</v>
      </c>
      <c r="K384" s="52" t="n">
        <f aca="false">IF(AND(ISNUMBER($G384),$G384&gt;=MA_LONG2),AVERAGE(INDEX($C$5:$C384,381-MA_LONG2):$C384),"")</f>
        <v>5872.595</v>
      </c>
      <c r="L384" s="53" t="n">
        <f aca="false">IF(AND(ISNUMBER($G384),$G384&gt;=21),STDEV(INDEX($H$324:$H384,62-20):$H384)*SQRT(245),"")</f>
        <v>0.135657696804737</v>
      </c>
      <c r="M384" s="52" t="n">
        <f aca="false">IF(AND(ISNUMBER($G384),$G384&gt;=60),MAX(INDEX($D$184:$D384,202-60):$D384),"")</f>
        <v>7340</v>
      </c>
      <c r="N384" s="52" t="n">
        <f aca="false">IF(AND(ISNUMBER($G384),$G384&gt;=60),MIN(INDEX($E$184:$E384,202-60):$E384),"")</f>
        <v>6291</v>
      </c>
      <c r="O384" s="53" t="n">
        <f aca="false">IF(OR(NOT(ISNUMBER($C384)),NOT(ISNUMBER($M384)),$M384=0),"",$C384/$M384-1)</f>
        <v>-0.076158038147139</v>
      </c>
    </row>
    <row r="385" customFormat="false" ht="15" hidden="false" customHeight="false" outlineLevel="0" collapsed="false">
      <c r="A385" s="47" t="n">
        <v>46102</v>
      </c>
      <c r="B385" s="48" t="s">
        <v>533</v>
      </c>
      <c r="C385" s="49" t="n">
        <v>6644</v>
      </c>
      <c r="D385" s="49" t="n">
        <v>6691</v>
      </c>
      <c r="E385" s="49" t="n">
        <v>6618</v>
      </c>
      <c r="F385" s="49" t="n">
        <v>0</v>
      </c>
      <c r="G385" s="50" t="n">
        <f aca="false">IF($A385="","",IF(ISNUMBER($G384),$G384+1,1))</f>
        <v>381</v>
      </c>
      <c r="H385" s="51" t="n">
        <f aca="false">IF(OR(NOT(ISNUMBER($G385)),$G385&lt;2,NOT(ISNUMBER($C384)),$C384=0),"",$C385/$C384-1)</f>
        <v>-0.0202035098068132</v>
      </c>
      <c r="I385" s="52" t="n">
        <f aca="false">IF(AND(ISNUMBER($G385),$G385&gt;=MA_SHORT),AVERAGE(INDEX($C$5:$C385,382-MA_SHORT):$C385),"")</f>
        <v>7009</v>
      </c>
      <c r="J385" s="52" t="n">
        <f aca="false">IF(AND(ISNUMBER($G385),$G385&gt;=MA_MED),AVERAGE(INDEX($C$5:$C385,382-MA_MED):$C385),"")</f>
        <v>6951.2</v>
      </c>
      <c r="K385" s="52" t="n">
        <f aca="false">IF(AND(ISNUMBER($G385),$G385&gt;=MA_LONG2),AVERAGE(INDEX($C$5:$C385,382-MA_LONG2):$C385),"")</f>
        <v>5882.785</v>
      </c>
      <c r="L385" s="53" t="n">
        <f aca="false">IF(AND(ISNUMBER($G385),$G385&gt;=21),STDEV(INDEX($H$325:$H385,62-20):$H385)*SQRT(245),"")</f>
        <v>0.14009563468533</v>
      </c>
      <c r="M385" s="52" t="n">
        <f aca="false">IF(AND(ISNUMBER($G385),$G385&gt;=60),MAX(INDEX($D$185:$D385,202-60):$D385),"")</f>
        <v>7340</v>
      </c>
      <c r="N385" s="52" t="n">
        <f aca="false">IF(AND(ISNUMBER($G385),$G385&gt;=60),MIN(INDEX($E$185:$E385,202-60):$E385),"")</f>
        <v>6291</v>
      </c>
      <c r="O385" s="53" t="n">
        <f aca="false">IF(OR(NOT(ISNUMBER($C385)),NOT(ISNUMBER($M385)),$M385=0),"",$C385/$M385-1)</f>
        <v>-0.0948228882833787</v>
      </c>
    </row>
    <row r="386" customFormat="false" ht="15" hidden="false" customHeight="false" outlineLevel="0" collapsed="false">
      <c r="A386" s="47" t="n">
        <v>46103</v>
      </c>
      <c r="B386" s="48" t="s">
        <v>534</v>
      </c>
      <c r="C386" s="49" t="n">
        <v>6731</v>
      </c>
      <c r="D386" s="49" t="n">
        <v>6751</v>
      </c>
      <c r="E386" s="49" t="n">
        <v>6720</v>
      </c>
      <c r="F386" s="49" t="n">
        <v>0</v>
      </c>
      <c r="G386" s="50" t="n">
        <f aca="false">IF($A386="","",IF(ISNUMBER($G385),$G385+1,1))</f>
        <v>382</v>
      </c>
      <c r="H386" s="51" t="n">
        <f aca="false">IF(OR(NOT(ISNUMBER($G386)),$G386&lt;2,NOT(ISNUMBER($C385)),$C385=0),"",$C386/$C385-1)</f>
        <v>0.013094521372667</v>
      </c>
      <c r="I386" s="52" t="n">
        <f aca="false">IF(AND(ISNUMBER($G386),$G386&gt;=MA_SHORT),AVERAGE(INDEX($C$5:$C386,383-MA_SHORT):$C386),"")</f>
        <v>6980.85</v>
      </c>
      <c r="J386" s="52" t="n">
        <f aca="false">IF(AND(ISNUMBER($G386),$G386&gt;=MA_MED),AVERAGE(INDEX($C$5:$C386,383-MA_MED):$C386),"")</f>
        <v>6956.22</v>
      </c>
      <c r="K386" s="52" t="n">
        <f aca="false">IF(AND(ISNUMBER($G386),$G386&gt;=MA_LONG2),AVERAGE(INDEX($C$5:$C386,383-MA_LONG2):$C386),"")</f>
        <v>5893.635</v>
      </c>
      <c r="L386" s="53" t="n">
        <f aca="false">IF(AND(ISNUMBER($G386),$G386&gt;=21),STDEV(INDEX($H$326:$H386,62-20):$H386)*SQRT(245),"")</f>
        <v>0.153444671664367</v>
      </c>
      <c r="M386" s="52" t="n">
        <f aca="false">IF(AND(ISNUMBER($G386),$G386&gt;=60),MAX(INDEX($D$186:$D386,202-60):$D386),"")</f>
        <v>7340</v>
      </c>
      <c r="N386" s="52" t="n">
        <f aca="false">IF(AND(ISNUMBER($G386),$G386&gt;=60),MIN(INDEX($E$186:$E386,202-60):$E386),"")</f>
        <v>6291</v>
      </c>
      <c r="O386" s="53" t="n">
        <f aca="false">IF(OR(NOT(ISNUMBER($C386)),NOT(ISNUMBER($M386)),$M386=0),"",$C386/$M386-1)</f>
        <v>-0.0829700272479564</v>
      </c>
    </row>
    <row r="387" customFormat="false" ht="15" hidden="false" customHeight="false" outlineLevel="0" collapsed="false">
      <c r="A387" s="47" t="n">
        <v>46104</v>
      </c>
      <c r="B387" s="48" t="s">
        <v>535</v>
      </c>
      <c r="C387" s="49" t="n">
        <v>6797</v>
      </c>
      <c r="D387" s="49" t="n">
        <v>6799</v>
      </c>
      <c r="E387" s="49" t="n">
        <v>6757</v>
      </c>
      <c r="F387" s="49" t="n">
        <v>0</v>
      </c>
      <c r="G387" s="50" t="n">
        <f aca="false">IF($A387="","",IF(ISNUMBER($G386),$G386+1,1))</f>
        <v>383</v>
      </c>
      <c r="H387" s="51" t="n">
        <f aca="false">IF(OR(NOT(ISNUMBER($G387)),$G387&lt;2,NOT(ISNUMBER($C386)),$C386=0),"",$C387/$C386-1)</f>
        <v>0.00980537810132232</v>
      </c>
      <c r="I387" s="52" t="n">
        <f aca="false">IF(AND(ISNUMBER($G387),$G387&gt;=MA_SHORT),AVERAGE(INDEX($C$5:$C387,384-MA_SHORT):$C387),"")</f>
        <v>6961.9</v>
      </c>
      <c r="J387" s="52" t="n">
        <f aca="false">IF(AND(ISNUMBER($G387),$G387&gt;=MA_MED),AVERAGE(INDEX($C$5:$C387,384-MA_MED):$C387),"")</f>
        <v>6959.88</v>
      </c>
      <c r="K387" s="52" t="n">
        <f aca="false">IF(AND(ISNUMBER($G387),$G387&gt;=MA_LONG2),AVERAGE(INDEX($C$5:$C387,384-MA_LONG2):$C387),"")</f>
        <v>5904.71</v>
      </c>
      <c r="L387" s="53" t="n">
        <f aca="false">IF(AND(ISNUMBER($G387),$G387&gt;=21),STDEV(INDEX($H$327:$H387,62-20):$H387)*SQRT(245),"")</f>
        <v>0.153721293992875</v>
      </c>
      <c r="M387" s="52" t="n">
        <f aca="false">IF(AND(ISNUMBER($G387),$G387&gt;=60),MAX(INDEX($D$187:$D387,202-60):$D387),"")</f>
        <v>7340</v>
      </c>
      <c r="N387" s="52" t="n">
        <f aca="false">IF(AND(ISNUMBER($G387),$G387&gt;=60),MIN(INDEX($E$187:$E387,202-60):$E387),"")</f>
        <v>6291</v>
      </c>
      <c r="O387" s="53" t="n">
        <f aca="false">IF(OR(NOT(ISNUMBER($C387)),NOT(ISNUMBER($M387)),$M387=0),"",$C387/$M387-1)</f>
        <v>-0.0739782016348773</v>
      </c>
    </row>
    <row r="388" customFormat="false" ht="15" hidden="false" customHeight="false" outlineLevel="0" collapsed="false">
      <c r="A388" s="47" t="n">
        <v>46105</v>
      </c>
      <c r="B388" s="48" t="s">
        <v>536</v>
      </c>
      <c r="C388" s="49" t="n">
        <v>6846</v>
      </c>
      <c r="D388" s="49" t="n">
        <v>6846</v>
      </c>
      <c r="E388" s="49" t="n">
        <v>6818</v>
      </c>
      <c r="F388" s="49" t="n">
        <v>0</v>
      </c>
      <c r="G388" s="50" t="n">
        <f aca="false">IF($A388="","",IF(ISNUMBER($G387),$G387+1,1))</f>
        <v>384</v>
      </c>
      <c r="H388" s="51" t="n">
        <f aca="false">IF(OR(NOT(ISNUMBER($G388)),$G388&lt;2,NOT(ISNUMBER($C387)),$C387=0),"",$C388/$C387-1)</f>
        <v>0.00720906282183309</v>
      </c>
      <c r="I388" s="52" t="n">
        <f aca="false">IF(AND(ISNUMBER($G388),$G388&gt;=MA_SHORT),AVERAGE(INDEX($C$5:$C388,385-MA_SHORT):$C388),"")</f>
        <v>6943.45</v>
      </c>
      <c r="J388" s="52" t="n">
        <f aca="false">IF(AND(ISNUMBER($G388),$G388&gt;=MA_MED),AVERAGE(INDEX($C$5:$C388,385-MA_MED):$C388),"")</f>
        <v>6962.5</v>
      </c>
      <c r="K388" s="52" t="n">
        <f aca="false">IF(AND(ISNUMBER($G388),$G388&gt;=MA_LONG2),AVERAGE(INDEX($C$5:$C388,385-MA_LONG2):$C388),"")</f>
        <v>5915.755</v>
      </c>
      <c r="L388" s="53" t="n">
        <f aca="false">IF(AND(ISNUMBER($G388),$G388&gt;=21),STDEV(INDEX($H$328:$H388,62-20):$H388)*SQRT(245),"")</f>
        <v>0.155046295268928</v>
      </c>
      <c r="M388" s="52" t="n">
        <f aca="false">IF(AND(ISNUMBER($G388),$G388&gt;=60),MAX(INDEX($D$188:$D388,202-60):$D388),"")</f>
        <v>7340</v>
      </c>
      <c r="N388" s="52" t="n">
        <f aca="false">IF(AND(ISNUMBER($G388),$G388&gt;=60),MIN(INDEX($E$188:$E388,202-60):$E388),"")</f>
        <v>6291</v>
      </c>
      <c r="O388" s="53" t="n">
        <f aca="false">IF(OR(NOT(ISNUMBER($C388)),NOT(ISNUMBER($M388)),$M388=0),"",$C388/$M388-1)</f>
        <v>-0.0673024523160763</v>
      </c>
    </row>
    <row r="389" customFormat="false" ht="15" hidden="false" customHeight="false" outlineLevel="0" collapsed="false">
      <c r="A389" s="47" t="n">
        <v>46106</v>
      </c>
      <c r="B389" s="48" t="s">
        <v>537</v>
      </c>
      <c r="C389" s="49" t="n">
        <v>6767</v>
      </c>
      <c r="D389" s="49" t="n">
        <v>6771</v>
      </c>
      <c r="E389" s="49" t="n">
        <v>6748</v>
      </c>
      <c r="F389" s="49" t="n">
        <v>0</v>
      </c>
      <c r="G389" s="50" t="n">
        <f aca="false">IF($A389="","",IF(ISNUMBER($G388),$G388+1,1))</f>
        <v>385</v>
      </c>
      <c r="H389" s="51" t="n">
        <f aca="false">IF(OR(NOT(ISNUMBER($G389)),$G389&lt;2,NOT(ISNUMBER($C388)),$C388=0),"",$C389/$C388-1)</f>
        <v>-0.011539585159217</v>
      </c>
      <c r="I389" s="52" t="n">
        <f aca="false">IF(AND(ISNUMBER($G389),$G389&gt;=MA_SHORT),AVERAGE(INDEX($C$5:$C389,386-MA_SHORT):$C389),"")</f>
        <v>6917.45</v>
      </c>
      <c r="J389" s="52" t="n">
        <f aca="false">IF(AND(ISNUMBER($G389),$G389&gt;=MA_MED),AVERAGE(INDEX($C$5:$C389,386-MA_MED):$C389),"")</f>
        <v>6963.66</v>
      </c>
      <c r="K389" s="52" t="n">
        <f aca="false">IF(AND(ISNUMBER($G389),$G389&gt;=MA_LONG2),AVERAGE(INDEX($C$5:$C389,386-MA_LONG2):$C389),"")</f>
        <v>5925.8</v>
      </c>
      <c r="L389" s="53" t="n">
        <f aca="false">IF(AND(ISNUMBER($G389),$G389&gt;=21),STDEV(INDEX($H$329:$H389,62-20):$H389)*SQRT(245),"")</f>
        <v>0.150814268357231</v>
      </c>
      <c r="M389" s="52" t="n">
        <f aca="false">IF(AND(ISNUMBER($G389),$G389&gt;=60),MAX(INDEX($D$189:$D389,202-60):$D389),"")</f>
        <v>7340</v>
      </c>
      <c r="N389" s="52" t="n">
        <f aca="false">IF(AND(ISNUMBER($G389),$G389&gt;=60),MIN(INDEX($E$189:$E389,202-60):$E389),"")</f>
        <v>6291</v>
      </c>
      <c r="O389" s="53" t="n">
        <f aca="false">IF(OR(NOT(ISNUMBER($C389)),NOT(ISNUMBER($M389)),$M389=0),"",$C389/$M389-1)</f>
        <v>-0.0780653950953678</v>
      </c>
    </row>
    <row r="390" customFormat="false" ht="15" hidden="false" customHeight="false" outlineLevel="0" collapsed="false">
      <c r="A390" s="47" t="n">
        <v>46109</v>
      </c>
      <c r="B390" s="48" t="s">
        <v>538</v>
      </c>
      <c r="C390" s="49" t="n">
        <v>6807</v>
      </c>
      <c r="D390" s="49" t="n">
        <v>6810</v>
      </c>
      <c r="E390" s="49" t="n">
        <v>6806</v>
      </c>
      <c r="F390" s="49" t="n">
        <v>0</v>
      </c>
      <c r="G390" s="50" t="n">
        <f aca="false">IF($A390="","",IF(ISNUMBER($G389),$G389+1,1))</f>
        <v>386</v>
      </c>
      <c r="H390" s="51" t="n">
        <f aca="false">IF(OR(NOT(ISNUMBER($G390)),$G390&lt;2,NOT(ISNUMBER($C389)),$C389=0),"",$C390/$C389-1)</f>
        <v>0.00591103886508049</v>
      </c>
      <c r="I390" s="52" t="n">
        <f aca="false">IF(AND(ISNUMBER($G390),$G390&gt;=MA_SHORT),AVERAGE(INDEX($C$5:$C390,387-MA_SHORT):$C390),"")</f>
        <v>6892.05</v>
      </c>
      <c r="J390" s="52" t="n">
        <f aca="false">IF(AND(ISNUMBER($G390),$G390&gt;=MA_MED),AVERAGE(INDEX($C$5:$C390,387-MA_MED):$C390),"")</f>
        <v>6964.4</v>
      </c>
      <c r="K390" s="52" t="n">
        <f aca="false">IF(AND(ISNUMBER($G390),$G390&gt;=MA_LONG2),AVERAGE(INDEX($C$5:$C390,387-MA_LONG2):$C390),"")</f>
        <v>5935.84</v>
      </c>
      <c r="L390" s="53" t="n">
        <f aca="false">IF(AND(ISNUMBER($G390),$G390&gt;=21),STDEV(INDEX($H$330:$H390,62-20):$H390)*SQRT(245),"")</f>
        <v>0.152305936502072</v>
      </c>
      <c r="M390" s="52" t="n">
        <f aca="false">IF(AND(ISNUMBER($G390),$G390&gt;=60),MAX(INDEX($D$190:$D390,202-60):$D390),"")</f>
        <v>7340</v>
      </c>
      <c r="N390" s="52" t="n">
        <f aca="false">IF(AND(ISNUMBER($G390),$G390&gt;=60),MIN(INDEX($E$190:$E390,202-60):$E390),"")</f>
        <v>6291</v>
      </c>
      <c r="O390" s="53" t="n">
        <f aca="false">IF(OR(NOT(ISNUMBER($C390)),NOT(ISNUMBER($M390)),$M390=0),"",$C390/$M390-1)</f>
        <v>-0.0726158038147139</v>
      </c>
    </row>
    <row r="391" customFormat="false" ht="15" hidden="false" customHeight="false" outlineLevel="0" collapsed="false">
      <c r="A391" s="47" t="n">
        <v>46110</v>
      </c>
      <c r="B391" s="48" t="s">
        <v>539</v>
      </c>
      <c r="C391" s="49" t="n">
        <v>6785</v>
      </c>
      <c r="D391" s="49" t="n">
        <v>6820</v>
      </c>
      <c r="E391" s="49" t="n">
        <v>6771</v>
      </c>
      <c r="F391" s="49" t="n">
        <v>0</v>
      </c>
      <c r="G391" s="50" t="n">
        <f aca="false">IF($A391="","",IF(ISNUMBER($G390),$G390+1,1))</f>
        <v>387</v>
      </c>
      <c r="H391" s="51" t="n">
        <f aca="false">IF(OR(NOT(ISNUMBER($G391)),$G391&lt;2,NOT(ISNUMBER($C390)),$C390=0),"",$C391/$C390-1)</f>
        <v>-0.00323196709269868</v>
      </c>
      <c r="I391" s="52" t="n">
        <f aca="false">IF(AND(ISNUMBER($G391),$G391&gt;=MA_SHORT),AVERAGE(INDEX($C$5:$C391,388-MA_SHORT):$C391),"")</f>
        <v>6866.95</v>
      </c>
      <c r="J391" s="52" t="n">
        <f aca="false">IF(AND(ISNUMBER($G391),$G391&gt;=MA_MED),AVERAGE(INDEX($C$5:$C391,388-MA_MED):$C391),"")</f>
        <v>6966.52</v>
      </c>
      <c r="K391" s="52" t="n">
        <f aca="false">IF(AND(ISNUMBER($G391),$G391&gt;=MA_LONG2),AVERAGE(INDEX($C$5:$C391,388-MA_LONG2):$C391),"")</f>
        <v>5945.85</v>
      </c>
      <c r="L391" s="53" t="n">
        <f aca="false">IF(AND(ISNUMBER($G391),$G391&gt;=21),STDEV(INDEX($H$331:$H391,62-20):$H391)*SQRT(245),"")</f>
        <v>0.152306058573397</v>
      </c>
      <c r="M391" s="52" t="n">
        <f aca="false">IF(AND(ISNUMBER($G391),$G391&gt;=60),MAX(INDEX($D$191:$D391,202-60):$D391),"")</f>
        <v>7340</v>
      </c>
      <c r="N391" s="52" t="n">
        <f aca="false">IF(AND(ISNUMBER($G391),$G391&gt;=60),MIN(INDEX($E$191:$E391,202-60):$E391),"")</f>
        <v>6291</v>
      </c>
      <c r="O391" s="53" t="n">
        <f aca="false">IF(OR(NOT(ISNUMBER($C391)),NOT(ISNUMBER($M391)),$M391=0),"",$C391/$M391-1)</f>
        <v>-0.0756130790190736</v>
      </c>
    </row>
    <row r="392" customFormat="false" ht="15" hidden="false" customHeight="false" outlineLevel="0" collapsed="false">
      <c r="A392" s="47" t="n">
        <v>46111</v>
      </c>
      <c r="B392" s="48" t="s">
        <v>540</v>
      </c>
      <c r="C392" s="49" t="n">
        <v>6681</v>
      </c>
      <c r="D392" s="49" t="n">
        <v>6709</v>
      </c>
      <c r="E392" s="49" t="n">
        <v>6630</v>
      </c>
      <c r="F392" s="49" t="n">
        <v>0</v>
      </c>
      <c r="G392" s="50" t="n">
        <f aca="false">IF($A392="","",IF(ISNUMBER($G391),$G391+1,1))</f>
        <v>388</v>
      </c>
      <c r="H392" s="51" t="n">
        <f aca="false">IF(OR(NOT(ISNUMBER($G392)),$G392&lt;2,NOT(ISNUMBER($C391)),$C391=0),"",$C392/$C391-1)</f>
        <v>-0.0153279292557111</v>
      </c>
      <c r="I392" s="52" t="n">
        <f aca="false">IF(AND(ISNUMBER($G392),$G392&gt;=MA_SHORT),AVERAGE(INDEX($C$5:$C392,389-MA_SHORT):$C392),"")</f>
        <v>6842.2</v>
      </c>
      <c r="J392" s="52" t="n">
        <f aca="false">IF(AND(ISNUMBER($G392),$G392&gt;=MA_MED),AVERAGE(INDEX($C$5:$C392,389-MA_MED):$C392),"")</f>
        <v>6963.74</v>
      </c>
      <c r="K392" s="52" t="n">
        <f aca="false">IF(AND(ISNUMBER($G392),$G392&gt;=MA_LONG2),AVERAGE(INDEX($C$5:$C392,389-MA_LONG2):$C392),"")</f>
        <v>5955.395</v>
      </c>
      <c r="L392" s="53" t="n">
        <f aca="false">IF(AND(ISNUMBER($G392),$G392&gt;=21),STDEV(INDEX($H$332:$H392,62-20):$H392)*SQRT(245),"")</f>
        <v>0.152400940752584</v>
      </c>
      <c r="M392" s="52" t="n">
        <f aca="false">IF(AND(ISNUMBER($G392),$G392&gt;=60),MAX(INDEX($D$192:$D392,202-60):$D392),"")</f>
        <v>7340</v>
      </c>
      <c r="N392" s="52" t="n">
        <f aca="false">IF(AND(ISNUMBER($G392),$G392&gt;=60),MIN(INDEX($E$192:$E392,202-60):$E392),"")</f>
        <v>6323</v>
      </c>
      <c r="O392" s="53" t="n">
        <f aca="false">IF(OR(NOT(ISNUMBER($C392)),NOT(ISNUMBER($M392)),$M392=0),"",$C392/$M392-1)</f>
        <v>-0.0897820163487738</v>
      </c>
    </row>
    <row r="393" customFormat="false" ht="15" hidden="false" customHeight="false" outlineLevel="0" collapsed="false">
      <c r="A393" s="47" t="n">
        <v>46112</v>
      </c>
      <c r="B393" s="48" t="s">
        <v>541</v>
      </c>
      <c r="C393" s="49" t="n">
        <v>6626</v>
      </c>
      <c r="D393" s="49" t="n">
        <v>6646</v>
      </c>
      <c r="E393" s="49" t="n">
        <v>6618</v>
      </c>
      <c r="F393" s="49" t="n">
        <v>0</v>
      </c>
      <c r="G393" s="50" t="n">
        <f aca="false">IF($A393="","",IF(ISNUMBER($G392),$G392+1,1))</f>
        <v>389</v>
      </c>
      <c r="H393" s="51" t="n">
        <f aca="false">IF(OR(NOT(ISNUMBER($G393)),$G393&lt;2,NOT(ISNUMBER($C392)),$C392=0),"",$C393/$C392-1)</f>
        <v>-0.0082323005538093</v>
      </c>
      <c r="I393" s="52" t="n">
        <f aca="false">IF(AND(ISNUMBER($G393),$G393&gt;=MA_SHORT),AVERAGE(INDEX($C$5:$C393,390-MA_SHORT):$C393),"")</f>
        <v>6819.4</v>
      </c>
      <c r="J393" s="52" t="n">
        <f aca="false">IF(AND(ISNUMBER($G393),$G393&gt;=MA_MED),AVERAGE(INDEX($C$5:$C393,390-MA_MED):$C393),"")</f>
        <v>6959.8</v>
      </c>
      <c r="K393" s="52" t="n">
        <f aca="false">IF(AND(ISNUMBER($G393),$G393&gt;=MA_LONG2),AVERAGE(INDEX($C$5:$C393,390-MA_LONG2):$C393),"")</f>
        <v>5964.245</v>
      </c>
      <c r="L393" s="53" t="n">
        <f aca="false">IF(AND(ISNUMBER($G393),$G393&gt;=21),STDEV(INDEX($H$333:$H393,62-20):$H393)*SQRT(245),"")</f>
        <v>0.14937919130036</v>
      </c>
      <c r="M393" s="52" t="n">
        <f aca="false">IF(AND(ISNUMBER($G393),$G393&gt;=60),MAX(INDEX($D$193:$D393,202-60):$D393),"")</f>
        <v>7340</v>
      </c>
      <c r="N393" s="52" t="n">
        <f aca="false">IF(AND(ISNUMBER($G393),$G393&gt;=60),MIN(INDEX($E$193:$E393,202-60):$E393),"")</f>
        <v>6323</v>
      </c>
      <c r="O393" s="53" t="n">
        <f aca="false">IF(OR(NOT(ISNUMBER($C393)),NOT(ISNUMBER($M393)),$M393=0),"",$C393/$M393-1)</f>
        <v>-0.0972752043596731</v>
      </c>
    </row>
    <row r="394" customFormat="false" ht="15" hidden="false" customHeight="false" outlineLevel="0" collapsed="false">
      <c r="A394" s="47" t="n">
        <v>46113</v>
      </c>
      <c r="B394" s="48" t="s">
        <v>542</v>
      </c>
      <c r="C394" s="49" t="n">
        <v>6576</v>
      </c>
      <c r="D394" s="49" t="n">
        <v>6595</v>
      </c>
      <c r="E394" s="49" t="n">
        <v>6537</v>
      </c>
      <c r="F394" s="49" t="n">
        <v>0</v>
      </c>
      <c r="G394" s="50" t="n">
        <f aca="false">IF($A394="","",IF(ISNUMBER($G393),$G393+1,1))</f>
        <v>390</v>
      </c>
      <c r="H394" s="51" t="n">
        <f aca="false">IF(OR(NOT(ISNUMBER($G394)),$G394&lt;2,NOT(ISNUMBER($C393)),$C393=0),"",$C394/$C393-1)</f>
        <v>-0.00754603078780558</v>
      </c>
      <c r="I394" s="52" t="n">
        <f aca="false">IF(AND(ISNUMBER($G394),$G394&gt;=MA_SHORT),AVERAGE(INDEX($C$5:$C394,391-MA_SHORT):$C394),"")</f>
        <v>6795.65</v>
      </c>
      <c r="J394" s="52" t="n">
        <f aca="false">IF(AND(ISNUMBER($G394),$G394&gt;=MA_MED),AVERAGE(INDEX($C$5:$C394,391-MA_MED):$C394),"")</f>
        <v>6955.52</v>
      </c>
      <c r="K394" s="52" t="n">
        <f aca="false">IF(AND(ISNUMBER($G394),$G394&gt;=MA_LONG2),AVERAGE(INDEX($C$5:$C394,391-MA_LONG2):$C394),"")</f>
        <v>5973.185</v>
      </c>
      <c r="L394" s="53" t="n">
        <f aca="false">IF(AND(ISNUMBER($G394),$G394&gt;=21),STDEV(INDEX($H$334:$H394,62-20):$H394)*SQRT(245),"")</f>
        <v>0.150089680897243</v>
      </c>
      <c r="M394" s="52" t="n">
        <f aca="false">IF(AND(ISNUMBER($G394),$G394&gt;=60),MAX(INDEX($D$194:$D394,202-60):$D394),"")</f>
        <v>7340</v>
      </c>
      <c r="N394" s="52" t="n">
        <f aca="false">IF(AND(ISNUMBER($G394),$G394&gt;=60),MIN(INDEX($E$194:$E394,202-60):$E394),"")</f>
        <v>6323</v>
      </c>
      <c r="O394" s="53" t="n">
        <f aca="false">IF(OR(NOT(ISNUMBER($C394)),NOT(ISNUMBER($M394)),$M394=0),"",$C394/$M394-1)</f>
        <v>-0.10408719346049</v>
      </c>
    </row>
    <row r="395" customFormat="false" ht="15" hidden="false" customHeight="false" outlineLevel="0" collapsed="false">
      <c r="A395" s="47" t="n">
        <v>46116</v>
      </c>
      <c r="B395" s="48" t="s">
        <v>543</v>
      </c>
      <c r="C395" s="49" t="n">
        <v>6446</v>
      </c>
      <c r="D395" s="49" t="n">
        <v>6473</v>
      </c>
      <c r="E395" s="49" t="n">
        <v>6434</v>
      </c>
      <c r="F395" s="49" t="n">
        <v>0</v>
      </c>
      <c r="G395" s="50" t="n">
        <f aca="false">IF($A395="","",IF(ISNUMBER($G394),$G394+1,1))</f>
        <v>391</v>
      </c>
      <c r="H395" s="51" t="n">
        <f aca="false">IF(OR(NOT(ISNUMBER($G395)),$G395&lt;2,NOT(ISNUMBER($C394)),$C394=0),"",$C395/$C394-1)</f>
        <v>-0.0197688564476886</v>
      </c>
      <c r="I395" s="52" t="n">
        <f aca="false">IF(AND(ISNUMBER($G395),$G395&gt;=MA_SHORT),AVERAGE(INDEX($C$5:$C395,392-MA_SHORT):$C395),"")</f>
        <v>6771.1</v>
      </c>
      <c r="J395" s="52" t="n">
        <f aca="false">IF(AND(ISNUMBER($G395),$G395&gt;=MA_MED),AVERAGE(INDEX($C$5:$C395,392-MA_MED):$C395),"")</f>
        <v>6949.88</v>
      </c>
      <c r="K395" s="52" t="n">
        <f aca="false">IF(AND(ISNUMBER($G395),$G395&gt;=MA_LONG2),AVERAGE(INDEX($C$5:$C395,392-MA_LONG2):$C395),"")</f>
        <v>5981.045</v>
      </c>
      <c r="L395" s="53" t="n">
        <f aca="false">IF(AND(ISNUMBER($G395),$G395&gt;=21),STDEV(INDEX($H$335:$H395,62-20):$H395)*SQRT(245),"")</f>
        <v>0.15449273617141</v>
      </c>
      <c r="M395" s="52" t="n">
        <f aca="false">IF(AND(ISNUMBER($G395),$G395&gt;=60),MAX(INDEX($D$195:$D395,202-60):$D395),"")</f>
        <v>7340</v>
      </c>
      <c r="N395" s="52" t="n">
        <f aca="false">IF(AND(ISNUMBER($G395),$G395&gt;=60),MIN(INDEX($E$195:$E395,202-60):$E395),"")</f>
        <v>6434</v>
      </c>
      <c r="O395" s="53" t="n">
        <f aca="false">IF(OR(NOT(ISNUMBER($C395)),NOT(ISNUMBER($M395)),$M395=0),"",$C395/$M395-1)</f>
        <v>-0.121798365122616</v>
      </c>
    </row>
    <row r="396" customFormat="false" ht="15" hidden="false" customHeight="false" outlineLevel="0" collapsed="false">
      <c r="A396" s="47" t="n">
        <v>46117</v>
      </c>
      <c r="B396" s="48" t="s">
        <v>544</v>
      </c>
      <c r="C396" s="49" t="n">
        <v>6314</v>
      </c>
      <c r="D396" s="49" t="n">
        <v>6342</v>
      </c>
      <c r="E396" s="49" t="n">
        <v>6308</v>
      </c>
      <c r="F396" s="49" t="n">
        <v>0</v>
      </c>
      <c r="G396" s="50" t="n">
        <f aca="false">IF($A396="","",IF(ISNUMBER($G395),$G395+1,1))</f>
        <v>392</v>
      </c>
      <c r="H396" s="51" t="n">
        <f aca="false">IF(OR(NOT(ISNUMBER($G396)),$G396&lt;2,NOT(ISNUMBER($C395)),$C395=0),"",$C396/$C395-1)</f>
        <v>-0.0204778156996587</v>
      </c>
      <c r="I396" s="52" t="n">
        <f aca="false">IF(AND(ISNUMBER($G396),$G396&gt;=MA_SHORT),AVERAGE(INDEX($C$5:$C396,393-MA_SHORT):$C396),"")</f>
        <v>6738.25</v>
      </c>
      <c r="J396" s="52" t="n">
        <f aca="false">IF(AND(ISNUMBER($G396),$G396&gt;=MA_MED),AVERAGE(INDEX($C$5:$C396,393-MA_MED):$C396),"")</f>
        <v>6940.58</v>
      </c>
      <c r="K396" s="52" t="n">
        <f aca="false">IF(AND(ISNUMBER($G396),$G396&gt;=MA_LONG2),AVERAGE(INDEX($C$5:$C396,393-MA_LONG2):$C396),"")</f>
        <v>5988.255</v>
      </c>
      <c r="L396" s="53" t="n">
        <f aca="false">IF(AND(ISNUMBER($G396),$G396&gt;=21),STDEV(INDEX($H$336:$H396,62-20):$H396)*SQRT(245),"")</f>
        <v>0.161810693124298</v>
      </c>
      <c r="M396" s="52" t="n">
        <f aca="false">IF(AND(ISNUMBER($G396),$G396&gt;=60),MAX(INDEX($D$196:$D396,202-60):$D396),"")</f>
        <v>7340</v>
      </c>
      <c r="N396" s="52" t="n">
        <f aca="false">IF(AND(ISNUMBER($G396),$G396&gt;=60),MIN(INDEX($E$196:$E396,202-60):$E396),"")</f>
        <v>6308</v>
      </c>
      <c r="O396" s="53" t="n">
        <f aca="false">IF(OR(NOT(ISNUMBER($C396)),NOT(ISNUMBER($M396)),$M396=0),"",$C396/$M396-1)</f>
        <v>-0.139782016348774</v>
      </c>
    </row>
    <row r="397" customFormat="false" ht="15" hidden="false" customHeight="false" outlineLevel="0" collapsed="false">
      <c r="A397" s="47" t="n">
        <v>46118</v>
      </c>
      <c r="B397" s="48" t="s">
        <v>545</v>
      </c>
      <c r="C397" s="49" t="n">
        <v>6396</v>
      </c>
      <c r="D397" s="49" t="n">
        <v>6407</v>
      </c>
      <c r="E397" s="49" t="n">
        <v>6349</v>
      </c>
      <c r="F397" s="49" t="n">
        <v>0</v>
      </c>
      <c r="G397" s="50" t="n">
        <f aca="false">IF($A397="","",IF(ISNUMBER($G396),$G396+1,1))</f>
        <v>393</v>
      </c>
      <c r="H397" s="51" t="n">
        <f aca="false">IF(OR(NOT(ISNUMBER($G397)),$G397&lt;2,NOT(ISNUMBER($C396)),$C396=0),"",$C397/$C396-1)</f>
        <v>0.0129870129870129</v>
      </c>
      <c r="I397" s="52" t="n">
        <f aca="false">IF(AND(ISNUMBER($G397),$G397&gt;=MA_SHORT),AVERAGE(INDEX($C$5:$C397,394-MA_SHORT):$C397),"")</f>
        <v>6713.05</v>
      </c>
      <c r="J397" s="52" t="n">
        <f aca="false">IF(AND(ISNUMBER($G397),$G397&gt;=MA_MED),AVERAGE(INDEX($C$5:$C397,394-MA_MED):$C397),"")</f>
        <v>6932.36</v>
      </c>
      <c r="K397" s="52" t="n">
        <f aca="false">IF(AND(ISNUMBER($G397),$G397&gt;=MA_LONG2),AVERAGE(INDEX($C$5:$C397,394-MA_LONG2):$C397),"")</f>
        <v>5995.675</v>
      </c>
      <c r="L397" s="53" t="n">
        <f aca="false">IF(AND(ISNUMBER($G397),$G397&gt;=21),STDEV(INDEX($H$337:$H397,62-20):$H397)*SQRT(245),"")</f>
        <v>0.17202827490432</v>
      </c>
      <c r="M397" s="52" t="n">
        <f aca="false">IF(AND(ISNUMBER($G397),$G397&gt;=60),MAX(INDEX($D$197:$D397,202-60):$D397),"")</f>
        <v>7340</v>
      </c>
      <c r="N397" s="52" t="n">
        <f aca="false">IF(AND(ISNUMBER($G397),$G397&gt;=60),MIN(INDEX($E$197:$E397,202-60):$E397),"")</f>
        <v>6308</v>
      </c>
      <c r="O397" s="53" t="n">
        <f aca="false">IF(OR(NOT(ISNUMBER($C397)),NOT(ISNUMBER($M397)),$M397=0),"",$C397/$M397-1)</f>
        <v>-0.128610354223433</v>
      </c>
    </row>
    <row r="398" customFormat="false" ht="15" hidden="false" customHeight="false" outlineLevel="0" collapsed="false">
      <c r="A398" s="47" t="n">
        <v>46119</v>
      </c>
      <c r="B398" s="48" t="s">
        <v>546</v>
      </c>
      <c r="C398" s="49" t="n">
        <v>6427</v>
      </c>
      <c r="D398" s="49" t="n">
        <v>6443</v>
      </c>
      <c r="E398" s="49" t="n">
        <v>6414</v>
      </c>
      <c r="F398" s="49" t="n">
        <v>0</v>
      </c>
      <c r="G398" s="50" t="n">
        <f aca="false">IF($A398="","",IF(ISNUMBER($G397),$G397+1,1))</f>
        <v>394</v>
      </c>
      <c r="H398" s="51" t="n">
        <f aca="false">IF(OR(NOT(ISNUMBER($G398)),$G398&lt;2,NOT(ISNUMBER($C397)),$C397=0),"",$C398/$C397-1)</f>
        <v>0.00484677923702304</v>
      </c>
      <c r="I398" s="52" t="n">
        <f aca="false">IF(AND(ISNUMBER($G398),$G398&gt;=MA_SHORT),AVERAGE(INDEX($C$5:$C398,395-MA_SHORT):$C398),"")</f>
        <v>6692.6</v>
      </c>
      <c r="J398" s="52" t="n">
        <f aca="false">IF(AND(ISNUMBER($G398),$G398&gt;=MA_MED),AVERAGE(INDEX($C$5:$C398,395-MA_MED):$C398),"")</f>
        <v>6924.66</v>
      </c>
      <c r="K398" s="52" t="n">
        <f aca="false">IF(AND(ISNUMBER($G398),$G398&gt;=MA_LONG2),AVERAGE(INDEX($C$5:$C398,395-MA_LONG2):$C398),"")</f>
        <v>6003.495</v>
      </c>
      <c r="L398" s="53" t="n">
        <f aca="false">IF(AND(ISNUMBER($G398),$G398&gt;=21),STDEV(INDEX($H$338:$H398,62-20):$H398)*SQRT(245),"")</f>
        <v>0.173252155319997</v>
      </c>
      <c r="M398" s="52" t="n">
        <f aca="false">IF(AND(ISNUMBER($G398),$G398&gt;=60),MAX(INDEX($D$198:$D398,202-60):$D398),"")</f>
        <v>7340</v>
      </c>
      <c r="N398" s="52" t="n">
        <f aca="false">IF(AND(ISNUMBER($G398),$G398&gt;=60),MIN(INDEX($E$198:$E398,202-60):$E398),"")</f>
        <v>6308</v>
      </c>
      <c r="O398" s="53" t="n">
        <f aca="false">IF(OR(NOT(ISNUMBER($C398)),NOT(ISNUMBER($M398)),$M398=0),"",$C398/$M398-1)</f>
        <v>-0.124386920980926</v>
      </c>
    </row>
    <row r="399" customFormat="false" ht="15" hidden="false" customHeight="false" outlineLevel="0" collapsed="false">
      <c r="A399" s="47" t="n">
        <v>46120</v>
      </c>
      <c r="B399" s="48" t="s">
        <v>547</v>
      </c>
      <c r="C399" s="49" t="n">
        <v>6356</v>
      </c>
      <c r="D399" s="49" t="n">
        <v>6370</v>
      </c>
      <c r="E399" s="49" t="n">
        <v>6329</v>
      </c>
      <c r="F399" s="49" t="n">
        <v>0</v>
      </c>
      <c r="G399" s="50" t="n">
        <f aca="false">IF($A399="","",IF(ISNUMBER($G398),$G398+1,1))</f>
        <v>395</v>
      </c>
      <c r="H399" s="51" t="n">
        <f aca="false">IF(OR(NOT(ISNUMBER($G399)),$G399&lt;2,NOT(ISNUMBER($C398)),$C398=0),"",$C399/$C398-1)</f>
        <v>-0.0110471448576319</v>
      </c>
      <c r="I399" s="52" t="n">
        <f aca="false">IF(AND(ISNUMBER($G399),$G399&gt;=MA_SHORT),AVERAGE(INDEX($C$5:$C399,396-MA_SHORT):$C399),"")</f>
        <v>6667.15</v>
      </c>
      <c r="J399" s="52" t="n">
        <f aca="false">IF(AND(ISNUMBER($G399),$G399&gt;=MA_MED),AVERAGE(INDEX($C$5:$C399,396-MA_MED):$C399),"")</f>
        <v>6916.52</v>
      </c>
      <c r="K399" s="52" t="n">
        <f aca="false">IF(AND(ISNUMBER($G399),$G399&gt;=MA_LONG2),AVERAGE(INDEX($C$5:$C399,396-MA_LONG2):$C399),"")</f>
        <v>6010.945</v>
      </c>
      <c r="L399" s="53" t="n">
        <f aca="false">IF(AND(ISNUMBER($G399),$G399&gt;=21),STDEV(INDEX($H$339:$H399,62-20):$H399)*SQRT(245),"")</f>
        <v>0.173250656098692</v>
      </c>
      <c r="M399" s="52" t="n">
        <f aca="false">IF(AND(ISNUMBER($G399),$G399&gt;=60),MAX(INDEX($D$199:$D399,202-60):$D399),"")</f>
        <v>7340</v>
      </c>
      <c r="N399" s="52" t="n">
        <f aca="false">IF(AND(ISNUMBER($G399),$G399&gt;=60),MIN(INDEX($E$199:$E399,202-60):$E399),"")</f>
        <v>6308</v>
      </c>
      <c r="O399" s="53" t="n">
        <f aca="false">IF(OR(NOT(ISNUMBER($C399)),NOT(ISNUMBER($M399)),$M399=0),"",$C399/$M399-1)</f>
        <v>-0.134059945504087</v>
      </c>
    </row>
    <row r="400" customFormat="false" ht="15" hidden="false" customHeight="false" outlineLevel="0" collapsed="false">
      <c r="A400" s="47" t="n">
        <v>46123</v>
      </c>
      <c r="B400" s="48" t="s">
        <v>548</v>
      </c>
      <c r="C400" s="49" t="n">
        <v>6304</v>
      </c>
      <c r="D400" s="49" t="n">
        <v>6331</v>
      </c>
      <c r="E400" s="49" t="n">
        <v>6296</v>
      </c>
      <c r="F400" s="49" t="n">
        <v>0</v>
      </c>
      <c r="G400" s="50" t="n">
        <f aca="false">IF($A400="","",IF(ISNUMBER($G399),$G399+1,1))</f>
        <v>396</v>
      </c>
      <c r="H400" s="51" t="n">
        <f aca="false">IF(OR(NOT(ISNUMBER($G400)),$G400&lt;2,NOT(ISNUMBER($C399)),$C399=0),"",$C400/$C399-1)</f>
        <v>-0.00818124606670867</v>
      </c>
      <c r="I400" s="52" t="n">
        <f aca="false">IF(AND(ISNUMBER($G400),$G400&gt;=MA_SHORT),AVERAGE(INDEX($C$5:$C400,397-MA_SHORT):$C400),"")</f>
        <v>6640.45</v>
      </c>
      <c r="J400" s="52" t="n">
        <f aca="false">IF(AND(ISNUMBER($G400),$G400&gt;=MA_MED),AVERAGE(INDEX($C$5:$C400,397-MA_MED):$C400),"")</f>
        <v>6906.48</v>
      </c>
      <c r="K400" s="52" t="n">
        <f aca="false">IF(AND(ISNUMBER($G400),$G400&gt;=MA_LONG2),AVERAGE(INDEX($C$5:$C400,397-MA_LONG2):$C400),"")</f>
        <v>6017.785</v>
      </c>
      <c r="L400" s="53" t="n">
        <f aca="false">IF(AND(ISNUMBER($G400),$G400&gt;=21),STDEV(INDEX($H$340:$H400,62-20):$H400)*SQRT(245),"")</f>
        <v>0.173933832396075</v>
      </c>
      <c r="M400" s="52" t="n">
        <f aca="false">IF(AND(ISNUMBER($G400),$G400&gt;=60),MAX(INDEX($D$200:$D400,202-60):$D400),"")</f>
        <v>7340</v>
      </c>
      <c r="N400" s="52" t="n">
        <f aca="false">IF(AND(ISNUMBER($G400),$G400&gt;=60),MIN(INDEX($E$200:$E400,202-60):$E400),"")</f>
        <v>6296</v>
      </c>
      <c r="O400" s="53" t="n">
        <f aca="false">IF(OR(NOT(ISNUMBER($C400)),NOT(ISNUMBER($M400)),$M400=0),"",$C400/$M400-1)</f>
        <v>-0.141144414168937</v>
      </c>
    </row>
    <row r="401" customFormat="false" ht="15" hidden="false" customHeight="false" outlineLevel="0" collapsed="false">
      <c r="A401" s="47" t="n">
        <v>46124</v>
      </c>
      <c r="B401" s="48" t="s">
        <v>549</v>
      </c>
      <c r="C401" s="49" t="n">
        <v>6334</v>
      </c>
      <c r="D401" s="49" t="n">
        <v>6386</v>
      </c>
      <c r="E401" s="49" t="n">
        <v>6313</v>
      </c>
      <c r="F401" s="49" t="n">
        <v>0</v>
      </c>
      <c r="G401" s="50" t="n">
        <f aca="false">IF($A401="","",IF(ISNUMBER($G400),$G400+1,1))</f>
        <v>397</v>
      </c>
      <c r="H401" s="51" t="n">
        <f aca="false">IF(OR(NOT(ISNUMBER($G401)),$G401&lt;2,NOT(ISNUMBER($C400)),$C400=0),"",$C401/$C400-1)</f>
        <v>0.00475888324873086</v>
      </c>
      <c r="I401" s="52" t="n">
        <f aca="false">IF(AND(ISNUMBER($G401),$G401&gt;=MA_SHORT),AVERAGE(INDEX($C$5:$C401,398-MA_SHORT):$C401),"")</f>
        <v>6616.3</v>
      </c>
      <c r="J401" s="52" t="n">
        <f aca="false">IF(AND(ISNUMBER($G401),$G401&gt;=MA_MED),AVERAGE(INDEX($C$5:$C401,398-MA_MED):$C401),"")</f>
        <v>6899.18</v>
      </c>
      <c r="K401" s="52" t="n">
        <f aca="false">IF(AND(ISNUMBER($G401),$G401&gt;=MA_LONG2),AVERAGE(INDEX($C$5:$C401,398-MA_LONG2):$C401),"")</f>
        <v>6025.14</v>
      </c>
      <c r="L401" s="53" t="n">
        <f aca="false">IF(AND(ISNUMBER($G401),$G401&gt;=21),STDEV(INDEX($H$341:$H401,62-20):$H401)*SQRT(245),"")</f>
        <v>0.176610481135704</v>
      </c>
      <c r="M401" s="52" t="n">
        <f aca="false">IF(AND(ISNUMBER($G401),$G401&gt;=60),MAX(INDEX($D$201:$D401,202-60):$D401),"")</f>
        <v>7340</v>
      </c>
      <c r="N401" s="52" t="n">
        <f aca="false">IF(AND(ISNUMBER($G401),$G401&gt;=60),MIN(INDEX($E$201:$E401,202-60):$E401),"")</f>
        <v>6296</v>
      </c>
      <c r="O401" s="53" t="n">
        <f aca="false">IF(OR(NOT(ISNUMBER($C401)),NOT(ISNUMBER($M401)),$M401=0),"",$C401/$M401-1)</f>
        <v>-0.137057220708447</v>
      </c>
    </row>
    <row r="402" customFormat="false" ht="15" hidden="false" customHeight="false" outlineLevel="0" collapsed="false">
      <c r="A402" s="47" t="n">
        <v>46125</v>
      </c>
      <c r="B402" s="48" t="s">
        <v>550</v>
      </c>
      <c r="C402" s="49" t="n">
        <v>6354</v>
      </c>
      <c r="D402" s="49" t="n">
        <v>6378</v>
      </c>
      <c r="E402" s="49" t="n">
        <v>6346</v>
      </c>
      <c r="F402" s="49" t="n">
        <v>0</v>
      </c>
      <c r="G402" s="50" t="n">
        <f aca="false">IF($A402="","",IF(ISNUMBER($G401),$G401+1,1))</f>
        <v>398</v>
      </c>
      <c r="H402" s="51" t="n">
        <f aca="false">IF(OR(NOT(ISNUMBER($G402)),$G402&lt;2,NOT(ISNUMBER($C401)),$C401=0),"",$C402/$C401-1)</f>
        <v>0.00315756236185671</v>
      </c>
      <c r="I402" s="52" t="n">
        <f aca="false">IF(AND(ISNUMBER($G402),$G402&gt;=MA_SHORT),AVERAGE(INDEX($C$5:$C402,399-MA_SHORT):$C402),"")</f>
        <v>6592.1</v>
      </c>
      <c r="J402" s="52" t="n">
        <f aca="false">IF(AND(ISNUMBER($G402),$G402&gt;=MA_MED),AVERAGE(INDEX($C$5:$C402,399-MA_MED):$C402),"")</f>
        <v>6890.3</v>
      </c>
      <c r="K402" s="52" t="n">
        <f aca="false">IF(AND(ISNUMBER($G402),$G402&gt;=MA_LONG2),AVERAGE(INDEX($C$5:$C402,399-MA_LONG2):$C402),"")</f>
        <v>6032.55</v>
      </c>
      <c r="L402" s="53" t="n">
        <f aca="false">IF(AND(ISNUMBER($G402),$G402&gt;=21),STDEV(INDEX($H$342:$H402,62-20):$H402)*SQRT(245),"")</f>
        <v>0.17664829321874</v>
      </c>
      <c r="M402" s="52" t="n">
        <f aca="false">IF(AND(ISNUMBER($G402),$G402&gt;=60),MAX(INDEX($D$202:$D402,202-60):$D402),"")</f>
        <v>7340</v>
      </c>
      <c r="N402" s="52" t="n">
        <f aca="false">IF(AND(ISNUMBER($G402),$G402&gt;=60),MIN(INDEX($E$202:$E402,202-60):$E402),"")</f>
        <v>6296</v>
      </c>
      <c r="O402" s="53" t="n">
        <f aca="false">IF(OR(NOT(ISNUMBER($C402)),NOT(ISNUMBER($M402)),$M402=0),"",$C402/$M402-1)</f>
        <v>-0.13433242506812</v>
      </c>
    </row>
    <row r="403" customFormat="false" ht="15" hidden="false" customHeight="false" outlineLevel="0" collapsed="false">
      <c r="A403" s="47" t="n">
        <v>46126</v>
      </c>
      <c r="B403" s="48" t="s">
        <v>551</v>
      </c>
      <c r="C403" s="49" t="n">
        <v>6265</v>
      </c>
      <c r="D403" s="49" t="n">
        <v>6310</v>
      </c>
      <c r="E403" s="49" t="n">
        <v>6258</v>
      </c>
      <c r="F403" s="49" t="n">
        <v>0</v>
      </c>
      <c r="G403" s="50" t="n">
        <f aca="false">IF($A403="","",IF(ISNUMBER($G402),$G402+1,1))</f>
        <v>399</v>
      </c>
      <c r="H403" s="51" t="n">
        <f aca="false">IF(OR(NOT(ISNUMBER($G403)),$G403&lt;2,NOT(ISNUMBER($C402)),$C402=0),"",$C403/$C402-1)</f>
        <v>-0.0140069247717973</v>
      </c>
      <c r="I403" s="52" t="n">
        <f aca="false">IF(AND(ISNUMBER($G403),$G403&gt;=MA_SHORT),AVERAGE(INDEX($C$5:$C403,400-MA_SHORT):$C403),"")</f>
        <v>6561.85</v>
      </c>
      <c r="J403" s="52" t="n">
        <f aca="false">IF(AND(ISNUMBER($G403),$G403&gt;=MA_MED),AVERAGE(INDEX($C$5:$C403,400-MA_MED):$C403),"")</f>
        <v>6876.48</v>
      </c>
      <c r="K403" s="52" t="n">
        <f aca="false">IF(AND(ISNUMBER($G403),$G403&gt;=MA_LONG2),AVERAGE(INDEX($C$5:$C403,400-MA_LONG2):$C403),"")</f>
        <v>6039.3</v>
      </c>
      <c r="L403" s="53" t="n">
        <f aca="false">IF(AND(ISNUMBER($G403),$G403&gt;=21),STDEV(INDEX($H$343:$H403,62-20):$H403)*SQRT(245),"")</f>
        <v>0.177455836258978</v>
      </c>
      <c r="M403" s="52" t="n">
        <f aca="false">IF(AND(ISNUMBER($G403),$G403&gt;=60),MAX(INDEX($D$203:$D403,202-60):$D403),"")</f>
        <v>7340</v>
      </c>
      <c r="N403" s="52" t="n">
        <f aca="false">IF(AND(ISNUMBER($G403),$G403&gt;=60),MIN(INDEX($E$203:$E403,202-60):$E403),"")</f>
        <v>6258</v>
      </c>
      <c r="O403" s="53" t="n">
        <f aca="false">IF(OR(NOT(ISNUMBER($C403)),NOT(ISNUMBER($M403)),$M403=0),"",$C403/$M403-1)</f>
        <v>-0.146457765667575</v>
      </c>
    </row>
    <row r="404" customFormat="false" ht="15" hidden="false" customHeight="false" outlineLevel="0" collapsed="false">
      <c r="A404" s="47" t="n">
        <v>46127</v>
      </c>
      <c r="B404" s="48" t="s">
        <v>552</v>
      </c>
      <c r="C404" s="49" t="n">
        <v>6336</v>
      </c>
      <c r="D404" s="49" t="n">
        <v>6373</v>
      </c>
      <c r="E404" s="49" t="n">
        <v>6306</v>
      </c>
      <c r="F404" s="49" t="n">
        <v>0</v>
      </c>
      <c r="G404" s="50" t="n">
        <f aca="false">IF($A404="","",IF(ISNUMBER($G403),$G403+1,1))</f>
        <v>400</v>
      </c>
      <c r="H404" s="51" t="n">
        <f aca="false">IF(OR(NOT(ISNUMBER($G404)),$G404&lt;2,NOT(ISNUMBER($C403)),$C403=0),"",$C404/$C403-1)</f>
        <v>0.0113328012769354</v>
      </c>
      <c r="I404" s="52" t="n">
        <f aca="false">IF(AND(ISNUMBER($G404),$G404&gt;=MA_SHORT),AVERAGE(INDEX($C$5:$C404,401-MA_SHORT):$C404),"")</f>
        <v>6539.6</v>
      </c>
      <c r="J404" s="52" t="n">
        <f aca="false">IF(AND(ISNUMBER($G404),$G404&gt;=MA_MED),AVERAGE(INDEX($C$5:$C404,401-MA_MED):$C404),"")</f>
        <v>6865.28</v>
      </c>
      <c r="K404" s="52" t="n">
        <f aca="false">IF(AND(ISNUMBER($G404),$G404&gt;=MA_LONG2),AVERAGE(INDEX($C$5:$C404,401-MA_LONG2):$C404),"")</f>
        <v>6046.5</v>
      </c>
      <c r="L404" s="53" t="n">
        <f aca="false">IF(AND(ISNUMBER($G404),$G404&gt;=21),STDEV(INDEX($H$344:$H404,62-20):$H404)*SQRT(245),"")</f>
        <v>0.182877871512505</v>
      </c>
      <c r="M404" s="52" t="n">
        <f aca="false">IF(AND(ISNUMBER($G404),$G404&gt;=60),MAX(INDEX($D$204:$D404,202-60):$D404),"")</f>
        <v>7340</v>
      </c>
      <c r="N404" s="52" t="n">
        <f aca="false">IF(AND(ISNUMBER($G404),$G404&gt;=60),MIN(INDEX($E$204:$E404,202-60):$E404),"")</f>
        <v>6258</v>
      </c>
      <c r="O404" s="53" t="n">
        <f aca="false">IF(OR(NOT(ISNUMBER($C404)),NOT(ISNUMBER($M404)),$M404=0),"",$C404/$M404-1)</f>
        <v>-0.136784741144414</v>
      </c>
    </row>
    <row r="405" customFormat="false" ht="15" hidden="false" customHeight="false" outlineLevel="0" collapsed="false">
      <c r="A405" s="47" t="n">
        <v>46130</v>
      </c>
      <c r="B405" s="48" t="s">
        <v>553</v>
      </c>
      <c r="C405" s="49" t="n">
        <v>6404</v>
      </c>
      <c r="D405" s="49" t="n">
        <v>6434</v>
      </c>
      <c r="E405" s="49" t="n">
        <v>6389</v>
      </c>
      <c r="F405" s="49" t="n">
        <v>0</v>
      </c>
      <c r="G405" s="50" t="n">
        <f aca="false">IF($A405="","",IF(ISNUMBER($G404),$G404+1,1))</f>
        <v>401</v>
      </c>
      <c r="H405" s="51" t="n">
        <f aca="false">IF(OR(NOT(ISNUMBER($G405)),$G405&lt;2,NOT(ISNUMBER($C404)),$C404=0),"",$C405/$C404-1)</f>
        <v>0.0107323232323233</v>
      </c>
      <c r="I405" s="52" t="n">
        <f aca="false">IF(AND(ISNUMBER($G405),$G405&gt;=MA_SHORT),AVERAGE(INDEX($C$5:$C405,402-MA_SHORT):$C405),"")</f>
        <v>6527.6</v>
      </c>
      <c r="J405" s="52" t="n">
        <f aca="false">IF(AND(ISNUMBER($G405),$G405&gt;=MA_MED),AVERAGE(INDEX($C$5:$C405,402-MA_MED):$C405),"")</f>
        <v>6854.46</v>
      </c>
      <c r="K405" s="52" t="n">
        <f aca="false">IF(AND(ISNUMBER($G405),$G405&gt;=MA_LONG2),AVERAGE(INDEX($C$5:$C405,402-MA_LONG2):$C405),"")</f>
        <v>6054.15</v>
      </c>
      <c r="L405" s="53" t="n">
        <f aca="false">IF(AND(ISNUMBER($G405),$G405&gt;=21),STDEV(INDEX($H$345:$H405,62-20):$H405)*SQRT(245),"")</f>
        <v>0.178045790019381</v>
      </c>
      <c r="M405" s="52" t="n">
        <f aca="false">IF(AND(ISNUMBER($G405),$G405&gt;=60),MAX(INDEX($D$205:$D405,202-60):$D405),"")</f>
        <v>7340</v>
      </c>
      <c r="N405" s="52" t="n">
        <f aca="false">IF(AND(ISNUMBER($G405),$G405&gt;=60),MIN(INDEX($E$205:$E405,202-60):$E405),"")</f>
        <v>6258</v>
      </c>
      <c r="O405" s="53" t="n">
        <f aca="false">IF(OR(NOT(ISNUMBER($C405)),NOT(ISNUMBER($M405)),$M405=0),"",$C405/$M405-1)</f>
        <v>-0.127520435967302</v>
      </c>
    </row>
    <row r="406" customFormat="false" ht="15" hidden="false" customHeight="false" outlineLevel="0" collapsed="false">
      <c r="A406" s="47" t="n">
        <v>46131</v>
      </c>
      <c r="B406" s="48" t="s">
        <v>554</v>
      </c>
      <c r="C406" s="49" t="n">
        <v>6419</v>
      </c>
      <c r="D406" s="49" t="n">
        <v>6440</v>
      </c>
      <c r="E406" s="49" t="n">
        <v>6406</v>
      </c>
      <c r="F406" s="49" t="n">
        <v>0</v>
      </c>
      <c r="G406" s="50" t="n">
        <f aca="false">IF($A406="","",IF(ISNUMBER($G405),$G405+1,1))</f>
        <v>402</v>
      </c>
      <c r="H406" s="51" t="n">
        <f aca="false">IF(OR(NOT(ISNUMBER($G406)),$G406&lt;2,NOT(ISNUMBER($C405)),$C405=0),"",$C406/$C405-1)</f>
        <v>0.00234228607120546</v>
      </c>
      <c r="I406" s="52" t="n">
        <f aca="false">IF(AND(ISNUMBER($G406),$G406&gt;=MA_SHORT),AVERAGE(INDEX($C$6:$C406,402-MA_SHORT):$C406),"")</f>
        <v>6512</v>
      </c>
      <c r="J406" s="52" t="n">
        <f aca="false">IF(AND(ISNUMBER($G406),$G406&gt;=MA_MED),AVERAGE(INDEX($C$6:$C406,402-MA_MED):$C406),"")</f>
        <v>6842.76</v>
      </c>
      <c r="K406" s="52" t="n">
        <f aca="false">IF(AND(ISNUMBER($G406),$G406&gt;=MA_LONG2),AVERAGE(INDEX($C$6:$C406,402-MA_LONG2):$C406),"")</f>
        <v>6061.56</v>
      </c>
      <c r="L406" s="53" t="n">
        <f aca="false">IF(AND(ISNUMBER($G406),$G406&gt;=21),STDEV(INDEX($H$346:$H406,62-20):$H406)*SQRT(245),"")</f>
        <v>0.170273185209868</v>
      </c>
      <c r="M406" s="52" t="n">
        <f aca="false">IF(AND(ISNUMBER($G406),$G406&gt;=60),MAX(INDEX($D$206:$D406,202-60):$D406),"")</f>
        <v>7340</v>
      </c>
      <c r="N406" s="52" t="n">
        <f aca="false">IF(AND(ISNUMBER($G406),$G406&gt;=60),MIN(INDEX($E$206:$E406,202-60):$E406),"")</f>
        <v>6258</v>
      </c>
      <c r="O406" s="53" t="n">
        <f aca="false">IF(OR(NOT(ISNUMBER($C406)),NOT(ISNUMBER($M406)),$M406=0),"",$C406/$M406-1)</f>
        <v>-0.125476839237057</v>
      </c>
    </row>
    <row r="407" customFormat="false" ht="15" hidden="false" customHeight="false" outlineLevel="0" collapsed="false">
      <c r="A407" s="47" t="n">
        <v>46132</v>
      </c>
      <c r="B407" s="48" t="s">
        <v>555</v>
      </c>
      <c r="C407" s="49" t="n">
        <v>6459</v>
      </c>
      <c r="D407" s="49" t="n">
        <v>6480</v>
      </c>
      <c r="E407" s="49" t="n">
        <v>6442</v>
      </c>
      <c r="F407" s="49" t="n">
        <v>0</v>
      </c>
      <c r="G407" s="50" t="n">
        <f aca="false">IF($A407="","",IF(ISNUMBER($G406),$G406+1,1))</f>
        <v>403</v>
      </c>
      <c r="H407" s="51" t="n">
        <f aca="false">IF(OR(NOT(ISNUMBER($G407)),$G407&lt;2,NOT(ISNUMBER($C406)),$C406=0),"",$C407/$C406-1)</f>
        <v>0.00623150023368124</v>
      </c>
      <c r="I407" s="52" t="n">
        <f aca="false">IF(AND(ISNUMBER($G407),$G407&gt;=MA_SHORT),AVERAGE(INDEX($C$7:$C407,402-MA_SHORT):$C407),"")</f>
        <v>6495.1</v>
      </c>
      <c r="J407" s="52" t="n">
        <f aca="false">IF(AND(ISNUMBER($G407),$G407&gt;=MA_MED),AVERAGE(INDEX($C$7:$C407,402-MA_MED):$C407),"")</f>
        <v>6829.68</v>
      </c>
      <c r="K407" s="52" t="n">
        <f aca="false">IF(AND(ISNUMBER($G407),$G407&gt;=MA_LONG2),AVERAGE(INDEX($C$7:$C407,402-MA_LONG2):$C407),"")</f>
        <v>6068.92</v>
      </c>
      <c r="L407" s="53" t="n">
        <f aca="false">IF(AND(ISNUMBER($G407),$G407&gt;=21),STDEV(INDEX($H$347:$H407,62-20):$H407)*SQRT(245),"")</f>
        <v>0.167428830493117</v>
      </c>
      <c r="M407" s="52" t="n">
        <f aca="false">IF(AND(ISNUMBER($G407),$G407&gt;=60),MAX(INDEX($D$207:$D407,202-60):$D407),"")</f>
        <v>7340</v>
      </c>
      <c r="N407" s="52" t="n">
        <f aca="false">IF(AND(ISNUMBER($G407),$G407&gt;=60),MIN(INDEX($E$207:$E407,202-60):$E407),"")</f>
        <v>6258</v>
      </c>
      <c r="O407" s="53" t="n">
        <f aca="false">IF(OR(NOT(ISNUMBER($C407)),NOT(ISNUMBER($M407)),$M407=0),"",$C407/$M407-1)</f>
        <v>-0.120027247956403</v>
      </c>
    </row>
    <row r="408" customFormat="false" ht="15" hidden="false" customHeight="false" outlineLevel="0" collapsed="false">
      <c r="A408" s="47" t="n">
        <v>46133</v>
      </c>
      <c r="B408" s="48" t="s">
        <v>556</v>
      </c>
      <c r="C408" s="49" t="n">
        <v>6440</v>
      </c>
      <c r="D408" s="49" t="n">
        <v>6479</v>
      </c>
      <c r="E408" s="49" t="n">
        <v>6418</v>
      </c>
      <c r="F408" s="49" t="n">
        <v>0</v>
      </c>
      <c r="G408" s="50" t="n">
        <f aca="false">IF($A408="","",IF(ISNUMBER($G407),$G407+1,1))</f>
        <v>404</v>
      </c>
      <c r="H408" s="51" t="n">
        <f aca="false">IF(OR(NOT(ISNUMBER($G408)),$G408&lt;2,NOT(ISNUMBER($C407)),$C407=0),"",$C408/$C407-1)</f>
        <v>-0.00294163183155283</v>
      </c>
      <c r="I408" s="52" t="n">
        <f aca="false">IF(AND(ISNUMBER($G408),$G408&gt;=MA_SHORT),AVERAGE(INDEX($C$8:$C408,402-MA_SHORT):$C408),"")</f>
        <v>6474.8</v>
      </c>
      <c r="J408" s="52" t="n">
        <f aca="false">IF(AND(ISNUMBER($G408),$G408&gt;=MA_MED),AVERAGE(INDEX($C$8:$C408,402-MA_MED):$C408),"")</f>
        <v>6814.98</v>
      </c>
      <c r="K408" s="52" t="n">
        <f aca="false">IF(AND(ISNUMBER($G408),$G408&gt;=MA_LONG2),AVERAGE(INDEX($C$8:$C408,402-MA_LONG2):$C408),"")</f>
        <v>6076.7</v>
      </c>
      <c r="L408" s="53" t="n">
        <f aca="false">IF(AND(ISNUMBER($G408),$G408&gt;=21),STDEV(INDEX($H$348:$H408,62-20):$H408)*SQRT(245),"")</f>
        <v>0.163569309250539</v>
      </c>
      <c r="M408" s="52" t="n">
        <f aca="false">IF(AND(ISNUMBER($G408),$G408&gt;=60),MAX(INDEX($D$208:$D408,202-60):$D408),"")</f>
        <v>7340</v>
      </c>
      <c r="N408" s="52" t="n">
        <f aca="false">IF(AND(ISNUMBER($G408),$G408&gt;=60),MIN(INDEX($E$208:$E408,202-60):$E408),"")</f>
        <v>6258</v>
      </c>
      <c r="O408" s="53" t="n">
        <f aca="false">IF(OR(NOT(ISNUMBER($C408)),NOT(ISNUMBER($M408)),$M408=0),"",$C408/$M408-1)</f>
        <v>-0.122615803814714</v>
      </c>
    </row>
    <row r="409" customFormat="false" ht="15" hidden="false" customHeight="false" outlineLevel="0" collapsed="false">
      <c r="A409" s="47" t="n">
        <v>46134</v>
      </c>
      <c r="B409" s="48" t="s">
        <v>557</v>
      </c>
      <c r="C409" s="49" t="n">
        <v>6490</v>
      </c>
      <c r="D409" s="49" t="n">
        <v>6507</v>
      </c>
      <c r="E409" s="49" t="n">
        <v>6482</v>
      </c>
      <c r="F409" s="49" t="n">
        <v>0</v>
      </c>
      <c r="G409" s="50" t="n">
        <f aca="false">IF($A409="","",IF(ISNUMBER($G408),$G408+1,1))</f>
        <v>405</v>
      </c>
      <c r="H409" s="51" t="n">
        <f aca="false">IF(OR(NOT(ISNUMBER($G409)),$G409&lt;2,NOT(ISNUMBER($C408)),$C408=0),"",$C409/$C408-1)</f>
        <v>0.0077639751552796</v>
      </c>
      <c r="I409" s="52" t="n">
        <f aca="false">IF(AND(ISNUMBER($G409),$G409&gt;=MA_SHORT),AVERAGE(INDEX($C$9:$C409,402-MA_SHORT):$C409),"")</f>
        <v>6460.95</v>
      </c>
      <c r="J409" s="52" t="n">
        <f aca="false">IF(AND(ISNUMBER($G409),$G409&gt;=MA_MED),AVERAGE(INDEX($C$9:$C409,402-MA_MED):$C409),"")</f>
        <v>6801.76</v>
      </c>
      <c r="K409" s="52" t="n">
        <f aca="false">IF(AND(ISNUMBER($G409),$G409&gt;=MA_LONG2),AVERAGE(INDEX($C$9:$C409,402-MA_LONG2):$C409),"")</f>
        <v>6084.84</v>
      </c>
      <c r="L409" s="53" t="n">
        <f aca="false">IF(AND(ISNUMBER($G409),$G409&gt;=21),STDEV(INDEX($H$349:$H409,62-20):$H409)*SQRT(245),"")</f>
        <v>0.164524727094967</v>
      </c>
      <c r="M409" s="52" t="n">
        <f aca="false">IF(AND(ISNUMBER($G409),$G409&gt;=60),MAX(INDEX($D$209:$D409,202-60):$D409),"")</f>
        <v>7340</v>
      </c>
      <c r="N409" s="52" t="n">
        <f aca="false">IF(AND(ISNUMBER($G409),$G409&gt;=60),MIN(INDEX($E$209:$E409,202-60):$E409),"")</f>
        <v>6258</v>
      </c>
      <c r="O409" s="53" t="n">
        <f aca="false">IF(OR(NOT(ISNUMBER($C409)),NOT(ISNUMBER($M409)),$M409=0),"",$C409/$M409-1)</f>
        <v>-0.115803814713896</v>
      </c>
    </row>
    <row r="410" customFormat="false" ht="15" hidden="false" customHeight="false" outlineLevel="0" collapsed="false">
      <c r="A410" s="47" t="n">
        <v>46137</v>
      </c>
      <c r="B410" s="48" t="s">
        <v>558</v>
      </c>
      <c r="C410" s="49" t="n">
        <v>6419</v>
      </c>
      <c r="D410" s="49" t="n">
        <v>6429</v>
      </c>
      <c r="E410" s="49" t="n">
        <v>6387</v>
      </c>
      <c r="F410" s="49" t="n">
        <v>0</v>
      </c>
      <c r="G410" s="50" t="n">
        <f aca="false">IF($A410="","",IF(ISNUMBER($G409),$G409+1,1))</f>
        <v>406</v>
      </c>
      <c r="H410" s="51" t="n">
        <f aca="false">IF(OR(NOT(ISNUMBER($G410)),$G410&lt;2,NOT(ISNUMBER($C409)),$C409=0),"",$C410/$C409-1)</f>
        <v>-0.010939907550077</v>
      </c>
      <c r="I410" s="52" t="n">
        <f aca="false">IF(AND(ISNUMBER($G410),$G410&gt;=MA_SHORT),AVERAGE(INDEX($C$10:$C410,402-MA_SHORT):$C410),"")</f>
        <v>6441.55</v>
      </c>
      <c r="J410" s="52" t="n">
        <f aca="false">IF(AND(ISNUMBER($G410),$G410&gt;=MA_MED),AVERAGE(INDEX($C$10:$C410,402-MA_MED):$C410),"")</f>
        <v>6786.52</v>
      </c>
      <c r="K410" s="52" t="n">
        <f aca="false">IF(AND(ISNUMBER($G410),$G410&gt;=MA_LONG2),AVERAGE(INDEX($C$10:$C410,402-MA_LONG2):$C410),"")</f>
        <v>6092.605</v>
      </c>
      <c r="L410" s="53" t="n">
        <f aca="false">IF(AND(ISNUMBER($G410),$G410&gt;=21),STDEV(INDEX($H$350:$H410,62-20):$H410)*SQRT(245),"")</f>
        <v>0.164601675057096</v>
      </c>
      <c r="M410" s="52" t="n">
        <f aca="false">IF(AND(ISNUMBER($G410),$G410&gt;=60),MAX(INDEX($D$210:$D410,202-60):$D410),"")</f>
        <v>7340</v>
      </c>
      <c r="N410" s="52" t="n">
        <f aca="false">IF(AND(ISNUMBER($G410),$G410&gt;=60),MIN(INDEX($E$210:$E410,202-60):$E410),"")</f>
        <v>6258</v>
      </c>
      <c r="O410" s="53" t="n">
        <f aca="false">IF(OR(NOT(ISNUMBER($C410)),NOT(ISNUMBER($M410)),$M410=0),"",$C410/$M410-1)</f>
        <v>-0.125476839237057</v>
      </c>
    </row>
    <row r="411" customFormat="false" ht="15" hidden="false" customHeight="false" outlineLevel="0" collapsed="false">
      <c r="A411" s="47" t="n">
        <v>46138</v>
      </c>
      <c r="B411" s="48" t="s">
        <v>559</v>
      </c>
      <c r="C411" s="49" t="n">
        <v>6432</v>
      </c>
      <c r="D411" s="49" t="n">
        <v>6446</v>
      </c>
      <c r="E411" s="49" t="n">
        <v>6428</v>
      </c>
      <c r="F411" s="49" t="n">
        <v>0</v>
      </c>
      <c r="G411" s="50" t="n">
        <f aca="false">IF($A411="","",IF(ISNUMBER($G410),$G410+1,1))</f>
        <v>407</v>
      </c>
      <c r="H411" s="51" t="n">
        <f aca="false">IF(OR(NOT(ISNUMBER($G411)),$G411&lt;2,NOT(ISNUMBER($C410)),$C410=0),"",$C411/$C410-1)</f>
        <v>0.00202523757594641</v>
      </c>
      <c r="I411" s="52" t="n">
        <f aca="false">IF(AND(ISNUMBER($G411),$G411&gt;=MA_SHORT),AVERAGE(INDEX($C$11:$C411,402-MA_SHORT):$C411),"")</f>
        <v>6423.9</v>
      </c>
      <c r="J411" s="52" t="n">
        <f aca="false">IF(AND(ISNUMBER($G411),$G411&gt;=MA_MED),AVERAGE(INDEX($C$11:$C411,402-MA_MED):$C411),"")</f>
        <v>6768.96</v>
      </c>
      <c r="K411" s="52" t="n">
        <f aca="false">IF(AND(ISNUMBER($G411),$G411&gt;=MA_LONG2),AVERAGE(INDEX($C$11:$C411,402-MA_LONG2):$C411),"")</f>
        <v>6100.34</v>
      </c>
      <c r="L411" s="53" t="n">
        <f aca="false">IF(AND(ISNUMBER($G411),$G411&gt;=21),STDEV(INDEX($H$351:$H411,62-20):$H411)*SQRT(245),"")</f>
        <v>0.165481755105749</v>
      </c>
      <c r="M411" s="52" t="n">
        <f aca="false">IF(AND(ISNUMBER($G411),$G411&gt;=60),MAX(INDEX($D$211:$D411,202-60):$D411),"")</f>
        <v>7340</v>
      </c>
      <c r="N411" s="52" t="n">
        <f aca="false">IF(AND(ISNUMBER($G411),$G411&gt;=60),MIN(INDEX($E$211:$E411,202-60):$E411),"")</f>
        <v>6258</v>
      </c>
      <c r="O411" s="53" t="n">
        <f aca="false">IF(OR(NOT(ISNUMBER($C411)),NOT(ISNUMBER($M411)),$M411=0),"",$C411/$M411-1)</f>
        <v>-0.123705722070845</v>
      </c>
    </row>
    <row r="412" customFormat="false" ht="15" hidden="false" customHeight="false" outlineLevel="0" collapsed="false">
      <c r="A412" s="47" t="n">
        <v>46139</v>
      </c>
      <c r="B412" s="48" t="s">
        <v>560</v>
      </c>
      <c r="C412" s="49" t="n">
        <v>6529</v>
      </c>
      <c r="D412" s="49" t="n">
        <v>6529</v>
      </c>
      <c r="E412" s="49" t="n">
        <v>6514</v>
      </c>
      <c r="F412" s="49" t="n">
        <v>0</v>
      </c>
      <c r="G412" s="50" t="n">
        <f aca="false">IF($A412="","",IF(ISNUMBER($G411),$G411+1,1))</f>
        <v>408</v>
      </c>
      <c r="H412" s="51" t="n">
        <f aca="false">IF(OR(NOT(ISNUMBER($G412)),$G412&lt;2,NOT(ISNUMBER($C411)),$C411=0),"",$C412/$C411-1)</f>
        <v>0.0150808457711442</v>
      </c>
      <c r="I412" s="52" t="n">
        <f aca="false">IF(AND(ISNUMBER($G412),$G412&gt;=MA_SHORT),AVERAGE(INDEX($C$12:$C412,402-MA_SHORT):$C412),"")</f>
        <v>6416.3</v>
      </c>
      <c r="J412" s="52" t="n">
        <f aca="false">IF(AND(ISNUMBER($G412),$G412&gt;=MA_MED),AVERAGE(INDEX($C$12:$C412,402-MA_MED):$C412),"")</f>
        <v>6754.4</v>
      </c>
      <c r="K412" s="52" t="n">
        <f aca="false">IF(AND(ISNUMBER($G412),$G412&gt;=MA_LONG2),AVERAGE(INDEX($C$12:$C412,402-MA_LONG2):$C412),"")</f>
        <v>6108.185</v>
      </c>
      <c r="L412" s="53" t="n">
        <f aca="false">IF(AND(ISNUMBER($G412),$G412&gt;=21),STDEV(INDEX($H$352:$H412,62-20):$H412)*SQRT(245),"")</f>
        <v>0.16953335412552</v>
      </c>
      <c r="M412" s="52" t="n">
        <f aca="false">IF(AND(ISNUMBER($G412),$G412&gt;=60),MAX(INDEX($D$212:$D412,202-60):$D412),"")</f>
        <v>7340</v>
      </c>
      <c r="N412" s="52" t="n">
        <f aca="false">IF(AND(ISNUMBER($G412),$G412&gt;=60),MIN(INDEX($E$212:$E412,202-60):$E412),"")</f>
        <v>6258</v>
      </c>
      <c r="O412" s="53" t="n">
        <f aca="false">IF(OR(NOT(ISNUMBER($C412)),NOT(ISNUMBER($M412)),$M412=0),"",$C412/$M412-1)</f>
        <v>-0.110490463215259</v>
      </c>
    </row>
    <row r="413" customFormat="false" ht="15" hidden="false" customHeight="false" outlineLevel="0" collapsed="false">
      <c r="A413" s="47" t="n">
        <v>46140</v>
      </c>
      <c r="B413" s="48" t="s">
        <v>561</v>
      </c>
      <c r="C413" s="49" t="n">
        <v>6514</v>
      </c>
      <c r="D413" s="49" t="n">
        <v>6560</v>
      </c>
      <c r="E413" s="49" t="n">
        <v>6505</v>
      </c>
      <c r="F413" s="49" t="n">
        <v>0</v>
      </c>
      <c r="G413" s="50" t="n">
        <f aca="false">IF($A413="","",IF(ISNUMBER($G412),$G412+1,1))</f>
        <v>409</v>
      </c>
      <c r="H413" s="51" t="n">
        <f aca="false">IF(OR(NOT(ISNUMBER($G413)),$G413&lt;2,NOT(ISNUMBER($C412)),$C412=0),"",$C413/$C412-1)</f>
        <v>-0.00229744218103845</v>
      </c>
      <c r="I413" s="52" t="n">
        <f aca="false">IF(AND(ISNUMBER($G413),$G413&gt;=MA_SHORT),AVERAGE(INDEX($C$13:$C413,402-MA_SHORT):$C413),"")</f>
        <v>6410.7</v>
      </c>
      <c r="J413" s="52" t="n">
        <f aca="false">IF(AND(ISNUMBER($G413),$G413&gt;=MA_MED),AVERAGE(INDEX($C$13:$C413,402-MA_MED):$C413),"")</f>
        <v>6740.12</v>
      </c>
      <c r="K413" s="52" t="n">
        <f aca="false">IF(AND(ISNUMBER($G413),$G413&gt;=MA_LONG2),AVERAGE(INDEX($C$13:$C413,402-MA_LONG2):$C413),"")</f>
        <v>6115.695</v>
      </c>
      <c r="L413" s="53" t="n">
        <f aca="false">IF(AND(ISNUMBER($G413),$G413&gt;=21),STDEV(INDEX($H$353:$H413,62-20):$H413)*SQRT(245),"")</f>
        <v>0.167572338551354</v>
      </c>
      <c r="M413" s="52" t="n">
        <f aca="false">IF(AND(ISNUMBER($G413),$G413&gt;=60),MAX(INDEX($D$213:$D413,202-60):$D413),"")</f>
        <v>7340</v>
      </c>
      <c r="N413" s="52" t="n">
        <f aca="false">IF(AND(ISNUMBER($G413),$G413&gt;=60),MIN(INDEX($E$213:$E413,202-60):$E413),"")</f>
        <v>6258</v>
      </c>
      <c r="O413" s="53" t="n">
        <f aca="false">IF(OR(NOT(ISNUMBER($C413)),NOT(ISNUMBER($M413)),$M413=0),"",$C413/$M413-1)</f>
        <v>-0.112534059945504</v>
      </c>
    </row>
    <row r="414" customFormat="false" ht="15" hidden="false" customHeight="false" outlineLevel="0" collapsed="false">
      <c r="A414" s="47" t="n">
        <v>46141</v>
      </c>
      <c r="B414" s="48" t="s">
        <v>562</v>
      </c>
      <c r="C414" s="49" t="n">
        <v>6622</v>
      </c>
      <c r="D414" s="49" t="n">
        <v>6661</v>
      </c>
      <c r="E414" s="49" t="n">
        <v>6609</v>
      </c>
      <c r="F414" s="49" t="n">
        <v>0</v>
      </c>
      <c r="G414" s="50" t="n">
        <f aca="false">IF($A414="","",IF(ISNUMBER($G413),$G413+1,1))</f>
        <v>410</v>
      </c>
      <c r="H414" s="51" t="n">
        <f aca="false">IF(OR(NOT(ISNUMBER($G414)),$G414&lt;2,NOT(ISNUMBER($C413)),$C413=0),"",$C414/$C413-1)</f>
        <v>0.0165796745471292</v>
      </c>
      <c r="I414" s="52" t="n">
        <f aca="false">IF(AND(ISNUMBER($G414),$G414&gt;=MA_SHORT),AVERAGE(INDEX($C$14:$C414,402-MA_SHORT):$C414),"")</f>
        <v>6413</v>
      </c>
      <c r="J414" s="52" t="n">
        <f aca="false">IF(AND(ISNUMBER($G414),$G414&gt;=MA_MED),AVERAGE(INDEX($C$14:$C414,402-MA_MED):$C414),"")</f>
        <v>6727.48</v>
      </c>
      <c r="K414" s="52" t="n">
        <f aca="false">IF(AND(ISNUMBER($G414),$G414&gt;=MA_LONG2),AVERAGE(INDEX($C$14:$C414,402-MA_LONG2):$C414),"")</f>
        <v>6123.42</v>
      </c>
      <c r="L414" s="53" t="n">
        <f aca="false">IF(AND(ISNUMBER($G414),$G414&gt;=21),STDEV(INDEX($H$354:$H414,62-20):$H414)*SQRT(245),"")</f>
        <v>0.176101291984158</v>
      </c>
      <c r="M414" s="52" t="n">
        <f aca="false">IF(AND(ISNUMBER($G414),$G414&gt;=60),MAX(INDEX($D$214:$D414,202-60):$D414),"")</f>
        <v>7340</v>
      </c>
      <c r="N414" s="52" t="n">
        <f aca="false">IF(AND(ISNUMBER($G414),$G414&gt;=60),MIN(INDEX($E$214:$E414,202-60):$E414),"")</f>
        <v>6258</v>
      </c>
      <c r="O414" s="53" t="n">
        <f aca="false">IF(OR(NOT(ISNUMBER($C414)),NOT(ISNUMBER($M414)),$M414=0),"",$C414/$M414-1)</f>
        <v>-0.0978201634877384</v>
      </c>
    </row>
    <row r="415" customFormat="false" ht="15" hidden="false" customHeight="false" outlineLevel="0" collapsed="false">
      <c r="A415" s="47" t="n">
        <v>46144</v>
      </c>
      <c r="B415" s="48" t="s">
        <v>563</v>
      </c>
      <c r="C415" s="49" t="n">
        <v>6726</v>
      </c>
      <c r="D415" s="49" t="n">
        <v>6728</v>
      </c>
      <c r="E415" s="49" t="n">
        <v>6688</v>
      </c>
      <c r="F415" s="49" t="n">
        <v>0</v>
      </c>
      <c r="G415" s="50" t="n">
        <f aca="false">IF($A415="","",IF(ISNUMBER($G414),$G414+1,1))</f>
        <v>411</v>
      </c>
      <c r="H415" s="51" t="n">
        <f aca="false">IF(OR(NOT(ISNUMBER($G415)),$G415&lt;2,NOT(ISNUMBER($C414)),$C414=0),"",$C415/$C414-1)</f>
        <v>0.0157052250075507</v>
      </c>
      <c r="I415" s="52" t="n">
        <f aca="false">IF(AND(ISNUMBER($G415),$G415&gt;=MA_SHORT),AVERAGE(INDEX($C$15:$C415,402-MA_SHORT):$C415),"")</f>
        <v>6427</v>
      </c>
      <c r="J415" s="52" t="n">
        <f aca="false">IF(AND(ISNUMBER($G415),$G415&gt;=MA_MED),AVERAGE(INDEX($C$15:$C415,402-MA_MED):$C415),"")</f>
        <v>6715.64</v>
      </c>
      <c r="K415" s="52" t="n">
        <f aca="false">IF(AND(ISNUMBER($G415),$G415&gt;=MA_LONG2),AVERAGE(INDEX($C$15:$C415,402-MA_LONG2):$C415),"")</f>
        <v>6131.435</v>
      </c>
      <c r="L415" s="53" t="n">
        <f aca="false">IF(AND(ISNUMBER($G415),$G415&gt;=21),STDEV(INDEX($H$355:$H415,62-20):$H415)*SQRT(245),"")</f>
        <v>0.16723461792783</v>
      </c>
      <c r="M415" s="52" t="n">
        <f aca="false">IF(AND(ISNUMBER($G415),$G415&gt;=60),MAX(INDEX($D$215:$D415,202-60):$D415),"")</f>
        <v>7340</v>
      </c>
      <c r="N415" s="52" t="n">
        <f aca="false">IF(AND(ISNUMBER($G415),$G415&gt;=60),MIN(INDEX($E$215:$E415,202-60):$E415),"")</f>
        <v>6258</v>
      </c>
      <c r="O415" s="53" t="n">
        <f aca="false">IF(OR(NOT(ISNUMBER($C415)),NOT(ISNUMBER($M415)),$M415=0),"",$C415/$M415-1)</f>
        <v>-0.0836512261580381</v>
      </c>
    </row>
    <row r="416" customFormat="false" ht="15" hidden="false" customHeight="false" outlineLevel="0" collapsed="false">
      <c r="A416" s="47" t="n">
        <v>46145</v>
      </c>
      <c r="B416" s="48" t="s">
        <v>564</v>
      </c>
      <c r="C416" s="49" t="n">
        <v>6567</v>
      </c>
      <c r="D416" s="49" t="n">
        <v>6574</v>
      </c>
      <c r="E416" s="49" t="n">
        <v>6556</v>
      </c>
      <c r="F416" s="49" t="n">
        <v>0</v>
      </c>
      <c r="G416" s="50" t="n">
        <f aca="false">IF($A416="","",IF(ISNUMBER($G415),$G415+1,1))</f>
        <v>412</v>
      </c>
      <c r="H416" s="51" t="n">
        <f aca="false">IF(OR(NOT(ISNUMBER($G416)),$G416&lt;2,NOT(ISNUMBER($C415)),$C415=0),"",$C416/$C415-1)</f>
        <v>-0.0236396074933095</v>
      </c>
      <c r="I416" s="52" t="n">
        <f aca="false">IF(AND(ISNUMBER($G416),$G416&gt;=MA_SHORT),AVERAGE(INDEX($C$16:$C416,402-MA_SHORT):$C416),"")</f>
        <v>6439.65</v>
      </c>
      <c r="J416" s="52" t="n">
        <f aca="false">IF(AND(ISNUMBER($G416),$G416&gt;=MA_MED),AVERAGE(INDEX($C$16:$C416,402-MA_MED):$C416),"")</f>
        <v>6701.1</v>
      </c>
      <c r="K416" s="52" t="n">
        <f aca="false">IF(AND(ISNUMBER($G416),$G416&gt;=MA_LONG2),AVERAGE(INDEX($C$16:$C416,402-MA_LONG2):$C416),"")</f>
        <v>6138.275</v>
      </c>
      <c r="L416" s="53" t="n">
        <f aca="false">IF(AND(ISNUMBER($G416),$G416&gt;=21),STDEV(INDEX($H$356:$H416,62-20):$H416)*SQRT(245),"")</f>
        <v>0.17302494475278</v>
      </c>
      <c r="M416" s="52" t="n">
        <f aca="false">IF(AND(ISNUMBER($G416),$G416&gt;=60),MAX(INDEX($D$216:$D416,202-60):$D416),"")</f>
        <v>7340</v>
      </c>
      <c r="N416" s="52" t="n">
        <f aca="false">IF(AND(ISNUMBER($G416),$G416&gt;=60),MIN(INDEX($E$216:$E416,202-60):$E416),"")</f>
        <v>6258</v>
      </c>
      <c r="O416" s="53" t="n">
        <f aca="false">IF(OR(NOT(ISNUMBER($C416)),NOT(ISNUMBER($M416)),$M416=0),"",$C416/$M416-1)</f>
        <v>-0.105313351498638</v>
      </c>
    </row>
    <row r="417" customFormat="false" ht="15" hidden="false" customHeight="false" outlineLevel="0" collapsed="false">
      <c r="A417" s="47" t="n">
        <v>46146</v>
      </c>
      <c r="B417" s="48" t="s">
        <v>565</v>
      </c>
      <c r="C417" s="49" t="n">
        <v>6480</v>
      </c>
      <c r="D417" s="49" t="n">
        <v>6497</v>
      </c>
      <c r="E417" s="49" t="n">
        <v>6463</v>
      </c>
      <c r="F417" s="49" t="n">
        <v>0</v>
      </c>
      <c r="G417" s="50" t="n">
        <f aca="false">IF($A417="","",IF(ISNUMBER($G416),$G416+1,1))</f>
        <v>413</v>
      </c>
      <c r="H417" s="51" t="n">
        <f aca="false">IF(OR(NOT(ISNUMBER($G417)),$G417&lt;2,NOT(ISNUMBER($C416)),$C416=0),"",$C417/$C416-1)</f>
        <v>-0.0132480584741891</v>
      </c>
      <c r="I417" s="52" t="n">
        <f aca="false">IF(AND(ISNUMBER($G417),$G417&gt;=MA_SHORT),AVERAGE(INDEX($C$17:$C417,402-MA_SHORT):$C417),"")</f>
        <v>6443.85</v>
      </c>
      <c r="J417" s="52" t="n">
        <f aca="false">IF(AND(ISNUMBER($G417),$G417&gt;=MA_MED),AVERAGE(INDEX($C$17:$C417,402-MA_MED):$C417),"")</f>
        <v>6687.18</v>
      </c>
      <c r="K417" s="52" t="n">
        <f aca="false">IF(AND(ISNUMBER($G417),$G417&gt;=MA_LONG2),AVERAGE(INDEX($C$17:$C417,402-MA_LONG2):$C417),"")</f>
        <v>6144.96</v>
      </c>
      <c r="L417" s="53" t="n">
        <f aca="false">IF(AND(ISNUMBER($G417),$G417&gt;=21),STDEV(INDEX($H$357:$H417,62-20):$H417)*SQRT(245),"")</f>
        <v>0.175931644482933</v>
      </c>
      <c r="M417" s="52" t="n">
        <f aca="false">IF(AND(ISNUMBER($G417),$G417&gt;=60),MAX(INDEX($D$217:$D417,202-60):$D417),"")</f>
        <v>7340</v>
      </c>
      <c r="N417" s="52" t="n">
        <f aca="false">IF(AND(ISNUMBER($G417),$G417&gt;=60),MIN(INDEX($E$217:$E417,202-60):$E417),"")</f>
        <v>6258</v>
      </c>
      <c r="O417" s="53" t="n">
        <f aca="false">IF(OR(NOT(ISNUMBER($C417)),NOT(ISNUMBER($M417)),$M417=0),"",$C417/$M417-1)</f>
        <v>-0.11716621253406</v>
      </c>
    </row>
    <row r="418" customFormat="false" ht="15" hidden="false" customHeight="false" outlineLevel="0" collapsed="false">
      <c r="A418" s="47" t="n">
        <v>46147</v>
      </c>
      <c r="B418" s="48" t="s">
        <v>566</v>
      </c>
      <c r="C418" s="49" t="n">
        <v>6391</v>
      </c>
      <c r="D418" s="49" t="n">
        <v>6412</v>
      </c>
      <c r="E418" s="49" t="n">
        <v>6375</v>
      </c>
      <c r="F418" s="49" t="n">
        <v>0</v>
      </c>
      <c r="G418" s="50" t="n">
        <f aca="false">IF($A418="","",IF(ISNUMBER($G417),$G417+1,1))</f>
        <v>414</v>
      </c>
      <c r="H418" s="51" t="n">
        <f aca="false">IF(OR(NOT(ISNUMBER($G418)),$G418&lt;2,NOT(ISNUMBER($C417)),$C417=0),"",$C418/$C417-1)</f>
        <v>-0.0137345679012346</v>
      </c>
      <c r="I418" s="52" t="n">
        <f aca="false">IF(AND(ISNUMBER($G418),$G418&gt;=MA_SHORT),AVERAGE(INDEX($C$18:$C418,402-MA_SHORT):$C418),"")</f>
        <v>6442.05</v>
      </c>
      <c r="J418" s="52" t="n">
        <f aca="false">IF(AND(ISNUMBER($G418),$G418&gt;=MA_MED),AVERAGE(INDEX($C$18:$C418,402-MA_MED):$C418),"")</f>
        <v>6670.7</v>
      </c>
      <c r="K418" s="52" t="n">
        <f aca="false">IF(AND(ISNUMBER($G418),$G418&gt;=MA_LONG2),AVERAGE(INDEX($C$18:$C418,402-MA_LONG2):$C418),"")</f>
        <v>6151.775</v>
      </c>
      <c r="L418" s="53" t="n">
        <f aca="false">IF(AND(ISNUMBER($G418),$G418&gt;=21),STDEV(INDEX($H$358:$H418,62-20):$H418)*SQRT(245),"")</f>
        <v>0.182209826638546</v>
      </c>
      <c r="M418" s="52" t="n">
        <f aca="false">IF(AND(ISNUMBER($G418),$G418&gt;=60),MAX(INDEX($D$218:$D418,202-60):$D418),"")</f>
        <v>7340</v>
      </c>
      <c r="N418" s="52" t="n">
        <f aca="false">IF(AND(ISNUMBER($G418),$G418&gt;=60),MIN(INDEX($E$218:$E418,202-60):$E418),"")</f>
        <v>6258</v>
      </c>
      <c r="O418" s="53" t="n">
        <f aca="false">IF(OR(NOT(ISNUMBER($C418)),NOT(ISNUMBER($M418)),$M418=0),"",$C418/$M418-1)</f>
        <v>-0.129291553133515</v>
      </c>
    </row>
    <row r="419" customFormat="false" ht="15" hidden="false" customHeight="false" outlineLevel="0" collapsed="false">
      <c r="A419" s="47" t="n">
        <v>46148</v>
      </c>
      <c r="B419" s="48" t="s">
        <v>567</v>
      </c>
      <c r="C419" s="49" t="n">
        <v>6408</v>
      </c>
      <c r="D419" s="49" t="n">
        <v>6439</v>
      </c>
      <c r="E419" s="49" t="n">
        <v>6379</v>
      </c>
      <c r="F419" s="49" t="n">
        <v>0</v>
      </c>
      <c r="G419" s="50" t="n">
        <f aca="false">IF($A419="","",IF(ISNUMBER($G418),$G418+1,1))</f>
        <v>415</v>
      </c>
      <c r="H419" s="51" t="n">
        <f aca="false">IF(OR(NOT(ISNUMBER($G419)),$G419&lt;2,NOT(ISNUMBER($C418)),$C418=0),"",$C419/$C418-1)</f>
        <v>0.00265999061179789</v>
      </c>
      <c r="I419" s="52" t="n">
        <f aca="false">IF(AND(ISNUMBER($G419),$G419&gt;=MA_SHORT),AVERAGE(INDEX($C$19:$C419,402-MA_SHORT):$C419),"")</f>
        <v>6444.65</v>
      </c>
      <c r="J419" s="52" t="n">
        <f aca="false">IF(AND(ISNUMBER($G419),$G419&gt;=MA_MED),AVERAGE(INDEX($C$19:$C419,402-MA_MED):$C419),"")</f>
        <v>6653.12</v>
      </c>
      <c r="K419" s="52" t="n">
        <f aca="false">IF(AND(ISNUMBER($G419),$G419&gt;=MA_LONG2),AVERAGE(INDEX($C$19:$C419,402-MA_LONG2):$C419),"")</f>
        <v>6158.585</v>
      </c>
      <c r="L419" s="53" t="n">
        <f aca="false">IF(AND(ISNUMBER($G419),$G419&gt;=21),STDEV(INDEX($H$359:$H419,62-20):$H419)*SQRT(245),"")</f>
        <v>0.177970001132941</v>
      </c>
      <c r="M419" s="52" t="n">
        <f aca="false">IF(AND(ISNUMBER($G419),$G419&gt;=60),MAX(INDEX($D$219:$D419,202-60):$D419),"")</f>
        <v>7340</v>
      </c>
      <c r="N419" s="52" t="n">
        <f aca="false">IF(AND(ISNUMBER($G419),$G419&gt;=60),MIN(INDEX($E$219:$E419,202-60):$E419),"")</f>
        <v>6258</v>
      </c>
      <c r="O419" s="53" t="n">
        <f aca="false">IF(OR(NOT(ISNUMBER($C419)),NOT(ISNUMBER($M419)),$M419=0),"",$C419/$M419-1)</f>
        <v>-0.126975476839237</v>
      </c>
    </row>
    <row r="420" customFormat="false" ht="15" hidden="false" customHeight="false" outlineLevel="0" collapsed="false">
      <c r="A420" s="47" t="n">
        <v>46151</v>
      </c>
      <c r="B420" s="48" t="s">
        <v>568</v>
      </c>
      <c r="C420" s="49" t="n">
        <v>6485</v>
      </c>
      <c r="D420" s="49" t="n">
        <v>6530</v>
      </c>
      <c r="E420" s="49" t="n">
        <v>6470</v>
      </c>
      <c r="F420" s="49" t="n">
        <v>0</v>
      </c>
      <c r="G420" s="50" t="n">
        <f aca="false">IF($A420="","",IF(ISNUMBER($G419),$G419+1,1))</f>
        <v>416</v>
      </c>
      <c r="H420" s="51" t="n">
        <f aca="false">IF(OR(NOT(ISNUMBER($G420)),$G420&lt;2,NOT(ISNUMBER($C419)),$C419=0),"",$C420/$C419-1)</f>
        <v>0.012016229712859</v>
      </c>
      <c r="I420" s="52" t="n">
        <f aca="false">IF(AND(ISNUMBER($G420),$G420&gt;=MA_SHORT),AVERAGE(INDEX($C$20:$C420,402-MA_SHORT):$C420),"")</f>
        <v>6453.7</v>
      </c>
      <c r="J420" s="52" t="n">
        <f aca="false">IF(AND(ISNUMBER($G420),$G420&gt;=MA_MED),AVERAGE(INDEX($C$20:$C420,402-MA_MED):$C420),"")</f>
        <v>6636.52</v>
      </c>
      <c r="K420" s="52" t="n">
        <f aca="false">IF(AND(ISNUMBER($G420),$G420&gt;=MA_LONG2),AVERAGE(INDEX($C$20:$C420,402-MA_LONG2):$C420),"")</f>
        <v>6165.39</v>
      </c>
      <c r="L420" s="53" t="n">
        <f aca="false">IF(AND(ISNUMBER($G420),$G420&gt;=21),STDEV(INDEX($H$360:$H420,62-20):$H420)*SQRT(245),"")</f>
        <v>0.179345416463542</v>
      </c>
      <c r="M420" s="52" t="n">
        <f aca="false">IF(AND(ISNUMBER($G420),$G420&gt;=60),MAX(INDEX($D$220:$D420,202-60):$D420),"")</f>
        <v>7340</v>
      </c>
      <c r="N420" s="52" t="n">
        <f aca="false">IF(AND(ISNUMBER($G420),$G420&gt;=60),MIN(INDEX($E$220:$E420,202-60):$E420),"")</f>
        <v>6258</v>
      </c>
      <c r="O420" s="53" t="n">
        <f aca="false">IF(OR(NOT(ISNUMBER($C420)),NOT(ISNUMBER($M420)),$M420=0),"",$C420/$M420-1)</f>
        <v>-0.116485013623978</v>
      </c>
    </row>
    <row r="421" customFormat="false" ht="15" hidden="false" customHeight="false" outlineLevel="0" collapsed="false">
      <c r="A421" s="47" t="n">
        <v>46152</v>
      </c>
      <c r="B421" s="48" t="s">
        <v>569</v>
      </c>
      <c r="C421" s="49" t="n">
        <v>6538</v>
      </c>
      <c r="D421" s="49" t="n">
        <v>6553</v>
      </c>
      <c r="E421" s="49" t="n">
        <v>6527</v>
      </c>
      <c r="F421" s="49" t="n">
        <v>0</v>
      </c>
      <c r="G421" s="50" t="n">
        <f aca="false">IF($A421="","",IF(ISNUMBER($G420),$G420+1,1))</f>
        <v>417</v>
      </c>
      <c r="H421" s="51" t="n">
        <f aca="false">IF(OR(NOT(ISNUMBER($G421)),$G421&lt;2,NOT(ISNUMBER($C420)),$C420=0),"",$C421/$C420-1)</f>
        <v>0.00817270624518129</v>
      </c>
      <c r="I421" s="52" t="n">
        <f aca="false">IF(AND(ISNUMBER($G421),$G421&gt;=MA_SHORT),AVERAGE(INDEX($C$21:$C421,402-MA_SHORT):$C421),"")</f>
        <v>6463.9</v>
      </c>
      <c r="J421" s="52" t="n">
        <f aca="false">IF(AND(ISNUMBER($G421),$G421&gt;=MA_MED),AVERAGE(INDEX($C$21:$C421,402-MA_MED):$C421),"")</f>
        <v>6621.54</v>
      </c>
      <c r="K421" s="52" t="n">
        <f aca="false">IF(AND(ISNUMBER($G421),$G421&gt;=MA_LONG2),AVERAGE(INDEX($C$21:$C421,402-MA_LONG2):$C421),"")</f>
        <v>6172.49</v>
      </c>
      <c r="L421" s="53" t="n">
        <f aca="false">IF(AND(ISNUMBER($G421),$G421&gt;=21),STDEV(INDEX($H$361:$H421,62-20):$H421)*SQRT(245),"")</f>
        <v>0.180544488925659</v>
      </c>
      <c r="M421" s="52" t="n">
        <f aca="false">IF(AND(ISNUMBER($G421),$G421&gt;=60),MAX(INDEX($D$221:$D421,202-60):$D421),"")</f>
        <v>7340</v>
      </c>
      <c r="N421" s="52" t="n">
        <f aca="false">IF(AND(ISNUMBER($G421),$G421&gt;=60),MIN(INDEX($E$221:$E421,202-60):$E421),"")</f>
        <v>6258</v>
      </c>
      <c r="O421" s="53" t="n">
        <f aca="false">IF(OR(NOT(ISNUMBER($C421)),NOT(ISNUMBER($M421)),$M421=0),"",$C421/$M421-1)</f>
        <v>-0.109264305177112</v>
      </c>
    </row>
    <row r="422" customFormat="false" ht="15" hidden="false" customHeight="false" outlineLevel="0" collapsed="false">
      <c r="A422" s="47" t="n">
        <v>46153</v>
      </c>
      <c r="B422" s="48" t="s">
        <v>570</v>
      </c>
      <c r="C422" s="49" t="n">
        <v>6506</v>
      </c>
      <c r="D422" s="49" t="n">
        <v>6520</v>
      </c>
      <c r="E422" s="49" t="n">
        <v>6488</v>
      </c>
      <c r="F422" s="49" t="n">
        <v>0</v>
      </c>
      <c r="G422" s="50" t="n">
        <f aca="false">IF($A422="","",IF(ISNUMBER($G421),$G421+1,1))</f>
        <v>418</v>
      </c>
      <c r="H422" s="51" t="n">
        <f aca="false">IF(OR(NOT(ISNUMBER($G422)),$G422&lt;2,NOT(ISNUMBER($C421)),$C421=0),"",$C422/$C421-1)</f>
        <v>-0.00489446313857445</v>
      </c>
      <c r="I422" s="52" t="n">
        <f aca="false">IF(AND(ISNUMBER($G422),$G422&gt;=MA_SHORT),AVERAGE(INDEX($C$22:$C422,402-MA_SHORT):$C422),"")</f>
        <v>6471.5</v>
      </c>
      <c r="J422" s="52" t="n">
        <f aca="false">IF(AND(ISNUMBER($G422),$G422&gt;=MA_MED),AVERAGE(INDEX($C$22:$C422,402-MA_MED):$C422),"")</f>
        <v>6608.14</v>
      </c>
      <c r="K422" s="52" t="n">
        <f aca="false">IF(AND(ISNUMBER($G422),$G422&gt;=MA_LONG2),AVERAGE(INDEX($C$22:$C422,402-MA_LONG2):$C422),"")</f>
        <v>6179.715</v>
      </c>
      <c r="L422" s="53" t="n">
        <f aca="false">IF(AND(ISNUMBER($G422),$G422&gt;=21),STDEV(INDEX($H$362:$H422,62-20):$H422)*SQRT(245),"")</f>
        <v>0.181871947263839</v>
      </c>
      <c r="M422" s="52" t="n">
        <f aca="false">IF(AND(ISNUMBER($G422),$G422&gt;=60),MAX(INDEX($D$222:$D422,202-60):$D422),"")</f>
        <v>7340</v>
      </c>
      <c r="N422" s="52" t="n">
        <f aca="false">IF(AND(ISNUMBER($G422),$G422&gt;=60),MIN(INDEX($E$222:$E422,202-60):$E422),"")</f>
        <v>6258</v>
      </c>
      <c r="O422" s="53" t="n">
        <f aca="false">IF(OR(NOT(ISNUMBER($C422)),NOT(ISNUMBER($M422)),$M422=0),"",$C422/$M422-1)</f>
        <v>-0.113623978201635</v>
      </c>
    </row>
    <row r="423" customFormat="false" ht="15" hidden="false" customHeight="false" outlineLevel="0" collapsed="false">
      <c r="A423" s="47" t="n">
        <v>46154</v>
      </c>
      <c r="B423" s="48" t="s">
        <v>571</v>
      </c>
      <c r="C423" s="49" t="n">
        <v>6348</v>
      </c>
      <c r="D423" s="49" t="n">
        <v>6357</v>
      </c>
      <c r="E423" s="49" t="n">
        <v>6332</v>
      </c>
      <c r="F423" s="49" t="n">
        <v>0</v>
      </c>
      <c r="G423" s="50" t="n">
        <f aca="false">IF($A423="","",IF(ISNUMBER($G422),$G422+1,1))</f>
        <v>419</v>
      </c>
      <c r="H423" s="51" t="n">
        <f aca="false">IF(OR(NOT(ISNUMBER($G423)),$G423&lt;2,NOT(ISNUMBER($C422)),$C422=0),"",$C423/$C422-1)</f>
        <v>-0.0242852751306486</v>
      </c>
      <c r="I423" s="52" t="n">
        <f aca="false">IF(AND(ISNUMBER($G423),$G423&gt;=MA_SHORT),AVERAGE(INDEX($C$23:$C423,402-MA_SHORT):$C423),"")</f>
        <v>6475.65</v>
      </c>
      <c r="J423" s="52" t="n">
        <f aca="false">IF(AND(ISNUMBER($G423),$G423&gt;=MA_MED),AVERAGE(INDEX($C$23:$C423,402-MA_MED):$C423),"")</f>
        <v>6593.46</v>
      </c>
      <c r="K423" s="52" t="n">
        <f aca="false">IF(AND(ISNUMBER($G423),$G423&gt;=MA_LONG2),AVERAGE(INDEX($C$23:$C423,402-MA_LONG2):$C423),"")</f>
        <v>6186.11</v>
      </c>
      <c r="L423" s="53" t="n">
        <f aca="false">IF(AND(ISNUMBER($G423),$G423&gt;=21),STDEV(INDEX($H$363:$H423,62-20):$H423)*SQRT(245),"")</f>
        <v>0.195997347066869</v>
      </c>
      <c r="M423" s="52" t="n">
        <f aca="false">IF(AND(ISNUMBER($G423),$G423&gt;=60),MAX(INDEX($D$223:$D423,202-60):$D423),"")</f>
        <v>7340</v>
      </c>
      <c r="N423" s="52" t="n">
        <f aca="false">IF(AND(ISNUMBER($G423),$G423&gt;=60),MIN(INDEX($E$223:$E423,202-60):$E423),"")</f>
        <v>6258</v>
      </c>
      <c r="O423" s="53" t="n">
        <f aca="false">IF(OR(NOT(ISNUMBER($C423)),NOT(ISNUMBER($M423)),$M423=0),"",$C423/$M423-1)</f>
        <v>-0.135149863760218</v>
      </c>
    </row>
    <row r="424" customFormat="false" ht="15" hidden="false" customHeight="false" outlineLevel="0" collapsed="false">
      <c r="A424" s="47" t="n">
        <v>46155</v>
      </c>
      <c r="B424" s="48" t="s">
        <v>572</v>
      </c>
      <c r="C424" s="49" t="n">
        <v>6416</v>
      </c>
      <c r="D424" s="49" t="n">
        <v>6425</v>
      </c>
      <c r="E424" s="49" t="n">
        <v>6394</v>
      </c>
      <c r="F424" s="49" t="n">
        <v>0</v>
      </c>
      <c r="G424" s="50" t="n">
        <f aca="false">IF($A424="","",IF(ISNUMBER($G423),$G423+1,1))</f>
        <v>420</v>
      </c>
      <c r="H424" s="51" t="n">
        <f aca="false">IF(OR(NOT(ISNUMBER($G424)),$G424&lt;2,NOT(ISNUMBER($C423)),$C423=0),"",$C424/$C423-1)</f>
        <v>0.0107120352867045</v>
      </c>
      <c r="I424" s="52" t="n">
        <f aca="false">IF(AND(ISNUMBER($G424),$G424&gt;=MA_SHORT),AVERAGE(INDEX($C$24:$C424,402-MA_SHORT):$C424),"")</f>
        <v>6479.65</v>
      </c>
      <c r="J424" s="52" t="n">
        <f aca="false">IF(AND(ISNUMBER($G424),$G424&gt;=MA_MED),AVERAGE(INDEX($C$24:$C424,402-MA_MED):$C424),"")</f>
        <v>6580.76</v>
      </c>
      <c r="K424" s="52" t="n">
        <f aca="false">IF(AND(ISNUMBER($G424),$G424&gt;=MA_LONG2),AVERAGE(INDEX($C$24:$C424,402-MA_LONG2):$C424),"")</f>
        <v>6192.715</v>
      </c>
      <c r="L424" s="53" t="n">
        <f aca="false">IF(AND(ISNUMBER($G424),$G424&gt;=21),STDEV(INDEX($H$364:$H424,62-20):$H424)*SQRT(245),"")</f>
        <v>0.195576040037839</v>
      </c>
      <c r="M424" s="52" t="n">
        <f aca="false">IF(AND(ISNUMBER($G424),$G424&gt;=60),MAX(INDEX($D$224:$D424,202-60):$D424),"")</f>
        <v>7340</v>
      </c>
      <c r="N424" s="52" t="n">
        <f aca="false">IF(AND(ISNUMBER($G424),$G424&gt;=60),MIN(INDEX($E$224:$E424,202-60):$E424),"")</f>
        <v>6258</v>
      </c>
      <c r="O424" s="53" t="n">
        <f aca="false">IF(OR(NOT(ISNUMBER($C424)),NOT(ISNUMBER($M424)),$M424=0),"",$C424/$M424-1)</f>
        <v>-0.125885558583106</v>
      </c>
    </row>
    <row r="425" customFormat="false" ht="15" hidden="false" customHeight="false" outlineLevel="0" collapsed="false">
      <c r="A425" s="47" t="n">
        <v>46158</v>
      </c>
      <c r="B425" s="48" t="s">
        <v>573</v>
      </c>
      <c r="C425" s="49" t="n">
        <v>6473</v>
      </c>
      <c r="D425" s="49" t="n">
        <v>6488</v>
      </c>
      <c r="E425" s="49" t="n">
        <v>6454</v>
      </c>
      <c r="F425" s="49" t="n">
        <v>0</v>
      </c>
      <c r="G425" s="50" t="n">
        <f aca="false">IF($A425="","",IF(ISNUMBER($G424),$G424+1,1))</f>
        <v>421</v>
      </c>
      <c r="H425" s="51" t="n">
        <f aca="false">IF(OR(NOT(ISNUMBER($G425)),$G425&lt;2,NOT(ISNUMBER($C424)),$C424=0),"",$C425/$C424-1)</f>
        <v>0.00888403990024944</v>
      </c>
      <c r="I425" s="52" t="n">
        <f aca="false">IF(AND(ISNUMBER($G425),$G425&gt;=MA_SHORT),AVERAGE(INDEX($C$25:$C425,402-MA_SHORT):$C425),"")</f>
        <v>6483.1</v>
      </c>
      <c r="J425" s="52" t="n">
        <f aca="false">IF(AND(ISNUMBER($G425),$G425&gt;=MA_MED),AVERAGE(INDEX($C$25:$C425,402-MA_MED):$C425),"")</f>
        <v>6571.48</v>
      </c>
      <c r="K425" s="52" t="n">
        <f aca="false">IF(AND(ISNUMBER($G425),$G425&gt;=MA_LONG2),AVERAGE(INDEX($C$25:$C425,402-MA_LONG2):$C425),"")</f>
        <v>6199.34</v>
      </c>
      <c r="L425" s="53" t="n">
        <f aca="false">IF(AND(ISNUMBER($G425),$G425&gt;=21),STDEV(INDEX($H$365:$H425,62-20):$H425)*SQRT(245),"")</f>
        <v>0.194457527278885</v>
      </c>
      <c r="M425" s="52" t="n">
        <f aca="false">IF(AND(ISNUMBER($G425),$G425&gt;=60),MAX(INDEX($D$225:$D425,202-60):$D425),"")</f>
        <v>7320</v>
      </c>
      <c r="N425" s="52" t="n">
        <f aca="false">IF(AND(ISNUMBER($G425),$G425&gt;=60),MIN(INDEX($E$225:$E425,202-60):$E425),"")</f>
        <v>6258</v>
      </c>
      <c r="O425" s="53" t="n">
        <f aca="false">IF(OR(NOT(ISNUMBER($C425)),NOT(ISNUMBER($M425)),$M425=0),"",$C425/$M425-1)</f>
        <v>-0.115710382513661</v>
      </c>
    </row>
    <row r="426" customFormat="false" ht="15" hidden="false" customHeight="false" outlineLevel="0" collapsed="false">
      <c r="A426" s="47" t="n">
        <v>46159</v>
      </c>
      <c r="B426" s="48" t="s">
        <v>574</v>
      </c>
      <c r="C426" s="49" t="n">
        <v>6653</v>
      </c>
      <c r="D426" s="49" t="n">
        <v>6683</v>
      </c>
      <c r="E426" s="49" t="n">
        <v>6639</v>
      </c>
      <c r="F426" s="49" t="n">
        <v>0</v>
      </c>
      <c r="G426" s="50" t="n">
        <f aca="false">IF($A426="","",IF(ISNUMBER($G425),$G425+1,1))</f>
        <v>422</v>
      </c>
      <c r="H426" s="51" t="n">
        <f aca="false">IF(OR(NOT(ISNUMBER($G426)),$G426&lt;2,NOT(ISNUMBER($C425)),$C425=0),"",$C426/$C425-1)</f>
        <v>0.0278078170863587</v>
      </c>
      <c r="I426" s="52" t="n">
        <f aca="false">IF(AND(ISNUMBER($G426),$G426&gt;=MA_SHORT),AVERAGE(INDEX($C$26:$C426,402-MA_SHORT):$C426),"")</f>
        <v>6494.8</v>
      </c>
      <c r="J426" s="52" t="n">
        <f aca="false">IF(AND(ISNUMBER($G426),$G426&gt;=MA_MED),AVERAGE(INDEX($C$26:$C426,402-MA_MED):$C426),"")</f>
        <v>6565.12</v>
      </c>
      <c r="K426" s="52" t="n">
        <f aca="false">IF(AND(ISNUMBER($G426),$G426&gt;=MA_LONG2),AVERAGE(INDEX($C$26:$C426,402-MA_LONG2):$C426),"")</f>
        <v>6206.92</v>
      </c>
      <c r="L426" s="53" t="n">
        <f aca="false">IF(AND(ISNUMBER($G426),$G426&gt;=21),STDEV(INDEX($H$366:$H426,62-20):$H426)*SQRT(245),"")</f>
        <v>0.21655409319351</v>
      </c>
      <c r="M426" s="52" t="n">
        <f aca="false">IF(AND(ISNUMBER($G426),$G426&gt;=60),MAX(INDEX($D$226:$D426,202-60):$D426),"")</f>
        <v>7320</v>
      </c>
      <c r="N426" s="52" t="n">
        <f aca="false">IF(AND(ISNUMBER($G426),$G426&gt;=60),MIN(INDEX($E$226:$E426,202-60):$E426),"")</f>
        <v>6258</v>
      </c>
      <c r="O426" s="53" t="n">
        <f aca="false">IF(OR(NOT(ISNUMBER($C426)),NOT(ISNUMBER($M426)),$M426=0),"",$C426/$M426-1)</f>
        <v>-0.091120218579235</v>
      </c>
    </row>
    <row r="427" customFormat="false" ht="15" hidden="false" customHeight="false" outlineLevel="0" collapsed="false">
      <c r="A427" s="47" t="n">
        <v>46160</v>
      </c>
      <c r="B427" s="48" t="s">
        <v>575</v>
      </c>
      <c r="C427" s="49" t="n">
        <v>6695</v>
      </c>
      <c r="D427" s="49" t="n">
        <v>6748</v>
      </c>
      <c r="E427" s="49" t="n">
        <v>6660</v>
      </c>
      <c r="F427" s="49" t="n">
        <v>0</v>
      </c>
      <c r="G427" s="50" t="n">
        <f aca="false">IF($A427="","",IF(ISNUMBER($G426),$G426+1,1))</f>
        <v>423</v>
      </c>
      <c r="H427" s="51" t="n">
        <f aca="false">IF(OR(NOT(ISNUMBER($G427)),$G427&lt;2,NOT(ISNUMBER($C426)),$C426=0),"",$C427/$C426-1)</f>
        <v>0.00631294153013684</v>
      </c>
      <c r="I427" s="52" t="n">
        <f aca="false">IF(AND(ISNUMBER($G427),$G427&gt;=MA_SHORT),AVERAGE(INDEX($C$27:$C427,402-MA_SHORT):$C427),"")</f>
        <v>6506.6</v>
      </c>
      <c r="J427" s="52" t="n">
        <f aca="false">IF(AND(ISNUMBER($G427),$G427&gt;=MA_MED),AVERAGE(INDEX($C$27:$C427,402-MA_MED):$C427),"")</f>
        <v>6561.02</v>
      </c>
      <c r="K427" s="52" t="n">
        <f aca="false">IF(AND(ISNUMBER($G427),$G427&gt;=MA_LONG2),AVERAGE(INDEX($C$27:$C427,402-MA_LONG2):$C427),"")</f>
        <v>6214.43</v>
      </c>
      <c r="L427" s="53" t="n">
        <f aca="false">IF(AND(ISNUMBER($G427),$G427&gt;=21),STDEV(INDEX($H$367:$H427,62-20):$H427)*SQRT(245),"")</f>
        <v>0.216575367904258</v>
      </c>
      <c r="M427" s="52" t="n">
        <f aca="false">IF(AND(ISNUMBER($G427),$G427&gt;=60),MAX(INDEX($D$227:$D427,202-60):$D427),"")</f>
        <v>7320</v>
      </c>
      <c r="N427" s="52" t="n">
        <f aca="false">IF(AND(ISNUMBER($G427),$G427&gt;=60),MIN(INDEX($E$227:$E427,202-60):$E427),"")</f>
        <v>6258</v>
      </c>
      <c r="O427" s="53" t="n">
        <f aca="false">IF(OR(NOT(ISNUMBER($C427)),NOT(ISNUMBER($M427)),$M427=0),"",$C427/$M427-1)</f>
        <v>-0.0853825136612022</v>
      </c>
    </row>
    <row r="428" customFormat="false" ht="15" hidden="false" customHeight="false" outlineLevel="0" collapsed="false">
      <c r="A428" s="47" t="n">
        <v>46161</v>
      </c>
      <c r="B428" s="48" t="s">
        <v>576</v>
      </c>
      <c r="C428" s="49" t="n">
        <v>6812</v>
      </c>
      <c r="D428" s="49" t="n">
        <v>6821</v>
      </c>
      <c r="E428" s="49" t="n">
        <v>6763</v>
      </c>
      <c r="F428" s="49" t="n">
        <v>0</v>
      </c>
      <c r="G428" s="50" t="n">
        <f aca="false">IF($A428="","",IF(ISNUMBER($G427),$G427+1,1))</f>
        <v>424</v>
      </c>
      <c r="H428" s="51" t="n">
        <f aca="false">IF(OR(NOT(ISNUMBER($G428)),$G428&lt;2,NOT(ISNUMBER($C427)),$C427=0),"",$C428/$C427-1)</f>
        <v>0.0174757281553397</v>
      </c>
      <c r="I428" s="52" t="n">
        <f aca="false">IF(AND(ISNUMBER($G428),$G428&gt;=MA_SHORT),AVERAGE(INDEX($C$28:$C428,402-MA_SHORT):$C428),"")</f>
        <v>6525.2</v>
      </c>
      <c r="J428" s="52" t="n">
        <f aca="false">IF(AND(ISNUMBER($G428),$G428&gt;=MA_MED),AVERAGE(INDEX($C$28:$C428,402-MA_MED):$C428),"")</f>
        <v>6560.54</v>
      </c>
      <c r="K428" s="52" t="n">
        <f aca="false">IF(AND(ISNUMBER($G428),$G428&gt;=MA_LONG2),AVERAGE(INDEX($C$28:$C428,402-MA_LONG2):$C428),"")</f>
        <v>6222.3</v>
      </c>
      <c r="L428" s="53" t="n">
        <f aca="false">IF(AND(ISNUMBER($G428),$G428&gt;=21),STDEV(INDEX($H$368:$H428,62-20):$H428)*SQRT(245),"")</f>
        <v>0.222416289798015</v>
      </c>
      <c r="M428" s="52" t="n">
        <f aca="false">IF(AND(ISNUMBER($G428),$G428&gt;=60),MAX(INDEX($D$228:$D428,202-60):$D428),"")</f>
        <v>7320</v>
      </c>
      <c r="N428" s="52" t="n">
        <f aca="false">IF(AND(ISNUMBER($G428),$G428&gt;=60),MIN(INDEX($E$228:$E428,202-60):$E428),"")</f>
        <v>6258</v>
      </c>
      <c r="O428" s="53" t="n">
        <f aca="false">IF(OR(NOT(ISNUMBER($C428)),NOT(ISNUMBER($M428)),$M428=0),"",$C428/$M428-1)</f>
        <v>-0.0693989071038251</v>
      </c>
    </row>
    <row r="429" customFormat="false" ht="15" hidden="false" customHeight="false" outlineLevel="0" collapsed="false">
      <c r="A429" s="47" t="n">
        <v>46162</v>
      </c>
      <c r="B429" s="48" t="s">
        <v>577</v>
      </c>
      <c r="C429" s="49" t="n">
        <v>6718</v>
      </c>
      <c r="D429" s="49" t="n">
        <v>6724</v>
      </c>
      <c r="E429" s="49" t="n">
        <v>6690</v>
      </c>
      <c r="F429" s="49" t="n">
        <v>0</v>
      </c>
      <c r="G429" s="50" t="n">
        <f aca="false">IF($A429="","",IF(ISNUMBER($G428),$G428+1,1))</f>
        <v>425</v>
      </c>
      <c r="H429" s="51" t="n">
        <f aca="false">IF(OR(NOT(ISNUMBER($G429)),$G429&lt;2,NOT(ISNUMBER($C428)),$C428=0),"",$C429/$C428-1)</f>
        <v>-0.0137991779213154</v>
      </c>
      <c r="I429" s="52" t="n">
        <f aca="false">IF(AND(ISNUMBER($G429),$G429&gt;=MA_SHORT),AVERAGE(INDEX($C$29:$C429,402-MA_SHORT):$C429),"")</f>
        <v>6536.6</v>
      </c>
      <c r="J429" s="52" t="n">
        <f aca="false">IF(AND(ISNUMBER($G429),$G429&gt;=MA_MED),AVERAGE(INDEX($C$29:$C429,402-MA_MED):$C429),"")</f>
        <v>6557.6</v>
      </c>
      <c r="K429" s="52" t="n">
        <f aca="false">IF(AND(ISNUMBER($G429),$G429&gt;=MA_LONG2),AVERAGE(INDEX($C$29:$C429,402-MA_LONG2):$C429),"")</f>
        <v>6229.49</v>
      </c>
      <c r="L429" s="53" t="n">
        <f aca="false">IF(AND(ISNUMBER($G429),$G429&gt;=21),STDEV(INDEX($H$369:$H429,62-20):$H429)*SQRT(245),"")</f>
        <v>0.229051051019324</v>
      </c>
      <c r="M429" s="52" t="n">
        <f aca="false">IF(AND(ISNUMBER($G429),$G429&gt;=60),MAX(INDEX($D$229:$D429,202-60):$D429),"")</f>
        <v>7320</v>
      </c>
      <c r="N429" s="52" t="n">
        <f aca="false">IF(AND(ISNUMBER($G429),$G429&gt;=60),MIN(INDEX($E$229:$E429,202-60):$E429),"")</f>
        <v>6258</v>
      </c>
      <c r="O429" s="53" t="n">
        <f aca="false">IF(OR(NOT(ISNUMBER($C429)),NOT(ISNUMBER($M429)),$M429=0),"",$C429/$M429-1)</f>
        <v>-0.08224043715847</v>
      </c>
    </row>
    <row r="430" customFormat="false" ht="15" hidden="false" customHeight="false" outlineLevel="0" collapsed="false">
      <c r="A430" s="47" t="n">
        <v>46165</v>
      </c>
      <c r="B430" s="48" t="s">
        <v>578</v>
      </c>
      <c r="C430" s="49" t="n">
        <v>6809</v>
      </c>
      <c r="D430" s="49" t="n">
        <v>6838</v>
      </c>
      <c r="E430" s="49" t="n">
        <v>6802</v>
      </c>
      <c r="F430" s="49" t="n">
        <v>0</v>
      </c>
      <c r="G430" s="50" t="n">
        <f aca="false">IF($A430="","",IF(ISNUMBER($G429),$G429+1,1))</f>
        <v>426</v>
      </c>
      <c r="H430" s="51" t="n">
        <f aca="false">IF(OR(NOT(ISNUMBER($G430)),$G430&lt;2,NOT(ISNUMBER($C429)),$C429=0),"",$C430/$C429-1)</f>
        <v>0.0135456981244417</v>
      </c>
      <c r="I430" s="52" t="n">
        <f aca="false">IF(AND(ISNUMBER($G430),$G430&gt;=MA_SHORT),AVERAGE(INDEX($C$30:$C430,402-MA_SHORT):$C430),"")</f>
        <v>6556.1</v>
      </c>
      <c r="J430" s="52" t="n">
        <f aca="false">IF(AND(ISNUMBER($G430),$G430&gt;=MA_MED),AVERAGE(INDEX($C$30:$C430,402-MA_MED):$C430),"")</f>
        <v>6557.02</v>
      </c>
      <c r="K430" s="52" t="n">
        <f aca="false">IF(AND(ISNUMBER($G430),$G430&gt;=MA_LONG2),AVERAGE(INDEX($C$30:$C430,402-MA_LONG2):$C430),"")</f>
        <v>6237.315</v>
      </c>
      <c r="L430" s="53" t="n">
        <f aca="false">IF(AND(ISNUMBER($G430),$G430&gt;=21),STDEV(INDEX($H$370:$H430,62-20):$H430)*SQRT(245),"")</f>
        <v>0.227475656621095</v>
      </c>
      <c r="M430" s="52" t="n">
        <f aca="false">IF(AND(ISNUMBER($G430),$G430&gt;=60),MAX(INDEX($D$230:$D430,202-60):$D430),"")</f>
        <v>7313</v>
      </c>
      <c r="N430" s="52" t="n">
        <f aca="false">IF(AND(ISNUMBER($G430),$G430&gt;=60),MIN(INDEX($E$230:$E430,202-60):$E430),"")</f>
        <v>6258</v>
      </c>
      <c r="O430" s="53" t="n">
        <f aca="false">IF(OR(NOT(ISNUMBER($C430)),NOT(ISNUMBER($M430)),$M430=0),"",$C430/$M430-1)</f>
        <v>-0.0689183645562697</v>
      </c>
    </row>
    <row r="431" customFormat="false" ht="15" hidden="false" customHeight="false" outlineLevel="0" collapsed="false">
      <c r="A431" s="47" t="n">
        <v>46166</v>
      </c>
      <c r="B431" s="48" t="s">
        <v>579</v>
      </c>
      <c r="C431" s="49" t="n">
        <v>6665</v>
      </c>
      <c r="D431" s="49" t="n">
        <v>6673</v>
      </c>
      <c r="E431" s="49" t="n">
        <v>6631</v>
      </c>
      <c r="F431" s="49" t="n">
        <v>0</v>
      </c>
      <c r="G431" s="50" t="n">
        <f aca="false">IF($A431="","",IF(ISNUMBER($G430),$G430+1,1))</f>
        <v>427</v>
      </c>
      <c r="H431" s="51" t="n">
        <f aca="false">IF(OR(NOT(ISNUMBER($G431)),$G431&lt;2,NOT(ISNUMBER($C430)),$C430=0),"",$C431/$C430-1)</f>
        <v>-0.0211484799530034</v>
      </c>
      <c r="I431" s="52" t="n">
        <f aca="false">IF(AND(ISNUMBER($G431),$G431&gt;=MA_SHORT),AVERAGE(INDEX($C$31:$C431,402-MA_SHORT):$C431),"")</f>
        <v>6567.75</v>
      </c>
      <c r="J431" s="52" t="n">
        <f aca="false">IF(AND(ISNUMBER($G431),$G431&gt;=MA_MED),AVERAGE(INDEX($C$31:$C431,402-MA_MED):$C431),"")</f>
        <v>6553.98</v>
      </c>
      <c r="K431" s="52" t="n">
        <f aca="false">IF(AND(ISNUMBER($G431),$G431&gt;=MA_LONG2),AVERAGE(INDEX($C$31:$C431,402-MA_LONG2):$C431),"")</f>
        <v>6244.805</v>
      </c>
      <c r="L431" s="53" t="n">
        <f aca="false">IF(AND(ISNUMBER($G431),$G431&gt;=21),STDEV(INDEX($H$371:$H431,62-20):$H431)*SQRT(245),"")</f>
        <v>0.242772524650676</v>
      </c>
      <c r="M431" s="52" t="n">
        <f aca="false">IF(AND(ISNUMBER($G431),$G431&gt;=60),MAX(INDEX($D$231:$D431,202-60):$D431),"")</f>
        <v>7176</v>
      </c>
      <c r="N431" s="52" t="n">
        <f aca="false">IF(AND(ISNUMBER($G431),$G431&gt;=60),MIN(INDEX($E$231:$E431,202-60):$E431),"")</f>
        <v>6258</v>
      </c>
      <c r="O431" s="53" t="n">
        <f aca="false">IF(OR(NOT(ISNUMBER($C431)),NOT(ISNUMBER($M431)),$M431=0),"",$C431/$M431-1)</f>
        <v>-0.0712095875139354</v>
      </c>
    </row>
    <row r="432" customFormat="false" ht="15" hidden="false" customHeight="false" outlineLevel="0" collapsed="false">
      <c r="A432" s="47" t="n">
        <v>46167</v>
      </c>
      <c r="B432" s="48" t="s">
        <v>580</v>
      </c>
      <c r="C432" s="49" t="n">
        <v>6739</v>
      </c>
      <c r="D432" s="49" t="n">
        <v>6788</v>
      </c>
      <c r="E432" s="49" t="n">
        <v>6702</v>
      </c>
      <c r="F432" s="49" t="n">
        <v>0</v>
      </c>
      <c r="G432" s="50" t="n">
        <f aca="false">IF($A432="","",IF(ISNUMBER($G431),$G431+1,1))</f>
        <v>428</v>
      </c>
      <c r="H432" s="51" t="n">
        <f aca="false">IF(OR(NOT(ISNUMBER($G432)),$G432&lt;2,NOT(ISNUMBER($C431)),$C431=0),"",$C432/$C431-1)</f>
        <v>0.0111027756939235</v>
      </c>
      <c r="I432" s="52" t="n">
        <f aca="false">IF(AND(ISNUMBER($G432),$G432&gt;=MA_SHORT),AVERAGE(INDEX($C$32:$C432,402-MA_SHORT):$C432),"")</f>
        <v>6578.25</v>
      </c>
      <c r="J432" s="52" t="n">
        <f aca="false">IF(AND(ISNUMBER($G432),$G432&gt;=MA_MED),AVERAGE(INDEX($C$32:$C432,402-MA_MED):$C432),"")</f>
        <v>6552</v>
      </c>
      <c r="K432" s="52" t="n">
        <f aca="false">IF(AND(ISNUMBER($G432),$G432&gt;=MA_LONG2),AVERAGE(INDEX($C$32:$C432,402-MA_LONG2):$C432),"")</f>
        <v>6252.92</v>
      </c>
      <c r="L432" s="53" t="n">
        <f aca="false">IF(AND(ISNUMBER($G432),$G432&gt;=21),STDEV(INDEX($H$372:$H432,62-20):$H432)*SQRT(245),"")</f>
        <v>0.240373914672145</v>
      </c>
      <c r="M432" s="52" t="n">
        <f aca="false">IF(AND(ISNUMBER($G432),$G432&gt;=60),MAX(INDEX($D$232:$D432,202-60):$D432),"")</f>
        <v>7121</v>
      </c>
      <c r="N432" s="52" t="n">
        <f aca="false">IF(AND(ISNUMBER($G432),$G432&gt;=60),MIN(INDEX($E$232:$E432,202-60):$E432),"")</f>
        <v>6258</v>
      </c>
      <c r="O432" s="53" t="n">
        <f aca="false">IF(OR(NOT(ISNUMBER($C432)),NOT(ISNUMBER($M432)),$M432=0),"",$C432/$M432-1)</f>
        <v>-0.0536441511023733</v>
      </c>
    </row>
    <row r="433" customFormat="false" ht="15" hidden="false" customHeight="false" outlineLevel="0" collapsed="false">
      <c r="A433" s="47" t="n">
        <v>46168</v>
      </c>
      <c r="B433" s="48" t="s">
        <v>581</v>
      </c>
      <c r="C433" s="49" t="n">
        <v>6735</v>
      </c>
      <c r="D433" s="49" t="n">
        <v>6745</v>
      </c>
      <c r="E433" s="49" t="n">
        <v>6690</v>
      </c>
      <c r="F433" s="49" t="n">
        <v>0</v>
      </c>
      <c r="G433" s="50" t="n">
        <f aca="false">IF($A433="","",IF(ISNUMBER($G432),$G432+1,1))</f>
        <v>429</v>
      </c>
      <c r="H433" s="51" t="n">
        <f aca="false">IF(OR(NOT(ISNUMBER($G433)),$G433&lt;2,NOT(ISNUMBER($C432)),$C432=0),"",$C433/$C432-1)</f>
        <v>-0.000593559875352478</v>
      </c>
      <c r="I433" s="52" t="n">
        <f aca="false">IF(AND(ISNUMBER($G433),$G433&gt;=MA_SHORT),AVERAGE(INDEX($C$33:$C433,402-MA_SHORT):$C433),"")</f>
        <v>6589.3</v>
      </c>
      <c r="J433" s="52" t="n">
        <f aca="false">IF(AND(ISNUMBER($G433),$G433&gt;=MA_MED),AVERAGE(INDEX($C$33:$C433,402-MA_MED):$C433),"")</f>
        <v>6549.3</v>
      </c>
      <c r="K433" s="52" t="n">
        <f aca="false">IF(AND(ISNUMBER($G433),$G433&gt;=MA_LONG2),AVERAGE(INDEX($C$33:$C433,402-MA_LONG2):$C433),"")</f>
        <v>6261.045</v>
      </c>
      <c r="L433" s="53" t="n">
        <f aca="false">IF(AND(ISNUMBER($G433),$G433&gt;=21),STDEV(INDEX($H$373:$H433,62-20):$H433)*SQRT(245),"")</f>
        <v>0.240082663631224</v>
      </c>
      <c r="M433" s="52" t="n">
        <f aca="false">IF(AND(ISNUMBER($G433),$G433&gt;=60),MAX(INDEX($D$233:$D433,202-60):$D433),"")</f>
        <v>7113</v>
      </c>
      <c r="N433" s="52" t="n">
        <f aca="false">IF(AND(ISNUMBER($G433),$G433&gt;=60),MIN(INDEX($E$233:$E433,202-60):$E433),"")</f>
        <v>6258</v>
      </c>
      <c r="O433" s="53" t="n">
        <f aca="false">IF(OR(NOT(ISNUMBER($C433)),NOT(ISNUMBER($M433)),$M433=0),"",$C433/$M433-1)</f>
        <v>-0.0531421341206242</v>
      </c>
    </row>
    <row r="434" customFormat="false" ht="15" hidden="false" customHeight="false" outlineLevel="0" collapsed="false">
      <c r="A434" s="47" t="n">
        <v>46169</v>
      </c>
      <c r="B434" s="48" t="s">
        <v>582</v>
      </c>
      <c r="C434" s="49" t="n">
        <v>6721</v>
      </c>
      <c r="D434" s="49" t="n">
        <v>6741</v>
      </c>
      <c r="E434" s="49" t="n">
        <v>6707</v>
      </c>
      <c r="F434" s="49" t="n">
        <v>0</v>
      </c>
      <c r="G434" s="50" t="n">
        <f aca="false">IF($A434="","",IF(ISNUMBER($G433),$G433+1,1))</f>
        <v>430</v>
      </c>
      <c r="H434" s="51" t="n">
        <f aca="false">IF(OR(NOT(ISNUMBER($G434)),$G434&lt;2,NOT(ISNUMBER($C433)),$C433=0),"",$C434/$C433-1)</f>
        <v>-0.0020786933927246</v>
      </c>
      <c r="I434" s="52" t="n">
        <f aca="false">IF(AND(ISNUMBER($G434),$G434&gt;=MA_SHORT),AVERAGE(INDEX($C$34:$C434,402-MA_SHORT):$C434),"")</f>
        <v>6594.25</v>
      </c>
      <c r="J434" s="52" t="n">
        <f aca="false">IF(AND(ISNUMBER($G434),$G434&gt;=MA_MED),AVERAGE(INDEX($C$34:$C434,402-MA_MED):$C434),"")</f>
        <v>6548.1</v>
      </c>
      <c r="K434" s="52" t="n">
        <f aca="false">IF(AND(ISNUMBER($G434),$G434&gt;=MA_LONG2),AVERAGE(INDEX($C$34:$C434,402-MA_LONG2):$C434),"")</f>
        <v>6268.77</v>
      </c>
      <c r="L434" s="53" t="n">
        <f aca="false">IF(AND(ISNUMBER($G434),$G434&gt;=21),STDEV(INDEX($H$374:$H434,62-20):$H434)*SQRT(245),"")</f>
        <v>0.234059072799232</v>
      </c>
      <c r="M434" s="52" t="n">
        <f aca="false">IF(AND(ISNUMBER($G434),$G434&gt;=60),MAX(INDEX($D$234:$D434,202-60):$D434),"")</f>
        <v>7011</v>
      </c>
      <c r="N434" s="52" t="n">
        <f aca="false">IF(AND(ISNUMBER($G434),$G434&gt;=60),MIN(INDEX($E$234:$E434,202-60):$E434),"")</f>
        <v>6258</v>
      </c>
      <c r="O434" s="53" t="n">
        <f aca="false">IF(OR(NOT(ISNUMBER($C434)),NOT(ISNUMBER($M434)),$M434=0),"",$C434/$M434-1)</f>
        <v>-0.0413635715304521</v>
      </c>
    </row>
    <row r="435" customFormat="false" ht="15" hidden="false" customHeight="false" outlineLevel="0" collapsed="false">
      <c r="A435" s="47" t="n">
        <v>46172</v>
      </c>
      <c r="B435" s="48" t="s">
        <v>583</v>
      </c>
      <c r="C435" s="49" t="n">
        <v>6894</v>
      </c>
      <c r="D435" s="49" t="n">
        <v>6896</v>
      </c>
      <c r="E435" s="49" t="n">
        <v>6893</v>
      </c>
      <c r="F435" s="49" t="n">
        <v>0</v>
      </c>
      <c r="G435" s="50" t="n">
        <f aca="false">IF($A435="","",IF(ISNUMBER($G434),$G434+1,1))</f>
        <v>431</v>
      </c>
      <c r="H435" s="51" t="n">
        <f aca="false">IF(OR(NOT(ISNUMBER($G435)),$G435&lt;2,NOT(ISNUMBER($C434)),$C434=0),"",$C435/$C434-1)</f>
        <v>0.0257402172295789</v>
      </c>
      <c r="I435" s="52" t="n">
        <f aca="false">IF(AND(ISNUMBER($G435),$G435&gt;=MA_SHORT),AVERAGE(INDEX($C$35:$C435,402-MA_SHORT):$C435),"")</f>
        <v>6602.65</v>
      </c>
      <c r="J435" s="52" t="n">
        <f aca="false">IF(AND(ISNUMBER($G435),$G435&gt;=MA_MED),AVERAGE(INDEX($C$35:$C435,402-MA_MED):$C435),"")</f>
        <v>6553.1</v>
      </c>
      <c r="K435" s="52" t="n">
        <f aca="false">IF(AND(ISNUMBER($G435),$G435&gt;=MA_LONG2),AVERAGE(INDEX($C$35:$C435,402-MA_LONG2):$C435),"")</f>
        <v>6277.76</v>
      </c>
      <c r="L435" s="53" t="n">
        <f aca="false">IF(AND(ISNUMBER($G435),$G435&gt;=21),STDEV(INDEX($H$375:$H435,62-20):$H435)*SQRT(245),"")</f>
        <v>0.244667270501316</v>
      </c>
      <c r="M435" s="52" t="n">
        <f aca="false">IF(AND(ISNUMBER($G435),$G435&gt;=60),MAX(INDEX($D$235:$D435,202-60):$D435),"")</f>
        <v>7011</v>
      </c>
      <c r="N435" s="52" t="n">
        <f aca="false">IF(AND(ISNUMBER($G435),$G435&gt;=60),MIN(INDEX($E$235:$E435,202-60):$E435),"")</f>
        <v>6258</v>
      </c>
      <c r="O435" s="53" t="n">
        <f aca="false">IF(OR(NOT(ISNUMBER($C435)),NOT(ISNUMBER($M435)),$M435=0),"",$C435/$M435-1)</f>
        <v>-0.0166880616174583</v>
      </c>
    </row>
    <row r="436" customFormat="false" ht="15" hidden="false" customHeight="false" outlineLevel="0" collapsed="false">
      <c r="A436" s="47" t="n">
        <v>46173</v>
      </c>
      <c r="B436" s="48" t="s">
        <v>584</v>
      </c>
      <c r="C436" s="49" t="n">
        <v>7104</v>
      </c>
      <c r="D436" s="49" t="n">
        <v>7122</v>
      </c>
      <c r="E436" s="49" t="n">
        <v>7097</v>
      </c>
      <c r="F436" s="49" t="n">
        <v>0</v>
      </c>
      <c r="G436" s="50" t="n">
        <f aca="false">IF($A436="","",IF(ISNUMBER($G435),$G435+1,1))</f>
        <v>432</v>
      </c>
      <c r="H436" s="51" t="n">
        <f aca="false">IF(OR(NOT(ISNUMBER($G436)),$G436&lt;2,NOT(ISNUMBER($C435)),$C435=0),"",$C436/$C435-1)</f>
        <v>0.0304612706701479</v>
      </c>
      <c r="I436" s="52" t="n">
        <f aca="false">IF(AND(ISNUMBER($G436),$G436&gt;=MA_SHORT),AVERAGE(INDEX($C$36:$C436,402-MA_SHORT):$C436),"")</f>
        <v>6629.5</v>
      </c>
      <c r="J436" s="52" t="n">
        <f aca="false">IF(AND(ISNUMBER($G436),$G436&gt;=MA_MED),AVERAGE(INDEX($C$36:$C436,402-MA_MED):$C436),"")</f>
        <v>6560.56</v>
      </c>
      <c r="K436" s="52" t="n">
        <f aca="false">IF(AND(ISNUMBER($G436),$G436&gt;=MA_LONG2),AVERAGE(INDEX($C$36:$C436,402-MA_LONG2):$C436),"")</f>
        <v>6287.765</v>
      </c>
      <c r="L436" s="53" t="n">
        <f aca="false">IF(AND(ISNUMBER($G436),$G436&gt;=21),STDEV(INDEX($H$376:$H436,62-20):$H436)*SQRT(245),"")</f>
        <v>0.246677424160063</v>
      </c>
      <c r="M436" s="52" t="n">
        <f aca="false">IF(AND(ISNUMBER($G436),$G436&gt;=60),MAX(INDEX($D$236:$D436,202-60):$D436),"")</f>
        <v>7122</v>
      </c>
      <c r="N436" s="52" t="n">
        <f aca="false">IF(AND(ISNUMBER($G436),$G436&gt;=60),MIN(INDEX($E$236:$E436,202-60):$E436),"")</f>
        <v>6258</v>
      </c>
      <c r="O436" s="53" t="n">
        <f aca="false">IF(OR(NOT(ISNUMBER($C436)),NOT(ISNUMBER($M436)),$M436=0),"",$C436/$M436-1)</f>
        <v>-0.0025273799494524</v>
      </c>
    </row>
    <row r="437" customFormat="false" ht="15" hidden="false" customHeight="false" outlineLevel="0" collapsed="false">
      <c r="A437" s="47" t="n">
        <v>46174</v>
      </c>
      <c r="B437" s="48" t="s">
        <v>585</v>
      </c>
      <c r="C437" s="49" t="n">
        <v>7204</v>
      </c>
      <c r="D437" s="49" t="n">
        <v>7246</v>
      </c>
      <c r="E437" s="49" t="n">
        <v>7194</v>
      </c>
      <c r="F437" s="49" t="n">
        <v>0</v>
      </c>
      <c r="G437" s="50" t="n">
        <f aca="false">IF($A437="","",IF(ISNUMBER($G436),$G436+1,1))</f>
        <v>433</v>
      </c>
      <c r="H437" s="51" t="n">
        <f aca="false">IF(OR(NOT(ISNUMBER($G437)),$G437&lt;2,NOT(ISNUMBER($C436)),$C436=0),"",$C437/$C436-1)</f>
        <v>0.0140765765765767</v>
      </c>
      <c r="I437" s="52" t="n">
        <f aca="false">IF(AND(ISNUMBER($G437),$G437&gt;=MA_SHORT),AVERAGE(INDEX($C$37:$C437,402-MA_SHORT):$C437),"")</f>
        <v>6665.7</v>
      </c>
      <c r="J437" s="52" t="n">
        <f aca="false">IF(AND(ISNUMBER($G437),$G437&gt;=MA_MED),AVERAGE(INDEX($C$37:$C437,402-MA_MED):$C437),"")</f>
        <v>6568.7</v>
      </c>
      <c r="K437" s="52" t="n">
        <f aca="false">IF(AND(ISNUMBER($G437),$G437&gt;=MA_LONG2),AVERAGE(INDEX($C$37:$C437,402-MA_LONG2):$C437),"")</f>
        <v>6298.26</v>
      </c>
      <c r="L437" s="53" t="n">
        <f aca="false">IF(AND(ISNUMBER($G437),$G437&gt;=21),STDEV(INDEX($H$377:$H437,62-20):$H437)*SQRT(245),"")</f>
        <v>0.240421418561466</v>
      </c>
      <c r="M437" s="52" t="n">
        <f aca="false">IF(AND(ISNUMBER($G437),$G437&gt;=60),MAX(INDEX($D$237:$D437,202-60):$D437),"")</f>
        <v>7246</v>
      </c>
      <c r="N437" s="52" t="n">
        <f aca="false">IF(AND(ISNUMBER($G437),$G437&gt;=60),MIN(INDEX($E$237:$E437,202-60):$E437),"")</f>
        <v>6258</v>
      </c>
      <c r="O437" s="53" t="n">
        <f aca="false">IF(OR(NOT(ISNUMBER($C437)),NOT(ISNUMBER($M437)),$M437=0),"",$C437/$M437-1)</f>
        <v>-0.00579630140767318</v>
      </c>
    </row>
    <row r="438" customFormat="false" ht="15" hidden="false" customHeight="false" outlineLevel="0" collapsed="false">
      <c r="A438" s="47" t="n">
        <v>46175</v>
      </c>
      <c r="B438" s="48" t="s">
        <v>586</v>
      </c>
      <c r="C438" s="49" t="n">
        <v>7175</v>
      </c>
      <c r="D438" s="49" t="n">
        <v>7236</v>
      </c>
      <c r="E438" s="49" t="n">
        <v>7168</v>
      </c>
      <c r="F438" s="49" t="n">
        <v>0</v>
      </c>
      <c r="G438" s="50" t="n">
        <f aca="false">IF($A438="","",IF(ISNUMBER($G437),$G437+1,1))</f>
        <v>434</v>
      </c>
      <c r="H438" s="51" t="n">
        <f aca="false">IF(OR(NOT(ISNUMBER($G438)),$G438&lt;2,NOT(ISNUMBER($C437)),$C437=0),"",$C438/$C437-1)</f>
        <v>-0.00402554136590783</v>
      </c>
      <c r="I438" s="52" t="n">
        <f aca="false">IF(AND(ISNUMBER($G438),$G438&gt;=MA_SHORT),AVERAGE(INDEX($C$38:$C438,402-MA_SHORT):$C438),"")</f>
        <v>6704.9</v>
      </c>
      <c r="J438" s="52" t="n">
        <f aca="false">IF(AND(ISNUMBER($G438),$G438&gt;=MA_MED),AVERAGE(INDEX($C$38:$C438,402-MA_MED):$C438),"")</f>
        <v>6575.28</v>
      </c>
      <c r="K438" s="52" t="n">
        <f aca="false">IF(AND(ISNUMBER($G438),$G438&gt;=MA_LONG2),AVERAGE(INDEX($C$38:$C438,402-MA_LONG2):$C438),"")</f>
        <v>6308.27</v>
      </c>
      <c r="L438" s="53" t="n">
        <f aca="false">IF(AND(ISNUMBER($G438),$G438&gt;=21),STDEV(INDEX($H$378:$H438,62-20):$H438)*SQRT(245),"")</f>
        <v>0.232724426120549</v>
      </c>
      <c r="M438" s="52" t="n">
        <f aca="false">IF(AND(ISNUMBER($G438),$G438&gt;=60),MAX(INDEX($D$238:$D438,202-60):$D438),"")</f>
        <v>7246</v>
      </c>
      <c r="N438" s="52" t="n">
        <f aca="false">IF(AND(ISNUMBER($G438),$G438&gt;=60),MIN(INDEX($E$238:$E438,202-60):$E438),"")</f>
        <v>6258</v>
      </c>
      <c r="O438" s="53" t="n">
        <f aca="false">IF(OR(NOT(ISNUMBER($C438)),NOT(ISNUMBER($M438)),$M438=0),"",$C438/$M438-1)</f>
        <v>-0.00979850952249517</v>
      </c>
    </row>
    <row r="439" customFormat="false" ht="15" hidden="false" customHeight="false" outlineLevel="0" collapsed="false">
      <c r="A439" s="47" t="n">
        <v>46176</v>
      </c>
      <c r="B439" s="48" t="s">
        <v>587</v>
      </c>
      <c r="C439" s="49" t="n">
        <v>7431</v>
      </c>
      <c r="D439" s="49" t="n">
        <v>7478</v>
      </c>
      <c r="E439" s="49" t="n">
        <v>7406</v>
      </c>
      <c r="F439" s="49" t="n">
        <v>0</v>
      </c>
      <c r="G439" s="50" t="n">
        <f aca="false">IF($A439="","",IF(ISNUMBER($G438),$G438+1,1))</f>
        <v>435</v>
      </c>
      <c r="H439" s="51" t="n">
        <f aca="false">IF(OR(NOT(ISNUMBER($G439)),$G439&lt;2,NOT(ISNUMBER($C438)),$C438=0),"",$C439/$C438-1)</f>
        <v>0.0356794425087108</v>
      </c>
      <c r="I439" s="52" t="n">
        <f aca="false">IF(AND(ISNUMBER($G439),$G439&gt;=MA_SHORT),AVERAGE(INDEX($C$39:$C439,402-MA_SHORT):$C439),"")</f>
        <v>6756.05</v>
      </c>
      <c r="J439" s="52" t="n">
        <f aca="false">IF(AND(ISNUMBER($G439),$G439&gt;=MA_MED),AVERAGE(INDEX($C$39:$C439,402-MA_MED):$C439),"")</f>
        <v>6588.56</v>
      </c>
      <c r="K439" s="52" t="n">
        <f aca="false">IF(AND(ISNUMBER($G439),$G439&gt;=MA_LONG2),AVERAGE(INDEX($C$39:$C439,402-MA_LONG2):$C439),"")</f>
        <v>6319.245</v>
      </c>
      <c r="L439" s="53" t="n">
        <f aca="false">IF(AND(ISNUMBER($G439),$G439&gt;=21),STDEV(INDEX($H$379:$H439,62-20):$H439)*SQRT(245),"")</f>
        <v>0.254463188878316</v>
      </c>
      <c r="M439" s="52" t="n">
        <f aca="false">IF(AND(ISNUMBER($G439),$G439&gt;=60),MAX(INDEX($D$239:$D439,202-60):$D439),"")</f>
        <v>7478</v>
      </c>
      <c r="N439" s="52" t="n">
        <f aca="false">IF(AND(ISNUMBER($G439),$G439&gt;=60),MIN(INDEX($E$239:$E439,202-60):$E439),"")</f>
        <v>6258</v>
      </c>
      <c r="O439" s="53" t="n">
        <f aca="false">IF(OR(NOT(ISNUMBER($C439)),NOT(ISNUMBER($M439)),$M439=0),"",$C439/$M439-1)</f>
        <v>-0.00628510296870821</v>
      </c>
    </row>
    <row r="440" customFormat="false" ht="15" hidden="false" customHeight="false" outlineLevel="0" collapsed="false">
      <c r="A440" s="47" t="n">
        <v>46179</v>
      </c>
      <c r="B440" s="48" t="s">
        <v>588</v>
      </c>
      <c r="C440" s="49" t="n">
        <v>7587</v>
      </c>
      <c r="D440" s="49" t="n">
        <v>7596</v>
      </c>
      <c r="E440" s="49" t="n">
        <v>7537</v>
      </c>
      <c r="F440" s="49" t="n">
        <v>0</v>
      </c>
      <c r="G440" s="50" t="n">
        <f aca="false">IF($A440="","",IF(ISNUMBER($G439),$G439+1,1))</f>
        <v>436</v>
      </c>
      <c r="H440" s="51" t="n">
        <f aca="false">IF(OR(NOT(ISNUMBER($G440)),$G440&lt;2,NOT(ISNUMBER($C439)),$C439=0),"",$C440/$C439-1)</f>
        <v>0.0209931368591036</v>
      </c>
      <c r="I440" s="52" t="n">
        <f aca="false">IF(AND(ISNUMBER($G440),$G440&gt;=MA_SHORT),AVERAGE(INDEX($C$40:$C440,402-MA_SHORT):$C440),"")</f>
        <v>6811.15</v>
      </c>
      <c r="J440" s="52" t="n">
        <f aca="false">IF(AND(ISNUMBER($G440),$G440&gt;=MA_MED),AVERAGE(INDEX($C$40:$C440,402-MA_MED):$C440),"")</f>
        <v>6604.16</v>
      </c>
      <c r="K440" s="52" t="n">
        <f aca="false">IF(AND(ISNUMBER($G440),$G440&gt;=MA_LONG2),AVERAGE(INDEX($C$40:$C440,402-MA_LONG2):$C440),"")</f>
        <v>6330.91</v>
      </c>
      <c r="L440" s="53" t="n">
        <f aca="false">IF(AND(ISNUMBER($G440),$G440&gt;=21),STDEV(INDEX($H$380:$H440,62-20):$H440)*SQRT(245),"")</f>
        <v>0.258400418032117</v>
      </c>
      <c r="M440" s="52" t="n">
        <f aca="false">IF(AND(ISNUMBER($G440),$G440&gt;=60),MAX(INDEX($D$240:$D440,202-60):$D440),"")</f>
        <v>7596</v>
      </c>
      <c r="N440" s="52" t="n">
        <f aca="false">IF(AND(ISNUMBER($G440),$G440&gt;=60),MIN(INDEX($E$240:$E440,202-60):$E440),"")</f>
        <v>6258</v>
      </c>
      <c r="O440" s="53" t="n">
        <f aca="false">IF(OR(NOT(ISNUMBER($C440)),NOT(ISNUMBER($M440)),$M440=0),"",$C440/$M440-1)</f>
        <v>-0.00118483412322279</v>
      </c>
    </row>
    <row r="441" customFormat="false" ht="15" hidden="false" customHeight="false" outlineLevel="0" collapsed="false">
      <c r="A441" s="47" t="n">
        <v>46180</v>
      </c>
      <c r="B441" s="48" t="s">
        <v>589</v>
      </c>
      <c r="C441" s="49" t="n">
        <v>7517</v>
      </c>
      <c r="D441" s="49" t="n">
        <v>7539</v>
      </c>
      <c r="E441" s="49" t="n">
        <v>7409</v>
      </c>
      <c r="F441" s="49" t="n">
        <v>0</v>
      </c>
      <c r="G441" s="50" t="n">
        <f aca="false">IF($A441="","",IF(ISNUMBER($G440),$G440+1,1))</f>
        <v>437</v>
      </c>
      <c r="H441" s="51" t="n">
        <f aca="false">IF(OR(NOT(ISNUMBER($G441)),$G441&lt;2,NOT(ISNUMBER($C440)),$C440=0),"",$C441/$C440-1)</f>
        <v>-0.00922630815869252</v>
      </c>
      <c r="I441" s="52" t="n">
        <f aca="false">IF(AND(ISNUMBER($G441),$G441&gt;=MA_SHORT),AVERAGE(INDEX($C$41:$C441,402-MA_SHORT):$C441),"")</f>
        <v>6860.1</v>
      </c>
      <c r="J441" s="52" t="n">
        <f aca="false">IF(AND(ISNUMBER($G441),$G441&gt;=MA_MED),AVERAGE(INDEX($C$41:$C441,402-MA_MED):$C441),"")</f>
        <v>6618.8</v>
      </c>
      <c r="K441" s="52" t="n">
        <f aca="false">IF(AND(ISNUMBER($G441),$G441&gt;=MA_LONG2),AVERAGE(INDEX($C$41:$C441,402-MA_LONG2):$C441),"")</f>
        <v>6342.19</v>
      </c>
      <c r="L441" s="53" t="n">
        <f aca="false">IF(AND(ISNUMBER($G441),$G441&gt;=21),STDEV(INDEX($H$381:$H441,62-20):$H441)*SQRT(245),"")</f>
        <v>0.265339016255708</v>
      </c>
      <c r="M441" s="52" t="n">
        <f aca="false">IF(AND(ISNUMBER($G441),$G441&gt;=60),MAX(INDEX($D$241:$D441,202-60):$D441),"")</f>
        <v>7596</v>
      </c>
      <c r="N441" s="52" t="n">
        <f aca="false">IF(AND(ISNUMBER($G441),$G441&gt;=60),MIN(INDEX($E$241:$E441,202-60):$E441),"")</f>
        <v>6258</v>
      </c>
      <c r="O441" s="53" t="n">
        <f aca="false">IF(OR(NOT(ISNUMBER($C441)),NOT(ISNUMBER($M441)),$M441=0),"",$C441/$M441-1)</f>
        <v>-0.0104002106371774</v>
      </c>
    </row>
    <row r="442" customFormat="false" ht="15" hidden="false" customHeight="false" outlineLevel="0" collapsed="false">
      <c r="A442" s="47" t="n">
        <v>46181</v>
      </c>
      <c r="B442" s="48" t="s">
        <v>590</v>
      </c>
      <c r="C442" s="49" t="n">
        <v>7427</v>
      </c>
      <c r="D442" s="49" t="n">
        <v>7455</v>
      </c>
      <c r="E442" s="49" t="n">
        <v>7409</v>
      </c>
      <c r="F442" s="49" t="n">
        <v>0</v>
      </c>
      <c r="G442" s="50" t="n">
        <f aca="false">IF($A442="","",IF(ISNUMBER($G441),$G441+1,1))</f>
        <v>438</v>
      </c>
      <c r="H442" s="51" t="n">
        <f aca="false">IF(OR(NOT(ISNUMBER($G442)),$G442&lt;2,NOT(ISNUMBER($C441)),$C441=0),"",$C442/$C441-1)</f>
        <v>-0.0119728615139019</v>
      </c>
      <c r="I442" s="52" t="n">
        <f aca="false">IF(AND(ISNUMBER($G442),$G442&gt;=MA_SHORT),AVERAGE(INDEX($C$42:$C442,402-MA_SHORT):$C442),"")</f>
        <v>6906.15</v>
      </c>
      <c r="J442" s="52" t="n">
        <f aca="false">IF(AND(ISNUMBER($G442),$G442&gt;=MA_MED),AVERAGE(INDEX($C$42:$C442,402-MA_MED):$C442),"")</f>
        <v>6633.72</v>
      </c>
      <c r="K442" s="52" t="n">
        <f aca="false">IF(AND(ISNUMBER($G442),$G442&gt;=MA_LONG2),AVERAGE(INDEX($C$42:$C442,402-MA_LONG2):$C442),"")</f>
        <v>6352.1</v>
      </c>
      <c r="L442" s="53" t="n">
        <f aca="false">IF(AND(ISNUMBER($G442),$G442&gt;=21),STDEV(INDEX($H$382:$H442,62-20):$H442)*SQRT(245),"")</f>
        <v>0.270582496426117</v>
      </c>
      <c r="M442" s="52" t="n">
        <f aca="false">IF(AND(ISNUMBER($G442),$G442&gt;=60),MAX(INDEX($D$242:$D442,202-60):$D442),"")</f>
        <v>7596</v>
      </c>
      <c r="N442" s="52" t="n">
        <f aca="false">IF(AND(ISNUMBER($G442),$G442&gt;=60),MIN(INDEX($E$242:$E442,202-60):$E442),"")</f>
        <v>6258</v>
      </c>
      <c r="O442" s="53" t="n">
        <f aca="false">IF(OR(NOT(ISNUMBER($C442)),NOT(ISNUMBER($M442)),$M442=0),"",$C442/$M442-1)</f>
        <v>-0.022248551869405</v>
      </c>
    </row>
    <row r="443" customFormat="false" ht="15" hidden="false" customHeight="false" outlineLevel="0" collapsed="false">
      <c r="A443" s="47" t="n">
        <v>46182</v>
      </c>
      <c r="B443" s="48" t="s">
        <v>591</v>
      </c>
      <c r="C443" s="49" t="n">
        <v>7488</v>
      </c>
      <c r="D443" s="49" t="n">
        <v>7516</v>
      </c>
      <c r="E443" s="49" t="n">
        <v>7451</v>
      </c>
      <c r="F443" s="49" t="n">
        <v>0</v>
      </c>
      <c r="G443" s="50" t="n">
        <f aca="false">IF($A443="","",IF(ISNUMBER($G442),$G442+1,1))</f>
        <v>439</v>
      </c>
      <c r="H443" s="51" t="n">
        <f aca="false">IF(OR(NOT(ISNUMBER($G443)),$G443&lt;2,NOT(ISNUMBER($C442)),$C442=0),"",$C443/$C442-1)</f>
        <v>0.00821327588528353</v>
      </c>
      <c r="I443" s="52" t="n">
        <f aca="false">IF(AND(ISNUMBER($G443),$G443&gt;=MA_SHORT),AVERAGE(INDEX($C$43:$C443,402-MA_SHORT):$C443),"")</f>
        <v>6963.15</v>
      </c>
      <c r="J443" s="52" t="n">
        <f aca="false">IF(AND(ISNUMBER($G443),$G443&gt;=MA_MED),AVERAGE(INDEX($C$43:$C443,402-MA_MED):$C443),"")</f>
        <v>6650.96</v>
      </c>
      <c r="K443" s="52" t="n">
        <f aca="false">IF(AND(ISNUMBER($G443),$G443&gt;=MA_LONG2),AVERAGE(INDEX($C$43:$C443,402-MA_LONG2):$C443),"")</f>
        <v>6362.195</v>
      </c>
      <c r="L443" s="53" t="n">
        <f aca="false">IF(AND(ISNUMBER($G443),$G443&gt;=21),STDEV(INDEX($H$383:$H443,62-20):$H443)*SQRT(245),"")</f>
        <v>0.245181080742765</v>
      </c>
      <c r="M443" s="52" t="n">
        <f aca="false">IF(AND(ISNUMBER($G443),$G443&gt;=60),MAX(INDEX($D$243:$D443,202-60):$D443),"")</f>
        <v>7596</v>
      </c>
      <c r="N443" s="52" t="n">
        <f aca="false">IF(AND(ISNUMBER($G443),$G443&gt;=60),MIN(INDEX($E$243:$E443,202-60):$E443),"")</f>
        <v>6258</v>
      </c>
      <c r="O443" s="53" t="n">
        <f aca="false">IF(OR(NOT(ISNUMBER($C443)),NOT(ISNUMBER($M443)),$M443=0),"",$C443/$M443-1)</f>
        <v>-0.014218009478673</v>
      </c>
    </row>
    <row r="444" customFormat="false" ht="15" hidden="false" customHeight="false" outlineLevel="0" collapsed="false">
      <c r="A444" s="47" t="n">
        <v>46183</v>
      </c>
      <c r="B444" s="48" t="s">
        <v>592</v>
      </c>
      <c r="C444" s="49" t="n">
        <v>7450</v>
      </c>
      <c r="D444" s="49" t="n">
        <v>7533</v>
      </c>
      <c r="E444" s="49" t="n">
        <v>7433</v>
      </c>
      <c r="F444" s="49" t="n">
        <v>0</v>
      </c>
      <c r="G444" s="50" t="n">
        <f aca="false">IF($A444="","",IF(ISNUMBER($G443),$G443+1,1))</f>
        <v>440</v>
      </c>
      <c r="H444" s="51" t="n">
        <f aca="false">IF(OR(NOT(ISNUMBER($G444)),$G444&lt;2,NOT(ISNUMBER($C443)),$C443=0),"",$C444/$C443-1)</f>
        <v>-0.00507478632478631</v>
      </c>
      <c r="I444" s="52" t="n">
        <f aca="false">IF(AND(ISNUMBER($G444),$G444&gt;=MA_SHORT),AVERAGE(INDEX($C$44:$C444,402-MA_SHORT):$C444),"")</f>
        <v>7014.85</v>
      </c>
      <c r="J444" s="52" t="n">
        <f aca="false">IF(AND(ISNUMBER($G444),$G444&gt;=MA_MED),AVERAGE(INDEX($C$44:$C444,402-MA_MED):$C444),"")</f>
        <v>6668.44</v>
      </c>
      <c r="K444" s="52" t="n">
        <f aca="false">IF(AND(ISNUMBER($G444),$G444&gt;=MA_LONG2),AVERAGE(INDEX($C$44:$C444,402-MA_LONG2):$C444),"")</f>
        <v>6372.385</v>
      </c>
      <c r="L444" s="53" t="n">
        <f aca="false">IF(AND(ISNUMBER($G444),$G444&gt;=21),STDEV(INDEX($H$384:$H444,62-20):$H444)*SQRT(245),"")</f>
        <v>0.249456828377183</v>
      </c>
      <c r="M444" s="52" t="n">
        <f aca="false">IF(AND(ISNUMBER($G444),$G444&gt;=60),MAX(INDEX($D$244:$D444,202-60):$D444),"")</f>
        <v>7596</v>
      </c>
      <c r="N444" s="52" t="n">
        <f aca="false">IF(AND(ISNUMBER($G444),$G444&gt;=60),MIN(INDEX($E$244:$E444,202-60):$E444),"")</f>
        <v>6258</v>
      </c>
      <c r="O444" s="53" t="n">
        <f aca="false">IF(OR(NOT(ISNUMBER($C444)),NOT(ISNUMBER($M444)),$M444=0),"",$C444/$M444-1)</f>
        <v>-0.0192206424433913</v>
      </c>
    </row>
    <row r="445" customFormat="false" ht="15" hidden="false" customHeight="false" outlineLevel="0" collapsed="false">
      <c r="A445" s="47" t="n">
        <v>46186</v>
      </c>
      <c r="B445" s="48" t="s">
        <v>593</v>
      </c>
      <c r="C445" s="49" t="n">
        <v>7431</v>
      </c>
      <c r="D445" s="49" t="n">
        <v>7485</v>
      </c>
      <c r="E445" s="49" t="n">
        <v>7388</v>
      </c>
      <c r="F445" s="49" t="n">
        <v>0</v>
      </c>
      <c r="G445" s="50" t="n">
        <f aca="false">IF($A445="","",IF(ISNUMBER($G444),$G444+1,1))</f>
        <v>441</v>
      </c>
      <c r="H445" s="51" t="n">
        <f aca="false">IF(OR(NOT(ISNUMBER($G445)),$G445&lt;2,NOT(ISNUMBER($C444)),$C444=0),"",$C445/$C444-1)</f>
        <v>-0.0025503355704698</v>
      </c>
      <c r="I445" s="52" t="n">
        <f aca="false">IF(AND(ISNUMBER($G445),$G445&gt;=MA_SHORT),AVERAGE(INDEX($C$45:$C445,402-MA_SHORT):$C445),"")</f>
        <v>7062.75</v>
      </c>
      <c r="J445" s="52" t="n">
        <f aca="false">IF(AND(ISNUMBER($G445),$G445&gt;=MA_MED),AVERAGE(INDEX($C$45:$C445,402-MA_MED):$C445),"")</f>
        <v>6688.14</v>
      </c>
      <c r="K445" s="52" t="n">
        <f aca="false">IF(AND(ISNUMBER($G445),$G445&gt;=MA_LONG2),AVERAGE(INDEX($C$45:$C445,402-MA_LONG2):$C445),"")</f>
        <v>6382.38</v>
      </c>
      <c r="L445" s="53" t="n">
        <f aca="false">IF(AND(ISNUMBER($G445),$G445&gt;=21),STDEV(INDEX($H$385:$H445,62-20):$H445)*SQRT(245),"")</f>
        <v>0.251907117570185</v>
      </c>
      <c r="M445" s="52" t="n">
        <f aca="false">IF(AND(ISNUMBER($G445),$G445&gt;=60),MAX(INDEX($D$245:$D445,202-60):$D445),"")</f>
        <v>7596</v>
      </c>
      <c r="N445" s="52" t="n">
        <f aca="false">IF(AND(ISNUMBER($G445),$G445&gt;=60),MIN(INDEX($E$245:$E445,202-60):$E445),"")</f>
        <v>6258</v>
      </c>
      <c r="O445" s="53" t="n">
        <f aca="false">IF(OR(NOT(ISNUMBER($C445)),NOT(ISNUMBER($M445)),$M445=0),"",$C445/$M445-1)</f>
        <v>-0.0217219589257504</v>
      </c>
    </row>
    <row r="446" customFormat="false" ht="15" hidden="false" customHeight="false" outlineLevel="0" collapsed="false">
      <c r="A446" s="47" t="n">
        <v>46187</v>
      </c>
      <c r="B446" s="48" t="s">
        <v>594</v>
      </c>
      <c r="C446" s="49" t="n">
        <v>7488</v>
      </c>
      <c r="D446" s="49" t="n">
        <v>7510</v>
      </c>
      <c r="E446" s="49" t="n">
        <v>7423</v>
      </c>
      <c r="F446" s="49" t="n">
        <v>0</v>
      </c>
      <c r="G446" s="50" t="n">
        <f aca="false">IF($A446="","",IF(ISNUMBER($G445),$G445+1,1))</f>
        <v>442</v>
      </c>
      <c r="H446" s="51" t="n">
        <f aca="false">IF(OR(NOT(ISNUMBER($G446)),$G446&lt;2,NOT(ISNUMBER($C445)),$C445=0),"",$C446/$C445-1)</f>
        <v>0.00767056923698029</v>
      </c>
      <c r="I446" s="52" t="n">
        <f aca="false">IF(AND(ISNUMBER($G446),$G446&gt;=MA_SHORT),AVERAGE(INDEX($C$46:$C446,402-MA_SHORT):$C446),"")</f>
        <v>7104.5</v>
      </c>
      <c r="J446" s="52" t="n">
        <f aca="false">IF(AND(ISNUMBER($G446),$G446&gt;=MA_MED),AVERAGE(INDEX($C$46:$C446,402-MA_MED):$C446),"")</f>
        <v>6711.62</v>
      </c>
      <c r="K446" s="52" t="n">
        <f aca="false">IF(AND(ISNUMBER($G446),$G446&gt;=MA_LONG2),AVERAGE(INDEX($C$46:$C446,402-MA_LONG2):$C446),"")</f>
        <v>6392.36</v>
      </c>
      <c r="L446" s="53" t="n">
        <f aca="false">IF(AND(ISNUMBER($G446),$G446&gt;=21),STDEV(INDEX($H$386:$H446,62-20):$H446)*SQRT(245),"")</f>
        <v>0.240089484960802</v>
      </c>
      <c r="M446" s="52" t="n">
        <f aca="false">IF(AND(ISNUMBER($G446),$G446&gt;=60),MAX(INDEX($D$246:$D446,202-60):$D446),"")</f>
        <v>7596</v>
      </c>
      <c r="N446" s="52" t="n">
        <f aca="false">IF(AND(ISNUMBER($G446),$G446&gt;=60),MIN(INDEX($E$246:$E446,202-60):$E446),"")</f>
        <v>6258</v>
      </c>
      <c r="O446" s="53" t="n">
        <f aca="false">IF(OR(NOT(ISNUMBER($C446)),NOT(ISNUMBER($M446)),$M446=0),"",$C446/$M446-1)</f>
        <v>-0.014218009478673</v>
      </c>
    </row>
    <row r="447" customFormat="false" ht="15" hidden="false" customHeight="false" outlineLevel="0" collapsed="false">
      <c r="A447" s="47" t="n">
        <v>46188</v>
      </c>
      <c r="B447" s="48" t="s">
        <v>595</v>
      </c>
      <c r="C447" s="49" t="n">
        <v>7470</v>
      </c>
      <c r="D447" s="49" t="n">
        <v>7472</v>
      </c>
      <c r="E447" s="49" t="n">
        <v>7450</v>
      </c>
      <c r="F447" s="49" t="n">
        <v>0</v>
      </c>
      <c r="G447" s="50" t="n">
        <f aca="false">IF($A447="","",IF(ISNUMBER($G446),$G446+1,1))</f>
        <v>443</v>
      </c>
      <c r="H447" s="51" t="n">
        <f aca="false">IF(OR(NOT(ISNUMBER($G447)),$G447&lt;2,NOT(ISNUMBER($C446)),$C446=0),"",$C447/$C446-1)</f>
        <v>-0.00240384615384615</v>
      </c>
      <c r="I447" s="52" t="n">
        <f aca="false">IF(AND(ISNUMBER($G447),$G447&gt;=MA_SHORT),AVERAGE(INDEX($C$47:$C447,402-MA_SHORT):$C447),"")</f>
        <v>7143.25</v>
      </c>
      <c r="J447" s="52" t="n">
        <f aca="false">IF(AND(ISNUMBER($G447),$G447&gt;=MA_MED),AVERAGE(INDEX($C$47:$C447,402-MA_MED):$C447),"")</f>
        <v>6733.1</v>
      </c>
      <c r="K447" s="52" t="n">
        <f aca="false">IF(AND(ISNUMBER($G447),$G447&gt;=MA_LONG2),AVERAGE(INDEX($C$47:$C447,402-MA_LONG2):$C447),"")</f>
        <v>6402.465</v>
      </c>
      <c r="L447" s="53" t="n">
        <f aca="false">IF(AND(ISNUMBER($G447),$G447&gt;=21),STDEV(INDEX($H$387:$H447,62-20):$H447)*SQRT(245),"")</f>
        <v>0.241893382779815</v>
      </c>
      <c r="M447" s="52" t="n">
        <f aca="false">IF(AND(ISNUMBER($G447),$G447&gt;=60),MAX(INDEX($D$247:$D447,202-60):$D447),"")</f>
        <v>7596</v>
      </c>
      <c r="N447" s="52" t="n">
        <f aca="false">IF(AND(ISNUMBER($G447),$G447&gt;=60),MIN(INDEX($E$247:$E447,202-60):$E447),"")</f>
        <v>6258</v>
      </c>
      <c r="O447" s="53" t="n">
        <f aca="false">IF(OR(NOT(ISNUMBER($C447)),NOT(ISNUMBER($M447)),$M447=0),"",$C447/$M447-1)</f>
        <v>-0.0165876777251185</v>
      </c>
    </row>
    <row r="448" customFormat="false" ht="15" hidden="false" customHeight="false" outlineLevel="0" collapsed="false">
      <c r="A448" s="47" t="n">
        <v>46189</v>
      </c>
      <c r="B448" s="48" t="s">
        <v>596</v>
      </c>
      <c r="C448" s="49" t="n">
        <v>7576</v>
      </c>
      <c r="D448" s="49" t="n">
        <v>7599</v>
      </c>
      <c r="E448" s="49" t="n">
        <v>7567</v>
      </c>
      <c r="F448" s="49" t="n">
        <v>0</v>
      </c>
      <c r="G448" s="50" t="n">
        <f aca="false">IF($A448="","",IF(ISNUMBER($G447),$G447+1,1))</f>
        <v>444</v>
      </c>
      <c r="H448" s="51" t="n">
        <f aca="false">IF(OR(NOT(ISNUMBER($G448)),$G448&lt;2,NOT(ISNUMBER($C447)),$C447=0),"",$C448/$C447-1)</f>
        <v>0.014190093708166</v>
      </c>
      <c r="I448" s="52" t="n">
        <f aca="false">IF(AND(ISNUMBER($G448),$G448&gt;=MA_SHORT),AVERAGE(INDEX($C$48:$C448,402-MA_SHORT):$C448),"")</f>
        <v>7181.45</v>
      </c>
      <c r="J448" s="52" t="n">
        <f aca="false">IF(AND(ISNUMBER($G448),$G448&gt;=MA_MED),AVERAGE(INDEX($C$48:$C448,402-MA_MED):$C448),"")</f>
        <v>6756.08</v>
      </c>
      <c r="K448" s="52" t="n">
        <f aca="false">IF(AND(ISNUMBER($G448),$G448&gt;=MA_LONG2),AVERAGE(INDEX($C$48:$C448,402-MA_LONG2):$C448),"")</f>
        <v>6413.36</v>
      </c>
      <c r="L448" s="53" t="n">
        <f aca="false">IF(AND(ISNUMBER($G448),$G448&gt;=21),STDEV(INDEX($H$388:$H448,62-20):$H448)*SQRT(245),"")</f>
        <v>0.240080664581129</v>
      </c>
      <c r="M448" s="52" t="n">
        <f aca="false">IF(AND(ISNUMBER($G448),$G448&gt;=60),MAX(INDEX($D$248:$D448,202-60):$D448),"")</f>
        <v>7599</v>
      </c>
      <c r="N448" s="52" t="n">
        <f aca="false">IF(AND(ISNUMBER($G448),$G448&gt;=60),MIN(INDEX($E$248:$E448,202-60):$E448),"")</f>
        <v>6258</v>
      </c>
      <c r="O448" s="53" t="n">
        <f aca="false">IF(OR(NOT(ISNUMBER($C448)),NOT(ISNUMBER($M448)),$M448=0),"",$C448/$M448-1)</f>
        <v>-0.00302671404132127</v>
      </c>
    </row>
    <row r="449" customFormat="false" ht="15" hidden="false" customHeight="false" outlineLevel="0" collapsed="false">
      <c r="A449" s="47" t="n">
        <v>46190</v>
      </c>
      <c r="B449" s="48" t="s">
        <v>597</v>
      </c>
      <c r="C449" s="49" t="n">
        <v>7570</v>
      </c>
      <c r="D449" s="49" t="n">
        <v>7573</v>
      </c>
      <c r="E449" s="49" t="n">
        <v>7517</v>
      </c>
      <c r="F449" s="49" t="n">
        <v>0</v>
      </c>
      <c r="G449" s="50" t="n">
        <f aca="false">IF($A449="","",IF(ISNUMBER($G448),$G448+1,1))</f>
        <v>445</v>
      </c>
      <c r="H449" s="51" t="n">
        <f aca="false">IF(OR(NOT(ISNUMBER($G449)),$G449&lt;2,NOT(ISNUMBER($C448)),$C448=0),"",$C449/$C448-1)</f>
        <v>-0.000791974656811023</v>
      </c>
      <c r="I449" s="52" t="n">
        <f aca="false">IF(AND(ISNUMBER($G449),$G449&gt;=MA_SHORT),AVERAGE(INDEX($C$49:$C449,402-MA_SHORT):$C449),"")</f>
        <v>7224.05</v>
      </c>
      <c r="J449" s="52" t="n">
        <f aca="false">IF(AND(ISNUMBER($G449),$G449&gt;=MA_MED),AVERAGE(INDEX($C$49:$C449,402-MA_MED):$C449),"")</f>
        <v>6780.36</v>
      </c>
      <c r="K449" s="52" t="n">
        <f aca="false">IF(AND(ISNUMBER($G449),$G449&gt;=MA_LONG2),AVERAGE(INDEX($C$49:$C449,402-MA_LONG2):$C449),"")</f>
        <v>6423.99</v>
      </c>
      <c r="L449" s="53" t="n">
        <f aca="false">IF(AND(ISNUMBER($G449),$G449&gt;=21),STDEV(INDEX($H$389:$H449,62-20):$H449)*SQRT(245),"")</f>
        <v>0.230775903760873</v>
      </c>
      <c r="M449" s="52" t="n">
        <f aca="false">IF(AND(ISNUMBER($G449),$G449&gt;=60),MAX(INDEX($D$249:$D449,202-60):$D449),"")</f>
        <v>7599</v>
      </c>
      <c r="N449" s="52" t="n">
        <f aca="false">IF(AND(ISNUMBER($G449),$G449&gt;=60),MIN(INDEX($E$249:$E449,202-60):$E449),"")</f>
        <v>6258</v>
      </c>
      <c r="O449" s="53" t="n">
        <f aca="false">IF(OR(NOT(ISNUMBER($C449)),NOT(ISNUMBER($M449)),$M449=0),"",$C449/$M449-1)</f>
        <v>-0.00381629161731811</v>
      </c>
    </row>
    <row r="450" customFormat="false" ht="15" hidden="false" customHeight="false" outlineLevel="0" collapsed="false">
      <c r="A450" s="47" t="n">
        <v>46193</v>
      </c>
      <c r="B450" s="48" t="s">
        <v>598</v>
      </c>
      <c r="C450" s="49" t="n">
        <v>7681</v>
      </c>
      <c r="D450" s="49" t="n">
        <v>7697</v>
      </c>
      <c r="E450" s="49" t="n">
        <v>7592</v>
      </c>
      <c r="F450" s="49" t="n">
        <v>0</v>
      </c>
      <c r="G450" s="50" t="n">
        <f aca="false">IF($A450="","",IF(ISNUMBER($G449),$G449+1,1))</f>
        <v>446</v>
      </c>
      <c r="H450" s="51" t="n">
        <f aca="false">IF(OR(NOT(ISNUMBER($G450)),$G450&lt;2,NOT(ISNUMBER($C449)),$C449=0),"",$C450/$C449-1)</f>
        <v>0.014663143989432</v>
      </c>
      <c r="I450" s="52" t="n">
        <f aca="false">IF(AND(ISNUMBER($G450),$G450&gt;=MA_SHORT),AVERAGE(INDEX($C$50:$C450,402-MA_SHORT):$C450),"")</f>
        <v>7267.65</v>
      </c>
      <c r="J450" s="52" t="n">
        <f aca="false">IF(AND(ISNUMBER($G450),$G450&gt;=MA_MED),AVERAGE(INDEX($C$50:$C450,402-MA_MED):$C450),"")</f>
        <v>6807.9</v>
      </c>
      <c r="K450" s="52" t="n">
        <f aca="false">IF(AND(ISNUMBER($G450),$G450&gt;=MA_LONG2),AVERAGE(INDEX($C$50:$C450,402-MA_LONG2):$C450),"")</f>
        <v>6435.25</v>
      </c>
      <c r="L450" s="53" t="n">
        <f aca="false">IF(AND(ISNUMBER($G450),$G450&gt;=21),STDEV(INDEX($H$390:$H450,62-20):$H450)*SQRT(245),"")</f>
        <v>0.231274005002253</v>
      </c>
      <c r="M450" s="52" t="n">
        <f aca="false">IF(AND(ISNUMBER($G450),$G450&gt;=60),MAX(INDEX($D$250:$D450,202-60):$D450),"")</f>
        <v>7697</v>
      </c>
      <c r="N450" s="52" t="n">
        <f aca="false">IF(AND(ISNUMBER($G450),$G450&gt;=60),MIN(INDEX($E$250:$E450,202-60):$E450),"")</f>
        <v>6258</v>
      </c>
      <c r="O450" s="53" t="n">
        <f aca="false">IF(OR(NOT(ISNUMBER($C450)),NOT(ISNUMBER($M450)),$M450=0),"",$C450/$M450-1)</f>
        <v>-0.00207873197349617</v>
      </c>
    </row>
    <row r="451" customFormat="false" ht="15" hidden="false" customHeight="false" outlineLevel="0" collapsed="false">
      <c r="A451" s="47" t="n">
        <v>46194</v>
      </c>
      <c r="B451" s="48" t="s">
        <v>599</v>
      </c>
      <c r="C451" s="49" t="n">
        <v>7642</v>
      </c>
      <c r="D451" s="49" t="n">
        <v>7713</v>
      </c>
      <c r="E451" s="49" t="n">
        <v>7631</v>
      </c>
      <c r="F451" s="49" t="n">
        <v>0</v>
      </c>
      <c r="G451" s="50" t="n">
        <f aca="false">IF($A451="","",IF(ISNUMBER($G450),$G450+1,1))</f>
        <v>447</v>
      </c>
      <c r="H451" s="51" t="n">
        <f aca="false">IF(OR(NOT(ISNUMBER($G451)),$G451&lt;2,NOT(ISNUMBER($C450)),$C450=0),"",$C451/$C450-1)</f>
        <v>-0.00507746387189167</v>
      </c>
      <c r="I451" s="52" t="n">
        <f aca="false">IF(AND(ISNUMBER($G451),$G451&gt;=MA_SHORT),AVERAGE(INDEX($C$51:$C451,402-MA_SHORT):$C451),"")</f>
        <v>7316.5</v>
      </c>
      <c r="J451" s="52" t="n">
        <f aca="false">IF(AND(ISNUMBER($G451),$G451&gt;=MA_MED),AVERAGE(INDEX($C$51:$C451,402-MA_MED):$C451),"")</f>
        <v>6834.06</v>
      </c>
      <c r="K451" s="52" t="n">
        <f aca="false">IF(AND(ISNUMBER($G451),$G451&gt;=MA_LONG2),AVERAGE(INDEX($C$51:$C451,402-MA_LONG2):$C451),"")</f>
        <v>6446.74</v>
      </c>
      <c r="L451" s="53" t="n">
        <f aca="false">IF(AND(ISNUMBER($G451),$G451&gt;=21),STDEV(INDEX($H$391:$H451,62-20):$H451)*SQRT(245),"")</f>
        <v>0.212929394122418</v>
      </c>
      <c r="M451" s="52" t="n">
        <f aca="false">IF(AND(ISNUMBER($G451),$G451&gt;=60),MAX(INDEX($D$251:$D451,202-60):$D451),"")</f>
        <v>7713</v>
      </c>
      <c r="N451" s="52" t="n">
        <f aca="false">IF(AND(ISNUMBER($G451),$G451&gt;=60),MIN(INDEX($E$251:$E451,202-60):$E451),"")</f>
        <v>6258</v>
      </c>
      <c r="O451" s="53" t="n">
        <f aca="false">IF(OR(NOT(ISNUMBER($C451)),NOT(ISNUMBER($M451)),$M451=0),"",$C451/$M451-1)</f>
        <v>-0.00920523791002204</v>
      </c>
    </row>
    <row r="452" customFormat="false" ht="15" hidden="false" customHeight="false" outlineLevel="0" collapsed="false">
      <c r="A452" s="47" t="n">
        <v>46195</v>
      </c>
      <c r="B452" s="48" t="s">
        <v>600</v>
      </c>
      <c r="C452" s="49" t="n">
        <v>7868</v>
      </c>
      <c r="D452" s="49" t="n">
        <v>7893</v>
      </c>
      <c r="E452" s="49" t="n">
        <v>7860</v>
      </c>
      <c r="F452" s="49" t="n">
        <v>0</v>
      </c>
      <c r="G452" s="50" t="n">
        <f aca="false">IF($A452="","",IF(ISNUMBER($G451),$G451+1,1))</f>
        <v>448</v>
      </c>
      <c r="H452" s="51" t="n">
        <f aca="false">IF(OR(NOT(ISNUMBER($G452)),$G452&lt;2,NOT(ISNUMBER($C451)),$C451=0),"",$C452/$C451-1)</f>
        <v>0.0295734101020675</v>
      </c>
      <c r="I452" s="52" t="n">
        <f aca="false">IF(AND(ISNUMBER($G452),$G452&gt;=MA_SHORT),AVERAGE(INDEX($C$52:$C452,402-MA_SHORT):$C452),"")</f>
        <v>7372.95</v>
      </c>
      <c r="J452" s="52" t="n">
        <f aca="false">IF(AND(ISNUMBER($G452),$G452&gt;=MA_MED),AVERAGE(INDEX($C$52:$C452,402-MA_MED):$C452),"")</f>
        <v>6864.34</v>
      </c>
      <c r="K452" s="52" t="n">
        <f aca="false">IF(AND(ISNUMBER($G452),$G452&gt;=MA_LONG2),AVERAGE(INDEX($C$52:$C452,402-MA_LONG2):$C452),"")</f>
        <v>6459.55</v>
      </c>
      <c r="L452" s="53" t="n">
        <f aca="false">IF(AND(ISNUMBER($G452),$G452&gt;=21),STDEV(INDEX($H$392:$H452,62-20):$H452)*SQRT(245),"")</f>
        <v>0.226928341317651</v>
      </c>
      <c r="M452" s="52" t="n">
        <f aca="false">IF(AND(ISNUMBER($G452),$G452&gt;=60),MAX(INDEX($D$252:$D452,202-60):$D452),"")</f>
        <v>7893</v>
      </c>
      <c r="N452" s="52" t="n">
        <f aca="false">IF(AND(ISNUMBER($G452),$G452&gt;=60),MIN(INDEX($E$252:$E452,202-60):$E452),"")</f>
        <v>6258</v>
      </c>
      <c r="O452" s="53" t="n">
        <f aca="false">IF(OR(NOT(ISNUMBER($C452)),NOT(ISNUMBER($M452)),$M452=0),"",$C452/$M452-1)</f>
        <v>-0.00316736348663371</v>
      </c>
    </row>
    <row r="453" customFormat="false" ht="15" hidden="false" customHeight="false" outlineLevel="0" collapsed="false">
      <c r="A453" s="47" t="n">
        <v>46196</v>
      </c>
      <c r="B453" s="48" t="s">
        <v>601</v>
      </c>
      <c r="C453" s="49" t="n">
        <v>7775</v>
      </c>
      <c r="D453" s="49" t="n">
        <v>7831</v>
      </c>
      <c r="E453" s="49" t="n">
        <v>7751</v>
      </c>
      <c r="F453" s="49" t="n">
        <v>0</v>
      </c>
      <c r="G453" s="50" t="n">
        <f aca="false">IF($A453="","",IF(ISNUMBER($G452),$G452+1,1))</f>
        <v>449</v>
      </c>
      <c r="H453" s="51" t="n">
        <f aca="false">IF(OR(NOT(ISNUMBER($G453)),$G453&lt;2,NOT(ISNUMBER($C452)),$C452=0),"",$C453/$C452-1)</f>
        <v>-0.0118200305033045</v>
      </c>
      <c r="I453" s="52" t="n">
        <f aca="false">IF(AND(ISNUMBER($G453),$G453&gt;=MA_SHORT),AVERAGE(INDEX($C$53:$C453,402-MA_SHORT):$C453),"")</f>
        <v>7424.95</v>
      </c>
      <c r="J453" s="52" t="n">
        <f aca="false">IF(AND(ISNUMBER($G453),$G453&gt;=MA_MED),AVERAGE(INDEX($C$53:$C453,402-MA_MED):$C453),"")</f>
        <v>6894.54</v>
      </c>
      <c r="K453" s="52" t="n">
        <f aca="false">IF(AND(ISNUMBER($G453),$G453&gt;=MA_LONG2),AVERAGE(INDEX($C$53:$C453,402-MA_LONG2):$C453),"")</f>
        <v>6471.51</v>
      </c>
      <c r="L453" s="53" t="n">
        <f aca="false">IF(AND(ISNUMBER($G453),$G453&gt;=21),STDEV(INDEX($H$393:$H453,62-20):$H453)*SQRT(245),"")</f>
        <v>0.235566862007234</v>
      </c>
      <c r="M453" s="52" t="n">
        <f aca="false">IF(AND(ISNUMBER($G453),$G453&gt;=60),MAX(INDEX($D$253:$D453,202-60):$D453),"")</f>
        <v>7893</v>
      </c>
      <c r="N453" s="52" t="n">
        <f aca="false">IF(AND(ISNUMBER($G453),$G453&gt;=60),MIN(INDEX($E$253:$E453,202-60):$E453),"")</f>
        <v>6258</v>
      </c>
      <c r="O453" s="53" t="n">
        <f aca="false">IF(OR(NOT(ISNUMBER($C453)),NOT(ISNUMBER($M453)),$M453=0),"",$C453/$M453-1)</f>
        <v>-0.0149499556569112</v>
      </c>
    </row>
    <row r="454" customFormat="false" ht="15" hidden="false" customHeight="false" outlineLevel="0" collapsed="false">
      <c r="A454" s="47" t="n">
        <v>46197</v>
      </c>
      <c r="B454" s="48" t="s">
        <v>602</v>
      </c>
      <c r="C454" s="49" t="n">
        <v>7646</v>
      </c>
      <c r="D454" s="49" t="n">
        <v>7670</v>
      </c>
      <c r="E454" s="49" t="n">
        <v>7623</v>
      </c>
      <c r="F454" s="49" t="n">
        <v>0</v>
      </c>
      <c r="G454" s="50" t="n">
        <f aca="false">IF($A454="","",IF(ISNUMBER($G453),$G453+1,1))</f>
        <v>450</v>
      </c>
      <c r="H454" s="51" t="n">
        <f aca="false">IF(OR(NOT(ISNUMBER($G454)),$G454&lt;2,NOT(ISNUMBER($C453)),$C453=0),"",$C454/$C453-1)</f>
        <v>-0.0165916398713827</v>
      </c>
      <c r="I454" s="52" t="n">
        <f aca="false">IF(AND(ISNUMBER($G454),$G454&gt;=MA_SHORT),AVERAGE(INDEX($C$54:$C454,402-MA_SHORT):$C454),"")</f>
        <v>7471.2</v>
      </c>
      <c r="J454" s="52" t="n">
        <f aca="false">IF(AND(ISNUMBER($G454),$G454&gt;=MA_MED),AVERAGE(INDEX($C$54:$C454,402-MA_MED):$C454),"")</f>
        <v>6920.74</v>
      </c>
      <c r="K454" s="52" t="n">
        <f aca="false">IF(AND(ISNUMBER($G454),$G454&gt;=MA_LONG2),AVERAGE(INDEX($C$54:$C454,402-MA_LONG2):$C454),"")</f>
        <v>6482.895</v>
      </c>
      <c r="L454" s="53" t="n">
        <f aca="false">IF(AND(ISNUMBER($G454),$G454&gt;=21),STDEV(INDEX($H$394:$H454,62-20):$H454)*SQRT(245),"")</f>
        <v>0.248166592333812</v>
      </c>
      <c r="M454" s="52" t="n">
        <f aca="false">IF(AND(ISNUMBER($G454),$G454&gt;=60),MAX(INDEX($D$254:$D454,202-60):$D454),"")</f>
        <v>7893</v>
      </c>
      <c r="N454" s="52" t="n">
        <f aca="false">IF(AND(ISNUMBER($G454),$G454&gt;=60),MIN(INDEX($E$254:$E454,202-60):$E454),"")</f>
        <v>6258</v>
      </c>
      <c r="O454" s="53" t="n">
        <f aca="false">IF(OR(NOT(ISNUMBER($C454)),NOT(ISNUMBER($M454)),$M454=0),"",$C454/$M454-1)</f>
        <v>-0.0312935512479412</v>
      </c>
    </row>
    <row r="455" customFormat="false" ht="15" hidden="false" customHeight="false" outlineLevel="0" collapsed="false">
      <c r="A455" s="47" t="n">
        <v>46200</v>
      </c>
      <c r="B455" s="48" t="s">
        <v>603</v>
      </c>
      <c r="C455" s="49" t="n">
        <v>7724</v>
      </c>
      <c r="D455" s="49" t="n">
        <v>7728</v>
      </c>
      <c r="E455" s="49" t="n">
        <v>7721</v>
      </c>
      <c r="F455" s="49" t="n">
        <v>0</v>
      </c>
      <c r="G455" s="50" t="n">
        <f aca="false">IF($A455="","",IF(ISNUMBER($G454),$G454+1,1))</f>
        <v>451</v>
      </c>
      <c r="H455" s="51" t="n">
        <f aca="false">IF(OR(NOT(ISNUMBER($G455)),$G455&lt;2,NOT(ISNUMBER($C454)),$C454=0),"",$C455/$C454-1)</f>
        <v>0.0102014125032697</v>
      </c>
      <c r="I455" s="52" t="n">
        <f aca="false">IF(AND(ISNUMBER($G455),$G455&gt;=MA_SHORT),AVERAGE(INDEX($C$55:$C455,402-MA_SHORT):$C455),"")</f>
        <v>7512.7</v>
      </c>
      <c r="J455" s="52" t="n">
        <f aca="false">IF(AND(ISNUMBER($G455),$G455&gt;=MA_MED),AVERAGE(INDEX($C$55:$C455,402-MA_MED):$C455),"")</f>
        <v>6947.14</v>
      </c>
      <c r="K455" s="52" t="n">
        <f aca="false">IF(AND(ISNUMBER($G455),$G455&gt;=MA_LONG2),AVERAGE(INDEX($C$55:$C455,402-MA_LONG2):$C455),"")</f>
        <v>6495.26</v>
      </c>
      <c r="L455" s="53" t="n">
        <f aca="false">IF(AND(ISNUMBER($G455),$G455&gt;=21),STDEV(INDEX($H$395:$H455,62-20):$H455)*SQRT(245),"")</f>
        <v>0.238471773682965</v>
      </c>
      <c r="M455" s="52" t="n">
        <f aca="false">IF(AND(ISNUMBER($G455),$G455&gt;=60),MAX(INDEX($D$255:$D455,202-60):$D455),"")</f>
        <v>7893</v>
      </c>
      <c r="N455" s="52" t="n">
        <f aca="false">IF(AND(ISNUMBER($G455),$G455&gt;=60),MIN(INDEX($E$255:$E455,202-60):$E455),"")</f>
        <v>6258</v>
      </c>
      <c r="O455" s="53" t="n">
        <f aca="false">IF(OR(NOT(ISNUMBER($C455)),NOT(ISNUMBER($M455)),$M455=0),"",$C455/$M455-1)</f>
        <v>-0.021411377169644</v>
      </c>
    </row>
    <row r="456" customFormat="false" ht="15" hidden="false" customHeight="false" outlineLevel="0" collapsed="false">
      <c r="A456" s="47" t="n">
        <v>46201</v>
      </c>
      <c r="B456" s="48" t="s">
        <v>604</v>
      </c>
      <c r="C456" s="49" t="n">
        <v>7706</v>
      </c>
      <c r="D456" s="49" t="n">
        <v>7717</v>
      </c>
      <c r="E456" s="49" t="n">
        <v>7706</v>
      </c>
      <c r="F456" s="49" t="n">
        <v>0</v>
      </c>
      <c r="G456" s="50" t="n">
        <f aca="false">IF($A456="","",IF(ISNUMBER($G455),$G455+1,1))</f>
        <v>452</v>
      </c>
      <c r="H456" s="51" t="n">
        <f aca="false">IF(OR(NOT(ISNUMBER($G456)),$G456&lt;2,NOT(ISNUMBER($C455)),$C455=0),"",$C456/$C455-1)</f>
        <v>-0.00233039875712071</v>
      </c>
      <c r="I456" s="52" t="n">
        <f aca="false">IF(AND(ISNUMBER($G456),$G456&gt;=MA_SHORT),AVERAGE(INDEX($C$56:$C456,402-MA_SHORT):$C456),"")</f>
        <v>7542.8</v>
      </c>
      <c r="J456" s="52" t="n">
        <f aca="false">IF(AND(ISNUMBER($G456),$G456&gt;=MA_MED),AVERAGE(INDEX($C$56:$C456,402-MA_MED):$C456),"")</f>
        <v>6972.88</v>
      </c>
      <c r="K456" s="52" t="n">
        <f aca="false">IF(AND(ISNUMBER($G456),$G456&gt;=MA_LONG2),AVERAGE(INDEX($C$56:$C456,402-MA_LONG2):$C456),"")</f>
        <v>6507.55</v>
      </c>
      <c r="L456" s="53" t="n">
        <f aca="false">IF(AND(ISNUMBER($G456),$G456&gt;=21),STDEV(INDEX($H$396:$H456,62-20):$H456)*SQRT(245),"")</f>
        <v>0.221796128341828</v>
      </c>
      <c r="M456" s="52" t="n">
        <f aca="false">IF(AND(ISNUMBER($G456),$G456&gt;=60),MAX(INDEX($D$256:$D456,202-60):$D456),"")</f>
        <v>7893</v>
      </c>
      <c r="N456" s="52" t="n">
        <f aca="false">IF(AND(ISNUMBER($G456),$G456&gt;=60),MIN(INDEX($E$256:$E456,202-60):$E456),"")</f>
        <v>6258</v>
      </c>
      <c r="O456" s="53" t="n">
        <f aca="false">IF(OR(NOT(ISNUMBER($C456)),NOT(ISNUMBER($M456)),$M456=0),"",$C456/$M456-1)</f>
        <v>-0.0236918788800202</v>
      </c>
    </row>
    <row r="457" customFormat="false" ht="15" hidden="false" customHeight="false" outlineLevel="0" collapsed="false">
      <c r="A457" s="47" t="n">
        <v>46202</v>
      </c>
      <c r="B457" s="48" t="s">
        <v>605</v>
      </c>
      <c r="C457" s="49" t="n">
        <v>7541</v>
      </c>
      <c r="D457" s="49" t="n">
        <v>7553</v>
      </c>
      <c r="E457" s="49" t="n">
        <v>7516</v>
      </c>
      <c r="F457" s="49" t="n">
        <v>0</v>
      </c>
      <c r="G457" s="50" t="n">
        <f aca="false">IF($A457="","",IF(ISNUMBER($G456),$G456+1,1))</f>
        <v>453</v>
      </c>
      <c r="H457" s="51" t="n">
        <f aca="false">IF(OR(NOT(ISNUMBER($G457)),$G457&lt;2,NOT(ISNUMBER($C456)),$C456=0),"",$C457/$C456-1)</f>
        <v>-0.0214118868414223</v>
      </c>
      <c r="I457" s="52" t="n">
        <f aca="false">IF(AND(ISNUMBER($G457),$G457&gt;=MA_SHORT),AVERAGE(INDEX($C$57:$C457,402-MA_SHORT):$C457),"")</f>
        <v>7559.65</v>
      </c>
      <c r="J457" s="52" t="n">
        <f aca="false">IF(AND(ISNUMBER($G457),$G457&gt;=MA_MED),AVERAGE(INDEX($C$57:$C457,402-MA_MED):$C457),"")</f>
        <v>6994.52</v>
      </c>
      <c r="K457" s="52" t="n">
        <f aca="false">IF(AND(ISNUMBER($G457),$G457&gt;=MA_LONG2),AVERAGE(INDEX($C$57:$C457,402-MA_LONG2):$C457),"")</f>
        <v>6519.53</v>
      </c>
      <c r="L457" s="53" t="n">
        <f aca="false">IF(AND(ISNUMBER($G457),$G457&gt;=21),STDEV(INDEX($H$397:$H457,62-20):$H457)*SQRT(245),"")</f>
        <v>0.235700190550061</v>
      </c>
      <c r="M457" s="52" t="n">
        <f aca="false">IF(AND(ISNUMBER($G457),$G457&gt;=60),MAX(INDEX($D$257:$D457,202-60):$D457),"")</f>
        <v>7893</v>
      </c>
      <c r="N457" s="52" t="n">
        <f aca="false">IF(AND(ISNUMBER($G457),$G457&gt;=60),MIN(INDEX($E$257:$E457,202-60):$E457),"")</f>
        <v>6258</v>
      </c>
      <c r="O457" s="53" t="n">
        <f aca="false">IF(OR(NOT(ISNUMBER($C457)),NOT(ISNUMBER($M457)),$M457=0),"",$C457/$M457-1)</f>
        <v>-0.0445964778918029</v>
      </c>
    </row>
    <row r="458" customFormat="false" ht="15" hidden="false" customHeight="false" outlineLevel="0" collapsed="false">
      <c r="A458" s="47" t="n">
        <v>46203</v>
      </c>
      <c r="B458" s="48" t="s">
        <v>606</v>
      </c>
      <c r="C458" s="49" t="n">
        <v>7445</v>
      </c>
      <c r="D458" s="49" t="n">
        <v>7488</v>
      </c>
      <c r="E458" s="49" t="n">
        <v>7395</v>
      </c>
      <c r="F458" s="49" t="n">
        <v>0</v>
      </c>
      <c r="G458" s="50" t="n">
        <f aca="false">IF($A458="","",IF(ISNUMBER($G457),$G457+1,1))</f>
        <v>454</v>
      </c>
      <c r="H458" s="51" t="n">
        <f aca="false">IF(OR(NOT(ISNUMBER($G458)),$G458&lt;2,NOT(ISNUMBER($C457)),$C457=0),"",$C458/$C457-1)</f>
        <v>-0.0127304071078106</v>
      </c>
      <c r="I458" s="52" t="n">
        <f aca="false">IF(AND(ISNUMBER($G458),$G458&gt;=MA_SHORT),AVERAGE(INDEX($C$58:$C458,402-MA_SHORT):$C458),"")</f>
        <v>7573.15</v>
      </c>
      <c r="J458" s="52" t="n">
        <f aca="false">IF(AND(ISNUMBER($G458),$G458&gt;=MA_MED),AVERAGE(INDEX($C$58:$C458,402-MA_MED):$C458),"")</f>
        <v>7014.62</v>
      </c>
      <c r="K458" s="52" t="n">
        <f aca="false">IF(AND(ISNUMBER($G458),$G458&gt;=MA_LONG2),AVERAGE(INDEX($C$58:$C458,402-MA_LONG2):$C458),"")</f>
        <v>6530.945</v>
      </c>
      <c r="L458" s="53" t="n">
        <f aca="false">IF(AND(ISNUMBER($G458),$G458&gt;=21),STDEV(INDEX($H$398:$H458,62-20):$H458)*SQRT(245),"")</f>
        <v>0.240674625472766</v>
      </c>
      <c r="M458" s="52" t="n">
        <f aca="false">IF(AND(ISNUMBER($G458),$G458&gt;=60),MAX(INDEX($D$258:$D458,202-60):$D458),"")</f>
        <v>7893</v>
      </c>
      <c r="N458" s="52" t="n">
        <f aca="false">IF(AND(ISNUMBER($G458),$G458&gt;=60),MIN(INDEX($E$258:$E458,202-60):$E458),"")</f>
        <v>6258</v>
      </c>
      <c r="O458" s="53" t="n">
        <f aca="false">IF(OR(NOT(ISNUMBER($C458)),NOT(ISNUMBER($M458)),$M458=0),"",$C458/$M458-1)</f>
        <v>-0.0567591536804764</v>
      </c>
    </row>
    <row r="459" customFormat="false" ht="15" hidden="false" customHeight="false" outlineLevel="0" collapsed="false">
      <c r="A459" s="47" t="n">
        <v>46204</v>
      </c>
      <c r="B459" s="48" t="s">
        <v>607</v>
      </c>
      <c r="C459" s="49" t="n">
        <v>7278</v>
      </c>
      <c r="D459" s="49" t="n">
        <v>7280</v>
      </c>
      <c r="E459" s="49" t="n">
        <v>7257</v>
      </c>
      <c r="F459" s="49" t="n">
        <v>0</v>
      </c>
      <c r="G459" s="50" t="n">
        <f aca="false">IF($A459="","",IF(ISNUMBER($G458),$G458+1,1))</f>
        <v>455</v>
      </c>
      <c r="H459" s="51" t="n">
        <f aca="false">IF(OR(NOT(ISNUMBER($G459)),$G459&lt;2,NOT(ISNUMBER($C458)),$C458=0),"",$C459/$C458-1)</f>
        <v>-0.0224311618535931</v>
      </c>
      <c r="I459" s="52" t="n">
        <f aca="false">IF(AND(ISNUMBER($G459),$G459&gt;=MA_SHORT),AVERAGE(INDEX($C$59:$C459,402-MA_SHORT):$C459),"")</f>
        <v>7565.5</v>
      </c>
      <c r="J459" s="52" t="n">
        <f aca="false">IF(AND(ISNUMBER($G459),$G459&gt;=MA_MED),AVERAGE(INDEX($C$59:$C459,402-MA_MED):$C459),"")</f>
        <v>7030.38</v>
      </c>
      <c r="K459" s="52" t="n">
        <f aca="false">IF(AND(ISNUMBER($G459),$G459&gt;=MA_LONG2),AVERAGE(INDEX($C$59:$C459,402-MA_LONG2):$C459),"")</f>
        <v>6541.2</v>
      </c>
      <c r="L459" s="53" t="n">
        <f aca="false">IF(AND(ISNUMBER($G459),$G459&gt;=21),STDEV(INDEX($H$399:$H459,62-20):$H459)*SQRT(245),"")</f>
        <v>0.220810813334609</v>
      </c>
      <c r="M459" s="52" t="n">
        <f aca="false">IF(AND(ISNUMBER($G459),$G459&gt;=60),MAX(INDEX($D$259:$D459,202-60):$D459),"")</f>
        <v>7893</v>
      </c>
      <c r="N459" s="52" t="n">
        <f aca="false">IF(AND(ISNUMBER($G459),$G459&gt;=60),MIN(INDEX($E$259:$E459,202-60):$E459),"")</f>
        <v>6258</v>
      </c>
      <c r="O459" s="53" t="n">
        <f aca="false">IF(OR(NOT(ISNUMBER($C459)),NOT(ISNUMBER($M459)),$M459=0),"",$C459/$M459-1)</f>
        <v>-0.0779171417711897</v>
      </c>
    </row>
    <row r="460" customFormat="false" ht="15" hidden="false" customHeight="false" outlineLevel="0" collapsed="false">
      <c r="A460" s="47" t="n">
        <v>46207</v>
      </c>
      <c r="B460" s="48" t="s">
        <v>608</v>
      </c>
      <c r="C460" s="49" t="n">
        <v>7271</v>
      </c>
      <c r="D460" s="49" t="n">
        <v>7313</v>
      </c>
      <c r="E460" s="49" t="n">
        <v>7230</v>
      </c>
      <c r="F460" s="49" t="n">
        <v>0</v>
      </c>
      <c r="G460" s="50" t="n">
        <f aca="false">IF($A460="","",IF(ISNUMBER($G459),$G459+1,1))</f>
        <v>456</v>
      </c>
      <c r="H460" s="51" t="n">
        <f aca="false">IF(OR(NOT(ISNUMBER($G460)),$G460&lt;2,NOT(ISNUMBER($C459)),$C459=0),"",$C460/$C459-1)</f>
        <v>-0.000961802693047575</v>
      </c>
      <c r="I460" s="52" t="n">
        <f aca="false">IF(AND(ISNUMBER($G460),$G460&gt;=MA_SHORT),AVERAGE(INDEX($C$60:$C460,402-MA_SHORT):$C460),"")</f>
        <v>7549.7</v>
      </c>
      <c r="J460" s="52" t="n">
        <f aca="false">IF(AND(ISNUMBER($G460),$G460&gt;=MA_MED),AVERAGE(INDEX($C$60:$C460,402-MA_MED):$C460),"")</f>
        <v>7047.42</v>
      </c>
      <c r="K460" s="52" t="n">
        <f aca="false">IF(AND(ISNUMBER($G460),$G460&gt;=MA_LONG2),AVERAGE(INDEX($C$60:$C460,402-MA_LONG2):$C460),"")</f>
        <v>6552</v>
      </c>
      <c r="L460" s="53" t="n">
        <f aca="false">IF(AND(ISNUMBER($G460),$G460&gt;=21),STDEV(INDEX($H$400:$H460,62-20):$H460)*SQRT(245),"")</f>
        <v>0.205524724403965</v>
      </c>
      <c r="M460" s="52" t="n">
        <f aca="false">IF(AND(ISNUMBER($G460),$G460&gt;=60),MAX(INDEX($D$260:$D460,202-60):$D460),"")</f>
        <v>7893</v>
      </c>
      <c r="N460" s="52" t="n">
        <f aca="false">IF(AND(ISNUMBER($G460),$G460&gt;=60),MIN(INDEX($E$260:$E460,202-60):$E460),"")</f>
        <v>6258</v>
      </c>
      <c r="O460" s="53" t="n">
        <f aca="false">IF(OR(NOT(ISNUMBER($C460)),NOT(ISNUMBER($M460)),$M460=0),"",$C460/$M460-1)</f>
        <v>-0.0788040035474471</v>
      </c>
    </row>
    <row r="461" customFormat="false" ht="15" hidden="false" customHeight="false" outlineLevel="0" collapsed="false">
      <c r="A461" s="47" t="n">
        <v>46208</v>
      </c>
      <c r="B461" s="48" t="s">
        <v>609</v>
      </c>
      <c r="C461" s="49" t="n">
        <v>7099</v>
      </c>
      <c r="D461" s="49" t="n">
        <v>7127</v>
      </c>
      <c r="E461" s="49" t="n">
        <v>7047</v>
      </c>
      <c r="F461" s="49" t="n">
        <v>0</v>
      </c>
      <c r="G461" s="50" t="n">
        <f aca="false">IF($A461="","",IF(ISNUMBER($G460),$G460+1,1))</f>
        <v>457</v>
      </c>
      <c r="H461" s="51" t="n">
        <f aca="false">IF(OR(NOT(ISNUMBER($G461)),$G461&lt;2,NOT(ISNUMBER($C460)),$C460=0),"",$C461/$C460-1)</f>
        <v>-0.0236556182093247</v>
      </c>
      <c r="I461" s="52" t="n">
        <f aca="false">IF(AND(ISNUMBER($G461),$G461&gt;=MA_SHORT),AVERAGE(INDEX($C$61:$C461,402-MA_SHORT):$C461),"")</f>
        <v>7528.8</v>
      </c>
      <c r="J461" s="52" t="n">
        <f aca="false">IF(AND(ISNUMBER($G461),$G461&gt;=MA_MED),AVERAGE(INDEX($C$61:$C461,402-MA_MED):$C461),"")</f>
        <v>7060.76</v>
      </c>
      <c r="K461" s="52" t="n">
        <f aca="false">IF(AND(ISNUMBER($G461),$G461&gt;=MA_LONG2),AVERAGE(INDEX($C$61:$C461,402-MA_LONG2):$C461),"")</f>
        <v>6561.77</v>
      </c>
      <c r="L461" s="53" t="n">
        <f aca="false">IF(AND(ISNUMBER($G461),$G461&gt;=21),STDEV(INDEX($H$401:$H461,62-20):$H461)*SQRT(245),"")</f>
        <v>0.217862230013093</v>
      </c>
      <c r="M461" s="52" t="n">
        <f aca="false">IF(AND(ISNUMBER($G461),$G461&gt;=60),MAX(INDEX($D$261:$D461,202-60):$D461),"")</f>
        <v>7893</v>
      </c>
      <c r="N461" s="52" t="n">
        <f aca="false">IF(AND(ISNUMBER($G461),$G461&gt;=60),MIN(INDEX($E$261:$E461,202-60):$E461),"")</f>
        <v>6258</v>
      </c>
      <c r="O461" s="53" t="n">
        <f aca="false">IF(OR(NOT(ISNUMBER($C461)),NOT(ISNUMBER($M461)),$M461=0),"",$C461/$M461-1)</f>
        <v>-0.100595464335487</v>
      </c>
    </row>
    <row r="462" customFormat="false" ht="15" hidden="false" customHeight="false" outlineLevel="0" collapsed="false">
      <c r="A462" s="47" t="n">
        <v>46209</v>
      </c>
      <c r="B462" s="48" t="s">
        <v>610</v>
      </c>
      <c r="C462" s="49" t="n">
        <v>7125</v>
      </c>
      <c r="D462" s="49" t="n">
        <v>7145</v>
      </c>
      <c r="E462" s="49" t="n">
        <v>7090</v>
      </c>
      <c r="F462" s="49" t="n">
        <v>0</v>
      </c>
      <c r="G462" s="50" t="n">
        <f aca="false">IF($A462="","",IF(ISNUMBER($G461),$G461+1,1))</f>
        <v>458</v>
      </c>
      <c r="H462" s="51" t="n">
        <f aca="false">IF(OR(NOT(ISNUMBER($G462)),$G462&lt;2,NOT(ISNUMBER($C461)),$C461=0),"",$C462/$C461-1)</f>
        <v>0.00366248767432031</v>
      </c>
      <c r="I462" s="52" t="n">
        <f aca="false">IF(AND(ISNUMBER($G462),$G462&gt;=MA_SHORT),AVERAGE(INDEX($C$62:$C462,402-MA_SHORT):$C462),"")</f>
        <v>7513.7</v>
      </c>
      <c r="J462" s="52" t="n">
        <f aca="false">IF(AND(ISNUMBER($G462),$G462&gt;=MA_MED),AVERAGE(INDEX($C$62:$C462,402-MA_MED):$C462),"")</f>
        <v>7072.68</v>
      </c>
      <c r="K462" s="52" t="n">
        <f aca="false">IF(AND(ISNUMBER($G462),$G462&gt;=MA_LONG2),AVERAGE(INDEX($C$62:$C462,402-MA_LONG2):$C462),"")</f>
        <v>6571.28</v>
      </c>
      <c r="L462" s="53" t="n">
        <f aca="false">IF(AND(ISNUMBER($G462),$G462&gt;=21),STDEV(INDEX($H$402:$H462,62-20):$H462)*SQRT(245),"")</f>
        <v>0.216207353392223</v>
      </c>
      <c r="M462" s="52" t="n">
        <f aca="false">IF(AND(ISNUMBER($G462),$G462&gt;=60),MAX(INDEX($D$262:$D462,202-60):$D462),"")</f>
        <v>7893</v>
      </c>
      <c r="N462" s="52" t="n">
        <f aca="false">IF(AND(ISNUMBER($G462),$G462&gt;=60),MIN(INDEX($E$262:$E462,202-60):$E462),"")</f>
        <v>6258</v>
      </c>
      <c r="O462" s="53" t="n">
        <f aca="false">IF(OR(NOT(ISNUMBER($C462)),NOT(ISNUMBER($M462)),$M462=0),"",$C462/$M462-1)</f>
        <v>-0.0973014063093881</v>
      </c>
    </row>
    <row r="463" customFormat="false" ht="15" hidden="false" customHeight="false" outlineLevel="0" collapsed="false">
      <c r="A463" s="47" t="n">
        <v>46210</v>
      </c>
      <c r="B463" s="48" t="s">
        <v>611</v>
      </c>
      <c r="C463" s="49" t="n">
        <v>7183</v>
      </c>
      <c r="D463" s="49" t="n">
        <v>7204</v>
      </c>
      <c r="E463" s="49" t="n">
        <v>7158</v>
      </c>
      <c r="F463" s="49" t="n">
        <v>0</v>
      </c>
      <c r="G463" s="50" t="n">
        <f aca="false">IF($A463="","",IF(ISNUMBER($G462),$G462+1,1))</f>
        <v>459</v>
      </c>
      <c r="H463" s="51" t="n">
        <f aca="false">IF(OR(NOT(ISNUMBER($G463)),$G463&lt;2,NOT(ISNUMBER($C462)),$C462=0),"",$C463/$C462-1)</f>
        <v>0.00814035087719289</v>
      </c>
      <c r="I463" s="52" t="n">
        <f aca="false">IF(AND(ISNUMBER($G463),$G463&gt;=MA_SHORT),AVERAGE(INDEX($C$63:$C463,402-MA_SHORT):$C463),"")</f>
        <v>7498.45</v>
      </c>
      <c r="J463" s="52" t="n">
        <f aca="false">IF(AND(ISNUMBER($G463),$G463&gt;=MA_MED),AVERAGE(INDEX($C$63:$C463,402-MA_MED):$C463),"")</f>
        <v>7086.06</v>
      </c>
      <c r="K463" s="52" t="n">
        <f aca="false">IF(AND(ISNUMBER($G463),$G463&gt;=MA_LONG2),AVERAGE(INDEX($C$63:$C463,402-MA_LONG2):$C463),"")</f>
        <v>6580.84</v>
      </c>
      <c r="L463" s="53" t="n">
        <f aca="false">IF(AND(ISNUMBER($G463),$G463&gt;=21),STDEV(INDEX($H$403:$H463,62-20):$H463)*SQRT(245),"")</f>
        <v>0.216163153616991</v>
      </c>
      <c r="M463" s="52" t="n">
        <f aca="false">IF(AND(ISNUMBER($G463),$G463&gt;=60),MAX(INDEX($D$263:$D463,202-60):$D463),"")</f>
        <v>7893</v>
      </c>
      <c r="N463" s="52" t="n">
        <f aca="false">IF(AND(ISNUMBER($G463),$G463&gt;=60),MIN(INDEX($E$263:$E463,202-60):$E463),"")</f>
        <v>6306</v>
      </c>
      <c r="O463" s="53" t="n">
        <f aca="false">IF(OR(NOT(ISNUMBER($C463)),NOT(ISNUMBER($M463)),$M463=0),"",$C463/$M463-1)</f>
        <v>-0.0899531230203978</v>
      </c>
    </row>
    <row r="464" customFormat="false" ht="15" hidden="false" customHeight="false" outlineLevel="0" collapsed="false">
      <c r="A464" s="47" t="n">
        <v>46211</v>
      </c>
      <c r="B464" s="48" t="s">
        <v>612</v>
      </c>
      <c r="C464" s="49" t="n">
        <v>7142</v>
      </c>
      <c r="D464" s="49" t="n">
        <v>7165</v>
      </c>
      <c r="E464" s="49" t="n">
        <v>7128</v>
      </c>
      <c r="F464" s="49" t="n">
        <v>0</v>
      </c>
      <c r="G464" s="50" t="n">
        <f aca="false">IF($A464="","",IF(ISNUMBER($G463),$G463+1,1))</f>
        <v>460</v>
      </c>
      <c r="H464" s="51" t="n">
        <f aca="false">IF(OR(NOT(ISNUMBER($G464)),$G464&lt;2,NOT(ISNUMBER($C463)),$C463=0),"",$C464/$C463-1)</f>
        <v>-0.00570792148127519</v>
      </c>
      <c r="I464" s="52" t="n">
        <f aca="false">IF(AND(ISNUMBER($G464),$G464&gt;=MA_SHORT),AVERAGE(INDEX($C$64:$C464,402-MA_SHORT):$C464),"")</f>
        <v>7483.05</v>
      </c>
      <c r="J464" s="52" t="n">
        <f aca="false">IF(AND(ISNUMBER($G464),$G464&gt;=MA_MED),AVERAGE(INDEX($C$64:$C464,402-MA_MED):$C464),"")</f>
        <v>7096.46</v>
      </c>
      <c r="K464" s="52" t="n">
        <f aca="false">IF(AND(ISNUMBER($G464),$G464&gt;=MA_LONG2),AVERAGE(INDEX($C$64:$C464,402-MA_LONG2):$C464),"")</f>
        <v>6590.38</v>
      </c>
      <c r="L464" s="53" t="n">
        <f aca="false">IF(AND(ISNUMBER($G464),$G464&gt;=21),STDEV(INDEX($H$404:$H464,62-20):$H464)*SQRT(245),"")</f>
        <v>0.216291113637968</v>
      </c>
      <c r="M464" s="52" t="n">
        <f aca="false">IF(AND(ISNUMBER($G464),$G464&gt;=60),MAX(INDEX($D$264:$D464,202-60):$D464),"")</f>
        <v>7893</v>
      </c>
      <c r="N464" s="52" t="n">
        <f aca="false">IF(AND(ISNUMBER($G464),$G464&gt;=60),MIN(INDEX($E$264:$E464,202-60):$E464),"")</f>
        <v>6332</v>
      </c>
      <c r="O464" s="53" t="n">
        <f aca="false">IF(OR(NOT(ISNUMBER($C464)),NOT(ISNUMBER($M464)),$M464=0),"",$C464/$M464-1)</f>
        <v>-0.0951475991384772</v>
      </c>
    </row>
    <row r="465" customFormat="false" ht="15" hidden="false" customHeight="false" outlineLevel="0" collapsed="false">
      <c r="A465" s="47" t="n">
        <v>46214</v>
      </c>
      <c r="B465" s="48" t="s">
        <v>613</v>
      </c>
      <c r="C465" s="49" t="n">
        <v>7047</v>
      </c>
      <c r="D465" s="49" t="n">
        <v>7076</v>
      </c>
      <c r="E465" s="49" t="n">
        <v>7024</v>
      </c>
      <c r="F465" s="49" t="n">
        <v>0</v>
      </c>
      <c r="G465" s="50" t="n">
        <f aca="false">IF($A465="","",IF(ISNUMBER($G464),$G464+1,1))</f>
        <v>461</v>
      </c>
      <c r="H465" s="51" t="n">
        <f aca="false">IF(OR(NOT(ISNUMBER($G465)),$G465&lt;2,NOT(ISNUMBER($C464)),$C464=0),"",$C465/$C464-1)</f>
        <v>-0.013301596191543</v>
      </c>
      <c r="I465" s="52" t="n">
        <f aca="false">IF(AND(ISNUMBER($G465),$G465&gt;=MA_SHORT),AVERAGE(INDEX($C$65:$C465,402-MA_SHORT):$C465),"")</f>
        <v>7463.85</v>
      </c>
      <c r="J465" s="52" t="n">
        <f aca="false">IF(AND(ISNUMBER($G465),$G465&gt;=MA_MED),AVERAGE(INDEX($C$65:$C465,402-MA_MED):$C465),"")</f>
        <v>7102.88</v>
      </c>
      <c r="K465" s="52" t="n">
        <f aca="false">IF(AND(ISNUMBER($G465),$G465&gt;=MA_LONG2),AVERAGE(INDEX($C$65:$C465,402-MA_LONG2):$C465),"")</f>
        <v>6599.27</v>
      </c>
      <c r="L465" s="53" t="n">
        <f aca="false">IF(AND(ISNUMBER($G465),$G465&gt;=21),STDEV(INDEX($H$405:$H465,62-20):$H465)*SQRT(245),"")</f>
        <v>0.219875821722084</v>
      </c>
      <c r="M465" s="52" t="n">
        <f aca="false">IF(AND(ISNUMBER($G465),$G465&gt;=60),MAX(INDEX($D$265:$D465,202-60):$D465),"")</f>
        <v>7893</v>
      </c>
      <c r="N465" s="52" t="n">
        <f aca="false">IF(AND(ISNUMBER($G465),$G465&gt;=60),MIN(INDEX($E$265:$E465,202-60):$E465),"")</f>
        <v>6332</v>
      </c>
      <c r="O465" s="53" t="n">
        <f aca="false">IF(OR(NOT(ISNUMBER($C465)),NOT(ISNUMBER($M465)),$M465=0),"",$C465/$M465-1)</f>
        <v>-0.107183580387685</v>
      </c>
    </row>
    <row r="466" customFormat="false" ht="15" hidden="false" customHeight="false" outlineLevel="0" collapsed="false">
      <c r="A466" s="47" t="n">
        <v>46215</v>
      </c>
      <c r="B466" s="48" t="s">
        <v>614</v>
      </c>
      <c r="C466" s="49" t="n">
        <v>7212</v>
      </c>
      <c r="D466" s="49" t="n">
        <v>7223</v>
      </c>
      <c r="E466" s="49" t="n">
        <v>7199</v>
      </c>
      <c r="F466" s="49" t="n">
        <v>0</v>
      </c>
      <c r="G466" s="50" t="n">
        <f aca="false">IF($A466="","",IF(ISNUMBER($G465),$G465+1,1))</f>
        <v>462</v>
      </c>
      <c r="H466" s="51" t="n">
        <f aca="false">IF(OR(NOT(ISNUMBER($G466)),$G466&lt;2,NOT(ISNUMBER($C465)),$C465=0),"",$C466/$C465-1)</f>
        <v>0.0234142188165176</v>
      </c>
      <c r="I466" s="52" t="n">
        <f aca="false">IF(AND(ISNUMBER($G466),$G466&gt;=MA_SHORT),AVERAGE(INDEX($C$66:$C466,402-MA_SHORT):$C466),"")</f>
        <v>7450.05</v>
      </c>
      <c r="J466" s="52" t="n">
        <f aca="false">IF(AND(ISNUMBER($G466),$G466&gt;=MA_MED),AVERAGE(INDEX($C$66:$C466,402-MA_MED):$C466),"")</f>
        <v>7115.78</v>
      </c>
      <c r="K466" s="52" t="n">
        <f aca="false">IF(AND(ISNUMBER($G466),$G466&gt;=MA_LONG2),AVERAGE(INDEX($C$66:$C466,402-MA_LONG2):$C466),"")</f>
        <v>6608.855</v>
      </c>
      <c r="L466" s="53" t="n">
        <f aca="false">IF(AND(ISNUMBER($G466),$G466&gt;=21),STDEV(INDEX($H$406:$H466,62-20):$H466)*SQRT(245),"")</f>
        <v>0.235656047268974</v>
      </c>
      <c r="M466" s="52" t="n">
        <f aca="false">IF(AND(ISNUMBER($G466),$G466&gt;=60),MAX(INDEX($D$266:$D466,202-60):$D466),"")</f>
        <v>7893</v>
      </c>
      <c r="N466" s="52" t="n">
        <f aca="false">IF(AND(ISNUMBER($G466),$G466&gt;=60),MIN(INDEX($E$266:$E466,202-60):$E466),"")</f>
        <v>6332</v>
      </c>
      <c r="O466" s="53" t="n">
        <f aca="false">IF(OR(NOT(ISNUMBER($C466)),NOT(ISNUMBER($M466)),$M466=0),"",$C466/$M466-1)</f>
        <v>-0.0862789813759027</v>
      </c>
    </row>
    <row r="467" customFormat="false" ht="15" hidden="false" customHeight="false" outlineLevel="0" collapsed="false">
      <c r="A467" s="47" t="n">
        <v>46216</v>
      </c>
      <c r="B467" s="48" t="s">
        <v>615</v>
      </c>
      <c r="C467" s="49" t="n">
        <v>7247</v>
      </c>
      <c r="D467" s="49" t="n">
        <v>7275</v>
      </c>
      <c r="E467" s="49" t="n">
        <v>7247</v>
      </c>
      <c r="F467" s="49" t="n">
        <v>0</v>
      </c>
      <c r="G467" s="50" t="n">
        <f aca="false">IF($A467="","",IF(ISNUMBER($G466),$G466+1,1))</f>
        <v>463</v>
      </c>
      <c r="H467" s="51" t="n">
        <f aca="false">IF(OR(NOT(ISNUMBER($G467)),$G467&lt;2,NOT(ISNUMBER($C466)),$C466=0),"",$C467/$C466-1)</f>
        <v>0.00485302273987798</v>
      </c>
      <c r="I467" s="52" t="n">
        <f aca="false">IF(AND(ISNUMBER($G467),$G467&gt;=MA_SHORT),AVERAGE(INDEX($C$67:$C467,402-MA_SHORT):$C467),"")</f>
        <v>7438.9</v>
      </c>
      <c r="J467" s="52" t="n">
        <f aca="false">IF(AND(ISNUMBER($G467),$G467&gt;=MA_MED),AVERAGE(INDEX($C$67:$C467,402-MA_MED):$C467),"")</f>
        <v>7131.12</v>
      </c>
      <c r="K467" s="52" t="n">
        <f aca="false">IF(AND(ISNUMBER($G467),$G467&gt;=MA_LONG2),AVERAGE(INDEX($C$67:$C467,402-MA_LONG2):$C467),"")</f>
        <v>6618.35</v>
      </c>
      <c r="L467" s="53" t="n">
        <f aca="false">IF(AND(ISNUMBER($G467),$G467&gt;=21),STDEV(INDEX($H$407:$H467,62-20):$H467)*SQRT(245),"")</f>
        <v>0.236769897252934</v>
      </c>
      <c r="M467" s="52" t="n">
        <f aca="false">IF(AND(ISNUMBER($G467),$G467&gt;=60),MAX(INDEX($D$267:$D467,202-60):$D467),"")</f>
        <v>7893</v>
      </c>
      <c r="N467" s="52" t="n">
        <f aca="false">IF(AND(ISNUMBER($G467),$G467&gt;=60),MIN(INDEX($E$267:$E467,202-60):$E467),"")</f>
        <v>6332</v>
      </c>
      <c r="O467" s="53" t="n">
        <f aca="false">IF(OR(NOT(ISNUMBER($C467)),NOT(ISNUMBER($M467)),$M467=0),"",$C467/$M467-1)</f>
        <v>-0.0818446724946155</v>
      </c>
    </row>
    <row r="468" customFormat="false" ht="15" hidden="false" customHeight="false" outlineLevel="0" collapsed="false">
      <c r="A468" s="47" t="n">
        <v>46217</v>
      </c>
      <c r="B468" s="48" t="s">
        <v>616</v>
      </c>
      <c r="C468" s="49" t="n">
        <v>7254</v>
      </c>
      <c r="D468" s="49" t="n">
        <v>7268</v>
      </c>
      <c r="E468" s="49" t="n">
        <v>7211</v>
      </c>
      <c r="F468" s="49" t="n">
        <v>0</v>
      </c>
      <c r="G468" s="50" t="n">
        <f aca="false">IF($A468="","",IF(ISNUMBER($G467),$G467+1,1))</f>
        <v>464</v>
      </c>
      <c r="H468" s="51" t="n">
        <f aca="false">IF(OR(NOT(ISNUMBER($G468)),$G468&lt;2,NOT(ISNUMBER($C467)),$C467=0),"",$C468/$C467-1)</f>
        <v>0.000965916931144006</v>
      </c>
      <c r="I468" s="52" t="n">
        <f aca="false">IF(AND(ISNUMBER($G468),$G468&gt;=MA_SHORT),AVERAGE(INDEX($C$68:$C468,402-MA_SHORT):$C468),"")</f>
        <v>7422.8</v>
      </c>
      <c r="J468" s="52" t="n">
        <f aca="false">IF(AND(ISNUMBER($G468),$G468&gt;=MA_MED),AVERAGE(INDEX($C$68:$C468,402-MA_MED):$C468),"")</f>
        <v>7148.38</v>
      </c>
      <c r="K468" s="52" t="n">
        <f aca="false">IF(AND(ISNUMBER($G468),$G468&gt;=MA_LONG2),AVERAGE(INDEX($C$68:$C468,402-MA_LONG2):$C468),"")</f>
        <v>6627.37</v>
      </c>
      <c r="L468" s="53" t="n">
        <f aca="false">IF(AND(ISNUMBER($G468),$G468&gt;=21),STDEV(INDEX($H$408:$H468,62-20):$H468)*SQRT(245),"")</f>
        <v>0.229963896411408</v>
      </c>
      <c r="M468" s="52" t="n">
        <f aca="false">IF(AND(ISNUMBER($G468),$G468&gt;=60),MAX(INDEX($D$268:$D468,202-60):$D468),"")</f>
        <v>7893</v>
      </c>
      <c r="N468" s="52" t="n">
        <f aca="false">IF(AND(ISNUMBER($G468),$G468&gt;=60),MIN(INDEX($E$268:$E468,202-60):$E468),"")</f>
        <v>6332</v>
      </c>
      <c r="O468" s="53" t="n">
        <f aca="false">IF(OR(NOT(ISNUMBER($C468)),NOT(ISNUMBER($M468)),$M468=0),"",$C468/$M468-1)</f>
        <v>-0.0809578107183581</v>
      </c>
    </row>
    <row r="469" customFormat="false" ht="15" hidden="false" customHeight="false" outlineLevel="0" collapsed="false">
      <c r="A469" s="47" t="n">
        <v>46218</v>
      </c>
      <c r="B469" s="48" t="s">
        <v>617</v>
      </c>
      <c r="C469" s="49" t="n">
        <v>7248</v>
      </c>
      <c r="D469" s="49" t="n">
        <v>7253</v>
      </c>
      <c r="E469" s="49" t="n">
        <v>7202</v>
      </c>
      <c r="F469" s="49" t="n">
        <v>0</v>
      </c>
      <c r="G469" s="50" t="n">
        <f aca="false">IF($A469="","",IF(ISNUMBER($G468),$G468+1,1))</f>
        <v>465</v>
      </c>
      <c r="H469" s="51" t="n">
        <f aca="false">IF(OR(NOT(ISNUMBER($G469)),$G469&lt;2,NOT(ISNUMBER($C468)),$C468=0),"",$C469/$C468-1)</f>
        <v>-0.000827129859387932</v>
      </c>
      <c r="I469" s="52" t="n">
        <f aca="false">IF(AND(ISNUMBER($G469),$G469&gt;=MA_SHORT),AVERAGE(INDEX($C$69:$C469,402-MA_SHORT):$C469),"")</f>
        <v>7406.7</v>
      </c>
      <c r="J469" s="52" t="n">
        <f aca="false">IF(AND(ISNUMBER($G469),$G469&gt;=MA_MED),AVERAGE(INDEX($C$69:$C469,402-MA_MED):$C469),"")</f>
        <v>7165.18</v>
      </c>
      <c r="K469" s="52" t="n">
        <f aca="false">IF(AND(ISNUMBER($G469),$G469&gt;=MA_LONG2),AVERAGE(INDEX($C$69:$C469,402-MA_LONG2):$C469),"")</f>
        <v>6636.385</v>
      </c>
      <c r="L469" s="53" t="n">
        <f aca="false">IF(AND(ISNUMBER($G469),$G469&gt;=21),STDEV(INDEX($H$409:$H469,62-20):$H469)*SQRT(245),"")</f>
        <v>0.229961416120744</v>
      </c>
      <c r="M469" s="52" t="n">
        <f aca="false">IF(AND(ISNUMBER($G469),$G469&gt;=60),MAX(INDEX($D$269:$D469,202-60):$D469),"")</f>
        <v>7893</v>
      </c>
      <c r="N469" s="52" t="n">
        <f aca="false">IF(AND(ISNUMBER($G469),$G469&gt;=60),MIN(INDEX($E$269:$E469,202-60):$E469),"")</f>
        <v>6332</v>
      </c>
      <c r="O469" s="53" t="n">
        <f aca="false">IF(OR(NOT(ISNUMBER($C469)),NOT(ISNUMBER($M469)),$M469=0),"",$C469/$M469-1)</f>
        <v>-0.0817179779551501</v>
      </c>
    </row>
    <row r="470" customFormat="false" ht="15" hidden="false" customHeight="false" outlineLevel="0" collapsed="false">
      <c r="A470" s="47" t="n">
        <v>46221</v>
      </c>
      <c r="B470" s="48" t="s">
        <v>618</v>
      </c>
      <c r="C470" s="49" t="n">
        <v>7273</v>
      </c>
      <c r="D470" s="49" t="n">
        <v>7277</v>
      </c>
      <c r="E470" s="49" t="n">
        <v>7251</v>
      </c>
      <c r="F470" s="49" t="n">
        <v>0</v>
      </c>
      <c r="G470" s="50" t="n">
        <f aca="false">IF($A470="","",IF(ISNUMBER($G469),$G469+1,1))</f>
        <v>466</v>
      </c>
      <c r="H470" s="51" t="n">
        <f aca="false">IF(OR(NOT(ISNUMBER($G470)),$G470&lt;2,NOT(ISNUMBER($C469)),$C469=0),"",$C470/$C469-1)</f>
        <v>0.00344922737306841</v>
      </c>
      <c r="I470" s="52" t="n">
        <f aca="false">IF(AND(ISNUMBER($G470),$G470&gt;=MA_SHORT),AVERAGE(INDEX($C$70:$C470,402-MA_SHORT):$C470),"")</f>
        <v>7386.3</v>
      </c>
      <c r="J470" s="52" t="n">
        <f aca="false">IF(AND(ISNUMBER($G470),$G470&gt;=MA_MED),AVERAGE(INDEX($C$70:$C470,402-MA_MED):$C470),"")</f>
        <v>7180.94</v>
      </c>
      <c r="K470" s="52" t="n">
        <f aca="false">IF(AND(ISNUMBER($G470),$G470&gt;=MA_LONG2),AVERAGE(INDEX($C$70:$C470,402-MA_LONG2):$C470),"")</f>
        <v>6645.8</v>
      </c>
      <c r="L470" s="53" t="n">
        <f aca="false">IF(AND(ISNUMBER($G470),$G470&gt;=21),STDEV(INDEX($H$410:$H470,62-20):$H470)*SQRT(245),"")</f>
        <v>0.222674338360092</v>
      </c>
      <c r="M470" s="52" t="n">
        <f aca="false">IF(AND(ISNUMBER($G470),$G470&gt;=60),MAX(INDEX($D$270:$D470,202-60):$D470),"")</f>
        <v>7893</v>
      </c>
      <c r="N470" s="52" t="n">
        <f aca="false">IF(AND(ISNUMBER($G470),$G470&gt;=60),MIN(INDEX($E$270:$E470,202-60):$E470),"")</f>
        <v>6332</v>
      </c>
      <c r="O470" s="53" t="n">
        <f aca="false">IF(OR(NOT(ISNUMBER($C470)),NOT(ISNUMBER($M470)),$M470=0),"",$C470/$M470-1)</f>
        <v>-0.0785506144685164</v>
      </c>
    </row>
    <row r="471" customFormat="false" ht="15" hidden="false" customHeight="false" outlineLevel="0" collapsed="false">
      <c r="A471" s="47" t="n">
        <v>46222</v>
      </c>
      <c r="B471" s="48" t="s">
        <v>619</v>
      </c>
      <c r="C471" s="49" t="n">
        <v>7289</v>
      </c>
      <c r="D471" s="49" t="n">
        <v>7298</v>
      </c>
      <c r="E471" s="49" t="n">
        <v>7267</v>
      </c>
      <c r="F471" s="49" t="n">
        <v>0</v>
      </c>
      <c r="G471" s="50" t="n">
        <f aca="false">IF($A471="","",IF(ISNUMBER($G470),$G470+1,1))</f>
        <v>467</v>
      </c>
      <c r="H471" s="51" t="n">
        <f aca="false">IF(OR(NOT(ISNUMBER($G471)),$G471&lt;2,NOT(ISNUMBER($C470)),$C470=0),"",$C471/$C470-1)</f>
        <v>0.00219991750309356</v>
      </c>
      <c r="I471" s="52" t="n">
        <f aca="false">IF(AND(ISNUMBER($G471),$G471&gt;=MA_SHORT),AVERAGE(INDEX($C$71:$C471,402-MA_SHORT):$C471),"")</f>
        <v>7368.65</v>
      </c>
      <c r="J471" s="52" t="n">
        <f aca="false">IF(AND(ISNUMBER($G471),$G471&gt;=MA_MED),AVERAGE(INDEX($C$71:$C471,402-MA_MED):$C471),"")</f>
        <v>7195.96</v>
      </c>
      <c r="K471" s="52" t="n">
        <f aca="false">IF(AND(ISNUMBER($G471),$G471&gt;=MA_LONG2),AVERAGE(INDEX($C$71:$C471,402-MA_LONG2):$C471),"")</f>
        <v>6655.32</v>
      </c>
      <c r="L471" s="53" t="n">
        <f aca="false">IF(AND(ISNUMBER($G471),$G471&gt;=21),STDEV(INDEX($H$411:$H471,62-20):$H471)*SQRT(245),"")</f>
        <v>0.223098997930116</v>
      </c>
      <c r="M471" s="52" t="n">
        <f aca="false">IF(AND(ISNUMBER($G471),$G471&gt;=60),MAX(INDEX($D$271:$D471,202-60):$D471),"")</f>
        <v>7893</v>
      </c>
      <c r="N471" s="52" t="n">
        <f aca="false">IF(AND(ISNUMBER($G471),$G471&gt;=60),MIN(INDEX($E$271:$E471,202-60):$E471),"")</f>
        <v>6332</v>
      </c>
      <c r="O471" s="53" t="n">
        <f aca="false">IF(OR(NOT(ISNUMBER($C471)),NOT(ISNUMBER($M471)),$M471=0),"",$C471/$M471-1)</f>
        <v>-0.0765235018370708</v>
      </c>
    </row>
    <row r="472" customFormat="false" ht="15" hidden="false" customHeight="false" outlineLevel="0" collapsed="false">
      <c r="A472" s="47" t="n">
        <v>46223</v>
      </c>
      <c r="B472" s="48" t="s">
        <v>620</v>
      </c>
      <c r="C472" s="49" t="n">
        <v>7176</v>
      </c>
      <c r="D472" s="49" t="n">
        <v>7179</v>
      </c>
      <c r="E472" s="49" t="n">
        <v>7146</v>
      </c>
      <c r="F472" s="49" t="n">
        <v>0</v>
      </c>
      <c r="G472" s="50" t="n">
        <f aca="false">IF($A472="","",IF(ISNUMBER($G471),$G471+1,1))</f>
        <v>468</v>
      </c>
      <c r="H472" s="51" t="n">
        <f aca="false">IF(OR(NOT(ISNUMBER($G472)),$G472&lt;2,NOT(ISNUMBER($C471)),$C471=0),"",$C472/$C471-1)</f>
        <v>-0.0155028124571271</v>
      </c>
      <c r="I472" s="52" t="n">
        <f aca="false">IF(AND(ISNUMBER($G472),$G472&gt;=MA_SHORT),AVERAGE(INDEX($C$72:$C472,402-MA_SHORT):$C472),"")</f>
        <v>7334.05</v>
      </c>
      <c r="J472" s="52" t="n">
        <f aca="false">IF(AND(ISNUMBER($G472),$G472&gt;=MA_MED),AVERAGE(INDEX($C$72:$C472,402-MA_MED):$C472),"")</f>
        <v>7209.36</v>
      </c>
      <c r="K472" s="52" t="n">
        <f aca="false">IF(AND(ISNUMBER($G472),$G472&gt;=MA_LONG2),AVERAGE(INDEX($C$72:$C472,402-MA_LONG2):$C472),"")</f>
        <v>6664.3</v>
      </c>
      <c r="L472" s="53" t="n">
        <f aca="false">IF(AND(ISNUMBER($G472),$G472&gt;=21),STDEV(INDEX($H$412:$H472,62-20):$H472)*SQRT(245),"")</f>
        <v>0.194038812984328</v>
      </c>
      <c r="M472" s="52" t="n">
        <f aca="false">IF(AND(ISNUMBER($G472),$G472&gt;=60),MAX(INDEX($D$272:$D472,202-60):$D472),"")</f>
        <v>7893</v>
      </c>
      <c r="N472" s="52" t="n">
        <f aca="false">IF(AND(ISNUMBER($G472),$G472&gt;=60),MIN(INDEX($E$272:$E472,202-60):$E472),"")</f>
        <v>6332</v>
      </c>
      <c r="O472" s="53" t="n">
        <f aca="false">IF(OR(NOT(ISNUMBER($C472)),NOT(ISNUMBER($M472)),$M472=0),"",$C472/$M472-1)</f>
        <v>-0.0908399847966552</v>
      </c>
    </row>
    <row r="473" customFormat="false" ht="15" hidden="false" customHeight="false" outlineLevel="0" collapsed="false">
      <c r="A473" s="47" t="n">
        <v>46224</v>
      </c>
      <c r="B473" s="48" t="s">
        <v>621</v>
      </c>
      <c r="C473" s="49" t="n">
        <v>7290</v>
      </c>
      <c r="D473" s="49" t="n">
        <v>7338</v>
      </c>
      <c r="E473" s="49" t="n">
        <v>7255</v>
      </c>
      <c r="F473" s="49" t="n">
        <v>0</v>
      </c>
      <c r="G473" s="50" t="n">
        <f aca="false">IF($A473="","",IF(ISNUMBER($G472),$G472+1,1))</f>
        <v>469</v>
      </c>
      <c r="H473" s="51" t="n">
        <f aca="false">IF(OR(NOT(ISNUMBER($G473)),$G473&lt;2,NOT(ISNUMBER($C472)),$C472=0),"",$C473/$C472-1)</f>
        <v>0.015886287625418</v>
      </c>
      <c r="I473" s="52" t="n">
        <f aca="false">IF(AND(ISNUMBER($G473),$G473&gt;=MA_SHORT),AVERAGE(INDEX($C$73:$C473,402-MA_SHORT):$C473),"")</f>
        <v>7309.8</v>
      </c>
      <c r="J473" s="52" t="n">
        <f aca="false">IF(AND(ISNUMBER($G473),$G473&gt;=MA_MED),AVERAGE(INDEX($C$73:$C473,402-MA_MED):$C473),"")</f>
        <v>7228.2</v>
      </c>
      <c r="K473" s="52" t="n">
        <f aca="false">IF(AND(ISNUMBER($G473),$G473&gt;=MA_LONG2),AVERAGE(INDEX($C$73:$C473,402-MA_LONG2):$C473),"")</f>
        <v>6673.4</v>
      </c>
      <c r="L473" s="53" t="n">
        <f aca="false">IF(AND(ISNUMBER($G473),$G473&gt;=21),STDEV(INDEX($H$413:$H473,62-20):$H473)*SQRT(245),"")</f>
        <v>0.204543505178412</v>
      </c>
      <c r="M473" s="52" t="n">
        <f aca="false">IF(AND(ISNUMBER($G473),$G473&gt;=60),MAX(INDEX($D$273:$D473,202-60):$D473),"")</f>
        <v>7893</v>
      </c>
      <c r="N473" s="52" t="n">
        <f aca="false">IF(AND(ISNUMBER($G473),$G473&gt;=60),MIN(INDEX($E$273:$E473,202-60):$E473),"")</f>
        <v>6332</v>
      </c>
      <c r="O473" s="53" t="n">
        <f aca="false">IF(OR(NOT(ISNUMBER($C473)),NOT(ISNUMBER($M473)),$M473=0),"",$C473/$M473-1)</f>
        <v>-0.0763968072976055</v>
      </c>
    </row>
    <row r="474" customFormat="false" ht="15" hidden="false" customHeight="false" outlineLevel="0" collapsed="false">
      <c r="A474" s="47" t="n">
        <v>46225</v>
      </c>
      <c r="B474" s="48" t="s">
        <v>622</v>
      </c>
      <c r="C474" s="49" t="n">
        <v>7286</v>
      </c>
      <c r="D474" s="49" t="n">
        <v>7293</v>
      </c>
      <c r="E474" s="49" t="n">
        <v>7266</v>
      </c>
      <c r="F474" s="49" t="n">
        <v>0</v>
      </c>
      <c r="G474" s="50" t="n">
        <f aca="false">IF($A474="","",IF(ISNUMBER($G473),$G473+1,1))</f>
        <v>470</v>
      </c>
      <c r="H474" s="51" t="n">
        <f aca="false">IF(OR(NOT(ISNUMBER($G474)),$G474&lt;2,NOT(ISNUMBER($C473)),$C473=0),"",$C474/$C473-1)</f>
        <v>-0.000548696844993146</v>
      </c>
      <c r="I474" s="52" t="n">
        <f aca="false">IF(AND(ISNUMBER($G474),$G474&gt;=MA_SHORT),AVERAGE(INDEX($C$74:$C474,402-MA_SHORT):$C474),"")</f>
        <v>7291.8</v>
      </c>
      <c r="J474" s="52" t="n">
        <f aca="false">IF(AND(ISNUMBER($G474),$G474&gt;=MA_MED),AVERAGE(INDEX($C$74:$C474,402-MA_MED):$C474),"")</f>
        <v>7245.6</v>
      </c>
      <c r="K474" s="52" t="n">
        <f aca="false">IF(AND(ISNUMBER($G474),$G474&gt;=MA_LONG2),AVERAGE(INDEX($C$74:$C474,402-MA_LONG2):$C474),"")</f>
        <v>6681.91</v>
      </c>
      <c r="L474" s="53" t="n">
        <f aca="false">IF(AND(ISNUMBER($G474),$G474&gt;=21),STDEV(INDEX($H$414:$H474,62-20):$H474)*SQRT(245),"")</f>
        <v>0.198552111251602</v>
      </c>
      <c r="M474" s="52" t="n">
        <f aca="false">IF(AND(ISNUMBER($G474),$G474&gt;=60),MAX(INDEX($D$274:$D474,202-60):$D474),"")</f>
        <v>7893</v>
      </c>
      <c r="N474" s="52" t="n">
        <f aca="false">IF(AND(ISNUMBER($G474),$G474&gt;=60),MIN(INDEX($E$274:$E474,202-60):$E474),"")</f>
        <v>6332</v>
      </c>
      <c r="O474" s="53" t="n">
        <f aca="false">IF(OR(NOT(ISNUMBER($C474)),NOT(ISNUMBER($M474)),$M474=0),"",$C474/$M474-1)</f>
        <v>-0.0769035854554668</v>
      </c>
    </row>
    <row r="475" customFormat="false" ht="15" hidden="false" customHeight="false" outlineLevel="0" collapsed="false">
      <c r="A475" s="47" t="n">
        <v>46228</v>
      </c>
      <c r="B475" s="48" t="s">
        <v>623</v>
      </c>
      <c r="C475" s="49" t="n">
        <v>7096</v>
      </c>
      <c r="D475" s="49" t="n">
        <v>7107</v>
      </c>
      <c r="E475" s="49" t="n">
        <v>7077</v>
      </c>
      <c r="F475" s="49" t="n">
        <v>0</v>
      </c>
      <c r="G475" s="50" t="n">
        <f aca="false">IF($A475="","",IF(ISNUMBER($G474),$G474+1,1))</f>
        <v>471</v>
      </c>
      <c r="H475" s="51" t="n">
        <f aca="false">IF(OR(NOT(ISNUMBER($G475)),$G475&lt;2,NOT(ISNUMBER($C474)),$C474=0),"",$C475/$C474-1)</f>
        <v>-0.0260774087290695</v>
      </c>
      <c r="I475" s="52" t="n">
        <f aca="false">IF(AND(ISNUMBER($G475),$G475&gt;=MA_SHORT),AVERAGE(INDEX($C$75:$C475,402-MA_SHORT):$C475),"")</f>
        <v>7260.4</v>
      </c>
      <c r="J475" s="52" t="n">
        <f aca="false">IF(AND(ISNUMBER($G475),$G475&gt;=MA_MED),AVERAGE(INDEX($C$75:$C475,402-MA_MED):$C475),"")</f>
        <v>7258.06</v>
      </c>
      <c r="K475" s="52" t="n">
        <f aca="false">IF(AND(ISNUMBER($G475),$G475&gt;=MA_LONG2),AVERAGE(INDEX($C$75:$C475,402-MA_LONG2):$C475),"")</f>
        <v>6689.405</v>
      </c>
      <c r="L475" s="53" t="n">
        <f aca="false">IF(AND(ISNUMBER($G475),$G475&gt;=21),STDEV(INDEX($H$415:$H475,62-20):$H475)*SQRT(245),"")</f>
        <v>0.209331234178159</v>
      </c>
      <c r="M475" s="52" t="n">
        <f aca="false">IF(AND(ISNUMBER($G475),$G475&gt;=60),MAX(INDEX($D$275:$D475,202-60):$D475),"")</f>
        <v>7893</v>
      </c>
      <c r="N475" s="52" t="n">
        <f aca="false">IF(AND(ISNUMBER($G475),$G475&gt;=60),MIN(INDEX($E$275:$E475,202-60):$E475),"")</f>
        <v>6332</v>
      </c>
      <c r="O475" s="53" t="n">
        <f aca="false">IF(OR(NOT(ISNUMBER($C475)),NOT(ISNUMBER($M475)),$M475=0),"",$C475/$M475-1)</f>
        <v>-0.100975547953883</v>
      </c>
    </row>
    <row r="476" customFormat="false" ht="15" hidden="false" customHeight="false" outlineLevel="0" collapsed="false">
      <c r="A476" s="47" t="n">
        <v>46229</v>
      </c>
      <c r="B476" s="48" t="s">
        <v>624</v>
      </c>
      <c r="C476" s="49" t="n">
        <v>7209</v>
      </c>
      <c r="D476" s="49" t="n">
        <v>7229</v>
      </c>
      <c r="E476" s="49" t="n">
        <v>7204</v>
      </c>
      <c r="F476" s="49" t="n">
        <v>0</v>
      </c>
      <c r="G476" s="50" t="n">
        <f aca="false">IF($A476="","",IF(ISNUMBER($G475),$G475+1,1))</f>
        <v>472</v>
      </c>
      <c r="H476" s="51" t="n">
        <f aca="false">IF(OR(NOT(ISNUMBER($G476)),$G476&lt;2,NOT(ISNUMBER($C475)),$C475=0),"",$C476/$C475-1)</f>
        <v>0.0159244644870349</v>
      </c>
      <c r="I476" s="52" t="n">
        <f aca="false">IF(AND(ISNUMBER($G476),$G476&gt;=MA_SHORT),AVERAGE(INDEX($C$76:$C476,402-MA_SHORT):$C476),"")</f>
        <v>7235.55</v>
      </c>
      <c r="J476" s="52" t="n">
        <f aca="false">IF(AND(ISNUMBER($G476),$G476&gt;=MA_MED),AVERAGE(INDEX($C$76:$C476,402-MA_MED):$C476),"")</f>
        <v>7269.18</v>
      </c>
      <c r="K476" s="52" t="n">
        <f aca="false">IF(AND(ISNUMBER($G476),$G476&gt;=MA_LONG2),AVERAGE(INDEX($C$76:$C476,402-MA_LONG2):$C476),"")</f>
        <v>6697.51</v>
      </c>
      <c r="L476" s="53" t="n">
        <f aca="false">IF(AND(ISNUMBER($G476),$G476&gt;=21),STDEV(INDEX($H$416:$H476,62-20):$H476)*SQRT(245),"")</f>
        <v>0.22080852057335</v>
      </c>
      <c r="M476" s="52" t="n">
        <f aca="false">IF(AND(ISNUMBER($G476),$G476&gt;=60),MAX(INDEX($D$276:$D476,202-60):$D476),"")</f>
        <v>7893</v>
      </c>
      <c r="N476" s="52" t="n">
        <f aca="false">IF(AND(ISNUMBER($G476),$G476&gt;=60),MIN(INDEX($E$276:$E476,202-60):$E476),"")</f>
        <v>6332</v>
      </c>
      <c r="O476" s="53" t="n">
        <f aca="false">IF(OR(NOT(ISNUMBER($C476)),NOT(ISNUMBER($M476)),$M476=0),"",$C476/$M476-1)</f>
        <v>-0.0866590649942988</v>
      </c>
    </row>
    <row r="477" customFormat="false" ht="15" hidden="false" customHeight="false" outlineLevel="0" collapsed="false">
      <c r="A477" s="47" t="n">
        <v>46230</v>
      </c>
      <c r="B477" s="48" t="s">
        <v>625</v>
      </c>
      <c r="C477" s="49" t="n">
        <v>7285</v>
      </c>
      <c r="D477" s="49" t="n">
        <v>7292</v>
      </c>
      <c r="E477" s="49" t="n">
        <v>7264</v>
      </c>
      <c r="F477" s="49" t="n">
        <v>0</v>
      </c>
      <c r="G477" s="50" t="n">
        <f aca="false">IF($A477="","",IF(ISNUMBER($G476),$G476+1,1))</f>
        <v>473</v>
      </c>
      <c r="H477" s="51" t="n">
        <f aca="false">IF(OR(NOT(ISNUMBER($G477)),$G477&lt;2,NOT(ISNUMBER($C476)),$C476=0),"",$C477/$C476-1)</f>
        <v>0.010542377583576</v>
      </c>
      <c r="I477" s="52" t="n">
        <f aca="false">IF(AND(ISNUMBER($G477),$G477&gt;=MA_SHORT),AVERAGE(INDEX($C$77:$C477,402-MA_SHORT):$C477),"")</f>
        <v>7222.75</v>
      </c>
      <c r="J477" s="52" t="n">
        <f aca="false">IF(AND(ISNUMBER($G477),$G477&gt;=MA_MED),AVERAGE(INDEX($C$77:$C477,402-MA_MED):$C477),"")</f>
        <v>7280.98</v>
      </c>
      <c r="K477" s="52" t="n">
        <f aca="false">IF(AND(ISNUMBER($G477),$G477&gt;=MA_LONG2),AVERAGE(INDEX($C$77:$C477,402-MA_LONG2):$C477),"")</f>
        <v>6705.73</v>
      </c>
      <c r="L477" s="53" t="n">
        <f aca="false">IF(AND(ISNUMBER($G477),$G477&gt;=21),STDEV(INDEX($H$417:$H477,62-20):$H477)*SQRT(245),"")</f>
        <v>0.215136400106132</v>
      </c>
      <c r="M477" s="52" t="n">
        <f aca="false">IF(AND(ISNUMBER($G477),$G477&gt;=60),MAX(INDEX($D$277:$D477,202-60):$D477),"")</f>
        <v>7893</v>
      </c>
      <c r="N477" s="52" t="n">
        <f aca="false">IF(AND(ISNUMBER($G477),$G477&gt;=60),MIN(INDEX($E$277:$E477,202-60):$E477),"")</f>
        <v>6332</v>
      </c>
      <c r="O477" s="53" t="n">
        <f aca="false">IF(OR(NOT(ISNUMBER($C477)),NOT(ISNUMBER($M477)),$M477=0),"",$C477/$M477-1)</f>
        <v>-0.0770302799949322</v>
      </c>
    </row>
    <row r="478" customFormat="false" ht="15" hidden="false" customHeight="false" outlineLevel="0" collapsed="false">
      <c r="A478" s="47" t="n">
        <v>46231</v>
      </c>
      <c r="B478" s="48" t="s">
        <v>626</v>
      </c>
      <c r="C478" s="49" t="n">
        <v>7195</v>
      </c>
      <c r="D478" s="49" t="n">
        <v>7220</v>
      </c>
      <c r="E478" s="49" t="n">
        <v>7148</v>
      </c>
      <c r="F478" s="49" t="n">
        <v>0</v>
      </c>
      <c r="G478" s="50" t="n">
        <f aca="false">IF($A478="","",IF(ISNUMBER($G477),$G477+1,1))</f>
        <v>474</v>
      </c>
      <c r="H478" s="51" t="n">
        <f aca="false">IF(OR(NOT(ISNUMBER($G478)),$G478&lt;2,NOT(ISNUMBER($C477)),$C477=0),"",$C478/$C477-1)</f>
        <v>-0.0123541523678792</v>
      </c>
      <c r="I478" s="52" t="n">
        <f aca="false">IF(AND(ISNUMBER($G478),$G478&gt;=MA_SHORT),AVERAGE(INDEX($C$78:$C478,402-MA_SHORT):$C478),"")</f>
        <v>7210.25</v>
      </c>
      <c r="J478" s="52" t="n">
        <f aca="false">IF(AND(ISNUMBER($G478),$G478&gt;=MA_MED),AVERAGE(INDEX($C$78:$C478,402-MA_MED):$C478),"")</f>
        <v>7288.64</v>
      </c>
      <c r="K478" s="52" t="n">
        <f aca="false">IF(AND(ISNUMBER($G478),$G478&gt;=MA_LONG2),AVERAGE(INDEX($C$78:$C478,402-MA_LONG2):$C478),"")</f>
        <v>6713.125</v>
      </c>
      <c r="L478" s="53" t="n">
        <f aca="false">IF(AND(ISNUMBER($G478),$G478&gt;=21),STDEV(INDEX($H$418:$H478,62-20):$H478)*SQRT(245),"")</f>
        <v>0.214890075618922</v>
      </c>
      <c r="M478" s="52" t="n">
        <f aca="false">IF(AND(ISNUMBER($G478),$G478&gt;=60),MAX(INDEX($D$278:$D478,202-60):$D478),"")</f>
        <v>7893</v>
      </c>
      <c r="N478" s="52" t="n">
        <f aca="false">IF(AND(ISNUMBER($G478),$G478&gt;=60),MIN(INDEX($E$278:$E478,202-60):$E478),"")</f>
        <v>6332</v>
      </c>
      <c r="O478" s="53" t="n">
        <f aca="false">IF(OR(NOT(ISNUMBER($C478)),NOT(ISNUMBER($M478)),$M478=0),"",$C478/$M478-1)</f>
        <v>-0.0884327885468136</v>
      </c>
    </row>
    <row r="479" customFormat="false" ht="15" hidden="false" customHeight="false" outlineLevel="0" collapsed="false">
      <c r="A479" s="47" t="n">
        <v>46232</v>
      </c>
      <c r="B479" s="48" t="s">
        <v>627</v>
      </c>
      <c r="C479" s="49" t="n">
        <v>7030</v>
      </c>
      <c r="D479" s="49" t="n">
        <v>7042</v>
      </c>
      <c r="E479" s="49" t="n">
        <v>7024</v>
      </c>
      <c r="F479" s="49" t="n">
        <v>0</v>
      </c>
      <c r="G479" s="50" t="n">
        <f aca="false">IF($A479="","",IF(ISNUMBER($G478),$G478+1,1))</f>
        <v>475</v>
      </c>
      <c r="H479" s="51" t="n">
        <f aca="false">IF(OR(NOT(ISNUMBER($G479)),$G479&lt;2,NOT(ISNUMBER($C478)),$C478=0),"",$C479/$C478-1)</f>
        <v>-0.0229325920778318</v>
      </c>
      <c r="I479" s="52" t="n">
        <f aca="false">IF(AND(ISNUMBER($G479),$G479&gt;=MA_SHORT),AVERAGE(INDEX($C$79:$C479,402-MA_SHORT):$C479),"")</f>
        <v>7197.85</v>
      </c>
      <c r="J479" s="52" t="n">
        <f aca="false">IF(AND(ISNUMBER($G479),$G479&gt;=MA_MED),AVERAGE(INDEX($C$79:$C479,402-MA_MED):$C479),"")</f>
        <v>7294.88</v>
      </c>
      <c r="K479" s="52" t="n">
        <f aca="false">IF(AND(ISNUMBER($G479),$G479&gt;=MA_LONG2),AVERAGE(INDEX($C$79:$C479,402-MA_LONG2):$C479),"")</f>
        <v>6719.645</v>
      </c>
      <c r="L479" s="53" t="n">
        <f aca="false">IF(AND(ISNUMBER($G479),$G479&gt;=21),STDEV(INDEX($H$419:$H479,62-20):$H479)*SQRT(245),"")</f>
        <v>0.215522601961512</v>
      </c>
      <c r="M479" s="52" t="n">
        <f aca="false">IF(AND(ISNUMBER($G479),$G479&gt;=60),MAX(INDEX($D$279:$D479,202-60):$D479),"")</f>
        <v>7893</v>
      </c>
      <c r="N479" s="52" t="n">
        <f aca="false">IF(AND(ISNUMBER($G479),$G479&gt;=60),MIN(INDEX($E$279:$E479,202-60):$E479),"")</f>
        <v>6332</v>
      </c>
      <c r="O479" s="53" t="n">
        <f aca="false">IF(OR(NOT(ISNUMBER($C479)),NOT(ISNUMBER($M479)),$M479=0),"",$C479/$M479-1)</f>
        <v>-0.109337387558596</v>
      </c>
    </row>
    <row r="480" customFormat="false" ht="15" hidden="false" customHeight="false" outlineLevel="0" collapsed="false">
      <c r="A480" s="47" t="n">
        <v>46235</v>
      </c>
      <c r="B480" s="48" t="s">
        <v>628</v>
      </c>
      <c r="C480" s="49" t="n">
        <v>7127</v>
      </c>
      <c r="D480" s="49" t="n">
        <v>7148</v>
      </c>
      <c r="E480" s="49" t="n">
        <v>7106</v>
      </c>
      <c r="F480" s="49" t="n">
        <v>0</v>
      </c>
      <c r="G480" s="50" t="n">
        <f aca="false">IF($A480="","",IF(ISNUMBER($G479),$G479+1,1))</f>
        <v>476</v>
      </c>
      <c r="H480" s="51" t="n">
        <f aca="false">IF(OR(NOT(ISNUMBER($G480)),$G480&lt;2,NOT(ISNUMBER($C479)),$C479=0),"",$C480/$C479-1)</f>
        <v>0.0137980085348506</v>
      </c>
      <c r="I480" s="52" t="n">
        <f aca="false">IF(AND(ISNUMBER($G480),$G480&gt;=MA_SHORT),AVERAGE(INDEX($C$80:$C480,402-MA_SHORT):$C480),"")</f>
        <v>7190.65</v>
      </c>
      <c r="J480" s="52" t="n">
        <f aca="false">IF(AND(ISNUMBER($G480),$G480&gt;=MA_MED),AVERAGE(INDEX($C$80:$C480,402-MA_MED):$C480),"")</f>
        <v>7301.24</v>
      </c>
      <c r="K480" s="52" t="n">
        <f aca="false">IF(AND(ISNUMBER($G480),$G480&gt;=MA_LONG2),AVERAGE(INDEX($C$80:$C480,402-MA_LONG2):$C480),"")</f>
        <v>6726.485</v>
      </c>
      <c r="L480" s="53" t="n">
        <f aca="false">IF(AND(ISNUMBER($G480),$G480&gt;=21),STDEV(INDEX($H$420:$H480,62-20):$H480)*SQRT(245),"")</f>
        <v>0.222210333527659</v>
      </c>
      <c r="M480" s="52" t="n">
        <f aca="false">IF(AND(ISNUMBER($G480),$G480&gt;=60),MAX(INDEX($D$280:$D480,202-60):$D480),"")</f>
        <v>7893</v>
      </c>
      <c r="N480" s="52" t="n">
        <f aca="false">IF(AND(ISNUMBER($G480),$G480&gt;=60),MIN(INDEX($E$280:$E480,202-60):$E480),"")</f>
        <v>6332</v>
      </c>
      <c r="O480" s="53" t="n">
        <f aca="false">IF(OR(NOT(ISNUMBER($C480)),NOT(ISNUMBER($M480)),$M480=0),"",$C480/$M480-1)</f>
        <v>-0.0970480172304574</v>
      </c>
    </row>
    <row r="481" customFormat="false" ht="15" hidden="false" customHeight="false" outlineLevel="0" collapsed="false">
      <c r="A481" s="47" t="n">
        <v>46236</v>
      </c>
      <c r="B481" s="48" t="s">
        <v>629</v>
      </c>
      <c r="C481" s="49" t="n">
        <v>7084</v>
      </c>
      <c r="D481" s="49" t="n">
        <v>7126</v>
      </c>
      <c r="E481" s="49" t="n">
        <v>7047</v>
      </c>
      <c r="F481" s="49" t="n">
        <v>0</v>
      </c>
      <c r="G481" s="50" t="n">
        <f aca="false">IF($A481="","",IF(ISNUMBER($G480),$G480+1,1))</f>
        <v>477</v>
      </c>
      <c r="H481" s="51" t="n">
        <f aca="false">IF(OR(NOT(ISNUMBER($G481)),$G481&lt;2,NOT(ISNUMBER($C480)),$C480=0),"",$C481/$C480-1)</f>
        <v>-0.00603339413497961</v>
      </c>
      <c r="I481" s="52" t="n">
        <f aca="false">IF(AND(ISNUMBER($G481),$G481&gt;=MA_SHORT),AVERAGE(INDEX($C$81:$C481,402-MA_SHORT):$C481),"")</f>
        <v>7189.9</v>
      </c>
      <c r="J481" s="52" t="n">
        <f aca="false">IF(AND(ISNUMBER($G481),$G481&gt;=MA_MED),AVERAGE(INDEX($C$81:$C481,402-MA_MED):$C481),"")</f>
        <v>7309.62</v>
      </c>
      <c r="K481" s="52" t="n">
        <f aca="false">IF(AND(ISNUMBER($G481),$G481&gt;=MA_LONG2),AVERAGE(INDEX($C$81:$C481,402-MA_LONG2):$C481),"")</f>
        <v>6732.545</v>
      </c>
      <c r="L481" s="53" t="n">
        <f aca="false">IF(AND(ISNUMBER($G481),$G481&gt;=21),STDEV(INDEX($H$421:$H481,62-20):$H481)*SQRT(245),"")</f>
        <v>0.206981911837475</v>
      </c>
      <c r="M481" s="52" t="n">
        <f aca="false">IF(AND(ISNUMBER($G481),$G481&gt;=60),MAX(INDEX($D$281:$D481,202-60):$D481),"")</f>
        <v>7893</v>
      </c>
      <c r="N481" s="52" t="n">
        <f aca="false">IF(AND(ISNUMBER($G481),$G481&gt;=60),MIN(INDEX($E$281:$E481,202-60):$E481),"")</f>
        <v>6332</v>
      </c>
      <c r="O481" s="53" t="n">
        <f aca="false">IF(OR(NOT(ISNUMBER($C481)),NOT(ISNUMBER($M481)),$M481=0),"",$C481/$M481-1)</f>
        <v>-0.102495882427467</v>
      </c>
    </row>
    <row r="482" customFormat="false" ht="15" hidden="false" customHeight="false" outlineLevel="0" collapsed="false">
      <c r="A482" s="47" t="n">
        <v>46237</v>
      </c>
      <c r="B482" s="48" t="s">
        <v>630</v>
      </c>
      <c r="C482" s="49" t="n">
        <v>7040</v>
      </c>
      <c r="D482" s="49" t="n">
        <v>7052</v>
      </c>
      <c r="E482" s="49" t="n">
        <v>7015</v>
      </c>
      <c r="F482" s="49" t="n">
        <v>0</v>
      </c>
      <c r="G482" s="50" t="n">
        <f aca="false">IF($A482="","",IF(ISNUMBER($G481),$G481+1,1))</f>
        <v>478</v>
      </c>
      <c r="H482" s="51" t="n">
        <f aca="false">IF(OR(NOT(ISNUMBER($G482)),$G482&lt;2,NOT(ISNUMBER($C481)),$C481=0),"",$C482/$C481-1)</f>
        <v>-0.00621118012422361</v>
      </c>
      <c r="I482" s="52" t="n">
        <f aca="false">IF(AND(ISNUMBER($G482),$G482&gt;=MA_SHORT),AVERAGE(INDEX($C$82:$C482,402-MA_SHORT):$C482),"")</f>
        <v>7185.65</v>
      </c>
      <c r="J482" s="52" t="n">
        <f aca="false">IF(AND(ISNUMBER($G482),$G482&gt;=MA_MED),AVERAGE(INDEX($C$82:$C482,402-MA_MED):$C482),"")</f>
        <v>7315.64</v>
      </c>
      <c r="K482" s="52" t="n">
        <f aca="false">IF(AND(ISNUMBER($G482),$G482&gt;=MA_LONG2),AVERAGE(INDEX($C$82:$C482,402-MA_LONG2):$C482),"")</f>
        <v>6738.65</v>
      </c>
      <c r="L482" s="53" t="n">
        <f aca="false">IF(AND(ISNUMBER($G482),$G482&gt;=21),STDEV(INDEX($H$422:$H482,62-20):$H482)*SQRT(245),"")</f>
        <v>0.207599205668751</v>
      </c>
      <c r="M482" s="52" t="n">
        <f aca="false">IF(AND(ISNUMBER($G482),$G482&gt;=60),MAX(INDEX($D$282:$D482,202-60):$D482),"")</f>
        <v>7893</v>
      </c>
      <c r="N482" s="52" t="n">
        <f aca="false">IF(AND(ISNUMBER($G482),$G482&gt;=60),MIN(INDEX($E$282:$E482,202-60):$E482),"")</f>
        <v>6332</v>
      </c>
      <c r="O482" s="53" t="n">
        <f aca="false">IF(OR(NOT(ISNUMBER($C482)),NOT(ISNUMBER($M482)),$M482=0),"",$C482/$M482-1)</f>
        <v>-0.108070442163943</v>
      </c>
    </row>
    <row r="483" customFormat="false" ht="15" hidden="false" customHeight="false" outlineLevel="0" collapsed="false">
      <c r="A483" s="47" t="n">
        <v>46238</v>
      </c>
      <c r="B483" s="48" t="s">
        <v>631</v>
      </c>
      <c r="C483" s="49" t="n">
        <v>7037</v>
      </c>
      <c r="D483" s="49" t="n">
        <v>7057</v>
      </c>
      <c r="E483" s="49" t="n">
        <v>6998</v>
      </c>
      <c r="F483" s="49" t="n">
        <v>0</v>
      </c>
      <c r="G483" s="50" t="n">
        <f aca="false">IF($A483="","",IF(ISNUMBER($G482),$G482+1,1))</f>
        <v>479</v>
      </c>
      <c r="H483" s="51" t="n">
        <f aca="false">IF(OR(NOT(ISNUMBER($G483)),$G483&lt;2,NOT(ISNUMBER($C482)),$C482=0),"",$C483/$C482-1)</f>
        <v>-0.000426136363636309</v>
      </c>
      <c r="I483" s="52" t="n">
        <f aca="false">IF(AND(ISNUMBER($G483),$G483&gt;=MA_SHORT),AVERAGE(INDEX($C$83:$C483,402-MA_SHORT):$C483),"")</f>
        <v>7178.35</v>
      </c>
      <c r="J483" s="52" t="n">
        <f aca="false">IF(AND(ISNUMBER($G483),$G483&gt;=MA_MED),AVERAGE(INDEX($C$83:$C483,402-MA_MED):$C483),"")</f>
        <v>7321.68</v>
      </c>
      <c r="K483" s="52" t="n">
        <f aca="false">IF(AND(ISNUMBER($G483),$G483&gt;=MA_LONG2),AVERAGE(INDEX($C$83:$C483,402-MA_LONG2):$C483),"")</f>
        <v>6744.605</v>
      </c>
      <c r="L483" s="53" t="n">
        <f aca="false">IF(AND(ISNUMBER($G483),$G483&gt;=21),STDEV(INDEX($H$423:$H483,62-20):$H483)*SQRT(245),"")</f>
        <v>0.205143736526519</v>
      </c>
      <c r="M483" s="52" t="n">
        <f aca="false">IF(AND(ISNUMBER($G483),$G483&gt;=60),MAX(INDEX($D$283:$D483,202-60):$D483),"")</f>
        <v>7893</v>
      </c>
      <c r="N483" s="52" t="n">
        <f aca="false">IF(AND(ISNUMBER($G483),$G483&gt;=60),MIN(INDEX($E$283:$E483,202-60):$E483),"")</f>
        <v>6394</v>
      </c>
      <c r="O483" s="53" t="n">
        <f aca="false">IF(OR(NOT(ISNUMBER($C483)),NOT(ISNUMBER($M483)),$M483=0),"",$C483/$M483-1)</f>
        <v>-0.108450525782339</v>
      </c>
    </row>
    <row r="484" customFormat="false" ht="15" hidden="false" customHeight="false" outlineLevel="0" collapsed="false">
      <c r="A484" s="47" t="n">
        <v>46239</v>
      </c>
      <c r="B484" s="48" t="s">
        <v>632</v>
      </c>
      <c r="C484" s="49" t="n">
        <v>7193</v>
      </c>
      <c r="D484" s="49" t="n">
        <v>7193</v>
      </c>
      <c r="E484" s="49" t="n">
        <v>7175</v>
      </c>
      <c r="F484" s="49" t="n">
        <v>0</v>
      </c>
      <c r="G484" s="50" t="n">
        <f aca="false">IF($A484="","",IF(ISNUMBER($G483),$G483+1,1))</f>
        <v>480</v>
      </c>
      <c r="H484" s="51" t="n">
        <f aca="false">IF(OR(NOT(ISNUMBER($G484)),$G484&lt;2,NOT(ISNUMBER($C483)),$C483=0),"",$C484/$C483-1)</f>
        <v>0.0221685377291458</v>
      </c>
      <c r="I484" s="52" t="n">
        <f aca="false">IF(AND(ISNUMBER($G484),$G484&gt;=MA_SHORT),AVERAGE(INDEX($C$84:$C484,402-MA_SHORT):$C484),"")</f>
        <v>7180.9</v>
      </c>
      <c r="J484" s="52" t="n">
        <f aca="false">IF(AND(ISNUMBER($G484),$G484&gt;=MA_MED),AVERAGE(INDEX($C$84:$C484,402-MA_MED):$C484),"")</f>
        <v>7331.12</v>
      </c>
      <c r="K484" s="52" t="n">
        <f aca="false">IF(AND(ISNUMBER($G484),$G484&gt;=MA_LONG2),AVERAGE(INDEX($C$84:$C484,402-MA_LONG2):$C484),"")</f>
        <v>6751.565</v>
      </c>
      <c r="L484" s="53" t="n">
        <f aca="false">IF(AND(ISNUMBER($G484),$G484&gt;=21),STDEV(INDEX($H$424:$H484,62-20):$H484)*SQRT(245),"")</f>
        <v>0.219496834309741</v>
      </c>
      <c r="M484" s="52" t="n">
        <f aca="false">IF(AND(ISNUMBER($G484),$G484&gt;=60),MAX(INDEX($D$284:$D484,202-60):$D484),"")</f>
        <v>7893</v>
      </c>
      <c r="N484" s="52" t="n">
        <f aca="false">IF(AND(ISNUMBER($G484),$G484&gt;=60),MIN(INDEX($E$284:$E484,202-60):$E484),"")</f>
        <v>6454</v>
      </c>
      <c r="O484" s="53" t="n">
        <f aca="false">IF(OR(NOT(ISNUMBER($C484)),NOT(ISNUMBER($M484)),$M484=0),"",$C484/$M484-1)</f>
        <v>-0.0886861776257444</v>
      </c>
    </row>
    <row r="485" customFormat="false" ht="15" hidden="false" customHeight="false" outlineLevel="0" collapsed="false">
      <c r="A485" s="47" t="n">
        <v>46242</v>
      </c>
      <c r="B485" s="48" t="s">
        <v>633</v>
      </c>
      <c r="C485" s="49" t="n">
        <v>7146</v>
      </c>
      <c r="D485" s="49" t="n">
        <v>7153</v>
      </c>
      <c r="E485" s="49" t="n">
        <v>7145</v>
      </c>
      <c r="F485" s="49" t="n">
        <v>0</v>
      </c>
      <c r="G485" s="50" t="n">
        <f aca="false">IF($A485="","",IF(ISNUMBER($G484),$G484+1,1))</f>
        <v>481</v>
      </c>
      <c r="H485" s="51" t="n">
        <f aca="false">IF(OR(NOT(ISNUMBER($G485)),$G485&lt;2,NOT(ISNUMBER($C484)),$C484=0),"",$C485/$C484-1)</f>
        <v>-0.00653413040455997</v>
      </c>
      <c r="I485" s="52" t="n">
        <f aca="false">IF(AND(ISNUMBER($G485),$G485&gt;=MA_SHORT),AVERAGE(INDEX($C$85:$C485,402-MA_SHORT):$C485),"")</f>
        <v>7185.85</v>
      </c>
      <c r="J485" s="52" t="n">
        <f aca="false">IF(AND(ISNUMBER($G485),$G485&gt;=MA_MED),AVERAGE(INDEX($C$85:$C485,402-MA_MED):$C485),"")</f>
        <v>7336.16</v>
      </c>
      <c r="K485" s="52" t="n">
        <f aca="false">IF(AND(ISNUMBER($G485),$G485&gt;=MA_LONG2),AVERAGE(INDEX($C$85:$C485,402-MA_LONG2):$C485),"")</f>
        <v>6758.15</v>
      </c>
      <c r="L485" s="53" t="n">
        <f aca="false">IF(AND(ISNUMBER($G485),$G485&gt;=21),STDEV(INDEX($H$425:$H485,62-20):$H485)*SQRT(245),"")</f>
        <v>0.215267159500852</v>
      </c>
      <c r="M485" s="52" t="n">
        <f aca="false">IF(AND(ISNUMBER($G485),$G485&gt;=60),MAX(INDEX($D$285:$D485,202-60):$D485),"")</f>
        <v>7893</v>
      </c>
      <c r="N485" s="52" t="n">
        <f aca="false">IF(AND(ISNUMBER($G485),$G485&gt;=60),MIN(INDEX($E$285:$E485,202-60):$E485),"")</f>
        <v>6631</v>
      </c>
      <c r="O485" s="53" t="n">
        <f aca="false">IF(OR(NOT(ISNUMBER($C485)),NOT(ISNUMBER($M485)),$M485=0),"",$C485/$M485-1)</f>
        <v>-0.0946408209806158</v>
      </c>
    </row>
    <row r="486" customFormat="false" ht="15" hidden="false" customHeight="false" outlineLevel="0" collapsed="false">
      <c r="A486" s="47" t="n">
        <v>46243</v>
      </c>
      <c r="B486" s="48" t="s">
        <v>634</v>
      </c>
      <c r="C486" s="49" t="n">
        <v>7220</v>
      </c>
      <c r="D486" s="49" t="n">
        <v>7273</v>
      </c>
      <c r="E486" s="49" t="n">
        <v>7214</v>
      </c>
      <c r="F486" s="49" t="n">
        <v>0</v>
      </c>
      <c r="G486" s="50" t="n">
        <f aca="false">IF($A486="","",IF(ISNUMBER($G485),$G485+1,1))</f>
        <v>482</v>
      </c>
      <c r="H486" s="51" t="n">
        <f aca="false">IF(OR(NOT(ISNUMBER($G486)),$G486&lt;2,NOT(ISNUMBER($C485)),$C485=0),"",$C486/$C485-1)</f>
        <v>0.0103554436048139</v>
      </c>
      <c r="I486" s="52" t="n">
        <f aca="false">IF(AND(ISNUMBER($G486),$G486&gt;=MA_SHORT),AVERAGE(INDEX($C$86:$C486,402-MA_SHORT):$C486),"")</f>
        <v>7186.25</v>
      </c>
      <c r="J486" s="52" t="n">
        <f aca="false">IF(AND(ISNUMBER($G486),$G486&gt;=MA_MED),AVERAGE(INDEX($C$86:$C486,402-MA_MED):$C486),"")</f>
        <v>7338.48</v>
      </c>
      <c r="K486" s="52" t="n">
        <f aca="false">IF(AND(ISNUMBER($G486),$G486&gt;=MA_LONG2),AVERAGE(INDEX($C$86:$C486,402-MA_LONG2):$C486),"")</f>
        <v>6765.115</v>
      </c>
      <c r="L486" s="53" t="n">
        <f aca="false">IF(AND(ISNUMBER($G486),$G486&gt;=21),STDEV(INDEX($H$426:$H486,62-20):$H486)*SQRT(245),"")</f>
        <v>0.202011962498703</v>
      </c>
      <c r="M486" s="52" t="n">
        <f aca="false">IF(AND(ISNUMBER($G486),$G486&gt;=60),MAX(INDEX($D$286:$D486,202-60):$D486),"")</f>
        <v>7893</v>
      </c>
      <c r="N486" s="52" t="n">
        <f aca="false">IF(AND(ISNUMBER($G486),$G486&gt;=60),MIN(INDEX($E$286:$E486,202-60):$E486),"")</f>
        <v>6631</v>
      </c>
      <c r="O486" s="53" t="n">
        <f aca="false">IF(OR(NOT(ISNUMBER($C486)),NOT(ISNUMBER($M486)),$M486=0),"",$C486/$M486-1)</f>
        <v>-0.0852654250601799</v>
      </c>
    </row>
    <row r="487" customFormat="false" ht="15" hidden="false" customHeight="false" outlineLevel="0" collapsed="false">
      <c r="A487" s="47" t="n">
        <v>46244</v>
      </c>
      <c r="B487" s="48" t="s">
        <v>635</v>
      </c>
      <c r="C487" s="49" t="n">
        <v>7208</v>
      </c>
      <c r="D487" s="49" t="n">
        <v>7226</v>
      </c>
      <c r="E487" s="49" t="n">
        <v>7194</v>
      </c>
      <c r="F487" s="49" t="n">
        <v>0</v>
      </c>
      <c r="G487" s="50" t="n">
        <f aca="false">IF($A487="","",IF(ISNUMBER($G486),$G486+1,1))</f>
        <v>483</v>
      </c>
      <c r="H487" s="51" t="n">
        <f aca="false">IF(OR(NOT(ISNUMBER($G487)),$G487&lt;2,NOT(ISNUMBER($C486)),$C486=0),"",$C487/$C486-1)</f>
        <v>-0.00166204986149587</v>
      </c>
      <c r="I487" s="52" t="n">
        <f aca="false">IF(AND(ISNUMBER($G487),$G487&gt;=MA_SHORT),AVERAGE(INDEX($C$87:$C487,402-MA_SHORT):$C487),"")</f>
        <v>7184.3</v>
      </c>
      <c r="J487" s="52" t="n">
        <f aca="false">IF(AND(ISNUMBER($G487),$G487&gt;=MA_MED),AVERAGE(INDEX($C$87:$C487,402-MA_MED):$C487),"")</f>
        <v>7338.56</v>
      </c>
      <c r="K487" s="52" t="n">
        <f aca="false">IF(AND(ISNUMBER($G487),$G487&gt;=MA_LONG2),AVERAGE(INDEX($C$87:$C487,402-MA_LONG2):$C487),"")</f>
        <v>6771.825</v>
      </c>
      <c r="L487" s="53" t="n">
        <f aca="false">IF(AND(ISNUMBER($G487),$G487&gt;=21),STDEV(INDEX($H$427:$H487,62-20):$H487)*SQRT(245),"")</f>
        <v>0.201335634729903</v>
      </c>
      <c r="M487" s="52" t="n">
        <f aca="false">IF(AND(ISNUMBER($G487),$G487&gt;=60),MAX(INDEX($D$287:$D487,202-60):$D487),"")</f>
        <v>7893</v>
      </c>
      <c r="N487" s="52" t="n">
        <f aca="false">IF(AND(ISNUMBER($G487),$G487&gt;=60),MIN(INDEX($E$287:$E487,202-60):$E487),"")</f>
        <v>6631</v>
      </c>
      <c r="O487" s="53" t="n">
        <f aca="false">IF(OR(NOT(ISNUMBER($C487)),NOT(ISNUMBER($M487)),$M487=0),"",$C487/$M487-1)</f>
        <v>-0.0867857595337641</v>
      </c>
    </row>
    <row r="488" customFormat="false" ht="15" hidden="false" customHeight="false" outlineLevel="0" collapsed="false">
      <c r="A488" s="47" t="n">
        <v>46245</v>
      </c>
      <c r="B488" s="48" t="s">
        <v>636</v>
      </c>
      <c r="C488" s="49" t="n">
        <v>7226</v>
      </c>
      <c r="D488" s="49" t="n">
        <v>7249</v>
      </c>
      <c r="E488" s="49" t="n">
        <v>7185</v>
      </c>
      <c r="F488" s="49" t="n">
        <v>0</v>
      </c>
      <c r="G488" s="50" t="n">
        <f aca="false">IF($A488="","",IF(ISNUMBER($G487),$G487+1,1))</f>
        <v>484</v>
      </c>
      <c r="H488" s="51" t="n">
        <f aca="false">IF(OR(NOT(ISNUMBER($G488)),$G488&lt;2,NOT(ISNUMBER($C487)),$C487=0),"",$C488/$C487-1)</f>
        <v>0.00249722530521646</v>
      </c>
      <c r="I488" s="52" t="n">
        <f aca="false">IF(AND(ISNUMBER($G488),$G488&gt;=MA_SHORT),AVERAGE(INDEX($C$88:$C488,402-MA_SHORT):$C488),"")</f>
        <v>7182.9</v>
      </c>
      <c r="J488" s="52" t="n">
        <f aca="false">IF(AND(ISNUMBER($G488),$G488&gt;=MA_MED),AVERAGE(INDEX($C$88:$C488,402-MA_MED):$C488),"")</f>
        <v>7339.58</v>
      </c>
      <c r="K488" s="52" t="n">
        <f aca="false">IF(AND(ISNUMBER($G488),$G488&gt;=MA_LONG2),AVERAGE(INDEX($C$88:$C488,402-MA_LONG2):$C488),"")</f>
        <v>6778.065</v>
      </c>
      <c r="L488" s="53" t="n">
        <f aca="false">IF(AND(ISNUMBER($G488),$G488&gt;=21),STDEV(INDEX($H$428:$H488,62-20):$H488)*SQRT(245),"")</f>
        <v>0.201520347514426</v>
      </c>
      <c r="M488" s="52" t="n">
        <f aca="false">IF(AND(ISNUMBER($G488),$G488&gt;=60),MAX(INDEX($D$288:$D488,202-60):$D488),"")</f>
        <v>7893</v>
      </c>
      <c r="N488" s="52" t="n">
        <f aca="false">IF(AND(ISNUMBER($G488),$G488&gt;=60),MIN(INDEX($E$288:$E488,202-60):$E488),"")</f>
        <v>6631</v>
      </c>
      <c r="O488" s="53" t="n">
        <f aca="false">IF(OR(NOT(ISNUMBER($C488)),NOT(ISNUMBER($M488)),$M488=0),"",$C488/$M488-1)</f>
        <v>-0.0845052578233878</v>
      </c>
    </row>
    <row r="489" customFormat="false" ht="15" hidden="false" customHeight="false" outlineLevel="0" collapsed="false">
      <c r="A489" s="47" t="n">
        <v>46246</v>
      </c>
      <c r="B489" s="48" t="s">
        <v>637</v>
      </c>
      <c r="C489" s="49" t="n">
        <v>7275</v>
      </c>
      <c r="D489" s="49" t="n">
        <v>7305</v>
      </c>
      <c r="E489" s="49" t="n">
        <v>7243</v>
      </c>
      <c r="F489" s="49" t="n">
        <v>0</v>
      </c>
      <c r="G489" s="50" t="n">
        <f aca="false">IF($A489="","",IF(ISNUMBER($G488),$G488+1,1))</f>
        <v>485</v>
      </c>
      <c r="H489" s="51" t="n">
        <f aca="false">IF(OR(NOT(ISNUMBER($G489)),$G489&lt;2,NOT(ISNUMBER($C488)),$C488=0),"",$C489/$C488-1)</f>
        <v>0.0067810683642402</v>
      </c>
      <c r="I489" s="52" t="n">
        <f aca="false">IF(AND(ISNUMBER($G489),$G489&gt;=MA_SHORT),AVERAGE(INDEX($C$89:$C489,402-MA_SHORT):$C489),"")</f>
        <v>7184.25</v>
      </c>
      <c r="J489" s="52" t="n">
        <f aca="false">IF(AND(ISNUMBER($G489),$G489&gt;=MA_MED),AVERAGE(INDEX($C$89:$C489,402-MA_MED):$C489),"")</f>
        <v>7336.46</v>
      </c>
      <c r="K489" s="52" t="n">
        <f aca="false">IF(AND(ISNUMBER($G489),$G489&gt;=MA_LONG2),AVERAGE(INDEX($C$89:$C489,402-MA_LONG2):$C489),"")</f>
        <v>6784.52</v>
      </c>
      <c r="L489" s="53" t="n">
        <f aca="false">IF(AND(ISNUMBER($G489),$G489&gt;=21),STDEV(INDEX($H$429:$H489,62-20):$H489)*SQRT(245),"")</f>
        <v>0.202927804772163</v>
      </c>
      <c r="M489" s="52" t="n">
        <f aca="false">IF(AND(ISNUMBER($G489),$G489&gt;=60),MAX(INDEX($D$289:$D489,202-60):$D489),"")</f>
        <v>7893</v>
      </c>
      <c r="N489" s="52" t="n">
        <f aca="false">IF(AND(ISNUMBER($G489),$G489&gt;=60),MIN(INDEX($E$289:$E489,202-60):$E489),"")</f>
        <v>6631</v>
      </c>
      <c r="O489" s="53" t="n">
        <f aca="false">IF(OR(NOT(ISNUMBER($C489)),NOT(ISNUMBER($M489)),$M489=0),"",$C489/$M489-1)</f>
        <v>-0.0782972253895857</v>
      </c>
    </row>
    <row r="490" customFormat="false" ht="15" hidden="false" customHeight="false" outlineLevel="0" collapsed="false">
      <c r="A490" s="47" t="n">
        <v>46249</v>
      </c>
      <c r="B490" s="48" t="s">
        <v>638</v>
      </c>
      <c r="C490" s="49" t="n">
        <v>7226</v>
      </c>
      <c r="D490" s="49" t="n">
        <v>7261</v>
      </c>
      <c r="E490" s="49" t="n">
        <v>7169</v>
      </c>
      <c r="F490" s="49" t="n">
        <v>0</v>
      </c>
      <c r="G490" s="50" t="n">
        <f aca="false">IF($A490="","",IF(ISNUMBER($G489),$G489+1,1))</f>
        <v>486</v>
      </c>
      <c r="H490" s="51" t="n">
        <f aca="false">IF(OR(NOT(ISNUMBER($G490)),$G490&lt;2,NOT(ISNUMBER($C489)),$C489=0),"",$C490/$C489-1)</f>
        <v>-0.00673539518900346</v>
      </c>
      <c r="I490" s="52" t="n">
        <f aca="false">IF(AND(ISNUMBER($G490),$G490&gt;=MA_SHORT),AVERAGE(INDEX($C$90:$C490,402-MA_SHORT):$C490),"")</f>
        <v>7181.9</v>
      </c>
      <c r="J490" s="52" t="n">
        <f aca="false">IF(AND(ISNUMBER($G490),$G490&gt;=MA_MED),AVERAGE(INDEX($C$90:$C490,402-MA_MED):$C490),"")</f>
        <v>7329.24</v>
      </c>
      <c r="K490" s="52" t="n">
        <f aca="false">IF(AND(ISNUMBER($G490),$G490&gt;=MA_LONG2),AVERAGE(INDEX($C$90:$C490,402-MA_LONG2):$C490),"")</f>
        <v>6791.15</v>
      </c>
      <c r="L490" s="53" t="n">
        <f aca="false">IF(AND(ISNUMBER($G490),$G490&gt;=21),STDEV(INDEX($H$430:$H490,62-20):$H490)*SQRT(245),"")</f>
        <v>0.203995711085312</v>
      </c>
      <c r="M490" s="52" t="n">
        <f aca="false">IF(AND(ISNUMBER($G490),$G490&gt;=60),MAX(INDEX($D$290:$D490,202-60):$D490),"")</f>
        <v>7893</v>
      </c>
      <c r="N490" s="52" t="n">
        <f aca="false">IF(AND(ISNUMBER($G490),$G490&gt;=60),MIN(INDEX($E$290:$E490,202-60):$E490),"")</f>
        <v>6631</v>
      </c>
      <c r="O490" s="53" t="n">
        <f aca="false">IF(OR(NOT(ISNUMBER($C490)),NOT(ISNUMBER($M490)),$M490=0),"",$C490/$M490-1)</f>
        <v>-0.0845052578233878</v>
      </c>
    </row>
    <row r="491" customFormat="false" ht="15" hidden="false" customHeight="false" outlineLevel="0" collapsed="false">
      <c r="A491" s="47" t="n">
        <v>46250</v>
      </c>
      <c r="B491" s="48" t="s">
        <v>639</v>
      </c>
      <c r="C491" s="49" t="n">
        <v>7216</v>
      </c>
      <c r="D491" s="49" t="n">
        <v>7260</v>
      </c>
      <c r="E491" s="49" t="n">
        <v>7196</v>
      </c>
      <c r="F491" s="49" t="n">
        <v>0</v>
      </c>
      <c r="G491" s="50" t="n">
        <f aca="false">IF($A491="","",IF(ISNUMBER($G490),$G490+1,1))</f>
        <v>487</v>
      </c>
      <c r="H491" s="51" t="n">
        <f aca="false">IF(OR(NOT(ISNUMBER($G491)),$G491&lt;2,NOT(ISNUMBER($C490)),$C490=0),"",$C491/$C490-1)</f>
        <v>-0.00138389150290619</v>
      </c>
      <c r="I491" s="52" t="n">
        <f aca="false">IF(AND(ISNUMBER($G491),$G491&gt;=MA_SHORT),AVERAGE(INDEX($C$91:$C491,402-MA_SHORT):$C491),"")</f>
        <v>7178.25</v>
      </c>
      <c r="J491" s="52" t="n">
        <f aca="false">IF(AND(ISNUMBER($G491),$G491&gt;=MA_MED),AVERAGE(INDEX($C$91:$C491,402-MA_MED):$C491),"")</f>
        <v>7323.22</v>
      </c>
      <c r="K491" s="52" t="n">
        <f aca="false">IF(AND(ISNUMBER($G491),$G491&gt;=MA_LONG2),AVERAGE(INDEX($C$91:$C491,402-MA_LONG2):$C491),"")</f>
        <v>6797.81</v>
      </c>
      <c r="L491" s="53" t="n">
        <f aca="false">IF(AND(ISNUMBER($G491),$G491&gt;=21),STDEV(INDEX($H$431:$H491,62-20):$H491)*SQRT(245),"")</f>
        <v>0.203827815620729</v>
      </c>
      <c r="M491" s="52" t="n">
        <f aca="false">IF(AND(ISNUMBER($G491),$G491&gt;=60),MAX(INDEX($D$291:$D491,202-60):$D491),"")</f>
        <v>7893</v>
      </c>
      <c r="N491" s="52" t="n">
        <f aca="false">IF(AND(ISNUMBER($G491),$G491&gt;=60),MIN(INDEX($E$291:$E491,202-60):$E491),"")</f>
        <v>6690</v>
      </c>
      <c r="O491" s="53" t="n">
        <f aca="false">IF(OR(NOT(ISNUMBER($C491)),NOT(ISNUMBER($M491)),$M491=0),"",$C491/$M491-1)</f>
        <v>-0.0857722032180414</v>
      </c>
    </row>
    <row r="492" customFormat="false" ht="15" hidden="false" customHeight="false" outlineLevel="0" collapsed="false">
      <c r="A492" s="47" t="n">
        <v>46251</v>
      </c>
      <c r="B492" s="48" t="s">
        <v>640</v>
      </c>
      <c r="C492" s="49" t="n">
        <v>7346</v>
      </c>
      <c r="D492" s="49" t="n">
        <v>7353</v>
      </c>
      <c r="E492" s="49" t="n">
        <v>7319</v>
      </c>
      <c r="F492" s="49" t="n">
        <v>0</v>
      </c>
      <c r="G492" s="50" t="n">
        <f aca="false">IF($A492="","",IF(ISNUMBER($G491),$G491+1,1))</f>
        <v>488</v>
      </c>
      <c r="H492" s="51" t="n">
        <f aca="false">IF(OR(NOT(ISNUMBER($G492)),$G492&lt;2,NOT(ISNUMBER($C491)),$C491=0),"",$C492/$C491-1)</f>
        <v>0.0180155210643016</v>
      </c>
      <c r="I492" s="52" t="n">
        <f aca="false">IF(AND(ISNUMBER($G492),$G492&gt;=MA_SHORT),AVERAGE(INDEX($C$92:$C492,402-MA_SHORT):$C492),"")</f>
        <v>7186.75</v>
      </c>
      <c r="J492" s="52" t="n">
        <f aca="false">IF(AND(ISNUMBER($G492),$G492&gt;=MA_MED),AVERAGE(INDEX($C$92:$C492,402-MA_MED):$C492),"")</f>
        <v>7321.6</v>
      </c>
      <c r="K492" s="52" t="n">
        <f aca="false">IF(AND(ISNUMBER($G492),$G492&gt;=MA_LONG2),AVERAGE(INDEX($C$92:$C492,402-MA_LONG2):$C492),"")</f>
        <v>6804.715</v>
      </c>
      <c r="L492" s="53" t="n">
        <f aca="false">IF(AND(ISNUMBER($G492),$G492&gt;=21),STDEV(INDEX($H$432:$H492,62-20):$H492)*SQRT(245),"")</f>
        <v>0.205603010358762</v>
      </c>
      <c r="M492" s="52" t="n">
        <f aca="false">IF(AND(ISNUMBER($G492),$G492&gt;=60),MAX(INDEX($D$292:$D492,202-60):$D492),"")</f>
        <v>7893</v>
      </c>
      <c r="N492" s="52" t="n">
        <f aca="false">IF(AND(ISNUMBER($G492),$G492&gt;=60),MIN(INDEX($E$292:$E492,202-60):$E492),"")</f>
        <v>6690</v>
      </c>
      <c r="O492" s="53" t="n">
        <f aca="false">IF(OR(NOT(ISNUMBER($C492)),NOT(ISNUMBER($M492)),$M492=0),"",$C492/$M492-1)</f>
        <v>-0.069301913087546</v>
      </c>
    </row>
    <row r="493" customFormat="false" ht="15" hidden="false" customHeight="false" outlineLevel="0" collapsed="false">
      <c r="A493" s="47" t="n">
        <v>46252</v>
      </c>
      <c r="B493" s="48" t="s">
        <v>641</v>
      </c>
      <c r="C493" s="49" t="n">
        <v>7468</v>
      </c>
      <c r="D493" s="49" t="n">
        <v>7544</v>
      </c>
      <c r="E493" s="49" t="n">
        <v>7449</v>
      </c>
      <c r="F493" s="49" t="n">
        <v>0</v>
      </c>
      <c r="G493" s="50" t="n">
        <f aca="false">IF($A493="","",IF(ISNUMBER($G492),$G492+1,1))</f>
        <v>489</v>
      </c>
      <c r="H493" s="51" t="n">
        <f aca="false">IF(OR(NOT(ISNUMBER($G493)),$G493&lt;2,NOT(ISNUMBER($C492)),$C492=0),"",$C493/$C492-1)</f>
        <v>0.0166076776476993</v>
      </c>
      <c r="I493" s="52" t="n">
        <f aca="false">IF(AND(ISNUMBER($G493),$G493&gt;=MA_SHORT),AVERAGE(INDEX($C$93:$C493,402-MA_SHORT):$C493),"")</f>
        <v>7195.65</v>
      </c>
      <c r="J493" s="52" t="n">
        <f aca="false">IF(AND(ISNUMBER($G493),$G493&gt;=MA_MED),AVERAGE(INDEX($C$93:$C493,402-MA_MED):$C493),"")</f>
        <v>7321.2</v>
      </c>
      <c r="K493" s="52" t="n">
        <f aca="false">IF(AND(ISNUMBER($G493),$G493&gt;=MA_LONG2),AVERAGE(INDEX($C$93:$C493,402-MA_LONG2):$C493),"")</f>
        <v>6812.845</v>
      </c>
      <c r="L493" s="53" t="n">
        <f aca="false">IF(AND(ISNUMBER($G493),$G493&gt;=21),STDEV(INDEX($H$433:$H493,62-20):$H493)*SQRT(245),"")</f>
        <v>0.206279434787324</v>
      </c>
      <c r="M493" s="52" t="n">
        <f aca="false">IF(AND(ISNUMBER($G493),$G493&gt;=60),MAX(INDEX($D$293:$D493,202-60):$D493),"")</f>
        <v>7893</v>
      </c>
      <c r="N493" s="52" t="n">
        <f aca="false">IF(AND(ISNUMBER($G493),$G493&gt;=60),MIN(INDEX($E$293:$E493,202-60):$E493),"")</f>
        <v>6707</v>
      </c>
      <c r="O493" s="53" t="n">
        <f aca="false">IF(OR(NOT(ISNUMBER($C493)),NOT(ISNUMBER($M493)),$M493=0),"",$C493/$M493-1)</f>
        <v>-0.0538451792727733</v>
      </c>
    </row>
    <row r="494" customFormat="false" ht="15" hidden="false" customHeight="false" outlineLevel="0" collapsed="false">
      <c r="A494" s="47" t="n">
        <v>46253</v>
      </c>
      <c r="B494" s="48" t="s">
        <v>642</v>
      </c>
      <c r="C494" s="49" t="n">
        <v>7456</v>
      </c>
      <c r="D494" s="49" t="n">
        <v>7486</v>
      </c>
      <c r="E494" s="49" t="n">
        <v>7454</v>
      </c>
      <c r="F494" s="49" t="n">
        <v>0</v>
      </c>
      <c r="G494" s="50" t="n">
        <f aca="false">IF($A494="","",IF(ISNUMBER($G493),$G493+1,1))</f>
        <v>490</v>
      </c>
      <c r="H494" s="51" t="n">
        <f aca="false">IF(OR(NOT(ISNUMBER($G494)),$G494&lt;2,NOT(ISNUMBER($C493)),$C493=0),"",$C494/$C493-1)</f>
        <v>-0.001606855918586</v>
      </c>
      <c r="I494" s="52" t="n">
        <f aca="false">IF(AND(ISNUMBER($G494),$G494&gt;=MA_SHORT),AVERAGE(INDEX($C$94:$C494,402-MA_SHORT):$C494),"")</f>
        <v>7204.15</v>
      </c>
      <c r="J494" s="52" t="n">
        <f aca="false">IF(AND(ISNUMBER($G494),$G494&gt;=MA_MED),AVERAGE(INDEX($C$94:$C494,402-MA_MED):$C494),"")</f>
        <v>7321.32</v>
      </c>
      <c r="K494" s="52" t="n">
        <f aca="false">IF(AND(ISNUMBER($G494),$G494&gt;=MA_LONG2),AVERAGE(INDEX($C$94:$C494,402-MA_LONG2):$C494),"")</f>
        <v>6821.37</v>
      </c>
      <c r="L494" s="53" t="n">
        <f aca="false">IF(AND(ISNUMBER($G494),$G494&gt;=21),STDEV(INDEX($H$434:$H494,62-20):$H494)*SQRT(245),"")</f>
        <v>0.206434218442299</v>
      </c>
      <c r="M494" s="52" t="n">
        <f aca="false">IF(AND(ISNUMBER($G494),$G494&gt;=60),MAX(INDEX($D$294:$D494,202-60):$D494),"")</f>
        <v>7893</v>
      </c>
      <c r="N494" s="52" t="n">
        <f aca="false">IF(AND(ISNUMBER($G494),$G494&gt;=60),MIN(INDEX($E$294:$E494,202-60):$E494),"")</f>
        <v>6893</v>
      </c>
      <c r="O494" s="53" t="n">
        <f aca="false">IF(OR(NOT(ISNUMBER($C494)),NOT(ISNUMBER($M494)),$M494=0),"",$C494/$M494-1)</f>
        <v>-0.0553655137463576</v>
      </c>
    </row>
    <row r="495" customFormat="false" ht="15" hidden="false" customHeight="false" outlineLevel="0" collapsed="false">
      <c r="A495" s="47" t="n">
        <v>46256</v>
      </c>
      <c r="B495" s="48" t="s">
        <v>643</v>
      </c>
      <c r="C495" s="49" t="n">
        <v>7716</v>
      </c>
      <c r="D495" s="49" t="n">
        <v>7721</v>
      </c>
      <c r="E495" s="49" t="n">
        <v>7712</v>
      </c>
      <c r="F495" s="49" t="n">
        <v>0</v>
      </c>
      <c r="G495" s="50" t="n">
        <f aca="false">IF($A495="","",IF(ISNUMBER($G494),$G494+1,1))</f>
        <v>491</v>
      </c>
      <c r="H495" s="51" t="n">
        <f aca="false">IF(OR(NOT(ISNUMBER($G495)),$G495&lt;2,NOT(ISNUMBER($C494)),$C494=0),"",$C495/$C494-1)</f>
        <v>0.0348712446351931</v>
      </c>
      <c r="I495" s="52" t="n">
        <f aca="false">IF(AND(ISNUMBER($G495),$G495&gt;=MA_SHORT),AVERAGE(INDEX($C$95:$C495,402-MA_SHORT):$C495),"")</f>
        <v>7235.15</v>
      </c>
      <c r="J495" s="52" t="n">
        <f aca="false">IF(AND(ISNUMBER($G495),$G495&gt;=MA_MED),AVERAGE(INDEX($C$95:$C495,402-MA_MED):$C495),"")</f>
        <v>7327.02</v>
      </c>
      <c r="K495" s="52" t="n">
        <f aca="false">IF(AND(ISNUMBER($G495),$G495&gt;=MA_LONG2),AVERAGE(INDEX($C$95:$C495,402-MA_LONG2):$C495),"")</f>
        <v>6830.625</v>
      </c>
      <c r="L495" s="53" t="n">
        <f aca="false">IF(AND(ISNUMBER($G495),$G495&gt;=21),STDEV(INDEX($H$435:$H495,62-20):$H495)*SQRT(245),"")</f>
        <v>0.212573428959053</v>
      </c>
      <c r="M495" s="52" t="n">
        <f aca="false">IF(AND(ISNUMBER($G495),$G495&gt;=60),MAX(INDEX($D$295:$D495,202-60):$D495),"")</f>
        <v>7893</v>
      </c>
      <c r="N495" s="52" t="n">
        <f aca="false">IF(AND(ISNUMBER($G495),$G495&gt;=60),MIN(INDEX($E$295:$E495,202-60):$E495),"")</f>
        <v>6998</v>
      </c>
      <c r="O495" s="53" t="n">
        <f aca="false">IF(OR(NOT(ISNUMBER($C495)),NOT(ISNUMBER($M495)),$M495=0),"",$C495/$M495-1)</f>
        <v>-0.0224249334853668</v>
      </c>
    </row>
    <row r="496" customFormat="false" ht="15" hidden="false" customHeight="false" outlineLevel="0" collapsed="false">
      <c r="A496" s="47" t="n">
        <v>46257</v>
      </c>
      <c r="B496" s="48" t="s">
        <v>644</v>
      </c>
      <c r="C496" s="49" t="n">
        <v>7686</v>
      </c>
      <c r="D496" s="49" t="n">
        <v>7690</v>
      </c>
      <c r="E496" s="49" t="n">
        <v>7684</v>
      </c>
      <c r="F496" s="49" t="n">
        <v>0</v>
      </c>
      <c r="G496" s="50" t="n">
        <f aca="false">IF($A496="","",IF(ISNUMBER($G495),$G495+1,1))</f>
        <v>492</v>
      </c>
      <c r="H496" s="51" t="n">
        <f aca="false">IF(OR(NOT(ISNUMBER($G496)),$G496&lt;2,NOT(ISNUMBER($C495)),$C495=0),"",$C496/$C495-1)</f>
        <v>-0.00388802488335926</v>
      </c>
      <c r="I496" s="52" t="n">
        <f aca="false">IF(AND(ISNUMBER($G496),$G496&gt;=MA_SHORT),AVERAGE(INDEX($C$96:$C496,402-MA_SHORT):$C496),"")</f>
        <v>7259</v>
      </c>
      <c r="J496" s="52" t="n">
        <f aca="false">IF(AND(ISNUMBER($G496),$G496&gt;=MA_MED),AVERAGE(INDEX($C$96:$C496,402-MA_MED):$C496),"")</f>
        <v>7330.98</v>
      </c>
      <c r="K496" s="52" t="n">
        <f aca="false">IF(AND(ISNUMBER($G496),$G496&gt;=MA_LONG2),AVERAGE(INDEX($C$96:$C496,402-MA_LONG2):$C496),"")</f>
        <v>6839.65</v>
      </c>
      <c r="L496" s="53" t="n">
        <f aca="false">IF(AND(ISNUMBER($G496),$G496&gt;=21),STDEV(INDEX($H$436:$H496,62-20):$H496)*SQRT(245),"")</f>
        <v>0.209876918388251</v>
      </c>
      <c r="M496" s="52" t="n">
        <f aca="false">IF(AND(ISNUMBER($G496),$G496&gt;=60),MAX(INDEX($D$296:$D496,202-60):$D496),"")</f>
        <v>7893</v>
      </c>
      <c r="N496" s="52" t="n">
        <f aca="false">IF(AND(ISNUMBER($G496),$G496&gt;=60),MIN(INDEX($E$296:$E496,202-60):$E496),"")</f>
        <v>6998</v>
      </c>
      <c r="O496" s="53" t="n">
        <f aca="false">IF(OR(NOT(ISNUMBER($C496)),NOT(ISNUMBER($M496)),$M496=0),"",$C496/$M496-1)</f>
        <v>-0.0262257696693272</v>
      </c>
    </row>
    <row r="497" customFormat="false" ht="15" hidden="false" customHeight="false" outlineLevel="0" collapsed="false">
      <c r="A497" s="47" t="n">
        <v>46258</v>
      </c>
      <c r="B497" s="48" t="s">
        <v>645</v>
      </c>
      <c r="C497" s="49" t="n">
        <v>7647</v>
      </c>
      <c r="D497" s="49" t="n">
        <v>7664</v>
      </c>
      <c r="E497" s="49" t="n">
        <v>7637</v>
      </c>
      <c r="F497" s="49" t="n">
        <v>0</v>
      </c>
      <c r="G497" s="50" t="n">
        <f aca="false">IF($A497="","",IF(ISNUMBER($G496),$G496+1,1))</f>
        <v>493</v>
      </c>
      <c r="H497" s="51" t="n">
        <f aca="false">IF(OR(NOT(ISNUMBER($G497)),$G497&lt;2,NOT(ISNUMBER($C496)),$C496=0),"",$C497/$C496-1)</f>
        <v>-0.00507416081186574</v>
      </c>
      <c r="I497" s="52" t="n">
        <f aca="false">IF(AND(ISNUMBER($G497),$G497&gt;=MA_SHORT),AVERAGE(INDEX($C$97:$C497,402-MA_SHORT):$C497),"")</f>
        <v>7277.1</v>
      </c>
      <c r="J497" s="52" t="n">
        <f aca="false">IF(AND(ISNUMBER($G497),$G497&gt;=MA_MED),AVERAGE(INDEX($C$97:$C497,402-MA_MED):$C497),"")</f>
        <v>7334.52</v>
      </c>
      <c r="K497" s="52" t="n">
        <f aca="false">IF(AND(ISNUMBER($G497),$G497&gt;=MA_LONG2),AVERAGE(INDEX($C$97:$C497,402-MA_LONG2):$C497),"")</f>
        <v>6848.36</v>
      </c>
      <c r="L497" s="53" t="n">
        <f aca="false">IF(AND(ISNUMBER($G497),$G497&gt;=21),STDEV(INDEX($H$437:$H497,62-20):$H497)*SQRT(245),"")</f>
        <v>0.210038952246273</v>
      </c>
      <c r="M497" s="52" t="n">
        <f aca="false">IF(AND(ISNUMBER($G497),$G497&gt;=60),MAX(INDEX($D$297:$D497,202-60):$D497),"")</f>
        <v>7893</v>
      </c>
      <c r="N497" s="52" t="n">
        <f aca="false">IF(AND(ISNUMBER($G497),$G497&gt;=60),MIN(INDEX($E$297:$E497,202-60):$E497),"")</f>
        <v>6998</v>
      </c>
      <c r="O497" s="53" t="n">
        <f aca="false">IF(OR(NOT(ISNUMBER($C497)),NOT(ISNUMBER($M497)),$M497=0),"",$C497/$M497-1)</f>
        <v>-0.0311668567084759</v>
      </c>
    </row>
    <row r="498" customFormat="false" ht="15" hidden="false" customHeight="false" outlineLevel="0" collapsed="false">
      <c r="A498" s="47" t="n">
        <v>46259</v>
      </c>
      <c r="B498" s="48" t="s">
        <v>646</v>
      </c>
      <c r="C498" s="49" t="n">
        <v>7707</v>
      </c>
      <c r="D498" s="49" t="n">
        <v>7758</v>
      </c>
      <c r="E498" s="49" t="n">
        <v>7703</v>
      </c>
      <c r="F498" s="49" t="n">
        <v>0</v>
      </c>
      <c r="G498" s="50" t="n">
        <f aca="false">IF($A498="","",IF(ISNUMBER($G497),$G497+1,1))</f>
        <v>494</v>
      </c>
      <c r="H498" s="51" t="n">
        <f aca="false">IF(OR(NOT(ISNUMBER($G498)),$G498&lt;2,NOT(ISNUMBER($C497)),$C497=0),"",$C498/$C497-1)</f>
        <v>0.00784621420164777</v>
      </c>
      <c r="I498" s="52" t="n">
        <f aca="false">IF(AND(ISNUMBER($G498),$G498&gt;=MA_SHORT),AVERAGE(INDEX($C$98:$C498,402-MA_SHORT):$C498),"")</f>
        <v>7302.7</v>
      </c>
      <c r="J498" s="52" t="n">
        <f aca="false">IF(AND(ISNUMBER($G498),$G498&gt;=MA_MED),AVERAGE(INDEX($C$98:$C498,402-MA_MED):$C498),"")</f>
        <v>7337.14</v>
      </c>
      <c r="K498" s="52" t="n">
        <f aca="false">IF(AND(ISNUMBER($G498),$G498&gt;=MA_LONG2),AVERAGE(INDEX($C$98:$C498,402-MA_LONG2):$C498),"")</f>
        <v>6857.76</v>
      </c>
      <c r="L498" s="53" t="n">
        <f aca="false">IF(AND(ISNUMBER($G498),$G498&gt;=21),STDEV(INDEX($H$438:$H498,62-20):$H498)*SQRT(245),"")</f>
        <v>0.203396354266398</v>
      </c>
      <c r="M498" s="52" t="n">
        <f aca="false">IF(AND(ISNUMBER($G498),$G498&gt;=60),MAX(INDEX($D$298:$D498,202-60):$D498),"")</f>
        <v>7893</v>
      </c>
      <c r="N498" s="52" t="n">
        <f aca="false">IF(AND(ISNUMBER($G498),$G498&gt;=60),MIN(INDEX($E$298:$E498,202-60):$E498),"")</f>
        <v>6998</v>
      </c>
      <c r="O498" s="53" t="n">
        <f aca="false">IF(OR(NOT(ISNUMBER($C498)),NOT(ISNUMBER($M498)),$M498=0),"",$C498/$M498-1)</f>
        <v>-0.0235651843405549</v>
      </c>
    </row>
    <row r="499" customFormat="false" ht="15" hidden="false" customHeight="false" outlineLevel="0" collapsed="false">
      <c r="A499" s="47" t="n">
        <v>46260</v>
      </c>
      <c r="B499" s="48" t="s">
        <v>647</v>
      </c>
      <c r="C499" s="49" t="n">
        <v>7768</v>
      </c>
      <c r="D499" s="49" t="n">
        <v>7775</v>
      </c>
      <c r="E499" s="49" t="n">
        <v>7753</v>
      </c>
      <c r="F499" s="49" t="n">
        <v>0</v>
      </c>
      <c r="G499" s="50" t="n">
        <f aca="false">IF($A499="","",IF(ISNUMBER($G498),$G498+1,1))</f>
        <v>495</v>
      </c>
      <c r="H499" s="51" t="n">
        <f aca="false">IF(OR(NOT(ISNUMBER($G499)),$G499&lt;2,NOT(ISNUMBER($C498)),$C498=0),"",$C499/$C498-1)</f>
        <v>0.00791488257428319</v>
      </c>
      <c r="I499" s="52" t="n">
        <f aca="false">IF(AND(ISNUMBER($G499),$G499&gt;=MA_SHORT),AVERAGE(INDEX($C$99:$C499,402-MA_SHORT):$C499),"")</f>
        <v>7339.6</v>
      </c>
      <c r="J499" s="52" t="n">
        <f aca="false">IF(AND(ISNUMBER($G499),$G499&gt;=MA_MED),AVERAGE(INDEX($C$99:$C499,402-MA_MED):$C499),"")</f>
        <v>7341.1</v>
      </c>
      <c r="K499" s="52" t="n">
        <f aca="false">IF(AND(ISNUMBER($G499),$G499&gt;=MA_LONG2),AVERAGE(INDEX($C$99:$C499,402-MA_LONG2):$C499),"")</f>
        <v>6867.63</v>
      </c>
      <c r="L499" s="53" t="n">
        <f aca="false">IF(AND(ISNUMBER($G499),$G499&gt;=21),STDEV(INDEX($H$439:$H499,62-20):$H499)*SQRT(245),"")</f>
        <v>0.178831084750344</v>
      </c>
      <c r="M499" s="52" t="n">
        <f aca="false">IF(AND(ISNUMBER($G499),$G499&gt;=60),MAX(INDEX($D$299:$D499,202-60):$D499),"")</f>
        <v>7893</v>
      </c>
      <c r="N499" s="52" t="n">
        <f aca="false">IF(AND(ISNUMBER($G499),$G499&gt;=60),MIN(INDEX($E$299:$E499,202-60):$E499),"")</f>
        <v>6998</v>
      </c>
      <c r="O499" s="53" t="n">
        <f aca="false">IF(OR(NOT(ISNUMBER($C499)),NOT(ISNUMBER($M499)),$M499=0),"",$C499/$M499-1)</f>
        <v>-0.0158368174331687</v>
      </c>
    </row>
    <row r="500" customFormat="false" ht="15" hidden="false" customHeight="false" outlineLevel="0" collapsed="false">
      <c r="A500" s="47" t="n">
        <v>46263</v>
      </c>
      <c r="B500" s="48" t="s">
        <v>648</v>
      </c>
      <c r="C500" s="49" t="n">
        <v>7815</v>
      </c>
      <c r="D500" s="49" t="n">
        <v>7846</v>
      </c>
      <c r="E500" s="49" t="n">
        <v>7814</v>
      </c>
      <c r="F500" s="49" t="n">
        <v>0</v>
      </c>
      <c r="G500" s="50" t="n">
        <f aca="false">IF($A500="","",IF(ISNUMBER($G499),$G499+1,1))</f>
        <v>496</v>
      </c>
      <c r="H500" s="51" t="n">
        <f aca="false">IF(OR(NOT(ISNUMBER($G500)),$G500&lt;2,NOT(ISNUMBER($C499)),$C499=0),"",$C500/$C499-1)</f>
        <v>0.00605046343975291</v>
      </c>
      <c r="I500" s="52" t="n">
        <f aca="false">IF(AND(ISNUMBER($G500),$G500&gt;=MA_SHORT),AVERAGE(INDEX($C$100:$C500,402-MA_SHORT):$C500),"")</f>
        <v>7374</v>
      </c>
      <c r="J500" s="52" t="n">
        <f aca="false">IF(AND(ISNUMBER($G500),$G500&gt;=MA_MED),AVERAGE(INDEX($C$100:$C500,402-MA_MED):$C500),"")</f>
        <v>7343.78</v>
      </c>
      <c r="K500" s="52" t="n">
        <f aca="false">IF(AND(ISNUMBER($G500),$G500&gt;=MA_LONG2),AVERAGE(INDEX($C$100:$C500,402-MA_LONG2):$C500),"")</f>
        <v>6877.61</v>
      </c>
      <c r="L500" s="53" t="n">
        <f aca="false">IF(AND(ISNUMBER($G500),$G500&gt;=21),STDEV(INDEX($H$440:$H500,62-20):$H500)*SQRT(245),"")</f>
        <v>0.175985689053258</v>
      </c>
      <c r="M500" s="52" t="n">
        <f aca="false">IF(AND(ISNUMBER($G500),$G500&gt;=60),MAX(INDEX($D$300:$D500,202-60):$D500),"")</f>
        <v>7893</v>
      </c>
      <c r="N500" s="52" t="n">
        <f aca="false">IF(AND(ISNUMBER($G500),$G500&gt;=60),MIN(INDEX($E$300:$E500,202-60):$E500),"")</f>
        <v>6998</v>
      </c>
      <c r="O500" s="53" t="n">
        <f aca="false">IF(OR(NOT(ISNUMBER($C500)),NOT(ISNUMBER($M500)),$M500=0),"",$C500/$M500-1)</f>
        <v>-0.00988217407829728</v>
      </c>
    </row>
    <row r="501" customFormat="false" ht="15" hidden="false" customHeight="false" outlineLevel="0" collapsed="false">
      <c r="A501" s="47" t="n">
        <v>46264</v>
      </c>
      <c r="B501" s="48" t="s">
        <v>649</v>
      </c>
      <c r="C501" s="49" t="n">
        <v>7893</v>
      </c>
      <c r="D501" s="49" t="n">
        <v>7929</v>
      </c>
      <c r="E501" s="49" t="n">
        <v>7869</v>
      </c>
      <c r="F501" s="49" t="n">
        <v>0</v>
      </c>
      <c r="G501" s="50" t="n">
        <f aca="false">IF($A501="","",IF(ISNUMBER($G500),$G500+1,1))</f>
        <v>497</v>
      </c>
      <c r="H501" s="51" t="n">
        <f aca="false">IF(OR(NOT(ISNUMBER($G501)),$G501&lt;2,NOT(ISNUMBER($C500)),$C500=0),"",$C501/$C500-1)</f>
        <v>0.00998080614203456</v>
      </c>
      <c r="I501" s="52" t="n">
        <f aca="false">IF(AND(ISNUMBER($G501),$G501&gt;=MA_SHORT),AVERAGE(INDEX($C$101:$C501,402-MA_SHORT):$C501),"")</f>
        <v>7414.45</v>
      </c>
      <c r="J501" s="52" t="n">
        <f aca="false">IF(AND(ISNUMBER($G501),$G501&gt;=MA_MED),AVERAGE(INDEX($C$101:$C501,402-MA_MED):$C501),"")</f>
        <v>7348.8</v>
      </c>
      <c r="K501" s="52" t="n">
        <f aca="false">IF(AND(ISNUMBER($G501),$G501&gt;=MA_LONG2),AVERAGE(INDEX($C$101:$C501,402-MA_LONG2):$C501),"")</f>
        <v>6887.81</v>
      </c>
      <c r="L501" s="53" t="n">
        <f aca="false">IF(AND(ISNUMBER($G501),$G501&gt;=21),STDEV(INDEX($H$441:$H501,62-20):$H501)*SQRT(245),"")</f>
        <v>0.172304651350698</v>
      </c>
      <c r="M501" s="52" t="n">
        <f aca="false">IF(AND(ISNUMBER($G501),$G501&gt;=60),MAX(INDEX($D$301:$D501,202-60):$D501),"")</f>
        <v>7929</v>
      </c>
      <c r="N501" s="52" t="n">
        <f aca="false">IF(AND(ISNUMBER($G501),$G501&gt;=60),MIN(INDEX($E$301:$E501,202-60):$E501),"")</f>
        <v>6998</v>
      </c>
      <c r="O501" s="53" t="n">
        <f aca="false">IF(OR(NOT(ISNUMBER($C501)),NOT(ISNUMBER($M501)),$M501=0),"",$C501/$M501-1)</f>
        <v>-0.00454029511918275</v>
      </c>
    </row>
    <row r="502" customFormat="false" ht="15" hidden="false" customHeight="false" outlineLevel="0" collapsed="false">
      <c r="A502" s="47" t="n">
        <v>46265</v>
      </c>
      <c r="B502" s="48" t="s">
        <v>650</v>
      </c>
      <c r="C502" s="49" t="n">
        <v>7951</v>
      </c>
      <c r="D502" s="49" t="n">
        <v>7981</v>
      </c>
      <c r="E502" s="49" t="n">
        <v>7946</v>
      </c>
      <c r="F502" s="49" t="n">
        <v>0</v>
      </c>
      <c r="G502" s="50" t="n">
        <f aca="false">IF($A502="","",IF(ISNUMBER($G501),$G501+1,1))</f>
        <v>498</v>
      </c>
      <c r="H502" s="51" t="n">
        <f aca="false">IF(OR(NOT(ISNUMBER($G502)),$G502&lt;2,NOT(ISNUMBER($C501)),$C501=0),"",$C502/$C501-1)</f>
        <v>0.00734828328899018</v>
      </c>
      <c r="I502" s="52" t="n">
        <f aca="false">IF(AND(ISNUMBER($G502),$G502&gt;=MA_SHORT),AVERAGE(INDEX($C$102:$C502,402-MA_SHORT):$C502),"")</f>
        <v>7460</v>
      </c>
      <c r="J502" s="52" t="n">
        <f aca="false">IF(AND(ISNUMBER($G502),$G502&gt;=MA_MED),AVERAGE(INDEX($C$102:$C502,402-MA_MED):$C502),"")</f>
        <v>7350.46</v>
      </c>
      <c r="K502" s="52" t="n">
        <f aca="false">IF(AND(ISNUMBER($G502),$G502&gt;=MA_LONG2),AVERAGE(INDEX($C$102:$C502,402-MA_LONG2):$C502),"")</f>
        <v>6897.915</v>
      </c>
      <c r="L502" s="53" t="n">
        <f aca="false">IF(AND(ISNUMBER($G502),$G502&gt;=21),STDEV(INDEX($H$442:$H502,62-20):$H502)*SQRT(245),"")</f>
        <v>0.166893478694459</v>
      </c>
      <c r="M502" s="52" t="n">
        <f aca="false">IF(AND(ISNUMBER($G502),$G502&gt;=60),MAX(INDEX($D$302:$D502,202-60):$D502),"")</f>
        <v>7981</v>
      </c>
      <c r="N502" s="52" t="n">
        <f aca="false">IF(AND(ISNUMBER($G502),$G502&gt;=60),MIN(INDEX($E$302:$E502,202-60):$E502),"")</f>
        <v>6998</v>
      </c>
      <c r="O502" s="53" t="n">
        <f aca="false">IF(OR(NOT(ISNUMBER($C502)),NOT(ISNUMBER($M502)),$M502=0),"",$C502/$M502-1)</f>
        <v>-0.00375892745270012</v>
      </c>
    </row>
    <row r="503" customFormat="false" ht="15" hidden="false" customHeight="false" outlineLevel="0" collapsed="false">
      <c r="A503" s="47" t="n">
        <v>46266</v>
      </c>
      <c r="B503" s="48" t="s">
        <v>651</v>
      </c>
      <c r="C503" s="49" t="n">
        <v>8016</v>
      </c>
      <c r="D503" s="49" t="n">
        <v>8053</v>
      </c>
      <c r="E503" s="49" t="n">
        <v>7966</v>
      </c>
      <c r="F503" s="49" t="n">
        <v>0</v>
      </c>
      <c r="G503" s="50" t="n">
        <f aca="false">IF($A503="","",IF(ISNUMBER($G502),$G502+1,1))</f>
        <v>499</v>
      </c>
      <c r="H503" s="51" t="n">
        <f aca="false">IF(OR(NOT(ISNUMBER($G503)),$G503&lt;2,NOT(ISNUMBER($C502)),$C502=0),"",$C503/$C502-1)</f>
        <v>0.00817507231794745</v>
      </c>
      <c r="I503" s="52" t="n">
        <f aca="false">IF(AND(ISNUMBER($G503),$G503&gt;=MA_SHORT),AVERAGE(INDEX($C$103:$C503,402-MA_SHORT):$C503),"")</f>
        <v>7508.95</v>
      </c>
      <c r="J503" s="52" t="n">
        <f aca="false">IF(AND(ISNUMBER($G503),$G503&gt;=MA_MED),AVERAGE(INDEX($C$103:$C503,402-MA_MED):$C503),"")</f>
        <v>7355.28</v>
      </c>
      <c r="K503" s="52" t="n">
        <f aca="false">IF(AND(ISNUMBER($G503),$G503&gt;=MA_LONG2),AVERAGE(INDEX($C$103:$C503,402-MA_LONG2):$C503),"")</f>
        <v>6908.65</v>
      </c>
      <c r="L503" s="53" t="n">
        <f aca="false">IF(AND(ISNUMBER($G503),$G503&gt;=21),STDEV(INDEX($H$443:$H503,62-20):$H503)*SQRT(245),"")</f>
        <v>0.165225814020819</v>
      </c>
      <c r="M503" s="52" t="n">
        <f aca="false">IF(AND(ISNUMBER($G503),$G503&gt;=60),MAX(INDEX($D$303:$D503,202-60):$D503),"")</f>
        <v>8053</v>
      </c>
      <c r="N503" s="52" t="n">
        <f aca="false">IF(AND(ISNUMBER($G503),$G503&gt;=60),MIN(INDEX($E$303:$E503,202-60):$E503),"")</f>
        <v>6998</v>
      </c>
      <c r="O503" s="53" t="n">
        <f aca="false">IF(OR(NOT(ISNUMBER($C503)),NOT(ISNUMBER($M503)),$M503=0),"",$C503/$M503-1)</f>
        <v>-0.00459456103315536</v>
      </c>
    </row>
    <row r="504" customFormat="false" ht="15" hidden="false" customHeight="false" outlineLevel="0" collapsed="false">
      <c r="A504" s="47" t="n">
        <v>46267</v>
      </c>
      <c r="B504" s="48" t="s">
        <v>652</v>
      </c>
      <c r="C504" s="49" t="n">
        <v>7916</v>
      </c>
      <c r="D504" s="49" t="n">
        <v>7929</v>
      </c>
      <c r="E504" s="49" t="n">
        <v>7865</v>
      </c>
      <c r="F504" s="49" t="n">
        <v>0</v>
      </c>
      <c r="G504" s="50" t="n">
        <f aca="false">IF($A504="","",IF(ISNUMBER($G503),$G503+1,1))</f>
        <v>500</v>
      </c>
      <c r="H504" s="51" t="n">
        <f aca="false">IF(OR(NOT(ISNUMBER($G504)),$G504&lt;2,NOT(ISNUMBER($C503)),$C503=0),"",$C504/$C503-1)</f>
        <v>-0.0124750499001997</v>
      </c>
      <c r="I504" s="52" t="n">
        <f aca="false">IF(AND(ISNUMBER($G504),$G504&gt;=MA_SHORT),AVERAGE(INDEX($C$104:$C504,402-MA_SHORT):$C504),"")</f>
        <v>7545.1</v>
      </c>
      <c r="J504" s="52" t="n">
        <f aca="false">IF(AND(ISNUMBER($G504),$G504&gt;=MA_MED),AVERAGE(INDEX($C$104:$C504,402-MA_MED):$C504),"")</f>
        <v>7360.68</v>
      </c>
      <c r="K504" s="52" t="n">
        <f aca="false">IF(AND(ISNUMBER($G504),$G504&gt;=MA_LONG2),AVERAGE(INDEX($C$104:$C504,402-MA_LONG2):$C504),"")</f>
        <v>6918.65</v>
      </c>
      <c r="L504" s="53" t="n">
        <f aca="false">IF(AND(ISNUMBER($G504),$G504&gt;=21),STDEV(INDEX($H$444:$H504,62-20):$H504)*SQRT(245),"")</f>
        <v>0.16757101669043</v>
      </c>
      <c r="M504" s="52" t="n">
        <f aca="false">IF(AND(ISNUMBER($G504),$G504&gt;=60),MAX(INDEX($D$304:$D504,202-60):$D504),"")</f>
        <v>8053</v>
      </c>
      <c r="N504" s="52" t="n">
        <f aca="false">IF(AND(ISNUMBER($G504),$G504&gt;=60),MIN(INDEX($E$304:$E504,202-60):$E504),"")</f>
        <v>6998</v>
      </c>
      <c r="O504" s="53" t="n">
        <f aca="false">IF(OR(NOT(ISNUMBER($C504)),NOT(ISNUMBER($M504)),$M504=0),"",$C504/$M504-1)</f>
        <v>-0.0170122935551968</v>
      </c>
    </row>
    <row r="505" customFormat="false" ht="15" hidden="false" customHeight="false" outlineLevel="0" collapsed="false">
      <c r="A505" s="55"/>
      <c r="B505" s="56"/>
      <c r="C505" s="57"/>
      <c r="D505" s="56"/>
      <c r="E505" s="56"/>
      <c r="F505" s="56"/>
      <c r="G505" s="50" t="str">
        <f aca="false">IF($A505="","",IF(ISNUMBER($G504),$G504+1,1))</f>
        <v/>
      </c>
      <c r="H505" s="51" t="str">
        <f aca="false">IF(OR(NOT(ISNUMBER($G505)),$G505&lt;2,NOT(ISNUMBER($C504)),$C504=0),"",$C505/$C504-1)</f>
        <v/>
      </c>
      <c r="I505" s="52" t="str">
        <f aca="false">IF(AND(ISNUMBER($G505),$G505&gt;=MA_SHORT),AVERAGE(INDEX($C$105:$C505,402-MA_SHORT):$C505),"")</f>
        <v/>
      </c>
      <c r="J505" s="52" t="str">
        <f aca="false">IF(AND(ISNUMBER($G505),$G505&gt;=MA_MED),AVERAGE(INDEX($C$105:$C505,402-MA_MED):$C505),"")</f>
        <v/>
      </c>
      <c r="K505" s="52" t="str">
        <f aca="false">IF(AND(ISNUMBER($G505),$G505&gt;=MA_LONG2),AVERAGE(INDEX($C$105:$C505,402-MA_LONG2):$C505),"")</f>
        <v/>
      </c>
      <c r="L505" s="53" t="str">
        <f aca="false">IF(AND(ISNUMBER($G505),$G505&gt;=21),STDEV(INDEX($H$445:$H505,62-20):$H505)*SQRT(245),"")</f>
        <v/>
      </c>
      <c r="M505" s="52" t="str">
        <f aca="false">IF(AND(ISNUMBER($G505),$G505&gt;=60),MAX(INDEX($D$305:$D505,202-60):$D505),"")</f>
        <v/>
      </c>
      <c r="N505" s="52" t="str">
        <f aca="false">IF(AND(ISNUMBER($G505),$G505&gt;=60),MIN(INDEX($E$305:$E505,202-60):$E505),"")</f>
        <v/>
      </c>
      <c r="O505" s="53" t="str">
        <f aca="false">IF(OR(NOT(ISNUMBER($C505)),NOT(ISNUMBER($M505)),$M505=0),"",$C505/$M505-1)</f>
        <v/>
      </c>
    </row>
    <row r="506" customFormat="false" ht="15" hidden="false" customHeight="false" outlineLevel="0" collapsed="false">
      <c r="A506" s="55"/>
      <c r="B506" s="56"/>
      <c r="C506" s="57"/>
      <c r="D506" s="56"/>
      <c r="E506" s="56"/>
      <c r="F506" s="56"/>
      <c r="G506" s="50" t="str">
        <f aca="false">IF($A506="","",IF(ISNUMBER($G505),$G505+1,1))</f>
        <v/>
      </c>
      <c r="H506" s="51" t="str">
        <f aca="false">IF(OR(NOT(ISNUMBER($G506)),$G506&lt;2,NOT(ISNUMBER($C505)),$C505=0),"",$C506/$C505-1)</f>
        <v/>
      </c>
      <c r="I506" s="52" t="str">
        <f aca="false">IF(AND(ISNUMBER($G506),$G506&gt;=MA_SHORT),AVERAGE(INDEX($C$106:$C506,402-MA_SHORT):$C506),"")</f>
        <v/>
      </c>
      <c r="J506" s="52" t="str">
        <f aca="false">IF(AND(ISNUMBER($G506),$G506&gt;=MA_MED),AVERAGE(INDEX($C$106:$C506,402-MA_MED):$C506),"")</f>
        <v/>
      </c>
      <c r="K506" s="52" t="str">
        <f aca="false">IF(AND(ISNUMBER($G506),$G506&gt;=MA_LONG2),AVERAGE(INDEX($C$106:$C506,402-MA_LONG2):$C506),"")</f>
        <v/>
      </c>
      <c r="L506" s="53" t="str">
        <f aca="false">IF(AND(ISNUMBER($G506),$G506&gt;=21),STDEV(INDEX($H$446:$H506,62-20):$H506)*SQRT(245),"")</f>
        <v/>
      </c>
      <c r="M506" s="52" t="str">
        <f aca="false">IF(AND(ISNUMBER($G506),$G506&gt;=60),MAX(INDEX($D$306:$D506,202-60):$D506),"")</f>
        <v/>
      </c>
      <c r="N506" s="52" t="str">
        <f aca="false">IF(AND(ISNUMBER($G506),$G506&gt;=60),MIN(INDEX($E$306:$E506,202-60):$E506),"")</f>
        <v/>
      </c>
      <c r="O506" s="53" t="str">
        <f aca="false">IF(OR(NOT(ISNUMBER($C506)),NOT(ISNUMBER($M506)),$M506=0),"",$C506/$M506-1)</f>
        <v/>
      </c>
    </row>
    <row r="507" customFormat="false" ht="15" hidden="false" customHeight="false" outlineLevel="0" collapsed="false">
      <c r="A507" s="55"/>
      <c r="B507" s="56"/>
      <c r="C507" s="57"/>
      <c r="D507" s="56"/>
      <c r="E507" s="56"/>
      <c r="F507" s="56"/>
      <c r="G507" s="50" t="str">
        <f aca="false">IF($A507="","",IF(ISNUMBER($G506),$G506+1,1))</f>
        <v/>
      </c>
      <c r="H507" s="51" t="str">
        <f aca="false">IF(OR(NOT(ISNUMBER($G507)),$G507&lt;2,NOT(ISNUMBER($C506)),$C506=0),"",$C507/$C506-1)</f>
        <v/>
      </c>
      <c r="I507" s="52" t="str">
        <f aca="false">IF(AND(ISNUMBER($G507),$G507&gt;=MA_SHORT),AVERAGE(INDEX($C$107:$C507,402-MA_SHORT):$C507),"")</f>
        <v/>
      </c>
      <c r="J507" s="52" t="str">
        <f aca="false">IF(AND(ISNUMBER($G507),$G507&gt;=MA_MED),AVERAGE(INDEX($C$107:$C507,402-MA_MED):$C507),"")</f>
        <v/>
      </c>
      <c r="K507" s="52" t="str">
        <f aca="false">IF(AND(ISNUMBER($G507),$G507&gt;=MA_LONG2),AVERAGE(INDEX($C$107:$C507,402-MA_LONG2):$C507),"")</f>
        <v/>
      </c>
      <c r="L507" s="53" t="str">
        <f aca="false">IF(AND(ISNUMBER($G507),$G507&gt;=21),STDEV(INDEX($H$447:$H507,62-20):$H507)*SQRT(245),"")</f>
        <v/>
      </c>
      <c r="M507" s="52" t="str">
        <f aca="false">IF(AND(ISNUMBER($G507),$G507&gt;=60),MAX(INDEX($D$307:$D507,202-60):$D507),"")</f>
        <v/>
      </c>
      <c r="N507" s="52" t="str">
        <f aca="false">IF(AND(ISNUMBER($G507),$G507&gt;=60),MIN(INDEX($E$307:$E507,202-60):$E507),"")</f>
        <v/>
      </c>
      <c r="O507" s="53" t="str">
        <f aca="false">IF(OR(NOT(ISNUMBER($C507)),NOT(ISNUMBER($M507)),$M507=0),"",$C507/$M507-1)</f>
        <v/>
      </c>
    </row>
    <row r="508" customFormat="false" ht="15" hidden="false" customHeight="false" outlineLevel="0" collapsed="false">
      <c r="A508" s="55"/>
      <c r="B508" s="56"/>
      <c r="C508" s="57"/>
      <c r="D508" s="56"/>
      <c r="E508" s="56"/>
      <c r="F508" s="56"/>
      <c r="G508" s="50" t="str">
        <f aca="false">IF($A508="","",IF(ISNUMBER($G507),$G507+1,1))</f>
        <v/>
      </c>
      <c r="H508" s="51" t="str">
        <f aca="false">IF(OR(NOT(ISNUMBER($G508)),$G508&lt;2,NOT(ISNUMBER($C507)),$C507=0),"",$C508/$C507-1)</f>
        <v/>
      </c>
      <c r="I508" s="52" t="str">
        <f aca="false">IF(AND(ISNUMBER($G508),$G508&gt;=MA_SHORT),AVERAGE(INDEX($C$108:$C508,402-MA_SHORT):$C508),"")</f>
        <v/>
      </c>
      <c r="J508" s="52" t="str">
        <f aca="false">IF(AND(ISNUMBER($G508),$G508&gt;=MA_MED),AVERAGE(INDEX($C$108:$C508,402-MA_MED):$C508),"")</f>
        <v/>
      </c>
      <c r="K508" s="52" t="str">
        <f aca="false">IF(AND(ISNUMBER($G508),$G508&gt;=MA_LONG2),AVERAGE(INDEX($C$108:$C508,402-MA_LONG2):$C508),"")</f>
        <v/>
      </c>
      <c r="L508" s="53" t="str">
        <f aca="false">IF(AND(ISNUMBER($G508),$G508&gt;=21),STDEV(INDEX($H$448:$H508,62-20):$H508)*SQRT(245),"")</f>
        <v/>
      </c>
      <c r="M508" s="52" t="str">
        <f aca="false">IF(AND(ISNUMBER($G508),$G508&gt;=60),MAX(INDEX($D$308:$D508,202-60):$D508),"")</f>
        <v/>
      </c>
      <c r="N508" s="52" t="str">
        <f aca="false">IF(AND(ISNUMBER($G508),$G508&gt;=60),MIN(INDEX($E$308:$E508,202-60):$E508),"")</f>
        <v/>
      </c>
      <c r="O508" s="53" t="str">
        <f aca="false">IF(OR(NOT(ISNUMBER($C508)),NOT(ISNUMBER($M508)),$M508=0),"",$C508/$M508-1)</f>
        <v/>
      </c>
    </row>
    <row r="509" customFormat="false" ht="15" hidden="false" customHeight="false" outlineLevel="0" collapsed="false">
      <c r="A509" s="55"/>
      <c r="B509" s="56"/>
      <c r="C509" s="57"/>
      <c r="D509" s="56"/>
      <c r="E509" s="56"/>
      <c r="F509" s="56"/>
      <c r="G509" s="50" t="str">
        <f aca="false">IF($A509="","",IF(ISNUMBER($G508),$G508+1,1))</f>
        <v/>
      </c>
      <c r="H509" s="51" t="str">
        <f aca="false">IF(OR(NOT(ISNUMBER($G509)),$G509&lt;2,NOT(ISNUMBER($C508)),$C508=0),"",$C509/$C508-1)</f>
        <v/>
      </c>
      <c r="I509" s="52" t="str">
        <f aca="false">IF(AND(ISNUMBER($G509),$G509&gt;=MA_SHORT),AVERAGE(INDEX($C$109:$C509,402-MA_SHORT):$C509),"")</f>
        <v/>
      </c>
      <c r="J509" s="52" t="str">
        <f aca="false">IF(AND(ISNUMBER($G509),$G509&gt;=MA_MED),AVERAGE(INDEX($C$109:$C509,402-MA_MED):$C509),"")</f>
        <v/>
      </c>
      <c r="K509" s="52" t="str">
        <f aca="false">IF(AND(ISNUMBER($G509),$G509&gt;=MA_LONG2),AVERAGE(INDEX($C$109:$C509,402-MA_LONG2):$C509),"")</f>
        <v/>
      </c>
      <c r="L509" s="53" t="str">
        <f aca="false">IF(AND(ISNUMBER($G509),$G509&gt;=21),STDEV(INDEX($H$449:$H509,62-20):$H509)*SQRT(245),"")</f>
        <v/>
      </c>
      <c r="M509" s="52" t="str">
        <f aca="false">IF(AND(ISNUMBER($G509),$G509&gt;=60),MAX(INDEX($D$309:$D509,202-60):$D509),"")</f>
        <v/>
      </c>
      <c r="N509" s="52" t="str">
        <f aca="false">IF(AND(ISNUMBER($G509),$G509&gt;=60),MIN(INDEX($E$309:$E509,202-60):$E509),"")</f>
        <v/>
      </c>
      <c r="O509" s="53" t="str">
        <f aca="false">IF(OR(NOT(ISNUMBER($C509)),NOT(ISNUMBER($M509)),$M509=0),"",$C509/$M509-1)</f>
        <v/>
      </c>
    </row>
    <row r="510" customFormat="false" ht="15" hidden="false" customHeight="false" outlineLevel="0" collapsed="false">
      <c r="A510" s="55"/>
      <c r="B510" s="56"/>
      <c r="C510" s="57"/>
      <c r="D510" s="56"/>
      <c r="E510" s="56"/>
      <c r="F510" s="56"/>
      <c r="G510" s="50" t="str">
        <f aca="false">IF($A510="","",IF(ISNUMBER($G509),$G509+1,1))</f>
        <v/>
      </c>
      <c r="H510" s="51" t="str">
        <f aca="false">IF(OR(NOT(ISNUMBER($G510)),$G510&lt;2,NOT(ISNUMBER($C509)),$C509=0),"",$C510/$C509-1)</f>
        <v/>
      </c>
      <c r="I510" s="52" t="str">
        <f aca="false">IF(AND(ISNUMBER($G510),$G510&gt;=MA_SHORT),AVERAGE(INDEX($C$110:$C510,402-MA_SHORT):$C510),"")</f>
        <v/>
      </c>
      <c r="J510" s="52" t="str">
        <f aca="false">IF(AND(ISNUMBER($G510),$G510&gt;=MA_MED),AVERAGE(INDEX($C$110:$C510,402-MA_MED):$C510),"")</f>
        <v/>
      </c>
      <c r="K510" s="52" t="str">
        <f aca="false">IF(AND(ISNUMBER($G510),$G510&gt;=MA_LONG2),AVERAGE(INDEX($C$110:$C510,402-MA_LONG2):$C510),"")</f>
        <v/>
      </c>
      <c r="L510" s="53" t="str">
        <f aca="false">IF(AND(ISNUMBER($G510),$G510&gt;=21),STDEV(INDEX($H$450:$H510,62-20):$H510)*SQRT(245),"")</f>
        <v/>
      </c>
      <c r="M510" s="52" t="str">
        <f aca="false">IF(AND(ISNUMBER($G510),$G510&gt;=60),MAX(INDEX($D$310:$D510,202-60):$D510),"")</f>
        <v/>
      </c>
      <c r="N510" s="52" t="str">
        <f aca="false">IF(AND(ISNUMBER($G510),$G510&gt;=60),MIN(INDEX($E$310:$E510,202-60):$E510),"")</f>
        <v/>
      </c>
      <c r="O510" s="53" t="str">
        <f aca="false">IF(OR(NOT(ISNUMBER($C510)),NOT(ISNUMBER($M510)),$M510=0),"",$C510/$M510-1)</f>
        <v/>
      </c>
    </row>
    <row r="511" customFormat="false" ht="15" hidden="false" customHeight="false" outlineLevel="0" collapsed="false">
      <c r="A511" s="55"/>
      <c r="B511" s="56"/>
      <c r="C511" s="57"/>
      <c r="D511" s="56"/>
      <c r="E511" s="56"/>
      <c r="F511" s="56"/>
      <c r="G511" s="50" t="str">
        <f aca="false">IF($A511="","",IF(ISNUMBER($G510),$G510+1,1))</f>
        <v/>
      </c>
      <c r="H511" s="51" t="str">
        <f aca="false">IF(OR(NOT(ISNUMBER($G511)),$G511&lt;2,NOT(ISNUMBER($C510)),$C510=0),"",$C511/$C510-1)</f>
        <v/>
      </c>
      <c r="I511" s="52" t="str">
        <f aca="false">IF(AND(ISNUMBER($G511),$G511&gt;=MA_SHORT),AVERAGE(INDEX($C$111:$C511,402-MA_SHORT):$C511),"")</f>
        <v/>
      </c>
      <c r="J511" s="52" t="str">
        <f aca="false">IF(AND(ISNUMBER($G511),$G511&gt;=MA_MED),AVERAGE(INDEX($C$111:$C511,402-MA_MED):$C511),"")</f>
        <v/>
      </c>
      <c r="K511" s="52" t="str">
        <f aca="false">IF(AND(ISNUMBER($G511),$G511&gt;=MA_LONG2),AVERAGE(INDEX($C$111:$C511,402-MA_LONG2):$C511),"")</f>
        <v/>
      </c>
      <c r="L511" s="53" t="str">
        <f aca="false">IF(AND(ISNUMBER($G511),$G511&gt;=21),STDEV(INDEX($H$451:$H511,62-20):$H511)*SQRT(245),"")</f>
        <v/>
      </c>
      <c r="M511" s="52" t="str">
        <f aca="false">IF(AND(ISNUMBER($G511),$G511&gt;=60),MAX(INDEX($D$311:$D511,202-60):$D511),"")</f>
        <v/>
      </c>
      <c r="N511" s="52" t="str">
        <f aca="false">IF(AND(ISNUMBER($G511),$G511&gt;=60),MIN(INDEX($E$311:$E511,202-60):$E511),"")</f>
        <v/>
      </c>
      <c r="O511" s="53" t="str">
        <f aca="false">IF(OR(NOT(ISNUMBER($C511)),NOT(ISNUMBER($M511)),$M511=0),"",$C511/$M511-1)</f>
        <v/>
      </c>
    </row>
    <row r="512" customFormat="false" ht="15" hidden="false" customHeight="false" outlineLevel="0" collapsed="false">
      <c r="A512" s="55"/>
      <c r="B512" s="56"/>
      <c r="C512" s="57"/>
      <c r="D512" s="56"/>
      <c r="E512" s="56"/>
      <c r="F512" s="56"/>
      <c r="G512" s="50" t="str">
        <f aca="false">IF($A512="","",IF(ISNUMBER($G511),$G511+1,1))</f>
        <v/>
      </c>
      <c r="H512" s="51" t="str">
        <f aca="false">IF(OR(NOT(ISNUMBER($G512)),$G512&lt;2,NOT(ISNUMBER($C511)),$C511=0),"",$C512/$C511-1)</f>
        <v/>
      </c>
      <c r="I512" s="52" t="str">
        <f aca="false">IF(AND(ISNUMBER($G512),$G512&gt;=MA_SHORT),AVERAGE(INDEX($C$112:$C512,402-MA_SHORT):$C512),"")</f>
        <v/>
      </c>
      <c r="J512" s="52" t="str">
        <f aca="false">IF(AND(ISNUMBER($G512),$G512&gt;=MA_MED),AVERAGE(INDEX($C$112:$C512,402-MA_MED):$C512),"")</f>
        <v/>
      </c>
      <c r="K512" s="52" t="str">
        <f aca="false">IF(AND(ISNUMBER($G512),$G512&gt;=MA_LONG2),AVERAGE(INDEX($C$112:$C512,402-MA_LONG2):$C512),"")</f>
        <v/>
      </c>
      <c r="L512" s="53" t="str">
        <f aca="false">IF(AND(ISNUMBER($G512),$G512&gt;=21),STDEV(INDEX($H$452:$H512,62-20):$H512)*SQRT(245),"")</f>
        <v/>
      </c>
      <c r="M512" s="52" t="str">
        <f aca="false">IF(AND(ISNUMBER($G512),$G512&gt;=60),MAX(INDEX($D$312:$D512,202-60):$D512),"")</f>
        <v/>
      </c>
      <c r="N512" s="52" t="str">
        <f aca="false">IF(AND(ISNUMBER($G512),$G512&gt;=60),MIN(INDEX($E$312:$E512,202-60):$E512),"")</f>
        <v/>
      </c>
      <c r="O512" s="53" t="str">
        <f aca="false">IF(OR(NOT(ISNUMBER($C512)),NOT(ISNUMBER($M512)),$M512=0),"",$C512/$M512-1)</f>
        <v/>
      </c>
    </row>
    <row r="513" customFormat="false" ht="15" hidden="false" customHeight="false" outlineLevel="0" collapsed="false">
      <c r="A513" s="55"/>
      <c r="B513" s="56"/>
      <c r="C513" s="57"/>
      <c r="D513" s="56"/>
      <c r="E513" s="56"/>
      <c r="F513" s="56"/>
      <c r="G513" s="50" t="str">
        <f aca="false">IF($A513="","",IF(ISNUMBER($G512),$G512+1,1))</f>
        <v/>
      </c>
      <c r="H513" s="51" t="str">
        <f aca="false">IF(OR(NOT(ISNUMBER($G513)),$G513&lt;2,NOT(ISNUMBER($C512)),$C512=0),"",$C513/$C512-1)</f>
        <v/>
      </c>
      <c r="I513" s="52" t="str">
        <f aca="false">IF(AND(ISNUMBER($G513),$G513&gt;=MA_SHORT),AVERAGE(INDEX($C$113:$C513,402-MA_SHORT):$C513),"")</f>
        <v/>
      </c>
      <c r="J513" s="52" t="str">
        <f aca="false">IF(AND(ISNUMBER($G513),$G513&gt;=MA_MED),AVERAGE(INDEX($C$113:$C513,402-MA_MED):$C513),"")</f>
        <v/>
      </c>
      <c r="K513" s="52" t="str">
        <f aca="false">IF(AND(ISNUMBER($G513),$G513&gt;=MA_LONG2),AVERAGE(INDEX($C$113:$C513,402-MA_LONG2):$C513),"")</f>
        <v/>
      </c>
      <c r="L513" s="53" t="str">
        <f aca="false">IF(AND(ISNUMBER($G513),$G513&gt;=21),STDEV(INDEX($H$453:$H513,62-20):$H513)*SQRT(245),"")</f>
        <v/>
      </c>
      <c r="M513" s="52" t="str">
        <f aca="false">IF(AND(ISNUMBER($G513),$G513&gt;=60),MAX(INDEX($D$313:$D513,202-60):$D513),"")</f>
        <v/>
      </c>
      <c r="N513" s="52" t="str">
        <f aca="false">IF(AND(ISNUMBER($G513),$G513&gt;=60),MIN(INDEX($E$313:$E513,202-60):$E513),"")</f>
        <v/>
      </c>
      <c r="O513" s="53" t="str">
        <f aca="false">IF(OR(NOT(ISNUMBER($C513)),NOT(ISNUMBER($M513)),$M513=0),"",$C513/$M513-1)</f>
        <v/>
      </c>
    </row>
    <row r="514" customFormat="false" ht="15" hidden="false" customHeight="false" outlineLevel="0" collapsed="false">
      <c r="A514" s="55"/>
      <c r="B514" s="56"/>
      <c r="C514" s="57"/>
      <c r="D514" s="56"/>
      <c r="E514" s="56"/>
      <c r="F514" s="56"/>
      <c r="G514" s="50" t="str">
        <f aca="false">IF($A514="","",IF(ISNUMBER($G513),$G513+1,1))</f>
        <v/>
      </c>
      <c r="H514" s="51" t="str">
        <f aca="false">IF(OR(NOT(ISNUMBER($G514)),$G514&lt;2,NOT(ISNUMBER($C513)),$C513=0),"",$C514/$C513-1)</f>
        <v/>
      </c>
      <c r="I514" s="52" t="str">
        <f aca="false">IF(AND(ISNUMBER($G514),$G514&gt;=MA_SHORT),AVERAGE(INDEX($C$114:$C514,402-MA_SHORT):$C514),"")</f>
        <v/>
      </c>
      <c r="J514" s="52" t="str">
        <f aca="false">IF(AND(ISNUMBER($G514),$G514&gt;=MA_MED),AVERAGE(INDEX($C$114:$C514,402-MA_MED):$C514),"")</f>
        <v/>
      </c>
      <c r="K514" s="52" t="str">
        <f aca="false">IF(AND(ISNUMBER($G514),$G514&gt;=MA_LONG2),AVERAGE(INDEX($C$114:$C514,402-MA_LONG2):$C514),"")</f>
        <v/>
      </c>
      <c r="L514" s="53" t="str">
        <f aca="false">IF(AND(ISNUMBER($G514),$G514&gt;=21),STDEV(INDEX($H$454:$H514,62-20):$H514)*SQRT(245),"")</f>
        <v/>
      </c>
      <c r="M514" s="52" t="str">
        <f aca="false">IF(AND(ISNUMBER($G514),$G514&gt;=60),MAX(INDEX($D$314:$D514,202-60):$D514),"")</f>
        <v/>
      </c>
      <c r="N514" s="52" t="str">
        <f aca="false">IF(AND(ISNUMBER($G514),$G514&gt;=60),MIN(INDEX($E$314:$E514,202-60):$E514),"")</f>
        <v/>
      </c>
      <c r="O514" s="53" t="str">
        <f aca="false">IF(OR(NOT(ISNUMBER($C514)),NOT(ISNUMBER($M514)),$M514=0),"",$C514/$M514-1)</f>
        <v/>
      </c>
    </row>
    <row r="515" customFormat="false" ht="15" hidden="false" customHeight="false" outlineLevel="0" collapsed="false">
      <c r="A515" s="55"/>
      <c r="B515" s="56"/>
      <c r="C515" s="57"/>
      <c r="D515" s="56"/>
      <c r="E515" s="56"/>
      <c r="F515" s="56"/>
      <c r="G515" s="50" t="str">
        <f aca="false">IF($A515="","",IF(ISNUMBER($G514),$G514+1,1))</f>
        <v/>
      </c>
      <c r="H515" s="51" t="str">
        <f aca="false">IF(OR(NOT(ISNUMBER($G515)),$G515&lt;2,NOT(ISNUMBER($C514)),$C514=0),"",$C515/$C514-1)</f>
        <v/>
      </c>
      <c r="I515" s="52" t="str">
        <f aca="false">IF(AND(ISNUMBER($G515),$G515&gt;=MA_SHORT),AVERAGE(INDEX($C$115:$C515,402-MA_SHORT):$C515),"")</f>
        <v/>
      </c>
      <c r="J515" s="52" t="str">
        <f aca="false">IF(AND(ISNUMBER($G515),$G515&gt;=MA_MED),AVERAGE(INDEX($C$115:$C515,402-MA_MED):$C515),"")</f>
        <v/>
      </c>
      <c r="K515" s="52" t="str">
        <f aca="false">IF(AND(ISNUMBER($G515),$G515&gt;=MA_LONG2),AVERAGE(INDEX($C$115:$C515,402-MA_LONG2):$C515),"")</f>
        <v/>
      </c>
      <c r="L515" s="53" t="str">
        <f aca="false">IF(AND(ISNUMBER($G515),$G515&gt;=21),STDEV(INDEX($H$455:$H515,62-20):$H515)*SQRT(245),"")</f>
        <v/>
      </c>
      <c r="M515" s="52" t="str">
        <f aca="false">IF(AND(ISNUMBER($G515),$G515&gt;=60),MAX(INDEX($D$315:$D515,202-60):$D515),"")</f>
        <v/>
      </c>
      <c r="N515" s="52" t="str">
        <f aca="false">IF(AND(ISNUMBER($G515),$G515&gt;=60),MIN(INDEX($E$315:$E515,202-60):$E515),"")</f>
        <v/>
      </c>
      <c r="O515" s="53" t="str">
        <f aca="false">IF(OR(NOT(ISNUMBER($C515)),NOT(ISNUMBER($M515)),$M515=0),"",$C515/$M515-1)</f>
        <v/>
      </c>
    </row>
    <row r="516" customFormat="false" ht="15" hidden="false" customHeight="false" outlineLevel="0" collapsed="false">
      <c r="A516" s="55"/>
      <c r="B516" s="56"/>
      <c r="C516" s="57"/>
      <c r="D516" s="56"/>
      <c r="E516" s="56"/>
      <c r="F516" s="56"/>
      <c r="G516" s="50" t="str">
        <f aca="false">IF($A516="","",IF(ISNUMBER($G515),$G515+1,1))</f>
        <v/>
      </c>
      <c r="H516" s="51" t="str">
        <f aca="false">IF(OR(NOT(ISNUMBER($G516)),$G516&lt;2,NOT(ISNUMBER($C515)),$C515=0),"",$C516/$C515-1)</f>
        <v/>
      </c>
      <c r="I516" s="52" t="str">
        <f aca="false">IF(AND(ISNUMBER($G516),$G516&gt;=MA_SHORT),AVERAGE(INDEX($C$116:$C516,402-MA_SHORT):$C516),"")</f>
        <v/>
      </c>
      <c r="J516" s="52" t="str">
        <f aca="false">IF(AND(ISNUMBER($G516),$G516&gt;=MA_MED),AVERAGE(INDEX($C$116:$C516,402-MA_MED):$C516),"")</f>
        <v/>
      </c>
      <c r="K516" s="52" t="str">
        <f aca="false">IF(AND(ISNUMBER($G516),$G516&gt;=MA_LONG2),AVERAGE(INDEX($C$116:$C516,402-MA_LONG2):$C516),"")</f>
        <v/>
      </c>
      <c r="L516" s="53" t="str">
        <f aca="false">IF(AND(ISNUMBER($G516),$G516&gt;=21),STDEV(INDEX($H$456:$H516,62-20):$H516)*SQRT(245),"")</f>
        <v/>
      </c>
      <c r="M516" s="52" t="str">
        <f aca="false">IF(AND(ISNUMBER($G516),$G516&gt;=60),MAX(INDEX($D$316:$D516,202-60):$D516),"")</f>
        <v/>
      </c>
      <c r="N516" s="52" t="str">
        <f aca="false">IF(AND(ISNUMBER($G516),$G516&gt;=60),MIN(INDEX($E$316:$E516,202-60):$E516),"")</f>
        <v/>
      </c>
      <c r="O516" s="53" t="str">
        <f aca="false">IF(OR(NOT(ISNUMBER($C516)),NOT(ISNUMBER($M516)),$M516=0),"",$C516/$M516-1)</f>
        <v/>
      </c>
    </row>
    <row r="517" customFormat="false" ht="15" hidden="false" customHeight="false" outlineLevel="0" collapsed="false">
      <c r="A517" s="55"/>
      <c r="B517" s="56"/>
      <c r="C517" s="57"/>
      <c r="D517" s="56"/>
      <c r="E517" s="56"/>
      <c r="F517" s="56"/>
      <c r="G517" s="50" t="str">
        <f aca="false">IF($A517="","",IF(ISNUMBER($G516),$G516+1,1))</f>
        <v/>
      </c>
      <c r="H517" s="51" t="str">
        <f aca="false">IF(OR(NOT(ISNUMBER($G517)),$G517&lt;2,NOT(ISNUMBER($C516)),$C516=0),"",$C517/$C516-1)</f>
        <v/>
      </c>
      <c r="I517" s="52" t="str">
        <f aca="false">IF(AND(ISNUMBER($G517),$G517&gt;=MA_SHORT),AVERAGE(INDEX($C$117:$C517,402-MA_SHORT):$C517),"")</f>
        <v/>
      </c>
      <c r="J517" s="52" t="str">
        <f aca="false">IF(AND(ISNUMBER($G517),$G517&gt;=MA_MED),AVERAGE(INDEX($C$117:$C517,402-MA_MED):$C517),"")</f>
        <v/>
      </c>
      <c r="K517" s="52" t="str">
        <f aca="false">IF(AND(ISNUMBER($G517),$G517&gt;=MA_LONG2),AVERAGE(INDEX($C$117:$C517,402-MA_LONG2):$C517),"")</f>
        <v/>
      </c>
      <c r="L517" s="53" t="str">
        <f aca="false">IF(AND(ISNUMBER($G517),$G517&gt;=21),STDEV(INDEX($H$457:$H517,62-20):$H517)*SQRT(245),"")</f>
        <v/>
      </c>
      <c r="M517" s="52" t="str">
        <f aca="false">IF(AND(ISNUMBER($G517),$G517&gt;=60),MAX(INDEX($D$317:$D517,202-60):$D517),"")</f>
        <v/>
      </c>
      <c r="N517" s="52" t="str">
        <f aca="false">IF(AND(ISNUMBER($G517),$G517&gt;=60),MIN(INDEX($E$317:$E517,202-60):$E517),"")</f>
        <v/>
      </c>
      <c r="O517" s="53" t="str">
        <f aca="false">IF(OR(NOT(ISNUMBER($C517)),NOT(ISNUMBER($M517)),$M517=0),"",$C517/$M517-1)</f>
        <v/>
      </c>
    </row>
    <row r="518" customFormat="false" ht="15" hidden="false" customHeight="false" outlineLevel="0" collapsed="false">
      <c r="A518" s="55"/>
      <c r="B518" s="56"/>
      <c r="C518" s="57"/>
      <c r="D518" s="56"/>
      <c r="E518" s="56"/>
      <c r="F518" s="56"/>
      <c r="G518" s="50" t="str">
        <f aca="false">IF($A518="","",IF(ISNUMBER($G517),$G517+1,1))</f>
        <v/>
      </c>
      <c r="H518" s="51" t="str">
        <f aca="false">IF(OR(NOT(ISNUMBER($G518)),$G518&lt;2,NOT(ISNUMBER($C517)),$C517=0),"",$C518/$C517-1)</f>
        <v/>
      </c>
      <c r="I518" s="52" t="str">
        <f aca="false">IF(AND(ISNUMBER($G518),$G518&gt;=MA_SHORT),AVERAGE(INDEX($C$118:$C518,402-MA_SHORT):$C518),"")</f>
        <v/>
      </c>
      <c r="J518" s="52" t="str">
        <f aca="false">IF(AND(ISNUMBER($G518),$G518&gt;=MA_MED),AVERAGE(INDEX($C$118:$C518,402-MA_MED):$C518),"")</f>
        <v/>
      </c>
      <c r="K518" s="52" t="str">
        <f aca="false">IF(AND(ISNUMBER($G518),$G518&gt;=MA_LONG2),AVERAGE(INDEX($C$118:$C518,402-MA_LONG2):$C518),"")</f>
        <v/>
      </c>
      <c r="L518" s="53" t="str">
        <f aca="false">IF(AND(ISNUMBER($G518),$G518&gt;=21),STDEV(INDEX($H$458:$H518,62-20):$H518)*SQRT(245),"")</f>
        <v/>
      </c>
      <c r="M518" s="52" t="str">
        <f aca="false">IF(AND(ISNUMBER($G518),$G518&gt;=60),MAX(INDEX($D$318:$D518,202-60):$D518),"")</f>
        <v/>
      </c>
      <c r="N518" s="52" t="str">
        <f aca="false">IF(AND(ISNUMBER($G518),$G518&gt;=60),MIN(INDEX($E$318:$E518,202-60):$E518),"")</f>
        <v/>
      </c>
      <c r="O518" s="53" t="str">
        <f aca="false">IF(OR(NOT(ISNUMBER($C518)),NOT(ISNUMBER($M518)),$M518=0),"",$C518/$M518-1)</f>
        <v/>
      </c>
    </row>
    <row r="519" customFormat="false" ht="15" hidden="false" customHeight="false" outlineLevel="0" collapsed="false">
      <c r="A519" s="55"/>
      <c r="B519" s="56"/>
      <c r="C519" s="57"/>
      <c r="D519" s="56"/>
      <c r="E519" s="56"/>
      <c r="F519" s="56"/>
      <c r="G519" s="50" t="str">
        <f aca="false">IF($A519="","",IF(ISNUMBER($G518),$G518+1,1))</f>
        <v/>
      </c>
      <c r="H519" s="51" t="str">
        <f aca="false">IF(OR(NOT(ISNUMBER($G519)),$G519&lt;2,NOT(ISNUMBER($C518)),$C518=0),"",$C519/$C518-1)</f>
        <v/>
      </c>
      <c r="I519" s="52" t="str">
        <f aca="false">IF(AND(ISNUMBER($G519),$G519&gt;=MA_SHORT),AVERAGE(INDEX($C$119:$C519,402-MA_SHORT):$C519),"")</f>
        <v/>
      </c>
      <c r="J519" s="52" t="str">
        <f aca="false">IF(AND(ISNUMBER($G519),$G519&gt;=MA_MED),AVERAGE(INDEX($C$119:$C519,402-MA_MED):$C519),"")</f>
        <v/>
      </c>
      <c r="K519" s="52" t="str">
        <f aca="false">IF(AND(ISNUMBER($G519),$G519&gt;=MA_LONG2),AVERAGE(INDEX($C$119:$C519,402-MA_LONG2):$C519),"")</f>
        <v/>
      </c>
      <c r="L519" s="53" t="str">
        <f aca="false">IF(AND(ISNUMBER($G519),$G519&gt;=21),STDEV(INDEX($H$459:$H519,62-20):$H519)*SQRT(245),"")</f>
        <v/>
      </c>
      <c r="M519" s="52" t="str">
        <f aca="false">IF(AND(ISNUMBER($G519),$G519&gt;=60),MAX(INDEX($D$319:$D519,202-60):$D519),"")</f>
        <v/>
      </c>
      <c r="N519" s="52" t="str">
        <f aca="false">IF(AND(ISNUMBER($G519),$G519&gt;=60),MIN(INDEX($E$319:$E519,202-60):$E519),"")</f>
        <v/>
      </c>
      <c r="O519" s="53" t="str">
        <f aca="false">IF(OR(NOT(ISNUMBER($C519)),NOT(ISNUMBER($M519)),$M519=0),"",$C519/$M519-1)</f>
        <v/>
      </c>
    </row>
    <row r="520" customFormat="false" ht="15" hidden="false" customHeight="false" outlineLevel="0" collapsed="false">
      <c r="A520" s="55"/>
      <c r="B520" s="56"/>
      <c r="C520" s="57"/>
      <c r="D520" s="56"/>
      <c r="E520" s="56"/>
      <c r="F520" s="56"/>
      <c r="G520" s="50" t="str">
        <f aca="false">IF($A520="","",IF(ISNUMBER($G519),$G519+1,1))</f>
        <v/>
      </c>
      <c r="H520" s="51" t="str">
        <f aca="false">IF(OR(NOT(ISNUMBER($G520)),$G520&lt;2,NOT(ISNUMBER($C519)),$C519=0),"",$C520/$C519-1)</f>
        <v/>
      </c>
      <c r="I520" s="52" t="str">
        <f aca="false">IF(AND(ISNUMBER($G520),$G520&gt;=MA_SHORT),AVERAGE(INDEX($C$120:$C520,402-MA_SHORT):$C520),"")</f>
        <v/>
      </c>
      <c r="J520" s="52" t="str">
        <f aca="false">IF(AND(ISNUMBER($G520),$G520&gt;=MA_MED),AVERAGE(INDEX($C$120:$C520,402-MA_MED):$C520),"")</f>
        <v/>
      </c>
      <c r="K520" s="52" t="str">
        <f aca="false">IF(AND(ISNUMBER($G520),$G520&gt;=MA_LONG2),AVERAGE(INDEX($C$120:$C520,402-MA_LONG2):$C520),"")</f>
        <v/>
      </c>
      <c r="L520" s="53" t="str">
        <f aca="false">IF(AND(ISNUMBER($G520),$G520&gt;=21),STDEV(INDEX($H$460:$H520,62-20):$H520)*SQRT(245),"")</f>
        <v/>
      </c>
      <c r="M520" s="52" t="str">
        <f aca="false">IF(AND(ISNUMBER($G520),$G520&gt;=60),MAX(INDEX($D$320:$D520,202-60):$D520),"")</f>
        <v/>
      </c>
      <c r="N520" s="52" t="str">
        <f aca="false">IF(AND(ISNUMBER($G520),$G520&gt;=60),MIN(INDEX($E$320:$E520,202-60):$E520),"")</f>
        <v/>
      </c>
      <c r="O520" s="53" t="str">
        <f aca="false">IF(OR(NOT(ISNUMBER($C520)),NOT(ISNUMBER($M520)),$M520=0),"",$C520/$M520-1)</f>
        <v/>
      </c>
    </row>
    <row r="521" customFormat="false" ht="15" hidden="false" customHeight="false" outlineLevel="0" collapsed="false">
      <c r="A521" s="55"/>
      <c r="B521" s="56"/>
      <c r="C521" s="57"/>
      <c r="D521" s="56"/>
      <c r="E521" s="56"/>
      <c r="F521" s="56"/>
      <c r="G521" s="50" t="str">
        <f aca="false">IF($A521="","",IF(ISNUMBER($G520),$G520+1,1))</f>
        <v/>
      </c>
      <c r="H521" s="51" t="str">
        <f aca="false">IF(OR(NOT(ISNUMBER($G521)),$G521&lt;2,NOT(ISNUMBER($C520)),$C520=0),"",$C521/$C520-1)</f>
        <v/>
      </c>
      <c r="I521" s="52" t="str">
        <f aca="false">IF(AND(ISNUMBER($G521),$G521&gt;=MA_SHORT),AVERAGE(INDEX($C$121:$C521,402-MA_SHORT):$C521),"")</f>
        <v/>
      </c>
      <c r="J521" s="52" t="str">
        <f aca="false">IF(AND(ISNUMBER($G521),$G521&gt;=MA_MED),AVERAGE(INDEX($C$121:$C521,402-MA_MED):$C521),"")</f>
        <v/>
      </c>
      <c r="K521" s="52" t="str">
        <f aca="false">IF(AND(ISNUMBER($G521),$G521&gt;=MA_LONG2),AVERAGE(INDEX($C$121:$C521,402-MA_LONG2):$C521),"")</f>
        <v/>
      </c>
      <c r="L521" s="53" t="str">
        <f aca="false">IF(AND(ISNUMBER($G521),$G521&gt;=21),STDEV(INDEX($H$461:$H521,62-20):$H521)*SQRT(245),"")</f>
        <v/>
      </c>
      <c r="M521" s="52" t="str">
        <f aca="false">IF(AND(ISNUMBER($G521),$G521&gt;=60),MAX(INDEX($D$321:$D521,202-60):$D521),"")</f>
        <v/>
      </c>
      <c r="N521" s="52" t="str">
        <f aca="false">IF(AND(ISNUMBER($G521),$G521&gt;=60),MIN(INDEX($E$321:$E521,202-60):$E521),"")</f>
        <v/>
      </c>
      <c r="O521" s="53" t="str">
        <f aca="false">IF(OR(NOT(ISNUMBER($C521)),NOT(ISNUMBER($M521)),$M521=0),"",$C521/$M521-1)</f>
        <v/>
      </c>
    </row>
    <row r="522" customFormat="false" ht="15" hidden="false" customHeight="false" outlineLevel="0" collapsed="false">
      <c r="A522" s="55"/>
      <c r="B522" s="56"/>
      <c r="C522" s="57"/>
      <c r="D522" s="56"/>
      <c r="E522" s="56"/>
      <c r="F522" s="56"/>
      <c r="G522" s="50" t="str">
        <f aca="false">IF($A522="","",IF(ISNUMBER($G521),$G521+1,1))</f>
        <v/>
      </c>
      <c r="H522" s="51" t="str">
        <f aca="false">IF(OR(NOT(ISNUMBER($G522)),$G522&lt;2,NOT(ISNUMBER($C521)),$C521=0),"",$C522/$C521-1)</f>
        <v/>
      </c>
      <c r="I522" s="52" t="str">
        <f aca="false">IF(AND(ISNUMBER($G522),$G522&gt;=MA_SHORT),AVERAGE(INDEX($C$122:$C522,402-MA_SHORT):$C522),"")</f>
        <v/>
      </c>
      <c r="J522" s="52" t="str">
        <f aca="false">IF(AND(ISNUMBER($G522),$G522&gt;=MA_MED),AVERAGE(INDEX($C$122:$C522,402-MA_MED):$C522),"")</f>
        <v/>
      </c>
      <c r="K522" s="52" t="str">
        <f aca="false">IF(AND(ISNUMBER($G522),$G522&gt;=MA_LONG2),AVERAGE(INDEX($C$122:$C522,402-MA_LONG2):$C522),"")</f>
        <v/>
      </c>
      <c r="L522" s="53" t="str">
        <f aca="false">IF(AND(ISNUMBER($G522),$G522&gt;=21),STDEV(INDEX($H$462:$H522,62-20):$H522)*SQRT(245),"")</f>
        <v/>
      </c>
      <c r="M522" s="52" t="str">
        <f aca="false">IF(AND(ISNUMBER($G522),$G522&gt;=60),MAX(INDEX($D$322:$D522,202-60):$D522),"")</f>
        <v/>
      </c>
      <c r="N522" s="52" t="str">
        <f aca="false">IF(AND(ISNUMBER($G522),$G522&gt;=60),MIN(INDEX($E$322:$E522,202-60):$E522),"")</f>
        <v/>
      </c>
      <c r="O522" s="53" t="str">
        <f aca="false">IF(OR(NOT(ISNUMBER($C522)),NOT(ISNUMBER($M522)),$M522=0),"",$C522/$M522-1)</f>
        <v/>
      </c>
    </row>
    <row r="523" customFormat="false" ht="15" hidden="false" customHeight="false" outlineLevel="0" collapsed="false">
      <c r="A523" s="55"/>
      <c r="B523" s="56"/>
      <c r="C523" s="57"/>
      <c r="D523" s="56"/>
      <c r="E523" s="56"/>
      <c r="F523" s="56"/>
      <c r="G523" s="50" t="str">
        <f aca="false">IF($A523="","",IF(ISNUMBER($G522),$G522+1,1))</f>
        <v/>
      </c>
      <c r="H523" s="51" t="str">
        <f aca="false">IF(OR(NOT(ISNUMBER($G523)),$G523&lt;2,NOT(ISNUMBER($C522)),$C522=0),"",$C523/$C522-1)</f>
        <v/>
      </c>
      <c r="I523" s="52" t="str">
        <f aca="false">IF(AND(ISNUMBER($G523),$G523&gt;=MA_SHORT),AVERAGE(INDEX($C$123:$C523,402-MA_SHORT):$C523),"")</f>
        <v/>
      </c>
      <c r="J523" s="52" t="str">
        <f aca="false">IF(AND(ISNUMBER($G523),$G523&gt;=MA_MED),AVERAGE(INDEX($C$123:$C523,402-MA_MED):$C523),"")</f>
        <v/>
      </c>
      <c r="K523" s="52" t="str">
        <f aca="false">IF(AND(ISNUMBER($G523),$G523&gt;=MA_LONG2),AVERAGE(INDEX($C$123:$C523,402-MA_LONG2):$C523),"")</f>
        <v/>
      </c>
      <c r="L523" s="53" t="str">
        <f aca="false">IF(AND(ISNUMBER($G523),$G523&gt;=21),STDEV(INDEX($H$463:$H523,62-20):$H523)*SQRT(245),"")</f>
        <v/>
      </c>
      <c r="M523" s="52" t="str">
        <f aca="false">IF(AND(ISNUMBER($G523),$G523&gt;=60),MAX(INDEX($D$323:$D523,202-60):$D523),"")</f>
        <v/>
      </c>
      <c r="N523" s="52" t="str">
        <f aca="false">IF(AND(ISNUMBER($G523),$G523&gt;=60),MIN(INDEX($E$323:$E523,202-60):$E523),"")</f>
        <v/>
      </c>
      <c r="O523" s="53" t="str">
        <f aca="false">IF(OR(NOT(ISNUMBER($C523)),NOT(ISNUMBER($M523)),$M523=0),"",$C523/$M523-1)</f>
        <v/>
      </c>
    </row>
    <row r="524" customFormat="false" ht="15" hidden="false" customHeight="false" outlineLevel="0" collapsed="false">
      <c r="A524" s="55"/>
      <c r="B524" s="56"/>
      <c r="C524" s="57"/>
      <c r="D524" s="56"/>
      <c r="E524" s="56"/>
      <c r="F524" s="56"/>
      <c r="G524" s="50" t="str">
        <f aca="false">IF($A524="","",IF(ISNUMBER($G523),$G523+1,1))</f>
        <v/>
      </c>
      <c r="H524" s="51" t="str">
        <f aca="false">IF(OR(NOT(ISNUMBER($G524)),$G524&lt;2,NOT(ISNUMBER($C523)),$C523=0),"",$C524/$C523-1)</f>
        <v/>
      </c>
      <c r="I524" s="52" t="str">
        <f aca="false">IF(AND(ISNUMBER($G524),$G524&gt;=MA_SHORT),AVERAGE(INDEX($C$124:$C524,402-MA_SHORT):$C524),"")</f>
        <v/>
      </c>
      <c r="J524" s="52" t="str">
        <f aca="false">IF(AND(ISNUMBER($G524),$G524&gt;=MA_MED),AVERAGE(INDEX($C$124:$C524,402-MA_MED):$C524),"")</f>
        <v/>
      </c>
      <c r="K524" s="52" t="str">
        <f aca="false">IF(AND(ISNUMBER($G524),$G524&gt;=MA_LONG2),AVERAGE(INDEX($C$124:$C524,402-MA_LONG2):$C524),"")</f>
        <v/>
      </c>
      <c r="L524" s="53" t="str">
        <f aca="false">IF(AND(ISNUMBER($G524),$G524&gt;=21),STDEV(INDEX($H$464:$H524,62-20):$H524)*SQRT(245),"")</f>
        <v/>
      </c>
      <c r="M524" s="52" t="str">
        <f aca="false">IF(AND(ISNUMBER($G524),$G524&gt;=60),MAX(INDEX($D$324:$D524,202-60):$D524),"")</f>
        <v/>
      </c>
      <c r="N524" s="52" t="str">
        <f aca="false">IF(AND(ISNUMBER($G524),$G524&gt;=60),MIN(INDEX($E$324:$E524,202-60):$E524),"")</f>
        <v/>
      </c>
      <c r="O524" s="53" t="str">
        <f aca="false">IF(OR(NOT(ISNUMBER($C524)),NOT(ISNUMBER($M524)),$M524=0),"",$C524/$M524-1)</f>
        <v/>
      </c>
    </row>
    <row r="525" customFormat="false" ht="15" hidden="false" customHeight="false" outlineLevel="0" collapsed="false">
      <c r="A525" s="55"/>
      <c r="B525" s="56"/>
      <c r="C525" s="57"/>
      <c r="D525" s="56"/>
      <c r="E525" s="56"/>
      <c r="F525" s="56"/>
      <c r="G525" s="50" t="str">
        <f aca="false">IF($A525="","",IF(ISNUMBER($G524),$G524+1,1))</f>
        <v/>
      </c>
      <c r="H525" s="51" t="str">
        <f aca="false">IF(OR(NOT(ISNUMBER($G525)),$G525&lt;2,NOT(ISNUMBER($C524)),$C524=0),"",$C525/$C524-1)</f>
        <v/>
      </c>
      <c r="I525" s="52" t="str">
        <f aca="false">IF(AND(ISNUMBER($G525),$G525&gt;=MA_SHORT),AVERAGE(INDEX($C$125:$C525,402-MA_SHORT):$C525),"")</f>
        <v/>
      </c>
      <c r="J525" s="52" t="str">
        <f aca="false">IF(AND(ISNUMBER($G525),$G525&gt;=MA_MED),AVERAGE(INDEX($C$125:$C525,402-MA_MED):$C525),"")</f>
        <v/>
      </c>
      <c r="K525" s="52" t="str">
        <f aca="false">IF(AND(ISNUMBER($G525),$G525&gt;=MA_LONG2),AVERAGE(INDEX($C$125:$C525,402-MA_LONG2):$C525),"")</f>
        <v/>
      </c>
      <c r="L525" s="53" t="str">
        <f aca="false">IF(AND(ISNUMBER($G525),$G525&gt;=21),STDEV(INDEX($H$465:$H525,62-20):$H525)*SQRT(245),"")</f>
        <v/>
      </c>
      <c r="M525" s="52" t="str">
        <f aca="false">IF(AND(ISNUMBER($G525),$G525&gt;=60),MAX(INDEX($D$325:$D525,202-60):$D525),"")</f>
        <v/>
      </c>
      <c r="N525" s="52" t="str">
        <f aca="false">IF(AND(ISNUMBER($G525),$G525&gt;=60),MIN(INDEX($E$325:$E525,202-60):$E525),"")</f>
        <v/>
      </c>
      <c r="O525" s="53" t="str">
        <f aca="false">IF(OR(NOT(ISNUMBER($C525)),NOT(ISNUMBER($M525)),$M525=0),"",$C525/$M525-1)</f>
        <v/>
      </c>
    </row>
    <row r="526" customFormat="false" ht="15" hidden="false" customHeight="false" outlineLevel="0" collapsed="false">
      <c r="A526" s="55"/>
      <c r="B526" s="56"/>
      <c r="C526" s="57"/>
      <c r="D526" s="56"/>
      <c r="E526" s="56"/>
      <c r="F526" s="56"/>
      <c r="G526" s="50" t="str">
        <f aca="false">IF($A526="","",IF(ISNUMBER($G525),$G525+1,1))</f>
        <v/>
      </c>
      <c r="H526" s="51" t="str">
        <f aca="false">IF(OR(NOT(ISNUMBER($G526)),$G526&lt;2,NOT(ISNUMBER($C525)),$C525=0),"",$C526/$C525-1)</f>
        <v/>
      </c>
      <c r="I526" s="52" t="str">
        <f aca="false">IF(AND(ISNUMBER($G526),$G526&gt;=MA_SHORT),AVERAGE(INDEX($C$126:$C526,402-MA_SHORT):$C526),"")</f>
        <v/>
      </c>
      <c r="J526" s="52" t="str">
        <f aca="false">IF(AND(ISNUMBER($G526),$G526&gt;=MA_MED),AVERAGE(INDEX($C$126:$C526,402-MA_MED):$C526),"")</f>
        <v/>
      </c>
      <c r="K526" s="52" t="str">
        <f aca="false">IF(AND(ISNUMBER($G526),$G526&gt;=MA_LONG2),AVERAGE(INDEX($C$126:$C526,402-MA_LONG2):$C526),"")</f>
        <v/>
      </c>
      <c r="L526" s="53" t="str">
        <f aca="false">IF(AND(ISNUMBER($G526),$G526&gt;=21),STDEV(INDEX($H$466:$H526,62-20):$H526)*SQRT(245),"")</f>
        <v/>
      </c>
      <c r="M526" s="52" t="str">
        <f aca="false">IF(AND(ISNUMBER($G526),$G526&gt;=60),MAX(INDEX($D$326:$D526,202-60):$D526),"")</f>
        <v/>
      </c>
      <c r="N526" s="52" t="str">
        <f aca="false">IF(AND(ISNUMBER($G526),$G526&gt;=60),MIN(INDEX($E$326:$E526,202-60):$E526),"")</f>
        <v/>
      </c>
      <c r="O526" s="53" t="str">
        <f aca="false">IF(OR(NOT(ISNUMBER($C526)),NOT(ISNUMBER($M526)),$M526=0),"",$C526/$M526-1)</f>
        <v/>
      </c>
    </row>
    <row r="527" customFormat="false" ht="15" hidden="false" customHeight="false" outlineLevel="0" collapsed="false">
      <c r="A527" s="55"/>
      <c r="B527" s="56"/>
      <c r="C527" s="57"/>
      <c r="D527" s="56"/>
      <c r="E527" s="56"/>
      <c r="F527" s="56"/>
      <c r="G527" s="50" t="str">
        <f aca="false">IF($A527="","",IF(ISNUMBER($G526),$G526+1,1))</f>
        <v/>
      </c>
      <c r="H527" s="51" t="str">
        <f aca="false">IF(OR(NOT(ISNUMBER($G527)),$G527&lt;2,NOT(ISNUMBER($C526)),$C526=0),"",$C527/$C526-1)</f>
        <v/>
      </c>
      <c r="I527" s="52" t="str">
        <f aca="false">IF(AND(ISNUMBER($G527),$G527&gt;=MA_SHORT),AVERAGE(INDEX($C$127:$C527,402-MA_SHORT):$C527),"")</f>
        <v/>
      </c>
      <c r="J527" s="52" t="str">
        <f aca="false">IF(AND(ISNUMBER($G527),$G527&gt;=MA_MED),AVERAGE(INDEX($C$127:$C527,402-MA_MED):$C527),"")</f>
        <v/>
      </c>
      <c r="K527" s="52" t="str">
        <f aca="false">IF(AND(ISNUMBER($G527),$G527&gt;=MA_LONG2),AVERAGE(INDEX($C$127:$C527,402-MA_LONG2):$C527),"")</f>
        <v/>
      </c>
      <c r="L527" s="53" t="str">
        <f aca="false">IF(AND(ISNUMBER($G527),$G527&gt;=21),STDEV(INDEX($H$467:$H527,62-20):$H527)*SQRT(245),"")</f>
        <v/>
      </c>
      <c r="M527" s="52" t="str">
        <f aca="false">IF(AND(ISNUMBER($G527),$G527&gt;=60),MAX(INDEX($D$327:$D527,202-60):$D527),"")</f>
        <v/>
      </c>
      <c r="N527" s="52" t="str">
        <f aca="false">IF(AND(ISNUMBER($G527),$G527&gt;=60),MIN(INDEX($E$327:$E527,202-60):$E527),"")</f>
        <v/>
      </c>
      <c r="O527" s="53" t="str">
        <f aca="false">IF(OR(NOT(ISNUMBER($C527)),NOT(ISNUMBER($M527)),$M527=0),"",$C527/$M527-1)</f>
        <v/>
      </c>
    </row>
    <row r="528" customFormat="false" ht="15" hidden="false" customHeight="false" outlineLevel="0" collapsed="false">
      <c r="A528" s="55"/>
      <c r="B528" s="56"/>
      <c r="C528" s="57"/>
      <c r="D528" s="56"/>
      <c r="E528" s="56"/>
      <c r="F528" s="56"/>
      <c r="G528" s="50" t="str">
        <f aca="false">IF($A528="","",IF(ISNUMBER($G527),$G527+1,1))</f>
        <v/>
      </c>
      <c r="H528" s="51" t="str">
        <f aca="false">IF(OR(NOT(ISNUMBER($G528)),$G528&lt;2,NOT(ISNUMBER($C527)),$C527=0),"",$C528/$C527-1)</f>
        <v/>
      </c>
      <c r="I528" s="52" t="str">
        <f aca="false">IF(AND(ISNUMBER($G528),$G528&gt;=MA_SHORT),AVERAGE(INDEX($C$128:$C528,402-MA_SHORT):$C528),"")</f>
        <v/>
      </c>
      <c r="J528" s="52" t="str">
        <f aca="false">IF(AND(ISNUMBER($G528),$G528&gt;=MA_MED),AVERAGE(INDEX($C$128:$C528,402-MA_MED):$C528),"")</f>
        <v/>
      </c>
      <c r="K528" s="52" t="str">
        <f aca="false">IF(AND(ISNUMBER($G528),$G528&gt;=MA_LONG2),AVERAGE(INDEX($C$128:$C528,402-MA_LONG2):$C528),"")</f>
        <v/>
      </c>
      <c r="L528" s="53" t="str">
        <f aca="false">IF(AND(ISNUMBER($G528),$G528&gt;=21),STDEV(INDEX($H$468:$H528,62-20):$H528)*SQRT(245),"")</f>
        <v/>
      </c>
      <c r="M528" s="52" t="str">
        <f aca="false">IF(AND(ISNUMBER($G528),$G528&gt;=60),MAX(INDEX($D$328:$D528,202-60):$D528),"")</f>
        <v/>
      </c>
      <c r="N528" s="52" t="str">
        <f aca="false">IF(AND(ISNUMBER($G528),$G528&gt;=60),MIN(INDEX($E$328:$E528,202-60):$E528),"")</f>
        <v/>
      </c>
      <c r="O528" s="53" t="str">
        <f aca="false">IF(OR(NOT(ISNUMBER($C528)),NOT(ISNUMBER($M528)),$M528=0),"",$C528/$M528-1)</f>
        <v/>
      </c>
    </row>
    <row r="529" customFormat="false" ht="15" hidden="false" customHeight="false" outlineLevel="0" collapsed="false">
      <c r="A529" s="55"/>
      <c r="B529" s="56"/>
      <c r="C529" s="57"/>
      <c r="D529" s="56"/>
      <c r="E529" s="56"/>
      <c r="F529" s="56"/>
      <c r="G529" s="50" t="str">
        <f aca="false">IF($A529="","",IF(ISNUMBER($G528),$G528+1,1))</f>
        <v/>
      </c>
      <c r="H529" s="51" t="str">
        <f aca="false">IF(OR(NOT(ISNUMBER($G529)),$G529&lt;2,NOT(ISNUMBER($C528)),$C528=0),"",$C529/$C528-1)</f>
        <v/>
      </c>
      <c r="I529" s="52" t="str">
        <f aca="false">IF(AND(ISNUMBER($G529),$G529&gt;=MA_SHORT),AVERAGE(INDEX($C$129:$C529,402-MA_SHORT):$C529),"")</f>
        <v/>
      </c>
      <c r="J529" s="52" t="str">
        <f aca="false">IF(AND(ISNUMBER($G529),$G529&gt;=MA_MED),AVERAGE(INDEX($C$129:$C529,402-MA_MED):$C529),"")</f>
        <v/>
      </c>
      <c r="K529" s="52" t="str">
        <f aca="false">IF(AND(ISNUMBER($G529),$G529&gt;=MA_LONG2),AVERAGE(INDEX($C$129:$C529,402-MA_LONG2):$C529),"")</f>
        <v/>
      </c>
      <c r="L529" s="53" t="str">
        <f aca="false">IF(AND(ISNUMBER($G529),$G529&gt;=21),STDEV(INDEX($H$469:$H529,62-20):$H529)*SQRT(245),"")</f>
        <v/>
      </c>
      <c r="M529" s="52" t="str">
        <f aca="false">IF(AND(ISNUMBER($G529),$G529&gt;=60),MAX(INDEX($D$329:$D529,202-60):$D529),"")</f>
        <v/>
      </c>
      <c r="N529" s="52" t="str">
        <f aca="false">IF(AND(ISNUMBER($G529),$G529&gt;=60),MIN(INDEX($E$329:$E529,202-60):$E529),"")</f>
        <v/>
      </c>
      <c r="O529" s="53" t="str">
        <f aca="false">IF(OR(NOT(ISNUMBER($C529)),NOT(ISNUMBER($M529)),$M529=0),"",$C529/$M529-1)</f>
        <v/>
      </c>
    </row>
    <row r="530" customFormat="false" ht="15" hidden="false" customHeight="false" outlineLevel="0" collapsed="false">
      <c r="A530" s="55"/>
      <c r="B530" s="56"/>
      <c r="C530" s="57"/>
      <c r="D530" s="56"/>
      <c r="E530" s="56"/>
      <c r="F530" s="56"/>
      <c r="G530" s="50" t="str">
        <f aca="false">IF($A530="","",IF(ISNUMBER($G529),$G529+1,1))</f>
        <v/>
      </c>
      <c r="H530" s="51" t="str">
        <f aca="false">IF(OR(NOT(ISNUMBER($G530)),$G530&lt;2,NOT(ISNUMBER($C529)),$C529=0),"",$C530/$C529-1)</f>
        <v/>
      </c>
      <c r="I530" s="52" t="str">
        <f aca="false">IF(AND(ISNUMBER($G530),$G530&gt;=MA_SHORT),AVERAGE(INDEX($C$130:$C530,402-MA_SHORT):$C530),"")</f>
        <v/>
      </c>
      <c r="J530" s="52" t="str">
        <f aca="false">IF(AND(ISNUMBER($G530),$G530&gt;=MA_MED),AVERAGE(INDEX($C$130:$C530,402-MA_MED):$C530),"")</f>
        <v/>
      </c>
      <c r="K530" s="52" t="str">
        <f aca="false">IF(AND(ISNUMBER($G530),$G530&gt;=MA_LONG2),AVERAGE(INDEX($C$130:$C530,402-MA_LONG2):$C530),"")</f>
        <v/>
      </c>
      <c r="L530" s="53" t="str">
        <f aca="false">IF(AND(ISNUMBER($G530),$G530&gt;=21),STDEV(INDEX($H$470:$H530,62-20):$H530)*SQRT(245),"")</f>
        <v/>
      </c>
      <c r="M530" s="52" t="str">
        <f aca="false">IF(AND(ISNUMBER($G530),$G530&gt;=60),MAX(INDEX($D$330:$D530,202-60):$D530),"")</f>
        <v/>
      </c>
      <c r="N530" s="52" t="str">
        <f aca="false">IF(AND(ISNUMBER($G530),$G530&gt;=60),MIN(INDEX($E$330:$E530,202-60):$E530),"")</f>
        <v/>
      </c>
      <c r="O530" s="53" t="str">
        <f aca="false">IF(OR(NOT(ISNUMBER($C530)),NOT(ISNUMBER($M530)),$M530=0),"",$C530/$M530-1)</f>
        <v/>
      </c>
    </row>
    <row r="531" customFormat="false" ht="15" hidden="false" customHeight="false" outlineLevel="0" collapsed="false">
      <c r="A531" s="55"/>
      <c r="B531" s="56"/>
      <c r="C531" s="57"/>
      <c r="D531" s="56"/>
      <c r="E531" s="56"/>
      <c r="F531" s="56"/>
      <c r="G531" s="50" t="str">
        <f aca="false">IF($A531="","",IF(ISNUMBER($G530),$G530+1,1))</f>
        <v/>
      </c>
      <c r="H531" s="51" t="str">
        <f aca="false">IF(OR(NOT(ISNUMBER($G531)),$G531&lt;2,NOT(ISNUMBER($C530)),$C530=0),"",$C531/$C530-1)</f>
        <v/>
      </c>
      <c r="I531" s="52" t="str">
        <f aca="false">IF(AND(ISNUMBER($G531),$G531&gt;=MA_SHORT),AVERAGE(INDEX($C$131:$C531,402-MA_SHORT):$C531),"")</f>
        <v/>
      </c>
      <c r="J531" s="52" t="str">
        <f aca="false">IF(AND(ISNUMBER($G531),$G531&gt;=MA_MED),AVERAGE(INDEX($C$131:$C531,402-MA_MED):$C531),"")</f>
        <v/>
      </c>
      <c r="K531" s="52" t="str">
        <f aca="false">IF(AND(ISNUMBER($G531),$G531&gt;=MA_LONG2),AVERAGE(INDEX($C$131:$C531,402-MA_LONG2):$C531),"")</f>
        <v/>
      </c>
      <c r="L531" s="53" t="str">
        <f aca="false">IF(AND(ISNUMBER($G531),$G531&gt;=21),STDEV(INDEX($H$471:$H531,62-20):$H531)*SQRT(245),"")</f>
        <v/>
      </c>
      <c r="M531" s="52" t="str">
        <f aca="false">IF(AND(ISNUMBER($G531),$G531&gt;=60),MAX(INDEX($D$331:$D531,202-60):$D531),"")</f>
        <v/>
      </c>
      <c r="N531" s="52" t="str">
        <f aca="false">IF(AND(ISNUMBER($G531),$G531&gt;=60),MIN(INDEX($E$331:$E531,202-60):$E531),"")</f>
        <v/>
      </c>
      <c r="O531" s="53" t="str">
        <f aca="false">IF(OR(NOT(ISNUMBER($C531)),NOT(ISNUMBER($M531)),$M531=0),"",$C531/$M531-1)</f>
        <v/>
      </c>
    </row>
    <row r="532" customFormat="false" ht="15" hidden="false" customHeight="false" outlineLevel="0" collapsed="false">
      <c r="A532" s="55"/>
      <c r="B532" s="56"/>
      <c r="C532" s="57"/>
      <c r="D532" s="56"/>
      <c r="E532" s="56"/>
      <c r="F532" s="56"/>
      <c r="G532" s="50" t="str">
        <f aca="false">IF($A532="","",IF(ISNUMBER($G531),$G531+1,1))</f>
        <v/>
      </c>
      <c r="H532" s="51" t="str">
        <f aca="false">IF(OR(NOT(ISNUMBER($G532)),$G532&lt;2,NOT(ISNUMBER($C531)),$C531=0),"",$C532/$C531-1)</f>
        <v/>
      </c>
      <c r="I532" s="52" t="str">
        <f aca="false">IF(AND(ISNUMBER($G532),$G532&gt;=MA_SHORT),AVERAGE(INDEX($C$132:$C532,402-MA_SHORT):$C532),"")</f>
        <v/>
      </c>
      <c r="J532" s="52" t="str">
        <f aca="false">IF(AND(ISNUMBER($G532),$G532&gt;=MA_MED),AVERAGE(INDEX($C$132:$C532,402-MA_MED):$C532),"")</f>
        <v/>
      </c>
      <c r="K532" s="52" t="str">
        <f aca="false">IF(AND(ISNUMBER($G532),$G532&gt;=MA_LONG2),AVERAGE(INDEX($C$132:$C532,402-MA_LONG2):$C532),"")</f>
        <v/>
      </c>
      <c r="L532" s="53" t="str">
        <f aca="false">IF(AND(ISNUMBER($G532),$G532&gt;=21),STDEV(INDEX($H$472:$H532,62-20):$H532)*SQRT(245),"")</f>
        <v/>
      </c>
      <c r="M532" s="52" t="str">
        <f aca="false">IF(AND(ISNUMBER($G532),$G532&gt;=60),MAX(INDEX($D$332:$D532,202-60):$D532),"")</f>
        <v/>
      </c>
      <c r="N532" s="52" t="str">
        <f aca="false">IF(AND(ISNUMBER($G532),$G532&gt;=60),MIN(INDEX($E$332:$E532,202-60):$E532),"")</f>
        <v/>
      </c>
      <c r="O532" s="53" t="str">
        <f aca="false">IF(OR(NOT(ISNUMBER($C532)),NOT(ISNUMBER($M532)),$M532=0),"",$C532/$M532-1)</f>
        <v/>
      </c>
    </row>
    <row r="533" customFormat="false" ht="15" hidden="false" customHeight="false" outlineLevel="0" collapsed="false">
      <c r="A533" s="55"/>
      <c r="B533" s="56"/>
      <c r="C533" s="57"/>
      <c r="D533" s="56"/>
      <c r="E533" s="56"/>
      <c r="F533" s="56"/>
      <c r="G533" s="50" t="str">
        <f aca="false">IF($A533="","",IF(ISNUMBER($G532),$G532+1,1))</f>
        <v/>
      </c>
      <c r="H533" s="51" t="str">
        <f aca="false">IF(OR(NOT(ISNUMBER($G533)),$G533&lt;2,NOT(ISNUMBER($C532)),$C532=0),"",$C533/$C532-1)</f>
        <v/>
      </c>
      <c r="I533" s="52" t="str">
        <f aca="false">IF(AND(ISNUMBER($G533),$G533&gt;=MA_SHORT),AVERAGE(INDEX($C$133:$C533,402-MA_SHORT):$C533),"")</f>
        <v/>
      </c>
      <c r="J533" s="52" t="str">
        <f aca="false">IF(AND(ISNUMBER($G533),$G533&gt;=MA_MED),AVERAGE(INDEX($C$133:$C533,402-MA_MED):$C533),"")</f>
        <v/>
      </c>
      <c r="K533" s="52" t="str">
        <f aca="false">IF(AND(ISNUMBER($G533),$G533&gt;=MA_LONG2),AVERAGE(INDEX($C$133:$C533,402-MA_LONG2):$C533),"")</f>
        <v/>
      </c>
      <c r="L533" s="53" t="str">
        <f aca="false">IF(AND(ISNUMBER($G533),$G533&gt;=21),STDEV(INDEX($H$473:$H533,62-20):$H533)*SQRT(245),"")</f>
        <v/>
      </c>
      <c r="M533" s="52" t="str">
        <f aca="false">IF(AND(ISNUMBER($G533),$G533&gt;=60),MAX(INDEX($D$333:$D533,202-60):$D533),"")</f>
        <v/>
      </c>
      <c r="N533" s="52" t="str">
        <f aca="false">IF(AND(ISNUMBER($G533),$G533&gt;=60),MIN(INDEX($E$333:$E533,202-60):$E533),"")</f>
        <v/>
      </c>
      <c r="O533" s="53" t="str">
        <f aca="false">IF(OR(NOT(ISNUMBER($C533)),NOT(ISNUMBER($M533)),$M533=0),"",$C533/$M533-1)</f>
        <v/>
      </c>
    </row>
    <row r="534" customFormat="false" ht="15" hidden="false" customHeight="false" outlineLevel="0" collapsed="false">
      <c r="A534" s="55"/>
      <c r="B534" s="56"/>
      <c r="C534" s="57"/>
      <c r="D534" s="56"/>
      <c r="E534" s="56"/>
      <c r="F534" s="56"/>
      <c r="G534" s="50" t="str">
        <f aca="false">IF($A534="","",IF(ISNUMBER($G533),$G533+1,1))</f>
        <v/>
      </c>
      <c r="H534" s="51" t="str">
        <f aca="false">IF(OR(NOT(ISNUMBER($G534)),$G534&lt;2,NOT(ISNUMBER($C533)),$C533=0),"",$C534/$C533-1)</f>
        <v/>
      </c>
      <c r="I534" s="52" t="str">
        <f aca="false">IF(AND(ISNUMBER($G534),$G534&gt;=MA_SHORT),AVERAGE(INDEX($C$134:$C534,402-MA_SHORT):$C534),"")</f>
        <v/>
      </c>
      <c r="J534" s="52" t="str">
        <f aca="false">IF(AND(ISNUMBER($G534),$G534&gt;=MA_MED),AVERAGE(INDEX($C$134:$C534,402-MA_MED):$C534),"")</f>
        <v/>
      </c>
      <c r="K534" s="52" t="str">
        <f aca="false">IF(AND(ISNUMBER($G534),$G534&gt;=MA_LONG2),AVERAGE(INDEX($C$134:$C534,402-MA_LONG2):$C534),"")</f>
        <v/>
      </c>
      <c r="L534" s="53" t="str">
        <f aca="false">IF(AND(ISNUMBER($G534),$G534&gt;=21),STDEV(INDEX($H$474:$H534,62-20):$H534)*SQRT(245),"")</f>
        <v/>
      </c>
      <c r="M534" s="52" t="str">
        <f aca="false">IF(AND(ISNUMBER($G534),$G534&gt;=60),MAX(INDEX($D$334:$D534,202-60):$D534),"")</f>
        <v/>
      </c>
      <c r="N534" s="52" t="str">
        <f aca="false">IF(AND(ISNUMBER($G534),$G534&gt;=60),MIN(INDEX($E$334:$E534,202-60):$E534),"")</f>
        <v/>
      </c>
      <c r="O534" s="53" t="str">
        <f aca="false">IF(OR(NOT(ISNUMBER($C534)),NOT(ISNUMBER($M534)),$M534=0),"",$C534/$M534-1)</f>
        <v/>
      </c>
    </row>
    <row r="535" customFormat="false" ht="15" hidden="false" customHeight="false" outlineLevel="0" collapsed="false">
      <c r="A535" s="55"/>
      <c r="B535" s="56"/>
      <c r="C535" s="57"/>
      <c r="D535" s="56"/>
      <c r="E535" s="56"/>
      <c r="F535" s="56"/>
      <c r="G535" s="50" t="str">
        <f aca="false">IF($A535="","",IF(ISNUMBER($G534),$G534+1,1))</f>
        <v/>
      </c>
      <c r="H535" s="51" t="str">
        <f aca="false">IF(OR(NOT(ISNUMBER($G535)),$G535&lt;2,NOT(ISNUMBER($C534)),$C534=0),"",$C535/$C534-1)</f>
        <v/>
      </c>
      <c r="I535" s="52" t="str">
        <f aca="false">IF(AND(ISNUMBER($G535),$G535&gt;=MA_SHORT),AVERAGE(INDEX($C$135:$C535,402-MA_SHORT):$C535),"")</f>
        <v/>
      </c>
      <c r="J535" s="52" t="str">
        <f aca="false">IF(AND(ISNUMBER($G535),$G535&gt;=MA_MED),AVERAGE(INDEX($C$135:$C535,402-MA_MED):$C535),"")</f>
        <v/>
      </c>
      <c r="K535" s="52" t="str">
        <f aca="false">IF(AND(ISNUMBER($G535),$G535&gt;=MA_LONG2),AVERAGE(INDEX($C$135:$C535,402-MA_LONG2):$C535),"")</f>
        <v/>
      </c>
      <c r="L535" s="53" t="str">
        <f aca="false">IF(AND(ISNUMBER($G535),$G535&gt;=21),STDEV(INDEX($H$475:$H535,62-20):$H535)*SQRT(245),"")</f>
        <v/>
      </c>
      <c r="M535" s="52" t="str">
        <f aca="false">IF(AND(ISNUMBER($G535),$G535&gt;=60),MAX(INDEX($D$335:$D535,202-60):$D535),"")</f>
        <v/>
      </c>
      <c r="N535" s="52" t="str">
        <f aca="false">IF(AND(ISNUMBER($G535),$G535&gt;=60),MIN(INDEX($E$335:$E535,202-60):$E535),"")</f>
        <v/>
      </c>
      <c r="O535" s="53" t="str">
        <f aca="false">IF(OR(NOT(ISNUMBER($C535)),NOT(ISNUMBER($M535)),$M535=0),"",$C535/$M535-1)</f>
        <v/>
      </c>
    </row>
    <row r="536" customFormat="false" ht="15" hidden="false" customHeight="false" outlineLevel="0" collapsed="false">
      <c r="A536" s="55"/>
      <c r="B536" s="56"/>
      <c r="C536" s="57"/>
      <c r="D536" s="56"/>
      <c r="E536" s="56"/>
      <c r="F536" s="56"/>
      <c r="G536" s="50" t="str">
        <f aca="false">IF($A536="","",IF(ISNUMBER($G535),$G535+1,1))</f>
        <v/>
      </c>
      <c r="H536" s="51" t="str">
        <f aca="false">IF(OR(NOT(ISNUMBER($G536)),$G536&lt;2,NOT(ISNUMBER($C535)),$C535=0),"",$C536/$C535-1)</f>
        <v/>
      </c>
      <c r="I536" s="52" t="str">
        <f aca="false">IF(AND(ISNUMBER($G536),$G536&gt;=MA_SHORT),AVERAGE(INDEX($C$136:$C536,402-MA_SHORT):$C536),"")</f>
        <v/>
      </c>
      <c r="J536" s="52" t="str">
        <f aca="false">IF(AND(ISNUMBER($G536),$G536&gt;=MA_MED),AVERAGE(INDEX($C$136:$C536,402-MA_MED):$C536),"")</f>
        <v/>
      </c>
      <c r="K536" s="52" t="str">
        <f aca="false">IF(AND(ISNUMBER($G536),$G536&gt;=MA_LONG2),AVERAGE(INDEX($C$136:$C536,402-MA_LONG2):$C536),"")</f>
        <v/>
      </c>
      <c r="L536" s="53" t="str">
        <f aca="false">IF(AND(ISNUMBER($G536),$G536&gt;=21),STDEV(INDEX($H$476:$H536,62-20):$H536)*SQRT(245),"")</f>
        <v/>
      </c>
      <c r="M536" s="52" t="str">
        <f aca="false">IF(AND(ISNUMBER($G536),$G536&gt;=60),MAX(INDEX($D$336:$D536,202-60):$D536),"")</f>
        <v/>
      </c>
      <c r="N536" s="52" t="str">
        <f aca="false">IF(AND(ISNUMBER($G536),$G536&gt;=60),MIN(INDEX($E$336:$E536,202-60):$E536),"")</f>
        <v/>
      </c>
      <c r="O536" s="53" t="str">
        <f aca="false">IF(OR(NOT(ISNUMBER($C536)),NOT(ISNUMBER($M536)),$M536=0),"",$C536/$M536-1)</f>
        <v/>
      </c>
    </row>
    <row r="537" customFormat="false" ht="15" hidden="false" customHeight="false" outlineLevel="0" collapsed="false">
      <c r="A537" s="55"/>
      <c r="B537" s="56"/>
      <c r="C537" s="57"/>
      <c r="D537" s="56"/>
      <c r="E537" s="56"/>
      <c r="F537" s="56"/>
      <c r="G537" s="50" t="str">
        <f aca="false">IF($A537="","",IF(ISNUMBER($G536),$G536+1,1))</f>
        <v/>
      </c>
      <c r="H537" s="51" t="str">
        <f aca="false">IF(OR(NOT(ISNUMBER($G537)),$G537&lt;2,NOT(ISNUMBER($C536)),$C536=0),"",$C537/$C536-1)</f>
        <v/>
      </c>
      <c r="I537" s="52" t="str">
        <f aca="false">IF(AND(ISNUMBER($G537),$G537&gt;=MA_SHORT),AVERAGE(INDEX($C$137:$C537,402-MA_SHORT):$C537),"")</f>
        <v/>
      </c>
      <c r="J537" s="52" t="str">
        <f aca="false">IF(AND(ISNUMBER($G537),$G537&gt;=MA_MED),AVERAGE(INDEX($C$137:$C537,402-MA_MED):$C537),"")</f>
        <v/>
      </c>
      <c r="K537" s="52" t="str">
        <f aca="false">IF(AND(ISNUMBER($G537),$G537&gt;=MA_LONG2),AVERAGE(INDEX($C$137:$C537,402-MA_LONG2):$C537),"")</f>
        <v/>
      </c>
      <c r="L537" s="53" t="str">
        <f aca="false">IF(AND(ISNUMBER($G537),$G537&gt;=21),STDEV(INDEX($H$477:$H537,62-20):$H537)*SQRT(245),"")</f>
        <v/>
      </c>
      <c r="M537" s="52" t="str">
        <f aca="false">IF(AND(ISNUMBER($G537),$G537&gt;=60),MAX(INDEX($D$337:$D537,202-60):$D537),"")</f>
        <v/>
      </c>
      <c r="N537" s="52" t="str">
        <f aca="false">IF(AND(ISNUMBER($G537),$G537&gt;=60),MIN(INDEX($E$337:$E537,202-60):$E537),"")</f>
        <v/>
      </c>
      <c r="O537" s="53" t="str">
        <f aca="false">IF(OR(NOT(ISNUMBER($C537)),NOT(ISNUMBER($M537)),$M537=0),"",$C537/$M537-1)</f>
        <v/>
      </c>
    </row>
    <row r="538" customFormat="false" ht="15" hidden="false" customHeight="false" outlineLevel="0" collapsed="false">
      <c r="A538" s="55"/>
      <c r="B538" s="56"/>
      <c r="C538" s="57"/>
      <c r="D538" s="56"/>
      <c r="E538" s="56"/>
      <c r="F538" s="56"/>
      <c r="G538" s="50" t="str">
        <f aca="false">IF($A538="","",IF(ISNUMBER($G537),$G537+1,1))</f>
        <v/>
      </c>
      <c r="H538" s="51" t="str">
        <f aca="false">IF(OR(NOT(ISNUMBER($G538)),$G538&lt;2,NOT(ISNUMBER($C537)),$C537=0),"",$C538/$C537-1)</f>
        <v/>
      </c>
      <c r="I538" s="52" t="str">
        <f aca="false">IF(AND(ISNUMBER($G538),$G538&gt;=MA_SHORT),AVERAGE(INDEX($C$138:$C538,402-MA_SHORT):$C538),"")</f>
        <v/>
      </c>
      <c r="J538" s="52" t="str">
        <f aca="false">IF(AND(ISNUMBER($G538),$G538&gt;=MA_MED),AVERAGE(INDEX($C$138:$C538,402-MA_MED):$C538),"")</f>
        <v/>
      </c>
      <c r="K538" s="52" t="str">
        <f aca="false">IF(AND(ISNUMBER($G538),$G538&gt;=MA_LONG2),AVERAGE(INDEX($C$138:$C538,402-MA_LONG2):$C538),"")</f>
        <v/>
      </c>
      <c r="L538" s="53" t="str">
        <f aca="false">IF(AND(ISNUMBER($G538),$G538&gt;=21),STDEV(INDEX($H$478:$H538,62-20):$H538)*SQRT(245),"")</f>
        <v/>
      </c>
      <c r="M538" s="52" t="str">
        <f aca="false">IF(AND(ISNUMBER($G538),$G538&gt;=60),MAX(INDEX($D$338:$D538,202-60):$D538),"")</f>
        <v/>
      </c>
      <c r="N538" s="52" t="str">
        <f aca="false">IF(AND(ISNUMBER($G538),$G538&gt;=60),MIN(INDEX($E$338:$E538,202-60):$E538),"")</f>
        <v/>
      </c>
      <c r="O538" s="53" t="str">
        <f aca="false">IF(OR(NOT(ISNUMBER($C538)),NOT(ISNUMBER($M538)),$M538=0),"",$C538/$M538-1)</f>
        <v/>
      </c>
    </row>
    <row r="539" customFormat="false" ht="15" hidden="false" customHeight="false" outlineLevel="0" collapsed="false">
      <c r="A539" s="55"/>
      <c r="B539" s="56"/>
      <c r="C539" s="57"/>
      <c r="D539" s="56"/>
      <c r="E539" s="56"/>
      <c r="F539" s="56"/>
      <c r="G539" s="50" t="str">
        <f aca="false">IF($A539="","",IF(ISNUMBER($G538),$G538+1,1))</f>
        <v/>
      </c>
      <c r="H539" s="51" t="str">
        <f aca="false">IF(OR(NOT(ISNUMBER($G539)),$G539&lt;2,NOT(ISNUMBER($C538)),$C538=0),"",$C539/$C538-1)</f>
        <v/>
      </c>
      <c r="I539" s="52" t="str">
        <f aca="false">IF(AND(ISNUMBER($G539),$G539&gt;=MA_SHORT),AVERAGE(INDEX($C$139:$C539,402-MA_SHORT):$C539),"")</f>
        <v/>
      </c>
      <c r="J539" s="52" t="str">
        <f aca="false">IF(AND(ISNUMBER($G539),$G539&gt;=MA_MED),AVERAGE(INDEX($C$139:$C539,402-MA_MED):$C539),"")</f>
        <v/>
      </c>
      <c r="K539" s="52" t="str">
        <f aca="false">IF(AND(ISNUMBER($G539),$G539&gt;=MA_LONG2),AVERAGE(INDEX($C$139:$C539,402-MA_LONG2):$C539),"")</f>
        <v/>
      </c>
      <c r="L539" s="53" t="str">
        <f aca="false">IF(AND(ISNUMBER($G539),$G539&gt;=21),STDEV(INDEX($H$479:$H539,62-20):$H539)*SQRT(245),"")</f>
        <v/>
      </c>
      <c r="M539" s="52" t="str">
        <f aca="false">IF(AND(ISNUMBER($G539),$G539&gt;=60),MAX(INDEX($D$339:$D539,202-60):$D539),"")</f>
        <v/>
      </c>
      <c r="N539" s="52" t="str">
        <f aca="false">IF(AND(ISNUMBER($G539),$G539&gt;=60),MIN(INDEX($E$339:$E539,202-60):$E539),"")</f>
        <v/>
      </c>
      <c r="O539" s="53" t="str">
        <f aca="false">IF(OR(NOT(ISNUMBER($C539)),NOT(ISNUMBER($M539)),$M539=0),"",$C539/$M539-1)</f>
        <v/>
      </c>
    </row>
    <row r="540" customFormat="false" ht="15" hidden="false" customHeight="false" outlineLevel="0" collapsed="false">
      <c r="A540" s="55"/>
      <c r="B540" s="56"/>
      <c r="C540" s="57"/>
      <c r="D540" s="56"/>
      <c r="E540" s="56"/>
      <c r="F540" s="56"/>
      <c r="G540" s="50" t="str">
        <f aca="false">IF($A540="","",IF(ISNUMBER($G539),$G539+1,1))</f>
        <v/>
      </c>
      <c r="H540" s="51" t="str">
        <f aca="false">IF(OR(NOT(ISNUMBER($G540)),$G540&lt;2,NOT(ISNUMBER($C539)),$C539=0),"",$C540/$C539-1)</f>
        <v/>
      </c>
      <c r="I540" s="52" t="str">
        <f aca="false">IF(AND(ISNUMBER($G540),$G540&gt;=MA_SHORT),AVERAGE(INDEX($C$140:$C540,402-MA_SHORT):$C540),"")</f>
        <v/>
      </c>
      <c r="J540" s="52" t="str">
        <f aca="false">IF(AND(ISNUMBER($G540),$G540&gt;=MA_MED),AVERAGE(INDEX($C$140:$C540,402-MA_MED):$C540),"")</f>
        <v/>
      </c>
      <c r="K540" s="52" t="str">
        <f aca="false">IF(AND(ISNUMBER($G540),$G540&gt;=MA_LONG2),AVERAGE(INDEX($C$140:$C540,402-MA_LONG2):$C540),"")</f>
        <v/>
      </c>
      <c r="L540" s="53" t="str">
        <f aca="false">IF(AND(ISNUMBER($G540),$G540&gt;=21),STDEV(INDEX($H$480:$H540,62-20):$H540)*SQRT(245),"")</f>
        <v/>
      </c>
      <c r="M540" s="52" t="str">
        <f aca="false">IF(AND(ISNUMBER($G540),$G540&gt;=60),MAX(INDEX($D$340:$D540,202-60):$D540),"")</f>
        <v/>
      </c>
      <c r="N540" s="52" t="str">
        <f aca="false">IF(AND(ISNUMBER($G540),$G540&gt;=60),MIN(INDEX($E$340:$E540,202-60):$E540),"")</f>
        <v/>
      </c>
      <c r="O540" s="53" t="str">
        <f aca="false">IF(OR(NOT(ISNUMBER($C540)),NOT(ISNUMBER($M540)),$M540=0),"",$C540/$M540-1)</f>
        <v/>
      </c>
    </row>
    <row r="541" customFormat="false" ht="15" hidden="false" customHeight="false" outlineLevel="0" collapsed="false">
      <c r="A541" s="55"/>
      <c r="B541" s="56"/>
      <c r="C541" s="57"/>
      <c r="D541" s="56"/>
      <c r="E541" s="56"/>
      <c r="F541" s="56"/>
      <c r="G541" s="50" t="str">
        <f aca="false">IF($A541="","",IF(ISNUMBER($G540),$G540+1,1))</f>
        <v/>
      </c>
      <c r="H541" s="51" t="str">
        <f aca="false">IF(OR(NOT(ISNUMBER($G541)),$G541&lt;2,NOT(ISNUMBER($C540)),$C540=0),"",$C541/$C540-1)</f>
        <v/>
      </c>
      <c r="I541" s="52" t="str">
        <f aca="false">IF(AND(ISNUMBER($G541),$G541&gt;=MA_SHORT),AVERAGE(INDEX($C$141:$C541,402-MA_SHORT):$C541),"")</f>
        <v/>
      </c>
      <c r="J541" s="52" t="str">
        <f aca="false">IF(AND(ISNUMBER($G541),$G541&gt;=MA_MED),AVERAGE(INDEX($C$141:$C541,402-MA_MED):$C541),"")</f>
        <v/>
      </c>
      <c r="K541" s="52" t="str">
        <f aca="false">IF(AND(ISNUMBER($G541),$G541&gt;=MA_LONG2),AVERAGE(INDEX($C$141:$C541,402-MA_LONG2):$C541),"")</f>
        <v/>
      </c>
      <c r="L541" s="53" t="str">
        <f aca="false">IF(AND(ISNUMBER($G541),$G541&gt;=21),STDEV(INDEX($H$481:$H541,62-20):$H541)*SQRT(245),"")</f>
        <v/>
      </c>
      <c r="M541" s="52" t="str">
        <f aca="false">IF(AND(ISNUMBER($G541),$G541&gt;=60),MAX(INDEX($D$341:$D541,202-60):$D541),"")</f>
        <v/>
      </c>
      <c r="N541" s="52" t="str">
        <f aca="false">IF(AND(ISNUMBER($G541),$G541&gt;=60),MIN(INDEX($E$341:$E541,202-60):$E541),"")</f>
        <v/>
      </c>
      <c r="O541" s="53" t="str">
        <f aca="false">IF(OR(NOT(ISNUMBER($C541)),NOT(ISNUMBER($M541)),$M541=0),"",$C541/$M541-1)</f>
        <v/>
      </c>
    </row>
    <row r="542" customFormat="false" ht="15" hidden="false" customHeight="false" outlineLevel="0" collapsed="false">
      <c r="A542" s="55"/>
      <c r="B542" s="56"/>
      <c r="C542" s="57"/>
      <c r="D542" s="56"/>
      <c r="E542" s="56"/>
      <c r="F542" s="56"/>
      <c r="G542" s="50" t="str">
        <f aca="false">IF($A542="","",IF(ISNUMBER($G541),$G541+1,1))</f>
        <v/>
      </c>
      <c r="H542" s="51" t="str">
        <f aca="false">IF(OR(NOT(ISNUMBER($G542)),$G542&lt;2,NOT(ISNUMBER($C541)),$C541=0),"",$C542/$C541-1)</f>
        <v/>
      </c>
      <c r="I542" s="52" t="str">
        <f aca="false">IF(AND(ISNUMBER($G542),$G542&gt;=MA_SHORT),AVERAGE(INDEX($C$142:$C542,402-MA_SHORT):$C542),"")</f>
        <v/>
      </c>
      <c r="J542" s="52" t="str">
        <f aca="false">IF(AND(ISNUMBER($G542),$G542&gt;=MA_MED),AVERAGE(INDEX($C$142:$C542,402-MA_MED):$C542),"")</f>
        <v/>
      </c>
      <c r="K542" s="52" t="str">
        <f aca="false">IF(AND(ISNUMBER($G542),$G542&gt;=MA_LONG2),AVERAGE(INDEX($C$142:$C542,402-MA_LONG2):$C542),"")</f>
        <v/>
      </c>
      <c r="L542" s="53" t="str">
        <f aca="false">IF(AND(ISNUMBER($G542),$G542&gt;=21),STDEV(INDEX($H$482:$H542,62-20):$H542)*SQRT(245),"")</f>
        <v/>
      </c>
      <c r="M542" s="52" t="str">
        <f aca="false">IF(AND(ISNUMBER($G542),$G542&gt;=60),MAX(INDEX($D$342:$D542,202-60):$D542),"")</f>
        <v/>
      </c>
      <c r="N542" s="52" t="str">
        <f aca="false">IF(AND(ISNUMBER($G542),$G542&gt;=60),MIN(INDEX($E$342:$E542,202-60):$E542),"")</f>
        <v/>
      </c>
      <c r="O542" s="53" t="str">
        <f aca="false">IF(OR(NOT(ISNUMBER($C542)),NOT(ISNUMBER($M542)),$M542=0),"",$C542/$M542-1)</f>
        <v/>
      </c>
    </row>
    <row r="543" customFormat="false" ht="15" hidden="false" customHeight="false" outlineLevel="0" collapsed="false">
      <c r="A543" s="55"/>
      <c r="B543" s="56"/>
      <c r="C543" s="57"/>
      <c r="D543" s="56"/>
      <c r="E543" s="56"/>
      <c r="F543" s="56"/>
      <c r="G543" s="50" t="str">
        <f aca="false">IF($A543="","",IF(ISNUMBER($G542),$G542+1,1))</f>
        <v/>
      </c>
      <c r="H543" s="51" t="str">
        <f aca="false">IF(OR(NOT(ISNUMBER($G543)),$G543&lt;2,NOT(ISNUMBER($C542)),$C542=0),"",$C543/$C542-1)</f>
        <v/>
      </c>
      <c r="I543" s="52" t="str">
        <f aca="false">IF(AND(ISNUMBER($G543),$G543&gt;=MA_SHORT),AVERAGE(INDEX($C$143:$C543,402-MA_SHORT):$C543),"")</f>
        <v/>
      </c>
      <c r="J543" s="52" t="str">
        <f aca="false">IF(AND(ISNUMBER($G543),$G543&gt;=MA_MED),AVERAGE(INDEX($C$143:$C543,402-MA_MED):$C543),"")</f>
        <v/>
      </c>
      <c r="K543" s="52" t="str">
        <f aca="false">IF(AND(ISNUMBER($G543),$G543&gt;=MA_LONG2),AVERAGE(INDEX($C$143:$C543,402-MA_LONG2):$C543),"")</f>
        <v/>
      </c>
      <c r="L543" s="53" t="str">
        <f aca="false">IF(AND(ISNUMBER($G543),$G543&gt;=21),STDEV(INDEX($H$483:$H543,62-20):$H543)*SQRT(245),"")</f>
        <v/>
      </c>
      <c r="M543" s="52" t="str">
        <f aca="false">IF(AND(ISNUMBER($G543),$G543&gt;=60),MAX(INDEX($D$343:$D543,202-60):$D543),"")</f>
        <v/>
      </c>
      <c r="N543" s="52" t="str">
        <f aca="false">IF(AND(ISNUMBER($G543),$G543&gt;=60),MIN(INDEX($E$343:$E543,202-60):$E543),"")</f>
        <v/>
      </c>
      <c r="O543" s="53" t="str">
        <f aca="false">IF(OR(NOT(ISNUMBER($C543)),NOT(ISNUMBER($M543)),$M543=0),"",$C543/$M543-1)</f>
        <v/>
      </c>
    </row>
    <row r="544" customFormat="false" ht="15" hidden="false" customHeight="false" outlineLevel="0" collapsed="false">
      <c r="A544" s="55"/>
      <c r="B544" s="56"/>
      <c r="C544" s="57"/>
      <c r="D544" s="56"/>
      <c r="E544" s="56"/>
      <c r="F544" s="56"/>
      <c r="G544" s="50" t="str">
        <f aca="false">IF($A544="","",IF(ISNUMBER($G543),$G543+1,1))</f>
        <v/>
      </c>
      <c r="H544" s="51" t="str">
        <f aca="false">IF(OR(NOT(ISNUMBER($G544)),$G544&lt;2,NOT(ISNUMBER($C543)),$C543=0),"",$C544/$C543-1)</f>
        <v/>
      </c>
      <c r="I544" s="52" t="str">
        <f aca="false">IF(AND(ISNUMBER($G544),$G544&gt;=MA_SHORT),AVERAGE(INDEX($C$144:$C544,402-MA_SHORT):$C544),"")</f>
        <v/>
      </c>
      <c r="J544" s="52" t="str">
        <f aca="false">IF(AND(ISNUMBER($G544),$G544&gt;=MA_MED),AVERAGE(INDEX($C$144:$C544,402-MA_MED):$C544),"")</f>
        <v/>
      </c>
      <c r="K544" s="52" t="str">
        <f aca="false">IF(AND(ISNUMBER($G544),$G544&gt;=MA_LONG2),AVERAGE(INDEX($C$144:$C544,402-MA_LONG2):$C544),"")</f>
        <v/>
      </c>
      <c r="L544" s="53" t="str">
        <f aca="false">IF(AND(ISNUMBER($G544),$G544&gt;=21),STDEV(INDEX($H$484:$H544,62-20):$H544)*SQRT(245),"")</f>
        <v/>
      </c>
      <c r="M544" s="52" t="str">
        <f aca="false">IF(AND(ISNUMBER($G544),$G544&gt;=60),MAX(INDEX($D$344:$D544,202-60):$D544),"")</f>
        <v/>
      </c>
      <c r="N544" s="52" t="str">
        <f aca="false">IF(AND(ISNUMBER($G544),$G544&gt;=60),MIN(INDEX($E$344:$E544,202-60):$E544),"")</f>
        <v/>
      </c>
      <c r="O544" s="53" t="str">
        <f aca="false">IF(OR(NOT(ISNUMBER($C544)),NOT(ISNUMBER($M544)),$M544=0),"",$C544/$M544-1)</f>
        <v/>
      </c>
    </row>
    <row r="545" customFormat="false" ht="15" hidden="false" customHeight="false" outlineLevel="0" collapsed="false">
      <c r="A545" s="55"/>
      <c r="B545" s="56"/>
      <c r="C545" s="57"/>
      <c r="D545" s="56"/>
      <c r="E545" s="56"/>
      <c r="F545" s="56"/>
      <c r="G545" s="50" t="str">
        <f aca="false">IF($A545="","",IF(ISNUMBER($G544),$G544+1,1))</f>
        <v/>
      </c>
      <c r="H545" s="51" t="str">
        <f aca="false">IF(OR(NOT(ISNUMBER($G545)),$G545&lt;2,NOT(ISNUMBER($C544)),$C544=0),"",$C545/$C544-1)</f>
        <v/>
      </c>
      <c r="I545" s="52" t="str">
        <f aca="false">IF(AND(ISNUMBER($G545),$G545&gt;=MA_SHORT),AVERAGE(INDEX($C$145:$C545,402-MA_SHORT):$C545),"")</f>
        <v/>
      </c>
      <c r="J545" s="52" t="str">
        <f aca="false">IF(AND(ISNUMBER($G545),$G545&gt;=MA_MED),AVERAGE(INDEX($C$145:$C545,402-MA_MED):$C545),"")</f>
        <v/>
      </c>
      <c r="K545" s="52" t="str">
        <f aca="false">IF(AND(ISNUMBER($G545),$G545&gt;=MA_LONG2),AVERAGE(INDEX($C$145:$C545,402-MA_LONG2):$C545),"")</f>
        <v/>
      </c>
      <c r="L545" s="53" t="str">
        <f aca="false">IF(AND(ISNUMBER($G545),$G545&gt;=21),STDEV(INDEX($H$485:$H545,62-20):$H545)*SQRT(245),"")</f>
        <v/>
      </c>
      <c r="M545" s="52" t="str">
        <f aca="false">IF(AND(ISNUMBER($G545),$G545&gt;=60),MAX(INDEX($D$345:$D545,202-60):$D545),"")</f>
        <v/>
      </c>
      <c r="N545" s="52" t="str">
        <f aca="false">IF(AND(ISNUMBER($G545),$G545&gt;=60),MIN(INDEX($E$345:$E545,202-60):$E545),"")</f>
        <v/>
      </c>
      <c r="O545" s="53" t="str">
        <f aca="false">IF(OR(NOT(ISNUMBER($C545)),NOT(ISNUMBER($M545)),$M545=0),"",$C545/$M545-1)</f>
        <v/>
      </c>
    </row>
    <row r="546" customFormat="false" ht="15" hidden="false" customHeight="false" outlineLevel="0" collapsed="false">
      <c r="A546" s="55"/>
      <c r="B546" s="56"/>
      <c r="C546" s="57"/>
      <c r="D546" s="56"/>
      <c r="E546" s="56"/>
      <c r="F546" s="56"/>
      <c r="G546" s="50" t="str">
        <f aca="false">IF($A546="","",IF(ISNUMBER($G545),$G545+1,1))</f>
        <v/>
      </c>
      <c r="H546" s="51" t="str">
        <f aca="false">IF(OR(NOT(ISNUMBER($G546)),$G546&lt;2,NOT(ISNUMBER($C545)),$C545=0),"",$C546/$C545-1)</f>
        <v/>
      </c>
      <c r="I546" s="52" t="str">
        <f aca="false">IF(AND(ISNUMBER($G546),$G546&gt;=MA_SHORT),AVERAGE(INDEX($C$146:$C546,402-MA_SHORT):$C546),"")</f>
        <v/>
      </c>
      <c r="J546" s="52" t="str">
        <f aca="false">IF(AND(ISNUMBER($G546),$G546&gt;=MA_MED),AVERAGE(INDEX($C$146:$C546,402-MA_MED):$C546),"")</f>
        <v/>
      </c>
      <c r="K546" s="52" t="str">
        <f aca="false">IF(AND(ISNUMBER($G546),$G546&gt;=MA_LONG2),AVERAGE(INDEX($C$146:$C546,402-MA_LONG2):$C546),"")</f>
        <v/>
      </c>
      <c r="L546" s="53" t="str">
        <f aca="false">IF(AND(ISNUMBER($G546),$G546&gt;=21),STDEV(INDEX($H$486:$H546,62-20):$H546)*SQRT(245),"")</f>
        <v/>
      </c>
      <c r="M546" s="52" t="str">
        <f aca="false">IF(AND(ISNUMBER($G546),$G546&gt;=60),MAX(INDEX($D$346:$D546,202-60):$D546),"")</f>
        <v/>
      </c>
      <c r="N546" s="52" t="str">
        <f aca="false">IF(AND(ISNUMBER($G546),$G546&gt;=60),MIN(INDEX($E$346:$E546,202-60):$E546),"")</f>
        <v/>
      </c>
      <c r="O546" s="53" t="str">
        <f aca="false">IF(OR(NOT(ISNUMBER($C546)),NOT(ISNUMBER($M546)),$M546=0),"",$C546/$M546-1)</f>
        <v/>
      </c>
    </row>
    <row r="547" customFormat="false" ht="15" hidden="false" customHeight="false" outlineLevel="0" collapsed="false">
      <c r="A547" s="55"/>
      <c r="B547" s="56"/>
      <c r="C547" s="57"/>
      <c r="D547" s="56"/>
      <c r="E547" s="56"/>
      <c r="F547" s="56"/>
      <c r="G547" s="50" t="str">
        <f aca="false">IF($A547="","",IF(ISNUMBER($G546),$G546+1,1))</f>
        <v/>
      </c>
      <c r="H547" s="51" t="str">
        <f aca="false">IF(OR(NOT(ISNUMBER($G547)),$G547&lt;2,NOT(ISNUMBER($C546)),$C546=0),"",$C547/$C546-1)</f>
        <v/>
      </c>
      <c r="I547" s="52" t="str">
        <f aca="false">IF(AND(ISNUMBER($G547),$G547&gt;=MA_SHORT),AVERAGE(INDEX($C$147:$C547,402-MA_SHORT):$C547),"")</f>
        <v/>
      </c>
      <c r="J547" s="52" t="str">
        <f aca="false">IF(AND(ISNUMBER($G547),$G547&gt;=MA_MED),AVERAGE(INDEX($C$147:$C547,402-MA_MED):$C547),"")</f>
        <v/>
      </c>
      <c r="K547" s="52" t="str">
        <f aca="false">IF(AND(ISNUMBER($G547),$G547&gt;=MA_LONG2),AVERAGE(INDEX($C$147:$C547,402-MA_LONG2):$C547),"")</f>
        <v/>
      </c>
      <c r="L547" s="53" t="str">
        <f aca="false">IF(AND(ISNUMBER($G547),$G547&gt;=21),STDEV(INDEX($H$487:$H547,62-20):$H547)*SQRT(245),"")</f>
        <v/>
      </c>
      <c r="M547" s="52" t="str">
        <f aca="false">IF(AND(ISNUMBER($G547),$G547&gt;=60),MAX(INDEX($D$347:$D547,202-60):$D547),"")</f>
        <v/>
      </c>
      <c r="N547" s="52" t="str">
        <f aca="false">IF(AND(ISNUMBER($G547),$G547&gt;=60),MIN(INDEX($E$347:$E547,202-60):$E547),"")</f>
        <v/>
      </c>
      <c r="O547" s="53" t="str">
        <f aca="false">IF(OR(NOT(ISNUMBER($C547)),NOT(ISNUMBER($M547)),$M547=0),"",$C547/$M547-1)</f>
        <v/>
      </c>
    </row>
    <row r="548" customFormat="false" ht="15" hidden="false" customHeight="false" outlineLevel="0" collapsed="false">
      <c r="A548" s="55"/>
      <c r="B548" s="56"/>
      <c r="C548" s="57"/>
      <c r="D548" s="56"/>
      <c r="E548" s="56"/>
      <c r="F548" s="56"/>
      <c r="G548" s="50" t="str">
        <f aca="false">IF($A548="","",IF(ISNUMBER($G547),$G547+1,1))</f>
        <v/>
      </c>
      <c r="H548" s="51" t="str">
        <f aca="false">IF(OR(NOT(ISNUMBER($G548)),$G548&lt;2,NOT(ISNUMBER($C547)),$C547=0),"",$C548/$C547-1)</f>
        <v/>
      </c>
      <c r="I548" s="52" t="str">
        <f aca="false">IF(AND(ISNUMBER($G548),$G548&gt;=MA_SHORT),AVERAGE(INDEX($C$148:$C548,402-MA_SHORT):$C548),"")</f>
        <v/>
      </c>
      <c r="J548" s="52" t="str">
        <f aca="false">IF(AND(ISNUMBER($G548),$G548&gt;=MA_MED),AVERAGE(INDEX($C$148:$C548,402-MA_MED):$C548),"")</f>
        <v/>
      </c>
      <c r="K548" s="52" t="str">
        <f aca="false">IF(AND(ISNUMBER($G548),$G548&gt;=MA_LONG2),AVERAGE(INDEX($C$148:$C548,402-MA_LONG2):$C548),"")</f>
        <v/>
      </c>
      <c r="L548" s="53" t="str">
        <f aca="false">IF(AND(ISNUMBER($G548),$G548&gt;=21),STDEV(INDEX($H$488:$H548,62-20):$H548)*SQRT(245),"")</f>
        <v/>
      </c>
      <c r="M548" s="52" t="str">
        <f aca="false">IF(AND(ISNUMBER($G548),$G548&gt;=60),MAX(INDEX($D$348:$D548,202-60):$D548),"")</f>
        <v/>
      </c>
      <c r="N548" s="52" t="str">
        <f aca="false">IF(AND(ISNUMBER($G548),$G548&gt;=60),MIN(INDEX($E$348:$E548,202-60):$E548),"")</f>
        <v/>
      </c>
      <c r="O548" s="53" t="str">
        <f aca="false">IF(OR(NOT(ISNUMBER($C548)),NOT(ISNUMBER($M548)),$M548=0),"",$C548/$M548-1)</f>
        <v/>
      </c>
    </row>
    <row r="549" customFormat="false" ht="15" hidden="false" customHeight="false" outlineLevel="0" collapsed="false">
      <c r="A549" s="55"/>
      <c r="B549" s="56"/>
      <c r="C549" s="57"/>
      <c r="D549" s="56"/>
      <c r="E549" s="56"/>
      <c r="F549" s="56"/>
      <c r="G549" s="50" t="str">
        <f aca="false">IF($A549="","",IF(ISNUMBER($G548),$G548+1,1))</f>
        <v/>
      </c>
      <c r="H549" s="51" t="str">
        <f aca="false">IF(OR(NOT(ISNUMBER($G549)),$G549&lt;2,NOT(ISNUMBER($C548)),$C548=0),"",$C549/$C548-1)</f>
        <v/>
      </c>
      <c r="I549" s="52" t="str">
        <f aca="false">IF(AND(ISNUMBER($G549),$G549&gt;=MA_SHORT),AVERAGE(INDEX($C$149:$C549,402-MA_SHORT):$C549),"")</f>
        <v/>
      </c>
      <c r="J549" s="52" t="str">
        <f aca="false">IF(AND(ISNUMBER($G549),$G549&gt;=MA_MED),AVERAGE(INDEX($C$149:$C549,402-MA_MED):$C549),"")</f>
        <v/>
      </c>
      <c r="K549" s="52" t="str">
        <f aca="false">IF(AND(ISNUMBER($G549),$G549&gt;=MA_LONG2),AVERAGE(INDEX($C$149:$C549,402-MA_LONG2):$C549),"")</f>
        <v/>
      </c>
      <c r="L549" s="53" t="str">
        <f aca="false">IF(AND(ISNUMBER($G549),$G549&gt;=21),STDEV(INDEX($H$489:$H549,62-20):$H549)*SQRT(245),"")</f>
        <v/>
      </c>
      <c r="M549" s="52" t="str">
        <f aca="false">IF(AND(ISNUMBER($G549),$G549&gt;=60),MAX(INDEX($D$349:$D549,202-60):$D549),"")</f>
        <v/>
      </c>
      <c r="N549" s="52" t="str">
        <f aca="false">IF(AND(ISNUMBER($G549),$G549&gt;=60),MIN(INDEX($E$349:$E549,202-60):$E549),"")</f>
        <v/>
      </c>
      <c r="O549" s="53" t="str">
        <f aca="false">IF(OR(NOT(ISNUMBER($C549)),NOT(ISNUMBER($M549)),$M549=0),"",$C549/$M549-1)</f>
        <v/>
      </c>
    </row>
    <row r="550" customFormat="false" ht="15" hidden="false" customHeight="false" outlineLevel="0" collapsed="false">
      <c r="A550" s="55"/>
      <c r="B550" s="56"/>
      <c r="C550" s="57"/>
      <c r="D550" s="56"/>
      <c r="E550" s="56"/>
      <c r="F550" s="56"/>
      <c r="G550" s="50" t="str">
        <f aca="false">IF($A550="","",IF(ISNUMBER($G549),$G549+1,1))</f>
        <v/>
      </c>
      <c r="H550" s="51" t="str">
        <f aca="false">IF(OR(NOT(ISNUMBER($G550)),$G550&lt;2,NOT(ISNUMBER($C549)),$C549=0),"",$C550/$C549-1)</f>
        <v/>
      </c>
      <c r="I550" s="52" t="str">
        <f aca="false">IF(AND(ISNUMBER($G550),$G550&gt;=MA_SHORT),AVERAGE(INDEX($C$150:$C550,402-MA_SHORT):$C550),"")</f>
        <v/>
      </c>
      <c r="J550" s="52" t="str">
        <f aca="false">IF(AND(ISNUMBER($G550),$G550&gt;=MA_MED),AVERAGE(INDEX($C$150:$C550,402-MA_MED):$C550),"")</f>
        <v/>
      </c>
      <c r="K550" s="52" t="str">
        <f aca="false">IF(AND(ISNUMBER($G550),$G550&gt;=MA_LONG2),AVERAGE(INDEX($C$150:$C550,402-MA_LONG2):$C550),"")</f>
        <v/>
      </c>
      <c r="L550" s="53" t="str">
        <f aca="false">IF(AND(ISNUMBER($G550),$G550&gt;=21),STDEV(INDEX($H$490:$H550,62-20):$H550)*SQRT(245),"")</f>
        <v/>
      </c>
      <c r="M550" s="52" t="str">
        <f aca="false">IF(AND(ISNUMBER($G550),$G550&gt;=60),MAX(INDEX($D$350:$D550,202-60):$D550),"")</f>
        <v/>
      </c>
      <c r="N550" s="52" t="str">
        <f aca="false">IF(AND(ISNUMBER($G550),$G550&gt;=60),MIN(INDEX($E$350:$E550,202-60):$E550),"")</f>
        <v/>
      </c>
      <c r="O550" s="53" t="str">
        <f aca="false">IF(OR(NOT(ISNUMBER($C550)),NOT(ISNUMBER($M550)),$M550=0),"",$C550/$M550-1)</f>
        <v/>
      </c>
    </row>
    <row r="551" customFormat="false" ht="15" hidden="false" customHeight="false" outlineLevel="0" collapsed="false">
      <c r="A551" s="55"/>
      <c r="B551" s="56"/>
      <c r="C551" s="57"/>
      <c r="D551" s="56"/>
      <c r="E551" s="56"/>
      <c r="F551" s="56"/>
      <c r="G551" s="50" t="str">
        <f aca="false">IF($A551="","",IF(ISNUMBER($G550),$G550+1,1))</f>
        <v/>
      </c>
      <c r="H551" s="51" t="str">
        <f aca="false">IF(OR(NOT(ISNUMBER($G551)),$G551&lt;2,NOT(ISNUMBER($C550)),$C550=0),"",$C551/$C550-1)</f>
        <v/>
      </c>
      <c r="I551" s="52" t="str">
        <f aca="false">IF(AND(ISNUMBER($G551),$G551&gt;=MA_SHORT),AVERAGE(INDEX($C$151:$C551,402-MA_SHORT):$C551),"")</f>
        <v/>
      </c>
      <c r="J551" s="52" t="str">
        <f aca="false">IF(AND(ISNUMBER($G551),$G551&gt;=MA_MED),AVERAGE(INDEX($C$151:$C551,402-MA_MED):$C551),"")</f>
        <v/>
      </c>
      <c r="K551" s="52" t="str">
        <f aca="false">IF(AND(ISNUMBER($G551),$G551&gt;=MA_LONG2),AVERAGE(INDEX($C$151:$C551,402-MA_LONG2):$C551),"")</f>
        <v/>
      </c>
      <c r="L551" s="53" t="str">
        <f aca="false">IF(AND(ISNUMBER($G551),$G551&gt;=21),STDEV(INDEX($H$491:$H551,62-20):$H551)*SQRT(245),"")</f>
        <v/>
      </c>
      <c r="M551" s="52" t="str">
        <f aca="false">IF(AND(ISNUMBER($G551),$G551&gt;=60),MAX(INDEX($D$351:$D551,202-60):$D551),"")</f>
        <v/>
      </c>
      <c r="N551" s="52" t="str">
        <f aca="false">IF(AND(ISNUMBER($G551),$G551&gt;=60),MIN(INDEX($E$351:$E551,202-60):$E551),"")</f>
        <v/>
      </c>
      <c r="O551" s="53" t="str">
        <f aca="false">IF(OR(NOT(ISNUMBER($C551)),NOT(ISNUMBER($M551)),$M551=0),"",$C551/$M551-1)</f>
        <v/>
      </c>
    </row>
    <row r="552" customFormat="false" ht="15" hidden="false" customHeight="false" outlineLevel="0" collapsed="false">
      <c r="A552" s="55"/>
      <c r="B552" s="56"/>
      <c r="C552" s="57"/>
      <c r="D552" s="56"/>
      <c r="E552" s="56"/>
      <c r="F552" s="56"/>
      <c r="G552" s="50" t="str">
        <f aca="false">IF($A552="","",IF(ISNUMBER($G551),$G551+1,1))</f>
        <v/>
      </c>
      <c r="H552" s="51" t="str">
        <f aca="false">IF(OR(NOT(ISNUMBER($G552)),$G552&lt;2,NOT(ISNUMBER($C551)),$C551=0),"",$C552/$C551-1)</f>
        <v/>
      </c>
      <c r="I552" s="52" t="str">
        <f aca="false">IF(AND(ISNUMBER($G552),$G552&gt;=MA_SHORT),AVERAGE(INDEX($C$152:$C552,402-MA_SHORT):$C552),"")</f>
        <v/>
      </c>
      <c r="J552" s="52" t="str">
        <f aca="false">IF(AND(ISNUMBER($G552),$G552&gt;=MA_MED),AVERAGE(INDEX($C$152:$C552,402-MA_MED):$C552),"")</f>
        <v/>
      </c>
      <c r="K552" s="52" t="str">
        <f aca="false">IF(AND(ISNUMBER($G552),$G552&gt;=MA_LONG2),AVERAGE(INDEX($C$152:$C552,402-MA_LONG2):$C552),"")</f>
        <v/>
      </c>
      <c r="L552" s="53" t="str">
        <f aca="false">IF(AND(ISNUMBER($G552),$G552&gt;=21),STDEV(INDEX($H$492:$H552,62-20):$H552)*SQRT(245),"")</f>
        <v/>
      </c>
      <c r="M552" s="52" t="str">
        <f aca="false">IF(AND(ISNUMBER($G552),$G552&gt;=60),MAX(INDEX($D$352:$D552,202-60):$D552),"")</f>
        <v/>
      </c>
      <c r="N552" s="52" t="str">
        <f aca="false">IF(AND(ISNUMBER($G552),$G552&gt;=60),MIN(INDEX($E$352:$E552,202-60):$E552),"")</f>
        <v/>
      </c>
      <c r="O552" s="53" t="str">
        <f aca="false">IF(OR(NOT(ISNUMBER($C552)),NOT(ISNUMBER($M552)),$M552=0),"",$C552/$M552-1)</f>
        <v/>
      </c>
    </row>
    <row r="553" customFormat="false" ht="15" hidden="false" customHeight="false" outlineLevel="0" collapsed="false">
      <c r="A553" s="55"/>
      <c r="B553" s="56"/>
      <c r="C553" s="57"/>
      <c r="D553" s="56"/>
      <c r="E553" s="56"/>
      <c r="F553" s="56"/>
      <c r="G553" s="50" t="str">
        <f aca="false">IF($A553="","",IF(ISNUMBER($G552),$G552+1,1))</f>
        <v/>
      </c>
      <c r="H553" s="51" t="str">
        <f aca="false">IF(OR(NOT(ISNUMBER($G553)),$G553&lt;2,NOT(ISNUMBER($C552)),$C552=0),"",$C553/$C552-1)</f>
        <v/>
      </c>
      <c r="I553" s="52" t="str">
        <f aca="false">IF(AND(ISNUMBER($G553),$G553&gt;=MA_SHORT),AVERAGE(INDEX($C$153:$C553,402-MA_SHORT):$C553),"")</f>
        <v/>
      </c>
      <c r="J553" s="52" t="str">
        <f aca="false">IF(AND(ISNUMBER($G553),$G553&gt;=MA_MED),AVERAGE(INDEX($C$153:$C553,402-MA_MED):$C553),"")</f>
        <v/>
      </c>
      <c r="K553" s="52" t="str">
        <f aca="false">IF(AND(ISNUMBER($G553),$G553&gt;=MA_LONG2),AVERAGE(INDEX($C$153:$C553,402-MA_LONG2):$C553),"")</f>
        <v/>
      </c>
      <c r="L553" s="53" t="str">
        <f aca="false">IF(AND(ISNUMBER($G553),$G553&gt;=21),STDEV(INDEX($H$493:$H553,62-20):$H553)*SQRT(245),"")</f>
        <v/>
      </c>
      <c r="M553" s="52" t="str">
        <f aca="false">IF(AND(ISNUMBER($G553),$G553&gt;=60),MAX(INDEX($D$353:$D553,202-60):$D553),"")</f>
        <v/>
      </c>
      <c r="N553" s="52" t="str">
        <f aca="false">IF(AND(ISNUMBER($G553),$G553&gt;=60),MIN(INDEX($E$353:$E553,202-60):$E553),"")</f>
        <v/>
      </c>
      <c r="O553" s="53" t="str">
        <f aca="false">IF(OR(NOT(ISNUMBER($C553)),NOT(ISNUMBER($M553)),$M553=0),"",$C553/$M553-1)</f>
        <v/>
      </c>
    </row>
    <row r="554" customFormat="false" ht="15" hidden="false" customHeight="false" outlineLevel="0" collapsed="false">
      <c r="A554" s="55"/>
      <c r="B554" s="56"/>
      <c r="C554" s="57"/>
      <c r="D554" s="56"/>
      <c r="E554" s="56"/>
      <c r="F554" s="56"/>
      <c r="G554" s="50" t="str">
        <f aca="false">IF($A554="","",IF(ISNUMBER($G553),$G553+1,1))</f>
        <v/>
      </c>
      <c r="H554" s="51" t="str">
        <f aca="false">IF(OR(NOT(ISNUMBER($G554)),$G554&lt;2,NOT(ISNUMBER($C553)),$C553=0),"",$C554/$C553-1)</f>
        <v/>
      </c>
      <c r="I554" s="52" t="str">
        <f aca="false">IF(AND(ISNUMBER($G554),$G554&gt;=MA_SHORT),AVERAGE(INDEX($C$154:$C554,402-MA_SHORT):$C554),"")</f>
        <v/>
      </c>
      <c r="J554" s="52" t="str">
        <f aca="false">IF(AND(ISNUMBER($G554),$G554&gt;=MA_MED),AVERAGE(INDEX($C$154:$C554,402-MA_MED):$C554),"")</f>
        <v/>
      </c>
      <c r="K554" s="52" t="str">
        <f aca="false">IF(AND(ISNUMBER($G554),$G554&gt;=MA_LONG2),AVERAGE(INDEX($C$154:$C554,402-MA_LONG2):$C554),"")</f>
        <v/>
      </c>
      <c r="L554" s="53" t="str">
        <f aca="false">IF(AND(ISNUMBER($G554),$G554&gt;=21),STDEV(INDEX($H$494:$H554,62-20):$H554)*SQRT(245),"")</f>
        <v/>
      </c>
      <c r="M554" s="52" t="str">
        <f aca="false">IF(AND(ISNUMBER($G554),$G554&gt;=60),MAX(INDEX($D$354:$D554,202-60):$D554),"")</f>
        <v/>
      </c>
      <c r="N554" s="52" t="str">
        <f aca="false">IF(AND(ISNUMBER($G554),$G554&gt;=60),MIN(INDEX($E$354:$E554,202-60):$E554),"")</f>
        <v/>
      </c>
      <c r="O554" s="53" t="str">
        <f aca="false">IF(OR(NOT(ISNUMBER($C554)),NOT(ISNUMBER($M554)),$M554=0),"",$C554/$M554-1)</f>
        <v/>
      </c>
    </row>
    <row r="555" customFormat="false" ht="15" hidden="false" customHeight="false" outlineLevel="0" collapsed="false">
      <c r="A555" s="55"/>
      <c r="B555" s="56"/>
      <c r="C555" s="57"/>
      <c r="D555" s="56"/>
      <c r="E555" s="56"/>
      <c r="F555" s="56"/>
      <c r="G555" s="50" t="str">
        <f aca="false">IF($A555="","",IF(ISNUMBER($G554),$G554+1,1))</f>
        <v/>
      </c>
      <c r="H555" s="51" t="str">
        <f aca="false">IF(OR(NOT(ISNUMBER($G555)),$G555&lt;2,NOT(ISNUMBER($C554)),$C554=0),"",$C555/$C554-1)</f>
        <v/>
      </c>
      <c r="I555" s="52" t="str">
        <f aca="false">IF(AND(ISNUMBER($G555),$G555&gt;=MA_SHORT),AVERAGE(INDEX($C$155:$C555,402-MA_SHORT):$C555),"")</f>
        <v/>
      </c>
      <c r="J555" s="52" t="str">
        <f aca="false">IF(AND(ISNUMBER($G555),$G555&gt;=MA_MED),AVERAGE(INDEX($C$155:$C555,402-MA_MED):$C555),"")</f>
        <v/>
      </c>
      <c r="K555" s="52" t="str">
        <f aca="false">IF(AND(ISNUMBER($G555),$G555&gt;=MA_LONG2),AVERAGE(INDEX($C$155:$C555,402-MA_LONG2):$C555),"")</f>
        <v/>
      </c>
      <c r="L555" s="53" t="str">
        <f aca="false">IF(AND(ISNUMBER($G555),$G555&gt;=21),STDEV(INDEX($H$495:$H555,62-20):$H555)*SQRT(245),"")</f>
        <v/>
      </c>
      <c r="M555" s="52" t="str">
        <f aca="false">IF(AND(ISNUMBER($G555),$G555&gt;=60),MAX(INDEX($D$355:$D555,202-60):$D555),"")</f>
        <v/>
      </c>
      <c r="N555" s="52" t="str">
        <f aca="false">IF(AND(ISNUMBER($G555),$G555&gt;=60),MIN(INDEX($E$355:$E555,202-60):$E555),"")</f>
        <v/>
      </c>
      <c r="O555" s="53" t="str">
        <f aca="false">IF(OR(NOT(ISNUMBER($C555)),NOT(ISNUMBER($M555)),$M555=0),"",$C555/$M555-1)</f>
        <v/>
      </c>
    </row>
    <row r="556" customFormat="false" ht="15" hidden="false" customHeight="false" outlineLevel="0" collapsed="false">
      <c r="A556" s="55"/>
      <c r="B556" s="56"/>
      <c r="C556" s="57"/>
      <c r="D556" s="56"/>
      <c r="E556" s="56"/>
      <c r="F556" s="56"/>
      <c r="G556" s="50" t="str">
        <f aca="false">IF($A556="","",IF(ISNUMBER($G555),$G555+1,1))</f>
        <v/>
      </c>
      <c r="H556" s="51" t="str">
        <f aca="false">IF(OR(NOT(ISNUMBER($G556)),$G556&lt;2,NOT(ISNUMBER($C555)),$C555=0),"",$C556/$C555-1)</f>
        <v/>
      </c>
      <c r="I556" s="52" t="str">
        <f aca="false">IF(AND(ISNUMBER($G556),$G556&gt;=MA_SHORT),AVERAGE(INDEX($C$156:$C556,402-MA_SHORT):$C556),"")</f>
        <v/>
      </c>
      <c r="J556" s="52" t="str">
        <f aca="false">IF(AND(ISNUMBER($G556),$G556&gt;=MA_MED),AVERAGE(INDEX($C$156:$C556,402-MA_MED):$C556),"")</f>
        <v/>
      </c>
      <c r="K556" s="52" t="str">
        <f aca="false">IF(AND(ISNUMBER($G556),$G556&gt;=MA_LONG2),AVERAGE(INDEX($C$156:$C556,402-MA_LONG2):$C556),"")</f>
        <v/>
      </c>
      <c r="L556" s="53" t="str">
        <f aca="false">IF(AND(ISNUMBER($G556),$G556&gt;=21),STDEV(INDEX($H$496:$H556,62-20):$H556)*SQRT(245),"")</f>
        <v/>
      </c>
      <c r="M556" s="52" t="str">
        <f aca="false">IF(AND(ISNUMBER($G556),$G556&gt;=60),MAX(INDEX($D$356:$D556,202-60):$D556),"")</f>
        <v/>
      </c>
      <c r="N556" s="52" t="str">
        <f aca="false">IF(AND(ISNUMBER($G556),$G556&gt;=60),MIN(INDEX($E$356:$E556,202-60):$E556),"")</f>
        <v/>
      </c>
      <c r="O556" s="53" t="str">
        <f aca="false">IF(OR(NOT(ISNUMBER($C556)),NOT(ISNUMBER($M556)),$M556=0),"",$C556/$M556-1)</f>
        <v/>
      </c>
    </row>
    <row r="557" customFormat="false" ht="15" hidden="false" customHeight="false" outlineLevel="0" collapsed="false">
      <c r="A557" s="55"/>
      <c r="B557" s="56"/>
      <c r="C557" s="57"/>
      <c r="D557" s="56"/>
      <c r="E557" s="56"/>
      <c r="F557" s="56"/>
      <c r="G557" s="50" t="str">
        <f aca="false">IF($A557="","",IF(ISNUMBER($G556),$G556+1,1))</f>
        <v/>
      </c>
      <c r="H557" s="51" t="str">
        <f aca="false">IF(OR(NOT(ISNUMBER($G557)),$G557&lt;2,NOT(ISNUMBER($C556)),$C556=0),"",$C557/$C556-1)</f>
        <v/>
      </c>
      <c r="I557" s="52" t="str">
        <f aca="false">IF(AND(ISNUMBER($G557),$G557&gt;=MA_SHORT),AVERAGE(INDEX($C$157:$C557,402-MA_SHORT):$C557),"")</f>
        <v/>
      </c>
      <c r="J557" s="52" t="str">
        <f aca="false">IF(AND(ISNUMBER($G557),$G557&gt;=MA_MED),AVERAGE(INDEX($C$157:$C557,402-MA_MED):$C557),"")</f>
        <v/>
      </c>
      <c r="K557" s="52" t="str">
        <f aca="false">IF(AND(ISNUMBER($G557),$G557&gt;=MA_LONG2),AVERAGE(INDEX($C$157:$C557,402-MA_LONG2):$C557),"")</f>
        <v/>
      </c>
      <c r="L557" s="53" t="str">
        <f aca="false">IF(AND(ISNUMBER($G557),$G557&gt;=21),STDEV(INDEX($H$497:$H557,62-20):$H557)*SQRT(245),"")</f>
        <v/>
      </c>
      <c r="M557" s="52" t="str">
        <f aca="false">IF(AND(ISNUMBER($G557),$G557&gt;=60),MAX(INDEX($D$357:$D557,202-60):$D557),"")</f>
        <v/>
      </c>
      <c r="N557" s="52" t="str">
        <f aca="false">IF(AND(ISNUMBER($G557),$G557&gt;=60),MIN(INDEX($E$357:$E557,202-60):$E557),"")</f>
        <v/>
      </c>
      <c r="O557" s="53" t="str">
        <f aca="false">IF(OR(NOT(ISNUMBER($C557)),NOT(ISNUMBER($M557)),$M557=0),"",$C557/$M557-1)</f>
        <v/>
      </c>
    </row>
    <row r="558" customFormat="false" ht="15" hidden="false" customHeight="false" outlineLevel="0" collapsed="false">
      <c r="A558" s="55"/>
      <c r="B558" s="56"/>
      <c r="C558" s="57"/>
      <c r="D558" s="56"/>
      <c r="E558" s="56"/>
      <c r="F558" s="56"/>
      <c r="G558" s="50" t="str">
        <f aca="false">IF($A558="","",IF(ISNUMBER($G557),$G557+1,1))</f>
        <v/>
      </c>
      <c r="H558" s="51" t="str">
        <f aca="false">IF(OR(NOT(ISNUMBER($G558)),$G558&lt;2,NOT(ISNUMBER($C557)),$C557=0),"",$C558/$C557-1)</f>
        <v/>
      </c>
      <c r="I558" s="52" t="str">
        <f aca="false">IF(AND(ISNUMBER($G558),$G558&gt;=MA_SHORT),AVERAGE(INDEX($C$158:$C558,402-MA_SHORT):$C558),"")</f>
        <v/>
      </c>
      <c r="J558" s="52" t="str">
        <f aca="false">IF(AND(ISNUMBER($G558),$G558&gt;=MA_MED),AVERAGE(INDEX($C$158:$C558,402-MA_MED):$C558),"")</f>
        <v/>
      </c>
      <c r="K558" s="52" t="str">
        <f aca="false">IF(AND(ISNUMBER($G558),$G558&gt;=MA_LONG2),AVERAGE(INDEX($C$158:$C558,402-MA_LONG2):$C558),"")</f>
        <v/>
      </c>
      <c r="L558" s="53" t="str">
        <f aca="false">IF(AND(ISNUMBER($G558),$G558&gt;=21),STDEV(INDEX($H$498:$H558,62-20):$H558)*SQRT(245),"")</f>
        <v/>
      </c>
      <c r="M558" s="52" t="str">
        <f aca="false">IF(AND(ISNUMBER($G558),$G558&gt;=60),MAX(INDEX($D$358:$D558,202-60):$D558),"")</f>
        <v/>
      </c>
      <c r="N558" s="52" t="str">
        <f aca="false">IF(AND(ISNUMBER($G558),$G558&gt;=60),MIN(INDEX($E$358:$E558,202-60):$E558),"")</f>
        <v/>
      </c>
      <c r="O558" s="53" t="str">
        <f aca="false">IF(OR(NOT(ISNUMBER($C558)),NOT(ISNUMBER($M558)),$M558=0),"",$C558/$M558-1)</f>
        <v/>
      </c>
    </row>
    <row r="559" customFormat="false" ht="15" hidden="false" customHeight="false" outlineLevel="0" collapsed="false">
      <c r="A559" s="55"/>
      <c r="B559" s="56"/>
      <c r="C559" s="57"/>
      <c r="D559" s="56"/>
      <c r="E559" s="56"/>
      <c r="F559" s="56"/>
      <c r="G559" s="50" t="str">
        <f aca="false">IF($A559="","",IF(ISNUMBER($G558),$G558+1,1))</f>
        <v/>
      </c>
      <c r="H559" s="51" t="str">
        <f aca="false">IF(OR(NOT(ISNUMBER($G559)),$G559&lt;2,NOT(ISNUMBER($C558)),$C558=0),"",$C559/$C558-1)</f>
        <v/>
      </c>
      <c r="I559" s="52" t="str">
        <f aca="false">IF(AND(ISNUMBER($G559),$G559&gt;=MA_SHORT),AVERAGE(INDEX($C$159:$C559,402-MA_SHORT):$C559),"")</f>
        <v/>
      </c>
      <c r="J559" s="52" t="str">
        <f aca="false">IF(AND(ISNUMBER($G559),$G559&gt;=MA_MED),AVERAGE(INDEX($C$159:$C559,402-MA_MED):$C559),"")</f>
        <v/>
      </c>
      <c r="K559" s="52" t="str">
        <f aca="false">IF(AND(ISNUMBER($G559),$G559&gt;=MA_LONG2),AVERAGE(INDEX($C$159:$C559,402-MA_LONG2):$C559),"")</f>
        <v/>
      </c>
      <c r="L559" s="53" t="str">
        <f aca="false">IF(AND(ISNUMBER($G559),$G559&gt;=21),STDEV(INDEX($H$499:$H559,62-20):$H559)*SQRT(245),"")</f>
        <v/>
      </c>
      <c r="M559" s="52" t="str">
        <f aca="false">IF(AND(ISNUMBER($G559),$G559&gt;=60),MAX(INDEX($D$359:$D559,202-60):$D559),"")</f>
        <v/>
      </c>
      <c r="N559" s="52" t="str">
        <f aca="false">IF(AND(ISNUMBER($G559),$G559&gt;=60),MIN(INDEX($E$359:$E559,202-60):$E559),"")</f>
        <v/>
      </c>
      <c r="O559" s="53" t="str">
        <f aca="false">IF(OR(NOT(ISNUMBER($C559)),NOT(ISNUMBER($M559)),$M559=0),"",$C559/$M559-1)</f>
        <v/>
      </c>
    </row>
    <row r="560" customFormat="false" ht="15" hidden="false" customHeight="false" outlineLevel="0" collapsed="false">
      <c r="A560" s="55"/>
      <c r="B560" s="56"/>
      <c r="C560" s="57"/>
      <c r="D560" s="56"/>
      <c r="E560" s="56"/>
      <c r="F560" s="56"/>
      <c r="G560" s="50" t="str">
        <f aca="false">IF($A560="","",IF(ISNUMBER($G559),$G559+1,1))</f>
        <v/>
      </c>
      <c r="H560" s="51" t="str">
        <f aca="false">IF(OR(NOT(ISNUMBER($G560)),$G560&lt;2,NOT(ISNUMBER($C559)),$C559=0),"",$C560/$C559-1)</f>
        <v/>
      </c>
      <c r="I560" s="52" t="str">
        <f aca="false">IF(AND(ISNUMBER($G560),$G560&gt;=MA_SHORT),AVERAGE(INDEX($C$160:$C560,402-MA_SHORT):$C560),"")</f>
        <v/>
      </c>
      <c r="J560" s="52" t="str">
        <f aca="false">IF(AND(ISNUMBER($G560),$G560&gt;=MA_MED),AVERAGE(INDEX($C$160:$C560,402-MA_MED):$C560),"")</f>
        <v/>
      </c>
      <c r="K560" s="52" t="str">
        <f aca="false">IF(AND(ISNUMBER($G560),$G560&gt;=MA_LONG2),AVERAGE(INDEX($C$160:$C560,402-MA_LONG2):$C560),"")</f>
        <v/>
      </c>
      <c r="L560" s="53" t="str">
        <f aca="false">IF(AND(ISNUMBER($G560),$G560&gt;=21),STDEV(INDEX($H$500:$H560,62-20):$H560)*SQRT(245),"")</f>
        <v/>
      </c>
      <c r="M560" s="52" t="str">
        <f aca="false">IF(AND(ISNUMBER($G560),$G560&gt;=60),MAX(INDEX($D$360:$D560,202-60):$D560),"")</f>
        <v/>
      </c>
      <c r="N560" s="52" t="str">
        <f aca="false">IF(AND(ISNUMBER($G560),$G560&gt;=60),MIN(INDEX($E$360:$E560,202-60):$E560),"")</f>
        <v/>
      </c>
      <c r="O560" s="53" t="str">
        <f aca="false">IF(OR(NOT(ISNUMBER($C560)),NOT(ISNUMBER($M560)),$M560=0),"",$C560/$M560-1)</f>
        <v/>
      </c>
    </row>
    <row r="561" customFormat="false" ht="15" hidden="false" customHeight="false" outlineLevel="0" collapsed="false">
      <c r="A561" s="55"/>
      <c r="B561" s="56"/>
      <c r="C561" s="57"/>
      <c r="D561" s="56"/>
      <c r="E561" s="56"/>
      <c r="F561" s="56"/>
      <c r="G561" s="50" t="str">
        <f aca="false">IF($A561="","",IF(ISNUMBER($G560),$G560+1,1))</f>
        <v/>
      </c>
      <c r="H561" s="51" t="str">
        <f aca="false">IF(OR(NOT(ISNUMBER($G561)),$G561&lt;2,NOT(ISNUMBER($C560)),$C560=0),"",$C561/$C560-1)</f>
        <v/>
      </c>
      <c r="I561" s="52" t="str">
        <f aca="false">IF(AND(ISNUMBER($G561),$G561&gt;=MA_SHORT),AVERAGE(INDEX($C$161:$C561,402-MA_SHORT):$C561),"")</f>
        <v/>
      </c>
      <c r="J561" s="52" t="str">
        <f aca="false">IF(AND(ISNUMBER($G561),$G561&gt;=MA_MED),AVERAGE(INDEX($C$161:$C561,402-MA_MED):$C561),"")</f>
        <v/>
      </c>
      <c r="K561" s="52" t="str">
        <f aca="false">IF(AND(ISNUMBER($G561),$G561&gt;=MA_LONG2),AVERAGE(INDEX($C$161:$C561,402-MA_LONG2):$C561),"")</f>
        <v/>
      </c>
      <c r="L561" s="53" t="str">
        <f aca="false">IF(AND(ISNUMBER($G561),$G561&gt;=21),STDEV(INDEX($H$501:$H561,62-20):$H561)*SQRT(245),"")</f>
        <v/>
      </c>
      <c r="M561" s="52" t="str">
        <f aca="false">IF(AND(ISNUMBER($G561),$G561&gt;=60),MAX(INDEX($D$361:$D561,202-60):$D561),"")</f>
        <v/>
      </c>
      <c r="N561" s="52" t="str">
        <f aca="false">IF(AND(ISNUMBER($G561),$G561&gt;=60),MIN(INDEX($E$361:$E561,202-60):$E561),"")</f>
        <v/>
      </c>
      <c r="O561" s="53" t="str">
        <f aca="false">IF(OR(NOT(ISNUMBER($C561)),NOT(ISNUMBER($M561)),$M561=0),"",$C561/$M561-1)</f>
        <v/>
      </c>
    </row>
    <row r="562" customFormat="false" ht="15" hidden="false" customHeight="false" outlineLevel="0" collapsed="false">
      <c r="A562" s="55"/>
      <c r="B562" s="56"/>
      <c r="C562" s="57"/>
      <c r="D562" s="56"/>
      <c r="E562" s="56"/>
      <c r="F562" s="56"/>
      <c r="G562" s="50" t="str">
        <f aca="false">IF($A562="","",IF(ISNUMBER($G561),$G561+1,1))</f>
        <v/>
      </c>
      <c r="H562" s="51" t="str">
        <f aca="false">IF(OR(NOT(ISNUMBER($G562)),$G562&lt;2,NOT(ISNUMBER($C561)),$C561=0),"",$C562/$C561-1)</f>
        <v/>
      </c>
      <c r="I562" s="52" t="str">
        <f aca="false">IF(AND(ISNUMBER($G562),$G562&gt;=MA_SHORT),AVERAGE(INDEX($C$162:$C562,402-MA_SHORT):$C562),"")</f>
        <v/>
      </c>
      <c r="J562" s="52" t="str">
        <f aca="false">IF(AND(ISNUMBER($G562),$G562&gt;=MA_MED),AVERAGE(INDEX($C$162:$C562,402-MA_MED):$C562),"")</f>
        <v/>
      </c>
      <c r="K562" s="52" t="str">
        <f aca="false">IF(AND(ISNUMBER($G562),$G562&gt;=MA_LONG2),AVERAGE(INDEX($C$162:$C562,402-MA_LONG2):$C562),"")</f>
        <v/>
      </c>
      <c r="L562" s="53" t="str">
        <f aca="false">IF(AND(ISNUMBER($G562),$G562&gt;=21),STDEV(INDEX($H$502:$H562,62-20):$H562)*SQRT(245),"")</f>
        <v/>
      </c>
      <c r="M562" s="52" t="str">
        <f aca="false">IF(AND(ISNUMBER($G562),$G562&gt;=60),MAX(INDEX($D$362:$D562,202-60):$D562),"")</f>
        <v/>
      </c>
      <c r="N562" s="52" t="str">
        <f aca="false">IF(AND(ISNUMBER($G562),$G562&gt;=60),MIN(INDEX($E$362:$E562,202-60):$E562),"")</f>
        <v/>
      </c>
      <c r="O562" s="53" t="str">
        <f aca="false">IF(OR(NOT(ISNUMBER($C562)),NOT(ISNUMBER($M562)),$M562=0),"",$C562/$M562-1)</f>
        <v/>
      </c>
    </row>
    <row r="563" customFormat="false" ht="15" hidden="false" customHeight="false" outlineLevel="0" collapsed="false">
      <c r="A563" s="55"/>
      <c r="B563" s="56"/>
      <c r="C563" s="57"/>
      <c r="D563" s="56"/>
      <c r="E563" s="56"/>
      <c r="F563" s="56"/>
      <c r="G563" s="50" t="str">
        <f aca="false">IF($A563="","",IF(ISNUMBER($G562),$G562+1,1))</f>
        <v/>
      </c>
      <c r="H563" s="51" t="str">
        <f aca="false">IF(OR(NOT(ISNUMBER($G563)),$G563&lt;2,NOT(ISNUMBER($C562)),$C562=0),"",$C563/$C562-1)</f>
        <v/>
      </c>
      <c r="I563" s="52" t="str">
        <f aca="false">IF(AND(ISNUMBER($G563),$G563&gt;=MA_SHORT),AVERAGE(INDEX($C$163:$C563,402-MA_SHORT):$C563),"")</f>
        <v/>
      </c>
      <c r="J563" s="52" t="str">
        <f aca="false">IF(AND(ISNUMBER($G563),$G563&gt;=MA_MED),AVERAGE(INDEX($C$163:$C563,402-MA_MED):$C563),"")</f>
        <v/>
      </c>
      <c r="K563" s="52" t="str">
        <f aca="false">IF(AND(ISNUMBER($G563),$G563&gt;=MA_LONG2),AVERAGE(INDEX($C$163:$C563,402-MA_LONG2):$C563),"")</f>
        <v/>
      </c>
      <c r="L563" s="53" t="str">
        <f aca="false">IF(AND(ISNUMBER($G563),$G563&gt;=21),STDEV(INDEX($H$503:$H563,62-20):$H563)*SQRT(245),"")</f>
        <v/>
      </c>
      <c r="M563" s="52" t="str">
        <f aca="false">IF(AND(ISNUMBER($G563),$G563&gt;=60),MAX(INDEX($D$363:$D563,202-60):$D563),"")</f>
        <v/>
      </c>
      <c r="N563" s="52" t="str">
        <f aca="false">IF(AND(ISNUMBER($G563),$G563&gt;=60),MIN(INDEX($E$363:$E563,202-60):$E563),"")</f>
        <v/>
      </c>
      <c r="O563" s="53" t="str">
        <f aca="false">IF(OR(NOT(ISNUMBER($C563)),NOT(ISNUMBER($M563)),$M563=0),"",$C563/$M563-1)</f>
        <v/>
      </c>
    </row>
    <row r="564" customFormat="false" ht="15" hidden="false" customHeight="false" outlineLevel="0" collapsed="false">
      <c r="A564" s="55"/>
      <c r="B564" s="56"/>
      <c r="C564" s="57"/>
      <c r="D564" s="56"/>
      <c r="E564" s="56"/>
      <c r="F564" s="56"/>
      <c r="G564" s="50" t="str">
        <f aca="false">IF($A564="","",IF(ISNUMBER($G563),$G563+1,1))</f>
        <v/>
      </c>
      <c r="H564" s="51" t="str">
        <f aca="false">IF(OR(NOT(ISNUMBER($G564)),$G564&lt;2,NOT(ISNUMBER($C563)),$C563=0),"",$C564/$C563-1)</f>
        <v/>
      </c>
      <c r="I564" s="52" t="str">
        <f aca="false">IF(AND(ISNUMBER($G564),$G564&gt;=MA_SHORT),AVERAGE(INDEX($C$164:$C564,402-MA_SHORT):$C564),"")</f>
        <v/>
      </c>
      <c r="J564" s="52" t="str">
        <f aca="false">IF(AND(ISNUMBER($G564),$G564&gt;=MA_MED),AVERAGE(INDEX($C$164:$C564,402-MA_MED):$C564),"")</f>
        <v/>
      </c>
      <c r="K564" s="52" t="str">
        <f aca="false">IF(AND(ISNUMBER($G564),$G564&gt;=MA_LONG2),AVERAGE(INDEX($C$164:$C564,402-MA_LONG2):$C564),"")</f>
        <v/>
      </c>
      <c r="L564" s="53" t="str">
        <f aca="false">IF(AND(ISNUMBER($G564),$G564&gt;=21),STDEV(INDEX($H$504:$H564,62-20):$H564)*SQRT(245),"")</f>
        <v/>
      </c>
      <c r="M564" s="52" t="str">
        <f aca="false">IF(AND(ISNUMBER($G564),$G564&gt;=60),MAX(INDEX($D$364:$D564,202-60):$D564),"")</f>
        <v/>
      </c>
      <c r="N564" s="52" t="str">
        <f aca="false">IF(AND(ISNUMBER($G564),$G564&gt;=60),MIN(INDEX($E$364:$E564,202-60):$E564),"")</f>
        <v/>
      </c>
      <c r="O564" s="53" t="str">
        <f aca="false">IF(OR(NOT(ISNUMBER($C564)),NOT(ISNUMBER($M564)),$M564=0),"",$C564/$M564-1)</f>
        <v/>
      </c>
    </row>
    <row r="565" customFormat="false" ht="15" hidden="false" customHeight="false" outlineLevel="0" collapsed="false">
      <c r="A565" s="55"/>
      <c r="B565" s="56"/>
      <c r="C565" s="57"/>
      <c r="D565" s="56"/>
      <c r="E565" s="56"/>
      <c r="F565" s="56"/>
      <c r="G565" s="50" t="str">
        <f aca="false">IF($A565="","",IF(ISNUMBER($G564),$G564+1,1))</f>
        <v/>
      </c>
      <c r="H565" s="51" t="str">
        <f aca="false">IF(OR(NOT(ISNUMBER($G565)),$G565&lt;2,NOT(ISNUMBER($C564)),$C564=0),"",$C565/$C564-1)</f>
        <v/>
      </c>
      <c r="I565" s="52" t="str">
        <f aca="false">IF(AND(ISNUMBER($G565),$G565&gt;=MA_SHORT),AVERAGE(INDEX($C$165:$C565,402-MA_SHORT):$C565),"")</f>
        <v/>
      </c>
      <c r="J565" s="52" t="str">
        <f aca="false">IF(AND(ISNUMBER($G565),$G565&gt;=MA_MED),AVERAGE(INDEX($C$165:$C565,402-MA_MED):$C565),"")</f>
        <v/>
      </c>
      <c r="K565" s="52" t="str">
        <f aca="false">IF(AND(ISNUMBER($G565),$G565&gt;=MA_LONG2),AVERAGE(INDEX($C$165:$C565,402-MA_LONG2):$C565),"")</f>
        <v/>
      </c>
      <c r="L565" s="53" t="str">
        <f aca="false">IF(AND(ISNUMBER($G565),$G565&gt;=21),STDEV(INDEX($H$505:$H565,62-20):$H565)*SQRT(245),"")</f>
        <v/>
      </c>
      <c r="M565" s="52" t="str">
        <f aca="false">IF(AND(ISNUMBER($G565),$G565&gt;=60),MAX(INDEX($D$365:$D565,202-60):$D565),"")</f>
        <v/>
      </c>
      <c r="N565" s="52" t="str">
        <f aca="false">IF(AND(ISNUMBER($G565),$G565&gt;=60),MIN(INDEX($E$365:$E565,202-60):$E565),"")</f>
        <v/>
      </c>
      <c r="O565" s="53" t="str">
        <f aca="false">IF(OR(NOT(ISNUMBER($C565)),NOT(ISNUMBER($M565)),$M565=0),"",$C565/$M565-1)</f>
        <v/>
      </c>
    </row>
    <row r="566" customFormat="false" ht="15" hidden="false" customHeight="false" outlineLevel="0" collapsed="false">
      <c r="A566" s="55"/>
      <c r="B566" s="56"/>
      <c r="C566" s="57"/>
      <c r="D566" s="56"/>
      <c r="E566" s="56"/>
      <c r="F566" s="56"/>
      <c r="G566" s="50" t="str">
        <f aca="false">IF($A566="","",IF(ISNUMBER($G565),$G565+1,1))</f>
        <v/>
      </c>
      <c r="H566" s="51" t="str">
        <f aca="false">IF(OR(NOT(ISNUMBER($G566)),$G566&lt;2,NOT(ISNUMBER($C565)),$C565=0),"",$C566/$C565-1)</f>
        <v/>
      </c>
      <c r="I566" s="52" t="str">
        <f aca="false">IF(AND(ISNUMBER($G566),$G566&gt;=MA_SHORT),AVERAGE(INDEX($C$166:$C566,402-MA_SHORT):$C566),"")</f>
        <v/>
      </c>
      <c r="J566" s="52" t="str">
        <f aca="false">IF(AND(ISNUMBER($G566),$G566&gt;=MA_MED),AVERAGE(INDEX($C$166:$C566,402-MA_MED):$C566),"")</f>
        <v/>
      </c>
      <c r="K566" s="52" t="str">
        <f aca="false">IF(AND(ISNUMBER($G566),$G566&gt;=MA_LONG2),AVERAGE(INDEX($C$166:$C566,402-MA_LONG2):$C566),"")</f>
        <v/>
      </c>
      <c r="L566" s="53" t="str">
        <f aca="false">IF(AND(ISNUMBER($G566),$G566&gt;=21),STDEV(INDEX($H$506:$H566,62-20):$H566)*SQRT(245),"")</f>
        <v/>
      </c>
      <c r="M566" s="52" t="str">
        <f aca="false">IF(AND(ISNUMBER($G566),$G566&gt;=60),MAX(INDEX($D$366:$D566,202-60):$D566),"")</f>
        <v/>
      </c>
      <c r="N566" s="52" t="str">
        <f aca="false">IF(AND(ISNUMBER($G566),$G566&gt;=60),MIN(INDEX($E$366:$E566,202-60):$E566),"")</f>
        <v/>
      </c>
      <c r="O566" s="53" t="str">
        <f aca="false">IF(OR(NOT(ISNUMBER($C566)),NOT(ISNUMBER($M566)),$M566=0),"",$C566/$M566-1)</f>
        <v/>
      </c>
    </row>
    <row r="567" customFormat="false" ht="15" hidden="false" customHeight="false" outlineLevel="0" collapsed="false">
      <c r="A567" s="55"/>
      <c r="B567" s="56"/>
      <c r="C567" s="57"/>
      <c r="D567" s="56"/>
      <c r="E567" s="56"/>
      <c r="F567" s="56"/>
      <c r="G567" s="50" t="str">
        <f aca="false">IF($A567="","",IF(ISNUMBER($G566),$G566+1,1))</f>
        <v/>
      </c>
      <c r="H567" s="51" t="str">
        <f aca="false">IF(OR(NOT(ISNUMBER($G567)),$G567&lt;2,NOT(ISNUMBER($C566)),$C566=0),"",$C567/$C566-1)</f>
        <v/>
      </c>
      <c r="I567" s="52" t="str">
        <f aca="false">IF(AND(ISNUMBER($G567),$G567&gt;=MA_SHORT),AVERAGE(INDEX($C$167:$C567,402-MA_SHORT):$C567),"")</f>
        <v/>
      </c>
      <c r="J567" s="52" t="str">
        <f aca="false">IF(AND(ISNUMBER($G567),$G567&gt;=MA_MED),AVERAGE(INDEX($C$167:$C567,402-MA_MED):$C567),"")</f>
        <v/>
      </c>
      <c r="K567" s="52" t="str">
        <f aca="false">IF(AND(ISNUMBER($G567),$G567&gt;=MA_LONG2),AVERAGE(INDEX($C$167:$C567,402-MA_LONG2):$C567),"")</f>
        <v/>
      </c>
      <c r="L567" s="53" t="str">
        <f aca="false">IF(AND(ISNUMBER($G567),$G567&gt;=21),STDEV(INDEX($H$507:$H567,62-20):$H567)*SQRT(245),"")</f>
        <v/>
      </c>
      <c r="M567" s="52" t="str">
        <f aca="false">IF(AND(ISNUMBER($G567),$G567&gt;=60),MAX(INDEX($D$367:$D567,202-60):$D567),"")</f>
        <v/>
      </c>
      <c r="N567" s="52" t="str">
        <f aca="false">IF(AND(ISNUMBER($G567),$G567&gt;=60),MIN(INDEX($E$367:$E567,202-60):$E567),"")</f>
        <v/>
      </c>
      <c r="O567" s="53" t="str">
        <f aca="false">IF(OR(NOT(ISNUMBER($C567)),NOT(ISNUMBER($M567)),$M567=0),"",$C567/$M567-1)</f>
        <v/>
      </c>
    </row>
    <row r="568" customFormat="false" ht="15" hidden="false" customHeight="false" outlineLevel="0" collapsed="false">
      <c r="A568" s="55"/>
      <c r="B568" s="56"/>
      <c r="C568" s="57"/>
      <c r="D568" s="56"/>
      <c r="E568" s="56"/>
      <c r="F568" s="56"/>
      <c r="G568" s="50" t="str">
        <f aca="false">IF($A568="","",IF(ISNUMBER($G567),$G567+1,1))</f>
        <v/>
      </c>
      <c r="H568" s="51" t="str">
        <f aca="false">IF(OR(NOT(ISNUMBER($G568)),$G568&lt;2,NOT(ISNUMBER($C567)),$C567=0),"",$C568/$C567-1)</f>
        <v/>
      </c>
      <c r="I568" s="52" t="str">
        <f aca="false">IF(AND(ISNUMBER($G568),$G568&gt;=MA_SHORT),AVERAGE(INDEX($C$168:$C568,402-MA_SHORT):$C568),"")</f>
        <v/>
      </c>
      <c r="J568" s="52" t="str">
        <f aca="false">IF(AND(ISNUMBER($G568),$G568&gt;=MA_MED),AVERAGE(INDEX($C$168:$C568,402-MA_MED):$C568),"")</f>
        <v/>
      </c>
      <c r="K568" s="52" t="str">
        <f aca="false">IF(AND(ISNUMBER($G568),$G568&gt;=MA_LONG2),AVERAGE(INDEX($C$168:$C568,402-MA_LONG2):$C568),"")</f>
        <v/>
      </c>
      <c r="L568" s="53" t="str">
        <f aca="false">IF(AND(ISNUMBER($G568),$G568&gt;=21),STDEV(INDEX($H$508:$H568,62-20):$H568)*SQRT(245),"")</f>
        <v/>
      </c>
      <c r="M568" s="52" t="str">
        <f aca="false">IF(AND(ISNUMBER($G568),$G568&gt;=60),MAX(INDEX($D$368:$D568,202-60):$D568),"")</f>
        <v/>
      </c>
      <c r="N568" s="52" t="str">
        <f aca="false">IF(AND(ISNUMBER($G568),$G568&gt;=60),MIN(INDEX($E$368:$E568,202-60):$E568),"")</f>
        <v/>
      </c>
      <c r="O568" s="53" t="str">
        <f aca="false">IF(OR(NOT(ISNUMBER($C568)),NOT(ISNUMBER($M568)),$M568=0),"",$C568/$M568-1)</f>
        <v/>
      </c>
    </row>
    <row r="569" customFormat="false" ht="15" hidden="false" customHeight="false" outlineLevel="0" collapsed="false">
      <c r="A569" s="55"/>
      <c r="B569" s="56"/>
      <c r="C569" s="57"/>
      <c r="D569" s="56"/>
      <c r="E569" s="56"/>
      <c r="F569" s="56"/>
      <c r="G569" s="50" t="str">
        <f aca="false">IF($A569="","",IF(ISNUMBER($G568),$G568+1,1))</f>
        <v/>
      </c>
      <c r="H569" s="51" t="str">
        <f aca="false">IF(OR(NOT(ISNUMBER($G569)),$G569&lt;2,NOT(ISNUMBER($C568)),$C568=0),"",$C569/$C568-1)</f>
        <v/>
      </c>
      <c r="I569" s="52" t="str">
        <f aca="false">IF(AND(ISNUMBER($G569),$G569&gt;=MA_SHORT),AVERAGE(INDEX($C$169:$C569,402-MA_SHORT):$C569),"")</f>
        <v/>
      </c>
      <c r="J569" s="52" t="str">
        <f aca="false">IF(AND(ISNUMBER($G569),$G569&gt;=MA_MED),AVERAGE(INDEX($C$169:$C569,402-MA_MED):$C569),"")</f>
        <v/>
      </c>
      <c r="K569" s="52" t="str">
        <f aca="false">IF(AND(ISNUMBER($G569),$G569&gt;=MA_LONG2),AVERAGE(INDEX($C$169:$C569,402-MA_LONG2):$C569),"")</f>
        <v/>
      </c>
      <c r="L569" s="53" t="str">
        <f aca="false">IF(AND(ISNUMBER($G569),$G569&gt;=21),STDEV(INDEX($H$509:$H569,62-20):$H569)*SQRT(245),"")</f>
        <v/>
      </c>
      <c r="M569" s="52" t="str">
        <f aca="false">IF(AND(ISNUMBER($G569),$G569&gt;=60),MAX(INDEX($D$369:$D569,202-60):$D569),"")</f>
        <v/>
      </c>
      <c r="N569" s="52" t="str">
        <f aca="false">IF(AND(ISNUMBER($G569),$G569&gt;=60),MIN(INDEX($E$369:$E569,202-60):$E569),"")</f>
        <v/>
      </c>
      <c r="O569" s="53" t="str">
        <f aca="false">IF(OR(NOT(ISNUMBER($C569)),NOT(ISNUMBER($M569)),$M569=0),"",$C569/$M569-1)</f>
        <v/>
      </c>
    </row>
    <row r="570" customFormat="false" ht="15" hidden="false" customHeight="false" outlineLevel="0" collapsed="false">
      <c r="A570" s="55"/>
      <c r="B570" s="56"/>
      <c r="C570" s="57"/>
      <c r="D570" s="56"/>
      <c r="E570" s="56"/>
      <c r="F570" s="56"/>
      <c r="G570" s="50" t="str">
        <f aca="false">IF($A570="","",IF(ISNUMBER($G569),$G569+1,1))</f>
        <v/>
      </c>
      <c r="H570" s="51" t="str">
        <f aca="false">IF(OR(NOT(ISNUMBER($G570)),$G570&lt;2,NOT(ISNUMBER($C569)),$C569=0),"",$C570/$C569-1)</f>
        <v/>
      </c>
      <c r="I570" s="52" t="str">
        <f aca="false">IF(AND(ISNUMBER($G570),$G570&gt;=MA_SHORT),AVERAGE(INDEX($C$170:$C570,402-MA_SHORT):$C570),"")</f>
        <v/>
      </c>
      <c r="J570" s="52" t="str">
        <f aca="false">IF(AND(ISNUMBER($G570),$G570&gt;=MA_MED),AVERAGE(INDEX($C$170:$C570,402-MA_MED):$C570),"")</f>
        <v/>
      </c>
      <c r="K570" s="52" t="str">
        <f aca="false">IF(AND(ISNUMBER($G570),$G570&gt;=MA_LONG2),AVERAGE(INDEX($C$170:$C570,402-MA_LONG2):$C570),"")</f>
        <v/>
      </c>
      <c r="L570" s="53" t="str">
        <f aca="false">IF(AND(ISNUMBER($G570),$G570&gt;=21),STDEV(INDEX($H$510:$H570,62-20):$H570)*SQRT(245),"")</f>
        <v/>
      </c>
      <c r="M570" s="52" t="str">
        <f aca="false">IF(AND(ISNUMBER($G570),$G570&gt;=60),MAX(INDEX($D$370:$D570,202-60):$D570),"")</f>
        <v/>
      </c>
      <c r="N570" s="52" t="str">
        <f aca="false">IF(AND(ISNUMBER($G570),$G570&gt;=60),MIN(INDEX($E$370:$E570,202-60):$E570),"")</f>
        <v/>
      </c>
      <c r="O570" s="53" t="str">
        <f aca="false">IF(OR(NOT(ISNUMBER($C570)),NOT(ISNUMBER($M570)),$M570=0),"",$C570/$M570-1)</f>
        <v/>
      </c>
    </row>
    <row r="571" customFormat="false" ht="15" hidden="false" customHeight="false" outlineLevel="0" collapsed="false">
      <c r="A571" s="55"/>
      <c r="B571" s="56"/>
      <c r="C571" s="57"/>
      <c r="D571" s="56"/>
      <c r="E571" s="56"/>
      <c r="F571" s="56"/>
      <c r="G571" s="50" t="str">
        <f aca="false">IF($A571="","",IF(ISNUMBER($G570),$G570+1,1))</f>
        <v/>
      </c>
      <c r="H571" s="51" t="str">
        <f aca="false">IF(OR(NOT(ISNUMBER($G571)),$G571&lt;2,NOT(ISNUMBER($C570)),$C570=0),"",$C571/$C570-1)</f>
        <v/>
      </c>
      <c r="I571" s="52" t="str">
        <f aca="false">IF(AND(ISNUMBER($G571),$G571&gt;=MA_SHORT),AVERAGE(INDEX($C$171:$C571,402-MA_SHORT):$C571),"")</f>
        <v/>
      </c>
      <c r="J571" s="52" t="str">
        <f aca="false">IF(AND(ISNUMBER($G571),$G571&gt;=MA_MED),AVERAGE(INDEX($C$171:$C571,402-MA_MED):$C571),"")</f>
        <v/>
      </c>
      <c r="K571" s="52" t="str">
        <f aca="false">IF(AND(ISNUMBER($G571),$G571&gt;=MA_LONG2),AVERAGE(INDEX($C$171:$C571,402-MA_LONG2):$C571),"")</f>
        <v/>
      </c>
      <c r="L571" s="53" t="str">
        <f aca="false">IF(AND(ISNUMBER($G571),$G571&gt;=21),STDEV(INDEX($H$511:$H571,62-20):$H571)*SQRT(245),"")</f>
        <v/>
      </c>
      <c r="M571" s="52" t="str">
        <f aca="false">IF(AND(ISNUMBER($G571),$G571&gt;=60),MAX(INDEX($D$371:$D571,202-60):$D571),"")</f>
        <v/>
      </c>
      <c r="N571" s="52" t="str">
        <f aca="false">IF(AND(ISNUMBER($G571),$G571&gt;=60),MIN(INDEX($E$371:$E571,202-60):$E571),"")</f>
        <v/>
      </c>
      <c r="O571" s="53" t="str">
        <f aca="false">IF(OR(NOT(ISNUMBER($C571)),NOT(ISNUMBER($M571)),$M571=0),"",$C571/$M571-1)</f>
        <v/>
      </c>
    </row>
    <row r="572" customFormat="false" ht="15" hidden="false" customHeight="false" outlineLevel="0" collapsed="false">
      <c r="A572" s="55"/>
      <c r="B572" s="56"/>
      <c r="C572" s="57"/>
      <c r="D572" s="56"/>
      <c r="E572" s="56"/>
      <c r="F572" s="56"/>
      <c r="G572" s="50" t="str">
        <f aca="false">IF($A572="","",IF(ISNUMBER($G571),$G571+1,1))</f>
        <v/>
      </c>
      <c r="H572" s="51" t="str">
        <f aca="false">IF(OR(NOT(ISNUMBER($G572)),$G572&lt;2,NOT(ISNUMBER($C571)),$C571=0),"",$C572/$C571-1)</f>
        <v/>
      </c>
      <c r="I572" s="52" t="str">
        <f aca="false">IF(AND(ISNUMBER($G572),$G572&gt;=MA_SHORT),AVERAGE(INDEX($C$172:$C572,402-MA_SHORT):$C572),"")</f>
        <v/>
      </c>
      <c r="J572" s="52" t="str">
        <f aca="false">IF(AND(ISNUMBER($G572),$G572&gt;=MA_MED),AVERAGE(INDEX($C$172:$C572,402-MA_MED):$C572),"")</f>
        <v/>
      </c>
      <c r="K572" s="52" t="str">
        <f aca="false">IF(AND(ISNUMBER($G572),$G572&gt;=MA_LONG2),AVERAGE(INDEX($C$172:$C572,402-MA_LONG2):$C572),"")</f>
        <v/>
      </c>
      <c r="L572" s="53" t="str">
        <f aca="false">IF(AND(ISNUMBER($G572),$G572&gt;=21),STDEV(INDEX($H$512:$H572,62-20):$H572)*SQRT(245),"")</f>
        <v/>
      </c>
      <c r="M572" s="52" t="str">
        <f aca="false">IF(AND(ISNUMBER($G572),$G572&gt;=60),MAX(INDEX($D$372:$D572,202-60):$D572),"")</f>
        <v/>
      </c>
      <c r="N572" s="52" t="str">
        <f aca="false">IF(AND(ISNUMBER($G572),$G572&gt;=60),MIN(INDEX($E$372:$E572,202-60):$E572),"")</f>
        <v/>
      </c>
      <c r="O572" s="53" t="str">
        <f aca="false">IF(OR(NOT(ISNUMBER($C572)),NOT(ISNUMBER($M572)),$M572=0),"",$C572/$M572-1)</f>
        <v/>
      </c>
    </row>
    <row r="573" customFormat="false" ht="15" hidden="false" customHeight="false" outlineLevel="0" collapsed="false">
      <c r="A573" s="55"/>
      <c r="B573" s="56"/>
      <c r="C573" s="57"/>
      <c r="D573" s="56"/>
      <c r="E573" s="56"/>
      <c r="F573" s="56"/>
      <c r="G573" s="50" t="str">
        <f aca="false">IF($A573="","",IF(ISNUMBER($G572),$G572+1,1))</f>
        <v/>
      </c>
      <c r="H573" s="51" t="str">
        <f aca="false">IF(OR(NOT(ISNUMBER($G573)),$G573&lt;2,NOT(ISNUMBER($C572)),$C572=0),"",$C573/$C572-1)</f>
        <v/>
      </c>
      <c r="I573" s="52" t="str">
        <f aca="false">IF(AND(ISNUMBER($G573),$G573&gt;=MA_SHORT),AVERAGE(INDEX($C$173:$C573,402-MA_SHORT):$C573),"")</f>
        <v/>
      </c>
      <c r="J573" s="52" t="str">
        <f aca="false">IF(AND(ISNUMBER($G573),$G573&gt;=MA_MED),AVERAGE(INDEX($C$173:$C573,402-MA_MED):$C573),"")</f>
        <v/>
      </c>
      <c r="K573" s="52" t="str">
        <f aca="false">IF(AND(ISNUMBER($G573),$G573&gt;=MA_LONG2),AVERAGE(INDEX($C$173:$C573,402-MA_LONG2):$C573),"")</f>
        <v/>
      </c>
      <c r="L573" s="53" t="str">
        <f aca="false">IF(AND(ISNUMBER($G573),$G573&gt;=21),STDEV(INDEX($H$513:$H573,62-20):$H573)*SQRT(245),"")</f>
        <v/>
      </c>
      <c r="M573" s="52" t="str">
        <f aca="false">IF(AND(ISNUMBER($G573),$G573&gt;=60),MAX(INDEX($D$373:$D573,202-60):$D573),"")</f>
        <v/>
      </c>
      <c r="N573" s="52" t="str">
        <f aca="false">IF(AND(ISNUMBER($G573),$G573&gt;=60),MIN(INDEX($E$373:$E573,202-60):$E573),"")</f>
        <v/>
      </c>
      <c r="O573" s="53" t="str">
        <f aca="false">IF(OR(NOT(ISNUMBER($C573)),NOT(ISNUMBER($M573)),$M573=0),"",$C573/$M573-1)</f>
        <v/>
      </c>
    </row>
    <row r="574" customFormat="false" ht="15" hidden="false" customHeight="false" outlineLevel="0" collapsed="false">
      <c r="A574" s="55"/>
      <c r="B574" s="56"/>
      <c r="C574" s="57"/>
      <c r="D574" s="56"/>
      <c r="E574" s="56"/>
      <c r="F574" s="56"/>
      <c r="G574" s="50" t="str">
        <f aca="false">IF($A574="","",IF(ISNUMBER($G573),$G573+1,1))</f>
        <v/>
      </c>
      <c r="H574" s="51" t="str">
        <f aca="false">IF(OR(NOT(ISNUMBER($G574)),$G574&lt;2,NOT(ISNUMBER($C573)),$C573=0),"",$C574/$C573-1)</f>
        <v/>
      </c>
      <c r="I574" s="52" t="str">
        <f aca="false">IF(AND(ISNUMBER($G574),$G574&gt;=MA_SHORT),AVERAGE(INDEX($C$174:$C574,402-MA_SHORT):$C574),"")</f>
        <v/>
      </c>
      <c r="J574" s="52" t="str">
        <f aca="false">IF(AND(ISNUMBER($G574),$G574&gt;=MA_MED),AVERAGE(INDEX($C$174:$C574,402-MA_MED):$C574),"")</f>
        <v/>
      </c>
      <c r="K574" s="52" t="str">
        <f aca="false">IF(AND(ISNUMBER($G574),$G574&gt;=MA_LONG2),AVERAGE(INDEX($C$174:$C574,402-MA_LONG2):$C574),"")</f>
        <v/>
      </c>
      <c r="L574" s="53" t="str">
        <f aca="false">IF(AND(ISNUMBER($G574),$G574&gt;=21),STDEV(INDEX($H$514:$H574,62-20):$H574)*SQRT(245),"")</f>
        <v/>
      </c>
      <c r="M574" s="52" t="str">
        <f aca="false">IF(AND(ISNUMBER($G574),$G574&gt;=60),MAX(INDEX($D$374:$D574,202-60):$D574),"")</f>
        <v/>
      </c>
      <c r="N574" s="52" t="str">
        <f aca="false">IF(AND(ISNUMBER($G574),$G574&gt;=60),MIN(INDEX($E$374:$E574,202-60):$E574),"")</f>
        <v/>
      </c>
      <c r="O574" s="53" t="str">
        <f aca="false">IF(OR(NOT(ISNUMBER($C574)),NOT(ISNUMBER($M574)),$M574=0),"",$C574/$M574-1)</f>
        <v/>
      </c>
    </row>
    <row r="575" customFormat="false" ht="15" hidden="false" customHeight="false" outlineLevel="0" collapsed="false">
      <c r="A575" s="55"/>
      <c r="B575" s="56"/>
      <c r="C575" s="57"/>
      <c r="D575" s="56"/>
      <c r="E575" s="56"/>
      <c r="F575" s="56"/>
      <c r="G575" s="50" t="str">
        <f aca="false">IF($A575="","",IF(ISNUMBER($G574),$G574+1,1))</f>
        <v/>
      </c>
      <c r="H575" s="51" t="str">
        <f aca="false">IF(OR(NOT(ISNUMBER($G575)),$G575&lt;2,NOT(ISNUMBER($C574)),$C574=0),"",$C575/$C574-1)</f>
        <v/>
      </c>
      <c r="I575" s="52" t="str">
        <f aca="false">IF(AND(ISNUMBER($G575),$G575&gt;=MA_SHORT),AVERAGE(INDEX($C$175:$C575,402-MA_SHORT):$C575),"")</f>
        <v/>
      </c>
      <c r="J575" s="52" t="str">
        <f aca="false">IF(AND(ISNUMBER($G575),$G575&gt;=MA_MED),AVERAGE(INDEX($C$175:$C575,402-MA_MED):$C575),"")</f>
        <v/>
      </c>
      <c r="K575" s="52" t="str">
        <f aca="false">IF(AND(ISNUMBER($G575),$G575&gt;=MA_LONG2),AVERAGE(INDEX($C$175:$C575,402-MA_LONG2):$C575),"")</f>
        <v/>
      </c>
      <c r="L575" s="53" t="str">
        <f aca="false">IF(AND(ISNUMBER($G575),$G575&gt;=21),STDEV(INDEX($H$515:$H575,62-20):$H575)*SQRT(245),"")</f>
        <v/>
      </c>
      <c r="M575" s="52" t="str">
        <f aca="false">IF(AND(ISNUMBER($G575),$G575&gt;=60),MAX(INDEX($D$375:$D575,202-60):$D575),"")</f>
        <v/>
      </c>
      <c r="N575" s="52" t="str">
        <f aca="false">IF(AND(ISNUMBER($G575),$G575&gt;=60),MIN(INDEX($E$375:$E575,202-60):$E575),"")</f>
        <v/>
      </c>
      <c r="O575" s="53" t="str">
        <f aca="false">IF(OR(NOT(ISNUMBER($C575)),NOT(ISNUMBER($M575)),$M575=0),"",$C575/$M575-1)</f>
        <v/>
      </c>
    </row>
    <row r="576" customFormat="false" ht="15" hidden="false" customHeight="false" outlineLevel="0" collapsed="false">
      <c r="A576" s="55"/>
      <c r="B576" s="56"/>
      <c r="C576" s="57"/>
      <c r="D576" s="56"/>
      <c r="E576" s="56"/>
      <c r="F576" s="56"/>
      <c r="G576" s="50" t="str">
        <f aca="false">IF($A576="","",IF(ISNUMBER($G575),$G575+1,1))</f>
        <v/>
      </c>
      <c r="H576" s="51" t="str">
        <f aca="false">IF(OR(NOT(ISNUMBER($G576)),$G576&lt;2,NOT(ISNUMBER($C575)),$C575=0),"",$C576/$C575-1)</f>
        <v/>
      </c>
      <c r="I576" s="52" t="str">
        <f aca="false">IF(AND(ISNUMBER($G576),$G576&gt;=MA_SHORT),AVERAGE(INDEX($C$176:$C576,402-MA_SHORT):$C576),"")</f>
        <v/>
      </c>
      <c r="J576" s="52" t="str">
        <f aca="false">IF(AND(ISNUMBER($G576),$G576&gt;=MA_MED),AVERAGE(INDEX($C$176:$C576,402-MA_MED):$C576),"")</f>
        <v/>
      </c>
      <c r="K576" s="52" t="str">
        <f aca="false">IF(AND(ISNUMBER($G576),$G576&gt;=MA_LONG2),AVERAGE(INDEX($C$176:$C576,402-MA_LONG2):$C576),"")</f>
        <v/>
      </c>
      <c r="L576" s="53" t="str">
        <f aca="false">IF(AND(ISNUMBER($G576),$G576&gt;=21),STDEV(INDEX($H$516:$H576,62-20):$H576)*SQRT(245),"")</f>
        <v/>
      </c>
      <c r="M576" s="52" t="str">
        <f aca="false">IF(AND(ISNUMBER($G576),$G576&gt;=60),MAX(INDEX($D$376:$D576,202-60):$D576),"")</f>
        <v/>
      </c>
      <c r="N576" s="52" t="str">
        <f aca="false">IF(AND(ISNUMBER($G576),$G576&gt;=60),MIN(INDEX($E$376:$E576,202-60):$E576),"")</f>
        <v/>
      </c>
      <c r="O576" s="53" t="str">
        <f aca="false">IF(OR(NOT(ISNUMBER($C576)),NOT(ISNUMBER($M576)),$M576=0),"",$C576/$M576-1)</f>
        <v/>
      </c>
    </row>
    <row r="577" customFormat="false" ht="15" hidden="false" customHeight="false" outlineLevel="0" collapsed="false">
      <c r="A577" s="55"/>
      <c r="B577" s="56"/>
      <c r="C577" s="57"/>
      <c r="D577" s="56"/>
      <c r="E577" s="56"/>
      <c r="F577" s="56"/>
      <c r="G577" s="50" t="str">
        <f aca="false">IF($A577="","",IF(ISNUMBER($G576),$G576+1,1))</f>
        <v/>
      </c>
      <c r="H577" s="51" t="str">
        <f aca="false">IF(OR(NOT(ISNUMBER($G577)),$G577&lt;2,NOT(ISNUMBER($C576)),$C576=0),"",$C577/$C576-1)</f>
        <v/>
      </c>
      <c r="I577" s="52" t="str">
        <f aca="false">IF(AND(ISNUMBER($G577),$G577&gt;=MA_SHORT),AVERAGE(INDEX($C$177:$C577,402-MA_SHORT):$C577),"")</f>
        <v/>
      </c>
      <c r="J577" s="52" t="str">
        <f aca="false">IF(AND(ISNUMBER($G577),$G577&gt;=MA_MED),AVERAGE(INDEX($C$177:$C577,402-MA_MED):$C577),"")</f>
        <v/>
      </c>
      <c r="K577" s="52" t="str">
        <f aca="false">IF(AND(ISNUMBER($G577),$G577&gt;=MA_LONG2),AVERAGE(INDEX($C$177:$C577,402-MA_LONG2):$C577),"")</f>
        <v/>
      </c>
      <c r="L577" s="53" t="str">
        <f aca="false">IF(AND(ISNUMBER($G577),$G577&gt;=21),STDEV(INDEX($H$517:$H577,62-20):$H577)*SQRT(245),"")</f>
        <v/>
      </c>
      <c r="M577" s="52" t="str">
        <f aca="false">IF(AND(ISNUMBER($G577),$G577&gt;=60),MAX(INDEX($D$377:$D577,202-60):$D577),"")</f>
        <v/>
      </c>
      <c r="N577" s="52" t="str">
        <f aca="false">IF(AND(ISNUMBER($G577),$G577&gt;=60),MIN(INDEX($E$377:$E577,202-60):$E577),"")</f>
        <v/>
      </c>
      <c r="O577" s="53" t="str">
        <f aca="false">IF(OR(NOT(ISNUMBER($C577)),NOT(ISNUMBER($M577)),$M577=0),"",$C577/$M577-1)</f>
        <v/>
      </c>
    </row>
    <row r="578" customFormat="false" ht="15" hidden="false" customHeight="false" outlineLevel="0" collapsed="false">
      <c r="A578" s="55"/>
      <c r="B578" s="56"/>
      <c r="C578" s="57"/>
      <c r="D578" s="56"/>
      <c r="E578" s="56"/>
      <c r="F578" s="56"/>
      <c r="G578" s="50" t="str">
        <f aca="false">IF($A578="","",IF(ISNUMBER($G577),$G577+1,1))</f>
        <v/>
      </c>
      <c r="H578" s="51" t="str">
        <f aca="false">IF(OR(NOT(ISNUMBER($G578)),$G578&lt;2,NOT(ISNUMBER($C577)),$C577=0),"",$C578/$C577-1)</f>
        <v/>
      </c>
      <c r="I578" s="52" t="str">
        <f aca="false">IF(AND(ISNUMBER($G578),$G578&gt;=MA_SHORT),AVERAGE(INDEX($C$178:$C578,402-MA_SHORT):$C578),"")</f>
        <v/>
      </c>
      <c r="J578" s="52" t="str">
        <f aca="false">IF(AND(ISNUMBER($G578),$G578&gt;=MA_MED),AVERAGE(INDEX($C$178:$C578,402-MA_MED):$C578),"")</f>
        <v/>
      </c>
      <c r="K578" s="52" t="str">
        <f aca="false">IF(AND(ISNUMBER($G578),$G578&gt;=MA_LONG2),AVERAGE(INDEX($C$178:$C578,402-MA_LONG2):$C578),"")</f>
        <v/>
      </c>
      <c r="L578" s="53" t="str">
        <f aca="false">IF(AND(ISNUMBER($G578),$G578&gt;=21),STDEV(INDEX($H$518:$H578,62-20):$H578)*SQRT(245),"")</f>
        <v/>
      </c>
      <c r="M578" s="52" t="str">
        <f aca="false">IF(AND(ISNUMBER($G578),$G578&gt;=60),MAX(INDEX($D$378:$D578,202-60):$D578),"")</f>
        <v/>
      </c>
      <c r="N578" s="52" t="str">
        <f aca="false">IF(AND(ISNUMBER($G578),$G578&gt;=60),MIN(INDEX($E$378:$E578,202-60):$E578),"")</f>
        <v/>
      </c>
      <c r="O578" s="53" t="str">
        <f aca="false">IF(OR(NOT(ISNUMBER($C578)),NOT(ISNUMBER($M578)),$M578=0),"",$C578/$M578-1)</f>
        <v/>
      </c>
    </row>
    <row r="579" customFormat="false" ht="15" hidden="false" customHeight="false" outlineLevel="0" collapsed="false">
      <c r="A579" s="55"/>
      <c r="B579" s="56"/>
      <c r="C579" s="57"/>
      <c r="D579" s="56"/>
      <c r="E579" s="56"/>
      <c r="F579" s="56"/>
      <c r="G579" s="50" t="str">
        <f aca="false">IF($A579="","",IF(ISNUMBER($G578),$G578+1,1))</f>
        <v/>
      </c>
      <c r="H579" s="51" t="str">
        <f aca="false">IF(OR(NOT(ISNUMBER($G579)),$G579&lt;2,NOT(ISNUMBER($C578)),$C578=0),"",$C579/$C578-1)</f>
        <v/>
      </c>
      <c r="I579" s="52" t="str">
        <f aca="false">IF(AND(ISNUMBER($G579),$G579&gt;=MA_SHORT),AVERAGE(INDEX($C$179:$C579,402-MA_SHORT):$C579),"")</f>
        <v/>
      </c>
      <c r="J579" s="52" t="str">
        <f aca="false">IF(AND(ISNUMBER($G579),$G579&gt;=MA_MED),AVERAGE(INDEX($C$179:$C579,402-MA_MED):$C579),"")</f>
        <v/>
      </c>
      <c r="K579" s="52" t="str">
        <f aca="false">IF(AND(ISNUMBER($G579),$G579&gt;=MA_LONG2),AVERAGE(INDEX($C$179:$C579,402-MA_LONG2):$C579),"")</f>
        <v/>
      </c>
      <c r="L579" s="53" t="str">
        <f aca="false">IF(AND(ISNUMBER($G579),$G579&gt;=21),STDEV(INDEX($H$519:$H579,62-20):$H579)*SQRT(245),"")</f>
        <v/>
      </c>
      <c r="M579" s="52" t="str">
        <f aca="false">IF(AND(ISNUMBER($G579),$G579&gt;=60),MAX(INDEX($D$379:$D579,202-60):$D579),"")</f>
        <v/>
      </c>
      <c r="N579" s="52" t="str">
        <f aca="false">IF(AND(ISNUMBER($G579),$G579&gt;=60),MIN(INDEX($E$379:$E579,202-60):$E579),"")</f>
        <v/>
      </c>
      <c r="O579" s="53" t="str">
        <f aca="false">IF(OR(NOT(ISNUMBER($C579)),NOT(ISNUMBER($M579)),$M579=0),"",$C579/$M579-1)</f>
        <v/>
      </c>
    </row>
    <row r="580" customFormat="false" ht="15" hidden="false" customHeight="false" outlineLevel="0" collapsed="false">
      <c r="A580" s="55"/>
      <c r="B580" s="56"/>
      <c r="C580" s="57"/>
      <c r="D580" s="56"/>
      <c r="E580" s="56"/>
      <c r="F580" s="56"/>
      <c r="G580" s="50" t="str">
        <f aca="false">IF($A580="","",IF(ISNUMBER($G579),$G579+1,1))</f>
        <v/>
      </c>
      <c r="H580" s="51" t="str">
        <f aca="false">IF(OR(NOT(ISNUMBER($G580)),$G580&lt;2,NOT(ISNUMBER($C579)),$C579=0),"",$C580/$C579-1)</f>
        <v/>
      </c>
      <c r="I580" s="52" t="str">
        <f aca="false">IF(AND(ISNUMBER($G580),$G580&gt;=MA_SHORT),AVERAGE(INDEX($C$180:$C580,402-MA_SHORT):$C580),"")</f>
        <v/>
      </c>
      <c r="J580" s="52" t="str">
        <f aca="false">IF(AND(ISNUMBER($G580),$G580&gt;=MA_MED),AVERAGE(INDEX($C$180:$C580,402-MA_MED):$C580),"")</f>
        <v/>
      </c>
      <c r="K580" s="52" t="str">
        <f aca="false">IF(AND(ISNUMBER($G580),$G580&gt;=MA_LONG2),AVERAGE(INDEX($C$180:$C580,402-MA_LONG2):$C580),"")</f>
        <v/>
      </c>
      <c r="L580" s="53" t="str">
        <f aca="false">IF(AND(ISNUMBER($G580),$G580&gt;=21),STDEV(INDEX($H$520:$H580,62-20):$H580)*SQRT(245),"")</f>
        <v/>
      </c>
      <c r="M580" s="52" t="str">
        <f aca="false">IF(AND(ISNUMBER($G580),$G580&gt;=60),MAX(INDEX($D$380:$D580,202-60):$D580),"")</f>
        <v/>
      </c>
      <c r="N580" s="52" t="str">
        <f aca="false">IF(AND(ISNUMBER($G580),$G580&gt;=60),MIN(INDEX($E$380:$E580,202-60):$E580),"")</f>
        <v/>
      </c>
      <c r="O580" s="53" t="str">
        <f aca="false">IF(OR(NOT(ISNUMBER($C580)),NOT(ISNUMBER($M580)),$M580=0),"",$C580/$M580-1)</f>
        <v/>
      </c>
    </row>
    <row r="581" customFormat="false" ht="15" hidden="false" customHeight="false" outlineLevel="0" collapsed="false">
      <c r="A581" s="55"/>
      <c r="B581" s="56"/>
      <c r="C581" s="57"/>
      <c r="D581" s="56"/>
      <c r="E581" s="56"/>
      <c r="F581" s="56"/>
      <c r="G581" s="50" t="str">
        <f aca="false">IF($A581="","",IF(ISNUMBER($G580),$G580+1,1))</f>
        <v/>
      </c>
      <c r="H581" s="51" t="str">
        <f aca="false">IF(OR(NOT(ISNUMBER($G581)),$G581&lt;2,NOT(ISNUMBER($C580)),$C580=0),"",$C581/$C580-1)</f>
        <v/>
      </c>
      <c r="I581" s="52" t="str">
        <f aca="false">IF(AND(ISNUMBER($G581),$G581&gt;=MA_SHORT),AVERAGE(INDEX($C$181:$C581,402-MA_SHORT):$C581),"")</f>
        <v/>
      </c>
      <c r="J581" s="52" t="str">
        <f aca="false">IF(AND(ISNUMBER($G581),$G581&gt;=MA_MED),AVERAGE(INDEX($C$181:$C581,402-MA_MED):$C581),"")</f>
        <v/>
      </c>
      <c r="K581" s="52" t="str">
        <f aca="false">IF(AND(ISNUMBER($G581),$G581&gt;=MA_LONG2),AVERAGE(INDEX($C$181:$C581,402-MA_LONG2):$C581),"")</f>
        <v/>
      </c>
      <c r="L581" s="53" t="str">
        <f aca="false">IF(AND(ISNUMBER($G581),$G581&gt;=21),STDEV(INDEX($H$521:$H581,62-20):$H581)*SQRT(245),"")</f>
        <v/>
      </c>
      <c r="M581" s="52" t="str">
        <f aca="false">IF(AND(ISNUMBER($G581),$G581&gt;=60),MAX(INDEX($D$381:$D581,202-60):$D581),"")</f>
        <v/>
      </c>
      <c r="N581" s="52" t="str">
        <f aca="false">IF(AND(ISNUMBER($G581),$G581&gt;=60),MIN(INDEX($E$381:$E581,202-60):$E581),"")</f>
        <v/>
      </c>
      <c r="O581" s="53" t="str">
        <f aca="false">IF(OR(NOT(ISNUMBER($C581)),NOT(ISNUMBER($M581)),$M581=0),"",$C581/$M581-1)</f>
        <v/>
      </c>
    </row>
    <row r="582" customFormat="false" ht="15" hidden="false" customHeight="false" outlineLevel="0" collapsed="false">
      <c r="A582" s="55"/>
      <c r="B582" s="56"/>
      <c r="C582" s="57"/>
      <c r="D582" s="56"/>
      <c r="E582" s="56"/>
      <c r="F582" s="56"/>
      <c r="G582" s="50" t="str">
        <f aca="false">IF($A582="","",IF(ISNUMBER($G581),$G581+1,1))</f>
        <v/>
      </c>
      <c r="H582" s="51" t="str">
        <f aca="false">IF(OR(NOT(ISNUMBER($G582)),$G582&lt;2,NOT(ISNUMBER($C581)),$C581=0),"",$C582/$C581-1)</f>
        <v/>
      </c>
      <c r="I582" s="52" t="str">
        <f aca="false">IF(AND(ISNUMBER($G582),$G582&gt;=MA_SHORT),AVERAGE(INDEX($C$182:$C582,402-MA_SHORT):$C582),"")</f>
        <v/>
      </c>
      <c r="J582" s="52" t="str">
        <f aca="false">IF(AND(ISNUMBER($G582),$G582&gt;=MA_MED),AVERAGE(INDEX($C$182:$C582,402-MA_MED):$C582),"")</f>
        <v/>
      </c>
      <c r="K582" s="52" t="str">
        <f aca="false">IF(AND(ISNUMBER($G582),$G582&gt;=MA_LONG2),AVERAGE(INDEX($C$182:$C582,402-MA_LONG2):$C582),"")</f>
        <v/>
      </c>
      <c r="L582" s="53" t="str">
        <f aca="false">IF(AND(ISNUMBER($G582),$G582&gt;=21),STDEV(INDEX($H$522:$H582,62-20):$H582)*SQRT(245),"")</f>
        <v/>
      </c>
      <c r="M582" s="52" t="str">
        <f aca="false">IF(AND(ISNUMBER($G582),$G582&gt;=60),MAX(INDEX($D$382:$D582,202-60):$D582),"")</f>
        <v/>
      </c>
      <c r="N582" s="52" t="str">
        <f aca="false">IF(AND(ISNUMBER($G582),$G582&gt;=60),MIN(INDEX($E$382:$E582,202-60):$E582),"")</f>
        <v/>
      </c>
      <c r="O582" s="53" t="str">
        <f aca="false">IF(OR(NOT(ISNUMBER($C582)),NOT(ISNUMBER($M582)),$M582=0),"",$C582/$M582-1)</f>
        <v/>
      </c>
    </row>
    <row r="583" customFormat="false" ht="15" hidden="false" customHeight="false" outlineLevel="0" collapsed="false">
      <c r="A583" s="55"/>
      <c r="B583" s="56"/>
      <c r="C583" s="57"/>
      <c r="D583" s="56"/>
      <c r="E583" s="56"/>
      <c r="F583" s="56"/>
      <c r="G583" s="50" t="str">
        <f aca="false">IF($A583="","",IF(ISNUMBER($G582),$G582+1,1))</f>
        <v/>
      </c>
      <c r="H583" s="51" t="str">
        <f aca="false">IF(OR(NOT(ISNUMBER($G583)),$G583&lt;2,NOT(ISNUMBER($C582)),$C582=0),"",$C583/$C582-1)</f>
        <v/>
      </c>
      <c r="I583" s="52" t="str">
        <f aca="false">IF(AND(ISNUMBER($G583),$G583&gt;=MA_SHORT),AVERAGE(INDEX($C$183:$C583,402-MA_SHORT):$C583),"")</f>
        <v/>
      </c>
      <c r="J583" s="52" t="str">
        <f aca="false">IF(AND(ISNUMBER($G583),$G583&gt;=MA_MED),AVERAGE(INDEX($C$183:$C583,402-MA_MED):$C583),"")</f>
        <v/>
      </c>
      <c r="K583" s="52" t="str">
        <f aca="false">IF(AND(ISNUMBER($G583),$G583&gt;=MA_LONG2),AVERAGE(INDEX($C$183:$C583,402-MA_LONG2):$C583),"")</f>
        <v/>
      </c>
      <c r="L583" s="53" t="str">
        <f aca="false">IF(AND(ISNUMBER($G583),$G583&gt;=21),STDEV(INDEX($H$523:$H583,62-20):$H583)*SQRT(245),"")</f>
        <v/>
      </c>
      <c r="M583" s="52" t="str">
        <f aca="false">IF(AND(ISNUMBER($G583),$G583&gt;=60),MAX(INDEX($D$383:$D583,202-60):$D583),"")</f>
        <v/>
      </c>
      <c r="N583" s="52" t="str">
        <f aca="false">IF(AND(ISNUMBER($G583),$G583&gt;=60),MIN(INDEX($E$383:$E583,202-60):$E583),"")</f>
        <v/>
      </c>
      <c r="O583" s="53" t="str">
        <f aca="false">IF(OR(NOT(ISNUMBER($C583)),NOT(ISNUMBER($M583)),$M583=0),"",$C583/$M583-1)</f>
        <v/>
      </c>
    </row>
    <row r="584" customFormat="false" ht="15" hidden="false" customHeight="false" outlineLevel="0" collapsed="false">
      <c r="A584" s="55"/>
      <c r="B584" s="56"/>
      <c r="C584" s="57"/>
      <c r="D584" s="56"/>
      <c r="E584" s="56"/>
      <c r="F584" s="56"/>
      <c r="G584" s="50" t="str">
        <f aca="false">IF($A584="","",IF(ISNUMBER($G583),$G583+1,1))</f>
        <v/>
      </c>
      <c r="H584" s="51" t="str">
        <f aca="false">IF(OR(NOT(ISNUMBER($G584)),$G584&lt;2,NOT(ISNUMBER($C583)),$C583=0),"",$C584/$C583-1)</f>
        <v/>
      </c>
      <c r="I584" s="52" t="str">
        <f aca="false">IF(AND(ISNUMBER($G584),$G584&gt;=MA_SHORT),AVERAGE(INDEX($C$184:$C584,402-MA_SHORT):$C584),"")</f>
        <v/>
      </c>
      <c r="J584" s="52" t="str">
        <f aca="false">IF(AND(ISNUMBER($G584),$G584&gt;=MA_MED),AVERAGE(INDEX($C$184:$C584,402-MA_MED):$C584),"")</f>
        <v/>
      </c>
      <c r="K584" s="52" t="str">
        <f aca="false">IF(AND(ISNUMBER($G584),$G584&gt;=MA_LONG2),AVERAGE(INDEX($C$184:$C584,402-MA_LONG2):$C584),"")</f>
        <v/>
      </c>
      <c r="L584" s="53" t="str">
        <f aca="false">IF(AND(ISNUMBER($G584),$G584&gt;=21),STDEV(INDEX($H$524:$H584,62-20):$H584)*SQRT(245),"")</f>
        <v/>
      </c>
      <c r="M584" s="52" t="str">
        <f aca="false">IF(AND(ISNUMBER($G584),$G584&gt;=60),MAX(INDEX($D$384:$D584,202-60):$D584),"")</f>
        <v/>
      </c>
      <c r="N584" s="52" t="str">
        <f aca="false">IF(AND(ISNUMBER($G584),$G584&gt;=60),MIN(INDEX($E$384:$E584,202-60):$E584),"")</f>
        <v/>
      </c>
      <c r="O584" s="53" t="str">
        <f aca="false">IF(OR(NOT(ISNUMBER($C584)),NOT(ISNUMBER($M584)),$M584=0),"",$C584/$M584-1)</f>
        <v/>
      </c>
    </row>
    <row r="585" customFormat="false" ht="15" hidden="false" customHeight="false" outlineLevel="0" collapsed="false">
      <c r="A585" s="55"/>
      <c r="B585" s="56"/>
      <c r="C585" s="57"/>
      <c r="D585" s="56"/>
      <c r="E585" s="56"/>
      <c r="F585" s="56"/>
      <c r="G585" s="50" t="str">
        <f aca="false">IF($A585="","",IF(ISNUMBER($G584),$G584+1,1))</f>
        <v/>
      </c>
      <c r="H585" s="51" t="str">
        <f aca="false">IF(OR(NOT(ISNUMBER($G585)),$G585&lt;2,NOT(ISNUMBER($C584)),$C584=0),"",$C585/$C584-1)</f>
        <v/>
      </c>
      <c r="I585" s="52" t="str">
        <f aca="false">IF(AND(ISNUMBER($G585),$G585&gt;=MA_SHORT),AVERAGE(INDEX($C$185:$C585,402-MA_SHORT):$C585),"")</f>
        <v/>
      </c>
      <c r="J585" s="52" t="str">
        <f aca="false">IF(AND(ISNUMBER($G585),$G585&gt;=MA_MED),AVERAGE(INDEX($C$185:$C585,402-MA_MED):$C585),"")</f>
        <v/>
      </c>
      <c r="K585" s="52" t="str">
        <f aca="false">IF(AND(ISNUMBER($G585),$G585&gt;=MA_LONG2),AVERAGE(INDEX($C$185:$C585,402-MA_LONG2):$C585),"")</f>
        <v/>
      </c>
      <c r="L585" s="53" t="str">
        <f aca="false">IF(AND(ISNUMBER($G585),$G585&gt;=21),STDEV(INDEX($H$525:$H585,62-20):$H585)*SQRT(245),"")</f>
        <v/>
      </c>
      <c r="M585" s="52" t="str">
        <f aca="false">IF(AND(ISNUMBER($G585),$G585&gt;=60),MAX(INDEX($D$385:$D585,202-60):$D585),"")</f>
        <v/>
      </c>
      <c r="N585" s="52" t="str">
        <f aca="false">IF(AND(ISNUMBER($G585),$G585&gt;=60),MIN(INDEX($E$385:$E585,202-60):$E585),"")</f>
        <v/>
      </c>
      <c r="O585" s="53" t="str">
        <f aca="false">IF(OR(NOT(ISNUMBER($C585)),NOT(ISNUMBER($M585)),$M585=0),"",$C585/$M585-1)</f>
        <v/>
      </c>
    </row>
    <row r="586" customFormat="false" ht="15" hidden="false" customHeight="false" outlineLevel="0" collapsed="false">
      <c r="A586" s="55"/>
      <c r="B586" s="56"/>
      <c r="C586" s="57"/>
      <c r="D586" s="56"/>
      <c r="E586" s="56"/>
      <c r="F586" s="56"/>
      <c r="G586" s="50" t="str">
        <f aca="false">IF($A586="","",IF(ISNUMBER($G585),$G585+1,1))</f>
        <v/>
      </c>
      <c r="H586" s="51" t="str">
        <f aca="false">IF(OR(NOT(ISNUMBER($G586)),$G586&lt;2,NOT(ISNUMBER($C585)),$C585=0),"",$C586/$C585-1)</f>
        <v/>
      </c>
      <c r="I586" s="52" t="str">
        <f aca="false">IF(AND(ISNUMBER($G586),$G586&gt;=MA_SHORT),AVERAGE(INDEX($C$186:$C586,402-MA_SHORT):$C586),"")</f>
        <v/>
      </c>
      <c r="J586" s="52" t="str">
        <f aca="false">IF(AND(ISNUMBER($G586),$G586&gt;=MA_MED),AVERAGE(INDEX($C$186:$C586,402-MA_MED):$C586),"")</f>
        <v/>
      </c>
      <c r="K586" s="52" t="str">
        <f aca="false">IF(AND(ISNUMBER($G586),$G586&gt;=MA_LONG2),AVERAGE(INDEX($C$186:$C586,402-MA_LONG2):$C586),"")</f>
        <v/>
      </c>
      <c r="L586" s="53" t="str">
        <f aca="false">IF(AND(ISNUMBER($G586),$G586&gt;=21),STDEV(INDEX($H$526:$H586,62-20):$H586)*SQRT(245),"")</f>
        <v/>
      </c>
      <c r="M586" s="52" t="str">
        <f aca="false">IF(AND(ISNUMBER($G586),$G586&gt;=60),MAX(INDEX($D$386:$D586,202-60):$D586),"")</f>
        <v/>
      </c>
      <c r="N586" s="52" t="str">
        <f aca="false">IF(AND(ISNUMBER($G586),$G586&gt;=60),MIN(INDEX($E$386:$E586,202-60):$E586),"")</f>
        <v/>
      </c>
      <c r="O586" s="53" t="str">
        <f aca="false">IF(OR(NOT(ISNUMBER($C586)),NOT(ISNUMBER($M586)),$M586=0),"",$C586/$M586-1)</f>
        <v/>
      </c>
    </row>
    <row r="587" customFormat="false" ht="15" hidden="false" customHeight="false" outlineLevel="0" collapsed="false">
      <c r="A587" s="55"/>
      <c r="B587" s="56"/>
      <c r="C587" s="57"/>
      <c r="D587" s="56"/>
      <c r="E587" s="56"/>
      <c r="F587" s="56"/>
      <c r="G587" s="50" t="str">
        <f aca="false">IF($A587="","",IF(ISNUMBER($G586),$G586+1,1))</f>
        <v/>
      </c>
      <c r="H587" s="51" t="str">
        <f aca="false">IF(OR(NOT(ISNUMBER($G587)),$G587&lt;2,NOT(ISNUMBER($C586)),$C586=0),"",$C587/$C586-1)</f>
        <v/>
      </c>
      <c r="I587" s="52" t="str">
        <f aca="false">IF(AND(ISNUMBER($G587),$G587&gt;=MA_SHORT),AVERAGE(INDEX($C$187:$C587,402-MA_SHORT):$C587),"")</f>
        <v/>
      </c>
      <c r="J587" s="52" t="str">
        <f aca="false">IF(AND(ISNUMBER($G587),$G587&gt;=MA_MED),AVERAGE(INDEX($C$187:$C587,402-MA_MED):$C587),"")</f>
        <v/>
      </c>
      <c r="K587" s="52" t="str">
        <f aca="false">IF(AND(ISNUMBER($G587),$G587&gt;=MA_LONG2),AVERAGE(INDEX($C$187:$C587,402-MA_LONG2):$C587),"")</f>
        <v/>
      </c>
      <c r="L587" s="53" t="str">
        <f aca="false">IF(AND(ISNUMBER($G587),$G587&gt;=21),STDEV(INDEX($H$527:$H587,62-20):$H587)*SQRT(245),"")</f>
        <v/>
      </c>
      <c r="M587" s="52" t="str">
        <f aca="false">IF(AND(ISNUMBER($G587),$G587&gt;=60),MAX(INDEX($D$387:$D587,202-60):$D587),"")</f>
        <v/>
      </c>
      <c r="N587" s="52" t="str">
        <f aca="false">IF(AND(ISNUMBER($G587),$G587&gt;=60),MIN(INDEX($E$387:$E587,202-60):$E587),"")</f>
        <v/>
      </c>
      <c r="O587" s="53" t="str">
        <f aca="false">IF(OR(NOT(ISNUMBER($C587)),NOT(ISNUMBER($M587)),$M587=0),"",$C587/$M587-1)</f>
        <v/>
      </c>
    </row>
    <row r="588" customFormat="false" ht="15" hidden="false" customHeight="false" outlineLevel="0" collapsed="false">
      <c r="A588" s="55"/>
      <c r="B588" s="56"/>
      <c r="C588" s="57"/>
      <c r="D588" s="56"/>
      <c r="E588" s="56"/>
      <c r="F588" s="56"/>
      <c r="G588" s="50" t="str">
        <f aca="false">IF($A588="","",IF(ISNUMBER($G587),$G587+1,1))</f>
        <v/>
      </c>
      <c r="H588" s="51" t="str">
        <f aca="false">IF(OR(NOT(ISNUMBER($G588)),$G588&lt;2,NOT(ISNUMBER($C587)),$C587=0),"",$C588/$C587-1)</f>
        <v/>
      </c>
      <c r="I588" s="52" t="str">
        <f aca="false">IF(AND(ISNUMBER($G588),$G588&gt;=MA_SHORT),AVERAGE(INDEX($C$188:$C588,402-MA_SHORT):$C588),"")</f>
        <v/>
      </c>
      <c r="J588" s="52" t="str">
        <f aca="false">IF(AND(ISNUMBER($G588),$G588&gt;=MA_MED),AVERAGE(INDEX($C$188:$C588,402-MA_MED):$C588),"")</f>
        <v/>
      </c>
      <c r="K588" s="52" t="str">
        <f aca="false">IF(AND(ISNUMBER($G588),$G588&gt;=MA_LONG2),AVERAGE(INDEX($C$188:$C588,402-MA_LONG2):$C588),"")</f>
        <v/>
      </c>
      <c r="L588" s="53" t="str">
        <f aca="false">IF(AND(ISNUMBER($G588),$G588&gt;=21),STDEV(INDEX($H$528:$H588,62-20):$H588)*SQRT(245),"")</f>
        <v/>
      </c>
      <c r="M588" s="52" t="str">
        <f aca="false">IF(AND(ISNUMBER($G588),$G588&gt;=60),MAX(INDEX($D$388:$D588,202-60):$D588),"")</f>
        <v/>
      </c>
      <c r="N588" s="52" t="str">
        <f aca="false">IF(AND(ISNUMBER($G588),$G588&gt;=60),MIN(INDEX($E$388:$E588,202-60):$E588),"")</f>
        <v/>
      </c>
      <c r="O588" s="53" t="str">
        <f aca="false">IF(OR(NOT(ISNUMBER($C588)),NOT(ISNUMBER($M588)),$M588=0),"",$C588/$M588-1)</f>
        <v/>
      </c>
    </row>
    <row r="589" customFormat="false" ht="15" hidden="false" customHeight="false" outlineLevel="0" collapsed="false">
      <c r="A589" s="55"/>
      <c r="B589" s="56"/>
      <c r="C589" s="57"/>
      <c r="D589" s="56"/>
      <c r="E589" s="56"/>
      <c r="F589" s="56"/>
      <c r="G589" s="50" t="str">
        <f aca="false">IF($A589="","",IF(ISNUMBER($G588),$G588+1,1))</f>
        <v/>
      </c>
      <c r="H589" s="51" t="str">
        <f aca="false">IF(OR(NOT(ISNUMBER($G589)),$G589&lt;2,NOT(ISNUMBER($C588)),$C588=0),"",$C589/$C588-1)</f>
        <v/>
      </c>
      <c r="I589" s="52" t="str">
        <f aca="false">IF(AND(ISNUMBER($G589),$G589&gt;=MA_SHORT),AVERAGE(INDEX($C$189:$C589,402-MA_SHORT):$C589),"")</f>
        <v/>
      </c>
      <c r="J589" s="52" t="str">
        <f aca="false">IF(AND(ISNUMBER($G589),$G589&gt;=MA_MED),AVERAGE(INDEX($C$189:$C589,402-MA_MED):$C589),"")</f>
        <v/>
      </c>
      <c r="K589" s="52" t="str">
        <f aca="false">IF(AND(ISNUMBER($G589),$G589&gt;=MA_LONG2),AVERAGE(INDEX($C$189:$C589,402-MA_LONG2):$C589),"")</f>
        <v/>
      </c>
      <c r="L589" s="53" t="str">
        <f aca="false">IF(AND(ISNUMBER($G589),$G589&gt;=21),STDEV(INDEX($H$529:$H589,62-20):$H589)*SQRT(245),"")</f>
        <v/>
      </c>
      <c r="M589" s="52" t="str">
        <f aca="false">IF(AND(ISNUMBER($G589),$G589&gt;=60),MAX(INDEX($D$389:$D589,202-60):$D589),"")</f>
        <v/>
      </c>
      <c r="N589" s="52" t="str">
        <f aca="false">IF(AND(ISNUMBER($G589),$G589&gt;=60),MIN(INDEX($E$389:$E589,202-60):$E589),"")</f>
        <v/>
      </c>
      <c r="O589" s="53" t="str">
        <f aca="false">IF(OR(NOT(ISNUMBER($C589)),NOT(ISNUMBER($M589)),$M589=0),"",$C589/$M589-1)</f>
        <v/>
      </c>
    </row>
    <row r="590" customFormat="false" ht="15" hidden="false" customHeight="false" outlineLevel="0" collapsed="false">
      <c r="A590" s="55"/>
      <c r="B590" s="56"/>
      <c r="C590" s="57"/>
      <c r="D590" s="56"/>
      <c r="E590" s="56"/>
      <c r="F590" s="56"/>
      <c r="G590" s="50" t="str">
        <f aca="false">IF($A590="","",IF(ISNUMBER($G589),$G589+1,1))</f>
        <v/>
      </c>
      <c r="H590" s="51" t="str">
        <f aca="false">IF(OR(NOT(ISNUMBER($G590)),$G590&lt;2,NOT(ISNUMBER($C589)),$C589=0),"",$C590/$C589-1)</f>
        <v/>
      </c>
      <c r="I590" s="52" t="str">
        <f aca="false">IF(AND(ISNUMBER($G590),$G590&gt;=MA_SHORT),AVERAGE(INDEX($C$190:$C590,402-MA_SHORT):$C590),"")</f>
        <v/>
      </c>
      <c r="J590" s="52" t="str">
        <f aca="false">IF(AND(ISNUMBER($G590),$G590&gt;=MA_MED),AVERAGE(INDEX($C$190:$C590,402-MA_MED):$C590),"")</f>
        <v/>
      </c>
      <c r="K590" s="52" t="str">
        <f aca="false">IF(AND(ISNUMBER($G590),$G590&gt;=MA_LONG2),AVERAGE(INDEX($C$190:$C590,402-MA_LONG2):$C590),"")</f>
        <v/>
      </c>
      <c r="L590" s="53" t="str">
        <f aca="false">IF(AND(ISNUMBER($G590),$G590&gt;=21),STDEV(INDEX($H$530:$H590,62-20):$H590)*SQRT(245),"")</f>
        <v/>
      </c>
      <c r="M590" s="52" t="str">
        <f aca="false">IF(AND(ISNUMBER($G590),$G590&gt;=60),MAX(INDEX($D$390:$D590,202-60):$D590),"")</f>
        <v/>
      </c>
      <c r="N590" s="52" t="str">
        <f aca="false">IF(AND(ISNUMBER($G590),$G590&gt;=60),MIN(INDEX($E$390:$E590,202-60):$E590),"")</f>
        <v/>
      </c>
      <c r="O590" s="53" t="str">
        <f aca="false">IF(OR(NOT(ISNUMBER($C590)),NOT(ISNUMBER($M590)),$M590=0),"",$C590/$M590-1)</f>
        <v/>
      </c>
    </row>
    <row r="591" customFormat="false" ht="15" hidden="false" customHeight="false" outlineLevel="0" collapsed="false">
      <c r="A591" s="55"/>
      <c r="B591" s="56"/>
      <c r="C591" s="57"/>
      <c r="D591" s="56"/>
      <c r="E591" s="56"/>
      <c r="F591" s="56"/>
      <c r="G591" s="50" t="str">
        <f aca="false">IF($A591="","",IF(ISNUMBER($G590),$G590+1,1))</f>
        <v/>
      </c>
      <c r="H591" s="51" t="str">
        <f aca="false">IF(OR(NOT(ISNUMBER($G591)),$G591&lt;2,NOT(ISNUMBER($C590)),$C590=0),"",$C591/$C590-1)</f>
        <v/>
      </c>
      <c r="I591" s="52" t="str">
        <f aca="false">IF(AND(ISNUMBER($G591),$G591&gt;=MA_SHORT),AVERAGE(INDEX($C$191:$C591,402-MA_SHORT):$C591),"")</f>
        <v/>
      </c>
      <c r="J591" s="52" t="str">
        <f aca="false">IF(AND(ISNUMBER($G591),$G591&gt;=MA_MED),AVERAGE(INDEX($C$191:$C591,402-MA_MED):$C591),"")</f>
        <v/>
      </c>
      <c r="K591" s="52" t="str">
        <f aca="false">IF(AND(ISNUMBER($G591),$G591&gt;=MA_LONG2),AVERAGE(INDEX($C$191:$C591,402-MA_LONG2):$C591),"")</f>
        <v/>
      </c>
      <c r="L591" s="53" t="str">
        <f aca="false">IF(AND(ISNUMBER($G591),$G591&gt;=21),STDEV(INDEX($H$531:$H591,62-20):$H591)*SQRT(245),"")</f>
        <v/>
      </c>
      <c r="M591" s="52" t="str">
        <f aca="false">IF(AND(ISNUMBER($G591),$G591&gt;=60),MAX(INDEX($D$391:$D591,202-60):$D591),"")</f>
        <v/>
      </c>
      <c r="N591" s="52" t="str">
        <f aca="false">IF(AND(ISNUMBER($G591),$G591&gt;=60),MIN(INDEX($E$391:$E591,202-60):$E591),"")</f>
        <v/>
      </c>
      <c r="O591" s="53" t="str">
        <f aca="false">IF(OR(NOT(ISNUMBER($C591)),NOT(ISNUMBER($M591)),$M591=0),"",$C591/$M591-1)</f>
        <v/>
      </c>
    </row>
    <row r="592" customFormat="false" ht="15" hidden="false" customHeight="false" outlineLevel="0" collapsed="false">
      <c r="A592" s="55"/>
      <c r="B592" s="56"/>
      <c r="C592" s="57"/>
      <c r="D592" s="56"/>
      <c r="E592" s="56"/>
      <c r="F592" s="56"/>
      <c r="G592" s="50" t="str">
        <f aca="false">IF($A592="","",IF(ISNUMBER($G591),$G591+1,1))</f>
        <v/>
      </c>
      <c r="H592" s="51" t="str">
        <f aca="false">IF(OR(NOT(ISNUMBER($G592)),$G592&lt;2,NOT(ISNUMBER($C591)),$C591=0),"",$C592/$C591-1)</f>
        <v/>
      </c>
      <c r="I592" s="52" t="str">
        <f aca="false">IF(AND(ISNUMBER($G592),$G592&gt;=MA_SHORT),AVERAGE(INDEX($C$192:$C592,402-MA_SHORT):$C592),"")</f>
        <v/>
      </c>
      <c r="J592" s="52" t="str">
        <f aca="false">IF(AND(ISNUMBER($G592),$G592&gt;=MA_MED),AVERAGE(INDEX($C$192:$C592,402-MA_MED):$C592),"")</f>
        <v/>
      </c>
      <c r="K592" s="52" t="str">
        <f aca="false">IF(AND(ISNUMBER($G592),$G592&gt;=MA_LONG2),AVERAGE(INDEX($C$192:$C592,402-MA_LONG2):$C592),"")</f>
        <v/>
      </c>
      <c r="L592" s="53" t="str">
        <f aca="false">IF(AND(ISNUMBER($G592),$G592&gt;=21),STDEV(INDEX($H$532:$H592,62-20):$H592)*SQRT(245),"")</f>
        <v/>
      </c>
      <c r="M592" s="52" t="str">
        <f aca="false">IF(AND(ISNUMBER($G592),$G592&gt;=60),MAX(INDEX($D$392:$D592,202-60):$D592),"")</f>
        <v/>
      </c>
      <c r="N592" s="52" t="str">
        <f aca="false">IF(AND(ISNUMBER($G592),$G592&gt;=60),MIN(INDEX($E$392:$E592,202-60):$E592),"")</f>
        <v/>
      </c>
      <c r="O592" s="53" t="str">
        <f aca="false">IF(OR(NOT(ISNUMBER($C592)),NOT(ISNUMBER($M592)),$M592=0),"",$C592/$M592-1)</f>
        <v/>
      </c>
    </row>
    <row r="593" customFormat="false" ht="15" hidden="false" customHeight="false" outlineLevel="0" collapsed="false">
      <c r="A593" s="55"/>
      <c r="B593" s="56"/>
      <c r="C593" s="57"/>
      <c r="D593" s="56"/>
      <c r="E593" s="56"/>
      <c r="F593" s="56"/>
      <c r="G593" s="50" t="str">
        <f aca="false">IF($A593="","",IF(ISNUMBER($G592),$G592+1,1))</f>
        <v/>
      </c>
      <c r="H593" s="51" t="str">
        <f aca="false">IF(OR(NOT(ISNUMBER($G593)),$G593&lt;2,NOT(ISNUMBER($C592)),$C592=0),"",$C593/$C592-1)</f>
        <v/>
      </c>
      <c r="I593" s="52" t="str">
        <f aca="false">IF(AND(ISNUMBER($G593),$G593&gt;=MA_SHORT),AVERAGE(INDEX($C$193:$C593,402-MA_SHORT):$C593),"")</f>
        <v/>
      </c>
      <c r="J593" s="52" t="str">
        <f aca="false">IF(AND(ISNUMBER($G593),$G593&gt;=MA_MED),AVERAGE(INDEX($C$193:$C593,402-MA_MED):$C593),"")</f>
        <v/>
      </c>
      <c r="K593" s="52" t="str">
        <f aca="false">IF(AND(ISNUMBER($G593),$G593&gt;=MA_LONG2),AVERAGE(INDEX($C$193:$C593,402-MA_LONG2):$C593),"")</f>
        <v/>
      </c>
      <c r="L593" s="53" t="str">
        <f aca="false">IF(AND(ISNUMBER($G593),$G593&gt;=21),STDEV(INDEX($H$533:$H593,62-20):$H593)*SQRT(245),"")</f>
        <v/>
      </c>
      <c r="M593" s="52" t="str">
        <f aca="false">IF(AND(ISNUMBER($G593),$G593&gt;=60),MAX(INDEX($D$393:$D593,202-60):$D593),"")</f>
        <v/>
      </c>
      <c r="N593" s="52" t="str">
        <f aca="false">IF(AND(ISNUMBER($G593),$G593&gt;=60),MIN(INDEX($E$393:$E593,202-60):$E593),"")</f>
        <v/>
      </c>
      <c r="O593" s="53" t="str">
        <f aca="false">IF(OR(NOT(ISNUMBER($C593)),NOT(ISNUMBER($M593)),$M593=0),"",$C593/$M593-1)</f>
        <v/>
      </c>
    </row>
    <row r="594" customFormat="false" ht="15" hidden="false" customHeight="false" outlineLevel="0" collapsed="false">
      <c r="A594" s="55"/>
      <c r="B594" s="56"/>
      <c r="C594" s="57"/>
      <c r="D594" s="56"/>
      <c r="E594" s="56"/>
      <c r="F594" s="56"/>
      <c r="G594" s="50" t="str">
        <f aca="false">IF($A594="","",IF(ISNUMBER($G593),$G593+1,1))</f>
        <v/>
      </c>
      <c r="H594" s="51" t="str">
        <f aca="false">IF(OR(NOT(ISNUMBER($G594)),$G594&lt;2,NOT(ISNUMBER($C593)),$C593=0),"",$C594/$C593-1)</f>
        <v/>
      </c>
      <c r="I594" s="52" t="str">
        <f aca="false">IF(AND(ISNUMBER($G594),$G594&gt;=MA_SHORT),AVERAGE(INDEX($C$194:$C594,402-MA_SHORT):$C594),"")</f>
        <v/>
      </c>
      <c r="J594" s="52" t="str">
        <f aca="false">IF(AND(ISNUMBER($G594),$G594&gt;=MA_MED),AVERAGE(INDEX($C$194:$C594,402-MA_MED):$C594),"")</f>
        <v/>
      </c>
      <c r="K594" s="52" t="str">
        <f aca="false">IF(AND(ISNUMBER($G594),$G594&gt;=MA_LONG2),AVERAGE(INDEX($C$194:$C594,402-MA_LONG2):$C594),"")</f>
        <v/>
      </c>
      <c r="L594" s="53" t="str">
        <f aca="false">IF(AND(ISNUMBER($G594),$G594&gt;=21),STDEV(INDEX($H$534:$H594,62-20):$H594)*SQRT(245),"")</f>
        <v/>
      </c>
      <c r="M594" s="52" t="str">
        <f aca="false">IF(AND(ISNUMBER($G594),$G594&gt;=60),MAX(INDEX($D$394:$D594,202-60):$D594),"")</f>
        <v/>
      </c>
      <c r="N594" s="52" t="str">
        <f aca="false">IF(AND(ISNUMBER($G594),$G594&gt;=60),MIN(INDEX($E$394:$E594,202-60):$E594),"")</f>
        <v/>
      </c>
      <c r="O594" s="53" t="str">
        <f aca="false">IF(OR(NOT(ISNUMBER($C594)),NOT(ISNUMBER($M594)),$M594=0),"",$C594/$M594-1)</f>
        <v/>
      </c>
    </row>
    <row r="595" customFormat="false" ht="15" hidden="false" customHeight="false" outlineLevel="0" collapsed="false">
      <c r="A595" s="55"/>
      <c r="B595" s="56"/>
      <c r="C595" s="57"/>
      <c r="D595" s="56"/>
      <c r="E595" s="56"/>
      <c r="F595" s="56"/>
      <c r="G595" s="50" t="str">
        <f aca="false">IF($A595="","",IF(ISNUMBER($G594),$G594+1,1))</f>
        <v/>
      </c>
      <c r="H595" s="51" t="str">
        <f aca="false">IF(OR(NOT(ISNUMBER($G595)),$G595&lt;2,NOT(ISNUMBER($C594)),$C594=0),"",$C595/$C594-1)</f>
        <v/>
      </c>
      <c r="I595" s="52" t="str">
        <f aca="false">IF(AND(ISNUMBER($G595),$G595&gt;=MA_SHORT),AVERAGE(INDEX($C$195:$C595,402-MA_SHORT):$C595),"")</f>
        <v/>
      </c>
      <c r="J595" s="52" t="str">
        <f aca="false">IF(AND(ISNUMBER($G595),$G595&gt;=MA_MED),AVERAGE(INDEX($C$195:$C595,402-MA_MED):$C595),"")</f>
        <v/>
      </c>
      <c r="K595" s="52" t="str">
        <f aca="false">IF(AND(ISNUMBER($G595),$G595&gt;=MA_LONG2),AVERAGE(INDEX($C$195:$C595,402-MA_LONG2):$C595),"")</f>
        <v/>
      </c>
      <c r="L595" s="53" t="str">
        <f aca="false">IF(AND(ISNUMBER($G595),$G595&gt;=21),STDEV(INDEX($H$535:$H595,62-20):$H595)*SQRT(245),"")</f>
        <v/>
      </c>
      <c r="M595" s="52" t="str">
        <f aca="false">IF(AND(ISNUMBER($G595),$G595&gt;=60),MAX(INDEX($D$395:$D595,202-60):$D595),"")</f>
        <v/>
      </c>
      <c r="N595" s="52" t="str">
        <f aca="false">IF(AND(ISNUMBER($G595),$G595&gt;=60),MIN(INDEX($E$395:$E595,202-60):$E595),"")</f>
        <v/>
      </c>
      <c r="O595" s="53" t="str">
        <f aca="false">IF(OR(NOT(ISNUMBER($C595)),NOT(ISNUMBER($M595)),$M595=0),"",$C595/$M595-1)</f>
        <v/>
      </c>
    </row>
    <row r="596" customFormat="false" ht="15" hidden="false" customHeight="false" outlineLevel="0" collapsed="false">
      <c r="A596" s="55"/>
      <c r="B596" s="56"/>
      <c r="C596" s="57"/>
      <c r="D596" s="56"/>
      <c r="E596" s="56"/>
      <c r="F596" s="56"/>
      <c r="G596" s="50" t="str">
        <f aca="false">IF($A596="","",IF(ISNUMBER($G595),$G595+1,1))</f>
        <v/>
      </c>
      <c r="H596" s="51" t="str">
        <f aca="false">IF(OR(NOT(ISNUMBER($G596)),$G596&lt;2,NOT(ISNUMBER($C595)),$C595=0),"",$C596/$C595-1)</f>
        <v/>
      </c>
      <c r="I596" s="52" t="str">
        <f aca="false">IF(AND(ISNUMBER($G596),$G596&gt;=MA_SHORT),AVERAGE(INDEX($C$196:$C596,402-MA_SHORT):$C596),"")</f>
        <v/>
      </c>
      <c r="J596" s="52" t="str">
        <f aca="false">IF(AND(ISNUMBER($G596),$G596&gt;=MA_MED),AVERAGE(INDEX($C$196:$C596,402-MA_MED):$C596),"")</f>
        <v/>
      </c>
      <c r="K596" s="52" t="str">
        <f aca="false">IF(AND(ISNUMBER($G596),$G596&gt;=MA_LONG2),AVERAGE(INDEX($C$196:$C596,402-MA_LONG2):$C596),"")</f>
        <v/>
      </c>
      <c r="L596" s="53" t="str">
        <f aca="false">IF(AND(ISNUMBER($G596),$G596&gt;=21),STDEV(INDEX($H$536:$H596,62-20):$H596)*SQRT(245),"")</f>
        <v/>
      </c>
      <c r="M596" s="52" t="str">
        <f aca="false">IF(AND(ISNUMBER($G596),$G596&gt;=60),MAX(INDEX($D$396:$D596,202-60):$D596),"")</f>
        <v/>
      </c>
      <c r="N596" s="52" t="str">
        <f aca="false">IF(AND(ISNUMBER($G596),$G596&gt;=60),MIN(INDEX($E$396:$E596,202-60):$E596),"")</f>
        <v/>
      </c>
      <c r="O596" s="53" t="str">
        <f aca="false">IF(OR(NOT(ISNUMBER($C596)),NOT(ISNUMBER($M596)),$M596=0),"",$C596/$M596-1)</f>
        <v/>
      </c>
    </row>
    <row r="597" customFormat="false" ht="15" hidden="false" customHeight="false" outlineLevel="0" collapsed="false">
      <c r="A597" s="55"/>
      <c r="B597" s="56"/>
      <c r="C597" s="57"/>
      <c r="D597" s="56"/>
      <c r="E597" s="56"/>
      <c r="F597" s="56"/>
      <c r="G597" s="50" t="str">
        <f aca="false">IF($A597="","",IF(ISNUMBER($G596),$G596+1,1))</f>
        <v/>
      </c>
      <c r="H597" s="51" t="str">
        <f aca="false">IF(OR(NOT(ISNUMBER($G597)),$G597&lt;2,NOT(ISNUMBER($C596)),$C596=0),"",$C597/$C596-1)</f>
        <v/>
      </c>
      <c r="I597" s="52" t="str">
        <f aca="false">IF(AND(ISNUMBER($G597),$G597&gt;=MA_SHORT),AVERAGE(INDEX($C$197:$C597,402-MA_SHORT):$C597),"")</f>
        <v/>
      </c>
      <c r="J597" s="52" t="str">
        <f aca="false">IF(AND(ISNUMBER($G597),$G597&gt;=MA_MED),AVERAGE(INDEX($C$197:$C597,402-MA_MED):$C597),"")</f>
        <v/>
      </c>
      <c r="K597" s="52" t="str">
        <f aca="false">IF(AND(ISNUMBER($G597),$G597&gt;=MA_LONG2),AVERAGE(INDEX($C$197:$C597,402-MA_LONG2):$C597),"")</f>
        <v/>
      </c>
      <c r="L597" s="53" t="str">
        <f aca="false">IF(AND(ISNUMBER($G597),$G597&gt;=21),STDEV(INDEX($H$537:$H597,62-20):$H597)*SQRT(245),"")</f>
        <v/>
      </c>
      <c r="M597" s="52" t="str">
        <f aca="false">IF(AND(ISNUMBER($G597),$G597&gt;=60),MAX(INDEX($D$397:$D597,202-60):$D597),"")</f>
        <v/>
      </c>
      <c r="N597" s="52" t="str">
        <f aca="false">IF(AND(ISNUMBER($G597),$G597&gt;=60),MIN(INDEX($E$397:$E597,202-60):$E597),"")</f>
        <v/>
      </c>
      <c r="O597" s="53" t="str">
        <f aca="false">IF(OR(NOT(ISNUMBER($C597)),NOT(ISNUMBER($M597)),$M597=0),"",$C597/$M597-1)</f>
        <v/>
      </c>
    </row>
    <row r="598" customFormat="false" ht="15" hidden="false" customHeight="false" outlineLevel="0" collapsed="false">
      <c r="A598" s="55"/>
      <c r="B598" s="56"/>
      <c r="C598" s="57"/>
      <c r="D598" s="56"/>
      <c r="E598" s="56"/>
      <c r="F598" s="56"/>
      <c r="G598" s="50" t="str">
        <f aca="false">IF($A598="","",IF(ISNUMBER($G597),$G597+1,1))</f>
        <v/>
      </c>
      <c r="H598" s="51" t="str">
        <f aca="false">IF(OR(NOT(ISNUMBER($G598)),$G598&lt;2,NOT(ISNUMBER($C597)),$C597=0),"",$C598/$C597-1)</f>
        <v/>
      </c>
      <c r="I598" s="52" t="str">
        <f aca="false">IF(AND(ISNUMBER($G598),$G598&gt;=MA_SHORT),AVERAGE(INDEX($C$198:$C598,402-MA_SHORT):$C598),"")</f>
        <v/>
      </c>
      <c r="J598" s="52" t="str">
        <f aca="false">IF(AND(ISNUMBER($G598),$G598&gt;=MA_MED),AVERAGE(INDEX($C$198:$C598,402-MA_MED):$C598),"")</f>
        <v/>
      </c>
      <c r="K598" s="52" t="str">
        <f aca="false">IF(AND(ISNUMBER($G598),$G598&gt;=MA_LONG2),AVERAGE(INDEX($C$198:$C598,402-MA_LONG2):$C598),"")</f>
        <v/>
      </c>
      <c r="L598" s="53" t="str">
        <f aca="false">IF(AND(ISNUMBER($G598),$G598&gt;=21),STDEV(INDEX($H$538:$H598,62-20):$H598)*SQRT(245),"")</f>
        <v/>
      </c>
      <c r="M598" s="52" t="str">
        <f aca="false">IF(AND(ISNUMBER($G598),$G598&gt;=60),MAX(INDEX($D$398:$D598,202-60):$D598),"")</f>
        <v/>
      </c>
      <c r="N598" s="52" t="str">
        <f aca="false">IF(AND(ISNUMBER($G598),$G598&gt;=60),MIN(INDEX($E$398:$E598,202-60):$E598),"")</f>
        <v/>
      </c>
      <c r="O598" s="53" t="str">
        <f aca="false">IF(OR(NOT(ISNUMBER($C598)),NOT(ISNUMBER($M598)),$M598=0),"",$C598/$M598-1)</f>
        <v/>
      </c>
    </row>
    <row r="599" customFormat="false" ht="15" hidden="false" customHeight="false" outlineLevel="0" collapsed="false">
      <c r="A599" s="55"/>
      <c r="B599" s="56"/>
      <c r="C599" s="57"/>
      <c r="D599" s="56"/>
      <c r="E599" s="56"/>
      <c r="F599" s="56"/>
      <c r="G599" s="50" t="str">
        <f aca="false">IF($A599="","",IF(ISNUMBER($G598),$G598+1,1))</f>
        <v/>
      </c>
      <c r="H599" s="51" t="str">
        <f aca="false">IF(OR(NOT(ISNUMBER($G599)),$G599&lt;2,NOT(ISNUMBER($C598)),$C598=0),"",$C599/$C598-1)</f>
        <v/>
      </c>
      <c r="I599" s="52" t="str">
        <f aca="false">IF(AND(ISNUMBER($G599),$G599&gt;=MA_SHORT),AVERAGE(INDEX($C$199:$C599,402-MA_SHORT):$C599),"")</f>
        <v/>
      </c>
      <c r="J599" s="52" t="str">
        <f aca="false">IF(AND(ISNUMBER($G599),$G599&gt;=MA_MED),AVERAGE(INDEX($C$199:$C599,402-MA_MED):$C599),"")</f>
        <v/>
      </c>
      <c r="K599" s="52" t="str">
        <f aca="false">IF(AND(ISNUMBER($G599),$G599&gt;=MA_LONG2),AVERAGE(INDEX($C$199:$C599,402-MA_LONG2):$C599),"")</f>
        <v/>
      </c>
      <c r="L599" s="53" t="str">
        <f aca="false">IF(AND(ISNUMBER($G599),$G599&gt;=21),STDEV(INDEX($H$539:$H599,62-20):$H599)*SQRT(245),"")</f>
        <v/>
      </c>
      <c r="M599" s="52" t="str">
        <f aca="false">IF(AND(ISNUMBER($G599),$G599&gt;=60),MAX(INDEX($D$399:$D599,202-60):$D599),"")</f>
        <v/>
      </c>
      <c r="N599" s="52" t="str">
        <f aca="false">IF(AND(ISNUMBER($G599),$G599&gt;=60),MIN(INDEX($E$399:$E599,202-60):$E599),"")</f>
        <v/>
      </c>
      <c r="O599" s="53" t="str">
        <f aca="false">IF(OR(NOT(ISNUMBER($C599)),NOT(ISNUMBER($M599)),$M599=0),"",$C599/$M599-1)</f>
        <v/>
      </c>
    </row>
    <row r="600" customFormat="false" ht="15" hidden="false" customHeight="false" outlineLevel="0" collapsed="false">
      <c r="A600" s="55"/>
      <c r="B600" s="56"/>
      <c r="C600" s="57"/>
      <c r="D600" s="56"/>
      <c r="E600" s="56"/>
      <c r="F600" s="56"/>
      <c r="G600" s="50" t="str">
        <f aca="false">IF($A600="","",IF(ISNUMBER($G599),$G599+1,1))</f>
        <v/>
      </c>
      <c r="H600" s="51" t="str">
        <f aca="false">IF(OR(NOT(ISNUMBER($G600)),$G600&lt;2,NOT(ISNUMBER($C599)),$C599=0),"",$C600/$C599-1)</f>
        <v/>
      </c>
      <c r="I600" s="52" t="str">
        <f aca="false">IF(AND(ISNUMBER($G600),$G600&gt;=MA_SHORT),AVERAGE(INDEX($C$200:$C600,402-MA_SHORT):$C600),"")</f>
        <v/>
      </c>
      <c r="J600" s="52" t="str">
        <f aca="false">IF(AND(ISNUMBER($G600),$G600&gt;=MA_MED),AVERAGE(INDEX($C$200:$C600,402-MA_MED):$C600),"")</f>
        <v/>
      </c>
      <c r="K600" s="52" t="str">
        <f aca="false">IF(AND(ISNUMBER($G600),$G600&gt;=MA_LONG2),AVERAGE(INDEX($C$200:$C600,402-MA_LONG2):$C600),"")</f>
        <v/>
      </c>
      <c r="L600" s="53" t="str">
        <f aca="false">IF(AND(ISNUMBER($G600),$G600&gt;=21),STDEV(INDEX($H$540:$H600,62-20):$H600)*SQRT(245),"")</f>
        <v/>
      </c>
      <c r="M600" s="52" t="str">
        <f aca="false">IF(AND(ISNUMBER($G600),$G600&gt;=60),MAX(INDEX($D$400:$D600,202-60):$D600),"")</f>
        <v/>
      </c>
      <c r="N600" s="52" t="str">
        <f aca="false">IF(AND(ISNUMBER($G600),$G600&gt;=60),MIN(INDEX($E$400:$E600,202-60):$E600),"")</f>
        <v/>
      </c>
      <c r="O600" s="53" t="str">
        <f aca="false">IF(OR(NOT(ISNUMBER($C600)),NOT(ISNUMBER($M600)),$M600=0),"",$C600/$M600-1)</f>
        <v/>
      </c>
    </row>
    <row r="601" customFormat="false" ht="15" hidden="false" customHeight="false" outlineLevel="0" collapsed="false">
      <c r="A601" s="55"/>
      <c r="B601" s="56"/>
      <c r="C601" s="57"/>
      <c r="D601" s="56"/>
      <c r="E601" s="56"/>
      <c r="F601" s="56"/>
      <c r="G601" s="50" t="str">
        <f aca="false">IF($A601="","",IF(ISNUMBER($G600),$G600+1,1))</f>
        <v/>
      </c>
      <c r="H601" s="51" t="str">
        <f aca="false">IF(OR(NOT(ISNUMBER($G601)),$G601&lt;2,NOT(ISNUMBER($C600)),$C600=0),"",$C601/$C600-1)</f>
        <v/>
      </c>
      <c r="I601" s="52" t="str">
        <f aca="false">IF(AND(ISNUMBER($G601),$G601&gt;=MA_SHORT),AVERAGE(INDEX($C$201:$C601,402-MA_SHORT):$C601),"")</f>
        <v/>
      </c>
      <c r="J601" s="52" t="str">
        <f aca="false">IF(AND(ISNUMBER($G601),$G601&gt;=MA_MED),AVERAGE(INDEX($C$201:$C601,402-MA_MED):$C601),"")</f>
        <v/>
      </c>
      <c r="K601" s="52" t="str">
        <f aca="false">IF(AND(ISNUMBER($G601),$G601&gt;=MA_LONG2),AVERAGE(INDEX($C$201:$C601,402-MA_LONG2):$C601),"")</f>
        <v/>
      </c>
      <c r="L601" s="53" t="str">
        <f aca="false">IF(AND(ISNUMBER($G601),$G601&gt;=21),STDEV(INDEX($H$541:$H601,62-20):$H601)*SQRT(245),"")</f>
        <v/>
      </c>
      <c r="M601" s="52" t="str">
        <f aca="false">IF(AND(ISNUMBER($G601),$G601&gt;=60),MAX(INDEX($D$401:$D601,202-60):$D601),"")</f>
        <v/>
      </c>
      <c r="N601" s="52" t="str">
        <f aca="false">IF(AND(ISNUMBER($G601),$G601&gt;=60),MIN(INDEX($E$401:$E601,202-60):$E601),"")</f>
        <v/>
      </c>
      <c r="O601" s="53" t="str">
        <f aca="false">IF(OR(NOT(ISNUMBER($C601)),NOT(ISNUMBER($M601)),$M601=0),"",$C601/$M601-1)</f>
        <v/>
      </c>
    </row>
    <row r="602" customFormat="false" ht="15" hidden="false" customHeight="false" outlineLevel="0" collapsed="false">
      <c r="A602" s="55"/>
      <c r="B602" s="56"/>
      <c r="C602" s="57"/>
      <c r="D602" s="56"/>
      <c r="E602" s="56"/>
      <c r="F602" s="56"/>
      <c r="G602" s="50" t="str">
        <f aca="false">IF($A602="","",IF(ISNUMBER($G601),$G601+1,1))</f>
        <v/>
      </c>
      <c r="H602" s="51" t="str">
        <f aca="false">IF(OR(NOT(ISNUMBER($G602)),$G602&lt;2,NOT(ISNUMBER($C601)),$C601=0),"",$C602/$C601-1)</f>
        <v/>
      </c>
      <c r="I602" s="52" t="str">
        <f aca="false">IF(AND(ISNUMBER($G602),$G602&gt;=MA_SHORT),AVERAGE(INDEX($C$202:$C602,402-MA_SHORT):$C602),"")</f>
        <v/>
      </c>
      <c r="J602" s="52" t="str">
        <f aca="false">IF(AND(ISNUMBER($G602),$G602&gt;=MA_MED),AVERAGE(INDEX($C$202:$C602,402-MA_MED):$C602),"")</f>
        <v/>
      </c>
      <c r="K602" s="52" t="str">
        <f aca="false">IF(AND(ISNUMBER($G602),$G602&gt;=MA_LONG2),AVERAGE(INDEX($C$202:$C602,402-MA_LONG2):$C602),"")</f>
        <v/>
      </c>
      <c r="L602" s="53" t="str">
        <f aca="false">IF(AND(ISNUMBER($G602),$G602&gt;=21),STDEV(INDEX($H$542:$H602,62-20):$H602)*SQRT(245),"")</f>
        <v/>
      </c>
      <c r="M602" s="52" t="str">
        <f aca="false">IF(AND(ISNUMBER($G602),$G602&gt;=60),MAX(INDEX($D$402:$D602,202-60):$D602),"")</f>
        <v/>
      </c>
      <c r="N602" s="52" t="str">
        <f aca="false">IF(AND(ISNUMBER($G602),$G602&gt;=60),MIN(INDEX($E$402:$E602,202-60):$E602),"")</f>
        <v/>
      </c>
      <c r="O602" s="53" t="str">
        <f aca="false">IF(OR(NOT(ISNUMBER($C602)),NOT(ISNUMBER($M602)),$M602=0),"",$C602/$M602-1)</f>
        <v/>
      </c>
    </row>
    <row r="603" customFormat="false" ht="15" hidden="false" customHeight="false" outlineLevel="0" collapsed="false">
      <c r="A603" s="55"/>
      <c r="B603" s="56"/>
      <c r="C603" s="57"/>
      <c r="D603" s="56"/>
      <c r="E603" s="56"/>
      <c r="F603" s="56"/>
      <c r="G603" s="50" t="str">
        <f aca="false">IF($A603="","",IF(ISNUMBER($G602),$G602+1,1))</f>
        <v/>
      </c>
      <c r="H603" s="51" t="str">
        <f aca="false">IF(OR(NOT(ISNUMBER($G603)),$G603&lt;2,NOT(ISNUMBER($C602)),$C602=0),"",$C603/$C602-1)</f>
        <v/>
      </c>
      <c r="I603" s="52" t="str">
        <f aca="false">IF(AND(ISNUMBER($G603),$G603&gt;=MA_SHORT),AVERAGE(INDEX($C$203:$C603,402-MA_SHORT):$C603),"")</f>
        <v/>
      </c>
      <c r="J603" s="52" t="str">
        <f aca="false">IF(AND(ISNUMBER($G603),$G603&gt;=MA_MED),AVERAGE(INDEX($C$203:$C603,402-MA_MED):$C603),"")</f>
        <v/>
      </c>
      <c r="K603" s="52" t="str">
        <f aca="false">IF(AND(ISNUMBER($G603),$G603&gt;=MA_LONG2),AVERAGE(INDEX($C$203:$C603,402-MA_LONG2):$C603),"")</f>
        <v/>
      </c>
      <c r="L603" s="53" t="str">
        <f aca="false">IF(AND(ISNUMBER($G603),$G603&gt;=21),STDEV(INDEX($H$543:$H603,62-20):$H603)*SQRT(245),"")</f>
        <v/>
      </c>
      <c r="M603" s="52" t="str">
        <f aca="false">IF(AND(ISNUMBER($G603),$G603&gt;=60),MAX(INDEX($D$403:$D603,202-60):$D603),"")</f>
        <v/>
      </c>
      <c r="N603" s="52" t="str">
        <f aca="false">IF(AND(ISNUMBER($G603),$G603&gt;=60),MIN(INDEX($E$403:$E603,202-60):$E603),"")</f>
        <v/>
      </c>
      <c r="O603" s="53" t="str">
        <f aca="false">IF(OR(NOT(ISNUMBER($C603)),NOT(ISNUMBER($M603)),$M603=0),"",$C603/$M603-1)</f>
        <v/>
      </c>
    </row>
    <row r="604" customFormat="false" ht="15" hidden="false" customHeight="false" outlineLevel="0" collapsed="false">
      <c r="A604" s="55"/>
      <c r="B604" s="56"/>
      <c r="C604" s="57"/>
      <c r="D604" s="56"/>
      <c r="E604" s="56"/>
      <c r="F604" s="56"/>
      <c r="G604" s="50" t="str">
        <f aca="false">IF($A604="","",IF(ISNUMBER($G603),$G603+1,1))</f>
        <v/>
      </c>
      <c r="H604" s="51" t="str">
        <f aca="false">IF(OR(NOT(ISNUMBER($G604)),$G604&lt;2,NOT(ISNUMBER($C603)),$C603=0),"",$C604/$C603-1)</f>
        <v/>
      </c>
      <c r="I604" s="52" t="str">
        <f aca="false">IF(AND(ISNUMBER($G604),$G604&gt;=MA_SHORT),AVERAGE(INDEX($C$204:$C604,402-MA_SHORT):$C604),"")</f>
        <v/>
      </c>
      <c r="J604" s="52" t="str">
        <f aca="false">IF(AND(ISNUMBER($G604),$G604&gt;=MA_MED),AVERAGE(INDEX($C$204:$C604,402-MA_MED):$C604),"")</f>
        <v/>
      </c>
      <c r="K604" s="52" t="str">
        <f aca="false">IF(AND(ISNUMBER($G604),$G604&gt;=MA_LONG2),AVERAGE(INDEX($C$204:$C604,402-MA_LONG2):$C604),"")</f>
        <v/>
      </c>
      <c r="L604" s="53" t="str">
        <f aca="false">IF(AND(ISNUMBER($G604),$G604&gt;=21),STDEV(INDEX($H$544:$H604,62-20):$H604)*SQRT(245),"")</f>
        <v/>
      </c>
      <c r="M604" s="52" t="str">
        <f aca="false">IF(AND(ISNUMBER($G604),$G604&gt;=60),MAX(INDEX($D$404:$D604,202-60):$D604),"")</f>
        <v/>
      </c>
      <c r="N604" s="52" t="str">
        <f aca="false">IF(AND(ISNUMBER($G604),$G604&gt;=60),MIN(INDEX($E$404:$E604,202-60):$E604),"")</f>
        <v/>
      </c>
      <c r="O604" s="53" t="str">
        <f aca="false">IF(OR(NOT(ISNUMBER($C604)),NOT(ISNUMBER($M604)),$M604=0),"",$C604/$M604-1)</f>
        <v/>
      </c>
    </row>
    <row r="605" customFormat="false" ht="15" hidden="false" customHeight="false" outlineLevel="0" collapsed="false">
      <c r="A605" s="55"/>
      <c r="B605" s="56"/>
      <c r="C605" s="57"/>
      <c r="D605" s="56"/>
      <c r="E605" s="56"/>
      <c r="F605" s="56"/>
      <c r="G605" s="50" t="str">
        <f aca="false">IF($A605="","",IF(ISNUMBER($G604),$G604+1,1))</f>
        <v/>
      </c>
      <c r="H605" s="51" t="str">
        <f aca="false">IF(OR(NOT(ISNUMBER($G605)),$G605&lt;2,NOT(ISNUMBER($C604)),$C604=0),"",$C605/$C604-1)</f>
        <v/>
      </c>
      <c r="I605" s="52" t="str">
        <f aca="false">IF(AND(ISNUMBER($G605),$G605&gt;=MA_SHORT),AVERAGE(INDEX($C$205:$C605,402-MA_SHORT):$C605),"")</f>
        <v/>
      </c>
      <c r="J605" s="52" t="str">
        <f aca="false">IF(AND(ISNUMBER($G605),$G605&gt;=MA_MED),AVERAGE(INDEX($C$205:$C605,402-MA_MED):$C605),"")</f>
        <v/>
      </c>
      <c r="K605" s="52" t="str">
        <f aca="false">IF(AND(ISNUMBER($G605),$G605&gt;=MA_LONG2),AVERAGE(INDEX($C$205:$C605,402-MA_LONG2):$C605),"")</f>
        <v/>
      </c>
      <c r="L605" s="53" t="str">
        <f aca="false">IF(AND(ISNUMBER($G605),$G605&gt;=21),STDEV(INDEX($H$545:$H605,62-20):$H605)*SQRT(245),"")</f>
        <v/>
      </c>
      <c r="M605" s="52" t="str">
        <f aca="false">IF(AND(ISNUMBER($G605),$G605&gt;=60),MAX(INDEX($D$405:$D605,202-60):$D605),"")</f>
        <v/>
      </c>
      <c r="N605" s="52" t="str">
        <f aca="false">IF(AND(ISNUMBER($G605),$G605&gt;=60),MIN(INDEX($E$405:$E605,202-60):$E605),"")</f>
        <v/>
      </c>
      <c r="O605" s="53" t="str">
        <f aca="false">IF(OR(NOT(ISNUMBER($C605)),NOT(ISNUMBER($M605)),$M605=0),"",$C605/$M605-1)</f>
        <v/>
      </c>
    </row>
    <row r="606" customFormat="false" ht="15" hidden="false" customHeight="false" outlineLevel="0" collapsed="false">
      <c r="A606" s="55"/>
      <c r="B606" s="56"/>
      <c r="C606" s="57"/>
      <c r="D606" s="56"/>
      <c r="E606" s="56"/>
      <c r="F606" s="56"/>
      <c r="G606" s="50" t="str">
        <f aca="false">IF($A606="","",IF(ISNUMBER($G605),$G605+1,1))</f>
        <v/>
      </c>
      <c r="H606" s="51" t="str">
        <f aca="false">IF(OR(NOT(ISNUMBER($G606)),$G606&lt;2,NOT(ISNUMBER($C605)),$C605=0),"",$C606/$C605-1)</f>
        <v/>
      </c>
      <c r="I606" s="52" t="str">
        <f aca="false">IF(AND(ISNUMBER($G606),$G606&gt;=MA_SHORT),AVERAGE(INDEX($C$206:$C606,402-MA_SHORT):$C606),"")</f>
        <v/>
      </c>
      <c r="J606" s="52" t="str">
        <f aca="false">IF(AND(ISNUMBER($G606),$G606&gt;=MA_MED),AVERAGE(INDEX($C$206:$C606,402-MA_MED):$C606),"")</f>
        <v/>
      </c>
      <c r="K606" s="52" t="str">
        <f aca="false">IF(AND(ISNUMBER($G606),$G606&gt;=MA_LONG2),AVERAGE(INDEX($C$206:$C606,402-MA_LONG2):$C606),"")</f>
        <v/>
      </c>
      <c r="L606" s="53" t="str">
        <f aca="false">IF(AND(ISNUMBER($G606),$G606&gt;=21),STDEV(INDEX($H$546:$H606,62-20):$H606)*SQRT(245),"")</f>
        <v/>
      </c>
      <c r="M606" s="52" t="str">
        <f aca="false">IF(AND(ISNUMBER($G606),$G606&gt;=60),MAX(INDEX($D$406:$D606,202-60):$D606),"")</f>
        <v/>
      </c>
      <c r="N606" s="52" t="str">
        <f aca="false">IF(AND(ISNUMBER($G606),$G606&gt;=60),MIN(INDEX($E$406:$E606,202-60):$E606),"")</f>
        <v/>
      </c>
      <c r="O606" s="53" t="str">
        <f aca="false">IF(OR(NOT(ISNUMBER($C606)),NOT(ISNUMBER($M606)),$M606=0),"",$C606/$M606-1)</f>
        <v/>
      </c>
    </row>
    <row r="607" customFormat="false" ht="15" hidden="false" customHeight="false" outlineLevel="0" collapsed="false">
      <c r="A607" s="55"/>
      <c r="B607" s="56"/>
      <c r="C607" s="57"/>
      <c r="D607" s="56"/>
      <c r="E607" s="56"/>
      <c r="F607" s="56"/>
      <c r="G607" s="50" t="str">
        <f aca="false">IF($A607="","",IF(ISNUMBER($G606),$G606+1,1))</f>
        <v/>
      </c>
      <c r="H607" s="51" t="str">
        <f aca="false">IF(OR(NOT(ISNUMBER($G607)),$G607&lt;2,NOT(ISNUMBER($C606)),$C606=0),"",$C607/$C606-1)</f>
        <v/>
      </c>
      <c r="I607" s="52" t="str">
        <f aca="false">IF(AND(ISNUMBER($G607),$G607&gt;=MA_SHORT),AVERAGE(INDEX($C$207:$C607,402-MA_SHORT):$C607),"")</f>
        <v/>
      </c>
      <c r="J607" s="52" t="str">
        <f aca="false">IF(AND(ISNUMBER($G607),$G607&gt;=MA_MED),AVERAGE(INDEX($C$207:$C607,402-MA_MED):$C607),"")</f>
        <v/>
      </c>
      <c r="K607" s="52" t="str">
        <f aca="false">IF(AND(ISNUMBER($G607),$G607&gt;=MA_LONG2),AVERAGE(INDEX($C$207:$C607,402-MA_LONG2):$C607),"")</f>
        <v/>
      </c>
      <c r="L607" s="53" t="str">
        <f aca="false">IF(AND(ISNUMBER($G607),$G607&gt;=21),STDEV(INDEX($H$547:$H607,62-20):$H607)*SQRT(245),"")</f>
        <v/>
      </c>
      <c r="M607" s="52" t="str">
        <f aca="false">IF(AND(ISNUMBER($G607),$G607&gt;=60),MAX(INDEX($D$407:$D607,202-60):$D607),"")</f>
        <v/>
      </c>
      <c r="N607" s="52" t="str">
        <f aca="false">IF(AND(ISNUMBER($G607),$G607&gt;=60),MIN(INDEX($E$407:$E607,202-60):$E607),"")</f>
        <v/>
      </c>
      <c r="O607" s="53" t="str">
        <f aca="false">IF(OR(NOT(ISNUMBER($C607)),NOT(ISNUMBER($M607)),$M607=0),"",$C607/$M607-1)</f>
        <v/>
      </c>
    </row>
    <row r="608" customFormat="false" ht="15" hidden="false" customHeight="false" outlineLevel="0" collapsed="false">
      <c r="A608" s="55"/>
      <c r="B608" s="56"/>
      <c r="C608" s="57"/>
      <c r="D608" s="56"/>
      <c r="E608" s="56"/>
      <c r="F608" s="56"/>
      <c r="G608" s="50" t="str">
        <f aca="false">IF($A608="","",IF(ISNUMBER($G607),$G607+1,1))</f>
        <v/>
      </c>
      <c r="H608" s="51" t="str">
        <f aca="false">IF(OR(NOT(ISNUMBER($G608)),$G608&lt;2,NOT(ISNUMBER($C607)),$C607=0),"",$C608/$C607-1)</f>
        <v/>
      </c>
      <c r="I608" s="52" t="str">
        <f aca="false">IF(AND(ISNUMBER($G608),$G608&gt;=MA_SHORT),AVERAGE(INDEX($C$208:$C608,402-MA_SHORT):$C608),"")</f>
        <v/>
      </c>
      <c r="J608" s="52" t="str">
        <f aca="false">IF(AND(ISNUMBER($G608),$G608&gt;=MA_MED),AVERAGE(INDEX($C$208:$C608,402-MA_MED):$C608),"")</f>
        <v/>
      </c>
      <c r="K608" s="52" t="str">
        <f aca="false">IF(AND(ISNUMBER($G608),$G608&gt;=MA_LONG2),AVERAGE(INDEX($C$208:$C608,402-MA_LONG2):$C608),"")</f>
        <v/>
      </c>
      <c r="L608" s="53" t="str">
        <f aca="false">IF(AND(ISNUMBER($G608),$G608&gt;=21),STDEV(INDEX($H$548:$H608,62-20):$H608)*SQRT(245),"")</f>
        <v/>
      </c>
      <c r="M608" s="52" t="str">
        <f aca="false">IF(AND(ISNUMBER($G608),$G608&gt;=60),MAX(INDEX($D$408:$D608,202-60):$D608),"")</f>
        <v/>
      </c>
      <c r="N608" s="52" t="str">
        <f aca="false">IF(AND(ISNUMBER($G608),$G608&gt;=60),MIN(INDEX($E$408:$E608,202-60):$E608),"")</f>
        <v/>
      </c>
      <c r="O608" s="53" t="str">
        <f aca="false">IF(OR(NOT(ISNUMBER($C608)),NOT(ISNUMBER($M608)),$M608=0),"",$C608/$M608-1)</f>
        <v/>
      </c>
    </row>
    <row r="609" customFormat="false" ht="15" hidden="false" customHeight="false" outlineLevel="0" collapsed="false">
      <c r="A609" s="55"/>
      <c r="B609" s="56"/>
      <c r="C609" s="57"/>
      <c r="D609" s="56"/>
      <c r="E609" s="56"/>
      <c r="F609" s="56"/>
      <c r="G609" s="50" t="str">
        <f aca="false">IF($A609="","",IF(ISNUMBER($G608),$G608+1,1))</f>
        <v/>
      </c>
      <c r="H609" s="51" t="str">
        <f aca="false">IF(OR(NOT(ISNUMBER($G609)),$G609&lt;2,NOT(ISNUMBER($C608)),$C608=0),"",$C609/$C608-1)</f>
        <v/>
      </c>
      <c r="I609" s="52" t="str">
        <f aca="false">IF(AND(ISNUMBER($G609),$G609&gt;=MA_SHORT),AVERAGE(INDEX($C$209:$C609,402-MA_SHORT):$C609),"")</f>
        <v/>
      </c>
      <c r="J609" s="52" t="str">
        <f aca="false">IF(AND(ISNUMBER($G609),$G609&gt;=MA_MED),AVERAGE(INDEX($C$209:$C609,402-MA_MED):$C609),"")</f>
        <v/>
      </c>
      <c r="K609" s="52" t="str">
        <f aca="false">IF(AND(ISNUMBER($G609),$G609&gt;=MA_LONG2),AVERAGE(INDEX($C$209:$C609,402-MA_LONG2):$C609),"")</f>
        <v/>
      </c>
      <c r="L609" s="53" t="str">
        <f aca="false">IF(AND(ISNUMBER($G609),$G609&gt;=21),STDEV(INDEX($H$549:$H609,62-20):$H609)*SQRT(245),"")</f>
        <v/>
      </c>
      <c r="M609" s="52" t="str">
        <f aca="false">IF(AND(ISNUMBER($G609),$G609&gt;=60),MAX(INDEX($D$409:$D609,202-60):$D609),"")</f>
        <v/>
      </c>
      <c r="N609" s="52" t="str">
        <f aca="false">IF(AND(ISNUMBER($G609),$G609&gt;=60),MIN(INDEX($E$409:$E609,202-60):$E609),"")</f>
        <v/>
      </c>
      <c r="O609" s="53" t="str">
        <f aca="false">IF(OR(NOT(ISNUMBER($C609)),NOT(ISNUMBER($M609)),$M609=0),"",$C609/$M609-1)</f>
        <v/>
      </c>
    </row>
    <row r="610" customFormat="false" ht="15" hidden="false" customHeight="false" outlineLevel="0" collapsed="false">
      <c r="A610" s="55"/>
      <c r="B610" s="56"/>
      <c r="C610" s="57"/>
      <c r="D610" s="56"/>
      <c r="E610" s="56"/>
      <c r="F610" s="56"/>
      <c r="G610" s="50" t="str">
        <f aca="false">IF($A610="","",IF(ISNUMBER($G609),$G609+1,1))</f>
        <v/>
      </c>
      <c r="H610" s="51" t="str">
        <f aca="false">IF(OR(NOT(ISNUMBER($G610)),$G610&lt;2,NOT(ISNUMBER($C609)),$C609=0),"",$C610/$C609-1)</f>
        <v/>
      </c>
      <c r="I610" s="52" t="str">
        <f aca="false">IF(AND(ISNUMBER($G610),$G610&gt;=MA_SHORT),AVERAGE(INDEX($C$210:$C610,402-MA_SHORT):$C610),"")</f>
        <v/>
      </c>
      <c r="J610" s="52" t="str">
        <f aca="false">IF(AND(ISNUMBER($G610),$G610&gt;=MA_MED),AVERAGE(INDEX($C$210:$C610,402-MA_MED):$C610),"")</f>
        <v/>
      </c>
      <c r="K610" s="52" t="str">
        <f aca="false">IF(AND(ISNUMBER($G610),$G610&gt;=MA_LONG2),AVERAGE(INDEX($C$210:$C610,402-MA_LONG2):$C610),"")</f>
        <v/>
      </c>
      <c r="L610" s="53" t="str">
        <f aca="false">IF(AND(ISNUMBER($G610),$G610&gt;=21),STDEV(INDEX($H$550:$H610,62-20):$H610)*SQRT(245),"")</f>
        <v/>
      </c>
      <c r="M610" s="52" t="str">
        <f aca="false">IF(AND(ISNUMBER($G610),$G610&gt;=60),MAX(INDEX($D$410:$D610,202-60):$D610),"")</f>
        <v/>
      </c>
      <c r="N610" s="52" t="str">
        <f aca="false">IF(AND(ISNUMBER($G610),$G610&gt;=60),MIN(INDEX($E$410:$E610,202-60):$E610),"")</f>
        <v/>
      </c>
      <c r="O610" s="53" t="str">
        <f aca="false">IF(OR(NOT(ISNUMBER($C610)),NOT(ISNUMBER($M610)),$M610=0),"",$C610/$M610-1)</f>
        <v/>
      </c>
    </row>
    <row r="611" customFormat="false" ht="15" hidden="false" customHeight="false" outlineLevel="0" collapsed="false">
      <c r="A611" s="55"/>
      <c r="B611" s="56"/>
      <c r="C611" s="57"/>
      <c r="D611" s="56"/>
      <c r="E611" s="56"/>
      <c r="F611" s="56"/>
      <c r="G611" s="50" t="str">
        <f aca="false">IF($A611="","",IF(ISNUMBER($G610),$G610+1,1))</f>
        <v/>
      </c>
      <c r="H611" s="51" t="str">
        <f aca="false">IF(OR(NOT(ISNUMBER($G611)),$G611&lt;2,NOT(ISNUMBER($C610)),$C610=0),"",$C611/$C610-1)</f>
        <v/>
      </c>
      <c r="I611" s="52" t="str">
        <f aca="false">IF(AND(ISNUMBER($G611),$G611&gt;=MA_SHORT),AVERAGE(INDEX($C$211:$C611,402-MA_SHORT):$C611),"")</f>
        <v/>
      </c>
      <c r="J611" s="52" t="str">
        <f aca="false">IF(AND(ISNUMBER($G611),$G611&gt;=MA_MED),AVERAGE(INDEX($C$211:$C611,402-MA_MED):$C611),"")</f>
        <v/>
      </c>
      <c r="K611" s="52" t="str">
        <f aca="false">IF(AND(ISNUMBER($G611),$G611&gt;=MA_LONG2),AVERAGE(INDEX($C$211:$C611,402-MA_LONG2):$C611),"")</f>
        <v/>
      </c>
      <c r="L611" s="53" t="str">
        <f aca="false">IF(AND(ISNUMBER($G611),$G611&gt;=21),STDEV(INDEX($H$551:$H611,62-20):$H611)*SQRT(245),"")</f>
        <v/>
      </c>
      <c r="M611" s="52" t="str">
        <f aca="false">IF(AND(ISNUMBER($G611),$G611&gt;=60),MAX(INDEX($D$411:$D611,202-60):$D611),"")</f>
        <v/>
      </c>
      <c r="N611" s="52" t="str">
        <f aca="false">IF(AND(ISNUMBER($G611),$G611&gt;=60),MIN(INDEX($E$411:$E611,202-60):$E611),"")</f>
        <v/>
      </c>
      <c r="O611" s="53" t="str">
        <f aca="false">IF(OR(NOT(ISNUMBER($C611)),NOT(ISNUMBER($M611)),$M611=0),"",$C611/$M611-1)</f>
        <v/>
      </c>
    </row>
    <row r="612" customFormat="false" ht="15" hidden="false" customHeight="false" outlineLevel="0" collapsed="false">
      <c r="A612" s="55"/>
      <c r="B612" s="56"/>
      <c r="C612" s="57"/>
      <c r="D612" s="56"/>
      <c r="E612" s="56"/>
      <c r="F612" s="56"/>
      <c r="G612" s="50" t="str">
        <f aca="false">IF($A612="","",IF(ISNUMBER($G611),$G611+1,1))</f>
        <v/>
      </c>
      <c r="H612" s="51" t="str">
        <f aca="false">IF(OR(NOT(ISNUMBER($G612)),$G612&lt;2,NOT(ISNUMBER($C611)),$C611=0),"",$C612/$C611-1)</f>
        <v/>
      </c>
      <c r="I612" s="52" t="str">
        <f aca="false">IF(AND(ISNUMBER($G612),$G612&gt;=MA_SHORT),AVERAGE(INDEX($C$212:$C612,402-MA_SHORT):$C612),"")</f>
        <v/>
      </c>
      <c r="J612" s="52" t="str">
        <f aca="false">IF(AND(ISNUMBER($G612),$G612&gt;=MA_MED),AVERAGE(INDEX($C$212:$C612,402-MA_MED):$C612),"")</f>
        <v/>
      </c>
      <c r="K612" s="52" t="str">
        <f aca="false">IF(AND(ISNUMBER($G612),$G612&gt;=MA_LONG2),AVERAGE(INDEX($C$212:$C612,402-MA_LONG2):$C612),"")</f>
        <v/>
      </c>
      <c r="L612" s="53" t="str">
        <f aca="false">IF(AND(ISNUMBER($G612),$G612&gt;=21),STDEV(INDEX($H$552:$H612,62-20):$H612)*SQRT(245),"")</f>
        <v/>
      </c>
      <c r="M612" s="52" t="str">
        <f aca="false">IF(AND(ISNUMBER($G612),$G612&gt;=60),MAX(INDEX($D$412:$D612,202-60):$D612),"")</f>
        <v/>
      </c>
      <c r="N612" s="52" t="str">
        <f aca="false">IF(AND(ISNUMBER($G612),$G612&gt;=60),MIN(INDEX($E$412:$E612,202-60):$E612),"")</f>
        <v/>
      </c>
      <c r="O612" s="53" t="str">
        <f aca="false">IF(OR(NOT(ISNUMBER($C612)),NOT(ISNUMBER($M612)),$M612=0),"",$C612/$M612-1)</f>
        <v/>
      </c>
    </row>
    <row r="613" customFormat="false" ht="15" hidden="false" customHeight="false" outlineLevel="0" collapsed="false">
      <c r="A613" s="55"/>
      <c r="B613" s="56"/>
      <c r="C613" s="57"/>
      <c r="D613" s="56"/>
      <c r="E613" s="56"/>
      <c r="F613" s="56"/>
      <c r="G613" s="50" t="str">
        <f aca="false">IF($A613="","",IF(ISNUMBER($G612),$G612+1,1))</f>
        <v/>
      </c>
      <c r="H613" s="51" t="str">
        <f aca="false">IF(OR(NOT(ISNUMBER($G613)),$G613&lt;2,NOT(ISNUMBER($C612)),$C612=0),"",$C613/$C612-1)</f>
        <v/>
      </c>
      <c r="I613" s="52" t="str">
        <f aca="false">IF(AND(ISNUMBER($G613),$G613&gt;=MA_SHORT),AVERAGE(INDEX($C$213:$C613,402-MA_SHORT):$C613),"")</f>
        <v/>
      </c>
      <c r="J613" s="52" t="str">
        <f aca="false">IF(AND(ISNUMBER($G613),$G613&gt;=MA_MED),AVERAGE(INDEX($C$213:$C613,402-MA_MED):$C613),"")</f>
        <v/>
      </c>
      <c r="K613" s="52" t="str">
        <f aca="false">IF(AND(ISNUMBER($G613),$G613&gt;=MA_LONG2),AVERAGE(INDEX($C$213:$C613,402-MA_LONG2):$C613),"")</f>
        <v/>
      </c>
      <c r="L613" s="53" t="str">
        <f aca="false">IF(AND(ISNUMBER($G613),$G613&gt;=21),STDEV(INDEX($H$553:$H613,62-20):$H613)*SQRT(245),"")</f>
        <v/>
      </c>
      <c r="M613" s="52" t="str">
        <f aca="false">IF(AND(ISNUMBER($G613),$G613&gt;=60),MAX(INDEX($D$413:$D613,202-60):$D613),"")</f>
        <v/>
      </c>
      <c r="N613" s="52" t="str">
        <f aca="false">IF(AND(ISNUMBER($G613),$G613&gt;=60),MIN(INDEX($E$413:$E613,202-60):$E613),"")</f>
        <v/>
      </c>
      <c r="O613" s="53" t="str">
        <f aca="false">IF(OR(NOT(ISNUMBER($C613)),NOT(ISNUMBER($M613)),$M613=0),"",$C613/$M613-1)</f>
        <v/>
      </c>
    </row>
    <row r="614" customFormat="false" ht="15" hidden="false" customHeight="false" outlineLevel="0" collapsed="false">
      <c r="A614" s="55"/>
      <c r="B614" s="56"/>
      <c r="C614" s="57"/>
      <c r="D614" s="56"/>
      <c r="E614" s="56"/>
      <c r="F614" s="56"/>
      <c r="G614" s="50" t="str">
        <f aca="false">IF($A614="","",IF(ISNUMBER($G613),$G613+1,1))</f>
        <v/>
      </c>
      <c r="H614" s="51" t="str">
        <f aca="false">IF(OR(NOT(ISNUMBER($G614)),$G614&lt;2,NOT(ISNUMBER($C613)),$C613=0),"",$C614/$C613-1)</f>
        <v/>
      </c>
      <c r="I614" s="52" t="str">
        <f aca="false">IF(AND(ISNUMBER($G614),$G614&gt;=MA_SHORT),AVERAGE(INDEX($C$214:$C614,402-MA_SHORT):$C614),"")</f>
        <v/>
      </c>
      <c r="J614" s="52" t="str">
        <f aca="false">IF(AND(ISNUMBER($G614),$G614&gt;=MA_MED),AVERAGE(INDEX($C$214:$C614,402-MA_MED):$C614),"")</f>
        <v/>
      </c>
      <c r="K614" s="52" t="str">
        <f aca="false">IF(AND(ISNUMBER($G614),$G614&gt;=MA_LONG2),AVERAGE(INDEX($C$214:$C614,402-MA_LONG2):$C614),"")</f>
        <v/>
      </c>
      <c r="L614" s="53" t="str">
        <f aca="false">IF(AND(ISNUMBER($G614),$G614&gt;=21),STDEV(INDEX($H$554:$H614,62-20):$H614)*SQRT(245),"")</f>
        <v/>
      </c>
      <c r="M614" s="52" t="str">
        <f aca="false">IF(AND(ISNUMBER($G614),$G614&gt;=60),MAX(INDEX($D$414:$D614,202-60):$D614),"")</f>
        <v/>
      </c>
      <c r="N614" s="52" t="str">
        <f aca="false">IF(AND(ISNUMBER($G614),$G614&gt;=60),MIN(INDEX($E$414:$E614,202-60):$E614),"")</f>
        <v/>
      </c>
      <c r="O614" s="53" t="str">
        <f aca="false">IF(OR(NOT(ISNUMBER($C614)),NOT(ISNUMBER($M614)),$M614=0),"",$C614/$M614-1)</f>
        <v/>
      </c>
    </row>
    <row r="615" customFormat="false" ht="15" hidden="false" customHeight="false" outlineLevel="0" collapsed="false">
      <c r="A615" s="55"/>
      <c r="B615" s="56"/>
      <c r="C615" s="57"/>
      <c r="D615" s="56"/>
      <c r="E615" s="56"/>
      <c r="F615" s="56"/>
      <c r="G615" s="50" t="str">
        <f aca="false">IF($A615="","",IF(ISNUMBER($G614),$G614+1,1))</f>
        <v/>
      </c>
      <c r="H615" s="51" t="str">
        <f aca="false">IF(OR(NOT(ISNUMBER($G615)),$G615&lt;2,NOT(ISNUMBER($C614)),$C614=0),"",$C615/$C614-1)</f>
        <v/>
      </c>
      <c r="I615" s="52" t="str">
        <f aca="false">IF(AND(ISNUMBER($G615),$G615&gt;=MA_SHORT),AVERAGE(INDEX($C$215:$C615,402-MA_SHORT):$C615),"")</f>
        <v/>
      </c>
      <c r="J615" s="52" t="str">
        <f aca="false">IF(AND(ISNUMBER($G615),$G615&gt;=MA_MED),AVERAGE(INDEX($C$215:$C615,402-MA_MED):$C615),"")</f>
        <v/>
      </c>
      <c r="K615" s="52" t="str">
        <f aca="false">IF(AND(ISNUMBER($G615),$G615&gt;=MA_LONG2),AVERAGE(INDEX($C$215:$C615,402-MA_LONG2):$C615),"")</f>
        <v/>
      </c>
      <c r="L615" s="53" t="str">
        <f aca="false">IF(AND(ISNUMBER($G615),$G615&gt;=21),STDEV(INDEX($H$555:$H615,62-20):$H615)*SQRT(245),"")</f>
        <v/>
      </c>
      <c r="M615" s="52" t="str">
        <f aca="false">IF(AND(ISNUMBER($G615),$G615&gt;=60),MAX(INDEX($D$415:$D615,202-60):$D615),"")</f>
        <v/>
      </c>
      <c r="N615" s="52" t="str">
        <f aca="false">IF(AND(ISNUMBER($G615),$G615&gt;=60),MIN(INDEX($E$415:$E615,202-60):$E615),"")</f>
        <v/>
      </c>
      <c r="O615" s="53" t="str">
        <f aca="false">IF(OR(NOT(ISNUMBER($C615)),NOT(ISNUMBER($M615)),$M615=0),"",$C615/$M615-1)</f>
        <v/>
      </c>
    </row>
    <row r="616" customFormat="false" ht="15" hidden="false" customHeight="false" outlineLevel="0" collapsed="false">
      <c r="A616" s="55"/>
      <c r="B616" s="56"/>
      <c r="C616" s="57"/>
      <c r="D616" s="56"/>
      <c r="E616" s="56"/>
      <c r="F616" s="56"/>
      <c r="G616" s="50" t="str">
        <f aca="false">IF($A616="","",IF(ISNUMBER($G615),$G615+1,1))</f>
        <v/>
      </c>
      <c r="H616" s="51" t="str">
        <f aca="false">IF(OR(NOT(ISNUMBER($G616)),$G616&lt;2,NOT(ISNUMBER($C615)),$C615=0),"",$C616/$C615-1)</f>
        <v/>
      </c>
      <c r="I616" s="52" t="str">
        <f aca="false">IF(AND(ISNUMBER($G616),$G616&gt;=MA_SHORT),AVERAGE(INDEX($C$216:$C616,402-MA_SHORT):$C616),"")</f>
        <v/>
      </c>
      <c r="J616" s="52" t="str">
        <f aca="false">IF(AND(ISNUMBER($G616),$G616&gt;=MA_MED),AVERAGE(INDEX($C$216:$C616,402-MA_MED):$C616),"")</f>
        <v/>
      </c>
      <c r="K616" s="52" t="str">
        <f aca="false">IF(AND(ISNUMBER($G616),$G616&gt;=MA_LONG2),AVERAGE(INDEX($C$216:$C616,402-MA_LONG2):$C616),"")</f>
        <v/>
      </c>
      <c r="L616" s="53" t="str">
        <f aca="false">IF(AND(ISNUMBER($G616),$G616&gt;=21),STDEV(INDEX($H$556:$H616,62-20):$H616)*SQRT(245),"")</f>
        <v/>
      </c>
      <c r="M616" s="52" t="str">
        <f aca="false">IF(AND(ISNUMBER($G616),$G616&gt;=60),MAX(INDEX($D$416:$D616,202-60):$D616),"")</f>
        <v/>
      </c>
      <c r="N616" s="52" t="str">
        <f aca="false">IF(AND(ISNUMBER($G616),$G616&gt;=60),MIN(INDEX($E$416:$E616,202-60):$E616),"")</f>
        <v/>
      </c>
      <c r="O616" s="53" t="str">
        <f aca="false">IF(OR(NOT(ISNUMBER($C616)),NOT(ISNUMBER($M616)),$M616=0),"",$C616/$M616-1)</f>
        <v/>
      </c>
    </row>
    <row r="617" customFormat="false" ht="15" hidden="false" customHeight="false" outlineLevel="0" collapsed="false">
      <c r="A617" s="55"/>
      <c r="B617" s="56"/>
      <c r="C617" s="57"/>
      <c r="D617" s="56"/>
      <c r="E617" s="56"/>
      <c r="F617" s="56"/>
      <c r="G617" s="50" t="str">
        <f aca="false">IF($A617="","",IF(ISNUMBER($G616),$G616+1,1))</f>
        <v/>
      </c>
      <c r="H617" s="51" t="str">
        <f aca="false">IF(OR(NOT(ISNUMBER($G617)),$G617&lt;2,NOT(ISNUMBER($C616)),$C616=0),"",$C617/$C616-1)</f>
        <v/>
      </c>
      <c r="I617" s="52" t="str">
        <f aca="false">IF(AND(ISNUMBER($G617),$G617&gt;=MA_SHORT),AVERAGE(INDEX($C$217:$C617,402-MA_SHORT):$C617),"")</f>
        <v/>
      </c>
      <c r="J617" s="52" t="str">
        <f aca="false">IF(AND(ISNUMBER($G617),$G617&gt;=MA_MED),AVERAGE(INDEX($C$217:$C617,402-MA_MED):$C617),"")</f>
        <v/>
      </c>
      <c r="K617" s="52" t="str">
        <f aca="false">IF(AND(ISNUMBER($G617),$G617&gt;=MA_LONG2),AVERAGE(INDEX($C$217:$C617,402-MA_LONG2):$C617),"")</f>
        <v/>
      </c>
      <c r="L617" s="53" t="str">
        <f aca="false">IF(AND(ISNUMBER($G617),$G617&gt;=21),STDEV(INDEX($H$557:$H617,62-20):$H617)*SQRT(245),"")</f>
        <v/>
      </c>
      <c r="M617" s="52" t="str">
        <f aca="false">IF(AND(ISNUMBER($G617),$G617&gt;=60),MAX(INDEX($D$417:$D617,202-60):$D617),"")</f>
        <v/>
      </c>
      <c r="N617" s="52" t="str">
        <f aca="false">IF(AND(ISNUMBER($G617),$G617&gt;=60),MIN(INDEX($E$417:$E617,202-60):$E617),"")</f>
        <v/>
      </c>
      <c r="O617" s="53" t="str">
        <f aca="false">IF(OR(NOT(ISNUMBER($C617)),NOT(ISNUMBER($M617)),$M617=0),"",$C617/$M617-1)</f>
        <v/>
      </c>
    </row>
    <row r="618" customFormat="false" ht="15" hidden="false" customHeight="false" outlineLevel="0" collapsed="false">
      <c r="A618" s="55"/>
      <c r="B618" s="56"/>
      <c r="C618" s="57"/>
      <c r="D618" s="56"/>
      <c r="E618" s="56"/>
      <c r="F618" s="56"/>
      <c r="G618" s="50" t="str">
        <f aca="false">IF($A618="","",IF(ISNUMBER($G617),$G617+1,1))</f>
        <v/>
      </c>
      <c r="H618" s="51" t="str">
        <f aca="false">IF(OR(NOT(ISNUMBER($G618)),$G618&lt;2,NOT(ISNUMBER($C617)),$C617=0),"",$C618/$C617-1)</f>
        <v/>
      </c>
      <c r="I618" s="52" t="str">
        <f aca="false">IF(AND(ISNUMBER($G618),$G618&gt;=MA_SHORT),AVERAGE(INDEX($C$218:$C618,402-MA_SHORT):$C618),"")</f>
        <v/>
      </c>
      <c r="J618" s="52" t="str">
        <f aca="false">IF(AND(ISNUMBER($G618),$G618&gt;=MA_MED),AVERAGE(INDEX($C$218:$C618,402-MA_MED):$C618),"")</f>
        <v/>
      </c>
      <c r="K618" s="52" t="str">
        <f aca="false">IF(AND(ISNUMBER($G618),$G618&gt;=MA_LONG2),AVERAGE(INDEX($C$218:$C618,402-MA_LONG2):$C618),"")</f>
        <v/>
      </c>
      <c r="L618" s="53" t="str">
        <f aca="false">IF(AND(ISNUMBER($G618),$G618&gt;=21),STDEV(INDEX($H$558:$H618,62-20):$H618)*SQRT(245),"")</f>
        <v/>
      </c>
      <c r="M618" s="52" t="str">
        <f aca="false">IF(AND(ISNUMBER($G618),$G618&gt;=60),MAX(INDEX($D$418:$D618,202-60):$D618),"")</f>
        <v/>
      </c>
      <c r="N618" s="52" t="str">
        <f aca="false">IF(AND(ISNUMBER($G618),$G618&gt;=60),MIN(INDEX($E$418:$E618,202-60):$E618),"")</f>
        <v/>
      </c>
      <c r="O618" s="53" t="str">
        <f aca="false">IF(OR(NOT(ISNUMBER($C618)),NOT(ISNUMBER($M618)),$M618=0),"",$C618/$M618-1)</f>
        <v/>
      </c>
    </row>
    <row r="619" customFormat="false" ht="15" hidden="false" customHeight="false" outlineLevel="0" collapsed="false">
      <c r="A619" s="55"/>
      <c r="B619" s="56"/>
      <c r="C619" s="57"/>
      <c r="D619" s="56"/>
      <c r="E619" s="56"/>
      <c r="F619" s="56"/>
      <c r="G619" s="50" t="str">
        <f aca="false">IF($A619="","",IF(ISNUMBER($G618),$G618+1,1))</f>
        <v/>
      </c>
      <c r="H619" s="51" t="str">
        <f aca="false">IF(OR(NOT(ISNUMBER($G619)),$G619&lt;2,NOT(ISNUMBER($C618)),$C618=0),"",$C619/$C618-1)</f>
        <v/>
      </c>
      <c r="I619" s="52" t="str">
        <f aca="false">IF(AND(ISNUMBER($G619),$G619&gt;=MA_SHORT),AVERAGE(INDEX($C$219:$C619,402-MA_SHORT):$C619),"")</f>
        <v/>
      </c>
      <c r="J619" s="52" t="str">
        <f aca="false">IF(AND(ISNUMBER($G619),$G619&gt;=MA_MED),AVERAGE(INDEX($C$219:$C619,402-MA_MED):$C619),"")</f>
        <v/>
      </c>
      <c r="K619" s="52" t="str">
        <f aca="false">IF(AND(ISNUMBER($G619),$G619&gt;=MA_LONG2),AVERAGE(INDEX($C$219:$C619,402-MA_LONG2):$C619),"")</f>
        <v/>
      </c>
      <c r="L619" s="53" t="str">
        <f aca="false">IF(AND(ISNUMBER($G619),$G619&gt;=21),STDEV(INDEX($H$559:$H619,62-20):$H619)*SQRT(245),"")</f>
        <v/>
      </c>
      <c r="M619" s="52" t="str">
        <f aca="false">IF(AND(ISNUMBER($G619),$G619&gt;=60),MAX(INDEX($D$419:$D619,202-60):$D619),"")</f>
        <v/>
      </c>
      <c r="N619" s="52" t="str">
        <f aca="false">IF(AND(ISNUMBER($G619),$G619&gt;=60),MIN(INDEX($E$419:$E619,202-60):$E619),"")</f>
        <v/>
      </c>
      <c r="O619" s="53" t="str">
        <f aca="false">IF(OR(NOT(ISNUMBER($C619)),NOT(ISNUMBER($M619)),$M619=0),"",$C619/$M619-1)</f>
        <v/>
      </c>
    </row>
    <row r="620" customFormat="false" ht="15" hidden="false" customHeight="false" outlineLevel="0" collapsed="false">
      <c r="A620" s="55"/>
      <c r="B620" s="56"/>
      <c r="C620" s="57"/>
      <c r="D620" s="56"/>
      <c r="E620" s="56"/>
      <c r="F620" s="56"/>
      <c r="G620" s="50" t="str">
        <f aca="false">IF($A620="","",IF(ISNUMBER($G619),$G619+1,1))</f>
        <v/>
      </c>
      <c r="H620" s="51" t="str">
        <f aca="false">IF(OR(NOT(ISNUMBER($G620)),$G620&lt;2,NOT(ISNUMBER($C619)),$C619=0),"",$C620/$C619-1)</f>
        <v/>
      </c>
      <c r="I620" s="52" t="str">
        <f aca="false">IF(AND(ISNUMBER($G620),$G620&gt;=MA_SHORT),AVERAGE(INDEX($C$220:$C620,402-MA_SHORT):$C620),"")</f>
        <v/>
      </c>
      <c r="J620" s="52" t="str">
        <f aca="false">IF(AND(ISNUMBER($G620),$G620&gt;=MA_MED),AVERAGE(INDEX($C$220:$C620,402-MA_MED):$C620),"")</f>
        <v/>
      </c>
      <c r="K620" s="52" t="str">
        <f aca="false">IF(AND(ISNUMBER($G620),$G620&gt;=MA_LONG2),AVERAGE(INDEX($C$220:$C620,402-MA_LONG2):$C620),"")</f>
        <v/>
      </c>
      <c r="L620" s="53" t="str">
        <f aca="false">IF(AND(ISNUMBER($G620),$G620&gt;=21),STDEV(INDEX($H$560:$H620,62-20):$H620)*SQRT(245),"")</f>
        <v/>
      </c>
      <c r="M620" s="52" t="str">
        <f aca="false">IF(AND(ISNUMBER($G620),$G620&gt;=60),MAX(INDEX($D$420:$D620,202-60):$D620),"")</f>
        <v/>
      </c>
      <c r="N620" s="52" t="str">
        <f aca="false">IF(AND(ISNUMBER($G620),$G620&gt;=60),MIN(INDEX($E$420:$E620,202-60):$E620),"")</f>
        <v/>
      </c>
      <c r="O620" s="53" t="str">
        <f aca="false">IF(OR(NOT(ISNUMBER($C620)),NOT(ISNUMBER($M620)),$M620=0),"",$C620/$M620-1)</f>
        <v/>
      </c>
    </row>
    <row r="621" customFormat="false" ht="15" hidden="false" customHeight="false" outlineLevel="0" collapsed="false">
      <c r="A621" s="55"/>
      <c r="B621" s="56"/>
      <c r="C621" s="57"/>
      <c r="D621" s="56"/>
      <c r="E621" s="56"/>
      <c r="F621" s="56"/>
      <c r="G621" s="50" t="str">
        <f aca="false">IF($A621="","",IF(ISNUMBER($G620),$G620+1,1))</f>
        <v/>
      </c>
      <c r="H621" s="51" t="str">
        <f aca="false">IF(OR(NOT(ISNUMBER($G621)),$G621&lt;2,NOT(ISNUMBER($C620)),$C620=0),"",$C621/$C620-1)</f>
        <v/>
      </c>
      <c r="I621" s="52" t="str">
        <f aca="false">IF(AND(ISNUMBER($G621),$G621&gt;=MA_SHORT),AVERAGE(INDEX($C$221:$C621,402-MA_SHORT):$C621),"")</f>
        <v/>
      </c>
      <c r="J621" s="52" t="str">
        <f aca="false">IF(AND(ISNUMBER($G621),$G621&gt;=MA_MED),AVERAGE(INDEX($C$221:$C621,402-MA_MED):$C621),"")</f>
        <v/>
      </c>
      <c r="K621" s="52" t="str">
        <f aca="false">IF(AND(ISNUMBER($G621),$G621&gt;=MA_LONG2),AVERAGE(INDEX($C$221:$C621,402-MA_LONG2):$C621),"")</f>
        <v/>
      </c>
      <c r="L621" s="53" t="str">
        <f aca="false">IF(AND(ISNUMBER($G621),$G621&gt;=21),STDEV(INDEX($H$561:$H621,62-20):$H621)*SQRT(245),"")</f>
        <v/>
      </c>
      <c r="M621" s="52" t="str">
        <f aca="false">IF(AND(ISNUMBER($G621),$G621&gt;=60),MAX(INDEX($D$421:$D621,202-60):$D621),"")</f>
        <v/>
      </c>
      <c r="N621" s="52" t="str">
        <f aca="false">IF(AND(ISNUMBER($G621),$G621&gt;=60),MIN(INDEX($E$421:$E621,202-60):$E621),"")</f>
        <v/>
      </c>
      <c r="O621" s="53" t="str">
        <f aca="false">IF(OR(NOT(ISNUMBER($C621)),NOT(ISNUMBER($M621)),$M621=0),"",$C621/$M621-1)</f>
        <v/>
      </c>
    </row>
    <row r="622" customFormat="false" ht="15" hidden="false" customHeight="false" outlineLevel="0" collapsed="false">
      <c r="A622" s="55"/>
      <c r="B622" s="56"/>
      <c r="C622" s="57"/>
      <c r="D622" s="56"/>
      <c r="E622" s="56"/>
      <c r="F622" s="56"/>
      <c r="G622" s="50" t="str">
        <f aca="false">IF($A622="","",IF(ISNUMBER($G621),$G621+1,1))</f>
        <v/>
      </c>
      <c r="H622" s="51" t="str">
        <f aca="false">IF(OR(NOT(ISNUMBER($G622)),$G622&lt;2,NOT(ISNUMBER($C621)),$C621=0),"",$C622/$C621-1)</f>
        <v/>
      </c>
      <c r="I622" s="52" t="str">
        <f aca="false">IF(AND(ISNUMBER($G622),$G622&gt;=MA_SHORT),AVERAGE(INDEX($C$222:$C622,402-MA_SHORT):$C622),"")</f>
        <v/>
      </c>
      <c r="J622" s="52" t="str">
        <f aca="false">IF(AND(ISNUMBER($G622),$G622&gt;=MA_MED),AVERAGE(INDEX($C$222:$C622,402-MA_MED):$C622),"")</f>
        <v/>
      </c>
      <c r="K622" s="52" t="str">
        <f aca="false">IF(AND(ISNUMBER($G622),$G622&gt;=MA_LONG2),AVERAGE(INDEX($C$222:$C622,402-MA_LONG2):$C622),"")</f>
        <v/>
      </c>
      <c r="L622" s="53" t="str">
        <f aca="false">IF(AND(ISNUMBER($G622),$G622&gt;=21),STDEV(INDEX($H$562:$H622,62-20):$H622)*SQRT(245),"")</f>
        <v/>
      </c>
      <c r="M622" s="52" t="str">
        <f aca="false">IF(AND(ISNUMBER($G622),$G622&gt;=60),MAX(INDEX($D$422:$D622,202-60):$D622),"")</f>
        <v/>
      </c>
      <c r="N622" s="52" t="str">
        <f aca="false">IF(AND(ISNUMBER($G622),$G622&gt;=60),MIN(INDEX($E$422:$E622,202-60):$E622),"")</f>
        <v/>
      </c>
      <c r="O622" s="53" t="str">
        <f aca="false">IF(OR(NOT(ISNUMBER($C622)),NOT(ISNUMBER($M622)),$M622=0),"",$C622/$M622-1)</f>
        <v/>
      </c>
    </row>
    <row r="623" customFormat="false" ht="15" hidden="false" customHeight="false" outlineLevel="0" collapsed="false">
      <c r="A623" s="55"/>
      <c r="B623" s="56"/>
      <c r="C623" s="57"/>
      <c r="D623" s="56"/>
      <c r="E623" s="56"/>
      <c r="F623" s="56"/>
      <c r="G623" s="50" t="str">
        <f aca="false">IF($A623="","",IF(ISNUMBER($G622),$G622+1,1))</f>
        <v/>
      </c>
      <c r="H623" s="51" t="str">
        <f aca="false">IF(OR(NOT(ISNUMBER($G623)),$G623&lt;2,NOT(ISNUMBER($C622)),$C622=0),"",$C623/$C622-1)</f>
        <v/>
      </c>
      <c r="I623" s="52" t="str">
        <f aca="false">IF(AND(ISNUMBER($G623),$G623&gt;=MA_SHORT),AVERAGE(INDEX($C$223:$C623,402-MA_SHORT):$C623),"")</f>
        <v/>
      </c>
      <c r="J623" s="52" t="str">
        <f aca="false">IF(AND(ISNUMBER($G623),$G623&gt;=MA_MED),AVERAGE(INDEX($C$223:$C623,402-MA_MED):$C623),"")</f>
        <v/>
      </c>
      <c r="K623" s="52" t="str">
        <f aca="false">IF(AND(ISNUMBER($G623),$G623&gt;=MA_LONG2),AVERAGE(INDEX($C$223:$C623,402-MA_LONG2):$C623),"")</f>
        <v/>
      </c>
      <c r="L623" s="53" t="str">
        <f aca="false">IF(AND(ISNUMBER($G623),$G623&gt;=21),STDEV(INDEX($H$563:$H623,62-20):$H623)*SQRT(245),"")</f>
        <v/>
      </c>
      <c r="M623" s="52" t="str">
        <f aca="false">IF(AND(ISNUMBER($G623),$G623&gt;=60),MAX(INDEX($D$423:$D623,202-60):$D623),"")</f>
        <v/>
      </c>
      <c r="N623" s="52" t="str">
        <f aca="false">IF(AND(ISNUMBER($G623),$G623&gt;=60),MIN(INDEX($E$423:$E623,202-60):$E623),"")</f>
        <v/>
      </c>
      <c r="O623" s="53" t="str">
        <f aca="false">IF(OR(NOT(ISNUMBER($C623)),NOT(ISNUMBER($M623)),$M623=0),"",$C623/$M623-1)</f>
        <v/>
      </c>
    </row>
    <row r="624" customFormat="false" ht="15" hidden="false" customHeight="false" outlineLevel="0" collapsed="false">
      <c r="A624" s="55"/>
      <c r="B624" s="56"/>
      <c r="C624" s="57"/>
      <c r="D624" s="56"/>
      <c r="E624" s="56"/>
      <c r="F624" s="56"/>
      <c r="G624" s="50" t="str">
        <f aca="false">IF($A624="","",IF(ISNUMBER($G623),$G623+1,1))</f>
        <v/>
      </c>
      <c r="H624" s="51" t="str">
        <f aca="false">IF(OR(NOT(ISNUMBER($G624)),$G624&lt;2,NOT(ISNUMBER($C623)),$C623=0),"",$C624/$C623-1)</f>
        <v/>
      </c>
      <c r="I624" s="52" t="str">
        <f aca="false">IF(AND(ISNUMBER($G624),$G624&gt;=MA_SHORT),AVERAGE(INDEX($C$224:$C624,402-MA_SHORT):$C624),"")</f>
        <v/>
      </c>
      <c r="J624" s="52" t="str">
        <f aca="false">IF(AND(ISNUMBER($G624),$G624&gt;=MA_MED),AVERAGE(INDEX($C$224:$C624,402-MA_MED):$C624),"")</f>
        <v/>
      </c>
      <c r="K624" s="52" t="str">
        <f aca="false">IF(AND(ISNUMBER($G624),$G624&gt;=MA_LONG2),AVERAGE(INDEX($C$224:$C624,402-MA_LONG2):$C624),"")</f>
        <v/>
      </c>
      <c r="L624" s="53" t="str">
        <f aca="false">IF(AND(ISNUMBER($G624),$G624&gt;=21),STDEV(INDEX($H$564:$H624,62-20):$H624)*SQRT(245),"")</f>
        <v/>
      </c>
      <c r="M624" s="52" t="str">
        <f aca="false">IF(AND(ISNUMBER($G624),$G624&gt;=60),MAX(INDEX($D$424:$D624,202-60):$D624),"")</f>
        <v/>
      </c>
      <c r="N624" s="52" t="str">
        <f aca="false">IF(AND(ISNUMBER($G624),$G624&gt;=60),MIN(INDEX($E$424:$E624,202-60):$E624),"")</f>
        <v/>
      </c>
      <c r="O624" s="53" t="str">
        <f aca="false">IF(OR(NOT(ISNUMBER($C624)),NOT(ISNUMBER($M624)),$M624=0),"",$C624/$M624-1)</f>
        <v/>
      </c>
    </row>
    <row r="625" customFormat="false" ht="15" hidden="false" customHeight="false" outlineLevel="0" collapsed="false">
      <c r="A625" s="55"/>
      <c r="B625" s="56"/>
      <c r="C625" s="57"/>
      <c r="D625" s="56"/>
      <c r="E625" s="56"/>
      <c r="F625" s="56"/>
      <c r="G625" s="50" t="str">
        <f aca="false">IF($A625="","",IF(ISNUMBER($G624),$G624+1,1))</f>
        <v/>
      </c>
      <c r="H625" s="51" t="str">
        <f aca="false">IF(OR(NOT(ISNUMBER($G625)),$G625&lt;2,NOT(ISNUMBER($C624)),$C624=0),"",$C625/$C624-1)</f>
        <v/>
      </c>
      <c r="I625" s="52" t="str">
        <f aca="false">IF(AND(ISNUMBER($G625),$G625&gt;=MA_SHORT),AVERAGE(INDEX($C$225:$C625,402-MA_SHORT):$C625),"")</f>
        <v/>
      </c>
      <c r="J625" s="52" t="str">
        <f aca="false">IF(AND(ISNUMBER($G625),$G625&gt;=MA_MED),AVERAGE(INDEX($C$225:$C625,402-MA_MED):$C625),"")</f>
        <v/>
      </c>
      <c r="K625" s="52" t="str">
        <f aca="false">IF(AND(ISNUMBER($G625),$G625&gt;=MA_LONG2),AVERAGE(INDEX($C$225:$C625,402-MA_LONG2):$C625),"")</f>
        <v/>
      </c>
      <c r="L625" s="53" t="str">
        <f aca="false">IF(AND(ISNUMBER($G625),$G625&gt;=21),STDEV(INDEX($H$565:$H625,62-20):$H625)*SQRT(245),"")</f>
        <v/>
      </c>
      <c r="M625" s="52" t="str">
        <f aca="false">IF(AND(ISNUMBER($G625),$G625&gt;=60),MAX(INDEX($D$425:$D625,202-60):$D625),"")</f>
        <v/>
      </c>
      <c r="N625" s="52" t="str">
        <f aca="false">IF(AND(ISNUMBER($G625),$G625&gt;=60),MIN(INDEX($E$425:$E625,202-60):$E625),"")</f>
        <v/>
      </c>
      <c r="O625" s="53" t="str">
        <f aca="false">IF(OR(NOT(ISNUMBER($C625)),NOT(ISNUMBER($M625)),$M625=0),"",$C625/$M625-1)</f>
        <v/>
      </c>
    </row>
    <row r="626" customFormat="false" ht="15" hidden="false" customHeight="false" outlineLevel="0" collapsed="false">
      <c r="A626" s="55"/>
      <c r="B626" s="56"/>
      <c r="C626" s="57"/>
      <c r="D626" s="56"/>
      <c r="E626" s="56"/>
      <c r="F626" s="56"/>
      <c r="G626" s="50" t="str">
        <f aca="false">IF($A626="","",IF(ISNUMBER($G625),$G625+1,1))</f>
        <v/>
      </c>
      <c r="H626" s="51" t="str">
        <f aca="false">IF(OR(NOT(ISNUMBER($G626)),$G626&lt;2,NOT(ISNUMBER($C625)),$C625=0),"",$C626/$C625-1)</f>
        <v/>
      </c>
      <c r="I626" s="52" t="str">
        <f aca="false">IF(AND(ISNUMBER($G626),$G626&gt;=MA_SHORT),AVERAGE(INDEX($C$226:$C626,402-MA_SHORT):$C626),"")</f>
        <v/>
      </c>
      <c r="J626" s="52" t="str">
        <f aca="false">IF(AND(ISNUMBER($G626),$G626&gt;=MA_MED),AVERAGE(INDEX($C$226:$C626,402-MA_MED):$C626),"")</f>
        <v/>
      </c>
      <c r="K626" s="52" t="str">
        <f aca="false">IF(AND(ISNUMBER($G626),$G626&gt;=MA_LONG2),AVERAGE(INDEX($C$226:$C626,402-MA_LONG2):$C626),"")</f>
        <v/>
      </c>
      <c r="L626" s="53" t="str">
        <f aca="false">IF(AND(ISNUMBER($G626),$G626&gt;=21),STDEV(INDEX($H$566:$H626,62-20):$H626)*SQRT(245),"")</f>
        <v/>
      </c>
      <c r="M626" s="52" t="str">
        <f aca="false">IF(AND(ISNUMBER($G626),$G626&gt;=60),MAX(INDEX($D$426:$D626,202-60):$D626),"")</f>
        <v/>
      </c>
      <c r="N626" s="52" t="str">
        <f aca="false">IF(AND(ISNUMBER($G626),$G626&gt;=60),MIN(INDEX($E$426:$E626,202-60):$E626),"")</f>
        <v/>
      </c>
      <c r="O626" s="53" t="str">
        <f aca="false">IF(OR(NOT(ISNUMBER($C626)),NOT(ISNUMBER($M626)),$M626=0),"",$C626/$M626-1)</f>
        <v/>
      </c>
    </row>
    <row r="627" customFormat="false" ht="15" hidden="false" customHeight="false" outlineLevel="0" collapsed="false">
      <c r="A627" s="55"/>
      <c r="B627" s="56"/>
      <c r="C627" s="57"/>
      <c r="D627" s="56"/>
      <c r="E627" s="56"/>
      <c r="F627" s="56"/>
      <c r="G627" s="50" t="str">
        <f aca="false">IF($A627="","",IF(ISNUMBER($G626),$G626+1,1))</f>
        <v/>
      </c>
      <c r="H627" s="51" t="str">
        <f aca="false">IF(OR(NOT(ISNUMBER($G627)),$G627&lt;2,NOT(ISNUMBER($C626)),$C626=0),"",$C627/$C626-1)</f>
        <v/>
      </c>
      <c r="I627" s="52" t="str">
        <f aca="false">IF(AND(ISNUMBER($G627),$G627&gt;=MA_SHORT),AVERAGE(INDEX($C$227:$C627,402-MA_SHORT):$C627),"")</f>
        <v/>
      </c>
      <c r="J627" s="52" t="str">
        <f aca="false">IF(AND(ISNUMBER($G627),$G627&gt;=MA_MED),AVERAGE(INDEX($C$227:$C627,402-MA_MED):$C627),"")</f>
        <v/>
      </c>
      <c r="K627" s="52" t="str">
        <f aca="false">IF(AND(ISNUMBER($G627),$G627&gt;=MA_LONG2),AVERAGE(INDEX($C$227:$C627,402-MA_LONG2):$C627),"")</f>
        <v/>
      </c>
      <c r="L627" s="53" t="str">
        <f aca="false">IF(AND(ISNUMBER($G627),$G627&gt;=21),STDEV(INDEX($H$567:$H627,62-20):$H627)*SQRT(245),"")</f>
        <v/>
      </c>
      <c r="M627" s="52" t="str">
        <f aca="false">IF(AND(ISNUMBER($G627),$G627&gt;=60),MAX(INDEX($D$427:$D627,202-60):$D627),"")</f>
        <v/>
      </c>
      <c r="N627" s="52" t="str">
        <f aca="false">IF(AND(ISNUMBER($G627),$G627&gt;=60),MIN(INDEX($E$427:$E627,202-60):$E627),"")</f>
        <v/>
      </c>
      <c r="O627" s="53" t="str">
        <f aca="false">IF(OR(NOT(ISNUMBER($C627)),NOT(ISNUMBER($M627)),$M627=0),"",$C627/$M627-1)</f>
        <v/>
      </c>
    </row>
    <row r="628" customFormat="false" ht="15" hidden="false" customHeight="false" outlineLevel="0" collapsed="false">
      <c r="A628" s="55"/>
      <c r="B628" s="56"/>
      <c r="C628" s="57"/>
      <c r="D628" s="56"/>
      <c r="E628" s="56"/>
      <c r="F628" s="56"/>
      <c r="G628" s="50" t="str">
        <f aca="false">IF($A628="","",IF(ISNUMBER($G627),$G627+1,1))</f>
        <v/>
      </c>
      <c r="H628" s="51" t="str">
        <f aca="false">IF(OR(NOT(ISNUMBER($G628)),$G628&lt;2,NOT(ISNUMBER($C627)),$C627=0),"",$C628/$C627-1)</f>
        <v/>
      </c>
      <c r="I628" s="52" t="str">
        <f aca="false">IF(AND(ISNUMBER($G628),$G628&gt;=MA_SHORT),AVERAGE(INDEX($C$228:$C628,402-MA_SHORT):$C628),"")</f>
        <v/>
      </c>
      <c r="J628" s="52" t="str">
        <f aca="false">IF(AND(ISNUMBER($G628),$G628&gt;=MA_MED),AVERAGE(INDEX($C$228:$C628,402-MA_MED):$C628),"")</f>
        <v/>
      </c>
      <c r="K628" s="52" t="str">
        <f aca="false">IF(AND(ISNUMBER($G628),$G628&gt;=MA_LONG2),AVERAGE(INDEX($C$228:$C628,402-MA_LONG2):$C628),"")</f>
        <v/>
      </c>
      <c r="L628" s="53" t="str">
        <f aca="false">IF(AND(ISNUMBER($G628),$G628&gt;=21),STDEV(INDEX($H$568:$H628,62-20):$H628)*SQRT(245),"")</f>
        <v/>
      </c>
      <c r="M628" s="52" t="str">
        <f aca="false">IF(AND(ISNUMBER($G628),$G628&gt;=60),MAX(INDEX($D$428:$D628,202-60):$D628),"")</f>
        <v/>
      </c>
      <c r="N628" s="52" t="str">
        <f aca="false">IF(AND(ISNUMBER($G628),$G628&gt;=60),MIN(INDEX($E$428:$E628,202-60):$E628),"")</f>
        <v/>
      </c>
      <c r="O628" s="53" t="str">
        <f aca="false">IF(OR(NOT(ISNUMBER($C628)),NOT(ISNUMBER($M628)),$M628=0),"",$C628/$M628-1)</f>
        <v/>
      </c>
    </row>
    <row r="629" customFormat="false" ht="15" hidden="false" customHeight="false" outlineLevel="0" collapsed="false">
      <c r="A629" s="55"/>
      <c r="B629" s="56"/>
      <c r="C629" s="57"/>
      <c r="D629" s="56"/>
      <c r="E629" s="56"/>
      <c r="F629" s="56"/>
      <c r="G629" s="50" t="str">
        <f aca="false">IF($A629="","",IF(ISNUMBER($G628),$G628+1,1))</f>
        <v/>
      </c>
      <c r="H629" s="51" t="str">
        <f aca="false">IF(OR(NOT(ISNUMBER($G629)),$G629&lt;2,NOT(ISNUMBER($C628)),$C628=0),"",$C629/$C628-1)</f>
        <v/>
      </c>
      <c r="I629" s="52" t="str">
        <f aca="false">IF(AND(ISNUMBER($G629),$G629&gt;=MA_SHORT),AVERAGE(INDEX($C$229:$C629,402-MA_SHORT):$C629),"")</f>
        <v/>
      </c>
      <c r="J629" s="52" t="str">
        <f aca="false">IF(AND(ISNUMBER($G629),$G629&gt;=MA_MED),AVERAGE(INDEX($C$229:$C629,402-MA_MED):$C629),"")</f>
        <v/>
      </c>
      <c r="K629" s="52" t="str">
        <f aca="false">IF(AND(ISNUMBER($G629),$G629&gt;=MA_LONG2),AVERAGE(INDEX($C$229:$C629,402-MA_LONG2):$C629),"")</f>
        <v/>
      </c>
      <c r="L629" s="53" t="str">
        <f aca="false">IF(AND(ISNUMBER($G629),$G629&gt;=21),STDEV(INDEX($H$569:$H629,62-20):$H629)*SQRT(245),"")</f>
        <v/>
      </c>
      <c r="M629" s="52" t="str">
        <f aca="false">IF(AND(ISNUMBER($G629),$G629&gt;=60),MAX(INDEX($D$429:$D629,202-60):$D629),"")</f>
        <v/>
      </c>
      <c r="N629" s="52" t="str">
        <f aca="false">IF(AND(ISNUMBER($G629),$G629&gt;=60),MIN(INDEX($E$429:$E629,202-60):$E629),"")</f>
        <v/>
      </c>
      <c r="O629" s="53" t="str">
        <f aca="false">IF(OR(NOT(ISNUMBER($C629)),NOT(ISNUMBER($M629)),$M629=0),"",$C629/$M629-1)</f>
        <v/>
      </c>
    </row>
    <row r="630" customFormat="false" ht="15" hidden="false" customHeight="false" outlineLevel="0" collapsed="false">
      <c r="A630" s="55"/>
      <c r="B630" s="56"/>
      <c r="C630" s="57"/>
      <c r="D630" s="56"/>
      <c r="E630" s="56"/>
      <c r="F630" s="56"/>
      <c r="G630" s="50" t="str">
        <f aca="false">IF($A630="","",IF(ISNUMBER($G629),$G629+1,1))</f>
        <v/>
      </c>
      <c r="H630" s="51" t="str">
        <f aca="false">IF(OR(NOT(ISNUMBER($G630)),$G630&lt;2,NOT(ISNUMBER($C629)),$C629=0),"",$C630/$C629-1)</f>
        <v/>
      </c>
      <c r="I630" s="52" t="str">
        <f aca="false">IF(AND(ISNUMBER($G630),$G630&gt;=MA_SHORT),AVERAGE(INDEX($C$230:$C630,402-MA_SHORT):$C630),"")</f>
        <v/>
      </c>
      <c r="J630" s="52" t="str">
        <f aca="false">IF(AND(ISNUMBER($G630),$G630&gt;=MA_MED),AVERAGE(INDEX($C$230:$C630,402-MA_MED):$C630),"")</f>
        <v/>
      </c>
      <c r="K630" s="52" t="str">
        <f aca="false">IF(AND(ISNUMBER($G630),$G630&gt;=MA_LONG2),AVERAGE(INDEX($C$230:$C630,402-MA_LONG2):$C630),"")</f>
        <v/>
      </c>
      <c r="L630" s="53" t="str">
        <f aca="false">IF(AND(ISNUMBER($G630),$G630&gt;=21),STDEV(INDEX($H$570:$H630,62-20):$H630)*SQRT(245),"")</f>
        <v/>
      </c>
      <c r="M630" s="52" t="str">
        <f aca="false">IF(AND(ISNUMBER($G630),$G630&gt;=60),MAX(INDEX($D$430:$D630,202-60):$D630),"")</f>
        <v/>
      </c>
      <c r="N630" s="52" t="str">
        <f aca="false">IF(AND(ISNUMBER($G630),$G630&gt;=60),MIN(INDEX($E$430:$E630,202-60):$E630),"")</f>
        <v/>
      </c>
      <c r="O630" s="53" t="str">
        <f aca="false">IF(OR(NOT(ISNUMBER($C630)),NOT(ISNUMBER($M630)),$M630=0),"",$C630/$M630-1)</f>
        <v/>
      </c>
    </row>
    <row r="631" customFormat="false" ht="15" hidden="false" customHeight="false" outlineLevel="0" collapsed="false">
      <c r="A631" s="55"/>
      <c r="B631" s="56"/>
      <c r="C631" s="57"/>
      <c r="D631" s="56"/>
      <c r="E631" s="56"/>
      <c r="F631" s="56"/>
      <c r="G631" s="50" t="str">
        <f aca="false">IF($A631="","",IF(ISNUMBER($G630),$G630+1,1))</f>
        <v/>
      </c>
      <c r="H631" s="51" t="str">
        <f aca="false">IF(OR(NOT(ISNUMBER($G631)),$G631&lt;2,NOT(ISNUMBER($C630)),$C630=0),"",$C631/$C630-1)</f>
        <v/>
      </c>
      <c r="I631" s="52" t="str">
        <f aca="false">IF(AND(ISNUMBER($G631),$G631&gt;=MA_SHORT),AVERAGE(INDEX($C$231:$C631,402-MA_SHORT):$C631),"")</f>
        <v/>
      </c>
      <c r="J631" s="52" t="str">
        <f aca="false">IF(AND(ISNUMBER($G631),$G631&gt;=MA_MED),AVERAGE(INDEX($C$231:$C631,402-MA_MED):$C631),"")</f>
        <v/>
      </c>
      <c r="K631" s="52" t="str">
        <f aca="false">IF(AND(ISNUMBER($G631),$G631&gt;=MA_LONG2),AVERAGE(INDEX($C$231:$C631,402-MA_LONG2):$C631),"")</f>
        <v/>
      </c>
      <c r="L631" s="53" t="str">
        <f aca="false">IF(AND(ISNUMBER($G631),$G631&gt;=21),STDEV(INDEX($H$571:$H631,62-20):$H631)*SQRT(245),"")</f>
        <v/>
      </c>
      <c r="M631" s="52" t="str">
        <f aca="false">IF(AND(ISNUMBER($G631),$G631&gt;=60),MAX(INDEX($D$431:$D631,202-60):$D631),"")</f>
        <v/>
      </c>
      <c r="N631" s="52" t="str">
        <f aca="false">IF(AND(ISNUMBER($G631),$G631&gt;=60),MIN(INDEX($E$431:$E631,202-60):$E631),"")</f>
        <v/>
      </c>
      <c r="O631" s="53" t="str">
        <f aca="false">IF(OR(NOT(ISNUMBER($C631)),NOT(ISNUMBER($M631)),$M631=0),"",$C631/$M631-1)</f>
        <v/>
      </c>
    </row>
    <row r="632" customFormat="false" ht="15" hidden="false" customHeight="false" outlineLevel="0" collapsed="false">
      <c r="A632" s="55"/>
      <c r="B632" s="56"/>
      <c r="C632" s="57"/>
      <c r="D632" s="56"/>
      <c r="E632" s="56"/>
      <c r="F632" s="56"/>
      <c r="G632" s="50" t="str">
        <f aca="false">IF($A632="","",IF(ISNUMBER($G631),$G631+1,1))</f>
        <v/>
      </c>
      <c r="H632" s="51" t="str">
        <f aca="false">IF(OR(NOT(ISNUMBER($G632)),$G632&lt;2,NOT(ISNUMBER($C631)),$C631=0),"",$C632/$C631-1)</f>
        <v/>
      </c>
      <c r="I632" s="52" t="str">
        <f aca="false">IF(AND(ISNUMBER($G632),$G632&gt;=MA_SHORT),AVERAGE(INDEX($C$232:$C632,402-MA_SHORT):$C632),"")</f>
        <v/>
      </c>
      <c r="J632" s="52" t="str">
        <f aca="false">IF(AND(ISNUMBER($G632),$G632&gt;=MA_MED),AVERAGE(INDEX($C$232:$C632,402-MA_MED):$C632),"")</f>
        <v/>
      </c>
      <c r="K632" s="52" t="str">
        <f aca="false">IF(AND(ISNUMBER($G632),$G632&gt;=MA_LONG2),AVERAGE(INDEX($C$232:$C632,402-MA_LONG2):$C632),"")</f>
        <v/>
      </c>
      <c r="L632" s="53" t="str">
        <f aca="false">IF(AND(ISNUMBER($G632),$G632&gt;=21),STDEV(INDEX($H$572:$H632,62-20):$H632)*SQRT(245),"")</f>
        <v/>
      </c>
      <c r="M632" s="52" t="str">
        <f aca="false">IF(AND(ISNUMBER($G632),$G632&gt;=60),MAX(INDEX($D$432:$D632,202-60):$D632),"")</f>
        <v/>
      </c>
      <c r="N632" s="52" t="str">
        <f aca="false">IF(AND(ISNUMBER($G632),$G632&gt;=60),MIN(INDEX($E$432:$E632,202-60):$E632),"")</f>
        <v/>
      </c>
      <c r="O632" s="53" t="str">
        <f aca="false">IF(OR(NOT(ISNUMBER($C632)),NOT(ISNUMBER($M632)),$M632=0),"",$C632/$M632-1)</f>
        <v/>
      </c>
    </row>
    <row r="633" customFormat="false" ht="15" hidden="false" customHeight="false" outlineLevel="0" collapsed="false">
      <c r="A633" s="55"/>
      <c r="B633" s="56"/>
      <c r="C633" s="57"/>
      <c r="D633" s="56"/>
      <c r="E633" s="56"/>
      <c r="F633" s="56"/>
      <c r="G633" s="50" t="str">
        <f aca="false">IF($A633="","",IF(ISNUMBER($G632),$G632+1,1))</f>
        <v/>
      </c>
      <c r="H633" s="51" t="str">
        <f aca="false">IF(OR(NOT(ISNUMBER($G633)),$G633&lt;2,NOT(ISNUMBER($C632)),$C632=0),"",$C633/$C632-1)</f>
        <v/>
      </c>
      <c r="I633" s="52" t="str">
        <f aca="false">IF(AND(ISNUMBER($G633),$G633&gt;=MA_SHORT),AVERAGE(INDEX($C$233:$C633,402-MA_SHORT):$C633),"")</f>
        <v/>
      </c>
      <c r="J633" s="52" t="str">
        <f aca="false">IF(AND(ISNUMBER($G633),$G633&gt;=MA_MED),AVERAGE(INDEX($C$233:$C633,402-MA_MED):$C633),"")</f>
        <v/>
      </c>
      <c r="K633" s="52" t="str">
        <f aca="false">IF(AND(ISNUMBER($G633),$G633&gt;=MA_LONG2),AVERAGE(INDEX($C$233:$C633,402-MA_LONG2):$C633),"")</f>
        <v/>
      </c>
      <c r="L633" s="53" t="str">
        <f aca="false">IF(AND(ISNUMBER($G633),$G633&gt;=21),STDEV(INDEX($H$573:$H633,62-20):$H633)*SQRT(245),"")</f>
        <v/>
      </c>
      <c r="M633" s="52" t="str">
        <f aca="false">IF(AND(ISNUMBER($G633),$G633&gt;=60),MAX(INDEX($D$433:$D633,202-60):$D633),"")</f>
        <v/>
      </c>
      <c r="N633" s="52" t="str">
        <f aca="false">IF(AND(ISNUMBER($G633),$G633&gt;=60),MIN(INDEX($E$433:$E633,202-60):$E633),"")</f>
        <v/>
      </c>
      <c r="O633" s="53" t="str">
        <f aca="false">IF(OR(NOT(ISNUMBER($C633)),NOT(ISNUMBER($M633)),$M633=0),"",$C633/$M633-1)</f>
        <v/>
      </c>
    </row>
    <row r="634" customFormat="false" ht="15" hidden="false" customHeight="false" outlineLevel="0" collapsed="false">
      <c r="A634" s="55"/>
      <c r="B634" s="56"/>
      <c r="C634" s="57"/>
      <c r="D634" s="56"/>
      <c r="E634" s="56"/>
      <c r="F634" s="56"/>
      <c r="G634" s="50" t="str">
        <f aca="false">IF($A634="","",IF(ISNUMBER($G633),$G633+1,1))</f>
        <v/>
      </c>
      <c r="H634" s="51" t="str">
        <f aca="false">IF(OR(NOT(ISNUMBER($G634)),$G634&lt;2,NOT(ISNUMBER($C633)),$C633=0),"",$C634/$C633-1)</f>
        <v/>
      </c>
      <c r="I634" s="52" t="str">
        <f aca="false">IF(AND(ISNUMBER($G634),$G634&gt;=MA_SHORT),AVERAGE(INDEX($C$234:$C634,402-MA_SHORT):$C634),"")</f>
        <v/>
      </c>
      <c r="J634" s="52" t="str">
        <f aca="false">IF(AND(ISNUMBER($G634),$G634&gt;=MA_MED),AVERAGE(INDEX($C$234:$C634,402-MA_MED):$C634),"")</f>
        <v/>
      </c>
      <c r="K634" s="52" t="str">
        <f aca="false">IF(AND(ISNUMBER($G634),$G634&gt;=MA_LONG2),AVERAGE(INDEX($C$234:$C634,402-MA_LONG2):$C634),"")</f>
        <v/>
      </c>
      <c r="L634" s="53" t="str">
        <f aca="false">IF(AND(ISNUMBER($G634),$G634&gt;=21),STDEV(INDEX($H$574:$H634,62-20):$H634)*SQRT(245),"")</f>
        <v/>
      </c>
      <c r="M634" s="52" t="str">
        <f aca="false">IF(AND(ISNUMBER($G634),$G634&gt;=60),MAX(INDEX($D$434:$D634,202-60):$D634),"")</f>
        <v/>
      </c>
      <c r="N634" s="52" t="str">
        <f aca="false">IF(AND(ISNUMBER($G634),$G634&gt;=60),MIN(INDEX($E$434:$E634,202-60):$E634),"")</f>
        <v/>
      </c>
      <c r="O634" s="53" t="str">
        <f aca="false">IF(OR(NOT(ISNUMBER($C634)),NOT(ISNUMBER($M634)),$M634=0),"",$C634/$M634-1)</f>
        <v/>
      </c>
    </row>
    <row r="635" customFormat="false" ht="15" hidden="false" customHeight="false" outlineLevel="0" collapsed="false">
      <c r="A635" s="55"/>
      <c r="B635" s="56"/>
      <c r="C635" s="57"/>
      <c r="D635" s="56"/>
      <c r="E635" s="56"/>
      <c r="F635" s="56"/>
      <c r="G635" s="50" t="str">
        <f aca="false">IF($A635="","",IF(ISNUMBER($G634),$G634+1,1))</f>
        <v/>
      </c>
      <c r="H635" s="51" t="str">
        <f aca="false">IF(OR(NOT(ISNUMBER($G635)),$G635&lt;2,NOT(ISNUMBER($C634)),$C634=0),"",$C635/$C634-1)</f>
        <v/>
      </c>
      <c r="I635" s="52" t="str">
        <f aca="false">IF(AND(ISNUMBER($G635),$G635&gt;=MA_SHORT),AVERAGE(INDEX($C$235:$C635,402-MA_SHORT):$C635),"")</f>
        <v/>
      </c>
      <c r="J635" s="52" t="str">
        <f aca="false">IF(AND(ISNUMBER($G635),$G635&gt;=MA_MED),AVERAGE(INDEX($C$235:$C635,402-MA_MED):$C635),"")</f>
        <v/>
      </c>
      <c r="K635" s="52" t="str">
        <f aca="false">IF(AND(ISNUMBER($G635),$G635&gt;=MA_LONG2),AVERAGE(INDEX($C$235:$C635,402-MA_LONG2):$C635),"")</f>
        <v/>
      </c>
      <c r="L635" s="53" t="str">
        <f aca="false">IF(AND(ISNUMBER($G635),$G635&gt;=21),STDEV(INDEX($H$575:$H635,62-20):$H635)*SQRT(245),"")</f>
        <v/>
      </c>
      <c r="M635" s="52" t="str">
        <f aca="false">IF(AND(ISNUMBER($G635),$G635&gt;=60),MAX(INDEX($D$435:$D635,202-60):$D635),"")</f>
        <v/>
      </c>
      <c r="N635" s="52" t="str">
        <f aca="false">IF(AND(ISNUMBER($G635),$G635&gt;=60),MIN(INDEX($E$435:$E635,202-60):$E635),"")</f>
        <v/>
      </c>
      <c r="O635" s="53" t="str">
        <f aca="false">IF(OR(NOT(ISNUMBER($C635)),NOT(ISNUMBER($M635)),$M635=0),"",$C635/$M635-1)</f>
        <v/>
      </c>
    </row>
    <row r="636" customFormat="false" ht="15" hidden="false" customHeight="false" outlineLevel="0" collapsed="false">
      <c r="A636" s="55"/>
      <c r="B636" s="56"/>
      <c r="C636" s="57"/>
      <c r="D636" s="56"/>
      <c r="E636" s="56"/>
      <c r="F636" s="56"/>
      <c r="G636" s="50" t="str">
        <f aca="false">IF($A636="","",IF(ISNUMBER($G635),$G635+1,1))</f>
        <v/>
      </c>
      <c r="H636" s="51" t="str">
        <f aca="false">IF(OR(NOT(ISNUMBER($G636)),$G636&lt;2,NOT(ISNUMBER($C635)),$C635=0),"",$C636/$C635-1)</f>
        <v/>
      </c>
      <c r="I636" s="52" t="str">
        <f aca="false">IF(AND(ISNUMBER($G636),$G636&gt;=MA_SHORT),AVERAGE(INDEX($C$236:$C636,402-MA_SHORT):$C636),"")</f>
        <v/>
      </c>
      <c r="J636" s="52" t="str">
        <f aca="false">IF(AND(ISNUMBER($G636),$G636&gt;=MA_MED),AVERAGE(INDEX($C$236:$C636,402-MA_MED):$C636),"")</f>
        <v/>
      </c>
      <c r="K636" s="52" t="str">
        <f aca="false">IF(AND(ISNUMBER($G636),$G636&gt;=MA_LONG2),AVERAGE(INDEX($C$236:$C636,402-MA_LONG2):$C636),"")</f>
        <v/>
      </c>
      <c r="L636" s="53" t="str">
        <f aca="false">IF(AND(ISNUMBER($G636),$G636&gt;=21),STDEV(INDEX($H$576:$H636,62-20):$H636)*SQRT(245),"")</f>
        <v/>
      </c>
      <c r="M636" s="52" t="str">
        <f aca="false">IF(AND(ISNUMBER($G636),$G636&gt;=60),MAX(INDEX($D$436:$D636,202-60):$D636),"")</f>
        <v/>
      </c>
      <c r="N636" s="52" t="str">
        <f aca="false">IF(AND(ISNUMBER($G636),$G636&gt;=60),MIN(INDEX($E$436:$E636,202-60):$E636),"")</f>
        <v/>
      </c>
      <c r="O636" s="53" t="str">
        <f aca="false">IF(OR(NOT(ISNUMBER($C636)),NOT(ISNUMBER($M636)),$M636=0),"",$C636/$M636-1)</f>
        <v/>
      </c>
    </row>
    <row r="637" customFormat="false" ht="15" hidden="false" customHeight="false" outlineLevel="0" collapsed="false">
      <c r="A637" s="55"/>
      <c r="B637" s="56"/>
      <c r="C637" s="57"/>
      <c r="D637" s="56"/>
      <c r="E637" s="56"/>
      <c r="F637" s="56"/>
      <c r="G637" s="50" t="str">
        <f aca="false">IF($A637="","",IF(ISNUMBER($G636),$G636+1,1))</f>
        <v/>
      </c>
      <c r="H637" s="51" t="str">
        <f aca="false">IF(OR(NOT(ISNUMBER($G637)),$G637&lt;2,NOT(ISNUMBER($C636)),$C636=0),"",$C637/$C636-1)</f>
        <v/>
      </c>
      <c r="I637" s="52" t="str">
        <f aca="false">IF(AND(ISNUMBER($G637),$G637&gt;=MA_SHORT),AVERAGE(INDEX($C$237:$C637,402-MA_SHORT):$C637),"")</f>
        <v/>
      </c>
      <c r="J637" s="52" t="str">
        <f aca="false">IF(AND(ISNUMBER($G637),$G637&gt;=MA_MED),AVERAGE(INDEX($C$237:$C637,402-MA_MED):$C637),"")</f>
        <v/>
      </c>
      <c r="K637" s="52" t="str">
        <f aca="false">IF(AND(ISNUMBER($G637),$G637&gt;=MA_LONG2),AVERAGE(INDEX($C$237:$C637,402-MA_LONG2):$C637),"")</f>
        <v/>
      </c>
      <c r="L637" s="53" t="str">
        <f aca="false">IF(AND(ISNUMBER($G637),$G637&gt;=21),STDEV(INDEX($H$577:$H637,62-20):$H637)*SQRT(245),"")</f>
        <v/>
      </c>
      <c r="M637" s="52" t="str">
        <f aca="false">IF(AND(ISNUMBER($G637),$G637&gt;=60),MAX(INDEX($D$437:$D637,202-60):$D637),"")</f>
        <v/>
      </c>
      <c r="N637" s="52" t="str">
        <f aca="false">IF(AND(ISNUMBER($G637),$G637&gt;=60),MIN(INDEX($E$437:$E637,202-60):$E637),"")</f>
        <v/>
      </c>
      <c r="O637" s="53" t="str">
        <f aca="false">IF(OR(NOT(ISNUMBER($C637)),NOT(ISNUMBER($M637)),$M637=0),"",$C637/$M637-1)</f>
        <v/>
      </c>
    </row>
    <row r="638" customFormat="false" ht="15" hidden="false" customHeight="false" outlineLevel="0" collapsed="false">
      <c r="A638" s="55"/>
      <c r="B638" s="56"/>
      <c r="C638" s="57"/>
      <c r="D638" s="56"/>
      <c r="E638" s="56"/>
      <c r="F638" s="56"/>
      <c r="G638" s="50" t="str">
        <f aca="false">IF($A638="","",IF(ISNUMBER($G637),$G637+1,1))</f>
        <v/>
      </c>
      <c r="H638" s="51" t="str">
        <f aca="false">IF(OR(NOT(ISNUMBER($G638)),$G638&lt;2,NOT(ISNUMBER($C637)),$C637=0),"",$C638/$C637-1)</f>
        <v/>
      </c>
      <c r="I638" s="52" t="str">
        <f aca="false">IF(AND(ISNUMBER($G638),$G638&gt;=MA_SHORT),AVERAGE(INDEX($C$238:$C638,402-MA_SHORT):$C638),"")</f>
        <v/>
      </c>
      <c r="J638" s="52" t="str">
        <f aca="false">IF(AND(ISNUMBER($G638),$G638&gt;=MA_MED),AVERAGE(INDEX($C$238:$C638,402-MA_MED):$C638),"")</f>
        <v/>
      </c>
      <c r="K638" s="52" t="str">
        <f aca="false">IF(AND(ISNUMBER($G638),$G638&gt;=MA_LONG2),AVERAGE(INDEX($C$238:$C638,402-MA_LONG2):$C638),"")</f>
        <v/>
      </c>
      <c r="L638" s="53" t="str">
        <f aca="false">IF(AND(ISNUMBER($G638),$G638&gt;=21),STDEV(INDEX($H$578:$H638,62-20):$H638)*SQRT(245),"")</f>
        <v/>
      </c>
      <c r="M638" s="52" t="str">
        <f aca="false">IF(AND(ISNUMBER($G638),$G638&gt;=60),MAX(INDEX($D$438:$D638,202-60):$D638),"")</f>
        <v/>
      </c>
      <c r="N638" s="52" t="str">
        <f aca="false">IF(AND(ISNUMBER($G638),$G638&gt;=60),MIN(INDEX($E$438:$E638,202-60):$E638),"")</f>
        <v/>
      </c>
      <c r="O638" s="53" t="str">
        <f aca="false">IF(OR(NOT(ISNUMBER($C638)),NOT(ISNUMBER($M638)),$M638=0),"",$C638/$M638-1)</f>
        <v/>
      </c>
    </row>
    <row r="639" customFormat="false" ht="15" hidden="false" customHeight="false" outlineLevel="0" collapsed="false">
      <c r="A639" s="55"/>
      <c r="B639" s="56"/>
      <c r="C639" s="57"/>
      <c r="D639" s="56"/>
      <c r="E639" s="56"/>
      <c r="F639" s="56"/>
      <c r="G639" s="50" t="str">
        <f aca="false">IF($A639="","",IF(ISNUMBER($G638),$G638+1,1))</f>
        <v/>
      </c>
      <c r="H639" s="51" t="str">
        <f aca="false">IF(OR(NOT(ISNUMBER($G639)),$G639&lt;2,NOT(ISNUMBER($C638)),$C638=0),"",$C639/$C638-1)</f>
        <v/>
      </c>
      <c r="I639" s="52" t="str">
        <f aca="false">IF(AND(ISNUMBER($G639),$G639&gt;=MA_SHORT),AVERAGE(INDEX($C$239:$C639,402-MA_SHORT):$C639),"")</f>
        <v/>
      </c>
      <c r="J639" s="52" t="str">
        <f aca="false">IF(AND(ISNUMBER($G639),$G639&gt;=MA_MED),AVERAGE(INDEX($C$239:$C639,402-MA_MED):$C639),"")</f>
        <v/>
      </c>
      <c r="K639" s="52" t="str">
        <f aca="false">IF(AND(ISNUMBER($G639),$G639&gt;=MA_LONG2),AVERAGE(INDEX($C$239:$C639,402-MA_LONG2):$C639),"")</f>
        <v/>
      </c>
      <c r="L639" s="53" t="str">
        <f aca="false">IF(AND(ISNUMBER($G639),$G639&gt;=21),STDEV(INDEX($H$579:$H639,62-20):$H639)*SQRT(245),"")</f>
        <v/>
      </c>
      <c r="M639" s="52" t="str">
        <f aca="false">IF(AND(ISNUMBER($G639),$G639&gt;=60),MAX(INDEX($D$439:$D639,202-60):$D639),"")</f>
        <v/>
      </c>
      <c r="N639" s="52" t="str">
        <f aca="false">IF(AND(ISNUMBER($G639),$G639&gt;=60),MIN(INDEX($E$439:$E639,202-60):$E639),"")</f>
        <v/>
      </c>
      <c r="O639" s="53" t="str">
        <f aca="false">IF(OR(NOT(ISNUMBER($C639)),NOT(ISNUMBER($M639)),$M639=0),"",$C639/$M639-1)</f>
        <v/>
      </c>
    </row>
    <row r="640" customFormat="false" ht="15" hidden="false" customHeight="false" outlineLevel="0" collapsed="false">
      <c r="A640" s="55"/>
      <c r="B640" s="56"/>
      <c r="C640" s="57"/>
      <c r="D640" s="56"/>
      <c r="E640" s="56"/>
      <c r="F640" s="56"/>
      <c r="G640" s="50" t="str">
        <f aca="false">IF($A640="","",IF(ISNUMBER($G639),$G639+1,1))</f>
        <v/>
      </c>
      <c r="H640" s="51" t="str">
        <f aca="false">IF(OR(NOT(ISNUMBER($G640)),$G640&lt;2,NOT(ISNUMBER($C639)),$C639=0),"",$C640/$C639-1)</f>
        <v/>
      </c>
      <c r="I640" s="52" t="str">
        <f aca="false">IF(AND(ISNUMBER($G640),$G640&gt;=MA_SHORT),AVERAGE(INDEX($C$240:$C640,402-MA_SHORT):$C640),"")</f>
        <v/>
      </c>
      <c r="J640" s="52" t="str">
        <f aca="false">IF(AND(ISNUMBER($G640),$G640&gt;=MA_MED),AVERAGE(INDEX($C$240:$C640,402-MA_MED):$C640),"")</f>
        <v/>
      </c>
      <c r="K640" s="52" t="str">
        <f aca="false">IF(AND(ISNUMBER($G640),$G640&gt;=MA_LONG2),AVERAGE(INDEX($C$240:$C640,402-MA_LONG2):$C640),"")</f>
        <v/>
      </c>
      <c r="L640" s="53" t="str">
        <f aca="false">IF(AND(ISNUMBER($G640),$G640&gt;=21),STDEV(INDEX($H$580:$H640,62-20):$H640)*SQRT(245),"")</f>
        <v/>
      </c>
      <c r="M640" s="52" t="str">
        <f aca="false">IF(AND(ISNUMBER($G640),$G640&gt;=60),MAX(INDEX($D$440:$D640,202-60):$D640),"")</f>
        <v/>
      </c>
      <c r="N640" s="52" t="str">
        <f aca="false">IF(AND(ISNUMBER($G640),$G640&gt;=60),MIN(INDEX($E$440:$E640,202-60):$E640),"")</f>
        <v/>
      </c>
      <c r="O640" s="53" t="str">
        <f aca="false">IF(OR(NOT(ISNUMBER($C640)),NOT(ISNUMBER($M640)),$M640=0),"",$C640/$M640-1)</f>
        <v/>
      </c>
    </row>
    <row r="641" customFormat="false" ht="15" hidden="false" customHeight="false" outlineLevel="0" collapsed="false">
      <c r="A641" s="55"/>
      <c r="B641" s="56"/>
      <c r="C641" s="57"/>
      <c r="D641" s="56"/>
      <c r="E641" s="56"/>
      <c r="F641" s="56"/>
      <c r="G641" s="50" t="str">
        <f aca="false">IF($A641="","",IF(ISNUMBER($G640),$G640+1,1))</f>
        <v/>
      </c>
      <c r="H641" s="51" t="str">
        <f aca="false">IF(OR(NOT(ISNUMBER($G641)),$G641&lt;2,NOT(ISNUMBER($C640)),$C640=0),"",$C641/$C640-1)</f>
        <v/>
      </c>
      <c r="I641" s="52" t="str">
        <f aca="false">IF(AND(ISNUMBER($G641),$G641&gt;=MA_SHORT),AVERAGE(INDEX($C$241:$C641,402-MA_SHORT):$C641),"")</f>
        <v/>
      </c>
      <c r="J641" s="52" t="str">
        <f aca="false">IF(AND(ISNUMBER($G641),$G641&gt;=MA_MED),AVERAGE(INDEX($C$241:$C641,402-MA_MED):$C641),"")</f>
        <v/>
      </c>
      <c r="K641" s="52" t="str">
        <f aca="false">IF(AND(ISNUMBER($G641),$G641&gt;=MA_LONG2),AVERAGE(INDEX($C$241:$C641,402-MA_LONG2):$C641),"")</f>
        <v/>
      </c>
      <c r="L641" s="53" t="str">
        <f aca="false">IF(AND(ISNUMBER($G641),$G641&gt;=21),STDEV(INDEX($H$581:$H641,62-20):$H641)*SQRT(245),"")</f>
        <v/>
      </c>
      <c r="M641" s="52" t="str">
        <f aca="false">IF(AND(ISNUMBER($G641),$G641&gt;=60),MAX(INDEX($D$441:$D641,202-60):$D641),"")</f>
        <v/>
      </c>
      <c r="N641" s="52" t="str">
        <f aca="false">IF(AND(ISNUMBER($G641),$G641&gt;=60),MIN(INDEX($E$441:$E641,202-60):$E641),"")</f>
        <v/>
      </c>
      <c r="O641" s="53" t="str">
        <f aca="false">IF(OR(NOT(ISNUMBER($C641)),NOT(ISNUMBER($M641)),$M641=0),"",$C641/$M641-1)</f>
        <v/>
      </c>
    </row>
    <row r="642" customFormat="false" ht="15" hidden="false" customHeight="false" outlineLevel="0" collapsed="false">
      <c r="A642" s="55"/>
      <c r="B642" s="56"/>
      <c r="C642" s="57"/>
      <c r="D642" s="56"/>
      <c r="E642" s="56"/>
      <c r="F642" s="56"/>
      <c r="G642" s="50" t="str">
        <f aca="false">IF($A642="","",IF(ISNUMBER($G641),$G641+1,1))</f>
        <v/>
      </c>
      <c r="H642" s="51" t="str">
        <f aca="false">IF(OR(NOT(ISNUMBER($G642)),$G642&lt;2,NOT(ISNUMBER($C641)),$C641=0),"",$C642/$C641-1)</f>
        <v/>
      </c>
      <c r="I642" s="52" t="str">
        <f aca="false">IF(AND(ISNUMBER($G642),$G642&gt;=MA_SHORT),AVERAGE(INDEX($C$242:$C642,402-MA_SHORT):$C642),"")</f>
        <v/>
      </c>
      <c r="J642" s="52" t="str">
        <f aca="false">IF(AND(ISNUMBER($G642),$G642&gt;=MA_MED),AVERAGE(INDEX($C$242:$C642,402-MA_MED):$C642),"")</f>
        <v/>
      </c>
      <c r="K642" s="52" t="str">
        <f aca="false">IF(AND(ISNUMBER($G642),$G642&gt;=MA_LONG2),AVERAGE(INDEX($C$242:$C642,402-MA_LONG2):$C642),"")</f>
        <v/>
      </c>
      <c r="L642" s="53" t="str">
        <f aca="false">IF(AND(ISNUMBER($G642),$G642&gt;=21),STDEV(INDEX($H$582:$H642,62-20):$H642)*SQRT(245),"")</f>
        <v/>
      </c>
      <c r="M642" s="52" t="str">
        <f aca="false">IF(AND(ISNUMBER($G642),$G642&gt;=60),MAX(INDEX($D$442:$D642,202-60):$D642),"")</f>
        <v/>
      </c>
      <c r="N642" s="52" t="str">
        <f aca="false">IF(AND(ISNUMBER($G642),$G642&gt;=60),MIN(INDEX($E$442:$E642,202-60):$E642),"")</f>
        <v/>
      </c>
      <c r="O642" s="53" t="str">
        <f aca="false">IF(OR(NOT(ISNUMBER($C642)),NOT(ISNUMBER($M642)),$M642=0),"",$C642/$M642-1)</f>
        <v/>
      </c>
    </row>
    <row r="643" customFormat="false" ht="15" hidden="false" customHeight="false" outlineLevel="0" collapsed="false">
      <c r="A643" s="55"/>
      <c r="B643" s="56"/>
      <c r="C643" s="57"/>
      <c r="D643" s="56"/>
      <c r="E643" s="56"/>
      <c r="F643" s="56"/>
      <c r="G643" s="50" t="str">
        <f aca="false">IF($A643="","",IF(ISNUMBER($G642),$G642+1,1))</f>
        <v/>
      </c>
      <c r="H643" s="51" t="str">
        <f aca="false">IF(OR(NOT(ISNUMBER($G643)),$G643&lt;2,NOT(ISNUMBER($C642)),$C642=0),"",$C643/$C642-1)</f>
        <v/>
      </c>
      <c r="I643" s="52" t="str">
        <f aca="false">IF(AND(ISNUMBER($G643),$G643&gt;=MA_SHORT),AVERAGE(INDEX($C$243:$C643,402-MA_SHORT):$C643),"")</f>
        <v/>
      </c>
      <c r="J643" s="52" t="str">
        <f aca="false">IF(AND(ISNUMBER($G643),$G643&gt;=MA_MED),AVERAGE(INDEX($C$243:$C643,402-MA_MED):$C643),"")</f>
        <v/>
      </c>
      <c r="K643" s="52" t="str">
        <f aca="false">IF(AND(ISNUMBER($G643),$G643&gt;=MA_LONG2),AVERAGE(INDEX($C$243:$C643,402-MA_LONG2):$C643),"")</f>
        <v/>
      </c>
      <c r="L643" s="53" t="str">
        <f aca="false">IF(AND(ISNUMBER($G643),$G643&gt;=21),STDEV(INDEX($H$583:$H643,62-20):$H643)*SQRT(245),"")</f>
        <v/>
      </c>
      <c r="M643" s="52" t="str">
        <f aca="false">IF(AND(ISNUMBER($G643),$G643&gt;=60),MAX(INDEX($D$443:$D643,202-60):$D643),"")</f>
        <v/>
      </c>
      <c r="N643" s="52" t="str">
        <f aca="false">IF(AND(ISNUMBER($G643),$G643&gt;=60),MIN(INDEX($E$443:$E643,202-60):$E643),"")</f>
        <v/>
      </c>
      <c r="O643" s="53" t="str">
        <f aca="false">IF(OR(NOT(ISNUMBER($C643)),NOT(ISNUMBER($M643)),$M643=0),"",$C643/$M643-1)</f>
        <v/>
      </c>
    </row>
    <row r="644" customFormat="false" ht="15" hidden="false" customHeight="false" outlineLevel="0" collapsed="false">
      <c r="A644" s="55"/>
      <c r="B644" s="56"/>
      <c r="C644" s="57"/>
      <c r="D644" s="56"/>
      <c r="E644" s="56"/>
      <c r="F644" s="56"/>
      <c r="G644" s="50" t="str">
        <f aca="false">IF($A644="","",IF(ISNUMBER($G643),$G643+1,1))</f>
        <v/>
      </c>
      <c r="H644" s="51" t="str">
        <f aca="false">IF(OR(NOT(ISNUMBER($G644)),$G644&lt;2,NOT(ISNUMBER($C643)),$C643=0),"",$C644/$C643-1)</f>
        <v/>
      </c>
      <c r="I644" s="52" t="str">
        <f aca="false">IF(AND(ISNUMBER($G644),$G644&gt;=MA_SHORT),AVERAGE(INDEX($C$244:$C644,402-MA_SHORT):$C644),"")</f>
        <v/>
      </c>
      <c r="J644" s="52" t="str">
        <f aca="false">IF(AND(ISNUMBER($G644),$G644&gt;=MA_MED),AVERAGE(INDEX($C$244:$C644,402-MA_MED):$C644),"")</f>
        <v/>
      </c>
      <c r="K644" s="52" t="str">
        <f aca="false">IF(AND(ISNUMBER($G644),$G644&gt;=MA_LONG2),AVERAGE(INDEX($C$244:$C644,402-MA_LONG2):$C644),"")</f>
        <v/>
      </c>
      <c r="L644" s="53" t="str">
        <f aca="false">IF(AND(ISNUMBER($G644),$G644&gt;=21),STDEV(INDEX($H$584:$H644,62-20):$H644)*SQRT(245),"")</f>
        <v/>
      </c>
      <c r="M644" s="52" t="str">
        <f aca="false">IF(AND(ISNUMBER($G644),$G644&gt;=60),MAX(INDEX($D$444:$D644,202-60):$D644),"")</f>
        <v/>
      </c>
      <c r="N644" s="52" t="str">
        <f aca="false">IF(AND(ISNUMBER($G644),$G644&gt;=60),MIN(INDEX($E$444:$E644,202-60):$E644),"")</f>
        <v/>
      </c>
      <c r="O644" s="53" t="str">
        <f aca="false">IF(OR(NOT(ISNUMBER($C644)),NOT(ISNUMBER($M644)),$M644=0),"",$C644/$M644-1)</f>
        <v/>
      </c>
    </row>
    <row r="645" customFormat="false" ht="15" hidden="false" customHeight="false" outlineLevel="0" collapsed="false">
      <c r="A645" s="55"/>
      <c r="B645" s="56"/>
      <c r="C645" s="57"/>
      <c r="D645" s="56"/>
      <c r="E645" s="56"/>
      <c r="F645" s="56"/>
      <c r="G645" s="50" t="str">
        <f aca="false">IF($A645="","",IF(ISNUMBER($G644),$G644+1,1))</f>
        <v/>
      </c>
      <c r="H645" s="51" t="str">
        <f aca="false">IF(OR(NOT(ISNUMBER($G645)),$G645&lt;2,NOT(ISNUMBER($C644)),$C644=0),"",$C645/$C644-1)</f>
        <v/>
      </c>
      <c r="I645" s="52" t="str">
        <f aca="false">IF(AND(ISNUMBER($G645),$G645&gt;=MA_SHORT),AVERAGE(INDEX($C$245:$C645,402-MA_SHORT):$C645),"")</f>
        <v/>
      </c>
      <c r="J645" s="52" t="str">
        <f aca="false">IF(AND(ISNUMBER($G645),$G645&gt;=MA_MED),AVERAGE(INDEX($C$245:$C645,402-MA_MED):$C645),"")</f>
        <v/>
      </c>
      <c r="K645" s="52" t="str">
        <f aca="false">IF(AND(ISNUMBER($G645),$G645&gt;=MA_LONG2),AVERAGE(INDEX($C$245:$C645,402-MA_LONG2):$C645),"")</f>
        <v/>
      </c>
      <c r="L645" s="53" t="str">
        <f aca="false">IF(AND(ISNUMBER($G645),$G645&gt;=21),STDEV(INDEX($H$585:$H645,62-20):$H645)*SQRT(245),"")</f>
        <v/>
      </c>
      <c r="M645" s="52" t="str">
        <f aca="false">IF(AND(ISNUMBER($G645),$G645&gt;=60),MAX(INDEX($D$445:$D645,202-60):$D645),"")</f>
        <v/>
      </c>
      <c r="N645" s="52" t="str">
        <f aca="false">IF(AND(ISNUMBER($G645),$G645&gt;=60),MIN(INDEX($E$445:$E645,202-60):$E645),"")</f>
        <v/>
      </c>
      <c r="O645" s="53" t="str">
        <f aca="false">IF(OR(NOT(ISNUMBER($C645)),NOT(ISNUMBER($M645)),$M645=0),"",$C645/$M645-1)</f>
        <v/>
      </c>
    </row>
    <row r="646" customFormat="false" ht="15" hidden="false" customHeight="false" outlineLevel="0" collapsed="false">
      <c r="A646" s="55"/>
      <c r="B646" s="56"/>
      <c r="C646" s="57"/>
      <c r="D646" s="56"/>
      <c r="E646" s="56"/>
      <c r="F646" s="56"/>
      <c r="G646" s="50" t="str">
        <f aca="false">IF($A646="","",IF(ISNUMBER($G645),$G645+1,1))</f>
        <v/>
      </c>
      <c r="H646" s="51" t="str">
        <f aca="false">IF(OR(NOT(ISNUMBER($G646)),$G646&lt;2,NOT(ISNUMBER($C645)),$C645=0),"",$C646/$C645-1)</f>
        <v/>
      </c>
      <c r="I646" s="52" t="str">
        <f aca="false">IF(AND(ISNUMBER($G646),$G646&gt;=MA_SHORT),AVERAGE(INDEX($C$246:$C646,402-MA_SHORT):$C646),"")</f>
        <v/>
      </c>
      <c r="J646" s="52" t="str">
        <f aca="false">IF(AND(ISNUMBER($G646),$G646&gt;=MA_MED),AVERAGE(INDEX($C$246:$C646,402-MA_MED):$C646),"")</f>
        <v/>
      </c>
      <c r="K646" s="52" t="str">
        <f aca="false">IF(AND(ISNUMBER($G646),$G646&gt;=MA_LONG2),AVERAGE(INDEX($C$246:$C646,402-MA_LONG2):$C646),"")</f>
        <v/>
      </c>
      <c r="L646" s="53" t="str">
        <f aca="false">IF(AND(ISNUMBER($G646),$G646&gt;=21),STDEV(INDEX($H$586:$H646,62-20):$H646)*SQRT(245),"")</f>
        <v/>
      </c>
      <c r="M646" s="52" t="str">
        <f aca="false">IF(AND(ISNUMBER($G646),$G646&gt;=60),MAX(INDEX($D$446:$D646,202-60):$D646),"")</f>
        <v/>
      </c>
      <c r="N646" s="52" t="str">
        <f aca="false">IF(AND(ISNUMBER($G646),$G646&gt;=60),MIN(INDEX($E$446:$E646,202-60):$E646),"")</f>
        <v/>
      </c>
      <c r="O646" s="53" t="str">
        <f aca="false">IF(OR(NOT(ISNUMBER($C646)),NOT(ISNUMBER($M646)),$M646=0),"",$C646/$M646-1)</f>
        <v/>
      </c>
    </row>
    <row r="647" customFormat="false" ht="15" hidden="false" customHeight="false" outlineLevel="0" collapsed="false">
      <c r="A647" s="55"/>
      <c r="B647" s="56"/>
      <c r="C647" s="57"/>
      <c r="D647" s="56"/>
      <c r="E647" s="56"/>
      <c r="F647" s="56"/>
      <c r="G647" s="50" t="str">
        <f aca="false">IF($A647="","",IF(ISNUMBER($G646),$G646+1,1))</f>
        <v/>
      </c>
      <c r="H647" s="51" t="str">
        <f aca="false">IF(OR(NOT(ISNUMBER($G647)),$G647&lt;2,NOT(ISNUMBER($C646)),$C646=0),"",$C647/$C646-1)</f>
        <v/>
      </c>
      <c r="I647" s="52" t="str">
        <f aca="false">IF(AND(ISNUMBER($G647),$G647&gt;=MA_SHORT),AVERAGE(INDEX($C$247:$C647,402-MA_SHORT):$C647),"")</f>
        <v/>
      </c>
      <c r="J647" s="52" t="str">
        <f aca="false">IF(AND(ISNUMBER($G647),$G647&gt;=MA_MED),AVERAGE(INDEX($C$247:$C647,402-MA_MED):$C647),"")</f>
        <v/>
      </c>
      <c r="K647" s="52" t="str">
        <f aca="false">IF(AND(ISNUMBER($G647),$G647&gt;=MA_LONG2),AVERAGE(INDEX($C$247:$C647,402-MA_LONG2):$C647),"")</f>
        <v/>
      </c>
      <c r="L647" s="53" t="str">
        <f aca="false">IF(AND(ISNUMBER($G647),$G647&gt;=21),STDEV(INDEX($H$587:$H647,62-20):$H647)*SQRT(245),"")</f>
        <v/>
      </c>
      <c r="M647" s="52" t="str">
        <f aca="false">IF(AND(ISNUMBER($G647),$G647&gt;=60),MAX(INDEX($D$447:$D647,202-60):$D647),"")</f>
        <v/>
      </c>
      <c r="N647" s="52" t="str">
        <f aca="false">IF(AND(ISNUMBER($G647),$G647&gt;=60),MIN(INDEX($E$447:$E647,202-60):$E647),"")</f>
        <v/>
      </c>
      <c r="O647" s="53" t="str">
        <f aca="false">IF(OR(NOT(ISNUMBER($C647)),NOT(ISNUMBER($M647)),$M647=0),"",$C647/$M647-1)</f>
        <v/>
      </c>
    </row>
    <row r="648" customFormat="false" ht="15" hidden="false" customHeight="false" outlineLevel="0" collapsed="false">
      <c r="A648" s="55"/>
      <c r="B648" s="56"/>
      <c r="C648" s="57"/>
      <c r="D648" s="56"/>
      <c r="E648" s="56"/>
      <c r="F648" s="56"/>
      <c r="G648" s="50" t="str">
        <f aca="false">IF($A648="","",IF(ISNUMBER($G647),$G647+1,1))</f>
        <v/>
      </c>
      <c r="H648" s="51" t="str">
        <f aca="false">IF(OR(NOT(ISNUMBER($G648)),$G648&lt;2,NOT(ISNUMBER($C647)),$C647=0),"",$C648/$C647-1)</f>
        <v/>
      </c>
      <c r="I648" s="52" t="str">
        <f aca="false">IF(AND(ISNUMBER($G648),$G648&gt;=MA_SHORT),AVERAGE(INDEX($C$248:$C648,402-MA_SHORT):$C648),"")</f>
        <v/>
      </c>
      <c r="J648" s="52" t="str">
        <f aca="false">IF(AND(ISNUMBER($G648),$G648&gt;=MA_MED),AVERAGE(INDEX($C$248:$C648,402-MA_MED):$C648),"")</f>
        <v/>
      </c>
      <c r="K648" s="52" t="str">
        <f aca="false">IF(AND(ISNUMBER($G648),$G648&gt;=MA_LONG2),AVERAGE(INDEX($C$248:$C648,402-MA_LONG2):$C648),"")</f>
        <v/>
      </c>
      <c r="L648" s="53" t="str">
        <f aca="false">IF(AND(ISNUMBER($G648),$G648&gt;=21),STDEV(INDEX($H$588:$H648,62-20):$H648)*SQRT(245),"")</f>
        <v/>
      </c>
      <c r="M648" s="52" t="str">
        <f aca="false">IF(AND(ISNUMBER($G648),$G648&gt;=60),MAX(INDEX($D$448:$D648,202-60):$D648),"")</f>
        <v/>
      </c>
      <c r="N648" s="52" t="str">
        <f aca="false">IF(AND(ISNUMBER($G648),$G648&gt;=60),MIN(INDEX($E$448:$E648,202-60):$E648),"")</f>
        <v/>
      </c>
      <c r="O648" s="53" t="str">
        <f aca="false">IF(OR(NOT(ISNUMBER($C648)),NOT(ISNUMBER($M648)),$M648=0),"",$C648/$M648-1)</f>
        <v/>
      </c>
    </row>
    <row r="649" customFormat="false" ht="15" hidden="false" customHeight="false" outlineLevel="0" collapsed="false">
      <c r="A649" s="55"/>
      <c r="B649" s="56"/>
      <c r="C649" s="57"/>
      <c r="D649" s="56"/>
      <c r="E649" s="56"/>
      <c r="F649" s="56"/>
      <c r="G649" s="50" t="str">
        <f aca="false">IF($A649="","",IF(ISNUMBER($G648),$G648+1,1))</f>
        <v/>
      </c>
      <c r="H649" s="51" t="str">
        <f aca="false">IF(OR(NOT(ISNUMBER($G649)),$G649&lt;2,NOT(ISNUMBER($C648)),$C648=0),"",$C649/$C648-1)</f>
        <v/>
      </c>
      <c r="I649" s="52" t="str">
        <f aca="false">IF(AND(ISNUMBER($G649),$G649&gt;=MA_SHORT),AVERAGE(INDEX($C$249:$C649,402-MA_SHORT):$C649),"")</f>
        <v/>
      </c>
      <c r="J649" s="52" t="str">
        <f aca="false">IF(AND(ISNUMBER($G649),$G649&gt;=MA_MED),AVERAGE(INDEX($C$249:$C649,402-MA_MED):$C649),"")</f>
        <v/>
      </c>
      <c r="K649" s="52" t="str">
        <f aca="false">IF(AND(ISNUMBER($G649),$G649&gt;=MA_LONG2),AVERAGE(INDEX($C$249:$C649,402-MA_LONG2):$C649),"")</f>
        <v/>
      </c>
      <c r="L649" s="53" t="str">
        <f aca="false">IF(AND(ISNUMBER($G649),$G649&gt;=21),STDEV(INDEX($H$589:$H649,62-20):$H649)*SQRT(245),"")</f>
        <v/>
      </c>
      <c r="M649" s="52" t="str">
        <f aca="false">IF(AND(ISNUMBER($G649),$G649&gt;=60),MAX(INDEX($D$449:$D649,202-60):$D649),"")</f>
        <v/>
      </c>
      <c r="N649" s="52" t="str">
        <f aca="false">IF(AND(ISNUMBER($G649),$G649&gt;=60),MIN(INDEX($E$449:$E649,202-60):$E649),"")</f>
        <v/>
      </c>
      <c r="O649" s="53" t="str">
        <f aca="false">IF(OR(NOT(ISNUMBER($C649)),NOT(ISNUMBER($M649)),$M649=0),"",$C649/$M649-1)</f>
        <v/>
      </c>
    </row>
    <row r="650" customFormat="false" ht="15" hidden="false" customHeight="false" outlineLevel="0" collapsed="false">
      <c r="A650" s="55"/>
      <c r="B650" s="56"/>
      <c r="C650" s="57"/>
      <c r="D650" s="56"/>
      <c r="E650" s="56"/>
      <c r="F650" s="56"/>
      <c r="G650" s="50" t="str">
        <f aca="false">IF($A650="","",IF(ISNUMBER($G649),$G649+1,1))</f>
        <v/>
      </c>
      <c r="H650" s="51" t="str">
        <f aca="false">IF(OR(NOT(ISNUMBER($G650)),$G650&lt;2,NOT(ISNUMBER($C649)),$C649=0),"",$C650/$C649-1)</f>
        <v/>
      </c>
      <c r="I650" s="52" t="str">
        <f aca="false">IF(AND(ISNUMBER($G650),$G650&gt;=MA_SHORT),AVERAGE(INDEX($C$250:$C650,402-MA_SHORT):$C650),"")</f>
        <v/>
      </c>
      <c r="J650" s="52" t="str">
        <f aca="false">IF(AND(ISNUMBER($G650),$G650&gt;=MA_MED),AVERAGE(INDEX($C$250:$C650,402-MA_MED):$C650),"")</f>
        <v/>
      </c>
      <c r="K650" s="52" t="str">
        <f aca="false">IF(AND(ISNUMBER($G650),$G650&gt;=MA_LONG2),AVERAGE(INDEX($C$250:$C650,402-MA_LONG2):$C650),"")</f>
        <v/>
      </c>
      <c r="L650" s="53" t="str">
        <f aca="false">IF(AND(ISNUMBER($G650),$G650&gt;=21),STDEV(INDEX($H$590:$H650,62-20):$H650)*SQRT(245),"")</f>
        <v/>
      </c>
      <c r="M650" s="52" t="str">
        <f aca="false">IF(AND(ISNUMBER($G650),$G650&gt;=60),MAX(INDEX($D$450:$D650,202-60):$D650),"")</f>
        <v/>
      </c>
      <c r="N650" s="52" t="str">
        <f aca="false">IF(AND(ISNUMBER($G650),$G650&gt;=60),MIN(INDEX($E$450:$E650,202-60):$E650),"")</f>
        <v/>
      </c>
      <c r="O650" s="53" t="str">
        <f aca="false">IF(OR(NOT(ISNUMBER($C650)),NOT(ISNUMBER($M650)),$M650=0),"",$C650/$M650-1)</f>
        <v/>
      </c>
    </row>
    <row r="651" customFormat="false" ht="15" hidden="false" customHeight="false" outlineLevel="0" collapsed="false">
      <c r="A651" s="55"/>
      <c r="B651" s="56"/>
      <c r="C651" s="57"/>
      <c r="D651" s="56"/>
      <c r="E651" s="56"/>
      <c r="F651" s="56"/>
      <c r="G651" s="50" t="str">
        <f aca="false">IF($A651="","",IF(ISNUMBER($G650),$G650+1,1))</f>
        <v/>
      </c>
      <c r="H651" s="51" t="str">
        <f aca="false">IF(OR(NOT(ISNUMBER($G651)),$G651&lt;2,NOT(ISNUMBER($C650)),$C650=0),"",$C651/$C650-1)</f>
        <v/>
      </c>
      <c r="I651" s="52" t="str">
        <f aca="false">IF(AND(ISNUMBER($G651),$G651&gt;=MA_SHORT),AVERAGE(INDEX($C$251:$C651,402-MA_SHORT):$C651),"")</f>
        <v/>
      </c>
      <c r="J651" s="52" t="str">
        <f aca="false">IF(AND(ISNUMBER($G651),$G651&gt;=MA_MED),AVERAGE(INDEX($C$251:$C651,402-MA_MED):$C651),"")</f>
        <v/>
      </c>
      <c r="K651" s="52" t="str">
        <f aca="false">IF(AND(ISNUMBER($G651),$G651&gt;=MA_LONG2),AVERAGE(INDEX($C$251:$C651,402-MA_LONG2):$C651),"")</f>
        <v/>
      </c>
      <c r="L651" s="53" t="str">
        <f aca="false">IF(AND(ISNUMBER($G651),$G651&gt;=21),STDEV(INDEX($H$591:$H651,62-20):$H651)*SQRT(245),"")</f>
        <v/>
      </c>
      <c r="M651" s="52" t="str">
        <f aca="false">IF(AND(ISNUMBER($G651),$G651&gt;=60),MAX(INDEX($D$451:$D651,202-60):$D651),"")</f>
        <v/>
      </c>
      <c r="N651" s="52" t="str">
        <f aca="false">IF(AND(ISNUMBER($G651),$G651&gt;=60),MIN(INDEX($E$451:$E651,202-60):$E651),"")</f>
        <v/>
      </c>
      <c r="O651" s="53" t="str">
        <f aca="false">IF(OR(NOT(ISNUMBER($C651)),NOT(ISNUMBER($M651)),$M651=0),"",$C651/$M651-1)</f>
        <v/>
      </c>
    </row>
    <row r="652" customFormat="false" ht="15" hidden="false" customHeight="false" outlineLevel="0" collapsed="false">
      <c r="A652" s="55"/>
      <c r="B652" s="56"/>
      <c r="C652" s="57"/>
      <c r="D652" s="56"/>
      <c r="E652" s="56"/>
      <c r="F652" s="56"/>
      <c r="G652" s="50" t="str">
        <f aca="false">IF($A652="","",IF(ISNUMBER($G651),$G651+1,1))</f>
        <v/>
      </c>
      <c r="H652" s="51" t="str">
        <f aca="false">IF(OR(NOT(ISNUMBER($G652)),$G652&lt;2,NOT(ISNUMBER($C651)),$C651=0),"",$C652/$C651-1)</f>
        <v/>
      </c>
      <c r="I652" s="52" t="str">
        <f aca="false">IF(AND(ISNUMBER($G652),$G652&gt;=MA_SHORT),AVERAGE(INDEX($C$252:$C652,402-MA_SHORT):$C652),"")</f>
        <v/>
      </c>
      <c r="J652" s="52" t="str">
        <f aca="false">IF(AND(ISNUMBER($G652),$G652&gt;=MA_MED),AVERAGE(INDEX($C$252:$C652,402-MA_MED):$C652),"")</f>
        <v/>
      </c>
      <c r="K652" s="52" t="str">
        <f aca="false">IF(AND(ISNUMBER($G652),$G652&gt;=MA_LONG2),AVERAGE(INDEX($C$252:$C652,402-MA_LONG2):$C652),"")</f>
        <v/>
      </c>
      <c r="L652" s="53" t="str">
        <f aca="false">IF(AND(ISNUMBER($G652),$G652&gt;=21),STDEV(INDEX($H$592:$H652,62-20):$H652)*SQRT(245),"")</f>
        <v/>
      </c>
      <c r="M652" s="52" t="str">
        <f aca="false">IF(AND(ISNUMBER($G652),$G652&gt;=60),MAX(INDEX($D$452:$D652,202-60):$D652),"")</f>
        <v/>
      </c>
      <c r="N652" s="52" t="str">
        <f aca="false">IF(AND(ISNUMBER($G652),$G652&gt;=60),MIN(INDEX($E$452:$E652,202-60):$E652),"")</f>
        <v/>
      </c>
      <c r="O652" s="53" t="str">
        <f aca="false">IF(OR(NOT(ISNUMBER($C652)),NOT(ISNUMBER($M652)),$M652=0),"",$C652/$M652-1)</f>
        <v/>
      </c>
    </row>
    <row r="653" customFormat="false" ht="15" hidden="false" customHeight="false" outlineLevel="0" collapsed="false">
      <c r="A653" s="55"/>
      <c r="B653" s="56"/>
      <c r="C653" s="57"/>
      <c r="D653" s="56"/>
      <c r="E653" s="56"/>
      <c r="F653" s="56"/>
      <c r="G653" s="50" t="str">
        <f aca="false">IF($A653="","",IF(ISNUMBER($G652),$G652+1,1))</f>
        <v/>
      </c>
      <c r="H653" s="51" t="str">
        <f aca="false">IF(OR(NOT(ISNUMBER($G653)),$G653&lt;2,NOT(ISNUMBER($C652)),$C652=0),"",$C653/$C652-1)</f>
        <v/>
      </c>
      <c r="I653" s="52" t="str">
        <f aca="false">IF(AND(ISNUMBER($G653),$G653&gt;=MA_SHORT),AVERAGE(INDEX($C$253:$C653,402-MA_SHORT):$C653),"")</f>
        <v/>
      </c>
      <c r="J653" s="52" t="str">
        <f aca="false">IF(AND(ISNUMBER($G653),$G653&gt;=MA_MED),AVERAGE(INDEX($C$253:$C653,402-MA_MED):$C653),"")</f>
        <v/>
      </c>
      <c r="K653" s="52" t="str">
        <f aca="false">IF(AND(ISNUMBER($G653),$G653&gt;=MA_LONG2),AVERAGE(INDEX($C$253:$C653,402-MA_LONG2):$C653),"")</f>
        <v/>
      </c>
      <c r="L653" s="53" t="str">
        <f aca="false">IF(AND(ISNUMBER($G653),$G653&gt;=21),STDEV(INDEX($H$593:$H653,62-20):$H653)*SQRT(245),"")</f>
        <v/>
      </c>
      <c r="M653" s="52" t="str">
        <f aca="false">IF(AND(ISNUMBER($G653),$G653&gt;=60),MAX(INDEX($D$453:$D653,202-60):$D653),"")</f>
        <v/>
      </c>
      <c r="N653" s="52" t="str">
        <f aca="false">IF(AND(ISNUMBER($G653),$G653&gt;=60),MIN(INDEX($E$453:$E653,202-60):$E653),"")</f>
        <v/>
      </c>
      <c r="O653" s="53" t="str">
        <f aca="false">IF(OR(NOT(ISNUMBER($C653)),NOT(ISNUMBER($M653)),$M653=0),"",$C653/$M653-1)</f>
        <v/>
      </c>
    </row>
    <row r="654" customFormat="false" ht="15" hidden="false" customHeight="false" outlineLevel="0" collapsed="false">
      <c r="A654" s="55"/>
      <c r="B654" s="56"/>
      <c r="C654" s="57"/>
      <c r="D654" s="56"/>
      <c r="E654" s="56"/>
      <c r="F654" s="56"/>
      <c r="G654" s="50" t="str">
        <f aca="false">IF($A654="","",IF(ISNUMBER($G653),$G653+1,1))</f>
        <v/>
      </c>
      <c r="H654" s="51" t="str">
        <f aca="false">IF(OR(NOT(ISNUMBER($G654)),$G654&lt;2,NOT(ISNUMBER($C653)),$C653=0),"",$C654/$C653-1)</f>
        <v/>
      </c>
      <c r="I654" s="52" t="str">
        <f aca="false">IF(AND(ISNUMBER($G654),$G654&gt;=MA_SHORT),AVERAGE(INDEX($C$254:$C654,402-MA_SHORT):$C654),"")</f>
        <v/>
      </c>
      <c r="J654" s="52" t="str">
        <f aca="false">IF(AND(ISNUMBER($G654),$G654&gt;=MA_MED),AVERAGE(INDEX($C$254:$C654,402-MA_MED):$C654),"")</f>
        <v/>
      </c>
      <c r="K654" s="52" t="str">
        <f aca="false">IF(AND(ISNUMBER($G654),$G654&gt;=MA_LONG2),AVERAGE(INDEX($C$254:$C654,402-MA_LONG2):$C654),"")</f>
        <v/>
      </c>
      <c r="L654" s="53" t="str">
        <f aca="false">IF(AND(ISNUMBER($G654),$G654&gt;=21),STDEV(INDEX($H$594:$H654,62-20):$H654)*SQRT(245),"")</f>
        <v/>
      </c>
      <c r="M654" s="52" t="str">
        <f aca="false">IF(AND(ISNUMBER($G654),$G654&gt;=60),MAX(INDEX($D$454:$D654,202-60):$D654),"")</f>
        <v/>
      </c>
      <c r="N654" s="52" t="str">
        <f aca="false">IF(AND(ISNUMBER($G654),$G654&gt;=60),MIN(INDEX($E$454:$E654,202-60):$E654),"")</f>
        <v/>
      </c>
      <c r="O654" s="53" t="str">
        <f aca="false">IF(OR(NOT(ISNUMBER($C654)),NOT(ISNUMBER($M654)),$M654=0),"",$C654/$M654-1)</f>
        <v/>
      </c>
    </row>
    <row r="655" customFormat="false" ht="15" hidden="false" customHeight="false" outlineLevel="0" collapsed="false">
      <c r="A655" s="55"/>
      <c r="B655" s="56"/>
      <c r="C655" s="57"/>
      <c r="D655" s="56"/>
      <c r="E655" s="56"/>
      <c r="F655" s="56"/>
      <c r="G655" s="50" t="str">
        <f aca="false">IF($A655="","",IF(ISNUMBER($G654),$G654+1,1))</f>
        <v/>
      </c>
      <c r="H655" s="51" t="str">
        <f aca="false">IF(OR(NOT(ISNUMBER($G655)),$G655&lt;2,NOT(ISNUMBER($C654)),$C654=0),"",$C655/$C654-1)</f>
        <v/>
      </c>
      <c r="I655" s="52" t="str">
        <f aca="false">IF(AND(ISNUMBER($G655),$G655&gt;=MA_SHORT),AVERAGE(INDEX($C$255:$C655,402-MA_SHORT):$C655),"")</f>
        <v/>
      </c>
      <c r="J655" s="52" t="str">
        <f aca="false">IF(AND(ISNUMBER($G655),$G655&gt;=MA_MED),AVERAGE(INDEX($C$255:$C655,402-MA_MED):$C655),"")</f>
        <v/>
      </c>
      <c r="K655" s="52" t="str">
        <f aca="false">IF(AND(ISNUMBER($G655),$G655&gt;=MA_LONG2),AVERAGE(INDEX($C$255:$C655,402-MA_LONG2):$C655),"")</f>
        <v/>
      </c>
      <c r="L655" s="53" t="str">
        <f aca="false">IF(AND(ISNUMBER($G655),$G655&gt;=21),STDEV(INDEX($H$595:$H655,62-20):$H655)*SQRT(245),"")</f>
        <v/>
      </c>
      <c r="M655" s="52" t="str">
        <f aca="false">IF(AND(ISNUMBER($G655),$G655&gt;=60),MAX(INDEX($D$455:$D655,202-60):$D655),"")</f>
        <v/>
      </c>
      <c r="N655" s="52" t="str">
        <f aca="false">IF(AND(ISNUMBER($G655),$G655&gt;=60),MIN(INDEX($E$455:$E655,202-60):$E655),"")</f>
        <v/>
      </c>
      <c r="O655" s="53" t="str">
        <f aca="false">IF(OR(NOT(ISNUMBER($C655)),NOT(ISNUMBER($M655)),$M655=0),"",$C655/$M655-1)</f>
        <v/>
      </c>
    </row>
    <row r="656" customFormat="false" ht="15" hidden="false" customHeight="false" outlineLevel="0" collapsed="false">
      <c r="A656" s="55"/>
      <c r="B656" s="56"/>
      <c r="C656" s="57"/>
      <c r="D656" s="56"/>
      <c r="E656" s="56"/>
      <c r="F656" s="56"/>
      <c r="G656" s="50" t="str">
        <f aca="false">IF($A656="","",IF(ISNUMBER($G655),$G655+1,1))</f>
        <v/>
      </c>
      <c r="H656" s="51" t="str">
        <f aca="false">IF(OR(NOT(ISNUMBER($G656)),$G656&lt;2,NOT(ISNUMBER($C655)),$C655=0),"",$C656/$C655-1)</f>
        <v/>
      </c>
      <c r="I656" s="52" t="str">
        <f aca="false">IF(AND(ISNUMBER($G656),$G656&gt;=MA_SHORT),AVERAGE(INDEX($C$256:$C656,402-MA_SHORT):$C656),"")</f>
        <v/>
      </c>
      <c r="J656" s="52" t="str">
        <f aca="false">IF(AND(ISNUMBER($G656),$G656&gt;=MA_MED),AVERAGE(INDEX($C$256:$C656,402-MA_MED):$C656),"")</f>
        <v/>
      </c>
      <c r="K656" s="52" t="str">
        <f aca="false">IF(AND(ISNUMBER($G656),$G656&gt;=MA_LONG2),AVERAGE(INDEX($C$256:$C656,402-MA_LONG2):$C656),"")</f>
        <v/>
      </c>
      <c r="L656" s="53" t="str">
        <f aca="false">IF(AND(ISNUMBER($G656),$G656&gt;=21),STDEV(INDEX($H$596:$H656,62-20):$H656)*SQRT(245),"")</f>
        <v/>
      </c>
      <c r="M656" s="52" t="str">
        <f aca="false">IF(AND(ISNUMBER($G656),$G656&gt;=60),MAX(INDEX($D$456:$D656,202-60):$D656),"")</f>
        <v/>
      </c>
      <c r="N656" s="52" t="str">
        <f aca="false">IF(AND(ISNUMBER($G656),$G656&gt;=60),MIN(INDEX($E$456:$E656,202-60):$E656),"")</f>
        <v/>
      </c>
      <c r="O656" s="53" t="str">
        <f aca="false">IF(OR(NOT(ISNUMBER($C656)),NOT(ISNUMBER($M656)),$M656=0),"",$C656/$M656-1)</f>
        <v/>
      </c>
    </row>
    <row r="657" customFormat="false" ht="15" hidden="false" customHeight="false" outlineLevel="0" collapsed="false">
      <c r="A657" s="55"/>
      <c r="B657" s="56"/>
      <c r="C657" s="57"/>
      <c r="D657" s="56"/>
      <c r="E657" s="56"/>
      <c r="F657" s="56"/>
      <c r="G657" s="50" t="str">
        <f aca="false">IF($A657="","",IF(ISNUMBER($G656),$G656+1,1))</f>
        <v/>
      </c>
      <c r="H657" s="51" t="str">
        <f aca="false">IF(OR(NOT(ISNUMBER($G657)),$G657&lt;2,NOT(ISNUMBER($C656)),$C656=0),"",$C657/$C656-1)</f>
        <v/>
      </c>
      <c r="I657" s="52" t="str">
        <f aca="false">IF(AND(ISNUMBER($G657),$G657&gt;=MA_SHORT),AVERAGE(INDEX($C$257:$C657,402-MA_SHORT):$C657),"")</f>
        <v/>
      </c>
      <c r="J657" s="52" t="str">
        <f aca="false">IF(AND(ISNUMBER($G657),$G657&gt;=MA_MED),AVERAGE(INDEX($C$257:$C657,402-MA_MED):$C657),"")</f>
        <v/>
      </c>
      <c r="K657" s="52" t="str">
        <f aca="false">IF(AND(ISNUMBER($G657),$G657&gt;=MA_LONG2),AVERAGE(INDEX($C$257:$C657,402-MA_LONG2):$C657),"")</f>
        <v/>
      </c>
      <c r="L657" s="53" t="str">
        <f aca="false">IF(AND(ISNUMBER($G657),$G657&gt;=21),STDEV(INDEX($H$597:$H657,62-20):$H657)*SQRT(245),"")</f>
        <v/>
      </c>
      <c r="M657" s="52" t="str">
        <f aca="false">IF(AND(ISNUMBER($G657),$G657&gt;=60),MAX(INDEX($D$457:$D657,202-60):$D657),"")</f>
        <v/>
      </c>
      <c r="N657" s="52" t="str">
        <f aca="false">IF(AND(ISNUMBER($G657),$G657&gt;=60),MIN(INDEX($E$457:$E657,202-60):$E657),"")</f>
        <v/>
      </c>
      <c r="O657" s="53" t="str">
        <f aca="false">IF(OR(NOT(ISNUMBER($C657)),NOT(ISNUMBER($M657)),$M657=0),"",$C657/$M657-1)</f>
        <v/>
      </c>
    </row>
    <row r="658" customFormat="false" ht="15" hidden="false" customHeight="false" outlineLevel="0" collapsed="false">
      <c r="A658" s="55"/>
      <c r="B658" s="56"/>
      <c r="C658" s="57"/>
      <c r="D658" s="56"/>
      <c r="E658" s="56"/>
      <c r="F658" s="56"/>
      <c r="G658" s="50" t="str">
        <f aca="false">IF($A658="","",IF(ISNUMBER($G657),$G657+1,1))</f>
        <v/>
      </c>
      <c r="H658" s="51" t="str">
        <f aca="false">IF(OR(NOT(ISNUMBER($G658)),$G658&lt;2,NOT(ISNUMBER($C657)),$C657=0),"",$C658/$C657-1)</f>
        <v/>
      </c>
      <c r="I658" s="52" t="str">
        <f aca="false">IF(AND(ISNUMBER($G658),$G658&gt;=MA_SHORT),AVERAGE(INDEX($C$258:$C658,402-MA_SHORT):$C658),"")</f>
        <v/>
      </c>
      <c r="J658" s="52" t="str">
        <f aca="false">IF(AND(ISNUMBER($G658),$G658&gt;=MA_MED),AVERAGE(INDEX($C$258:$C658,402-MA_MED):$C658),"")</f>
        <v/>
      </c>
      <c r="K658" s="52" t="str">
        <f aca="false">IF(AND(ISNUMBER($G658),$G658&gt;=MA_LONG2),AVERAGE(INDEX($C$258:$C658,402-MA_LONG2):$C658),"")</f>
        <v/>
      </c>
      <c r="L658" s="53" t="str">
        <f aca="false">IF(AND(ISNUMBER($G658),$G658&gt;=21),STDEV(INDEX($H$598:$H658,62-20):$H658)*SQRT(245),"")</f>
        <v/>
      </c>
      <c r="M658" s="52" t="str">
        <f aca="false">IF(AND(ISNUMBER($G658),$G658&gt;=60),MAX(INDEX($D$458:$D658,202-60):$D658),"")</f>
        <v/>
      </c>
      <c r="N658" s="52" t="str">
        <f aca="false">IF(AND(ISNUMBER($G658),$G658&gt;=60),MIN(INDEX($E$458:$E658,202-60):$E658),"")</f>
        <v/>
      </c>
      <c r="O658" s="53" t="str">
        <f aca="false">IF(OR(NOT(ISNUMBER($C658)),NOT(ISNUMBER($M658)),$M658=0),"",$C658/$M658-1)</f>
        <v/>
      </c>
    </row>
    <row r="659" customFormat="false" ht="15" hidden="false" customHeight="false" outlineLevel="0" collapsed="false">
      <c r="A659" s="55"/>
      <c r="B659" s="56"/>
      <c r="C659" s="57"/>
      <c r="D659" s="56"/>
      <c r="E659" s="56"/>
      <c r="F659" s="56"/>
      <c r="G659" s="50" t="str">
        <f aca="false">IF($A659="","",IF(ISNUMBER($G658),$G658+1,1))</f>
        <v/>
      </c>
      <c r="H659" s="51" t="str">
        <f aca="false">IF(OR(NOT(ISNUMBER($G659)),$G659&lt;2,NOT(ISNUMBER($C658)),$C658=0),"",$C659/$C658-1)</f>
        <v/>
      </c>
      <c r="I659" s="52" t="str">
        <f aca="false">IF(AND(ISNUMBER($G659),$G659&gt;=MA_SHORT),AVERAGE(INDEX($C$259:$C659,402-MA_SHORT):$C659),"")</f>
        <v/>
      </c>
      <c r="J659" s="52" t="str">
        <f aca="false">IF(AND(ISNUMBER($G659),$G659&gt;=MA_MED),AVERAGE(INDEX($C$259:$C659,402-MA_MED):$C659),"")</f>
        <v/>
      </c>
      <c r="K659" s="52" t="str">
        <f aca="false">IF(AND(ISNUMBER($G659),$G659&gt;=MA_LONG2),AVERAGE(INDEX($C$259:$C659,402-MA_LONG2):$C659),"")</f>
        <v/>
      </c>
      <c r="L659" s="53" t="str">
        <f aca="false">IF(AND(ISNUMBER($G659),$G659&gt;=21),STDEV(INDEX($H$599:$H659,62-20):$H659)*SQRT(245),"")</f>
        <v/>
      </c>
      <c r="M659" s="52" t="str">
        <f aca="false">IF(AND(ISNUMBER($G659),$G659&gt;=60),MAX(INDEX($D$459:$D659,202-60):$D659),"")</f>
        <v/>
      </c>
      <c r="N659" s="52" t="str">
        <f aca="false">IF(AND(ISNUMBER($G659),$G659&gt;=60),MIN(INDEX($E$459:$E659,202-60):$E659),"")</f>
        <v/>
      </c>
      <c r="O659" s="53" t="str">
        <f aca="false">IF(OR(NOT(ISNUMBER($C659)),NOT(ISNUMBER($M659)),$M659=0),"",$C659/$M659-1)</f>
        <v/>
      </c>
    </row>
    <row r="660" customFormat="false" ht="15" hidden="false" customHeight="false" outlineLevel="0" collapsed="false">
      <c r="A660" s="55"/>
      <c r="B660" s="56"/>
      <c r="C660" s="57"/>
      <c r="D660" s="56"/>
      <c r="E660" s="56"/>
      <c r="F660" s="56"/>
      <c r="G660" s="50" t="str">
        <f aca="false">IF($A660="","",IF(ISNUMBER($G659),$G659+1,1))</f>
        <v/>
      </c>
      <c r="H660" s="51" t="str">
        <f aca="false">IF(OR(NOT(ISNUMBER($G660)),$G660&lt;2,NOT(ISNUMBER($C659)),$C659=0),"",$C660/$C659-1)</f>
        <v/>
      </c>
      <c r="I660" s="52" t="str">
        <f aca="false">IF(AND(ISNUMBER($G660),$G660&gt;=MA_SHORT),AVERAGE(INDEX($C$260:$C660,402-MA_SHORT):$C660),"")</f>
        <v/>
      </c>
      <c r="J660" s="52" t="str">
        <f aca="false">IF(AND(ISNUMBER($G660),$G660&gt;=MA_MED),AVERAGE(INDEX($C$260:$C660,402-MA_MED):$C660),"")</f>
        <v/>
      </c>
      <c r="K660" s="52" t="str">
        <f aca="false">IF(AND(ISNUMBER($G660),$G660&gt;=MA_LONG2),AVERAGE(INDEX($C$260:$C660,402-MA_LONG2):$C660),"")</f>
        <v/>
      </c>
      <c r="L660" s="53" t="str">
        <f aca="false">IF(AND(ISNUMBER($G660),$G660&gt;=21),STDEV(INDEX($H$600:$H660,62-20):$H660)*SQRT(245),"")</f>
        <v/>
      </c>
      <c r="M660" s="52" t="str">
        <f aca="false">IF(AND(ISNUMBER($G660),$G660&gt;=60),MAX(INDEX($D$460:$D660,202-60):$D660),"")</f>
        <v/>
      </c>
      <c r="N660" s="52" t="str">
        <f aca="false">IF(AND(ISNUMBER($G660),$G660&gt;=60),MIN(INDEX($E$460:$E660,202-60):$E660),"")</f>
        <v/>
      </c>
      <c r="O660" s="53" t="str">
        <f aca="false">IF(OR(NOT(ISNUMBER($C660)),NOT(ISNUMBER($M660)),$M660=0),"",$C660/$M660-1)</f>
        <v/>
      </c>
    </row>
    <row r="661" customFormat="false" ht="15" hidden="false" customHeight="false" outlineLevel="0" collapsed="false">
      <c r="A661" s="55"/>
      <c r="B661" s="56"/>
      <c r="C661" s="57"/>
      <c r="D661" s="56"/>
      <c r="E661" s="56"/>
      <c r="F661" s="56"/>
      <c r="G661" s="50" t="str">
        <f aca="false">IF($A661="","",IF(ISNUMBER($G660),$G660+1,1))</f>
        <v/>
      </c>
      <c r="H661" s="51" t="str">
        <f aca="false">IF(OR(NOT(ISNUMBER($G661)),$G661&lt;2,NOT(ISNUMBER($C660)),$C660=0),"",$C661/$C660-1)</f>
        <v/>
      </c>
      <c r="I661" s="52" t="str">
        <f aca="false">IF(AND(ISNUMBER($G661),$G661&gt;=MA_SHORT),AVERAGE(INDEX($C$261:$C661,402-MA_SHORT):$C661),"")</f>
        <v/>
      </c>
      <c r="J661" s="52" t="str">
        <f aca="false">IF(AND(ISNUMBER($G661),$G661&gt;=MA_MED),AVERAGE(INDEX($C$261:$C661,402-MA_MED):$C661),"")</f>
        <v/>
      </c>
      <c r="K661" s="52" t="str">
        <f aca="false">IF(AND(ISNUMBER($G661),$G661&gt;=MA_LONG2),AVERAGE(INDEX($C$261:$C661,402-MA_LONG2):$C661),"")</f>
        <v/>
      </c>
      <c r="L661" s="53" t="str">
        <f aca="false">IF(AND(ISNUMBER($G661),$G661&gt;=21),STDEV(INDEX($H$601:$H661,62-20):$H661)*SQRT(245),"")</f>
        <v/>
      </c>
      <c r="M661" s="52" t="str">
        <f aca="false">IF(AND(ISNUMBER($G661),$G661&gt;=60),MAX(INDEX($D$461:$D661,202-60):$D661),"")</f>
        <v/>
      </c>
      <c r="N661" s="52" t="str">
        <f aca="false">IF(AND(ISNUMBER($G661),$G661&gt;=60),MIN(INDEX($E$461:$E661,202-60):$E661),"")</f>
        <v/>
      </c>
      <c r="O661" s="53" t="str">
        <f aca="false">IF(OR(NOT(ISNUMBER($C661)),NOT(ISNUMBER($M661)),$M661=0),"",$C661/$M661-1)</f>
        <v/>
      </c>
    </row>
    <row r="662" customFormat="false" ht="15" hidden="false" customHeight="false" outlineLevel="0" collapsed="false">
      <c r="A662" s="55"/>
      <c r="B662" s="56"/>
      <c r="C662" s="57"/>
      <c r="D662" s="56"/>
      <c r="E662" s="56"/>
      <c r="F662" s="56"/>
      <c r="G662" s="50" t="str">
        <f aca="false">IF($A662="","",IF(ISNUMBER($G661),$G661+1,1))</f>
        <v/>
      </c>
      <c r="H662" s="51" t="str">
        <f aca="false">IF(OR(NOT(ISNUMBER($G662)),$G662&lt;2,NOT(ISNUMBER($C661)),$C661=0),"",$C662/$C661-1)</f>
        <v/>
      </c>
      <c r="I662" s="52" t="str">
        <f aca="false">IF(AND(ISNUMBER($G662),$G662&gt;=MA_SHORT),AVERAGE(INDEX($C$262:$C662,402-MA_SHORT):$C662),"")</f>
        <v/>
      </c>
      <c r="J662" s="52" t="str">
        <f aca="false">IF(AND(ISNUMBER($G662),$G662&gt;=MA_MED),AVERAGE(INDEX($C$262:$C662,402-MA_MED):$C662),"")</f>
        <v/>
      </c>
      <c r="K662" s="52" t="str">
        <f aca="false">IF(AND(ISNUMBER($G662),$G662&gt;=MA_LONG2),AVERAGE(INDEX($C$262:$C662,402-MA_LONG2):$C662),"")</f>
        <v/>
      </c>
      <c r="L662" s="53" t="str">
        <f aca="false">IF(AND(ISNUMBER($G662),$G662&gt;=21),STDEV(INDEX($H$602:$H662,62-20):$H662)*SQRT(245),"")</f>
        <v/>
      </c>
      <c r="M662" s="52" t="str">
        <f aca="false">IF(AND(ISNUMBER($G662),$G662&gt;=60),MAX(INDEX($D$462:$D662,202-60):$D662),"")</f>
        <v/>
      </c>
      <c r="N662" s="52" t="str">
        <f aca="false">IF(AND(ISNUMBER($G662),$G662&gt;=60),MIN(INDEX($E$462:$E662,202-60):$E662),"")</f>
        <v/>
      </c>
      <c r="O662" s="53" t="str">
        <f aca="false">IF(OR(NOT(ISNUMBER($C662)),NOT(ISNUMBER($M662)),$M662=0),"",$C662/$M662-1)</f>
        <v/>
      </c>
    </row>
    <row r="663" customFormat="false" ht="15" hidden="false" customHeight="false" outlineLevel="0" collapsed="false">
      <c r="A663" s="55"/>
      <c r="B663" s="56"/>
      <c r="C663" s="57"/>
      <c r="D663" s="56"/>
      <c r="E663" s="56"/>
      <c r="F663" s="56"/>
      <c r="G663" s="50" t="str">
        <f aca="false">IF($A663="","",IF(ISNUMBER($G662),$G662+1,1))</f>
        <v/>
      </c>
      <c r="H663" s="51" t="str">
        <f aca="false">IF(OR(NOT(ISNUMBER($G663)),$G663&lt;2,NOT(ISNUMBER($C662)),$C662=0),"",$C663/$C662-1)</f>
        <v/>
      </c>
      <c r="I663" s="52" t="str">
        <f aca="false">IF(AND(ISNUMBER($G663),$G663&gt;=MA_SHORT),AVERAGE(INDEX($C$263:$C663,402-MA_SHORT):$C663),"")</f>
        <v/>
      </c>
      <c r="J663" s="52" t="str">
        <f aca="false">IF(AND(ISNUMBER($G663),$G663&gt;=MA_MED),AVERAGE(INDEX($C$263:$C663,402-MA_MED):$C663),"")</f>
        <v/>
      </c>
      <c r="K663" s="52" t="str">
        <f aca="false">IF(AND(ISNUMBER($G663),$G663&gt;=MA_LONG2),AVERAGE(INDEX($C$263:$C663,402-MA_LONG2):$C663),"")</f>
        <v/>
      </c>
      <c r="L663" s="53" t="str">
        <f aca="false">IF(AND(ISNUMBER($G663),$G663&gt;=21),STDEV(INDEX($H$603:$H663,62-20):$H663)*SQRT(245),"")</f>
        <v/>
      </c>
      <c r="M663" s="52" t="str">
        <f aca="false">IF(AND(ISNUMBER($G663),$G663&gt;=60),MAX(INDEX($D$463:$D663,202-60):$D663),"")</f>
        <v/>
      </c>
      <c r="N663" s="52" t="str">
        <f aca="false">IF(AND(ISNUMBER($G663),$G663&gt;=60),MIN(INDEX($E$463:$E663,202-60):$E663),"")</f>
        <v/>
      </c>
      <c r="O663" s="53" t="str">
        <f aca="false">IF(OR(NOT(ISNUMBER($C663)),NOT(ISNUMBER($M663)),$M663=0),"",$C663/$M663-1)</f>
        <v/>
      </c>
    </row>
    <row r="664" customFormat="false" ht="15" hidden="false" customHeight="false" outlineLevel="0" collapsed="false">
      <c r="A664" s="55"/>
      <c r="B664" s="56"/>
      <c r="C664" s="57"/>
      <c r="D664" s="56"/>
      <c r="E664" s="56"/>
      <c r="F664" s="56"/>
      <c r="G664" s="50" t="str">
        <f aca="false">IF($A664="","",IF(ISNUMBER($G663),$G663+1,1))</f>
        <v/>
      </c>
      <c r="H664" s="51" t="str">
        <f aca="false">IF(OR(NOT(ISNUMBER($G664)),$G664&lt;2,NOT(ISNUMBER($C663)),$C663=0),"",$C664/$C663-1)</f>
        <v/>
      </c>
      <c r="I664" s="52" t="str">
        <f aca="false">IF(AND(ISNUMBER($G664),$G664&gt;=MA_SHORT),AVERAGE(INDEX($C$264:$C664,402-MA_SHORT):$C664),"")</f>
        <v/>
      </c>
      <c r="J664" s="52" t="str">
        <f aca="false">IF(AND(ISNUMBER($G664),$G664&gt;=MA_MED),AVERAGE(INDEX($C$264:$C664,402-MA_MED):$C664),"")</f>
        <v/>
      </c>
      <c r="K664" s="52" t="str">
        <f aca="false">IF(AND(ISNUMBER($G664),$G664&gt;=MA_LONG2),AVERAGE(INDEX($C$264:$C664,402-MA_LONG2):$C664),"")</f>
        <v/>
      </c>
      <c r="L664" s="53" t="str">
        <f aca="false">IF(AND(ISNUMBER($G664),$G664&gt;=21),STDEV(INDEX($H$604:$H664,62-20):$H664)*SQRT(245),"")</f>
        <v/>
      </c>
      <c r="M664" s="52" t="str">
        <f aca="false">IF(AND(ISNUMBER($G664),$G664&gt;=60),MAX(INDEX($D$464:$D664,202-60):$D664),"")</f>
        <v/>
      </c>
      <c r="N664" s="52" t="str">
        <f aca="false">IF(AND(ISNUMBER($G664),$G664&gt;=60),MIN(INDEX($E$464:$E664,202-60):$E664),"")</f>
        <v/>
      </c>
      <c r="O664" s="53" t="str">
        <f aca="false">IF(OR(NOT(ISNUMBER($C664)),NOT(ISNUMBER($M664)),$M664=0),"",$C664/$M664-1)</f>
        <v/>
      </c>
    </row>
    <row r="665" customFormat="false" ht="15" hidden="false" customHeight="false" outlineLevel="0" collapsed="false">
      <c r="A665" s="55"/>
      <c r="B665" s="56"/>
      <c r="C665" s="57"/>
      <c r="D665" s="56"/>
      <c r="E665" s="56"/>
      <c r="F665" s="56"/>
      <c r="G665" s="50" t="str">
        <f aca="false">IF($A665="","",IF(ISNUMBER($G664),$G664+1,1))</f>
        <v/>
      </c>
      <c r="H665" s="51" t="str">
        <f aca="false">IF(OR(NOT(ISNUMBER($G665)),$G665&lt;2,NOT(ISNUMBER($C664)),$C664=0),"",$C665/$C664-1)</f>
        <v/>
      </c>
      <c r="I665" s="52" t="str">
        <f aca="false">IF(AND(ISNUMBER($G665),$G665&gt;=MA_SHORT),AVERAGE(INDEX($C$265:$C665,402-MA_SHORT):$C665),"")</f>
        <v/>
      </c>
      <c r="J665" s="52" t="str">
        <f aca="false">IF(AND(ISNUMBER($G665),$G665&gt;=MA_MED),AVERAGE(INDEX($C$265:$C665,402-MA_MED):$C665),"")</f>
        <v/>
      </c>
      <c r="K665" s="52" t="str">
        <f aca="false">IF(AND(ISNUMBER($G665),$G665&gt;=MA_LONG2),AVERAGE(INDEX($C$265:$C665,402-MA_LONG2):$C665),"")</f>
        <v/>
      </c>
      <c r="L665" s="53" t="str">
        <f aca="false">IF(AND(ISNUMBER($G665),$G665&gt;=21),STDEV(INDEX($H$605:$H665,62-20):$H665)*SQRT(245),"")</f>
        <v/>
      </c>
      <c r="M665" s="52" t="str">
        <f aca="false">IF(AND(ISNUMBER($G665),$G665&gt;=60),MAX(INDEX($D$465:$D665,202-60):$D665),"")</f>
        <v/>
      </c>
      <c r="N665" s="52" t="str">
        <f aca="false">IF(AND(ISNUMBER($G665),$G665&gt;=60),MIN(INDEX($E$465:$E665,202-60):$E665),"")</f>
        <v/>
      </c>
      <c r="O665" s="53" t="str">
        <f aca="false">IF(OR(NOT(ISNUMBER($C665)),NOT(ISNUMBER($M665)),$M665=0),"",$C665/$M665-1)</f>
        <v/>
      </c>
    </row>
    <row r="666" customFormat="false" ht="15" hidden="false" customHeight="false" outlineLevel="0" collapsed="false">
      <c r="A666" s="55"/>
      <c r="B666" s="56"/>
      <c r="C666" s="57"/>
      <c r="D666" s="56"/>
      <c r="E666" s="56"/>
      <c r="F666" s="56"/>
      <c r="G666" s="50" t="str">
        <f aca="false">IF($A666="","",IF(ISNUMBER($G665),$G665+1,1))</f>
        <v/>
      </c>
      <c r="H666" s="51" t="str">
        <f aca="false">IF(OR(NOT(ISNUMBER($G666)),$G666&lt;2,NOT(ISNUMBER($C665)),$C665=0),"",$C666/$C665-1)</f>
        <v/>
      </c>
      <c r="I666" s="52" t="str">
        <f aca="false">IF(AND(ISNUMBER($G666),$G666&gt;=MA_SHORT),AVERAGE(INDEX($C$266:$C666,402-MA_SHORT):$C666),"")</f>
        <v/>
      </c>
      <c r="J666" s="52" t="str">
        <f aca="false">IF(AND(ISNUMBER($G666),$G666&gt;=MA_MED),AVERAGE(INDEX($C$266:$C666,402-MA_MED):$C666),"")</f>
        <v/>
      </c>
      <c r="K666" s="52" t="str">
        <f aca="false">IF(AND(ISNUMBER($G666),$G666&gt;=MA_LONG2),AVERAGE(INDEX($C$266:$C666,402-MA_LONG2):$C666),"")</f>
        <v/>
      </c>
      <c r="L666" s="53" t="str">
        <f aca="false">IF(AND(ISNUMBER($G666),$G666&gt;=21),STDEV(INDEX($H$606:$H666,62-20):$H666)*SQRT(245),"")</f>
        <v/>
      </c>
      <c r="M666" s="52" t="str">
        <f aca="false">IF(AND(ISNUMBER($G666),$G666&gt;=60),MAX(INDEX($D$466:$D666,202-60):$D666),"")</f>
        <v/>
      </c>
      <c r="N666" s="52" t="str">
        <f aca="false">IF(AND(ISNUMBER($G666),$G666&gt;=60),MIN(INDEX($E$466:$E666,202-60):$E666),"")</f>
        <v/>
      </c>
      <c r="O666" s="53" t="str">
        <f aca="false">IF(OR(NOT(ISNUMBER($C666)),NOT(ISNUMBER($M666)),$M666=0),"",$C666/$M666-1)</f>
        <v/>
      </c>
    </row>
    <row r="667" customFormat="false" ht="15" hidden="false" customHeight="false" outlineLevel="0" collapsed="false">
      <c r="A667" s="55"/>
      <c r="B667" s="56"/>
      <c r="C667" s="57"/>
      <c r="D667" s="56"/>
      <c r="E667" s="56"/>
      <c r="F667" s="56"/>
      <c r="G667" s="50" t="str">
        <f aca="false">IF($A667="","",IF(ISNUMBER($G666),$G666+1,1))</f>
        <v/>
      </c>
      <c r="H667" s="51" t="str">
        <f aca="false">IF(OR(NOT(ISNUMBER($G667)),$G667&lt;2,NOT(ISNUMBER($C666)),$C666=0),"",$C667/$C666-1)</f>
        <v/>
      </c>
      <c r="I667" s="52" t="str">
        <f aca="false">IF(AND(ISNUMBER($G667),$G667&gt;=MA_SHORT),AVERAGE(INDEX($C$267:$C667,402-MA_SHORT):$C667),"")</f>
        <v/>
      </c>
      <c r="J667" s="52" t="str">
        <f aca="false">IF(AND(ISNUMBER($G667),$G667&gt;=MA_MED),AVERAGE(INDEX($C$267:$C667,402-MA_MED):$C667),"")</f>
        <v/>
      </c>
      <c r="K667" s="52" t="str">
        <f aca="false">IF(AND(ISNUMBER($G667),$G667&gt;=MA_LONG2),AVERAGE(INDEX($C$267:$C667,402-MA_LONG2):$C667),"")</f>
        <v/>
      </c>
      <c r="L667" s="53" t="str">
        <f aca="false">IF(AND(ISNUMBER($G667),$G667&gt;=21),STDEV(INDEX($H$607:$H667,62-20):$H667)*SQRT(245),"")</f>
        <v/>
      </c>
      <c r="M667" s="52" t="str">
        <f aca="false">IF(AND(ISNUMBER($G667),$G667&gt;=60),MAX(INDEX($D$467:$D667,202-60):$D667),"")</f>
        <v/>
      </c>
      <c r="N667" s="52" t="str">
        <f aca="false">IF(AND(ISNUMBER($G667),$G667&gt;=60),MIN(INDEX($E$467:$E667,202-60):$E667),"")</f>
        <v/>
      </c>
      <c r="O667" s="53" t="str">
        <f aca="false">IF(OR(NOT(ISNUMBER($C667)),NOT(ISNUMBER($M667)),$M667=0),"",$C667/$M667-1)</f>
        <v/>
      </c>
    </row>
    <row r="668" customFormat="false" ht="15" hidden="false" customHeight="false" outlineLevel="0" collapsed="false">
      <c r="A668" s="55"/>
      <c r="B668" s="56"/>
      <c r="C668" s="57"/>
      <c r="D668" s="56"/>
      <c r="E668" s="56"/>
      <c r="F668" s="56"/>
      <c r="G668" s="50" t="str">
        <f aca="false">IF($A668="","",IF(ISNUMBER($G667),$G667+1,1))</f>
        <v/>
      </c>
      <c r="H668" s="51" t="str">
        <f aca="false">IF(OR(NOT(ISNUMBER($G668)),$G668&lt;2,NOT(ISNUMBER($C667)),$C667=0),"",$C668/$C667-1)</f>
        <v/>
      </c>
      <c r="I668" s="52" t="str">
        <f aca="false">IF(AND(ISNUMBER($G668),$G668&gt;=MA_SHORT),AVERAGE(INDEX($C$268:$C668,402-MA_SHORT):$C668),"")</f>
        <v/>
      </c>
      <c r="J668" s="52" t="str">
        <f aca="false">IF(AND(ISNUMBER($G668),$G668&gt;=MA_MED),AVERAGE(INDEX($C$268:$C668,402-MA_MED):$C668),"")</f>
        <v/>
      </c>
      <c r="K668" s="52" t="str">
        <f aca="false">IF(AND(ISNUMBER($G668),$G668&gt;=MA_LONG2),AVERAGE(INDEX($C$268:$C668,402-MA_LONG2):$C668),"")</f>
        <v/>
      </c>
      <c r="L668" s="53" t="str">
        <f aca="false">IF(AND(ISNUMBER($G668),$G668&gt;=21),STDEV(INDEX($H$608:$H668,62-20):$H668)*SQRT(245),"")</f>
        <v/>
      </c>
      <c r="M668" s="52" t="str">
        <f aca="false">IF(AND(ISNUMBER($G668),$G668&gt;=60),MAX(INDEX($D$468:$D668,202-60):$D668),"")</f>
        <v/>
      </c>
      <c r="N668" s="52" t="str">
        <f aca="false">IF(AND(ISNUMBER($G668),$G668&gt;=60),MIN(INDEX($E$468:$E668,202-60):$E668),"")</f>
        <v/>
      </c>
      <c r="O668" s="53" t="str">
        <f aca="false">IF(OR(NOT(ISNUMBER($C668)),NOT(ISNUMBER($M668)),$M668=0),"",$C668/$M668-1)</f>
        <v/>
      </c>
    </row>
    <row r="669" customFormat="false" ht="15" hidden="false" customHeight="false" outlineLevel="0" collapsed="false">
      <c r="A669" s="55"/>
      <c r="B669" s="56"/>
      <c r="C669" s="57"/>
      <c r="D669" s="56"/>
      <c r="E669" s="56"/>
      <c r="F669" s="56"/>
      <c r="G669" s="50" t="str">
        <f aca="false">IF($A669="","",IF(ISNUMBER($G668),$G668+1,1))</f>
        <v/>
      </c>
      <c r="H669" s="51" t="str">
        <f aca="false">IF(OR(NOT(ISNUMBER($G669)),$G669&lt;2,NOT(ISNUMBER($C668)),$C668=0),"",$C669/$C668-1)</f>
        <v/>
      </c>
      <c r="I669" s="52" t="str">
        <f aca="false">IF(AND(ISNUMBER($G669),$G669&gt;=MA_SHORT),AVERAGE(INDEX($C$269:$C669,402-MA_SHORT):$C669),"")</f>
        <v/>
      </c>
      <c r="J669" s="52" t="str">
        <f aca="false">IF(AND(ISNUMBER($G669),$G669&gt;=MA_MED),AVERAGE(INDEX($C$269:$C669,402-MA_MED):$C669),"")</f>
        <v/>
      </c>
      <c r="K669" s="52" t="str">
        <f aca="false">IF(AND(ISNUMBER($G669),$G669&gt;=MA_LONG2),AVERAGE(INDEX($C$269:$C669,402-MA_LONG2):$C669),"")</f>
        <v/>
      </c>
      <c r="L669" s="53" t="str">
        <f aca="false">IF(AND(ISNUMBER($G669),$G669&gt;=21),STDEV(INDEX($H$609:$H669,62-20):$H669)*SQRT(245),"")</f>
        <v/>
      </c>
      <c r="M669" s="52" t="str">
        <f aca="false">IF(AND(ISNUMBER($G669),$G669&gt;=60),MAX(INDEX($D$469:$D669,202-60):$D669),"")</f>
        <v/>
      </c>
      <c r="N669" s="52" t="str">
        <f aca="false">IF(AND(ISNUMBER($G669),$G669&gt;=60),MIN(INDEX($E$469:$E669,202-60):$E669),"")</f>
        <v/>
      </c>
      <c r="O669" s="53" t="str">
        <f aca="false">IF(OR(NOT(ISNUMBER($C669)),NOT(ISNUMBER($M669)),$M669=0),"",$C669/$M669-1)</f>
        <v/>
      </c>
    </row>
    <row r="670" customFormat="false" ht="15" hidden="false" customHeight="false" outlineLevel="0" collapsed="false">
      <c r="A670" s="55"/>
      <c r="B670" s="56"/>
      <c r="C670" s="57"/>
      <c r="D670" s="56"/>
      <c r="E670" s="56"/>
      <c r="F670" s="56"/>
      <c r="G670" s="50" t="str">
        <f aca="false">IF($A670="","",IF(ISNUMBER($G669),$G669+1,1))</f>
        <v/>
      </c>
      <c r="H670" s="51" t="str">
        <f aca="false">IF(OR(NOT(ISNUMBER($G670)),$G670&lt;2,NOT(ISNUMBER($C669)),$C669=0),"",$C670/$C669-1)</f>
        <v/>
      </c>
      <c r="I670" s="52" t="str">
        <f aca="false">IF(AND(ISNUMBER($G670),$G670&gt;=MA_SHORT),AVERAGE(INDEX($C$270:$C670,402-MA_SHORT):$C670),"")</f>
        <v/>
      </c>
      <c r="J670" s="52" t="str">
        <f aca="false">IF(AND(ISNUMBER($G670),$G670&gt;=MA_MED),AVERAGE(INDEX($C$270:$C670,402-MA_MED):$C670),"")</f>
        <v/>
      </c>
      <c r="K670" s="52" t="str">
        <f aca="false">IF(AND(ISNUMBER($G670),$G670&gt;=MA_LONG2),AVERAGE(INDEX($C$270:$C670,402-MA_LONG2):$C670),"")</f>
        <v/>
      </c>
      <c r="L670" s="53" t="str">
        <f aca="false">IF(AND(ISNUMBER($G670),$G670&gt;=21),STDEV(INDEX($H$610:$H670,62-20):$H670)*SQRT(245),"")</f>
        <v/>
      </c>
      <c r="M670" s="52" t="str">
        <f aca="false">IF(AND(ISNUMBER($G670),$G670&gt;=60),MAX(INDEX($D$470:$D670,202-60):$D670),"")</f>
        <v/>
      </c>
      <c r="N670" s="52" t="str">
        <f aca="false">IF(AND(ISNUMBER($G670),$G670&gt;=60),MIN(INDEX($E$470:$E670,202-60):$E670),"")</f>
        <v/>
      </c>
      <c r="O670" s="53" t="str">
        <f aca="false">IF(OR(NOT(ISNUMBER($C670)),NOT(ISNUMBER($M670)),$M670=0),"",$C670/$M670-1)</f>
        <v/>
      </c>
    </row>
    <row r="671" customFormat="false" ht="15" hidden="false" customHeight="false" outlineLevel="0" collapsed="false">
      <c r="A671" s="55"/>
      <c r="B671" s="56"/>
      <c r="C671" s="57"/>
      <c r="D671" s="56"/>
      <c r="E671" s="56"/>
      <c r="F671" s="56"/>
      <c r="G671" s="50" t="str">
        <f aca="false">IF($A671="","",IF(ISNUMBER($G670),$G670+1,1))</f>
        <v/>
      </c>
      <c r="H671" s="51" t="str">
        <f aca="false">IF(OR(NOT(ISNUMBER($G671)),$G671&lt;2,NOT(ISNUMBER($C670)),$C670=0),"",$C671/$C670-1)</f>
        <v/>
      </c>
      <c r="I671" s="52" t="str">
        <f aca="false">IF(AND(ISNUMBER($G671),$G671&gt;=MA_SHORT),AVERAGE(INDEX($C$271:$C671,402-MA_SHORT):$C671),"")</f>
        <v/>
      </c>
      <c r="J671" s="52" t="str">
        <f aca="false">IF(AND(ISNUMBER($G671),$G671&gt;=MA_MED),AVERAGE(INDEX($C$271:$C671,402-MA_MED):$C671),"")</f>
        <v/>
      </c>
      <c r="K671" s="52" t="str">
        <f aca="false">IF(AND(ISNUMBER($G671),$G671&gt;=MA_LONG2),AVERAGE(INDEX($C$271:$C671,402-MA_LONG2):$C671),"")</f>
        <v/>
      </c>
      <c r="L671" s="53" t="str">
        <f aca="false">IF(AND(ISNUMBER($G671),$G671&gt;=21),STDEV(INDEX($H$611:$H671,62-20):$H671)*SQRT(245),"")</f>
        <v/>
      </c>
      <c r="M671" s="52" t="str">
        <f aca="false">IF(AND(ISNUMBER($G671),$G671&gt;=60),MAX(INDEX($D$471:$D671,202-60):$D671),"")</f>
        <v/>
      </c>
      <c r="N671" s="52" t="str">
        <f aca="false">IF(AND(ISNUMBER($G671),$G671&gt;=60),MIN(INDEX($E$471:$E671,202-60):$E671),"")</f>
        <v/>
      </c>
      <c r="O671" s="53" t="str">
        <f aca="false">IF(OR(NOT(ISNUMBER($C671)),NOT(ISNUMBER($M671)),$M671=0),"",$C671/$M671-1)</f>
        <v/>
      </c>
    </row>
    <row r="672" customFormat="false" ht="15" hidden="false" customHeight="false" outlineLevel="0" collapsed="false">
      <c r="A672" s="55"/>
      <c r="B672" s="56"/>
      <c r="C672" s="57"/>
      <c r="D672" s="56"/>
      <c r="E672" s="56"/>
      <c r="F672" s="56"/>
      <c r="G672" s="50" t="str">
        <f aca="false">IF($A672="","",IF(ISNUMBER($G671),$G671+1,1))</f>
        <v/>
      </c>
      <c r="H672" s="51" t="str">
        <f aca="false">IF(OR(NOT(ISNUMBER($G672)),$G672&lt;2,NOT(ISNUMBER($C671)),$C671=0),"",$C672/$C671-1)</f>
        <v/>
      </c>
      <c r="I672" s="52" t="str">
        <f aca="false">IF(AND(ISNUMBER($G672),$G672&gt;=MA_SHORT),AVERAGE(INDEX($C$272:$C672,402-MA_SHORT):$C672),"")</f>
        <v/>
      </c>
      <c r="J672" s="52" t="str">
        <f aca="false">IF(AND(ISNUMBER($G672),$G672&gt;=MA_MED),AVERAGE(INDEX($C$272:$C672,402-MA_MED):$C672),"")</f>
        <v/>
      </c>
      <c r="K672" s="52" t="str">
        <f aca="false">IF(AND(ISNUMBER($G672),$G672&gt;=MA_LONG2),AVERAGE(INDEX($C$272:$C672,402-MA_LONG2):$C672),"")</f>
        <v/>
      </c>
      <c r="L672" s="53" t="str">
        <f aca="false">IF(AND(ISNUMBER($G672),$G672&gt;=21),STDEV(INDEX($H$612:$H672,62-20):$H672)*SQRT(245),"")</f>
        <v/>
      </c>
      <c r="M672" s="52" t="str">
        <f aca="false">IF(AND(ISNUMBER($G672),$G672&gt;=60),MAX(INDEX($D$472:$D672,202-60):$D672),"")</f>
        <v/>
      </c>
      <c r="N672" s="52" t="str">
        <f aca="false">IF(AND(ISNUMBER($G672),$G672&gt;=60),MIN(INDEX($E$472:$E672,202-60):$E672),"")</f>
        <v/>
      </c>
      <c r="O672" s="53" t="str">
        <f aca="false">IF(OR(NOT(ISNUMBER($C672)),NOT(ISNUMBER($M672)),$M672=0),"",$C672/$M672-1)</f>
        <v/>
      </c>
    </row>
    <row r="673" customFormat="false" ht="15" hidden="false" customHeight="false" outlineLevel="0" collapsed="false">
      <c r="A673" s="55"/>
      <c r="B673" s="56"/>
      <c r="C673" s="57"/>
      <c r="D673" s="56"/>
      <c r="E673" s="56"/>
      <c r="F673" s="56"/>
      <c r="G673" s="50" t="str">
        <f aca="false">IF($A673="","",IF(ISNUMBER($G672),$G672+1,1))</f>
        <v/>
      </c>
      <c r="H673" s="51" t="str">
        <f aca="false">IF(OR(NOT(ISNUMBER($G673)),$G673&lt;2,NOT(ISNUMBER($C672)),$C672=0),"",$C673/$C672-1)</f>
        <v/>
      </c>
      <c r="I673" s="52" t="str">
        <f aca="false">IF(AND(ISNUMBER($G673),$G673&gt;=MA_SHORT),AVERAGE(INDEX($C$273:$C673,402-MA_SHORT):$C673),"")</f>
        <v/>
      </c>
      <c r="J673" s="52" t="str">
        <f aca="false">IF(AND(ISNUMBER($G673),$G673&gt;=MA_MED),AVERAGE(INDEX($C$273:$C673,402-MA_MED):$C673),"")</f>
        <v/>
      </c>
      <c r="K673" s="52" t="str">
        <f aca="false">IF(AND(ISNUMBER($G673),$G673&gt;=MA_LONG2),AVERAGE(INDEX($C$273:$C673,402-MA_LONG2):$C673),"")</f>
        <v/>
      </c>
      <c r="L673" s="53" t="str">
        <f aca="false">IF(AND(ISNUMBER($G673),$G673&gt;=21),STDEV(INDEX($H$613:$H673,62-20):$H673)*SQRT(245),"")</f>
        <v/>
      </c>
      <c r="M673" s="52" t="str">
        <f aca="false">IF(AND(ISNUMBER($G673),$G673&gt;=60),MAX(INDEX($D$473:$D673,202-60):$D673),"")</f>
        <v/>
      </c>
      <c r="N673" s="52" t="str">
        <f aca="false">IF(AND(ISNUMBER($G673),$G673&gt;=60),MIN(INDEX($E$473:$E673,202-60):$E673),"")</f>
        <v/>
      </c>
      <c r="O673" s="53" t="str">
        <f aca="false">IF(OR(NOT(ISNUMBER($C673)),NOT(ISNUMBER($M673)),$M673=0),"",$C673/$M673-1)</f>
        <v/>
      </c>
    </row>
    <row r="674" customFormat="false" ht="15" hidden="false" customHeight="false" outlineLevel="0" collapsed="false">
      <c r="A674" s="55"/>
      <c r="B674" s="56"/>
      <c r="C674" s="57"/>
      <c r="D674" s="56"/>
      <c r="E674" s="56"/>
      <c r="F674" s="56"/>
      <c r="G674" s="50" t="str">
        <f aca="false">IF($A674="","",IF(ISNUMBER($G673),$G673+1,1))</f>
        <v/>
      </c>
      <c r="H674" s="51" t="str">
        <f aca="false">IF(OR(NOT(ISNUMBER($G674)),$G674&lt;2,NOT(ISNUMBER($C673)),$C673=0),"",$C674/$C673-1)</f>
        <v/>
      </c>
      <c r="I674" s="52" t="str">
        <f aca="false">IF(AND(ISNUMBER($G674),$G674&gt;=MA_SHORT),AVERAGE(INDEX($C$274:$C674,402-MA_SHORT):$C674),"")</f>
        <v/>
      </c>
      <c r="J674" s="52" t="str">
        <f aca="false">IF(AND(ISNUMBER($G674),$G674&gt;=MA_MED),AVERAGE(INDEX($C$274:$C674,402-MA_MED):$C674),"")</f>
        <v/>
      </c>
      <c r="K674" s="52" t="str">
        <f aca="false">IF(AND(ISNUMBER($G674),$G674&gt;=MA_LONG2),AVERAGE(INDEX($C$274:$C674,402-MA_LONG2):$C674),"")</f>
        <v/>
      </c>
      <c r="L674" s="53" t="str">
        <f aca="false">IF(AND(ISNUMBER($G674),$G674&gt;=21),STDEV(INDEX($H$614:$H674,62-20):$H674)*SQRT(245),"")</f>
        <v/>
      </c>
      <c r="M674" s="52" t="str">
        <f aca="false">IF(AND(ISNUMBER($G674),$G674&gt;=60),MAX(INDEX($D$474:$D674,202-60):$D674),"")</f>
        <v/>
      </c>
      <c r="N674" s="52" t="str">
        <f aca="false">IF(AND(ISNUMBER($G674),$G674&gt;=60),MIN(INDEX($E$474:$E674,202-60):$E674),"")</f>
        <v/>
      </c>
      <c r="O674" s="53" t="str">
        <f aca="false">IF(OR(NOT(ISNUMBER($C674)),NOT(ISNUMBER($M674)),$M674=0),"",$C674/$M674-1)</f>
        <v/>
      </c>
    </row>
    <row r="675" customFormat="false" ht="15" hidden="false" customHeight="false" outlineLevel="0" collapsed="false">
      <c r="A675" s="55"/>
      <c r="B675" s="56"/>
      <c r="C675" s="57"/>
      <c r="D675" s="56"/>
      <c r="E675" s="56"/>
      <c r="F675" s="56"/>
      <c r="G675" s="50" t="str">
        <f aca="false">IF($A675="","",IF(ISNUMBER($G674),$G674+1,1))</f>
        <v/>
      </c>
      <c r="H675" s="51" t="str">
        <f aca="false">IF(OR(NOT(ISNUMBER($G675)),$G675&lt;2,NOT(ISNUMBER($C674)),$C674=0),"",$C675/$C674-1)</f>
        <v/>
      </c>
      <c r="I675" s="52" t="str">
        <f aca="false">IF(AND(ISNUMBER($G675),$G675&gt;=MA_SHORT),AVERAGE(INDEX($C$275:$C675,402-MA_SHORT):$C675),"")</f>
        <v/>
      </c>
      <c r="J675" s="52" t="str">
        <f aca="false">IF(AND(ISNUMBER($G675),$G675&gt;=MA_MED),AVERAGE(INDEX($C$275:$C675,402-MA_MED):$C675),"")</f>
        <v/>
      </c>
      <c r="K675" s="52" t="str">
        <f aca="false">IF(AND(ISNUMBER($G675),$G675&gt;=MA_LONG2),AVERAGE(INDEX($C$275:$C675,402-MA_LONG2):$C675),"")</f>
        <v/>
      </c>
      <c r="L675" s="53" t="str">
        <f aca="false">IF(AND(ISNUMBER($G675),$G675&gt;=21),STDEV(INDEX($H$615:$H675,62-20):$H675)*SQRT(245),"")</f>
        <v/>
      </c>
      <c r="M675" s="52" t="str">
        <f aca="false">IF(AND(ISNUMBER($G675),$G675&gt;=60),MAX(INDEX($D$475:$D675,202-60):$D675),"")</f>
        <v/>
      </c>
      <c r="N675" s="52" t="str">
        <f aca="false">IF(AND(ISNUMBER($G675),$G675&gt;=60),MIN(INDEX($E$475:$E675,202-60):$E675),"")</f>
        <v/>
      </c>
      <c r="O675" s="53" t="str">
        <f aca="false">IF(OR(NOT(ISNUMBER($C675)),NOT(ISNUMBER($M675)),$M675=0),"",$C675/$M675-1)</f>
        <v/>
      </c>
    </row>
    <row r="676" customFormat="false" ht="15" hidden="false" customHeight="false" outlineLevel="0" collapsed="false">
      <c r="A676" s="55"/>
      <c r="B676" s="56"/>
      <c r="C676" s="57"/>
      <c r="D676" s="56"/>
      <c r="E676" s="56"/>
      <c r="F676" s="56"/>
      <c r="G676" s="50" t="str">
        <f aca="false">IF($A676="","",IF(ISNUMBER($G675),$G675+1,1))</f>
        <v/>
      </c>
      <c r="H676" s="51" t="str">
        <f aca="false">IF(OR(NOT(ISNUMBER($G676)),$G676&lt;2,NOT(ISNUMBER($C675)),$C675=0),"",$C676/$C675-1)</f>
        <v/>
      </c>
      <c r="I676" s="52" t="str">
        <f aca="false">IF(AND(ISNUMBER($G676),$G676&gt;=MA_SHORT),AVERAGE(INDEX($C$276:$C676,402-MA_SHORT):$C676),"")</f>
        <v/>
      </c>
      <c r="J676" s="52" t="str">
        <f aca="false">IF(AND(ISNUMBER($G676),$G676&gt;=MA_MED),AVERAGE(INDEX($C$276:$C676,402-MA_MED):$C676),"")</f>
        <v/>
      </c>
      <c r="K676" s="52" t="str">
        <f aca="false">IF(AND(ISNUMBER($G676),$G676&gt;=MA_LONG2),AVERAGE(INDEX($C$276:$C676,402-MA_LONG2):$C676),"")</f>
        <v/>
      </c>
      <c r="L676" s="53" t="str">
        <f aca="false">IF(AND(ISNUMBER($G676),$G676&gt;=21),STDEV(INDEX($H$616:$H676,62-20):$H676)*SQRT(245),"")</f>
        <v/>
      </c>
      <c r="M676" s="52" t="str">
        <f aca="false">IF(AND(ISNUMBER($G676),$G676&gt;=60),MAX(INDEX($D$476:$D676,202-60):$D676),"")</f>
        <v/>
      </c>
      <c r="N676" s="52" t="str">
        <f aca="false">IF(AND(ISNUMBER($G676),$G676&gt;=60),MIN(INDEX($E$476:$E676,202-60):$E676),"")</f>
        <v/>
      </c>
      <c r="O676" s="53" t="str">
        <f aca="false">IF(OR(NOT(ISNUMBER($C676)),NOT(ISNUMBER($M676)),$M676=0),"",$C676/$M676-1)</f>
        <v/>
      </c>
    </row>
    <row r="677" customFormat="false" ht="15" hidden="false" customHeight="false" outlineLevel="0" collapsed="false">
      <c r="A677" s="55"/>
      <c r="B677" s="56"/>
      <c r="C677" s="57"/>
      <c r="D677" s="56"/>
      <c r="E677" s="56"/>
      <c r="F677" s="56"/>
      <c r="G677" s="50" t="str">
        <f aca="false">IF($A677="","",IF(ISNUMBER($G676),$G676+1,1))</f>
        <v/>
      </c>
      <c r="H677" s="51" t="str">
        <f aca="false">IF(OR(NOT(ISNUMBER($G677)),$G677&lt;2,NOT(ISNUMBER($C676)),$C676=0),"",$C677/$C676-1)</f>
        <v/>
      </c>
      <c r="I677" s="52" t="str">
        <f aca="false">IF(AND(ISNUMBER($G677),$G677&gt;=MA_SHORT),AVERAGE(INDEX($C$277:$C677,402-MA_SHORT):$C677),"")</f>
        <v/>
      </c>
      <c r="J677" s="52" t="str">
        <f aca="false">IF(AND(ISNUMBER($G677),$G677&gt;=MA_MED),AVERAGE(INDEX($C$277:$C677,402-MA_MED):$C677),"")</f>
        <v/>
      </c>
      <c r="K677" s="52" t="str">
        <f aca="false">IF(AND(ISNUMBER($G677),$G677&gt;=MA_LONG2),AVERAGE(INDEX($C$277:$C677,402-MA_LONG2):$C677),"")</f>
        <v/>
      </c>
      <c r="L677" s="53" t="str">
        <f aca="false">IF(AND(ISNUMBER($G677),$G677&gt;=21),STDEV(INDEX($H$617:$H677,62-20):$H677)*SQRT(245),"")</f>
        <v/>
      </c>
      <c r="M677" s="52" t="str">
        <f aca="false">IF(AND(ISNUMBER($G677),$G677&gt;=60),MAX(INDEX($D$477:$D677,202-60):$D677),"")</f>
        <v/>
      </c>
      <c r="N677" s="52" t="str">
        <f aca="false">IF(AND(ISNUMBER($G677),$G677&gt;=60),MIN(INDEX($E$477:$E677,202-60):$E677),"")</f>
        <v/>
      </c>
      <c r="O677" s="53" t="str">
        <f aca="false">IF(OR(NOT(ISNUMBER($C677)),NOT(ISNUMBER($M677)),$M677=0),"",$C677/$M677-1)</f>
        <v/>
      </c>
    </row>
    <row r="678" customFormat="false" ht="15" hidden="false" customHeight="false" outlineLevel="0" collapsed="false">
      <c r="A678" s="55"/>
      <c r="B678" s="56"/>
      <c r="C678" s="57"/>
      <c r="D678" s="56"/>
      <c r="E678" s="56"/>
      <c r="F678" s="56"/>
      <c r="G678" s="50" t="str">
        <f aca="false">IF($A678="","",IF(ISNUMBER($G677),$G677+1,1))</f>
        <v/>
      </c>
      <c r="H678" s="51" t="str">
        <f aca="false">IF(OR(NOT(ISNUMBER($G678)),$G678&lt;2,NOT(ISNUMBER($C677)),$C677=0),"",$C678/$C677-1)</f>
        <v/>
      </c>
      <c r="I678" s="52" t="str">
        <f aca="false">IF(AND(ISNUMBER($G678),$G678&gt;=MA_SHORT),AVERAGE(INDEX($C$278:$C678,402-MA_SHORT):$C678),"")</f>
        <v/>
      </c>
      <c r="J678" s="52" t="str">
        <f aca="false">IF(AND(ISNUMBER($G678),$G678&gt;=MA_MED),AVERAGE(INDEX($C$278:$C678,402-MA_MED):$C678),"")</f>
        <v/>
      </c>
      <c r="K678" s="52" t="str">
        <f aca="false">IF(AND(ISNUMBER($G678),$G678&gt;=MA_LONG2),AVERAGE(INDEX($C$278:$C678,402-MA_LONG2):$C678),"")</f>
        <v/>
      </c>
      <c r="L678" s="53" t="str">
        <f aca="false">IF(AND(ISNUMBER($G678),$G678&gt;=21),STDEV(INDEX($H$618:$H678,62-20):$H678)*SQRT(245),"")</f>
        <v/>
      </c>
      <c r="M678" s="52" t="str">
        <f aca="false">IF(AND(ISNUMBER($G678),$G678&gt;=60),MAX(INDEX($D$478:$D678,202-60):$D678),"")</f>
        <v/>
      </c>
      <c r="N678" s="52" t="str">
        <f aca="false">IF(AND(ISNUMBER($G678),$G678&gt;=60),MIN(INDEX($E$478:$E678,202-60):$E678),"")</f>
        <v/>
      </c>
      <c r="O678" s="53" t="str">
        <f aca="false">IF(OR(NOT(ISNUMBER($C678)),NOT(ISNUMBER($M678)),$M678=0),"",$C678/$M678-1)</f>
        <v/>
      </c>
    </row>
    <row r="679" customFormat="false" ht="15" hidden="false" customHeight="false" outlineLevel="0" collapsed="false">
      <c r="A679" s="55"/>
      <c r="B679" s="56"/>
      <c r="C679" s="57"/>
      <c r="D679" s="56"/>
      <c r="E679" s="56"/>
      <c r="F679" s="56"/>
      <c r="G679" s="50" t="str">
        <f aca="false">IF($A679="","",IF(ISNUMBER($G678),$G678+1,1))</f>
        <v/>
      </c>
      <c r="H679" s="51" t="str">
        <f aca="false">IF(OR(NOT(ISNUMBER($G679)),$G679&lt;2,NOT(ISNUMBER($C678)),$C678=0),"",$C679/$C678-1)</f>
        <v/>
      </c>
      <c r="I679" s="52" t="str">
        <f aca="false">IF(AND(ISNUMBER($G679),$G679&gt;=MA_SHORT),AVERAGE(INDEX($C$279:$C679,402-MA_SHORT):$C679),"")</f>
        <v/>
      </c>
      <c r="J679" s="52" t="str">
        <f aca="false">IF(AND(ISNUMBER($G679),$G679&gt;=MA_MED),AVERAGE(INDEX($C$279:$C679,402-MA_MED):$C679),"")</f>
        <v/>
      </c>
      <c r="K679" s="52" t="str">
        <f aca="false">IF(AND(ISNUMBER($G679),$G679&gt;=MA_LONG2),AVERAGE(INDEX($C$279:$C679,402-MA_LONG2):$C679),"")</f>
        <v/>
      </c>
      <c r="L679" s="53" t="str">
        <f aca="false">IF(AND(ISNUMBER($G679),$G679&gt;=21),STDEV(INDEX($H$619:$H679,62-20):$H679)*SQRT(245),"")</f>
        <v/>
      </c>
      <c r="M679" s="52" t="str">
        <f aca="false">IF(AND(ISNUMBER($G679),$G679&gt;=60),MAX(INDEX($D$479:$D679,202-60):$D679),"")</f>
        <v/>
      </c>
      <c r="N679" s="52" t="str">
        <f aca="false">IF(AND(ISNUMBER($G679),$G679&gt;=60),MIN(INDEX($E$479:$E679,202-60):$E679),"")</f>
        <v/>
      </c>
      <c r="O679" s="53" t="str">
        <f aca="false">IF(OR(NOT(ISNUMBER($C679)),NOT(ISNUMBER($M679)),$M679=0),"",$C679/$M679-1)</f>
        <v/>
      </c>
    </row>
    <row r="680" customFormat="false" ht="15" hidden="false" customHeight="false" outlineLevel="0" collapsed="false">
      <c r="A680" s="55"/>
      <c r="B680" s="56"/>
      <c r="C680" s="57"/>
      <c r="D680" s="56"/>
      <c r="E680" s="56"/>
      <c r="F680" s="56"/>
      <c r="G680" s="50" t="str">
        <f aca="false">IF($A680="","",IF(ISNUMBER($G679),$G679+1,1))</f>
        <v/>
      </c>
      <c r="H680" s="51" t="str">
        <f aca="false">IF(OR(NOT(ISNUMBER($G680)),$G680&lt;2,NOT(ISNUMBER($C679)),$C679=0),"",$C680/$C679-1)</f>
        <v/>
      </c>
      <c r="I680" s="52" t="str">
        <f aca="false">IF(AND(ISNUMBER($G680),$G680&gt;=MA_SHORT),AVERAGE(INDEX($C$280:$C680,402-MA_SHORT):$C680),"")</f>
        <v/>
      </c>
      <c r="J680" s="52" t="str">
        <f aca="false">IF(AND(ISNUMBER($G680),$G680&gt;=MA_MED),AVERAGE(INDEX($C$280:$C680,402-MA_MED):$C680),"")</f>
        <v/>
      </c>
      <c r="K680" s="52" t="str">
        <f aca="false">IF(AND(ISNUMBER($G680),$G680&gt;=MA_LONG2),AVERAGE(INDEX($C$280:$C680,402-MA_LONG2):$C680),"")</f>
        <v/>
      </c>
      <c r="L680" s="53" t="str">
        <f aca="false">IF(AND(ISNUMBER($G680),$G680&gt;=21),STDEV(INDEX($H$620:$H680,62-20):$H680)*SQRT(245),"")</f>
        <v/>
      </c>
      <c r="M680" s="52" t="str">
        <f aca="false">IF(AND(ISNUMBER($G680),$G680&gt;=60),MAX(INDEX($D$480:$D680,202-60):$D680),"")</f>
        <v/>
      </c>
      <c r="N680" s="52" t="str">
        <f aca="false">IF(AND(ISNUMBER($G680),$G680&gt;=60),MIN(INDEX($E$480:$E680,202-60):$E680),"")</f>
        <v/>
      </c>
      <c r="O680" s="53" t="str">
        <f aca="false">IF(OR(NOT(ISNUMBER($C680)),NOT(ISNUMBER($M680)),$M680=0),"",$C680/$M680-1)</f>
        <v/>
      </c>
    </row>
    <row r="681" customFormat="false" ht="15" hidden="false" customHeight="false" outlineLevel="0" collapsed="false">
      <c r="A681" s="55"/>
      <c r="B681" s="56"/>
      <c r="C681" s="57"/>
      <c r="D681" s="56"/>
      <c r="E681" s="56"/>
      <c r="F681" s="56"/>
      <c r="G681" s="50" t="str">
        <f aca="false">IF($A681="","",IF(ISNUMBER($G680),$G680+1,1))</f>
        <v/>
      </c>
      <c r="H681" s="51" t="str">
        <f aca="false">IF(OR(NOT(ISNUMBER($G681)),$G681&lt;2,NOT(ISNUMBER($C680)),$C680=0),"",$C681/$C680-1)</f>
        <v/>
      </c>
      <c r="I681" s="52" t="str">
        <f aca="false">IF(AND(ISNUMBER($G681),$G681&gt;=MA_SHORT),AVERAGE(INDEX($C$281:$C681,402-MA_SHORT):$C681),"")</f>
        <v/>
      </c>
      <c r="J681" s="52" t="str">
        <f aca="false">IF(AND(ISNUMBER($G681),$G681&gt;=MA_MED),AVERAGE(INDEX($C$281:$C681,402-MA_MED):$C681),"")</f>
        <v/>
      </c>
      <c r="K681" s="52" t="str">
        <f aca="false">IF(AND(ISNUMBER($G681),$G681&gt;=MA_LONG2),AVERAGE(INDEX($C$281:$C681,402-MA_LONG2):$C681),"")</f>
        <v/>
      </c>
      <c r="L681" s="53" t="str">
        <f aca="false">IF(AND(ISNUMBER($G681),$G681&gt;=21),STDEV(INDEX($H$621:$H681,62-20):$H681)*SQRT(245),"")</f>
        <v/>
      </c>
      <c r="M681" s="52" t="str">
        <f aca="false">IF(AND(ISNUMBER($G681),$G681&gt;=60),MAX(INDEX($D$481:$D681,202-60):$D681),"")</f>
        <v/>
      </c>
      <c r="N681" s="52" t="str">
        <f aca="false">IF(AND(ISNUMBER($G681),$G681&gt;=60),MIN(INDEX($E$481:$E681,202-60):$E681),"")</f>
        <v/>
      </c>
      <c r="O681" s="53" t="str">
        <f aca="false">IF(OR(NOT(ISNUMBER($C681)),NOT(ISNUMBER($M681)),$M681=0),"",$C681/$M681-1)</f>
        <v/>
      </c>
    </row>
    <row r="682" customFormat="false" ht="15" hidden="false" customHeight="false" outlineLevel="0" collapsed="false">
      <c r="A682" s="55"/>
      <c r="B682" s="56"/>
      <c r="C682" s="57"/>
      <c r="D682" s="56"/>
      <c r="E682" s="56"/>
      <c r="F682" s="56"/>
      <c r="G682" s="50" t="str">
        <f aca="false">IF($A682="","",IF(ISNUMBER($G681),$G681+1,1))</f>
        <v/>
      </c>
      <c r="H682" s="51" t="str">
        <f aca="false">IF(OR(NOT(ISNUMBER($G682)),$G682&lt;2,NOT(ISNUMBER($C681)),$C681=0),"",$C682/$C681-1)</f>
        <v/>
      </c>
      <c r="I682" s="52" t="str">
        <f aca="false">IF(AND(ISNUMBER($G682),$G682&gt;=MA_SHORT),AVERAGE(INDEX($C$282:$C682,402-MA_SHORT):$C682),"")</f>
        <v/>
      </c>
      <c r="J682" s="52" t="str">
        <f aca="false">IF(AND(ISNUMBER($G682),$G682&gt;=MA_MED),AVERAGE(INDEX($C$282:$C682,402-MA_MED):$C682),"")</f>
        <v/>
      </c>
      <c r="K682" s="52" t="str">
        <f aca="false">IF(AND(ISNUMBER($G682),$G682&gt;=MA_LONG2),AVERAGE(INDEX($C$282:$C682,402-MA_LONG2):$C682),"")</f>
        <v/>
      </c>
      <c r="L682" s="53" t="str">
        <f aca="false">IF(AND(ISNUMBER($G682),$G682&gt;=21),STDEV(INDEX($H$622:$H682,62-20):$H682)*SQRT(245),"")</f>
        <v/>
      </c>
      <c r="M682" s="52" t="str">
        <f aca="false">IF(AND(ISNUMBER($G682),$G682&gt;=60),MAX(INDEX($D$482:$D682,202-60):$D682),"")</f>
        <v/>
      </c>
      <c r="N682" s="52" t="str">
        <f aca="false">IF(AND(ISNUMBER($G682),$G682&gt;=60),MIN(INDEX($E$482:$E682,202-60):$E682),"")</f>
        <v/>
      </c>
      <c r="O682" s="53" t="str">
        <f aca="false">IF(OR(NOT(ISNUMBER($C682)),NOT(ISNUMBER($M682)),$M682=0),"",$C682/$M682-1)</f>
        <v/>
      </c>
    </row>
    <row r="683" customFormat="false" ht="15" hidden="false" customHeight="false" outlineLevel="0" collapsed="false">
      <c r="A683" s="55"/>
      <c r="B683" s="56"/>
      <c r="C683" s="57"/>
      <c r="D683" s="56"/>
      <c r="E683" s="56"/>
      <c r="F683" s="56"/>
      <c r="G683" s="50" t="str">
        <f aca="false">IF($A683="","",IF(ISNUMBER($G682),$G682+1,1))</f>
        <v/>
      </c>
      <c r="H683" s="51" t="str">
        <f aca="false">IF(OR(NOT(ISNUMBER($G683)),$G683&lt;2,NOT(ISNUMBER($C682)),$C682=0),"",$C683/$C682-1)</f>
        <v/>
      </c>
      <c r="I683" s="52" t="str">
        <f aca="false">IF(AND(ISNUMBER($G683),$G683&gt;=MA_SHORT),AVERAGE(INDEX($C$283:$C683,402-MA_SHORT):$C683),"")</f>
        <v/>
      </c>
      <c r="J683" s="52" t="str">
        <f aca="false">IF(AND(ISNUMBER($G683),$G683&gt;=MA_MED),AVERAGE(INDEX($C$283:$C683,402-MA_MED):$C683),"")</f>
        <v/>
      </c>
      <c r="K683" s="52" t="str">
        <f aca="false">IF(AND(ISNUMBER($G683),$G683&gt;=MA_LONG2),AVERAGE(INDEX($C$283:$C683,402-MA_LONG2):$C683),"")</f>
        <v/>
      </c>
      <c r="L683" s="53" t="str">
        <f aca="false">IF(AND(ISNUMBER($G683),$G683&gt;=21),STDEV(INDEX($H$623:$H683,62-20):$H683)*SQRT(245),"")</f>
        <v/>
      </c>
      <c r="M683" s="52" t="str">
        <f aca="false">IF(AND(ISNUMBER($G683),$G683&gt;=60),MAX(INDEX($D$483:$D683,202-60):$D683),"")</f>
        <v/>
      </c>
      <c r="N683" s="52" t="str">
        <f aca="false">IF(AND(ISNUMBER($G683),$G683&gt;=60),MIN(INDEX($E$483:$E683,202-60):$E683),"")</f>
        <v/>
      </c>
      <c r="O683" s="53" t="str">
        <f aca="false">IF(OR(NOT(ISNUMBER($C683)),NOT(ISNUMBER($M683)),$M683=0),"",$C683/$M683-1)</f>
        <v/>
      </c>
    </row>
    <row r="684" customFormat="false" ht="15" hidden="false" customHeight="false" outlineLevel="0" collapsed="false">
      <c r="A684" s="55"/>
      <c r="B684" s="56"/>
      <c r="C684" s="57"/>
      <c r="D684" s="56"/>
      <c r="E684" s="56"/>
      <c r="F684" s="56"/>
      <c r="G684" s="50" t="str">
        <f aca="false">IF($A684="","",IF(ISNUMBER($G683),$G683+1,1))</f>
        <v/>
      </c>
      <c r="H684" s="51" t="str">
        <f aca="false">IF(OR(NOT(ISNUMBER($G684)),$G684&lt;2,NOT(ISNUMBER($C683)),$C683=0),"",$C684/$C683-1)</f>
        <v/>
      </c>
      <c r="I684" s="52" t="str">
        <f aca="false">IF(AND(ISNUMBER($G684),$G684&gt;=MA_SHORT),AVERAGE(INDEX($C$284:$C684,402-MA_SHORT):$C684),"")</f>
        <v/>
      </c>
      <c r="J684" s="52" t="str">
        <f aca="false">IF(AND(ISNUMBER($G684),$G684&gt;=MA_MED),AVERAGE(INDEX($C$284:$C684,402-MA_MED):$C684),"")</f>
        <v/>
      </c>
      <c r="K684" s="52" t="str">
        <f aca="false">IF(AND(ISNUMBER($G684),$G684&gt;=MA_LONG2),AVERAGE(INDEX($C$284:$C684,402-MA_LONG2):$C684),"")</f>
        <v/>
      </c>
      <c r="L684" s="53" t="str">
        <f aca="false">IF(AND(ISNUMBER($G684),$G684&gt;=21),STDEV(INDEX($H$624:$H684,62-20):$H684)*SQRT(245),"")</f>
        <v/>
      </c>
      <c r="M684" s="52" t="str">
        <f aca="false">IF(AND(ISNUMBER($G684),$G684&gt;=60),MAX(INDEX($D$484:$D684,202-60):$D684),"")</f>
        <v/>
      </c>
      <c r="N684" s="52" t="str">
        <f aca="false">IF(AND(ISNUMBER($G684),$G684&gt;=60),MIN(INDEX($E$484:$E684,202-60):$E684),"")</f>
        <v/>
      </c>
      <c r="O684" s="53" t="str">
        <f aca="false">IF(OR(NOT(ISNUMBER($C684)),NOT(ISNUMBER($M684)),$M684=0),"",$C684/$M684-1)</f>
        <v/>
      </c>
    </row>
    <row r="685" customFormat="false" ht="15" hidden="false" customHeight="false" outlineLevel="0" collapsed="false">
      <c r="A685" s="55"/>
      <c r="B685" s="56"/>
      <c r="C685" s="57"/>
      <c r="D685" s="56"/>
      <c r="E685" s="56"/>
      <c r="F685" s="56"/>
      <c r="G685" s="50" t="str">
        <f aca="false">IF($A685="","",IF(ISNUMBER($G684),$G684+1,1))</f>
        <v/>
      </c>
      <c r="H685" s="51" t="str">
        <f aca="false">IF(OR(NOT(ISNUMBER($G685)),$G685&lt;2,NOT(ISNUMBER($C684)),$C684=0),"",$C685/$C684-1)</f>
        <v/>
      </c>
      <c r="I685" s="52" t="str">
        <f aca="false">IF(AND(ISNUMBER($G685),$G685&gt;=MA_SHORT),AVERAGE(INDEX($C$285:$C685,402-MA_SHORT):$C685),"")</f>
        <v/>
      </c>
      <c r="J685" s="52" t="str">
        <f aca="false">IF(AND(ISNUMBER($G685),$G685&gt;=MA_MED),AVERAGE(INDEX($C$285:$C685,402-MA_MED):$C685),"")</f>
        <v/>
      </c>
      <c r="K685" s="52" t="str">
        <f aca="false">IF(AND(ISNUMBER($G685),$G685&gt;=MA_LONG2),AVERAGE(INDEX($C$285:$C685,402-MA_LONG2):$C685),"")</f>
        <v/>
      </c>
      <c r="L685" s="53" t="str">
        <f aca="false">IF(AND(ISNUMBER($G685),$G685&gt;=21),STDEV(INDEX($H$625:$H685,62-20):$H685)*SQRT(245),"")</f>
        <v/>
      </c>
      <c r="M685" s="52" t="str">
        <f aca="false">IF(AND(ISNUMBER($G685),$G685&gt;=60),MAX(INDEX($D$485:$D685,202-60):$D685),"")</f>
        <v/>
      </c>
      <c r="N685" s="52" t="str">
        <f aca="false">IF(AND(ISNUMBER($G685),$G685&gt;=60),MIN(INDEX($E$485:$E685,202-60):$E685),"")</f>
        <v/>
      </c>
      <c r="O685" s="53" t="str">
        <f aca="false">IF(OR(NOT(ISNUMBER($C685)),NOT(ISNUMBER($M685)),$M685=0),"",$C685/$M685-1)</f>
        <v/>
      </c>
    </row>
    <row r="686" customFormat="false" ht="15" hidden="false" customHeight="false" outlineLevel="0" collapsed="false">
      <c r="A686" s="55"/>
      <c r="B686" s="56"/>
      <c r="C686" s="57"/>
      <c r="D686" s="56"/>
      <c r="E686" s="56"/>
      <c r="F686" s="56"/>
      <c r="G686" s="50" t="str">
        <f aca="false">IF($A686="","",IF(ISNUMBER($G685),$G685+1,1))</f>
        <v/>
      </c>
      <c r="H686" s="51" t="str">
        <f aca="false">IF(OR(NOT(ISNUMBER($G686)),$G686&lt;2,NOT(ISNUMBER($C685)),$C685=0),"",$C686/$C685-1)</f>
        <v/>
      </c>
      <c r="I686" s="52" t="str">
        <f aca="false">IF(AND(ISNUMBER($G686),$G686&gt;=MA_SHORT),AVERAGE(INDEX($C$286:$C686,402-MA_SHORT):$C686),"")</f>
        <v/>
      </c>
      <c r="J686" s="52" t="str">
        <f aca="false">IF(AND(ISNUMBER($G686),$G686&gt;=MA_MED),AVERAGE(INDEX($C$286:$C686,402-MA_MED):$C686),"")</f>
        <v/>
      </c>
      <c r="K686" s="52" t="str">
        <f aca="false">IF(AND(ISNUMBER($G686),$G686&gt;=MA_LONG2),AVERAGE(INDEX($C$286:$C686,402-MA_LONG2):$C686),"")</f>
        <v/>
      </c>
      <c r="L686" s="53" t="str">
        <f aca="false">IF(AND(ISNUMBER($G686),$G686&gt;=21),STDEV(INDEX($H$626:$H686,62-20):$H686)*SQRT(245),"")</f>
        <v/>
      </c>
      <c r="M686" s="52" t="str">
        <f aca="false">IF(AND(ISNUMBER($G686),$G686&gt;=60),MAX(INDEX($D$486:$D686,202-60):$D686),"")</f>
        <v/>
      </c>
      <c r="N686" s="52" t="str">
        <f aca="false">IF(AND(ISNUMBER($G686),$G686&gt;=60),MIN(INDEX($E$486:$E686,202-60):$E686),"")</f>
        <v/>
      </c>
      <c r="O686" s="53" t="str">
        <f aca="false">IF(OR(NOT(ISNUMBER($C686)),NOT(ISNUMBER($M686)),$M686=0),"",$C686/$M686-1)</f>
        <v/>
      </c>
    </row>
    <row r="687" customFormat="false" ht="15" hidden="false" customHeight="false" outlineLevel="0" collapsed="false">
      <c r="A687" s="55"/>
      <c r="B687" s="56"/>
      <c r="C687" s="57"/>
      <c r="D687" s="56"/>
      <c r="E687" s="56"/>
      <c r="F687" s="56"/>
      <c r="G687" s="50" t="str">
        <f aca="false">IF($A687="","",IF(ISNUMBER($G686),$G686+1,1))</f>
        <v/>
      </c>
      <c r="H687" s="51" t="str">
        <f aca="false">IF(OR(NOT(ISNUMBER($G687)),$G687&lt;2,NOT(ISNUMBER($C686)),$C686=0),"",$C687/$C686-1)</f>
        <v/>
      </c>
      <c r="I687" s="52" t="str">
        <f aca="false">IF(AND(ISNUMBER($G687),$G687&gt;=MA_SHORT),AVERAGE(INDEX($C$287:$C687,402-MA_SHORT):$C687),"")</f>
        <v/>
      </c>
      <c r="J687" s="52" t="str">
        <f aca="false">IF(AND(ISNUMBER($G687),$G687&gt;=MA_MED),AVERAGE(INDEX($C$287:$C687,402-MA_MED):$C687),"")</f>
        <v/>
      </c>
      <c r="K687" s="52" t="str">
        <f aca="false">IF(AND(ISNUMBER($G687),$G687&gt;=MA_LONG2),AVERAGE(INDEX($C$287:$C687,402-MA_LONG2):$C687),"")</f>
        <v/>
      </c>
      <c r="L687" s="53" t="str">
        <f aca="false">IF(AND(ISNUMBER($G687),$G687&gt;=21),STDEV(INDEX($H$627:$H687,62-20):$H687)*SQRT(245),"")</f>
        <v/>
      </c>
      <c r="M687" s="52" t="str">
        <f aca="false">IF(AND(ISNUMBER($G687),$G687&gt;=60),MAX(INDEX($D$487:$D687,202-60):$D687),"")</f>
        <v/>
      </c>
      <c r="N687" s="52" t="str">
        <f aca="false">IF(AND(ISNUMBER($G687),$G687&gt;=60),MIN(INDEX($E$487:$E687,202-60):$E687),"")</f>
        <v/>
      </c>
      <c r="O687" s="53" t="str">
        <f aca="false">IF(OR(NOT(ISNUMBER($C687)),NOT(ISNUMBER($M687)),$M687=0),"",$C687/$M687-1)</f>
        <v/>
      </c>
    </row>
    <row r="688" customFormat="false" ht="15" hidden="false" customHeight="false" outlineLevel="0" collapsed="false">
      <c r="A688" s="55"/>
      <c r="B688" s="56"/>
      <c r="C688" s="57"/>
      <c r="D688" s="56"/>
      <c r="E688" s="56"/>
      <c r="F688" s="56"/>
      <c r="G688" s="50" t="str">
        <f aca="false">IF($A688="","",IF(ISNUMBER($G687),$G687+1,1))</f>
        <v/>
      </c>
      <c r="H688" s="51" t="str">
        <f aca="false">IF(OR(NOT(ISNUMBER($G688)),$G688&lt;2,NOT(ISNUMBER($C687)),$C687=0),"",$C688/$C687-1)</f>
        <v/>
      </c>
      <c r="I688" s="52" t="str">
        <f aca="false">IF(AND(ISNUMBER($G688),$G688&gt;=MA_SHORT),AVERAGE(INDEX($C$288:$C688,402-MA_SHORT):$C688),"")</f>
        <v/>
      </c>
      <c r="J688" s="52" t="str">
        <f aca="false">IF(AND(ISNUMBER($G688),$G688&gt;=MA_MED),AVERAGE(INDEX($C$288:$C688,402-MA_MED):$C688),"")</f>
        <v/>
      </c>
      <c r="K688" s="52" t="str">
        <f aca="false">IF(AND(ISNUMBER($G688),$G688&gt;=MA_LONG2),AVERAGE(INDEX($C$288:$C688,402-MA_LONG2):$C688),"")</f>
        <v/>
      </c>
      <c r="L688" s="53" t="str">
        <f aca="false">IF(AND(ISNUMBER($G688),$G688&gt;=21),STDEV(INDEX($H$628:$H688,62-20):$H688)*SQRT(245),"")</f>
        <v/>
      </c>
      <c r="M688" s="52" t="str">
        <f aca="false">IF(AND(ISNUMBER($G688),$G688&gt;=60),MAX(INDEX($D$488:$D688,202-60):$D688),"")</f>
        <v/>
      </c>
      <c r="N688" s="52" t="str">
        <f aca="false">IF(AND(ISNUMBER($G688),$G688&gt;=60),MIN(INDEX($E$488:$E688,202-60):$E688),"")</f>
        <v/>
      </c>
      <c r="O688" s="53" t="str">
        <f aca="false">IF(OR(NOT(ISNUMBER($C688)),NOT(ISNUMBER($M688)),$M688=0),"",$C688/$M688-1)</f>
        <v/>
      </c>
    </row>
    <row r="689" customFormat="false" ht="15" hidden="false" customHeight="false" outlineLevel="0" collapsed="false">
      <c r="A689" s="55"/>
      <c r="B689" s="56"/>
      <c r="C689" s="57"/>
      <c r="D689" s="56"/>
      <c r="E689" s="56"/>
      <c r="F689" s="56"/>
      <c r="G689" s="50" t="str">
        <f aca="false">IF($A689="","",IF(ISNUMBER($G688),$G688+1,1))</f>
        <v/>
      </c>
      <c r="H689" s="51" t="str">
        <f aca="false">IF(OR(NOT(ISNUMBER($G689)),$G689&lt;2,NOT(ISNUMBER($C688)),$C688=0),"",$C689/$C688-1)</f>
        <v/>
      </c>
      <c r="I689" s="52" t="str">
        <f aca="false">IF(AND(ISNUMBER($G689),$G689&gt;=MA_SHORT),AVERAGE(INDEX($C$289:$C689,402-MA_SHORT):$C689),"")</f>
        <v/>
      </c>
      <c r="J689" s="52" t="str">
        <f aca="false">IF(AND(ISNUMBER($G689),$G689&gt;=MA_MED),AVERAGE(INDEX($C$289:$C689,402-MA_MED):$C689),"")</f>
        <v/>
      </c>
      <c r="K689" s="52" t="str">
        <f aca="false">IF(AND(ISNUMBER($G689),$G689&gt;=MA_LONG2),AVERAGE(INDEX($C$289:$C689,402-MA_LONG2):$C689),"")</f>
        <v/>
      </c>
      <c r="L689" s="53" t="str">
        <f aca="false">IF(AND(ISNUMBER($G689),$G689&gt;=21),STDEV(INDEX($H$629:$H689,62-20):$H689)*SQRT(245),"")</f>
        <v/>
      </c>
      <c r="M689" s="52" t="str">
        <f aca="false">IF(AND(ISNUMBER($G689),$G689&gt;=60),MAX(INDEX($D$489:$D689,202-60):$D689),"")</f>
        <v/>
      </c>
      <c r="N689" s="52" t="str">
        <f aca="false">IF(AND(ISNUMBER($G689),$G689&gt;=60),MIN(INDEX($E$489:$E689,202-60):$E689),"")</f>
        <v/>
      </c>
      <c r="O689" s="53" t="str">
        <f aca="false">IF(OR(NOT(ISNUMBER($C689)),NOT(ISNUMBER($M689)),$M689=0),"",$C689/$M689-1)</f>
        <v/>
      </c>
    </row>
    <row r="690" customFormat="false" ht="15" hidden="false" customHeight="false" outlineLevel="0" collapsed="false">
      <c r="A690" s="55"/>
      <c r="B690" s="56"/>
      <c r="C690" s="57"/>
      <c r="D690" s="56"/>
      <c r="E690" s="56"/>
      <c r="F690" s="56"/>
      <c r="G690" s="50" t="str">
        <f aca="false">IF($A690="","",IF(ISNUMBER($G689),$G689+1,1))</f>
        <v/>
      </c>
      <c r="H690" s="51" t="str">
        <f aca="false">IF(OR(NOT(ISNUMBER($G690)),$G690&lt;2,NOT(ISNUMBER($C689)),$C689=0),"",$C690/$C689-1)</f>
        <v/>
      </c>
      <c r="I690" s="52" t="str">
        <f aca="false">IF(AND(ISNUMBER($G690),$G690&gt;=MA_SHORT),AVERAGE(INDEX($C$290:$C690,402-MA_SHORT):$C690),"")</f>
        <v/>
      </c>
      <c r="J690" s="52" t="str">
        <f aca="false">IF(AND(ISNUMBER($G690),$G690&gt;=MA_MED),AVERAGE(INDEX($C$290:$C690,402-MA_MED):$C690),"")</f>
        <v/>
      </c>
      <c r="K690" s="52" t="str">
        <f aca="false">IF(AND(ISNUMBER($G690),$G690&gt;=MA_LONG2),AVERAGE(INDEX($C$290:$C690,402-MA_LONG2):$C690),"")</f>
        <v/>
      </c>
      <c r="L690" s="53" t="str">
        <f aca="false">IF(AND(ISNUMBER($G690),$G690&gt;=21),STDEV(INDEX($H$630:$H690,62-20):$H690)*SQRT(245),"")</f>
        <v/>
      </c>
      <c r="M690" s="52" t="str">
        <f aca="false">IF(AND(ISNUMBER($G690),$G690&gt;=60),MAX(INDEX($D$490:$D690,202-60):$D690),"")</f>
        <v/>
      </c>
      <c r="N690" s="52" t="str">
        <f aca="false">IF(AND(ISNUMBER($G690),$G690&gt;=60),MIN(INDEX($E$490:$E690,202-60):$E690),"")</f>
        <v/>
      </c>
      <c r="O690" s="53" t="str">
        <f aca="false">IF(OR(NOT(ISNUMBER($C690)),NOT(ISNUMBER($M690)),$M690=0),"",$C690/$M690-1)</f>
        <v/>
      </c>
    </row>
    <row r="691" customFormat="false" ht="15" hidden="false" customHeight="false" outlineLevel="0" collapsed="false">
      <c r="A691" s="55"/>
      <c r="B691" s="56"/>
      <c r="C691" s="57"/>
      <c r="D691" s="56"/>
      <c r="E691" s="56"/>
      <c r="F691" s="56"/>
      <c r="G691" s="50" t="str">
        <f aca="false">IF($A691="","",IF(ISNUMBER($G690),$G690+1,1))</f>
        <v/>
      </c>
      <c r="H691" s="51" t="str">
        <f aca="false">IF(OR(NOT(ISNUMBER($G691)),$G691&lt;2,NOT(ISNUMBER($C690)),$C690=0),"",$C691/$C690-1)</f>
        <v/>
      </c>
      <c r="I691" s="52" t="str">
        <f aca="false">IF(AND(ISNUMBER($G691),$G691&gt;=MA_SHORT),AVERAGE(INDEX($C$291:$C691,402-MA_SHORT):$C691),"")</f>
        <v/>
      </c>
      <c r="J691" s="52" t="str">
        <f aca="false">IF(AND(ISNUMBER($G691),$G691&gt;=MA_MED),AVERAGE(INDEX($C$291:$C691,402-MA_MED):$C691),"")</f>
        <v/>
      </c>
      <c r="K691" s="52" t="str">
        <f aca="false">IF(AND(ISNUMBER($G691),$G691&gt;=MA_LONG2),AVERAGE(INDEX($C$291:$C691,402-MA_LONG2):$C691),"")</f>
        <v/>
      </c>
      <c r="L691" s="53" t="str">
        <f aca="false">IF(AND(ISNUMBER($G691),$G691&gt;=21),STDEV(INDEX($H$631:$H691,62-20):$H691)*SQRT(245),"")</f>
        <v/>
      </c>
      <c r="M691" s="52" t="str">
        <f aca="false">IF(AND(ISNUMBER($G691),$G691&gt;=60),MAX(INDEX($D$491:$D691,202-60):$D691),"")</f>
        <v/>
      </c>
      <c r="N691" s="52" t="str">
        <f aca="false">IF(AND(ISNUMBER($G691),$G691&gt;=60),MIN(INDEX($E$491:$E691,202-60):$E691),"")</f>
        <v/>
      </c>
      <c r="O691" s="53" t="str">
        <f aca="false">IF(OR(NOT(ISNUMBER($C691)),NOT(ISNUMBER($M691)),$M691=0),"",$C691/$M691-1)</f>
        <v/>
      </c>
    </row>
    <row r="692" customFormat="false" ht="15" hidden="false" customHeight="false" outlineLevel="0" collapsed="false">
      <c r="A692" s="55"/>
      <c r="B692" s="56"/>
      <c r="C692" s="57"/>
      <c r="D692" s="56"/>
      <c r="E692" s="56"/>
      <c r="F692" s="56"/>
      <c r="G692" s="50" t="str">
        <f aca="false">IF($A692="","",IF(ISNUMBER($G691),$G691+1,1))</f>
        <v/>
      </c>
      <c r="H692" s="51" t="str">
        <f aca="false">IF(OR(NOT(ISNUMBER($G692)),$G692&lt;2,NOT(ISNUMBER($C691)),$C691=0),"",$C692/$C691-1)</f>
        <v/>
      </c>
      <c r="I692" s="52" t="str">
        <f aca="false">IF(AND(ISNUMBER($G692),$G692&gt;=MA_SHORT),AVERAGE(INDEX($C$292:$C692,402-MA_SHORT):$C692),"")</f>
        <v/>
      </c>
      <c r="J692" s="52" t="str">
        <f aca="false">IF(AND(ISNUMBER($G692),$G692&gt;=MA_MED),AVERAGE(INDEX($C$292:$C692,402-MA_MED):$C692),"")</f>
        <v/>
      </c>
      <c r="K692" s="52" t="str">
        <f aca="false">IF(AND(ISNUMBER($G692),$G692&gt;=MA_LONG2),AVERAGE(INDEX($C$292:$C692,402-MA_LONG2):$C692),"")</f>
        <v/>
      </c>
      <c r="L692" s="53" t="str">
        <f aca="false">IF(AND(ISNUMBER($G692),$G692&gt;=21),STDEV(INDEX($H$632:$H692,62-20):$H692)*SQRT(245),"")</f>
        <v/>
      </c>
      <c r="M692" s="52" t="str">
        <f aca="false">IF(AND(ISNUMBER($G692),$G692&gt;=60),MAX(INDEX($D$492:$D692,202-60):$D692),"")</f>
        <v/>
      </c>
      <c r="N692" s="52" t="str">
        <f aca="false">IF(AND(ISNUMBER($G692),$G692&gt;=60),MIN(INDEX($E$492:$E692,202-60):$E692),"")</f>
        <v/>
      </c>
      <c r="O692" s="53" t="str">
        <f aca="false">IF(OR(NOT(ISNUMBER($C692)),NOT(ISNUMBER($M692)),$M692=0),"",$C692/$M692-1)</f>
        <v/>
      </c>
    </row>
    <row r="693" customFormat="false" ht="15" hidden="false" customHeight="false" outlineLevel="0" collapsed="false">
      <c r="A693" s="55"/>
      <c r="B693" s="56"/>
      <c r="C693" s="57"/>
      <c r="D693" s="56"/>
      <c r="E693" s="56"/>
      <c r="F693" s="56"/>
      <c r="G693" s="50" t="str">
        <f aca="false">IF($A693="","",IF(ISNUMBER($G692),$G692+1,1))</f>
        <v/>
      </c>
      <c r="H693" s="51" t="str">
        <f aca="false">IF(OR(NOT(ISNUMBER($G693)),$G693&lt;2,NOT(ISNUMBER($C692)),$C692=0),"",$C693/$C692-1)</f>
        <v/>
      </c>
      <c r="I693" s="52" t="str">
        <f aca="false">IF(AND(ISNUMBER($G693),$G693&gt;=MA_SHORT),AVERAGE(INDEX($C$293:$C693,402-MA_SHORT):$C693),"")</f>
        <v/>
      </c>
      <c r="J693" s="52" t="str">
        <f aca="false">IF(AND(ISNUMBER($G693),$G693&gt;=MA_MED),AVERAGE(INDEX($C$293:$C693,402-MA_MED):$C693),"")</f>
        <v/>
      </c>
      <c r="K693" s="52" t="str">
        <f aca="false">IF(AND(ISNUMBER($G693),$G693&gt;=MA_LONG2),AVERAGE(INDEX($C$293:$C693,402-MA_LONG2):$C693),"")</f>
        <v/>
      </c>
      <c r="L693" s="53" t="str">
        <f aca="false">IF(AND(ISNUMBER($G693),$G693&gt;=21),STDEV(INDEX($H$633:$H693,62-20):$H693)*SQRT(245),"")</f>
        <v/>
      </c>
      <c r="M693" s="52" t="str">
        <f aca="false">IF(AND(ISNUMBER($G693),$G693&gt;=60),MAX(INDEX($D$493:$D693,202-60):$D693),"")</f>
        <v/>
      </c>
      <c r="N693" s="52" t="str">
        <f aca="false">IF(AND(ISNUMBER($G693),$G693&gt;=60),MIN(INDEX($E$493:$E693,202-60):$E693),"")</f>
        <v/>
      </c>
      <c r="O693" s="53" t="str">
        <f aca="false">IF(OR(NOT(ISNUMBER($C693)),NOT(ISNUMBER($M693)),$M693=0),"",$C693/$M693-1)</f>
        <v/>
      </c>
    </row>
    <row r="694" customFormat="false" ht="15" hidden="false" customHeight="false" outlineLevel="0" collapsed="false">
      <c r="A694" s="55"/>
      <c r="B694" s="56"/>
      <c r="C694" s="57"/>
      <c r="D694" s="56"/>
      <c r="E694" s="56"/>
      <c r="F694" s="56"/>
      <c r="G694" s="50" t="str">
        <f aca="false">IF($A694="","",IF(ISNUMBER($G693),$G693+1,1))</f>
        <v/>
      </c>
      <c r="H694" s="51" t="str">
        <f aca="false">IF(OR(NOT(ISNUMBER($G694)),$G694&lt;2,NOT(ISNUMBER($C693)),$C693=0),"",$C694/$C693-1)</f>
        <v/>
      </c>
      <c r="I694" s="52" t="str">
        <f aca="false">IF(AND(ISNUMBER($G694),$G694&gt;=MA_SHORT),AVERAGE(INDEX($C$294:$C694,402-MA_SHORT):$C694),"")</f>
        <v/>
      </c>
      <c r="J694" s="52" t="str">
        <f aca="false">IF(AND(ISNUMBER($G694),$G694&gt;=MA_MED),AVERAGE(INDEX($C$294:$C694,402-MA_MED):$C694),"")</f>
        <v/>
      </c>
      <c r="K694" s="52" t="str">
        <f aca="false">IF(AND(ISNUMBER($G694),$G694&gt;=MA_LONG2),AVERAGE(INDEX($C$294:$C694,402-MA_LONG2):$C694),"")</f>
        <v/>
      </c>
      <c r="L694" s="53" t="str">
        <f aca="false">IF(AND(ISNUMBER($G694),$G694&gt;=21),STDEV(INDEX($H$634:$H694,62-20):$H694)*SQRT(245),"")</f>
        <v/>
      </c>
      <c r="M694" s="52" t="str">
        <f aca="false">IF(AND(ISNUMBER($G694),$G694&gt;=60),MAX(INDEX($D$494:$D694,202-60):$D694),"")</f>
        <v/>
      </c>
      <c r="N694" s="52" t="str">
        <f aca="false">IF(AND(ISNUMBER($G694),$G694&gt;=60),MIN(INDEX($E$494:$E694,202-60):$E694),"")</f>
        <v/>
      </c>
      <c r="O694" s="53" t="str">
        <f aca="false">IF(OR(NOT(ISNUMBER($C694)),NOT(ISNUMBER($M694)),$M694=0),"",$C694/$M694-1)</f>
        <v/>
      </c>
    </row>
    <row r="695" customFormat="false" ht="15" hidden="false" customHeight="false" outlineLevel="0" collapsed="false">
      <c r="A695" s="55"/>
      <c r="B695" s="56"/>
      <c r="C695" s="57"/>
      <c r="D695" s="56"/>
      <c r="E695" s="56"/>
      <c r="F695" s="56"/>
      <c r="G695" s="50" t="str">
        <f aca="false">IF($A695="","",IF(ISNUMBER($G694),$G694+1,1))</f>
        <v/>
      </c>
      <c r="H695" s="51" t="str">
        <f aca="false">IF(OR(NOT(ISNUMBER($G695)),$G695&lt;2,NOT(ISNUMBER($C694)),$C694=0),"",$C695/$C694-1)</f>
        <v/>
      </c>
      <c r="I695" s="52" t="str">
        <f aca="false">IF(AND(ISNUMBER($G695),$G695&gt;=MA_SHORT),AVERAGE(INDEX($C$295:$C695,402-MA_SHORT):$C695),"")</f>
        <v/>
      </c>
      <c r="J695" s="52" t="str">
        <f aca="false">IF(AND(ISNUMBER($G695),$G695&gt;=MA_MED),AVERAGE(INDEX($C$295:$C695,402-MA_MED):$C695),"")</f>
        <v/>
      </c>
      <c r="K695" s="52" t="str">
        <f aca="false">IF(AND(ISNUMBER($G695),$G695&gt;=MA_LONG2),AVERAGE(INDEX($C$295:$C695,402-MA_LONG2):$C695),"")</f>
        <v/>
      </c>
      <c r="L695" s="53" t="str">
        <f aca="false">IF(AND(ISNUMBER($G695),$G695&gt;=21),STDEV(INDEX($H$635:$H695,62-20):$H695)*SQRT(245),"")</f>
        <v/>
      </c>
      <c r="M695" s="52" t="str">
        <f aca="false">IF(AND(ISNUMBER($G695),$G695&gt;=60),MAX(INDEX($D$495:$D695,202-60):$D695),"")</f>
        <v/>
      </c>
      <c r="N695" s="52" t="str">
        <f aca="false">IF(AND(ISNUMBER($G695),$G695&gt;=60),MIN(INDEX($E$495:$E695,202-60):$E695),"")</f>
        <v/>
      </c>
      <c r="O695" s="53" t="str">
        <f aca="false">IF(OR(NOT(ISNUMBER($C695)),NOT(ISNUMBER($M695)),$M695=0),"",$C695/$M695-1)</f>
        <v/>
      </c>
    </row>
    <row r="696" customFormat="false" ht="15" hidden="false" customHeight="false" outlineLevel="0" collapsed="false">
      <c r="A696" s="55"/>
      <c r="B696" s="56"/>
      <c r="C696" s="57"/>
      <c r="D696" s="56"/>
      <c r="E696" s="56"/>
      <c r="F696" s="56"/>
      <c r="G696" s="50" t="str">
        <f aca="false">IF($A696="","",IF(ISNUMBER($G695),$G695+1,1))</f>
        <v/>
      </c>
      <c r="H696" s="51" t="str">
        <f aca="false">IF(OR(NOT(ISNUMBER($G696)),$G696&lt;2,NOT(ISNUMBER($C695)),$C695=0),"",$C696/$C695-1)</f>
        <v/>
      </c>
      <c r="I696" s="52" t="str">
        <f aca="false">IF(AND(ISNUMBER($G696),$G696&gt;=MA_SHORT),AVERAGE(INDEX($C$296:$C696,402-MA_SHORT):$C696),"")</f>
        <v/>
      </c>
      <c r="J696" s="52" t="str">
        <f aca="false">IF(AND(ISNUMBER($G696),$G696&gt;=MA_MED),AVERAGE(INDEX($C$296:$C696,402-MA_MED):$C696),"")</f>
        <v/>
      </c>
      <c r="K696" s="52" t="str">
        <f aca="false">IF(AND(ISNUMBER($G696),$G696&gt;=MA_LONG2),AVERAGE(INDEX($C$296:$C696,402-MA_LONG2):$C696),"")</f>
        <v/>
      </c>
      <c r="L696" s="53" t="str">
        <f aca="false">IF(AND(ISNUMBER($G696),$G696&gt;=21),STDEV(INDEX($H$636:$H696,62-20):$H696)*SQRT(245),"")</f>
        <v/>
      </c>
      <c r="M696" s="52" t="str">
        <f aca="false">IF(AND(ISNUMBER($G696),$G696&gt;=60),MAX(INDEX($D$496:$D696,202-60):$D696),"")</f>
        <v/>
      </c>
      <c r="N696" s="52" t="str">
        <f aca="false">IF(AND(ISNUMBER($G696),$G696&gt;=60),MIN(INDEX($E$496:$E696,202-60):$E696),"")</f>
        <v/>
      </c>
      <c r="O696" s="53" t="str">
        <f aca="false">IF(OR(NOT(ISNUMBER($C696)),NOT(ISNUMBER($M696)),$M696=0),"",$C696/$M696-1)</f>
        <v/>
      </c>
    </row>
    <row r="697" customFormat="false" ht="15" hidden="false" customHeight="false" outlineLevel="0" collapsed="false">
      <c r="A697" s="55"/>
      <c r="B697" s="56"/>
      <c r="C697" s="57"/>
      <c r="D697" s="56"/>
      <c r="E697" s="56"/>
      <c r="F697" s="56"/>
      <c r="G697" s="50" t="str">
        <f aca="false">IF($A697="","",IF(ISNUMBER($G696),$G696+1,1))</f>
        <v/>
      </c>
      <c r="H697" s="51" t="str">
        <f aca="false">IF(OR(NOT(ISNUMBER($G697)),$G697&lt;2,NOT(ISNUMBER($C696)),$C696=0),"",$C697/$C696-1)</f>
        <v/>
      </c>
      <c r="I697" s="52" t="str">
        <f aca="false">IF(AND(ISNUMBER($G697),$G697&gt;=MA_SHORT),AVERAGE(INDEX($C$297:$C697,402-MA_SHORT):$C697),"")</f>
        <v/>
      </c>
      <c r="J697" s="52" t="str">
        <f aca="false">IF(AND(ISNUMBER($G697),$G697&gt;=MA_MED),AVERAGE(INDEX($C$297:$C697,402-MA_MED):$C697),"")</f>
        <v/>
      </c>
      <c r="K697" s="52" t="str">
        <f aca="false">IF(AND(ISNUMBER($G697),$G697&gt;=MA_LONG2),AVERAGE(INDEX($C$297:$C697,402-MA_LONG2):$C697),"")</f>
        <v/>
      </c>
      <c r="L697" s="53" t="str">
        <f aca="false">IF(AND(ISNUMBER($G697),$G697&gt;=21),STDEV(INDEX($H$637:$H697,62-20):$H697)*SQRT(245),"")</f>
        <v/>
      </c>
      <c r="M697" s="52" t="str">
        <f aca="false">IF(AND(ISNUMBER($G697),$G697&gt;=60),MAX(INDEX($D$497:$D697,202-60):$D697),"")</f>
        <v/>
      </c>
      <c r="N697" s="52" t="str">
        <f aca="false">IF(AND(ISNUMBER($G697),$G697&gt;=60),MIN(INDEX($E$497:$E697,202-60):$E697),"")</f>
        <v/>
      </c>
      <c r="O697" s="53" t="str">
        <f aca="false">IF(OR(NOT(ISNUMBER($C697)),NOT(ISNUMBER($M697)),$M697=0),"",$C697/$M697-1)</f>
        <v/>
      </c>
    </row>
    <row r="698" customFormat="false" ht="15" hidden="false" customHeight="false" outlineLevel="0" collapsed="false">
      <c r="A698" s="55"/>
      <c r="B698" s="56"/>
      <c r="C698" s="57"/>
      <c r="D698" s="56"/>
      <c r="E698" s="56"/>
      <c r="F698" s="56"/>
      <c r="G698" s="50" t="str">
        <f aca="false">IF($A698="","",IF(ISNUMBER($G697),$G697+1,1))</f>
        <v/>
      </c>
      <c r="H698" s="51" t="str">
        <f aca="false">IF(OR(NOT(ISNUMBER($G698)),$G698&lt;2,NOT(ISNUMBER($C697)),$C697=0),"",$C698/$C697-1)</f>
        <v/>
      </c>
      <c r="I698" s="52" t="str">
        <f aca="false">IF(AND(ISNUMBER($G698),$G698&gt;=MA_SHORT),AVERAGE(INDEX($C$298:$C698,402-MA_SHORT):$C698),"")</f>
        <v/>
      </c>
      <c r="J698" s="52" t="str">
        <f aca="false">IF(AND(ISNUMBER($G698),$G698&gt;=MA_MED),AVERAGE(INDEX($C$298:$C698,402-MA_MED):$C698),"")</f>
        <v/>
      </c>
      <c r="K698" s="52" t="str">
        <f aca="false">IF(AND(ISNUMBER($G698),$G698&gt;=MA_LONG2),AVERAGE(INDEX($C$298:$C698,402-MA_LONG2):$C698),"")</f>
        <v/>
      </c>
      <c r="L698" s="53" t="str">
        <f aca="false">IF(AND(ISNUMBER($G698),$G698&gt;=21),STDEV(INDEX($H$638:$H698,62-20):$H698)*SQRT(245),"")</f>
        <v/>
      </c>
      <c r="M698" s="52" t="str">
        <f aca="false">IF(AND(ISNUMBER($G698),$G698&gt;=60),MAX(INDEX($D$498:$D698,202-60):$D698),"")</f>
        <v/>
      </c>
      <c r="N698" s="52" t="str">
        <f aca="false">IF(AND(ISNUMBER($G698),$G698&gt;=60),MIN(INDEX($E$498:$E698,202-60):$E698),"")</f>
        <v/>
      </c>
      <c r="O698" s="53" t="str">
        <f aca="false">IF(OR(NOT(ISNUMBER($C698)),NOT(ISNUMBER($M698)),$M698=0),"",$C698/$M698-1)</f>
        <v/>
      </c>
    </row>
    <row r="699" customFormat="false" ht="15" hidden="false" customHeight="false" outlineLevel="0" collapsed="false">
      <c r="A699" s="55"/>
      <c r="B699" s="56"/>
      <c r="C699" s="57"/>
      <c r="D699" s="56"/>
      <c r="E699" s="56"/>
      <c r="F699" s="56"/>
      <c r="G699" s="50" t="str">
        <f aca="false">IF($A699="","",IF(ISNUMBER($G698),$G698+1,1))</f>
        <v/>
      </c>
      <c r="H699" s="51" t="str">
        <f aca="false">IF(OR(NOT(ISNUMBER($G699)),$G699&lt;2,NOT(ISNUMBER($C698)),$C698=0),"",$C699/$C698-1)</f>
        <v/>
      </c>
      <c r="I699" s="52" t="str">
        <f aca="false">IF(AND(ISNUMBER($G699),$G699&gt;=MA_SHORT),AVERAGE(INDEX($C$299:$C699,402-MA_SHORT):$C699),"")</f>
        <v/>
      </c>
      <c r="J699" s="52" t="str">
        <f aca="false">IF(AND(ISNUMBER($G699),$G699&gt;=MA_MED),AVERAGE(INDEX($C$299:$C699,402-MA_MED):$C699),"")</f>
        <v/>
      </c>
      <c r="K699" s="52" t="str">
        <f aca="false">IF(AND(ISNUMBER($G699),$G699&gt;=MA_LONG2),AVERAGE(INDEX($C$299:$C699,402-MA_LONG2):$C699),"")</f>
        <v/>
      </c>
      <c r="L699" s="53" t="str">
        <f aca="false">IF(AND(ISNUMBER($G699),$G699&gt;=21),STDEV(INDEX($H$639:$H699,62-20):$H699)*SQRT(245),"")</f>
        <v/>
      </c>
      <c r="M699" s="52" t="str">
        <f aca="false">IF(AND(ISNUMBER($G699),$G699&gt;=60),MAX(INDEX($D$499:$D699,202-60):$D699),"")</f>
        <v/>
      </c>
      <c r="N699" s="52" t="str">
        <f aca="false">IF(AND(ISNUMBER($G699),$G699&gt;=60),MIN(INDEX($E$499:$E699,202-60):$E699),"")</f>
        <v/>
      </c>
      <c r="O699" s="53" t="str">
        <f aca="false">IF(OR(NOT(ISNUMBER($C699)),NOT(ISNUMBER($M699)),$M699=0),"",$C699/$M699-1)</f>
        <v/>
      </c>
    </row>
    <row r="700" customFormat="false" ht="15" hidden="false" customHeight="false" outlineLevel="0" collapsed="false">
      <c r="A700" s="55"/>
      <c r="B700" s="56"/>
      <c r="C700" s="57"/>
      <c r="D700" s="56"/>
      <c r="E700" s="56"/>
      <c r="F700" s="56"/>
      <c r="G700" s="50" t="str">
        <f aca="false">IF($A700="","",IF(ISNUMBER($G699),$G699+1,1))</f>
        <v/>
      </c>
      <c r="H700" s="51" t="str">
        <f aca="false">IF(OR(NOT(ISNUMBER($G700)),$G700&lt;2,NOT(ISNUMBER($C699)),$C699=0),"",$C700/$C699-1)</f>
        <v/>
      </c>
      <c r="I700" s="52" t="str">
        <f aca="false">IF(AND(ISNUMBER($G700),$G700&gt;=MA_SHORT),AVERAGE(INDEX($C$300:$C700,402-MA_SHORT):$C700),"")</f>
        <v/>
      </c>
      <c r="J700" s="52" t="str">
        <f aca="false">IF(AND(ISNUMBER($G700),$G700&gt;=MA_MED),AVERAGE(INDEX($C$300:$C700,402-MA_MED):$C700),"")</f>
        <v/>
      </c>
      <c r="K700" s="52" t="str">
        <f aca="false">IF(AND(ISNUMBER($G700),$G700&gt;=MA_LONG2),AVERAGE(INDEX($C$300:$C700,402-MA_LONG2):$C700),"")</f>
        <v/>
      </c>
      <c r="L700" s="53" t="str">
        <f aca="false">IF(AND(ISNUMBER($G700),$G700&gt;=21),STDEV(INDEX($H$640:$H700,62-20):$H700)*SQRT(245),"")</f>
        <v/>
      </c>
      <c r="M700" s="52" t="str">
        <f aca="false">IF(AND(ISNUMBER($G700),$G700&gt;=60),MAX(INDEX($D$500:$D700,202-60):$D700),"")</f>
        <v/>
      </c>
      <c r="N700" s="52" t="str">
        <f aca="false">IF(AND(ISNUMBER($G700),$G700&gt;=60),MIN(INDEX($E$500:$E700,202-60):$E700),"")</f>
        <v/>
      </c>
      <c r="O700" s="53" t="str">
        <f aca="false">IF(OR(NOT(ISNUMBER($C700)),NOT(ISNUMBER($M700)),$M700=0),"",$C700/$M700-1)</f>
        <v/>
      </c>
    </row>
    <row r="701" customFormat="false" ht="15" hidden="false" customHeight="false" outlineLevel="0" collapsed="false">
      <c r="A701" s="55"/>
      <c r="B701" s="56"/>
      <c r="C701" s="57"/>
      <c r="D701" s="56"/>
      <c r="E701" s="56"/>
      <c r="F701" s="56"/>
      <c r="G701" s="50" t="str">
        <f aca="false">IF($A701="","",IF(ISNUMBER($G700),$G700+1,1))</f>
        <v/>
      </c>
      <c r="H701" s="51" t="str">
        <f aca="false">IF(OR(NOT(ISNUMBER($G701)),$G701&lt;2,NOT(ISNUMBER($C700)),$C700=0),"",$C701/$C700-1)</f>
        <v/>
      </c>
      <c r="I701" s="52" t="str">
        <f aca="false">IF(AND(ISNUMBER($G701),$G701&gt;=MA_SHORT),AVERAGE(INDEX($C$301:$C701,402-MA_SHORT):$C701),"")</f>
        <v/>
      </c>
      <c r="J701" s="52" t="str">
        <f aca="false">IF(AND(ISNUMBER($G701),$G701&gt;=MA_MED),AVERAGE(INDEX($C$301:$C701,402-MA_MED):$C701),"")</f>
        <v/>
      </c>
      <c r="K701" s="52" t="str">
        <f aca="false">IF(AND(ISNUMBER($G701),$G701&gt;=MA_LONG2),AVERAGE(INDEX($C$301:$C701,402-MA_LONG2):$C701),"")</f>
        <v/>
      </c>
      <c r="L701" s="53" t="str">
        <f aca="false">IF(AND(ISNUMBER($G701),$G701&gt;=21),STDEV(INDEX($H$641:$H701,62-20):$H701)*SQRT(245),"")</f>
        <v/>
      </c>
      <c r="M701" s="52" t="str">
        <f aca="false">IF(AND(ISNUMBER($G701),$G701&gt;=60),MAX(INDEX($D$501:$D701,202-60):$D701),"")</f>
        <v/>
      </c>
      <c r="N701" s="52" t="str">
        <f aca="false">IF(AND(ISNUMBER($G701),$G701&gt;=60),MIN(INDEX($E$501:$E701,202-60):$E701),"")</f>
        <v/>
      </c>
      <c r="O701" s="53" t="str">
        <f aca="false">IF(OR(NOT(ISNUMBER($C701)),NOT(ISNUMBER($M701)),$M701=0),"",$C701/$M701-1)</f>
        <v/>
      </c>
    </row>
    <row r="702" customFormat="false" ht="15" hidden="false" customHeight="false" outlineLevel="0" collapsed="false">
      <c r="A702" s="55"/>
      <c r="B702" s="56"/>
      <c r="C702" s="57"/>
      <c r="D702" s="56"/>
      <c r="E702" s="56"/>
      <c r="F702" s="56"/>
      <c r="G702" s="50" t="str">
        <f aca="false">IF($A702="","",IF(ISNUMBER($G701),$G701+1,1))</f>
        <v/>
      </c>
      <c r="H702" s="51" t="str">
        <f aca="false">IF(OR(NOT(ISNUMBER($G702)),$G702&lt;2,NOT(ISNUMBER($C701)),$C701=0),"",$C702/$C701-1)</f>
        <v/>
      </c>
      <c r="I702" s="52" t="str">
        <f aca="false">IF(AND(ISNUMBER($G702),$G702&gt;=MA_SHORT),AVERAGE(INDEX($C$302:$C702,402-MA_SHORT):$C702),"")</f>
        <v/>
      </c>
      <c r="J702" s="52" t="str">
        <f aca="false">IF(AND(ISNUMBER($G702),$G702&gt;=MA_MED),AVERAGE(INDEX($C$302:$C702,402-MA_MED):$C702),"")</f>
        <v/>
      </c>
      <c r="K702" s="52" t="str">
        <f aca="false">IF(AND(ISNUMBER($G702),$G702&gt;=MA_LONG2),AVERAGE(INDEX($C$302:$C702,402-MA_LONG2):$C702),"")</f>
        <v/>
      </c>
      <c r="L702" s="53" t="str">
        <f aca="false">IF(AND(ISNUMBER($G702),$G702&gt;=21),STDEV(INDEX($H$642:$H702,62-20):$H702)*SQRT(245),"")</f>
        <v/>
      </c>
      <c r="M702" s="52" t="str">
        <f aca="false">IF(AND(ISNUMBER($G702),$G702&gt;=60),MAX(INDEX($D$502:$D702,202-60):$D702),"")</f>
        <v/>
      </c>
      <c r="N702" s="52" t="str">
        <f aca="false">IF(AND(ISNUMBER($G702),$G702&gt;=60),MIN(INDEX($E$502:$E702,202-60):$E702),"")</f>
        <v/>
      </c>
      <c r="O702" s="53" t="str">
        <f aca="false">IF(OR(NOT(ISNUMBER($C702)),NOT(ISNUMBER($M702)),$M702=0),"",$C702/$M702-1)</f>
        <v/>
      </c>
    </row>
    <row r="703" customFormat="false" ht="15" hidden="false" customHeight="false" outlineLevel="0" collapsed="false">
      <c r="A703" s="55"/>
      <c r="B703" s="56"/>
      <c r="C703" s="57"/>
      <c r="D703" s="56"/>
      <c r="E703" s="56"/>
      <c r="F703" s="56"/>
      <c r="G703" s="50" t="str">
        <f aca="false">IF($A703="","",IF(ISNUMBER($G702),$G702+1,1))</f>
        <v/>
      </c>
      <c r="H703" s="51" t="str">
        <f aca="false">IF(OR(NOT(ISNUMBER($G703)),$G703&lt;2,NOT(ISNUMBER($C702)),$C702=0),"",$C703/$C702-1)</f>
        <v/>
      </c>
      <c r="I703" s="52" t="str">
        <f aca="false">IF(AND(ISNUMBER($G703),$G703&gt;=MA_SHORT),AVERAGE(INDEX($C$303:$C703,402-MA_SHORT):$C703),"")</f>
        <v/>
      </c>
      <c r="J703" s="52" t="str">
        <f aca="false">IF(AND(ISNUMBER($G703),$G703&gt;=MA_MED),AVERAGE(INDEX($C$303:$C703,402-MA_MED):$C703),"")</f>
        <v/>
      </c>
      <c r="K703" s="52" t="str">
        <f aca="false">IF(AND(ISNUMBER($G703),$G703&gt;=MA_LONG2),AVERAGE(INDEX($C$303:$C703,402-MA_LONG2):$C703),"")</f>
        <v/>
      </c>
      <c r="L703" s="53" t="str">
        <f aca="false">IF(AND(ISNUMBER($G703),$G703&gt;=21),STDEV(INDEX($H$643:$H703,62-20):$H703)*SQRT(245),"")</f>
        <v/>
      </c>
      <c r="M703" s="52" t="str">
        <f aca="false">IF(AND(ISNUMBER($G703),$G703&gt;=60),MAX(INDEX($D$503:$D703,202-60):$D703),"")</f>
        <v/>
      </c>
      <c r="N703" s="52" t="str">
        <f aca="false">IF(AND(ISNUMBER($G703),$G703&gt;=60),MIN(INDEX($E$503:$E703,202-60):$E703),"")</f>
        <v/>
      </c>
      <c r="O703" s="53" t="str">
        <f aca="false">IF(OR(NOT(ISNUMBER($C703)),NOT(ISNUMBER($M703)),$M703=0),"",$C703/$M703-1)</f>
        <v/>
      </c>
    </row>
    <row r="704" customFormat="false" ht="15" hidden="false" customHeight="false" outlineLevel="0" collapsed="false">
      <c r="A704" s="55"/>
      <c r="B704" s="56"/>
      <c r="C704" s="57"/>
      <c r="D704" s="56"/>
      <c r="E704" s="56"/>
      <c r="F704" s="56"/>
      <c r="G704" s="50" t="str">
        <f aca="false">IF($A704="","",IF(ISNUMBER($G703),$G703+1,1))</f>
        <v/>
      </c>
      <c r="H704" s="51" t="str">
        <f aca="false">IF(OR(NOT(ISNUMBER($G704)),$G704&lt;2,NOT(ISNUMBER($C703)),$C703=0),"",$C704/$C703-1)</f>
        <v/>
      </c>
      <c r="I704" s="52" t="str">
        <f aca="false">IF(AND(ISNUMBER($G704),$G704&gt;=MA_SHORT),AVERAGE(INDEX($C$304:$C704,402-MA_SHORT):$C704),"")</f>
        <v/>
      </c>
      <c r="J704" s="52" t="str">
        <f aca="false">IF(AND(ISNUMBER($G704),$G704&gt;=MA_MED),AVERAGE(INDEX($C$304:$C704,402-MA_MED):$C704),"")</f>
        <v/>
      </c>
      <c r="K704" s="52" t="str">
        <f aca="false">IF(AND(ISNUMBER($G704),$G704&gt;=MA_LONG2),AVERAGE(INDEX($C$304:$C704,402-MA_LONG2):$C704),"")</f>
        <v/>
      </c>
      <c r="L704" s="53" t="str">
        <f aca="false">IF(AND(ISNUMBER($G704),$G704&gt;=21),STDEV(INDEX($H$644:$H704,62-20):$H704)*SQRT(245),"")</f>
        <v/>
      </c>
      <c r="M704" s="52" t="str">
        <f aca="false">IF(AND(ISNUMBER($G704),$G704&gt;=60),MAX(INDEX($D$504:$D704,202-60):$D704),"")</f>
        <v/>
      </c>
      <c r="N704" s="52" t="str">
        <f aca="false">IF(AND(ISNUMBER($G704),$G704&gt;=60),MIN(INDEX($E$504:$E704,202-60):$E704),"")</f>
        <v/>
      </c>
      <c r="O704" s="53" t="str">
        <f aca="false">IF(OR(NOT(ISNUMBER($C704)),NOT(ISNUMBER($M704)),$M704=0),"",$C704/$M704-1)</f>
        <v/>
      </c>
    </row>
    <row r="705" customFormat="false" ht="15" hidden="false" customHeight="false" outlineLevel="0" collapsed="false">
      <c r="A705" s="55"/>
      <c r="B705" s="56"/>
      <c r="C705" s="57"/>
      <c r="D705" s="56"/>
      <c r="E705" s="56"/>
      <c r="F705" s="56"/>
      <c r="G705" s="50" t="str">
        <f aca="false">IF($A705="","",IF(ISNUMBER($G704),$G704+1,1))</f>
        <v/>
      </c>
      <c r="H705" s="51" t="str">
        <f aca="false">IF(OR(NOT(ISNUMBER($G705)),$G705&lt;2,NOT(ISNUMBER($C704)),$C704=0),"",$C705/$C704-1)</f>
        <v/>
      </c>
      <c r="I705" s="52" t="str">
        <f aca="false">IF(AND(ISNUMBER($G705),$G705&gt;=MA_SHORT),AVERAGE(INDEX($C$305:$C705,402-MA_SHORT):$C705),"")</f>
        <v/>
      </c>
      <c r="J705" s="52" t="str">
        <f aca="false">IF(AND(ISNUMBER($G705),$G705&gt;=MA_MED),AVERAGE(INDEX($C$305:$C705,402-MA_MED):$C705),"")</f>
        <v/>
      </c>
      <c r="K705" s="52" t="str">
        <f aca="false">IF(AND(ISNUMBER($G705),$G705&gt;=MA_LONG2),AVERAGE(INDEX($C$305:$C705,402-MA_LONG2):$C705),"")</f>
        <v/>
      </c>
      <c r="L705" s="53" t="str">
        <f aca="false">IF(AND(ISNUMBER($G705),$G705&gt;=21),STDEV(INDEX($H$645:$H705,62-20):$H705)*SQRT(245),"")</f>
        <v/>
      </c>
      <c r="M705" s="52" t="str">
        <f aca="false">IF(AND(ISNUMBER($G705),$G705&gt;=60),MAX(INDEX($D$505:$D705,202-60):$D705),"")</f>
        <v/>
      </c>
      <c r="N705" s="52" t="str">
        <f aca="false">IF(AND(ISNUMBER($G705),$G705&gt;=60),MIN(INDEX($E$505:$E705,202-60):$E705),"")</f>
        <v/>
      </c>
      <c r="O705" s="53" t="str">
        <f aca="false">IF(OR(NOT(ISNUMBER($C705)),NOT(ISNUMBER($M705)),$M705=0),"",$C705/$M705-1)</f>
        <v/>
      </c>
    </row>
    <row r="706" customFormat="false" ht="15" hidden="false" customHeight="false" outlineLevel="0" collapsed="false">
      <c r="A706" s="55"/>
      <c r="B706" s="56"/>
      <c r="C706" s="57"/>
      <c r="D706" s="56"/>
      <c r="E706" s="56"/>
      <c r="F706" s="56"/>
      <c r="G706" s="50" t="str">
        <f aca="false">IF($A706="","",IF(ISNUMBER($G705),$G705+1,1))</f>
        <v/>
      </c>
      <c r="H706" s="51" t="str">
        <f aca="false">IF(OR(NOT(ISNUMBER($G706)),$G706&lt;2,NOT(ISNUMBER($C705)),$C705=0),"",$C706/$C705-1)</f>
        <v/>
      </c>
      <c r="I706" s="52" t="str">
        <f aca="false">IF(AND(ISNUMBER($G706),$G706&gt;=MA_SHORT),AVERAGE(INDEX($C$306:$C706,402-MA_SHORT):$C706),"")</f>
        <v/>
      </c>
      <c r="J706" s="52" t="str">
        <f aca="false">IF(AND(ISNUMBER($G706),$G706&gt;=MA_MED),AVERAGE(INDEX($C$306:$C706,402-MA_MED):$C706),"")</f>
        <v/>
      </c>
      <c r="K706" s="52" t="str">
        <f aca="false">IF(AND(ISNUMBER($G706),$G706&gt;=MA_LONG2),AVERAGE(INDEX($C$306:$C706,402-MA_LONG2):$C706),"")</f>
        <v/>
      </c>
      <c r="L706" s="53" t="str">
        <f aca="false">IF(AND(ISNUMBER($G706),$G706&gt;=21),STDEV(INDEX($H$646:$H706,62-20):$H706)*SQRT(245),"")</f>
        <v/>
      </c>
      <c r="M706" s="52" t="str">
        <f aca="false">IF(AND(ISNUMBER($G706),$G706&gt;=60),MAX(INDEX($D$506:$D706,202-60):$D706),"")</f>
        <v/>
      </c>
      <c r="N706" s="52" t="str">
        <f aca="false">IF(AND(ISNUMBER($G706),$G706&gt;=60),MIN(INDEX($E$506:$E706,202-60):$E706),"")</f>
        <v/>
      </c>
      <c r="O706" s="53" t="str">
        <f aca="false">IF(OR(NOT(ISNUMBER($C706)),NOT(ISNUMBER($M706)),$M706=0),"",$C706/$M706-1)</f>
        <v/>
      </c>
    </row>
    <row r="707" customFormat="false" ht="15" hidden="false" customHeight="false" outlineLevel="0" collapsed="false">
      <c r="A707" s="55"/>
      <c r="B707" s="56"/>
      <c r="C707" s="57"/>
      <c r="D707" s="56"/>
      <c r="E707" s="56"/>
      <c r="F707" s="56"/>
      <c r="G707" s="50" t="str">
        <f aca="false">IF($A707="","",IF(ISNUMBER($G706),$G706+1,1))</f>
        <v/>
      </c>
      <c r="H707" s="51" t="str">
        <f aca="false">IF(OR(NOT(ISNUMBER($G707)),$G707&lt;2,NOT(ISNUMBER($C706)),$C706=0),"",$C707/$C706-1)</f>
        <v/>
      </c>
      <c r="I707" s="52" t="str">
        <f aca="false">IF(AND(ISNUMBER($G707),$G707&gt;=MA_SHORT),AVERAGE(INDEX($C$307:$C707,402-MA_SHORT):$C707),"")</f>
        <v/>
      </c>
      <c r="J707" s="52" t="str">
        <f aca="false">IF(AND(ISNUMBER($G707),$G707&gt;=MA_MED),AVERAGE(INDEX($C$307:$C707,402-MA_MED):$C707),"")</f>
        <v/>
      </c>
      <c r="K707" s="52" t="str">
        <f aca="false">IF(AND(ISNUMBER($G707),$G707&gt;=MA_LONG2),AVERAGE(INDEX($C$307:$C707,402-MA_LONG2):$C707),"")</f>
        <v/>
      </c>
      <c r="L707" s="53" t="str">
        <f aca="false">IF(AND(ISNUMBER($G707),$G707&gt;=21),STDEV(INDEX($H$647:$H707,62-20):$H707)*SQRT(245),"")</f>
        <v/>
      </c>
      <c r="M707" s="52" t="str">
        <f aca="false">IF(AND(ISNUMBER($G707),$G707&gt;=60),MAX(INDEX($D$507:$D707,202-60):$D707),"")</f>
        <v/>
      </c>
      <c r="N707" s="52" t="str">
        <f aca="false">IF(AND(ISNUMBER($G707),$G707&gt;=60),MIN(INDEX($E$507:$E707,202-60):$E707),"")</f>
        <v/>
      </c>
      <c r="O707" s="53" t="str">
        <f aca="false">IF(OR(NOT(ISNUMBER($C707)),NOT(ISNUMBER($M707)),$M707=0),"",$C707/$M707-1)</f>
        <v/>
      </c>
    </row>
    <row r="708" customFormat="false" ht="15" hidden="false" customHeight="false" outlineLevel="0" collapsed="false">
      <c r="A708" s="55"/>
      <c r="B708" s="56"/>
      <c r="C708" s="57"/>
      <c r="D708" s="56"/>
      <c r="E708" s="56"/>
      <c r="F708" s="56"/>
      <c r="G708" s="50" t="str">
        <f aca="false">IF($A708="","",IF(ISNUMBER($G707),$G707+1,1))</f>
        <v/>
      </c>
      <c r="H708" s="51" t="str">
        <f aca="false">IF(OR(NOT(ISNUMBER($G708)),$G708&lt;2,NOT(ISNUMBER($C707)),$C707=0),"",$C708/$C707-1)</f>
        <v/>
      </c>
      <c r="I708" s="52" t="str">
        <f aca="false">IF(AND(ISNUMBER($G708),$G708&gt;=MA_SHORT),AVERAGE(INDEX($C$308:$C708,402-MA_SHORT):$C708),"")</f>
        <v/>
      </c>
      <c r="J708" s="52" t="str">
        <f aca="false">IF(AND(ISNUMBER($G708),$G708&gt;=MA_MED),AVERAGE(INDEX($C$308:$C708,402-MA_MED):$C708),"")</f>
        <v/>
      </c>
      <c r="K708" s="52" t="str">
        <f aca="false">IF(AND(ISNUMBER($G708),$G708&gt;=MA_LONG2),AVERAGE(INDEX($C$308:$C708,402-MA_LONG2):$C708),"")</f>
        <v/>
      </c>
      <c r="L708" s="53" t="str">
        <f aca="false">IF(AND(ISNUMBER($G708),$G708&gt;=21),STDEV(INDEX($H$648:$H708,62-20):$H708)*SQRT(245),"")</f>
        <v/>
      </c>
      <c r="M708" s="52" t="str">
        <f aca="false">IF(AND(ISNUMBER($G708),$G708&gt;=60),MAX(INDEX($D$508:$D708,202-60):$D708),"")</f>
        <v/>
      </c>
      <c r="N708" s="52" t="str">
        <f aca="false">IF(AND(ISNUMBER($G708),$G708&gt;=60),MIN(INDEX($E$508:$E708,202-60):$E708),"")</f>
        <v/>
      </c>
      <c r="O708" s="53" t="str">
        <f aca="false">IF(OR(NOT(ISNUMBER($C708)),NOT(ISNUMBER($M708)),$M708=0),"",$C708/$M708-1)</f>
        <v/>
      </c>
    </row>
    <row r="709" customFormat="false" ht="15" hidden="false" customHeight="false" outlineLevel="0" collapsed="false">
      <c r="A709" s="55"/>
      <c r="B709" s="56"/>
      <c r="C709" s="57"/>
      <c r="D709" s="56"/>
      <c r="E709" s="56"/>
      <c r="F709" s="56"/>
      <c r="G709" s="50" t="str">
        <f aca="false">IF($A709="","",IF(ISNUMBER($G708),$G708+1,1))</f>
        <v/>
      </c>
      <c r="H709" s="51" t="str">
        <f aca="false">IF(OR(NOT(ISNUMBER($G709)),$G709&lt;2,NOT(ISNUMBER($C708)),$C708=0),"",$C709/$C708-1)</f>
        <v/>
      </c>
      <c r="I709" s="52" t="str">
        <f aca="false">IF(AND(ISNUMBER($G709),$G709&gt;=MA_SHORT),AVERAGE(INDEX($C$309:$C709,402-MA_SHORT):$C709),"")</f>
        <v/>
      </c>
      <c r="J709" s="52" t="str">
        <f aca="false">IF(AND(ISNUMBER($G709),$G709&gt;=MA_MED),AVERAGE(INDEX($C$309:$C709,402-MA_MED):$C709),"")</f>
        <v/>
      </c>
      <c r="K709" s="52" t="str">
        <f aca="false">IF(AND(ISNUMBER($G709),$G709&gt;=MA_LONG2),AVERAGE(INDEX($C$309:$C709,402-MA_LONG2):$C709),"")</f>
        <v/>
      </c>
      <c r="L709" s="53" t="str">
        <f aca="false">IF(AND(ISNUMBER($G709),$G709&gt;=21),STDEV(INDEX($H$649:$H709,62-20):$H709)*SQRT(245),"")</f>
        <v/>
      </c>
      <c r="M709" s="52" t="str">
        <f aca="false">IF(AND(ISNUMBER($G709),$G709&gt;=60),MAX(INDEX($D$509:$D709,202-60):$D709),"")</f>
        <v/>
      </c>
      <c r="N709" s="52" t="str">
        <f aca="false">IF(AND(ISNUMBER($G709),$G709&gt;=60),MIN(INDEX($E$509:$E709,202-60):$E709),"")</f>
        <v/>
      </c>
      <c r="O709" s="53" t="str">
        <f aca="false">IF(OR(NOT(ISNUMBER($C709)),NOT(ISNUMBER($M709)),$M709=0),"",$C709/$M709-1)</f>
        <v/>
      </c>
    </row>
    <row r="710" customFormat="false" ht="15" hidden="false" customHeight="false" outlineLevel="0" collapsed="false">
      <c r="A710" s="55"/>
      <c r="B710" s="56"/>
      <c r="C710" s="57"/>
      <c r="D710" s="56"/>
      <c r="E710" s="56"/>
      <c r="F710" s="56"/>
      <c r="G710" s="50" t="str">
        <f aca="false">IF($A710="","",IF(ISNUMBER($G709),$G709+1,1))</f>
        <v/>
      </c>
      <c r="H710" s="51" t="str">
        <f aca="false">IF(OR(NOT(ISNUMBER($G710)),$G710&lt;2,NOT(ISNUMBER($C709)),$C709=0),"",$C710/$C709-1)</f>
        <v/>
      </c>
      <c r="I710" s="52" t="str">
        <f aca="false">IF(AND(ISNUMBER($G710),$G710&gt;=MA_SHORT),AVERAGE(INDEX($C$310:$C710,402-MA_SHORT):$C710),"")</f>
        <v/>
      </c>
      <c r="J710" s="52" t="str">
        <f aca="false">IF(AND(ISNUMBER($G710),$G710&gt;=MA_MED),AVERAGE(INDEX($C$310:$C710,402-MA_MED):$C710),"")</f>
        <v/>
      </c>
      <c r="K710" s="52" t="str">
        <f aca="false">IF(AND(ISNUMBER($G710),$G710&gt;=MA_LONG2),AVERAGE(INDEX($C$310:$C710,402-MA_LONG2):$C710),"")</f>
        <v/>
      </c>
      <c r="L710" s="53" t="str">
        <f aca="false">IF(AND(ISNUMBER($G710),$G710&gt;=21),STDEV(INDEX($H$650:$H710,62-20):$H710)*SQRT(245),"")</f>
        <v/>
      </c>
      <c r="M710" s="52" t="str">
        <f aca="false">IF(AND(ISNUMBER($G710),$G710&gt;=60),MAX(INDEX($D$510:$D710,202-60):$D710),"")</f>
        <v/>
      </c>
      <c r="N710" s="52" t="str">
        <f aca="false">IF(AND(ISNUMBER($G710),$G710&gt;=60),MIN(INDEX($E$510:$E710,202-60):$E710),"")</f>
        <v/>
      </c>
      <c r="O710" s="53" t="str">
        <f aca="false">IF(OR(NOT(ISNUMBER($C710)),NOT(ISNUMBER($M710)),$M710=0),"",$C710/$M710-1)</f>
        <v/>
      </c>
    </row>
    <row r="711" customFormat="false" ht="15" hidden="false" customHeight="false" outlineLevel="0" collapsed="false">
      <c r="A711" s="55"/>
      <c r="B711" s="56"/>
      <c r="C711" s="57"/>
      <c r="D711" s="56"/>
      <c r="E711" s="56"/>
      <c r="F711" s="56"/>
      <c r="G711" s="50" t="str">
        <f aca="false">IF($A711="","",IF(ISNUMBER($G710),$G710+1,1))</f>
        <v/>
      </c>
      <c r="H711" s="51" t="str">
        <f aca="false">IF(OR(NOT(ISNUMBER($G711)),$G711&lt;2,NOT(ISNUMBER($C710)),$C710=0),"",$C711/$C710-1)</f>
        <v/>
      </c>
      <c r="I711" s="52" t="str">
        <f aca="false">IF(AND(ISNUMBER($G711),$G711&gt;=MA_SHORT),AVERAGE(INDEX($C$311:$C711,402-MA_SHORT):$C711),"")</f>
        <v/>
      </c>
      <c r="J711" s="52" t="str">
        <f aca="false">IF(AND(ISNUMBER($G711),$G711&gt;=MA_MED),AVERAGE(INDEX($C$311:$C711,402-MA_MED):$C711),"")</f>
        <v/>
      </c>
      <c r="K711" s="52" t="str">
        <f aca="false">IF(AND(ISNUMBER($G711),$G711&gt;=MA_LONG2),AVERAGE(INDEX($C$311:$C711,402-MA_LONG2):$C711),"")</f>
        <v/>
      </c>
      <c r="L711" s="53" t="str">
        <f aca="false">IF(AND(ISNUMBER($G711),$G711&gt;=21),STDEV(INDEX($H$651:$H711,62-20):$H711)*SQRT(245),"")</f>
        <v/>
      </c>
      <c r="M711" s="52" t="str">
        <f aca="false">IF(AND(ISNUMBER($G711),$G711&gt;=60),MAX(INDEX($D$511:$D711,202-60):$D711),"")</f>
        <v/>
      </c>
      <c r="N711" s="52" t="str">
        <f aca="false">IF(AND(ISNUMBER($G711),$G711&gt;=60),MIN(INDEX($E$511:$E711,202-60):$E711),"")</f>
        <v/>
      </c>
      <c r="O711" s="53" t="str">
        <f aca="false">IF(OR(NOT(ISNUMBER($C711)),NOT(ISNUMBER($M711)),$M711=0),"",$C711/$M711-1)</f>
        <v/>
      </c>
    </row>
    <row r="712" customFormat="false" ht="15" hidden="false" customHeight="false" outlineLevel="0" collapsed="false">
      <c r="A712" s="55"/>
      <c r="B712" s="56"/>
      <c r="C712" s="57"/>
      <c r="D712" s="56"/>
      <c r="E712" s="56"/>
      <c r="F712" s="56"/>
      <c r="G712" s="50" t="str">
        <f aca="false">IF($A712="","",IF(ISNUMBER($G711),$G711+1,1))</f>
        <v/>
      </c>
      <c r="H712" s="51" t="str">
        <f aca="false">IF(OR(NOT(ISNUMBER($G712)),$G712&lt;2,NOT(ISNUMBER($C711)),$C711=0),"",$C712/$C711-1)</f>
        <v/>
      </c>
      <c r="I712" s="52" t="str">
        <f aca="false">IF(AND(ISNUMBER($G712),$G712&gt;=MA_SHORT),AVERAGE(INDEX($C$312:$C712,402-MA_SHORT):$C712),"")</f>
        <v/>
      </c>
      <c r="J712" s="52" t="str">
        <f aca="false">IF(AND(ISNUMBER($G712),$G712&gt;=MA_MED),AVERAGE(INDEX($C$312:$C712,402-MA_MED):$C712),"")</f>
        <v/>
      </c>
      <c r="K712" s="52" t="str">
        <f aca="false">IF(AND(ISNUMBER($G712),$G712&gt;=MA_LONG2),AVERAGE(INDEX($C$312:$C712,402-MA_LONG2):$C712),"")</f>
        <v/>
      </c>
      <c r="L712" s="53" t="str">
        <f aca="false">IF(AND(ISNUMBER($G712),$G712&gt;=21),STDEV(INDEX($H$652:$H712,62-20):$H712)*SQRT(245),"")</f>
        <v/>
      </c>
      <c r="M712" s="52" t="str">
        <f aca="false">IF(AND(ISNUMBER($G712),$G712&gt;=60),MAX(INDEX($D$512:$D712,202-60):$D712),"")</f>
        <v/>
      </c>
      <c r="N712" s="52" t="str">
        <f aca="false">IF(AND(ISNUMBER($G712),$G712&gt;=60),MIN(INDEX($E$512:$E712,202-60):$E712),"")</f>
        <v/>
      </c>
      <c r="O712" s="53" t="str">
        <f aca="false">IF(OR(NOT(ISNUMBER($C712)),NOT(ISNUMBER($M712)),$M712=0),"",$C712/$M712-1)</f>
        <v/>
      </c>
    </row>
    <row r="713" customFormat="false" ht="15" hidden="false" customHeight="false" outlineLevel="0" collapsed="false">
      <c r="A713" s="55"/>
      <c r="B713" s="56"/>
      <c r="C713" s="57"/>
      <c r="D713" s="56"/>
      <c r="E713" s="56"/>
      <c r="F713" s="56"/>
      <c r="G713" s="50" t="str">
        <f aca="false">IF($A713="","",IF(ISNUMBER($G712),$G712+1,1))</f>
        <v/>
      </c>
      <c r="H713" s="51" t="str">
        <f aca="false">IF(OR(NOT(ISNUMBER($G713)),$G713&lt;2,NOT(ISNUMBER($C712)),$C712=0),"",$C713/$C712-1)</f>
        <v/>
      </c>
      <c r="I713" s="52" t="str">
        <f aca="false">IF(AND(ISNUMBER($G713),$G713&gt;=MA_SHORT),AVERAGE(INDEX($C$313:$C713,402-MA_SHORT):$C713),"")</f>
        <v/>
      </c>
      <c r="J713" s="52" t="str">
        <f aca="false">IF(AND(ISNUMBER($G713),$G713&gt;=MA_MED),AVERAGE(INDEX($C$313:$C713,402-MA_MED):$C713),"")</f>
        <v/>
      </c>
      <c r="K713" s="52" t="str">
        <f aca="false">IF(AND(ISNUMBER($G713),$G713&gt;=MA_LONG2),AVERAGE(INDEX($C$313:$C713,402-MA_LONG2):$C713),"")</f>
        <v/>
      </c>
      <c r="L713" s="53" t="str">
        <f aca="false">IF(AND(ISNUMBER($G713),$G713&gt;=21),STDEV(INDEX($H$653:$H713,62-20):$H713)*SQRT(245),"")</f>
        <v/>
      </c>
      <c r="M713" s="52" t="str">
        <f aca="false">IF(AND(ISNUMBER($G713),$G713&gt;=60),MAX(INDEX($D$513:$D713,202-60):$D713),"")</f>
        <v/>
      </c>
      <c r="N713" s="52" t="str">
        <f aca="false">IF(AND(ISNUMBER($G713),$G713&gt;=60),MIN(INDEX($E$513:$E713,202-60):$E713),"")</f>
        <v/>
      </c>
      <c r="O713" s="53" t="str">
        <f aca="false">IF(OR(NOT(ISNUMBER($C713)),NOT(ISNUMBER($M713)),$M713=0),"",$C713/$M713-1)</f>
        <v/>
      </c>
    </row>
    <row r="714" customFormat="false" ht="15" hidden="false" customHeight="false" outlineLevel="0" collapsed="false">
      <c r="A714" s="55"/>
      <c r="B714" s="56"/>
      <c r="C714" s="57"/>
      <c r="D714" s="56"/>
      <c r="E714" s="56"/>
      <c r="F714" s="56"/>
      <c r="G714" s="50" t="str">
        <f aca="false">IF($A714="","",IF(ISNUMBER($G713),$G713+1,1))</f>
        <v/>
      </c>
      <c r="H714" s="51" t="str">
        <f aca="false">IF(OR(NOT(ISNUMBER($G714)),$G714&lt;2,NOT(ISNUMBER($C713)),$C713=0),"",$C714/$C713-1)</f>
        <v/>
      </c>
      <c r="I714" s="52" t="str">
        <f aca="false">IF(AND(ISNUMBER($G714),$G714&gt;=MA_SHORT),AVERAGE(INDEX($C$314:$C714,402-MA_SHORT):$C714),"")</f>
        <v/>
      </c>
      <c r="J714" s="52" t="str">
        <f aca="false">IF(AND(ISNUMBER($G714),$G714&gt;=MA_MED),AVERAGE(INDEX($C$314:$C714,402-MA_MED):$C714),"")</f>
        <v/>
      </c>
      <c r="K714" s="52" t="str">
        <f aca="false">IF(AND(ISNUMBER($G714),$G714&gt;=MA_LONG2),AVERAGE(INDEX($C$314:$C714,402-MA_LONG2):$C714),"")</f>
        <v/>
      </c>
      <c r="L714" s="53" t="str">
        <f aca="false">IF(AND(ISNUMBER($G714),$G714&gt;=21),STDEV(INDEX($H$654:$H714,62-20):$H714)*SQRT(245),"")</f>
        <v/>
      </c>
      <c r="M714" s="52" t="str">
        <f aca="false">IF(AND(ISNUMBER($G714),$G714&gt;=60),MAX(INDEX($D$514:$D714,202-60):$D714),"")</f>
        <v/>
      </c>
      <c r="N714" s="52" t="str">
        <f aca="false">IF(AND(ISNUMBER($G714),$G714&gt;=60),MIN(INDEX($E$514:$E714,202-60):$E714),"")</f>
        <v/>
      </c>
      <c r="O714" s="53" t="str">
        <f aca="false">IF(OR(NOT(ISNUMBER($C714)),NOT(ISNUMBER($M714)),$M714=0),"",$C714/$M714-1)</f>
        <v/>
      </c>
    </row>
    <row r="715" customFormat="false" ht="15" hidden="false" customHeight="false" outlineLevel="0" collapsed="false">
      <c r="A715" s="55"/>
      <c r="B715" s="56"/>
      <c r="C715" s="57"/>
      <c r="D715" s="56"/>
      <c r="E715" s="56"/>
      <c r="F715" s="56"/>
      <c r="G715" s="50" t="str">
        <f aca="false">IF($A715="","",IF(ISNUMBER($G714),$G714+1,1))</f>
        <v/>
      </c>
      <c r="H715" s="51" t="str">
        <f aca="false">IF(OR(NOT(ISNUMBER($G715)),$G715&lt;2,NOT(ISNUMBER($C714)),$C714=0),"",$C715/$C714-1)</f>
        <v/>
      </c>
      <c r="I715" s="52" t="str">
        <f aca="false">IF(AND(ISNUMBER($G715),$G715&gt;=MA_SHORT),AVERAGE(INDEX($C$315:$C715,402-MA_SHORT):$C715),"")</f>
        <v/>
      </c>
      <c r="J715" s="52" t="str">
        <f aca="false">IF(AND(ISNUMBER($G715),$G715&gt;=MA_MED),AVERAGE(INDEX($C$315:$C715,402-MA_MED):$C715),"")</f>
        <v/>
      </c>
      <c r="K715" s="52" t="str">
        <f aca="false">IF(AND(ISNUMBER($G715),$G715&gt;=MA_LONG2),AVERAGE(INDEX($C$315:$C715,402-MA_LONG2):$C715),"")</f>
        <v/>
      </c>
      <c r="L715" s="53" t="str">
        <f aca="false">IF(AND(ISNUMBER($G715),$G715&gt;=21),STDEV(INDEX($H$655:$H715,62-20):$H715)*SQRT(245),"")</f>
        <v/>
      </c>
      <c r="M715" s="52" t="str">
        <f aca="false">IF(AND(ISNUMBER($G715),$G715&gt;=60),MAX(INDEX($D$515:$D715,202-60):$D715),"")</f>
        <v/>
      </c>
      <c r="N715" s="52" t="str">
        <f aca="false">IF(AND(ISNUMBER($G715),$G715&gt;=60),MIN(INDEX($E$515:$E715,202-60):$E715),"")</f>
        <v/>
      </c>
      <c r="O715" s="53" t="str">
        <f aca="false">IF(OR(NOT(ISNUMBER($C715)),NOT(ISNUMBER($M715)),$M715=0),"",$C715/$M715-1)</f>
        <v/>
      </c>
    </row>
    <row r="716" customFormat="false" ht="15" hidden="false" customHeight="false" outlineLevel="0" collapsed="false">
      <c r="A716" s="55"/>
      <c r="B716" s="56"/>
      <c r="C716" s="57"/>
      <c r="D716" s="56"/>
      <c r="E716" s="56"/>
      <c r="F716" s="56"/>
      <c r="G716" s="50" t="str">
        <f aca="false">IF($A716="","",IF(ISNUMBER($G715),$G715+1,1))</f>
        <v/>
      </c>
      <c r="H716" s="51" t="str">
        <f aca="false">IF(OR(NOT(ISNUMBER($G716)),$G716&lt;2,NOT(ISNUMBER($C715)),$C715=0),"",$C716/$C715-1)</f>
        <v/>
      </c>
      <c r="I716" s="52" t="str">
        <f aca="false">IF(AND(ISNUMBER($G716),$G716&gt;=MA_SHORT),AVERAGE(INDEX($C$316:$C716,402-MA_SHORT):$C716),"")</f>
        <v/>
      </c>
      <c r="J716" s="52" t="str">
        <f aca="false">IF(AND(ISNUMBER($G716),$G716&gt;=MA_MED),AVERAGE(INDEX($C$316:$C716,402-MA_MED):$C716),"")</f>
        <v/>
      </c>
      <c r="K716" s="52" t="str">
        <f aca="false">IF(AND(ISNUMBER($G716),$G716&gt;=MA_LONG2),AVERAGE(INDEX($C$316:$C716,402-MA_LONG2):$C716),"")</f>
        <v/>
      </c>
      <c r="L716" s="53" t="str">
        <f aca="false">IF(AND(ISNUMBER($G716),$G716&gt;=21),STDEV(INDEX($H$656:$H716,62-20):$H716)*SQRT(245),"")</f>
        <v/>
      </c>
      <c r="M716" s="52" t="str">
        <f aca="false">IF(AND(ISNUMBER($G716),$G716&gt;=60),MAX(INDEX($D$516:$D716,202-60):$D716),"")</f>
        <v/>
      </c>
      <c r="N716" s="52" t="str">
        <f aca="false">IF(AND(ISNUMBER($G716),$G716&gt;=60),MIN(INDEX($E$516:$E716,202-60):$E716),"")</f>
        <v/>
      </c>
      <c r="O716" s="53" t="str">
        <f aca="false">IF(OR(NOT(ISNUMBER($C716)),NOT(ISNUMBER($M716)),$M716=0),"",$C716/$M716-1)</f>
        <v/>
      </c>
    </row>
    <row r="717" customFormat="false" ht="15" hidden="false" customHeight="false" outlineLevel="0" collapsed="false">
      <c r="A717" s="55"/>
      <c r="B717" s="56"/>
      <c r="C717" s="57"/>
      <c r="D717" s="56"/>
      <c r="E717" s="56"/>
      <c r="F717" s="56"/>
      <c r="G717" s="50" t="str">
        <f aca="false">IF($A717="","",IF(ISNUMBER($G716),$G716+1,1))</f>
        <v/>
      </c>
      <c r="H717" s="51" t="str">
        <f aca="false">IF(OR(NOT(ISNUMBER($G717)),$G717&lt;2,NOT(ISNUMBER($C716)),$C716=0),"",$C717/$C716-1)</f>
        <v/>
      </c>
      <c r="I717" s="52" t="str">
        <f aca="false">IF(AND(ISNUMBER($G717),$G717&gt;=MA_SHORT),AVERAGE(INDEX($C$317:$C717,402-MA_SHORT):$C717),"")</f>
        <v/>
      </c>
      <c r="J717" s="52" t="str">
        <f aca="false">IF(AND(ISNUMBER($G717),$G717&gt;=MA_MED),AVERAGE(INDEX($C$317:$C717,402-MA_MED):$C717),"")</f>
        <v/>
      </c>
      <c r="K717" s="52" t="str">
        <f aca="false">IF(AND(ISNUMBER($G717),$G717&gt;=MA_LONG2),AVERAGE(INDEX($C$317:$C717,402-MA_LONG2):$C717),"")</f>
        <v/>
      </c>
      <c r="L717" s="53" t="str">
        <f aca="false">IF(AND(ISNUMBER($G717),$G717&gt;=21),STDEV(INDEX($H$657:$H717,62-20):$H717)*SQRT(245),"")</f>
        <v/>
      </c>
      <c r="M717" s="52" t="str">
        <f aca="false">IF(AND(ISNUMBER($G717),$G717&gt;=60),MAX(INDEX($D$517:$D717,202-60):$D717),"")</f>
        <v/>
      </c>
      <c r="N717" s="52" t="str">
        <f aca="false">IF(AND(ISNUMBER($G717),$G717&gt;=60),MIN(INDEX($E$517:$E717,202-60):$E717),"")</f>
        <v/>
      </c>
      <c r="O717" s="53" t="str">
        <f aca="false">IF(OR(NOT(ISNUMBER($C717)),NOT(ISNUMBER($M717)),$M717=0),"",$C717/$M717-1)</f>
        <v/>
      </c>
    </row>
    <row r="718" customFormat="false" ht="15" hidden="false" customHeight="false" outlineLevel="0" collapsed="false">
      <c r="A718" s="55"/>
      <c r="B718" s="56"/>
      <c r="C718" s="57"/>
      <c r="D718" s="56"/>
      <c r="E718" s="56"/>
      <c r="F718" s="56"/>
      <c r="G718" s="50" t="str">
        <f aca="false">IF($A718="","",IF(ISNUMBER($G717),$G717+1,1))</f>
        <v/>
      </c>
      <c r="H718" s="51" t="str">
        <f aca="false">IF(OR(NOT(ISNUMBER($G718)),$G718&lt;2,NOT(ISNUMBER($C717)),$C717=0),"",$C718/$C717-1)</f>
        <v/>
      </c>
      <c r="I718" s="52" t="str">
        <f aca="false">IF(AND(ISNUMBER($G718),$G718&gt;=MA_SHORT),AVERAGE(INDEX($C$318:$C718,402-MA_SHORT):$C718),"")</f>
        <v/>
      </c>
      <c r="J718" s="52" t="str">
        <f aca="false">IF(AND(ISNUMBER($G718),$G718&gt;=MA_MED),AVERAGE(INDEX($C$318:$C718,402-MA_MED):$C718),"")</f>
        <v/>
      </c>
      <c r="K718" s="52" t="str">
        <f aca="false">IF(AND(ISNUMBER($G718),$G718&gt;=MA_LONG2),AVERAGE(INDEX($C$318:$C718,402-MA_LONG2):$C718),"")</f>
        <v/>
      </c>
      <c r="L718" s="53" t="str">
        <f aca="false">IF(AND(ISNUMBER($G718),$G718&gt;=21),STDEV(INDEX($H$658:$H718,62-20):$H718)*SQRT(245),"")</f>
        <v/>
      </c>
      <c r="M718" s="52" t="str">
        <f aca="false">IF(AND(ISNUMBER($G718),$G718&gt;=60),MAX(INDEX($D$518:$D718,202-60):$D718),"")</f>
        <v/>
      </c>
      <c r="N718" s="52" t="str">
        <f aca="false">IF(AND(ISNUMBER($G718),$G718&gt;=60),MIN(INDEX($E$518:$E718,202-60):$E718),"")</f>
        <v/>
      </c>
      <c r="O718" s="53" t="str">
        <f aca="false">IF(OR(NOT(ISNUMBER($C718)),NOT(ISNUMBER($M718)),$M718=0),"",$C718/$M718-1)</f>
        <v/>
      </c>
    </row>
    <row r="719" customFormat="false" ht="15" hidden="false" customHeight="false" outlineLevel="0" collapsed="false">
      <c r="A719" s="55"/>
      <c r="B719" s="56"/>
      <c r="C719" s="57"/>
      <c r="D719" s="56"/>
      <c r="E719" s="56"/>
      <c r="F719" s="56"/>
      <c r="G719" s="50" t="str">
        <f aca="false">IF($A719="","",IF(ISNUMBER($G718),$G718+1,1))</f>
        <v/>
      </c>
      <c r="H719" s="51" t="str">
        <f aca="false">IF(OR(NOT(ISNUMBER($G719)),$G719&lt;2,NOT(ISNUMBER($C718)),$C718=0),"",$C719/$C718-1)</f>
        <v/>
      </c>
      <c r="I719" s="52" t="str">
        <f aca="false">IF(AND(ISNUMBER($G719),$G719&gt;=MA_SHORT),AVERAGE(INDEX($C$319:$C719,402-MA_SHORT):$C719),"")</f>
        <v/>
      </c>
      <c r="J719" s="52" t="str">
        <f aca="false">IF(AND(ISNUMBER($G719),$G719&gt;=MA_MED),AVERAGE(INDEX($C$319:$C719,402-MA_MED):$C719),"")</f>
        <v/>
      </c>
      <c r="K719" s="52" t="str">
        <f aca="false">IF(AND(ISNUMBER($G719),$G719&gt;=MA_LONG2),AVERAGE(INDEX($C$319:$C719,402-MA_LONG2):$C719),"")</f>
        <v/>
      </c>
      <c r="L719" s="53" t="str">
        <f aca="false">IF(AND(ISNUMBER($G719),$G719&gt;=21),STDEV(INDEX($H$659:$H719,62-20):$H719)*SQRT(245),"")</f>
        <v/>
      </c>
      <c r="M719" s="52" t="str">
        <f aca="false">IF(AND(ISNUMBER($G719),$G719&gt;=60),MAX(INDEX($D$519:$D719,202-60):$D719),"")</f>
        <v/>
      </c>
      <c r="N719" s="52" t="str">
        <f aca="false">IF(AND(ISNUMBER($G719),$G719&gt;=60),MIN(INDEX($E$519:$E719,202-60):$E719),"")</f>
        <v/>
      </c>
      <c r="O719" s="53" t="str">
        <f aca="false">IF(OR(NOT(ISNUMBER($C719)),NOT(ISNUMBER($M719)),$M719=0),"",$C719/$M719-1)</f>
        <v/>
      </c>
    </row>
    <row r="720" customFormat="false" ht="15" hidden="false" customHeight="false" outlineLevel="0" collapsed="false">
      <c r="A720" s="55"/>
      <c r="B720" s="56"/>
      <c r="C720" s="57"/>
      <c r="D720" s="56"/>
      <c r="E720" s="56"/>
      <c r="F720" s="56"/>
      <c r="G720" s="50" t="str">
        <f aca="false">IF($A720="","",IF(ISNUMBER($G719),$G719+1,1))</f>
        <v/>
      </c>
      <c r="H720" s="51" t="str">
        <f aca="false">IF(OR(NOT(ISNUMBER($G720)),$G720&lt;2,NOT(ISNUMBER($C719)),$C719=0),"",$C720/$C719-1)</f>
        <v/>
      </c>
      <c r="I720" s="52" t="str">
        <f aca="false">IF(AND(ISNUMBER($G720),$G720&gt;=MA_SHORT),AVERAGE(INDEX($C$320:$C720,402-MA_SHORT):$C720),"")</f>
        <v/>
      </c>
      <c r="J720" s="52" t="str">
        <f aca="false">IF(AND(ISNUMBER($G720),$G720&gt;=MA_MED),AVERAGE(INDEX($C$320:$C720,402-MA_MED):$C720),"")</f>
        <v/>
      </c>
      <c r="K720" s="52" t="str">
        <f aca="false">IF(AND(ISNUMBER($G720),$G720&gt;=MA_LONG2),AVERAGE(INDEX($C$320:$C720,402-MA_LONG2):$C720),"")</f>
        <v/>
      </c>
      <c r="L720" s="53" t="str">
        <f aca="false">IF(AND(ISNUMBER($G720),$G720&gt;=21),STDEV(INDEX($H$660:$H720,62-20):$H720)*SQRT(245),"")</f>
        <v/>
      </c>
      <c r="M720" s="52" t="str">
        <f aca="false">IF(AND(ISNUMBER($G720),$G720&gt;=60),MAX(INDEX($D$520:$D720,202-60):$D720),"")</f>
        <v/>
      </c>
      <c r="N720" s="52" t="str">
        <f aca="false">IF(AND(ISNUMBER($G720),$G720&gt;=60),MIN(INDEX($E$520:$E720,202-60):$E720),"")</f>
        <v/>
      </c>
      <c r="O720" s="53" t="str">
        <f aca="false">IF(OR(NOT(ISNUMBER($C720)),NOT(ISNUMBER($M720)),$M720=0),"",$C720/$M720-1)</f>
        <v/>
      </c>
    </row>
    <row r="721" customFormat="false" ht="15" hidden="false" customHeight="false" outlineLevel="0" collapsed="false">
      <c r="A721" s="55"/>
      <c r="B721" s="56"/>
      <c r="C721" s="57"/>
      <c r="D721" s="56"/>
      <c r="E721" s="56"/>
      <c r="F721" s="56"/>
      <c r="G721" s="50" t="str">
        <f aca="false">IF($A721="","",IF(ISNUMBER($G720),$G720+1,1))</f>
        <v/>
      </c>
      <c r="H721" s="51" t="str">
        <f aca="false">IF(OR(NOT(ISNUMBER($G721)),$G721&lt;2,NOT(ISNUMBER($C720)),$C720=0),"",$C721/$C720-1)</f>
        <v/>
      </c>
      <c r="I721" s="52" t="str">
        <f aca="false">IF(AND(ISNUMBER($G721),$G721&gt;=MA_SHORT),AVERAGE(INDEX($C$321:$C721,402-MA_SHORT):$C721),"")</f>
        <v/>
      </c>
      <c r="J721" s="52" t="str">
        <f aca="false">IF(AND(ISNUMBER($G721),$G721&gt;=MA_MED),AVERAGE(INDEX($C$321:$C721,402-MA_MED):$C721),"")</f>
        <v/>
      </c>
      <c r="K721" s="52" t="str">
        <f aca="false">IF(AND(ISNUMBER($G721),$G721&gt;=MA_LONG2),AVERAGE(INDEX($C$321:$C721,402-MA_LONG2):$C721),"")</f>
        <v/>
      </c>
      <c r="L721" s="53" t="str">
        <f aca="false">IF(AND(ISNUMBER($G721),$G721&gt;=21),STDEV(INDEX($H$661:$H721,62-20):$H721)*SQRT(245),"")</f>
        <v/>
      </c>
      <c r="M721" s="52" t="str">
        <f aca="false">IF(AND(ISNUMBER($G721),$G721&gt;=60),MAX(INDEX($D$521:$D721,202-60):$D721),"")</f>
        <v/>
      </c>
      <c r="N721" s="52" t="str">
        <f aca="false">IF(AND(ISNUMBER($G721),$G721&gt;=60),MIN(INDEX($E$521:$E721,202-60):$E721),"")</f>
        <v/>
      </c>
      <c r="O721" s="53" t="str">
        <f aca="false">IF(OR(NOT(ISNUMBER($C721)),NOT(ISNUMBER($M721)),$M721=0),"",$C721/$M721-1)</f>
        <v/>
      </c>
    </row>
    <row r="722" customFormat="false" ht="15" hidden="false" customHeight="false" outlineLevel="0" collapsed="false">
      <c r="A722" s="55"/>
      <c r="B722" s="56"/>
      <c r="C722" s="57"/>
      <c r="D722" s="56"/>
      <c r="E722" s="56"/>
      <c r="F722" s="56"/>
      <c r="G722" s="50" t="str">
        <f aca="false">IF($A722="","",IF(ISNUMBER($G721),$G721+1,1))</f>
        <v/>
      </c>
      <c r="H722" s="51" t="str">
        <f aca="false">IF(OR(NOT(ISNUMBER($G722)),$G722&lt;2,NOT(ISNUMBER($C721)),$C721=0),"",$C722/$C721-1)</f>
        <v/>
      </c>
      <c r="I722" s="52" t="str">
        <f aca="false">IF(AND(ISNUMBER($G722),$G722&gt;=MA_SHORT),AVERAGE(INDEX($C$322:$C722,402-MA_SHORT):$C722),"")</f>
        <v/>
      </c>
      <c r="J722" s="52" t="str">
        <f aca="false">IF(AND(ISNUMBER($G722),$G722&gt;=MA_MED),AVERAGE(INDEX($C$322:$C722,402-MA_MED):$C722),"")</f>
        <v/>
      </c>
      <c r="K722" s="52" t="str">
        <f aca="false">IF(AND(ISNUMBER($G722),$G722&gt;=MA_LONG2),AVERAGE(INDEX($C$322:$C722,402-MA_LONG2):$C722),"")</f>
        <v/>
      </c>
      <c r="L722" s="53" t="str">
        <f aca="false">IF(AND(ISNUMBER($G722),$G722&gt;=21),STDEV(INDEX($H$662:$H722,62-20):$H722)*SQRT(245),"")</f>
        <v/>
      </c>
      <c r="M722" s="52" t="str">
        <f aca="false">IF(AND(ISNUMBER($G722),$G722&gt;=60),MAX(INDEX($D$522:$D722,202-60):$D722),"")</f>
        <v/>
      </c>
      <c r="N722" s="52" t="str">
        <f aca="false">IF(AND(ISNUMBER($G722),$G722&gt;=60),MIN(INDEX($E$522:$E722,202-60):$E722),"")</f>
        <v/>
      </c>
      <c r="O722" s="53" t="str">
        <f aca="false">IF(OR(NOT(ISNUMBER($C722)),NOT(ISNUMBER($M722)),$M722=0),"",$C722/$M722-1)</f>
        <v/>
      </c>
    </row>
    <row r="723" customFormat="false" ht="15" hidden="false" customHeight="false" outlineLevel="0" collapsed="false">
      <c r="A723" s="55"/>
      <c r="B723" s="56"/>
      <c r="C723" s="57"/>
      <c r="D723" s="56"/>
      <c r="E723" s="56"/>
      <c r="F723" s="56"/>
      <c r="G723" s="50" t="str">
        <f aca="false">IF($A723="","",IF(ISNUMBER($G722),$G722+1,1))</f>
        <v/>
      </c>
      <c r="H723" s="51" t="str">
        <f aca="false">IF(OR(NOT(ISNUMBER($G723)),$G723&lt;2,NOT(ISNUMBER($C722)),$C722=0),"",$C723/$C722-1)</f>
        <v/>
      </c>
      <c r="I723" s="52" t="str">
        <f aca="false">IF(AND(ISNUMBER($G723),$G723&gt;=MA_SHORT),AVERAGE(INDEX($C$323:$C723,402-MA_SHORT):$C723),"")</f>
        <v/>
      </c>
      <c r="J723" s="52" t="str">
        <f aca="false">IF(AND(ISNUMBER($G723),$G723&gt;=MA_MED),AVERAGE(INDEX($C$323:$C723,402-MA_MED):$C723),"")</f>
        <v/>
      </c>
      <c r="K723" s="52" t="str">
        <f aca="false">IF(AND(ISNUMBER($G723),$G723&gt;=MA_LONG2),AVERAGE(INDEX($C$323:$C723,402-MA_LONG2):$C723),"")</f>
        <v/>
      </c>
      <c r="L723" s="53" t="str">
        <f aca="false">IF(AND(ISNUMBER($G723),$G723&gt;=21),STDEV(INDEX($H$663:$H723,62-20):$H723)*SQRT(245),"")</f>
        <v/>
      </c>
      <c r="M723" s="52" t="str">
        <f aca="false">IF(AND(ISNUMBER($G723),$G723&gt;=60),MAX(INDEX($D$523:$D723,202-60):$D723),"")</f>
        <v/>
      </c>
      <c r="N723" s="52" t="str">
        <f aca="false">IF(AND(ISNUMBER($G723),$G723&gt;=60),MIN(INDEX($E$523:$E723,202-60):$E723),"")</f>
        <v/>
      </c>
      <c r="O723" s="53" t="str">
        <f aca="false">IF(OR(NOT(ISNUMBER($C723)),NOT(ISNUMBER($M723)),$M723=0),"",$C723/$M723-1)</f>
        <v/>
      </c>
    </row>
    <row r="724" customFormat="false" ht="15" hidden="false" customHeight="false" outlineLevel="0" collapsed="false">
      <c r="A724" s="55"/>
      <c r="B724" s="56"/>
      <c r="C724" s="57"/>
      <c r="D724" s="56"/>
      <c r="E724" s="56"/>
      <c r="F724" s="56"/>
      <c r="G724" s="50" t="str">
        <f aca="false">IF($A724="","",IF(ISNUMBER($G723),$G723+1,1))</f>
        <v/>
      </c>
      <c r="H724" s="51" t="str">
        <f aca="false">IF(OR(NOT(ISNUMBER($G724)),$G724&lt;2,NOT(ISNUMBER($C723)),$C723=0),"",$C724/$C723-1)</f>
        <v/>
      </c>
      <c r="I724" s="52" t="str">
        <f aca="false">IF(AND(ISNUMBER($G724),$G724&gt;=MA_SHORT),AVERAGE(INDEX($C$324:$C724,402-MA_SHORT):$C724),"")</f>
        <v/>
      </c>
      <c r="J724" s="52" t="str">
        <f aca="false">IF(AND(ISNUMBER($G724),$G724&gt;=MA_MED),AVERAGE(INDEX($C$324:$C724,402-MA_MED):$C724),"")</f>
        <v/>
      </c>
      <c r="K724" s="52" t="str">
        <f aca="false">IF(AND(ISNUMBER($G724),$G724&gt;=MA_LONG2),AVERAGE(INDEX($C$324:$C724,402-MA_LONG2):$C724),"")</f>
        <v/>
      </c>
      <c r="L724" s="53" t="str">
        <f aca="false">IF(AND(ISNUMBER($G724),$G724&gt;=21),STDEV(INDEX($H$664:$H724,62-20):$H724)*SQRT(245),"")</f>
        <v/>
      </c>
      <c r="M724" s="52" t="str">
        <f aca="false">IF(AND(ISNUMBER($G724),$G724&gt;=60),MAX(INDEX($D$524:$D724,202-60):$D724),"")</f>
        <v/>
      </c>
      <c r="N724" s="52" t="str">
        <f aca="false">IF(AND(ISNUMBER($G724),$G724&gt;=60),MIN(INDEX($E$524:$E724,202-60):$E724),"")</f>
        <v/>
      </c>
      <c r="O724" s="53" t="str">
        <f aca="false">IF(OR(NOT(ISNUMBER($C724)),NOT(ISNUMBER($M724)),$M724=0),"",$C724/$M724-1)</f>
        <v/>
      </c>
    </row>
    <row r="725" customFormat="false" ht="15" hidden="false" customHeight="false" outlineLevel="0" collapsed="false">
      <c r="A725" s="55"/>
      <c r="B725" s="56"/>
      <c r="C725" s="57"/>
      <c r="D725" s="56"/>
      <c r="E725" s="56"/>
      <c r="F725" s="56"/>
      <c r="G725" s="50" t="str">
        <f aca="false">IF($A725="","",IF(ISNUMBER($G724),$G724+1,1))</f>
        <v/>
      </c>
      <c r="H725" s="51" t="str">
        <f aca="false">IF(OR(NOT(ISNUMBER($G725)),$G725&lt;2,NOT(ISNUMBER($C724)),$C724=0),"",$C725/$C724-1)</f>
        <v/>
      </c>
      <c r="I725" s="52" t="str">
        <f aca="false">IF(AND(ISNUMBER($G725),$G725&gt;=MA_SHORT),AVERAGE(INDEX($C$325:$C725,402-MA_SHORT):$C725),"")</f>
        <v/>
      </c>
      <c r="J725" s="52" t="str">
        <f aca="false">IF(AND(ISNUMBER($G725),$G725&gt;=MA_MED),AVERAGE(INDEX($C$325:$C725,402-MA_MED):$C725),"")</f>
        <v/>
      </c>
      <c r="K725" s="52" t="str">
        <f aca="false">IF(AND(ISNUMBER($G725),$G725&gt;=MA_LONG2),AVERAGE(INDEX($C$325:$C725,402-MA_LONG2):$C725),"")</f>
        <v/>
      </c>
      <c r="L725" s="53" t="str">
        <f aca="false">IF(AND(ISNUMBER($G725),$G725&gt;=21),STDEV(INDEX($H$665:$H725,62-20):$H725)*SQRT(245),"")</f>
        <v/>
      </c>
      <c r="M725" s="52" t="str">
        <f aca="false">IF(AND(ISNUMBER($G725),$G725&gt;=60),MAX(INDEX($D$525:$D725,202-60):$D725),"")</f>
        <v/>
      </c>
      <c r="N725" s="52" t="str">
        <f aca="false">IF(AND(ISNUMBER($G725),$G725&gt;=60),MIN(INDEX($E$525:$E725,202-60):$E725),"")</f>
        <v/>
      </c>
      <c r="O725" s="53" t="str">
        <f aca="false">IF(OR(NOT(ISNUMBER($C725)),NOT(ISNUMBER($M725)),$M725=0),"",$C725/$M725-1)</f>
        <v/>
      </c>
    </row>
    <row r="726" customFormat="false" ht="15" hidden="false" customHeight="false" outlineLevel="0" collapsed="false">
      <c r="A726" s="55"/>
      <c r="B726" s="56"/>
      <c r="C726" s="57"/>
      <c r="D726" s="56"/>
      <c r="E726" s="56"/>
      <c r="F726" s="56"/>
      <c r="G726" s="50" t="str">
        <f aca="false">IF($A726="","",IF(ISNUMBER($G725),$G725+1,1))</f>
        <v/>
      </c>
      <c r="H726" s="51" t="str">
        <f aca="false">IF(OR(NOT(ISNUMBER($G726)),$G726&lt;2,NOT(ISNUMBER($C725)),$C725=0),"",$C726/$C725-1)</f>
        <v/>
      </c>
      <c r="I726" s="52" t="str">
        <f aca="false">IF(AND(ISNUMBER($G726),$G726&gt;=MA_SHORT),AVERAGE(INDEX($C$326:$C726,402-MA_SHORT):$C726),"")</f>
        <v/>
      </c>
      <c r="J726" s="52" t="str">
        <f aca="false">IF(AND(ISNUMBER($G726),$G726&gt;=MA_MED),AVERAGE(INDEX($C$326:$C726,402-MA_MED):$C726),"")</f>
        <v/>
      </c>
      <c r="K726" s="52" t="str">
        <f aca="false">IF(AND(ISNUMBER($G726),$G726&gt;=MA_LONG2),AVERAGE(INDEX($C$326:$C726,402-MA_LONG2):$C726),"")</f>
        <v/>
      </c>
      <c r="L726" s="53" t="str">
        <f aca="false">IF(AND(ISNUMBER($G726),$G726&gt;=21),STDEV(INDEX($H$666:$H726,62-20):$H726)*SQRT(245),"")</f>
        <v/>
      </c>
      <c r="M726" s="52" t="str">
        <f aca="false">IF(AND(ISNUMBER($G726),$G726&gt;=60),MAX(INDEX($D$526:$D726,202-60):$D726),"")</f>
        <v/>
      </c>
      <c r="N726" s="52" t="str">
        <f aca="false">IF(AND(ISNUMBER($G726),$G726&gt;=60),MIN(INDEX($E$526:$E726,202-60):$E726),"")</f>
        <v/>
      </c>
      <c r="O726" s="53" t="str">
        <f aca="false">IF(OR(NOT(ISNUMBER($C726)),NOT(ISNUMBER($M726)),$M726=0),"",$C726/$M726-1)</f>
        <v/>
      </c>
    </row>
    <row r="727" customFormat="false" ht="15" hidden="false" customHeight="false" outlineLevel="0" collapsed="false">
      <c r="A727" s="55"/>
      <c r="B727" s="56"/>
      <c r="C727" s="57"/>
      <c r="D727" s="56"/>
      <c r="E727" s="56"/>
      <c r="F727" s="56"/>
      <c r="G727" s="50" t="str">
        <f aca="false">IF($A727="","",IF(ISNUMBER($G726),$G726+1,1))</f>
        <v/>
      </c>
      <c r="H727" s="51" t="str">
        <f aca="false">IF(OR(NOT(ISNUMBER($G727)),$G727&lt;2,NOT(ISNUMBER($C726)),$C726=0),"",$C727/$C726-1)</f>
        <v/>
      </c>
      <c r="I727" s="52" t="str">
        <f aca="false">IF(AND(ISNUMBER($G727),$G727&gt;=MA_SHORT),AVERAGE(INDEX($C$327:$C727,402-MA_SHORT):$C727),"")</f>
        <v/>
      </c>
      <c r="J727" s="52" t="str">
        <f aca="false">IF(AND(ISNUMBER($G727),$G727&gt;=MA_MED),AVERAGE(INDEX($C$327:$C727,402-MA_MED):$C727),"")</f>
        <v/>
      </c>
      <c r="K727" s="52" t="str">
        <f aca="false">IF(AND(ISNUMBER($G727),$G727&gt;=MA_LONG2),AVERAGE(INDEX($C$327:$C727,402-MA_LONG2):$C727),"")</f>
        <v/>
      </c>
      <c r="L727" s="53" t="str">
        <f aca="false">IF(AND(ISNUMBER($G727),$G727&gt;=21),STDEV(INDEX($H$667:$H727,62-20):$H727)*SQRT(245),"")</f>
        <v/>
      </c>
      <c r="M727" s="52" t="str">
        <f aca="false">IF(AND(ISNUMBER($G727),$G727&gt;=60),MAX(INDEX($D$527:$D727,202-60):$D727),"")</f>
        <v/>
      </c>
      <c r="N727" s="52" t="str">
        <f aca="false">IF(AND(ISNUMBER($G727),$G727&gt;=60),MIN(INDEX($E$527:$E727,202-60):$E727),"")</f>
        <v/>
      </c>
      <c r="O727" s="53" t="str">
        <f aca="false">IF(OR(NOT(ISNUMBER($C727)),NOT(ISNUMBER($M727)),$M727=0),"",$C727/$M727-1)</f>
        <v/>
      </c>
    </row>
    <row r="728" customFormat="false" ht="15" hidden="false" customHeight="false" outlineLevel="0" collapsed="false">
      <c r="A728" s="55"/>
      <c r="B728" s="56"/>
      <c r="C728" s="57"/>
      <c r="D728" s="56"/>
      <c r="E728" s="56"/>
      <c r="F728" s="56"/>
      <c r="G728" s="50" t="str">
        <f aca="false">IF($A728="","",IF(ISNUMBER($G727),$G727+1,1))</f>
        <v/>
      </c>
      <c r="H728" s="51" t="str">
        <f aca="false">IF(OR(NOT(ISNUMBER($G728)),$G728&lt;2,NOT(ISNUMBER($C727)),$C727=0),"",$C728/$C727-1)</f>
        <v/>
      </c>
      <c r="I728" s="52" t="str">
        <f aca="false">IF(AND(ISNUMBER($G728),$G728&gt;=MA_SHORT),AVERAGE(INDEX($C$328:$C728,402-MA_SHORT):$C728),"")</f>
        <v/>
      </c>
      <c r="J728" s="52" t="str">
        <f aca="false">IF(AND(ISNUMBER($G728),$G728&gt;=MA_MED),AVERAGE(INDEX($C$328:$C728,402-MA_MED):$C728),"")</f>
        <v/>
      </c>
      <c r="K728" s="52" t="str">
        <f aca="false">IF(AND(ISNUMBER($G728),$G728&gt;=MA_LONG2),AVERAGE(INDEX($C$328:$C728,402-MA_LONG2):$C728),"")</f>
        <v/>
      </c>
      <c r="L728" s="53" t="str">
        <f aca="false">IF(AND(ISNUMBER($G728),$G728&gt;=21),STDEV(INDEX($H$668:$H728,62-20):$H728)*SQRT(245),"")</f>
        <v/>
      </c>
      <c r="M728" s="52" t="str">
        <f aca="false">IF(AND(ISNUMBER($G728),$G728&gt;=60),MAX(INDEX($D$528:$D728,202-60):$D728),"")</f>
        <v/>
      </c>
      <c r="N728" s="52" t="str">
        <f aca="false">IF(AND(ISNUMBER($G728),$G728&gt;=60),MIN(INDEX($E$528:$E728,202-60):$E728),"")</f>
        <v/>
      </c>
      <c r="O728" s="53" t="str">
        <f aca="false">IF(OR(NOT(ISNUMBER($C728)),NOT(ISNUMBER($M728)),$M728=0),"",$C728/$M728-1)</f>
        <v/>
      </c>
    </row>
    <row r="729" customFormat="false" ht="15" hidden="false" customHeight="false" outlineLevel="0" collapsed="false">
      <c r="A729" s="55"/>
      <c r="B729" s="56"/>
      <c r="C729" s="57"/>
      <c r="D729" s="56"/>
      <c r="E729" s="56"/>
      <c r="F729" s="56"/>
      <c r="G729" s="50" t="str">
        <f aca="false">IF($A729="","",IF(ISNUMBER($G728),$G728+1,1))</f>
        <v/>
      </c>
      <c r="H729" s="51" t="str">
        <f aca="false">IF(OR(NOT(ISNUMBER($G729)),$G729&lt;2,NOT(ISNUMBER($C728)),$C728=0),"",$C729/$C728-1)</f>
        <v/>
      </c>
      <c r="I729" s="52" t="str">
        <f aca="false">IF(AND(ISNUMBER($G729),$G729&gt;=MA_SHORT),AVERAGE(INDEX($C$329:$C729,402-MA_SHORT):$C729),"")</f>
        <v/>
      </c>
      <c r="J729" s="52" t="str">
        <f aca="false">IF(AND(ISNUMBER($G729),$G729&gt;=MA_MED),AVERAGE(INDEX($C$329:$C729,402-MA_MED):$C729),"")</f>
        <v/>
      </c>
      <c r="K729" s="52" t="str">
        <f aca="false">IF(AND(ISNUMBER($G729),$G729&gt;=MA_LONG2),AVERAGE(INDEX($C$329:$C729,402-MA_LONG2):$C729),"")</f>
        <v/>
      </c>
      <c r="L729" s="53" t="str">
        <f aca="false">IF(AND(ISNUMBER($G729),$G729&gt;=21),STDEV(INDEX($H$669:$H729,62-20):$H729)*SQRT(245),"")</f>
        <v/>
      </c>
      <c r="M729" s="52" t="str">
        <f aca="false">IF(AND(ISNUMBER($G729),$G729&gt;=60),MAX(INDEX($D$529:$D729,202-60):$D729),"")</f>
        <v/>
      </c>
      <c r="N729" s="52" t="str">
        <f aca="false">IF(AND(ISNUMBER($G729),$G729&gt;=60),MIN(INDEX($E$529:$E729,202-60):$E729),"")</f>
        <v/>
      </c>
      <c r="O729" s="53" t="str">
        <f aca="false">IF(OR(NOT(ISNUMBER($C729)),NOT(ISNUMBER($M729)),$M729=0),"",$C729/$M729-1)</f>
        <v/>
      </c>
    </row>
    <row r="730" customFormat="false" ht="15" hidden="false" customHeight="false" outlineLevel="0" collapsed="false">
      <c r="A730" s="55"/>
      <c r="B730" s="56"/>
      <c r="C730" s="57"/>
      <c r="D730" s="56"/>
      <c r="E730" s="56"/>
      <c r="F730" s="56"/>
      <c r="G730" s="50" t="str">
        <f aca="false">IF($A730="","",IF(ISNUMBER($G729),$G729+1,1))</f>
        <v/>
      </c>
      <c r="H730" s="51" t="str">
        <f aca="false">IF(OR(NOT(ISNUMBER($G730)),$G730&lt;2,NOT(ISNUMBER($C729)),$C729=0),"",$C730/$C729-1)</f>
        <v/>
      </c>
      <c r="I730" s="52" t="str">
        <f aca="false">IF(AND(ISNUMBER($G730),$G730&gt;=MA_SHORT),AVERAGE(INDEX($C$330:$C730,402-MA_SHORT):$C730),"")</f>
        <v/>
      </c>
      <c r="J730" s="52" t="str">
        <f aca="false">IF(AND(ISNUMBER($G730),$G730&gt;=MA_MED),AVERAGE(INDEX($C$330:$C730,402-MA_MED):$C730),"")</f>
        <v/>
      </c>
      <c r="K730" s="52" t="str">
        <f aca="false">IF(AND(ISNUMBER($G730),$G730&gt;=MA_LONG2),AVERAGE(INDEX($C$330:$C730,402-MA_LONG2):$C730),"")</f>
        <v/>
      </c>
      <c r="L730" s="53" t="str">
        <f aca="false">IF(AND(ISNUMBER($G730),$G730&gt;=21),STDEV(INDEX($H$670:$H730,62-20):$H730)*SQRT(245),"")</f>
        <v/>
      </c>
      <c r="M730" s="52" t="str">
        <f aca="false">IF(AND(ISNUMBER($G730),$G730&gt;=60),MAX(INDEX($D$530:$D730,202-60):$D730),"")</f>
        <v/>
      </c>
      <c r="N730" s="52" t="str">
        <f aca="false">IF(AND(ISNUMBER($G730),$G730&gt;=60),MIN(INDEX($E$530:$E730,202-60):$E730),"")</f>
        <v/>
      </c>
      <c r="O730" s="53" t="str">
        <f aca="false">IF(OR(NOT(ISNUMBER($C730)),NOT(ISNUMBER($M730)),$M730=0),"",$C730/$M730-1)</f>
        <v/>
      </c>
    </row>
    <row r="731" customFormat="false" ht="15" hidden="false" customHeight="false" outlineLevel="0" collapsed="false">
      <c r="A731" s="55"/>
      <c r="B731" s="56"/>
      <c r="C731" s="57"/>
      <c r="D731" s="56"/>
      <c r="E731" s="56"/>
      <c r="F731" s="56"/>
      <c r="G731" s="50" t="str">
        <f aca="false">IF($A731="","",IF(ISNUMBER($G730),$G730+1,1))</f>
        <v/>
      </c>
      <c r="H731" s="51" t="str">
        <f aca="false">IF(OR(NOT(ISNUMBER($G731)),$G731&lt;2,NOT(ISNUMBER($C730)),$C730=0),"",$C731/$C730-1)</f>
        <v/>
      </c>
      <c r="I731" s="52" t="str">
        <f aca="false">IF(AND(ISNUMBER($G731),$G731&gt;=MA_SHORT),AVERAGE(INDEX($C$331:$C731,402-MA_SHORT):$C731),"")</f>
        <v/>
      </c>
      <c r="J731" s="52" t="str">
        <f aca="false">IF(AND(ISNUMBER($G731),$G731&gt;=MA_MED),AVERAGE(INDEX($C$331:$C731,402-MA_MED):$C731),"")</f>
        <v/>
      </c>
      <c r="K731" s="52" t="str">
        <f aca="false">IF(AND(ISNUMBER($G731),$G731&gt;=MA_LONG2),AVERAGE(INDEX($C$331:$C731,402-MA_LONG2):$C731),"")</f>
        <v/>
      </c>
      <c r="L731" s="53" t="str">
        <f aca="false">IF(AND(ISNUMBER($G731),$G731&gt;=21),STDEV(INDEX($H$671:$H731,62-20):$H731)*SQRT(245),"")</f>
        <v/>
      </c>
      <c r="M731" s="52" t="str">
        <f aca="false">IF(AND(ISNUMBER($G731),$G731&gt;=60),MAX(INDEX($D$531:$D731,202-60):$D731),"")</f>
        <v/>
      </c>
      <c r="N731" s="52" t="str">
        <f aca="false">IF(AND(ISNUMBER($G731),$G731&gt;=60),MIN(INDEX($E$531:$E731,202-60):$E731),"")</f>
        <v/>
      </c>
      <c r="O731" s="53" t="str">
        <f aca="false">IF(OR(NOT(ISNUMBER($C731)),NOT(ISNUMBER($M731)),$M731=0),"",$C731/$M731-1)</f>
        <v/>
      </c>
    </row>
    <row r="732" customFormat="false" ht="15" hidden="false" customHeight="false" outlineLevel="0" collapsed="false">
      <c r="A732" s="55"/>
      <c r="B732" s="56"/>
      <c r="C732" s="57"/>
      <c r="D732" s="56"/>
      <c r="E732" s="56"/>
      <c r="F732" s="56"/>
      <c r="G732" s="50" t="str">
        <f aca="false">IF($A732="","",IF(ISNUMBER($G731),$G731+1,1))</f>
        <v/>
      </c>
      <c r="H732" s="51" t="str">
        <f aca="false">IF(OR(NOT(ISNUMBER($G732)),$G732&lt;2,NOT(ISNUMBER($C731)),$C731=0),"",$C732/$C731-1)</f>
        <v/>
      </c>
      <c r="I732" s="52" t="str">
        <f aca="false">IF(AND(ISNUMBER($G732),$G732&gt;=MA_SHORT),AVERAGE(INDEX($C$332:$C732,402-MA_SHORT):$C732),"")</f>
        <v/>
      </c>
      <c r="J732" s="52" t="str">
        <f aca="false">IF(AND(ISNUMBER($G732),$G732&gt;=MA_MED),AVERAGE(INDEX($C$332:$C732,402-MA_MED):$C732),"")</f>
        <v/>
      </c>
      <c r="K732" s="52" t="str">
        <f aca="false">IF(AND(ISNUMBER($G732),$G732&gt;=MA_LONG2),AVERAGE(INDEX($C$332:$C732,402-MA_LONG2):$C732),"")</f>
        <v/>
      </c>
      <c r="L732" s="53" t="str">
        <f aca="false">IF(AND(ISNUMBER($G732),$G732&gt;=21),STDEV(INDEX($H$672:$H732,62-20):$H732)*SQRT(245),"")</f>
        <v/>
      </c>
      <c r="M732" s="52" t="str">
        <f aca="false">IF(AND(ISNUMBER($G732),$G732&gt;=60),MAX(INDEX($D$532:$D732,202-60):$D732),"")</f>
        <v/>
      </c>
      <c r="N732" s="52" t="str">
        <f aca="false">IF(AND(ISNUMBER($G732),$G732&gt;=60),MIN(INDEX($E$532:$E732,202-60):$E732),"")</f>
        <v/>
      </c>
      <c r="O732" s="53" t="str">
        <f aca="false">IF(OR(NOT(ISNUMBER($C732)),NOT(ISNUMBER($M732)),$M732=0),"",$C732/$M732-1)</f>
        <v/>
      </c>
    </row>
    <row r="733" customFormat="false" ht="15" hidden="false" customHeight="false" outlineLevel="0" collapsed="false">
      <c r="A733" s="55"/>
      <c r="B733" s="56"/>
      <c r="C733" s="57"/>
      <c r="D733" s="56"/>
      <c r="E733" s="56"/>
      <c r="F733" s="56"/>
      <c r="G733" s="50" t="str">
        <f aca="false">IF($A733="","",IF(ISNUMBER($G732),$G732+1,1))</f>
        <v/>
      </c>
      <c r="H733" s="51" t="str">
        <f aca="false">IF(OR(NOT(ISNUMBER($G733)),$G733&lt;2,NOT(ISNUMBER($C732)),$C732=0),"",$C733/$C732-1)</f>
        <v/>
      </c>
      <c r="I733" s="52" t="str">
        <f aca="false">IF(AND(ISNUMBER($G733),$G733&gt;=MA_SHORT),AVERAGE(INDEX($C$333:$C733,402-MA_SHORT):$C733),"")</f>
        <v/>
      </c>
      <c r="J733" s="52" t="str">
        <f aca="false">IF(AND(ISNUMBER($G733),$G733&gt;=MA_MED),AVERAGE(INDEX($C$333:$C733,402-MA_MED):$C733),"")</f>
        <v/>
      </c>
      <c r="K733" s="52" t="str">
        <f aca="false">IF(AND(ISNUMBER($G733),$G733&gt;=MA_LONG2),AVERAGE(INDEX($C$333:$C733,402-MA_LONG2):$C733),"")</f>
        <v/>
      </c>
      <c r="L733" s="53" t="str">
        <f aca="false">IF(AND(ISNUMBER($G733),$G733&gt;=21),STDEV(INDEX($H$673:$H733,62-20):$H733)*SQRT(245),"")</f>
        <v/>
      </c>
      <c r="M733" s="52" t="str">
        <f aca="false">IF(AND(ISNUMBER($G733),$G733&gt;=60),MAX(INDEX($D$533:$D733,202-60):$D733),"")</f>
        <v/>
      </c>
      <c r="N733" s="52" t="str">
        <f aca="false">IF(AND(ISNUMBER($G733),$G733&gt;=60),MIN(INDEX($E$533:$E733,202-60):$E733),"")</f>
        <v/>
      </c>
      <c r="O733" s="53" t="str">
        <f aca="false">IF(OR(NOT(ISNUMBER($C733)),NOT(ISNUMBER($M733)),$M733=0),"",$C733/$M733-1)</f>
        <v/>
      </c>
    </row>
    <row r="734" customFormat="false" ht="15" hidden="false" customHeight="false" outlineLevel="0" collapsed="false">
      <c r="A734" s="55"/>
      <c r="B734" s="56"/>
      <c r="C734" s="57"/>
      <c r="D734" s="56"/>
      <c r="E734" s="56"/>
      <c r="F734" s="56"/>
      <c r="G734" s="50" t="str">
        <f aca="false">IF($A734="","",IF(ISNUMBER($G733),$G733+1,1))</f>
        <v/>
      </c>
      <c r="H734" s="51" t="str">
        <f aca="false">IF(OR(NOT(ISNUMBER($G734)),$G734&lt;2,NOT(ISNUMBER($C733)),$C733=0),"",$C734/$C733-1)</f>
        <v/>
      </c>
      <c r="I734" s="52" t="str">
        <f aca="false">IF(AND(ISNUMBER($G734),$G734&gt;=MA_SHORT),AVERAGE(INDEX($C$334:$C734,402-MA_SHORT):$C734),"")</f>
        <v/>
      </c>
      <c r="J734" s="52" t="str">
        <f aca="false">IF(AND(ISNUMBER($G734),$G734&gt;=MA_MED),AVERAGE(INDEX($C$334:$C734,402-MA_MED):$C734),"")</f>
        <v/>
      </c>
      <c r="K734" s="52" t="str">
        <f aca="false">IF(AND(ISNUMBER($G734),$G734&gt;=MA_LONG2),AVERAGE(INDEX($C$334:$C734,402-MA_LONG2):$C734),"")</f>
        <v/>
      </c>
      <c r="L734" s="53" t="str">
        <f aca="false">IF(AND(ISNUMBER($G734),$G734&gt;=21),STDEV(INDEX($H$674:$H734,62-20):$H734)*SQRT(245),"")</f>
        <v/>
      </c>
      <c r="M734" s="52" t="str">
        <f aca="false">IF(AND(ISNUMBER($G734),$G734&gt;=60),MAX(INDEX($D$534:$D734,202-60):$D734),"")</f>
        <v/>
      </c>
      <c r="N734" s="52" t="str">
        <f aca="false">IF(AND(ISNUMBER($G734),$G734&gt;=60),MIN(INDEX($E$534:$E734,202-60):$E734),"")</f>
        <v/>
      </c>
      <c r="O734" s="53" t="str">
        <f aca="false">IF(OR(NOT(ISNUMBER($C734)),NOT(ISNUMBER($M734)),$M734=0),"",$C734/$M734-1)</f>
        <v/>
      </c>
    </row>
    <row r="735" customFormat="false" ht="15" hidden="false" customHeight="false" outlineLevel="0" collapsed="false">
      <c r="A735" s="55"/>
      <c r="B735" s="56"/>
      <c r="C735" s="57"/>
      <c r="D735" s="56"/>
      <c r="E735" s="56"/>
      <c r="F735" s="56"/>
      <c r="G735" s="50" t="str">
        <f aca="false">IF($A735="","",IF(ISNUMBER($G734),$G734+1,1))</f>
        <v/>
      </c>
      <c r="H735" s="51" t="str">
        <f aca="false">IF(OR(NOT(ISNUMBER($G735)),$G735&lt;2,NOT(ISNUMBER($C734)),$C734=0),"",$C735/$C734-1)</f>
        <v/>
      </c>
      <c r="I735" s="52" t="str">
        <f aca="false">IF(AND(ISNUMBER($G735),$G735&gt;=MA_SHORT),AVERAGE(INDEX($C$335:$C735,402-MA_SHORT):$C735),"")</f>
        <v/>
      </c>
      <c r="J735" s="52" t="str">
        <f aca="false">IF(AND(ISNUMBER($G735),$G735&gt;=MA_MED),AVERAGE(INDEX($C$335:$C735,402-MA_MED):$C735),"")</f>
        <v/>
      </c>
      <c r="K735" s="52" t="str">
        <f aca="false">IF(AND(ISNUMBER($G735),$G735&gt;=MA_LONG2),AVERAGE(INDEX($C$335:$C735,402-MA_LONG2):$C735),"")</f>
        <v/>
      </c>
      <c r="L735" s="53" t="str">
        <f aca="false">IF(AND(ISNUMBER($G735),$G735&gt;=21),STDEV(INDEX($H$675:$H735,62-20):$H735)*SQRT(245),"")</f>
        <v/>
      </c>
      <c r="M735" s="52" t="str">
        <f aca="false">IF(AND(ISNUMBER($G735),$G735&gt;=60),MAX(INDEX($D$535:$D735,202-60):$D735),"")</f>
        <v/>
      </c>
      <c r="N735" s="52" t="str">
        <f aca="false">IF(AND(ISNUMBER($G735),$G735&gt;=60),MIN(INDEX($E$535:$E735,202-60):$E735),"")</f>
        <v/>
      </c>
      <c r="O735" s="53" t="str">
        <f aca="false">IF(OR(NOT(ISNUMBER($C735)),NOT(ISNUMBER($M735)),$M735=0),"",$C735/$M735-1)</f>
        <v/>
      </c>
    </row>
    <row r="736" customFormat="false" ht="15" hidden="false" customHeight="false" outlineLevel="0" collapsed="false">
      <c r="A736" s="55"/>
      <c r="B736" s="56"/>
      <c r="C736" s="57"/>
      <c r="D736" s="56"/>
      <c r="E736" s="56"/>
      <c r="F736" s="56"/>
      <c r="G736" s="50" t="str">
        <f aca="false">IF($A736="","",IF(ISNUMBER($G735),$G735+1,1))</f>
        <v/>
      </c>
      <c r="H736" s="51" t="str">
        <f aca="false">IF(OR(NOT(ISNUMBER($G736)),$G736&lt;2,NOT(ISNUMBER($C735)),$C735=0),"",$C736/$C735-1)</f>
        <v/>
      </c>
      <c r="I736" s="52" t="str">
        <f aca="false">IF(AND(ISNUMBER($G736),$G736&gt;=MA_SHORT),AVERAGE(INDEX($C$336:$C736,402-MA_SHORT):$C736),"")</f>
        <v/>
      </c>
      <c r="J736" s="52" t="str">
        <f aca="false">IF(AND(ISNUMBER($G736),$G736&gt;=MA_MED),AVERAGE(INDEX($C$336:$C736,402-MA_MED):$C736),"")</f>
        <v/>
      </c>
      <c r="K736" s="52" t="str">
        <f aca="false">IF(AND(ISNUMBER($G736),$G736&gt;=MA_LONG2),AVERAGE(INDEX($C$336:$C736,402-MA_LONG2):$C736),"")</f>
        <v/>
      </c>
      <c r="L736" s="53" t="str">
        <f aca="false">IF(AND(ISNUMBER($G736),$G736&gt;=21),STDEV(INDEX($H$676:$H736,62-20):$H736)*SQRT(245),"")</f>
        <v/>
      </c>
      <c r="M736" s="52" t="str">
        <f aca="false">IF(AND(ISNUMBER($G736),$G736&gt;=60),MAX(INDEX($D$536:$D736,202-60):$D736),"")</f>
        <v/>
      </c>
      <c r="N736" s="52" t="str">
        <f aca="false">IF(AND(ISNUMBER($G736),$G736&gt;=60),MIN(INDEX($E$536:$E736,202-60):$E736),"")</f>
        <v/>
      </c>
      <c r="O736" s="53" t="str">
        <f aca="false">IF(OR(NOT(ISNUMBER($C736)),NOT(ISNUMBER($M736)),$M736=0),"",$C736/$M736-1)</f>
        <v/>
      </c>
    </row>
    <row r="737" customFormat="false" ht="15" hidden="false" customHeight="false" outlineLevel="0" collapsed="false">
      <c r="A737" s="55"/>
      <c r="B737" s="56"/>
      <c r="C737" s="57"/>
      <c r="D737" s="56"/>
      <c r="E737" s="56"/>
      <c r="F737" s="56"/>
      <c r="G737" s="50" t="str">
        <f aca="false">IF($A737="","",IF(ISNUMBER($G736),$G736+1,1))</f>
        <v/>
      </c>
      <c r="H737" s="51" t="str">
        <f aca="false">IF(OR(NOT(ISNUMBER($G737)),$G737&lt;2,NOT(ISNUMBER($C736)),$C736=0),"",$C737/$C736-1)</f>
        <v/>
      </c>
      <c r="I737" s="52" t="str">
        <f aca="false">IF(AND(ISNUMBER($G737),$G737&gt;=MA_SHORT),AVERAGE(INDEX($C$337:$C737,402-MA_SHORT):$C737),"")</f>
        <v/>
      </c>
      <c r="J737" s="52" t="str">
        <f aca="false">IF(AND(ISNUMBER($G737),$G737&gt;=MA_MED),AVERAGE(INDEX($C$337:$C737,402-MA_MED):$C737),"")</f>
        <v/>
      </c>
      <c r="K737" s="52" t="str">
        <f aca="false">IF(AND(ISNUMBER($G737),$G737&gt;=MA_LONG2),AVERAGE(INDEX($C$337:$C737,402-MA_LONG2):$C737),"")</f>
        <v/>
      </c>
      <c r="L737" s="53" t="str">
        <f aca="false">IF(AND(ISNUMBER($G737),$G737&gt;=21),STDEV(INDEX($H$677:$H737,62-20):$H737)*SQRT(245),"")</f>
        <v/>
      </c>
      <c r="M737" s="52" t="str">
        <f aca="false">IF(AND(ISNUMBER($G737),$G737&gt;=60),MAX(INDEX($D$537:$D737,202-60):$D737),"")</f>
        <v/>
      </c>
      <c r="N737" s="52" t="str">
        <f aca="false">IF(AND(ISNUMBER($G737),$G737&gt;=60),MIN(INDEX($E$537:$E737,202-60):$E737),"")</f>
        <v/>
      </c>
      <c r="O737" s="53" t="str">
        <f aca="false">IF(OR(NOT(ISNUMBER($C737)),NOT(ISNUMBER($M737)),$M737=0),"",$C737/$M737-1)</f>
        <v/>
      </c>
    </row>
    <row r="738" customFormat="false" ht="15" hidden="false" customHeight="false" outlineLevel="0" collapsed="false">
      <c r="A738" s="55"/>
      <c r="B738" s="56"/>
      <c r="C738" s="57"/>
      <c r="D738" s="56"/>
      <c r="E738" s="56"/>
      <c r="F738" s="56"/>
      <c r="G738" s="50" t="str">
        <f aca="false">IF($A738="","",IF(ISNUMBER($G737),$G737+1,1))</f>
        <v/>
      </c>
      <c r="H738" s="51" t="str">
        <f aca="false">IF(OR(NOT(ISNUMBER($G738)),$G738&lt;2,NOT(ISNUMBER($C737)),$C737=0),"",$C738/$C737-1)</f>
        <v/>
      </c>
      <c r="I738" s="52" t="str">
        <f aca="false">IF(AND(ISNUMBER($G738),$G738&gt;=MA_SHORT),AVERAGE(INDEX($C$338:$C738,402-MA_SHORT):$C738),"")</f>
        <v/>
      </c>
      <c r="J738" s="52" t="str">
        <f aca="false">IF(AND(ISNUMBER($G738),$G738&gt;=MA_MED),AVERAGE(INDEX($C$338:$C738,402-MA_MED):$C738),"")</f>
        <v/>
      </c>
      <c r="K738" s="52" t="str">
        <f aca="false">IF(AND(ISNUMBER($G738),$G738&gt;=MA_LONG2),AVERAGE(INDEX($C$338:$C738,402-MA_LONG2):$C738),"")</f>
        <v/>
      </c>
      <c r="L738" s="53" t="str">
        <f aca="false">IF(AND(ISNUMBER($G738),$G738&gt;=21),STDEV(INDEX($H$678:$H738,62-20):$H738)*SQRT(245),"")</f>
        <v/>
      </c>
      <c r="M738" s="52" t="str">
        <f aca="false">IF(AND(ISNUMBER($G738),$G738&gt;=60),MAX(INDEX($D$538:$D738,202-60):$D738),"")</f>
        <v/>
      </c>
      <c r="N738" s="52" t="str">
        <f aca="false">IF(AND(ISNUMBER($G738),$G738&gt;=60),MIN(INDEX($E$538:$E738,202-60):$E738),"")</f>
        <v/>
      </c>
      <c r="O738" s="53" t="str">
        <f aca="false">IF(OR(NOT(ISNUMBER($C738)),NOT(ISNUMBER($M738)),$M738=0),"",$C738/$M738-1)</f>
        <v/>
      </c>
    </row>
    <row r="739" customFormat="false" ht="15" hidden="false" customHeight="false" outlineLevel="0" collapsed="false">
      <c r="A739" s="55"/>
      <c r="B739" s="56"/>
      <c r="C739" s="57"/>
      <c r="D739" s="56"/>
      <c r="E739" s="56"/>
      <c r="F739" s="56"/>
      <c r="G739" s="50" t="str">
        <f aca="false">IF($A739="","",IF(ISNUMBER($G738),$G738+1,1))</f>
        <v/>
      </c>
      <c r="H739" s="51" t="str">
        <f aca="false">IF(OR(NOT(ISNUMBER($G739)),$G739&lt;2,NOT(ISNUMBER($C738)),$C738=0),"",$C739/$C738-1)</f>
        <v/>
      </c>
      <c r="I739" s="52" t="str">
        <f aca="false">IF(AND(ISNUMBER($G739),$G739&gt;=MA_SHORT),AVERAGE(INDEX($C$339:$C739,402-MA_SHORT):$C739),"")</f>
        <v/>
      </c>
      <c r="J739" s="52" t="str">
        <f aca="false">IF(AND(ISNUMBER($G739),$G739&gt;=MA_MED),AVERAGE(INDEX($C$339:$C739,402-MA_MED):$C739),"")</f>
        <v/>
      </c>
      <c r="K739" s="52" t="str">
        <f aca="false">IF(AND(ISNUMBER($G739),$G739&gt;=MA_LONG2),AVERAGE(INDEX($C$339:$C739,402-MA_LONG2):$C739),"")</f>
        <v/>
      </c>
      <c r="L739" s="53" t="str">
        <f aca="false">IF(AND(ISNUMBER($G739),$G739&gt;=21),STDEV(INDEX($H$679:$H739,62-20):$H739)*SQRT(245),"")</f>
        <v/>
      </c>
      <c r="M739" s="52" t="str">
        <f aca="false">IF(AND(ISNUMBER($G739),$G739&gt;=60),MAX(INDEX($D$539:$D739,202-60):$D739),"")</f>
        <v/>
      </c>
      <c r="N739" s="52" t="str">
        <f aca="false">IF(AND(ISNUMBER($G739),$G739&gt;=60),MIN(INDEX($E$539:$E739,202-60):$E739),"")</f>
        <v/>
      </c>
      <c r="O739" s="53" t="str">
        <f aca="false">IF(OR(NOT(ISNUMBER($C739)),NOT(ISNUMBER($M739)),$M739=0),"",$C739/$M739-1)</f>
        <v/>
      </c>
    </row>
    <row r="740" customFormat="false" ht="15" hidden="false" customHeight="false" outlineLevel="0" collapsed="false">
      <c r="A740" s="55"/>
      <c r="B740" s="56"/>
      <c r="C740" s="57"/>
      <c r="D740" s="56"/>
      <c r="E740" s="56"/>
      <c r="F740" s="56"/>
      <c r="G740" s="50" t="str">
        <f aca="false">IF($A740="","",IF(ISNUMBER($G739),$G739+1,1))</f>
        <v/>
      </c>
      <c r="H740" s="51" t="str">
        <f aca="false">IF(OR(NOT(ISNUMBER($G740)),$G740&lt;2,NOT(ISNUMBER($C739)),$C739=0),"",$C740/$C739-1)</f>
        <v/>
      </c>
      <c r="I740" s="52" t="str">
        <f aca="false">IF(AND(ISNUMBER($G740),$G740&gt;=MA_SHORT),AVERAGE(INDEX($C$340:$C740,402-MA_SHORT):$C740),"")</f>
        <v/>
      </c>
      <c r="J740" s="52" t="str">
        <f aca="false">IF(AND(ISNUMBER($G740),$G740&gt;=MA_MED),AVERAGE(INDEX($C$340:$C740,402-MA_MED):$C740),"")</f>
        <v/>
      </c>
      <c r="K740" s="52" t="str">
        <f aca="false">IF(AND(ISNUMBER($G740),$G740&gt;=MA_LONG2),AVERAGE(INDEX($C$340:$C740,402-MA_LONG2):$C740),"")</f>
        <v/>
      </c>
      <c r="L740" s="53" t="str">
        <f aca="false">IF(AND(ISNUMBER($G740),$G740&gt;=21),STDEV(INDEX($H$680:$H740,62-20):$H740)*SQRT(245),"")</f>
        <v/>
      </c>
      <c r="M740" s="52" t="str">
        <f aca="false">IF(AND(ISNUMBER($G740),$G740&gt;=60),MAX(INDEX($D$540:$D740,202-60):$D740),"")</f>
        <v/>
      </c>
      <c r="N740" s="52" t="str">
        <f aca="false">IF(AND(ISNUMBER($G740),$G740&gt;=60),MIN(INDEX($E$540:$E740,202-60):$E740),"")</f>
        <v/>
      </c>
      <c r="O740" s="53" t="str">
        <f aca="false">IF(OR(NOT(ISNUMBER($C740)),NOT(ISNUMBER($M740)),$M740=0),"",$C740/$M740-1)</f>
        <v/>
      </c>
    </row>
    <row r="741" customFormat="false" ht="15" hidden="false" customHeight="false" outlineLevel="0" collapsed="false">
      <c r="A741" s="55"/>
      <c r="B741" s="56"/>
      <c r="C741" s="57"/>
      <c r="D741" s="56"/>
      <c r="E741" s="56"/>
      <c r="F741" s="56"/>
      <c r="G741" s="50" t="str">
        <f aca="false">IF($A741="","",IF(ISNUMBER($G740),$G740+1,1))</f>
        <v/>
      </c>
      <c r="H741" s="51" t="str">
        <f aca="false">IF(OR(NOT(ISNUMBER($G741)),$G741&lt;2,NOT(ISNUMBER($C740)),$C740=0),"",$C741/$C740-1)</f>
        <v/>
      </c>
      <c r="I741" s="52" t="str">
        <f aca="false">IF(AND(ISNUMBER($G741),$G741&gt;=MA_SHORT),AVERAGE(INDEX($C$341:$C741,402-MA_SHORT):$C741),"")</f>
        <v/>
      </c>
      <c r="J741" s="52" t="str">
        <f aca="false">IF(AND(ISNUMBER($G741),$G741&gt;=MA_MED),AVERAGE(INDEX($C$341:$C741,402-MA_MED):$C741),"")</f>
        <v/>
      </c>
      <c r="K741" s="52" t="str">
        <f aca="false">IF(AND(ISNUMBER($G741),$G741&gt;=MA_LONG2),AVERAGE(INDEX($C$341:$C741,402-MA_LONG2):$C741),"")</f>
        <v/>
      </c>
      <c r="L741" s="53" t="str">
        <f aca="false">IF(AND(ISNUMBER($G741),$G741&gt;=21),STDEV(INDEX($H$681:$H741,62-20):$H741)*SQRT(245),"")</f>
        <v/>
      </c>
      <c r="M741" s="52" t="str">
        <f aca="false">IF(AND(ISNUMBER($G741),$G741&gt;=60),MAX(INDEX($D$541:$D741,202-60):$D741),"")</f>
        <v/>
      </c>
      <c r="N741" s="52" t="str">
        <f aca="false">IF(AND(ISNUMBER($G741),$G741&gt;=60),MIN(INDEX($E$541:$E741,202-60):$E741),"")</f>
        <v/>
      </c>
      <c r="O741" s="53" t="str">
        <f aca="false">IF(OR(NOT(ISNUMBER($C741)),NOT(ISNUMBER($M741)),$M741=0),"",$C741/$M741-1)</f>
        <v/>
      </c>
    </row>
    <row r="742" customFormat="false" ht="15" hidden="false" customHeight="false" outlineLevel="0" collapsed="false">
      <c r="A742" s="55"/>
      <c r="B742" s="56"/>
      <c r="C742" s="57"/>
      <c r="D742" s="56"/>
      <c r="E742" s="56"/>
      <c r="F742" s="56"/>
      <c r="G742" s="50" t="str">
        <f aca="false">IF($A742="","",IF(ISNUMBER($G741),$G741+1,1))</f>
        <v/>
      </c>
      <c r="H742" s="51" t="str">
        <f aca="false">IF(OR(NOT(ISNUMBER($G742)),$G742&lt;2,NOT(ISNUMBER($C741)),$C741=0),"",$C742/$C741-1)</f>
        <v/>
      </c>
      <c r="I742" s="52" t="str">
        <f aca="false">IF(AND(ISNUMBER($G742),$G742&gt;=MA_SHORT),AVERAGE(INDEX($C$342:$C742,402-MA_SHORT):$C742),"")</f>
        <v/>
      </c>
      <c r="J742" s="52" t="str">
        <f aca="false">IF(AND(ISNUMBER($G742),$G742&gt;=MA_MED),AVERAGE(INDEX($C$342:$C742,402-MA_MED):$C742),"")</f>
        <v/>
      </c>
      <c r="K742" s="52" t="str">
        <f aca="false">IF(AND(ISNUMBER($G742),$G742&gt;=MA_LONG2),AVERAGE(INDEX($C$342:$C742,402-MA_LONG2):$C742),"")</f>
        <v/>
      </c>
      <c r="L742" s="53" t="str">
        <f aca="false">IF(AND(ISNUMBER($G742),$G742&gt;=21),STDEV(INDEX($H$682:$H742,62-20):$H742)*SQRT(245),"")</f>
        <v/>
      </c>
      <c r="M742" s="52" t="str">
        <f aca="false">IF(AND(ISNUMBER($G742),$G742&gt;=60),MAX(INDEX($D$542:$D742,202-60):$D742),"")</f>
        <v/>
      </c>
      <c r="N742" s="52" t="str">
        <f aca="false">IF(AND(ISNUMBER($G742),$G742&gt;=60),MIN(INDEX($E$542:$E742,202-60):$E742),"")</f>
        <v/>
      </c>
      <c r="O742" s="53" t="str">
        <f aca="false">IF(OR(NOT(ISNUMBER($C742)),NOT(ISNUMBER($M742)),$M742=0),"",$C742/$M742-1)</f>
        <v/>
      </c>
    </row>
    <row r="743" customFormat="false" ht="15" hidden="false" customHeight="false" outlineLevel="0" collapsed="false">
      <c r="A743" s="55"/>
      <c r="B743" s="56"/>
      <c r="C743" s="57"/>
      <c r="D743" s="56"/>
      <c r="E743" s="56"/>
      <c r="F743" s="56"/>
      <c r="G743" s="50" t="str">
        <f aca="false">IF($A743="","",IF(ISNUMBER($G742),$G742+1,1))</f>
        <v/>
      </c>
      <c r="H743" s="51" t="str">
        <f aca="false">IF(OR(NOT(ISNUMBER($G743)),$G743&lt;2,NOT(ISNUMBER($C742)),$C742=0),"",$C743/$C742-1)</f>
        <v/>
      </c>
      <c r="I743" s="52" t="str">
        <f aca="false">IF(AND(ISNUMBER($G743),$G743&gt;=MA_SHORT),AVERAGE(INDEX($C$343:$C743,402-MA_SHORT):$C743),"")</f>
        <v/>
      </c>
      <c r="J743" s="52" t="str">
        <f aca="false">IF(AND(ISNUMBER($G743),$G743&gt;=MA_MED),AVERAGE(INDEX($C$343:$C743,402-MA_MED):$C743),"")</f>
        <v/>
      </c>
      <c r="K743" s="52" t="str">
        <f aca="false">IF(AND(ISNUMBER($G743),$G743&gt;=MA_LONG2),AVERAGE(INDEX($C$343:$C743,402-MA_LONG2):$C743),"")</f>
        <v/>
      </c>
      <c r="L743" s="53" t="str">
        <f aca="false">IF(AND(ISNUMBER($G743),$G743&gt;=21),STDEV(INDEX($H$683:$H743,62-20):$H743)*SQRT(245),"")</f>
        <v/>
      </c>
      <c r="M743" s="52" t="str">
        <f aca="false">IF(AND(ISNUMBER($G743),$G743&gt;=60),MAX(INDEX($D$543:$D743,202-60):$D743),"")</f>
        <v/>
      </c>
      <c r="N743" s="52" t="str">
        <f aca="false">IF(AND(ISNUMBER($G743),$G743&gt;=60),MIN(INDEX($E$543:$E743,202-60):$E743),"")</f>
        <v/>
      </c>
      <c r="O743" s="53" t="str">
        <f aca="false">IF(OR(NOT(ISNUMBER($C743)),NOT(ISNUMBER($M743)),$M743=0),"",$C743/$M743-1)</f>
        <v/>
      </c>
    </row>
    <row r="744" customFormat="false" ht="15" hidden="false" customHeight="false" outlineLevel="0" collapsed="false">
      <c r="A744" s="55"/>
      <c r="B744" s="56"/>
      <c r="C744" s="57"/>
      <c r="D744" s="56"/>
      <c r="E744" s="56"/>
      <c r="F744" s="56"/>
      <c r="G744" s="50" t="str">
        <f aca="false">IF($A744="","",IF(ISNUMBER($G743),$G743+1,1))</f>
        <v/>
      </c>
      <c r="H744" s="51" t="str">
        <f aca="false">IF(OR(NOT(ISNUMBER($G744)),$G744&lt;2,NOT(ISNUMBER($C743)),$C743=0),"",$C744/$C743-1)</f>
        <v/>
      </c>
      <c r="I744" s="52" t="str">
        <f aca="false">IF(AND(ISNUMBER($G744),$G744&gt;=MA_SHORT),AVERAGE(INDEX($C$344:$C744,402-MA_SHORT):$C744),"")</f>
        <v/>
      </c>
      <c r="J744" s="52" t="str">
        <f aca="false">IF(AND(ISNUMBER($G744),$G744&gt;=MA_MED),AVERAGE(INDEX($C$344:$C744,402-MA_MED):$C744),"")</f>
        <v/>
      </c>
      <c r="K744" s="52" t="str">
        <f aca="false">IF(AND(ISNUMBER($G744),$G744&gt;=MA_LONG2),AVERAGE(INDEX($C$344:$C744,402-MA_LONG2):$C744),"")</f>
        <v/>
      </c>
      <c r="L744" s="53" t="str">
        <f aca="false">IF(AND(ISNUMBER($G744),$G744&gt;=21),STDEV(INDEX($H$684:$H744,62-20):$H744)*SQRT(245),"")</f>
        <v/>
      </c>
      <c r="M744" s="52" t="str">
        <f aca="false">IF(AND(ISNUMBER($G744),$G744&gt;=60),MAX(INDEX($D$544:$D744,202-60):$D744),"")</f>
        <v/>
      </c>
      <c r="N744" s="52" t="str">
        <f aca="false">IF(AND(ISNUMBER($G744),$G744&gt;=60),MIN(INDEX($E$544:$E744,202-60):$E744),"")</f>
        <v/>
      </c>
      <c r="O744" s="53" t="str">
        <f aca="false">IF(OR(NOT(ISNUMBER($C744)),NOT(ISNUMBER($M744)),$M744=0),"",$C744/$M744-1)</f>
        <v/>
      </c>
    </row>
    <row r="745" customFormat="false" ht="15" hidden="false" customHeight="false" outlineLevel="0" collapsed="false">
      <c r="A745" s="55"/>
      <c r="B745" s="56"/>
      <c r="C745" s="57"/>
      <c r="D745" s="56"/>
      <c r="E745" s="56"/>
      <c r="F745" s="56"/>
      <c r="G745" s="50" t="str">
        <f aca="false">IF($A745="","",IF(ISNUMBER($G744),$G744+1,1))</f>
        <v/>
      </c>
      <c r="H745" s="51" t="str">
        <f aca="false">IF(OR(NOT(ISNUMBER($G745)),$G745&lt;2,NOT(ISNUMBER($C744)),$C744=0),"",$C745/$C744-1)</f>
        <v/>
      </c>
      <c r="I745" s="52" t="str">
        <f aca="false">IF(AND(ISNUMBER($G745),$G745&gt;=MA_SHORT),AVERAGE(INDEX($C$345:$C745,402-MA_SHORT):$C745),"")</f>
        <v/>
      </c>
      <c r="J745" s="52" t="str">
        <f aca="false">IF(AND(ISNUMBER($G745),$G745&gt;=MA_MED),AVERAGE(INDEX($C$345:$C745,402-MA_MED):$C745),"")</f>
        <v/>
      </c>
      <c r="K745" s="52" t="str">
        <f aca="false">IF(AND(ISNUMBER($G745),$G745&gt;=MA_LONG2),AVERAGE(INDEX($C$345:$C745,402-MA_LONG2):$C745),"")</f>
        <v/>
      </c>
      <c r="L745" s="53" t="str">
        <f aca="false">IF(AND(ISNUMBER($G745),$G745&gt;=21),STDEV(INDEX($H$685:$H745,62-20):$H745)*SQRT(245),"")</f>
        <v/>
      </c>
      <c r="M745" s="52" t="str">
        <f aca="false">IF(AND(ISNUMBER($G745),$G745&gt;=60),MAX(INDEX($D$545:$D745,202-60):$D745),"")</f>
        <v/>
      </c>
      <c r="N745" s="52" t="str">
        <f aca="false">IF(AND(ISNUMBER($G745),$G745&gt;=60),MIN(INDEX($E$545:$E745,202-60):$E745),"")</f>
        <v/>
      </c>
      <c r="O745" s="53" t="str">
        <f aca="false">IF(OR(NOT(ISNUMBER($C745)),NOT(ISNUMBER($M745)),$M745=0),"",$C745/$M745-1)</f>
        <v/>
      </c>
    </row>
    <row r="746" customFormat="false" ht="15" hidden="false" customHeight="false" outlineLevel="0" collapsed="false">
      <c r="A746" s="55"/>
      <c r="B746" s="56"/>
      <c r="C746" s="57"/>
      <c r="D746" s="56"/>
      <c r="E746" s="56"/>
      <c r="F746" s="56"/>
      <c r="G746" s="50" t="str">
        <f aca="false">IF($A746="","",IF(ISNUMBER($G745),$G745+1,1))</f>
        <v/>
      </c>
      <c r="H746" s="51" t="str">
        <f aca="false">IF(OR(NOT(ISNUMBER($G746)),$G746&lt;2,NOT(ISNUMBER($C745)),$C745=0),"",$C746/$C745-1)</f>
        <v/>
      </c>
      <c r="I746" s="52" t="str">
        <f aca="false">IF(AND(ISNUMBER($G746),$G746&gt;=MA_SHORT),AVERAGE(INDEX($C$346:$C746,402-MA_SHORT):$C746),"")</f>
        <v/>
      </c>
      <c r="J746" s="52" t="str">
        <f aca="false">IF(AND(ISNUMBER($G746),$G746&gt;=MA_MED),AVERAGE(INDEX($C$346:$C746,402-MA_MED):$C746),"")</f>
        <v/>
      </c>
      <c r="K746" s="52" t="str">
        <f aca="false">IF(AND(ISNUMBER($G746),$G746&gt;=MA_LONG2),AVERAGE(INDEX($C$346:$C746,402-MA_LONG2):$C746),"")</f>
        <v/>
      </c>
      <c r="L746" s="53" t="str">
        <f aca="false">IF(AND(ISNUMBER($G746),$G746&gt;=21),STDEV(INDEX($H$686:$H746,62-20):$H746)*SQRT(245),"")</f>
        <v/>
      </c>
      <c r="M746" s="52" t="str">
        <f aca="false">IF(AND(ISNUMBER($G746),$G746&gt;=60),MAX(INDEX($D$546:$D746,202-60):$D746),"")</f>
        <v/>
      </c>
      <c r="N746" s="52" t="str">
        <f aca="false">IF(AND(ISNUMBER($G746),$G746&gt;=60),MIN(INDEX($E$546:$E746,202-60):$E746),"")</f>
        <v/>
      </c>
      <c r="O746" s="53" t="str">
        <f aca="false">IF(OR(NOT(ISNUMBER($C746)),NOT(ISNUMBER($M746)),$M746=0),"",$C746/$M746-1)</f>
        <v/>
      </c>
    </row>
    <row r="747" customFormat="false" ht="15" hidden="false" customHeight="false" outlineLevel="0" collapsed="false">
      <c r="A747" s="55"/>
      <c r="B747" s="56"/>
      <c r="C747" s="57"/>
      <c r="D747" s="56"/>
      <c r="E747" s="56"/>
      <c r="F747" s="56"/>
      <c r="G747" s="50" t="str">
        <f aca="false">IF($A747="","",IF(ISNUMBER($G746),$G746+1,1))</f>
        <v/>
      </c>
      <c r="H747" s="51" t="str">
        <f aca="false">IF(OR(NOT(ISNUMBER($G747)),$G747&lt;2,NOT(ISNUMBER($C746)),$C746=0),"",$C747/$C746-1)</f>
        <v/>
      </c>
      <c r="I747" s="52" t="str">
        <f aca="false">IF(AND(ISNUMBER($G747),$G747&gt;=MA_SHORT),AVERAGE(INDEX($C$347:$C747,402-MA_SHORT):$C747),"")</f>
        <v/>
      </c>
      <c r="J747" s="52" t="str">
        <f aca="false">IF(AND(ISNUMBER($G747),$G747&gt;=MA_MED),AVERAGE(INDEX($C$347:$C747,402-MA_MED):$C747),"")</f>
        <v/>
      </c>
      <c r="K747" s="52" t="str">
        <f aca="false">IF(AND(ISNUMBER($G747),$G747&gt;=MA_LONG2),AVERAGE(INDEX($C$347:$C747,402-MA_LONG2):$C747),"")</f>
        <v/>
      </c>
      <c r="L747" s="53" t="str">
        <f aca="false">IF(AND(ISNUMBER($G747),$G747&gt;=21),STDEV(INDEX($H$687:$H747,62-20):$H747)*SQRT(245),"")</f>
        <v/>
      </c>
      <c r="M747" s="52" t="str">
        <f aca="false">IF(AND(ISNUMBER($G747),$G747&gt;=60),MAX(INDEX($D$547:$D747,202-60):$D747),"")</f>
        <v/>
      </c>
      <c r="N747" s="52" t="str">
        <f aca="false">IF(AND(ISNUMBER($G747),$G747&gt;=60),MIN(INDEX($E$547:$E747,202-60):$E747),"")</f>
        <v/>
      </c>
      <c r="O747" s="53" t="str">
        <f aca="false">IF(OR(NOT(ISNUMBER($C747)),NOT(ISNUMBER($M747)),$M747=0),"",$C747/$M747-1)</f>
        <v/>
      </c>
    </row>
    <row r="748" customFormat="false" ht="15" hidden="false" customHeight="false" outlineLevel="0" collapsed="false">
      <c r="A748" s="55"/>
      <c r="B748" s="56"/>
      <c r="C748" s="57"/>
      <c r="D748" s="56"/>
      <c r="E748" s="56"/>
      <c r="F748" s="56"/>
      <c r="G748" s="50" t="str">
        <f aca="false">IF($A748="","",IF(ISNUMBER($G747),$G747+1,1))</f>
        <v/>
      </c>
      <c r="H748" s="51" t="str">
        <f aca="false">IF(OR(NOT(ISNUMBER($G748)),$G748&lt;2,NOT(ISNUMBER($C747)),$C747=0),"",$C748/$C747-1)</f>
        <v/>
      </c>
      <c r="I748" s="52" t="str">
        <f aca="false">IF(AND(ISNUMBER($G748),$G748&gt;=MA_SHORT),AVERAGE(INDEX($C$348:$C748,402-MA_SHORT):$C748),"")</f>
        <v/>
      </c>
      <c r="J748" s="52" t="str">
        <f aca="false">IF(AND(ISNUMBER($G748),$G748&gt;=MA_MED),AVERAGE(INDEX($C$348:$C748,402-MA_MED):$C748),"")</f>
        <v/>
      </c>
      <c r="K748" s="52" t="str">
        <f aca="false">IF(AND(ISNUMBER($G748),$G748&gt;=MA_LONG2),AVERAGE(INDEX($C$348:$C748,402-MA_LONG2):$C748),"")</f>
        <v/>
      </c>
      <c r="L748" s="53" t="str">
        <f aca="false">IF(AND(ISNUMBER($G748),$G748&gt;=21),STDEV(INDEX($H$688:$H748,62-20):$H748)*SQRT(245),"")</f>
        <v/>
      </c>
      <c r="M748" s="52" t="str">
        <f aca="false">IF(AND(ISNUMBER($G748),$G748&gt;=60),MAX(INDEX($D$548:$D748,202-60):$D748),"")</f>
        <v/>
      </c>
      <c r="N748" s="52" t="str">
        <f aca="false">IF(AND(ISNUMBER($G748),$G748&gt;=60),MIN(INDEX($E$548:$E748,202-60):$E748),"")</f>
        <v/>
      </c>
      <c r="O748" s="53" t="str">
        <f aca="false">IF(OR(NOT(ISNUMBER($C748)),NOT(ISNUMBER($M748)),$M748=0),"",$C748/$M748-1)</f>
        <v/>
      </c>
    </row>
    <row r="749" customFormat="false" ht="15" hidden="false" customHeight="false" outlineLevel="0" collapsed="false">
      <c r="A749" s="55"/>
      <c r="B749" s="56"/>
      <c r="C749" s="57"/>
      <c r="D749" s="56"/>
      <c r="E749" s="56"/>
      <c r="F749" s="56"/>
      <c r="G749" s="50" t="str">
        <f aca="false">IF($A749="","",IF(ISNUMBER($G748),$G748+1,1))</f>
        <v/>
      </c>
      <c r="H749" s="51" t="str">
        <f aca="false">IF(OR(NOT(ISNUMBER($G749)),$G749&lt;2,NOT(ISNUMBER($C748)),$C748=0),"",$C749/$C748-1)</f>
        <v/>
      </c>
      <c r="I749" s="52" t="str">
        <f aca="false">IF(AND(ISNUMBER($G749),$G749&gt;=MA_SHORT),AVERAGE(INDEX($C$349:$C749,402-MA_SHORT):$C749),"")</f>
        <v/>
      </c>
      <c r="J749" s="52" t="str">
        <f aca="false">IF(AND(ISNUMBER($G749),$G749&gt;=MA_MED),AVERAGE(INDEX($C$349:$C749,402-MA_MED):$C749),"")</f>
        <v/>
      </c>
      <c r="K749" s="52" t="str">
        <f aca="false">IF(AND(ISNUMBER($G749),$G749&gt;=MA_LONG2),AVERAGE(INDEX($C$349:$C749,402-MA_LONG2):$C749),"")</f>
        <v/>
      </c>
      <c r="L749" s="53" t="str">
        <f aca="false">IF(AND(ISNUMBER($G749),$G749&gt;=21),STDEV(INDEX($H$689:$H749,62-20):$H749)*SQRT(245),"")</f>
        <v/>
      </c>
      <c r="M749" s="52" t="str">
        <f aca="false">IF(AND(ISNUMBER($G749),$G749&gt;=60),MAX(INDEX($D$549:$D749,202-60):$D749),"")</f>
        <v/>
      </c>
      <c r="N749" s="52" t="str">
        <f aca="false">IF(AND(ISNUMBER($G749),$G749&gt;=60),MIN(INDEX($E$549:$E749,202-60):$E749),"")</f>
        <v/>
      </c>
      <c r="O749" s="53" t="str">
        <f aca="false">IF(OR(NOT(ISNUMBER($C749)),NOT(ISNUMBER($M749)),$M749=0),"",$C749/$M749-1)</f>
        <v/>
      </c>
    </row>
    <row r="750" customFormat="false" ht="15" hidden="false" customHeight="false" outlineLevel="0" collapsed="false">
      <c r="A750" s="55"/>
      <c r="B750" s="56"/>
      <c r="C750" s="57"/>
      <c r="D750" s="56"/>
      <c r="E750" s="56"/>
      <c r="F750" s="56"/>
      <c r="G750" s="50" t="str">
        <f aca="false">IF($A750="","",IF(ISNUMBER($G749),$G749+1,1))</f>
        <v/>
      </c>
      <c r="H750" s="51" t="str">
        <f aca="false">IF(OR(NOT(ISNUMBER($G750)),$G750&lt;2,NOT(ISNUMBER($C749)),$C749=0),"",$C750/$C749-1)</f>
        <v/>
      </c>
      <c r="I750" s="52" t="str">
        <f aca="false">IF(AND(ISNUMBER($G750),$G750&gt;=MA_SHORT),AVERAGE(INDEX($C$350:$C750,402-MA_SHORT):$C750),"")</f>
        <v/>
      </c>
      <c r="J750" s="52" t="str">
        <f aca="false">IF(AND(ISNUMBER($G750),$G750&gt;=MA_MED),AVERAGE(INDEX($C$350:$C750,402-MA_MED):$C750),"")</f>
        <v/>
      </c>
      <c r="K750" s="52" t="str">
        <f aca="false">IF(AND(ISNUMBER($G750),$G750&gt;=MA_LONG2),AVERAGE(INDEX($C$350:$C750,402-MA_LONG2):$C750),"")</f>
        <v/>
      </c>
      <c r="L750" s="53" t="str">
        <f aca="false">IF(AND(ISNUMBER($G750),$G750&gt;=21),STDEV(INDEX($H$690:$H750,62-20):$H750)*SQRT(245),"")</f>
        <v/>
      </c>
      <c r="M750" s="52" t="str">
        <f aca="false">IF(AND(ISNUMBER($G750),$G750&gt;=60),MAX(INDEX($D$550:$D750,202-60):$D750),"")</f>
        <v/>
      </c>
      <c r="N750" s="52" t="str">
        <f aca="false">IF(AND(ISNUMBER($G750),$G750&gt;=60),MIN(INDEX($E$550:$E750,202-60):$E750),"")</f>
        <v/>
      </c>
      <c r="O750" s="53" t="str">
        <f aca="false">IF(OR(NOT(ISNUMBER($C750)),NOT(ISNUMBER($M750)),$M750=0),"",$C750/$M750-1)</f>
        <v/>
      </c>
    </row>
    <row r="751" customFormat="false" ht="15" hidden="false" customHeight="false" outlineLevel="0" collapsed="false">
      <c r="A751" s="55"/>
      <c r="B751" s="56"/>
      <c r="C751" s="57"/>
      <c r="D751" s="56"/>
      <c r="E751" s="56"/>
      <c r="F751" s="56"/>
      <c r="G751" s="50" t="str">
        <f aca="false">IF($A751="","",IF(ISNUMBER($G750),$G750+1,1))</f>
        <v/>
      </c>
      <c r="H751" s="51" t="str">
        <f aca="false">IF(OR(NOT(ISNUMBER($G751)),$G751&lt;2,NOT(ISNUMBER($C750)),$C750=0),"",$C751/$C750-1)</f>
        <v/>
      </c>
      <c r="I751" s="52" t="str">
        <f aca="false">IF(AND(ISNUMBER($G751),$G751&gt;=MA_SHORT),AVERAGE(INDEX($C$351:$C751,402-MA_SHORT):$C751),"")</f>
        <v/>
      </c>
      <c r="J751" s="52" t="str">
        <f aca="false">IF(AND(ISNUMBER($G751),$G751&gt;=MA_MED),AVERAGE(INDEX($C$351:$C751,402-MA_MED):$C751),"")</f>
        <v/>
      </c>
      <c r="K751" s="52" t="str">
        <f aca="false">IF(AND(ISNUMBER($G751),$G751&gt;=MA_LONG2),AVERAGE(INDEX($C$351:$C751,402-MA_LONG2):$C751),"")</f>
        <v/>
      </c>
      <c r="L751" s="53" t="str">
        <f aca="false">IF(AND(ISNUMBER($G751),$G751&gt;=21),STDEV(INDEX($H$691:$H751,62-20):$H751)*SQRT(245),"")</f>
        <v/>
      </c>
      <c r="M751" s="52" t="str">
        <f aca="false">IF(AND(ISNUMBER($G751),$G751&gt;=60),MAX(INDEX($D$551:$D751,202-60):$D751),"")</f>
        <v/>
      </c>
      <c r="N751" s="52" t="str">
        <f aca="false">IF(AND(ISNUMBER($G751),$G751&gt;=60),MIN(INDEX($E$551:$E751,202-60):$E751),"")</f>
        <v/>
      </c>
      <c r="O751" s="53" t="str">
        <f aca="false">IF(OR(NOT(ISNUMBER($C751)),NOT(ISNUMBER($M751)),$M751=0),"",$C751/$M751-1)</f>
        <v/>
      </c>
    </row>
    <row r="752" customFormat="false" ht="15" hidden="false" customHeight="false" outlineLevel="0" collapsed="false">
      <c r="A752" s="55"/>
      <c r="B752" s="56"/>
      <c r="C752" s="57"/>
      <c r="D752" s="56"/>
      <c r="E752" s="56"/>
      <c r="F752" s="56"/>
      <c r="G752" s="50" t="str">
        <f aca="false">IF($A752="","",IF(ISNUMBER($G751),$G751+1,1))</f>
        <v/>
      </c>
      <c r="H752" s="51" t="str">
        <f aca="false">IF(OR(NOT(ISNUMBER($G752)),$G752&lt;2,NOT(ISNUMBER($C751)),$C751=0),"",$C752/$C751-1)</f>
        <v/>
      </c>
      <c r="I752" s="52" t="str">
        <f aca="false">IF(AND(ISNUMBER($G752),$G752&gt;=MA_SHORT),AVERAGE(INDEX($C$352:$C752,402-MA_SHORT):$C752),"")</f>
        <v/>
      </c>
      <c r="J752" s="52" t="str">
        <f aca="false">IF(AND(ISNUMBER($G752),$G752&gt;=MA_MED),AVERAGE(INDEX($C$352:$C752,402-MA_MED):$C752),"")</f>
        <v/>
      </c>
      <c r="K752" s="52" t="str">
        <f aca="false">IF(AND(ISNUMBER($G752),$G752&gt;=MA_LONG2),AVERAGE(INDEX($C$352:$C752,402-MA_LONG2):$C752),"")</f>
        <v/>
      </c>
      <c r="L752" s="53" t="str">
        <f aca="false">IF(AND(ISNUMBER($G752),$G752&gt;=21),STDEV(INDEX($H$692:$H752,62-20):$H752)*SQRT(245),"")</f>
        <v/>
      </c>
      <c r="M752" s="52" t="str">
        <f aca="false">IF(AND(ISNUMBER($G752),$G752&gt;=60),MAX(INDEX($D$552:$D752,202-60):$D752),"")</f>
        <v/>
      </c>
      <c r="N752" s="52" t="str">
        <f aca="false">IF(AND(ISNUMBER($G752),$G752&gt;=60),MIN(INDEX($E$552:$E752,202-60):$E752),"")</f>
        <v/>
      </c>
      <c r="O752" s="53" t="str">
        <f aca="false">IF(OR(NOT(ISNUMBER($C752)),NOT(ISNUMBER($M752)),$M752=0),"",$C752/$M752-1)</f>
        <v/>
      </c>
    </row>
    <row r="753" customFormat="false" ht="15" hidden="false" customHeight="false" outlineLevel="0" collapsed="false">
      <c r="A753" s="55"/>
      <c r="B753" s="56"/>
      <c r="C753" s="57"/>
      <c r="D753" s="56"/>
      <c r="E753" s="56"/>
      <c r="F753" s="56"/>
      <c r="G753" s="50" t="str">
        <f aca="false">IF($A753="","",IF(ISNUMBER($G752),$G752+1,1))</f>
        <v/>
      </c>
      <c r="H753" s="51" t="str">
        <f aca="false">IF(OR(NOT(ISNUMBER($G753)),$G753&lt;2,NOT(ISNUMBER($C752)),$C752=0),"",$C753/$C752-1)</f>
        <v/>
      </c>
      <c r="I753" s="52" t="str">
        <f aca="false">IF(AND(ISNUMBER($G753),$G753&gt;=MA_SHORT),AVERAGE(INDEX($C$353:$C753,402-MA_SHORT):$C753),"")</f>
        <v/>
      </c>
      <c r="J753" s="52" t="str">
        <f aca="false">IF(AND(ISNUMBER($G753),$G753&gt;=MA_MED),AVERAGE(INDEX($C$353:$C753,402-MA_MED):$C753),"")</f>
        <v/>
      </c>
      <c r="K753" s="52" t="str">
        <f aca="false">IF(AND(ISNUMBER($G753),$G753&gt;=MA_LONG2),AVERAGE(INDEX($C$353:$C753,402-MA_LONG2):$C753),"")</f>
        <v/>
      </c>
      <c r="L753" s="53" t="str">
        <f aca="false">IF(AND(ISNUMBER($G753),$G753&gt;=21),STDEV(INDEX($H$693:$H753,62-20):$H753)*SQRT(245),"")</f>
        <v/>
      </c>
      <c r="M753" s="52" t="str">
        <f aca="false">IF(AND(ISNUMBER($G753),$G753&gt;=60),MAX(INDEX($D$553:$D753,202-60):$D753),"")</f>
        <v/>
      </c>
      <c r="N753" s="52" t="str">
        <f aca="false">IF(AND(ISNUMBER($G753),$G753&gt;=60),MIN(INDEX($E$553:$E753,202-60):$E753),"")</f>
        <v/>
      </c>
      <c r="O753" s="53" t="str">
        <f aca="false">IF(OR(NOT(ISNUMBER($C753)),NOT(ISNUMBER($M753)),$M753=0),"",$C753/$M753-1)</f>
        <v/>
      </c>
    </row>
    <row r="754" customFormat="false" ht="15" hidden="false" customHeight="false" outlineLevel="0" collapsed="false">
      <c r="A754" s="55"/>
      <c r="B754" s="56"/>
      <c r="C754" s="57"/>
      <c r="D754" s="56"/>
      <c r="E754" s="56"/>
      <c r="F754" s="56"/>
      <c r="G754" s="50" t="str">
        <f aca="false">IF($A754="","",IF(ISNUMBER($G753),$G753+1,1))</f>
        <v/>
      </c>
      <c r="H754" s="51" t="str">
        <f aca="false">IF(OR(NOT(ISNUMBER($G754)),$G754&lt;2,NOT(ISNUMBER($C753)),$C753=0),"",$C754/$C753-1)</f>
        <v/>
      </c>
      <c r="I754" s="52" t="str">
        <f aca="false">IF(AND(ISNUMBER($G754),$G754&gt;=MA_SHORT),AVERAGE(INDEX($C$354:$C754,402-MA_SHORT):$C754),"")</f>
        <v/>
      </c>
      <c r="J754" s="52" t="str">
        <f aca="false">IF(AND(ISNUMBER($G754),$G754&gt;=MA_MED),AVERAGE(INDEX($C$354:$C754,402-MA_MED):$C754),"")</f>
        <v/>
      </c>
      <c r="K754" s="52" t="str">
        <f aca="false">IF(AND(ISNUMBER($G754),$G754&gt;=MA_LONG2),AVERAGE(INDEX($C$354:$C754,402-MA_LONG2):$C754),"")</f>
        <v/>
      </c>
      <c r="L754" s="53" t="str">
        <f aca="false">IF(AND(ISNUMBER($G754),$G754&gt;=21),STDEV(INDEX($H$694:$H754,62-20):$H754)*SQRT(245),"")</f>
        <v/>
      </c>
      <c r="M754" s="52" t="str">
        <f aca="false">IF(AND(ISNUMBER($G754),$G754&gt;=60),MAX(INDEX($D$554:$D754,202-60):$D754),"")</f>
        <v/>
      </c>
      <c r="N754" s="52" t="str">
        <f aca="false">IF(AND(ISNUMBER($G754),$G754&gt;=60),MIN(INDEX($E$554:$E754,202-60):$E754),"")</f>
        <v/>
      </c>
      <c r="O754" s="53" t="str">
        <f aca="false">IF(OR(NOT(ISNUMBER($C754)),NOT(ISNUMBER($M754)),$M754=0),"",$C754/$M754-1)</f>
        <v/>
      </c>
    </row>
    <row r="755" customFormat="false" ht="15" hidden="false" customHeight="false" outlineLevel="0" collapsed="false">
      <c r="A755" s="55"/>
      <c r="B755" s="56"/>
      <c r="C755" s="57"/>
      <c r="D755" s="56"/>
      <c r="E755" s="56"/>
      <c r="F755" s="56"/>
      <c r="G755" s="50" t="str">
        <f aca="false">IF($A755="","",IF(ISNUMBER($G754),$G754+1,1))</f>
        <v/>
      </c>
      <c r="H755" s="51" t="str">
        <f aca="false">IF(OR(NOT(ISNUMBER($G755)),$G755&lt;2,NOT(ISNUMBER($C754)),$C754=0),"",$C755/$C754-1)</f>
        <v/>
      </c>
      <c r="I755" s="52" t="str">
        <f aca="false">IF(AND(ISNUMBER($G755),$G755&gt;=MA_SHORT),AVERAGE(INDEX($C$355:$C755,402-MA_SHORT):$C755),"")</f>
        <v/>
      </c>
      <c r="J755" s="52" t="str">
        <f aca="false">IF(AND(ISNUMBER($G755),$G755&gt;=MA_MED),AVERAGE(INDEX($C$355:$C755,402-MA_MED):$C755),"")</f>
        <v/>
      </c>
      <c r="K755" s="52" t="str">
        <f aca="false">IF(AND(ISNUMBER($G755),$G755&gt;=MA_LONG2),AVERAGE(INDEX($C$355:$C755,402-MA_LONG2):$C755),"")</f>
        <v/>
      </c>
      <c r="L755" s="53" t="str">
        <f aca="false">IF(AND(ISNUMBER($G755),$G755&gt;=21),STDEV(INDEX($H$695:$H755,62-20):$H755)*SQRT(245),"")</f>
        <v/>
      </c>
      <c r="M755" s="52" t="str">
        <f aca="false">IF(AND(ISNUMBER($G755),$G755&gt;=60),MAX(INDEX($D$555:$D755,202-60):$D755),"")</f>
        <v/>
      </c>
      <c r="N755" s="52" t="str">
        <f aca="false">IF(AND(ISNUMBER($G755),$G755&gt;=60),MIN(INDEX($E$555:$E755,202-60):$E755),"")</f>
        <v/>
      </c>
      <c r="O755" s="53" t="str">
        <f aca="false">IF(OR(NOT(ISNUMBER($C755)),NOT(ISNUMBER($M755)),$M755=0),"",$C755/$M755-1)</f>
        <v/>
      </c>
    </row>
    <row r="756" customFormat="false" ht="15" hidden="false" customHeight="false" outlineLevel="0" collapsed="false">
      <c r="A756" s="55"/>
      <c r="B756" s="56"/>
      <c r="C756" s="57"/>
      <c r="D756" s="56"/>
      <c r="E756" s="56"/>
      <c r="F756" s="56"/>
      <c r="G756" s="50" t="str">
        <f aca="false">IF($A756="","",IF(ISNUMBER($G755),$G755+1,1))</f>
        <v/>
      </c>
      <c r="H756" s="51" t="str">
        <f aca="false">IF(OR(NOT(ISNUMBER($G756)),$G756&lt;2,NOT(ISNUMBER($C755)),$C755=0),"",$C756/$C755-1)</f>
        <v/>
      </c>
      <c r="I756" s="52" t="str">
        <f aca="false">IF(AND(ISNUMBER($G756),$G756&gt;=MA_SHORT),AVERAGE(INDEX($C$356:$C756,402-MA_SHORT):$C756),"")</f>
        <v/>
      </c>
      <c r="J756" s="52" t="str">
        <f aca="false">IF(AND(ISNUMBER($G756),$G756&gt;=MA_MED),AVERAGE(INDEX($C$356:$C756,402-MA_MED):$C756),"")</f>
        <v/>
      </c>
      <c r="K756" s="52" t="str">
        <f aca="false">IF(AND(ISNUMBER($G756),$G756&gt;=MA_LONG2),AVERAGE(INDEX($C$356:$C756,402-MA_LONG2):$C756),"")</f>
        <v/>
      </c>
      <c r="L756" s="53" t="str">
        <f aca="false">IF(AND(ISNUMBER($G756),$G756&gt;=21),STDEV(INDEX($H$696:$H756,62-20):$H756)*SQRT(245),"")</f>
        <v/>
      </c>
      <c r="M756" s="52" t="str">
        <f aca="false">IF(AND(ISNUMBER($G756),$G756&gt;=60),MAX(INDEX($D$556:$D756,202-60):$D756),"")</f>
        <v/>
      </c>
      <c r="N756" s="52" t="str">
        <f aca="false">IF(AND(ISNUMBER($G756),$G756&gt;=60),MIN(INDEX($E$556:$E756,202-60):$E756),"")</f>
        <v/>
      </c>
      <c r="O756" s="53" t="str">
        <f aca="false">IF(OR(NOT(ISNUMBER($C756)),NOT(ISNUMBER($M756)),$M756=0),"",$C756/$M756-1)</f>
        <v/>
      </c>
    </row>
    <row r="757" customFormat="false" ht="15" hidden="false" customHeight="false" outlineLevel="0" collapsed="false">
      <c r="A757" s="55"/>
      <c r="B757" s="56"/>
      <c r="C757" s="57"/>
      <c r="D757" s="56"/>
      <c r="E757" s="56"/>
      <c r="F757" s="56"/>
      <c r="G757" s="50" t="str">
        <f aca="false">IF($A757="","",IF(ISNUMBER($G756),$G756+1,1))</f>
        <v/>
      </c>
      <c r="H757" s="51" t="str">
        <f aca="false">IF(OR(NOT(ISNUMBER($G757)),$G757&lt;2,NOT(ISNUMBER($C756)),$C756=0),"",$C757/$C756-1)</f>
        <v/>
      </c>
      <c r="I757" s="52" t="str">
        <f aca="false">IF(AND(ISNUMBER($G757),$G757&gt;=MA_SHORT),AVERAGE(INDEX($C$357:$C757,402-MA_SHORT):$C757),"")</f>
        <v/>
      </c>
      <c r="J757" s="52" t="str">
        <f aca="false">IF(AND(ISNUMBER($G757),$G757&gt;=MA_MED),AVERAGE(INDEX($C$357:$C757,402-MA_MED):$C757),"")</f>
        <v/>
      </c>
      <c r="K757" s="52" t="str">
        <f aca="false">IF(AND(ISNUMBER($G757),$G757&gt;=MA_LONG2),AVERAGE(INDEX($C$357:$C757,402-MA_LONG2):$C757),"")</f>
        <v/>
      </c>
      <c r="L757" s="53" t="str">
        <f aca="false">IF(AND(ISNUMBER($G757),$G757&gt;=21),STDEV(INDEX($H$697:$H757,62-20):$H757)*SQRT(245),"")</f>
        <v/>
      </c>
      <c r="M757" s="52" t="str">
        <f aca="false">IF(AND(ISNUMBER($G757),$G757&gt;=60),MAX(INDEX($D$557:$D757,202-60):$D757),"")</f>
        <v/>
      </c>
      <c r="N757" s="52" t="str">
        <f aca="false">IF(AND(ISNUMBER($G757),$G757&gt;=60),MIN(INDEX($E$557:$E757,202-60):$E757),"")</f>
        <v/>
      </c>
      <c r="O757" s="53" t="str">
        <f aca="false">IF(OR(NOT(ISNUMBER($C757)),NOT(ISNUMBER($M757)),$M757=0),"",$C757/$M757-1)</f>
        <v/>
      </c>
    </row>
    <row r="758" customFormat="false" ht="15" hidden="false" customHeight="false" outlineLevel="0" collapsed="false">
      <c r="A758" s="55"/>
      <c r="B758" s="56"/>
      <c r="C758" s="57"/>
      <c r="D758" s="56"/>
      <c r="E758" s="56"/>
      <c r="F758" s="56"/>
      <c r="G758" s="50" t="str">
        <f aca="false">IF($A758="","",IF(ISNUMBER($G757),$G757+1,1))</f>
        <v/>
      </c>
      <c r="H758" s="51" t="str">
        <f aca="false">IF(OR(NOT(ISNUMBER($G758)),$G758&lt;2,NOT(ISNUMBER($C757)),$C757=0),"",$C758/$C757-1)</f>
        <v/>
      </c>
      <c r="I758" s="52" t="str">
        <f aca="false">IF(AND(ISNUMBER($G758),$G758&gt;=MA_SHORT),AVERAGE(INDEX($C$358:$C758,402-MA_SHORT):$C758),"")</f>
        <v/>
      </c>
      <c r="J758" s="52" t="str">
        <f aca="false">IF(AND(ISNUMBER($G758),$G758&gt;=MA_MED),AVERAGE(INDEX($C$358:$C758,402-MA_MED):$C758),"")</f>
        <v/>
      </c>
      <c r="K758" s="52" t="str">
        <f aca="false">IF(AND(ISNUMBER($G758),$G758&gt;=MA_LONG2),AVERAGE(INDEX($C$358:$C758,402-MA_LONG2):$C758),"")</f>
        <v/>
      </c>
      <c r="L758" s="53" t="str">
        <f aca="false">IF(AND(ISNUMBER($G758),$G758&gt;=21),STDEV(INDEX($H$698:$H758,62-20):$H758)*SQRT(245),"")</f>
        <v/>
      </c>
      <c r="M758" s="52" t="str">
        <f aca="false">IF(AND(ISNUMBER($G758),$G758&gt;=60),MAX(INDEX($D$558:$D758,202-60):$D758),"")</f>
        <v/>
      </c>
      <c r="N758" s="52" t="str">
        <f aca="false">IF(AND(ISNUMBER($G758),$G758&gt;=60),MIN(INDEX($E$558:$E758,202-60):$E758),"")</f>
        <v/>
      </c>
      <c r="O758" s="53" t="str">
        <f aca="false">IF(OR(NOT(ISNUMBER($C758)),NOT(ISNUMBER($M758)),$M758=0),"",$C758/$M758-1)</f>
        <v/>
      </c>
    </row>
    <row r="759" customFormat="false" ht="15" hidden="false" customHeight="false" outlineLevel="0" collapsed="false">
      <c r="A759" s="55"/>
      <c r="B759" s="56"/>
      <c r="C759" s="57"/>
      <c r="D759" s="56"/>
      <c r="E759" s="56"/>
      <c r="F759" s="56"/>
      <c r="G759" s="50" t="str">
        <f aca="false">IF($A759="","",IF(ISNUMBER($G758),$G758+1,1))</f>
        <v/>
      </c>
      <c r="H759" s="51" t="str">
        <f aca="false">IF(OR(NOT(ISNUMBER($G759)),$G759&lt;2,NOT(ISNUMBER($C758)),$C758=0),"",$C759/$C758-1)</f>
        <v/>
      </c>
      <c r="I759" s="52" t="str">
        <f aca="false">IF(AND(ISNUMBER($G759),$G759&gt;=MA_SHORT),AVERAGE(INDEX($C$359:$C759,402-MA_SHORT):$C759),"")</f>
        <v/>
      </c>
      <c r="J759" s="52" t="str">
        <f aca="false">IF(AND(ISNUMBER($G759),$G759&gt;=MA_MED),AVERAGE(INDEX($C$359:$C759,402-MA_MED):$C759),"")</f>
        <v/>
      </c>
      <c r="K759" s="52" t="str">
        <f aca="false">IF(AND(ISNUMBER($G759),$G759&gt;=MA_LONG2),AVERAGE(INDEX($C$359:$C759,402-MA_LONG2):$C759),"")</f>
        <v/>
      </c>
      <c r="L759" s="53" t="str">
        <f aca="false">IF(AND(ISNUMBER($G759),$G759&gt;=21),STDEV(INDEX($H$699:$H759,62-20):$H759)*SQRT(245),"")</f>
        <v/>
      </c>
      <c r="M759" s="52" t="str">
        <f aca="false">IF(AND(ISNUMBER($G759),$G759&gt;=60),MAX(INDEX($D$559:$D759,202-60):$D759),"")</f>
        <v/>
      </c>
      <c r="N759" s="52" t="str">
        <f aca="false">IF(AND(ISNUMBER($G759),$G759&gt;=60),MIN(INDEX($E$559:$E759,202-60):$E759),"")</f>
        <v/>
      </c>
      <c r="O759" s="53" t="str">
        <f aca="false">IF(OR(NOT(ISNUMBER($C759)),NOT(ISNUMBER($M759)),$M759=0),"",$C759/$M759-1)</f>
        <v/>
      </c>
    </row>
    <row r="760" customFormat="false" ht="15" hidden="false" customHeight="false" outlineLevel="0" collapsed="false">
      <c r="A760" s="55"/>
      <c r="B760" s="56"/>
      <c r="C760" s="57"/>
      <c r="D760" s="56"/>
      <c r="E760" s="56"/>
      <c r="F760" s="56"/>
      <c r="G760" s="50" t="str">
        <f aca="false">IF($A760="","",IF(ISNUMBER($G759),$G759+1,1))</f>
        <v/>
      </c>
      <c r="H760" s="51" t="str">
        <f aca="false">IF(OR(NOT(ISNUMBER($G760)),$G760&lt;2,NOT(ISNUMBER($C759)),$C759=0),"",$C760/$C759-1)</f>
        <v/>
      </c>
      <c r="I760" s="52" t="str">
        <f aca="false">IF(AND(ISNUMBER($G760),$G760&gt;=MA_SHORT),AVERAGE(INDEX($C$360:$C760,402-MA_SHORT):$C760),"")</f>
        <v/>
      </c>
      <c r="J760" s="52" t="str">
        <f aca="false">IF(AND(ISNUMBER($G760),$G760&gt;=MA_MED),AVERAGE(INDEX($C$360:$C760,402-MA_MED):$C760),"")</f>
        <v/>
      </c>
      <c r="K760" s="52" t="str">
        <f aca="false">IF(AND(ISNUMBER($G760),$G760&gt;=MA_LONG2),AVERAGE(INDEX($C$360:$C760,402-MA_LONG2):$C760),"")</f>
        <v/>
      </c>
      <c r="L760" s="53" t="str">
        <f aca="false">IF(AND(ISNUMBER($G760),$G760&gt;=21),STDEV(INDEX($H$700:$H760,62-20):$H760)*SQRT(245),"")</f>
        <v/>
      </c>
      <c r="M760" s="52" t="str">
        <f aca="false">IF(AND(ISNUMBER($G760),$G760&gt;=60),MAX(INDEX($D$560:$D760,202-60):$D760),"")</f>
        <v/>
      </c>
      <c r="N760" s="52" t="str">
        <f aca="false">IF(AND(ISNUMBER($G760),$G760&gt;=60),MIN(INDEX($E$560:$E760,202-60):$E760),"")</f>
        <v/>
      </c>
      <c r="O760" s="53" t="str">
        <f aca="false">IF(OR(NOT(ISNUMBER($C760)),NOT(ISNUMBER($M760)),$M760=0),"",$C760/$M760-1)</f>
        <v/>
      </c>
    </row>
    <row r="761" customFormat="false" ht="15" hidden="false" customHeight="false" outlineLevel="0" collapsed="false">
      <c r="A761" s="55"/>
      <c r="B761" s="56"/>
      <c r="C761" s="57"/>
      <c r="D761" s="56"/>
      <c r="E761" s="56"/>
      <c r="F761" s="56"/>
      <c r="G761" s="50" t="str">
        <f aca="false">IF($A761="","",IF(ISNUMBER($G760),$G760+1,1))</f>
        <v/>
      </c>
      <c r="H761" s="51" t="str">
        <f aca="false">IF(OR(NOT(ISNUMBER($G761)),$G761&lt;2,NOT(ISNUMBER($C760)),$C760=0),"",$C761/$C760-1)</f>
        <v/>
      </c>
      <c r="I761" s="52" t="str">
        <f aca="false">IF(AND(ISNUMBER($G761),$G761&gt;=MA_SHORT),AVERAGE(INDEX($C$361:$C761,402-MA_SHORT):$C761),"")</f>
        <v/>
      </c>
      <c r="J761" s="52" t="str">
        <f aca="false">IF(AND(ISNUMBER($G761),$G761&gt;=MA_MED),AVERAGE(INDEX($C$361:$C761,402-MA_MED):$C761),"")</f>
        <v/>
      </c>
      <c r="K761" s="52" t="str">
        <f aca="false">IF(AND(ISNUMBER($G761),$G761&gt;=MA_LONG2),AVERAGE(INDEX($C$361:$C761,402-MA_LONG2):$C761),"")</f>
        <v/>
      </c>
      <c r="L761" s="53" t="str">
        <f aca="false">IF(AND(ISNUMBER($G761),$G761&gt;=21),STDEV(INDEX($H$701:$H761,62-20):$H761)*SQRT(245),"")</f>
        <v/>
      </c>
      <c r="M761" s="52" t="str">
        <f aca="false">IF(AND(ISNUMBER($G761),$G761&gt;=60),MAX(INDEX($D$561:$D761,202-60):$D761),"")</f>
        <v/>
      </c>
      <c r="N761" s="52" t="str">
        <f aca="false">IF(AND(ISNUMBER($G761),$G761&gt;=60),MIN(INDEX($E$561:$E761,202-60):$E761),"")</f>
        <v/>
      </c>
      <c r="O761" s="53" t="str">
        <f aca="false">IF(OR(NOT(ISNUMBER($C761)),NOT(ISNUMBER($M761)),$M761=0),"",$C761/$M761-1)</f>
        <v/>
      </c>
    </row>
    <row r="762" customFormat="false" ht="15" hidden="false" customHeight="false" outlineLevel="0" collapsed="false">
      <c r="A762" s="55"/>
      <c r="B762" s="56"/>
      <c r="C762" s="57"/>
      <c r="D762" s="56"/>
      <c r="E762" s="56"/>
      <c r="F762" s="56"/>
      <c r="G762" s="50" t="str">
        <f aca="false">IF($A762="","",IF(ISNUMBER($G761),$G761+1,1))</f>
        <v/>
      </c>
      <c r="H762" s="51" t="str">
        <f aca="false">IF(OR(NOT(ISNUMBER($G762)),$G762&lt;2,NOT(ISNUMBER($C761)),$C761=0),"",$C762/$C761-1)</f>
        <v/>
      </c>
      <c r="I762" s="52" t="str">
        <f aca="false">IF(AND(ISNUMBER($G762),$G762&gt;=MA_SHORT),AVERAGE(INDEX($C$362:$C762,402-MA_SHORT):$C762),"")</f>
        <v/>
      </c>
      <c r="J762" s="52" t="str">
        <f aca="false">IF(AND(ISNUMBER($G762),$G762&gt;=MA_MED),AVERAGE(INDEX($C$362:$C762,402-MA_MED):$C762),"")</f>
        <v/>
      </c>
      <c r="K762" s="52" t="str">
        <f aca="false">IF(AND(ISNUMBER($G762),$G762&gt;=MA_LONG2),AVERAGE(INDEX($C$362:$C762,402-MA_LONG2):$C762),"")</f>
        <v/>
      </c>
      <c r="L762" s="53" t="str">
        <f aca="false">IF(AND(ISNUMBER($G762),$G762&gt;=21),STDEV(INDEX($H$702:$H762,62-20):$H762)*SQRT(245),"")</f>
        <v/>
      </c>
      <c r="M762" s="52" t="str">
        <f aca="false">IF(AND(ISNUMBER($G762),$G762&gt;=60),MAX(INDEX($D$562:$D762,202-60):$D762),"")</f>
        <v/>
      </c>
      <c r="N762" s="52" t="str">
        <f aca="false">IF(AND(ISNUMBER($G762),$G762&gt;=60),MIN(INDEX($E$562:$E762,202-60):$E762),"")</f>
        <v/>
      </c>
      <c r="O762" s="53" t="str">
        <f aca="false">IF(OR(NOT(ISNUMBER($C762)),NOT(ISNUMBER($M762)),$M762=0),"",$C762/$M762-1)</f>
        <v/>
      </c>
    </row>
    <row r="763" customFormat="false" ht="15" hidden="false" customHeight="false" outlineLevel="0" collapsed="false">
      <c r="A763" s="55"/>
      <c r="B763" s="56"/>
      <c r="C763" s="57"/>
      <c r="D763" s="56"/>
      <c r="E763" s="56"/>
      <c r="F763" s="56"/>
      <c r="G763" s="50" t="str">
        <f aca="false">IF($A763="","",IF(ISNUMBER($G762),$G762+1,1))</f>
        <v/>
      </c>
      <c r="H763" s="51" t="str">
        <f aca="false">IF(OR(NOT(ISNUMBER($G763)),$G763&lt;2,NOT(ISNUMBER($C762)),$C762=0),"",$C763/$C762-1)</f>
        <v/>
      </c>
      <c r="I763" s="52" t="str">
        <f aca="false">IF(AND(ISNUMBER($G763),$G763&gt;=MA_SHORT),AVERAGE(INDEX($C$363:$C763,402-MA_SHORT):$C763),"")</f>
        <v/>
      </c>
      <c r="J763" s="52" t="str">
        <f aca="false">IF(AND(ISNUMBER($G763),$G763&gt;=MA_MED),AVERAGE(INDEX($C$363:$C763,402-MA_MED):$C763),"")</f>
        <v/>
      </c>
      <c r="K763" s="52" t="str">
        <f aca="false">IF(AND(ISNUMBER($G763),$G763&gt;=MA_LONG2),AVERAGE(INDEX($C$363:$C763,402-MA_LONG2):$C763),"")</f>
        <v/>
      </c>
      <c r="L763" s="53" t="str">
        <f aca="false">IF(AND(ISNUMBER($G763),$G763&gt;=21),STDEV(INDEX($H$703:$H763,62-20):$H763)*SQRT(245),"")</f>
        <v/>
      </c>
      <c r="M763" s="52" t="str">
        <f aca="false">IF(AND(ISNUMBER($G763),$G763&gt;=60),MAX(INDEX($D$563:$D763,202-60):$D763),"")</f>
        <v/>
      </c>
      <c r="N763" s="52" t="str">
        <f aca="false">IF(AND(ISNUMBER($G763),$G763&gt;=60),MIN(INDEX($E$563:$E763,202-60):$E763),"")</f>
        <v/>
      </c>
      <c r="O763" s="53" t="str">
        <f aca="false">IF(OR(NOT(ISNUMBER($C763)),NOT(ISNUMBER($M763)),$M763=0),"",$C763/$M763-1)</f>
        <v/>
      </c>
    </row>
    <row r="764" customFormat="false" ht="15" hidden="false" customHeight="false" outlineLevel="0" collapsed="false">
      <c r="A764" s="55"/>
      <c r="B764" s="56"/>
      <c r="C764" s="57"/>
      <c r="D764" s="56"/>
      <c r="E764" s="56"/>
      <c r="F764" s="56"/>
      <c r="G764" s="50" t="str">
        <f aca="false">IF($A764="","",IF(ISNUMBER($G763),$G763+1,1))</f>
        <v/>
      </c>
      <c r="H764" s="51" t="str">
        <f aca="false">IF(OR(NOT(ISNUMBER($G764)),$G764&lt;2,NOT(ISNUMBER($C763)),$C763=0),"",$C764/$C763-1)</f>
        <v/>
      </c>
      <c r="I764" s="52" t="str">
        <f aca="false">IF(AND(ISNUMBER($G764),$G764&gt;=MA_SHORT),AVERAGE(INDEX($C$364:$C764,402-MA_SHORT):$C764),"")</f>
        <v/>
      </c>
      <c r="J764" s="52" t="str">
        <f aca="false">IF(AND(ISNUMBER($G764),$G764&gt;=MA_MED),AVERAGE(INDEX($C$364:$C764,402-MA_MED):$C764),"")</f>
        <v/>
      </c>
      <c r="K764" s="52" t="str">
        <f aca="false">IF(AND(ISNUMBER($G764),$G764&gt;=MA_LONG2),AVERAGE(INDEX($C$364:$C764,402-MA_LONG2):$C764),"")</f>
        <v/>
      </c>
      <c r="L764" s="53" t="str">
        <f aca="false">IF(AND(ISNUMBER($G764),$G764&gt;=21),STDEV(INDEX($H$704:$H764,62-20):$H764)*SQRT(245),"")</f>
        <v/>
      </c>
      <c r="M764" s="52" t="str">
        <f aca="false">IF(AND(ISNUMBER($G764),$G764&gt;=60),MAX(INDEX($D$564:$D764,202-60):$D764),"")</f>
        <v/>
      </c>
      <c r="N764" s="52" t="str">
        <f aca="false">IF(AND(ISNUMBER($G764),$G764&gt;=60),MIN(INDEX($E$564:$E764,202-60):$E764),"")</f>
        <v/>
      </c>
      <c r="O764" s="53" t="str">
        <f aca="false">IF(OR(NOT(ISNUMBER($C764)),NOT(ISNUMBER($M764)),$M764=0),"",$C764/$M764-1)</f>
        <v/>
      </c>
    </row>
    <row r="765" customFormat="false" ht="15" hidden="false" customHeight="false" outlineLevel="0" collapsed="false">
      <c r="A765" s="55"/>
      <c r="B765" s="56"/>
      <c r="C765" s="57"/>
      <c r="D765" s="56"/>
      <c r="E765" s="56"/>
      <c r="F765" s="56"/>
      <c r="G765" s="50" t="str">
        <f aca="false">IF($A765="","",IF(ISNUMBER($G764),$G764+1,1))</f>
        <v/>
      </c>
      <c r="H765" s="51" t="str">
        <f aca="false">IF(OR(NOT(ISNUMBER($G765)),$G765&lt;2,NOT(ISNUMBER($C764)),$C764=0),"",$C765/$C764-1)</f>
        <v/>
      </c>
      <c r="I765" s="52" t="str">
        <f aca="false">IF(AND(ISNUMBER($G765),$G765&gt;=MA_SHORT),AVERAGE(INDEX($C$365:$C765,402-MA_SHORT):$C765),"")</f>
        <v/>
      </c>
      <c r="J765" s="52" t="str">
        <f aca="false">IF(AND(ISNUMBER($G765),$G765&gt;=MA_MED),AVERAGE(INDEX($C$365:$C765,402-MA_MED):$C765),"")</f>
        <v/>
      </c>
      <c r="K765" s="52" t="str">
        <f aca="false">IF(AND(ISNUMBER($G765),$G765&gt;=MA_LONG2),AVERAGE(INDEX($C$365:$C765,402-MA_LONG2):$C765),"")</f>
        <v/>
      </c>
      <c r="L765" s="53" t="str">
        <f aca="false">IF(AND(ISNUMBER($G765),$G765&gt;=21),STDEV(INDEX($H$705:$H765,62-20):$H765)*SQRT(245),"")</f>
        <v/>
      </c>
      <c r="M765" s="52" t="str">
        <f aca="false">IF(AND(ISNUMBER($G765),$G765&gt;=60),MAX(INDEX($D$565:$D765,202-60):$D765),"")</f>
        <v/>
      </c>
      <c r="N765" s="52" t="str">
        <f aca="false">IF(AND(ISNUMBER($G765),$G765&gt;=60),MIN(INDEX($E$565:$E765,202-60):$E765),"")</f>
        <v/>
      </c>
      <c r="O765" s="53" t="str">
        <f aca="false">IF(OR(NOT(ISNUMBER($C765)),NOT(ISNUMBER($M765)),$M765=0),"",$C765/$M765-1)</f>
        <v/>
      </c>
    </row>
    <row r="766" customFormat="false" ht="15" hidden="false" customHeight="false" outlineLevel="0" collapsed="false">
      <c r="A766" s="55"/>
      <c r="B766" s="56"/>
      <c r="C766" s="57"/>
      <c r="D766" s="56"/>
      <c r="E766" s="56"/>
      <c r="F766" s="56"/>
      <c r="G766" s="50" t="str">
        <f aca="false">IF($A766="","",IF(ISNUMBER($G765),$G765+1,1))</f>
        <v/>
      </c>
      <c r="H766" s="51" t="str">
        <f aca="false">IF(OR(NOT(ISNUMBER($G766)),$G766&lt;2,NOT(ISNUMBER($C765)),$C765=0),"",$C766/$C765-1)</f>
        <v/>
      </c>
      <c r="I766" s="52" t="str">
        <f aca="false">IF(AND(ISNUMBER($G766),$G766&gt;=MA_SHORT),AVERAGE(INDEX($C$366:$C766,402-MA_SHORT):$C766),"")</f>
        <v/>
      </c>
      <c r="J766" s="52" t="str">
        <f aca="false">IF(AND(ISNUMBER($G766),$G766&gt;=MA_MED),AVERAGE(INDEX($C$366:$C766,402-MA_MED):$C766),"")</f>
        <v/>
      </c>
      <c r="K766" s="52" t="str">
        <f aca="false">IF(AND(ISNUMBER($G766),$G766&gt;=MA_LONG2),AVERAGE(INDEX($C$366:$C766,402-MA_LONG2):$C766),"")</f>
        <v/>
      </c>
      <c r="L766" s="53" t="str">
        <f aca="false">IF(AND(ISNUMBER($G766),$G766&gt;=21),STDEV(INDEX($H$706:$H766,62-20):$H766)*SQRT(245),"")</f>
        <v/>
      </c>
      <c r="M766" s="52" t="str">
        <f aca="false">IF(AND(ISNUMBER($G766),$G766&gt;=60),MAX(INDEX($D$566:$D766,202-60):$D766),"")</f>
        <v/>
      </c>
      <c r="N766" s="52" t="str">
        <f aca="false">IF(AND(ISNUMBER($G766),$G766&gt;=60),MIN(INDEX($E$566:$E766,202-60):$E766),"")</f>
        <v/>
      </c>
      <c r="O766" s="53" t="str">
        <f aca="false">IF(OR(NOT(ISNUMBER($C766)),NOT(ISNUMBER($M766)),$M766=0),"",$C766/$M766-1)</f>
        <v/>
      </c>
    </row>
    <row r="767" customFormat="false" ht="15" hidden="false" customHeight="false" outlineLevel="0" collapsed="false">
      <c r="A767" s="55"/>
      <c r="B767" s="56"/>
      <c r="C767" s="57"/>
      <c r="D767" s="56"/>
      <c r="E767" s="56"/>
      <c r="F767" s="56"/>
      <c r="G767" s="50" t="str">
        <f aca="false">IF($A767="","",IF(ISNUMBER($G766),$G766+1,1))</f>
        <v/>
      </c>
      <c r="H767" s="51" t="str">
        <f aca="false">IF(OR(NOT(ISNUMBER($G767)),$G767&lt;2,NOT(ISNUMBER($C766)),$C766=0),"",$C767/$C766-1)</f>
        <v/>
      </c>
      <c r="I767" s="52" t="str">
        <f aca="false">IF(AND(ISNUMBER($G767),$G767&gt;=MA_SHORT),AVERAGE(INDEX($C$367:$C767,402-MA_SHORT):$C767),"")</f>
        <v/>
      </c>
      <c r="J767" s="52" t="str">
        <f aca="false">IF(AND(ISNUMBER($G767),$G767&gt;=MA_MED),AVERAGE(INDEX($C$367:$C767,402-MA_MED):$C767),"")</f>
        <v/>
      </c>
      <c r="K767" s="52" t="str">
        <f aca="false">IF(AND(ISNUMBER($G767),$G767&gt;=MA_LONG2),AVERAGE(INDEX($C$367:$C767,402-MA_LONG2):$C767),"")</f>
        <v/>
      </c>
      <c r="L767" s="53" t="str">
        <f aca="false">IF(AND(ISNUMBER($G767),$G767&gt;=21),STDEV(INDEX($H$707:$H767,62-20):$H767)*SQRT(245),"")</f>
        <v/>
      </c>
      <c r="M767" s="52" t="str">
        <f aca="false">IF(AND(ISNUMBER($G767),$G767&gt;=60),MAX(INDEX($D$567:$D767,202-60):$D767),"")</f>
        <v/>
      </c>
      <c r="N767" s="52" t="str">
        <f aca="false">IF(AND(ISNUMBER($G767),$G767&gt;=60),MIN(INDEX($E$567:$E767,202-60):$E767),"")</f>
        <v/>
      </c>
      <c r="O767" s="53" t="str">
        <f aca="false">IF(OR(NOT(ISNUMBER($C767)),NOT(ISNUMBER($M767)),$M767=0),"",$C767/$M767-1)</f>
        <v/>
      </c>
    </row>
    <row r="768" customFormat="false" ht="15" hidden="false" customHeight="false" outlineLevel="0" collapsed="false">
      <c r="A768" s="55"/>
      <c r="B768" s="56"/>
      <c r="C768" s="57"/>
      <c r="D768" s="56"/>
      <c r="E768" s="56"/>
      <c r="F768" s="56"/>
      <c r="G768" s="50" t="str">
        <f aca="false">IF($A768="","",IF(ISNUMBER($G767),$G767+1,1))</f>
        <v/>
      </c>
      <c r="H768" s="51" t="str">
        <f aca="false">IF(OR(NOT(ISNUMBER($G768)),$G768&lt;2,NOT(ISNUMBER($C767)),$C767=0),"",$C768/$C767-1)</f>
        <v/>
      </c>
      <c r="I768" s="52" t="str">
        <f aca="false">IF(AND(ISNUMBER($G768),$G768&gt;=MA_SHORT),AVERAGE(INDEX($C$368:$C768,402-MA_SHORT):$C768),"")</f>
        <v/>
      </c>
      <c r="J768" s="52" t="str">
        <f aca="false">IF(AND(ISNUMBER($G768),$G768&gt;=MA_MED),AVERAGE(INDEX($C$368:$C768,402-MA_MED):$C768),"")</f>
        <v/>
      </c>
      <c r="K768" s="52" t="str">
        <f aca="false">IF(AND(ISNUMBER($G768),$G768&gt;=MA_LONG2),AVERAGE(INDEX($C$368:$C768,402-MA_LONG2):$C768),"")</f>
        <v/>
      </c>
      <c r="L768" s="53" t="str">
        <f aca="false">IF(AND(ISNUMBER($G768),$G768&gt;=21),STDEV(INDEX($H$708:$H768,62-20):$H768)*SQRT(245),"")</f>
        <v/>
      </c>
      <c r="M768" s="52" t="str">
        <f aca="false">IF(AND(ISNUMBER($G768),$G768&gt;=60),MAX(INDEX($D$568:$D768,202-60):$D768),"")</f>
        <v/>
      </c>
      <c r="N768" s="52" t="str">
        <f aca="false">IF(AND(ISNUMBER($G768),$G768&gt;=60),MIN(INDEX($E$568:$E768,202-60):$E768),"")</f>
        <v/>
      </c>
      <c r="O768" s="53" t="str">
        <f aca="false">IF(OR(NOT(ISNUMBER($C768)),NOT(ISNUMBER($M768)),$M768=0),"",$C768/$M768-1)</f>
        <v/>
      </c>
    </row>
    <row r="769" customFormat="false" ht="15" hidden="false" customHeight="false" outlineLevel="0" collapsed="false">
      <c r="A769" s="55"/>
      <c r="B769" s="56"/>
      <c r="C769" s="57"/>
      <c r="D769" s="56"/>
      <c r="E769" s="56"/>
      <c r="F769" s="56"/>
      <c r="G769" s="50" t="str">
        <f aca="false">IF($A769="","",IF(ISNUMBER($G768),$G768+1,1))</f>
        <v/>
      </c>
      <c r="H769" s="51" t="str">
        <f aca="false">IF(OR(NOT(ISNUMBER($G769)),$G769&lt;2,NOT(ISNUMBER($C768)),$C768=0),"",$C769/$C768-1)</f>
        <v/>
      </c>
      <c r="I769" s="52" t="str">
        <f aca="false">IF(AND(ISNUMBER($G769),$G769&gt;=MA_SHORT),AVERAGE(INDEX($C$369:$C769,402-MA_SHORT):$C769),"")</f>
        <v/>
      </c>
      <c r="J769" s="52" t="str">
        <f aca="false">IF(AND(ISNUMBER($G769),$G769&gt;=MA_MED),AVERAGE(INDEX($C$369:$C769,402-MA_MED):$C769),"")</f>
        <v/>
      </c>
      <c r="K769" s="52" t="str">
        <f aca="false">IF(AND(ISNUMBER($G769),$G769&gt;=MA_LONG2),AVERAGE(INDEX($C$369:$C769,402-MA_LONG2):$C769),"")</f>
        <v/>
      </c>
      <c r="L769" s="53" t="str">
        <f aca="false">IF(AND(ISNUMBER($G769),$G769&gt;=21),STDEV(INDEX($H$709:$H769,62-20):$H769)*SQRT(245),"")</f>
        <v/>
      </c>
      <c r="M769" s="52" t="str">
        <f aca="false">IF(AND(ISNUMBER($G769),$G769&gt;=60),MAX(INDEX($D$569:$D769,202-60):$D769),"")</f>
        <v/>
      </c>
      <c r="N769" s="52" t="str">
        <f aca="false">IF(AND(ISNUMBER($G769),$G769&gt;=60),MIN(INDEX($E$569:$E769,202-60):$E769),"")</f>
        <v/>
      </c>
      <c r="O769" s="53" t="str">
        <f aca="false">IF(OR(NOT(ISNUMBER($C769)),NOT(ISNUMBER($M769)),$M769=0),"",$C769/$M769-1)</f>
        <v/>
      </c>
    </row>
    <row r="770" customFormat="false" ht="15" hidden="false" customHeight="false" outlineLevel="0" collapsed="false">
      <c r="A770" s="55"/>
      <c r="B770" s="56"/>
      <c r="C770" s="57"/>
      <c r="D770" s="56"/>
      <c r="E770" s="56"/>
      <c r="F770" s="56"/>
      <c r="G770" s="50" t="str">
        <f aca="false">IF($A770="","",IF(ISNUMBER($G769),$G769+1,1))</f>
        <v/>
      </c>
      <c r="H770" s="51" t="str">
        <f aca="false">IF(OR(NOT(ISNUMBER($G770)),$G770&lt;2,NOT(ISNUMBER($C769)),$C769=0),"",$C770/$C769-1)</f>
        <v/>
      </c>
      <c r="I770" s="52" t="str">
        <f aca="false">IF(AND(ISNUMBER($G770),$G770&gt;=MA_SHORT),AVERAGE(INDEX($C$370:$C770,402-MA_SHORT):$C770),"")</f>
        <v/>
      </c>
      <c r="J770" s="52" t="str">
        <f aca="false">IF(AND(ISNUMBER($G770),$G770&gt;=MA_MED),AVERAGE(INDEX($C$370:$C770,402-MA_MED):$C770),"")</f>
        <v/>
      </c>
      <c r="K770" s="52" t="str">
        <f aca="false">IF(AND(ISNUMBER($G770),$G770&gt;=MA_LONG2),AVERAGE(INDEX($C$370:$C770,402-MA_LONG2):$C770),"")</f>
        <v/>
      </c>
      <c r="L770" s="53" t="str">
        <f aca="false">IF(AND(ISNUMBER($G770),$G770&gt;=21),STDEV(INDEX($H$710:$H770,62-20):$H770)*SQRT(245),"")</f>
        <v/>
      </c>
      <c r="M770" s="52" t="str">
        <f aca="false">IF(AND(ISNUMBER($G770),$G770&gt;=60),MAX(INDEX($D$570:$D770,202-60):$D770),"")</f>
        <v/>
      </c>
      <c r="N770" s="52" t="str">
        <f aca="false">IF(AND(ISNUMBER($G770),$G770&gt;=60),MIN(INDEX($E$570:$E770,202-60):$E770),"")</f>
        <v/>
      </c>
      <c r="O770" s="53" t="str">
        <f aca="false">IF(OR(NOT(ISNUMBER($C770)),NOT(ISNUMBER($M770)),$M770=0),"",$C770/$M770-1)</f>
        <v/>
      </c>
    </row>
    <row r="771" customFormat="false" ht="15" hidden="false" customHeight="false" outlineLevel="0" collapsed="false">
      <c r="A771" s="55"/>
      <c r="B771" s="56"/>
      <c r="C771" s="57"/>
      <c r="D771" s="56"/>
      <c r="E771" s="56"/>
      <c r="F771" s="56"/>
      <c r="G771" s="50" t="str">
        <f aca="false">IF($A771="","",IF(ISNUMBER($G770),$G770+1,1))</f>
        <v/>
      </c>
      <c r="H771" s="51" t="str">
        <f aca="false">IF(OR(NOT(ISNUMBER($G771)),$G771&lt;2,NOT(ISNUMBER($C770)),$C770=0),"",$C771/$C770-1)</f>
        <v/>
      </c>
      <c r="I771" s="52" t="str">
        <f aca="false">IF(AND(ISNUMBER($G771),$G771&gt;=MA_SHORT),AVERAGE(INDEX($C$371:$C771,402-MA_SHORT):$C771),"")</f>
        <v/>
      </c>
      <c r="J771" s="52" t="str">
        <f aca="false">IF(AND(ISNUMBER($G771),$G771&gt;=MA_MED),AVERAGE(INDEX($C$371:$C771,402-MA_MED):$C771),"")</f>
        <v/>
      </c>
      <c r="K771" s="52" t="str">
        <f aca="false">IF(AND(ISNUMBER($G771),$G771&gt;=MA_LONG2),AVERAGE(INDEX($C$371:$C771,402-MA_LONG2):$C771),"")</f>
        <v/>
      </c>
      <c r="L771" s="53" t="str">
        <f aca="false">IF(AND(ISNUMBER($G771),$G771&gt;=21),STDEV(INDEX($H$711:$H771,62-20):$H771)*SQRT(245),"")</f>
        <v/>
      </c>
      <c r="M771" s="52" t="str">
        <f aca="false">IF(AND(ISNUMBER($G771),$G771&gt;=60),MAX(INDEX($D$571:$D771,202-60):$D771),"")</f>
        <v/>
      </c>
      <c r="N771" s="52" t="str">
        <f aca="false">IF(AND(ISNUMBER($G771),$G771&gt;=60),MIN(INDEX($E$571:$E771,202-60):$E771),"")</f>
        <v/>
      </c>
      <c r="O771" s="53" t="str">
        <f aca="false">IF(OR(NOT(ISNUMBER($C771)),NOT(ISNUMBER($M771)),$M771=0),"",$C771/$M771-1)</f>
        <v/>
      </c>
    </row>
    <row r="772" customFormat="false" ht="15" hidden="false" customHeight="false" outlineLevel="0" collapsed="false">
      <c r="A772" s="55"/>
      <c r="B772" s="56"/>
      <c r="C772" s="57"/>
      <c r="D772" s="56"/>
      <c r="E772" s="56"/>
      <c r="F772" s="56"/>
      <c r="G772" s="50" t="str">
        <f aca="false">IF($A772="","",IF(ISNUMBER($G771),$G771+1,1))</f>
        <v/>
      </c>
      <c r="H772" s="51" t="str">
        <f aca="false">IF(OR(NOT(ISNUMBER($G772)),$G772&lt;2,NOT(ISNUMBER($C771)),$C771=0),"",$C772/$C771-1)</f>
        <v/>
      </c>
      <c r="I772" s="52" t="str">
        <f aca="false">IF(AND(ISNUMBER($G772),$G772&gt;=MA_SHORT),AVERAGE(INDEX($C$372:$C772,402-MA_SHORT):$C772),"")</f>
        <v/>
      </c>
      <c r="J772" s="52" t="str">
        <f aca="false">IF(AND(ISNUMBER($G772),$G772&gt;=MA_MED),AVERAGE(INDEX($C$372:$C772,402-MA_MED):$C772),"")</f>
        <v/>
      </c>
      <c r="K772" s="52" t="str">
        <f aca="false">IF(AND(ISNUMBER($G772),$G772&gt;=MA_LONG2),AVERAGE(INDEX($C$372:$C772,402-MA_LONG2):$C772),"")</f>
        <v/>
      </c>
      <c r="L772" s="53" t="str">
        <f aca="false">IF(AND(ISNUMBER($G772),$G772&gt;=21),STDEV(INDEX($H$712:$H772,62-20):$H772)*SQRT(245),"")</f>
        <v/>
      </c>
      <c r="M772" s="52" t="str">
        <f aca="false">IF(AND(ISNUMBER($G772),$G772&gt;=60),MAX(INDEX($D$572:$D772,202-60):$D772),"")</f>
        <v/>
      </c>
      <c r="N772" s="52" t="str">
        <f aca="false">IF(AND(ISNUMBER($G772),$G772&gt;=60),MIN(INDEX($E$572:$E772,202-60):$E772),"")</f>
        <v/>
      </c>
      <c r="O772" s="53" t="str">
        <f aca="false">IF(OR(NOT(ISNUMBER($C772)),NOT(ISNUMBER($M772)),$M772=0),"",$C772/$M772-1)</f>
        <v/>
      </c>
    </row>
    <row r="773" customFormat="false" ht="15" hidden="false" customHeight="false" outlineLevel="0" collapsed="false">
      <c r="A773" s="55"/>
      <c r="B773" s="56"/>
      <c r="C773" s="57"/>
      <c r="D773" s="56"/>
      <c r="E773" s="56"/>
      <c r="F773" s="56"/>
      <c r="G773" s="50" t="str">
        <f aca="false">IF($A773="","",IF(ISNUMBER($G772),$G772+1,1))</f>
        <v/>
      </c>
      <c r="H773" s="51" t="str">
        <f aca="false">IF(OR(NOT(ISNUMBER($G773)),$G773&lt;2,NOT(ISNUMBER($C772)),$C772=0),"",$C773/$C772-1)</f>
        <v/>
      </c>
      <c r="I773" s="52" t="str">
        <f aca="false">IF(AND(ISNUMBER($G773),$G773&gt;=MA_SHORT),AVERAGE(INDEX($C$373:$C773,402-MA_SHORT):$C773),"")</f>
        <v/>
      </c>
      <c r="J773" s="52" t="str">
        <f aca="false">IF(AND(ISNUMBER($G773),$G773&gt;=MA_MED),AVERAGE(INDEX($C$373:$C773,402-MA_MED):$C773),"")</f>
        <v/>
      </c>
      <c r="K773" s="52" t="str">
        <f aca="false">IF(AND(ISNUMBER($G773),$G773&gt;=MA_LONG2),AVERAGE(INDEX($C$373:$C773,402-MA_LONG2):$C773),"")</f>
        <v/>
      </c>
      <c r="L773" s="53" t="str">
        <f aca="false">IF(AND(ISNUMBER($G773),$G773&gt;=21),STDEV(INDEX($H$713:$H773,62-20):$H773)*SQRT(245),"")</f>
        <v/>
      </c>
      <c r="M773" s="52" t="str">
        <f aca="false">IF(AND(ISNUMBER($G773),$G773&gt;=60),MAX(INDEX($D$573:$D773,202-60):$D773),"")</f>
        <v/>
      </c>
      <c r="N773" s="52" t="str">
        <f aca="false">IF(AND(ISNUMBER($G773),$G773&gt;=60),MIN(INDEX($E$573:$E773,202-60):$E773),"")</f>
        <v/>
      </c>
      <c r="O773" s="53" t="str">
        <f aca="false">IF(OR(NOT(ISNUMBER($C773)),NOT(ISNUMBER($M773)),$M773=0),"",$C773/$M773-1)</f>
        <v/>
      </c>
    </row>
    <row r="774" customFormat="false" ht="15" hidden="false" customHeight="false" outlineLevel="0" collapsed="false">
      <c r="A774" s="55"/>
      <c r="B774" s="56"/>
      <c r="C774" s="57"/>
      <c r="D774" s="56"/>
      <c r="E774" s="56"/>
      <c r="F774" s="56"/>
      <c r="G774" s="50" t="str">
        <f aca="false">IF($A774="","",IF(ISNUMBER($G773),$G773+1,1))</f>
        <v/>
      </c>
      <c r="H774" s="51" t="str">
        <f aca="false">IF(OR(NOT(ISNUMBER($G774)),$G774&lt;2,NOT(ISNUMBER($C773)),$C773=0),"",$C774/$C773-1)</f>
        <v/>
      </c>
      <c r="I774" s="52" t="str">
        <f aca="false">IF(AND(ISNUMBER($G774),$G774&gt;=MA_SHORT),AVERAGE(INDEX($C$374:$C774,402-MA_SHORT):$C774),"")</f>
        <v/>
      </c>
      <c r="J774" s="52" t="str">
        <f aca="false">IF(AND(ISNUMBER($G774),$G774&gt;=MA_MED),AVERAGE(INDEX($C$374:$C774,402-MA_MED):$C774),"")</f>
        <v/>
      </c>
      <c r="K774" s="52" t="str">
        <f aca="false">IF(AND(ISNUMBER($G774),$G774&gt;=MA_LONG2),AVERAGE(INDEX($C$374:$C774,402-MA_LONG2):$C774),"")</f>
        <v/>
      </c>
      <c r="L774" s="53" t="str">
        <f aca="false">IF(AND(ISNUMBER($G774),$G774&gt;=21),STDEV(INDEX($H$714:$H774,62-20):$H774)*SQRT(245),"")</f>
        <v/>
      </c>
      <c r="M774" s="52" t="str">
        <f aca="false">IF(AND(ISNUMBER($G774),$G774&gt;=60),MAX(INDEX($D$574:$D774,202-60):$D774),"")</f>
        <v/>
      </c>
      <c r="N774" s="52" t="str">
        <f aca="false">IF(AND(ISNUMBER($G774),$G774&gt;=60),MIN(INDEX($E$574:$E774,202-60):$E774),"")</f>
        <v/>
      </c>
      <c r="O774" s="53" t="str">
        <f aca="false">IF(OR(NOT(ISNUMBER($C774)),NOT(ISNUMBER($M774)),$M774=0),"",$C774/$M774-1)</f>
        <v/>
      </c>
    </row>
    <row r="775" customFormat="false" ht="15" hidden="false" customHeight="false" outlineLevel="0" collapsed="false">
      <c r="A775" s="55"/>
      <c r="B775" s="56"/>
      <c r="C775" s="57"/>
      <c r="D775" s="56"/>
      <c r="E775" s="56"/>
      <c r="F775" s="56"/>
      <c r="G775" s="50" t="str">
        <f aca="false">IF($A775="","",IF(ISNUMBER($G774),$G774+1,1))</f>
        <v/>
      </c>
      <c r="H775" s="51" t="str">
        <f aca="false">IF(OR(NOT(ISNUMBER($G775)),$G775&lt;2,NOT(ISNUMBER($C774)),$C774=0),"",$C775/$C774-1)</f>
        <v/>
      </c>
      <c r="I775" s="52" t="str">
        <f aca="false">IF(AND(ISNUMBER($G775),$G775&gt;=MA_SHORT),AVERAGE(INDEX($C$375:$C775,402-MA_SHORT):$C775),"")</f>
        <v/>
      </c>
      <c r="J775" s="52" t="str">
        <f aca="false">IF(AND(ISNUMBER($G775),$G775&gt;=MA_MED),AVERAGE(INDEX($C$375:$C775,402-MA_MED):$C775),"")</f>
        <v/>
      </c>
      <c r="K775" s="52" t="str">
        <f aca="false">IF(AND(ISNUMBER($G775),$G775&gt;=MA_LONG2),AVERAGE(INDEX($C$375:$C775,402-MA_LONG2):$C775),"")</f>
        <v/>
      </c>
      <c r="L775" s="53" t="str">
        <f aca="false">IF(AND(ISNUMBER($G775),$G775&gt;=21),STDEV(INDEX($H$715:$H775,62-20):$H775)*SQRT(245),"")</f>
        <v/>
      </c>
      <c r="M775" s="52" t="str">
        <f aca="false">IF(AND(ISNUMBER($G775),$G775&gt;=60),MAX(INDEX($D$575:$D775,202-60):$D775),"")</f>
        <v/>
      </c>
      <c r="N775" s="52" t="str">
        <f aca="false">IF(AND(ISNUMBER($G775),$G775&gt;=60),MIN(INDEX($E$575:$E775,202-60):$E775),"")</f>
        <v/>
      </c>
      <c r="O775" s="53" t="str">
        <f aca="false">IF(OR(NOT(ISNUMBER($C775)),NOT(ISNUMBER($M775)),$M775=0),"",$C775/$M775-1)</f>
        <v/>
      </c>
    </row>
    <row r="776" customFormat="false" ht="15" hidden="false" customHeight="false" outlineLevel="0" collapsed="false">
      <c r="A776" s="55"/>
      <c r="B776" s="56"/>
      <c r="C776" s="57"/>
      <c r="D776" s="56"/>
      <c r="E776" s="56"/>
      <c r="F776" s="56"/>
      <c r="G776" s="50" t="str">
        <f aca="false">IF($A776="","",IF(ISNUMBER($G775),$G775+1,1))</f>
        <v/>
      </c>
      <c r="H776" s="51" t="str">
        <f aca="false">IF(OR(NOT(ISNUMBER($G776)),$G776&lt;2,NOT(ISNUMBER($C775)),$C775=0),"",$C776/$C775-1)</f>
        <v/>
      </c>
      <c r="I776" s="52" t="str">
        <f aca="false">IF(AND(ISNUMBER($G776),$G776&gt;=MA_SHORT),AVERAGE(INDEX($C$376:$C776,402-MA_SHORT):$C776),"")</f>
        <v/>
      </c>
      <c r="J776" s="52" t="str">
        <f aca="false">IF(AND(ISNUMBER($G776),$G776&gt;=MA_MED),AVERAGE(INDEX($C$376:$C776,402-MA_MED):$C776),"")</f>
        <v/>
      </c>
      <c r="K776" s="52" t="str">
        <f aca="false">IF(AND(ISNUMBER($G776),$G776&gt;=MA_LONG2),AVERAGE(INDEX($C$376:$C776,402-MA_LONG2):$C776),"")</f>
        <v/>
      </c>
      <c r="L776" s="53" t="str">
        <f aca="false">IF(AND(ISNUMBER($G776),$G776&gt;=21),STDEV(INDEX($H$716:$H776,62-20):$H776)*SQRT(245),"")</f>
        <v/>
      </c>
      <c r="M776" s="52" t="str">
        <f aca="false">IF(AND(ISNUMBER($G776),$G776&gt;=60),MAX(INDEX($D$576:$D776,202-60):$D776),"")</f>
        <v/>
      </c>
      <c r="N776" s="52" t="str">
        <f aca="false">IF(AND(ISNUMBER($G776),$G776&gt;=60),MIN(INDEX($E$576:$E776,202-60):$E776),"")</f>
        <v/>
      </c>
      <c r="O776" s="53" t="str">
        <f aca="false">IF(OR(NOT(ISNUMBER($C776)),NOT(ISNUMBER($M776)),$M776=0),"",$C776/$M776-1)</f>
        <v/>
      </c>
    </row>
    <row r="777" customFormat="false" ht="15" hidden="false" customHeight="false" outlineLevel="0" collapsed="false">
      <c r="A777" s="55"/>
      <c r="B777" s="56"/>
      <c r="C777" s="57"/>
      <c r="D777" s="56"/>
      <c r="E777" s="56"/>
      <c r="F777" s="56"/>
      <c r="G777" s="50" t="str">
        <f aca="false">IF($A777="","",IF(ISNUMBER($G776),$G776+1,1))</f>
        <v/>
      </c>
      <c r="H777" s="51" t="str">
        <f aca="false">IF(OR(NOT(ISNUMBER($G777)),$G777&lt;2,NOT(ISNUMBER($C776)),$C776=0),"",$C777/$C776-1)</f>
        <v/>
      </c>
      <c r="I777" s="52" t="str">
        <f aca="false">IF(AND(ISNUMBER($G777),$G777&gt;=MA_SHORT),AVERAGE(INDEX($C$377:$C777,402-MA_SHORT):$C777),"")</f>
        <v/>
      </c>
      <c r="J777" s="52" t="str">
        <f aca="false">IF(AND(ISNUMBER($G777),$G777&gt;=MA_MED),AVERAGE(INDEX($C$377:$C777,402-MA_MED):$C777),"")</f>
        <v/>
      </c>
      <c r="K777" s="52" t="str">
        <f aca="false">IF(AND(ISNUMBER($G777),$G777&gt;=MA_LONG2),AVERAGE(INDEX($C$377:$C777,402-MA_LONG2):$C777),"")</f>
        <v/>
      </c>
      <c r="L777" s="53" t="str">
        <f aca="false">IF(AND(ISNUMBER($G777),$G777&gt;=21),STDEV(INDEX($H$717:$H777,62-20):$H777)*SQRT(245),"")</f>
        <v/>
      </c>
      <c r="M777" s="52" t="str">
        <f aca="false">IF(AND(ISNUMBER($G777),$G777&gt;=60),MAX(INDEX($D$577:$D777,202-60):$D777),"")</f>
        <v/>
      </c>
      <c r="N777" s="52" t="str">
        <f aca="false">IF(AND(ISNUMBER($G777),$G777&gt;=60),MIN(INDEX($E$577:$E777,202-60):$E777),"")</f>
        <v/>
      </c>
      <c r="O777" s="53" t="str">
        <f aca="false">IF(OR(NOT(ISNUMBER($C777)),NOT(ISNUMBER($M777)),$M777=0),"",$C777/$M777-1)</f>
        <v/>
      </c>
    </row>
    <row r="778" customFormat="false" ht="15" hidden="false" customHeight="false" outlineLevel="0" collapsed="false">
      <c r="A778" s="55"/>
      <c r="B778" s="56"/>
      <c r="C778" s="57"/>
      <c r="D778" s="56"/>
      <c r="E778" s="56"/>
      <c r="F778" s="56"/>
      <c r="G778" s="50" t="str">
        <f aca="false">IF($A778="","",IF(ISNUMBER($G777),$G777+1,1))</f>
        <v/>
      </c>
      <c r="H778" s="51" t="str">
        <f aca="false">IF(OR(NOT(ISNUMBER($G778)),$G778&lt;2,NOT(ISNUMBER($C777)),$C777=0),"",$C778/$C777-1)</f>
        <v/>
      </c>
      <c r="I778" s="52" t="str">
        <f aca="false">IF(AND(ISNUMBER($G778),$G778&gt;=MA_SHORT),AVERAGE(INDEX($C$378:$C778,402-MA_SHORT):$C778),"")</f>
        <v/>
      </c>
      <c r="J778" s="52" t="str">
        <f aca="false">IF(AND(ISNUMBER($G778),$G778&gt;=MA_MED),AVERAGE(INDEX($C$378:$C778,402-MA_MED):$C778),"")</f>
        <v/>
      </c>
      <c r="K778" s="52" t="str">
        <f aca="false">IF(AND(ISNUMBER($G778),$G778&gt;=MA_LONG2),AVERAGE(INDEX($C$378:$C778,402-MA_LONG2):$C778),"")</f>
        <v/>
      </c>
      <c r="L778" s="53" t="str">
        <f aca="false">IF(AND(ISNUMBER($G778),$G778&gt;=21),STDEV(INDEX($H$718:$H778,62-20):$H778)*SQRT(245),"")</f>
        <v/>
      </c>
      <c r="M778" s="52" t="str">
        <f aca="false">IF(AND(ISNUMBER($G778),$G778&gt;=60),MAX(INDEX($D$578:$D778,202-60):$D778),"")</f>
        <v/>
      </c>
      <c r="N778" s="52" t="str">
        <f aca="false">IF(AND(ISNUMBER($G778),$G778&gt;=60),MIN(INDEX($E$578:$E778,202-60):$E778),"")</f>
        <v/>
      </c>
      <c r="O778" s="53" t="str">
        <f aca="false">IF(OR(NOT(ISNUMBER($C778)),NOT(ISNUMBER($M778)),$M778=0),"",$C778/$M778-1)</f>
        <v/>
      </c>
    </row>
    <row r="779" customFormat="false" ht="15" hidden="false" customHeight="false" outlineLevel="0" collapsed="false">
      <c r="A779" s="55"/>
      <c r="B779" s="56"/>
      <c r="C779" s="57"/>
      <c r="D779" s="56"/>
      <c r="E779" s="56"/>
      <c r="F779" s="56"/>
      <c r="G779" s="50" t="str">
        <f aca="false">IF($A779="","",IF(ISNUMBER($G778),$G778+1,1))</f>
        <v/>
      </c>
      <c r="H779" s="51" t="str">
        <f aca="false">IF(OR(NOT(ISNUMBER($G779)),$G779&lt;2,NOT(ISNUMBER($C778)),$C778=0),"",$C779/$C778-1)</f>
        <v/>
      </c>
      <c r="I779" s="52" t="str">
        <f aca="false">IF(AND(ISNUMBER($G779),$G779&gt;=MA_SHORT),AVERAGE(INDEX($C$379:$C779,402-MA_SHORT):$C779),"")</f>
        <v/>
      </c>
      <c r="J779" s="52" t="str">
        <f aca="false">IF(AND(ISNUMBER($G779),$G779&gt;=MA_MED),AVERAGE(INDEX($C$379:$C779,402-MA_MED):$C779),"")</f>
        <v/>
      </c>
      <c r="K779" s="52" t="str">
        <f aca="false">IF(AND(ISNUMBER($G779),$G779&gt;=MA_LONG2),AVERAGE(INDEX($C$379:$C779,402-MA_LONG2):$C779),"")</f>
        <v/>
      </c>
      <c r="L779" s="53" t="str">
        <f aca="false">IF(AND(ISNUMBER($G779),$G779&gt;=21),STDEV(INDEX($H$719:$H779,62-20):$H779)*SQRT(245),"")</f>
        <v/>
      </c>
      <c r="M779" s="52" t="str">
        <f aca="false">IF(AND(ISNUMBER($G779),$G779&gt;=60),MAX(INDEX($D$579:$D779,202-60):$D779),"")</f>
        <v/>
      </c>
      <c r="N779" s="52" t="str">
        <f aca="false">IF(AND(ISNUMBER($G779),$G779&gt;=60),MIN(INDEX($E$579:$E779,202-60):$E779),"")</f>
        <v/>
      </c>
      <c r="O779" s="53" t="str">
        <f aca="false">IF(OR(NOT(ISNUMBER($C779)),NOT(ISNUMBER($M779)),$M779=0),"",$C779/$M779-1)</f>
        <v/>
      </c>
    </row>
    <row r="780" customFormat="false" ht="15" hidden="false" customHeight="false" outlineLevel="0" collapsed="false">
      <c r="A780" s="55"/>
      <c r="B780" s="56"/>
      <c r="C780" s="57"/>
      <c r="D780" s="56"/>
      <c r="E780" s="56"/>
      <c r="F780" s="56"/>
      <c r="G780" s="50" t="str">
        <f aca="false">IF($A780="","",IF(ISNUMBER($G779),$G779+1,1))</f>
        <v/>
      </c>
      <c r="H780" s="51" t="str">
        <f aca="false">IF(OR(NOT(ISNUMBER($G780)),$G780&lt;2,NOT(ISNUMBER($C779)),$C779=0),"",$C780/$C779-1)</f>
        <v/>
      </c>
      <c r="I780" s="52" t="str">
        <f aca="false">IF(AND(ISNUMBER($G780),$G780&gt;=MA_SHORT),AVERAGE(INDEX($C$380:$C780,402-MA_SHORT):$C780),"")</f>
        <v/>
      </c>
      <c r="J780" s="52" t="str">
        <f aca="false">IF(AND(ISNUMBER($G780),$G780&gt;=MA_MED),AVERAGE(INDEX($C$380:$C780,402-MA_MED):$C780),"")</f>
        <v/>
      </c>
      <c r="K780" s="52" t="str">
        <f aca="false">IF(AND(ISNUMBER($G780),$G780&gt;=MA_LONG2),AVERAGE(INDEX($C$380:$C780,402-MA_LONG2):$C780),"")</f>
        <v/>
      </c>
      <c r="L780" s="53" t="str">
        <f aca="false">IF(AND(ISNUMBER($G780),$G780&gt;=21),STDEV(INDEX($H$720:$H780,62-20):$H780)*SQRT(245),"")</f>
        <v/>
      </c>
      <c r="M780" s="52" t="str">
        <f aca="false">IF(AND(ISNUMBER($G780),$G780&gt;=60),MAX(INDEX($D$580:$D780,202-60):$D780),"")</f>
        <v/>
      </c>
      <c r="N780" s="52" t="str">
        <f aca="false">IF(AND(ISNUMBER($G780),$G780&gt;=60),MIN(INDEX($E$580:$E780,202-60):$E780),"")</f>
        <v/>
      </c>
      <c r="O780" s="53" t="str">
        <f aca="false">IF(OR(NOT(ISNUMBER($C780)),NOT(ISNUMBER($M780)),$M780=0),"",$C780/$M780-1)</f>
        <v/>
      </c>
    </row>
    <row r="781" customFormat="false" ht="15" hidden="false" customHeight="false" outlineLevel="0" collapsed="false">
      <c r="A781" s="55"/>
      <c r="B781" s="56"/>
      <c r="C781" s="57"/>
      <c r="D781" s="56"/>
      <c r="E781" s="56"/>
      <c r="F781" s="56"/>
      <c r="G781" s="50" t="str">
        <f aca="false">IF($A781="","",IF(ISNUMBER($G780),$G780+1,1))</f>
        <v/>
      </c>
      <c r="H781" s="51" t="str">
        <f aca="false">IF(OR(NOT(ISNUMBER($G781)),$G781&lt;2,NOT(ISNUMBER($C780)),$C780=0),"",$C781/$C780-1)</f>
        <v/>
      </c>
      <c r="I781" s="52" t="str">
        <f aca="false">IF(AND(ISNUMBER($G781),$G781&gt;=MA_SHORT),AVERAGE(INDEX($C$381:$C781,402-MA_SHORT):$C781),"")</f>
        <v/>
      </c>
      <c r="J781" s="52" t="str">
        <f aca="false">IF(AND(ISNUMBER($G781),$G781&gt;=MA_MED),AVERAGE(INDEX($C$381:$C781,402-MA_MED):$C781),"")</f>
        <v/>
      </c>
      <c r="K781" s="52" t="str">
        <f aca="false">IF(AND(ISNUMBER($G781),$G781&gt;=MA_LONG2),AVERAGE(INDEX($C$381:$C781,402-MA_LONG2):$C781),"")</f>
        <v/>
      </c>
      <c r="L781" s="53" t="str">
        <f aca="false">IF(AND(ISNUMBER($G781),$G781&gt;=21),STDEV(INDEX($H$721:$H781,62-20):$H781)*SQRT(245),"")</f>
        <v/>
      </c>
      <c r="M781" s="52" t="str">
        <f aca="false">IF(AND(ISNUMBER($G781),$G781&gt;=60),MAX(INDEX($D$581:$D781,202-60):$D781),"")</f>
        <v/>
      </c>
      <c r="N781" s="52" t="str">
        <f aca="false">IF(AND(ISNUMBER($G781),$G781&gt;=60),MIN(INDEX($E$581:$E781,202-60):$E781),"")</f>
        <v/>
      </c>
      <c r="O781" s="53" t="str">
        <f aca="false">IF(OR(NOT(ISNUMBER($C781)),NOT(ISNUMBER($M781)),$M781=0),"",$C781/$M781-1)</f>
        <v/>
      </c>
    </row>
    <row r="782" customFormat="false" ht="15" hidden="false" customHeight="false" outlineLevel="0" collapsed="false">
      <c r="A782" s="55"/>
      <c r="B782" s="56"/>
      <c r="C782" s="57"/>
      <c r="D782" s="56"/>
      <c r="E782" s="56"/>
      <c r="F782" s="56"/>
      <c r="G782" s="50" t="str">
        <f aca="false">IF($A782="","",IF(ISNUMBER($G781),$G781+1,1))</f>
        <v/>
      </c>
      <c r="H782" s="51" t="str">
        <f aca="false">IF(OR(NOT(ISNUMBER($G782)),$G782&lt;2,NOT(ISNUMBER($C781)),$C781=0),"",$C782/$C781-1)</f>
        <v/>
      </c>
      <c r="I782" s="52" t="str">
        <f aca="false">IF(AND(ISNUMBER($G782),$G782&gt;=MA_SHORT),AVERAGE(INDEX($C$382:$C782,402-MA_SHORT):$C782),"")</f>
        <v/>
      </c>
      <c r="J782" s="52" t="str">
        <f aca="false">IF(AND(ISNUMBER($G782),$G782&gt;=MA_MED),AVERAGE(INDEX($C$382:$C782,402-MA_MED):$C782),"")</f>
        <v/>
      </c>
      <c r="K782" s="52" t="str">
        <f aca="false">IF(AND(ISNUMBER($G782),$G782&gt;=MA_LONG2),AVERAGE(INDEX($C$382:$C782,402-MA_LONG2):$C782),"")</f>
        <v/>
      </c>
      <c r="L782" s="53" t="str">
        <f aca="false">IF(AND(ISNUMBER($G782),$G782&gt;=21),STDEV(INDEX($H$722:$H782,62-20):$H782)*SQRT(245),"")</f>
        <v/>
      </c>
      <c r="M782" s="52" t="str">
        <f aca="false">IF(AND(ISNUMBER($G782),$G782&gt;=60),MAX(INDEX($D$582:$D782,202-60):$D782),"")</f>
        <v/>
      </c>
      <c r="N782" s="52" t="str">
        <f aca="false">IF(AND(ISNUMBER($G782),$G782&gt;=60),MIN(INDEX($E$582:$E782,202-60):$E782),"")</f>
        <v/>
      </c>
      <c r="O782" s="53" t="str">
        <f aca="false">IF(OR(NOT(ISNUMBER($C782)),NOT(ISNUMBER($M782)),$M782=0),"",$C782/$M782-1)</f>
        <v/>
      </c>
    </row>
    <row r="783" customFormat="false" ht="15" hidden="false" customHeight="false" outlineLevel="0" collapsed="false">
      <c r="A783" s="55"/>
      <c r="B783" s="56"/>
      <c r="C783" s="57"/>
      <c r="D783" s="56"/>
      <c r="E783" s="56"/>
      <c r="F783" s="56"/>
      <c r="G783" s="50" t="str">
        <f aca="false">IF($A783="","",IF(ISNUMBER($G782),$G782+1,1))</f>
        <v/>
      </c>
      <c r="H783" s="51" t="str">
        <f aca="false">IF(OR(NOT(ISNUMBER($G783)),$G783&lt;2,NOT(ISNUMBER($C782)),$C782=0),"",$C783/$C782-1)</f>
        <v/>
      </c>
      <c r="I783" s="52" t="str">
        <f aca="false">IF(AND(ISNUMBER($G783),$G783&gt;=MA_SHORT),AVERAGE(INDEX($C$383:$C783,402-MA_SHORT):$C783),"")</f>
        <v/>
      </c>
      <c r="J783" s="52" t="str">
        <f aca="false">IF(AND(ISNUMBER($G783),$G783&gt;=MA_MED),AVERAGE(INDEX($C$383:$C783,402-MA_MED):$C783),"")</f>
        <v/>
      </c>
      <c r="K783" s="52" t="str">
        <f aca="false">IF(AND(ISNUMBER($G783),$G783&gt;=MA_LONG2),AVERAGE(INDEX($C$383:$C783,402-MA_LONG2):$C783),"")</f>
        <v/>
      </c>
      <c r="L783" s="53" t="str">
        <f aca="false">IF(AND(ISNUMBER($G783),$G783&gt;=21),STDEV(INDEX($H$723:$H783,62-20):$H783)*SQRT(245),"")</f>
        <v/>
      </c>
      <c r="M783" s="52" t="str">
        <f aca="false">IF(AND(ISNUMBER($G783),$G783&gt;=60),MAX(INDEX($D$583:$D783,202-60):$D783),"")</f>
        <v/>
      </c>
      <c r="N783" s="52" t="str">
        <f aca="false">IF(AND(ISNUMBER($G783),$G783&gt;=60),MIN(INDEX($E$583:$E783,202-60):$E783),"")</f>
        <v/>
      </c>
      <c r="O783" s="53" t="str">
        <f aca="false">IF(OR(NOT(ISNUMBER($C783)),NOT(ISNUMBER($M783)),$M783=0),"",$C783/$M783-1)</f>
        <v/>
      </c>
    </row>
    <row r="784" customFormat="false" ht="15" hidden="false" customHeight="false" outlineLevel="0" collapsed="false">
      <c r="A784" s="55"/>
      <c r="B784" s="56"/>
      <c r="C784" s="57"/>
      <c r="D784" s="56"/>
      <c r="E784" s="56"/>
      <c r="F784" s="56"/>
      <c r="G784" s="50" t="str">
        <f aca="false">IF($A784="","",IF(ISNUMBER($G783),$G783+1,1))</f>
        <v/>
      </c>
      <c r="H784" s="51" t="str">
        <f aca="false">IF(OR(NOT(ISNUMBER($G784)),$G784&lt;2,NOT(ISNUMBER($C783)),$C783=0),"",$C784/$C783-1)</f>
        <v/>
      </c>
      <c r="I784" s="52" t="str">
        <f aca="false">IF(AND(ISNUMBER($G784),$G784&gt;=MA_SHORT),AVERAGE(INDEX($C$384:$C784,402-MA_SHORT):$C784),"")</f>
        <v/>
      </c>
      <c r="J784" s="52" t="str">
        <f aca="false">IF(AND(ISNUMBER($G784),$G784&gt;=MA_MED),AVERAGE(INDEX($C$384:$C784,402-MA_MED):$C784),"")</f>
        <v/>
      </c>
      <c r="K784" s="52" t="str">
        <f aca="false">IF(AND(ISNUMBER($G784),$G784&gt;=MA_LONG2),AVERAGE(INDEX($C$384:$C784,402-MA_LONG2):$C784),"")</f>
        <v/>
      </c>
      <c r="L784" s="53" t="str">
        <f aca="false">IF(AND(ISNUMBER($G784),$G784&gt;=21),STDEV(INDEX($H$724:$H784,62-20):$H784)*SQRT(245),"")</f>
        <v/>
      </c>
      <c r="M784" s="52" t="str">
        <f aca="false">IF(AND(ISNUMBER($G784),$G784&gt;=60),MAX(INDEX($D$584:$D784,202-60):$D784),"")</f>
        <v/>
      </c>
      <c r="N784" s="52" t="str">
        <f aca="false">IF(AND(ISNUMBER($G784),$G784&gt;=60),MIN(INDEX($E$584:$E784,202-60):$E784),"")</f>
        <v/>
      </c>
      <c r="O784" s="53" t="str">
        <f aca="false">IF(OR(NOT(ISNUMBER($C784)),NOT(ISNUMBER($M784)),$M784=0),"",$C784/$M784-1)</f>
        <v/>
      </c>
    </row>
    <row r="785" customFormat="false" ht="15" hidden="false" customHeight="false" outlineLevel="0" collapsed="false">
      <c r="A785" s="55"/>
      <c r="B785" s="56"/>
      <c r="C785" s="57"/>
      <c r="D785" s="56"/>
      <c r="E785" s="56"/>
      <c r="F785" s="56"/>
      <c r="G785" s="50" t="str">
        <f aca="false">IF($A785="","",IF(ISNUMBER($G784),$G784+1,1))</f>
        <v/>
      </c>
      <c r="H785" s="51" t="str">
        <f aca="false">IF(OR(NOT(ISNUMBER($G785)),$G785&lt;2,NOT(ISNUMBER($C784)),$C784=0),"",$C785/$C784-1)</f>
        <v/>
      </c>
      <c r="I785" s="52" t="str">
        <f aca="false">IF(AND(ISNUMBER($G785),$G785&gt;=MA_SHORT),AVERAGE(INDEX($C$385:$C785,402-MA_SHORT):$C785),"")</f>
        <v/>
      </c>
      <c r="J785" s="52" t="str">
        <f aca="false">IF(AND(ISNUMBER($G785),$G785&gt;=MA_MED),AVERAGE(INDEX($C$385:$C785,402-MA_MED):$C785),"")</f>
        <v/>
      </c>
      <c r="K785" s="52" t="str">
        <f aca="false">IF(AND(ISNUMBER($G785),$G785&gt;=MA_LONG2),AVERAGE(INDEX($C$385:$C785,402-MA_LONG2):$C785),"")</f>
        <v/>
      </c>
      <c r="L785" s="53" t="str">
        <f aca="false">IF(AND(ISNUMBER($G785),$G785&gt;=21),STDEV(INDEX($H$725:$H785,62-20):$H785)*SQRT(245),"")</f>
        <v/>
      </c>
      <c r="M785" s="52" t="str">
        <f aca="false">IF(AND(ISNUMBER($G785),$G785&gt;=60),MAX(INDEX($D$585:$D785,202-60):$D785),"")</f>
        <v/>
      </c>
      <c r="N785" s="52" t="str">
        <f aca="false">IF(AND(ISNUMBER($G785),$G785&gt;=60),MIN(INDEX($E$585:$E785,202-60):$E785),"")</f>
        <v/>
      </c>
      <c r="O785" s="53" t="str">
        <f aca="false">IF(OR(NOT(ISNUMBER($C785)),NOT(ISNUMBER($M785)),$M785=0),"",$C785/$M785-1)</f>
        <v/>
      </c>
    </row>
    <row r="786" customFormat="false" ht="15" hidden="false" customHeight="false" outlineLevel="0" collapsed="false">
      <c r="A786" s="55"/>
      <c r="B786" s="56"/>
      <c r="C786" s="57"/>
      <c r="D786" s="56"/>
      <c r="E786" s="56"/>
      <c r="F786" s="56"/>
      <c r="G786" s="50" t="str">
        <f aca="false">IF($A786="","",IF(ISNUMBER($G785),$G785+1,1))</f>
        <v/>
      </c>
      <c r="H786" s="51" t="str">
        <f aca="false">IF(OR(NOT(ISNUMBER($G786)),$G786&lt;2,NOT(ISNUMBER($C785)),$C785=0),"",$C786/$C785-1)</f>
        <v/>
      </c>
      <c r="I786" s="52" t="str">
        <f aca="false">IF(AND(ISNUMBER($G786),$G786&gt;=MA_SHORT),AVERAGE(INDEX($C$386:$C786,402-MA_SHORT):$C786),"")</f>
        <v/>
      </c>
      <c r="J786" s="52" t="str">
        <f aca="false">IF(AND(ISNUMBER($G786),$G786&gt;=MA_MED),AVERAGE(INDEX($C$386:$C786,402-MA_MED):$C786),"")</f>
        <v/>
      </c>
      <c r="K786" s="52" t="str">
        <f aca="false">IF(AND(ISNUMBER($G786),$G786&gt;=MA_LONG2),AVERAGE(INDEX($C$386:$C786,402-MA_LONG2):$C786),"")</f>
        <v/>
      </c>
      <c r="L786" s="53" t="str">
        <f aca="false">IF(AND(ISNUMBER($G786),$G786&gt;=21),STDEV(INDEX($H$726:$H786,62-20):$H786)*SQRT(245),"")</f>
        <v/>
      </c>
      <c r="M786" s="52" t="str">
        <f aca="false">IF(AND(ISNUMBER($G786),$G786&gt;=60),MAX(INDEX($D$586:$D786,202-60):$D786),"")</f>
        <v/>
      </c>
      <c r="N786" s="52" t="str">
        <f aca="false">IF(AND(ISNUMBER($G786),$G786&gt;=60),MIN(INDEX($E$586:$E786,202-60):$E786),"")</f>
        <v/>
      </c>
      <c r="O786" s="53" t="str">
        <f aca="false">IF(OR(NOT(ISNUMBER($C786)),NOT(ISNUMBER($M786)),$M786=0),"",$C786/$M786-1)</f>
        <v/>
      </c>
    </row>
    <row r="787" customFormat="false" ht="15" hidden="false" customHeight="false" outlineLevel="0" collapsed="false">
      <c r="A787" s="55"/>
      <c r="B787" s="56"/>
      <c r="C787" s="57"/>
      <c r="D787" s="56"/>
      <c r="E787" s="56"/>
      <c r="F787" s="56"/>
      <c r="G787" s="50" t="str">
        <f aca="false">IF($A787="","",IF(ISNUMBER($G786),$G786+1,1))</f>
        <v/>
      </c>
      <c r="H787" s="51" t="str">
        <f aca="false">IF(OR(NOT(ISNUMBER($G787)),$G787&lt;2,NOT(ISNUMBER($C786)),$C786=0),"",$C787/$C786-1)</f>
        <v/>
      </c>
      <c r="I787" s="52" t="str">
        <f aca="false">IF(AND(ISNUMBER($G787),$G787&gt;=MA_SHORT),AVERAGE(INDEX($C$387:$C787,402-MA_SHORT):$C787),"")</f>
        <v/>
      </c>
      <c r="J787" s="52" t="str">
        <f aca="false">IF(AND(ISNUMBER($G787),$G787&gt;=MA_MED),AVERAGE(INDEX($C$387:$C787,402-MA_MED):$C787),"")</f>
        <v/>
      </c>
      <c r="K787" s="52" t="str">
        <f aca="false">IF(AND(ISNUMBER($G787),$G787&gt;=MA_LONG2),AVERAGE(INDEX($C$387:$C787,402-MA_LONG2):$C787),"")</f>
        <v/>
      </c>
      <c r="L787" s="53" t="str">
        <f aca="false">IF(AND(ISNUMBER($G787),$G787&gt;=21),STDEV(INDEX($H$727:$H787,62-20):$H787)*SQRT(245),"")</f>
        <v/>
      </c>
      <c r="M787" s="52" t="str">
        <f aca="false">IF(AND(ISNUMBER($G787),$G787&gt;=60),MAX(INDEX($D$587:$D787,202-60):$D787),"")</f>
        <v/>
      </c>
      <c r="N787" s="52" t="str">
        <f aca="false">IF(AND(ISNUMBER($G787),$G787&gt;=60),MIN(INDEX($E$587:$E787,202-60):$E787),"")</f>
        <v/>
      </c>
      <c r="O787" s="53" t="str">
        <f aca="false">IF(OR(NOT(ISNUMBER($C787)),NOT(ISNUMBER($M787)),$M787=0),"",$C787/$M787-1)</f>
        <v/>
      </c>
    </row>
    <row r="788" customFormat="false" ht="15" hidden="false" customHeight="false" outlineLevel="0" collapsed="false">
      <c r="A788" s="55"/>
      <c r="B788" s="56"/>
      <c r="C788" s="57"/>
      <c r="D788" s="56"/>
      <c r="E788" s="56"/>
      <c r="F788" s="56"/>
      <c r="G788" s="50" t="str">
        <f aca="false">IF($A788="","",IF(ISNUMBER($G787),$G787+1,1))</f>
        <v/>
      </c>
      <c r="H788" s="51" t="str">
        <f aca="false">IF(OR(NOT(ISNUMBER($G788)),$G788&lt;2,NOT(ISNUMBER($C787)),$C787=0),"",$C788/$C787-1)</f>
        <v/>
      </c>
      <c r="I788" s="52" t="str">
        <f aca="false">IF(AND(ISNUMBER($G788),$G788&gt;=MA_SHORT),AVERAGE(INDEX($C$388:$C788,402-MA_SHORT):$C788),"")</f>
        <v/>
      </c>
      <c r="J788" s="52" t="str">
        <f aca="false">IF(AND(ISNUMBER($G788),$G788&gt;=MA_MED),AVERAGE(INDEX($C$388:$C788,402-MA_MED):$C788),"")</f>
        <v/>
      </c>
      <c r="K788" s="52" t="str">
        <f aca="false">IF(AND(ISNUMBER($G788),$G788&gt;=MA_LONG2),AVERAGE(INDEX($C$388:$C788,402-MA_LONG2):$C788),"")</f>
        <v/>
      </c>
      <c r="L788" s="53" t="str">
        <f aca="false">IF(AND(ISNUMBER($G788),$G788&gt;=21),STDEV(INDEX($H$728:$H788,62-20):$H788)*SQRT(245),"")</f>
        <v/>
      </c>
      <c r="M788" s="52" t="str">
        <f aca="false">IF(AND(ISNUMBER($G788),$G788&gt;=60),MAX(INDEX($D$588:$D788,202-60):$D788),"")</f>
        <v/>
      </c>
      <c r="N788" s="52" t="str">
        <f aca="false">IF(AND(ISNUMBER($G788),$G788&gt;=60),MIN(INDEX($E$588:$E788,202-60):$E788),"")</f>
        <v/>
      </c>
      <c r="O788" s="53" t="str">
        <f aca="false">IF(OR(NOT(ISNUMBER($C788)),NOT(ISNUMBER($M788)),$M788=0),"",$C788/$M788-1)</f>
        <v/>
      </c>
    </row>
    <row r="789" customFormat="false" ht="15" hidden="false" customHeight="false" outlineLevel="0" collapsed="false">
      <c r="A789" s="55"/>
      <c r="B789" s="56"/>
      <c r="C789" s="57"/>
      <c r="D789" s="56"/>
      <c r="E789" s="56"/>
      <c r="F789" s="56"/>
      <c r="G789" s="50" t="str">
        <f aca="false">IF($A789="","",IF(ISNUMBER($G788),$G788+1,1))</f>
        <v/>
      </c>
      <c r="H789" s="51" t="str">
        <f aca="false">IF(OR(NOT(ISNUMBER($G789)),$G789&lt;2,NOT(ISNUMBER($C788)),$C788=0),"",$C789/$C788-1)</f>
        <v/>
      </c>
      <c r="I789" s="52" t="str">
        <f aca="false">IF(AND(ISNUMBER($G789),$G789&gt;=MA_SHORT),AVERAGE(INDEX($C$389:$C789,402-MA_SHORT):$C789),"")</f>
        <v/>
      </c>
      <c r="J789" s="52" t="str">
        <f aca="false">IF(AND(ISNUMBER($G789),$G789&gt;=MA_MED),AVERAGE(INDEX($C$389:$C789,402-MA_MED):$C789),"")</f>
        <v/>
      </c>
      <c r="K789" s="52" t="str">
        <f aca="false">IF(AND(ISNUMBER($G789),$G789&gt;=MA_LONG2),AVERAGE(INDEX($C$389:$C789,402-MA_LONG2):$C789),"")</f>
        <v/>
      </c>
      <c r="L789" s="53" t="str">
        <f aca="false">IF(AND(ISNUMBER($G789),$G789&gt;=21),STDEV(INDEX($H$729:$H789,62-20):$H789)*SQRT(245),"")</f>
        <v/>
      </c>
      <c r="M789" s="52" t="str">
        <f aca="false">IF(AND(ISNUMBER($G789),$G789&gt;=60),MAX(INDEX($D$589:$D789,202-60):$D789),"")</f>
        <v/>
      </c>
      <c r="N789" s="52" t="str">
        <f aca="false">IF(AND(ISNUMBER($G789),$G789&gt;=60),MIN(INDEX($E$589:$E789,202-60):$E789),"")</f>
        <v/>
      </c>
      <c r="O789" s="53" t="str">
        <f aca="false">IF(OR(NOT(ISNUMBER($C789)),NOT(ISNUMBER($M789)),$M789=0),"",$C789/$M789-1)</f>
        <v/>
      </c>
    </row>
    <row r="790" customFormat="false" ht="15" hidden="false" customHeight="false" outlineLevel="0" collapsed="false">
      <c r="A790" s="55"/>
      <c r="B790" s="56"/>
      <c r="C790" s="57"/>
      <c r="D790" s="56"/>
      <c r="E790" s="56"/>
      <c r="F790" s="56"/>
      <c r="G790" s="50" t="str">
        <f aca="false">IF($A790="","",IF(ISNUMBER($G789),$G789+1,1))</f>
        <v/>
      </c>
      <c r="H790" s="51" t="str">
        <f aca="false">IF(OR(NOT(ISNUMBER($G790)),$G790&lt;2,NOT(ISNUMBER($C789)),$C789=0),"",$C790/$C789-1)</f>
        <v/>
      </c>
      <c r="I790" s="52" t="str">
        <f aca="false">IF(AND(ISNUMBER($G790),$G790&gt;=MA_SHORT),AVERAGE(INDEX($C$390:$C790,402-MA_SHORT):$C790),"")</f>
        <v/>
      </c>
      <c r="J790" s="52" t="str">
        <f aca="false">IF(AND(ISNUMBER($G790),$G790&gt;=MA_MED),AVERAGE(INDEX($C$390:$C790,402-MA_MED):$C790),"")</f>
        <v/>
      </c>
      <c r="K790" s="52" t="str">
        <f aca="false">IF(AND(ISNUMBER($G790),$G790&gt;=MA_LONG2),AVERAGE(INDEX($C$390:$C790,402-MA_LONG2):$C790),"")</f>
        <v/>
      </c>
      <c r="L790" s="53" t="str">
        <f aca="false">IF(AND(ISNUMBER($G790),$G790&gt;=21),STDEV(INDEX($H$730:$H790,62-20):$H790)*SQRT(245),"")</f>
        <v/>
      </c>
      <c r="M790" s="52" t="str">
        <f aca="false">IF(AND(ISNUMBER($G790),$G790&gt;=60),MAX(INDEX($D$590:$D790,202-60):$D790),"")</f>
        <v/>
      </c>
      <c r="N790" s="52" t="str">
        <f aca="false">IF(AND(ISNUMBER($G790),$G790&gt;=60),MIN(INDEX($E$590:$E790,202-60):$E790),"")</f>
        <v/>
      </c>
      <c r="O790" s="53" t="str">
        <f aca="false">IF(OR(NOT(ISNUMBER($C790)),NOT(ISNUMBER($M790)),$M790=0),"",$C790/$M790-1)</f>
        <v/>
      </c>
    </row>
    <row r="791" customFormat="false" ht="15" hidden="false" customHeight="false" outlineLevel="0" collapsed="false">
      <c r="A791" s="55"/>
      <c r="B791" s="56"/>
      <c r="C791" s="57"/>
      <c r="D791" s="56"/>
      <c r="E791" s="56"/>
      <c r="F791" s="56"/>
      <c r="G791" s="50" t="str">
        <f aca="false">IF($A791="","",IF(ISNUMBER($G790),$G790+1,1))</f>
        <v/>
      </c>
      <c r="H791" s="51" t="str">
        <f aca="false">IF(OR(NOT(ISNUMBER($G791)),$G791&lt;2,NOT(ISNUMBER($C790)),$C790=0),"",$C791/$C790-1)</f>
        <v/>
      </c>
      <c r="I791" s="52" t="str">
        <f aca="false">IF(AND(ISNUMBER($G791),$G791&gt;=MA_SHORT),AVERAGE(INDEX($C$391:$C791,402-MA_SHORT):$C791),"")</f>
        <v/>
      </c>
      <c r="J791" s="52" t="str">
        <f aca="false">IF(AND(ISNUMBER($G791),$G791&gt;=MA_MED),AVERAGE(INDEX($C$391:$C791,402-MA_MED):$C791),"")</f>
        <v/>
      </c>
      <c r="K791" s="52" t="str">
        <f aca="false">IF(AND(ISNUMBER($G791),$G791&gt;=MA_LONG2),AVERAGE(INDEX($C$391:$C791,402-MA_LONG2):$C791),"")</f>
        <v/>
      </c>
      <c r="L791" s="53" t="str">
        <f aca="false">IF(AND(ISNUMBER($G791),$G791&gt;=21),STDEV(INDEX($H$731:$H791,62-20):$H791)*SQRT(245),"")</f>
        <v/>
      </c>
      <c r="M791" s="52" t="str">
        <f aca="false">IF(AND(ISNUMBER($G791),$G791&gt;=60),MAX(INDEX($D$591:$D791,202-60):$D791),"")</f>
        <v/>
      </c>
      <c r="N791" s="52" t="str">
        <f aca="false">IF(AND(ISNUMBER($G791),$G791&gt;=60),MIN(INDEX($E$591:$E791,202-60):$E791),"")</f>
        <v/>
      </c>
      <c r="O791" s="53" t="str">
        <f aca="false">IF(OR(NOT(ISNUMBER($C791)),NOT(ISNUMBER($M791)),$M791=0),"",$C791/$M791-1)</f>
        <v/>
      </c>
    </row>
    <row r="792" customFormat="false" ht="15" hidden="false" customHeight="false" outlineLevel="0" collapsed="false">
      <c r="A792" s="55"/>
      <c r="B792" s="56"/>
      <c r="C792" s="57"/>
      <c r="D792" s="56"/>
      <c r="E792" s="56"/>
      <c r="F792" s="56"/>
      <c r="G792" s="50" t="str">
        <f aca="false">IF($A792="","",IF(ISNUMBER($G791),$G791+1,1))</f>
        <v/>
      </c>
      <c r="H792" s="51" t="str">
        <f aca="false">IF(OR(NOT(ISNUMBER($G792)),$G792&lt;2,NOT(ISNUMBER($C791)),$C791=0),"",$C792/$C791-1)</f>
        <v/>
      </c>
      <c r="I792" s="52" t="str">
        <f aca="false">IF(AND(ISNUMBER($G792),$G792&gt;=MA_SHORT),AVERAGE(INDEX($C$392:$C792,402-MA_SHORT):$C792),"")</f>
        <v/>
      </c>
      <c r="J792" s="52" t="str">
        <f aca="false">IF(AND(ISNUMBER($G792),$G792&gt;=MA_MED),AVERAGE(INDEX($C$392:$C792,402-MA_MED):$C792),"")</f>
        <v/>
      </c>
      <c r="K792" s="52" t="str">
        <f aca="false">IF(AND(ISNUMBER($G792),$G792&gt;=MA_LONG2),AVERAGE(INDEX($C$392:$C792,402-MA_LONG2):$C792),"")</f>
        <v/>
      </c>
      <c r="L792" s="53" t="str">
        <f aca="false">IF(AND(ISNUMBER($G792),$G792&gt;=21),STDEV(INDEX($H$732:$H792,62-20):$H792)*SQRT(245),"")</f>
        <v/>
      </c>
      <c r="M792" s="52" t="str">
        <f aca="false">IF(AND(ISNUMBER($G792),$G792&gt;=60),MAX(INDEX($D$592:$D792,202-60):$D792),"")</f>
        <v/>
      </c>
      <c r="N792" s="52" t="str">
        <f aca="false">IF(AND(ISNUMBER($G792),$G792&gt;=60),MIN(INDEX($E$592:$E792,202-60):$E792),"")</f>
        <v/>
      </c>
      <c r="O792" s="53" t="str">
        <f aca="false">IF(OR(NOT(ISNUMBER($C792)),NOT(ISNUMBER($M792)),$M792=0),"",$C792/$M792-1)</f>
        <v/>
      </c>
    </row>
    <row r="793" customFormat="false" ht="15" hidden="false" customHeight="false" outlineLevel="0" collapsed="false">
      <c r="A793" s="55"/>
      <c r="B793" s="56"/>
      <c r="C793" s="57"/>
      <c r="D793" s="56"/>
      <c r="E793" s="56"/>
      <c r="F793" s="56"/>
      <c r="G793" s="50" t="str">
        <f aca="false">IF($A793="","",IF(ISNUMBER($G792),$G792+1,1))</f>
        <v/>
      </c>
      <c r="H793" s="51" t="str">
        <f aca="false">IF(OR(NOT(ISNUMBER($G793)),$G793&lt;2,NOT(ISNUMBER($C792)),$C792=0),"",$C793/$C792-1)</f>
        <v/>
      </c>
      <c r="I793" s="52" t="str">
        <f aca="false">IF(AND(ISNUMBER($G793),$G793&gt;=MA_SHORT),AVERAGE(INDEX($C$393:$C793,402-MA_SHORT):$C793),"")</f>
        <v/>
      </c>
      <c r="J793" s="52" t="str">
        <f aca="false">IF(AND(ISNUMBER($G793),$G793&gt;=MA_MED),AVERAGE(INDEX($C$393:$C793,402-MA_MED):$C793),"")</f>
        <v/>
      </c>
      <c r="K793" s="52" t="str">
        <f aca="false">IF(AND(ISNUMBER($G793),$G793&gt;=MA_LONG2),AVERAGE(INDEX($C$393:$C793,402-MA_LONG2):$C793),"")</f>
        <v/>
      </c>
      <c r="L793" s="53" t="str">
        <f aca="false">IF(AND(ISNUMBER($G793),$G793&gt;=21),STDEV(INDEX($H$733:$H793,62-20):$H793)*SQRT(245),"")</f>
        <v/>
      </c>
      <c r="M793" s="52" t="str">
        <f aca="false">IF(AND(ISNUMBER($G793),$G793&gt;=60),MAX(INDEX($D$593:$D793,202-60):$D793),"")</f>
        <v/>
      </c>
      <c r="N793" s="52" t="str">
        <f aca="false">IF(AND(ISNUMBER($G793),$G793&gt;=60),MIN(INDEX($E$593:$E793,202-60):$E793),"")</f>
        <v/>
      </c>
      <c r="O793" s="53" t="str">
        <f aca="false">IF(OR(NOT(ISNUMBER($C793)),NOT(ISNUMBER($M793)),$M793=0),"",$C793/$M793-1)</f>
        <v/>
      </c>
    </row>
    <row r="794" customFormat="false" ht="15" hidden="false" customHeight="false" outlineLevel="0" collapsed="false">
      <c r="A794" s="55"/>
      <c r="B794" s="56"/>
      <c r="C794" s="57"/>
      <c r="D794" s="56"/>
      <c r="E794" s="56"/>
      <c r="F794" s="56"/>
      <c r="G794" s="50" t="str">
        <f aca="false">IF($A794="","",IF(ISNUMBER($G793),$G793+1,1))</f>
        <v/>
      </c>
      <c r="H794" s="51" t="str">
        <f aca="false">IF(OR(NOT(ISNUMBER($G794)),$G794&lt;2,NOT(ISNUMBER($C793)),$C793=0),"",$C794/$C793-1)</f>
        <v/>
      </c>
      <c r="I794" s="52" t="str">
        <f aca="false">IF(AND(ISNUMBER($G794),$G794&gt;=MA_SHORT),AVERAGE(INDEX($C$394:$C794,402-MA_SHORT):$C794),"")</f>
        <v/>
      </c>
      <c r="J794" s="52" t="str">
        <f aca="false">IF(AND(ISNUMBER($G794),$G794&gt;=MA_MED),AVERAGE(INDEX($C$394:$C794,402-MA_MED):$C794),"")</f>
        <v/>
      </c>
      <c r="K794" s="52" t="str">
        <f aca="false">IF(AND(ISNUMBER($G794),$G794&gt;=MA_LONG2),AVERAGE(INDEX($C$394:$C794,402-MA_LONG2):$C794),"")</f>
        <v/>
      </c>
      <c r="L794" s="53" t="str">
        <f aca="false">IF(AND(ISNUMBER($G794),$G794&gt;=21),STDEV(INDEX($H$734:$H794,62-20):$H794)*SQRT(245),"")</f>
        <v/>
      </c>
      <c r="M794" s="52" t="str">
        <f aca="false">IF(AND(ISNUMBER($G794),$G794&gt;=60),MAX(INDEX($D$594:$D794,202-60):$D794),"")</f>
        <v/>
      </c>
      <c r="N794" s="52" t="str">
        <f aca="false">IF(AND(ISNUMBER($G794),$G794&gt;=60),MIN(INDEX($E$594:$E794,202-60):$E794),"")</f>
        <v/>
      </c>
      <c r="O794" s="53" t="str">
        <f aca="false">IF(OR(NOT(ISNUMBER($C794)),NOT(ISNUMBER($M794)),$M794=0),"",$C794/$M794-1)</f>
        <v/>
      </c>
    </row>
    <row r="795" customFormat="false" ht="15" hidden="false" customHeight="false" outlineLevel="0" collapsed="false">
      <c r="A795" s="55"/>
      <c r="B795" s="56"/>
      <c r="C795" s="57"/>
      <c r="D795" s="56"/>
      <c r="E795" s="56"/>
      <c r="F795" s="56"/>
      <c r="G795" s="50" t="str">
        <f aca="false">IF($A795="","",IF(ISNUMBER($G794),$G794+1,1))</f>
        <v/>
      </c>
      <c r="H795" s="51" t="str">
        <f aca="false">IF(OR(NOT(ISNUMBER($G795)),$G795&lt;2,NOT(ISNUMBER($C794)),$C794=0),"",$C795/$C794-1)</f>
        <v/>
      </c>
      <c r="I795" s="52" t="str">
        <f aca="false">IF(AND(ISNUMBER($G795),$G795&gt;=MA_SHORT),AVERAGE(INDEX($C$395:$C795,402-MA_SHORT):$C795),"")</f>
        <v/>
      </c>
      <c r="J795" s="52" t="str">
        <f aca="false">IF(AND(ISNUMBER($G795),$G795&gt;=MA_MED),AVERAGE(INDEX($C$395:$C795,402-MA_MED):$C795),"")</f>
        <v/>
      </c>
      <c r="K795" s="52" t="str">
        <f aca="false">IF(AND(ISNUMBER($G795),$G795&gt;=MA_LONG2),AVERAGE(INDEX($C$395:$C795,402-MA_LONG2):$C795),"")</f>
        <v/>
      </c>
      <c r="L795" s="53" t="str">
        <f aca="false">IF(AND(ISNUMBER($G795),$G795&gt;=21),STDEV(INDEX($H$735:$H795,62-20):$H795)*SQRT(245),"")</f>
        <v/>
      </c>
      <c r="M795" s="52" t="str">
        <f aca="false">IF(AND(ISNUMBER($G795),$G795&gt;=60),MAX(INDEX($D$595:$D795,202-60):$D795),"")</f>
        <v/>
      </c>
      <c r="N795" s="52" t="str">
        <f aca="false">IF(AND(ISNUMBER($G795),$G795&gt;=60),MIN(INDEX($E$595:$E795,202-60):$E795),"")</f>
        <v/>
      </c>
      <c r="O795" s="53" t="str">
        <f aca="false">IF(OR(NOT(ISNUMBER($C795)),NOT(ISNUMBER($M795)),$M795=0),"",$C795/$M795-1)</f>
        <v/>
      </c>
    </row>
    <row r="796" customFormat="false" ht="15" hidden="false" customHeight="false" outlineLevel="0" collapsed="false">
      <c r="A796" s="55"/>
      <c r="B796" s="56"/>
      <c r="C796" s="57"/>
      <c r="D796" s="56"/>
      <c r="E796" s="56"/>
      <c r="F796" s="56"/>
      <c r="G796" s="50" t="str">
        <f aca="false">IF($A796="","",IF(ISNUMBER($G795),$G795+1,1))</f>
        <v/>
      </c>
      <c r="H796" s="51" t="str">
        <f aca="false">IF(OR(NOT(ISNUMBER($G796)),$G796&lt;2,NOT(ISNUMBER($C795)),$C795=0),"",$C796/$C795-1)</f>
        <v/>
      </c>
      <c r="I796" s="52" t="str">
        <f aca="false">IF(AND(ISNUMBER($G796),$G796&gt;=MA_SHORT),AVERAGE(INDEX($C$396:$C796,402-MA_SHORT):$C796),"")</f>
        <v/>
      </c>
      <c r="J796" s="52" t="str">
        <f aca="false">IF(AND(ISNUMBER($G796),$G796&gt;=MA_MED),AVERAGE(INDEX($C$396:$C796,402-MA_MED):$C796),"")</f>
        <v/>
      </c>
      <c r="K796" s="52" t="str">
        <f aca="false">IF(AND(ISNUMBER($G796),$G796&gt;=MA_LONG2),AVERAGE(INDEX($C$396:$C796,402-MA_LONG2):$C796),"")</f>
        <v/>
      </c>
      <c r="L796" s="53" t="str">
        <f aca="false">IF(AND(ISNUMBER($G796),$G796&gt;=21),STDEV(INDEX($H$736:$H796,62-20):$H796)*SQRT(245),"")</f>
        <v/>
      </c>
      <c r="M796" s="52" t="str">
        <f aca="false">IF(AND(ISNUMBER($G796),$G796&gt;=60),MAX(INDEX($D$596:$D796,202-60):$D796),"")</f>
        <v/>
      </c>
      <c r="N796" s="52" t="str">
        <f aca="false">IF(AND(ISNUMBER($G796),$G796&gt;=60),MIN(INDEX($E$596:$E796,202-60):$E796),"")</f>
        <v/>
      </c>
      <c r="O796" s="53" t="str">
        <f aca="false">IF(OR(NOT(ISNUMBER($C796)),NOT(ISNUMBER($M796)),$M796=0),"",$C796/$M796-1)</f>
        <v/>
      </c>
    </row>
    <row r="797" customFormat="false" ht="15" hidden="false" customHeight="false" outlineLevel="0" collapsed="false">
      <c r="A797" s="55"/>
      <c r="B797" s="56"/>
      <c r="C797" s="57"/>
      <c r="D797" s="56"/>
      <c r="E797" s="56"/>
      <c r="F797" s="56"/>
      <c r="G797" s="50" t="str">
        <f aca="false">IF($A797="","",IF(ISNUMBER($G796),$G796+1,1))</f>
        <v/>
      </c>
      <c r="H797" s="51" t="str">
        <f aca="false">IF(OR(NOT(ISNUMBER($G797)),$G797&lt;2,NOT(ISNUMBER($C796)),$C796=0),"",$C797/$C796-1)</f>
        <v/>
      </c>
      <c r="I797" s="52" t="str">
        <f aca="false">IF(AND(ISNUMBER($G797),$G797&gt;=MA_SHORT),AVERAGE(INDEX($C$397:$C797,402-MA_SHORT):$C797),"")</f>
        <v/>
      </c>
      <c r="J797" s="52" t="str">
        <f aca="false">IF(AND(ISNUMBER($G797),$G797&gt;=MA_MED),AVERAGE(INDEX($C$397:$C797,402-MA_MED):$C797),"")</f>
        <v/>
      </c>
      <c r="K797" s="52" t="str">
        <f aca="false">IF(AND(ISNUMBER($G797),$G797&gt;=MA_LONG2),AVERAGE(INDEX($C$397:$C797,402-MA_LONG2):$C797),"")</f>
        <v/>
      </c>
      <c r="L797" s="53" t="str">
        <f aca="false">IF(AND(ISNUMBER($G797),$G797&gt;=21),STDEV(INDEX($H$737:$H797,62-20):$H797)*SQRT(245),"")</f>
        <v/>
      </c>
      <c r="M797" s="52" t="str">
        <f aca="false">IF(AND(ISNUMBER($G797),$G797&gt;=60),MAX(INDEX($D$597:$D797,202-60):$D797),"")</f>
        <v/>
      </c>
      <c r="N797" s="52" t="str">
        <f aca="false">IF(AND(ISNUMBER($G797),$G797&gt;=60),MIN(INDEX($E$597:$E797,202-60):$E797),"")</f>
        <v/>
      </c>
      <c r="O797" s="53" t="str">
        <f aca="false">IF(OR(NOT(ISNUMBER($C797)),NOT(ISNUMBER($M797)),$M797=0),"",$C797/$M797-1)</f>
        <v/>
      </c>
    </row>
    <row r="798" customFormat="false" ht="15" hidden="false" customHeight="false" outlineLevel="0" collapsed="false">
      <c r="A798" s="55"/>
      <c r="B798" s="56"/>
      <c r="C798" s="57"/>
      <c r="D798" s="56"/>
      <c r="E798" s="56"/>
      <c r="F798" s="56"/>
      <c r="G798" s="50" t="str">
        <f aca="false">IF($A798="","",IF(ISNUMBER($G797),$G797+1,1))</f>
        <v/>
      </c>
      <c r="H798" s="51" t="str">
        <f aca="false">IF(OR(NOT(ISNUMBER($G798)),$G798&lt;2,NOT(ISNUMBER($C797)),$C797=0),"",$C798/$C797-1)</f>
        <v/>
      </c>
      <c r="I798" s="52" t="str">
        <f aca="false">IF(AND(ISNUMBER($G798),$G798&gt;=MA_SHORT),AVERAGE(INDEX($C$398:$C798,402-MA_SHORT):$C798),"")</f>
        <v/>
      </c>
      <c r="J798" s="52" t="str">
        <f aca="false">IF(AND(ISNUMBER($G798),$G798&gt;=MA_MED),AVERAGE(INDEX($C$398:$C798,402-MA_MED):$C798),"")</f>
        <v/>
      </c>
      <c r="K798" s="52" t="str">
        <f aca="false">IF(AND(ISNUMBER($G798),$G798&gt;=MA_LONG2),AVERAGE(INDEX($C$398:$C798,402-MA_LONG2):$C798),"")</f>
        <v/>
      </c>
      <c r="L798" s="53" t="str">
        <f aca="false">IF(AND(ISNUMBER($G798),$G798&gt;=21),STDEV(INDEX($H$738:$H798,62-20):$H798)*SQRT(245),"")</f>
        <v/>
      </c>
      <c r="M798" s="52" t="str">
        <f aca="false">IF(AND(ISNUMBER($G798),$G798&gt;=60),MAX(INDEX($D$598:$D798,202-60):$D798),"")</f>
        <v/>
      </c>
      <c r="N798" s="52" t="str">
        <f aca="false">IF(AND(ISNUMBER($G798),$G798&gt;=60),MIN(INDEX($E$598:$E798,202-60):$E798),"")</f>
        <v/>
      </c>
      <c r="O798" s="53" t="str">
        <f aca="false">IF(OR(NOT(ISNUMBER($C798)),NOT(ISNUMBER($M798)),$M798=0),"",$C798/$M798-1)</f>
        <v/>
      </c>
    </row>
    <row r="799" customFormat="false" ht="15" hidden="false" customHeight="false" outlineLevel="0" collapsed="false">
      <c r="A799" s="55"/>
      <c r="B799" s="56"/>
      <c r="C799" s="57"/>
      <c r="D799" s="56"/>
      <c r="E799" s="56"/>
      <c r="F799" s="56"/>
      <c r="G799" s="50" t="str">
        <f aca="false">IF($A799="","",IF(ISNUMBER($G798),$G798+1,1))</f>
        <v/>
      </c>
      <c r="H799" s="51" t="str">
        <f aca="false">IF(OR(NOT(ISNUMBER($G799)),$G799&lt;2,NOT(ISNUMBER($C798)),$C798=0),"",$C799/$C798-1)</f>
        <v/>
      </c>
      <c r="I799" s="52" t="str">
        <f aca="false">IF(AND(ISNUMBER($G799),$G799&gt;=MA_SHORT),AVERAGE(INDEX($C$399:$C799,402-MA_SHORT):$C799),"")</f>
        <v/>
      </c>
      <c r="J799" s="52" t="str">
        <f aca="false">IF(AND(ISNUMBER($G799),$G799&gt;=MA_MED),AVERAGE(INDEX($C$399:$C799,402-MA_MED):$C799),"")</f>
        <v/>
      </c>
      <c r="K799" s="52" t="str">
        <f aca="false">IF(AND(ISNUMBER($G799),$G799&gt;=MA_LONG2),AVERAGE(INDEX($C$399:$C799,402-MA_LONG2):$C799),"")</f>
        <v/>
      </c>
      <c r="L799" s="53" t="str">
        <f aca="false">IF(AND(ISNUMBER($G799),$G799&gt;=21),STDEV(INDEX($H$739:$H799,62-20):$H799)*SQRT(245),"")</f>
        <v/>
      </c>
      <c r="M799" s="52" t="str">
        <f aca="false">IF(AND(ISNUMBER($G799),$G799&gt;=60),MAX(INDEX($D$599:$D799,202-60):$D799),"")</f>
        <v/>
      </c>
      <c r="N799" s="52" t="str">
        <f aca="false">IF(AND(ISNUMBER($G799),$G799&gt;=60),MIN(INDEX($E$599:$E799,202-60):$E799),"")</f>
        <v/>
      </c>
      <c r="O799" s="53" t="str">
        <f aca="false">IF(OR(NOT(ISNUMBER($C799)),NOT(ISNUMBER($M799)),$M799=0),"",$C799/$M799-1)</f>
        <v/>
      </c>
    </row>
    <row r="800" customFormat="false" ht="15" hidden="false" customHeight="false" outlineLevel="0" collapsed="false">
      <c r="A800" s="55"/>
      <c r="B800" s="56"/>
      <c r="C800" s="57"/>
      <c r="D800" s="56"/>
      <c r="E800" s="56"/>
      <c r="F800" s="56"/>
      <c r="G800" s="50" t="str">
        <f aca="false">IF($A800="","",IF(ISNUMBER($G799),$G799+1,1))</f>
        <v/>
      </c>
      <c r="H800" s="51" t="str">
        <f aca="false">IF(OR(NOT(ISNUMBER($G800)),$G800&lt;2,NOT(ISNUMBER($C799)),$C799=0),"",$C800/$C799-1)</f>
        <v/>
      </c>
      <c r="I800" s="52" t="str">
        <f aca="false">IF(AND(ISNUMBER($G800),$G800&gt;=MA_SHORT),AVERAGE(INDEX($C$400:$C800,402-MA_SHORT):$C800),"")</f>
        <v/>
      </c>
      <c r="J800" s="52" t="str">
        <f aca="false">IF(AND(ISNUMBER($G800),$G800&gt;=MA_MED),AVERAGE(INDEX($C$400:$C800,402-MA_MED):$C800),"")</f>
        <v/>
      </c>
      <c r="K800" s="52" t="str">
        <f aca="false">IF(AND(ISNUMBER($G800),$G800&gt;=MA_LONG2),AVERAGE(INDEX($C$400:$C800,402-MA_LONG2):$C800),"")</f>
        <v/>
      </c>
      <c r="L800" s="53" t="str">
        <f aca="false">IF(AND(ISNUMBER($G800),$G800&gt;=21),STDEV(INDEX($H$740:$H800,62-20):$H800)*SQRT(245),"")</f>
        <v/>
      </c>
      <c r="M800" s="52" t="str">
        <f aca="false">IF(AND(ISNUMBER($G800),$G800&gt;=60),MAX(INDEX($D$600:$D800,202-60):$D800),"")</f>
        <v/>
      </c>
      <c r="N800" s="52" t="str">
        <f aca="false">IF(AND(ISNUMBER($G800),$G800&gt;=60),MIN(INDEX($E$600:$E800,202-60):$E800),"")</f>
        <v/>
      </c>
      <c r="O800" s="53" t="str">
        <f aca="false">IF(OR(NOT(ISNUMBER($C800)),NOT(ISNUMBER($M800)),$M800=0),"",$C800/$M800-1)</f>
        <v/>
      </c>
    </row>
    <row r="801" customFormat="false" ht="15" hidden="false" customHeight="false" outlineLevel="0" collapsed="false">
      <c r="A801" s="55"/>
      <c r="B801" s="56"/>
      <c r="C801" s="57"/>
      <c r="D801" s="56"/>
      <c r="E801" s="56"/>
      <c r="F801" s="56"/>
      <c r="G801" s="50" t="str">
        <f aca="false">IF($A801="","",IF(ISNUMBER($G800),$G800+1,1))</f>
        <v/>
      </c>
      <c r="H801" s="51" t="str">
        <f aca="false">IF(OR(NOT(ISNUMBER($G801)),$G801&lt;2,NOT(ISNUMBER($C800)),$C800=0),"",$C801/$C800-1)</f>
        <v/>
      </c>
      <c r="I801" s="52" t="str">
        <f aca="false">IF(AND(ISNUMBER($G801),$G801&gt;=MA_SHORT),AVERAGE(INDEX($C$401:$C801,402-MA_SHORT):$C801),"")</f>
        <v/>
      </c>
      <c r="J801" s="52" t="str">
        <f aca="false">IF(AND(ISNUMBER($G801),$G801&gt;=MA_MED),AVERAGE(INDEX($C$401:$C801,402-MA_MED):$C801),"")</f>
        <v/>
      </c>
      <c r="K801" s="52" t="str">
        <f aca="false">IF(AND(ISNUMBER($G801),$G801&gt;=MA_LONG2),AVERAGE(INDEX($C$401:$C801,402-MA_LONG2):$C801),"")</f>
        <v/>
      </c>
      <c r="L801" s="53" t="str">
        <f aca="false">IF(AND(ISNUMBER($G801),$G801&gt;=21),STDEV(INDEX($H$741:$H801,62-20):$H801)*SQRT(245),"")</f>
        <v/>
      </c>
      <c r="M801" s="52" t="str">
        <f aca="false">IF(AND(ISNUMBER($G801),$G801&gt;=60),MAX(INDEX($D$601:$D801,202-60):$D801),"")</f>
        <v/>
      </c>
      <c r="N801" s="52" t="str">
        <f aca="false">IF(AND(ISNUMBER($G801),$G801&gt;=60),MIN(INDEX($E$601:$E801,202-60):$E801),"")</f>
        <v/>
      </c>
      <c r="O801" s="53" t="str">
        <f aca="false">IF(OR(NOT(ISNUMBER($C801)),NOT(ISNUMBER($M801)),$M801=0),"",$C801/$M801-1)</f>
        <v/>
      </c>
    </row>
    <row r="802" customFormat="false" ht="15" hidden="false" customHeight="false" outlineLevel="0" collapsed="false">
      <c r="A802" s="55"/>
      <c r="B802" s="56"/>
      <c r="C802" s="57"/>
      <c r="D802" s="56"/>
      <c r="E802" s="56"/>
      <c r="F802" s="56"/>
      <c r="G802" s="50" t="str">
        <f aca="false">IF($A802="","",IF(ISNUMBER($G801),$G801+1,1))</f>
        <v/>
      </c>
      <c r="H802" s="51" t="str">
        <f aca="false">IF(OR(NOT(ISNUMBER($G802)),$G802&lt;2,NOT(ISNUMBER($C801)),$C801=0),"",$C802/$C801-1)</f>
        <v/>
      </c>
      <c r="I802" s="52" t="str">
        <f aca="false">IF(AND(ISNUMBER($G802),$G802&gt;=MA_SHORT),AVERAGE(INDEX($C$402:$C802,402-MA_SHORT):$C802),"")</f>
        <v/>
      </c>
      <c r="J802" s="52" t="str">
        <f aca="false">IF(AND(ISNUMBER($G802),$G802&gt;=MA_MED),AVERAGE(INDEX($C$402:$C802,402-MA_MED):$C802),"")</f>
        <v/>
      </c>
      <c r="K802" s="52" t="str">
        <f aca="false">IF(AND(ISNUMBER($G802),$G802&gt;=MA_LONG2),AVERAGE(INDEX($C$402:$C802,402-MA_LONG2):$C802),"")</f>
        <v/>
      </c>
      <c r="L802" s="53" t="str">
        <f aca="false">IF(AND(ISNUMBER($G802),$G802&gt;=21),STDEV(INDEX($H$742:$H802,62-20):$H802)*SQRT(245),"")</f>
        <v/>
      </c>
      <c r="M802" s="52" t="str">
        <f aca="false">IF(AND(ISNUMBER($G802),$G802&gt;=60),MAX(INDEX($D$602:$D802,202-60):$D802),"")</f>
        <v/>
      </c>
      <c r="N802" s="52" t="str">
        <f aca="false">IF(AND(ISNUMBER($G802),$G802&gt;=60),MIN(INDEX($E$602:$E802,202-60):$E802),"")</f>
        <v/>
      </c>
      <c r="O802" s="53" t="str">
        <f aca="false">IF(OR(NOT(ISNUMBER($C802)),NOT(ISNUMBER($M802)),$M802=0),"",$C802/$M802-1)</f>
        <v/>
      </c>
    </row>
    <row r="803" customFormat="false" ht="15" hidden="false" customHeight="false" outlineLevel="0" collapsed="false">
      <c r="A803" s="55"/>
      <c r="B803" s="56"/>
      <c r="C803" s="57"/>
      <c r="D803" s="56"/>
      <c r="E803" s="56"/>
      <c r="F803" s="56"/>
      <c r="G803" s="50" t="str">
        <f aca="false">IF($A803="","",IF(ISNUMBER($G802),$G802+1,1))</f>
        <v/>
      </c>
      <c r="H803" s="51" t="str">
        <f aca="false">IF(OR(NOT(ISNUMBER($G803)),$G803&lt;2,NOT(ISNUMBER($C802)),$C802=0),"",$C803/$C802-1)</f>
        <v/>
      </c>
      <c r="I803" s="52" t="str">
        <f aca="false">IF(AND(ISNUMBER($G803),$G803&gt;=MA_SHORT),AVERAGE(INDEX($C$403:$C803,402-MA_SHORT):$C803),"")</f>
        <v/>
      </c>
      <c r="J803" s="52" t="str">
        <f aca="false">IF(AND(ISNUMBER($G803),$G803&gt;=MA_MED),AVERAGE(INDEX($C$403:$C803,402-MA_MED):$C803),"")</f>
        <v/>
      </c>
      <c r="K803" s="52" t="str">
        <f aca="false">IF(AND(ISNUMBER($G803),$G803&gt;=MA_LONG2),AVERAGE(INDEX($C$403:$C803,402-MA_LONG2):$C803),"")</f>
        <v/>
      </c>
      <c r="L803" s="53" t="str">
        <f aca="false">IF(AND(ISNUMBER($G803),$G803&gt;=21),STDEV(INDEX($H$743:$H803,62-20):$H803)*SQRT(245),"")</f>
        <v/>
      </c>
      <c r="M803" s="52" t="str">
        <f aca="false">IF(AND(ISNUMBER($G803),$G803&gt;=60),MAX(INDEX($D$603:$D803,202-60):$D803),"")</f>
        <v/>
      </c>
      <c r="N803" s="52" t="str">
        <f aca="false">IF(AND(ISNUMBER($G803),$G803&gt;=60),MIN(INDEX($E$603:$E803,202-60):$E803),"")</f>
        <v/>
      </c>
      <c r="O803" s="53" t="str">
        <f aca="false">IF(OR(NOT(ISNUMBER($C803)),NOT(ISNUMBER($M803)),$M803=0),"",$C803/$M803-1)</f>
        <v/>
      </c>
    </row>
    <row r="804" customFormat="false" ht="15" hidden="false" customHeight="false" outlineLevel="0" collapsed="false">
      <c r="A804" s="55"/>
      <c r="B804" s="56"/>
      <c r="C804" s="57"/>
      <c r="D804" s="56"/>
      <c r="E804" s="56"/>
      <c r="F804" s="56"/>
      <c r="G804" s="50" t="str">
        <f aca="false">IF($A804="","",IF(ISNUMBER($G803),$G803+1,1))</f>
        <v/>
      </c>
      <c r="H804" s="51" t="str">
        <f aca="false">IF(OR(NOT(ISNUMBER($G804)),$G804&lt;2,NOT(ISNUMBER($C803)),$C803=0),"",$C804/$C803-1)</f>
        <v/>
      </c>
      <c r="I804" s="52" t="str">
        <f aca="false">IF(AND(ISNUMBER($G804),$G804&gt;=MA_SHORT),AVERAGE(INDEX($C$404:$C804,402-MA_SHORT):$C804),"")</f>
        <v/>
      </c>
      <c r="J804" s="52" t="str">
        <f aca="false">IF(AND(ISNUMBER($G804),$G804&gt;=MA_MED),AVERAGE(INDEX($C$404:$C804,402-MA_MED):$C804),"")</f>
        <v/>
      </c>
      <c r="K804" s="52" t="str">
        <f aca="false">IF(AND(ISNUMBER($G804),$G804&gt;=MA_LONG2),AVERAGE(INDEX($C$404:$C804,402-MA_LONG2):$C804),"")</f>
        <v/>
      </c>
      <c r="L804" s="53" t="str">
        <f aca="false">IF(AND(ISNUMBER($G804),$G804&gt;=21),STDEV(INDEX($H$744:$H804,62-20):$H804)*SQRT(245),"")</f>
        <v/>
      </c>
      <c r="M804" s="52" t="str">
        <f aca="false">IF(AND(ISNUMBER($G804),$G804&gt;=60),MAX(INDEX($D$604:$D804,202-60):$D804),"")</f>
        <v/>
      </c>
      <c r="N804" s="52" t="str">
        <f aca="false">IF(AND(ISNUMBER($G804),$G804&gt;=60),MIN(INDEX($E$604:$E804,202-60):$E804),"")</f>
        <v/>
      </c>
      <c r="O804" s="53" t="str">
        <f aca="false">IF(OR(NOT(ISNUMBER($C804)),NOT(ISNUMBER($M804)),$M804=0),"",$C804/$M804-1)</f>
        <v/>
      </c>
    </row>
    <row r="805" customFormat="false" ht="15" hidden="false" customHeight="false" outlineLevel="0" collapsed="false">
      <c r="A805" s="55"/>
      <c r="B805" s="56"/>
      <c r="C805" s="57"/>
      <c r="D805" s="56"/>
      <c r="E805" s="56"/>
      <c r="F805" s="56"/>
      <c r="G805" s="50" t="str">
        <f aca="false">IF($A805="","",IF(ISNUMBER($G804),$G804+1,1))</f>
        <v/>
      </c>
      <c r="H805" s="51" t="str">
        <f aca="false">IF(OR(NOT(ISNUMBER($G805)),$G805&lt;2,NOT(ISNUMBER($C804)),$C804=0),"",$C805/$C804-1)</f>
        <v/>
      </c>
      <c r="I805" s="52" t="str">
        <f aca="false">IF(AND(ISNUMBER($G805),$G805&gt;=MA_SHORT),AVERAGE(INDEX($C$405:$C805,402-MA_SHORT):$C805),"")</f>
        <v/>
      </c>
      <c r="J805" s="52" t="str">
        <f aca="false">IF(AND(ISNUMBER($G805),$G805&gt;=MA_MED),AVERAGE(INDEX($C$405:$C805,402-MA_MED):$C805),"")</f>
        <v/>
      </c>
      <c r="K805" s="52" t="str">
        <f aca="false">IF(AND(ISNUMBER($G805),$G805&gt;=MA_LONG2),AVERAGE(INDEX($C$405:$C805,402-MA_LONG2):$C805),"")</f>
        <v/>
      </c>
      <c r="L805" s="53" t="str">
        <f aca="false">IF(AND(ISNUMBER($G805),$G805&gt;=21),STDEV(INDEX($H$745:$H805,62-20):$H805)*SQRT(245),"")</f>
        <v/>
      </c>
      <c r="M805" s="52" t="str">
        <f aca="false">IF(AND(ISNUMBER($G805),$G805&gt;=60),MAX(INDEX($D$605:$D805,202-60):$D805),"")</f>
        <v/>
      </c>
      <c r="N805" s="52" t="str">
        <f aca="false">IF(AND(ISNUMBER($G805),$G805&gt;=60),MIN(INDEX($E$605:$E805,202-60):$E805),"")</f>
        <v/>
      </c>
      <c r="O805" s="53" t="str">
        <f aca="false">IF(OR(NOT(ISNUMBER($C805)),NOT(ISNUMBER($M805)),$M805=0),"",$C805/$M805-1)</f>
        <v/>
      </c>
    </row>
    <row r="806" customFormat="false" ht="15" hidden="false" customHeight="false" outlineLevel="0" collapsed="false">
      <c r="A806" s="55"/>
      <c r="B806" s="56"/>
      <c r="C806" s="57"/>
      <c r="D806" s="56"/>
      <c r="E806" s="56"/>
      <c r="F806" s="56"/>
      <c r="G806" s="50" t="str">
        <f aca="false">IF($A806="","",IF(ISNUMBER($G805),$G805+1,1))</f>
        <v/>
      </c>
      <c r="H806" s="51" t="str">
        <f aca="false">IF(OR(NOT(ISNUMBER($G806)),$G806&lt;2,NOT(ISNUMBER($C805)),$C805=0),"",$C806/$C805-1)</f>
        <v/>
      </c>
      <c r="I806" s="52" t="str">
        <f aca="false">IF(AND(ISNUMBER($G806),$G806&gt;=MA_SHORT),AVERAGE(INDEX($C$406:$C806,402-MA_SHORT):$C806),"")</f>
        <v/>
      </c>
      <c r="J806" s="52" t="str">
        <f aca="false">IF(AND(ISNUMBER($G806),$G806&gt;=MA_MED),AVERAGE(INDEX($C$406:$C806,402-MA_MED):$C806),"")</f>
        <v/>
      </c>
      <c r="K806" s="52" t="str">
        <f aca="false">IF(AND(ISNUMBER($G806),$G806&gt;=MA_LONG2),AVERAGE(INDEX($C$406:$C806,402-MA_LONG2):$C806),"")</f>
        <v/>
      </c>
      <c r="L806" s="53" t="str">
        <f aca="false">IF(AND(ISNUMBER($G806),$G806&gt;=21),STDEV(INDEX($H$746:$H806,62-20):$H806)*SQRT(245),"")</f>
        <v/>
      </c>
      <c r="M806" s="52" t="str">
        <f aca="false">IF(AND(ISNUMBER($G806),$G806&gt;=60),MAX(INDEX($D$606:$D806,202-60):$D806),"")</f>
        <v/>
      </c>
      <c r="N806" s="52" t="str">
        <f aca="false">IF(AND(ISNUMBER($G806),$G806&gt;=60),MIN(INDEX($E$606:$E806,202-60):$E806),"")</f>
        <v/>
      </c>
      <c r="O806" s="53" t="str">
        <f aca="false">IF(OR(NOT(ISNUMBER($C806)),NOT(ISNUMBER($M806)),$M806=0),"",$C806/$M806-1)</f>
        <v/>
      </c>
    </row>
    <row r="807" customFormat="false" ht="15" hidden="false" customHeight="false" outlineLevel="0" collapsed="false">
      <c r="A807" s="55"/>
      <c r="B807" s="56"/>
      <c r="C807" s="57"/>
      <c r="D807" s="56"/>
      <c r="E807" s="56"/>
      <c r="F807" s="56"/>
      <c r="G807" s="50" t="str">
        <f aca="false">IF($A807="","",IF(ISNUMBER($G806),$G806+1,1))</f>
        <v/>
      </c>
      <c r="H807" s="51" t="str">
        <f aca="false">IF(OR(NOT(ISNUMBER($G807)),$G807&lt;2,NOT(ISNUMBER($C806)),$C806=0),"",$C807/$C806-1)</f>
        <v/>
      </c>
      <c r="I807" s="52" t="str">
        <f aca="false">IF(AND(ISNUMBER($G807),$G807&gt;=MA_SHORT),AVERAGE(INDEX($C$407:$C807,402-MA_SHORT):$C807),"")</f>
        <v/>
      </c>
      <c r="J807" s="52" t="str">
        <f aca="false">IF(AND(ISNUMBER($G807),$G807&gt;=MA_MED),AVERAGE(INDEX($C$407:$C807,402-MA_MED):$C807),"")</f>
        <v/>
      </c>
      <c r="K807" s="52" t="str">
        <f aca="false">IF(AND(ISNUMBER($G807),$G807&gt;=MA_LONG2),AVERAGE(INDEX($C$407:$C807,402-MA_LONG2):$C807),"")</f>
        <v/>
      </c>
      <c r="L807" s="53" t="str">
        <f aca="false">IF(AND(ISNUMBER($G807),$G807&gt;=21),STDEV(INDEX($H$747:$H807,62-20):$H807)*SQRT(245),"")</f>
        <v/>
      </c>
      <c r="M807" s="52" t="str">
        <f aca="false">IF(AND(ISNUMBER($G807),$G807&gt;=60),MAX(INDEX($D$607:$D807,202-60):$D807),"")</f>
        <v/>
      </c>
      <c r="N807" s="52" t="str">
        <f aca="false">IF(AND(ISNUMBER($G807),$G807&gt;=60),MIN(INDEX($E$607:$E807,202-60):$E807),"")</f>
        <v/>
      </c>
      <c r="O807" s="53" t="str">
        <f aca="false">IF(OR(NOT(ISNUMBER($C807)),NOT(ISNUMBER($M807)),$M807=0),"",$C807/$M807-1)</f>
        <v/>
      </c>
    </row>
    <row r="808" customFormat="false" ht="15" hidden="false" customHeight="false" outlineLevel="0" collapsed="false">
      <c r="A808" s="55"/>
      <c r="B808" s="56"/>
      <c r="C808" s="57"/>
      <c r="D808" s="56"/>
      <c r="E808" s="56"/>
      <c r="F808" s="56"/>
      <c r="G808" s="50" t="str">
        <f aca="false">IF($A808="","",IF(ISNUMBER($G807),$G807+1,1))</f>
        <v/>
      </c>
      <c r="H808" s="51" t="str">
        <f aca="false">IF(OR(NOT(ISNUMBER($G808)),$G808&lt;2,NOT(ISNUMBER($C807)),$C807=0),"",$C808/$C807-1)</f>
        <v/>
      </c>
      <c r="I808" s="52" t="str">
        <f aca="false">IF(AND(ISNUMBER($G808),$G808&gt;=MA_SHORT),AVERAGE(INDEX($C$408:$C808,402-MA_SHORT):$C808),"")</f>
        <v/>
      </c>
      <c r="J808" s="52" t="str">
        <f aca="false">IF(AND(ISNUMBER($G808),$G808&gt;=MA_MED),AVERAGE(INDEX($C$408:$C808,402-MA_MED):$C808),"")</f>
        <v/>
      </c>
      <c r="K808" s="52" t="str">
        <f aca="false">IF(AND(ISNUMBER($G808),$G808&gt;=MA_LONG2),AVERAGE(INDEX($C$408:$C808,402-MA_LONG2):$C808),"")</f>
        <v/>
      </c>
      <c r="L808" s="53" t="str">
        <f aca="false">IF(AND(ISNUMBER($G808),$G808&gt;=21),STDEV(INDEX($H$748:$H808,62-20):$H808)*SQRT(245),"")</f>
        <v/>
      </c>
      <c r="M808" s="52" t="str">
        <f aca="false">IF(AND(ISNUMBER($G808),$G808&gt;=60),MAX(INDEX($D$608:$D808,202-60):$D808),"")</f>
        <v/>
      </c>
      <c r="N808" s="52" t="str">
        <f aca="false">IF(AND(ISNUMBER($G808),$G808&gt;=60),MIN(INDEX($E$608:$E808,202-60):$E808),"")</f>
        <v/>
      </c>
      <c r="O808" s="53" t="str">
        <f aca="false">IF(OR(NOT(ISNUMBER($C808)),NOT(ISNUMBER($M808)),$M808=0),"",$C808/$M808-1)</f>
        <v/>
      </c>
    </row>
    <row r="809" customFormat="false" ht="15" hidden="false" customHeight="false" outlineLevel="0" collapsed="false">
      <c r="A809" s="55"/>
      <c r="B809" s="56"/>
      <c r="C809" s="57"/>
      <c r="D809" s="56"/>
      <c r="E809" s="56"/>
      <c r="F809" s="56"/>
      <c r="G809" s="50" t="str">
        <f aca="false">IF($A809="","",IF(ISNUMBER($G808),$G808+1,1))</f>
        <v/>
      </c>
      <c r="H809" s="51" t="str">
        <f aca="false">IF(OR(NOT(ISNUMBER($G809)),$G809&lt;2,NOT(ISNUMBER($C808)),$C808=0),"",$C809/$C808-1)</f>
        <v/>
      </c>
      <c r="I809" s="52" t="str">
        <f aca="false">IF(AND(ISNUMBER($G809),$G809&gt;=MA_SHORT),AVERAGE(INDEX($C$409:$C809,402-MA_SHORT):$C809),"")</f>
        <v/>
      </c>
      <c r="J809" s="52" t="str">
        <f aca="false">IF(AND(ISNUMBER($G809),$G809&gt;=MA_MED),AVERAGE(INDEX($C$409:$C809,402-MA_MED):$C809),"")</f>
        <v/>
      </c>
      <c r="K809" s="52" t="str">
        <f aca="false">IF(AND(ISNUMBER($G809),$G809&gt;=MA_LONG2),AVERAGE(INDEX($C$409:$C809,402-MA_LONG2):$C809),"")</f>
        <v/>
      </c>
      <c r="L809" s="53" t="str">
        <f aca="false">IF(AND(ISNUMBER($G809),$G809&gt;=21),STDEV(INDEX($H$749:$H809,62-20):$H809)*SQRT(245),"")</f>
        <v/>
      </c>
      <c r="M809" s="52" t="str">
        <f aca="false">IF(AND(ISNUMBER($G809),$G809&gt;=60),MAX(INDEX($D$609:$D809,202-60):$D809),"")</f>
        <v/>
      </c>
      <c r="N809" s="52" t="str">
        <f aca="false">IF(AND(ISNUMBER($G809),$G809&gt;=60),MIN(INDEX($E$609:$E809,202-60):$E809),"")</f>
        <v/>
      </c>
      <c r="O809" s="53" t="str">
        <f aca="false">IF(OR(NOT(ISNUMBER($C809)),NOT(ISNUMBER($M809)),$M809=0),"",$C809/$M809-1)</f>
        <v/>
      </c>
    </row>
    <row r="810" customFormat="false" ht="15" hidden="false" customHeight="false" outlineLevel="0" collapsed="false">
      <c r="A810" s="55"/>
      <c r="B810" s="56"/>
      <c r="C810" s="57"/>
      <c r="D810" s="56"/>
      <c r="E810" s="56"/>
      <c r="F810" s="56"/>
      <c r="G810" s="50" t="str">
        <f aca="false">IF($A810="","",IF(ISNUMBER($G809),$G809+1,1))</f>
        <v/>
      </c>
      <c r="H810" s="51" t="str">
        <f aca="false">IF(OR(NOT(ISNUMBER($G810)),$G810&lt;2,NOT(ISNUMBER($C809)),$C809=0),"",$C810/$C809-1)</f>
        <v/>
      </c>
      <c r="I810" s="52" t="str">
        <f aca="false">IF(AND(ISNUMBER($G810),$G810&gt;=MA_SHORT),AVERAGE(INDEX($C$410:$C810,402-MA_SHORT):$C810),"")</f>
        <v/>
      </c>
      <c r="J810" s="52" t="str">
        <f aca="false">IF(AND(ISNUMBER($G810),$G810&gt;=MA_MED),AVERAGE(INDEX($C$410:$C810,402-MA_MED):$C810),"")</f>
        <v/>
      </c>
      <c r="K810" s="52" t="str">
        <f aca="false">IF(AND(ISNUMBER($G810),$G810&gt;=MA_LONG2),AVERAGE(INDEX($C$410:$C810,402-MA_LONG2):$C810),"")</f>
        <v/>
      </c>
      <c r="L810" s="53" t="str">
        <f aca="false">IF(AND(ISNUMBER($G810),$G810&gt;=21),STDEV(INDEX($H$750:$H810,62-20):$H810)*SQRT(245),"")</f>
        <v/>
      </c>
      <c r="M810" s="52" t="str">
        <f aca="false">IF(AND(ISNUMBER($G810),$G810&gt;=60),MAX(INDEX($D$610:$D810,202-60):$D810),"")</f>
        <v/>
      </c>
      <c r="N810" s="52" t="str">
        <f aca="false">IF(AND(ISNUMBER($G810),$G810&gt;=60),MIN(INDEX($E$610:$E810,202-60):$E810),"")</f>
        <v/>
      </c>
      <c r="O810" s="53" t="str">
        <f aca="false">IF(OR(NOT(ISNUMBER($C810)),NOT(ISNUMBER($M810)),$M810=0),"",$C810/$M810-1)</f>
        <v/>
      </c>
    </row>
    <row r="811" customFormat="false" ht="15" hidden="false" customHeight="false" outlineLevel="0" collapsed="false">
      <c r="A811" s="55"/>
      <c r="B811" s="56"/>
      <c r="C811" s="57"/>
      <c r="D811" s="56"/>
      <c r="E811" s="56"/>
      <c r="F811" s="56"/>
      <c r="G811" s="50" t="str">
        <f aca="false">IF($A811="","",IF(ISNUMBER($G810),$G810+1,1))</f>
        <v/>
      </c>
      <c r="H811" s="51" t="str">
        <f aca="false">IF(OR(NOT(ISNUMBER($G811)),$G811&lt;2,NOT(ISNUMBER($C810)),$C810=0),"",$C811/$C810-1)</f>
        <v/>
      </c>
      <c r="I811" s="52" t="str">
        <f aca="false">IF(AND(ISNUMBER($G811),$G811&gt;=MA_SHORT),AVERAGE(INDEX($C$411:$C811,402-MA_SHORT):$C811),"")</f>
        <v/>
      </c>
      <c r="J811" s="52" t="str">
        <f aca="false">IF(AND(ISNUMBER($G811),$G811&gt;=MA_MED),AVERAGE(INDEX($C$411:$C811,402-MA_MED):$C811),"")</f>
        <v/>
      </c>
      <c r="K811" s="52" t="str">
        <f aca="false">IF(AND(ISNUMBER($G811),$G811&gt;=MA_LONG2),AVERAGE(INDEX($C$411:$C811,402-MA_LONG2):$C811),"")</f>
        <v/>
      </c>
      <c r="L811" s="53" t="str">
        <f aca="false">IF(AND(ISNUMBER($G811),$G811&gt;=21),STDEV(INDEX($H$751:$H811,62-20):$H811)*SQRT(245),"")</f>
        <v/>
      </c>
      <c r="M811" s="52" t="str">
        <f aca="false">IF(AND(ISNUMBER($G811),$G811&gt;=60),MAX(INDEX($D$611:$D811,202-60):$D811),"")</f>
        <v/>
      </c>
      <c r="N811" s="52" t="str">
        <f aca="false">IF(AND(ISNUMBER($G811),$G811&gt;=60),MIN(INDEX($E$611:$E811,202-60):$E811),"")</f>
        <v/>
      </c>
      <c r="O811" s="53" t="str">
        <f aca="false">IF(OR(NOT(ISNUMBER($C811)),NOT(ISNUMBER($M811)),$M811=0),"",$C811/$M811-1)</f>
        <v/>
      </c>
    </row>
    <row r="812" customFormat="false" ht="15" hidden="false" customHeight="false" outlineLevel="0" collapsed="false">
      <c r="A812" s="55"/>
      <c r="B812" s="56"/>
      <c r="C812" s="57"/>
      <c r="D812" s="56"/>
      <c r="E812" s="56"/>
      <c r="F812" s="56"/>
      <c r="G812" s="50" t="str">
        <f aca="false">IF($A812="","",IF(ISNUMBER($G811),$G811+1,1))</f>
        <v/>
      </c>
      <c r="H812" s="51" t="str">
        <f aca="false">IF(OR(NOT(ISNUMBER($G812)),$G812&lt;2,NOT(ISNUMBER($C811)),$C811=0),"",$C812/$C811-1)</f>
        <v/>
      </c>
      <c r="I812" s="52" t="str">
        <f aca="false">IF(AND(ISNUMBER($G812),$G812&gt;=MA_SHORT),AVERAGE(INDEX($C$412:$C812,402-MA_SHORT):$C812),"")</f>
        <v/>
      </c>
      <c r="J812" s="52" t="str">
        <f aca="false">IF(AND(ISNUMBER($G812),$G812&gt;=MA_MED),AVERAGE(INDEX($C$412:$C812,402-MA_MED):$C812),"")</f>
        <v/>
      </c>
      <c r="K812" s="52" t="str">
        <f aca="false">IF(AND(ISNUMBER($G812),$G812&gt;=MA_LONG2),AVERAGE(INDEX($C$412:$C812,402-MA_LONG2):$C812),"")</f>
        <v/>
      </c>
      <c r="L812" s="53" t="str">
        <f aca="false">IF(AND(ISNUMBER($G812),$G812&gt;=21),STDEV(INDEX($H$752:$H812,62-20):$H812)*SQRT(245),"")</f>
        <v/>
      </c>
      <c r="M812" s="52" t="str">
        <f aca="false">IF(AND(ISNUMBER($G812),$G812&gt;=60),MAX(INDEX($D$612:$D812,202-60):$D812),"")</f>
        <v/>
      </c>
      <c r="N812" s="52" t="str">
        <f aca="false">IF(AND(ISNUMBER($G812),$G812&gt;=60),MIN(INDEX($E$612:$E812,202-60):$E812),"")</f>
        <v/>
      </c>
      <c r="O812" s="53" t="str">
        <f aca="false">IF(OR(NOT(ISNUMBER($C812)),NOT(ISNUMBER($M812)),$M812=0),"",$C812/$M812-1)</f>
        <v/>
      </c>
    </row>
    <row r="813" customFormat="false" ht="15" hidden="false" customHeight="false" outlineLevel="0" collapsed="false">
      <c r="A813" s="55"/>
      <c r="B813" s="56"/>
      <c r="C813" s="57"/>
      <c r="D813" s="56"/>
      <c r="E813" s="56"/>
      <c r="F813" s="56"/>
      <c r="G813" s="50" t="str">
        <f aca="false">IF($A813="","",IF(ISNUMBER($G812),$G812+1,1))</f>
        <v/>
      </c>
      <c r="H813" s="51" t="str">
        <f aca="false">IF(OR(NOT(ISNUMBER($G813)),$G813&lt;2,NOT(ISNUMBER($C812)),$C812=0),"",$C813/$C812-1)</f>
        <v/>
      </c>
      <c r="I813" s="52" t="str">
        <f aca="false">IF(AND(ISNUMBER($G813),$G813&gt;=MA_SHORT),AVERAGE(INDEX($C$413:$C813,402-MA_SHORT):$C813),"")</f>
        <v/>
      </c>
      <c r="J813" s="52" t="str">
        <f aca="false">IF(AND(ISNUMBER($G813),$G813&gt;=MA_MED),AVERAGE(INDEX($C$413:$C813,402-MA_MED):$C813),"")</f>
        <v/>
      </c>
      <c r="K813" s="52" t="str">
        <f aca="false">IF(AND(ISNUMBER($G813),$G813&gt;=MA_LONG2),AVERAGE(INDEX($C$413:$C813,402-MA_LONG2):$C813),"")</f>
        <v/>
      </c>
      <c r="L813" s="53" t="str">
        <f aca="false">IF(AND(ISNUMBER($G813),$G813&gt;=21),STDEV(INDEX($H$753:$H813,62-20):$H813)*SQRT(245),"")</f>
        <v/>
      </c>
      <c r="M813" s="52" t="str">
        <f aca="false">IF(AND(ISNUMBER($G813),$G813&gt;=60),MAX(INDEX($D$613:$D813,202-60):$D813),"")</f>
        <v/>
      </c>
      <c r="N813" s="52" t="str">
        <f aca="false">IF(AND(ISNUMBER($G813),$G813&gt;=60),MIN(INDEX($E$613:$E813,202-60):$E813),"")</f>
        <v/>
      </c>
      <c r="O813" s="53" t="str">
        <f aca="false">IF(OR(NOT(ISNUMBER($C813)),NOT(ISNUMBER($M813)),$M813=0),"",$C813/$M813-1)</f>
        <v/>
      </c>
    </row>
    <row r="814" customFormat="false" ht="15" hidden="false" customHeight="false" outlineLevel="0" collapsed="false">
      <c r="A814" s="55"/>
      <c r="B814" s="56"/>
      <c r="C814" s="57"/>
      <c r="D814" s="56"/>
      <c r="E814" s="56"/>
      <c r="F814" s="56"/>
      <c r="G814" s="50" t="str">
        <f aca="false">IF($A814="","",IF(ISNUMBER($G813),$G813+1,1))</f>
        <v/>
      </c>
      <c r="H814" s="51" t="str">
        <f aca="false">IF(OR(NOT(ISNUMBER($G814)),$G814&lt;2,NOT(ISNUMBER($C813)),$C813=0),"",$C814/$C813-1)</f>
        <v/>
      </c>
      <c r="I814" s="52" t="str">
        <f aca="false">IF(AND(ISNUMBER($G814),$G814&gt;=MA_SHORT),AVERAGE(INDEX($C$414:$C814,402-MA_SHORT):$C814),"")</f>
        <v/>
      </c>
      <c r="J814" s="52" t="str">
        <f aca="false">IF(AND(ISNUMBER($G814),$G814&gt;=MA_MED),AVERAGE(INDEX($C$414:$C814,402-MA_MED):$C814),"")</f>
        <v/>
      </c>
      <c r="K814" s="52" t="str">
        <f aca="false">IF(AND(ISNUMBER($G814),$G814&gt;=MA_LONG2),AVERAGE(INDEX($C$414:$C814,402-MA_LONG2):$C814),"")</f>
        <v/>
      </c>
      <c r="L814" s="53" t="str">
        <f aca="false">IF(AND(ISNUMBER($G814),$G814&gt;=21),STDEV(INDEX($H$754:$H814,62-20):$H814)*SQRT(245),"")</f>
        <v/>
      </c>
      <c r="M814" s="52" t="str">
        <f aca="false">IF(AND(ISNUMBER($G814),$G814&gt;=60),MAX(INDEX($D$614:$D814,202-60):$D814),"")</f>
        <v/>
      </c>
      <c r="N814" s="52" t="str">
        <f aca="false">IF(AND(ISNUMBER($G814),$G814&gt;=60),MIN(INDEX($E$614:$E814,202-60):$E814),"")</f>
        <v/>
      </c>
      <c r="O814" s="53" t="str">
        <f aca="false">IF(OR(NOT(ISNUMBER($C814)),NOT(ISNUMBER($M814)),$M814=0),"",$C814/$M814-1)</f>
        <v/>
      </c>
    </row>
    <row r="815" customFormat="false" ht="15" hidden="false" customHeight="false" outlineLevel="0" collapsed="false">
      <c r="A815" s="55"/>
      <c r="B815" s="56"/>
      <c r="C815" s="57"/>
      <c r="D815" s="56"/>
      <c r="E815" s="56"/>
      <c r="F815" s="56"/>
      <c r="G815" s="50" t="str">
        <f aca="false">IF($A815="","",IF(ISNUMBER($G814),$G814+1,1))</f>
        <v/>
      </c>
      <c r="H815" s="51" t="str">
        <f aca="false">IF(OR(NOT(ISNUMBER($G815)),$G815&lt;2,NOT(ISNUMBER($C814)),$C814=0),"",$C815/$C814-1)</f>
        <v/>
      </c>
      <c r="I815" s="52" t="str">
        <f aca="false">IF(AND(ISNUMBER($G815),$G815&gt;=MA_SHORT),AVERAGE(INDEX($C$415:$C815,402-MA_SHORT):$C815),"")</f>
        <v/>
      </c>
      <c r="J815" s="52" t="str">
        <f aca="false">IF(AND(ISNUMBER($G815),$G815&gt;=MA_MED),AVERAGE(INDEX($C$415:$C815,402-MA_MED):$C815),"")</f>
        <v/>
      </c>
      <c r="K815" s="52" t="str">
        <f aca="false">IF(AND(ISNUMBER($G815),$G815&gt;=MA_LONG2),AVERAGE(INDEX($C$415:$C815,402-MA_LONG2):$C815),"")</f>
        <v/>
      </c>
      <c r="L815" s="53" t="str">
        <f aca="false">IF(AND(ISNUMBER($G815),$G815&gt;=21),STDEV(INDEX($H$755:$H815,62-20):$H815)*SQRT(245),"")</f>
        <v/>
      </c>
      <c r="M815" s="52" t="str">
        <f aca="false">IF(AND(ISNUMBER($G815),$G815&gt;=60),MAX(INDEX($D$615:$D815,202-60):$D815),"")</f>
        <v/>
      </c>
      <c r="N815" s="52" t="str">
        <f aca="false">IF(AND(ISNUMBER($G815),$G815&gt;=60),MIN(INDEX($E$615:$E815,202-60):$E815),"")</f>
        <v/>
      </c>
      <c r="O815" s="53" t="str">
        <f aca="false">IF(OR(NOT(ISNUMBER($C815)),NOT(ISNUMBER($M815)),$M815=0),"",$C815/$M815-1)</f>
        <v/>
      </c>
    </row>
    <row r="816" customFormat="false" ht="15" hidden="false" customHeight="false" outlineLevel="0" collapsed="false">
      <c r="A816" s="55"/>
      <c r="B816" s="56"/>
      <c r="C816" s="57"/>
      <c r="D816" s="56"/>
      <c r="E816" s="56"/>
      <c r="F816" s="56"/>
      <c r="G816" s="50" t="str">
        <f aca="false">IF($A816="","",IF(ISNUMBER($G815),$G815+1,1))</f>
        <v/>
      </c>
      <c r="H816" s="51" t="str">
        <f aca="false">IF(OR(NOT(ISNUMBER($G816)),$G816&lt;2,NOT(ISNUMBER($C815)),$C815=0),"",$C816/$C815-1)</f>
        <v/>
      </c>
      <c r="I816" s="52" t="str">
        <f aca="false">IF(AND(ISNUMBER($G816),$G816&gt;=MA_SHORT),AVERAGE(INDEX($C$416:$C816,402-MA_SHORT):$C816),"")</f>
        <v/>
      </c>
      <c r="J816" s="52" t="str">
        <f aca="false">IF(AND(ISNUMBER($G816),$G816&gt;=MA_MED),AVERAGE(INDEX($C$416:$C816,402-MA_MED):$C816),"")</f>
        <v/>
      </c>
      <c r="K816" s="52" t="str">
        <f aca="false">IF(AND(ISNUMBER($G816),$G816&gt;=MA_LONG2),AVERAGE(INDEX($C$416:$C816,402-MA_LONG2):$C816),"")</f>
        <v/>
      </c>
      <c r="L816" s="53" t="str">
        <f aca="false">IF(AND(ISNUMBER($G816),$G816&gt;=21),STDEV(INDEX($H$756:$H816,62-20):$H816)*SQRT(245),"")</f>
        <v/>
      </c>
      <c r="M816" s="52" t="str">
        <f aca="false">IF(AND(ISNUMBER($G816),$G816&gt;=60),MAX(INDEX($D$616:$D816,202-60):$D816),"")</f>
        <v/>
      </c>
      <c r="N816" s="52" t="str">
        <f aca="false">IF(AND(ISNUMBER($G816),$G816&gt;=60),MIN(INDEX($E$616:$E816,202-60):$E816),"")</f>
        <v/>
      </c>
      <c r="O816" s="53" t="str">
        <f aca="false">IF(OR(NOT(ISNUMBER($C816)),NOT(ISNUMBER($M816)),$M816=0),"",$C816/$M816-1)</f>
        <v/>
      </c>
    </row>
    <row r="817" customFormat="false" ht="15" hidden="false" customHeight="false" outlineLevel="0" collapsed="false">
      <c r="A817" s="55"/>
      <c r="B817" s="56"/>
      <c r="C817" s="57"/>
      <c r="D817" s="56"/>
      <c r="E817" s="56"/>
      <c r="F817" s="56"/>
      <c r="G817" s="50" t="str">
        <f aca="false">IF($A817="","",IF(ISNUMBER($G816),$G816+1,1))</f>
        <v/>
      </c>
      <c r="H817" s="51" t="str">
        <f aca="false">IF(OR(NOT(ISNUMBER($G817)),$G817&lt;2,NOT(ISNUMBER($C816)),$C816=0),"",$C817/$C816-1)</f>
        <v/>
      </c>
      <c r="I817" s="52" t="str">
        <f aca="false">IF(AND(ISNUMBER($G817),$G817&gt;=MA_SHORT),AVERAGE(INDEX($C$417:$C817,402-MA_SHORT):$C817),"")</f>
        <v/>
      </c>
      <c r="J817" s="52" t="str">
        <f aca="false">IF(AND(ISNUMBER($G817),$G817&gt;=MA_MED),AVERAGE(INDEX($C$417:$C817,402-MA_MED):$C817),"")</f>
        <v/>
      </c>
      <c r="K817" s="52" t="str">
        <f aca="false">IF(AND(ISNUMBER($G817),$G817&gt;=MA_LONG2),AVERAGE(INDEX($C$417:$C817,402-MA_LONG2):$C817),"")</f>
        <v/>
      </c>
      <c r="L817" s="53" t="str">
        <f aca="false">IF(AND(ISNUMBER($G817),$G817&gt;=21),STDEV(INDEX($H$757:$H817,62-20):$H817)*SQRT(245),"")</f>
        <v/>
      </c>
      <c r="M817" s="52" t="str">
        <f aca="false">IF(AND(ISNUMBER($G817),$G817&gt;=60),MAX(INDEX($D$617:$D817,202-60):$D817),"")</f>
        <v/>
      </c>
      <c r="N817" s="52" t="str">
        <f aca="false">IF(AND(ISNUMBER($G817),$G817&gt;=60),MIN(INDEX($E$617:$E817,202-60):$E817),"")</f>
        <v/>
      </c>
      <c r="O817" s="53" t="str">
        <f aca="false">IF(OR(NOT(ISNUMBER($C817)),NOT(ISNUMBER($M817)),$M817=0),"",$C817/$M817-1)</f>
        <v/>
      </c>
    </row>
    <row r="818" customFormat="false" ht="15" hidden="false" customHeight="false" outlineLevel="0" collapsed="false">
      <c r="A818" s="55"/>
      <c r="B818" s="56"/>
      <c r="C818" s="57"/>
      <c r="D818" s="56"/>
      <c r="E818" s="56"/>
      <c r="F818" s="56"/>
      <c r="G818" s="50" t="str">
        <f aca="false">IF($A818="","",IF(ISNUMBER($G817),$G817+1,1))</f>
        <v/>
      </c>
      <c r="H818" s="51" t="str">
        <f aca="false">IF(OR(NOT(ISNUMBER($G818)),$G818&lt;2,NOT(ISNUMBER($C817)),$C817=0),"",$C818/$C817-1)</f>
        <v/>
      </c>
      <c r="I818" s="52" t="str">
        <f aca="false">IF(AND(ISNUMBER($G818),$G818&gt;=MA_SHORT),AVERAGE(INDEX($C$418:$C818,402-MA_SHORT):$C818),"")</f>
        <v/>
      </c>
      <c r="J818" s="52" t="str">
        <f aca="false">IF(AND(ISNUMBER($G818),$G818&gt;=MA_MED),AVERAGE(INDEX($C$418:$C818,402-MA_MED):$C818),"")</f>
        <v/>
      </c>
      <c r="K818" s="52" t="str">
        <f aca="false">IF(AND(ISNUMBER($G818),$G818&gt;=MA_LONG2),AVERAGE(INDEX($C$418:$C818,402-MA_LONG2):$C818),"")</f>
        <v/>
      </c>
      <c r="L818" s="53" t="str">
        <f aca="false">IF(AND(ISNUMBER($G818),$G818&gt;=21),STDEV(INDEX($H$758:$H818,62-20):$H818)*SQRT(245),"")</f>
        <v/>
      </c>
      <c r="M818" s="52" t="str">
        <f aca="false">IF(AND(ISNUMBER($G818),$G818&gt;=60),MAX(INDEX($D$618:$D818,202-60):$D818),"")</f>
        <v/>
      </c>
      <c r="N818" s="52" t="str">
        <f aca="false">IF(AND(ISNUMBER($G818),$G818&gt;=60),MIN(INDEX($E$618:$E818,202-60):$E818),"")</f>
        <v/>
      </c>
      <c r="O818" s="53" t="str">
        <f aca="false">IF(OR(NOT(ISNUMBER($C818)),NOT(ISNUMBER($M818)),$M818=0),"",$C818/$M818-1)</f>
        <v/>
      </c>
    </row>
    <row r="819" customFormat="false" ht="15" hidden="false" customHeight="false" outlineLevel="0" collapsed="false">
      <c r="A819" s="55"/>
      <c r="B819" s="56"/>
      <c r="C819" s="57"/>
      <c r="D819" s="56"/>
      <c r="E819" s="56"/>
      <c r="F819" s="56"/>
      <c r="G819" s="50" t="str">
        <f aca="false">IF($A819="","",IF(ISNUMBER($G818),$G818+1,1))</f>
        <v/>
      </c>
      <c r="H819" s="51" t="str">
        <f aca="false">IF(OR(NOT(ISNUMBER($G819)),$G819&lt;2,NOT(ISNUMBER($C818)),$C818=0),"",$C819/$C818-1)</f>
        <v/>
      </c>
      <c r="I819" s="52" t="str">
        <f aca="false">IF(AND(ISNUMBER($G819),$G819&gt;=MA_SHORT),AVERAGE(INDEX($C$419:$C819,402-MA_SHORT):$C819),"")</f>
        <v/>
      </c>
      <c r="J819" s="52" t="str">
        <f aca="false">IF(AND(ISNUMBER($G819),$G819&gt;=MA_MED),AVERAGE(INDEX($C$419:$C819,402-MA_MED):$C819),"")</f>
        <v/>
      </c>
      <c r="K819" s="52" t="str">
        <f aca="false">IF(AND(ISNUMBER($G819),$G819&gt;=MA_LONG2),AVERAGE(INDEX($C$419:$C819,402-MA_LONG2):$C819),"")</f>
        <v/>
      </c>
      <c r="L819" s="53" t="str">
        <f aca="false">IF(AND(ISNUMBER($G819),$G819&gt;=21),STDEV(INDEX($H$759:$H819,62-20):$H819)*SQRT(245),"")</f>
        <v/>
      </c>
      <c r="M819" s="52" t="str">
        <f aca="false">IF(AND(ISNUMBER($G819),$G819&gt;=60),MAX(INDEX($D$619:$D819,202-60):$D819),"")</f>
        <v/>
      </c>
      <c r="N819" s="52" t="str">
        <f aca="false">IF(AND(ISNUMBER($G819),$G819&gt;=60),MIN(INDEX($E$619:$E819,202-60):$E819),"")</f>
        <v/>
      </c>
      <c r="O819" s="53" t="str">
        <f aca="false">IF(OR(NOT(ISNUMBER($C819)),NOT(ISNUMBER($M819)),$M819=0),"",$C819/$M819-1)</f>
        <v/>
      </c>
    </row>
    <row r="820" customFormat="false" ht="15" hidden="false" customHeight="false" outlineLevel="0" collapsed="false">
      <c r="A820" s="55"/>
      <c r="B820" s="56"/>
      <c r="C820" s="57"/>
      <c r="D820" s="56"/>
      <c r="E820" s="56"/>
      <c r="F820" s="56"/>
      <c r="G820" s="50" t="str">
        <f aca="false">IF($A820="","",IF(ISNUMBER($G819),$G819+1,1))</f>
        <v/>
      </c>
      <c r="H820" s="51" t="str">
        <f aca="false">IF(OR(NOT(ISNUMBER($G820)),$G820&lt;2,NOT(ISNUMBER($C819)),$C819=0),"",$C820/$C819-1)</f>
        <v/>
      </c>
      <c r="I820" s="52" t="str">
        <f aca="false">IF(AND(ISNUMBER($G820),$G820&gt;=MA_SHORT),AVERAGE(INDEX($C$420:$C820,402-MA_SHORT):$C820),"")</f>
        <v/>
      </c>
      <c r="J820" s="52" t="str">
        <f aca="false">IF(AND(ISNUMBER($G820),$G820&gt;=MA_MED),AVERAGE(INDEX($C$420:$C820,402-MA_MED):$C820),"")</f>
        <v/>
      </c>
      <c r="K820" s="52" t="str">
        <f aca="false">IF(AND(ISNUMBER($G820),$G820&gt;=MA_LONG2),AVERAGE(INDEX($C$420:$C820,402-MA_LONG2):$C820),"")</f>
        <v/>
      </c>
      <c r="L820" s="53" t="str">
        <f aca="false">IF(AND(ISNUMBER($G820),$G820&gt;=21),STDEV(INDEX($H$760:$H820,62-20):$H820)*SQRT(245),"")</f>
        <v/>
      </c>
      <c r="M820" s="52" t="str">
        <f aca="false">IF(AND(ISNUMBER($G820),$G820&gt;=60),MAX(INDEX($D$620:$D820,202-60):$D820),"")</f>
        <v/>
      </c>
      <c r="N820" s="52" t="str">
        <f aca="false">IF(AND(ISNUMBER($G820),$G820&gt;=60),MIN(INDEX($E$620:$E820,202-60):$E820),"")</f>
        <v/>
      </c>
      <c r="O820" s="53" t="str">
        <f aca="false">IF(OR(NOT(ISNUMBER($C820)),NOT(ISNUMBER($M820)),$M820=0),"",$C820/$M820-1)</f>
        <v/>
      </c>
    </row>
    <row r="821" customFormat="false" ht="15" hidden="false" customHeight="false" outlineLevel="0" collapsed="false">
      <c r="A821" s="55"/>
      <c r="B821" s="56"/>
      <c r="C821" s="57"/>
      <c r="D821" s="56"/>
      <c r="E821" s="56"/>
      <c r="F821" s="56"/>
      <c r="G821" s="50" t="str">
        <f aca="false">IF($A821="","",IF(ISNUMBER($G820),$G820+1,1))</f>
        <v/>
      </c>
      <c r="H821" s="51" t="str">
        <f aca="false">IF(OR(NOT(ISNUMBER($G821)),$G821&lt;2,NOT(ISNUMBER($C820)),$C820=0),"",$C821/$C820-1)</f>
        <v/>
      </c>
      <c r="I821" s="52" t="str">
        <f aca="false">IF(AND(ISNUMBER($G821),$G821&gt;=MA_SHORT),AVERAGE(INDEX($C$421:$C821,402-MA_SHORT):$C821),"")</f>
        <v/>
      </c>
      <c r="J821" s="52" t="str">
        <f aca="false">IF(AND(ISNUMBER($G821),$G821&gt;=MA_MED),AVERAGE(INDEX($C$421:$C821,402-MA_MED):$C821),"")</f>
        <v/>
      </c>
      <c r="K821" s="52" t="str">
        <f aca="false">IF(AND(ISNUMBER($G821),$G821&gt;=MA_LONG2),AVERAGE(INDEX($C$421:$C821,402-MA_LONG2):$C821),"")</f>
        <v/>
      </c>
      <c r="L821" s="53" t="str">
        <f aca="false">IF(AND(ISNUMBER($G821),$G821&gt;=21),STDEV(INDEX($H$761:$H821,62-20):$H821)*SQRT(245),"")</f>
        <v/>
      </c>
      <c r="M821" s="52" t="str">
        <f aca="false">IF(AND(ISNUMBER($G821),$G821&gt;=60),MAX(INDEX($D$621:$D821,202-60):$D821),"")</f>
        <v/>
      </c>
      <c r="N821" s="52" t="str">
        <f aca="false">IF(AND(ISNUMBER($G821),$G821&gt;=60),MIN(INDEX($E$621:$E821,202-60):$E821),"")</f>
        <v/>
      </c>
      <c r="O821" s="53" t="str">
        <f aca="false">IF(OR(NOT(ISNUMBER($C821)),NOT(ISNUMBER($M821)),$M821=0),"",$C821/$M821-1)</f>
        <v/>
      </c>
    </row>
    <row r="822" customFormat="false" ht="15" hidden="false" customHeight="false" outlineLevel="0" collapsed="false">
      <c r="A822" s="55"/>
      <c r="B822" s="56"/>
      <c r="C822" s="57"/>
      <c r="D822" s="56"/>
      <c r="E822" s="56"/>
      <c r="F822" s="56"/>
      <c r="G822" s="50" t="str">
        <f aca="false">IF($A822="","",IF(ISNUMBER($G821),$G821+1,1))</f>
        <v/>
      </c>
      <c r="H822" s="51" t="str">
        <f aca="false">IF(OR(NOT(ISNUMBER($G822)),$G822&lt;2,NOT(ISNUMBER($C821)),$C821=0),"",$C822/$C821-1)</f>
        <v/>
      </c>
      <c r="I822" s="52" t="str">
        <f aca="false">IF(AND(ISNUMBER($G822),$G822&gt;=MA_SHORT),AVERAGE(INDEX($C$422:$C822,402-MA_SHORT):$C822),"")</f>
        <v/>
      </c>
      <c r="J822" s="52" t="str">
        <f aca="false">IF(AND(ISNUMBER($G822),$G822&gt;=MA_MED),AVERAGE(INDEX($C$422:$C822,402-MA_MED):$C822),"")</f>
        <v/>
      </c>
      <c r="K822" s="52" t="str">
        <f aca="false">IF(AND(ISNUMBER($G822),$G822&gt;=MA_LONG2),AVERAGE(INDEX($C$422:$C822,402-MA_LONG2):$C822),"")</f>
        <v/>
      </c>
      <c r="L822" s="53" t="str">
        <f aca="false">IF(AND(ISNUMBER($G822),$G822&gt;=21),STDEV(INDEX($H$762:$H822,62-20):$H822)*SQRT(245),"")</f>
        <v/>
      </c>
      <c r="M822" s="52" t="str">
        <f aca="false">IF(AND(ISNUMBER($G822),$G822&gt;=60),MAX(INDEX($D$622:$D822,202-60):$D822),"")</f>
        <v/>
      </c>
      <c r="N822" s="52" t="str">
        <f aca="false">IF(AND(ISNUMBER($G822),$G822&gt;=60),MIN(INDEX($E$622:$E822,202-60):$E822),"")</f>
        <v/>
      </c>
      <c r="O822" s="53" t="str">
        <f aca="false">IF(OR(NOT(ISNUMBER($C822)),NOT(ISNUMBER($M822)),$M822=0),"",$C822/$M822-1)</f>
        <v/>
      </c>
    </row>
    <row r="823" customFormat="false" ht="15" hidden="false" customHeight="false" outlineLevel="0" collapsed="false">
      <c r="A823" s="55"/>
      <c r="B823" s="56"/>
      <c r="C823" s="57"/>
      <c r="D823" s="56"/>
      <c r="E823" s="56"/>
      <c r="F823" s="56"/>
      <c r="G823" s="50" t="str">
        <f aca="false">IF($A823="","",IF(ISNUMBER($G822),$G822+1,1))</f>
        <v/>
      </c>
      <c r="H823" s="51" t="str">
        <f aca="false">IF(OR(NOT(ISNUMBER($G823)),$G823&lt;2,NOT(ISNUMBER($C822)),$C822=0),"",$C823/$C822-1)</f>
        <v/>
      </c>
      <c r="I823" s="52" t="str">
        <f aca="false">IF(AND(ISNUMBER($G823),$G823&gt;=MA_SHORT),AVERAGE(INDEX($C$423:$C823,402-MA_SHORT):$C823),"")</f>
        <v/>
      </c>
      <c r="J823" s="52" t="str">
        <f aca="false">IF(AND(ISNUMBER($G823),$G823&gt;=MA_MED),AVERAGE(INDEX($C$423:$C823,402-MA_MED):$C823),"")</f>
        <v/>
      </c>
      <c r="K823" s="52" t="str">
        <f aca="false">IF(AND(ISNUMBER($G823),$G823&gt;=MA_LONG2),AVERAGE(INDEX($C$423:$C823,402-MA_LONG2):$C823),"")</f>
        <v/>
      </c>
      <c r="L823" s="53" t="str">
        <f aca="false">IF(AND(ISNUMBER($G823),$G823&gt;=21),STDEV(INDEX($H$763:$H823,62-20):$H823)*SQRT(245),"")</f>
        <v/>
      </c>
      <c r="M823" s="52" t="str">
        <f aca="false">IF(AND(ISNUMBER($G823),$G823&gt;=60),MAX(INDEX($D$623:$D823,202-60):$D823),"")</f>
        <v/>
      </c>
      <c r="N823" s="52" t="str">
        <f aca="false">IF(AND(ISNUMBER($G823),$G823&gt;=60),MIN(INDEX($E$623:$E823,202-60):$E823),"")</f>
        <v/>
      </c>
      <c r="O823" s="53" t="str">
        <f aca="false">IF(OR(NOT(ISNUMBER($C823)),NOT(ISNUMBER($M823)),$M823=0),"",$C823/$M823-1)</f>
        <v/>
      </c>
    </row>
    <row r="824" customFormat="false" ht="15" hidden="false" customHeight="false" outlineLevel="0" collapsed="false">
      <c r="A824" s="55"/>
      <c r="B824" s="56"/>
      <c r="C824" s="57"/>
      <c r="D824" s="56"/>
      <c r="E824" s="56"/>
      <c r="F824" s="56"/>
      <c r="G824" s="50" t="str">
        <f aca="false">IF($A824="","",IF(ISNUMBER($G823),$G823+1,1))</f>
        <v/>
      </c>
      <c r="H824" s="51" t="str">
        <f aca="false">IF(OR(NOT(ISNUMBER($G824)),$G824&lt;2,NOT(ISNUMBER($C823)),$C823=0),"",$C824/$C823-1)</f>
        <v/>
      </c>
      <c r="I824" s="52" t="str">
        <f aca="false">IF(AND(ISNUMBER($G824),$G824&gt;=MA_SHORT),AVERAGE(INDEX($C$424:$C824,402-MA_SHORT):$C824),"")</f>
        <v/>
      </c>
      <c r="J824" s="52" t="str">
        <f aca="false">IF(AND(ISNUMBER($G824),$G824&gt;=MA_MED),AVERAGE(INDEX($C$424:$C824,402-MA_MED):$C824),"")</f>
        <v/>
      </c>
      <c r="K824" s="52" t="str">
        <f aca="false">IF(AND(ISNUMBER($G824),$G824&gt;=MA_LONG2),AVERAGE(INDEX($C$424:$C824,402-MA_LONG2):$C824),"")</f>
        <v/>
      </c>
      <c r="L824" s="53" t="str">
        <f aca="false">IF(AND(ISNUMBER($G824),$G824&gt;=21),STDEV(INDEX($H$764:$H824,62-20):$H824)*SQRT(245),"")</f>
        <v/>
      </c>
      <c r="M824" s="52" t="str">
        <f aca="false">IF(AND(ISNUMBER($G824),$G824&gt;=60),MAX(INDEX($D$624:$D824,202-60):$D824),"")</f>
        <v/>
      </c>
      <c r="N824" s="52" t="str">
        <f aca="false">IF(AND(ISNUMBER($G824),$G824&gt;=60),MIN(INDEX($E$624:$E824,202-60):$E824),"")</f>
        <v/>
      </c>
      <c r="O824" s="53" t="str">
        <f aca="false">IF(OR(NOT(ISNUMBER($C824)),NOT(ISNUMBER($M824)),$M824=0),"",$C824/$M824-1)</f>
        <v/>
      </c>
    </row>
    <row r="825" customFormat="false" ht="15" hidden="false" customHeight="false" outlineLevel="0" collapsed="false">
      <c r="A825" s="55"/>
      <c r="B825" s="56"/>
      <c r="C825" s="57"/>
      <c r="D825" s="56"/>
      <c r="E825" s="56"/>
      <c r="F825" s="56"/>
      <c r="G825" s="50" t="str">
        <f aca="false">IF($A825="","",IF(ISNUMBER($G824),$G824+1,1))</f>
        <v/>
      </c>
      <c r="H825" s="51" t="str">
        <f aca="false">IF(OR(NOT(ISNUMBER($G825)),$G825&lt;2,NOT(ISNUMBER($C824)),$C824=0),"",$C825/$C824-1)</f>
        <v/>
      </c>
      <c r="I825" s="52" t="str">
        <f aca="false">IF(AND(ISNUMBER($G825),$G825&gt;=MA_SHORT),AVERAGE(INDEX($C$425:$C825,402-MA_SHORT):$C825),"")</f>
        <v/>
      </c>
      <c r="J825" s="52" t="str">
        <f aca="false">IF(AND(ISNUMBER($G825),$G825&gt;=MA_MED),AVERAGE(INDEX($C$425:$C825,402-MA_MED):$C825),"")</f>
        <v/>
      </c>
      <c r="K825" s="52" t="str">
        <f aca="false">IF(AND(ISNUMBER($G825),$G825&gt;=MA_LONG2),AVERAGE(INDEX($C$425:$C825,402-MA_LONG2):$C825),"")</f>
        <v/>
      </c>
      <c r="L825" s="53" t="str">
        <f aca="false">IF(AND(ISNUMBER($G825),$G825&gt;=21),STDEV(INDEX($H$765:$H825,62-20):$H825)*SQRT(245),"")</f>
        <v/>
      </c>
      <c r="M825" s="52" t="str">
        <f aca="false">IF(AND(ISNUMBER($G825),$G825&gt;=60),MAX(INDEX($D$625:$D825,202-60):$D825),"")</f>
        <v/>
      </c>
      <c r="N825" s="52" t="str">
        <f aca="false">IF(AND(ISNUMBER($G825),$G825&gt;=60),MIN(INDEX($E$625:$E825,202-60):$E825),"")</f>
        <v/>
      </c>
      <c r="O825" s="53" t="str">
        <f aca="false">IF(OR(NOT(ISNUMBER($C825)),NOT(ISNUMBER($M825)),$M825=0),"",$C825/$M825-1)</f>
        <v/>
      </c>
    </row>
    <row r="826" customFormat="false" ht="15" hidden="false" customHeight="false" outlineLevel="0" collapsed="false">
      <c r="A826" s="55"/>
      <c r="B826" s="56"/>
      <c r="C826" s="57"/>
      <c r="D826" s="56"/>
      <c r="E826" s="56"/>
      <c r="F826" s="56"/>
      <c r="G826" s="50" t="str">
        <f aca="false">IF($A826="","",IF(ISNUMBER($G825),$G825+1,1))</f>
        <v/>
      </c>
      <c r="H826" s="51" t="str">
        <f aca="false">IF(OR(NOT(ISNUMBER($G826)),$G826&lt;2,NOT(ISNUMBER($C825)),$C825=0),"",$C826/$C825-1)</f>
        <v/>
      </c>
      <c r="I826" s="52" t="str">
        <f aca="false">IF(AND(ISNUMBER($G826),$G826&gt;=MA_SHORT),AVERAGE(INDEX($C$426:$C826,402-MA_SHORT):$C826),"")</f>
        <v/>
      </c>
      <c r="J826" s="52" t="str">
        <f aca="false">IF(AND(ISNUMBER($G826),$G826&gt;=MA_MED),AVERAGE(INDEX($C$426:$C826,402-MA_MED):$C826),"")</f>
        <v/>
      </c>
      <c r="K826" s="52" t="str">
        <f aca="false">IF(AND(ISNUMBER($G826),$G826&gt;=MA_LONG2),AVERAGE(INDEX($C$426:$C826,402-MA_LONG2):$C826),"")</f>
        <v/>
      </c>
      <c r="L826" s="53" t="str">
        <f aca="false">IF(AND(ISNUMBER($G826),$G826&gt;=21),STDEV(INDEX($H$766:$H826,62-20):$H826)*SQRT(245),"")</f>
        <v/>
      </c>
      <c r="M826" s="52" t="str">
        <f aca="false">IF(AND(ISNUMBER($G826),$G826&gt;=60),MAX(INDEX($D$626:$D826,202-60):$D826),"")</f>
        <v/>
      </c>
      <c r="N826" s="52" t="str">
        <f aca="false">IF(AND(ISNUMBER($G826),$G826&gt;=60),MIN(INDEX($E$626:$E826,202-60):$E826),"")</f>
        <v/>
      </c>
      <c r="O826" s="53" t="str">
        <f aca="false">IF(OR(NOT(ISNUMBER($C826)),NOT(ISNUMBER($M826)),$M826=0),"",$C826/$M826-1)</f>
        <v/>
      </c>
    </row>
    <row r="827" customFormat="false" ht="15" hidden="false" customHeight="false" outlineLevel="0" collapsed="false">
      <c r="A827" s="55"/>
      <c r="B827" s="56"/>
      <c r="C827" s="57"/>
      <c r="D827" s="56"/>
      <c r="E827" s="56"/>
      <c r="F827" s="56"/>
      <c r="G827" s="50" t="str">
        <f aca="false">IF($A827="","",IF(ISNUMBER($G826),$G826+1,1))</f>
        <v/>
      </c>
      <c r="H827" s="51" t="str">
        <f aca="false">IF(OR(NOT(ISNUMBER($G827)),$G827&lt;2,NOT(ISNUMBER($C826)),$C826=0),"",$C827/$C826-1)</f>
        <v/>
      </c>
      <c r="I827" s="52" t="str">
        <f aca="false">IF(AND(ISNUMBER($G827),$G827&gt;=MA_SHORT),AVERAGE(INDEX($C$427:$C827,402-MA_SHORT):$C827),"")</f>
        <v/>
      </c>
      <c r="J827" s="52" t="str">
        <f aca="false">IF(AND(ISNUMBER($G827),$G827&gt;=MA_MED),AVERAGE(INDEX($C$427:$C827,402-MA_MED):$C827),"")</f>
        <v/>
      </c>
      <c r="K827" s="52" t="str">
        <f aca="false">IF(AND(ISNUMBER($G827),$G827&gt;=MA_LONG2),AVERAGE(INDEX($C$427:$C827,402-MA_LONG2):$C827),"")</f>
        <v/>
      </c>
      <c r="L827" s="53" t="str">
        <f aca="false">IF(AND(ISNUMBER($G827),$G827&gt;=21),STDEV(INDEX($H$767:$H827,62-20):$H827)*SQRT(245),"")</f>
        <v/>
      </c>
      <c r="M827" s="52" t="str">
        <f aca="false">IF(AND(ISNUMBER($G827),$G827&gt;=60),MAX(INDEX($D$627:$D827,202-60):$D827),"")</f>
        <v/>
      </c>
      <c r="N827" s="52" t="str">
        <f aca="false">IF(AND(ISNUMBER($G827),$G827&gt;=60),MIN(INDEX($E$627:$E827,202-60):$E827),"")</f>
        <v/>
      </c>
      <c r="O827" s="53" t="str">
        <f aca="false">IF(OR(NOT(ISNUMBER($C827)),NOT(ISNUMBER($M827)),$M827=0),"",$C827/$M827-1)</f>
        <v/>
      </c>
    </row>
    <row r="828" customFormat="false" ht="15" hidden="false" customHeight="false" outlineLevel="0" collapsed="false">
      <c r="A828" s="55"/>
      <c r="B828" s="56"/>
      <c r="C828" s="57"/>
      <c r="D828" s="56"/>
      <c r="E828" s="56"/>
      <c r="F828" s="56"/>
      <c r="G828" s="50" t="str">
        <f aca="false">IF($A828="","",IF(ISNUMBER($G827),$G827+1,1))</f>
        <v/>
      </c>
      <c r="H828" s="51" t="str">
        <f aca="false">IF(OR(NOT(ISNUMBER($G828)),$G828&lt;2,NOT(ISNUMBER($C827)),$C827=0),"",$C828/$C827-1)</f>
        <v/>
      </c>
      <c r="I828" s="52" t="str">
        <f aca="false">IF(AND(ISNUMBER($G828),$G828&gt;=MA_SHORT),AVERAGE(INDEX($C$428:$C828,402-MA_SHORT):$C828),"")</f>
        <v/>
      </c>
      <c r="J828" s="52" t="str">
        <f aca="false">IF(AND(ISNUMBER($G828),$G828&gt;=MA_MED),AVERAGE(INDEX($C$428:$C828,402-MA_MED):$C828),"")</f>
        <v/>
      </c>
      <c r="K828" s="52" t="str">
        <f aca="false">IF(AND(ISNUMBER($G828),$G828&gt;=MA_LONG2),AVERAGE(INDEX($C$428:$C828,402-MA_LONG2):$C828),"")</f>
        <v/>
      </c>
      <c r="L828" s="53" t="str">
        <f aca="false">IF(AND(ISNUMBER($G828),$G828&gt;=21),STDEV(INDEX($H$768:$H828,62-20):$H828)*SQRT(245),"")</f>
        <v/>
      </c>
      <c r="M828" s="52" t="str">
        <f aca="false">IF(AND(ISNUMBER($G828),$G828&gt;=60),MAX(INDEX($D$628:$D828,202-60):$D828),"")</f>
        <v/>
      </c>
      <c r="N828" s="52" t="str">
        <f aca="false">IF(AND(ISNUMBER($G828),$G828&gt;=60),MIN(INDEX($E$628:$E828,202-60):$E828),"")</f>
        <v/>
      </c>
      <c r="O828" s="53" t="str">
        <f aca="false">IF(OR(NOT(ISNUMBER($C828)),NOT(ISNUMBER($M828)),$M828=0),"",$C828/$M828-1)</f>
        <v/>
      </c>
    </row>
    <row r="829" customFormat="false" ht="15" hidden="false" customHeight="false" outlineLevel="0" collapsed="false">
      <c r="A829" s="55"/>
      <c r="B829" s="56"/>
      <c r="C829" s="57"/>
      <c r="D829" s="56"/>
      <c r="E829" s="56"/>
      <c r="F829" s="56"/>
      <c r="G829" s="50" t="str">
        <f aca="false">IF($A829="","",IF(ISNUMBER($G828),$G828+1,1))</f>
        <v/>
      </c>
      <c r="H829" s="51" t="str">
        <f aca="false">IF(OR(NOT(ISNUMBER($G829)),$G829&lt;2,NOT(ISNUMBER($C828)),$C828=0),"",$C829/$C828-1)</f>
        <v/>
      </c>
      <c r="I829" s="52" t="str">
        <f aca="false">IF(AND(ISNUMBER($G829),$G829&gt;=MA_SHORT),AVERAGE(INDEX($C$429:$C829,402-MA_SHORT):$C829),"")</f>
        <v/>
      </c>
      <c r="J829" s="52" t="str">
        <f aca="false">IF(AND(ISNUMBER($G829),$G829&gt;=MA_MED),AVERAGE(INDEX($C$429:$C829,402-MA_MED):$C829),"")</f>
        <v/>
      </c>
      <c r="K829" s="52" t="str">
        <f aca="false">IF(AND(ISNUMBER($G829),$G829&gt;=MA_LONG2),AVERAGE(INDEX($C$429:$C829,402-MA_LONG2):$C829),"")</f>
        <v/>
      </c>
      <c r="L829" s="53" t="str">
        <f aca="false">IF(AND(ISNUMBER($G829),$G829&gt;=21),STDEV(INDEX($H$769:$H829,62-20):$H829)*SQRT(245),"")</f>
        <v/>
      </c>
      <c r="M829" s="52" t="str">
        <f aca="false">IF(AND(ISNUMBER($G829),$G829&gt;=60),MAX(INDEX($D$629:$D829,202-60):$D829),"")</f>
        <v/>
      </c>
      <c r="N829" s="52" t="str">
        <f aca="false">IF(AND(ISNUMBER($G829),$G829&gt;=60),MIN(INDEX($E$629:$E829,202-60):$E829),"")</f>
        <v/>
      </c>
      <c r="O829" s="53" t="str">
        <f aca="false">IF(OR(NOT(ISNUMBER($C829)),NOT(ISNUMBER($M829)),$M829=0),"",$C829/$M829-1)</f>
        <v/>
      </c>
    </row>
    <row r="830" customFormat="false" ht="15" hidden="false" customHeight="false" outlineLevel="0" collapsed="false">
      <c r="A830" s="55"/>
      <c r="B830" s="56"/>
      <c r="C830" s="57"/>
      <c r="D830" s="56"/>
      <c r="E830" s="56"/>
      <c r="F830" s="56"/>
      <c r="G830" s="50" t="str">
        <f aca="false">IF($A830="","",IF(ISNUMBER($G829),$G829+1,1))</f>
        <v/>
      </c>
      <c r="H830" s="51" t="str">
        <f aca="false">IF(OR(NOT(ISNUMBER($G830)),$G830&lt;2,NOT(ISNUMBER($C829)),$C829=0),"",$C830/$C829-1)</f>
        <v/>
      </c>
      <c r="I830" s="52" t="str">
        <f aca="false">IF(AND(ISNUMBER($G830),$G830&gt;=MA_SHORT),AVERAGE(INDEX($C$430:$C830,402-MA_SHORT):$C830),"")</f>
        <v/>
      </c>
      <c r="J830" s="52" t="str">
        <f aca="false">IF(AND(ISNUMBER($G830),$G830&gt;=MA_MED),AVERAGE(INDEX($C$430:$C830,402-MA_MED):$C830),"")</f>
        <v/>
      </c>
      <c r="K830" s="52" t="str">
        <f aca="false">IF(AND(ISNUMBER($G830),$G830&gt;=MA_LONG2),AVERAGE(INDEX($C$430:$C830,402-MA_LONG2):$C830),"")</f>
        <v/>
      </c>
      <c r="L830" s="53" t="str">
        <f aca="false">IF(AND(ISNUMBER($G830),$G830&gt;=21),STDEV(INDEX($H$770:$H830,62-20):$H830)*SQRT(245),"")</f>
        <v/>
      </c>
      <c r="M830" s="52" t="str">
        <f aca="false">IF(AND(ISNUMBER($G830),$G830&gt;=60),MAX(INDEX($D$630:$D830,202-60):$D830),"")</f>
        <v/>
      </c>
      <c r="N830" s="52" t="str">
        <f aca="false">IF(AND(ISNUMBER($G830),$G830&gt;=60),MIN(INDEX($E$630:$E830,202-60):$E830),"")</f>
        <v/>
      </c>
      <c r="O830" s="53" t="str">
        <f aca="false">IF(OR(NOT(ISNUMBER($C830)),NOT(ISNUMBER($M830)),$M830=0),"",$C830/$M830-1)</f>
        <v/>
      </c>
    </row>
    <row r="831" customFormat="false" ht="15" hidden="false" customHeight="false" outlineLevel="0" collapsed="false">
      <c r="A831" s="55"/>
      <c r="B831" s="56"/>
      <c r="C831" s="57"/>
      <c r="D831" s="56"/>
      <c r="E831" s="56"/>
      <c r="F831" s="56"/>
      <c r="G831" s="50" t="str">
        <f aca="false">IF($A831="","",IF(ISNUMBER($G830),$G830+1,1))</f>
        <v/>
      </c>
      <c r="H831" s="51" t="str">
        <f aca="false">IF(OR(NOT(ISNUMBER($G831)),$G831&lt;2,NOT(ISNUMBER($C830)),$C830=0),"",$C831/$C830-1)</f>
        <v/>
      </c>
      <c r="I831" s="52" t="str">
        <f aca="false">IF(AND(ISNUMBER($G831),$G831&gt;=MA_SHORT),AVERAGE(INDEX($C$431:$C831,402-MA_SHORT):$C831),"")</f>
        <v/>
      </c>
      <c r="J831" s="52" t="str">
        <f aca="false">IF(AND(ISNUMBER($G831),$G831&gt;=MA_MED),AVERAGE(INDEX($C$431:$C831,402-MA_MED):$C831),"")</f>
        <v/>
      </c>
      <c r="K831" s="52" t="str">
        <f aca="false">IF(AND(ISNUMBER($G831),$G831&gt;=MA_LONG2),AVERAGE(INDEX($C$431:$C831,402-MA_LONG2):$C831),"")</f>
        <v/>
      </c>
      <c r="L831" s="53" t="str">
        <f aca="false">IF(AND(ISNUMBER($G831),$G831&gt;=21),STDEV(INDEX($H$771:$H831,62-20):$H831)*SQRT(245),"")</f>
        <v/>
      </c>
      <c r="M831" s="52" t="str">
        <f aca="false">IF(AND(ISNUMBER($G831),$G831&gt;=60),MAX(INDEX($D$631:$D831,202-60):$D831),"")</f>
        <v/>
      </c>
      <c r="N831" s="52" t="str">
        <f aca="false">IF(AND(ISNUMBER($G831),$G831&gt;=60),MIN(INDEX($E$631:$E831,202-60):$E831),"")</f>
        <v/>
      </c>
      <c r="O831" s="53" t="str">
        <f aca="false">IF(OR(NOT(ISNUMBER($C831)),NOT(ISNUMBER($M831)),$M831=0),"",$C831/$M831-1)</f>
        <v/>
      </c>
    </row>
    <row r="832" customFormat="false" ht="15" hidden="false" customHeight="false" outlineLevel="0" collapsed="false">
      <c r="A832" s="55"/>
      <c r="B832" s="56"/>
      <c r="C832" s="57"/>
      <c r="D832" s="56"/>
      <c r="E832" s="56"/>
      <c r="F832" s="56"/>
      <c r="G832" s="50" t="str">
        <f aca="false">IF($A832="","",IF(ISNUMBER($G831),$G831+1,1))</f>
        <v/>
      </c>
      <c r="H832" s="51" t="str">
        <f aca="false">IF(OR(NOT(ISNUMBER($G832)),$G832&lt;2,NOT(ISNUMBER($C831)),$C831=0),"",$C832/$C831-1)</f>
        <v/>
      </c>
      <c r="I832" s="52" t="str">
        <f aca="false">IF(AND(ISNUMBER($G832),$G832&gt;=MA_SHORT),AVERAGE(INDEX($C$432:$C832,402-MA_SHORT):$C832),"")</f>
        <v/>
      </c>
      <c r="J832" s="52" t="str">
        <f aca="false">IF(AND(ISNUMBER($G832),$G832&gt;=MA_MED),AVERAGE(INDEX($C$432:$C832,402-MA_MED):$C832),"")</f>
        <v/>
      </c>
      <c r="K832" s="52" t="str">
        <f aca="false">IF(AND(ISNUMBER($G832),$G832&gt;=MA_LONG2),AVERAGE(INDEX($C$432:$C832,402-MA_LONG2):$C832),"")</f>
        <v/>
      </c>
      <c r="L832" s="53" t="str">
        <f aca="false">IF(AND(ISNUMBER($G832),$G832&gt;=21),STDEV(INDEX($H$772:$H832,62-20):$H832)*SQRT(245),"")</f>
        <v/>
      </c>
      <c r="M832" s="52" t="str">
        <f aca="false">IF(AND(ISNUMBER($G832),$G832&gt;=60),MAX(INDEX($D$632:$D832,202-60):$D832),"")</f>
        <v/>
      </c>
      <c r="N832" s="52" t="str">
        <f aca="false">IF(AND(ISNUMBER($G832),$G832&gt;=60),MIN(INDEX($E$632:$E832,202-60):$E832),"")</f>
        <v/>
      </c>
      <c r="O832" s="53" t="str">
        <f aca="false">IF(OR(NOT(ISNUMBER($C832)),NOT(ISNUMBER($M832)),$M832=0),"",$C832/$M832-1)</f>
        <v/>
      </c>
    </row>
    <row r="833" customFormat="false" ht="15" hidden="false" customHeight="false" outlineLevel="0" collapsed="false">
      <c r="A833" s="55"/>
      <c r="B833" s="56"/>
      <c r="C833" s="57"/>
      <c r="D833" s="56"/>
      <c r="E833" s="56"/>
      <c r="F833" s="56"/>
      <c r="G833" s="50" t="str">
        <f aca="false">IF($A833="","",IF(ISNUMBER($G832),$G832+1,1))</f>
        <v/>
      </c>
      <c r="H833" s="51" t="str">
        <f aca="false">IF(OR(NOT(ISNUMBER($G833)),$G833&lt;2,NOT(ISNUMBER($C832)),$C832=0),"",$C833/$C832-1)</f>
        <v/>
      </c>
      <c r="I833" s="52" t="str">
        <f aca="false">IF(AND(ISNUMBER($G833),$G833&gt;=MA_SHORT),AVERAGE(INDEX($C$433:$C833,402-MA_SHORT):$C833),"")</f>
        <v/>
      </c>
      <c r="J833" s="52" t="str">
        <f aca="false">IF(AND(ISNUMBER($G833),$G833&gt;=MA_MED),AVERAGE(INDEX($C$433:$C833,402-MA_MED):$C833),"")</f>
        <v/>
      </c>
      <c r="K833" s="52" t="str">
        <f aca="false">IF(AND(ISNUMBER($G833),$G833&gt;=MA_LONG2),AVERAGE(INDEX($C$433:$C833,402-MA_LONG2):$C833),"")</f>
        <v/>
      </c>
      <c r="L833" s="53" t="str">
        <f aca="false">IF(AND(ISNUMBER($G833),$G833&gt;=21),STDEV(INDEX($H$773:$H833,62-20):$H833)*SQRT(245),"")</f>
        <v/>
      </c>
      <c r="M833" s="52" t="str">
        <f aca="false">IF(AND(ISNUMBER($G833),$G833&gt;=60),MAX(INDEX($D$633:$D833,202-60):$D833),"")</f>
        <v/>
      </c>
      <c r="N833" s="52" t="str">
        <f aca="false">IF(AND(ISNUMBER($G833),$G833&gt;=60),MIN(INDEX($E$633:$E833,202-60):$E833),"")</f>
        <v/>
      </c>
      <c r="O833" s="53" t="str">
        <f aca="false">IF(OR(NOT(ISNUMBER($C833)),NOT(ISNUMBER($M833)),$M833=0),"",$C833/$M833-1)</f>
        <v/>
      </c>
    </row>
    <row r="834" customFormat="false" ht="15" hidden="false" customHeight="false" outlineLevel="0" collapsed="false">
      <c r="A834" s="55"/>
      <c r="B834" s="56"/>
      <c r="C834" s="57"/>
      <c r="D834" s="56"/>
      <c r="E834" s="56"/>
      <c r="F834" s="56"/>
      <c r="G834" s="50" t="str">
        <f aca="false">IF($A834="","",IF(ISNUMBER($G833),$G833+1,1))</f>
        <v/>
      </c>
      <c r="H834" s="51" t="str">
        <f aca="false">IF(OR(NOT(ISNUMBER($G834)),$G834&lt;2,NOT(ISNUMBER($C833)),$C833=0),"",$C834/$C833-1)</f>
        <v/>
      </c>
      <c r="I834" s="52" t="str">
        <f aca="false">IF(AND(ISNUMBER($G834),$G834&gt;=MA_SHORT),AVERAGE(INDEX($C$434:$C834,402-MA_SHORT):$C834),"")</f>
        <v/>
      </c>
      <c r="J834" s="52" t="str">
        <f aca="false">IF(AND(ISNUMBER($G834),$G834&gt;=MA_MED),AVERAGE(INDEX($C$434:$C834,402-MA_MED):$C834),"")</f>
        <v/>
      </c>
      <c r="K834" s="52" t="str">
        <f aca="false">IF(AND(ISNUMBER($G834),$G834&gt;=MA_LONG2),AVERAGE(INDEX($C$434:$C834,402-MA_LONG2):$C834),"")</f>
        <v/>
      </c>
      <c r="L834" s="53" t="str">
        <f aca="false">IF(AND(ISNUMBER($G834),$G834&gt;=21),STDEV(INDEX($H$774:$H834,62-20):$H834)*SQRT(245),"")</f>
        <v/>
      </c>
      <c r="M834" s="52" t="str">
        <f aca="false">IF(AND(ISNUMBER($G834),$G834&gt;=60),MAX(INDEX($D$634:$D834,202-60):$D834),"")</f>
        <v/>
      </c>
      <c r="N834" s="52" t="str">
        <f aca="false">IF(AND(ISNUMBER($G834),$G834&gt;=60),MIN(INDEX($E$634:$E834,202-60):$E834),"")</f>
        <v/>
      </c>
      <c r="O834" s="53" t="str">
        <f aca="false">IF(OR(NOT(ISNUMBER($C834)),NOT(ISNUMBER($M834)),$M834=0),"",$C834/$M834-1)</f>
        <v/>
      </c>
    </row>
    <row r="835" customFormat="false" ht="15" hidden="false" customHeight="false" outlineLevel="0" collapsed="false">
      <c r="A835" s="55"/>
      <c r="B835" s="56"/>
      <c r="C835" s="57"/>
      <c r="D835" s="56"/>
      <c r="E835" s="56"/>
      <c r="F835" s="56"/>
      <c r="G835" s="50" t="str">
        <f aca="false">IF($A835="","",IF(ISNUMBER($G834),$G834+1,1))</f>
        <v/>
      </c>
      <c r="H835" s="51" t="str">
        <f aca="false">IF(OR(NOT(ISNUMBER($G835)),$G835&lt;2,NOT(ISNUMBER($C834)),$C834=0),"",$C835/$C834-1)</f>
        <v/>
      </c>
      <c r="I835" s="52" t="str">
        <f aca="false">IF(AND(ISNUMBER($G835),$G835&gt;=MA_SHORT),AVERAGE(INDEX($C$435:$C835,402-MA_SHORT):$C835),"")</f>
        <v/>
      </c>
      <c r="J835" s="52" t="str">
        <f aca="false">IF(AND(ISNUMBER($G835),$G835&gt;=MA_MED),AVERAGE(INDEX($C$435:$C835,402-MA_MED):$C835),"")</f>
        <v/>
      </c>
      <c r="K835" s="52" t="str">
        <f aca="false">IF(AND(ISNUMBER($G835),$G835&gt;=MA_LONG2),AVERAGE(INDEX($C$435:$C835,402-MA_LONG2):$C835),"")</f>
        <v/>
      </c>
      <c r="L835" s="53" t="str">
        <f aca="false">IF(AND(ISNUMBER($G835),$G835&gt;=21),STDEV(INDEX($H$775:$H835,62-20):$H835)*SQRT(245),"")</f>
        <v/>
      </c>
      <c r="M835" s="52" t="str">
        <f aca="false">IF(AND(ISNUMBER($G835),$G835&gt;=60),MAX(INDEX($D$635:$D835,202-60):$D835),"")</f>
        <v/>
      </c>
      <c r="N835" s="52" t="str">
        <f aca="false">IF(AND(ISNUMBER($G835),$G835&gt;=60),MIN(INDEX($E$635:$E835,202-60):$E835),"")</f>
        <v/>
      </c>
      <c r="O835" s="53" t="str">
        <f aca="false">IF(OR(NOT(ISNUMBER($C835)),NOT(ISNUMBER($M835)),$M835=0),"",$C835/$M835-1)</f>
        <v/>
      </c>
    </row>
    <row r="836" customFormat="false" ht="15" hidden="false" customHeight="false" outlineLevel="0" collapsed="false">
      <c r="A836" s="55"/>
      <c r="B836" s="56"/>
      <c r="C836" s="57"/>
      <c r="D836" s="56"/>
      <c r="E836" s="56"/>
      <c r="F836" s="56"/>
      <c r="G836" s="50" t="str">
        <f aca="false">IF($A836="","",IF(ISNUMBER($G835),$G835+1,1))</f>
        <v/>
      </c>
      <c r="H836" s="51" t="str">
        <f aca="false">IF(OR(NOT(ISNUMBER($G836)),$G836&lt;2,NOT(ISNUMBER($C835)),$C835=0),"",$C836/$C835-1)</f>
        <v/>
      </c>
      <c r="I836" s="52" t="str">
        <f aca="false">IF(AND(ISNUMBER($G836),$G836&gt;=MA_SHORT),AVERAGE(INDEX($C$436:$C836,402-MA_SHORT):$C836),"")</f>
        <v/>
      </c>
      <c r="J836" s="52" t="str">
        <f aca="false">IF(AND(ISNUMBER($G836),$G836&gt;=MA_MED),AVERAGE(INDEX($C$436:$C836,402-MA_MED):$C836),"")</f>
        <v/>
      </c>
      <c r="K836" s="52" t="str">
        <f aca="false">IF(AND(ISNUMBER($G836),$G836&gt;=MA_LONG2),AVERAGE(INDEX($C$436:$C836,402-MA_LONG2):$C836),"")</f>
        <v/>
      </c>
      <c r="L836" s="53" t="str">
        <f aca="false">IF(AND(ISNUMBER($G836),$G836&gt;=21),STDEV(INDEX($H$776:$H836,62-20):$H836)*SQRT(245),"")</f>
        <v/>
      </c>
      <c r="M836" s="52" t="str">
        <f aca="false">IF(AND(ISNUMBER($G836),$G836&gt;=60),MAX(INDEX($D$636:$D836,202-60):$D836),"")</f>
        <v/>
      </c>
      <c r="N836" s="52" t="str">
        <f aca="false">IF(AND(ISNUMBER($G836),$G836&gt;=60),MIN(INDEX($E$636:$E836,202-60):$E836),"")</f>
        <v/>
      </c>
      <c r="O836" s="53" t="str">
        <f aca="false">IF(OR(NOT(ISNUMBER($C836)),NOT(ISNUMBER($M836)),$M836=0),"",$C836/$M836-1)</f>
        <v/>
      </c>
    </row>
    <row r="837" customFormat="false" ht="15" hidden="false" customHeight="false" outlineLevel="0" collapsed="false">
      <c r="A837" s="55"/>
      <c r="B837" s="56"/>
      <c r="C837" s="57"/>
      <c r="D837" s="56"/>
      <c r="E837" s="56"/>
      <c r="F837" s="56"/>
      <c r="G837" s="50" t="str">
        <f aca="false">IF($A837="","",IF(ISNUMBER($G836),$G836+1,1))</f>
        <v/>
      </c>
      <c r="H837" s="51" t="str">
        <f aca="false">IF(OR(NOT(ISNUMBER($G837)),$G837&lt;2,NOT(ISNUMBER($C836)),$C836=0),"",$C837/$C836-1)</f>
        <v/>
      </c>
      <c r="I837" s="52" t="str">
        <f aca="false">IF(AND(ISNUMBER($G837),$G837&gt;=MA_SHORT),AVERAGE(INDEX($C$437:$C837,402-MA_SHORT):$C837),"")</f>
        <v/>
      </c>
      <c r="J837" s="52" t="str">
        <f aca="false">IF(AND(ISNUMBER($G837),$G837&gt;=MA_MED),AVERAGE(INDEX($C$437:$C837,402-MA_MED):$C837),"")</f>
        <v/>
      </c>
      <c r="K837" s="52" t="str">
        <f aca="false">IF(AND(ISNUMBER($G837),$G837&gt;=MA_LONG2),AVERAGE(INDEX($C$437:$C837,402-MA_LONG2):$C837),"")</f>
        <v/>
      </c>
      <c r="L837" s="53" t="str">
        <f aca="false">IF(AND(ISNUMBER($G837),$G837&gt;=21),STDEV(INDEX($H$777:$H837,62-20):$H837)*SQRT(245),"")</f>
        <v/>
      </c>
      <c r="M837" s="52" t="str">
        <f aca="false">IF(AND(ISNUMBER($G837),$G837&gt;=60),MAX(INDEX($D$637:$D837,202-60):$D837),"")</f>
        <v/>
      </c>
      <c r="N837" s="52" t="str">
        <f aca="false">IF(AND(ISNUMBER($G837),$G837&gt;=60),MIN(INDEX($E$637:$E837,202-60):$E837),"")</f>
        <v/>
      </c>
      <c r="O837" s="53" t="str">
        <f aca="false">IF(OR(NOT(ISNUMBER($C837)),NOT(ISNUMBER($M837)),$M837=0),"",$C837/$M837-1)</f>
        <v/>
      </c>
    </row>
    <row r="838" customFormat="false" ht="15" hidden="false" customHeight="false" outlineLevel="0" collapsed="false">
      <c r="A838" s="55"/>
      <c r="B838" s="56"/>
      <c r="C838" s="57"/>
      <c r="D838" s="56"/>
      <c r="E838" s="56"/>
      <c r="F838" s="56"/>
      <c r="G838" s="50" t="str">
        <f aca="false">IF($A838="","",IF(ISNUMBER($G837),$G837+1,1))</f>
        <v/>
      </c>
      <c r="H838" s="51" t="str">
        <f aca="false">IF(OR(NOT(ISNUMBER($G838)),$G838&lt;2,NOT(ISNUMBER($C837)),$C837=0),"",$C838/$C837-1)</f>
        <v/>
      </c>
      <c r="I838" s="52" t="str">
        <f aca="false">IF(AND(ISNUMBER($G838),$G838&gt;=MA_SHORT),AVERAGE(INDEX($C$438:$C838,402-MA_SHORT):$C838),"")</f>
        <v/>
      </c>
      <c r="J838" s="52" t="str">
        <f aca="false">IF(AND(ISNUMBER($G838),$G838&gt;=MA_MED),AVERAGE(INDEX($C$438:$C838,402-MA_MED):$C838),"")</f>
        <v/>
      </c>
      <c r="K838" s="52" t="str">
        <f aca="false">IF(AND(ISNUMBER($G838),$G838&gt;=MA_LONG2),AVERAGE(INDEX($C$438:$C838,402-MA_LONG2):$C838),"")</f>
        <v/>
      </c>
      <c r="L838" s="53" t="str">
        <f aca="false">IF(AND(ISNUMBER($G838),$G838&gt;=21),STDEV(INDEX($H$778:$H838,62-20):$H838)*SQRT(245),"")</f>
        <v/>
      </c>
      <c r="M838" s="52" t="str">
        <f aca="false">IF(AND(ISNUMBER($G838),$G838&gt;=60),MAX(INDEX($D$638:$D838,202-60):$D838),"")</f>
        <v/>
      </c>
      <c r="N838" s="52" t="str">
        <f aca="false">IF(AND(ISNUMBER($G838),$G838&gt;=60),MIN(INDEX($E$638:$E838,202-60):$E838),"")</f>
        <v/>
      </c>
      <c r="O838" s="53" t="str">
        <f aca="false">IF(OR(NOT(ISNUMBER($C838)),NOT(ISNUMBER($M838)),$M838=0),"",$C838/$M838-1)</f>
        <v/>
      </c>
    </row>
    <row r="839" customFormat="false" ht="15" hidden="false" customHeight="false" outlineLevel="0" collapsed="false">
      <c r="A839" s="55"/>
      <c r="B839" s="56"/>
      <c r="C839" s="57"/>
      <c r="D839" s="56"/>
      <c r="E839" s="56"/>
      <c r="F839" s="56"/>
      <c r="G839" s="50" t="str">
        <f aca="false">IF($A839="","",IF(ISNUMBER($G838),$G838+1,1))</f>
        <v/>
      </c>
      <c r="H839" s="51" t="str">
        <f aca="false">IF(OR(NOT(ISNUMBER($G839)),$G839&lt;2,NOT(ISNUMBER($C838)),$C838=0),"",$C839/$C838-1)</f>
        <v/>
      </c>
      <c r="I839" s="52" t="str">
        <f aca="false">IF(AND(ISNUMBER($G839),$G839&gt;=MA_SHORT),AVERAGE(INDEX($C$439:$C839,402-MA_SHORT):$C839),"")</f>
        <v/>
      </c>
      <c r="J839" s="52" t="str">
        <f aca="false">IF(AND(ISNUMBER($G839),$G839&gt;=MA_MED),AVERAGE(INDEX($C$439:$C839,402-MA_MED):$C839),"")</f>
        <v/>
      </c>
      <c r="K839" s="52" t="str">
        <f aca="false">IF(AND(ISNUMBER($G839),$G839&gt;=MA_LONG2),AVERAGE(INDEX($C$439:$C839,402-MA_LONG2):$C839),"")</f>
        <v/>
      </c>
      <c r="L839" s="53" t="str">
        <f aca="false">IF(AND(ISNUMBER($G839),$G839&gt;=21),STDEV(INDEX($H$779:$H839,62-20):$H839)*SQRT(245),"")</f>
        <v/>
      </c>
      <c r="M839" s="52" t="str">
        <f aca="false">IF(AND(ISNUMBER($G839),$G839&gt;=60),MAX(INDEX($D$639:$D839,202-60):$D839),"")</f>
        <v/>
      </c>
      <c r="N839" s="52" t="str">
        <f aca="false">IF(AND(ISNUMBER($G839),$G839&gt;=60),MIN(INDEX($E$639:$E839,202-60):$E839),"")</f>
        <v/>
      </c>
      <c r="O839" s="53" t="str">
        <f aca="false">IF(OR(NOT(ISNUMBER($C839)),NOT(ISNUMBER($M839)),$M839=0),"",$C839/$M839-1)</f>
        <v/>
      </c>
    </row>
    <row r="840" customFormat="false" ht="15" hidden="false" customHeight="false" outlineLevel="0" collapsed="false">
      <c r="A840" s="55"/>
      <c r="B840" s="56"/>
      <c r="C840" s="57"/>
      <c r="D840" s="56"/>
      <c r="E840" s="56"/>
      <c r="F840" s="56"/>
      <c r="G840" s="50" t="str">
        <f aca="false">IF($A840="","",IF(ISNUMBER($G839),$G839+1,1))</f>
        <v/>
      </c>
      <c r="H840" s="51" t="str">
        <f aca="false">IF(OR(NOT(ISNUMBER($G840)),$G840&lt;2,NOT(ISNUMBER($C839)),$C839=0),"",$C840/$C839-1)</f>
        <v/>
      </c>
      <c r="I840" s="52" t="str">
        <f aca="false">IF(AND(ISNUMBER($G840),$G840&gt;=MA_SHORT),AVERAGE(INDEX($C$440:$C840,402-MA_SHORT):$C840),"")</f>
        <v/>
      </c>
      <c r="J840" s="52" t="str">
        <f aca="false">IF(AND(ISNUMBER($G840),$G840&gt;=MA_MED),AVERAGE(INDEX($C$440:$C840,402-MA_MED):$C840),"")</f>
        <v/>
      </c>
      <c r="K840" s="52" t="str">
        <f aca="false">IF(AND(ISNUMBER($G840),$G840&gt;=MA_LONG2),AVERAGE(INDEX($C$440:$C840,402-MA_LONG2):$C840),"")</f>
        <v/>
      </c>
      <c r="L840" s="53" t="str">
        <f aca="false">IF(AND(ISNUMBER($G840),$G840&gt;=21),STDEV(INDEX($H$780:$H840,62-20):$H840)*SQRT(245),"")</f>
        <v/>
      </c>
      <c r="M840" s="52" t="str">
        <f aca="false">IF(AND(ISNUMBER($G840),$G840&gt;=60),MAX(INDEX($D$640:$D840,202-60):$D840),"")</f>
        <v/>
      </c>
      <c r="N840" s="52" t="str">
        <f aca="false">IF(AND(ISNUMBER($G840),$G840&gt;=60),MIN(INDEX($E$640:$E840,202-60):$E840),"")</f>
        <v/>
      </c>
      <c r="O840" s="53" t="str">
        <f aca="false">IF(OR(NOT(ISNUMBER($C840)),NOT(ISNUMBER($M840)),$M840=0),"",$C840/$M840-1)</f>
        <v/>
      </c>
    </row>
    <row r="841" customFormat="false" ht="15" hidden="false" customHeight="false" outlineLevel="0" collapsed="false">
      <c r="A841" s="55"/>
      <c r="B841" s="56"/>
      <c r="C841" s="57"/>
      <c r="D841" s="56"/>
      <c r="E841" s="56"/>
      <c r="F841" s="56"/>
      <c r="G841" s="50" t="str">
        <f aca="false">IF($A841="","",IF(ISNUMBER($G840),$G840+1,1))</f>
        <v/>
      </c>
      <c r="H841" s="51" t="str">
        <f aca="false">IF(OR(NOT(ISNUMBER($G841)),$G841&lt;2,NOT(ISNUMBER($C840)),$C840=0),"",$C841/$C840-1)</f>
        <v/>
      </c>
      <c r="I841" s="52" t="str">
        <f aca="false">IF(AND(ISNUMBER($G841),$G841&gt;=MA_SHORT),AVERAGE(INDEX($C$441:$C841,402-MA_SHORT):$C841),"")</f>
        <v/>
      </c>
      <c r="J841" s="52" t="str">
        <f aca="false">IF(AND(ISNUMBER($G841),$G841&gt;=MA_MED),AVERAGE(INDEX($C$441:$C841,402-MA_MED):$C841),"")</f>
        <v/>
      </c>
      <c r="K841" s="52" t="str">
        <f aca="false">IF(AND(ISNUMBER($G841),$G841&gt;=MA_LONG2),AVERAGE(INDEX($C$441:$C841,402-MA_LONG2):$C841),"")</f>
        <v/>
      </c>
      <c r="L841" s="53" t="str">
        <f aca="false">IF(AND(ISNUMBER($G841),$G841&gt;=21),STDEV(INDEX($H$781:$H841,62-20):$H841)*SQRT(245),"")</f>
        <v/>
      </c>
      <c r="M841" s="52" t="str">
        <f aca="false">IF(AND(ISNUMBER($G841),$G841&gt;=60),MAX(INDEX($D$641:$D841,202-60):$D841),"")</f>
        <v/>
      </c>
      <c r="N841" s="52" t="str">
        <f aca="false">IF(AND(ISNUMBER($G841),$G841&gt;=60),MIN(INDEX($E$641:$E841,202-60):$E841),"")</f>
        <v/>
      </c>
      <c r="O841" s="53" t="str">
        <f aca="false">IF(OR(NOT(ISNUMBER($C841)),NOT(ISNUMBER($M841)),$M841=0),"",$C841/$M841-1)</f>
        <v/>
      </c>
    </row>
    <row r="842" customFormat="false" ht="15" hidden="false" customHeight="false" outlineLevel="0" collapsed="false">
      <c r="A842" s="55"/>
      <c r="B842" s="56"/>
      <c r="C842" s="57"/>
      <c r="D842" s="56"/>
      <c r="E842" s="56"/>
      <c r="F842" s="56"/>
      <c r="G842" s="50" t="str">
        <f aca="false">IF($A842="","",IF(ISNUMBER($G841),$G841+1,1))</f>
        <v/>
      </c>
      <c r="H842" s="51" t="str">
        <f aca="false">IF(OR(NOT(ISNUMBER($G842)),$G842&lt;2,NOT(ISNUMBER($C841)),$C841=0),"",$C842/$C841-1)</f>
        <v/>
      </c>
      <c r="I842" s="52" t="str">
        <f aca="false">IF(AND(ISNUMBER($G842),$G842&gt;=MA_SHORT),AVERAGE(INDEX($C$442:$C842,402-MA_SHORT):$C842),"")</f>
        <v/>
      </c>
      <c r="J842" s="52" t="str">
        <f aca="false">IF(AND(ISNUMBER($G842),$G842&gt;=MA_MED),AVERAGE(INDEX($C$442:$C842,402-MA_MED):$C842),"")</f>
        <v/>
      </c>
      <c r="K842" s="52" t="str">
        <f aca="false">IF(AND(ISNUMBER($G842),$G842&gt;=MA_LONG2),AVERAGE(INDEX($C$442:$C842,402-MA_LONG2):$C842),"")</f>
        <v/>
      </c>
      <c r="L842" s="53" t="str">
        <f aca="false">IF(AND(ISNUMBER($G842),$G842&gt;=21),STDEV(INDEX($H$782:$H842,62-20):$H842)*SQRT(245),"")</f>
        <v/>
      </c>
      <c r="M842" s="52" t="str">
        <f aca="false">IF(AND(ISNUMBER($G842),$G842&gt;=60),MAX(INDEX($D$642:$D842,202-60):$D842),"")</f>
        <v/>
      </c>
      <c r="N842" s="52" t="str">
        <f aca="false">IF(AND(ISNUMBER($G842),$G842&gt;=60),MIN(INDEX($E$642:$E842,202-60):$E842),"")</f>
        <v/>
      </c>
      <c r="O842" s="53" t="str">
        <f aca="false">IF(OR(NOT(ISNUMBER($C842)),NOT(ISNUMBER($M842)),$M842=0),"",$C842/$M842-1)</f>
        <v/>
      </c>
    </row>
    <row r="843" customFormat="false" ht="15" hidden="false" customHeight="false" outlineLevel="0" collapsed="false">
      <c r="A843" s="55"/>
      <c r="B843" s="56"/>
      <c r="C843" s="57"/>
      <c r="D843" s="56"/>
      <c r="E843" s="56"/>
      <c r="F843" s="56"/>
      <c r="G843" s="50" t="str">
        <f aca="false">IF($A843="","",IF(ISNUMBER($G842),$G842+1,1))</f>
        <v/>
      </c>
      <c r="H843" s="51" t="str">
        <f aca="false">IF(OR(NOT(ISNUMBER($G843)),$G843&lt;2,NOT(ISNUMBER($C842)),$C842=0),"",$C843/$C842-1)</f>
        <v/>
      </c>
      <c r="I843" s="52" t="str">
        <f aca="false">IF(AND(ISNUMBER($G843),$G843&gt;=MA_SHORT),AVERAGE(INDEX($C$443:$C843,402-MA_SHORT):$C843),"")</f>
        <v/>
      </c>
      <c r="J843" s="52" t="str">
        <f aca="false">IF(AND(ISNUMBER($G843),$G843&gt;=MA_MED),AVERAGE(INDEX($C$443:$C843,402-MA_MED):$C843),"")</f>
        <v/>
      </c>
      <c r="K843" s="52" t="str">
        <f aca="false">IF(AND(ISNUMBER($G843),$G843&gt;=MA_LONG2),AVERAGE(INDEX($C$443:$C843,402-MA_LONG2):$C843),"")</f>
        <v/>
      </c>
      <c r="L843" s="53" t="str">
        <f aca="false">IF(AND(ISNUMBER($G843),$G843&gt;=21),STDEV(INDEX($H$783:$H843,62-20):$H843)*SQRT(245),"")</f>
        <v/>
      </c>
      <c r="M843" s="52" t="str">
        <f aca="false">IF(AND(ISNUMBER($G843),$G843&gt;=60),MAX(INDEX($D$643:$D843,202-60):$D843),"")</f>
        <v/>
      </c>
      <c r="N843" s="52" t="str">
        <f aca="false">IF(AND(ISNUMBER($G843),$G843&gt;=60),MIN(INDEX($E$643:$E843,202-60):$E843),"")</f>
        <v/>
      </c>
      <c r="O843" s="53" t="str">
        <f aca="false">IF(OR(NOT(ISNUMBER($C843)),NOT(ISNUMBER($M843)),$M843=0),"",$C843/$M843-1)</f>
        <v/>
      </c>
    </row>
    <row r="844" customFormat="false" ht="15" hidden="false" customHeight="false" outlineLevel="0" collapsed="false">
      <c r="A844" s="55"/>
      <c r="B844" s="56"/>
      <c r="C844" s="57"/>
      <c r="D844" s="56"/>
      <c r="E844" s="56"/>
      <c r="F844" s="56"/>
      <c r="G844" s="50" t="str">
        <f aca="false">IF($A844="","",IF(ISNUMBER($G843),$G843+1,1))</f>
        <v/>
      </c>
      <c r="H844" s="51" t="str">
        <f aca="false">IF(OR(NOT(ISNUMBER($G844)),$G844&lt;2,NOT(ISNUMBER($C843)),$C843=0),"",$C844/$C843-1)</f>
        <v/>
      </c>
      <c r="I844" s="52" t="str">
        <f aca="false">IF(AND(ISNUMBER($G844),$G844&gt;=MA_SHORT),AVERAGE(INDEX($C$444:$C844,402-MA_SHORT):$C844),"")</f>
        <v/>
      </c>
      <c r="J844" s="52" t="str">
        <f aca="false">IF(AND(ISNUMBER($G844),$G844&gt;=MA_MED),AVERAGE(INDEX($C$444:$C844,402-MA_MED):$C844),"")</f>
        <v/>
      </c>
      <c r="K844" s="52" t="str">
        <f aca="false">IF(AND(ISNUMBER($G844),$G844&gt;=MA_LONG2),AVERAGE(INDEX($C$444:$C844,402-MA_LONG2):$C844),"")</f>
        <v/>
      </c>
      <c r="L844" s="53" t="str">
        <f aca="false">IF(AND(ISNUMBER($G844),$G844&gt;=21),STDEV(INDEX($H$784:$H844,62-20):$H844)*SQRT(245),"")</f>
        <v/>
      </c>
      <c r="M844" s="52" t="str">
        <f aca="false">IF(AND(ISNUMBER($G844),$G844&gt;=60),MAX(INDEX($D$644:$D844,202-60):$D844),"")</f>
        <v/>
      </c>
      <c r="N844" s="52" t="str">
        <f aca="false">IF(AND(ISNUMBER($G844),$G844&gt;=60),MIN(INDEX($E$644:$E844,202-60):$E844),"")</f>
        <v/>
      </c>
      <c r="O844" s="53" t="str">
        <f aca="false">IF(OR(NOT(ISNUMBER($C844)),NOT(ISNUMBER($M844)),$M844=0),"",$C844/$M844-1)</f>
        <v/>
      </c>
    </row>
    <row r="845" customFormat="false" ht="15" hidden="false" customHeight="false" outlineLevel="0" collapsed="false">
      <c r="A845" s="55"/>
      <c r="B845" s="56"/>
      <c r="C845" s="57"/>
      <c r="D845" s="56"/>
      <c r="E845" s="56"/>
      <c r="F845" s="56"/>
      <c r="G845" s="50" t="str">
        <f aca="false">IF($A845="","",IF(ISNUMBER($G844),$G844+1,1))</f>
        <v/>
      </c>
      <c r="H845" s="51" t="str">
        <f aca="false">IF(OR(NOT(ISNUMBER($G845)),$G845&lt;2,NOT(ISNUMBER($C844)),$C844=0),"",$C845/$C844-1)</f>
        <v/>
      </c>
      <c r="I845" s="52" t="str">
        <f aca="false">IF(AND(ISNUMBER($G845),$G845&gt;=MA_SHORT),AVERAGE(INDEX($C$445:$C845,402-MA_SHORT):$C845),"")</f>
        <v/>
      </c>
      <c r="J845" s="52" t="str">
        <f aca="false">IF(AND(ISNUMBER($G845),$G845&gt;=MA_MED),AVERAGE(INDEX($C$445:$C845,402-MA_MED):$C845),"")</f>
        <v/>
      </c>
      <c r="K845" s="52" t="str">
        <f aca="false">IF(AND(ISNUMBER($G845),$G845&gt;=MA_LONG2),AVERAGE(INDEX($C$445:$C845,402-MA_LONG2):$C845),"")</f>
        <v/>
      </c>
      <c r="L845" s="53" t="str">
        <f aca="false">IF(AND(ISNUMBER($G845),$G845&gt;=21),STDEV(INDEX($H$785:$H845,62-20):$H845)*SQRT(245),"")</f>
        <v/>
      </c>
      <c r="M845" s="52" t="str">
        <f aca="false">IF(AND(ISNUMBER($G845),$G845&gt;=60),MAX(INDEX($D$645:$D845,202-60):$D845),"")</f>
        <v/>
      </c>
      <c r="N845" s="52" t="str">
        <f aca="false">IF(AND(ISNUMBER($G845),$G845&gt;=60),MIN(INDEX($E$645:$E845,202-60):$E845),"")</f>
        <v/>
      </c>
      <c r="O845" s="53" t="str">
        <f aca="false">IF(OR(NOT(ISNUMBER($C845)),NOT(ISNUMBER($M845)),$M845=0),"",$C845/$M845-1)</f>
        <v/>
      </c>
    </row>
    <row r="846" customFormat="false" ht="15" hidden="false" customHeight="false" outlineLevel="0" collapsed="false">
      <c r="A846" s="55"/>
      <c r="B846" s="56"/>
      <c r="C846" s="57"/>
      <c r="D846" s="56"/>
      <c r="E846" s="56"/>
      <c r="F846" s="56"/>
      <c r="G846" s="50" t="str">
        <f aca="false">IF($A846="","",IF(ISNUMBER($G845),$G845+1,1))</f>
        <v/>
      </c>
      <c r="H846" s="51" t="str">
        <f aca="false">IF(OR(NOT(ISNUMBER($G846)),$G846&lt;2,NOT(ISNUMBER($C845)),$C845=0),"",$C846/$C845-1)</f>
        <v/>
      </c>
      <c r="I846" s="52" t="str">
        <f aca="false">IF(AND(ISNUMBER($G846),$G846&gt;=MA_SHORT),AVERAGE(INDEX($C$446:$C846,402-MA_SHORT):$C846),"")</f>
        <v/>
      </c>
      <c r="J846" s="52" t="str">
        <f aca="false">IF(AND(ISNUMBER($G846),$G846&gt;=MA_MED),AVERAGE(INDEX($C$446:$C846,402-MA_MED):$C846),"")</f>
        <v/>
      </c>
      <c r="K846" s="52" t="str">
        <f aca="false">IF(AND(ISNUMBER($G846),$G846&gt;=MA_LONG2),AVERAGE(INDEX($C$446:$C846,402-MA_LONG2):$C846),"")</f>
        <v/>
      </c>
      <c r="L846" s="53" t="str">
        <f aca="false">IF(AND(ISNUMBER($G846),$G846&gt;=21),STDEV(INDEX($H$786:$H846,62-20):$H846)*SQRT(245),"")</f>
        <v/>
      </c>
      <c r="M846" s="52" t="str">
        <f aca="false">IF(AND(ISNUMBER($G846),$G846&gt;=60),MAX(INDEX($D$646:$D846,202-60):$D846),"")</f>
        <v/>
      </c>
      <c r="N846" s="52" t="str">
        <f aca="false">IF(AND(ISNUMBER($G846),$G846&gt;=60),MIN(INDEX($E$646:$E846,202-60):$E846),"")</f>
        <v/>
      </c>
      <c r="O846" s="53" t="str">
        <f aca="false">IF(OR(NOT(ISNUMBER($C846)),NOT(ISNUMBER($M846)),$M846=0),"",$C846/$M846-1)</f>
        <v/>
      </c>
    </row>
    <row r="847" customFormat="false" ht="15" hidden="false" customHeight="false" outlineLevel="0" collapsed="false">
      <c r="A847" s="55"/>
      <c r="B847" s="56"/>
      <c r="C847" s="57"/>
      <c r="D847" s="56"/>
      <c r="E847" s="56"/>
      <c r="F847" s="56"/>
      <c r="G847" s="50" t="str">
        <f aca="false">IF($A847="","",IF(ISNUMBER($G846),$G846+1,1))</f>
        <v/>
      </c>
      <c r="H847" s="51" t="str">
        <f aca="false">IF(OR(NOT(ISNUMBER($G847)),$G847&lt;2,NOT(ISNUMBER($C846)),$C846=0),"",$C847/$C846-1)</f>
        <v/>
      </c>
      <c r="I847" s="52" t="str">
        <f aca="false">IF(AND(ISNUMBER($G847),$G847&gt;=MA_SHORT),AVERAGE(INDEX($C$447:$C847,402-MA_SHORT):$C847),"")</f>
        <v/>
      </c>
      <c r="J847" s="52" t="str">
        <f aca="false">IF(AND(ISNUMBER($G847),$G847&gt;=MA_MED),AVERAGE(INDEX($C$447:$C847,402-MA_MED):$C847),"")</f>
        <v/>
      </c>
      <c r="K847" s="52" t="str">
        <f aca="false">IF(AND(ISNUMBER($G847),$G847&gt;=MA_LONG2),AVERAGE(INDEX($C$447:$C847,402-MA_LONG2):$C847),"")</f>
        <v/>
      </c>
      <c r="L847" s="53" t="str">
        <f aca="false">IF(AND(ISNUMBER($G847),$G847&gt;=21),STDEV(INDEX($H$787:$H847,62-20):$H847)*SQRT(245),"")</f>
        <v/>
      </c>
      <c r="M847" s="52" t="str">
        <f aca="false">IF(AND(ISNUMBER($G847),$G847&gt;=60),MAX(INDEX($D$647:$D847,202-60):$D847),"")</f>
        <v/>
      </c>
      <c r="N847" s="52" t="str">
        <f aca="false">IF(AND(ISNUMBER($G847),$G847&gt;=60),MIN(INDEX($E$647:$E847,202-60):$E847),"")</f>
        <v/>
      </c>
      <c r="O847" s="53" t="str">
        <f aca="false">IF(OR(NOT(ISNUMBER($C847)),NOT(ISNUMBER($M847)),$M847=0),"",$C847/$M847-1)</f>
        <v/>
      </c>
    </row>
    <row r="848" customFormat="false" ht="15" hidden="false" customHeight="false" outlineLevel="0" collapsed="false">
      <c r="A848" s="55"/>
      <c r="B848" s="56"/>
      <c r="C848" s="57"/>
      <c r="D848" s="56"/>
      <c r="E848" s="56"/>
      <c r="F848" s="56"/>
      <c r="G848" s="50" t="str">
        <f aca="false">IF($A848="","",IF(ISNUMBER($G847),$G847+1,1))</f>
        <v/>
      </c>
      <c r="H848" s="51" t="str">
        <f aca="false">IF(OR(NOT(ISNUMBER($G848)),$G848&lt;2,NOT(ISNUMBER($C847)),$C847=0),"",$C848/$C847-1)</f>
        <v/>
      </c>
      <c r="I848" s="52" t="str">
        <f aca="false">IF(AND(ISNUMBER($G848),$G848&gt;=MA_SHORT),AVERAGE(INDEX($C$448:$C848,402-MA_SHORT):$C848),"")</f>
        <v/>
      </c>
      <c r="J848" s="52" t="str">
        <f aca="false">IF(AND(ISNUMBER($G848),$G848&gt;=MA_MED),AVERAGE(INDEX($C$448:$C848,402-MA_MED):$C848),"")</f>
        <v/>
      </c>
      <c r="K848" s="52" t="str">
        <f aca="false">IF(AND(ISNUMBER($G848),$G848&gt;=MA_LONG2),AVERAGE(INDEX($C$448:$C848,402-MA_LONG2):$C848),"")</f>
        <v/>
      </c>
      <c r="L848" s="53" t="str">
        <f aca="false">IF(AND(ISNUMBER($G848),$G848&gt;=21),STDEV(INDEX($H$788:$H848,62-20):$H848)*SQRT(245),"")</f>
        <v/>
      </c>
      <c r="M848" s="52" t="str">
        <f aca="false">IF(AND(ISNUMBER($G848),$G848&gt;=60),MAX(INDEX($D$648:$D848,202-60):$D848),"")</f>
        <v/>
      </c>
      <c r="N848" s="52" t="str">
        <f aca="false">IF(AND(ISNUMBER($G848),$G848&gt;=60),MIN(INDEX($E$648:$E848,202-60):$E848),"")</f>
        <v/>
      </c>
      <c r="O848" s="53" t="str">
        <f aca="false">IF(OR(NOT(ISNUMBER($C848)),NOT(ISNUMBER($M848)),$M848=0),"",$C848/$M848-1)</f>
        <v/>
      </c>
    </row>
    <row r="849" customFormat="false" ht="15" hidden="false" customHeight="false" outlineLevel="0" collapsed="false">
      <c r="A849" s="55"/>
      <c r="B849" s="56"/>
      <c r="C849" s="57"/>
      <c r="D849" s="56"/>
      <c r="E849" s="56"/>
      <c r="F849" s="56"/>
      <c r="G849" s="50" t="str">
        <f aca="false">IF($A849="","",IF(ISNUMBER($G848),$G848+1,1))</f>
        <v/>
      </c>
      <c r="H849" s="51" t="str">
        <f aca="false">IF(OR(NOT(ISNUMBER($G849)),$G849&lt;2,NOT(ISNUMBER($C848)),$C848=0),"",$C849/$C848-1)</f>
        <v/>
      </c>
      <c r="I849" s="52" t="str">
        <f aca="false">IF(AND(ISNUMBER($G849),$G849&gt;=MA_SHORT),AVERAGE(INDEX($C$449:$C849,402-MA_SHORT):$C849),"")</f>
        <v/>
      </c>
      <c r="J849" s="52" t="str">
        <f aca="false">IF(AND(ISNUMBER($G849),$G849&gt;=MA_MED),AVERAGE(INDEX($C$449:$C849,402-MA_MED):$C849),"")</f>
        <v/>
      </c>
      <c r="K849" s="52" t="str">
        <f aca="false">IF(AND(ISNUMBER($G849),$G849&gt;=MA_LONG2),AVERAGE(INDEX($C$449:$C849,402-MA_LONG2):$C849),"")</f>
        <v/>
      </c>
      <c r="L849" s="53" t="str">
        <f aca="false">IF(AND(ISNUMBER($G849),$G849&gt;=21),STDEV(INDEX($H$789:$H849,62-20):$H849)*SQRT(245),"")</f>
        <v/>
      </c>
      <c r="M849" s="52" t="str">
        <f aca="false">IF(AND(ISNUMBER($G849),$G849&gt;=60),MAX(INDEX($D$649:$D849,202-60):$D849),"")</f>
        <v/>
      </c>
      <c r="N849" s="52" t="str">
        <f aca="false">IF(AND(ISNUMBER($G849),$G849&gt;=60),MIN(INDEX($E$649:$E849,202-60):$E849),"")</f>
        <v/>
      </c>
      <c r="O849" s="53" t="str">
        <f aca="false">IF(OR(NOT(ISNUMBER($C849)),NOT(ISNUMBER($M849)),$M849=0),"",$C849/$M849-1)</f>
        <v/>
      </c>
    </row>
    <row r="850" customFormat="false" ht="15" hidden="false" customHeight="false" outlineLevel="0" collapsed="false">
      <c r="A850" s="55"/>
      <c r="B850" s="56"/>
      <c r="C850" s="57"/>
      <c r="D850" s="56"/>
      <c r="E850" s="56"/>
      <c r="F850" s="56"/>
      <c r="G850" s="50" t="str">
        <f aca="false">IF($A850="","",IF(ISNUMBER($G849),$G849+1,1))</f>
        <v/>
      </c>
      <c r="H850" s="51" t="str">
        <f aca="false">IF(OR(NOT(ISNUMBER($G850)),$G850&lt;2,NOT(ISNUMBER($C849)),$C849=0),"",$C850/$C849-1)</f>
        <v/>
      </c>
      <c r="I850" s="52" t="str">
        <f aca="false">IF(AND(ISNUMBER($G850),$G850&gt;=MA_SHORT),AVERAGE(INDEX($C$450:$C850,402-MA_SHORT):$C850),"")</f>
        <v/>
      </c>
      <c r="J850" s="52" t="str">
        <f aca="false">IF(AND(ISNUMBER($G850),$G850&gt;=MA_MED),AVERAGE(INDEX($C$450:$C850,402-MA_MED):$C850),"")</f>
        <v/>
      </c>
      <c r="K850" s="52" t="str">
        <f aca="false">IF(AND(ISNUMBER($G850),$G850&gt;=MA_LONG2),AVERAGE(INDEX($C$450:$C850,402-MA_LONG2):$C850),"")</f>
        <v/>
      </c>
      <c r="L850" s="53" t="str">
        <f aca="false">IF(AND(ISNUMBER($G850),$G850&gt;=21),STDEV(INDEX($H$790:$H850,62-20):$H850)*SQRT(245),"")</f>
        <v/>
      </c>
      <c r="M850" s="52" t="str">
        <f aca="false">IF(AND(ISNUMBER($G850),$G850&gt;=60),MAX(INDEX($D$650:$D850,202-60):$D850),"")</f>
        <v/>
      </c>
      <c r="N850" s="52" t="str">
        <f aca="false">IF(AND(ISNUMBER($G850),$G850&gt;=60),MIN(INDEX($E$650:$E850,202-60):$E850),"")</f>
        <v/>
      </c>
      <c r="O850" s="53" t="str">
        <f aca="false">IF(OR(NOT(ISNUMBER($C850)),NOT(ISNUMBER($M850)),$M850=0),"",$C850/$M850-1)</f>
        <v/>
      </c>
    </row>
    <row r="851" customFormat="false" ht="15" hidden="false" customHeight="false" outlineLevel="0" collapsed="false">
      <c r="A851" s="55"/>
      <c r="B851" s="56"/>
      <c r="C851" s="57"/>
      <c r="D851" s="56"/>
      <c r="E851" s="56"/>
      <c r="F851" s="56"/>
      <c r="G851" s="50" t="str">
        <f aca="false">IF($A851="","",IF(ISNUMBER($G850),$G850+1,1))</f>
        <v/>
      </c>
      <c r="H851" s="51" t="str">
        <f aca="false">IF(OR(NOT(ISNUMBER($G851)),$G851&lt;2,NOT(ISNUMBER($C850)),$C850=0),"",$C851/$C850-1)</f>
        <v/>
      </c>
      <c r="I851" s="52" t="str">
        <f aca="false">IF(AND(ISNUMBER($G851),$G851&gt;=MA_SHORT),AVERAGE(INDEX($C$451:$C851,402-MA_SHORT):$C851),"")</f>
        <v/>
      </c>
      <c r="J851" s="52" t="str">
        <f aca="false">IF(AND(ISNUMBER($G851),$G851&gt;=MA_MED),AVERAGE(INDEX($C$451:$C851,402-MA_MED):$C851),"")</f>
        <v/>
      </c>
      <c r="K851" s="52" t="str">
        <f aca="false">IF(AND(ISNUMBER($G851),$G851&gt;=MA_LONG2),AVERAGE(INDEX($C$451:$C851,402-MA_LONG2):$C851),"")</f>
        <v/>
      </c>
      <c r="L851" s="53" t="str">
        <f aca="false">IF(AND(ISNUMBER($G851),$G851&gt;=21),STDEV(INDEX($H$791:$H851,62-20):$H851)*SQRT(245),"")</f>
        <v/>
      </c>
      <c r="M851" s="52" t="str">
        <f aca="false">IF(AND(ISNUMBER($G851),$G851&gt;=60),MAX(INDEX($D$651:$D851,202-60):$D851),"")</f>
        <v/>
      </c>
      <c r="N851" s="52" t="str">
        <f aca="false">IF(AND(ISNUMBER($G851),$G851&gt;=60),MIN(INDEX($E$651:$E851,202-60):$E851),"")</f>
        <v/>
      </c>
      <c r="O851" s="53" t="str">
        <f aca="false">IF(OR(NOT(ISNUMBER($C851)),NOT(ISNUMBER($M851)),$M851=0),"",$C851/$M851-1)</f>
        <v/>
      </c>
    </row>
    <row r="852" customFormat="false" ht="15" hidden="false" customHeight="false" outlineLevel="0" collapsed="false">
      <c r="A852" s="55"/>
      <c r="B852" s="56"/>
      <c r="C852" s="57"/>
      <c r="D852" s="56"/>
      <c r="E852" s="56"/>
      <c r="F852" s="56"/>
      <c r="G852" s="50" t="str">
        <f aca="false">IF($A852="","",IF(ISNUMBER($G851),$G851+1,1))</f>
        <v/>
      </c>
      <c r="H852" s="51" t="str">
        <f aca="false">IF(OR(NOT(ISNUMBER($G852)),$G852&lt;2,NOT(ISNUMBER($C851)),$C851=0),"",$C852/$C851-1)</f>
        <v/>
      </c>
      <c r="I852" s="52" t="str">
        <f aca="false">IF(AND(ISNUMBER($G852),$G852&gt;=MA_SHORT),AVERAGE(INDEX($C$452:$C852,402-MA_SHORT):$C852),"")</f>
        <v/>
      </c>
      <c r="J852" s="52" t="str">
        <f aca="false">IF(AND(ISNUMBER($G852),$G852&gt;=MA_MED),AVERAGE(INDEX($C$452:$C852,402-MA_MED):$C852),"")</f>
        <v/>
      </c>
      <c r="K852" s="52" t="str">
        <f aca="false">IF(AND(ISNUMBER($G852),$G852&gt;=MA_LONG2),AVERAGE(INDEX($C$452:$C852,402-MA_LONG2):$C852),"")</f>
        <v/>
      </c>
      <c r="L852" s="53" t="str">
        <f aca="false">IF(AND(ISNUMBER($G852),$G852&gt;=21),STDEV(INDEX($H$792:$H852,62-20):$H852)*SQRT(245),"")</f>
        <v/>
      </c>
      <c r="M852" s="52" t="str">
        <f aca="false">IF(AND(ISNUMBER($G852),$G852&gt;=60),MAX(INDEX($D$652:$D852,202-60):$D852),"")</f>
        <v/>
      </c>
      <c r="N852" s="52" t="str">
        <f aca="false">IF(AND(ISNUMBER($G852),$G852&gt;=60),MIN(INDEX($E$652:$E852,202-60):$E852),"")</f>
        <v/>
      </c>
      <c r="O852" s="53" t="str">
        <f aca="false">IF(OR(NOT(ISNUMBER($C852)),NOT(ISNUMBER($M852)),$M852=0),"",$C852/$M852-1)</f>
        <v/>
      </c>
    </row>
    <row r="853" customFormat="false" ht="15" hidden="false" customHeight="false" outlineLevel="0" collapsed="false">
      <c r="A853" s="55"/>
      <c r="B853" s="56"/>
      <c r="C853" s="57"/>
      <c r="D853" s="56"/>
      <c r="E853" s="56"/>
      <c r="F853" s="56"/>
      <c r="G853" s="50" t="str">
        <f aca="false">IF($A853="","",IF(ISNUMBER($G852),$G852+1,1))</f>
        <v/>
      </c>
      <c r="H853" s="51" t="str">
        <f aca="false">IF(OR(NOT(ISNUMBER($G853)),$G853&lt;2,NOT(ISNUMBER($C852)),$C852=0),"",$C853/$C852-1)</f>
        <v/>
      </c>
      <c r="I853" s="52" t="str">
        <f aca="false">IF(AND(ISNUMBER($G853),$G853&gt;=MA_SHORT),AVERAGE(INDEX($C$453:$C853,402-MA_SHORT):$C853),"")</f>
        <v/>
      </c>
      <c r="J853" s="52" t="str">
        <f aca="false">IF(AND(ISNUMBER($G853),$G853&gt;=MA_MED),AVERAGE(INDEX($C$453:$C853,402-MA_MED):$C853),"")</f>
        <v/>
      </c>
      <c r="K853" s="52" t="str">
        <f aca="false">IF(AND(ISNUMBER($G853),$G853&gt;=MA_LONG2),AVERAGE(INDEX($C$453:$C853,402-MA_LONG2):$C853),"")</f>
        <v/>
      </c>
      <c r="L853" s="53" t="str">
        <f aca="false">IF(AND(ISNUMBER($G853),$G853&gt;=21),STDEV(INDEX($H$793:$H853,62-20):$H853)*SQRT(245),"")</f>
        <v/>
      </c>
      <c r="M853" s="52" t="str">
        <f aca="false">IF(AND(ISNUMBER($G853),$G853&gt;=60),MAX(INDEX($D$653:$D853,202-60):$D853),"")</f>
        <v/>
      </c>
      <c r="N853" s="52" t="str">
        <f aca="false">IF(AND(ISNUMBER($G853),$G853&gt;=60),MIN(INDEX($E$653:$E853,202-60):$E853),"")</f>
        <v/>
      </c>
      <c r="O853" s="53" t="str">
        <f aca="false">IF(OR(NOT(ISNUMBER($C853)),NOT(ISNUMBER($M853)),$M853=0),"",$C853/$M853-1)</f>
        <v/>
      </c>
    </row>
    <row r="854" customFormat="false" ht="15" hidden="false" customHeight="false" outlineLevel="0" collapsed="false">
      <c r="A854" s="55"/>
      <c r="B854" s="56"/>
      <c r="C854" s="57"/>
      <c r="D854" s="56"/>
      <c r="E854" s="56"/>
      <c r="F854" s="56"/>
      <c r="G854" s="50" t="str">
        <f aca="false">IF($A854="","",IF(ISNUMBER($G853),$G853+1,1))</f>
        <v/>
      </c>
      <c r="H854" s="51" t="str">
        <f aca="false">IF(OR(NOT(ISNUMBER($G854)),$G854&lt;2,NOT(ISNUMBER($C853)),$C853=0),"",$C854/$C853-1)</f>
        <v/>
      </c>
      <c r="I854" s="52" t="str">
        <f aca="false">IF(AND(ISNUMBER($G854),$G854&gt;=MA_SHORT),AVERAGE(INDEX($C$454:$C854,402-MA_SHORT):$C854),"")</f>
        <v/>
      </c>
      <c r="J854" s="52" t="str">
        <f aca="false">IF(AND(ISNUMBER($G854),$G854&gt;=MA_MED),AVERAGE(INDEX($C$454:$C854,402-MA_MED):$C854),"")</f>
        <v/>
      </c>
      <c r="K854" s="52" t="str">
        <f aca="false">IF(AND(ISNUMBER($G854),$G854&gt;=MA_LONG2),AVERAGE(INDEX($C$454:$C854,402-MA_LONG2):$C854),"")</f>
        <v/>
      </c>
      <c r="L854" s="53" t="str">
        <f aca="false">IF(AND(ISNUMBER($G854),$G854&gt;=21),STDEV(INDEX($H$794:$H854,62-20):$H854)*SQRT(245),"")</f>
        <v/>
      </c>
      <c r="M854" s="52" t="str">
        <f aca="false">IF(AND(ISNUMBER($G854),$G854&gt;=60),MAX(INDEX($D$654:$D854,202-60):$D854),"")</f>
        <v/>
      </c>
      <c r="N854" s="52" t="str">
        <f aca="false">IF(AND(ISNUMBER($G854),$G854&gt;=60),MIN(INDEX($E$654:$E854,202-60):$E854),"")</f>
        <v/>
      </c>
      <c r="O854" s="53" t="str">
        <f aca="false">IF(OR(NOT(ISNUMBER($C854)),NOT(ISNUMBER($M854)),$M854=0),"",$C854/$M854-1)</f>
        <v/>
      </c>
    </row>
    <row r="855" customFormat="false" ht="15" hidden="false" customHeight="false" outlineLevel="0" collapsed="false">
      <c r="A855" s="55"/>
      <c r="B855" s="56"/>
      <c r="C855" s="57"/>
      <c r="D855" s="56"/>
      <c r="E855" s="56"/>
      <c r="F855" s="56"/>
      <c r="G855" s="50" t="str">
        <f aca="false">IF($A855="","",IF(ISNUMBER($G854),$G854+1,1))</f>
        <v/>
      </c>
      <c r="H855" s="51" t="str">
        <f aca="false">IF(OR(NOT(ISNUMBER($G855)),$G855&lt;2,NOT(ISNUMBER($C854)),$C854=0),"",$C855/$C854-1)</f>
        <v/>
      </c>
      <c r="I855" s="52" t="str">
        <f aca="false">IF(AND(ISNUMBER($G855),$G855&gt;=MA_SHORT),AVERAGE(INDEX($C$455:$C855,402-MA_SHORT):$C855),"")</f>
        <v/>
      </c>
      <c r="J855" s="52" t="str">
        <f aca="false">IF(AND(ISNUMBER($G855),$G855&gt;=MA_MED),AVERAGE(INDEX($C$455:$C855,402-MA_MED):$C855),"")</f>
        <v/>
      </c>
      <c r="K855" s="52" t="str">
        <f aca="false">IF(AND(ISNUMBER($G855),$G855&gt;=MA_LONG2),AVERAGE(INDEX($C$455:$C855,402-MA_LONG2):$C855),"")</f>
        <v/>
      </c>
      <c r="L855" s="53" t="str">
        <f aca="false">IF(AND(ISNUMBER($G855),$G855&gt;=21),STDEV(INDEX($H$795:$H855,62-20):$H855)*SQRT(245),"")</f>
        <v/>
      </c>
      <c r="M855" s="52" t="str">
        <f aca="false">IF(AND(ISNUMBER($G855),$G855&gt;=60),MAX(INDEX($D$655:$D855,202-60):$D855),"")</f>
        <v/>
      </c>
      <c r="N855" s="52" t="str">
        <f aca="false">IF(AND(ISNUMBER($G855),$G855&gt;=60),MIN(INDEX($E$655:$E855,202-60):$E855),"")</f>
        <v/>
      </c>
      <c r="O855" s="53" t="str">
        <f aca="false">IF(OR(NOT(ISNUMBER($C855)),NOT(ISNUMBER($M855)),$M855=0),"",$C855/$M855-1)</f>
        <v/>
      </c>
    </row>
    <row r="856" customFormat="false" ht="15" hidden="false" customHeight="false" outlineLevel="0" collapsed="false">
      <c r="A856" s="55"/>
      <c r="B856" s="56"/>
      <c r="C856" s="57"/>
      <c r="D856" s="56"/>
      <c r="E856" s="56"/>
      <c r="F856" s="56"/>
      <c r="G856" s="50" t="str">
        <f aca="false">IF($A856="","",IF(ISNUMBER($G855),$G855+1,1))</f>
        <v/>
      </c>
      <c r="H856" s="51" t="str">
        <f aca="false">IF(OR(NOT(ISNUMBER($G856)),$G856&lt;2,NOT(ISNUMBER($C855)),$C855=0),"",$C856/$C855-1)</f>
        <v/>
      </c>
      <c r="I856" s="52" t="str">
        <f aca="false">IF(AND(ISNUMBER($G856),$G856&gt;=MA_SHORT),AVERAGE(INDEX($C$456:$C856,402-MA_SHORT):$C856),"")</f>
        <v/>
      </c>
      <c r="J856" s="52" t="str">
        <f aca="false">IF(AND(ISNUMBER($G856),$G856&gt;=MA_MED),AVERAGE(INDEX($C$456:$C856,402-MA_MED):$C856),"")</f>
        <v/>
      </c>
      <c r="K856" s="52" t="str">
        <f aca="false">IF(AND(ISNUMBER($G856),$G856&gt;=MA_LONG2),AVERAGE(INDEX($C$456:$C856,402-MA_LONG2):$C856),"")</f>
        <v/>
      </c>
      <c r="L856" s="53" t="str">
        <f aca="false">IF(AND(ISNUMBER($G856),$G856&gt;=21),STDEV(INDEX($H$796:$H856,62-20):$H856)*SQRT(245),"")</f>
        <v/>
      </c>
      <c r="M856" s="52" t="str">
        <f aca="false">IF(AND(ISNUMBER($G856),$G856&gt;=60),MAX(INDEX($D$656:$D856,202-60):$D856),"")</f>
        <v/>
      </c>
      <c r="N856" s="52" t="str">
        <f aca="false">IF(AND(ISNUMBER($G856),$G856&gt;=60),MIN(INDEX($E$656:$E856,202-60):$E856),"")</f>
        <v/>
      </c>
      <c r="O856" s="53" t="str">
        <f aca="false">IF(OR(NOT(ISNUMBER($C856)),NOT(ISNUMBER($M856)),$M856=0),"",$C856/$M856-1)</f>
        <v/>
      </c>
    </row>
    <row r="857" customFormat="false" ht="15" hidden="false" customHeight="false" outlineLevel="0" collapsed="false">
      <c r="A857" s="55"/>
      <c r="B857" s="56"/>
      <c r="C857" s="57"/>
      <c r="D857" s="56"/>
      <c r="E857" s="56"/>
      <c r="F857" s="56"/>
      <c r="G857" s="50" t="str">
        <f aca="false">IF($A857="","",IF(ISNUMBER($G856),$G856+1,1))</f>
        <v/>
      </c>
      <c r="H857" s="51" t="str">
        <f aca="false">IF(OR(NOT(ISNUMBER($G857)),$G857&lt;2,NOT(ISNUMBER($C856)),$C856=0),"",$C857/$C856-1)</f>
        <v/>
      </c>
      <c r="I857" s="52" t="str">
        <f aca="false">IF(AND(ISNUMBER($G857),$G857&gt;=MA_SHORT),AVERAGE(INDEX($C$457:$C857,402-MA_SHORT):$C857),"")</f>
        <v/>
      </c>
      <c r="J857" s="52" t="str">
        <f aca="false">IF(AND(ISNUMBER($G857),$G857&gt;=MA_MED),AVERAGE(INDEX($C$457:$C857,402-MA_MED):$C857),"")</f>
        <v/>
      </c>
      <c r="K857" s="52" t="str">
        <f aca="false">IF(AND(ISNUMBER($G857),$G857&gt;=MA_LONG2),AVERAGE(INDEX($C$457:$C857,402-MA_LONG2):$C857),"")</f>
        <v/>
      </c>
      <c r="L857" s="53" t="str">
        <f aca="false">IF(AND(ISNUMBER($G857),$G857&gt;=21),STDEV(INDEX($H$797:$H857,62-20):$H857)*SQRT(245),"")</f>
        <v/>
      </c>
      <c r="M857" s="52" t="str">
        <f aca="false">IF(AND(ISNUMBER($G857),$G857&gt;=60),MAX(INDEX($D$657:$D857,202-60):$D857),"")</f>
        <v/>
      </c>
      <c r="N857" s="52" t="str">
        <f aca="false">IF(AND(ISNUMBER($G857),$G857&gt;=60),MIN(INDEX($E$657:$E857,202-60):$E857),"")</f>
        <v/>
      </c>
      <c r="O857" s="53" t="str">
        <f aca="false">IF(OR(NOT(ISNUMBER($C857)),NOT(ISNUMBER($M857)),$M857=0),"",$C857/$M857-1)</f>
        <v/>
      </c>
    </row>
    <row r="858" customFormat="false" ht="15" hidden="false" customHeight="false" outlineLevel="0" collapsed="false">
      <c r="A858" s="55"/>
      <c r="B858" s="56"/>
      <c r="C858" s="57"/>
      <c r="D858" s="56"/>
      <c r="E858" s="56"/>
      <c r="F858" s="56"/>
      <c r="G858" s="50" t="str">
        <f aca="false">IF($A858="","",IF(ISNUMBER($G857),$G857+1,1))</f>
        <v/>
      </c>
      <c r="H858" s="51" t="str">
        <f aca="false">IF(OR(NOT(ISNUMBER($G858)),$G858&lt;2,NOT(ISNUMBER($C857)),$C857=0),"",$C858/$C857-1)</f>
        <v/>
      </c>
      <c r="I858" s="52" t="str">
        <f aca="false">IF(AND(ISNUMBER($G858),$G858&gt;=MA_SHORT),AVERAGE(INDEX($C$458:$C858,402-MA_SHORT):$C858),"")</f>
        <v/>
      </c>
      <c r="J858" s="52" t="str">
        <f aca="false">IF(AND(ISNUMBER($G858),$G858&gt;=MA_MED),AVERAGE(INDEX($C$458:$C858,402-MA_MED):$C858),"")</f>
        <v/>
      </c>
      <c r="K858" s="52" t="str">
        <f aca="false">IF(AND(ISNUMBER($G858),$G858&gt;=MA_LONG2),AVERAGE(INDEX($C$458:$C858,402-MA_LONG2):$C858),"")</f>
        <v/>
      </c>
      <c r="L858" s="53" t="str">
        <f aca="false">IF(AND(ISNUMBER($G858),$G858&gt;=21),STDEV(INDEX($H$798:$H858,62-20):$H858)*SQRT(245),"")</f>
        <v/>
      </c>
      <c r="M858" s="52" t="str">
        <f aca="false">IF(AND(ISNUMBER($G858),$G858&gt;=60),MAX(INDEX($D$658:$D858,202-60):$D858),"")</f>
        <v/>
      </c>
      <c r="N858" s="52" t="str">
        <f aca="false">IF(AND(ISNUMBER($G858),$G858&gt;=60),MIN(INDEX($E$658:$E858,202-60):$E858),"")</f>
        <v/>
      </c>
      <c r="O858" s="53" t="str">
        <f aca="false">IF(OR(NOT(ISNUMBER($C858)),NOT(ISNUMBER($M858)),$M858=0),"",$C858/$M858-1)</f>
        <v/>
      </c>
    </row>
    <row r="859" customFormat="false" ht="15" hidden="false" customHeight="false" outlineLevel="0" collapsed="false">
      <c r="A859" s="55"/>
      <c r="B859" s="56"/>
      <c r="C859" s="57"/>
      <c r="D859" s="56"/>
      <c r="E859" s="56"/>
      <c r="F859" s="56"/>
      <c r="G859" s="50" t="str">
        <f aca="false">IF($A859="","",IF(ISNUMBER($G858),$G858+1,1))</f>
        <v/>
      </c>
      <c r="H859" s="51" t="str">
        <f aca="false">IF(OR(NOT(ISNUMBER($G859)),$G859&lt;2,NOT(ISNUMBER($C858)),$C858=0),"",$C859/$C858-1)</f>
        <v/>
      </c>
      <c r="I859" s="52" t="str">
        <f aca="false">IF(AND(ISNUMBER($G859),$G859&gt;=MA_SHORT),AVERAGE(INDEX($C$459:$C859,402-MA_SHORT):$C859),"")</f>
        <v/>
      </c>
      <c r="J859" s="52" t="str">
        <f aca="false">IF(AND(ISNUMBER($G859),$G859&gt;=MA_MED),AVERAGE(INDEX($C$459:$C859,402-MA_MED):$C859),"")</f>
        <v/>
      </c>
      <c r="K859" s="52" t="str">
        <f aca="false">IF(AND(ISNUMBER($G859),$G859&gt;=MA_LONG2),AVERAGE(INDEX($C$459:$C859,402-MA_LONG2):$C859),"")</f>
        <v/>
      </c>
      <c r="L859" s="53" t="str">
        <f aca="false">IF(AND(ISNUMBER($G859),$G859&gt;=21),STDEV(INDEX($H$799:$H859,62-20):$H859)*SQRT(245),"")</f>
        <v/>
      </c>
      <c r="M859" s="52" t="str">
        <f aca="false">IF(AND(ISNUMBER($G859),$G859&gt;=60),MAX(INDEX($D$659:$D859,202-60):$D859),"")</f>
        <v/>
      </c>
      <c r="N859" s="52" t="str">
        <f aca="false">IF(AND(ISNUMBER($G859),$G859&gt;=60),MIN(INDEX($E$659:$E859,202-60):$E859),"")</f>
        <v/>
      </c>
      <c r="O859" s="53" t="str">
        <f aca="false">IF(OR(NOT(ISNUMBER($C859)),NOT(ISNUMBER($M859)),$M859=0),"",$C859/$M859-1)</f>
        <v/>
      </c>
    </row>
    <row r="860" customFormat="false" ht="15" hidden="false" customHeight="false" outlineLevel="0" collapsed="false">
      <c r="A860" s="55"/>
      <c r="B860" s="56"/>
      <c r="C860" s="57"/>
      <c r="D860" s="56"/>
      <c r="E860" s="56"/>
      <c r="F860" s="56"/>
      <c r="G860" s="50" t="str">
        <f aca="false">IF($A860="","",IF(ISNUMBER($G859),$G859+1,1))</f>
        <v/>
      </c>
      <c r="H860" s="51" t="str">
        <f aca="false">IF(OR(NOT(ISNUMBER($G860)),$G860&lt;2,NOT(ISNUMBER($C859)),$C859=0),"",$C860/$C859-1)</f>
        <v/>
      </c>
      <c r="I860" s="52" t="str">
        <f aca="false">IF(AND(ISNUMBER($G860),$G860&gt;=MA_SHORT),AVERAGE(INDEX($C$460:$C860,402-MA_SHORT):$C860),"")</f>
        <v/>
      </c>
      <c r="J860" s="52" t="str">
        <f aca="false">IF(AND(ISNUMBER($G860),$G860&gt;=MA_MED),AVERAGE(INDEX($C$460:$C860,402-MA_MED):$C860),"")</f>
        <v/>
      </c>
      <c r="K860" s="52" t="str">
        <f aca="false">IF(AND(ISNUMBER($G860),$G860&gt;=MA_LONG2),AVERAGE(INDEX($C$460:$C860,402-MA_LONG2):$C860),"")</f>
        <v/>
      </c>
      <c r="L860" s="53" t="str">
        <f aca="false">IF(AND(ISNUMBER($G860),$G860&gt;=21),STDEV(INDEX($H$800:$H860,62-20):$H860)*SQRT(245),"")</f>
        <v/>
      </c>
      <c r="M860" s="52" t="str">
        <f aca="false">IF(AND(ISNUMBER($G860),$G860&gt;=60),MAX(INDEX($D$660:$D860,202-60):$D860),"")</f>
        <v/>
      </c>
      <c r="N860" s="52" t="str">
        <f aca="false">IF(AND(ISNUMBER($G860),$G860&gt;=60),MIN(INDEX($E$660:$E860,202-60):$E860),"")</f>
        <v/>
      </c>
      <c r="O860" s="53" t="str">
        <f aca="false">IF(OR(NOT(ISNUMBER($C860)),NOT(ISNUMBER($M860)),$M860=0),"",$C860/$M860-1)</f>
        <v/>
      </c>
    </row>
    <row r="861" customFormat="false" ht="15" hidden="false" customHeight="false" outlineLevel="0" collapsed="false">
      <c r="A861" s="55"/>
      <c r="B861" s="56"/>
      <c r="C861" s="57"/>
      <c r="D861" s="56"/>
      <c r="E861" s="56"/>
      <c r="F861" s="56"/>
      <c r="G861" s="50" t="str">
        <f aca="false">IF($A861="","",IF(ISNUMBER($G860),$G860+1,1))</f>
        <v/>
      </c>
      <c r="H861" s="51" t="str">
        <f aca="false">IF(OR(NOT(ISNUMBER($G861)),$G861&lt;2,NOT(ISNUMBER($C860)),$C860=0),"",$C861/$C860-1)</f>
        <v/>
      </c>
      <c r="I861" s="52" t="str">
        <f aca="false">IF(AND(ISNUMBER($G861),$G861&gt;=MA_SHORT),AVERAGE(INDEX($C$461:$C861,402-MA_SHORT):$C861),"")</f>
        <v/>
      </c>
      <c r="J861" s="52" t="str">
        <f aca="false">IF(AND(ISNUMBER($G861),$G861&gt;=MA_MED),AVERAGE(INDEX($C$461:$C861,402-MA_MED):$C861),"")</f>
        <v/>
      </c>
      <c r="K861" s="52" t="str">
        <f aca="false">IF(AND(ISNUMBER($G861),$G861&gt;=MA_LONG2),AVERAGE(INDEX($C$461:$C861,402-MA_LONG2):$C861),"")</f>
        <v/>
      </c>
      <c r="L861" s="53" t="str">
        <f aca="false">IF(AND(ISNUMBER($G861),$G861&gt;=21),STDEV(INDEX($H$801:$H861,62-20):$H861)*SQRT(245),"")</f>
        <v/>
      </c>
      <c r="M861" s="52" t="str">
        <f aca="false">IF(AND(ISNUMBER($G861),$G861&gt;=60),MAX(INDEX($D$661:$D861,202-60):$D861),"")</f>
        <v/>
      </c>
      <c r="N861" s="52" t="str">
        <f aca="false">IF(AND(ISNUMBER($G861),$G861&gt;=60),MIN(INDEX($E$661:$E861,202-60):$E861),"")</f>
        <v/>
      </c>
      <c r="O861" s="53" t="str">
        <f aca="false">IF(OR(NOT(ISNUMBER($C861)),NOT(ISNUMBER($M861)),$M861=0),"",$C861/$M861-1)</f>
        <v/>
      </c>
    </row>
    <row r="862" customFormat="false" ht="15" hidden="false" customHeight="false" outlineLevel="0" collapsed="false">
      <c r="A862" s="55"/>
      <c r="B862" s="56"/>
      <c r="C862" s="57"/>
      <c r="D862" s="56"/>
      <c r="E862" s="56"/>
      <c r="F862" s="56"/>
      <c r="G862" s="50" t="str">
        <f aca="false">IF($A862="","",IF(ISNUMBER($G861),$G861+1,1))</f>
        <v/>
      </c>
      <c r="H862" s="51" t="str">
        <f aca="false">IF(OR(NOT(ISNUMBER($G862)),$G862&lt;2,NOT(ISNUMBER($C861)),$C861=0),"",$C862/$C861-1)</f>
        <v/>
      </c>
      <c r="I862" s="52" t="str">
        <f aca="false">IF(AND(ISNUMBER($G862),$G862&gt;=MA_SHORT),AVERAGE(INDEX($C$462:$C862,402-MA_SHORT):$C862),"")</f>
        <v/>
      </c>
      <c r="J862" s="52" t="str">
        <f aca="false">IF(AND(ISNUMBER($G862),$G862&gt;=MA_MED),AVERAGE(INDEX($C$462:$C862,402-MA_MED):$C862),"")</f>
        <v/>
      </c>
      <c r="K862" s="52" t="str">
        <f aca="false">IF(AND(ISNUMBER($G862),$G862&gt;=MA_LONG2),AVERAGE(INDEX($C$462:$C862,402-MA_LONG2):$C862),"")</f>
        <v/>
      </c>
      <c r="L862" s="53" t="str">
        <f aca="false">IF(AND(ISNUMBER($G862),$G862&gt;=21),STDEV(INDEX($H$802:$H862,62-20):$H862)*SQRT(245),"")</f>
        <v/>
      </c>
      <c r="M862" s="52" t="str">
        <f aca="false">IF(AND(ISNUMBER($G862),$G862&gt;=60),MAX(INDEX($D$662:$D862,202-60):$D862),"")</f>
        <v/>
      </c>
      <c r="N862" s="52" t="str">
        <f aca="false">IF(AND(ISNUMBER($G862),$G862&gt;=60),MIN(INDEX($E$662:$E862,202-60):$E862),"")</f>
        <v/>
      </c>
      <c r="O862" s="53" t="str">
        <f aca="false">IF(OR(NOT(ISNUMBER($C862)),NOT(ISNUMBER($M862)),$M862=0),"",$C862/$M862-1)</f>
        <v/>
      </c>
    </row>
    <row r="863" customFormat="false" ht="15" hidden="false" customHeight="false" outlineLevel="0" collapsed="false">
      <c r="A863" s="55"/>
      <c r="B863" s="56"/>
      <c r="C863" s="57"/>
      <c r="D863" s="56"/>
      <c r="E863" s="56"/>
      <c r="F863" s="56"/>
      <c r="G863" s="50" t="str">
        <f aca="false">IF($A863="","",IF(ISNUMBER($G862),$G862+1,1))</f>
        <v/>
      </c>
      <c r="H863" s="51" t="str">
        <f aca="false">IF(OR(NOT(ISNUMBER($G863)),$G863&lt;2,NOT(ISNUMBER($C862)),$C862=0),"",$C863/$C862-1)</f>
        <v/>
      </c>
      <c r="I863" s="52" t="str">
        <f aca="false">IF(AND(ISNUMBER($G863),$G863&gt;=MA_SHORT),AVERAGE(INDEX($C$463:$C863,402-MA_SHORT):$C863),"")</f>
        <v/>
      </c>
      <c r="J863" s="52" t="str">
        <f aca="false">IF(AND(ISNUMBER($G863),$G863&gt;=MA_MED),AVERAGE(INDEX($C$463:$C863,402-MA_MED):$C863),"")</f>
        <v/>
      </c>
      <c r="K863" s="52" t="str">
        <f aca="false">IF(AND(ISNUMBER($G863),$G863&gt;=MA_LONG2),AVERAGE(INDEX($C$463:$C863,402-MA_LONG2):$C863),"")</f>
        <v/>
      </c>
      <c r="L863" s="53" t="str">
        <f aca="false">IF(AND(ISNUMBER($G863),$G863&gt;=21),STDEV(INDEX($H$803:$H863,62-20):$H863)*SQRT(245),"")</f>
        <v/>
      </c>
      <c r="M863" s="52" t="str">
        <f aca="false">IF(AND(ISNUMBER($G863),$G863&gt;=60),MAX(INDEX($D$663:$D863,202-60):$D863),"")</f>
        <v/>
      </c>
      <c r="N863" s="52" t="str">
        <f aca="false">IF(AND(ISNUMBER($G863),$G863&gt;=60),MIN(INDEX($E$663:$E863,202-60):$E863),"")</f>
        <v/>
      </c>
      <c r="O863" s="53" t="str">
        <f aca="false">IF(OR(NOT(ISNUMBER($C863)),NOT(ISNUMBER($M863)),$M863=0),"",$C863/$M863-1)</f>
        <v/>
      </c>
    </row>
    <row r="864" customFormat="false" ht="15" hidden="false" customHeight="false" outlineLevel="0" collapsed="false">
      <c r="A864" s="55"/>
      <c r="B864" s="56"/>
      <c r="C864" s="57"/>
      <c r="D864" s="56"/>
      <c r="E864" s="56"/>
      <c r="F864" s="56"/>
      <c r="G864" s="50" t="str">
        <f aca="false">IF($A864="","",IF(ISNUMBER($G863),$G863+1,1))</f>
        <v/>
      </c>
      <c r="H864" s="51" t="str">
        <f aca="false">IF(OR(NOT(ISNUMBER($G864)),$G864&lt;2,NOT(ISNUMBER($C863)),$C863=0),"",$C864/$C863-1)</f>
        <v/>
      </c>
      <c r="I864" s="52" t="str">
        <f aca="false">IF(AND(ISNUMBER($G864),$G864&gt;=MA_SHORT),AVERAGE(INDEX($C$464:$C864,402-MA_SHORT):$C864),"")</f>
        <v/>
      </c>
      <c r="J864" s="52" t="str">
        <f aca="false">IF(AND(ISNUMBER($G864),$G864&gt;=MA_MED),AVERAGE(INDEX($C$464:$C864,402-MA_MED):$C864),"")</f>
        <v/>
      </c>
      <c r="K864" s="52" t="str">
        <f aca="false">IF(AND(ISNUMBER($G864),$G864&gt;=MA_LONG2),AVERAGE(INDEX($C$464:$C864,402-MA_LONG2):$C864),"")</f>
        <v/>
      </c>
      <c r="L864" s="53" t="str">
        <f aca="false">IF(AND(ISNUMBER($G864),$G864&gt;=21),STDEV(INDEX($H$804:$H864,62-20):$H864)*SQRT(245),"")</f>
        <v/>
      </c>
      <c r="M864" s="52" t="str">
        <f aca="false">IF(AND(ISNUMBER($G864),$G864&gt;=60),MAX(INDEX($D$664:$D864,202-60):$D864),"")</f>
        <v/>
      </c>
      <c r="N864" s="52" t="str">
        <f aca="false">IF(AND(ISNUMBER($G864),$G864&gt;=60),MIN(INDEX($E$664:$E864,202-60):$E864),"")</f>
        <v/>
      </c>
      <c r="O864" s="53" t="str">
        <f aca="false">IF(OR(NOT(ISNUMBER($C864)),NOT(ISNUMBER($M864)),$M864=0),"",$C864/$M864-1)</f>
        <v/>
      </c>
    </row>
    <row r="865" customFormat="false" ht="15" hidden="false" customHeight="false" outlineLevel="0" collapsed="false">
      <c r="A865" s="55"/>
      <c r="B865" s="56"/>
      <c r="C865" s="57"/>
      <c r="D865" s="56"/>
      <c r="E865" s="56"/>
      <c r="F865" s="56"/>
      <c r="G865" s="50" t="str">
        <f aca="false">IF($A865="","",IF(ISNUMBER($G864),$G864+1,1))</f>
        <v/>
      </c>
      <c r="H865" s="51" t="str">
        <f aca="false">IF(OR(NOT(ISNUMBER($G865)),$G865&lt;2,NOT(ISNUMBER($C864)),$C864=0),"",$C865/$C864-1)</f>
        <v/>
      </c>
      <c r="I865" s="52" t="str">
        <f aca="false">IF(AND(ISNUMBER($G865),$G865&gt;=MA_SHORT),AVERAGE(INDEX($C$465:$C865,402-MA_SHORT):$C865),"")</f>
        <v/>
      </c>
      <c r="J865" s="52" t="str">
        <f aca="false">IF(AND(ISNUMBER($G865),$G865&gt;=MA_MED),AVERAGE(INDEX($C$465:$C865,402-MA_MED):$C865),"")</f>
        <v/>
      </c>
      <c r="K865" s="52" t="str">
        <f aca="false">IF(AND(ISNUMBER($G865),$G865&gt;=MA_LONG2),AVERAGE(INDEX($C$465:$C865,402-MA_LONG2):$C865),"")</f>
        <v/>
      </c>
      <c r="L865" s="53" t="str">
        <f aca="false">IF(AND(ISNUMBER($G865),$G865&gt;=21),STDEV(INDEX($H$805:$H865,62-20):$H865)*SQRT(245),"")</f>
        <v/>
      </c>
      <c r="M865" s="52" t="str">
        <f aca="false">IF(AND(ISNUMBER($G865),$G865&gt;=60),MAX(INDEX($D$665:$D865,202-60):$D865),"")</f>
        <v/>
      </c>
      <c r="N865" s="52" t="str">
        <f aca="false">IF(AND(ISNUMBER($G865),$G865&gt;=60),MIN(INDEX($E$665:$E865,202-60):$E865),"")</f>
        <v/>
      </c>
      <c r="O865" s="53" t="str">
        <f aca="false">IF(OR(NOT(ISNUMBER($C865)),NOT(ISNUMBER($M865)),$M865=0),"",$C865/$M865-1)</f>
        <v/>
      </c>
    </row>
    <row r="866" customFormat="false" ht="15" hidden="false" customHeight="false" outlineLevel="0" collapsed="false">
      <c r="A866" s="55"/>
      <c r="B866" s="56"/>
      <c r="C866" s="57"/>
      <c r="D866" s="56"/>
      <c r="E866" s="56"/>
      <c r="F866" s="56"/>
      <c r="G866" s="50" t="str">
        <f aca="false">IF($A866="","",IF(ISNUMBER($G865),$G865+1,1))</f>
        <v/>
      </c>
      <c r="H866" s="51" t="str">
        <f aca="false">IF(OR(NOT(ISNUMBER($G866)),$G866&lt;2,NOT(ISNUMBER($C865)),$C865=0),"",$C866/$C865-1)</f>
        <v/>
      </c>
      <c r="I866" s="52" t="str">
        <f aca="false">IF(AND(ISNUMBER($G866),$G866&gt;=MA_SHORT),AVERAGE(INDEX($C$466:$C866,402-MA_SHORT):$C866),"")</f>
        <v/>
      </c>
      <c r="J866" s="52" t="str">
        <f aca="false">IF(AND(ISNUMBER($G866),$G866&gt;=MA_MED),AVERAGE(INDEX($C$466:$C866,402-MA_MED):$C866),"")</f>
        <v/>
      </c>
      <c r="K866" s="52" t="str">
        <f aca="false">IF(AND(ISNUMBER($G866),$G866&gt;=MA_LONG2),AVERAGE(INDEX($C$466:$C866,402-MA_LONG2):$C866),"")</f>
        <v/>
      </c>
      <c r="L866" s="53" t="str">
        <f aca="false">IF(AND(ISNUMBER($G866),$G866&gt;=21),STDEV(INDEX($H$806:$H866,62-20):$H866)*SQRT(245),"")</f>
        <v/>
      </c>
      <c r="M866" s="52" t="str">
        <f aca="false">IF(AND(ISNUMBER($G866),$G866&gt;=60),MAX(INDEX($D$666:$D866,202-60):$D866),"")</f>
        <v/>
      </c>
      <c r="N866" s="52" t="str">
        <f aca="false">IF(AND(ISNUMBER($G866),$G866&gt;=60),MIN(INDEX($E$666:$E866,202-60):$E866),"")</f>
        <v/>
      </c>
      <c r="O866" s="53" t="str">
        <f aca="false">IF(OR(NOT(ISNUMBER($C866)),NOT(ISNUMBER($M866)),$M866=0),"",$C866/$M866-1)</f>
        <v/>
      </c>
    </row>
    <row r="867" customFormat="false" ht="15" hidden="false" customHeight="false" outlineLevel="0" collapsed="false">
      <c r="A867" s="55"/>
      <c r="B867" s="56"/>
      <c r="C867" s="57"/>
      <c r="D867" s="56"/>
      <c r="E867" s="56"/>
      <c r="F867" s="56"/>
      <c r="G867" s="50" t="str">
        <f aca="false">IF($A867="","",IF(ISNUMBER($G866),$G866+1,1))</f>
        <v/>
      </c>
      <c r="H867" s="51" t="str">
        <f aca="false">IF(OR(NOT(ISNUMBER($G867)),$G867&lt;2,NOT(ISNUMBER($C866)),$C866=0),"",$C867/$C866-1)</f>
        <v/>
      </c>
      <c r="I867" s="52" t="str">
        <f aca="false">IF(AND(ISNUMBER($G867),$G867&gt;=MA_SHORT),AVERAGE(INDEX($C$467:$C867,402-MA_SHORT):$C867),"")</f>
        <v/>
      </c>
      <c r="J867" s="52" t="str">
        <f aca="false">IF(AND(ISNUMBER($G867),$G867&gt;=MA_MED),AVERAGE(INDEX($C$467:$C867,402-MA_MED):$C867),"")</f>
        <v/>
      </c>
      <c r="K867" s="52" t="str">
        <f aca="false">IF(AND(ISNUMBER($G867),$G867&gt;=MA_LONG2),AVERAGE(INDEX($C$467:$C867,402-MA_LONG2):$C867),"")</f>
        <v/>
      </c>
      <c r="L867" s="53" t="str">
        <f aca="false">IF(AND(ISNUMBER($G867),$G867&gt;=21),STDEV(INDEX($H$807:$H867,62-20):$H867)*SQRT(245),"")</f>
        <v/>
      </c>
      <c r="M867" s="52" t="str">
        <f aca="false">IF(AND(ISNUMBER($G867),$G867&gt;=60),MAX(INDEX($D$667:$D867,202-60):$D867),"")</f>
        <v/>
      </c>
      <c r="N867" s="52" t="str">
        <f aca="false">IF(AND(ISNUMBER($G867),$G867&gt;=60),MIN(INDEX($E$667:$E867,202-60):$E867),"")</f>
        <v/>
      </c>
      <c r="O867" s="53" t="str">
        <f aca="false">IF(OR(NOT(ISNUMBER($C867)),NOT(ISNUMBER($M867)),$M867=0),"",$C867/$M867-1)</f>
        <v/>
      </c>
    </row>
    <row r="868" customFormat="false" ht="15" hidden="false" customHeight="false" outlineLevel="0" collapsed="false">
      <c r="A868" s="55"/>
      <c r="B868" s="56"/>
      <c r="C868" s="57"/>
      <c r="D868" s="56"/>
      <c r="E868" s="56"/>
      <c r="F868" s="56"/>
      <c r="G868" s="50" t="str">
        <f aca="false">IF($A868="","",IF(ISNUMBER($G867),$G867+1,1))</f>
        <v/>
      </c>
      <c r="H868" s="51" t="str">
        <f aca="false">IF(OR(NOT(ISNUMBER($G868)),$G868&lt;2,NOT(ISNUMBER($C867)),$C867=0),"",$C868/$C867-1)</f>
        <v/>
      </c>
      <c r="I868" s="52" t="str">
        <f aca="false">IF(AND(ISNUMBER($G868),$G868&gt;=MA_SHORT),AVERAGE(INDEX($C$468:$C868,402-MA_SHORT):$C868),"")</f>
        <v/>
      </c>
      <c r="J868" s="52" t="str">
        <f aca="false">IF(AND(ISNUMBER($G868),$G868&gt;=MA_MED),AVERAGE(INDEX($C$468:$C868,402-MA_MED):$C868),"")</f>
        <v/>
      </c>
      <c r="K868" s="52" t="str">
        <f aca="false">IF(AND(ISNUMBER($G868),$G868&gt;=MA_LONG2),AVERAGE(INDEX($C$468:$C868,402-MA_LONG2):$C868),"")</f>
        <v/>
      </c>
      <c r="L868" s="53" t="str">
        <f aca="false">IF(AND(ISNUMBER($G868),$G868&gt;=21),STDEV(INDEX($H$808:$H868,62-20):$H868)*SQRT(245),"")</f>
        <v/>
      </c>
      <c r="M868" s="52" t="str">
        <f aca="false">IF(AND(ISNUMBER($G868),$G868&gt;=60),MAX(INDEX($D$668:$D868,202-60):$D868),"")</f>
        <v/>
      </c>
      <c r="N868" s="52" t="str">
        <f aca="false">IF(AND(ISNUMBER($G868),$G868&gt;=60),MIN(INDEX($E$668:$E868,202-60):$E868),"")</f>
        <v/>
      </c>
      <c r="O868" s="53" t="str">
        <f aca="false">IF(OR(NOT(ISNUMBER($C868)),NOT(ISNUMBER($M868)),$M868=0),"",$C868/$M868-1)</f>
        <v/>
      </c>
    </row>
    <row r="869" customFormat="false" ht="15" hidden="false" customHeight="false" outlineLevel="0" collapsed="false">
      <c r="A869" s="55"/>
      <c r="B869" s="56"/>
      <c r="C869" s="57"/>
      <c r="D869" s="56"/>
      <c r="E869" s="56"/>
      <c r="F869" s="56"/>
      <c r="G869" s="50" t="str">
        <f aca="false">IF($A869="","",IF(ISNUMBER($G868),$G868+1,1))</f>
        <v/>
      </c>
      <c r="H869" s="51" t="str">
        <f aca="false">IF(OR(NOT(ISNUMBER($G869)),$G869&lt;2,NOT(ISNUMBER($C868)),$C868=0),"",$C869/$C868-1)</f>
        <v/>
      </c>
      <c r="I869" s="52" t="str">
        <f aca="false">IF(AND(ISNUMBER($G869),$G869&gt;=MA_SHORT),AVERAGE(INDEX($C$469:$C869,402-MA_SHORT):$C869),"")</f>
        <v/>
      </c>
      <c r="J869" s="52" t="str">
        <f aca="false">IF(AND(ISNUMBER($G869),$G869&gt;=MA_MED),AVERAGE(INDEX($C$469:$C869,402-MA_MED):$C869),"")</f>
        <v/>
      </c>
      <c r="K869" s="52" t="str">
        <f aca="false">IF(AND(ISNUMBER($G869),$G869&gt;=MA_LONG2),AVERAGE(INDEX($C$469:$C869,402-MA_LONG2):$C869),"")</f>
        <v/>
      </c>
      <c r="L869" s="53" t="str">
        <f aca="false">IF(AND(ISNUMBER($G869),$G869&gt;=21),STDEV(INDEX($H$809:$H869,62-20):$H869)*SQRT(245),"")</f>
        <v/>
      </c>
      <c r="M869" s="52" t="str">
        <f aca="false">IF(AND(ISNUMBER($G869),$G869&gt;=60),MAX(INDEX($D$669:$D869,202-60):$D869),"")</f>
        <v/>
      </c>
      <c r="N869" s="52" t="str">
        <f aca="false">IF(AND(ISNUMBER($G869),$G869&gt;=60),MIN(INDEX($E$669:$E869,202-60):$E869),"")</f>
        <v/>
      </c>
      <c r="O869" s="53" t="str">
        <f aca="false">IF(OR(NOT(ISNUMBER($C869)),NOT(ISNUMBER($M869)),$M869=0),"",$C869/$M869-1)</f>
        <v/>
      </c>
    </row>
    <row r="870" customFormat="false" ht="15" hidden="false" customHeight="false" outlineLevel="0" collapsed="false">
      <c r="A870" s="55"/>
      <c r="B870" s="56"/>
      <c r="C870" s="57"/>
      <c r="D870" s="56"/>
      <c r="E870" s="56"/>
      <c r="F870" s="56"/>
      <c r="G870" s="50" t="str">
        <f aca="false">IF($A870="","",IF(ISNUMBER($G869),$G869+1,1))</f>
        <v/>
      </c>
      <c r="H870" s="51" t="str">
        <f aca="false">IF(OR(NOT(ISNUMBER($G870)),$G870&lt;2,NOT(ISNUMBER($C869)),$C869=0),"",$C870/$C869-1)</f>
        <v/>
      </c>
      <c r="I870" s="52" t="str">
        <f aca="false">IF(AND(ISNUMBER($G870),$G870&gt;=MA_SHORT),AVERAGE(INDEX($C$470:$C870,402-MA_SHORT):$C870),"")</f>
        <v/>
      </c>
      <c r="J870" s="52" t="str">
        <f aca="false">IF(AND(ISNUMBER($G870),$G870&gt;=MA_MED),AVERAGE(INDEX($C$470:$C870,402-MA_MED):$C870),"")</f>
        <v/>
      </c>
      <c r="K870" s="52" t="str">
        <f aca="false">IF(AND(ISNUMBER($G870),$G870&gt;=MA_LONG2),AVERAGE(INDEX($C$470:$C870,402-MA_LONG2):$C870),"")</f>
        <v/>
      </c>
      <c r="L870" s="53" t="str">
        <f aca="false">IF(AND(ISNUMBER($G870),$G870&gt;=21),STDEV(INDEX($H$810:$H870,62-20):$H870)*SQRT(245),"")</f>
        <v/>
      </c>
      <c r="M870" s="52" t="str">
        <f aca="false">IF(AND(ISNUMBER($G870),$G870&gt;=60),MAX(INDEX($D$670:$D870,202-60):$D870),"")</f>
        <v/>
      </c>
      <c r="N870" s="52" t="str">
        <f aca="false">IF(AND(ISNUMBER($G870),$G870&gt;=60),MIN(INDEX($E$670:$E870,202-60):$E870),"")</f>
        <v/>
      </c>
      <c r="O870" s="53" t="str">
        <f aca="false">IF(OR(NOT(ISNUMBER($C870)),NOT(ISNUMBER($M870)),$M870=0),"",$C870/$M870-1)</f>
        <v/>
      </c>
    </row>
    <row r="871" customFormat="false" ht="15" hidden="false" customHeight="false" outlineLevel="0" collapsed="false">
      <c r="A871" s="55"/>
      <c r="B871" s="56"/>
      <c r="C871" s="57"/>
      <c r="D871" s="56"/>
      <c r="E871" s="56"/>
      <c r="F871" s="56"/>
      <c r="G871" s="50" t="str">
        <f aca="false">IF($A871="","",IF(ISNUMBER($G870),$G870+1,1))</f>
        <v/>
      </c>
      <c r="H871" s="51" t="str">
        <f aca="false">IF(OR(NOT(ISNUMBER($G871)),$G871&lt;2,NOT(ISNUMBER($C870)),$C870=0),"",$C871/$C870-1)</f>
        <v/>
      </c>
      <c r="I871" s="52" t="str">
        <f aca="false">IF(AND(ISNUMBER($G871),$G871&gt;=MA_SHORT),AVERAGE(INDEX($C$471:$C871,402-MA_SHORT):$C871),"")</f>
        <v/>
      </c>
      <c r="J871" s="52" t="str">
        <f aca="false">IF(AND(ISNUMBER($G871),$G871&gt;=MA_MED),AVERAGE(INDEX($C$471:$C871,402-MA_MED):$C871),"")</f>
        <v/>
      </c>
      <c r="K871" s="52" t="str">
        <f aca="false">IF(AND(ISNUMBER($G871),$G871&gt;=MA_LONG2),AVERAGE(INDEX($C$471:$C871,402-MA_LONG2):$C871),"")</f>
        <v/>
      </c>
      <c r="L871" s="53" t="str">
        <f aca="false">IF(AND(ISNUMBER($G871),$G871&gt;=21),STDEV(INDEX($H$811:$H871,62-20):$H871)*SQRT(245),"")</f>
        <v/>
      </c>
      <c r="M871" s="52" t="str">
        <f aca="false">IF(AND(ISNUMBER($G871),$G871&gt;=60),MAX(INDEX($D$671:$D871,202-60):$D871),"")</f>
        <v/>
      </c>
      <c r="N871" s="52" t="str">
        <f aca="false">IF(AND(ISNUMBER($G871),$G871&gt;=60),MIN(INDEX($E$671:$E871,202-60):$E871),"")</f>
        <v/>
      </c>
      <c r="O871" s="53" t="str">
        <f aca="false">IF(OR(NOT(ISNUMBER($C871)),NOT(ISNUMBER($M871)),$M871=0),"",$C871/$M871-1)</f>
        <v/>
      </c>
    </row>
    <row r="872" customFormat="false" ht="15" hidden="false" customHeight="false" outlineLevel="0" collapsed="false">
      <c r="A872" s="55"/>
      <c r="B872" s="56"/>
      <c r="C872" s="57"/>
      <c r="D872" s="56"/>
      <c r="E872" s="56"/>
      <c r="F872" s="56"/>
      <c r="G872" s="50" t="str">
        <f aca="false">IF($A872="","",IF(ISNUMBER($G871),$G871+1,1))</f>
        <v/>
      </c>
      <c r="H872" s="51" t="str">
        <f aca="false">IF(OR(NOT(ISNUMBER($G872)),$G872&lt;2,NOT(ISNUMBER($C871)),$C871=0),"",$C872/$C871-1)</f>
        <v/>
      </c>
      <c r="I872" s="52" t="str">
        <f aca="false">IF(AND(ISNUMBER($G872),$G872&gt;=MA_SHORT),AVERAGE(INDEX($C$472:$C872,402-MA_SHORT):$C872),"")</f>
        <v/>
      </c>
      <c r="J872" s="52" t="str">
        <f aca="false">IF(AND(ISNUMBER($G872),$G872&gt;=MA_MED),AVERAGE(INDEX($C$472:$C872,402-MA_MED):$C872),"")</f>
        <v/>
      </c>
      <c r="K872" s="52" t="str">
        <f aca="false">IF(AND(ISNUMBER($G872),$G872&gt;=MA_LONG2),AVERAGE(INDEX($C$472:$C872,402-MA_LONG2):$C872),"")</f>
        <v/>
      </c>
      <c r="L872" s="53" t="str">
        <f aca="false">IF(AND(ISNUMBER($G872),$G872&gt;=21),STDEV(INDEX($H$812:$H872,62-20):$H872)*SQRT(245),"")</f>
        <v/>
      </c>
      <c r="M872" s="52" t="str">
        <f aca="false">IF(AND(ISNUMBER($G872),$G872&gt;=60),MAX(INDEX($D$672:$D872,202-60):$D872),"")</f>
        <v/>
      </c>
      <c r="N872" s="52" t="str">
        <f aca="false">IF(AND(ISNUMBER($G872),$G872&gt;=60),MIN(INDEX($E$672:$E872,202-60):$E872),"")</f>
        <v/>
      </c>
      <c r="O872" s="53" t="str">
        <f aca="false">IF(OR(NOT(ISNUMBER($C872)),NOT(ISNUMBER($M872)),$M872=0),"",$C872/$M872-1)</f>
        <v/>
      </c>
    </row>
    <row r="873" customFormat="false" ht="15" hidden="false" customHeight="false" outlineLevel="0" collapsed="false">
      <c r="A873" s="55"/>
      <c r="B873" s="56"/>
      <c r="C873" s="57"/>
      <c r="D873" s="56"/>
      <c r="E873" s="56"/>
      <c r="F873" s="56"/>
      <c r="G873" s="50" t="str">
        <f aca="false">IF($A873="","",IF(ISNUMBER($G872),$G872+1,1))</f>
        <v/>
      </c>
      <c r="H873" s="51" t="str">
        <f aca="false">IF(OR(NOT(ISNUMBER($G873)),$G873&lt;2,NOT(ISNUMBER($C872)),$C872=0),"",$C873/$C872-1)</f>
        <v/>
      </c>
      <c r="I873" s="52" t="str">
        <f aca="false">IF(AND(ISNUMBER($G873),$G873&gt;=MA_SHORT),AVERAGE(INDEX($C$473:$C873,402-MA_SHORT):$C873),"")</f>
        <v/>
      </c>
      <c r="J873" s="52" t="str">
        <f aca="false">IF(AND(ISNUMBER($G873),$G873&gt;=MA_MED),AVERAGE(INDEX($C$473:$C873,402-MA_MED):$C873),"")</f>
        <v/>
      </c>
      <c r="K873" s="52" t="str">
        <f aca="false">IF(AND(ISNUMBER($G873),$G873&gt;=MA_LONG2),AVERAGE(INDEX($C$473:$C873,402-MA_LONG2):$C873),"")</f>
        <v/>
      </c>
      <c r="L873" s="53" t="str">
        <f aca="false">IF(AND(ISNUMBER($G873),$G873&gt;=21),STDEV(INDEX($H$813:$H873,62-20):$H873)*SQRT(245),"")</f>
        <v/>
      </c>
      <c r="M873" s="52" t="str">
        <f aca="false">IF(AND(ISNUMBER($G873),$G873&gt;=60),MAX(INDEX($D$673:$D873,202-60):$D873),"")</f>
        <v/>
      </c>
      <c r="N873" s="52" t="str">
        <f aca="false">IF(AND(ISNUMBER($G873),$G873&gt;=60),MIN(INDEX($E$673:$E873,202-60):$E873),"")</f>
        <v/>
      </c>
      <c r="O873" s="53" t="str">
        <f aca="false">IF(OR(NOT(ISNUMBER($C873)),NOT(ISNUMBER($M873)),$M873=0),"",$C873/$M873-1)</f>
        <v/>
      </c>
    </row>
    <row r="874" customFormat="false" ht="15" hidden="false" customHeight="false" outlineLevel="0" collapsed="false">
      <c r="A874" s="55"/>
      <c r="B874" s="56"/>
      <c r="C874" s="57"/>
      <c r="D874" s="56"/>
      <c r="E874" s="56"/>
      <c r="F874" s="56"/>
      <c r="G874" s="50" t="str">
        <f aca="false">IF($A874="","",IF(ISNUMBER($G873),$G873+1,1))</f>
        <v/>
      </c>
      <c r="H874" s="51" t="str">
        <f aca="false">IF(OR(NOT(ISNUMBER($G874)),$G874&lt;2,NOT(ISNUMBER($C873)),$C873=0),"",$C874/$C873-1)</f>
        <v/>
      </c>
      <c r="I874" s="52" t="str">
        <f aca="false">IF(AND(ISNUMBER($G874),$G874&gt;=MA_SHORT),AVERAGE(INDEX($C$474:$C874,402-MA_SHORT):$C874),"")</f>
        <v/>
      </c>
      <c r="J874" s="52" t="str">
        <f aca="false">IF(AND(ISNUMBER($G874),$G874&gt;=MA_MED),AVERAGE(INDEX($C$474:$C874,402-MA_MED):$C874),"")</f>
        <v/>
      </c>
      <c r="K874" s="52" t="str">
        <f aca="false">IF(AND(ISNUMBER($G874),$G874&gt;=MA_LONG2),AVERAGE(INDEX($C$474:$C874,402-MA_LONG2):$C874),"")</f>
        <v/>
      </c>
      <c r="L874" s="53" t="str">
        <f aca="false">IF(AND(ISNUMBER($G874),$G874&gt;=21),STDEV(INDEX($H$814:$H874,62-20):$H874)*SQRT(245),"")</f>
        <v/>
      </c>
      <c r="M874" s="52" t="str">
        <f aca="false">IF(AND(ISNUMBER($G874),$G874&gt;=60),MAX(INDEX($D$674:$D874,202-60):$D874),"")</f>
        <v/>
      </c>
      <c r="N874" s="52" t="str">
        <f aca="false">IF(AND(ISNUMBER($G874),$G874&gt;=60),MIN(INDEX($E$674:$E874,202-60):$E874),"")</f>
        <v/>
      </c>
      <c r="O874" s="53" t="str">
        <f aca="false">IF(OR(NOT(ISNUMBER($C874)),NOT(ISNUMBER($M874)),$M874=0),"",$C874/$M874-1)</f>
        <v/>
      </c>
    </row>
    <row r="875" customFormat="false" ht="15" hidden="false" customHeight="false" outlineLevel="0" collapsed="false">
      <c r="A875" s="55"/>
      <c r="B875" s="56"/>
      <c r="C875" s="57"/>
      <c r="D875" s="56"/>
      <c r="E875" s="56"/>
      <c r="F875" s="56"/>
      <c r="G875" s="50" t="str">
        <f aca="false">IF($A875="","",IF(ISNUMBER($G874),$G874+1,1))</f>
        <v/>
      </c>
      <c r="H875" s="51" t="str">
        <f aca="false">IF(OR(NOT(ISNUMBER($G875)),$G875&lt;2,NOT(ISNUMBER($C874)),$C874=0),"",$C875/$C874-1)</f>
        <v/>
      </c>
      <c r="I875" s="52" t="str">
        <f aca="false">IF(AND(ISNUMBER($G875),$G875&gt;=MA_SHORT),AVERAGE(INDEX($C$475:$C875,402-MA_SHORT):$C875),"")</f>
        <v/>
      </c>
      <c r="J875" s="52" t="str">
        <f aca="false">IF(AND(ISNUMBER($G875),$G875&gt;=MA_MED),AVERAGE(INDEX($C$475:$C875,402-MA_MED):$C875),"")</f>
        <v/>
      </c>
      <c r="K875" s="52" t="str">
        <f aca="false">IF(AND(ISNUMBER($G875),$G875&gt;=MA_LONG2),AVERAGE(INDEX($C$475:$C875,402-MA_LONG2):$C875),"")</f>
        <v/>
      </c>
      <c r="L875" s="53" t="str">
        <f aca="false">IF(AND(ISNUMBER($G875),$G875&gt;=21),STDEV(INDEX($H$815:$H875,62-20):$H875)*SQRT(245),"")</f>
        <v/>
      </c>
      <c r="M875" s="52" t="str">
        <f aca="false">IF(AND(ISNUMBER($G875),$G875&gt;=60),MAX(INDEX($D$675:$D875,202-60):$D875),"")</f>
        <v/>
      </c>
      <c r="N875" s="52" t="str">
        <f aca="false">IF(AND(ISNUMBER($G875),$G875&gt;=60),MIN(INDEX($E$675:$E875,202-60):$E875),"")</f>
        <v/>
      </c>
      <c r="O875" s="53" t="str">
        <f aca="false">IF(OR(NOT(ISNUMBER($C875)),NOT(ISNUMBER($M875)),$M875=0),"",$C875/$M875-1)</f>
        <v/>
      </c>
    </row>
    <row r="876" customFormat="false" ht="15" hidden="false" customHeight="false" outlineLevel="0" collapsed="false">
      <c r="A876" s="55"/>
      <c r="B876" s="56"/>
      <c r="C876" s="57"/>
      <c r="D876" s="56"/>
      <c r="E876" s="56"/>
      <c r="F876" s="56"/>
      <c r="G876" s="50" t="str">
        <f aca="false">IF($A876="","",IF(ISNUMBER($G875),$G875+1,1))</f>
        <v/>
      </c>
      <c r="H876" s="51" t="str">
        <f aca="false">IF(OR(NOT(ISNUMBER($G876)),$G876&lt;2,NOT(ISNUMBER($C875)),$C875=0),"",$C876/$C875-1)</f>
        <v/>
      </c>
      <c r="I876" s="52" t="str">
        <f aca="false">IF(AND(ISNUMBER($G876),$G876&gt;=MA_SHORT),AVERAGE(INDEX($C$476:$C876,402-MA_SHORT):$C876),"")</f>
        <v/>
      </c>
      <c r="J876" s="52" t="str">
        <f aca="false">IF(AND(ISNUMBER($G876),$G876&gt;=MA_MED),AVERAGE(INDEX($C$476:$C876,402-MA_MED):$C876),"")</f>
        <v/>
      </c>
      <c r="K876" s="52" t="str">
        <f aca="false">IF(AND(ISNUMBER($G876),$G876&gt;=MA_LONG2),AVERAGE(INDEX($C$476:$C876,402-MA_LONG2):$C876),"")</f>
        <v/>
      </c>
      <c r="L876" s="53" t="str">
        <f aca="false">IF(AND(ISNUMBER($G876),$G876&gt;=21),STDEV(INDEX($H$816:$H876,62-20):$H876)*SQRT(245),"")</f>
        <v/>
      </c>
      <c r="M876" s="52" t="str">
        <f aca="false">IF(AND(ISNUMBER($G876),$G876&gt;=60),MAX(INDEX($D$676:$D876,202-60):$D876),"")</f>
        <v/>
      </c>
      <c r="N876" s="52" t="str">
        <f aca="false">IF(AND(ISNUMBER($G876),$G876&gt;=60),MIN(INDEX($E$676:$E876,202-60):$E876),"")</f>
        <v/>
      </c>
      <c r="O876" s="53" t="str">
        <f aca="false">IF(OR(NOT(ISNUMBER($C876)),NOT(ISNUMBER($M876)),$M876=0),"",$C876/$M876-1)</f>
        <v/>
      </c>
    </row>
    <row r="877" customFormat="false" ht="15" hidden="false" customHeight="false" outlineLevel="0" collapsed="false">
      <c r="A877" s="55"/>
      <c r="B877" s="56"/>
      <c r="C877" s="57"/>
      <c r="D877" s="56"/>
      <c r="E877" s="56"/>
      <c r="F877" s="56"/>
      <c r="G877" s="50" t="str">
        <f aca="false">IF($A877="","",IF(ISNUMBER($G876),$G876+1,1))</f>
        <v/>
      </c>
      <c r="H877" s="51" t="str">
        <f aca="false">IF(OR(NOT(ISNUMBER($G877)),$G877&lt;2,NOT(ISNUMBER($C876)),$C876=0),"",$C877/$C876-1)</f>
        <v/>
      </c>
      <c r="I877" s="52" t="str">
        <f aca="false">IF(AND(ISNUMBER($G877),$G877&gt;=MA_SHORT),AVERAGE(INDEX($C$477:$C877,402-MA_SHORT):$C877),"")</f>
        <v/>
      </c>
      <c r="J877" s="52" t="str">
        <f aca="false">IF(AND(ISNUMBER($G877),$G877&gt;=MA_MED),AVERAGE(INDEX($C$477:$C877,402-MA_MED):$C877),"")</f>
        <v/>
      </c>
      <c r="K877" s="52" t="str">
        <f aca="false">IF(AND(ISNUMBER($G877),$G877&gt;=MA_LONG2),AVERAGE(INDEX($C$477:$C877,402-MA_LONG2):$C877),"")</f>
        <v/>
      </c>
      <c r="L877" s="53" t="str">
        <f aca="false">IF(AND(ISNUMBER($G877),$G877&gt;=21),STDEV(INDEX($H$817:$H877,62-20):$H877)*SQRT(245),"")</f>
        <v/>
      </c>
      <c r="M877" s="52" t="str">
        <f aca="false">IF(AND(ISNUMBER($G877),$G877&gt;=60),MAX(INDEX($D$677:$D877,202-60):$D877),"")</f>
        <v/>
      </c>
      <c r="N877" s="52" t="str">
        <f aca="false">IF(AND(ISNUMBER($G877),$G877&gt;=60),MIN(INDEX($E$677:$E877,202-60):$E877),"")</f>
        <v/>
      </c>
      <c r="O877" s="53" t="str">
        <f aca="false">IF(OR(NOT(ISNUMBER($C877)),NOT(ISNUMBER($M877)),$M877=0),"",$C877/$M877-1)</f>
        <v/>
      </c>
    </row>
    <row r="878" customFormat="false" ht="15" hidden="false" customHeight="false" outlineLevel="0" collapsed="false">
      <c r="A878" s="55"/>
      <c r="B878" s="56"/>
      <c r="C878" s="57"/>
      <c r="D878" s="56"/>
      <c r="E878" s="56"/>
      <c r="F878" s="56"/>
      <c r="G878" s="50" t="str">
        <f aca="false">IF($A878="","",IF(ISNUMBER($G877),$G877+1,1))</f>
        <v/>
      </c>
      <c r="H878" s="51" t="str">
        <f aca="false">IF(OR(NOT(ISNUMBER($G878)),$G878&lt;2,NOT(ISNUMBER($C877)),$C877=0),"",$C878/$C877-1)</f>
        <v/>
      </c>
      <c r="I878" s="52" t="str">
        <f aca="false">IF(AND(ISNUMBER($G878),$G878&gt;=MA_SHORT),AVERAGE(INDEX($C$478:$C878,402-MA_SHORT):$C878),"")</f>
        <v/>
      </c>
      <c r="J878" s="52" t="str">
        <f aca="false">IF(AND(ISNUMBER($G878),$G878&gt;=MA_MED),AVERAGE(INDEX($C$478:$C878,402-MA_MED):$C878),"")</f>
        <v/>
      </c>
      <c r="K878" s="52" t="str">
        <f aca="false">IF(AND(ISNUMBER($G878),$G878&gt;=MA_LONG2),AVERAGE(INDEX($C$478:$C878,402-MA_LONG2):$C878),"")</f>
        <v/>
      </c>
      <c r="L878" s="53" t="str">
        <f aca="false">IF(AND(ISNUMBER($G878),$G878&gt;=21),STDEV(INDEX($H$818:$H878,62-20):$H878)*SQRT(245),"")</f>
        <v/>
      </c>
      <c r="M878" s="52" t="str">
        <f aca="false">IF(AND(ISNUMBER($G878),$G878&gt;=60),MAX(INDEX($D$678:$D878,202-60):$D878),"")</f>
        <v/>
      </c>
      <c r="N878" s="52" t="str">
        <f aca="false">IF(AND(ISNUMBER($G878),$G878&gt;=60),MIN(INDEX($E$678:$E878,202-60):$E878),"")</f>
        <v/>
      </c>
      <c r="O878" s="53" t="str">
        <f aca="false">IF(OR(NOT(ISNUMBER($C878)),NOT(ISNUMBER($M878)),$M878=0),"",$C878/$M878-1)</f>
        <v/>
      </c>
    </row>
    <row r="879" customFormat="false" ht="15" hidden="false" customHeight="false" outlineLevel="0" collapsed="false">
      <c r="A879" s="55"/>
      <c r="B879" s="56"/>
      <c r="C879" s="57"/>
      <c r="D879" s="56"/>
      <c r="E879" s="56"/>
      <c r="F879" s="56"/>
      <c r="G879" s="50" t="str">
        <f aca="false">IF($A879="","",IF(ISNUMBER($G878),$G878+1,1))</f>
        <v/>
      </c>
      <c r="H879" s="51" t="str">
        <f aca="false">IF(OR(NOT(ISNUMBER($G879)),$G879&lt;2,NOT(ISNUMBER($C878)),$C878=0),"",$C879/$C878-1)</f>
        <v/>
      </c>
      <c r="I879" s="52" t="str">
        <f aca="false">IF(AND(ISNUMBER($G879),$G879&gt;=MA_SHORT),AVERAGE(INDEX($C$479:$C879,402-MA_SHORT):$C879),"")</f>
        <v/>
      </c>
      <c r="J879" s="52" t="str">
        <f aca="false">IF(AND(ISNUMBER($G879),$G879&gt;=MA_MED),AVERAGE(INDEX($C$479:$C879,402-MA_MED):$C879),"")</f>
        <v/>
      </c>
      <c r="K879" s="52" t="str">
        <f aca="false">IF(AND(ISNUMBER($G879),$G879&gt;=MA_LONG2),AVERAGE(INDEX($C$479:$C879,402-MA_LONG2):$C879),"")</f>
        <v/>
      </c>
      <c r="L879" s="53" t="str">
        <f aca="false">IF(AND(ISNUMBER($G879),$G879&gt;=21),STDEV(INDEX($H$819:$H879,62-20):$H879)*SQRT(245),"")</f>
        <v/>
      </c>
      <c r="M879" s="52" t="str">
        <f aca="false">IF(AND(ISNUMBER($G879),$G879&gt;=60),MAX(INDEX($D$679:$D879,202-60):$D879),"")</f>
        <v/>
      </c>
      <c r="N879" s="52" t="str">
        <f aca="false">IF(AND(ISNUMBER($G879),$G879&gt;=60),MIN(INDEX($E$679:$E879,202-60):$E879),"")</f>
        <v/>
      </c>
      <c r="O879" s="53" t="str">
        <f aca="false">IF(OR(NOT(ISNUMBER($C879)),NOT(ISNUMBER($M879)),$M879=0),"",$C879/$M879-1)</f>
        <v/>
      </c>
    </row>
    <row r="880" customFormat="false" ht="15" hidden="false" customHeight="false" outlineLevel="0" collapsed="false">
      <c r="A880" s="55"/>
      <c r="B880" s="56"/>
      <c r="C880" s="57"/>
      <c r="D880" s="56"/>
      <c r="E880" s="56"/>
      <c r="F880" s="56"/>
      <c r="G880" s="50" t="str">
        <f aca="false">IF($A880="","",IF(ISNUMBER($G879),$G879+1,1))</f>
        <v/>
      </c>
      <c r="H880" s="51" t="str">
        <f aca="false">IF(OR(NOT(ISNUMBER($G880)),$G880&lt;2,NOT(ISNUMBER($C879)),$C879=0),"",$C880/$C879-1)</f>
        <v/>
      </c>
      <c r="I880" s="52" t="str">
        <f aca="false">IF(AND(ISNUMBER($G880),$G880&gt;=MA_SHORT),AVERAGE(INDEX($C$480:$C880,402-MA_SHORT):$C880),"")</f>
        <v/>
      </c>
      <c r="J880" s="52" t="str">
        <f aca="false">IF(AND(ISNUMBER($G880),$G880&gt;=MA_MED),AVERAGE(INDEX($C$480:$C880,402-MA_MED):$C880),"")</f>
        <v/>
      </c>
      <c r="K880" s="52" t="str">
        <f aca="false">IF(AND(ISNUMBER($G880),$G880&gt;=MA_LONG2),AVERAGE(INDEX($C$480:$C880,402-MA_LONG2):$C880),"")</f>
        <v/>
      </c>
      <c r="L880" s="53" t="str">
        <f aca="false">IF(AND(ISNUMBER($G880),$G880&gt;=21),STDEV(INDEX($H$820:$H880,62-20):$H880)*SQRT(245),"")</f>
        <v/>
      </c>
      <c r="M880" s="52" t="str">
        <f aca="false">IF(AND(ISNUMBER($G880),$G880&gt;=60),MAX(INDEX($D$680:$D880,202-60):$D880),"")</f>
        <v/>
      </c>
      <c r="N880" s="52" t="str">
        <f aca="false">IF(AND(ISNUMBER($G880),$G880&gt;=60),MIN(INDEX($E$680:$E880,202-60):$E880),"")</f>
        <v/>
      </c>
      <c r="O880" s="53" t="str">
        <f aca="false">IF(OR(NOT(ISNUMBER($C880)),NOT(ISNUMBER($M880)),$M880=0),"",$C880/$M880-1)</f>
        <v/>
      </c>
    </row>
    <row r="881" customFormat="false" ht="15" hidden="false" customHeight="false" outlineLevel="0" collapsed="false">
      <c r="A881" s="55"/>
      <c r="B881" s="56"/>
      <c r="C881" s="57"/>
      <c r="D881" s="56"/>
      <c r="E881" s="56"/>
      <c r="F881" s="56"/>
      <c r="G881" s="50" t="str">
        <f aca="false">IF($A881="","",IF(ISNUMBER($G880),$G880+1,1))</f>
        <v/>
      </c>
      <c r="H881" s="51" t="str">
        <f aca="false">IF(OR(NOT(ISNUMBER($G881)),$G881&lt;2,NOT(ISNUMBER($C880)),$C880=0),"",$C881/$C880-1)</f>
        <v/>
      </c>
      <c r="I881" s="52" t="str">
        <f aca="false">IF(AND(ISNUMBER($G881),$G881&gt;=MA_SHORT),AVERAGE(INDEX($C$481:$C881,402-MA_SHORT):$C881),"")</f>
        <v/>
      </c>
      <c r="J881" s="52" t="str">
        <f aca="false">IF(AND(ISNUMBER($G881),$G881&gt;=MA_MED),AVERAGE(INDEX($C$481:$C881,402-MA_MED):$C881),"")</f>
        <v/>
      </c>
      <c r="K881" s="52" t="str">
        <f aca="false">IF(AND(ISNUMBER($G881),$G881&gt;=MA_LONG2),AVERAGE(INDEX($C$481:$C881,402-MA_LONG2):$C881),"")</f>
        <v/>
      </c>
      <c r="L881" s="53" t="str">
        <f aca="false">IF(AND(ISNUMBER($G881),$G881&gt;=21),STDEV(INDEX($H$821:$H881,62-20):$H881)*SQRT(245),"")</f>
        <v/>
      </c>
      <c r="M881" s="52" t="str">
        <f aca="false">IF(AND(ISNUMBER($G881),$G881&gt;=60),MAX(INDEX($D$681:$D881,202-60):$D881),"")</f>
        <v/>
      </c>
      <c r="N881" s="52" t="str">
        <f aca="false">IF(AND(ISNUMBER($G881),$G881&gt;=60),MIN(INDEX($E$681:$E881,202-60):$E881),"")</f>
        <v/>
      </c>
      <c r="O881" s="53" t="str">
        <f aca="false">IF(OR(NOT(ISNUMBER($C881)),NOT(ISNUMBER($M881)),$M881=0),"",$C881/$M881-1)</f>
        <v/>
      </c>
    </row>
    <row r="882" customFormat="false" ht="15" hidden="false" customHeight="false" outlineLevel="0" collapsed="false">
      <c r="A882" s="55"/>
      <c r="B882" s="56"/>
      <c r="C882" s="57"/>
      <c r="D882" s="56"/>
      <c r="E882" s="56"/>
      <c r="F882" s="56"/>
      <c r="G882" s="50" t="str">
        <f aca="false">IF($A882="","",IF(ISNUMBER($G881),$G881+1,1))</f>
        <v/>
      </c>
      <c r="H882" s="51" t="str">
        <f aca="false">IF(OR(NOT(ISNUMBER($G882)),$G882&lt;2,NOT(ISNUMBER($C881)),$C881=0),"",$C882/$C881-1)</f>
        <v/>
      </c>
      <c r="I882" s="52" t="str">
        <f aca="false">IF(AND(ISNUMBER($G882),$G882&gt;=MA_SHORT),AVERAGE(INDEX($C$482:$C882,402-MA_SHORT):$C882),"")</f>
        <v/>
      </c>
      <c r="J882" s="52" t="str">
        <f aca="false">IF(AND(ISNUMBER($G882),$G882&gt;=MA_MED),AVERAGE(INDEX($C$482:$C882,402-MA_MED):$C882),"")</f>
        <v/>
      </c>
      <c r="K882" s="52" t="str">
        <f aca="false">IF(AND(ISNUMBER($G882),$G882&gt;=MA_LONG2),AVERAGE(INDEX($C$482:$C882,402-MA_LONG2):$C882),"")</f>
        <v/>
      </c>
      <c r="L882" s="53" t="str">
        <f aca="false">IF(AND(ISNUMBER($G882),$G882&gt;=21),STDEV(INDEX($H$822:$H882,62-20):$H882)*SQRT(245),"")</f>
        <v/>
      </c>
      <c r="M882" s="52" t="str">
        <f aca="false">IF(AND(ISNUMBER($G882),$G882&gt;=60),MAX(INDEX($D$682:$D882,202-60):$D882),"")</f>
        <v/>
      </c>
      <c r="N882" s="52" t="str">
        <f aca="false">IF(AND(ISNUMBER($G882),$G882&gt;=60),MIN(INDEX($E$682:$E882,202-60):$E882),"")</f>
        <v/>
      </c>
      <c r="O882" s="53" t="str">
        <f aca="false">IF(OR(NOT(ISNUMBER($C882)),NOT(ISNUMBER($M882)),$M882=0),"",$C882/$M882-1)</f>
        <v/>
      </c>
    </row>
    <row r="883" customFormat="false" ht="15" hidden="false" customHeight="false" outlineLevel="0" collapsed="false">
      <c r="A883" s="55"/>
      <c r="B883" s="56"/>
      <c r="C883" s="57"/>
      <c r="D883" s="56"/>
      <c r="E883" s="56"/>
      <c r="F883" s="56"/>
      <c r="G883" s="50" t="str">
        <f aca="false">IF($A883="","",IF(ISNUMBER($G882),$G882+1,1))</f>
        <v/>
      </c>
      <c r="H883" s="51" t="str">
        <f aca="false">IF(OR(NOT(ISNUMBER($G883)),$G883&lt;2,NOT(ISNUMBER($C882)),$C882=0),"",$C883/$C882-1)</f>
        <v/>
      </c>
      <c r="I883" s="52" t="str">
        <f aca="false">IF(AND(ISNUMBER($G883),$G883&gt;=MA_SHORT),AVERAGE(INDEX($C$483:$C883,402-MA_SHORT):$C883),"")</f>
        <v/>
      </c>
      <c r="J883" s="52" t="str">
        <f aca="false">IF(AND(ISNUMBER($G883),$G883&gt;=MA_MED),AVERAGE(INDEX($C$483:$C883,402-MA_MED):$C883),"")</f>
        <v/>
      </c>
      <c r="K883" s="52" t="str">
        <f aca="false">IF(AND(ISNUMBER($G883),$G883&gt;=MA_LONG2),AVERAGE(INDEX($C$483:$C883,402-MA_LONG2):$C883),"")</f>
        <v/>
      </c>
      <c r="L883" s="53" t="str">
        <f aca="false">IF(AND(ISNUMBER($G883),$G883&gt;=21),STDEV(INDEX($H$823:$H883,62-20):$H883)*SQRT(245),"")</f>
        <v/>
      </c>
      <c r="M883" s="52" t="str">
        <f aca="false">IF(AND(ISNUMBER($G883),$G883&gt;=60),MAX(INDEX($D$683:$D883,202-60):$D883),"")</f>
        <v/>
      </c>
      <c r="N883" s="52" t="str">
        <f aca="false">IF(AND(ISNUMBER($G883),$G883&gt;=60),MIN(INDEX($E$683:$E883,202-60):$E883),"")</f>
        <v/>
      </c>
      <c r="O883" s="53" t="str">
        <f aca="false">IF(OR(NOT(ISNUMBER($C883)),NOT(ISNUMBER($M883)),$M883=0),"",$C883/$M883-1)</f>
        <v/>
      </c>
    </row>
    <row r="884" customFormat="false" ht="15" hidden="false" customHeight="false" outlineLevel="0" collapsed="false">
      <c r="A884" s="55"/>
      <c r="B884" s="56"/>
      <c r="C884" s="57"/>
      <c r="D884" s="56"/>
      <c r="E884" s="56"/>
      <c r="F884" s="56"/>
      <c r="G884" s="50" t="str">
        <f aca="false">IF($A884="","",IF(ISNUMBER($G883),$G883+1,1))</f>
        <v/>
      </c>
      <c r="H884" s="51" t="str">
        <f aca="false">IF(OR(NOT(ISNUMBER($G884)),$G884&lt;2,NOT(ISNUMBER($C883)),$C883=0),"",$C884/$C883-1)</f>
        <v/>
      </c>
      <c r="I884" s="52" t="str">
        <f aca="false">IF(AND(ISNUMBER($G884),$G884&gt;=MA_SHORT),AVERAGE(INDEX($C$484:$C884,402-MA_SHORT):$C884),"")</f>
        <v/>
      </c>
      <c r="J884" s="52" t="str">
        <f aca="false">IF(AND(ISNUMBER($G884),$G884&gt;=MA_MED),AVERAGE(INDEX($C$484:$C884,402-MA_MED):$C884),"")</f>
        <v/>
      </c>
      <c r="K884" s="52" t="str">
        <f aca="false">IF(AND(ISNUMBER($G884),$G884&gt;=MA_LONG2),AVERAGE(INDEX($C$484:$C884,402-MA_LONG2):$C884),"")</f>
        <v/>
      </c>
      <c r="L884" s="53" t="str">
        <f aca="false">IF(AND(ISNUMBER($G884),$G884&gt;=21),STDEV(INDEX($H$824:$H884,62-20):$H884)*SQRT(245),"")</f>
        <v/>
      </c>
      <c r="M884" s="52" t="str">
        <f aca="false">IF(AND(ISNUMBER($G884),$G884&gt;=60),MAX(INDEX($D$684:$D884,202-60):$D884),"")</f>
        <v/>
      </c>
      <c r="N884" s="52" t="str">
        <f aca="false">IF(AND(ISNUMBER($G884),$G884&gt;=60),MIN(INDEX($E$684:$E884,202-60):$E884),"")</f>
        <v/>
      </c>
      <c r="O884" s="53" t="str">
        <f aca="false">IF(OR(NOT(ISNUMBER($C884)),NOT(ISNUMBER($M884)),$M884=0),"",$C884/$M884-1)</f>
        <v/>
      </c>
    </row>
    <row r="885" customFormat="false" ht="15" hidden="false" customHeight="false" outlineLevel="0" collapsed="false">
      <c r="A885" s="55"/>
      <c r="B885" s="56"/>
      <c r="C885" s="57"/>
      <c r="D885" s="56"/>
      <c r="E885" s="56"/>
      <c r="F885" s="56"/>
      <c r="G885" s="50" t="str">
        <f aca="false">IF($A885="","",IF(ISNUMBER($G884),$G884+1,1))</f>
        <v/>
      </c>
      <c r="H885" s="51" t="str">
        <f aca="false">IF(OR(NOT(ISNUMBER($G885)),$G885&lt;2,NOT(ISNUMBER($C884)),$C884=0),"",$C885/$C884-1)</f>
        <v/>
      </c>
      <c r="I885" s="52" t="str">
        <f aca="false">IF(AND(ISNUMBER($G885),$G885&gt;=MA_SHORT),AVERAGE(INDEX($C$485:$C885,402-MA_SHORT):$C885),"")</f>
        <v/>
      </c>
      <c r="J885" s="52" t="str">
        <f aca="false">IF(AND(ISNUMBER($G885),$G885&gt;=MA_MED),AVERAGE(INDEX($C$485:$C885,402-MA_MED):$C885),"")</f>
        <v/>
      </c>
      <c r="K885" s="52" t="str">
        <f aca="false">IF(AND(ISNUMBER($G885),$G885&gt;=MA_LONG2),AVERAGE(INDEX($C$485:$C885,402-MA_LONG2):$C885),"")</f>
        <v/>
      </c>
      <c r="L885" s="53" t="str">
        <f aca="false">IF(AND(ISNUMBER($G885),$G885&gt;=21),STDEV(INDEX($H$825:$H885,62-20):$H885)*SQRT(245),"")</f>
        <v/>
      </c>
      <c r="M885" s="52" t="str">
        <f aca="false">IF(AND(ISNUMBER($G885),$G885&gt;=60),MAX(INDEX($D$685:$D885,202-60):$D885),"")</f>
        <v/>
      </c>
      <c r="N885" s="52" t="str">
        <f aca="false">IF(AND(ISNUMBER($G885),$G885&gt;=60),MIN(INDEX($E$685:$E885,202-60):$E885),"")</f>
        <v/>
      </c>
      <c r="O885" s="53" t="str">
        <f aca="false">IF(OR(NOT(ISNUMBER($C885)),NOT(ISNUMBER($M885)),$M885=0),"",$C885/$M885-1)</f>
        <v/>
      </c>
    </row>
    <row r="886" customFormat="false" ht="15" hidden="false" customHeight="false" outlineLevel="0" collapsed="false">
      <c r="A886" s="55"/>
      <c r="B886" s="56"/>
      <c r="C886" s="57"/>
      <c r="D886" s="56"/>
      <c r="E886" s="56"/>
      <c r="F886" s="56"/>
      <c r="G886" s="50" t="str">
        <f aca="false">IF($A886="","",IF(ISNUMBER($G885),$G885+1,1))</f>
        <v/>
      </c>
      <c r="H886" s="51" t="str">
        <f aca="false">IF(OR(NOT(ISNUMBER($G886)),$G886&lt;2,NOT(ISNUMBER($C885)),$C885=0),"",$C886/$C885-1)</f>
        <v/>
      </c>
      <c r="I886" s="52" t="str">
        <f aca="false">IF(AND(ISNUMBER($G886),$G886&gt;=MA_SHORT),AVERAGE(INDEX($C$486:$C886,402-MA_SHORT):$C886),"")</f>
        <v/>
      </c>
      <c r="J886" s="52" t="str">
        <f aca="false">IF(AND(ISNUMBER($G886),$G886&gt;=MA_MED),AVERAGE(INDEX($C$486:$C886,402-MA_MED):$C886),"")</f>
        <v/>
      </c>
      <c r="K886" s="52" t="str">
        <f aca="false">IF(AND(ISNUMBER($G886),$G886&gt;=MA_LONG2),AVERAGE(INDEX($C$486:$C886,402-MA_LONG2):$C886),"")</f>
        <v/>
      </c>
      <c r="L886" s="53" t="str">
        <f aca="false">IF(AND(ISNUMBER($G886),$G886&gt;=21),STDEV(INDEX($H$826:$H886,62-20):$H886)*SQRT(245),"")</f>
        <v/>
      </c>
      <c r="M886" s="52" t="str">
        <f aca="false">IF(AND(ISNUMBER($G886),$G886&gt;=60),MAX(INDEX($D$686:$D886,202-60):$D886),"")</f>
        <v/>
      </c>
      <c r="N886" s="52" t="str">
        <f aca="false">IF(AND(ISNUMBER($G886),$G886&gt;=60),MIN(INDEX($E$686:$E886,202-60):$E886),"")</f>
        <v/>
      </c>
      <c r="O886" s="53" t="str">
        <f aca="false">IF(OR(NOT(ISNUMBER($C886)),NOT(ISNUMBER($M886)),$M886=0),"",$C886/$M886-1)</f>
        <v/>
      </c>
    </row>
    <row r="887" customFormat="false" ht="15" hidden="false" customHeight="false" outlineLevel="0" collapsed="false">
      <c r="A887" s="55"/>
      <c r="B887" s="56"/>
      <c r="C887" s="57"/>
      <c r="D887" s="56"/>
      <c r="E887" s="56"/>
      <c r="F887" s="56"/>
      <c r="G887" s="50" t="str">
        <f aca="false">IF($A887="","",IF(ISNUMBER($G886),$G886+1,1))</f>
        <v/>
      </c>
      <c r="H887" s="51" t="str">
        <f aca="false">IF(OR(NOT(ISNUMBER($G887)),$G887&lt;2,NOT(ISNUMBER($C886)),$C886=0),"",$C887/$C886-1)</f>
        <v/>
      </c>
      <c r="I887" s="52" t="str">
        <f aca="false">IF(AND(ISNUMBER($G887),$G887&gt;=MA_SHORT),AVERAGE(INDEX($C$487:$C887,402-MA_SHORT):$C887),"")</f>
        <v/>
      </c>
      <c r="J887" s="52" t="str">
        <f aca="false">IF(AND(ISNUMBER($G887),$G887&gt;=MA_MED),AVERAGE(INDEX($C$487:$C887,402-MA_MED):$C887),"")</f>
        <v/>
      </c>
      <c r="K887" s="52" t="str">
        <f aca="false">IF(AND(ISNUMBER($G887),$G887&gt;=MA_LONG2),AVERAGE(INDEX($C$487:$C887,402-MA_LONG2):$C887),"")</f>
        <v/>
      </c>
      <c r="L887" s="53" t="str">
        <f aca="false">IF(AND(ISNUMBER($G887),$G887&gt;=21),STDEV(INDEX($H$827:$H887,62-20):$H887)*SQRT(245),"")</f>
        <v/>
      </c>
      <c r="M887" s="52" t="str">
        <f aca="false">IF(AND(ISNUMBER($G887),$G887&gt;=60),MAX(INDEX($D$687:$D887,202-60):$D887),"")</f>
        <v/>
      </c>
      <c r="N887" s="52" t="str">
        <f aca="false">IF(AND(ISNUMBER($G887),$G887&gt;=60),MIN(INDEX($E$687:$E887,202-60):$E887),"")</f>
        <v/>
      </c>
      <c r="O887" s="53" t="str">
        <f aca="false">IF(OR(NOT(ISNUMBER($C887)),NOT(ISNUMBER($M887)),$M887=0),"",$C887/$M887-1)</f>
        <v/>
      </c>
    </row>
    <row r="888" customFormat="false" ht="15" hidden="false" customHeight="false" outlineLevel="0" collapsed="false">
      <c r="A888" s="55"/>
      <c r="B888" s="56"/>
      <c r="C888" s="57"/>
      <c r="D888" s="56"/>
      <c r="E888" s="56"/>
      <c r="F888" s="56"/>
      <c r="G888" s="50" t="str">
        <f aca="false">IF($A888="","",IF(ISNUMBER($G887),$G887+1,1))</f>
        <v/>
      </c>
      <c r="H888" s="51" t="str">
        <f aca="false">IF(OR(NOT(ISNUMBER($G888)),$G888&lt;2,NOT(ISNUMBER($C887)),$C887=0),"",$C888/$C887-1)</f>
        <v/>
      </c>
      <c r="I888" s="52" t="str">
        <f aca="false">IF(AND(ISNUMBER($G888),$G888&gt;=MA_SHORT),AVERAGE(INDEX($C$488:$C888,402-MA_SHORT):$C888),"")</f>
        <v/>
      </c>
      <c r="J888" s="52" t="str">
        <f aca="false">IF(AND(ISNUMBER($G888),$G888&gt;=MA_MED),AVERAGE(INDEX($C$488:$C888,402-MA_MED):$C888),"")</f>
        <v/>
      </c>
      <c r="K888" s="52" t="str">
        <f aca="false">IF(AND(ISNUMBER($G888),$G888&gt;=MA_LONG2),AVERAGE(INDEX($C$488:$C888,402-MA_LONG2):$C888),"")</f>
        <v/>
      </c>
      <c r="L888" s="53" t="str">
        <f aca="false">IF(AND(ISNUMBER($G888),$G888&gt;=21),STDEV(INDEX($H$828:$H888,62-20):$H888)*SQRT(245),"")</f>
        <v/>
      </c>
      <c r="M888" s="52" t="str">
        <f aca="false">IF(AND(ISNUMBER($G888),$G888&gt;=60),MAX(INDEX($D$688:$D888,202-60):$D888),"")</f>
        <v/>
      </c>
      <c r="N888" s="52" t="str">
        <f aca="false">IF(AND(ISNUMBER($G888),$G888&gt;=60),MIN(INDEX($E$688:$E888,202-60):$E888),"")</f>
        <v/>
      </c>
      <c r="O888" s="53" t="str">
        <f aca="false">IF(OR(NOT(ISNUMBER($C888)),NOT(ISNUMBER($M888)),$M888=0),"",$C888/$M888-1)</f>
        <v/>
      </c>
    </row>
    <row r="889" customFormat="false" ht="15" hidden="false" customHeight="false" outlineLevel="0" collapsed="false">
      <c r="A889" s="55"/>
      <c r="B889" s="56"/>
      <c r="C889" s="57"/>
      <c r="D889" s="56"/>
      <c r="E889" s="56"/>
      <c r="F889" s="56"/>
      <c r="G889" s="50" t="str">
        <f aca="false">IF($A889="","",IF(ISNUMBER($G888),$G888+1,1))</f>
        <v/>
      </c>
      <c r="H889" s="51" t="str">
        <f aca="false">IF(OR(NOT(ISNUMBER($G889)),$G889&lt;2,NOT(ISNUMBER($C888)),$C888=0),"",$C889/$C888-1)</f>
        <v/>
      </c>
      <c r="I889" s="52" t="str">
        <f aca="false">IF(AND(ISNUMBER($G889),$G889&gt;=MA_SHORT),AVERAGE(INDEX($C$489:$C889,402-MA_SHORT):$C889),"")</f>
        <v/>
      </c>
      <c r="J889" s="52" t="str">
        <f aca="false">IF(AND(ISNUMBER($G889),$G889&gt;=MA_MED),AVERAGE(INDEX($C$489:$C889,402-MA_MED):$C889),"")</f>
        <v/>
      </c>
      <c r="K889" s="52" t="str">
        <f aca="false">IF(AND(ISNUMBER($G889),$G889&gt;=MA_LONG2),AVERAGE(INDEX($C$489:$C889,402-MA_LONG2):$C889),"")</f>
        <v/>
      </c>
      <c r="L889" s="53" t="str">
        <f aca="false">IF(AND(ISNUMBER($G889),$G889&gt;=21),STDEV(INDEX($H$829:$H889,62-20):$H889)*SQRT(245),"")</f>
        <v/>
      </c>
      <c r="M889" s="52" t="str">
        <f aca="false">IF(AND(ISNUMBER($G889),$G889&gt;=60),MAX(INDEX($D$689:$D889,202-60):$D889),"")</f>
        <v/>
      </c>
      <c r="N889" s="52" t="str">
        <f aca="false">IF(AND(ISNUMBER($G889),$G889&gt;=60),MIN(INDEX($E$689:$E889,202-60):$E889),"")</f>
        <v/>
      </c>
      <c r="O889" s="53" t="str">
        <f aca="false">IF(OR(NOT(ISNUMBER($C889)),NOT(ISNUMBER($M889)),$M889=0),"",$C889/$M889-1)</f>
        <v/>
      </c>
    </row>
    <row r="890" customFormat="false" ht="15" hidden="false" customHeight="false" outlineLevel="0" collapsed="false">
      <c r="A890" s="55"/>
      <c r="B890" s="56"/>
      <c r="C890" s="57"/>
      <c r="D890" s="56"/>
      <c r="E890" s="56"/>
      <c r="F890" s="56"/>
      <c r="G890" s="50" t="str">
        <f aca="false">IF($A890="","",IF(ISNUMBER($G889),$G889+1,1))</f>
        <v/>
      </c>
      <c r="H890" s="51" t="str">
        <f aca="false">IF(OR(NOT(ISNUMBER($G890)),$G890&lt;2,NOT(ISNUMBER($C889)),$C889=0),"",$C890/$C889-1)</f>
        <v/>
      </c>
      <c r="I890" s="52" t="str">
        <f aca="false">IF(AND(ISNUMBER($G890),$G890&gt;=MA_SHORT),AVERAGE(INDEX($C$490:$C890,402-MA_SHORT):$C890),"")</f>
        <v/>
      </c>
      <c r="J890" s="52" t="str">
        <f aca="false">IF(AND(ISNUMBER($G890),$G890&gt;=MA_MED),AVERAGE(INDEX($C$490:$C890,402-MA_MED):$C890),"")</f>
        <v/>
      </c>
      <c r="K890" s="52" t="str">
        <f aca="false">IF(AND(ISNUMBER($G890),$G890&gt;=MA_LONG2),AVERAGE(INDEX($C$490:$C890,402-MA_LONG2):$C890),"")</f>
        <v/>
      </c>
      <c r="L890" s="53" t="str">
        <f aca="false">IF(AND(ISNUMBER($G890),$G890&gt;=21),STDEV(INDEX($H$830:$H890,62-20):$H890)*SQRT(245),"")</f>
        <v/>
      </c>
      <c r="M890" s="52" t="str">
        <f aca="false">IF(AND(ISNUMBER($G890),$G890&gt;=60),MAX(INDEX($D$690:$D890,202-60):$D890),"")</f>
        <v/>
      </c>
      <c r="N890" s="52" t="str">
        <f aca="false">IF(AND(ISNUMBER($G890),$G890&gt;=60),MIN(INDEX($E$690:$E890,202-60):$E890),"")</f>
        <v/>
      </c>
      <c r="O890" s="53" t="str">
        <f aca="false">IF(OR(NOT(ISNUMBER($C890)),NOT(ISNUMBER($M890)),$M890=0),"",$C890/$M890-1)</f>
        <v/>
      </c>
    </row>
    <row r="891" customFormat="false" ht="15" hidden="false" customHeight="false" outlineLevel="0" collapsed="false">
      <c r="A891" s="55"/>
      <c r="B891" s="56"/>
      <c r="C891" s="57"/>
      <c r="D891" s="56"/>
      <c r="E891" s="56"/>
      <c r="F891" s="56"/>
      <c r="G891" s="50" t="str">
        <f aca="false">IF($A891="","",IF(ISNUMBER($G890),$G890+1,1))</f>
        <v/>
      </c>
      <c r="H891" s="51" t="str">
        <f aca="false">IF(OR(NOT(ISNUMBER($G891)),$G891&lt;2,NOT(ISNUMBER($C890)),$C890=0),"",$C891/$C890-1)</f>
        <v/>
      </c>
      <c r="I891" s="52" t="str">
        <f aca="false">IF(AND(ISNUMBER($G891),$G891&gt;=MA_SHORT),AVERAGE(INDEX($C$491:$C891,402-MA_SHORT):$C891),"")</f>
        <v/>
      </c>
      <c r="J891" s="52" t="str">
        <f aca="false">IF(AND(ISNUMBER($G891),$G891&gt;=MA_MED),AVERAGE(INDEX($C$491:$C891,402-MA_MED):$C891),"")</f>
        <v/>
      </c>
      <c r="K891" s="52" t="str">
        <f aca="false">IF(AND(ISNUMBER($G891),$G891&gt;=MA_LONG2),AVERAGE(INDEX($C$491:$C891,402-MA_LONG2):$C891),"")</f>
        <v/>
      </c>
      <c r="L891" s="53" t="str">
        <f aca="false">IF(AND(ISNUMBER($G891),$G891&gt;=21),STDEV(INDEX($H$831:$H891,62-20):$H891)*SQRT(245),"")</f>
        <v/>
      </c>
      <c r="M891" s="52" t="str">
        <f aca="false">IF(AND(ISNUMBER($G891),$G891&gt;=60),MAX(INDEX($D$691:$D891,202-60):$D891),"")</f>
        <v/>
      </c>
      <c r="N891" s="52" t="str">
        <f aca="false">IF(AND(ISNUMBER($G891),$G891&gt;=60),MIN(INDEX($E$691:$E891,202-60):$E891),"")</f>
        <v/>
      </c>
      <c r="O891" s="53" t="str">
        <f aca="false">IF(OR(NOT(ISNUMBER($C891)),NOT(ISNUMBER($M891)),$M891=0),"",$C891/$M891-1)</f>
        <v/>
      </c>
    </row>
    <row r="892" customFormat="false" ht="15" hidden="false" customHeight="false" outlineLevel="0" collapsed="false">
      <c r="A892" s="55"/>
      <c r="B892" s="56"/>
      <c r="C892" s="57"/>
      <c r="D892" s="56"/>
      <c r="E892" s="56"/>
      <c r="F892" s="56"/>
      <c r="G892" s="50" t="str">
        <f aca="false">IF($A892="","",IF(ISNUMBER($G891),$G891+1,1))</f>
        <v/>
      </c>
      <c r="H892" s="51" t="str">
        <f aca="false">IF(OR(NOT(ISNUMBER($G892)),$G892&lt;2,NOT(ISNUMBER($C891)),$C891=0),"",$C892/$C891-1)</f>
        <v/>
      </c>
      <c r="I892" s="52" t="str">
        <f aca="false">IF(AND(ISNUMBER($G892),$G892&gt;=MA_SHORT),AVERAGE(INDEX($C$492:$C892,402-MA_SHORT):$C892),"")</f>
        <v/>
      </c>
      <c r="J892" s="52" t="str">
        <f aca="false">IF(AND(ISNUMBER($G892),$G892&gt;=MA_MED),AVERAGE(INDEX($C$492:$C892,402-MA_MED):$C892),"")</f>
        <v/>
      </c>
      <c r="K892" s="52" t="str">
        <f aca="false">IF(AND(ISNUMBER($G892),$G892&gt;=MA_LONG2),AVERAGE(INDEX($C$492:$C892,402-MA_LONG2):$C892),"")</f>
        <v/>
      </c>
      <c r="L892" s="53" t="str">
        <f aca="false">IF(AND(ISNUMBER($G892),$G892&gt;=21),STDEV(INDEX($H$832:$H892,62-20):$H892)*SQRT(245),"")</f>
        <v/>
      </c>
      <c r="M892" s="52" t="str">
        <f aca="false">IF(AND(ISNUMBER($G892),$G892&gt;=60),MAX(INDEX($D$692:$D892,202-60):$D892),"")</f>
        <v/>
      </c>
      <c r="N892" s="52" t="str">
        <f aca="false">IF(AND(ISNUMBER($G892),$G892&gt;=60),MIN(INDEX($E$692:$E892,202-60):$E892),"")</f>
        <v/>
      </c>
      <c r="O892" s="53" t="str">
        <f aca="false">IF(OR(NOT(ISNUMBER($C892)),NOT(ISNUMBER($M892)),$M892=0),"",$C892/$M892-1)</f>
        <v/>
      </c>
    </row>
    <row r="893" customFormat="false" ht="15" hidden="false" customHeight="false" outlineLevel="0" collapsed="false">
      <c r="A893" s="55"/>
      <c r="B893" s="56"/>
      <c r="C893" s="57"/>
      <c r="D893" s="56"/>
      <c r="E893" s="56"/>
      <c r="F893" s="56"/>
      <c r="G893" s="50" t="str">
        <f aca="false">IF($A893="","",IF(ISNUMBER($G892),$G892+1,1))</f>
        <v/>
      </c>
      <c r="H893" s="51" t="str">
        <f aca="false">IF(OR(NOT(ISNUMBER($G893)),$G893&lt;2,NOT(ISNUMBER($C892)),$C892=0),"",$C893/$C892-1)</f>
        <v/>
      </c>
      <c r="I893" s="52" t="str">
        <f aca="false">IF(AND(ISNUMBER($G893),$G893&gt;=MA_SHORT),AVERAGE(INDEX($C$493:$C893,402-MA_SHORT):$C893),"")</f>
        <v/>
      </c>
      <c r="J893" s="52" t="str">
        <f aca="false">IF(AND(ISNUMBER($G893),$G893&gt;=MA_MED),AVERAGE(INDEX($C$493:$C893,402-MA_MED):$C893),"")</f>
        <v/>
      </c>
      <c r="K893" s="52" t="str">
        <f aca="false">IF(AND(ISNUMBER($G893),$G893&gt;=MA_LONG2),AVERAGE(INDEX($C$493:$C893,402-MA_LONG2):$C893),"")</f>
        <v/>
      </c>
      <c r="L893" s="53" t="str">
        <f aca="false">IF(AND(ISNUMBER($G893),$G893&gt;=21),STDEV(INDEX($H$833:$H893,62-20):$H893)*SQRT(245),"")</f>
        <v/>
      </c>
      <c r="M893" s="52" t="str">
        <f aca="false">IF(AND(ISNUMBER($G893),$G893&gt;=60),MAX(INDEX($D$693:$D893,202-60):$D893),"")</f>
        <v/>
      </c>
      <c r="N893" s="52" t="str">
        <f aca="false">IF(AND(ISNUMBER($G893),$G893&gt;=60),MIN(INDEX($E$693:$E893,202-60):$E893),"")</f>
        <v/>
      </c>
      <c r="O893" s="53" t="str">
        <f aca="false">IF(OR(NOT(ISNUMBER($C893)),NOT(ISNUMBER($M893)),$M893=0),"",$C893/$M893-1)</f>
        <v/>
      </c>
    </row>
    <row r="894" customFormat="false" ht="15" hidden="false" customHeight="false" outlineLevel="0" collapsed="false">
      <c r="A894" s="55"/>
      <c r="B894" s="56"/>
      <c r="C894" s="57"/>
      <c r="D894" s="56"/>
      <c r="E894" s="56"/>
      <c r="F894" s="56"/>
      <c r="G894" s="50" t="str">
        <f aca="false">IF($A894="","",IF(ISNUMBER($G893),$G893+1,1))</f>
        <v/>
      </c>
      <c r="H894" s="51" t="str">
        <f aca="false">IF(OR(NOT(ISNUMBER($G894)),$G894&lt;2,NOT(ISNUMBER($C893)),$C893=0),"",$C894/$C893-1)</f>
        <v/>
      </c>
      <c r="I894" s="52" t="str">
        <f aca="false">IF(AND(ISNUMBER($G894),$G894&gt;=MA_SHORT),AVERAGE(INDEX($C$494:$C894,402-MA_SHORT):$C894),"")</f>
        <v/>
      </c>
      <c r="J894" s="52" t="str">
        <f aca="false">IF(AND(ISNUMBER($G894),$G894&gt;=MA_MED),AVERAGE(INDEX($C$494:$C894,402-MA_MED):$C894),"")</f>
        <v/>
      </c>
      <c r="K894" s="52" t="str">
        <f aca="false">IF(AND(ISNUMBER($G894),$G894&gt;=MA_LONG2),AVERAGE(INDEX($C$494:$C894,402-MA_LONG2):$C894),"")</f>
        <v/>
      </c>
      <c r="L894" s="53" t="str">
        <f aca="false">IF(AND(ISNUMBER($G894),$G894&gt;=21),STDEV(INDEX($H$834:$H894,62-20):$H894)*SQRT(245),"")</f>
        <v/>
      </c>
      <c r="M894" s="52" t="str">
        <f aca="false">IF(AND(ISNUMBER($G894),$G894&gt;=60),MAX(INDEX($D$694:$D894,202-60):$D894),"")</f>
        <v/>
      </c>
      <c r="N894" s="52" t="str">
        <f aca="false">IF(AND(ISNUMBER($G894),$G894&gt;=60),MIN(INDEX($E$694:$E894,202-60):$E894),"")</f>
        <v/>
      </c>
      <c r="O894" s="53" t="str">
        <f aca="false">IF(OR(NOT(ISNUMBER($C894)),NOT(ISNUMBER($M894)),$M894=0),"",$C894/$M894-1)</f>
        <v/>
      </c>
    </row>
    <row r="895" customFormat="false" ht="15" hidden="false" customHeight="false" outlineLevel="0" collapsed="false">
      <c r="A895" s="55"/>
      <c r="B895" s="56"/>
      <c r="C895" s="57"/>
      <c r="D895" s="56"/>
      <c r="E895" s="56"/>
      <c r="F895" s="56"/>
      <c r="G895" s="50" t="str">
        <f aca="false">IF($A895="","",IF(ISNUMBER($G894),$G894+1,1))</f>
        <v/>
      </c>
      <c r="H895" s="51" t="str">
        <f aca="false">IF(OR(NOT(ISNUMBER($G895)),$G895&lt;2,NOT(ISNUMBER($C894)),$C894=0),"",$C895/$C894-1)</f>
        <v/>
      </c>
      <c r="I895" s="52" t="str">
        <f aca="false">IF(AND(ISNUMBER($G895),$G895&gt;=MA_SHORT),AVERAGE(INDEX($C$495:$C895,402-MA_SHORT):$C895),"")</f>
        <v/>
      </c>
      <c r="J895" s="52" t="str">
        <f aca="false">IF(AND(ISNUMBER($G895),$G895&gt;=MA_MED),AVERAGE(INDEX($C$495:$C895,402-MA_MED):$C895),"")</f>
        <v/>
      </c>
      <c r="K895" s="52" t="str">
        <f aca="false">IF(AND(ISNUMBER($G895),$G895&gt;=MA_LONG2),AVERAGE(INDEX($C$495:$C895,402-MA_LONG2):$C895),"")</f>
        <v/>
      </c>
      <c r="L895" s="53" t="str">
        <f aca="false">IF(AND(ISNUMBER($G895),$G895&gt;=21),STDEV(INDEX($H$835:$H895,62-20):$H895)*SQRT(245),"")</f>
        <v/>
      </c>
      <c r="M895" s="52" t="str">
        <f aca="false">IF(AND(ISNUMBER($G895),$G895&gt;=60),MAX(INDEX($D$695:$D895,202-60):$D895),"")</f>
        <v/>
      </c>
      <c r="N895" s="52" t="str">
        <f aca="false">IF(AND(ISNUMBER($G895),$G895&gt;=60),MIN(INDEX($E$695:$E895,202-60):$E895),"")</f>
        <v/>
      </c>
      <c r="O895" s="53" t="str">
        <f aca="false">IF(OR(NOT(ISNUMBER($C895)),NOT(ISNUMBER($M895)),$M895=0),"",$C895/$M895-1)</f>
        <v/>
      </c>
    </row>
    <row r="896" customFormat="false" ht="15" hidden="false" customHeight="false" outlineLevel="0" collapsed="false">
      <c r="A896" s="55"/>
      <c r="B896" s="56"/>
      <c r="C896" s="57"/>
      <c r="D896" s="56"/>
      <c r="E896" s="56"/>
      <c r="F896" s="56"/>
      <c r="G896" s="50" t="str">
        <f aca="false">IF($A896="","",IF(ISNUMBER($G895),$G895+1,1))</f>
        <v/>
      </c>
      <c r="H896" s="51" t="str">
        <f aca="false">IF(OR(NOT(ISNUMBER($G896)),$G896&lt;2,NOT(ISNUMBER($C895)),$C895=0),"",$C896/$C895-1)</f>
        <v/>
      </c>
      <c r="I896" s="52" t="str">
        <f aca="false">IF(AND(ISNUMBER($G896),$G896&gt;=MA_SHORT),AVERAGE(INDEX($C$496:$C896,402-MA_SHORT):$C896),"")</f>
        <v/>
      </c>
      <c r="J896" s="52" t="str">
        <f aca="false">IF(AND(ISNUMBER($G896),$G896&gt;=MA_MED),AVERAGE(INDEX($C$496:$C896,402-MA_MED):$C896),"")</f>
        <v/>
      </c>
      <c r="K896" s="52" t="str">
        <f aca="false">IF(AND(ISNUMBER($G896),$G896&gt;=MA_LONG2),AVERAGE(INDEX($C$496:$C896,402-MA_LONG2):$C896),"")</f>
        <v/>
      </c>
      <c r="L896" s="53" t="str">
        <f aca="false">IF(AND(ISNUMBER($G896),$G896&gt;=21),STDEV(INDEX($H$836:$H896,62-20):$H896)*SQRT(245),"")</f>
        <v/>
      </c>
      <c r="M896" s="52" t="str">
        <f aca="false">IF(AND(ISNUMBER($G896),$G896&gt;=60),MAX(INDEX($D$696:$D896,202-60):$D896),"")</f>
        <v/>
      </c>
      <c r="N896" s="52" t="str">
        <f aca="false">IF(AND(ISNUMBER($G896),$G896&gt;=60),MIN(INDEX($E$696:$E896,202-60):$E896),"")</f>
        <v/>
      </c>
      <c r="O896" s="53" t="str">
        <f aca="false">IF(OR(NOT(ISNUMBER($C896)),NOT(ISNUMBER($M896)),$M896=0),"",$C896/$M896-1)</f>
        <v/>
      </c>
    </row>
    <row r="897" customFormat="false" ht="15" hidden="false" customHeight="false" outlineLevel="0" collapsed="false">
      <c r="A897" s="55"/>
      <c r="B897" s="56"/>
      <c r="C897" s="57"/>
      <c r="D897" s="56"/>
      <c r="E897" s="56"/>
      <c r="F897" s="56"/>
      <c r="G897" s="50" t="str">
        <f aca="false">IF($A897="","",IF(ISNUMBER($G896),$G896+1,1))</f>
        <v/>
      </c>
      <c r="H897" s="51" t="str">
        <f aca="false">IF(OR(NOT(ISNUMBER($G897)),$G897&lt;2,NOT(ISNUMBER($C896)),$C896=0),"",$C897/$C896-1)</f>
        <v/>
      </c>
      <c r="I897" s="52" t="str">
        <f aca="false">IF(AND(ISNUMBER($G897),$G897&gt;=MA_SHORT),AVERAGE(INDEX($C$497:$C897,402-MA_SHORT):$C897),"")</f>
        <v/>
      </c>
      <c r="J897" s="52" t="str">
        <f aca="false">IF(AND(ISNUMBER($G897),$G897&gt;=MA_MED),AVERAGE(INDEX($C$497:$C897,402-MA_MED):$C897),"")</f>
        <v/>
      </c>
      <c r="K897" s="52" t="str">
        <f aca="false">IF(AND(ISNUMBER($G897),$G897&gt;=MA_LONG2),AVERAGE(INDEX($C$497:$C897,402-MA_LONG2):$C897),"")</f>
        <v/>
      </c>
      <c r="L897" s="53" t="str">
        <f aca="false">IF(AND(ISNUMBER($G897),$G897&gt;=21),STDEV(INDEX($H$837:$H897,62-20):$H897)*SQRT(245),"")</f>
        <v/>
      </c>
      <c r="M897" s="52" t="str">
        <f aca="false">IF(AND(ISNUMBER($G897),$G897&gt;=60),MAX(INDEX($D$697:$D897,202-60):$D897),"")</f>
        <v/>
      </c>
      <c r="N897" s="52" t="str">
        <f aca="false">IF(AND(ISNUMBER($G897),$G897&gt;=60),MIN(INDEX($E$697:$E897,202-60):$E897),"")</f>
        <v/>
      </c>
      <c r="O897" s="53" t="str">
        <f aca="false">IF(OR(NOT(ISNUMBER($C897)),NOT(ISNUMBER($M897)),$M897=0),"",$C897/$M897-1)</f>
        <v/>
      </c>
    </row>
    <row r="898" customFormat="false" ht="15" hidden="false" customHeight="false" outlineLevel="0" collapsed="false">
      <c r="A898" s="55"/>
      <c r="B898" s="56"/>
      <c r="C898" s="57"/>
      <c r="D898" s="56"/>
      <c r="E898" s="56"/>
      <c r="F898" s="56"/>
      <c r="G898" s="50" t="str">
        <f aca="false">IF($A898="","",IF(ISNUMBER($G897),$G897+1,1))</f>
        <v/>
      </c>
      <c r="H898" s="51" t="str">
        <f aca="false">IF(OR(NOT(ISNUMBER($G898)),$G898&lt;2,NOT(ISNUMBER($C897)),$C897=0),"",$C898/$C897-1)</f>
        <v/>
      </c>
      <c r="I898" s="52" t="str">
        <f aca="false">IF(AND(ISNUMBER($G898),$G898&gt;=MA_SHORT),AVERAGE(INDEX($C$498:$C898,402-MA_SHORT):$C898),"")</f>
        <v/>
      </c>
      <c r="J898" s="52" t="str">
        <f aca="false">IF(AND(ISNUMBER($G898),$G898&gt;=MA_MED),AVERAGE(INDEX($C$498:$C898,402-MA_MED):$C898),"")</f>
        <v/>
      </c>
      <c r="K898" s="52" t="str">
        <f aca="false">IF(AND(ISNUMBER($G898),$G898&gt;=MA_LONG2),AVERAGE(INDEX($C$498:$C898,402-MA_LONG2):$C898),"")</f>
        <v/>
      </c>
      <c r="L898" s="53" t="str">
        <f aca="false">IF(AND(ISNUMBER($G898),$G898&gt;=21),STDEV(INDEX($H$838:$H898,62-20):$H898)*SQRT(245),"")</f>
        <v/>
      </c>
      <c r="M898" s="52" t="str">
        <f aca="false">IF(AND(ISNUMBER($G898),$G898&gt;=60),MAX(INDEX($D$698:$D898,202-60):$D898),"")</f>
        <v/>
      </c>
      <c r="N898" s="52" t="str">
        <f aca="false">IF(AND(ISNUMBER($G898),$G898&gt;=60),MIN(INDEX($E$698:$E898,202-60):$E898),"")</f>
        <v/>
      </c>
      <c r="O898" s="53" t="str">
        <f aca="false">IF(OR(NOT(ISNUMBER($C898)),NOT(ISNUMBER($M898)),$M898=0),"",$C898/$M898-1)</f>
        <v/>
      </c>
    </row>
    <row r="899" customFormat="false" ht="15" hidden="false" customHeight="false" outlineLevel="0" collapsed="false">
      <c r="A899" s="55"/>
      <c r="B899" s="56"/>
      <c r="C899" s="57"/>
      <c r="D899" s="56"/>
      <c r="E899" s="56"/>
      <c r="F899" s="56"/>
      <c r="G899" s="50" t="str">
        <f aca="false">IF($A899="","",IF(ISNUMBER($G898),$G898+1,1))</f>
        <v/>
      </c>
      <c r="H899" s="51" t="str">
        <f aca="false">IF(OR(NOT(ISNUMBER($G899)),$G899&lt;2,NOT(ISNUMBER($C898)),$C898=0),"",$C899/$C898-1)</f>
        <v/>
      </c>
      <c r="I899" s="52" t="str">
        <f aca="false">IF(AND(ISNUMBER($G899),$G899&gt;=MA_SHORT),AVERAGE(INDEX($C$499:$C899,402-MA_SHORT):$C899),"")</f>
        <v/>
      </c>
      <c r="J899" s="52" t="str">
        <f aca="false">IF(AND(ISNUMBER($G899),$G899&gt;=MA_MED),AVERAGE(INDEX($C$499:$C899,402-MA_MED):$C899),"")</f>
        <v/>
      </c>
      <c r="K899" s="52" t="str">
        <f aca="false">IF(AND(ISNUMBER($G899),$G899&gt;=MA_LONG2),AVERAGE(INDEX($C$499:$C899,402-MA_LONG2):$C899),"")</f>
        <v/>
      </c>
      <c r="L899" s="53" t="str">
        <f aca="false">IF(AND(ISNUMBER($G899),$G899&gt;=21),STDEV(INDEX($H$839:$H899,62-20):$H899)*SQRT(245),"")</f>
        <v/>
      </c>
      <c r="M899" s="52" t="str">
        <f aca="false">IF(AND(ISNUMBER($G899),$G899&gt;=60),MAX(INDEX($D$699:$D899,202-60):$D899),"")</f>
        <v/>
      </c>
      <c r="N899" s="52" t="str">
        <f aca="false">IF(AND(ISNUMBER($G899),$G899&gt;=60),MIN(INDEX($E$699:$E899,202-60):$E899),"")</f>
        <v/>
      </c>
      <c r="O899" s="53" t="str">
        <f aca="false">IF(OR(NOT(ISNUMBER($C899)),NOT(ISNUMBER($M899)),$M899=0),"",$C899/$M899-1)</f>
        <v/>
      </c>
    </row>
    <row r="900" customFormat="false" ht="15" hidden="false" customHeight="false" outlineLevel="0" collapsed="false">
      <c r="A900" s="55"/>
      <c r="B900" s="56"/>
      <c r="C900" s="57"/>
      <c r="D900" s="56"/>
      <c r="E900" s="56"/>
      <c r="F900" s="56"/>
      <c r="G900" s="50" t="str">
        <f aca="false">IF($A900="","",IF(ISNUMBER($G899),$G899+1,1))</f>
        <v/>
      </c>
      <c r="H900" s="51" t="str">
        <f aca="false">IF(OR(NOT(ISNUMBER($G900)),$G900&lt;2,NOT(ISNUMBER($C899)),$C899=0),"",$C900/$C899-1)</f>
        <v/>
      </c>
      <c r="I900" s="52" t="str">
        <f aca="false">IF(AND(ISNUMBER($G900),$G900&gt;=MA_SHORT),AVERAGE(INDEX($C$500:$C900,402-MA_SHORT):$C900),"")</f>
        <v/>
      </c>
      <c r="J900" s="52" t="str">
        <f aca="false">IF(AND(ISNUMBER($G900),$G900&gt;=MA_MED),AVERAGE(INDEX($C$500:$C900,402-MA_MED):$C900),"")</f>
        <v/>
      </c>
      <c r="K900" s="52" t="str">
        <f aca="false">IF(AND(ISNUMBER($G900),$G900&gt;=MA_LONG2),AVERAGE(INDEX($C$500:$C900,402-MA_LONG2):$C900),"")</f>
        <v/>
      </c>
      <c r="L900" s="53" t="str">
        <f aca="false">IF(AND(ISNUMBER($G900),$G900&gt;=21),STDEV(INDEX($H$840:$H900,62-20):$H900)*SQRT(245),"")</f>
        <v/>
      </c>
      <c r="M900" s="52" t="str">
        <f aca="false">IF(AND(ISNUMBER($G900),$G900&gt;=60),MAX(INDEX($D$700:$D900,202-60):$D900),"")</f>
        <v/>
      </c>
      <c r="N900" s="52" t="str">
        <f aca="false">IF(AND(ISNUMBER($G900),$G900&gt;=60),MIN(INDEX($E$700:$E900,202-60):$E900),"")</f>
        <v/>
      </c>
      <c r="O900" s="53" t="str">
        <f aca="false">IF(OR(NOT(ISNUMBER($C900)),NOT(ISNUMBER($M900)),$M900=0),"",$C900/$M900-1)</f>
        <v/>
      </c>
    </row>
    <row r="901" customFormat="false" ht="15" hidden="false" customHeight="false" outlineLevel="0" collapsed="false">
      <c r="A901" s="55"/>
      <c r="B901" s="56"/>
      <c r="C901" s="57"/>
      <c r="D901" s="56"/>
      <c r="E901" s="56"/>
      <c r="F901" s="56"/>
      <c r="G901" s="50" t="str">
        <f aca="false">IF($A901="","",IF(ISNUMBER($G900),$G900+1,1))</f>
        <v/>
      </c>
      <c r="H901" s="51" t="str">
        <f aca="false">IF(OR(NOT(ISNUMBER($G901)),$G901&lt;2,NOT(ISNUMBER($C900)),$C900=0),"",$C901/$C900-1)</f>
        <v/>
      </c>
      <c r="I901" s="52" t="str">
        <f aca="false">IF(AND(ISNUMBER($G901),$G901&gt;=MA_SHORT),AVERAGE(INDEX($C$501:$C901,402-MA_SHORT):$C901),"")</f>
        <v/>
      </c>
      <c r="J901" s="52" t="str">
        <f aca="false">IF(AND(ISNUMBER($G901),$G901&gt;=MA_MED),AVERAGE(INDEX($C$501:$C901,402-MA_MED):$C901),"")</f>
        <v/>
      </c>
      <c r="K901" s="52" t="str">
        <f aca="false">IF(AND(ISNUMBER($G901),$G901&gt;=MA_LONG2),AVERAGE(INDEX($C$501:$C901,402-MA_LONG2):$C901),"")</f>
        <v/>
      </c>
      <c r="L901" s="53" t="str">
        <f aca="false">IF(AND(ISNUMBER($G901),$G901&gt;=21),STDEV(INDEX($H$841:$H901,62-20):$H901)*SQRT(245),"")</f>
        <v/>
      </c>
      <c r="M901" s="52" t="str">
        <f aca="false">IF(AND(ISNUMBER($G901),$G901&gt;=60),MAX(INDEX($D$701:$D901,202-60):$D901),"")</f>
        <v/>
      </c>
      <c r="N901" s="52" t="str">
        <f aca="false">IF(AND(ISNUMBER($G901),$G901&gt;=60),MIN(INDEX($E$701:$E901,202-60):$E901),"")</f>
        <v/>
      </c>
      <c r="O901" s="53" t="str">
        <f aca="false">IF(OR(NOT(ISNUMBER($C901)),NOT(ISNUMBER($M901)),$M901=0),"",$C901/$M901-1)</f>
        <v/>
      </c>
    </row>
    <row r="902" customFormat="false" ht="15" hidden="false" customHeight="false" outlineLevel="0" collapsed="false">
      <c r="A902" s="55"/>
      <c r="B902" s="56"/>
      <c r="C902" s="57"/>
      <c r="D902" s="56"/>
      <c r="E902" s="56"/>
      <c r="F902" s="56"/>
      <c r="G902" s="50" t="str">
        <f aca="false">IF($A902="","",IF(ISNUMBER($G901),$G901+1,1))</f>
        <v/>
      </c>
      <c r="H902" s="51" t="str">
        <f aca="false">IF(OR(NOT(ISNUMBER($G902)),$G902&lt;2,NOT(ISNUMBER($C901)),$C901=0),"",$C902/$C901-1)</f>
        <v/>
      </c>
      <c r="I902" s="52" t="str">
        <f aca="false">IF(AND(ISNUMBER($G902),$G902&gt;=MA_SHORT),AVERAGE(INDEX($C$502:$C902,402-MA_SHORT):$C902),"")</f>
        <v/>
      </c>
      <c r="J902" s="52" t="str">
        <f aca="false">IF(AND(ISNUMBER($G902),$G902&gt;=MA_MED),AVERAGE(INDEX($C$502:$C902,402-MA_MED):$C902),"")</f>
        <v/>
      </c>
      <c r="K902" s="52" t="str">
        <f aca="false">IF(AND(ISNUMBER($G902),$G902&gt;=MA_LONG2),AVERAGE(INDEX($C$502:$C902,402-MA_LONG2):$C902),"")</f>
        <v/>
      </c>
      <c r="L902" s="53" t="str">
        <f aca="false">IF(AND(ISNUMBER($G902),$G902&gt;=21),STDEV(INDEX($H$842:$H902,62-20):$H902)*SQRT(245),"")</f>
        <v/>
      </c>
      <c r="M902" s="52" t="str">
        <f aca="false">IF(AND(ISNUMBER($G902),$G902&gt;=60),MAX(INDEX($D$702:$D902,202-60):$D902),"")</f>
        <v/>
      </c>
      <c r="N902" s="52" t="str">
        <f aca="false">IF(AND(ISNUMBER($G902),$G902&gt;=60),MIN(INDEX($E$702:$E902,202-60):$E902),"")</f>
        <v/>
      </c>
      <c r="O902" s="53" t="str">
        <f aca="false">IF(OR(NOT(ISNUMBER($C902)),NOT(ISNUMBER($M902)),$M902=0),"",$C902/$M902-1)</f>
        <v/>
      </c>
    </row>
    <row r="903" customFormat="false" ht="15" hidden="false" customHeight="false" outlineLevel="0" collapsed="false">
      <c r="A903" s="55"/>
      <c r="B903" s="56"/>
      <c r="C903" s="57"/>
      <c r="D903" s="56"/>
      <c r="E903" s="56"/>
      <c r="F903" s="56"/>
      <c r="G903" s="50" t="str">
        <f aca="false">IF($A903="","",IF(ISNUMBER($G902),$G902+1,1))</f>
        <v/>
      </c>
      <c r="H903" s="51" t="str">
        <f aca="false">IF(OR(NOT(ISNUMBER($G903)),$G903&lt;2,NOT(ISNUMBER($C902)),$C902=0),"",$C903/$C902-1)</f>
        <v/>
      </c>
      <c r="I903" s="52" t="str">
        <f aca="false">IF(AND(ISNUMBER($G903),$G903&gt;=MA_SHORT),AVERAGE(INDEX($C$503:$C903,402-MA_SHORT):$C903),"")</f>
        <v/>
      </c>
      <c r="J903" s="52" t="str">
        <f aca="false">IF(AND(ISNUMBER($G903),$G903&gt;=MA_MED),AVERAGE(INDEX($C$503:$C903,402-MA_MED):$C903),"")</f>
        <v/>
      </c>
      <c r="K903" s="52" t="str">
        <f aca="false">IF(AND(ISNUMBER($G903),$G903&gt;=MA_LONG2),AVERAGE(INDEX($C$503:$C903,402-MA_LONG2):$C903),"")</f>
        <v/>
      </c>
      <c r="L903" s="53" t="str">
        <f aca="false">IF(AND(ISNUMBER($G903),$G903&gt;=21),STDEV(INDEX($H$843:$H903,62-20):$H903)*SQRT(245),"")</f>
        <v/>
      </c>
      <c r="M903" s="52" t="str">
        <f aca="false">IF(AND(ISNUMBER($G903),$G903&gt;=60),MAX(INDEX($D$703:$D903,202-60):$D903),"")</f>
        <v/>
      </c>
      <c r="N903" s="52" t="str">
        <f aca="false">IF(AND(ISNUMBER($G903),$G903&gt;=60),MIN(INDEX($E$703:$E903,202-60):$E903),"")</f>
        <v/>
      </c>
      <c r="O903" s="53" t="str">
        <f aca="false">IF(OR(NOT(ISNUMBER($C903)),NOT(ISNUMBER($M903)),$M903=0),"",$C903/$M903-1)</f>
        <v/>
      </c>
    </row>
    <row r="904" customFormat="false" ht="15" hidden="false" customHeight="false" outlineLevel="0" collapsed="false">
      <c r="A904" s="55"/>
      <c r="B904" s="56"/>
      <c r="C904" s="57"/>
      <c r="D904" s="56"/>
      <c r="E904" s="56"/>
      <c r="F904" s="56"/>
      <c r="G904" s="50" t="str">
        <f aca="false">IF($A904="","",IF(ISNUMBER($G903),$G903+1,1))</f>
        <v/>
      </c>
      <c r="H904" s="51" t="str">
        <f aca="false">IF(OR(NOT(ISNUMBER($G904)),$G904&lt;2,NOT(ISNUMBER($C903)),$C903=0),"",$C904/$C903-1)</f>
        <v/>
      </c>
      <c r="I904" s="52" t="str">
        <f aca="false">IF(AND(ISNUMBER($G904),$G904&gt;=MA_SHORT),AVERAGE(INDEX($C$504:$C904,402-MA_SHORT):$C904),"")</f>
        <v/>
      </c>
      <c r="J904" s="52" t="str">
        <f aca="false">IF(AND(ISNUMBER($G904),$G904&gt;=MA_MED),AVERAGE(INDEX($C$504:$C904,402-MA_MED):$C904),"")</f>
        <v/>
      </c>
      <c r="K904" s="52" t="str">
        <f aca="false">IF(AND(ISNUMBER($G904),$G904&gt;=MA_LONG2),AVERAGE(INDEX($C$504:$C904,402-MA_LONG2):$C904),"")</f>
        <v/>
      </c>
      <c r="L904" s="53" t="str">
        <f aca="false">IF(AND(ISNUMBER($G904),$G904&gt;=21),STDEV(INDEX($H$844:$H904,62-20):$H904)*SQRT(245),"")</f>
        <v/>
      </c>
      <c r="M904" s="52" t="str">
        <f aca="false">IF(AND(ISNUMBER($G904),$G904&gt;=60),MAX(INDEX($D$704:$D904,202-60):$D904),"")</f>
        <v/>
      </c>
      <c r="N904" s="52" t="str">
        <f aca="false">IF(AND(ISNUMBER($G904),$G904&gt;=60),MIN(INDEX($E$704:$E904,202-60):$E904),"")</f>
        <v/>
      </c>
      <c r="O904" s="53" t="str">
        <f aca="false">IF(OR(NOT(ISNUMBER($C904)),NOT(ISNUMBER($M904)),$M904=0),"",$C904/$M904-1)</f>
        <v/>
      </c>
    </row>
    <row r="905" customFormat="false" ht="15" hidden="false" customHeight="false" outlineLevel="0" collapsed="false">
      <c r="A905" s="55"/>
      <c r="B905" s="56"/>
      <c r="C905" s="57"/>
      <c r="D905" s="56"/>
      <c r="E905" s="56"/>
      <c r="F905" s="56"/>
      <c r="G905" s="50" t="str">
        <f aca="false">IF($A905="","",IF(ISNUMBER($G904),$G904+1,1))</f>
        <v/>
      </c>
      <c r="H905" s="51" t="str">
        <f aca="false">IF(OR(NOT(ISNUMBER($G905)),$G905&lt;2,NOT(ISNUMBER($C904)),$C904=0),"",$C905/$C904-1)</f>
        <v/>
      </c>
      <c r="I905" s="52" t="str">
        <f aca="false">IF(AND(ISNUMBER($G905),$G905&gt;=MA_SHORT),AVERAGE(INDEX($C$505:$C905,402-MA_SHORT):$C905),"")</f>
        <v/>
      </c>
      <c r="J905" s="52" t="str">
        <f aca="false">IF(AND(ISNUMBER($G905),$G905&gt;=MA_MED),AVERAGE(INDEX($C$505:$C905,402-MA_MED):$C905),"")</f>
        <v/>
      </c>
      <c r="K905" s="52" t="str">
        <f aca="false">IF(AND(ISNUMBER($G905),$G905&gt;=MA_LONG2),AVERAGE(INDEX($C$505:$C905,402-MA_LONG2):$C905),"")</f>
        <v/>
      </c>
      <c r="L905" s="53" t="str">
        <f aca="false">IF(AND(ISNUMBER($G905),$G905&gt;=21),STDEV(INDEX($H$845:$H905,62-20):$H905)*SQRT(245),"")</f>
        <v/>
      </c>
      <c r="M905" s="52" t="str">
        <f aca="false">IF(AND(ISNUMBER($G905),$G905&gt;=60),MAX(INDEX($D$705:$D905,202-60):$D905),"")</f>
        <v/>
      </c>
      <c r="N905" s="52" t="str">
        <f aca="false">IF(AND(ISNUMBER($G905),$G905&gt;=60),MIN(INDEX($E$705:$E905,202-60):$E905),"")</f>
        <v/>
      </c>
      <c r="O905" s="53" t="str">
        <f aca="false">IF(OR(NOT(ISNUMBER($C905)),NOT(ISNUMBER($M905)),$M905=0),"",$C905/$M905-1)</f>
        <v/>
      </c>
    </row>
    <row r="906" customFormat="false" ht="15" hidden="false" customHeight="false" outlineLevel="0" collapsed="false">
      <c r="A906" s="55"/>
      <c r="B906" s="56"/>
      <c r="C906" s="57"/>
      <c r="D906" s="56"/>
      <c r="E906" s="56"/>
      <c r="F906" s="56"/>
      <c r="G906" s="50" t="str">
        <f aca="false">IF($A906="","",IF(ISNUMBER($G905),$G905+1,1))</f>
        <v/>
      </c>
      <c r="H906" s="51" t="str">
        <f aca="false">IF(OR(NOT(ISNUMBER($G906)),$G906&lt;2,NOT(ISNUMBER($C905)),$C905=0),"",$C906/$C905-1)</f>
        <v/>
      </c>
      <c r="I906" s="52" t="str">
        <f aca="false">IF(AND(ISNUMBER($G906),$G906&gt;=MA_SHORT),AVERAGE(INDEX($C$506:$C906,402-MA_SHORT):$C906),"")</f>
        <v/>
      </c>
      <c r="J906" s="52" t="str">
        <f aca="false">IF(AND(ISNUMBER($G906),$G906&gt;=MA_MED),AVERAGE(INDEX($C$506:$C906,402-MA_MED):$C906),"")</f>
        <v/>
      </c>
      <c r="K906" s="52" t="str">
        <f aca="false">IF(AND(ISNUMBER($G906),$G906&gt;=MA_LONG2),AVERAGE(INDEX($C$506:$C906,402-MA_LONG2):$C906),"")</f>
        <v/>
      </c>
      <c r="L906" s="53" t="str">
        <f aca="false">IF(AND(ISNUMBER($G906),$G906&gt;=21),STDEV(INDEX($H$846:$H906,62-20):$H906)*SQRT(245),"")</f>
        <v/>
      </c>
      <c r="M906" s="52" t="str">
        <f aca="false">IF(AND(ISNUMBER($G906),$G906&gt;=60),MAX(INDEX($D$706:$D906,202-60):$D906),"")</f>
        <v/>
      </c>
      <c r="N906" s="52" t="str">
        <f aca="false">IF(AND(ISNUMBER($G906),$G906&gt;=60),MIN(INDEX($E$706:$E906,202-60):$E906),"")</f>
        <v/>
      </c>
      <c r="O906" s="53" t="str">
        <f aca="false">IF(OR(NOT(ISNUMBER($C906)),NOT(ISNUMBER($M906)),$M906=0),"",$C906/$M906-1)</f>
        <v/>
      </c>
    </row>
    <row r="907" customFormat="false" ht="15" hidden="false" customHeight="false" outlineLevel="0" collapsed="false">
      <c r="A907" s="55"/>
      <c r="B907" s="56"/>
      <c r="C907" s="57"/>
      <c r="D907" s="56"/>
      <c r="E907" s="56"/>
      <c r="F907" s="56"/>
      <c r="G907" s="50" t="str">
        <f aca="false">IF($A907="","",IF(ISNUMBER($G906),$G906+1,1))</f>
        <v/>
      </c>
      <c r="H907" s="51" t="str">
        <f aca="false">IF(OR(NOT(ISNUMBER($G907)),$G907&lt;2,NOT(ISNUMBER($C906)),$C906=0),"",$C907/$C906-1)</f>
        <v/>
      </c>
      <c r="I907" s="52" t="str">
        <f aca="false">IF(AND(ISNUMBER($G907),$G907&gt;=MA_SHORT),AVERAGE(INDEX($C$507:$C907,402-MA_SHORT):$C907),"")</f>
        <v/>
      </c>
      <c r="J907" s="52" t="str">
        <f aca="false">IF(AND(ISNUMBER($G907),$G907&gt;=MA_MED),AVERAGE(INDEX($C$507:$C907,402-MA_MED):$C907),"")</f>
        <v/>
      </c>
      <c r="K907" s="52" t="str">
        <f aca="false">IF(AND(ISNUMBER($G907),$G907&gt;=MA_LONG2),AVERAGE(INDEX($C$507:$C907,402-MA_LONG2):$C907),"")</f>
        <v/>
      </c>
      <c r="L907" s="53" t="str">
        <f aca="false">IF(AND(ISNUMBER($G907),$G907&gt;=21),STDEV(INDEX($H$847:$H907,62-20):$H907)*SQRT(245),"")</f>
        <v/>
      </c>
      <c r="M907" s="52" t="str">
        <f aca="false">IF(AND(ISNUMBER($G907),$G907&gt;=60),MAX(INDEX($D$707:$D907,202-60):$D907),"")</f>
        <v/>
      </c>
      <c r="N907" s="52" t="str">
        <f aca="false">IF(AND(ISNUMBER($G907),$G907&gt;=60),MIN(INDEX($E$707:$E907,202-60):$E907),"")</f>
        <v/>
      </c>
      <c r="O907" s="53" t="str">
        <f aca="false">IF(OR(NOT(ISNUMBER($C907)),NOT(ISNUMBER($M907)),$M907=0),"",$C907/$M907-1)</f>
        <v/>
      </c>
    </row>
    <row r="908" customFormat="false" ht="15" hidden="false" customHeight="false" outlineLevel="0" collapsed="false">
      <c r="A908" s="55"/>
      <c r="B908" s="56"/>
      <c r="C908" s="57"/>
      <c r="D908" s="56"/>
      <c r="E908" s="56"/>
      <c r="F908" s="56"/>
      <c r="G908" s="50" t="str">
        <f aca="false">IF($A908="","",IF(ISNUMBER($G907),$G907+1,1))</f>
        <v/>
      </c>
      <c r="H908" s="51" t="str">
        <f aca="false">IF(OR(NOT(ISNUMBER($G908)),$G908&lt;2,NOT(ISNUMBER($C907)),$C907=0),"",$C908/$C907-1)</f>
        <v/>
      </c>
      <c r="I908" s="52" t="str">
        <f aca="false">IF(AND(ISNUMBER($G908),$G908&gt;=MA_SHORT),AVERAGE(INDEX($C$508:$C908,402-MA_SHORT):$C908),"")</f>
        <v/>
      </c>
      <c r="J908" s="52" t="str">
        <f aca="false">IF(AND(ISNUMBER($G908),$G908&gt;=MA_MED),AVERAGE(INDEX($C$508:$C908,402-MA_MED):$C908),"")</f>
        <v/>
      </c>
      <c r="K908" s="52" t="str">
        <f aca="false">IF(AND(ISNUMBER($G908),$G908&gt;=MA_LONG2),AVERAGE(INDEX($C$508:$C908,402-MA_LONG2):$C908),"")</f>
        <v/>
      </c>
      <c r="L908" s="53" t="str">
        <f aca="false">IF(AND(ISNUMBER($G908),$G908&gt;=21),STDEV(INDEX($H$848:$H908,62-20):$H908)*SQRT(245),"")</f>
        <v/>
      </c>
      <c r="M908" s="52" t="str">
        <f aca="false">IF(AND(ISNUMBER($G908),$G908&gt;=60),MAX(INDEX($D$708:$D908,202-60):$D908),"")</f>
        <v/>
      </c>
      <c r="N908" s="52" t="str">
        <f aca="false">IF(AND(ISNUMBER($G908),$G908&gt;=60),MIN(INDEX($E$708:$E908,202-60):$E908),"")</f>
        <v/>
      </c>
      <c r="O908" s="53" t="str">
        <f aca="false">IF(OR(NOT(ISNUMBER($C908)),NOT(ISNUMBER($M908)),$M908=0),"",$C908/$M908-1)</f>
        <v/>
      </c>
    </row>
    <row r="909" customFormat="false" ht="15" hidden="false" customHeight="false" outlineLevel="0" collapsed="false">
      <c r="A909" s="55"/>
      <c r="B909" s="56"/>
      <c r="C909" s="57"/>
      <c r="D909" s="56"/>
      <c r="E909" s="56"/>
      <c r="F909" s="56"/>
      <c r="G909" s="50" t="str">
        <f aca="false">IF($A909="","",IF(ISNUMBER($G908),$G908+1,1))</f>
        <v/>
      </c>
      <c r="H909" s="51" t="str">
        <f aca="false">IF(OR(NOT(ISNUMBER($G909)),$G909&lt;2,NOT(ISNUMBER($C908)),$C908=0),"",$C909/$C908-1)</f>
        <v/>
      </c>
      <c r="I909" s="52" t="str">
        <f aca="false">IF(AND(ISNUMBER($G909),$G909&gt;=MA_SHORT),AVERAGE(INDEX($C$509:$C909,402-MA_SHORT):$C909),"")</f>
        <v/>
      </c>
      <c r="J909" s="52" t="str">
        <f aca="false">IF(AND(ISNUMBER($G909),$G909&gt;=MA_MED),AVERAGE(INDEX($C$509:$C909,402-MA_MED):$C909),"")</f>
        <v/>
      </c>
      <c r="K909" s="52" t="str">
        <f aca="false">IF(AND(ISNUMBER($G909),$G909&gt;=MA_LONG2),AVERAGE(INDEX($C$509:$C909,402-MA_LONG2):$C909),"")</f>
        <v/>
      </c>
      <c r="L909" s="53" t="str">
        <f aca="false">IF(AND(ISNUMBER($G909),$G909&gt;=21),STDEV(INDEX($H$849:$H909,62-20):$H909)*SQRT(245),"")</f>
        <v/>
      </c>
      <c r="M909" s="52" t="str">
        <f aca="false">IF(AND(ISNUMBER($G909),$G909&gt;=60),MAX(INDEX($D$709:$D909,202-60):$D909),"")</f>
        <v/>
      </c>
      <c r="N909" s="52" t="str">
        <f aca="false">IF(AND(ISNUMBER($G909),$G909&gt;=60),MIN(INDEX($E$709:$E909,202-60):$E909),"")</f>
        <v/>
      </c>
      <c r="O909" s="53" t="str">
        <f aca="false">IF(OR(NOT(ISNUMBER($C909)),NOT(ISNUMBER($M909)),$M909=0),"",$C909/$M909-1)</f>
        <v/>
      </c>
    </row>
    <row r="910" customFormat="false" ht="15" hidden="false" customHeight="false" outlineLevel="0" collapsed="false">
      <c r="A910" s="55"/>
      <c r="B910" s="56"/>
      <c r="C910" s="57"/>
      <c r="D910" s="56"/>
      <c r="E910" s="56"/>
      <c r="F910" s="56"/>
      <c r="G910" s="50" t="str">
        <f aca="false">IF($A910="","",IF(ISNUMBER($G909),$G909+1,1))</f>
        <v/>
      </c>
      <c r="H910" s="51" t="str">
        <f aca="false">IF(OR(NOT(ISNUMBER($G910)),$G910&lt;2,NOT(ISNUMBER($C909)),$C909=0),"",$C910/$C909-1)</f>
        <v/>
      </c>
      <c r="I910" s="52" t="str">
        <f aca="false">IF(AND(ISNUMBER($G910),$G910&gt;=MA_SHORT),AVERAGE(INDEX($C$510:$C910,402-MA_SHORT):$C910),"")</f>
        <v/>
      </c>
      <c r="J910" s="52" t="str">
        <f aca="false">IF(AND(ISNUMBER($G910),$G910&gt;=MA_MED),AVERAGE(INDEX($C$510:$C910,402-MA_MED):$C910),"")</f>
        <v/>
      </c>
      <c r="K910" s="52" t="str">
        <f aca="false">IF(AND(ISNUMBER($G910),$G910&gt;=MA_LONG2),AVERAGE(INDEX($C$510:$C910,402-MA_LONG2):$C910),"")</f>
        <v/>
      </c>
      <c r="L910" s="53" t="str">
        <f aca="false">IF(AND(ISNUMBER($G910),$G910&gt;=21),STDEV(INDEX($H$850:$H910,62-20):$H910)*SQRT(245),"")</f>
        <v/>
      </c>
      <c r="M910" s="52" t="str">
        <f aca="false">IF(AND(ISNUMBER($G910),$G910&gt;=60),MAX(INDEX($D$710:$D910,202-60):$D910),"")</f>
        <v/>
      </c>
      <c r="N910" s="52" t="str">
        <f aca="false">IF(AND(ISNUMBER($G910),$G910&gt;=60),MIN(INDEX($E$710:$E910,202-60):$E910),"")</f>
        <v/>
      </c>
      <c r="O910" s="53" t="str">
        <f aca="false">IF(OR(NOT(ISNUMBER($C910)),NOT(ISNUMBER($M910)),$M910=0),"",$C910/$M910-1)</f>
        <v/>
      </c>
    </row>
    <row r="911" customFormat="false" ht="15" hidden="false" customHeight="false" outlineLevel="0" collapsed="false">
      <c r="A911" s="55"/>
      <c r="B911" s="56"/>
      <c r="C911" s="57"/>
      <c r="D911" s="56"/>
      <c r="E911" s="56"/>
      <c r="F911" s="56"/>
      <c r="G911" s="50" t="str">
        <f aca="false">IF($A911="","",IF(ISNUMBER($G910),$G910+1,1))</f>
        <v/>
      </c>
      <c r="H911" s="51" t="str">
        <f aca="false">IF(OR(NOT(ISNUMBER($G911)),$G911&lt;2,NOT(ISNUMBER($C910)),$C910=0),"",$C911/$C910-1)</f>
        <v/>
      </c>
      <c r="I911" s="52" t="str">
        <f aca="false">IF(AND(ISNUMBER($G911),$G911&gt;=MA_SHORT),AVERAGE(INDEX($C$511:$C911,402-MA_SHORT):$C911),"")</f>
        <v/>
      </c>
      <c r="J911" s="52" t="str">
        <f aca="false">IF(AND(ISNUMBER($G911),$G911&gt;=MA_MED),AVERAGE(INDEX($C$511:$C911,402-MA_MED):$C911),"")</f>
        <v/>
      </c>
      <c r="K911" s="52" t="str">
        <f aca="false">IF(AND(ISNUMBER($G911),$G911&gt;=MA_LONG2),AVERAGE(INDEX($C$511:$C911,402-MA_LONG2):$C911),"")</f>
        <v/>
      </c>
      <c r="L911" s="53" t="str">
        <f aca="false">IF(AND(ISNUMBER($G911),$G911&gt;=21),STDEV(INDEX($H$851:$H911,62-20):$H911)*SQRT(245),"")</f>
        <v/>
      </c>
      <c r="M911" s="52" t="str">
        <f aca="false">IF(AND(ISNUMBER($G911),$G911&gt;=60),MAX(INDEX($D$711:$D911,202-60):$D911),"")</f>
        <v/>
      </c>
      <c r="N911" s="52" t="str">
        <f aca="false">IF(AND(ISNUMBER($G911),$G911&gt;=60),MIN(INDEX($E$711:$E911,202-60):$E911),"")</f>
        <v/>
      </c>
      <c r="O911" s="53" t="str">
        <f aca="false">IF(OR(NOT(ISNUMBER($C911)),NOT(ISNUMBER($M911)),$M911=0),"",$C911/$M911-1)</f>
        <v/>
      </c>
    </row>
    <row r="912" customFormat="false" ht="15" hidden="false" customHeight="false" outlineLevel="0" collapsed="false">
      <c r="A912" s="55"/>
      <c r="B912" s="56"/>
      <c r="C912" s="57"/>
      <c r="D912" s="56"/>
      <c r="E912" s="56"/>
      <c r="F912" s="56"/>
      <c r="G912" s="50" t="str">
        <f aca="false">IF($A912="","",IF(ISNUMBER($G911),$G911+1,1))</f>
        <v/>
      </c>
      <c r="H912" s="51" t="str">
        <f aca="false">IF(OR(NOT(ISNUMBER($G912)),$G912&lt;2,NOT(ISNUMBER($C911)),$C911=0),"",$C912/$C911-1)</f>
        <v/>
      </c>
      <c r="I912" s="52" t="str">
        <f aca="false">IF(AND(ISNUMBER($G912),$G912&gt;=MA_SHORT),AVERAGE(INDEX($C$512:$C912,402-MA_SHORT):$C912),"")</f>
        <v/>
      </c>
      <c r="J912" s="52" t="str">
        <f aca="false">IF(AND(ISNUMBER($G912),$G912&gt;=MA_MED),AVERAGE(INDEX($C$512:$C912,402-MA_MED):$C912),"")</f>
        <v/>
      </c>
      <c r="K912" s="52" t="str">
        <f aca="false">IF(AND(ISNUMBER($G912),$G912&gt;=MA_LONG2),AVERAGE(INDEX($C$512:$C912,402-MA_LONG2):$C912),"")</f>
        <v/>
      </c>
      <c r="L912" s="53" t="str">
        <f aca="false">IF(AND(ISNUMBER($G912),$G912&gt;=21),STDEV(INDEX($H$852:$H912,62-20):$H912)*SQRT(245),"")</f>
        <v/>
      </c>
      <c r="M912" s="52" t="str">
        <f aca="false">IF(AND(ISNUMBER($G912),$G912&gt;=60),MAX(INDEX($D$712:$D912,202-60):$D912),"")</f>
        <v/>
      </c>
      <c r="N912" s="52" t="str">
        <f aca="false">IF(AND(ISNUMBER($G912),$G912&gt;=60),MIN(INDEX($E$712:$E912,202-60):$E912),"")</f>
        <v/>
      </c>
      <c r="O912" s="53" t="str">
        <f aca="false">IF(OR(NOT(ISNUMBER($C912)),NOT(ISNUMBER($M912)),$M912=0),"",$C912/$M912-1)</f>
        <v/>
      </c>
    </row>
    <row r="913" customFormat="false" ht="15" hidden="false" customHeight="false" outlineLevel="0" collapsed="false">
      <c r="A913" s="55"/>
      <c r="B913" s="56"/>
      <c r="C913" s="57"/>
      <c r="D913" s="56"/>
      <c r="E913" s="56"/>
      <c r="F913" s="56"/>
      <c r="G913" s="50" t="str">
        <f aca="false">IF($A913="","",IF(ISNUMBER($G912),$G912+1,1))</f>
        <v/>
      </c>
      <c r="H913" s="51" t="str">
        <f aca="false">IF(OR(NOT(ISNUMBER($G913)),$G913&lt;2,NOT(ISNUMBER($C912)),$C912=0),"",$C913/$C912-1)</f>
        <v/>
      </c>
      <c r="I913" s="52" t="str">
        <f aca="false">IF(AND(ISNUMBER($G913),$G913&gt;=MA_SHORT),AVERAGE(INDEX($C$513:$C913,402-MA_SHORT):$C913),"")</f>
        <v/>
      </c>
      <c r="J913" s="52" t="str">
        <f aca="false">IF(AND(ISNUMBER($G913),$G913&gt;=MA_MED),AVERAGE(INDEX($C$513:$C913,402-MA_MED):$C913),"")</f>
        <v/>
      </c>
      <c r="K913" s="52" t="str">
        <f aca="false">IF(AND(ISNUMBER($G913),$G913&gt;=MA_LONG2),AVERAGE(INDEX($C$513:$C913,402-MA_LONG2):$C913),"")</f>
        <v/>
      </c>
      <c r="L913" s="53" t="str">
        <f aca="false">IF(AND(ISNUMBER($G913),$G913&gt;=21),STDEV(INDEX($H$853:$H913,62-20):$H913)*SQRT(245),"")</f>
        <v/>
      </c>
      <c r="M913" s="52" t="str">
        <f aca="false">IF(AND(ISNUMBER($G913),$G913&gt;=60),MAX(INDEX($D$713:$D913,202-60):$D913),"")</f>
        <v/>
      </c>
      <c r="N913" s="52" t="str">
        <f aca="false">IF(AND(ISNUMBER($G913),$G913&gt;=60),MIN(INDEX($E$713:$E913,202-60):$E913),"")</f>
        <v/>
      </c>
      <c r="O913" s="53" t="str">
        <f aca="false">IF(OR(NOT(ISNUMBER($C913)),NOT(ISNUMBER($M913)),$M913=0),"",$C913/$M913-1)</f>
        <v/>
      </c>
    </row>
    <row r="914" customFormat="false" ht="15" hidden="false" customHeight="false" outlineLevel="0" collapsed="false">
      <c r="A914" s="55"/>
      <c r="B914" s="56"/>
      <c r="C914" s="57"/>
      <c r="D914" s="56"/>
      <c r="E914" s="56"/>
      <c r="F914" s="56"/>
      <c r="G914" s="50" t="str">
        <f aca="false">IF($A914="","",IF(ISNUMBER($G913),$G913+1,1))</f>
        <v/>
      </c>
      <c r="H914" s="51" t="str">
        <f aca="false">IF(OR(NOT(ISNUMBER($G914)),$G914&lt;2,NOT(ISNUMBER($C913)),$C913=0),"",$C914/$C913-1)</f>
        <v/>
      </c>
      <c r="I914" s="52" t="str">
        <f aca="false">IF(AND(ISNUMBER($G914),$G914&gt;=MA_SHORT),AVERAGE(INDEX($C$514:$C914,402-MA_SHORT):$C914),"")</f>
        <v/>
      </c>
      <c r="J914" s="52" t="str">
        <f aca="false">IF(AND(ISNUMBER($G914),$G914&gt;=MA_MED),AVERAGE(INDEX($C$514:$C914,402-MA_MED):$C914),"")</f>
        <v/>
      </c>
      <c r="K914" s="52" t="str">
        <f aca="false">IF(AND(ISNUMBER($G914),$G914&gt;=MA_LONG2),AVERAGE(INDEX($C$514:$C914,402-MA_LONG2):$C914),"")</f>
        <v/>
      </c>
      <c r="L914" s="53" t="str">
        <f aca="false">IF(AND(ISNUMBER($G914),$G914&gt;=21),STDEV(INDEX($H$854:$H914,62-20):$H914)*SQRT(245),"")</f>
        <v/>
      </c>
      <c r="M914" s="52" t="str">
        <f aca="false">IF(AND(ISNUMBER($G914),$G914&gt;=60),MAX(INDEX($D$714:$D914,202-60):$D914),"")</f>
        <v/>
      </c>
      <c r="N914" s="52" t="str">
        <f aca="false">IF(AND(ISNUMBER($G914),$G914&gt;=60),MIN(INDEX($E$714:$E914,202-60):$E914),"")</f>
        <v/>
      </c>
      <c r="O914" s="53" t="str">
        <f aca="false">IF(OR(NOT(ISNUMBER($C914)),NOT(ISNUMBER($M914)),$M914=0),"",$C914/$M914-1)</f>
        <v/>
      </c>
    </row>
    <row r="915" customFormat="false" ht="15" hidden="false" customHeight="false" outlineLevel="0" collapsed="false">
      <c r="A915" s="55"/>
      <c r="B915" s="56"/>
      <c r="C915" s="57"/>
      <c r="D915" s="56"/>
      <c r="E915" s="56"/>
      <c r="F915" s="56"/>
      <c r="G915" s="50" t="str">
        <f aca="false">IF($A915="","",IF(ISNUMBER($G914),$G914+1,1))</f>
        <v/>
      </c>
      <c r="H915" s="51" t="str">
        <f aca="false">IF(OR(NOT(ISNUMBER($G915)),$G915&lt;2,NOT(ISNUMBER($C914)),$C914=0),"",$C915/$C914-1)</f>
        <v/>
      </c>
      <c r="I915" s="52" t="str">
        <f aca="false">IF(AND(ISNUMBER($G915),$G915&gt;=MA_SHORT),AVERAGE(INDEX($C$515:$C915,402-MA_SHORT):$C915),"")</f>
        <v/>
      </c>
      <c r="J915" s="52" t="str">
        <f aca="false">IF(AND(ISNUMBER($G915),$G915&gt;=MA_MED),AVERAGE(INDEX($C$515:$C915,402-MA_MED):$C915),"")</f>
        <v/>
      </c>
      <c r="K915" s="52" t="str">
        <f aca="false">IF(AND(ISNUMBER($G915),$G915&gt;=MA_LONG2),AVERAGE(INDEX($C$515:$C915,402-MA_LONG2):$C915),"")</f>
        <v/>
      </c>
      <c r="L915" s="53" t="str">
        <f aca="false">IF(AND(ISNUMBER($G915),$G915&gt;=21),STDEV(INDEX($H$855:$H915,62-20):$H915)*SQRT(245),"")</f>
        <v/>
      </c>
      <c r="M915" s="52" t="str">
        <f aca="false">IF(AND(ISNUMBER($G915),$G915&gt;=60),MAX(INDEX($D$715:$D915,202-60):$D915),"")</f>
        <v/>
      </c>
      <c r="N915" s="52" t="str">
        <f aca="false">IF(AND(ISNUMBER($G915),$G915&gt;=60),MIN(INDEX($E$715:$E915,202-60):$E915),"")</f>
        <v/>
      </c>
      <c r="O915" s="53" t="str">
        <f aca="false">IF(OR(NOT(ISNUMBER($C915)),NOT(ISNUMBER($M915)),$M915=0),"",$C915/$M915-1)</f>
        <v/>
      </c>
    </row>
    <row r="916" customFormat="false" ht="15" hidden="false" customHeight="false" outlineLevel="0" collapsed="false">
      <c r="A916" s="55"/>
      <c r="B916" s="56"/>
      <c r="C916" s="57"/>
      <c r="D916" s="56"/>
      <c r="E916" s="56"/>
      <c r="F916" s="56"/>
      <c r="G916" s="50" t="str">
        <f aca="false">IF($A916="","",IF(ISNUMBER($G915),$G915+1,1))</f>
        <v/>
      </c>
      <c r="H916" s="51" t="str">
        <f aca="false">IF(OR(NOT(ISNUMBER($G916)),$G916&lt;2,NOT(ISNUMBER($C915)),$C915=0),"",$C916/$C915-1)</f>
        <v/>
      </c>
      <c r="I916" s="52" t="str">
        <f aca="false">IF(AND(ISNUMBER($G916),$G916&gt;=MA_SHORT),AVERAGE(INDEX($C$516:$C916,402-MA_SHORT):$C916),"")</f>
        <v/>
      </c>
      <c r="J916" s="52" t="str">
        <f aca="false">IF(AND(ISNUMBER($G916),$G916&gt;=MA_MED),AVERAGE(INDEX($C$516:$C916,402-MA_MED):$C916),"")</f>
        <v/>
      </c>
      <c r="K916" s="52" t="str">
        <f aca="false">IF(AND(ISNUMBER($G916),$G916&gt;=MA_LONG2),AVERAGE(INDEX($C$516:$C916,402-MA_LONG2):$C916),"")</f>
        <v/>
      </c>
      <c r="L916" s="53" t="str">
        <f aca="false">IF(AND(ISNUMBER($G916),$G916&gt;=21),STDEV(INDEX($H$856:$H916,62-20):$H916)*SQRT(245),"")</f>
        <v/>
      </c>
      <c r="M916" s="52" t="str">
        <f aca="false">IF(AND(ISNUMBER($G916),$G916&gt;=60),MAX(INDEX($D$716:$D916,202-60):$D916),"")</f>
        <v/>
      </c>
      <c r="N916" s="52" t="str">
        <f aca="false">IF(AND(ISNUMBER($G916),$G916&gt;=60),MIN(INDEX($E$716:$E916,202-60):$E916),"")</f>
        <v/>
      </c>
      <c r="O916" s="53" t="str">
        <f aca="false">IF(OR(NOT(ISNUMBER($C916)),NOT(ISNUMBER($M916)),$M916=0),"",$C916/$M916-1)</f>
        <v/>
      </c>
    </row>
    <row r="917" customFormat="false" ht="15" hidden="false" customHeight="false" outlineLevel="0" collapsed="false">
      <c r="A917" s="55"/>
      <c r="B917" s="56"/>
      <c r="C917" s="57"/>
      <c r="D917" s="56"/>
      <c r="E917" s="56"/>
      <c r="F917" s="56"/>
      <c r="G917" s="50" t="str">
        <f aca="false">IF($A917="","",IF(ISNUMBER($G916),$G916+1,1))</f>
        <v/>
      </c>
      <c r="H917" s="51" t="str">
        <f aca="false">IF(OR(NOT(ISNUMBER($G917)),$G917&lt;2,NOT(ISNUMBER($C916)),$C916=0),"",$C917/$C916-1)</f>
        <v/>
      </c>
      <c r="I917" s="52" t="str">
        <f aca="false">IF(AND(ISNUMBER($G917),$G917&gt;=MA_SHORT),AVERAGE(INDEX($C$517:$C917,402-MA_SHORT):$C917),"")</f>
        <v/>
      </c>
      <c r="J917" s="52" t="str">
        <f aca="false">IF(AND(ISNUMBER($G917),$G917&gt;=MA_MED),AVERAGE(INDEX($C$517:$C917,402-MA_MED):$C917),"")</f>
        <v/>
      </c>
      <c r="K917" s="52" t="str">
        <f aca="false">IF(AND(ISNUMBER($G917),$G917&gt;=MA_LONG2),AVERAGE(INDEX($C$517:$C917,402-MA_LONG2):$C917),"")</f>
        <v/>
      </c>
      <c r="L917" s="53" t="str">
        <f aca="false">IF(AND(ISNUMBER($G917),$G917&gt;=21),STDEV(INDEX($H$857:$H917,62-20):$H917)*SQRT(245),"")</f>
        <v/>
      </c>
      <c r="M917" s="52" t="str">
        <f aca="false">IF(AND(ISNUMBER($G917),$G917&gt;=60),MAX(INDEX($D$717:$D917,202-60):$D917),"")</f>
        <v/>
      </c>
      <c r="N917" s="52" t="str">
        <f aca="false">IF(AND(ISNUMBER($G917),$G917&gt;=60),MIN(INDEX($E$717:$E917,202-60):$E917),"")</f>
        <v/>
      </c>
      <c r="O917" s="53" t="str">
        <f aca="false">IF(OR(NOT(ISNUMBER($C917)),NOT(ISNUMBER($M917)),$M917=0),"",$C917/$M917-1)</f>
        <v/>
      </c>
    </row>
    <row r="918" customFormat="false" ht="15" hidden="false" customHeight="false" outlineLevel="0" collapsed="false">
      <c r="A918" s="55"/>
      <c r="B918" s="56"/>
      <c r="C918" s="57"/>
      <c r="D918" s="56"/>
      <c r="E918" s="56"/>
      <c r="F918" s="56"/>
      <c r="G918" s="50" t="str">
        <f aca="false">IF($A918="","",IF(ISNUMBER($G917),$G917+1,1))</f>
        <v/>
      </c>
      <c r="H918" s="51" t="str">
        <f aca="false">IF(OR(NOT(ISNUMBER($G918)),$G918&lt;2,NOT(ISNUMBER($C917)),$C917=0),"",$C918/$C917-1)</f>
        <v/>
      </c>
      <c r="I918" s="52" t="str">
        <f aca="false">IF(AND(ISNUMBER($G918),$G918&gt;=MA_SHORT),AVERAGE(INDEX($C$518:$C918,402-MA_SHORT):$C918),"")</f>
        <v/>
      </c>
      <c r="J918" s="52" t="str">
        <f aca="false">IF(AND(ISNUMBER($G918),$G918&gt;=MA_MED),AVERAGE(INDEX($C$518:$C918,402-MA_MED):$C918),"")</f>
        <v/>
      </c>
      <c r="K918" s="52" t="str">
        <f aca="false">IF(AND(ISNUMBER($G918),$G918&gt;=MA_LONG2),AVERAGE(INDEX($C$518:$C918,402-MA_LONG2):$C918),"")</f>
        <v/>
      </c>
      <c r="L918" s="53" t="str">
        <f aca="false">IF(AND(ISNUMBER($G918),$G918&gt;=21),STDEV(INDEX($H$858:$H918,62-20):$H918)*SQRT(245),"")</f>
        <v/>
      </c>
      <c r="M918" s="52" t="str">
        <f aca="false">IF(AND(ISNUMBER($G918),$G918&gt;=60),MAX(INDEX($D$718:$D918,202-60):$D918),"")</f>
        <v/>
      </c>
      <c r="N918" s="52" t="str">
        <f aca="false">IF(AND(ISNUMBER($G918),$G918&gt;=60),MIN(INDEX($E$718:$E918,202-60):$E918),"")</f>
        <v/>
      </c>
      <c r="O918" s="53" t="str">
        <f aca="false">IF(OR(NOT(ISNUMBER($C918)),NOT(ISNUMBER($M918)),$M918=0),"",$C918/$M918-1)</f>
        <v/>
      </c>
    </row>
    <row r="919" customFormat="false" ht="15" hidden="false" customHeight="false" outlineLevel="0" collapsed="false">
      <c r="A919" s="55"/>
      <c r="B919" s="56"/>
      <c r="C919" s="57"/>
      <c r="D919" s="56"/>
      <c r="E919" s="56"/>
      <c r="F919" s="56"/>
      <c r="G919" s="50" t="str">
        <f aca="false">IF($A919="","",IF(ISNUMBER($G918),$G918+1,1))</f>
        <v/>
      </c>
      <c r="H919" s="51" t="str">
        <f aca="false">IF(OR(NOT(ISNUMBER($G919)),$G919&lt;2,NOT(ISNUMBER($C918)),$C918=0),"",$C919/$C918-1)</f>
        <v/>
      </c>
      <c r="I919" s="52" t="str">
        <f aca="false">IF(AND(ISNUMBER($G919),$G919&gt;=MA_SHORT),AVERAGE(INDEX($C$519:$C919,402-MA_SHORT):$C919),"")</f>
        <v/>
      </c>
      <c r="J919" s="52" t="str">
        <f aca="false">IF(AND(ISNUMBER($G919),$G919&gt;=MA_MED),AVERAGE(INDEX($C$519:$C919,402-MA_MED):$C919),"")</f>
        <v/>
      </c>
      <c r="K919" s="52" t="str">
        <f aca="false">IF(AND(ISNUMBER($G919),$G919&gt;=MA_LONG2),AVERAGE(INDEX($C$519:$C919,402-MA_LONG2):$C919),"")</f>
        <v/>
      </c>
      <c r="L919" s="53" t="str">
        <f aca="false">IF(AND(ISNUMBER($G919),$G919&gt;=21),STDEV(INDEX($H$859:$H919,62-20):$H919)*SQRT(245),"")</f>
        <v/>
      </c>
      <c r="M919" s="52" t="str">
        <f aca="false">IF(AND(ISNUMBER($G919),$G919&gt;=60),MAX(INDEX($D$719:$D919,202-60):$D919),"")</f>
        <v/>
      </c>
      <c r="N919" s="52" t="str">
        <f aca="false">IF(AND(ISNUMBER($G919),$G919&gt;=60),MIN(INDEX($E$719:$E919,202-60):$E919),"")</f>
        <v/>
      </c>
      <c r="O919" s="53" t="str">
        <f aca="false">IF(OR(NOT(ISNUMBER($C919)),NOT(ISNUMBER($M919)),$M919=0),"",$C919/$M919-1)</f>
        <v/>
      </c>
    </row>
    <row r="920" customFormat="false" ht="15" hidden="false" customHeight="false" outlineLevel="0" collapsed="false">
      <c r="A920" s="55"/>
      <c r="B920" s="56"/>
      <c r="C920" s="57"/>
      <c r="D920" s="56"/>
      <c r="E920" s="56"/>
      <c r="F920" s="56"/>
      <c r="G920" s="50" t="str">
        <f aca="false">IF($A920="","",IF(ISNUMBER($G919),$G919+1,1))</f>
        <v/>
      </c>
      <c r="H920" s="51" t="str">
        <f aca="false">IF(OR(NOT(ISNUMBER($G920)),$G920&lt;2,NOT(ISNUMBER($C919)),$C919=0),"",$C920/$C919-1)</f>
        <v/>
      </c>
      <c r="I920" s="52" t="str">
        <f aca="false">IF(AND(ISNUMBER($G920),$G920&gt;=MA_SHORT),AVERAGE(INDEX($C$520:$C920,402-MA_SHORT):$C920),"")</f>
        <v/>
      </c>
      <c r="J920" s="52" t="str">
        <f aca="false">IF(AND(ISNUMBER($G920),$G920&gt;=MA_MED),AVERAGE(INDEX($C$520:$C920,402-MA_MED):$C920),"")</f>
        <v/>
      </c>
      <c r="K920" s="52" t="str">
        <f aca="false">IF(AND(ISNUMBER($G920),$G920&gt;=MA_LONG2),AVERAGE(INDEX($C$520:$C920,402-MA_LONG2):$C920),"")</f>
        <v/>
      </c>
      <c r="L920" s="53" t="str">
        <f aca="false">IF(AND(ISNUMBER($G920),$G920&gt;=21),STDEV(INDEX($H$860:$H920,62-20):$H920)*SQRT(245),"")</f>
        <v/>
      </c>
      <c r="M920" s="52" t="str">
        <f aca="false">IF(AND(ISNUMBER($G920),$G920&gt;=60),MAX(INDEX($D$720:$D920,202-60):$D920),"")</f>
        <v/>
      </c>
      <c r="N920" s="52" t="str">
        <f aca="false">IF(AND(ISNUMBER($G920),$G920&gt;=60),MIN(INDEX($E$720:$E920,202-60):$E920),"")</f>
        <v/>
      </c>
      <c r="O920" s="53" t="str">
        <f aca="false">IF(OR(NOT(ISNUMBER($C920)),NOT(ISNUMBER($M920)),$M920=0),"",$C920/$M920-1)</f>
        <v/>
      </c>
    </row>
    <row r="921" customFormat="false" ht="15" hidden="false" customHeight="false" outlineLevel="0" collapsed="false">
      <c r="A921" s="55"/>
      <c r="B921" s="56"/>
      <c r="C921" s="57"/>
      <c r="D921" s="56"/>
      <c r="E921" s="56"/>
      <c r="F921" s="56"/>
      <c r="G921" s="50" t="str">
        <f aca="false">IF($A921="","",IF(ISNUMBER($G920),$G920+1,1))</f>
        <v/>
      </c>
      <c r="H921" s="51" t="str">
        <f aca="false">IF(OR(NOT(ISNUMBER($G921)),$G921&lt;2,NOT(ISNUMBER($C920)),$C920=0),"",$C921/$C920-1)</f>
        <v/>
      </c>
      <c r="I921" s="52" t="str">
        <f aca="false">IF(AND(ISNUMBER($G921),$G921&gt;=MA_SHORT),AVERAGE(INDEX($C$521:$C921,402-MA_SHORT):$C921),"")</f>
        <v/>
      </c>
      <c r="J921" s="52" t="str">
        <f aca="false">IF(AND(ISNUMBER($G921),$G921&gt;=MA_MED),AVERAGE(INDEX($C$521:$C921,402-MA_MED):$C921),"")</f>
        <v/>
      </c>
      <c r="K921" s="52" t="str">
        <f aca="false">IF(AND(ISNUMBER($G921),$G921&gt;=MA_LONG2),AVERAGE(INDEX($C$521:$C921,402-MA_LONG2):$C921),"")</f>
        <v/>
      </c>
      <c r="L921" s="53" t="str">
        <f aca="false">IF(AND(ISNUMBER($G921),$G921&gt;=21),STDEV(INDEX($H$861:$H921,62-20):$H921)*SQRT(245),"")</f>
        <v/>
      </c>
      <c r="M921" s="52" t="str">
        <f aca="false">IF(AND(ISNUMBER($G921),$G921&gt;=60),MAX(INDEX($D$721:$D921,202-60):$D921),"")</f>
        <v/>
      </c>
      <c r="N921" s="52" t="str">
        <f aca="false">IF(AND(ISNUMBER($G921),$G921&gt;=60),MIN(INDEX($E$721:$E921,202-60):$E921),"")</f>
        <v/>
      </c>
      <c r="O921" s="53" t="str">
        <f aca="false">IF(OR(NOT(ISNUMBER($C921)),NOT(ISNUMBER($M921)),$M921=0),"",$C921/$M921-1)</f>
        <v/>
      </c>
    </row>
    <row r="922" customFormat="false" ht="15" hidden="false" customHeight="false" outlineLevel="0" collapsed="false">
      <c r="A922" s="55"/>
      <c r="B922" s="56"/>
      <c r="C922" s="57"/>
      <c r="D922" s="56"/>
      <c r="E922" s="56"/>
      <c r="F922" s="56"/>
      <c r="G922" s="50" t="str">
        <f aca="false">IF($A922="","",IF(ISNUMBER($G921),$G921+1,1))</f>
        <v/>
      </c>
      <c r="H922" s="51" t="str">
        <f aca="false">IF(OR(NOT(ISNUMBER($G922)),$G922&lt;2,NOT(ISNUMBER($C921)),$C921=0),"",$C922/$C921-1)</f>
        <v/>
      </c>
      <c r="I922" s="52" t="str">
        <f aca="false">IF(AND(ISNUMBER($G922),$G922&gt;=MA_SHORT),AVERAGE(INDEX($C$522:$C922,402-MA_SHORT):$C922),"")</f>
        <v/>
      </c>
      <c r="J922" s="52" t="str">
        <f aca="false">IF(AND(ISNUMBER($G922),$G922&gt;=MA_MED),AVERAGE(INDEX($C$522:$C922,402-MA_MED):$C922),"")</f>
        <v/>
      </c>
      <c r="K922" s="52" t="str">
        <f aca="false">IF(AND(ISNUMBER($G922),$G922&gt;=MA_LONG2),AVERAGE(INDEX($C$522:$C922,402-MA_LONG2):$C922),"")</f>
        <v/>
      </c>
      <c r="L922" s="53" t="str">
        <f aca="false">IF(AND(ISNUMBER($G922),$G922&gt;=21),STDEV(INDEX($H$862:$H922,62-20):$H922)*SQRT(245),"")</f>
        <v/>
      </c>
      <c r="M922" s="52" t="str">
        <f aca="false">IF(AND(ISNUMBER($G922),$G922&gt;=60),MAX(INDEX($D$722:$D922,202-60):$D922),"")</f>
        <v/>
      </c>
      <c r="N922" s="52" t="str">
        <f aca="false">IF(AND(ISNUMBER($G922),$G922&gt;=60),MIN(INDEX($E$722:$E922,202-60):$E922),"")</f>
        <v/>
      </c>
      <c r="O922" s="53" t="str">
        <f aca="false">IF(OR(NOT(ISNUMBER($C922)),NOT(ISNUMBER($M922)),$M922=0),"",$C922/$M922-1)</f>
        <v/>
      </c>
    </row>
    <row r="923" customFormat="false" ht="15" hidden="false" customHeight="false" outlineLevel="0" collapsed="false">
      <c r="A923" s="55"/>
      <c r="B923" s="56"/>
      <c r="C923" s="57"/>
      <c r="D923" s="56"/>
      <c r="E923" s="56"/>
      <c r="F923" s="56"/>
      <c r="G923" s="50" t="str">
        <f aca="false">IF($A923="","",IF(ISNUMBER($G922),$G922+1,1))</f>
        <v/>
      </c>
      <c r="H923" s="51" t="str">
        <f aca="false">IF(OR(NOT(ISNUMBER($G923)),$G923&lt;2,NOT(ISNUMBER($C922)),$C922=0),"",$C923/$C922-1)</f>
        <v/>
      </c>
      <c r="I923" s="52" t="str">
        <f aca="false">IF(AND(ISNUMBER($G923),$G923&gt;=MA_SHORT),AVERAGE(INDEX($C$523:$C923,402-MA_SHORT):$C923),"")</f>
        <v/>
      </c>
      <c r="J923" s="52" t="str">
        <f aca="false">IF(AND(ISNUMBER($G923),$G923&gt;=MA_MED),AVERAGE(INDEX($C$523:$C923,402-MA_MED):$C923),"")</f>
        <v/>
      </c>
      <c r="K923" s="52" t="str">
        <f aca="false">IF(AND(ISNUMBER($G923),$G923&gt;=MA_LONG2),AVERAGE(INDEX($C$523:$C923,402-MA_LONG2):$C923),"")</f>
        <v/>
      </c>
      <c r="L923" s="53" t="str">
        <f aca="false">IF(AND(ISNUMBER($G923),$G923&gt;=21),STDEV(INDEX($H$863:$H923,62-20):$H923)*SQRT(245),"")</f>
        <v/>
      </c>
      <c r="M923" s="52" t="str">
        <f aca="false">IF(AND(ISNUMBER($G923),$G923&gt;=60),MAX(INDEX($D$723:$D923,202-60):$D923),"")</f>
        <v/>
      </c>
      <c r="N923" s="52" t="str">
        <f aca="false">IF(AND(ISNUMBER($G923),$G923&gt;=60),MIN(INDEX($E$723:$E923,202-60):$E923),"")</f>
        <v/>
      </c>
      <c r="O923" s="53" t="str">
        <f aca="false">IF(OR(NOT(ISNUMBER($C923)),NOT(ISNUMBER($M923)),$M923=0),"",$C923/$M923-1)</f>
        <v/>
      </c>
    </row>
    <row r="924" customFormat="false" ht="15" hidden="false" customHeight="false" outlineLevel="0" collapsed="false">
      <c r="A924" s="55"/>
      <c r="B924" s="56"/>
      <c r="C924" s="57"/>
      <c r="D924" s="56"/>
      <c r="E924" s="56"/>
      <c r="F924" s="56"/>
      <c r="G924" s="50" t="str">
        <f aca="false">IF($A924="","",IF(ISNUMBER($G923),$G923+1,1))</f>
        <v/>
      </c>
      <c r="H924" s="51" t="str">
        <f aca="false">IF(OR(NOT(ISNUMBER($G924)),$G924&lt;2,NOT(ISNUMBER($C923)),$C923=0),"",$C924/$C923-1)</f>
        <v/>
      </c>
      <c r="I924" s="52" t="str">
        <f aca="false">IF(AND(ISNUMBER($G924),$G924&gt;=MA_SHORT),AVERAGE(INDEX($C$524:$C924,402-MA_SHORT):$C924),"")</f>
        <v/>
      </c>
      <c r="J924" s="52" t="str">
        <f aca="false">IF(AND(ISNUMBER($G924),$G924&gt;=MA_MED),AVERAGE(INDEX($C$524:$C924,402-MA_MED):$C924),"")</f>
        <v/>
      </c>
      <c r="K924" s="52" t="str">
        <f aca="false">IF(AND(ISNUMBER($G924),$G924&gt;=MA_LONG2),AVERAGE(INDEX($C$524:$C924,402-MA_LONG2):$C924),"")</f>
        <v/>
      </c>
      <c r="L924" s="53" t="str">
        <f aca="false">IF(AND(ISNUMBER($G924),$G924&gt;=21),STDEV(INDEX($H$864:$H924,62-20):$H924)*SQRT(245),"")</f>
        <v/>
      </c>
      <c r="M924" s="52" t="str">
        <f aca="false">IF(AND(ISNUMBER($G924),$G924&gt;=60),MAX(INDEX($D$724:$D924,202-60):$D924),"")</f>
        <v/>
      </c>
      <c r="N924" s="52" t="str">
        <f aca="false">IF(AND(ISNUMBER($G924),$G924&gt;=60),MIN(INDEX($E$724:$E924,202-60):$E924),"")</f>
        <v/>
      </c>
      <c r="O924" s="53" t="str">
        <f aca="false">IF(OR(NOT(ISNUMBER($C924)),NOT(ISNUMBER($M924)),$M924=0),"",$C924/$M924-1)</f>
        <v/>
      </c>
    </row>
    <row r="925" customFormat="false" ht="15" hidden="false" customHeight="false" outlineLevel="0" collapsed="false">
      <c r="A925" s="55"/>
      <c r="B925" s="56"/>
      <c r="C925" s="57"/>
      <c r="D925" s="56"/>
      <c r="E925" s="56"/>
      <c r="F925" s="56"/>
      <c r="G925" s="50" t="str">
        <f aca="false">IF($A925="","",IF(ISNUMBER($G924),$G924+1,1))</f>
        <v/>
      </c>
      <c r="H925" s="51" t="str">
        <f aca="false">IF(OR(NOT(ISNUMBER($G925)),$G925&lt;2,NOT(ISNUMBER($C924)),$C924=0),"",$C925/$C924-1)</f>
        <v/>
      </c>
      <c r="I925" s="52" t="str">
        <f aca="false">IF(AND(ISNUMBER($G925),$G925&gt;=MA_SHORT),AVERAGE(INDEX($C$525:$C925,402-MA_SHORT):$C925),"")</f>
        <v/>
      </c>
      <c r="J925" s="52" t="str">
        <f aca="false">IF(AND(ISNUMBER($G925),$G925&gt;=MA_MED),AVERAGE(INDEX($C$525:$C925,402-MA_MED):$C925),"")</f>
        <v/>
      </c>
      <c r="K925" s="52" t="str">
        <f aca="false">IF(AND(ISNUMBER($G925),$G925&gt;=MA_LONG2),AVERAGE(INDEX($C$525:$C925,402-MA_LONG2):$C925),"")</f>
        <v/>
      </c>
      <c r="L925" s="53" t="str">
        <f aca="false">IF(AND(ISNUMBER($G925),$G925&gt;=21),STDEV(INDEX($H$865:$H925,62-20):$H925)*SQRT(245),"")</f>
        <v/>
      </c>
      <c r="M925" s="52" t="str">
        <f aca="false">IF(AND(ISNUMBER($G925),$G925&gt;=60),MAX(INDEX($D$725:$D925,202-60):$D925),"")</f>
        <v/>
      </c>
      <c r="N925" s="52" t="str">
        <f aca="false">IF(AND(ISNUMBER($G925),$G925&gt;=60),MIN(INDEX($E$725:$E925,202-60):$E925),"")</f>
        <v/>
      </c>
      <c r="O925" s="53" t="str">
        <f aca="false">IF(OR(NOT(ISNUMBER($C925)),NOT(ISNUMBER($M925)),$M925=0),"",$C925/$M925-1)</f>
        <v/>
      </c>
    </row>
    <row r="926" customFormat="false" ht="15" hidden="false" customHeight="false" outlineLevel="0" collapsed="false">
      <c r="A926" s="55"/>
      <c r="B926" s="56"/>
      <c r="C926" s="57"/>
      <c r="D926" s="56"/>
      <c r="E926" s="56"/>
      <c r="F926" s="56"/>
      <c r="G926" s="50" t="str">
        <f aca="false">IF($A926="","",IF(ISNUMBER($G925),$G925+1,1))</f>
        <v/>
      </c>
      <c r="H926" s="51" t="str">
        <f aca="false">IF(OR(NOT(ISNUMBER($G926)),$G926&lt;2,NOT(ISNUMBER($C925)),$C925=0),"",$C926/$C925-1)</f>
        <v/>
      </c>
      <c r="I926" s="52" t="str">
        <f aca="false">IF(AND(ISNUMBER($G926),$G926&gt;=MA_SHORT),AVERAGE(INDEX($C$526:$C926,402-MA_SHORT):$C926),"")</f>
        <v/>
      </c>
      <c r="J926" s="52" t="str">
        <f aca="false">IF(AND(ISNUMBER($G926),$G926&gt;=MA_MED),AVERAGE(INDEX($C$526:$C926,402-MA_MED):$C926),"")</f>
        <v/>
      </c>
      <c r="K926" s="52" t="str">
        <f aca="false">IF(AND(ISNUMBER($G926),$G926&gt;=MA_LONG2),AVERAGE(INDEX($C$526:$C926,402-MA_LONG2):$C926),"")</f>
        <v/>
      </c>
      <c r="L926" s="53" t="str">
        <f aca="false">IF(AND(ISNUMBER($G926),$G926&gt;=21),STDEV(INDEX($H$866:$H926,62-20):$H926)*SQRT(245),"")</f>
        <v/>
      </c>
      <c r="M926" s="52" t="str">
        <f aca="false">IF(AND(ISNUMBER($G926),$G926&gt;=60),MAX(INDEX($D$726:$D926,202-60):$D926),"")</f>
        <v/>
      </c>
      <c r="N926" s="52" t="str">
        <f aca="false">IF(AND(ISNUMBER($G926),$G926&gt;=60),MIN(INDEX($E$726:$E926,202-60):$E926),"")</f>
        <v/>
      </c>
      <c r="O926" s="53" t="str">
        <f aca="false">IF(OR(NOT(ISNUMBER($C926)),NOT(ISNUMBER($M926)),$M926=0),"",$C926/$M926-1)</f>
        <v/>
      </c>
    </row>
    <row r="927" customFormat="false" ht="15" hidden="false" customHeight="false" outlineLevel="0" collapsed="false">
      <c r="A927" s="55"/>
      <c r="B927" s="56"/>
      <c r="C927" s="57"/>
      <c r="D927" s="56"/>
      <c r="E927" s="56"/>
      <c r="F927" s="56"/>
      <c r="G927" s="50" t="str">
        <f aca="false">IF($A927="","",IF(ISNUMBER($G926),$G926+1,1))</f>
        <v/>
      </c>
      <c r="H927" s="51" t="str">
        <f aca="false">IF(OR(NOT(ISNUMBER($G927)),$G927&lt;2,NOT(ISNUMBER($C926)),$C926=0),"",$C927/$C926-1)</f>
        <v/>
      </c>
      <c r="I927" s="52" t="str">
        <f aca="false">IF(AND(ISNUMBER($G927),$G927&gt;=MA_SHORT),AVERAGE(INDEX($C$527:$C927,402-MA_SHORT):$C927),"")</f>
        <v/>
      </c>
      <c r="J927" s="52" t="str">
        <f aca="false">IF(AND(ISNUMBER($G927),$G927&gt;=MA_MED),AVERAGE(INDEX($C$527:$C927,402-MA_MED):$C927),"")</f>
        <v/>
      </c>
      <c r="K927" s="52" t="str">
        <f aca="false">IF(AND(ISNUMBER($G927),$G927&gt;=MA_LONG2),AVERAGE(INDEX($C$527:$C927,402-MA_LONG2):$C927),"")</f>
        <v/>
      </c>
      <c r="L927" s="53" t="str">
        <f aca="false">IF(AND(ISNUMBER($G927),$G927&gt;=21),STDEV(INDEX($H$867:$H927,62-20):$H927)*SQRT(245),"")</f>
        <v/>
      </c>
      <c r="M927" s="52" t="str">
        <f aca="false">IF(AND(ISNUMBER($G927),$G927&gt;=60),MAX(INDEX($D$727:$D927,202-60):$D927),"")</f>
        <v/>
      </c>
      <c r="N927" s="52" t="str">
        <f aca="false">IF(AND(ISNUMBER($G927),$G927&gt;=60),MIN(INDEX($E$727:$E927,202-60):$E927),"")</f>
        <v/>
      </c>
      <c r="O927" s="53" t="str">
        <f aca="false">IF(OR(NOT(ISNUMBER($C927)),NOT(ISNUMBER($M927)),$M927=0),"",$C927/$M927-1)</f>
        <v/>
      </c>
    </row>
    <row r="928" customFormat="false" ht="15" hidden="false" customHeight="false" outlineLevel="0" collapsed="false">
      <c r="A928" s="55"/>
      <c r="B928" s="56"/>
      <c r="C928" s="57"/>
      <c r="D928" s="56"/>
      <c r="E928" s="56"/>
      <c r="F928" s="56"/>
      <c r="G928" s="50" t="str">
        <f aca="false">IF($A928="","",IF(ISNUMBER($G927),$G927+1,1))</f>
        <v/>
      </c>
      <c r="H928" s="51" t="str">
        <f aca="false">IF(OR(NOT(ISNUMBER($G928)),$G928&lt;2,NOT(ISNUMBER($C927)),$C927=0),"",$C928/$C927-1)</f>
        <v/>
      </c>
      <c r="I928" s="52" t="str">
        <f aca="false">IF(AND(ISNUMBER($G928),$G928&gt;=MA_SHORT),AVERAGE(INDEX($C$528:$C928,402-MA_SHORT):$C928),"")</f>
        <v/>
      </c>
      <c r="J928" s="52" t="str">
        <f aca="false">IF(AND(ISNUMBER($G928),$G928&gt;=MA_MED),AVERAGE(INDEX($C$528:$C928,402-MA_MED):$C928),"")</f>
        <v/>
      </c>
      <c r="K928" s="52" t="str">
        <f aca="false">IF(AND(ISNUMBER($G928),$G928&gt;=MA_LONG2),AVERAGE(INDEX($C$528:$C928,402-MA_LONG2):$C928),"")</f>
        <v/>
      </c>
      <c r="L928" s="53" t="str">
        <f aca="false">IF(AND(ISNUMBER($G928),$G928&gt;=21),STDEV(INDEX($H$868:$H928,62-20):$H928)*SQRT(245),"")</f>
        <v/>
      </c>
      <c r="M928" s="52" t="str">
        <f aca="false">IF(AND(ISNUMBER($G928),$G928&gt;=60),MAX(INDEX($D$728:$D928,202-60):$D928),"")</f>
        <v/>
      </c>
      <c r="N928" s="52" t="str">
        <f aca="false">IF(AND(ISNUMBER($G928),$G928&gt;=60),MIN(INDEX($E$728:$E928,202-60):$E928),"")</f>
        <v/>
      </c>
      <c r="O928" s="53" t="str">
        <f aca="false">IF(OR(NOT(ISNUMBER($C928)),NOT(ISNUMBER($M928)),$M928=0),"",$C928/$M928-1)</f>
        <v/>
      </c>
    </row>
    <row r="929" customFormat="false" ht="15" hidden="false" customHeight="false" outlineLevel="0" collapsed="false">
      <c r="A929" s="55"/>
      <c r="B929" s="56"/>
      <c r="C929" s="57"/>
      <c r="D929" s="56"/>
      <c r="E929" s="56"/>
      <c r="F929" s="56"/>
      <c r="G929" s="50" t="str">
        <f aca="false">IF($A929="","",IF(ISNUMBER($G928),$G928+1,1))</f>
        <v/>
      </c>
      <c r="H929" s="51" t="str">
        <f aca="false">IF(OR(NOT(ISNUMBER($G929)),$G929&lt;2,NOT(ISNUMBER($C928)),$C928=0),"",$C929/$C928-1)</f>
        <v/>
      </c>
      <c r="I929" s="52" t="str">
        <f aca="false">IF(AND(ISNUMBER($G929),$G929&gt;=MA_SHORT),AVERAGE(INDEX($C$529:$C929,402-MA_SHORT):$C929),"")</f>
        <v/>
      </c>
      <c r="J929" s="52" t="str">
        <f aca="false">IF(AND(ISNUMBER($G929),$G929&gt;=MA_MED),AVERAGE(INDEX($C$529:$C929,402-MA_MED):$C929),"")</f>
        <v/>
      </c>
      <c r="K929" s="52" t="str">
        <f aca="false">IF(AND(ISNUMBER($G929),$G929&gt;=MA_LONG2),AVERAGE(INDEX($C$529:$C929,402-MA_LONG2):$C929),"")</f>
        <v/>
      </c>
      <c r="L929" s="53" t="str">
        <f aca="false">IF(AND(ISNUMBER($G929),$G929&gt;=21),STDEV(INDEX($H$869:$H929,62-20):$H929)*SQRT(245),"")</f>
        <v/>
      </c>
      <c r="M929" s="52" t="str">
        <f aca="false">IF(AND(ISNUMBER($G929),$G929&gt;=60),MAX(INDEX($D$729:$D929,202-60):$D929),"")</f>
        <v/>
      </c>
      <c r="N929" s="52" t="str">
        <f aca="false">IF(AND(ISNUMBER($G929),$G929&gt;=60),MIN(INDEX($E$729:$E929,202-60):$E929),"")</f>
        <v/>
      </c>
      <c r="O929" s="53" t="str">
        <f aca="false">IF(OR(NOT(ISNUMBER($C929)),NOT(ISNUMBER($M929)),$M929=0),"",$C929/$M929-1)</f>
        <v/>
      </c>
    </row>
    <row r="930" customFormat="false" ht="15" hidden="false" customHeight="false" outlineLevel="0" collapsed="false">
      <c r="A930" s="55"/>
      <c r="B930" s="56"/>
      <c r="C930" s="57"/>
      <c r="D930" s="56"/>
      <c r="E930" s="56"/>
      <c r="F930" s="56"/>
      <c r="G930" s="50" t="str">
        <f aca="false">IF($A930="","",IF(ISNUMBER($G929),$G929+1,1))</f>
        <v/>
      </c>
      <c r="H930" s="51" t="str">
        <f aca="false">IF(OR(NOT(ISNUMBER($G930)),$G930&lt;2,NOT(ISNUMBER($C929)),$C929=0),"",$C930/$C929-1)</f>
        <v/>
      </c>
      <c r="I930" s="52" t="str">
        <f aca="false">IF(AND(ISNUMBER($G930),$G930&gt;=MA_SHORT),AVERAGE(INDEX($C$530:$C930,402-MA_SHORT):$C930),"")</f>
        <v/>
      </c>
      <c r="J930" s="52" t="str">
        <f aca="false">IF(AND(ISNUMBER($G930),$G930&gt;=MA_MED),AVERAGE(INDEX($C$530:$C930,402-MA_MED):$C930),"")</f>
        <v/>
      </c>
      <c r="K930" s="52" t="str">
        <f aca="false">IF(AND(ISNUMBER($G930),$G930&gt;=MA_LONG2),AVERAGE(INDEX($C$530:$C930,402-MA_LONG2):$C930),"")</f>
        <v/>
      </c>
      <c r="L930" s="53" t="str">
        <f aca="false">IF(AND(ISNUMBER($G930),$G930&gt;=21),STDEV(INDEX($H$870:$H930,62-20):$H930)*SQRT(245),"")</f>
        <v/>
      </c>
      <c r="M930" s="52" t="str">
        <f aca="false">IF(AND(ISNUMBER($G930),$G930&gt;=60),MAX(INDEX($D$730:$D930,202-60):$D930),"")</f>
        <v/>
      </c>
      <c r="N930" s="52" t="str">
        <f aca="false">IF(AND(ISNUMBER($G930),$G930&gt;=60),MIN(INDEX($E$730:$E930,202-60):$E930),"")</f>
        <v/>
      </c>
      <c r="O930" s="53" t="str">
        <f aca="false">IF(OR(NOT(ISNUMBER($C930)),NOT(ISNUMBER($M930)),$M930=0),"",$C930/$M930-1)</f>
        <v/>
      </c>
    </row>
    <row r="931" customFormat="false" ht="15" hidden="false" customHeight="false" outlineLevel="0" collapsed="false">
      <c r="A931" s="55"/>
      <c r="B931" s="56"/>
      <c r="C931" s="57"/>
      <c r="D931" s="56"/>
      <c r="E931" s="56"/>
      <c r="F931" s="56"/>
      <c r="G931" s="50" t="str">
        <f aca="false">IF($A931="","",IF(ISNUMBER($G930),$G930+1,1))</f>
        <v/>
      </c>
      <c r="H931" s="51" t="str">
        <f aca="false">IF(OR(NOT(ISNUMBER($G931)),$G931&lt;2,NOT(ISNUMBER($C930)),$C930=0),"",$C931/$C930-1)</f>
        <v/>
      </c>
      <c r="I931" s="52" t="str">
        <f aca="false">IF(AND(ISNUMBER($G931),$G931&gt;=MA_SHORT),AVERAGE(INDEX($C$531:$C931,402-MA_SHORT):$C931),"")</f>
        <v/>
      </c>
      <c r="J931" s="52" t="str">
        <f aca="false">IF(AND(ISNUMBER($G931),$G931&gt;=MA_MED),AVERAGE(INDEX($C$531:$C931,402-MA_MED):$C931),"")</f>
        <v/>
      </c>
      <c r="K931" s="52" t="str">
        <f aca="false">IF(AND(ISNUMBER($G931),$G931&gt;=MA_LONG2),AVERAGE(INDEX($C$531:$C931,402-MA_LONG2):$C931),"")</f>
        <v/>
      </c>
      <c r="L931" s="53" t="str">
        <f aca="false">IF(AND(ISNUMBER($G931),$G931&gt;=21),STDEV(INDEX($H$871:$H931,62-20):$H931)*SQRT(245),"")</f>
        <v/>
      </c>
      <c r="M931" s="52" t="str">
        <f aca="false">IF(AND(ISNUMBER($G931),$G931&gt;=60),MAX(INDEX($D$731:$D931,202-60):$D931),"")</f>
        <v/>
      </c>
      <c r="N931" s="52" t="str">
        <f aca="false">IF(AND(ISNUMBER($G931),$G931&gt;=60),MIN(INDEX($E$731:$E931,202-60):$E931),"")</f>
        <v/>
      </c>
      <c r="O931" s="53" t="str">
        <f aca="false">IF(OR(NOT(ISNUMBER($C931)),NOT(ISNUMBER($M931)),$M931=0),"",$C931/$M931-1)</f>
        <v/>
      </c>
    </row>
    <row r="932" customFormat="false" ht="15" hidden="false" customHeight="false" outlineLevel="0" collapsed="false">
      <c r="A932" s="55"/>
      <c r="B932" s="56"/>
      <c r="C932" s="57"/>
      <c r="D932" s="56"/>
      <c r="E932" s="56"/>
      <c r="F932" s="56"/>
      <c r="G932" s="50" t="str">
        <f aca="false">IF($A932="","",IF(ISNUMBER($G931),$G931+1,1))</f>
        <v/>
      </c>
      <c r="H932" s="51" t="str">
        <f aca="false">IF(OR(NOT(ISNUMBER($G932)),$G932&lt;2,NOT(ISNUMBER($C931)),$C931=0),"",$C932/$C931-1)</f>
        <v/>
      </c>
      <c r="I932" s="52" t="str">
        <f aca="false">IF(AND(ISNUMBER($G932),$G932&gt;=MA_SHORT),AVERAGE(INDEX($C$532:$C932,402-MA_SHORT):$C932),"")</f>
        <v/>
      </c>
      <c r="J932" s="52" t="str">
        <f aca="false">IF(AND(ISNUMBER($G932),$G932&gt;=MA_MED),AVERAGE(INDEX($C$532:$C932,402-MA_MED):$C932),"")</f>
        <v/>
      </c>
      <c r="K932" s="52" t="str">
        <f aca="false">IF(AND(ISNUMBER($G932),$G932&gt;=MA_LONG2),AVERAGE(INDEX($C$532:$C932,402-MA_LONG2):$C932),"")</f>
        <v/>
      </c>
      <c r="L932" s="53" t="str">
        <f aca="false">IF(AND(ISNUMBER($G932),$G932&gt;=21),STDEV(INDEX($H$872:$H932,62-20):$H932)*SQRT(245),"")</f>
        <v/>
      </c>
      <c r="M932" s="52" t="str">
        <f aca="false">IF(AND(ISNUMBER($G932),$G932&gt;=60),MAX(INDEX($D$732:$D932,202-60):$D932),"")</f>
        <v/>
      </c>
      <c r="N932" s="52" t="str">
        <f aca="false">IF(AND(ISNUMBER($G932),$G932&gt;=60),MIN(INDEX($E$732:$E932,202-60):$E932),"")</f>
        <v/>
      </c>
      <c r="O932" s="53" t="str">
        <f aca="false">IF(OR(NOT(ISNUMBER($C932)),NOT(ISNUMBER($M932)),$M932=0),"",$C932/$M932-1)</f>
        <v/>
      </c>
    </row>
    <row r="933" customFormat="false" ht="15" hidden="false" customHeight="false" outlineLevel="0" collapsed="false">
      <c r="A933" s="55"/>
      <c r="B933" s="56"/>
      <c r="C933" s="57"/>
      <c r="D933" s="56"/>
      <c r="E933" s="56"/>
      <c r="F933" s="56"/>
      <c r="G933" s="50" t="str">
        <f aca="false">IF($A933="","",IF(ISNUMBER($G932),$G932+1,1))</f>
        <v/>
      </c>
      <c r="H933" s="51" t="str">
        <f aca="false">IF(OR(NOT(ISNUMBER($G933)),$G933&lt;2,NOT(ISNUMBER($C932)),$C932=0),"",$C933/$C932-1)</f>
        <v/>
      </c>
      <c r="I933" s="52" t="str">
        <f aca="false">IF(AND(ISNUMBER($G933),$G933&gt;=MA_SHORT),AVERAGE(INDEX($C$533:$C933,402-MA_SHORT):$C933),"")</f>
        <v/>
      </c>
      <c r="J933" s="52" t="str">
        <f aca="false">IF(AND(ISNUMBER($G933),$G933&gt;=MA_MED),AVERAGE(INDEX($C$533:$C933,402-MA_MED):$C933),"")</f>
        <v/>
      </c>
      <c r="K933" s="52" t="str">
        <f aca="false">IF(AND(ISNUMBER($G933),$G933&gt;=MA_LONG2),AVERAGE(INDEX($C$533:$C933,402-MA_LONG2):$C933),"")</f>
        <v/>
      </c>
      <c r="L933" s="53" t="str">
        <f aca="false">IF(AND(ISNUMBER($G933),$G933&gt;=21),STDEV(INDEX($H$873:$H933,62-20):$H933)*SQRT(245),"")</f>
        <v/>
      </c>
      <c r="M933" s="52" t="str">
        <f aca="false">IF(AND(ISNUMBER($G933),$G933&gt;=60),MAX(INDEX($D$733:$D933,202-60):$D933),"")</f>
        <v/>
      </c>
      <c r="N933" s="52" t="str">
        <f aca="false">IF(AND(ISNUMBER($G933),$G933&gt;=60),MIN(INDEX($E$733:$E933,202-60):$E933),"")</f>
        <v/>
      </c>
      <c r="O933" s="53" t="str">
        <f aca="false">IF(OR(NOT(ISNUMBER($C933)),NOT(ISNUMBER($M933)),$M933=0),"",$C933/$M933-1)</f>
        <v/>
      </c>
    </row>
    <row r="934" customFormat="false" ht="15" hidden="false" customHeight="false" outlineLevel="0" collapsed="false">
      <c r="A934" s="55"/>
      <c r="B934" s="56"/>
      <c r="C934" s="57"/>
      <c r="D934" s="56"/>
      <c r="E934" s="56"/>
      <c r="F934" s="56"/>
      <c r="G934" s="50" t="str">
        <f aca="false">IF($A934="","",IF(ISNUMBER($G933),$G933+1,1))</f>
        <v/>
      </c>
      <c r="H934" s="51" t="str">
        <f aca="false">IF(OR(NOT(ISNUMBER($G934)),$G934&lt;2,NOT(ISNUMBER($C933)),$C933=0),"",$C934/$C933-1)</f>
        <v/>
      </c>
      <c r="I934" s="52" t="str">
        <f aca="false">IF(AND(ISNUMBER($G934),$G934&gt;=MA_SHORT),AVERAGE(INDEX($C$534:$C934,402-MA_SHORT):$C934),"")</f>
        <v/>
      </c>
      <c r="J934" s="52" t="str">
        <f aca="false">IF(AND(ISNUMBER($G934),$G934&gt;=MA_MED),AVERAGE(INDEX($C$534:$C934,402-MA_MED):$C934),"")</f>
        <v/>
      </c>
      <c r="K934" s="52" t="str">
        <f aca="false">IF(AND(ISNUMBER($G934),$G934&gt;=MA_LONG2),AVERAGE(INDEX($C$534:$C934,402-MA_LONG2):$C934),"")</f>
        <v/>
      </c>
      <c r="L934" s="53" t="str">
        <f aca="false">IF(AND(ISNUMBER($G934),$G934&gt;=21),STDEV(INDEX($H$874:$H934,62-20):$H934)*SQRT(245),"")</f>
        <v/>
      </c>
      <c r="M934" s="52" t="str">
        <f aca="false">IF(AND(ISNUMBER($G934),$G934&gt;=60),MAX(INDEX($D$734:$D934,202-60):$D934),"")</f>
        <v/>
      </c>
      <c r="N934" s="52" t="str">
        <f aca="false">IF(AND(ISNUMBER($G934),$G934&gt;=60),MIN(INDEX($E$734:$E934,202-60):$E934),"")</f>
        <v/>
      </c>
      <c r="O934" s="53" t="str">
        <f aca="false">IF(OR(NOT(ISNUMBER($C934)),NOT(ISNUMBER($M934)),$M934=0),"",$C934/$M934-1)</f>
        <v/>
      </c>
    </row>
    <row r="935" customFormat="false" ht="15" hidden="false" customHeight="false" outlineLevel="0" collapsed="false">
      <c r="A935" s="55"/>
      <c r="B935" s="56"/>
      <c r="C935" s="57"/>
      <c r="D935" s="56"/>
      <c r="E935" s="56"/>
      <c r="F935" s="56"/>
      <c r="G935" s="50" t="str">
        <f aca="false">IF($A935="","",IF(ISNUMBER($G934),$G934+1,1))</f>
        <v/>
      </c>
      <c r="H935" s="51" t="str">
        <f aca="false">IF(OR(NOT(ISNUMBER($G935)),$G935&lt;2,NOT(ISNUMBER($C934)),$C934=0),"",$C935/$C934-1)</f>
        <v/>
      </c>
      <c r="I935" s="52" t="str">
        <f aca="false">IF(AND(ISNUMBER($G935),$G935&gt;=MA_SHORT),AVERAGE(INDEX($C$535:$C935,402-MA_SHORT):$C935),"")</f>
        <v/>
      </c>
      <c r="J935" s="52" t="str">
        <f aca="false">IF(AND(ISNUMBER($G935),$G935&gt;=MA_MED),AVERAGE(INDEX($C$535:$C935,402-MA_MED):$C935),"")</f>
        <v/>
      </c>
      <c r="K935" s="52" t="str">
        <f aca="false">IF(AND(ISNUMBER($G935),$G935&gt;=MA_LONG2),AVERAGE(INDEX($C$535:$C935,402-MA_LONG2):$C935),"")</f>
        <v/>
      </c>
      <c r="L935" s="53" t="str">
        <f aca="false">IF(AND(ISNUMBER($G935),$G935&gt;=21),STDEV(INDEX($H$875:$H935,62-20):$H935)*SQRT(245),"")</f>
        <v/>
      </c>
      <c r="M935" s="52" t="str">
        <f aca="false">IF(AND(ISNUMBER($G935),$G935&gt;=60),MAX(INDEX($D$735:$D935,202-60):$D935),"")</f>
        <v/>
      </c>
      <c r="N935" s="52" t="str">
        <f aca="false">IF(AND(ISNUMBER($G935),$G935&gt;=60),MIN(INDEX($E$735:$E935,202-60):$E935),"")</f>
        <v/>
      </c>
      <c r="O935" s="53" t="str">
        <f aca="false">IF(OR(NOT(ISNUMBER($C935)),NOT(ISNUMBER($M935)),$M935=0),"",$C935/$M935-1)</f>
        <v/>
      </c>
    </row>
    <row r="936" customFormat="false" ht="15" hidden="false" customHeight="false" outlineLevel="0" collapsed="false">
      <c r="A936" s="55"/>
      <c r="B936" s="56"/>
      <c r="C936" s="57"/>
      <c r="D936" s="56"/>
      <c r="E936" s="56"/>
      <c r="F936" s="56"/>
      <c r="G936" s="50" t="str">
        <f aca="false">IF($A936="","",IF(ISNUMBER($G935),$G935+1,1))</f>
        <v/>
      </c>
      <c r="H936" s="51" t="str">
        <f aca="false">IF(OR(NOT(ISNUMBER($G936)),$G936&lt;2,NOT(ISNUMBER($C935)),$C935=0),"",$C936/$C935-1)</f>
        <v/>
      </c>
      <c r="I936" s="52" t="str">
        <f aca="false">IF(AND(ISNUMBER($G936),$G936&gt;=MA_SHORT),AVERAGE(INDEX($C$536:$C936,402-MA_SHORT):$C936),"")</f>
        <v/>
      </c>
      <c r="J936" s="52" t="str">
        <f aca="false">IF(AND(ISNUMBER($G936),$G936&gt;=MA_MED),AVERAGE(INDEX($C$536:$C936,402-MA_MED):$C936),"")</f>
        <v/>
      </c>
      <c r="K936" s="52" t="str">
        <f aca="false">IF(AND(ISNUMBER($G936),$G936&gt;=MA_LONG2),AVERAGE(INDEX($C$536:$C936,402-MA_LONG2):$C936),"")</f>
        <v/>
      </c>
      <c r="L936" s="53" t="str">
        <f aca="false">IF(AND(ISNUMBER($G936),$G936&gt;=21),STDEV(INDEX($H$876:$H936,62-20):$H936)*SQRT(245),"")</f>
        <v/>
      </c>
      <c r="M936" s="52" t="str">
        <f aca="false">IF(AND(ISNUMBER($G936),$G936&gt;=60),MAX(INDEX($D$736:$D936,202-60):$D936),"")</f>
        <v/>
      </c>
      <c r="N936" s="52" t="str">
        <f aca="false">IF(AND(ISNUMBER($G936),$G936&gt;=60),MIN(INDEX($E$736:$E936,202-60):$E936),"")</f>
        <v/>
      </c>
      <c r="O936" s="53" t="str">
        <f aca="false">IF(OR(NOT(ISNUMBER($C936)),NOT(ISNUMBER($M936)),$M936=0),"",$C936/$M936-1)</f>
        <v/>
      </c>
    </row>
    <row r="937" customFormat="false" ht="15" hidden="false" customHeight="false" outlineLevel="0" collapsed="false">
      <c r="A937" s="55"/>
      <c r="B937" s="56"/>
      <c r="C937" s="57"/>
      <c r="D937" s="56"/>
      <c r="E937" s="56"/>
      <c r="F937" s="56"/>
      <c r="G937" s="50" t="str">
        <f aca="false">IF($A937="","",IF(ISNUMBER($G936),$G936+1,1))</f>
        <v/>
      </c>
      <c r="H937" s="51" t="str">
        <f aca="false">IF(OR(NOT(ISNUMBER($G937)),$G937&lt;2,NOT(ISNUMBER($C936)),$C936=0),"",$C937/$C936-1)</f>
        <v/>
      </c>
      <c r="I937" s="52" t="str">
        <f aca="false">IF(AND(ISNUMBER($G937),$G937&gt;=MA_SHORT),AVERAGE(INDEX($C$537:$C937,402-MA_SHORT):$C937),"")</f>
        <v/>
      </c>
      <c r="J937" s="52" t="str">
        <f aca="false">IF(AND(ISNUMBER($G937),$G937&gt;=MA_MED),AVERAGE(INDEX($C$537:$C937,402-MA_MED):$C937),"")</f>
        <v/>
      </c>
      <c r="K937" s="52" t="str">
        <f aca="false">IF(AND(ISNUMBER($G937),$G937&gt;=MA_LONG2),AVERAGE(INDEX($C$537:$C937,402-MA_LONG2):$C937),"")</f>
        <v/>
      </c>
      <c r="L937" s="53" t="str">
        <f aca="false">IF(AND(ISNUMBER($G937),$G937&gt;=21),STDEV(INDEX($H$877:$H937,62-20):$H937)*SQRT(245),"")</f>
        <v/>
      </c>
      <c r="M937" s="52" t="str">
        <f aca="false">IF(AND(ISNUMBER($G937),$G937&gt;=60),MAX(INDEX($D$737:$D937,202-60):$D937),"")</f>
        <v/>
      </c>
      <c r="N937" s="52" t="str">
        <f aca="false">IF(AND(ISNUMBER($G937),$G937&gt;=60),MIN(INDEX($E$737:$E937,202-60):$E937),"")</f>
        <v/>
      </c>
      <c r="O937" s="53" t="str">
        <f aca="false">IF(OR(NOT(ISNUMBER($C937)),NOT(ISNUMBER($M937)),$M937=0),"",$C937/$M937-1)</f>
        <v/>
      </c>
    </row>
    <row r="938" customFormat="false" ht="15" hidden="false" customHeight="false" outlineLevel="0" collapsed="false">
      <c r="A938" s="55"/>
      <c r="B938" s="56"/>
      <c r="C938" s="57"/>
      <c r="D938" s="56"/>
      <c r="E938" s="56"/>
      <c r="F938" s="56"/>
      <c r="G938" s="50" t="str">
        <f aca="false">IF($A938="","",IF(ISNUMBER($G937),$G937+1,1))</f>
        <v/>
      </c>
      <c r="H938" s="51" t="str">
        <f aca="false">IF(OR(NOT(ISNUMBER($G938)),$G938&lt;2,NOT(ISNUMBER($C937)),$C937=0),"",$C938/$C937-1)</f>
        <v/>
      </c>
      <c r="I938" s="52" t="str">
        <f aca="false">IF(AND(ISNUMBER($G938),$G938&gt;=MA_SHORT),AVERAGE(INDEX($C$538:$C938,402-MA_SHORT):$C938),"")</f>
        <v/>
      </c>
      <c r="J938" s="52" t="str">
        <f aca="false">IF(AND(ISNUMBER($G938),$G938&gt;=MA_MED),AVERAGE(INDEX($C$538:$C938,402-MA_MED):$C938),"")</f>
        <v/>
      </c>
      <c r="K938" s="52" t="str">
        <f aca="false">IF(AND(ISNUMBER($G938),$G938&gt;=MA_LONG2),AVERAGE(INDEX($C$538:$C938,402-MA_LONG2):$C938),"")</f>
        <v/>
      </c>
      <c r="L938" s="53" t="str">
        <f aca="false">IF(AND(ISNUMBER($G938),$G938&gt;=21),STDEV(INDEX($H$878:$H938,62-20):$H938)*SQRT(245),"")</f>
        <v/>
      </c>
      <c r="M938" s="52" t="str">
        <f aca="false">IF(AND(ISNUMBER($G938),$G938&gt;=60),MAX(INDEX($D$738:$D938,202-60):$D938),"")</f>
        <v/>
      </c>
      <c r="N938" s="52" t="str">
        <f aca="false">IF(AND(ISNUMBER($G938),$G938&gt;=60),MIN(INDEX($E$738:$E938,202-60):$E938),"")</f>
        <v/>
      </c>
      <c r="O938" s="53" t="str">
        <f aca="false">IF(OR(NOT(ISNUMBER($C938)),NOT(ISNUMBER($M938)),$M938=0),"",$C938/$M938-1)</f>
        <v/>
      </c>
    </row>
    <row r="939" customFormat="false" ht="15" hidden="false" customHeight="false" outlineLevel="0" collapsed="false">
      <c r="A939" s="55"/>
      <c r="B939" s="56"/>
      <c r="C939" s="57"/>
      <c r="D939" s="56"/>
      <c r="E939" s="56"/>
      <c r="F939" s="56"/>
      <c r="G939" s="50" t="str">
        <f aca="false">IF($A939="","",IF(ISNUMBER($G938),$G938+1,1))</f>
        <v/>
      </c>
      <c r="H939" s="51" t="str">
        <f aca="false">IF(OR(NOT(ISNUMBER($G939)),$G939&lt;2,NOT(ISNUMBER($C938)),$C938=0),"",$C939/$C938-1)</f>
        <v/>
      </c>
      <c r="I939" s="52" t="str">
        <f aca="false">IF(AND(ISNUMBER($G939),$G939&gt;=MA_SHORT),AVERAGE(INDEX($C$539:$C939,402-MA_SHORT):$C939),"")</f>
        <v/>
      </c>
      <c r="J939" s="52" t="str">
        <f aca="false">IF(AND(ISNUMBER($G939),$G939&gt;=MA_MED),AVERAGE(INDEX($C$539:$C939,402-MA_MED):$C939),"")</f>
        <v/>
      </c>
      <c r="K939" s="52" t="str">
        <f aca="false">IF(AND(ISNUMBER($G939),$G939&gt;=MA_LONG2),AVERAGE(INDEX($C$539:$C939,402-MA_LONG2):$C939),"")</f>
        <v/>
      </c>
      <c r="L939" s="53" t="str">
        <f aca="false">IF(AND(ISNUMBER($G939),$G939&gt;=21),STDEV(INDEX($H$879:$H939,62-20):$H939)*SQRT(245),"")</f>
        <v/>
      </c>
      <c r="M939" s="52" t="str">
        <f aca="false">IF(AND(ISNUMBER($G939),$G939&gt;=60),MAX(INDEX($D$739:$D939,202-60):$D939),"")</f>
        <v/>
      </c>
      <c r="N939" s="52" t="str">
        <f aca="false">IF(AND(ISNUMBER($G939),$G939&gt;=60),MIN(INDEX($E$739:$E939,202-60):$E939),"")</f>
        <v/>
      </c>
      <c r="O939" s="53" t="str">
        <f aca="false">IF(OR(NOT(ISNUMBER($C939)),NOT(ISNUMBER($M939)),$M939=0),"",$C939/$M939-1)</f>
        <v/>
      </c>
    </row>
    <row r="940" customFormat="false" ht="15" hidden="false" customHeight="false" outlineLevel="0" collapsed="false">
      <c r="A940" s="55"/>
      <c r="B940" s="56"/>
      <c r="C940" s="57"/>
      <c r="D940" s="56"/>
      <c r="E940" s="56"/>
      <c r="F940" s="56"/>
      <c r="G940" s="50" t="str">
        <f aca="false">IF($A940="","",IF(ISNUMBER($G939),$G939+1,1))</f>
        <v/>
      </c>
      <c r="H940" s="51" t="str">
        <f aca="false">IF(OR(NOT(ISNUMBER($G940)),$G940&lt;2,NOT(ISNUMBER($C939)),$C939=0),"",$C940/$C939-1)</f>
        <v/>
      </c>
      <c r="I940" s="52" t="str">
        <f aca="false">IF(AND(ISNUMBER($G940),$G940&gt;=MA_SHORT),AVERAGE(INDEX($C$540:$C940,402-MA_SHORT):$C940),"")</f>
        <v/>
      </c>
      <c r="J940" s="52" t="str">
        <f aca="false">IF(AND(ISNUMBER($G940),$G940&gt;=MA_MED),AVERAGE(INDEX($C$540:$C940,402-MA_MED):$C940),"")</f>
        <v/>
      </c>
      <c r="K940" s="52" t="str">
        <f aca="false">IF(AND(ISNUMBER($G940),$G940&gt;=MA_LONG2),AVERAGE(INDEX($C$540:$C940,402-MA_LONG2):$C940),"")</f>
        <v/>
      </c>
      <c r="L940" s="53" t="str">
        <f aca="false">IF(AND(ISNUMBER($G940),$G940&gt;=21),STDEV(INDEX($H$880:$H940,62-20):$H940)*SQRT(245),"")</f>
        <v/>
      </c>
      <c r="M940" s="52" t="str">
        <f aca="false">IF(AND(ISNUMBER($G940),$G940&gt;=60),MAX(INDEX($D$740:$D940,202-60):$D940),"")</f>
        <v/>
      </c>
      <c r="N940" s="52" t="str">
        <f aca="false">IF(AND(ISNUMBER($G940),$G940&gt;=60),MIN(INDEX($E$740:$E940,202-60):$E940),"")</f>
        <v/>
      </c>
      <c r="O940" s="53" t="str">
        <f aca="false">IF(OR(NOT(ISNUMBER($C940)),NOT(ISNUMBER($M940)),$M940=0),"",$C940/$M940-1)</f>
        <v/>
      </c>
    </row>
    <row r="941" customFormat="false" ht="15" hidden="false" customHeight="false" outlineLevel="0" collapsed="false">
      <c r="A941" s="55"/>
      <c r="B941" s="56"/>
      <c r="C941" s="57"/>
      <c r="D941" s="56"/>
      <c r="E941" s="56"/>
      <c r="F941" s="56"/>
      <c r="G941" s="50" t="str">
        <f aca="false">IF($A941="","",IF(ISNUMBER($G940),$G940+1,1))</f>
        <v/>
      </c>
      <c r="H941" s="51" t="str">
        <f aca="false">IF(OR(NOT(ISNUMBER($G941)),$G941&lt;2,NOT(ISNUMBER($C940)),$C940=0),"",$C941/$C940-1)</f>
        <v/>
      </c>
      <c r="I941" s="52" t="str">
        <f aca="false">IF(AND(ISNUMBER($G941),$G941&gt;=MA_SHORT),AVERAGE(INDEX($C$541:$C941,402-MA_SHORT):$C941),"")</f>
        <v/>
      </c>
      <c r="J941" s="52" t="str">
        <f aca="false">IF(AND(ISNUMBER($G941),$G941&gt;=MA_MED),AVERAGE(INDEX($C$541:$C941,402-MA_MED):$C941),"")</f>
        <v/>
      </c>
      <c r="K941" s="52" t="str">
        <f aca="false">IF(AND(ISNUMBER($G941),$G941&gt;=MA_LONG2),AVERAGE(INDEX($C$541:$C941,402-MA_LONG2):$C941),"")</f>
        <v/>
      </c>
      <c r="L941" s="53" t="str">
        <f aca="false">IF(AND(ISNUMBER($G941),$G941&gt;=21),STDEV(INDEX($H$881:$H941,62-20):$H941)*SQRT(245),"")</f>
        <v/>
      </c>
      <c r="M941" s="52" t="str">
        <f aca="false">IF(AND(ISNUMBER($G941),$G941&gt;=60),MAX(INDEX($D$741:$D941,202-60):$D941),"")</f>
        <v/>
      </c>
      <c r="N941" s="52" t="str">
        <f aca="false">IF(AND(ISNUMBER($G941),$G941&gt;=60),MIN(INDEX($E$741:$E941,202-60):$E941),"")</f>
        <v/>
      </c>
      <c r="O941" s="53" t="str">
        <f aca="false">IF(OR(NOT(ISNUMBER($C941)),NOT(ISNUMBER($M941)),$M941=0),"",$C941/$M941-1)</f>
        <v/>
      </c>
    </row>
    <row r="942" customFormat="false" ht="15" hidden="false" customHeight="false" outlineLevel="0" collapsed="false">
      <c r="A942" s="55"/>
      <c r="B942" s="56"/>
      <c r="C942" s="57"/>
      <c r="D942" s="56"/>
      <c r="E942" s="56"/>
      <c r="F942" s="56"/>
      <c r="G942" s="50" t="str">
        <f aca="false">IF($A942="","",IF(ISNUMBER($G941),$G941+1,1))</f>
        <v/>
      </c>
      <c r="H942" s="51" t="str">
        <f aca="false">IF(OR(NOT(ISNUMBER($G942)),$G942&lt;2,NOT(ISNUMBER($C941)),$C941=0),"",$C942/$C941-1)</f>
        <v/>
      </c>
      <c r="I942" s="52" t="str">
        <f aca="false">IF(AND(ISNUMBER($G942),$G942&gt;=MA_SHORT),AVERAGE(INDEX($C$542:$C942,402-MA_SHORT):$C942),"")</f>
        <v/>
      </c>
      <c r="J942" s="52" t="str">
        <f aca="false">IF(AND(ISNUMBER($G942),$G942&gt;=MA_MED),AVERAGE(INDEX($C$542:$C942,402-MA_MED):$C942),"")</f>
        <v/>
      </c>
      <c r="K942" s="52" t="str">
        <f aca="false">IF(AND(ISNUMBER($G942),$G942&gt;=MA_LONG2),AVERAGE(INDEX($C$542:$C942,402-MA_LONG2):$C942),"")</f>
        <v/>
      </c>
      <c r="L942" s="53" t="str">
        <f aca="false">IF(AND(ISNUMBER($G942),$G942&gt;=21),STDEV(INDEX($H$882:$H942,62-20):$H942)*SQRT(245),"")</f>
        <v/>
      </c>
      <c r="M942" s="52" t="str">
        <f aca="false">IF(AND(ISNUMBER($G942),$G942&gt;=60),MAX(INDEX($D$742:$D942,202-60):$D942),"")</f>
        <v/>
      </c>
      <c r="N942" s="52" t="str">
        <f aca="false">IF(AND(ISNUMBER($G942),$G942&gt;=60),MIN(INDEX($E$742:$E942,202-60):$E942),"")</f>
        <v/>
      </c>
      <c r="O942" s="53" t="str">
        <f aca="false">IF(OR(NOT(ISNUMBER($C942)),NOT(ISNUMBER($M942)),$M942=0),"",$C942/$M942-1)</f>
        <v/>
      </c>
    </row>
    <row r="943" customFormat="false" ht="15" hidden="false" customHeight="false" outlineLevel="0" collapsed="false">
      <c r="A943" s="55"/>
      <c r="B943" s="56"/>
      <c r="C943" s="57"/>
      <c r="D943" s="56"/>
      <c r="E943" s="56"/>
      <c r="F943" s="56"/>
      <c r="G943" s="50" t="str">
        <f aca="false">IF($A943="","",IF(ISNUMBER($G942),$G942+1,1))</f>
        <v/>
      </c>
      <c r="H943" s="51" t="str">
        <f aca="false">IF(OR(NOT(ISNUMBER($G943)),$G943&lt;2,NOT(ISNUMBER($C942)),$C942=0),"",$C943/$C942-1)</f>
        <v/>
      </c>
      <c r="I943" s="52" t="str">
        <f aca="false">IF(AND(ISNUMBER($G943),$G943&gt;=MA_SHORT),AVERAGE(INDEX($C$543:$C943,402-MA_SHORT):$C943),"")</f>
        <v/>
      </c>
      <c r="J943" s="52" t="str">
        <f aca="false">IF(AND(ISNUMBER($G943),$G943&gt;=MA_MED),AVERAGE(INDEX($C$543:$C943,402-MA_MED):$C943),"")</f>
        <v/>
      </c>
      <c r="K943" s="52" t="str">
        <f aca="false">IF(AND(ISNUMBER($G943),$G943&gt;=MA_LONG2),AVERAGE(INDEX($C$543:$C943,402-MA_LONG2):$C943),"")</f>
        <v/>
      </c>
      <c r="L943" s="53" t="str">
        <f aca="false">IF(AND(ISNUMBER($G943),$G943&gt;=21),STDEV(INDEX($H$883:$H943,62-20):$H943)*SQRT(245),"")</f>
        <v/>
      </c>
      <c r="M943" s="52" t="str">
        <f aca="false">IF(AND(ISNUMBER($G943),$G943&gt;=60),MAX(INDEX($D$743:$D943,202-60):$D943),"")</f>
        <v/>
      </c>
      <c r="N943" s="52" t="str">
        <f aca="false">IF(AND(ISNUMBER($G943),$G943&gt;=60),MIN(INDEX($E$743:$E943,202-60):$E943),"")</f>
        <v/>
      </c>
      <c r="O943" s="53" t="str">
        <f aca="false">IF(OR(NOT(ISNUMBER($C943)),NOT(ISNUMBER($M943)),$M943=0),"",$C943/$M943-1)</f>
        <v/>
      </c>
    </row>
    <row r="944" customFormat="false" ht="15" hidden="false" customHeight="false" outlineLevel="0" collapsed="false">
      <c r="A944" s="55"/>
      <c r="B944" s="56"/>
      <c r="C944" s="57"/>
      <c r="D944" s="56"/>
      <c r="E944" s="56"/>
      <c r="F944" s="56"/>
      <c r="G944" s="50" t="str">
        <f aca="false">IF($A944="","",IF(ISNUMBER($G943),$G943+1,1))</f>
        <v/>
      </c>
      <c r="H944" s="51" t="str">
        <f aca="false">IF(OR(NOT(ISNUMBER($G944)),$G944&lt;2,NOT(ISNUMBER($C943)),$C943=0),"",$C944/$C943-1)</f>
        <v/>
      </c>
      <c r="I944" s="52" t="str">
        <f aca="false">IF(AND(ISNUMBER($G944),$G944&gt;=MA_SHORT),AVERAGE(INDEX($C$544:$C944,402-MA_SHORT):$C944),"")</f>
        <v/>
      </c>
      <c r="J944" s="52" t="str">
        <f aca="false">IF(AND(ISNUMBER($G944),$G944&gt;=MA_MED),AVERAGE(INDEX($C$544:$C944,402-MA_MED):$C944),"")</f>
        <v/>
      </c>
      <c r="K944" s="52" t="str">
        <f aca="false">IF(AND(ISNUMBER($G944),$G944&gt;=MA_LONG2),AVERAGE(INDEX($C$544:$C944,402-MA_LONG2):$C944),"")</f>
        <v/>
      </c>
      <c r="L944" s="53" t="str">
        <f aca="false">IF(AND(ISNUMBER($G944),$G944&gt;=21),STDEV(INDEX($H$884:$H944,62-20):$H944)*SQRT(245),"")</f>
        <v/>
      </c>
      <c r="M944" s="52" t="str">
        <f aca="false">IF(AND(ISNUMBER($G944),$G944&gt;=60),MAX(INDEX($D$744:$D944,202-60):$D944),"")</f>
        <v/>
      </c>
      <c r="N944" s="52" t="str">
        <f aca="false">IF(AND(ISNUMBER($G944),$G944&gt;=60),MIN(INDEX($E$744:$E944,202-60):$E944),"")</f>
        <v/>
      </c>
      <c r="O944" s="53" t="str">
        <f aca="false">IF(OR(NOT(ISNUMBER($C944)),NOT(ISNUMBER($M944)),$M944=0),"",$C944/$M944-1)</f>
        <v/>
      </c>
    </row>
    <row r="945" customFormat="false" ht="15" hidden="false" customHeight="false" outlineLevel="0" collapsed="false">
      <c r="A945" s="55"/>
      <c r="B945" s="56"/>
      <c r="C945" s="57"/>
      <c r="D945" s="56"/>
      <c r="E945" s="56"/>
      <c r="F945" s="56"/>
      <c r="G945" s="50" t="str">
        <f aca="false">IF($A945="","",IF(ISNUMBER($G944),$G944+1,1))</f>
        <v/>
      </c>
      <c r="H945" s="51" t="str">
        <f aca="false">IF(OR(NOT(ISNUMBER($G945)),$G945&lt;2,NOT(ISNUMBER($C944)),$C944=0),"",$C945/$C944-1)</f>
        <v/>
      </c>
      <c r="I945" s="52" t="str">
        <f aca="false">IF(AND(ISNUMBER($G945),$G945&gt;=MA_SHORT),AVERAGE(INDEX($C$545:$C945,402-MA_SHORT):$C945),"")</f>
        <v/>
      </c>
      <c r="J945" s="52" t="str">
        <f aca="false">IF(AND(ISNUMBER($G945),$G945&gt;=MA_MED),AVERAGE(INDEX($C$545:$C945,402-MA_MED):$C945),"")</f>
        <v/>
      </c>
      <c r="K945" s="52" t="str">
        <f aca="false">IF(AND(ISNUMBER($G945),$G945&gt;=MA_LONG2),AVERAGE(INDEX($C$545:$C945,402-MA_LONG2):$C945),"")</f>
        <v/>
      </c>
      <c r="L945" s="53" t="str">
        <f aca="false">IF(AND(ISNUMBER($G945),$G945&gt;=21),STDEV(INDEX($H$885:$H945,62-20):$H945)*SQRT(245),"")</f>
        <v/>
      </c>
      <c r="M945" s="52" t="str">
        <f aca="false">IF(AND(ISNUMBER($G945),$G945&gt;=60),MAX(INDEX($D$745:$D945,202-60):$D945),"")</f>
        <v/>
      </c>
      <c r="N945" s="52" t="str">
        <f aca="false">IF(AND(ISNUMBER($G945),$G945&gt;=60),MIN(INDEX($E$745:$E945,202-60):$E945),"")</f>
        <v/>
      </c>
      <c r="O945" s="53" t="str">
        <f aca="false">IF(OR(NOT(ISNUMBER($C945)),NOT(ISNUMBER($M945)),$M945=0),"",$C945/$M945-1)</f>
        <v/>
      </c>
    </row>
    <row r="946" customFormat="false" ht="15" hidden="false" customHeight="false" outlineLevel="0" collapsed="false">
      <c r="A946" s="55"/>
      <c r="B946" s="56"/>
      <c r="C946" s="57"/>
      <c r="D946" s="56"/>
      <c r="E946" s="56"/>
      <c r="F946" s="56"/>
      <c r="G946" s="50" t="str">
        <f aca="false">IF($A946="","",IF(ISNUMBER($G945),$G945+1,1))</f>
        <v/>
      </c>
      <c r="H946" s="51" t="str">
        <f aca="false">IF(OR(NOT(ISNUMBER($G946)),$G946&lt;2,NOT(ISNUMBER($C945)),$C945=0),"",$C946/$C945-1)</f>
        <v/>
      </c>
      <c r="I946" s="52" t="str">
        <f aca="false">IF(AND(ISNUMBER($G946),$G946&gt;=MA_SHORT),AVERAGE(INDEX($C$546:$C946,402-MA_SHORT):$C946),"")</f>
        <v/>
      </c>
      <c r="J946" s="52" t="str">
        <f aca="false">IF(AND(ISNUMBER($G946),$G946&gt;=MA_MED),AVERAGE(INDEX($C$546:$C946,402-MA_MED):$C946),"")</f>
        <v/>
      </c>
      <c r="K946" s="52" t="str">
        <f aca="false">IF(AND(ISNUMBER($G946),$G946&gt;=MA_LONG2),AVERAGE(INDEX($C$546:$C946,402-MA_LONG2):$C946),"")</f>
        <v/>
      </c>
      <c r="L946" s="53" t="str">
        <f aca="false">IF(AND(ISNUMBER($G946),$G946&gt;=21),STDEV(INDEX($H$886:$H946,62-20):$H946)*SQRT(245),"")</f>
        <v/>
      </c>
      <c r="M946" s="52" t="str">
        <f aca="false">IF(AND(ISNUMBER($G946),$G946&gt;=60),MAX(INDEX($D$746:$D946,202-60):$D946),"")</f>
        <v/>
      </c>
      <c r="N946" s="52" t="str">
        <f aca="false">IF(AND(ISNUMBER($G946),$G946&gt;=60),MIN(INDEX($E$746:$E946,202-60):$E946),"")</f>
        <v/>
      </c>
      <c r="O946" s="53" t="str">
        <f aca="false">IF(OR(NOT(ISNUMBER($C946)),NOT(ISNUMBER($M946)),$M946=0),"",$C946/$M946-1)</f>
        <v/>
      </c>
    </row>
    <row r="947" customFormat="false" ht="15" hidden="false" customHeight="false" outlineLevel="0" collapsed="false">
      <c r="A947" s="55"/>
      <c r="B947" s="56"/>
      <c r="C947" s="57"/>
      <c r="D947" s="56"/>
      <c r="E947" s="56"/>
      <c r="F947" s="56"/>
      <c r="G947" s="50" t="str">
        <f aca="false">IF($A947="","",IF(ISNUMBER($G946),$G946+1,1))</f>
        <v/>
      </c>
      <c r="H947" s="51" t="str">
        <f aca="false">IF(OR(NOT(ISNUMBER($G947)),$G947&lt;2,NOT(ISNUMBER($C946)),$C946=0),"",$C947/$C946-1)</f>
        <v/>
      </c>
      <c r="I947" s="52" t="str">
        <f aca="false">IF(AND(ISNUMBER($G947),$G947&gt;=MA_SHORT),AVERAGE(INDEX($C$547:$C947,402-MA_SHORT):$C947),"")</f>
        <v/>
      </c>
      <c r="J947" s="52" t="str">
        <f aca="false">IF(AND(ISNUMBER($G947),$G947&gt;=MA_MED),AVERAGE(INDEX($C$547:$C947,402-MA_MED):$C947),"")</f>
        <v/>
      </c>
      <c r="K947" s="52" t="str">
        <f aca="false">IF(AND(ISNUMBER($G947),$G947&gt;=MA_LONG2),AVERAGE(INDEX($C$547:$C947,402-MA_LONG2):$C947),"")</f>
        <v/>
      </c>
      <c r="L947" s="53" t="str">
        <f aca="false">IF(AND(ISNUMBER($G947),$G947&gt;=21),STDEV(INDEX($H$887:$H947,62-20):$H947)*SQRT(245),"")</f>
        <v/>
      </c>
      <c r="M947" s="52" t="str">
        <f aca="false">IF(AND(ISNUMBER($G947),$G947&gt;=60),MAX(INDEX($D$747:$D947,202-60):$D947),"")</f>
        <v/>
      </c>
      <c r="N947" s="52" t="str">
        <f aca="false">IF(AND(ISNUMBER($G947),$G947&gt;=60),MIN(INDEX($E$747:$E947,202-60):$E947),"")</f>
        <v/>
      </c>
      <c r="O947" s="53" t="str">
        <f aca="false">IF(OR(NOT(ISNUMBER($C947)),NOT(ISNUMBER($M947)),$M947=0),"",$C947/$M947-1)</f>
        <v/>
      </c>
    </row>
    <row r="948" customFormat="false" ht="15" hidden="false" customHeight="false" outlineLevel="0" collapsed="false">
      <c r="A948" s="55"/>
      <c r="B948" s="56"/>
      <c r="C948" s="57"/>
      <c r="D948" s="56"/>
      <c r="E948" s="56"/>
      <c r="F948" s="56"/>
      <c r="G948" s="50" t="str">
        <f aca="false">IF($A948="","",IF(ISNUMBER($G947),$G947+1,1))</f>
        <v/>
      </c>
      <c r="H948" s="51" t="str">
        <f aca="false">IF(OR(NOT(ISNUMBER($G948)),$G948&lt;2,NOT(ISNUMBER($C947)),$C947=0),"",$C948/$C947-1)</f>
        <v/>
      </c>
      <c r="I948" s="52" t="str">
        <f aca="false">IF(AND(ISNUMBER($G948),$G948&gt;=MA_SHORT),AVERAGE(INDEX($C$548:$C948,402-MA_SHORT):$C948),"")</f>
        <v/>
      </c>
      <c r="J948" s="52" t="str">
        <f aca="false">IF(AND(ISNUMBER($G948),$G948&gt;=MA_MED),AVERAGE(INDEX($C$548:$C948,402-MA_MED):$C948),"")</f>
        <v/>
      </c>
      <c r="K948" s="52" t="str">
        <f aca="false">IF(AND(ISNUMBER($G948),$G948&gt;=MA_LONG2),AVERAGE(INDEX($C$548:$C948,402-MA_LONG2):$C948),"")</f>
        <v/>
      </c>
      <c r="L948" s="53" t="str">
        <f aca="false">IF(AND(ISNUMBER($G948),$G948&gt;=21),STDEV(INDEX($H$888:$H948,62-20):$H948)*SQRT(245),"")</f>
        <v/>
      </c>
      <c r="M948" s="52" t="str">
        <f aca="false">IF(AND(ISNUMBER($G948),$G948&gt;=60),MAX(INDEX($D$748:$D948,202-60):$D948),"")</f>
        <v/>
      </c>
      <c r="N948" s="52" t="str">
        <f aca="false">IF(AND(ISNUMBER($G948),$G948&gt;=60),MIN(INDEX($E$748:$E948,202-60):$E948),"")</f>
        <v/>
      </c>
      <c r="O948" s="53" t="str">
        <f aca="false">IF(OR(NOT(ISNUMBER($C948)),NOT(ISNUMBER($M948)),$M948=0),"",$C948/$M948-1)</f>
        <v/>
      </c>
    </row>
    <row r="949" customFormat="false" ht="15" hidden="false" customHeight="false" outlineLevel="0" collapsed="false">
      <c r="A949" s="55"/>
      <c r="B949" s="56"/>
      <c r="C949" s="57"/>
      <c r="D949" s="56"/>
      <c r="E949" s="56"/>
      <c r="F949" s="56"/>
      <c r="G949" s="50" t="str">
        <f aca="false">IF($A949="","",IF(ISNUMBER($G948),$G948+1,1))</f>
        <v/>
      </c>
      <c r="H949" s="51" t="str">
        <f aca="false">IF(OR(NOT(ISNUMBER($G949)),$G949&lt;2,NOT(ISNUMBER($C948)),$C948=0),"",$C949/$C948-1)</f>
        <v/>
      </c>
      <c r="I949" s="52" t="str">
        <f aca="false">IF(AND(ISNUMBER($G949),$G949&gt;=MA_SHORT),AVERAGE(INDEX($C$549:$C949,402-MA_SHORT):$C949),"")</f>
        <v/>
      </c>
      <c r="J949" s="52" t="str">
        <f aca="false">IF(AND(ISNUMBER($G949),$G949&gt;=MA_MED),AVERAGE(INDEX($C$549:$C949,402-MA_MED):$C949),"")</f>
        <v/>
      </c>
      <c r="K949" s="52" t="str">
        <f aca="false">IF(AND(ISNUMBER($G949),$G949&gt;=MA_LONG2),AVERAGE(INDEX($C$549:$C949,402-MA_LONG2):$C949),"")</f>
        <v/>
      </c>
      <c r="L949" s="53" t="str">
        <f aca="false">IF(AND(ISNUMBER($G949),$G949&gt;=21),STDEV(INDEX($H$889:$H949,62-20):$H949)*SQRT(245),"")</f>
        <v/>
      </c>
      <c r="M949" s="52" t="str">
        <f aca="false">IF(AND(ISNUMBER($G949),$G949&gt;=60),MAX(INDEX($D$749:$D949,202-60):$D949),"")</f>
        <v/>
      </c>
      <c r="N949" s="52" t="str">
        <f aca="false">IF(AND(ISNUMBER($G949),$G949&gt;=60),MIN(INDEX($E$749:$E949,202-60):$E949),"")</f>
        <v/>
      </c>
      <c r="O949" s="53" t="str">
        <f aca="false">IF(OR(NOT(ISNUMBER($C949)),NOT(ISNUMBER($M949)),$M949=0),"",$C949/$M949-1)</f>
        <v/>
      </c>
    </row>
    <row r="950" customFormat="false" ht="15" hidden="false" customHeight="false" outlineLevel="0" collapsed="false">
      <c r="A950" s="55"/>
      <c r="B950" s="56"/>
      <c r="C950" s="57"/>
      <c r="D950" s="56"/>
      <c r="E950" s="56"/>
      <c r="F950" s="56"/>
      <c r="G950" s="50" t="str">
        <f aca="false">IF($A950="","",IF(ISNUMBER($G949),$G949+1,1))</f>
        <v/>
      </c>
      <c r="H950" s="51" t="str">
        <f aca="false">IF(OR(NOT(ISNUMBER($G950)),$G950&lt;2,NOT(ISNUMBER($C949)),$C949=0),"",$C950/$C949-1)</f>
        <v/>
      </c>
      <c r="I950" s="52" t="str">
        <f aca="false">IF(AND(ISNUMBER($G950),$G950&gt;=MA_SHORT),AVERAGE(INDEX($C$550:$C950,402-MA_SHORT):$C950),"")</f>
        <v/>
      </c>
      <c r="J950" s="52" t="str">
        <f aca="false">IF(AND(ISNUMBER($G950),$G950&gt;=MA_MED),AVERAGE(INDEX($C$550:$C950,402-MA_MED):$C950),"")</f>
        <v/>
      </c>
      <c r="K950" s="52" t="str">
        <f aca="false">IF(AND(ISNUMBER($G950),$G950&gt;=MA_LONG2),AVERAGE(INDEX($C$550:$C950,402-MA_LONG2):$C950),"")</f>
        <v/>
      </c>
      <c r="L950" s="53" t="str">
        <f aca="false">IF(AND(ISNUMBER($G950),$G950&gt;=21),STDEV(INDEX($H$890:$H950,62-20):$H950)*SQRT(245),"")</f>
        <v/>
      </c>
      <c r="M950" s="52" t="str">
        <f aca="false">IF(AND(ISNUMBER($G950),$G950&gt;=60),MAX(INDEX($D$750:$D950,202-60):$D950),"")</f>
        <v/>
      </c>
      <c r="N950" s="52" t="str">
        <f aca="false">IF(AND(ISNUMBER($G950),$G950&gt;=60),MIN(INDEX($E$750:$E950,202-60):$E950),"")</f>
        <v/>
      </c>
      <c r="O950" s="53" t="str">
        <f aca="false">IF(OR(NOT(ISNUMBER($C950)),NOT(ISNUMBER($M950)),$M950=0),"",$C950/$M950-1)</f>
        <v/>
      </c>
    </row>
    <row r="951" customFormat="false" ht="15" hidden="false" customHeight="false" outlineLevel="0" collapsed="false">
      <c r="A951" s="55"/>
      <c r="B951" s="56"/>
      <c r="C951" s="57"/>
      <c r="D951" s="56"/>
      <c r="E951" s="56"/>
      <c r="F951" s="56"/>
      <c r="G951" s="50" t="str">
        <f aca="false">IF($A951="","",IF(ISNUMBER($G950),$G950+1,1))</f>
        <v/>
      </c>
      <c r="H951" s="51" t="str">
        <f aca="false">IF(OR(NOT(ISNUMBER($G951)),$G951&lt;2,NOT(ISNUMBER($C950)),$C950=0),"",$C951/$C950-1)</f>
        <v/>
      </c>
      <c r="I951" s="52" t="str">
        <f aca="false">IF(AND(ISNUMBER($G951),$G951&gt;=MA_SHORT),AVERAGE(INDEX($C$551:$C951,402-MA_SHORT):$C951),"")</f>
        <v/>
      </c>
      <c r="J951" s="52" t="str">
        <f aca="false">IF(AND(ISNUMBER($G951),$G951&gt;=MA_MED),AVERAGE(INDEX($C$551:$C951,402-MA_MED):$C951),"")</f>
        <v/>
      </c>
      <c r="K951" s="52" t="str">
        <f aca="false">IF(AND(ISNUMBER($G951),$G951&gt;=MA_LONG2),AVERAGE(INDEX($C$551:$C951,402-MA_LONG2):$C951),"")</f>
        <v/>
      </c>
      <c r="L951" s="53" t="str">
        <f aca="false">IF(AND(ISNUMBER($G951),$G951&gt;=21),STDEV(INDEX($H$891:$H951,62-20):$H951)*SQRT(245),"")</f>
        <v/>
      </c>
      <c r="M951" s="52" t="str">
        <f aca="false">IF(AND(ISNUMBER($G951),$G951&gt;=60),MAX(INDEX($D$751:$D951,202-60):$D951),"")</f>
        <v/>
      </c>
      <c r="N951" s="52" t="str">
        <f aca="false">IF(AND(ISNUMBER($G951),$G951&gt;=60),MIN(INDEX($E$751:$E951,202-60):$E951),"")</f>
        <v/>
      </c>
      <c r="O951" s="53" t="str">
        <f aca="false">IF(OR(NOT(ISNUMBER($C951)),NOT(ISNUMBER($M951)),$M951=0),"",$C951/$M951-1)</f>
        <v/>
      </c>
    </row>
    <row r="952" customFormat="false" ht="15" hidden="false" customHeight="false" outlineLevel="0" collapsed="false">
      <c r="A952" s="55"/>
      <c r="B952" s="56"/>
      <c r="C952" s="57"/>
      <c r="D952" s="56"/>
      <c r="E952" s="56"/>
      <c r="F952" s="56"/>
      <c r="G952" s="50" t="str">
        <f aca="false">IF($A952="","",IF(ISNUMBER($G951),$G951+1,1))</f>
        <v/>
      </c>
      <c r="H952" s="51" t="str">
        <f aca="false">IF(OR(NOT(ISNUMBER($G952)),$G952&lt;2,NOT(ISNUMBER($C951)),$C951=0),"",$C952/$C951-1)</f>
        <v/>
      </c>
      <c r="I952" s="52" t="str">
        <f aca="false">IF(AND(ISNUMBER($G952),$G952&gt;=MA_SHORT),AVERAGE(INDEX($C$552:$C952,402-MA_SHORT):$C952),"")</f>
        <v/>
      </c>
      <c r="J952" s="52" t="str">
        <f aca="false">IF(AND(ISNUMBER($G952),$G952&gt;=MA_MED),AVERAGE(INDEX($C$552:$C952,402-MA_MED):$C952),"")</f>
        <v/>
      </c>
      <c r="K952" s="52" t="str">
        <f aca="false">IF(AND(ISNUMBER($G952),$G952&gt;=MA_LONG2),AVERAGE(INDEX($C$552:$C952,402-MA_LONG2):$C952),"")</f>
        <v/>
      </c>
      <c r="L952" s="53" t="str">
        <f aca="false">IF(AND(ISNUMBER($G952),$G952&gt;=21),STDEV(INDEX($H$892:$H952,62-20):$H952)*SQRT(245),"")</f>
        <v/>
      </c>
      <c r="M952" s="52" t="str">
        <f aca="false">IF(AND(ISNUMBER($G952),$G952&gt;=60),MAX(INDEX($D$752:$D952,202-60):$D952),"")</f>
        <v/>
      </c>
      <c r="N952" s="52" t="str">
        <f aca="false">IF(AND(ISNUMBER($G952),$G952&gt;=60),MIN(INDEX($E$752:$E952,202-60):$E952),"")</f>
        <v/>
      </c>
      <c r="O952" s="53" t="str">
        <f aca="false">IF(OR(NOT(ISNUMBER($C952)),NOT(ISNUMBER($M952)),$M952=0),"",$C952/$M952-1)</f>
        <v/>
      </c>
    </row>
    <row r="953" customFormat="false" ht="15" hidden="false" customHeight="false" outlineLevel="0" collapsed="false">
      <c r="A953" s="55"/>
      <c r="B953" s="56"/>
      <c r="C953" s="57"/>
      <c r="D953" s="56"/>
      <c r="E953" s="56"/>
      <c r="F953" s="56"/>
      <c r="G953" s="50" t="str">
        <f aca="false">IF($A953="","",IF(ISNUMBER($G952),$G952+1,1))</f>
        <v/>
      </c>
      <c r="H953" s="51" t="str">
        <f aca="false">IF(OR(NOT(ISNUMBER($G953)),$G953&lt;2,NOT(ISNUMBER($C952)),$C952=0),"",$C953/$C952-1)</f>
        <v/>
      </c>
      <c r="I953" s="52" t="str">
        <f aca="false">IF(AND(ISNUMBER($G953),$G953&gt;=MA_SHORT),AVERAGE(INDEX($C$553:$C953,402-MA_SHORT):$C953),"")</f>
        <v/>
      </c>
      <c r="J953" s="52" t="str">
        <f aca="false">IF(AND(ISNUMBER($G953),$G953&gt;=MA_MED),AVERAGE(INDEX($C$553:$C953,402-MA_MED):$C953),"")</f>
        <v/>
      </c>
      <c r="K953" s="52" t="str">
        <f aca="false">IF(AND(ISNUMBER($G953),$G953&gt;=MA_LONG2),AVERAGE(INDEX($C$553:$C953,402-MA_LONG2):$C953),"")</f>
        <v/>
      </c>
      <c r="L953" s="53" t="str">
        <f aca="false">IF(AND(ISNUMBER($G953),$G953&gt;=21),STDEV(INDEX($H$893:$H953,62-20):$H953)*SQRT(245),"")</f>
        <v/>
      </c>
      <c r="M953" s="52" t="str">
        <f aca="false">IF(AND(ISNUMBER($G953),$G953&gt;=60),MAX(INDEX($D$753:$D953,202-60):$D953),"")</f>
        <v/>
      </c>
      <c r="N953" s="52" t="str">
        <f aca="false">IF(AND(ISNUMBER($G953),$G953&gt;=60),MIN(INDEX($E$753:$E953,202-60):$E953),"")</f>
        <v/>
      </c>
      <c r="O953" s="53" t="str">
        <f aca="false">IF(OR(NOT(ISNUMBER($C953)),NOT(ISNUMBER($M953)),$M953=0),"",$C953/$M953-1)</f>
        <v/>
      </c>
    </row>
    <row r="954" customFormat="false" ht="15" hidden="false" customHeight="false" outlineLevel="0" collapsed="false">
      <c r="A954" s="55"/>
      <c r="B954" s="56"/>
      <c r="C954" s="57"/>
      <c r="D954" s="56"/>
      <c r="E954" s="56"/>
      <c r="F954" s="56"/>
      <c r="G954" s="50" t="str">
        <f aca="false">IF($A954="","",IF(ISNUMBER($G953),$G953+1,1))</f>
        <v/>
      </c>
      <c r="H954" s="51" t="str">
        <f aca="false">IF(OR(NOT(ISNUMBER($G954)),$G954&lt;2,NOT(ISNUMBER($C953)),$C953=0),"",$C954/$C953-1)</f>
        <v/>
      </c>
      <c r="I954" s="52" t="str">
        <f aca="false">IF(AND(ISNUMBER($G954),$G954&gt;=MA_SHORT),AVERAGE(INDEX($C$554:$C954,402-MA_SHORT):$C954),"")</f>
        <v/>
      </c>
      <c r="J954" s="52" t="str">
        <f aca="false">IF(AND(ISNUMBER($G954),$G954&gt;=MA_MED),AVERAGE(INDEX($C$554:$C954,402-MA_MED):$C954),"")</f>
        <v/>
      </c>
      <c r="K954" s="52" t="str">
        <f aca="false">IF(AND(ISNUMBER($G954),$G954&gt;=MA_LONG2),AVERAGE(INDEX($C$554:$C954,402-MA_LONG2):$C954),"")</f>
        <v/>
      </c>
      <c r="L954" s="53" t="str">
        <f aca="false">IF(AND(ISNUMBER($G954),$G954&gt;=21),STDEV(INDEX($H$894:$H954,62-20):$H954)*SQRT(245),"")</f>
        <v/>
      </c>
      <c r="M954" s="52" t="str">
        <f aca="false">IF(AND(ISNUMBER($G954),$G954&gt;=60),MAX(INDEX($D$754:$D954,202-60):$D954),"")</f>
        <v/>
      </c>
      <c r="N954" s="52" t="str">
        <f aca="false">IF(AND(ISNUMBER($G954),$G954&gt;=60),MIN(INDEX($E$754:$E954,202-60):$E954),"")</f>
        <v/>
      </c>
      <c r="O954" s="53" t="str">
        <f aca="false">IF(OR(NOT(ISNUMBER($C954)),NOT(ISNUMBER($M954)),$M954=0),"",$C954/$M954-1)</f>
        <v/>
      </c>
    </row>
    <row r="955" customFormat="false" ht="15" hidden="false" customHeight="false" outlineLevel="0" collapsed="false">
      <c r="A955" s="55"/>
      <c r="B955" s="56"/>
      <c r="C955" s="57"/>
      <c r="D955" s="56"/>
      <c r="E955" s="56"/>
      <c r="F955" s="56"/>
      <c r="G955" s="50" t="str">
        <f aca="false">IF($A955="","",IF(ISNUMBER($G954),$G954+1,1))</f>
        <v/>
      </c>
      <c r="H955" s="51" t="str">
        <f aca="false">IF(OR(NOT(ISNUMBER($G955)),$G955&lt;2,NOT(ISNUMBER($C954)),$C954=0),"",$C955/$C954-1)</f>
        <v/>
      </c>
      <c r="I955" s="52" t="str">
        <f aca="false">IF(AND(ISNUMBER($G955),$G955&gt;=MA_SHORT),AVERAGE(INDEX($C$555:$C955,402-MA_SHORT):$C955),"")</f>
        <v/>
      </c>
      <c r="J955" s="52" t="str">
        <f aca="false">IF(AND(ISNUMBER($G955),$G955&gt;=MA_MED),AVERAGE(INDEX($C$555:$C955,402-MA_MED):$C955),"")</f>
        <v/>
      </c>
      <c r="K955" s="52" t="str">
        <f aca="false">IF(AND(ISNUMBER($G955),$G955&gt;=MA_LONG2),AVERAGE(INDEX($C$555:$C955,402-MA_LONG2):$C955),"")</f>
        <v/>
      </c>
      <c r="L955" s="53" t="str">
        <f aca="false">IF(AND(ISNUMBER($G955),$G955&gt;=21),STDEV(INDEX($H$895:$H955,62-20):$H955)*SQRT(245),"")</f>
        <v/>
      </c>
      <c r="M955" s="52" t="str">
        <f aca="false">IF(AND(ISNUMBER($G955),$G955&gt;=60),MAX(INDEX($D$755:$D955,202-60):$D955),"")</f>
        <v/>
      </c>
      <c r="N955" s="52" t="str">
        <f aca="false">IF(AND(ISNUMBER($G955),$G955&gt;=60),MIN(INDEX($E$755:$E955,202-60):$E955),"")</f>
        <v/>
      </c>
      <c r="O955" s="53" t="str">
        <f aca="false">IF(OR(NOT(ISNUMBER($C955)),NOT(ISNUMBER($M955)),$M955=0),"",$C955/$M955-1)</f>
        <v/>
      </c>
    </row>
    <row r="956" customFormat="false" ht="15" hidden="false" customHeight="false" outlineLevel="0" collapsed="false">
      <c r="A956" s="55"/>
      <c r="B956" s="56"/>
      <c r="C956" s="57"/>
      <c r="D956" s="56"/>
      <c r="E956" s="56"/>
      <c r="F956" s="56"/>
      <c r="G956" s="50" t="str">
        <f aca="false">IF($A956="","",IF(ISNUMBER($G955),$G955+1,1))</f>
        <v/>
      </c>
      <c r="H956" s="51" t="str">
        <f aca="false">IF(OR(NOT(ISNUMBER($G956)),$G956&lt;2,NOT(ISNUMBER($C955)),$C955=0),"",$C956/$C955-1)</f>
        <v/>
      </c>
      <c r="I956" s="52" t="str">
        <f aca="false">IF(AND(ISNUMBER($G956),$G956&gt;=MA_SHORT),AVERAGE(INDEX($C$556:$C956,402-MA_SHORT):$C956),"")</f>
        <v/>
      </c>
      <c r="J956" s="52" t="str">
        <f aca="false">IF(AND(ISNUMBER($G956),$G956&gt;=MA_MED),AVERAGE(INDEX($C$556:$C956,402-MA_MED):$C956),"")</f>
        <v/>
      </c>
      <c r="K956" s="52" t="str">
        <f aca="false">IF(AND(ISNUMBER($G956),$G956&gt;=MA_LONG2),AVERAGE(INDEX($C$556:$C956,402-MA_LONG2):$C956),"")</f>
        <v/>
      </c>
      <c r="L956" s="53" t="str">
        <f aca="false">IF(AND(ISNUMBER($G956),$G956&gt;=21),STDEV(INDEX($H$896:$H956,62-20):$H956)*SQRT(245),"")</f>
        <v/>
      </c>
      <c r="M956" s="52" t="str">
        <f aca="false">IF(AND(ISNUMBER($G956),$G956&gt;=60),MAX(INDEX($D$756:$D956,202-60):$D956),"")</f>
        <v/>
      </c>
      <c r="N956" s="52" t="str">
        <f aca="false">IF(AND(ISNUMBER($G956),$G956&gt;=60),MIN(INDEX($E$756:$E956,202-60):$E956),"")</f>
        <v/>
      </c>
      <c r="O956" s="53" t="str">
        <f aca="false">IF(OR(NOT(ISNUMBER($C956)),NOT(ISNUMBER($M956)),$M956=0),"",$C956/$M956-1)</f>
        <v/>
      </c>
    </row>
    <row r="957" customFormat="false" ht="15" hidden="false" customHeight="false" outlineLevel="0" collapsed="false">
      <c r="A957" s="55"/>
      <c r="B957" s="56"/>
      <c r="C957" s="57"/>
      <c r="D957" s="56"/>
      <c r="E957" s="56"/>
      <c r="F957" s="56"/>
      <c r="G957" s="50" t="str">
        <f aca="false">IF($A957="","",IF(ISNUMBER($G956),$G956+1,1))</f>
        <v/>
      </c>
      <c r="H957" s="51" t="str">
        <f aca="false">IF(OR(NOT(ISNUMBER($G957)),$G957&lt;2,NOT(ISNUMBER($C956)),$C956=0),"",$C957/$C956-1)</f>
        <v/>
      </c>
      <c r="I957" s="52" t="str">
        <f aca="false">IF(AND(ISNUMBER($G957),$G957&gt;=MA_SHORT),AVERAGE(INDEX($C$557:$C957,402-MA_SHORT):$C957),"")</f>
        <v/>
      </c>
      <c r="J957" s="52" t="str">
        <f aca="false">IF(AND(ISNUMBER($G957),$G957&gt;=MA_MED),AVERAGE(INDEX($C$557:$C957,402-MA_MED):$C957),"")</f>
        <v/>
      </c>
      <c r="K957" s="52" t="str">
        <f aca="false">IF(AND(ISNUMBER($G957),$G957&gt;=MA_LONG2),AVERAGE(INDEX($C$557:$C957,402-MA_LONG2):$C957),"")</f>
        <v/>
      </c>
      <c r="L957" s="53" t="str">
        <f aca="false">IF(AND(ISNUMBER($G957),$G957&gt;=21),STDEV(INDEX($H$897:$H957,62-20):$H957)*SQRT(245),"")</f>
        <v/>
      </c>
      <c r="M957" s="52" t="str">
        <f aca="false">IF(AND(ISNUMBER($G957),$G957&gt;=60),MAX(INDEX($D$757:$D957,202-60):$D957),"")</f>
        <v/>
      </c>
      <c r="N957" s="52" t="str">
        <f aca="false">IF(AND(ISNUMBER($G957),$G957&gt;=60),MIN(INDEX($E$757:$E957,202-60):$E957),"")</f>
        <v/>
      </c>
      <c r="O957" s="53" t="str">
        <f aca="false">IF(OR(NOT(ISNUMBER($C957)),NOT(ISNUMBER($M957)),$M957=0),"",$C957/$M957-1)</f>
        <v/>
      </c>
    </row>
    <row r="958" customFormat="false" ht="15" hidden="false" customHeight="false" outlineLevel="0" collapsed="false">
      <c r="A958" s="55"/>
      <c r="B958" s="56"/>
      <c r="C958" s="57"/>
      <c r="D958" s="56"/>
      <c r="E958" s="56"/>
      <c r="F958" s="56"/>
      <c r="G958" s="50" t="str">
        <f aca="false">IF($A958="","",IF(ISNUMBER($G957),$G957+1,1))</f>
        <v/>
      </c>
      <c r="H958" s="51" t="str">
        <f aca="false">IF(OR(NOT(ISNUMBER($G958)),$G958&lt;2,NOT(ISNUMBER($C957)),$C957=0),"",$C958/$C957-1)</f>
        <v/>
      </c>
      <c r="I958" s="52" t="str">
        <f aca="false">IF(AND(ISNUMBER($G958),$G958&gt;=MA_SHORT),AVERAGE(INDEX($C$558:$C958,402-MA_SHORT):$C958),"")</f>
        <v/>
      </c>
      <c r="J958" s="52" t="str">
        <f aca="false">IF(AND(ISNUMBER($G958),$G958&gt;=MA_MED),AVERAGE(INDEX($C$558:$C958,402-MA_MED):$C958),"")</f>
        <v/>
      </c>
      <c r="K958" s="52" t="str">
        <f aca="false">IF(AND(ISNUMBER($G958),$G958&gt;=MA_LONG2),AVERAGE(INDEX($C$558:$C958,402-MA_LONG2):$C958),"")</f>
        <v/>
      </c>
      <c r="L958" s="53" t="str">
        <f aca="false">IF(AND(ISNUMBER($G958),$G958&gt;=21),STDEV(INDEX($H$898:$H958,62-20):$H958)*SQRT(245),"")</f>
        <v/>
      </c>
      <c r="M958" s="52" t="str">
        <f aca="false">IF(AND(ISNUMBER($G958),$G958&gt;=60),MAX(INDEX($D$758:$D958,202-60):$D958),"")</f>
        <v/>
      </c>
      <c r="N958" s="52" t="str">
        <f aca="false">IF(AND(ISNUMBER($G958),$G958&gt;=60),MIN(INDEX($E$758:$E958,202-60):$E958),"")</f>
        <v/>
      </c>
      <c r="O958" s="53" t="str">
        <f aca="false">IF(OR(NOT(ISNUMBER($C958)),NOT(ISNUMBER($M958)),$M958=0),"",$C958/$M958-1)</f>
        <v/>
      </c>
    </row>
    <row r="959" customFormat="false" ht="15" hidden="false" customHeight="false" outlineLevel="0" collapsed="false">
      <c r="A959" s="55"/>
      <c r="B959" s="56"/>
      <c r="C959" s="57"/>
      <c r="D959" s="56"/>
      <c r="E959" s="56"/>
      <c r="F959" s="56"/>
      <c r="G959" s="50" t="str">
        <f aca="false">IF($A959="","",IF(ISNUMBER($G958),$G958+1,1))</f>
        <v/>
      </c>
      <c r="H959" s="51" t="str">
        <f aca="false">IF(OR(NOT(ISNUMBER($G959)),$G959&lt;2,NOT(ISNUMBER($C958)),$C958=0),"",$C959/$C958-1)</f>
        <v/>
      </c>
      <c r="I959" s="52" t="str">
        <f aca="false">IF(AND(ISNUMBER($G959),$G959&gt;=MA_SHORT),AVERAGE(INDEX($C$559:$C959,402-MA_SHORT):$C959),"")</f>
        <v/>
      </c>
      <c r="J959" s="52" t="str">
        <f aca="false">IF(AND(ISNUMBER($G959),$G959&gt;=MA_MED),AVERAGE(INDEX($C$559:$C959,402-MA_MED):$C959),"")</f>
        <v/>
      </c>
      <c r="K959" s="52" t="str">
        <f aca="false">IF(AND(ISNUMBER($G959),$G959&gt;=MA_LONG2),AVERAGE(INDEX($C$559:$C959,402-MA_LONG2):$C959),"")</f>
        <v/>
      </c>
      <c r="L959" s="53" t="str">
        <f aca="false">IF(AND(ISNUMBER($G959),$G959&gt;=21),STDEV(INDEX($H$899:$H959,62-20):$H959)*SQRT(245),"")</f>
        <v/>
      </c>
      <c r="M959" s="52" t="str">
        <f aca="false">IF(AND(ISNUMBER($G959),$G959&gt;=60),MAX(INDEX($D$759:$D959,202-60):$D959),"")</f>
        <v/>
      </c>
      <c r="N959" s="52" t="str">
        <f aca="false">IF(AND(ISNUMBER($G959),$G959&gt;=60),MIN(INDEX($E$759:$E959,202-60):$E959),"")</f>
        <v/>
      </c>
      <c r="O959" s="53" t="str">
        <f aca="false">IF(OR(NOT(ISNUMBER($C959)),NOT(ISNUMBER($M959)),$M959=0),"",$C959/$M959-1)</f>
        <v/>
      </c>
    </row>
    <row r="960" customFormat="false" ht="15" hidden="false" customHeight="false" outlineLevel="0" collapsed="false">
      <c r="A960" s="55"/>
      <c r="B960" s="56"/>
      <c r="C960" s="57"/>
      <c r="D960" s="56"/>
      <c r="E960" s="56"/>
      <c r="F960" s="56"/>
      <c r="G960" s="50" t="str">
        <f aca="false">IF($A960="","",IF(ISNUMBER($G959),$G959+1,1))</f>
        <v/>
      </c>
      <c r="H960" s="51" t="str">
        <f aca="false">IF(OR(NOT(ISNUMBER($G960)),$G960&lt;2,NOT(ISNUMBER($C959)),$C959=0),"",$C960/$C959-1)</f>
        <v/>
      </c>
      <c r="I960" s="52" t="str">
        <f aca="false">IF(AND(ISNUMBER($G960),$G960&gt;=MA_SHORT),AVERAGE(INDEX($C$560:$C960,402-MA_SHORT):$C960),"")</f>
        <v/>
      </c>
      <c r="J960" s="52" t="str">
        <f aca="false">IF(AND(ISNUMBER($G960),$G960&gt;=MA_MED),AVERAGE(INDEX($C$560:$C960,402-MA_MED):$C960),"")</f>
        <v/>
      </c>
      <c r="K960" s="52" t="str">
        <f aca="false">IF(AND(ISNUMBER($G960),$G960&gt;=MA_LONG2),AVERAGE(INDEX($C$560:$C960,402-MA_LONG2):$C960),"")</f>
        <v/>
      </c>
      <c r="L960" s="53" t="str">
        <f aca="false">IF(AND(ISNUMBER($G960),$G960&gt;=21),STDEV(INDEX($H$900:$H960,62-20):$H960)*SQRT(245),"")</f>
        <v/>
      </c>
      <c r="M960" s="52" t="str">
        <f aca="false">IF(AND(ISNUMBER($G960),$G960&gt;=60),MAX(INDEX($D$760:$D960,202-60):$D960),"")</f>
        <v/>
      </c>
      <c r="N960" s="52" t="str">
        <f aca="false">IF(AND(ISNUMBER($G960),$G960&gt;=60),MIN(INDEX($E$760:$E960,202-60):$E960),"")</f>
        <v/>
      </c>
      <c r="O960" s="53" t="str">
        <f aca="false">IF(OR(NOT(ISNUMBER($C960)),NOT(ISNUMBER($M960)),$M960=0),"",$C960/$M960-1)</f>
        <v/>
      </c>
    </row>
    <row r="961" customFormat="false" ht="15" hidden="false" customHeight="false" outlineLevel="0" collapsed="false">
      <c r="A961" s="55"/>
      <c r="B961" s="56"/>
      <c r="C961" s="57"/>
      <c r="D961" s="56"/>
      <c r="E961" s="56"/>
      <c r="F961" s="56"/>
      <c r="G961" s="50" t="str">
        <f aca="false">IF($A961="","",IF(ISNUMBER($G960),$G960+1,1))</f>
        <v/>
      </c>
      <c r="H961" s="51" t="str">
        <f aca="false">IF(OR(NOT(ISNUMBER($G961)),$G961&lt;2,NOT(ISNUMBER($C960)),$C960=0),"",$C961/$C960-1)</f>
        <v/>
      </c>
      <c r="I961" s="52" t="str">
        <f aca="false">IF(AND(ISNUMBER($G961),$G961&gt;=MA_SHORT),AVERAGE(INDEX($C$561:$C961,402-MA_SHORT):$C961),"")</f>
        <v/>
      </c>
      <c r="J961" s="52" t="str">
        <f aca="false">IF(AND(ISNUMBER($G961),$G961&gt;=MA_MED),AVERAGE(INDEX($C$561:$C961,402-MA_MED):$C961),"")</f>
        <v/>
      </c>
      <c r="K961" s="52" t="str">
        <f aca="false">IF(AND(ISNUMBER($G961),$G961&gt;=MA_LONG2),AVERAGE(INDEX($C$561:$C961,402-MA_LONG2):$C961),"")</f>
        <v/>
      </c>
      <c r="L961" s="53" t="str">
        <f aca="false">IF(AND(ISNUMBER($G961),$G961&gt;=21),STDEV(INDEX($H$901:$H961,62-20):$H961)*SQRT(245),"")</f>
        <v/>
      </c>
      <c r="M961" s="52" t="str">
        <f aca="false">IF(AND(ISNUMBER($G961),$G961&gt;=60),MAX(INDEX($D$761:$D961,202-60):$D961),"")</f>
        <v/>
      </c>
      <c r="N961" s="52" t="str">
        <f aca="false">IF(AND(ISNUMBER($G961),$G961&gt;=60),MIN(INDEX($E$761:$E961,202-60):$E961),"")</f>
        <v/>
      </c>
      <c r="O961" s="53" t="str">
        <f aca="false">IF(OR(NOT(ISNUMBER($C961)),NOT(ISNUMBER($M961)),$M961=0),"",$C961/$M961-1)</f>
        <v/>
      </c>
    </row>
    <row r="962" customFormat="false" ht="15" hidden="false" customHeight="false" outlineLevel="0" collapsed="false">
      <c r="A962" s="55"/>
      <c r="B962" s="56"/>
      <c r="C962" s="57"/>
      <c r="D962" s="56"/>
      <c r="E962" s="56"/>
      <c r="F962" s="56"/>
      <c r="G962" s="50" t="str">
        <f aca="false">IF($A962="","",IF(ISNUMBER($G961),$G961+1,1))</f>
        <v/>
      </c>
      <c r="H962" s="51" t="str">
        <f aca="false">IF(OR(NOT(ISNUMBER($G962)),$G962&lt;2,NOT(ISNUMBER($C961)),$C961=0),"",$C962/$C961-1)</f>
        <v/>
      </c>
      <c r="I962" s="52" t="str">
        <f aca="false">IF(AND(ISNUMBER($G962),$G962&gt;=MA_SHORT),AVERAGE(INDEX($C$562:$C962,402-MA_SHORT):$C962),"")</f>
        <v/>
      </c>
      <c r="J962" s="52" t="str">
        <f aca="false">IF(AND(ISNUMBER($G962),$G962&gt;=MA_MED),AVERAGE(INDEX($C$562:$C962,402-MA_MED):$C962),"")</f>
        <v/>
      </c>
      <c r="K962" s="52" t="str">
        <f aca="false">IF(AND(ISNUMBER($G962),$G962&gt;=MA_LONG2),AVERAGE(INDEX($C$562:$C962,402-MA_LONG2):$C962),"")</f>
        <v/>
      </c>
      <c r="L962" s="53" t="str">
        <f aca="false">IF(AND(ISNUMBER($G962),$G962&gt;=21),STDEV(INDEX($H$902:$H962,62-20):$H962)*SQRT(245),"")</f>
        <v/>
      </c>
      <c r="M962" s="52" t="str">
        <f aca="false">IF(AND(ISNUMBER($G962),$G962&gt;=60),MAX(INDEX($D$762:$D962,202-60):$D962),"")</f>
        <v/>
      </c>
      <c r="N962" s="52" t="str">
        <f aca="false">IF(AND(ISNUMBER($G962),$G962&gt;=60),MIN(INDEX($E$762:$E962,202-60):$E962),"")</f>
        <v/>
      </c>
      <c r="O962" s="53" t="str">
        <f aca="false">IF(OR(NOT(ISNUMBER($C962)),NOT(ISNUMBER($M962)),$M962=0),"",$C962/$M962-1)</f>
        <v/>
      </c>
    </row>
    <row r="963" customFormat="false" ht="15" hidden="false" customHeight="false" outlineLevel="0" collapsed="false">
      <c r="A963" s="55"/>
      <c r="B963" s="56"/>
      <c r="C963" s="57"/>
      <c r="D963" s="56"/>
      <c r="E963" s="56"/>
      <c r="F963" s="56"/>
      <c r="G963" s="50" t="str">
        <f aca="false">IF($A963="","",IF(ISNUMBER($G962),$G962+1,1))</f>
        <v/>
      </c>
      <c r="H963" s="51" t="str">
        <f aca="false">IF(OR(NOT(ISNUMBER($G963)),$G963&lt;2,NOT(ISNUMBER($C962)),$C962=0),"",$C963/$C962-1)</f>
        <v/>
      </c>
      <c r="I963" s="52" t="str">
        <f aca="false">IF(AND(ISNUMBER($G963),$G963&gt;=MA_SHORT),AVERAGE(INDEX($C$563:$C963,402-MA_SHORT):$C963),"")</f>
        <v/>
      </c>
      <c r="J963" s="52" t="str">
        <f aca="false">IF(AND(ISNUMBER($G963),$G963&gt;=MA_MED),AVERAGE(INDEX($C$563:$C963,402-MA_MED):$C963),"")</f>
        <v/>
      </c>
      <c r="K963" s="52" t="str">
        <f aca="false">IF(AND(ISNUMBER($G963),$G963&gt;=MA_LONG2),AVERAGE(INDEX($C$563:$C963,402-MA_LONG2):$C963),"")</f>
        <v/>
      </c>
      <c r="L963" s="53" t="str">
        <f aca="false">IF(AND(ISNUMBER($G963),$G963&gt;=21),STDEV(INDEX($H$903:$H963,62-20):$H963)*SQRT(245),"")</f>
        <v/>
      </c>
      <c r="M963" s="52" t="str">
        <f aca="false">IF(AND(ISNUMBER($G963),$G963&gt;=60),MAX(INDEX($D$763:$D963,202-60):$D963),"")</f>
        <v/>
      </c>
      <c r="N963" s="52" t="str">
        <f aca="false">IF(AND(ISNUMBER($G963),$G963&gt;=60),MIN(INDEX($E$763:$E963,202-60):$E963),"")</f>
        <v/>
      </c>
      <c r="O963" s="53" t="str">
        <f aca="false">IF(OR(NOT(ISNUMBER($C963)),NOT(ISNUMBER($M963)),$M963=0),"",$C963/$M963-1)</f>
        <v/>
      </c>
    </row>
    <row r="964" customFormat="false" ht="15" hidden="false" customHeight="false" outlineLevel="0" collapsed="false">
      <c r="A964" s="55"/>
      <c r="B964" s="56"/>
      <c r="C964" s="57"/>
      <c r="D964" s="56"/>
      <c r="E964" s="56"/>
      <c r="F964" s="56"/>
      <c r="G964" s="50" t="str">
        <f aca="false">IF($A964="","",IF(ISNUMBER($G963),$G963+1,1))</f>
        <v/>
      </c>
      <c r="H964" s="51" t="str">
        <f aca="false">IF(OR(NOT(ISNUMBER($G964)),$G964&lt;2,NOT(ISNUMBER($C963)),$C963=0),"",$C964/$C963-1)</f>
        <v/>
      </c>
      <c r="I964" s="52" t="str">
        <f aca="false">IF(AND(ISNUMBER($G964),$G964&gt;=MA_SHORT),AVERAGE(INDEX($C$564:$C964,402-MA_SHORT):$C964),"")</f>
        <v/>
      </c>
      <c r="J964" s="52" t="str">
        <f aca="false">IF(AND(ISNUMBER($G964),$G964&gt;=MA_MED),AVERAGE(INDEX($C$564:$C964,402-MA_MED):$C964),"")</f>
        <v/>
      </c>
      <c r="K964" s="52" t="str">
        <f aca="false">IF(AND(ISNUMBER($G964),$G964&gt;=MA_LONG2),AVERAGE(INDEX($C$564:$C964,402-MA_LONG2):$C964),"")</f>
        <v/>
      </c>
      <c r="L964" s="53" t="str">
        <f aca="false">IF(AND(ISNUMBER($G964),$G964&gt;=21),STDEV(INDEX($H$904:$H964,62-20):$H964)*SQRT(245),"")</f>
        <v/>
      </c>
      <c r="M964" s="52" t="str">
        <f aca="false">IF(AND(ISNUMBER($G964),$G964&gt;=60),MAX(INDEX($D$764:$D964,202-60):$D964),"")</f>
        <v/>
      </c>
      <c r="N964" s="52" t="str">
        <f aca="false">IF(AND(ISNUMBER($G964),$G964&gt;=60),MIN(INDEX($E$764:$E964,202-60):$E964),"")</f>
        <v/>
      </c>
      <c r="O964" s="53" t="str">
        <f aca="false">IF(OR(NOT(ISNUMBER($C964)),NOT(ISNUMBER($M964)),$M964=0),"",$C964/$M964-1)</f>
        <v/>
      </c>
    </row>
    <row r="965" customFormat="false" ht="15" hidden="false" customHeight="false" outlineLevel="0" collapsed="false">
      <c r="A965" s="55"/>
      <c r="B965" s="56"/>
      <c r="C965" s="57"/>
      <c r="D965" s="56"/>
      <c r="E965" s="56"/>
      <c r="F965" s="56"/>
      <c r="G965" s="50" t="str">
        <f aca="false">IF($A965="","",IF(ISNUMBER($G964),$G964+1,1))</f>
        <v/>
      </c>
      <c r="H965" s="51" t="str">
        <f aca="false">IF(OR(NOT(ISNUMBER($G965)),$G965&lt;2,NOT(ISNUMBER($C964)),$C964=0),"",$C965/$C964-1)</f>
        <v/>
      </c>
      <c r="I965" s="52" t="str">
        <f aca="false">IF(AND(ISNUMBER($G965),$G965&gt;=MA_SHORT),AVERAGE(INDEX($C$565:$C965,402-MA_SHORT):$C965),"")</f>
        <v/>
      </c>
      <c r="J965" s="52" t="str">
        <f aca="false">IF(AND(ISNUMBER($G965),$G965&gt;=MA_MED),AVERAGE(INDEX($C$565:$C965,402-MA_MED):$C965),"")</f>
        <v/>
      </c>
      <c r="K965" s="52" t="str">
        <f aca="false">IF(AND(ISNUMBER($G965),$G965&gt;=MA_LONG2),AVERAGE(INDEX($C$565:$C965,402-MA_LONG2):$C965),"")</f>
        <v/>
      </c>
      <c r="L965" s="53" t="str">
        <f aca="false">IF(AND(ISNUMBER($G965),$G965&gt;=21),STDEV(INDEX($H$905:$H965,62-20):$H965)*SQRT(245),"")</f>
        <v/>
      </c>
      <c r="M965" s="52" t="str">
        <f aca="false">IF(AND(ISNUMBER($G965),$G965&gt;=60),MAX(INDEX($D$765:$D965,202-60):$D965),"")</f>
        <v/>
      </c>
      <c r="N965" s="52" t="str">
        <f aca="false">IF(AND(ISNUMBER($G965),$G965&gt;=60),MIN(INDEX($E$765:$E965,202-60):$E965),"")</f>
        <v/>
      </c>
      <c r="O965" s="53" t="str">
        <f aca="false">IF(OR(NOT(ISNUMBER($C965)),NOT(ISNUMBER($M965)),$M965=0),"",$C965/$M965-1)</f>
        <v/>
      </c>
    </row>
    <row r="966" customFormat="false" ht="15" hidden="false" customHeight="false" outlineLevel="0" collapsed="false">
      <c r="A966" s="55"/>
      <c r="B966" s="56"/>
      <c r="C966" s="57"/>
      <c r="D966" s="56"/>
      <c r="E966" s="56"/>
      <c r="F966" s="56"/>
      <c r="G966" s="50" t="str">
        <f aca="false">IF($A966="","",IF(ISNUMBER($G965),$G965+1,1))</f>
        <v/>
      </c>
      <c r="H966" s="51" t="str">
        <f aca="false">IF(OR(NOT(ISNUMBER($G966)),$G966&lt;2,NOT(ISNUMBER($C965)),$C965=0),"",$C966/$C965-1)</f>
        <v/>
      </c>
      <c r="I966" s="52" t="str">
        <f aca="false">IF(AND(ISNUMBER($G966),$G966&gt;=MA_SHORT),AVERAGE(INDEX($C$566:$C966,402-MA_SHORT):$C966),"")</f>
        <v/>
      </c>
      <c r="J966" s="52" t="str">
        <f aca="false">IF(AND(ISNUMBER($G966),$G966&gt;=MA_MED),AVERAGE(INDEX($C$566:$C966,402-MA_MED):$C966),"")</f>
        <v/>
      </c>
      <c r="K966" s="52" t="str">
        <f aca="false">IF(AND(ISNUMBER($G966),$G966&gt;=MA_LONG2),AVERAGE(INDEX($C$566:$C966,402-MA_LONG2):$C966),"")</f>
        <v/>
      </c>
      <c r="L966" s="53" t="str">
        <f aca="false">IF(AND(ISNUMBER($G966),$G966&gt;=21),STDEV(INDEX($H$906:$H966,62-20):$H966)*SQRT(245),"")</f>
        <v/>
      </c>
      <c r="M966" s="52" t="str">
        <f aca="false">IF(AND(ISNUMBER($G966),$G966&gt;=60),MAX(INDEX($D$766:$D966,202-60):$D966),"")</f>
        <v/>
      </c>
      <c r="N966" s="52" t="str">
        <f aca="false">IF(AND(ISNUMBER($G966),$G966&gt;=60),MIN(INDEX($E$766:$E966,202-60):$E966),"")</f>
        <v/>
      </c>
      <c r="O966" s="53" t="str">
        <f aca="false">IF(OR(NOT(ISNUMBER($C966)),NOT(ISNUMBER($M966)),$M966=0),"",$C966/$M966-1)</f>
        <v/>
      </c>
    </row>
    <row r="967" customFormat="false" ht="15" hidden="false" customHeight="false" outlineLevel="0" collapsed="false">
      <c r="A967" s="55"/>
      <c r="B967" s="56"/>
      <c r="C967" s="57"/>
      <c r="D967" s="56"/>
      <c r="E967" s="56"/>
      <c r="F967" s="56"/>
      <c r="G967" s="50" t="str">
        <f aca="false">IF($A967="","",IF(ISNUMBER($G966),$G966+1,1))</f>
        <v/>
      </c>
      <c r="H967" s="51" t="str">
        <f aca="false">IF(OR(NOT(ISNUMBER($G967)),$G967&lt;2,NOT(ISNUMBER($C966)),$C966=0),"",$C967/$C966-1)</f>
        <v/>
      </c>
      <c r="I967" s="52" t="str">
        <f aca="false">IF(AND(ISNUMBER($G967),$G967&gt;=MA_SHORT),AVERAGE(INDEX($C$567:$C967,402-MA_SHORT):$C967),"")</f>
        <v/>
      </c>
      <c r="J967" s="52" t="str">
        <f aca="false">IF(AND(ISNUMBER($G967),$G967&gt;=MA_MED),AVERAGE(INDEX($C$567:$C967,402-MA_MED):$C967),"")</f>
        <v/>
      </c>
      <c r="K967" s="52" t="str">
        <f aca="false">IF(AND(ISNUMBER($G967),$G967&gt;=MA_LONG2),AVERAGE(INDEX($C$567:$C967,402-MA_LONG2):$C967),"")</f>
        <v/>
      </c>
      <c r="L967" s="53" t="str">
        <f aca="false">IF(AND(ISNUMBER($G967),$G967&gt;=21),STDEV(INDEX($H$907:$H967,62-20):$H967)*SQRT(245),"")</f>
        <v/>
      </c>
      <c r="M967" s="52" t="str">
        <f aca="false">IF(AND(ISNUMBER($G967),$G967&gt;=60),MAX(INDEX($D$767:$D967,202-60):$D967),"")</f>
        <v/>
      </c>
      <c r="N967" s="52" t="str">
        <f aca="false">IF(AND(ISNUMBER($G967),$G967&gt;=60),MIN(INDEX($E$767:$E967,202-60):$E967),"")</f>
        <v/>
      </c>
      <c r="O967" s="53" t="str">
        <f aca="false">IF(OR(NOT(ISNUMBER($C967)),NOT(ISNUMBER($M967)),$M967=0),"",$C967/$M967-1)</f>
        <v/>
      </c>
    </row>
    <row r="968" customFormat="false" ht="15" hidden="false" customHeight="false" outlineLevel="0" collapsed="false">
      <c r="A968" s="55"/>
      <c r="B968" s="56"/>
      <c r="C968" s="57"/>
      <c r="D968" s="56"/>
      <c r="E968" s="56"/>
      <c r="F968" s="56"/>
      <c r="G968" s="50" t="str">
        <f aca="false">IF($A968="","",IF(ISNUMBER($G967),$G967+1,1))</f>
        <v/>
      </c>
      <c r="H968" s="51" t="str">
        <f aca="false">IF(OR(NOT(ISNUMBER($G968)),$G968&lt;2,NOT(ISNUMBER($C967)),$C967=0),"",$C968/$C967-1)</f>
        <v/>
      </c>
      <c r="I968" s="52" t="str">
        <f aca="false">IF(AND(ISNUMBER($G968),$G968&gt;=MA_SHORT),AVERAGE(INDEX($C$568:$C968,402-MA_SHORT):$C968),"")</f>
        <v/>
      </c>
      <c r="J968" s="52" t="str">
        <f aca="false">IF(AND(ISNUMBER($G968),$G968&gt;=MA_MED),AVERAGE(INDEX($C$568:$C968,402-MA_MED):$C968),"")</f>
        <v/>
      </c>
      <c r="K968" s="52" t="str">
        <f aca="false">IF(AND(ISNUMBER($G968),$G968&gt;=MA_LONG2),AVERAGE(INDEX($C$568:$C968,402-MA_LONG2):$C968),"")</f>
        <v/>
      </c>
      <c r="L968" s="53" t="str">
        <f aca="false">IF(AND(ISNUMBER($G968),$G968&gt;=21),STDEV(INDEX($H$908:$H968,62-20):$H968)*SQRT(245),"")</f>
        <v/>
      </c>
      <c r="M968" s="52" t="str">
        <f aca="false">IF(AND(ISNUMBER($G968),$G968&gt;=60),MAX(INDEX($D$768:$D968,202-60):$D968),"")</f>
        <v/>
      </c>
      <c r="N968" s="52" t="str">
        <f aca="false">IF(AND(ISNUMBER($G968),$G968&gt;=60),MIN(INDEX($E$768:$E968,202-60):$E968),"")</f>
        <v/>
      </c>
      <c r="O968" s="53" t="str">
        <f aca="false">IF(OR(NOT(ISNUMBER($C968)),NOT(ISNUMBER($M968)),$M968=0),"",$C968/$M968-1)</f>
        <v/>
      </c>
    </row>
    <row r="969" customFormat="false" ht="15" hidden="false" customHeight="false" outlineLevel="0" collapsed="false">
      <c r="A969" s="55"/>
      <c r="B969" s="56"/>
      <c r="C969" s="57"/>
      <c r="D969" s="56"/>
      <c r="E969" s="56"/>
      <c r="F969" s="56"/>
      <c r="G969" s="50" t="str">
        <f aca="false">IF($A969="","",IF(ISNUMBER($G968),$G968+1,1))</f>
        <v/>
      </c>
      <c r="H969" s="51" t="str">
        <f aca="false">IF(OR(NOT(ISNUMBER($G969)),$G969&lt;2,NOT(ISNUMBER($C968)),$C968=0),"",$C969/$C968-1)</f>
        <v/>
      </c>
      <c r="I969" s="52" t="str">
        <f aca="false">IF(AND(ISNUMBER($G969),$G969&gt;=MA_SHORT),AVERAGE(INDEX($C$569:$C969,402-MA_SHORT):$C969),"")</f>
        <v/>
      </c>
      <c r="J969" s="52" t="str">
        <f aca="false">IF(AND(ISNUMBER($G969),$G969&gt;=MA_MED),AVERAGE(INDEX($C$569:$C969,402-MA_MED):$C969),"")</f>
        <v/>
      </c>
      <c r="K969" s="52" t="str">
        <f aca="false">IF(AND(ISNUMBER($G969),$G969&gt;=MA_LONG2),AVERAGE(INDEX($C$569:$C969,402-MA_LONG2):$C969),"")</f>
        <v/>
      </c>
      <c r="L969" s="53" t="str">
        <f aca="false">IF(AND(ISNUMBER($G969),$G969&gt;=21),STDEV(INDEX($H$909:$H969,62-20):$H969)*SQRT(245),"")</f>
        <v/>
      </c>
      <c r="M969" s="52" t="str">
        <f aca="false">IF(AND(ISNUMBER($G969),$G969&gt;=60),MAX(INDEX($D$769:$D969,202-60):$D969),"")</f>
        <v/>
      </c>
      <c r="N969" s="52" t="str">
        <f aca="false">IF(AND(ISNUMBER($G969),$G969&gt;=60),MIN(INDEX($E$769:$E969,202-60):$E969),"")</f>
        <v/>
      </c>
      <c r="O969" s="53" t="str">
        <f aca="false">IF(OR(NOT(ISNUMBER($C969)),NOT(ISNUMBER($M969)),$M969=0),"",$C969/$M969-1)</f>
        <v/>
      </c>
    </row>
    <row r="970" customFormat="false" ht="15" hidden="false" customHeight="false" outlineLevel="0" collapsed="false">
      <c r="A970" s="55"/>
      <c r="B970" s="56"/>
      <c r="C970" s="57"/>
      <c r="D970" s="56"/>
      <c r="E970" s="56"/>
      <c r="F970" s="56"/>
      <c r="G970" s="50" t="str">
        <f aca="false">IF($A970="","",IF(ISNUMBER($G969),$G969+1,1))</f>
        <v/>
      </c>
      <c r="H970" s="51" t="str">
        <f aca="false">IF(OR(NOT(ISNUMBER($G970)),$G970&lt;2,NOT(ISNUMBER($C969)),$C969=0),"",$C970/$C969-1)</f>
        <v/>
      </c>
      <c r="I970" s="52" t="str">
        <f aca="false">IF(AND(ISNUMBER($G970),$G970&gt;=MA_SHORT),AVERAGE(INDEX($C$570:$C970,402-MA_SHORT):$C970),"")</f>
        <v/>
      </c>
      <c r="J970" s="52" t="str">
        <f aca="false">IF(AND(ISNUMBER($G970),$G970&gt;=MA_MED),AVERAGE(INDEX($C$570:$C970,402-MA_MED):$C970),"")</f>
        <v/>
      </c>
      <c r="K970" s="52" t="str">
        <f aca="false">IF(AND(ISNUMBER($G970),$G970&gt;=MA_LONG2),AVERAGE(INDEX($C$570:$C970,402-MA_LONG2):$C970),"")</f>
        <v/>
      </c>
      <c r="L970" s="53" t="str">
        <f aca="false">IF(AND(ISNUMBER($G970),$G970&gt;=21),STDEV(INDEX($H$910:$H970,62-20):$H970)*SQRT(245),"")</f>
        <v/>
      </c>
      <c r="M970" s="52" t="str">
        <f aca="false">IF(AND(ISNUMBER($G970),$G970&gt;=60),MAX(INDEX($D$770:$D970,202-60):$D970),"")</f>
        <v/>
      </c>
      <c r="N970" s="52" t="str">
        <f aca="false">IF(AND(ISNUMBER($G970),$G970&gt;=60),MIN(INDEX($E$770:$E970,202-60):$E970),"")</f>
        <v/>
      </c>
      <c r="O970" s="53" t="str">
        <f aca="false">IF(OR(NOT(ISNUMBER($C970)),NOT(ISNUMBER($M970)),$M970=0),"",$C970/$M970-1)</f>
        <v/>
      </c>
    </row>
    <row r="971" customFormat="false" ht="15" hidden="false" customHeight="false" outlineLevel="0" collapsed="false">
      <c r="A971" s="55"/>
      <c r="B971" s="56"/>
      <c r="C971" s="57"/>
      <c r="D971" s="56"/>
      <c r="E971" s="56"/>
      <c r="F971" s="56"/>
      <c r="G971" s="50" t="str">
        <f aca="false">IF($A971="","",IF(ISNUMBER($G970),$G970+1,1))</f>
        <v/>
      </c>
      <c r="H971" s="51" t="str">
        <f aca="false">IF(OR(NOT(ISNUMBER($G971)),$G971&lt;2,NOT(ISNUMBER($C970)),$C970=0),"",$C971/$C970-1)</f>
        <v/>
      </c>
      <c r="I971" s="52" t="str">
        <f aca="false">IF(AND(ISNUMBER($G971),$G971&gt;=MA_SHORT),AVERAGE(INDEX($C$571:$C971,402-MA_SHORT):$C971),"")</f>
        <v/>
      </c>
      <c r="J971" s="52" t="str">
        <f aca="false">IF(AND(ISNUMBER($G971),$G971&gt;=MA_MED),AVERAGE(INDEX($C$571:$C971,402-MA_MED):$C971),"")</f>
        <v/>
      </c>
      <c r="K971" s="52" t="str">
        <f aca="false">IF(AND(ISNUMBER($G971),$G971&gt;=MA_LONG2),AVERAGE(INDEX($C$571:$C971,402-MA_LONG2):$C971),"")</f>
        <v/>
      </c>
      <c r="L971" s="53" t="str">
        <f aca="false">IF(AND(ISNUMBER($G971),$G971&gt;=21),STDEV(INDEX($H$911:$H971,62-20):$H971)*SQRT(245),"")</f>
        <v/>
      </c>
      <c r="M971" s="52" t="str">
        <f aca="false">IF(AND(ISNUMBER($G971),$G971&gt;=60),MAX(INDEX($D$771:$D971,202-60):$D971),"")</f>
        <v/>
      </c>
      <c r="N971" s="52" t="str">
        <f aca="false">IF(AND(ISNUMBER($G971),$G971&gt;=60),MIN(INDEX($E$771:$E971,202-60):$E971),"")</f>
        <v/>
      </c>
      <c r="O971" s="53" t="str">
        <f aca="false">IF(OR(NOT(ISNUMBER($C971)),NOT(ISNUMBER($M971)),$M971=0),"",$C971/$M971-1)</f>
        <v/>
      </c>
    </row>
    <row r="972" customFormat="false" ht="15" hidden="false" customHeight="false" outlineLevel="0" collapsed="false">
      <c r="A972" s="55"/>
      <c r="B972" s="56"/>
      <c r="C972" s="57"/>
      <c r="D972" s="56"/>
      <c r="E972" s="56"/>
      <c r="F972" s="56"/>
      <c r="G972" s="50" t="str">
        <f aca="false">IF($A972="","",IF(ISNUMBER($G971),$G971+1,1))</f>
        <v/>
      </c>
      <c r="H972" s="51" t="str">
        <f aca="false">IF(OR(NOT(ISNUMBER($G972)),$G972&lt;2,NOT(ISNUMBER($C971)),$C971=0),"",$C972/$C971-1)</f>
        <v/>
      </c>
      <c r="I972" s="52" t="str">
        <f aca="false">IF(AND(ISNUMBER($G972),$G972&gt;=MA_SHORT),AVERAGE(INDEX($C$572:$C972,402-MA_SHORT):$C972),"")</f>
        <v/>
      </c>
      <c r="J972" s="52" t="str">
        <f aca="false">IF(AND(ISNUMBER($G972),$G972&gt;=MA_MED),AVERAGE(INDEX($C$572:$C972,402-MA_MED):$C972),"")</f>
        <v/>
      </c>
      <c r="K972" s="52" t="str">
        <f aca="false">IF(AND(ISNUMBER($G972),$G972&gt;=MA_LONG2),AVERAGE(INDEX($C$572:$C972,402-MA_LONG2):$C972),"")</f>
        <v/>
      </c>
      <c r="L972" s="53" t="str">
        <f aca="false">IF(AND(ISNUMBER($G972),$G972&gt;=21),STDEV(INDEX($H$912:$H972,62-20):$H972)*SQRT(245),"")</f>
        <v/>
      </c>
      <c r="M972" s="52" t="str">
        <f aca="false">IF(AND(ISNUMBER($G972),$G972&gt;=60),MAX(INDEX($D$772:$D972,202-60):$D972),"")</f>
        <v/>
      </c>
      <c r="N972" s="52" t="str">
        <f aca="false">IF(AND(ISNUMBER($G972),$G972&gt;=60),MIN(INDEX($E$772:$E972,202-60):$E972),"")</f>
        <v/>
      </c>
      <c r="O972" s="53" t="str">
        <f aca="false">IF(OR(NOT(ISNUMBER($C972)),NOT(ISNUMBER($M972)),$M972=0),"",$C972/$M972-1)</f>
        <v/>
      </c>
    </row>
    <row r="973" customFormat="false" ht="15" hidden="false" customHeight="false" outlineLevel="0" collapsed="false">
      <c r="A973" s="55"/>
      <c r="B973" s="56"/>
      <c r="C973" s="57"/>
      <c r="D973" s="56"/>
      <c r="E973" s="56"/>
      <c r="F973" s="56"/>
      <c r="G973" s="50" t="str">
        <f aca="false">IF($A973="","",IF(ISNUMBER($G972),$G972+1,1))</f>
        <v/>
      </c>
      <c r="H973" s="51" t="str">
        <f aca="false">IF(OR(NOT(ISNUMBER($G973)),$G973&lt;2,NOT(ISNUMBER($C972)),$C972=0),"",$C973/$C972-1)</f>
        <v/>
      </c>
      <c r="I973" s="52" t="str">
        <f aca="false">IF(AND(ISNUMBER($G973),$G973&gt;=MA_SHORT),AVERAGE(INDEX($C$573:$C973,402-MA_SHORT):$C973),"")</f>
        <v/>
      </c>
      <c r="J973" s="52" t="str">
        <f aca="false">IF(AND(ISNUMBER($G973),$G973&gt;=MA_MED),AVERAGE(INDEX($C$573:$C973,402-MA_MED):$C973),"")</f>
        <v/>
      </c>
      <c r="K973" s="52" t="str">
        <f aca="false">IF(AND(ISNUMBER($G973),$G973&gt;=MA_LONG2),AVERAGE(INDEX($C$573:$C973,402-MA_LONG2):$C973),"")</f>
        <v/>
      </c>
      <c r="L973" s="53" t="str">
        <f aca="false">IF(AND(ISNUMBER($G973),$G973&gt;=21),STDEV(INDEX($H$913:$H973,62-20):$H973)*SQRT(245),"")</f>
        <v/>
      </c>
      <c r="M973" s="52" t="str">
        <f aca="false">IF(AND(ISNUMBER($G973),$G973&gt;=60),MAX(INDEX($D$773:$D973,202-60):$D973),"")</f>
        <v/>
      </c>
      <c r="N973" s="52" t="str">
        <f aca="false">IF(AND(ISNUMBER($G973),$G973&gt;=60),MIN(INDEX($E$773:$E973,202-60):$E973),"")</f>
        <v/>
      </c>
      <c r="O973" s="53" t="str">
        <f aca="false">IF(OR(NOT(ISNUMBER($C973)),NOT(ISNUMBER($M973)),$M973=0),"",$C973/$M973-1)</f>
        <v/>
      </c>
    </row>
    <row r="974" customFormat="false" ht="15" hidden="false" customHeight="false" outlineLevel="0" collapsed="false">
      <c r="A974" s="55"/>
      <c r="B974" s="56"/>
      <c r="C974" s="57"/>
      <c r="D974" s="56"/>
      <c r="E974" s="56"/>
      <c r="F974" s="56"/>
      <c r="G974" s="50" t="str">
        <f aca="false">IF($A974="","",IF(ISNUMBER($G973),$G973+1,1))</f>
        <v/>
      </c>
      <c r="H974" s="51" t="str">
        <f aca="false">IF(OR(NOT(ISNUMBER($G974)),$G974&lt;2,NOT(ISNUMBER($C973)),$C973=0),"",$C974/$C973-1)</f>
        <v/>
      </c>
      <c r="I974" s="52" t="str">
        <f aca="false">IF(AND(ISNUMBER($G974),$G974&gt;=MA_SHORT),AVERAGE(INDEX($C$574:$C974,402-MA_SHORT):$C974),"")</f>
        <v/>
      </c>
      <c r="J974" s="52" t="str">
        <f aca="false">IF(AND(ISNUMBER($G974),$G974&gt;=MA_MED),AVERAGE(INDEX($C$574:$C974,402-MA_MED):$C974),"")</f>
        <v/>
      </c>
      <c r="K974" s="52" t="str">
        <f aca="false">IF(AND(ISNUMBER($G974),$G974&gt;=MA_LONG2),AVERAGE(INDEX($C$574:$C974,402-MA_LONG2):$C974),"")</f>
        <v/>
      </c>
      <c r="L974" s="53" t="str">
        <f aca="false">IF(AND(ISNUMBER($G974),$G974&gt;=21),STDEV(INDEX($H$914:$H974,62-20):$H974)*SQRT(245),"")</f>
        <v/>
      </c>
      <c r="M974" s="52" t="str">
        <f aca="false">IF(AND(ISNUMBER($G974),$G974&gt;=60),MAX(INDEX($D$774:$D974,202-60):$D974),"")</f>
        <v/>
      </c>
      <c r="N974" s="52" t="str">
        <f aca="false">IF(AND(ISNUMBER($G974),$G974&gt;=60),MIN(INDEX($E$774:$E974,202-60):$E974),"")</f>
        <v/>
      </c>
      <c r="O974" s="53" t="str">
        <f aca="false">IF(OR(NOT(ISNUMBER($C974)),NOT(ISNUMBER($M974)),$M974=0),"",$C974/$M974-1)</f>
        <v/>
      </c>
    </row>
    <row r="975" customFormat="false" ht="15" hidden="false" customHeight="false" outlineLevel="0" collapsed="false">
      <c r="A975" s="55"/>
      <c r="B975" s="56"/>
      <c r="C975" s="57"/>
      <c r="D975" s="56"/>
      <c r="E975" s="56"/>
      <c r="F975" s="56"/>
      <c r="G975" s="50" t="str">
        <f aca="false">IF($A975="","",IF(ISNUMBER($G974),$G974+1,1))</f>
        <v/>
      </c>
      <c r="H975" s="51" t="str">
        <f aca="false">IF(OR(NOT(ISNUMBER($G975)),$G975&lt;2,NOT(ISNUMBER($C974)),$C974=0),"",$C975/$C974-1)</f>
        <v/>
      </c>
      <c r="I975" s="52" t="str">
        <f aca="false">IF(AND(ISNUMBER($G975),$G975&gt;=MA_SHORT),AVERAGE(INDEX($C$575:$C975,402-MA_SHORT):$C975),"")</f>
        <v/>
      </c>
      <c r="J975" s="52" t="str">
        <f aca="false">IF(AND(ISNUMBER($G975),$G975&gt;=MA_MED),AVERAGE(INDEX($C$575:$C975,402-MA_MED):$C975),"")</f>
        <v/>
      </c>
      <c r="K975" s="52" t="str">
        <f aca="false">IF(AND(ISNUMBER($G975),$G975&gt;=MA_LONG2),AVERAGE(INDEX($C$575:$C975,402-MA_LONG2):$C975),"")</f>
        <v/>
      </c>
      <c r="L975" s="53" t="str">
        <f aca="false">IF(AND(ISNUMBER($G975),$G975&gt;=21),STDEV(INDEX($H$915:$H975,62-20):$H975)*SQRT(245),"")</f>
        <v/>
      </c>
      <c r="M975" s="52" t="str">
        <f aca="false">IF(AND(ISNUMBER($G975),$G975&gt;=60),MAX(INDEX($D$775:$D975,202-60):$D975),"")</f>
        <v/>
      </c>
      <c r="N975" s="52" t="str">
        <f aca="false">IF(AND(ISNUMBER($G975),$G975&gt;=60),MIN(INDEX($E$775:$E975,202-60):$E975),"")</f>
        <v/>
      </c>
      <c r="O975" s="53" t="str">
        <f aca="false">IF(OR(NOT(ISNUMBER($C975)),NOT(ISNUMBER($M975)),$M975=0),"",$C975/$M975-1)</f>
        <v/>
      </c>
    </row>
    <row r="976" customFormat="false" ht="15" hidden="false" customHeight="false" outlineLevel="0" collapsed="false">
      <c r="A976" s="55"/>
      <c r="B976" s="56"/>
      <c r="C976" s="57"/>
      <c r="D976" s="56"/>
      <c r="E976" s="56"/>
      <c r="F976" s="56"/>
      <c r="G976" s="50" t="str">
        <f aca="false">IF($A976="","",IF(ISNUMBER($G975),$G975+1,1))</f>
        <v/>
      </c>
      <c r="H976" s="51" t="str">
        <f aca="false">IF(OR(NOT(ISNUMBER($G976)),$G976&lt;2,NOT(ISNUMBER($C975)),$C975=0),"",$C976/$C975-1)</f>
        <v/>
      </c>
      <c r="I976" s="52" t="str">
        <f aca="false">IF(AND(ISNUMBER($G976),$G976&gt;=MA_SHORT),AVERAGE(INDEX($C$576:$C976,402-MA_SHORT):$C976),"")</f>
        <v/>
      </c>
      <c r="J976" s="52" t="str">
        <f aca="false">IF(AND(ISNUMBER($G976),$G976&gt;=MA_MED),AVERAGE(INDEX($C$576:$C976,402-MA_MED):$C976),"")</f>
        <v/>
      </c>
      <c r="K976" s="52" t="str">
        <f aca="false">IF(AND(ISNUMBER($G976),$G976&gt;=MA_LONG2),AVERAGE(INDEX($C$576:$C976,402-MA_LONG2):$C976),"")</f>
        <v/>
      </c>
      <c r="L976" s="53" t="str">
        <f aca="false">IF(AND(ISNUMBER($G976),$G976&gt;=21),STDEV(INDEX($H$916:$H976,62-20):$H976)*SQRT(245),"")</f>
        <v/>
      </c>
      <c r="M976" s="52" t="str">
        <f aca="false">IF(AND(ISNUMBER($G976),$G976&gt;=60),MAX(INDEX($D$776:$D976,202-60):$D976),"")</f>
        <v/>
      </c>
      <c r="N976" s="52" t="str">
        <f aca="false">IF(AND(ISNUMBER($G976),$G976&gt;=60),MIN(INDEX($E$776:$E976,202-60):$E976),"")</f>
        <v/>
      </c>
      <c r="O976" s="53" t="str">
        <f aca="false">IF(OR(NOT(ISNUMBER($C976)),NOT(ISNUMBER($M976)),$M976=0),"",$C976/$M976-1)</f>
        <v/>
      </c>
    </row>
    <row r="977" customFormat="false" ht="15" hidden="false" customHeight="false" outlineLevel="0" collapsed="false">
      <c r="A977" s="55"/>
      <c r="B977" s="56"/>
      <c r="C977" s="57"/>
      <c r="D977" s="56"/>
      <c r="E977" s="56"/>
      <c r="F977" s="56"/>
      <c r="G977" s="50" t="str">
        <f aca="false">IF($A977="","",IF(ISNUMBER($G976),$G976+1,1))</f>
        <v/>
      </c>
      <c r="H977" s="51" t="str">
        <f aca="false">IF(OR(NOT(ISNUMBER($G977)),$G977&lt;2,NOT(ISNUMBER($C976)),$C976=0),"",$C977/$C976-1)</f>
        <v/>
      </c>
      <c r="I977" s="52" t="str">
        <f aca="false">IF(AND(ISNUMBER($G977),$G977&gt;=MA_SHORT),AVERAGE(INDEX($C$577:$C977,402-MA_SHORT):$C977),"")</f>
        <v/>
      </c>
      <c r="J977" s="52" t="str">
        <f aca="false">IF(AND(ISNUMBER($G977),$G977&gt;=MA_MED),AVERAGE(INDEX($C$577:$C977,402-MA_MED):$C977),"")</f>
        <v/>
      </c>
      <c r="K977" s="52" t="str">
        <f aca="false">IF(AND(ISNUMBER($G977),$G977&gt;=MA_LONG2),AVERAGE(INDEX($C$577:$C977,402-MA_LONG2):$C977),"")</f>
        <v/>
      </c>
      <c r="L977" s="53" t="str">
        <f aca="false">IF(AND(ISNUMBER($G977),$G977&gt;=21),STDEV(INDEX($H$917:$H977,62-20):$H977)*SQRT(245),"")</f>
        <v/>
      </c>
      <c r="M977" s="52" t="str">
        <f aca="false">IF(AND(ISNUMBER($G977),$G977&gt;=60),MAX(INDEX($D$777:$D977,202-60):$D977),"")</f>
        <v/>
      </c>
      <c r="N977" s="52" t="str">
        <f aca="false">IF(AND(ISNUMBER($G977),$G977&gt;=60),MIN(INDEX($E$777:$E977,202-60):$E977),"")</f>
        <v/>
      </c>
      <c r="O977" s="53" t="str">
        <f aca="false">IF(OR(NOT(ISNUMBER($C977)),NOT(ISNUMBER($M977)),$M977=0),"",$C977/$M977-1)</f>
        <v/>
      </c>
    </row>
    <row r="978" customFormat="false" ht="15" hidden="false" customHeight="false" outlineLevel="0" collapsed="false">
      <c r="A978" s="55"/>
      <c r="B978" s="56"/>
      <c r="C978" s="57"/>
      <c r="D978" s="56"/>
      <c r="E978" s="56"/>
      <c r="F978" s="56"/>
      <c r="G978" s="50" t="str">
        <f aca="false">IF($A978="","",IF(ISNUMBER($G977),$G977+1,1))</f>
        <v/>
      </c>
      <c r="H978" s="51" t="str">
        <f aca="false">IF(OR(NOT(ISNUMBER($G978)),$G978&lt;2,NOT(ISNUMBER($C977)),$C977=0),"",$C978/$C977-1)</f>
        <v/>
      </c>
      <c r="I978" s="52" t="str">
        <f aca="false">IF(AND(ISNUMBER($G978),$G978&gt;=MA_SHORT),AVERAGE(INDEX($C$578:$C978,402-MA_SHORT):$C978),"")</f>
        <v/>
      </c>
      <c r="J978" s="52" t="str">
        <f aca="false">IF(AND(ISNUMBER($G978),$G978&gt;=MA_MED),AVERAGE(INDEX($C$578:$C978,402-MA_MED):$C978),"")</f>
        <v/>
      </c>
      <c r="K978" s="52" t="str">
        <f aca="false">IF(AND(ISNUMBER($G978),$G978&gt;=MA_LONG2),AVERAGE(INDEX($C$578:$C978,402-MA_LONG2):$C978),"")</f>
        <v/>
      </c>
      <c r="L978" s="53" t="str">
        <f aca="false">IF(AND(ISNUMBER($G978),$G978&gt;=21),STDEV(INDEX($H$918:$H978,62-20):$H978)*SQRT(245),"")</f>
        <v/>
      </c>
      <c r="M978" s="52" t="str">
        <f aca="false">IF(AND(ISNUMBER($G978),$G978&gt;=60),MAX(INDEX($D$778:$D978,202-60):$D978),"")</f>
        <v/>
      </c>
      <c r="N978" s="52" t="str">
        <f aca="false">IF(AND(ISNUMBER($G978),$G978&gt;=60),MIN(INDEX($E$778:$E978,202-60):$E978),"")</f>
        <v/>
      </c>
      <c r="O978" s="53" t="str">
        <f aca="false">IF(OR(NOT(ISNUMBER($C978)),NOT(ISNUMBER($M978)),$M978=0),"",$C978/$M978-1)</f>
        <v/>
      </c>
    </row>
    <row r="979" customFormat="false" ht="15" hidden="false" customHeight="false" outlineLevel="0" collapsed="false">
      <c r="A979" s="55"/>
      <c r="B979" s="56"/>
      <c r="C979" s="57"/>
      <c r="D979" s="56"/>
      <c r="E979" s="56"/>
      <c r="F979" s="56"/>
      <c r="G979" s="50" t="str">
        <f aca="false">IF($A979="","",IF(ISNUMBER($G978),$G978+1,1))</f>
        <v/>
      </c>
      <c r="H979" s="51" t="str">
        <f aca="false">IF(OR(NOT(ISNUMBER($G979)),$G979&lt;2,NOT(ISNUMBER($C978)),$C978=0),"",$C979/$C978-1)</f>
        <v/>
      </c>
      <c r="I979" s="52" t="str">
        <f aca="false">IF(AND(ISNUMBER($G979),$G979&gt;=MA_SHORT),AVERAGE(INDEX($C$579:$C979,402-MA_SHORT):$C979),"")</f>
        <v/>
      </c>
      <c r="J979" s="52" t="str">
        <f aca="false">IF(AND(ISNUMBER($G979),$G979&gt;=MA_MED),AVERAGE(INDEX($C$579:$C979,402-MA_MED):$C979),"")</f>
        <v/>
      </c>
      <c r="K979" s="52" t="str">
        <f aca="false">IF(AND(ISNUMBER($G979),$G979&gt;=MA_LONG2),AVERAGE(INDEX($C$579:$C979,402-MA_LONG2):$C979),"")</f>
        <v/>
      </c>
      <c r="L979" s="53" t="str">
        <f aca="false">IF(AND(ISNUMBER($G979),$G979&gt;=21),STDEV(INDEX($H$919:$H979,62-20):$H979)*SQRT(245),"")</f>
        <v/>
      </c>
      <c r="M979" s="52" t="str">
        <f aca="false">IF(AND(ISNUMBER($G979),$G979&gt;=60),MAX(INDEX($D$779:$D979,202-60):$D979),"")</f>
        <v/>
      </c>
      <c r="N979" s="52" t="str">
        <f aca="false">IF(AND(ISNUMBER($G979),$G979&gt;=60),MIN(INDEX($E$779:$E979,202-60):$E979),"")</f>
        <v/>
      </c>
      <c r="O979" s="53" t="str">
        <f aca="false">IF(OR(NOT(ISNUMBER($C979)),NOT(ISNUMBER($M979)),$M979=0),"",$C979/$M979-1)</f>
        <v/>
      </c>
    </row>
    <row r="980" customFormat="false" ht="15" hidden="false" customHeight="false" outlineLevel="0" collapsed="false">
      <c r="A980" s="55"/>
      <c r="B980" s="56"/>
      <c r="C980" s="57"/>
      <c r="D980" s="56"/>
      <c r="E980" s="56"/>
      <c r="F980" s="56"/>
      <c r="G980" s="50" t="str">
        <f aca="false">IF($A980="","",IF(ISNUMBER($G979),$G979+1,1))</f>
        <v/>
      </c>
      <c r="H980" s="51" t="str">
        <f aca="false">IF(OR(NOT(ISNUMBER($G980)),$G980&lt;2,NOT(ISNUMBER($C979)),$C979=0),"",$C980/$C979-1)</f>
        <v/>
      </c>
      <c r="I980" s="52" t="str">
        <f aca="false">IF(AND(ISNUMBER($G980),$G980&gt;=MA_SHORT),AVERAGE(INDEX($C$580:$C980,402-MA_SHORT):$C980),"")</f>
        <v/>
      </c>
      <c r="J980" s="52" t="str">
        <f aca="false">IF(AND(ISNUMBER($G980),$G980&gt;=MA_MED),AVERAGE(INDEX($C$580:$C980,402-MA_MED):$C980),"")</f>
        <v/>
      </c>
      <c r="K980" s="52" t="str">
        <f aca="false">IF(AND(ISNUMBER($G980),$G980&gt;=MA_LONG2),AVERAGE(INDEX($C$580:$C980,402-MA_LONG2):$C980),"")</f>
        <v/>
      </c>
      <c r="L980" s="53" t="str">
        <f aca="false">IF(AND(ISNUMBER($G980),$G980&gt;=21),STDEV(INDEX($H$920:$H980,62-20):$H980)*SQRT(245),"")</f>
        <v/>
      </c>
      <c r="M980" s="52" t="str">
        <f aca="false">IF(AND(ISNUMBER($G980),$G980&gt;=60),MAX(INDEX($D$780:$D980,202-60):$D980),"")</f>
        <v/>
      </c>
      <c r="N980" s="52" t="str">
        <f aca="false">IF(AND(ISNUMBER($G980),$G980&gt;=60),MIN(INDEX($E$780:$E980,202-60):$E980),"")</f>
        <v/>
      </c>
      <c r="O980" s="53" t="str">
        <f aca="false">IF(OR(NOT(ISNUMBER($C980)),NOT(ISNUMBER($M980)),$M980=0),"",$C980/$M980-1)</f>
        <v/>
      </c>
    </row>
    <row r="981" customFormat="false" ht="15" hidden="false" customHeight="false" outlineLevel="0" collapsed="false">
      <c r="A981" s="55"/>
      <c r="B981" s="56"/>
      <c r="C981" s="57"/>
      <c r="D981" s="56"/>
      <c r="E981" s="56"/>
      <c r="F981" s="56"/>
      <c r="G981" s="50" t="str">
        <f aca="false">IF($A981="","",IF(ISNUMBER($G980),$G980+1,1))</f>
        <v/>
      </c>
      <c r="H981" s="51" t="str">
        <f aca="false">IF(OR(NOT(ISNUMBER($G981)),$G981&lt;2,NOT(ISNUMBER($C980)),$C980=0),"",$C981/$C980-1)</f>
        <v/>
      </c>
      <c r="I981" s="52" t="str">
        <f aca="false">IF(AND(ISNUMBER($G981),$G981&gt;=MA_SHORT),AVERAGE(INDEX($C$581:$C981,402-MA_SHORT):$C981),"")</f>
        <v/>
      </c>
      <c r="J981" s="52" t="str">
        <f aca="false">IF(AND(ISNUMBER($G981),$G981&gt;=MA_MED),AVERAGE(INDEX($C$581:$C981,402-MA_MED):$C981),"")</f>
        <v/>
      </c>
      <c r="K981" s="52" t="str">
        <f aca="false">IF(AND(ISNUMBER($G981),$G981&gt;=MA_LONG2),AVERAGE(INDEX($C$581:$C981,402-MA_LONG2):$C981),"")</f>
        <v/>
      </c>
      <c r="L981" s="53" t="str">
        <f aca="false">IF(AND(ISNUMBER($G981),$G981&gt;=21),STDEV(INDEX($H$921:$H981,62-20):$H981)*SQRT(245),"")</f>
        <v/>
      </c>
      <c r="M981" s="52" t="str">
        <f aca="false">IF(AND(ISNUMBER($G981),$G981&gt;=60),MAX(INDEX($D$781:$D981,202-60):$D981),"")</f>
        <v/>
      </c>
      <c r="N981" s="52" t="str">
        <f aca="false">IF(AND(ISNUMBER($G981),$G981&gt;=60),MIN(INDEX($E$781:$E981,202-60):$E981),"")</f>
        <v/>
      </c>
      <c r="O981" s="53" t="str">
        <f aca="false">IF(OR(NOT(ISNUMBER($C981)),NOT(ISNUMBER($M981)),$M981=0),"",$C981/$M981-1)</f>
        <v/>
      </c>
    </row>
    <row r="982" customFormat="false" ht="15" hidden="false" customHeight="false" outlineLevel="0" collapsed="false">
      <c r="A982" s="55"/>
      <c r="B982" s="56"/>
      <c r="C982" s="57"/>
      <c r="D982" s="56"/>
      <c r="E982" s="56"/>
      <c r="F982" s="56"/>
      <c r="G982" s="50" t="str">
        <f aca="false">IF($A982="","",IF(ISNUMBER($G981),$G981+1,1))</f>
        <v/>
      </c>
      <c r="H982" s="51" t="str">
        <f aca="false">IF(OR(NOT(ISNUMBER($G982)),$G982&lt;2,NOT(ISNUMBER($C981)),$C981=0),"",$C982/$C981-1)</f>
        <v/>
      </c>
      <c r="I982" s="52" t="str">
        <f aca="false">IF(AND(ISNUMBER($G982),$G982&gt;=MA_SHORT),AVERAGE(INDEX($C$582:$C982,402-MA_SHORT):$C982),"")</f>
        <v/>
      </c>
      <c r="J982" s="52" t="str">
        <f aca="false">IF(AND(ISNUMBER($G982),$G982&gt;=MA_MED),AVERAGE(INDEX($C$582:$C982,402-MA_MED):$C982),"")</f>
        <v/>
      </c>
      <c r="K982" s="52" t="str">
        <f aca="false">IF(AND(ISNUMBER($G982),$G982&gt;=MA_LONG2),AVERAGE(INDEX($C$582:$C982,402-MA_LONG2):$C982),"")</f>
        <v/>
      </c>
      <c r="L982" s="53" t="str">
        <f aca="false">IF(AND(ISNUMBER($G982),$G982&gt;=21),STDEV(INDEX($H$922:$H982,62-20):$H982)*SQRT(245),"")</f>
        <v/>
      </c>
      <c r="M982" s="52" t="str">
        <f aca="false">IF(AND(ISNUMBER($G982),$G982&gt;=60),MAX(INDEX($D$782:$D982,202-60):$D982),"")</f>
        <v/>
      </c>
      <c r="N982" s="52" t="str">
        <f aca="false">IF(AND(ISNUMBER($G982),$G982&gt;=60),MIN(INDEX($E$782:$E982,202-60):$E982),"")</f>
        <v/>
      </c>
      <c r="O982" s="53" t="str">
        <f aca="false">IF(OR(NOT(ISNUMBER($C982)),NOT(ISNUMBER($M982)),$M982=0),"",$C982/$M982-1)</f>
        <v/>
      </c>
    </row>
    <row r="983" customFormat="false" ht="15" hidden="false" customHeight="false" outlineLevel="0" collapsed="false">
      <c r="A983" s="55"/>
      <c r="B983" s="56"/>
      <c r="C983" s="57"/>
      <c r="D983" s="56"/>
      <c r="E983" s="56"/>
      <c r="F983" s="56"/>
      <c r="G983" s="50" t="str">
        <f aca="false">IF($A983="","",IF(ISNUMBER($G982),$G982+1,1))</f>
        <v/>
      </c>
      <c r="H983" s="51" t="str">
        <f aca="false">IF(OR(NOT(ISNUMBER($G983)),$G983&lt;2,NOT(ISNUMBER($C982)),$C982=0),"",$C983/$C982-1)</f>
        <v/>
      </c>
      <c r="I983" s="52" t="str">
        <f aca="false">IF(AND(ISNUMBER($G983),$G983&gt;=MA_SHORT),AVERAGE(INDEX($C$583:$C983,402-MA_SHORT):$C983),"")</f>
        <v/>
      </c>
      <c r="J983" s="52" t="str">
        <f aca="false">IF(AND(ISNUMBER($G983),$G983&gt;=MA_MED),AVERAGE(INDEX($C$583:$C983,402-MA_MED):$C983),"")</f>
        <v/>
      </c>
      <c r="K983" s="52" t="str">
        <f aca="false">IF(AND(ISNUMBER($G983),$G983&gt;=MA_LONG2),AVERAGE(INDEX($C$583:$C983,402-MA_LONG2):$C983),"")</f>
        <v/>
      </c>
      <c r="L983" s="53" t="str">
        <f aca="false">IF(AND(ISNUMBER($G983),$G983&gt;=21),STDEV(INDEX($H$923:$H983,62-20):$H983)*SQRT(245),"")</f>
        <v/>
      </c>
      <c r="M983" s="52" t="str">
        <f aca="false">IF(AND(ISNUMBER($G983),$G983&gt;=60),MAX(INDEX($D$783:$D983,202-60):$D983),"")</f>
        <v/>
      </c>
      <c r="N983" s="52" t="str">
        <f aca="false">IF(AND(ISNUMBER($G983),$G983&gt;=60),MIN(INDEX($E$783:$E983,202-60):$E983),"")</f>
        <v/>
      </c>
      <c r="O983" s="53" t="str">
        <f aca="false">IF(OR(NOT(ISNUMBER($C983)),NOT(ISNUMBER($M983)),$M983=0),"",$C983/$M983-1)</f>
        <v/>
      </c>
    </row>
    <row r="984" customFormat="false" ht="15" hidden="false" customHeight="false" outlineLevel="0" collapsed="false">
      <c r="A984" s="55"/>
      <c r="B984" s="56"/>
      <c r="C984" s="57"/>
      <c r="D984" s="56"/>
      <c r="E984" s="56"/>
      <c r="F984" s="56"/>
      <c r="G984" s="50" t="str">
        <f aca="false">IF($A984="","",IF(ISNUMBER($G983),$G983+1,1))</f>
        <v/>
      </c>
      <c r="H984" s="51" t="str">
        <f aca="false">IF(OR(NOT(ISNUMBER($G984)),$G984&lt;2,NOT(ISNUMBER($C983)),$C983=0),"",$C984/$C983-1)</f>
        <v/>
      </c>
      <c r="I984" s="52" t="str">
        <f aca="false">IF(AND(ISNUMBER($G984),$G984&gt;=MA_SHORT),AVERAGE(INDEX($C$584:$C984,402-MA_SHORT):$C984),"")</f>
        <v/>
      </c>
      <c r="J984" s="52" t="str">
        <f aca="false">IF(AND(ISNUMBER($G984),$G984&gt;=MA_MED),AVERAGE(INDEX($C$584:$C984,402-MA_MED):$C984),"")</f>
        <v/>
      </c>
      <c r="K984" s="52" t="str">
        <f aca="false">IF(AND(ISNUMBER($G984),$G984&gt;=MA_LONG2),AVERAGE(INDEX($C$584:$C984,402-MA_LONG2):$C984),"")</f>
        <v/>
      </c>
      <c r="L984" s="53" t="str">
        <f aca="false">IF(AND(ISNUMBER($G984),$G984&gt;=21),STDEV(INDEX($H$924:$H984,62-20):$H984)*SQRT(245),"")</f>
        <v/>
      </c>
      <c r="M984" s="52" t="str">
        <f aca="false">IF(AND(ISNUMBER($G984),$G984&gt;=60),MAX(INDEX($D$784:$D984,202-60):$D984),"")</f>
        <v/>
      </c>
      <c r="N984" s="52" t="str">
        <f aca="false">IF(AND(ISNUMBER($G984),$G984&gt;=60),MIN(INDEX($E$784:$E984,202-60):$E984),"")</f>
        <v/>
      </c>
      <c r="O984" s="53" t="str">
        <f aca="false">IF(OR(NOT(ISNUMBER($C984)),NOT(ISNUMBER($M984)),$M984=0),"",$C984/$M984-1)</f>
        <v/>
      </c>
    </row>
    <row r="985" customFormat="false" ht="15" hidden="false" customHeight="false" outlineLevel="0" collapsed="false">
      <c r="A985" s="55"/>
      <c r="B985" s="56"/>
      <c r="C985" s="57"/>
      <c r="D985" s="56"/>
      <c r="E985" s="56"/>
      <c r="F985" s="56"/>
      <c r="G985" s="50" t="str">
        <f aca="false">IF($A985="","",IF(ISNUMBER($G984),$G984+1,1))</f>
        <v/>
      </c>
      <c r="H985" s="51" t="str">
        <f aca="false">IF(OR(NOT(ISNUMBER($G985)),$G985&lt;2,NOT(ISNUMBER($C984)),$C984=0),"",$C985/$C984-1)</f>
        <v/>
      </c>
      <c r="I985" s="52" t="str">
        <f aca="false">IF(AND(ISNUMBER($G985),$G985&gt;=MA_SHORT),AVERAGE(INDEX($C$585:$C985,402-MA_SHORT):$C985),"")</f>
        <v/>
      </c>
      <c r="J985" s="52" t="str">
        <f aca="false">IF(AND(ISNUMBER($G985),$G985&gt;=MA_MED),AVERAGE(INDEX($C$585:$C985,402-MA_MED):$C985),"")</f>
        <v/>
      </c>
      <c r="K985" s="52" t="str">
        <f aca="false">IF(AND(ISNUMBER($G985),$G985&gt;=MA_LONG2),AVERAGE(INDEX($C$585:$C985,402-MA_LONG2):$C985),"")</f>
        <v/>
      </c>
      <c r="L985" s="53" t="str">
        <f aca="false">IF(AND(ISNUMBER($G985),$G985&gt;=21),STDEV(INDEX($H$925:$H985,62-20):$H985)*SQRT(245),"")</f>
        <v/>
      </c>
      <c r="M985" s="52" t="str">
        <f aca="false">IF(AND(ISNUMBER($G985),$G985&gt;=60),MAX(INDEX($D$785:$D985,202-60):$D985),"")</f>
        <v/>
      </c>
      <c r="N985" s="52" t="str">
        <f aca="false">IF(AND(ISNUMBER($G985),$G985&gt;=60),MIN(INDEX($E$785:$E985,202-60):$E985),"")</f>
        <v/>
      </c>
      <c r="O985" s="53" t="str">
        <f aca="false">IF(OR(NOT(ISNUMBER($C985)),NOT(ISNUMBER($M985)),$M985=0),"",$C985/$M985-1)</f>
        <v/>
      </c>
    </row>
    <row r="986" customFormat="false" ht="15" hidden="false" customHeight="false" outlineLevel="0" collapsed="false">
      <c r="A986" s="55"/>
      <c r="B986" s="56"/>
      <c r="C986" s="57"/>
      <c r="D986" s="56"/>
      <c r="E986" s="56"/>
      <c r="F986" s="56"/>
      <c r="G986" s="50" t="str">
        <f aca="false">IF($A986="","",IF(ISNUMBER($G985),$G985+1,1))</f>
        <v/>
      </c>
      <c r="H986" s="51" t="str">
        <f aca="false">IF(OR(NOT(ISNUMBER($G986)),$G986&lt;2,NOT(ISNUMBER($C985)),$C985=0),"",$C986/$C985-1)</f>
        <v/>
      </c>
      <c r="I986" s="52" t="str">
        <f aca="false">IF(AND(ISNUMBER($G986),$G986&gt;=MA_SHORT),AVERAGE(INDEX($C$586:$C986,402-MA_SHORT):$C986),"")</f>
        <v/>
      </c>
      <c r="J986" s="52" t="str">
        <f aca="false">IF(AND(ISNUMBER($G986),$G986&gt;=MA_MED),AVERAGE(INDEX($C$586:$C986,402-MA_MED):$C986),"")</f>
        <v/>
      </c>
      <c r="K986" s="52" t="str">
        <f aca="false">IF(AND(ISNUMBER($G986),$G986&gt;=MA_LONG2),AVERAGE(INDEX($C$586:$C986,402-MA_LONG2):$C986),"")</f>
        <v/>
      </c>
      <c r="L986" s="53" t="str">
        <f aca="false">IF(AND(ISNUMBER($G986),$G986&gt;=21),STDEV(INDEX($H$926:$H986,62-20):$H986)*SQRT(245),"")</f>
        <v/>
      </c>
      <c r="M986" s="52" t="str">
        <f aca="false">IF(AND(ISNUMBER($G986),$G986&gt;=60),MAX(INDEX($D$786:$D986,202-60):$D986),"")</f>
        <v/>
      </c>
      <c r="N986" s="52" t="str">
        <f aca="false">IF(AND(ISNUMBER($G986),$G986&gt;=60),MIN(INDEX($E$786:$E986,202-60):$E986),"")</f>
        <v/>
      </c>
      <c r="O986" s="53" t="str">
        <f aca="false">IF(OR(NOT(ISNUMBER($C986)),NOT(ISNUMBER($M986)),$M986=0),"",$C986/$M986-1)</f>
        <v/>
      </c>
    </row>
    <row r="987" customFormat="false" ht="15" hidden="false" customHeight="false" outlineLevel="0" collapsed="false">
      <c r="A987" s="55"/>
      <c r="B987" s="56"/>
      <c r="C987" s="57"/>
      <c r="D987" s="56"/>
      <c r="E987" s="56"/>
      <c r="F987" s="56"/>
      <c r="G987" s="50" t="str">
        <f aca="false">IF($A987="","",IF(ISNUMBER($G986),$G986+1,1))</f>
        <v/>
      </c>
      <c r="H987" s="51" t="str">
        <f aca="false">IF(OR(NOT(ISNUMBER($G987)),$G987&lt;2,NOT(ISNUMBER($C986)),$C986=0),"",$C987/$C986-1)</f>
        <v/>
      </c>
      <c r="I987" s="52" t="str">
        <f aca="false">IF(AND(ISNUMBER($G987),$G987&gt;=MA_SHORT),AVERAGE(INDEX($C$587:$C987,402-MA_SHORT):$C987),"")</f>
        <v/>
      </c>
      <c r="J987" s="52" t="str">
        <f aca="false">IF(AND(ISNUMBER($G987),$G987&gt;=MA_MED),AVERAGE(INDEX($C$587:$C987,402-MA_MED):$C987),"")</f>
        <v/>
      </c>
      <c r="K987" s="52" t="str">
        <f aca="false">IF(AND(ISNUMBER($G987),$G987&gt;=MA_LONG2),AVERAGE(INDEX($C$587:$C987,402-MA_LONG2):$C987),"")</f>
        <v/>
      </c>
      <c r="L987" s="53" t="str">
        <f aca="false">IF(AND(ISNUMBER($G987),$G987&gt;=21),STDEV(INDEX($H$927:$H987,62-20):$H987)*SQRT(245),"")</f>
        <v/>
      </c>
      <c r="M987" s="52" t="str">
        <f aca="false">IF(AND(ISNUMBER($G987),$G987&gt;=60),MAX(INDEX($D$787:$D987,202-60):$D987),"")</f>
        <v/>
      </c>
      <c r="N987" s="52" t="str">
        <f aca="false">IF(AND(ISNUMBER($G987),$G987&gt;=60),MIN(INDEX($E$787:$E987,202-60):$E987),"")</f>
        <v/>
      </c>
      <c r="O987" s="53" t="str">
        <f aca="false">IF(OR(NOT(ISNUMBER($C987)),NOT(ISNUMBER($M987)),$M987=0),"",$C987/$M987-1)</f>
        <v/>
      </c>
    </row>
    <row r="988" customFormat="false" ht="15" hidden="false" customHeight="false" outlineLevel="0" collapsed="false">
      <c r="A988" s="55"/>
      <c r="B988" s="56"/>
      <c r="C988" s="57"/>
      <c r="D988" s="56"/>
      <c r="E988" s="56"/>
      <c r="F988" s="56"/>
      <c r="G988" s="50" t="str">
        <f aca="false">IF($A988="","",IF(ISNUMBER($G987),$G987+1,1))</f>
        <v/>
      </c>
      <c r="H988" s="51" t="str">
        <f aca="false">IF(OR(NOT(ISNUMBER($G988)),$G988&lt;2,NOT(ISNUMBER($C987)),$C987=0),"",$C988/$C987-1)</f>
        <v/>
      </c>
      <c r="I988" s="52" t="str">
        <f aca="false">IF(AND(ISNUMBER($G988),$G988&gt;=MA_SHORT),AVERAGE(INDEX($C$588:$C988,402-MA_SHORT):$C988),"")</f>
        <v/>
      </c>
      <c r="J988" s="52" t="str">
        <f aca="false">IF(AND(ISNUMBER($G988),$G988&gt;=MA_MED),AVERAGE(INDEX($C$588:$C988,402-MA_MED):$C988),"")</f>
        <v/>
      </c>
      <c r="K988" s="52" t="str">
        <f aca="false">IF(AND(ISNUMBER($G988),$G988&gt;=MA_LONG2),AVERAGE(INDEX($C$588:$C988,402-MA_LONG2):$C988),"")</f>
        <v/>
      </c>
      <c r="L988" s="53" t="str">
        <f aca="false">IF(AND(ISNUMBER($G988),$G988&gt;=21),STDEV(INDEX($H$928:$H988,62-20):$H988)*SQRT(245),"")</f>
        <v/>
      </c>
      <c r="M988" s="52" t="str">
        <f aca="false">IF(AND(ISNUMBER($G988),$G988&gt;=60),MAX(INDEX($D$788:$D988,202-60):$D988),"")</f>
        <v/>
      </c>
      <c r="N988" s="52" t="str">
        <f aca="false">IF(AND(ISNUMBER($G988),$G988&gt;=60),MIN(INDEX($E$788:$E988,202-60):$E988),"")</f>
        <v/>
      </c>
      <c r="O988" s="53" t="str">
        <f aca="false">IF(OR(NOT(ISNUMBER($C988)),NOT(ISNUMBER($M988)),$M988=0),"",$C988/$M988-1)</f>
        <v/>
      </c>
    </row>
    <row r="989" customFormat="false" ht="15" hidden="false" customHeight="false" outlineLevel="0" collapsed="false">
      <c r="A989" s="55"/>
      <c r="B989" s="56"/>
      <c r="C989" s="57"/>
      <c r="D989" s="56"/>
      <c r="E989" s="56"/>
      <c r="F989" s="56"/>
      <c r="G989" s="50" t="str">
        <f aca="false">IF($A989="","",IF(ISNUMBER($G988),$G988+1,1))</f>
        <v/>
      </c>
      <c r="H989" s="51" t="str">
        <f aca="false">IF(OR(NOT(ISNUMBER($G989)),$G989&lt;2,NOT(ISNUMBER($C988)),$C988=0),"",$C989/$C988-1)</f>
        <v/>
      </c>
      <c r="I989" s="52" t="str">
        <f aca="false">IF(AND(ISNUMBER($G989),$G989&gt;=MA_SHORT),AVERAGE(INDEX($C$589:$C989,402-MA_SHORT):$C989),"")</f>
        <v/>
      </c>
      <c r="J989" s="52" t="str">
        <f aca="false">IF(AND(ISNUMBER($G989),$G989&gt;=MA_MED),AVERAGE(INDEX($C$589:$C989,402-MA_MED):$C989),"")</f>
        <v/>
      </c>
      <c r="K989" s="52" t="str">
        <f aca="false">IF(AND(ISNUMBER($G989),$G989&gt;=MA_LONG2),AVERAGE(INDEX($C$589:$C989,402-MA_LONG2):$C989),"")</f>
        <v/>
      </c>
      <c r="L989" s="53" t="str">
        <f aca="false">IF(AND(ISNUMBER($G989),$G989&gt;=21),STDEV(INDEX($H$929:$H989,62-20):$H989)*SQRT(245),"")</f>
        <v/>
      </c>
      <c r="M989" s="52" t="str">
        <f aca="false">IF(AND(ISNUMBER($G989),$G989&gt;=60),MAX(INDEX($D$789:$D989,202-60):$D989),"")</f>
        <v/>
      </c>
      <c r="N989" s="52" t="str">
        <f aca="false">IF(AND(ISNUMBER($G989),$G989&gt;=60),MIN(INDEX($E$789:$E989,202-60):$E989),"")</f>
        <v/>
      </c>
      <c r="O989" s="53" t="str">
        <f aca="false">IF(OR(NOT(ISNUMBER($C989)),NOT(ISNUMBER($M989)),$M989=0),"",$C989/$M989-1)</f>
        <v/>
      </c>
    </row>
    <row r="990" customFormat="false" ht="15" hidden="false" customHeight="false" outlineLevel="0" collapsed="false">
      <c r="A990" s="55"/>
      <c r="B990" s="56"/>
      <c r="C990" s="57"/>
      <c r="D990" s="56"/>
      <c r="E990" s="56"/>
      <c r="F990" s="56"/>
      <c r="G990" s="50" t="str">
        <f aca="false">IF($A990="","",IF(ISNUMBER($G989),$G989+1,1))</f>
        <v/>
      </c>
      <c r="H990" s="51" t="str">
        <f aca="false">IF(OR(NOT(ISNUMBER($G990)),$G990&lt;2,NOT(ISNUMBER($C989)),$C989=0),"",$C990/$C989-1)</f>
        <v/>
      </c>
      <c r="I990" s="52" t="str">
        <f aca="false">IF(AND(ISNUMBER($G990),$G990&gt;=MA_SHORT),AVERAGE(INDEX($C$590:$C990,402-MA_SHORT):$C990),"")</f>
        <v/>
      </c>
      <c r="J990" s="52" t="str">
        <f aca="false">IF(AND(ISNUMBER($G990),$G990&gt;=MA_MED),AVERAGE(INDEX($C$590:$C990,402-MA_MED):$C990),"")</f>
        <v/>
      </c>
      <c r="K990" s="52" t="str">
        <f aca="false">IF(AND(ISNUMBER($G990),$G990&gt;=MA_LONG2),AVERAGE(INDEX($C$590:$C990,402-MA_LONG2):$C990),"")</f>
        <v/>
      </c>
      <c r="L990" s="53" t="str">
        <f aca="false">IF(AND(ISNUMBER($G990),$G990&gt;=21),STDEV(INDEX($H$930:$H990,62-20):$H990)*SQRT(245),"")</f>
        <v/>
      </c>
      <c r="M990" s="52" t="str">
        <f aca="false">IF(AND(ISNUMBER($G990),$G990&gt;=60),MAX(INDEX($D$790:$D990,202-60):$D990),"")</f>
        <v/>
      </c>
      <c r="N990" s="52" t="str">
        <f aca="false">IF(AND(ISNUMBER($G990),$G990&gt;=60),MIN(INDEX($E$790:$E990,202-60):$E990),"")</f>
        <v/>
      </c>
      <c r="O990" s="53" t="str">
        <f aca="false">IF(OR(NOT(ISNUMBER($C990)),NOT(ISNUMBER($M990)),$M990=0),"",$C990/$M990-1)</f>
        <v/>
      </c>
    </row>
    <row r="991" customFormat="false" ht="15" hidden="false" customHeight="false" outlineLevel="0" collapsed="false">
      <c r="A991" s="55"/>
      <c r="B991" s="56"/>
      <c r="C991" s="57"/>
      <c r="D991" s="56"/>
      <c r="E991" s="56"/>
      <c r="F991" s="56"/>
      <c r="G991" s="50" t="str">
        <f aca="false">IF($A991="","",IF(ISNUMBER($G990),$G990+1,1))</f>
        <v/>
      </c>
      <c r="H991" s="51" t="str">
        <f aca="false">IF(OR(NOT(ISNUMBER($G991)),$G991&lt;2,NOT(ISNUMBER($C990)),$C990=0),"",$C991/$C990-1)</f>
        <v/>
      </c>
      <c r="I991" s="52" t="str">
        <f aca="false">IF(AND(ISNUMBER($G991),$G991&gt;=MA_SHORT),AVERAGE(INDEX($C$591:$C991,402-MA_SHORT):$C991),"")</f>
        <v/>
      </c>
      <c r="J991" s="52" t="str">
        <f aca="false">IF(AND(ISNUMBER($G991),$G991&gt;=MA_MED),AVERAGE(INDEX($C$591:$C991,402-MA_MED):$C991),"")</f>
        <v/>
      </c>
      <c r="K991" s="52" t="str">
        <f aca="false">IF(AND(ISNUMBER($G991),$G991&gt;=MA_LONG2),AVERAGE(INDEX($C$591:$C991,402-MA_LONG2):$C991),"")</f>
        <v/>
      </c>
      <c r="L991" s="53" t="str">
        <f aca="false">IF(AND(ISNUMBER($G991),$G991&gt;=21),STDEV(INDEX($H$931:$H991,62-20):$H991)*SQRT(245),"")</f>
        <v/>
      </c>
      <c r="M991" s="52" t="str">
        <f aca="false">IF(AND(ISNUMBER($G991),$G991&gt;=60),MAX(INDEX($D$791:$D991,202-60):$D991),"")</f>
        <v/>
      </c>
      <c r="N991" s="52" t="str">
        <f aca="false">IF(AND(ISNUMBER($G991),$G991&gt;=60),MIN(INDEX($E$791:$E991,202-60):$E991),"")</f>
        <v/>
      </c>
      <c r="O991" s="53" t="str">
        <f aca="false">IF(OR(NOT(ISNUMBER($C991)),NOT(ISNUMBER($M991)),$M991=0),"",$C991/$M991-1)</f>
        <v/>
      </c>
    </row>
    <row r="992" customFormat="false" ht="15" hidden="false" customHeight="false" outlineLevel="0" collapsed="false">
      <c r="A992" s="55"/>
      <c r="B992" s="56"/>
      <c r="C992" s="57"/>
      <c r="D992" s="56"/>
      <c r="E992" s="56"/>
      <c r="F992" s="56"/>
      <c r="G992" s="50" t="str">
        <f aca="false">IF($A992="","",IF(ISNUMBER($G991),$G991+1,1))</f>
        <v/>
      </c>
      <c r="H992" s="51" t="str">
        <f aca="false">IF(OR(NOT(ISNUMBER($G992)),$G992&lt;2,NOT(ISNUMBER($C991)),$C991=0),"",$C992/$C991-1)</f>
        <v/>
      </c>
      <c r="I992" s="52" t="str">
        <f aca="false">IF(AND(ISNUMBER($G992),$G992&gt;=MA_SHORT),AVERAGE(INDEX($C$592:$C992,402-MA_SHORT):$C992),"")</f>
        <v/>
      </c>
      <c r="J992" s="52" t="str">
        <f aca="false">IF(AND(ISNUMBER($G992),$G992&gt;=MA_MED),AVERAGE(INDEX($C$592:$C992,402-MA_MED):$C992),"")</f>
        <v/>
      </c>
      <c r="K992" s="52" t="str">
        <f aca="false">IF(AND(ISNUMBER($G992),$G992&gt;=MA_LONG2),AVERAGE(INDEX($C$592:$C992,402-MA_LONG2):$C992),"")</f>
        <v/>
      </c>
      <c r="L992" s="53" t="str">
        <f aca="false">IF(AND(ISNUMBER($G992),$G992&gt;=21),STDEV(INDEX($H$932:$H992,62-20):$H992)*SQRT(245),"")</f>
        <v/>
      </c>
      <c r="M992" s="52" t="str">
        <f aca="false">IF(AND(ISNUMBER($G992),$G992&gt;=60),MAX(INDEX($D$792:$D992,202-60):$D992),"")</f>
        <v/>
      </c>
      <c r="N992" s="52" t="str">
        <f aca="false">IF(AND(ISNUMBER($G992),$G992&gt;=60),MIN(INDEX($E$792:$E992,202-60):$E992),"")</f>
        <v/>
      </c>
      <c r="O992" s="53" t="str">
        <f aca="false">IF(OR(NOT(ISNUMBER($C992)),NOT(ISNUMBER($M992)),$M992=0),"",$C992/$M992-1)</f>
        <v/>
      </c>
    </row>
    <row r="993" customFormat="false" ht="15" hidden="false" customHeight="false" outlineLevel="0" collapsed="false">
      <c r="A993" s="55"/>
      <c r="B993" s="56"/>
      <c r="C993" s="57"/>
      <c r="D993" s="56"/>
      <c r="E993" s="56"/>
      <c r="F993" s="56"/>
      <c r="G993" s="50" t="str">
        <f aca="false">IF($A993="","",IF(ISNUMBER($G992),$G992+1,1))</f>
        <v/>
      </c>
      <c r="H993" s="51" t="str">
        <f aca="false">IF(OR(NOT(ISNUMBER($G993)),$G993&lt;2,NOT(ISNUMBER($C992)),$C992=0),"",$C993/$C992-1)</f>
        <v/>
      </c>
      <c r="I993" s="52" t="str">
        <f aca="false">IF(AND(ISNUMBER($G993),$G993&gt;=MA_SHORT),AVERAGE(INDEX($C$593:$C993,402-MA_SHORT):$C993),"")</f>
        <v/>
      </c>
      <c r="J993" s="52" t="str">
        <f aca="false">IF(AND(ISNUMBER($G993),$G993&gt;=MA_MED),AVERAGE(INDEX($C$593:$C993,402-MA_MED):$C993),"")</f>
        <v/>
      </c>
      <c r="K993" s="52" t="str">
        <f aca="false">IF(AND(ISNUMBER($G993),$G993&gt;=MA_LONG2),AVERAGE(INDEX($C$593:$C993,402-MA_LONG2):$C993),"")</f>
        <v/>
      </c>
      <c r="L993" s="53" t="str">
        <f aca="false">IF(AND(ISNUMBER($G993),$G993&gt;=21),STDEV(INDEX($H$933:$H993,62-20):$H993)*SQRT(245),"")</f>
        <v/>
      </c>
      <c r="M993" s="52" t="str">
        <f aca="false">IF(AND(ISNUMBER($G993),$G993&gt;=60),MAX(INDEX($D$793:$D993,202-60):$D993),"")</f>
        <v/>
      </c>
      <c r="N993" s="52" t="str">
        <f aca="false">IF(AND(ISNUMBER($G993),$G993&gt;=60),MIN(INDEX($E$793:$E993,202-60):$E993),"")</f>
        <v/>
      </c>
      <c r="O993" s="53" t="str">
        <f aca="false">IF(OR(NOT(ISNUMBER($C993)),NOT(ISNUMBER($M993)),$M993=0),"",$C993/$M993-1)</f>
        <v/>
      </c>
    </row>
    <row r="994" customFormat="false" ht="15" hidden="false" customHeight="false" outlineLevel="0" collapsed="false">
      <c r="A994" s="55"/>
      <c r="B994" s="56"/>
      <c r="C994" s="57"/>
      <c r="D994" s="56"/>
      <c r="E994" s="56"/>
      <c r="F994" s="56"/>
      <c r="G994" s="50" t="str">
        <f aca="false">IF($A994="","",IF(ISNUMBER($G993),$G993+1,1))</f>
        <v/>
      </c>
      <c r="H994" s="51" t="str">
        <f aca="false">IF(OR(NOT(ISNUMBER($G994)),$G994&lt;2,NOT(ISNUMBER($C993)),$C993=0),"",$C994/$C993-1)</f>
        <v/>
      </c>
      <c r="I994" s="52" t="str">
        <f aca="false">IF(AND(ISNUMBER($G994),$G994&gt;=MA_SHORT),AVERAGE(INDEX($C$594:$C994,402-MA_SHORT):$C994),"")</f>
        <v/>
      </c>
      <c r="J994" s="52" t="str">
        <f aca="false">IF(AND(ISNUMBER($G994),$G994&gt;=MA_MED),AVERAGE(INDEX($C$594:$C994,402-MA_MED):$C994),"")</f>
        <v/>
      </c>
      <c r="K994" s="52" t="str">
        <f aca="false">IF(AND(ISNUMBER($G994),$G994&gt;=MA_LONG2),AVERAGE(INDEX($C$594:$C994,402-MA_LONG2):$C994),"")</f>
        <v/>
      </c>
      <c r="L994" s="53" t="str">
        <f aca="false">IF(AND(ISNUMBER($G994),$G994&gt;=21),STDEV(INDEX($H$934:$H994,62-20):$H994)*SQRT(245),"")</f>
        <v/>
      </c>
      <c r="M994" s="52" t="str">
        <f aca="false">IF(AND(ISNUMBER($G994),$G994&gt;=60),MAX(INDEX($D$794:$D994,202-60):$D994),"")</f>
        <v/>
      </c>
      <c r="N994" s="52" t="str">
        <f aca="false">IF(AND(ISNUMBER($G994),$G994&gt;=60),MIN(INDEX($E$794:$E994,202-60):$E994),"")</f>
        <v/>
      </c>
      <c r="O994" s="53" t="str">
        <f aca="false">IF(OR(NOT(ISNUMBER($C994)),NOT(ISNUMBER($M994)),$M994=0),"",$C994/$M994-1)</f>
        <v/>
      </c>
    </row>
    <row r="995" customFormat="false" ht="15" hidden="false" customHeight="false" outlineLevel="0" collapsed="false">
      <c r="A995" s="55"/>
      <c r="B995" s="56"/>
      <c r="C995" s="57"/>
      <c r="D995" s="56"/>
      <c r="E995" s="56"/>
      <c r="F995" s="56"/>
      <c r="G995" s="50" t="str">
        <f aca="false">IF($A995="","",IF(ISNUMBER($G994),$G994+1,1))</f>
        <v/>
      </c>
      <c r="H995" s="51" t="str">
        <f aca="false">IF(OR(NOT(ISNUMBER($G995)),$G995&lt;2,NOT(ISNUMBER($C994)),$C994=0),"",$C995/$C994-1)</f>
        <v/>
      </c>
      <c r="I995" s="52" t="str">
        <f aca="false">IF(AND(ISNUMBER($G995),$G995&gt;=MA_SHORT),AVERAGE(INDEX($C$595:$C995,402-MA_SHORT):$C995),"")</f>
        <v/>
      </c>
      <c r="J995" s="52" t="str">
        <f aca="false">IF(AND(ISNUMBER($G995),$G995&gt;=MA_MED),AVERAGE(INDEX($C$595:$C995,402-MA_MED):$C995),"")</f>
        <v/>
      </c>
      <c r="K995" s="52" t="str">
        <f aca="false">IF(AND(ISNUMBER($G995),$G995&gt;=MA_LONG2),AVERAGE(INDEX($C$595:$C995,402-MA_LONG2):$C995),"")</f>
        <v/>
      </c>
      <c r="L995" s="53" t="str">
        <f aca="false">IF(AND(ISNUMBER($G995),$G995&gt;=21),STDEV(INDEX($H$935:$H995,62-20):$H995)*SQRT(245),"")</f>
        <v/>
      </c>
      <c r="M995" s="52" t="str">
        <f aca="false">IF(AND(ISNUMBER($G995),$G995&gt;=60),MAX(INDEX($D$795:$D995,202-60):$D995),"")</f>
        <v/>
      </c>
      <c r="N995" s="52" t="str">
        <f aca="false">IF(AND(ISNUMBER($G995),$G995&gt;=60),MIN(INDEX($E$795:$E995,202-60):$E995),"")</f>
        <v/>
      </c>
      <c r="O995" s="53" t="str">
        <f aca="false">IF(OR(NOT(ISNUMBER($C995)),NOT(ISNUMBER($M995)),$M995=0),"",$C995/$M995-1)</f>
        <v/>
      </c>
    </row>
    <row r="996" customFormat="false" ht="15" hidden="false" customHeight="false" outlineLevel="0" collapsed="false">
      <c r="A996" s="55"/>
      <c r="B996" s="56"/>
      <c r="C996" s="57"/>
      <c r="D996" s="56"/>
      <c r="E996" s="56"/>
      <c r="F996" s="56"/>
      <c r="G996" s="50" t="str">
        <f aca="false">IF($A996="","",IF(ISNUMBER($G995),$G995+1,1))</f>
        <v/>
      </c>
      <c r="H996" s="51" t="str">
        <f aca="false">IF(OR(NOT(ISNUMBER($G996)),$G996&lt;2,NOT(ISNUMBER($C995)),$C995=0),"",$C996/$C995-1)</f>
        <v/>
      </c>
      <c r="I996" s="52" t="str">
        <f aca="false">IF(AND(ISNUMBER($G996),$G996&gt;=MA_SHORT),AVERAGE(INDEX($C$596:$C996,402-MA_SHORT):$C996),"")</f>
        <v/>
      </c>
      <c r="J996" s="52" t="str">
        <f aca="false">IF(AND(ISNUMBER($G996),$G996&gt;=MA_MED),AVERAGE(INDEX($C$596:$C996,402-MA_MED):$C996),"")</f>
        <v/>
      </c>
      <c r="K996" s="52" t="str">
        <f aca="false">IF(AND(ISNUMBER($G996),$G996&gt;=MA_LONG2),AVERAGE(INDEX($C$596:$C996,402-MA_LONG2):$C996),"")</f>
        <v/>
      </c>
      <c r="L996" s="53" t="str">
        <f aca="false">IF(AND(ISNUMBER($G996),$G996&gt;=21),STDEV(INDEX($H$936:$H996,62-20):$H996)*SQRT(245),"")</f>
        <v/>
      </c>
      <c r="M996" s="52" t="str">
        <f aca="false">IF(AND(ISNUMBER($G996),$G996&gt;=60),MAX(INDEX($D$796:$D996,202-60):$D996),"")</f>
        <v/>
      </c>
      <c r="N996" s="52" t="str">
        <f aca="false">IF(AND(ISNUMBER($G996),$G996&gt;=60),MIN(INDEX($E$796:$E996,202-60):$E996),"")</f>
        <v/>
      </c>
      <c r="O996" s="53" t="str">
        <f aca="false">IF(OR(NOT(ISNUMBER($C996)),NOT(ISNUMBER($M996)),$M996=0),"",$C996/$M996-1)</f>
        <v/>
      </c>
    </row>
    <row r="997" customFormat="false" ht="15" hidden="false" customHeight="false" outlineLevel="0" collapsed="false">
      <c r="A997" s="55"/>
      <c r="B997" s="56"/>
      <c r="C997" s="57"/>
      <c r="D997" s="56"/>
      <c r="E997" s="56"/>
      <c r="F997" s="56"/>
      <c r="G997" s="50" t="str">
        <f aca="false">IF($A997="","",IF(ISNUMBER($G996),$G996+1,1))</f>
        <v/>
      </c>
      <c r="H997" s="51" t="str">
        <f aca="false">IF(OR(NOT(ISNUMBER($G997)),$G997&lt;2,NOT(ISNUMBER($C996)),$C996=0),"",$C997/$C996-1)</f>
        <v/>
      </c>
      <c r="I997" s="52" t="str">
        <f aca="false">IF(AND(ISNUMBER($G997),$G997&gt;=MA_SHORT),AVERAGE(INDEX($C$597:$C997,402-MA_SHORT):$C997),"")</f>
        <v/>
      </c>
      <c r="J997" s="52" t="str">
        <f aca="false">IF(AND(ISNUMBER($G997),$G997&gt;=MA_MED),AVERAGE(INDEX($C$597:$C997,402-MA_MED):$C997),"")</f>
        <v/>
      </c>
      <c r="K997" s="52" t="str">
        <f aca="false">IF(AND(ISNUMBER($G997),$G997&gt;=MA_LONG2),AVERAGE(INDEX($C$597:$C997,402-MA_LONG2):$C997),"")</f>
        <v/>
      </c>
      <c r="L997" s="53" t="str">
        <f aca="false">IF(AND(ISNUMBER($G997),$G997&gt;=21),STDEV(INDEX($H$937:$H997,62-20):$H997)*SQRT(245),"")</f>
        <v/>
      </c>
      <c r="M997" s="52" t="str">
        <f aca="false">IF(AND(ISNUMBER($G997),$G997&gt;=60),MAX(INDEX($D$797:$D997,202-60):$D997),"")</f>
        <v/>
      </c>
      <c r="N997" s="52" t="str">
        <f aca="false">IF(AND(ISNUMBER($G997),$G997&gt;=60),MIN(INDEX($E$797:$E997,202-60):$E997),"")</f>
        <v/>
      </c>
      <c r="O997" s="53" t="str">
        <f aca="false">IF(OR(NOT(ISNUMBER($C997)),NOT(ISNUMBER($M997)),$M997=0),"",$C997/$M997-1)</f>
        <v/>
      </c>
    </row>
    <row r="998" customFormat="false" ht="15" hidden="false" customHeight="false" outlineLevel="0" collapsed="false">
      <c r="A998" s="55"/>
      <c r="B998" s="56"/>
      <c r="C998" s="57"/>
      <c r="D998" s="56"/>
      <c r="E998" s="56"/>
      <c r="F998" s="56"/>
      <c r="G998" s="50" t="str">
        <f aca="false">IF($A998="","",IF(ISNUMBER($G997),$G997+1,1))</f>
        <v/>
      </c>
      <c r="H998" s="51" t="str">
        <f aca="false">IF(OR(NOT(ISNUMBER($G998)),$G998&lt;2,NOT(ISNUMBER($C997)),$C997=0),"",$C998/$C997-1)</f>
        <v/>
      </c>
      <c r="I998" s="52" t="str">
        <f aca="false">IF(AND(ISNUMBER($G998),$G998&gt;=MA_SHORT),AVERAGE(INDEX($C$598:$C998,402-MA_SHORT):$C998),"")</f>
        <v/>
      </c>
      <c r="J998" s="52" t="str">
        <f aca="false">IF(AND(ISNUMBER($G998),$G998&gt;=MA_MED),AVERAGE(INDEX($C$598:$C998,402-MA_MED):$C998),"")</f>
        <v/>
      </c>
      <c r="K998" s="52" t="str">
        <f aca="false">IF(AND(ISNUMBER($G998),$G998&gt;=MA_LONG2),AVERAGE(INDEX($C$598:$C998,402-MA_LONG2):$C998),"")</f>
        <v/>
      </c>
      <c r="L998" s="53" t="str">
        <f aca="false">IF(AND(ISNUMBER($G998),$G998&gt;=21),STDEV(INDEX($H$938:$H998,62-20):$H998)*SQRT(245),"")</f>
        <v/>
      </c>
      <c r="M998" s="52" t="str">
        <f aca="false">IF(AND(ISNUMBER($G998),$G998&gt;=60),MAX(INDEX($D$798:$D998,202-60):$D998),"")</f>
        <v/>
      </c>
      <c r="N998" s="52" t="str">
        <f aca="false">IF(AND(ISNUMBER($G998),$G998&gt;=60),MIN(INDEX($E$798:$E998,202-60):$E998),"")</f>
        <v/>
      </c>
      <c r="O998" s="53" t="str">
        <f aca="false">IF(OR(NOT(ISNUMBER($C998)),NOT(ISNUMBER($M998)),$M998=0),"",$C998/$M998-1)</f>
        <v/>
      </c>
    </row>
    <row r="999" customFormat="false" ht="15" hidden="false" customHeight="false" outlineLevel="0" collapsed="false">
      <c r="A999" s="55"/>
      <c r="B999" s="56"/>
      <c r="C999" s="57"/>
      <c r="D999" s="56"/>
      <c r="E999" s="56"/>
      <c r="F999" s="56"/>
      <c r="G999" s="50" t="str">
        <f aca="false">IF($A999="","",IF(ISNUMBER($G998),$G998+1,1))</f>
        <v/>
      </c>
      <c r="H999" s="51" t="str">
        <f aca="false">IF(OR(NOT(ISNUMBER($G999)),$G999&lt;2,NOT(ISNUMBER($C998)),$C998=0),"",$C999/$C998-1)</f>
        <v/>
      </c>
      <c r="I999" s="52" t="str">
        <f aca="false">IF(AND(ISNUMBER($G999),$G999&gt;=MA_SHORT),AVERAGE(INDEX($C$599:$C999,402-MA_SHORT):$C999),"")</f>
        <v/>
      </c>
      <c r="J999" s="52" t="str">
        <f aca="false">IF(AND(ISNUMBER($G999),$G999&gt;=MA_MED),AVERAGE(INDEX($C$599:$C999,402-MA_MED):$C999),"")</f>
        <v/>
      </c>
      <c r="K999" s="52" t="str">
        <f aca="false">IF(AND(ISNUMBER($G999),$G999&gt;=MA_LONG2),AVERAGE(INDEX($C$599:$C999,402-MA_LONG2):$C999),"")</f>
        <v/>
      </c>
      <c r="L999" s="53" t="str">
        <f aca="false">IF(AND(ISNUMBER($G999),$G999&gt;=21),STDEV(INDEX($H$939:$H999,62-20):$H999)*SQRT(245),"")</f>
        <v/>
      </c>
      <c r="M999" s="52" t="str">
        <f aca="false">IF(AND(ISNUMBER($G999),$G999&gt;=60),MAX(INDEX($D$799:$D999,202-60):$D999),"")</f>
        <v/>
      </c>
      <c r="N999" s="52" t="str">
        <f aca="false">IF(AND(ISNUMBER($G999),$G999&gt;=60),MIN(INDEX($E$799:$E999,202-60):$E999),"")</f>
        <v/>
      </c>
      <c r="O999" s="53" t="str">
        <f aca="false">IF(OR(NOT(ISNUMBER($C999)),NOT(ISNUMBER($M999)),$M999=0),"",$C999/$M999-1)</f>
        <v/>
      </c>
    </row>
    <row r="1000" customFormat="false" ht="15" hidden="false" customHeight="false" outlineLevel="0" collapsed="false">
      <c r="A1000" s="55"/>
      <c r="B1000" s="56"/>
      <c r="C1000" s="57"/>
      <c r="D1000" s="56"/>
      <c r="E1000" s="56"/>
      <c r="F1000" s="56"/>
      <c r="G1000" s="50" t="str">
        <f aca="false">IF($A1000="","",IF(ISNUMBER($G999),$G999+1,1))</f>
        <v/>
      </c>
      <c r="H1000" s="51" t="str">
        <f aca="false">IF(OR(NOT(ISNUMBER($G1000)),$G1000&lt;2,NOT(ISNUMBER($C999)),$C999=0),"",$C1000/$C999-1)</f>
        <v/>
      </c>
      <c r="I1000" s="52" t="str">
        <f aca="false">IF(AND(ISNUMBER($G1000),$G1000&gt;=MA_SHORT),AVERAGE(INDEX($C$600:$C1000,402-MA_SHORT):$C1000),"")</f>
        <v/>
      </c>
      <c r="J1000" s="52" t="str">
        <f aca="false">IF(AND(ISNUMBER($G1000),$G1000&gt;=MA_MED),AVERAGE(INDEX($C$600:$C1000,402-MA_MED):$C1000),"")</f>
        <v/>
      </c>
      <c r="K1000" s="52" t="str">
        <f aca="false">IF(AND(ISNUMBER($G1000),$G1000&gt;=MA_LONG2),AVERAGE(INDEX($C$600:$C1000,402-MA_LONG2):$C1000),"")</f>
        <v/>
      </c>
      <c r="L1000" s="53" t="str">
        <f aca="false">IF(AND(ISNUMBER($G1000),$G1000&gt;=21),STDEV(INDEX($H$940:$H1000,62-20):$H1000)*SQRT(245),"")</f>
        <v/>
      </c>
      <c r="M1000" s="52" t="str">
        <f aca="false">IF(AND(ISNUMBER($G1000),$G1000&gt;=60),MAX(INDEX($D$800:$D1000,202-60):$D1000),"")</f>
        <v/>
      </c>
      <c r="N1000" s="52" t="str">
        <f aca="false">IF(AND(ISNUMBER($G1000),$G1000&gt;=60),MIN(INDEX($E$800:$E1000,202-60):$E1000),"")</f>
        <v/>
      </c>
      <c r="O1000" s="53" t="str">
        <f aca="false">IF(OR(NOT(ISNUMBER($C1000)),NOT(ISNUMBER($M1000)),$M1000=0),"",$C1000/$M1000-1)</f>
        <v/>
      </c>
    </row>
    <row r="1001" customFormat="false" ht="15" hidden="false" customHeight="false" outlineLevel="0" collapsed="false">
      <c r="A1001" s="55"/>
      <c r="B1001" s="56"/>
      <c r="C1001" s="57"/>
      <c r="D1001" s="56"/>
      <c r="E1001" s="56"/>
      <c r="F1001" s="56"/>
      <c r="G1001" s="50" t="str">
        <f aca="false">IF($A1001="","",IF(ISNUMBER($G1000),$G1000+1,1))</f>
        <v/>
      </c>
      <c r="H1001" s="51" t="str">
        <f aca="false">IF(OR(NOT(ISNUMBER($G1001)),$G1001&lt;2,NOT(ISNUMBER($C1000)),$C1000=0),"",$C1001/$C1000-1)</f>
        <v/>
      </c>
      <c r="I1001" s="52" t="str">
        <f aca="false">IF(AND(ISNUMBER($G1001),$G1001&gt;=MA_SHORT),AVERAGE(INDEX($C$601:$C1001,402-MA_SHORT):$C1001),"")</f>
        <v/>
      </c>
      <c r="J1001" s="52" t="str">
        <f aca="false">IF(AND(ISNUMBER($G1001),$G1001&gt;=MA_MED),AVERAGE(INDEX($C$601:$C1001,402-MA_MED):$C1001),"")</f>
        <v/>
      </c>
      <c r="K1001" s="52" t="str">
        <f aca="false">IF(AND(ISNUMBER($G1001),$G1001&gt;=MA_LONG2),AVERAGE(INDEX($C$601:$C1001,402-MA_LONG2):$C1001),"")</f>
        <v/>
      </c>
      <c r="L1001" s="53" t="str">
        <f aca="false">IF(AND(ISNUMBER($G1001),$G1001&gt;=21),STDEV(INDEX($H$941:$H1001,62-20):$H1001)*SQRT(245),"")</f>
        <v/>
      </c>
      <c r="M1001" s="52" t="str">
        <f aca="false">IF(AND(ISNUMBER($G1001),$G1001&gt;=60),MAX(INDEX($D$801:$D1001,202-60):$D1001),"")</f>
        <v/>
      </c>
      <c r="N1001" s="52" t="str">
        <f aca="false">IF(AND(ISNUMBER($G1001),$G1001&gt;=60),MIN(INDEX($E$801:$E1001,202-60):$E1001),"")</f>
        <v/>
      </c>
      <c r="O1001" s="53" t="str">
        <f aca="false">IF(OR(NOT(ISNUMBER($C1001)),NOT(ISNUMBER($M1001)),$M1001=0),"",$C1001/$M1001-1)</f>
        <v/>
      </c>
    </row>
    <row r="1002" customFormat="false" ht="15" hidden="false" customHeight="false" outlineLevel="0" collapsed="false">
      <c r="A1002" s="55"/>
      <c r="B1002" s="56"/>
      <c r="C1002" s="57"/>
      <c r="D1002" s="56"/>
      <c r="E1002" s="56"/>
      <c r="F1002" s="56"/>
      <c r="G1002" s="50" t="str">
        <f aca="false">IF($A1002="","",IF(ISNUMBER($G1001),$G1001+1,1))</f>
        <v/>
      </c>
      <c r="H1002" s="51" t="str">
        <f aca="false">IF(OR(NOT(ISNUMBER($G1002)),$G1002&lt;2,NOT(ISNUMBER($C1001)),$C1001=0),"",$C1002/$C1001-1)</f>
        <v/>
      </c>
      <c r="I1002" s="52" t="str">
        <f aca="false">IF(AND(ISNUMBER($G1002),$G1002&gt;=MA_SHORT),AVERAGE(INDEX($C$602:$C1002,402-MA_SHORT):$C1002),"")</f>
        <v/>
      </c>
      <c r="J1002" s="52" t="str">
        <f aca="false">IF(AND(ISNUMBER($G1002),$G1002&gt;=MA_MED),AVERAGE(INDEX($C$602:$C1002,402-MA_MED):$C1002),"")</f>
        <v/>
      </c>
      <c r="K1002" s="52" t="str">
        <f aca="false">IF(AND(ISNUMBER($G1002),$G1002&gt;=MA_LONG2),AVERAGE(INDEX($C$602:$C1002,402-MA_LONG2):$C1002),"")</f>
        <v/>
      </c>
      <c r="L1002" s="53" t="str">
        <f aca="false">IF(AND(ISNUMBER($G1002),$G1002&gt;=21),STDEV(INDEX($H$942:$H1002,62-20):$H1002)*SQRT(245),"")</f>
        <v/>
      </c>
      <c r="M1002" s="52" t="str">
        <f aca="false">IF(AND(ISNUMBER($G1002),$G1002&gt;=60),MAX(INDEX($D$802:$D1002,202-60):$D1002),"")</f>
        <v/>
      </c>
      <c r="N1002" s="52" t="str">
        <f aca="false">IF(AND(ISNUMBER($G1002),$G1002&gt;=60),MIN(INDEX($E$802:$E1002,202-60):$E1002),"")</f>
        <v/>
      </c>
      <c r="O1002" s="53" t="str">
        <f aca="false">IF(OR(NOT(ISNUMBER($C1002)),NOT(ISNUMBER($M1002)),$M1002=0),"",$C1002/$M1002-1)</f>
        <v/>
      </c>
    </row>
    <row r="1003" customFormat="false" ht="15" hidden="false" customHeight="false" outlineLevel="0" collapsed="false">
      <c r="A1003" s="55"/>
      <c r="B1003" s="56"/>
      <c r="C1003" s="57"/>
      <c r="D1003" s="56"/>
      <c r="E1003" s="56"/>
      <c r="F1003" s="56"/>
      <c r="G1003" s="50" t="str">
        <f aca="false">IF($A1003="","",IF(ISNUMBER($G1002),$G1002+1,1))</f>
        <v/>
      </c>
      <c r="H1003" s="51" t="str">
        <f aca="false">IF(OR(NOT(ISNUMBER($G1003)),$G1003&lt;2,NOT(ISNUMBER($C1002)),$C1002=0),"",$C1003/$C1002-1)</f>
        <v/>
      </c>
      <c r="I1003" s="52" t="str">
        <f aca="false">IF(AND(ISNUMBER($G1003),$G1003&gt;=MA_SHORT),AVERAGE(INDEX($C$603:$C1003,402-MA_SHORT):$C1003),"")</f>
        <v/>
      </c>
      <c r="J1003" s="52" t="str">
        <f aca="false">IF(AND(ISNUMBER($G1003),$G1003&gt;=MA_MED),AVERAGE(INDEX($C$603:$C1003,402-MA_MED):$C1003),"")</f>
        <v/>
      </c>
      <c r="K1003" s="52" t="str">
        <f aca="false">IF(AND(ISNUMBER($G1003),$G1003&gt;=MA_LONG2),AVERAGE(INDEX($C$603:$C1003,402-MA_LONG2):$C1003),"")</f>
        <v/>
      </c>
      <c r="L1003" s="53" t="str">
        <f aca="false">IF(AND(ISNUMBER($G1003),$G1003&gt;=21),STDEV(INDEX($H$943:$H1003,62-20):$H1003)*SQRT(245),"")</f>
        <v/>
      </c>
      <c r="M1003" s="52" t="str">
        <f aca="false">IF(AND(ISNUMBER($G1003),$G1003&gt;=60),MAX(INDEX($D$803:$D1003,202-60):$D1003),"")</f>
        <v/>
      </c>
      <c r="N1003" s="52" t="str">
        <f aca="false">IF(AND(ISNUMBER($G1003),$G1003&gt;=60),MIN(INDEX($E$803:$E1003,202-60):$E1003),"")</f>
        <v/>
      </c>
      <c r="O1003" s="53" t="str">
        <f aca="false">IF(OR(NOT(ISNUMBER($C1003)),NOT(ISNUMBER($M1003)),$M1003=0),"",$C1003/$M1003-1)</f>
        <v/>
      </c>
    </row>
    <row r="1004" customFormat="false" ht="15" hidden="false" customHeight="false" outlineLevel="0" collapsed="false">
      <c r="A1004" s="55"/>
      <c r="B1004" s="56"/>
      <c r="C1004" s="57"/>
      <c r="D1004" s="56"/>
      <c r="E1004" s="56"/>
      <c r="F1004" s="56"/>
      <c r="G1004" s="50" t="str">
        <f aca="false">IF($A1004="","",IF(ISNUMBER($G1003),$G1003+1,1))</f>
        <v/>
      </c>
      <c r="H1004" s="51" t="str">
        <f aca="false">IF(OR(NOT(ISNUMBER($G1004)),$G1004&lt;2,NOT(ISNUMBER($C1003)),$C1003=0),"",$C1004/$C1003-1)</f>
        <v/>
      </c>
      <c r="I1004" s="52" t="str">
        <f aca="false">IF(AND(ISNUMBER($G1004),$G1004&gt;=MA_SHORT),AVERAGE(INDEX($C$604:$C1004,402-MA_SHORT):$C1004),"")</f>
        <v/>
      </c>
      <c r="J1004" s="52" t="str">
        <f aca="false">IF(AND(ISNUMBER($G1004),$G1004&gt;=MA_MED),AVERAGE(INDEX($C$604:$C1004,402-MA_MED):$C1004),"")</f>
        <v/>
      </c>
      <c r="K1004" s="52" t="str">
        <f aca="false">IF(AND(ISNUMBER($G1004),$G1004&gt;=MA_LONG2),AVERAGE(INDEX($C$604:$C1004,402-MA_LONG2):$C1004),"")</f>
        <v/>
      </c>
      <c r="L1004" s="53" t="str">
        <f aca="false">IF(AND(ISNUMBER($G1004),$G1004&gt;=21),STDEV(INDEX($H$944:$H1004,62-20):$H1004)*SQRT(245),"")</f>
        <v/>
      </c>
      <c r="M1004" s="52" t="str">
        <f aca="false">IF(AND(ISNUMBER($G1004),$G1004&gt;=60),MAX(INDEX($D$804:$D1004,202-60):$D1004),"")</f>
        <v/>
      </c>
      <c r="N1004" s="52" t="str">
        <f aca="false">IF(AND(ISNUMBER($G1004),$G1004&gt;=60),MIN(INDEX($E$804:$E1004,202-60):$E1004),"")</f>
        <v/>
      </c>
      <c r="O1004" s="53" t="str">
        <f aca="false">IF(OR(NOT(ISNUMBER($C1004)),NOT(ISNUMBER($M1004)),$M1004=0),"",$C1004/$M1004-1)</f>
        <v/>
      </c>
    </row>
    <row r="1005" customFormat="false" ht="15" hidden="false" customHeight="false" outlineLevel="0" collapsed="false">
      <c r="A1005" s="55"/>
      <c r="B1005" s="56"/>
      <c r="C1005" s="57"/>
      <c r="D1005" s="56"/>
      <c r="E1005" s="56"/>
      <c r="F1005" s="56"/>
      <c r="G1005" s="50" t="str">
        <f aca="false">IF($A1005="","",IF(ISNUMBER($G1004),$G1004+1,1))</f>
        <v/>
      </c>
      <c r="H1005" s="51" t="str">
        <f aca="false">IF(OR(NOT(ISNUMBER($G1005)),$G1005&lt;2,NOT(ISNUMBER($C1004)),$C1004=0),"",$C1005/$C1004-1)</f>
        <v/>
      </c>
      <c r="I1005" s="52" t="str">
        <f aca="false">IF(AND(ISNUMBER($G1005),$G1005&gt;=MA_SHORT),AVERAGE(INDEX($C$605:$C1005,402-MA_SHORT):$C1005),"")</f>
        <v/>
      </c>
      <c r="J1005" s="52" t="str">
        <f aca="false">IF(AND(ISNUMBER($G1005),$G1005&gt;=MA_MED),AVERAGE(INDEX($C$605:$C1005,402-MA_MED):$C1005),"")</f>
        <v/>
      </c>
      <c r="K1005" s="52" t="str">
        <f aca="false">IF(AND(ISNUMBER($G1005),$G1005&gt;=MA_LONG2),AVERAGE(INDEX($C$605:$C1005,402-MA_LONG2):$C1005),"")</f>
        <v/>
      </c>
      <c r="L1005" s="53" t="str">
        <f aca="false">IF(AND(ISNUMBER($G1005),$G1005&gt;=21),STDEV(INDEX($H$945:$H1005,62-20):$H1005)*SQRT(245),"")</f>
        <v/>
      </c>
      <c r="M1005" s="52" t="str">
        <f aca="false">IF(AND(ISNUMBER($G1005),$G1005&gt;=60),MAX(INDEX($D$805:$D1005,202-60):$D1005),"")</f>
        <v/>
      </c>
      <c r="N1005" s="52" t="str">
        <f aca="false">IF(AND(ISNUMBER($G1005),$G1005&gt;=60),MIN(INDEX($E$805:$E1005,202-60):$E1005),"")</f>
        <v/>
      </c>
      <c r="O1005" s="53" t="str">
        <f aca="false">IF(OR(NOT(ISNUMBER($C1005)),NOT(ISNUMBER($M1005)),$M1005=0),"",$C1005/$M1005-1)</f>
        <v/>
      </c>
    </row>
    <row r="1006" customFormat="false" ht="15" hidden="false" customHeight="false" outlineLevel="0" collapsed="false">
      <c r="A1006" s="55"/>
      <c r="B1006" s="56"/>
      <c r="C1006" s="57"/>
      <c r="D1006" s="56"/>
      <c r="E1006" s="56"/>
      <c r="F1006" s="56"/>
      <c r="G1006" s="50" t="str">
        <f aca="false">IF($A1006="","",IF(ISNUMBER($G1005),$G1005+1,1))</f>
        <v/>
      </c>
      <c r="H1006" s="51" t="str">
        <f aca="false">IF(OR(NOT(ISNUMBER($G1006)),$G1006&lt;2,NOT(ISNUMBER($C1005)),$C1005=0),"",$C1006/$C1005-1)</f>
        <v/>
      </c>
      <c r="I1006" s="52" t="str">
        <f aca="false">IF(AND(ISNUMBER($G1006),$G1006&gt;=MA_SHORT),AVERAGE(INDEX($C$606:$C1006,402-MA_SHORT):$C1006),"")</f>
        <v/>
      </c>
      <c r="J1006" s="52" t="str">
        <f aca="false">IF(AND(ISNUMBER($G1006),$G1006&gt;=MA_MED),AVERAGE(INDEX($C$606:$C1006,402-MA_MED):$C1006),"")</f>
        <v/>
      </c>
      <c r="K1006" s="52" t="str">
        <f aca="false">IF(AND(ISNUMBER($G1006),$G1006&gt;=MA_LONG2),AVERAGE(INDEX($C$606:$C1006,402-MA_LONG2):$C1006),"")</f>
        <v/>
      </c>
      <c r="L1006" s="53" t="str">
        <f aca="false">IF(AND(ISNUMBER($G1006),$G1006&gt;=21),STDEV(INDEX($H$946:$H1006,62-20):$H1006)*SQRT(245),"")</f>
        <v/>
      </c>
      <c r="M1006" s="52" t="str">
        <f aca="false">IF(AND(ISNUMBER($G1006),$G1006&gt;=60),MAX(INDEX($D$806:$D1006,202-60):$D1006),"")</f>
        <v/>
      </c>
      <c r="N1006" s="52" t="str">
        <f aca="false">IF(AND(ISNUMBER($G1006),$G1006&gt;=60),MIN(INDEX($E$806:$E1006,202-60):$E1006),"")</f>
        <v/>
      </c>
      <c r="O1006" s="53" t="str">
        <f aca="false">IF(OR(NOT(ISNUMBER($C1006)),NOT(ISNUMBER($M1006)),$M1006=0),"",$C1006/$M1006-1)</f>
        <v/>
      </c>
    </row>
    <row r="1007" customFormat="false" ht="15" hidden="false" customHeight="false" outlineLevel="0" collapsed="false">
      <c r="A1007" s="55"/>
      <c r="B1007" s="56"/>
      <c r="C1007" s="57"/>
      <c r="D1007" s="56"/>
      <c r="E1007" s="56"/>
      <c r="F1007" s="56"/>
      <c r="G1007" s="50" t="str">
        <f aca="false">IF($A1007="","",IF(ISNUMBER($G1006),$G1006+1,1))</f>
        <v/>
      </c>
      <c r="H1007" s="51" t="str">
        <f aca="false">IF(OR(NOT(ISNUMBER($G1007)),$G1007&lt;2,NOT(ISNUMBER($C1006)),$C1006=0),"",$C1007/$C1006-1)</f>
        <v/>
      </c>
      <c r="I1007" s="52" t="str">
        <f aca="false">IF(AND(ISNUMBER($G1007),$G1007&gt;=MA_SHORT),AVERAGE(INDEX($C$607:$C1007,402-MA_SHORT):$C1007),"")</f>
        <v/>
      </c>
      <c r="J1007" s="52" t="str">
        <f aca="false">IF(AND(ISNUMBER($G1007),$G1007&gt;=MA_MED),AVERAGE(INDEX($C$607:$C1007,402-MA_MED):$C1007),"")</f>
        <v/>
      </c>
      <c r="K1007" s="52" t="str">
        <f aca="false">IF(AND(ISNUMBER($G1007),$G1007&gt;=MA_LONG2),AVERAGE(INDEX($C$607:$C1007,402-MA_LONG2):$C1007),"")</f>
        <v/>
      </c>
      <c r="L1007" s="53" t="str">
        <f aca="false">IF(AND(ISNUMBER($G1007),$G1007&gt;=21),STDEV(INDEX($H$947:$H1007,62-20):$H1007)*SQRT(245),"")</f>
        <v/>
      </c>
      <c r="M1007" s="52" t="str">
        <f aca="false">IF(AND(ISNUMBER($G1007),$G1007&gt;=60),MAX(INDEX($D$807:$D1007,202-60):$D1007),"")</f>
        <v/>
      </c>
      <c r="N1007" s="52" t="str">
        <f aca="false">IF(AND(ISNUMBER($G1007),$G1007&gt;=60),MIN(INDEX($E$807:$E1007,202-60):$E1007),"")</f>
        <v/>
      </c>
      <c r="O1007" s="53" t="str">
        <f aca="false">IF(OR(NOT(ISNUMBER($C1007)),NOT(ISNUMBER($M1007)),$M1007=0),"",$C1007/$M1007-1)</f>
        <v/>
      </c>
    </row>
    <row r="1008" customFormat="false" ht="15" hidden="false" customHeight="false" outlineLevel="0" collapsed="false">
      <c r="A1008" s="55"/>
      <c r="B1008" s="56"/>
      <c r="C1008" s="57"/>
      <c r="D1008" s="56"/>
      <c r="E1008" s="56"/>
      <c r="F1008" s="56"/>
      <c r="G1008" s="50" t="str">
        <f aca="false">IF($A1008="","",IF(ISNUMBER($G1007),$G1007+1,1))</f>
        <v/>
      </c>
      <c r="H1008" s="51" t="str">
        <f aca="false">IF(OR(NOT(ISNUMBER($G1008)),$G1008&lt;2,NOT(ISNUMBER($C1007)),$C1007=0),"",$C1008/$C1007-1)</f>
        <v/>
      </c>
      <c r="I1008" s="52" t="str">
        <f aca="false">IF(AND(ISNUMBER($G1008),$G1008&gt;=MA_SHORT),AVERAGE(INDEX($C$608:$C1008,402-MA_SHORT):$C1008),"")</f>
        <v/>
      </c>
      <c r="J1008" s="52" t="str">
        <f aca="false">IF(AND(ISNUMBER($G1008),$G1008&gt;=MA_MED),AVERAGE(INDEX($C$608:$C1008,402-MA_MED):$C1008),"")</f>
        <v/>
      </c>
      <c r="K1008" s="52" t="str">
        <f aca="false">IF(AND(ISNUMBER($G1008),$G1008&gt;=MA_LONG2),AVERAGE(INDEX($C$608:$C1008,402-MA_LONG2):$C1008),"")</f>
        <v/>
      </c>
      <c r="L1008" s="53" t="str">
        <f aca="false">IF(AND(ISNUMBER($G1008),$G1008&gt;=21),STDEV(INDEX($H$948:$H1008,62-20):$H1008)*SQRT(245),"")</f>
        <v/>
      </c>
      <c r="M1008" s="52" t="str">
        <f aca="false">IF(AND(ISNUMBER($G1008),$G1008&gt;=60),MAX(INDEX($D$808:$D1008,202-60):$D1008),"")</f>
        <v/>
      </c>
      <c r="N1008" s="52" t="str">
        <f aca="false">IF(AND(ISNUMBER($G1008),$G1008&gt;=60),MIN(INDEX($E$808:$E1008,202-60):$E1008),"")</f>
        <v/>
      </c>
      <c r="O1008" s="53" t="str">
        <f aca="false">IF(OR(NOT(ISNUMBER($C1008)),NOT(ISNUMBER($M1008)),$M1008=0),"",$C1008/$M1008-1)</f>
        <v/>
      </c>
    </row>
    <row r="1009" customFormat="false" ht="15" hidden="false" customHeight="false" outlineLevel="0" collapsed="false">
      <c r="A1009" s="55"/>
      <c r="B1009" s="56"/>
      <c r="C1009" s="57"/>
      <c r="D1009" s="56"/>
      <c r="E1009" s="56"/>
      <c r="F1009" s="56"/>
      <c r="G1009" s="50" t="str">
        <f aca="false">IF($A1009="","",IF(ISNUMBER($G1008),$G1008+1,1))</f>
        <v/>
      </c>
      <c r="H1009" s="51" t="str">
        <f aca="false">IF(OR(NOT(ISNUMBER($G1009)),$G1009&lt;2,NOT(ISNUMBER($C1008)),$C1008=0),"",$C1009/$C1008-1)</f>
        <v/>
      </c>
      <c r="I1009" s="52" t="str">
        <f aca="false">IF(AND(ISNUMBER($G1009),$G1009&gt;=MA_SHORT),AVERAGE(INDEX($C$609:$C1009,402-MA_SHORT):$C1009),"")</f>
        <v/>
      </c>
      <c r="J1009" s="52" t="str">
        <f aca="false">IF(AND(ISNUMBER($G1009),$G1009&gt;=MA_MED),AVERAGE(INDEX($C$609:$C1009,402-MA_MED):$C1009),"")</f>
        <v/>
      </c>
      <c r="K1009" s="52" t="str">
        <f aca="false">IF(AND(ISNUMBER($G1009),$G1009&gt;=MA_LONG2),AVERAGE(INDEX($C$609:$C1009,402-MA_LONG2):$C1009),"")</f>
        <v/>
      </c>
      <c r="L1009" s="53" t="str">
        <f aca="false">IF(AND(ISNUMBER($G1009),$G1009&gt;=21),STDEV(INDEX($H$949:$H1009,62-20):$H1009)*SQRT(245),"")</f>
        <v/>
      </c>
      <c r="M1009" s="52" t="str">
        <f aca="false">IF(AND(ISNUMBER($G1009),$G1009&gt;=60),MAX(INDEX($D$809:$D1009,202-60):$D1009),"")</f>
        <v/>
      </c>
      <c r="N1009" s="52" t="str">
        <f aca="false">IF(AND(ISNUMBER($G1009),$G1009&gt;=60),MIN(INDEX($E$809:$E1009,202-60):$E1009),"")</f>
        <v/>
      </c>
      <c r="O1009" s="53" t="str">
        <f aca="false">IF(OR(NOT(ISNUMBER($C1009)),NOT(ISNUMBER($M1009)),$M1009=0),"",$C1009/$M1009-1)</f>
        <v/>
      </c>
    </row>
    <row r="1010" customFormat="false" ht="15" hidden="false" customHeight="false" outlineLevel="0" collapsed="false">
      <c r="A1010" s="55"/>
      <c r="B1010" s="56"/>
      <c r="C1010" s="57"/>
      <c r="D1010" s="56"/>
      <c r="E1010" s="56"/>
      <c r="F1010" s="56"/>
      <c r="G1010" s="50" t="str">
        <f aca="false">IF($A1010="","",IF(ISNUMBER($G1009),$G1009+1,1))</f>
        <v/>
      </c>
      <c r="H1010" s="51" t="str">
        <f aca="false">IF(OR(NOT(ISNUMBER($G1010)),$G1010&lt;2,NOT(ISNUMBER($C1009)),$C1009=0),"",$C1010/$C1009-1)</f>
        <v/>
      </c>
      <c r="I1010" s="52" t="str">
        <f aca="false">IF(AND(ISNUMBER($G1010),$G1010&gt;=MA_SHORT),AVERAGE(INDEX($C$610:$C1010,402-MA_SHORT):$C1010),"")</f>
        <v/>
      </c>
      <c r="J1010" s="52" t="str">
        <f aca="false">IF(AND(ISNUMBER($G1010),$G1010&gt;=MA_MED),AVERAGE(INDEX($C$610:$C1010,402-MA_MED):$C1010),"")</f>
        <v/>
      </c>
      <c r="K1010" s="52" t="str">
        <f aca="false">IF(AND(ISNUMBER($G1010),$G1010&gt;=MA_LONG2),AVERAGE(INDEX($C$610:$C1010,402-MA_LONG2):$C1010),"")</f>
        <v/>
      </c>
      <c r="L1010" s="53" t="str">
        <f aca="false">IF(AND(ISNUMBER($G1010),$G1010&gt;=21),STDEV(INDEX($H$950:$H1010,62-20):$H1010)*SQRT(245),"")</f>
        <v/>
      </c>
      <c r="M1010" s="52" t="str">
        <f aca="false">IF(AND(ISNUMBER($G1010),$G1010&gt;=60),MAX(INDEX($D$810:$D1010,202-60):$D1010),"")</f>
        <v/>
      </c>
      <c r="N1010" s="52" t="str">
        <f aca="false">IF(AND(ISNUMBER($G1010),$G1010&gt;=60),MIN(INDEX($E$810:$E1010,202-60):$E1010),"")</f>
        <v/>
      </c>
      <c r="O1010" s="53" t="str">
        <f aca="false">IF(OR(NOT(ISNUMBER($C1010)),NOT(ISNUMBER($M1010)),$M1010=0),"",$C1010/$M1010-1)</f>
        <v/>
      </c>
    </row>
    <row r="1011" customFormat="false" ht="15" hidden="false" customHeight="false" outlineLevel="0" collapsed="false">
      <c r="A1011" s="55"/>
      <c r="B1011" s="56"/>
      <c r="C1011" s="57"/>
      <c r="D1011" s="56"/>
      <c r="E1011" s="56"/>
      <c r="F1011" s="56"/>
      <c r="G1011" s="50" t="str">
        <f aca="false">IF($A1011="","",IF(ISNUMBER($G1010),$G1010+1,1))</f>
        <v/>
      </c>
      <c r="H1011" s="51" t="str">
        <f aca="false">IF(OR(NOT(ISNUMBER($G1011)),$G1011&lt;2,NOT(ISNUMBER($C1010)),$C1010=0),"",$C1011/$C1010-1)</f>
        <v/>
      </c>
      <c r="I1011" s="52" t="str">
        <f aca="false">IF(AND(ISNUMBER($G1011),$G1011&gt;=MA_SHORT),AVERAGE(INDEX($C$611:$C1011,402-MA_SHORT):$C1011),"")</f>
        <v/>
      </c>
      <c r="J1011" s="52" t="str">
        <f aca="false">IF(AND(ISNUMBER($G1011),$G1011&gt;=MA_MED),AVERAGE(INDEX($C$611:$C1011,402-MA_MED):$C1011),"")</f>
        <v/>
      </c>
      <c r="K1011" s="52" t="str">
        <f aca="false">IF(AND(ISNUMBER($G1011),$G1011&gt;=MA_LONG2),AVERAGE(INDEX($C$611:$C1011,402-MA_LONG2):$C1011),"")</f>
        <v/>
      </c>
      <c r="L1011" s="53" t="str">
        <f aca="false">IF(AND(ISNUMBER($G1011),$G1011&gt;=21),STDEV(INDEX($H$951:$H1011,62-20):$H1011)*SQRT(245),"")</f>
        <v/>
      </c>
      <c r="M1011" s="52" t="str">
        <f aca="false">IF(AND(ISNUMBER($G1011),$G1011&gt;=60),MAX(INDEX($D$811:$D1011,202-60):$D1011),"")</f>
        <v/>
      </c>
      <c r="N1011" s="52" t="str">
        <f aca="false">IF(AND(ISNUMBER($G1011),$G1011&gt;=60),MIN(INDEX($E$811:$E1011,202-60):$E1011),"")</f>
        <v/>
      </c>
      <c r="O1011" s="53" t="str">
        <f aca="false">IF(OR(NOT(ISNUMBER($C1011)),NOT(ISNUMBER($M1011)),$M1011=0),"",$C1011/$M1011-1)</f>
        <v/>
      </c>
    </row>
    <row r="1012" customFormat="false" ht="15" hidden="false" customHeight="false" outlineLevel="0" collapsed="false">
      <c r="A1012" s="55"/>
      <c r="B1012" s="56"/>
      <c r="C1012" s="57"/>
      <c r="D1012" s="56"/>
      <c r="E1012" s="56"/>
      <c r="F1012" s="56"/>
      <c r="G1012" s="50" t="str">
        <f aca="false">IF($A1012="","",IF(ISNUMBER($G1011),$G1011+1,1))</f>
        <v/>
      </c>
      <c r="H1012" s="51" t="str">
        <f aca="false">IF(OR(NOT(ISNUMBER($G1012)),$G1012&lt;2,NOT(ISNUMBER($C1011)),$C1011=0),"",$C1012/$C1011-1)</f>
        <v/>
      </c>
      <c r="I1012" s="52" t="str">
        <f aca="false">IF(AND(ISNUMBER($G1012),$G1012&gt;=MA_SHORT),AVERAGE(INDEX($C$612:$C1012,402-MA_SHORT):$C1012),"")</f>
        <v/>
      </c>
      <c r="J1012" s="52" t="str">
        <f aca="false">IF(AND(ISNUMBER($G1012),$G1012&gt;=MA_MED),AVERAGE(INDEX($C$612:$C1012,402-MA_MED):$C1012),"")</f>
        <v/>
      </c>
      <c r="K1012" s="52" t="str">
        <f aca="false">IF(AND(ISNUMBER($G1012),$G1012&gt;=MA_LONG2),AVERAGE(INDEX($C$612:$C1012,402-MA_LONG2):$C1012),"")</f>
        <v/>
      </c>
      <c r="L1012" s="53" t="str">
        <f aca="false">IF(AND(ISNUMBER($G1012),$G1012&gt;=21),STDEV(INDEX($H$952:$H1012,62-20):$H1012)*SQRT(245),"")</f>
        <v/>
      </c>
      <c r="M1012" s="52" t="str">
        <f aca="false">IF(AND(ISNUMBER($G1012),$G1012&gt;=60),MAX(INDEX($D$812:$D1012,202-60):$D1012),"")</f>
        <v/>
      </c>
      <c r="N1012" s="52" t="str">
        <f aca="false">IF(AND(ISNUMBER($G1012),$G1012&gt;=60),MIN(INDEX($E$812:$E1012,202-60):$E1012),"")</f>
        <v/>
      </c>
      <c r="O1012" s="53" t="str">
        <f aca="false">IF(OR(NOT(ISNUMBER($C1012)),NOT(ISNUMBER($M1012)),$M1012=0),"",$C1012/$M1012-1)</f>
        <v/>
      </c>
    </row>
    <row r="1013" customFormat="false" ht="15" hidden="false" customHeight="false" outlineLevel="0" collapsed="false">
      <c r="A1013" s="55"/>
      <c r="B1013" s="56"/>
      <c r="C1013" s="57"/>
      <c r="D1013" s="56"/>
      <c r="E1013" s="56"/>
      <c r="F1013" s="56"/>
      <c r="G1013" s="50" t="str">
        <f aca="false">IF($A1013="","",IF(ISNUMBER($G1012),$G1012+1,1))</f>
        <v/>
      </c>
      <c r="H1013" s="51" t="str">
        <f aca="false">IF(OR(NOT(ISNUMBER($G1013)),$G1013&lt;2,NOT(ISNUMBER($C1012)),$C1012=0),"",$C1013/$C1012-1)</f>
        <v/>
      </c>
      <c r="I1013" s="52" t="str">
        <f aca="false">IF(AND(ISNUMBER($G1013),$G1013&gt;=MA_SHORT),AVERAGE(INDEX($C$613:$C1013,402-MA_SHORT):$C1013),"")</f>
        <v/>
      </c>
      <c r="J1013" s="52" t="str">
        <f aca="false">IF(AND(ISNUMBER($G1013),$G1013&gt;=MA_MED),AVERAGE(INDEX($C$613:$C1013,402-MA_MED):$C1013),"")</f>
        <v/>
      </c>
      <c r="K1013" s="52" t="str">
        <f aca="false">IF(AND(ISNUMBER($G1013),$G1013&gt;=MA_LONG2),AVERAGE(INDEX($C$613:$C1013,402-MA_LONG2):$C1013),"")</f>
        <v/>
      </c>
      <c r="L1013" s="53" t="str">
        <f aca="false">IF(AND(ISNUMBER($G1013),$G1013&gt;=21),STDEV(INDEX($H$953:$H1013,62-20):$H1013)*SQRT(245),"")</f>
        <v/>
      </c>
      <c r="M1013" s="52" t="str">
        <f aca="false">IF(AND(ISNUMBER($G1013),$G1013&gt;=60),MAX(INDEX($D$813:$D1013,202-60):$D1013),"")</f>
        <v/>
      </c>
      <c r="N1013" s="52" t="str">
        <f aca="false">IF(AND(ISNUMBER($G1013),$G1013&gt;=60),MIN(INDEX($E$813:$E1013,202-60):$E1013),"")</f>
        <v/>
      </c>
      <c r="O1013" s="53" t="str">
        <f aca="false">IF(OR(NOT(ISNUMBER($C1013)),NOT(ISNUMBER($M1013)),$M1013=0),"",$C1013/$M1013-1)</f>
        <v/>
      </c>
    </row>
    <row r="1014" customFormat="false" ht="15" hidden="false" customHeight="false" outlineLevel="0" collapsed="false">
      <c r="A1014" s="55"/>
      <c r="B1014" s="56"/>
      <c r="C1014" s="57"/>
      <c r="D1014" s="56"/>
      <c r="E1014" s="56"/>
      <c r="F1014" s="56"/>
      <c r="G1014" s="50" t="str">
        <f aca="false">IF($A1014="","",IF(ISNUMBER($G1013),$G1013+1,1))</f>
        <v/>
      </c>
      <c r="H1014" s="51" t="str">
        <f aca="false">IF(OR(NOT(ISNUMBER($G1014)),$G1014&lt;2,NOT(ISNUMBER($C1013)),$C1013=0),"",$C1014/$C1013-1)</f>
        <v/>
      </c>
      <c r="I1014" s="52" t="str">
        <f aca="false">IF(AND(ISNUMBER($G1014),$G1014&gt;=MA_SHORT),AVERAGE(INDEX($C$614:$C1014,402-MA_SHORT):$C1014),"")</f>
        <v/>
      </c>
      <c r="J1014" s="52" t="str">
        <f aca="false">IF(AND(ISNUMBER($G1014),$G1014&gt;=MA_MED),AVERAGE(INDEX($C$614:$C1014,402-MA_MED):$C1014),"")</f>
        <v/>
      </c>
      <c r="K1014" s="52" t="str">
        <f aca="false">IF(AND(ISNUMBER($G1014),$G1014&gt;=MA_LONG2),AVERAGE(INDEX($C$614:$C1014,402-MA_LONG2):$C1014),"")</f>
        <v/>
      </c>
      <c r="L1014" s="53" t="str">
        <f aca="false">IF(AND(ISNUMBER($G1014),$G1014&gt;=21),STDEV(INDEX($H$954:$H1014,62-20):$H1014)*SQRT(245),"")</f>
        <v/>
      </c>
      <c r="M1014" s="52" t="str">
        <f aca="false">IF(AND(ISNUMBER($G1014),$G1014&gt;=60),MAX(INDEX($D$814:$D1014,202-60):$D1014),"")</f>
        <v/>
      </c>
      <c r="N1014" s="52" t="str">
        <f aca="false">IF(AND(ISNUMBER($G1014),$G1014&gt;=60),MIN(INDEX($E$814:$E1014,202-60):$E1014),"")</f>
        <v/>
      </c>
      <c r="O1014" s="53" t="str">
        <f aca="false">IF(OR(NOT(ISNUMBER($C1014)),NOT(ISNUMBER($M1014)),$M1014=0),"",$C1014/$M1014-1)</f>
        <v/>
      </c>
    </row>
    <row r="1015" customFormat="false" ht="15" hidden="false" customHeight="false" outlineLevel="0" collapsed="false">
      <c r="A1015" s="55"/>
      <c r="B1015" s="56"/>
      <c r="C1015" s="57"/>
      <c r="D1015" s="56"/>
      <c r="E1015" s="56"/>
      <c r="F1015" s="56"/>
      <c r="G1015" s="50" t="str">
        <f aca="false">IF($A1015="","",IF(ISNUMBER($G1014),$G1014+1,1))</f>
        <v/>
      </c>
      <c r="H1015" s="51" t="str">
        <f aca="false">IF(OR(NOT(ISNUMBER($G1015)),$G1015&lt;2,NOT(ISNUMBER($C1014)),$C1014=0),"",$C1015/$C1014-1)</f>
        <v/>
      </c>
      <c r="I1015" s="52" t="str">
        <f aca="false">IF(AND(ISNUMBER($G1015),$G1015&gt;=MA_SHORT),AVERAGE(INDEX($C$615:$C1015,402-MA_SHORT):$C1015),"")</f>
        <v/>
      </c>
      <c r="J1015" s="52" t="str">
        <f aca="false">IF(AND(ISNUMBER($G1015),$G1015&gt;=MA_MED),AVERAGE(INDEX($C$615:$C1015,402-MA_MED):$C1015),"")</f>
        <v/>
      </c>
      <c r="K1015" s="52" t="str">
        <f aca="false">IF(AND(ISNUMBER($G1015),$G1015&gt;=MA_LONG2),AVERAGE(INDEX($C$615:$C1015,402-MA_LONG2):$C1015),"")</f>
        <v/>
      </c>
      <c r="L1015" s="53" t="str">
        <f aca="false">IF(AND(ISNUMBER($G1015),$G1015&gt;=21),STDEV(INDEX($H$955:$H1015,62-20):$H1015)*SQRT(245),"")</f>
        <v/>
      </c>
      <c r="M1015" s="52" t="str">
        <f aca="false">IF(AND(ISNUMBER($G1015),$G1015&gt;=60),MAX(INDEX($D$815:$D1015,202-60):$D1015),"")</f>
        <v/>
      </c>
      <c r="N1015" s="52" t="str">
        <f aca="false">IF(AND(ISNUMBER($G1015),$G1015&gt;=60),MIN(INDEX($E$815:$E1015,202-60):$E1015),"")</f>
        <v/>
      </c>
      <c r="O1015" s="53" t="str">
        <f aca="false">IF(OR(NOT(ISNUMBER($C1015)),NOT(ISNUMBER($M1015)),$M1015=0),"",$C1015/$M1015-1)</f>
        <v/>
      </c>
    </row>
    <row r="1016" customFormat="false" ht="15" hidden="false" customHeight="false" outlineLevel="0" collapsed="false">
      <c r="A1016" s="55"/>
      <c r="B1016" s="56"/>
      <c r="C1016" s="57"/>
      <c r="D1016" s="56"/>
      <c r="E1016" s="56"/>
      <c r="F1016" s="56"/>
      <c r="G1016" s="50" t="str">
        <f aca="false">IF($A1016="","",IF(ISNUMBER($G1015),$G1015+1,1))</f>
        <v/>
      </c>
      <c r="H1016" s="51" t="str">
        <f aca="false">IF(OR(NOT(ISNUMBER($G1016)),$G1016&lt;2,NOT(ISNUMBER($C1015)),$C1015=0),"",$C1016/$C1015-1)</f>
        <v/>
      </c>
      <c r="I1016" s="52" t="str">
        <f aca="false">IF(AND(ISNUMBER($G1016),$G1016&gt;=MA_SHORT),AVERAGE(INDEX($C$616:$C1016,402-MA_SHORT):$C1016),"")</f>
        <v/>
      </c>
      <c r="J1016" s="52" t="str">
        <f aca="false">IF(AND(ISNUMBER($G1016),$G1016&gt;=MA_MED),AVERAGE(INDEX($C$616:$C1016,402-MA_MED):$C1016),"")</f>
        <v/>
      </c>
      <c r="K1016" s="52" t="str">
        <f aca="false">IF(AND(ISNUMBER($G1016),$G1016&gt;=MA_LONG2),AVERAGE(INDEX($C$616:$C1016,402-MA_LONG2):$C1016),"")</f>
        <v/>
      </c>
      <c r="L1016" s="53" t="str">
        <f aca="false">IF(AND(ISNUMBER($G1016),$G1016&gt;=21),STDEV(INDEX($H$956:$H1016,62-20):$H1016)*SQRT(245),"")</f>
        <v/>
      </c>
      <c r="M1016" s="52" t="str">
        <f aca="false">IF(AND(ISNUMBER($G1016),$G1016&gt;=60),MAX(INDEX($D$816:$D1016,202-60):$D1016),"")</f>
        <v/>
      </c>
      <c r="N1016" s="52" t="str">
        <f aca="false">IF(AND(ISNUMBER($G1016),$G1016&gt;=60),MIN(INDEX($E$816:$E1016,202-60):$E1016),"")</f>
        <v/>
      </c>
      <c r="O1016" s="53" t="str">
        <f aca="false">IF(OR(NOT(ISNUMBER($C1016)),NOT(ISNUMBER($M1016)),$M1016=0),"",$C1016/$M1016-1)</f>
        <v/>
      </c>
    </row>
    <row r="1017" customFormat="false" ht="15" hidden="false" customHeight="false" outlineLevel="0" collapsed="false">
      <c r="A1017" s="55"/>
      <c r="B1017" s="56"/>
      <c r="C1017" s="57"/>
      <c r="D1017" s="56"/>
      <c r="E1017" s="56"/>
      <c r="F1017" s="56"/>
      <c r="G1017" s="50" t="str">
        <f aca="false">IF($A1017="","",IF(ISNUMBER($G1016),$G1016+1,1))</f>
        <v/>
      </c>
      <c r="H1017" s="51" t="str">
        <f aca="false">IF(OR(NOT(ISNUMBER($G1017)),$G1017&lt;2,NOT(ISNUMBER($C1016)),$C1016=0),"",$C1017/$C1016-1)</f>
        <v/>
      </c>
      <c r="I1017" s="52" t="str">
        <f aca="false">IF(AND(ISNUMBER($G1017),$G1017&gt;=MA_SHORT),AVERAGE(INDEX($C$617:$C1017,402-MA_SHORT):$C1017),"")</f>
        <v/>
      </c>
      <c r="J1017" s="52" t="str">
        <f aca="false">IF(AND(ISNUMBER($G1017),$G1017&gt;=MA_MED),AVERAGE(INDEX($C$617:$C1017,402-MA_MED):$C1017),"")</f>
        <v/>
      </c>
      <c r="K1017" s="52" t="str">
        <f aca="false">IF(AND(ISNUMBER($G1017),$G1017&gt;=MA_LONG2),AVERAGE(INDEX($C$617:$C1017,402-MA_LONG2):$C1017),"")</f>
        <v/>
      </c>
      <c r="L1017" s="53" t="str">
        <f aca="false">IF(AND(ISNUMBER($G1017),$G1017&gt;=21),STDEV(INDEX($H$957:$H1017,62-20):$H1017)*SQRT(245),"")</f>
        <v/>
      </c>
      <c r="M1017" s="52" t="str">
        <f aca="false">IF(AND(ISNUMBER($G1017),$G1017&gt;=60),MAX(INDEX($D$817:$D1017,202-60):$D1017),"")</f>
        <v/>
      </c>
      <c r="N1017" s="52" t="str">
        <f aca="false">IF(AND(ISNUMBER($G1017),$G1017&gt;=60),MIN(INDEX($E$817:$E1017,202-60):$E1017),"")</f>
        <v/>
      </c>
      <c r="O1017" s="53" t="str">
        <f aca="false">IF(OR(NOT(ISNUMBER($C1017)),NOT(ISNUMBER($M1017)),$M1017=0),"",$C1017/$M1017-1)</f>
        <v/>
      </c>
    </row>
    <row r="1018" customFormat="false" ht="15" hidden="false" customHeight="false" outlineLevel="0" collapsed="false">
      <c r="A1018" s="55"/>
      <c r="B1018" s="56"/>
      <c r="C1018" s="57"/>
      <c r="D1018" s="56"/>
      <c r="E1018" s="56"/>
      <c r="F1018" s="56"/>
      <c r="G1018" s="50" t="str">
        <f aca="false">IF($A1018="","",IF(ISNUMBER($G1017),$G1017+1,1))</f>
        <v/>
      </c>
      <c r="H1018" s="51" t="str">
        <f aca="false">IF(OR(NOT(ISNUMBER($G1018)),$G1018&lt;2,NOT(ISNUMBER($C1017)),$C1017=0),"",$C1018/$C1017-1)</f>
        <v/>
      </c>
      <c r="I1018" s="52" t="str">
        <f aca="false">IF(AND(ISNUMBER($G1018),$G1018&gt;=MA_SHORT),AVERAGE(INDEX($C$618:$C1018,402-MA_SHORT):$C1018),"")</f>
        <v/>
      </c>
      <c r="J1018" s="52" t="str">
        <f aca="false">IF(AND(ISNUMBER($G1018),$G1018&gt;=MA_MED),AVERAGE(INDEX($C$618:$C1018,402-MA_MED):$C1018),"")</f>
        <v/>
      </c>
      <c r="K1018" s="52" t="str">
        <f aca="false">IF(AND(ISNUMBER($G1018),$G1018&gt;=MA_LONG2),AVERAGE(INDEX($C$618:$C1018,402-MA_LONG2):$C1018),"")</f>
        <v/>
      </c>
      <c r="L1018" s="53" t="str">
        <f aca="false">IF(AND(ISNUMBER($G1018),$G1018&gt;=21),STDEV(INDEX($H$958:$H1018,62-20):$H1018)*SQRT(245),"")</f>
        <v/>
      </c>
      <c r="M1018" s="52" t="str">
        <f aca="false">IF(AND(ISNUMBER($G1018),$G1018&gt;=60),MAX(INDEX($D$818:$D1018,202-60):$D1018),"")</f>
        <v/>
      </c>
      <c r="N1018" s="52" t="str">
        <f aca="false">IF(AND(ISNUMBER($G1018),$G1018&gt;=60),MIN(INDEX($E$818:$E1018,202-60):$E1018),"")</f>
        <v/>
      </c>
      <c r="O1018" s="53" t="str">
        <f aca="false">IF(OR(NOT(ISNUMBER($C1018)),NOT(ISNUMBER($M1018)),$M1018=0),"",$C1018/$M1018-1)</f>
        <v/>
      </c>
    </row>
    <row r="1019" customFormat="false" ht="15" hidden="false" customHeight="false" outlineLevel="0" collapsed="false">
      <c r="A1019" s="55"/>
      <c r="B1019" s="56"/>
      <c r="C1019" s="57"/>
      <c r="D1019" s="56"/>
      <c r="E1019" s="56"/>
      <c r="F1019" s="56"/>
      <c r="G1019" s="50" t="str">
        <f aca="false">IF($A1019="","",IF(ISNUMBER($G1018),$G1018+1,1))</f>
        <v/>
      </c>
      <c r="H1019" s="51" t="str">
        <f aca="false">IF(OR(NOT(ISNUMBER($G1019)),$G1019&lt;2,NOT(ISNUMBER($C1018)),$C1018=0),"",$C1019/$C1018-1)</f>
        <v/>
      </c>
      <c r="I1019" s="52" t="str">
        <f aca="false">IF(AND(ISNUMBER($G1019),$G1019&gt;=MA_SHORT),AVERAGE(INDEX($C$619:$C1019,402-MA_SHORT):$C1019),"")</f>
        <v/>
      </c>
      <c r="J1019" s="52" t="str">
        <f aca="false">IF(AND(ISNUMBER($G1019),$G1019&gt;=MA_MED),AVERAGE(INDEX($C$619:$C1019,402-MA_MED):$C1019),"")</f>
        <v/>
      </c>
      <c r="K1019" s="52" t="str">
        <f aca="false">IF(AND(ISNUMBER($G1019),$G1019&gt;=MA_LONG2),AVERAGE(INDEX($C$619:$C1019,402-MA_LONG2):$C1019),"")</f>
        <v/>
      </c>
      <c r="L1019" s="53" t="str">
        <f aca="false">IF(AND(ISNUMBER($G1019),$G1019&gt;=21),STDEV(INDEX($H$959:$H1019,62-20):$H1019)*SQRT(245),"")</f>
        <v/>
      </c>
      <c r="M1019" s="52" t="str">
        <f aca="false">IF(AND(ISNUMBER($G1019),$G1019&gt;=60),MAX(INDEX($D$819:$D1019,202-60):$D1019),"")</f>
        <v/>
      </c>
      <c r="N1019" s="52" t="str">
        <f aca="false">IF(AND(ISNUMBER($G1019),$G1019&gt;=60),MIN(INDEX($E$819:$E1019,202-60):$E1019),"")</f>
        <v/>
      </c>
      <c r="O1019" s="53" t="str">
        <f aca="false">IF(OR(NOT(ISNUMBER($C1019)),NOT(ISNUMBER($M1019)),$M1019=0),"",$C1019/$M1019-1)</f>
        <v/>
      </c>
    </row>
    <row r="1020" customFormat="false" ht="15" hidden="false" customHeight="false" outlineLevel="0" collapsed="false">
      <c r="A1020" s="55"/>
      <c r="B1020" s="56"/>
      <c r="C1020" s="57"/>
      <c r="D1020" s="56"/>
      <c r="E1020" s="56"/>
      <c r="F1020" s="56"/>
      <c r="G1020" s="50" t="str">
        <f aca="false">IF($A1020="","",IF(ISNUMBER($G1019),$G1019+1,1))</f>
        <v/>
      </c>
      <c r="H1020" s="51" t="str">
        <f aca="false">IF(OR(NOT(ISNUMBER($G1020)),$G1020&lt;2,NOT(ISNUMBER($C1019)),$C1019=0),"",$C1020/$C1019-1)</f>
        <v/>
      </c>
      <c r="I1020" s="52" t="str">
        <f aca="false">IF(AND(ISNUMBER($G1020),$G1020&gt;=MA_SHORT),AVERAGE(INDEX($C$620:$C1020,402-MA_SHORT):$C1020),"")</f>
        <v/>
      </c>
      <c r="J1020" s="52" t="str">
        <f aca="false">IF(AND(ISNUMBER($G1020),$G1020&gt;=MA_MED),AVERAGE(INDEX($C$620:$C1020,402-MA_MED):$C1020),"")</f>
        <v/>
      </c>
      <c r="K1020" s="52" t="str">
        <f aca="false">IF(AND(ISNUMBER($G1020),$G1020&gt;=MA_LONG2),AVERAGE(INDEX($C$620:$C1020,402-MA_LONG2):$C1020),"")</f>
        <v/>
      </c>
      <c r="L1020" s="53" t="str">
        <f aca="false">IF(AND(ISNUMBER($G1020),$G1020&gt;=21),STDEV(INDEX($H$960:$H1020,62-20):$H1020)*SQRT(245),"")</f>
        <v/>
      </c>
      <c r="M1020" s="52" t="str">
        <f aca="false">IF(AND(ISNUMBER($G1020),$G1020&gt;=60),MAX(INDEX($D$820:$D1020,202-60):$D1020),"")</f>
        <v/>
      </c>
      <c r="N1020" s="52" t="str">
        <f aca="false">IF(AND(ISNUMBER($G1020),$G1020&gt;=60),MIN(INDEX($E$820:$E1020,202-60):$E1020),"")</f>
        <v/>
      </c>
      <c r="O1020" s="53" t="str">
        <f aca="false">IF(OR(NOT(ISNUMBER($C1020)),NOT(ISNUMBER($M1020)),$M1020=0),"",$C1020/$M1020-1)</f>
        <v/>
      </c>
    </row>
    <row r="1021" customFormat="false" ht="15" hidden="false" customHeight="false" outlineLevel="0" collapsed="false">
      <c r="A1021" s="55"/>
      <c r="B1021" s="56"/>
      <c r="C1021" s="57"/>
      <c r="D1021" s="56"/>
      <c r="E1021" s="56"/>
      <c r="F1021" s="56"/>
      <c r="G1021" s="50" t="str">
        <f aca="false">IF($A1021="","",IF(ISNUMBER($G1020),$G1020+1,1))</f>
        <v/>
      </c>
      <c r="H1021" s="51" t="str">
        <f aca="false">IF(OR(NOT(ISNUMBER($G1021)),$G1021&lt;2,NOT(ISNUMBER($C1020)),$C1020=0),"",$C1021/$C1020-1)</f>
        <v/>
      </c>
      <c r="I1021" s="52" t="str">
        <f aca="false">IF(AND(ISNUMBER($G1021),$G1021&gt;=MA_SHORT),AVERAGE(INDEX($C$621:$C1021,402-MA_SHORT):$C1021),"")</f>
        <v/>
      </c>
      <c r="J1021" s="52" t="str">
        <f aca="false">IF(AND(ISNUMBER($G1021),$G1021&gt;=MA_MED),AVERAGE(INDEX($C$621:$C1021,402-MA_MED):$C1021),"")</f>
        <v/>
      </c>
      <c r="K1021" s="52" t="str">
        <f aca="false">IF(AND(ISNUMBER($G1021),$G1021&gt;=MA_LONG2),AVERAGE(INDEX($C$621:$C1021,402-MA_LONG2):$C1021),"")</f>
        <v/>
      </c>
      <c r="L1021" s="53" t="str">
        <f aca="false">IF(AND(ISNUMBER($G1021),$G1021&gt;=21),STDEV(INDEX($H$961:$H1021,62-20):$H1021)*SQRT(245),"")</f>
        <v/>
      </c>
      <c r="M1021" s="52" t="str">
        <f aca="false">IF(AND(ISNUMBER($G1021),$G1021&gt;=60),MAX(INDEX($D$821:$D1021,202-60):$D1021),"")</f>
        <v/>
      </c>
      <c r="N1021" s="52" t="str">
        <f aca="false">IF(AND(ISNUMBER($G1021),$G1021&gt;=60),MIN(INDEX($E$821:$E1021,202-60):$E1021),"")</f>
        <v/>
      </c>
      <c r="O1021" s="53" t="str">
        <f aca="false">IF(OR(NOT(ISNUMBER($C1021)),NOT(ISNUMBER($M1021)),$M1021=0),"",$C1021/$M1021-1)</f>
        <v/>
      </c>
    </row>
    <row r="1022" customFormat="false" ht="15" hidden="false" customHeight="false" outlineLevel="0" collapsed="false">
      <c r="A1022" s="55"/>
      <c r="B1022" s="56"/>
      <c r="C1022" s="57"/>
      <c r="D1022" s="56"/>
      <c r="E1022" s="56"/>
      <c r="F1022" s="56"/>
      <c r="G1022" s="50" t="str">
        <f aca="false">IF($A1022="","",IF(ISNUMBER($G1021),$G1021+1,1))</f>
        <v/>
      </c>
      <c r="H1022" s="51" t="str">
        <f aca="false">IF(OR(NOT(ISNUMBER($G1022)),$G1022&lt;2,NOT(ISNUMBER($C1021)),$C1021=0),"",$C1022/$C1021-1)</f>
        <v/>
      </c>
      <c r="I1022" s="52" t="str">
        <f aca="false">IF(AND(ISNUMBER($G1022),$G1022&gt;=MA_SHORT),AVERAGE(INDEX($C$622:$C1022,402-MA_SHORT):$C1022),"")</f>
        <v/>
      </c>
      <c r="J1022" s="52" t="str">
        <f aca="false">IF(AND(ISNUMBER($G1022),$G1022&gt;=MA_MED),AVERAGE(INDEX($C$622:$C1022,402-MA_MED):$C1022),"")</f>
        <v/>
      </c>
      <c r="K1022" s="52" t="str">
        <f aca="false">IF(AND(ISNUMBER($G1022),$G1022&gt;=MA_LONG2),AVERAGE(INDEX($C$622:$C1022,402-MA_LONG2):$C1022),"")</f>
        <v/>
      </c>
      <c r="L1022" s="53" t="str">
        <f aca="false">IF(AND(ISNUMBER($G1022),$G1022&gt;=21),STDEV(INDEX($H$962:$H1022,62-20):$H1022)*SQRT(245),"")</f>
        <v/>
      </c>
      <c r="M1022" s="52" t="str">
        <f aca="false">IF(AND(ISNUMBER($G1022),$G1022&gt;=60),MAX(INDEX($D$822:$D1022,202-60):$D1022),"")</f>
        <v/>
      </c>
      <c r="N1022" s="52" t="str">
        <f aca="false">IF(AND(ISNUMBER($G1022),$G1022&gt;=60),MIN(INDEX($E$822:$E1022,202-60):$E1022),"")</f>
        <v/>
      </c>
      <c r="O1022" s="53" t="str">
        <f aca="false">IF(OR(NOT(ISNUMBER($C1022)),NOT(ISNUMBER($M1022)),$M1022=0),"",$C1022/$M1022-1)</f>
        <v/>
      </c>
    </row>
    <row r="1023" customFormat="false" ht="15" hidden="false" customHeight="false" outlineLevel="0" collapsed="false">
      <c r="A1023" s="55"/>
      <c r="B1023" s="56"/>
      <c r="C1023" s="57"/>
      <c r="D1023" s="56"/>
      <c r="E1023" s="56"/>
      <c r="F1023" s="56"/>
      <c r="G1023" s="50" t="str">
        <f aca="false">IF($A1023="","",IF(ISNUMBER($G1022),$G1022+1,1))</f>
        <v/>
      </c>
      <c r="H1023" s="51" t="str">
        <f aca="false">IF(OR(NOT(ISNUMBER($G1023)),$G1023&lt;2,NOT(ISNUMBER($C1022)),$C1022=0),"",$C1023/$C1022-1)</f>
        <v/>
      </c>
      <c r="I1023" s="52" t="str">
        <f aca="false">IF(AND(ISNUMBER($G1023),$G1023&gt;=MA_SHORT),AVERAGE(INDEX($C$623:$C1023,402-MA_SHORT):$C1023),"")</f>
        <v/>
      </c>
      <c r="J1023" s="52" t="str">
        <f aca="false">IF(AND(ISNUMBER($G1023),$G1023&gt;=MA_MED),AVERAGE(INDEX($C$623:$C1023,402-MA_MED):$C1023),"")</f>
        <v/>
      </c>
      <c r="K1023" s="52" t="str">
        <f aca="false">IF(AND(ISNUMBER($G1023),$G1023&gt;=MA_LONG2),AVERAGE(INDEX($C$623:$C1023,402-MA_LONG2):$C1023),"")</f>
        <v/>
      </c>
      <c r="L1023" s="53" t="str">
        <f aca="false">IF(AND(ISNUMBER($G1023),$G1023&gt;=21),STDEV(INDEX($H$963:$H1023,62-20):$H1023)*SQRT(245),"")</f>
        <v/>
      </c>
      <c r="M1023" s="52" t="str">
        <f aca="false">IF(AND(ISNUMBER($G1023),$G1023&gt;=60),MAX(INDEX($D$823:$D1023,202-60):$D1023),"")</f>
        <v/>
      </c>
      <c r="N1023" s="52" t="str">
        <f aca="false">IF(AND(ISNUMBER($G1023),$G1023&gt;=60),MIN(INDEX($E$823:$E1023,202-60):$E1023),"")</f>
        <v/>
      </c>
      <c r="O1023" s="53" t="str">
        <f aca="false">IF(OR(NOT(ISNUMBER($C1023)),NOT(ISNUMBER($M1023)),$M1023=0),"",$C1023/$M1023-1)</f>
        <v/>
      </c>
    </row>
    <row r="1024" customFormat="false" ht="15" hidden="false" customHeight="false" outlineLevel="0" collapsed="false">
      <c r="A1024" s="55"/>
      <c r="B1024" s="56"/>
      <c r="C1024" s="57"/>
      <c r="D1024" s="56"/>
      <c r="E1024" s="56"/>
      <c r="F1024" s="56"/>
      <c r="G1024" s="50" t="str">
        <f aca="false">IF($A1024="","",IF(ISNUMBER($G1023),$G1023+1,1))</f>
        <v/>
      </c>
      <c r="H1024" s="51" t="str">
        <f aca="false">IF(OR(NOT(ISNUMBER($G1024)),$G1024&lt;2,NOT(ISNUMBER($C1023)),$C1023=0),"",$C1024/$C1023-1)</f>
        <v/>
      </c>
      <c r="I1024" s="52" t="str">
        <f aca="false">IF(AND(ISNUMBER($G1024),$G1024&gt;=MA_SHORT),AVERAGE(INDEX($C$624:$C1024,402-MA_SHORT):$C1024),"")</f>
        <v/>
      </c>
      <c r="J1024" s="52" t="str">
        <f aca="false">IF(AND(ISNUMBER($G1024),$G1024&gt;=MA_MED),AVERAGE(INDEX($C$624:$C1024,402-MA_MED):$C1024),"")</f>
        <v/>
      </c>
      <c r="K1024" s="52" t="str">
        <f aca="false">IF(AND(ISNUMBER($G1024),$G1024&gt;=MA_LONG2),AVERAGE(INDEX($C$624:$C1024,402-MA_LONG2):$C1024),"")</f>
        <v/>
      </c>
      <c r="L1024" s="53" t="str">
        <f aca="false">IF(AND(ISNUMBER($G1024),$G1024&gt;=21),STDEV(INDEX($H$964:$H1024,62-20):$H1024)*SQRT(245),"")</f>
        <v/>
      </c>
      <c r="M1024" s="52" t="str">
        <f aca="false">IF(AND(ISNUMBER($G1024),$G1024&gt;=60),MAX(INDEX($D$824:$D1024,202-60):$D1024),"")</f>
        <v/>
      </c>
      <c r="N1024" s="52" t="str">
        <f aca="false">IF(AND(ISNUMBER($G1024),$G1024&gt;=60),MIN(INDEX($E$824:$E1024,202-60):$E1024),"")</f>
        <v/>
      </c>
      <c r="O1024" s="53" t="str">
        <f aca="false">IF(OR(NOT(ISNUMBER($C1024)),NOT(ISNUMBER($M1024)),$M1024=0),"",$C1024/$M1024-1)</f>
        <v/>
      </c>
    </row>
    <row r="1025" customFormat="false" ht="15" hidden="false" customHeight="false" outlineLevel="0" collapsed="false">
      <c r="A1025" s="55"/>
      <c r="B1025" s="56"/>
      <c r="C1025" s="57"/>
      <c r="D1025" s="56"/>
      <c r="E1025" s="56"/>
      <c r="F1025" s="56"/>
      <c r="G1025" s="50" t="str">
        <f aca="false">IF($A1025="","",IF(ISNUMBER($G1024),$G1024+1,1))</f>
        <v/>
      </c>
      <c r="H1025" s="51" t="str">
        <f aca="false">IF(OR(NOT(ISNUMBER($G1025)),$G1025&lt;2,NOT(ISNUMBER($C1024)),$C1024=0),"",$C1025/$C1024-1)</f>
        <v/>
      </c>
      <c r="I1025" s="52" t="str">
        <f aca="false">IF(AND(ISNUMBER($G1025),$G1025&gt;=MA_SHORT),AVERAGE(INDEX($C$625:$C1025,402-MA_SHORT):$C1025),"")</f>
        <v/>
      </c>
      <c r="J1025" s="52" t="str">
        <f aca="false">IF(AND(ISNUMBER($G1025),$G1025&gt;=MA_MED),AVERAGE(INDEX($C$625:$C1025,402-MA_MED):$C1025),"")</f>
        <v/>
      </c>
      <c r="K1025" s="52" t="str">
        <f aca="false">IF(AND(ISNUMBER($G1025),$G1025&gt;=MA_LONG2),AVERAGE(INDEX($C$625:$C1025,402-MA_LONG2):$C1025),"")</f>
        <v/>
      </c>
      <c r="L1025" s="53" t="str">
        <f aca="false">IF(AND(ISNUMBER($G1025),$G1025&gt;=21),STDEV(INDEX($H$965:$H1025,62-20):$H1025)*SQRT(245),"")</f>
        <v/>
      </c>
      <c r="M1025" s="52" t="str">
        <f aca="false">IF(AND(ISNUMBER($G1025),$G1025&gt;=60),MAX(INDEX($D$825:$D1025,202-60):$D1025),"")</f>
        <v/>
      </c>
      <c r="N1025" s="52" t="str">
        <f aca="false">IF(AND(ISNUMBER($G1025),$G1025&gt;=60),MIN(INDEX($E$825:$E1025,202-60):$E1025),"")</f>
        <v/>
      </c>
      <c r="O1025" s="53" t="str">
        <f aca="false">IF(OR(NOT(ISNUMBER($C1025)),NOT(ISNUMBER($M1025)),$M1025=0),"",$C1025/$M1025-1)</f>
        <v/>
      </c>
    </row>
    <row r="1026" customFormat="false" ht="15" hidden="false" customHeight="false" outlineLevel="0" collapsed="false">
      <c r="A1026" s="55"/>
      <c r="B1026" s="56"/>
      <c r="C1026" s="57"/>
      <c r="D1026" s="56"/>
      <c r="E1026" s="56"/>
      <c r="F1026" s="56"/>
      <c r="G1026" s="50" t="str">
        <f aca="false">IF($A1026="","",IF(ISNUMBER($G1025),$G1025+1,1))</f>
        <v/>
      </c>
      <c r="H1026" s="51" t="str">
        <f aca="false">IF(OR(NOT(ISNUMBER($G1026)),$G1026&lt;2,NOT(ISNUMBER($C1025)),$C1025=0),"",$C1026/$C1025-1)</f>
        <v/>
      </c>
      <c r="I1026" s="52" t="str">
        <f aca="false">IF(AND(ISNUMBER($G1026),$G1026&gt;=MA_SHORT),AVERAGE(INDEX($C$626:$C1026,402-MA_SHORT):$C1026),"")</f>
        <v/>
      </c>
      <c r="J1026" s="52" t="str">
        <f aca="false">IF(AND(ISNUMBER($G1026),$G1026&gt;=MA_MED),AVERAGE(INDEX($C$626:$C1026,402-MA_MED):$C1026),"")</f>
        <v/>
      </c>
      <c r="K1026" s="52" t="str">
        <f aca="false">IF(AND(ISNUMBER($G1026),$G1026&gt;=MA_LONG2),AVERAGE(INDEX($C$626:$C1026,402-MA_LONG2):$C1026),"")</f>
        <v/>
      </c>
      <c r="L1026" s="53" t="str">
        <f aca="false">IF(AND(ISNUMBER($G1026),$G1026&gt;=21),STDEV(INDEX($H$966:$H1026,62-20):$H1026)*SQRT(245),"")</f>
        <v/>
      </c>
      <c r="M1026" s="52" t="str">
        <f aca="false">IF(AND(ISNUMBER($G1026),$G1026&gt;=60),MAX(INDEX($D$826:$D1026,202-60):$D1026),"")</f>
        <v/>
      </c>
      <c r="N1026" s="52" t="str">
        <f aca="false">IF(AND(ISNUMBER($G1026),$G1026&gt;=60),MIN(INDEX($E$826:$E1026,202-60):$E1026),"")</f>
        <v/>
      </c>
      <c r="O1026" s="53" t="str">
        <f aca="false">IF(OR(NOT(ISNUMBER($C1026)),NOT(ISNUMBER($M1026)),$M1026=0),"",$C1026/$M1026-1)</f>
        <v/>
      </c>
    </row>
    <row r="1027" customFormat="false" ht="15" hidden="false" customHeight="false" outlineLevel="0" collapsed="false">
      <c r="A1027" s="55"/>
      <c r="B1027" s="56"/>
      <c r="C1027" s="57"/>
      <c r="D1027" s="56"/>
      <c r="E1027" s="56"/>
      <c r="F1027" s="56"/>
      <c r="G1027" s="50" t="str">
        <f aca="false">IF($A1027="","",IF(ISNUMBER($G1026),$G1026+1,1))</f>
        <v/>
      </c>
      <c r="H1027" s="51" t="str">
        <f aca="false">IF(OR(NOT(ISNUMBER($G1027)),$G1027&lt;2,NOT(ISNUMBER($C1026)),$C1026=0),"",$C1027/$C1026-1)</f>
        <v/>
      </c>
      <c r="I1027" s="52" t="str">
        <f aca="false">IF(AND(ISNUMBER($G1027),$G1027&gt;=MA_SHORT),AVERAGE(INDEX($C$627:$C1027,402-MA_SHORT):$C1027),"")</f>
        <v/>
      </c>
      <c r="J1027" s="52" t="str">
        <f aca="false">IF(AND(ISNUMBER($G1027),$G1027&gt;=MA_MED),AVERAGE(INDEX($C$627:$C1027,402-MA_MED):$C1027),"")</f>
        <v/>
      </c>
      <c r="K1027" s="52" t="str">
        <f aca="false">IF(AND(ISNUMBER($G1027),$G1027&gt;=MA_LONG2),AVERAGE(INDEX($C$627:$C1027,402-MA_LONG2):$C1027),"")</f>
        <v/>
      </c>
      <c r="L1027" s="53" t="str">
        <f aca="false">IF(AND(ISNUMBER($G1027),$G1027&gt;=21),STDEV(INDEX($H$967:$H1027,62-20):$H1027)*SQRT(245),"")</f>
        <v/>
      </c>
      <c r="M1027" s="52" t="str">
        <f aca="false">IF(AND(ISNUMBER($G1027),$G1027&gt;=60),MAX(INDEX($D$827:$D1027,202-60):$D1027),"")</f>
        <v/>
      </c>
      <c r="N1027" s="52" t="str">
        <f aca="false">IF(AND(ISNUMBER($G1027),$G1027&gt;=60),MIN(INDEX($E$827:$E1027,202-60):$E1027),"")</f>
        <v/>
      </c>
      <c r="O1027" s="53" t="str">
        <f aca="false">IF(OR(NOT(ISNUMBER($C1027)),NOT(ISNUMBER($M1027)),$M1027=0),"",$C1027/$M1027-1)</f>
        <v/>
      </c>
    </row>
    <row r="1028" customFormat="false" ht="15" hidden="false" customHeight="false" outlineLevel="0" collapsed="false">
      <c r="A1028" s="55"/>
      <c r="B1028" s="56"/>
      <c r="C1028" s="57"/>
      <c r="D1028" s="56"/>
      <c r="E1028" s="56"/>
      <c r="F1028" s="56"/>
      <c r="G1028" s="50" t="str">
        <f aca="false">IF($A1028="","",IF(ISNUMBER($G1027),$G1027+1,1))</f>
        <v/>
      </c>
      <c r="H1028" s="51" t="str">
        <f aca="false">IF(OR(NOT(ISNUMBER($G1028)),$G1028&lt;2,NOT(ISNUMBER($C1027)),$C1027=0),"",$C1028/$C1027-1)</f>
        <v/>
      </c>
      <c r="I1028" s="52" t="str">
        <f aca="false">IF(AND(ISNUMBER($G1028),$G1028&gt;=MA_SHORT),AVERAGE(INDEX($C$628:$C1028,402-MA_SHORT):$C1028),"")</f>
        <v/>
      </c>
      <c r="J1028" s="52" t="str">
        <f aca="false">IF(AND(ISNUMBER($G1028),$G1028&gt;=MA_MED),AVERAGE(INDEX($C$628:$C1028,402-MA_MED):$C1028),"")</f>
        <v/>
      </c>
      <c r="K1028" s="52" t="str">
        <f aca="false">IF(AND(ISNUMBER($G1028),$G1028&gt;=MA_LONG2),AVERAGE(INDEX($C$628:$C1028,402-MA_LONG2):$C1028),"")</f>
        <v/>
      </c>
      <c r="L1028" s="53" t="str">
        <f aca="false">IF(AND(ISNUMBER($G1028),$G1028&gt;=21),STDEV(INDEX($H$968:$H1028,62-20):$H1028)*SQRT(245),"")</f>
        <v/>
      </c>
      <c r="M1028" s="52" t="str">
        <f aca="false">IF(AND(ISNUMBER($G1028),$G1028&gt;=60),MAX(INDEX($D$828:$D1028,202-60):$D1028),"")</f>
        <v/>
      </c>
      <c r="N1028" s="52" t="str">
        <f aca="false">IF(AND(ISNUMBER($G1028),$G1028&gt;=60),MIN(INDEX($E$828:$E1028,202-60):$E1028),"")</f>
        <v/>
      </c>
      <c r="O1028" s="53" t="str">
        <f aca="false">IF(OR(NOT(ISNUMBER($C1028)),NOT(ISNUMBER($M1028)),$M1028=0),"",$C1028/$M1028-1)</f>
        <v/>
      </c>
    </row>
    <row r="1029" customFormat="false" ht="15" hidden="false" customHeight="false" outlineLevel="0" collapsed="false">
      <c r="A1029" s="55"/>
      <c r="B1029" s="56"/>
      <c r="C1029" s="57"/>
      <c r="D1029" s="56"/>
      <c r="E1029" s="56"/>
      <c r="F1029" s="56"/>
      <c r="G1029" s="50" t="str">
        <f aca="false">IF($A1029="","",IF(ISNUMBER($G1028),$G1028+1,1))</f>
        <v/>
      </c>
      <c r="H1029" s="51" t="str">
        <f aca="false">IF(OR(NOT(ISNUMBER($G1029)),$G1029&lt;2,NOT(ISNUMBER($C1028)),$C1028=0),"",$C1029/$C1028-1)</f>
        <v/>
      </c>
      <c r="I1029" s="52" t="str">
        <f aca="false">IF(AND(ISNUMBER($G1029),$G1029&gt;=MA_SHORT),AVERAGE(INDEX($C$629:$C1029,402-MA_SHORT):$C1029),"")</f>
        <v/>
      </c>
      <c r="J1029" s="52" t="str">
        <f aca="false">IF(AND(ISNUMBER($G1029),$G1029&gt;=MA_MED),AVERAGE(INDEX($C$629:$C1029,402-MA_MED):$C1029),"")</f>
        <v/>
      </c>
      <c r="K1029" s="52" t="str">
        <f aca="false">IF(AND(ISNUMBER($G1029),$G1029&gt;=MA_LONG2),AVERAGE(INDEX($C$629:$C1029,402-MA_LONG2):$C1029),"")</f>
        <v/>
      </c>
      <c r="L1029" s="53" t="str">
        <f aca="false">IF(AND(ISNUMBER($G1029),$G1029&gt;=21),STDEV(INDEX($H$969:$H1029,62-20):$H1029)*SQRT(245),"")</f>
        <v/>
      </c>
      <c r="M1029" s="52" t="str">
        <f aca="false">IF(AND(ISNUMBER($G1029),$G1029&gt;=60),MAX(INDEX($D$829:$D1029,202-60):$D1029),"")</f>
        <v/>
      </c>
      <c r="N1029" s="52" t="str">
        <f aca="false">IF(AND(ISNUMBER($G1029),$G1029&gt;=60),MIN(INDEX($E$829:$E1029,202-60):$E1029),"")</f>
        <v/>
      </c>
      <c r="O1029" s="53" t="str">
        <f aca="false">IF(OR(NOT(ISNUMBER($C1029)),NOT(ISNUMBER($M1029)),$M1029=0),"",$C1029/$M1029-1)</f>
        <v/>
      </c>
    </row>
    <row r="1030" customFormat="false" ht="15" hidden="false" customHeight="false" outlineLevel="0" collapsed="false">
      <c r="A1030" s="55"/>
      <c r="B1030" s="56"/>
      <c r="C1030" s="57"/>
      <c r="D1030" s="56"/>
      <c r="E1030" s="56"/>
      <c r="F1030" s="56"/>
      <c r="G1030" s="50" t="str">
        <f aca="false">IF($A1030="","",IF(ISNUMBER($G1029),$G1029+1,1))</f>
        <v/>
      </c>
      <c r="H1030" s="51" t="str">
        <f aca="false">IF(OR(NOT(ISNUMBER($G1030)),$G1030&lt;2,NOT(ISNUMBER($C1029)),$C1029=0),"",$C1030/$C1029-1)</f>
        <v/>
      </c>
      <c r="I1030" s="52" t="str">
        <f aca="false">IF(AND(ISNUMBER($G1030),$G1030&gt;=MA_SHORT),AVERAGE(INDEX($C$630:$C1030,402-MA_SHORT):$C1030),"")</f>
        <v/>
      </c>
      <c r="J1030" s="52" t="str">
        <f aca="false">IF(AND(ISNUMBER($G1030),$G1030&gt;=MA_MED),AVERAGE(INDEX($C$630:$C1030,402-MA_MED):$C1030),"")</f>
        <v/>
      </c>
      <c r="K1030" s="52" t="str">
        <f aca="false">IF(AND(ISNUMBER($G1030),$G1030&gt;=MA_LONG2),AVERAGE(INDEX($C$630:$C1030,402-MA_LONG2):$C1030),"")</f>
        <v/>
      </c>
      <c r="L1030" s="53" t="str">
        <f aca="false">IF(AND(ISNUMBER($G1030),$G1030&gt;=21),STDEV(INDEX($H$970:$H1030,62-20):$H1030)*SQRT(245),"")</f>
        <v/>
      </c>
      <c r="M1030" s="52" t="str">
        <f aca="false">IF(AND(ISNUMBER($G1030),$G1030&gt;=60),MAX(INDEX($D$830:$D1030,202-60):$D1030),"")</f>
        <v/>
      </c>
      <c r="N1030" s="52" t="str">
        <f aca="false">IF(AND(ISNUMBER($G1030),$G1030&gt;=60),MIN(INDEX($E$830:$E1030,202-60):$E1030),"")</f>
        <v/>
      </c>
      <c r="O1030" s="53" t="str">
        <f aca="false">IF(OR(NOT(ISNUMBER($C1030)),NOT(ISNUMBER($M1030)),$M1030=0),"",$C1030/$M1030-1)</f>
        <v/>
      </c>
    </row>
    <row r="1031" customFormat="false" ht="15" hidden="false" customHeight="false" outlineLevel="0" collapsed="false">
      <c r="A1031" s="55"/>
      <c r="B1031" s="56"/>
      <c r="C1031" s="57"/>
      <c r="D1031" s="56"/>
      <c r="E1031" s="56"/>
      <c r="F1031" s="56"/>
      <c r="G1031" s="50" t="str">
        <f aca="false">IF($A1031="","",IF(ISNUMBER($G1030),$G1030+1,1))</f>
        <v/>
      </c>
      <c r="H1031" s="51" t="str">
        <f aca="false">IF(OR(NOT(ISNUMBER($G1031)),$G1031&lt;2,NOT(ISNUMBER($C1030)),$C1030=0),"",$C1031/$C1030-1)</f>
        <v/>
      </c>
      <c r="I1031" s="52" t="str">
        <f aca="false">IF(AND(ISNUMBER($G1031),$G1031&gt;=MA_SHORT),AVERAGE(INDEX($C$631:$C1031,402-MA_SHORT):$C1031),"")</f>
        <v/>
      </c>
      <c r="J1031" s="52" t="str">
        <f aca="false">IF(AND(ISNUMBER($G1031),$G1031&gt;=MA_MED),AVERAGE(INDEX($C$631:$C1031,402-MA_MED):$C1031),"")</f>
        <v/>
      </c>
      <c r="K1031" s="52" t="str">
        <f aca="false">IF(AND(ISNUMBER($G1031),$G1031&gt;=MA_LONG2),AVERAGE(INDEX($C$631:$C1031,402-MA_LONG2):$C1031),"")</f>
        <v/>
      </c>
      <c r="L1031" s="53" t="str">
        <f aca="false">IF(AND(ISNUMBER($G1031),$G1031&gt;=21),STDEV(INDEX($H$971:$H1031,62-20):$H1031)*SQRT(245),"")</f>
        <v/>
      </c>
      <c r="M1031" s="52" t="str">
        <f aca="false">IF(AND(ISNUMBER($G1031),$G1031&gt;=60),MAX(INDEX($D$831:$D1031,202-60):$D1031),"")</f>
        <v/>
      </c>
      <c r="N1031" s="52" t="str">
        <f aca="false">IF(AND(ISNUMBER($G1031),$G1031&gt;=60),MIN(INDEX($E$831:$E1031,202-60):$E1031),"")</f>
        <v/>
      </c>
      <c r="O1031" s="53" t="str">
        <f aca="false">IF(OR(NOT(ISNUMBER($C1031)),NOT(ISNUMBER($M1031)),$M1031=0),"",$C1031/$M1031-1)</f>
        <v/>
      </c>
    </row>
    <row r="1032" customFormat="false" ht="15" hidden="false" customHeight="false" outlineLevel="0" collapsed="false">
      <c r="A1032" s="55"/>
      <c r="B1032" s="56"/>
      <c r="C1032" s="57"/>
      <c r="D1032" s="56"/>
      <c r="E1032" s="56"/>
      <c r="F1032" s="56"/>
      <c r="G1032" s="50" t="str">
        <f aca="false">IF($A1032="","",IF(ISNUMBER($G1031),$G1031+1,1))</f>
        <v/>
      </c>
      <c r="H1032" s="51" t="str">
        <f aca="false">IF(OR(NOT(ISNUMBER($G1032)),$G1032&lt;2,NOT(ISNUMBER($C1031)),$C1031=0),"",$C1032/$C1031-1)</f>
        <v/>
      </c>
      <c r="I1032" s="52" t="str">
        <f aca="false">IF(AND(ISNUMBER($G1032),$G1032&gt;=MA_SHORT),AVERAGE(INDEX($C$632:$C1032,402-MA_SHORT):$C1032),"")</f>
        <v/>
      </c>
      <c r="J1032" s="52" t="str">
        <f aca="false">IF(AND(ISNUMBER($G1032),$G1032&gt;=MA_MED),AVERAGE(INDEX($C$632:$C1032,402-MA_MED):$C1032),"")</f>
        <v/>
      </c>
      <c r="K1032" s="52" t="str">
        <f aca="false">IF(AND(ISNUMBER($G1032),$G1032&gt;=MA_LONG2),AVERAGE(INDEX($C$632:$C1032,402-MA_LONG2):$C1032),"")</f>
        <v/>
      </c>
      <c r="L1032" s="53" t="str">
        <f aca="false">IF(AND(ISNUMBER($G1032),$G1032&gt;=21),STDEV(INDEX($H$972:$H1032,62-20):$H1032)*SQRT(245),"")</f>
        <v/>
      </c>
      <c r="M1032" s="52" t="str">
        <f aca="false">IF(AND(ISNUMBER($G1032),$G1032&gt;=60),MAX(INDEX($D$832:$D1032,202-60):$D1032),"")</f>
        <v/>
      </c>
      <c r="N1032" s="52" t="str">
        <f aca="false">IF(AND(ISNUMBER($G1032),$G1032&gt;=60),MIN(INDEX($E$832:$E1032,202-60):$E1032),"")</f>
        <v/>
      </c>
      <c r="O1032" s="53" t="str">
        <f aca="false">IF(OR(NOT(ISNUMBER($C1032)),NOT(ISNUMBER($M1032)),$M1032=0),"",$C1032/$M1032-1)</f>
        <v/>
      </c>
    </row>
    <row r="1033" customFormat="false" ht="15" hidden="false" customHeight="false" outlineLevel="0" collapsed="false">
      <c r="A1033" s="55"/>
      <c r="B1033" s="56"/>
      <c r="C1033" s="57"/>
      <c r="D1033" s="56"/>
      <c r="E1033" s="56"/>
      <c r="F1033" s="56"/>
      <c r="G1033" s="50" t="str">
        <f aca="false">IF($A1033="","",IF(ISNUMBER($G1032),$G1032+1,1))</f>
        <v/>
      </c>
      <c r="H1033" s="51" t="str">
        <f aca="false">IF(OR(NOT(ISNUMBER($G1033)),$G1033&lt;2,NOT(ISNUMBER($C1032)),$C1032=0),"",$C1033/$C1032-1)</f>
        <v/>
      </c>
      <c r="I1033" s="52" t="str">
        <f aca="false">IF(AND(ISNUMBER($G1033),$G1033&gt;=MA_SHORT),AVERAGE(INDEX($C$633:$C1033,402-MA_SHORT):$C1033),"")</f>
        <v/>
      </c>
      <c r="J1033" s="52" t="str">
        <f aca="false">IF(AND(ISNUMBER($G1033),$G1033&gt;=MA_MED),AVERAGE(INDEX($C$633:$C1033,402-MA_MED):$C1033),"")</f>
        <v/>
      </c>
      <c r="K1033" s="52" t="str">
        <f aca="false">IF(AND(ISNUMBER($G1033),$G1033&gt;=MA_LONG2),AVERAGE(INDEX($C$633:$C1033,402-MA_LONG2):$C1033),"")</f>
        <v/>
      </c>
      <c r="L1033" s="53" t="str">
        <f aca="false">IF(AND(ISNUMBER($G1033),$G1033&gt;=21),STDEV(INDEX($H$973:$H1033,62-20):$H1033)*SQRT(245),"")</f>
        <v/>
      </c>
      <c r="M1033" s="52" t="str">
        <f aca="false">IF(AND(ISNUMBER($G1033),$G1033&gt;=60),MAX(INDEX($D$833:$D1033,202-60):$D1033),"")</f>
        <v/>
      </c>
      <c r="N1033" s="52" t="str">
        <f aca="false">IF(AND(ISNUMBER($G1033),$G1033&gt;=60),MIN(INDEX($E$833:$E1033,202-60):$E1033),"")</f>
        <v/>
      </c>
      <c r="O1033" s="53" t="str">
        <f aca="false">IF(OR(NOT(ISNUMBER($C1033)),NOT(ISNUMBER($M1033)),$M1033=0),"",$C1033/$M1033-1)</f>
        <v/>
      </c>
    </row>
    <row r="1034" customFormat="false" ht="15" hidden="false" customHeight="false" outlineLevel="0" collapsed="false">
      <c r="A1034" s="55"/>
      <c r="B1034" s="56"/>
      <c r="C1034" s="57"/>
      <c r="D1034" s="56"/>
      <c r="E1034" s="56"/>
      <c r="F1034" s="56"/>
      <c r="G1034" s="50" t="str">
        <f aca="false">IF($A1034="","",IF(ISNUMBER($G1033),$G1033+1,1))</f>
        <v/>
      </c>
      <c r="H1034" s="51" t="str">
        <f aca="false">IF(OR(NOT(ISNUMBER($G1034)),$G1034&lt;2,NOT(ISNUMBER($C1033)),$C1033=0),"",$C1034/$C1033-1)</f>
        <v/>
      </c>
      <c r="I1034" s="52" t="str">
        <f aca="false">IF(AND(ISNUMBER($G1034),$G1034&gt;=MA_SHORT),AVERAGE(INDEX($C$634:$C1034,402-MA_SHORT):$C1034),"")</f>
        <v/>
      </c>
      <c r="J1034" s="52" t="str">
        <f aca="false">IF(AND(ISNUMBER($G1034),$G1034&gt;=MA_MED),AVERAGE(INDEX($C$634:$C1034,402-MA_MED):$C1034),"")</f>
        <v/>
      </c>
      <c r="K1034" s="52" t="str">
        <f aca="false">IF(AND(ISNUMBER($G1034),$G1034&gt;=MA_LONG2),AVERAGE(INDEX($C$634:$C1034,402-MA_LONG2):$C1034),"")</f>
        <v/>
      </c>
      <c r="L1034" s="53" t="str">
        <f aca="false">IF(AND(ISNUMBER($G1034),$G1034&gt;=21),STDEV(INDEX($H$974:$H1034,62-20):$H1034)*SQRT(245),"")</f>
        <v/>
      </c>
      <c r="M1034" s="52" t="str">
        <f aca="false">IF(AND(ISNUMBER($G1034),$G1034&gt;=60),MAX(INDEX($D$834:$D1034,202-60):$D1034),"")</f>
        <v/>
      </c>
      <c r="N1034" s="52" t="str">
        <f aca="false">IF(AND(ISNUMBER($G1034),$G1034&gt;=60),MIN(INDEX($E$834:$E1034,202-60):$E1034),"")</f>
        <v/>
      </c>
      <c r="O1034" s="53" t="str">
        <f aca="false">IF(OR(NOT(ISNUMBER($C1034)),NOT(ISNUMBER($M1034)),$M1034=0),"",$C1034/$M1034-1)</f>
        <v/>
      </c>
    </row>
    <row r="1035" customFormat="false" ht="15" hidden="false" customHeight="false" outlineLevel="0" collapsed="false">
      <c r="A1035" s="55"/>
      <c r="B1035" s="56"/>
      <c r="C1035" s="57"/>
      <c r="D1035" s="56"/>
      <c r="E1035" s="56"/>
      <c r="F1035" s="56"/>
      <c r="G1035" s="50" t="str">
        <f aca="false">IF($A1035="","",IF(ISNUMBER($G1034),$G1034+1,1))</f>
        <v/>
      </c>
      <c r="H1035" s="51" t="str">
        <f aca="false">IF(OR(NOT(ISNUMBER($G1035)),$G1035&lt;2,NOT(ISNUMBER($C1034)),$C1034=0),"",$C1035/$C1034-1)</f>
        <v/>
      </c>
      <c r="I1035" s="52" t="str">
        <f aca="false">IF(AND(ISNUMBER($G1035),$G1035&gt;=MA_SHORT),AVERAGE(INDEX($C$635:$C1035,402-MA_SHORT):$C1035),"")</f>
        <v/>
      </c>
      <c r="J1035" s="52" t="str">
        <f aca="false">IF(AND(ISNUMBER($G1035),$G1035&gt;=MA_MED),AVERAGE(INDEX($C$635:$C1035,402-MA_MED):$C1035),"")</f>
        <v/>
      </c>
      <c r="K1035" s="52" t="str">
        <f aca="false">IF(AND(ISNUMBER($G1035),$G1035&gt;=MA_LONG2),AVERAGE(INDEX($C$635:$C1035,402-MA_LONG2):$C1035),"")</f>
        <v/>
      </c>
      <c r="L1035" s="53" t="str">
        <f aca="false">IF(AND(ISNUMBER($G1035),$G1035&gt;=21),STDEV(INDEX($H$975:$H1035,62-20):$H1035)*SQRT(245),"")</f>
        <v/>
      </c>
      <c r="M1035" s="52" t="str">
        <f aca="false">IF(AND(ISNUMBER($G1035),$G1035&gt;=60),MAX(INDEX($D$835:$D1035,202-60):$D1035),"")</f>
        <v/>
      </c>
      <c r="N1035" s="52" t="str">
        <f aca="false">IF(AND(ISNUMBER($G1035),$G1035&gt;=60),MIN(INDEX($E$835:$E1035,202-60):$E1035),"")</f>
        <v/>
      </c>
      <c r="O1035" s="53" t="str">
        <f aca="false">IF(OR(NOT(ISNUMBER($C1035)),NOT(ISNUMBER($M1035)),$M1035=0),"",$C1035/$M1035-1)</f>
        <v/>
      </c>
    </row>
    <row r="1036" customFormat="false" ht="15" hidden="false" customHeight="false" outlineLevel="0" collapsed="false">
      <c r="A1036" s="55"/>
      <c r="B1036" s="56"/>
      <c r="C1036" s="57"/>
      <c r="D1036" s="56"/>
      <c r="E1036" s="56"/>
      <c r="F1036" s="56"/>
      <c r="G1036" s="50" t="str">
        <f aca="false">IF($A1036="","",IF(ISNUMBER($G1035),$G1035+1,1))</f>
        <v/>
      </c>
      <c r="H1036" s="51" t="str">
        <f aca="false">IF(OR(NOT(ISNUMBER($G1036)),$G1036&lt;2,NOT(ISNUMBER($C1035)),$C1035=0),"",$C1036/$C1035-1)</f>
        <v/>
      </c>
      <c r="I1036" s="52" t="str">
        <f aca="false">IF(AND(ISNUMBER($G1036),$G1036&gt;=MA_SHORT),AVERAGE(INDEX($C$636:$C1036,402-MA_SHORT):$C1036),"")</f>
        <v/>
      </c>
      <c r="J1036" s="52" t="str">
        <f aca="false">IF(AND(ISNUMBER($G1036),$G1036&gt;=MA_MED),AVERAGE(INDEX($C$636:$C1036,402-MA_MED):$C1036),"")</f>
        <v/>
      </c>
      <c r="K1036" s="52" t="str">
        <f aca="false">IF(AND(ISNUMBER($G1036),$G1036&gt;=MA_LONG2),AVERAGE(INDEX($C$636:$C1036,402-MA_LONG2):$C1036),"")</f>
        <v/>
      </c>
      <c r="L1036" s="53" t="str">
        <f aca="false">IF(AND(ISNUMBER($G1036),$G1036&gt;=21),STDEV(INDEX($H$976:$H1036,62-20):$H1036)*SQRT(245),"")</f>
        <v/>
      </c>
      <c r="M1036" s="52" t="str">
        <f aca="false">IF(AND(ISNUMBER($G1036),$G1036&gt;=60),MAX(INDEX($D$836:$D1036,202-60):$D1036),"")</f>
        <v/>
      </c>
      <c r="N1036" s="52" t="str">
        <f aca="false">IF(AND(ISNUMBER($G1036),$G1036&gt;=60),MIN(INDEX($E$836:$E1036,202-60):$E1036),"")</f>
        <v/>
      </c>
      <c r="O1036" s="53" t="str">
        <f aca="false">IF(OR(NOT(ISNUMBER($C1036)),NOT(ISNUMBER($M1036)),$M1036=0),"",$C1036/$M1036-1)</f>
        <v/>
      </c>
    </row>
    <row r="1037" customFormat="false" ht="15" hidden="false" customHeight="false" outlineLevel="0" collapsed="false">
      <c r="A1037" s="55"/>
      <c r="B1037" s="56"/>
      <c r="C1037" s="57"/>
      <c r="D1037" s="56"/>
      <c r="E1037" s="56"/>
      <c r="F1037" s="56"/>
      <c r="G1037" s="50" t="str">
        <f aca="false">IF($A1037="","",IF(ISNUMBER($G1036),$G1036+1,1))</f>
        <v/>
      </c>
      <c r="H1037" s="51" t="str">
        <f aca="false">IF(OR(NOT(ISNUMBER($G1037)),$G1037&lt;2,NOT(ISNUMBER($C1036)),$C1036=0),"",$C1037/$C1036-1)</f>
        <v/>
      </c>
      <c r="I1037" s="52" t="str">
        <f aca="false">IF(AND(ISNUMBER($G1037),$G1037&gt;=MA_SHORT),AVERAGE(INDEX($C$637:$C1037,402-MA_SHORT):$C1037),"")</f>
        <v/>
      </c>
      <c r="J1037" s="52" t="str">
        <f aca="false">IF(AND(ISNUMBER($G1037),$G1037&gt;=MA_MED),AVERAGE(INDEX($C$637:$C1037,402-MA_MED):$C1037),"")</f>
        <v/>
      </c>
      <c r="K1037" s="52" t="str">
        <f aca="false">IF(AND(ISNUMBER($G1037),$G1037&gt;=MA_LONG2),AVERAGE(INDEX($C$637:$C1037,402-MA_LONG2):$C1037),"")</f>
        <v/>
      </c>
      <c r="L1037" s="53" t="str">
        <f aca="false">IF(AND(ISNUMBER($G1037),$G1037&gt;=21),STDEV(INDEX($H$977:$H1037,62-20):$H1037)*SQRT(245),"")</f>
        <v/>
      </c>
      <c r="M1037" s="52" t="str">
        <f aca="false">IF(AND(ISNUMBER($G1037),$G1037&gt;=60),MAX(INDEX($D$837:$D1037,202-60):$D1037),"")</f>
        <v/>
      </c>
      <c r="N1037" s="52" t="str">
        <f aca="false">IF(AND(ISNUMBER($G1037),$G1037&gt;=60),MIN(INDEX($E$837:$E1037,202-60):$E1037),"")</f>
        <v/>
      </c>
      <c r="O1037" s="53" t="str">
        <f aca="false">IF(OR(NOT(ISNUMBER($C1037)),NOT(ISNUMBER($M1037)),$M1037=0),"",$C1037/$M1037-1)</f>
        <v/>
      </c>
    </row>
    <row r="1038" customFormat="false" ht="15" hidden="false" customHeight="false" outlineLevel="0" collapsed="false">
      <c r="A1038" s="55"/>
      <c r="B1038" s="56"/>
      <c r="C1038" s="57"/>
      <c r="D1038" s="56"/>
      <c r="E1038" s="56"/>
      <c r="F1038" s="56"/>
      <c r="G1038" s="50" t="str">
        <f aca="false">IF($A1038="","",IF(ISNUMBER($G1037),$G1037+1,1))</f>
        <v/>
      </c>
      <c r="H1038" s="51" t="str">
        <f aca="false">IF(OR(NOT(ISNUMBER($G1038)),$G1038&lt;2,NOT(ISNUMBER($C1037)),$C1037=0),"",$C1038/$C1037-1)</f>
        <v/>
      </c>
      <c r="I1038" s="52" t="str">
        <f aca="false">IF(AND(ISNUMBER($G1038),$G1038&gt;=MA_SHORT),AVERAGE(INDEX($C$638:$C1038,402-MA_SHORT):$C1038),"")</f>
        <v/>
      </c>
      <c r="J1038" s="52" t="str">
        <f aca="false">IF(AND(ISNUMBER($G1038),$G1038&gt;=MA_MED),AVERAGE(INDEX($C$638:$C1038,402-MA_MED):$C1038),"")</f>
        <v/>
      </c>
      <c r="K1038" s="52" t="str">
        <f aca="false">IF(AND(ISNUMBER($G1038),$G1038&gt;=MA_LONG2),AVERAGE(INDEX($C$638:$C1038,402-MA_LONG2):$C1038),"")</f>
        <v/>
      </c>
      <c r="L1038" s="53" t="str">
        <f aca="false">IF(AND(ISNUMBER($G1038),$G1038&gt;=21),STDEV(INDEX($H$978:$H1038,62-20):$H1038)*SQRT(245),"")</f>
        <v/>
      </c>
      <c r="M1038" s="52" t="str">
        <f aca="false">IF(AND(ISNUMBER($G1038),$G1038&gt;=60),MAX(INDEX($D$838:$D1038,202-60):$D1038),"")</f>
        <v/>
      </c>
      <c r="N1038" s="52" t="str">
        <f aca="false">IF(AND(ISNUMBER($G1038),$G1038&gt;=60),MIN(INDEX($E$838:$E1038,202-60):$E1038),"")</f>
        <v/>
      </c>
      <c r="O1038" s="53" t="str">
        <f aca="false">IF(OR(NOT(ISNUMBER($C1038)),NOT(ISNUMBER($M1038)),$M1038=0),"",$C1038/$M1038-1)</f>
        <v/>
      </c>
    </row>
    <row r="1039" customFormat="false" ht="15" hidden="false" customHeight="false" outlineLevel="0" collapsed="false">
      <c r="A1039" s="55"/>
      <c r="B1039" s="56"/>
      <c r="C1039" s="57"/>
      <c r="D1039" s="56"/>
      <c r="E1039" s="56"/>
      <c r="F1039" s="56"/>
      <c r="G1039" s="50" t="str">
        <f aca="false">IF($A1039="","",IF(ISNUMBER($G1038),$G1038+1,1))</f>
        <v/>
      </c>
      <c r="H1039" s="51" t="str">
        <f aca="false">IF(OR(NOT(ISNUMBER($G1039)),$G1039&lt;2,NOT(ISNUMBER($C1038)),$C1038=0),"",$C1039/$C1038-1)</f>
        <v/>
      </c>
      <c r="I1039" s="52" t="str">
        <f aca="false">IF(AND(ISNUMBER($G1039),$G1039&gt;=MA_SHORT),AVERAGE(INDEX($C$639:$C1039,402-MA_SHORT):$C1039),"")</f>
        <v/>
      </c>
      <c r="J1039" s="52" t="str">
        <f aca="false">IF(AND(ISNUMBER($G1039),$G1039&gt;=MA_MED),AVERAGE(INDEX($C$639:$C1039,402-MA_MED):$C1039),"")</f>
        <v/>
      </c>
      <c r="K1039" s="52" t="str">
        <f aca="false">IF(AND(ISNUMBER($G1039),$G1039&gt;=MA_LONG2),AVERAGE(INDEX($C$639:$C1039,402-MA_LONG2):$C1039),"")</f>
        <v/>
      </c>
      <c r="L1039" s="53" t="str">
        <f aca="false">IF(AND(ISNUMBER($G1039),$G1039&gt;=21),STDEV(INDEX($H$979:$H1039,62-20):$H1039)*SQRT(245),"")</f>
        <v/>
      </c>
      <c r="M1039" s="52" t="str">
        <f aca="false">IF(AND(ISNUMBER($G1039),$G1039&gt;=60),MAX(INDEX($D$839:$D1039,202-60):$D1039),"")</f>
        <v/>
      </c>
      <c r="N1039" s="52" t="str">
        <f aca="false">IF(AND(ISNUMBER($G1039),$G1039&gt;=60),MIN(INDEX($E$839:$E1039,202-60):$E1039),"")</f>
        <v/>
      </c>
      <c r="O1039" s="53" t="str">
        <f aca="false">IF(OR(NOT(ISNUMBER($C1039)),NOT(ISNUMBER($M1039)),$M1039=0),"",$C1039/$M1039-1)</f>
        <v/>
      </c>
    </row>
    <row r="1040" customFormat="false" ht="15" hidden="false" customHeight="false" outlineLevel="0" collapsed="false">
      <c r="A1040" s="55"/>
      <c r="B1040" s="56"/>
      <c r="C1040" s="57"/>
      <c r="D1040" s="56"/>
      <c r="E1040" s="56"/>
      <c r="F1040" s="56"/>
      <c r="G1040" s="50" t="str">
        <f aca="false">IF($A1040="","",IF(ISNUMBER($G1039),$G1039+1,1))</f>
        <v/>
      </c>
      <c r="H1040" s="51" t="str">
        <f aca="false">IF(OR(NOT(ISNUMBER($G1040)),$G1040&lt;2,NOT(ISNUMBER($C1039)),$C1039=0),"",$C1040/$C1039-1)</f>
        <v/>
      </c>
      <c r="I1040" s="52" t="str">
        <f aca="false">IF(AND(ISNUMBER($G1040),$G1040&gt;=MA_SHORT),AVERAGE(INDEX($C$640:$C1040,402-MA_SHORT):$C1040),"")</f>
        <v/>
      </c>
      <c r="J1040" s="52" t="str">
        <f aca="false">IF(AND(ISNUMBER($G1040),$G1040&gt;=MA_MED),AVERAGE(INDEX($C$640:$C1040,402-MA_MED):$C1040),"")</f>
        <v/>
      </c>
      <c r="K1040" s="52" t="str">
        <f aca="false">IF(AND(ISNUMBER($G1040),$G1040&gt;=MA_LONG2),AVERAGE(INDEX($C$640:$C1040,402-MA_LONG2):$C1040),"")</f>
        <v/>
      </c>
      <c r="L1040" s="53" t="str">
        <f aca="false">IF(AND(ISNUMBER($G1040),$G1040&gt;=21),STDEV(INDEX($H$980:$H1040,62-20):$H1040)*SQRT(245),"")</f>
        <v/>
      </c>
      <c r="M1040" s="52" t="str">
        <f aca="false">IF(AND(ISNUMBER($G1040),$G1040&gt;=60),MAX(INDEX($D$840:$D1040,202-60):$D1040),"")</f>
        <v/>
      </c>
      <c r="N1040" s="52" t="str">
        <f aca="false">IF(AND(ISNUMBER($G1040),$G1040&gt;=60),MIN(INDEX($E$840:$E1040,202-60):$E1040),"")</f>
        <v/>
      </c>
      <c r="O1040" s="53" t="str">
        <f aca="false">IF(OR(NOT(ISNUMBER($C1040)),NOT(ISNUMBER($M1040)),$M1040=0),"",$C1040/$M1040-1)</f>
        <v/>
      </c>
    </row>
    <row r="1041" customFormat="false" ht="15" hidden="false" customHeight="false" outlineLevel="0" collapsed="false">
      <c r="A1041" s="55"/>
      <c r="B1041" s="56"/>
      <c r="C1041" s="57"/>
      <c r="D1041" s="56"/>
      <c r="E1041" s="56"/>
      <c r="F1041" s="56"/>
      <c r="G1041" s="50" t="str">
        <f aca="false">IF($A1041="","",IF(ISNUMBER($G1040),$G1040+1,1))</f>
        <v/>
      </c>
      <c r="H1041" s="51" t="str">
        <f aca="false">IF(OR(NOT(ISNUMBER($G1041)),$G1041&lt;2,NOT(ISNUMBER($C1040)),$C1040=0),"",$C1041/$C1040-1)</f>
        <v/>
      </c>
      <c r="I1041" s="52" t="str">
        <f aca="false">IF(AND(ISNUMBER($G1041),$G1041&gt;=MA_SHORT),AVERAGE(INDEX($C$641:$C1041,402-MA_SHORT):$C1041),"")</f>
        <v/>
      </c>
      <c r="J1041" s="52" t="str">
        <f aca="false">IF(AND(ISNUMBER($G1041),$G1041&gt;=MA_MED),AVERAGE(INDEX($C$641:$C1041,402-MA_MED):$C1041),"")</f>
        <v/>
      </c>
      <c r="K1041" s="52" t="str">
        <f aca="false">IF(AND(ISNUMBER($G1041),$G1041&gt;=MA_LONG2),AVERAGE(INDEX($C$641:$C1041,402-MA_LONG2):$C1041),"")</f>
        <v/>
      </c>
      <c r="L1041" s="53" t="str">
        <f aca="false">IF(AND(ISNUMBER($G1041),$G1041&gt;=21),STDEV(INDEX($H$981:$H1041,62-20):$H1041)*SQRT(245),"")</f>
        <v/>
      </c>
      <c r="M1041" s="52" t="str">
        <f aca="false">IF(AND(ISNUMBER($G1041),$G1041&gt;=60),MAX(INDEX($D$841:$D1041,202-60):$D1041),"")</f>
        <v/>
      </c>
      <c r="N1041" s="52" t="str">
        <f aca="false">IF(AND(ISNUMBER($G1041),$G1041&gt;=60),MIN(INDEX($E$841:$E1041,202-60):$E1041),"")</f>
        <v/>
      </c>
      <c r="O1041" s="53" t="str">
        <f aca="false">IF(OR(NOT(ISNUMBER($C1041)),NOT(ISNUMBER($M1041)),$M1041=0),"",$C1041/$M1041-1)</f>
        <v/>
      </c>
    </row>
    <row r="1042" customFormat="false" ht="15" hidden="false" customHeight="false" outlineLevel="0" collapsed="false">
      <c r="A1042" s="55"/>
      <c r="B1042" s="56"/>
      <c r="C1042" s="57"/>
      <c r="D1042" s="56"/>
      <c r="E1042" s="56"/>
      <c r="F1042" s="56"/>
      <c r="G1042" s="50" t="str">
        <f aca="false">IF($A1042="","",IF(ISNUMBER($G1041),$G1041+1,1))</f>
        <v/>
      </c>
      <c r="H1042" s="51" t="str">
        <f aca="false">IF(OR(NOT(ISNUMBER($G1042)),$G1042&lt;2,NOT(ISNUMBER($C1041)),$C1041=0),"",$C1042/$C1041-1)</f>
        <v/>
      </c>
      <c r="I1042" s="52" t="str">
        <f aca="false">IF(AND(ISNUMBER($G1042),$G1042&gt;=MA_SHORT),AVERAGE(INDEX($C$642:$C1042,402-MA_SHORT):$C1042),"")</f>
        <v/>
      </c>
      <c r="J1042" s="52" t="str">
        <f aca="false">IF(AND(ISNUMBER($G1042),$G1042&gt;=MA_MED),AVERAGE(INDEX($C$642:$C1042,402-MA_MED):$C1042),"")</f>
        <v/>
      </c>
      <c r="K1042" s="52" t="str">
        <f aca="false">IF(AND(ISNUMBER($G1042),$G1042&gt;=MA_LONG2),AVERAGE(INDEX($C$642:$C1042,402-MA_LONG2):$C1042),"")</f>
        <v/>
      </c>
      <c r="L1042" s="53" t="str">
        <f aca="false">IF(AND(ISNUMBER($G1042),$G1042&gt;=21),STDEV(INDEX($H$982:$H1042,62-20):$H1042)*SQRT(245),"")</f>
        <v/>
      </c>
      <c r="M1042" s="52" t="str">
        <f aca="false">IF(AND(ISNUMBER($G1042),$G1042&gt;=60),MAX(INDEX($D$842:$D1042,202-60):$D1042),"")</f>
        <v/>
      </c>
      <c r="N1042" s="52" t="str">
        <f aca="false">IF(AND(ISNUMBER($G1042),$G1042&gt;=60),MIN(INDEX($E$842:$E1042,202-60):$E1042),"")</f>
        <v/>
      </c>
      <c r="O1042" s="53" t="str">
        <f aca="false">IF(OR(NOT(ISNUMBER($C1042)),NOT(ISNUMBER($M1042)),$M1042=0),"",$C1042/$M1042-1)</f>
        <v/>
      </c>
    </row>
    <row r="1043" customFormat="false" ht="15" hidden="false" customHeight="false" outlineLevel="0" collapsed="false">
      <c r="A1043" s="55"/>
      <c r="B1043" s="56"/>
      <c r="C1043" s="57"/>
      <c r="D1043" s="56"/>
      <c r="E1043" s="56"/>
      <c r="F1043" s="56"/>
      <c r="G1043" s="50" t="str">
        <f aca="false">IF($A1043="","",IF(ISNUMBER($G1042),$G1042+1,1))</f>
        <v/>
      </c>
      <c r="H1043" s="51" t="str">
        <f aca="false">IF(OR(NOT(ISNUMBER($G1043)),$G1043&lt;2,NOT(ISNUMBER($C1042)),$C1042=0),"",$C1043/$C1042-1)</f>
        <v/>
      </c>
      <c r="I1043" s="52" t="str">
        <f aca="false">IF(AND(ISNUMBER($G1043),$G1043&gt;=MA_SHORT),AVERAGE(INDEX($C$643:$C1043,402-MA_SHORT):$C1043),"")</f>
        <v/>
      </c>
      <c r="J1043" s="52" t="str">
        <f aca="false">IF(AND(ISNUMBER($G1043),$G1043&gt;=MA_MED),AVERAGE(INDEX($C$643:$C1043,402-MA_MED):$C1043),"")</f>
        <v/>
      </c>
      <c r="K1043" s="52" t="str">
        <f aca="false">IF(AND(ISNUMBER($G1043),$G1043&gt;=MA_LONG2),AVERAGE(INDEX($C$643:$C1043,402-MA_LONG2):$C1043),"")</f>
        <v/>
      </c>
      <c r="L1043" s="53" t="str">
        <f aca="false">IF(AND(ISNUMBER($G1043),$G1043&gt;=21),STDEV(INDEX($H$983:$H1043,62-20):$H1043)*SQRT(245),"")</f>
        <v/>
      </c>
      <c r="M1043" s="52" t="str">
        <f aca="false">IF(AND(ISNUMBER($G1043),$G1043&gt;=60),MAX(INDEX($D$843:$D1043,202-60):$D1043),"")</f>
        <v/>
      </c>
      <c r="N1043" s="52" t="str">
        <f aca="false">IF(AND(ISNUMBER($G1043),$G1043&gt;=60),MIN(INDEX($E$843:$E1043,202-60):$E1043),"")</f>
        <v/>
      </c>
      <c r="O1043" s="53" t="str">
        <f aca="false">IF(OR(NOT(ISNUMBER($C1043)),NOT(ISNUMBER($M1043)),$M1043=0),"",$C1043/$M1043-1)</f>
        <v/>
      </c>
    </row>
    <row r="1044" customFormat="false" ht="15" hidden="false" customHeight="false" outlineLevel="0" collapsed="false">
      <c r="A1044" s="55"/>
      <c r="B1044" s="56"/>
      <c r="C1044" s="57"/>
      <c r="D1044" s="56"/>
      <c r="E1044" s="56"/>
      <c r="F1044" s="56"/>
      <c r="G1044" s="50" t="str">
        <f aca="false">IF($A1044="","",IF(ISNUMBER($G1043),$G1043+1,1))</f>
        <v/>
      </c>
      <c r="H1044" s="51" t="str">
        <f aca="false">IF(OR(NOT(ISNUMBER($G1044)),$G1044&lt;2,NOT(ISNUMBER($C1043)),$C1043=0),"",$C1044/$C1043-1)</f>
        <v/>
      </c>
      <c r="I1044" s="52" t="str">
        <f aca="false">IF(AND(ISNUMBER($G1044),$G1044&gt;=MA_SHORT),AVERAGE(INDEX($C$644:$C1044,402-MA_SHORT):$C1044),"")</f>
        <v/>
      </c>
      <c r="J1044" s="52" t="str">
        <f aca="false">IF(AND(ISNUMBER($G1044),$G1044&gt;=MA_MED),AVERAGE(INDEX($C$644:$C1044,402-MA_MED):$C1044),"")</f>
        <v/>
      </c>
      <c r="K1044" s="52" t="str">
        <f aca="false">IF(AND(ISNUMBER($G1044),$G1044&gt;=MA_LONG2),AVERAGE(INDEX($C$644:$C1044,402-MA_LONG2):$C1044),"")</f>
        <v/>
      </c>
      <c r="L1044" s="53" t="str">
        <f aca="false">IF(AND(ISNUMBER($G1044),$G1044&gt;=21),STDEV(INDEX($H$984:$H1044,62-20):$H1044)*SQRT(245),"")</f>
        <v/>
      </c>
      <c r="M1044" s="52" t="str">
        <f aca="false">IF(AND(ISNUMBER($G1044),$G1044&gt;=60),MAX(INDEX($D$844:$D1044,202-60):$D1044),"")</f>
        <v/>
      </c>
      <c r="N1044" s="52" t="str">
        <f aca="false">IF(AND(ISNUMBER($G1044),$G1044&gt;=60),MIN(INDEX($E$844:$E1044,202-60):$E1044),"")</f>
        <v/>
      </c>
      <c r="O1044" s="53" t="str">
        <f aca="false">IF(OR(NOT(ISNUMBER($C1044)),NOT(ISNUMBER($M1044)),$M1044=0),"",$C1044/$M1044-1)</f>
        <v/>
      </c>
    </row>
    <row r="1045" customFormat="false" ht="15" hidden="false" customHeight="false" outlineLevel="0" collapsed="false">
      <c r="A1045" s="55"/>
      <c r="B1045" s="56"/>
      <c r="C1045" s="57"/>
      <c r="D1045" s="56"/>
      <c r="E1045" s="56"/>
      <c r="F1045" s="56"/>
      <c r="G1045" s="50" t="str">
        <f aca="false">IF($A1045="","",IF(ISNUMBER($G1044),$G1044+1,1))</f>
        <v/>
      </c>
      <c r="H1045" s="51" t="str">
        <f aca="false">IF(OR(NOT(ISNUMBER($G1045)),$G1045&lt;2,NOT(ISNUMBER($C1044)),$C1044=0),"",$C1045/$C1044-1)</f>
        <v/>
      </c>
      <c r="I1045" s="52" t="str">
        <f aca="false">IF(AND(ISNUMBER($G1045),$G1045&gt;=MA_SHORT),AVERAGE(INDEX($C$645:$C1045,402-MA_SHORT):$C1045),"")</f>
        <v/>
      </c>
      <c r="J1045" s="52" t="str">
        <f aca="false">IF(AND(ISNUMBER($G1045),$G1045&gt;=MA_MED),AVERAGE(INDEX($C$645:$C1045,402-MA_MED):$C1045),"")</f>
        <v/>
      </c>
      <c r="K1045" s="52" t="str">
        <f aca="false">IF(AND(ISNUMBER($G1045),$G1045&gt;=MA_LONG2),AVERAGE(INDEX($C$645:$C1045,402-MA_LONG2):$C1045),"")</f>
        <v/>
      </c>
      <c r="L1045" s="53" t="str">
        <f aca="false">IF(AND(ISNUMBER($G1045),$G1045&gt;=21),STDEV(INDEX($H$985:$H1045,62-20):$H1045)*SQRT(245),"")</f>
        <v/>
      </c>
      <c r="M1045" s="52" t="str">
        <f aca="false">IF(AND(ISNUMBER($G1045),$G1045&gt;=60),MAX(INDEX($D$845:$D1045,202-60):$D1045),"")</f>
        <v/>
      </c>
      <c r="N1045" s="52" t="str">
        <f aca="false">IF(AND(ISNUMBER($G1045),$G1045&gt;=60),MIN(INDEX($E$845:$E1045,202-60):$E1045),"")</f>
        <v/>
      </c>
      <c r="O1045" s="53" t="str">
        <f aca="false">IF(OR(NOT(ISNUMBER($C1045)),NOT(ISNUMBER($M1045)),$M1045=0),"",$C1045/$M1045-1)</f>
        <v/>
      </c>
    </row>
    <row r="1046" customFormat="false" ht="15" hidden="false" customHeight="false" outlineLevel="0" collapsed="false">
      <c r="A1046" s="55"/>
      <c r="B1046" s="56"/>
      <c r="C1046" s="57"/>
      <c r="D1046" s="56"/>
      <c r="E1046" s="56"/>
      <c r="F1046" s="56"/>
      <c r="G1046" s="50" t="str">
        <f aca="false">IF($A1046="","",IF(ISNUMBER($G1045),$G1045+1,1))</f>
        <v/>
      </c>
      <c r="H1046" s="51" t="str">
        <f aca="false">IF(OR(NOT(ISNUMBER($G1046)),$G1046&lt;2,NOT(ISNUMBER($C1045)),$C1045=0),"",$C1046/$C1045-1)</f>
        <v/>
      </c>
      <c r="I1046" s="52" t="str">
        <f aca="false">IF(AND(ISNUMBER($G1046),$G1046&gt;=MA_SHORT),AVERAGE(INDEX($C$646:$C1046,402-MA_SHORT):$C1046),"")</f>
        <v/>
      </c>
      <c r="J1046" s="52" t="str">
        <f aca="false">IF(AND(ISNUMBER($G1046),$G1046&gt;=MA_MED),AVERAGE(INDEX($C$646:$C1046,402-MA_MED):$C1046),"")</f>
        <v/>
      </c>
      <c r="K1046" s="52" t="str">
        <f aca="false">IF(AND(ISNUMBER($G1046),$G1046&gt;=MA_LONG2),AVERAGE(INDEX($C$646:$C1046,402-MA_LONG2):$C1046),"")</f>
        <v/>
      </c>
      <c r="L1046" s="53" t="str">
        <f aca="false">IF(AND(ISNUMBER($G1046),$G1046&gt;=21),STDEV(INDEX($H$986:$H1046,62-20):$H1046)*SQRT(245),"")</f>
        <v/>
      </c>
      <c r="M1046" s="52" t="str">
        <f aca="false">IF(AND(ISNUMBER($G1046),$G1046&gt;=60),MAX(INDEX($D$846:$D1046,202-60):$D1046),"")</f>
        <v/>
      </c>
      <c r="N1046" s="52" t="str">
        <f aca="false">IF(AND(ISNUMBER($G1046),$G1046&gt;=60),MIN(INDEX($E$846:$E1046,202-60):$E1046),"")</f>
        <v/>
      </c>
      <c r="O1046" s="53" t="str">
        <f aca="false">IF(OR(NOT(ISNUMBER($C1046)),NOT(ISNUMBER($M1046)),$M1046=0),"",$C1046/$M1046-1)</f>
        <v/>
      </c>
    </row>
    <row r="1047" customFormat="false" ht="15" hidden="false" customHeight="false" outlineLevel="0" collapsed="false">
      <c r="A1047" s="55"/>
      <c r="B1047" s="56"/>
      <c r="C1047" s="57"/>
      <c r="D1047" s="56"/>
      <c r="E1047" s="56"/>
      <c r="F1047" s="56"/>
      <c r="G1047" s="50" t="str">
        <f aca="false">IF($A1047="","",IF(ISNUMBER($G1046),$G1046+1,1))</f>
        <v/>
      </c>
      <c r="H1047" s="51" t="str">
        <f aca="false">IF(OR(NOT(ISNUMBER($G1047)),$G1047&lt;2,NOT(ISNUMBER($C1046)),$C1046=0),"",$C1047/$C1046-1)</f>
        <v/>
      </c>
      <c r="I1047" s="52" t="str">
        <f aca="false">IF(AND(ISNUMBER($G1047),$G1047&gt;=MA_SHORT),AVERAGE(INDEX($C$647:$C1047,402-MA_SHORT):$C1047),"")</f>
        <v/>
      </c>
      <c r="J1047" s="52" t="str">
        <f aca="false">IF(AND(ISNUMBER($G1047),$G1047&gt;=MA_MED),AVERAGE(INDEX($C$647:$C1047,402-MA_MED):$C1047),"")</f>
        <v/>
      </c>
      <c r="K1047" s="52" t="str">
        <f aca="false">IF(AND(ISNUMBER($G1047),$G1047&gt;=MA_LONG2),AVERAGE(INDEX($C$647:$C1047,402-MA_LONG2):$C1047),"")</f>
        <v/>
      </c>
      <c r="L1047" s="53" t="str">
        <f aca="false">IF(AND(ISNUMBER($G1047),$G1047&gt;=21),STDEV(INDEX($H$987:$H1047,62-20):$H1047)*SQRT(245),"")</f>
        <v/>
      </c>
      <c r="M1047" s="52" t="str">
        <f aca="false">IF(AND(ISNUMBER($G1047),$G1047&gt;=60),MAX(INDEX($D$847:$D1047,202-60):$D1047),"")</f>
        <v/>
      </c>
      <c r="N1047" s="52" t="str">
        <f aca="false">IF(AND(ISNUMBER($G1047),$G1047&gt;=60),MIN(INDEX($E$847:$E1047,202-60):$E1047),"")</f>
        <v/>
      </c>
      <c r="O1047" s="53" t="str">
        <f aca="false">IF(OR(NOT(ISNUMBER($C1047)),NOT(ISNUMBER($M1047)),$M1047=0),"",$C1047/$M1047-1)</f>
        <v/>
      </c>
    </row>
    <row r="1048" customFormat="false" ht="15" hidden="false" customHeight="false" outlineLevel="0" collapsed="false">
      <c r="A1048" s="55"/>
      <c r="B1048" s="56"/>
      <c r="C1048" s="57"/>
      <c r="D1048" s="56"/>
      <c r="E1048" s="56"/>
      <c r="F1048" s="56"/>
      <c r="G1048" s="50" t="str">
        <f aca="false">IF($A1048="","",IF(ISNUMBER($G1047),$G1047+1,1))</f>
        <v/>
      </c>
      <c r="H1048" s="51" t="str">
        <f aca="false">IF(OR(NOT(ISNUMBER($G1048)),$G1048&lt;2,NOT(ISNUMBER($C1047)),$C1047=0),"",$C1048/$C1047-1)</f>
        <v/>
      </c>
      <c r="I1048" s="52" t="str">
        <f aca="false">IF(AND(ISNUMBER($G1048),$G1048&gt;=MA_SHORT),AVERAGE(INDEX($C$648:$C1048,402-MA_SHORT):$C1048),"")</f>
        <v/>
      </c>
      <c r="J1048" s="52" t="str">
        <f aca="false">IF(AND(ISNUMBER($G1048),$G1048&gt;=MA_MED),AVERAGE(INDEX($C$648:$C1048,402-MA_MED):$C1048),"")</f>
        <v/>
      </c>
      <c r="K1048" s="52" t="str">
        <f aca="false">IF(AND(ISNUMBER($G1048),$G1048&gt;=MA_LONG2),AVERAGE(INDEX($C$648:$C1048,402-MA_LONG2):$C1048),"")</f>
        <v/>
      </c>
      <c r="L1048" s="53" t="str">
        <f aca="false">IF(AND(ISNUMBER($G1048),$G1048&gt;=21),STDEV(INDEX($H$988:$H1048,62-20):$H1048)*SQRT(245),"")</f>
        <v/>
      </c>
      <c r="M1048" s="52" t="str">
        <f aca="false">IF(AND(ISNUMBER($G1048),$G1048&gt;=60),MAX(INDEX($D$848:$D1048,202-60):$D1048),"")</f>
        <v/>
      </c>
      <c r="N1048" s="52" t="str">
        <f aca="false">IF(AND(ISNUMBER($G1048),$G1048&gt;=60),MIN(INDEX($E$848:$E1048,202-60):$E1048),"")</f>
        <v/>
      </c>
      <c r="O1048" s="53" t="str">
        <f aca="false">IF(OR(NOT(ISNUMBER($C1048)),NOT(ISNUMBER($M1048)),$M1048=0),"",$C1048/$M1048-1)</f>
        <v/>
      </c>
    </row>
    <row r="1049" customFormat="false" ht="15" hidden="false" customHeight="false" outlineLevel="0" collapsed="false">
      <c r="A1049" s="55"/>
      <c r="B1049" s="56"/>
      <c r="C1049" s="57"/>
      <c r="D1049" s="56"/>
      <c r="E1049" s="56"/>
      <c r="F1049" s="56"/>
      <c r="G1049" s="50" t="str">
        <f aca="false">IF($A1049="","",IF(ISNUMBER($G1048),$G1048+1,1))</f>
        <v/>
      </c>
      <c r="H1049" s="51" t="str">
        <f aca="false">IF(OR(NOT(ISNUMBER($G1049)),$G1049&lt;2,NOT(ISNUMBER($C1048)),$C1048=0),"",$C1049/$C1048-1)</f>
        <v/>
      </c>
      <c r="I1049" s="52" t="str">
        <f aca="false">IF(AND(ISNUMBER($G1049),$G1049&gt;=MA_SHORT),AVERAGE(INDEX($C$649:$C1049,402-MA_SHORT):$C1049),"")</f>
        <v/>
      </c>
      <c r="J1049" s="52" t="str">
        <f aca="false">IF(AND(ISNUMBER($G1049),$G1049&gt;=MA_MED),AVERAGE(INDEX($C$649:$C1049,402-MA_MED):$C1049),"")</f>
        <v/>
      </c>
      <c r="K1049" s="52" t="str">
        <f aca="false">IF(AND(ISNUMBER($G1049),$G1049&gt;=MA_LONG2),AVERAGE(INDEX($C$649:$C1049,402-MA_LONG2):$C1049),"")</f>
        <v/>
      </c>
      <c r="L1049" s="53" t="str">
        <f aca="false">IF(AND(ISNUMBER($G1049),$G1049&gt;=21),STDEV(INDEX($H$989:$H1049,62-20):$H1049)*SQRT(245),"")</f>
        <v/>
      </c>
      <c r="M1049" s="52" t="str">
        <f aca="false">IF(AND(ISNUMBER($G1049),$G1049&gt;=60),MAX(INDEX($D$849:$D1049,202-60):$D1049),"")</f>
        <v/>
      </c>
      <c r="N1049" s="52" t="str">
        <f aca="false">IF(AND(ISNUMBER($G1049),$G1049&gt;=60),MIN(INDEX($E$849:$E1049,202-60):$E1049),"")</f>
        <v/>
      </c>
      <c r="O1049" s="53" t="str">
        <f aca="false">IF(OR(NOT(ISNUMBER($C1049)),NOT(ISNUMBER($M1049)),$M1049=0),"",$C1049/$M1049-1)</f>
        <v/>
      </c>
    </row>
    <row r="1050" customFormat="false" ht="15" hidden="false" customHeight="false" outlineLevel="0" collapsed="false">
      <c r="A1050" s="55"/>
      <c r="B1050" s="56"/>
      <c r="C1050" s="57"/>
      <c r="D1050" s="56"/>
      <c r="E1050" s="56"/>
      <c r="F1050" s="56"/>
      <c r="G1050" s="50" t="str">
        <f aca="false">IF($A1050="","",IF(ISNUMBER($G1049),$G1049+1,1))</f>
        <v/>
      </c>
      <c r="H1050" s="51" t="str">
        <f aca="false">IF(OR(NOT(ISNUMBER($G1050)),$G1050&lt;2,NOT(ISNUMBER($C1049)),$C1049=0),"",$C1050/$C1049-1)</f>
        <v/>
      </c>
      <c r="I1050" s="52" t="str">
        <f aca="false">IF(AND(ISNUMBER($G1050),$G1050&gt;=MA_SHORT),AVERAGE(INDEX($C$650:$C1050,402-MA_SHORT):$C1050),"")</f>
        <v/>
      </c>
      <c r="J1050" s="52" t="str">
        <f aca="false">IF(AND(ISNUMBER($G1050),$G1050&gt;=MA_MED),AVERAGE(INDEX($C$650:$C1050,402-MA_MED):$C1050),"")</f>
        <v/>
      </c>
      <c r="K1050" s="52" t="str">
        <f aca="false">IF(AND(ISNUMBER($G1050),$G1050&gt;=MA_LONG2),AVERAGE(INDEX($C$650:$C1050,402-MA_LONG2):$C1050),"")</f>
        <v/>
      </c>
      <c r="L1050" s="53" t="str">
        <f aca="false">IF(AND(ISNUMBER($G1050),$G1050&gt;=21),STDEV(INDEX($H$990:$H1050,62-20):$H1050)*SQRT(245),"")</f>
        <v/>
      </c>
      <c r="M1050" s="52" t="str">
        <f aca="false">IF(AND(ISNUMBER($G1050),$G1050&gt;=60),MAX(INDEX($D$850:$D1050,202-60):$D1050),"")</f>
        <v/>
      </c>
      <c r="N1050" s="52" t="str">
        <f aca="false">IF(AND(ISNUMBER($G1050),$G1050&gt;=60),MIN(INDEX($E$850:$E1050,202-60):$E1050),"")</f>
        <v/>
      </c>
      <c r="O1050" s="53" t="str">
        <f aca="false">IF(OR(NOT(ISNUMBER($C1050)),NOT(ISNUMBER($M1050)),$M1050=0),"",$C1050/$M1050-1)</f>
        <v/>
      </c>
    </row>
    <row r="1051" customFormat="false" ht="15" hidden="false" customHeight="false" outlineLevel="0" collapsed="false">
      <c r="A1051" s="55"/>
      <c r="B1051" s="56"/>
      <c r="C1051" s="57"/>
      <c r="D1051" s="56"/>
      <c r="E1051" s="56"/>
      <c r="F1051" s="56"/>
      <c r="G1051" s="50" t="str">
        <f aca="false">IF($A1051="","",IF(ISNUMBER($G1050),$G1050+1,1))</f>
        <v/>
      </c>
      <c r="H1051" s="51" t="str">
        <f aca="false">IF(OR(NOT(ISNUMBER($G1051)),$G1051&lt;2,NOT(ISNUMBER($C1050)),$C1050=0),"",$C1051/$C1050-1)</f>
        <v/>
      </c>
      <c r="I1051" s="52" t="str">
        <f aca="false">IF(AND(ISNUMBER($G1051),$G1051&gt;=MA_SHORT),AVERAGE(INDEX($C$651:$C1051,402-MA_SHORT):$C1051),"")</f>
        <v/>
      </c>
      <c r="J1051" s="52" t="str">
        <f aca="false">IF(AND(ISNUMBER($G1051),$G1051&gt;=MA_MED),AVERAGE(INDEX($C$651:$C1051,402-MA_MED):$C1051),"")</f>
        <v/>
      </c>
      <c r="K1051" s="52" t="str">
        <f aca="false">IF(AND(ISNUMBER($G1051),$G1051&gt;=MA_LONG2),AVERAGE(INDEX($C$651:$C1051,402-MA_LONG2):$C1051),"")</f>
        <v/>
      </c>
      <c r="L1051" s="53" t="str">
        <f aca="false">IF(AND(ISNUMBER($G1051),$G1051&gt;=21),STDEV(INDEX($H$991:$H1051,62-20):$H1051)*SQRT(245),"")</f>
        <v/>
      </c>
      <c r="M1051" s="52" t="str">
        <f aca="false">IF(AND(ISNUMBER($G1051),$G1051&gt;=60),MAX(INDEX($D$851:$D1051,202-60):$D1051),"")</f>
        <v/>
      </c>
      <c r="N1051" s="52" t="str">
        <f aca="false">IF(AND(ISNUMBER($G1051),$G1051&gt;=60),MIN(INDEX($E$851:$E1051,202-60):$E1051),"")</f>
        <v/>
      </c>
      <c r="O1051" s="53" t="str">
        <f aca="false">IF(OR(NOT(ISNUMBER($C1051)),NOT(ISNUMBER($M1051)),$M1051=0),"",$C1051/$M1051-1)</f>
        <v/>
      </c>
    </row>
    <row r="1052" customFormat="false" ht="15" hidden="false" customHeight="false" outlineLevel="0" collapsed="false">
      <c r="A1052" s="55"/>
      <c r="B1052" s="56"/>
      <c r="C1052" s="57"/>
      <c r="D1052" s="56"/>
      <c r="E1052" s="56"/>
      <c r="F1052" s="56"/>
      <c r="G1052" s="50" t="str">
        <f aca="false">IF($A1052="","",IF(ISNUMBER($G1051),$G1051+1,1))</f>
        <v/>
      </c>
      <c r="H1052" s="51" t="str">
        <f aca="false">IF(OR(NOT(ISNUMBER($G1052)),$G1052&lt;2,NOT(ISNUMBER($C1051)),$C1051=0),"",$C1052/$C1051-1)</f>
        <v/>
      </c>
      <c r="I1052" s="52" t="str">
        <f aca="false">IF(AND(ISNUMBER($G1052),$G1052&gt;=MA_SHORT),AVERAGE(INDEX($C$652:$C1052,402-MA_SHORT):$C1052),"")</f>
        <v/>
      </c>
      <c r="J1052" s="52" t="str">
        <f aca="false">IF(AND(ISNUMBER($G1052),$G1052&gt;=MA_MED),AVERAGE(INDEX($C$652:$C1052,402-MA_MED):$C1052),"")</f>
        <v/>
      </c>
      <c r="K1052" s="52" t="str">
        <f aca="false">IF(AND(ISNUMBER($G1052),$G1052&gt;=MA_LONG2),AVERAGE(INDEX($C$652:$C1052,402-MA_LONG2):$C1052),"")</f>
        <v/>
      </c>
      <c r="L1052" s="53" t="str">
        <f aca="false">IF(AND(ISNUMBER($G1052),$G1052&gt;=21),STDEV(INDEX($H$992:$H1052,62-20):$H1052)*SQRT(245),"")</f>
        <v/>
      </c>
      <c r="M1052" s="52" t="str">
        <f aca="false">IF(AND(ISNUMBER($G1052),$G1052&gt;=60),MAX(INDEX($D$852:$D1052,202-60):$D1052),"")</f>
        <v/>
      </c>
      <c r="N1052" s="52" t="str">
        <f aca="false">IF(AND(ISNUMBER($G1052),$G1052&gt;=60),MIN(INDEX($E$852:$E1052,202-60):$E1052),"")</f>
        <v/>
      </c>
      <c r="O1052" s="53" t="str">
        <f aca="false">IF(OR(NOT(ISNUMBER($C1052)),NOT(ISNUMBER($M1052)),$M1052=0),"",$C1052/$M1052-1)</f>
        <v/>
      </c>
    </row>
    <row r="1053" customFormat="false" ht="15" hidden="false" customHeight="false" outlineLevel="0" collapsed="false">
      <c r="A1053" s="55"/>
      <c r="B1053" s="56"/>
      <c r="C1053" s="57"/>
      <c r="D1053" s="56"/>
      <c r="E1053" s="56"/>
      <c r="F1053" s="56"/>
      <c r="G1053" s="50" t="str">
        <f aca="false">IF($A1053="","",IF(ISNUMBER($G1052),$G1052+1,1))</f>
        <v/>
      </c>
      <c r="H1053" s="51" t="str">
        <f aca="false">IF(OR(NOT(ISNUMBER($G1053)),$G1053&lt;2,NOT(ISNUMBER($C1052)),$C1052=0),"",$C1053/$C1052-1)</f>
        <v/>
      </c>
      <c r="I1053" s="52" t="str">
        <f aca="false">IF(AND(ISNUMBER($G1053),$G1053&gt;=MA_SHORT),AVERAGE(INDEX($C$653:$C1053,402-MA_SHORT):$C1053),"")</f>
        <v/>
      </c>
      <c r="J1053" s="52" t="str">
        <f aca="false">IF(AND(ISNUMBER($G1053),$G1053&gt;=MA_MED),AVERAGE(INDEX($C$653:$C1053,402-MA_MED):$C1053),"")</f>
        <v/>
      </c>
      <c r="K1053" s="52" t="str">
        <f aca="false">IF(AND(ISNUMBER($G1053),$G1053&gt;=MA_LONG2),AVERAGE(INDEX($C$653:$C1053,402-MA_LONG2):$C1053),"")</f>
        <v/>
      </c>
      <c r="L1053" s="53" t="str">
        <f aca="false">IF(AND(ISNUMBER($G1053),$G1053&gt;=21),STDEV(INDEX($H$993:$H1053,62-20):$H1053)*SQRT(245),"")</f>
        <v/>
      </c>
      <c r="M1053" s="52" t="str">
        <f aca="false">IF(AND(ISNUMBER($G1053),$G1053&gt;=60),MAX(INDEX($D$853:$D1053,202-60):$D1053),"")</f>
        <v/>
      </c>
      <c r="N1053" s="52" t="str">
        <f aca="false">IF(AND(ISNUMBER($G1053),$G1053&gt;=60),MIN(INDEX($E$853:$E1053,202-60):$E1053),"")</f>
        <v/>
      </c>
      <c r="O1053" s="53" t="str">
        <f aca="false">IF(OR(NOT(ISNUMBER($C1053)),NOT(ISNUMBER($M1053)),$M1053=0),"",$C1053/$M1053-1)</f>
        <v/>
      </c>
    </row>
    <row r="1054" customFormat="false" ht="15" hidden="false" customHeight="false" outlineLevel="0" collapsed="false">
      <c r="A1054" s="55"/>
      <c r="B1054" s="56"/>
      <c r="C1054" s="57"/>
      <c r="D1054" s="56"/>
      <c r="E1054" s="56"/>
      <c r="F1054" s="56"/>
      <c r="G1054" s="50" t="str">
        <f aca="false">IF($A1054="","",IF(ISNUMBER($G1053),$G1053+1,1))</f>
        <v/>
      </c>
      <c r="H1054" s="51" t="str">
        <f aca="false">IF(OR(NOT(ISNUMBER($G1054)),$G1054&lt;2,NOT(ISNUMBER($C1053)),$C1053=0),"",$C1054/$C1053-1)</f>
        <v/>
      </c>
      <c r="I1054" s="52" t="str">
        <f aca="false">IF(AND(ISNUMBER($G1054),$G1054&gt;=MA_SHORT),AVERAGE(INDEX($C$654:$C1054,402-MA_SHORT):$C1054),"")</f>
        <v/>
      </c>
      <c r="J1054" s="52" t="str">
        <f aca="false">IF(AND(ISNUMBER($G1054),$G1054&gt;=MA_MED),AVERAGE(INDEX($C$654:$C1054,402-MA_MED):$C1054),"")</f>
        <v/>
      </c>
      <c r="K1054" s="52" t="str">
        <f aca="false">IF(AND(ISNUMBER($G1054),$G1054&gt;=MA_LONG2),AVERAGE(INDEX($C$654:$C1054,402-MA_LONG2):$C1054),"")</f>
        <v/>
      </c>
      <c r="L1054" s="53" t="str">
        <f aca="false">IF(AND(ISNUMBER($G1054),$G1054&gt;=21),STDEV(INDEX($H$994:$H1054,62-20):$H1054)*SQRT(245),"")</f>
        <v/>
      </c>
      <c r="M1054" s="52" t="str">
        <f aca="false">IF(AND(ISNUMBER($G1054),$G1054&gt;=60),MAX(INDEX($D$854:$D1054,202-60):$D1054),"")</f>
        <v/>
      </c>
      <c r="N1054" s="52" t="str">
        <f aca="false">IF(AND(ISNUMBER($G1054),$G1054&gt;=60),MIN(INDEX($E$854:$E1054,202-60):$E1054),"")</f>
        <v/>
      </c>
      <c r="O1054" s="53" t="str">
        <f aca="false">IF(OR(NOT(ISNUMBER($C1054)),NOT(ISNUMBER($M1054)),$M1054=0),"",$C1054/$M1054-1)</f>
        <v/>
      </c>
    </row>
    <row r="1055" customFormat="false" ht="15" hidden="false" customHeight="false" outlineLevel="0" collapsed="false">
      <c r="A1055" s="55"/>
      <c r="B1055" s="56"/>
      <c r="C1055" s="57"/>
      <c r="D1055" s="56"/>
      <c r="E1055" s="56"/>
      <c r="F1055" s="56"/>
      <c r="G1055" s="50" t="str">
        <f aca="false">IF($A1055="","",IF(ISNUMBER($G1054),$G1054+1,1))</f>
        <v/>
      </c>
      <c r="H1055" s="51" t="str">
        <f aca="false">IF(OR(NOT(ISNUMBER($G1055)),$G1055&lt;2,NOT(ISNUMBER($C1054)),$C1054=0),"",$C1055/$C1054-1)</f>
        <v/>
      </c>
      <c r="I1055" s="52" t="str">
        <f aca="false">IF(AND(ISNUMBER($G1055),$G1055&gt;=MA_SHORT),AVERAGE(INDEX($C$655:$C1055,402-MA_SHORT):$C1055),"")</f>
        <v/>
      </c>
      <c r="J1055" s="52" t="str">
        <f aca="false">IF(AND(ISNUMBER($G1055),$G1055&gt;=MA_MED),AVERAGE(INDEX($C$655:$C1055,402-MA_MED):$C1055),"")</f>
        <v/>
      </c>
      <c r="K1055" s="52" t="str">
        <f aca="false">IF(AND(ISNUMBER($G1055),$G1055&gt;=MA_LONG2),AVERAGE(INDEX($C$655:$C1055,402-MA_LONG2):$C1055),"")</f>
        <v/>
      </c>
      <c r="L1055" s="53" t="str">
        <f aca="false">IF(AND(ISNUMBER($G1055),$G1055&gt;=21),STDEV(INDEX($H$995:$H1055,62-20):$H1055)*SQRT(245),"")</f>
        <v/>
      </c>
      <c r="M1055" s="52" t="str">
        <f aca="false">IF(AND(ISNUMBER($G1055),$G1055&gt;=60),MAX(INDEX($D$855:$D1055,202-60):$D1055),"")</f>
        <v/>
      </c>
      <c r="N1055" s="52" t="str">
        <f aca="false">IF(AND(ISNUMBER($G1055),$G1055&gt;=60),MIN(INDEX($E$855:$E1055,202-60):$E1055),"")</f>
        <v/>
      </c>
      <c r="O1055" s="53" t="str">
        <f aca="false">IF(OR(NOT(ISNUMBER($C1055)),NOT(ISNUMBER($M1055)),$M1055=0),"",$C1055/$M1055-1)</f>
        <v/>
      </c>
    </row>
    <row r="1056" customFormat="false" ht="15" hidden="false" customHeight="false" outlineLevel="0" collapsed="false">
      <c r="A1056" s="55"/>
      <c r="B1056" s="56"/>
      <c r="C1056" s="57"/>
      <c r="D1056" s="56"/>
      <c r="E1056" s="56"/>
      <c r="F1056" s="56"/>
      <c r="G1056" s="50" t="str">
        <f aca="false">IF($A1056="","",IF(ISNUMBER($G1055),$G1055+1,1))</f>
        <v/>
      </c>
      <c r="H1056" s="51" t="str">
        <f aca="false">IF(OR(NOT(ISNUMBER($G1056)),$G1056&lt;2,NOT(ISNUMBER($C1055)),$C1055=0),"",$C1056/$C1055-1)</f>
        <v/>
      </c>
      <c r="I1056" s="52" t="str">
        <f aca="false">IF(AND(ISNUMBER($G1056),$G1056&gt;=MA_SHORT),AVERAGE(INDEX($C$656:$C1056,402-MA_SHORT):$C1056),"")</f>
        <v/>
      </c>
      <c r="J1056" s="52" t="str">
        <f aca="false">IF(AND(ISNUMBER($G1056),$G1056&gt;=MA_MED),AVERAGE(INDEX($C$656:$C1056,402-MA_MED):$C1056),"")</f>
        <v/>
      </c>
      <c r="K1056" s="52" t="str">
        <f aca="false">IF(AND(ISNUMBER($G1056),$G1056&gt;=MA_LONG2),AVERAGE(INDEX($C$656:$C1056,402-MA_LONG2):$C1056),"")</f>
        <v/>
      </c>
      <c r="L1056" s="53" t="str">
        <f aca="false">IF(AND(ISNUMBER($G1056),$G1056&gt;=21),STDEV(INDEX($H$996:$H1056,62-20):$H1056)*SQRT(245),"")</f>
        <v/>
      </c>
      <c r="M1056" s="52" t="str">
        <f aca="false">IF(AND(ISNUMBER($G1056),$G1056&gt;=60),MAX(INDEX($D$856:$D1056,202-60):$D1056),"")</f>
        <v/>
      </c>
      <c r="N1056" s="52" t="str">
        <f aca="false">IF(AND(ISNUMBER($G1056),$G1056&gt;=60),MIN(INDEX($E$856:$E1056,202-60):$E1056),"")</f>
        <v/>
      </c>
      <c r="O1056" s="53" t="str">
        <f aca="false">IF(OR(NOT(ISNUMBER($C1056)),NOT(ISNUMBER($M1056)),$M1056=0),"",$C1056/$M1056-1)</f>
        <v/>
      </c>
    </row>
    <row r="1057" customFormat="false" ht="15" hidden="false" customHeight="false" outlineLevel="0" collapsed="false">
      <c r="A1057" s="55"/>
      <c r="B1057" s="56"/>
      <c r="C1057" s="57"/>
      <c r="D1057" s="56"/>
      <c r="E1057" s="56"/>
      <c r="F1057" s="56"/>
      <c r="G1057" s="50" t="str">
        <f aca="false">IF($A1057="","",IF(ISNUMBER($G1056),$G1056+1,1))</f>
        <v/>
      </c>
      <c r="H1057" s="51" t="str">
        <f aca="false">IF(OR(NOT(ISNUMBER($G1057)),$G1057&lt;2,NOT(ISNUMBER($C1056)),$C1056=0),"",$C1057/$C1056-1)</f>
        <v/>
      </c>
      <c r="I1057" s="52" t="str">
        <f aca="false">IF(AND(ISNUMBER($G1057),$G1057&gt;=MA_SHORT),AVERAGE(INDEX($C$657:$C1057,402-MA_SHORT):$C1057),"")</f>
        <v/>
      </c>
      <c r="J1057" s="52" t="str">
        <f aca="false">IF(AND(ISNUMBER($G1057),$G1057&gt;=MA_MED),AVERAGE(INDEX($C$657:$C1057,402-MA_MED):$C1057),"")</f>
        <v/>
      </c>
      <c r="K1057" s="52" t="str">
        <f aca="false">IF(AND(ISNUMBER($G1057),$G1057&gt;=MA_LONG2),AVERAGE(INDEX($C$657:$C1057,402-MA_LONG2):$C1057),"")</f>
        <v/>
      </c>
      <c r="L1057" s="53" t="str">
        <f aca="false">IF(AND(ISNUMBER($G1057),$G1057&gt;=21),STDEV(INDEX($H$997:$H1057,62-20):$H1057)*SQRT(245),"")</f>
        <v/>
      </c>
      <c r="M1057" s="52" t="str">
        <f aca="false">IF(AND(ISNUMBER($G1057),$G1057&gt;=60),MAX(INDEX($D$857:$D1057,202-60):$D1057),"")</f>
        <v/>
      </c>
      <c r="N1057" s="52" t="str">
        <f aca="false">IF(AND(ISNUMBER($G1057),$G1057&gt;=60),MIN(INDEX($E$857:$E1057,202-60):$E1057),"")</f>
        <v/>
      </c>
      <c r="O1057" s="53" t="str">
        <f aca="false">IF(OR(NOT(ISNUMBER($C1057)),NOT(ISNUMBER($M1057)),$M1057=0),"",$C1057/$M1057-1)</f>
        <v/>
      </c>
    </row>
    <row r="1058" customFormat="false" ht="15" hidden="false" customHeight="false" outlineLevel="0" collapsed="false">
      <c r="A1058" s="55"/>
      <c r="B1058" s="56"/>
      <c r="C1058" s="57"/>
      <c r="D1058" s="56"/>
      <c r="E1058" s="56"/>
      <c r="F1058" s="56"/>
      <c r="G1058" s="50" t="str">
        <f aca="false">IF($A1058="","",IF(ISNUMBER($G1057),$G1057+1,1))</f>
        <v/>
      </c>
      <c r="H1058" s="51" t="str">
        <f aca="false">IF(OR(NOT(ISNUMBER($G1058)),$G1058&lt;2,NOT(ISNUMBER($C1057)),$C1057=0),"",$C1058/$C1057-1)</f>
        <v/>
      </c>
      <c r="I1058" s="52" t="str">
        <f aca="false">IF(AND(ISNUMBER($G1058),$G1058&gt;=MA_SHORT),AVERAGE(INDEX($C$658:$C1058,402-MA_SHORT):$C1058),"")</f>
        <v/>
      </c>
      <c r="J1058" s="52" t="str">
        <f aca="false">IF(AND(ISNUMBER($G1058),$G1058&gt;=MA_MED),AVERAGE(INDEX($C$658:$C1058,402-MA_MED):$C1058),"")</f>
        <v/>
      </c>
      <c r="K1058" s="52" t="str">
        <f aca="false">IF(AND(ISNUMBER($G1058),$G1058&gt;=MA_LONG2),AVERAGE(INDEX($C$658:$C1058,402-MA_LONG2):$C1058),"")</f>
        <v/>
      </c>
      <c r="L1058" s="53" t="str">
        <f aca="false">IF(AND(ISNUMBER($G1058),$G1058&gt;=21),STDEV(INDEX($H$998:$H1058,62-20):$H1058)*SQRT(245),"")</f>
        <v/>
      </c>
      <c r="M1058" s="52" t="str">
        <f aca="false">IF(AND(ISNUMBER($G1058),$G1058&gt;=60),MAX(INDEX($D$858:$D1058,202-60):$D1058),"")</f>
        <v/>
      </c>
      <c r="N1058" s="52" t="str">
        <f aca="false">IF(AND(ISNUMBER($G1058),$G1058&gt;=60),MIN(INDEX($E$858:$E1058,202-60):$E1058),"")</f>
        <v/>
      </c>
      <c r="O1058" s="53" t="str">
        <f aca="false">IF(OR(NOT(ISNUMBER($C1058)),NOT(ISNUMBER($M1058)),$M1058=0),"",$C1058/$M1058-1)</f>
        <v/>
      </c>
    </row>
    <row r="1059" customFormat="false" ht="15" hidden="false" customHeight="false" outlineLevel="0" collapsed="false">
      <c r="A1059" s="55"/>
      <c r="B1059" s="56"/>
      <c r="C1059" s="57"/>
      <c r="D1059" s="56"/>
      <c r="E1059" s="56"/>
      <c r="F1059" s="56"/>
      <c r="G1059" s="50" t="str">
        <f aca="false">IF($A1059="","",IF(ISNUMBER($G1058),$G1058+1,1))</f>
        <v/>
      </c>
      <c r="H1059" s="51" t="str">
        <f aca="false">IF(OR(NOT(ISNUMBER($G1059)),$G1059&lt;2,NOT(ISNUMBER($C1058)),$C1058=0),"",$C1059/$C1058-1)</f>
        <v/>
      </c>
      <c r="I1059" s="52" t="str">
        <f aca="false">IF(AND(ISNUMBER($G1059),$G1059&gt;=MA_SHORT),AVERAGE(INDEX($C$659:$C1059,402-MA_SHORT):$C1059),"")</f>
        <v/>
      </c>
      <c r="J1059" s="52" t="str">
        <f aca="false">IF(AND(ISNUMBER($G1059),$G1059&gt;=MA_MED),AVERAGE(INDEX($C$659:$C1059,402-MA_MED):$C1059),"")</f>
        <v/>
      </c>
      <c r="K1059" s="52" t="str">
        <f aca="false">IF(AND(ISNUMBER($G1059),$G1059&gt;=MA_LONG2),AVERAGE(INDEX($C$659:$C1059,402-MA_LONG2):$C1059),"")</f>
        <v/>
      </c>
      <c r="L1059" s="53" t="str">
        <f aca="false">IF(AND(ISNUMBER($G1059),$G1059&gt;=21),STDEV(INDEX($H$999:$H1059,62-20):$H1059)*SQRT(245),"")</f>
        <v/>
      </c>
      <c r="M1059" s="52" t="str">
        <f aca="false">IF(AND(ISNUMBER($G1059),$G1059&gt;=60),MAX(INDEX($D$859:$D1059,202-60):$D1059),"")</f>
        <v/>
      </c>
      <c r="N1059" s="52" t="str">
        <f aca="false">IF(AND(ISNUMBER($G1059),$G1059&gt;=60),MIN(INDEX($E$859:$E1059,202-60):$E1059),"")</f>
        <v/>
      </c>
      <c r="O1059" s="53" t="str">
        <f aca="false">IF(OR(NOT(ISNUMBER($C1059)),NOT(ISNUMBER($M1059)),$M1059=0),"",$C1059/$M1059-1)</f>
        <v/>
      </c>
    </row>
    <row r="1060" customFormat="false" ht="15" hidden="false" customHeight="false" outlineLevel="0" collapsed="false">
      <c r="A1060" s="55"/>
      <c r="B1060" s="56"/>
      <c r="C1060" s="57"/>
      <c r="D1060" s="56"/>
      <c r="E1060" s="56"/>
      <c r="F1060" s="56"/>
      <c r="G1060" s="50" t="str">
        <f aca="false">IF($A1060="","",IF(ISNUMBER($G1059),$G1059+1,1))</f>
        <v/>
      </c>
      <c r="H1060" s="51" t="str">
        <f aca="false">IF(OR(NOT(ISNUMBER($G1060)),$G1060&lt;2,NOT(ISNUMBER($C1059)),$C1059=0),"",$C1060/$C1059-1)</f>
        <v/>
      </c>
      <c r="I1060" s="52" t="str">
        <f aca="false">IF(AND(ISNUMBER($G1060),$G1060&gt;=MA_SHORT),AVERAGE(INDEX($C$660:$C1060,402-MA_SHORT):$C1060),"")</f>
        <v/>
      </c>
      <c r="J1060" s="52" t="str">
        <f aca="false">IF(AND(ISNUMBER($G1060),$G1060&gt;=MA_MED),AVERAGE(INDEX($C$660:$C1060,402-MA_MED):$C1060),"")</f>
        <v/>
      </c>
      <c r="K1060" s="52" t="str">
        <f aca="false">IF(AND(ISNUMBER($G1060),$G1060&gt;=MA_LONG2),AVERAGE(INDEX($C$660:$C1060,402-MA_LONG2):$C1060),"")</f>
        <v/>
      </c>
      <c r="L1060" s="53" t="str">
        <f aca="false">IF(AND(ISNUMBER($G1060),$G1060&gt;=21),STDEV(INDEX($H$1000:$H1060,62-20):$H1060)*SQRT(245),"")</f>
        <v/>
      </c>
      <c r="M1060" s="52" t="str">
        <f aca="false">IF(AND(ISNUMBER($G1060),$G1060&gt;=60),MAX(INDEX($D$860:$D1060,202-60):$D1060),"")</f>
        <v/>
      </c>
      <c r="N1060" s="52" t="str">
        <f aca="false">IF(AND(ISNUMBER($G1060),$G1060&gt;=60),MIN(INDEX($E$860:$E1060,202-60):$E1060),"")</f>
        <v/>
      </c>
      <c r="O1060" s="53" t="str">
        <f aca="false">IF(OR(NOT(ISNUMBER($C1060)),NOT(ISNUMBER($M1060)),$M1060=0),"",$C1060/$M1060-1)</f>
        <v/>
      </c>
    </row>
    <row r="1061" customFormat="false" ht="15" hidden="false" customHeight="false" outlineLevel="0" collapsed="false">
      <c r="A1061" s="55"/>
      <c r="B1061" s="56"/>
      <c r="C1061" s="57"/>
      <c r="D1061" s="56"/>
      <c r="E1061" s="56"/>
      <c r="F1061" s="56"/>
      <c r="G1061" s="50" t="str">
        <f aca="false">IF($A1061="","",IF(ISNUMBER($G1060),$G1060+1,1))</f>
        <v/>
      </c>
      <c r="H1061" s="51" t="str">
        <f aca="false">IF(OR(NOT(ISNUMBER($G1061)),$G1061&lt;2,NOT(ISNUMBER($C1060)),$C1060=0),"",$C1061/$C1060-1)</f>
        <v/>
      </c>
      <c r="I1061" s="52" t="str">
        <f aca="false">IF(AND(ISNUMBER($G1061),$G1061&gt;=MA_SHORT),AVERAGE(INDEX($C$661:$C1061,402-MA_SHORT):$C1061),"")</f>
        <v/>
      </c>
      <c r="J1061" s="52" t="str">
        <f aca="false">IF(AND(ISNUMBER($G1061),$G1061&gt;=MA_MED),AVERAGE(INDEX($C$661:$C1061,402-MA_MED):$C1061),"")</f>
        <v/>
      </c>
      <c r="K1061" s="52" t="str">
        <f aca="false">IF(AND(ISNUMBER($G1061),$G1061&gt;=MA_LONG2),AVERAGE(INDEX($C$661:$C1061,402-MA_LONG2):$C1061),"")</f>
        <v/>
      </c>
      <c r="L1061" s="53" t="str">
        <f aca="false">IF(AND(ISNUMBER($G1061),$G1061&gt;=21),STDEV(INDEX($H$1001:$H1061,62-20):$H1061)*SQRT(245),"")</f>
        <v/>
      </c>
      <c r="M1061" s="52" t="str">
        <f aca="false">IF(AND(ISNUMBER($G1061),$G1061&gt;=60),MAX(INDEX($D$861:$D1061,202-60):$D1061),"")</f>
        <v/>
      </c>
      <c r="N1061" s="52" t="str">
        <f aca="false">IF(AND(ISNUMBER($G1061),$G1061&gt;=60),MIN(INDEX($E$861:$E1061,202-60):$E1061),"")</f>
        <v/>
      </c>
      <c r="O1061" s="53" t="str">
        <f aca="false">IF(OR(NOT(ISNUMBER($C1061)),NOT(ISNUMBER($M1061)),$M1061=0),"",$C1061/$M1061-1)</f>
        <v/>
      </c>
    </row>
    <row r="1062" customFormat="false" ht="15" hidden="false" customHeight="false" outlineLevel="0" collapsed="false">
      <c r="A1062" s="55"/>
      <c r="B1062" s="56"/>
      <c r="C1062" s="57"/>
      <c r="D1062" s="56"/>
      <c r="E1062" s="56"/>
      <c r="F1062" s="56"/>
      <c r="G1062" s="50" t="str">
        <f aca="false">IF($A1062="","",IF(ISNUMBER($G1061),$G1061+1,1))</f>
        <v/>
      </c>
      <c r="H1062" s="51" t="str">
        <f aca="false">IF(OR(NOT(ISNUMBER($G1062)),$G1062&lt;2,NOT(ISNUMBER($C1061)),$C1061=0),"",$C1062/$C1061-1)</f>
        <v/>
      </c>
      <c r="I1062" s="52" t="str">
        <f aca="false">IF(AND(ISNUMBER($G1062),$G1062&gt;=MA_SHORT),AVERAGE(INDEX($C$662:$C1062,402-MA_SHORT):$C1062),"")</f>
        <v/>
      </c>
      <c r="J1062" s="52" t="str">
        <f aca="false">IF(AND(ISNUMBER($G1062),$G1062&gt;=MA_MED),AVERAGE(INDEX($C$662:$C1062,402-MA_MED):$C1062),"")</f>
        <v/>
      </c>
      <c r="K1062" s="52" t="str">
        <f aca="false">IF(AND(ISNUMBER($G1062),$G1062&gt;=MA_LONG2),AVERAGE(INDEX($C$662:$C1062,402-MA_LONG2):$C1062),"")</f>
        <v/>
      </c>
      <c r="L1062" s="53" t="str">
        <f aca="false">IF(AND(ISNUMBER($G1062),$G1062&gt;=21),STDEV(INDEX($H$1002:$H1062,62-20):$H1062)*SQRT(245),"")</f>
        <v/>
      </c>
      <c r="M1062" s="52" t="str">
        <f aca="false">IF(AND(ISNUMBER($G1062),$G1062&gt;=60),MAX(INDEX($D$862:$D1062,202-60):$D1062),"")</f>
        <v/>
      </c>
      <c r="N1062" s="52" t="str">
        <f aca="false">IF(AND(ISNUMBER($G1062),$G1062&gt;=60),MIN(INDEX($E$862:$E1062,202-60):$E1062),"")</f>
        <v/>
      </c>
      <c r="O1062" s="53" t="str">
        <f aca="false">IF(OR(NOT(ISNUMBER($C1062)),NOT(ISNUMBER($M1062)),$M1062=0),"",$C1062/$M1062-1)</f>
        <v/>
      </c>
    </row>
    <row r="1063" customFormat="false" ht="15" hidden="false" customHeight="false" outlineLevel="0" collapsed="false">
      <c r="A1063" s="55"/>
      <c r="B1063" s="56"/>
      <c r="C1063" s="57"/>
      <c r="D1063" s="56"/>
      <c r="E1063" s="56"/>
      <c r="F1063" s="56"/>
      <c r="G1063" s="50" t="str">
        <f aca="false">IF($A1063="","",IF(ISNUMBER($G1062),$G1062+1,1))</f>
        <v/>
      </c>
      <c r="H1063" s="51" t="str">
        <f aca="false">IF(OR(NOT(ISNUMBER($G1063)),$G1063&lt;2,NOT(ISNUMBER($C1062)),$C1062=0),"",$C1063/$C1062-1)</f>
        <v/>
      </c>
      <c r="I1063" s="52" t="str">
        <f aca="false">IF(AND(ISNUMBER($G1063),$G1063&gt;=MA_SHORT),AVERAGE(INDEX($C$663:$C1063,402-MA_SHORT):$C1063),"")</f>
        <v/>
      </c>
      <c r="J1063" s="52" t="str">
        <f aca="false">IF(AND(ISNUMBER($G1063),$G1063&gt;=MA_MED),AVERAGE(INDEX($C$663:$C1063,402-MA_MED):$C1063),"")</f>
        <v/>
      </c>
      <c r="K1063" s="52" t="str">
        <f aca="false">IF(AND(ISNUMBER($G1063),$G1063&gt;=MA_LONG2),AVERAGE(INDEX($C$663:$C1063,402-MA_LONG2):$C1063),"")</f>
        <v/>
      </c>
      <c r="L1063" s="53" t="str">
        <f aca="false">IF(AND(ISNUMBER($G1063),$G1063&gt;=21),STDEV(INDEX($H$1003:$H1063,62-20):$H1063)*SQRT(245),"")</f>
        <v/>
      </c>
      <c r="M1063" s="52" t="str">
        <f aca="false">IF(AND(ISNUMBER($G1063),$G1063&gt;=60),MAX(INDEX($D$863:$D1063,202-60):$D1063),"")</f>
        <v/>
      </c>
      <c r="N1063" s="52" t="str">
        <f aca="false">IF(AND(ISNUMBER($G1063),$G1063&gt;=60),MIN(INDEX($E$863:$E1063,202-60):$E1063),"")</f>
        <v/>
      </c>
      <c r="O1063" s="53" t="str">
        <f aca="false">IF(OR(NOT(ISNUMBER($C1063)),NOT(ISNUMBER($M1063)),$M1063=0),"",$C1063/$M1063-1)</f>
        <v/>
      </c>
    </row>
    <row r="1064" customFormat="false" ht="15" hidden="false" customHeight="false" outlineLevel="0" collapsed="false">
      <c r="A1064" s="55"/>
      <c r="B1064" s="56"/>
      <c r="C1064" s="57"/>
      <c r="D1064" s="56"/>
      <c r="E1064" s="56"/>
      <c r="F1064" s="56"/>
      <c r="G1064" s="50" t="str">
        <f aca="false">IF($A1064="","",IF(ISNUMBER($G1063),$G1063+1,1))</f>
        <v/>
      </c>
      <c r="H1064" s="51" t="str">
        <f aca="false">IF(OR(NOT(ISNUMBER($G1064)),$G1064&lt;2,NOT(ISNUMBER($C1063)),$C1063=0),"",$C1064/$C1063-1)</f>
        <v/>
      </c>
      <c r="I1064" s="52" t="str">
        <f aca="false">IF(AND(ISNUMBER($G1064),$G1064&gt;=MA_SHORT),AVERAGE(INDEX($C$664:$C1064,402-MA_SHORT):$C1064),"")</f>
        <v/>
      </c>
      <c r="J1064" s="52" t="str">
        <f aca="false">IF(AND(ISNUMBER($G1064),$G1064&gt;=MA_MED),AVERAGE(INDEX($C$664:$C1064,402-MA_MED):$C1064),"")</f>
        <v/>
      </c>
      <c r="K1064" s="52" t="str">
        <f aca="false">IF(AND(ISNUMBER($G1064),$G1064&gt;=MA_LONG2),AVERAGE(INDEX($C$664:$C1064,402-MA_LONG2):$C1064),"")</f>
        <v/>
      </c>
      <c r="L1064" s="53" t="str">
        <f aca="false">IF(AND(ISNUMBER($G1064),$G1064&gt;=21),STDEV(INDEX($H$1004:$H1064,62-20):$H1064)*SQRT(245),"")</f>
        <v/>
      </c>
      <c r="M1064" s="52" t="str">
        <f aca="false">IF(AND(ISNUMBER($G1064),$G1064&gt;=60),MAX(INDEX($D$864:$D1064,202-60):$D1064),"")</f>
        <v/>
      </c>
      <c r="N1064" s="52" t="str">
        <f aca="false">IF(AND(ISNUMBER($G1064),$G1064&gt;=60),MIN(INDEX($E$864:$E1064,202-60):$E1064),"")</f>
        <v/>
      </c>
      <c r="O1064" s="53" t="str">
        <f aca="false">IF(OR(NOT(ISNUMBER($C1064)),NOT(ISNUMBER($M1064)),$M1064=0),"",$C1064/$M1064-1)</f>
        <v/>
      </c>
    </row>
    <row r="1065" customFormat="false" ht="15" hidden="false" customHeight="false" outlineLevel="0" collapsed="false">
      <c r="A1065" s="55"/>
      <c r="B1065" s="56"/>
      <c r="C1065" s="57"/>
      <c r="D1065" s="56"/>
      <c r="E1065" s="56"/>
      <c r="F1065" s="56"/>
      <c r="G1065" s="50" t="str">
        <f aca="false">IF($A1065="","",IF(ISNUMBER($G1064),$G1064+1,1))</f>
        <v/>
      </c>
      <c r="H1065" s="51" t="str">
        <f aca="false">IF(OR(NOT(ISNUMBER($G1065)),$G1065&lt;2,NOT(ISNUMBER($C1064)),$C1064=0),"",$C1065/$C1064-1)</f>
        <v/>
      </c>
      <c r="I1065" s="52" t="str">
        <f aca="false">IF(AND(ISNUMBER($G1065),$G1065&gt;=MA_SHORT),AVERAGE(INDEX($C$665:$C1065,402-MA_SHORT):$C1065),"")</f>
        <v/>
      </c>
      <c r="J1065" s="52" t="str">
        <f aca="false">IF(AND(ISNUMBER($G1065),$G1065&gt;=MA_MED),AVERAGE(INDEX($C$665:$C1065,402-MA_MED):$C1065),"")</f>
        <v/>
      </c>
      <c r="K1065" s="52" t="str">
        <f aca="false">IF(AND(ISNUMBER($G1065),$G1065&gt;=MA_LONG2),AVERAGE(INDEX($C$665:$C1065,402-MA_LONG2):$C1065),"")</f>
        <v/>
      </c>
      <c r="L1065" s="53" t="str">
        <f aca="false">IF(AND(ISNUMBER($G1065),$G1065&gt;=21),STDEV(INDEX($H$1005:$H1065,62-20):$H1065)*SQRT(245),"")</f>
        <v/>
      </c>
      <c r="M1065" s="52" t="str">
        <f aca="false">IF(AND(ISNUMBER($G1065),$G1065&gt;=60),MAX(INDEX($D$865:$D1065,202-60):$D1065),"")</f>
        <v/>
      </c>
      <c r="N1065" s="52" t="str">
        <f aca="false">IF(AND(ISNUMBER($G1065),$G1065&gt;=60),MIN(INDEX($E$865:$E1065,202-60):$E1065),"")</f>
        <v/>
      </c>
      <c r="O1065" s="53" t="str">
        <f aca="false">IF(OR(NOT(ISNUMBER($C1065)),NOT(ISNUMBER($M1065)),$M1065=0),"",$C1065/$M1065-1)</f>
        <v/>
      </c>
    </row>
    <row r="1066" customFormat="false" ht="15" hidden="false" customHeight="false" outlineLevel="0" collapsed="false">
      <c r="A1066" s="55"/>
      <c r="B1066" s="56"/>
      <c r="C1066" s="57"/>
      <c r="D1066" s="56"/>
      <c r="E1066" s="56"/>
      <c r="F1066" s="56"/>
      <c r="G1066" s="50" t="str">
        <f aca="false">IF($A1066="","",IF(ISNUMBER($G1065),$G1065+1,1))</f>
        <v/>
      </c>
      <c r="H1066" s="51" t="str">
        <f aca="false">IF(OR(NOT(ISNUMBER($G1066)),$G1066&lt;2,NOT(ISNUMBER($C1065)),$C1065=0),"",$C1066/$C1065-1)</f>
        <v/>
      </c>
      <c r="I1066" s="52" t="str">
        <f aca="false">IF(AND(ISNUMBER($G1066),$G1066&gt;=MA_SHORT),AVERAGE(INDEX($C$666:$C1066,402-MA_SHORT):$C1066),"")</f>
        <v/>
      </c>
      <c r="J1066" s="52" t="str">
        <f aca="false">IF(AND(ISNUMBER($G1066),$G1066&gt;=MA_MED),AVERAGE(INDEX($C$666:$C1066,402-MA_MED):$C1066),"")</f>
        <v/>
      </c>
      <c r="K1066" s="52" t="str">
        <f aca="false">IF(AND(ISNUMBER($G1066),$G1066&gt;=MA_LONG2),AVERAGE(INDEX($C$666:$C1066,402-MA_LONG2):$C1066),"")</f>
        <v/>
      </c>
      <c r="L1066" s="53" t="str">
        <f aca="false">IF(AND(ISNUMBER($G1066),$G1066&gt;=21),STDEV(INDEX($H$1006:$H1066,62-20):$H1066)*SQRT(245),"")</f>
        <v/>
      </c>
      <c r="M1066" s="52" t="str">
        <f aca="false">IF(AND(ISNUMBER($G1066),$G1066&gt;=60),MAX(INDEX($D$866:$D1066,202-60):$D1066),"")</f>
        <v/>
      </c>
      <c r="N1066" s="52" t="str">
        <f aca="false">IF(AND(ISNUMBER($G1066),$G1066&gt;=60),MIN(INDEX($E$866:$E1066,202-60):$E1066),"")</f>
        <v/>
      </c>
      <c r="O1066" s="53" t="str">
        <f aca="false">IF(OR(NOT(ISNUMBER($C1066)),NOT(ISNUMBER($M1066)),$M1066=0),"",$C1066/$M1066-1)</f>
        <v/>
      </c>
    </row>
    <row r="1067" customFormat="false" ht="15" hidden="false" customHeight="false" outlineLevel="0" collapsed="false">
      <c r="A1067" s="55"/>
      <c r="B1067" s="56"/>
      <c r="C1067" s="57"/>
      <c r="D1067" s="56"/>
      <c r="E1067" s="56"/>
      <c r="F1067" s="56"/>
      <c r="G1067" s="50" t="str">
        <f aca="false">IF($A1067="","",IF(ISNUMBER($G1066),$G1066+1,1))</f>
        <v/>
      </c>
      <c r="H1067" s="51" t="str">
        <f aca="false">IF(OR(NOT(ISNUMBER($G1067)),$G1067&lt;2,NOT(ISNUMBER($C1066)),$C1066=0),"",$C1067/$C1066-1)</f>
        <v/>
      </c>
      <c r="I1067" s="52" t="str">
        <f aca="false">IF(AND(ISNUMBER($G1067),$G1067&gt;=MA_SHORT),AVERAGE(INDEX($C$667:$C1067,402-MA_SHORT):$C1067),"")</f>
        <v/>
      </c>
      <c r="J1067" s="52" t="str">
        <f aca="false">IF(AND(ISNUMBER($G1067),$G1067&gt;=MA_MED),AVERAGE(INDEX($C$667:$C1067,402-MA_MED):$C1067),"")</f>
        <v/>
      </c>
      <c r="K1067" s="52" t="str">
        <f aca="false">IF(AND(ISNUMBER($G1067),$G1067&gt;=MA_LONG2),AVERAGE(INDEX($C$667:$C1067,402-MA_LONG2):$C1067),"")</f>
        <v/>
      </c>
      <c r="L1067" s="53" t="str">
        <f aca="false">IF(AND(ISNUMBER($G1067),$G1067&gt;=21),STDEV(INDEX($H$1007:$H1067,62-20):$H1067)*SQRT(245),"")</f>
        <v/>
      </c>
      <c r="M1067" s="52" t="str">
        <f aca="false">IF(AND(ISNUMBER($G1067),$G1067&gt;=60),MAX(INDEX($D$867:$D1067,202-60):$D1067),"")</f>
        <v/>
      </c>
      <c r="N1067" s="52" t="str">
        <f aca="false">IF(AND(ISNUMBER($G1067),$G1067&gt;=60),MIN(INDEX($E$867:$E1067,202-60):$E1067),"")</f>
        <v/>
      </c>
      <c r="O1067" s="53" t="str">
        <f aca="false">IF(OR(NOT(ISNUMBER($C1067)),NOT(ISNUMBER($M1067)),$M1067=0),"",$C1067/$M1067-1)</f>
        <v/>
      </c>
    </row>
    <row r="1068" customFormat="false" ht="15" hidden="false" customHeight="false" outlineLevel="0" collapsed="false">
      <c r="A1068" s="55"/>
      <c r="B1068" s="56"/>
      <c r="C1068" s="57"/>
      <c r="D1068" s="56"/>
      <c r="E1068" s="56"/>
      <c r="F1068" s="56"/>
      <c r="G1068" s="50" t="str">
        <f aca="false">IF($A1068="","",IF(ISNUMBER($G1067),$G1067+1,1))</f>
        <v/>
      </c>
      <c r="H1068" s="51" t="str">
        <f aca="false">IF(OR(NOT(ISNUMBER($G1068)),$G1068&lt;2,NOT(ISNUMBER($C1067)),$C1067=0),"",$C1068/$C1067-1)</f>
        <v/>
      </c>
      <c r="I1068" s="52" t="str">
        <f aca="false">IF(AND(ISNUMBER($G1068),$G1068&gt;=MA_SHORT),AVERAGE(INDEX($C$668:$C1068,402-MA_SHORT):$C1068),"")</f>
        <v/>
      </c>
      <c r="J1068" s="52" t="str">
        <f aca="false">IF(AND(ISNUMBER($G1068),$G1068&gt;=MA_MED),AVERAGE(INDEX($C$668:$C1068,402-MA_MED):$C1068),"")</f>
        <v/>
      </c>
      <c r="K1068" s="52" t="str">
        <f aca="false">IF(AND(ISNUMBER($G1068),$G1068&gt;=MA_LONG2),AVERAGE(INDEX($C$668:$C1068,402-MA_LONG2):$C1068),"")</f>
        <v/>
      </c>
      <c r="L1068" s="53" t="str">
        <f aca="false">IF(AND(ISNUMBER($G1068),$G1068&gt;=21),STDEV(INDEX($H$1008:$H1068,62-20):$H1068)*SQRT(245),"")</f>
        <v/>
      </c>
      <c r="M1068" s="52" t="str">
        <f aca="false">IF(AND(ISNUMBER($G1068),$G1068&gt;=60),MAX(INDEX($D$868:$D1068,202-60):$D1068),"")</f>
        <v/>
      </c>
      <c r="N1068" s="52" t="str">
        <f aca="false">IF(AND(ISNUMBER($G1068),$G1068&gt;=60),MIN(INDEX($E$868:$E1068,202-60):$E1068),"")</f>
        <v/>
      </c>
      <c r="O1068" s="53" t="str">
        <f aca="false">IF(OR(NOT(ISNUMBER($C1068)),NOT(ISNUMBER($M1068)),$M1068=0),"",$C1068/$M1068-1)</f>
        <v/>
      </c>
    </row>
    <row r="1069" customFormat="false" ht="15" hidden="false" customHeight="false" outlineLevel="0" collapsed="false">
      <c r="A1069" s="55"/>
      <c r="B1069" s="56"/>
      <c r="C1069" s="57"/>
      <c r="D1069" s="56"/>
      <c r="E1069" s="56"/>
      <c r="F1069" s="56"/>
      <c r="G1069" s="50" t="str">
        <f aca="false">IF($A1069="","",IF(ISNUMBER($G1068),$G1068+1,1))</f>
        <v/>
      </c>
      <c r="H1069" s="51" t="str">
        <f aca="false">IF(OR(NOT(ISNUMBER($G1069)),$G1069&lt;2,NOT(ISNUMBER($C1068)),$C1068=0),"",$C1069/$C1068-1)</f>
        <v/>
      </c>
      <c r="I1069" s="52" t="str">
        <f aca="false">IF(AND(ISNUMBER($G1069),$G1069&gt;=MA_SHORT),AVERAGE(INDEX($C$669:$C1069,402-MA_SHORT):$C1069),"")</f>
        <v/>
      </c>
      <c r="J1069" s="52" t="str">
        <f aca="false">IF(AND(ISNUMBER($G1069),$G1069&gt;=MA_MED),AVERAGE(INDEX($C$669:$C1069,402-MA_MED):$C1069),"")</f>
        <v/>
      </c>
      <c r="K1069" s="52" t="str">
        <f aca="false">IF(AND(ISNUMBER($G1069),$G1069&gt;=MA_LONG2),AVERAGE(INDEX($C$669:$C1069,402-MA_LONG2):$C1069),"")</f>
        <v/>
      </c>
      <c r="L1069" s="53" t="str">
        <f aca="false">IF(AND(ISNUMBER($G1069),$G1069&gt;=21),STDEV(INDEX($H$1009:$H1069,62-20):$H1069)*SQRT(245),"")</f>
        <v/>
      </c>
      <c r="M1069" s="52" t="str">
        <f aca="false">IF(AND(ISNUMBER($G1069),$G1069&gt;=60),MAX(INDEX($D$869:$D1069,202-60):$D1069),"")</f>
        <v/>
      </c>
      <c r="N1069" s="52" t="str">
        <f aca="false">IF(AND(ISNUMBER($G1069),$G1069&gt;=60),MIN(INDEX($E$869:$E1069,202-60):$E1069),"")</f>
        <v/>
      </c>
      <c r="O1069" s="53" t="str">
        <f aca="false">IF(OR(NOT(ISNUMBER($C1069)),NOT(ISNUMBER($M1069)),$M1069=0),"",$C1069/$M1069-1)</f>
        <v/>
      </c>
    </row>
    <row r="1070" customFormat="false" ht="15" hidden="false" customHeight="false" outlineLevel="0" collapsed="false">
      <c r="A1070" s="55"/>
      <c r="B1070" s="56"/>
      <c r="C1070" s="57"/>
      <c r="D1070" s="56"/>
      <c r="E1070" s="56"/>
      <c r="F1070" s="56"/>
      <c r="G1070" s="50" t="str">
        <f aca="false">IF($A1070="","",IF(ISNUMBER($G1069),$G1069+1,1))</f>
        <v/>
      </c>
      <c r="H1070" s="51" t="str">
        <f aca="false">IF(OR(NOT(ISNUMBER($G1070)),$G1070&lt;2,NOT(ISNUMBER($C1069)),$C1069=0),"",$C1070/$C1069-1)</f>
        <v/>
      </c>
      <c r="I1070" s="52" t="str">
        <f aca="false">IF(AND(ISNUMBER($G1070),$G1070&gt;=MA_SHORT),AVERAGE(INDEX($C$670:$C1070,402-MA_SHORT):$C1070),"")</f>
        <v/>
      </c>
      <c r="J1070" s="52" t="str">
        <f aca="false">IF(AND(ISNUMBER($G1070),$G1070&gt;=MA_MED),AVERAGE(INDEX($C$670:$C1070,402-MA_MED):$C1070),"")</f>
        <v/>
      </c>
      <c r="K1070" s="52" t="str">
        <f aca="false">IF(AND(ISNUMBER($G1070),$G1070&gt;=MA_LONG2),AVERAGE(INDEX($C$670:$C1070,402-MA_LONG2):$C1070),"")</f>
        <v/>
      </c>
      <c r="L1070" s="53" t="str">
        <f aca="false">IF(AND(ISNUMBER($G1070),$G1070&gt;=21),STDEV(INDEX($H$1010:$H1070,62-20):$H1070)*SQRT(245),"")</f>
        <v/>
      </c>
      <c r="M1070" s="52" t="str">
        <f aca="false">IF(AND(ISNUMBER($G1070),$G1070&gt;=60),MAX(INDEX($D$870:$D1070,202-60):$D1070),"")</f>
        <v/>
      </c>
      <c r="N1070" s="52" t="str">
        <f aca="false">IF(AND(ISNUMBER($G1070),$G1070&gt;=60),MIN(INDEX($E$870:$E1070,202-60):$E1070),"")</f>
        <v/>
      </c>
      <c r="O1070" s="53" t="str">
        <f aca="false">IF(OR(NOT(ISNUMBER($C1070)),NOT(ISNUMBER($M1070)),$M1070=0),"",$C1070/$M1070-1)</f>
        <v/>
      </c>
    </row>
    <row r="1071" customFormat="false" ht="15" hidden="false" customHeight="false" outlineLevel="0" collapsed="false">
      <c r="A1071" s="55"/>
      <c r="B1071" s="56"/>
      <c r="C1071" s="57"/>
      <c r="D1071" s="56"/>
      <c r="E1071" s="56"/>
      <c r="F1071" s="56"/>
      <c r="G1071" s="50" t="str">
        <f aca="false">IF($A1071="","",IF(ISNUMBER($G1070),$G1070+1,1))</f>
        <v/>
      </c>
      <c r="H1071" s="51" t="str">
        <f aca="false">IF(OR(NOT(ISNUMBER($G1071)),$G1071&lt;2,NOT(ISNUMBER($C1070)),$C1070=0),"",$C1071/$C1070-1)</f>
        <v/>
      </c>
      <c r="I1071" s="52" t="str">
        <f aca="false">IF(AND(ISNUMBER($G1071),$G1071&gt;=MA_SHORT),AVERAGE(INDEX($C$671:$C1071,402-MA_SHORT):$C1071),"")</f>
        <v/>
      </c>
      <c r="J1071" s="52" t="str">
        <f aca="false">IF(AND(ISNUMBER($G1071),$G1071&gt;=MA_MED),AVERAGE(INDEX($C$671:$C1071,402-MA_MED):$C1071),"")</f>
        <v/>
      </c>
      <c r="K1071" s="52" t="str">
        <f aca="false">IF(AND(ISNUMBER($G1071),$G1071&gt;=MA_LONG2),AVERAGE(INDEX($C$671:$C1071,402-MA_LONG2):$C1071),"")</f>
        <v/>
      </c>
      <c r="L1071" s="53" t="str">
        <f aca="false">IF(AND(ISNUMBER($G1071),$G1071&gt;=21),STDEV(INDEX($H$1011:$H1071,62-20):$H1071)*SQRT(245),"")</f>
        <v/>
      </c>
      <c r="M1071" s="52" t="str">
        <f aca="false">IF(AND(ISNUMBER($G1071),$G1071&gt;=60),MAX(INDEX($D$871:$D1071,202-60):$D1071),"")</f>
        <v/>
      </c>
      <c r="N1071" s="52" t="str">
        <f aca="false">IF(AND(ISNUMBER($G1071),$G1071&gt;=60),MIN(INDEX($E$871:$E1071,202-60):$E1071),"")</f>
        <v/>
      </c>
      <c r="O1071" s="53" t="str">
        <f aca="false">IF(OR(NOT(ISNUMBER($C1071)),NOT(ISNUMBER($M1071)),$M1071=0),"",$C1071/$M1071-1)</f>
        <v/>
      </c>
    </row>
    <row r="1072" customFormat="false" ht="15" hidden="false" customHeight="false" outlineLevel="0" collapsed="false">
      <c r="A1072" s="55"/>
      <c r="B1072" s="56"/>
      <c r="C1072" s="57"/>
      <c r="D1072" s="56"/>
      <c r="E1072" s="56"/>
      <c r="F1072" s="56"/>
      <c r="G1072" s="50" t="str">
        <f aca="false">IF($A1072="","",IF(ISNUMBER($G1071),$G1071+1,1))</f>
        <v/>
      </c>
      <c r="H1072" s="51" t="str">
        <f aca="false">IF(OR(NOT(ISNUMBER($G1072)),$G1072&lt;2,NOT(ISNUMBER($C1071)),$C1071=0),"",$C1072/$C1071-1)</f>
        <v/>
      </c>
      <c r="I1072" s="52" t="str">
        <f aca="false">IF(AND(ISNUMBER($G1072),$G1072&gt;=MA_SHORT),AVERAGE(INDEX($C$672:$C1072,402-MA_SHORT):$C1072),"")</f>
        <v/>
      </c>
      <c r="J1072" s="52" t="str">
        <f aca="false">IF(AND(ISNUMBER($G1072),$G1072&gt;=MA_MED),AVERAGE(INDEX($C$672:$C1072,402-MA_MED):$C1072),"")</f>
        <v/>
      </c>
      <c r="K1072" s="52" t="str">
        <f aca="false">IF(AND(ISNUMBER($G1072),$G1072&gt;=MA_LONG2),AVERAGE(INDEX($C$672:$C1072,402-MA_LONG2):$C1072),"")</f>
        <v/>
      </c>
      <c r="L1072" s="53" t="str">
        <f aca="false">IF(AND(ISNUMBER($G1072),$G1072&gt;=21),STDEV(INDEX($H$1012:$H1072,62-20):$H1072)*SQRT(245),"")</f>
        <v/>
      </c>
      <c r="M1072" s="52" t="str">
        <f aca="false">IF(AND(ISNUMBER($G1072),$G1072&gt;=60),MAX(INDEX($D$872:$D1072,202-60):$D1072),"")</f>
        <v/>
      </c>
      <c r="N1072" s="52" t="str">
        <f aca="false">IF(AND(ISNUMBER($G1072),$G1072&gt;=60),MIN(INDEX($E$872:$E1072,202-60):$E1072),"")</f>
        <v/>
      </c>
      <c r="O1072" s="53" t="str">
        <f aca="false">IF(OR(NOT(ISNUMBER($C1072)),NOT(ISNUMBER($M1072)),$M1072=0),"",$C1072/$M1072-1)</f>
        <v/>
      </c>
    </row>
    <row r="1073" customFormat="false" ht="15" hidden="false" customHeight="false" outlineLevel="0" collapsed="false">
      <c r="A1073" s="55"/>
      <c r="B1073" s="56"/>
      <c r="C1073" s="57"/>
      <c r="D1073" s="56"/>
      <c r="E1073" s="56"/>
      <c r="F1073" s="56"/>
      <c r="G1073" s="50" t="str">
        <f aca="false">IF($A1073="","",IF(ISNUMBER($G1072),$G1072+1,1))</f>
        <v/>
      </c>
      <c r="H1073" s="51" t="str">
        <f aca="false">IF(OR(NOT(ISNUMBER($G1073)),$G1073&lt;2,NOT(ISNUMBER($C1072)),$C1072=0),"",$C1073/$C1072-1)</f>
        <v/>
      </c>
      <c r="I1073" s="52" t="str">
        <f aca="false">IF(AND(ISNUMBER($G1073),$G1073&gt;=MA_SHORT),AVERAGE(INDEX($C$673:$C1073,402-MA_SHORT):$C1073),"")</f>
        <v/>
      </c>
      <c r="J1073" s="52" t="str">
        <f aca="false">IF(AND(ISNUMBER($G1073),$G1073&gt;=MA_MED),AVERAGE(INDEX($C$673:$C1073,402-MA_MED):$C1073),"")</f>
        <v/>
      </c>
      <c r="K1073" s="52" t="str">
        <f aca="false">IF(AND(ISNUMBER($G1073),$G1073&gt;=MA_LONG2),AVERAGE(INDEX($C$673:$C1073,402-MA_LONG2):$C1073),"")</f>
        <v/>
      </c>
      <c r="L1073" s="53" t="str">
        <f aca="false">IF(AND(ISNUMBER($G1073),$G1073&gt;=21),STDEV(INDEX($H$1013:$H1073,62-20):$H1073)*SQRT(245),"")</f>
        <v/>
      </c>
      <c r="M1073" s="52" t="str">
        <f aca="false">IF(AND(ISNUMBER($G1073),$G1073&gt;=60),MAX(INDEX($D$873:$D1073,202-60):$D1073),"")</f>
        <v/>
      </c>
      <c r="N1073" s="52" t="str">
        <f aca="false">IF(AND(ISNUMBER($G1073),$G1073&gt;=60),MIN(INDEX($E$873:$E1073,202-60):$E1073),"")</f>
        <v/>
      </c>
      <c r="O1073" s="53" t="str">
        <f aca="false">IF(OR(NOT(ISNUMBER($C1073)),NOT(ISNUMBER($M1073)),$M1073=0),"",$C1073/$M1073-1)</f>
        <v/>
      </c>
    </row>
    <row r="1074" customFormat="false" ht="15" hidden="false" customHeight="false" outlineLevel="0" collapsed="false">
      <c r="A1074" s="55"/>
      <c r="B1074" s="56"/>
      <c r="C1074" s="57"/>
      <c r="D1074" s="56"/>
      <c r="E1074" s="56"/>
      <c r="F1074" s="56"/>
      <c r="G1074" s="50" t="str">
        <f aca="false">IF($A1074="","",IF(ISNUMBER($G1073),$G1073+1,1))</f>
        <v/>
      </c>
      <c r="H1074" s="51" t="str">
        <f aca="false">IF(OR(NOT(ISNUMBER($G1074)),$G1074&lt;2,NOT(ISNUMBER($C1073)),$C1073=0),"",$C1074/$C1073-1)</f>
        <v/>
      </c>
      <c r="I1074" s="52" t="str">
        <f aca="false">IF(AND(ISNUMBER($G1074),$G1074&gt;=MA_SHORT),AVERAGE(INDEX($C$674:$C1074,402-MA_SHORT):$C1074),"")</f>
        <v/>
      </c>
      <c r="J1074" s="52" t="str">
        <f aca="false">IF(AND(ISNUMBER($G1074),$G1074&gt;=MA_MED),AVERAGE(INDEX($C$674:$C1074,402-MA_MED):$C1074),"")</f>
        <v/>
      </c>
      <c r="K1074" s="52" t="str">
        <f aca="false">IF(AND(ISNUMBER($G1074),$G1074&gt;=MA_LONG2),AVERAGE(INDEX($C$674:$C1074,402-MA_LONG2):$C1074),"")</f>
        <v/>
      </c>
      <c r="L1074" s="53" t="str">
        <f aca="false">IF(AND(ISNUMBER($G1074),$G1074&gt;=21),STDEV(INDEX($H$1014:$H1074,62-20):$H1074)*SQRT(245),"")</f>
        <v/>
      </c>
      <c r="M1074" s="52" t="str">
        <f aca="false">IF(AND(ISNUMBER($G1074),$G1074&gt;=60),MAX(INDEX($D$874:$D1074,202-60):$D1074),"")</f>
        <v/>
      </c>
      <c r="N1074" s="52" t="str">
        <f aca="false">IF(AND(ISNUMBER($G1074),$G1074&gt;=60),MIN(INDEX($E$874:$E1074,202-60):$E1074),"")</f>
        <v/>
      </c>
      <c r="O1074" s="53" t="str">
        <f aca="false">IF(OR(NOT(ISNUMBER($C1074)),NOT(ISNUMBER($M1074)),$M1074=0),"",$C1074/$M1074-1)</f>
        <v/>
      </c>
    </row>
    <row r="1075" customFormat="false" ht="15" hidden="false" customHeight="false" outlineLevel="0" collapsed="false">
      <c r="A1075" s="55"/>
      <c r="B1075" s="56"/>
      <c r="C1075" s="57"/>
      <c r="D1075" s="56"/>
      <c r="E1075" s="56"/>
      <c r="F1075" s="56"/>
      <c r="G1075" s="50" t="str">
        <f aca="false">IF($A1075="","",IF(ISNUMBER($G1074),$G1074+1,1))</f>
        <v/>
      </c>
      <c r="H1075" s="51" t="str">
        <f aca="false">IF(OR(NOT(ISNUMBER($G1075)),$G1075&lt;2,NOT(ISNUMBER($C1074)),$C1074=0),"",$C1075/$C1074-1)</f>
        <v/>
      </c>
      <c r="I1075" s="52" t="str">
        <f aca="false">IF(AND(ISNUMBER($G1075),$G1075&gt;=MA_SHORT),AVERAGE(INDEX($C$675:$C1075,402-MA_SHORT):$C1075),"")</f>
        <v/>
      </c>
      <c r="J1075" s="52" t="str">
        <f aca="false">IF(AND(ISNUMBER($G1075),$G1075&gt;=MA_MED),AVERAGE(INDEX($C$675:$C1075,402-MA_MED):$C1075),"")</f>
        <v/>
      </c>
      <c r="K1075" s="52" t="str">
        <f aca="false">IF(AND(ISNUMBER($G1075),$G1075&gt;=MA_LONG2),AVERAGE(INDEX($C$675:$C1075,402-MA_LONG2):$C1075),"")</f>
        <v/>
      </c>
      <c r="L1075" s="53" t="str">
        <f aca="false">IF(AND(ISNUMBER($G1075),$G1075&gt;=21),STDEV(INDEX($H$1015:$H1075,62-20):$H1075)*SQRT(245),"")</f>
        <v/>
      </c>
      <c r="M1075" s="52" t="str">
        <f aca="false">IF(AND(ISNUMBER($G1075),$G1075&gt;=60),MAX(INDEX($D$875:$D1075,202-60):$D1075),"")</f>
        <v/>
      </c>
      <c r="N1075" s="52" t="str">
        <f aca="false">IF(AND(ISNUMBER($G1075),$G1075&gt;=60),MIN(INDEX($E$875:$E1075,202-60):$E1075),"")</f>
        <v/>
      </c>
      <c r="O1075" s="53" t="str">
        <f aca="false">IF(OR(NOT(ISNUMBER($C1075)),NOT(ISNUMBER($M1075)),$M1075=0),"",$C1075/$M1075-1)</f>
        <v/>
      </c>
    </row>
    <row r="1076" customFormat="false" ht="15" hidden="false" customHeight="false" outlineLevel="0" collapsed="false">
      <c r="A1076" s="55"/>
      <c r="B1076" s="56"/>
      <c r="C1076" s="57"/>
      <c r="D1076" s="56"/>
      <c r="E1076" s="56"/>
      <c r="F1076" s="56"/>
      <c r="G1076" s="50" t="str">
        <f aca="false">IF($A1076="","",IF(ISNUMBER($G1075),$G1075+1,1))</f>
        <v/>
      </c>
      <c r="H1076" s="51" t="str">
        <f aca="false">IF(OR(NOT(ISNUMBER($G1076)),$G1076&lt;2,NOT(ISNUMBER($C1075)),$C1075=0),"",$C1076/$C1075-1)</f>
        <v/>
      </c>
      <c r="I1076" s="52" t="str">
        <f aca="false">IF(AND(ISNUMBER($G1076),$G1076&gt;=MA_SHORT),AVERAGE(INDEX($C$676:$C1076,402-MA_SHORT):$C1076),"")</f>
        <v/>
      </c>
      <c r="J1076" s="52" t="str">
        <f aca="false">IF(AND(ISNUMBER($G1076),$G1076&gt;=MA_MED),AVERAGE(INDEX($C$676:$C1076,402-MA_MED):$C1076),"")</f>
        <v/>
      </c>
      <c r="K1076" s="52" t="str">
        <f aca="false">IF(AND(ISNUMBER($G1076),$G1076&gt;=MA_LONG2),AVERAGE(INDEX($C$676:$C1076,402-MA_LONG2):$C1076),"")</f>
        <v/>
      </c>
      <c r="L1076" s="53" t="str">
        <f aca="false">IF(AND(ISNUMBER($G1076),$G1076&gt;=21),STDEV(INDEX($H$1016:$H1076,62-20):$H1076)*SQRT(245),"")</f>
        <v/>
      </c>
      <c r="M1076" s="52" t="str">
        <f aca="false">IF(AND(ISNUMBER($G1076),$G1076&gt;=60),MAX(INDEX($D$876:$D1076,202-60):$D1076),"")</f>
        <v/>
      </c>
      <c r="N1076" s="52" t="str">
        <f aca="false">IF(AND(ISNUMBER($G1076),$G1076&gt;=60),MIN(INDEX($E$876:$E1076,202-60):$E1076),"")</f>
        <v/>
      </c>
      <c r="O1076" s="53" t="str">
        <f aca="false">IF(OR(NOT(ISNUMBER($C1076)),NOT(ISNUMBER($M1076)),$M1076=0),"",$C1076/$M1076-1)</f>
        <v/>
      </c>
    </row>
    <row r="1077" customFormat="false" ht="15" hidden="false" customHeight="false" outlineLevel="0" collapsed="false">
      <c r="A1077" s="55"/>
      <c r="B1077" s="56"/>
      <c r="C1077" s="57"/>
      <c r="D1077" s="56"/>
      <c r="E1077" s="56"/>
      <c r="F1077" s="56"/>
      <c r="G1077" s="50" t="str">
        <f aca="false">IF($A1077="","",IF(ISNUMBER($G1076),$G1076+1,1))</f>
        <v/>
      </c>
      <c r="H1077" s="51" t="str">
        <f aca="false">IF(OR(NOT(ISNUMBER($G1077)),$G1077&lt;2,NOT(ISNUMBER($C1076)),$C1076=0),"",$C1077/$C1076-1)</f>
        <v/>
      </c>
      <c r="I1077" s="52" t="str">
        <f aca="false">IF(AND(ISNUMBER($G1077),$G1077&gt;=MA_SHORT),AVERAGE(INDEX($C$677:$C1077,402-MA_SHORT):$C1077),"")</f>
        <v/>
      </c>
      <c r="J1077" s="52" t="str">
        <f aca="false">IF(AND(ISNUMBER($G1077),$G1077&gt;=MA_MED),AVERAGE(INDEX($C$677:$C1077,402-MA_MED):$C1077),"")</f>
        <v/>
      </c>
      <c r="K1077" s="52" t="str">
        <f aca="false">IF(AND(ISNUMBER($G1077),$G1077&gt;=MA_LONG2),AVERAGE(INDEX($C$677:$C1077,402-MA_LONG2):$C1077),"")</f>
        <v/>
      </c>
      <c r="L1077" s="53" t="str">
        <f aca="false">IF(AND(ISNUMBER($G1077),$G1077&gt;=21),STDEV(INDEX($H$1017:$H1077,62-20):$H1077)*SQRT(245),"")</f>
        <v/>
      </c>
      <c r="M1077" s="52" t="str">
        <f aca="false">IF(AND(ISNUMBER($G1077),$G1077&gt;=60),MAX(INDEX($D$877:$D1077,202-60):$D1077),"")</f>
        <v/>
      </c>
      <c r="N1077" s="52" t="str">
        <f aca="false">IF(AND(ISNUMBER($G1077),$G1077&gt;=60),MIN(INDEX($E$877:$E1077,202-60):$E1077),"")</f>
        <v/>
      </c>
      <c r="O1077" s="53" t="str">
        <f aca="false">IF(OR(NOT(ISNUMBER($C1077)),NOT(ISNUMBER($M1077)),$M1077=0),"",$C1077/$M1077-1)</f>
        <v/>
      </c>
    </row>
    <row r="1078" customFormat="false" ht="15" hidden="false" customHeight="false" outlineLevel="0" collapsed="false">
      <c r="A1078" s="55"/>
      <c r="B1078" s="56"/>
      <c r="C1078" s="57"/>
      <c r="D1078" s="56"/>
      <c r="E1078" s="56"/>
      <c r="F1078" s="56"/>
      <c r="G1078" s="50" t="str">
        <f aca="false">IF($A1078="","",IF(ISNUMBER($G1077),$G1077+1,1))</f>
        <v/>
      </c>
      <c r="H1078" s="51" t="str">
        <f aca="false">IF(OR(NOT(ISNUMBER($G1078)),$G1078&lt;2,NOT(ISNUMBER($C1077)),$C1077=0),"",$C1078/$C1077-1)</f>
        <v/>
      </c>
      <c r="I1078" s="52" t="str">
        <f aca="false">IF(AND(ISNUMBER($G1078),$G1078&gt;=MA_SHORT),AVERAGE(INDEX($C$678:$C1078,402-MA_SHORT):$C1078),"")</f>
        <v/>
      </c>
      <c r="J1078" s="52" t="str">
        <f aca="false">IF(AND(ISNUMBER($G1078),$G1078&gt;=MA_MED),AVERAGE(INDEX($C$678:$C1078,402-MA_MED):$C1078),"")</f>
        <v/>
      </c>
      <c r="K1078" s="52" t="str">
        <f aca="false">IF(AND(ISNUMBER($G1078),$G1078&gt;=MA_LONG2),AVERAGE(INDEX($C$678:$C1078,402-MA_LONG2):$C1078),"")</f>
        <v/>
      </c>
      <c r="L1078" s="53" t="str">
        <f aca="false">IF(AND(ISNUMBER($G1078),$G1078&gt;=21),STDEV(INDEX($H$1018:$H1078,62-20):$H1078)*SQRT(245),"")</f>
        <v/>
      </c>
      <c r="M1078" s="52" t="str">
        <f aca="false">IF(AND(ISNUMBER($G1078),$G1078&gt;=60),MAX(INDEX($D$878:$D1078,202-60):$D1078),"")</f>
        <v/>
      </c>
      <c r="N1078" s="52" t="str">
        <f aca="false">IF(AND(ISNUMBER($G1078),$G1078&gt;=60),MIN(INDEX($E$878:$E1078,202-60):$E1078),"")</f>
        <v/>
      </c>
      <c r="O1078" s="53" t="str">
        <f aca="false">IF(OR(NOT(ISNUMBER($C1078)),NOT(ISNUMBER($M1078)),$M1078=0),"",$C1078/$M1078-1)</f>
        <v/>
      </c>
    </row>
    <row r="1079" customFormat="false" ht="15" hidden="false" customHeight="false" outlineLevel="0" collapsed="false">
      <c r="A1079" s="55"/>
      <c r="B1079" s="56"/>
      <c r="C1079" s="57"/>
      <c r="D1079" s="56"/>
      <c r="E1079" s="56"/>
      <c r="F1079" s="56"/>
      <c r="G1079" s="50" t="str">
        <f aca="false">IF($A1079="","",IF(ISNUMBER($G1078),$G1078+1,1))</f>
        <v/>
      </c>
      <c r="H1079" s="51" t="str">
        <f aca="false">IF(OR(NOT(ISNUMBER($G1079)),$G1079&lt;2,NOT(ISNUMBER($C1078)),$C1078=0),"",$C1079/$C1078-1)</f>
        <v/>
      </c>
      <c r="I1079" s="52" t="str">
        <f aca="false">IF(AND(ISNUMBER($G1079),$G1079&gt;=MA_SHORT),AVERAGE(INDEX($C$679:$C1079,402-MA_SHORT):$C1079),"")</f>
        <v/>
      </c>
      <c r="J1079" s="52" t="str">
        <f aca="false">IF(AND(ISNUMBER($G1079),$G1079&gt;=MA_MED),AVERAGE(INDEX($C$679:$C1079,402-MA_MED):$C1079),"")</f>
        <v/>
      </c>
      <c r="K1079" s="52" t="str">
        <f aca="false">IF(AND(ISNUMBER($G1079),$G1079&gt;=MA_LONG2),AVERAGE(INDEX($C$679:$C1079,402-MA_LONG2):$C1079),"")</f>
        <v/>
      </c>
      <c r="L1079" s="53" t="str">
        <f aca="false">IF(AND(ISNUMBER($G1079),$G1079&gt;=21),STDEV(INDEX($H$1019:$H1079,62-20):$H1079)*SQRT(245),"")</f>
        <v/>
      </c>
      <c r="M1079" s="52" t="str">
        <f aca="false">IF(AND(ISNUMBER($G1079),$G1079&gt;=60),MAX(INDEX($D$879:$D1079,202-60):$D1079),"")</f>
        <v/>
      </c>
      <c r="N1079" s="52" t="str">
        <f aca="false">IF(AND(ISNUMBER($G1079),$G1079&gt;=60),MIN(INDEX($E$879:$E1079,202-60):$E1079),"")</f>
        <v/>
      </c>
      <c r="O1079" s="53" t="str">
        <f aca="false">IF(OR(NOT(ISNUMBER($C1079)),NOT(ISNUMBER($M1079)),$M1079=0),"",$C1079/$M1079-1)</f>
        <v/>
      </c>
    </row>
    <row r="1080" customFormat="false" ht="15" hidden="false" customHeight="false" outlineLevel="0" collapsed="false">
      <c r="A1080" s="55"/>
      <c r="B1080" s="56"/>
      <c r="C1080" s="57"/>
      <c r="D1080" s="56"/>
      <c r="E1080" s="56"/>
      <c r="F1080" s="56"/>
      <c r="G1080" s="50" t="str">
        <f aca="false">IF($A1080="","",IF(ISNUMBER($G1079),$G1079+1,1))</f>
        <v/>
      </c>
      <c r="H1080" s="51" t="str">
        <f aca="false">IF(OR(NOT(ISNUMBER($G1080)),$G1080&lt;2,NOT(ISNUMBER($C1079)),$C1079=0),"",$C1080/$C1079-1)</f>
        <v/>
      </c>
      <c r="I1080" s="52" t="str">
        <f aca="false">IF(AND(ISNUMBER($G1080),$G1080&gt;=MA_SHORT),AVERAGE(INDEX($C$680:$C1080,402-MA_SHORT):$C1080),"")</f>
        <v/>
      </c>
      <c r="J1080" s="52" t="str">
        <f aca="false">IF(AND(ISNUMBER($G1080),$G1080&gt;=MA_MED),AVERAGE(INDEX($C$680:$C1080,402-MA_MED):$C1080),"")</f>
        <v/>
      </c>
      <c r="K1080" s="52" t="str">
        <f aca="false">IF(AND(ISNUMBER($G1080),$G1080&gt;=MA_LONG2),AVERAGE(INDEX($C$680:$C1080,402-MA_LONG2):$C1080),"")</f>
        <v/>
      </c>
      <c r="L1080" s="53" t="str">
        <f aca="false">IF(AND(ISNUMBER($G1080),$G1080&gt;=21),STDEV(INDEX($H$1020:$H1080,62-20):$H1080)*SQRT(245),"")</f>
        <v/>
      </c>
      <c r="M1080" s="52" t="str">
        <f aca="false">IF(AND(ISNUMBER($G1080),$G1080&gt;=60),MAX(INDEX($D$880:$D1080,202-60):$D1080),"")</f>
        <v/>
      </c>
      <c r="N1080" s="52" t="str">
        <f aca="false">IF(AND(ISNUMBER($G1080),$G1080&gt;=60),MIN(INDEX($E$880:$E1080,202-60):$E1080),"")</f>
        <v/>
      </c>
      <c r="O1080" s="53" t="str">
        <f aca="false">IF(OR(NOT(ISNUMBER($C1080)),NOT(ISNUMBER($M1080)),$M1080=0),"",$C1080/$M1080-1)</f>
        <v/>
      </c>
    </row>
    <row r="1081" customFormat="false" ht="15" hidden="false" customHeight="false" outlineLevel="0" collapsed="false">
      <c r="A1081" s="55"/>
      <c r="B1081" s="56"/>
      <c r="C1081" s="57"/>
      <c r="D1081" s="56"/>
      <c r="E1081" s="56"/>
      <c r="F1081" s="56"/>
      <c r="G1081" s="50" t="str">
        <f aca="false">IF($A1081="","",IF(ISNUMBER($G1080),$G1080+1,1))</f>
        <v/>
      </c>
      <c r="H1081" s="51" t="str">
        <f aca="false">IF(OR(NOT(ISNUMBER($G1081)),$G1081&lt;2,NOT(ISNUMBER($C1080)),$C1080=0),"",$C1081/$C1080-1)</f>
        <v/>
      </c>
      <c r="I1081" s="52" t="str">
        <f aca="false">IF(AND(ISNUMBER($G1081),$G1081&gt;=MA_SHORT),AVERAGE(INDEX($C$681:$C1081,402-MA_SHORT):$C1081),"")</f>
        <v/>
      </c>
      <c r="J1081" s="52" t="str">
        <f aca="false">IF(AND(ISNUMBER($G1081),$G1081&gt;=MA_MED),AVERAGE(INDEX($C$681:$C1081,402-MA_MED):$C1081),"")</f>
        <v/>
      </c>
      <c r="K1081" s="52" t="str">
        <f aca="false">IF(AND(ISNUMBER($G1081),$G1081&gt;=MA_LONG2),AVERAGE(INDEX($C$681:$C1081,402-MA_LONG2):$C1081),"")</f>
        <v/>
      </c>
      <c r="L1081" s="53" t="str">
        <f aca="false">IF(AND(ISNUMBER($G1081),$G1081&gt;=21),STDEV(INDEX($H$1021:$H1081,62-20):$H1081)*SQRT(245),"")</f>
        <v/>
      </c>
      <c r="M1081" s="52" t="str">
        <f aca="false">IF(AND(ISNUMBER($G1081),$G1081&gt;=60),MAX(INDEX($D$881:$D1081,202-60):$D1081),"")</f>
        <v/>
      </c>
      <c r="N1081" s="52" t="str">
        <f aca="false">IF(AND(ISNUMBER($G1081),$G1081&gt;=60),MIN(INDEX($E$881:$E1081,202-60):$E1081),"")</f>
        <v/>
      </c>
      <c r="O1081" s="53" t="str">
        <f aca="false">IF(OR(NOT(ISNUMBER($C1081)),NOT(ISNUMBER($M1081)),$M1081=0),"",$C1081/$M1081-1)</f>
        <v/>
      </c>
    </row>
    <row r="1082" customFormat="false" ht="15" hidden="false" customHeight="false" outlineLevel="0" collapsed="false">
      <c r="A1082" s="55"/>
      <c r="B1082" s="56"/>
      <c r="C1082" s="57"/>
      <c r="D1082" s="56"/>
      <c r="E1082" s="56"/>
      <c r="F1082" s="56"/>
      <c r="G1082" s="50" t="str">
        <f aca="false">IF($A1082="","",IF(ISNUMBER($G1081),$G1081+1,1))</f>
        <v/>
      </c>
      <c r="H1082" s="51" t="str">
        <f aca="false">IF(OR(NOT(ISNUMBER($G1082)),$G1082&lt;2,NOT(ISNUMBER($C1081)),$C1081=0),"",$C1082/$C1081-1)</f>
        <v/>
      </c>
      <c r="I1082" s="52" t="str">
        <f aca="false">IF(AND(ISNUMBER($G1082),$G1082&gt;=MA_SHORT),AVERAGE(INDEX($C$682:$C1082,402-MA_SHORT):$C1082),"")</f>
        <v/>
      </c>
      <c r="J1082" s="52" t="str">
        <f aca="false">IF(AND(ISNUMBER($G1082),$G1082&gt;=MA_MED),AVERAGE(INDEX($C$682:$C1082,402-MA_MED):$C1082),"")</f>
        <v/>
      </c>
      <c r="K1082" s="52" t="str">
        <f aca="false">IF(AND(ISNUMBER($G1082),$G1082&gt;=MA_LONG2),AVERAGE(INDEX($C$682:$C1082,402-MA_LONG2):$C1082),"")</f>
        <v/>
      </c>
      <c r="L1082" s="53" t="str">
        <f aca="false">IF(AND(ISNUMBER($G1082),$G1082&gt;=21),STDEV(INDEX($H$1022:$H1082,62-20):$H1082)*SQRT(245),"")</f>
        <v/>
      </c>
      <c r="M1082" s="52" t="str">
        <f aca="false">IF(AND(ISNUMBER($G1082),$G1082&gt;=60),MAX(INDEX($D$882:$D1082,202-60):$D1082),"")</f>
        <v/>
      </c>
      <c r="N1082" s="52" t="str">
        <f aca="false">IF(AND(ISNUMBER($G1082),$G1082&gt;=60),MIN(INDEX($E$882:$E1082,202-60):$E1082),"")</f>
        <v/>
      </c>
      <c r="O1082" s="53" t="str">
        <f aca="false">IF(OR(NOT(ISNUMBER($C1082)),NOT(ISNUMBER($M1082)),$M1082=0),"",$C1082/$M1082-1)</f>
        <v/>
      </c>
    </row>
    <row r="1083" customFormat="false" ht="15" hidden="false" customHeight="false" outlineLevel="0" collapsed="false">
      <c r="A1083" s="55"/>
      <c r="B1083" s="56"/>
      <c r="C1083" s="57"/>
      <c r="D1083" s="56"/>
      <c r="E1083" s="56"/>
      <c r="F1083" s="56"/>
      <c r="G1083" s="50" t="str">
        <f aca="false">IF($A1083="","",IF(ISNUMBER($G1082),$G1082+1,1))</f>
        <v/>
      </c>
      <c r="H1083" s="51" t="str">
        <f aca="false">IF(OR(NOT(ISNUMBER($G1083)),$G1083&lt;2,NOT(ISNUMBER($C1082)),$C1082=0),"",$C1083/$C1082-1)</f>
        <v/>
      </c>
      <c r="I1083" s="52" t="str">
        <f aca="false">IF(AND(ISNUMBER($G1083),$G1083&gt;=MA_SHORT),AVERAGE(INDEX($C$683:$C1083,402-MA_SHORT):$C1083),"")</f>
        <v/>
      </c>
      <c r="J1083" s="52" t="str">
        <f aca="false">IF(AND(ISNUMBER($G1083),$G1083&gt;=MA_MED),AVERAGE(INDEX($C$683:$C1083,402-MA_MED):$C1083),"")</f>
        <v/>
      </c>
      <c r="K1083" s="52" t="str">
        <f aca="false">IF(AND(ISNUMBER($G1083),$G1083&gt;=MA_LONG2),AVERAGE(INDEX($C$683:$C1083,402-MA_LONG2):$C1083),"")</f>
        <v/>
      </c>
      <c r="L1083" s="53" t="str">
        <f aca="false">IF(AND(ISNUMBER($G1083),$G1083&gt;=21),STDEV(INDEX($H$1023:$H1083,62-20):$H1083)*SQRT(245),"")</f>
        <v/>
      </c>
      <c r="M1083" s="52" t="str">
        <f aca="false">IF(AND(ISNUMBER($G1083),$G1083&gt;=60),MAX(INDEX($D$883:$D1083,202-60):$D1083),"")</f>
        <v/>
      </c>
      <c r="N1083" s="52" t="str">
        <f aca="false">IF(AND(ISNUMBER($G1083),$G1083&gt;=60),MIN(INDEX($E$883:$E1083,202-60):$E1083),"")</f>
        <v/>
      </c>
      <c r="O1083" s="53" t="str">
        <f aca="false">IF(OR(NOT(ISNUMBER($C1083)),NOT(ISNUMBER($M1083)),$M1083=0),"",$C1083/$M1083-1)</f>
        <v/>
      </c>
    </row>
    <row r="1084" customFormat="false" ht="15" hidden="false" customHeight="false" outlineLevel="0" collapsed="false">
      <c r="A1084" s="55"/>
      <c r="B1084" s="56"/>
      <c r="C1084" s="57"/>
      <c r="D1084" s="56"/>
      <c r="E1084" s="56"/>
      <c r="F1084" s="56"/>
      <c r="G1084" s="50" t="str">
        <f aca="false">IF($A1084="","",IF(ISNUMBER($G1083),$G1083+1,1))</f>
        <v/>
      </c>
      <c r="H1084" s="51" t="str">
        <f aca="false">IF(OR(NOT(ISNUMBER($G1084)),$G1084&lt;2,NOT(ISNUMBER($C1083)),$C1083=0),"",$C1084/$C1083-1)</f>
        <v/>
      </c>
      <c r="I1084" s="52" t="str">
        <f aca="false">IF(AND(ISNUMBER($G1084),$G1084&gt;=MA_SHORT),AVERAGE(INDEX($C$684:$C1084,402-MA_SHORT):$C1084),"")</f>
        <v/>
      </c>
      <c r="J1084" s="52" t="str">
        <f aca="false">IF(AND(ISNUMBER($G1084),$G1084&gt;=MA_MED),AVERAGE(INDEX($C$684:$C1084,402-MA_MED):$C1084),"")</f>
        <v/>
      </c>
      <c r="K1084" s="52" t="str">
        <f aca="false">IF(AND(ISNUMBER($G1084),$G1084&gt;=MA_LONG2),AVERAGE(INDEX($C$684:$C1084,402-MA_LONG2):$C1084),"")</f>
        <v/>
      </c>
      <c r="L1084" s="53" t="str">
        <f aca="false">IF(AND(ISNUMBER($G1084),$G1084&gt;=21),STDEV(INDEX($H$1024:$H1084,62-20):$H1084)*SQRT(245),"")</f>
        <v/>
      </c>
      <c r="M1084" s="52" t="str">
        <f aca="false">IF(AND(ISNUMBER($G1084),$G1084&gt;=60),MAX(INDEX($D$884:$D1084,202-60):$D1084),"")</f>
        <v/>
      </c>
      <c r="N1084" s="52" t="str">
        <f aca="false">IF(AND(ISNUMBER($G1084),$G1084&gt;=60),MIN(INDEX($E$884:$E1084,202-60):$E1084),"")</f>
        <v/>
      </c>
      <c r="O1084" s="53" t="str">
        <f aca="false">IF(OR(NOT(ISNUMBER($C1084)),NOT(ISNUMBER($M1084)),$M1084=0),"",$C1084/$M1084-1)</f>
        <v/>
      </c>
    </row>
    <row r="1085" customFormat="false" ht="15" hidden="false" customHeight="false" outlineLevel="0" collapsed="false">
      <c r="A1085" s="55"/>
      <c r="B1085" s="56"/>
      <c r="C1085" s="57"/>
      <c r="D1085" s="56"/>
      <c r="E1085" s="56"/>
      <c r="F1085" s="56"/>
      <c r="G1085" s="50" t="str">
        <f aca="false">IF($A1085="","",IF(ISNUMBER($G1084),$G1084+1,1))</f>
        <v/>
      </c>
      <c r="H1085" s="51" t="str">
        <f aca="false">IF(OR(NOT(ISNUMBER($G1085)),$G1085&lt;2,NOT(ISNUMBER($C1084)),$C1084=0),"",$C1085/$C1084-1)</f>
        <v/>
      </c>
      <c r="I1085" s="52" t="str">
        <f aca="false">IF(AND(ISNUMBER($G1085),$G1085&gt;=MA_SHORT),AVERAGE(INDEX($C$685:$C1085,402-MA_SHORT):$C1085),"")</f>
        <v/>
      </c>
      <c r="J1085" s="52" t="str">
        <f aca="false">IF(AND(ISNUMBER($G1085),$G1085&gt;=MA_MED),AVERAGE(INDEX($C$685:$C1085,402-MA_MED):$C1085),"")</f>
        <v/>
      </c>
      <c r="K1085" s="52" t="str">
        <f aca="false">IF(AND(ISNUMBER($G1085),$G1085&gt;=MA_LONG2),AVERAGE(INDEX($C$685:$C1085,402-MA_LONG2):$C1085),"")</f>
        <v/>
      </c>
      <c r="L1085" s="53" t="str">
        <f aca="false">IF(AND(ISNUMBER($G1085),$G1085&gt;=21),STDEV(INDEX($H$1025:$H1085,62-20):$H1085)*SQRT(245),"")</f>
        <v/>
      </c>
      <c r="M1085" s="52" t="str">
        <f aca="false">IF(AND(ISNUMBER($G1085),$G1085&gt;=60),MAX(INDEX($D$885:$D1085,202-60):$D1085),"")</f>
        <v/>
      </c>
      <c r="N1085" s="52" t="str">
        <f aca="false">IF(AND(ISNUMBER($G1085),$G1085&gt;=60),MIN(INDEX($E$885:$E1085,202-60):$E1085),"")</f>
        <v/>
      </c>
      <c r="O1085" s="53" t="str">
        <f aca="false">IF(OR(NOT(ISNUMBER($C1085)),NOT(ISNUMBER($M1085)),$M1085=0),"",$C1085/$M1085-1)</f>
        <v/>
      </c>
    </row>
    <row r="1086" customFormat="false" ht="15" hidden="false" customHeight="false" outlineLevel="0" collapsed="false">
      <c r="A1086" s="55"/>
      <c r="B1086" s="56"/>
      <c r="C1086" s="57"/>
      <c r="D1086" s="56"/>
      <c r="E1086" s="56"/>
      <c r="F1086" s="56"/>
      <c r="G1086" s="50" t="str">
        <f aca="false">IF($A1086="","",IF(ISNUMBER($G1085),$G1085+1,1))</f>
        <v/>
      </c>
      <c r="H1086" s="51" t="str">
        <f aca="false">IF(OR(NOT(ISNUMBER($G1086)),$G1086&lt;2,NOT(ISNUMBER($C1085)),$C1085=0),"",$C1086/$C1085-1)</f>
        <v/>
      </c>
      <c r="I1086" s="52" t="str">
        <f aca="false">IF(AND(ISNUMBER($G1086),$G1086&gt;=MA_SHORT),AVERAGE(INDEX($C$686:$C1086,402-MA_SHORT):$C1086),"")</f>
        <v/>
      </c>
      <c r="J1086" s="52" t="str">
        <f aca="false">IF(AND(ISNUMBER($G1086),$G1086&gt;=MA_MED),AVERAGE(INDEX($C$686:$C1086,402-MA_MED):$C1086),"")</f>
        <v/>
      </c>
      <c r="K1086" s="52" t="str">
        <f aca="false">IF(AND(ISNUMBER($G1086),$G1086&gt;=MA_LONG2),AVERAGE(INDEX($C$686:$C1086,402-MA_LONG2):$C1086),"")</f>
        <v/>
      </c>
      <c r="L1086" s="53" t="str">
        <f aca="false">IF(AND(ISNUMBER($G1086),$G1086&gt;=21),STDEV(INDEX($H$1026:$H1086,62-20):$H1086)*SQRT(245),"")</f>
        <v/>
      </c>
      <c r="M1086" s="52" t="str">
        <f aca="false">IF(AND(ISNUMBER($G1086),$G1086&gt;=60),MAX(INDEX($D$886:$D1086,202-60):$D1086),"")</f>
        <v/>
      </c>
      <c r="N1086" s="52" t="str">
        <f aca="false">IF(AND(ISNUMBER($G1086),$G1086&gt;=60),MIN(INDEX($E$886:$E1086,202-60):$E1086),"")</f>
        <v/>
      </c>
      <c r="O1086" s="53" t="str">
        <f aca="false">IF(OR(NOT(ISNUMBER($C1086)),NOT(ISNUMBER($M1086)),$M1086=0),"",$C1086/$M1086-1)</f>
        <v/>
      </c>
    </row>
    <row r="1087" customFormat="false" ht="15" hidden="false" customHeight="false" outlineLevel="0" collapsed="false">
      <c r="A1087" s="55"/>
      <c r="B1087" s="56"/>
      <c r="C1087" s="57"/>
      <c r="D1087" s="56"/>
      <c r="E1087" s="56"/>
      <c r="F1087" s="56"/>
      <c r="G1087" s="50" t="str">
        <f aca="false">IF($A1087="","",IF(ISNUMBER($G1086),$G1086+1,1))</f>
        <v/>
      </c>
      <c r="H1087" s="51" t="str">
        <f aca="false">IF(OR(NOT(ISNUMBER($G1087)),$G1087&lt;2,NOT(ISNUMBER($C1086)),$C1086=0),"",$C1087/$C1086-1)</f>
        <v/>
      </c>
      <c r="I1087" s="52" t="str">
        <f aca="false">IF(AND(ISNUMBER($G1087),$G1087&gt;=MA_SHORT),AVERAGE(INDEX($C$687:$C1087,402-MA_SHORT):$C1087),"")</f>
        <v/>
      </c>
      <c r="J1087" s="52" t="str">
        <f aca="false">IF(AND(ISNUMBER($G1087),$G1087&gt;=MA_MED),AVERAGE(INDEX($C$687:$C1087,402-MA_MED):$C1087),"")</f>
        <v/>
      </c>
      <c r="K1087" s="52" t="str">
        <f aca="false">IF(AND(ISNUMBER($G1087),$G1087&gt;=MA_LONG2),AVERAGE(INDEX($C$687:$C1087,402-MA_LONG2):$C1087),"")</f>
        <v/>
      </c>
      <c r="L1087" s="53" t="str">
        <f aca="false">IF(AND(ISNUMBER($G1087),$G1087&gt;=21),STDEV(INDEX($H$1027:$H1087,62-20):$H1087)*SQRT(245),"")</f>
        <v/>
      </c>
      <c r="M1087" s="52" t="str">
        <f aca="false">IF(AND(ISNUMBER($G1087),$G1087&gt;=60),MAX(INDEX($D$887:$D1087,202-60):$D1087),"")</f>
        <v/>
      </c>
      <c r="N1087" s="52" t="str">
        <f aca="false">IF(AND(ISNUMBER($G1087),$G1087&gt;=60),MIN(INDEX($E$887:$E1087,202-60):$E1087),"")</f>
        <v/>
      </c>
      <c r="O1087" s="53" t="str">
        <f aca="false">IF(OR(NOT(ISNUMBER($C1087)),NOT(ISNUMBER($M1087)),$M1087=0),"",$C1087/$M1087-1)</f>
        <v/>
      </c>
    </row>
    <row r="1088" customFormat="false" ht="15" hidden="false" customHeight="false" outlineLevel="0" collapsed="false">
      <c r="A1088" s="55"/>
      <c r="B1088" s="56"/>
      <c r="C1088" s="57"/>
      <c r="D1088" s="56"/>
      <c r="E1088" s="56"/>
      <c r="F1088" s="56"/>
      <c r="G1088" s="50" t="str">
        <f aca="false">IF($A1088="","",IF(ISNUMBER($G1087),$G1087+1,1))</f>
        <v/>
      </c>
      <c r="H1088" s="51" t="str">
        <f aca="false">IF(OR(NOT(ISNUMBER($G1088)),$G1088&lt;2,NOT(ISNUMBER($C1087)),$C1087=0),"",$C1088/$C1087-1)</f>
        <v/>
      </c>
      <c r="I1088" s="52" t="str">
        <f aca="false">IF(AND(ISNUMBER($G1088),$G1088&gt;=MA_SHORT),AVERAGE(INDEX($C$688:$C1088,402-MA_SHORT):$C1088),"")</f>
        <v/>
      </c>
      <c r="J1088" s="52" t="str">
        <f aca="false">IF(AND(ISNUMBER($G1088),$G1088&gt;=MA_MED),AVERAGE(INDEX($C$688:$C1088,402-MA_MED):$C1088),"")</f>
        <v/>
      </c>
      <c r="K1088" s="52" t="str">
        <f aca="false">IF(AND(ISNUMBER($G1088),$G1088&gt;=MA_LONG2),AVERAGE(INDEX($C$688:$C1088,402-MA_LONG2):$C1088),"")</f>
        <v/>
      </c>
      <c r="L1088" s="53" t="str">
        <f aca="false">IF(AND(ISNUMBER($G1088),$G1088&gt;=21),STDEV(INDEX($H$1028:$H1088,62-20):$H1088)*SQRT(245),"")</f>
        <v/>
      </c>
      <c r="M1088" s="52" t="str">
        <f aca="false">IF(AND(ISNUMBER($G1088),$G1088&gt;=60),MAX(INDEX($D$888:$D1088,202-60):$D1088),"")</f>
        <v/>
      </c>
      <c r="N1088" s="52" t="str">
        <f aca="false">IF(AND(ISNUMBER($G1088),$G1088&gt;=60),MIN(INDEX($E$888:$E1088,202-60):$E1088),"")</f>
        <v/>
      </c>
      <c r="O1088" s="53" t="str">
        <f aca="false">IF(OR(NOT(ISNUMBER($C1088)),NOT(ISNUMBER($M1088)),$M1088=0),"",$C1088/$M1088-1)</f>
        <v/>
      </c>
    </row>
    <row r="1089" customFormat="false" ht="15" hidden="false" customHeight="false" outlineLevel="0" collapsed="false">
      <c r="A1089" s="55"/>
      <c r="B1089" s="56"/>
      <c r="C1089" s="57"/>
      <c r="D1089" s="56"/>
      <c r="E1089" s="56"/>
      <c r="F1089" s="56"/>
      <c r="G1089" s="50" t="str">
        <f aca="false">IF($A1089="","",IF(ISNUMBER($G1088),$G1088+1,1))</f>
        <v/>
      </c>
      <c r="H1089" s="51" t="str">
        <f aca="false">IF(OR(NOT(ISNUMBER($G1089)),$G1089&lt;2,NOT(ISNUMBER($C1088)),$C1088=0),"",$C1089/$C1088-1)</f>
        <v/>
      </c>
      <c r="I1089" s="52" t="str">
        <f aca="false">IF(AND(ISNUMBER($G1089),$G1089&gt;=MA_SHORT),AVERAGE(INDEX($C$689:$C1089,402-MA_SHORT):$C1089),"")</f>
        <v/>
      </c>
      <c r="J1089" s="52" t="str">
        <f aca="false">IF(AND(ISNUMBER($G1089),$G1089&gt;=MA_MED),AVERAGE(INDEX($C$689:$C1089,402-MA_MED):$C1089),"")</f>
        <v/>
      </c>
      <c r="K1089" s="52" t="str">
        <f aca="false">IF(AND(ISNUMBER($G1089),$G1089&gt;=MA_LONG2),AVERAGE(INDEX($C$689:$C1089,402-MA_LONG2):$C1089),"")</f>
        <v/>
      </c>
      <c r="L1089" s="53" t="str">
        <f aca="false">IF(AND(ISNUMBER($G1089),$G1089&gt;=21),STDEV(INDEX($H$1029:$H1089,62-20):$H1089)*SQRT(245),"")</f>
        <v/>
      </c>
      <c r="M1089" s="52" t="str">
        <f aca="false">IF(AND(ISNUMBER($G1089),$G1089&gt;=60),MAX(INDEX($D$889:$D1089,202-60):$D1089),"")</f>
        <v/>
      </c>
      <c r="N1089" s="52" t="str">
        <f aca="false">IF(AND(ISNUMBER($G1089),$G1089&gt;=60),MIN(INDEX($E$889:$E1089,202-60):$E1089),"")</f>
        <v/>
      </c>
      <c r="O1089" s="53" t="str">
        <f aca="false">IF(OR(NOT(ISNUMBER($C1089)),NOT(ISNUMBER($M1089)),$M1089=0),"",$C1089/$M1089-1)</f>
        <v/>
      </c>
    </row>
    <row r="1090" customFormat="false" ht="15" hidden="false" customHeight="false" outlineLevel="0" collapsed="false">
      <c r="A1090" s="55"/>
      <c r="B1090" s="56"/>
      <c r="C1090" s="57"/>
      <c r="D1090" s="56"/>
      <c r="E1090" s="56"/>
      <c r="F1090" s="56"/>
      <c r="G1090" s="50" t="str">
        <f aca="false">IF($A1090="","",IF(ISNUMBER($G1089),$G1089+1,1))</f>
        <v/>
      </c>
      <c r="H1090" s="51" t="str">
        <f aca="false">IF(OR(NOT(ISNUMBER($G1090)),$G1090&lt;2,NOT(ISNUMBER($C1089)),$C1089=0),"",$C1090/$C1089-1)</f>
        <v/>
      </c>
      <c r="I1090" s="52" t="str">
        <f aca="false">IF(AND(ISNUMBER($G1090),$G1090&gt;=MA_SHORT),AVERAGE(INDEX($C$690:$C1090,402-MA_SHORT):$C1090),"")</f>
        <v/>
      </c>
      <c r="J1090" s="52" t="str">
        <f aca="false">IF(AND(ISNUMBER($G1090),$G1090&gt;=MA_MED),AVERAGE(INDEX($C$690:$C1090,402-MA_MED):$C1090),"")</f>
        <v/>
      </c>
      <c r="K1090" s="52" t="str">
        <f aca="false">IF(AND(ISNUMBER($G1090),$G1090&gt;=MA_LONG2),AVERAGE(INDEX($C$690:$C1090,402-MA_LONG2):$C1090),"")</f>
        <v/>
      </c>
      <c r="L1090" s="53" t="str">
        <f aca="false">IF(AND(ISNUMBER($G1090),$G1090&gt;=21),STDEV(INDEX($H$1030:$H1090,62-20):$H1090)*SQRT(245),"")</f>
        <v/>
      </c>
      <c r="M1090" s="52" t="str">
        <f aca="false">IF(AND(ISNUMBER($G1090),$G1090&gt;=60),MAX(INDEX($D$890:$D1090,202-60):$D1090),"")</f>
        <v/>
      </c>
      <c r="N1090" s="52" t="str">
        <f aca="false">IF(AND(ISNUMBER($G1090),$G1090&gt;=60),MIN(INDEX($E$890:$E1090,202-60):$E1090),"")</f>
        <v/>
      </c>
      <c r="O1090" s="53" t="str">
        <f aca="false">IF(OR(NOT(ISNUMBER($C1090)),NOT(ISNUMBER($M1090)),$M1090=0),"",$C1090/$M1090-1)</f>
        <v/>
      </c>
    </row>
    <row r="1091" customFormat="false" ht="15" hidden="false" customHeight="false" outlineLevel="0" collapsed="false">
      <c r="A1091" s="55"/>
      <c r="B1091" s="56"/>
      <c r="C1091" s="57"/>
      <c r="D1091" s="56"/>
      <c r="E1091" s="56"/>
      <c r="F1091" s="56"/>
      <c r="G1091" s="50" t="str">
        <f aca="false">IF($A1091="","",IF(ISNUMBER($G1090),$G1090+1,1))</f>
        <v/>
      </c>
      <c r="H1091" s="51" t="str">
        <f aca="false">IF(OR(NOT(ISNUMBER($G1091)),$G1091&lt;2,NOT(ISNUMBER($C1090)),$C1090=0),"",$C1091/$C1090-1)</f>
        <v/>
      </c>
      <c r="I1091" s="52" t="str">
        <f aca="false">IF(AND(ISNUMBER($G1091),$G1091&gt;=MA_SHORT),AVERAGE(INDEX($C$691:$C1091,402-MA_SHORT):$C1091),"")</f>
        <v/>
      </c>
      <c r="J1091" s="52" t="str">
        <f aca="false">IF(AND(ISNUMBER($G1091),$G1091&gt;=MA_MED),AVERAGE(INDEX($C$691:$C1091,402-MA_MED):$C1091),"")</f>
        <v/>
      </c>
      <c r="K1091" s="52" t="str">
        <f aca="false">IF(AND(ISNUMBER($G1091),$G1091&gt;=MA_LONG2),AVERAGE(INDEX($C$691:$C1091,402-MA_LONG2):$C1091),"")</f>
        <v/>
      </c>
      <c r="L1091" s="53" t="str">
        <f aca="false">IF(AND(ISNUMBER($G1091),$G1091&gt;=21),STDEV(INDEX($H$1031:$H1091,62-20):$H1091)*SQRT(245),"")</f>
        <v/>
      </c>
      <c r="M1091" s="52" t="str">
        <f aca="false">IF(AND(ISNUMBER($G1091),$G1091&gt;=60),MAX(INDEX($D$891:$D1091,202-60):$D1091),"")</f>
        <v/>
      </c>
      <c r="N1091" s="52" t="str">
        <f aca="false">IF(AND(ISNUMBER($G1091),$G1091&gt;=60),MIN(INDEX($E$891:$E1091,202-60):$E1091),"")</f>
        <v/>
      </c>
      <c r="O1091" s="53" t="str">
        <f aca="false">IF(OR(NOT(ISNUMBER($C1091)),NOT(ISNUMBER($M1091)),$M1091=0),"",$C1091/$M1091-1)</f>
        <v/>
      </c>
    </row>
    <row r="1092" customFormat="false" ht="15" hidden="false" customHeight="false" outlineLevel="0" collapsed="false">
      <c r="A1092" s="55"/>
      <c r="B1092" s="56"/>
      <c r="C1092" s="57"/>
      <c r="D1092" s="56"/>
      <c r="E1092" s="56"/>
      <c r="F1092" s="56"/>
      <c r="G1092" s="50" t="str">
        <f aca="false">IF($A1092="","",IF(ISNUMBER($G1091),$G1091+1,1))</f>
        <v/>
      </c>
      <c r="H1092" s="51" t="str">
        <f aca="false">IF(OR(NOT(ISNUMBER($G1092)),$G1092&lt;2,NOT(ISNUMBER($C1091)),$C1091=0),"",$C1092/$C1091-1)</f>
        <v/>
      </c>
      <c r="I1092" s="52" t="str">
        <f aca="false">IF(AND(ISNUMBER($G1092),$G1092&gt;=MA_SHORT),AVERAGE(INDEX($C$692:$C1092,402-MA_SHORT):$C1092),"")</f>
        <v/>
      </c>
      <c r="J1092" s="52" t="str">
        <f aca="false">IF(AND(ISNUMBER($G1092),$G1092&gt;=MA_MED),AVERAGE(INDEX($C$692:$C1092,402-MA_MED):$C1092),"")</f>
        <v/>
      </c>
      <c r="K1092" s="52" t="str">
        <f aca="false">IF(AND(ISNUMBER($G1092),$G1092&gt;=MA_LONG2),AVERAGE(INDEX($C$692:$C1092,402-MA_LONG2):$C1092),"")</f>
        <v/>
      </c>
      <c r="L1092" s="53" t="str">
        <f aca="false">IF(AND(ISNUMBER($G1092),$G1092&gt;=21),STDEV(INDEX($H$1032:$H1092,62-20):$H1092)*SQRT(245),"")</f>
        <v/>
      </c>
      <c r="M1092" s="52" t="str">
        <f aca="false">IF(AND(ISNUMBER($G1092),$G1092&gt;=60),MAX(INDEX($D$892:$D1092,202-60):$D1092),"")</f>
        <v/>
      </c>
      <c r="N1092" s="52" t="str">
        <f aca="false">IF(AND(ISNUMBER($G1092),$G1092&gt;=60),MIN(INDEX($E$892:$E1092,202-60):$E1092),"")</f>
        <v/>
      </c>
      <c r="O1092" s="53" t="str">
        <f aca="false">IF(OR(NOT(ISNUMBER($C1092)),NOT(ISNUMBER($M1092)),$M1092=0),"",$C1092/$M1092-1)</f>
        <v/>
      </c>
    </row>
    <row r="1093" customFormat="false" ht="15" hidden="false" customHeight="false" outlineLevel="0" collapsed="false">
      <c r="A1093" s="55"/>
      <c r="B1093" s="56"/>
      <c r="C1093" s="57"/>
      <c r="D1093" s="56"/>
      <c r="E1093" s="56"/>
      <c r="F1093" s="56"/>
      <c r="G1093" s="50" t="str">
        <f aca="false">IF($A1093="","",IF(ISNUMBER($G1092),$G1092+1,1))</f>
        <v/>
      </c>
      <c r="H1093" s="51" t="str">
        <f aca="false">IF(OR(NOT(ISNUMBER($G1093)),$G1093&lt;2,NOT(ISNUMBER($C1092)),$C1092=0),"",$C1093/$C1092-1)</f>
        <v/>
      </c>
      <c r="I1093" s="52" t="str">
        <f aca="false">IF(AND(ISNUMBER($G1093),$G1093&gt;=MA_SHORT),AVERAGE(INDEX($C$693:$C1093,402-MA_SHORT):$C1093),"")</f>
        <v/>
      </c>
      <c r="J1093" s="52" t="str">
        <f aca="false">IF(AND(ISNUMBER($G1093),$G1093&gt;=MA_MED),AVERAGE(INDEX($C$693:$C1093,402-MA_MED):$C1093),"")</f>
        <v/>
      </c>
      <c r="K1093" s="52" t="str">
        <f aca="false">IF(AND(ISNUMBER($G1093),$G1093&gt;=MA_LONG2),AVERAGE(INDEX($C$693:$C1093,402-MA_LONG2):$C1093),"")</f>
        <v/>
      </c>
      <c r="L1093" s="53" t="str">
        <f aca="false">IF(AND(ISNUMBER($G1093),$G1093&gt;=21),STDEV(INDEX($H$1033:$H1093,62-20):$H1093)*SQRT(245),"")</f>
        <v/>
      </c>
      <c r="M1093" s="52" t="str">
        <f aca="false">IF(AND(ISNUMBER($G1093),$G1093&gt;=60),MAX(INDEX($D$893:$D1093,202-60):$D1093),"")</f>
        <v/>
      </c>
      <c r="N1093" s="52" t="str">
        <f aca="false">IF(AND(ISNUMBER($G1093),$G1093&gt;=60),MIN(INDEX($E$893:$E1093,202-60):$E1093),"")</f>
        <v/>
      </c>
      <c r="O1093" s="53" t="str">
        <f aca="false">IF(OR(NOT(ISNUMBER($C1093)),NOT(ISNUMBER($M1093)),$M1093=0),"",$C1093/$M1093-1)</f>
        <v/>
      </c>
    </row>
    <row r="1094" customFormat="false" ht="15" hidden="false" customHeight="false" outlineLevel="0" collapsed="false">
      <c r="A1094" s="55"/>
      <c r="B1094" s="56"/>
      <c r="C1094" s="57"/>
      <c r="D1094" s="56"/>
      <c r="E1094" s="56"/>
      <c r="F1094" s="56"/>
      <c r="G1094" s="50" t="str">
        <f aca="false">IF($A1094="","",IF(ISNUMBER($G1093),$G1093+1,1))</f>
        <v/>
      </c>
      <c r="H1094" s="51" t="str">
        <f aca="false">IF(OR(NOT(ISNUMBER($G1094)),$G1094&lt;2,NOT(ISNUMBER($C1093)),$C1093=0),"",$C1094/$C1093-1)</f>
        <v/>
      </c>
      <c r="I1094" s="52" t="str">
        <f aca="false">IF(AND(ISNUMBER($G1094),$G1094&gt;=MA_SHORT),AVERAGE(INDEX($C$694:$C1094,402-MA_SHORT):$C1094),"")</f>
        <v/>
      </c>
      <c r="J1094" s="52" t="str">
        <f aca="false">IF(AND(ISNUMBER($G1094),$G1094&gt;=MA_MED),AVERAGE(INDEX($C$694:$C1094,402-MA_MED):$C1094),"")</f>
        <v/>
      </c>
      <c r="K1094" s="52" t="str">
        <f aca="false">IF(AND(ISNUMBER($G1094),$G1094&gt;=MA_LONG2),AVERAGE(INDEX($C$694:$C1094,402-MA_LONG2):$C1094),"")</f>
        <v/>
      </c>
      <c r="L1094" s="53" t="str">
        <f aca="false">IF(AND(ISNUMBER($G1094),$G1094&gt;=21),STDEV(INDEX($H$1034:$H1094,62-20):$H1094)*SQRT(245),"")</f>
        <v/>
      </c>
      <c r="M1094" s="52" t="str">
        <f aca="false">IF(AND(ISNUMBER($G1094),$G1094&gt;=60),MAX(INDEX($D$894:$D1094,202-60):$D1094),"")</f>
        <v/>
      </c>
      <c r="N1094" s="52" t="str">
        <f aca="false">IF(AND(ISNUMBER($G1094),$G1094&gt;=60),MIN(INDEX($E$894:$E1094,202-60):$E1094),"")</f>
        <v/>
      </c>
      <c r="O1094" s="53" t="str">
        <f aca="false">IF(OR(NOT(ISNUMBER($C1094)),NOT(ISNUMBER($M1094)),$M1094=0),"",$C1094/$M1094-1)</f>
        <v/>
      </c>
    </row>
    <row r="1095" customFormat="false" ht="15" hidden="false" customHeight="false" outlineLevel="0" collapsed="false">
      <c r="A1095" s="55"/>
      <c r="B1095" s="56"/>
      <c r="C1095" s="57"/>
      <c r="D1095" s="56"/>
      <c r="E1095" s="56"/>
      <c r="F1095" s="56"/>
      <c r="G1095" s="50" t="str">
        <f aca="false">IF($A1095="","",IF(ISNUMBER($G1094),$G1094+1,1))</f>
        <v/>
      </c>
      <c r="H1095" s="51" t="str">
        <f aca="false">IF(OR(NOT(ISNUMBER($G1095)),$G1095&lt;2,NOT(ISNUMBER($C1094)),$C1094=0),"",$C1095/$C1094-1)</f>
        <v/>
      </c>
      <c r="I1095" s="52" t="str">
        <f aca="false">IF(AND(ISNUMBER($G1095),$G1095&gt;=MA_SHORT),AVERAGE(INDEX($C$695:$C1095,402-MA_SHORT):$C1095),"")</f>
        <v/>
      </c>
      <c r="J1095" s="52" t="str">
        <f aca="false">IF(AND(ISNUMBER($G1095),$G1095&gt;=MA_MED),AVERAGE(INDEX($C$695:$C1095,402-MA_MED):$C1095),"")</f>
        <v/>
      </c>
      <c r="K1095" s="52" t="str">
        <f aca="false">IF(AND(ISNUMBER($G1095),$G1095&gt;=MA_LONG2),AVERAGE(INDEX($C$695:$C1095,402-MA_LONG2):$C1095),"")</f>
        <v/>
      </c>
      <c r="L1095" s="53" t="str">
        <f aca="false">IF(AND(ISNUMBER($G1095),$G1095&gt;=21),STDEV(INDEX($H$1035:$H1095,62-20):$H1095)*SQRT(245),"")</f>
        <v/>
      </c>
      <c r="M1095" s="52" t="str">
        <f aca="false">IF(AND(ISNUMBER($G1095),$G1095&gt;=60),MAX(INDEX($D$895:$D1095,202-60):$D1095),"")</f>
        <v/>
      </c>
      <c r="N1095" s="52" t="str">
        <f aca="false">IF(AND(ISNUMBER($G1095),$G1095&gt;=60),MIN(INDEX($E$895:$E1095,202-60):$E1095),"")</f>
        <v/>
      </c>
      <c r="O1095" s="53" t="str">
        <f aca="false">IF(OR(NOT(ISNUMBER($C1095)),NOT(ISNUMBER($M1095)),$M1095=0),"",$C1095/$M1095-1)</f>
        <v/>
      </c>
    </row>
    <row r="1096" customFormat="false" ht="15" hidden="false" customHeight="false" outlineLevel="0" collapsed="false">
      <c r="A1096" s="55"/>
      <c r="B1096" s="56"/>
      <c r="C1096" s="57"/>
      <c r="D1096" s="56"/>
      <c r="E1096" s="56"/>
      <c r="F1096" s="56"/>
      <c r="G1096" s="50" t="str">
        <f aca="false">IF($A1096="","",IF(ISNUMBER($G1095),$G1095+1,1))</f>
        <v/>
      </c>
      <c r="H1096" s="51" t="str">
        <f aca="false">IF(OR(NOT(ISNUMBER($G1096)),$G1096&lt;2,NOT(ISNUMBER($C1095)),$C1095=0),"",$C1096/$C1095-1)</f>
        <v/>
      </c>
      <c r="I1096" s="52" t="str">
        <f aca="false">IF(AND(ISNUMBER($G1096),$G1096&gt;=MA_SHORT),AVERAGE(INDEX($C$696:$C1096,402-MA_SHORT):$C1096),"")</f>
        <v/>
      </c>
      <c r="J1096" s="52" t="str">
        <f aca="false">IF(AND(ISNUMBER($G1096),$G1096&gt;=MA_MED),AVERAGE(INDEX($C$696:$C1096,402-MA_MED):$C1096),"")</f>
        <v/>
      </c>
      <c r="K1096" s="52" t="str">
        <f aca="false">IF(AND(ISNUMBER($G1096),$G1096&gt;=MA_LONG2),AVERAGE(INDEX($C$696:$C1096,402-MA_LONG2):$C1096),"")</f>
        <v/>
      </c>
      <c r="L1096" s="53" t="str">
        <f aca="false">IF(AND(ISNUMBER($G1096),$G1096&gt;=21),STDEV(INDEX($H$1036:$H1096,62-20):$H1096)*SQRT(245),"")</f>
        <v/>
      </c>
      <c r="M1096" s="52" t="str">
        <f aca="false">IF(AND(ISNUMBER($G1096),$G1096&gt;=60),MAX(INDEX($D$896:$D1096,202-60):$D1096),"")</f>
        <v/>
      </c>
      <c r="N1096" s="52" t="str">
        <f aca="false">IF(AND(ISNUMBER($G1096),$G1096&gt;=60),MIN(INDEX($E$896:$E1096,202-60):$E1096),"")</f>
        <v/>
      </c>
      <c r="O1096" s="53" t="str">
        <f aca="false">IF(OR(NOT(ISNUMBER($C1096)),NOT(ISNUMBER($M1096)),$M1096=0),"",$C1096/$M1096-1)</f>
        <v/>
      </c>
    </row>
    <row r="1097" customFormat="false" ht="15" hidden="false" customHeight="false" outlineLevel="0" collapsed="false">
      <c r="A1097" s="55"/>
      <c r="B1097" s="56"/>
      <c r="C1097" s="57"/>
      <c r="D1097" s="56"/>
      <c r="E1097" s="56"/>
      <c r="F1097" s="56"/>
      <c r="G1097" s="50" t="str">
        <f aca="false">IF($A1097="","",IF(ISNUMBER($G1096),$G1096+1,1))</f>
        <v/>
      </c>
      <c r="H1097" s="51" t="str">
        <f aca="false">IF(OR(NOT(ISNUMBER($G1097)),$G1097&lt;2,NOT(ISNUMBER($C1096)),$C1096=0),"",$C1097/$C1096-1)</f>
        <v/>
      </c>
      <c r="I1097" s="52" t="str">
        <f aca="false">IF(AND(ISNUMBER($G1097),$G1097&gt;=MA_SHORT),AVERAGE(INDEX($C$697:$C1097,402-MA_SHORT):$C1097),"")</f>
        <v/>
      </c>
      <c r="J1097" s="52" t="str">
        <f aca="false">IF(AND(ISNUMBER($G1097),$G1097&gt;=MA_MED),AVERAGE(INDEX($C$697:$C1097,402-MA_MED):$C1097),"")</f>
        <v/>
      </c>
      <c r="K1097" s="52" t="str">
        <f aca="false">IF(AND(ISNUMBER($G1097),$G1097&gt;=MA_LONG2),AVERAGE(INDEX($C$697:$C1097,402-MA_LONG2):$C1097),"")</f>
        <v/>
      </c>
      <c r="L1097" s="53" t="str">
        <f aca="false">IF(AND(ISNUMBER($G1097),$G1097&gt;=21),STDEV(INDEX($H$1037:$H1097,62-20):$H1097)*SQRT(245),"")</f>
        <v/>
      </c>
      <c r="M1097" s="52" t="str">
        <f aca="false">IF(AND(ISNUMBER($G1097),$G1097&gt;=60),MAX(INDEX($D$897:$D1097,202-60):$D1097),"")</f>
        <v/>
      </c>
      <c r="N1097" s="52" t="str">
        <f aca="false">IF(AND(ISNUMBER($G1097),$G1097&gt;=60),MIN(INDEX($E$897:$E1097,202-60):$E1097),"")</f>
        <v/>
      </c>
      <c r="O1097" s="53" t="str">
        <f aca="false">IF(OR(NOT(ISNUMBER($C1097)),NOT(ISNUMBER($M1097)),$M1097=0),"",$C1097/$M1097-1)</f>
        <v/>
      </c>
    </row>
    <row r="1098" customFormat="false" ht="15" hidden="false" customHeight="false" outlineLevel="0" collapsed="false">
      <c r="A1098" s="55"/>
      <c r="B1098" s="56"/>
      <c r="C1098" s="57"/>
      <c r="D1098" s="56"/>
      <c r="E1098" s="56"/>
      <c r="F1098" s="56"/>
      <c r="G1098" s="50" t="str">
        <f aca="false">IF($A1098="","",IF(ISNUMBER($G1097),$G1097+1,1))</f>
        <v/>
      </c>
      <c r="H1098" s="51" t="str">
        <f aca="false">IF(OR(NOT(ISNUMBER($G1098)),$G1098&lt;2,NOT(ISNUMBER($C1097)),$C1097=0),"",$C1098/$C1097-1)</f>
        <v/>
      </c>
      <c r="I1098" s="52" t="str">
        <f aca="false">IF(AND(ISNUMBER($G1098),$G1098&gt;=MA_SHORT),AVERAGE(INDEX($C$698:$C1098,402-MA_SHORT):$C1098),"")</f>
        <v/>
      </c>
      <c r="J1098" s="52" t="str">
        <f aca="false">IF(AND(ISNUMBER($G1098),$G1098&gt;=MA_MED),AVERAGE(INDEX($C$698:$C1098,402-MA_MED):$C1098),"")</f>
        <v/>
      </c>
      <c r="K1098" s="52" t="str">
        <f aca="false">IF(AND(ISNUMBER($G1098),$G1098&gt;=MA_LONG2),AVERAGE(INDEX($C$698:$C1098,402-MA_LONG2):$C1098),"")</f>
        <v/>
      </c>
      <c r="L1098" s="53" t="str">
        <f aca="false">IF(AND(ISNUMBER($G1098),$G1098&gt;=21),STDEV(INDEX($H$1038:$H1098,62-20):$H1098)*SQRT(245),"")</f>
        <v/>
      </c>
      <c r="M1098" s="52" t="str">
        <f aca="false">IF(AND(ISNUMBER($G1098),$G1098&gt;=60),MAX(INDEX($D$898:$D1098,202-60):$D1098),"")</f>
        <v/>
      </c>
      <c r="N1098" s="52" t="str">
        <f aca="false">IF(AND(ISNUMBER($G1098),$G1098&gt;=60),MIN(INDEX($E$898:$E1098,202-60):$E1098),"")</f>
        <v/>
      </c>
      <c r="O1098" s="53" t="str">
        <f aca="false">IF(OR(NOT(ISNUMBER($C1098)),NOT(ISNUMBER($M1098)),$M1098=0),"",$C1098/$M1098-1)</f>
        <v/>
      </c>
    </row>
    <row r="1099" customFormat="false" ht="15" hidden="false" customHeight="false" outlineLevel="0" collapsed="false">
      <c r="A1099" s="55"/>
      <c r="B1099" s="56"/>
      <c r="C1099" s="57"/>
      <c r="D1099" s="56"/>
      <c r="E1099" s="56"/>
      <c r="F1099" s="56"/>
      <c r="G1099" s="50" t="str">
        <f aca="false">IF($A1099="","",IF(ISNUMBER($G1098),$G1098+1,1))</f>
        <v/>
      </c>
      <c r="H1099" s="51" t="str">
        <f aca="false">IF(OR(NOT(ISNUMBER($G1099)),$G1099&lt;2,NOT(ISNUMBER($C1098)),$C1098=0),"",$C1099/$C1098-1)</f>
        <v/>
      </c>
      <c r="I1099" s="52" t="str">
        <f aca="false">IF(AND(ISNUMBER($G1099),$G1099&gt;=MA_SHORT),AVERAGE(INDEX($C$699:$C1099,402-MA_SHORT):$C1099),"")</f>
        <v/>
      </c>
      <c r="J1099" s="52" t="str">
        <f aca="false">IF(AND(ISNUMBER($G1099),$G1099&gt;=MA_MED),AVERAGE(INDEX($C$699:$C1099,402-MA_MED):$C1099),"")</f>
        <v/>
      </c>
      <c r="K1099" s="52" t="str">
        <f aca="false">IF(AND(ISNUMBER($G1099),$G1099&gt;=MA_LONG2),AVERAGE(INDEX($C$699:$C1099,402-MA_LONG2):$C1099),"")</f>
        <v/>
      </c>
      <c r="L1099" s="53" t="str">
        <f aca="false">IF(AND(ISNUMBER($G1099),$G1099&gt;=21),STDEV(INDEX($H$1039:$H1099,62-20):$H1099)*SQRT(245),"")</f>
        <v/>
      </c>
      <c r="M1099" s="52" t="str">
        <f aca="false">IF(AND(ISNUMBER($G1099),$G1099&gt;=60),MAX(INDEX($D$899:$D1099,202-60):$D1099),"")</f>
        <v/>
      </c>
      <c r="N1099" s="52" t="str">
        <f aca="false">IF(AND(ISNUMBER($G1099),$G1099&gt;=60),MIN(INDEX($E$899:$E1099,202-60):$E1099),"")</f>
        <v/>
      </c>
      <c r="O1099" s="53" t="str">
        <f aca="false">IF(OR(NOT(ISNUMBER($C1099)),NOT(ISNUMBER($M1099)),$M1099=0),"",$C1099/$M1099-1)</f>
        <v/>
      </c>
    </row>
    <row r="1100" customFormat="false" ht="15" hidden="false" customHeight="false" outlineLevel="0" collapsed="false">
      <c r="A1100" s="55"/>
      <c r="B1100" s="56"/>
      <c r="C1100" s="57"/>
      <c r="D1100" s="56"/>
      <c r="E1100" s="56"/>
      <c r="F1100" s="56"/>
      <c r="G1100" s="50" t="str">
        <f aca="false">IF($A1100="","",IF(ISNUMBER($G1099),$G1099+1,1))</f>
        <v/>
      </c>
      <c r="H1100" s="51" t="str">
        <f aca="false">IF(OR(NOT(ISNUMBER($G1100)),$G1100&lt;2,NOT(ISNUMBER($C1099)),$C1099=0),"",$C1100/$C1099-1)</f>
        <v/>
      </c>
      <c r="I1100" s="52" t="str">
        <f aca="false">IF(AND(ISNUMBER($G1100),$G1100&gt;=MA_SHORT),AVERAGE(INDEX($C$700:$C1100,402-MA_SHORT):$C1100),"")</f>
        <v/>
      </c>
      <c r="J1100" s="52" t="str">
        <f aca="false">IF(AND(ISNUMBER($G1100),$G1100&gt;=MA_MED),AVERAGE(INDEX($C$700:$C1100,402-MA_MED):$C1100),"")</f>
        <v/>
      </c>
      <c r="K1100" s="52" t="str">
        <f aca="false">IF(AND(ISNUMBER($G1100),$G1100&gt;=MA_LONG2),AVERAGE(INDEX($C$700:$C1100,402-MA_LONG2):$C1100),"")</f>
        <v/>
      </c>
      <c r="L1100" s="53" t="str">
        <f aca="false">IF(AND(ISNUMBER($G1100),$G1100&gt;=21),STDEV(INDEX($H$1040:$H1100,62-20):$H1100)*SQRT(245),"")</f>
        <v/>
      </c>
      <c r="M1100" s="52" t="str">
        <f aca="false">IF(AND(ISNUMBER($G1100),$G1100&gt;=60),MAX(INDEX($D$900:$D1100,202-60):$D1100),"")</f>
        <v/>
      </c>
      <c r="N1100" s="52" t="str">
        <f aca="false">IF(AND(ISNUMBER($G1100),$G1100&gt;=60),MIN(INDEX($E$900:$E1100,202-60):$E1100),"")</f>
        <v/>
      </c>
      <c r="O1100" s="53" t="str">
        <f aca="false">IF(OR(NOT(ISNUMBER($C1100)),NOT(ISNUMBER($M1100)),$M1100=0),"",$C1100/$M1100-1)</f>
        <v/>
      </c>
    </row>
    <row r="1101" customFormat="false" ht="15" hidden="false" customHeight="false" outlineLevel="0" collapsed="false">
      <c r="A1101" s="55"/>
      <c r="B1101" s="56"/>
      <c r="C1101" s="57"/>
      <c r="D1101" s="56"/>
      <c r="E1101" s="56"/>
      <c r="F1101" s="56"/>
      <c r="G1101" s="50" t="str">
        <f aca="false">IF($A1101="","",IF(ISNUMBER($G1100),$G1100+1,1))</f>
        <v/>
      </c>
      <c r="H1101" s="51" t="str">
        <f aca="false">IF(OR(NOT(ISNUMBER($G1101)),$G1101&lt;2,NOT(ISNUMBER($C1100)),$C1100=0),"",$C1101/$C1100-1)</f>
        <v/>
      </c>
      <c r="I1101" s="52" t="str">
        <f aca="false">IF(AND(ISNUMBER($G1101),$G1101&gt;=MA_SHORT),AVERAGE(INDEX($C$701:$C1101,402-MA_SHORT):$C1101),"")</f>
        <v/>
      </c>
      <c r="J1101" s="52" t="str">
        <f aca="false">IF(AND(ISNUMBER($G1101),$G1101&gt;=MA_MED),AVERAGE(INDEX($C$701:$C1101,402-MA_MED):$C1101),"")</f>
        <v/>
      </c>
      <c r="K1101" s="52" t="str">
        <f aca="false">IF(AND(ISNUMBER($G1101),$G1101&gt;=MA_LONG2),AVERAGE(INDEX($C$701:$C1101,402-MA_LONG2):$C1101),"")</f>
        <v/>
      </c>
      <c r="L1101" s="53" t="str">
        <f aca="false">IF(AND(ISNUMBER($G1101),$G1101&gt;=21),STDEV(INDEX($H$1041:$H1101,62-20):$H1101)*SQRT(245),"")</f>
        <v/>
      </c>
      <c r="M1101" s="52" t="str">
        <f aca="false">IF(AND(ISNUMBER($G1101),$G1101&gt;=60),MAX(INDEX($D$901:$D1101,202-60):$D1101),"")</f>
        <v/>
      </c>
      <c r="N1101" s="52" t="str">
        <f aca="false">IF(AND(ISNUMBER($G1101),$G1101&gt;=60),MIN(INDEX($E$901:$E1101,202-60):$E1101),"")</f>
        <v/>
      </c>
      <c r="O1101" s="53" t="str">
        <f aca="false">IF(OR(NOT(ISNUMBER($C1101)),NOT(ISNUMBER($M1101)),$M1101=0),"",$C1101/$M1101-1)</f>
        <v/>
      </c>
    </row>
    <row r="1102" customFormat="false" ht="15" hidden="false" customHeight="false" outlineLevel="0" collapsed="false">
      <c r="A1102" s="55"/>
      <c r="B1102" s="56"/>
      <c r="C1102" s="57"/>
      <c r="D1102" s="56"/>
      <c r="E1102" s="56"/>
      <c r="F1102" s="56"/>
      <c r="G1102" s="50" t="str">
        <f aca="false">IF($A1102="","",IF(ISNUMBER($G1101),$G1101+1,1))</f>
        <v/>
      </c>
      <c r="H1102" s="51" t="str">
        <f aca="false">IF(OR(NOT(ISNUMBER($G1102)),$G1102&lt;2,NOT(ISNUMBER($C1101)),$C1101=0),"",$C1102/$C1101-1)</f>
        <v/>
      </c>
      <c r="I1102" s="52" t="str">
        <f aca="false">IF(AND(ISNUMBER($G1102),$G1102&gt;=MA_SHORT),AVERAGE(INDEX($C$702:$C1102,402-MA_SHORT):$C1102),"")</f>
        <v/>
      </c>
      <c r="J1102" s="52" t="str">
        <f aca="false">IF(AND(ISNUMBER($G1102),$G1102&gt;=MA_MED),AVERAGE(INDEX($C$702:$C1102,402-MA_MED):$C1102),"")</f>
        <v/>
      </c>
      <c r="K1102" s="52" t="str">
        <f aca="false">IF(AND(ISNUMBER($G1102),$G1102&gt;=MA_LONG2),AVERAGE(INDEX($C$702:$C1102,402-MA_LONG2):$C1102),"")</f>
        <v/>
      </c>
      <c r="L1102" s="53" t="str">
        <f aca="false">IF(AND(ISNUMBER($G1102),$G1102&gt;=21),STDEV(INDEX($H$1042:$H1102,62-20):$H1102)*SQRT(245),"")</f>
        <v/>
      </c>
      <c r="M1102" s="52" t="str">
        <f aca="false">IF(AND(ISNUMBER($G1102),$G1102&gt;=60),MAX(INDEX($D$902:$D1102,202-60):$D1102),"")</f>
        <v/>
      </c>
      <c r="N1102" s="52" t="str">
        <f aca="false">IF(AND(ISNUMBER($G1102),$G1102&gt;=60),MIN(INDEX($E$902:$E1102,202-60):$E1102),"")</f>
        <v/>
      </c>
      <c r="O1102" s="53" t="str">
        <f aca="false">IF(OR(NOT(ISNUMBER($C1102)),NOT(ISNUMBER($M1102)),$M1102=0),"",$C1102/$M1102-1)</f>
        <v/>
      </c>
    </row>
    <row r="1103" customFormat="false" ht="15" hidden="false" customHeight="false" outlineLevel="0" collapsed="false">
      <c r="A1103" s="55"/>
      <c r="B1103" s="56"/>
      <c r="C1103" s="57"/>
      <c r="D1103" s="56"/>
      <c r="E1103" s="56"/>
      <c r="F1103" s="56"/>
      <c r="G1103" s="50" t="str">
        <f aca="false">IF($A1103="","",IF(ISNUMBER($G1102),$G1102+1,1))</f>
        <v/>
      </c>
      <c r="H1103" s="51" t="str">
        <f aca="false">IF(OR(NOT(ISNUMBER($G1103)),$G1103&lt;2,NOT(ISNUMBER($C1102)),$C1102=0),"",$C1103/$C1102-1)</f>
        <v/>
      </c>
      <c r="I1103" s="52" t="str">
        <f aca="false">IF(AND(ISNUMBER($G1103),$G1103&gt;=MA_SHORT),AVERAGE(INDEX($C$703:$C1103,402-MA_SHORT):$C1103),"")</f>
        <v/>
      </c>
      <c r="J1103" s="52" t="str">
        <f aca="false">IF(AND(ISNUMBER($G1103),$G1103&gt;=MA_MED),AVERAGE(INDEX($C$703:$C1103,402-MA_MED):$C1103),"")</f>
        <v/>
      </c>
      <c r="K1103" s="52" t="str">
        <f aca="false">IF(AND(ISNUMBER($G1103),$G1103&gt;=MA_LONG2),AVERAGE(INDEX($C$703:$C1103,402-MA_LONG2):$C1103),"")</f>
        <v/>
      </c>
      <c r="L1103" s="53" t="str">
        <f aca="false">IF(AND(ISNUMBER($G1103),$G1103&gt;=21),STDEV(INDEX($H$1043:$H1103,62-20):$H1103)*SQRT(245),"")</f>
        <v/>
      </c>
      <c r="M1103" s="52" t="str">
        <f aca="false">IF(AND(ISNUMBER($G1103),$G1103&gt;=60),MAX(INDEX($D$903:$D1103,202-60):$D1103),"")</f>
        <v/>
      </c>
      <c r="N1103" s="52" t="str">
        <f aca="false">IF(AND(ISNUMBER($G1103),$G1103&gt;=60),MIN(INDEX($E$903:$E1103,202-60):$E1103),"")</f>
        <v/>
      </c>
      <c r="O1103" s="53" t="str">
        <f aca="false">IF(OR(NOT(ISNUMBER($C1103)),NOT(ISNUMBER($M1103)),$M1103=0),"",$C1103/$M1103-1)</f>
        <v/>
      </c>
    </row>
    <row r="1104" customFormat="false" ht="15" hidden="false" customHeight="false" outlineLevel="0" collapsed="false">
      <c r="A1104" s="55"/>
      <c r="B1104" s="56"/>
      <c r="C1104" s="57"/>
      <c r="D1104" s="56"/>
      <c r="E1104" s="56"/>
      <c r="F1104" s="56"/>
      <c r="G1104" s="50" t="str">
        <f aca="false">IF($A1104="","",IF(ISNUMBER($G1103),$G1103+1,1))</f>
        <v/>
      </c>
      <c r="H1104" s="51" t="str">
        <f aca="false">IF(OR(NOT(ISNUMBER($G1104)),$G1104&lt;2,NOT(ISNUMBER($C1103)),$C1103=0),"",$C1104/$C1103-1)</f>
        <v/>
      </c>
      <c r="I1104" s="52" t="str">
        <f aca="false">IF(AND(ISNUMBER($G1104),$G1104&gt;=MA_SHORT),AVERAGE(INDEX($C$704:$C1104,402-MA_SHORT):$C1104),"")</f>
        <v/>
      </c>
      <c r="J1104" s="52" t="str">
        <f aca="false">IF(AND(ISNUMBER($G1104),$G1104&gt;=MA_MED),AVERAGE(INDEX($C$704:$C1104,402-MA_MED):$C1104),"")</f>
        <v/>
      </c>
      <c r="K1104" s="52" t="str">
        <f aca="false">IF(AND(ISNUMBER($G1104),$G1104&gt;=MA_LONG2),AVERAGE(INDEX($C$704:$C1104,402-MA_LONG2):$C1104),"")</f>
        <v/>
      </c>
      <c r="L1104" s="53" t="str">
        <f aca="false">IF(AND(ISNUMBER($G1104),$G1104&gt;=21),STDEV(INDEX($H$1044:$H1104,62-20):$H1104)*SQRT(245),"")</f>
        <v/>
      </c>
      <c r="M1104" s="52" t="str">
        <f aca="false">IF(AND(ISNUMBER($G1104),$G1104&gt;=60),MAX(INDEX($D$904:$D1104,202-60):$D1104),"")</f>
        <v/>
      </c>
      <c r="N1104" s="52" t="str">
        <f aca="false">IF(AND(ISNUMBER($G1104),$G1104&gt;=60),MIN(INDEX($E$904:$E1104,202-60):$E1104),"")</f>
        <v/>
      </c>
      <c r="O1104" s="53" t="str">
        <f aca="false">IF(OR(NOT(ISNUMBER($C1104)),NOT(ISNUMBER($M1104)),$M1104=0),"",$C1104/$M1104-1)</f>
        <v/>
      </c>
    </row>
    <row r="1105" customFormat="false" ht="15" hidden="false" customHeight="false" outlineLevel="0" collapsed="false">
      <c r="A1105" s="55"/>
      <c r="B1105" s="56"/>
      <c r="C1105" s="57"/>
      <c r="D1105" s="56"/>
      <c r="E1105" s="56"/>
      <c r="F1105" s="56"/>
      <c r="G1105" s="50" t="str">
        <f aca="false">IF($A1105="","",IF(ISNUMBER($G1104),$G1104+1,1))</f>
        <v/>
      </c>
      <c r="H1105" s="51" t="str">
        <f aca="false">IF(OR(NOT(ISNUMBER($G1105)),$G1105&lt;2,NOT(ISNUMBER($C1104)),$C1104=0),"",$C1105/$C1104-1)</f>
        <v/>
      </c>
      <c r="I1105" s="52" t="str">
        <f aca="false">IF(AND(ISNUMBER($G1105),$G1105&gt;=MA_SHORT),AVERAGE(INDEX($C$705:$C1105,402-MA_SHORT):$C1105),"")</f>
        <v/>
      </c>
      <c r="J1105" s="52" t="str">
        <f aca="false">IF(AND(ISNUMBER($G1105),$G1105&gt;=MA_MED),AVERAGE(INDEX($C$705:$C1105,402-MA_MED):$C1105),"")</f>
        <v/>
      </c>
      <c r="K1105" s="52" t="str">
        <f aca="false">IF(AND(ISNUMBER($G1105),$G1105&gt;=MA_LONG2),AVERAGE(INDEX($C$705:$C1105,402-MA_LONG2):$C1105),"")</f>
        <v/>
      </c>
      <c r="L1105" s="53" t="str">
        <f aca="false">IF(AND(ISNUMBER($G1105),$G1105&gt;=21),STDEV(INDEX($H$1045:$H1105,62-20):$H1105)*SQRT(245),"")</f>
        <v/>
      </c>
      <c r="M1105" s="52" t="str">
        <f aca="false">IF(AND(ISNUMBER($G1105),$G1105&gt;=60),MAX(INDEX($D$905:$D1105,202-60):$D1105),"")</f>
        <v/>
      </c>
      <c r="N1105" s="52" t="str">
        <f aca="false">IF(AND(ISNUMBER($G1105),$G1105&gt;=60),MIN(INDEX($E$905:$E1105,202-60):$E1105),"")</f>
        <v/>
      </c>
      <c r="O1105" s="53" t="str">
        <f aca="false">IF(OR(NOT(ISNUMBER($C1105)),NOT(ISNUMBER($M1105)),$M1105=0),"",$C1105/$M1105-1)</f>
        <v/>
      </c>
    </row>
    <row r="1106" customFormat="false" ht="15" hidden="false" customHeight="false" outlineLevel="0" collapsed="false">
      <c r="A1106" s="55"/>
      <c r="B1106" s="56"/>
      <c r="C1106" s="57"/>
      <c r="D1106" s="56"/>
      <c r="E1106" s="56"/>
      <c r="F1106" s="56"/>
      <c r="G1106" s="50" t="str">
        <f aca="false">IF($A1106="","",IF(ISNUMBER($G1105),$G1105+1,1))</f>
        <v/>
      </c>
      <c r="H1106" s="51" t="str">
        <f aca="false">IF(OR(NOT(ISNUMBER($G1106)),$G1106&lt;2,NOT(ISNUMBER($C1105)),$C1105=0),"",$C1106/$C1105-1)</f>
        <v/>
      </c>
      <c r="I1106" s="52" t="str">
        <f aca="false">IF(AND(ISNUMBER($G1106),$G1106&gt;=MA_SHORT),AVERAGE(INDEX($C$706:$C1106,402-MA_SHORT):$C1106),"")</f>
        <v/>
      </c>
      <c r="J1106" s="52" t="str">
        <f aca="false">IF(AND(ISNUMBER($G1106),$G1106&gt;=MA_MED),AVERAGE(INDEX($C$706:$C1106,402-MA_MED):$C1106),"")</f>
        <v/>
      </c>
      <c r="K1106" s="52" t="str">
        <f aca="false">IF(AND(ISNUMBER($G1106),$G1106&gt;=MA_LONG2),AVERAGE(INDEX($C$706:$C1106,402-MA_LONG2):$C1106),"")</f>
        <v/>
      </c>
      <c r="L1106" s="53" t="str">
        <f aca="false">IF(AND(ISNUMBER($G1106),$G1106&gt;=21),STDEV(INDEX($H$1046:$H1106,62-20):$H1106)*SQRT(245),"")</f>
        <v/>
      </c>
      <c r="M1106" s="52" t="str">
        <f aca="false">IF(AND(ISNUMBER($G1106),$G1106&gt;=60),MAX(INDEX($D$906:$D1106,202-60):$D1106),"")</f>
        <v/>
      </c>
      <c r="N1106" s="52" t="str">
        <f aca="false">IF(AND(ISNUMBER($G1106),$G1106&gt;=60),MIN(INDEX($E$906:$E1106,202-60):$E1106),"")</f>
        <v/>
      </c>
      <c r="O1106" s="53" t="str">
        <f aca="false">IF(OR(NOT(ISNUMBER($C1106)),NOT(ISNUMBER($M1106)),$M1106=0),"",$C1106/$M1106-1)</f>
        <v/>
      </c>
    </row>
    <row r="1107" customFormat="false" ht="15" hidden="false" customHeight="false" outlineLevel="0" collapsed="false">
      <c r="A1107" s="55"/>
      <c r="B1107" s="56"/>
      <c r="C1107" s="57"/>
      <c r="D1107" s="56"/>
      <c r="E1107" s="56"/>
      <c r="F1107" s="56"/>
      <c r="G1107" s="50" t="str">
        <f aca="false">IF($A1107="","",IF(ISNUMBER($G1106),$G1106+1,1))</f>
        <v/>
      </c>
      <c r="H1107" s="51" t="str">
        <f aca="false">IF(OR(NOT(ISNUMBER($G1107)),$G1107&lt;2,NOT(ISNUMBER($C1106)),$C1106=0),"",$C1107/$C1106-1)</f>
        <v/>
      </c>
      <c r="I1107" s="52" t="str">
        <f aca="false">IF(AND(ISNUMBER($G1107),$G1107&gt;=MA_SHORT),AVERAGE(INDEX($C$707:$C1107,402-MA_SHORT):$C1107),"")</f>
        <v/>
      </c>
      <c r="J1107" s="52" t="str">
        <f aca="false">IF(AND(ISNUMBER($G1107),$G1107&gt;=MA_MED),AVERAGE(INDEX($C$707:$C1107,402-MA_MED):$C1107),"")</f>
        <v/>
      </c>
      <c r="K1107" s="52" t="str">
        <f aca="false">IF(AND(ISNUMBER($G1107),$G1107&gt;=MA_LONG2),AVERAGE(INDEX($C$707:$C1107,402-MA_LONG2):$C1107),"")</f>
        <v/>
      </c>
      <c r="L1107" s="53" t="str">
        <f aca="false">IF(AND(ISNUMBER($G1107),$G1107&gt;=21),STDEV(INDEX($H$1047:$H1107,62-20):$H1107)*SQRT(245),"")</f>
        <v/>
      </c>
      <c r="M1107" s="52" t="str">
        <f aca="false">IF(AND(ISNUMBER($G1107),$G1107&gt;=60),MAX(INDEX($D$907:$D1107,202-60):$D1107),"")</f>
        <v/>
      </c>
      <c r="N1107" s="52" t="str">
        <f aca="false">IF(AND(ISNUMBER($G1107),$G1107&gt;=60),MIN(INDEX($E$907:$E1107,202-60):$E1107),"")</f>
        <v/>
      </c>
      <c r="O1107" s="53" t="str">
        <f aca="false">IF(OR(NOT(ISNUMBER($C1107)),NOT(ISNUMBER($M1107)),$M1107=0),"",$C1107/$M1107-1)</f>
        <v/>
      </c>
    </row>
    <row r="1108" customFormat="false" ht="15" hidden="false" customHeight="false" outlineLevel="0" collapsed="false">
      <c r="A1108" s="55"/>
      <c r="B1108" s="56"/>
      <c r="C1108" s="57"/>
      <c r="D1108" s="56"/>
      <c r="E1108" s="56"/>
      <c r="F1108" s="56"/>
      <c r="G1108" s="50" t="str">
        <f aca="false">IF($A1108="","",IF(ISNUMBER($G1107),$G1107+1,1))</f>
        <v/>
      </c>
      <c r="H1108" s="51" t="str">
        <f aca="false">IF(OR(NOT(ISNUMBER($G1108)),$G1108&lt;2,NOT(ISNUMBER($C1107)),$C1107=0),"",$C1108/$C1107-1)</f>
        <v/>
      </c>
      <c r="I1108" s="52" t="str">
        <f aca="false">IF(AND(ISNUMBER($G1108),$G1108&gt;=MA_SHORT),AVERAGE(INDEX($C$708:$C1108,402-MA_SHORT):$C1108),"")</f>
        <v/>
      </c>
      <c r="J1108" s="52" t="str">
        <f aca="false">IF(AND(ISNUMBER($G1108),$G1108&gt;=MA_MED),AVERAGE(INDEX($C$708:$C1108,402-MA_MED):$C1108),"")</f>
        <v/>
      </c>
      <c r="K1108" s="52" t="str">
        <f aca="false">IF(AND(ISNUMBER($G1108),$G1108&gt;=MA_LONG2),AVERAGE(INDEX($C$708:$C1108,402-MA_LONG2):$C1108),"")</f>
        <v/>
      </c>
      <c r="L1108" s="53" t="str">
        <f aca="false">IF(AND(ISNUMBER($G1108),$G1108&gt;=21),STDEV(INDEX($H$1048:$H1108,62-20):$H1108)*SQRT(245),"")</f>
        <v/>
      </c>
      <c r="M1108" s="52" t="str">
        <f aca="false">IF(AND(ISNUMBER($G1108),$G1108&gt;=60),MAX(INDEX($D$908:$D1108,202-60):$D1108),"")</f>
        <v/>
      </c>
      <c r="N1108" s="52" t="str">
        <f aca="false">IF(AND(ISNUMBER($G1108),$G1108&gt;=60),MIN(INDEX($E$908:$E1108,202-60):$E1108),"")</f>
        <v/>
      </c>
      <c r="O1108" s="53" t="str">
        <f aca="false">IF(OR(NOT(ISNUMBER($C1108)),NOT(ISNUMBER($M1108)),$M1108=0),"",$C1108/$M1108-1)</f>
        <v/>
      </c>
    </row>
    <row r="1109" customFormat="false" ht="15" hidden="false" customHeight="false" outlineLevel="0" collapsed="false">
      <c r="A1109" s="55"/>
      <c r="B1109" s="56"/>
      <c r="C1109" s="57"/>
      <c r="D1109" s="56"/>
      <c r="E1109" s="56"/>
      <c r="F1109" s="56"/>
      <c r="G1109" s="50" t="str">
        <f aca="false">IF($A1109="","",IF(ISNUMBER($G1108),$G1108+1,1))</f>
        <v/>
      </c>
      <c r="H1109" s="51" t="str">
        <f aca="false">IF(OR(NOT(ISNUMBER($G1109)),$G1109&lt;2,NOT(ISNUMBER($C1108)),$C1108=0),"",$C1109/$C1108-1)</f>
        <v/>
      </c>
      <c r="I1109" s="52" t="str">
        <f aca="false">IF(AND(ISNUMBER($G1109),$G1109&gt;=MA_SHORT),AVERAGE(INDEX($C$709:$C1109,402-MA_SHORT):$C1109),"")</f>
        <v/>
      </c>
      <c r="J1109" s="52" t="str">
        <f aca="false">IF(AND(ISNUMBER($G1109),$G1109&gt;=MA_MED),AVERAGE(INDEX($C$709:$C1109,402-MA_MED):$C1109),"")</f>
        <v/>
      </c>
      <c r="K1109" s="52" t="str">
        <f aca="false">IF(AND(ISNUMBER($G1109),$G1109&gt;=MA_LONG2),AVERAGE(INDEX($C$709:$C1109,402-MA_LONG2):$C1109),"")</f>
        <v/>
      </c>
      <c r="L1109" s="53" t="str">
        <f aca="false">IF(AND(ISNUMBER($G1109),$G1109&gt;=21),STDEV(INDEX($H$1049:$H1109,62-20):$H1109)*SQRT(245),"")</f>
        <v/>
      </c>
      <c r="M1109" s="52" t="str">
        <f aca="false">IF(AND(ISNUMBER($G1109),$G1109&gt;=60),MAX(INDEX($D$909:$D1109,202-60):$D1109),"")</f>
        <v/>
      </c>
      <c r="N1109" s="52" t="str">
        <f aca="false">IF(AND(ISNUMBER($G1109),$G1109&gt;=60),MIN(INDEX($E$909:$E1109,202-60):$E1109),"")</f>
        <v/>
      </c>
      <c r="O1109" s="53" t="str">
        <f aca="false">IF(OR(NOT(ISNUMBER($C1109)),NOT(ISNUMBER($M1109)),$M1109=0),"",$C1109/$M1109-1)</f>
        <v/>
      </c>
    </row>
    <row r="1110" customFormat="false" ht="15" hidden="false" customHeight="false" outlineLevel="0" collapsed="false">
      <c r="A1110" s="55"/>
      <c r="B1110" s="56"/>
      <c r="C1110" s="57"/>
      <c r="D1110" s="56"/>
      <c r="E1110" s="56"/>
      <c r="F1110" s="56"/>
      <c r="G1110" s="50" t="str">
        <f aca="false">IF($A1110="","",IF(ISNUMBER($G1109),$G1109+1,1))</f>
        <v/>
      </c>
      <c r="H1110" s="51" t="str">
        <f aca="false">IF(OR(NOT(ISNUMBER($G1110)),$G1110&lt;2,NOT(ISNUMBER($C1109)),$C1109=0),"",$C1110/$C1109-1)</f>
        <v/>
      </c>
      <c r="I1110" s="52" t="str">
        <f aca="false">IF(AND(ISNUMBER($G1110),$G1110&gt;=MA_SHORT),AVERAGE(INDEX($C$710:$C1110,402-MA_SHORT):$C1110),"")</f>
        <v/>
      </c>
      <c r="J1110" s="52" t="str">
        <f aca="false">IF(AND(ISNUMBER($G1110),$G1110&gt;=MA_MED),AVERAGE(INDEX($C$710:$C1110,402-MA_MED):$C1110),"")</f>
        <v/>
      </c>
      <c r="K1110" s="52" t="str">
        <f aca="false">IF(AND(ISNUMBER($G1110),$G1110&gt;=MA_LONG2),AVERAGE(INDEX($C$710:$C1110,402-MA_LONG2):$C1110),"")</f>
        <v/>
      </c>
      <c r="L1110" s="53" t="str">
        <f aca="false">IF(AND(ISNUMBER($G1110),$G1110&gt;=21),STDEV(INDEX($H$1050:$H1110,62-20):$H1110)*SQRT(245),"")</f>
        <v/>
      </c>
      <c r="M1110" s="52" t="str">
        <f aca="false">IF(AND(ISNUMBER($G1110),$G1110&gt;=60),MAX(INDEX($D$910:$D1110,202-60):$D1110),"")</f>
        <v/>
      </c>
      <c r="N1110" s="52" t="str">
        <f aca="false">IF(AND(ISNUMBER($G1110),$G1110&gt;=60),MIN(INDEX($E$910:$E1110,202-60):$E1110),"")</f>
        <v/>
      </c>
      <c r="O1110" s="53" t="str">
        <f aca="false">IF(OR(NOT(ISNUMBER($C1110)),NOT(ISNUMBER($M1110)),$M1110=0),"",$C1110/$M1110-1)</f>
        <v/>
      </c>
    </row>
    <row r="1111" customFormat="false" ht="15" hidden="false" customHeight="false" outlineLevel="0" collapsed="false">
      <c r="A1111" s="55"/>
      <c r="B1111" s="56"/>
      <c r="C1111" s="57"/>
      <c r="D1111" s="56"/>
      <c r="E1111" s="56"/>
      <c r="F1111" s="56"/>
      <c r="G1111" s="50" t="str">
        <f aca="false">IF($A1111="","",IF(ISNUMBER($G1110),$G1110+1,1))</f>
        <v/>
      </c>
      <c r="H1111" s="51" t="str">
        <f aca="false">IF(OR(NOT(ISNUMBER($G1111)),$G1111&lt;2,NOT(ISNUMBER($C1110)),$C1110=0),"",$C1111/$C1110-1)</f>
        <v/>
      </c>
      <c r="I1111" s="52" t="str">
        <f aca="false">IF(AND(ISNUMBER($G1111),$G1111&gt;=MA_SHORT),AVERAGE(INDEX($C$711:$C1111,402-MA_SHORT):$C1111),"")</f>
        <v/>
      </c>
      <c r="J1111" s="52" t="str">
        <f aca="false">IF(AND(ISNUMBER($G1111),$G1111&gt;=MA_MED),AVERAGE(INDEX($C$711:$C1111,402-MA_MED):$C1111),"")</f>
        <v/>
      </c>
      <c r="K1111" s="52" t="str">
        <f aca="false">IF(AND(ISNUMBER($G1111),$G1111&gt;=MA_LONG2),AVERAGE(INDEX($C$711:$C1111,402-MA_LONG2):$C1111),"")</f>
        <v/>
      </c>
      <c r="L1111" s="53" t="str">
        <f aca="false">IF(AND(ISNUMBER($G1111),$G1111&gt;=21),STDEV(INDEX($H$1051:$H1111,62-20):$H1111)*SQRT(245),"")</f>
        <v/>
      </c>
      <c r="M1111" s="52" t="str">
        <f aca="false">IF(AND(ISNUMBER($G1111),$G1111&gt;=60),MAX(INDEX($D$911:$D1111,202-60):$D1111),"")</f>
        <v/>
      </c>
      <c r="N1111" s="52" t="str">
        <f aca="false">IF(AND(ISNUMBER($G1111),$G1111&gt;=60),MIN(INDEX($E$911:$E1111,202-60):$E1111),"")</f>
        <v/>
      </c>
      <c r="O1111" s="53" t="str">
        <f aca="false">IF(OR(NOT(ISNUMBER($C1111)),NOT(ISNUMBER($M1111)),$M1111=0),"",$C1111/$M1111-1)</f>
        <v/>
      </c>
    </row>
    <row r="1112" customFormat="false" ht="15" hidden="false" customHeight="false" outlineLevel="0" collapsed="false">
      <c r="A1112" s="55"/>
      <c r="B1112" s="56"/>
      <c r="C1112" s="57"/>
      <c r="D1112" s="56"/>
      <c r="E1112" s="56"/>
      <c r="F1112" s="56"/>
      <c r="G1112" s="50" t="str">
        <f aca="false">IF($A1112="","",IF(ISNUMBER($G1111),$G1111+1,1))</f>
        <v/>
      </c>
      <c r="H1112" s="51" t="str">
        <f aca="false">IF(OR(NOT(ISNUMBER($G1112)),$G1112&lt;2,NOT(ISNUMBER($C1111)),$C1111=0),"",$C1112/$C1111-1)</f>
        <v/>
      </c>
      <c r="I1112" s="52" t="str">
        <f aca="false">IF(AND(ISNUMBER($G1112),$G1112&gt;=MA_SHORT),AVERAGE(INDEX($C$712:$C1112,402-MA_SHORT):$C1112),"")</f>
        <v/>
      </c>
      <c r="J1112" s="52" t="str">
        <f aca="false">IF(AND(ISNUMBER($G1112),$G1112&gt;=MA_MED),AVERAGE(INDEX($C$712:$C1112,402-MA_MED):$C1112),"")</f>
        <v/>
      </c>
      <c r="K1112" s="52" t="str">
        <f aca="false">IF(AND(ISNUMBER($G1112),$G1112&gt;=MA_LONG2),AVERAGE(INDEX($C$712:$C1112,402-MA_LONG2):$C1112),"")</f>
        <v/>
      </c>
      <c r="L1112" s="53" t="str">
        <f aca="false">IF(AND(ISNUMBER($G1112),$G1112&gt;=21),STDEV(INDEX($H$1052:$H1112,62-20):$H1112)*SQRT(245),"")</f>
        <v/>
      </c>
      <c r="M1112" s="52" t="str">
        <f aca="false">IF(AND(ISNUMBER($G1112),$G1112&gt;=60),MAX(INDEX($D$912:$D1112,202-60):$D1112),"")</f>
        <v/>
      </c>
      <c r="N1112" s="52" t="str">
        <f aca="false">IF(AND(ISNUMBER($G1112),$G1112&gt;=60),MIN(INDEX($E$912:$E1112,202-60):$E1112),"")</f>
        <v/>
      </c>
      <c r="O1112" s="53" t="str">
        <f aca="false">IF(OR(NOT(ISNUMBER($C1112)),NOT(ISNUMBER($M1112)),$M1112=0),"",$C1112/$M1112-1)</f>
        <v/>
      </c>
    </row>
    <row r="1113" customFormat="false" ht="15" hidden="false" customHeight="false" outlineLevel="0" collapsed="false">
      <c r="A1113" s="55"/>
      <c r="B1113" s="56"/>
      <c r="C1113" s="57"/>
      <c r="D1113" s="56"/>
      <c r="E1113" s="56"/>
      <c r="F1113" s="56"/>
      <c r="G1113" s="50" t="str">
        <f aca="false">IF($A1113="","",IF(ISNUMBER($G1112),$G1112+1,1))</f>
        <v/>
      </c>
      <c r="H1113" s="51" t="str">
        <f aca="false">IF(OR(NOT(ISNUMBER($G1113)),$G1113&lt;2,NOT(ISNUMBER($C1112)),$C1112=0),"",$C1113/$C1112-1)</f>
        <v/>
      </c>
      <c r="I1113" s="52" t="str">
        <f aca="false">IF(AND(ISNUMBER($G1113),$G1113&gt;=MA_SHORT),AVERAGE(INDEX($C$713:$C1113,402-MA_SHORT):$C1113),"")</f>
        <v/>
      </c>
      <c r="J1113" s="52" t="str">
        <f aca="false">IF(AND(ISNUMBER($G1113),$G1113&gt;=MA_MED),AVERAGE(INDEX($C$713:$C1113,402-MA_MED):$C1113),"")</f>
        <v/>
      </c>
      <c r="K1113" s="52" t="str">
        <f aca="false">IF(AND(ISNUMBER($G1113),$G1113&gt;=MA_LONG2),AVERAGE(INDEX($C$713:$C1113,402-MA_LONG2):$C1113),"")</f>
        <v/>
      </c>
      <c r="L1113" s="53" t="str">
        <f aca="false">IF(AND(ISNUMBER($G1113),$G1113&gt;=21),STDEV(INDEX($H$1053:$H1113,62-20):$H1113)*SQRT(245),"")</f>
        <v/>
      </c>
      <c r="M1113" s="52" t="str">
        <f aca="false">IF(AND(ISNUMBER($G1113),$G1113&gt;=60),MAX(INDEX($D$913:$D1113,202-60):$D1113),"")</f>
        <v/>
      </c>
      <c r="N1113" s="52" t="str">
        <f aca="false">IF(AND(ISNUMBER($G1113),$G1113&gt;=60),MIN(INDEX($E$913:$E1113,202-60):$E1113),"")</f>
        <v/>
      </c>
      <c r="O1113" s="53" t="str">
        <f aca="false">IF(OR(NOT(ISNUMBER($C1113)),NOT(ISNUMBER($M1113)),$M1113=0),"",$C1113/$M1113-1)</f>
        <v/>
      </c>
    </row>
    <row r="1114" customFormat="false" ht="15" hidden="false" customHeight="false" outlineLevel="0" collapsed="false">
      <c r="A1114" s="55"/>
      <c r="B1114" s="56"/>
      <c r="C1114" s="57"/>
      <c r="D1114" s="56"/>
      <c r="E1114" s="56"/>
      <c r="F1114" s="56"/>
      <c r="G1114" s="50" t="str">
        <f aca="false">IF($A1114="","",IF(ISNUMBER($G1113),$G1113+1,1))</f>
        <v/>
      </c>
      <c r="H1114" s="51" t="str">
        <f aca="false">IF(OR(NOT(ISNUMBER($G1114)),$G1114&lt;2,NOT(ISNUMBER($C1113)),$C1113=0),"",$C1114/$C1113-1)</f>
        <v/>
      </c>
      <c r="I1114" s="52" t="str">
        <f aca="false">IF(AND(ISNUMBER($G1114),$G1114&gt;=MA_SHORT),AVERAGE(INDEX($C$714:$C1114,402-MA_SHORT):$C1114),"")</f>
        <v/>
      </c>
      <c r="J1114" s="52" t="str">
        <f aca="false">IF(AND(ISNUMBER($G1114),$G1114&gt;=MA_MED),AVERAGE(INDEX($C$714:$C1114,402-MA_MED):$C1114),"")</f>
        <v/>
      </c>
      <c r="K1114" s="52" t="str">
        <f aca="false">IF(AND(ISNUMBER($G1114),$G1114&gt;=MA_LONG2),AVERAGE(INDEX($C$714:$C1114,402-MA_LONG2):$C1114),"")</f>
        <v/>
      </c>
      <c r="L1114" s="53" t="str">
        <f aca="false">IF(AND(ISNUMBER($G1114),$G1114&gt;=21),STDEV(INDEX($H$1054:$H1114,62-20):$H1114)*SQRT(245),"")</f>
        <v/>
      </c>
      <c r="M1114" s="52" t="str">
        <f aca="false">IF(AND(ISNUMBER($G1114),$G1114&gt;=60),MAX(INDEX($D$914:$D1114,202-60):$D1114),"")</f>
        <v/>
      </c>
      <c r="N1114" s="52" t="str">
        <f aca="false">IF(AND(ISNUMBER($G1114),$G1114&gt;=60),MIN(INDEX($E$914:$E1114,202-60):$E1114),"")</f>
        <v/>
      </c>
      <c r="O1114" s="53" t="str">
        <f aca="false">IF(OR(NOT(ISNUMBER($C1114)),NOT(ISNUMBER($M1114)),$M1114=0),"",$C1114/$M1114-1)</f>
        <v/>
      </c>
    </row>
    <row r="1115" customFormat="false" ht="15" hidden="false" customHeight="false" outlineLevel="0" collapsed="false">
      <c r="A1115" s="55"/>
      <c r="B1115" s="56"/>
      <c r="C1115" s="57"/>
      <c r="D1115" s="56"/>
      <c r="E1115" s="56"/>
      <c r="F1115" s="56"/>
      <c r="G1115" s="50" t="str">
        <f aca="false">IF($A1115="","",IF(ISNUMBER($G1114),$G1114+1,1))</f>
        <v/>
      </c>
      <c r="H1115" s="51" t="str">
        <f aca="false">IF(OR(NOT(ISNUMBER($G1115)),$G1115&lt;2,NOT(ISNUMBER($C1114)),$C1114=0),"",$C1115/$C1114-1)</f>
        <v/>
      </c>
      <c r="I1115" s="52" t="str">
        <f aca="false">IF(AND(ISNUMBER($G1115),$G1115&gt;=MA_SHORT),AVERAGE(INDEX($C$715:$C1115,402-MA_SHORT):$C1115),"")</f>
        <v/>
      </c>
      <c r="J1115" s="52" t="str">
        <f aca="false">IF(AND(ISNUMBER($G1115),$G1115&gt;=MA_MED),AVERAGE(INDEX($C$715:$C1115,402-MA_MED):$C1115),"")</f>
        <v/>
      </c>
      <c r="K1115" s="52" t="str">
        <f aca="false">IF(AND(ISNUMBER($G1115),$G1115&gt;=MA_LONG2),AVERAGE(INDEX($C$715:$C1115,402-MA_LONG2):$C1115),"")</f>
        <v/>
      </c>
      <c r="L1115" s="53" t="str">
        <f aca="false">IF(AND(ISNUMBER($G1115),$G1115&gt;=21),STDEV(INDEX($H$1055:$H1115,62-20):$H1115)*SQRT(245),"")</f>
        <v/>
      </c>
      <c r="M1115" s="52" t="str">
        <f aca="false">IF(AND(ISNUMBER($G1115),$G1115&gt;=60),MAX(INDEX($D$915:$D1115,202-60):$D1115),"")</f>
        <v/>
      </c>
      <c r="N1115" s="52" t="str">
        <f aca="false">IF(AND(ISNUMBER($G1115),$G1115&gt;=60),MIN(INDEX($E$915:$E1115,202-60):$E1115),"")</f>
        <v/>
      </c>
      <c r="O1115" s="53" t="str">
        <f aca="false">IF(OR(NOT(ISNUMBER($C1115)),NOT(ISNUMBER($M1115)),$M1115=0),"",$C1115/$M1115-1)</f>
        <v/>
      </c>
    </row>
    <row r="1116" customFormat="false" ht="15" hidden="false" customHeight="false" outlineLevel="0" collapsed="false">
      <c r="A1116" s="55"/>
      <c r="B1116" s="56"/>
      <c r="C1116" s="57"/>
      <c r="D1116" s="56"/>
      <c r="E1116" s="56"/>
      <c r="F1116" s="56"/>
      <c r="G1116" s="50" t="str">
        <f aca="false">IF($A1116="","",IF(ISNUMBER($G1115),$G1115+1,1))</f>
        <v/>
      </c>
      <c r="H1116" s="51" t="str">
        <f aca="false">IF(OR(NOT(ISNUMBER($G1116)),$G1116&lt;2,NOT(ISNUMBER($C1115)),$C1115=0),"",$C1116/$C1115-1)</f>
        <v/>
      </c>
      <c r="I1116" s="52" t="str">
        <f aca="false">IF(AND(ISNUMBER($G1116),$G1116&gt;=MA_SHORT),AVERAGE(INDEX($C$716:$C1116,402-MA_SHORT):$C1116),"")</f>
        <v/>
      </c>
      <c r="J1116" s="52" t="str">
        <f aca="false">IF(AND(ISNUMBER($G1116),$G1116&gt;=MA_MED),AVERAGE(INDEX($C$716:$C1116,402-MA_MED):$C1116),"")</f>
        <v/>
      </c>
      <c r="K1116" s="52" t="str">
        <f aca="false">IF(AND(ISNUMBER($G1116),$G1116&gt;=MA_LONG2),AVERAGE(INDEX($C$716:$C1116,402-MA_LONG2):$C1116),"")</f>
        <v/>
      </c>
      <c r="L1116" s="53" t="str">
        <f aca="false">IF(AND(ISNUMBER($G1116),$G1116&gt;=21),STDEV(INDEX($H$1056:$H1116,62-20):$H1116)*SQRT(245),"")</f>
        <v/>
      </c>
      <c r="M1116" s="52" t="str">
        <f aca="false">IF(AND(ISNUMBER($G1116),$G1116&gt;=60),MAX(INDEX($D$916:$D1116,202-60):$D1116),"")</f>
        <v/>
      </c>
      <c r="N1116" s="52" t="str">
        <f aca="false">IF(AND(ISNUMBER($G1116),$G1116&gt;=60),MIN(INDEX($E$916:$E1116,202-60):$E1116),"")</f>
        <v/>
      </c>
      <c r="O1116" s="53" t="str">
        <f aca="false">IF(OR(NOT(ISNUMBER($C1116)),NOT(ISNUMBER($M1116)),$M1116=0),"",$C1116/$M1116-1)</f>
        <v/>
      </c>
    </row>
    <row r="1117" customFormat="false" ht="15" hidden="false" customHeight="false" outlineLevel="0" collapsed="false">
      <c r="A1117" s="55"/>
      <c r="B1117" s="56"/>
      <c r="C1117" s="57"/>
      <c r="D1117" s="56"/>
      <c r="E1117" s="56"/>
      <c r="F1117" s="56"/>
      <c r="G1117" s="50" t="str">
        <f aca="false">IF($A1117="","",IF(ISNUMBER($G1116),$G1116+1,1))</f>
        <v/>
      </c>
      <c r="H1117" s="51" t="str">
        <f aca="false">IF(OR(NOT(ISNUMBER($G1117)),$G1117&lt;2,NOT(ISNUMBER($C1116)),$C1116=0),"",$C1117/$C1116-1)</f>
        <v/>
      </c>
      <c r="I1117" s="52" t="str">
        <f aca="false">IF(AND(ISNUMBER($G1117),$G1117&gt;=MA_SHORT),AVERAGE(INDEX($C$717:$C1117,402-MA_SHORT):$C1117),"")</f>
        <v/>
      </c>
      <c r="J1117" s="52" t="str">
        <f aca="false">IF(AND(ISNUMBER($G1117),$G1117&gt;=MA_MED),AVERAGE(INDEX($C$717:$C1117,402-MA_MED):$C1117),"")</f>
        <v/>
      </c>
      <c r="K1117" s="52" t="str">
        <f aca="false">IF(AND(ISNUMBER($G1117),$G1117&gt;=MA_LONG2),AVERAGE(INDEX($C$717:$C1117,402-MA_LONG2):$C1117),"")</f>
        <v/>
      </c>
      <c r="L1117" s="53" t="str">
        <f aca="false">IF(AND(ISNUMBER($G1117),$G1117&gt;=21),STDEV(INDEX($H$1057:$H1117,62-20):$H1117)*SQRT(245),"")</f>
        <v/>
      </c>
      <c r="M1117" s="52" t="str">
        <f aca="false">IF(AND(ISNUMBER($G1117),$G1117&gt;=60),MAX(INDEX($D$917:$D1117,202-60):$D1117),"")</f>
        <v/>
      </c>
      <c r="N1117" s="52" t="str">
        <f aca="false">IF(AND(ISNUMBER($G1117),$G1117&gt;=60),MIN(INDEX($E$917:$E1117,202-60):$E1117),"")</f>
        <v/>
      </c>
      <c r="O1117" s="53" t="str">
        <f aca="false">IF(OR(NOT(ISNUMBER($C1117)),NOT(ISNUMBER($M1117)),$M1117=0),"",$C1117/$M1117-1)</f>
        <v/>
      </c>
    </row>
    <row r="1118" customFormat="false" ht="15" hidden="false" customHeight="false" outlineLevel="0" collapsed="false">
      <c r="A1118" s="55"/>
      <c r="B1118" s="56"/>
      <c r="C1118" s="57"/>
      <c r="D1118" s="56"/>
      <c r="E1118" s="56"/>
      <c r="F1118" s="56"/>
      <c r="G1118" s="50" t="str">
        <f aca="false">IF($A1118="","",IF(ISNUMBER($G1117),$G1117+1,1))</f>
        <v/>
      </c>
      <c r="H1118" s="51" t="str">
        <f aca="false">IF(OR(NOT(ISNUMBER($G1118)),$G1118&lt;2,NOT(ISNUMBER($C1117)),$C1117=0),"",$C1118/$C1117-1)</f>
        <v/>
      </c>
      <c r="I1118" s="52" t="str">
        <f aca="false">IF(AND(ISNUMBER($G1118),$G1118&gt;=MA_SHORT),AVERAGE(INDEX($C$718:$C1118,402-MA_SHORT):$C1118),"")</f>
        <v/>
      </c>
      <c r="J1118" s="52" t="str">
        <f aca="false">IF(AND(ISNUMBER($G1118),$G1118&gt;=MA_MED),AVERAGE(INDEX($C$718:$C1118,402-MA_MED):$C1118),"")</f>
        <v/>
      </c>
      <c r="K1118" s="52" t="str">
        <f aca="false">IF(AND(ISNUMBER($G1118),$G1118&gt;=MA_LONG2),AVERAGE(INDEX($C$718:$C1118,402-MA_LONG2):$C1118),"")</f>
        <v/>
      </c>
      <c r="L1118" s="53" t="str">
        <f aca="false">IF(AND(ISNUMBER($G1118),$G1118&gt;=21),STDEV(INDEX($H$1058:$H1118,62-20):$H1118)*SQRT(245),"")</f>
        <v/>
      </c>
      <c r="M1118" s="52" t="str">
        <f aca="false">IF(AND(ISNUMBER($G1118),$G1118&gt;=60),MAX(INDEX($D$918:$D1118,202-60):$D1118),"")</f>
        <v/>
      </c>
      <c r="N1118" s="52" t="str">
        <f aca="false">IF(AND(ISNUMBER($G1118),$G1118&gt;=60),MIN(INDEX($E$918:$E1118,202-60):$E1118),"")</f>
        <v/>
      </c>
      <c r="O1118" s="53" t="str">
        <f aca="false">IF(OR(NOT(ISNUMBER($C1118)),NOT(ISNUMBER($M1118)),$M1118=0),"",$C1118/$M1118-1)</f>
        <v/>
      </c>
    </row>
    <row r="1119" customFormat="false" ht="15" hidden="false" customHeight="false" outlineLevel="0" collapsed="false">
      <c r="A1119" s="55"/>
      <c r="B1119" s="56"/>
      <c r="C1119" s="57"/>
      <c r="D1119" s="56"/>
      <c r="E1119" s="56"/>
      <c r="F1119" s="56"/>
      <c r="G1119" s="50" t="str">
        <f aca="false">IF($A1119="","",IF(ISNUMBER($G1118),$G1118+1,1))</f>
        <v/>
      </c>
      <c r="H1119" s="51" t="str">
        <f aca="false">IF(OR(NOT(ISNUMBER($G1119)),$G1119&lt;2,NOT(ISNUMBER($C1118)),$C1118=0),"",$C1119/$C1118-1)</f>
        <v/>
      </c>
      <c r="I1119" s="52" t="str">
        <f aca="false">IF(AND(ISNUMBER($G1119),$G1119&gt;=MA_SHORT),AVERAGE(INDEX($C$719:$C1119,402-MA_SHORT):$C1119),"")</f>
        <v/>
      </c>
      <c r="J1119" s="52" t="str">
        <f aca="false">IF(AND(ISNUMBER($G1119),$G1119&gt;=MA_MED),AVERAGE(INDEX($C$719:$C1119,402-MA_MED):$C1119),"")</f>
        <v/>
      </c>
      <c r="K1119" s="52" t="str">
        <f aca="false">IF(AND(ISNUMBER($G1119),$G1119&gt;=MA_LONG2),AVERAGE(INDEX($C$719:$C1119,402-MA_LONG2):$C1119),"")</f>
        <v/>
      </c>
      <c r="L1119" s="53" t="str">
        <f aca="false">IF(AND(ISNUMBER($G1119),$G1119&gt;=21),STDEV(INDEX($H$1059:$H1119,62-20):$H1119)*SQRT(245),"")</f>
        <v/>
      </c>
      <c r="M1119" s="52" t="str">
        <f aca="false">IF(AND(ISNUMBER($G1119),$G1119&gt;=60),MAX(INDEX($D$919:$D1119,202-60):$D1119),"")</f>
        <v/>
      </c>
      <c r="N1119" s="52" t="str">
        <f aca="false">IF(AND(ISNUMBER($G1119),$G1119&gt;=60),MIN(INDEX($E$919:$E1119,202-60):$E1119),"")</f>
        <v/>
      </c>
      <c r="O1119" s="53" t="str">
        <f aca="false">IF(OR(NOT(ISNUMBER($C1119)),NOT(ISNUMBER($M1119)),$M1119=0),"",$C1119/$M1119-1)</f>
        <v/>
      </c>
    </row>
    <row r="1120" customFormat="false" ht="15" hidden="false" customHeight="false" outlineLevel="0" collapsed="false">
      <c r="A1120" s="55"/>
      <c r="B1120" s="56"/>
      <c r="C1120" s="57"/>
      <c r="D1120" s="56"/>
      <c r="E1120" s="56"/>
      <c r="F1120" s="56"/>
      <c r="G1120" s="50" t="str">
        <f aca="false">IF($A1120="","",IF(ISNUMBER($G1119),$G1119+1,1))</f>
        <v/>
      </c>
      <c r="H1120" s="51" t="str">
        <f aca="false">IF(OR(NOT(ISNUMBER($G1120)),$G1120&lt;2,NOT(ISNUMBER($C1119)),$C1119=0),"",$C1120/$C1119-1)</f>
        <v/>
      </c>
      <c r="I1120" s="52" t="str">
        <f aca="false">IF(AND(ISNUMBER($G1120),$G1120&gt;=MA_SHORT),AVERAGE(INDEX($C$720:$C1120,402-MA_SHORT):$C1120),"")</f>
        <v/>
      </c>
      <c r="J1120" s="52" t="str">
        <f aca="false">IF(AND(ISNUMBER($G1120),$G1120&gt;=MA_MED),AVERAGE(INDEX($C$720:$C1120,402-MA_MED):$C1120),"")</f>
        <v/>
      </c>
      <c r="K1120" s="52" t="str">
        <f aca="false">IF(AND(ISNUMBER($G1120),$G1120&gt;=MA_LONG2),AVERAGE(INDEX($C$720:$C1120,402-MA_LONG2):$C1120),"")</f>
        <v/>
      </c>
      <c r="L1120" s="53" t="str">
        <f aca="false">IF(AND(ISNUMBER($G1120),$G1120&gt;=21),STDEV(INDEX($H$1060:$H1120,62-20):$H1120)*SQRT(245),"")</f>
        <v/>
      </c>
      <c r="M1120" s="52" t="str">
        <f aca="false">IF(AND(ISNUMBER($G1120),$G1120&gt;=60),MAX(INDEX($D$920:$D1120,202-60):$D1120),"")</f>
        <v/>
      </c>
      <c r="N1120" s="52" t="str">
        <f aca="false">IF(AND(ISNUMBER($G1120),$G1120&gt;=60),MIN(INDEX($E$920:$E1120,202-60):$E1120),"")</f>
        <v/>
      </c>
      <c r="O1120" s="53" t="str">
        <f aca="false">IF(OR(NOT(ISNUMBER($C1120)),NOT(ISNUMBER($M1120)),$M1120=0),"",$C1120/$M1120-1)</f>
        <v/>
      </c>
    </row>
    <row r="1121" customFormat="false" ht="15" hidden="false" customHeight="false" outlineLevel="0" collapsed="false">
      <c r="A1121" s="55"/>
      <c r="B1121" s="56"/>
      <c r="C1121" s="57"/>
      <c r="D1121" s="56"/>
      <c r="E1121" s="56"/>
      <c r="F1121" s="56"/>
      <c r="G1121" s="50" t="str">
        <f aca="false">IF($A1121="","",IF(ISNUMBER($G1120),$G1120+1,1))</f>
        <v/>
      </c>
      <c r="H1121" s="51" t="str">
        <f aca="false">IF(OR(NOT(ISNUMBER($G1121)),$G1121&lt;2,NOT(ISNUMBER($C1120)),$C1120=0),"",$C1121/$C1120-1)</f>
        <v/>
      </c>
      <c r="I1121" s="52" t="str">
        <f aca="false">IF(AND(ISNUMBER($G1121),$G1121&gt;=MA_SHORT),AVERAGE(INDEX($C$721:$C1121,402-MA_SHORT):$C1121),"")</f>
        <v/>
      </c>
      <c r="J1121" s="52" t="str">
        <f aca="false">IF(AND(ISNUMBER($G1121),$G1121&gt;=MA_MED),AVERAGE(INDEX($C$721:$C1121,402-MA_MED):$C1121),"")</f>
        <v/>
      </c>
      <c r="K1121" s="52" t="str">
        <f aca="false">IF(AND(ISNUMBER($G1121),$G1121&gt;=MA_LONG2),AVERAGE(INDEX($C$721:$C1121,402-MA_LONG2):$C1121),"")</f>
        <v/>
      </c>
      <c r="L1121" s="53" t="str">
        <f aca="false">IF(AND(ISNUMBER($G1121),$G1121&gt;=21),STDEV(INDEX($H$1061:$H1121,62-20):$H1121)*SQRT(245),"")</f>
        <v/>
      </c>
      <c r="M1121" s="52" t="str">
        <f aca="false">IF(AND(ISNUMBER($G1121),$G1121&gt;=60),MAX(INDEX($D$921:$D1121,202-60):$D1121),"")</f>
        <v/>
      </c>
      <c r="N1121" s="52" t="str">
        <f aca="false">IF(AND(ISNUMBER($G1121),$G1121&gt;=60),MIN(INDEX($E$921:$E1121,202-60):$E1121),"")</f>
        <v/>
      </c>
      <c r="O1121" s="53" t="str">
        <f aca="false">IF(OR(NOT(ISNUMBER($C1121)),NOT(ISNUMBER($M1121)),$M1121=0),"",$C1121/$M1121-1)</f>
        <v/>
      </c>
    </row>
    <row r="1122" customFormat="false" ht="15" hidden="false" customHeight="false" outlineLevel="0" collapsed="false">
      <c r="A1122" s="55"/>
      <c r="B1122" s="56"/>
      <c r="C1122" s="57"/>
      <c r="D1122" s="56"/>
      <c r="E1122" s="56"/>
      <c r="F1122" s="56"/>
      <c r="G1122" s="50" t="str">
        <f aca="false">IF($A1122="","",IF(ISNUMBER($G1121),$G1121+1,1))</f>
        <v/>
      </c>
      <c r="H1122" s="51" t="str">
        <f aca="false">IF(OR(NOT(ISNUMBER($G1122)),$G1122&lt;2,NOT(ISNUMBER($C1121)),$C1121=0),"",$C1122/$C1121-1)</f>
        <v/>
      </c>
      <c r="I1122" s="52" t="str">
        <f aca="false">IF(AND(ISNUMBER($G1122),$G1122&gt;=MA_SHORT),AVERAGE(INDEX($C$722:$C1122,402-MA_SHORT):$C1122),"")</f>
        <v/>
      </c>
      <c r="J1122" s="52" t="str">
        <f aca="false">IF(AND(ISNUMBER($G1122),$G1122&gt;=MA_MED),AVERAGE(INDEX($C$722:$C1122,402-MA_MED):$C1122),"")</f>
        <v/>
      </c>
      <c r="K1122" s="52" t="str">
        <f aca="false">IF(AND(ISNUMBER($G1122),$G1122&gt;=MA_LONG2),AVERAGE(INDEX($C$722:$C1122,402-MA_LONG2):$C1122),"")</f>
        <v/>
      </c>
      <c r="L1122" s="53" t="str">
        <f aca="false">IF(AND(ISNUMBER($G1122),$G1122&gt;=21),STDEV(INDEX($H$1062:$H1122,62-20):$H1122)*SQRT(245),"")</f>
        <v/>
      </c>
      <c r="M1122" s="52" t="str">
        <f aca="false">IF(AND(ISNUMBER($G1122),$G1122&gt;=60),MAX(INDEX($D$922:$D1122,202-60):$D1122),"")</f>
        <v/>
      </c>
      <c r="N1122" s="52" t="str">
        <f aca="false">IF(AND(ISNUMBER($G1122),$G1122&gt;=60),MIN(INDEX($E$922:$E1122,202-60):$E1122),"")</f>
        <v/>
      </c>
      <c r="O1122" s="53" t="str">
        <f aca="false">IF(OR(NOT(ISNUMBER($C1122)),NOT(ISNUMBER($M1122)),$M1122=0),"",$C1122/$M1122-1)</f>
        <v/>
      </c>
    </row>
    <row r="1123" customFormat="false" ht="15" hidden="false" customHeight="false" outlineLevel="0" collapsed="false">
      <c r="A1123" s="55"/>
      <c r="B1123" s="56"/>
      <c r="C1123" s="57"/>
      <c r="D1123" s="56"/>
      <c r="E1123" s="56"/>
      <c r="F1123" s="56"/>
      <c r="G1123" s="50" t="str">
        <f aca="false">IF($A1123="","",IF(ISNUMBER($G1122),$G1122+1,1))</f>
        <v/>
      </c>
      <c r="H1123" s="51" t="str">
        <f aca="false">IF(OR(NOT(ISNUMBER($G1123)),$G1123&lt;2,NOT(ISNUMBER($C1122)),$C1122=0),"",$C1123/$C1122-1)</f>
        <v/>
      </c>
      <c r="I1123" s="52" t="str">
        <f aca="false">IF(AND(ISNUMBER($G1123),$G1123&gt;=MA_SHORT),AVERAGE(INDEX($C$723:$C1123,402-MA_SHORT):$C1123),"")</f>
        <v/>
      </c>
      <c r="J1123" s="52" t="str">
        <f aca="false">IF(AND(ISNUMBER($G1123),$G1123&gt;=MA_MED),AVERAGE(INDEX($C$723:$C1123,402-MA_MED):$C1123),"")</f>
        <v/>
      </c>
      <c r="K1123" s="52" t="str">
        <f aca="false">IF(AND(ISNUMBER($G1123),$G1123&gt;=MA_LONG2),AVERAGE(INDEX($C$723:$C1123,402-MA_LONG2):$C1123),"")</f>
        <v/>
      </c>
      <c r="L1123" s="53" t="str">
        <f aca="false">IF(AND(ISNUMBER($G1123),$G1123&gt;=21),STDEV(INDEX($H$1063:$H1123,62-20):$H1123)*SQRT(245),"")</f>
        <v/>
      </c>
      <c r="M1123" s="52" t="str">
        <f aca="false">IF(AND(ISNUMBER($G1123),$G1123&gt;=60),MAX(INDEX($D$923:$D1123,202-60):$D1123),"")</f>
        <v/>
      </c>
      <c r="N1123" s="52" t="str">
        <f aca="false">IF(AND(ISNUMBER($G1123),$G1123&gt;=60),MIN(INDEX($E$923:$E1123,202-60):$E1123),"")</f>
        <v/>
      </c>
      <c r="O1123" s="53" t="str">
        <f aca="false">IF(OR(NOT(ISNUMBER($C1123)),NOT(ISNUMBER($M1123)),$M1123=0),"",$C1123/$M1123-1)</f>
        <v/>
      </c>
    </row>
    <row r="1124" customFormat="false" ht="15" hidden="false" customHeight="false" outlineLevel="0" collapsed="false">
      <c r="A1124" s="55"/>
      <c r="B1124" s="56"/>
      <c r="C1124" s="57"/>
      <c r="D1124" s="56"/>
      <c r="E1124" s="56"/>
      <c r="F1124" s="56"/>
      <c r="G1124" s="50" t="str">
        <f aca="false">IF($A1124="","",IF(ISNUMBER($G1123),$G1123+1,1))</f>
        <v/>
      </c>
      <c r="H1124" s="51" t="str">
        <f aca="false">IF(OR(NOT(ISNUMBER($G1124)),$G1124&lt;2,NOT(ISNUMBER($C1123)),$C1123=0),"",$C1124/$C1123-1)</f>
        <v/>
      </c>
      <c r="I1124" s="52" t="str">
        <f aca="false">IF(AND(ISNUMBER($G1124),$G1124&gt;=MA_SHORT),AVERAGE(INDEX($C$724:$C1124,402-MA_SHORT):$C1124),"")</f>
        <v/>
      </c>
      <c r="J1124" s="52" t="str">
        <f aca="false">IF(AND(ISNUMBER($G1124),$G1124&gt;=MA_MED),AVERAGE(INDEX($C$724:$C1124,402-MA_MED):$C1124),"")</f>
        <v/>
      </c>
      <c r="K1124" s="52" t="str">
        <f aca="false">IF(AND(ISNUMBER($G1124),$G1124&gt;=MA_LONG2),AVERAGE(INDEX($C$724:$C1124,402-MA_LONG2):$C1124),"")</f>
        <v/>
      </c>
      <c r="L1124" s="53" t="str">
        <f aca="false">IF(AND(ISNUMBER($G1124),$G1124&gt;=21),STDEV(INDEX($H$1064:$H1124,62-20):$H1124)*SQRT(245),"")</f>
        <v/>
      </c>
      <c r="M1124" s="52" t="str">
        <f aca="false">IF(AND(ISNUMBER($G1124),$G1124&gt;=60),MAX(INDEX($D$924:$D1124,202-60):$D1124),"")</f>
        <v/>
      </c>
      <c r="N1124" s="52" t="str">
        <f aca="false">IF(AND(ISNUMBER($G1124),$G1124&gt;=60),MIN(INDEX($E$924:$E1124,202-60):$E1124),"")</f>
        <v/>
      </c>
      <c r="O1124" s="53" t="str">
        <f aca="false">IF(OR(NOT(ISNUMBER($C1124)),NOT(ISNUMBER($M1124)),$M1124=0),"",$C1124/$M1124-1)</f>
        <v/>
      </c>
    </row>
    <row r="1125" customFormat="false" ht="15" hidden="false" customHeight="false" outlineLevel="0" collapsed="false">
      <c r="A1125" s="55"/>
      <c r="B1125" s="56"/>
      <c r="C1125" s="57"/>
      <c r="D1125" s="56"/>
      <c r="E1125" s="56"/>
      <c r="F1125" s="56"/>
      <c r="G1125" s="50" t="str">
        <f aca="false">IF($A1125="","",IF(ISNUMBER($G1124),$G1124+1,1))</f>
        <v/>
      </c>
      <c r="H1125" s="51" t="str">
        <f aca="false">IF(OR(NOT(ISNUMBER($G1125)),$G1125&lt;2,NOT(ISNUMBER($C1124)),$C1124=0),"",$C1125/$C1124-1)</f>
        <v/>
      </c>
      <c r="I1125" s="52" t="str">
        <f aca="false">IF(AND(ISNUMBER($G1125),$G1125&gt;=MA_SHORT),AVERAGE(INDEX($C$725:$C1125,402-MA_SHORT):$C1125),"")</f>
        <v/>
      </c>
      <c r="J1125" s="52" t="str">
        <f aca="false">IF(AND(ISNUMBER($G1125),$G1125&gt;=MA_MED),AVERAGE(INDEX($C$725:$C1125,402-MA_MED):$C1125),"")</f>
        <v/>
      </c>
      <c r="K1125" s="52" t="str">
        <f aca="false">IF(AND(ISNUMBER($G1125),$G1125&gt;=MA_LONG2),AVERAGE(INDEX($C$725:$C1125,402-MA_LONG2):$C1125),"")</f>
        <v/>
      </c>
      <c r="L1125" s="53" t="str">
        <f aca="false">IF(AND(ISNUMBER($G1125),$G1125&gt;=21),STDEV(INDEX($H$1065:$H1125,62-20):$H1125)*SQRT(245),"")</f>
        <v/>
      </c>
      <c r="M1125" s="52" t="str">
        <f aca="false">IF(AND(ISNUMBER($G1125),$G1125&gt;=60),MAX(INDEX($D$925:$D1125,202-60):$D1125),"")</f>
        <v/>
      </c>
      <c r="N1125" s="52" t="str">
        <f aca="false">IF(AND(ISNUMBER($G1125),$G1125&gt;=60),MIN(INDEX($E$925:$E1125,202-60):$E1125),"")</f>
        <v/>
      </c>
      <c r="O1125" s="53" t="str">
        <f aca="false">IF(OR(NOT(ISNUMBER($C1125)),NOT(ISNUMBER($M1125)),$M1125=0),"",$C1125/$M1125-1)</f>
        <v/>
      </c>
    </row>
    <row r="1126" customFormat="false" ht="15" hidden="false" customHeight="false" outlineLevel="0" collapsed="false">
      <c r="A1126" s="55"/>
      <c r="B1126" s="56"/>
      <c r="C1126" s="57"/>
      <c r="D1126" s="56"/>
      <c r="E1126" s="56"/>
      <c r="F1126" s="56"/>
      <c r="G1126" s="50" t="str">
        <f aca="false">IF($A1126="","",IF(ISNUMBER($G1125),$G1125+1,1))</f>
        <v/>
      </c>
      <c r="H1126" s="51" t="str">
        <f aca="false">IF(OR(NOT(ISNUMBER($G1126)),$G1126&lt;2,NOT(ISNUMBER($C1125)),$C1125=0),"",$C1126/$C1125-1)</f>
        <v/>
      </c>
      <c r="I1126" s="52" t="str">
        <f aca="false">IF(AND(ISNUMBER($G1126),$G1126&gt;=MA_SHORT),AVERAGE(INDEX($C$726:$C1126,402-MA_SHORT):$C1126),"")</f>
        <v/>
      </c>
      <c r="J1126" s="52" t="str">
        <f aca="false">IF(AND(ISNUMBER($G1126),$G1126&gt;=MA_MED),AVERAGE(INDEX($C$726:$C1126,402-MA_MED):$C1126),"")</f>
        <v/>
      </c>
      <c r="K1126" s="52" t="str">
        <f aca="false">IF(AND(ISNUMBER($G1126),$G1126&gt;=MA_LONG2),AVERAGE(INDEX($C$726:$C1126,402-MA_LONG2):$C1126),"")</f>
        <v/>
      </c>
      <c r="L1126" s="53" t="str">
        <f aca="false">IF(AND(ISNUMBER($G1126),$G1126&gt;=21),STDEV(INDEX($H$1066:$H1126,62-20):$H1126)*SQRT(245),"")</f>
        <v/>
      </c>
      <c r="M1126" s="52" t="str">
        <f aca="false">IF(AND(ISNUMBER($G1126),$G1126&gt;=60),MAX(INDEX($D$926:$D1126,202-60):$D1126),"")</f>
        <v/>
      </c>
      <c r="N1126" s="52" t="str">
        <f aca="false">IF(AND(ISNUMBER($G1126),$G1126&gt;=60),MIN(INDEX($E$926:$E1126,202-60):$E1126),"")</f>
        <v/>
      </c>
      <c r="O1126" s="53" t="str">
        <f aca="false">IF(OR(NOT(ISNUMBER($C1126)),NOT(ISNUMBER($M1126)),$M1126=0),"",$C1126/$M1126-1)</f>
        <v/>
      </c>
    </row>
    <row r="1127" customFormat="false" ht="15" hidden="false" customHeight="false" outlineLevel="0" collapsed="false">
      <c r="A1127" s="55"/>
      <c r="B1127" s="56"/>
      <c r="C1127" s="57"/>
      <c r="D1127" s="56"/>
      <c r="E1127" s="56"/>
      <c r="F1127" s="56"/>
      <c r="G1127" s="50" t="str">
        <f aca="false">IF($A1127="","",IF(ISNUMBER($G1126),$G1126+1,1))</f>
        <v/>
      </c>
      <c r="H1127" s="51" t="str">
        <f aca="false">IF(OR(NOT(ISNUMBER($G1127)),$G1127&lt;2,NOT(ISNUMBER($C1126)),$C1126=0),"",$C1127/$C1126-1)</f>
        <v/>
      </c>
      <c r="I1127" s="52" t="str">
        <f aca="false">IF(AND(ISNUMBER($G1127),$G1127&gt;=MA_SHORT),AVERAGE(INDEX($C$727:$C1127,402-MA_SHORT):$C1127),"")</f>
        <v/>
      </c>
      <c r="J1127" s="52" t="str">
        <f aca="false">IF(AND(ISNUMBER($G1127),$G1127&gt;=MA_MED),AVERAGE(INDEX($C$727:$C1127,402-MA_MED):$C1127),"")</f>
        <v/>
      </c>
      <c r="K1127" s="52" t="str">
        <f aca="false">IF(AND(ISNUMBER($G1127),$G1127&gt;=MA_LONG2),AVERAGE(INDEX($C$727:$C1127,402-MA_LONG2):$C1127),"")</f>
        <v/>
      </c>
      <c r="L1127" s="53" t="str">
        <f aca="false">IF(AND(ISNUMBER($G1127),$G1127&gt;=21),STDEV(INDEX($H$1067:$H1127,62-20):$H1127)*SQRT(245),"")</f>
        <v/>
      </c>
      <c r="M1127" s="52" t="str">
        <f aca="false">IF(AND(ISNUMBER($G1127),$G1127&gt;=60),MAX(INDEX($D$927:$D1127,202-60):$D1127),"")</f>
        <v/>
      </c>
      <c r="N1127" s="52" t="str">
        <f aca="false">IF(AND(ISNUMBER($G1127),$G1127&gt;=60),MIN(INDEX($E$927:$E1127,202-60):$E1127),"")</f>
        <v/>
      </c>
      <c r="O1127" s="53" t="str">
        <f aca="false">IF(OR(NOT(ISNUMBER($C1127)),NOT(ISNUMBER($M1127)),$M1127=0),"",$C1127/$M1127-1)</f>
        <v/>
      </c>
    </row>
    <row r="1128" customFormat="false" ht="15" hidden="false" customHeight="false" outlineLevel="0" collapsed="false">
      <c r="A1128" s="55"/>
      <c r="B1128" s="56"/>
      <c r="C1128" s="57"/>
      <c r="D1128" s="56"/>
      <c r="E1128" s="56"/>
      <c r="F1128" s="56"/>
      <c r="G1128" s="50" t="str">
        <f aca="false">IF($A1128="","",IF(ISNUMBER($G1127),$G1127+1,1))</f>
        <v/>
      </c>
      <c r="H1128" s="51" t="str">
        <f aca="false">IF(OR(NOT(ISNUMBER($G1128)),$G1128&lt;2,NOT(ISNUMBER($C1127)),$C1127=0),"",$C1128/$C1127-1)</f>
        <v/>
      </c>
      <c r="I1128" s="52" t="str">
        <f aca="false">IF(AND(ISNUMBER($G1128),$G1128&gt;=MA_SHORT),AVERAGE(INDEX($C$728:$C1128,402-MA_SHORT):$C1128),"")</f>
        <v/>
      </c>
      <c r="J1128" s="52" t="str">
        <f aca="false">IF(AND(ISNUMBER($G1128),$G1128&gt;=MA_MED),AVERAGE(INDEX($C$728:$C1128,402-MA_MED):$C1128),"")</f>
        <v/>
      </c>
      <c r="K1128" s="52" t="str">
        <f aca="false">IF(AND(ISNUMBER($G1128),$G1128&gt;=MA_LONG2),AVERAGE(INDEX($C$728:$C1128,402-MA_LONG2):$C1128),"")</f>
        <v/>
      </c>
      <c r="L1128" s="53" t="str">
        <f aca="false">IF(AND(ISNUMBER($G1128),$G1128&gt;=21),STDEV(INDEX($H$1068:$H1128,62-20):$H1128)*SQRT(245),"")</f>
        <v/>
      </c>
      <c r="M1128" s="52" t="str">
        <f aca="false">IF(AND(ISNUMBER($G1128),$G1128&gt;=60),MAX(INDEX($D$928:$D1128,202-60):$D1128),"")</f>
        <v/>
      </c>
      <c r="N1128" s="52" t="str">
        <f aca="false">IF(AND(ISNUMBER($G1128),$G1128&gt;=60),MIN(INDEX($E$928:$E1128,202-60):$E1128),"")</f>
        <v/>
      </c>
      <c r="O1128" s="53" t="str">
        <f aca="false">IF(OR(NOT(ISNUMBER($C1128)),NOT(ISNUMBER($M1128)),$M1128=0),"",$C1128/$M1128-1)</f>
        <v/>
      </c>
    </row>
    <row r="1129" customFormat="false" ht="15" hidden="false" customHeight="false" outlineLevel="0" collapsed="false">
      <c r="A1129" s="55"/>
      <c r="B1129" s="56"/>
      <c r="C1129" s="57"/>
      <c r="D1129" s="56"/>
      <c r="E1129" s="56"/>
      <c r="F1129" s="56"/>
      <c r="G1129" s="50" t="str">
        <f aca="false">IF($A1129="","",IF(ISNUMBER($G1128),$G1128+1,1))</f>
        <v/>
      </c>
      <c r="H1129" s="51" t="str">
        <f aca="false">IF(OR(NOT(ISNUMBER($G1129)),$G1129&lt;2,NOT(ISNUMBER($C1128)),$C1128=0),"",$C1129/$C1128-1)</f>
        <v/>
      </c>
      <c r="I1129" s="52" t="str">
        <f aca="false">IF(AND(ISNUMBER($G1129),$G1129&gt;=MA_SHORT),AVERAGE(INDEX($C$729:$C1129,402-MA_SHORT):$C1129),"")</f>
        <v/>
      </c>
      <c r="J1129" s="52" t="str">
        <f aca="false">IF(AND(ISNUMBER($G1129),$G1129&gt;=MA_MED),AVERAGE(INDEX($C$729:$C1129,402-MA_MED):$C1129),"")</f>
        <v/>
      </c>
      <c r="K1129" s="52" t="str">
        <f aca="false">IF(AND(ISNUMBER($G1129),$G1129&gt;=MA_LONG2),AVERAGE(INDEX($C$729:$C1129,402-MA_LONG2):$C1129),"")</f>
        <v/>
      </c>
      <c r="L1129" s="53" t="str">
        <f aca="false">IF(AND(ISNUMBER($G1129),$G1129&gt;=21),STDEV(INDEX($H$1069:$H1129,62-20):$H1129)*SQRT(245),"")</f>
        <v/>
      </c>
      <c r="M1129" s="52" t="str">
        <f aca="false">IF(AND(ISNUMBER($G1129),$G1129&gt;=60),MAX(INDEX($D$929:$D1129,202-60):$D1129),"")</f>
        <v/>
      </c>
      <c r="N1129" s="52" t="str">
        <f aca="false">IF(AND(ISNUMBER($G1129),$G1129&gt;=60),MIN(INDEX($E$929:$E1129,202-60):$E1129),"")</f>
        <v/>
      </c>
      <c r="O1129" s="53" t="str">
        <f aca="false">IF(OR(NOT(ISNUMBER($C1129)),NOT(ISNUMBER($M1129)),$M1129=0),"",$C1129/$M1129-1)</f>
        <v/>
      </c>
    </row>
    <row r="1130" customFormat="false" ht="15" hidden="false" customHeight="false" outlineLevel="0" collapsed="false">
      <c r="A1130" s="55"/>
      <c r="B1130" s="56"/>
      <c r="C1130" s="57"/>
      <c r="D1130" s="56"/>
      <c r="E1130" s="56"/>
      <c r="F1130" s="56"/>
      <c r="G1130" s="50" t="str">
        <f aca="false">IF($A1130="","",IF(ISNUMBER($G1129),$G1129+1,1))</f>
        <v/>
      </c>
      <c r="H1130" s="51" t="str">
        <f aca="false">IF(OR(NOT(ISNUMBER($G1130)),$G1130&lt;2,NOT(ISNUMBER($C1129)),$C1129=0),"",$C1130/$C1129-1)</f>
        <v/>
      </c>
      <c r="I1130" s="52" t="str">
        <f aca="false">IF(AND(ISNUMBER($G1130),$G1130&gt;=MA_SHORT),AVERAGE(INDEX($C$730:$C1130,402-MA_SHORT):$C1130),"")</f>
        <v/>
      </c>
      <c r="J1130" s="52" t="str">
        <f aca="false">IF(AND(ISNUMBER($G1130),$G1130&gt;=MA_MED),AVERAGE(INDEX($C$730:$C1130,402-MA_MED):$C1130),"")</f>
        <v/>
      </c>
      <c r="K1130" s="52" t="str">
        <f aca="false">IF(AND(ISNUMBER($G1130),$G1130&gt;=MA_LONG2),AVERAGE(INDEX($C$730:$C1130,402-MA_LONG2):$C1130),"")</f>
        <v/>
      </c>
      <c r="L1130" s="53" t="str">
        <f aca="false">IF(AND(ISNUMBER($G1130),$G1130&gt;=21),STDEV(INDEX($H$1070:$H1130,62-20):$H1130)*SQRT(245),"")</f>
        <v/>
      </c>
      <c r="M1130" s="52" t="str">
        <f aca="false">IF(AND(ISNUMBER($G1130),$G1130&gt;=60),MAX(INDEX($D$930:$D1130,202-60):$D1130),"")</f>
        <v/>
      </c>
      <c r="N1130" s="52" t="str">
        <f aca="false">IF(AND(ISNUMBER($G1130),$G1130&gt;=60),MIN(INDEX($E$930:$E1130,202-60):$E1130),"")</f>
        <v/>
      </c>
      <c r="O1130" s="53" t="str">
        <f aca="false">IF(OR(NOT(ISNUMBER($C1130)),NOT(ISNUMBER($M1130)),$M1130=0),"",$C1130/$M1130-1)</f>
        <v/>
      </c>
    </row>
    <row r="1131" customFormat="false" ht="15" hidden="false" customHeight="false" outlineLevel="0" collapsed="false">
      <c r="A1131" s="55"/>
      <c r="B1131" s="56"/>
      <c r="C1131" s="57"/>
      <c r="D1131" s="56"/>
      <c r="E1131" s="56"/>
      <c r="F1131" s="56"/>
      <c r="G1131" s="50" t="str">
        <f aca="false">IF($A1131="","",IF(ISNUMBER($G1130),$G1130+1,1))</f>
        <v/>
      </c>
      <c r="H1131" s="51" t="str">
        <f aca="false">IF(OR(NOT(ISNUMBER($G1131)),$G1131&lt;2,NOT(ISNUMBER($C1130)),$C1130=0),"",$C1131/$C1130-1)</f>
        <v/>
      </c>
      <c r="I1131" s="52" t="str">
        <f aca="false">IF(AND(ISNUMBER($G1131),$G1131&gt;=MA_SHORT),AVERAGE(INDEX($C$731:$C1131,402-MA_SHORT):$C1131),"")</f>
        <v/>
      </c>
      <c r="J1131" s="52" t="str">
        <f aca="false">IF(AND(ISNUMBER($G1131),$G1131&gt;=MA_MED),AVERAGE(INDEX($C$731:$C1131,402-MA_MED):$C1131),"")</f>
        <v/>
      </c>
      <c r="K1131" s="52" t="str">
        <f aca="false">IF(AND(ISNUMBER($G1131),$G1131&gt;=MA_LONG2),AVERAGE(INDEX($C$731:$C1131,402-MA_LONG2):$C1131),"")</f>
        <v/>
      </c>
      <c r="L1131" s="53" t="str">
        <f aca="false">IF(AND(ISNUMBER($G1131),$G1131&gt;=21),STDEV(INDEX($H$1071:$H1131,62-20):$H1131)*SQRT(245),"")</f>
        <v/>
      </c>
      <c r="M1131" s="52" t="str">
        <f aca="false">IF(AND(ISNUMBER($G1131),$G1131&gt;=60),MAX(INDEX($D$931:$D1131,202-60):$D1131),"")</f>
        <v/>
      </c>
      <c r="N1131" s="52" t="str">
        <f aca="false">IF(AND(ISNUMBER($G1131),$G1131&gt;=60),MIN(INDEX($E$931:$E1131,202-60):$E1131),"")</f>
        <v/>
      </c>
      <c r="O1131" s="53" t="str">
        <f aca="false">IF(OR(NOT(ISNUMBER($C1131)),NOT(ISNUMBER($M1131)),$M1131=0),"",$C1131/$M1131-1)</f>
        <v/>
      </c>
    </row>
    <row r="1132" customFormat="false" ht="15" hidden="false" customHeight="false" outlineLevel="0" collapsed="false">
      <c r="A1132" s="55"/>
      <c r="B1132" s="56"/>
      <c r="C1132" s="57"/>
      <c r="D1132" s="56"/>
      <c r="E1132" s="56"/>
      <c r="F1132" s="56"/>
      <c r="G1132" s="50" t="str">
        <f aca="false">IF($A1132="","",IF(ISNUMBER($G1131),$G1131+1,1))</f>
        <v/>
      </c>
      <c r="H1132" s="51" t="str">
        <f aca="false">IF(OR(NOT(ISNUMBER($G1132)),$G1132&lt;2,NOT(ISNUMBER($C1131)),$C1131=0),"",$C1132/$C1131-1)</f>
        <v/>
      </c>
      <c r="I1132" s="52" t="str">
        <f aca="false">IF(AND(ISNUMBER($G1132),$G1132&gt;=MA_SHORT),AVERAGE(INDEX($C$732:$C1132,402-MA_SHORT):$C1132),"")</f>
        <v/>
      </c>
      <c r="J1132" s="52" t="str">
        <f aca="false">IF(AND(ISNUMBER($G1132),$G1132&gt;=MA_MED),AVERAGE(INDEX($C$732:$C1132,402-MA_MED):$C1132),"")</f>
        <v/>
      </c>
      <c r="K1132" s="52" t="str">
        <f aca="false">IF(AND(ISNUMBER($G1132),$G1132&gt;=MA_LONG2),AVERAGE(INDEX($C$732:$C1132,402-MA_LONG2):$C1132),"")</f>
        <v/>
      </c>
      <c r="L1132" s="53" t="str">
        <f aca="false">IF(AND(ISNUMBER($G1132),$G1132&gt;=21),STDEV(INDEX($H$1072:$H1132,62-20):$H1132)*SQRT(245),"")</f>
        <v/>
      </c>
      <c r="M1132" s="52" t="str">
        <f aca="false">IF(AND(ISNUMBER($G1132),$G1132&gt;=60),MAX(INDEX($D$932:$D1132,202-60):$D1132),"")</f>
        <v/>
      </c>
      <c r="N1132" s="52" t="str">
        <f aca="false">IF(AND(ISNUMBER($G1132),$G1132&gt;=60),MIN(INDEX($E$932:$E1132,202-60):$E1132),"")</f>
        <v/>
      </c>
      <c r="O1132" s="53" t="str">
        <f aca="false">IF(OR(NOT(ISNUMBER($C1132)),NOT(ISNUMBER($M1132)),$M1132=0),"",$C1132/$M1132-1)</f>
        <v/>
      </c>
    </row>
    <row r="1133" customFormat="false" ht="15" hidden="false" customHeight="false" outlineLevel="0" collapsed="false">
      <c r="A1133" s="55"/>
      <c r="B1133" s="56"/>
      <c r="C1133" s="57"/>
      <c r="D1133" s="56"/>
      <c r="E1133" s="56"/>
      <c r="F1133" s="56"/>
      <c r="G1133" s="50" t="str">
        <f aca="false">IF($A1133="","",IF(ISNUMBER($G1132),$G1132+1,1))</f>
        <v/>
      </c>
      <c r="H1133" s="51" t="str">
        <f aca="false">IF(OR(NOT(ISNUMBER($G1133)),$G1133&lt;2,NOT(ISNUMBER($C1132)),$C1132=0),"",$C1133/$C1132-1)</f>
        <v/>
      </c>
      <c r="I1133" s="52" t="str">
        <f aca="false">IF(AND(ISNUMBER($G1133),$G1133&gt;=MA_SHORT),AVERAGE(INDEX($C$733:$C1133,402-MA_SHORT):$C1133),"")</f>
        <v/>
      </c>
      <c r="J1133" s="52" t="str">
        <f aca="false">IF(AND(ISNUMBER($G1133),$G1133&gt;=MA_MED),AVERAGE(INDEX($C$733:$C1133,402-MA_MED):$C1133),"")</f>
        <v/>
      </c>
      <c r="K1133" s="52" t="str">
        <f aca="false">IF(AND(ISNUMBER($G1133),$G1133&gt;=MA_LONG2),AVERAGE(INDEX($C$733:$C1133,402-MA_LONG2):$C1133),"")</f>
        <v/>
      </c>
      <c r="L1133" s="53" t="str">
        <f aca="false">IF(AND(ISNUMBER($G1133),$G1133&gt;=21),STDEV(INDEX($H$1073:$H1133,62-20):$H1133)*SQRT(245),"")</f>
        <v/>
      </c>
      <c r="M1133" s="52" t="str">
        <f aca="false">IF(AND(ISNUMBER($G1133),$G1133&gt;=60),MAX(INDEX($D$933:$D1133,202-60):$D1133),"")</f>
        <v/>
      </c>
      <c r="N1133" s="52" t="str">
        <f aca="false">IF(AND(ISNUMBER($G1133),$G1133&gt;=60),MIN(INDEX($E$933:$E1133,202-60):$E1133),"")</f>
        <v/>
      </c>
      <c r="O1133" s="53" t="str">
        <f aca="false">IF(OR(NOT(ISNUMBER($C1133)),NOT(ISNUMBER($M1133)),$M1133=0),"",$C1133/$M1133-1)</f>
        <v/>
      </c>
    </row>
    <row r="1134" customFormat="false" ht="15" hidden="false" customHeight="false" outlineLevel="0" collapsed="false">
      <c r="A1134" s="55"/>
      <c r="B1134" s="56"/>
      <c r="C1134" s="57"/>
      <c r="D1134" s="56"/>
      <c r="E1134" s="56"/>
      <c r="F1134" s="56"/>
      <c r="G1134" s="50" t="str">
        <f aca="false">IF($A1134="","",IF(ISNUMBER($G1133),$G1133+1,1))</f>
        <v/>
      </c>
      <c r="H1134" s="51" t="str">
        <f aca="false">IF(OR(NOT(ISNUMBER($G1134)),$G1134&lt;2,NOT(ISNUMBER($C1133)),$C1133=0),"",$C1134/$C1133-1)</f>
        <v/>
      </c>
      <c r="I1134" s="52" t="str">
        <f aca="false">IF(AND(ISNUMBER($G1134),$G1134&gt;=MA_SHORT),AVERAGE(INDEX($C$734:$C1134,402-MA_SHORT):$C1134),"")</f>
        <v/>
      </c>
      <c r="J1134" s="52" t="str">
        <f aca="false">IF(AND(ISNUMBER($G1134),$G1134&gt;=MA_MED),AVERAGE(INDEX($C$734:$C1134,402-MA_MED):$C1134),"")</f>
        <v/>
      </c>
      <c r="K1134" s="52" t="str">
        <f aca="false">IF(AND(ISNUMBER($G1134),$G1134&gt;=MA_LONG2),AVERAGE(INDEX($C$734:$C1134,402-MA_LONG2):$C1134),"")</f>
        <v/>
      </c>
      <c r="L1134" s="53" t="str">
        <f aca="false">IF(AND(ISNUMBER($G1134),$G1134&gt;=21),STDEV(INDEX($H$1074:$H1134,62-20):$H1134)*SQRT(245),"")</f>
        <v/>
      </c>
      <c r="M1134" s="52" t="str">
        <f aca="false">IF(AND(ISNUMBER($G1134),$G1134&gt;=60),MAX(INDEX($D$934:$D1134,202-60):$D1134),"")</f>
        <v/>
      </c>
      <c r="N1134" s="52" t="str">
        <f aca="false">IF(AND(ISNUMBER($G1134),$G1134&gt;=60),MIN(INDEX($E$934:$E1134,202-60):$E1134),"")</f>
        <v/>
      </c>
      <c r="O1134" s="53" t="str">
        <f aca="false">IF(OR(NOT(ISNUMBER($C1134)),NOT(ISNUMBER($M1134)),$M1134=0),"",$C1134/$M1134-1)</f>
        <v/>
      </c>
    </row>
    <row r="1135" customFormat="false" ht="15" hidden="false" customHeight="false" outlineLevel="0" collapsed="false">
      <c r="A1135" s="55"/>
      <c r="B1135" s="56"/>
      <c r="C1135" s="57"/>
      <c r="D1135" s="56"/>
      <c r="E1135" s="56"/>
      <c r="F1135" s="56"/>
      <c r="G1135" s="50" t="str">
        <f aca="false">IF($A1135="","",IF(ISNUMBER($G1134),$G1134+1,1))</f>
        <v/>
      </c>
      <c r="H1135" s="51" t="str">
        <f aca="false">IF(OR(NOT(ISNUMBER($G1135)),$G1135&lt;2,NOT(ISNUMBER($C1134)),$C1134=0),"",$C1135/$C1134-1)</f>
        <v/>
      </c>
      <c r="I1135" s="52" t="str">
        <f aca="false">IF(AND(ISNUMBER($G1135),$G1135&gt;=MA_SHORT),AVERAGE(INDEX($C$735:$C1135,402-MA_SHORT):$C1135),"")</f>
        <v/>
      </c>
      <c r="J1135" s="52" t="str">
        <f aca="false">IF(AND(ISNUMBER($G1135),$G1135&gt;=MA_MED),AVERAGE(INDEX($C$735:$C1135,402-MA_MED):$C1135),"")</f>
        <v/>
      </c>
      <c r="K1135" s="52" t="str">
        <f aca="false">IF(AND(ISNUMBER($G1135),$G1135&gt;=MA_LONG2),AVERAGE(INDEX($C$735:$C1135,402-MA_LONG2):$C1135),"")</f>
        <v/>
      </c>
      <c r="L1135" s="53" t="str">
        <f aca="false">IF(AND(ISNUMBER($G1135),$G1135&gt;=21),STDEV(INDEX($H$1075:$H1135,62-20):$H1135)*SQRT(245),"")</f>
        <v/>
      </c>
      <c r="M1135" s="52" t="str">
        <f aca="false">IF(AND(ISNUMBER($G1135),$G1135&gt;=60),MAX(INDEX($D$935:$D1135,202-60):$D1135),"")</f>
        <v/>
      </c>
      <c r="N1135" s="52" t="str">
        <f aca="false">IF(AND(ISNUMBER($G1135),$G1135&gt;=60),MIN(INDEX($E$935:$E1135,202-60):$E1135),"")</f>
        <v/>
      </c>
      <c r="O1135" s="53" t="str">
        <f aca="false">IF(OR(NOT(ISNUMBER($C1135)),NOT(ISNUMBER($M1135)),$M1135=0),"",$C1135/$M1135-1)</f>
        <v/>
      </c>
    </row>
    <row r="1136" customFormat="false" ht="15" hidden="false" customHeight="false" outlineLevel="0" collapsed="false">
      <c r="A1136" s="55"/>
      <c r="B1136" s="56"/>
      <c r="C1136" s="57"/>
      <c r="D1136" s="56"/>
      <c r="E1136" s="56"/>
      <c r="F1136" s="56"/>
      <c r="G1136" s="50" t="str">
        <f aca="false">IF($A1136="","",IF(ISNUMBER($G1135),$G1135+1,1))</f>
        <v/>
      </c>
      <c r="H1136" s="51" t="str">
        <f aca="false">IF(OR(NOT(ISNUMBER($G1136)),$G1136&lt;2,NOT(ISNUMBER($C1135)),$C1135=0),"",$C1136/$C1135-1)</f>
        <v/>
      </c>
      <c r="I1136" s="52" t="str">
        <f aca="false">IF(AND(ISNUMBER($G1136),$G1136&gt;=MA_SHORT),AVERAGE(INDEX($C$736:$C1136,402-MA_SHORT):$C1136),"")</f>
        <v/>
      </c>
      <c r="J1136" s="52" t="str">
        <f aca="false">IF(AND(ISNUMBER($G1136),$G1136&gt;=MA_MED),AVERAGE(INDEX($C$736:$C1136,402-MA_MED):$C1136),"")</f>
        <v/>
      </c>
      <c r="K1136" s="52" t="str">
        <f aca="false">IF(AND(ISNUMBER($G1136),$G1136&gt;=MA_LONG2),AVERAGE(INDEX($C$736:$C1136,402-MA_LONG2):$C1136),"")</f>
        <v/>
      </c>
      <c r="L1136" s="53" t="str">
        <f aca="false">IF(AND(ISNUMBER($G1136),$G1136&gt;=21),STDEV(INDEX($H$1076:$H1136,62-20):$H1136)*SQRT(245),"")</f>
        <v/>
      </c>
      <c r="M1136" s="52" t="str">
        <f aca="false">IF(AND(ISNUMBER($G1136),$G1136&gt;=60),MAX(INDEX($D$936:$D1136,202-60):$D1136),"")</f>
        <v/>
      </c>
      <c r="N1136" s="52" t="str">
        <f aca="false">IF(AND(ISNUMBER($G1136),$G1136&gt;=60),MIN(INDEX($E$936:$E1136,202-60):$E1136),"")</f>
        <v/>
      </c>
      <c r="O1136" s="53" t="str">
        <f aca="false">IF(OR(NOT(ISNUMBER($C1136)),NOT(ISNUMBER($M1136)),$M1136=0),"",$C1136/$M1136-1)</f>
        <v/>
      </c>
    </row>
    <row r="1137" customFormat="false" ht="15" hidden="false" customHeight="false" outlineLevel="0" collapsed="false">
      <c r="A1137" s="55"/>
      <c r="B1137" s="56"/>
      <c r="C1137" s="57"/>
      <c r="D1137" s="56"/>
      <c r="E1137" s="56"/>
      <c r="F1137" s="56"/>
      <c r="G1137" s="50" t="str">
        <f aca="false">IF($A1137="","",IF(ISNUMBER($G1136),$G1136+1,1))</f>
        <v/>
      </c>
      <c r="H1137" s="51" t="str">
        <f aca="false">IF(OR(NOT(ISNUMBER($G1137)),$G1137&lt;2,NOT(ISNUMBER($C1136)),$C1136=0),"",$C1137/$C1136-1)</f>
        <v/>
      </c>
      <c r="I1137" s="52" t="str">
        <f aca="false">IF(AND(ISNUMBER($G1137),$G1137&gt;=MA_SHORT),AVERAGE(INDEX($C$737:$C1137,402-MA_SHORT):$C1137),"")</f>
        <v/>
      </c>
      <c r="J1137" s="52" t="str">
        <f aca="false">IF(AND(ISNUMBER($G1137),$G1137&gt;=MA_MED),AVERAGE(INDEX($C$737:$C1137,402-MA_MED):$C1137),"")</f>
        <v/>
      </c>
      <c r="K1137" s="52" t="str">
        <f aca="false">IF(AND(ISNUMBER($G1137),$G1137&gt;=MA_LONG2),AVERAGE(INDEX($C$737:$C1137,402-MA_LONG2):$C1137),"")</f>
        <v/>
      </c>
      <c r="L1137" s="53" t="str">
        <f aca="false">IF(AND(ISNUMBER($G1137),$G1137&gt;=21),STDEV(INDEX($H$1077:$H1137,62-20):$H1137)*SQRT(245),"")</f>
        <v/>
      </c>
      <c r="M1137" s="52" t="str">
        <f aca="false">IF(AND(ISNUMBER($G1137),$G1137&gt;=60),MAX(INDEX($D$937:$D1137,202-60):$D1137),"")</f>
        <v/>
      </c>
      <c r="N1137" s="52" t="str">
        <f aca="false">IF(AND(ISNUMBER($G1137),$G1137&gt;=60),MIN(INDEX($E$937:$E1137,202-60):$E1137),"")</f>
        <v/>
      </c>
      <c r="O1137" s="53" t="str">
        <f aca="false">IF(OR(NOT(ISNUMBER($C1137)),NOT(ISNUMBER($M1137)),$M1137=0),"",$C1137/$M1137-1)</f>
        <v/>
      </c>
    </row>
    <row r="1138" customFormat="false" ht="15" hidden="false" customHeight="false" outlineLevel="0" collapsed="false">
      <c r="A1138" s="55"/>
      <c r="B1138" s="56"/>
      <c r="C1138" s="57"/>
      <c r="D1138" s="56"/>
      <c r="E1138" s="56"/>
      <c r="F1138" s="56"/>
      <c r="G1138" s="50" t="str">
        <f aca="false">IF($A1138="","",IF(ISNUMBER($G1137),$G1137+1,1))</f>
        <v/>
      </c>
      <c r="H1138" s="51" t="str">
        <f aca="false">IF(OR(NOT(ISNUMBER($G1138)),$G1138&lt;2,NOT(ISNUMBER($C1137)),$C1137=0),"",$C1138/$C1137-1)</f>
        <v/>
      </c>
      <c r="I1138" s="52" t="str">
        <f aca="false">IF(AND(ISNUMBER($G1138),$G1138&gt;=MA_SHORT),AVERAGE(INDEX($C$738:$C1138,402-MA_SHORT):$C1138),"")</f>
        <v/>
      </c>
      <c r="J1138" s="52" t="str">
        <f aca="false">IF(AND(ISNUMBER($G1138),$G1138&gt;=MA_MED),AVERAGE(INDEX($C$738:$C1138,402-MA_MED):$C1138),"")</f>
        <v/>
      </c>
      <c r="K1138" s="52" t="str">
        <f aca="false">IF(AND(ISNUMBER($G1138),$G1138&gt;=MA_LONG2),AVERAGE(INDEX($C$738:$C1138,402-MA_LONG2):$C1138),"")</f>
        <v/>
      </c>
      <c r="L1138" s="53" t="str">
        <f aca="false">IF(AND(ISNUMBER($G1138),$G1138&gt;=21),STDEV(INDEX($H$1078:$H1138,62-20):$H1138)*SQRT(245),"")</f>
        <v/>
      </c>
      <c r="M1138" s="52" t="str">
        <f aca="false">IF(AND(ISNUMBER($G1138),$G1138&gt;=60),MAX(INDEX($D$938:$D1138,202-60):$D1138),"")</f>
        <v/>
      </c>
      <c r="N1138" s="52" t="str">
        <f aca="false">IF(AND(ISNUMBER($G1138),$G1138&gt;=60),MIN(INDEX($E$938:$E1138,202-60):$E1138),"")</f>
        <v/>
      </c>
      <c r="O1138" s="53" t="str">
        <f aca="false">IF(OR(NOT(ISNUMBER($C1138)),NOT(ISNUMBER($M1138)),$M1138=0),"",$C1138/$M1138-1)</f>
        <v/>
      </c>
    </row>
    <row r="1139" customFormat="false" ht="15" hidden="false" customHeight="false" outlineLevel="0" collapsed="false">
      <c r="A1139" s="55"/>
      <c r="B1139" s="56"/>
      <c r="C1139" s="57"/>
      <c r="D1139" s="56"/>
      <c r="E1139" s="56"/>
      <c r="F1139" s="56"/>
      <c r="G1139" s="50" t="str">
        <f aca="false">IF($A1139="","",IF(ISNUMBER($G1138),$G1138+1,1))</f>
        <v/>
      </c>
      <c r="H1139" s="51" t="str">
        <f aca="false">IF(OR(NOT(ISNUMBER($G1139)),$G1139&lt;2,NOT(ISNUMBER($C1138)),$C1138=0),"",$C1139/$C1138-1)</f>
        <v/>
      </c>
      <c r="I1139" s="52" t="str">
        <f aca="false">IF(AND(ISNUMBER($G1139),$G1139&gt;=MA_SHORT),AVERAGE(INDEX($C$739:$C1139,402-MA_SHORT):$C1139),"")</f>
        <v/>
      </c>
      <c r="J1139" s="52" t="str">
        <f aca="false">IF(AND(ISNUMBER($G1139),$G1139&gt;=MA_MED),AVERAGE(INDEX($C$739:$C1139,402-MA_MED):$C1139),"")</f>
        <v/>
      </c>
      <c r="K1139" s="52" t="str">
        <f aca="false">IF(AND(ISNUMBER($G1139),$G1139&gt;=MA_LONG2),AVERAGE(INDEX($C$739:$C1139,402-MA_LONG2):$C1139),"")</f>
        <v/>
      </c>
      <c r="L1139" s="53" t="str">
        <f aca="false">IF(AND(ISNUMBER($G1139),$G1139&gt;=21),STDEV(INDEX($H$1079:$H1139,62-20):$H1139)*SQRT(245),"")</f>
        <v/>
      </c>
      <c r="M1139" s="52" t="str">
        <f aca="false">IF(AND(ISNUMBER($G1139),$G1139&gt;=60),MAX(INDEX($D$939:$D1139,202-60):$D1139),"")</f>
        <v/>
      </c>
      <c r="N1139" s="52" t="str">
        <f aca="false">IF(AND(ISNUMBER($G1139),$G1139&gt;=60),MIN(INDEX($E$939:$E1139,202-60):$E1139),"")</f>
        <v/>
      </c>
      <c r="O1139" s="53" t="str">
        <f aca="false">IF(OR(NOT(ISNUMBER($C1139)),NOT(ISNUMBER($M1139)),$M1139=0),"",$C1139/$M1139-1)</f>
        <v/>
      </c>
    </row>
    <row r="1140" customFormat="false" ht="15" hidden="false" customHeight="false" outlineLevel="0" collapsed="false">
      <c r="A1140" s="55"/>
      <c r="B1140" s="56"/>
      <c r="C1140" s="57"/>
      <c r="D1140" s="56"/>
      <c r="E1140" s="56"/>
      <c r="F1140" s="56"/>
      <c r="G1140" s="50" t="str">
        <f aca="false">IF($A1140="","",IF(ISNUMBER($G1139),$G1139+1,1))</f>
        <v/>
      </c>
      <c r="H1140" s="51" t="str">
        <f aca="false">IF(OR(NOT(ISNUMBER($G1140)),$G1140&lt;2,NOT(ISNUMBER($C1139)),$C1139=0),"",$C1140/$C1139-1)</f>
        <v/>
      </c>
      <c r="I1140" s="52" t="str">
        <f aca="false">IF(AND(ISNUMBER($G1140),$G1140&gt;=MA_SHORT),AVERAGE(INDEX($C$740:$C1140,402-MA_SHORT):$C1140),"")</f>
        <v/>
      </c>
      <c r="J1140" s="52" t="str">
        <f aca="false">IF(AND(ISNUMBER($G1140),$G1140&gt;=MA_MED),AVERAGE(INDEX($C$740:$C1140,402-MA_MED):$C1140),"")</f>
        <v/>
      </c>
      <c r="K1140" s="52" t="str">
        <f aca="false">IF(AND(ISNUMBER($G1140),$G1140&gt;=MA_LONG2),AVERAGE(INDEX($C$740:$C1140,402-MA_LONG2):$C1140),"")</f>
        <v/>
      </c>
      <c r="L1140" s="53" t="str">
        <f aca="false">IF(AND(ISNUMBER($G1140),$G1140&gt;=21),STDEV(INDEX($H$1080:$H1140,62-20):$H1140)*SQRT(245),"")</f>
        <v/>
      </c>
      <c r="M1140" s="52" t="str">
        <f aca="false">IF(AND(ISNUMBER($G1140),$G1140&gt;=60),MAX(INDEX($D$940:$D1140,202-60):$D1140),"")</f>
        <v/>
      </c>
      <c r="N1140" s="52" t="str">
        <f aca="false">IF(AND(ISNUMBER($G1140),$G1140&gt;=60),MIN(INDEX($E$940:$E1140,202-60):$E1140),"")</f>
        <v/>
      </c>
      <c r="O1140" s="53" t="str">
        <f aca="false">IF(OR(NOT(ISNUMBER($C1140)),NOT(ISNUMBER($M1140)),$M1140=0),"",$C1140/$M1140-1)</f>
        <v/>
      </c>
    </row>
    <row r="1141" customFormat="false" ht="15" hidden="false" customHeight="false" outlineLevel="0" collapsed="false">
      <c r="A1141" s="55"/>
      <c r="B1141" s="56"/>
      <c r="C1141" s="57"/>
      <c r="D1141" s="56"/>
      <c r="E1141" s="56"/>
      <c r="F1141" s="56"/>
      <c r="G1141" s="50" t="str">
        <f aca="false">IF($A1141="","",IF(ISNUMBER($G1140),$G1140+1,1))</f>
        <v/>
      </c>
      <c r="H1141" s="51" t="str">
        <f aca="false">IF(OR(NOT(ISNUMBER($G1141)),$G1141&lt;2,NOT(ISNUMBER($C1140)),$C1140=0),"",$C1141/$C1140-1)</f>
        <v/>
      </c>
      <c r="I1141" s="52" t="str">
        <f aca="false">IF(AND(ISNUMBER($G1141),$G1141&gt;=MA_SHORT),AVERAGE(INDEX($C$741:$C1141,402-MA_SHORT):$C1141),"")</f>
        <v/>
      </c>
      <c r="J1141" s="52" t="str">
        <f aca="false">IF(AND(ISNUMBER($G1141),$G1141&gt;=MA_MED),AVERAGE(INDEX($C$741:$C1141,402-MA_MED):$C1141),"")</f>
        <v/>
      </c>
      <c r="K1141" s="52" t="str">
        <f aca="false">IF(AND(ISNUMBER($G1141),$G1141&gt;=MA_LONG2),AVERAGE(INDEX($C$741:$C1141,402-MA_LONG2):$C1141),"")</f>
        <v/>
      </c>
      <c r="L1141" s="53" t="str">
        <f aca="false">IF(AND(ISNUMBER($G1141),$G1141&gt;=21),STDEV(INDEX($H$1081:$H1141,62-20):$H1141)*SQRT(245),"")</f>
        <v/>
      </c>
      <c r="M1141" s="52" t="str">
        <f aca="false">IF(AND(ISNUMBER($G1141),$G1141&gt;=60),MAX(INDEX($D$941:$D1141,202-60):$D1141),"")</f>
        <v/>
      </c>
      <c r="N1141" s="52" t="str">
        <f aca="false">IF(AND(ISNUMBER($G1141),$G1141&gt;=60),MIN(INDEX($E$941:$E1141,202-60):$E1141),"")</f>
        <v/>
      </c>
      <c r="O1141" s="53" t="str">
        <f aca="false">IF(OR(NOT(ISNUMBER($C1141)),NOT(ISNUMBER($M1141)),$M1141=0),"",$C1141/$M1141-1)</f>
        <v/>
      </c>
    </row>
    <row r="1142" customFormat="false" ht="15" hidden="false" customHeight="false" outlineLevel="0" collapsed="false">
      <c r="A1142" s="55"/>
      <c r="B1142" s="56"/>
      <c r="C1142" s="57"/>
      <c r="D1142" s="56"/>
      <c r="E1142" s="56"/>
      <c r="F1142" s="56"/>
      <c r="G1142" s="50" t="str">
        <f aca="false">IF($A1142="","",IF(ISNUMBER($G1141),$G1141+1,1))</f>
        <v/>
      </c>
      <c r="H1142" s="51" t="str">
        <f aca="false">IF(OR(NOT(ISNUMBER($G1142)),$G1142&lt;2,NOT(ISNUMBER($C1141)),$C1141=0),"",$C1142/$C1141-1)</f>
        <v/>
      </c>
      <c r="I1142" s="52" t="str">
        <f aca="false">IF(AND(ISNUMBER($G1142),$G1142&gt;=MA_SHORT),AVERAGE(INDEX($C$742:$C1142,402-MA_SHORT):$C1142),"")</f>
        <v/>
      </c>
      <c r="J1142" s="52" t="str">
        <f aca="false">IF(AND(ISNUMBER($G1142),$G1142&gt;=MA_MED),AVERAGE(INDEX($C$742:$C1142,402-MA_MED):$C1142),"")</f>
        <v/>
      </c>
      <c r="K1142" s="52" t="str">
        <f aca="false">IF(AND(ISNUMBER($G1142),$G1142&gt;=MA_LONG2),AVERAGE(INDEX($C$742:$C1142,402-MA_LONG2):$C1142),"")</f>
        <v/>
      </c>
      <c r="L1142" s="53" t="str">
        <f aca="false">IF(AND(ISNUMBER($G1142),$G1142&gt;=21),STDEV(INDEX($H$1082:$H1142,62-20):$H1142)*SQRT(245),"")</f>
        <v/>
      </c>
      <c r="M1142" s="52" t="str">
        <f aca="false">IF(AND(ISNUMBER($G1142),$G1142&gt;=60),MAX(INDEX($D$942:$D1142,202-60):$D1142),"")</f>
        <v/>
      </c>
      <c r="N1142" s="52" t="str">
        <f aca="false">IF(AND(ISNUMBER($G1142),$G1142&gt;=60),MIN(INDEX($E$942:$E1142,202-60):$E1142),"")</f>
        <v/>
      </c>
      <c r="O1142" s="53" t="str">
        <f aca="false">IF(OR(NOT(ISNUMBER($C1142)),NOT(ISNUMBER($M1142)),$M1142=0),"",$C1142/$M1142-1)</f>
        <v/>
      </c>
    </row>
    <row r="1143" customFormat="false" ht="15" hidden="false" customHeight="false" outlineLevel="0" collapsed="false">
      <c r="A1143" s="55"/>
      <c r="B1143" s="56"/>
      <c r="C1143" s="57"/>
      <c r="D1143" s="56"/>
      <c r="E1143" s="56"/>
      <c r="F1143" s="56"/>
      <c r="G1143" s="50" t="str">
        <f aca="false">IF($A1143="","",IF(ISNUMBER($G1142),$G1142+1,1))</f>
        <v/>
      </c>
      <c r="H1143" s="51" t="str">
        <f aca="false">IF(OR(NOT(ISNUMBER($G1143)),$G1143&lt;2,NOT(ISNUMBER($C1142)),$C1142=0),"",$C1143/$C1142-1)</f>
        <v/>
      </c>
      <c r="I1143" s="52" t="str">
        <f aca="false">IF(AND(ISNUMBER($G1143),$G1143&gt;=MA_SHORT),AVERAGE(INDEX($C$743:$C1143,402-MA_SHORT):$C1143),"")</f>
        <v/>
      </c>
      <c r="J1143" s="52" t="str">
        <f aca="false">IF(AND(ISNUMBER($G1143),$G1143&gt;=MA_MED),AVERAGE(INDEX($C$743:$C1143,402-MA_MED):$C1143),"")</f>
        <v/>
      </c>
      <c r="K1143" s="52" t="str">
        <f aca="false">IF(AND(ISNUMBER($G1143),$G1143&gt;=MA_LONG2),AVERAGE(INDEX($C$743:$C1143,402-MA_LONG2):$C1143),"")</f>
        <v/>
      </c>
      <c r="L1143" s="53" t="str">
        <f aca="false">IF(AND(ISNUMBER($G1143),$G1143&gt;=21),STDEV(INDEX($H$1083:$H1143,62-20):$H1143)*SQRT(245),"")</f>
        <v/>
      </c>
      <c r="M1143" s="52" t="str">
        <f aca="false">IF(AND(ISNUMBER($G1143),$G1143&gt;=60),MAX(INDEX($D$943:$D1143,202-60):$D1143),"")</f>
        <v/>
      </c>
      <c r="N1143" s="52" t="str">
        <f aca="false">IF(AND(ISNUMBER($G1143),$G1143&gt;=60),MIN(INDEX($E$943:$E1143,202-60):$E1143),"")</f>
        <v/>
      </c>
      <c r="O1143" s="53" t="str">
        <f aca="false">IF(OR(NOT(ISNUMBER($C1143)),NOT(ISNUMBER($M1143)),$M1143=0),"",$C1143/$M1143-1)</f>
        <v/>
      </c>
    </row>
    <row r="1144" customFormat="false" ht="15" hidden="false" customHeight="false" outlineLevel="0" collapsed="false">
      <c r="A1144" s="55"/>
      <c r="B1144" s="56"/>
      <c r="C1144" s="57"/>
      <c r="D1144" s="56"/>
      <c r="E1144" s="56"/>
      <c r="F1144" s="56"/>
      <c r="G1144" s="50" t="str">
        <f aca="false">IF($A1144="","",IF(ISNUMBER($G1143),$G1143+1,1))</f>
        <v/>
      </c>
      <c r="H1144" s="51" t="str">
        <f aca="false">IF(OR(NOT(ISNUMBER($G1144)),$G1144&lt;2,NOT(ISNUMBER($C1143)),$C1143=0),"",$C1144/$C1143-1)</f>
        <v/>
      </c>
      <c r="I1144" s="52" t="str">
        <f aca="false">IF(AND(ISNUMBER($G1144),$G1144&gt;=MA_SHORT),AVERAGE(INDEX($C$744:$C1144,402-MA_SHORT):$C1144),"")</f>
        <v/>
      </c>
      <c r="J1144" s="52" t="str">
        <f aca="false">IF(AND(ISNUMBER($G1144),$G1144&gt;=MA_MED),AVERAGE(INDEX($C$744:$C1144,402-MA_MED):$C1144),"")</f>
        <v/>
      </c>
      <c r="K1144" s="52" t="str">
        <f aca="false">IF(AND(ISNUMBER($G1144),$G1144&gt;=MA_LONG2),AVERAGE(INDEX($C$744:$C1144,402-MA_LONG2):$C1144),"")</f>
        <v/>
      </c>
      <c r="L1144" s="53" t="str">
        <f aca="false">IF(AND(ISNUMBER($G1144),$G1144&gt;=21),STDEV(INDEX($H$1084:$H1144,62-20):$H1144)*SQRT(245),"")</f>
        <v/>
      </c>
      <c r="M1144" s="52" t="str">
        <f aca="false">IF(AND(ISNUMBER($G1144),$G1144&gt;=60),MAX(INDEX($D$944:$D1144,202-60):$D1144),"")</f>
        <v/>
      </c>
      <c r="N1144" s="52" t="str">
        <f aca="false">IF(AND(ISNUMBER($G1144),$G1144&gt;=60),MIN(INDEX($E$944:$E1144,202-60):$E1144),"")</f>
        <v/>
      </c>
      <c r="O1144" s="53" t="str">
        <f aca="false">IF(OR(NOT(ISNUMBER($C1144)),NOT(ISNUMBER($M1144)),$M1144=0),"",$C1144/$M1144-1)</f>
        <v/>
      </c>
    </row>
    <row r="1145" customFormat="false" ht="15" hidden="false" customHeight="false" outlineLevel="0" collapsed="false">
      <c r="A1145" s="55"/>
      <c r="B1145" s="56"/>
      <c r="C1145" s="57"/>
      <c r="D1145" s="56"/>
      <c r="E1145" s="56"/>
      <c r="F1145" s="56"/>
      <c r="G1145" s="50" t="str">
        <f aca="false">IF($A1145="","",IF(ISNUMBER($G1144),$G1144+1,1))</f>
        <v/>
      </c>
      <c r="H1145" s="51" t="str">
        <f aca="false">IF(OR(NOT(ISNUMBER($G1145)),$G1145&lt;2,NOT(ISNUMBER($C1144)),$C1144=0),"",$C1145/$C1144-1)</f>
        <v/>
      </c>
      <c r="I1145" s="52" t="str">
        <f aca="false">IF(AND(ISNUMBER($G1145),$G1145&gt;=MA_SHORT),AVERAGE(INDEX($C$745:$C1145,402-MA_SHORT):$C1145),"")</f>
        <v/>
      </c>
      <c r="J1145" s="52" t="str">
        <f aca="false">IF(AND(ISNUMBER($G1145),$G1145&gt;=MA_MED),AVERAGE(INDEX($C$745:$C1145,402-MA_MED):$C1145),"")</f>
        <v/>
      </c>
      <c r="K1145" s="52" t="str">
        <f aca="false">IF(AND(ISNUMBER($G1145),$G1145&gt;=MA_LONG2),AVERAGE(INDEX($C$745:$C1145,402-MA_LONG2):$C1145),"")</f>
        <v/>
      </c>
      <c r="L1145" s="53" t="str">
        <f aca="false">IF(AND(ISNUMBER($G1145),$G1145&gt;=21),STDEV(INDEX($H$1085:$H1145,62-20):$H1145)*SQRT(245),"")</f>
        <v/>
      </c>
      <c r="M1145" s="52" t="str">
        <f aca="false">IF(AND(ISNUMBER($G1145),$G1145&gt;=60),MAX(INDEX($D$945:$D1145,202-60):$D1145),"")</f>
        <v/>
      </c>
      <c r="N1145" s="52" t="str">
        <f aca="false">IF(AND(ISNUMBER($G1145),$G1145&gt;=60),MIN(INDEX($E$945:$E1145,202-60):$E1145),"")</f>
        <v/>
      </c>
      <c r="O1145" s="53" t="str">
        <f aca="false">IF(OR(NOT(ISNUMBER($C1145)),NOT(ISNUMBER($M1145)),$M1145=0),"",$C1145/$M1145-1)</f>
        <v/>
      </c>
    </row>
    <row r="1146" customFormat="false" ht="15" hidden="false" customHeight="false" outlineLevel="0" collapsed="false">
      <c r="A1146" s="55"/>
      <c r="B1146" s="56"/>
      <c r="C1146" s="57"/>
      <c r="D1146" s="56"/>
      <c r="E1146" s="56"/>
      <c r="F1146" s="56"/>
      <c r="G1146" s="50" t="str">
        <f aca="false">IF($A1146="","",IF(ISNUMBER($G1145),$G1145+1,1))</f>
        <v/>
      </c>
      <c r="H1146" s="51" t="str">
        <f aca="false">IF(OR(NOT(ISNUMBER($G1146)),$G1146&lt;2,NOT(ISNUMBER($C1145)),$C1145=0),"",$C1146/$C1145-1)</f>
        <v/>
      </c>
      <c r="I1146" s="52" t="str">
        <f aca="false">IF(AND(ISNUMBER($G1146),$G1146&gt;=MA_SHORT),AVERAGE(INDEX($C$746:$C1146,402-MA_SHORT):$C1146),"")</f>
        <v/>
      </c>
      <c r="J1146" s="52" t="str">
        <f aca="false">IF(AND(ISNUMBER($G1146),$G1146&gt;=MA_MED),AVERAGE(INDEX($C$746:$C1146,402-MA_MED):$C1146),"")</f>
        <v/>
      </c>
      <c r="K1146" s="52" t="str">
        <f aca="false">IF(AND(ISNUMBER($G1146),$G1146&gt;=MA_LONG2),AVERAGE(INDEX($C$746:$C1146,402-MA_LONG2):$C1146),"")</f>
        <v/>
      </c>
      <c r="L1146" s="53" t="str">
        <f aca="false">IF(AND(ISNUMBER($G1146),$G1146&gt;=21),STDEV(INDEX($H$1086:$H1146,62-20):$H1146)*SQRT(245),"")</f>
        <v/>
      </c>
      <c r="M1146" s="52" t="str">
        <f aca="false">IF(AND(ISNUMBER($G1146),$G1146&gt;=60),MAX(INDEX($D$946:$D1146,202-60):$D1146),"")</f>
        <v/>
      </c>
      <c r="N1146" s="52" t="str">
        <f aca="false">IF(AND(ISNUMBER($G1146),$G1146&gt;=60),MIN(INDEX($E$946:$E1146,202-60):$E1146),"")</f>
        <v/>
      </c>
      <c r="O1146" s="53" t="str">
        <f aca="false">IF(OR(NOT(ISNUMBER($C1146)),NOT(ISNUMBER($M1146)),$M1146=0),"",$C1146/$M1146-1)</f>
        <v/>
      </c>
    </row>
    <row r="1147" customFormat="false" ht="15" hidden="false" customHeight="false" outlineLevel="0" collapsed="false">
      <c r="A1147" s="55"/>
      <c r="B1147" s="56"/>
      <c r="C1147" s="57"/>
      <c r="D1147" s="56"/>
      <c r="E1147" s="56"/>
      <c r="F1147" s="56"/>
      <c r="G1147" s="50" t="str">
        <f aca="false">IF($A1147="","",IF(ISNUMBER($G1146),$G1146+1,1))</f>
        <v/>
      </c>
      <c r="H1147" s="51" t="str">
        <f aca="false">IF(OR(NOT(ISNUMBER($G1147)),$G1147&lt;2,NOT(ISNUMBER($C1146)),$C1146=0),"",$C1147/$C1146-1)</f>
        <v/>
      </c>
      <c r="I1147" s="52" t="str">
        <f aca="false">IF(AND(ISNUMBER($G1147),$G1147&gt;=MA_SHORT),AVERAGE(INDEX($C$747:$C1147,402-MA_SHORT):$C1147),"")</f>
        <v/>
      </c>
      <c r="J1147" s="52" t="str">
        <f aca="false">IF(AND(ISNUMBER($G1147),$G1147&gt;=MA_MED),AVERAGE(INDEX($C$747:$C1147,402-MA_MED):$C1147),"")</f>
        <v/>
      </c>
      <c r="K1147" s="52" t="str">
        <f aca="false">IF(AND(ISNUMBER($G1147),$G1147&gt;=MA_LONG2),AVERAGE(INDEX($C$747:$C1147,402-MA_LONG2):$C1147),"")</f>
        <v/>
      </c>
      <c r="L1147" s="53" t="str">
        <f aca="false">IF(AND(ISNUMBER($G1147),$G1147&gt;=21),STDEV(INDEX($H$1087:$H1147,62-20):$H1147)*SQRT(245),"")</f>
        <v/>
      </c>
      <c r="M1147" s="52" t="str">
        <f aca="false">IF(AND(ISNUMBER($G1147),$G1147&gt;=60),MAX(INDEX($D$947:$D1147,202-60):$D1147),"")</f>
        <v/>
      </c>
      <c r="N1147" s="52" t="str">
        <f aca="false">IF(AND(ISNUMBER($G1147),$G1147&gt;=60),MIN(INDEX($E$947:$E1147,202-60):$E1147),"")</f>
        <v/>
      </c>
      <c r="O1147" s="53" t="str">
        <f aca="false">IF(OR(NOT(ISNUMBER($C1147)),NOT(ISNUMBER($M1147)),$M1147=0),"",$C1147/$M1147-1)</f>
        <v/>
      </c>
    </row>
    <row r="1148" customFormat="false" ht="15" hidden="false" customHeight="false" outlineLevel="0" collapsed="false">
      <c r="A1148" s="55"/>
      <c r="B1148" s="56"/>
      <c r="C1148" s="57"/>
      <c r="D1148" s="56"/>
      <c r="E1148" s="56"/>
      <c r="F1148" s="56"/>
      <c r="G1148" s="50" t="str">
        <f aca="false">IF($A1148="","",IF(ISNUMBER($G1147),$G1147+1,1))</f>
        <v/>
      </c>
      <c r="H1148" s="51" t="str">
        <f aca="false">IF(OR(NOT(ISNUMBER($G1148)),$G1148&lt;2,NOT(ISNUMBER($C1147)),$C1147=0),"",$C1148/$C1147-1)</f>
        <v/>
      </c>
      <c r="I1148" s="52" t="str">
        <f aca="false">IF(AND(ISNUMBER($G1148),$G1148&gt;=MA_SHORT),AVERAGE(INDEX($C$748:$C1148,402-MA_SHORT):$C1148),"")</f>
        <v/>
      </c>
      <c r="J1148" s="52" t="str">
        <f aca="false">IF(AND(ISNUMBER($G1148),$G1148&gt;=MA_MED),AVERAGE(INDEX($C$748:$C1148,402-MA_MED):$C1148),"")</f>
        <v/>
      </c>
      <c r="K1148" s="52" t="str">
        <f aca="false">IF(AND(ISNUMBER($G1148),$G1148&gt;=MA_LONG2),AVERAGE(INDEX($C$748:$C1148,402-MA_LONG2):$C1148),"")</f>
        <v/>
      </c>
      <c r="L1148" s="53" t="str">
        <f aca="false">IF(AND(ISNUMBER($G1148),$G1148&gt;=21),STDEV(INDEX($H$1088:$H1148,62-20):$H1148)*SQRT(245),"")</f>
        <v/>
      </c>
      <c r="M1148" s="52" t="str">
        <f aca="false">IF(AND(ISNUMBER($G1148),$G1148&gt;=60),MAX(INDEX($D$948:$D1148,202-60):$D1148),"")</f>
        <v/>
      </c>
      <c r="N1148" s="52" t="str">
        <f aca="false">IF(AND(ISNUMBER($G1148),$G1148&gt;=60),MIN(INDEX($E$948:$E1148,202-60):$E1148),"")</f>
        <v/>
      </c>
      <c r="O1148" s="53" t="str">
        <f aca="false">IF(OR(NOT(ISNUMBER($C1148)),NOT(ISNUMBER($M1148)),$M1148=0),"",$C1148/$M1148-1)</f>
        <v/>
      </c>
    </row>
    <row r="1149" customFormat="false" ht="15" hidden="false" customHeight="false" outlineLevel="0" collapsed="false">
      <c r="A1149" s="55"/>
      <c r="B1149" s="56"/>
      <c r="C1149" s="57"/>
      <c r="D1149" s="56"/>
      <c r="E1149" s="56"/>
      <c r="F1149" s="56"/>
      <c r="G1149" s="50" t="str">
        <f aca="false">IF($A1149="","",IF(ISNUMBER($G1148),$G1148+1,1))</f>
        <v/>
      </c>
      <c r="H1149" s="51" t="str">
        <f aca="false">IF(OR(NOT(ISNUMBER($G1149)),$G1149&lt;2,NOT(ISNUMBER($C1148)),$C1148=0),"",$C1149/$C1148-1)</f>
        <v/>
      </c>
      <c r="I1149" s="52" t="str">
        <f aca="false">IF(AND(ISNUMBER($G1149),$G1149&gt;=MA_SHORT),AVERAGE(INDEX($C$749:$C1149,402-MA_SHORT):$C1149),"")</f>
        <v/>
      </c>
      <c r="J1149" s="52" t="str">
        <f aca="false">IF(AND(ISNUMBER($G1149),$G1149&gt;=MA_MED),AVERAGE(INDEX($C$749:$C1149,402-MA_MED):$C1149),"")</f>
        <v/>
      </c>
      <c r="K1149" s="52" t="str">
        <f aca="false">IF(AND(ISNUMBER($G1149),$G1149&gt;=MA_LONG2),AVERAGE(INDEX($C$749:$C1149,402-MA_LONG2):$C1149),"")</f>
        <v/>
      </c>
      <c r="L1149" s="53" t="str">
        <f aca="false">IF(AND(ISNUMBER($G1149),$G1149&gt;=21),STDEV(INDEX($H$1089:$H1149,62-20):$H1149)*SQRT(245),"")</f>
        <v/>
      </c>
      <c r="M1149" s="52" t="str">
        <f aca="false">IF(AND(ISNUMBER($G1149),$G1149&gt;=60),MAX(INDEX($D$949:$D1149,202-60):$D1149),"")</f>
        <v/>
      </c>
      <c r="N1149" s="52" t="str">
        <f aca="false">IF(AND(ISNUMBER($G1149),$G1149&gt;=60),MIN(INDEX($E$949:$E1149,202-60):$E1149),"")</f>
        <v/>
      </c>
      <c r="O1149" s="53" t="str">
        <f aca="false">IF(OR(NOT(ISNUMBER($C1149)),NOT(ISNUMBER($M1149)),$M1149=0),"",$C1149/$M1149-1)</f>
        <v/>
      </c>
    </row>
    <row r="1150" customFormat="false" ht="15" hidden="false" customHeight="false" outlineLevel="0" collapsed="false">
      <c r="A1150" s="55"/>
      <c r="B1150" s="56"/>
      <c r="C1150" s="57"/>
      <c r="D1150" s="56"/>
      <c r="E1150" s="56"/>
      <c r="F1150" s="56"/>
      <c r="G1150" s="50" t="str">
        <f aca="false">IF($A1150="","",IF(ISNUMBER($G1149),$G1149+1,1))</f>
        <v/>
      </c>
      <c r="H1150" s="51" t="str">
        <f aca="false">IF(OR(NOT(ISNUMBER($G1150)),$G1150&lt;2,NOT(ISNUMBER($C1149)),$C1149=0),"",$C1150/$C1149-1)</f>
        <v/>
      </c>
      <c r="I1150" s="52" t="str">
        <f aca="false">IF(AND(ISNUMBER($G1150),$G1150&gt;=MA_SHORT),AVERAGE(INDEX($C$750:$C1150,402-MA_SHORT):$C1150),"")</f>
        <v/>
      </c>
      <c r="J1150" s="52" t="str">
        <f aca="false">IF(AND(ISNUMBER($G1150),$G1150&gt;=MA_MED),AVERAGE(INDEX($C$750:$C1150,402-MA_MED):$C1150),"")</f>
        <v/>
      </c>
      <c r="K1150" s="52" t="str">
        <f aca="false">IF(AND(ISNUMBER($G1150),$G1150&gt;=MA_LONG2),AVERAGE(INDEX($C$750:$C1150,402-MA_LONG2):$C1150),"")</f>
        <v/>
      </c>
      <c r="L1150" s="53" t="str">
        <f aca="false">IF(AND(ISNUMBER($G1150),$G1150&gt;=21),STDEV(INDEX($H$1090:$H1150,62-20):$H1150)*SQRT(245),"")</f>
        <v/>
      </c>
      <c r="M1150" s="52" t="str">
        <f aca="false">IF(AND(ISNUMBER($G1150),$G1150&gt;=60),MAX(INDEX($D$950:$D1150,202-60):$D1150),"")</f>
        <v/>
      </c>
      <c r="N1150" s="52" t="str">
        <f aca="false">IF(AND(ISNUMBER($G1150),$G1150&gt;=60),MIN(INDEX($E$950:$E1150,202-60):$E1150),"")</f>
        <v/>
      </c>
      <c r="O1150" s="53" t="str">
        <f aca="false">IF(OR(NOT(ISNUMBER($C1150)),NOT(ISNUMBER($M1150)),$M1150=0),"",$C1150/$M1150-1)</f>
        <v/>
      </c>
    </row>
    <row r="1151" customFormat="false" ht="15" hidden="false" customHeight="false" outlineLevel="0" collapsed="false">
      <c r="A1151" s="55"/>
      <c r="B1151" s="56"/>
      <c r="C1151" s="57"/>
      <c r="D1151" s="56"/>
      <c r="E1151" s="56"/>
      <c r="F1151" s="56"/>
      <c r="G1151" s="50" t="str">
        <f aca="false">IF($A1151="","",IF(ISNUMBER($G1150),$G1150+1,1))</f>
        <v/>
      </c>
      <c r="H1151" s="51" t="str">
        <f aca="false">IF(OR(NOT(ISNUMBER($G1151)),$G1151&lt;2,NOT(ISNUMBER($C1150)),$C1150=0),"",$C1151/$C1150-1)</f>
        <v/>
      </c>
      <c r="I1151" s="52" t="str">
        <f aca="false">IF(AND(ISNUMBER($G1151),$G1151&gt;=MA_SHORT),AVERAGE(INDEX($C$751:$C1151,402-MA_SHORT):$C1151),"")</f>
        <v/>
      </c>
      <c r="J1151" s="52" t="str">
        <f aca="false">IF(AND(ISNUMBER($G1151),$G1151&gt;=MA_MED),AVERAGE(INDEX($C$751:$C1151,402-MA_MED):$C1151),"")</f>
        <v/>
      </c>
      <c r="K1151" s="52" t="str">
        <f aca="false">IF(AND(ISNUMBER($G1151),$G1151&gt;=MA_LONG2),AVERAGE(INDEX($C$751:$C1151,402-MA_LONG2):$C1151),"")</f>
        <v/>
      </c>
      <c r="L1151" s="53" t="str">
        <f aca="false">IF(AND(ISNUMBER($G1151),$G1151&gt;=21),STDEV(INDEX($H$1091:$H1151,62-20):$H1151)*SQRT(245),"")</f>
        <v/>
      </c>
      <c r="M1151" s="52" t="str">
        <f aca="false">IF(AND(ISNUMBER($G1151),$G1151&gt;=60),MAX(INDEX($D$951:$D1151,202-60):$D1151),"")</f>
        <v/>
      </c>
      <c r="N1151" s="52" t="str">
        <f aca="false">IF(AND(ISNUMBER($G1151),$G1151&gt;=60),MIN(INDEX($E$951:$E1151,202-60):$E1151),"")</f>
        <v/>
      </c>
      <c r="O1151" s="53" t="str">
        <f aca="false">IF(OR(NOT(ISNUMBER($C1151)),NOT(ISNUMBER($M1151)),$M1151=0),"",$C1151/$M1151-1)</f>
        <v/>
      </c>
    </row>
    <row r="1152" customFormat="false" ht="15" hidden="false" customHeight="false" outlineLevel="0" collapsed="false">
      <c r="A1152" s="55"/>
      <c r="B1152" s="56"/>
      <c r="C1152" s="57"/>
      <c r="D1152" s="56"/>
      <c r="E1152" s="56"/>
      <c r="F1152" s="56"/>
      <c r="G1152" s="50" t="str">
        <f aca="false">IF($A1152="","",IF(ISNUMBER($G1151),$G1151+1,1))</f>
        <v/>
      </c>
      <c r="H1152" s="51" t="str">
        <f aca="false">IF(OR(NOT(ISNUMBER($G1152)),$G1152&lt;2,NOT(ISNUMBER($C1151)),$C1151=0),"",$C1152/$C1151-1)</f>
        <v/>
      </c>
      <c r="I1152" s="52" t="str">
        <f aca="false">IF(AND(ISNUMBER($G1152),$G1152&gt;=MA_SHORT),AVERAGE(INDEX($C$752:$C1152,402-MA_SHORT):$C1152),"")</f>
        <v/>
      </c>
      <c r="J1152" s="52" t="str">
        <f aca="false">IF(AND(ISNUMBER($G1152),$G1152&gt;=MA_MED),AVERAGE(INDEX($C$752:$C1152,402-MA_MED):$C1152),"")</f>
        <v/>
      </c>
      <c r="K1152" s="52" t="str">
        <f aca="false">IF(AND(ISNUMBER($G1152),$G1152&gt;=MA_LONG2),AVERAGE(INDEX($C$752:$C1152,402-MA_LONG2):$C1152),"")</f>
        <v/>
      </c>
      <c r="L1152" s="53" t="str">
        <f aca="false">IF(AND(ISNUMBER($G1152),$G1152&gt;=21),STDEV(INDEX($H$1092:$H1152,62-20):$H1152)*SQRT(245),"")</f>
        <v/>
      </c>
      <c r="M1152" s="52" t="str">
        <f aca="false">IF(AND(ISNUMBER($G1152),$G1152&gt;=60),MAX(INDEX($D$952:$D1152,202-60):$D1152),"")</f>
        <v/>
      </c>
      <c r="N1152" s="52" t="str">
        <f aca="false">IF(AND(ISNUMBER($G1152),$G1152&gt;=60),MIN(INDEX($E$952:$E1152,202-60):$E1152),"")</f>
        <v/>
      </c>
      <c r="O1152" s="53" t="str">
        <f aca="false">IF(OR(NOT(ISNUMBER($C1152)),NOT(ISNUMBER($M1152)),$M1152=0),"",$C1152/$M1152-1)</f>
        <v/>
      </c>
    </row>
    <row r="1153" customFormat="false" ht="15" hidden="false" customHeight="false" outlineLevel="0" collapsed="false">
      <c r="A1153" s="55"/>
      <c r="B1153" s="56"/>
      <c r="C1153" s="57"/>
      <c r="D1153" s="56"/>
      <c r="E1153" s="56"/>
      <c r="F1153" s="56"/>
      <c r="G1153" s="50" t="str">
        <f aca="false">IF($A1153="","",IF(ISNUMBER($G1152),$G1152+1,1))</f>
        <v/>
      </c>
      <c r="H1153" s="51" t="str">
        <f aca="false">IF(OR(NOT(ISNUMBER($G1153)),$G1153&lt;2,NOT(ISNUMBER($C1152)),$C1152=0),"",$C1153/$C1152-1)</f>
        <v/>
      </c>
      <c r="I1153" s="52" t="str">
        <f aca="false">IF(AND(ISNUMBER($G1153),$G1153&gt;=MA_SHORT),AVERAGE(INDEX($C$753:$C1153,402-MA_SHORT):$C1153),"")</f>
        <v/>
      </c>
      <c r="J1153" s="52" t="str">
        <f aca="false">IF(AND(ISNUMBER($G1153),$G1153&gt;=MA_MED),AVERAGE(INDEX($C$753:$C1153,402-MA_MED):$C1153),"")</f>
        <v/>
      </c>
      <c r="K1153" s="52" t="str">
        <f aca="false">IF(AND(ISNUMBER($G1153),$G1153&gt;=MA_LONG2),AVERAGE(INDEX($C$753:$C1153,402-MA_LONG2):$C1153),"")</f>
        <v/>
      </c>
      <c r="L1153" s="53" t="str">
        <f aca="false">IF(AND(ISNUMBER($G1153),$G1153&gt;=21),STDEV(INDEX($H$1093:$H1153,62-20):$H1153)*SQRT(245),"")</f>
        <v/>
      </c>
      <c r="M1153" s="52" t="str">
        <f aca="false">IF(AND(ISNUMBER($G1153),$G1153&gt;=60),MAX(INDEX($D$953:$D1153,202-60):$D1153),"")</f>
        <v/>
      </c>
      <c r="N1153" s="52" t="str">
        <f aca="false">IF(AND(ISNUMBER($G1153),$G1153&gt;=60),MIN(INDEX($E$953:$E1153,202-60):$E1153),"")</f>
        <v/>
      </c>
      <c r="O1153" s="53" t="str">
        <f aca="false">IF(OR(NOT(ISNUMBER($C1153)),NOT(ISNUMBER($M1153)),$M1153=0),"",$C1153/$M1153-1)</f>
        <v/>
      </c>
    </row>
    <row r="1154" customFormat="false" ht="15" hidden="false" customHeight="false" outlineLevel="0" collapsed="false">
      <c r="A1154" s="55"/>
      <c r="B1154" s="56"/>
      <c r="C1154" s="57"/>
      <c r="D1154" s="56"/>
      <c r="E1154" s="56"/>
      <c r="F1154" s="56"/>
      <c r="G1154" s="50" t="str">
        <f aca="false">IF($A1154="","",IF(ISNUMBER($G1153),$G1153+1,1))</f>
        <v/>
      </c>
      <c r="H1154" s="51" t="str">
        <f aca="false">IF(OR(NOT(ISNUMBER($G1154)),$G1154&lt;2,NOT(ISNUMBER($C1153)),$C1153=0),"",$C1154/$C1153-1)</f>
        <v/>
      </c>
      <c r="I1154" s="52" t="str">
        <f aca="false">IF(AND(ISNUMBER($G1154),$G1154&gt;=MA_SHORT),AVERAGE(INDEX($C$754:$C1154,402-MA_SHORT):$C1154),"")</f>
        <v/>
      </c>
      <c r="J1154" s="52" t="str">
        <f aca="false">IF(AND(ISNUMBER($G1154),$G1154&gt;=MA_MED),AVERAGE(INDEX($C$754:$C1154,402-MA_MED):$C1154),"")</f>
        <v/>
      </c>
      <c r="K1154" s="52" t="str">
        <f aca="false">IF(AND(ISNUMBER($G1154),$G1154&gt;=MA_LONG2),AVERAGE(INDEX($C$754:$C1154,402-MA_LONG2):$C1154),"")</f>
        <v/>
      </c>
      <c r="L1154" s="53" t="str">
        <f aca="false">IF(AND(ISNUMBER($G1154),$G1154&gt;=21),STDEV(INDEX($H$1094:$H1154,62-20):$H1154)*SQRT(245),"")</f>
        <v/>
      </c>
      <c r="M1154" s="52" t="str">
        <f aca="false">IF(AND(ISNUMBER($G1154),$G1154&gt;=60),MAX(INDEX($D$954:$D1154,202-60):$D1154),"")</f>
        <v/>
      </c>
      <c r="N1154" s="52" t="str">
        <f aca="false">IF(AND(ISNUMBER($G1154),$G1154&gt;=60),MIN(INDEX($E$954:$E1154,202-60):$E1154),"")</f>
        <v/>
      </c>
      <c r="O1154" s="53" t="str">
        <f aca="false">IF(OR(NOT(ISNUMBER($C1154)),NOT(ISNUMBER($M1154)),$M1154=0),"",$C1154/$M1154-1)</f>
        <v/>
      </c>
    </row>
    <row r="1155" customFormat="false" ht="15" hidden="false" customHeight="false" outlineLevel="0" collapsed="false">
      <c r="A1155" s="55"/>
      <c r="B1155" s="56"/>
      <c r="C1155" s="57"/>
      <c r="D1155" s="56"/>
      <c r="E1155" s="56"/>
      <c r="F1155" s="56"/>
      <c r="G1155" s="50" t="str">
        <f aca="false">IF($A1155="","",IF(ISNUMBER($G1154),$G1154+1,1))</f>
        <v/>
      </c>
      <c r="H1155" s="51" t="str">
        <f aca="false">IF(OR(NOT(ISNUMBER($G1155)),$G1155&lt;2,NOT(ISNUMBER($C1154)),$C1154=0),"",$C1155/$C1154-1)</f>
        <v/>
      </c>
      <c r="I1155" s="52" t="str">
        <f aca="false">IF(AND(ISNUMBER($G1155),$G1155&gt;=MA_SHORT),AVERAGE(INDEX($C$755:$C1155,402-MA_SHORT):$C1155),"")</f>
        <v/>
      </c>
      <c r="J1155" s="52" t="str">
        <f aca="false">IF(AND(ISNUMBER($G1155),$G1155&gt;=MA_MED),AVERAGE(INDEX($C$755:$C1155,402-MA_MED):$C1155),"")</f>
        <v/>
      </c>
      <c r="K1155" s="52" t="str">
        <f aca="false">IF(AND(ISNUMBER($G1155),$G1155&gt;=MA_LONG2),AVERAGE(INDEX($C$755:$C1155,402-MA_LONG2):$C1155),"")</f>
        <v/>
      </c>
      <c r="L1155" s="53" t="str">
        <f aca="false">IF(AND(ISNUMBER($G1155),$G1155&gt;=21),STDEV(INDEX($H$1095:$H1155,62-20):$H1155)*SQRT(245),"")</f>
        <v/>
      </c>
      <c r="M1155" s="52" t="str">
        <f aca="false">IF(AND(ISNUMBER($G1155),$G1155&gt;=60),MAX(INDEX($D$955:$D1155,202-60):$D1155),"")</f>
        <v/>
      </c>
      <c r="N1155" s="52" t="str">
        <f aca="false">IF(AND(ISNUMBER($G1155),$G1155&gt;=60),MIN(INDEX($E$955:$E1155,202-60):$E1155),"")</f>
        <v/>
      </c>
      <c r="O1155" s="53" t="str">
        <f aca="false">IF(OR(NOT(ISNUMBER($C1155)),NOT(ISNUMBER($M1155)),$M1155=0),"",$C1155/$M1155-1)</f>
        <v/>
      </c>
    </row>
    <row r="1156" customFormat="false" ht="15" hidden="false" customHeight="false" outlineLevel="0" collapsed="false">
      <c r="A1156" s="55"/>
      <c r="B1156" s="56"/>
      <c r="C1156" s="57"/>
      <c r="D1156" s="56"/>
      <c r="E1156" s="56"/>
      <c r="F1156" s="56"/>
      <c r="G1156" s="50" t="str">
        <f aca="false">IF($A1156="","",IF(ISNUMBER($G1155),$G1155+1,1))</f>
        <v/>
      </c>
      <c r="H1156" s="51" t="str">
        <f aca="false">IF(OR(NOT(ISNUMBER($G1156)),$G1156&lt;2,NOT(ISNUMBER($C1155)),$C1155=0),"",$C1156/$C1155-1)</f>
        <v/>
      </c>
      <c r="I1156" s="52" t="str">
        <f aca="false">IF(AND(ISNUMBER($G1156),$G1156&gt;=MA_SHORT),AVERAGE(INDEX($C$756:$C1156,402-MA_SHORT):$C1156),"")</f>
        <v/>
      </c>
      <c r="J1156" s="52" t="str">
        <f aca="false">IF(AND(ISNUMBER($G1156),$G1156&gt;=MA_MED),AVERAGE(INDEX($C$756:$C1156,402-MA_MED):$C1156),"")</f>
        <v/>
      </c>
      <c r="K1156" s="52" t="str">
        <f aca="false">IF(AND(ISNUMBER($G1156),$G1156&gt;=MA_LONG2),AVERAGE(INDEX($C$756:$C1156,402-MA_LONG2):$C1156),"")</f>
        <v/>
      </c>
      <c r="L1156" s="53" t="str">
        <f aca="false">IF(AND(ISNUMBER($G1156),$G1156&gt;=21),STDEV(INDEX($H$1096:$H1156,62-20):$H1156)*SQRT(245),"")</f>
        <v/>
      </c>
      <c r="M1156" s="52" t="str">
        <f aca="false">IF(AND(ISNUMBER($G1156),$G1156&gt;=60),MAX(INDEX($D$956:$D1156,202-60):$D1156),"")</f>
        <v/>
      </c>
      <c r="N1156" s="52" t="str">
        <f aca="false">IF(AND(ISNUMBER($G1156),$G1156&gt;=60),MIN(INDEX($E$956:$E1156,202-60):$E1156),"")</f>
        <v/>
      </c>
      <c r="O1156" s="53" t="str">
        <f aca="false">IF(OR(NOT(ISNUMBER($C1156)),NOT(ISNUMBER($M1156)),$M1156=0),"",$C1156/$M1156-1)</f>
        <v/>
      </c>
    </row>
    <row r="1157" customFormat="false" ht="15" hidden="false" customHeight="false" outlineLevel="0" collapsed="false">
      <c r="A1157" s="55"/>
      <c r="B1157" s="56"/>
      <c r="C1157" s="57"/>
      <c r="D1157" s="56"/>
      <c r="E1157" s="56"/>
      <c r="F1157" s="56"/>
      <c r="G1157" s="50" t="str">
        <f aca="false">IF($A1157="","",IF(ISNUMBER($G1156),$G1156+1,1))</f>
        <v/>
      </c>
      <c r="H1157" s="51" t="str">
        <f aca="false">IF(OR(NOT(ISNUMBER($G1157)),$G1157&lt;2,NOT(ISNUMBER($C1156)),$C1156=0),"",$C1157/$C1156-1)</f>
        <v/>
      </c>
      <c r="I1157" s="52" t="str">
        <f aca="false">IF(AND(ISNUMBER($G1157),$G1157&gt;=MA_SHORT),AVERAGE(INDEX($C$757:$C1157,402-MA_SHORT):$C1157),"")</f>
        <v/>
      </c>
      <c r="J1157" s="52" t="str">
        <f aca="false">IF(AND(ISNUMBER($G1157),$G1157&gt;=MA_MED),AVERAGE(INDEX($C$757:$C1157,402-MA_MED):$C1157),"")</f>
        <v/>
      </c>
      <c r="K1157" s="52" t="str">
        <f aca="false">IF(AND(ISNUMBER($G1157),$G1157&gt;=MA_LONG2),AVERAGE(INDEX($C$757:$C1157,402-MA_LONG2):$C1157),"")</f>
        <v/>
      </c>
      <c r="L1157" s="53" t="str">
        <f aca="false">IF(AND(ISNUMBER($G1157),$G1157&gt;=21),STDEV(INDEX($H$1097:$H1157,62-20):$H1157)*SQRT(245),"")</f>
        <v/>
      </c>
      <c r="M1157" s="52" t="str">
        <f aca="false">IF(AND(ISNUMBER($G1157),$G1157&gt;=60),MAX(INDEX($D$957:$D1157,202-60):$D1157),"")</f>
        <v/>
      </c>
      <c r="N1157" s="52" t="str">
        <f aca="false">IF(AND(ISNUMBER($G1157),$G1157&gt;=60),MIN(INDEX($E$957:$E1157,202-60):$E1157),"")</f>
        <v/>
      </c>
      <c r="O1157" s="53" t="str">
        <f aca="false">IF(OR(NOT(ISNUMBER($C1157)),NOT(ISNUMBER($M1157)),$M1157=0),"",$C1157/$M1157-1)</f>
        <v/>
      </c>
    </row>
    <row r="1158" customFormat="false" ht="15" hidden="false" customHeight="false" outlineLevel="0" collapsed="false">
      <c r="A1158" s="55"/>
      <c r="B1158" s="56"/>
      <c r="C1158" s="57"/>
      <c r="D1158" s="56"/>
      <c r="E1158" s="56"/>
      <c r="F1158" s="56"/>
      <c r="G1158" s="50" t="str">
        <f aca="false">IF($A1158="","",IF(ISNUMBER($G1157),$G1157+1,1))</f>
        <v/>
      </c>
      <c r="H1158" s="51" t="str">
        <f aca="false">IF(OR(NOT(ISNUMBER($G1158)),$G1158&lt;2,NOT(ISNUMBER($C1157)),$C1157=0),"",$C1158/$C1157-1)</f>
        <v/>
      </c>
      <c r="I1158" s="52" t="str">
        <f aca="false">IF(AND(ISNUMBER($G1158),$G1158&gt;=MA_SHORT),AVERAGE(INDEX($C$758:$C1158,402-MA_SHORT):$C1158),"")</f>
        <v/>
      </c>
      <c r="J1158" s="52" t="str">
        <f aca="false">IF(AND(ISNUMBER($G1158),$G1158&gt;=MA_MED),AVERAGE(INDEX($C$758:$C1158,402-MA_MED):$C1158),"")</f>
        <v/>
      </c>
      <c r="K1158" s="52" t="str">
        <f aca="false">IF(AND(ISNUMBER($G1158),$G1158&gt;=MA_LONG2),AVERAGE(INDEX($C$758:$C1158,402-MA_LONG2):$C1158),"")</f>
        <v/>
      </c>
      <c r="L1158" s="53" t="str">
        <f aca="false">IF(AND(ISNUMBER($G1158),$G1158&gt;=21),STDEV(INDEX($H$1098:$H1158,62-20):$H1158)*SQRT(245),"")</f>
        <v/>
      </c>
      <c r="M1158" s="52" t="str">
        <f aca="false">IF(AND(ISNUMBER($G1158),$G1158&gt;=60),MAX(INDEX($D$958:$D1158,202-60):$D1158),"")</f>
        <v/>
      </c>
      <c r="N1158" s="52" t="str">
        <f aca="false">IF(AND(ISNUMBER($G1158),$G1158&gt;=60),MIN(INDEX($E$958:$E1158,202-60):$E1158),"")</f>
        <v/>
      </c>
      <c r="O1158" s="53" t="str">
        <f aca="false">IF(OR(NOT(ISNUMBER($C1158)),NOT(ISNUMBER($M1158)),$M1158=0),"",$C1158/$M1158-1)</f>
        <v/>
      </c>
    </row>
    <row r="1159" customFormat="false" ht="15" hidden="false" customHeight="false" outlineLevel="0" collapsed="false">
      <c r="A1159" s="55"/>
      <c r="B1159" s="56"/>
      <c r="C1159" s="57"/>
      <c r="D1159" s="56"/>
      <c r="E1159" s="56"/>
      <c r="F1159" s="56"/>
      <c r="G1159" s="50" t="str">
        <f aca="false">IF($A1159="","",IF(ISNUMBER($G1158),$G1158+1,1))</f>
        <v/>
      </c>
      <c r="H1159" s="51" t="str">
        <f aca="false">IF(OR(NOT(ISNUMBER($G1159)),$G1159&lt;2,NOT(ISNUMBER($C1158)),$C1158=0),"",$C1159/$C1158-1)</f>
        <v/>
      </c>
      <c r="I1159" s="52" t="str">
        <f aca="false">IF(AND(ISNUMBER($G1159),$G1159&gt;=MA_SHORT),AVERAGE(INDEX($C$759:$C1159,402-MA_SHORT):$C1159),"")</f>
        <v/>
      </c>
      <c r="J1159" s="52" t="str">
        <f aca="false">IF(AND(ISNUMBER($G1159),$G1159&gt;=MA_MED),AVERAGE(INDEX($C$759:$C1159,402-MA_MED):$C1159),"")</f>
        <v/>
      </c>
      <c r="K1159" s="52" t="str">
        <f aca="false">IF(AND(ISNUMBER($G1159),$G1159&gt;=MA_LONG2),AVERAGE(INDEX($C$759:$C1159,402-MA_LONG2):$C1159),"")</f>
        <v/>
      </c>
      <c r="L1159" s="53" t="str">
        <f aca="false">IF(AND(ISNUMBER($G1159),$G1159&gt;=21),STDEV(INDEX($H$1099:$H1159,62-20):$H1159)*SQRT(245),"")</f>
        <v/>
      </c>
      <c r="M1159" s="52" t="str">
        <f aca="false">IF(AND(ISNUMBER($G1159),$G1159&gt;=60),MAX(INDEX($D$959:$D1159,202-60):$D1159),"")</f>
        <v/>
      </c>
      <c r="N1159" s="52" t="str">
        <f aca="false">IF(AND(ISNUMBER($G1159),$G1159&gt;=60),MIN(INDEX($E$959:$E1159,202-60):$E1159),"")</f>
        <v/>
      </c>
      <c r="O1159" s="53" t="str">
        <f aca="false">IF(OR(NOT(ISNUMBER($C1159)),NOT(ISNUMBER($M1159)),$M1159=0),"",$C1159/$M1159-1)</f>
        <v/>
      </c>
    </row>
    <row r="1160" customFormat="false" ht="15" hidden="false" customHeight="false" outlineLevel="0" collapsed="false">
      <c r="A1160" s="55"/>
      <c r="B1160" s="56"/>
      <c r="C1160" s="57"/>
      <c r="D1160" s="56"/>
      <c r="E1160" s="56"/>
      <c r="F1160" s="56"/>
      <c r="G1160" s="50" t="str">
        <f aca="false">IF($A1160="","",IF(ISNUMBER($G1159),$G1159+1,1))</f>
        <v/>
      </c>
      <c r="H1160" s="51" t="str">
        <f aca="false">IF(OR(NOT(ISNUMBER($G1160)),$G1160&lt;2,NOT(ISNUMBER($C1159)),$C1159=0),"",$C1160/$C1159-1)</f>
        <v/>
      </c>
      <c r="I1160" s="52" t="str">
        <f aca="false">IF(AND(ISNUMBER($G1160),$G1160&gt;=MA_SHORT),AVERAGE(INDEX($C$760:$C1160,402-MA_SHORT):$C1160),"")</f>
        <v/>
      </c>
      <c r="J1160" s="52" t="str">
        <f aca="false">IF(AND(ISNUMBER($G1160),$G1160&gt;=MA_MED),AVERAGE(INDEX($C$760:$C1160,402-MA_MED):$C1160),"")</f>
        <v/>
      </c>
      <c r="K1160" s="52" t="str">
        <f aca="false">IF(AND(ISNUMBER($G1160),$G1160&gt;=MA_LONG2),AVERAGE(INDEX($C$760:$C1160,402-MA_LONG2):$C1160),"")</f>
        <v/>
      </c>
      <c r="L1160" s="53" t="str">
        <f aca="false">IF(AND(ISNUMBER($G1160),$G1160&gt;=21),STDEV(INDEX($H$1100:$H1160,62-20):$H1160)*SQRT(245),"")</f>
        <v/>
      </c>
      <c r="M1160" s="52" t="str">
        <f aca="false">IF(AND(ISNUMBER($G1160),$G1160&gt;=60),MAX(INDEX($D$960:$D1160,202-60):$D1160),"")</f>
        <v/>
      </c>
      <c r="N1160" s="52" t="str">
        <f aca="false">IF(AND(ISNUMBER($G1160),$G1160&gt;=60),MIN(INDEX($E$960:$E1160,202-60):$E1160),"")</f>
        <v/>
      </c>
      <c r="O1160" s="53" t="str">
        <f aca="false">IF(OR(NOT(ISNUMBER($C1160)),NOT(ISNUMBER($M1160)),$M1160=0),"",$C1160/$M1160-1)</f>
        <v/>
      </c>
    </row>
    <row r="1161" customFormat="false" ht="15" hidden="false" customHeight="false" outlineLevel="0" collapsed="false">
      <c r="A1161" s="55"/>
      <c r="B1161" s="56"/>
      <c r="C1161" s="57"/>
      <c r="D1161" s="56"/>
      <c r="E1161" s="56"/>
      <c r="F1161" s="56"/>
      <c r="G1161" s="50" t="str">
        <f aca="false">IF($A1161="","",IF(ISNUMBER($G1160),$G1160+1,1))</f>
        <v/>
      </c>
      <c r="H1161" s="51" t="str">
        <f aca="false">IF(OR(NOT(ISNUMBER($G1161)),$G1161&lt;2,NOT(ISNUMBER($C1160)),$C1160=0),"",$C1161/$C1160-1)</f>
        <v/>
      </c>
      <c r="I1161" s="52" t="str">
        <f aca="false">IF(AND(ISNUMBER($G1161),$G1161&gt;=MA_SHORT),AVERAGE(INDEX($C$761:$C1161,402-MA_SHORT):$C1161),"")</f>
        <v/>
      </c>
      <c r="J1161" s="52" t="str">
        <f aca="false">IF(AND(ISNUMBER($G1161),$G1161&gt;=MA_MED),AVERAGE(INDEX($C$761:$C1161,402-MA_MED):$C1161),"")</f>
        <v/>
      </c>
      <c r="K1161" s="52" t="str">
        <f aca="false">IF(AND(ISNUMBER($G1161),$G1161&gt;=MA_LONG2),AVERAGE(INDEX($C$761:$C1161,402-MA_LONG2):$C1161),"")</f>
        <v/>
      </c>
      <c r="L1161" s="53" t="str">
        <f aca="false">IF(AND(ISNUMBER($G1161),$G1161&gt;=21),STDEV(INDEX($H$1101:$H1161,62-20):$H1161)*SQRT(245),"")</f>
        <v/>
      </c>
      <c r="M1161" s="52" t="str">
        <f aca="false">IF(AND(ISNUMBER($G1161),$G1161&gt;=60),MAX(INDEX($D$961:$D1161,202-60):$D1161),"")</f>
        <v/>
      </c>
      <c r="N1161" s="52" t="str">
        <f aca="false">IF(AND(ISNUMBER($G1161),$G1161&gt;=60),MIN(INDEX($E$961:$E1161,202-60):$E1161),"")</f>
        <v/>
      </c>
      <c r="O1161" s="53" t="str">
        <f aca="false">IF(OR(NOT(ISNUMBER($C1161)),NOT(ISNUMBER($M1161)),$M1161=0),"",$C1161/$M1161-1)</f>
        <v/>
      </c>
    </row>
    <row r="1162" customFormat="false" ht="15" hidden="false" customHeight="false" outlineLevel="0" collapsed="false">
      <c r="A1162" s="55"/>
      <c r="B1162" s="56"/>
      <c r="C1162" s="57"/>
      <c r="D1162" s="56"/>
      <c r="E1162" s="56"/>
      <c r="F1162" s="56"/>
      <c r="G1162" s="50" t="str">
        <f aca="false">IF($A1162="","",IF(ISNUMBER($G1161),$G1161+1,1))</f>
        <v/>
      </c>
      <c r="H1162" s="51" t="str">
        <f aca="false">IF(OR(NOT(ISNUMBER($G1162)),$G1162&lt;2,NOT(ISNUMBER($C1161)),$C1161=0),"",$C1162/$C1161-1)</f>
        <v/>
      </c>
      <c r="I1162" s="52" t="str">
        <f aca="false">IF(AND(ISNUMBER($G1162),$G1162&gt;=MA_SHORT),AVERAGE(INDEX($C$762:$C1162,402-MA_SHORT):$C1162),"")</f>
        <v/>
      </c>
      <c r="J1162" s="52" t="str">
        <f aca="false">IF(AND(ISNUMBER($G1162),$G1162&gt;=MA_MED),AVERAGE(INDEX($C$762:$C1162,402-MA_MED):$C1162),"")</f>
        <v/>
      </c>
      <c r="K1162" s="52" t="str">
        <f aca="false">IF(AND(ISNUMBER($G1162),$G1162&gt;=MA_LONG2),AVERAGE(INDEX($C$762:$C1162,402-MA_LONG2):$C1162),"")</f>
        <v/>
      </c>
      <c r="L1162" s="53" t="str">
        <f aca="false">IF(AND(ISNUMBER($G1162),$G1162&gt;=21),STDEV(INDEX($H$1102:$H1162,62-20):$H1162)*SQRT(245),"")</f>
        <v/>
      </c>
      <c r="M1162" s="52" t="str">
        <f aca="false">IF(AND(ISNUMBER($G1162),$G1162&gt;=60),MAX(INDEX($D$962:$D1162,202-60):$D1162),"")</f>
        <v/>
      </c>
      <c r="N1162" s="52" t="str">
        <f aca="false">IF(AND(ISNUMBER($G1162),$G1162&gt;=60),MIN(INDEX($E$962:$E1162,202-60):$E1162),"")</f>
        <v/>
      </c>
      <c r="O1162" s="53" t="str">
        <f aca="false">IF(OR(NOT(ISNUMBER($C1162)),NOT(ISNUMBER($M1162)),$M1162=0),"",$C1162/$M1162-1)</f>
        <v/>
      </c>
    </row>
    <row r="1163" customFormat="false" ht="15" hidden="false" customHeight="false" outlineLevel="0" collapsed="false">
      <c r="A1163" s="55"/>
      <c r="B1163" s="56"/>
      <c r="C1163" s="57"/>
      <c r="D1163" s="56"/>
      <c r="E1163" s="56"/>
      <c r="F1163" s="56"/>
      <c r="G1163" s="50" t="str">
        <f aca="false">IF($A1163="","",IF(ISNUMBER($G1162),$G1162+1,1))</f>
        <v/>
      </c>
      <c r="H1163" s="51" t="str">
        <f aca="false">IF(OR(NOT(ISNUMBER($G1163)),$G1163&lt;2,NOT(ISNUMBER($C1162)),$C1162=0),"",$C1163/$C1162-1)</f>
        <v/>
      </c>
      <c r="I1163" s="52" t="str">
        <f aca="false">IF(AND(ISNUMBER($G1163),$G1163&gt;=MA_SHORT),AVERAGE(INDEX($C$763:$C1163,402-MA_SHORT):$C1163),"")</f>
        <v/>
      </c>
      <c r="J1163" s="52" t="str">
        <f aca="false">IF(AND(ISNUMBER($G1163),$G1163&gt;=MA_MED),AVERAGE(INDEX($C$763:$C1163,402-MA_MED):$C1163),"")</f>
        <v/>
      </c>
      <c r="K1163" s="52" t="str">
        <f aca="false">IF(AND(ISNUMBER($G1163),$G1163&gt;=MA_LONG2),AVERAGE(INDEX($C$763:$C1163,402-MA_LONG2):$C1163),"")</f>
        <v/>
      </c>
      <c r="L1163" s="53" t="str">
        <f aca="false">IF(AND(ISNUMBER($G1163),$G1163&gt;=21),STDEV(INDEX($H$1103:$H1163,62-20):$H1163)*SQRT(245),"")</f>
        <v/>
      </c>
      <c r="M1163" s="52" t="str">
        <f aca="false">IF(AND(ISNUMBER($G1163),$G1163&gt;=60),MAX(INDEX($D$963:$D1163,202-60):$D1163),"")</f>
        <v/>
      </c>
      <c r="N1163" s="52" t="str">
        <f aca="false">IF(AND(ISNUMBER($G1163),$G1163&gt;=60),MIN(INDEX($E$963:$E1163,202-60):$E1163),"")</f>
        <v/>
      </c>
      <c r="O1163" s="53" t="str">
        <f aca="false">IF(OR(NOT(ISNUMBER($C1163)),NOT(ISNUMBER($M1163)),$M1163=0),"",$C1163/$M1163-1)</f>
        <v/>
      </c>
    </row>
    <row r="1164" customFormat="false" ht="15" hidden="false" customHeight="false" outlineLevel="0" collapsed="false">
      <c r="A1164" s="55"/>
      <c r="B1164" s="56"/>
      <c r="C1164" s="57"/>
      <c r="D1164" s="56"/>
      <c r="E1164" s="56"/>
      <c r="F1164" s="56"/>
      <c r="G1164" s="50" t="str">
        <f aca="false">IF($A1164="","",IF(ISNUMBER($G1163),$G1163+1,1))</f>
        <v/>
      </c>
      <c r="H1164" s="51" t="str">
        <f aca="false">IF(OR(NOT(ISNUMBER($G1164)),$G1164&lt;2,NOT(ISNUMBER($C1163)),$C1163=0),"",$C1164/$C1163-1)</f>
        <v/>
      </c>
      <c r="I1164" s="52" t="str">
        <f aca="false">IF(AND(ISNUMBER($G1164),$G1164&gt;=MA_SHORT),AVERAGE(INDEX($C$764:$C1164,402-MA_SHORT):$C1164),"")</f>
        <v/>
      </c>
      <c r="J1164" s="52" t="str">
        <f aca="false">IF(AND(ISNUMBER($G1164),$G1164&gt;=MA_MED),AVERAGE(INDEX($C$764:$C1164,402-MA_MED):$C1164),"")</f>
        <v/>
      </c>
      <c r="K1164" s="52" t="str">
        <f aca="false">IF(AND(ISNUMBER($G1164),$G1164&gt;=MA_LONG2),AVERAGE(INDEX($C$764:$C1164,402-MA_LONG2):$C1164),"")</f>
        <v/>
      </c>
      <c r="L1164" s="53" t="str">
        <f aca="false">IF(AND(ISNUMBER($G1164),$G1164&gt;=21),STDEV(INDEX($H$1104:$H1164,62-20):$H1164)*SQRT(245),"")</f>
        <v/>
      </c>
      <c r="M1164" s="52" t="str">
        <f aca="false">IF(AND(ISNUMBER($G1164),$G1164&gt;=60),MAX(INDEX($D$964:$D1164,202-60):$D1164),"")</f>
        <v/>
      </c>
      <c r="N1164" s="52" t="str">
        <f aca="false">IF(AND(ISNUMBER($G1164),$G1164&gt;=60),MIN(INDEX($E$964:$E1164,202-60):$E1164),"")</f>
        <v/>
      </c>
      <c r="O1164" s="53" t="str">
        <f aca="false">IF(OR(NOT(ISNUMBER($C1164)),NOT(ISNUMBER($M1164)),$M1164=0),"",$C1164/$M1164-1)</f>
        <v/>
      </c>
    </row>
    <row r="1165" customFormat="false" ht="15" hidden="false" customHeight="false" outlineLevel="0" collapsed="false">
      <c r="A1165" s="55"/>
      <c r="B1165" s="56"/>
      <c r="C1165" s="57"/>
      <c r="D1165" s="56"/>
      <c r="E1165" s="56"/>
      <c r="F1165" s="56"/>
      <c r="G1165" s="50" t="str">
        <f aca="false">IF($A1165="","",IF(ISNUMBER($G1164),$G1164+1,1))</f>
        <v/>
      </c>
      <c r="H1165" s="51" t="str">
        <f aca="false">IF(OR(NOT(ISNUMBER($G1165)),$G1165&lt;2,NOT(ISNUMBER($C1164)),$C1164=0),"",$C1165/$C1164-1)</f>
        <v/>
      </c>
      <c r="I1165" s="52" t="str">
        <f aca="false">IF(AND(ISNUMBER($G1165),$G1165&gt;=MA_SHORT),AVERAGE(INDEX($C$765:$C1165,402-MA_SHORT):$C1165),"")</f>
        <v/>
      </c>
      <c r="J1165" s="52" t="str">
        <f aca="false">IF(AND(ISNUMBER($G1165),$G1165&gt;=MA_MED),AVERAGE(INDEX($C$765:$C1165,402-MA_MED):$C1165),"")</f>
        <v/>
      </c>
      <c r="K1165" s="52" t="str">
        <f aca="false">IF(AND(ISNUMBER($G1165),$G1165&gt;=MA_LONG2),AVERAGE(INDEX($C$765:$C1165,402-MA_LONG2):$C1165),"")</f>
        <v/>
      </c>
      <c r="L1165" s="53" t="str">
        <f aca="false">IF(AND(ISNUMBER($G1165),$G1165&gt;=21),STDEV(INDEX($H$1105:$H1165,62-20):$H1165)*SQRT(245),"")</f>
        <v/>
      </c>
      <c r="M1165" s="52" t="str">
        <f aca="false">IF(AND(ISNUMBER($G1165),$G1165&gt;=60),MAX(INDEX($D$965:$D1165,202-60):$D1165),"")</f>
        <v/>
      </c>
      <c r="N1165" s="52" t="str">
        <f aca="false">IF(AND(ISNUMBER($G1165),$G1165&gt;=60),MIN(INDEX($E$965:$E1165,202-60):$E1165),"")</f>
        <v/>
      </c>
      <c r="O1165" s="53" t="str">
        <f aca="false">IF(OR(NOT(ISNUMBER($C1165)),NOT(ISNUMBER($M1165)),$M1165=0),"",$C1165/$M1165-1)</f>
        <v/>
      </c>
    </row>
    <row r="1166" customFormat="false" ht="15" hidden="false" customHeight="false" outlineLevel="0" collapsed="false">
      <c r="A1166" s="55"/>
      <c r="B1166" s="56"/>
      <c r="C1166" s="57"/>
      <c r="D1166" s="56"/>
      <c r="E1166" s="56"/>
      <c r="F1166" s="56"/>
      <c r="G1166" s="50" t="str">
        <f aca="false">IF($A1166="","",IF(ISNUMBER($G1165),$G1165+1,1))</f>
        <v/>
      </c>
      <c r="H1166" s="51" t="str">
        <f aca="false">IF(OR(NOT(ISNUMBER($G1166)),$G1166&lt;2,NOT(ISNUMBER($C1165)),$C1165=0),"",$C1166/$C1165-1)</f>
        <v/>
      </c>
      <c r="I1166" s="52" t="str">
        <f aca="false">IF(AND(ISNUMBER($G1166),$G1166&gt;=MA_SHORT),AVERAGE(INDEX($C$766:$C1166,402-MA_SHORT):$C1166),"")</f>
        <v/>
      </c>
      <c r="J1166" s="52" t="str">
        <f aca="false">IF(AND(ISNUMBER($G1166),$G1166&gt;=MA_MED),AVERAGE(INDEX($C$766:$C1166,402-MA_MED):$C1166),"")</f>
        <v/>
      </c>
      <c r="K1166" s="52" t="str">
        <f aca="false">IF(AND(ISNUMBER($G1166),$G1166&gt;=MA_LONG2),AVERAGE(INDEX($C$766:$C1166,402-MA_LONG2):$C1166),"")</f>
        <v/>
      </c>
      <c r="L1166" s="53" t="str">
        <f aca="false">IF(AND(ISNUMBER($G1166),$G1166&gt;=21),STDEV(INDEX($H$1106:$H1166,62-20):$H1166)*SQRT(245),"")</f>
        <v/>
      </c>
      <c r="M1166" s="52" t="str">
        <f aca="false">IF(AND(ISNUMBER($G1166),$G1166&gt;=60),MAX(INDEX($D$966:$D1166,202-60):$D1166),"")</f>
        <v/>
      </c>
      <c r="N1166" s="52" t="str">
        <f aca="false">IF(AND(ISNUMBER($G1166),$G1166&gt;=60),MIN(INDEX($E$966:$E1166,202-60):$E1166),"")</f>
        <v/>
      </c>
      <c r="O1166" s="53" t="str">
        <f aca="false">IF(OR(NOT(ISNUMBER($C1166)),NOT(ISNUMBER($M1166)),$M1166=0),"",$C1166/$M1166-1)</f>
        <v/>
      </c>
    </row>
    <row r="1167" customFormat="false" ht="15" hidden="false" customHeight="false" outlineLevel="0" collapsed="false">
      <c r="A1167" s="55"/>
      <c r="B1167" s="56"/>
      <c r="C1167" s="57"/>
      <c r="D1167" s="56"/>
      <c r="E1167" s="56"/>
      <c r="F1167" s="56"/>
      <c r="G1167" s="50" t="str">
        <f aca="false">IF($A1167="","",IF(ISNUMBER($G1166),$G1166+1,1))</f>
        <v/>
      </c>
      <c r="H1167" s="51" t="str">
        <f aca="false">IF(OR(NOT(ISNUMBER($G1167)),$G1167&lt;2,NOT(ISNUMBER($C1166)),$C1166=0),"",$C1167/$C1166-1)</f>
        <v/>
      </c>
      <c r="I1167" s="52" t="str">
        <f aca="false">IF(AND(ISNUMBER($G1167),$G1167&gt;=MA_SHORT),AVERAGE(INDEX($C$767:$C1167,402-MA_SHORT):$C1167),"")</f>
        <v/>
      </c>
      <c r="J1167" s="52" t="str">
        <f aca="false">IF(AND(ISNUMBER($G1167),$G1167&gt;=MA_MED),AVERAGE(INDEX($C$767:$C1167,402-MA_MED):$C1167),"")</f>
        <v/>
      </c>
      <c r="K1167" s="52" t="str">
        <f aca="false">IF(AND(ISNUMBER($G1167),$G1167&gt;=MA_LONG2),AVERAGE(INDEX($C$767:$C1167,402-MA_LONG2):$C1167),"")</f>
        <v/>
      </c>
      <c r="L1167" s="53" t="str">
        <f aca="false">IF(AND(ISNUMBER($G1167),$G1167&gt;=21),STDEV(INDEX($H$1107:$H1167,62-20):$H1167)*SQRT(245),"")</f>
        <v/>
      </c>
      <c r="M1167" s="52" t="str">
        <f aca="false">IF(AND(ISNUMBER($G1167),$G1167&gt;=60),MAX(INDEX($D$967:$D1167,202-60):$D1167),"")</f>
        <v/>
      </c>
      <c r="N1167" s="52" t="str">
        <f aca="false">IF(AND(ISNUMBER($G1167),$G1167&gt;=60),MIN(INDEX($E$967:$E1167,202-60):$E1167),"")</f>
        <v/>
      </c>
      <c r="O1167" s="53" t="str">
        <f aca="false">IF(OR(NOT(ISNUMBER($C1167)),NOT(ISNUMBER($M1167)),$M1167=0),"",$C1167/$M1167-1)</f>
        <v/>
      </c>
    </row>
    <row r="1168" customFormat="false" ht="15" hidden="false" customHeight="false" outlineLevel="0" collapsed="false">
      <c r="A1168" s="55"/>
      <c r="B1168" s="56"/>
      <c r="C1168" s="57"/>
      <c r="D1168" s="56"/>
      <c r="E1168" s="56"/>
      <c r="F1168" s="56"/>
      <c r="G1168" s="50" t="str">
        <f aca="false">IF($A1168="","",IF(ISNUMBER($G1167),$G1167+1,1))</f>
        <v/>
      </c>
      <c r="H1168" s="51" t="str">
        <f aca="false">IF(OR(NOT(ISNUMBER($G1168)),$G1168&lt;2,NOT(ISNUMBER($C1167)),$C1167=0),"",$C1168/$C1167-1)</f>
        <v/>
      </c>
      <c r="I1168" s="52" t="str">
        <f aca="false">IF(AND(ISNUMBER($G1168),$G1168&gt;=MA_SHORT),AVERAGE(INDEX($C$768:$C1168,402-MA_SHORT):$C1168),"")</f>
        <v/>
      </c>
      <c r="J1168" s="52" t="str">
        <f aca="false">IF(AND(ISNUMBER($G1168),$G1168&gt;=MA_MED),AVERAGE(INDEX($C$768:$C1168,402-MA_MED):$C1168),"")</f>
        <v/>
      </c>
      <c r="K1168" s="52" t="str">
        <f aca="false">IF(AND(ISNUMBER($G1168),$G1168&gt;=MA_LONG2),AVERAGE(INDEX($C$768:$C1168,402-MA_LONG2):$C1168),"")</f>
        <v/>
      </c>
      <c r="L1168" s="53" t="str">
        <f aca="false">IF(AND(ISNUMBER($G1168),$G1168&gt;=21),STDEV(INDEX($H$1108:$H1168,62-20):$H1168)*SQRT(245),"")</f>
        <v/>
      </c>
      <c r="M1168" s="52" t="str">
        <f aca="false">IF(AND(ISNUMBER($G1168),$G1168&gt;=60),MAX(INDEX($D$968:$D1168,202-60):$D1168),"")</f>
        <v/>
      </c>
      <c r="N1168" s="52" t="str">
        <f aca="false">IF(AND(ISNUMBER($G1168),$G1168&gt;=60),MIN(INDEX($E$968:$E1168,202-60):$E1168),"")</f>
        <v/>
      </c>
      <c r="O1168" s="53" t="str">
        <f aca="false">IF(OR(NOT(ISNUMBER($C1168)),NOT(ISNUMBER($M1168)),$M1168=0),"",$C1168/$M1168-1)</f>
        <v/>
      </c>
    </row>
    <row r="1169" customFormat="false" ht="15" hidden="false" customHeight="false" outlineLevel="0" collapsed="false">
      <c r="A1169" s="55"/>
      <c r="B1169" s="56"/>
      <c r="C1169" s="57"/>
      <c r="D1169" s="56"/>
      <c r="E1169" s="56"/>
      <c r="F1169" s="56"/>
      <c r="G1169" s="50" t="str">
        <f aca="false">IF($A1169="","",IF(ISNUMBER($G1168),$G1168+1,1))</f>
        <v/>
      </c>
      <c r="H1169" s="51" t="str">
        <f aca="false">IF(OR(NOT(ISNUMBER($G1169)),$G1169&lt;2,NOT(ISNUMBER($C1168)),$C1168=0),"",$C1169/$C1168-1)</f>
        <v/>
      </c>
      <c r="I1169" s="52" t="str">
        <f aca="false">IF(AND(ISNUMBER($G1169),$G1169&gt;=MA_SHORT),AVERAGE(INDEX($C$769:$C1169,402-MA_SHORT):$C1169),"")</f>
        <v/>
      </c>
      <c r="J1169" s="52" t="str">
        <f aca="false">IF(AND(ISNUMBER($G1169),$G1169&gt;=MA_MED),AVERAGE(INDEX($C$769:$C1169,402-MA_MED):$C1169),"")</f>
        <v/>
      </c>
      <c r="K1169" s="52" t="str">
        <f aca="false">IF(AND(ISNUMBER($G1169),$G1169&gt;=MA_LONG2),AVERAGE(INDEX($C$769:$C1169,402-MA_LONG2):$C1169),"")</f>
        <v/>
      </c>
      <c r="L1169" s="53" t="str">
        <f aca="false">IF(AND(ISNUMBER($G1169),$G1169&gt;=21),STDEV(INDEX($H$1109:$H1169,62-20):$H1169)*SQRT(245),"")</f>
        <v/>
      </c>
      <c r="M1169" s="52" t="str">
        <f aca="false">IF(AND(ISNUMBER($G1169),$G1169&gt;=60),MAX(INDEX($D$969:$D1169,202-60):$D1169),"")</f>
        <v/>
      </c>
      <c r="N1169" s="52" t="str">
        <f aca="false">IF(AND(ISNUMBER($G1169),$G1169&gt;=60),MIN(INDEX($E$969:$E1169,202-60):$E1169),"")</f>
        <v/>
      </c>
      <c r="O1169" s="53" t="str">
        <f aca="false">IF(OR(NOT(ISNUMBER($C1169)),NOT(ISNUMBER($M1169)),$M1169=0),"",$C1169/$M1169-1)</f>
        <v/>
      </c>
    </row>
    <row r="1170" customFormat="false" ht="15" hidden="false" customHeight="false" outlineLevel="0" collapsed="false">
      <c r="A1170" s="55"/>
      <c r="B1170" s="56"/>
      <c r="C1170" s="57"/>
      <c r="D1170" s="56"/>
      <c r="E1170" s="56"/>
      <c r="F1170" s="56"/>
      <c r="G1170" s="50" t="str">
        <f aca="false">IF($A1170="","",IF(ISNUMBER($G1169),$G1169+1,1))</f>
        <v/>
      </c>
      <c r="H1170" s="51" t="str">
        <f aca="false">IF(OR(NOT(ISNUMBER($G1170)),$G1170&lt;2,NOT(ISNUMBER($C1169)),$C1169=0),"",$C1170/$C1169-1)</f>
        <v/>
      </c>
      <c r="I1170" s="52" t="str">
        <f aca="false">IF(AND(ISNUMBER($G1170),$G1170&gt;=MA_SHORT),AVERAGE(INDEX($C$770:$C1170,402-MA_SHORT):$C1170),"")</f>
        <v/>
      </c>
      <c r="J1170" s="52" t="str">
        <f aca="false">IF(AND(ISNUMBER($G1170),$G1170&gt;=MA_MED),AVERAGE(INDEX($C$770:$C1170,402-MA_MED):$C1170),"")</f>
        <v/>
      </c>
      <c r="K1170" s="52" t="str">
        <f aca="false">IF(AND(ISNUMBER($G1170),$G1170&gt;=MA_LONG2),AVERAGE(INDEX($C$770:$C1170,402-MA_LONG2):$C1170),"")</f>
        <v/>
      </c>
      <c r="L1170" s="53" t="str">
        <f aca="false">IF(AND(ISNUMBER($G1170),$G1170&gt;=21),STDEV(INDEX($H$1110:$H1170,62-20):$H1170)*SQRT(245),"")</f>
        <v/>
      </c>
      <c r="M1170" s="52" t="str">
        <f aca="false">IF(AND(ISNUMBER($G1170),$G1170&gt;=60),MAX(INDEX($D$970:$D1170,202-60):$D1170),"")</f>
        <v/>
      </c>
      <c r="N1170" s="52" t="str">
        <f aca="false">IF(AND(ISNUMBER($G1170),$G1170&gt;=60),MIN(INDEX($E$970:$E1170,202-60):$E1170),"")</f>
        <v/>
      </c>
      <c r="O1170" s="53" t="str">
        <f aca="false">IF(OR(NOT(ISNUMBER($C1170)),NOT(ISNUMBER($M1170)),$M1170=0),"",$C1170/$M1170-1)</f>
        <v/>
      </c>
    </row>
    <row r="1171" customFormat="false" ht="15" hidden="false" customHeight="false" outlineLevel="0" collapsed="false">
      <c r="A1171" s="55"/>
      <c r="B1171" s="56"/>
      <c r="C1171" s="57"/>
      <c r="D1171" s="56"/>
      <c r="E1171" s="56"/>
      <c r="F1171" s="56"/>
      <c r="G1171" s="50" t="str">
        <f aca="false">IF($A1171="","",IF(ISNUMBER($G1170),$G1170+1,1))</f>
        <v/>
      </c>
      <c r="H1171" s="51" t="str">
        <f aca="false">IF(OR(NOT(ISNUMBER($G1171)),$G1171&lt;2,NOT(ISNUMBER($C1170)),$C1170=0),"",$C1171/$C1170-1)</f>
        <v/>
      </c>
      <c r="I1171" s="52" t="str">
        <f aca="false">IF(AND(ISNUMBER($G1171),$G1171&gt;=MA_SHORT),AVERAGE(INDEX($C$771:$C1171,402-MA_SHORT):$C1171),"")</f>
        <v/>
      </c>
      <c r="J1171" s="52" t="str">
        <f aca="false">IF(AND(ISNUMBER($G1171),$G1171&gt;=MA_MED),AVERAGE(INDEX($C$771:$C1171,402-MA_MED):$C1171),"")</f>
        <v/>
      </c>
      <c r="K1171" s="52" t="str">
        <f aca="false">IF(AND(ISNUMBER($G1171),$G1171&gt;=MA_LONG2),AVERAGE(INDEX($C$771:$C1171,402-MA_LONG2):$C1171),"")</f>
        <v/>
      </c>
      <c r="L1171" s="53" t="str">
        <f aca="false">IF(AND(ISNUMBER($G1171),$G1171&gt;=21),STDEV(INDEX($H$1111:$H1171,62-20):$H1171)*SQRT(245),"")</f>
        <v/>
      </c>
      <c r="M1171" s="52" t="str">
        <f aca="false">IF(AND(ISNUMBER($G1171),$G1171&gt;=60),MAX(INDEX($D$971:$D1171,202-60):$D1171),"")</f>
        <v/>
      </c>
      <c r="N1171" s="52" t="str">
        <f aca="false">IF(AND(ISNUMBER($G1171),$G1171&gt;=60),MIN(INDEX($E$971:$E1171,202-60):$E1171),"")</f>
        <v/>
      </c>
      <c r="O1171" s="53" t="str">
        <f aca="false">IF(OR(NOT(ISNUMBER($C1171)),NOT(ISNUMBER($M1171)),$M1171=0),"",$C1171/$M1171-1)</f>
        <v/>
      </c>
    </row>
    <row r="1172" customFormat="false" ht="15" hidden="false" customHeight="false" outlineLevel="0" collapsed="false">
      <c r="A1172" s="55"/>
      <c r="B1172" s="56"/>
      <c r="C1172" s="57"/>
      <c r="D1172" s="56"/>
      <c r="E1172" s="56"/>
      <c r="F1172" s="56"/>
      <c r="G1172" s="50" t="str">
        <f aca="false">IF($A1172="","",IF(ISNUMBER($G1171),$G1171+1,1))</f>
        <v/>
      </c>
      <c r="H1172" s="51" t="str">
        <f aca="false">IF(OR(NOT(ISNUMBER($G1172)),$G1172&lt;2,NOT(ISNUMBER($C1171)),$C1171=0),"",$C1172/$C1171-1)</f>
        <v/>
      </c>
      <c r="I1172" s="52" t="str">
        <f aca="false">IF(AND(ISNUMBER($G1172),$G1172&gt;=MA_SHORT),AVERAGE(INDEX($C$772:$C1172,402-MA_SHORT):$C1172),"")</f>
        <v/>
      </c>
      <c r="J1172" s="52" t="str">
        <f aca="false">IF(AND(ISNUMBER($G1172),$G1172&gt;=MA_MED),AVERAGE(INDEX($C$772:$C1172,402-MA_MED):$C1172),"")</f>
        <v/>
      </c>
      <c r="K1172" s="52" t="str">
        <f aca="false">IF(AND(ISNUMBER($G1172),$G1172&gt;=MA_LONG2),AVERAGE(INDEX($C$772:$C1172,402-MA_LONG2):$C1172),"")</f>
        <v/>
      </c>
      <c r="L1172" s="53" t="str">
        <f aca="false">IF(AND(ISNUMBER($G1172),$G1172&gt;=21),STDEV(INDEX($H$1112:$H1172,62-20):$H1172)*SQRT(245),"")</f>
        <v/>
      </c>
      <c r="M1172" s="52" t="str">
        <f aca="false">IF(AND(ISNUMBER($G1172),$G1172&gt;=60),MAX(INDEX($D$972:$D1172,202-60):$D1172),"")</f>
        <v/>
      </c>
      <c r="N1172" s="52" t="str">
        <f aca="false">IF(AND(ISNUMBER($G1172),$G1172&gt;=60),MIN(INDEX($E$972:$E1172,202-60):$E1172),"")</f>
        <v/>
      </c>
      <c r="O1172" s="53" t="str">
        <f aca="false">IF(OR(NOT(ISNUMBER($C1172)),NOT(ISNUMBER($M1172)),$M1172=0),"",$C1172/$M1172-1)</f>
        <v/>
      </c>
    </row>
    <row r="1173" customFormat="false" ht="15" hidden="false" customHeight="false" outlineLevel="0" collapsed="false">
      <c r="A1173" s="55"/>
      <c r="B1173" s="56"/>
      <c r="C1173" s="57"/>
      <c r="D1173" s="56"/>
      <c r="E1173" s="56"/>
      <c r="F1173" s="56"/>
      <c r="G1173" s="50" t="str">
        <f aca="false">IF($A1173="","",IF(ISNUMBER($G1172),$G1172+1,1))</f>
        <v/>
      </c>
      <c r="H1173" s="51" t="str">
        <f aca="false">IF(OR(NOT(ISNUMBER($G1173)),$G1173&lt;2,NOT(ISNUMBER($C1172)),$C1172=0),"",$C1173/$C1172-1)</f>
        <v/>
      </c>
      <c r="I1173" s="52" t="str">
        <f aca="false">IF(AND(ISNUMBER($G1173),$G1173&gt;=MA_SHORT),AVERAGE(INDEX($C$773:$C1173,402-MA_SHORT):$C1173),"")</f>
        <v/>
      </c>
      <c r="J1173" s="52" t="str">
        <f aca="false">IF(AND(ISNUMBER($G1173),$G1173&gt;=MA_MED),AVERAGE(INDEX($C$773:$C1173,402-MA_MED):$C1173),"")</f>
        <v/>
      </c>
      <c r="K1173" s="52" t="str">
        <f aca="false">IF(AND(ISNUMBER($G1173),$G1173&gt;=MA_LONG2),AVERAGE(INDEX($C$773:$C1173,402-MA_LONG2):$C1173),"")</f>
        <v/>
      </c>
      <c r="L1173" s="53" t="str">
        <f aca="false">IF(AND(ISNUMBER($G1173),$G1173&gt;=21),STDEV(INDEX($H$1113:$H1173,62-20):$H1173)*SQRT(245),"")</f>
        <v/>
      </c>
      <c r="M1173" s="52" t="str">
        <f aca="false">IF(AND(ISNUMBER($G1173),$G1173&gt;=60),MAX(INDEX($D$973:$D1173,202-60):$D1173),"")</f>
        <v/>
      </c>
      <c r="N1173" s="52" t="str">
        <f aca="false">IF(AND(ISNUMBER($G1173),$G1173&gt;=60),MIN(INDEX($E$973:$E1173,202-60):$E1173),"")</f>
        <v/>
      </c>
      <c r="O1173" s="53" t="str">
        <f aca="false">IF(OR(NOT(ISNUMBER($C1173)),NOT(ISNUMBER($M1173)),$M1173=0),"",$C1173/$M1173-1)</f>
        <v/>
      </c>
    </row>
    <row r="1174" customFormat="false" ht="15" hidden="false" customHeight="false" outlineLevel="0" collapsed="false">
      <c r="A1174" s="55"/>
      <c r="B1174" s="56"/>
      <c r="C1174" s="57"/>
      <c r="D1174" s="56"/>
      <c r="E1174" s="56"/>
      <c r="F1174" s="56"/>
      <c r="G1174" s="50" t="str">
        <f aca="false">IF($A1174="","",IF(ISNUMBER($G1173),$G1173+1,1))</f>
        <v/>
      </c>
      <c r="H1174" s="51" t="str">
        <f aca="false">IF(OR(NOT(ISNUMBER($G1174)),$G1174&lt;2,NOT(ISNUMBER($C1173)),$C1173=0),"",$C1174/$C1173-1)</f>
        <v/>
      </c>
      <c r="I1174" s="52" t="str">
        <f aca="false">IF(AND(ISNUMBER($G1174),$G1174&gt;=MA_SHORT),AVERAGE(INDEX($C$774:$C1174,402-MA_SHORT):$C1174),"")</f>
        <v/>
      </c>
      <c r="J1174" s="52" t="str">
        <f aca="false">IF(AND(ISNUMBER($G1174),$G1174&gt;=MA_MED),AVERAGE(INDEX($C$774:$C1174,402-MA_MED):$C1174),"")</f>
        <v/>
      </c>
      <c r="K1174" s="52" t="str">
        <f aca="false">IF(AND(ISNUMBER($G1174),$G1174&gt;=MA_LONG2),AVERAGE(INDEX($C$774:$C1174,402-MA_LONG2):$C1174),"")</f>
        <v/>
      </c>
      <c r="L1174" s="53" t="str">
        <f aca="false">IF(AND(ISNUMBER($G1174),$G1174&gt;=21),STDEV(INDEX($H$1114:$H1174,62-20):$H1174)*SQRT(245),"")</f>
        <v/>
      </c>
      <c r="M1174" s="52" t="str">
        <f aca="false">IF(AND(ISNUMBER($G1174),$G1174&gt;=60),MAX(INDEX($D$974:$D1174,202-60):$D1174),"")</f>
        <v/>
      </c>
      <c r="N1174" s="52" t="str">
        <f aca="false">IF(AND(ISNUMBER($G1174),$G1174&gt;=60),MIN(INDEX($E$974:$E1174,202-60):$E1174),"")</f>
        <v/>
      </c>
      <c r="O1174" s="53" t="str">
        <f aca="false">IF(OR(NOT(ISNUMBER($C1174)),NOT(ISNUMBER($M1174)),$M1174=0),"",$C1174/$M1174-1)</f>
        <v/>
      </c>
    </row>
    <row r="1175" customFormat="false" ht="15" hidden="false" customHeight="false" outlineLevel="0" collapsed="false">
      <c r="A1175" s="55"/>
      <c r="B1175" s="56"/>
      <c r="C1175" s="57"/>
      <c r="D1175" s="56"/>
      <c r="E1175" s="56"/>
      <c r="F1175" s="56"/>
      <c r="G1175" s="50" t="str">
        <f aca="false">IF($A1175="","",IF(ISNUMBER($G1174),$G1174+1,1))</f>
        <v/>
      </c>
      <c r="H1175" s="51" t="str">
        <f aca="false">IF(OR(NOT(ISNUMBER($G1175)),$G1175&lt;2,NOT(ISNUMBER($C1174)),$C1174=0),"",$C1175/$C1174-1)</f>
        <v/>
      </c>
      <c r="I1175" s="52" t="str">
        <f aca="false">IF(AND(ISNUMBER($G1175),$G1175&gt;=MA_SHORT),AVERAGE(INDEX($C$775:$C1175,402-MA_SHORT):$C1175),"")</f>
        <v/>
      </c>
      <c r="J1175" s="52" t="str">
        <f aca="false">IF(AND(ISNUMBER($G1175),$G1175&gt;=MA_MED),AVERAGE(INDEX($C$775:$C1175,402-MA_MED):$C1175),"")</f>
        <v/>
      </c>
      <c r="K1175" s="52" t="str">
        <f aca="false">IF(AND(ISNUMBER($G1175),$G1175&gt;=MA_LONG2),AVERAGE(INDEX($C$775:$C1175,402-MA_LONG2):$C1175),"")</f>
        <v/>
      </c>
      <c r="L1175" s="53" t="str">
        <f aca="false">IF(AND(ISNUMBER($G1175),$G1175&gt;=21),STDEV(INDEX($H$1115:$H1175,62-20):$H1175)*SQRT(245),"")</f>
        <v/>
      </c>
      <c r="M1175" s="52" t="str">
        <f aca="false">IF(AND(ISNUMBER($G1175),$G1175&gt;=60),MAX(INDEX($D$975:$D1175,202-60):$D1175),"")</f>
        <v/>
      </c>
      <c r="N1175" s="52" t="str">
        <f aca="false">IF(AND(ISNUMBER($G1175),$G1175&gt;=60),MIN(INDEX($E$975:$E1175,202-60):$E1175),"")</f>
        <v/>
      </c>
      <c r="O1175" s="53" t="str">
        <f aca="false">IF(OR(NOT(ISNUMBER($C1175)),NOT(ISNUMBER($M1175)),$M1175=0),"",$C1175/$M1175-1)</f>
        <v/>
      </c>
    </row>
    <row r="1176" customFormat="false" ht="15" hidden="false" customHeight="false" outlineLevel="0" collapsed="false">
      <c r="A1176" s="55"/>
      <c r="B1176" s="56"/>
      <c r="C1176" s="57"/>
      <c r="D1176" s="56"/>
      <c r="E1176" s="56"/>
      <c r="F1176" s="56"/>
      <c r="G1176" s="50" t="str">
        <f aca="false">IF($A1176="","",IF(ISNUMBER($G1175),$G1175+1,1))</f>
        <v/>
      </c>
      <c r="H1176" s="51" t="str">
        <f aca="false">IF(OR(NOT(ISNUMBER($G1176)),$G1176&lt;2,NOT(ISNUMBER($C1175)),$C1175=0),"",$C1176/$C1175-1)</f>
        <v/>
      </c>
      <c r="I1176" s="52" t="str">
        <f aca="false">IF(AND(ISNUMBER($G1176),$G1176&gt;=MA_SHORT),AVERAGE(INDEX($C$776:$C1176,402-MA_SHORT):$C1176),"")</f>
        <v/>
      </c>
      <c r="J1176" s="52" t="str">
        <f aca="false">IF(AND(ISNUMBER($G1176),$G1176&gt;=MA_MED),AVERAGE(INDEX($C$776:$C1176,402-MA_MED):$C1176),"")</f>
        <v/>
      </c>
      <c r="K1176" s="52" t="str">
        <f aca="false">IF(AND(ISNUMBER($G1176),$G1176&gt;=MA_LONG2),AVERAGE(INDEX($C$776:$C1176,402-MA_LONG2):$C1176),"")</f>
        <v/>
      </c>
      <c r="L1176" s="53" t="str">
        <f aca="false">IF(AND(ISNUMBER($G1176),$G1176&gt;=21),STDEV(INDEX($H$1116:$H1176,62-20):$H1176)*SQRT(245),"")</f>
        <v/>
      </c>
      <c r="M1176" s="52" t="str">
        <f aca="false">IF(AND(ISNUMBER($G1176),$G1176&gt;=60),MAX(INDEX($D$976:$D1176,202-60):$D1176),"")</f>
        <v/>
      </c>
      <c r="N1176" s="52" t="str">
        <f aca="false">IF(AND(ISNUMBER($G1176),$G1176&gt;=60),MIN(INDEX($E$976:$E1176,202-60):$E1176),"")</f>
        <v/>
      </c>
      <c r="O1176" s="53" t="str">
        <f aca="false">IF(OR(NOT(ISNUMBER($C1176)),NOT(ISNUMBER($M1176)),$M1176=0),"",$C1176/$M1176-1)</f>
        <v/>
      </c>
    </row>
    <row r="1177" customFormat="false" ht="15" hidden="false" customHeight="false" outlineLevel="0" collapsed="false">
      <c r="A1177" s="55"/>
      <c r="B1177" s="56"/>
      <c r="C1177" s="57"/>
      <c r="D1177" s="56"/>
      <c r="E1177" s="56"/>
      <c r="F1177" s="56"/>
      <c r="G1177" s="50" t="str">
        <f aca="false">IF($A1177="","",IF(ISNUMBER($G1176),$G1176+1,1))</f>
        <v/>
      </c>
      <c r="H1177" s="51" t="str">
        <f aca="false">IF(OR(NOT(ISNUMBER($G1177)),$G1177&lt;2,NOT(ISNUMBER($C1176)),$C1176=0),"",$C1177/$C1176-1)</f>
        <v/>
      </c>
      <c r="I1177" s="52" t="str">
        <f aca="false">IF(AND(ISNUMBER($G1177),$G1177&gt;=MA_SHORT),AVERAGE(INDEX($C$777:$C1177,402-MA_SHORT):$C1177),"")</f>
        <v/>
      </c>
      <c r="J1177" s="52" t="str">
        <f aca="false">IF(AND(ISNUMBER($G1177),$G1177&gt;=MA_MED),AVERAGE(INDEX($C$777:$C1177,402-MA_MED):$C1177),"")</f>
        <v/>
      </c>
      <c r="K1177" s="52" t="str">
        <f aca="false">IF(AND(ISNUMBER($G1177),$G1177&gt;=MA_LONG2),AVERAGE(INDEX($C$777:$C1177,402-MA_LONG2):$C1177),"")</f>
        <v/>
      </c>
      <c r="L1177" s="53" t="str">
        <f aca="false">IF(AND(ISNUMBER($G1177),$G1177&gt;=21),STDEV(INDEX($H$1117:$H1177,62-20):$H1177)*SQRT(245),"")</f>
        <v/>
      </c>
      <c r="M1177" s="52" t="str">
        <f aca="false">IF(AND(ISNUMBER($G1177),$G1177&gt;=60),MAX(INDEX($D$977:$D1177,202-60):$D1177),"")</f>
        <v/>
      </c>
      <c r="N1177" s="52" t="str">
        <f aca="false">IF(AND(ISNUMBER($G1177),$G1177&gt;=60),MIN(INDEX($E$977:$E1177,202-60):$E1177),"")</f>
        <v/>
      </c>
      <c r="O1177" s="53" t="str">
        <f aca="false">IF(OR(NOT(ISNUMBER($C1177)),NOT(ISNUMBER($M1177)),$M1177=0),"",$C1177/$M1177-1)</f>
        <v/>
      </c>
    </row>
    <row r="1178" customFormat="false" ht="15" hidden="false" customHeight="false" outlineLevel="0" collapsed="false">
      <c r="A1178" s="55"/>
      <c r="B1178" s="56"/>
      <c r="C1178" s="57"/>
      <c r="D1178" s="56"/>
      <c r="E1178" s="56"/>
      <c r="F1178" s="56"/>
      <c r="G1178" s="50" t="str">
        <f aca="false">IF($A1178="","",IF(ISNUMBER($G1177),$G1177+1,1))</f>
        <v/>
      </c>
      <c r="H1178" s="51" t="str">
        <f aca="false">IF(OR(NOT(ISNUMBER($G1178)),$G1178&lt;2,NOT(ISNUMBER($C1177)),$C1177=0),"",$C1178/$C1177-1)</f>
        <v/>
      </c>
      <c r="I1178" s="52" t="str">
        <f aca="false">IF(AND(ISNUMBER($G1178),$G1178&gt;=MA_SHORT),AVERAGE(INDEX($C$778:$C1178,402-MA_SHORT):$C1178),"")</f>
        <v/>
      </c>
      <c r="J1178" s="52" t="str">
        <f aca="false">IF(AND(ISNUMBER($G1178),$G1178&gt;=MA_MED),AVERAGE(INDEX($C$778:$C1178,402-MA_MED):$C1178),"")</f>
        <v/>
      </c>
      <c r="K1178" s="52" t="str">
        <f aca="false">IF(AND(ISNUMBER($G1178),$G1178&gt;=MA_LONG2),AVERAGE(INDEX($C$778:$C1178,402-MA_LONG2):$C1178),"")</f>
        <v/>
      </c>
      <c r="L1178" s="53" t="str">
        <f aca="false">IF(AND(ISNUMBER($G1178),$G1178&gt;=21),STDEV(INDEX($H$1118:$H1178,62-20):$H1178)*SQRT(245),"")</f>
        <v/>
      </c>
      <c r="M1178" s="52" t="str">
        <f aca="false">IF(AND(ISNUMBER($G1178),$G1178&gt;=60),MAX(INDEX($D$978:$D1178,202-60):$D1178),"")</f>
        <v/>
      </c>
      <c r="N1178" s="52" t="str">
        <f aca="false">IF(AND(ISNUMBER($G1178),$G1178&gt;=60),MIN(INDEX($E$978:$E1178,202-60):$E1178),"")</f>
        <v/>
      </c>
      <c r="O1178" s="53" t="str">
        <f aca="false">IF(OR(NOT(ISNUMBER($C1178)),NOT(ISNUMBER($M1178)),$M1178=0),"",$C1178/$M1178-1)</f>
        <v/>
      </c>
    </row>
    <row r="1179" customFormat="false" ht="15" hidden="false" customHeight="false" outlineLevel="0" collapsed="false">
      <c r="A1179" s="55"/>
      <c r="B1179" s="56"/>
      <c r="C1179" s="57"/>
      <c r="D1179" s="56"/>
      <c r="E1179" s="56"/>
      <c r="F1179" s="56"/>
      <c r="G1179" s="50" t="str">
        <f aca="false">IF($A1179="","",IF(ISNUMBER($G1178),$G1178+1,1))</f>
        <v/>
      </c>
      <c r="H1179" s="51" t="str">
        <f aca="false">IF(OR(NOT(ISNUMBER($G1179)),$G1179&lt;2,NOT(ISNUMBER($C1178)),$C1178=0),"",$C1179/$C1178-1)</f>
        <v/>
      </c>
      <c r="I1179" s="52" t="str">
        <f aca="false">IF(AND(ISNUMBER($G1179),$G1179&gt;=MA_SHORT),AVERAGE(INDEX($C$779:$C1179,402-MA_SHORT):$C1179),"")</f>
        <v/>
      </c>
      <c r="J1179" s="52" t="str">
        <f aca="false">IF(AND(ISNUMBER($G1179),$G1179&gt;=MA_MED),AVERAGE(INDEX($C$779:$C1179,402-MA_MED):$C1179),"")</f>
        <v/>
      </c>
      <c r="K1179" s="52" t="str">
        <f aca="false">IF(AND(ISNUMBER($G1179),$G1179&gt;=MA_LONG2),AVERAGE(INDEX($C$779:$C1179,402-MA_LONG2):$C1179),"")</f>
        <v/>
      </c>
      <c r="L1179" s="53" t="str">
        <f aca="false">IF(AND(ISNUMBER($G1179),$G1179&gt;=21),STDEV(INDEX($H$1119:$H1179,62-20):$H1179)*SQRT(245),"")</f>
        <v/>
      </c>
      <c r="M1179" s="52" t="str">
        <f aca="false">IF(AND(ISNUMBER($G1179),$G1179&gt;=60),MAX(INDEX($D$979:$D1179,202-60):$D1179),"")</f>
        <v/>
      </c>
      <c r="N1179" s="52" t="str">
        <f aca="false">IF(AND(ISNUMBER($G1179),$G1179&gt;=60),MIN(INDEX($E$979:$E1179,202-60):$E1179),"")</f>
        <v/>
      </c>
      <c r="O1179" s="53" t="str">
        <f aca="false">IF(OR(NOT(ISNUMBER($C1179)),NOT(ISNUMBER($M1179)),$M1179=0),"",$C1179/$M1179-1)</f>
        <v/>
      </c>
    </row>
    <row r="1180" customFormat="false" ht="15" hidden="false" customHeight="false" outlineLevel="0" collapsed="false">
      <c r="A1180" s="55"/>
      <c r="B1180" s="56"/>
      <c r="C1180" s="57"/>
      <c r="D1180" s="56"/>
      <c r="E1180" s="56"/>
      <c r="F1180" s="56"/>
      <c r="G1180" s="50" t="str">
        <f aca="false">IF($A1180="","",IF(ISNUMBER($G1179),$G1179+1,1))</f>
        <v/>
      </c>
      <c r="H1180" s="51" t="str">
        <f aca="false">IF(OR(NOT(ISNUMBER($G1180)),$G1180&lt;2,NOT(ISNUMBER($C1179)),$C1179=0),"",$C1180/$C1179-1)</f>
        <v/>
      </c>
      <c r="I1180" s="52" t="str">
        <f aca="false">IF(AND(ISNUMBER($G1180),$G1180&gt;=MA_SHORT),AVERAGE(INDEX($C$780:$C1180,402-MA_SHORT):$C1180),"")</f>
        <v/>
      </c>
      <c r="J1180" s="52" t="str">
        <f aca="false">IF(AND(ISNUMBER($G1180),$G1180&gt;=MA_MED),AVERAGE(INDEX($C$780:$C1180,402-MA_MED):$C1180),"")</f>
        <v/>
      </c>
      <c r="K1180" s="52" t="str">
        <f aca="false">IF(AND(ISNUMBER($G1180),$G1180&gt;=MA_LONG2),AVERAGE(INDEX($C$780:$C1180,402-MA_LONG2):$C1180),"")</f>
        <v/>
      </c>
      <c r="L1180" s="53" t="str">
        <f aca="false">IF(AND(ISNUMBER($G1180),$G1180&gt;=21),STDEV(INDEX($H$1120:$H1180,62-20):$H1180)*SQRT(245),"")</f>
        <v/>
      </c>
      <c r="M1180" s="52" t="str">
        <f aca="false">IF(AND(ISNUMBER($G1180),$G1180&gt;=60),MAX(INDEX($D$980:$D1180,202-60):$D1180),"")</f>
        <v/>
      </c>
      <c r="N1180" s="52" t="str">
        <f aca="false">IF(AND(ISNUMBER($G1180),$G1180&gt;=60),MIN(INDEX($E$980:$E1180,202-60):$E1180),"")</f>
        <v/>
      </c>
      <c r="O1180" s="53" t="str">
        <f aca="false">IF(OR(NOT(ISNUMBER($C1180)),NOT(ISNUMBER($M1180)),$M1180=0),"",$C1180/$M1180-1)</f>
        <v/>
      </c>
    </row>
    <row r="1181" customFormat="false" ht="15" hidden="false" customHeight="false" outlineLevel="0" collapsed="false">
      <c r="A1181" s="55"/>
      <c r="B1181" s="56"/>
      <c r="C1181" s="57"/>
      <c r="D1181" s="56"/>
      <c r="E1181" s="56"/>
      <c r="F1181" s="56"/>
      <c r="G1181" s="50" t="str">
        <f aca="false">IF($A1181="","",IF(ISNUMBER($G1180),$G1180+1,1))</f>
        <v/>
      </c>
      <c r="H1181" s="51" t="str">
        <f aca="false">IF(OR(NOT(ISNUMBER($G1181)),$G1181&lt;2,NOT(ISNUMBER($C1180)),$C1180=0),"",$C1181/$C1180-1)</f>
        <v/>
      </c>
      <c r="I1181" s="52" t="str">
        <f aca="false">IF(AND(ISNUMBER($G1181),$G1181&gt;=MA_SHORT),AVERAGE(INDEX($C$781:$C1181,402-MA_SHORT):$C1181),"")</f>
        <v/>
      </c>
      <c r="J1181" s="52" t="str">
        <f aca="false">IF(AND(ISNUMBER($G1181),$G1181&gt;=MA_MED),AVERAGE(INDEX($C$781:$C1181,402-MA_MED):$C1181),"")</f>
        <v/>
      </c>
      <c r="K1181" s="52" t="str">
        <f aca="false">IF(AND(ISNUMBER($G1181),$G1181&gt;=MA_LONG2),AVERAGE(INDEX($C$781:$C1181,402-MA_LONG2):$C1181),"")</f>
        <v/>
      </c>
      <c r="L1181" s="53" t="str">
        <f aca="false">IF(AND(ISNUMBER($G1181),$G1181&gt;=21),STDEV(INDEX($H$1121:$H1181,62-20):$H1181)*SQRT(245),"")</f>
        <v/>
      </c>
      <c r="M1181" s="52" t="str">
        <f aca="false">IF(AND(ISNUMBER($G1181),$G1181&gt;=60),MAX(INDEX($D$981:$D1181,202-60):$D1181),"")</f>
        <v/>
      </c>
      <c r="N1181" s="52" t="str">
        <f aca="false">IF(AND(ISNUMBER($G1181),$G1181&gt;=60),MIN(INDEX($E$981:$E1181,202-60):$E1181),"")</f>
        <v/>
      </c>
      <c r="O1181" s="53" t="str">
        <f aca="false">IF(OR(NOT(ISNUMBER($C1181)),NOT(ISNUMBER($M1181)),$M1181=0),"",$C1181/$M1181-1)</f>
        <v/>
      </c>
    </row>
    <row r="1182" customFormat="false" ht="15" hidden="false" customHeight="false" outlineLevel="0" collapsed="false">
      <c r="A1182" s="55"/>
      <c r="B1182" s="56"/>
      <c r="C1182" s="57"/>
      <c r="D1182" s="56"/>
      <c r="E1182" s="56"/>
      <c r="F1182" s="56"/>
      <c r="G1182" s="50" t="str">
        <f aca="false">IF($A1182="","",IF(ISNUMBER($G1181),$G1181+1,1))</f>
        <v/>
      </c>
      <c r="H1182" s="51" t="str">
        <f aca="false">IF(OR(NOT(ISNUMBER($G1182)),$G1182&lt;2,NOT(ISNUMBER($C1181)),$C1181=0),"",$C1182/$C1181-1)</f>
        <v/>
      </c>
      <c r="I1182" s="52" t="str">
        <f aca="false">IF(AND(ISNUMBER($G1182),$G1182&gt;=MA_SHORT),AVERAGE(INDEX($C$782:$C1182,402-MA_SHORT):$C1182),"")</f>
        <v/>
      </c>
      <c r="J1182" s="52" t="str">
        <f aca="false">IF(AND(ISNUMBER($G1182),$G1182&gt;=MA_MED),AVERAGE(INDEX($C$782:$C1182,402-MA_MED):$C1182),"")</f>
        <v/>
      </c>
      <c r="K1182" s="52" t="str">
        <f aca="false">IF(AND(ISNUMBER($G1182),$G1182&gt;=MA_LONG2),AVERAGE(INDEX($C$782:$C1182,402-MA_LONG2):$C1182),"")</f>
        <v/>
      </c>
      <c r="L1182" s="53" t="str">
        <f aca="false">IF(AND(ISNUMBER($G1182),$G1182&gt;=21),STDEV(INDEX($H$1122:$H1182,62-20):$H1182)*SQRT(245),"")</f>
        <v/>
      </c>
      <c r="M1182" s="52" t="str">
        <f aca="false">IF(AND(ISNUMBER($G1182),$G1182&gt;=60),MAX(INDEX($D$982:$D1182,202-60):$D1182),"")</f>
        <v/>
      </c>
      <c r="N1182" s="52" t="str">
        <f aca="false">IF(AND(ISNUMBER($G1182),$G1182&gt;=60),MIN(INDEX($E$982:$E1182,202-60):$E1182),"")</f>
        <v/>
      </c>
      <c r="O1182" s="53" t="str">
        <f aca="false">IF(OR(NOT(ISNUMBER($C1182)),NOT(ISNUMBER($M1182)),$M1182=0),"",$C1182/$M1182-1)</f>
        <v/>
      </c>
    </row>
    <row r="1183" customFormat="false" ht="15" hidden="false" customHeight="false" outlineLevel="0" collapsed="false">
      <c r="A1183" s="55"/>
      <c r="B1183" s="56"/>
      <c r="C1183" s="57"/>
      <c r="D1183" s="56"/>
      <c r="E1183" s="56"/>
      <c r="F1183" s="56"/>
      <c r="G1183" s="50" t="str">
        <f aca="false">IF($A1183="","",IF(ISNUMBER($G1182),$G1182+1,1))</f>
        <v/>
      </c>
      <c r="H1183" s="51" t="str">
        <f aca="false">IF(OR(NOT(ISNUMBER($G1183)),$G1183&lt;2,NOT(ISNUMBER($C1182)),$C1182=0),"",$C1183/$C1182-1)</f>
        <v/>
      </c>
      <c r="I1183" s="52" t="str">
        <f aca="false">IF(AND(ISNUMBER($G1183),$G1183&gt;=MA_SHORT),AVERAGE(INDEX($C$783:$C1183,402-MA_SHORT):$C1183),"")</f>
        <v/>
      </c>
      <c r="J1183" s="52" t="str">
        <f aca="false">IF(AND(ISNUMBER($G1183),$G1183&gt;=MA_MED),AVERAGE(INDEX($C$783:$C1183,402-MA_MED):$C1183),"")</f>
        <v/>
      </c>
      <c r="K1183" s="52" t="str">
        <f aca="false">IF(AND(ISNUMBER($G1183),$G1183&gt;=MA_LONG2),AVERAGE(INDEX($C$783:$C1183,402-MA_LONG2):$C1183),"")</f>
        <v/>
      </c>
      <c r="L1183" s="53" t="str">
        <f aca="false">IF(AND(ISNUMBER($G1183),$G1183&gt;=21),STDEV(INDEX($H$1123:$H1183,62-20):$H1183)*SQRT(245),"")</f>
        <v/>
      </c>
      <c r="M1183" s="52" t="str">
        <f aca="false">IF(AND(ISNUMBER($G1183),$G1183&gt;=60),MAX(INDEX($D$983:$D1183,202-60):$D1183),"")</f>
        <v/>
      </c>
      <c r="N1183" s="52" t="str">
        <f aca="false">IF(AND(ISNUMBER($G1183),$G1183&gt;=60),MIN(INDEX($E$983:$E1183,202-60):$E1183),"")</f>
        <v/>
      </c>
      <c r="O1183" s="53" t="str">
        <f aca="false">IF(OR(NOT(ISNUMBER($C1183)),NOT(ISNUMBER($M1183)),$M1183=0),"",$C1183/$M1183-1)</f>
        <v/>
      </c>
    </row>
    <row r="1184" customFormat="false" ht="15" hidden="false" customHeight="false" outlineLevel="0" collapsed="false">
      <c r="A1184" s="55"/>
      <c r="B1184" s="56"/>
      <c r="C1184" s="57"/>
      <c r="D1184" s="56"/>
      <c r="E1184" s="56"/>
      <c r="F1184" s="56"/>
      <c r="G1184" s="50" t="str">
        <f aca="false">IF($A1184="","",IF(ISNUMBER($G1183),$G1183+1,1))</f>
        <v/>
      </c>
      <c r="H1184" s="51" t="str">
        <f aca="false">IF(OR(NOT(ISNUMBER($G1184)),$G1184&lt;2,NOT(ISNUMBER($C1183)),$C1183=0),"",$C1184/$C1183-1)</f>
        <v/>
      </c>
      <c r="I1184" s="52" t="str">
        <f aca="false">IF(AND(ISNUMBER($G1184),$G1184&gt;=MA_SHORT),AVERAGE(INDEX($C$784:$C1184,402-MA_SHORT):$C1184),"")</f>
        <v/>
      </c>
      <c r="J1184" s="52" t="str">
        <f aca="false">IF(AND(ISNUMBER($G1184),$G1184&gt;=MA_MED),AVERAGE(INDEX($C$784:$C1184,402-MA_MED):$C1184),"")</f>
        <v/>
      </c>
      <c r="K1184" s="52" t="str">
        <f aca="false">IF(AND(ISNUMBER($G1184),$G1184&gt;=MA_LONG2),AVERAGE(INDEX($C$784:$C1184,402-MA_LONG2):$C1184),"")</f>
        <v/>
      </c>
      <c r="L1184" s="53" t="str">
        <f aca="false">IF(AND(ISNUMBER($G1184),$G1184&gt;=21),STDEV(INDEX($H$1124:$H1184,62-20):$H1184)*SQRT(245),"")</f>
        <v/>
      </c>
      <c r="M1184" s="52" t="str">
        <f aca="false">IF(AND(ISNUMBER($G1184),$G1184&gt;=60),MAX(INDEX($D$984:$D1184,202-60):$D1184),"")</f>
        <v/>
      </c>
      <c r="N1184" s="52" t="str">
        <f aca="false">IF(AND(ISNUMBER($G1184),$G1184&gt;=60),MIN(INDEX($E$984:$E1184,202-60):$E1184),"")</f>
        <v/>
      </c>
      <c r="O1184" s="53" t="str">
        <f aca="false">IF(OR(NOT(ISNUMBER($C1184)),NOT(ISNUMBER($M1184)),$M1184=0),"",$C1184/$M1184-1)</f>
        <v/>
      </c>
    </row>
    <row r="1185" customFormat="false" ht="15" hidden="false" customHeight="false" outlineLevel="0" collapsed="false">
      <c r="A1185" s="55"/>
      <c r="B1185" s="56"/>
      <c r="C1185" s="57"/>
      <c r="D1185" s="56"/>
      <c r="E1185" s="56"/>
      <c r="F1185" s="56"/>
      <c r="G1185" s="50" t="str">
        <f aca="false">IF($A1185="","",IF(ISNUMBER($G1184),$G1184+1,1))</f>
        <v/>
      </c>
      <c r="H1185" s="51" t="str">
        <f aca="false">IF(OR(NOT(ISNUMBER($G1185)),$G1185&lt;2,NOT(ISNUMBER($C1184)),$C1184=0),"",$C1185/$C1184-1)</f>
        <v/>
      </c>
      <c r="I1185" s="52" t="str">
        <f aca="false">IF(AND(ISNUMBER($G1185),$G1185&gt;=MA_SHORT),AVERAGE(INDEX($C$785:$C1185,402-MA_SHORT):$C1185),"")</f>
        <v/>
      </c>
      <c r="J1185" s="52" t="str">
        <f aca="false">IF(AND(ISNUMBER($G1185),$G1185&gt;=MA_MED),AVERAGE(INDEX($C$785:$C1185,402-MA_MED):$C1185),"")</f>
        <v/>
      </c>
      <c r="K1185" s="52" t="str">
        <f aca="false">IF(AND(ISNUMBER($G1185),$G1185&gt;=MA_LONG2),AVERAGE(INDEX($C$785:$C1185,402-MA_LONG2):$C1185),"")</f>
        <v/>
      </c>
      <c r="L1185" s="53" t="str">
        <f aca="false">IF(AND(ISNUMBER($G1185),$G1185&gt;=21),STDEV(INDEX($H$1125:$H1185,62-20):$H1185)*SQRT(245),"")</f>
        <v/>
      </c>
      <c r="M1185" s="52" t="str">
        <f aca="false">IF(AND(ISNUMBER($G1185),$G1185&gt;=60),MAX(INDEX($D$985:$D1185,202-60):$D1185),"")</f>
        <v/>
      </c>
      <c r="N1185" s="52" t="str">
        <f aca="false">IF(AND(ISNUMBER($G1185),$G1185&gt;=60),MIN(INDEX($E$985:$E1185,202-60):$E1185),"")</f>
        <v/>
      </c>
      <c r="O1185" s="53" t="str">
        <f aca="false">IF(OR(NOT(ISNUMBER($C1185)),NOT(ISNUMBER($M1185)),$M1185=0),"",$C1185/$M1185-1)</f>
        <v/>
      </c>
    </row>
    <row r="1186" customFormat="false" ht="15" hidden="false" customHeight="false" outlineLevel="0" collapsed="false">
      <c r="A1186" s="55"/>
      <c r="B1186" s="56"/>
      <c r="C1186" s="57"/>
      <c r="D1186" s="56"/>
      <c r="E1186" s="56"/>
      <c r="F1186" s="56"/>
      <c r="G1186" s="50" t="str">
        <f aca="false">IF($A1186="","",IF(ISNUMBER($G1185),$G1185+1,1))</f>
        <v/>
      </c>
      <c r="H1186" s="51" t="str">
        <f aca="false">IF(OR(NOT(ISNUMBER($G1186)),$G1186&lt;2,NOT(ISNUMBER($C1185)),$C1185=0),"",$C1186/$C1185-1)</f>
        <v/>
      </c>
      <c r="I1186" s="52" t="str">
        <f aca="false">IF(AND(ISNUMBER($G1186),$G1186&gt;=MA_SHORT),AVERAGE(INDEX($C$786:$C1186,402-MA_SHORT):$C1186),"")</f>
        <v/>
      </c>
      <c r="J1186" s="52" t="str">
        <f aca="false">IF(AND(ISNUMBER($G1186),$G1186&gt;=MA_MED),AVERAGE(INDEX($C$786:$C1186,402-MA_MED):$C1186),"")</f>
        <v/>
      </c>
      <c r="K1186" s="52" t="str">
        <f aca="false">IF(AND(ISNUMBER($G1186),$G1186&gt;=MA_LONG2),AVERAGE(INDEX($C$786:$C1186,402-MA_LONG2):$C1186),"")</f>
        <v/>
      </c>
      <c r="L1186" s="53" t="str">
        <f aca="false">IF(AND(ISNUMBER($G1186),$G1186&gt;=21),STDEV(INDEX($H$1126:$H1186,62-20):$H1186)*SQRT(245),"")</f>
        <v/>
      </c>
      <c r="M1186" s="52" t="str">
        <f aca="false">IF(AND(ISNUMBER($G1186),$G1186&gt;=60),MAX(INDEX($D$986:$D1186,202-60):$D1186),"")</f>
        <v/>
      </c>
      <c r="N1186" s="52" t="str">
        <f aca="false">IF(AND(ISNUMBER($G1186),$G1186&gt;=60),MIN(INDEX($E$986:$E1186,202-60):$E1186),"")</f>
        <v/>
      </c>
      <c r="O1186" s="53" t="str">
        <f aca="false">IF(OR(NOT(ISNUMBER($C1186)),NOT(ISNUMBER($M1186)),$M1186=0),"",$C1186/$M1186-1)</f>
        <v/>
      </c>
    </row>
    <row r="1187" customFormat="false" ht="15" hidden="false" customHeight="false" outlineLevel="0" collapsed="false">
      <c r="A1187" s="55"/>
      <c r="B1187" s="56"/>
      <c r="C1187" s="57"/>
      <c r="D1187" s="56"/>
      <c r="E1187" s="56"/>
      <c r="F1187" s="56"/>
      <c r="G1187" s="50" t="str">
        <f aca="false">IF($A1187="","",IF(ISNUMBER($G1186),$G1186+1,1))</f>
        <v/>
      </c>
      <c r="H1187" s="51" t="str">
        <f aca="false">IF(OR(NOT(ISNUMBER($G1187)),$G1187&lt;2,NOT(ISNUMBER($C1186)),$C1186=0),"",$C1187/$C1186-1)</f>
        <v/>
      </c>
      <c r="I1187" s="52" t="str">
        <f aca="false">IF(AND(ISNUMBER($G1187),$G1187&gt;=MA_SHORT),AVERAGE(INDEX($C$787:$C1187,402-MA_SHORT):$C1187),"")</f>
        <v/>
      </c>
      <c r="J1187" s="52" t="str">
        <f aca="false">IF(AND(ISNUMBER($G1187),$G1187&gt;=MA_MED),AVERAGE(INDEX($C$787:$C1187,402-MA_MED):$C1187),"")</f>
        <v/>
      </c>
      <c r="K1187" s="52" t="str">
        <f aca="false">IF(AND(ISNUMBER($G1187),$G1187&gt;=MA_LONG2),AVERAGE(INDEX($C$787:$C1187,402-MA_LONG2):$C1187),"")</f>
        <v/>
      </c>
      <c r="L1187" s="53" t="str">
        <f aca="false">IF(AND(ISNUMBER($G1187),$G1187&gt;=21),STDEV(INDEX($H$1127:$H1187,62-20):$H1187)*SQRT(245),"")</f>
        <v/>
      </c>
      <c r="M1187" s="52" t="str">
        <f aca="false">IF(AND(ISNUMBER($G1187),$G1187&gt;=60),MAX(INDEX($D$987:$D1187,202-60):$D1187),"")</f>
        <v/>
      </c>
      <c r="N1187" s="52" t="str">
        <f aca="false">IF(AND(ISNUMBER($G1187),$G1187&gt;=60),MIN(INDEX($E$987:$E1187,202-60):$E1187),"")</f>
        <v/>
      </c>
      <c r="O1187" s="53" t="str">
        <f aca="false">IF(OR(NOT(ISNUMBER($C1187)),NOT(ISNUMBER($M1187)),$M1187=0),"",$C1187/$M1187-1)</f>
        <v/>
      </c>
    </row>
    <row r="1188" customFormat="false" ht="15" hidden="false" customHeight="false" outlineLevel="0" collapsed="false">
      <c r="A1188" s="55"/>
      <c r="B1188" s="56"/>
      <c r="C1188" s="57"/>
      <c r="D1188" s="56"/>
      <c r="E1188" s="56"/>
      <c r="F1188" s="56"/>
      <c r="G1188" s="50" t="str">
        <f aca="false">IF($A1188="","",IF(ISNUMBER($G1187),$G1187+1,1))</f>
        <v/>
      </c>
      <c r="H1188" s="51" t="str">
        <f aca="false">IF(OR(NOT(ISNUMBER($G1188)),$G1188&lt;2,NOT(ISNUMBER($C1187)),$C1187=0),"",$C1188/$C1187-1)</f>
        <v/>
      </c>
      <c r="I1188" s="52" t="str">
        <f aca="false">IF(AND(ISNUMBER($G1188),$G1188&gt;=MA_SHORT),AVERAGE(INDEX($C$788:$C1188,402-MA_SHORT):$C1188),"")</f>
        <v/>
      </c>
      <c r="J1188" s="52" t="str">
        <f aca="false">IF(AND(ISNUMBER($G1188),$G1188&gt;=MA_MED),AVERAGE(INDEX($C$788:$C1188,402-MA_MED):$C1188),"")</f>
        <v/>
      </c>
      <c r="K1188" s="52" t="str">
        <f aca="false">IF(AND(ISNUMBER($G1188),$G1188&gt;=MA_LONG2),AVERAGE(INDEX($C$788:$C1188,402-MA_LONG2):$C1188),"")</f>
        <v/>
      </c>
      <c r="L1188" s="53" t="str">
        <f aca="false">IF(AND(ISNUMBER($G1188),$G1188&gt;=21),STDEV(INDEX($H$1128:$H1188,62-20):$H1188)*SQRT(245),"")</f>
        <v/>
      </c>
      <c r="M1188" s="52" t="str">
        <f aca="false">IF(AND(ISNUMBER($G1188),$G1188&gt;=60),MAX(INDEX($D$988:$D1188,202-60):$D1188),"")</f>
        <v/>
      </c>
      <c r="N1188" s="52" t="str">
        <f aca="false">IF(AND(ISNUMBER($G1188),$G1188&gt;=60),MIN(INDEX($E$988:$E1188,202-60):$E1188),"")</f>
        <v/>
      </c>
      <c r="O1188" s="53" t="str">
        <f aca="false">IF(OR(NOT(ISNUMBER($C1188)),NOT(ISNUMBER($M1188)),$M1188=0),"",$C1188/$M1188-1)</f>
        <v/>
      </c>
    </row>
    <row r="1189" customFormat="false" ht="15" hidden="false" customHeight="false" outlineLevel="0" collapsed="false">
      <c r="A1189" s="55"/>
      <c r="B1189" s="56"/>
      <c r="C1189" s="57"/>
      <c r="D1189" s="56"/>
      <c r="E1189" s="56"/>
      <c r="F1189" s="56"/>
      <c r="G1189" s="50" t="str">
        <f aca="false">IF($A1189="","",IF(ISNUMBER($G1188),$G1188+1,1))</f>
        <v/>
      </c>
      <c r="H1189" s="51" t="str">
        <f aca="false">IF(OR(NOT(ISNUMBER($G1189)),$G1189&lt;2,NOT(ISNUMBER($C1188)),$C1188=0),"",$C1189/$C1188-1)</f>
        <v/>
      </c>
      <c r="I1189" s="52" t="str">
        <f aca="false">IF(AND(ISNUMBER($G1189),$G1189&gt;=MA_SHORT),AVERAGE(INDEX($C$789:$C1189,402-MA_SHORT):$C1189),"")</f>
        <v/>
      </c>
      <c r="J1189" s="52" t="str">
        <f aca="false">IF(AND(ISNUMBER($G1189),$G1189&gt;=MA_MED),AVERAGE(INDEX($C$789:$C1189,402-MA_MED):$C1189),"")</f>
        <v/>
      </c>
      <c r="K1189" s="52" t="str">
        <f aca="false">IF(AND(ISNUMBER($G1189),$G1189&gt;=MA_LONG2),AVERAGE(INDEX($C$789:$C1189,402-MA_LONG2):$C1189),"")</f>
        <v/>
      </c>
      <c r="L1189" s="53" t="str">
        <f aca="false">IF(AND(ISNUMBER($G1189),$G1189&gt;=21),STDEV(INDEX($H$1129:$H1189,62-20):$H1189)*SQRT(245),"")</f>
        <v/>
      </c>
      <c r="M1189" s="52" t="str">
        <f aca="false">IF(AND(ISNUMBER($G1189),$G1189&gt;=60),MAX(INDEX($D$989:$D1189,202-60):$D1189),"")</f>
        <v/>
      </c>
      <c r="N1189" s="52" t="str">
        <f aca="false">IF(AND(ISNUMBER($G1189),$G1189&gt;=60),MIN(INDEX($E$989:$E1189,202-60):$E1189),"")</f>
        <v/>
      </c>
      <c r="O1189" s="53" t="str">
        <f aca="false">IF(OR(NOT(ISNUMBER($C1189)),NOT(ISNUMBER($M1189)),$M1189=0),"",$C1189/$M1189-1)</f>
        <v/>
      </c>
    </row>
    <row r="1190" customFormat="false" ht="15" hidden="false" customHeight="false" outlineLevel="0" collapsed="false">
      <c r="A1190" s="55"/>
      <c r="B1190" s="56"/>
      <c r="C1190" s="57"/>
      <c r="D1190" s="56"/>
      <c r="E1190" s="56"/>
      <c r="F1190" s="56"/>
      <c r="G1190" s="50" t="str">
        <f aca="false">IF($A1190="","",IF(ISNUMBER($G1189),$G1189+1,1))</f>
        <v/>
      </c>
      <c r="H1190" s="51" t="str">
        <f aca="false">IF(OR(NOT(ISNUMBER($G1190)),$G1190&lt;2,NOT(ISNUMBER($C1189)),$C1189=0),"",$C1190/$C1189-1)</f>
        <v/>
      </c>
      <c r="I1190" s="52" t="str">
        <f aca="false">IF(AND(ISNUMBER($G1190),$G1190&gt;=MA_SHORT),AVERAGE(INDEX($C$790:$C1190,402-MA_SHORT):$C1190),"")</f>
        <v/>
      </c>
      <c r="J1190" s="52" t="str">
        <f aca="false">IF(AND(ISNUMBER($G1190),$G1190&gt;=MA_MED),AVERAGE(INDEX($C$790:$C1190,402-MA_MED):$C1190),"")</f>
        <v/>
      </c>
      <c r="K1190" s="52" t="str">
        <f aca="false">IF(AND(ISNUMBER($G1190),$G1190&gt;=MA_LONG2),AVERAGE(INDEX($C$790:$C1190,402-MA_LONG2):$C1190),"")</f>
        <v/>
      </c>
      <c r="L1190" s="53" t="str">
        <f aca="false">IF(AND(ISNUMBER($G1190),$G1190&gt;=21),STDEV(INDEX($H$1130:$H1190,62-20):$H1190)*SQRT(245),"")</f>
        <v/>
      </c>
      <c r="M1190" s="52" t="str">
        <f aca="false">IF(AND(ISNUMBER($G1190),$G1190&gt;=60),MAX(INDEX($D$990:$D1190,202-60):$D1190),"")</f>
        <v/>
      </c>
      <c r="N1190" s="52" t="str">
        <f aca="false">IF(AND(ISNUMBER($G1190),$G1190&gt;=60),MIN(INDEX($E$990:$E1190,202-60):$E1190),"")</f>
        <v/>
      </c>
      <c r="O1190" s="53" t="str">
        <f aca="false">IF(OR(NOT(ISNUMBER($C1190)),NOT(ISNUMBER($M1190)),$M1190=0),"",$C1190/$M1190-1)</f>
        <v/>
      </c>
    </row>
    <row r="1191" customFormat="false" ht="15" hidden="false" customHeight="false" outlineLevel="0" collapsed="false">
      <c r="A1191" s="55"/>
      <c r="B1191" s="56"/>
      <c r="C1191" s="57"/>
      <c r="D1191" s="56"/>
      <c r="E1191" s="56"/>
      <c r="F1191" s="56"/>
      <c r="G1191" s="50" t="str">
        <f aca="false">IF($A1191="","",IF(ISNUMBER($G1190),$G1190+1,1))</f>
        <v/>
      </c>
      <c r="H1191" s="51" t="str">
        <f aca="false">IF(OR(NOT(ISNUMBER($G1191)),$G1191&lt;2,NOT(ISNUMBER($C1190)),$C1190=0),"",$C1191/$C1190-1)</f>
        <v/>
      </c>
      <c r="I1191" s="52" t="str">
        <f aca="false">IF(AND(ISNUMBER($G1191),$G1191&gt;=MA_SHORT),AVERAGE(INDEX($C$791:$C1191,402-MA_SHORT):$C1191),"")</f>
        <v/>
      </c>
      <c r="J1191" s="52" t="str">
        <f aca="false">IF(AND(ISNUMBER($G1191),$G1191&gt;=MA_MED),AVERAGE(INDEX($C$791:$C1191,402-MA_MED):$C1191),"")</f>
        <v/>
      </c>
      <c r="K1191" s="52" t="str">
        <f aca="false">IF(AND(ISNUMBER($G1191),$G1191&gt;=MA_LONG2),AVERAGE(INDEX($C$791:$C1191,402-MA_LONG2):$C1191),"")</f>
        <v/>
      </c>
      <c r="L1191" s="53" t="str">
        <f aca="false">IF(AND(ISNUMBER($G1191),$G1191&gt;=21),STDEV(INDEX($H$1131:$H1191,62-20):$H1191)*SQRT(245),"")</f>
        <v/>
      </c>
      <c r="M1191" s="52" t="str">
        <f aca="false">IF(AND(ISNUMBER($G1191),$G1191&gt;=60),MAX(INDEX($D$991:$D1191,202-60):$D1191),"")</f>
        <v/>
      </c>
      <c r="N1191" s="52" t="str">
        <f aca="false">IF(AND(ISNUMBER($G1191),$G1191&gt;=60),MIN(INDEX($E$991:$E1191,202-60):$E1191),"")</f>
        <v/>
      </c>
      <c r="O1191" s="53" t="str">
        <f aca="false">IF(OR(NOT(ISNUMBER($C1191)),NOT(ISNUMBER($M1191)),$M1191=0),"",$C1191/$M1191-1)</f>
        <v/>
      </c>
    </row>
    <row r="1192" customFormat="false" ht="15" hidden="false" customHeight="false" outlineLevel="0" collapsed="false">
      <c r="A1192" s="55"/>
      <c r="B1192" s="56"/>
      <c r="C1192" s="57"/>
      <c r="D1192" s="56"/>
      <c r="E1192" s="56"/>
      <c r="F1192" s="56"/>
      <c r="G1192" s="50" t="str">
        <f aca="false">IF($A1192="","",IF(ISNUMBER($G1191),$G1191+1,1))</f>
        <v/>
      </c>
      <c r="H1192" s="51" t="str">
        <f aca="false">IF(OR(NOT(ISNUMBER($G1192)),$G1192&lt;2,NOT(ISNUMBER($C1191)),$C1191=0),"",$C1192/$C1191-1)</f>
        <v/>
      </c>
      <c r="I1192" s="52" t="str">
        <f aca="false">IF(AND(ISNUMBER($G1192),$G1192&gt;=MA_SHORT),AVERAGE(INDEX($C$792:$C1192,402-MA_SHORT):$C1192),"")</f>
        <v/>
      </c>
      <c r="J1192" s="52" t="str">
        <f aca="false">IF(AND(ISNUMBER($G1192),$G1192&gt;=MA_MED),AVERAGE(INDEX($C$792:$C1192,402-MA_MED):$C1192),"")</f>
        <v/>
      </c>
      <c r="K1192" s="52" t="str">
        <f aca="false">IF(AND(ISNUMBER($G1192),$G1192&gt;=MA_LONG2),AVERAGE(INDEX($C$792:$C1192,402-MA_LONG2):$C1192),"")</f>
        <v/>
      </c>
      <c r="L1192" s="53" t="str">
        <f aca="false">IF(AND(ISNUMBER($G1192),$G1192&gt;=21),STDEV(INDEX($H$1132:$H1192,62-20):$H1192)*SQRT(245),"")</f>
        <v/>
      </c>
      <c r="M1192" s="52" t="str">
        <f aca="false">IF(AND(ISNUMBER($G1192),$G1192&gt;=60),MAX(INDEX($D$992:$D1192,202-60):$D1192),"")</f>
        <v/>
      </c>
      <c r="N1192" s="52" t="str">
        <f aca="false">IF(AND(ISNUMBER($G1192),$G1192&gt;=60),MIN(INDEX($E$992:$E1192,202-60):$E1192),"")</f>
        <v/>
      </c>
      <c r="O1192" s="53" t="str">
        <f aca="false">IF(OR(NOT(ISNUMBER($C1192)),NOT(ISNUMBER($M1192)),$M1192=0),"",$C1192/$M1192-1)</f>
        <v/>
      </c>
    </row>
    <row r="1193" customFormat="false" ht="15" hidden="false" customHeight="false" outlineLevel="0" collapsed="false">
      <c r="A1193" s="55"/>
      <c r="B1193" s="56"/>
      <c r="C1193" s="57"/>
      <c r="D1193" s="56"/>
      <c r="E1193" s="56"/>
      <c r="F1193" s="56"/>
      <c r="G1193" s="50" t="str">
        <f aca="false">IF($A1193="","",IF(ISNUMBER($G1192),$G1192+1,1))</f>
        <v/>
      </c>
      <c r="H1193" s="51" t="str">
        <f aca="false">IF(OR(NOT(ISNUMBER($G1193)),$G1193&lt;2,NOT(ISNUMBER($C1192)),$C1192=0),"",$C1193/$C1192-1)</f>
        <v/>
      </c>
      <c r="I1193" s="52" t="str">
        <f aca="false">IF(AND(ISNUMBER($G1193),$G1193&gt;=MA_SHORT),AVERAGE(INDEX($C$793:$C1193,402-MA_SHORT):$C1193),"")</f>
        <v/>
      </c>
      <c r="J1193" s="52" t="str">
        <f aca="false">IF(AND(ISNUMBER($G1193),$G1193&gt;=MA_MED),AVERAGE(INDEX($C$793:$C1193,402-MA_MED):$C1193),"")</f>
        <v/>
      </c>
      <c r="K1193" s="52" t="str">
        <f aca="false">IF(AND(ISNUMBER($G1193),$G1193&gt;=MA_LONG2),AVERAGE(INDEX($C$793:$C1193,402-MA_LONG2):$C1193),"")</f>
        <v/>
      </c>
      <c r="L1193" s="53" t="str">
        <f aca="false">IF(AND(ISNUMBER($G1193),$G1193&gt;=21),STDEV(INDEX($H$1133:$H1193,62-20):$H1193)*SQRT(245),"")</f>
        <v/>
      </c>
      <c r="M1193" s="52" t="str">
        <f aca="false">IF(AND(ISNUMBER($G1193),$G1193&gt;=60),MAX(INDEX($D$993:$D1193,202-60):$D1193),"")</f>
        <v/>
      </c>
      <c r="N1193" s="52" t="str">
        <f aca="false">IF(AND(ISNUMBER($G1193),$G1193&gt;=60),MIN(INDEX($E$993:$E1193,202-60):$E1193),"")</f>
        <v/>
      </c>
      <c r="O1193" s="53" t="str">
        <f aca="false">IF(OR(NOT(ISNUMBER($C1193)),NOT(ISNUMBER($M1193)),$M1193=0),"",$C1193/$M1193-1)</f>
        <v/>
      </c>
    </row>
    <row r="1194" customFormat="false" ht="15" hidden="false" customHeight="false" outlineLevel="0" collapsed="false">
      <c r="A1194" s="55"/>
      <c r="B1194" s="56"/>
      <c r="C1194" s="57"/>
      <c r="D1194" s="56"/>
      <c r="E1194" s="56"/>
      <c r="F1194" s="56"/>
      <c r="G1194" s="50" t="str">
        <f aca="false">IF($A1194="","",IF(ISNUMBER($G1193),$G1193+1,1))</f>
        <v/>
      </c>
      <c r="H1194" s="51" t="str">
        <f aca="false">IF(OR(NOT(ISNUMBER($G1194)),$G1194&lt;2,NOT(ISNUMBER($C1193)),$C1193=0),"",$C1194/$C1193-1)</f>
        <v/>
      </c>
      <c r="I1194" s="52" t="str">
        <f aca="false">IF(AND(ISNUMBER($G1194),$G1194&gt;=MA_SHORT),AVERAGE(INDEX($C$794:$C1194,402-MA_SHORT):$C1194),"")</f>
        <v/>
      </c>
      <c r="J1194" s="52" t="str">
        <f aca="false">IF(AND(ISNUMBER($G1194),$G1194&gt;=MA_MED),AVERAGE(INDEX($C$794:$C1194,402-MA_MED):$C1194),"")</f>
        <v/>
      </c>
      <c r="K1194" s="52" t="str">
        <f aca="false">IF(AND(ISNUMBER($G1194),$G1194&gt;=MA_LONG2),AVERAGE(INDEX($C$794:$C1194,402-MA_LONG2):$C1194),"")</f>
        <v/>
      </c>
      <c r="L1194" s="53" t="str">
        <f aca="false">IF(AND(ISNUMBER($G1194),$G1194&gt;=21),STDEV(INDEX($H$1134:$H1194,62-20):$H1194)*SQRT(245),"")</f>
        <v/>
      </c>
      <c r="M1194" s="52" t="str">
        <f aca="false">IF(AND(ISNUMBER($G1194),$G1194&gt;=60),MAX(INDEX($D$994:$D1194,202-60):$D1194),"")</f>
        <v/>
      </c>
      <c r="N1194" s="52" t="str">
        <f aca="false">IF(AND(ISNUMBER($G1194),$G1194&gt;=60),MIN(INDEX($E$994:$E1194,202-60):$E1194),"")</f>
        <v/>
      </c>
      <c r="O1194" s="53" t="str">
        <f aca="false">IF(OR(NOT(ISNUMBER($C1194)),NOT(ISNUMBER($M1194)),$M1194=0),"",$C1194/$M1194-1)</f>
        <v/>
      </c>
    </row>
    <row r="1195" customFormat="false" ht="15" hidden="false" customHeight="false" outlineLevel="0" collapsed="false">
      <c r="A1195" s="55"/>
      <c r="B1195" s="56"/>
      <c r="C1195" s="57"/>
      <c r="D1195" s="56"/>
      <c r="E1195" s="56"/>
      <c r="F1195" s="56"/>
      <c r="G1195" s="50" t="str">
        <f aca="false">IF($A1195="","",IF(ISNUMBER($G1194),$G1194+1,1))</f>
        <v/>
      </c>
      <c r="H1195" s="51" t="str">
        <f aca="false">IF(OR(NOT(ISNUMBER($G1195)),$G1195&lt;2,NOT(ISNUMBER($C1194)),$C1194=0),"",$C1195/$C1194-1)</f>
        <v/>
      </c>
      <c r="I1195" s="52" t="str">
        <f aca="false">IF(AND(ISNUMBER($G1195),$G1195&gt;=MA_SHORT),AVERAGE(INDEX($C$795:$C1195,402-MA_SHORT):$C1195),"")</f>
        <v/>
      </c>
      <c r="J1195" s="52" t="str">
        <f aca="false">IF(AND(ISNUMBER($G1195),$G1195&gt;=MA_MED),AVERAGE(INDEX($C$795:$C1195,402-MA_MED):$C1195),"")</f>
        <v/>
      </c>
      <c r="K1195" s="52" t="str">
        <f aca="false">IF(AND(ISNUMBER($G1195),$G1195&gt;=MA_LONG2),AVERAGE(INDEX($C$795:$C1195,402-MA_LONG2):$C1195),"")</f>
        <v/>
      </c>
      <c r="L1195" s="53" t="str">
        <f aca="false">IF(AND(ISNUMBER($G1195),$G1195&gt;=21),STDEV(INDEX($H$1135:$H1195,62-20):$H1195)*SQRT(245),"")</f>
        <v/>
      </c>
      <c r="M1195" s="52" t="str">
        <f aca="false">IF(AND(ISNUMBER($G1195),$G1195&gt;=60),MAX(INDEX($D$995:$D1195,202-60):$D1195),"")</f>
        <v/>
      </c>
      <c r="N1195" s="52" t="str">
        <f aca="false">IF(AND(ISNUMBER($G1195),$G1195&gt;=60),MIN(INDEX($E$995:$E1195,202-60):$E1195),"")</f>
        <v/>
      </c>
      <c r="O1195" s="53" t="str">
        <f aca="false">IF(OR(NOT(ISNUMBER($C1195)),NOT(ISNUMBER($M1195)),$M1195=0),"",$C1195/$M1195-1)</f>
        <v/>
      </c>
    </row>
    <row r="1196" customFormat="false" ht="15" hidden="false" customHeight="false" outlineLevel="0" collapsed="false">
      <c r="A1196" s="55"/>
      <c r="B1196" s="56"/>
      <c r="C1196" s="57"/>
      <c r="D1196" s="56"/>
      <c r="E1196" s="56"/>
      <c r="F1196" s="56"/>
      <c r="G1196" s="50" t="str">
        <f aca="false">IF($A1196="","",IF(ISNUMBER($G1195),$G1195+1,1))</f>
        <v/>
      </c>
      <c r="H1196" s="51" t="str">
        <f aca="false">IF(OR(NOT(ISNUMBER($G1196)),$G1196&lt;2,NOT(ISNUMBER($C1195)),$C1195=0),"",$C1196/$C1195-1)</f>
        <v/>
      </c>
      <c r="I1196" s="52" t="str">
        <f aca="false">IF(AND(ISNUMBER($G1196),$G1196&gt;=MA_SHORT),AVERAGE(INDEX($C$796:$C1196,402-MA_SHORT):$C1196),"")</f>
        <v/>
      </c>
      <c r="J1196" s="52" t="str">
        <f aca="false">IF(AND(ISNUMBER($G1196),$G1196&gt;=MA_MED),AVERAGE(INDEX($C$796:$C1196,402-MA_MED):$C1196),"")</f>
        <v/>
      </c>
      <c r="K1196" s="52" t="str">
        <f aca="false">IF(AND(ISNUMBER($G1196),$G1196&gt;=MA_LONG2),AVERAGE(INDEX($C$796:$C1196,402-MA_LONG2):$C1196),"")</f>
        <v/>
      </c>
      <c r="L1196" s="53" t="str">
        <f aca="false">IF(AND(ISNUMBER($G1196),$G1196&gt;=21),STDEV(INDEX($H$1136:$H1196,62-20):$H1196)*SQRT(245),"")</f>
        <v/>
      </c>
      <c r="M1196" s="52" t="str">
        <f aca="false">IF(AND(ISNUMBER($G1196),$G1196&gt;=60),MAX(INDEX($D$996:$D1196,202-60):$D1196),"")</f>
        <v/>
      </c>
      <c r="N1196" s="52" t="str">
        <f aca="false">IF(AND(ISNUMBER($G1196),$G1196&gt;=60),MIN(INDEX($E$996:$E1196,202-60):$E1196),"")</f>
        <v/>
      </c>
      <c r="O1196" s="53" t="str">
        <f aca="false">IF(OR(NOT(ISNUMBER($C1196)),NOT(ISNUMBER($M1196)),$M1196=0),"",$C1196/$M1196-1)</f>
        <v/>
      </c>
    </row>
    <row r="1197" customFormat="false" ht="15" hidden="false" customHeight="false" outlineLevel="0" collapsed="false">
      <c r="A1197" s="55"/>
      <c r="B1197" s="56"/>
      <c r="C1197" s="57"/>
      <c r="D1197" s="56"/>
      <c r="E1197" s="56"/>
      <c r="F1197" s="56"/>
      <c r="G1197" s="50" t="str">
        <f aca="false">IF($A1197="","",IF(ISNUMBER($G1196),$G1196+1,1))</f>
        <v/>
      </c>
      <c r="H1197" s="51" t="str">
        <f aca="false">IF(OR(NOT(ISNUMBER($G1197)),$G1197&lt;2,NOT(ISNUMBER($C1196)),$C1196=0),"",$C1197/$C1196-1)</f>
        <v/>
      </c>
      <c r="I1197" s="52" t="str">
        <f aca="false">IF(AND(ISNUMBER($G1197),$G1197&gt;=MA_SHORT),AVERAGE(INDEX($C$797:$C1197,402-MA_SHORT):$C1197),"")</f>
        <v/>
      </c>
      <c r="J1197" s="52" t="str">
        <f aca="false">IF(AND(ISNUMBER($G1197),$G1197&gt;=MA_MED),AVERAGE(INDEX($C$797:$C1197,402-MA_MED):$C1197),"")</f>
        <v/>
      </c>
      <c r="K1197" s="52" t="str">
        <f aca="false">IF(AND(ISNUMBER($G1197),$G1197&gt;=MA_LONG2),AVERAGE(INDEX($C$797:$C1197,402-MA_LONG2):$C1197),"")</f>
        <v/>
      </c>
      <c r="L1197" s="53" t="str">
        <f aca="false">IF(AND(ISNUMBER($G1197),$G1197&gt;=21),STDEV(INDEX($H$1137:$H1197,62-20):$H1197)*SQRT(245),"")</f>
        <v/>
      </c>
      <c r="M1197" s="52" t="str">
        <f aca="false">IF(AND(ISNUMBER($G1197),$G1197&gt;=60),MAX(INDEX($D$997:$D1197,202-60):$D1197),"")</f>
        <v/>
      </c>
      <c r="N1197" s="52" t="str">
        <f aca="false">IF(AND(ISNUMBER($G1197),$G1197&gt;=60),MIN(INDEX($E$997:$E1197,202-60):$E1197),"")</f>
        <v/>
      </c>
      <c r="O1197" s="53" t="str">
        <f aca="false">IF(OR(NOT(ISNUMBER($C1197)),NOT(ISNUMBER($M1197)),$M1197=0),"",$C1197/$M1197-1)</f>
        <v/>
      </c>
    </row>
    <row r="1198" customFormat="false" ht="15" hidden="false" customHeight="false" outlineLevel="0" collapsed="false">
      <c r="A1198" s="55"/>
      <c r="B1198" s="56"/>
      <c r="C1198" s="57"/>
      <c r="D1198" s="56"/>
      <c r="E1198" s="56"/>
      <c r="F1198" s="56"/>
      <c r="G1198" s="50" t="str">
        <f aca="false">IF($A1198="","",IF(ISNUMBER($G1197),$G1197+1,1))</f>
        <v/>
      </c>
      <c r="H1198" s="51" t="str">
        <f aca="false">IF(OR(NOT(ISNUMBER($G1198)),$G1198&lt;2,NOT(ISNUMBER($C1197)),$C1197=0),"",$C1198/$C1197-1)</f>
        <v/>
      </c>
      <c r="I1198" s="52" t="str">
        <f aca="false">IF(AND(ISNUMBER($G1198),$G1198&gt;=MA_SHORT),AVERAGE(INDEX($C$798:$C1198,402-MA_SHORT):$C1198),"")</f>
        <v/>
      </c>
      <c r="J1198" s="52" t="str">
        <f aca="false">IF(AND(ISNUMBER($G1198),$G1198&gt;=MA_MED),AVERAGE(INDEX($C$798:$C1198,402-MA_MED):$C1198),"")</f>
        <v/>
      </c>
      <c r="K1198" s="52" t="str">
        <f aca="false">IF(AND(ISNUMBER($G1198),$G1198&gt;=MA_LONG2),AVERAGE(INDEX($C$798:$C1198,402-MA_LONG2):$C1198),"")</f>
        <v/>
      </c>
      <c r="L1198" s="53" t="str">
        <f aca="false">IF(AND(ISNUMBER($G1198),$G1198&gt;=21),STDEV(INDEX($H$1138:$H1198,62-20):$H1198)*SQRT(245),"")</f>
        <v/>
      </c>
      <c r="M1198" s="52" t="str">
        <f aca="false">IF(AND(ISNUMBER($G1198),$G1198&gt;=60),MAX(INDEX($D$998:$D1198,202-60):$D1198),"")</f>
        <v/>
      </c>
      <c r="N1198" s="52" t="str">
        <f aca="false">IF(AND(ISNUMBER($G1198),$G1198&gt;=60),MIN(INDEX($E$998:$E1198,202-60):$E1198),"")</f>
        <v/>
      </c>
      <c r="O1198" s="53" t="str">
        <f aca="false">IF(OR(NOT(ISNUMBER($C1198)),NOT(ISNUMBER($M1198)),$M1198=0),"",$C1198/$M1198-1)</f>
        <v/>
      </c>
    </row>
    <row r="1199" customFormat="false" ht="15" hidden="false" customHeight="false" outlineLevel="0" collapsed="false">
      <c r="A1199" s="55"/>
      <c r="B1199" s="56"/>
      <c r="C1199" s="57"/>
      <c r="D1199" s="56"/>
      <c r="E1199" s="56"/>
      <c r="F1199" s="56"/>
      <c r="G1199" s="50" t="str">
        <f aca="false">IF($A1199="","",IF(ISNUMBER($G1198),$G1198+1,1))</f>
        <v/>
      </c>
      <c r="H1199" s="51" t="str">
        <f aca="false">IF(OR(NOT(ISNUMBER($G1199)),$G1199&lt;2,NOT(ISNUMBER($C1198)),$C1198=0),"",$C1199/$C1198-1)</f>
        <v/>
      </c>
      <c r="I1199" s="52" t="str">
        <f aca="false">IF(AND(ISNUMBER($G1199),$G1199&gt;=MA_SHORT),AVERAGE(INDEX($C$799:$C1199,402-MA_SHORT):$C1199),"")</f>
        <v/>
      </c>
      <c r="J1199" s="52" t="str">
        <f aca="false">IF(AND(ISNUMBER($G1199),$G1199&gt;=MA_MED),AVERAGE(INDEX($C$799:$C1199,402-MA_MED):$C1199),"")</f>
        <v/>
      </c>
      <c r="K1199" s="52" t="str">
        <f aca="false">IF(AND(ISNUMBER($G1199),$G1199&gt;=MA_LONG2),AVERAGE(INDEX($C$799:$C1199,402-MA_LONG2):$C1199),"")</f>
        <v/>
      </c>
      <c r="L1199" s="53" t="str">
        <f aca="false">IF(AND(ISNUMBER($G1199),$G1199&gt;=21),STDEV(INDEX($H$1139:$H1199,62-20):$H1199)*SQRT(245),"")</f>
        <v/>
      </c>
      <c r="M1199" s="52" t="str">
        <f aca="false">IF(AND(ISNUMBER($G1199),$G1199&gt;=60),MAX(INDEX($D$999:$D1199,202-60):$D1199),"")</f>
        <v/>
      </c>
      <c r="N1199" s="52" t="str">
        <f aca="false">IF(AND(ISNUMBER($G1199),$G1199&gt;=60),MIN(INDEX($E$999:$E1199,202-60):$E1199),"")</f>
        <v/>
      </c>
      <c r="O1199" s="53" t="str">
        <f aca="false">IF(OR(NOT(ISNUMBER($C1199)),NOT(ISNUMBER($M1199)),$M1199=0),"",$C1199/$M1199-1)</f>
        <v/>
      </c>
    </row>
    <row r="1200" customFormat="false" ht="15" hidden="false" customHeight="false" outlineLevel="0" collapsed="false">
      <c r="A1200" s="55"/>
      <c r="B1200" s="56"/>
      <c r="C1200" s="57"/>
      <c r="D1200" s="56"/>
      <c r="E1200" s="56"/>
      <c r="F1200" s="56"/>
      <c r="G1200" s="50" t="str">
        <f aca="false">IF($A1200="","",IF(ISNUMBER($G1199),$G1199+1,1))</f>
        <v/>
      </c>
      <c r="H1200" s="51" t="str">
        <f aca="false">IF(OR(NOT(ISNUMBER($G1200)),$G1200&lt;2,NOT(ISNUMBER($C1199)),$C1199=0),"",$C1200/$C1199-1)</f>
        <v/>
      </c>
      <c r="I1200" s="52" t="str">
        <f aca="false">IF(AND(ISNUMBER($G1200),$G1200&gt;=MA_SHORT),AVERAGE(INDEX($C$800:$C1200,402-MA_SHORT):$C1200),"")</f>
        <v/>
      </c>
      <c r="J1200" s="52" t="str">
        <f aca="false">IF(AND(ISNUMBER($G1200),$G1200&gt;=MA_MED),AVERAGE(INDEX($C$800:$C1200,402-MA_MED):$C1200),"")</f>
        <v/>
      </c>
      <c r="K1200" s="52" t="str">
        <f aca="false">IF(AND(ISNUMBER($G1200),$G1200&gt;=MA_LONG2),AVERAGE(INDEX($C$800:$C1200,402-MA_LONG2):$C1200),"")</f>
        <v/>
      </c>
      <c r="L1200" s="53" t="str">
        <f aca="false">IF(AND(ISNUMBER($G1200),$G1200&gt;=21),STDEV(INDEX($H$1140:$H1200,62-20):$H1200)*SQRT(245),"")</f>
        <v/>
      </c>
      <c r="M1200" s="52" t="str">
        <f aca="false">IF(AND(ISNUMBER($G1200),$G1200&gt;=60),MAX(INDEX($D$1000:$D1200,202-60):$D1200),"")</f>
        <v/>
      </c>
      <c r="N1200" s="52" t="str">
        <f aca="false">IF(AND(ISNUMBER($G1200),$G1200&gt;=60),MIN(INDEX($E$1000:$E1200,202-60):$E1200),"")</f>
        <v/>
      </c>
      <c r="O1200" s="53" t="str">
        <f aca="false">IF(OR(NOT(ISNUMBER($C1200)),NOT(ISNUMBER($M1200)),$M1200=0),"",$C1200/$M1200-1)</f>
        <v/>
      </c>
    </row>
    <row r="1201" customFormat="false" ht="15" hidden="false" customHeight="false" outlineLevel="0" collapsed="false">
      <c r="A1201" s="55"/>
      <c r="B1201" s="56"/>
      <c r="C1201" s="57"/>
      <c r="D1201" s="56"/>
      <c r="E1201" s="56"/>
      <c r="F1201" s="56"/>
      <c r="G1201" s="50" t="str">
        <f aca="false">IF($A1201="","",IF(ISNUMBER($G1200),$G1200+1,1))</f>
        <v/>
      </c>
      <c r="H1201" s="51" t="str">
        <f aca="false">IF(OR(NOT(ISNUMBER($G1201)),$G1201&lt;2,NOT(ISNUMBER($C1200)),$C1200=0),"",$C1201/$C1200-1)</f>
        <v/>
      </c>
      <c r="I1201" s="52" t="str">
        <f aca="false">IF(AND(ISNUMBER($G1201),$G1201&gt;=MA_SHORT),AVERAGE(INDEX($C$801:$C1201,402-MA_SHORT):$C1201),"")</f>
        <v/>
      </c>
      <c r="J1201" s="52" t="str">
        <f aca="false">IF(AND(ISNUMBER($G1201),$G1201&gt;=MA_MED),AVERAGE(INDEX($C$801:$C1201,402-MA_MED):$C1201),"")</f>
        <v/>
      </c>
      <c r="K1201" s="52" t="str">
        <f aca="false">IF(AND(ISNUMBER($G1201),$G1201&gt;=MA_LONG2),AVERAGE(INDEX($C$801:$C1201,402-MA_LONG2):$C1201),"")</f>
        <v/>
      </c>
      <c r="L1201" s="53" t="str">
        <f aca="false">IF(AND(ISNUMBER($G1201),$G1201&gt;=21),STDEV(INDEX($H$1141:$H1201,62-20):$H1201)*SQRT(245),"")</f>
        <v/>
      </c>
      <c r="M1201" s="52" t="str">
        <f aca="false">IF(AND(ISNUMBER($G1201),$G1201&gt;=60),MAX(INDEX($D$1001:$D1201,202-60):$D1201),"")</f>
        <v/>
      </c>
      <c r="N1201" s="52" t="str">
        <f aca="false">IF(AND(ISNUMBER($G1201),$G1201&gt;=60),MIN(INDEX($E$1001:$E1201,202-60):$E1201),"")</f>
        <v/>
      </c>
      <c r="O1201" s="53" t="str">
        <f aca="false">IF(OR(NOT(ISNUMBER($C1201)),NOT(ISNUMBER($M1201)),$M1201=0),"",$C1201/$M1201-1)</f>
        <v/>
      </c>
    </row>
    <row r="1202" customFormat="false" ht="15" hidden="false" customHeight="false" outlineLevel="0" collapsed="false">
      <c r="A1202" s="55"/>
      <c r="B1202" s="56"/>
      <c r="C1202" s="57"/>
      <c r="D1202" s="56"/>
      <c r="E1202" s="56"/>
      <c r="F1202" s="56"/>
      <c r="G1202" s="50" t="str">
        <f aca="false">IF($A1202="","",IF(ISNUMBER($G1201),$G1201+1,1))</f>
        <v/>
      </c>
      <c r="H1202" s="51" t="str">
        <f aca="false">IF(OR(NOT(ISNUMBER($G1202)),$G1202&lt;2,NOT(ISNUMBER($C1201)),$C1201=0),"",$C1202/$C1201-1)</f>
        <v/>
      </c>
      <c r="I1202" s="52" t="str">
        <f aca="false">IF(AND(ISNUMBER($G1202),$G1202&gt;=MA_SHORT),AVERAGE(INDEX($C$802:$C1202,402-MA_SHORT):$C1202),"")</f>
        <v/>
      </c>
      <c r="J1202" s="52" t="str">
        <f aca="false">IF(AND(ISNUMBER($G1202),$G1202&gt;=MA_MED),AVERAGE(INDEX($C$802:$C1202,402-MA_MED):$C1202),"")</f>
        <v/>
      </c>
      <c r="K1202" s="52" t="str">
        <f aca="false">IF(AND(ISNUMBER($G1202),$G1202&gt;=MA_LONG2),AVERAGE(INDEX($C$802:$C1202,402-MA_LONG2):$C1202),"")</f>
        <v/>
      </c>
      <c r="L1202" s="53" t="str">
        <f aca="false">IF(AND(ISNUMBER($G1202),$G1202&gt;=21),STDEV(INDEX($H$1142:$H1202,62-20):$H1202)*SQRT(245),"")</f>
        <v/>
      </c>
      <c r="M1202" s="52" t="str">
        <f aca="false">IF(AND(ISNUMBER($G1202),$G1202&gt;=60),MAX(INDEX($D$1002:$D1202,202-60):$D1202),"")</f>
        <v/>
      </c>
      <c r="N1202" s="52" t="str">
        <f aca="false">IF(AND(ISNUMBER($G1202),$G1202&gt;=60),MIN(INDEX($E$1002:$E1202,202-60):$E1202),"")</f>
        <v/>
      </c>
      <c r="O1202" s="53" t="str">
        <f aca="false">IF(OR(NOT(ISNUMBER($C1202)),NOT(ISNUMBER($M1202)),$M1202=0),"",$C1202/$M1202-1)</f>
        <v/>
      </c>
    </row>
    <row r="1203" customFormat="false" ht="15" hidden="false" customHeight="false" outlineLevel="0" collapsed="false">
      <c r="A1203" s="55"/>
      <c r="B1203" s="56"/>
      <c r="C1203" s="57"/>
      <c r="D1203" s="56"/>
      <c r="E1203" s="56"/>
      <c r="F1203" s="56"/>
      <c r="G1203" s="50" t="str">
        <f aca="false">IF($A1203="","",IF(ISNUMBER($G1202),$G1202+1,1))</f>
        <v/>
      </c>
      <c r="H1203" s="51" t="str">
        <f aca="false">IF(OR(NOT(ISNUMBER($G1203)),$G1203&lt;2,NOT(ISNUMBER($C1202)),$C1202=0),"",$C1203/$C1202-1)</f>
        <v/>
      </c>
      <c r="I1203" s="52" t="str">
        <f aca="false">IF(AND(ISNUMBER($G1203),$G1203&gt;=MA_SHORT),AVERAGE(INDEX($C$803:$C1203,402-MA_SHORT):$C1203),"")</f>
        <v/>
      </c>
      <c r="J1203" s="52" t="str">
        <f aca="false">IF(AND(ISNUMBER($G1203),$G1203&gt;=MA_MED),AVERAGE(INDEX($C$803:$C1203,402-MA_MED):$C1203),"")</f>
        <v/>
      </c>
      <c r="K1203" s="52" t="str">
        <f aca="false">IF(AND(ISNUMBER($G1203),$G1203&gt;=MA_LONG2),AVERAGE(INDEX($C$803:$C1203,402-MA_LONG2):$C1203),"")</f>
        <v/>
      </c>
      <c r="L1203" s="53" t="str">
        <f aca="false">IF(AND(ISNUMBER($G1203),$G1203&gt;=21),STDEV(INDEX($H$1143:$H1203,62-20):$H1203)*SQRT(245),"")</f>
        <v/>
      </c>
      <c r="M1203" s="52" t="str">
        <f aca="false">IF(AND(ISNUMBER($G1203),$G1203&gt;=60),MAX(INDEX($D$1003:$D1203,202-60):$D1203),"")</f>
        <v/>
      </c>
      <c r="N1203" s="52" t="str">
        <f aca="false">IF(AND(ISNUMBER($G1203),$G1203&gt;=60),MIN(INDEX($E$1003:$E1203,202-60):$E1203),"")</f>
        <v/>
      </c>
      <c r="O1203" s="53" t="str">
        <f aca="false">IF(OR(NOT(ISNUMBER($C1203)),NOT(ISNUMBER($M1203)),$M1203=0),"",$C1203/$M1203-1)</f>
        <v/>
      </c>
    </row>
    <row r="1204" customFormat="false" ht="15" hidden="false" customHeight="false" outlineLevel="0" collapsed="false">
      <c r="A1204" s="55"/>
      <c r="B1204" s="56"/>
      <c r="C1204" s="57"/>
      <c r="D1204" s="56"/>
      <c r="E1204" s="56"/>
      <c r="F1204" s="56"/>
      <c r="G1204" s="50" t="str">
        <f aca="false">IF($A1204="","",IF(ISNUMBER($G1203),$G1203+1,1))</f>
        <v/>
      </c>
      <c r="H1204" s="51" t="str">
        <f aca="false">IF(OR(NOT(ISNUMBER($G1204)),$G1204&lt;2,NOT(ISNUMBER($C1203)),$C1203=0),"",$C1204/$C1203-1)</f>
        <v/>
      </c>
      <c r="I1204" s="52" t="str">
        <f aca="false">IF(AND(ISNUMBER($G1204),$G1204&gt;=MA_SHORT),AVERAGE(INDEX($C$804:$C1204,402-MA_SHORT):$C1204),"")</f>
        <v/>
      </c>
      <c r="J1204" s="52" t="str">
        <f aca="false">IF(AND(ISNUMBER($G1204),$G1204&gt;=MA_MED),AVERAGE(INDEX($C$804:$C1204,402-MA_MED):$C1204),"")</f>
        <v/>
      </c>
      <c r="K1204" s="52" t="str">
        <f aca="false">IF(AND(ISNUMBER($G1204),$G1204&gt;=MA_LONG2),AVERAGE(INDEX($C$804:$C1204,402-MA_LONG2):$C1204),"")</f>
        <v/>
      </c>
      <c r="L1204" s="53" t="str">
        <f aca="false">IF(AND(ISNUMBER($G1204),$G1204&gt;=21),STDEV(INDEX($H$1144:$H1204,62-20):$H1204)*SQRT(245),"")</f>
        <v/>
      </c>
      <c r="M1204" s="52" t="str">
        <f aca="false">IF(AND(ISNUMBER($G1204),$G1204&gt;=60),MAX(INDEX($D$1004:$D1204,202-60):$D1204),"")</f>
        <v/>
      </c>
      <c r="N1204" s="52" t="str">
        <f aca="false">IF(AND(ISNUMBER($G1204),$G1204&gt;=60),MIN(INDEX($E$1004:$E1204,202-60):$E1204),"")</f>
        <v/>
      </c>
      <c r="O1204" s="53" t="str">
        <f aca="false">IF(OR(NOT(ISNUMBER($C1204)),NOT(ISNUMBER($M1204)),$M1204=0),"",$C1204/$M1204-1)</f>
        <v/>
      </c>
    </row>
  </sheetData>
  <autoFilter ref="A4:O1204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3"/>
  </cols>
  <sheetData>
    <row r="1" customFormat="false" ht="27.75" hidden="false" customHeight="true" outlineLevel="0" collapsed="false">
      <c r="A1" s="1" t="s">
        <v>657</v>
      </c>
      <c r="B1" s="1"/>
      <c r="C1" s="1"/>
      <c r="D1" s="1"/>
      <c r="E1" s="1"/>
    </row>
    <row r="2" customFormat="false" ht="18" hidden="false" customHeight="true" outlineLevel="0" collapsed="false">
      <c r="A2" s="19" t="s">
        <v>658</v>
      </c>
      <c r="B2" s="19"/>
      <c r="C2" s="19"/>
      <c r="D2" s="19"/>
      <c r="E2" s="19"/>
    </row>
    <row r="4" customFormat="false" ht="19.5" hidden="false" customHeight="true" outlineLevel="0" collapsed="false">
      <c r="B4" s="39" t="s">
        <v>659</v>
      </c>
      <c r="C4" s="39"/>
      <c r="D4" s="39"/>
    </row>
    <row r="5" customFormat="false" ht="15" hidden="false" customHeight="false" outlineLevel="0" collapsed="false">
      <c r="B5" s="4" t="s">
        <v>660</v>
      </c>
      <c r="C5" s="58" t="n">
        <v>20</v>
      </c>
      <c r="D5" s="44" t="s">
        <v>661</v>
      </c>
    </row>
    <row r="6" customFormat="false" ht="15" hidden="false" customHeight="false" outlineLevel="0" collapsed="false">
      <c r="B6" s="4" t="s">
        <v>662</v>
      </c>
      <c r="C6" s="58" t="n">
        <v>50</v>
      </c>
      <c r="D6" s="44" t="s">
        <v>663</v>
      </c>
    </row>
    <row r="7" customFormat="false" ht="15" hidden="false" customHeight="false" outlineLevel="0" collapsed="false">
      <c r="B7" s="4" t="s">
        <v>664</v>
      </c>
      <c r="C7" s="58" t="n">
        <v>100</v>
      </c>
      <c r="D7" s="44"/>
    </row>
    <row r="8" customFormat="false" ht="15" hidden="false" customHeight="false" outlineLevel="0" collapsed="false">
      <c r="B8" s="4" t="s">
        <v>665</v>
      </c>
      <c r="C8" s="58" t="n">
        <v>200</v>
      </c>
      <c r="D8" s="44" t="s">
        <v>666</v>
      </c>
    </row>
    <row r="9" customFormat="false" ht="15" hidden="false" customHeight="false" outlineLevel="0" collapsed="false">
      <c r="B9" s="4" t="s">
        <v>667</v>
      </c>
      <c r="C9" s="58" t="n">
        <v>14</v>
      </c>
      <c r="D9" s="44" t="s">
        <v>668</v>
      </c>
    </row>
    <row r="10" customFormat="false" ht="15" hidden="false" customHeight="false" outlineLevel="0" collapsed="false">
      <c r="B10" s="4" t="s">
        <v>669</v>
      </c>
      <c r="C10" s="59" t="n">
        <v>2</v>
      </c>
      <c r="D10" s="44" t="s">
        <v>670</v>
      </c>
    </row>
    <row r="12" customFormat="false" ht="19.5" hidden="false" customHeight="true" outlineLevel="0" collapsed="false">
      <c r="B12" s="39" t="s">
        <v>671</v>
      </c>
      <c r="C12" s="39"/>
      <c r="D12" s="39"/>
    </row>
    <row r="13" customFormat="false" ht="15" hidden="false" customHeight="false" outlineLevel="0" collapsed="false">
      <c r="B13" s="4" t="s">
        <v>672</v>
      </c>
      <c r="C13" s="59" t="n">
        <v>2</v>
      </c>
      <c r="D13" s="44" t="s">
        <v>673</v>
      </c>
    </row>
    <row r="14" customFormat="false" ht="15" hidden="false" customHeight="false" outlineLevel="0" collapsed="false">
      <c r="B14" s="4" t="s">
        <v>674</v>
      </c>
      <c r="C14" s="59" t="n">
        <v>1.3</v>
      </c>
      <c r="D14" s="44"/>
    </row>
    <row r="15" customFormat="false" ht="15" hidden="false" customHeight="false" outlineLevel="0" collapsed="false">
      <c r="B15" s="4" t="s">
        <v>675</v>
      </c>
      <c r="C15" s="59" t="n">
        <v>0.6</v>
      </c>
      <c r="D15" s="44" t="s">
        <v>676</v>
      </c>
    </row>
    <row r="17" customFormat="false" ht="19.5" hidden="false" customHeight="true" outlineLevel="0" collapsed="false">
      <c r="B17" s="39" t="s">
        <v>677</v>
      </c>
      <c r="C17" s="39"/>
      <c r="D17" s="39"/>
    </row>
    <row r="18" customFormat="false" ht="15" hidden="false" customHeight="false" outlineLevel="0" collapsed="false">
      <c r="B18" s="4" t="s">
        <v>678</v>
      </c>
      <c r="C18" s="43" t="n">
        <v>5</v>
      </c>
      <c r="D18" s="44"/>
    </row>
    <row r="19" customFormat="false" ht="15" hidden="false" customHeight="false" outlineLevel="0" collapsed="false">
      <c r="B19" s="4" t="s">
        <v>679</v>
      </c>
      <c r="C19" s="43" t="n">
        <v>2</v>
      </c>
      <c r="D19" s="44"/>
    </row>
    <row r="20" customFormat="false" ht="15" hidden="false" customHeight="false" outlineLevel="0" collapsed="false">
      <c r="B20" s="4" t="s">
        <v>680</v>
      </c>
      <c r="C20" s="43" t="n">
        <v>-2</v>
      </c>
      <c r="D20" s="44"/>
    </row>
    <row r="21" customFormat="false" ht="15" hidden="false" customHeight="false" outlineLevel="0" collapsed="false">
      <c r="B21" s="4" t="s">
        <v>681</v>
      </c>
      <c r="C21" s="43" t="n">
        <v>-5</v>
      </c>
      <c r="D21" s="44"/>
    </row>
    <row r="23" customFormat="false" ht="19.5" hidden="false" customHeight="true" outlineLevel="0" collapsed="false">
      <c r="B23" s="39" t="s">
        <v>682</v>
      </c>
      <c r="C23" s="39"/>
      <c r="D23" s="39"/>
    </row>
    <row r="24" customFormat="false" ht="15" hidden="false" customHeight="false" outlineLevel="0" collapsed="false">
      <c r="B24" s="4" t="s">
        <v>683</v>
      </c>
      <c r="C24" s="43" t="n">
        <v>0.35</v>
      </c>
      <c r="D24" s="44" t="s">
        <v>684</v>
      </c>
    </row>
    <row r="25" customFormat="false" ht="15" hidden="false" customHeight="false" outlineLevel="0" collapsed="false">
      <c r="B25" s="4" t="s">
        <v>685</v>
      </c>
      <c r="C25" s="43" t="n">
        <v>0.25</v>
      </c>
      <c r="D25" s="44" t="s">
        <v>686</v>
      </c>
    </row>
    <row r="26" customFormat="false" ht="15" hidden="false" customHeight="false" outlineLevel="0" collapsed="false">
      <c r="B26" s="4" t="s">
        <v>687</v>
      </c>
      <c r="C26" s="43" t="n">
        <v>0.15</v>
      </c>
      <c r="D26" s="44" t="s">
        <v>688</v>
      </c>
    </row>
    <row r="27" customFormat="false" ht="15" hidden="false" customHeight="false" outlineLevel="0" collapsed="false">
      <c r="B27" s="4" t="s">
        <v>689</v>
      </c>
      <c r="C27" s="43" t="n">
        <v>0.25</v>
      </c>
      <c r="D27" s="44" t="s">
        <v>690</v>
      </c>
    </row>
    <row r="28" customFormat="false" ht="15" hidden="false" customHeight="false" outlineLevel="0" collapsed="false">
      <c r="B28" s="4" t="s">
        <v>691</v>
      </c>
      <c r="C28" s="60" t="n">
        <f aca="false">SUM(C24:C27)</f>
        <v>1</v>
      </c>
      <c r="D28" s="40" t="str">
        <f aca="false">IF(ROUND(C28,6)=1,"✔ وزن‌ها معتبر است","✘ خطا: جمع باید ۱۰۰٪ باشد")</f>
        <v>✔ وزن‌ها معتبر است</v>
      </c>
    </row>
    <row r="30" customFormat="false" ht="19.5" hidden="false" customHeight="true" outlineLevel="0" collapsed="false">
      <c r="B30" s="39" t="s">
        <v>692</v>
      </c>
      <c r="C30" s="39"/>
      <c r="D30" s="39"/>
    </row>
    <row r="31" customFormat="false" ht="15" hidden="false" customHeight="false" outlineLevel="0" collapsed="false">
      <c r="B31" s="4" t="s">
        <v>693</v>
      </c>
      <c r="C31" s="58" t="n">
        <v>20</v>
      </c>
      <c r="D31" s="44" t="s">
        <v>694</v>
      </c>
    </row>
    <row r="32" customFormat="false" ht="15" hidden="false" customHeight="false" outlineLevel="0" collapsed="false">
      <c r="B32" s="4" t="s">
        <v>695</v>
      </c>
      <c r="C32" s="58" t="n">
        <v>60</v>
      </c>
      <c r="D32" s="44" t="s">
        <v>696</v>
      </c>
    </row>
    <row r="33" customFormat="false" ht="15" hidden="false" customHeight="false" outlineLevel="0" collapsed="false">
      <c r="B33" s="4" t="s">
        <v>697</v>
      </c>
      <c r="C33" s="61" t="n">
        <v>0.07</v>
      </c>
      <c r="D33" s="44" t="s">
        <v>698</v>
      </c>
    </row>
    <row r="34" customFormat="false" ht="15" hidden="false" customHeight="false" outlineLevel="0" collapsed="false">
      <c r="B34" s="4" t="s">
        <v>699</v>
      </c>
      <c r="C34" s="58" t="n">
        <v>50</v>
      </c>
      <c r="D34" s="44" t="s">
        <v>700</v>
      </c>
    </row>
    <row r="36" customFormat="false" ht="15" hidden="false" customHeight="true" outlineLevel="0" collapsed="false">
      <c r="B36" s="18" t="s">
        <v>701</v>
      </c>
      <c r="C36" s="18"/>
      <c r="D36" s="18"/>
    </row>
  </sheetData>
  <mergeCells count="3">
    <mergeCell ref="A1:E1"/>
    <mergeCell ref="A2:E2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8"/>
    <col collapsed="false" customWidth="true" hidden="false" outlineLevel="0" max="8" min="3" style="0" width="3"/>
  </cols>
  <sheetData>
    <row r="1" customFormat="false" ht="30" hidden="false" customHeight="true" outlineLevel="0" collapsed="false">
      <c r="A1" s="1" t="s">
        <v>702</v>
      </c>
      <c r="B1" s="1"/>
    </row>
    <row r="2" customFormat="false" ht="30" hidden="false" customHeight="true" outlineLevel="0" collapsed="false">
      <c r="A2" s="62" t="s">
        <v>703</v>
      </c>
      <c r="B2" s="62"/>
    </row>
    <row r="3" customFormat="false" ht="33.75" hidden="false" customHeight="true" outlineLevel="0" collapsed="false">
      <c r="A3" s="63" t="s">
        <v>704</v>
      </c>
      <c r="B3" s="63"/>
    </row>
    <row r="4" customFormat="false" ht="24" hidden="false" customHeight="true" outlineLevel="0" collapsed="false">
      <c r="A4" s="64" t="s">
        <v>705</v>
      </c>
      <c r="B4" s="64"/>
    </row>
    <row r="5" customFormat="false" ht="30" hidden="false" customHeight="true" outlineLevel="0" collapsed="false">
      <c r="A5" s="62" t="s">
        <v>706</v>
      </c>
      <c r="B5" s="62"/>
    </row>
    <row r="6" customFormat="false" ht="18" hidden="false" customHeight="true" outlineLevel="0" collapsed="false">
      <c r="A6" s="65" t="s">
        <v>707</v>
      </c>
      <c r="B6" s="65"/>
    </row>
    <row r="7" customFormat="false" ht="18" hidden="false" customHeight="true" outlineLevel="0" collapsed="false">
      <c r="A7" s="65" t="s">
        <v>708</v>
      </c>
      <c r="B7" s="65"/>
    </row>
    <row r="8" customFormat="false" ht="18" hidden="false" customHeight="true" outlineLevel="0" collapsed="false">
      <c r="A8" s="65" t="s">
        <v>709</v>
      </c>
      <c r="B8" s="65"/>
    </row>
    <row r="9" customFormat="false" ht="30" hidden="false" customHeight="true" outlineLevel="0" collapsed="false">
      <c r="A9" s="62" t="s">
        <v>710</v>
      </c>
      <c r="B9" s="62"/>
    </row>
    <row r="10" customFormat="false" ht="24" hidden="false" customHeight="true" outlineLevel="0" collapsed="false">
      <c r="A10" s="64" t="s">
        <v>711</v>
      </c>
      <c r="B10" s="64"/>
    </row>
    <row r="11" customFormat="false" ht="18" hidden="false" customHeight="true" outlineLevel="0" collapsed="false">
      <c r="A11" s="65" t="s">
        <v>712</v>
      </c>
      <c r="B11" s="65"/>
    </row>
    <row r="12" customFormat="false" ht="18" hidden="false" customHeight="true" outlineLevel="0" collapsed="false">
      <c r="A12" s="65" t="s">
        <v>713</v>
      </c>
      <c r="B12" s="65"/>
    </row>
    <row r="13" customFormat="false" ht="18" hidden="false" customHeight="true" outlineLevel="0" collapsed="false">
      <c r="A13" s="65" t="s">
        <v>714</v>
      </c>
      <c r="B13" s="65"/>
    </row>
    <row r="14" customFormat="false" ht="18" hidden="false" customHeight="true" outlineLevel="0" collapsed="false">
      <c r="A14" s="65" t="s">
        <v>715</v>
      </c>
      <c r="B14" s="65"/>
    </row>
    <row r="15" customFormat="false" ht="18" hidden="false" customHeight="true" outlineLevel="0" collapsed="false">
      <c r="A15" s="65" t="s">
        <v>716</v>
      </c>
      <c r="B15" s="65"/>
    </row>
    <row r="16" customFormat="false" ht="18" hidden="false" customHeight="true" outlineLevel="0" collapsed="false">
      <c r="A16" s="65" t="s">
        <v>717</v>
      </c>
      <c r="B16" s="65"/>
    </row>
    <row r="17" customFormat="false" ht="30" hidden="false" customHeight="true" outlineLevel="0" collapsed="false">
      <c r="A17" s="1" t="s">
        <v>718</v>
      </c>
      <c r="B17" s="1"/>
    </row>
    <row r="18" customFormat="false" ht="33.75" hidden="false" customHeight="true" outlineLevel="0" collapsed="false">
      <c r="A18" s="63" t="s">
        <v>719</v>
      </c>
      <c r="B18" s="63"/>
    </row>
    <row r="19" customFormat="false" ht="24" hidden="false" customHeight="true" outlineLevel="0" collapsed="false">
      <c r="A19" s="64" t="s">
        <v>720</v>
      </c>
      <c r="B19" s="64"/>
    </row>
    <row r="20" customFormat="false" ht="30" hidden="false" customHeight="true" outlineLevel="0" collapsed="false">
      <c r="A20" s="62" t="s">
        <v>721</v>
      </c>
      <c r="B20" s="62"/>
    </row>
    <row r="21" customFormat="false" ht="30" hidden="false" customHeight="true" outlineLevel="0" collapsed="false">
      <c r="A21" s="66" t="s">
        <v>722</v>
      </c>
      <c r="B21" s="67" t="s">
        <v>723</v>
      </c>
    </row>
    <row r="22" customFormat="false" ht="30" hidden="false" customHeight="true" outlineLevel="0" collapsed="false">
      <c r="A22" s="66" t="s">
        <v>724</v>
      </c>
      <c r="B22" s="67" t="s">
        <v>725</v>
      </c>
    </row>
    <row r="23" customFormat="false" ht="30" hidden="false" customHeight="true" outlineLevel="0" collapsed="false">
      <c r="A23" s="62" t="s">
        <v>726</v>
      </c>
      <c r="B23" s="62"/>
    </row>
  </sheetData>
  <mergeCells count="2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2026-09-06T16:00:58Z</dcterms:created>
  <dc:creator>openpyxl</dc:creator>
  <dc:description/>
  <dc:language>en-US</dc:language>
  <cp:lastModifiedBy/>
  <dcterms:modified xsi:type="dcterms:W3CDTF">2026-09-06T16:01:01Z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