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old_Dashboard" sheetId="1" state="visible" r:id="rId3"/>
    <sheet name="Asset_Signals" sheetId="2" state="visible" r:id="rId4"/>
    <sheet name="Coin_Bubble" sheetId="3" state="visible" r:id="rId5"/>
    <sheet name="Gold_Input" sheetId="4" state="visible" r:id="rId6"/>
    <sheet name="Gold_History" sheetId="5" state="visible" r:id="rId7"/>
    <sheet name="Hist_Gram18" sheetId="6" state="visible" r:id="rId8"/>
    <sheet name="Hist_Ons" sheetId="7" state="visible" r:id="rId9"/>
    <sheet name="Settings" sheetId="8" state="visible" r:id="rId10"/>
    <sheet name="Documentation" sheetId="9" state="visible" r:id="rId11"/>
  </sheets>
  <definedNames>
    <definedName function="false" hidden="true" localSheetId="4" name="_xlnm._FilterDatabase" vbProcedure="false">Gold_History!$A$4:$Q$1204</definedName>
    <definedName function="false" hidden="true" localSheetId="5" name="_xlnm._FilterDatabase" vbProcedure="false">Hist_Gram18!$A$4:$Q$1204</definedName>
    <definedName function="false" hidden="true" localSheetId="6" name="_xlnm._FilterDatabase" vbProcedure="false">Hist_Ons!$A$4:$O$1204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AW_MOM" vbProcedure="false">Settings!$C$25</definedName>
    <definedName function="false" hidden="false" name="AW_SUM" vbProcedure="false">Settings!$C$28</definedName>
    <definedName function="false" hidden="false" name="AW_TREND" vbProcedure="false">Settings!$C$24</definedName>
    <definedName function="false" hidden="false" name="AW_VAL" vbProcedure="false">Settings!$C$27</definedName>
    <definedName function="false" hidden="false" name="AW_VOL" vbProcedure="false">Settings!$C$26</definedName>
    <definedName function="false" hidden="false" name="BUBBLE_FULL" vbProcedure="false">Coin_Bubble!$H$5</definedName>
    <definedName function="false" hidden="false" name="COIN_FULL" vbProcedure="false">Gold_Input!$B$13</definedName>
    <definedName function="false" hidden="false" name="COIN_FULL_0" vbProcedure="false">Gold_Input!$B$21</definedName>
    <definedName function="false" hidden="false" name="COIN_HALF" vbProcedure="false">Gold_Input!$B$14</definedName>
    <definedName function="false" hidden="false" name="COIN_QTR" vbProcedure="false">Gold_Input!$B$15</definedName>
    <definedName function="false" hidden="false" name="GOLD_OZ" vbProcedure="false">Gold_Input!$B$5</definedName>
    <definedName function="false" hidden="false" name="GOLD_OZ_0" vbProcedure="false">Gold_Input!$B$19</definedName>
    <definedName function="false" hidden="false" name="GRAM_18K" vbProcedure="false">Gold_Input!$B$16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Settings!$C$34</definedName>
    <definedName function="false" hidden="false" name="PRICE_BAND" vbProcedure="false">Settings!$C$33</definedName>
    <definedName function="false" hidden="false" name="SILVER_OZ" vbProcedure="false">Gold_Input!$B$6</definedName>
    <definedName function="false" hidden="false" name="STRUCT_L" vbProcedure="false">Settings!$C$32</definedName>
    <definedName function="false" hidden="false" name="STRUCT_S" vbProcedure="false">Settings!$C$31</definedName>
    <definedName function="false" hidden="false" name="TH_BUY" vbProcedure="false">Settings!$C$19</definedName>
    <definedName function="false" hidden="false" name="TH_SBUY" vbProcedure="false">Settings!$C$18</definedName>
    <definedName function="false" hidden="false" name="TH_SELL" vbProcedure="false">Settings!$C$20</definedName>
    <definedName function="false" hidden="false" name="TH_SSELL" vbProcedure="false">Settings!$C$21</definedName>
    <definedName function="false" hidden="false" name="USD_FREE" vbProcedure="false">Gold_Input!$B$9</definedName>
    <definedName function="false" hidden="false" name="USD_FREE_0" vbProcedure="false">Gold_Input!$B$20</definedName>
    <definedName function="false" hidden="false" name="USD_NIMA" vbProcedure="false">Gold_Input!$B$10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<sst xmlns="http://schemas.openxmlformats.org/spreadsheetml/2006/main" count="1827" uniqueCount="727">
  <si>
    <t xml:space="preserve">داشبورد طلا و سکه</t>
  </si>
  <si>
    <t xml:space="preserve">⚠️ داده‌های نمونه‌اند. ورودی‌ها را در شیت Gold_Input به‌روز کنید.</t>
  </si>
  <si>
    <t xml:space="preserve">۱) قیمت‌ها و ارزش‌گذاری</t>
  </si>
  <si>
    <t xml:space="preserve">اونس جهانی (دلار)</t>
  </si>
  <si>
    <t xml:space="preserve">شکاف دلار آزاد و نیمایی</t>
  </si>
  <si>
    <t xml:space="preserve">دلار آزاد (ریال)</t>
  </si>
  <si>
    <t xml:space="preserve">نسبت طلا به نقره</t>
  </si>
  <si>
    <t xml:space="preserve">سکه تمام — بازار</t>
  </si>
  <si>
    <t xml:space="preserve">ارزش خام گرم ۱۸ عیار</t>
  </si>
  <si>
    <t xml:space="preserve">سکه تمام — ارزش ذاتی</t>
  </si>
  <si>
    <t xml:space="preserve">حباب گرم ۱۸ عیار</t>
  </si>
  <si>
    <t xml:space="preserve">حباب سکه تمام</t>
  </si>
  <si>
    <t xml:space="preserve">حباب ربع سکه</t>
  </si>
  <si>
    <t xml:space="preserve">۲) روند قیمت سکه (از شیت Gold_History)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</si>
  <si>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</si>
  <si>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</si>
  <si>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</si>
  <si>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</si>
  <si>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</si>
  <si>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</si>
  <si>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</si>
  <si>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</si>
  <si>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</si>
  <si>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</si>
  <si>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</si>
  <si>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</si>
  <si>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</si>
  <si>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</si>
  <si>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تفکیک بازده — این رشد از کجا آمده؟</t>
  </si>
  <si>
    <t xml:space="preserve">بازده کل ریالی</t>
  </si>
  <si>
    <t xml:space="preserve">سهم طلای جهانی</t>
  </si>
  <si>
    <t xml:space="preserve">سهم نرخ ارز</t>
  </si>
  <si>
    <t xml:space="preserve">سهم تغییر حباب</t>
  </si>
  <si>
    <t xml:space="preserve">اگر «سهم نرخ ارز» بزرگ‌ترین جزء باشد، این یک موقعیت ارزی است که لباس طلا پوشیده. حباب هم می‌تواند ماه‌ها بالا بماند — سنجه ارزش‌گذاری است، نه زمان‌بندی.</t>
  </si>
  <si>
    <t xml:space="preserve">سیگنال طلا و سکه</t>
  </si>
  <si>
    <t xml:space="preserve">همان انضباط سیگنال سهام، به‌علاوه یک بُعد که در سهام معادل ندارد: ارزش‌گذاری نسبی. حباب ۱۸٪ به‌تنهایی معنا ندارد — صدک آن در توزیع تاریخی معنا دارد.</t>
  </si>
  <si>
    <t xml:space="preserve">دارایی</t>
  </si>
  <si>
    <t xml:space="preserve">شیت تاریخچه</t>
  </si>
  <si>
    <t xml:space="preserve">ردیف آخر</t>
  </si>
  <si>
    <t xml:space="preserve">MA زیر قیمت</t>
  </si>
  <si>
    <t xml:space="preserve">فاصله از MA میان</t>
  </si>
  <si>
    <t xml:space="preserve">بازده ۵ روزه</t>
  </si>
  <si>
    <t xml:space="preserve">بازده ۲۰ روزه</t>
  </si>
  <si>
    <t xml:space="preserve">بازده ۶۰ روزه</t>
  </si>
  <si>
    <t xml:space="preserve">میانه نوسان</t>
  </si>
  <si>
    <t xml:space="preserve">افت از سقف ۶۰ روزه</t>
  </si>
  <si>
    <t xml:space="preserve">سنجه ارزش‌گذاری</t>
  </si>
  <si>
    <t xml:space="preserve">صدک ارزش‌گذاری</t>
  </si>
  <si>
    <t xml:space="preserve">امتیاز روند (T)</t>
  </si>
  <si>
    <t xml:space="preserve">امتیاز مومنتوم (M)</t>
  </si>
  <si>
    <t xml:space="preserve">امتیاز نوسان (V)</t>
  </si>
  <si>
    <t xml:space="preserve">امتیاز ارزش‌گذاری (P)</t>
  </si>
  <si>
    <t xml:space="preserve">امتیاز کل</t>
  </si>
  <si>
    <t xml:space="preserve">سیگنال</t>
  </si>
  <si>
    <t xml:space="preserve">قدرت</t>
  </si>
  <si>
    <t xml:space="preserve">دلیل</t>
  </si>
  <si>
    <t xml:space="preserve">ورودی</t>
  </si>
  <si>
    <t xml:space="preserve">COUNT</t>
  </si>
  <si>
    <t xml:space="preserve">تاریخچه!C</t>
  </si>
  <si>
    <t xml:space="preserve">تاریخچه!I</t>
  </si>
  <si>
    <t xml:space="preserve">تاریخچه!J</t>
  </si>
  <si>
    <t xml:space="preserve">تاریخچه!K</t>
  </si>
  <si>
    <t xml:space="preserve">شمارش</t>
  </si>
  <si>
    <t xml:space="preserve">—</t>
  </si>
  <si>
    <t xml:space="preserve">تاریخچه!L</t>
  </si>
  <si>
    <t xml:space="preserve">MEDIAN</t>
  </si>
  <si>
    <t xml:space="preserve">تاریخچه!O</t>
  </si>
  <si>
    <t xml:space="preserve">تاریخچه!P</t>
  </si>
  <si>
    <t xml:space="preserve">تاریخچه!Q</t>
  </si>
  <si>
    <t xml:space="preserve">±۱۰</t>
  </si>
  <si>
    <t xml:space="preserve">میانگین وزنی</t>
  </si>
  <si>
    <t xml:space="preserve">آستانه Settings</t>
  </si>
  <si>
    <t xml:space="preserve">۱ تا ۵</t>
  </si>
  <si>
    <t xml:space="preserve">سکه تمام بهار آزادی</t>
  </si>
  <si>
    <t xml:space="preserve">Gold_History</t>
  </si>
  <si>
    <t xml:space="preserve">طلای ۱۸ عیار</t>
  </si>
  <si>
    <t xml:space="preserve">Hist_Gram18</t>
  </si>
  <si>
    <t xml:space="preserve">اونس طلای جهانی</t>
  </si>
  <si>
    <t xml:space="preserve">Hist_Ons</t>
  </si>
  <si>
    <t xml:space="preserve">سنجه ارزش‌گذاری برای سکه و گرم، حباب نسبت به ارزش ذاتی فلز است. برای اونس جهانی سنجه ارزش‌گذاری تعریف نشده — طلای جهانی «ارزش ذاتی» قابل‌محاسبه‌ای ندارد که بتوان با آن سنجید، پس امتیاز ارزش‌گذاری آن صفر می‌ماند.</t>
  </si>
  <si>
    <t xml:space="preserve">ستون «سنجه ارزش‌گذاری» را اسکریپت پایتون پر می‌کند، چون ساختن آن نیازمند هم‌تراز کردن چند سری زمانی با تاریخ‌های ناهمسان است — کاری که در اکسل شکننده می‌شود ولی در پایتون بدیهی است. صدک آن اما در اکسل حساب می‌شود تا با تغییر داده زنده به‌روز بماند.</t>
  </si>
  <si>
    <t xml:space="preserve">⚠️ هیچ‌کدام از آستانه‌ها و وزن‌ها بک‌تست نشده‌اند. برای آزمودنشان روی سری واقعی:  python -m timeframe backtest --csv &lt;سری&gt;.csv --name &lt;دارایی&gt;</t>
  </si>
  <si>
    <t xml:space="preserve">ارزش ذاتی و حباب مسکوکات</t>
  </si>
  <si>
    <t xml:space="preserve">ارزش ذاتی یک محاسبه قطعی است: محتوای طلای خالص × قیمت جهانی × نرخ ارز. حباب همان اختلاف قیمت بازار با این عدد است.</t>
  </si>
  <si>
    <t xml:space="preserve">مسکوک</t>
  </si>
  <si>
    <t xml:space="preserve">وزن (گرم)</t>
  </si>
  <si>
    <t xml:space="preserve">عیار</t>
  </si>
  <si>
    <t xml:space="preserve">طلای خالص (گرم)</t>
  </si>
  <si>
    <t xml:space="preserve">ارزش ذاتی (ریال)</t>
  </si>
  <si>
    <t xml:space="preserve">قیمت بازار (ریال)</t>
  </si>
  <si>
    <t xml:space="preserve">حباب (ریال)</t>
  </si>
  <si>
    <t xml:space="preserve">حباب ٪</t>
  </si>
  <si>
    <t xml:space="preserve">-</t>
  </si>
  <si>
    <t xml:space="preserve">وزن × عیار</t>
  </si>
  <si>
    <t xml:space="preserve">GOLD_OZ · USD_FREE</t>
  </si>
  <si>
    <t xml:space="preserve">بازار − ذاتی</t>
  </si>
  <si>
    <t xml:space="preserve">÷ ذاتی − ۱</t>
  </si>
  <si>
    <t xml:space="preserve">نیم سکه</t>
  </si>
  <si>
    <t xml:space="preserve">ربع سکه</t>
  </si>
  <si>
    <t xml:space="preserve">سکه گرمی</t>
  </si>
  <si>
    <t xml:space="preserve">طلای ۱۸ عیار (هر گرم)</t>
  </si>
  <si>
    <t xml:space="preserve">تفکیک بازده ریالی سکه به سه محرک</t>
  </si>
  <si>
    <t xml:space="preserve">بازده کل ریالی سکه</t>
  </si>
  <si>
    <t xml:space="preserve">حباب مبنا</t>
  </si>
  <si>
    <t xml:space="preserve">حباب کنونی</t>
  </si>
  <si>
    <t xml:space="preserve">کنترل صحت (باید با بازده کل یکی باشد)</t>
  </si>
  <si>
    <t xml:space="preserve">اختلاف کنترل با بازده کل</t>
  </si>
  <si>
    <t xml:space="preserve">چرا این تفکیک مهم است: رشد ریالی طلا در ایران اغلب اصلاً درباره طلا نیست. اگر «سهم نرخ ارز» بزرگ‌ترین جزء باشد، شما روی ریال شرط بسته‌اید، نه روی طلا.</t>
  </si>
  <si>
    <t xml:space="preserve">ورودی‌های لحظه‌ای طلا</t>
  </si>
  <si>
    <t xml:space="preserve">سلول‌های زرد را پر کنید. همه محاسبات فایل از همین چند عدد می‌آیند.</t>
  </si>
  <si>
    <t xml:space="preserve">بازار جهانی</t>
  </si>
  <si>
    <t xml:space="preserve">اونس طلا (دلار)</t>
  </si>
  <si>
    <t xml:space="preserve">منبع: بازار جهانی</t>
  </si>
  <si>
    <t xml:space="preserve">اونس نقره (دلار)</t>
  </si>
  <si>
    <t xml:space="preserve">اختیاری — برای نسبت طلا به نقره</t>
  </si>
  <si>
    <t xml:space="preserve">نرخ ارز</t>
  </si>
  <si>
    <t xml:space="preserve">نرخ بازار آزاد</t>
  </si>
  <si>
    <t xml:space="preserve">دلار نیمایی / مرجع (ریال)</t>
  </si>
  <si>
    <t xml:space="preserve">برای محاسبه شکاف</t>
  </si>
  <si>
    <t xml:space="preserve">قیمت بازار داخلی</t>
  </si>
  <si>
    <t xml:space="preserve">سکه تمام بهار آزادی (ریال)</t>
  </si>
  <si>
    <t xml:space="preserve">قیمت بازار</t>
  </si>
  <si>
    <t xml:space="preserve">نیم سکه (ریال)</t>
  </si>
  <si>
    <t xml:space="preserve">ربع سکه (ریال)</t>
  </si>
  <si>
    <t xml:space="preserve">طلای ۱۸ عیار هر گرم (ریال)</t>
  </si>
  <si>
    <t xml:space="preserve">شامل اجرت و مالیات</t>
  </si>
  <si>
    <t xml:space="preserve">مبنای مقایسه (برای تفکیک بازده)</t>
  </si>
  <si>
    <t xml:space="preserve">اونس در تاریخ مبنا (دلار)</t>
  </si>
  <si>
    <t xml:space="preserve">مثلاً ابتدای سال</t>
  </si>
  <si>
    <t xml:space="preserve">دلار در تاریخ مبنا (ریال)</t>
  </si>
  <si>
    <t xml:space="preserve">سکه در تاریخ مبنا (ریال)</t>
  </si>
  <si>
    <t xml:space="preserve">⚠️ اعداد بالا نمونه‌اند. قیمت واقعی روز را جایگزین کنید — همه خروجی‌های فایل مستقیماً از همین سلول‌ها می‌آیند.</t>
  </si>
  <si>
    <t xml:space="preserve">تاریخچه روزانه سکه تمام بهار آزادی</t>
  </si>
  <si>
    <t xml:space="preserve">ستون‌های A تا F ورودی؛ بقیه فرمول. ستون P (حباب) را اسکریپت پایتون پر می‌کند.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</si>
  <si>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</si>
  <si>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</si>
  <si>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</si>
  <si>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</si>
  <si>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</si>
  <si>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</si>
  <si>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</si>
  <si>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حباب سکه</t>
  </si>
  <si>
    <t xml:space="preserve">صدک تاریخی سنجه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</si>
  <si>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</si>
  <si>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</si>
  <si>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</si>
  <si>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</si>
  <si>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</si>
  <si>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</si>
  <si>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</si>
  <si>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</si>
  <si>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پایتون</t>
  </si>
  <si>
    <t xml:space="preserve">PERCENTRANK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</si>
  <si>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</si>
  <si>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</si>
  <si>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</si>
  <si>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</si>
  <si>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</si>
  <si>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</si>
  <si>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</si>
  <si>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</si>
  <si>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</si>
  <si>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</si>
  <si>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</si>
  <si>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</si>
  <si>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</si>
  <si>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</si>
  <si>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</si>
  <si>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</si>
  <si>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</si>
  <si>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</si>
  <si>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</si>
  <si>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</si>
  <si>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</si>
  <si>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</si>
  <si>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</si>
  <si>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</si>
  <si>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</si>
  <si>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</si>
  <si>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</si>
  <si>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</si>
  <si>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</si>
  <si>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</si>
  <si>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</si>
  <si>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</si>
  <si>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</si>
  <si>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</si>
  <si>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</si>
  <si>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</si>
  <si>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</si>
  <si>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</si>
  <si>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</si>
  <si>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</si>
  <si>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</si>
  <si>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</si>
  <si>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</si>
  <si>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</si>
  <si>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</si>
  <si>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</si>
  <si>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</si>
  <si>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</si>
  <si>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</si>
  <si>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</si>
  <si>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</si>
  <si>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</si>
  <si>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</si>
  <si>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</si>
  <si>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</si>
  <si>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</si>
  <si>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</si>
  <si>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</si>
  <si>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</si>
  <si>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</si>
  <si>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</si>
  <si>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</si>
  <si>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</si>
  <si>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</si>
  <si>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</si>
  <si>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</si>
  <si>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</si>
  <si>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</si>
  <si>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</si>
  <si>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</si>
  <si>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</si>
  <si>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</si>
  <si>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</si>
  <si>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</si>
  <si>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</si>
  <si>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</si>
  <si>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</si>
  <si>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</si>
  <si>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</si>
  <si>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</si>
  <si>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</si>
  <si>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</si>
  <si>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</si>
  <si>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</si>
  <si>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</si>
  <si>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</si>
  <si>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</si>
  <si>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</si>
  <si>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</si>
  <si>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</si>
  <si>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</si>
  <si>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</si>
  <si>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</si>
  <si>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</si>
  <si>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</si>
  <si>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</si>
  <si>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</si>
  <si>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</si>
  <si>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</si>
  <si>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</si>
  <si>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</si>
  <si>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</si>
  <si>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</si>
  <si>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</si>
  <si>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</si>
  <si>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</si>
  <si>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</si>
  <si>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</si>
  <si>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</si>
  <si>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</si>
  <si>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</si>
  <si>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</si>
  <si>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</si>
  <si>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</si>
  <si>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</si>
  <si>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</si>
  <si>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</si>
  <si>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</si>
  <si>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</si>
  <si>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</si>
  <si>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</si>
  <si>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</si>
  <si>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</si>
  <si>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</si>
  <si>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</si>
  <si>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</si>
  <si>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</si>
  <si>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</si>
  <si>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</si>
  <si>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</si>
  <si>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</si>
  <si>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</si>
  <si>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</si>
  <si>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</si>
  <si>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</si>
  <si>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</si>
  <si>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</si>
  <si>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</si>
  <si>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</si>
  <si>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</si>
  <si>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</si>
  <si>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</si>
  <si>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</si>
  <si>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</si>
  <si>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</si>
  <si>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</si>
  <si>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</si>
  <si>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</si>
  <si>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</si>
  <si>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</si>
  <si>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</si>
  <si>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</si>
  <si>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</si>
  <si>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</si>
  <si>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</si>
  <si>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</si>
  <si>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</si>
  <si>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</si>
  <si>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</si>
  <si>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</si>
  <si>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</si>
  <si>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</si>
  <si>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</si>
  <si>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</si>
  <si>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</si>
  <si>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</si>
  <si>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</si>
  <si>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</si>
  <si>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</si>
  <si>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</si>
  <si>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</si>
  <si>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</si>
  <si>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</si>
  <si>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</si>
  <si>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</si>
  <si>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</si>
  <si>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</si>
  <si>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</si>
  <si>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</si>
  <si>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</si>
  <si>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</si>
  <si>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</si>
  <si>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</si>
  <si>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</si>
  <si>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</si>
  <si>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</si>
  <si>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</si>
  <si>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</si>
  <si>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</si>
  <si>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</si>
  <si>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</si>
  <si>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</si>
  <si>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</si>
  <si>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</si>
  <si>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</si>
  <si>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</si>
  <si>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</si>
  <si>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</si>
  <si>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</si>
  <si>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</si>
  <si>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</si>
  <si>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</si>
  <si>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</si>
  <si>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</si>
  <si>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</si>
  <si>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</si>
  <si>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</si>
  <si>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</si>
  <si>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</si>
  <si>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</si>
  <si>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</si>
  <si>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</si>
  <si>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</si>
  <si>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</si>
  <si>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</si>
  <si>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</si>
  <si>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</si>
  <si>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</si>
  <si>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</si>
  <si>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</si>
  <si>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</si>
  <si>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</si>
  <si>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</si>
  <si>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</si>
  <si>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</si>
  <si>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</si>
  <si>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</si>
  <si>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</si>
  <si>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</si>
  <si>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</si>
  <si>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</si>
  <si>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</si>
  <si>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</si>
  <si>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</si>
  <si>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</si>
  <si>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</si>
  <si>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</si>
  <si>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</si>
  <si>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</si>
  <si>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</si>
  <si>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</si>
  <si>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</si>
  <si>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</si>
  <si>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</si>
  <si>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</si>
  <si>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</si>
  <si>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</si>
  <si>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</si>
  <si>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</si>
  <si>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</si>
  <si>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</si>
  <si>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</si>
  <si>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</si>
  <si>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</si>
  <si>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</si>
  <si>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</si>
  <si>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</si>
  <si>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</si>
  <si>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</si>
  <si>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</si>
  <si>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</si>
  <si>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</si>
  <si>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</si>
  <si>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</si>
  <si>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</si>
  <si>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</si>
  <si>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</si>
  <si>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</si>
  <si>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</si>
  <si>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</si>
  <si>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</si>
  <si>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</si>
  <si>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</si>
  <si>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</si>
  <si>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</si>
  <si>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</si>
  <si>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</si>
  <si>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</si>
  <si>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</si>
  <si>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</si>
  <si>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</si>
  <si>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</si>
  <si>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</si>
  <si>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</si>
  <si>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</si>
  <si>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</si>
  <si>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</si>
  <si>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</si>
  <si>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</si>
  <si>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</si>
  <si>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</si>
  <si>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</si>
  <si>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</si>
  <si>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</si>
  <si>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</si>
  <si>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</si>
  <si>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</si>
  <si>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</si>
  <si>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</si>
  <si>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</si>
  <si>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</si>
  <si>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</si>
  <si>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</si>
  <si>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</si>
  <si>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</si>
  <si>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</si>
  <si>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</si>
  <si>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</si>
  <si>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</si>
  <si>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</si>
  <si>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</si>
  <si>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</si>
  <si>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</si>
  <si>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</si>
  <si>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</si>
  <si>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</si>
  <si>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</si>
  <si>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</si>
  <si>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</si>
  <si>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</si>
  <si>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</si>
  <si>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</si>
  <si>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</si>
  <si>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</si>
  <si>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</si>
  <si>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</si>
  <si>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</si>
  <si>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</si>
  <si>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</si>
  <si>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</si>
  <si>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</si>
  <si>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</si>
  <si>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</si>
  <si>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</si>
  <si>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</si>
  <si>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</si>
  <si>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</si>
  <si>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</si>
  <si>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</si>
  <si>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</si>
  <si>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</si>
  <si>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</si>
  <si>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</si>
  <si>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</si>
  <si>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</si>
  <si>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</si>
  <si>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</si>
  <si>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</si>
  <si>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</si>
  <si>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</si>
  <si>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</si>
  <si>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</si>
  <si>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</si>
  <si>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</si>
  <si>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</si>
  <si>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</si>
  <si>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</si>
  <si>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</si>
  <si>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</si>
  <si>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</si>
  <si>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</si>
  <si>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</si>
  <si>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</si>
  <si>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</si>
  <si>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</si>
  <si>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</si>
  <si>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</si>
  <si>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</si>
  <si>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</si>
  <si>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</si>
  <si>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</si>
  <si>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</si>
  <si>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</si>
  <si>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</si>
  <si>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</si>
  <si>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</si>
  <si>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</si>
  <si>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</si>
  <si>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</si>
  <si>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</si>
  <si>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</si>
  <si>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</si>
  <si>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</si>
  <si>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</si>
  <si>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</si>
  <si>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</si>
  <si>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</si>
  <si>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</si>
  <si>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</si>
  <si>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</si>
  <si>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</si>
  <si>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</si>
  <si>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</si>
  <si>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</si>
  <si>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</si>
  <si>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</si>
  <si>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</si>
  <si>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</si>
  <si>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</si>
  <si>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</si>
  <si>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</si>
  <si>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</si>
  <si>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</si>
  <si>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</si>
  <si>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</si>
  <si>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</si>
  <si>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</si>
  <si>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</si>
  <si>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</si>
  <si>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</si>
  <si>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</si>
  <si>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</si>
  <si>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</si>
  <si>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</si>
  <si>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</si>
  <si>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</si>
  <si>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</si>
  <si>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</si>
  <si>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</si>
  <si>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</si>
  <si>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</si>
  <si>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</si>
  <si>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</si>
  <si>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</si>
  <si>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</si>
  <si>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</si>
  <si>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</si>
  <si>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</si>
  <si>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</si>
  <si>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</si>
  <si>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</si>
  <si>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</si>
  <si>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</si>
  <si>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</si>
  <si>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</si>
  <si>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</si>
  <si>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</si>
  <si>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</si>
  <si>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</si>
  <si>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</si>
  <si>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</si>
  <si>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</si>
  <si>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</si>
  <si>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</si>
  <si>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</si>
  <si>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</si>
  <si>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</si>
  <si>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</si>
  <si>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</si>
  <si>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</si>
  <si>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</si>
  <si>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</si>
  <si>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</si>
  <si>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</si>
  <si>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</si>
  <si>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</si>
  <si>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</si>
  <si>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</si>
  <si>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</si>
  <si>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</si>
  <si>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</si>
  <si>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</si>
  <si>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</si>
  <si>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</si>
  <si>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</si>
  <si>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</si>
  <si>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</si>
  <si>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</si>
  <si>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</si>
  <si>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</si>
  <si>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</si>
  <si>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</si>
  <si>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</si>
  <si>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</si>
  <si>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</si>
  <si>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</si>
  <si>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</si>
  <si>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</si>
  <si>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</si>
  <si>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</si>
  <si>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</si>
  <si>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</si>
  <si>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</si>
  <si>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</si>
  <si>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</si>
  <si>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</si>
  <si>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</si>
  <si>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</si>
  <si>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</si>
  <si>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</si>
  <si>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</si>
  <si>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</si>
  <si>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</si>
  <si>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</si>
  <si>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</si>
  <si>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</si>
  <si>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</si>
  <si>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</si>
  <si>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</si>
  <si>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</si>
  <si>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تاریخچه روزانه طلای ۱۸ عیار</t>
  </si>
  <si>
    <t xml:space="preserve">با  python scripts/fetch_gold_fx.py --history  پر می‌شود.</t>
  </si>
  <si>
    <t xml:space="preserve">حباب گرم نسبت به فلز</t>
  </si>
  <si>
    <t xml:space="preserve">تاریخچه روزانه اونس طلای جهانی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</si>
  <si>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</si>
  <si>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</si>
  <si>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</si>
  <si>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</si>
  <si>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</si>
  <si>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</si>
  <si>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</si>
  <si>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</si>
  <si>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</si>
  <si>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</si>
  <si>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</si>
  <si>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</si>
  <si>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</si>
  <si>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</si>
  <si>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</si>
  <si>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</si>
  <si>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</si>
  <si>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</si>
  <si>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</si>
  <si>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</si>
  <si>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۵) آستانه سیگنال (امتیاز کل از −۱۰ تا +۱۰)</t>
  </si>
  <si>
    <t xml:space="preserve">حد «خرید قوی» (≥)</t>
  </si>
  <si>
    <t xml:space="preserve">حد «خرید» (≥)</t>
  </si>
  <si>
    <t xml:space="preserve">حد «فروش» (≤)</t>
  </si>
  <si>
    <t xml:space="preserve">حد «فروش قوی» (≤)</t>
  </si>
  <si>
    <t xml:space="preserve">۹) وزن سیگنال دارایی‌های تک‌سری (طلا، سکه، دلار، تتر)</t>
  </si>
  <si>
    <t xml:space="preserve">وزن روند</t>
  </si>
  <si>
    <t xml:space="preserve">قیمت نسبت به سه میانگین متحرک</t>
  </si>
  <si>
    <t xml:space="preserve">وزن مومنتوم</t>
  </si>
  <si>
    <t xml:space="preserve">بازده ۵ و ۲۰ و ۶۰ روزه</t>
  </si>
  <si>
    <t xml:space="preserve">وزن نوسان</t>
  </si>
  <si>
    <t xml:space="preserve">نوسان جاری نسبت به میانه تاریخی</t>
  </si>
  <si>
    <t xml:space="preserve">وزن ارزش‌گذاری</t>
  </si>
  <si>
    <t xml:space="preserve">صدک تاریخی حباب یا پریمیوم</t>
  </si>
  <si>
    <t xml:space="preserve">جمع وزن‌های دارایی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</si>
  <si>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</si>
  <si>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</si>
  <si>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</si>
  <si>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</si>
  <si>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</si>
  <si>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</si>
  <si>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</si>
  <si>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</si>
  <si>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</si>
  <si>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</si>
  <si>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</si>
  <si>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</si>
  <si>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</si>
  <si>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</si>
  <si>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</si>
  <si>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</si>
  <si>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</si>
  <si>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</si>
  <si>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</si>
  <si>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</si>
  <si>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</si>
  <si>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</si>
  <si>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</si>
  <si>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</si>
  <si>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</si>
  <si>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</si>
  <si>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طلا و سکه</t>
  </si>
  <si>
    <t xml:space="preserve">⚠️ داده‌های داخل فایل نمونه (DEMO) و ساختگی‌اند. قیمت‌های واقعی را در شیت Gold_Input و Gold_History وارد کنید.</t>
  </si>
  <si>
    <t xml:space="preserve">۱) منطق تفکیک قیمت</t>
  </si>
  <si>
    <t xml:space="preserve">قیمت سکه = ارزش ذاتی طلای داخل آن + حباب. ارزش ذاتی از اونس جهانی و نرخ ارز به‌دست می‌آید و هیچ فرضی ندارد — یک محاسبه قطعی است.</t>
  </si>
  <si>
    <t xml:space="preserve">ارزش ذاتی</t>
  </si>
  <si>
    <t xml:space="preserve">طلای خالص (گرم) × (اونس ÷ ۳۱٫۱۰۳۴۷۶۸) × نرخ ارز</t>
  </si>
  <si>
    <t xml:space="preserve">حباب</t>
  </si>
  <si>
    <t xml:space="preserve">قیمت بازار ÷ ارزش ذاتی − ۱</t>
  </si>
  <si>
    <t xml:space="preserve">سکه تمام بهار آزادی: ۸٫۱۳۳ گرم با عیار ۹۰۰ ← ۷٫۳۱۹۷ گرم طلای خالص.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</si>
</sst>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"/>
    <numFmt numFmtId="166" formatCode="0.0%;\(0.0%\);\-"/>
    <numFmt numFmtId="167" formatCode="#,##0"/>
    <numFmt numFmtId="168" formatCode="0.0;\(0.0\);\-"/>
    <numFmt numFmtId="169" formatCode="0"/>
    <numFmt numFmtId="170" formatCode="yyyy\-mm\-dd"/>
    <numFmt numFmtId="171" formatCode="#,##0;\(#,##0\);\-"/>
    <numFmt numFmtId="172" formatCode="0.00%;\(0.00%\);\-"/>
    <numFmt numFmtId="173" formatCode="General"/>
    <numFmt numFmtId="174" formatCode="0.00;\(0.00\);\-"/>
    <numFmt numFmtId="175" formatCode="0.000"/>
    <numFmt numFmtId="176" formatCode="0.0000"/>
    <numFmt numFmtId="177" formatCode="0.0000%"/>
    <numFmt numFmtId="178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8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GOLD_OZ</f>
        <v>3400</v>
      </c>
      <c r="D5" s="4" t="s">
        <v>4</v>
      </c>
      <c r="E5" s="6" t="n">
        <f aca="false">IFERROR(USD_FREE/USD_NIMA-1,"")</f>
        <v>0.319444444444444</v>
      </c>
    </row>
    <row r="6" customFormat="false" ht="15" hidden="false" customHeight="false" outlineLevel="0" collapsed="false">
      <c r="A6" s="4" t="s">
        <v>5</v>
      </c>
      <c r="B6" s="7" t="n">
        <f aca="false">USD_FREE</f>
        <v>950000</v>
      </c>
      <c r="D6" s="4" t="s">
        <v>6</v>
      </c>
      <c r="E6" s="8" t="n">
        <f aca="false">IFERROR(GOLD_OZ/SILVER_OZ,"")</f>
        <v>85</v>
      </c>
    </row>
    <row r="7" customFormat="false" ht="15" hidden="false" customHeight="false" outlineLevel="0" collapsed="false">
      <c r="A7" s="4" t="s">
        <v>7</v>
      </c>
      <c r="B7" s="7" t="n">
        <f aca="false">COIN_FULL</f>
        <v>900000000</v>
      </c>
      <c r="D7" s="4" t="s">
        <v>8</v>
      </c>
      <c r="E7" s="7" t="n">
        <f aca="false">Coin_Bubble!$E$9</f>
        <v>77885183.5625013</v>
      </c>
    </row>
    <row r="8" customFormat="false" ht="15" hidden="false" customHeight="false" outlineLevel="0" collapsed="false">
      <c r="A8" s="4" t="s">
        <v>9</v>
      </c>
      <c r="B8" s="7" t="n">
        <f aca="false">Coin_Bubble!$E$5</f>
        <v>760128237.496587</v>
      </c>
      <c r="D8" s="4" t="s">
        <v>10</v>
      </c>
      <c r="E8" s="6" t="n">
        <f aca="false">Coin_Bubble!$H$9</f>
        <v>0.0528318256346749</v>
      </c>
    </row>
    <row r="9" customFormat="false" ht="15" hidden="false" customHeight="false" outlineLevel="0" collapsed="false">
      <c r="A9" s="4" t="s">
        <v>11</v>
      </c>
      <c r="B9" s="9" t="n">
        <f aca="false">BUBBLE_FULL</f>
        <v>0.18401074398192</v>
      </c>
      <c r="D9" s="4" t="s">
        <v>12</v>
      </c>
      <c r="E9" s="6" t="n">
        <f aca="false">Coin_Bubble!$H$7</f>
        <v>0.499746942377099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10" t="n">
        <f aca="false">COUNT($A$5:$A$1204)+4</f>
        <v>4</v>
      </c>
    </row>
    <row r="13" customFormat="false" ht="15" hidden="false" customHeight="false" outlineLevel="0" collapsed="false">
      <c r="A13" s="4" t="s">
        <v>15</v>
      </c>
      <c r="B13" s="11" t="str">
        <f aca="false">IFERROR(INDEX(Gold_History!$A$1:$A$1204,$B$12),"")</f>
        <v>-</v>
      </c>
    </row>
    <row r="14" customFormat="false" ht="15" hidden="false" customHeight="false" outlineLevel="0" collapsed="false">
      <c r="A14" s="4" t="s">
        <v>16</v>
      </c>
      <c r="B14" s="12" t="str">
        <f aca="false">IFERROR(INDEX(Gold_History!$B$1:$B$1204,$B$12),"")</f>
        <v>-</v>
      </c>
    </row>
    <row r="15" customFormat="false" ht="15" hidden="false" customHeight="false" outlineLevel="0" collapsed="false">
      <c r="A15" s="4" t="s">
        <v>17</v>
      </c>
      <c r="B15" s="13" t="str">
        <f aca="false">IFERROR(INDEX(Gold_History!$C$1:$C$1204,$B$12),"")</f>
        <v>close</v>
      </c>
    </row>
    <row r="16" customFormat="false" ht="15" hidden="false" customHeight="false" outlineLevel="0" collapsed="false">
      <c r="A16" s="4" t="s">
        <v>18</v>
      </c>
      <c r="B16" s="14" t="str">
        <f aca="false">IFERROR(INDEX(Gold_History!$H$1:$H$1204,$B$12),"")</f>
        <v>-</v>
      </c>
    </row>
    <row r="17" customFormat="false" ht="15" hidden="false" customHeight="false" outlineLevel="0" collapsed="false">
      <c r="A17" s="4" t="s">
        <v>19</v>
      </c>
      <c r="B17" s="13" t="str">
        <f aca="false">IFERROR(INDEX(Gold_History!$I$1:$I$1204,$B$12),"")</f>
        <v>MA_SHORT</v>
      </c>
    </row>
    <row r="18" customFormat="false" ht="15" hidden="false" customHeight="false" outlineLevel="0" collapsed="false">
      <c r="A18" s="4" t="s">
        <v>20</v>
      </c>
      <c r="B18" s="13" t="str">
        <f aca="false">IFERROR(INDEX(Gold_History!$J$1:$J$1204,$B$12),"")</f>
        <v>MA_MED</v>
      </c>
    </row>
    <row r="19" customFormat="false" ht="15" hidden="false" customHeight="false" outlineLevel="0" collapsed="false">
      <c r="A19" s="4" t="s">
        <v>21</v>
      </c>
      <c r="B19" s="13" t="str">
        <f aca="false">IFERROR(INDEX(Gold_History!$K$1:$K$1204,$B$12),"")</f>
        <v>MA_LONG2</v>
      </c>
    </row>
    <row r="20" customFormat="false" ht="15" hidden="false" customHeight="false" outlineLevel="0" collapsed="false">
      <c r="A20" s="4" t="s">
        <v>22</v>
      </c>
      <c r="B20" s="6" t="str">
        <f aca="false">IFERROR(INDEX(Gold_History!$L$1:$L$1204,$B$12),"")</f>
        <v>-</v>
      </c>
    </row>
    <row r="21" customFormat="false" ht="15" hidden="false" customHeight="false" outlineLevel="0" collapsed="false">
      <c r="A21" s="4" t="s">
        <v>23</v>
      </c>
      <c r="B21" s="13" t="str">
        <f aca="false">IFERROR(INDEX(Gold_History!$M$1:$M$1204,$B$12),"")</f>
        <v>-</v>
      </c>
    </row>
    <row r="22" customFormat="false" ht="15" hidden="false" customHeight="false" outlineLevel="0" collapsed="false">
      <c r="A22" s="4" t="s">
        <v>24</v>
      </c>
      <c r="B22" s="13" t="str">
        <f aca="false">IFERROR(INDEX(Gold_History!$N$1:$N$1204,$B$12),"")</f>
        <v>-</v>
      </c>
    </row>
    <row r="23" customFormat="false" ht="15" hidden="false" customHeight="false" outlineLevel="0" collapsed="false">
      <c r="A23" s="4" t="s">
        <v>25</v>
      </c>
      <c r="B23" s="6" t="str">
        <f aca="false">IFERROR(INDEX(Gold_History!$O$1:$O$1204,$B$12),"")</f>
        <v>-</v>
      </c>
    </row>
    <row r="24" customFormat="false" ht="15" hidden="false" customHeight="false" outlineLevel="0" collapsed="false">
      <c r="A24" s="15" t="s">
        <v>26</v>
      </c>
      <c r="B24" s="16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5" t="s">
        <v>27</v>
      </c>
      <c r="B25" s="17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false" outlineLevel="0" collapsed="false">
      <c r="A28" s="4" t="s">
        <v>29</v>
      </c>
      <c r="B28" s="6" t="n">
        <f aca="false">Coin_Bubble!$B$13</f>
        <v>0.8</v>
      </c>
    </row>
    <row r="29" customFormat="false" ht="15" hidden="false" customHeight="false" outlineLevel="0" collapsed="false">
      <c r="A29" s="4" t="s">
        <v>30</v>
      </c>
      <c r="B29" s="6" t="n">
        <f aca="false">Coin_Bubble!$B$14</f>
        <v>0.307692307692308</v>
      </c>
    </row>
    <row r="30" customFormat="false" ht="15" hidden="false" customHeight="false" outlineLevel="0" collapsed="false">
      <c r="A30" s="4" t="s">
        <v>31</v>
      </c>
      <c r="B30" s="6" t="n">
        <f aca="false">Coin_Bubble!$B$15</f>
        <v>0.583333333333333</v>
      </c>
    </row>
    <row r="31" customFormat="false" ht="15" hidden="false" customHeight="false" outlineLevel="0" collapsed="false">
      <c r="A31" s="4" t="s">
        <v>32</v>
      </c>
      <c r="B31" s="6" t="n">
        <f aca="false">Coin_Bubble!$B$18</f>
        <v>-0.130650154798762</v>
      </c>
    </row>
    <row r="33" customFormat="false" ht="15" hidden="false" customHeight="true" outlineLevel="0" collapsed="false">
      <c r="A33" s="18" t="s">
        <v>33</v>
      </c>
      <c r="B33" s="18"/>
      <c r="C33" s="18"/>
      <c r="D33" s="18"/>
      <c r="E33" s="18"/>
    </row>
  </sheetData>
  <mergeCells count="3">
    <mergeCell ref="A1:E1"/>
    <mergeCell ref="A2:E2"/>
    <mergeCell ref="A33:E33"/>
  </mergeCells>
  <conditionalFormatting sqref="B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0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0" min="18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9"/>
    <col collapsed="false" customWidth="true" hidden="false" outlineLevel="0" max="25" min="25" style="0" width="74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8" hidden="false" customHeight="true" outlineLevel="0" collapsed="false">
      <c r="A2" s="19" t="s">
        <v>35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customFormat="false" ht="30" hidden="false" customHeight="true" outlineLevel="0" collapsed="false">
      <c r="A3" s="20" t="s">
        <v>36</v>
      </c>
      <c r="B3" s="20" t="s">
        <v>37</v>
      </c>
      <c r="C3" s="20" t="s">
        <v>38</v>
      </c>
      <c r="D3" s="20" t="s">
        <v>17</v>
      </c>
      <c r="E3" s="20" t="s">
        <v>19</v>
      </c>
      <c r="F3" s="20" t="s">
        <v>20</v>
      </c>
      <c r="G3" s="20" t="s">
        <v>21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22</v>
      </c>
      <c r="N3" s="20" t="s">
        <v>44</v>
      </c>
      <c r="O3" s="20" t="s">
        <v>45</v>
      </c>
      <c r="P3" s="20" t="s">
        <v>46</v>
      </c>
      <c r="Q3" s="20" t="s">
        <v>47</v>
      </c>
      <c r="R3" s="20" t="s">
        <v>48</v>
      </c>
      <c r="S3" s="20" t="s">
        <v>49</v>
      </c>
      <c r="T3" s="20" t="s">
        <v>50</v>
      </c>
      <c r="U3" s="20" t="s">
        <v>51</v>
      </c>
      <c r="V3" s="20" t="s">
        <v>52</v>
      </c>
      <c r="W3" s="20" t="s">
        <v>53</v>
      </c>
      <c r="X3" s="20" t="s">
        <v>54</v>
      </c>
      <c r="Y3" s="20" t="s">
        <v>55</v>
      </c>
    </row>
    <row r="4" customFormat="false" ht="21.75" hidden="false" customHeight="true" outlineLevel="0" collapsed="false">
      <c r="A4" s="21" t="s">
        <v>56</v>
      </c>
      <c r="B4" s="21" t="s">
        <v>56</v>
      </c>
      <c r="C4" s="21" t="s">
        <v>57</v>
      </c>
      <c r="D4" s="21" t="s">
        <v>58</v>
      </c>
      <c r="E4" s="21" t="s">
        <v>59</v>
      </c>
      <c r="F4" s="21" t="s">
        <v>60</v>
      </c>
      <c r="G4" s="21" t="s">
        <v>61</v>
      </c>
      <c r="H4" s="21" t="s">
        <v>62</v>
      </c>
      <c r="I4" s="21" t="s">
        <v>63</v>
      </c>
      <c r="J4" s="21" t="s">
        <v>63</v>
      </c>
      <c r="K4" s="21" t="s">
        <v>63</v>
      </c>
      <c r="L4" s="21" t="s">
        <v>63</v>
      </c>
      <c r="M4" s="21" t="s">
        <v>64</v>
      </c>
      <c r="N4" s="21" t="s">
        <v>65</v>
      </c>
      <c r="O4" s="21" t="s">
        <v>66</v>
      </c>
      <c r="P4" s="21" t="s">
        <v>67</v>
      </c>
      <c r="Q4" s="21" t="s">
        <v>68</v>
      </c>
      <c r="R4" s="21" t="s">
        <v>69</v>
      </c>
      <c r="S4" s="21" t="s">
        <v>69</v>
      </c>
      <c r="T4" s="21" t="s">
        <v>69</v>
      </c>
      <c r="U4" s="21" t="s">
        <v>69</v>
      </c>
      <c r="V4" s="21" t="s">
        <v>70</v>
      </c>
      <c r="W4" s="21" t="s">
        <v>71</v>
      </c>
      <c r="X4" s="21" t="s">
        <v>72</v>
      </c>
      <c r="Y4" s="21" t="s">
        <v>63</v>
      </c>
    </row>
    <row r="5" customFormat="false" ht="25.5" hidden="false" customHeight="true" outlineLevel="0" collapsed="false">
      <c r="A5" s="22" t="s">
        <v>73</v>
      </c>
      <c r="B5" s="23" t="s">
        <v>74</v>
      </c>
      <c r="C5" s="24" t="n">
        <f aca="true">COUNT(INDIRECT($B5&amp;"!$A$5:$A$5000"))+4</f>
        <v>504</v>
      </c>
      <c r="D5" s="25" t="n">
        <f aca="true">IFERROR(INDEX(INDIRECT($B5&amp;"!$C:$C"),$C5),"")</f>
        <v>1156997319</v>
      </c>
      <c r="E5" s="25" t="n">
        <f aca="true">IFERROR(INDEX(INDIRECT($B5&amp;"!$I:$I"),$C5),"")</f>
        <v>1148543523.85</v>
      </c>
      <c r="F5" s="25" t="n">
        <f aca="true">IFERROR(INDEX(INDIRECT($B5&amp;"!$J:$J"),$C5),"")</f>
        <v>1110313121.42</v>
      </c>
      <c r="G5" s="25" t="n">
        <f aca="true">IFERROR(INDEX(INDIRECT($B5&amp;"!$K:$K"),$C5),"")</f>
        <v>1016175136.725</v>
      </c>
      <c r="H5" s="24" t="n">
        <f aca="false">IF(NOT(ISNUMBER($D5)),"",IF($D5&gt;$E5,1,0)+IF($D5&gt;$F5,1,0)+IF($D5&gt;$G5,1,0))</f>
        <v>3</v>
      </c>
      <c r="I5" s="26" t="n">
        <f aca="false">IFERROR($D5/$F5-1,"")</f>
        <v>0.0420459748510353</v>
      </c>
      <c r="J5" s="26" t="n">
        <f aca="true">IFERROR($D5/INDEX(INDIRECT($B5&amp;"!$C:$C"),$C5-5)-1,"")</f>
        <v>-0.000654360430489276</v>
      </c>
      <c r="K5" s="26" t="n">
        <f aca="true">IFERROR($D5/INDEX(INDIRECT($B5&amp;"!$C:$C"),$C5-20)-1,"")</f>
        <v>0.048395040255024</v>
      </c>
      <c r="L5" s="26" t="n">
        <f aca="true">IFERROR($D5/INDEX(INDIRECT($B5&amp;"!$C:$C"),$C5-60)-1,"")</f>
        <v>0.0822207847162368</v>
      </c>
      <c r="M5" s="26" t="n">
        <f aca="true">IFERROR(INDEX(INDIRECT($B5&amp;"!$L:$L"),$C5),"")</f>
        <v>0.17099497711346</v>
      </c>
      <c r="N5" s="26" t="n">
        <f aca="true">IFERROR(MEDIAN(INDIRECT($B5&amp;"!$L$5:$L$5000")),"")</f>
        <v>0.194172557026051</v>
      </c>
      <c r="O5" s="26" t="n">
        <f aca="true">IFERROR(INDEX(INDIRECT($B5&amp;"!$O:$O"),$C5),"")</f>
        <v>-0.0226305627880193</v>
      </c>
      <c r="P5" s="26" t="str">
        <f aca="true">IFERROR(IF(ISBLANK(INDEX(INDIRECT($B5&amp;"!$P:$P"),$C5)),"",INDEX(INDIRECT($B5&amp;"!$P:$P"),$C5)),"")</f>
        <v/>
      </c>
      <c r="Q5" s="26" t="str">
        <f aca="true">IFERROR(IF(ISBLANK(INDEX(INDIRECT($B5&amp;"!$Q:$Q"),$C5)),"",INDEX(INDIRECT($B5&amp;"!$Q:$Q"),$C5)),"")</f>
        <v/>
      </c>
      <c r="R5" s="27" t="n">
        <f aca="false">IF(NOT(ISNUMBER($D5)),0,IFERROR(MAX(-10,MIN(10,IF($D5&gt;$E5,2.5,-2.5)+IF($D5&gt;$F5,3.5,-3.5)+IF($D5&gt;$G5,4,-4))),0))</f>
        <v>10</v>
      </c>
      <c r="S5" s="27" t="n">
        <f aca="false">IF(NOT(ISNUMBER($D5)),0,IFERROR(MAX(-10,MIN(10,IF($J5&gt;0.02,2,IF($J5&gt;0,1,IF($J5&lt;-0.02,-2,-1)))+IF($K5&gt;0.05,4,IF($K5&gt;0,2,IF($K5&lt;-0.05,-4,-2)))+IF($L5&gt;0.1,4,IF($L5&gt;0,2,IF($L5&lt;-0.1,-4,-2))))),0))</f>
        <v>3</v>
      </c>
      <c r="T5" s="27" t="n">
        <f aca="false">IF(OR(NOT(ISNUMBER($M5)),NOT(ISNUMBER($N5)),$N5=0),0,IFERROR(MAX(-10,MIN(10,IF($M5/$N5&gt;2,-6,IF($M5/$N5&gt;1.4,-3,IF($M5/$N5&lt;0.7,3,1))))),0))</f>
        <v>1</v>
      </c>
      <c r="U5" s="27" t="n">
        <f aca="false">IF(NOT(ISNUMBER($Q5)),0,IFERROR(MAX(-10,MIN(10,IF($Q5&gt;=0.9,-8,IF($Q5&gt;=0.75,-4,IF($Q5&lt;=0.1,8,IF($Q5&lt;=0.25,4,0)))))),0))</f>
        <v>0</v>
      </c>
      <c r="V5" s="27" t="n">
        <f aca="false">IF(NOT(ISNUMBER($D5)),"",IFERROR(($R5*AW_TREND+$S5*AW_MOM+$T5*AW_VOL+IF(ISNUMBER($Q5),$U5*AW_VAL,0))/(AW_TREND+AW_MOM+AW_VOL+IF(ISNUMBER($Q5),AW_VAL,0)),0))</f>
        <v>5.86666666666667</v>
      </c>
      <c r="W5" s="28" t="str">
        <f aca="false">IF(NOT(ISNUMBER($V5)),"",IF($V5&gt;=TH_SBUY,"خرید قوی",IF($V5&gt;=TH_BUY,"خرید",IF($V5&lt;=TH_SSELL,"فروش قوی",IF($V5&lt;=TH_SELL,"فروش","نگهداری")))))</f>
        <v>خرید قوی</v>
      </c>
      <c r="X5" s="29" t="n">
        <f aca="false">IF(NOT(ISNUMBER($V5)),"",IF(ABS($V5)&gt;=8,5,IF(ABS($V5)&gt;=5,4,IF(ABS($V5)&gt;=3,3,IF(ABS($V5)&gt;=1.5,2,1)))))</f>
        <v>4</v>
      </c>
      <c r="Y5" s="30" t="str">
        <f aca="false">IF(NOT(ISNUMBER($D5)),"","روند: "&amp;IF($R5&gt;=5,"صعودی قوی",IF($R5&gt;=2,"صعودی",IF($R5&lt;=-5,"نزولی قوی",IF($R5&lt;=-2,"نزولی","خنثی"))))&amp;" | MA: "&amp;$H5&amp;"/3"&amp;" | مومنتوم ۲۰ روزه: "&amp;IFERROR(TEXT($K5,"0.0%"),"—")&amp;" | نوسان: "&amp;IFERROR(TEXT($M5,"0%"),"—")&amp;" (میانه "&amp;IFERROR(TEXT($N5,"0%"),"—")&amp;")"&amp;" | ارزش‌گذاری: صدک "&amp;IFERROR(TEXT($Q5,"0%"),"—"))</f>
        <v>روند: صعودی قوی | MA: 3/3 | مومنتوم ۲۰ روزه: 4.8% | نوسان: 17% (میانه 19%) | ارزش‌گذاری: صدک </v>
      </c>
    </row>
    <row r="6" customFormat="false" ht="25.5" hidden="false" customHeight="true" outlineLevel="0" collapsed="false">
      <c r="A6" s="22" t="s">
        <v>75</v>
      </c>
      <c r="B6" s="23" t="s">
        <v>76</v>
      </c>
      <c r="C6" s="24" t="n">
        <f aca="true">COUNT(INDIRECT($B6&amp;"!$A$5:$A$5000"))+4</f>
        <v>504</v>
      </c>
      <c r="D6" s="25" t="n">
        <f aca="true">IFERROR(INDEX(INDIRECT($B6&amp;"!$C:$C"),$C6),"")</f>
        <v>107465892</v>
      </c>
      <c r="E6" s="25" t="n">
        <f aca="true">IFERROR(INDEX(INDIRECT($B6&amp;"!$I:$I"),$C6),"")</f>
        <v>104204454.8</v>
      </c>
      <c r="F6" s="25" t="n">
        <f aca="true">IFERROR(INDEX(INDIRECT($B6&amp;"!$J:$J"),$C6),"")</f>
        <v>105232743.84</v>
      </c>
      <c r="G6" s="25" t="n">
        <f aca="true">IFERROR(INDEX(INDIRECT($B6&amp;"!$K:$K"),$C6),"")</f>
        <v>109713047.575</v>
      </c>
      <c r="H6" s="24" t="n">
        <f aca="false">IF(NOT(ISNUMBER($D6)),"",IF($D6&gt;$E6,1,0)+IF($D6&gt;$F6,1,0)+IF($D6&gt;$G6,1,0))</f>
        <v>2</v>
      </c>
      <c r="I6" s="26" t="n">
        <f aca="false">IFERROR($D6/$F6-1,"")</f>
        <v>0.0212210389894933</v>
      </c>
      <c r="J6" s="26" t="n">
        <f aca="true">IFERROR($D6/INDEX(INDIRECT($B6&amp;"!$C:$C"),$C6-5)-1,"")</f>
        <v>0.0240983839858777</v>
      </c>
      <c r="K6" s="26" t="n">
        <f aca="true">IFERROR($D6/INDEX(INDIRECT($B6&amp;"!$C:$C"),$C6-20)-1,"")</f>
        <v>0.0616853899560841</v>
      </c>
      <c r="L6" s="26" t="n">
        <f aca="true">IFERROR($D6/INDEX(INDIRECT($B6&amp;"!$C:$C"),$C6-60)-1,"")</f>
        <v>-0.00199703875156732</v>
      </c>
      <c r="M6" s="26" t="n">
        <f aca="true">IFERROR(INDEX(INDIRECT($B6&amp;"!$L:$L"),$C6),"")</f>
        <v>0.135573783102082</v>
      </c>
      <c r="N6" s="26" t="n">
        <f aca="true">IFERROR(MEDIAN(INDIRECT($B6&amp;"!$L$5:$L$5000")),"")</f>
        <v>0.203994906527074</v>
      </c>
      <c r="O6" s="26" t="n">
        <f aca="true">IFERROR(INDEX(INDIRECT($B6&amp;"!$O:$O"),$C6),"")</f>
        <v>-0.0237615280279495</v>
      </c>
      <c r="P6" s="26" t="str">
        <f aca="true">IFERROR(IF(ISBLANK(INDEX(INDIRECT($B6&amp;"!$P:$P"),$C6)),"",INDEX(INDIRECT($B6&amp;"!$P:$P"),$C6)),"")</f>
        <v/>
      </c>
      <c r="Q6" s="26" t="str">
        <f aca="true">IFERROR(IF(ISBLANK(INDEX(INDIRECT($B6&amp;"!$Q:$Q"),$C6)),"",INDEX(INDIRECT($B6&amp;"!$Q:$Q"),$C6)),"")</f>
        <v/>
      </c>
      <c r="R6" s="27" t="n">
        <f aca="false">IF(NOT(ISNUMBER($D6)),0,IFERROR(MAX(-10,MIN(10,IF($D6&gt;$E6,2.5,-2.5)+IF($D6&gt;$F6,3.5,-3.5)+IF($D6&gt;$G6,4,-4))),0))</f>
        <v>2</v>
      </c>
      <c r="S6" s="27" t="n">
        <f aca="false">IF(NOT(ISNUMBER($D6)),0,IFERROR(MAX(-10,MIN(10,IF($J6&gt;0.02,2,IF($J6&gt;0,1,IF($J6&lt;-0.02,-2,-1)))+IF($K6&gt;0.05,4,IF($K6&gt;0,2,IF($K6&lt;-0.05,-4,-2)))+IF($L6&gt;0.1,4,IF($L6&gt;0,2,IF($L6&lt;-0.1,-4,-2))))),0))</f>
        <v>4</v>
      </c>
      <c r="T6" s="27" t="n">
        <f aca="false">IF(OR(NOT(ISNUMBER($M6)),NOT(ISNUMBER($N6)),$N6=0),0,IFERROR(MAX(-10,MIN(10,IF($M6/$N6&gt;2,-6,IF($M6/$N6&gt;1.4,-3,IF($M6/$N6&lt;0.7,3,1))))),0))</f>
        <v>3</v>
      </c>
      <c r="U6" s="27" t="n">
        <f aca="false">IF(NOT(ISNUMBER($Q6)),0,IFERROR(MAX(-10,MIN(10,IF($Q6&gt;=0.9,-8,IF($Q6&gt;=0.75,-4,IF($Q6&lt;=0.1,8,IF($Q6&lt;=0.25,4,0)))))),0))</f>
        <v>0</v>
      </c>
      <c r="V6" s="27" t="n">
        <f aca="false">IF(NOT(ISNUMBER($D6)),"",IFERROR(($R6*AW_TREND+$S6*AW_MOM+$T6*AW_VOL+IF(ISNUMBER($Q6),$U6*AW_VAL,0))/(AW_TREND+AW_MOM+AW_VOL+IF(ISNUMBER($Q6),AW_VAL,0)),0))</f>
        <v>2.86666666666667</v>
      </c>
      <c r="W6" s="28" t="str">
        <f aca="false">IF(NOT(ISNUMBER($V6)),"",IF($V6&gt;=TH_SBUY,"خرید قوی",IF($V6&gt;=TH_BUY,"خرید",IF($V6&lt;=TH_SSELL,"فروش قوی",IF($V6&lt;=TH_SELL,"فروش","نگهداری")))))</f>
        <v>خرید</v>
      </c>
      <c r="X6" s="29" t="n">
        <f aca="false">IF(NOT(ISNUMBER($V6)),"",IF(ABS($V6)&gt;=8,5,IF(ABS($V6)&gt;=5,4,IF(ABS($V6)&gt;=3,3,IF(ABS($V6)&gt;=1.5,2,1)))))</f>
        <v>2</v>
      </c>
      <c r="Y6" s="30" t="str">
        <f aca="false">IF(NOT(ISNUMBER($D6)),"","روند: "&amp;IF($R6&gt;=5,"صعودی قوی",IF($R6&gt;=2,"صعودی",IF($R6&lt;=-5,"نزولی قوی",IF($R6&lt;=-2,"نزولی","خنثی"))))&amp;" | MA: "&amp;$H6&amp;"/3"&amp;" | مومنتوم ۲۰ روزه: "&amp;IFERROR(TEXT($K6,"0.0%"),"—")&amp;" | نوسان: "&amp;IFERROR(TEXT($M6,"0%"),"—")&amp;" (میانه "&amp;IFERROR(TEXT($N6,"0%"),"—")&amp;")"&amp;" | ارزش‌گذاری: صدک "&amp;IFERROR(TEXT($Q6,"0%"),"—"))</f>
        <v>روند: صعودی | MA: 2/3 | مومنتوم ۲۰ روزه: 6.2% | نوسان: 14% (میانه 20%) | ارزش‌گذاری: صدک </v>
      </c>
    </row>
    <row r="7" customFormat="false" ht="25.5" hidden="false" customHeight="true" outlineLevel="0" collapsed="false">
      <c r="A7" s="22" t="s">
        <v>77</v>
      </c>
      <c r="B7" s="23" t="s">
        <v>78</v>
      </c>
      <c r="C7" s="24" t="n">
        <f aca="true">COUNT(INDIRECT($B7&amp;"!$A$5:$A$5000"))+4</f>
        <v>504</v>
      </c>
      <c r="D7" s="25" t="n">
        <f aca="true">IFERROR(INDEX(INDIRECT($B7&amp;"!$C:$C"),$C7),"")</f>
        <v>7916</v>
      </c>
      <c r="E7" s="25" t="n">
        <f aca="true">IFERROR(INDEX(INDIRECT($B7&amp;"!$I:$I"),$C7),"")</f>
        <v>7545.1</v>
      </c>
      <c r="F7" s="25" t="n">
        <f aca="true">IFERROR(INDEX(INDIRECT($B7&amp;"!$J:$J"),$C7),"")</f>
        <v>7360.68</v>
      </c>
      <c r="G7" s="25" t="n">
        <f aca="true">IFERROR(INDEX(INDIRECT($B7&amp;"!$K:$K"),$C7),"")</f>
        <v>6918.65</v>
      </c>
      <c r="H7" s="24" t="n">
        <f aca="false">IF(NOT(ISNUMBER($D7)),"",IF($D7&gt;$E7,1,0)+IF($D7&gt;$F7,1,0)+IF($D7&gt;$G7,1,0))</f>
        <v>3</v>
      </c>
      <c r="I7" s="26" t="n">
        <f aca="false">IFERROR($D7/$F7-1,"")</f>
        <v>0.0754441165761859</v>
      </c>
      <c r="J7" s="26" t="n">
        <f aca="true">IFERROR($D7/INDEX(INDIRECT($B7&amp;"!$C:$C"),$C7-5)-1,"")</f>
        <v>0.0190525231719876</v>
      </c>
      <c r="K7" s="26" t="n">
        <f aca="true">IFERROR($D7/INDEX(INDIRECT($B7&amp;"!$C:$C"),$C7-20)-1,"")</f>
        <v>0.100514388989295</v>
      </c>
      <c r="L7" s="26" t="n">
        <f aca="true">IFERROR($D7/INDEX(INDIRECT($B7&amp;"!$C:$C"),$C7-60)-1,"")</f>
        <v>0.0625503355704697</v>
      </c>
      <c r="M7" s="26" t="n">
        <f aca="true">IFERROR(INDEX(INDIRECT($B7&amp;"!$L:$L"),$C7),"")</f>
        <v>0.16757101669043</v>
      </c>
      <c r="N7" s="26" t="n">
        <f aca="true">IFERROR(MEDIAN(INDIRECT($B7&amp;"!$L$5:$L$5000")),"")</f>
        <v>0.19495266154838</v>
      </c>
      <c r="O7" s="26" t="n">
        <f aca="true">IFERROR(INDEX(INDIRECT($B7&amp;"!$O:$O"),$C7),"")</f>
        <v>-0.0170122935551968</v>
      </c>
      <c r="P7" s="26" t="str">
        <f aca="true">IFERROR(IF(ISBLANK(INDEX(INDIRECT($B7&amp;"!$P:$P"),$C7)),"",INDEX(INDIRECT($B7&amp;"!$P:$P"),$C7)),"")</f>
        <v/>
      </c>
      <c r="Q7" s="26" t="str">
        <f aca="true">IFERROR(IF(ISBLANK(INDEX(INDIRECT($B7&amp;"!$Q:$Q"),$C7)),"",INDEX(INDIRECT($B7&amp;"!$Q:$Q"),$C7)),"")</f>
        <v/>
      </c>
      <c r="R7" s="27" t="n">
        <f aca="false">IF(NOT(ISNUMBER($D7)),0,IFERROR(MAX(-10,MIN(10,IF($D7&gt;$E7,2.5,-2.5)+IF($D7&gt;$F7,3.5,-3.5)+IF($D7&gt;$G7,4,-4))),0))</f>
        <v>10</v>
      </c>
      <c r="S7" s="27" t="n">
        <f aca="false">IF(NOT(ISNUMBER($D7)),0,IFERROR(MAX(-10,MIN(10,IF($J7&gt;0.02,2,IF($J7&gt;0,1,IF($J7&lt;-0.02,-2,-1)))+IF($K7&gt;0.05,4,IF($K7&gt;0,2,IF($K7&lt;-0.05,-4,-2)))+IF($L7&gt;0.1,4,IF($L7&gt;0,2,IF($L7&lt;-0.1,-4,-2))))),0))</f>
        <v>7</v>
      </c>
      <c r="T7" s="27" t="n">
        <f aca="false">IF(OR(NOT(ISNUMBER($M7)),NOT(ISNUMBER($N7)),$N7=0),0,IFERROR(MAX(-10,MIN(10,IF($M7/$N7&gt;2,-6,IF($M7/$N7&gt;1.4,-3,IF($M7/$N7&lt;0.7,3,1))))),0))</f>
        <v>1</v>
      </c>
      <c r="U7" s="27" t="n">
        <f aca="false">IF(NOT(ISNUMBER($Q7)),0,IFERROR(MAX(-10,MIN(10,IF($Q7&gt;=0.9,-8,IF($Q7&gt;=0.75,-4,IF($Q7&lt;=0.1,8,IF($Q7&lt;=0.25,4,0)))))),0))</f>
        <v>0</v>
      </c>
      <c r="V7" s="27" t="n">
        <f aca="false">IF(NOT(ISNUMBER($D7)),"",IFERROR(($R7*AW_TREND+$S7*AW_MOM+$T7*AW_VOL+IF(ISNUMBER($Q7),$U7*AW_VAL,0))/(AW_TREND+AW_MOM+AW_VOL+IF(ISNUMBER($Q7),AW_VAL,0)),0))</f>
        <v>7.2</v>
      </c>
      <c r="W7" s="28" t="str">
        <f aca="false">IF(NOT(ISNUMBER($V7)),"",IF($V7&gt;=TH_SBUY,"خرید قوی",IF($V7&gt;=TH_BUY,"خرید",IF($V7&lt;=TH_SSELL,"فروش قوی",IF($V7&lt;=TH_SELL,"فروش","نگهداری")))))</f>
        <v>خرید قوی</v>
      </c>
      <c r="X7" s="29" t="n">
        <f aca="false">IF(NOT(ISNUMBER($V7)),"",IF(ABS($V7)&gt;=8,5,IF(ABS($V7)&gt;=5,4,IF(ABS($V7)&gt;=3,3,IF(ABS($V7)&gt;=1.5,2,1)))))</f>
        <v>4</v>
      </c>
      <c r="Y7" s="30" t="str">
        <f aca="false">IF(NOT(ISNUMBER($D7)),"","روند: "&amp;IF($R7&gt;=5,"صعودی قوی",IF($R7&gt;=2,"صعودی",IF($R7&lt;=-5,"نزولی قوی",IF($R7&lt;=-2,"نزولی","خنثی"))))&amp;" | MA: "&amp;$H7&amp;"/3"&amp;" | مومنتوم ۲۰ روزه: "&amp;IFERROR(TEXT($K7,"0.0%"),"—")&amp;" | نوسان: "&amp;IFERROR(TEXT($M7,"0%"),"—")&amp;" (میانه "&amp;IFERROR(TEXT($N7,"0%"),"—")&amp;")"&amp;" | ارزش‌گذاری: صدک "&amp;IFERROR(TEXT($Q7,"0%"),"—"))</f>
        <v>روند: صعودی قوی | MA: 3/3 | مومنتوم ۲۰ روزه: 10.1% | نوسان: 17% (میانه 19%) | ارزش‌گذاری: صدک </v>
      </c>
    </row>
    <row r="9" customFormat="false" ht="30" hidden="false" customHeight="true" outlineLevel="0" collapsed="false">
      <c r="A9" s="31" t="s">
        <v>79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</row>
    <row r="10" customFormat="false" ht="30" hidden="false" customHeight="true" outlineLevel="0" collapsed="false">
      <c r="A10" s="31" t="s">
        <v>80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</row>
    <row r="11" customFormat="false" ht="30" hidden="false" customHeight="true" outlineLevel="0" collapsed="false">
      <c r="A11" s="31" t="s">
        <v>81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</row>
  </sheetData>
  <mergeCells count="5">
    <mergeCell ref="A1:Y1"/>
    <mergeCell ref="A2:Y2"/>
    <mergeCell ref="A9:Y9"/>
    <mergeCell ref="A10:Y10"/>
    <mergeCell ref="A11:Y11"/>
  </mergeCells>
  <conditionalFormatting sqref="R5:R7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S5:S7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T5:T7">
    <cfRule type="colorScale" priority="4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U5:U7">
    <cfRule type="colorScale" priority="5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V5:V7">
    <cfRule type="colorScale" priority="6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W5:W7">
    <cfRule type="cellIs" priority="7" operator="equal" aboveAverage="0" equalAverage="0" bottom="0" percent="0" rank="0" text="" dxfId="0">
      <formula>"خرید قوی"</formula>
    </cfRule>
    <cfRule type="cellIs" priority="8" operator="equal" aboveAverage="0" equalAverage="0" bottom="0" percent="0" rank="0" text="" dxfId="1">
      <formula>"خرید"</formula>
    </cfRule>
    <cfRule type="cellIs" priority="9" operator="equal" aboveAverage="0" equalAverage="0" bottom="0" percent="0" rank="0" text="" dxfId="2">
      <formula>"نگهداری"</formula>
    </cfRule>
    <cfRule type="cellIs" priority="10" operator="equal" aboveAverage="0" equalAverage="0" bottom="0" percent="0" rank="0" text="" dxfId="3">
      <formula>"فروش"</formula>
    </cfRule>
    <cfRule type="cellIs" priority="11" operator="equal" aboveAverage="0" equalAverage="0" bottom="0" percent="0" rank="0" text="" dxfId="4">
      <formula>"فروش قوی"</formula>
    </cfRule>
  </conditionalFormatting>
  <conditionalFormatting sqref="Q5:Q7">
    <cfRule type="colorScale" priority="1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7" min="5" style="0" width="20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19" t="s">
        <v>83</v>
      </c>
      <c r="B2" s="19"/>
      <c r="C2" s="19"/>
      <c r="D2" s="19"/>
      <c r="E2" s="19"/>
      <c r="F2" s="19"/>
      <c r="G2" s="19"/>
      <c r="H2" s="19"/>
    </row>
    <row r="3" customFormat="false" ht="30" hidden="false" customHeight="true" outlineLevel="0" collapsed="false">
      <c r="A3" s="20" t="s">
        <v>84</v>
      </c>
      <c r="B3" s="20" t="s">
        <v>85</v>
      </c>
      <c r="C3" s="20" t="s">
        <v>86</v>
      </c>
      <c r="D3" s="20" t="s">
        <v>87</v>
      </c>
      <c r="E3" s="20" t="s">
        <v>88</v>
      </c>
      <c r="F3" s="20" t="s">
        <v>89</v>
      </c>
      <c r="G3" s="20" t="s">
        <v>90</v>
      </c>
      <c r="H3" s="20" t="s">
        <v>91</v>
      </c>
    </row>
    <row r="4" customFormat="false" ht="21.75" hidden="false" customHeight="true" outlineLevel="0" collapsed="false">
      <c r="A4" s="21" t="s">
        <v>92</v>
      </c>
      <c r="B4" s="21" t="s">
        <v>56</v>
      </c>
      <c r="C4" s="21" t="s">
        <v>56</v>
      </c>
      <c r="D4" s="21" t="s">
        <v>93</v>
      </c>
      <c r="E4" s="21" t="s">
        <v>94</v>
      </c>
      <c r="F4" s="21" t="s">
        <v>56</v>
      </c>
      <c r="G4" s="21" t="s">
        <v>95</v>
      </c>
      <c r="H4" s="21" t="s">
        <v>96</v>
      </c>
    </row>
    <row r="5" customFormat="false" ht="15" hidden="false" customHeight="false" outlineLevel="0" collapsed="false">
      <c r="A5" s="32" t="s">
        <v>73</v>
      </c>
      <c r="B5" s="33" t="n">
        <v>8.133</v>
      </c>
      <c r="C5" s="34" t="n">
        <v>0.9</v>
      </c>
      <c r="D5" s="35" t="n">
        <f aca="false">$B5*$C5</f>
        <v>7.3197</v>
      </c>
      <c r="E5" s="36" t="n">
        <f aca="false">$D5*(GOLD_OZ/31.1034768)*USD_FREE</f>
        <v>760128237.496587</v>
      </c>
      <c r="F5" s="36" t="n">
        <f aca="false">COIN_FULL</f>
        <v>900000000</v>
      </c>
      <c r="G5" s="36" t="n">
        <f aca="false">IFERROR($F5-$E5,"")</f>
        <v>139871762.503413</v>
      </c>
      <c r="H5" s="37" t="n">
        <f aca="false">IFERROR($F5/$E5-1,"")</f>
        <v>0.18401074398192</v>
      </c>
    </row>
    <row r="6" customFormat="false" ht="15" hidden="false" customHeight="false" outlineLevel="0" collapsed="false">
      <c r="A6" s="32" t="s">
        <v>97</v>
      </c>
      <c r="B6" s="33" t="n">
        <v>4.0665</v>
      </c>
      <c r="C6" s="34" t="n">
        <v>0.9</v>
      </c>
      <c r="D6" s="35" t="n">
        <f aca="false">$B6*$C6</f>
        <v>3.65985</v>
      </c>
      <c r="E6" s="36" t="n">
        <f aca="false">$D6*(GOLD_OZ/31.1034768)*USD_FREE</f>
        <v>380064118.748294</v>
      </c>
      <c r="F6" s="36" t="n">
        <f aca="false">COIN_HALF</f>
        <v>470000000</v>
      </c>
      <c r="G6" s="36" t="n">
        <f aca="false">IFERROR($F6-$E6,"")</f>
        <v>89935881.2517063</v>
      </c>
      <c r="H6" s="37" t="n">
        <f aca="false">IFERROR($F6/$E6-1,"")</f>
        <v>0.23663344371445</v>
      </c>
    </row>
    <row r="7" customFormat="false" ht="15" hidden="false" customHeight="false" outlineLevel="0" collapsed="false">
      <c r="A7" s="32" t="s">
        <v>98</v>
      </c>
      <c r="B7" s="33" t="n">
        <v>2.03325</v>
      </c>
      <c r="C7" s="34" t="n">
        <v>0.9</v>
      </c>
      <c r="D7" s="35" t="n">
        <f aca="false">$B7*$C7</f>
        <v>1.829925</v>
      </c>
      <c r="E7" s="36" t="n">
        <f aca="false">$D7*(GOLD_OZ/31.1034768)*USD_FREE</f>
        <v>190032059.374147</v>
      </c>
      <c r="F7" s="36" t="n">
        <f aca="false">COIN_QTR</f>
        <v>285000000</v>
      </c>
      <c r="G7" s="36" t="n">
        <f aca="false">IFERROR($F7-$E7,"")</f>
        <v>94967940.6258532</v>
      </c>
      <c r="H7" s="37" t="n">
        <f aca="false">IFERROR($F7/$E7-1,"")</f>
        <v>0.499746942377099</v>
      </c>
    </row>
    <row r="8" customFormat="false" ht="15" hidden="false" customHeight="false" outlineLevel="0" collapsed="false">
      <c r="A8" s="32" t="s">
        <v>99</v>
      </c>
      <c r="B8" s="33" t="n">
        <v>1.0166</v>
      </c>
      <c r="C8" s="34" t="n">
        <v>0.9</v>
      </c>
      <c r="D8" s="35" t="n">
        <f aca="false">$B8*$C8</f>
        <v>0.91494</v>
      </c>
      <c r="E8" s="36" t="n">
        <f aca="false">$D8*(GOLD_OZ/31.1034768)*USD_FREE</f>
        <v>95013693.1315666</v>
      </c>
      <c r="F8" s="38"/>
      <c r="G8" s="36" t="n">
        <f aca="false">IFERROR($F8-$E8,"")</f>
        <v>-95013693.1315666</v>
      </c>
      <c r="H8" s="37" t="n">
        <f aca="false">IFERROR($F8/$E8-1,"")</f>
        <v>-1</v>
      </c>
    </row>
    <row r="9" customFormat="false" ht="15" hidden="false" customHeight="false" outlineLevel="0" collapsed="false">
      <c r="A9" s="32" t="s">
        <v>100</v>
      </c>
      <c r="B9" s="33" t="n">
        <v>1</v>
      </c>
      <c r="C9" s="34" t="n">
        <v>0.75</v>
      </c>
      <c r="D9" s="35" t="n">
        <f aca="false">$B9*$C9</f>
        <v>0.75</v>
      </c>
      <c r="E9" s="36" t="n">
        <f aca="false">$D9*(GOLD_OZ/31.1034768)*USD_FREE</f>
        <v>77885183.5625013</v>
      </c>
      <c r="F9" s="36" t="n">
        <f aca="false">GRAM_18K</f>
        <v>82000000</v>
      </c>
      <c r="G9" s="36" t="n">
        <f aca="false">IFERROR($F9-$E9,"")</f>
        <v>4114816.43749872</v>
      </c>
      <c r="H9" s="37" t="n">
        <f aca="false">IFERROR($F9/$E9-1,"")</f>
        <v>0.0528318256346749</v>
      </c>
    </row>
    <row r="12" customFormat="false" ht="15" hidden="false" customHeight="false" outlineLevel="0" collapsed="false">
      <c r="A12" s="39" t="s">
        <v>101</v>
      </c>
      <c r="B12" s="39"/>
      <c r="C12" s="39"/>
      <c r="D12" s="39"/>
      <c r="E12" s="39"/>
      <c r="F12" s="39"/>
      <c r="G12" s="39"/>
      <c r="H12" s="39"/>
    </row>
    <row r="13" customFormat="false" ht="15" hidden="false" customHeight="false" outlineLevel="0" collapsed="false">
      <c r="A13" s="40" t="s">
        <v>102</v>
      </c>
      <c r="B13" s="6" t="n">
        <f aca="false">IFERROR(COIN_FULL/COIN_FULL_0-1,"")</f>
        <v>0.8</v>
      </c>
    </row>
    <row r="14" customFormat="false" ht="15" hidden="false" customHeight="false" outlineLevel="0" collapsed="false">
      <c r="A14" s="4" t="s">
        <v>30</v>
      </c>
      <c r="B14" s="6" t="n">
        <f aca="false">IFERROR(GOLD_OZ/GOLD_OZ_0-1,"")</f>
        <v>0.307692307692308</v>
      </c>
    </row>
    <row r="15" customFormat="false" ht="15" hidden="false" customHeight="false" outlineLevel="0" collapsed="false">
      <c r="A15" s="4" t="s">
        <v>31</v>
      </c>
      <c r="B15" s="6" t="n">
        <f aca="false">IFERROR(USD_FREE/USD_FREE_0-1,"")</f>
        <v>0.583333333333333</v>
      </c>
    </row>
    <row r="16" customFormat="false" ht="15" hidden="false" customHeight="false" outlineLevel="0" collapsed="false">
      <c r="A16" s="4" t="s">
        <v>103</v>
      </c>
      <c r="B16" s="6" t="n">
        <f aca="false">IFERROR(COIN_FULL_0/(7.3197*(GOLD_OZ_0/31.1034768)*USD_FREE_0)-1,"")</f>
        <v>0.361949680577493</v>
      </c>
    </row>
    <row r="17" customFormat="false" ht="15" hidden="false" customHeight="false" outlineLevel="0" collapsed="false">
      <c r="A17" s="4" t="s">
        <v>104</v>
      </c>
      <c r="B17" s="6" t="n">
        <f aca="false">IFERROR($H$5,"")</f>
        <v>0.18401074398192</v>
      </c>
    </row>
    <row r="18" customFormat="false" ht="15" hidden="false" customHeight="false" outlineLevel="0" collapsed="false">
      <c r="A18" s="4" t="s">
        <v>32</v>
      </c>
      <c r="B18" s="6" t="n">
        <f aca="false">IFERROR((1+$B17)/(1+$B16)-1,"")</f>
        <v>-0.130650154798762</v>
      </c>
    </row>
    <row r="19" customFormat="false" ht="15" hidden="false" customHeight="false" outlineLevel="0" collapsed="false">
      <c r="A19" s="40" t="s">
        <v>105</v>
      </c>
      <c r="B19" s="6" t="n">
        <f aca="false">IFERROR((1+$B14)*(1+$B15)*(1+$B18)-1,"")</f>
        <v>0.8</v>
      </c>
    </row>
    <row r="20" customFormat="false" ht="15" hidden="false" customHeight="false" outlineLevel="0" collapsed="false">
      <c r="A20" s="41" t="s">
        <v>106</v>
      </c>
      <c r="B20" s="42" t="n">
        <f aca="false">IFERROR($B19-$B13,"")</f>
        <v>0</v>
      </c>
    </row>
    <row r="22" customFormat="false" ht="15" hidden="false" customHeight="true" outlineLevel="0" collapsed="false">
      <c r="A22" s="18" t="s">
        <v>107</v>
      </c>
      <c r="B22" s="18"/>
      <c r="C22" s="18"/>
      <c r="D22" s="18"/>
      <c r="E22" s="18"/>
      <c r="F22" s="18"/>
      <c r="G22" s="18"/>
      <c r="H22" s="18"/>
    </row>
  </sheetData>
  <mergeCells count="3">
    <mergeCell ref="A1:H1"/>
    <mergeCell ref="A2:H2"/>
    <mergeCell ref="A22:H22"/>
  </mergeCells>
  <conditionalFormatting sqref="H5:H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0">
    <cfRule type="cellIs" priority="3" operator="between" aboveAverage="0" equalAverage="0" bottom="0" percent="0" rank="0" text="" dxfId="1">
      <formula>-0.0001</formula>
      <formula>0.0001</formula>
    </cfRule>
    <cfRule type="cellIs" priority="4" operator="notBetween" aboveAverage="0" equalAverage="0" bottom="0" percent="0" rank="0" text="" dxfId="4">
      <formula>-0.0001</formula>
      <formula>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108</v>
      </c>
      <c r="B1" s="1"/>
      <c r="C1" s="1"/>
      <c r="D1" s="1"/>
    </row>
    <row r="2" customFormat="false" ht="18" hidden="false" customHeight="true" outlineLevel="0" collapsed="false">
      <c r="A2" s="19" t="s">
        <v>109</v>
      </c>
      <c r="B2" s="19"/>
      <c r="C2" s="19"/>
      <c r="D2" s="19"/>
    </row>
    <row r="4" customFormat="false" ht="19.5" hidden="false" customHeight="true" outlineLevel="0" collapsed="false">
      <c r="A4" s="39" t="s">
        <v>110</v>
      </c>
      <c r="B4" s="39"/>
      <c r="C4" s="39"/>
    </row>
    <row r="5" customFormat="false" ht="15" hidden="false" customHeight="false" outlineLevel="0" collapsed="false">
      <c r="A5" s="4" t="s">
        <v>111</v>
      </c>
      <c r="B5" s="43" t="n">
        <v>3400</v>
      </c>
      <c r="C5" s="44" t="s">
        <v>112</v>
      </c>
    </row>
    <row r="6" customFormat="false" ht="15" hidden="false" customHeight="false" outlineLevel="0" collapsed="false">
      <c r="A6" s="4" t="s">
        <v>113</v>
      </c>
      <c r="B6" s="43" t="n">
        <v>40</v>
      </c>
      <c r="C6" s="44" t="s">
        <v>114</v>
      </c>
    </row>
    <row r="8" customFormat="false" ht="19.5" hidden="false" customHeight="true" outlineLevel="0" collapsed="false">
      <c r="A8" s="39" t="s">
        <v>115</v>
      </c>
      <c r="B8" s="39"/>
      <c r="C8" s="39"/>
    </row>
    <row r="9" customFormat="false" ht="15" hidden="false" customHeight="false" outlineLevel="0" collapsed="false">
      <c r="A9" s="4" t="s">
        <v>5</v>
      </c>
      <c r="B9" s="45" t="n">
        <v>950000</v>
      </c>
      <c r="C9" s="44" t="s">
        <v>116</v>
      </c>
    </row>
    <row r="10" customFormat="false" ht="15" hidden="false" customHeight="false" outlineLevel="0" collapsed="false">
      <c r="A10" s="4" t="s">
        <v>117</v>
      </c>
      <c r="B10" s="45" t="n">
        <v>720000</v>
      </c>
      <c r="C10" s="44" t="s">
        <v>118</v>
      </c>
    </row>
    <row r="12" customFormat="false" ht="19.5" hidden="false" customHeight="true" outlineLevel="0" collapsed="false">
      <c r="A12" s="39" t="s">
        <v>119</v>
      </c>
      <c r="B12" s="39"/>
      <c r="C12" s="39"/>
    </row>
    <row r="13" customFormat="false" ht="15" hidden="false" customHeight="false" outlineLevel="0" collapsed="false">
      <c r="A13" s="4" t="s">
        <v>120</v>
      </c>
      <c r="B13" s="45" t="n">
        <v>900000000</v>
      </c>
      <c r="C13" s="44" t="s">
        <v>121</v>
      </c>
    </row>
    <row r="14" customFormat="false" ht="15" hidden="false" customHeight="false" outlineLevel="0" collapsed="false">
      <c r="A14" s="4" t="s">
        <v>122</v>
      </c>
      <c r="B14" s="45" t="n">
        <v>470000000</v>
      </c>
      <c r="C14" s="44"/>
    </row>
    <row r="15" customFormat="false" ht="15" hidden="false" customHeight="false" outlineLevel="0" collapsed="false">
      <c r="A15" s="4" t="s">
        <v>123</v>
      </c>
      <c r="B15" s="45" t="n">
        <v>285000000</v>
      </c>
      <c r="C15" s="44"/>
    </row>
    <row r="16" customFormat="false" ht="15" hidden="false" customHeight="false" outlineLevel="0" collapsed="false">
      <c r="A16" s="4" t="s">
        <v>124</v>
      </c>
      <c r="B16" s="45" t="n">
        <v>82000000</v>
      </c>
      <c r="C16" s="44" t="s">
        <v>125</v>
      </c>
    </row>
    <row r="18" customFormat="false" ht="19.5" hidden="false" customHeight="true" outlineLevel="0" collapsed="false">
      <c r="A18" s="39" t="s">
        <v>126</v>
      </c>
      <c r="B18" s="39"/>
      <c r="C18" s="39"/>
    </row>
    <row r="19" customFormat="false" ht="15" hidden="false" customHeight="false" outlineLevel="0" collapsed="false">
      <c r="A19" s="4" t="s">
        <v>127</v>
      </c>
      <c r="B19" s="43" t="n">
        <v>2600</v>
      </c>
      <c r="C19" s="44" t="s">
        <v>128</v>
      </c>
    </row>
    <row r="20" customFormat="false" ht="15" hidden="false" customHeight="false" outlineLevel="0" collapsed="false">
      <c r="A20" s="4" t="s">
        <v>129</v>
      </c>
      <c r="B20" s="45" t="n">
        <v>600000</v>
      </c>
      <c r="C20" s="44"/>
    </row>
    <row r="21" customFormat="false" ht="15" hidden="false" customHeight="false" outlineLevel="0" collapsed="false">
      <c r="A21" s="4" t="s">
        <v>130</v>
      </c>
      <c r="B21" s="45" t="n">
        <v>500000000</v>
      </c>
      <c r="C21" s="44"/>
    </row>
    <row r="23" customFormat="false" ht="15" hidden="false" customHeight="true" outlineLevel="0" collapsed="false">
      <c r="A23" s="46" t="s">
        <v>131</v>
      </c>
      <c r="B23" s="46"/>
      <c r="C23" s="46"/>
    </row>
  </sheetData>
  <mergeCells count="3">
    <mergeCell ref="A1:D1"/>
    <mergeCell ref="A2:D2"/>
    <mergeCell ref="A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9" t="s">
        <v>133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  <c r="P3" s="20" t="s">
        <v>141</v>
      </c>
      <c r="Q3" s="20" t="s">
        <v>142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  <c r="P4" s="21" t="s">
        <v>151</v>
      </c>
      <c r="Q4" s="21" t="s">
        <v>152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626838716</v>
      </c>
      <c r="D5" s="49" t="n">
        <v>630140094</v>
      </c>
      <c r="E5" s="49" t="n">
        <v>624944947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  <c r="P5" s="54"/>
      <c r="Q5" s="53" t="str">
        <f aca="false">IF(NOT(ISNUMBER($P5)),"",IFERROR(PERCENTRANK($P$5:$P$1204,$P5),""))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620421683</v>
      </c>
      <c r="D6" s="49" t="n">
        <v>621354578</v>
      </c>
      <c r="E6" s="49" t="n">
        <v>616119534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-0.01023713570366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  <c r="P6" s="54"/>
      <c r="Q6" s="53" t="str">
        <f aca="false">IF(NOT(ISNUMBER($P6)),"",IFERROR(PERCENTRANK($P$5:$P$1204,$P6),""))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624417457</v>
      </c>
      <c r="D7" s="49" t="n">
        <v>627215646</v>
      </c>
      <c r="E7" s="49" t="n">
        <v>622585500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0.00644041642883719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  <c r="P7" s="54"/>
      <c r="Q7" s="53" t="str">
        <f aca="false">IF(NOT(ISNUMBER($P7)),"",IFERROR(PERCENTRANK($P$5:$P$1204,$P7),""))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624789174</v>
      </c>
      <c r="D8" s="49" t="n">
        <v>627195417</v>
      </c>
      <c r="E8" s="49" t="n">
        <v>624741080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0.000595302062478931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  <c r="P8" s="54"/>
      <c r="Q8" s="53" t="str">
        <f aca="false">IF(NOT(ISNUMBER($P8)),"",IFERROR(PERCENTRANK($P$5:$P$1204,$P8),""))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622706145</v>
      </c>
      <c r="D9" s="49" t="n">
        <v>623188407</v>
      </c>
      <c r="E9" s="49" t="n">
        <v>622214574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-0.00333397102043898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  <c r="P9" s="54"/>
      <c r="Q9" s="53" t="str">
        <f aca="false">IF(NOT(ISNUMBER($P9)),"",IFERROR(PERCENTRANK($P$5:$P$1204,$P9),""))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617602030</v>
      </c>
      <c r="D10" s="49" t="n">
        <v>617680882</v>
      </c>
      <c r="E10" s="49" t="n">
        <v>616879688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-0.00819666714546397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  <c r="P10" s="54"/>
      <c r="Q10" s="53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631310081</v>
      </c>
      <c r="D11" s="49" t="n">
        <v>631373473</v>
      </c>
      <c r="E11" s="49" t="n">
        <v>628839340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0.0221956054775274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  <c r="P11" s="54"/>
      <c r="Q11" s="53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623852340</v>
      </c>
      <c r="D12" s="49" t="n">
        <v>626030304</v>
      </c>
      <c r="E12" s="49" t="n">
        <v>623378852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-0.0118131188213989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  <c r="P12" s="54"/>
      <c r="Q12" s="53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620390455</v>
      </c>
      <c r="D13" s="49" t="n">
        <v>620409390</v>
      </c>
      <c r="E13" s="49" t="n">
        <v>618118873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-0.00554920576237639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  <c r="P13" s="54"/>
      <c r="Q13" s="53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618650370</v>
      </c>
      <c r="D14" s="49" t="n">
        <v>621220352</v>
      </c>
      <c r="E14" s="49" t="n">
        <v>614878295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-0.00280482232757751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  <c r="P14" s="54"/>
      <c r="Q14" s="53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632260662</v>
      </c>
      <c r="D15" s="49" t="n">
        <v>636359153</v>
      </c>
      <c r="E15" s="49" t="n">
        <v>629193707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0.0219999739109507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  <c r="P15" s="54"/>
      <c r="Q15" s="53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635853159</v>
      </c>
      <c r="D16" s="49" t="n">
        <v>637467624</v>
      </c>
      <c r="E16" s="49" t="n">
        <v>633409494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0.00568198721811353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  <c r="P16" s="54"/>
      <c r="Q16" s="53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637303526</v>
      </c>
      <c r="D17" s="49" t="n">
        <v>637950489</v>
      </c>
      <c r="E17" s="49" t="n">
        <v>636062214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0.00228097789477211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  <c r="P17" s="54"/>
      <c r="Q17" s="53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633352131</v>
      </c>
      <c r="D18" s="49" t="n">
        <v>633679591</v>
      </c>
      <c r="E18" s="49" t="n">
        <v>631650592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-0.00620017752734037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  <c r="P18" s="54"/>
      <c r="Q18" s="53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651030125</v>
      </c>
      <c r="D19" s="49" t="n">
        <v>652105753</v>
      </c>
      <c r="E19" s="49" t="n">
        <v>650897125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0.0279117936685367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  <c r="P19" s="54"/>
      <c r="Q19" s="53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637265592</v>
      </c>
      <c r="D20" s="49" t="n">
        <v>640869489</v>
      </c>
      <c r="E20" s="49" t="n">
        <v>635261693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-0.0211426975057414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  <c r="P20" s="54"/>
      <c r="Q20" s="53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644606995</v>
      </c>
      <c r="D21" s="49" t="n">
        <v>646647680</v>
      </c>
      <c r="E21" s="49" t="n">
        <v>643803172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0.0115201622246066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  <c r="P21" s="54"/>
      <c r="Q21" s="53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640216798</v>
      </c>
      <c r="D22" s="49" t="n">
        <v>644958753</v>
      </c>
      <c r="E22" s="49" t="n">
        <v>637731468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-0.00681065677855386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  <c r="P22" s="54"/>
      <c r="Q22" s="53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634103994</v>
      </c>
      <c r="D23" s="49" t="n">
        <v>635404835</v>
      </c>
      <c r="E23" s="49" t="n">
        <v>631715968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-0.00954802188742321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  <c r="P23" s="54"/>
      <c r="Q23" s="53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637125355</v>
      </c>
      <c r="D24" s="49" t="n">
        <v>639643641</v>
      </c>
      <c r="E24" s="49" t="n">
        <v>637043723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0.00476477206986337</v>
      </c>
      <c r="I24" s="52" t="n">
        <f aca="false">IF(AND(ISNUMBER($G24),$G24&gt;=MA_SHORT),AVERAGE(INDEX($C$5:$C24,21-MA_SHORT):$C24),"")</f>
        <v>630704839.4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  <c r="P24" s="54"/>
      <c r="Q24" s="53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641311840</v>
      </c>
      <c r="D25" s="49" t="n">
        <v>641502330</v>
      </c>
      <c r="E25" s="49" t="n">
        <v>639706632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0.00657089686848211</v>
      </c>
      <c r="I25" s="52" t="n">
        <f aca="false">IF(AND(ISNUMBER($G25),$G25&gt;=MA_SHORT),AVERAGE(INDEX($C$5:$C25,22-MA_SHORT):$C25),"")</f>
        <v>631428495.6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0.196300970751057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  <c r="P25" s="54"/>
      <c r="Q25" s="53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616216450</v>
      </c>
      <c r="D26" s="49" t="n">
        <v>619082365</v>
      </c>
      <c r="E26" s="49" t="n">
        <v>616144601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-0.0391313374161313</v>
      </c>
      <c r="I26" s="52" t="n">
        <f aca="false">IF(AND(ISNUMBER($G26),$G26&gt;=MA_SHORT),AVERAGE(INDEX($C$5:$C26,23-MA_SHORT):$C26),"")</f>
        <v>631218233.95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0.239365788033698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  <c r="P26" s="54"/>
      <c r="Q26" s="53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604129498</v>
      </c>
      <c r="D27" s="49" t="n">
        <v>605379975</v>
      </c>
      <c r="E27" s="49" t="n">
        <v>603550631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-0.0196147830847424</v>
      </c>
      <c r="I27" s="52" t="n">
        <f aca="false">IF(AND(ISNUMBER($G27),$G27&gt;=MA_SHORT),AVERAGE(INDEX($C$5:$C27,24-MA_SHORT):$C27),"")</f>
        <v>630203836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0.247246927171619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  <c r="P27" s="54"/>
      <c r="Q27" s="53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615269021</v>
      </c>
      <c r="D28" s="49" t="n">
        <v>618490724</v>
      </c>
      <c r="E28" s="49" t="n">
        <v>614075019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0.0184389655477475</v>
      </c>
      <c r="I28" s="52" t="n">
        <f aca="false">IF(AND(ISNUMBER($G28),$G28&gt;=MA_SHORT),AVERAGE(INDEX($C$5:$C28,25-MA_SHORT):$C28),"")</f>
        <v>629727828.35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0.256924052300826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  <c r="P28" s="54"/>
      <c r="Q28" s="53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617883526</v>
      </c>
      <c r="D29" s="49" t="n">
        <v>619251828</v>
      </c>
      <c r="E29" s="49" t="n">
        <v>614610898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0.00424936883015925</v>
      </c>
      <c r="I29" s="52" t="n">
        <f aca="false">IF(AND(ISNUMBER($G29),$G29&gt;=MA_SHORT),AVERAGE(INDEX($C$5:$C29,26-MA_SHORT):$C29),"")</f>
        <v>629486697.4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0.257269074501508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  <c r="P29" s="54"/>
      <c r="Q29" s="53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633431119</v>
      </c>
      <c r="D30" s="49" t="n">
        <v>635380345</v>
      </c>
      <c r="E30" s="49" t="n">
        <v>630624546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0.0251626598635031</v>
      </c>
      <c r="I30" s="52" t="n">
        <f aca="false">IF(AND(ISNUMBER($G30),$G30&gt;=MA_SHORT),AVERAGE(INDEX($C$5:$C30,27-MA_SHORT):$C30),"")</f>
        <v>630278151.85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0.270169437833713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  <c r="P30" s="54"/>
      <c r="Q30" s="53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632662194</v>
      </c>
      <c r="D31" s="49" t="n">
        <v>633769817</v>
      </c>
      <c r="E31" s="49" t="n">
        <v>628411969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-0.00121390468029725</v>
      </c>
      <c r="I31" s="52" t="n">
        <f aca="false">IF(AND(ISNUMBER($G31),$G31&gt;=MA_SHORT),AVERAGE(INDEX($C$5:$C31,28-MA_SHORT):$C31),"")</f>
        <v>630345757.5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0.259142408451131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  <c r="P31" s="54"/>
      <c r="Q31" s="53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639275580</v>
      </c>
      <c r="D32" s="49" t="n">
        <v>639694350</v>
      </c>
      <c r="E32" s="49" t="n">
        <v>636832524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0.0104532656806737</v>
      </c>
      <c r="I32" s="52" t="n">
        <f aca="false">IF(AND(ISNUMBER($G32),$G32&gt;=MA_SHORT),AVERAGE(INDEX($C$5:$C32,29-MA_SHORT):$C32),"")</f>
        <v>631116919.5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0.257503844123612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  <c r="P32" s="54"/>
      <c r="Q32" s="53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634778073</v>
      </c>
      <c r="D33" s="49" t="n">
        <v>638260286</v>
      </c>
      <c r="E33" s="49" t="n">
        <v>629631198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-0.0070353180079239</v>
      </c>
      <c r="I33" s="52" t="n">
        <f aca="false">IF(AND(ISNUMBER($G33),$G33&gt;=MA_SHORT),AVERAGE(INDEX($C$5:$C33,30-MA_SHORT):$C33),"")</f>
        <v>631836300.4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0.258069254996821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  <c r="P33" s="54"/>
      <c r="Q33" s="53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622985857</v>
      </c>
      <c r="D34" s="49" t="n">
        <v>629235422</v>
      </c>
      <c r="E34" s="49" t="n">
        <v>618853324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-0.0185769113672583</v>
      </c>
      <c r="I34" s="52" t="n">
        <f aca="false">IF(AND(ISNUMBER($G34),$G34&gt;=MA_SHORT),AVERAGE(INDEX($C$5:$C34,31-MA_SHORT):$C34),"")</f>
        <v>632053074.75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0.2670340659866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  <c r="P34" s="54"/>
      <c r="Q34" s="53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634052831</v>
      </c>
      <c r="D35" s="49" t="n">
        <v>634866159</v>
      </c>
      <c r="E35" s="49" t="n">
        <v>631864735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0.017764406487963</v>
      </c>
      <c r="I35" s="52" t="n">
        <f aca="false">IF(AND(ISNUMBER($G35),$G35&gt;=MA_SHORT),AVERAGE(INDEX($C$5:$C35,32-MA_SHORT):$C35),"")</f>
        <v>632142683.2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0.263015483779443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  <c r="P35" s="54"/>
      <c r="Q35" s="53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628207170</v>
      </c>
      <c r="D36" s="49" t="n">
        <v>629550922</v>
      </c>
      <c r="E36" s="49" t="n">
        <v>626872843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-0.00921951722978742</v>
      </c>
      <c r="I36" s="52" t="n">
        <f aca="false">IF(AND(ISNUMBER($G36),$G36&gt;=MA_SHORT),AVERAGE(INDEX($C$5:$C36,33-MA_SHORT):$C36),"")</f>
        <v>631760383.75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0.26423453531567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  <c r="P36" s="54"/>
      <c r="Q36" s="53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632233861</v>
      </c>
      <c r="D37" s="49" t="n">
        <v>633290397</v>
      </c>
      <c r="E37" s="49" t="n">
        <v>628086366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0.00640981381985828</v>
      </c>
      <c r="I37" s="52" t="n">
        <f aca="false">IF(AND(ISNUMBER($G37),$G37&gt;=MA_SHORT),AVERAGE(INDEX($C$5:$C37,34-MA_SHORT):$C37),"")</f>
        <v>631506900.5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0.265182044920549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  <c r="P37" s="54"/>
      <c r="Q37" s="53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639077133</v>
      </c>
      <c r="D38" s="49" t="n">
        <v>639516836</v>
      </c>
      <c r="E38" s="49" t="n">
        <v>636173154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0.0108239568016431</v>
      </c>
      <c r="I38" s="52" t="n">
        <f aca="false">IF(AND(ISNUMBER($G38),$G38&gt;=MA_SHORT),AVERAGE(INDEX($C$5:$C38,35-MA_SHORT):$C38),"")</f>
        <v>631793150.6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0.266954802358732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  <c r="P38" s="54"/>
      <c r="Q38" s="53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641066058</v>
      </c>
      <c r="D39" s="49" t="n">
        <v>641783185</v>
      </c>
      <c r="E39" s="49" t="n">
        <v>640959765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0.00311218301719451</v>
      </c>
      <c r="I39" s="52" t="n">
        <f aca="false">IF(AND(ISNUMBER($G39),$G39&gt;=MA_SHORT),AVERAGE(INDEX($C$5:$C39,36-MA_SHORT):$C39),"")</f>
        <v>631294947.25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0.24763675410694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  <c r="P39" s="54"/>
      <c r="Q39" s="53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648529979</v>
      </c>
      <c r="D40" s="49" t="n">
        <v>649918363</v>
      </c>
      <c r="E40" s="49" t="n">
        <v>647761604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0.0116429826643545</v>
      </c>
      <c r="I40" s="52" t="n">
        <f aca="false">IF(AND(ISNUMBER($G40),$G40&gt;=MA_SHORT),AVERAGE(INDEX($C$5:$C40,37-MA_SHORT):$C40),"")</f>
        <v>631858166.6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0.239092784546964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  <c r="P40" s="54"/>
      <c r="Q40" s="53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656054744</v>
      </c>
      <c r="D41" s="49" t="n">
        <v>657062314</v>
      </c>
      <c r="E41" s="49" t="n">
        <v>649998219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0.0116028020965242</v>
      </c>
      <c r="I41" s="52" t="n">
        <f aca="false">IF(AND(ISNUMBER($G41),$G41&gt;=MA_SHORT),AVERAGE(INDEX($C$5:$C41,38-MA_SHORT):$C41),"")</f>
        <v>632430554.05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0.239139895284795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  <c r="P41" s="54"/>
      <c r="Q41" s="53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642181987</v>
      </c>
      <c r="D42" s="49" t="n">
        <v>642258504</v>
      </c>
      <c r="E42" s="49" t="n">
        <v>639249787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-0.0211457307898074</v>
      </c>
      <c r="I42" s="52" t="n">
        <f aca="false">IF(AND(ISNUMBER($G42),$G42&gt;=MA_SHORT),AVERAGE(INDEX($C$5:$C42,39-MA_SHORT):$C42),"")</f>
        <v>632528813.5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0.250179724829004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  <c r="P42" s="54"/>
      <c r="Q42" s="53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642466461</v>
      </c>
      <c r="D43" s="49" t="n">
        <v>648958191</v>
      </c>
      <c r="E43" s="49" t="n">
        <v>638369692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0.000442980347874489</v>
      </c>
      <c r="I43" s="52" t="n">
        <f aca="false">IF(AND(ISNUMBER($G43),$G43&gt;=MA_SHORT),AVERAGE(INDEX($C$5:$C43,40-MA_SHORT):$C43),"")</f>
        <v>632946936.85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0.247551063643906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  <c r="P43" s="54"/>
      <c r="Q43" s="53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640881999</v>
      </c>
      <c r="D44" s="49" t="n">
        <v>642624127</v>
      </c>
      <c r="E44" s="49" t="n">
        <v>640568924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-0.00246621745442366</v>
      </c>
      <c r="I44" s="52" t="n">
        <f aca="false">IF(AND(ISNUMBER($G44),$G44&gt;=MA_SHORT),AVERAGE(INDEX($C$5:$C44,41-MA_SHORT):$C44),"")</f>
        <v>633134769.05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0.247341940595172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  <c r="P44" s="54"/>
      <c r="Q44" s="53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649272014</v>
      </c>
      <c r="D45" s="49" t="n">
        <v>653203973</v>
      </c>
      <c r="E45" s="49" t="n">
        <v>646682494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0.0130913569316837</v>
      </c>
      <c r="I45" s="52" t="n">
        <f aca="false">IF(AND(ISNUMBER($G45),$G45&gt;=MA_SHORT),AVERAGE(INDEX($C$5:$C45,42-MA_SHORT):$C45),"")</f>
        <v>633532777.75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0.250468121486954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  <c r="P45" s="54"/>
      <c r="Q45" s="53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642096609</v>
      </c>
      <c r="D46" s="49" t="n">
        <v>645126051</v>
      </c>
      <c r="E46" s="49" t="n">
        <v>640578897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-0.0110514620148097</v>
      </c>
      <c r="I46" s="52" t="n">
        <f aca="false">IF(AND(ISNUMBER($G46),$G46&gt;=MA_SHORT),AVERAGE(INDEX($C$5:$C46,43-MA_SHORT):$C46),"")</f>
        <v>634826785.7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0.208614578340442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  <c r="P46" s="54"/>
      <c r="Q46" s="53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646860503</v>
      </c>
      <c r="D47" s="49" t="n">
        <v>648662054</v>
      </c>
      <c r="E47" s="49" t="n">
        <v>644829268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0.00741927917579144</v>
      </c>
      <c r="I47" s="52" t="n">
        <f aca="false">IF(AND(ISNUMBER($G47),$G47&gt;=MA_SHORT),AVERAGE(INDEX($C$5:$C47,44-MA_SHORT):$C47),"")</f>
        <v>636963335.95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0.19313999541829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  <c r="P47" s="54"/>
      <c r="Q47" s="53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645996008</v>
      </c>
      <c r="D48" s="49" t="n">
        <v>646038427</v>
      </c>
      <c r="E48" s="49" t="n">
        <v>645627819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-0.00133644734218685</v>
      </c>
      <c r="I48" s="52" t="n">
        <f aca="false">IF(AND(ISNUMBER($G48),$G48&gt;=MA_SHORT),AVERAGE(INDEX($C$5:$C48,45-MA_SHORT):$C48),"")</f>
        <v>638499685.3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0.185667362710876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  <c r="P48" s="54"/>
      <c r="Q48" s="53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638337436</v>
      </c>
      <c r="D49" s="49" t="n">
        <v>644156826</v>
      </c>
      <c r="E49" s="49" t="n">
        <v>634947849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-0.0118554478745324</v>
      </c>
      <c r="I49" s="52" t="n">
        <f aca="false">IF(AND(ISNUMBER($G49),$G49&gt;=MA_SHORT),AVERAGE(INDEX($C$5:$C49,46-MA_SHORT):$C49),"")</f>
        <v>639522380.8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0.192160633103184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  <c r="P49" s="54"/>
      <c r="Q49" s="53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640550501</v>
      </c>
      <c r="D50" s="49" t="n">
        <v>643646794</v>
      </c>
      <c r="E50" s="49" t="n">
        <v>636617339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0.00346692027631601</v>
      </c>
      <c r="I50" s="52" t="n">
        <f aca="false">IF(AND(ISNUMBER($G50),$G50&gt;=MA_SHORT),AVERAGE(INDEX($C$5:$C50,47-MA_SHORT):$C50),"")</f>
        <v>639878349.9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0.171943801826605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  <c r="P50" s="54"/>
      <c r="Q50" s="53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635586361</v>
      </c>
      <c r="D51" s="49" t="n">
        <v>636577327</v>
      </c>
      <c r="E51" s="49" t="n">
        <v>630263781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-0.00774980269666514</v>
      </c>
      <c r="I51" s="52" t="n">
        <f aca="false">IF(AND(ISNUMBER($G51),$G51&gt;=MA_SHORT),AVERAGE(INDEX($C$5:$C51,48-MA_SHORT):$C51),"")</f>
        <v>640024558.25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0.174345879569955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  <c r="P51" s="54"/>
      <c r="Q51" s="53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647818273</v>
      </c>
      <c r="D52" s="49" t="n">
        <v>648968743</v>
      </c>
      <c r="E52" s="49" t="n">
        <v>647042809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0.0192450825734443</v>
      </c>
      <c r="I52" s="52" t="n">
        <f aca="false">IF(AND(ISNUMBER($G52),$G52&gt;=MA_SHORT),AVERAGE(INDEX($C$5:$C52,49-MA_SHORT):$C52),"")</f>
        <v>640451692.9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0.183433426995866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  <c r="P52" s="54"/>
      <c r="Q52" s="53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651497320</v>
      </c>
      <c r="D53" s="49" t="n">
        <v>652146981</v>
      </c>
      <c r="E53" s="49" t="n">
        <v>648697176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0.00567913433957745</v>
      </c>
      <c r="I53" s="52" t="n">
        <f aca="false">IF(AND(ISNUMBER($G53),$G53&gt;=MA_SHORT),AVERAGE(INDEX($C$5:$C53,50-MA_SHORT):$C53),"")</f>
        <v>641287655.25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0.181884939399044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  <c r="P53" s="54"/>
      <c r="Q53" s="53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653543627</v>
      </c>
      <c r="D54" s="49" t="n">
        <v>656871816</v>
      </c>
      <c r="E54" s="49" t="n">
        <v>649477759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0.00314092926736831</v>
      </c>
      <c r="I54" s="52" t="n">
        <f aca="false">IF(AND(ISNUMBER($G54),$G54&gt;=MA_SHORT),AVERAGE(INDEX($C$5:$C54,51-MA_SHORT):$C54),"")</f>
        <v>642815543.75</v>
      </c>
      <c r="J54" s="52" t="n">
        <f aca="false">IF(AND(ISNUMBER($G54),$G54&gt;=MA_MED),AVERAGE(INDEX($C$5:$C54,51-MA_MED):$C54),"")</f>
        <v>634567016.42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0.16640535386692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  <c r="P54" s="54"/>
      <c r="Q54" s="53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651655259</v>
      </c>
      <c r="D55" s="49" t="n">
        <v>652778193</v>
      </c>
      <c r="E55" s="49" t="n">
        <v>649415090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-0.00288942913982393</v>
      </c>
      <c r="I55" s="52" t="n">
        <f aca="false">IF(AND(ISNUMBER($G55),$G55&gt;=MA_SHORT),AVERAGE(INDEX($C$5:$C55,52-MA_SHORT):$C55),"")</f>
        <v>643695665.15</v>
      </c>
      <c r="J55" s="52" t="n">
        <f aca="false">IF(AND(ISNUMBER($G55),$G55&gt;=MA_MED),AVERAGE(INDEX($C$5:$C55,52-MA_MED):$C55),"")</f>
        <v>635063347.28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0.157351752216762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  <c r="P55" s="54"/>
      <c r="Q55" s="53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650437689</v>
      </c>
      <c r="D56" s="49" t="n">
        <v>652268518</v>
      </c>
      <c r="E56" s="49" t="n">
        <v>650367101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-0.00186842656939257</v>
      </c>
      <c r="I56" s="52" t="n">
        <f aca="false">IF(AND(ISNUMBER($G56),$G56&gt;=MA_SHORT),AVERAGE(INDEX($C$5:$C56,53-MA_SHORT):$C56),"")</f>
        <v>644807191.1</v>
      </c>
      <c r="J56" s="52" t="n">
        <f aca="false">IF(AND(ISNUMBER($G56),$G56&gt;=MA_MED),AVERAGE(INDEX($C$5:$C56,53-MA_MED):$C56),"")</f>
        <v>635663667.4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0.152986422470886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  <c r="P56" s="54"/>
      <c r="Q56" s="53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653735965</v>
      </c>
      <c r="D57" s="49" t="n">
        <v>655176814</v>
      </c>
      <c r="E57" s="49" t="n">
        <v>650775762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0.00507085621848091</v>
      </c>
      <c r="I57" s="52" t="n">
        <f aca="false">IF(AND(ISNUMBER($G57),$G57&gt;=MA_SHORT),AVERAGE(INDEX($C$5:$C57,54-MA_SHORT):$C57),"")</f>
        <v>645882296.3</v>
      </c>
      <c r="J57" s="52" t="n">
        <f aca="false">IF(AND(ISNUMBER($G57),$G57&gt;=MA_MED),AVERAGE(INDEX($C$5:$C57,54-MA_MED):$C57),"")</f>
        <v>636250037.56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0.152535677179428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  <c r="P57" s="54"/>
      <c r="Q57" s="53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663611043</v>
      </c>
      <c r="D58" s="49" t="n">
        <v>664387308</v>
      </c>
      <c r="E58" s="49" t="n">
        <v>663358625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0.0151056061295327</v>
      </c>
      <c r="I58" s="52" t="n">
        <f aca="false">IF(AND(ISNUMBER($G58),$G58&gt;=MA_SHORT),AVERAGE(INDEX($C$5:$C58,55-MA_SHORT):$C58),"")</f>
        <v>647108991.8</v>
      </c>
      <c r="J58" s="52" t="n">
        <f aca="false">IF(AND(ISNUMBER($G58),$G58&gt;=MA_MED),AVERAGE(INDEX($C$5:$C58,55-MA_MED):$C58),"")</f>
        <v>637026474.94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0.156515538748923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  <c r="P58" s="54"/>
      <c r="Q58" s="53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659936183</v>
      </c>
      <c r="D59" s="49" t="n">
        <v>665146346</v>
      </c>
      <c r="E59" s="49" t="n">
        <v>659227586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-0.0055376715604174</v>
      </c>
      <c r="I59" s="52" t="n">
        <f aca="false">IF(AND(ISNUMBER($G59),$G59&gt;=MA_SHORT),AVERAGE(INDEX($C$5:$C59,56-MA_SHORT):$C59),"")</f>
        <v>648052498.05</v>
      </c>
      <c r="J59" s="52" t="n">
        <f aca="false">IF(AND(ISNUMBER($G59),$G59&gt;=MA_MED),AVERAGE(INDEX($C$5:$C59,56-MA_MED):$C59),"")</f>
        <v>637771075.7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0.158589345149665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  <c r="P59" s="54"/>
      <c r="Q59" s="53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645532126</v>
      </c>
      <c r="D60" s="49" t="n">
        <v>648411846</v>
      </c>
      <c r="E60" s="49" t="n">
        <v>645390467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-0.0218264392392014</v>
      </c>
      <c r="I60" s="52" t="n">
        <f aca="false">IF(AND(ISNUMBER($G60),$G60&gt;=MA_SHORT),AVERAGE(INDEX($C$5:$C60,57-MA_SHORT):$C60),"")</f>
        <v>647902605.4</v>
      </c>
      <c r="J60" s="52" t="n">
        <f aca="false">IF(AND(ISNUMBER($G60),$G60&gt;=MA_MED),AVERAGE(INDEX($C$5:$C60,57-MA_MED):$C60),"")</f>
        <v>638329677.62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0.173546442486682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  <c r="P60" s="54"/>
      <c r="Q60" s="53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659252708</v>
      </c>
      <c r="D61" s="49" t="n">
        <v>660993160</v>
      </c>
      <c r="E61" s="49" t="n">
        <v>657372018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0.021254685006955</v>
      </c>
      <c r="I61" s="52" t="n">
        <f aca="false">IF(AND(ISNUMBER($G61),$G61&gt;=MA_SHORT),AVERAGE(INDEX($C$5:$C61,58-MA_SHORT):$C61),"")</f>
        <v>648062503.6</v>
      </c>
      <c r="J61" s="52" t="n">
        <f aca="false">IF(AND(ISNUMBER($G61),$G61&gt;=MA_MED),AVERAGE(INDEX($C$5:$C61,58-MA_MED):$C61),"")</f>
        <v>638888530.16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0.184907509610632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  <c r="P61" s="54"/>
      <c r="Q61" s="53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671897558</v>
      </c>
      <c r="D62" s="49" t="n">
        <v>671973358</v>
      </c>
      <c r="E62" s="49" t="n">
        <v>667746568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0.019180581052691</v>
      </c>
      <c r="I62" s="52" t="n">
        <f aca="false">IF(AND(ISNUMBER($G62),$G62&gt;=MA_SHORT),AVERAGE(INDEX($C$5:$C62,59-MA_SHORT):$C62),"")</f>
        <v>649548282.15</v>
      </c>
      <c r="J62" s="52" t="n">
        <f aca="false">IF(AND(ISNUMBER($G62),$G62&gt;=MA_MED),AVERAGE(INDEX($C$5:$C62,59-MA_MED):$C62),"")</f>
        <v>639849434.52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0.178321537752692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  <c r="P62" s="54"/>
      <c r="Q62" s="53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671507580</v>
      </c>
      <c r="D63" s="49" t="n">
        <v>672231620</v>
      </c>
      <c r="E63" s="49" t="n">
        <v>669737211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-0.000580412884905845</v>
      </c>
      <c r="I63" s="52" t="n">
        <f aca="false">IF(AND(ISNUMBER($G63),$G63&gt;=MA_SHORT),AVERAGE(INDEX($C$5:$C63,60-MA_SHORT):$C63),"")</f>
        <v>651000338.1</v>
      </c>
      <c r="J63" s="52" t="n">
        <f aca="false">IF(AND(ISNUMBER($G63),$G63&gt;=MA_MED),AVERAGE(INDEX($C$5:$C63,60-MA_MED):$C63),"")</f>
        <v>640871777.02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0.178496760712309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  <c r="P63" s="54"/>
      <c r="Q63" s="53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676940965</v>
      </c>
      <c r="D64" s="49" t="n">
        <v>678779003</v>
      </c>
      <c r="E64" s="49" t="n">
        <v>675618816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0.0080913234069524</v>
      </c>
      <c r="I64" s="52" t="n">
        <f aca="false">IF(AND(ISNUMBER($G64),$G64&gt;=MA_SHORT),AVERAGE(INDEX($C$5:$C64,61-MA_SHORT):$C64),"")</f>
        <v>652803286.4</v>
      </c>
      <c r="J64" s="52" t="n">
        <f aca="false">IF(AND(ISNUMBER($G64),$G64&gt;=MA_MED),AVERAGE(INDEX($C$5:$C64,61-MA_MED):$C64),"")</f>
        <v>642037588.92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0.178705599408181</v>
      </c>
      <c r="M64" s="52" t="n">
        <f aca="false">IF(AND(ISNUMBER($G64),$G64&gt;=60),MAX(INDEX($D$5:$D64,61-60):$D64),"")</f>
        <v>678779003</v>
      </c>
      <c r="N64" s="52" t="n">
        <f aca="false">IF(AND(ISNUMBER($G64),$G64&gt;=60),MIN(INDEX($E$5:$E64,61-60):$E64),"")</f>
        <v>603550631</v>
      </c>
      <c r="O64" s="53" t="n">
        <f aca="false">IF(OR(NOT(ISNUMBER($C64)),NOT(ISNUMBER($M64)),$M64=0),"",$C64/$M64-1)</f>
        <v>-0.00270785924708394</v>
      </c>
      <c r="P64" s="54"/>
      <c r="Q64" s="53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666441553</v>
      </c>
      <c r="D65" s="49" t="n">
        <v>666507554</v>
      </c>
      <c r="E65" s="49" t="n">
        <v>665290861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-0.0155100851371877</v>
      </c>
      <c r="I65" s="52" t="n">
        <f aca="false">IF(AND(ISNUMBER($G65),$G65&gt;=MA_SHORT),AVERAGE(INDEX($C$5:$C65,62-MA_SHORT):$C65),"")</f>
        <v>653661763.35</v>
      </c>
      <c r="J65" s="52" t="n">
        <f aca="false">IF(AND(ISNUMBER($G65),$G65&gt;=MA_MED),AVERAGE(INDEX($C$5:$C65,62-MA_MED):$C65),"")</f>
        <v>642721206.74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0.18538471556341</v>
      </c>
      <c r="M65" s="52" t="n">
        <f aca="false">IF(AND(ISNUMBER($G65),$G65&gt;=60),MAX(INDEX($D$5:$D65,62-60):$D65),"")</f>
        <v>678779003</v>
      </c>
      <c r="N65" s="52" t="n">
        <f aca="false">IF(AND(ISNUMBER($G65),$G65&gt;=60),MIN(INDEX($E$5:$E65,62-60):$E65),"")</f>
        <v>603550631</v>
      </c>
      <c r="O65" s="53" t="n">
        <f aca="false">IF(OR(NOT(ISNUMBER($C65)),NOT(ISNUMBER($M65)),$M65=0),"",$C65/$M65-1)</f>
        <v>-0.0181759452568099</v>
      </c>
      <c r="P65" s="54"/>
      <c r="Q65" s="53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665779743</v>
      </c>
      <c r="D66" s="49" t="n">
        <v>668332718</v>
      </c>
      <c r="E66" s="49" t="n">
        <v>663895833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-0.000993050323799372</v>
      </c>
      <c r="I66" s="52" t="n">
        <f aca="false">IF(AND(ISNUMBER($G66),$G66&gt;=MA_SHORT),AVERAGE(INDEX($C$5:$C66,63-MA_SHORT):$C66),"")</f>
        <v>654845920.05</v>
      </c>
      <c r="J66" s="52" t="n">
        <f aca="false">IF(AND(ISNUMBER($G66),$G66&gt;=MA_MED),AVERAGE(INDEX($C$5:$C66,63-MA_MED):$C66),"")</f>
        <v>643319738.42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0.179955748406427</v>
      </c>
      <c r="M66" s="52" t="n">
        <f aca="false">IF(AND(ISNUMBER($G66),$G66&gt;=60),MAX(INDEX($D$5:$D66,63-60):$D66),"")</f>
        <v>678779003</v>
      </c>
      <c r="N66" s="52" t="n">
        <f aca="false">IF(AND(ISNUMBER($G66),$G66&gt;=60),MIN(INDEX($E$5:$E66,63-60):$E66),"")</f>
        <v>603550631</v>
      </c>
      <c r="O66" s="53" t="n">
        <f aca="false">IF(OR(NOT(ISNUMBER($C66)),NOT(ISNUMBER($M66)),$M66=0),"",$C66/$M66-1)</f>
        <v>-0.0191509459522866</v>
      </c>
      <c r="P66" s="54"/>
      <c r="Q66" s="53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664189911</v>
      </c>
      <c r="D67" s="49" t="n">
        <v>671100187</v>
      </c>
      <c r="E67" s="49" t="n">
        <v>662669644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-0.00238792486060968</v>
      </c>
      <c r="I67" s="52" t="n">
        <f aca="false">IF(AND(ISNUMBER($G67),$G67&gt;=MA_SHORT),AVERAGE(INDEX($C$5:$C67,64-MA_SHORT):$C67),"")</f>
        <v>655712390.45</v>
      </c>
      <c r="J67" s="52" t="n">
        <f aca="false">IF(AND(ISNUMBER($G67),$G67&gt;=MA_MED),AVERAGE(INDEX($C$5:$C67,64-MA_MED):$C67),"")</f>
        <v>643857466.12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0.179332397783899</v>
      </c>
      <c r="M67" s="52" t="n">
        <f aca="false">IF(AND(ISNUMBER($G67),$G67&gt;=60),MAX(INDEX($D$5:$D67,64-60):$D67),"")</f>
        <v>678779003</v>
      </c>
      <c r="N67" s="52" t="n">
        <f aca="false">IF(AND(ISNUMBER($G67),$G67&gt;=60),MIN(INDEX($E$5:$E67,64-60):$E67),"")</f>
        <v>603550631</v>
      </c>
      <c r="O67" s="53" t="n">
        <f aca="false">IF(OR(NOT(ISNUMBER($C67)),NOT(ISNUMBER($M67)),$M67=0),"",$C67/$M67-1)</f>
        <v>-0.0214931397929526</v>
      </c>
      <c r="P67" s="54"/>
      <c r="Q67" s="53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677230962</v>
      </c>
      <c r="D68" s="49" t="n">
        <v>680659899</v>
      </c>
      <c r="E68" s="49" t="n">
        <v>676670484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0.0196345213680911</v>
      </c>
      <c r="I68" s="52" t="n">
        <f aca="false">IF(AND(ISNUMBER($G68),$G68&gt;=MA_SHORT),AVERAGE(INDEX($C$5:$C68,65-MA_SHORT):$C68),"")</f>
        <v>657274138.15</v>
      </c>
      <c r="J68" s="52" t="n">
        <f aca="false">IF(AND(ISNUMBER($G68),$G68&gt;=MA_MED),AVERAGE(INDEX($C$5:$C68,65-MA_MED):$C68),"")</f>
        <v>644735042.74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0.189935757848834</v>
      </c>
      <c r="M68" s="52" t="n">
        <f aca="false">IF(AND(ISNUMBER($G68),$G68&gt;=60),MAX(INDEX($D$5:$D68,65-60):$D68),"")</f>
        <v>680659899</v>
      </c>
      <c r="N68" s="52" t="n">
        <f aca="false">IF(AND(ISNUMBER($G68),$G68&gt;=60),MIN(INDEX($E$5:$E68,65-60):$E68),"")</f>
        <v>603550631</v>
      </c>
      <c r="O68" s="53" t="n">
        <f aca="false">IF(OR(NOT(ISNUMBER($C68)),NOT(ISNUMBER($M68)),$M68=0),"",$C68/$M68-1)</f>
        <v>-0.00503766566098229</v>
      </c>
      <c r="P68" s="54"/>
      <c r="Q68" s="53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692727368</v>
      </c>
      <c r="D69" s="49" t="n">
        <v>694710473</v>
      </c>
      <c r="E69" s="49" t="n">
        <v>690158828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0.0228820105244982</v>
      </c>
      <c r="I69" s="52" t="n">
        <f aca="false">IF(AND(ISNUMBER($G69),$G69&gt;=MA_SHORT),AVERAGE(INDEX($C$5:$C69,66-MA_SHORT):$C69),"")</f>
        <v>659993634.75</v>
      </c>
      <c r="J69" s="52" t="n">
        <f aca="false">IF(AND(ISNUMBER($G69),$G69&gt;=MA_MED),AVERAGE(INDEX($C$5:$C69,66-MA_MED):$C69),"")</f>
        <v>645568987.6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0.19508102597902</v>
      </c>
      <c r="M69" s="52" t="n">
        <f aca="false">IF(AND(ISNUMBER($G69),$G69&gt;=60),MAX(INDEX($D$5:$D69,66-60):$D69),"")</f>
        <v>694710473</v>
      </c>
      <c r="N69" s="52" t="n">
        <f aca="false">IF(AND(ISNUMBER($G69),$G69&gt;=60),MIN(INDEX($E$5:$E69,66-60):$E69),"")</f>
        <v>603550631</v>
      </c>
      <c r="O69" s="53" t="n">
        <f aca="false">IF(OR(NOT(ISNUMBER($C69)),NOT(ISNUMBER($M69)),$M69=0),"",$C69/$M69-1)</f>
        <v>-0.00285457766519093</v>
      </c>
      <c r="P69" s="54"/>
      <c r="Q69" s="53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692127834</v>
      </c>
      <c r="D70" s="49" t="n">
        <v>695758125</v>
      </c>
      <c r="E70" s="49" t="n">
        <v>684167555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-0.000865468909841072</v>
      </c>
      <c r="I70" s="52" t="n">
        <f aca="false">IF(AND(ISNUMBER($G70),$G70&gt;=MA_SHORT),AVERAGE(INDEX($C$5:$C70,67-MA_SHORT):$C70),"")</f>
        <v>662572501.4</v>
      </c>
      <c r="J70" s="52" t="n">
        <f aca="false">IF(AND(ISNUMBER($G70),$G70&gt;=MA_MED),AVERAGE(INDEX($C$5:$C70,67-MA_MED):$C70),"")</f>
        <v>646666232.44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0.195870202792979</v>
      </c>
      <c r="M70" s="52" t="n">
        <f aca="false">IF(AND(ISNUMBER($G70),$G70&gt;=60),MAX(INDEX($D$5:$D70,67-60):$D70),"")</f>
        <v>695758125</v>
      </c>
      <c r="N70" s="52" t="n">
        <f aca="false">IF(AND(ISNUMBER($G70),$G70&gt;=60),MIN(INDEX($E$5:$E70,67-60):$E70),"")</f>
        <v>603550631</v>
      </c>
      <c r="O70" s="53" t="n">
        <f aca="false">IF(OR(NOT(ISNUMBER($C70)),NOT(ISNUMBER($M70)),$M70=0),"",$C70/$M70-1)</f>
        <v>-0.00521774862492619</v>
      </c>
      <c r="P70" s="54"/>
      <c r="Q70" s="53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695543293</v>
      </c>
      <c r="D71" s="49" t="n">
        <v>696236020</v>
      </c>
      <c r="E71" s="49" t="n">
        <v>690970178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0.00493472279573148</v>
      </c>
      <c r="I71" s="52" t="n">
        <f aca="false">IF(AND(ISNUMBER($G71),$G71&gt;=MA_SHORT),AVERAGE(INDEX($C$5:$C71,68-MA_SHORT):$C71),"")</f>
        <v>665570348</v>
      </c>
      <c r="J71" s="52" t="n">
        <f aca="false">IF(AND(ISNUMBER($G71),$G71&gt;=MA_MED),AVERAGE(INDEX($C$5:$C71,68-MA_MED):$C71),"")</f>
        <v>647684958.4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0.191069514504435</v>
      </c>
      <c r="M71" s="52" t="n">
        <f aca="false">IF(AND(ISNUMBER($G71),$G71&gt;=60),MAX(INDEX($D$5:$D71,68-60):$D71),"")</f>
        <v>696236020</v>
      </c>
      <c r="N71" s="52" t="n">
        <f aca="false">IF(AND(ISNUMBER($G71),$G71&gt;=60),MIN(INDEX($E$5:$E71,68-60):$E71),"")</f>
        <v>603550631</v>
      </c>
      <c r="O71" s="53" t="n">
        <f aca="false">IF(OR(NOT(ISNUMBER($C71)),NOT(ISNUMBER($M71)),$M71=0),"",$C71/$M71-1)</f>
        <v>-0.000994960013703361</v>
      </c>
      <c r="P71" s="54"/>
      <c r="Q71" s="53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703546981</v>
      </c>
      <c r="D72" s="49" t="n">
        <v>703737968</v>
      </c>
      <c r="E72" s="49" t="n">
        <v>700484785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0.0115071025492586</v>
      </c>
      <c r="I72" s="52" t="n">
        <f aca="false">IF(AND(ISNUMBER($G72),$G72&gt;=MA_SHORT),AVERAGE(INDEX($C$5:$C72,69-MA_SHORT):$C72),"")</f>
        <v>668356783.4</v>
      </c>
      <c r="J72" s="52" t="n">
        <f aca="false">IF(AND(ISNUMBER($G72),$G72&gt;=MA_MED),AVERAGE(INDEX($C$5:$C72,69-MA_MED):$C72),"")</f>
        <v>648951562.06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0.185246067392748</v>
      </c>
      <c r="M72" s="52" t="n">
        <f aca="false">IF(AND(ISNUMBER($G72),$G72&gt;=60),MAX(INDEX($D$5:$D72,69-60):$D72),"")</f>
        <v>703737968</v>
      </c>
      <c r="N72" s="52" t="n">
        <f aca="false">IF(AND(ISNUMBER($G72),$G72&gt;=60),MIN(INDEX($E$5:$E72,69-60):$E72),"")</f>
        <v>603550631</v>
      </c>
      <c r="O72" s="53" t="n">
        <f aca="false">IF(OR(NOT(ISNUMBER($C72)),NOT(ISNUMBER($M72)),$M72=0),"",$C72/$M72-1)</f>
        <v>-0.000271389364627783</v>
      </c>
      <c r="P72" s="54"/>
      <c r="Q72" s="53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702858471</v>
      </c>
      <c r="D73" s="49" t="n">
        <v>703246731</v>
      </c>
      <c r="E73" s="49" t="n">
        <v>700990011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-0.000978626898549662</v>
      </c>
      <c r="I73" s="52" t="n">
        <f aca="false">IF(AND(ISNUMBER($G73),$G73&gt;=MA_SHORT),AVERAGE(INDEX($C$5:$C73,70-MA_SHORT):$C73),"")</f>
        <v>670924840.95</v>
      </c>
      <c r="J73" s="52" t="n">
        <f aca="false">IF(AND(ISNUMBER($G73),$G73&gt;=MA_MED),AVERAGE(INDEX($C$5:$C73,70-MA_MED):$C73),"")</f>
        <v>650326651.6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0.18602505868656</v>
      </c>
      <c r="M73" s="52" t="n">
        <f aca="false">IF(AND(ISNUMBER($G73),$G73&gt;=60),MAX(INDEX($D$5:$D73,70-60):$D73),"")</f>
        <v>703737968</v>
      </c>
      <c r="N73" s="52" t="n">
        <f aca="false">IF(AND(ISNUMBER($G73),$G73&gt;=60),MIN(INDEX($E$5:$E73,70-60):$E73),"")</f>
        <v>603550631</v>
      </c>
      <c r="O73" s="53" t="n">
        <f aca="false">IF(OR(NOT(ISNUMBER($C73)),NOT(ISNUMBER($M73)),$M73=0),"",$C73/$M73-1)</f>
        <v>-0.00124975067424526</v>
      </c>
      <c r="P73" s="54"/>
      <c r="Q73" s="53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695698208</v>
      </c>
      <c r="D74" s="49" t="n">
        <v>698445785</v>
      </c>
      <c r="E74" s="49" t="n">
        <v>695396158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-0.0101873468065522</v>
      </c>
      <c r="I74" s="52" t="n">
        <f aca="false">IF(AND(ISNUMBER($G74),$G74&gt;=MA_SHORT),AVERAGE(INDEX($C$5:$C74,71-MA_SHORT):$C74),"")</f>
        <v>673032570</v>
      </c>
      <c r="J74" s="52" t="n">
        <f aca="false">IF(AND(ISNUMBER($G74),$G74&gt;=MA_MED),AVERAGE(INDEX($C$5:$C74,71-MA_MED):$C74),"")</f>
        <v>651498108.66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0.192435564579171</v>
      </c>
      <c r="M74" s="52" t="n">
        <f aca="false">IF(AND(ISNUMBER($G74),$G74&gt;=60),MAX(INDEX($D$5:$D74,71-60):$D74),"")</f>
        <v>703737968</v>
      </c>
      <c r="N74" s="52" t="n">
        <f aca="false">IF(AND(ISNUMBER($G74),$G74&gt;=60),MIN(INDEX($E$5:$E74,71-60):$E74),"")</f>
        <v>603550631</v>
      </c>
      <c r="O74" s="53" t="n">
        <f aca="false">IF(OR(NOT(ISNUMBER($C74)),NOT(ISNUMBER($M74)),$M74=0),"",$C74/$M74-1)</f>
        <v>-0.0114243658372571</v>
      </c>
      <c r="P74" s="54"/>
      <c r="Q74" s="53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691057858</v>
      </c>
      <c r="D75" s="49" t="n">
        <v>692204102</v>
      </c>
      <c r="E75" s="49" t="n">
        <v>688246671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-0.00667006174033435</v>
      </c>
      <c r="I75" s="52" t="n">
        <f aca="false">IF(AND(ISNUMBER($G75),$G75&gt;=MA_SHORT),AVERAGE(INDEX($C$5:$C75,72-MA_SHORT):$C75),"")</f>
        <v>675002699.95</v>
      </c>
      <c r="J75" s="52" t="n">
        <f aca="false">IF(AND(ISNUMBER($G75),$G75&gt;=MA_MED),AVERAGE(INDEX($C$5:$C75,72-MA_MED):$C75),"")</f>
        <v>652493029.02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0.194423348936054</v>
      </c>
      <c r="M75" s="52" t="n">
        <f aca="false">IF(AND(ISNUMBER($G75),$G75&gt;=60),MAX(INDEX($D$5:$D75,72-60):$D75),"")</f>
        <v>703737968</v>
      </c>
      <c r="N75" s="52" t="n">
        <f aca="false">IF(AND(ISNUMBER($G75),$G75&gt;=60),MIN(INDEX($E$5:$E75,72-60):$E75),"")</f>
        <v>603550631</v>
      </c>
      <c r="O75" s="53" t="n">
        <f aca="false">IF(OR(NOT(ISNUMBER($C75)),NOT(ISNUMBER($M75)),$M75=0),"",$C75/$M75-1)</f>
        <v>-0.0180182263521129</v>
      </c>
      <c r="P75" s="54"/>
      <c r="Q75" s="53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694573679</v>
      </c>
      <c r="D76" s="49" t="n">
        <v>694653860</v>
      </c>
      <c r="E76" s="49" t="n">
        <v>690238141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0.00508759282497007</v>
      </c>
      <c r="I76" s="52" t="n">
        <f aca="false">IF(AND(ISNUMBER($G76),$G76&gt;=MA_SHORT),AVERAGE(INDEX($C$5:$C76,73-MA_SHORT):$C76),"")</f>
        <v>677209499.45</v>
      </c>
      <c r="J76" s="52" t="n">
        <f aca="false">IF(AND(ISNUMBER($G76),$G76&gt;=MA_MED),AVERAGE(INDEX($C$5:$C76,73-MA_MED):$C76),"")</f>
        <v>654060173.6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0.193694391244306</v>
      </c>
      <c r="M76" s="52" t="n">
        <f aca="false">IF(AND(ISNUMBER($G76),$G76&gt;=60),MAX(INDEX($D$5:$D76,73-60):$D76),"")</f>
        <v>703737968</v>
      </c>
      <c r="N76" s="52" t="n">
        <f aca="false">IF(AND(ISNUMBER($G76),$G76&gt;=60),MIN(INDEX($E$5:$E76,73-60):$E76),"")</f>
        <v>603550631</v>
      </c>
      <c r="O76" s="53" t="n">
        <f aca="false">IF(OR(NOT(ISNUMBER($C76)),NOT(ISNUMBER($M76)),$M76=0),"",$C76/$M76-1)</f>
        <v>-0.0130223029262505</v>
      </c>
      <c r="P76" s="54"/>
      <c r="Q76" s="53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701142129</v>
      </c>
      <c r="D77" s="49" t="n">
        <v>705244590</v>
      </c>
      <c r="E77" s="49" t="n">
        <v>699160369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0.00945680810919414</v>
      </c>
      <c r="I77" s="52" t="n">
        <f aca="false">IF(AND(ISNUMBER($G77),$G77&gt;=MA_SHORT),AVERAGE(INDEX($C$5:$C77,74-MA_SHORT):$C77),"")</f>
        <v>679579807.65</v>
      </c>
      <c r="J77" s="52" t="n">
        <f aca="false">IF(AND(ISNUMBER($G77),$G77&gt;=MA_MED),AVERAGE(INDEX($C$5:$C77,74-MA_MED):$C77),"")</f>
        <v>656000426.22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0.194798909595454</v>
      </c>
      <c r="M77" s="52" t="n">
        <f aca="false">IF(AND(ISNUMBER($G77),$G77&gt;=60),MAX(INDEX($D$5:$D77,74-60):$D77),"")</f>
        <v>705244590</v>
      </c>
      <c r="N77" s="52" t="n">
        <f aca="false">IF(AND(ISNUMBER($G77),$G77&gt;=60),MIN(INDEX($E$5:$E77,74-60):$E77),"")</f>
        <v>603550631</v>
      </c>
      <c r="O77" s="53" t="n">
        <f aca="false">IF(OR(NOT(ISNUMBER($C77)),NOT(ISNUMBER($M77)),$M77=0),"",$C77/$M77-1)</f>
        <v>-0.00581707546313826</v>
      </c>
      <c r="P77" s="54"/>
      <c r="Q77" s="53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703600897</v>
      </c>
      <c r="D78" s="49" t="n">
        <v>706044811</v>
      </c>
      <c r="E78" s="49" t="n">
        <v>701457380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0.00350680396784431</v>
      </c>
      <c r="I78" s="52" t="n">
        <f aca="false">IF(AND(ISNUMBER($G78),$G78&gt;=MA_SHORT),AVERAGE(INDEX($C$5:$C78,75-MA_SHORT):$C78),"")</f>
        <v>681579300.35</v>
      </c>
      <c r="J78" s="52" t="n">
        <f aca="false">IF(AND(ISNUMBER($G78),$G78&gt;=MA_MED),AVERAGE(INDEX($C$5:$C78,75-MA_MED):$C78),"")</f>
        <v>657767063.74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0.190123598811776</v>
      </c>
      <c r="M78" s="52" t="n">
        <f aca="false">IF(AND(ISNUMBER($G78),$G78&gt;=60),MAX(INDEX($D$5:$D78,75-60):$D78),"")</f>
        <v>706044811</v>
      </c>
      <c r="N78" s="52" t="n">
        <f aca="false">IF(AND(ISNUMBER($G78),$G78&gt;=60),MIN(INDEX($E$5:$E78,75-60):$E78),"")</f>
        <v>603550631</v>
      </c>
      <c r="O78" s="53" t="n">
        <f aca="false">IF(OR(NOT(ISNUMBER($C78)),NOT(ISNUMBER($M78)),$M78=0),"",$C78/$M78-1)</f>
        <v>-0.00346141485911999</v>
      </c>
      <c r="P78" s="54"/>
      <c r="Q78" s="53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688345031</v>
      </c>
      <c r="D79" s="49" t="n">
        <v>693556750</v>
      </c>
      <c r="E79" s="49" t="n">
        <v>685639988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-0.0216825562119771</v>
      </c>
      <c r="I79" s="52" t="n">
        <f aca="false">IF(AND(ISNUMBER($G79),$G79&gt;=MA_SHORT),AVERAGE(INDEX($C$5:$C79,76-MA_SHORT):$C79),"")</f>
        <v>682999742.75</v>
      </c>
      <c r="J79" s="52" t="n">
        <f aca="false">IF(AND(ISNUMBER($G79),$G79&gt;=MA_MED),AVERAGE(INDEX($C$5:$C79,76-MA_MED):$C79),"")</f>
        <v>659176293.84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0.207110668847404</v>
      </c>
      <c r="M79" s="52" t="n">
        <f aca="false">IF(AND(ISNUMBER($G79),$G79&gt;=60),MAX(INDEX($D$5:$D79,76-60):$D79),"")</f>
        <v>706044811</v>
      </c>
      <c r="N79" s="52" t="n">
        <f aca="false">IF(AND(ISNUMBER($G79),$G79&gt;=60),MIN(INDEX($E$5:$E79,76-60):$E79),"")</f>
        <v>603550631</v>
      </c>
      <c r="O79" s="53" t="n">
        <f aca="false">IF(OR(NOT(ISNUMBER($C79)),NOT(ISNUMBER($M79)),$M79=0),"",$C79/$M79-1)</f>
        <v>-0.0250689187488413</v>
      </c>
      <c r="P79" s="54"/>
      <c r="Q79" s="53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694194089</v>
      </c>
      <c r="D80" s="49" t="n">
        <v>698601458</v>
      </c>
      <c r="E80" s="49" t="n">
        <v>693969169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0.00849727641892417</v>
      </c>
      <c r="I80" s="52" t="n">
        <f aca="false">IF(AND(ISNUMBER($G80),$G80&gt;=MA_SHORT),AVERAGE(INDEX($C$5:$C80,77-MA_SHORT):$C80),"")</f>
        <v>685432840.9</v>
      </c>
      <c r="J80" s="52" t="n">
        <f aca="false">IF(AND(ISNUMBER($G80),$G80&gt;=MA_MED),AVERAGE(INDEX($C$5:$C80,77-MA_MED):$C80),"")</f>
        <v>660391553.24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0.188083187335066</v>
      </c>
      <c r="M80" s="52" t="n">
        <f aca="false">IF(AND(ISNUMBER($G80),$G80&gt;=60),MAX(INDEX($D$5:$D80,77-60):$D80),"")</f>
        <v>706044811</v>
      </c>
      <c r="N80" s="52" t="n">
        <f aca="false">IF(AND(ISNUMBER($G80),$G80&gt;=60),MIN(INDEX($E$5:$E80,77-60):$E80),"")</f>
        <v>603550631</v>
      </c>
      <c r="O80" s="53" t="n">
        <f aca="false">IF(OR(NOT(ISNUMBER($C80)),NOT(ISNUMBER($M80)),$M80=0),"",$C80/$M80-1)</f>
        <v>-0.0167846598620495</v>
      </c>
      <c r="P80" s="54"/>
      <c r="Q80" s="53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706940989</v>
      </c>
      <c r="D81" s="49" t="n">
        <v>710063785</v>
      </c>
      <c r="E81" s="49" t="n">
        <v>703608644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0.0183621557745646</v>
      </c>
      <c r="I81" s="52" t="n">
        <f aca="false">IF(AND(ISNUMBER($G81),$G81&gt;=MA_SHORT),AVERAGE(INDEX($C$5:$C81,78-MA_SHORT):$C81),"")</f>
        <v>687817254.95</v>
      </c>
      <c r="J81" s="52" t="n">
        <f aca="false">IF(AND(ISNUMBER($G81),$G81&gt;=MA_MED),AVERAGE(INDEX($C$5:$C81,78-MA_MED):$C81),"")</f>
        <v>661877129.14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0.184848364396219</v>
      </c>
      <c r="M81" s="52" t="n">
        <f aca="false">IF(AND(ISNUMBER($G81),$G81&gt;=60),MAX(INDEX($D$5:$D81,78-60):$D81),"")</f>
        <v>710063785</v>
      </c>
      <c r="N81" s="52" t="n">
        <f aca="false">IF(AND(ISNUMBER($G81),$G81&gt;=60),MIN(INDEX($E$5:$E81,78-60):$E81),"")</f>
        <v>603550631</v>
      </c>
      <c r="O81" s="53" t="n">
        <f aca="false">IF(OR(NOT(ISNUMBER($C81)),NOT(ISNUMBER($M81)),$M81=0),"",$C81/$M81-1)</f>
        <v>-0.00439790912586813</v>
      </c>
      <c r="P81" s="54"/>
      <c r="Q81" s="53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696498266</v>
      </c>
      <c r="D82" s="49" t="n">
        <v>699214118</v>
      </c>
      <c r="E82" s="49" t="n">
        <v>691699903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-0.014771703950526</v>
      </c>
      <c r="I82" s="52" t="n">
        <f aca="false">IF(AND(ISNUMBER($G82),$G82&gt;=MA_SHORT),AVERAGE(INDEX($C$5:$C82,79-MA_SHORT):$C82),"")</f>
        <v>689047290.35</v>
      </c>
      <c r="J82" s="52" t="n">
        <f aca="false">IF(AND(ISNUMBER($G82),$G82&gt;=MA_MED),AVERAGE(INDEX($C$5:$C82,79-MA_MED):$C82),"")</f>
        <v>663021582.86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0.18605476369653</v>
      </c>
      <c r="M82" s="52" t="n">
        <f aca="false">IF(AND(ISNUMBER($G82),$G82&gt;=60),MAX(INDEX($D$5:$D82,79-60):$D82),"")</f>
        <v>710063785</v>
      </c>
      <c r="N82" s="52" t="n">
        <f aca="false">IF(AND(ISNUMBER($G82),$G82&gt;=60),MIN(INDEX($E$5:$E82,79-60):$E82),"")</f>
        <v>603550631</v>
      </c>
      <c r="O82" s="53" t="n">
        <f aca="false">IF(OR(NOT(ISNUMBER($C82)),NOT(ISNUMBER($M82)),$M82=0),"",$C82/$M82-1)</f>
        <v>-0.0191046484647854</v>
      </c>
      <c r="P82" s="54"/>
      <c r="Q82" s="53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692804213</v>
      </c>
      <c r="D83" s="49" t="n">
        <v>696791127</v>
      </c>
      <c r="E83" s="49" t="n">
        <v>692622037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-0.00530375046188558</v>
      </c>
      <c r="I83" s="52" t="n">
        <f aca="false">IF(AND(ISNUMBER($G83),$G83&gt;=MA_SHORT),AVERAGE(INDEX($C$5:$C83,80-MA_SHORT):$C83),"")</f>
        <v>690112122</v>
      </c>
      <c r="J83" s="52" t="n">
        <f aca="false">IF(AND(ISNUMBER($G83),$G83&gt;=MA_MED),AVERAGE(INDEX($C$5:$C83,80-MA_MED):$C83),"")</f>
        <v>664182105.66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0.187583993598116</v>
      </c>
      <c r="M83" s="52" t="n">
        <f aca="false">IF(AND(ISNUMBER($G83),$G83&gt;=60),MAX(INDEX($D$5:$D83,80-60):$D83),"")</f>
        <v>710063785</v>
      </c>
      <c r="N83" s="52" t="n">
        <f aca="false">IF(AND(ISNUMBER($G83),$G83&gt;=60),MIN(INDEX($E$5:$E83,80-60):$E83),"")</f>
        <v>603550631</v>
      </c>
      <c r="O83" s="53" t="n">
        <f aca="false">IF(OR(NOT(ISNUMBER($C83)),NOT(ISNUMBER($M83)),$M83=0),"",$C83/$M83-1)</f>
        <v>-0.0243070726385518</v>
      </c>
      <c r="P83" s="54"/>
      <c r="Q83" s="53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713497759</v>
      </c>
      <c r="D84" s="49" t="n">
        <v>716470043</v>
      </c>
      <c r="E84" s="49" t="n">
        <v>710908791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0.0298692554284452</v>
      </c>
      <c r="I84" s="52" t="n">
        <f aca="false">IF(AND(ISNUMBER($G84),$G84&gt;=MA_SHORT),AVERAGE(INDEX($C$5:$C84,81-MA_SHORT):$C84),"")</f>
        <v>691939961.7</v>
      </c>
      <c r="J84" s="52" t="n">
        <f aca="false">IF(AND(ISNUMBER($G84),$G84&gt;=MA_MED),AVERAGE(INDEX($C$5:$C84,81-MA_MED):$C84),"")</f>
        <v>665992343.7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0.211249466933446</v>
      </c>
      <c r="M84" s="52" t="n">
        <f aca="false">IF(AND(ISNUMBER($G84),$G84&gt;=60),MAX(INDEX($D$5:$D84,81-60):$D84),"")</f>
        <v>716470043</v>
      </c>
      <c r="N84" s="52" t="n">
        <f aca="false">IF(AND(ISNUMBER($G84),$G84&gt;=60),MIN(INDEX($E$5:$E84,81-60):$E84),"")</f>
        <v>603550631</v>
      </c>
      <c r="O84" s="53" t="n">
        <f aca="false">IF(OR(NOT(ISNUMBER($C84)),NOT(ISNUMBER($M84)),$M84=0),"",$C84/$M84-1)</f>
        <v>-0.00414851120300086</v>
      </c>
      <c r="P84" s="54"/>
      <c r="Q84" s="53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724962291</v>
      </c>
      <c r="D85" s="49" t="n">
        <v>731619806</v>
      </c>
      <c r="E85" s="49" t="n">
        <v>724634812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0.016068070089061</v>
      </c>
      <c r="I85" s="52" t="n">
        <f aca="false">IF(AND(ISNUMBER($G85),$G85&gt;=MA_SHORT),AVERAGE(INDEX($C$5:$C85,82-MA_SHORT):$C85),"")</f>
        <v>694865998.6</v>
      </c>
      <c r="J85" s="52" t="n">
        <f aca="false">IF(AND(ISNUMBER($G85),$G85&gt;=MA_MED),AVERAGE(INDEX($C$5:$C85,82-MA_MED):$C85),"")</f>
        <v>667810532.9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0.204929263588233</v>
      </c>
      <c r="M85" s="52" t="n">
        <f aca="false">IF(AND(ISNUMBER($G85),$G85&gt;=60),MAX(INDEX($D$5:$D85,82-60):$D85),"")</f>
        <v>731619806</v>
      </c>
      <c r="N85" s="52" t="n">
        <f aca="false">IF(AND(ISNUMBER($G85),$G85&gt;=60),MIN(INDEX($E$5:$E85,82-60):$E85),"")</f>
        <v>603550631</v>
      </c>
      <c r="O85" s="53" t="n">
        <f aca="false">IF(OR(NOT(ISNUMBER($C85)),NOT(ISNUMBER($M85)),$M85=0),"",$C85/$M85-1)</f>
        <v>-0.00909969214256068</v>
      </c>
      <c r="P85" s="54"/>
      <c r="Q85" s="53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725542482</v>
      </c>
      <c r="D86" s="49" t="n">
        <v>726504168</v>
      </c>
      <c r="E86" s="49" t="n">
        <v>723225556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0.000800305074074581</v>
      </c>
      <c r="I86" s="52" t="n">
        <f aca="false">IF(AND(ISNUMBER($G86),$G86&gt;=MA_SHORT),AVERAGE(INDEX($C$5:$C86,83-MA_SHORT):$C86),"")</f>
        <v>697854135.55</v>
      </c>
      <c r="J86" s="52" t="n">
        <f aca="false">IF(AND(ISNUMBER($G86),$G86&gt;=MA_MED),AVERAGE(INDEX($C$5:$C86,83-MA_MED):$C86),"")</f>
        <v>669757239.14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0.204427683205243</v>
      </c>
      <c r="M86" s="52" t="n">
        <f aca="false">IF(AND(ISNUMBER($G86),$G86&gt;=60),MAX(INDEX($D$5:$D86,83-60):$D86),"")</f>
        <v>731619806</v>
      </c>
      <c r="N86" s="52" t="n">
        <f aca="false">IF(AND(ISNUMBER($G86),$G86&gt;=60),MIN(INDEX($E$5:$E86,83-60):$E86),"")</f>
        <v>603550631</v>
      </c>
      <c r="O86" s="53" t="n">
        <f aca="false">IF(OR(NOT(ISNUMBER($C86)),NOT(ISNUMBER($M86)),$M86=0),"",$C86/$M86-1)</f>
        <v>-0.00830666959828041</v>
      </c>
      <c r="P86" s="54"/>
      <c r="Q86" s="53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722095379</v>
      </c>
      <c r="D87" s="49" t="n">
        <v>723117930</v>
      </c>
      <c r="E87" s="49" t="n">
        <v>720984765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-0.00475106983466755</v>
      </c>
      <c r="I87" s="52" t="n">
        <f aca="false">IF(AND(ISNUMBER($G87),$G87&gt;=MA_SHORT),AVERAGE(INDEX($C$5:$C87,84-MA_SHORT):$C87),"")</f>
        <v>700749408.95</v>
      </c>
      <c r="J87" s="52" t="n">
        <f aca="false">IF(AND(ISNUMBER($G87),$G87&gt;=MA_MED),AVERAGE(INDEX($C$5:$C87,84-MA_MED):$C87),"")</f>
        <v>671554469.5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0.205601650047235</v>
      </c>
      <c r="M87" s="52" t="n">
        <f aca="false">IF(AND(ISNUMBER($G87),$G87&gt;=60),MAX(INDEX($D$5:$D87,84-60):$D87),"")</f>
        <v>731619806</v>
      </c>
      <c r="N87" s="52" t="n">
        <f aca="false">IF(AND(ISNUMBER($G87),$G87&gt;=60),MIN(INDEX($E$5:$E87,84-60):$E87),"")</f>
        <v>614075019</v>
      </c>
      <c r="O87" s="53" t="n">
        <f aca="false">IF(OR(NOT(ISNUMBER($C87)),NOT(ISNUMBER($M87)),$M87=0),"",$C87/$M87-1)</f>
        <v>-0.013018273865593</v>
      </c>
      <c r="P87" s="54"/>
      <c r="Q87" s="53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721490584</v>
      </c>
      <c r="D88" s="49" t="n">
        <v>723735987</v>
      </c>
      <c r="E88" s="49" t="n">
        <v>714946039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-0.000837555560648462</v>
      </c>
      <c r="I88" s="52" t="n">
        <f aca="false">IF(AND(ISNUMBER($G88),$G88&gt;=MA_SHORT),AVERAGE(INDEX($C$5:$C88,85-MA_SHORT):$C88),"")</f>
        <v>702962390.05</v>
      </c>
      <c r="J88" s="52" t="n">
        <f aca="false">IF(AND(ISNUMBER($G88),$G88&gt;=MA_MED),AVERAGE(INDEX($C$5:$C88,85-MA_MED):$C88),"")</f>
        <v>673202738.52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0.198227309235132</v>
      </c>
      <c r="M88" s="52" t="n">
        <f aca="false">IF(AND(ISNUMBER($G88),$G88&gt;=60),MAX(INDEX($D$5:$D88,85-60):$D88),"")</f>
        <v>731619806</v>
      </c>
      <c r="N88" s="52" t="n">
        <f aca="false">IF(AND(ISNUMBER($G88),$G88&gt;=60),MIN(INDEX($E$5:$E88,85-60):$E88),"")</f>
        <v>614610898</v>
      </c>
      <c r="O88" s="53" t="n">
        <f aca="false">IF(OR(NOT(ISNUMBER($C88)),NOT(ISNUMBER($M88)),$M88=0),"",$C88/$M88-1)</f>
        <v>-0.0138449258985752</v>
      </c>
      <c r="P88" s="54"/>
      <c r="Q88" s="53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721638233</v>
      </c>
      <c r="D89" s="49" t="n">
        <v>724850267</v>
      </c>
      <c r="E89" s="49" t="n">
        <v>716028023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0.000204644389371511</v>
      </c>
      <c r="I89" s="52" t="n">
        <f aca="false">IF(AND(ISNUMBER($G89),$G89&gt;=MA_SHORT),AVERAGE(INDEX($C$5:$C89,86-MA_SHORT):$C89),"")</f>
        <v>704407933.3</v>
      </c>
      <c r="J89" s="52" t="n">
        <f aca="false">IF(AND(ISNUMBER($G89),$G89&gt;=MA_MED),AVERAGE(INDEX($C$5:$C89,86-MA_MED):$C89),"")</f>
        <v>674814182.02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0.184689011208798</v>
      </c>
      <c r="M89" s="52" t="n">
        <f aca="false">IF(AND(ISNUMBER($G89),$G89&gt;=60),MAX(INDEX($D$5:$D89,86-60):$D89),"")</f>
        <v>731619806</v>
      </c>
      <c r="N89" s="52" t="n">
        <f aca="false">IF(AND(ISNUMBER($G89),$G89&gt;=60),MIN(INDEX($E$5:$E89,86-60):$E89),"")</f>
        <v>618853324</v>
      </c>
      <c r="O89" s="53" t="n">
        <f aca="false">IF(OR(NOT(ISNUMBER($C89)),NOT(ISNUMBER($M89)),$M89=0),"",$C89/$M89-1)</f>
        <v>-0.0136431147956101</v>
      </c>
      <c r="P89" s="54"/>
      <c r="Q89" s="53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737030836</v>
      </c>
      <c r="D90" s="49" t="n">
        <v>737601883</v>
      </c>
      <c r="E90" s="49" t="n">
        <v>735112589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0.0213300824375806</v>
      </c>
      <c r="I90" s="52" t="n">
        <f aca="false">IF(AND(ISNUMBER($G90),$G90&gt;=MA_SHORT),AVERAGE(INDEX($C$5:$C90,87-MA_SHORT):$C90),"")</f>
        <v>706653083.4</v>
      </c>
      <c r="J90" s="52" t="n">
        <f aca="false">IF(AND(ISNUMBER($G90),$G90&gt;=MA_MED),AVERAGE(INDEX($C$5:$C90,87-MA_MED):$C90),"")</f>
        <v>676584199.16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0.196062171173403</v>
      </c>
      <c r="M90" s="52" t="n">
        <f aca="false">IF(AND(ISNUMBER($G90),$G90&gt;=60),MAX(INDEX($D$5:$D90,87-60):$D90),"")</f>
        <v>737601883</v>
      </c>
      <c r="N90" s="52" t="n">
        <f aca="false">IF(AND(ISNUMBER($G90),$G90&gt;=60),MIN(INDEX($E$5:$E90,87-60):$E90),"")</f>
        <v>618853324</v>
      </c>
      <c r="O90" s="53" t="n">
        <f aca="false">IF(OR(NOT(ISNUMBER($C90)),NOT(ISNUMBER($M90)),$M90=0),"",$C90/$M90-1)</f>
        <v>-0.000774194064794731</v>
      </c>
      <c r="P90" s="54"/>
      <c r="Q90" s="53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730685548</v>
      </c>
      <c r="D91" s="49" t="n">
        <v>734285412</v>
      </c>
      <c r="E91" s="49" t="n">
        <v>729739073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-0.00860925715732197</v>
      </c>
      <c r="I91" s="52" t="n">
        <f aca="false">IF(AND(ISNUMBER($G91),$G91&gt;=MA_SHORT),AVERAGE(INDEX($C$5:$C91,88-MA_SHORT):$C91),"")</f>
        <v>708410196.15</v>
      </c>
      <c r="J91" s="52" t="n">
        <f aca="false">IF(AND(ISNUMBER($G91),$G91&gt;=MA_MED),AVERAGE(INDEX($C$5:$C91,88-MA_MED):$C91),"")</f>
        <v>678076815.24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0.200223136732345</v>
      </c>
      <c r="M91" s="52" t="n">
        <f aca="false">IF(AND(ISNUMBER($G91),$G91&gt;=60),MAX(INDEX($D$5:$D91,88-60):$D91),"")</f>
        <v>737601883</v>
      </c>
      <c r="N91" s="52" t="n">
        <f aca="false">IF(AND(ISNUMBER($G91),$G91&gt;=60),MIN(INDEX($E$5:$E91,88-60):$E91),"")</f>
        <v>618853324</v>
      </c>
      <c r="O91" s="53" t="n">
        <f aca="false">IF(OR(NOT(ISNUMBER($C91)),NOT(ISNUMBER($M91)),$M91=0),"",$C91/$M91-1)</f>
        <v>-0.00937678598632319</v>
      </c>
      <c r="P91" s="54"/>
      <c r="Q91" s="53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724628470</v>
      </c>
      <c r="D92" s="49" t="n">
        <v>727065317</v>
      </c>
      <c r="E92" s="49" t="n">
        <v>723857602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-0.00828958231975319</v>
      </c>
      <c r="I92" s="52" t="n">
        <f aca="false">IF(AND(ISNUMBER($G92),$G92&gt;=MA_SHORT),AVERAGE(INDEX($C$5:$C92,89-MA_SHORT):$C92),"")</f>
        <v>709464270.6</v>
      </c>
      <c r="J92" s="52" t="n">
        <f aca="false">IF(AND(ISNUMBER($G92),$G92&gt;=MA_MED),AVERAGE(INDEX($C$5:$C92,89-MA_MED):$C92),"")</f>
        <v>679725744.9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0.200784893198246</v>
      </c>
      <c r="M92" s="52" t="n">
        <f aca="false">IF(AND(ISNUMBER($G92),$G92&gt;=60),MAX(INDEX($D$5:$D92,89-60):$D92),"")</f>
        <v>737601883</v>
      </c>
      <c r="N92" s="52" t="n">
        <f aca="false">IF(AND(ISNUMBER($G92),$G92&gt;=60),MIN(INDEX($E$5:$E92,89-60):$E92),"")</f>
        <v>618853324</v>
      </c>
      <c r="O92" s="53" t="n">
        <f aca="false">IF(OR(NOT(ISNUMBER($C92)),NOT(ISNUMBER($M92)),$M92=0),"",$C92/$M92-1)</f>
        <v>-0.0175886386667481</v>
      </c>
      <c r="P92" s="54"/>
      <c r="Q92" s="53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724795910</v>
      </c>
      <c r="D93" s="49" t="n">
        <v>730395773</v>
      </c>
      <c r="E93" s="49" t="n">
        <v>722295820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0.000231070137225009</v>
      </c>
      <c r="I93" s="52" t="n">
        <f aca="false">IF(AND(ISNUMBER($G93),$G93&gt;=MA_SHORT),AVERAGE(INDEX($C$5:$C93,90-MA_SHORT):$C93),"")</f>
        <v>710561142.55</v>
      </c>
      <c r="J93" s="52" t="n">
        <f aca="false">IF(AND(ISNUMBER($G93),$G93&gt;=MA_MED),AVERAGE(INDEX($C$5:$C93,90-MA_MED):$C93),"")</f>
        <v>681372333.88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0.200632635852299</v>
      </c>
      <c r="M93" s="52" t="n">
        <f aca="false">IF(AND(ISNUMBER($G93),$G93&gt;=60),MAX(INDEX($D$5:$D93,90-60):$D93),"")</f>
        <v>737601883</v>
      </c>
      <c r="N93" s="52" t="n">
        <f aca="false">IF(AND(ISNUMBER($G93),$G93&gt;=60),MIN(INDEX($E$5:$E93,90-60):$E93),"")</f>
        <v>618853324</v>
      </c>
      <c r="O93" s="53" t="n">
        <f aca="false">IF(OR(NOT(ISNUMBER($C93)),NOT(ISNUMBER($M93)),$M93=0),"",$C93/$M93-1)</f>
        <v>-0.0173616327386735</v>
      </c>
      <c r="P93" s="54"/>
      <c r="Q93" s="53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737150601</v>
      </c>
      <c r="D94" s="49" t="n">
        <v>738383492</v>
      </c>
      <c r="E94" s="49" t="n">
        <v>733365783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0.0170457515412856</v>
      </c>
      <c r="I94" s="52" t="n">
        <f aca="false">IF(AND(ISNUMBER($G94),$G94&gt;=MA_SHORT),AVERAGE(INDEX($C$5:$C94,91-MA_SHORT):$C94),"")</f>
        <v>712633762.2</v>
      </c>
      <c r="J94" s="52" t="n">
        <f aca="false">IF(AND(ISNUMBER($G94),$G94&gt;=MA_MED),AVERAGE(INDEX($C$5:$C94,91-MA_MED):$C94),"")</f>
        <v>683297705.92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0.202605681203311</v>
      </c>
      <c r="M94" s="52" t="n">
        <f aca="false">IF(AND(ISNUMBER($G94),$G94&gt;=60),MAX(INDEX($D$5:$D94,91-60):$D94),"")</f>
        <v>738383492</v>
      </c>
      <c r="N94" s="52" t="n">
        <f aca="false">IF(AND(ISNUMBER($G94),$G94&gt;=60),MIN(INDEX($E$5:$E94,91-60):$E94),"")</f>
        <v>626872843</v>
      </c>
      <c r="O94" s="53" t="n">
        <f aca="false">IF(OR(NOT(ISNUMBER($C94)),NOT(ISNUMBER($M94)),$M94=0),"",$C94/$M94-1)</f>
        <v>-0.00166971636467739</v>
      </c>
      <c r="P94" s="54"/>
      <c r="Q94" s="53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736210923</v>
      </c>
      <c r="D95" s="49" t="n">
        <v>739042950</v>
      </c>
      <c r="E95" s="49" t="n">
        <v>733133940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-0.00127474358526636</v>
      </c>
      <c r="I95" s="52" t="n">
        <f aca="false">IF(AND(ISNUMBER($G95),$G95&gt;=MA_SHORT),AVERAGE(INDEX($C$5:$C95,92-MA_SHORT):$C95),"")</f>
        <v>714891415.45</v>
      </c>
      <c r="J95" s="52" t="n">
        <f aca="false">IF(AND(ISNUMBER($G95),$G95&gt;=MA_MED),AVERAGE(INDEX($C$5:$C95,92-MA_MED):$C95),"")</f>
        <v>685036484.1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0.200158206609918</v>
      </c>
      <c r="M95" s="52" t="n">
        <f aca="false">IF(AND(ISNUMBER($G95),$G95&gt;=60),MAX(INDEX($D$5:$D95,92-60):$D95),"")</f>
        <v>739042950</v>
      </c>
      <c r="N95" s="52" t="n">
        <f aca="false">IF(AND(ISNUMBER($G95),$G95&gt;=60),MIN(INDEX($E$5:$E95,92-60):$E95),"")</f>
        <v>626872843</v>
      </c>
      <c r="O95" s="53" t="n">
        <f aca="false">IF(OR(NOT(ISNUMBER($C95)),NOT(ISNUMBER($M95)),$M95=0),"",$C95/$M95-1)</f>
        <v>-0.00383201950576761</v>
      </c>
      <c r="P95" s="54"/>
      <c r="Q95" s="53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732967263</v>
      </c>
      <c r="D96" s="49" t="n">
        <v>736714389</v>
      </c>
      <c r="E96" s="49" t="n">
        <v>731398050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-0.00440588410014664</v>
      </c>
      <c r="I96" s="52" t="n">
        <f aca="false">IF(AND(ISNUMBER($G96),$G96&gt;=MA_SHORT),AVERAGE(INDEX($C$5:$C96,93-MA_SHORT):$C96),"")</f>
        <v>716811094.65</v>
      </c>
      <c r="J96" s="52" t="n">
        <f aca="false">IF(AND(ISNUMBER($G96),$G96&gt;=MA_MED),AVERAGE(INDEX($C$5:$C96,93-MA_MED):$C96),"")</f>
        <v>686853897.18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0.201783824702418</v>
      </c>
      <c r="M96" s="52" t="n">
        <f aca="false">IF(AND(ISNUMBER($G96),$G96&gt;=60),MAX(INDEX($D$5:$D96,93-60):$D96),"")</f>
        <v>739042950</v>
      </c>
      <c r="N96" s="52" t="n">
        <f aca="false">IF(AND(ISNUMBER($G96),$G96&gt;=60),MIN(INDEX($E$5:$E96,93-60):$E96),"")</f>
        <v>628086366</v>
      </c>
      <c r="O96" s="53" t="n">
        <f aca="false">IF(OR(NOT(ISNUMBER($C96)),NOT(ISNUMBER($M96)),$M96=0),"",$C96/$M96-1)</f>
        <v>-0.00822102017210236</v>
      </c>
      <c r="P96" s="54"/>
      <c r="Q96" s="53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732498892</v>
      </c>
      <c r="D97" s="49" t="n">
        <v>734279080</v>
      </c>
      <c r="E97" s="49" t="n">
        <v>730749675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-0.00063900671099959</v>
      </c>
      <c r="I97" s="52" t="n">
        <f aca="false">IF(AND(ISNUMBER($G97),$G97&gt;=MA_SHORT),AVERAGE(INDEX($C$5:$C97,94-MA_SHORT):$C97),"")</f>
        <v>718378932.8</v>
      </c>
      <c r="J97" s="52" t="n">
        <f aca="false">IF(AND(ISNUMBER($G97),$G97&gt;=MA_MED),AVERAGE(INDEX($C$5:$C97,94-MA_MED):$C97),"")</f>
        <v>688566664.96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0.200561421007512</v>
      </c>
      <c r="M97" s="52" t="n">
        <f aca="false">IF(AND(ISNUMBER($G97),$G97&gt;=60),MAX(INDEX($D$5:$D97,94-60):$D97),"")</f>
        <v>739042950</v>
      </c>
      <c r="N97" s="52" t="n">
        <f aca="false">IF(AND(ISNUMBER($G97),$G97&gt;=60),MIN(INDEX($E$5:$E97,94-60):$E97),"")</f>
        <v>630263781</v>
      </c>
      <c r="O97" s="53" t="n">
        <f aca="false">IF(OR(NOT(ISNUMBER($C97)),NOT(ISNUMBER($M97)),$M97=0),"",$C97/$M97-1)</f>
        <v>-0.0088547735960407</v>
      </c>
      <c r="P97" s="54"/>
      <c r="Q97" s="53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738193361</v>
      </c>
      <c r="D98" s="49" t="n">
        <v>741027465</v>
      </c>
      <c r="E98" s="49" t="n">
        <v>731233182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0.00777403087184458</v>
      </c>
      <c r="I98" s="52" t="n">
        <f aca="false">IF(AND(ISNUMBER($G98),$G98&gt;=MA_SHORT),AVERAGE(INDEX($C$5:$C98,95-MA_SHORT):$C98),"")</f>
        <v>720108556</v>
      </c>
      <c r="J98" s="52" t="n">
        <f aca="false">IF(AND(ISNUMBER($G98),$G98&gt;=MA_MED),AVERAGE(INDEX($C$5:$C98,95-MA_MED):$C98),"")</f>
        <v>690410612.02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0.201455527982255</v>
      </c>
      <c r="M98" s="52" t="n">
        <f aca="false">IF(AND(ISNUMBER($G98),$G98&gt;=60),MAX(INDEX($D$5:$D98,95-60):$D98),"")</f>
        <v>741027465</v>
      </c>
      <c r="N98" s="52" t="n">
        <f aca="false">IF(AND(ISNUMBER($G98),$G98&gt;=60),MIN(INDEX($E$5:$E98,95-60):$E98),"")</f>
        <v>630263781</v>
      </c>
      <c r="O98" s="53" t="n">
        <f aca="false">IF(OR(NOT(ISNUMBER($C98)),NOT(ISNUMBER($M98)),$M98=0),"",$C98/$M98-1)</f>
        <v>-0.00382455999792131</v>
      </c>
      <c r="P98" s="54"/>
      <c r="Q98" s="53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755952615</v>
      </c>
      <c r="D99" s="49" t="n">
        <v>757134500</v>
      </c>
      <c r="E99" s="49" t="n">
        <v>751621726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0.0240577265229565</v>
      </c>
      <c r="I99" s="52" t="n">
        <f aca="false">IF(AND(ISNUMBER($G99),$G99&gt;=MA_SHORT),AVERAGE(INDEX($C$5:$C99,96-MA_SHORT):$C99),"")</f>
        <v>723488935.2</v>
      </c>
      <c r="J99" s="52" t="n">
        <f aca="false">IF(AND(ISNUMBER($G99),$G99&gt;=MA_MED),AVERAGE(INDEX($C$5:$C99,96-MA_MED):$C99),"")</f>
        <v>692762915.6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0.194190212920992</v>
      </c>
      <c r="M99" s="52" t="n">
        <f aca="false">IF(AND(ISNUMBER($G99),$G99&gt;=60),MAX(INDEX($D$5:$D99,96-60):$D99),"")</f>
        <v>757134500</v>
      </c>
      <c r="N99" s="52" t="n">
        <f aca="false">IF(AND(ISNUMBER($G99),$G99&gt;=60),MIN(INDEX($E$5:$E99,96-60):$E99),"")</f>
        <v>630263781</v>
      </c>
      <c r="O99" s="53" t="n">
        <f aca="false">IF(OR(NOT(ISNUMBER($C99)),NOT(ISNUMBER($M99)),$M99=0),"",$C99/$M99-1)</f>
        <v>-0.00156099741855642</v>
      </c>
      <c r="P99" s="54"/>
      <c r="Q99" s="53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750515722</v>
      </c>
      <c r="D100" s="49" t="n">
        <v>754031343</v>
      </c>
      <c r="E100" s="49" t="n">
        <v>750094292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-0.00719210819847482</v>
      </c>
      <c r="I100" s="52" t="n">
        <f aca="false">IF(AND(ISNUMBER($G100),$G100&gt;=MA_SHORT),AVERAGE(INDEX($C$5:$C100,97-MA_SHORT):$C100),"")</f>
        <v>726305016.85</v>
      </c>
      <c r="J100" s="52" t="n">
        <f aca="false">IF(AND(ISNUMBER($G100),$G100&gt;=MA_MED),AVERAGE(INDEX($C$5:$C100,97-MA_MED):$C100),"")</f>
        <v>694962220.02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0.198030987006139</v>
      </c>
      <c r="M100" s="52" t="n">
        <f aca="false">IF(AND(ISNUMBER($G100),$G100&gt;=60),MAX(INDEX($D$5:$D100,97-60):$D100),"")</f>
        <v>757134500</v>
      </c>
      <c r="N100" s="52" t="n">
        <f aca="false">IF(AND(ISNUMBER($G100),$G100&gt;=60),MIN(INDEX($E$5:$E100,97-60):$E100),"")</f>
        <v>630263781</v>
      </c>
      <c r="O100" s="53" t="n">
        <f aca="false">IF(OR(NOT(ISNUMBER($C100)),NOT(ISNUMBER($M100)),$M100=0),"",$C100/$M100-1)</f>
        <v>-0.00874187875469945</v>
      </c>
      <c r="P100" s="54"/>
      <c r="Q100" s="53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764137121</v>
      </c>
      <c r="D101" s="49" t="n">
        <v>765158592</v>
      </c>
      <c r="E101" s="49" t="n">
        <v>763442502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0.0181493852836303</v>
      </c>
      <c r="I101" s="52" t="n">
        <f aca="false">IF(AND(ISNUMBER($G101),$G101&gt;=MA_SHORT),AVERAGE(INDEX($C$5:$C101,98-MA_SHORT):$C101),"")</f>
        <v>729164823.45</v>
      </c>
      <c r="J101" s="52" t="n">
        <f aca="false">IF(AND(ISNUMBER($G101),$G101&gt;=MA_MED),AVERAGE(INDEX($C$5:$C101,98-MA_MED):$C101),"")</f>
        <v>697533235.22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0.197833078216931</v>
      </c>
      <c r="M101" s="52" t="n">
        <f aca="false">IF(AND(ISNUMBER($G101),$G101&gt;=60),MAX(INDEX($D$5:$D101,98-60):$D101),"")</f>
        <v>765158592</v>
      </c>
      <c r="N101" s="52" t="n">
        <f aca="false">IF(AND(ISNUMBER($G101),$G101&gt;=60),MIN(INDEX($E$5:$E101,98-60):$E101),"")</f>
        <v>630263781</v>
      </c>
      <c r="O101" s="53" t="n">
        <f aca="false">IF(OR(NOT(ISNUMBER($C101)),NOT(ISNUMBER($M101)),$M101=0),"",$C101/$M101-1)</f>
        <v>-0.00133497945482131</v>
      </c>
      <c r="P101" s="54"/>
      <c r="Q101" s="53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757815882</v>
      </c>
      <c r="D102" s="49" t="n">
        <v>761612490</v>
      </c>
      <c r="E102" s="49" t="n">
        <v>757634401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-0.00827238832701593</v>
      </c>
      <c r="I102" s="52" t="n">
        <f aca="false">IF(AND(ISNUMBER($G102),$G102&gt;=MA_SHORT),AVERAGE(INDEX($C$5:$C102,99-MA_SHORT):$C102),"")</f>
        <v>732230704.25</v>
      </c>
      <c r="J102" s="52" t="n">
        <f aca="false">IF(AND(ISNUMBER($G102),$G102&gt;=MA_MED),AVERAGE(INDEX($C$5:$C102,99-MA_MED):$C102),"")</f>
        <v>699733187.4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0.191085172755804</v>
      </c>
      <c r="M102" s="52" t="n">
        <f aca="false">IF(AND(ISNUMBER($G102),$G102&gt;=60),MAX(INDEX($D$5:$D102,99-60):$D102),"")</f>
        <v>765158592</v>
      </c>
      <c r="N102" s="52" t="n">
        <f aca="false">IF(AND(ISNUMBER($G102),$G102&gt;=60),MIN(INDEX($E$5:$E102,99-60):$E102),"")</f>
        <v>630263781</v>
      </c>
      <c r="O102" s="53" t="n">
        <f aca="false">IF(OR(NOT(ISNUMBER($C102)),NOT(ISNUMBER($M102)),$M102=0),"",$C102/$M102-1)</f>
        <v>-0.00959632431337842</v>
      </c>
      <c r="P102" s="54"/>
      <c r="Q102" s="53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765517356</v>
      </c>
      <c r="D103" s="49" t="n">
        <v>766990469</v>
      </c>
      <c r="E103" s="49" t="n">
        <v>759291866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0.0101627244597653</v>
      </c>
      <c r="I103" s="52" t="n">
        <f aca="false">IF(AND(ISNUMBER($G103),$G103&gt;=MA_SHORT),AVERAGE(INDEX($C$5:$C103,100-MA_SHORT):$C103),"")</f>
        <v>735866361.4</v>
      </c>
      <c r="J103" s="52" t="n">
        <f aca="false">IF(AND(ISNUMBER($G103),$G103&gt;=MA_MED),AVERAGE(INDEX($C$5:$C103,100-MA_MED):$C103),"")</f>
        <v>702013588.12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0.188717028330227</v>
      </c>
      <c r="M103" s="52" t="n">
        <f aca="false">IF(AND(ISNUMBER($G103),$G103&gt;=60),MAX(INDEX($D$5:$D103,100-60):$D103),"")</f>
        <v>766990469</v>
      </c>
      <c r="N103" s="52" t="n">
        <f aca="false">IF(AND(ISNUMBER($G103),$G103&gt;=60),MIN(INDEX($E$5:$E103,100-60):$E103),"")</f>
        <v>630263781</v>
      </c>
      <c r="O103" s="53" t="n">
        <f aca="false">IF(OR(NOT(ISNUMBER($C103)),NOT(ISNUMBER($M103)),$M103=0),"",$C103/$M103-1)</f>
        <v>-0.00192064055492192</v>
      </c>
      <c r="P103" s="54"/>
      <c r="Q103" s="53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772208169</v>
      </c>
      <c r="D104" s="49" t="n">
        <v>773347057</v>
      </c>
      <c r="E104" s="49" t="n">
        <v>770996051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0.00874024990754085</v>
      </c>
      <c r="I104" s="52" t="n">
        <f aca="false">IF(AND(ISNUMBER($G104),$G104&gt;=MA_SHORT),AVERAGE(INDEX($C$5:$C104,101-MA_SHORT):$C104),"")</f>
        <v>738801881.9</v>
      </c>
      <c r="J104" s="52" t="n">
        <f aca="false">IF(AND(ISNUMBER($G104),$G104&gt;=MA_MED),AVERAGE(INDEX($C$5:$C104,101-MA_MED):$C104),"")</f>
        <v>704386878.96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0.166042967412285</v>
      </c>
      <c r="M104" s="52" t="n">
        <f aca="false">IF(AND(ISNUMBER($G104),$G104&gt;=60),MAX(INDEX($D$5:$D104,101-60):$D104),"")</f>
        <v>773347057</v>
      </c>
      <c r="N104" s="52" t="n">
        <f aca="false">IF(AND(ISNUMBER($G104),$G104&gt;=60),MIN(INDEX($E$5:$E104,101-60):$E104),"")</f>
        <v>630263781</v>
      </c>
      <c r="O104" s="53" t="n">
        <f aca="false">IF(OR(NOT(ISNUMBER($C104)),NOT(ISNUMBER($M104)),$M104=0),"",$C104/$M104-1)</f>
        <v>-0.00147267386575189</v>
      </c>
      <c r="P104" s="54"/>
      <c r="Q104" s="53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777738574</v>
      </c>
      <c r="D105" s="49" t="n">
        <v>783324299</v>
      </c>
      <c r="E105" s="49" t="n">
        <v>776767616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0.0071618058731</v>
      </c>
      <c r="I105" s="52" t="n">
        <f aca="false">IF(AND(ISNUMBER($G105),$G105&gt;=MA_SHORT),AVERAGE(INDEX($C$5:$C105,102-MA_SHORT):$C105),"")</f>
        <v>741440696.05</v>
      </c>
      <c r="J105" s="52" t="n">
        <f aca="false">IF(AND(ISNUMBER($G105),$G105&gt;=MA_MED),AVERAGE(INDEX($C$5:$C105,102-MA_MED):$C105),"")</f>
        <v>706908545.26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0.160541038988629</v>
      </c>
      <c r="M105" s="52" t="n">
        <f aca="false">IF(AND(ISNUMBER($G105),$G105&gt;=60),MAX(INDEX($D$5:$D105,102-60):$D105),"")</f>
        <v>783324299</v>
      </c>
      <c r="N105" s="52" t="n">
        <f aca="false">IF(AND(ISNUMBER($G105),$G105&gt;=60),MIN(INDEX($E$5:$E105,102-60):$E105),"")</f>
        <v>630263781</v>
      </c>
      <c r="O105" s="53" t="n">
        <f aca="false">IF(OR(NOT(ISNUMBER($C105)),NOT(ISNUMBER($M105)),$M105=0),"",$C105/$M105-1)</f>
        <v>-0.00713079500678171</v>
      </c>
      <c r="P105" s="54"/>
      <c r="Q105" s="53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777848575</v>
      </c>
      <c r="D106" s="49" t="n">
        <v>779056552</v>
      </c>
      <c r="E106" s="49" t="n">
        <v>774928426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0.000141436986254018</v>
      </c>
      <c r="I106" s="52" t="n">
        <f aca="false">IF(AND(ISNUMBER($G106),$G106&gt;=MA_SHORT),AVERAGE(INDEX($C$5:$C106,103-MA_SHORT):$C106),"")</f>
        <v>744056000.7</v>
      </c>
      <c r="J106" s="52" t="n">
        <f aca="false">IF(AND(ISNUMBER($G106),$G106&gt;=MA_MED),AVERAGE(INDEX($C$5:$C106,103-MA_MED):$C106),"")</f>
        <v>709456762.98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0.160704055777156</v>
      </c>
      <c r="M106" s="52" t="n">
        <f aca="false">IF(AND(ISNUMBER($G106),$G106&gt;=60),MAX(INDEX($D$5:$D106,103-60):$D106),"")</f>
        <v>783324299</v>
      </c>
      <c r="N106" s="52" t="n">
        <f aca="false">IF(AND(ISNUMBER($G106),$G106&gt;=60),MIN(INDEX($E$5:$E106,103-60):$E106),"")</f>
        <v>630263781</v>
      </c>
      <c r="O106" s="53" t="n">
        <f aca="false">IF(OR(NOT(ISNUMBER($C106)),NOT(ISNUMBER($M106)),$M106=0),"",$C106/$M106-1)</f>
        <v>-0.00699036657868313</v>
      </c>
      <c r="P106" s="54"/>
      <c r="Q106" s="53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771707124</v>
      </c>
      <c r="D107" s="49" t="n">
        <v>772413359</v>
      </c>
      <c r="E107" s="49" t="n">
        <v>769785859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-0.00789543260396153</v>
      </c>
      <c r="I107" s="52" t="n">
        <f aca="false">IF(AND(ISNUMBER($G107),$G107&gt;=MA_SHORT),AVERAGE(INDEX($C$5:$C107,104-MA_SHORT):$C107),"")</f>
        <v>746536587.95</v>
      </c>
      <c r="J107" s="52" t="n">
        <f aca="false">IF(AND(ISNUMBER($G107),$G107&gt;=MA_MED),AVERAGE(INDEX($C$5:$C107,104-MA_MED):$C107),"")</f>
        <v>711816186.16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0.163153148155894</v>
      </c>
      <c r="M107" s="52" t="n">
        <f aca="false">IF(AND(ISNUMBER($G107),$G107&gt;=60),MAX(INDEX($D$5:$D107,104-60):$D107),"")</f>
        <v>783324299</v>
      </c>
      <c r="N107" s="52" t="n">
        <f aca="false">IF(AND(ISNUMBER($G107),$G107&gt;=60),MIN(INDEX($E$5:$E107,104-60):$E107),"")</f>
        <v>630263781</v>
      </c>
      <c r="O107" s="53" t="n">
        <f aca="false">IF(OR(NOT(ISNUMBER($C107)),NOT(ISNUMBER($M107)),$M107=0),"",$C107/$M107-1)</f>
        <v>-0.0148306072144456</v>
      </c>
      <c r="P107" s="54"/>
      <c r="Q107" s="53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754116794</v>
      </c>
      <c r="D108" s="49" t="n">
        <v>759693439</v>
      </c>
      <c r="E108" s="49" t="n">
        <v>751282479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-0.0227940490024555</v>
      </c>
      <c r="I108" s="52" t="n">
        <f aca="false">IF(AND(ISNUMBER($G108),$G108&gt;=MA_SHORT),AVERAGE(INDEX($C$5:$C108,105-MA_SHORT):$C108),"")</f>
        <v>748167898.45</v>
      </c>
      <c r="J108" s="52" t="n">
        <f aca="false">IF(AND(ISNUMBER($G108),$G108&gt;=MA_MED),AVERAGE(INDEX($C$5:$C108,105-MA_MED):$C108),"")</f>
        <v>713626301.18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0.186848109089659</v>
      </c>
      <c r="M108" s="52" t="n">
        <f aca="false">IF(AND(ISNUMBER($G108),$G108&gt;=60),MAX(INDEX($D$5:$D108,105-60):$D108),"")</f>
        <v>783324299</v>
      </c>
      <c r="N108" s="52" t="n">
        <f aca="false">IF(AND(ISNUMBER($G108),$G108&gt;=60),MIN(INDEX($E$5:$E108,105-60):$E108),"")</f>
        <v>630263781</v>
      </c>
      <c r="O108" s="53" t="n">
        <f aca="false">IF(OR(NOT(ISNUMBER($C108)),NOT(ISNUMBER($M108)),$M108=0),"",$C108/$M108-1)</f>
        <v>-0.0372866066293189</v>
      </c>
      <c r="P108" s="54"/>
      <c r="Q108" s="53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767666206</v>
      </c>
      <c r="D109" s="49" t="n">
        <v>768113982</v>
      </c>
      <c r="E109" s="49" t="n">
        <v>761904614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0.0179672593261462</v>
      </c>
      <c r="I109" s="52" t="n">
        <f aca="false">IF(AND(ISNUMBER($G109),$G109&gt;=MA_SHORT),AVERAGE(INDEX($C$5:$C109,106-MA_SHORT):$C109),"")</f>
        <v>750469297.1</v>
      </c>
      <c r="J109" s="52" t="n">
        <f aca="false">IF(AND(ISNUMBER($G109),$G109&gt;=MA_MED),AVERAGE(INDEX($C$5:$C109,106-MA_MED):$C109),"")</f>
        <v>715780901.64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0.194488860549463</v>
      </c>
      <c r="M109" s="52" t="n">
        <f aca="false">IF(AND(ISNUMBER($G109),$G109&gt;=60),MAX(INDEX($D$5:$D109,106-60):$D109),"")</f>
        <v>783324299</v>
      </c>
      <c r="N109" s="52" t="n">
        <f aca="false">IF(AND(ISNUMBER($G109),$G109&gt;=60),MIN(INDEX($E$5:$E109,106-60):$E109),"")</f>
        <v>630263781</v>
      </c>
      <c r="O109" s="53" t="n">
        <f aca="false">IF(OR(NOT(ISNUMBER($C109)),NOT(ISNUMBER($M109)),$M109=0),"",$C109/$M109-1)</f>
        <v>-0.0199892854338737</v>
      </c>
      <c r="P109" s="54"/>
      <c r="Q109" s="53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778719082</v>
      </c>
      <c r="D110" s="49" t="n">
        <v>778820567</v>
      </c>
      <c r="E110" s="49" t="n">
        <v>773463201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0.0143980234034167</v>
      </c>
      <c r="I110" s="52" t="n">
        <f aca="false">IF(AND(ISNUMBER($G110),$G110&gt;=MA_SHORT),AVERAGE(INDEX($C$5:$C110,107-MA_SHORT):$C110),"")</f>
        <v>752553709.4</v>
      </c>
      <c r="J110" s="52" t="n">
        <f aca="false">IF(AND(ISNUMBER($G110),$G110&gt;=MA_MED),AVERAGE(INDEX($C$5:$C110,107-MA_MED):$C110),"")</f>
        <v>718444640.76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0.187531118710317</v>
      </c>
      <c r="M110" s="52" t="n">
        <f aca="false">IF(AND(ISNUMBER($G110),$G110&gt;=60),MAX(INDEX($D$5:$D110,107-60):$D110),"")</f>
        <v>783324299</v>
      </c>
      <c r="N110" s="52" t="n">
        <f aca="false">IF(AND(ISNUMBER($G110),$G110&gt;=60),MIN(INDEX($E$5:$E110,107-60):$E110),"")</f>
        <v>630263781</v>
      </c>
      <c r="O110" s="53" t="n">
        <f aca="false">IF(OR(NOT(ISNUMBER($C110)),NOT(ISNUMBER($M110)),$M110=0),"",$C110/$M110-1)</f>
        <v>-0.00587906822995155</v>
      </c>
      <c r="P110" s="54"/>
      <c r="Q110" s="53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780762218</v>
      </c>
      <c r="D111" s="49" t="n">
        <v>781776202</v>
      </c>
      <c r="E111" s="49" t="n">
        <v>779063187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0.00262371379773119</v>
      </c>
      <c r="I111" s="52" t="n">
        <f aca="false">IF(AND(ISNUMBER($G111),$G111&gt;=MA_SHORT),AVERAGE(INDEX($C$5:$C111,108-MA_SHORT):$C111),"")</f>
        <v>755057542.9</v>
      </c>
      <c r="J111" s="52" t="n">
        <f aca="false">IF(AND(ISNUMBER($G111),$G111&gt;=MA_MED),AVERAGE(INDEX($C$5:$C111,108-MA_MED):$C111),"")</f>
        <v>720874830.96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0.182761664997839</v>
      </c>
      <c r="M111" s="52" t="n">
        <f aca="false">IF(AND(ISNUMBER($G111),$G111&gt;=60),MAX(INDEX($D$5:$D111,108-60):$D111),"")</f>
        <v>783324299</v>
      </c>
      <c r="N111" s="52" t="n">
        <f aca="false">IF(AND(ISNUMBER($G111),$G111&gt;=60),MIN(INDEX($E$5:$E111,108-60):$E111),"")</f>
        <v>645390467</v>
      </c>
      <c r="O111" s="53" t="n">
        <f aca="false">IF(OR(NOT(ISNUMBER($C111)),NOT(ISNUMBER($M111)),$M111=0),"",$C111/$M111-1)</f>
        <v>-0.00327077942465304</v>
      </c>
      <c r="P111" s="54"/>
      <c r="Q111" s="53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768749201</v>
      </c>
      <c r="D112" s="49" t="n">
        <v>771275031</v>
      </c>
      <c r="E112" s="49" t="n">
        <v>766368845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-0.0153862683452749</v>
      </c>
      <c r="I112" s="52" t="n">
        <f aca="false">IF(AND(ISNUMBER($G112),$G112&gt;=MA_SHORT),AVERAGE(INDEX($C$5:$C112,109-MA_SHORT):$C112),"")</f>
        <v>757263579.45</v>
      </c>
      <c r="J112" s="52" t="n">
        <f aca="false">IF(AND(ISNUMBER($G112),$G112&gt;=MA_MED),AVERAGE(INDEX($C$5:$C112,109-MA_MED):$C112),"")</f>
        <v>722811863.82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0.190145629427705</v>
      </c>
      <c r="M112" s="52" t="n">
        <f aca="false">IF(AND(ISNUMBER($G112),$G112&gt;=60),MAX(INDEX($D$5:$D112,109-60):$D112),"")</f>
        <v>783324299</v>
      </c>
      <c r="N112" s="52" t="n">
        <f aca="false">IF(AND(ISNUMBER($G112),$G112&gt;=60),MIN(INDEX($E$5:$E112,109-60):$E112),"")</f>
        <v>645390467</v>
      </c>
      <c r="O112" s="53" t="n">
        <f aca="false">IF(OR(NOT(ISNUMBER($C112)),NOT(ISNUMBER($M112)),$M112=0),"",$C112/$M112-1)</f>
        <v>-0.0186067226800021</v>
      </c>
      <c r="P112" s="54"/>
      <c r="Q112" s="53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772252181</v>
      </c>
      <c r="D113" s="49" t="n">
        <v>774919918</v>
      </c>
      <c r="E113" s="49" t="n">
        <v>771895691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0.00455672668725149</v>
      </c>
      <c r="I113" s="52" t="n">
        <f aca="false">IF(AND(ISNUMBER($G113),$G113&gt;=MA_SHORT),AVERAGE(INDEX($C$5:$C113,110-MA_SHORT):$C113),"")</f>
        <v>759636393</v>
      </c>
      <c r="J113" s="52" t="n">
        <f aca="false">IF(AND(ISNUMBER($G113),$G113&gt;=MA_MED),AVERAGE(INDEX($C$5:$C113,110-MA_MED):$C113),"")</f>
        <v>724826755.84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0.189927282671553</v>
      </c>
      <c r="M113" s="52" t="n">
        <f aca="false">IF(AND(ISNUMBER($G113),$G113&gt;=60),MAX(INDEX($D$5:$D113,110-60):$D113),"")</f>
        <v>783324299</v>
      </c>
      <c r="N113" s="52" t="n">
        <f aca="false">IF(AND(ISNUMBER($G113),$G113&gt;=60),MIN(INDEX($E$5:$E113,110-60):$E113),"")</f>
        <v>645390467</v>
      </c>
      <c r="O113" s="53" t="n">
        <f aca="false">IF(OR(NOT(ISNUMBER($C113)),NOT(ISNUMBER($M113)),$M113=0),"",$C113/$M113-1)</f>
        <v>-0.0141347817425488</v>
      </c>
      <c r="P113" s="54"/>
      <c r="Q113" s="53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782245823</v>
      </c>
      <c r="D114" s="49" t="n">
        <v>783551004</v>
      </c>
      <c r="E114" s="49" t="n">
        <v>778049101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0.0129409048570883</v>
      </c>
      <c r="I114" s="52" t="n">
        <f aca="false">IF(AND(ISNUMBER($G114),$G114&gt;=MA_SHORT),AVERAGE(INDEX($C$5:$C114,111-MA_SHORT):$C114),"")</f>
        <v>761891154.1</v>
      </c>
      <c r="J114" s="52" t="n">
        <f aca="false">IF(AND(ISNUMBER($G114),$G114&gt;=MA_MED),AVERAGE(INDEX($C$5:$C114,111-MA_MED):$C114),"")</f>
        <v>726932853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0.186595578121055</v>
      </c>
      <c r="M114" s="52" t="n">
        <f aca="false">IF(AND(ISNUMBER($G114),$G114&gt;=60),MAX(INDEX($D$5:$D114,111-60):$D114),"")</f>
        <v>783551004</v>
      </c>
      <c r="N114" s="52" t="n">
        <f aca="false">IF(AND(ISNUMBER($G114),$G114&gt;=60),MIN(INDEX($E$5:$E114,111-60):$E114),"")</f>
        <v>645390467</v>
      </c>
      <c r="O114" s="53" t="n">
        <f aca="false">IF(OR(NOT(ISNUMBER($C114)),NOT(ISNUMBER($M114)),$M114=0),"",$C114/$M114-1)</f>
        <v>-0.00166572564304956</v>
      </c>
      <c r="P114" s="54"/>
      <c r="Q114" s="53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785959630</v>
      </c>
      <c r="D115" s="49" t="n">
        <v>786727954</v>
      </c>
      <c r="E115" s="49" t="n">
        <v>782529857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0.00474762138806595</v>
      </c>
      <c r="I115" s="52" t="n">
        <f aca="false">IF(AND(ISNUMBER($G115),$G115&gt;=MA_SHORT),AVERAGE(INDEX($C$5:$C115,112-MA_SHORT):$C115),"")</f>
        <v>764378589.45</v>
      </c>
      <c r="J115" s="52" t="n">
        <f aca="false">IF(AND(ISNUMBER($G115),$G115&gt;=MA_MED),AVERAGE(INDEX($C$5:$C115,112-MA_MED):$C115),"")</f>
        <v>729323214.54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0.185989127485909</v>
      </c>
      <c r="M115" s="52" t="n">
        <f aca="false">IF(AND(ISNUMBER($G115),$G115&gt;=60),MAX(INDEX($D$5:$D115,112-60):$D115),"")</f>
        <v>786727954</v>
      </c>
      <c r="N115" s="52" t="n">
        <f aca="false">IF(AND(ISNUMBER($G115),$G115&gt;=60),MIN(INDEX($E$5:$E115,112-60):$E115),"")</f>
        <v>645390467</v>
      </c>
      <c r="O115" s="53" t="n">
        <f aca="false">IF(OR(NOT(ISNUMBER($C115)),NOT(ISNUMBER($M115)),$M115=0),"",$C115/$M115-1)</f>
        <v>-0.000976606965716109</v>
      </c>
      <c r="P115" s="54"/>
      <c r="Q115" s="53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791711007</v>
      </c>
      <c r="D116" s="49" t="n">
        <v>792608981</v>
      </c>
      <c r="E116" s="49" t="n">
        <v>789863073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0.00731764938105028</v>
      </c>
      <c r="I116" s="52" t="n">
        <f aca="false">IF(AND(ISNUMBER($G116),$G116&gt;=MA_SHORT),AVERAGE(INDEX($C$5:$C116,113-MA_SHORT):$C116),"")</f>
        <v>767315776.65</v>
      </c>
      <c r="J116" s="52" t="n">
        <f aca="false">IF(AND(ISNUMBER($G116),$G116&gt;=MA_MED),AVERAGE(INDEX($C$5:$C116,113-MA_MED):$C116),"")</f>
        <v>731841839.82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0.184209499307338</v>
      </c>
      <c r="M116" s="52" t="n">
        <f aca="false">IF(AND(ISNUMBER($G116),$G116&gt;=60),MAX(INDEX($D$5:$D116,113-60):$D116),"")</f>
        <v>792608981</v>
      </c>
      <c r="N116" s="52" t="n">
        <f aca="false">IF(AND(ISNUMBER($G116),$G116&gt;=60),MIN(INDEX($E$5:$E116,113-60):$E116),"")</f>
        <v>645390467</v>
      </c>
      <c r="O116" s="53" t="n">
        <f aca="false">IF(OR(NOT(ISNUMBER($C116)),NOT(ISNUMBER($M116)),$M116=0),"",$C116/$M116-1)</f>
        <v>-0.00113293442482454</v>
      </c>
      <c r="P116" s="54"/>
      <c r="Q116" s="53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791977774</v>
      </c>
      <c r="D117" s="49" t="n">
        <v>793071685</v>
      </c>
      <c r="E117" s="49" t="n">
        <v>788374818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0.000336949969927503</v>
      </c>
      <c r="I117" s="52" t="n">
        <f aca="false">IF(AND(ISNUMBER($G117),$G117&gt;=MA_SHORT),AVERAGE(INDEX($C$5:$C117,114-MA_SHORT):$C117),"")</f>
        <v>770289720.75</v>
      </c>
      <c r="J117" s="52" t="n">
        <f aca="false">IF(AND(ISNUMBER($G117),$G117&gt;=MA_MED),AVERAGE(INDEX($C$5:$C117,114-MA_MED):$C117),"")</f>
        <v>734397597.08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0.183928950379733</v>
      </c>
      <c r="M117" s="52" t="n">
        <f aca="false">IF(AND(ISNUMBER($G117),$G117&gt;=60),MAX(INDEX($D$5:$D117,114-60):$D117),"")</f>
        <v>793071685</v>
      </c>
      <c r="N117" s="52" t="n">
        <f aca="false">IF(AND(ISNUMBER($G117),$G117&gt;=60),MIN(INDEX($E$5:$E117,114-60):$E117),"")</f>
        <v>645390467</v>
      </c>
      <c r="O117" s="53" t="n">
        <f aca="false">IF(OR(NOT(ISNUMBER($C117)),NOT(ISNUMBER($M117)),$M117=0),"",$C117/$M117-1)</f>
        <v>-0.00137933432839676</v>
      </c>
      <c r="P117" s="54"/>
      <c r="Q117" s="53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795474381</v>
      </c>
      <c r="D118" s="49" t="n">
        <v>797426029</v>
      </c>
      <c r="E118" s="49" t="n">
        <v>791275181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0.00441503172789792</v>
      </c>
      <c r="I118" s="52" t="n">
        <f aca="false">IF(AND(ISNUMBER($G118),$G118&gt;=MA_SHORT),AVERAGE(INDEX($C$5:$C118,115-MA_SHORT):$C118),"")</f>
        <v>773153771.75</v>
      </c>
      <c r="J118" s="52" t="n">
        <f aca="false">IF(AND(ISNUMBER($G118),$G118&gt;=MA_MED),AVERAGE(INDEX($C$5:$C118,115-MA_MED):$C118),"")</f>
        <v>736762465.46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0.183409737502383</v>
      </c>
      <c r="M118" s="52" t="n">
        <f aca="false">IF(AND(ISNUMBER($G118),$G118&gt;=60),MAX(INDEX($D$5:$D118,115-60):$D118),"")</f>
        <v>797426029</v>
      </c>
      <c r="N118" s="52" t="n">
        <f aca="false">IF(AND(ISNUMBER($G118),$G118&gt;=60),MIN(INDEX($E$5:$E118,115-60):$E118),"")</f>
        <v>645390467</v>
      </c>
      <c r="O118" s="53" t="n">
        <f aca="false">IF(OR(NOT(ISNUMBER($C118)),NOT(ISNUMBER($M118)),$M118=0),"",$C118/$M118-1)</f>
        <v>-0.00244743453188689</v>
      </c>
      <c r="P118" s="54"/>
      <c r="Q118" s="53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798835018</v>
      </c>
      <c r="D119" s="49" t="n">
        <v>800090860</v>
      </c>
      <c r="E119" s="49" t="n">
        <v>795230040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0.00422469545251136</v>
      </c>
      <c r="I119" s="52" t="n">
        <f aca="false">IF(AND(ISNUMBER($G119),$G119&gt;=MA_SHORT),AVERAGE(INDEX($C$5:$C119,116-MA_SHORT):$C119),"")</f>
        <v>775297891.9</v>
      </c>
      <c r="J119" s="52" t="n">
        <f aca="false">IF(AND(ISNUMBER($G119),$G119&gt;=MA_MED),AVERAGE(INDEX($C$5:$C119,116-MA_MED):$C119),"")</f>
        <v>738884618.46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0.167632612366491</v>
      </c>
      <c r="M119" s="52" t="n">
        <f aca="false">IF(AND(ISNUMBER($G119),$G119&gt;=60),MAX(INDEX($D$5:$D119,116-60):$D119),"")</f>
        <v>800090860</v>
      </c>
      <c r="N119" s="52" t="n">
        <f aca="false">IF(AND(ISNUMBER($G119),$G119&gt;=60),MIN(INDEX($E$5:$E119,116-60):$E119),"")</f>
        <v>645390467</v>
      </c>
      <c r="O119" s="53" t="n">
        <f aca="false">IF(OR(NOT(ISNUMBER($C119)),NOT(ISNUMBER($M119)),$M119=0),"",$C119/$M119-1)</f>
        <v>-0.00156962422992812</v>
      </c>
      <c r="P119" s="54"/>
      <c r="Q119" s="53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794118343</v>
      </c>
      <c r="D120" s="49" t="n">
        <v>798201811</v>
      </c>
      <c r="E120" s="49" t="n">
        <v>791469588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-0.00590444196075546</v>
      </c>
      <c r="I120" s="52" t="n">
        <f aca="false">IF(AND(ISNUMBER($G120),$G120&gt;=MA_SHORT),AVERAGE(INDEX($C$5:$C120,117-MA_SHORT):$C120),"")</f>
        <v>777478022.95</v>
      </c>
      <c r="J120" s="52" t="n">
        <f aca="false">IF(AND(ISNUMBER($G120),$G120&gt;=MA_MED),AVERAGE(INDEX($C$5:$C120,117-MA_MED):$C120),"")</f>
        <v>740924428.64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0.16669916892561</v>
      </c>
      <c r="M120" s="52" t="n">
        <f aca="false">IF(AND(ISNUMBER($G120),$G120&gt;=60),MAX(INDEX($D$5:$D120,117-60):$D120),"")</f>
        <v>800090860</v>
      </c>
      <c r="N120" s="52" t="n">
        <f aca="false">IF(AND(ISNUMBER($G120),$G120&gt;=60),MIN(INDEX($E$5:$E120,117-60):$E120),"")</f>
        <v>657372018</v>
      </c>
      <c r="O120" s="53" t="n">
        <f aca="false">IF(OR(NOT(ISNUMBER($C120)),NOT(ISNUMBER($M120)),$M120=0),"",$C120/$M120-1)</f>
        <v>-0.00746479843551773</v>
      </c>
      <c r="P120" s="54"/>
      <c r="Q120" s="53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793083906</v>
      </c>
      <c r="D121" s="49" t="n">
        <v>796914960</v>
      </c>
      <c r="E121" s="49" t="n">
        <v>787844030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-0.00130262322878993</v>
      </c>
      <c r="I121" s="52" t="n">
        <f aca="false">IF(AND(ISNUMBER($G121),$G121&gt;=MA_SHORT),AVERAGE(INDEX($C$5:$C121,118-MA_SHORT):$C121),"")</f>
        <v>778925362.2</v>
      </c>
      <c r="J121" s="52" t="n">
        <f aca="false">IF(AND(ISNUMBER($G121),$G121&gt;=MA_MED),AVERAGE(INDEX($C$5:$C121,118-MA_MED):$C121),"")</f>
        <v>742875240.9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0.157367637465502</v>
      </c>
      <c r="M121" s="52" t="n">
        <f aca="false">IF(AND(ISNUMBER($G121),$G121&gt;=60),MAX(INDEX($D$5:$D121,118-60):$D121),"")</f>
        <v>800090860</v>
      </c>
      <c r="N121" s="52" t="n">
        <f aca="false">IF(AND(ISNUMBER($G121),$G121&gt;=60),MIN(INDEX($E$5:$E121,118-60):$E121),"")</f>
        <v>662669644</v>
      </c>
      <c r="O121" s="53" t="n">
        <f aca="false">IF(OR(NOT(ISNUMBER($C121)),NOT(ISNUMBER($M121)),$M121=0),"",$C121/$M121-1)</f>
        <v>-0.00875769784446734</v>
      </c>
      <c r="P121" s="54"/>
      <c r="Q121" s="53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802925873</v>
      </c>
      <c r="D122" s="49" t="n">
        <v>803134546</v>
      </c>
      <c r="E122" s="49" t="n">
        <v>802026492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0.0124097424314646</v>
      </c>
      <c r="I122" s="52" t="n">
        <f aca="false">IF(AND(ISNUMBER($G122),$G122&gt;=MA_SHORT),AVERAGE(INDEX($C$5:$C122,119-MA_SHORT):$C122),"")</f>
        <v>781180861.75</v>
      </c>
      <c r="J122" s="52" t="n">
        <f aca="false">IF(AND(ISNUMBER($G122),$G122&gt;=MA_MED),AVERAGE(INDEX($C$5:$C122,119-MA_MED):$C122),"")</f>
        <v>744862818.74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0.156760857624652</v>
      </c>
      <c r="M122" s="52" t="n">
        <f aca="false">IF(AND(ISNUMBER($G122),$G122&gt;=60),MAX(INDEX($D$5:$D122,119-60):$D122),"")</f>
        <v>803134546</v>
      </c>
      <c r="N122" s="52" t="n">
        <f aca="false">IF(AND(ISNUMBER($G122),$G122&gt;=60),MIN(INDEX($E$5:$E122,119-60):$E122),"")</f>
        <v>662669644</v>
      </c>
      <c r="O122" s="53" t="n">
        <f aca="false">IF(OR(NOT(ISNUMBER($C122)),NOT(ISNUMBER($M122)),$M122=0),"",$C122/$M122-1)</f>
        <v>-0.000259823215224997</v>
      </c>
      <c r="P122" s="54"/>
      <c r="Q122" s="53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795934112</v>
      </c>
      <c r="D123" s="49" t="n">
        <v>799077330</v>
      </c>
      <c r="E123" s="49" t="n">
        <v>794570221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-0.00870785365761906</v>
      </c>
      <c r="I123" s="52" t="n">
        <f aca="false">IF(AND(ISNUMBER($G123),$G123&gt;=MA_SHORT),AVERAGE(INDEX($C$5:$C123,120-MA_SHORT):$C123),"")</f>
        <v>782701699.55</v>
      </c>
      <c r="J123" s="52" t="n">
        <f aca="false">IF(AND(ISNUMBER($G123),$G123&gt;=MA_MED),AVERAGE(INDEX($C$5:$C123,120-MA_MED):$C123),"")</f>
        <v>746724331.56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0.159444818352768</v>
      </c>
      <c r="M123" s="52" t="n">
        <f aca="false">IF(AND(ISNUMBER($G123),$G123&gt;=60),MAX(INDEX($D$5:$D123,120-60):$D123),"")</f>
        <v>803134546</v>
      </c>
      <c r="N123" s="52" t="n">
        <f aca="false">IF(AND(ISNUMBER($G123),$G123&gt;=60),MIN(INDEX($E$5:$E123,120-60):$E123),"")</f>
        <v>662669644</v>
      </c>
      <c r="O123" s="53" t="n">
        <f aca="false">IF(OR(NOT(ISNUMBER($C123)),NOT(ISNUMBER($M123)),$M123=0),"",$C123/$M123-1)</f>
        <v>-0.00896541437030896</v>
      </c>
      <c r="P123" s="54"/>
      <c r="Q123" s="53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792034324</v>
      </c>
      <c r="D124" s="49" t="n">
        <v>792962038</v>
      </c>
      <c r="E124" s="49" t="n">
        <v>788455663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-0.00489963671766835</v>
      </c>
      <c r="I124" s="52" t="n">
        <f aca="false">IF(AND(ISNUMBER($G124),$G124&gt;=MA_SHORT),AVERAGE(INDEX($C$5:$C124,121-MA_SHORT):$C124),"")</f>
        <v>783693007.3</v>
      </c>
      <c r="J124" s="52" t="n">
        <f aca="false">IF(AND(ISNUMBER($G124),$G124&gt;=MA_MED),AVERAGE(INDEX($C$5:$C124,121-MA_MED):$C124),"")</f>
        <v>748651053.88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0.159155825096754</v>
      </c>
      <c r="M124" s="52" t="n">
        <f aca="false">IF(AND(ISNUMBER($G124),$G124&gt;=60),MAX(INDEX($D$5:$D124,121-60):$D124),"")</f>
        <v>803134546</v>
      </c>
      <c r="N124" s="52" t="n">
        <f aca="false">IF(AND(ISNUMBER($G124),$G124&gt;=60),MIN(INDEX($E$5:$E124,121-60):$E124),"")</f>
        <v>662669644</v>
      </c>
      <c r="O124" s="53" t="n">
        <f aca="false">IF(OR(NOT(ISNUMBER($C124)),NOT(ISNUMBER($M124)),$M124=0),"",$C124/$M124-1)</f>
        <v>-0.0138211238145396</v>
      </c>
      <c r="P124" s="54"/>
      <c r="Q124" s="53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803296791</v>
      </c>
      <c r="D125" s="49" t="n">
        <v>808632263</v>
      </c>
      <c r="E125" s="49" t="n">
        <v>800856165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0.0142196703586295</v>
      </c>
      <c r="I125" s="52" t="n">
        <f aca="false">IF(AND(ISNUMBER($G125),$G125&gt;=MA_SHORT),AVERAGE(INDEX($C$5:$C125,122-MA_SHORT):$C125),"")</f>
        <v>784970918.15</v>
      </c>
      <c r="J125" s="52" t="n">
        <f aca="false">IF(AND(ISNUMBER($G125),$G125&gt;=MA_MED),AVERAGE(INDEX($C$5:$C125,122-MA_MED):$C125),"")</f>
        <v>750895832.54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0.164330619311775</v>
      </c>
      <c r="M125" s="52" t="n">
        <f aca="false">IF(AND(ISNUMBER($G125),$G125&gt;=60),MAX(INDEX($D$5:$D125,122-60):$D125),"")</f>
        <v>808632263</v>
      </c>
      <c r="N125" s="52" t="n">
        <f aca="false">IF(AND(ISNUMBER($G125),$G125&gt;=60),MIN(INDEX($E$5:$E125,122-60):$E125),"")</f>
        <v>662669644</v>
      </c>
      <c r="O125" s="53" t="n">
        <f aca="false">IF(OR(NOT(ISNUMBER($C125)),NOT(ISNUMBER($M125)),$M125=0),"",$C125/$M125-1)</f>
        <v>-0.00659814385862567</v>
      </c>
      <c r="P125" s="54"/>
      <c r="Q125" s="53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782720900</v>
      </c>
      <c r="D126" s="49" t="n">
        <v>783660582</v>
      </c>
      <c r="E126" s="49" t="n">
        <v>780740839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-0.0256143074770481</v>
      </c>
      <c r="I126" s="52" t="n">
        <f aca="false">IF(AND(ISNUMBER($G126),$G126&gt;=MA_SHORT),AVERAGE(INDEX($C$5:$C126,123-MA_SHORT):$C126),"")</f>
        <v>785214534.4</v>
      </c>
      <c r="J126" s="52" t="n">
        <f aca="false">IF(AND(ISNUMBER($G126),$G126&gt;=MA_MED),AVERAGE(INDEX($C$5:$C126,123-MA_MED):$C126),"")</f>
        <v>752658776.96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0.19012182508986</v>
      </c>
      <c r="M126" s="52" t="n">
        <f aca="false">IF(AND(ISNUMBER($G126),$G126&gt;=60),MAX(INDEX($D$5:$D126,123-60):$D126),"")</f>
        <v>808632263</v>
      </c>
      <c r="N126" s="52" t="n">
        <f aca="false">IF(AND(ISNUMBER($G126),$G126&gt;=60),MIN(INDEX($E$5:$E126,123-60):$E126),"")</f>
        <v>662669644</v>
      </c>
      <c r="O126" s="53" t="n">
        <f aca="false">IF(OR(NOT(ISNUMBER($C126)),NOT(ISNUMBER($M126)),$M126=0),"",$C126/$M126-1)</f>
        <v>-0.0320434444501011</v>
      </c>
      <c r="P126" s="54"/>
      <c r="Q126" s="53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787226470</v>
      </c>
      <c r="D127" s="49" t="n">
        <v>793922317</v>
      </c>
      <c r="E127" s="49" t="n">
        <v>780490128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0.00575629192985638</v>
      </c>
      <c r="I127" s="52" t="n">
        <f aca="false">IF(AND(ISNUMBER($G127),$G127&gt;=MA_SHORT),AVERAGE(INDEX($C$5:$C127,124-MA_SHORT):$C127),"")</f>
        <v>785990501.7</v>
      </c>
      <c r="J127" s="52" t="n">
        <f aca="false">IF(AND(ISNUMBER($G127),$G127&gt;=MA_MED),AVERAGE(INDEX($C$5:$C127,124-MA_MED):$C127),"")</f>
        <v>754380463.78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0.188453861891599</v>
      </c>
      <c r="M127" s="52" t="n">
        <f aca="false">IF(AND(ISNUMBER($G127),$G127&gt;=60),MAX(INDEX($D$5:$D127,124-60):$D127),"")</f>
        <v>808632263</v>
      </c>
      <c r="N127" s="52" t="n">
        <f aca="false">IF(AND(ISNUMBER($G127),$G127&gt;=60),MIN(INDEX($E$5:$E127,124-60):$E127),"")</f>
        <v>676670484</v>
      </c>
      <c r="O127" s="53" t="n">
        <f aca="false">IF(OR(NOT(ISNUMBER($C127)),NOT(ISNUMBER($M127)),$M127=0),"",$C127/$M127-1)</f>
        <v>-0.0264716039409375</v>
      </c>
      <c r="P127" s="54"/>
      <c r="Q127" s="53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783292700</v>
      </c>
      <c r="D128" s="49" t="n">
        <v>786354155</v>
      </c>
      <c r="E128" s="49" t="n">
        <v>782712213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-0.00499699914816132</v>
      </c>
      <c r="I128" s="52" t="n">
        <f aca="false">IF(AND(ISNUMBER($G128),$G128&gt;=MA_SHORT),AVERAGE(INDEX($C$5:$C128,125-MA_SHORT):$C128),"")</f>
        <v>787449297</v>
      </c>
      <c r="J128" s="52" t="n">
        <f aca="false">IF(AND(ISNUMBER($G128),$G128&gt;=MA_MED),AVERAGE(INDEX($C$5:$C128,125-MA_MED):$C128),"")</f>
        <v>755974299.84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0.168653492679444</v>
      </c>
      <c r="M128" s="52" t="n">
        <f aca="false">IF(AND(ISNUMBER($G128),$G128&gt;=60),MAX(INDEX($D$5:$D128,125-60):$D128),"")</f>
        <v>808632263</v>
      </c>
      <c r="N128" s="52" t="n">
        <f aca="false">IF(AND(ISNUMBER($G128),$G128&gt;=60),MIN(INDEX($E$5:$E128,125-60):$E128),"")</f>
        <v>684167555</v>
      </c>
      <c r="O128" s="53" t="n">
        <f aca="false">IF(OR(NOT(ISNUMBER($C128)),NOT(ISNUMBER($M128)),$M128=0),"",$C128/$M128-1)</f>
        <v>-0.0313363245067554</v>
      </c>
      <c r="P128" s="54"/>
      <c r="Q128" s="53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806346205</v>
      </c>
      <c r="D129" s="49" t="n">
        <v>809055000</v>
      </c>
      <c r="E129" s="49" t="n">
        <v>806214174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0.0294315330654811</v>
      </c>
      <c r="I129" s="52" t="n">
        <f aca="false">IF(AND(ISNUMBER($G129),$G129&gt;=MA_SHORT),AVERAGE(INDEX($C$5:$C129,126-MA_SHORT):$C129),"")</f>
        <v>789383296.95</v>
      </c>
      <c r="J129" s="52" t="n">
        <f aca="false">IF(AND(ISNUMBER($G129),$G129&gt;=MA_MED),AVERAGE(INDEX($C$5:$C129,126-MA_MED):$C129),"")</f>
        <v>758334323.32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0.186515755382875</v>
      </c>
      <c r="M129" s="52" t="n">
        <f aca="false">IF(AND(ISNUMBER($G129),$G129&gt;=60),MAX(INDEX($D$5:$D129,126-60):$D129),"")</f>
        <v>809055000</v>
      </c>
      <c r="N129" s="52" t="n">
        <f aca="false">IF(AND(ISNUMBER($G129),$G129&gt;=60),MIN(INDEX($E$5:$E129,126-60):$E129),"")</f>
        <v>684167555</v>
      </c>
      <c r="O129" s="53" t="n">
        <f aca="false">IF(OR(NOT(ISNUMBER($C129)),NOT(ISNUMBER($M129)),$M129=0),"",$C129/$M129-1)</f>
        <v>-0.0033480974717417</v>
      </c>
      <c r="P129" s="54"/>
      <c r="Q129" s="53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805554943</v>
      </c>
      <c r="D130" s="49" t="n">
        <v>808209939</v>
      </c>
      <c r="E130" s="49" t="n">
        <v>801991775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-0.000981293140704942</v>
      </c>
      <c r="I130" s="52" t="n">
        <f aca="false">IF(AND(ISNUMBER($G130),$G130&gt;=MA_SHORT),AVERAGE(INDEX($C$5:$C130,127-MA_SHORT):$C130),"")</f>
        <v>790725090</v>
      </c>
      <c r="J130" s="52" t="n">
        <f aca="false">IF(AND(ISNUMBER($G130),$G130&gt;=MA_MED),AVERAGE(INDEX($C$5:$C130,127-MA_MED):$C130),"")</f>
        <v>760561540.4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0.181597698006463</v>
      </c>
      <c r="M130" s="52" t="n">
        <f aca="false">IF(AND(ISNUMBER($G130),$G130&gt;=60),MAX(INDEX($D$5:$D130,127-60):$D130),"")</f>
        <v>809055000</v>
      </c>
      <c r="N130" s="52" t="n">
        <f aca="false">IF(AND(ISNUMBER($G130),$G130&gt;=60),MIN(INDEX($E$5:$E130,127-60):$E130),"")</f>
        <v>685639988</v>
      </c>
      <c r="O130" s="53" t="n">
        <f aca="false">IF(OR(NOT(ISNUMBER($C130)),NOT(ISNUMBER($M130)),$M130=0),"",$C130/$M130-1)</f>
        <v>-0.00432610514736331</v>
      </c>
      <c r="P130" s="54"/>
      <c r="Q130" s="53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792537515</v>
      </c>
      <c r="D131" s="49" t="n">
        <v>795857036</v>
      </c>
      <c r="E131" s="49" t="n">
        <v>791401828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-0.0161595780810695</v>
      </c>
      <c r="I131" s="52" t="n">
        <f aca="false">IF(AND(ISNUMBER($G131),$G131&gt;=MA_SHORT),AVERAGE(INDEX($C$5:$C131,128-MA_SHORT):$C131),"")</f>
        <v>791313854.85</v>
      </c>
      <c r="J131" s="52" t="n">
        <f aca="false">IF(AND(ISNUMBER($G131),$G131&gt;=MA_MED),AVERAGE(INDEX($C$5:$C131,128-MA_MED):$C131),"")</f>
        <v>762273470.92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0.192044178944327</v>
      </c>
      <c r="M131" s="52" t="n">
        <f aca="false">IF(AND(ISNUMBER($G131),$G131&gt;=60),MAX(INDEX($D$5:$D131,128-60):$D131),"")</f>
        <v>809055000</v>
      </c>
      <c r="N131" s="52" t="n">
        <f aca="false">IF(AND(ISNUMBER($G131),$G131&gt;=60),MIN(INDEX($E$5:$E131,128-60):$E131),"")</f>
        <v>685639988</v>
      </c>
      <c r="O131" s="53" t="n">
        <f aca="false">IF(OR(NOT(ISNUMBER($C131)),NOT(ISNUMBER($M131)),$M131=0),"",$C131/$M131-1)</f>
        <v>-0.0204157751945171</v>
      </c>
      <c r="P131" s="54"/>
      <c r="Q131" s="53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788375831</v>
      </c>
      <c r="D132" s="49" t="n">
        <v>791921309</v>
      </c>
      <c r="E132" s="49" t="n">
        <v>786729133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-0.00525108770403127</v>
      </c>
      <c r="I132" s="52" t="n">
        <f aca="false">IF(AND(ISNUMBER($G132),$G132&gt;=MA_SHORT),AVERAGE(INDEX($C$5:$C132,129-MA_SHORT):$C132),"")</f>
        <v>792295186.35</v>
      </c>
      <c r="J132" s="52" t="n">
        <f aca="false">IF(AND(ISNUMBER($G132),$G132&gt;=MA_MED),AVERAGE(INDEX($C$5:$C132,129-MA_MED):$C132),"")</f>
        <v>764111022.22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0.184128351159667</v>
      </c>
      <c r="M132" s="52" t="n">
        <f aca="false">IF(AND(ISNUMBER($G132),$G132&gt;=60),MAX(INDEX($D$5:$D132,129-60):$D132),"")</f>
        <v>809055000</v>
      </c>
      <c r="N132" s="52" t="n">
        <f aca="false">IF(AND(ISNUMBER($G132),$G132&gt;=60),MIN(INDEX($E$5:$E132,129-60):$E132),"")</f>
        <v>685639988</v>
      </c>
      <c r="O132" s="53" t="n">
        <f aca="false">IF(OR(NOT(ISNUMBER($C132)),NOT(ISNUMBER($M132)),$M132=0),"",$C132/$M132-1)</f>
        <v>-0.0255596578724562</v>
      </c>
      <c r="P132" s="54"/>
      <c r="Q132" s="53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794221861</v>
      </c>
      <c r="D133" s="49" t="n">
        <v>795685504</v>
      </c>
      <c r="E133" s="49" t="n">
        <v>790180228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0.00741528313036266</v>
      </c>
      <c r="I133" s="52" t="n">
        <f aca="false">IF(AND(ISNUMBER($G133),$G133&gt;=MA_SHORT),AVERAGE(INDEX($C$5:$C133,130-MA_SHORT):$C133),"")</f>
        <v>793393670.35</v>
      </c>
      <c r="J133" s="52" t="n">
        <f aca="false">IF(AND(ISNUMBER($G133),$G133&gt;=MA_MED),AVERAGE(INDEX($C$5:$C133,130-MA_MED):$C133),"")</f>
        <v>766139375.18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0.185044454062997</v>
      </c>
      <c r="M133" s="52" t="n">
        <f aca="false">IF(AND(ISNUMBER($G133),$G133&gt;=60),MAX(INDEX($D$5:$D133,130-60):$D133),"")</f>
        <v>809055000</v>
      </c>
      <c r="N133" s="52" t="n">
        <f aca="false">IF(AND(ISNUMBER($G133),$G133&gt;=60),MIN(INDEX($E$5:$E133,130-60):$E133),"")</f>
        <v>685639988</v>
      </c>
      <c r="O133" s="53" t="n">
        <f aca="false">IF(OR(NOT(ISNUMBER($C133)),NOT(ISNUMBER($M133)),$M133=0),"",$C133/$M133-1)</f>
        <v>-0.0183339068419329</v>
      </c>
      <c r="P133" s="54"/>
      <c r="Q133" s="53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794776574</v>
      </c>
      <c r="D134" s="49" t="n">
        <v>795611549</v>
      </c>
      <c r="E134" s="49" t="n">
        <v>789625959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0.00069843582409268</v>
      </c>
      <c r="I134" s="52" t="n">
        <f aca="false">IF(AND(ISNUMBER($G134),$G134&gt;=MA_SHORT),AVERAGE(INDEX($C$5:$C134,131-MA_SHORT):$C134),"")</f>
        <v>794020207.9</v>
      </c>
      <c r="J134" s="52" t="n">
        <f aca="false">IF(AND(ISNUMBER($G134),$G134&gt;=MA_MED),AVERAGE(INDEX($C$5:$C134,131-MA_MED):$C134),"")</f>
        <v>767764951.48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0.18015478059222</v>
      </c>
      <c r="M134" s="52" t="n">
        <f aca="false">IF(AND(ISNUMBER($G134),$G134&gt;=60),MAX(INDEX($D$5:$D134,131-60):$D134),"")</f>
        <v>809055000</v>
      </c>
      <c r="N134" s="52" t="n">
        <f aca="false">IF(AND(ISNUMBER($G134),$G134&gt;=60),MIN(INDEX($E$5:$E134,131-60):$E134),"")</f>
        <v>685639988</v>
      </c>
      <c r="O134" s="53" t="n">
        <f aca="false">IF(OR(NOT(ISNUMBER($C134)),NOT(ISNUMBER($M134)),$M134=0),"",$C134/$M134-1)</f>
        <v>-0.0176482760751742</v>
      </c>
      <c r="P134" s="54"/>
      <c r="Q134" s="53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802753384</v>
      </c>
      <c r="D135" s="49" t="n">
        <v>804799424</v>
      </c>
      <c r="E135" s="49" t="n">
        <v>799911763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0.0100365439306469</v>
      </c>
      <c r="I135" s="52" t="n">
        <f aca="false">IF(AND(ISNUMBER($G135),$G135&gt;=MA_SHORT),AVERAGE(INDEX($C$5:$C135,132-MA_SHORT):$C135),"")</f>
        <v>794859895.6</v>
      </c>
      <c r="J135" s="52" t="n">
        <f aca="false">IF(AND(ISNUMBER($G135),$G135&gt;=MA_MED),AVERAGE(INDEX($C$5:$C135,132-MA_MED):$C135),"")</f>
        <v>769320773.34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0.182562270828621</v>
      </c>
      <c r="M135" s="52" t="n">
        <f aca="false">IF(AND(ISNUMBER($G135),$G135&gt;=60),MAX(INDEX($D$5:$D135,132-60):$D135),"")</f>
        <v>809055000</v>
      </c>
      <c r="N135" s="52" t="n">
        <f aca="false">IF(AND(ISNUMBER($G135),$G135&gt;=60),MIN(INDEX($E$5:$E135,132-60):$E135),"")</f>
        <v>685639988</v>
      </c>
      <c r="O135" s="53" t="n">
        <f aca="false">IF(OR(NOT(ISNUMBER($C135)),NOT(ISNUMBER($M135)),$M135=0),"",$C135/$M135-1)</f>
        <v>-0.00778885984265598</v>
      </c>
      <c r="P135" s="54"/>
      <c r="Q135" s="53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808767980</v>
      </c>
      <c r="D136" s="49" t="n">
        <v>810523817</v>
      </c>
      <c r="E136" s="49" t="n">
        <v>805139781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0.00749245798258769</v>
      </c>
      <c r="I136" s="52" t="n">
        <f aca="false">IF(AND(ISNUMBER($G136),$G136&gt;=MA_SHORT),AVERAGE(INDEX($C$5:$C136,133-MA_SHORT):$C136),"")</f>
        <v>795712744.25</v>
      </c>
      <c r="J136" s="52" t="n">
        <f aca="false">IF(AND(ISNUMBER($G136),$G136&gt;=MA_MED),AVERAGE(INDEX($C$5:$C136,133-MA_MED):$C136),"")</f>
        <v>770985283.3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0.182639775309076</v>
      </c>
      <c r="M136" s="52" t="n">
        <f aca="false">IF(AND(ISNUMBER($G136),$G136&gt;=60),MAX(INDEX($D$5:$D136,133-60):$D136),"")</f>
        <v>810523817</v>
      </c>
      <c r="N136" s="52" t="n">
        <f aca="false">IF(AND(ISNUMBER($G136),$G136&gt;=60),MIN(INDEX($E$5:$E136,133-60):$E136),"")</f>
        <v>685639988</v>
      </c>
      <c r="O136" s="53" t="n">
        <f aca="false">IF(OR(NOT(ISNUMBER($C136)),NOT(ISNUMBER($M136)),$M136=0),"",$C136/$M136-1)</f>
        <v>-0.00216629908112864</v>
      </c>
      <c r="P136" s="54"/>
      <c r="Q136" s="53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813454690</v>
      </c>
      <c r="D137" s="49" t="n">
        <v>816287098</v>
      </c>
      <c r="E137" s="49" t="n">
        <v>812937242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0.00579487580603777</v>
      </c>
      <c r="I137" s="52" t="n">
        <f aca="false">IF(AND(ISNUMBER($G137),$G137&gt;=MA_SHORT),AVERAGE(INDEX($C$5:$C137,134-MA_SHORT):$C137),"")</f>
        <v>796786590.05</v>
      </c>
      <c r="J137" s="52" t="n">
        <f aca="false">IF(AND(ISNUMBER($G137),$G137&gt;=MA_MED),AVERAGE(INDEX($C$5:$C137,134-MA_MED):$C137),"")</f>
        <v>772812469.52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0.183331509651635</v>
      </c>
      <c r="M137" s="52" t="n">
        <f aca="false">IF(AND(ISNUMBER($G137),$G137&gt;=60),MAX(INDEX($D$5:$D137,134-60):$D137),"")</f>
        <v>816287098</v>
      </c>
      <c r="N137" s="52" t="n">
        <f aca="false">IF(AND(ISNUMBER($G137),$G137&gt;=60),MIN(INDEX($E$5:$E137,134-60):$E137),"")</f>
        <v>685639988</v>
      </c>
      <c r="O137" s="53" t="n">
        <f aca="false">IF(OR(NOT(ISNUMBER($C137)),NOT(ISNUMBER($M137)),$M137=0),"",$C137/$M137-1)</f>
        <v>-0.0034698674117718</v>
      </c>
      <c r="P137" s="54"/>
      <c r="Q137" s="53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816001564</v>
      </c>
      <c r="D138" s="49" t="n">
        <v>819809091</v>
      </c>
      <c r="E138" s="49" t="n">
        <v>813999356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0.00313093529524067</v>
      </c>
      <c r="I138" s="52" t="n">
        <f aca="false">IF(AND(ISNUMBER($G138),$G138&gt;=MA_SHORT),AVERAGE(INDEX($C$5:$C138,135-MA_SHORT):$C138),"")</f>
        <v>797812949.2</v>
      </c>
      <c r="J138" s="52" t="n">
        <f aca="false">IF(AND(ISNUMBER($G138),$G138&gt;=MA_MED),AVERAGE(INDEX($C$5:$C138,135-MA_MED):$C138),"")</f>
        <v>774702689.12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0.183114505874625</v>
      </c>
      <c r="M138" s="52" t="n">
        <f aca="false">IF(AND(ISNUMBER($G138),$G138&gt;=60),MAX(INDEX($D$5:$D138,135-60):$D138),"")</f>
        <v>819809091</v>
      </c>
      <c r="N138" s="52" t="n">
        <f aca="false">IF(AND(ISNUMBER($G138),$G138&gt;=60),MIN(INDEX($E$5:$E138,135-60):$E138),"")</f>
        <v>685639988</v>
      </c>
      <c r="O138" s="53" t="n">
        <f aca="false">IF(OR(NOT(ISNUMBER($C138)),NOT(ISNUMBER($M138)),$M138=0),"",$C138/$M138-1)</f>
        <v>-0.00464440690131351</v>
      </c>
      <c r="P138" s="54"/>
      <c r="Q138" s="53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832220195</v>
      </c>
      <c r="D139" s="49" t="n">
        <v>833030376</v>
      </c>
      <c r="E139" s="49" t="n">
        <v>831834643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0.0198757351891545</v>
      </c>
      <c r="I139" s="52" t="n">
        <f aca="false">IF(AND(ISNUMBER($G139),$G139&gt;=MA_SHORT),AVERAGE(INDEX($C$5:$C139,136-MA_SHORT):$C139),"")</f>
        <v>799482208.05</v>
      </c>
      <c r="J139" s="52" t="n">
        <f aca="false">IF(AND(ISNUMBER($G139),$G139&gt;=MA_MED),AVERAGE(INDEX($C$5:$C139,136-MA_MED):$C139),"")</f>
        <v>776914328.36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0.19415490113111</v>
      </c>
      <c r="M139" s="52" t="n">
        <f aca="false">IF(AND(ISNUMBER($G139),$G139&gt;=60),MAX(INDEX($D$5:$D139,136-60):$D139),"")</f>
        <v>833030376</v>
      </c>
      <c r="N139" s="52" t="n">
        <f aca="false">IF(AND(ISNUMBER($G139),$G139&gt;=60),MIN(INDEX($E$5:$E139,136-60):$E139),"")</f>
        <v>691699903</v>
      </c>
      <c r="O139" s="53" t="n">
        <f aca="false">IF(OR(NOT(ISNUMBER($C139)),NOT(ISNUMBER($M139)),$M139=0),"",$C139/$M139-1)</f>
        <v>-0.000972570776938908</v>
      </c>
      <c r="P139" s="54"/>
      <c r="Q139" s="53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837962500</v>
      </c>
      <c r="D140" s="49" t="n">
        <v>841627375</v>
      </c>
      <c r="E140" s="49" t="n">
        <v>836172761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0.00689998276237458</v>
      </c>
      <c r="I140" s="52" t="n">
        <f aca="false">IF(AND(ISNUMBER($G140),$G140&gt;=MA_SHORT),AVERAGE(INDEX($C$5:$C140,137-MA_SHORT):$C140),"")</f>
        <v>801674415.9</v>
      </c>
      <c r="J140" s="52" t="n">
        <f aca="false">IF(AND(ISNUMBER($G140),$G140&gt;=MA_MED),AVERAGE(INDEX($C$5:$C140,137-MA_MED):$C140),"")</f>
        <v>778932961.64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0.192494171338835</v>
      </c>
      <c r="M140" s="52" t="n">
        <f aca="false">IF(AND(ISNUMBER($G140),$G140&gt;=60),MAX(INDEX($D$5:$D140,137-60):$D140),"")</f>
        <v>841627375</v>
      </c>
      <c r="N140" s="52" t="n">
        <f aca="false">IF(AND(ISNUMBER($G140),$G140&gt;=60),MIN(INDEX($E$5:$E140,137-60):$E140),"")</f>
        <v>691699903</v>
      </c>
      <c r="O140" s="53" t="n">
        <f aca="false">IF(OR(NOT(ISNUMBER($C140)),NOT(ISNUMBER($M140)),$M140=0),"",$C140/$M140-1)</f>
        <v>-0.00435451021302624</v>
      </c>
      <c r="P140" s="54"/>
      <c r="Q140" s="53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849059662</v>
      </c>
      <c r="D141" s="49" t="n">
        <v>851558488</v>
      </c>
      <c r="E141" s="49" t="n">
        <v>847256381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0.0132430293718395</v>
      </c>
      <c r="I141" s="52" t="n">
        <f aca="false">IF(AND(ISNUMBER($G141),$G141&gt;=MA_SHORT),AVERAGE(INDEX($C$5:$C141,138-MA_SHORT):$C141),"")</f>
        <v>804473203.7</v>
      </c>
      <c r="J141" s="52" t="n">
        <f aca="false">IF(AND(ISNUMBER($G141),$G141&gt;=MA_MED),AVERAGE(INDEX($C$5:$C141,138-MA_MED):$C141),"")</f>
        <v>781300443.92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0.195245792169977</v>
      </c>
      <c r="M141" s="52" t="n">
        <f aca="false">IF(AND(ISNUMBER($G141),$G141&gt;=60),MAX(INDEX($D$5:$D141,138-60):$D141),"")</f>
        <v>851558488</v>
      </c>
      <c r="N141" s="52" t="n">
        <f aca="false">IF(AND(ISNUMBER($G141),$G141&gt;=60),MIN(INDEX($E$5:$E141,138-60):$E141),"")</f>
        <v>691699903</v>
      </c>
      <c r="O141" s="53" t="n">
        <f aca="false">IF(OR(NOT(ISNUMBER($C141)),NOT(ISNUMBER($M141)),$M141=0),"",$C141/$M141-1)</f>
        <v>-0.00293441499933711</v>
      </c>
      <c r="P141" s="54"/>
      <c r="Q141" s="53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855528051</v>
      </c>
      <c r="D142" s="49" t="n">
        <v>859881352</v>
      </c>
      <c r="E142" s="49" t="n">
        <v>853284357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0.00761829738179221</v>
      </c>
      <c r="I142" s="52" t="n">
        <f aca="false">IF(AND(ISNUMBER($G142),$G142&gt;=MA_SHORT),AVERAGE(INDEX($C$5:$C142,139-MA_SHORT):$C142),"")</f>
        <v>807103312.6</v>
      </c>
      <c r="J142" s="52" t="n">
        <f aca="false">IF(AND(ISNUMBER($G142),$G142&gt;=MA_MED),AVERAGE(INDEX($C$5:$C142,139-MA_MED):$C142),"")</f>
        <v>783918435.54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0.193131854879168</v>
      </c>
      <c r="M142" s="52" t="n">
        <f aca="false">IF(AND(ISNUMBER($G142),$G142&gt;=60),MAX(INDEX($D$5:$D142,139-60):$D142),"")</f>
        <v>859881352</v>
      </c>
      <c r="N142" s="52" t="n">
        <f aca="false">IF(AND(ISNUMBER($G142),$G142&gt;=60),MIN(INDEX($E$5:$E142,139-60):$E142),"")</f>
        <v>692622037</v>
      </c>
      <c r="O142" s="53" t="n">
        <f aca="false">IF(OR(NOT(ISNUMBER($C142)),NOT(ISNUMBER($M142)),$M142=0),"",$C142/$M142-1)</f>
        <v>-0.00506267636793689</v>
      </c>
      <c r="P142" s="54"/>
      <c r="Q142" s="53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858725202</v>
      </c>
      <c r="D143" s="49" t="n">
        <v>864406858</v>
      </c>
      <c r="E143" s="49" t="n">
        <v>857193691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0.00373704987961876</v>
      </c>
      <c r="I143" s="52" t="n">
        <f aca="false">IF(AND(ISNUMBER($G143),$G143&gt;=MA_SHORT),AVERAGE(INDEX($C$5:$C143,140-MA_SHORT):$C143),"")</f>
        <v>810242867.1</v>
      </c>
      <c r="J143" s="52" t="n">
        <f aca="false">IF(AND(ISNUMBER($G143),$G143&gt;=MA_MED),AVERAGE(INDEX($C$5:$C143,140-MA_MED):$C143),"")</f>
        <v>786597021.38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0.188040578633348</v>
      </c>
      <c r="M143" s="52" t="n">
        <f aca="false">IF(AND(ISNUMBER($G143),$G143&gt;=60),MAX(INDEX($D$5:$D143,140-60):$D143),"")</f>
        <v>864406858</v>
      </c>
      <c r="N143" s="52" t="n">
        <f aca="false">IF(AND(ISNUMBER($G143),$G143&gt;=60),MIN(INDEX($E$5:$E143,140-60):$E143),"")</f>
        <v>710908791</v>
      </c>
      <c r="O143" s="53" t="n">
        <f aca="false">IF(OR(NOT(ISNUMBER($C143)),NOT(ISNUMBER($M143)),$M143=0),"",$C143/$M143-1)</f>
        <v>-0.00657289556117802</v>
      </c>
      <c r="P143" s="54"/>
      <c r="Q143" s="53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852576255</v>
      </c>
      <c r="D144" s="49" t="n">
        <v>855584628</v>
      </c>
      <c r="E144" s="49" t="n">
        <v>851163612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-0.00716055262577464</v>
      </c>
      <c r="I144" s="52" t="n">
        <f aca="false">IF(AND(ISNUMBER($G144),$G144&gt;=MA_SHORT),AVERAGE(INDEX($C$5:$C144,141-MA_SHORT):$C144),"")</f>
        <v>813269963.65</v>
      </c>
      <c r="J144" s="52" t="n">
        <f aca="false">IF(AND(ISNUMBER($G144),$G144&gt;=MA_MED),AVERAGE(INDEX($C$5:$C144,141-MA_MED):$C144),"")</f>
        <v>788905534.46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0.189560951145091</v>
      </c>
      <c r="M144" s="52" t="n">
        <f aca="false">IF(AND(ISNUMBER($G144),$G144&gt;=60),MAX(INDEX($D$5:$D144,141-60):$D144),"")</f>
        <v>864406858</v>
      </c>
      <c r="N144" s="52" t="n">
        <f aca="false">IF(AND(ISNUMBER($G144),$G144&gt;=60),MIN(INDEX($E$5:$E144,141-60):$E144),"")</f>
        <v>714946039</v>
      </c>
      <c r="O144" s="53" t="n">
        <f aca="false">IF(OR(NOT(ISNUMBER($C144)),NOT(ISNUMBER($M144)),$M144=0),"",$C144/$M144-1)</f>
        <v>-0.0136863826223831</v>
      </c>
      <c r="P144" s="54"/>
      <c r="Q144" s="53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844655551</v>
      </c>
      <c r="D145" s="49" t="n">
        <v>844829226</v>
      </c>
      <c r="E145" s="49" t="n">
        <v>841016929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-0.00929031738046704</v>
      </c>
      <c r="I145" s="52" t="n">
        <f aca="false">IF(AND(ISNUMBER($G145),$G145&gt;=MA_SHORT),AVERAGE(INDEX($C$5:$C145,142-MA_SHORT):$C145),"")</f>
        <v>815337901.65</v>
      </c>
      <c r="J145" s="52" t="n">
        <f aca="false">IF(AND(ISNUMBER($G145),$G145&gt;=MA_MED),AVERAGE(INDEX($C$5:$C145,142-MA_MED):$C145),"")</f>
        <v>791074427.02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0.190688091446651</v>
      </c>
      <c r="M145" s="52" t="n">
        <f aca="false">IF(AND(ISNUMBER($G145),$G145&gt;=60),MAX(INDEX($D$5:$D145,142-60):$D145),"")</f>
        <v>864406858</v>
      </c>
      <c r="N145" s="52" t="n">
        <f aca="false">IF(AND(ISNUMBER($G145),$G145&gt;=60),MIN(INDEX($E$5:$E145,142-60):$E145),"")</f>
        <v>714946039</v>
      </c>
      <c r="O145" s="53" t="n">
        <f aca="false">IF(OR(NOT(ISNUMBER($C145)),NOT(ISNUMBER($M145)),$M145=0),"",$C145/$M145-1)</f>
        <v>-0.0228495491644978</v>
      </c>
      <c r="P145" s="54"/>
      <c r="Q145" s="53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842551635</v>
      </c>
      <c r="D146" s="49" t="n">
        <v>848666627</v>
      </c>
      <c r="E146" s="49" t="n">
        <v>841162490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-0.00249085677292848</v>
      </c>
      <c r="I146" s="52" t="n">
        <f aca="false">IF(AND(ISNUMBER($G146),$G146&gt;=MA_SHORT),AVERAGE(INDEX($C$5:$C146,143-MA_SHORT):$C146),"")</f>
        <v>818329438.4</v>
      </c>
      <c r="J146" s="52" t="n">
        <f aca="false">IF(AND(ISNUMBER($G146),$G146&gt;=MA_MED),AVERAGE(INDEX($C$5:$C146,143-MA_MED):$C146),"")</f>
        <v>793266114.46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0.161543290699512</v>
      </c>
      <c r="M146" s="52" t="n">
        <f aca="false">IF(AND(ISNUMBER($G146),$G146&gt;=60),MAX(INDEX($D$5:$D146,143-60):$D146),"")</f>
        <v>864406858</v>
      </c>
      <c r="N146" s="52" t="n">
        <f aca="false">IF(AND(ISNUMBER($G146),$G146&gt;=60),MIN(INDEX($E$5:$E146,143-60):$E146),"")</f>
        <v>714946039</v>
      </c>
      <c r="O146" s="53" t="n">
        <f aca="false">IF(OR(NOT(ISNUMBER($C146)),NOT(ISNUMBER($M146)),$M146=0),"",$C146/$M146-1)</f>
        <v>-0.0252834909831314</v>
      </c>
      <c r="P146" s="54"/>
      <c r="Q146" s="53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826414215</v>
      </c>
      <c r="D147" s="49" t="n">
        <v>829492486</v>
      </c>
      <c r="E147" s="49" t="n">
        <v>825961940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-0.0191530338671766</v>
      </c>
      <c r="I147" s="52" t="n">
        <f aca="false">IF(AND(ISNUMBER($G147),$G147&gt;=MA_SHORT),AVERAGE(INDEX($C$5:$C147,144-MA_SHORT):$C147),"")</f>
        <v>820288825.65</v>
      </c>
      <c r="J147" s="52" t="n">
        <f aca="false">IF(AND(ISNUMBER($G147),$G147&gt;=MA_MED),AVERAGE(INDEX($C$5:$C147,144-MA_MED):$C147),"")</f>
        <v>795144420.92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0.180004936960664</v>
      </c>
      <c r="M147" s="52" t="n">
        <f aca="false">IF(AND(ISNUMBER($G147),$G147&gt;=60),MAX(INDEX($D$5:$D147,144-60):$D147),"")</f>
        <v>864406858</v>
      </c>
      <c r="N147" s="52" t="n">
        <f aca="false">IF(AND(ISNUMBER($G147),$G147&gt;=60),MIN(INDEX($E$5:$E147,144-60):$E147),"")</f>
        <v>714946039</v>
      </c>
      <c r="O147" s="53" t="n">
        <f aca="false">IF(OR(NOT(ISNUMBER($C147)),NOT(ISNUMBER($M147)),$M147=0),"",$C147/$M147-1)</f>
        <v>-0.0439522692912276</v>
      </c>
      <c r="P147" s="54"/>
      <c r="Q147" s="53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809814361</v>
      </c>
      <c r="D148" s="49" t="n">
        <v>812962299</v>
      </c>
      <c r="E148" s="49" t="n">
        <v>809684886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-0.0200866026971717</v>
      </c>
      <c r="I148" s="52" t="n">
        <f aca="false">IF(AND(ISNUMBER($G148),$G148&gt;=MA_SHORT),AVERAGE(INDEX($C$5:$C148,145-MA_SHORT):$C148),"")</f>
        <v>821614908.7</v>
      </c>
      <c r="J148" s="52" t="n">
        <f aca="false">IF(AND(ISNUMBER($G148),$G148&gt;=MA_MED),AVERAGE(INDEX($C$5:$C148,145-MA_MED):$C148),"")</f>
        <v>796576840.92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0.195208612609412</v>
      </c>
      <c r="M148" s="52" t="n">
        <f aca="false">IF(AND(ISNUMBER($G148),$G148&gt;=60),MAX(INDEX($D$5:$D148,145-60):$D148),"")</f>
        <v>864406858</v>
      </c>
      <c r="N148" s="52" t="n">
        <f aca="false">IF(AND(ISNUMBER($G148),$G148&gt;=60),MIN(INDEX($E$5:$E148,145-60):$E148),"")</f>
        <v>716028023</v>
      </c>
      <c r="O148" s="53" t="n">
        <f aca="false">IF(OR(NOT(ISNUMBER($C148)),NOT(ISNUMBER($M148)),$M148=0),"",$C148/$M148-1)</f>
        <v>-0.0631560202175073</v>
      </c>
      <c r="P148" s="54"/>
      <c r="Q148" s="53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809827463</v>
      </c>
      <c r="D149" s="49" t="n">
        <v>810001388</v>
      </c>
      <c r="E149" s="49" t="n">
        <v>807635943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1.61790166128828E-005</v>
      </c>
      <c r="I149" s="52" t="n">
        <f aca="false">IF(AND(ISNUMBER($G149),$G149&gt;=MA_SHORT),AVERAGE(INDEX($C$5:$C149,146-MA_SHORT):$C149),"")</f>
        <v>821788971.6</v>
      </c>
      <c r="J149" s="52" t="n">
        <f aca="false">IF(AND(ISNUMBER($G149),$G149&gt;=MA_MED),AVERAGE(INDEX($C$5:$C149,146-MA_MED):$C149),"")</f>
        <v>797654337.88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0.166429954191256</v>
      </c>
      <c r="M149" s="52" t="n">
        <f aca="false">IF(AND(ISNUMBER($G149),$G149&gt;=60),MAX(INDEX($D$5:$D149,146-60):$D149),"")</f>
        <v>864406858</v>
      </c>
      <c r="N149" s="52" t="n">
        <f aca="false">IF(AND(ISNUMBER($G149),$G149&gt;=60),MIN(INDEX($E$5:$E149,146-60):$E149),"")</f>
        <v>722295820</v>
      </c>
      <c r="O149" s="53" t="n">
        <f aca="false">IF(OR(NOT(ISNUMBER($C149)),NOT(ISNUMBER($M149)),$M149=0),"",$C149/$M149-1)</f>
        <v>-0.0631408630031948</v>
      </c>
      <c r="P149" s="54"/>
      <c r="Q149" s="53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798625174</v>
      </c>
      <c r="D150" s="49" t="n">
        <v>808482653</v>
      </c>
      <c r="E150" s="49" t="n">
        <v>793489896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-0.0138329329540161</v>
      </c>
      <c r="I150" s="52" t="n">
        <f aca="false">IF(AND(ISNUMBER($G150),$G150&gt;=MA_SHORT),AVERAGE(INDEX($C$5:$C150,147-MA_SHORT):$C150),"")</f>
        <v>821442483.15</v>
      </c>
      <c r="J150" s="52" t="n">
        <f aca="false">IF(AND(ISNUMBER($G150),$G150&gt;=MA_MED),AVERAGE(INDEX($C$5:$C150,147-MA_MED):$C150),"")</f>
        <v>798616526.92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0.173599196063398</v>
      </c>
      <c r="M150" s="52" t="n">
        <f aca="false">IF(AND(ISNUMBER($G150),$G150&gt;=60),MAX(INDEX($D$5:$D150,147-60):$D150),"")</f>
        <v>864406858</v>
      </c>
      <c r="N150" s="52" t="n">
        <f aca="false">IF(AND(ISNUMBER($G150),$G150&gt;=60),MIN(INDEX($E$5:$E150,147-60):$E150),"")</f>
        <v>722295820</v>
      </c>
      <c r="O150" s="53" t="n">
        <f aca="false">IF(OR(NOT(ISNUMBER($C150)),NOT(ISNUMBER($M150)),$M150=0),"",$C150/$M150-1)</f>
        <v>-0.0761003726326289</v>
      </c>
      <c r="P150" s="54"/>
      <c r="Q150" s="53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801784121</v>
      </c>
      <c r="D151" s="49" t="n">
        <v>803960269</v>
      </c>
      <c r="E151" s="49" t="n">
        <v>801200540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0.00395548137329316</v>
      </c>
      <c r="I151" s="52" t="n">
        <f aca="false">IF(AND(ISNUMBER($G151),$G151&gt;=MA_SHORT),AVERAGE(INDEX($C$5:$C151,148-MA_SHORT):$C151),"")</f>
        <v>821904813.45</v>
      </c>
      <c r="J151" s="52" t="n">
        <f aca="false">IF(AND(ISNUMBER($G151),$G151&gt;=MA_MED),AVERAGE(INDEX($C$5:$C151,148-MA_MED):$C151),"")</f>
        <v>799369466.92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0.164024349395493</v>
      </c>
      <c r="M151" s="52" t="n">
        <f aca="false">IF(AND(ISNUMBER($G151),$G151&gt;=60),MAX(INDEX($D$5:$D151,148-60):$D151),"")</f>
        <v>864406858</v>
      </c>
      <c r="N151" s="52" t="n">
        <f aca="false">IF(AND(ISNUMBER($G151),$G151&gt;=60),MIN(INDEX($E$5:$E151,148-60):$E151),"")</f>
        <v>722295820</v>
      </c>
      <c r="O151" s="53" t="n">
        <f aca="false">IF(OR(NOT(ISNUMBER($C151)),NOT(ISNUMBER($M151)),$M151=0),"",$C151/$M151-1)</f>
        <v>-0.0724459048657848</v>
      </c>
      <c r="P151" s="54"/>
      <c r="Q151" s="53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783532275</v>
      </c>
      <c r="D152" s="49" t="n">
        <v>784579915</v>
      </c>
      <c r="E152" s="49" t="n">
        <v>783418841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-0.0227640402471877</v>
      </c>
      <c r="I152" s="52" t="n">
        <f aca="false">IF(AND(ISNUMBER($G152),$G152&gt;=MA_SHORT),AVERAGE(INDEX($C$5:$C152,149-MA_SHORT):$C152),"")</f>
        <v>821662635.65</v>
      </c>
      <c r="J152" s="52" t="n">
        <f aca="false">IF(AND(ISNUMBER($G152),$G152&gt;=MA_MED),AVERAGE(INDEX($C$5:$C152,149-MA_MED):$C152),"")</f>
        <v>799883794.78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0.18253328944958</v>
      </c>
      <c r="M152" s="52" t="n">
        <f aca="false">IF(AND(ISNUMBER($G152),$G152&gt;=60),MAX(INDEX($D$5:$D152,149-60):$D152),"")</f>
        <v>864406858</v>
      </c>
      <c r="N152" s="52" t="n">
        <f aca="false">IF(AND(ISNUMBER($G152),$G152&gt;=60),MIN(INDEX($E$5:$E152,149-60):$E152),"")</f>
        <v>722295820</v>
      </c>
      <c r="O152" s="53" t="n">
        <f aca="false">IF(OR(NOT(ISNUMBER($C152)),NOT(ISNUMBER($M152)),$M152=0),"",$C152/$M152-1)</f>
        <v>-0.0935607836188639</v>
      </c>
      <c r="P152" s="54"/>
      <c r="Q152" s="53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771152730</v>
      </c>
      <c r="D153" s="49" t="n">
        <v>775349886</v>
      </c>
      <c r="E153" s="49" t="n">
        <v>767720746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-0.0157996618582177</v>
      </c>
      <c r="I153" s="52" t="n">
        <f aca="false">IF(AND(ISNUMBER($G153),$G153&gt;=MA_SHORT),AVERAGE(INDEX($C$5:$C153,150-MA_SHORT):$C153),"")</f>
        <v>820509179.1</v>
      </c>
      <c r="J153" s="52" t="n">
        <f aca="false">IF(AND(ISNUMBER($G153),$G153&gt;=MA_MED),AVERAGE(INDEX($C$5:$C153,150-MA_MED):$C153),"")</f>
        <v>799996502.26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0.187976579927423</v>
      </c>
      <c r="M153" s="52" t="n">
        <f aca="false">IF(AND(ISNUMBER($G153),$G153&gt;=60),MAX(INDEX($D$5:$D153,150-60):$D153),"")</f>
        <v>864406858</v>
      </c>
      <c r="N153" s="52" t="n">
        <f aca="false">IF(AND(ISNUMBER($G153),$G153&gt;=60),MIN(INDEX($E$5:$E153,150-60):$E153),"")</f>
        <v>730749675</v>
      </c>
      <c r="O153" s="53" t="n">
        <f aca="false">IF(OR(NOT(ISNUMBER($C153)),NOT(ISNUMBER($M153)),$M153=0),"",$C153/$M153-1)</f>
        <v>-0.107882216732714</v>
      </c>
      <c r="P153" s="54"/>
      <c r="Q153" s="53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771858380</v>
      </c>
      <c r="D154" s="49" t="n">
        <v>775196480</v>
      </c>
      <c r="E154" s="49" t="n">
        <v>769077444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0.000915058681047576</v>
      </c>
      <c r="I154" s="52" t="n">
        <f aca="false">IF(AND(ISNUMBER($G154),$G154&gt;=MA_SHORT),AVERAGE(INDEX($C$5:$C154,151-MA_SHORT):$C154),"")</f>
        <v>819363269.4</v>
      </c>
      <c r="J154" s="52" t="n">
        <f aca="false">IF(AND(ISNUMBER($G154),$G154&gt;=MA_MED),AVERAGE(INDEX($C$5:$C154,151-MA_MED):$C154),"")</f>
        <v>799989506.48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0.188009347116347</v>
      </c>
      <c r="M154" s="52" t="n">
        <f aca="false">IF(AND(ISNUMBER($G154),$G154&gt;=60),MAX(INDEX($D$5:$D154,151-60):$D154),"")</f>
        <v>864406858</v>
      </c>
      <c r="N154" s="52" t="n">
        <f aca="false">IF(AND(ISNUMBER($G154),$G154&gt;=60),MIN(INDEX($E$5:$E154,151-60):$E154),"")</f>
        <v>730749675</v>
      </c>
      <c r="O154" s="53" t="n">
        <f aca="false">IF(OR(NOT(ISNUMBER($C154)),NOT(ISNUMBER($M154)),$M154=0),"",$C154/$M154-1)</f>
        <v>-0.107065876610618</v>
      </c>
      <c r="P154" s="54"/>
      <c r="Q154" s="53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759991430</v>
      </c>
      <c r="D155" s="49" t="n">
        <v>762701644</v>
      </c>
      <c r="E155" s="49" t="n">
        <v>756631166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-0.0153745172786749</v>
      </c>
      <c r="I155" s="52" t="n">
        <f aca="false">IF(AND(ISNUMBER($G155),$G155&gt;=MA_SHORT),AVERAGE(INDEX($C$5:$C155,152-MA_SHORT):$C155),"")</f>
        <v>817225171.7</v>
      </c>
      <c r="J155" s="52" t="n">
        <f aca="false">IF(AND(ISNUMBER($G155),$G155&gt;=MA_MED),AVERAGE(INDEX($C$5:$C155,152-MA_MED):$C155),"")</f>
        <v>799634563.6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0.18912249608471</v>
      </c>
      <c r="M155" s="52" t="n">
        <f aca="false">IF(AND(ISNUMBER($G155),$G155&gt;=60),MAX(INDEX($D$5:$D155,152-60):$D155),"")</f>
        <v>864406858</v>
      </c>
      <c r="N155" s="52" t="n">
        <f aca="false">IF(AND(ISNUMBER($G155),$G155&gt;=60),MIN(INDEX($E$5:$E155,152-60):$E155),"")</f>
        <v>730749675</v>
      </c>
      <c r="O155" s="53" t="n">
        <f aca="false">IF(OR(NOT(ISNUMBER($C155)),NOT(ISNUMBER($M155)),$M155=0),"",$C155/$M155-1)</f>
        <v>-0.120794307719386</v>
      </c>
      <c r="P155" s="54"/>
      <c r="Q155" s="53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748330911</v>
      </c>
      <c r="D156" s="49" t="n">
        <v>749937015</v>
      </c>
      <c r="E156" s="49" t="n">
        <v>746723094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-0.01534296116997</v>
      </c>
      <c r="I156" s="52" t="n">
        <f aca="false">IF(AND(ISNUMBER($G156),$G156&gt;=MA_SHORT),AVERAGE(INDEX($C$5:$C156,153-MA_SHORT):$C156),"")</f>
        <v>814203318.25</v>
      </c>
      <c r="J156" s="52" t="n">
        <f aca="false">IF(AND(ISNUMBER($G156),$G156&gt;=MA_MED),AVERAGE(INDEX($C$5:$C156,153-MA_MED):$C156),"")</f>
        <v>799044210.32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0.190194841626207</v>
      </c>
      <c r="M156" s="52" t="n">
        <f aca="false">IF(AND(ISNUMBER($G156),$G156&gt;=60),MAX(INDEX($D$5:$D156,153-60):$D156),"")</f>
        <v>864406858</v>
      </c>
      <c r="N156" s="52" t="n">
        <f aca="false">IF(AND(ISNUMBER($G156),$G156&gt;=60),MIN(INDEX($E$5:$E156,153-60):$E156),"")</f>
        <v>730749675</v>
      </c>
      <c r="O156" s="53" t="n">
        <f aca="false">IF(OR(NOT(ISNUMBER($C156)),NOT(ISNUMBER($M156)),$M156=0),"",$C156/$M156-1)</f>
        <v>-0.134283926516465</v>
      </c>
      <c r="P156" s="54"/>
      <c r="Q156" s="53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752440653</v>
      </c>
      <c r="D157" s="49" t="n">
        <v>757674982</v>
      </c>
      <c r="E157" s="49" t="n">
        <v>750637539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0.00549187791068007</v>
      </c>
      <c r="I157" s="52" t="n">
        <f aca="false">IF(AND(ISNUMBER($G157),$G157&gt;=MA_SHORT),AVERAGE(INDEX($C$5:$C157,154-MA_SHORT):$C157),"")</f>
        <v>811152616.4</v>
      </c>
      <c r="J157" s="52" t="n">
        <f aca="false">IF(AND(ISNUMBER($G157),$G157&gt;=MA_MED),AVERAGE(INDEX($C$5:$C157,154-MA_MED):$C157),"")</f>
        <v>798658880.9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0.190000484309239</v>
      </c>
      <c r="M157" s="52" t="n">
        <f aca="false">IF(AND(ISNUMBER($G157),$G157&gt;=60),MAX(INDEX($D$5:$D157,154-60):$D157),"")</f>
        <v>864406858</v>
      </c>
      <c r="N157" s="52" t="n">
        <f aca="false">IF(AND(ISNUMBER($G157),$G157&gt;=60),MIN(INDEX($E$5:$E157,154-60):$E157),"")</f>
        <v>731233182</v>
      </c>
      <c r="O157" s="53" t="n">
        <f aca="false">IF(OR(NOT(ISNUMBER($C157)),NOT(ISNUMBER($M157)),$M157=0),"",$C157/$M157-1)</f>
        <v>-0.12952951953558</v>
      </c>
      <c r="P157" s="54"/>
      <c r="Q157" s="53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750276821</v>
      </c>
      <c r="D158" s="49" t="n">
        <v>753913290</v>
      </c>
      <c r="E158" s="49" t="n">
        <v>745115955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-0.00287575105275451</v>
      </c>
      <c r="I158" s="52" t="n">
        <f aca="false">IF(AND(ISNUMBER($G158),$G158&gt;=MA_SHORT),AVERAGE(INDEX($C$5:$C158,155-MA_SHORT):$C158),"")</f>
        <v>807866379.25</v>
      </c>
      <c r="J158" s="52" t="n">
        <f aca="false">IF(AND(ISNUMBER($G158),$G158&gt;=MA_MED),AVERAGE(INDEX($C$5:$C158,155-MA_MED):$C158),"")</f>
        <v>798582081.44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0.188322360107479</v>
      </c>
      <c r="M158" s="52" t="n">
        <f aca="false">IF(AND(ISNUMBER($G158),$G158&gt;=60),MAX(INDEX($D$5:$D158,155-60):$D158),"")</f>
        <v>864406858</v>
      </c>
      <c r="N158" s="52" t="n">
        <f aca="false">IF(AND(ISNUMBER($G158),$G158&gt;=60),MIN(INDEX($E$5:$E158,155-60):$E158),"")</f>
        <v>745115955</v>
      </c>
      <c r="O158" s="53" t="n">
        <f aca="false">IF(OR(NOT(ISNUMBER($C158)),NOT(ISNUMBER($M158)),$M158=0),"",$C158/$M158-1)</f>
        <v>-0.132032775936167</v>
      </c>
      <c r="P158" s="54"/>
      <c r="Q158" s="53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758355330</v>
      </c>
      <c r="D159" s="49" t="n">
        <v>759569255</v>
      </c>
      <c r="E159" s="49" t="n">
        <v>757216984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0.0107673711540663</v>
      </c>
      <c r="I159" s="52" t="n">
        <f aca="false">IF(AND(ISNUMBER($G159),$G159&gt;=MA_SHORT),AVERAGE(INDEX($C$5:$C159,156-MA_SHORT):$C159),"")</f>
        <v>804173136</v>
      </c>
      <c r="J159" s="52" t="n">
        <f aca="false">IF(AND(ISNUMBER($G159),$G159&gt;=MA_MED),AVERAGE(INDEX($C$5:$C159,156-MA_MED):$C159),"")</f>
        <v>798395863.92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0.17562683615952</v>
      </c>
      <c r="M159" s="52" t="n">
        <f aca="false">IF(AND(ISNUMBER($G159),$G159&gt;=60),MAX(INDEX($D$5:$D159,156-60):$D159),"")</f>
        <v>864406858</v>
      </c>
      <c r="N159" s="52" t="n">
        <f aca="false">IF(AND(ISNUMBER($G159),$G159&gt;=60),MIN(INDEX($E$5:$E159,156-60):$E159),"")</f>
        <v>745115955</v>
      </c>
      <c r="O159" s="53" t="n">
        <f aca="false">IF(OR(NOT(ISNUMBER($C159)),NOT(ISNUMBER($M159)),$M159=0),"",$C159/$M159-1)</f>
        <v>-0.122687050685107</v>
      </c>
      <c r="P159" s="54"/>
      <c r="Q159" s="53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754911371</v>
      </c>
      <c r="D160" s="49" t="n">
        <v>756067602</v>
      </c>
      <c r="E160" s="49" t="n">
        <v>752844022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-0.00454135266643407</v>
      </c>
      <c r="I160" s="52" t="n">
        <f aca="false">IF(AND(ISNUMBER($G160),$G160&gt;=MA_SHORT),AVERAGE(INDEX($C$5:$C160,157-MA_SHORT):$C160),"")</f>
        <v>800020579.55</v>
      </c>
      <c r="J160" s="52" t="n">
        <f aca="false">IF(AND(ISNUMBER($G160),$G160&gt;=MA_MED),AVERAGE(INDEX($C$5:$C160,157-MA_MED):$C160),"")</f>
        <v>797919709.7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0.1704760603272</v>
      </c>
      <c r="M160" s="52" t="n">
        <f aca="false">IF(AND(ISNUMBER($G160),$G160&gt;=60),MAX(INDEX($D$5:$D160,157-60):$D160),"")</f>
        <v>864406858</v>
      </c>
      <c r="N160" s="52" t="n">
        <f aca="false">IF(AND(ISNUMBER($G160),$G160&gt;=60),MIN(INDEX($E$5:$E160,157-60):$E160),"")</f>
        <v>745115955</v>
      </c>
      <c r="O160" s="53" t="n">
        <f aca="false">IF(OR(NOT(ISNUMBER($C160)),NOT(ISNUMBER($M160)),$M160=0),"",$C160/$M160-1)</f>
        <v>-0.126671238186775</v>
      </c>
      <c r="P160" s="54"/>
      <c r="Q160" s="53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752201542</v>
      </c>
      <c r="D161" s="49" t="n">
        <v>754497184</v>
      </c>
      <c r="E161" s="49" t="n">
        <v>751794941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-0.00358959886431487</v>
      </c>
      <c r="I161" s="52" t="n">
        <f aca="false">IF(AND(ISNUMBER($G161),$G161&gt;=MA_SHORT),AVERAGE(INDEX($C$5:$C161,158-MA_SHORT):$C161),"")</f>
        <v>795177673.55</v>
      </c>
      <c r="J161" s="52" t="n">
        <f aca="false">IF(AND(ISNUMBER($G161),$G161&gt;=MA_MED),AVERAGE(INDEX($C$5:$C161,158-MA_MED):$C161),"")</f>
        <v>797348496.18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0.15668171666558</v>
      </c>
      <c r="M161" s="52" t="n">
        <f aca="false">IF(AND(ISNUMBER($G161),$G161&gt;=60),MAX(INDEX($D$5:$D161,158-60):$D161),"")</f>
        <v>864406858</v>
      </c>
      <c r="N161" s="52" t="n">
        <f aca="false">IF(AND(ISNUMBER($G161),$G161&gt;=60),MIN(INDEX($E$5:$E161,158-60):$E161),"")</f>
        <v>745115955</v>
      </c>
      <c r="O161" s="53" t="n">
        <f aca="false">IF(OR(NOT(ISNUMBER($C161)),NOT(ISNUMBER($M161)),$M161=0),"",$C161/$M161-1)</f>
        <v>-0.129806138118354</v>
      </c>
      <c r="P161" s="54"/>
      <c r="Q161" s="53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759405407</v>
      </c>
      <c r="D162" s="49" t="n">
        <v>764204761</v>
      </c>
      <c r="E162" s="49" t="n">
        <v>759332012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0.00957704098936829</v>
      </c>
      <c r="I162" s="52" t="n">
        <f aca="false">IF(AND(ISNUMBER($G162),$G162&gt;=MA_SHORT),AVERAGE(INDEX($C$5:$C162,159-MA_SHORT):$C162),"")</f>
        <v>790371541.35</v>
      </c>
      <c r="J162" s="52" t="n">
        <f aca="false">IF(AND(ISNUMBER($G162),$G162&gt;=MA_MED),AVERAGE(INDEX($C$5:$C162,159-MA_MED):$C162),"")</f>
        <v>797161620.3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0.159008127139365</v>
      </c>
      <c r="M162" s="52" t="n">
        <f aca="false">IF(AND(ISNUMBER($G162),$G162&gt;=60),MAX(INDEX($D$5:$D162,159-60):$D162),"")</f>
        <v>864406858</v>
      </c>
      <c r="N162" s="52" t="n">
        <f aca="false">IF(AND(ISNUMBER($G162),$G162&gt;=60),MIN(INDEX($E$5:$E162,159-60):$E162),"")</f>
        <v>745115955</v>
      </c>
      <c r="O162" s="53" t="n">
        <f aca="false">IF(OR(NOT(ISNUMBER($C162)),NOT(ISNUMBER($M162)),$M162=0),"",$C162/$M162-1)</f>
        <v>-0.121472255834416</v>
      </c>
      <c r="P162" s="54"/>
      <c r="Q162" s="53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763104061</v>
      </c>
      <c r="D163" s="49" t="n">
        <v>767658245</v>
      </c>
      <c r="E163" s="49" t="n">
        <v>760852361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0.00487046044959216</v>
      </c>
      <c r="I163" s="52" t="n">
        <f aca="false">IF(AND(ISNUMBER($G163),$G163&gt;=MA_SHORT),AVERAGE(INDEX($C$5:$C163,160-MA_SHORT):$C163),"")</f>
        <v>785590484.3</v>
      </c>
      <c r="J163" s="52" t="n">
        <f aca="false">IF(AND(ISNUMBER($G163),$G163&gt;=MA_MED),AVERAGE(INDEX($C$5:$C163,160-MA_MED):$C163),"")</f>
        <v>796978657.9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0.159939932193746</v>
      </c>
      <c r="M163" s="52" t="n">
        <f aca="false">IF(AND(ISNUMBER($G163),$G163&gt;=60),MAX(INDEX($D$5:$D163,160-60):$D163),"")</f>
        <v>864406858</v>
      </c>
      <c r="N163" s="52" t="n">
        <f aca="false">IF(AND(ISNUMBER($G163),$G163&gt;=60),MIN(INDEX($E$5:$E163,160-60):$E163),"")</f>
        <v>745115955</v>
      </c>
      <c r="O163" s="53" t="n">
        <f aca="false">IF(OR(NOT(ISNUMBER($C163)),NOT(ISNUMBER($M163)),$M163=0),"",$C163/$M163-1)</f>
        <v>-0.117193421202588</v>
      </c>
      <c r="P163" s="54"/>
      <c r="Q163" s="53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776146603</v>
      </c>
      <c r="D164" s="49" t="n">
        <v>777522414</v>
      </c>
      <c r="E164" s="49" t="n">
        <v>774647652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0.017091433090932</v>
      </c>
      <c r="I164" s="52" t="n">
        <f aca="false">IF(AND(ISNUMBER($G164),$G164&gt;=MA_SHORT),AVERAGE(INDEX($C$5:$C164,161-MA_SHORT):$C164),"")</f>
        <v>781769001.7</v>
      </c>
      <c r="J164" s="52" t="n">
        <f aca="false">IF(AND(ISNUMBER($G164),$G164&gt;=MA_MED),AVERAGE(INDEX($C$5:$C164,161-MA_MED):$C164),"")</f>
        <v>796856673.5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0.178765036309759</v>
      </c>
      <c r="M164" s="52" t="n">
        <f aca="false">IF(AND(ISNUMBER($G164),$G164&gt;=60),MAX(INDEX($D$5:$D164,161-60):$D164),"")</f>
        <v>864406858</v>
      </c>
      <c r="N164" s="52" t="n">
        <f aca="false">IF(AND(ISNUMBER($G164),$G164&gt;=60),MIN(INDEX($E$5:$E164,161-60):$E164),"")</f>
        <v>745115955</v>
      </c>
      <c r="O164" s="53" t="n">
        <f aca="false">IF(OR(NOT(ISNUMBER($C164)),NOT(ISNUMBER($M164)),$M164=0),"",$C164/$M164-1)</f>
        <v>-0.102104991628838</v>
      </c>
      <c r="P164" s="54"/>
      <c r="Q164" s="53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779046044</v>
      </c>
      <c r="D165" s="49" t="n">
        <v>779878628</v>
      </c>
      <c r="E165" s="49" t="n">
        <v>777980982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0.00373568728999518</v>
      </c>
      <c r="I165" s="52" t="n">
        <f aca="false">IF(AND(ISNUMBER($G165),$G165&gt;=MA_SHORT),AVERAGE(INDEX($C$5:$C165,162-MA_SHORT):$C165),"")</f>
        <v>778488526.35</v>
      </c>
      <c r="J165" s="52" t="n">
        <f aca="false">IF(AND(ISNUMBER($G165),$G165&gt;=MA_MED),AVERAGE(INDEX($C$5:$C165,162-MA_MED):$C165),"")</f>
        <v>796718401.78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0.180187442041978</v>
      </c>
      <c r="M165" s="52" t="n">
        <f aca="false">IF(AND(ISNUMBER($G165),$G165&gt;=60),MAX(INDEX($D$5:$D165,162-60):$D165),"")</f>
        <v>864406858</v>
      </c>
      <c r="N165" s="52" t="n">
        <f aca="false">IF(AND(ISNUMBER($G165),$G165&gt;=60),MIN(INDEX($E$5:$E165,162-60):$E165),"")</f>
        <v>745115955</v>
      </c>
      <c r="O165" s="53" t="n">
        <f aca="false">IF(OR(NOT(ISNUMBER($C165)),NOT(ISNUMBER($M165)),$M165=0),"",$C165/$M165-1)</f>
        <v>-0.0987507366583156</v>
      </c>
      <c r="P165" s="54"/>
      <c r="Q165" s="53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769871241</v>
      </c>
      <c r="D166" s="49" t="n">
        <v>774409505</v>
      </c>
      <c r="E166" s="49" t="n">
        <v>765432053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-0.0117769714263513</v>
      </c>
      <c r="I166" s="52" t="n">
        <f aca="false">IF(AND(ISNUMBER($G166),$G166&gt;=MA_SHORT),AVERAGE(INDEX($C$5:$C166,163-MA_SHORT):$C166),"")</f>
        <v>774854506.65</v>
      </c>
      <c r="J166" s="52" t="n">
        <f aca="false">IF(AND(ISNUMBER($G166),$G166&gt;=MA_MED),AVERAGE(INDEX($C$5:$C166,163-MA_MED):$C166),"")</f>
        <v>796281606.46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0.182124288230588</v>
      </c>
      <c r="M166" s="52" t="n">
        <f aca="false">IF(AND(ISNUMBER($G166),$G166&gt;=60),MAX(INDEX($D$5:$D166,163-60):$D166),"")</f>
        <v>864406858</v>
      </c>
      <c r="N166" s="52" t="n">
        <f aca="false">IF(AND(ISNUMBER($G166),$G166&gt;=60),MIN(INDEX($E$5:$E166,163-60):$E166),"")</f>
        <v>745115955</v>
      </c>
      <c r="O166" s="53" t="n">
        <f aca="false">IF(OR(NOT(ISNUMBER($C166)),NOT(ISNUMBER($M166)),$M166=0),"",$C166/$M166-1)</f>
        <v>-0.109364723480711</v>
      </c>
      <c r="P166" s="54"/>
      <c r="Q166" s="53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769398592</v>
      </c>
      <c r="D167" s="49" t="n">
        <v>769924526</v>
      </c>
      <c r="E167" s="49" t="n">
        <v>768745047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-0.000613932531608907</v>
      </c>
      <c r="I167" s="52" t="n">
        <f aca="false">IF(AND(ISNUMBER($G167),$G167&gt;=MA_SHORT),AVERAGE(INDEX($C$5:$C167,164-MA_SHORT):$C167),"")</f>
        <v>772003725.5</v>
      </c>
      <c r="J167" s="52" t="n">
        <f aca="false">IF(AND(ISNUMBER($G167),$G167&gt;=MA_MED),AVERAGE(INDEX($C$5:$C167,164-MA_MED):$C167),"")</f>
        <v>795830022.82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0.174192622046595</v>
      </c>
      <c r="M167" s="52" t="n">
        <f aca="false">IF(AND(ISNUMBER($G167),$G167&gt;=60),MAX(INDEX($D$5:$D167,164-60):$D167),"")</f>
        <v>864406858</v>
      </c>
      <c r="N167" s="52" t="n">
        <f aca="false">IF(AND(ISNUMBER($G167),$G167&gt;=60),MIN(INDEX($E$5:$E167,164-60):$E167),"")</f>
        <v>745115955</v>
      </c>
      <c r="O167" s="53" t="n">
        <f aca="false">IF(OR(NOT(ISNUMBER($C167)),NOT(ISNUMBER($M167)),$M167=0),"",$C167/$M167-1)</f>
        <v>-0.109911513450764</v>
      </c>
      <c r="P167" s="54"/>
      <c r="Q167" s="53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756818251</v>
      </c>
      <c r="D168" s="49" t="n">
        <v>760165336</v>
      </c>
      <c r="E168" s="49" t="n">
        <v>755583502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-0.0163508760359156</v>
      </c>
      <c r="I168" s="52" t="n">
        <f aca="false">IF(AND(ISNUMBER($G168),$G168&gt;=MA_SHORT),AVERAGE(INDEX($C$5:$C168,165-MA_SHORT):$C168),"")</f>
        <v>769353920</v>
      </c>
      <c r="J168" s="52" t="n">
        <f aca="false">IF(AND(ISNUMBER($G168),$G168&gt;=MA_MED),AVERAGE(INDEX($C$5:$C168,165-MA_MED):$C168),"")</f>
        <v>795056900.22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0.170049666206003</v>
      </c>
      <c r="M168" s="52" t="n">
        <f aca="false">IF(AND(ISNUMBER($G168),$G168&gt;=60),MAX(INDEX($D$5:$D168,165-60):$D168),"")</f>
        <v>864406858</v>
      </c>
      <c r="N168" s="52" t="n">
        <f aca="false">IF(AND(ISNUMBER($G168),$G168&gt;=60),MIN(INDEX($E$5:$E168,165-60):$E168),"")</f>
        <v>745115955</v>
      </c>
      <c r="O168" s="53" t="n">
        <f aca="false">IF(OR(NOT(ISNUMBER($C168)),NOT(ISNUMBER($M168)),$M168=0),"",$C168/$M168-1)</f>
        <v>-0.124465239955327</v>
      </c>
      <c r="P168" s="54"/>
      <c r="Q168" s="53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766753402</v>
      </c>
      <c r="D169" s="49" t="n">
        <v>767451425</v>
      </c>
      <c r="E169" s="49" t="n">
        <v>763895952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0.0131275256468413</v>
      </c>
      <c r="I169" s="52" t="n">
        <f aca="false">IF(AND(ISNUMBER($G169),$G169&gt;=MA_SHORT),AVERAGE(INDEX($C$5:$C169,166-MA_SHORT):$C169),"")</f>
        <v>767200216.95</v>
      </c>
      <c r="J169" s="52" t="n">
        <f aca="false">IF(AND(ISNUMBER($G169),$G169&gt;=MA_MED),AVERAGE(INDEX($C$5:$C169,166-MA_MED):$C169),"")</f>
        <v>794415267.9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0.179308513263436</v>
      </c>
      <c r="M169" s="52" t="n">
        <f aca="false">IF(AND(ISNUMBER($G169),$G169&gt;=60),MAX(INDEX($D$5:$D169,166-60):$D169),"")</f>
        <v>864406858</v>
      </c>
      <c r="N169" s="52" t="n">
        <f aca="false">IF(AND(ISNUMBER($G169),$G169&gt;=60),MIN(INDEX($E$5:$E169,166-60):$E169),"")</f>
        <v>745115955</v>
      </c>
      <c r="O169" s="53" t="n">
        <f aca="false">IF(OR(NOT(ISNUMBER($C169)),NOT(ISNUMBER($M169)),$M169=0),"",$C169/$M169-1)</f>
        <v>-0.112971634938139</v>
      </c>
      <c r="P169" s="54"/>
      <c r="Q169" s="53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756746402</v>
      </c>
      <c r="D170" s="49" t="n">
        <v>758602014</v>
      </c>
      <c r="E170" s="49" t="n">
        <v>754660959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-0.0130511321813477</v>
      </c>
      <c r="I170" s="52" t="n">
        <f aca="false">IF(AND(ISNUMBER($G170),$G170&gt;=MA_SHORT),AVERAGE(INDEX($C$5:$C170,167-MA_SHORT):$C170),"")</f>
        <v>765106278.35</v>
      </c>
      <c r="J170" s="52" t="n">
        <f aca="false">IF(AND(ISNUMBER($G170),$G170&gt;=MA_MED),AVERAGE(INDEX($C$5:$C170,167-MA_MED):$C170),"")</f>
        <v>793667829.08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0.178700561698965</v>
      </c>
      <c r="M170" s="52" t="n">
        <f aca="false">IF(AND(ISNUMBER($G170),$G170&gt;=60),MAX(INDEX($D$5:$D170,167-60):$D170),"")</f>
        <v>864406858</v>
      </c>
      <c r="N170" s="52" t="n">
        <f aca="false">IF(AND(ISNUMBER($G170),$G170&gt;=60),MIN(INDEX($E$5:$E170,167-60):$E170),"")</f>
        <v>745115955</v>
      </c>
      <c r="O170" s="53" t="n">
        <f aca="false">IF(OR(NOT(ISNUMBER($C170)),NOT(ISNUMBER($M170)),$M170=0),"",$C170/$M170-1)</f>
        <v>-0.124548359379166</v>
      </c>
      <c r="P170" s="54"/>
      <c r="Q170" s="53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757864478</v>
      </c>
      <c r="D171" s="49" t="n">
        <v>762170763</v>
      </c>
      <c r="E171" s="49" t="n">
        <v>754356537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0.00147747778786278</v>
      </c>
      <c r="I171" s="52" t="n">
        <f aca="false">IF(AND(ISNUMBER($G171),$G171&gt;=MA_SHORT),AVERAGE(INDEX($C$5:$C171,168-MA_SHORT):$C171),"")</f>
        <v>762910296.2</v>
      </c>
      <c r="J171" s="52" t="n">
        <f aca="false">IF(AND(ISNUMBER($G171),$G171&gt;=MA_MED),AVERAGE(INDEX($C$5:$C171,168-MA_MED):$C171),"")</f>
        <v>792963440.52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0.1777313164576</v>
      </c>
      <c r="M171" s="52" t="n">
        <f aca="false">IF(AND(ISNUMBER($G171),$G171&gt;=60),MAX(INDEX($D$5:$D171,168-60):$D171),"")</f>
        <v>864406858</v>
      </c>
      <c r="N171" s="52" t="n">
        <f aca="false">IF(AND(ISNUMBER($G171),$G171&gt;=60),MIN(INDEX($E$5:$E171,168-60):$E171),"")</f>
        <v>745115955</v>
      </c>
      <c r="O171" s="53" t="n">
        <f aca="false">IF(OR(NOT(ISNUMBER($C171)),NOT(ISNUMBER($M171)),$M171=0),"",$C171/$M171-1)</f>
        <v>-0.123254899025801</v>
      </c>
      <c r="P171" s="54"/>
      <c r="Q171" s="53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761710361</v>
      </c>
      <c r="D172" s="49" t="n">
        <v>762601621</v>
      </c>
      <c r="E172" s="49" t="n">
        <v>756406675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0.0050746315622936</v>
      </c>
      <c r="I172" s="52" t="n">
        <f aca="false">IF(AND(ISNUMBER($G172),$G172&gt;=MA_SHORT),AVERAGE(INDEX($C$5:$C172,169-MA_SHORT):$C172),"")</f>
        <v>761819200.5</v>
      </c>
      <c r="J172" s="52" t="n">
        <f aca="false">IF(AND(ISNUMBER($G172),$G172&gt;=MA_MED),AVERAGE(INDEX($C$5:$C172,169-MA_MED):$C172),"")</f>
        <v>792139130.28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0.163444360013596</v>
      </c>
      <c r="M172" s="52" t="n">
        <f aca="false">IF(AND(ISNUMBER($G172),$G172&gt;=60),MAX(INDEX($D$5:$D172,169-60):$D172),"")</f>
        <v>864406858</v>
      </c>
      <c r="N172" s="52" t="n">
        <f aca="false">IF(AND(ISNUMBER($G172),$G172&gt;=60),MIN(INDEX($E$5:$E172,169-60):$E172),"")</f>
        <v>745115955</v>
      </c>
      <c r="O172" s="53" t="n">
        <f aca="false">IF(OR(NOT(ISNUMBER($C172)),NOT(ISNUMBER($M172)),$M172=0),"",$C172/$M172-1)</f>
        <v>-0.118805740664311</v>
      </c>
      <c r="P172" s="54"/>
      <c r="Q172" s="53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776501300</v>
      </c>
      <c r="D173" s="49" t="n">
        <v>777056745</v>
      </c>
      <c r="E173" s="49" t="n">
        <v>774391429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0.0194180619790729</v>
      </c>
      <c r="I173" s="52" t="n">
        <f aca="false">IF(AND(ISNUMBER($G173),$G173&gt;=MA_SHORT),AVERAGE(INDEX($C$5:$C173,170-MA_SHORT):$C173),"")</f>
        <v>762086629</v>
      </c>
      <c r="J173" s="52" t="n">
        <f aca="false">IF(AND(ISNUMBER($G173),$G173&gt;=MA_MED),AVERAGE(INDEX($C$5:$C173,170-MA_MED):$C173),"")</f>
        <v>791750474.04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0.169682875293966</v>
      </c>
      <c r="M173" s="52" t="n">
        <f aca="false">IF(AND(ISNUMBER($G173),$G173&gt;=60),MAX(INDEX($D$5:$D173,170-60):$D173),"")</f>
        <v>864406858</v>
      </c>
      <c r="N173" s="52" t="n">
        <f aca="false">IF(AND(ISNUMBER($G173),$G173&gt;=60),MIN(INDEX($E$5:$E173,170-60):$E173),"")</f>
        <v>745115955</v>
      </c>
      <c r="O173" s="53" t="n">
        <f aca="false">IF(OR(NOT(ISNUMBER($C173)),NOT(ISNUMBER($M173)),$M173=0),"",$C173/$M173-1)</f>
        <v>-0.101694655920927</v>
      </c>
      <c r="P173" s="54"/>
      <c r="Q173" s="53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779194753</v>
      </c>
      <c r="D174" s="49" t="n">
        <v>782719223</v>
      </c>
      <c r="E174" s="49" t="n">
        <v>777056244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0.0034687037871024</v>
      </c>
      <c r="I174" s="52" t="n">
        <f aca="false">IF(AND(ISNUMBER($G174),$G174&gt;=MA_SHORT),AVERAGE(INDEX($C$5:$C174,171-MA_SHORT):$C174),"")</f>
        <v>762453447.65</v>
      </c>
      <c r="J174" s="52" t="n">
        <f aca="false">IF(AND(ISNUMBER($G174),$G174&gt;=MA_MED),AVERAGE(INDEX($C$5:$C174,171-MA_MED):$C174),"")</f>
        <v>791493682.62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0.17001760126045</v>
      </c>
      <c r="M174" s="52" t="n">
        <f aca="false">IF(AND(ISNUMBER($G174),$G174&gt;=60),MAX(INDEX($D$5:$D174,171-60):$D174),"")</f>
        <v>864406858</v>
      </c>
      <c r="N174" s="52" t="n">
        <f aca="false">IF(AND(ISNUMBER($G174),$G174&gt;=60),MIN(INDEX($E$5:$E174,171-60):$E174),"")</f>
        <v>745115955</v>
      </c>
      <c r="O174" s="53" t="n">
        <f aca="false">IF(OR(NOT(ISNUMBER($C174)),NOT(ISNUMBER($M174)),$M174=0),"",$C174/$M174-1)</f>
        <v>-0.098578700771946</v>
      </c>
      <c r="P174" s="54"/>
      <c r="Q174" s="53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789948134</v>
      </c>
      <c r="D175" s="49" t="n">
        <v>791850190</v>
      </c>
      <c r="E175" s="49" t="n">
        <v>787068625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0.0138006332288534</v>
      </c>
      <c r="I175" s="52" t="n">
        <f aca="false">IF(AND(ISNUMBER($G175),$G175&gt;=MA_SHORT),AVERAGE(INDEX($C$5:$C175,172-MA_SHORT):$C175),"")</f>
        <v>763951282.85</v>
      </c>
      <c r="J175" s="52" t="n">
        <f aca="false">IF(AND(ISNUMBER($G175),$G175&gt;=MA_MED),AVERAGE(INDEX($C$5:$C175,172-MA_MED):$C175),"")</f>
        <v>791226709.48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0.165429567238644</v>
      </c>
      <c r="M175" s="52" t="n">
        <f aca="false">IF(AND(ISNUMBER($G175),$G175&gt;=60),MAX(INDEX($D$5:$D175,172-60):$D175),"")</f>
        <v>864406858</v>
      </c>
      <c r="N175" s="52" t="n">
        <f aca="false">IF(AND(ISNUMBER($G175),$G175&gt;=60),MIN(INDEX($E$5:$E175,172-60):$E175),"")</f>
        <v>745115955</v>
      </c>
      <c r="O175" s="53" t="n">
        <f aca="false">IF(OR(NOT(ISNUMBER($C175)),NOT(ISNUMBER($M175)),$M175=0),"",$C175/$M175-1)</f>
        <v>-0.0861385160366232</v>
      </c>
      <c r="P175" s="54"/>
      <c r="Q175" s="53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806499864</v>
      </c>
      <c r="D176" s="49" t="n">
        <v>807837706</v>
      </c>
      <c r="E176" s="49" t="n">
        <v>803951420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0.0209529325883564</v>
      </c>
      <c r="I176" s="52" t="n">
        <f aca="false">IF(AND(ISNUMBER($G176),$G176&gt;=MA_SHORT),AVERAGE(INDEX($C$5:$C176,173-MA_SHORT):$C176),"")</f>
        <v>766859730.5</v>
      </c>
      <c r="J176" s="52" t="n">
        <f aca="false">IF(AND(ISNUMBER($G176),$G176&gt;=MA_MED),AVERAGE(INDEX($C$5:$C176,173-MA_MED):$C176),"")</f>
        <v>791702288.76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0.165173817341242</v>
      </c>
      <c r="M176" s="52" t="n">
        <f aca="false">IF(AND(ISNUMBER($G176),$G176&gt;=60),MAX(INDEX($D$5:$D176,173-60):$D176),"")</f>
        <v>864406858</v>
      </c>
      <c r="N176" s="52" t="n">
        <f aca="false">IF(AND(ISNUMBER($G176),$G176&gt;=60),MIN(INDEX($E$5:$E176,173-60):$E176),"")</f>
        <v>745115955</v>
      </c>
      <c r="O176" s="53" t="n">
        <f aca="false">IF(OR(NOT(ISNUMBER($C176)),NOT(ISNUMBER($M176)),$M176=0),"",$C176/$M176-1)</f>
        <v>-0.0669904379680431</v>
      </c>
      <c r="P176" s="54"/>
      <c r="Q176" s="53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807936114</v>
      </c>
      <c r="D177" s="49" t="n">
        <v>808927254</v>
      </c>
      <c r="E177" s="49" t="n">
        <v>807217796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0.00178084344971441</v>
      </c>
      <c r="I177" s="52" t="n">
        <f aca="false">IF(AND(ISNUMBER($G177),$G177&gt;=MA_SHORT),AVERAGE(INDEX($C$5:$C177,174-MA_SHORT):$C177),"")</f>
        <v>769634503.55</v>
      </c>
      <c r="J177" s="52" t="n">
        <f aca="false">IF(AND(ISNUMBER($G177),$G177&gt;=MA_MED),AVERAGE(INDEX($C$5:$C177,174-MA_MED):$C177),"")</f>
        <v>792116481.64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0.165195131397944</v>
      </c>
      <c r="M177" s="52" t="n">
        <f aca="false">IF(AND(ISNUMBER($G177),$G177&gt;=60),MAX(INDEX($D$5:$D177,174-60):$D177),"")</f>
        <v>864406858</v>
      </c>
      <c r="N177" s="52" t="n">
        <f aca="false">IF(AND(ISNUMBER($G177),$G177&gt;=60),MIN(INDEX($E$5:$E177,174-60):$E177),"")</f>
        <v>745115955</v>
      </c>
      <c r="O177" s="53" t="n">
        <f aca="false">IF(OR(NOT(ISNUMBER($C177)),NOT(ISNUMBER($M177)),$M177=0),"",$C177/$M177-1)</f>
        <v>-0.0653288940009775</v>
      </c>
      <c r="P177" s="54"/>
      <c r="Q177" s="53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814216926</v>
      </c>
      <c r="D178" s="49" t="n">
        <v>818705063</v>
      </c>
      <c r="E178" s="49" t="n">
        <v>809774981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0.00777389683561047</v>
      </c>
      <c r="I178" s="52" t="n">
        <f aca="false">IF(AND(ISNUMBER($G178),$G178&gt;=MA_SHORT),AVERAGE(INDEX($C$5:$C178,175-MA_SHORT):$C178),"")</f>
        <v>772831508.8</v>
      </c>
      <c r="J178" s="52" t="n">
        <f aca="false">IF(AND(ISNUMBER($G178),$G178&gt;=MA_MED),AVERAGE(INDEX($C$5:$C178,175-MA_MED):$C178),"")</f>
        <v>792734966.16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0.163998460453102</v>
      </c>
      <c r="M178" s="52" t="n">
        <f aca="false">IF(AND(ISNUMBER($G178),$G178&gt;=60),MAX(INDEX($D$5:$D178,175-60):$D178),"")</f>
        <v>864406858</v>
      </c>
      <c r="N178" s="52" t="n">
        <f aca="false">IF(AND(ISNUMBER($G178),$G178&gt;=60),MIN(INDEX($E$5:$E178,175-60):$E178),"")</f>
        <v>745115955</v>
      </c>
      <c r="O178" s="53" t="n">
        <f aca="false">IF(OR(NOT(ISNUMBER($C178)),NOT(ISNUMBER($M178)),$M178=0),"",$C178/$M178-1)</f>
        <v>-0.0580628572477152</v>
      </c>
      <c r="P178" s="54"/>
      <c r="Q178" s="53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815882992</v>
      </c>
      <c r="D179" s="49" t="n">
        <v>817445553</v>
      </c>
      <c r="E179" s="49" t="n">
        <v>814303077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0.00204621882301681</v>
      </c>
      <c r="I179" s="52" t="n">
        <f aca="false">IF(AND(ISNUMBER($G179),$G179&gt;=MA_SHORT),AVERAGE(INDEX($C$5:$C179,176-MA_SHORT):$C179),"")</f>
        <v>775707891.9</v>
      </c>
      <c r="J179" s="52" t="n">
        <f aca="false">IF(AND(ISNUMBER($G179),$G179&gt;=MA_MED),AVERAGE(INDEX($C$5:$C179,176-MA_MED):$C179),"")</f>
        <v>792925701.9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0.16229230457955</v>
      </c>
      <c r="M179" s="52" t="n">
        <f aca="false">IF(AND(ISNUMBER($G179),$G179&gt;=60),MAX(INDEX($D$5:$D179,176-60):$D179),"")</f>
        <v>864406858</v>
      </c>
      <c r="N179" s="52" t="n">
        <f aca="false">IF(AND(ISNUMBER($G179),$G179&gt;=60),MIN(INDEX($E$5:$E179,176-60):$E179),"")</f>
        <v>745115955</v>
      </c>
      <c r="O179" s="53" t="n">
        <f aca="false">IF(OR(NOT(ISNUMBER($C179)),NOT(ISNUMBER($M179)),$M179=0),"",$C179/$M179-1)</f>
        <v>-0.0561354477361169</v>
      </c>
      <c r="P179" s="54"/>
      <c r="Q179" s="53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815487723</v>
      </c>
      <c r="D180" s="49" t="n">
        <v>820056000</v>
      </c>
      <c r="E180" s="49" t="n">
        <v>812392879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-0.000484467753189777</v>
      </c>
      <c r="I180" s="52" t="n">
        <f aca="false">IF(AND(ISNUMBER($G180),$G180&gt;=MA_SHORT),AVERAGE(INDEX($C$5:$C180,177-MA_SHORT):$C180),"")</f>
        <v>778736709.5</v>
      </c>
      <c r="J180" s="52" t="n">
        <f aca="false">IF(AND(ISNUMBER($G180),$G180&gt;=MA_MED),AVERAGE(INDEX($C$5:$C180,177-MA_MED):$C180),"")</f>
        <v>793124357.5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0.160239615336905</v>
      </c>
      <c r="M180" s="52" t="n">
        <f aca="false">IF(AND(ISNUMBER($G180),$G180&gt;=60),MAX(INDEX($D$5:$D180,177-60):$D180),"")</f>
        <v>864406858</v>
      </c>
      <c r="N180" s="52" t="n">
        <f aca="false">IF(AND(ISNUMBER($G180),$G180&gt;=60),MIN(INDEX($E$5:$E180,177-60):$E180),"")</f>
        <v>745115955</v>
      </c>
      <c r="O180" s="53" t="n">
        <f aca="false">IF(OR(NOT(ISNUMBER($C180)),NOT(ISNUMBER($M180)),$M180=0),"",$C180/$M180-1)</f>
        <v>-0.0565927196750676</v>
      </c>
      <c r="P180" s="54"/>
      <c r="Q180" s="53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820991523</v>
      </c>
      <c r="D181" s="49" t="n">
        <v>825865879</v>
      </c>
      <c r="E181" s="49" t="n">
        <v>819648163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0.00674908995533707</v>
      </c>
      <c r="I181" s="52" t="n">
        <f aca="false">IF(AND(ISNUMBER($G181),$G181&gt;=MA_SHORT),AVERAGE(INDEX($C$5:$C181,178-MA_SHORT):$C181),"")</f>
        <v>782176208.55</v>
      </c>
      <c r="J181" s="52" t="n">
        <f aca="false">IF(AND(ISNUMBER($G181),$G181&gt;=MA_MED),AVERAGE(INDEX($C$5:$C181,178-MA_MED):$C181),"")</f>
        <v>793693437.66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0.158065781096557</v>
      </c>
      <c r="M181" s="52" t="n">
        <f aca="false">IF(AND(ISNUMBER($G181),$G181&gt;=60),MAX(INDEX($D$5:$D181,178-60):$D181),"")</f>
        <v>864406858</v>
      </c>
      <c r="N181" s="52" t="n">
        <f aca="false">IF(AND(ISNUMBER($G181),$G181&gt;=60),MIN(INDEX($E$5:$E181,178-60):$E181),"")</f>
        <v>745115955</v>
      </c>
      <c r="O181" s="53" t="n">
        <f aca="false">IF(OR(NOT(ISNUMBER($C181)),NOT(ISNUMBER($M181)),$M181=0),"",$C181/$M181-1)</f>
        <v>-0.0502255790756347</v>
      </c>
      <c r="P181" s="54"/>
      <c r="Q181" s="53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820647279</v>
      </c>
      <c r="D182" s="49" t="n">
        <v>820855340</v>
      </c>
      <c r="E182" s="49" t="n">
        <v>816212097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-0.000419302745955363</v>
      </c>
      <c r="I182" s="52" t="n">
        <f aca="false">IF(AND(ISNUMBER($G182),$G182&gt;=MA_SHORT),AVERAGE(INDEX($C$5:$C182,179-MA_SHORT):$C182),"")</f>
        <v>785238302.15</v>
      </c>
      <c r="J182" s="52" t="n">
        <f aca="false">IF(AND(ISNUMBER($G182),$G182&gt;=MA_MED),AVERAGE(INDEX($C$5:$C182,179-MA_MED):$C182),"")</f>
        <v>794338866.62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0.157742996779261</v>
      </c>
      <c r="M182" s="52" t="n">
        <f aca="false">IF(AND(ISNUMBER($G182),$G182&gt;=60),MAX(INDEX($D$5:$D182,179-60):$D182),"")</f>
        <v>864406858</v>
      </c>
      <c r="N182" s="52" t="n">
        <f aca="false">IF(AND(ISNUMBER($G182),$G182&gt;=60),MIN(INDEX($E$5:$E182,179-60):$E182),"")</f>
        <v>745115955</v>
      </c>
      <c r="O182" s="53" t="n">
        <f aca="false">IF(OR(NOT(ISNUMBER($C182)),NOT(ISNUMBER($M182)),$M182=0),"",$C182/$M182-1)</f>
        <v>-0.0506238220983666</v>
      </c>
      <c r="P182" s="54"/>
      <c r="Q182" s="53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827308851</v>
      </c>
      <c r="D183" s="49" t="n">
        <v>828578738</v>
      </c>
      <c r="E183" s="49" t="n">
        <v>821895657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0.00811746065632168</v>
      </c>
      <c r="I183" s="52" t="n">
        <f aca="false">IF(AND(ISNUMBER($G183),$G183&gt;=MA_SHORT),AVERAGE(INDEX($C$5:$C183,180-MA_SHORT):$C183),"")</f>
        <v>788448541.65</v>
      </c>
      <c r="J183" s="52" t="n">
        <f aca="false">IF(AND(ISNUMBER($G183),$G183&gt;=MA_MED),AVERAGE(INDEX($C$5:$C183,180-MA_MED):$C183),"")</f>
        <v>795000606.42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0.158399686480816</v>
      </c>
      <c r="M183" s="52" t="n">
        <f aca="false">IF(AND(ISNUMBER($G183),$G183&gt;=60),MAX(INDEX($D$5:$D183,180-60):$D183),"")</f>
        <v>864406858</v>
      </c>
      <c r="N183" s="52" t="n">
        <f aca="false">IF(AND(ISNUMBER($G183),$G183&gt;=60),MIN(INDEX($E$5:$E183,180-60):$E183),"")</f>
        <v>745115955</v>
      </c>
      <c r="O183" s="53" t="n">
        <f aca="false">IF(OR(NOT(ISNUMBER($C183)),NOT(ISNUMBER($M183)),$M183=0),"",$C183/$M183-1)</f>
        <v>-0.042917298326201</v>
      </c>
      <c r="P183" s="54"/>
      <c r="Q183" s="53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818847050</v>
      </c>
      <c r="D184" s="49" t="n">
        <v>823641571</v>
      </c>
      <c r="E184" s="49" t="n">
        <v>818228489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-0.0102281040385002</v>
      </c>
      <c r="I184" s="52" t="n">
        <f aca="false">IF(AND(ISNUMBER($G184),$G184&gt;=MA_SHORT),AVERAGE(INDEX($C$5:$C184,181-MA_SHORT):$C184),"")</f>
        <v>790583564</v>
      </c>
      <c r="J184" s="52" t="n">
        <f aca="false">IF(AND(ISNUMBER($G184),$G184&gt;=MA_MED),AVERAGE(INDEX($C$5:$C184,181-MA_MED):$C184),"")</f>
        <v>795482015.94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0.158357965168229</v>
      </c>
      <c r="M184" s="52" t="n">
        <f aca="false">IF(AND(ISNUMBER($G184),$G184&gt;=60),MAX(INDEX($D$5:$D184,181-60):$D184),"")</f>
        <v>864406858</v>
      </c>
      <c r="N184" s="52" t="n">
        <f aca="false">IF(AND(ISNUMBER($G184),$G184&gt;=60),MIN(INDEX($E$5:$E184,181-60):$E184),"")</f>
        <v>745115955</v>
      </c>
      <c r="O184" s="53" t="n">
        <f aca="false">IF(OR(NOT(ISNUMBER($C184)),NOT(ISNUMBER($M184)),$M184=0),"",$C184/$M184-1)</f>
        <v>-0.0527064397723693</v>
      </c>
      <c r="P184" s="54"/>
      <c r="Q184" s="53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828606970</v>
      </c>
      <c r="D185" s="49" t="n">
        <v>828767248</v>
      </c>
      <c r="E185" s="49" t="n">
        <v>825562927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0.0119191001542962</v>
      </c>
      <c r="I185" s="52" t="n">
        <f aca="false">IF(AND(ISNUMBER($G185),$G185&gt;=MA_SHORT),AVERAGE(INDEX($C$5:$C185,182-MA_SHORT):$C185),"")</f>
        <v>793061610.3</v>
      </c>
      <c r="J185" s="52" t="n">
        <f aca="false">IF(AND(ISNUMBER($G185),$G185&gt;=MA_MED),AVERAGE(INDEX($C$5:$C185,182-MA_MED):$C185),"")</f>
        <v>795999087.66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0.161585486553452</v>
      </c>
      <c r="M185" s="52" t="n">
        <f aca="false">IF(AND(ISNUMBER($G185),$G185&gt;=60),MAX(INDEX($D$5:$D185,182-60):$D185),"")</f>
        <v>864406858</v>
      </c>
      <c r="N185" s="52" t="n">
        <f aca="false">IF(AND(ISNUMBER($G185),$G185&gt;=60),MIN(INDEX($E$5:$E185,182-60):$E185),"")</f>
        <v>745115955</v>
      </c>
      <c r="O185" s="53" t="n">
        <f aca="false">IF(OR(NOT(ISNUMBER($C185)),NOT(ISNUMBER($M185)),$M185=0),"",$C185/$M185-1)</f>
        <v>-0.0414155529524963</v>
      </c>
      <c r="P185" s="54"/>
      <c r="Q185" s="53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851030561</v>
      </c>
      <c r="D186" s="49" t="n">
        <v>854761792</v>
      </c>
      <c r="E186" s="49" t="n">
        <v>846374233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0.0270617938441913</v>
      </c>
      <c r="I186" s="52" t="n">
        <f aca="false">IF(AND(ISNUMBER($G186),$G186&gt;=MA_SHORT),AVERAGE(INDEX($C$5:$C186,183-MA_SHORT):$C186),"")</f>
        <v>797119576.3</v>
      </c>
      <c r="J186" s="52" t="n">
        <f aca="false">IF(AND(ISNUMBER($G186),$G186&gt;=MA_MED),AVERAGE(INDEX($C$5:$C186,183-MA_MED):$C186),"")</f>
        <v>796844339.28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0.172185900799382</v>
      </c>
      <c r="M186" s="52" t="n">
        <f aca="false">IF(AND(ISNUMBER($G186),$G186&gt;=60),MAX(INDEX($D$5:$D186,183-60):$D186),"")</f>
        <v>864406858</v>
      </c>
      <c r="N186" s="52" t="n">
        <f aca="false">IF(AND(ISNUMBER($G186),$G186&gt;=60),MIN(INDEX($E$5:$E186,183-60):$E186),"")</f>
        <v>745115955</v>
      </c>
      <c r="O186" s="53" t="n">
        <f aca="false">IF(OR(NOT(ISNUMBER($C186)),NOT(ISNUMBER($M186)),$M186=0),"",$C186/$M186-1)</f>
        <v>-0.0154745382642487</v>
      </c>
      <c r="P186" s="54"/>
      <c r="Q186" s="53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864492057</v>
      </c>
      <c r="D187" s="49" t="n">
        <v>865361213</v>
      </c>
      <c r="E187" s="49" t="n">
        <v>859880900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0.0158178761338279</v>
      </c>
      <c r="I187" s="52" t="n">
        <f aca="false">IF(AND(ISNUMBER($G187),$G187&gt;=MA_SHORT),AVERAGE(INDEX($C$5:$C187,184-MA_SHORT):$C187),"")</f>
        <v>801874249.55</v>
      </c>
      <c r="J187" s="52" t="n">
        <f aca="false">IF(AND(ISNUMBER($G187),$G187&gt;=MA_MED),AVERAGE(INDEX($C$5:$C187,184-MA_MED):$C187),"")</f>
        <v>797865086.62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0.174763260859041</v>
      </c>
      <c r="M187" s="52" t="n">
        <f aca="false">IF(AND(ISNUMBER($G187),$G187&gt;=60),MAX(INDEX($D$5:$D187,184-60):$D187),"")</f>
        <v>865361213</v>
      </c>
      <c r="N187" s="52" t="n">
        <f aca="false">IF(AND(ISNUMBER($G187),$G187&gt;=60),MIN(INDEX($E$5:$E187,184-60):$E187),"")</f>
        <v>745115955</v>
      </c>
      <c r="O187" s="53" t="n">
        <f aca="false">IF(OR(NOT(ISNUMBER($C187)),NOT(ISNUMBER($M187)),$M187=0),"",$C187/$M187-1)</f>
        <v>-0.00100438520578805</v>
      </c>
      <c r="P187" s="54"/>
      <c r="Q187" s="53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853100528</v>
      </c>
      <c r="D188" s="49" t="n">
        <v>854998973</v>
      </c>
      <c r="E188" s="49" t="n">
        <v>852062025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-0.0131771355303499</v>
      </c>
      <c r="I188" s="52" t="n">
        <f aca="false">IF(AND(ISNUMBER($G188),$G188&gt;=MA_SHORT),AVERAGE(INDEX($C$5:$C188,185-MA_SHORT):$C188),"")</f>
        <v>806688363.4</v>
      </c>
      <c r="J188" s="52" t="n">
        <f aca="false">IF(AND(ISNUMBER($G188),$G188&gt;=MA_MED),AVERAGE(INDEX($C$5:$C188,185-MA_MED):$C188),"")</f>
        <v>798607065.9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0.169835681281414</v>
      </c>
      <c r="M188" s="52" t="n">
        <f aca="false">IF(AND(ISNUMBER($G188),$G188&gt;=60),MAX(INDEX($D$5:$D188,185-60):$D188),"")</f>
        <v>865361213</v>
      </c>
      <c r="N188" s="52" t="n">
        <f aca="false">IF(AND(ISNUMBER($G188),$G188&gt;=60),MIN(INDEX($E$5:$E188,185-60):$E188),"")</f>
        <v>745115955</v>
      </c>
      <c r="O188" s="53" t="n">
        <f aca="false">IF(OR(NOT(ISNUMBER($C188)),NOT(ISNUMBER($M188)),$M188=0),"",$C188/$M188-1)</f>
        <v>-0.0141682858161566</v>
      </c>
      <c r="P188" s="54"/>
      <c r="Q188" s="53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857913781</v>
      </c>
      <c r="D189" s="49" t="n">
        <v>858539492</v>
      </c>
      <c r="E189" s="49" t="n">
        <v>852121135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0.00564207012189311</v>
      </c>
      <c r="I189" s="52" t="n">
        <f aca="false">IF(AND(ISNUMBER($G189),$G189&gt;=MA_SHORT),AVERAGE(INDEX($C$5:$C189,186-MA_SHORT):$C189),"")</f>
        <v>811246382.35</v>
      </c>
      <c r="J189" s="52" t="n">
        <f aca="false">IF(AND(ISNUMBER($G189),$G189&gt;=MA_MED),AVERAGE(INDEX($C$5:$C189,186-MA_MED):$C189),"")</f>
        <v>799120937.62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0.167828620576602</v>
      </c>
      <c r="M189" s="52" t="n">
        <f aca="false">IF(AND(ISNUMBER($G189),$G189&gt;=60),MAX(INDEX($D$5:$D189,186-60):$D189),"")</f>
        <v>865361213</v>
      </c>
      <c r="N189" s="52" t="n">
        <f aca="false">IF(AND(ISNUMBER($G189),$G189&gt;=60),MIN(INDEX($E$5:$E189,186-60):$E189),"")</f>
        <v>745115955</v>
      </c>
      <c r="O189" s="53" t="n">
        <f aca="false">IF(OR(NOT(ISNUMBER($C189)),NOT(ISNUMBER($M189)),$M189=0),"",$C189/$M189-1)</f>
        <v>-0.00860615415634536</v>
      </c>
      <c r="P189" s="54"/>
      <c r="Q189" s="53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854440915</v>
      </c>
      <c r="D190" s="49" t="n">
        <v>855236208</v>
      </c>
      <c r="E190" s="49" t="n">
        <v>850313213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-0.00404803615108262</v>
      </c>
      <c r="I190" s="52" t="n">
        <f aca="false">IF(AND(ISNUMBER($G190),$G190&gt;=MA_SHORT),AVERAGE(INDEX($C$5:$C190,187-MA_SHORT):$C190),"")</f>
        <v>816131108</v>
      </c>
      <c r="J190" s="52" t="n">
        <f aca="false">IF(AND(ISNUMBER($G190),$G190&gt;=MA_MED),AVERAGE(INDEX($C$5:$C190,187-MA_MED):$C190),"")</f>
        <v>799450505.92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0.157507637590255</v>
      </c>
      <c r="M190" s="52" t="n">
        <f aca="false">IF(AND(ISNUMBER($G190),$G190&gt;=60),MAX(INDEX($D$5:$D190,187-60):$D190),"")</f>
        <v>865361213</v>
      </c>
      <c r="N190" s="52" t="n">
        <f aca="false">IF(AND(ISNUMBER($G190),$G190&gt;=60),MIN(INDEX($E$5:$E190,187-60):$E190),"")</f>
        <v>745115955</v>
      </c>
      <c r="O190" s="53" t="n">
        <f aca="false">IF(OR(NOT(ISNUMBER($C190)),NOT(ISNUMBER($M190)),$M190=0),"",$C190/$M190-1)</f>
        <v>-0.0126193522842813</v>
      </c>
      <c r="P190" s="54"/>
      <c r="Q190" s="53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860428447</v>
      </c>
      <c r="D191" s="49" t="n">
        <v>863122922</v>
      </c>
      <c r="E191" s="49" t="n">
        <v>857840576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0.00700754364039313</v>
      </c>
      <c r="I191" s="52" t="n">
        <f aca="false">IF(AND(ISNUMBER($G191),$G191&gt;=MA_SHORT),AVERAGE(INDEX($C$5:$C191,188-MA_SHORT):$C191),"")</f>
        <v>821259306.45</v>
      </c>
      <c r="J191" s="52" t="n">
        <f aca="false">IF(AND(ISNUMBER($G191),$G191&gt;=MA_MED),AVERAGE(INDEX($C$5:$C191,188-MA_MED):$C191),"")</f>
        <v>799677881.62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0.156584561152469</v>
      </c>
      <c r="M191" s="52" t="n">
        <f aca="false">IF(AND(ISNUMBER($G191),$G191&gt;=60),MAX(INDEX($D$5:$D191,188-60):$D191),"")</f>
        <v>865361213</v>
      </c>
      <c r="N191" s="52" t="n">
        <f aca="false">IF(AND(ISNUMBER($G191),$G191&gt;=60),MIN(INDEX($E$5:$E191,188-60):$E191),"")</f>
        <v>745115955</v>
      </c>
      <c r="O191" s="53" t="n">
        <f aca="false">IF(OR(NOT(ISNUMBER($C191)),NOT(ISNUMBER($M191)),$M191=0),"",$C191/$M191-1)</f>
        <v>-0.00570023930573371</v>
      </c>
      <c r="P191" s="54"/>
      <c r="Q191" s="53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847192931</v>
      </c>
      <c r="D192" s="49" t="n">
        <v>851869560</v>
      </c>
      <c r="E192" s="49" t="n">
        <v>843289971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-0.0153824714258896</v>
      </c>
      <c r="I192" s="52" t="n">
        <f aca="false">IF(AND(ISNUMBER($G192),$G192&gt;=MA_SHORT),AVERAGE(INDEX($C$5:$C192,189-MA_SHORT):$C192),"")</f>
        <v>825533434.95</v>
      </c>
      <c r="J192" s="52" t="n">
        <f aca="false">IF(AND(ISNUMBER($G192),$G192&gt;=MA_MED),AVERAGE(INDEX($C$5:$C192,189-MA_MED):$C192),"")</f>
        <v>799511179.22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0.174217458227596</v>
      </c>
      <c r="M192" s="52" t="n">
        <f aca="false">IF(AND(ISNUMBER($G192),$G192&gt;=60),MAX(INDEX($D$5:$D192,189-60):$D192),"")</f>
        <v>865361213</v>
      </c>
      <c r="N192" s="52" t="n">
        <f aca="false">IF(AND(ISNUMBER($G192),$G192&gt;=60),MIN(INDEX($E$5:$E192,189-60):$E192),"")</f>
        <v>745115955</v>
      </c>
      <c r="O192" s="53" t="n">
        <f aca="false">IF(OR(NOT(ISNUMBER($C192)),NOT(ISNUMBER($M192)),$M192=0),"",$C192/$M192-1)</f>
        <v>-0.0209950269633821</v>
      </c>
      <c r="P192" s="54"/>
      <c r="Q192" s="53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856513469</v>
      </c>
      <c r="D193" s="49" t="n">
        <v>857442077</v>
      </c>
      <c r="E193" s="49" t="n">
        <v>853954149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0.0110016711175793</v>
      </c>
      <c r="I193" s="52" t="n">
        <f aca="false">IF(AND(ISNUMBER($G193),$G193&gt;=MA_SHORT),AVERAGE(INDEX($C$5:$C193,190-MA_SHORT):$C193),"")</f>
        <v>829534043.4</v>
      </c>
      <c r="J193" s="52" t="n">
        <f aca="false">IF(AND(ISNUMBER($G193),$G193&gt;=MA_MED),AVERAGE(INDEX($C$5:$C193,190-MA_MED):$C193),"")</f>
        <v>799466944.56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0.16785347646704</v>
      </c>
      <c r="M193" s="52" t="n">
        <f aca="false">IF(AND(ISNUMBER($G193),$G193&gt;=60),MAX(INDEX($D$5:$D193,190-60):$D193),"")</f>
        <v>865361213</v>
      </c>
      <c r="N193" s="52" t="n">
        <f aca="false">IF(AND(ISNUMBER($G193),$G193&gt;=60),MIN(INDEX($E$5:$E193,190-60):$E193),"")</f>
        <v>745115955</v>
      </c>
      <c r="O193" s="53" t="n">
        <f aca="false">IF(OR(NOT(ISNUMBER($C193)),NOT(ISNUMBER($M193)),$M193=0),"",$C193/$M193-1)</f>
        <v>-0.0102243362275587</v>
      </c>
      <c r="P193" s="54"/>
      <c r="Q193" s="53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862595355</v>
      </c>
      <c r="D194" s="49" t="n">
        <v>864134139</v>
      </c>
      <c r="E194" s="49" t="n">
        <v>857030180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0.00710074764743718</v>
      </c>
      <c r="I194" s="52" t="n">
        <f aca="false">IF(AND(ISNUMBER($G194),$G194&gt;=MA_SHORT),AVERAGE(INDEX($C$5:$C194,191-MA_SHORT):$C194),"")</f>
        <v>833704073.5</v>
      </c>
      <c r="J194" s="52" t="n">
        <f aca="false">IF(AND(ISNUMBER($G194),$G194&gt;=MA_MED),AVERAGE(INDEX($C$5:$C194,191-MA_MED):$C194),"")</f>
        <v>799667326.56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0.167915939571295</v>
      </c>
      <c r="M194" s="52" t="n">
        <f aca="false">IF(AND(ISNUMBER($G194),$G194&gt;=60),MAX(INDEX($D$5:$D194,191-60):$D194),"")</f>
        <v>865361213</v>
      </c>
      <c r="N194" s="52" t="n">
        <f aca="false">IF(AND(ISNUMBER($G194),$G194&gt;=60),MIN(INDEX($E$5:$E194,191-60):$E194),"")</f>
        <v>745115955</v>
      </c>
      <c r="O194" s="53" t="n">
        <f aca="false">IF(OR(NOT(ISNUMBER($C194)),NOT(ISNUMBER($M194)),$M194=0),"",$C194/$M194-1)</f>
        <v>-0.00319618901153596</v>
      </c>
      <c r="P194" s="54"/>
      <c r="Q194" s="53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869062740</v>
      </c>
      <c r="D195" s="49" t="n">
        <v>871470925</v>
      </c>
      <c r="E195" s="49" t="n">
        <v>865161927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0.00749758848400006</v>
      </c>
      <c r="I195" s="52" t="n">
        <f aca="false">IF(AND(ISNUMBER($G195),$G195&gt;=MA_SHORT),AVERAGE(INDEX($C$5:$C195,192-MA_SHORT):$C195),"")</f>
        <v>837659803.8</v>
      </c>
      <c r="J195" s="52" t="n">
        <f aca="false">IF(AND(ISNUMBER($G195),$G195&gt;=MA_MED),AVERAGE(INDEX($C$5:$C195,192-MA_MED):$C195),"")</f>
        <v>800155470.34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0.165156043868677</v>
      </c>
      <c r="M195" s="52" t="n">
        <f aca="false">IF(AND(ISNUMBER($G195),$G195&gt;=60),MAX(INDEX($D$5:$D195,192-60):$D195),"")</f>
        <v>871470925</v>
      </c>
      <c r="N195" s="52" t="n">
        <f aca="false">IF(AND(ISNUMBER($G195),$G195&gt;=60),MIN(INDEX($E$5:$E195,192-60):$E195),"")</f>
        <v>745115955</v>
      </c>
      <c r="O195" s="53" t="n">
        <f aca="false">IF(OR(NOT(ISNUMBER($C195)),NOT(ISNUMBER($M195)),$M195=0),"",$C195/$M195-1)</f>
        <v>-0.00276335667767691</v>
      </c>
      <c r="P195" s="54"/>
      <c r="Q195" s="53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880620542</v>
      </c>
      <c r="D196" s="49" t="n">
        <v>883012711</v>
      </c>
      <c r="E196" s="49" t="n">
        <v>879718034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0.0132991572046917</v>
      </c>
      <c r="I196" s="52" t="n">
        <f aca="false">IF(AND(ISNUMBER($G196),$G196&gt;=MA_SHORT),AVERAGE(INDEX($C$5:$C196,193-MA_SHORT):$C196),"")</f>
        <v>841365837.7</v>
      </c>
      <c r="J196" s="52" t="n">
        <f aca="false">IF(AND(ISNUMBER($G196),$G196&gt;=MA_MED),AVERAGE(INDEX($C$5:$C196,193-MA_MED):$C196),"")</f>
        <v>800916848.48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0.157521264573018</v>
      </c>
      <c r="M196" s="52" t="n">
        <f aca="false">IF(AND(ISNUMBER($G196),$G196&gt;=60),MAX(INDEX($D$5:$D196,193-60):$D196),"")</f>
        <v>883012711</v>
      </c>
      <c r="N196" s="52" t="n">
        <f aca="false">IF(AND(ISNUMBER($G196),$G196&gt;=60),MIN(INDEX($E$5:$E196,193-60):$E196),"")</f>
        <v>745115955</v>
      </c>
      <c r="O196" s="53" t="n">
        <f aca="false">IF(OR(NOT(ISNUMBER($C196)),NOT(ISNUMBER($M196)),$M196=0),"",$C196/$M196-1)</f>
        <v>-0.0027090991672033</v>
      </c>
      <c r="P196" s="54"/>
      <c r="Q196" s="53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865291279</v>
      </c>
      <c r="D197" s="49" t="n">
        <v>870216391</v>
      </c>
      <c r="E197" s="49" t="n">
        <v>860563777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-0.01740734206039</v>
      </c>
      <c r="I197" s="52" t="n">
        <f aca="false">IF(AND(ISNUMBER($G197),$G197&gt;=MA_SHORT),AVERAGE(INDEX($C$5:$C197,194-MA_SHORT):$C197),"")</f>
        <v>844233595.95</v>
      </c>
      <c r="J197" s="52" t="n">
        <f aca="false">IF(AND(ISNUMBER($G197),$G197&gt;=MA_MED),AVERAGE(INDEX($C$5:$C197,194-MA_MED):$C197),"")</f>
        <v>801694389.76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0.175059826093252</v>
      </c>
      <c r="M197" s="52" t="n">
        <f aca="false">IF(AND(ISNUMBER($G197),$G197&gt;=60),MAX(INDEX($D$5:$D197,194-60):$D197),"")</f>
        <v>883012711</v>
      </c>
      <c r="N197" s="52" t="n">
        <f aca="false">IF(AND(ISNUMBER($G197),$G197&gt;=60),MIN(INDEX($E$5:$E197,194-60):$E197),"")</f>
        <v>745115955</v>
      </c>
      <c r="O197" s="53" t="n">
        <f aca="false">IF(OR(NOT(ISNUMBER($C197)),NOT(ISNUMBER($M197)),$M197=0),"",$C197/$M197-1)</f>
        <v>-0.0200692830117142</v>
      </c>
      <c r="P197" s="54"/>
      <c r="Q197" s="53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873881756</v>
      </c>
      <c r="D198" s="49" t="n">
        <v>876633888</v>
      </c>
      <c r="E198" s="49" t="n">
        <v>871034349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0.00992784419360815</v>
      </c>
      <c r="I198" s="52" t="n">
        <f aca="false">IF(AND(ISNUMBER($G198),$G198&gt;=MA_SHORT),AVERAGE(INDEX($C$5:$C198,195-MA_SHORT):$C198),"")</f>
        <v>847216837.45</v>
      </c>
      <c r="J198" s="52" t="n">
        <f aca="false">IF(AND(ISNUMBER($G198),$G198&gt;=MA_MED),AVERAGE(INDEX($C$5:$C198,195-MA_MED):$C198),"")</f>
        <v>802975737.66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0.175899120913545</v>
      </c>
      <c r="M198" s="52" t="n">
        <f aca="false">IF(AND(ISNUMBER($G198),$G198&gt;=60),MAX(INDEX($D$5:$D198,195-60):$D198),"")</f>
        <v>883012711</v>
      </c>
      <c r="N198" s="52" t="n">
        <f aca="false">IF(AND(ISNUMBER($G198),$G198&gt;=60),MIN(INDEX($E$5:$E198,195-60):$E198),"")</f>
        <v>745115955</v>
      </c>
      <c r="O198" s="53" t="n">
        <f aca="false">IF(OR(NOT(ISNUMBER($C198)),NOT(ISNUMBER($M198)),$M198=0),"",$C198/$M198-1)</f>
        <v>-0.0103406835329237</v>
      </c>
      <c r="P198" s="54"/>
      <c r="Q198" s="53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864535007</v>
      </c>
      <c r="D199" s="49" t="n">
        <v>865676451</v>
      </c>
      <c r="E199" s="49" t="n">
        <v>863247543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-0.01069566784731</v>
      </c>
      <c r="I199" s="52" t="n">
        <f aca="false">IF(AND(ISNUMBER($G199),$G199&gt;=MA_SHORT),AVERAGE(INDEX($C$5:$C199,196-MA_SHORT):$C199),"")</f>
        <v>849649438.2</v>
      </c>
      <c r="J199" s="52" t="n">
        <f aca="false">IF(AND(ISNUMBER($G199),$G199&gt;=MA_MED),AVERAGE(INDEX($C$5:$C199,196-MA_MED):$C199),"")</f>
        <v>804069888.54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0.182867763839199</v>
      </c>
      <c r="M199" s="52" t="n">
        <f aca="false">IF(AND(ISNUMBER($G199),$G199&gt;=60),MAX(INDEX($D$5:$D199,196-60):$D199),"")</f>
        <v>883012711</v>
      </c>
      <c r="N199" s="52" t="n">
        <f aca="false">IF(AND(ISNUMBER($G199),$G199&gt;=60),MIN(INDEX($E$5:$E199,196-60):$E199),"")</f>
        <v>745115955</v>
      </c>
      <c r="O199" s="53" t="n">
        <f aca="false">IF(OR(NOT(ISNUMBER($C199)),NOT(ISNUMBER($M199)),$M199=0),"",$C199/$M199-1)</f>
        <v>-0.0209257508638514</v>
      </c>
      <c r="P199" s="54"/>
      <c r="Q199" s="53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877754876</v>
      </c>
      <c r="D200" s="49" t="n">
        <v>878810186</v>
      </c>
      <c r="E200" s="49" t="n">
        <v>874794636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0.0152913056070152</v>
      </c>
      <c r="I200" s="52" t="n">
        <f aca="false">IF(AND(ISNUMBER($G200),$G200&gt;=MA_SHORT),AVERAGE(INDEX($C$5:$C200,197-MA_SHORT):$C200),"")</f>
        <v>852762795.85</v>
      </c>
      <c r="J200" s="52" t="n">
        <f aca="false">IF(AND(ISNUMBER($G200),$G200&gt;=MA_MED),AVERAGE(INDEX($C$5:$C200,197-MA_MED):$C200),"")</f>
        <v>805652482.58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0.187312407128255</v>
      </c>
      <c r="M200" s="52" t="n">
        <f aca="false">IF(AND(ISNUMBER($G200),$G200&gt;=60),MAX(INDEX($D$5:$D200,197-60):$D200),"")</f>
        <v>883012711</v>
      </c>
      <c r="N200" s="52" t="n">
        <f aca="false">IF(AND(ISNUMBER($G200),$G200&gt;=60),MIN(INDEX($E$5:$E200,197-60):$E200),"")</f>
        <v>745115955</v>
      </c>
      <c r="O200" s="53" t="n">
        <f aca="false">IF(OR(NOT(ISNUMBER($C200)),NOT(ISNUMBER($M200)),$M200=0),"",$C200/$M200-1)</f>
        <v>-0.00595442730835161</v>
      </c>
      <c r="P200" s="54"/>
      <c r="Q200" s="53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888342913</v>
      </c>
      <c r="D201" s="49" t="n">
        <v>895585720</v>
      </c>
      <c r="E201" s="49" t="n">
        <v>886222870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0.0120626353547024</v>
      </c>
      <c r="I201" s="52" t="n">
        <f aca="false">IF(AND(ISNUMBER($G201),$G201&gt;=MA_SHORT),AVERAGE(INDEX($C$5:$C201,198-MA_SHORT):$C201),"")</f>
        <v>856130365.35</v>
      </c>
      <c r="J201" s="52" t="n">
        <f aca="false">IF(AND(ISNUMBER($G201),$G201&gt;=MA_MED),AVERAGE(INDEX($C$5:$C201,198-MA_MED):$C201),"")</f>
        <v>807383658.42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0.189320527736744</v>
      </c>
      <c r="M201" s="52" t="n">
        <f aca="false">IF(AND(ISNUMBER($G201),$G201&gt;=60),MAX(INDEX($D$5:$D201,198-60):$D201),"")</f>
        <v>895585720</v>
      </c>
      <c r="N201" s="52" t="n">
        <f aca="false">IF(AND(ISNUMBER($G201),$G201&gt;=60),MIN(INDEX($E$5:$E201,198-60):$E201),"")</f>
        <v>745115955</v>
      </c>
      <c r="O201" s="53" t="n">
        <f aca="false">IF(OR(NOT(ISNUMBER($C201)),NOT(ISNUMBER($M201)),$M201=0),"",$C201/$M201-1)</f>
        <v>-0.00808722921575833</v>
      </c>
      <c r="P201" s="54"/>
      <c r="Q201" s="53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892625086</v>
      </c>
      <c r="D202" s="49" t="n">
        <v>895055340</v>
      </c>
      <c r="E202" s="49" t="n">
        <v>892134094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0.00482040542828077</v>
      </c>
      <c r="I202" s="52" t="n">
        <f aca="false">IF(AND(ISNUMBER($G202),$G202&gt;=MA_SHORT),AVERAGE(INDEX($C$5:$C202,199-MA_SHORT):$C202),"")</f>
        <v>859729255.7</v>
      </c>
      <c r="J202" s="52" t="n">
        <f aca="false">IF(AND(ISNUMBER($G202),$G202&gt;=MA_MED),AVERAGE(INDEX($C$5:$C202,199-MA_MED):$C202),"")</f>
        <v>809565514.64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0.188623372175825</v>
      </c>
      <c r="M202" s="52" t="n">
        <f aca="false">IF(AND(ISNUMBER($G202),$G202&gt;=60),MAX(INDEX($D$5:$D202,199-60):$D202),"")</f>
        <v>895585720</v>
      </c>
      <c r="N202" s="52" t="n">
        <f aca="false">IF(AND(ISNUMBER($G202),$G202&gt;=60),MIN(INDEX($E$5:$E202,199-60):$E202),"")</f>
        <v>745115955</v>
      </c>
      <c r="O202" s="53" t="n">
        <f aca="false">IF(OR(NOT(ISNUMBER($C202)),NOT(ISNUMBER($M202)),$M202=0),"",$C202/$M202-1)</f>
        <v>-0.003305807511089</v>
      </c>
      <c r="P202" s="54"/>
      <c r="Q202" s="53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900554716</v>
      </c>
      <c r="D203" s="49" t="n">
        <v>902956200</v>
      </c>
      <c r="E203" s="49" t="n">
        <v>899256399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0.00888349445289949</v>
      </c>
      <c r="I203" s="52" t="n">
        <f aca="false">IF(AND(ISNUMBER($G203),$G203&gt;=MA_SHORT),AVERAGE(INDEX($C$5:$C203,200-MA_SHORT):$C203),"")</f>
        <v>863391548.95</v>
      </c>
      <c r="J203" s="52" t="n">
        <f aca="false">IF(AND(ISNUMBER($G203),$G203&gt;=MA_MED),AVERAGE(INDEX($C$5:$C203,200-MA_MED):$C203),"")</f>
        <v>812153554.36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0.188843184153937</v>
      </c>
      <c r="M203" s="52" t="n">
        <f aca="false">IF(AND(ISNUMBER($G203),$G203&gt;=60),MAX(INDEX($D$5:$D203,200-60):$D203),"")</f>
        <v>902956200</v>
      </c>
      <c r="N203" s="52" t="n">
        <f aca="false">IF(AND(ISNUMBER($G203),$G203&gt;=60),MIN(INDEX($E$5:$E203,200-60):$E203),"")</f>
        <v>745115955</v>
      </c>
      <c r="O203" s="53" t="n">
        <f aca="false">IF(OR(NOT(ISNUMBER($C203)),NOT(ISNUMBER($M203)),$M203=0),"",$C203/$M203-1)</f>
        <v>-0.00265957972269304</v>
      </c>
      <c r="P203" s="54"/>
      <c r="Q203" s="53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894015304</v>
      </c>
      <c r="D204" s="49" t="n">
        <v>896302375</v>
      </c>
      <c r="E204" s="49" t="n">
        <v>890841820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-0.00726153767651805</v>
      </c>
      <c r="I204" s="52" t="n">
        <f aca="false">IF(AND(ISNUMBER($G204),$G204&gt;=MA_SHORT),AVERAGE(INDEX($C$5:$C204,201-MA_SHORT):$C204),"")</f>
        <v>867149961.65</v>
      </c>
      <c r="J204" s="52" t="n">
        <f aca="false">IF(AND(ISNUMBER($G204),$G204&gt;=MA_MED),AVERAGE(INDEX($C$5:$C204,201-MA_MED):$C204),"")</f>
        <v>814596692.84</v>
      </c>
      <c r="K204" s="52" t="n">
        <f aca="false">IF(AND(ISNUMBER($G204),$G204&gt;=MA_LONG2),AVERAGE(INDEX($C$5:$C204,201-MA_LONG2):$C204),"")</f>
        <v>738385023.675</v>
      </c>
      <c r="L204" s="53" t="n">
        <f aca="false">IF(AND(ISNUMBER($G204),$G204&gt;=21),STDEV(INDEX($H$144:$H204,62-20):$H204)*SQRT(245),"")</f>
        <v>0.186162712998898</v>
      </c>
      <c r="M204" s="52" t="n">
        <f aca="false">IF(AND(ISNUMBER($G204),$G204&gt;=60),MAX(INDEX($D$5:$D204,201-60):$D204),"")</f>
        <v>902956200</v>
      </c>
      <c r="N204" s="52" t="n">
        <f aca="false">IF(AND(ISNUMBER($G204),$G204&gt;=60),MIN(INDEX($E$5:$E204,201-60):$E204),"")</f>
        <v>745115955</v>
      </c>
      <c r="O204" s="53" t="n">
        <f aca="false">IF(OR(NOT(ISNUMBER($C204)),NOT(ISNUMBER($M204)),$M204=0),"",$C204/$M204-1)</f>
        <v>-0.00990180476085112</v>
      </c>
      <c r="P204" s="54"/>
      <c r="Q204" s="53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893602870</v>
      </c>
      <c r="D205" s="49" t="n">
        <v>897969622</v>
      </c>
      <c r="E205" s="49" t="n">
        <v>891548845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-0.000461327673200507</v>
      </c>
      <c r="I205" s="52" t="n">
        <f aca="false">IF(AND(ISNUMBER($G205),$G205&gt;=MA_SHORT),AVERAGE(INDEX($C$5:$C205,202-MA_SHORT):$C205),"")</f>
        <v>870399756.65</v>
      </c>
      <c r="J205" s="52" t="n">
        <f aca="false">IF(AND(ISNUMBER($G205),$G205&gt;=MA_MED),AVERAGE(INDEX($C$5:$C205,202-MA_MED):$C205),"")</f>
        <v>817268921.64</v>
      </c>
      <c r="K205" s="52" t="n">
        <f aca="false">IF(AND(ISNUMBER($G205),$G205&gt;=MA_LONG2),AVERAGE(INDEX($C$5:$C205,202-MA_LONG2):$C205),"")</f>
        <v>739718844.445</v>
      </c>
      <c r="L205" s="53" t="n">
        <f aca="false">IF(AND(ISNUMBER($G205),$G205&gt;=21),STDEV(INDEX($H$145:$H205,62-20):$H205)*SQRT(245),"")</f>
        <v>0.184811170156235</v>
      </c>
      <c r="M205" s="52" t="n">
        <f aca="false">IF(AND(ISNUMBER($G205),$G205&gt;=60),MAX(INDEX($D$5:$D205,202-60):$D205),"")</f>
        <v>902956200</v>
      </c>
      <c r="N205" s="52" t="n">
        <f aca="false">IF(AND(ISNUMBER($G205),$G205&gt;=60),MIN(INDEX($E$5:$E205,202-60):$E205),"")</f>
        <v>745115955</v>
      </c>
      <c r="O205" s="53" t="n">
        <f aca="false">IF(OR(NOT(ISNUMBER($C205)),NOT(ISNUMBER($M205)),$M205=0),"",$C205/$M205-1)</f>
        <v>-0.0103585644575008</v>
      </c>
      <c r="P205" s="54"/>
      <c r="Q205" s="53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901050839</v>
      </c>
      <c r="D206" s="49" t="n">
        <v>906697774</v>
      </c>
      <c r="E206" s="49" t="n">
        <v>897251319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0.00833476396511568</v>
      </c>
      <c r="I206" s="52" t="n">
        <f aca="false">IF(AND(ISNUMBER($G206),$G206&gt;=MA_SHORT),AVERAGE(INDEX($C$5:$C206,203-MA_SHORT):$C206),"")</f>
        <v>872900770.55</v>
      </c>
      <c r="J206" s="52" t="n">
        <f aca="false">IF(AND(ISNUMBER($G206),$G206&gt;=MA_MED),AVERAGE(INDEX($C$5:$C206,203-MA_MED):$C206),"")</f>
        <v>820323320.2</v>
      </c>
      <c r="K206" s="52" t="n">
        <f aca="false">IF(AND(ISNUMBER($G206),$G206&gt;=MA_LONG2),AVERAGE(INDEX($C$5:$C206,203-MA_LONG2):$C206),"")</f>
        <v>741121990.225</v>
      </c>
      <c r="L206" s="53" t="n">
        <f aca="false">IF(AND(ISNUMBER($G206),$G206&gt;=21),STDEV(INDEX($H$146:$H206,62-20):$H206)*SQRT(245),"")</f>
        <v>0.165046726919124</v>
      </c>
      <c r="M206" s="52" t="n">
        <f aca="false">IF(AND(ISNUMBER($G206),$G206&gt;=60),MAX(INDEX($D$6:$D206,202-60):$D206),"")</f>
        <v>906697774</v>
      </c>
      <c r="N206" s="52" t="n">
        <f aca="false">IF(AND(ISNUMBER($G206),$G206&gt;=60),MIN(INDEX($E$6:$E206,202-60):$E206),"")</f>
        <v>745115955</v>
      </c>
      <c r="O206" s="53" t="n">
        <f aca="false">IF(OR(NOT(ISNUMBER($C206)),NOT(ISNUMBER($M206)),$M206=0),"",$C206/$M206-1)</f>
        <v>-0.00622802345161599</v>
      </c>
      <c r="P206" s="54"/>
      <c r="Q206" s="53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897054047</v>
      </c>
      <c r="D207" s="49" t="n">
        <v>900884963</v>
      </c>
      <c r="E207" s="49" t="n">
        <v>893473514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-0.00443570088058043</v>
      </c>
      <c r="I207" s="52" t="n">
        <f aca="false">IF(AND(ISNUMBER($G207),$G207&gt;=MA_SHORT),AVERAGE(INDEX($C$5:$C207,204-MA_SHORT):$C207),"")</f>
        <v>874528870.05</v>
      </c>
      <c r="J207" s="52" t="n">
        <f aca="false">IF(AND(ISNUMBER($G207),$G207&gt;=MA_MED),AVERAGE(INDEX($C$5:$C207,204-MA_MED):$C207),"")</f>
        <v>823215588.08</v>
      </c>
      <c r="K207" s="52" t="n">
        <f aca="false">IF(AND(ISNUMBER($G207),$G207&gt;=MA_LONG2),AVERAGE(INDEX($C$5:$C207,204-MA_LONG2):$C207),"")</f>
        <v>742485173.175</v>
      </c>
      <c r="L207" s="53" t="n">
        <f aca="false">IF(AND(ISNUMBER($G207),$G207&gt;=21),STDEV(INDEX($H$147:$H207,62-20):$H207)*SQRT(245),"")</f>
        <v>0.159764522755838</v>
      </c>
      <c r="M207" s="52" t="n">
        <f aca="false">IF(AND(ISNUMBER($G207),$G207&gt;=60),MAX(INDEX($D$7:$D207,202-60):$D207),"")</f>
        <v>906697774</v>
      </c>
      <c r="N207" s="52" t="n">
        <f aca="false">IF(AND(ISNUMBER($G207),$G207&gt;=60),MIN(INDEX($E$7:$E207,202-60):$E207),"")</f>
        <v>745115955</v>
      </c>
      <c r="O207" s="53" t="n">
        <f aca="false">IF(OR(NOT(ISNUMBER($C207)),NOT(ISNUMBER($M207)),$M207=0),"",$C207/$M207-1)</f>
        <v>-0.0106360986830878</v>
      </c>
      <c r="P207" s="54"/>
      <c r="Q207" s="53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919506148</v>
      </c>
      <c r="D208" s="49" t="n">
        <v>920679902</v>
      </c>
      <c r="E208" s="49" t="n">
        <v>917807307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0.0250287048757945</v>
      </c>
      <c r="I208" s="52" t="n">
        <f aca="false">IF(AND(ISNUMBER($G208),$G208&gt;=MA_SHORT),AVERAGE(INDEX($C$5:$C208,205-MA_SHORT):$C208),"")</f>
        <v>877849151.05</v>
      </c>
      <c r="J208" s="52" t="n">
        <f aca="false">IF(AND(ISNUMBER($G208),$G208&gt;=MA_MED),AVERAGE(INDEX($C$5:$C208,205-MA_MED):$C208),"")</f>
        <v>826600174.62</v>
      </c>
      <c r="K208" s="52" t="n">
        <f aca="false">IF(AND(ISNUMBER($G208),$G208&gt;=MA_LONG2),AVERAGE(INDEX($C$5:$C208,205-MA_LONG2):$C208),"")</f>
        <v>743958758.045</v>
      </c>
      <c r="L208" s="53" t="n">
        <f aca="false">IF(AND(ISNUMBER($G208),$G208&gt;=21),STDEV(INDEX($H$148:$H208,62-20):$H208)*SQRT(245),"")</f>
        <v>0.16896812942571</v>
      </c>
      <c r="M208" s="52" t="n">
        <f aca="false">IF(AND(ISNUMBER($G208),$G208&gt;=60),MAX(INDEX($D$8:$D208,202-60):$D208),"")</f>
        <v>920679902</v>
      </c>
      <c r="N208" s="52" t="n">
        <f aca="false">IF(AND(ISNUMBER($G208),$G208&gt;=60),MIN(INDEX($E$8:$E208,202-60):$E208),"")</f>
        <v>745115955</v>
      </c>
      <c r="O208" s="53" t="n">
        <f aca="false">IF(OR(NOT(ISNUMBER($C208)),NOT(ISNUMBER($M208)),$M208=0),"",$C208/$M208-1)</f>
        <v>-0.00127487740033239</v>
      </c>
      <c r="P208" s="54"/>
      <c r="Q208" s="53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911492274</v>
      </c>
      <c r="D209" s="49" t="n">
        <v>917152875</v>
      </c>
      <c r="E209" s="49" t="n">
        <v>907259551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-0.00871541100342921</v>
      </c>
      <c r="I209" s="52" t="n">
        <f aca="false">IF(AND(ISNUMBER($G209),$G209&gt;=MA_SHORT),AVERAGE(INDEX($C$5:$C209,206-MA_SHORT):$C209),"")</f>
        <v>880528075.7</v>
      </c>
      <c r="J209" s="52" t="n">
        <f aca="false">IF(AND(ISNUMBER($G209),$G209&gt;=MA_MED),AVERAGE(INDEX($C$5:$C209,206-MA_MED):$C209),"")</f>
        <v>829662913.5</v>
      </c>
      <c r="K209" s="52" t="n">
        <f aca="false">IF(AND(ISNUMBER($G209),$G209&gt;=MA_LONG2),AVERAGE(INDEX($C$5:$C209,206-MA_LONG2):$C209),"")</f>
        <v>745402688.69</v>
      </c>
      <c r="L209" s="53" t="n">
        <f aca="false">IF(AND(ISNUMBER($G209),$G209&gt;=21),STDEV(INDEX($H$149:$H209,62-20):$H209)*SQRT(245),"")</f>
        <v>0.174347797439509</v>
      </c>
      <c r="M209" s="52" t="n">
        <f aca="false">IF(AND(ISNUMBER($G209),$G209&gt;=60),MAX(INDEX($D$9:$D209,202-60):$D209),"")</f>
        <v>920679902</v>
      </c>
      <c r="N209" s="52" t="n">
        <f aca="false">IF(AND(ISNUMBER($G209),$G209&gt;=60),MIN(INDEX($E$9:$E209,202-60):$E209),"")</f>
        <v>745115955</v>
      </c>
      <c r="O209" s="53" t="n">
        <f aca="false">IF(OR(NOT(ISNUMBER($C209)),NOT(ISNUMBER($M209)),$M209=0),"",$C209/$M209-1)</f>
        <v>-0.00997917732323872</v>
      </c>
      <c r="P209" s="54"/>
      <c r="Q209" s="53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884982293</v>
      </c>
      <c r="D210" s="49" t="n">
        <v>886910326</v>
      </c>
      <c r="E210" s="49" t="n">
        <v>883148868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-0.0290841532684236</v>
      </c>
      <c r="I210" s="52" t="n">
        <f aca="false">IF(AND(ISNUMBER($G210),$G210&gt;=MA_SHORT),AVERAGE(INDEX($C$5:$C210,207-MA_SHORT):$C210),"")</f>
        <v>882055144.6</v>
      </c>
      <c r="J210" s="52" t="n">
        <f aca="false">IF(AND(ISNUMBER($G210),$G210&gt;=MA_MED),AVERAGE(INDEX($C$5:$C210,207-MA_MED):$C210),"")</f>
        <v>832264331.94</v>
      </c>
      <c r="K210" s="52" t="n">
        <f aca="false">IF(AND(ISNUMBER($G210),$G210&gt;=MA_LONG2),AVERAGE(INDEX($C$5:$C210,207-MA_LONG2):$C210),"")</f>
        <v>746739590.005</v>
      </c>
      <c r="L210" s="53" t="n">
        <f aca="false">IF(AND(ISNUMBER($G210),$G210&gt;=21),STDEV(INDEX($H$150:$H210,62-20):$H210)*SQRT(245),"")</f>
        <v>0.206605680453164</v>
      </c>
      <c r="M210" s="52" t="n">
        <f aca="false">IF(AND(ISNUMBER($G210),$G210&gt;=60),MAX(INDEX($D$10:$D210,202-60):$D210),"")</f>
        <v>920679902</v>
      </c>
      <c r="N210" s="52" t="n">
        <f aca="false">IF(AND(ISNUMBER($G210),$G210&gt;=60),MIN(INDEX($E$10:$E210,202-60):$E210),"")</f>
        <v>745115955</v>
      </c>
      <c r="O210" s="53" t="n">
        <f aca="false">IF(OR(NOT(ISNUMBER($C210)),NOT(ISNUMBER($M210)),$M210=0),"",$C210/$M210-1)</f>
        <v>-0.0387730946689004</v>
      </c>
      <c r="P210" s="54"/>
      <c r="Q210" s="53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896027687</v>
      </c>
      <c r="D211" s="49" t="n">
        <v>896093095</v>
      </c>
      <c r="E211" s="49" t="n">
        <v>888883976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0.0124809209035779</v>
      </c>
      <c r="I211" s="52" t="n">
        <f aca="false">IF(AND(ISNUMBER($G211),$G211&gt;=MA_SHORT),AVERAGE(INDEX($C$5:$C211,208-MA_SHORT):$C211),"")</f>
        <v>883835106.6</v>
      </c>
      <c r="J211" s="52" t="n">
        <f aca="false">IF(AND(ISNUMBER($G211),$G211&gt;=MA_MED),AVERAGE(INDEX($C$5:$C211,208-MA_MED):$C211),"")</f>
        <v>835140854.84</v>
      </c>
      <c r="K211" s="52" t="n">
        <f aca="false">IF(AND(ISNUMBER($G211),$G211&gt;=MA_LONG2),AVERAGE(INDEX($C$5:$C211,208-MA_LONG2):$C211),"")</f>
        <v>748063178.035</v>
      </c>
      <c r="L211" s="53" t="n">
        <f aca="false">IF(AND(ISNUMBER($G211),$G211&gt;=21),STDEV(INDEX($H$151:$H211,62-20):$H211)*SQRT(245),"")</f>
        <v>0.209242041209241</v>
      </c>
      <c r="M211" s="52" t="n">
        <f aca="false">IF(AND(ISNUMBER($G211),$G211&gt;=60),MAX(INDEX($D$11:$D211,202-60):$D211),"")</f>
        <v>920679902</v>
      </c>
      <c r="N211" s="52" t="n">
        <f aca="false">IF(AND(ISNUMBER($G211),$G211&gt;=60),MIN(INDEX($E$11:$E211,202-60):$E211),"")</f>
        <v>745115955</v>
      </c>
      <c r="O211" s="53" t="n">
        <f aca="false">IF(OR(NOT(ISNUMBER($C211)),NOT(ISNUMBER($M211)),$M211=0),"",$C211/$M211-1)</f>
        <v>-0.0267760976930721</v>
      </c>
      <c r="P211" s="54"/>
      <c r="Q211" s="53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918687513</v>
      </c>
      <c r="D212" s="49" t="n">
        <v>920518800</v>
      </c>
      <c r="E212" s="49" t="n">
        <v>915487840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0.0252892029216949</v>
      </c>
      <c r="I212" s="52" t="n">
        <f aca="false">IF(AND(ISNUMBER($G212),$G212&gt;=MA_SHORT),AVERAGE(INDEX($C$5:$C212,209-MA_SHORT):$C212),"")</f>
        <v>887409835.7</v>
      </c>
      <c r="J212" s="52" t="n">
        <f aca="false">IF(AND(ISNUMBER($G212),$G212&gt;=MA_MED),AVERAGE(INDEX($C$5:$C212,209-MA_MED):$C212),"")</f>
        <v>838326496.96</v>
      </c>
      <c r="K212" s="52" t="n">
        <f aca="false">IF(AND(ISNUMBER($G212),$G212&gt;=MA_LONG2),AVERAGE(INDEX($C$5:$C212,209-MA_LONG2):$C212),"")</f>
        <v>749537353.9</v>
      </c>
      <c r="L212" s="53" t="n">
        <f aca="false">IF(AND(ISNUMBER($G212),$G212&gt;=21),STDEV(INDEX($H$152:$H212,62-20):$H212)*SQRT(245),"")</f>
        <v>0.213760698895613</v>
      </c>
      <c r="M212" s="52" t="n">
        <f aca="false">IF(AND(ISNUMBER($G212),$G212&gt;=60),MAX(INDEX($D$12:$D212,202-60):$D212),"")</f>
        <v>920679902</v>
      </c>
      <c r="N212" s="52" t="n">
        <f aca="false">IF(AND(ISNUMBER($G212),$G212&gt;=60),MIN(INDEX($E$12:$E212,202-60):$E212),"")</f>
        <v>745115955</v>
      </c>
      <c r="O212" s="53" t="n">
        <f aca="false">IF(OR(NOT(ISNUMBER($C212)),NOT(ISNUMBER($M212)),$M212=0),"",$C212/$M212-1)</f>
        <v>-0.00216404093938827</v>
      </c>
      <c r="P212" s="54"/>
      <c r="Q212" s="53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912811171</v>
      </c>
      <c r="D213" s="49" t="n">
        <v>914884187</v>
      </c>
      <c r="E213" s="49" t="n">
        <v>912118209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-0.00639645354578799</v>
      </c>
      <c r="I213" s="52" t="n">
        <f aca="false">IF(AND(ISNUMBER($G213),$G213&gt;=MA_SHORT),AVERAGE(INDEX($C$5:$C213,210-MA_SHORT):$C213),"")</f>
        <v>890224720.8</v>
      </c>
      <c r="J213" s="52" t="n">
        <f aca="false">IF(AND(ISNUMBER($G213),$G213&gt;=MA_MED),AVERAGE(INDEX($C$5:$C213,210-MA_MED):$C213),"")</f>
        <v>841320639.16</v>
      </c>
      <c r="K213" s="52" t="n">
        <f aca="false">IF(AND(ISNUMBER($G213),$G213&gt;=MA_LONG2),AVERAGE(INDEX($C$5:$C213,210-MA_LONG2):$C213),"")</f>
        <v>750999457.48</v>
      </c>
      <c r="L213" s="53" t="n">
        <f aca="false">IF(AND(ISNUMBER($G213),$G213&gt;=21),STDEV(INDEX($H$153:$H213,62-20):$H213)*SQRT(245),"")</f>
        <v>0.215235738626501</v>
      </c>
      <c r="M213" s="52" t="n">
        <f aca="false">IF(AND(ISNUMBER($G213),$G213&gt;=60),MAX(INDEX($D$13:$D213,202-60):$D213),"")</f>
        <v>920679902</v>
      </c>
      <c r="N213" s="52" t="n">
        <f aca="false">IF(AND(ISNUMBER($G213),$G213&gt;=60),MIN(INDEX($E$13:$E213,202-60):$E213),"")</f>
        <v>745115955</v>
      </c>
      <c r="O213" s="53" t="n">
        <f aca="false">IF(OR(NOT(ISNUMBER($C213)),NOT(ISNUMBER($M213)),$M213=0),"",$C213/$M213-1)</f>
        <v>-0.00854665229783636</v>
      </c>
      <c r="P213" s="54"/>
      <c r="Q213" s="53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934612514</v>
      </c>
      <c r="D214" s="49" t="n">
        <v>939303858</v>
      </c>
      <c r="E214" s="49" t="n">
        <v>930604787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0.0238837381625339</v>
      </c>
      <c r="I214" s="52" t="n">
        <f aca="false">IF(AND(ISNUMBER($G214),$G214&gt;=MA_SHORT),AVERAGE(INDEX($C$5:$C214,211-MA_SHORT):$C214),"")</f>
        <v>893825578.75</v>
      </c>
      <c r="J214" s="52" t="n">
        <f aca="false">IF(AND(ISNUMBER($G214),$G214&gt;=MA_MED),AVERAGE(INDEX($C$5:$C214,211-MA_MED):$C214),"")</f>
        <v>844489957.38</v>
      </c>
      <c r="K214" s="52" t="n">
        <f aca="false">IF(AND(ISNUMBER($G214),$G214&gt;=MA_LONG2),AVERAGE(INDEX($C$5:$C214,211-MA_LONG2):$C214),"")</f>
        <v>752579268.2</v>
      </c>
      <c r="L214" s="53" t="n">
        <f aca="false">IF(AND(ISNUMBER($G214),$G214&gt;=21),STDEV(INDEX($H$154:$H214,62-20):$H214)*SQRT(245),"")</f>
        <v>0.226785057357555</v>
      </c>
      <c r="M214" s="52" t="n">
        <f aca="false">IF(AND(ISNUMBER($G214),$G214&gt;=60),MAX(INDEX($D$14:$D214,202-60):$D214),"")</f>
        <v>939303858</v>
      </c>
      <c r="N214" s="52" t="n">
        <f aca="false">IF(AND(ISNUMBER($G214),$G214&gt;=60),MIN(INDEX($E$14:$E214,202-60):$E214),"")</f>
        <v>745115955</v>
      </c>
      <c r="O214" s="53" t="n">
        <f aca="false">IF(OR(NOT(ISNUMBER($C214)),NOT(ISNUMBER($M214)),$M214=0),"",$C214/$M214-1)</f>
        <v>-0.00499449029197963</v>
      </c>
      <c r="P214" s="54"/>
      <c r="Q214" s="53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941569304</v>
      </c>
      <c r="D215" s="49" t="n">
        <v>948968936</v>
      </c>
      <c r="E215" s="49" t="n">
        <v>936066102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0.00744350187461751</v>
      </c>
      <c r="I215" s="52" t="n">
        <f aca="false">IF(AND(ISNUMBER($G215),$G215&gt;=MA_SHORT),AVERAGE(INDEX($C$5:$C215,212-MA_SHORT):$C215),"")</f>
        <v>897450906.95</v>
      </c>
      <c r="J215" s="52" t="n">
        <f aca="false">IF(AND(ISNUMBER($G215),$G215&gt;=MA_MED),AVERAGE(INDEX($C$5:$C215,212-MA_MED):$C215),"")</f>
        <v>847740422.58</v>
      </c>
      <c r="K215" s="52" t="n">
        <f aca="false">IF(AND(ISNUMBER($G215),$G215&gt;=MA_LONG2),AVERAGE(INDEX($C$5:$C215,212-MA_LONG2):$C215),"")</f>
        <v>754125811.41</v>
      </c>
      <c r="L215" s="53" t="n">
        <f aca="false">IF(AND(ISNUMBER($G215),$G215&gt;=21),STDEV(INDEX($H$155:$H215,62-20):$H215)*SQRT(245),"")</f>
        <v>0.226774740132857</v>
      </c>
      <c r="M215" s="52" t="n">
        <f aca="false">IF(AND(ISNUMBER($G215),$G215&gt;=60),MAX(INDEX($D$15:$D215,202-60):$D215),"")</f>
        <v>948968936</v>
      </c>
      <c r="N215" s="52" t="n">
        <f aca="false">IF(AND(ISNUMBER($G215),$G215&gt;=60),MIN(INDEX($E$15:$E215,202-60):$E215),"")</f>
        <v>745115955</v>
      </c>
      <c r="O215" s="53" t="n">
        <f aca="false">IF(OR(NOT(ISNUMBER($C215)),NOT(ISNUMBER($M215)),$M215=0),"",$C215/$M215-1)</f>
        <v>-0.00779754923400355</v>
      </c>
      <c r="P215" s="54"/>
      <c r="Q215" s="53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928287372</v>
      </c>
      <c r="D216" s="49" t="n">
        <v>932614949</v>
      </c>
      <c r="E216" s="49" t="n">
        <v>927697782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-0.0141061650412512</v>
      </c>
      <c r="I216" s="52" t="n">
        <f aca="false">IF(AND(ISNUMBER($G216),$G216&gt;=MA_SHORT),AVERAGE(INDEX($C$5:$C216,213-MA_SHORT):$C216),"")</f>
        <v>899834248.45</v>
      </c>
      <c r="J216" s="52" t="n">
        <f aca="false">IF(AND(ISNUMBER($G216),$G216&gt;=MA_MED),AVERAGE(INDEX($C$5:$C216,213-MA_MED):$C216),"")</f>
        <v>850908745.2</v>
      </c>
      <c r="K216" s="52" t="n">
        <f aca="false">IF(AND(ISNUMBER($G216),$G216&gt;=MA_LONG2),AVERAGE(INDEX($C$5:$C216,213-MA_LONG2):$C216),"")</f>
        <v>755587982.475</v>
      </c>
      <c r="L216" s="53" t="n">
        <f aca="false">IF(AND(ISNUMBER($G216),$G216&gt;=21),STDEV(INDEX($H$156:$H216,62-20):$H216)*SQRT(245),"")</f>
        <v>0.232670730064098</v>
      </c>
      <c r="M216" s="52" t="n">
        <f aca="false">IF(AND(ISNUMBER($G216),$G216&gt;=60),MAX(INDEX($D$16:$D216,202-60):$D216),"")</f>
        <v>948968936</v>
      </c>
      <c r="N216" s="52" t="n">
        <f aca="false">IF(AND(ISNUMBER($G216),$G216&gt;=60),MIN(INDEX($E$16:$E216,202-60):$E216),"")</f>
        <v>745115955</v>
      </c>
      <c r="O216" s="53" t="n">
        <f aca="false">IF(OR(NOT(ISNUMBER($C216)),NOT(ISNUMBER($M216)),$M216=0),"",$C216/$M216-1)</f>
        <v>-0.0217937207588427</v>
      </c>
      <c r="P216" s="54"/>
      <c r="Q216" s="53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924781483</v>
      </c>
      <c r="D217" s="49" t="n">
        <v>929020356</v>
      </c>
      <c r="E217" s="49" t="n">
        <v>919484664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-0.00377672809708329</v>
      </c>
      <c r="I217" s="52" t="n">
        <f aca="false">IF(AND(ISNUMBER($G217),$G217&gt;=MA_SHORT),AVERAGE(INDEX($C$5:$C217,214-MA_SHORT):$C217),"")</f>
        <v>902808758.65</v>
      </c>
      <c r="J217" s="52" t="n">
        <f aca="false">IF(AND(ISNUMBER($G217),$G217&gt;=MA_MED),AVERAGE(INDEX($C$5:$C217,214-MA_MED):$C217),"")</f>
        <v>854016403.02</v>
      </c>
      <c r="K217" s="52" t="n">
        <f aca="false">IF(AND(ISNUMBER($G217),$G217&gt;=MA_LONG2),AVERAGE(INDEX($C$5:$C217,214-MA_LONG2):$C217),"")</f>
        <v>757025372.26</v>
      </c>
      <c r="L217" s="53" t="n">
        <f aca="false">IF(AND(ISNUMBER($G217),$G217&gt;=21),STDEV(INDEX($H$157:$H217,62-20):$H217)*SQRT(245),"")</f>
        <v>0.222098771423268</v>
      </c>
      <c r="M217" s="52" t="n">
        <f aca="false">IF(AND(ISNUMBER($G217),$G217&gt;=60),MAX(INDEX($D$17:$D217,202-60):$D217),"")</f>
        <v>948968936</v>
      </c>
      <c r="N217" s="52" t="n">
        <f aca="false">IF(AND(ISNUMBER($G217),$G217&gt;=60),MIN(INDEX($E$17:$E217,202-60):$E217),"")</f>
        <v>745115955</v>
      </c>
      <c r="O217" s="53" t="n">
        <f aca="false">IF(OR(NOT(ISNUMBER($C217)),NOT(ISNUMBER($M217)),$M217=0),"",$C217/$M217-1)</f>
        <v>-0.025488139898396</v>
      </c>
      <c r="P217" s="54"/>
      <c r="Q217" s="53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922250691</v>
      </c>
      <c r="D218" s="49" t="n">
        <v>927189150</v>
      </c>
      <c r="E218" s="49" t="n">
        <v>919948665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-0.00273663783988198</v>
      </c>
      <c r="I218" s="52" t="n">
        <f aca="false">IF(AND(ISNUMBER($G218),$G218&gt;=MA_SHORT),AVERAGE(INDEX($C$5:$C218,215-MA_SHORT):$C218),"")</f>
        <v>905227205.4</v>
      </c>
      <c r="J218" s="52" t="n">
        <f aca="false">IF(AND(ISNUMBER($G218),$G218&gt;=MA_MED),AVERAGE(INDEX($C$5:$C218,215-MA_MED):$C218),"")</f>
        <v>857325051.82</v>
      </c>
      <c r="K218" s="52" t="n">
        <f aca="false">IF(AND(ISNUMBER($G218),$G218&gt;=MA_LONG2),AVERAGE(INDEX($C$5:$C218,215-MA_LONG2):$C218),"")</f>
        <v>758469865.06</v>
      </c>
      <c r="L218" s="53" t="n">
        <f aca="false">IF(AND(ISNUMBER($G218),$G218&gt;=21),STDEV(INDEX($H$158:$H218,62-20):$H218)*SQRT(245),"")</f>
        <v>0.221740734026271</v>
      </c>
      <c r="M218" s="52" t="n">
        <f aca="false">IF(AND(ISNUMBER($G218),$G218&gt;=60),MAX(INDEX($D$18:$D218,202-60):$D218),"")</f>
        <v>948968936</v>
      </c>
      <c r="N218" s="52" t="n">
        <f aca="false">IF(AND(ISNUMBER($G218),$G218&gt;=60),MIN(INDEX($E$18:$E218,202-60):$E218),"")</f>
        <v>751794941</v>
      </c>
      <c r="O218" s="53" t="n">
        <f aca="false">IF(OR(NOT(ISNUMBER($C218)),NOT(ISNUMBER($M218)),$M218=0),"",$C218/$M218-1)</f>
        <v>-0.0281550259301638</v>
      </c>
      <c r="P218" s="54"/>
      <c r="Q218" s="53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921323651</v>
      </c>
      <c r="D219" s="49" t="n">
        <v>923187747</v>
      </c>
      <c r="E219" s="49" t="n">
        <v>919812957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-0.00100519306631786</v>
      </c>
      <c r="I219" s="52" t="n">
        <f aca="false">IF(AND(ISNUMBER($G219),$G219&gt;=MA_SHORT),AVERAGE(INDEX($C$5:$C219,216-MA_SHORT):$C219),"")</f>
        <v>908066637.6</v>
      </c>
      <c r="J219" s="52" t="n">
        <f aca="false">IF(AND(ISNUMBER($G219),$G219&gt;=MA_MED),AVERAGE(INDEX($C$5:$C219,216-MA_MED):$C219),"")</f>
        <v>860416456.8</v>
      </c>
      <c r="K219" s="52" t="n">
        <f aca="false">IF(AND(ISNUMBER($G219),$G219&gt;=MA_LONG2),AVERAGE(INDEX($C$5:$C219,216-MA_LONG2):$C219),"")</f>
        <v>759821332.69</v>
      </c>
      <c r="L219" s="53" t="n">
        <f aca="false">IF(AND(ISNUMBER($G219),$G219&gt;=21),STDEV(INDEX($H$159:$H219,62-20):$H219)*SQRT(245),"")</f>
        <v>0.21667590690351</v>
      </c>
      <c r="M219" s="52" t="n">
        <f aca="false">IF(AND(ISNUMBER($G219),$G219&gt;=60),MAX(INDEX($D$19:$D219,202-60):$D219),"")</f>
        <v>948968936</v>
      </c>
      <c r="N219" s="52" t="n">
        <f aca="false">IF(AND(ISNUMBER($G219),$G219&gt;=60),MIN(INDEX($E$19:$E219,202-60):$E219),"")</f>
        <v>751794941</v>
      </c>
      <c r="O219" s="53" t="n">
        <f aca="false">IF(OR(NOT(ISNUMBER($C219)),NOT(ISNUMBER($M219)),$M219=0),"",$C219/$M219-1)</f>
        <v>-0.0291319177596346</v>
      </c>
      <c r="P219" s="54"/>
      <c r="Q219" s="53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926410614</v>
      </c>
      <c r="D220" s="49" t="n">
        <v>928043095</v>
      </c>
      <c r="E220" s="49" t="n">
        <v>926369439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0.00552136374061241</v>
      </c>
      <c r="I220" s="52" t="n">
        <f aca="false">IF(AND(ISNUMBER($G220),$G220&gt;=MA_SHORT),AVERAGE(INDEX($C$5:$C220,217-MA_SHORT):$C220),"")</f>
        <v>910499424.5</v>
      </c>
      <c r="J220" s="52" t="n">
        <f aca="false">IF(AND(ISNUMBER($G220),$G220&gt;=MA_MED),AVERAGE(INDEX($C$5:$C220,217-MA_MED):$C220),"")</f>
        <v>863809741.04</v>
      </c>
      <c r="K220" s="52" t="n">
        <f aca="false">IF(AND(ISNUMBER($G220),$G220&gt;=MA_LONG2),AVERAGE(INDEX($C$5:$C220,217-MA_LONG2):$C220),"")</f>
        <v>761267057.8</v>
      </c>
      <c r="L220" s="53" t="n">
        <f aca="false">IF(AND(ISNUMBER($G220),$G220&gt;=21),STDEV(INDEX($H$160:$H220,62-20):$H220)*SQRT(245),"")</f>
        <v>0.212345427028451</v>
      </c>
      <c r="M220" s="52" t="n">
        <f aca="false">IF(AND(ISNUMBER($G220),$G220&gt;=60),MAX(INDEX($D$20:$D220,202-60):$D220),"")</f>
        <v>948968936</v>
      </c>
      <c r="N220" s="52" t="n">
        <f aca="false">IF(AND(ISNUMBER($G220),$G220&gt;=60),MIN(INDEX($E$20:$E220,202-60):$E220),"")</f>
        <v>751794941</v>
      </c>
      <c r="O220" s="53" t="n">
        <f aca="false">IF(OR(NOT(ISNUMBER($C220)),NOT(ISNUMBER($M220)),$M220=0),"",$C220/$M220-1)</f>
        <v>-0.0237714019334349</v>
      </c>
      <c r="P220" s="54"/>
      <c r="Q220" s="53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907633406</v>
      </c>
      <c r="D221" s="49" t="n">
        <v>909377135</v>
      </c>
      <c r="E221" s="49" t="n">
        <v>902705271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-0.0202687746839654</v>
      </c>
      <c r="I221" s="52" t="n">
        <f aca="false">IF(AND(ISNUMBER($G221),$G221&gt;=MA_SHORT),AVERAGE(INDEX($C$5:$C221,218-MA_SHORT):$C221),"")</f>
        <v>911463949.15</v>
      </c>
      <c r="J221" s="52" t="n">
        <f aca="false">IF(AND(ISNUMBER($G221),$G221&gt;=MA_MED),AVERAGE(INDEX($C$5:$C221,218-MA_MED):$C221),"")</f>
        <v>866805119.6</v>
      </c>
      <c r="K221" s="52" t="n">
        <f aca="false">IF(AND(ISNUMBER($G221),$G221&gt;=MA_LONG2),AVERAGE(INDEX($C$5:$C221,218-MA_LONG2):$C221),"")</f>
        <v>762582189.855</v>
      </c>
      <c r="L221" s="53" t="n">
        <f aca="false">IF(AND(ISNUMBER($G221),$G221&gt;=21),STDEV(INDEX($H$161:$H221,62-20):$H221)*SQRT(245),"")</f>
        <v>0.223970667767327</v>
      </c>
      <c r="M221" s="52" t="n">
        <f aca="false">IF(AND(ISNUMBER($G221),$G221&gt;=60),MAX(INDEX($D$21:$D221,202-60):$D221),"")</f>
        <v>948968936</v>
      </c>
      <c r="N221" s="52" t="n">
        <f aca="false">IF(AND(ISNUMBER($G221),$G221&gt;=60),MIN(INDEX($E$21:$E221,202-60):$E221),"")</f>
        <v>754356537</v>
      </c>
      <c r="O221" s="53" t="n">
        <f aca="false">IF(OR(NOT(ISNUMBER($C221)),NOT(ISNUMBER($M221)),$M221=0),"",$C221/$M221-1)</f>
        <v>-0.0435583594276894</v>
      </c>
      <c r="P221" s="54"/>
      <c r="Q221" s="53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913490229</v>
      </c>
      <c r="D222" s="49" t="n">
        <v>916831555</v>
      </c>
      <c r="E222" s="49" t="n">
        <v>910678930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0.00645285085507319</v>
      </c>
      <c r="I222" s="52" t="n">
        <f aca="false">IF(AND(ISNUMBER($G222),$G222&gt;=MA_SHORT),AVERAGE(INDEX($C$5:$C222,219-MA_SHORT):$C222),"")</f>
        <v>912507206.3</v>
      </c>
      <c r="J222" s="52" t="n">
        <f aca="false">IF(AND(ISNUMBER($G222),$G222&gt;=MA_MED),AVERAGE(INDEX($C$5:$C222,219-MA_MED):$C222),"")</f>
        <v>869840716.96</v>
      </c>
      <c r="K222" s="52" t="n">
        <f aca="false">IF(AND(ISNUMBER($G222),$G222&gt;=MA_LONG2),AVERAGE(INDEX($C$5:$C222,219-MA_LONG2):$C222),"")</f>
        <v>763948557.01</v>
      </c>
      <c r="L222" s="53" t="n">
        <f aca="false">IF(AND(ISNUMBER($G222),$G222&gt;=21),STDEV(INDEX($H$162:$H222,62-20):$H222)*SQRT(245),"")</f>
        <v>0.224386065726539</v>
      </c>
      <c r="M222" s="52" t="n">
        <f aca="false">IF(AND(ISNUMBER($G222),$G222&gt;=60),MAX(INDEX($D$22:$D222,202-60):$D222),"")</f>
        <v>948968936</v>
      </c>
      <c r="N222" s="52" t="n">
        <f aca="false">IF(AND(ISNUMBER($G222),$G222&gt;=60),MIN(INDEX($E$22:$E222,202-60):$E222),"")</f>
        <v>754356537</v>
      </c>
      <c r="O222" s="53" t="n">
        <f aca="false">IF(OR(NOT(ISNUMBER($C222)),NOT(ISNUMBER($M222)),$M222=0),"",$C222/$M222-1)</f>
        <v>-0.0373865841694949</v>
      </c>
      <c r="P222" s="54"/>
      <c r="Q222" s="53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910650637</v>
      </c>
      <c r="D223" s="49" t="n">
        <v>914446521</v>
      </c>
      <c r="E223" s="49" t="n">
        <v>909759185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-0.00310850834508492</v>
      </c>
      <c r="I223" s="52" t="n">
        <f aca="false">IF(AND(ISNUMBER($G223),$G223&gt;=MA_SHORT),AVERAGE(INDEX($C$5:$C223,220-MA_SHORT):$C223),"")</f>
        <v>913012002.35</v>
      </c>
      <c r="J223" s="52" t="n">
        <f aca="false">IF(AND(ISNUMBER($G223),$G223&gt;=MA_MED),AVERAGE(INDEX($C$5:$C223,220-MA_MED):$C223),"")</f>
        <v>872523703.7</v>
      </c>
      <c r="K223" s="52" t="n">
        <f aca="false">IF(AND(ISNUMBER($G223),$G223&gt;=MA_LONG2),AVERAGE(INDEX($C$5:$C223,220-MA_LONG2):$C223),"")</f>
        <v>765331290.225</v>
      </c>
      <c r="L223" s="53" t="n">
        <f aca="false">IF(AND(ISNUMBER($G223),$G223&gt;=21),STDEV(INDEX($H$163:$H223,62-20):$H223)*SQRT(245),"")</f>
        <v>0.223049443710397</v>
      </c>
      <c r="M223" s="52" t="n">
        <f aca="false">IF(AND(ISNUMBER($G223),$G223&gt;=60),MAX(INDEX($D$23:$D223,202-60):$D223),"")</f>
        <v>948968936</v>
      </c>
      <c r="N223" s="52" t="n">
        <f aca="false">IF(AND(ISNUMBER($G223),$G223&gt;=60),MIN(INDEX($E$23:$E223,202-60):$E223),"")</f>
        <v>754356537</v>
      </c>
      <c r="O223" s="53" t="n">
        <f aca="false">IF(OR(NOT(ISNUMBER($C223)),NOT(ISNUMBER($M223)),$M223=0),"",$C223/$M223-1)</f>
        <v>-0.0403788760056947</v>
      </c>
      <c r="P223" s="54"/>
      <c r="Q223" s="53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899590527</v>
      </c>
      <c r="D224" s="49" t="n">
        <v>904108318</v>
      </c>
      <c r="E224" s="49" t="n">
        <v>895935912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-0.012145283328891</v>
      </c>
      <c r="I224" s="52" t="n">
        <f aca="false">IF(AND(ISNUMBER($G224),$G224&gt;=MA_SHORT),AVERAGE(INDEX($C$5:$C224,221-MA_SHORT):$C224),"")</f>
        <v>913290763.5</v>
      </c>
      <c r="J224" s="52" t="n">
        <f aca="false">IF(AND(ISNUMBER($G224),$G224&gt;=MA_MED),AVERAGE(INDEX($C$5:$C224,221-MA_MED):$C224),"")</f>
        <v>874931619.18</v>
      </c>
      <c r="K224" s="52" t="n">
        <f aca="false">IF(AND(ISNUMBER($G224),$G224&gt;=MA_LONG2),AVERAGE(INDEX($C$5:$C224,221-MA_LONG2):$C224),"")</f>
        <v>766643616.085</v>
      </c>
      <c r="L224" s="53" t="n">
        <f aca="false">IF(AND(ISNUMBER($G224),$G224&gt;=21),STDEV(INDEX($H$164:$H224,62-20):$H224)*SQRT(245),"")</f>
        <v>0.225920727014305</v>
      </c>
      <c r="M224" s="52" t="n">
        <f aca="false">IF(AND(ISNUMBER($G224),$G224&gt;=60),MAX(INDEX($D$24:$D224,202-60):$D224),"")</f>
        <v>948968936</v>
      </c>
      <c r="N224" s="52" t="n">
        <f aca="false">IF(AND(ISNUMBER($G224),$G224&gt;=60),MIN(INDEX($E$24:$E224,202-60):$E224),"")</f>
        <v>754356537</v>
      </c>
      <c r="O224" s="53" t="n">
        <f aca="false">IF(OR(NOT(ISNUMBER($C224)),NOT(ISNUMBER($M224)),$M224=0),"",$C224/$M224-1)</f>
        <v>-0.0520337464449943</v>
      </c>
      <c r="P224" s="54"/>
      <c r="Q224" s="53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908488438</v>
      </c>
      <c r="D225" s="49" t="n">
        <v>910728415</v>
      </c>
      <c r="E225" s="49" t="n">
        <v>906432296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0.00989106791694794</v>
      </c>
      <c r="I225" s="52" t="n">
        <f aca="false">IF(AND(ISNUMBER($G225),$G225&gt;=MA_SHORT),AVERAGE(INDEX($C$5:$C225,222-MA_SHORT):$C225),"")</f>
        <v>914035041.9</v>
      </c>
      <c r="J225" s="52" t="n">
        <f aca="false">IF(AND(ISNUMBER($G225),$G225&gt;=MA_MED),AVERAGE(INDEX($C$5:$C225,222-MA_MED):$C225),"")</f>
        <v>877302425.26</v>
      </c>
      <c r="K225" s="52" t="n">
        <f aca="false">IF(AND(ISNUMBER($G225),$G225&gt;=MA_LONG2),AVERAGE(INDEX($C$5:$C225,222-MA_LONG2):$C225),"")</f>
        <v>767979499.075</v>
      </c>
      <c r="L225" s="53" t="n">
        <f aca="false">IF(AND(ISNUMBER($G225),$G225&gt;=21),STDEV(INDEX($H$165:$H225,62-20):$H225)*SQRT(245),"")</f>
        <v>0.228299089202024</v>
      </c>
      <c r="M225" s="52" t="n">
        <f aca="false">IF(AND(ISNUMBER($G225),$G225&gt;=60),MAX(INDEX($D$25:$D225,202-60):$D225),"")</f>
        <v>948968936</v>
      </c>
      <c r="N225" s="52" t="n">
        <f aca="false">IF(AND(ISNUMBER($G225),$G225&gt;=60),MIN(INDEX($E$25:$E225,202-60):$E225),"")</f>
        <v>754356537</v>
      </c>
      <c r="O225" s="53" t="n">
        <f aca="false">IF(OR(NOT(ISNUMBER($C225)),NOT(ISNUMBER($M225)),$M225=0),"",$C225/$M225-1)</f>
        <v>-0.042657347848107</v>
      </c>
      <c r="P225" s="54"/>
      <c r="Q225" s="53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887908271</v>
      </c>
      <c r="D226" s="49" t="n">
        <v>890623902</v>
      </c>
      <c r="E226" s="49" t="n">
        <v>887555049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-0.0226531963855329</v>
      </c>
      <c r="I226" s="52" t="n">
        <f aca="false">IF(AND(ISNUMBER($G226),$G226&gt;=MA_SHORT),AVERAGE(INDEX($C$5:$C226,223-MA_SHORT):$C226),"")</f>
        <v>913377913.5</v>
      </c>
      <c r="J226" s="52" t="n">
        <f aca="false">IF(AND(ISNUMBER($G226),$G226&gt;=MA_MED),AVERAGE(INDEX($C$5:$C226,223-MA_MED):$C226),"")</f>
        <v>878930593.4</v>
      </c>
      <c r="K226" s="52" t="n">
        <f aca="false">IF(AND(ISNUMBER($G226),$G226&gt;=MA_LONG2),AVERAGE(INDEX($C$5:$C226,223-MA_LONG2):$C226),"")</f>
        <v>769337958.18</v>
      </c>
      <c r="L226" s="53" t="n">
        <f aca="false">IF(AND(ISNUMBER($G226),$G226&gt;=21),STDEV(INDEX($H$166:$H226,62-20):$H226)*SQRT(245),"")</f>
        <v>0.240756834738937</v>
      </c>
      <c r="M226" s="52" t="n">
        <f aca="false">IF(AND(ISNUMBER($G226),$G226&gt;=60),MAX(INDEX($D$26:$D226,202-60):$D226),"")</f>
        <v>948968936</v>
      </c>
      <c r="N226" s="52" t="n">
        <f aca="false">IF(AND(ISNUMBER($G226),$G226&gt;=60),MIN(INDEX($E$26:$E226,202-60):$E226),"")</f>
        <v>754356537</v>
      </c>
      <c r="O226" s="53" t="n">
        <f aca="false">IF(OR(NOT(ISNUMBER($C226)),NOT(ISNUMBER($M226)),$M226=0),"",$C226/$M226-1)</f>
        <v>-0.0643442189555508</v>
      </c>
      <c r="P226" s="54"/>
      <c r="Q226" s="53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881648943</v>
      </c>
      <c r="D227" s="49" t="n">
        <v>883810856</v>
      </c>
      <c r="E227" s="49" t="n">
        <v>879615398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-0.00704952099719769</v>
      </c>
      <c r="I227" s="52" t="n">
        <f aca="false">IF(AND(ISNUMBER($G227),$G227&gt;=MA_SHORT),AVERAGE(INDEX($C$5:$C227,224-MA_SHORT):$C227),"")</f>
        <v>912607658.3</v>
      </c>
      <c r="J227" s="52" t="n">
        <f aca="false">IF(AND(ISNUMBER($G227),$G227&gt;=MA_MED),AVERAGE(INDEX($C$5:$C227,224-MA_MED):$C227),"")</f>
        <v>880404849.98</v>
      </c>
      <c r="K227" s="52" t="n">
        <f aca="false">IF(AND(ISNUMBER($G227),$G227&gt;=MA_LONG2),AVERAGE(INDEX($C$5:$C227,224-MA_LONG2):$C227),"")</f>
        <v>770725555.405</v>
      </c>
      <c r="L227" s="53" t="n">
        <f aca="false">IF(AND(ISNUMBER($G227),$G227&gt;=21),STDEV(INDEX($H$167:$H227,62-20):$H227)*SQRT(245),"")</f>
        <v>0.241463498711882</v>
      </c>
      <c r="M227" s="52" t="n">
        <f aca="false">IF(AND(ISNUMBER($G227),$G227&gt;=60),MAX(INDEX($D$27:$D227,202-60):$D227),"")</f>
        <v>948968936</v>
      </c>
      <c r="N227" s="52" t="n">
        <f aca="false">IF(AND(ISNUMBER($G227),$G227&gt;=60),MIN(INDEX($E$27:$E227,202-60):$E227),"")</f>
        <v>754356537</v>
      </c>
      <c r="O227" s="53" t="n">
        <f aca="false">IF(OR(NOT(ISNUMBER($C227)),NOT(ISNUMBER($M227)),$M227=0),"",$C227/$M227-1)</f>
        <v>-0.070940144030173</v>
      </c>
      <c r="P227" s="54"/>
      <c r="Q227" s="53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861272625</v>
      </c>
      <c r="D228" s="49" t="n">
        <v>863367223</v>
      </c>
      <c r="E228" s="49" t="n">
        <v>858894281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-0.0231116003277508</v>
      </c>
      <c r="I228" s="52" t="n">
        <f aca="false">IF(AND(ISNUMBER($G228),$G228&gt;=MA_SHORT),AVERAGE(INDEX($C$5:$C228,225-MA_SHORT):$C228),"")</f>
        <v>909695982.15</v>
      </c>
      <c r="J228" s="52" t="n">
        <f aca="false">IF(AND(ISNUMBER($G228),$G228&gt;=MA_MED),AVERAGE(INDEX($C$5:$C228,225-MA_MED):$C228),"")</f>
        <v>881345963.96</v>
      </c>
      <c r="K228" s="52" t="n">
        <f aca="false">IF(AND(ISNUMBER($G228),$G228&gt;=MA_LONG2),AVERAGE(INDEX($C$5:$C228,225-MA_LONG2):$C228),"")</f>
        <v>771955573.425</v>
      </c>
      <c r="L228" s="53" t="n">
        <f aca="false">IF(AND(ISNUMBER($G228),$G228&gt;=21),STDEV(INDEX($H$168:$H228,62-20):$H228)*SQRT(245),"")</f>
        <v>0.233850094388172</v>
      </c>
      <c r="M228" s="52" t="n">
        <f aca="false">IF(AND(ISNUMBER($G228),$G228&gt;=60),MAX(INDEX($D$28:$D228,202-60):$D228),"")</f>
        <v>948968936</v>
      </c>
      <c r="N228" s="52" t="n">
        <f aca="false">IF(AND(ISNUMBER($G228),$G228&gt;=60),MIN(INDEX($E$28:$E228,202-60):$E228),"")</f>
        <v>754356537</v>
      </c>
      <c r="O228" s="53" t="n">
        <f aca="false">IF(OR(NOT(ISNUMBER($C228)),NOT(ISNUMBER($M228)),$M228=0),"",$C228/$M228-1)</f>
        <v>-0.0924122041019054</v>
      </c>
      <c r="P228" s="54"/>
      <c r="Q228" s="53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871658554</v>
      </c>
      <c r="D229" s="49" t="n">
        <v>872926056</v>
      </c>
      <c r="E229" s="49" t="n">
        <v>867313260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0.012058817032528</v>
      </c>
      <c r="I229" s="52" t="n">
        <f aca="false">IF(AND(ISNUMBER($G229),$G229&gt;=MA_SHORT),AVERAGE(INDEX($C$5:$C229,226-MA_SHORT):$C229),"")</f>
        <v>907704296.15</v>
      </c>
      <c r="J229" s="52" t="n">
        <f aca="false">IF(AND(ISNUMBER($G229),$G229&gt;=MA_MED),AVERAGE(INDEX($C$5:$C229,226-MA_MED):$C229),"")</f>
        <v>882461475.2</v>
      </c>
      <c r="K229" s="52" t="n">
        <f aca="false">IF(AND(ISNUMBER($G229),$G229&gt;=MA_LONG2),AVERAGE(INDEX($C$5:$C229,226-MA_LONG2):$C229),"")</f>
        <v>773224448.565</v>
      </c>
      <c r="L229" s="53" t="n">
        <f aca="false">IF(AND(ISNUMBER($G229),$G229&gt;=21),STDEV(INDEX($H$169:$H229,62-20):$H229)*SQRT(245),"")</f>
        <v>0.238738559646611</v>
      </c>
      <c r="M229" s="52" t="n">
        <f aca="false">IF(AND(ISNUMBER($G229),$G229&gt;=60),MAX(INDEX($D$29:$D229,202-60):$D229),"")</f>
        <v>948968936</v>
      </c>
      <c r="N229" s="52" t="n">
        <f aca="false">IF(AND(ISNUMBER($G229),$G229&gt;=60),MIN(INDEX($E$29:$E229,202-60):$E229),"")</f>
        <v>754356537</v>
      </c>
      <c r="O229" s="53" t="n">
        <f aca="false">IF(OR(NOT(ISNUMBER($C229)),NOT(ISNUMBER($M229)),$M229=0),"",$C229/$M229-1)</f>
        <v>-0.081467768930215</v>
      </c>
      <c r="P229" s="54"/>
      <c r="Q229" s="53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856989381</v>
      </c>
      <c r="D230" s="49" t="n">
        <v>858064554</v>
      </c>
      <c r="E230" s="49" t="n">
        <v>851090305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-0.0168290357877908</v>
      </c>
      <c r="I230" s="52" t="n">
        <f aca="false">IF(AND(ISNUMBER($G230),$G230&gt;=MA_SHORT),AVERAGE(INDEX($C$5:$C230,227-MA_SHORT):$C230),"")</f>
        <v>906304650.55</v>
      </c>
      <c r="J230" s="52" t="n">
        <f aca="false">IF(AND(ISNUMBER($G230),$G230&gt;=MA_MED),AVERAGE(INDEX($C$5:$C230,227-MA_MED):$C230),"")</f>
        <v>883291508.36</v>
      </c>
      <c r="K230" s="52" t="n">
        <f aca="false">IF(AND(ISNUMBER($G230),$G230&gt;=MA_LONG2),AVERAGE(INDEX($C$5:$C230,227-MA_LONG2):$C230),"")</f>
        <v>774342239.875</v>
      </c>
      <c r="L230" s="53" t="n">
        <f aca="false">IF(AND(ISNUMBER($G230),$G230&gt;=21),STDEV(INDEX($H$170:$H230,62-20):$H230)*SQRT(245),"")</f>
        <v>0.224308107934951</v>
      </c>
      <c r="M230" s="52" t="n">
        <f aca="false">IF(AND(ISNUMBER($G230),$G230&gt;=60),MAX(INDEX($D$30:$D230,202-60):$D230),"")</f>
        <v>948968936</v>
      </c>
      <c r="N230" s="52" t="n">
        <f aca="false">IF(AND(ISNUMBER($G230),$G230&gt;=60),MIN(INDEX($E$30:$E230,202-60):$E230),"")</f>
        <v>754356537</v>
      </c>
      <c r="O230" s="53" t="n">
        <f aca="false">IF(OR(NOT(ISNUMBER($C230)),NOT(ISNUMBER($M230)),$M230=0),"",$C230/$M230-1)</f>
        <v>-0.0969257807191278</v>
      </c>
      <c r="P230" s="54"/>
      <c r="Q230" s="53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867922425</v>
      </c>
      <c r="D231" s="49" t="n">
        <v>867994696</v>
      </c>
      <c r="E231" s="49" t="n">
        <v>866327127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0.0127575023009532</v>
      </c>
      <c r="I231" s="52" t="n">
        <f aca="false">IF(AND(ISNUMBER($G231),$G231&gt;=MA_SHORT),AVERAGE(INDEX($C$5:$C231,228-MA_SHORT):$C231),"")</f>
        <v>904899387.45</v>
      </c>
      <c r="J231" s="52" t="n">
        <f aca="false">IF(AND(ISNUMBER($G231),$G231&gt;=MA_MED),AVERAGE(INDEX($C$5:$C231,228-MA_MED):$C231),"")</f>
        <v>884230126.4</v>
      </c>
      <c r="K231" s="52" t="n">
        <f aca="false">IF(AND(ISNUMBER($G231),$G231&gt;=MA_LONG2),AVERAGE(INDEX($C$5:$C231,228-MA_LONG2):$C231),"")</f>
        <v>775518541.03</v>
      </c>
      <c r="L231" s="53" t="n">
        <f aca="false">IF(AND(ISNUMBER($G231),$G231&gt;=21),STDEV(INDEX($H$171:$H231,62-20):$H231)*SQRT(245),"")</f>
        <v>0.224532509453894</v>
      </c>
      <c r="M231" s="52" t="n">
        <f aca="false">IF(AND(ISNUMBER($G231),$G231&gt;=60),MAX(INDEX($D$31:$D231,202-60):$D231),"")</f>
        <v>948968936</v>
      </c>
      <c r="N231" s="52" t="n">
        <f aca="false">IF(AND(ISNUMBER($G231),$G231&gt;=60),MIN(INDEX($E$31:$E231,202-60):$E231),"")</f>
        <v>756406675</v>
      </c>
      <c r="O231" s="53" t="n">
        <f aca="false">IF(OR(NOT(ISNUMBER($C231)),NOT(ISNUMBER($M231)),$M231=0),"",$C231/$M231-1)</f>
        <v>-0.0854048092887205</v>
      </c>
      <c r="P231" s="54"/>
      <c r="Q231" s="53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877713710</v>
      </c>
      <c r="D232" s="49" t="n">
        <v>877896320</v>
      </c>
      <c r="E232" s="49" t="n">
        <v>876939551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0.0112812904909099</v>
      </c>
      <c r="I232" s="52" t="n">
        <f aca="false">IF(AND(ISNUMBER($G232),$G232&gt;=MA_SHORT),AVERAGE(INDEX($C$5:$C232,229-MA_SHORT):$C232),"")</f>
        <v>902850697.3</v>
      </c>
      <c r="J232" s="52" t="n">
        <f aca="false">IF(AND(ISNUMBER($G232),$G232&gt;=MA_MED),AVERAGE(INDEX($C$5:$C232,229-MA_MED):$C232),"")</f>
        <v>885371455.02</v>
      </c>
      <c r="K232" s="52" t="n">
        <f aca="false">IF(AND(ISNUMBER($G232),$G232&gt;=MA_LONG2),AVERAGE(INDEX($C$5:$C232,229-MA_LONG2):$C232),"")</f>
        <v>776710731.68</v>
      </c>
      <c r="L232" s="53" t="n">
        <f aca="false">IF(AND(ISNUMBER($G232),$G232&gt;=21),STDEV(INDEX($H$172:$H232,62-20):$H232)*SQRT(245),"")</f>
        <v>0.20770842016529</v>
      </c>
      <c r="M232" s="52" t="n">
        <f aca="false">IF(AND(ISNUMBER($G232),$G232&gt;=60),MAX(INDEX($D$32:$D232,202-60):$D232),"")</f>
        <v>948968936</v>
      </c>
      <c r="N232" s="52" t="n">
        <f aca="false">IF(AND(ISNUMBER($G232),$G232&gt;=60),MIN(INDEX($E$32:$E232,202-60):$E232),"")</f>
        <v>774391429</v>
      </c>
      <c r="O232" s="53" t="n">
        <f aca="false">IF(OR(NOT(ISNUMBER($C232)),NOT(ISNUMBER($M232)),$M232=0),"",$C232/$M232-1)</f>
        <v>-0.0750869952607174</v>
      </c>
      <c r="P232" s="54"/>
      <c r="Q232" s="53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880811775</v>
      </c>
      <c r="D233" s="49" t="n">
        <v>882866719</v>
      </c>
      <c r="E233" s="49" t="n">
        <v>876798739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0.00352969876703879</v>
      </c>
      <c r="I233" s="52" t="n">
        <f aca="false">IF(AND(ISNUMBER($G233),$G233&gt;=MA_SHORT),AVERAGE(INDEX($C$5:$C233,230-MA_SHORT):$C233),"")</f>
        <v>901250727.5</v>
      </c>
      <c r="J233" s="52" t="n">
        <f aca="false">IF(AND(ISNUMBER($G233),$G233&gt;=MA_MED),AVERAGE(INDEX($C$5:$C233,230-MA_MED):$C233),"")</f>
        <v>886441513.5</v>
      </c>
      <c r="K233" s="52" t="n">
        <f aca="false">IF(AND(ISNUMBER($G233),$G233&gt;=MA_LONG2),AVERAGE(INDEX($C$5:$C233,230-MA_LONG2):$C233),"")</f>
        <v>777940900.19</v>
      </c>
      <c r="L233" s="53" t="n">
        <f aca="false">IF(AND(ISNUMBER($G233),$G233&gt;=21),STDEV(INDEX($H$173:$H233,62-20):$H233)*SQRT(245),"")</f>
        <v>0.208024498475565</v>
      </c>
      <c r="M233" s="52" t="n">
        <f aca="false">IF(AND(ISNUMBER($G233),$G233&gt;=60),MAX(INDEX($D$33:$D233,202-60):$D233),"")</f>
        <v>948968936</v>
      </c>
      <c r="N233" s="52" t="n">
        <f aca="false">IF(AND(ISNUMBER($G233),$G233&gt;=60),MIN(INDEX($E$33:$E233,202-60):$E233),"")</f>
        <v>777056244</v>
      </c>
      <c r="O233" s="53" t="n">
        <f aca="false">IF(OR(NOT(ISNUMBER($C233)),NOT(ISNUMBER($M233)),$M233=0),"",$C233/$M233-1)</f>
        <v>-0.0718223309682711</v>
      </c>
      <c r="P233" s="54"/>
      <c r="Q233" s="53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875144237</v>
      </c>
      <c r="D234" s="49" t="n">
        <v>879113211</v>
      </c>
      <c r="E234" s="49" t="n">
        <v>869644319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-0.00643444849496933</v>
      </c>
      <c r="I234" s="52" t="n">
        <f aca="false">IF(AND(ISNUMBER($G234),$G234&gt;=MA_SHORT),AVERAGE(INDEX($C$5:$C234,231-MA_SHORT):$C234),"")</f>
        <v>898277313.65</v>
      </c>
      <c r="J234" s="52" t="n">
        <f aca="false">IF(AND(ISNUMBER($G234),$G234&gt;=MA_MED),AVERAGE(INDEX($C$5:$C234,231-MA_MED):$C234),"")</f>
        <v>887567457.24</v>
      </c>
      <c r="K234" s="52" t="n">
        <f aca="false">IF(AND(ISNUMBER($G234),$G234&gt;=MA_LONG2),AVERAGE(INDEX($C$5:$C234,231-MA_LONG2):$C234),"")</f>
        <v>779201692.09</v>
      </c>
      <c r="L234" s="53" t="n">
        <f aca="false">IF(AND(ISNUMBER($G234),$G234&gt;=21),STDEV(INDEX($H$174:$H234,62-20):$H234)*SQRT(245),"")</f>
        <v>0.185827256996633</v>
      </c>
      <c r="M234" s="52" t="n">
        <f aca="false">IF(AND(ISNUMBER($G234),$G234&gt;=60),MAX(INDEX($D$34:$D234,202-60):$D234),"")</f>
        <v>948968936</v>
      </c>
      <c r="N234" s="52" t="n">
        <f aca="false">IF(AND(ISNUMBER($G234),$G234&gt;=60),MIN(INDEX($E$34:$E234,202-60):$E234),"")</f>
        <v>787068625</v>
      </c>
      <c r="O234" s="53" t="n">
        <f aca="false">IF(OR(NOT(ISNUMBER($C234)),NOT(ISNUMBER($M234)),$M234=0),"",$C234/$M234-1)</f>
        <v>-0.0777946423738364</v>
      </c>
      <c r="P234" s="54"/>
      <c r="Q234" s="53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870936086</v>
      </c>
      <c r="D235" s="49" t="n">
        <v>872402687</v>
      </c>
      <c r="E235" s="49" t="n">
        <v>870828686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-0.00480852278068533</v>
      </c>
      <c r="I235" s="52" t="n">
        <f aca="false">IF(AND(ISNUMBER($G235),$G235&gt;=MA_SHORT),AVERAGE(INDEX($C$5:$C235,232-MA_SHORT):$C235),"")</f>
        <v>894745652.75</v>
      </c>
      <c r="J235" s="52" t="n">
        <f aca="false">IF(AND(ISNUMBER($G235),$G235&gt;=MA_MED),AVERAGE(INDEX($C$5:$C235,232-MA_MED):$C235),"")</f>
        <v>888414039.56</v>
      </c>
      <c r="K235" s="52" t="n">
        <f aca="false">IF(AND(ISNUMBER($G235),$G235&gt;=MA_LONG2),AVERAGE(INDEX($C$5:$C235,232-MA_LONG2):$C235),"")</f>
        <v>780386108.365</v>
      </c>
      <c r="L235" s="53" t="n">
        <f aca="false">IF(AND(ISNUMBER($G235),$G235&gt;=21),STDEV(INDEX($H$175:$H235,62-20):$H235)*SQRT(245),"")</f>
        <v>0.181667319292977</v>
      </c>
      <c r="M235" s="52" t="n">
        <f aca="false">IF(AND(ISNUMBER($G235),$G235&gt;=60),MAX(INDEX($D$35:$D235,202-60):$D235),"")</f>
        <v>948968936</v>
      </c>
      <c r="N235" s="52" t="n">
        <f aca="false">IF(AND(ISNUMBER($G235),$G235&gt;=60),MIN(INDEX($E$35:$E235,202-60):$E235),"")</f>
        <v>803951420</v>
      </c>
      <c r="O235" s="53" t="n">
        <f aca="false">IF(OR(NOT(ISNUMBER($C235)),NOT(ISNUMBER($M235)),$M235=0),"",$C235/$M235-1)</f>
        <v>-0.0822290878444518</v>
      </c>
      <c r="P235" s="54"/>
      <c r="Q235" s="53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866603231</v>
      </c>
      <c r="D236" s="49" t="n">
        <v>869285166</v>
      </c>
      <c r="E236" s="49" t="n">
        <v>865311699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-0.00497494026214917</v>
      </c>
      <c r="I236" s="52" t="n">
        <f aca="false">IF(AND(ISNUMBER($G236),$G236&gt;=MA_SHORT),AVERAGE(INDEX($C$5:$C236,233-MA_SHORT):$C236),"")</f>
        <v>891661445.7</v>
      </c>
      <c r="J236" s="52" t="n">
        <f aca="false">IF(AND(ISNUMBER($G236),$G236&gt;=MA_MED),AVERAGE(INDEX($C$5:$C236,233-MA_MED):$C236),"")</f>
        <v>888725492.96</v>
      </c>
      <c r="K236" s="52" t="n">
        <f aca="false">IF(AND(ISNUMBER($G236),$G236&gt;=MA_LONG2),AVERAGE(INDEX($C$5:$C236,233-MA_LONG2):$C236),"")</f>
        <v>781578088.67</v>
      </c>
      <c r="L236" s="53" t="n">
        <f aca="false">IF(AND(ISNUMBER($G236),$G236&gt;=21),STDEV(INDEX($H$176:$H236,62-20):$H236)*SQRT(245),"")</f>
        <v>0.177774541830175</v>
      </c>
      <c r="M236" s="52" t="n">
        <f aca="false">IF(AND(ISNUMBER($G236),$G236&gt;=60),MAX(INDEX($D$36:$D236,202-60):$D236),"")</f>
        <v>948968936</v>
      </c>
      <c r="N236" s="52" t="n">
        <f aca="false">IF(AND(ISNUMBER($G236),$G236&gt;=60),MIN(INDEX($E$36:$E236,202-60):$E236),"")</f>
        <v>807217796</v>
      </c>
      <c r="O236" s="53" t="n">
        <f aca="false">IF(OR(NOT(ISNUMBER($C236)),NOT(ISNUMBER($M236)),$M236=0),"",$C236/$M236-1)</f>
        <v>-0.0867949433067639</v>
      </c>
      <c r="P236" s="54"/>
      <c r="Q236" s="53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867246345</v>
      </c>
      <c r="D237" s="49" t="n">
        <v>869669894</v>
      </c>
      <c r="E237" s="49" t="n">
        <v>862365954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0.000742108934048025</v>
      </c>
      <c r="I237" s="52" t="n">
        <f aca="false">IF(AND(ISNUMBER($G237),$G237&gt;=MA_SHORT),AVERAGE(INDEX($C$5:$C237,234-MA_SHORT):$C237),"")</f>
        <v>888784688.8</v>
      </c>
      <c r="J237" s="52" t="n">
        <f aca="false">IF(AND(ISNUMBER($G237),$G237&gt;=MA_MED),AVERAGE(INDEX($C$5:$C237,234-MA_MED):$C237),"")</f>
        <v>888780578.72</v>
      </c>
      <c r="K237" s="52" t="n">
        <f aca="false">IF(AND(ISNUMBER($G237),$G237&gt;=MA_LONG2),AVERAGE(INDEX($C$5:$C237,234-MA_LONG2):$C237),"")</f>
        <v>782753151.09</v>
      </c>
      <c r="L237" s="53" t="n">
        <f aca="false">IF(AND(ISNUMBER($G237),$G237&gt;=21),STDEV(INDEX($H$177:$H237,62-20):$H237)*SQRT(245),"")</f>
        <v>0.178344018679334</v>
      </c>
      <c r="M237" s="52" t="n">
        <f aca="false">IF(AND(ISNUMBER($G237),$G237&gt;=60),MAX(INDEX($D$37:$D237,202-60):$D237),"")</f>
        <v>948968936</v>
      </c>
      <c r="N237" s="52" t="n">
        <f aca="false">IF(AND(ISNUMBER($G237),$G237&gt;=60),MIN(INDEX($E$37:$E237,202-60):$E237),"")</f>
        <v>809774981</v>
      </c>
      <c r="O237" s="53" t="n">
        <f aca="false">IF(OR(NOT(ISNUMBER($C237)),NOT(ISNUMBER($M237)),$M237=0),"",$C237/$M237-1)</f>
        <v>-0.0861172456755739</v>
      </c>
      <c r="P237" s="54"/>
      <c r="Q237" s="53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880152253</v>
      </c>
      <c r="D238" s="49" t="n">
        <v>883721782</v>
      </c>
      <c r="E238" s="49" t="n">
        <v>875543968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0.0148814786875811</v>
      </c>
      <c r="I238" s="52" t="n">
        <f aca="false">IF(AND(ISNUMBER($G238),$G238&gt;=MA_SHORT),AVERAGE(INDEX($C$5:$C238,235-MA_SHORT):$C238),"")</f>
        <v>886679766.9</v>
      </c>
      <c r="J238" s="52" t="n">
        <f aca="false">IF(AND(ISNUMBER($G238),$G238&gt;=MA_MED),AVERAGE(INDEX($C$5:$C238,235-MA_MED):$C238),"")</f>
        <v>889321613.22</v>
      </c>
      <c r="K238" s="52" t="n">
        <f aca="false">IF(AND(ISNUMBER($G238),$G238&gt;=MA_LONG2),AVERAGE(INDEX($C$5:$C238,235-MA_LONG2):$C238),"")</f>
        <v>783958526.69</v>
      </c>
      <c r="L238" s="53" t="n">
        <f aca="false">IF(AND(ISNUMBER($G238),$G238&gt;=21),STDEV(INDEX($H$178:$H238,62-20):$H238)*SQRT(245),"")</f>
        <v>0.18919382594075</v>
      </c>
      <c r="M238" s="52" t="n">
        <f aca="false">IF(AND(ISNUMBER($G238),$G238&gt;=60),MAX(INDEX($D$38:$D238,202-60):$D238),"")</f>
        <v>948968936</v>
      </c>
      <c r="N238" s="52" t="n">
        <f aca="false">IF(AND(ISNUMBER($G238),$G238&gt;=60),MIN(INDEX($E$38:$E238,202-60):$E238),"")</f>
        <v>812392879</v>
      </c>
      <c r="O238" s="53" t="n">
        <f aca="false">IF(OR(NOT(ISNUMBER($C238)),NOT(ISNUMBER($M238)),$M238=0),"",$C238/$M238-1)</f>
        <v>-0.0725173189441472</v>
      </c>
      <c r="P238" s="54"/>
      <c r="Q238" s="53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879835085</v>
      </c>
      <c r="D239" s="49" t="n">
        <v>882445721</v>
      </c>
      <c r="E239" s="49" t="n">
        <v>878538453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-0.000360355834935322</v>
      </c>
      <c r="I239" s="52" t="n">
        <f aca="false">IF(AND(ISNUMBER($G239),$G239&gt;=MA_SHORT),AVERAGE(INDEX($C$5:$C239,236-MA_SHORT):$C239),"")</f>
        <v>884605338.6</v>
      </c>
      <c r="J239" s="52" t="n">
        <f aca="false">IF(AND(ISNUMBER($G239),$G239&gt;=MA_MED),AVERAGE(INDEX($C$5:$C239,236-MA_MED):$C239),"")</f>
        <v>889760039.3</v>
      </c>
      <c r="K239" s="52" t="n">
        <f aca="false">IF(AND(ISNUMBER($G239),$G239&gt;=MA_LONG2),AVERAGE(INDEX($C$5:$C239,236-MA_LONG2):$C239),"")</f>
        <v>785152371.825</v>
      </c>
      <c r="L239" s="53" t="n">
        <f aca="false">IF(AND(ISNUMBER($G239),$G239&gt;=21),STDEV(INDEX($H$179:$H239,62-20):$H239)*SQRT(245),"")</f>
        <v>0.18926258355834</v>
      </c>
      <c r="M239" s="52" t="n">
        <f aca="false">IF(AND(ISNUMBER($G239),$G239&gt;=60),MAX(INDEX($D$39:$D239,202-60):$D239),"")</f>
        <v>948968936</v>
      </c>
      <c r="N239" s="52" t="n">
        <f aca="false">IF(AND(ISNUMBER($G239),$G239&gt;=60),MIN(INDEX($E$39:$E239,202-60):$E239),"")</f>
        <v>812392879</v>
      </c>
      <c r="O239" s="53" t="n">
        <f aca="false">IF(OR(NOT(ISNUMBER($C239)),NOT(ISNUMBER($M239)),$M239=0),"",$C239/$M239-1)</f>
        <v>-0.0728515427400671</v>
      </c>
      <c r="P239" s="54"/>
      <c r="Q239" s="53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889410377</v>
      </c>
      <c r="D240" s="49" t="n">
        <v>896031845</v>
      </c>
      <c r="E240" s="49" t="n">
        <v>886462679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0.0108830531576267</v>
      </c>
      <c r="I240" s="52" t="n">
        <f aca="false">IF(AND(ISNUMBER($G240),$G240&gt;=MA_SHORT),AVERAGE(INDEX($C$5:$C240,237-MA_SHORT):$C240),"")</f>
        <v>882755326.75</v>
      </c>
      <c r="J240" s="52" t="n">
        <f aca="false">IF(AND(ISNUMBER($G240),$G240&gt;=MA_MED),AVERAGE(INDEX($C$5:$C240,237-MA_MED):$C240),"")</f>
        <v>890459428.54</v>
      </c>
      <c r="K240" s="52" t="n">
        <f aca="false">IF(AND(ISNUMBER($G240),$G240&gt;=MA_LONG2),AVERAGE(INDEX($C$5:$C240,237-MA_LONG2):$C240),"")</f>
        <v>786356773.815</v>
      </c>
      <c r="L240" s="53" t="n">
        <f aca="false">IF(AND(ISNUMBER($G240),$G240&gt;=21),STDEV(INDEX($H$180:$H240,62-20):$H240)*SQRT(245),"")</f>
        <v>0.192988340678312</v>
      </c>
      <c r="M240" s="52" t="n">
        <f aca="false">IF(AND(ISNUMBER($G240),$G240&gt;=60),MAX(INDEX($D$40:$D240,202-60):$D240),"")</f>
        <v>948968936</v>
      </c>
      <c r="N240" s="52" t="n">
        <f aca="false">IF(AND(ISNUMBER($G240),$G240&gt;=60),MIN(INDEX($E$40:$E240,202-60):$E240),"")</f>
        <v>816212097</v>
      </c>
      <c r="O240" s="53" t="n">
        <f aca="false">IF(OR(NOT(ISNUMBER($C240)),NOT(ISNUMBER($M240)),$M240=0),"",$C240/$M240-1)</f>
        <v>-0.0627613367946956</v>
      </c>
      <c r="P240" s="54"/>
      <c r="Q240" s="53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895045371</v>
      </c>
      <c r="D241" s="49" t="n">
        <v>895083432</v>
      </c>
      <c r="E241" s="49" t="n">
        <v>887228769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0.00633565128732472</v>
      </c>
      <c r="I241" s="52" t="n">
        <f aca="false">IF(AND(ISNUMBER($G241),$G241&gt;=MA_SHORT),AVERAGE(INDEX($C$5:$C241,238-MA_SHORT):$C241),"")</f>
        <v>882125925</v>
      </c>
      <c r="J241" s="52" t="n">
        <f aca="false">IF(AND(ISNUMBER($G241),$G241&gt;=MA_MED),AVERAGE(INDEX($C$5:$C241,238-MA_MED):$C241),"")</f>
        <v>891151767.02</v>
      </c>
      <c r="K241" s="52" t="n">
        <f aca="false">IF(AND(ISNUMBER($G241),$G241&gt;=MA_LONG2),AVERAGE(INDEX($C$5:$C241,238-MA_LONG2):$C241),"")</f>
        <v>787551726.95</v>
      </c>
      <c r="L241" s="53" t="n">
        <f aca="false">IF(AND(ISNUMBER($G241),$G241&gt;=21),STDEV(INDEX($H$181:$H241,62-20):$H241)*SQRT(245),"")</f>
        <v>0.182634498784054</v>
      </c>
      <c r="M241" s="52" t="n">
        <f aca="false">IF(AND(ISNUMBER($G241),$G241&gt;=60),MAX(INDEX($D$41:$D241,202-60):$D241),"")</f>
        <v>948968936</v>
      </c>
      <c r="N241" s="52" t="n">
        <f aca="false">IF(AND(ISNUMBER($G241),$G241&gt;=60),MIN(INDEX($E$41:$E241,202-60):$E241),"")</f>
        <v>816212097</v>
      </c>
      <c r="O241" s="53" t="n">
        <f aca="false">IF(OR(NOT(ISNUMBER($C241)),NOT(ISNUMBER($M241)),$M241=0),"",$C241/$M241-1)</f>
        <v>-0.0568233194516286</v>
      </c>
      <c r="P241" s="54"/>
      <c r="Q241" s="53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890101478</v>
      </c>
      <c r="D242" s="49" t="n">
        <v>895407598</v>
      </c>
      <c r="E242" s="49" t="n">
        <v>888771692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-0.0055236227795652</v>
      </c>
      <c r="I242" s="52" t="n">
        <f aca="false">IF(AND(ISNUMBER($G242),$G242&gt;=MA_SHORT),AVERAGE(INDEX($C$5:$C242,239-MA_SHORT):$C242),"")</f>
        <v>880956487.45</v>
      </c>
      <c r="J242" s="52" t="n">
        <f aca="false">IF(AND(ISNUMBER($G242),$G242&gt;=MA_MED),AVERAGE(INDEX($C$5:$C242,239-MA_MED):$C242),"")</f>
        <v>892009937.96</v>
      </c>
      <c r="K242" s="52" t="n">
        <f aca="false">IF(AND(ISNUMBER($G242),$G242&gt;=MA_LONG2),AVERAGE(INDEX($C$5:$C242,239-MA_LONG2):$C242),"")</f>
        <v>788791324.405</v>
      </c>
      <c r="L242" s="53" t="n">
        <f aca="false">IF(AND(ISNUMBER($G242),$G242&gt;=21),STDEV(INDEX($H$182:$H242,62-20):$H242)*SQRT(245),"")</f>
        <v>0.181449265045611</v>
      </c>
      <c r="M242" s="52" t="n">
        <f aca="false">IF(AND(ISNUMBER($G242),$G242&gt;=60),MAX(INDEX($D$42:$D242,202-60):$D242),"")</f>
        <v>948968936</v>
      </c>
      <c r="N242" s="52" t="n">
        <f aca="false">IF(AND(ISNUMBER($G242),$G242&gt;=60),MIN(INDEX($E$42:$E242,202-60):$E242),"")</f>
        <v>818228489</v>
      </c>
      <c r="O242" s="53" t="n">
        <f aca="false">IF(OR(NOT(ISNUMBER($C242)),NOT(ISNUMBER($M242)),$M242=0),"",$C242/$M242-1)</f>
        <v>-0.0620330716494602</v>
      </c>
      <c r="P242" s="54"/>
      <c r="Q242" s="53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892503217</v>
      </c>
      <c r="D243" s="49" t="n">
        <v>894745735</v>
      </c>
      <c r="E243" s="49" t="n">
        <v>884963721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0.00269827548808999</v>
      </c>
      <c r="I243" s="52" t="n">
        <f aca="false">IF(AND(ISNUMBER($G243),$G243&gt;=MA_SHORT),AVERAGE(INDEX($C$5:$C243,240-MA_SHORT):$C243),"")</f>
        <v>880049116.45</v>
      </c>
      <c r="J243" s="52" t="n">
        <f aca="false">IF(AND(ISNUMBER($G243),$G243&gt;=MA_MED),AVERAGE(INDEX($C$5:$C243,240-MA_MED):$C243),"")</f>
        <v>892729732.92</v>
      </c>
      <c r="K243" s="52" t="n">
        <f aca="false">IF(AND(ISNUMBER($G243),$G243&gt;=MA_LONG2),AVERAGE(INDEX($C$5:$C243,240-MA_LONG2):$C243),"")</f>
        <v>790041508.185</v>
      </c>
      <c r="L243" s="53" t="n">
        <f aca="false">IF(AND(ISNUMBER($G243),$G243&gt;=21),STDEV(INDEX($H$183:$H243,62-20):$H243)*SQRT(245),"")</f>
        <v>0.181812715897003</v>
      </c>
      <c r="M243" s="52" t="n">
        <f aca="false">IF(AND(ISNUMBER($G243),$G243&gt;=60),MAX(INDEX($D$43:$D243,202-60):$D243),"")</f>
        <v>948968936</v>
      </c>
      <c r="N243" s="52" t="n">
        <f aca="false">IF(AND(ISNUMBER($G243),$G243&gt;=60),MIN(INDEX($E$43:$E243,202-60):$E243),"")</f>
        <v>818228489</v>
      </c>
      <c r="O243" s="53" t="n">
        <f aca="false">IF(OR(NOT(ISNUMBER($C243)),NOT(ISNUMBER($M243)),$M243=0),"",$C243/$M243-1)</f>
        <v>-0.059502178478053</v>
      </c>
      <c r="P243" s="54"/>
      <c r="Q243" s="53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871472367</v>
      </c>
      <c r="D244" s="49" t="n">
        <v>877081760</v>
      </c>
      <c r="E244" s="49" t="n">
        <v>866229326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-0.0235638926554144</v>
      </c>
      <c r="I244" s="52" t="n">
        <f aca="false">IF(AND(ISNUMBER($G244),$G244&gt;=MA_SHORT),AVERAGE(INDEX($C$5:$C244,241-MA_SHORT):$C244),"")</f>
        <v>878643208.45</v>
      </c>
      <c r="J244" s="52" t="n">
        <f aca="false">IF(AND(ISNUMBER($G244),$G244&gt;=MA_MED),AVERAGE(INDEX($C$5:$C244,241-MA_MED):$C244),"")</f>
        <v>892907273.16</v>
      </c>
      <c r="K244" s="52" t="n">
        <f aca="false">IF(AND(ISNUMBER($G244),$G244&gt;=MA_LONG2),AVERAGE(INDEX($C$5:$C244,241-MA_LONG2):$C244),"")</f>
        <v>791194460.025</v>
      </c>
      <c r="L244" s="53" t="n">
        <f aca="false">IF(AND(ISNUMBER($G244),$G244&gt;=21),STDEV(INDEX($H$184:$H244,62-20):$H244)*SQRT(245),"")</f>
        <v>0.19481360695189</v>
      </c>
      <c r="M244" s="52" t="n">
        <f aca="false">IF(AND(ISNUMBER($G244),$G244&gt;=60),MAX(INDEX($D$44:$D244,202-60):$D244),"")</f>
        <v>948968936</v>
      </c>
      <c r="N244" s="52" t="n">
        <f aca="false">IF(AND(ISNUMBER($G244),$G244&gt;=60),MIN(INDEX($E$44:$E244,202-60):$E244),"")</f>
        <v>825562927</v>
      </c>
      <c r="O244" s="53" t="n">
        <f aca="false">IF(OR(NOT(ISNUMBER($C244)),NOT(ISNUMBER($M244)),$M244=0),"",$C244/$M244-1)</f>
        <v>-0.0816639681870471</v>
      </c>
      <c r="P244" s="54"/>
      <c r="Q244" s="53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887715314</v>
      </c>
      <c r="D245" s="49" t="n">
        <v>890569895</v>
      </c>
      <c r="E245" s="49" t="n">
        <v>879964827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0.0186385106574469</v>
      </c>
      <c r="I245" s="52" t="n">
        <f aca="false">IF(AND(ISNUMBER($G245),$G245&gt;=MA_SHORT),AVERAGE(INDEX($C$5:$C245,242-MA_SHORT):$C245),"")</f>
        <v>877604552.25</v>
      </c>
      <c r="J245" s="52" t="n">
        <f aca="false">IF(AND(ISNUMBER($G245),$G245&gt;=MA_MED),AVERAGE(INDEX($C$5:$C245,242-MA_MED):$C245),"")</f>
        <v>893280324.64</v>
      </c>
      <c r="K245" s="52" t="n">
        <f aca="false">IF(AND(ISNUMBER($G245),$G245&gt;=MA_LONG2),AVERAGE(INDEX($C$5:$C245,242-MA_LONG2):$C245),"")</f>
        <v>792386676.525</v>
      </c>
      <c r="L245" s="53" t="n">
        <f aca="false">IF(AND(ISNUMBER($G245),$G245&gt;=21),STDEV(INDEX($H$185:$H245,62-20):$H245)*SQRT(245),"")</f>
        <v>0.203622786479463</v>
      </c>
      <c r="M245" s="52" t="n">
        <f aca="false">IF(AND(ISNUMBER($G245),$G245&gt;=60),MAX(INDEX($D$45:$D245,202-60):$D245),"")</f>
        <v>948968936</v>
      </c>
      <c r="N245" s="52" t="n">
        <f aca="false">IF(AND(ISNUMBER($G245),$G245&gt;=60),MIN(INDEX($E$45:$E245,202-60):$E245),"")</f>
        <v>843289971</v>
      </c>
      <c r="O245" s="53" t="n">
        <f aca="false">IF(OR(NOT(ISNUMBER($C245)),NOT(ISNUMBER($M245)),$M245=0),"",$C245/$M245-1)</f>
        <v>-0.064547552270984</v>
      </c>
      <c r="P245" s="54"/>
      <c r="Q245" s="53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890652639</v>
      </c>
      <c r="D246" s="49" t="n">
        <v>892894521</v>
      </c>
      <c r="E246" s="49" t="n">
        <v>886757079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0.00330885921835078</v>
      </c>
      <c r="I246" s="52" t="n">
        <f aca="false">IF(AND(ISNUMBER($G246),$G246&gt;=MA_SHORT),AVERAGE(INDEX($C$5:$C246,243-MA_SHORT):$C246),"")</f>
        <v>877741770.65</v>
      </c>
      <c r="J246" s="52" t="n">
        <f aca="false">IF(AND(ISNUMBER($G246),$G246&gt;=MA_MED),AVERAGE(INDEX($C$5:$C246,243-MA_MED):$C246),"")</f>
        <v>893480966.58</v>
      </c>
      <c r="K246" s="52" t="n">
        <f aca="false">IF(AND(ISNUMBER($G246),$G246&gt;=MA_LONG2),AVERAGE(INDEX($C$5:$C246,243-MA_LONG2):$C246),"")</f>
        <v>793629456.675</v>
      </c>
      <c r="L246" s="53" t="n">
        <f aca="false">IF(AND(ISNUMBER($G246),$G246&gt;=21),STDEV(INDEX($H$186:$H246,62-20):$H246)*SQRT(245),"")</f>
        <v>0.187807202850225</v>
      </c>
      <c r="M246" s="52" t="n">
        <f aca="false">IF(AND(ISNUMBER($G246),$G246&gt;=60),MAX(INDEX($D$46:$D246,202-60):$D246),"")</f>
        <v>948968936</v>
      </c>
      <c r="N246" s="52" t="n">
        <f aca="false">IF(AND(ISNUMBER($G246),$G246&gt;=60),MIN(INDEX($E$46:$E246,202-60):$E246),"")</f>
        <v>843289971</v>
      </c>
      <c r="O246" s="53" t="n">
        <f aca="false">IF(OR(NOT(ISNUMBER($C246)),NOT(ISNUMBER($M246)),$M246=0),"",$C246/$M246-1)</f>
        <v>-0.061452271815987</v>
      </c>
      <c r="P246" s="54"/>
      <c r="Q246" s="53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906646997</v>
      </c>
      <c r="D247" s="49" t="n">
        <v>911149466</v>
      </c>
      <c r="E247" s="49" t="n">
        <v>906490528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0.0179580201075449</v>
      </c>
      <c r="I247" s="52" t="n">
        <f aca="false">IF(AND(ISNUMBER($G247),$G247&gt;=MA_SHORT),AVERAGE(INDEX($C$5:$C247,244-MA_SHORT):$C247),"")</f>
        <v>878991673.35</v>
      </c>
      <c r="J247" s="52" t="n">
        <f aca="false">IF(AND(ISNUMBER($G247),$G247&gt;=MA_MED),AVERAGE(INDEX($C$5:$C247,244-MA_MED):$C247),"")</f>
        <v>894308080.94</v>
      </c>
      <c r="K247" s="52" t="n">
        <f aca="false">IF(AND(ISNUMBER($G247),$G247&gt;=MA_LONG2),AVERAGE(INDEX($C$5:$C247,244-MA_LONG2):$C247),"")</f>
        <v>794928389.145</v>
      </c>
      <c r="L247" s="53" t="n">
        <f aca="false">IF(AND(ISNUMBER($G247),$G247&gt;=21),STDEV(INDEX($H$187:$H247,62-20):$H247)*SQRT(245),"")</f>
        <v>0.19555602995469</v>
      </c>
      <c r="M247" s="52" t="n">
        <f aca="false">IF(AND(ISNUMBER($G247),$G247&gt;=60),MAX(INDEX($D$47:$D247,202-60):$D247),"")</f>
        <v>948968936</v>
      </c>
      <c r="N247" s="52" t="n">
        <f aca="false">IF(AND(ISNUMBER($G247),$G247&gt;=60),MIN(INDEX($E$47:$E247,202-60):$E247),"")</f>
        <v>843289971</v>
      </c>
      <c r="O247" s="53" t="n">
        <f aca="false">IF(OR(NOT(ISNUMBER($C247)),NOT(ISNUMBER($M247)),$M247=0),"",$C247/$M247-1)</f>
        <v>-0.0445978128413679</v>
      </c>
      <c r="P247" s="54"/>
      <c r="Q247" s="53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904541802</v>
      </c>
      <c r="D248" s="49" t="n">
        <v>905273000</v>
      </c>
      <c r="E248" s="49" t="n">
        <v>902681088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-0.00232195662365386</v>
      </c>
      <c r="I248" s="52" t="n">
        <f aca="false">IF(AND(ISNUMBER($G248),$G248&gt;=MA_SHORT),AVERAGE(INDEX($C$5:$C248,245-MA_SHORT):$C248),"")</f>
        <v>881155132.2</v>
      </c>
      <c r="J248" s="52" t="n">
        <f aca="false">IF(AND(ISNUMBER($G248),$G248&gt;=MA_MED),AVERAGE(INDEX($C$5:$C248,245-MA_MED):$C248),"")</f>
        <v>894921281.86</v>
      </c>
      <c r="K248" s="52" t="n">
        <f aca="false">IF(AND(ISNUMBER($G248),$G248&gt;=MA_LONG2),AVERAGE(INDEX($C$5:$C248,245-MA_LONG2):$C248),"")</f>
        <v>796221118.115</v>
      </c>
      <c r="L248" s="53" t="n">
        <f aca="false">IF(AND(ISNUMBER($G248),$G248&gt;=21),STDEV(INDEX($H$188:$H248,62-20):$H248)*SQRT(245),"")</f>
        <v>0.174228040200389</v>
      </c>
      <c r="M248" s="52" t="n">
        <f aca="false">IF(AND(ISNUMBER($G248),$G248&gt;=60),MAX(INDEX($D$48:$D248,202-60):$D248),"")</f>
        <v>948968936</v>
      </c>
      <c r="N248" s="52" t="n">
        <f aca="false">IF(AND(ISNUMBER($G248),$G248&gt;=60),MIN(INDEX($E$48:$E248,202-60):$E248),"")</f>
        <v>843289971</v>
      </c>
      <c r="O248" s="53" t="n">
        <f aca="false">IF(OR(NOT(ISNUMBER($C248)),NOT(ISNUMBER($M248)),$M248=0),"",$C248/$M248-1)</f>
        <v>-0.0468162152780942</v>
      </c>
      <c r="P248" s="54"/>
      <c r="Q248" s="53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894426288</v>
      </c>
      <c r="D249" s="49" t="n">
        <v>898220155</v>
      </c>
      <c r="E249" s="49" t="n">
        <v>886314825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-0.011183025458452</v>
      </c>
      <c r="I249" s="52" t="n">
        <f aca="false">IF(AND(ISNUMBER($G249),$G249&gt;=MA_SHORT),AVERAGE(INDEX($C$5:$C249,246-MA_SHORT):$C249),"")</f>
        <v>882293518.9</v>
      </c>
      <c r="J249" s="52" t="n">
        <f aca="false">IF(AND(ISNUMBER($G249),$G249&gt;=MA_MED),AVERAGE(INDEX($C$5:$C249,246-MA_MED):$C249),"")</f>
        <v>895519107.48</v>
      </c>
      <c r="K249" s="52" t="n">
        <f aca="false">IF(AND(ISNUMBER($G249),$G249&gt;=MA_LONG2),AVERAGE(INDEX($C$5:$C249,246-MA_LONG2):$C249),"")</f>
        <v>797501562.375</v>
      </c>
      <c r="L249" s="53" t="n">
        <f aca="false">IF(AND(ISNUMBER($G249),$G249&gt;=21),STDEV(INDEX($H$189:$H249,62-20):$H249)*SQRT(245),"")</f>
        <v>0.176779058825983</v>
      </c>
      <c r="M249" s="52" t="n">
        <f aca="false">IF(AND(ISNUMBER($G249),$G249&gt;=60),MAX(INDEX($D$49:$D249,202-60):$D249),"")</f>
        <v>948968936</v>
      </c>
      <c r="N249" s="52" t="n">
        <f aca="false">IF(AND(ISNUMBER($G249),$G249&gt;=60),MIN(INDEX($E$49:$E249,202-60):$E249),"")</f>
        <v>843289971</v>
      </c>
      <c r="O249" s="53" t="n">
        <f aca="false">IF(OR(NOT(ISNUMBER($C249)),NOT(ISNUMBER($M249)),$M249=0),"",$C249/$M249-1)</f>
        <v>-0.0574756938092229</v>
      </c>
      <c r="P249" s="54"/>
      <c r="Q249" s="53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906182045</v>
      </c>
      <c r="D250" s="49" t="n">
        <v>909996816</v>
      </c>
      <c r="E250" s="49" t="n">
        <v>905336020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0.0131433491588073</v>
      </c>
      <c r="I250" s="52" t="n">
        <f aca="false">IF(AND(ISNUMBER($G250),$G250&gt;=MA_SHORT),AVERAGE(INDEX($C$5:$C250,247-MA_SHORT):$C250),"")</f>
        <v>884753152.1</v>
      </c>
      <c r="J250" s="52" t="n">
        <f aca="false">IF(AND(ISNUMBER($G250),$G250&gt;=MA_MED),AVERAGE(INDEX($C$5:$C250,247-MA_MED):$C250),"")</f>
        <v>896087650.86</v>
      </c>
      <c r="K250" s="52" t="n">
        <f aca="false">IF(AND(ISNUMBER($G250),$G250&gt;=MA_LONG2),AVERAGE(INDEX($C$5:$C250,247-MA_LONG2):$C250),"")</f>
        <v>798829720.095</v>
      </c>
      <c r="L250" s="53" t="n">
        <f aca="false">IF(AND(ISNUMBER($G250),$G250&gt;=21),STDEV(INDEX($H$190:$H250,62-20):$H250)*SQRT(245),"")</f>
        <v>0.167937772785432</v>
      </c>
      <c r="M250" s="52" t="n">
        <f aca="false">IF(AND(ISNUMBER($G250),$G250&gt;=60),MAX(INDEX($D$50:$D250,202-60):$D250),"")</f>
        <v>948968936</v>
      </c>
      <c r="N250" s="52" t="n">
        <f aca="false">IF(AND(ISNUMBER($G250),$G250&gt;=60),MIN(INDEX($E$50:$E250,202-60):$E250),"")</f>
        <v>843289971</v>
      </c>
      <c r="O250" s="53" t="n">
        <f aca="false">IF(OR(NOT(ISNUMBER($C250)),NOT(ISNUMBER($M250)),$M250=0),"",$C250/$M250-1)</f>
        <v>-0.0450877677622948</v>
      </c>
      <c r="P250" s="54"/>
      <c r="Q250" s="53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896994519</v>
      </c>
      <c r="D251" s="49" t="n">
        <v>898526771</v>
      </c>
      <c r="E251" s="49" t="n">
        <v>894152739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-0.0101387199743072</v>
      </c>
      <c r="I251" s="52" t="n">
        <f aca="false">IF(AND(ISNUMBER($G251),$G251&gt;=MA_SHORT),AVERAGE(INDEX($C$5:$C251,248-MA_SHORT):$C251),"")</f>
        <v>886206756.8</v>
      </c>
      <c r="J251" s="52" t="n">
        <f aca="false">IF(AND(ISNUMBER($G251),$G251&gt;=MA_MED),AVERAGE(INDEX($C$5:$C251,248-MA_MED):$C251),"")</f>
        <v>896260682.98</v>
      </c>
      <c r="K251" s="52" t="n">
        <f aca="false">IF(AND(ISNUMBER($G251),$G251&gt;=MA_LONG2),AVERAGE(INDEX($C$5:$C251,248-MA_LONG2):$C251),"")</f>
        <v>800136760.885</v>
      </c>
      <c r="L251" s="53" t="n">
        <f aca="false">IF(AND(ISNUMBER($G251),$G251&gt;=21),STDEV(INDEX($H$191:$H251,62-20):$H251)*SQRT(245),"")</f>
        <v>0.169630241544188</v>
      </c>
      <c r="M251" s="52" t="n">
        <f aca="false">IF(AND(ISNUMBER($G251),$G251&gt;=60),MAX(INDEX($D$51:$D251,202-60):$D251),"")</f>
        <v>948968936</v>
      </c>
      <c r="N251" s="52" t="n">
        <f aca="false">IF(AND(ISNUMBER($G251),$G251&gt;=60),MIN(INDEX($E$51:$E251,202-60):$E251),"")</f>
        <v>843289971</v>
      </c>
      <c r="O251" s="53" t="n">
        <f aca="false">IF(OR(NOT(ISNUMBER($C251)),NOT(ISNUMBER($M251)),$M251=0),"",$C251/$M251-1)</f>
        <v>-0.0547693554849934</v>
      </c>
      <c r="P251" s="54"/>
      <c r="Q251" s="53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890528377</v>
      </c>
      <c r="D252" s="49" t="n">
        <v>896051129</v>
      </c>
      <c r="E252" s="49" t="n">
        <v>888370803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-0.00720867503985267</v>
      </c>
      <c r="I252" s="52" t="n">
        <f aca="false">IF(AND(ISNUMBER($G252),$G252&gt;=MA_SHORT),AVERAGE(INDEX($C$5:$C252,249-MA_SHORT):$C252),"")</f>
        <v>886847490.15</v>
      </c>
      <c r="J252" s="52" t="n">
        <f aca="false">IF(AND(ISNUMBER($G252),$G252&gt;=MA_MED),AVERAGE(INDEX($C$5:$C252,249-MA_MED):$C252),"")</f>
        <v>896218748.8</v>
      </c>
      <c r="K252" s="52" t="n">
        <f aca="false">IF(AND(ISNUMBER($G252),$G252&gt;=MA_LONG2),AVERAGE(INDEX($C$5:$C252,249-MA_LONG2):$C252),"")</f>
        <v>801350311.405</v>
      </c>
      <c r="L252" s="53" t="n">
        <f aca="false">IF(AND(ISNUMBER($G252),$G252&gt;=21),STDEV(INDEX($H$192:$H252,62-20):$H252)*SQRT(245),"")</f>
        <v>0.168510518854516</v>
      </c>
      <c r="M252" s="52" t="n">
        <f aca="false">IF(AND(ISNUMBER($G252),$G252&gt;=60),MAX(INDEX($D$52:$D252,202-60):$D252),"")</f>
        <v>948968936</v>
      </c>
      <c r="N252" s="52" t="n">
        <f aca="false">IF(AND(ISNUMBER($G252),$G252&gt;=60),MIN(INDEX($E$52:$E252,202-60):$E252),"")</f>
        <v>851090305</v>
      </c>
      <c r="O252" s="53" t="n">
        <f aca="false">IF(OR(NOT(ISNUMBER($C252)),NOT(ISNUMBER($M252)),$M252=0),"",$C252/$M252-1)</f>
        <v>-0.0615832160390127</v>
      </c>
      <c r="P252" s="54"/>
      <c r="Q252" s="53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895117772</v>
      </c>
      <c r="D253" s="49" t="n">
        <v>897894410</v>
      </c>
      <c r="E253" s="49" t="n">
        <v>894898559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0.00515356401719691</v>
      </c>
      <c r="I253" s="52" t="n">
        <f aca="false">IF(AND(ISNUMBER($G253),$G253&gt;=MA_SHORT),AVERAGE(INDEX($C$5:$C253,250-MA_SHORT):$C253),"")</f>
        <v>887562790</v>
      </c>
      <c r="J253" s="52" t="n">
        <f aca="false">IF(AND(ISNUMBER($G253),$G253&gt;=MA_MED),AVERAGE(INDEX($C$5:$C253,250-MA_MED):$C253),"")</f>
        <v>896110009.92</v>
      </c>
      <c r="K253" s="52" t="n">
        <f aca="false">IF(AND(ISNUMBER($G253),$G253&gt;=MA_LONG2),AVERAGE(INDEX($C$5:$C253,250-MA_LONG2):$C253),"")</f>
        <v>802568413.665</v>
      </c>
      <c r="L253" s="53" t="n">
        <f aca="false">IF(AND(ISNUMBER($G253),$G253&gt;=21),STDEV(INDEX($H$193:$H253,62-20):$H253)*SQRT(245),"")</f>
        <v>0.168947474993025</v>
      </c>
      <c r="M253" s="52" t="n">
        <f aca="false">IF(AND(ISNUMBER($G253),$G253&gt;=60),MAX(INDEX($D$53:$D253,202-60):$D253),"")</f>
        <v>948968936</v>
      </c>
      <c r="N253" s="52" t="n">
        <f aca="false">IF(AND(ISNUMBER($G253),$G253&gt;=60),MIN(INDEX($E$53:$E253,202-60):$E253),"")</f>
        <v>851090305</v>
      </c>
      <c r="O253" s="53" t="n">
        <f aca="false">IF(OR(NOT(ISNUMBER($C253)),NOT(ISNUMBER($M253)),$M253=0),"",$C253/$M253-1)</f>
        <v>-0.0567470250680576</v>
      </c>
      <c r="P253" s="54"/>
      <c r="Q253" s="53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887646476</v>
      </c>
      <c r="D254" s="49" t="n">
        <v>894746920</v>
      </c>
      <c r="E254" s="49" t="n">
        <v>884370143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-0.00834671842489121</v>
      </c>
      <c r="I254" s="52" t="n">
        <f aca="false">IF(AND(ISNUMBER($G254),$G254&gt;=MA_SHORT),AVERAGE(INDEX($C$5:$C254,251-MA_SHORT):$C254),"")</f>
        <v>888187901.95</v>
      </c>
      <c r="J254" s="52" t="n">
        <f aca="false">IF(AND(ISNUMBER($G254),$G254&gt;=MA_MED),AVERAGE(INDEX($C$5:$C254,251-MA_MED):$C254),"")</f>
        <v>895982633.36</v>
      </c>
      <c r="K254" s="52" t="n">
        <f aca="false">IF(AND(ISNUMBER($G254),$G254&gt;=MA_LONG2),AVERAGE(INDEX($C$5:$C254,251-MA_LONG2):$C254),"")</f>
        <v>803738927.91</v>
      </c>
      <c r="L254" s="53" t="n">
        <f aca="false">IF(AND(ISNUMBER($G254),$G254&gt;=21),STDEV(INDEX($H$194:$H254,62-20):$H254)*SQRT(245),"")</f>
        <v>0.170140653412929</v>
      </c>
      <c r="M254" s="52" t="n">
        <f aca="false">IF(AND(ISNUMBER($G254),$G254&gt;=60),MAX(INDEX($D$54:$D254,202-60):$D254),"")</f>
        <v>948968936</v>
      </c>
      <c r="N254" s="52" t="n">
        <f aca="false">IF(AND(ISNUMBER($G254),$G254&gt;=60),MIN(INDEX($E$54:$E254,202-60):$E254),"")</f>
        <v>851090305</v>
      </c>
      <c r="O254" s="53" t="n">
        <f aca="false">IF(OR(NOT(ISNUMBER($C254)),NOT(ISNUMBER($M254)),$M254=0),"",$C254/$M254-1)</f>
        <v>-0.0646200920532556</v>
      </c>
      <c r="P254" s="54"/>
      <c r="Q254" s="53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894838653</v>
      </c>
      <c r="D255" s="49" t="n">
        <v>897942356</v>
      </c>
      <c r="E255" s="49" t="n">
        <v>893755739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0.00810252414047774</v>
      </c>
      <c r="I255" s="52" t="n">
        <f aca="false">IF(AND(ISNUMBER($G255),$G255&gt;=MA_SHORT),AVERAGE(INDEX($C$5:$C255,252-MA_SHORT):$C255),"")</f>
        <v>889383030.3</v>
      </c>
      <c r="J255" s="52" t="n">
        <f aca="false">IF(AND(ISNUMBER($G255),$G255&gt;=MA_MED),AVERAGE(INDEX($C$5:$C255,252-MA_MED):$C255),"")</f>
        <v>896007349.02</v>
      </c>
      <c r="K255" s="52" t="n">
        <f aca="false">IF(AND(ISNUMBER($G255),$G255&gt;=MA_LONG2),AVERAGE(INDEX($C$5:$C255,252-MA_LONG2):$C255),"")</f>
        <v>804954844.88</v>
      </c>
      <c r="L255" s="53" t="n">
        <f aca="false">IF(AND(ISNUMBER($G255),$G255&gt;=21),STDEV(INDEX($H$195:$H255,62-20):$H255)*SQRT(245),"")</f>
        <v>0.170686377036311</v>
      </c>
      <c r="M255" s="52" t="n">
        <f aca="false">IF(AND(ISNUMBER($G255),$G255&gt;=60),MAX(INDEX($D$55:$D255,202-60):$D255),"")</f>
        <v>948968936</v>
      </c>
      <c r="N255" s="52" t="n">
        <f aca="false">IF(AND(ISNUMBER($G255),$G255&gt;=60),MIN(INDEX($E$55:$E255,202-60):$E255),"")</f>
        <v>851090305</v>
      </c>
      <c r="O255" s="53" t="n">
        <f aca="false">IF(OR(NOT(ISNUMBER($C255)),NOT(ISNUMBER($M255)),$M255=0),"",$C255/$M255-1)</f>
        <v>-0.0570411537685992</v>
      </c>
      <c r="P255" s="54"/>
      <c r="Q255" s="53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903994112</v>
      </c>
      <c r="D256" s="49" t="n">
        <v>906688632</v>
      </c>
      <c r="E256" s="49" t="n">
        <v>900403068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0.0102314076055006</v>
      </c>
      <c r="I256" s="52" t="n">
        <f aca="false">IF(AND(ISNUMBER($G256),$G256&gt;=MA_SHORT),AVERAGE(INDEX($C$5:$C256,253-MA_SHORT):$C256),"")</f>
        <v>891252574.35</v>
      </c>
      <c r="J256" s="52" t="n">
        <f aca="false">IF(AND(ISNUMBER($G256),$G256&gt;=MA_MED),AVERAGE(INDEX($C$5:$C256,253-MA_MED):$C256),"")</f>
        <v>896066214.48</v>
      </c>
      <c r="K256" s="52" t="n">
        <f aca="false">IF(AND(ISNUMBER($G256),$G256&gt;=MA_LONG2),AVERAGE(INDEX($C$5:$C256,253-MA_LONG2):$C256),"")</f>
        <v>806222626.995</v>
      </c>
      <c r="L256" s="53" t="n">
        <f aca="false">IF(AND(ISNUMBER($G256),$G256&gt;=21),STDEV(INDEX($H$196:$H256,62-20):$H256)*SQRT(245),"")</f>
        <v>0.171645102879547</v>
      </c>
      <c r="M256" s="52" t="n">
        <f aca="false">IF(AND(ISNUMBER($G256),$G256&gt;=60),MAX(INDEX($D$56:$D256,202-60):$D256),"")</f>
        <v>948968936</v>
      </c>
      <c r="N256" s="52" t="n">
        <f aca="false">IF(AND(ISNUMBER($G256),$G256&gt;=60),MIN(INDEX($E$56:$E256,202-60):$E256),"")</f>
        <v>851090305</v>
      </c>
      <c r="O256" s="53" t="n">
        <f aca="false">IF(OR(NOT(ISNUMBER($C256)),NOT(ISNUMBER($M256)),$M256=0),"",$C256/$M256-1)</f>
        <v>-0.0473933574575933</v>
      </c>
      <c r="P256" s="54"/>
      <c r="Q256" s="53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915625850</v>
      </c>
      <c r="D257" s="49" t="n">
        <v>918638237</v>
      </c>
      <c r="E257" s="49" t="n">
        <v>914216706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0.01286705062079</v>
      </c>
      <c r="I257" s="52" t="n">
        <f aca="false">IF(AND(ISNUMBER($G257),$G257&gt;=MA_SHORT),AVERAGE(INDEX($C$5:$C257,254-MA_SHORT):$C257),"")</f>
        <v>893671549.6</v>
      </c>
      <c r="J257" s="52" t="n">
        <f aca="false">IF(AND(ISNUMBER($G257),$G257&gt;=MA_MED),AVERAGE(INDEX($C$5:$C257,254-MA_MED):$C257),"")</f>
        <v>896437650.54</v>
      </c>
      <c r="K257" s="52" t="n">
        <f aca="false">IF(AND(ISNUMBER($G257),$G257&gt;=MA_LONG2),AVERAGE(INDEX($C$5:$C257,254-MA_LONG2):$C257),"")</f>
        <v>807532076.42</v>
      </c>
      <c r="L257" s="53" t="n">
        <f aca="false">IF(AND(ISNUMBER($G257),$G257&gt;=21),STDEV(INDEX($H$197:$H257,62-20):$H257)*SQRT(245),"")</f>
        <v>0.175544875516975</v>
      </c>
      <c r="M257" s="52" t="n">
        <f aca="false">IF(AND(ISNUMBER($G257),$G257&gt;=60),MAX(INDEX($D$57:$D257,202-60):$D257),"")</f>
        <v>948968936</v>
      </c>
      <c r="N257" s="52" t="n">
        <f aca="false">IF(AND(ISNUMBER($G257),$G257&gt;=60),MIN(INDEX($E$57:$E257,202-60):$E257),"")</f>
        <v>851090305</v>
      </c>
      <c r="O257" s="53" t="n">
        <f aca="false">IF(OR(NOT(ISNUMBER($C257)),NOT(ISNUMBER($M257)),$M257=0),"",$C257/$M257-1)</f>
        <v>-0.0351361195662995</v>
      </c>
      <c r="P257" s="54"/>
      <c r="Q257" s="53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917972144</v>
      </c>
      <c r="D258" s="49" t="n">
        <v>918778139</v>
      </c>
      <c r="E258" s="49" t="n">
        <v>915371972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0.00256250301364913</v>
      </c>
      <c r="I258" s="52" t="n">
        <f aca="false">IF(AND(ISNUMBER($G258),$G258&gt;=MA_SHORT),AVERAGE(INDEX($C$5:$C258,255-MA_SHORT):$C258),"")</f>
        <v>895562544.15</v>
      </c>
      <c r="J258" s="52" t="n">
        <f aca="false">IF(AND(ISNUMBER($G258),$G258&gt;=MA_MED),AVERAGE(INDEX($C$5:$C258,255-MA_MED):$C258),"")</f>
        <v>896406970.46</v>
      </c>
      <c r="K258" s="52" t="n">
        <f aca="false">IF(AND(ISNUMBER($G258),$G258&gt;=MA_LONG2),AVERAGE(INDEX($C$5:$C258,255-MA_LONG2):$C258),"")</f>
        <v>808803881.925</v>
      </c>
      <c r="L258" s="53" t="n">
        <f aca="false">IF(AND(ISNUMBER($G258),$G258&gt;=21),STDEV(INDEX($H$198:$H258,62-20):$H258)*SQRT(245),"")</f>
        <v>0.169793025866093</v>
      </c>
      <c r="M258" s="52" t="n">
        <f aca="false">IF(AND(ISNUMBER($G258),$G258&gt;=60),MAX(INDEX($D$58:$D258,202-60):$D258),"")</f>
        <v>948968936</v>
      </c>
      <c r="N258" s="52" t="n">
        <f aca="false">IF(AND(ISNUMBER($G258),$G258&gt;=60),MIN(INDEX($E$58:$E258,202-60):$E258),"")</f>
        <v>851090305</v>
      </c>
      <c r="O258" s="53" t="n">
        <f aca="false">IF(OR(NOT(ISNUMBER($C258)),NOT(ISNUMBER($M258)),$M258=0),"",$C258/$M258-1)</f>
        <v>-0.032663652964927</v>
      </c>
      <c r="P258" s="54"/>
      <c r="Q258" s="53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913412204</v>
      </c>
      <c r="D259" s="49" t="n">
        <v>915956212</v>
      </c>
      <c r="E259" s="49" t="n">
        <v>910634152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-0.00496740563404285</v>
      </c>
      <c r="I259" s="52" t="n">
        <f aca="false">IF(AND(ISNUMBER($G259),$G259&gt;=MA_SHORT),AVERAGE(INDEX($C$5:$C259,256-MA_SHORT):$C259),"")</f>
        <v>897241400.1</v>
      </c>
      <c r="J259" s="52" t="n">
        <f aca="false">IF(AND(ISNUMBER($G259),$G259&gt;=MA_MED),AVERAGE(INDEX($C$5:$C259,256-MA_MED):$C259),"")</f>
        <v>896445369.06</v>
      </c>
      <c r="K259" s="52" t="n">
        <f aca="false">IF(AND(ISNUMBER($G259),$G259&gt;=MA_LONG2),AVERAGE(INDEX($C$5:$C259,256-MA_LONG2):$C259),"")</f>
        <v>810071262.03</v>
      </c>
      <c r="L259" s="53" t="n">
        <f aca="false">IF(AND(ISNUMBER($G259),$G259&gt;=21),STDEV(INDEX($H$199:$H259,62-20):$H259)*SQRT(245),"")</f>
        <v>0.171433198242165</v>
      </c>
      <c r="M259" s="52" t="n">
        <f aca="false">IF(AND(ISNUMBER($G259),$G259&gt;=60),MAX(INDEX($D$59:$D259,202-60):$D259),"")</f>
        <v>948968936</v>
      </c>
      <c r="N259" s="52" t="n">
        <f aca="false">IF(AND(ISNUMBER($G259),$G259&gt;=60),MIN(INDEX($E$59:$E259,202-60):$E259),"")</f>
        <v>851090305</v>
      </c>
      <c r="O259" s="53" t="n">
        <f aca="false">IF(OR(NOT(ISNUMBER($C259)),NOT(ISNUMBER($M259)),$M259=0),"",$C259/$M259-1)</f>
        <v>-0.0374688049852034</v>
      </c>
      <c r="P259" s="54"/>
      <c r="Q259" s="53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899366297</v>
      </c>
      <c r="D260" s="49" t="n">
        <v>905459023</v>
      </c>
      <c r="E260" s="49" t="n">
        <v>898329686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-0.0153774023803168</v>
      </c>
      <c r="I260" s="52" t="n">
        <f aca="false">IF(AND(ISNUMBER($G260),$G260&gt;=MA_SHORT),AVERAGE(INDEX($C$5:$C260,257-MA_SHORT):$C260),"")</f>
        <v>897739196.1</v>
      </c>
      <c r="J260" s="52" t="n">
        <f aca="false">IF(AND(ISNUMBER($G260),$G260&gt;=MA_MED),AVERAGE(INDEX($C$5:$C260,257-MA_MED):$C260),"")</f>
        <v>896733049.14</v>
      </c>
      <c r="K260" s="52" t="n">
        <f aca="false">IF(AND(ISNUMBER($G260),$G260&gt;=MA_LONG2),AVERAGE(INDEX($C$5:$C260,257-MA_LONG2):$C260),"")</f>
        <v>811340432.885</v>
      </c>
      <c r="L260" s="53" t="n">
        <f aca="false">IF(AND(ISNUMBER($G260),$G260&gt;=21),STDEV(INDEX($H$200:$H260,62-20):$H260)*SQRT(245),"")</f>
        <v>0.178254483071256</v>
      </c>
      <c r="M260" s="52" t="n">
        <f aca="false">IF(AND(ISNUMBER($G260),$G260&gt;=60),MAX(INDEX($D$60:$D260,202-60):$D260),"")</f>
        <v>948968936</v>
      </c>
      <c r="N260" s="52" t="n">
        <f aca="false">IF(AND(ISNUMBER($G260),$G260&gt;=60),MIN(INDEX($E$60:$E260,202-60):$E260),"")</f>
        <v>851090305</v>
      </c>
      <c r="O260" s="53" t="n">
        <f aca="false">IF(OR(NOT(ISNUMBER($C260)),NOT(ISNUMBER($M260)),$M260=0),"",$C260/$M260-1)</f>
        <v>-0.0522700344745531</v>
      </c>
      <c r="P260" s="54"/>
      <c r="Q260" s="53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896185104</v>
      </c>
      <c r="D261" s="49" t="n">
        <v>899055769</v>
      </c>
      <c r="E261" s="49" t="n">
        <v>891758887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-0.00353714944690664</v>
      </c>
      <c r="I261" s="52" t="n">
        <f aca="false">IF(AND(ISNUMBER($G261),$G261&gt;=MA_SHORT),AVERAGE(INDEX($C$5:$C261,258-MA_SHORT):$C261),"")</f>
        <v>897796182.75</v>
      </c>
      <c r="J261" s="52" t="n">
        <f aca="false">IF(AND(ISNUMBER($G261),$G261&gt;=MA_MED),AVERAGE(INDEX($C$5:$C261,258-MA_MED):$C261),"")</f>
        <v>896736197.48</v>
      </c>
      <c r="K261" s="52" t="n">
        <f aca="false">IF(AND(ISNUMBER($G261),$G261&gt;=MA_LONG2),AVERAGE(INDEX($C$5:$C261,258-MA_LONG2):$C261),"")</f>
        <v>812525094.865</v>
      </c>
      <c r="L261" s="53" t="n">
        <f aca="false">IF(AND(ISNUMBER($G261),$G261&gt;=21),STDEV(INDEX($H$201:$H261,62-20):$H261)*SQRT(245),"")</f>
        <v>0.177519026460101</v>
      </c>
      <c r="M261" s="52" t="n">
        <f aca="false">IF(AND(ISNUMBER($G261),$G261&gt;=60),MAX(INDEX($D$61:$D261,202-60):$D261),"")</f>
        <v>948968936</v>
      </c>
      <c r="N261" s="52" t="n">
        <f aca="false">IF(AND(ISNUMBER($G261),$G261&gt;=60),MIN(INDEX($E$61:$E261,202-60):$E261),"")</f>
        <v>851090305</v>
      </c>
      <c r="O261" s="53" t="n">
        <f aca="false">IF(OR(NOT(ISNUMBER($C261)),NOT(ISNUMBER($M261)),$M261=0),"",$C261/$M261-1)</f>
        <v>-0.0556222969979283</v>
      </c>
      <c r="P261" s="54"/>
      <c r="Q261" s="53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884166127</v>
      </c>
      <c r="D262" s="49" t="n">
        <v>889939566</v>
      </c>
      <c r="E262" s="49" t="n">
        <v>882901039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-0.0134112662064511</v>
      </c>
      <c r="I262" s="52" t="n">
        <f aca="false">IF(AND(ISNUMBER($G262),$G262&gt;=MA_SHORT),AVERAGE(INDEX($C$5:$C262,259-MA_SHORT):$C262),"")</f>
        <v>897499415.2</v>
      </c>
      <c r="J262" s="52" t="n">
        <f aca="false">IF(AND(ISNUMBER($G262),$G262&gt;=MA_MED),AVERAGE(INDEX($C$5:$C262,259-MA_MED):$C262),"")</f>
        <v>896045769.76</v>
      </c>
      <c r="K262" s="52" t="n">
        <f aca="false">IF(AND(ISNUMBER($G262),$G262&gt;=MA_LONG2),AVERAGE(INDEX($C$5:$C262,259-MA_LONG2):$C262),"")</f>
        <v>813586437.71</v>
      </c>
      <c r="L262" s="53" t="n">
        <f aca="false">IF(AND(ISNUMBER($G262),$G262&gt;=21),STDEV(INDEX($H$202:$H262,62-20):$H262)*SQRT(245),"")</f>
        <v>0.182822657842867</v>
      </c>
      <c r="M262" s="52" t="n">
        <f aca="false">IF(AND(ISNUMBER($G262),$G262&gt;=60),MAX(INDEX($D$62:$D262,202-60):$D262),"")</f>
        <v>948968936</v>
      </c>
      <c r="N262" s="52" t="n">
        <f aca="false">IF(AND(ISNUMBER($G262),$G262&gt;=60),MIN(INDEX($E$62:$E262,202-60):$E262),"")</f>
        <v>851090305</v>
      </c>
      <c r="O262" s="53" t="n">
        <f aca="false">IF(OR(NOT(ISNUMBER($C262)),NOT(ISNUMBER($M262)),$M262=0),"",$C262/$M262-1)</f>
        <v>-0.0682875977723259</v>
      </c>
      <c r="P262" s="54"/>
      <c r="Q262" s="53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867257516</v>
      </c>
      <c r="D263" s="49" t="n">
        <v>873151541</v>
      </c>
      <c r="E263" s="49" t="n">
        <v>866798852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-0.0191237941419125</v>
      </c>
      <c r="I263" s="52" t="n">
        <f aca="false">IF(AND(ISNUMBER($G263),$G263&gt;=MA_SHORT),AVERAGE(INDEX($C$5:$C263,260-MA_SHORT):$C263),"")</f>
        <v>896237130.15</v>
      </c>
      <c r="J263" s="52" t="n">
        <f aca="false">IF(AND(ISNUMBER($G263),$G263&gt;=MA_MED),AVERAGE(INDEX($C$5:$C263,260-MA_MED):$C263),"")</f>
        <v>895134696.66</v>
      </c>
      <c r="K263" s="52" t="n">
        <f aca="false">IF(AND(ISNUMBER($G263),$G263&gt;=MA_LONG2),AVERAGE(INDEX($C$5:$C263,260-MA_LONG2):$C263),"")</f>
        <v>814565187.39</v>
      </c>
      <c r="L263" s="53" t="n">
        <f aca="false">IF(AND(ISNUMBER($G263),$G263&gt;=21),STDEV(INDEX($H$203:$H263,62-20):$H263)*SQRT(245),"")</f>
        <v>0.193874555753959</v>
      </c>
      <c r="M263" s="52" t="n">
        <f aca="false">IF(AND(ISNUMBER($G263),$G263&gt;=60),MAX(INDEX($D$63:$D263,202-60):$D263),"")</f>
        <v>948968936</v>
      </c>
      <c r="N263" s="52" t="n">
        <f aca="false">IF(AND(ISNUMBER($G263),$G263&gt;=60),MIN(INDEX($E$63:$E263,202-60):$E263),"")</f>
        <v>851090305</v>
      </c>
      <c r="O263" s="53" t="n">
        <f aca="false">IF(OR(NOT(ISNUMBER($C263)),NOT(ISNUMBER($M263)),$M263=0),"",$C263/$M263-1)</f>
        <v>-0.0861054739519945</v>
      </c>
      <c r="P263" s="54"/>
      <c r="Q263" s="53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884796243</v>
      </c>
      <c r="D264" s="49" t="n">
        <v>889087812</v>
      </c>
      <c r="E264" s="49" t="n">
        <v>884167120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0.0202232055374889</v>
      </c>
      <c r="I264" s="52" t="n">
        <f aca="false">IF(AND(ISNUMBER($G264),$G264&gt;=MA_SHORT),AVERAGE(INDEX($C$5:$C264,261-MA_SHORT):$C264),"")</f>
        <v>896903323.95</v>
      </c>
      <c r="J264" s="52" t="n">
        <f aca="false">IF(AND(ISNUMBER($G264),$G264&gt;=MA_MED),AVERAGE(INDEX($C$5:$C264,261-MA_MED):$C264),"")</f>
        <v>894138371.24</v>
      </c>
      <c r="K264" s="52" t="n">
        <f aca="false">IF(AND(ISNUMBER($G264),$G264&gt;=MA_LONG2),AVERAGE(INDEX($C$5:$C264,261-MA_LONG2):$C264),"")</f>
        <v>815604463.78</v>
      </c>
      <c r="L264" s="53" t="n">
        <f aca="false">IF(AND(ISNUMBER($G264),$G264&gt;=21),STDEV(INDEX($H$204:$H264,62-20):$H264)*SQRT(245),"")</f>
        <v>0.189740695304616</v>
      </c>
      <c r="M264" s="52" t="n">
        <f aca="false">IF(AND(ISNUMBER($G264),$G264&gt;=60),MAX(INDEX($D$64:$D264,202-60):$D264),"")</f>
        <v>948968936</v>
      </c>
      <c r="N264" s="52" t="n">
        <f aca="false">IF(AND(ISNUMBER($G264),$G264&gt;=60),MIN(INDEX($E$64:$E264,202-60):$E264),"")</f>
        <v>851090305</v>
      </c>
      <c r="O264" s="53" t="n">
        <f aca="false">IF(OR(NOT(ISNUMBER($C264)),NOT(ISNUMBER($M264)),$M264=0),"",$C264/$M264-1)</f>
        <v>-0.0676235971121398</v>
      </c>
      <c r="P264" s="54"/>
      <c r="Q264" s="53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889840514</v>
      </c>
      <c r="D265" s="49" t="n">
        <v>890731003</v>
      </c>
      <c r="E265" s="49" t="n">
        <v>889377818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0.00570105381878294</v>
      </c>
      <c r="I265" s="52" t="n">
        <f aca="false">IF(AND(ISNUMBER($G265),$G265&gt;=MA_SHORT),AVERAGE(INDEX($C$5:$C265,262-MA_SHORT):$C265),"")</f>
        <v>897009583.95</v>
      </c>
      <c r="J265" s="52" t="n">
        <f aca="false">IF(AND(ISNUMBER($G265),$G265&gt;=MA_MED),AVERAGE(INDEX($C$5:$C265,262-MA_MED):$C265),"")</f>
        <v>893103795.44</v>
      </c>
      <c r="K265" s="52" t="n">
        <f aca="false">IF(AND(ISNUMBER($G265),$G265&gt;=MA_LONG2),AVERAGE(INDEX($C$5:$C265,262-MA_LONG2):$C265),"")</f>
        <v>816721458.585</v>
      </c>
      <c r="L265" s="53" t="n">
        <f aca="false">IF(AND(ISNUMBER($G265),$G265&gt;=21),STDEV(INDEX($H$205:$H265,62-20):$H265)*SQRT(245),"")</f>
        <v>0.179191639782491</v>
      </c>
      <c r="M265" s="52" t="n">
        <f aca="false">IF(AND(ISNUMBER($G265),$G265&gt;=60),MAX(INDEX($D$65:$D265,202-60):$D265),"")</f>
        <v>948968936</v>
      </c>
      <c r="N265" s="52" t="n">
        <f aca="false">IF(AND(ISNUMBER($G265),$G265&gt;=60),MIN(INDEX($E$65:$E265,202-60):$E265),"")</f>
        <v>851090305</v>
      </c>
      <c r="O265" s="53" t="n">
        <f aca="false">IF(OR(NOT(ISNUMBER($C265)),NOT(ISNUMBER($M265)),$M265=0),"",$C265/$M265-1)</f>
        <v>-0.0623080690599128</v>
      </c>
      <c r="P265" s="54"/>
      <c r="Q265" s="53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881681870</v>
      </c>
      <c r="D266" s="49" t="n">
        <v>881688564</v>
      </c>
      <c r="E266" s="49" t="n">
        <v>877980514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-0.00916865873337835</v>
      </c>
      <c r="I266" s="52" t="n">
        <f aca="false">IF(AND(ISNUMBER($G266),$G266&gt;=MA_SHORT),AVERAGE(INDEX($C$5:$C266,263-MA_SHORT):$C266),"")</f>
        <v>896561045.5</v>
      </c>
      <c r="J266" s="52" t="n">
        <f aca="false">IF(AND(ISNUMBER($G266),$G266&gt;=MA_MED),AVERAGE(INDEX($C$5:$C266,263-MA_MED):$C266),"")</f>
        <v>892171685.4</v>
      </c>
      <c r="K266" s="52" t="n">
        <f aca="false">IF(AND(ISNUMBER($G266),$G266&gt;=MA_LONG2),AVERAGE(INDEX($C$5:$C266,263-MA_LONG2):$C266),"")</f>
        <v>817800969.22</v>
      </c>
      <c r="L266" s="53" t="n">
        <f aca="false">IF(AND(ISNUMBER($G266),$G266&gt;=21),STDEV(INDEX($H$206:$H266,62-20):$H266)*SQRT(245),"")</f>
        <v>0.181688100848977</v>
      </c>
      <c r="M266" s="52" t="n">
        <f aca="false">IF(AND(ISNUMBER($G266),$G266&gt;=60),MAX(INDEX($D$66:$D266,202-60):$D266),"")</f>
        <v>948968936</v>
      </c>
      <c r="N266" s="52" t="n">
        <f aca="false">IF(AND(ISNUMBER($G266),$G266&gt;=60),MIN(INDEX($E$66:$E266,202-60):$E266),"")</f>
        <v>851090305</v>
      </c>
      <c r="O266" s="53" t="n">
        <f aca="false">IF(OR(NOT(ISNUMBER($C266)),NOT(ISNUMBER($M266)),$M266=0),"",$C266/$M266-1)</f>
        <v>-0.0709054463717451</v>
      </c>
      <c r="P266" s="54"/>
      <c r="Q266" s="53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874019994</v>
      </c>
      <c r="D267" s="49" t="n">
        <v>874596962</v>
      </c>
      <c r="E267" s="49" t="n">
        <v>873710316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-0.00869006867522404</v>
      </c>
      <c r="I267" s="52" t="n">
        <f aca="false">IF(AND(ISNUMBER($G267),$G267&gt;=MA_SHORT),AVERAGE(INDEX($C$5:$C267,264-MA_SHORT):$C267),"")</f>
        <v>894929695.35</v>
      </c>
      <c r="J267" s="52" t="n">
        <f aca="false">IF(AND(ISNUMBER($G267),$G267&gt;=MA_MED),AVERAGE(INDEX($C$5:$C267,264-MA_MED):$C267),"")</f>
        <v>891156455.62</v>
      </c>
      <c r="K267" s="52" t="n">
        <f aca="false">IF(AND(ISNUMBER($G267),$G267&gt;=MA_LONG2),AVERAGE(INDEX($C$5:$C267,264-MA_LONG2):$C267),"")</f>
        <v>818850119.635</v>
      </c>
      <c r="L267" s="53" t="n">
        <f aca="false">IF(AND(ISNUMBER($G267),$G267&gt;=21),STDEV(INDEX($H$207:$H267,62-20):$H267)*SQRT(245),"")</f>
        <v>0.170482370382266</v>
      </c>
      <c r="M267" s="52" t="n">
        <f aca="false">IF(AND(ISNUMBER($G267),$G267&gt;=60),MAX(INDEX($D$67:$D267,202-60):$D267),"")</f>
        <v>948968936</v>
      </c>
      <c r="N267" s="52" t="n">
        <f aca="false">IF(AND(ISNUMBER($G267),$G267&gt;=60),MIN(INDEX($E$67:$E267,202-60):$E267),"")</f>
        <v>851090305</v>
      </c>
      <c r="O267" s="53" t="n">
        <f aca="false">IF(OR(NOT(ISNUMBER($C267)),NOT(ISNUMBER($M267)),$M267=0),"",$C267/$M267-1)</f>
        <v>-0.0789793418485513</v>
      </c>
      <c r="P267" s="54"/>
      <c r="Q267" s="53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897543648</v>
      </c>
      <c r="D268" s="49" t="n">
        <v>900683206</v>
      </c>
      <c r="E268" s="49" t="n">
        <v>893583082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0.0269143202232054</v>
      </c>
      <c r="I268" s="52" t="n">
        <f aca="false">IF(AND(ISNUMBER($G268),$G268&gt;=MA_SHORT),AVERAGE(INDEX($C$5:$C268,265-MA_SHORT):$C268),"")</f>
        <v>894579787.65</v>
      </c>
      <c r="J268" s="52" t="n">
        <f aca="false">IF(AND(ISNUMBER($G268),$G268&gt;=MA_MED),AVERAGE(INDEX($C$5:$C268,265-MA_MED):$C268),"")</f>
        <v>890662314.76</v>
      </c>
      <c r="K268" s="52" t="n">
        <f aca="false">IF(AND(ISNUMBER($G268),$G268&gt;=MA_LONG2),AVERAGE(INDEX($C$5:$C268,265-MA_LONG2):$C268),"")</f>
        <v>819951683.065</v>
      </c>
      <c r="L268" s="53" t="n">
        <f aca="false">IF(AND(ISNUMBER($G268),$G268&gt;=21),STDEV(INDEX($H$208:$H268,62-20):$H268)*SQRT(245),"")</f>
        <v>0.197793524289618</v>
      </c>
      <c r="M268" s="52" t="n">
        <f aca="false">IF(AND(ISNUMBER($G268),$G268&gt;=60),MAX(INDEX($D$68:$D268,202-60):$D268),"")</f>
        <v>948968936</v>
      </c>
      <c r="N268" s="52" t="n">
        <f aca="false">IF(AND(ISNUMBER($G268),$G268&gt;=60),MIN(INDEX($E$68:$E268,202-60):$E268),"")</f>
        <v>851090305</v>
      </c>
      <c r="O268" s="53" t="n">
        <f aca="false">IF(OR(NOT(ISNUMBER($C268)),NOT(ISNUMBER($M268)),$M268=0),"",$C268/$M268-1)</f>
        <v>-0.0541906969228759</v>
      </c>
      <c r="P268" s="54"/>
      <c r="Q268" s="53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905611565</v>
      </c>
      <c r="D269" s="49" t="n">
        <v>907617286</v>
      </c>
      <c r="E269" s="49" t="n">
        <v>903218553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0.00898888540738696</v>
      </c>
      <c r="I269" s="52" t="n">
        <f aca="false">IF(AND(ISNUMBER($G269),$G269&gt;=MA_SHORT),AVERAGE(INDEX($C$5:$C269,266-MA_SHORT):$C269),"")</f>
        <v>895139051.5</v>
      </c>
      <c r="J269" s="52" t="n">
        <f aca="false">IF(AND(ISNUMBER($G269),$G269&gt;=MA_MED),AVERAGE(INDEX($C$5:$C269,266-MA_MED):$C269),"")</f>
        <v>890348073.04</v>
      </c>
      <c r="K269" s="52" t="n">
        <f aca="false">IF(AND(ISNUMBER($G269),$G269&gt;=MA_LONG2),AVERAGE(INDEX($C$5:$C269,266-MA_LONG2):$C269),"")</f>
        <v>821016104.05</v>
      </c>
      <c r="L269" s="53" t="n">
        <f aca="false">IF(AND(ISNUMBER($G269),$G269&gt;=21),STDEV(INDEX($H$209:$H269,62-20):$H269)*SQRT(245),"")</f>
        <v>0.196091512370412</v>
      </c>
      <c r="M269" s="52" t="n">
        <f aca="false">IF(AND(ISNUMBER($G269),$G269&gt;=60),MAX(INDEX($D$69:$D269,202-60):$D269),"")</f>
        <v>948968936</v>
      </c>
      <c r="N269" s="52" t="n">
        <f aca="false">IF(AND(ISNUMBER($G269),$G269&gt;=60),MIN(INDEX($E$69:$E269,202-60):$E269),"")</f>
        <v>851090305</v>
      </c>
      <c r="O269" s="53" t="n">
        <f aca="false">IF(OR(NOT(ISNUMBER($C269)),NOT(ISNUMBER($M269)),$M269=0),"",$C269/$M269-1)</f>
        <v>-0.0456889254802751</v>
      </c>
      <c r="P269" s="54"/>
      <c r="Q269" s="53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904847436</v>
      </c>
      <c r="D270" s="49" t="n">
        <v>910280226</v>
      </c>
      <c r="E270" s="49" t="n">
        <v>903531672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-0.000843771247554637</v>
      </c>
      <c r="I270" s="52" t="n">
        <f aca="false">IF(AND(ISNUMBER($G270),$G270&gt;=MA_SHORT),AVERAGE(INDEX($C$5:$C270,267-MA_SHORT):$C270),"")</f>
        <v>895072321.05</v>
      </c>
      <c r="J270" s="52" t="n">
        <f aca="false">IF(AND(ISNUMBER($G270),$G270&gt;=MA_MED),AVERAGE(INDEX($C$5:$C270,267-MA_MED):$C270),"")</f>
        <v>889916809.48</v>
      </c>
      <c r="K270" s="52" t="n">
        <f aca="false">IF(AND(ISNUMBER($G270),$G270&gt;=MA_LONG2),AVERAGE(INDEX($C$5:$C270,267-MA_LONG2):$C270),"")</f>
        <v>822079702.06</v>
      </c>
      <c r="L270" s="53" t="n">
        <f aca="false">IF(AND(ISNUMBER($G270),$G270&gt;=21),STDEV(INDEX($H$210:$H270,62-20):$H270)*SQRT(245),"")</f>
        <v>0.190678829152984</v>
      </c>
      <c r="M270" s="52" t="n">
        <f aca="false">IF(AND(ISNUMBER($G270),$G270&gt;=60),MAX(INDEX($D$70:$D270,202-60):$D270),"")</f>
        <v>948968936</v>
      </c>
      <c r="N270" s="52" t="n">
        <f aca="false">IF(AND(ISNUMBER($G270),$G270&gt;=60),MIN(INDEX($E$70:$E270,202-60):$E270),"")</f>
        <v>851090305</v>
      </c>
      <c r="O270" s="53" t="n">
        <f aca="false">IF(OR(NOT(ISNUMBER($C270)),NOT(ISNUMBER($M270)),$M270=0),"",$C270/$M270-1)</f>
        <v>-0.0464941457261779</v>
      </c>
      <c r="P270" s="54"/>
      <c r="Q270" s="53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890740753</v>
      </c>
      <c r="D271" s="49" t="n">
        <v>891038960</v>
      </c>
      <c r="E271" s="49" t="n">
        <v>884636208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-0.0155901231950886</v>
      </c>
      <c r="I271" s="52" t="n">
        <f aca="false">IF(AND(ISNUMBER($G271),$G271&gt;=MA_SHORT),AVERAGE(INDEX($C$5:$C271,268-MA_SHORT):$C271),"")</f>
        <v>894759632.75</v>
      </c>
      <c r="J271" s="52" t="n">
        <f aca="false">IF(AND(ISNUMBER($G271),$G271&gt;=MA_MED),AVERAGE(INDEX($C$5:$C271,268-MA_MED):$C271),"")</f>
        <v>889578956.42</v>
      </c>
      <c r="K271" s="52" t="n">
        <f aca="false">IF(AND(ISNUMBER($G271),$G271&gt;=MA_LONG2),AVERAGE(INDEX($C$5:$C271,268-MA_LONG2):$C271),"")</f>
        <v>823055689.36</v>
      </c>
      <c r="L271" s="53" t="n">
        <f aca="false">IF(AND(ISNUMBER($G271),$G271&gt;=21),STDEV(INDEX($H$211:$H271,62-20):$H271)*SQRT(245),"")</f>
        <v>0.195313501157459</v>
      </c>
      <c r="M271" s="52" t="n">
        <f aca="false">IF(AND(ISNUMBER($G271),$G271&gt;=60),MAX(INDEX($D$71:$D271,202-60):$D271),"")</f>
        <v>948968936</v>
      </c>
      <c r="N271" s="52" t="n">
        <f aca="false">IF(AND(ISNUMBER($G271),$G271&gt;=60),MIN(INDEX($E$71:$E271,202-60):$E271),"")</f>
        <v>851090305</v>
      </c>
      <c r="O271" s="53" t="n">
        <f aca="false">IF(OR(NOT(ISNUMBER($C271)),NOT(ISNUMBER($M271)),$M271=0),"",$C271/$M271-1)</f>
        <v>-0.061359419461545</v>
      </c>
      <c r="P271" s="54"/>
      <c r="Q271" s="53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887780519</v>
      </c>
      <c r="D272" s="49" t="n">
        <v>888087181</v>
      </c>
      <c r="E272" s="49" t="n">
        <v>884026515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-0.0033233395800405</v>
      </c>
      <c r="I272" s="52" t="n">
        <f aca="false">IF(AND(ISNUMBER($G272),$G272&gt;=MA_SHORT),AVERAGE(INDEX($C$5:$C272,269-MA_SHORT):$C272),"")</f>
        <v>894622239.85</v>
      </c>
      <c r="J272" s="52" t="n">
        <f aca="false">IF(AND(ISNUMBER($G272),$G272&gt;=MA_MED),AVERAGE(INDEX($C$5:$C272,269-MA_MED):$C272),"")</f>
        <v>889064762.22</v>
      </c>
      <c r="K272" s="52" t="n">
        <f aca="false">IF(AND(ISNUMBER($G272),$G272&gt;=MA_LONG2),AVERAGE(INDEX($C$5:$C272,269-MA_LONG2):$C272),"")</f>
        <v>823976857.05</v>
      </c>
      <c r="L272" s="53" t="n">
        <f aca="false">IF(AND(ISNUMBER($G272),$G272&gt;=21),STDEV(INDEX($H$212:$H272,62-20):$H272)*SQRT(245),"")</f>
        <v>0.194004203528192</v>
      </c>
      <c r="M272" s="52" t="n">
        <f aca="false">IF(AND(ISNUMBER($G272),$G272&gt;=60),MAX(INDEX($D$72:$D272,202-60):$D272),"")</f>
        <v>948968936</v>
      </c>
      <c r="N272" s="52" t="n">
        <f aca="false">IF(AND(ISNUMBER($G272),$G272&gt;=60),MIN(INDEX($E$72:$E272,202-60):$E272),"")</f>
        <v>851090305</v>
      </c>
      <c r="O272" s="53" t="n">
        <f aca="false">IF(OR(NOT(ISNUMBER($C272)),NOT(ISNUMBER($M272)),$M272=0),"",$C272/$M272-1)</f>
        <v>-0.0644788408542806</v>
      </c>
      <c r="P272" s="54"/>
      <c r="Q272" s="53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873249389</v>
      </c>
      <c r="D273" s="49" t="n">
        <v>875811629</v>
      </c>
      <c r="E273" s="49" t="n">
        <v>872015702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-0.0163679306867062</v>
      </c>
      <c r="I273" s="52" t="n">
        <f aca="false">IF(AND(ISNUMBER($G273),$G273&gt;=MA_SHORT),AVERAGE(INDEX($C$5:$C273,270-MA_SHORT):$C273),"")</f>
        <v>893528820.7</v>
      </c>
      <c r="J273" s="52" t="n">
        <f aca="false">IF(AND(ISNUMBER($G273),$G273&gt;=MA_MED),AVERAGE(INDEX($C$5:$C273,270-MA_MED):$C273),"")</f>
        <v>888316737.26</v>
      </c>
      <c r="K273" s="52" t="n">
        <f aca="false">IF(AND(ISNUMBER($G273),$G273&gt;=MA_LONG2),AVERAGE(INDEX($C$5:$C273,270-MA_LONG2):$C273),"")</f>
        <v>824828811.64</v>
      </c>
      <c r="L273" s="53" t="n">
        <f aca="false">IF(AND(ISNUMBER($G273),$G273&gt;=21),STDEV(INDEX($H$213:$H273,62-20):$H273)*SQRT(245),"")</f>
        <v>0.201011866354802</v>
      </c>
      <c r="M273" s="52" t="n">
        <f aca="false">IF(AND(ISNUMBER($G273),$G273&gt;=60),MAX(INDEX($D$73:$D273,202-60):$D273),"")</f>
        <v>948968936</v>
      </c>
      <c r="N273" s="52" t="n">
        <f aca="false">IF(AND(ISNUMBER($G273),$G273&gt;=60),MIN(INDEX($E$73:$E273,202-60):$E273),"")</f>
        <v>851090305</v>
      </c>
      <c r="O273" s="53" t="n">
        <f aca="false">IF(OR(NOT(ISNUMBER($C273)),NOT(ISNUMBER($M273)),$M273=0),"",$C273/$M273-1)</f>
        <v>-0.0797913863431248</v>
      </c>
      <c r="P273" s="54"/>
      <c r="Q273" s="53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866169060</v>
      </c>
      <c r="D274" s="49" t="n">
        <v>867472113</v>
      </c>
      <c r="E274" s="49" t="n">
        <v>862726691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-0.00810802628571894</v>
      </c>
      <c r="I274" s="52" t="n">
        <f aca="false">IF(AND(ISNUMBER($G274),$G274&gt;=MA_SHORT),AVERAGE(INDEX($C$5:$C274,271-MA_SHORT):$C274),"")</f>
        <v>892454949.9</v>
      </c>
      <c r="J274" s="52" t="n">
        <f aca="false">IF(AND(ISNUMBER($G274),$G274&gt;=MA_MED),AVERAGE(INDEX($C$5:$C274,271-MA_MED):$C274),"")</f>
        <v>887648307.92</v>
      </c>
      <c r="K274" s="52" t="n">
        <f aca="false">IF(AND(ISNUMBER($G274),$G274&gt;=MA_LONG2),AVERAGE(INDEX($C$5:$C274,271-MA_LONG2):$C274),"")</f>
        <v>825681165.9</v>
      </c>
      <c r="L274" s="53" t="n">
        <f aca="false">IF(AND(ISNUMBER($G274),$G274&gt;=21),STDEV(INDEX($H$214:$H274,62-20):$H274)*SQRT(245),"")</f>
        <v>0.200903497751467</v>
      </c>
      <c r="M274" s="52" t="n">
        <f aca="false">IF(AND(ISNUMBER($G274),$G274&gt;=60),MAX(INDEX($D$74:$D274,202-60):$D274),"")</f>
        <v>948968936</v>
      </c>
      <c r="N274" s="52" t="n">
        <f aca="false">IF(AND(ISNUMBER($G274),$G274&gt;=60),MIN(INDEX($E$74:$E274,202-60):$E274),"")</f>
        <v>851090305</v>
      </c>
      <c r="O274" s="53" t="n">
        <f aca="false">IF(OR(NOT(ISNUMBER($C274)),NOT(ISNUMBER($M274)),$M274=0),"",$C274/$M274-1)</f>
        <v>-0.0872524619709997</v>
      </c>
      <c r="P274" s="54"/>
      <c r="Q274" s="53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876260371</v>
      </c>
      <c r="D275" s="49" t="n">
        <v>876539294</v>
      </c>
      <c r="E275" s="49" t="n">
        <v>874599721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0.0116505096591653</v>
      </c>
      <c r="I275" s="52" t="n">
        <f aca="false">IF(AND(ISNUMBER($G275),$G275&gt;=MA_SHORT),AVERAGE(INDEX($C$5:$C275,272-MA_SHORT):$C275),"")</f>
        <v>891526035.8</v>
      </c>
      <c r="J275" s="52" t="n">
        <f aca="false">IF(AND(ISNUMBER($G275),$G275&gt;=MA_MED),AVERAGE(INDEX($C$5:$C275,272-MA_MED):$C275),"")</f>
        <v>887003746.58</v>
      </c>
      <c r="K275" s="52" t="n">
        <f aca="false">IF(AND(ISNUMBER($G275),$G275&gt;=MA_LONG2),AVERAGE(INDEX($C$5:$C275,272-MA_LONG2):$C275),"")</f>
        <v>826607178.465</v>
      </c>
      <c r="L275" s="53" t="n">
        <f aca="false">IF(AND(ISNUMBER($G275),$G275&gt;=21),STDEV(INDEX($H$215:$H275,62-20):$H275)*SQRT(245),"")</f>
        <v>0.203378115585943</v>
      </c>
      <c r="M275" s="52" t="n">
        <f aca="false">IF(AND(ISNUMBER($G275),$G275&gt;=60),MAX(INDEX($D$75:$D275,202-60):$D275),"")</f>
        <v>932614949</v>
      </c>
      <c r="N275" s="52" t="n">
        <f aca="false">IF(AND(ISNUMBER($G275),$G275&gt;=60),MIN(INDEX($E$75:$E275,202-60):$E275),"")</f>
        <v>851090305</v>
      </c>
      <c r="O275" s="53" t="n">
        <f aca="false">IF(OR(NOT(ISNUMBER($C275)),NOT(ISNUMBER($M275)),$M275=0),"",$C275/$M275-1)</f>
        <v>-0.0604264150606061</v>
      </c>
      <c r="P275" s="54"/>
      <c r="Q275" s="53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882320447</v>
      </c>
      <c r="D276" s="49" t="n">
        <v>887586855</v>
      </c>
      <c r="E276" s="49" t="n">
        <v>872638622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0.00691583940180274</v>
      </c>
      <c r="I276" s="52" t="n">
        <f aca="false">IF(AND(ISNUMBER($G276),$G276&gt;=MA_SHORT),AVERAGE(INDEX($C$5:$C276,273-MA_SHORT):$C276),"")</f>
        <v>890442352.55</v>
      </c>
      <c r="J276" s="52" t="n">
        <f aca="false">IF(AND(ISNUMBER($G276),$G276&gt;=MA_MED),AVERAGE(INDEX($C$5:$C276,273-MA_MED):$C276),"")</f>
        <v>886891990.1</v>
      </c>
      <c r="K276" s="52" t="n">
        <f aca="false">IF(AND(ISNUMBER($G276),$G276&gt;=MA_LONG2),AVERAGE(INDEX($C$5:$C276,273-MA_LONG2):$C276),"")</f>
        <v>827545912.305</v>
      </c>
      <c r="L276" s="53" t="n">
        <f aca="false">IF(AND(ISNUMBER($G276),$G276&gt;=21),STDEV(INDEX($H$216:$H276,62-20):$H276)*SQRT(245),"")</f>
        <v>0.20134461566288</v>
      </c>
      <c r="M276" s="52" t="n">
        <f aca="false">IF(AND(ISNUMBER($G276),$G276&gt;=60),MAX(INDEX($D$76:$D276,202-60):$D276),"")</f>
        <v>929020356</v>
      </c>
      <c r="N276" s="52" t="n">
        <f aca="false">IF(AND(ISNUMBER($G276),$G276&gt;=60),MIN(INDEX($E$76:$E276,202-60):$E276),"")</f>
        <v>851090305</v>
      </c>
      <c r="O276" s="53" t="n">
        <f aca="false">IF(OR(NOT(ISNUMBER($C276)),NOT(ISNUMBER($M276)),$M276=0),"",$C276/$M276-1)</f>
        <v>-0.0502679071544477</v>
      </c>
      <c r="P276" s="54"/>
      <c r="Q276" s="53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897807407</v>
      </c>
      <c r="D277" s="49" t="n">
        <v>899918705</v>
      </c>
      <c r="E277" s="49" t="n">
        <v>895201083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0.0175525344025038</v>
      </c>
      <c r="I277" s="52" t="n">
        <f aca="false">IF(AND(ISNUMBER($G277),$G277&gt;=MA_SHORT),AVERAGE(INDEX($C$5:$C277,274-MA_SHORT):$C277),"")</f>
        <v>889551430.4</v>
      </c>
      <c r="J277" s="52" t="n">
        <f aca="false">IF(AND(ISNUMBER($G277),$G277&gt;=MA_MED),AVERAGE(INDEX($C$5:$C277,274-MA_MED):$C277),"")</f>
        <v>887215159.38</v>
      </c>
      <c r="K277" s="52" t="n">
        <f aca="false">IF(AND(ISNUMBER($G277),$G277&gt;=MA_LONG2),AVERAGE(INDEX($C$5:$C277,274-MA_LONG2):$C277),"")</f>
        <v>828529238.695</v>
      </c>
      <c r="L277" s="53" t="n">
        <f aca="false">IF(AND(ISNUMBER($G277),$G277&gt;=21),STDEV(INDEX($H$217:$H277,62-20):$H277)*SQRT(245),"")</f>
        <v>0.206156383946292</v>
      </c>
      <c r="M277" s="52" t="n">
        <f aca="false">IF(AND(ISNUMBER($G277),$G277&gt;=60),MAX(INDEX($D$77:$D277,202-60):$D277),"")</f>
        <v>928043095</v>
      </c>
      <c r="N277" s="52" t="n">
        <f aca="false">IF(AND(ISNUMBER($G277),$G277&gt;=60),MIN(INDEX($E$77:$E277,202-60):$E277),"")</f>
        <v>851090305</v>
      </c>
      <c r="O277" s="53" t="n">
        <f aca="false">IF(OR(NOT(ISNUMBER($C277)),NOT(ISNUMBER($M277)),$M277=0),"",$C277/$M277-1)</f>
        <v>-0.0325800473737699</v>
      </c>
      <c r="P277" s="54"/>
      <c r="Q277" s="53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888004723</v>
      </c>
      <c r="D278" s="49" t="n">
        <v>894439347</v>
      </c>
      <c r="E278" s="49" t="n">
        <v>884110619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-0.0109184708475011</v>
      </c>
      <c r="I278" s="52" t="n">
        <f aca="false">IF(AND(ISNUMBER($G278),$G278&gt;=MA_SHORT),AVERAGE(INDEX($C$5:$C278,275-MA_SHORT):$C278),"")</f>
        <v>888053059.35</v>
      </c>
      <c r="J278" s="52" t="n">
        <f aca="false">IF(AND(ISNUMBER($G278),$G278&gt;=MA_MED),AVERAGE(INDEX($C$5:$C278,275-MA_MED):$C278),"")</f>
        <v>887749801.34</v>
      </c>
      <c r="K278" s="52" t="n">
        <f aca="false">IF(AND(ISNUMBER($G278),$G278&gt;=MA_LONG2),AVERAGE(INDEX($C$5:$C278,275-MA_LONG2):$C278),"")</f>
        <v>829451257.825</v>
      </c>
      <c r="L278" s="53" t="n">
        <f aca="false">IF(AND(ISNUMBER($G278),$G278&gt;=21),STDEV(INDEX($H$218:$H278,62-20):$H278)*SQRT(245),"")</f>
        <v>0.208621495556922</v>
      </c>
      <c r="M278" s="52" t="n">
        <f aca="false">IF(AND(ISNUMBER($G278),$G278&gt;=60),MAX(INDEX($D$78:$D278,202-60):$D278),"")</f>
        <v>928043095</v>
      </c>
      <c r="N278" s="52" t="n">
        <f aca="false">IF(AND(ISNUMBER($G278),$G278&gt;=60),MIN(INDEX($E$78:$E278,202-60):$E278),"")</f>
        <v>851090305</v>
      </c>
      <c r="O278" s="53" t="n">
        <f aca="false">IF(OR(NOT(ISNUMBER($C278)),NOT(ISNUMBER($M278)),$M278=0),"",$C278/$M278-1)</f>
        <v>-0.0431427939238102</v>
      </c>
      <c r="P278" s="54"/>
      <c r="Q278" s="53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898993779</v>
      </c>
      <c r="D279" s="49" t="n">
        <v>900242984</v>
      </c>
      <c r="E279" s="49" t="n">
        <v>896684667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0.0123749972442433</v>
      </c>
      <c r="I279" s="52" t="n">
        <f aca="false">IF(AND(ISNUMBER($G279),$G279&gt;=MA_SHORT),AVERAGE(INDEX($C$5:$C279,276-MA_SHORT):$C279),"")</f>
        <v>887332138.1</v>
      </c>
      <c r="J279" s="52" t="n">
        <f aca="false">IF(AND(ISNUMBER($G279),$G279&gt;=MA_MED),AVERAGE(INDEX($C$5:$C279,276-MA_MED):$C279),"")</f>
        <v>888296505.84</v>
      </c>
      <c r="K279" s="52" t="n">
        <f aca="false">IF(AND(ISNUMBER($G279),$G279&gt;=MA_LONG2),AVERAGE(INDEX($C$5:$C279,276-MA_LONG2):$C279),"")</f>
        <v>830504501.565</v>
      </c>
      <c r="L279" s="53" t="n">
        <f aca="false">IF(AND(ISNUMBER($G279),$G279&gt;=21),STDEV(INDEX($H$219:$H279,62-20):$H279)*SQRT(245),"")</f>
        <v>0.21375112514756</v>
      </c>
      <c r="M279" s="52" t="n">
        <f aca="false">IF(AND(ISNUMBER($G279),$G279&gt;=60),MAX(INDEX($D$79:$D279,202-60):$D279),"")</f>
        <v>928043095</v>
      </c>
      <c r="N279" s="52" t="n">
        <f aca="false">IF(AND(ISNUMBER($G279),$G279&gt;=60),MIN(INDEX($E$79:$E279,202-60):$E279),"")</f>
        <v>851090305</v>
      </c>
      <c r="O279" s="53" t="n">
        <f aca="false">IF(OR(NOT(ISNUMBER($C279)),NOT(ISNUMBER($M279)),$M279=0),"",$C279/$M279-1)</f>
        <v>-0.031301688635483</v>
      </c>
      <c r="P279" s="54"/>
      <c r="Q279" s="53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907393341</v>
      </c>
      <c r="D280" s="49" t="n">
        <v>908512846</v>
      </c>
      <c r="E280" s="49" t="n">
        <v>906847752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0.00934329268589962</v>
      </c>
      <c r="I280" s="52" t="n">
        <f aca="false">IF(AND(ISNUMBER($G280),$G280&gt;=MA_SHORT),AVERAGE(INDEX($C$5:$C280,277-MA_SHORT):$C280),"")</f>
        <v>887733490.3</v>
      </c>
      <c r="J280" s="52" t="n">
        <f aca="false">IF(AND(ISNUMBER($G280),$G280&gt;=MA_MED),AVERAGE(INDEX($C$5:$C280,277-MA_MED):$C280),"")</f>
        <v>889304585.04</v>
      </c>
      <c r="K280" s="52" t="n">
        <f aca="false">IF(AND(ISNUMBER($G280),$G280&gt;=MA_LONG2),AVERAGE(INDEX($C$5:$C280,277-MA_LONG2):$C280),"")</f>
        <v>831570497.825</v>
      </c>
      <c r="L280" s="53" t="n">
        <f aca="false">IF(AND(ISNUMBER($G280),$G280&gt;=21),STDEV(INDEX($H$220:$H280,62-20):$H280)*SQRT(245),"")</f>
        <v>0.20933885422628</v>
      </c>
      <c r="M280" s="52" t="n">
        <f aca="false">IF(AND(ISNUMBER($G280),$G280&gt;=60),MAX(INDEX($D$80:$D280,202-60):$D280),"")</f>
        <v>918778139</v>
      </c>
      <c r="N280" s="52" t="n">
        <f aca="false">IF(AND(ISNUMBER($G280),$G280&gt;=60),MIN(INDEX($E$80:$E280,202-60):$E280),"")</f>
        <v>851090305</v>
      </c>
      <c r="O280" s="53" t="n">
        <f aca="false">IF(OR(NOT(ISNUMBER($C280)),NOT(ISNUMBER($M280)),$M280=0),"",$C280/$M280-1)</f>
        <v>-0.0123912373583368</v>
      </c>
      <c r="P280" s="54"/>
      <c r="Q280" s="53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895462131</v>
      </c>
      <c r="D281" s="49" t="n">
        <v>903563240</v>
      </c>
      <c r="E281" s="49" t="n">
        <v>895234261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-0.0131488842389466</v>
      </c>
      <c r="I281" s="52" t="n">
        <f aca="false">IF(AND(ISNUMBER($G281),$G281&gt;=MA_SHORT),AVERAGE(INDEX($C$5:$C281,278-MA_SHORT):$C281),"")</f>
        <v>887697341.65</v>
      </c>
      <c r="J281" s="52" t="n">
        <f aca="false">IF(AND(ISNUMBER($G281),$G281&gt;=MA_MED),AVERAGE(INDEX($C$5:$C281,278-MA_MED):$C281),"")</f>
        <v>889855379.16</v>
      </c>
      <c r="K281" s="52" t="n">
        <f aca="false">IF(AND(ISNUMBER($G281),$G281&gt;=MA_LONG2),AVERAGE(INDEX($C$5:$C281,278-MA_LONG2):$C281),"")</f>
        <v>832513103.535</v>
      </c>
      <c r="L281" s="53" t="n">
        <f aca="false">IF(AND(ISNUMBER($G281),$G281&gt;=21),STDEV(INDEX($H$221:$H281,62-20):$H281)*SQRT(245),"")</f>
        <v>0.214388494163856</v>
      </c>
      <c r="M281" s="52" t="n">
        <f aca="false">IF(AND(ISNUMBER($G281),$G281&gt;=60),MAX(INDEX($D$81:$D281,202-60):$D281),"")</f>
        <v>918778139</v>
      </c>
      <c r="N281" s="52" t="n">
        <f aca="false">IF(AND(ISNUMBER($G281),$G281&gt;=60),MIN(INDEX($E$81:$E281,202-60):$E281),"")</f>
        <v>851090305</v>
      </c>
      <c r="O281" s="53" t="n">
        <f aca="false">IF(OR(NOT(ISNUMBER($C281)),NOT(ISNUMBER($M281)),$M281=0),"",$C281/$M281-1)</f>
        <v>-0.0253771906516813</v>
      </c>
      <c r="P281" s="54"/>
      <c r="Q281" s="53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903693746</v>
      </c>
      <c r="D282" s="49" t="n">
        <v>906965378</v>
      </c>
      <c r="E282" s="49" t="n">
        <v>898135017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0.00919258862550376</v>
      </c>
      <c r="I282" s="52" t="n">
        <f aca="false">IF(AND(ISNUMBER($G282),$G282&gt;=MA_SHORT),AVERAGE(INDEX($C$5:$C282,279-MA_SHORT):$C282),"")</f>
        <v>888673722.6</v>
      </c>
      <c r="J282" s="52" t="n">
        <f aca="false">IF(AND(ISNUMBER($G282),$G282&gt;=MA_MED),AVERAGE(INDEX($C$5:$C282,279-MA_MED):$C282),"")</f>
        <v>890374979.88</v>
      </c>
      <c r="K282" s="52" t="n">
        <f aca="false">IF(AND(ISNUMBER($G282),$G282&gt;=MA_LONG2),AVERAGE(INDEX($C$5:$C282,279-MA_LONG2):$C282),"")</f>
        <v>833549080.935</v>
      </c>
      <c r="L282" s="53" t="n">
        <f aca="false">IF(AND(ISNUMBER($G282),$G282&gt;=21),STDEV(INDEX($H$222:$H282,62-20):$H282)*SQRT(245),"")</f>
        <v>0.210653994961722</v>
      </c>
      <c r="M282" s="52" t="n">
        <f aca="false">IF(AND(ISNUMBER($G282),$G282&gt;=60),MAX(INDEX($D$82:$D282,202-60):$D282),"")</f>
        <v>918778139</v>
      </c>
      <c r="N282" s="52" t="n">
        <f aca="false">IF(AND(ISNUMBER($G282),$G282&gt;=60),MIN(INDEX($E$82:$E282,202-60):$E282),"")</f>
        <v>851090305</v>
      </c>
      <c r="O282" s="53" t="n">
        <f aca="false">IF(OR(NOT(ISNUMBER($C282)),NOT(ISNUMBER($M282)),$M282=0),"",$C282/$M282-1)</f>
        <v>-0.0164178841003094</v>
      </c>
      <c r="P282" s="54"/>
      <c r="Q282" s="53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907473526</v>
      </c>
      <c r="D283" s="49" t="n">
        <v>913637489</v>
      </c>
      <c r="E283" s="49" t="n">
        <v>905195245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0.00418258952961703</v>
      </c>
      <c r="I283" s="52" t="n">
        <f aca="false">IF(AND(ISNUMBER($G283),$G283&gt;=MA_SHORT),AVERAGE(INDEX($C$5:$C283,280-MA_SHORT):$C283),"")</f>
        <v>890684523.1</v>
      </c>
      <c r="J283" s="52" t="n">
        <f aca="false">IF(AND(ISNUMBER($G283),$G283&gt;=MA_MED),AVERAGE(INDEX($C$5:$C283,280-MA_MED):$C283),"")</f>
        <v>890908214.9</v>
      </c>
      <c r="K283" s="52" t="n">
        <f aca="false">IF(AND(ISNUMBER($G283),$G283&gt;=MA_LONG2),AVERAGE(INDEX($C$5:$C283,280-MA_LONG2):$C283),"")</f>
        <v>834622427.5</v>
      </c>
      <c r="L283" s="53" t="n">
        <f aca="false">IF(AND(ISNUMBER($G283),$G283&gt;=21),STDEV(INDEX($H$223:$H283,62-20):$H283)*SQRT(245),"")</f>
        <v>0.197043506912751</v>
      </c>
      <c r="M283" s="52" t="n">
        <f aca="false">IF(AND(ISNUMBER($G283),$G283&gt;=60),MAX(INDEX($D$83:$D283,202-60):$D283),"")</f>
        <v>918778139</v>
      </c>
      <c r="N283" s="52" t="n">
        <f aca="false">IF(AND(ISNUMBER($G283),$G283&gt;=60),MIN(INDEX($E$83:$E283,202-60):$E283),"")</f>
        <v>851090305</v>
      </c>
      <c r="O283" s="53" t="n">
        <f aca="false">IF(OR(NOT(ISNUMBER($C283)),NOT(ISNUMBER($M283)),$M283=0),"",$C283/$M283-1)</f>
        <v>-0.0123039638408289</v>
      </c>
      <c r="P283" s="54"/>
      <c r="Q283" s="53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922318676</v>
      </c>
      <c r="D284" s="49" t="n">
        <v>923313581</v>
      </c>
      <c r="E284" s="49" t="n">
        <v>916886365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0.0163587692364262</v>
      </c>
      <c r="I284" s="52" t="n">
        <f aca="false">IF(AND(ISNUMBER($G284),$G284&gt;=MA_SHORT),AVERAGE(INDEX($C$5:$C284,281-MA_SHORT):$C284),"")</f>
        <v>892560644.75</v>
      </c>
      <c r="J284" s="52" t="n">
        <f aca="false">IF(AND(ISNUMBER($G284),$G284&gt;=MA_MED),AVERAGE(INDEX($C$5:$C284,281-MA_MED):$C284),"")</f>
        <v>891851703.68</v>
      </c>
      <c r="K284" s="52" t="n">
        <f aca="false">IF(AND(ISNUMBER($G284),$G284&gt;=MA_LONG2),AVERAGE(INDEX($C$5:$C284,281-MA_LONG2):$C284),"")</f>
        <v>835666532.085</v>
      </c>
      <c r="L284" s="53" t="n">
        <f aca="false">IF(AND(ISNUMBER($G284),$G284&gt;=21),STDEV(INDEX($H$224:$H284,62-20):$H284)*SQRT(245),"")</f>
        <v>0.192943548185243</v>
      </c>
      <c r="M284" s="52" t="n">
        <f aca="false">IF(AND(ISNUMBER($G284),$G284&gt;=60),MAX(INDEX($D$84:$D284,202-60):$D284),"")</f>
        <v>923313581</v>
      </c>
      <c r="N284" s="52" t="n">
        <f aca="false">IF(AND(ISNUMBER($G284),$G284&gt;=60),MIN(INDEX($E$84:$E284,202-60):$E284),"")</f>
        <v>851090305</v>
      </c>
      <c r="O284" s="53" t="n">
        <f aca="false">IF(OR(NOT(ISNUMBER($C284)),NOT(ISNUMBER($M284)),$M284=0),"",$C284/$M284-1)</f>
        <v>-0.00107753749156647</v>
      </c>
      <c r="P284" s="54"/>
      <c r="Q284" s="53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949057372</v>
      </c>
      <c r="D285" s="49" t="n">
        <v>953870113</v>
      </c>
      <c r="E285" s="49" t="n">
        <v>946546855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0.028990734651458</v>
      </c>
      <c r="I285" s="52" t="n">
        <f aca="false">IF(AND(ISNUMBER($G285),$G285&gt;=MA_SHORT),AVERAGE(INDEX($C$5:$C285,282-MA_SHORT):$C285),"")</f>
        <v>895521487.65</v>
      </c>
      <c r="J285" s="52" t="n">
        <f aca="false">IF(AND(ISNUMBER($G285),$G285&gt;=MA_MED),AVERAGE(INDEX($C$5:$C285,282-MA_MED):$C285),"")</f>
        <v>893414129.4</v>
      </c>
      <c r="K285" s="52" t="n">
        <f aca="false">IF(AND(ISNUMBER($G285),$G285&gt;=MA_LONG2),AVERAGE(INDEX($C$5:$C285,282-MA_LONG2):$C285),"")</f>
        <v>836787007.49</v>
      </c>
      <c r="L285" s="53" t="n">
        <f aca="false">IF(AND(ISNUMBER($G285),$G285&gt;=21),STDEV(INDEX($H$225:$H285,62-20):$H285)*SQRT(245),"")</f>
        <v>0.214485679494202</v>
      </c>
      <c r="M285" s="52" t="n">
        <f aca="false">IF(AND(ISNUMBER($G285),$G285&gt;=60),MAX(INDEX($D$85:$D285,202-60):$D285),"")</f>
        <v>953870113</v>
      </c>
      <c r="N285" s="52" t="n">
        <f aca="false">IF(AND(ISNUMBER($G285),$G285&gt;=60),MIN(INDEX($E$85:$E285,202-60):$E285),"")</f>
        <v>851090305</v>
      </c>
      <c r="O285" s="53" t="n">
        <f aca="false">IF(OR(NOT(ISNUMBER($C285)),NOT(ISNUMBER($M285)),$M285=0),"",$C285/$M285-1)</f>
        <v>-0.00504548882956768</v>
      </c>
      <c r="P285" s="54"/>
      <c r="Q285" s="53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938375157</v>
      </c>
      <c r="D286" s="49" t="n">
        <v>941603728</v>
      </c>
      <c r="E286" s="49" t="n">
        <v>934442669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-0.0112556051037134</v>
      </c>
      <c r="I286" s="52" t="n">
        <f aca="false">IF(AND(ISNUMBER($G286),$G286&gt;=MA_SHORT),AVERAGE(INDEX($C$5:$C286,283-MA_SHORT):$C286),"")</f>
        <v>898356152</v>
      </c>
      <c r="J286" s="52" t="n">
        <f aca="false">IF(AND(ISNUMBER($G286),$G286&gt;=MA_MED),AVERAGE(INDEX($C$5:$C286,283-MA_MED):$C286),"")</f>
        <v>894849567.92</v>
      </c>
      <c r="K286" s="52" t="n">
        <f aca="false">IF(AND(ISNUMBER($G286),$G286&gt;=MA_LONG2),AVERAGE(INDEX($C$5:$C286,283-MA_LONG2):$C286),"")</f>
        <v>837851170.865</v>
      </c>
      <c r="L286" s="53" t="n">
        <f aca="false">IF(AND(ISNUMBER($G286),$G286&gt;=21),STDEV(INDEX($H$226:$H286,62-20):$H286)*SQRT(245),"")</f>
        <v>0.216169751259966</v>
      </c>
      <c r="M286" s="52" t="n">
        <f aca="false">IF(AND(ISNUMBER($G286),$G286&gt;=60),MAX(INDEX($D$86:$D286,202-60):$D286),"")</f>
        <v>953870113</v>
      </c>
      <c r="N286" s="52" t="n">
        <f aca="false">IF(AND(ISNUMBER($G286),$G286&gt;=60),MIN(INDEX($E$86:$E286,202-60):$E286),"")</f>
        <v>851090305</v>
      </c>
      <c r="O286" s="53" t="n">
        <f aca="false">IF(OR(NOT(ISNUMBER($C286)),NOT(ISNUMBER($M286)),$M286=0),"",$C286/$M286-1)</f>
        <v>-0.0162443039034603</v>
      </c>
      <c r="P286" s="54"/>
      <c r="Q286" s="53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945225905</v>
      </c>
      <c r="D287" s="49" t="n">
        <v>948541433</v>
      </c>
      <c r="E287" s="49" t="n">
        <v>943410563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0.00730064937130459</v>
      </c>
      <c r="I287" s="52" t="n">
        <f aca="false">IF(AND(ISNUMBER($G287),$G287&gt;=MA_SHORT),AVERAGE(INDEX($C$5:$C287,284-MA_SHORT):$C287),"")</f>
        <v>901916447.55</v>
      </c>
      <c r="J287" s="52" t="n">
        <f aca="false">IF(AND(ISNUMBER($G287),$G287&gt;=MA_MED),AVERAGE(INDEX($C$5:$C287,284-MA_MED):$C287),"")</f>
        <v>896409159.12</v>
      </c>
      <c r="K287" s="52" t="n">
        <f aca="false">IF(AND(ISNUMBER($G287),$G287&gt;=MA_LONG2),AVERAGE(INDEX($C$5:$C287,284-MA_LONG2):$C287),"")</f>
        <v>838966823.495</v>
      </c>
      <c r="L287" s="53" t="n">
        <f aca="false">IF(AND(ISNUMBER($G287),$G287&gt;=21),STDEV(INDEX($H$227:$H287,62-20):$H287)*SQRT(245),"")</f>
        <v>0.212023205954349</v>
      </c>
      <c r="M287" s="52" t="n">
        <f aca="false">IF(AND(ISNUMBER($G287),$G287&gt;=60),MAX(INDEX($D$87:$D287,202-60):$D287),"")</f>
        <v>953870113</v>
      </c>
      <c r="N287" s="52" t="n">
        <f aca="false">IF(AND(ISNUMBER($G287),$G287&gt;=60),MIN(INDEX($E$87:$E287,202-60):$E287),"")</f>
        <v>851090305</v>
      </c>
      <c r="O287" s="53" t="n">
        <f aca="false">IF(OR(NOT(ISNUMBER($C287)),NOT(ISNUMBER($M287)),$M287=0),"",$C287/$M287-1)</f>
        <v>-0.00906224849923565</v>
      </c>
      <c r="P287" s="54"/>
      <c r="Q287" s="53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933692133</v>
      </c>
      <c r="D288" s="49" t="n">
        <v>935863357</v>
      </c>
      <c r="E288" s="49" t="n">
        <v>933107000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-0.0122021327800999</v>
      </c>
      <c r="I288" s="52" t="n">
        <f aca="false">IF(AND(ISNUMBER($G288),$G288&gt;=MA_SHORT),AVERAGE(INDEX($C$5:$C288,285-MA_SHORT):$C288),"")</f>
        <v>903723871.8</v>
      </c>
      <c r="J288" s="52" t="n">
        <f aca="false">IF(AND(ISNUMBER($G288),$G288&gt;=MA_MED),AVERAGE(INDEX($C$5:$C288,285-MA_MED):$C288),"")</f>
        <v>897479956.72</v>
      </c>
      <c r="K288" s="52" t="n">
        <f aca="false">IF(AND(ISNUMBER($G288),$G288&gt;=MA_LONG2),AVERAGE(INDEX($C$5:$C288,285-MA_LONG2):$C288),"")</f>
        <v>840027831.24</v>
      </c>
      <c r="L288" s="53" t="n">
        <f aca="false">IF(AND(ISNUMBER($G288),$G288&gt;=21),STDEV(INDEX($H$228:$H288,62-20):$H288)*SQRT(245),"")</f>
        <v>0.20147530158748</v>
      </c>
      <c r="M288" s="52" t="n">
        <f aca="false">IF(AND(ISNUMBER($G288),$G288&gt;=60),MAX(INDEX($D$88:$D288,202-60):$D288),"")</f>
        <v>953870113</v>
      </c>
      <c r="N288" s="52" t="n">
        <f aca="false">IF(AND(ISNUMBER($G288),$G288&gt;=60),MIN(INDEX($E$88:$E288,202-60):$E288),"")</f>
        <v>851090305</v>
      </c>
      <c r="O288" s="53" t="n">
        <f aca="false">IF(OR(NOT(ISNUMBER($C288)),NOT(ISNUMBER($M288)),$M288=0),"",$C288/$M288-1)</f>
        <v>-0.0211538025198615</v>
      </c>
      <c r="P288" s="54"/>
      <c r="Q288" s="53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940822608</v>
      </c>
      <c r="D289" s="49" t="n">
        <v>945424313</v>
      </c>
      <c r="E289" s="49" t="n">
        <v>938284238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0.00763685881885867</v>
      </c>
      <c r="I289" s="52" t="n">
        <f aca="false">IF(AND(ISNUMBER($G289),$G289&gt;=MA_SHORT),AVERAGE(INDEX($C$5:$C289,286-MA_SHORT):$C289),"")</f>
        <v>905484423.95</v>
      </c>
      <c r="J289" s="52" t="n">
        <f aca="false">IF(AND(ISNUMBER($G289),$G289&gt;=MA_MED),AVERAGE(INDEX($C$5:$C289,286-MA_MED):$C289),"")</f>
        <v>898699707.18</v>
      </c>
      <c r="K289" s="52" t="n">
        <f aca="false">IF(AND(ISNUMBER($G289),$G289&gt;=MA_LONG2),AVERAGE(INDEX($C$5:$C289,286-MA_LONG2):$C289),"")</f>
        <v>841123753.115</v>
      </c>
      <c r="L289" s="53" t="n">
        <f aca="false">IF(AND(ISNUMBER($G289),$G289&gt;=21),STDEV(INDEX($H$229:$H289,62-20):$H289)*SQRT(245),"")</f>
        <v>0.200930104126355</v>
      </c>
      <c r="M289" s="52" t="n">
        <f aca="false">IF(AND(ISNUMBER($G289),$G289&gt;=60),MAX(INDEX($D$89:$D289,202-60):$D289),"")</f>
        <v>953870113</v>
      </c>
      <c r="N289" s="52" t="n">
        <f aca="false">IF(AND(ISNUMBER($G289),$G289&gt;=60),MIN(INDEX($E$89:$E289,202-60):$E289),"")</f>
        <v>851090305</v>
      </c>
      <c r="O289" s="53" t="n">
        <f aca="false">IF(OR(NOT(ISNUMBER($C289)),NOT(ISNUMBER($M289)),$M289=0),"",$C289/$M289-1)</f>
        <v>-0.013678492304329</v>
      </c>
      <c r="P289" s="54"/>
      <c r="Q289" s="53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931198329</v>
      </c>
      <c r="D290" s="49" t="n">
        <v>939060414</v>
      </c>
      <c r="E290" s="49" t="n">
        <v>925764511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-0.0102296425682832</v>
      </c>
      <c r="I290" s="52" t="n">
        <f aca="false">IF(AND(ISNUMBER($G290),$G290&gt;=MA_SHORT),AVERAGE(INDEX($C$5:$C290,287-MA_SHORT):$C290),"")</f>
        <v>906801968.6</v>
      </c>
      <c r="J290" s="52" t="n">
        <f aca="false">IF(AND(ISNUMBER($G290),$G290&gt;=MA_MED),AVERAGE(INDEX($C$5:$C290,287-MA_MED):$C290),"")</f>
        <v>899535466.22</v>
      </c>
      <c r="K290" s="52" t="n">
        <f aca="false">IF(AND(ISNUMBER($G290),$G290&gt;=MA_LONG2),AVERAGE(INDEX($C$5:$C290,287-MA_LONG2):$C290),"")</f>
        <v>842094590.58</v>
      </c>
      <c r="L290" s="53" t="n">
        <f aca="false">IF(AND(ISNUMBER($G290),$G290&gt;=21),STDEV(INDEX($H$230:$H290,62-20):$H290)*SQRT(245),"")</f>
        <v>0.205273684420978</v>
      </c>
      <c r="M290" s="52" t="n">
        <f aca="false">IF(AND(ISNUMBER($G290),$G290&gt;=60),MAX(INDEX($D$90:$D290,202-60):$D290),"")</f>
        <v>953870113</v>
      </c>
      <c r="N290" s="52" t="n">
        <f aca="false">IF(AND(ISNUMBER($G290),$G290&gt;=60),MIN(INDEX($E$90:$E290,202-60):$E290),"")</f>
        <v>862365954</v>
      </c>
      <c r="O290" s="53" t="n">
        <f aca="false">IF(OR(NOT(ISNUMBER($C290)),NOT(ISNUMBER($M290)),$M290=0),"",$C290/$M290-1)</f>
        <v>-0.0237682087854659</v>
      </c>
      <c r="P290" s="54"/>
      <c r="Q290" s="53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922076635</v>
      </c>
      <c r="D291" s="49" t="n">
        <v>926672659</v>
      </c>
      <c r="E291" s="49" t="n">
        <v>920828857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-0.00979565116895742</v>
      </c>
      <c r="I291" s="52" t="n">
        <f aca="false">IF(AND(ISNUMBER($G291),$G291&gt;=MA_SHORT),AVERAGE(INDEX($C$5:$C291,288-MA_SHORT):$C291),"")</f>
        <v>908368762.7</v>
      </c>
      <c r="J291" s="52" t="n">
        <f aca="false">IF(AND(ISNUMBER($G291),$G291&gt;=MA_MED),AVERAGE(INDEX($C$5:$C291,288-MA_MED):$C291),"")</f>
        <v>900076091.5</v>
      </c>
      <c r="K291" s="52" t="n">
        <f aca="false">IF(AND(ISNUMBER($G291),$G291&gt;=MA_LONG2),AVERAGE(INDEX($C$5:$C291,288-MA_LONG2):$C291),"")</f>
        <v>843051546.015</v>
      </c>
      <c r="L291" s="53" t="n">
        <f aca="false">IF(AND(ISNUMBER($G291),$G291&gt;=21),STDEV(INDEX($H$231:$H291,62-20):$H291)*SQRT(245),"")</f>
        <v>0.199980124269906</v>
      </c>
      <c r="M291" s="52" t="n">
        <f aca="false">IF(AND(ISNUMBER($G291),$G291&gt;=60),MAX(INDEX($D$91:$D291,202-60):$D291),"")</f>
        <v>953870113</v>
      </c>
      <c r="N291" s="52" t="n">
        <f aca="false">IF(AND(ISNUMBER($G291),$G291&gt;=60),MIN(INDEX($E$91:$E291,202-60):$E291),"")</f>
        <v>862365954</v>
      </c>
      <c r="O291" s="53" t="n">
        <f aca="false">IF(OR(NOT(ISNUMBER($C291)),NOT(ISNUMBER($M291)),$M291=0),"",$C291/$M291-1)</f>
        <v>-0.03333103487225</v>
      </c>
      <c r="P291" s="54"/>
      <c r="Q291" s="53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936725024</v>
      </c>
      <c r="D292" s="49" t="n">
        <v>937511533</v>
      </c>
      <c r="E292" s="49" t="n">
        <v>935064179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0.015886303202987</v>
      </c>
      <c r="I292" s="52" t="n">
        <f aca="false">IF(AND(ISNUMBER($G292),$G292&gt;=MA_SHORT),AVERAGE(INDEX($C$5:$C292,289-MA_SHORT):$C292),"")</f>
        <v>910815987.95</v>
      </c>
      <c r="J292" s="52" t="n">
        <f aca="false">IF(AND(ISNUMBER($G292),$G292&gt;=MA_MED),AVERAGE(INDEX($C$5:$C292,289-MA_MED):$C292),"")</f>
        <v>901008562.42</v>
      </c>
      <c r="K292" s="52" t="n">
        <f aca="false">IF(AND(ISNUMBER($G292),$G292&gt;=MA_LONG2),AVERAGE(INDEX($C$5:$C292,289-MA_LONG2):$C292),"")</f>
        <v>844112028.785</v>
      </c>
      <c r="L292" s="53" t="n">
        <f aca="false">IF(AND(ISNUMBER($G292),$G292&gt;=21),STDEV(INDEX($H$232:$H292,62-20):$H292)*SQRT(245),"")</f>
        <v>0.204867233717202</v>
      </c>
      <c r="M292" s="52" t="n">
        <f aca="false">IF(AND(ISNUMBER($G292),$G292&gt;=60),MAX(INDEX($D$92:$D292,202-60):$D292),"")</f>
        <v>953870113</v>
      </c>
      <c r="N292" s="52" t="n">
        <f aca="false">IF(AND(ISNUMBER($G292),$G292&gt;=60),MIN(INDEX($E$92:$E292,202-60):$E292),"")</f>
        <v>862365954</v>
      </c>
      <c r="O292" s="53" t="n">
        <f aca="false">IF(OR(NOT(ISNUMBER($C292)),NOT(ISNUMBER($M292)),$M292=0),"",$C292/$M292-1)</f>
        <v>-0.0179742385953128</v>
      </c>
      <c r="P292" s="54"/>
      <c r="Q292" s="53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934447495</v>
      </c>
      <c r="D293" s="49" t="n">
        <v>936027571</v>
      </c>
      <c r="E293" s="49" t="n">
        <v>930456091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-0.00243137414037953</v>
      </c>
      <c r="I293" s="52" t="n">
        <f aca="false">IF(AND(ISNUMBER($G293),$G293&gt;=MA_SHORT),AVERAGE(INDEX($C$5:$C293,290-MA_SHORT):$C293),"")</f>
        <v>913875893.25</v>
      </c>
      <c r="J293" s="52" t="n">
        <f aca="false">IF(AND(ISNUMBER($G293),$G293&gt;=MA_MED),AVERAGE(INDEX($C$5:$C293,290-MA_MED):$C293),"")</f>
        <v>901847447.98</v>
      </c>
      <c r="K293" s="52" t="n">
        <f aca="false">IF(AND(ISNUMBER($G293),$G293&gt;=MA_LONG2),AVERAGE(INDEX($C$5:$C293,290-MA_LONG2):$C293),"")</f>
        <v>845160286.71</v>
      </c>
      <c r="L293" s="53" t="n">
        <f aca="false">IF(AND(ISNUMBER($G293),$G293&gt;=21),STDEV(INDEX($H$233:$H293,62-20):$H293)*SQRT(245),"")</f>
        <v>0.193577156150519</v>
      </c>
      <c r="M293" s="52" t="n">
        <f aca="false">IF(AND(ISNUMBER($G293),$G293&gt;=60),MAX(INDEX($D$93:$D293,202-60):$D293),"")</f>
        <v>953870113</v>
      </c>
      <c r="N293" s="52" t="n">
        <f aca="false">IF(AND(ISNUMBER($G293),$G293&gt;=60),MIN(INDEX($E$93:$E293,202-60):$E293),"")</f>
        <v>862365954</v>
      </c>
      <c r="O293" s="53" t="n">
        <f aca="false">IF(OR(NOT(ISNUMBER($C293)),NOT(ISNUMBER($M293)),$M293=0),"",$C293/$M293-1)</f>
        <v>-0.0203619106367787</v>
      </c>
      <c r="P293" s="54"/>
      <c r="Q293" s="53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947289427</v>
      </c>
      <c r="D294" s="49" t="n">
        <v>953722890</v>
      </c>
      <c r="E294" s="49" t="n">
        <v>945238580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0.0137428074543664</v>
      </c>
      <c r="I294" s="52" t="n">
        <f aca="false">IF(AND(ISNUMBER($G294),$G294&gt;=MA_SHORT),AVERAGE(INDEX($C$5:$C294,291-MA_SHORT):$C294),"")</f>
        <v>917931911.6</v>
      </c>
      <c r="J294" s="52" t="n">
        <f aca="false">IF(AND(ISNUMBER($G294),$G294&gt;=MA_MED),AVERAGE(INDEX($C$5:$C294,291-MA_MED):$C294),"")</f>
        <v>903363789.18</v>
      </c>
      <c r="K294" s="52" t="n">
        <f aca="false">IF(AND(ISNUMBER($G294),$G294&gt;=MA_LONG2),AVERAGE(INDEX($C$5:$C294,291-MA_LONG2):$C294),"")</f>
        <v>846210980.84</v>
      </c>
      <c r="L294" s="53" t="n">
        <f aca="false">IF(AND(ISNUMBER($G294),$G294&gt;=21),STDEV(INDEX($H$234:$H294,62-20):$H294)*SQRT(245),"")</f>
        <v>0.191831838548216</v>
      </c>
      <c r="M294" s="52" t="n">
        <f aca="false">IF(AND(ISNUMBER($G294),$G294&gt;=60),MAX(INDEX($D$94:$D294,202-60):$D294),"")</f>
        <v>953870113</v>
      </c>
      <c r="N294" s="52" t="n">
        <f aca="false">IF(AND(ISNUMBER($G294),$G294&gt;=60),MIN(INDEX($E$94:$E294,202-60):$E294),"")</f>
        <v>862365954</v>
      </c>
      <c r="O294" s="53" t="n">
        <f aca="false">IF(OR(NOT(ISNUMBER($C294)),NOT(ISNUMBER($M294)),$M294=0),"",$C294/$M294-1)</f>
        <v>-0.00689893299969657</v>
      </c>
      <c r="P294" s="54"/>
      <c r="Q294" s="53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943032945</v>
      </c>
      <c r="D295" s="49" t="n">
        <v>943257810</v>
      </c>
      <c r="E295" s="49" t="n">
        <v>942490606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-0.00449332788763412</v>
      </c>
      <c r="I295" s="52" t="n">
        <f aca="false">IF(AND(ISNUMBER($G295),$G295&gt;=MA_SHORT),AVERAGE(INDEX($C$5:$C295,292-MA_SHORT):$C295),"")</f>
        <v>921270540.3</v>
      </c>
      <c r="J295" s="52" t="n">
        <f aca="false">IF(AND(ISNUMBER($G295),$G295&gt;=MA_MED),AVERAGE(INDEX($C$5:$C295,292-MA_MED):$C295),"")</f>
        <v>904470141.8</v>
      </c>
      <c r="K295" s="52" t="n">
        <f aca="false">IF(AND(ISNUMBER($G295),$G295&gt;=MA_LONG2),AVERAGE(INDEX($C$5:$C295,292-MA_LONG2):$C295),"")</f>
        <v>847245090.95</v>
      </c>
      <c r="L295" s="53" t="n">
        <f aca="false">IF(AND(ISNUMBER($G295),$G295&gt;=21),STDEV(INDEX($H$235:$H295,62-20):$H295)*SQRT(245),"")</f>
        <v>0.192454961924528</v>
      </c>
      <c r="M295" s="52" t="n">
        <f aca="false">IF(AND(ISNUMBER($G295),$G295&gt;=60),MAX(INDEX($D$95:$D295,202-60):$D295),"")</f>
        <v>953870113</v>
      </c>
      <c r="N295" s="52" t="n">
        <f aca="false">IF(AND(ISNUMBER($G295),$G295&gt;=60),MIN(INDEX($E$95:$E295,202-60):$E295),"")</f>
        <v>862365954</v>
      </c>
      <c r="O295" s="53" t="n">
        <f aca="false">IF(OR(NOT(ISNUMBER($C295)),NOT(ISNUMBER($M295)),$M295=0),"",$C295/$M295-1)</f>
        <v>-0.0113612617192882</v>
      </c>
      <c r="P295" s="54"/>
      <c r="Q295" s="53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931575047</v>
      </c>
      <c r="D296" s="49" t="n">
        <v>931669934</v>
      </c>
      <c r="E296" s="49" t="n">
        <v>921432518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-0.0121500506008303</v>
      </c>
      <c r="I296" s="52" t="n">
        <f aca="false">IF(AND(ISNUMBER($G296),$G296&gt;=MA_SHORT),AVERAGE(INDEX($C$5:$C296,293-MA_SHORT):$C296),"")</f>
        <v>923733270.3</v>
      </c>
      <c r="J296" s="52" t="n">
        <f aca="false">IF(AND(ISNUMBER($G296),$G296&gt;=MA_MED),AVERAGE(INDEX($C$5:$C296,293-MA_MED):$C296),"")</f>
        <v>905288589.96</v>
      </c>
      <c r="K296" s="52" t="n">
        <f aca="false">IF(AND(ISNUMBER($G296),$G296&gt;=MA_LONG2),AVERAGE(INDEX($C$5:$C296,293-MA_LONG2):$C296),"")</f>
        <v>848238129.87</v>
      </c>
      <c r="L296" s="53" t="n">
        <f aca="false">IF(AND(ISNUMBER($G296),$G296&gt;=21),STDEV(INDEX($H$236:$H296,62-20):$H296)*SQRT(245),"")</f>
        <v>0.199838227410315</v>
      </c>
      <c r="M296" s="52" t="n">
        <f aca="false">IF(AND(ISNUMBER($G296),$G296&gt;=60),MAX(INDEX($D$96:$D296,202-60):$D296),"")</f>
        <v>953870113</v>
      </c>
      <c r="N296" s="52" t="n">
        <f aca="false">IF(AND(ISNUMBER($G296),$G296&gt;=60),MIN(INDEX($E$96:$E296,202-60):$E296),"")</f>
        <v>862365954</v>
      </c>
      <c r="O296" s="53" t="n">
        <f aca="false">IF(OR(NOT(ISNUMBER($C296)),NOT(ISNUMBER($M296)),$M296=0),"",$C296/$M296-1)</f>
        <v>-0.0233732724153398</v>
      </c>
      <c r="P296" s="54"/>
      <c r="Q296" s="53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923324545</v>
      </c>
      <c r="D297" s="49" t="n">
        <v>923749634</v>
      </c>
      <c r="E297" s="49" t="n">
        <v>920604446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-0.00885650815419492</v>
      </c>
      <c r="I297" s="52" t="n">
        <f aca="false">IF(AND(ISNUMBER($G297),$G297&gt;=MA_SHORT),AVERAGE(INDEX($C$5:$C297,294-MA_SHORT):$C297),"")</f>
        <v>925009127.2</v>
      </c>
      <c r="J297" s="52" t="n">
        <f aca="false">IF(AND(ISNUMBER($G297),$G297&gt;=MA_MED),AVERAGE(INDEX($C$5:$C297,294-MA_MED):$C297),"")</f>
        <v>905622140.92</v>
      </c>
      <c r="K297" s="52" t="n">
        <f aca="false">IF(AND(ISNUMBER($G297),$G297&gt;=MA_LONG2),AVERAGE(INDEX($C$5:$C297,294-MA_LONG2):$C297),"")</f>
        <v>849192258.135</v>
      </c>
      <c r="L297" s="53" t="n">
        <f aca="false">IF(AND(ISNUMBER($G297),$G297&gt;=21),STDEV(INDEX($H$237:$H297,62-20):$H297)*SQRT(245),"")</f>
        <v>0.196033655481463</v>
      </c>
      <c r="M297" s="52" t="n">
        <f aca="false">IF(AND(ISNUMBER($G297),$G297&gt;=60),MAX(INDEX($D$97:$D297,202-60):$D297),"")</f>
        <v>953870113</v>
      </c>
      <c r="N297" s="52" t="n">
        <f aca="false">IF(AND(ISNUMBER($G297),$G297&gt;=60),MIN(INDEX($E$97:$E297,202-60):$E297),"")</f>
        <v>862726691</v>
      </c>
      <c r="O297" s="53" t="n">
        <f aca="false">IF(OR(NOT(ISNUMBER($C297)),NOT(ISNUMBER($M297)),$M297=0),"",$C297/$M297-1)</f>
        <v>-0.0320227749917981</v>
      </c>
      <c r="P297" s="54"/>
      <c r="Q297" s="53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935143871</v>
      </c>
      <c r="D298" s="49" t="n">
        <v>935872073</v>
      </c>
      <c r="E298" s="49" t="n">
        <v>933574716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0.0128008359184257</v>
      </c>
      <c r="I298" s="52" t="n">
        <f aca="false">IF(AND(ISNUMBER($G298),$G298&gt;=MA_SHORT),AVERAGE(INDEX($C$5:$C298,295-MA_SHORT):$C298),"")</f>
        <v>927366084.6</v>
      </c>
      <c r="J298" s="52" t="n">
        <f aca="false">IF(AND(ISNUMBER($G298),$G298&gt;=MA_MED),AVERAGE(INDEX($C$5:$C298,295-MA_MED):$C298),"")</f>
        <v>906234182.3</v>
      </c>
      <c r="K298" s="52" t="n">
        <f aca="false">IF(AND(ISNUMBER($G298),$G298&gt;=MA_LONG2),AVERAGE(INDEX($C$5:$C298,295-MA_LONG2):$C298),"")</f>
        <v>850177010.685</v>
      </c>
      <c r="L298" s="53" t="n">
        <f aca="false">IF(AND(ISNUMBER($G298),$G298&gt;=21),STDEV(INDEX($H$238:$H298,62-20):$H298)*SQRT(245),"")</f>
        <v>0.194265453113944</v>
      </c>
      <c r="M298" s="52" t="n">
        <f aca="false">IF(AND(ISNUMBER($G298),$G298&gt;=60),MAX(INDEX($D$98:$D298,202-60):$D298),"")</f>
        <v>953870113</v>
      </c>
      <c r="N298" s="52" t="n">
        <f aca="false">IF(AND(ISNUMBER($G298),$G298&gt;=60),MIN(INDEX($E$98:$E298,202-60):$E298),"")</f>
        <v>862726691</v>
      </c>
      <c r="O298" s="53" t="n">
        <f aca="false">IF(OR(NOT(ISNUMBER($C298)),NOT(ISNUMBER($M298)),$M298=0),"",$C298/$M298-1)</f>
        <v>-0.0196318573616952</v>
      </c>
      <c r="P298" s="54"/>
      <c r="Q298" s="53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921718657</v>
      </c>
      <c r="D299" s="49" t="n">
        <v>924928167</v>
      </c>
      <c r="E299" s="49" t="n">
        <v>919202619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-0.0143563086027005</v>
      </c>
      <c r="I299" s="52" t="n">
        <f aca="false">IF(AND(ISNUMBER($G299),$G299&gt;=MA_SHORT),AVERAGE(INDEX($C$5:$C299,296-MA_SHORT):$C299),"")</f>
        <v>928502328.5</v>
      </c>
      <c r="J299" s="52" t="n">
        <f aca="false">IF(AND(ISNUMBER($G299),$G299&gt;=MA_MED),AVERAGE(INDEX($C$5:$C299,296-MA_MED):$C299),"")</f>
        <v>906780029.68</v>
      </c>
      <c r="K299" s="52" t="n">
        <f aca="false">IF(AND(ISNUMBER($G299),$G299&gt;=MA_LONG2),AVERAGE(INDEX($C$5:$C299,296-MA_LONG2):$C299),"")</f>
        <v>851005840.895</v>
      </c>
      <c r="L299" s="53" t="n">
        <f aca="false">IF(AND(ISNUMBER($G299),$G299&gt;=21),STDEV(INDEX($H$239:$H299,62-20):$H299)*SQRT(245),"")</f>
        <v>0.199491107792826</v>
      </c>
      <c r="M299" s="52" t="n">
        <f aca="false">IF(AND(ISNUMBER($G299),$G299&gt;=60),MAX(INDEX($D$99:$D299,202-60):$D299),"")</f>
        <v>953870113</v>
      </c>
      <c r="N299" s="52" t="n">
        <f aca="false">IF(AND(ISNUMBER($G299),$G299&gt;=60),MIN(INDEX($E$99:$E299,202-60):$E299),"")</f>
        <v>862726691</v>
      </c>
      <c r="O299" s="53" t="n">
        <f aca="false">IF(OR(NOT(ISNUMBER($C299)),NOT(ISNUMBER($M299)),$M299=0),"",$C299/$M299-1)</f>
        <v>-0.0337063249616669</v>
      </c>
      <c r="P299" s="54"/>
      <c r="Q299" s="53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903976574</v>
      </c>
      <c r="D300" s="49" t="n">
        <v>908826949</v>
      </c>
      <c r="E300" s="49" t="n">
        <v>899648740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-0.0192489138255558</v>
      </c>
      <c r="I300" s="52" t="n">
        <f aca="false">IF(AND(ISNUMBER($G300),$G300&gt;=MA_SHORT),AVERAGE(INDEX($C$5:$C300,297-MA_SHORT):$C300),"")</f>
        <v>928331490.15</v>
      </c>
      <c r="J300" s="52" t="n">
        <f aca="false">IF(AND(ISNUMBER($G300),$G300&gt;=MA_MED),AVERAGE(INDEX($C$5:$C300,297-MA_MED):$C300),"")</f>
        <v>906735920.26</v>
      </c>
      <c r="K300" s="52" t="n">
        <f aca="false">IF(AND(ISNUMBER($G300),$G300&gt;=MA_LONG2),AVERAGE(INDEX($C$5:$C300,297-MA_LONG2):$C300),"")</f>
        <v>851773145.155</v>
      </c>
      <c r="L300" s="53" t="n">
        <f aca="false">IF(AND(ISNUMBER($G300),$G300&gt;=21),STDEV(INDEX($H$240:$H300,62-20):$H300)*SQRT(245),"")</f>
        <v>0.209521663556192</v>
      </c>
      <c r="M300" s="52" t="n">
        <f aca="false">IF(AND(ISNUMBER($G300),$G300&gt;=60),MAX(INDEX($D$100:$D300,202-60):$D300),"")</f>
        <v>953870113</v>
      </c>
      <c r="N300" s="52" t="n">
        <f aca="false">IF(AND(ISNUMBER($G300),$G300&gt;=60),MIN(INDEX($E$100:$E300,202-60):$E300),"")</f>
        <v>862726691</v>
      </c>
      <c r="O300" s="53" t="n">
        <f aca="false">IF(OR(NOT(ISNUMBER($C300)),NOT(ISNUMBER($M300)),$M300=0),"",$C300/$M300-1)</f>
        <v>-0.0523064286426594</v>
      </c>
      <c r="P300" s="54"/>
      <c r="Q300" s="53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890444294</v>
      </c>
      <c r="D301" s="49" t="n">
        <v>893150533</v>
      </c>
      <c r="E301" s="49" t="n">
        <v>884475364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-0.0149697242043797</v>
      </c>
      <c r="I301" s="52" t="n">
        <f aca="false">IF(AND(ISNUMBER($G301),$G301&gt;=MA_SHORT),AVERAGE(INDEX($C$5:$C301,298-MA_SHORT):$C301),"")</f>
        <v>928080598.3</v>
      </c>
      <c r="J301" s="52" t="n">
        <f aca="false">IF(AND(ISNUMBER($G301),$G301&gt;=MA_MED),AVERAGE(INDEX($C$5:$C301,298-MA_MED):$C301),"")</f>
        <v>906604915.76</v>
      </c>
      <c r="K301" s="52" t="n">
        <f aca="false">IF(AND(ISNUMBER($G301),$G301&gt;=MA_LONG2),AVERAGE(INDEX($C$5:$C301,298-MA_LONG2):$C301),"")</f>
        <v>852404681.02</v>
      </c>
      <c r="L301" s="53" t="n">
        <f aca="false">IF(AND(ISNUMBER($G301),$G301&gt;=21),STDEV(INDEX($H$241:$H301,62-20):$H301)*SQRT(245),"")</f>
        <v>0.211074676101959</v>
      </c>
      <c r="M301" s="52" t="n">
        <f aca="false">IF(AND(ISNUMBER($G301),$G301&gt;=60),MAX(INDEX($D$101:$D301,202-60):$D301),"")</f>
        <v>953870113</v>
      </c>
      <c r="N301" s="52" t="n">
        <f aca="false">IF(AND(ISNUMBER($G301),$G301&gt;=60),MIN(INDEX($E$101:$E301,202-60):$E301),"")</f>
        <v>862726691</v>
      </c>
      <c r="O301" s="53" t="n">
        <f aca="false">IF(OR(NOT(ISNUMBER($C301)),NOT(ISNUMBER($M301)),$M301=0),"",$C301/$M301-1)</f>
        <v>-0.0664931400361424</v>
      </c>
      <c r="P301" s="54"/>
      <c r="Q301" s="53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898110621</v>
      </c>
      <c r="D302" s="49" t="n">
        <v>898846597</v>
      </c>
      <c r="E302" s="49" t="n">
        <v>895387529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0.00860955261509044</v>
      </c>
      <c r="I302" s="52" t="n">
        <f aca="false">IF(AND(ISNUMBER($G302),$G302&gt;=MA_SHORT),AVERAGE(INDEX($C$5:$C302,299-MA_SHORT):$C302),"")</f>
        <v>927801442.05</v>
      </c>
      <c r="J302" s="52" t="n">
        <f aca="false">IF(AND(ISNUMBER($G302),$G302&gt;=MA_MED),AVERAGE(INDEX($C$5:$C302,299-MA_MED):$C302),"")</f>
        <v>906756560.64</v>
      </c>
      <c r="K302" s="52" t="n">
        <f aca="false">IF(AND(ISNUMBER($G302),$G302&gt;=MA_LONG2),AVERAGE(INDEX($C$5:$C302,299-MA_LONG2):$C302),"")</f>
        <v>853106154.715</v>
      </c>
      <c r="L302" s="53" t="n">
        <f aca="false">IF(AND(ISNUMBER($G302),$G302&gt;=21),STDEV(INDEX($H$242:$H302,62-20):$H302)*SQRT(245),"")</f>
        <v>0.210749926788082</v>
      </c>
      <c r="M302" s="52" t="n">
        <f aca="false">IF(AND(ISNUMBER($G302),$G302&gt;=60),MAX(INDEX($D$102:$D302,202-60):$D302),"")</f>
        <v>953870113</v>
      </c>
      <c r="N302" s="52" t="n">
        <f aca="false">IF(AND(ISNUMBER($G302),$G302&gt;=60),MIN(INDEX($E$102:$E302,202-60):$E302),"")</f>
        <v>862726691</v>
      </c>
      <c r="O302" s="53" t="n">
        <f aca="false">IF(OR(NOT(ISNUMBER($C302)),NOT(ISNUMBER($M302)),$M302=0),"",$C302/$M302-1)</f>
        <v>-0.0584560636087358</v>
      </c>
      <c r="P302" s="54"/>
      <c r="Q302" s="53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889761747</v>
      </c>
      <c r="D303" s="49" t="n">
        <v>890253060</v>
      </c>
      <c r="E303" s="49" t="n">
        <v>888711756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-0.00929604194047273</v>
      </c>
      <c r="I303" s="52" t="n">
        <f aca="false">IF(AND(ISNUMBER($G303),$G303&gt;=MA_SHORT),AVERAGE(INDEX($C$5:$C303,300-MA_SHORT):$C303),"")</f>
        <v>926915853.1</v>
      </c>
      <c r="J303" s="52" t="n">
        <f aca="false">IF(AND(ISNUMBER($G303),$G303&gt;=MA_MED),AVERAGE(INDEX($C$5:$C303,300-MA_MED):$C303),"")</f>
        <v>906649440.14</v>
      </c>
      <c r="K303" s="52" t="n">
        <f aca="false">IF(AND(ISNUMBER($G303),$G303&gt;=MA_LONG2),AVERAGE(INDEX($C$5:$C303,300-MA_LONG2):$C303),"")</f>
        <v>853727376.67</v>
      </c>
      <c r="L303" s="53" t="n">
        <f aca="false">IF(AND(ISNUMBER($G303),$G303&gt;=21),STDEV(INDEX($H$243:$H303,62-20):$H303)*SQRT(245),"")</f>
        <v>0.212389428066471</v>
      </c>
      <c r="M303" s="52" t="n">
        <f aca="false">IF(AND(ISNUMBER($G303),$G303&gt;=60),MAX(INDEX($D$103:$D303,202-60):$D303),"")</f>
        <v>953870113</v>
      </c>
      <c r="N303" s="52" t="n">
        <f aca="false">IF(AND(ISNUMBER($G303),$G303&gt;=60),MIN(INDEX($E$103:$E303,202-60):$E303),"")</f>
        <v>862726691</v>
      </c>
      <c r="O303" s="53" t="n">
        <f aca="false">IF(OR(NOT(ISNUMBER($C303)),NOT(ISNUMBER($M303)),$M303=0),"",$C303/$M303-1)</f>
        <v>-0.0672086955302268</v>
      </c>
      <c r="P303" s="54"/>
      <c r="Q303" s="53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878848299</v>
      </c>
      <c r="D304" s="49" t="n">
        <v>880389236</v>
      </c>
      <c r="E304" s="49" t="n">
        <v>871020053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-0.0122655846205985</v>
      </c>
      <c r="I304" s="52" t="n">
        <f aca="false">IF(AND(ISNUMBER($G304),$G304&gt;=MA_SHORT),AVERAGE(INDEX($C$5:$C304,301-MA_SHORT):$C304),"")</f>
        <v>924742334.25</v>
      </c>
      <c r="J304" s="52" t="n">
        <f aca="false">IF(AND(ISNUMBER($G304),$G304&gt;=MA_MED),AVERAGE(INDEX($C$5:$C304,301-MA_MED):$C304),"")</f>
        <v>906473476.6</v>
      </c>
      <c r="K304" s="52" t="n">
        <f aca="false">IF(AND(ISNUMBER($G304),$G304&gt;=MA_LONG2),AVERAGE(INDEX($C$5:$C304,301-MA_LONG2):$C304),"")</f>
        <v>854260577.32</v>
      </c>
      <c r="L304" s="53" t="n">
        <f aca="false">IF(AND(ISNUMBER($G304),$G304&gt;=21),STDEV(INDEX($H$244:$H304,62-20):$H304)*SQRT(245),"")</f>
        <v>0.205930396921486</v>
      </c>
      <c r="M304" s="52" t="n">
        <f aca="false">IF(AND(ISNUMBER($G304),$G304&gt;=60),MAX(INDEX($D$104:$D304,202-60):$D304),"")</f>
        <v>953870113</v>
      </c>
      <c r="N304" s="52" t="n">
        <f aca="false">IF(AND(ISNUMBER($G304),$G304&gt;=60),MIN(INDEX($E$104:$E304,202-60):$E304),"")</f>
        <v>862726691</v>
      </c>
      <c r="O304" s="53" t="n">
        <f aca="false">IF(OR(NOT(ISNUMBER($C304)),NOT(ISNUMBER($M304)),$M304=0),"",$C304/$M304-1)</f>
        <v>-0.0786499262085592</v>
      </c>
      <c r="P304" s="54"/>
      <c r="Q304" s="53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881571046</v>
      </c>
      <c r="D305" s="49" t="n">
        <v>884967802</v>
      </c>
      <c r="E305" s="49" t="n">
        <v>876899587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0.00309808530448108</v>
      </c>
      <c r="I305" s="52" t="n">
        <f aca="false">IF(AND(ISNUMBER($G305),$G305&gt;=MA_SHORT),AVERAGE(INDEX($C$5:$C305,302-MA_SHORT):$C305),"")</f>
        <v>921368017.95</v>
      </c>
      <c r="J305" s="52" t="n">
        <f aca="false">IF(AND(ISNUMBER($G305),$G305&gt;=MA_MED),AVERAGE(INDEX($C$5:$C305,302-MA_MED):$C305),"")</f>
        <v>906208124.46</v>
      </c>
      <c r="K305" s="52" t="n">
        <f aca="false">IF(AND(ISNUMBER($G305),$G305&gt;=MA_LONG2),AVERAGE(INDEX($C$5:$C305,302-MA_LONG2):$C305),"")</f>
        <v>854779739.68</v>
      </c>
      <c r="L305" s="53" t="n">
        <f aca="false">IF(AND(ISNUMBER($G305),$G305&gt;=21),STDEV(INDEX($H$245:$H305,62-20):$H305)*SQRT(245),"")</f>
        <v>0.172354245139189</v>
      </c>
      <c r="M305" s="52" t="n">
        <f aca="false">IF(AND(ISNUMBER($G305),$G305&gt;=60),MAX(INDEX($D$105:$D305,202-60):$D305),"")</f>
        <v>953870113</v>
      </c>
      <c r="N305" s="52" t="n">
        <f aca="false">IF(AND(ISNUMBER($G305),$G305&gt;=60),MIN(INDEX($E$105:$E305,202-60):$E305),"")</f>
        <v>862726691</v>
      </c>
      <c r="O305" s="53" t="n">
        <f aca="false">IF(OR(NOT(ISNUMBER($C305)),NOT(ISNUMBER($M305)),$M305=0),"",$C305/$M305-1)</f>
        <v>-0.0757955050846635</v>
      </c>
      <c r="P305" s="54"/>
      <c r="Q305" s="53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905500566</v>
      </c>
      <c r="D306" s="49" t="n">
        <v>907439490</v>
      </c>
      <c r="E306" s="49" t="n">
        <v>904174171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0.0271441764206943</v>
      </c>
      <c r="I306" s="52" t="n">
        <f aca="false">IF(AND(ISNUMBER($G306),$G306&gt;=MA_SHORT),AVERAGE(INDEX($C$5:$C306,303-MA_SHORT):$C306),"")</f>
        <v>919724288.4</v>
      </c>
      <c r="J306" s="52" t="n">
        <f aca="false">IF(AND(ISNUMBER($G306),$G306&gt;=MA_MED),AVERAGE(INDEX($C$5:$C306,303-MA_MED):$C306),"")</f>
        <v>906238253.54</v>
      </c>
      <c r="K306" s="52" t="n">
        <f aca="false">IF(AND(ISNUMBER($G306),$G306&gt;=MA_LONG2),AVERAGE(INDEX($C$5:$C306,303-MA_LONG2):$C306),"")</f>
        <v>855417999.635</v>
      </c>
      <c r="L306" s="53" t="n">
        <f aca="false">IF(AND(ISNUMBER($G306),$G306&gt;=21),STDEV(INDEX($H$246:$H306,62-20):$H306)*SQRT(245),"")</f>
        <v>0.200527491720981</v>
      </c>
      <c r="M306" s="52" t="n">
        <f aca="false">IF(AND(ISNUMBER($G306),$G306&gt;=60),MAX(INDEX($D$106:$D306,202-60):$D306),"")</f>
        <v>953870113</v>
      </c>
      <c r="N306" s="52" t="n">
        <f aca="false">IF(AND(ISNUMBER($G306),$G306&gt;=60),MIN(INDEX($E$106:$E306,202-60):$E306),"")</f>
        <v>862726691</v>
      </c>
      <c r="O306" s="53" t="n">
        <f aca="false">IF(OR(NOT(ISNUMBER($C306)),NOT(ISNUMBER($M306)),$M306=0),"",$C306/$M306-1)</f>
        <v>-0.0507087352258829</v>
      </c>
      <c r="P306" s="54"/>
      <c r="Q306" s="53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892874514</v>
      </c>
      <c r="D307" s="49" t="n">
        <v>897666073</v>
      </c>
      <c r="E307" s="49" t="n">
        <v>892756737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-0.0139437262372732</v>
      </c>
      <c r="I307" s="52" t="n">
        <f aca="false">IF(AND(ISNUMBER($G307),$G307&gt;=MA_SHORT),AVERAGE(INDEX($C$5:$C307,304-MA_SHORT):$C307),"")</f>
        <v>917106718.85</v>
      </c>
      <c r="J307" s="52" t="n">
        <f aca="false">IF(AND(ISNUMBER($G307),$G307&gt;=MA_MED),AVERAGE(INDEX($C$5:$C307,304-MA_MED):$C307),"")</f>
        <v>905783226.82</v>
      </c>
      <c r="K307" s="52" t="n">
        <f aca="false">IF(AND(ISNUMBER($G307),$G307&gt;=MA_LONG2),AVERAGE(INDEX($C$5:$C307,304-MA_LONG2):$C307),"")</f>
        <v>856023836.585</v>
      </c>
      <c r="L307" s="53" t="n">
        <f aca="false">IF(AND(ISNUMBER($G307),$G307&gt;=21),STDEV(INDEX($H$247:$H307,62-20):$H307)*SQRT(245),"")</f>
        <v>0.202006482240355</v>
      </c>
      <c r="M307" s="52" t="n">
        <f aca="false">IF(AND(ISNUMBER($G307),$G307&gt;=60),MAX(INDEX($D$107:$D307,202-60):$D307),"")</f>
        <v>953870113</v>
      </c>
      <c r="N307" s="52" t="n">
        <f aca="false">IF(AND(ISNUMBER($G307),$G307&gt;=60),MIN(INDEX($E$107:$E307,202-60):$E307),"")</f>
        <v>862726691</v>
      </c>
      <c r="O307" s="53" t="n">
        <f aca="false">IF(OR(NOT(ISNUMBER($C307)),NOT(ISNUMBER($M307)),$M307=0),"",$C307/$M307-1)</f>
        <v>-0.063945392741328</v>
      </c>
      <c r="P307" s="54"/>
      <c r="Q307" s="53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884215150</v>
      </c>
      <c r="D308" s="49" t="n">
        <v>892738264</v>
      </c>
      <c r="E308" s="49" t="n">
        <v>881223836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-0.00969829899299823</v>
      </c>
      <c r="I308" s="52" t="n">
        <f aca="false">IF(AND(ISNUMBER($G308),$G308&gt;=MA_SHORT),AVERAGE(INDEX($C$5:$C308,305-MA_SHORT):$C308),"")</f>
        <v>914632869.7</v>
      </c>
      <c r="J308" s="52" t="n">
        <f aca="false">IF(AND(ISNUMBER($G308),$G308&gt;=MA_MED),AVERAGE(INDEX($C$5:$C308,305-MA_MED):$C308),"")</f>
        <v>905108086.94</v>
      </c>
      <c r="K308" s="52" t="n">
        <f aca="false">IF(AND(ISNUMBER($G308),$G308&gt;=MA_LONG2),AVERAGE(INDEX($C$5:$C308,305-MA_LONG2):$C308),"")</f>
        <v>856674328.365</v>
      </c>
      <c r="L308" s="53" t="n">
        <f aca="false">IF(AND(ISNUMBER($G308),$G308&gt;=21),STDEV(INDEX($H$248:$H308,62-20):$H308)*SQRT(245),"")</f>
        <v>0.200684085924353</v>
      </c>
      <c r="M308" s="52" t="n">
        <f aca="false">IF(AND(ISNUMBER($G308),$G308&gt;=60),MAX(INDEX($D$108:$D308,202-60):$D308),"")</f>
        <v>953870113</v>
      </c>
      <c r="N308" s="52" t="n">
        <f aca="false">IF(AND(ISNUMBER($G308),$G308&gt;=60),MIN(INDEX($E$108:$E308,202-60):$E308),"")</f>
        <v>862726691</v>
      </c>
      <c r="O308" s="53" t="n">
        <f aca="false">IF(OR(NOT(ISNUMBER($C308)),NOT(ISNUMBER($M308)),$M308=0),"",$C308/$M308-1)</f>
        <v>-0.0730235301962963</v>
      </c>
      <c r="P308" s="54"/>
      <c r="Q308" s="53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892772347</v>
      </c>
      <c r="D309" s="49" t="n">
        <v>894307009</v>
      </c>
      <c r="E309" s="49" t="n">
        <v>888775864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0.00967773171495656</v>
      </c>
      <c r="I309" s="52" t="n">
        <f aca="false">IF(AND(ISNUMBER($G309),$G309&gt;=MA_SHORT),AVERAGE(INDEX($C$5:$C309,306-MA_SHORT):$C309),"")</f>
        <v>912230356.65</v>
      </c>
      <c r="J309" s="52" t="n">
        <f aca="false">IF(AND(ISNUMBER($G309),$G309&gt;=MA_MED),AVERAGE(INDEX($C$5:$C309,306-MA_MED):$C309),"")</f>
        <v>904695289.8</v>
      </c>
      <c r="K309" s="52" t="n">
        <f aca="false">IF(AND(ISNUMBER($G309),$G309&gt;=MA_LONG2),AVERAGE(INDEX($C$5:$C309,306-MA_LONG2):$C309),"")</f>
        <v>857299859.07</v>
      </c>
      <c r="L309" s="53" t="n">
        <f aca="false">IF(AND(ISNUMBER($G309),$G309&gt;=21),STDEV(INDEX($H$249:$H309,62-20):$H309)*SQRT(245),"")</f>
        <v>0.20215358366545</v>
      </c>
      <c r="M309" s="52" t="n">
        <f aca="false">IF(AND(ISNUMBER($G309),$G309&gt;=60),MAX(INDEX($D$109:$D309,202-60):$D309),"")</f>
        <v>953870113</v>
      </c>
      <c r="N309" s="52" t="n">
        <f aca="false">IF(AND(ISNUMBER($G309),$G309&gt;=60),MIN(INDEX($E$109:$E309,202-60):$E309),"")</f>
        <v>862726691</v>
      </c>
      <c r="O309" s="53" t="n">
        <f aca="false">IF(OR(NOT(ISNUMBER($C309)),NOT(ISNUMBER($M309)),$M309=0),"",$C309/$M309-1)</f>
        <v>-0.0640525006154585</v>
      </c>
      <c r="P309" s="54"/>
      <c r="Q309" s="53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871837674</v>
      </c>
      <c r="D310" s="49" t="n">
        <v>875547100</v>
      </c>
      <c r="E310" s="49" t="n">
        <v>870551178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-0.0234490607491901</v>
      </c>
      <c r="I310" s="52" t="n">
        <f aca="false">IF(AND(ISNUMBER($G310),$G310&gt;=MA_SHORT),AVERAGE(INDEX($C$5:$C310,307-MA_SHORT):$C310),"")</f>
        <v>909262323.9</v>
      </c>
      <c r="J310" s="52" t="n">
        <f aca="false">IF(AND(ISNUMBER($G310),$G310&gt;=MA_MED),AVERAGE(INDEX($C$5:$C310,307-MA_MED):$C310),"")</f>
        <v>904144717.34</v>
      </c>
      <c r="K310" s="52" t="n">
        <f aca="false">IF(AND(ISNUMBER($G310),$G310&gt;=MA_LONG2),AVERAGE(INDEX($C$5:$C310,307-MA_LONG2):$C310),"")</f>
        <v>857765452.03</v>
      </c>
      <c r="L310" s="53" t="n">
        <f aca="false">IF(AND(ISNUMBER($G310),$G310&gt;=21),STDEV(INDEX($H$250:$H310,62-20):$H310)*SQRT(245),"")</f>
        <v>0.213608936649705</v>
      </c>
      <c r="M310" s="52" t="n">
        <f aca="false">IF(AND(ISNUMBER($G310),$G310&gt;=60),MAX(INDEX($D$110:$D310,202-60):$D310),"")</f>
        <v>953870113</v>
      </c>
      <c r="N310" s="52" t="n">
        <f aca="false">IF(AND(ISNUMBER($G310),$G310&gt;=60),MIN(INDEX($E$110:$E310,202-60):$E310),"")</f>
        <v>862726691</v>
      </c>
      <c r="O310" s="53" t="n">
        <f aca="false">IF(OR(NOT(ISNUMBER($C310)),NOT(ISNUMBER($M310)),$M310=0),"",$C310/$M310-1)</f>
        <v>-0.0859995903865792</v>
      </c>
      <c r="P310" s="54"/>
      <c r="Q310" s="53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880224879</v>
      </c>
      <c r="D311" s="49" t="n">
        <v>889354664</v>
      </c>
      <c r="E311" s="49" t="n">
        <v>879013627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0.00962014518312726</v>
      </c>
      <c r="I311" s="52" t="n">
        <f aca="false">IF(AND(ISNUMBER($G311),$G311&gt;=MA_SHORT),AVERAGE(INDEX($C$5:$C311,308-MA_SHORT):$C311),"")</f>
        <v>907169736.1</v>
      </c>
      <c r="J311" s="52" t="n">
        <f aca="false">IF(AND(ISNUMBER($G311),$G311&gt;=MA_MED),AVERAGE(INDEX($C$5:$C311,308-MA_MED):$C311),"")</f>
        <v>903825512.84</v>
      </c>
      <c r="K311" s="52" t="n">
        <f aca="false">IF(AND(ISNUMBER($G311),$G311&gt;=MA_LONG2),AVERAGE(INDEX($C$5:$C311,308-MA_LONG2):$C311),"")</f>
        <v>858262765.335</v>
      </c>
      <c r="L311" s="53" t="n">
        <f aca="false">IF(AND(ISNUMBER($G311),$G311&gt;=21),STDEV(INDEX($H$251:$H311,62-20):$H311)*SQRT(245),"")</f>
        <v>0.216665595580781</v>
      </c>
      <c r="M311" s="52" t="n">
        <f aca="false">IF(AND(ISNUMBER($G311),$G311&gt;=60),MAX(INDEX($D$111:$D311,202-60):$D311),"")</f>
        <v>953870113</v>
      </c>
      <c r="N311" s="52" t="n">
        <f aca="false">IF(AND(ISNUMBER($G311),$G311&gt;=60),MIN(INDEX($E$111:$E311,202-60):$E311),"")</f>
        <v>862726691</v>
      </c>
      <c r="O311" s="53" t="n">
        <f aca="false">IF(OR(NOT(ISNUMBER($C311)),NOT(ISNUMBER($M311)),$M311=0),"",$C311/$M311-1)</f>
        <v>-0.0772067737486603</v>
      </c>
      <c r="P311" s="54"/>
      <c r="Q311" s="53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888234672</v>
      </c>
      <c r="D312" s="49" t="n">
        <v>888607334</v>
      </c>
      <c r="E312" s="49" t="n">
        <v>882040307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0.0090997121202705</v>
      </c>
      <c r="I312" s="52" t="n">
        <f aca="false">IF(AND(ISNUMBER($G312),$G312&gt;=MA_SHORT),AVERAGE(INDEX($C$5:$C312,309-MA_SHORT):$C312),"")</f>
        <v>904745218.5</v>
      </c>
      <c r="J312" s="52" t="n">
        <f aca="false">IF(AND(ISNUMBER($G312),$G312&gt;=MA_MED),AVERAGE(INDEX($C$5:$C312,309-MA_MED):$C312),"")</f>
        <v>903906883.74</v>
      </c>
      <c r="K312" s="52" t="n">
        <f aca="false">IF(AND(ISNUMBER($G312),$G312&gt;=MA_LONG2),AVERAGE(INDEX($C$5:$C312,309-MA_LONG2):$C312),"")</f>
        <v>858860192.69</v>
      </c>
      <c r="L312" s="53" t="n">
        <f aca="false">IF(AND(ISNUMBER($G312),$G312&gt;=21),STDEV(INDEX($H$252:$H312,62-20):$H312)*SQRT(245),"")</f>
        <v>0.210564971401205</v>
      </c>
      <c r="M312" s="52" t="n">
        <f aca="false">IF(AND(ISNUMBER($G312),$G312&gt;=60),MAX(INDEX($D$112:$D312,202-60):$D312),"")</f>
        <v>953870113</v>
      </c>
      <c r="N312" s="52" t="n">
        <f aca="false">IF(AND(ISNUMBER($G312),$G312&gt;=60),MIN(INDEX($E$112:$E312,202-60):$E312),"")</f>
        <v>862726691</v>
      </c>
      <c r="O312" s="53" t="n">
        <f aca="false">IF(OR(NOT(ISNUMBER($C312)),NOT(ISNUMBER($M312)),$M312=0),"",$C312/$M312-1)</f>
        <v>-0.0688096210432374</v>
      </c>
      <c r="P312" s="54"/>
      <c r="Q312" s="53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898324168</v>
      </c>
      <c r="D313" s="49" t="n">
        <v>901798763</v>
      </c>
      <c r="E313" s="49" t="n">
        <v>896147189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0.0113590431876318</v>
      </c>
      <c r="I313" s="52" t="n">
        <f aca="false">IF(AND(ISNUMBER($G313),$G313&gt;=MA_SHORT),AVERAGE(INDEX($C$5:$C313,310-MA_SHORT):$C313),"")</f>
        <v>902939052.15</v>
      </c>
      <c r="J313" s="52" t="n">
        <f aca="false">IF(AND(ISNUMBER($G313),$G313&gt;=MA_MED),AVERAGE(INDEX($C$5:$C313,310-MA_MED):$C313),"")</f>
        <v>904528216.78</v>
      </c>
      <c r="K313" s="52" t="n">
        <f aca="false">IF(AND(ISNUMBER($G313),$G313&gt;=MA_LONG2),AVERAGE(INDEX($C$5:$C313,310-MA_LONG2):$C313),"")</f>
        <v>859490552.625</v>
      </c>
      <c r="L313" s="53" t="n">
        <f aca="false">IF(AND(ISNUMBER($G313),$G313&gt;=21),STDEV(INDEX($H$253:$H313,62-20):$H313)*SQRT(245),"")</f>
        <v>0.216138736704738</v>
      </c>
      <c r="M313" s="52" t="n">
        <f aca="false">IF(AND(ISNUMBER($G313),$G313&gt;=60),MAX(INDEX($D$113:$D313,202-60):$D313),"")</f>
        <v>953870113</v>
      </c>
      <c r="N313" s="52" t="n">
        <f aca="false">IF(AND(ISNUMBER($G313),$G313&gt;=60),MIN(INDEX($E$113:$E313,202-60):$E313),"")</f>
        <v>862726691</v>
      </c>
      <c r="O313" s="53" t="n">
        <f aca="false">IF(OR(NOT(ISNUMBER($C313)),NOT(ISNUMBER($M313)),$M313=0),"",$C313/$M313-1)</f>
        <v>-0.0582321893127602</v>
      </c>
      <c r="P313" s="54"/>
      <c r="Q313" s="53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895791741</v>
      </c>
      <c r="D314" s="49" t="n">
        <v>898830420</v>
      </c>
      <c r="E314" s="49" t="n">
        <v>892606364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-0.0028190569620743</v>
      </c>
      <c r="I314" s="52" t="n">
        <f aca="false">IF(AND(ISNUMBER($G314),$G314&gt;=MA_SHORT),AVERAGE(INDEX($C$5:$C314,311-MA_SHORT):$C314),"")</f>
        <v>900364167.85</v>
      </c>
      <c r="J314" s="52" t="n">
        <f aca="false">IF(AND(ISNUMBER($G314),$G314&gt;=MA_MED),AVERAGE(INDEX($C$5:$C314,311-MA_MED):$C314),"")</f>
        <v>904748126.74</v>
      </c>
      <c r="K314" s="52" t="n">
        <f aca="false">IF(AND(ISNUMBER($G314),$G314&gt;=MA_LONG2),AVERAGE(INDEX($C$5:$C314,311-MA_LONG2):$C314),"")</f>
        <v>860058282.215</v>
      </c>
      <c r="L314" s="53" t="n">
        <f aca="false">IF(AND(ISNUMBER($G314),$G314&gt;=21),STDEV(INDEX($H$254:$H314,62-20):$H314)*SQRT(245),"")</f>
        <v>0.208335677755685</v>
      </c>
      <c r="M314" s="52" t="n">
        <f aca="false">IF(AND(ISNUMBER($G314),$G314&gt;=60),MAX(INDEX($D$114:$D314,202-60):$D314),"")</f>
        <v>953870113</v>
      </c>
      <c r="N314" s="52" t="n">
        <f aca="false">IF(AND(ISNUMBER($G314),$G314&gt;=60),MIN(INDEX($E$114:$E314,202-60):$E314),"")</f>
        <v>862726691</v>
      </c>
      <c r="O314" s="53" t="n">
        <f aca="false">IF(OR(NOT(ISNUMBER($C314)),NOT(ISNUMBER($M314)),$M314=0),"",$C314/$M314-1)</f>
        <v>-0.0608870864161356</v>
      </c>
      <c r="P314" s="54"/>
      <c r="Q314" s="53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910264598</v>
      </c>
      <c r="D315" s="49" t="n">
        <v>911182936</v>
      </c>
      <c r="E315" s="49" t="n">
        <v>902403149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0.0161564974732225</v>
      </c>
      <c r="I315" s="52" t="n">
        <f aca="false">IF(AND(ISNUMBER($G315),$G315&gt;=MA_SHORT),AVERAGE(INDEX($C$5:$C315,312-MA_SHORT):$C315),"")</f>
        <v>898725750.5</v>
      </c>
      <c r="J315" s="52" t="n">
        <f aca="false">IF(AND(ISNUMBER($G315),$G315&gt;=MA_MED),AVERAGE(INDEX($C$5:$C315,312-MA_MED):$C315),"")</f>
        <v>905156608.42</v>
      </c>
      <c r="K315" s="52" t="n">
        <f aca="false">IF(AND(ISNUMBER($G315),$G315&gt;=MA_LONG2),AVERAGE(INDEX($C$5:$C315,312-MA_LONG2):$C315),"")</f>
        <v>860679807.055</v>
      </c>
      <c r="L315" s="53" t="n">
        <f aca="false">IF(AND(ISNUMBER($G315),$G315&gt;=21),STDEV(INDEX($H$255:$H315,62-20):$H315)*SQRT(245),"")</f>
        <v>0.218348265328145</v>
      </c>
      <c r="M315" s="52" t="n">
        <f aca="false">IF(AND(ISNUMBER($G315),$G315&gt;=60),MAX(INDEX($D$115:$D315,202-60):$D315),"")</f>
        <v>953870113</v>
      </c>
      <c r="N315" s="52" t="n">
        <f aca="false">IF(AND(ISNUMBER($G315),$G315&gt;=60),MIN(INDEX($E$115:$E315,202-60):$E315),"")</f>
        <v>862726691</v>
      </c>
      <c r="O315" s="53" t="n">
        <f aca="false">IF(OR(NOT(ISNUMBER($C315)),NOT(ISNUMBER($M315)),$M315=0),"",$C315/$M315-1)</f>
        <v>-0.0457143110007473</v>
      </c>
      <c r="P315" s="54"/>
      <c r="Q315" s="53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912551209</v>
      </c>
      <c r="D316" s="49" t="n">
        <v>912581040</v>
      </c>
      <c r="E316" s="49" t="n">
        <v>910506890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0.00251202892546187</v>
      </c>
      <c r="I316" s="52" t="n">
        <f aca="false">IF(AND(ISNUMBER($G316),$G316&gt;=MA_SHORT),AVERAGE(INDEX($C$5:$C316,313-MA_SHORT):$C316),"")</f>
        <v>897774558.6</v>
      </c>
      <c r="J316" s="52" t="n">
        <f aca="false">IF(AND(ISNUMBER($G316),$G316&gt;=MA_MED),AVERAGE(INDEX($C$5:$C316,313-MA_MED):$C316),"")</f>
        <v>905773995.2</v>
      </c>
      <c r="K316" s="52" t="n">
        <f aca="false">IF(AND(ISNUMBER($G316),$G316&gt;=MA_LONG2),AVERAGE(INDEX($C$5:$C316,313-MA_LONG2):$C316),"")</f>
        <v>861284008.065</v>
      </c>
      <c r="L316" s="53" t="n">
        <f aca="false">IF(AND(ISNUMBER($G316),$G316&gt;=21),STDEV(INDEX($H$256:$H316,62-20):$H316)*SQRT(245),"")</f>
        <v>0.215286527340878</v>
      </c>
      <c r="M316" s="52" t="n">
        <f aca="false">IF(AND(ISNUMBER($G316),$G316&gt;=60),MAX(INDEX($D$116:$D316,202-60):$D316),"")</f>
        <v>953870113</v>
      </c>
      <c r="N316" s="52" t="n">
        <f aca="false">IF(AND(ISNUMBER($G316),$G316&gt;=60),MIN(INDEX($E$116:$E316,202-60):$E316),"")</f>
        <v>862726691</v>
      </c>
      <c r="O316" s="53" t="n">
        <f aca="false">IF(OR(NOT(ISNUMBER($C316)),NOT(ISNUMBER($M316)),$M316=0),"",$C316/$M316-1)</f>
        <v>-0.0433171177468268</v>
      </c>
      <c r="P316" s="54"/>
      <c r="Q316" s="53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917343292</v>
      </c>
      <c r="D317" s="49" t="n">
        <v>920837542</v>
      </c>
      <c r="E317" s="49" t="n">
        <v>908099518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0.00525130310796618</v>
      </c>
      <c r="I317" s="52" t="n">
        <f aca="false">IF(AND(ISNUMBER($G317),$G317&gt;=MA_SHORT),AVERAGE(INDEX($C$5:$C317,314-MA_SHORT):$C317),"")</f>
        <v>897475495.95</v>
      </c>
      <c r="J317" s="52" t="n">
        <f aca="false">IF(AND(ISNUMBER($G317),$G317&gt;=MA_MED),AVERAGE(INDEX($C$5:$C317,314-MA_MED):$C317),"")</f>
        <v>906640461.16</v>
      </c>
      <c r="K317" s="52" t="n">
        <f aca="false">IF(AND(ISNUMBER($G317),$G317&gt;=MA_LONG2),AVERAGE(INDEX($C$5:$C317,314-MA_LONG2):$C317),"")</f>
        <v>861910835.655</v>
      </c>
      <c r="L317" s="53" t="n">
        <f aca="false">IF(AND(ISNUMBER($G317),$G317&gt;=21),STDEV(INDEX($H$257:$H317,62-20):$H317)*SQRT(245),"")</f>
        <v>0.214258222067992</v>
      </c>
      <c r="M317" s="52" t="n">
        <f aca="false">IF(AND(ISNUMBER($G317),$G317&gt;=60),MAX(INDEX($D$117:$D317,202-60):$D317),"")</f>
        <v>953870113</v>
      </c>
      <c r="N317" s="52" t="n">
        <f aca="false">IF(AND(ISNUMBER($G317),$G317&gt;=60),MIN(INDEX($E$117:$E317,202-60):$E317),"")</f>
        <v>862726691</v>
      </c>
      <c r="O317" s="53" t="n">
        <f aca="false">IF(OR(NOT(ISNUMBER($C317)),NOT(ISNUMBER($M317)),$M317=0),"",$C317/$M317-1)</f>
        <v>-0.0382932859539127</v>
      </c>
      <c r="P317" s="54"/>
      <c r="Q317" s="53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912188865</v>
      </c>
      <c r="D318" s="49" t="n">
        <v>915970271</v>
      </c>
      <c r="E318" s="49" t="n">
        <v>912027655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-0.00561886378300347</v>
      </c>
      <c r="I318" s="52" t="n">
        <f aca="false">IF(AND(ISNUMBER($G318),$G318&gt;=MA_SHORT),AVERAGE(INDEX($C$5:$C318,315-MA_SHORT):$C318),"")</f>
        <v>896327745.65</v>
      </c>
      <c r="J318" s="52" t="n">
        <f aca="false">IF(AND(ISNUMBER($G318),$G318&gt;=MA_MED),AVERAGE(INDEX($C$5:$C318,315-MA_MED):$C318),"")</f>
        <v>906933365.5</v>
      </c>
      <c r="K318" s="52" t="n">
        <f aca="false">IF(AND(ISNUMBER($G318),$G318&gt;=MA_LONG2),AVERAGE(INDEX($C$5:$C318,315-MA_LONG2):$C318),"")</f>
        <v>862494408.075</v>
      </c>
      <c r="L318" s="53" t="n">
        <f aca="false">IF(AND(ISNUMBER($G318),$G318&gt;=21),STDEV(INDEX($H$258:$H318,62-20):$H318)*SQRT(245),"")</f>
        <v>0.209451528979829</v>
      </c>
      <c r="M318" s="52" t="n">
        <f aca="false">IF(AND(ISNUMBER($G318),$G318&gt;=60),MAX(INDEX($D$118:$D318,202-60):$D318),"")</f>
        <v>953870113</v>
      </c>
      <c r="N318" s="52" t="n">
        <f aca="false">IF(AND(ISNUMBER($G318),$G318&gt;=60),MIN(INDEX($E$118:$E318,202-60):$E318),"")</f>
        <v>862726691</v>
      </c>
      <c r="O318" s="53" t="n">
        <f aca="false">IF(OR(NOT(ISNUMBER($C318)),NOT(ISNUMBER($M318)),$M318=0),"",$C318/$M318-1)</f>
        <v>-0.0436969849793375</v>
      </c>
      <c r="P318" s="54"/>
      <c r="Q318" s="53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914383009</v>
      </c>
      <c r="D319" s="49" t="n">
        <v>917293438</v>
      </c>
      <c r="E319" s="49" t="n">
        <v>913778567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0.00240536152565296</v>
      </c>
      <c r="I319" s="52" t="n">
        <f aca="false">IF(AND(ISNUMBER($G319),$G319&gt;=MA_SHORT),AVERAGE(INDEX($C$5:$C319,316-MA_SHORT):$C319),"")</f>
        <v>895960963.25</v>
      </c>
      <c r="J319" s="52" t="n">
        <f aca="false">IF(AND(ISNUMBER($G319),$G319&gt;=MA_MED),AVERAGE(INDEX($C$5:$C319,316-MA_MED):$C319),"")</f>
        <v>907108794.38</v>
      </c>
      <c r="K319" s="52" t="n">
        <f aca="false">IF(AND(ISNUMBER($G319),$G319&gt;=MA_LONG2),AVERAGE(INDEX($C$5:$C319,316-MA_LONG2):$C319),"")</f>
        <v>863072148.03</v>
      </c>
      <c r="L319" s="53" t="n">
        <f aca="false">IF(AND(ISNUMBER($G319),$G319&gt;=21),STDEV(INDEX($H$259:$H319,62-20):$H319)*SQRT(245),"")</f>
        <v>0.203975095600657</v>
      </c>
      <c r="M319" s="52" t="n">
        <f aca="false">IF(AND(ISNUMBER($G319),$G319&gt;=60),MAX(INDEX($D$119:$D319,202-60):$D319),"")</f>
        <v>953870113</v>
      </c>
      <c r="N319" s="52" t="n">
        <f aca="false">IF(AND(ISNUMBER($G319),$G319&gt;=60),MIN(INDEX($E$119:$E319,202-60):$E319),"")</f>
        <v>862726691</v>
      </c>
      <c r="O319" s="53" t="n">
        <f aca="false">IF(OR(NOT(ISNUMBER($C319)),NOT(ISNUMBER($M319)),$M319=0),"",$C319/$M319-1)</f>
        <v>-0.0413967305001409</v>
      </c>
      <c r="P319" s="54"/>
      <c r="Q319" s="53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922147269</v>
      </c>
      <c r="D320" s="49" t="n">
        <v>922296057</v>
      </c>
      <c r="E320" s="49" t="n">
        <v>920958858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0.00849125576873</v>
      </c>
      <c r="I320" s="52" t="n">
        <f aca="false">IF(AND(ISNUMBER($G320),$G320&gt;=MA_SHORT),AVERAGE(INDEX($C$5:$C320,317-MA_SHORT):$C320),"")</f>
        <v>896869498</v>
      </c>
      <c r="J320" s="52" t="n">
        <f aca="false">IF(AND(ISNUMBER($G320),$G320&gt;=MA_MED),AVERAGE(INDEX($C$5:$C320,317-MA_MED):$C320),"")</f>
        <v>907454791.04</v>
      </c>
      <c r="K320" s="52" t="n">
        <f aca="false">IF(AND(ISNUMBER($G320),$G320&gt;=MA_LONG2),AVERAGE(INDEX($C$5:$C320,317-MA_LONG2):$C320),"")</f>
        <v>863712292.66</v>
      </c>
      <c r="L320" s="53" t="n">
        <f aca="false">IF(AND(ISNUMBER($G320),$G320&gt;=21),STDEV(INDEX($H$260:$H320,62-20):$H320)*SQRT(245),"")</f>
        <v>0.193622632094928</v>
      </c>
      <c r="M320" s="52" t="n">
        <f aca="false">IF(AND(ISNUMBER($G320),$G320&gt;=60),MAX(INDEX($D$120:$D320,202-60):$D320),"")</f>
        <v>953870113</v>
      </c>
      <c r="N320" s="52" t="n">
        <f aca="false">IF(AND(ISNUMBER($G320),$G320&gt;=60),MIN(INDEX($E$120:$E320,202-60):$E320),"")</f>
        <v>862726691</v>
      </c>
      <c r="O320" s="53" t="n">
        <f aca="false">IF(OR(NOT(ISNUMBER($C320)),NOT(ISNUMBER($M320)),$M320=0),"",$C320/$M320-1)</f>
        <v>-0.0332569849580768</v>
      </c>
      <c r="P320" s="54"/>
      <c r="Q320" s="53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909813776</v>
      </c>
      <c r="D321" s="49" t="n">
        <v>912670316</v>
      </c>
      <c r="E321" s="49" t="n">
        <v>909387327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-0.0133747541359361</v>
      </c>
      <c r="I321" s="52" t="n">
        <f aca="false">IF(AND(ISNUMBER($G321),$G321&gt;=MA_SHORT),AVERAGE(INDEX($C$5:$C321,318-MA_SHORT):$C321),"")</f>
        <v>897837972.1</v>
      </c>
      <c r="J321" s="52" t="n">
        <f aca="false">IF(AND(ISNUMBER($G321),$G321&gt;=MA_MED),AVERAGE(INDEX($C$5:$C321,318-MA_MED):$C321),"")</f>
        <v>907836251.5</v>
      </c>
      <c r="K321" s="52" t="n">
        <f aca="false">IF(AND(ISNUMBER($G321),$G321&gt;=MA_LONG2),AVERAGE(INDEX($C$5:$C321,318-MA_LONG2):$C321),"")</f>
        <v>864295942.01</v>
      </c>
      <c r="L321" s="53" t="n">
        <f aca="false">IF(AND(ISNUMBER($G321),$G321&gt;=21),STDEV(INDEX($H$261:$H321,62-20):$H321)*SQRT(245),"")</f>
        <v>0.19199268403574</v>
      </c>
      <c r="M321" s="52" t="n">
        <f aca="false">IF(AND(ISNUMBER($G321),$G321&gt;=60),MAX(INDEX($D$121:$D321,202-60):$D321),"")</f>
        <v>953870113</v>
      </c>
      <c r="N321" s="52" t="n">
        <f aca="false">IF(AND(ISNUMBER($G321),$G321&gt;=60),MIN(INDEX($E$121:$E321,202-60):$E321),"")</f>
        <v>862726691</v>
      </c>
      <c r="O321" s="53" t="n">
        <f aca="false">IF(OR(NOT(ISNUMBER($C321)),NOT(ISNUMBER($M321)),$M321=0),"",$C321/$M321-1)</f>
        <v>-0.0461869350968962</v>
      </c>
      <c r="P321" s="54"/>
      <c r="Q321" s="53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895383364</v>
      </c>
      <c r="D322" s="49" t="n">
        <v>897995520</v>
      </c>
      <c r="E322" s="49" t="n">
        <v>894099175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-0.0158608413948659</v>
      </c>
      <c r="I322" s="52" t="n">
        <f aca="false">IF(AND(ISNUMBER($G322),$G322&gt;=MA_SHORT),AVERAGE(INDEX($C$5:$C322,319-MA_SHORT):$C322),"")</f>
        <v>897701609.25</v>
      </c>
      <c r="J322" s="52" t="n">
        <f aca="false">IF(AND(ISNUMBER($G322),$G322&gt;=MA_MED),AVERAGE(INDEX($C$5:$C322,319-MA_MED):$C322),"")</f>
        <v>907988308.4</v>
      </c>
      <c r="K322" s="52" t="n">
        <f aca="false">IF(AND(ISNUMBER($G322),$G322&gt;=MA_LONG2),AVERAGE(INDEX($C$5:$C322,319-MA_LONG2):$C322),"")</f>
        <v>864758229.465</v>
      </c>
      <c r="L322" s="53" t="n">
        <f aca="false">IF(AND(ISNUMBER($G322),$G322&gt;=21),STDEV(INDEX($H$262:$H322,62-20):$H322)*SQRT(245),"")</f>
        <v>0.198715000260406</v>
      </c>
      <c r="M322" s="52" t="n">
        <f aca="false">IF(AND(ISNUMBER($G322),$G322&gt;=60),MAX(INDEX($D$122:$D322,202-60):$D322),"")</f>
        <v>953870113</v>
      </c>
      <c r="N322" s="52" t="n">
        <f aca="false">IF(AND(ISNUMBER($G322),$G322&gt;=60),MIN(INDEX($E$122:$E322,202-60):$E322),"")</f>
        <v>862726691</v>
      </c>
      <c r="O322" s="53" t="n">
        <f aca="false">IF(OR(NOT(ISNUMBER($C322)),NOT(ISNUMBER($M322)),$M322=0),"",$C322/$M322-1)</f>
        <v>-0.0613152128396751</v>
      </c>
      <c r="P322" s="54"/>
      <c r="Q322" s="53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909016180</v>
      </c>
      <c r="D323" s="49" t="n">
        <v>911670306</v>
      </c>
      <c r="E323" s="49" t="n">
        <v>907704212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0.015225674887567</v>
      </c>
      <c r="I323" s="52" t="n">
        <f aca="false">IF(AND(ISNUMBER($G323),$G323&gt;=MA_SHORT),AVERAGE(INDEX($C$5:$C323,320-MA_SHORT):$C323),"")</f>
        <v>898664330.9</v>
      </c>
      <c r="J323" s="52" t="n">
        <f aca="false">IF(AND(ISNUMBER($G323),$G323&gt;=MA_MED),AVERAGE(INDEX($C$5:$C323,320-MA_MED):$C323),"")</f>
        <v>908703644.22</v>
      </c>
      <c r="K323" s="52" t="n">
        <f aca="false">IF(AND(ISNUMBER($G323),$G323&gt;=MA_LONG2),AVERAGE(INDEX($C$5:$C323,320-MA_LONG2):$C323),"")</f>
        <v>865323639.805</v>
      </c>
      <c r="L323" s="53" t="n">
        <f aca="false">IF(AND(ISNUMBER($G323),$G323&gt;=21),STDEV(INDEX($H$263:$H323,62-20):$H323)*SQRT(245),"")</f>
        <v>0.202540594631858</v>
      </c>
      <c r="M323" s="52" t="n">
        <f aca="false">IF(AND(ISNUMBER($G323),$G323&gt;=60),MAX(INDEX($D$123:$D323,202-60):$D323),"")</f>
        <v>953870113</v>
      </c>
      <c r="N323" s="52" t="n">
        <f aca="false">IF(AND(ISNUMBER($G323),$G323&gt;=60),MIN(INDEX($E$123:$E323,202-60):$E323),"")</f>
        <v>862726691</v>
      </c>
      <c r="O323" s="53" t="n">
        <f aca="false">IF(OR(NOT(ISNUMBER($C323)),NOT(ISNUMBER($M323)),$M323=0),"",$C323/$M323-1)</f>
        <v>-0.0470231034484671</v>
      </c>
      <c r="P323" s="54"/>
      <c r="Q323" s="53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944760470</v>
      </c>
      <c r="D324" s="49" t="n">
        <v>949842998</v>
      </c>
      <c r="E324" s="49" t="n">
        <v>942040521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0.0393219513430443</v>
      </c>
      <c r="I324" s="52" t="n">
        <f aca="false">IF(AND(ISNUMBER($G324),$G324&gt;=MA_SHORT),AVERAGE(INDEX($C$5:$C324,321-MA_SHORT):$C324),"")</f>
        <v>901959939.45</v>
      </c>
      <c r="J324" s="52" t="n">
        <f aca="false">IF(AND(ISNUMBER($G324),$G324&gt;=MA_MED),AVERAGE(INDEX($C$5:$C324,321-MA_MED):$C324),"")</f>
        <v>910275472.42</v>
      </c>
      <c r="K324" s="52" t="n">
        <f aca="false">IF(AND(ISNUMBER($G324),$G324&gt;=MA_LONG2),AVERAGE(INDEX($C$5:$C324,321-MA_LONG2):$C324),"")</f>
        <v>866087270.535</v>
      </c>
      <c r="L324" s="53" t="n">
        <f aca="false">IF(AND(ISNUMBER($G324),$G324&gt;=21),STDEV(INDEX($H$264:$H324,62-20):$H324)*SQRT(245),"")</f>
        <v>0.236165782049049</v>
      </c>
      <c r="M324" s="52" t="n">
        <f aca="false">IF(AND(ISNUMBER($G324),$G324&gt;=60),MAX(INDEX($D$124:$D324,202-60):$D324),"")</f>
        <v>953870113</v>
      </c>
      <c r="N324" s="52" t="n">
        <f aca="false">IF(AND(ISNUMBER($G324),$G324&gt;=60),MIN(INDEX($E$124:$E324,202-60):$E324),"")</f>
        <v>862726691</v>
      </c>
      <c r="O324" s="53" t="n">
        <f aca="false">IF(OR(NOT(ISNUMBER($C324)),NOT(ISNUMBER($M324)),$M324=0),"",$C324/$M324-1)</f>
        <v>-0.00955019229122234</v>
      </c>
      <c r="P324" s="54"/>
      <c r="Q324" s="53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950224238</v>
      </c>
      <c r="D325" s="49" t="n">
        <v>952685755</v>
      </c>
      <c r="E325" s="49" t="n">
        <v>946506633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0.00578323096011846</v>
      </c>
      <c r="I325" s="52" t="n">
        <f aca="false">IF(AND(ISNUMBER($G325),$G325&gt;=MA_SHORT),AVERAGE(INDEX($C$5:$C325,322-MA_SHORT):$C325),"")</f>
        <v>905392599.05</v>
      </c>
      <c r="J325" s="52" t="n">
        <f aca="false">IF(AND(ISNUMBER($G325),$G325&gt;=MA_MED),AVERAGE(INDEX($C$5:$C325,322-MA_MED):$C325),"")</f>
        <v>911754749.76</v>
      </c>
      <c r="K325" s="52" t="n">
        <f aca="false">IF(AND(ISNUMBER($G325),$G325&gt;=MA_LONG2),AVERAGE(INDEX($C$5:$C325,322-MA_LONG2):$C325),"")</f>
        <v>866821907.77</v>
      </c>
      <c r="L325" s="53" t="n">
        <f aca="false">IF(AND(ISNUMBER($G325),$G325&gt;=21),STDEV(INDEX($H$265:$H325,62-20):$H325)*SQRT(245),"")</f>
        <v>0.236260123001125</v>
      </c>
      <c r="M325" s="52" t="n">
        <f aca="false">IF(AND(ISNUMBER($G325),$G325&gt;=60),MAX(INDEX($D$125:$D325,202-60):$D325),"")</f>
        <v>953870113</v>
      </c>
      <c r="N325" s="52" t="n">
        <f aca="false">IF(AND(ISNUMBER($G325),$G325&gt;=60),MIN(INDEX($E$125:$E325,202-60):$E325),"")</f>
        <v>862726691</v>
      </c>
      <c r="O325" s="53" t="n">
        <f aca="false">IF(OR(NOT(ISNUMBER($C325)),NOT(ISNUMBER($M325)),$M325=0),"",$C325/$M325-1)</f>
        <v>-0.00382219229883762</v>
      </c>
      <c r="P325" s="54"/>
      <c r="Q325" s="53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952223668</v>
      </c>
      <c r="D326" s="49" t="n">
        <v>954298631</v>
      </c>
      <c r="E326" s="49" t="n">
        <v>949177823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0.00210416649043643</v>
      </c>
      <c r="I326" s="52" t="n">
        <f aca="false">IF(AND(ISNUMBER($G326),$G326&gt;=MA_SHORT),AVERAGE(INDEX($C$5:$C326,323-MA_SHORT):$C326),"")</f>
        <v>907728754.15</v>
      </c>
      <c r="J326" s="52" t="n">
        <f aca="false">IF(AND(ISNUMBER($G326),$G326&gt;=MA_MED),AVERAGE(INDEX($C$5:$C326,323-MA_MED):$C326),"")</f>
        <v>913152814.18</v>
      </c>
      <c r="K326" s="52" t="n">
        <f aca="false">IF(AND(ISNUMBER($G326),$G326&gt;=MA_LONG2),AVERAGE(INDEX($C$5:$C326,323-MA_LONG2):$C326),"")</f>
        <v>867669421.61</v>
      </c>
      <c r="L326" s="53" t="n">
        <f aca="false">IF(AND(ISNUMBER($G326),$G326&gt;=21),STDEV(INDEX($H$266:$H326,62-20):$H326)*SQRT(245),"")</f>
        <v>0.220150235125171</v>
      </c>
      <c r="M326" s="52" t="n">
        <f aca="false">IF(AND(ISNUMBER($G326),$G326&gt;=60),MAX(INDEX($D$126:$D326,202-60):$D326),"")</f>
        <v>954298631</v>
      </c>
      <c r="N326" s="52" t="n">
        <f aca="false">IF(AND(ISNUMBER($G326),$G326&gt;=60),MIN(INDEX($E$126:$E326,202-60):$E326),"")</f>
        <v>862726691</v>
      </c>
      <c r="O326" s="53" t="n">
        <f aca="false">IF(OR(NOT(ISNUMBER($C326)),NOT(ISNUMBER($M326)),$M326=0),"",$C326/$M326-1)</f>
        <v>-0.00217433299451097</v>
      </c>
      <c r="P326" s="54"/>
      <c r="Q326" s="53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935221748</v>
      </c>
      <c r="D327" s="49" t="n">
        <v>935981268</v>
      </c>
      <c r="E327" s="49" t="n">
        <v>930622411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-0.017854964722427</v>
      </c>
      <c r="I327" s="52" t="n">
        <f aca="false">IF(AND(ISNUMBER($G327),$G327&gt;=MA_SHORT),AVERAGE(INDEX($C$5:$C327,324-MA_SHORT):$C327),"")</f>
        <v>909846115.85</v>
      </c>
      <c r="J327" s="52" t="n">
        <f aca="false">IF(AND(ISNUMBER($G327),$G327&gt;=MA_MED),AVERAGE(INDEX($C$5:$C327,324-MA_MED):$C327),"")</f>
        <v>913901101</v>
      </c>
      <c r="K327" s="52" t="n">
        <f aca="false">IF(AND(ISNUMBER($G327),$G327&gt;=MA_LONG2),AVERAGE(INDEX($C$5:$C327,324-MA_LONG2):$C327),"")</f>
        <v>868409398</v>
      </c>
      <c r="L327" s="53" t="n">
        <f aca="false">IF(AND(ISNUMBER($G327),$G327&gt;=21),STDEV(INDEX($H$267:$H327,62-20):$H327)*SQRT(245),"")</f>
        <v>0.224328993901374</v>
      </c>
      <c r="M327" s="52" t="n">
        <f aca="false">IF(AND(ISNUMBER($G327),$G327&gt;=60),MAX(INDEX($D$127:$D327,202-60):$D327),"")</f>
        <v>954298631</v>
      </c>
      <c r="N327" s="52" t="n">
        <f aca="false">IF(AND(ISNUMBER($G327),$G327&gt;=60),MIN(INDEX($E$127:$E327,202-60):$E327),"")</f>
        <v>862726691</v>
      </c>
      <c r="O327" s="53" t="n">
        <f aca="false">IF(OR(NOT(ISNUMBER($C327)),NOT(ISNUMBER($M327)),$M327=0),"",$C327/$M327-1)</f>
        <v>-0.0199904750780262</v>
      </c>
      <c r="P327" s="54"/>
      <c r="Q327" s="53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938448199</v>
      </c>
      <c r="D328" s="49" t="n">
        <v>945306688</v>
      </c>
      <c r="E328" s="49" t="n">
        <v>931334072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0.00344993153431239</v>
      </c>
      <c r="I328" s="52" t="n">
        <f aca="false">IF(AND(ISNUMBER($G328),$G328&gt;=MA_SHORT),AVERAGE(INDEX($C$5:$C328,325-MA_SHORT):$C328),"")</f>
        <v>912557768.3</v>
      </c>
      <c r="J328" s="52" t="n">
        <f aca="false">IF(AND(ISNUMBER($G328),$G328&gt;=MA_MED),AVERAGE(INDEX($C$5:$C328,325-MA_MED):$C328),"")</f>
        <v>914909970.52</v>
      </c>
      <c r="K328" s="52" t="n">
        <f aca="false">IF(AND(ISNUMBER($G328),$G328&gt;=MA_LONG2),AVERAGE(INDEX($C$5:$C328,325-MA_LONG2):$C328),"")</f>
        <v>869185175.495</v>
      </c>
      <c r="L328" s="53" t="n">
        <f aca="false">IF(AND(ISNUMBER($G328),$G328&gt;=21),STDEV(INDEX($H$268:$H328,62-20):$H328)*SQRT(245),"")</f>
        <v>0.219848201428572</v>
      </c>
      <c r="M328" s="52" t="n">
        <f aca="false">IF(AND(ISNUMBER($G328),$G328&gt;=60),MAX(INDEX($D$128:$D328,202-60):$D328),"")</f>
        <v>954298631</v>
      </c>
      <c r="N328" s="52" t="n">
        <f aca="false">IF(AND(ISNUMBER($G328),$G328&gt;=60),MIN(INDEX($E$128:$E328,202-60):$E328),"")</f>
        <v>862726691</v>
      </c>
      <c r="O328" s="53" t="n">
        <f aca="false">IF(OR(NOT(ISNUMBER($C328)),NOT(ISNUMBER($M328)),$M328=0),"",$C328/$M328-1)</f>
        <v>-0.0166095093140713</v>
      </c>
      <c r="P328" s="54"/>
      <c r="Q328" s="53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923872605</v>
      </c>
      <c r="D329" s="49" t="n">
        <v>925447436</v>
      </c>
      <c r="E329" s="49" t="n">
        <v>921575807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-0.0155315914245789</v>
      </c>
      <c r="I329" s="52" t="n">
        <f aca="false">IF(AND(ISNUMBER($G329),$G329&gt;=MA_SHORT),AVERAGE(INDEX($C$5:$C329,326-MA_SHORT):$C329),"")</f>
        <v>914112781.2</v>
      </c>
      <c r="J329" s="52" t="n">
        <f aca="false">IF(AND(ISNUMBER($G329),$G329&gt;=MA_MED),AVERAGE(INDEX($C$5:$C329,326-MA_MED):$C329),"")</f>
        <v>915407547.04</v>
      </c>
      <c r="K329" s="52" t="n">
        <f aca="false">IF(AND(ISNUMBER($G329),$G329&gt;=MA_LONG2),AVERAGE(INDEX($C$5:$C329,326-MA_LONG2):$C329),"")</f>
        <v>869772807.495</v>
      </c>
      <c r="L329" s="53" t="n">
        <f aca="false">IF(AND(ISNUMBER($G329),$G329&gt;=21),STDEV(INDEX($H$269:$H329,62-20):$H329)*SQRT(245),"")</f>
        <v>0.227650887484479</v>
      </c>
      <c r="M329" s="52" t="n">
        <f aca="false">IF(AND(ISNUMBER($G329),$G329&gt;=60),MAX(INDEX($D$129:$D329,202-60):$D329),"")</f>
        <v>954298631</v>
      </c>
      <c r="N329" s="52" t="n">
        <f aca="false">IF(AND(ISNUMBER($G329),$G329&gt;=60),MIN(INDEX($E$129:$E329,202-60):$E329),"")</f>
        <v>862726691</v>
      </c>
      <c r="O329" s="53" t="n">
        <f aca="false">IF(OR(NOT(ISNUMBER($C329)),NOT(ISNUMBER($M329)),$M329=0),"",$C329/$M329-1)</f>
        <v>-0.0318831286262214</v>
      </c>
      <c r="P329" s="54"/>
      <c r="Q329" s="53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941943521</v>
      </c>
      <c r="D330" s="49" t="n">
        <v>943999114</v>
      </c>
      <c r="E330" s="49" t="n">
        <v>933932765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0.0195599651967167</v>
      </c>
      <c r="I330" s="52" t="n">
        <f aca="false">IF(AND(ISNUMBER($G330),$G330&gt;=MA_SHORT),AVERAGE(INDEX($C$5:$C330,327-MA_SHORT):$C330),"")</f>
        <v>917618073.55</v>
      </c>
      <c r="J330" s="52" t="n">
        <f aca="false">IF(AND(ISNUMBER($G330),$G330&gt;=MA_MED),AVERAGE(INDEX($C$5:$C330,327-MA_MED):$C330),"")</f>
        <v>916098550.64</v>
      </c>
      <c r="K330" s="52" t="n">
        <f aca="false">IF(AND(ISNUMBER($G330),$G330&gt;=MA_LONG2),AVERAGE(INDEX($C$5:$C330,327-MA_LONG2):$C330),"")</f>
        <v>870454750.385</v>
      </c>
      <c r="L330" s="53" t="n">
        <f aca="false">IF(AND(ISNUMBER($G330),$G330&gt;=21),STDEV(INDEX($H$270:$H330,62-20):$H330)*SQRT(245),"")</f>
        <v>0.215554844099146</v>
      </c>
      <c r="M330" s="52" t="n">
        <f aca="false">IF(AND(ISNUMBER($G330),$G330&gt;=60),MAX(INDEX($D$130:$D330,202-60):$D330),"")</f>
        <v>954298631</v>
      </c>
      <c r="N330" s="52" t="n">
        <f aca="false">IF(AND(ISNUMBER($G330),$G330&gt;=60),MIN(INDEX($E$130:$E330,202-60):$E330),"")</f>
        <v>862726691</v>
      </c>
      <c r="O330" s="53" t="n">
        <f aca="false">IF(OR(NOT(ISNUMBER($C330)),NOT(ISNUMBER($M330)),$M330=0),"",$C330/$M330-1)</f>
        <v>-0.012946796315796</v>
      </c>
      <c r="P330" s="54"/>
      <c r="Q330" s="53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934301443</v>
      </c>
      <c r="D331" s="49" t="n">
        <v>935740068</v>
      </c>
      <c r="E331" s="49" t="n">
        <v>933471368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-0.00811309577445463</v>
      </c>
      <c r="I331" s="52" t="n">
        <f aca="false">IF(AND(ISNUMBER($G331),$G331&gt;=MA_SHORT),AVERAGE(INDEX($C$5:$C331,328-MA_SHORT):$C331),"")</f>
        <v>920321901.75</v>
      </c>
      <c r="J331" s="52" t="n">
        <f aca="false">IF(AND(ISNUMBER($G331),$G331&gt;=MA_MED),AVERAGE(INDEX($C$5:$C331,328-MA_MED):$C331),"")</f>
        <v>916875336.88</v>
      </c>
      <c r="K331" s="52" t="n">
        <f aca="false">IF(AND(ISNUMBER($G331),$G331&gt;=MA_LONG2),AVERAGE(INDEX($C$5:$C331,328-MA_LONG2):$C331),"")</f>
        <v>871163570.025</v>
      </c>
      <c r="L331" s="53" t="n">
        <f aca="false">IF(AND(ISNUMBER($G331),$G331&gt;=21),STDEV(INDEX($H$271:$H331,62-20):$H331)*SQRT(245),"")</f>
        <v>0.218470583835424</v>
      </c>
      <c r="M331" s="52" t="n">
        <f aca="false">IF(AND(ISNUMBER($G331),$G331&gt;=60),MAX(INDEX($D$131:$D331,202-60):$D331),"")</f>
        <v>954298631</v>
      </c>
      <c r="N331" s="52" t="n">
        <f aca="false">IF(AND(ISNUMBER($G331),$G331&gt;=60),MIN(INDEX($E$131:$E331,202-60):$E331),"")</f>
        <v>862726691</v>
      </c>
      <c r="O331" s="53" t="n">
        <f aca="false">IF(OR(NOT(ISNUMBER($C331)),NOT(ISNUMBER($M331)),$M331=0),"",$C331/$M331-1)</f>
        <v>-0.0209548534917683</v>
      </c>
      <c r="P331" s="54"/>
      <c r="Q331" s="53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932321053</v>
      </c>
      <c r="D332" s="49" t="n">
        <v>932440435</v>
      </c>
      <c r="E332" s="49" t="n">
        <v>929131639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-0.00211964780193541</v>
      </c>
      <c r="I332" s="52" t="n">
        <f aca="false">IF(AND(ISNUMBER($G332),$G332&gt;=MA_SHORT),AVERAGE(INDEX($C$5:$C332,329-MA_SHORT):$C332),"")</f>
        <v>922526220.8</v>
      </c>
      <c r="J332" s="52" t="n">
        <f aca="false">IF(AND(ISNUMBER($G332),$G332&gt;=MA_MED),AVERAGE(INDEX($C$5:$C332,329-MA_MED):$C332),"")</f>
        <v>917447883.02</v>
      </c>
      <c r="K332" s="52" t="n">
        <f aca="false">IF(AND(ISNUMBER($G332),$G332&gt;=MA_LONG2),AVERAGE(INDEX($C$5:$C332,329-MA_LONG2):$C332),"")</f>
        <v>871883296.135</v>
      </c>
      <c r="L332" s="53" t="n">
        <f aca="false">IF(AND(ISNUMBER($G332),$G332&gt;=21),STDEV(INDEX($H$272:$H332,62-20):$H332)*SQRT(245),"")</f>
        <v>0.218011086146815</v>
      </c>
      <c r="M332" s="52" t="n">
        <f aca="false">IF(AND(ISNUMBER($G332),$G332&gt;=60),MAX(INDEX($D$132:$D332,202-60):$D332),"")</f>
        <v>954298631</v>
      </c>
      <c r="N332" s="52" t="n">
        <f aca="false">IF(AND(ISNUMBER($G332),$G332&gt;=60),MIN(INDEX($E$132:$E332,202-60):$E332),"")</f>
        <v>862726691</v>
      </c>
      <c r="O332" s="53" t="n">
        <f aca="false">IF(OR(NOT(ISNUMBER($C332)),NOT(ISNUMBER($M332)),$M332=0),"",$C332/$M332-1)</f>
        <v>-0.0230300843845599</v>
      </c>
      <c r="P332" s="54"/>
      <c r="Q332" s="53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931927478</v>
      </c>
      <c r="D333" s="49" t="n">
        <v>933873859</v>
      </c>
      <c r="E333" s="49" t="n">
        <v>930071460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-0.000422145352969916</v>
      </c>
      <c r="I333" s="52" t="n">
        <f aca="false">IF(AND(ISNUMBER($G333),$G333&gt;=MA_SHORT),AVERAGE(INDEX($C$5:$C333,330-MA_SHORT):$C333),"")</f>
        <v>924206386.3</v>
      </c>
      <c r="J333" s="52" t="n">
        <f aca="false">IF(AND(ISNUMBER($G333),$G333&gt;=MA_MED),AVERAGE(INDEX($C$5:$C333,330-MA_MED):$C333),"")</f>
        <v>917936962.06</v>
      </c>
      <c r="K333" s="52" t="n">
        <f aca="false">IF(AND(ISNUMBER($G333),$G333&gt;=MA_LONG2),AVERAGE(INDEX($C$5:$C333,330-MA_LONG2):$C333),"")</f>
        <v>872571824.22</v>
      </c>
      <c r="L333" s="53" t="n">
        <f aca="false">IF(AND(ISNUMBER($G333),$G333&gt;=21),STDEV(INDEX($H$273:$H333,62-20):$H333)*SQRT(245),"")</f>
        <v>0.21573691714587</v>
      </c>
      <c r="M333" s="52" t="n">
        <f aca="false">IF(AND(ISNUMBER($G333),$G333&gt;=60),MAX(INDEX($D$133:$D333,202-60):$D333),"")</f>
        <v>954298631</v>
      </c>
      <c r="N333" s="52" t="n">
        <f aca="false">IF(AND(ISNUMBER($G333),$G333&gt;=60),MIN(INDEX($E$133:$E333,202-60):$E333),"")</f>
        <v>862726691</v>
      </c>
      <c r="O333" s="53" t="n">
        <f aca="false">IF(OR(NOT(ISNUMBER($C333)),NOT(ISNUMBER($M333)),$M333=0),"",$C333/$M333-1)</f>
        <v>-0.0234425076944285</v>
      </c>
      <c r="P333" s="54"/>
      <c r="Q333" s="53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928526193</v>
      </c>
      <c r="D334" s="49" t="n">
        <v>931356474</v>
      </c>
      <c r="E334" s="49" t="n">
        <v>927864623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-0.00364973142255609</v>
      </c>
      <c r="I334" s="52" t="n">
        <f aca="false">IF(AND(ISNUMBER($G334),$G334&gt;=MA_SHORT),AVERAGE(INDEX($C$5:$C334,331-MA_SHORT):$C334),"")</f>
        <v>925843108.9</v>
      </c>
      <c r="J334" s="52" t="n">
        <f aca="false">IF(AND(ISNUMBER($G334),$G334&gt;=MA_MED),AVERAGE(INDEX($C$5:$C334,331-MA_MED):$C334),"")</f>
        <v>918061112.4</v>
      </c>
      <c r="K334" s="52" t="n">
        <f aca="false">IF(AND(ISNUMBER($G334),$G334&gt;=MA_LONG2),AVERAGE(INDEX($C$5:$C334,331-MA_LONG2):$C334),"")</f>
        <v>873240572.315</v>
      </c>
      <c r="L334" s="53" t="n">
        <f aca="false">IF(AND(ISNUMBER($G334),$G334&gt;=21),STDEV(INDEX($H$274:$H334,62-20):$H334)*SQRT(245),"")</f>
        <v>0.215992014153111</v>
      </c>
      <c r="M334" s="52" t="n">
        <f aca="false">IF(AND(ISNUMBER($G334),$G334&gt;=60),MAX(INDEX($D$134:$D334,202-60):$D334),"")</f>
        <v>954298631</v>
      </c>
      <c r="N334" s="52" t="n">
        <f aca="false">IF(AND(ISNUMBER($G334),$G334&gt;=60),MIN(INDEX($E$134:$E334,202-60):$E334),"")</f>
        <v>870551178</v>
      </c>
      <c r="O334" s="53" t="n">
        <f aca="false">IF(OR(NOT(ISNUMBER($C334)),NOT(ISNUMBER($M334)),$M334=0),"",$C334/$M334-1)</f>
        <v>-0.0270066802600286</v>
      </c>
      <c r="P334" s="54"/>
      <c r="Q334" s="53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936303963</v>
      </c>
      <c r="D335" s="49" t="n">
        <v>939331347</v>
      </c>
      <c r="E335" s="49" t="n">
        <v>929751847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0.00837646806157455</v>
      </c>
      <c r="I335" s="52" t="n">
        <f aca="false">IF(AND(ISNUMBER($G335),$G335&gt;=MA_SHORT),AVERAGE(INDEX($C$5:$C335,332-MA_SHORT):$C335),"")</f>
        <v>927145077.15</v>
      </c>
      <c r="J335" s="52" t="n">
        <f aca="false">IF(AND(ISNUMBER($G335),$G335&gt;=MA_MED),AVERAGE(INDEX($C$5:$C335,332-MA_MED):$C335),"")</f>
        <v>917806044.22</v>
      </c>
      <c r="K335" s="52" t="n">
        <f aca="false">IF(AND(ISNUMBER($G335),$G335&gt;=MA_LONG2),AVERAGE(INDEX($C$5:$C335,332-MA_LONG2):$C335),"")</f>
        <v>873908325.21</v>
      </c>
      <c r="L335" s="53" t="n">
        <f aca="false">IF(AND(ISNUMBER($G335),$G335&gt;=21),STDEV(INDEX($H$275:$H335,62-20):$H335)*SQRT(245),"")</f>
        <v>0.211023013864301</v>
      </c>
      <c r="M335" s="52" t="n">
        <f aca="false">IF(AND(ISNUMBER($G335),$G335&gt;=60),MAX(INDEX($D$135:$D335,202-60):$D335),"")</f>
        <v>954298631</v>
      </c>
      <c r="N335" s="52" t="n">
        <f aca="false">IF(AND(ISNUMBER($G335),$G335&gt;=60),MIN(INDEX($E$135:$E335,202-60):$E335),"")</f>
        <v>870551178</v>
      </c>
      <c r="O335" s="53" t="n">
        <f aca="false">IF(OR(NOT(ISNUMBER($C335)),NOT(ISNUMBER($M335)),$M335=0),"",$C335/$M335-1)</f>
        <v>-0.0188564327931012</v>
      </c>
      <c r="P335" s="54"/>
      <c r="Q335" s="53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934071833</v>
      </c>
      <c r="D336" s="49" t="n">
        <v>936938926</v>
      </c>
      <c r="E336" s="49" t="n">
        <v>933679698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-0.00238398008361307</v>
      </c>
      <c r="I336" s="52" t="n">
        <f aca="false">IF(AND(ISNUMBER($G336),$G336&gt;=MA_SHORT),AVERAGE(INDEX($C$5:$C336,333-MA_SHORT):$C336),"")</f>
        <v>928221108.35</v>
      </c>
      <c r="J336" s="52" t="n">
        <f aca="false">IF(AND(ISNUMBER($G336),$G336&gt;=MA_MED),AVERAGE(INDEX($C$5:$C336,333-MA_MED):$C336),"")</f>
        <v>917719977.74</v>
      </c>
      <c r="K336" s="52" t="n">
        <f aca="false">IF(AND(ISNUMBER($G336),$G336&gt;=MA_LONG2),AVERAGE(INDEX($C$5:$C336,333-MA_LONG2):$C336),"")</f>
        <v>874534844.475</v>
      </c>
      <c r="L336" s="53" t="n">
        <f aca="false">IF(AND(ISNUMBER($G336),$G336&gt;=21),STDEV(INDEX($H$276:$H336,62-20):$H336)*SQRT(245),"")</f>
        <v>0.211414677097613</v>
      </c>
      <c r="M336" s="52" t="n">
        <f aca="false">IF(AND(ISNUMBER($G336),$G336&gt;=60),MAX(INDEX($D$136:$D336,202-60):$D336),"")</f>
        <v>954298631</v>
      </c>
      <c r="N336" s="52" t="n">
        <f aca="false">IF(AND(ISNUMBER($G336),$G336&gt;=60),MIN(INDEX($E$136:$E336,202-60):$E336),"")</f>
        <v>870551178</v>
      </c>
      <c r="O336" s="53" t="n">
        <f aca="false">IF(OR(NOT(ISNUMBER($C336)),NOT(ISNUMBER($M336)),$M336=0),"",$C336/$M336-1)</f>
        <v>-0.0211954595164876</v>
      </c>
      <c r="P336" s="54"/>
      <c r="Q336" s="53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927617890</v>
      </c>
      <c r="D337" s="49" t="n">
        <v>933696682</v>
      </c>
      <c r="E337" s="49" t="n">
        <v>926686182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-0.00690947181146828</v>
      </c>
      <c r="I337" s="52" t="n">
        <f aca="false">IF(AND(ISNUMBER($G337),$G337&gt;=MA_SHORT),AVERAGE(INDEX($C$5:$C337,334-MA_SHORT):$C337),"")</f>
        <v>928734838.25</v>
      </c>
      <c r="J337" s="52" t="n">
        <f aca="false">IF(AND(ISNUMBER($G337),$G337&gt;=MA_MED),AVERAGE(INDEX($C$5:$C337,334-MA_MED):$C337),"")</f>
        <v>917367817.44</v>
      </c>
      <c r="K337" s="52" t="n">
        <f aca="false">IF(AND(ISNUMBER($G337),$G337&gt;=MA_LONG2),AVERAGE(INDEX($C$5:$C337,334-MA_LONG2):$C337),"")</f>
        <v>875105660.475</v>
      </c>
      <c r="L337" s="53" t="n">
        <f aca="false">IF(AND(ISNUMBER($G337),$G337&gt;=21),STDEV(INDEX($H$277:$H337,62-20):$H337)*SQRT(245),"")</f>
        <v>0.212728662783062</v>
      </c>
      <c r="M337" s="52" t="n">
        <f aca="false">IF(AND(ISNUMBER($G337),$G337&gt;=60),MAX(INDEX($D$137:$D337,202-60):$D337),"")</f>
        <v>954298631</v>
      </c>
      <c r="N337" s="52" t="n">
        <f aca="false">IF(AND(ISNUMBER($G337),$G337&gt;=60),MIN(INDEX($E$137:$E337,202-60):$E337),"")</f>
        <v>870551178</v>
      </c>
      <c r="O337" s="53" t="n">
        <f aca="false">IF(OR(NOT(ISNUMBER($C337)),NOT(ISNUMBER($M337)),$M337=0),"",$C337/$M337-1)</f>
        <v>-0.0279584818978955</v>
      </c>
      <c r="P337" s="54"/>
      <c r="Q337" s="53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917743433</v>
      </c>
      <c r="D338" s="49" t="n">
        <v>924086439</v>
      </c>
      <c r="E338" s="49" t="n">
        <v>916713139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-0.0106449617956377</v>
      </c>
      <c r="I338" s="52" t="n">
        <f aca="false">IF(AND(ISNUMBER($G338),$G338&gt;=MA_SHORT),AVERAGE(INDEX($C$5:$C338,335-MA_SHORT):$C338),"")</f>
        <v>929012566.65</v>
      </c>
      <c r="J338" s="52" t="n">
        <f aca="false">IF(AND(ISNUMBER($G338),$G338&gt;=MA_MED),AVERAGE(INDEX($C$5:$C338,335-MA_MED):$C338),"")</f>
        <v>917048843.44</v>
      </c>
      <c r="K338" s="52" t="n">
        <f aca="false">IF(AND(ISNUMBER($G338),$G338&gt;=MA_LONG2),AVERAGE(INDEX($C$5:$C338,335-MA_LONG2):$C338),"")</f>
        <v>875614369.82</v>
      </c>
      <c r="L338" s="53" t="n">
        <f aca="false">IF(AND(ISNUMBER($G338),$G338&gt;=21),STDEV(INDEX($H$278:$H338,62-20):$H338)*SQRT(245),"")</f>
        <v>0.215347921644665</v>
      </c>
      <c r="M338" s="52" t="n">
        <f aca="false">IF(AND(ISNUMBER($G338),$G338&gt;=60),MAX(INDEX($D$138:$D338,202-60):$D338),"")</f>
        <v>954298631</v>
      </c>
      <c r="N338" s="52" t="n">
        <f aca="false">IF(AND(ISNUMBER($G338),$G338&gt;=60),MIN(INDEX($E$138:$E338,202-60):$E338),"")</f>
        <v>870551178</v>
      </c>
      <c r="O338" s="53" t="n">
        <f aca="false">IF(OR(NOT(ISNUMBER($C338)),NOT(ISNUMBER($M338)),$M338=0),"",$C338/$M338-1)</f>
        <v>-0.0383058267218661</v>
      </c>
      <c r="P338" s="54"/>
      <c r="Q338" s="53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918497602</v>
      </c>
      <c r="D339" s="49" t="n">
        <v>922734587</v>
      </c>
      <c r="E339" s="49" t="n">
        <v>913704559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0.000821764529041369</v>
      </c>
      <c r="I339" s="52" t="n">
        <f aca="false">IF(AND(ISNUMBER($G339),$G339&gt;=MA_SHORT),AVERAGE(INDEX($C$5:$C339,336-MA_SHORT):$C339),"")</f>
        <v>929218296.3</v>
      </c>
      <c r="J339" s="52" t="n">
        <f aca="false">IF(AND(ISNUMBER($G339),$G339&gt;=MA_MED),AVERAGE(INDEX($C$5:$C339,336-MA_MED):$C339),"")</f>
        <v>916602343.32</v>
      </c>
      <c r="K339" s="52" t="n">
        <f aca="false">IF(AND(ISNUMBER($G339),$G339&gt;=MA_LONG2),AVERAGE(INDEX($C$5:$C339,336-MA_LONG2):$C339),"")</f>
        <v>876045756.855</v>
      </c>
      <c r="L339" s="53" t="n">
        <f aca="false">IF(AND(ISNUMBER($G339),$G339&gt;=21),STDEV(INDEX($H$279:$H339,62-20):$H339)*SQRT(245),"")</f>
        <v>0.215228362166576</v>
      </c>
      <c r="M339" s="52" t="n">
        <f aca="false">IF(AND(ISNUMBER($G339),$G339&gt;=60),MAX(INDEX($D$139:$D339,202-60):$D339),"")</f>
        <v>954298631</v>
      </c>
      <c r="N339" s="52" t="n">
        <f aca="false">IF(AND(ISNUMBER($G339),$G339&gt;=60),MIN(INDEX($E$139:$E339,202-60):$E339),"")</f>
        <v>870551178</v>
      </c>
      <c r="O339" s="53" t="n">
        <f aca="false">IF(OR(NOT(ISNUMBER($C339)),NOT(ISNUMBER($M339)),$M339=0),"",$C339/$M339-1)</f>
        <v>-0.0375155405624804</v>
      </c>
      <c r="P339" s="54"/>
      <c r="Q339" s="53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901983808</v>
      </c>
      <c r="D340" s="49" t="n">
        <v>902192136</v>
      </c>
      <c r="E340" s="49" t="n">
        <v>896649453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-0.0179791367599019</v>
      </c>
      <c r="I340" s="52" t="n">
        <f aca="false">IF(AND(ISNUMBER($G340),$G340&gt;=MA_SHORT),AVERAGE(INDEX($C$5:$C340,337-MA_SHORT):$C340),"")</f>
        <v>928210123.25</v>
      </c>
      <c r="J340" s="52" t="n">
        <f aca="false">IF(AND(ISNUMBER($G340),$G340&gt;=MA_MED),AVERAGE(INDEX($C$5:$C340,337-MA_MED):$C340),"")</f>
        <v>916018052.9</v>
      </c>
      <c r="K340" s="52" t="n">
        <f aca="false">IF(AND(ISNUMBER($G340),$G340&gt;=MA_LONG2),AVERAGE(INDEX($C$5:$C340,337-MA_LONG2):$C340),"")</f>
        <v>876365863.395</v>
      </c>
      <c r="L340" s="53" t="n">
        <f aca="false">IF(AND(ISNUMBER($G340),$G340&gt;=21),STDEV(INDEX($H$280:$H340,62-20):$H340)*SQRT(245),"")</f>
        <v>0.222089994618379</v>
      </c>
      <c r="M340" s="52" t="n">
        <f aca="false">IF(AND(ISNUMBER($G340),$G340&gt;=60),MAX(INDEX($D$140:$D340,202-60):$D340),"")</f>
        <v>954298631</v>
      </c>
      <c r="N340" s="52" t="n">
        <f aca="false">IF(AND(ISNUMBER($G340),$G340&gt;=60),MIN(INDEX($E$140:$E340,202-60):$E340),"")</f>
        <v>870551178</v>
      </c>
      <c r="O340" s="53" t="n">
        <f aca="false">IF(OR(NOT(ISNUMBER($C340)),NOT(ISNUMBER($M340)),$M340=0),"",$C340/$M340-1)</f>
        <v>-0.0548201802879879</v>
      </c>
      <c r="P340" s="54"/>
      <c r="Q340" s="53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904200174</v>
      </c>
      <c r="D341" s="49" t="n">
        <v>906268254</v>
      </c>
      <c r="E341" s="49" t="n">
        <v>899029329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0.00245721262437559</v>
      </c>
      <c r="I341" s="52" t="n">
        <f aca="false">IF(AND(ISNUMBER($G341),$G341&gt;=MA_SHORT),AVERAGE(INDEX($C$5:$C341,338-MA_SHORT):$C341),"")</f>
        <v>927929443.15</v>
      </c>
      <c r="J341" s="52" t="n">
        <f aca="false">IF(AND(ISNUMBER($G341),$G341&gt;=MA_MED),AVERAGE(INDEX($C$5:$C341,338-MA_MED):$C341),"")</f>
        <v>915660523.68</v>
      </c>
      <c r="K341" s="52" t="n">
        <f aca="false">IF(AND(ISNUMBER($G341),$G341&gt;=MA_LONG2),AVERAGE(INDEX($C$5:$C341,338-MA_LONG2):$C341),"")</f>
        <v>876641565.955</v>
      </c>
      <c r="L341" s="53" t="n">
        <f aca="false">IF(AND(ISNUMBER($G341),$G341&gt;=21),STDEV(INDEX($H$281:$H341,62-20):$H341)*SQRT(245),"")</f>
        <v>0.217591270359246</v>
      </c>
      <c r="M341" s="52" t="n">
        <f aca="false">IF(AND(ISNUMBER($G341),$G341&gt;=60),MAX(INDEX($D$141:$D341,202-60):$D341),"")</f>
        <v>954298631</v>
      </c>
      <c r="N341" s="52" t="n">
        <f aca="false">IF(AND(ISNUMBER($G341),$G341&gt;=60),MIN(INDEX($E$141:$E341,202-60):$E341),"")</f>
        <v>870551178</v>
      </c>
      <c r="O341" s="53" t="n">
        <f aca="false">IF(OR(NOT(ISNUMBER($C341)),NOT(ISNUMBER($M341)),$M341=0),"",$C341/$M341-1)</f>
        <v>-0.0524976725026864</v>
      </c>
      <c r="P341" s="54"/>
      <c r="Q341" s="53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907455650</v>
      </c>
      <c r="D342" s="49" t="n">
        <v>913077144</v>
      </c>
      <c r="E342" s="49" t="n">
        <v>900647647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0.00360039302536119</v>
      </c>
      <c r="I342" s="52" t="n">
        <f aca="false">IF(AND(ISNUMBER($G342),$G342&gt;=MA_SHORT),AVERAGE(INDEX($C$5:$C342,339-MA_SHORT):$C342),"")</f>
        <v>928533057.45</v>
      </c>
      <c r="J342" s="52" t="n">
        <f aca="false">IF(AND(ISNUMBER($G342),$G342&gt;=MA_MED),AVERAGE(INDEX($C$5:$C342,339-MA_MED):$C342),"")</f>
        <v>915075136.2</v>
      </c>
      <c r="K342" s="52" t="n">
        <f aca="false">IF(AND(ISNUMBER($G342),$G342&gt;=MA_LONG2),AVERAGE(INDEX($C$5:$C342,339-MA_LONG2):$C342),"")</f>
        <v>876901203.95</v>
      </c>
      <c r="L342" s="53" t="n">
        <f aca="false">IF(AND(ISNUMBER($G342),$G342&gt;=21),STDEV(INDEX($H$282:$H342,62-20):$H342)*SQRT(245),"")</f>
        <v>0.210082576046072</v>
      </c>
      <c r="M342" s="52" t="n">
        <f aca="false">IF(AND(ISNUMBER($G342),$G342&gt;=60),MAX(INDEX($D$142:$D342,202-60):$D342),"")</f>
        <v>954298631</v>
      </c>
      <c r="N342" s="52" t="n">
        <f aca="false">IF(AND(ISNUMBER($G342),$G342&gt;=60),MIN(INDEX($E$142:$E342,202-60):$E342),"")</f>
        <v>870551178</v>
      </c>
      <c r="O342" s="53" t="n">
        <f aca="false">IF(OR(NOT(ISNUMBER($C342)),NOT(ISNUMBER($M342)),$M342=0),"",$C342/$M342-1)</f>
        <v>-0.0490862917312516</v>
      </c>
      <c r="P342" s="54"/>
      <c r="Q342" s="53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915708659</v>
      </c>
      <c r="D343" s="49" t="n">
        <v>919574811</v>
      </c>
      <c r="E343" s="49" t="n">
        <v>912895782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0.0090946692546352</v>
      </c>
      <c r="I343" s="52" t="n">
        <f aca="false">IF(AND(ISNUMBER($G343),$G343&gt;=MA_SHORT),AVERAGE(INDEX($C$5:$C343,340-MA_SHORT):$C343),"")</f>
        <v>928867681.4</v>
      </c>
      <c r="J343" s="52" t="n">
        <f aca="false">IF(AND(ISNUMBER($G343),$G343&gt;=MA_MED),AVERAGE(INDEX($C$5:$C343,340-MA_MED):$C343),"")</f>
        <v>914700359.48</v>
      </c>
      <c r="K343" s="52" t="n">
        <f aca="false">IF(AND(ISNUMBER($G343),$G343&gt;=MA_LONG2),AVERAGE(INDEX($C$5:$C343,340-MA_LONG2):$C343),"")</f>
        <v>877186121.235</v>
      </c>
      <c r="L343" s="53" t="n">
        <f aca="false">IF(AND(ISNUMBER($G343),$G343&gt;=21),STDEV(INDEX($H$283:$H343,62-20):$H343)*SQRT(245),"")</f>
        <v>0.205686793841795</v>
      </c>
      <c r="M343" s="52" t="n">
        <f aca="false">IF(AND(ISNUMBER($G343),$G343&gt;=60),MAX(INDEX($D$143:$D343,202-60):$D343),"")</f>
        <v>954298631</v>
      </c>
      <c r="N343" s="52" t="n">
        <f aca="false">IF(AND(ISNUMBER($G343),$G343&gt;=60),MIN(INDEX($E$143:$E343,202-60):$E343),"")</f>
        <v>870551178</v>
      </c>
      <c r="O343" s="53" t="n">
        <f aca="false">IF(OR(NOT(ISNUMBER($C343)),NOT(ISNUMBER($M343)),$M343=0),"",$C343/$M343-1)</f>
        <v>-0.0404380460648487</v>
      </c>
      <c r="P343" s="54"/>
      <c r="Q343" s="53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917686301</v>
      </c>
      <c r="D344" s="49" t="n">
        <v>919464425</v>
      </c>
      <c r="E344" s="49" t="n">
        <v>916674610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0.00215968472129524</v>
      </c>
      <c r="I344" s="52" t="n">
        <f aca="false">IF(AND(ISNUMBER($G344),$G344&gt;=MA_SHORT),AVERAGE(INDEX($C$5:$C344,341-MA_SHORT):$C344),"")</f>
        <v>927513972.95</v>
      </c>
      <c r="J344" s="52" t="n">
        <f aca="false">IF(AND(ISNUMBER($G344),$G344&gt;=MA_MED),AVERAGE(INDEX($C$5:$C344,341-MA_MED):$C344),"")</f>
        <v>914108296.96</v>
      </c>
      <c r="K344" s="52" t="n">
        <f aca="false">IF(AND(ISNUMBER($G344),$G344&gt;=MA_LONG2),AVERAGE(INDEX($C$5:$C344,341-MA_LONG2):$C344),"")</f>
        <v>877511671.465</v>
      </c>
      <c r="L344" s="53" t="n">
        <f aca="false">IF(AND(ISNUMBER($G344),$G344&gt;=21),STDEV(INDEX($H$284:$H344,62-20):$H344)*SQRT(245),"")</f>
        <v>0.148216603065551</v>
      </c>
      <c r="M344" s="52" t="n">
        <f aca="false">IF(AND(ISNUMBER($G344),$G344&gt;=60),MAX(INDEX($D$144:$D344,202-60):$D344),"")</f>
        <v>954298631</v>
      </c>
      <c r="N344" s="52" t="n">
        <f aca="false">IF(AND(ISNUMBER($G344),$G344&gt;=60),MIN(INDEX($E$144:$E344,202-60):$E344),"")</f>
        <v>870551178</v>
      </c>
      <c r="O344" s="53" t="n">
        <f aca="false">IF(OR(NOT(ISNUMBER($C344)),NOT(ISNUMBER($M344)),$M344=0),"",$C344/$M344-1)</f>
        <v>-0.0383656947737987</v>
      </c>
      <c r="P344" s="54"/>
      <c r="Q344" s="53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918284908</v>
      </c>
      <c r="D345" s="49" t="n">
        <v>919337199</v>
      </c>
      <c r="E345" s="49" t="n">
        <v>914952385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0.000652300246116511</v>
      </c>
      <c r="I345" s="52" t="n">
        <f aca="false">IF(AND(ISNUMBER($G345),$G345&gt;=MA_SHORT),AVERAGE(INDEX($C$5:$C345,342-MA_SHORT):$C345),"")</f>
        <v>925917006.45</v>
      </c>
      <c r="J345" s="52" t="n">
        <f aca="false">IF(AND(ISNUMBER($G345),$G345&gt;=MA_MED),AVERAGE(INDEX($C$5:$C345,342-MA_MED):$C345),"")</f>
        <v>913613336.22</v>
      </c>
      <c r="K345" s="52" t="n">
        <f aca="false">IF(AND(ISNUMBER($G345),$G345&gt;=MA_LONG2),AVERAGE(INDEX($C$5:$C345,342-MA_LONG2):$C345),"")</f>
        <v>877879818.25</v>
      </c>
      <c r="L345" s="53" t="n">
        <f aca="false">IF(AND(ISNUMBER($G345),$G345&gt;=21),STDEV(INDEX($H$285:$H345,62-20):$H345)*SQRT(245),"")</f>
        <v>0.146078113064585</v>
      </c>
      <c r="M345" s="52" t="n">
        <f aca="false">IF(AND(ISNUMBER($G345),$G345&gt;=60),MAX(INDEX($D$145:$D345,202-60):$D345),"")</f>
        <v>954298631</v>
      </c>
      <c r="N345" s="52" t="n">
        <f aca="false">IF(AND(ISNUMBER($G345),$G345&gt;=60),MIN(INDEX($E$145:$E345,202-60):$E345),"")</f>
        <v>870551178</v>
      </c>
      <c r="O345" s="53" t="n">
        <f aca="false">IF(OR(NOT(ISNUMBER($C345)),NOT(ISNUMBER($M345)),$M345=0),"",$C345/$M345-1)</f>
        <v>-0.0377384204798257</v>
      </c>
      <c r="P345" s="54"/>
      <c r="Q345" s="53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905391162</v>
      </c>
      <c r="D346" s="49" t="n">
        <v>906738870</v>
      </c>
      <c r="E346" s="49" t="n">
        <v>897326366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-0.0140411171823375</v>
      </c>
      <c r="I346" s="52" t="n">
        <f aca="false">IF(AND(ISNUMBER($G346),$G346&gt;=MA_SHORT),AVERAGE(INDEX($C$5:$C346,343-MA_SHORT):$C346),"")</f>
        <v>923575381.15</v>
      </c>
      <c r="J346" s="52" t="n">
        <f aca="false">IF(AND(ISNUMBER($G346),$G346&gt;=MA_MED),AVERAGE(INDEX($C$5:$C346,343-MA_MED):$C346),"")</f>
        <v>913089658.52</v>
      </c>
      <c r="K346" s="52" t="n">
        <f aca="false">IF(AND(ISNUMBER($G346),$G346&gt;=MA_LONG2),AVERAGE(INDEX($C$5:$C346,343-MA_LONG2):$C346),"")</f>
        <v>878194015.885</v>
      </c>
      <c r="L346" s="53" t="n">
        <f aca="false">IF(AND(ISNUMBER($G346),$G346&gt;=21),STDEV(INDEX($H$286:$H346,62-20):$H346)*SQRT(245),"")</f>
        <v>0.151532028682841</v>
      </c>
      <c r="M346" s="52" t="n">
        <f aca="false">IF(AND(ISNUMBER($G346),$G346&gt;=60),MAX(INDEX($D$146:$D346,202-60):$D346),"")</f>
        <v>954298631</v>
      </c>
      <c r="N346" s="52" t="n">
        <f aca="false">IF(AND(ISNUMBER($G346),$G346&gt;=60),MIN(INDEX($E$146:$E346,202-60):$E346),"")</f>
        <v>870551178</v>
      </c>
      <c r="O346" s="53" t="n">
        <f aca="false">IF(OR(NOT(ISNUMBER($C346)),NOT(ISNUMBER($M346)),$M346=0),"",$C346/$M346-1)</f>
        <v>-0.0512496480779296</v>
      </c>
      <c r="P346" s="54"/>
      <c r="Q346" s="53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900976905</v>
      </c>
      <c r="D347" s="49" t="n">
        <v>902789240</v>
      </c>
      <c r="E347" s="49" t="n">
        <v>894384130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-0.00487552472927721</v>
      </c>
      <c r="I347" s="52" t="n">
        <f aca="false">IF(AND(ISNUMBER($G347),$G347&gt;=MA_SHORT),AVERAGE(INDEX($C$5:$C347,344-MA_SHORT):$C347),"")</f>
        <v>921863139</v>
      </c>
      <c r="J347" s="52" t="n">
        <f aca="false">IF(AND(ISNUMBER($G347),$G347&gt;=MA_MED),AVERAGE(INDEX($C$5:$C347,344-MA_MED):$C347),"")</f>
        <v>912642705.72</v>
      </c>
      <c r="K347" s="52" t="n">
        <f aca="false">IF(AND(ISNUMBER($G347),$G347&gt;=MA_LONG2),AVERAGE(INDEX($C$5:$C347,344-MA_LONG2):$C347),"")</f>
        <v>878566829.335</v>
      </c>
      <c r="L347" s="53" t="n">
        <f aca="false">IF(AND(ISNUMBER($G347),$G347&gt;=21),STDEV(INDEX($H$287:$H347,62-20):$H347)*SQRT(245),"")</f>
        <v>0.140986185878705</v>
      </c>
      <c r="M347" s="52" t="n">
        <f aca="false">IF(AND(ISNUMBER($G347),$G347&gt;=60),MAX(INDEX($D$147:$D347,202-60):$D347),"")</f>
        <v>954298631</v>
      </c>
      <c r="N347" s="52" t="n">
        <f aca="false">IF(AND(ISNUMBER($G347),$G347&gt;=60),MIN(INDEX($E$147:$E347,202-60):$E347),"")</f>
        <v>870551178</v>
      </c>
      <c r="O347" s="53" t="n">
        <f aca="false">IF(OR(NOT(ISNUMBER($C347)),NOT(ISNUMBER($M347)),$M347=0),"",$C347/$M347-1)</f>
        <v>-0.0558753038806361</v>
      </c>
      <c r="P347" s="54"/>
      <c r="Q347" s="53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893565802</v>
      </c>
      <c r="D348" s="49" t="n">
        <v>896357745</v>
      </c>
      <c r="E348" s="49" t="n">
        <v>886981184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-0.00822563037839463</v>
      </c>
      <c r="I348" s="52" t="n">
        <f aca="false">IF(AND(ISNUMBER($G348),$G348&gt;=MA_SHORT),AVERAGE(INDEX($C$5:$C348,345-MA_SHORT):$C348),"")</f>
        <v>919619019.15</v>
      </c>
      <c r="J348" s="52" t="n">
        <f aca="false">IF(AND(ISNUMBER($G348),$G348&gt;=MA_MED),AVERAGE(INDEX($C$5:$C348,345-MA_MED):$C348),"")</f>
        <v>911811144.34</v>
      </c>
      <c r="K348" s="52" t="n">
        <f aca="false">IF(AND(ISNUMBER($G348),$G348&gt;=MA_LONG2),AVERAGE(INDEX($C$5:$C348,345-MA_LONG2):$C348),"")</f>
        <v>878985586.54</v>
      </c>
      <c r="L348" s="53" t="n">
        <f aca="false">IF(AND(ISNUMBER($G348),$G348&gt;=21),STDEV(INDEX($H$288:$H348,62-20):$H348)*SQRT(245),"")</f>
        <v>0.141275342683711</v>
      </c>
      <c r="M348" s="52" t="n">
        <f aca="false">IF(AND(ISNUMBER($G348),$G348&gt;=60),MAX(INDEX($D$148:$D348,202-60):$D348),"")</f>
        <v>954298631</v>
      </c>
      <c r="N348" s="52" t="n">
        <f aca="false">IF(AND(ISNUMBER($G348),$G348&gt;=60),MIN(INDEX($E$148:$E348,202-60):$E348),"")</f>
        <v>870551178</v>
      </c>
      <c r="O348" s="53" t="n">
        <f aca="false">IF(OR(NOT(ISNUMBER($C348)),NOT(ISNUMBER($M348)),$M348=0),"",$C348/$M348-1)</f>
        <v>-0.0636413246620281</v>
      </c>
      <c r="P348" s="54"/>
      <c r="Q348" s="53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901709038</v>
      </c>
      <c r="D349" s="49" t="n">
        <v>904144347</v>
      </c>
      <c r="E349" s="49" t="n">
        <v>893868506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0.00911319119618681</v>
      </c>
      <c r="I349" s="52" t="n">
        <f aca="false">IF(AND(ISNUMBER($G349),$G349&gt;=MA_SHORT),AVERAGE(INDEX($C$5:$C349,346-MA_SHORT):$C349),"")</f>
        <v>918510840.8</v>
      </c>
      <c r="J349" s="52" t="n">
        <f aca="false">IF(AND(ISNUMBER($G349),$G349&gt;=MA_MED),AVERAGE(INDEX($C$5:$C349,346-MA_MED):$C349),"")</f>
        <v>911410951.96</v>
      </c>
      <c r="K349" s="52" t="n">
        <f aca="false">IF(AND(ISNUMBER($G349),$G349&gt;=MA_LONG2),AVERAGE(INDEX($C$5:$C349,346-MA_LONG2):$C349),"")</f>
        <v>879444994.415</v>
      </c>
      <c r="L349" s="53" t="n">
        <f aca="false">IF(AND(ISNUMBER($G349),$G349&gt;=21),STDEV(INDEX($H$289:$H349,62-20):$H349)*SQRT(245),"")</f>
        <v>0.138051945195859</v>
      </c>
      <c r="M349" s="52" t="n">
        <f aca="false">IF(AND(ISNUMBER($G349),$G349&gt;=60),MAX(INDEX($D$149:$D349,202-60):$D349),"")</f>
        <v>954298631</v>
      </c>
      <c r="N349" s="52" t="n">
        <f aca="false">IF(AND(ISNUMBER($G349),$G349&gt;=60),MIN(INDEX($E$149:$E349,202-60):$E349),"")</f>
        <v>870551178</v>
      </c>
      <c r="O349" s="53" t="n">
        <f aca="false">IF(OR(NOT(ISNUMBER($C349)),NOT(ISNUMBER($M349)),$M349=0),"",$C349/$M349-1)</f>
        <v>-0.055108109025465</v>
      </c>
      <c r="P349" s="54"/>
      <c r="Q349" s="53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916774731</v>
      </c>
      <c r="D350" s="49" t="n">
        <v>917866394</v>
      </c>
      <c r="E350" s="49" t="n">
        <v>913322688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0.016707931677624</v>
      </c>
      <c r="I350" s="52" t="n">
        <f aca="false">IF(AND(ISNUMBER($G350),$G350&gt;=MA_SHORT),AVERAGE(INDEX($C$5:$C350,347-MA_SHORT):$C350),"")</f>
        <v>917252401.3</v>
      </c>
      <c r="J350" s="52" t="n">
        <f aca="false">IF(AND(ISNUMBER($G350),$G350&gt;=MA_MED),AVERAGE(INDEX($C$5:$C350,347-MA_MED):$C350),"")</f>
        <v>911666915.1</v>
      </c>
      <c r="K350" s="52" t="n">
        <f aca="false">IF(AND(ISNUMBER($G350),$G350&gt;=MA_LONG2),AVERAGE(INDEX($C$5:$C350,347-MA_LONG2):$C350),"")</f>
        <v>880035742.2</v>
      </c>
      <c r="L350" s="53" t="n">
        <f aca="false">IF(AND(ISNUMBER($G350),$G350&gt;=21),STDEV(INDEX($H$290:$H350,62-20):$H350)*SQRT(245),"")</f>
        <v>0.13278843696044</v>
      </c>
      <c r="M350" s="52" t="n">
        <f aca="false">IF(AND(ISNUMBER($G350),$G350&gt;=60),MAX(INDEX($D$150:$D350,202-60):$D350),"")</f>
        <v>954298631</v>
      </c>
      <c r="N350" s="52" t="n">
        <f aca="false">IF(AND(ISNUMBER($G350),$G350&gt;=60),MIN(INDEX($E$150:$E350,202-60):$E350),"")</f>
        <v>870551178</v>
      </c>
      <c r="O350" s="53" t="n">
        <f aca="false">IF(OR(NOT(ISNUMBER($C350)),NOT(ISNUMBER($M350)),$M350=0),"",$C350/$M350-1)</f>
        <v>-0.0393209198683217</v>
      </c>
      <c r="P350" s="54"/>
      <c r="Q350" s="53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923448574</v>
      </c>
      <c r="D351" s="49" t="n">
        <v>930037956</v>
      </c>
      <c r="E351" s="49" t="n">
        <v>920541288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0.00727969780833759</v>
      </c>
      <c r="I351" s="52" t="n">
        <f aca="false">IF(AND(ISNUMBER($G351),$G351&gt;=MA_SHORT),AVERAGE(INDEX($C$5:$C351,348-MA_SHORT):$C351),"")</f>
        <v>916709757.85</v>
      </c>
      <c r="J351" s="52" t="n">
        <f aca="false">IF(AND(ISNUMBER($G351),$G351&gt;=MA_MED),AVERAGE(INDEX($C$5:$C351,348-MA_MED):$C351),"")</f>
        <v>912327000.7</v>
      </c>
      <c r="K351" s="52" t="n">
        <f aca="false">IF(AND(ISNUMBER($G351),$G351&gt;=MA_LONG2),AVERAGE(INDEX($C$5:$C351,348-MA_LONG2):$C351),"")</f>
        <v>880644064.465</v>
      </c>
      <c r="L351" s="53" t="n">
        <f aca="false">IF(AND(ISNUMBER($G351),$G351&gt;=21),STDEV(INDEX($H$291:$H351,62-20):$H351)*SQRT(245),"")</f>
        <v>0.133559765578742</v>
      </c>
      <c r="M351" s="52" t="n">
        <f aca="false">IF(AND(ISNUMBER($G351),$G351&gt;=60),MAX(INDEX($D$151:$D351,202-60):$D351),"")</f>
        <v>954298631</v>
      </c>
      <c r="N351" s="52" t="n">
        <f aca="false">IF(AND(ISNUMBER($G351),$G351&gt;=60),MIN(INDEX($E$151:$E351,202-60):$E351),"")</f>
        <v>870551178</v>
      </c>
      <c r="O351" s="53" t="n">
        <f aca="false">IF(OR(NOT(ISNUMBER($C351)),NOT(ISNUMBER($M351)),$M351=0),"",$C351/$M351-1)</f>
        <v>-0.0323274664741712</v>
      </c>
      <c r="P351" s="54"/>
      <c r="Q351" s="53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945567079</v>
      </c>
      <c r="D352" s="49" t="n">
        <v>948149986</v>
      </c>
      <c r="E352" s="49" t="n">
        <v>941546093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0.0239520701236147</v>
      </c>
      <c r="I352" s="52" t="n">
        <f aca="false">IF(AND(ISNUMBER($G352),$G352&gt;=MA_SHORT),AVERAGE(INDEX($C$5:$C352,349-MA_SHORT):$C352),"")</f>
        <v>917372059.15</v>
      </c>
      <c r="J352" s="52" t="n">
        <f aca="false">IF(AND(ISNUMBER($G352),$G352&gt;=MA_MED),AVERAGE(INDEX($C$5:$C352,349-MA_MED):$C352),"")</f>
        <v>913276129.86</v>
      </c>
      <c r="K352" s="52" t="n">
        <f aca="false">IF(AND(ISNUMBER($G352),$G352&gt;=MA_LONG2),AVERAGE(INDEX($C$5:$C352,349-MA_LONG2):$C352),"")</f>
        <v>881454238.485</v>
      </c>
      <c r="L352" s="53" t="n">
        <f aca="false">IF(AND(ISNUMBER($G352),$G352&gt;=21),STDEV(INDEX($H$292:$H352,62-20):$H352)*SQRT(245),"")</f>
        <v>0.158458709774499</v>
      </c>
      <c r="M352" s="52" t="n">
        <f aca="false">IF(AND(ISNUMBER($G352),$G352&gt;=60),MAX(INDEX($D$152:$D352,202-60):$D352),"")</f>
        <v>954298631</v>
      </c>
      <c r="N352" s="52" t="n">
        <f aca="false">IF(AND(ISNUMBER($G352),$G352&gt;=60),MIN(INDEX($E$152:$E352,202-60):$E352),"")</f>
        <v>870551178</v>
      </c>
      <c r="O352" s="53" t="n">
        <f aca="false">IF(OR(NOT(ISNUMBER($C352)),NOT(ISNUMBER($M352)),$M352=0),"",$C352/$M352-1)</f>
        <v>-0.00914970609446464</v>
      </c>
      <c r="P352" s="54"/>
      <c r="Q352" s="53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953331811</v>
      </c>
      <c r="D353" s="49" t="n">
        <v>955434239</v>
      </c>
      <c r="E353" s="49" t="n">
        <v>947998270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0.00821171990062486</v>
      </c>
      <c r="I353" s="52" t="n">
        <f aca="false">IF(AND(ISNUMBER($G353),$G353&gt;=MA_SHORT),AVERAGE(INDEX($C$5:$C353,350-MA_SHORT):$C353),"")</f>
        <v>918442275.8</v>
      </c>
      <c r="J353" s="52" t="n">
        <f aca="false">IF(AND(ISNUMBER($G353),$G353&gt;=MA_MED),AVERAGE(INDEX($C$5:$C353,350-MA_MED):$C353),"")</f>
        <v>914547531.14</v>
      </c>
      <c r="K353" s="52" t="n">
        <f aca="false">IF(AND(ISNUMBER($G353),$G353&gt;=MA_LONG2),AVERAGE(INDEX($C$5:$C353,350-MA_LONG2):$C353),"")</f>
        <v>882365133.89</v>
      </c>
      <c r="L353" s="53" t="n">
        <f aca="false">IF(AND(ISNUMBER($G353),$G353&gt;=21),STDEV(INDEX($H$293:$H353,62-20):$H353)*SQRT(245),"")</f>
        <v>0.160500458828464</v>
      </c>
      <c r="M353" s="52" t="n">
        <f aca="false">IF(AND(ISNUMBER($G353),$G353&gt;=60),MAX(INDEX($D$153:$D353,202-60):$D353),"")</f>
        <v>955434239</v>
      </c>
      <c r="N353" s="52" t="n">
        <f aca="false">IF(AND(ISNUMBER($G353),$G353&gt;=60),MIN(INDEX($E$153:$E353,202-60):$E353),"")</f>
        <v>870551178</v>
      </c>
      <c r="O353" s="53" t="n">
        <f aca="false">IF(OR(NOT(ISNUMBER($C353)),NOT(ISNUMBER($M353)),$M353=0),"",$C353/$M353-1)</f>
        <v>-0.00220049472185602</v>
      </c>
      <c r="P353" s="54"/>
      <c r="Q353" s="53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951036804</v>
      </c>
      <c r="D354" s="49" t="n">
        <v>954473505</v>
      </c>
      <c r="E354" s="49" t="n">
        <v>949211543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-0.00240735384419055</v>
      </c>
      <c r="I354" s="52" t="n">
        <f aca="false">IF(AND(ISNUMBER($G354),$G354&gt;=MA_SHORT),AVERAGE(INDEX($C$5:$C354,351-MA_SHORT):$C354),"")</f>
        <v>919567806.35</v>
      </c>
      <c r="J354" s="52" t="n">
        <f aca="false">IF(AND(ISNUMBER($G354),$G354&gt;=MA_MED),AVERAGE(INDEX($C$5:$C354,351-MA_MED):$C354),"")</f>
        <v>915991301.24</v>
      </c>
      <c r="K354" s="52" t="n">
        <f aca="false">IF(AND(ISNUMBER($G354),$G354&gt;=MA_LONG2),AVERAGE(INDEX($C$5:$C354,351-MA_LONG2):$C354),"")</f>
        <v>883261026.01</v>
      </c>
      <c r="L354" s="53" t="n">
        <f aca="false">IF(AND(ISNUMBER($G354),$G354&gt;=21),STDEV(INDEX($H$294:$H354,62-20):$H354)*SQRT(245),"")</f>
        <v>0.160076141257845</v>
      </c>
      <c r="M354" s="52" t="n">
        <f aca="false">IF(AND(ISNUMBER($G354),$G354&gt;=60),MAX(INDEX($D$154:$D354,202-60):$D354),"")</f>
        <v>955434239</v>
      </c>
      <c r="N354" s="52" t="n">
        <f aca="false">IF(AND(ISNUMBER($G354),$G354&gt;=60),MIN(INDEX($E$154:$E354,202-60):$E354),"")</f>
        <v>870551178</v>
      </c>
      <c r="O354" s="53" t="n">
        <f aca="false">IF(OR(NOT(ISNUMBER($C354)),NOT(ISNUMBER($M354)),$M354=0),"",$C354/$M354-1)</f>
        <v>-0.00460255119661879</v>
      </c>
      <c r="P354" s="54"/>
      <c r="Q354" s="53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945356809</v>
      </c>
      <c r="D355" s="49" t="n">
        <v>947965760</v>
      </c>
      <c r="E355" s="49" t="n">
        <v>945072057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-0.00597242396520337</v>
      </c>
      <c r="I355" s="52" t="n">
        <f aca="false">IF(AND(ISNUMBER($G355),$G355&gt;=MA_SHORT),AVERAGE(INDEX($C$5:$C355,352-MA_SHORT):$C355),"")</f>
        <v>920020448.65</v>
      </c>
      <c r="J355" s="52" t="n">
        <f aca="false">IF(AND(ISNUMBER($G355),$G355&gt;=MA_MED),AVERAGE(INDEX($C$5:$C355,352-MA_MED):$C355),"")</f>
        <v>917267016.5</v>
      </c>
      <c r="K355" s="52" t="n">
        <f aca="false">IF(AND(ISNUMBER($G355),$G355&gt;=MA_LONG2),AVERAGE(INDEX($C$5:$C355,352-MA_LONG2):$C355),"")</f>
        <v>884187852.905</v>
      </c>
      <c r="L355" s="53" t="n">
        <f aca="false">IF(AND(ISNUMBER($G355),$G355&gt;=21),STDEV(INDEX($H$295:$H355,62-20):$H355)*SQRT(245),"")</f>
        <v>0.159714240061968</v>
      </c>
      <c r="M355" s="52" t="n">
        <f aca="false">IF(AND(ISNUMBER($G355),$G355&gt;=60),MAX(INDEX($D$155:$D355,202-60):$D355),"")</f>
        <v>955434239</v>
      </c>
      <c r="N355" s="52" t="n">
        <f aca="false">IF(AND(ISNUMBER($G355),$G355&gt;=60),MIN(INDEX($E$155:$E355,202-60):$E355),"")</f>
        <v>870551178</v>
      </c>
      <c r="O355" s="53" t="n">
        <f aca="false">IF(OR(NOT(ISNUMBER($C355)),NOT(ISNUMBER($M355)),$M355=0),"",$C355/$M355-1)</f>
        <v>-0.0105474867747544</v>
      </c>
      <c r="P355" s="54"/>
      <c r="Q355" s="53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947570256</v>
      </c>
      <c r="D356" s="49" t="n">
        <v>951468976</v>
      </c>
      <c r="E356" s="49" t="n">
        <v>944515655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0.00234138790658456</v>
      </c>
      <c r="I356" s="52" t="n">
        <f aca="false">IF(AND(ISNUMBER($G356),$G356&gt;=MA_SHORT),AVERAGE(INDEX($C$5:$C356,353-MA_SHORT):$C356),"")</f>
        <v>920695369.8</v>
      </c>
      <c r="J356" s="52" t="n">
        <f aca="false">IF(AND(ISNUMBER($G356),$G356&gt;=MA_MED),AVERAGE(INDEX($C$5:$C356,353-MA_MED):$C356),"")</f>
        <v>918108410.3</v>
      </c>
      <c r="K356" s="52" t="n">
        <f aca="false">IF(AND(ISNUMBER($G356),$G356&gt;=MA_LONG2),AVERAGE(INDEX($C$5:$C356,353-MA_LONG2):$C356),"")</f>
        <v>885184049.63</v>
      </c>
      <c r="L356" s="53" t="n">
        <f aca="false">IF(AND(ISNUMBER($G356),$G356&gt;=21),STDEV(INDEX($H$296:$H356,62-20):$H356)*SQRT(245),"")</f>
        <v>0.159458431214448</v>
      </c>
      <c r="M356" s="52" t="n">
        <f aca="false">IF(AND(ISNUMBER($G356),$G356&gt;=60),MAX(INDEX($D$156:$D356,202-60):$D356),"")</f>
        <v>955434239</v>
      </c>
      <c r="N356" s="52" t="n">
        <f aca="false">IF(AND(ISNUMBER($G356),$G356&gt;=60),MIN(INDEX($E$156:$E356,202-60):$E356),"")</f>
        <v>870551178</v>
      </c>
      <c r="O356" s="53" t="n">
        <f aca="false">IF(OR(NOT(ISNUMBER($C356)),NOT(ISNUMBER($M356)),$M356=0),"",$C356/$M356-1)</f>
        <v>-0.00823079462614906</v>
      </c>
      <c r="P356" s="54"/>
      <c r="Q356" s="53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950629165</v>
      </c>
      <c r="D357" s="49" t="n">
        <v>952742879</v>
      </c>
      <c r="E357" s="49" t="n">
        <v>948681906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0.00322816063572184</v>
      </c>
      <c r="I357" s="52" t="n">
        <f aca="false">IF(AND(ISNUMBER($G357),$G357&gt;=MA_SHORT),AVERAGE(INDEX($C$5:$C357,354-MA_SHORT):$C357),"")</f>
        <v>921845933.55</v>
      </c>
      <c r="J357" s="52" t="n">
        <f aca="false">IF(AND(ISNUMBER($G357),$G357&gt;=MA_MED),AVERAGE(INDEX($C$5:$C357,354-MA_MED):$C357),"")</f>
        <v>919263503.32</v>
      </c>
      <c r="K357" s="52" t="n">
        <f aca="false">IF(AND(ISNUMBER($G357),$G357&gt;=MA_LONG2),AVERAGE(INDEX($C$5:$C357,354-MA_LONG2):$C357),"")</f>
        <v>886174992.19</v>
      </c>
      <c r="L357" s="53" t="n">
        <f aca="false">IF(AND(ISNUMBER($G357),$G357&gt;=21),STDEV(INDEX($H$297:$H357,62-20):$H357)*SQRT(245),"")</f>
        <v>0.157095579943964</v>
      </c>
      <c r="M357" s="52" t="n">
        <f aca="false">IF(AND(ISNUMBER($G357),$G357&gt;=60),MAX(INDEX($D$157:$D357,202-60):$D357),"")</f>
        <v>955434239</v>
      </c>
      <c r="N357" s="52" t="n">
        <f aca="false">IF(AND(ISNUMBER($G357),$G357&gt;=60),MIN(INDEX($E$157:$E357,202-60):$E357),"")</f>
        <v>870551178</v>
      </c>
      <c r="O357" s="53" t="n">
        <f aca="false">IF(OR(NOT(ISNUMBER($C357)),NOT(ISNUMBER($M357)),$M357=0),"",$C357/$M357-1)</f>
        <v>-0.00502920431764009</v>
      </c>
      <c r="P357" s="54"/>
      <c r="Q357" s="53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939467785</v>
      </c>
      <c r="D358" s="49" t="n">
        <v>946471921</v>
      </c>
      <c r="E358" s="49" t="n">
        <v>938357500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-0.0117410452055718</v>
      </c>
      <c r="I358" s="52" t="n">
        <f aca="false">IF(AND(ISNUMBER($G358),$G358&gt;=MA_SHORT),AVERAGE(INDEX($C$5:$C358,355-MA_SHORT):$C358),"")</f>
        <v>922932151.15</v>
      </c>
      <c r="J358" s="52" t="n">
        <f aca="false">IF(AND(ISNUMBER($G358),$G358&gt;=MA_MED),AVERAGE(INDEX($C$5:$C358,355-MA_MED):$C358),"")</f>
        <v>920368556.02</v>
      </c>
      <c r="K358" s="52" t="n">
        <f aca="false">IF(AND(ISNUMBER($G358),$G358&gt;=MA_LONG2),AVERAGE(INDEX($C$5:$C358,355-MA_LONG2):$C358),"")</f>
        <v>887120947.01</v>
      </c>
      <c r="L358" s="53" t="n">
        <f aca="false">IF(AND(ISNUMBER($G358),$G358&gt;=21),STDEV(INDEX($H$298:$H358,62-20):$H358)*SQRT(245),"")</f>
        <v>0.158210771357566</v>
      </c>
      <c r="M358" s="52" t="n">
        <f aca="false">IF(AND(ISNUMBER($G358),$G358&gt;=60),MAX(INDEX($D$158:$D358,202-60):$D358),"")</f>
        <v>955434239</v>
      </c>
      <c r="N358" s="52" t="n">
        <f aca="false">IF(AND(ISNUMBER($G358),$G358&gt;=60),MIN(INDEX($E$158:$E358,202-60):$E358),"")</f>
        <v>870551178</v>
      </c>
      <c r="O358" s="53" t="n">
        <f aca="false">IF(OR(NOT(ISNUMBER($C358)),NOT(ISNUMBER($M358)),$M358=0),"",$C358/$M358-1)</f>
        <v>-0.0167112014079704</v>
      </c>
      <c r="P358" s="54"/>
      <c r="Q358" s="53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927343063</v>
      </c>
      <c r="D359" s="49" t="n">
        <v>927816716</v>
      </c>
      <c r="E359" s="49" t="n">
        <v>926063576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-0.0129059475945734</v>
      </c>
      <c r="I359" s="52" t="n">
        <f aca="false">IF(AND(ISNUMBER($G359),$G359&gt;=MA_SHORT),AVERAGE(INDEX($C$5:$C359,356-MA_SHORT):$C359),"")</f>
        <v>923374424.2</v>
      </c>
      <c r="J359" s="52" t="n">
        <f aca="false">IF(AND(ISNUMBER($G359),$G359&gt;=MA_MED),AVERAGE(INDEX($C$5:$C359,356-MA_MED):$C359),"")</f>
        <v>921059970.34</v>
      </c>
      <c r="K359" s="52" t="n">
        <f aca="false">IF(AND(ISNUMBER($G359),$G359&gt;=MA_LONG2),AVERAGE(INDEX($C$5:$C359,356-MA_LONG2):$C359),"")</f>
        <v>887965885.675</v>
      </c>
      <c r="L359" s="53" t="n">
        <f aca="false">IF(AND(ISNUMBER($G359),$G359&gt;=21),STDEV(INDEX($H$299:$H359,62-20):$H359)*SQRT(245),"")</f>
        <v>0.165770198938205</v>
      </c>
      <c r="M359" s="52" t="n">
        <f aca="false">IF(AND(ISNUMBER($G359),$G359&gt;=60),MAX(INDEX($D$159:$D359,202-60):$D359),"")</f>
        <v>955434239</v>
      </c>
      <c r="N359" s="52" t="n">
        <f aca="false">IF(AND(ISNUMBER($G359),$G359&gt;=60),MIN(INDEX($E$159:$E359,202-60):$E359),"")</f>
        <v>870551178</v>
      </c>
      <c r="O359" s="53" t="n">
        <f aca="false">IF(OR(NOT(ISNUMBER($C359)),NOT(ISNUMBER($M359)),$M359=0),"",$C359/$M359-1)</f>
        <v>-0.0294014751129303</v>
      </c>
      <c r="P359" s="54"/>
      <c r="Q359" s="53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922773205</v>
      </c>
      <c r="D360" s="49" t="n">
        <v>925879486</v>
      </c>
      <c r="E360" s="49" t="n">
        <v>919578791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-0.00492790444263025</v>
      </c>
      <c r="I360" s="52" t="n">
        <f aca="false">IF(AND(ISNUMBER($G360),$G360&gt;=MA_SHORT),AVERAGE(INDEX($C$5:$C360,357-MA_SHORT):$C360),"")</f>
        <v>924413894.05</v>
      </c>
      <c r="J360" s="52" t="n">
        <f aca="false">IF(AND(ISNUMBER($G360),$G360&gt;=MA_MED),AVERAGE(INDEX($C$5:$C360,357-MA_MED):$C360),"")</f>
        <v>922078680.96</v>
      </c>
      <c r="K360" s="52" t="n">
        <f aca="false">IF(AND(ISNUMBER($G360),$G360&gt;=MA_LONG2),AVERAGE(INDEX($C$5:$C360,357-MA_LONG2):$C360),"")</f>
        <v>888805194.845</v>
      </c>
      <c r="L360" s="53" t="n">
        <f aca="false">IF(AND(ISNUMBER($G360),$G360&gt;=21),STDEV(INDEX($H$300:$H360,62-20):$H360)*SQRT(245),"")</f>
        <v>0.152760027792128</v>
      </c>
      <c r="M360" s="52" t="n">
        <f aca="false">IF(AND(ISNUMBER($G360),$G360&gt;=60),MAX(INDEX($D$160:$D360,202-60):$D360),"")</f>
        <v>955434239</v>
      </c>
      <c r="N360" s="52" t="n">
        <f aca="false">IF(AND(ISNUMBER($G360),$G360&gt;=60),MIN(INDEX($E$160:$E360,202-60):$E360),"")</f>
        <v>870551178</v>
      </c>
      <c r="O360" s="53" t="n">
        <f aca="false">IF(OR(NOT(ISNUMBER($C360)),NOT(ISNUMBER($M360)),$M360=0),"",$C360/$M360-1)</f>
        <v>-0.0341844918957316</v>
      </c>
      <c r="P360" s="54"/>
      <c r="Q360" s="53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936867297</v>
      </c>
      <c r="D361" s="49" t="n">
        <v>937997712</v>
      </c>
      <c r="E361" s="49" t="n">
        <v>927067484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0.0152736251157184</v>
      </c>
      <c r="I361" s="52" t="n">
        <f aca="false">IF(AND(ISNUMBER($G361),$G361&gt;=MA_SHORT),AVERAGE(INDEX($C$5:$C361,358-MA_SHORT):$C361),"")</f>
        <v>926047250.2</v>
      </c>
      <c r="J361" s="52" t="n">
        <f aca="false">IF(AND(ISNUMBER($G361),$G361&gt;=MA_MED),AVERAGE(INDEX($C$5:$C361,358-MA_MED):$C361),"")</f>
        <v>923211529.32</v>
      </c>
      <c r="K361" s="52" t="n">
        <f aca="false">IF(AND(ISNUMBER($G361),$G361&gt;=MA_LONG2),AVERAGE(INDEX($C$5:$C361,358-MA_LONG2):$C361),"")</f>
        <v>889728523.62</v>
      </c>
      <c r="L361" s="53" t="n">
        <f aca="false">IF(AND(ISNUMBER($G361),$G361&gt;=21),STDEV(INDEX($H$301:$H361,62-20):$H361)*SQRT(245),"")</f>
        <v>0.16052505909316</v>
      </c>
      <c r="M361" s="52" t="n">
        <f aca="false">IF(AND(ISNUMBER($G361),$G361&gt;=60),MAX(INDEX($D$161:$D361,202-60):$D361),"")</f>
        <v>955434239</v>
      </c>
      <c r="N361" s="52" t="n">
        <f aca="false">IF(AND(ISNUMBER($G361),$G361&gt;=60),MIN(INDEX($E$161:$E361,202-60):$E361),"")</f>
        <v>870551178</v>
      </c>
      <c r="O361" s="53" t="n">
        <f aca="false">IF(OR(NOT(ISNUMBER($C361)),NOT(ISNUMBER($M361)),$M361=0),"",$C361/$M361-1)</f>
        <v>-0.0194329878939999</v>
      </c>
      <c r="P361" s="54"/>
      <c r="Q361" s="53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926357717</v>
      </c>
      <c r="D362" s="49" t="n">
        <v>928961809</v>
      </c>
      <c r="E362" s="49" t="n">
        <v>925057789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-0.0112177893642498</v>
      </c>
      <c r="I362" s="52" t="n">
        <f aca="false">IF(AND(ISNUMBER($G362),$G362&gt;=MA_SHORT),AVERAGE(INDEX($C$5:$C362,359-MA_SHORT):$C362),"")</f>
        <v>926992353.55</v>
      </c>
      <c r="J362" s="52" t="n">
        <f aca="false">IF(AND(ISNUMBER($G362),$G362&gt;=MA_MED),AVERAGE(INDEX($C$5:$C362,359-MA_MED):$C362),"")</f>
        <v>923973990.22</v>
      </c>
      <c r="K362" s="52" t="n">
        <f aca="false">IF(AND(ISNUMBER($G362),$G362&gt;=MA_LONG2),AVERAGE(INDEX($C$5:$C362,359-MA_LONG2):$C362),"")</f>
        <v>890563285.17</v>
      </c>
      <c r="L362" s="53" t="n">
        <f aca="false">IF(AND(ISNUMBER($G362),$G362&gt;=21),STDEV(INDEX($H$302:$H362,62-20):$H362)*SQRT(245),"")</f>
        <v>0.166673337145719</v>
      </c>
      <c r="M362" s="52" t="n">
        <f aca="false">IF(AND(ISNUMBER($G362),$G362&gt;=60),MAX(INDEX($D$162:$D362,202-60):$D362),"")</f>
        <v>955434239</v>
      </c>
      <c r="N362" s="52" t="n">
        <f aca="false">IF(AND(ISNUMBER($G362),$G362&gt;=60),MIN(INDEX($E$162:$E362,202-60):$E362),"")</f>
        <v>870551178</v>
      </c>
      <c r="O362" s="53" t="n">
        <f aca="false">IF(OR(NOT(ISNUMBER($C362)),NOT(ISNUMBER($M362)),$M362=0),"",$C362/$M362-1)</f>
        <v>-0.0304327820933368</v>
      </c>
      <c r="P362" s="54"/>
      <c r="Q362" s="53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936265988</v>
      </c>
      <c r="D363" s="49" t="n">
        <v>937458617</v>
      </c>
      <c r="E363" s="49" t="n">
        <v>933462521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0.0106959447934301</v>
      </c>
      <c r="I363" s="52" t="n">
        <f aca="false">IF(AND(ISNUMBER($G363),$G363&gt;=MA_SHORT),AVERAGE(INDEX($C$5:$C363,360-MA_SHORT):$C363),"")</f>
        <v>928020220</v>
      </c>
      <c r="J363" s="52" t="n">
        <f aca="false">IF(AND(ISNUMBER($G363),$G363&gt;=MA_MED),AVERAGE(INDEX($C$5:$C363,360-MA_MED):$C363),"")</f>
        <v>924732826.62</v>
      </c>
      <c r="K363" s="52" t="n">
        <f aca="false">IF(AND(ISNUMBER($G363),$G363&gt;=MA_LONG2),AVERAGE(INDEX($C$5:$C363,360-MA_LONG2):$C363),"")</f>
        <v>891429094.805</v>
      </c>
      <c r="L363" s="53" t="n">
        <f aca="false">IF(AND(ISNUMBER($G363),$G363&gt;=21),STDEV(INDEX($H$303:$H363,62-20):$H363)*SQRT(245),"")</f>
        <v>0.167756310405623</v>
      </c>
      <c r="M363" s="52" t="n">
        <f aca="false">IF(AND(ISNUMBER($G363),$G363&gt;=60),MAX(INDEX($D$163:$D363,202-60):$D363),"")</f>
        <v>955434239</v>
      </c>
      <c r="N363" s="52" t="n">
        <f aca="false">IF(AND(ISNUMBER($G363),$G363&gt;=60),MIN(INDEX($E$163:$E363,202-60):$E363),"")</f>
        <v>870551178</v>
      </c>
      <c r="O363" s="53" t="n">
        <f aca="false">IF(OR(NOT(ISNUMBER($C363)),NOT(ISNUMBER($M363)),$M363=0),"",$C363/$M363-1)</f>
        <v>-0.0200623446570873</v>
      </c>
      <c r="P363" s="54"/>
      <c r="Q363" s="53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938139681</v>
      </c>
      <c r="D364" s="49" t="n">
        <v>943659543</v>
      </c>
      <c r="E364" s="49" t="n">
        <v>937110660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0.00200124005786262</v>
      </c>
      <c r="I364" s="52" t="n">
        <f aca="false">IF(AND(ISNUMBER($G364),$G364&gt;=MA_SHORT),AVERAGE(INDEX($C$5:$C364,361-MA_SHORT):$C364),"")</f>
        <v>929042889</v>
      </c>
      <c r="J364" s="52" t="n">
        <f aca="false">IF(AND(ISNUMBER($G364),$G364&gt;=MA_MED),AVERAGE(INDEX($C$5:$C364,361-MA_MED):$C364),"")</f>
        <v>925579785.42</v>
      </c>
      <c r="K364" s="52" t="n">
        <f aca="false">IF(AND(ISNUMBER($G364),$G364&gt;=MA_LONG2),AVERAGE(INDEX($C$5:$C364,361-MA_LONG2):$C364),"")</f>
        <v>892239060.195</v>
      </c>
      <c r="L364" s="53" t="n">
        <f aca="false">IF(AND(ISNUMBER($G364),$G364&gt;=21),STDEV(INDEX($H$304:$H364,62-20):$H364)*SQRT(245),"")</f>
        <v>0.16774511297846</v>
      </c>
      <c r="M364" s="52" t="n">
        <f aca="false">IF(AND(ISNUMBER($G364),$G364&gt;=60),MAX(INDEX($D$164:$D364,202-60):$D364),"")</f>
        <v>955434239</v>
      </c>
      <c r="N364" s="52" t="n">
        <f aca="false">IF(AND(ISNUMBER($G364),$G364&gt;=60),MIN(INDEX($E$164:$E364,202-60):$E364),"")</f>
        <v>870551178</v>
      </c>
      <c r="O364" s="53" t="n">
        <f aca="false">IF(OR(NOT(ISNUMBER($C364)),NOT(ISNUMBER($M364)),$M364=0),"",$C364/$M364-1)</f>
        <v>-0.0181012541670071</v>
      </c>
      <c r="P364" s="54"/>
      <c r="Q364" s="53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949028632</v>
      </c>
      <c r="D365" s="49" t="n">
        <v>950426411</v>
      </c>
      <c r="E365" s="49" t="n">
        <v>948540876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0.011606961330527</v>
      </c>
      <c r="I365" s="52" t="n">
        <f aca="false">IF(AND(ISNUMBER($G365),$G365&gt;=MA_SHORT),AVERAGE(INDEX($C$5:$C365,362-MA_SHORT):$C365),"")</f>
        <v>930580075.2</v>
      </c>
      <c r="J365" s="52" t="n">
        <f aca="false">IF(AND(ISNUMBER($G365),$G365&gt;=MA_MED),AVERAGE(INDEX($C$5:$C365,362-MA_MED):$C365),"")</f>
        <v>926355066.1</v>
      </c>
      <c r="K365" s="52" t="n">
        <f aca="false">IF(AND(ISNUMBER($G365),$G365&gt;=MA_LONG2),AVERAGE(INDEX($C$5:$C365,362-MA_LONG2):$C365),"")</f>
        <v>893088973.135</v>
      </c>
      <c r="L365" s="53" t="n">
        <f aca="false">IF(AND(ISNUMBER($G365),$G365&gt;=21),STDEV(INDEX($H$305:$H365,62-20):$H365)*SQRT(245),"")</f>
        <v>0.171656221186627</v>
      </c>
      <c r="M365" s="52" t="n">
        <f aca="false">IF(AND(ISNUMBER($G365),$G365&gt;=60),MAX(INDEX($D$165:$D365,202-60):$D365),"")</f>
        <v>955434239</v>
      </c>
      <c r="N365" s="52" t="n">
        <f aca="false">IF(AND(ISNUMBER($G365),$G365&gt;=60),MIN(INDEX($E$165:$E365,202-60):$E365),"")</f>
        <v>870551178</v>
      </c>
      <c r="O365" s="53" t="n">
        <f aca="false">IF(OR(NOT(ISNUMBER($C365)),NOT(ISNUMBER($M365)),$M365=0),"",$C365/$M365-1)</f>
        <v>-0.00670439339363049</v>
      </c>
      <c r="P365" s="54"/>
      <c r="Q365" s="53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938657245</v>
      </c>
      <c r="D366" s="49" t="n">
        <v>941322592</v>
      </c>
      <c r="E366" s="49" t="n">
        <v>933374385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-0.0109284237063988</v>
      </c>
      <c r="I366" s="52" t="n">
        <f aca="false">IF(AND(ISNUMBER($G366),$G366&gt;=MA_SHORT),AVERAGE(INDEX($C$5:$C366,363-MA_SHORT):$C366),"")</f>
        <v>932243379.35</v>
      </c>
      <c r="J366" s="52" t="n">
        <f aca="false">IF(AND(ISNUMBER($G366),$G366&gt;=MA_MED),AVERAGE(INDEX($C$5:$C366,363-MA_MED):$C366),"")</f>
        <v>926877186.82</v>
      </c>
      <c r="K366" s="52" t="n">
        <f aca="false">IF(AND(ISNUMBER($G366),$G366&gt;=MA_LONG2),AVERAGE(INDEX($C$5:$C366,363-MA_LONG2):$C366),"")</f>
        <v>893932903.155</v>
      </c>
      <c r="L366" s="53" t="n">
        <f aca="false">IF(AND(ISNUMBER($G366),$G366&gt;=21),STDEV(INDEX($H$306:$H366,62-20):$H366)*SQRT(245),"")</f>
        <v>0.168287084556484</v>
      </c>
      <c r="M366" s="52" t="n">
        <f aca="false">IF(AND(ISNUMBER($G366),$G366&gt;=60),MAX(INDEX($D$166:$D366,202-60):$D366),"")</f>
        <v>955434239</v>
      </c>
      <c r="N366" s="52" t="n">
        <f aca="false">IF(AND(ISNUMBER($G366),$G366&gt;=60),MIN(INDEX($E$166:$E366,202-60):$E366),"")</f>
        <v>870551178</v>
      </c>
      <c r="O366" s="53" t="n">
        <f aca="false">IF(OR(NOT(ISNUMBER($C366)),NOT(ISNUMBER($M366)),$M366=0),"",$C366/$M366-1)</f>
        <v>-0.0175595486483293</v>
      </c>
      <c r="P366" s="54"/>
      <c r="Q366" s="53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922170818</v>
      </c>
      <c r="D367" s="49" t="n">
        <v>924377386</v>
      </c>
      <c r="E367" s="49" t="n">
        <v>915454932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-0.0175638414211569</v>
      </c>
      <c r="I367" s="52" t="n">
        <f aca="false">IF(AND(ISNUMBER($G367),$G367&gt;=MA_SHORT),AVERAGE(INDEX($C$5:$C367,364-MA_SHORT):$C367),"")</f>
        <v>933303075</v>
      </c>
      <c r="J367" s="52" t="n">
        <f aca="false">IF(AND(ISNUMBER($G367),$G367&gt;=MA_MED),AVERAGE(INDEX($C$5:$C367,364-MA_MED):$C367),"")</f>
        <v>926973737.34</v>
      </c>
      <c r="K367" s="52" t="n">
        <f aca="false">IF(AND(ISNUMBER($G367),$G367&gt;=MA_LONG2),AVERAGE(INDEX($C$5:$C367,364-MA_LONG2):$C367),"")</f>
        <v>894696764.285</v>
      </c>
      <c r="L367" s="53" t="n">
        <f aca="false">IF(AND(ISNUMBER($G367),$G367&gt;=21),STDEV(INDEX($H$307:$H367,62-20):$H367)*SQRT(245),"")</f>
        <v>0.180268981389397</v>
      </c>
      <c r="M367" s="52" t="n">
        <f aca="false">IF(AND(ISNUMBER($G367),$G367&gt;=60),MAX(INDEX($D$167:$D367,202-60):$D367),"")</f>
        <v>955434239</v>
      </c>
      <c r="N367" s="52" t="n">
        <f aca="false">IF(AND(ISNUMBER($G367),$G367&gt;=60),MIN(INDEX($E$167:$E367,202-60):$E367),"")</f>
        <v>870551178</v>
      </c>
      <c r="O367" s="53" t="n">
        <f aca="false">IF(OR(NOT(ISNUMBER($C367)),NOT(ISNUMBER($M367)),$M367=0),"",$C367/$M367-1)</f>
        <v>-0.0348149769415999</v>
      </c>
      <c r="P367" s="54"/>
      <c r="Q367" s="53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925166742</v>
      </c>
      <c r="D368" s="49" t="n">
        <v>935190095</v>
      </c>
      <c r="E368" s="49" t="n">
        <v>924404995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0.00324877337421881</v>
      </c>
      <c r="I368" s="52" t="n">
        <f aca="false">IF(AND(ISNUMBER($G368),$G368&gt;=MA_SHORT),AVERAGE(INDEX($C$5:$C368,365-MA_SHORT):$C368),"")</f>
        <v>934883122</v>
      </c>
      <c r="J368" s="52" t="n">
        <f aca="false">IF(AND(ISNUMBER($G368),$G368&gt;=MA_MED),AVERAGE(INDEX($C$5:$C368,365-MA_MED):$C368),"")</f>
        <v>927233294.88</v>
      </c>
      <c r="K368" s="52" t="n">
        <f aca="false">IF(AND(ISNUMBER($G368),$G368&gt;=MA_LONG2),AVERAGE(INDEX($C$5:$C368,365-MA_LONG2):$C368),"")</f>
        <v>895538506.74</v>
      </c>
      <c r="L368" s="53" t="n">
        <f aca="false">IF(AND(ISNUMBER($G368),$G368&gt;=21),STDEV(INDEX($H$308:$H368,62-20):$H368)*SQRT(245),"")</f>
        <v>0.176954304152329</v>
      </c>
      <c r="M368" s="52" t="n">
        <f aca="false">IF(AND(ISNUMBER($G368),$G368&gt;=60),MAX(INDEX($D$168:$D368,202-60):$D368),"")</f>
        <v>955434239</v>
      </c>
      <c r="N368" s="52" t="n">
        <f aca="false">IF(AND(ISNUMBER($G368),$G368&gt;=60),MIN(INDEX($E$168:$E368,202-60):$E368),"")</f>
        <v>870551178</v>
      </c>
      <c r="O368" s="53" t="n">
        <f aca="false">IF(OR(NOT(ISNUMBER($C368)),NOT(ISNUMBER($M368)),$M368=0),"",$C368/$M368-1)</f>
        <v>-0.031679309537493</v>
      </c>
      <c r="P368" s="54"/>
      <c r="Q368" s="53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933428405</v>
      </c>
      <c r="D369" s="49" t="n">
        <v>938936412</v>
      </c>
      <c r="E369" s="49" t="n">
        <v>928316994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0.00892991784609576</v>
      </c>
      <c r="I369" s="52" t="n">
        <f aca="false">IF(AND(ISNUMBER($G369),$G369&gt;=MA_SHORT),AVERAGE(INDEX($C$5:$C369,366-MA_SHORT):$C369),"")</f>
        <v>936469090.35</v>
      </c>
      <c r="J369" s="52" t="n">
        <f aca="false">IF(AND(ISNUMBER($G369),$G369&gt;=MA_MED),AVERAGE(INDEX($C$5:$C369,366-MA_MED):$C369),"")</f>
        <v>927614202.8</v>
      </c>
      <c r="K369" s="52" t="n">
        <f aca="false">IF(AND(ISNUMBER($G369),$G369&gt;=MA_LONG2),AVERAGE(INDEX($C$5:$C369,366-MA_LONG2):$C369),"")</f>
        <v>896371881.755</v>
      </c>
      <c r="L369" s="53" t="n">
        <f aca="false">IF(AND(ISNUMBER($G369),$G369&gt;=21),STDEV(INDEX($H$309:$H369,62-20):$H369)*SQRT(245),"")</f>
        <v>0.176857768574818</v>
      </c>
      <c r="M369" s="52" t="n">
        <f aca="false">IF(AND(ISNUMBER($G369),$G369&gt;=60),MAX(INDEX($D$169:$D369,202-60):$D369),"")</f>
        <v>955434239</v>
      </c>
      <c r="N369" s="52" t="n">
        <f aca="false">IF(AND(ISNUMBER($G369),$G369&gt;=60),MIN(INDEX($E$169:$E369,202-60):$E369),"")</f>
        <v>870551178</v>
      </c>
      <c r="O369" s="53" t="n">
        <f aca="false">IF(OR(NOT(ISNUMBER($C369)),NOT(ISNUMBER($M369)),$M369=0),"",$C369/$M369-1)</f>
        <v>-0.0230322853229881</v>
      </c>
      <c r="P369" s="54"/>
      <c r="Q369" s="53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935280568</v>
      </c>
      <c r="D370" s="49" t="n">
        <v>936345715</v>
      </c>
      <c r="E370" s="49" t="n">
        <v>934237380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0.00198425823563841</v>
      </c>
      <c r="I370" s="52" t="n">
        <f aca="false">IF(AND(ISNUMBER($G370),$G370&gt;=MA_SHORT),AVERAGE(INDEX($C$5:$C370,367-MA_SHORT):$C370),"")</f>
        <v>937394382.2</v>
      </c>
      <c r="J370" s="52" t="n">
        <f aca="false">IF(AND(ISNUMBER($G370),$G370&gt;=MA_MED),AVERAGE(INDEX($C$5:$C370,367-MA_MED):$C370),"")</f>
        <v>927876868.78</v>
      </c>
      <c r="K370" s="52" t="n">
        <f aca="false">IF(AND(ISNUMBER($G370),$G370&gt;=MA_LONG2),AVERAGE(INDEX($C$5:$C370,367-MA_LONG2):$C370),"")</f>
        <v>897264552.585</v>
      </c>
      <c r="L370" s="53" t="n">
        <f aca="false">IF(AND(ISNUMBER($G370),$G370&gt;=21),STDEV(INDEX($H$310:$H370,62-20):$H370)*SQRT(245),"")</f>
        <v>0.168136767561282</v>
      </c>
      <c r="M370" s="52" t="n">
        <f aca="false">IF(AND(ISNUMBER($G370),$G370&gt;=60),MAX(INDEX($D$170:$D370,202-60):$D370),"")</f>
        <v>955434239</v>
      </c>
      <c r="N370" s="52" t="n">
        <f aca="false">IF(AND(ISNUMBER($G370),$G370&gt;=60),MIN(INDEX($E$170:$E370,202-60):$E370),"")</f>
        <v>879013627</v>
      </c>
      <c r="O370" s="53" t="n">
        <f aca="false">IF(OR(NOT(ISNUMBER($C370)),NOT(ISNUMBER($M370)),$M370=0),"",$C370/$M370-1)</f>
        <v>-0.0210937290891875</v>
      </c>
      <c r="P370" s="54"/>
      <c r="Q370" s="53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952644250</v>
      </c>
      <c r="D371" s="49" t="n">
        <v>957229546</v>
      </c>
      <c r="E371" s="49" t="n">
        <v>951841659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0.018565211973911</v>
      </c>
      <c r="I371" s="52" t="n">
        <f aca="false">IF(AND(ISNUMBER($G371),$G371&gt;=MA_SHORT),AVERAGE(INDEX($C$5:$C371,368-MA_SHORT):$C371),"")</f>
        <v>938854166</v>
      </c>
      <c r="J371" s="52" t="n">
        <f aca="false">IF(AND(ISNUMBER($G371),$G371&gt;=MA_MED),AVERAGE(INDEX($C$5:$C371,368-MA_MED):$C371),"")</f>
        <v>928733478.26</v>
      </c>
      <c r="K371" s="52" t="n">
        <f aca="false">IF(AND(ISNUMBER($G371),$G371&gt;=MA_LONG2),AVERAGE(INDEX($C$5:$C371,368-MA_LONG2):$C371),"")</f>
        <v>898238451.445</v>
      </c>
      <c r="L371" s="53" t="n">
        <f aca="false">IF(AND(ISNUMBER($G371),$G371&gt;=21),STDEV(INDEX($H$311:$H371,62-20):$H371)*SQRT(245),"")</f>
        <v>0.177882010052159</v>
      </c>
      <c r="M371" s="52" t="n">
        <f aca="false">IF(AND(ISNUMBER($G371),$G371&gt;=60),MAX(INDEX($D$171:$D371,202-60):$D371),"")</f>
        <v>957229546</v>
      </c>
      <c r="N371" s="52" t="n">
        <f aca="false">IF(AND(ISNUMBER($G371),$G371&gt;=60),MIN(INDEX($E$171:$E371,202-60):$E371),"")</f>
        <v>882040307</v>
      </c>
      <c r="O371" s="53" t="n">
        <f aca="false">IF(OR(NOT(ISNUMBER($C371)),NOT(ISNUMBER($M371)),$M371=0),"",$C371/$M371-1)</f>
        <v>-0.00479017391299785</v>
      </c>
      <c r="P371" s="54"/>
      <c r="Q371" s="53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929119500</v>
      </c>
      <c r="D372" s="49" t="n">
        <v>940500754</v>
      </c>
      <c r="E372" s="49" t="n">
        <v>925350978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-0.0246941604906553</v>
      </c>
      <c r="I372" s="52" t="n">
        <f aca="false">IF(AND(ISNUMBER($G372),$G372&gt;=MA_SHORT),AVERAGE(INDEX($C$5:$C372,369-MA_SHORT):$C372),"")</f>
        <v>938031787.05</v>
      </c>
      <c r="J372" s="52" t="n">
        <f aca="false">IF(AND(ISNUMBER($G372),$G372&gt;=MA_MED),AVERAGE(INDEX($C$5:$C372,369-MA_MED):$C372),"")</f>
        <v>929408200.98</v>
      </c>
      <c r="K372" s="52" t="n">
        <f aca="false">IF(AND(ISNUMBER($G372),$G372&gt;=MA_LONG2),AVERAGE(INDEX($C$5:$C372,369-MA_LONG2):$C372),"")</f>
        <v>899075497.14</v>
      </c>
      <c r="L372" s="53" t="n">
        <f aca="false">IF(AND(ISNUMBER($G372),$G372&gt;=21),STDEV(INDEX($H$312:$H372,62-20):$H372)*SQRT(245),"")</f>
        <v>0.180589474645941</v>
      </c>
      <c r="M372" s="52" t="n">
        <f aca="false">IF(AND(ISNUMBER($G372),$G372&gt;=60),MAX(INDEX($D$172:$D372,202-60):$D372),"")</f>
        <v>957229546</v>
      </c>
      <c r="N372" s="52" t="n">
        <f aca="false">IF(AND(ISNUMBER($G372),$G372&gt;=60),MIN(INDEX($E$172:$E372,202-60):$E372),"")</f>
        <v>886981184</v>
      </c>
      <c r="O372" s="53" t="n">
        <f aca="false">IF(OR(NOT(ISNUMBER($C372)),NOT(ISNUMBER($M372)),$M372=0),"",$C372/$M372-1)</f>
        <v>-0.0293660450802675</v>
      </c>
      <c r="P372" s="54"/>
      <c r="Q372" s="53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896501754</v>
      </c>
      <c r="D373" s="49" t="n">
        <v>898188739</v>
      </c>
      <c r="E373" s="49" t="n">
        <v>893444963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-0.035106082694422</v>
      </c>
      <c r="I373" s="52" t="n">
        <f aca="false">IF(AND(ISNUMBER($G373),$G373&gt;=MA_SHORT),AVERAGE(INDEX($C$5:$C373,370-MA_SHORT):$C373),"")</f>
        <v>935190284.2</v>
      </c>
      <c r="J373" s="52" t="n">
        <f aca="false">IF(AND(ISNUMBER($G373),$G373&gt;=MA_MED),AVERAGE(INDEX($C$5:$C373,370-MA_MED):$C373),"")</f>
        <v>929157912.46</v>
      </c>
      <c r="K373" s="52" t="n">
        <f aca="false">IF(AND(ISNUMBER($G373),$G373&gt;=MA_LONG2),AVERAGE(INDEX($C$5:$C373,370-MA_LONG2):$C373),"")</f>
        <v>899675499.41</v>
      </c>
      <c r="L373" s="53" t="n">
        <f aca="false">IF(AND(ISNUMBER($G373),$G373&gt;=21),STDEV(INDEX($H$313:$H373,62-20):$H373)*SQRT(245),"")</f>
        <v>0.213345475856852</v>
      </c>
      <c r="M373" s="52" t="n">
        <f aca="false">IF(AND(ISNUMBER($G373),$G373&gt;=60),MAX(INDEX($D$173:$D373,202-60):$D373),"")</f>
        <v>957229546</v>
      </c>
      <c r="N373" s="52" t="n">
        <f aca="false">IF(AND(ISNUMBER($G373),$G373&gt;=60),MIN(INDEX($E$173:$E373,202-60):$E373),"")</f>
        <v>886981184</v>
      </c>
      <c r="O373" s="53" t="n">
        <f aca="false">IF(OR(NOT(ISNUMBER($C373)),NOT(ISNUMBER($M373)),$M373=0),"",$C373/$M373-1)</f>
        <v>-0.0634412009676935</v>
      </c>
      <c r="P373" s="54"/>
      <c r="Q373" s="53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902828442</v>
      </c>
      <c r="D374" s="49" t="n">
        <v>908844176</v>
      </c>
      <c r="E374" s="49" t="n">
        <v>899946259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0.007057083794618</v>
      </c>
      <c r="I374" s="52" t="n">
        <f aca="false">IF(AND(ISNUMBER($G374),$G374&gt;=MA_SHORT),AVERAGE(INDEX($C$5:$C374,371-MA_SHORT):$C374),"")</f>
        <v>932779866.1</v>
      </c>
      <c r="J374" s="52" t="n">
        <f aca="false">IF(AND(ISNUMBER($G374),$G374&gt;=MA_MED),AVERAGE(INDEX($C$5:$C374,371-MA_MED):$C374),"")</f>
        <v>928319271.9</v>
      </c>
      <c r="K374" s="52" t="n">
        <f aca="false">IF(AND(ISNUMBER($G374),$G374&gt;=MA_LONG2),AVERAGE(INDEX($C$5:$C374,371-MA_LONG2):$C374),"")</f>
        <v>900293667.855</v>
      </c>
      <c r="L374" s="53" t="n">
        <f aca="false">IF(AND(ISNUMBER($G374),$G374&gt;=21),STDEV(INDEX($H$314:$H374,62-20):$H374)*SQRT(245),"")</f>
        <v>0.216224970316139</v>
      </c>
      <c r="M374" s="52" t="n">
        <f aca="false">IF(AND(ISNUMBER($G374),$G374&gt;=60),MAX(INDEX($D$174:$D374,202-60):$D374),"")</f>
        <v>957229546</v>
      </c>
      <c r="N374" s="52" t="n">
        <f aca="false">IF(AND(ISNUMBER($G374),$G374&gt;=60),MIN(INDEX($E$174:$E374,202-60):$E374),"")</f>
        <v>886981184</v>
      </c>
      <c r="O374" s="53" t="n">
        <f aca="false">IF(OR(NOT(ISNUMBER($C374)),NOT(ISNUMBER($M374)),$M374=0),"",$C374/$M374-1)</f>
        <v>-0.0568318270443358</v>
      </c>
      <c r="P374" s="54"/>
      <c r="Q374" s="53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883074257</v>
      </c>
      <c r="D375" s="49" t="n">
        <v>883886529</v>
      </c>
      <c r="E375" s="49" t="n">
        <v>879348159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-0.0218803308369853</v>
      </c>
      <c r="I375" s="52" t="n">
        <f aca="false">IF(AND(ISNUMBER($G375),$G375&gt;=MA_SHORT),AVERAGE(INDEX($C$5:$C375,372-MA_SHORT):$C375),"")</f>
        <v>929665738.5</v>
      </c>
      <c r="J375" s="52" t="n">
        <f aca="false">IF(AND(ISNUMBER($G375),$G375&gt;=MA_MED),AVERAGE(INDEX($C$5:$C375,372-MA_MED):$C375),"")</f>
        <v>926976272.28</v>
      </c>
      <c r="K375" s="52" t="n">
        <f aca="false">IF(AND(ISNUMBER($G375),$G375&gt;=MA_LONG2),AVERAGE(INDEX($C$5:$C375,372-MA_LONG2):$C375),"")</f>
        <v>900759298.47</v>
      </c>
      <c r="L375" s="53" t="n">
        <f aca="false">IF(AND(ISNUMBER($G375),$G375&gt;=21),STDEV(INDEX($H$315:$H375,62-20):$H375)*SQRT(245),"")</f>
        <v>0.226440412977705</v>
      </c>
      <c r="M375" s="52" t="n">
        <f aca="false">IF(AND(ISNUMBER($G375),$G375&gt;=60),MAX(INDEX($D$175:$D375,202-60):$D375),"")</f>
        <v>957229546</v>
      </c>
      <c r="N375" s="52" t="n">
        <f aca="false">IF(AND(ISNUMBER($G375),$G375&gt;=60),MIN(INDEX($E$175:$E375,202-60):$E375),"")</f>
        <v>879348159</v>
      </c>
      <c r="O375" s="53" t="n">
        <f aca="false">IF(OR(NOT(ISNUMBER($C375)),NOT(ISNUMBER($M375)),$M375=0),"",$C375/$M375-1)</f>
        <v>-0.0774686587035206</v>
      </c>
      <c r="P375" s="54"/>
      <c r="Q375" s="53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896167825</v>
      </c>
      <c r="D376" s="49" t="n">
        <v>897568778</v>
      </c>
      <c r="E376" s="49" t="n">
        <v>891520257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0.014827255914448</v>
      </c>
      <c r="I376" s="52" t="n">
        <f aca="false">IF(AND(ISNUMBER($G376),$G376&gt;=MA_SHORT),AVERAGE(INDEX($C$5:$C376,373-MA_SHORT):$C376),"")</f>
        <v>927095616.95</v>
      </c>
      <c r="J376" s="52" t="n">
        <f aca="false">IF(AND(ISNUMBER($G376),$G376&gt;=MA_MED),AVERAGE(INDEX($C$5:$C376,373-MA_MED):$C376),"")</f>
        <v>925855155.42</v>
      </c>
      <c r="K376" s="52" t="n">
        <f aca="false">IF(AND(ISNUMBER($G376),$G376&gt;=MA_LONG2),AVERAGE(INDEX($C$5:$C376,373-MA_LONG2):$C376),"")</f>
        <v>901207638.275</v>
      </c>
      <c r="L376" s="53" t="n">
        <f aca="false">IF(AND(ISNUMBER($G376),$G376&gt;=21),STDEV(INDEX($H$316:$H376,62-20):$H376)*SQRT(245),"")</f>
        <v>0.234525217402739</v>
      </c>
      <c r="M376" s="52" t="n">
        <f aca="false">IF(AND(ISNUMBER($G376),$G376&gt;=60),MAX(INDEX($D$176:$D376,202-60):$D376),"")</f>
        <v>957229546</v>
      </c>
      <c r="N376" s="52" t="n">
        <f aca="false">IF(AND(ISNUMBER($G376),$G376&gt;=60),MIN(INDEX($E$176:$E376,202-60):$E376),"")</f>
        <v>879348159</v>
      </c>
      <c r="O376" s="53" t="n">
        <f aca="false">IF(OR(NOT(ISNUMBER($C376)),NOT(ISNUMBER($M376)),$M376=0),"",$C376/$M376-1)</f>
        <v>-0.0637900504170188</v>
      </c>
      <c r="P376" s="54"/>
      <c r="Q376" s="53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913870752</v>
      </c>
      <c r="D377" s="49" t="n">
        <v>914568474</v>
      </c>
      <c r="E377" s="49" t="n">
        <v>910765633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0.0197540310041817</v>
      </c>
      <c r="I377" s="52" t="n">
        <f aca="false">IF(AND(ISNUMBER($G377),$G377&gt;=MA_SHORT),AVERAGE(INDEX($C$5:$C377,374-MA_SHORT):$C377),"")</f>
        <v>925257696.3</v>
      </c>
      <c r="J377" s="52" t="n">
        <f aca="false">IF(AND(ISNUMBER($G377),$G377&gt;=MA_MED),AVERAGE(INDEX($C$5:$C377,374-MA_MED):$C377),"")</f>
        <v>925428135.5</v>
      </c>
      <c r="K377" s="52" t="n">
        <f aca="false">IF(AND(ISNUMBER($G377),$G377&gt;=MA_LONG2),AVERAGE(INDEX($C$5:$C377,374-MA_LONG2):$C377),"")</f>
        <v>901737311.465</v>
      </c>
      <c r="L377" s="53" t="n">
        <f aca="false">IF(AND(ISNUMBER($G377),$G377&gt;=21),STDEV(INDEX($H$317:$H377,62-20):$H377)*SQRT(245),"")</f>
        <v>0.246707313651291</v>
      </c>
      <c r="M377" s="52" t="n">
        <f aca="false">IF(AND(ISNUMBER($G377),$G377&gt;=60),MAX(INDEX($D$177:$D377,202-60):$D377),"")</f>
        <v>957229546</v>
      </c>
      <c r="N377" s="52" t="n">
        <f aca="false">IF(AND(ISNUMBER($G377),$G377&gt;=60),MIN(INDEX($E$177:$E377,202-60):$E377),"")</f>
        <v>879348159</v>
      </c>
      <c r="O377" s="53" t="n">
        <f aca="false">IF(OR(NOT(ISNUMBER($C377)),NOT(ISNUMBER($M377)),$M377=0),"",$C377/$M377-1)</f>
        <v>-0.0452961300465333</v>
      </c>
      <c r="P377" s="54"/>
      <c r="Q377" s="53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914701411</v>
      </c>
      <c r="D378" s="49" t="n">
        <v>919369455</v>
      </c>
      <c r="E378" s="49" t="n">
        <v>910601825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0.000908945819944496</v>
      </c>
      <c r="I378" s="52" t="n">
        <f aca="false">IF(AND(ISNUMBER($G378),$G378&gt;=MA_SHORT),AVERAGE(INDEX($C$5:$C378,375-MA_SHORT):$C378),"")</f>
        <v>924019377.6</v>
      </c>
      <c r="J378" s="52" t="n">
        <f aca="false">IF(AND(ISNUMBER($G378),$G378&gt;=MA_MED),AVERAGE(INDEX($C$5:$C378,375-MA_MED):$C378),"")</f>
        <v>924953199.74</v>
      </c>
      <c r="K378" s="52" t="n">
        <f aca="false">IF(AND(ISNUMBER($G378),$G378&gt;=MA_LONG2),AVERAGE(INDEX($C$5:$C378,375-MA_LONG2):$C378),"")</f>
        <v>902239733.89</v>
      </c>
      <c r="L378" s="53" t="n">
        <f aca="false">IF(AND(ISNUMBER($G378),$G378&gt;=21),STDEV(INDEX($H$318:$H378,62-20):$H378)*SQRT(245),"")</f>
        <v>0.24412762351629</v>
      </c>
      <c r="M378" s="52" t="n">
        <f aca="false">IF(AND(ISNUMBER($G378),$G378&gt;=60),MAX(INDEX($D$178:$D378,202-60):$D378),"")</f>
        <v>957229546</v>
      </c>
      <c r="N378" s="52" t="n">
        <f aca="false">IF(AND(ISNUMBER($G378),$G378&gt;=60),MIN(INDEX($E$178:$E378,202-60):$E378),"")</f>
        <v>879348159</v>
      </c>
      <c r="O378" s="53" t="n">
        <f aca="false">IF(OR(NOT(ISNUMBER($C378)),NOT(ISNUMBER($M378)),$M378=0),"",$C378/$M378-1)</f>
        <v>-0.0444283559546541</v>
      </c>
      <c r="P378" s="54"/>
      <c r="Q378" s="53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924829077</v>
      </c>
      <c r="D379" s="49" t="n">
        <v>929965630</v>
      </c>
      <c r="E379" s="49" t="n">
        <v>922565298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0.0110721005545711</v>
      </c>
      <c r="I379" s="52" t="n">
        <f aca="false">IF(AND(ISNUMBER($G379),$G379&gt;=MA_SHORT),AVERAGE(INDEX($C$5:$C379,376-MA_SHORT):$C379),"")</f>
        <v>923893678.3</v>
      </c>
      <c r="J379" s="52" t="n">
        <f aca="false">IF(AND(ISNUMBER($G379),$G379&gt;=MA_MED),AVERAGE(INDEX($C$5:$C379,376-MA_MED):$C379),"")</f>
        <v>924972329.18</v>
      </c>
      <c r="K379" s="52" t="n">
        <f aca="false">IF(AND(ISNUMBER($G379),$G379&gt;=MA_LONG2),AVERAGE(INDEX($C$5:$C379,376-MA_LONG2):$C379),"")</f>
        <v>902784464.315</v>
      </c>
      <c r="L379" s="53" t="n">
        <f aca="false">IF(AND(ISNUMBER($G379),$G379&gt;=21),STDEV(INDEX($H$319:$H379,62-20):$H379)*SQRT(245),"")</f>
        <v>0.243750147676909</v>
      </c>
      <c r="M379" s="52" t="n">
        <f aca="false">IF(AND(ISNUMBER($G379),$G379&gt;=60),MAX(INDEX($D$179:$D379,202-60):$D379),"")</f>
        <v>957229546</v>
      </c>
      <c r="N379" s="52" t="n">
        <f aca="false">IF(AND(ISNUMBER($G379),$G379&gt;=60),MIN(INDEX($E$179:$E379,202-60):$E379),"")</f>
        <v>879348159</v>
      </c>
      <c r="O379" s="53" t="n">
        <f aca="false">IF(OR(NOT(ISNUMBER($C379)),NOT(ISNUMBER($M379)),$M379=0),"",$C379/$M379-1)</f>
        <v>-0.0338481706246874</v>
      </c>
      <c r="P379" s="54"/>
      <c r="Q379" s="53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929253929</v>
      </c>
      <c r="D380" s="49" t="n">
        <v>932112872</v>
      </c>
      <c r="E380" s="49" t="n">
        <v>921301978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0.00478450787290718</v>
      </c>
      <c r="I380" s="52" t="n">
        <f aca="false">IF(AND(ISNUMBER($G380),$G380&gt;=MA_SHORT),AVERAGE(INDEX($C$5:$C380,377-MA_SHORT):$C380),"")</f>
        <v>924217714.5</v>
      </c>
      <c r="J380" s="52" t="n">
        <f aca="false">IF(AND(ISNUMBER($G380),$G380&gt;=MA_MED),AVERAGE(INDEX($C$5:$C380,377-MA_MED):$C380),"")</f>
        <v>924718537.34</v>
      </c>
      <c r="K380" s="52" t="n">
        <f aca="false">IF(AND(ISNUMBER($G380),$G380&gt;=MA_LONG2),AVERAGE(INDEX($C$5:$C380,377-MA_LONG2):$C380),"")</f>
        <v>903353295.345</v>
      </c>
      <c r="L380" s="53" t="n">
        <f aca="false">IF(AND(ISNUMBER($G380),$G380&gt;=21),STDEV(INDEX($H$320:$H380,62-20):$H380)*SQRT(245),"")</f>
        <v>0.243598606718155</v>
      </c>
      <c r="M380" s="52" t="n">
        <f aca="false">IF(AND(ISNUMBER($G380),$G380&gt;=60),MAX(INDEX($D$180:$D380,202-60):$D380),"")</f>
        <v>957229546</v>
      </c>
      <c r="N380" s="52" t="n">
        <f aca="false">IF(AND(ISNUMBER($G380),$G380&gt;=60),MIN(INDEX($E$180:$E380,202-60):$E380),"")</f>
        <v>879348159</v>
      </c>
      <c r="O380" s="53" t="n">
        <f aca="false">IF(OR(NOT(ISNUMBER($C380)),NOT(ISNUMBER($M380)),$M380=0),"",$C380/$M380-1)</f>
        <v>-0.0292256095906175</v>
      </c>
      <c r="P380" s="54"/>
      <c r="Q380" s="53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945110265</v>
      </c>
      <c r="D381" s="49" t="n">
        <v>947377895</v>
      </c>
      <c r="E381" s="49" t="n">
        <v>940895636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0.0170635124643095</v>
      </c>
      <c r="I381" s="52" t="n">
        <f aca="false">IF(AND(ISNUMBER($G381),$G381&gt;=MA_SHORT),AVERAGE(INDEX($C$5:$C381,378-MA_SHORT):$C381),"")</f>
        <v>924629862.9</v>
      </c>
      <c r="J381" s="52" t="n">
        <f aca="false">IF(AND(ISNUMBER($G381),$G381&gt;=MA_MED),AVERAGE(INDEX($C$5:$C381,378-MA_MED):$C381),"")</f>
        <v>924934713.78</v>
      </c>
      <c r="K381" s="52" t="n">
        <f aca="false">IF(AND(ISNUMBER($G381),$G381&gt;=MA_LONG2),AVERAGE(INDEX($C$5:$C381,378-MA_LONG2):$C381),"")</f>
        <v>903973889.055</v>
      </c>
      <c r="L381" s="53" t="n">
        <f aca="false">IF(AND(ISNUMBER($G381),$G381&gt;=21),STDEV(INDEX($H$321:$H381,62-20):$H381)*SQRT(245),"")</f>
        <v>0.245077644789925</v>
      </c>
      <c r="M381" s="52" t="n">
        <f aca="false">IF(AND(ISNUMBER($G381),$G381&gt;=60),MAX(INDEX($D$181:$D381,202-60):$D381),"")</f>
        <v>957229546</v>
      </c>
      <c r="N381" s="52" t="n">
        <f aca="false">IF(AND(ISNUMBER($G381),$G381&gt;=60),MIN(INDEX($E$181:$E381,202-60):$E381),"")</f>
        <v>879348159</v>
      </c>
      <c r="O381" s="53" t="n">
        <f aca="false">IF(OR(NOT(ISNUMBER($C381)),NOT(ISNUMBER($M381)),$M381=0),"",$C381/$M381-1)</f>
        <v>-0.0126607886798346</v>
      </c>
      <c r="P381" s="54"/>
      <c r="Q381" s="53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956257753</v>
      </c>
      <c r="D382" s="49" t="n">
        <v>956880137</v>
      </c>
      <c r="E382" s="49" t="n">
        <v>955929382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0.01179490733814</v>
      </c>
      <c r="I382" s="52" t="n">
        <f aca="false">IF(AND(ISNUMBER($G382),$G382&gt;=MA_SHORT),AVERAGE(INDEX($C$5:$C382,379-MA_SHORT):$C382),"")</f>
        <v>926124864.7</v>
      </c>
      <c r="J382" s="52" t="n">
        <f aca="false">IF(AND(ISNUMBER($G382),$G382&gt;=MA_MED),AVERAGE(INDEX($C$5:$C382,379-MA_MED):$C382),"")</f>
        <v>925413447.78</v>
      </c>
      <c r="K382" s="52" t="n">
        <f aca="false">IF(AND(ISNUMBER($G382),$G382&gt;=MA_LONG2),AVERAGE(INDEX($C$5:$C382,379-MA_LONG2):$C382),"")</f>
        <v>904651941.425</v>
      </c>
      <c r="L382" s="53" t="n">
        <f aca="false">IF(AND(ISNUMBER($G382),$G382&gt;=21),STDEV(INDEX($H$322:$H382,62-20):$H382)*SQRT(245),"")</f>
        <v>0.244055752164572</v>
      </c>
      <c r="M382" s="52" t="n">
        <f aca="false">IF(AND(ISNUMBER($G382),$G382&gt;=60),MAX(INDEX($D$182:$D382,202-60):$D382),"")</f>
        <v>957229546</v>
      </c>
      <c r="N382" s="52" t="n">
        <f aca="false">IF(AND(ISNUMBER($G382),$G382&gt;=60),MIN(INDEX($E$182:$E382,202-60):$E382),"")</f>
        <v>879348159</v>
      </c>
      <c r="O382" s="53" t="n">
        <f aca="false">IF(OR(NOT(ISNUMBER($C382)),NOT(ISNUMBER($M382)),$M382=0),"",$C382/$M382-1)</f>
        <v>-0.00101521417100092</v>
      </c>
      <c r="P382" s="54"/>
      <c r="Q382" s="53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980158860</v>
      </c>
      <c r="D383" s="49" t="n">
        <v>984077611</v>
      </c>
      <c r="E383" s="49" t="n">
        <v>974769846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0.0249944190517846</v>
      </c>
      <c r="I383" s="52" t="n">
        <f aca="false">IF(AND(ISNUMBER($G383),$G383&gt;=MA_SHORT),AVERAGE(INDEX($C$5:$C383,380-MA_SHORT):$C383),"")</f>
        <v>928319508.3</v>
      </c>
      <c r="J383" s="52" t="n">
        <f aca="false">IF(AND(ISNUMBER($G383),$G383&gt;=MA_MED),AVERAGE(INDEX($C$5:$C383,380-MA_MED):$C383),"")</f>
        <v>926378075.42</v>
      </c>
      <c r="K383" s="52" t="n">
        <f aca="false">IF(AND(ISNUMBER($G383),$G383&gt;=MA_LONG2),AVERAGE(INDEX($C$5:$C383,380-MA_LONG2):$C383),"")</f>
        <v>905416191.47</v>
      </c>
      <c r="L383" s="53" t="n">
        <f aca="false">IF(AND(ISNUMBER($G383),$G383&gt;=21),STDEV(INDEX($H$323:$H383,62-20):$H383)*SQRT(245),"")</f>
        <v>0.255700387152623</v>
      </c>
      <c r="M383" s="52" t="n">
        <f aca="false">IF(AND(ISNUMBER($G383),$G383&gt;=60),MAX(INDEX($D$183:$D383,202-60):$D383),"")</f>
        <v>984077611</v>
      </c>
      <c r="N383" s="52" t="n">
        <f aca="false">IF(AND(ISNUMBER($G383),$G383&gt;=60),MIN(INDEX($E$183:$E383,202-60):$E383),"")</f>
        <v>879348159</v>
      </c>
      <c r="O383" s="53" t="n">
        <f aca="false">IF(OR(NOT(ISNUMBER($C383)),NOT(ISNUMBER($M383)),$M383=0),"",$C383/$M383-1)</f>
        <v>-0.00398215644395961</v>
      </c>
      <c r="P383" s="54"/>
      <c r="Q383" s="53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982085616</v>
      </c>
      <c r="D384" s="49" t="n">
        <v>986083705</v>
      </c>
      <c r="E384" s="49" t="n">
        <v>977641555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0.00196575889749129</v>
      </c>
      <c r="I384" s="52" t="n">
        <f aca="false">IF(AND(ISNUMBER($G384),$G384&gt;=MA_SHORT),AVERAGE(INDEX($C$5:$C384,381-MA_SHORT):$C384),"")</f>
        <v>930516805.05</v>
      </c>
      <c r="J384" s="52" t="n">
        <f aca="false">IF(AND(ISNUMBER($G384),$G384&gt;=MA_MED),AVERAGE(INDEX($C$5:$C384,381-MA_MED):$C384),"")</f>
        <v>927449263.88</v>
      </c>
      <c r="K384" s="52" t="n">
        <f aca="false">IF(AND(ISNUMBER($G384),$G384&gt;=MA_LONG2),AVERAGE(INDEX($C$5:$C384,381-MA_LONG2):$C384),"")</f>
        <v>906232384.3</v>
      </c>
      <c r="L384" s="53" t="n">
        <f aca="false">IF(AND(ISNUMBER($G384),$G384&gt;=21),STDEV(INDEX($H$324:$H384,62-20):$H384)*SQRT(245),"")</f>
        <v>0.255701168402028</v>
      </c>
      <c r="M384" s="52" t="n">
        <f aca="false">IF(AND(ISNUMBER($G384),$G384&gt;=60),MAX(INDEX($D$184:$D384,202-60):$D384),"")</f>
        <v>986083705</v>
      </c>
      <c r="N384" s="52" t="n">
        <f aca="false">IF(AND(ISNUMBER($G384),$G384&gt;=60),MIN(INDEX($E$184:$E384,202-60):$E384),"")</f>
        <v>879348159</v>
      </c>
      <c r="O384" s="53" t="n">
        <f aca="false">IF(OR(NOT(ISNUMBER($C384)),NOT(ISNUMBER($M384)),$M384=0),"",$C384/$M384-1)</f>
        <v>-0.00405451279615254</v>
      </c>
      <c r="P384" s="54"/>
      <c r="Q384" s="53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989862886</v>
      </c>
      <c r="D385" s="49" t="n">
        <v>991394029</v>
      </c>
      <c r="E385" s="49" t="n">
        <v>988393320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0.00791913645133757</v>
      </c>
      <c r="I385" s="52" t="n">
        <f aca="false">IF(AND(ISNUMBER($G385),$G385&gt;=MA_SHORT),AVERAGE(INDEX($C$5:$C385,382-MA_SHORT):$C385),"")</f>
        <v>932558517.75</v>
      </c>
      <c r="J385" s="52" t="n">
        <f aca="false">IF(AND(ISNUMBER($G385),$G385&gt;=MA_MED),AVERAGE(INDEX($C$5:$C385,382-MA_MED):$C385),"")</f>
        <v>928520442.34</v>
      </c>
      <c r="K385" s="52" t="n">
        <f aca="false">IF(AND(ISNUMBER($G385),$G385&gt;=MA_LONG2),AVERAGE(INDEX($C$5:$C385,382-MA_LONG2):$C385),"")</f>
        <v>907038663.88</v>
      </c>
      <c r="L385" s="53" t="n">
        <f aca="false">IF(AND(ISNUMBER($G385),$G385&gt;=21),STDEV(INDEX($H$325:$H385,62-20):$H385)*SQRT(245),"")</f>
        <v>0.254314511982661</v>
      </c>
      <c r="M385" s="52" t="n">
        <f aca="false">IF(AND(ISNUMBER($G385),$G385&gt;=60),MAX(INDEX($D$185:$D385,202-60):$D385),"")</f>
        <v>991394029</v>
      </c>
      <c r="N385" s="52" t="n">
        <f aca="false">IF(AND(ISNUMBER($G385),$G385&gt;=60),MIN(INDEX($E$185:$E385,202-60):$E385),"")</f>
        <v>879348159</v>
      </c>
      <c r="O385" s="53" t="n">
        <f aca="false">IF(OR(NOT(ISNUMBER($C385)),NOT(ISNUMBER($M385)),$M385=0),"",$C385/$M385-1)</f>
        <v>-0.00154443435729024</v>
      </c>
      <c r="P385" s="54"/>
      <c r="Q385" s="53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966215208</v>
      </c>
      <c r="D386" s="49" t="n">
        <v>971201434</v>
      </c>
      <c r="E386" s="49" t="n">
        <v>965970633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-0.0238898521547357</v>
      </c>
      <c r="I386" s="52" t="n">
        <f aca="false">IF(AND(ISNUMBER($G386),$G386&gt;=MA_SHORT),AVERAGE(INDEX($C$5:$C386,383-MA_SHORT):$C386),"")</f>
        <v>933936415.9</v>
      </c>
      <c r="J386" s="52" t="n">
        <f aca="false">IF(AND(ISNUMBER($G386),$G386&gt;=MA_MED),AVERAGE(INDEX($C$5:$C386,383-MA_MED):$C386),"")</f>
        <v>929163309.84</v>
      </c>
      <c r="K386" s="52" t="n">
        <f aca="false">IF(AND(ISNUMBER($G386),$G386&gt;=MA_LONG2),AVERAGE(INDEX($C$5:$C386,383-MA_LONG2):$C386),"")</f>
        <v>907614587.115</v>
      </c>
      <c r="L386" s="53" t="n">
        <f aca="false">IF(AND(ISNUMBER($G386),$G386&gt;=21),STDEV(INDEX($H$326:$H386,62-20):$H386)*SQRT(245),"")</f>
        <v>0.26670943094816</v>
      </c>
      <c r="M386" s="52" t="n">
        <f aca="false">IF(AND(ISNUMBER($G386),$G386&gt;=60),MAX(INDEX($D$186:$D386,202-60):$D386),"")</f>
        <v>991394029</v>
      </c>
      <c r="N386" s="52" t="n">
        <f aca="false">IF(AND(ISNUMBER($G386),$G386&gt;=60),MIN(INDEX($E$186:$E386,202-60):$E386),"")</f>
        <v>879348159</v>
      </c>
      <c r="O386" s="53" t="n">
        <f aca="false">IF(OR(NOT(ISNUMBER($C386)),NOT(ISNUMBER($M386)),$M386=0),"",$C386/$M386-1)</f>
        <v>-0.0253973902035676</v>
      </c>
      <c r="P386" s="54"/>
      <c r="Q386" s="53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960004010</v>
      </c>
      <c r="D387" s="49" t="n">
        <v>962794446</v>
      </c>
      <c r="E387" s="49" t="n">
        <v>959365744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-0.00642837946305641</v>
      </c>
      <c r="I387" s="52" t="n">
        <f aca="false">IF(AND(ISNUMBER($G387),$G387&gt;=MA_SHORT),AVERAGE(INDEX($C$5:$C387,384-MA_SHORT):$C387),"")</f>
        <v>935828075.5</v>
      </c>
      <c r="J387" s="52" t="n">
        <f aca="false">IF(AND(ISNUMBER($G387),$G387&gt;=MA_MED),AVERAGE(INDEX($C$5:$C387,384-MA_MED):$C387),"")</f>
        <v>929811032.24</v>
      </c>
      <c r="K387" s="52" t="n">
        <f aca="false">IF(AND(ISNUMBER($G387),$G387&gt;=MA_LONG2),AVERAGE(INDEX($C$5:$C387,384-MA_LONG2):$C387),"")</f>
        <v>908092146.88</v>
      </c>
      <c r="L387" s="53" t="n">
        <f aca="false">IF(AND(ISNUMBER($G387),$G387&gt;=21),STDEV(INDEX($H$327:$H387,62-20):$H387)*SQRT(245),"")</f>
        <v>0.259139482794268</v>
      </c>
      <c r="M387" s="52" t="n">
        <f aca="false">IF(AND(ISNUMBER($G387),$G387&gt;=60),MAX(INDEX($D$187:$D387,202-60):$D387),"")</f>
        <v>991394029</v>
      </c>
      <c r="N387" s="52" t="n">
        <f aca="false">IF(AND(ISNUMBER($G387),$G387&gt;=60),MIN(INDEX($E$187:$E387,202-60):$E387),"")</f>
        <v>879348159</v>
      </c>
      <c r="O387" s="53" t="n">
        <f aca="false">IF(OR(NOT(ISNUMBER($C387)),NOT(ISNUMBER($M387)),$M387=0),"",$C387/$M387-1)</f>
        <v>-0.0316625056050242</v>
      </c>
      <c r="P387" s="54"/>
      <c r="Q387" s="53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950308512</v>
      </c>
      <c r="D388" s="49" t="n">
        <v>954115200</v>
      </c>
      <c r="E388" s="49" t="n">
        <v>946569097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-0.0100994348971521</v>
      </c>
      <c r="I388" s="52" t="n">
        <f aca="false">IF(AND(ISNUMBER($G388),$G388&gt;=MA_SHORT),AVERAGE(INDEX($C$5:$C388,385-MA_SHORT):$C388),"")</f>
        <v>937085164</v>
      </c>
      <c r="J388" s="52" t="n">
        <f aca="false">IF(AND(ISNUMBER($G388),$G388&gt;=MA_MED),AVERAGE(INDEX($C$5:$C388,385-MA_MED):$C388),"")</f>
        <v>930462333.82</v>
      </c>
      <c r="K388" s="52" t="n">
        <f aca="false">IF(AND(ISNUMBER($G388),$G388&gt;=MA_LONG2),AVERAGE(INDEX($C$5:$C388,385-MA_LONG2):$C388),"")</f>
        <v>908578186.8</v>
      </c>
      <c r="L388" s="53" t="n">
        <f aca="false">IF(AND(ISNUMBER($G388),$G388&gt;=21),STDEV(INDEX($H$328:$H388,62-20):$H388)*SQRT(245),"")</f>
        <v>0.262593689434859</v>
      </c>
      <c r="M388" s="52" t="n">
        <f aca="false">IF(AND(ISNUMBER($G388),$G388&gt;=60),MAX(INDEX($D$188:$D388,202-60):$D388),"")</f>
        <v>991394029</v>
      </c>
      <c r="N388" s="52" t="n">
        <f aca="false">IF(AND(ISNUMBER($G388),$G388&gt;=60),MIN(INDEX($E$188:$E388,202-60):$E388),"")</f>
        <v>879348159</v>
      </c>
      <c r="O388" s="53" t="n">
        <f aca="false">IF(OR(NOT(ISNUMBER($C388)),NOT(ISNUMBER($M388)),$M388=0),"",$C388/$M388-1)</f>
        <v>-0.0414421670881376</v>
      </c>
      <c r="P388" s="54"/>
      <c r="Q388" s="53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972848940</v>
      </c>
      <c r="D389" s="49" t="n">
        <v>973308148</v>
      </c>
      <c r="E389" s="49" t="n">
        <v>970847633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0.0237190635623814</v>
      </c>
      <c r="I389" s="52" t="n">
        <f aca="false">IF(AND(ISNUMBER($G389),$G389&gt;=MA_SHORT),AVERAGE(INDEX($C$5:$C389,386-MA_SHORT):$C389),"")</f>
        <v>939056190.75</v>
      </c>
      <c r="J389" s="52" t="n">
        <f aca="false">IF(AND(ISNUMBER($G389),$G389&gt;=MA_MED),AVERAGE(INDEX($C$5:$C389,386-MA_MED):$C389),"")</f>
        <v>931549360.58</v>
      </c>
      <c r="K389" s="52" t="n">
        <f aca="false">IF(AND(ISNUMBER($G389),$G389&gt;=MA_LONG2),AVERAGE(INDEX($C$5:$C389,386-MA_LONG2):$C389),"")</f>
        <v>909152862.595</v>
      </c>
      <c r="L389" s="53" t="n">
        <f aca="false">IF(AND(ISNUMBER($G389),$G389&gt;=21),STDEV(INDEX($H$329:$H389,62-20):$H389)*SQRT(245),"")</f>
        <v>0.272905943665543</v>
      </c>
      <c r="M389" s="52" t="n">
        <f aca="false">IF(AND(ISNUMBER($G389),$G389&gt;=60),MAX(INDEX($D$189:$D389,202-60):$D389),"")</f>
        <v>991394029</v>
      </c>
      <c r="N389" s="52" t="n">
        <f aca="false">IF(AND(ISNUMBER($G389),$G389&gt;=60),MIN(INDEX($E$189:$E389,202-60):$E389),"")</f>
        <v>879348159</v>
      </c>
      <c r="O389" s="53" t="n">
        <f aca="false">IF(OR(NOT(ISNUMBER($C389)),NOT(ISNUMBER($M389)),$M389=0),"",$C389/$M389-1)</f>
        <v>-0.0187060729210827</v>
      </c>
      <c r="P389" s="54"/>
      <c r="Q389" s="53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978199608</v>
      </c>
      <c r="D390" s="49" t="n">
        <v>980651588</v>
      </c>
      <c r="E390" s="49" t="n">
        <v>975126991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0.00549999879734675</v>
      </c>
      <c r="I390" s="52" t="n">
        <f aca="false">IF(AND(ISNUMBER($G390),$G390&gt;=MA_SHORT),AVERAGE(INDEX($C$5:$C390,387-MA_SHORT):$C390),"")</f>
        <v>941202142.75</v>
      </c>
      <c r="J390" s="52" t="n">
        <f aca="false">IF(AND(ISNUMBER($G390),$G390&gt;=MA_MED),AVERAGE(INDEX($C$5:$C390,387-MA_MED):$C390),"")</f>
        <v>933073676.58</v>
      </c>
      <c r="K390" s="52" t="n">
        <f aca="false">IF(AND(ISNUMBER($G390),$G390&gt;=MA_LONG2),AVERAGE(INDEX($C$5:$C390,387-MA_LONG2):$C390),"")</f>
        <v>909771656.06</v>
      </c>
      <c r="L390" s="53" t="n">
        <f aca="false">IF(AND(ISNUMBER($G390),$G390&gt;=21),STDEV(INDEX($H$330:$H390,62-20):$H390)*SQRT(245),"")</f>
        <v>0.273144822471166</v>
      </c>
      <c r="M390" s="52" t="n">
        <f aca="false">IF(AND(ISNUMBER($G390),$G390&gt;=60),MAX(INDEX($D$190:$D390,202-60):$D390),"")</f>
        <v>991394029</v>
      </c>
      <c r="N390" s="52" t="n">
        <f aca="false">IF(AND(ISNUMBER($G390),$G390&gt;=60),MIN(INDEX($E$190:$E390,202-60):$E390),"")</f>
        <v>879348159</v>
      </c>
      <c r="O390" s="53" t="n">
        <f aca="false">IF(OR(NOT(ISNUMBER($C390)),NOT(ISNUMBER($M390)),$M390=0),"",$C390/$M390-1)</f>
        <v>-0.0133089575023051</v>
      </c>
      <c r="P390" s="54"/>
      <c r="Q390" s="53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977038106</v>
      </c>
      <c r="D391" s="49" t="n">
        <v>980003072</v>
      </c>
      <c r="E391" s="49" t="n">
        <v>973041915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-0.00118738751324465</v>
      </c>
      <c r="I391" s="52" t="n">
        <f aca="false">IF(AND(ISNUMBER($G391),$G391&gt;=MA_SHORT),AVERAGE(INDEX($C$5:$C391,388-MA_SHORT):$C391),"")</f>
        <v>942421835.55</v>
      </c>
      <c r="J391" s="52" t="n">
        <f aca="false">IF(AND(ISNUMBER($G391),$G391&gt;=MA_MED),AVERAGE(INDEX($C$5:$C391,388-MA_MED):$C391),"")</f>
        <v>934530435.22</v>
      </c>
      <c r="K391" s="52" t="n">
        <f aca="false">IF(AND(ISNUMBER($G391),$G391&gt;=MA_LONG2),AVERAGE(INDEX($C$5:$C391,388-MA_LONG2):$C391),"")</f>
        <v>910354704.355</v>
      </c>
      <c r="L391" s="53" t="n">
        <f aca="false">IF(AND(ISNUMBER($G391),$G391&gt;=21),STDEV(INDEX($H$331:$H391,62-20):$H391)*SQRT(245),"")</f>
        <v>0.266736802922518</v>
      </c>
      <c r="M391" s="52" t="n">
        <f aca="false">IF(AND(ISNUMBER($G391),$G391&gt;=60),MAX(INDEX($D$191:$D391,202-60):$D391),"")</f>
        <v>991394029</v>
      </c>
      <c r="N391" s="52" t="n">
        <f aca="false">IF(AND(ISNUMBER($G391),$G391&gt;=60),MIN(INDEX($E$191:$E391,202-60):$E391),"")</f>
        <v>879348159</v>
      </c>
      <c r="O391" s="53" t="n">
        <f aca="false">IF(OR(NOT(ISNUMBER($C391)),NOT(ISNUMBER($M391)),$M391=0),"",$C391/$M391-1)</f>
        <v>-0.0144805421255971</v>
      </c>
      <c r="P391" s="54"/>
      <c r="Q391" s="53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972872515</v>
      </c>
      <c r="D392" s="49" t="n">
        <v>974770742</v>
      </c>
      <c r="E392" s="49" t="n">
        <v>967624380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-0.00426348877737626</v>
      </c>
      <c r="I392" s="52" t="n">
        <f aca="false">IF(AND(ISNUMBER($G392),$G392&gt;=MA_SHORT),AVERAGE(INDEX($C$5:$C392,389-MA_SHORT):$C392),"")</f>
        <v>944609486.3</v>
      </c>
      <c r="J392" s="52" t="n">
        <f aca="false">IF(AND(ISNUMBER($G392),$G392&gt;=MA_MED),AVERAGE(INDEX($C$5:$C392,389-MA_MED):$C392),"")</f>
        <v>935838772.52</v>
      </c>
      <c r="K392" s="52" t="n">
        <f aca="false">IF(AND(ISNUMBER($G392),$G392&gt;=MA_LONG2),AVERAGE(INDEX($C$5:$C392,389-MA_LONG2):$C392),"")</f>
        <v>910983102.275</v>
      </c>
      <c r="L392" s="53" t="n">
        <f aca="false">IF(AND(ISNUMBER($G392),$G392&gt;=21),STDEV(INDEX($H$332:$H392,62-20):$H392)*SQRT(245),"")</f>
        <v>0.250021857268413</v>
      </c>
      <c r="M392" s="52" t="n">
        <f aca="false">IF(AND(ISNUMBER($G392),$G392&gt;=60),MAX(INDEX($D$192:$D392,202-60):$D392),"")</f>
        <v>991394029</v>
      </c>
      <c r="N392" s="52" t="n">
        <f aca="false">IF(AND(ISNUMBER($G392),$G392&gt;=60),MIN(INDEX($E$192:$E392,202-60):$E392),"")</f>
        <v>879348159</v>
      </c>
      <c r="O392" s="53" t="n">
        <f aca="false">IF(OR(NOT(ISNUMBER($C392)),NOT(ISNUMBER($M392)),$M392=0),"",$C392/$M392-1)</f>
        <v>-0.0186822932741306</v>
      </c>
      <c r="P392" s="54"/>
      <c r="Q392" s="53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941447852</v>
      </c>
      <c r="D393" s="49" t="n">
        <v>945677936</v>
      </c>
      <c r="E393" s="49" t="n">
        <v>935902491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-0.0323009053246818</v>
      </c>
      <c r="I393" s="52" t="n">
        <f aca="false">IF(AND(ISNUMBER($G393),$G393&gt;=MA_SHORT),AVERAGE(INDEX($C$5:$C393,390-MA_SHORT):$C393),"")</f>
        <v>946856791.2</v>
      </c>
      <c r="J393" s="52" t="n">
        <f aca="false">IF(AND(ISNUMBER($G393),$G393&gt;=MA_MED),AVERAGE(INDEX($C$5:$C393,390-MA_MED):$C393),"")</f>
        <v>936353556.38</v>
      </c>
      <c r="K393" s="52" t="n">
        <f aca="false">IF(AND(ISNUMBER($G393),$G393&gt;=MA_LONG2),AVERAGE(INDEX($C$5:$C393,390-MA_LONG2):$C393),"")</f>
        <v>911407774.19</v>
      </c>
      <c r="L393" s="53" t="n">
        <f aca="false">IF(AND(ISNUMBER($G393),$G393&gt;=21),STDEV(INDEX($H$333:$H393,62-20):$H393)*SQRT(245),"")</f>
        <v>0.244728734127656</v>
      </c>
      <c r="M393" s="52" t="n">
        <f aca="false">IF(AND(ISNUMBER($G393),$G393&gt;=60),MAX(INDEX($D$193:$D393,202-60):$D393),"")</f>
        <v>991394029</v>
      </c>
      <c r="N393" s="52" t="n">
        <f aca="false">IF(AND(ISNUMBER($G393),$G393&gt;=60),MIN(INDEX($E$193:$E393,202-60):$E393),"")</f>
        <v>879348159</v>
      </c>
      <c r="O393" s="53" t="n">
        <f aca="false">IF(OR(NOT(ISNUMBER($C393)),NOT(ISNUMBER($M393)),$M393=0),"",$C393/$M393-1)</f>
        <v>-0.0503797436125167</v>
      </c>
      <c r="P393" s="54"/>
      <c r="Q393" s="53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961309170</v>
      </c>
      <c r="D394" s="49" t="n">
        <v>964084240</v>
      </c>
      <c r="E394" s="49" t="n">
        <v>958074068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0.0210965673327597</v>
      </c>
      <c r="I394" s="52" t="n">
        <f aca="false">IF(AND(ISNUMBER($G394),$G394&gt;=MA_SHORT),AVERAGE(INDEX($C$5:$C394,391-MA_SHORT):$C394),"")</f>
        <v>949780827.6</v>
      </c>
      <c r="J394" s="52" t="n">
        <f aca="false">IF(AND(ISNUMBER($G394),$G394&gt;=MA_MED),AVERAGE(INDEX($C$5:$C394,391-MA_MED):$C394),"")</f>
        <v>937226013.76</v>
      </c>
      <c r="K394" s="52" t="n">
        <f aca="false">IF(AND(ISNUMBER($G394),$G394&gt;=MA_LONG2),AVERAGE(INDEX($C$5:$C394,391-MA_LONG2):$C394),"")</f>
        <v>911901343.265</v>
      </c>
      <c r="L394" s="53" t="n">
        <f aca="false">IF(AND(ISNUMBER($G394),$G394&gt;=21),STDEV(INDEX($H$334:$H394,62-20):$H394)*SQRT(245),"")</f>
        <v>0.252849698323847</v>
      </c>
      <c r="M394" s="52" t="n">
        <f aca="false">IF(AND(ISNUMBER($G394),$G394&gt;=60),MAX(INDEX($D$194:$D394,202-60):$D394),"")</f>
        <v>991394029</v>
      </c>
      <c r="N394" s="52" t="n">
        <f aca="false">IF(AND(ISNUMBER($G394),$G394&gt;=60),MIN(INDEX($E$194:$E394,202-60):$E394),"")</f>
        <v>879348159</v>
      </c>
      <c r="O394" s="53" t="n">
        <f aca="false">IF(OR(NOT(ISNUMBER($C394)),NOT(ISNUMBER($M394)),$M394=0),"",$C394/$M394-1)</f>
        <v>-0.0303460159330857</v>
      </c>
      <c r="P394" s="54"/>
      <c r="Q394" s="53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978090498</v>
      </c>
      <c r="D395" s="49" t="n">
        <v>980743941</v>
      </c>
      <c r="E395" s="49" t="n">
        <v>976897386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0.0174567439110147</v>
      </c>
      <c r="I395" s="52" t="n">
        <f aca="false">IF(AND(ISNUMBER($G395),$G395&gt;=MA_SHORT),AVERAGE(INDEX($C$5:$C395,392-MA_SHORT):$C395),"")</f>
        <v>954531639.65</v>
      </c>
      <c r="J395" s="52" t="n">
        <f aca="false">IF(AND(ISNUMBER($G395),$G395&gt;=MA_MED),AVERAGE(INDEX($C$5:$C395,392-MA_MED):$C395),"")</f>
        <v>938422125.56</v>
      </c>
      <c r="K395" s="52" t="n">
        <f aca="false">IF(AND(ISNUMBER($G395),$G395&gt;=MA_LONG2),AVERAGE(INDEX($C$5:$C395,392-MA_LONG2):$C395),"")</f>
        <v>912446482.055</v>
      </c>
      <c r="L395" s="53" t="n">
        <f aca="false">IF(AND(ISNUMBER($G395),$G395&gt;=21),STDEV(INDEX($H$335:$H395,62-20):$H395)*SQRT(245),"")</f>
        <v>0.239534197866227</v>
      </c>
      <c r="M395" s="52" t="n">
        <f aca="false">IF(AND(ISNUMBER($G395),$G395&gt;=60),MAX(INDEX($D$195:$D395,202-60):$D395),"")</f>
        <v>991394029</v>
      </c>
      <c r="N395" s="52" t="n">
        <f aca="false">IF(AND(ISNUMBER($G395),$G395&gt;=60),MIN(INDEX($E$195:$E395,202-60):$E395),"")</f>
        <v>879348159</v>
      </c>
      <c r="O395" s="53" t="n">
        <f aca="false">IF(OR(NOT(ISNUMBER($C395)),NOT(ISNUMBER($M395)),$M395=0),"",$C395/$M395-1)</f>
        <v>-0.0134190146509345</v>
      </c>
      <c r="P395" s="54"/>
      <c r="Q395" s="53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967827649</v>
      </c>
      <c r="D396" s="49" t="n">
        <v>968940671</v>
      </c>
      <c r="E396" s="49" t="n">
        <v>963190855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-0.0104927397014749</v>
      </c>
      <c r="I396" s="52" t="n">
        <f aca="false">IF(AND(ISNUMBER($G396),$G396&gt;=MA_SHORT),AVERAGE(INDEX($C$5:$C396,393-MA_SHORT):$C396),"")</f>
        <v>958114630.85</v>
      </c>
      <c r="J396" s="52" t="n">
        <f aca="false">IF(AND(ISNUMBER($G396),$G396&gt;=MA_MED),AVERAGE(INDEX($C$5:$C396,393-MA_MED):$C396),"")</f>
        <v>939670855.3</v>
      </c>
      <c r="K396" s="52" t="n">
        <f aca="false">IF(AND(ISNUMBER($G396),$G396&gt;=MA_LONG2),AVERAGE(INDEX($C$5:$C396,393-MA_LONG2):$C396),"")</f>
        <v>912882517.59</v>
      </c>
      <c r="L396" s="53" t="n">
        <f aca="false">IF(AND(ISNUMBER($G396),$G396&gt;=21),STDEV(INDEX($H$336:$H396,62-20):$H396)*SQRT(245),"")</f>
        <v>0.242829332001843</v>
      </c>
      <c r="M396" s="52" t="n">
        <f aca="false">IF(AND(ISNUMBER($G396),$G396&gt;=60),MAX(INDEX($D$196:$D396,202-60):$D396),"")</f>
        <v>991394029</v>
      </c>
      <c r="N396" s="52" t="n">
        <f aca="false">IF(AND(ISNUMBER($G396),$G396&gt;=60),MIN(INDEX($E$196:$E396,202-60):$E396),"")</f>
        <v>879348159</v>
      </c>
      <c r="O396" s="53" t="n">
        <f aca="false">IF(OR(NOT(ISNUMBER($C396)),NOT(ISNUMBER($M396)),$M396=0),"",$C396/$M396-1)</f>
        <v>-0.0237709521246269</v>
      </c>
      <c r="P396" s="54"/>
      <c r="Q396" s="53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989718829</v>
      </c>
      <c r="D397" s="49" t="n">
        <v>993930994</v>
      </c>
      <c r="E397" s="49" t="n">
        <v>988002082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0.0226188826312401</v>
      </c>
      <c r="I397" s="52" t="n">
        <f aca="false">IF(AND(ISNUMBER($G397),$G397&gt;=MA_SHORT),AVERAGE(INDEX($C$5:$C397,394-MA_SHORT):$C397),"")</f>
        <v>961907034.7</v>
      </c>
      <c r="J397" s="52" t="n">
        <f aca="false">IF(AND(ISNUMBER($G397),$G397&gt;=MA_MED),AVERAGE(INDEX($C$5:$C397,394-MA_MED):$C397),"")</f>
        <v>941445693.78</v>
      </c>
      <c r="K397" s="52" t="n">
        <f aca="false">IF(AND(ISNUMBER($G397),$G397&gt;=MA_LONG2),AVERAGE(INDEX($C$5:$C397,394-MA_LONG2):$C397),"")</f>
        <v>913504655.34</v>
      </c>
      <c r="L397" s="53" t="n">
        <f aca="false">IF(AND(ISNUMBER($G397),$G397&gt;=21),STDEV(INDEX($H$337:$H397,62-20):$H397)*SQRT(245),"")</f>
        <v>0.245423952931519</v>
      </c>
      <c r="M397" s="52" t="n">
        <f aca="false">IF(AND(ISNUMBER($G397),$G397&gt;=60),MAX(INDEX($D$197:$D397,202-60):$D397),"")</f>
        <v>993930994</v>
      </c>
      <c r="N397" s="52" t="n">
        <f aca="false">IF(AND(ISNUMBER($G397),$G397&gt;=60),MIN(INDEX($E$197:$E397,202-60):$E397),"")</f>
        <v>879348159</v>
      </c>
      <c r="O397" s="53" t="n">
        <f aca="false">IF(OR(NOT(ISNUMBER($C397)),NOT(ISNUMBER($M397)),$M397=0),"",$C397/$M397-1)</f>
        <v>-0.00423788474796272</v>
      </c>
      <c r="P397" s="54"/>
      <c r="Q397" s="53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1004231853</v>
      </c>
      <c r="D398" s="49" t="n">
        <v>1004823385</v>
      </c>
      <c r="E398" s="49" t="n">
        <v>996045355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0.014663784879857</v>
      </c>
      <c r="I398" s="52" t="n">
        <f aca="false">IF(AND(ISNUMBER($G398),$G398&gt;=MA_SHORT),AVERAGE(INDEX($C$5:$C398,395-MA_SHORT):$C398),"")</f>
        <v>966383556.8</v>
      </c>
      <c r="J398" s="52" t="n">
        <f aca="false">IF(AND(ISNUMBER($G398),$G398&gt;=MA_MED),AVERAGE(INDEX($C$5:$C398,395-MA_MED):$C398),"")</f>
        <v>943659014.8</v>
      </c>
      <c r="K398" s="52" t="n">
        <f aca="false">IF(AND(ISNUMBER($G398),$G398&gt;=MA_LONG2),AVERAGE(INDEX($C$5:$C398,395-MA_LONG2):$C398),"")</f>
        <v>914156405.825</v>
      </c>
      <c r="L398" s="53" t="n">
        <f aca="false">IF(AND(ISNUMBER($G398),$G398&gt;=21),STDEV(INDEX($H$338:$H398,62-20):$H398)*SQRT(245),"")</f>
        <v>0.247819447792173</v>
      </c>
      <c r="M398" s="52" t="n">
        <f aca="false">IF(AND(ISNUMBER($G398),$G398&gt;=60),MAX(INDEX($D$198:$D398,202-60):$D398),"")</f>
        <v>1004823385</v>
      </c>
      <c r="N398" s="52" t="n">
        <f aca="false">IF(AND(ISNUMBER($G398),$G398&gt;=60),MIN(INDEX($E$198:$E398,202-60):$E398),"")</f>
        <v>879348159</v>
      </c>
      <c r="O398" s="53" t="n">
        <f aca="false">IF(OR(NOT(ISNUMBER($C398)),NOT(ISNUMBER($M398)),$M398=0),"",$C398/$M398-1)</f>
        <v>-0.000588692509380651</v>
      </c>
      <c r="P398" s="54"/>
      <c r="Q398" s="53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1012725958</v>
      </c>
      <c r="D399" s="49" t="n">
        <v>1015806328</v>
      </c>
      <c r="E399" s="49" t="n">
        <v>1011388394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0.00845831067260527</v>
      </c>
      <c r="I399" s="52" t="n">
        <f aca="false">IF(AND(ISNUMBER($G399),$G399&gt;=MA_SHORT),AVERAGE(INDEX($C$5:$C399,396-MA_SHORT):$C399),"")</f>
        <v>970778400.85</v>
      </c>
      <c r="J399" s="52" t="n">
        <f aca="false">IF(AND(ISNUMBER($G399),$G399&gt;=MA_MED),AVERAGE(INDEX($C$5:$C399,396-MA_MED):$C399),"")</f>
        <v>945879353.2</v>
      </c>
      <c r="K399" s="52" t="n">
        <f aca="false">IF(AND(ISNUMBER($G399),$G399&gt;=MA_LONG2),AVERAGE(INDEX($C$5:$C399,396-MA_LONG2):$C399),"")</f>
        <v>914897360.58</v>
      </c>
      <c r="L399" s="53" t="n">
        <f aca="false">IF(AND(ISNUMBER($G399),$G399&gt;=21),STDEV(INDEX($H$339:$H399,62-20):$H399)*SQRT(245),"")</f>
        <v>0.247134244642971</v>
      </c>
      <c r="M399" s="52" t="n">
        <f aca="false">IF(AND(ISNUMBER($G399),$G399&gt;=60),MAX(INDEX($D$199:$D399,202-60):$D399),"")</f>
        <v>1015806328</v>
      </c>
      <c r="N399" s="52" t="n">
        <f aca="false">IF(AND(ISNUMBER($G399),$G399&gt;=60),MIN(INDEX($E$199:$E399,202-60):$E399),"")</f>
        <v>879348159</v>
      </c>
      <c r="O399" s="53" t="n">
        <f aca="false">IF(OR(NOT(ISNUMBER($C399)),NOT(ISNUMBER($M399)),$M399=0),"",$C399/$M399-1)</f>
        <v>-0.00303243828581468</v>
      </c>
      <c r="P399" s="54"/>
      <c r="Q399" s="53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1007425704</v>
      </c>
      <c r="D400" s="49" t="n">
        <v>1011490336</v>
      </c>
      <c r="E400" s="49" t="n">
        <v>1006057365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-0.00523365077998716</v>
      </c>
      <c r="I400" s="52" t="n">
        <f aca="false">IF(AND(ISNUMBER($G400),$G400&gt;=MA_SHORT),AVERAGE(INDEX($C$5:$C400,397-MA_SHORT):$C400),"")</f>
        <v>974686989.6</v>
      </c>
      <c r="J400" s="52" t="n">
        <f aca="false">IF(AND(ISNUMBER($G400),$G400&gt;=MA_MED),AVERAGE(INDEX($C$5:$C400,397-MA_MED):$C400),"")</f>
        <v>947692372.66</v>
      </c>
      <c r="K400" s="52" t="n">
        <f aca="false">IF(AND(ISNUMBER($G400),$G400&gt;=MA_LONG2),AVERAGE(INDEX($C$5:$C400,397-MA_LONG2):$C400),"")</f>
        <v>915545714.72</v>
      </c>
      <c r="L400" s="53" t="n">
        <f aca="false">IF(AND(ISNUMBER($G400),$G400&gt;=21),STDEV(INDEX($H$340:$H400,62-20):$H400)*SQRT(245),"")</f>
        <v>0.249549313037587</v>
      </c>
      <c r="M400" s="52" t="n">
        <f aca="false">IF(AND(ISNUMBER($G400),$G400&gt;=60),MAX(INDEX($D$200:$D400,202-60):$D400),"")</f>
        <v>1015806328</v>
      </c>
      <c r="N400" s="52" t="n">
        <f aca="false">IF(AND(ISNUMBER($G400),$G400&gt;=60),MIN(INDEX($E$200:$E400,202-60):$E400),"")</f>
        <v>879348159</v>
      </c>
      <c r="O400" s="53" t="n">
        <f aca="false">IF(OR(NOT(ISNUMBER($C400)),NOT(ISNUMBER($M400)),$M400=0),"",$C400/$M400-1)</f>
        <v>-0.00825021834280204</v>
      </c>
      <c r="P400" s="54"/>
      <c r="Q400" s="53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1022298035</v>
      </c>
      <c r="D401" s="49" t="n">
        <v>1027179506</v>
      </c>
      <c r="E401" s="49" t="n">
        <v>1018261866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0.0147627075038379</v>
      </c>
      <c r="I401" s="52" t="n">
        <f aca="false">IF(AND(ISNUMBER($G401),$G401&gt;=MA_SHORT),AVERAGE(INDEX($C$5:$C401,398-MA_SHORT):$C401),"")</f>
        <v>978546378.1</v>
      </c>
      <c r="J401" s="52" t="n">
        <f aca="false">IF(AND(ISNUMBER($G401),$G401&gt;=MA_MED),AVERAGE(INDEX($C$5:$C401,398-MA_MED):$C401),"")</f>
        <v>949669361.88</v>
      </c>
      <c r="K401" s="52" t="n">
        <f aca="false">IF(AND(ISNUMBER($G401),$G401&gt;=MA_LONG2),AVERAGE(INDEX($C$5:$C401,398-MA_LONG2):$C401),"")</f>
        <v>916215490.33</v>
      </c>
      <c r="L401" s="53" t="n">
        <f aca="false">IF(AND(ISNUMBER($G401),$G401&gt;=21),STDEV(INDEX($H$341:$H401,62-20):$H401)*SQRT(245),"")</f>
        <v>0.248142133056471</v>
      </c>
      <c r="M401" s="52" t="n">
        <f aca="false">IF(AND(ISNUMBER($G401),$G401&gt;=60),MAX(INDEX($D$201:$D401,202-60):$D401),"")</f>
        <v>1027179506</v>
      </c>
      <c r="N401" s="52" t="n">
        <f aca="false">IF(AND(ISNUMBER($G401),$G401&gt;=60),MIN(INDEX($E$201:$E401,202-60):$E401),"")</f>
        <v>879348159</v>
      </c>
      <c r="O401" s="53" t="n">
        <f aca="false">IF(OR(NOT(ISNUMBER($C401)),NOT(ISNUMBER($M401)),$M401=0),"",$C401/$M401-1)</f>
        <v>-0.00475230567927631</v>
      </c>
      <c r="P401" s="54"/>
      <c r="Q401" s="53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1002819631</v>
      </c>
      <c r="D402" s="49" t="n">
        <v>1005322300</v>
      </c>
      <c r="E402" s="49" t="n">
        <v>999265875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-0.0190535473346577</v>
      </c>
      <c r="I402" s="52" t="n">
        <f aca="false">IF(AND(ISNUMBER($G402),$G402&gt;=MA_SHORT),AVERAGE(INDEX($C$5:$C402,399-MA_SHORT):$C402),"")</f>
        <v>980874472</v>
      </c>
      <c r="J402" s="52" t="n">
        <f aca="false">IF(AND(ISNUMBER($G402),$G402&gt;=MA_MED),AVERAGE(INDEX($C$5:$C402,399-MA_MED):$C402),"")</f>
        <v>950814412.92</v>
      </c>
      <c r="K402" s="52" t="n">
        <f aca="false">IF(AND(ISNUMBER($G402),$G402&gt;=MA_LONG2),AVERAGE(INDEX($C$5:$C402,399-MA_LONG2):$C402),"")</f>
        <v>916766463.055</v>
      </c>
      <c r="L402" s="53" t="n">
        <f aca="false">IF(AND(ISNUMBER($G402),$G402&gt;=21),STDEV(INDEX($H$342:$H402,62-20):$H402)*SQRT(245),"")</f>
        <v>0.258983659906613</v>
      </c>
      <c r="M402" s="52" t="n">
        <f aca="false">IF(AND(ISNUMBER($G402),$G402&gt;=60),MAX(INDEX($D$202:$D402,202-60):$D402),"")</f>
        <v>1027179506</v>
      </c>
      <c r="N402" s="52" t="n">
        <f aca="false">IF(AND(ISNUMBER($G402),$G402&gt;=60),MIN(INDEX($E$202:$E402,202-60):$E402),"")</f>
        <v>879348159</v>
      </c>
      <c r="O402" s="53" t="n">
        <f aca="false">IF(OR(NOT(ISNUMBER($C402)),NOT(ISNUMBER($M402)),$M402=0),"",$C402/$M402-1)</f>
        <v>-0.0237153047327251</v>
      </c>
      <c r="P402" s="54"/>
      <c r="Q402" s="53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1013394438</v>
      </c>
      <c r="D403" s="49" t="n">
        <v>1015663442</v>
      </c>
      <c r="E403" s="49" t="n">
        <v>1011342573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0.0105450737830639</v>
      </c>
      <c r="I403" s="52" t="n">
        <f aca="false">IF(AND(ISNUMBER($G403),$G403&gt;=MA_SHORT),AVERAGE(INDEX($C$5:$C403,400-MA_SHORT):$C403),"")</f>
        <v>982536250.9</v>
      </c>
      <c r="J403" s="52" t="n">
        <f aca="false">IF(AND(ISNUMBER($G403),$G403&gt;=MA_MED),AVERAGE(INDEX($C$5:$C403,400-MA_MED):$C403),"")</f>
        <v>952015665.46</v>
      </c>
      <c r="K403" s="52" t="n">
        <f aca="false">IF(AND(ISNUMBER($G403),$G403&gt;=MA_LONG2),AVERAGE(INDEX($C$5:$C403,400-MA_LONG2):$C403),"")</f>
        <v>917330661.665</v>
      </c>
      <c r="L403" s="53" t="n">
        <f aca="false">IF(AND(ISNUMBER($G403),$G403&gt;=21),STDEV(INDEX($H$343:$H403,62-20):$H403)*SQRT(245),"")</f>
        <v>0.247490666261863</v>
      </c>
      <c r="M403" s="52" t="n">
        <f aca="false">IF(AND(ISNUMBER($G403),$G403&gt;=60),MAX(INDEX($D$203:$D403,202-60):$D403),"")</f>
        <v>1027179506</v>
      </c>
      <c r="N403" s="52" t="n">
        <f aca="false">IF(AND(ISNUMBER($G403),$G403&gt;=60),MIN(INDEX($E$203:$E403,202-60):$E403),"")</f>
        <v>879348159</v>
      </c>
      <c r="O403" s="53" t="n">
        <f aca="false">IF(OR(NOT(ISNUMBER($C403)),NOT(ISNUMBER($M403)),$M403=0),"",$C403/$M403-1)</f>
        <v>-0.0134203105878555</v>
      </c>
      <c r="P403" s="54"/>
      <c r="Q403" s="53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1034598472</v>
      </c>
      <c r="D404" s="49" t="n">
        <v>1040912630</v>
      </c>
      <c r="E404" s="49" t="n">
        <v>1027924053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0.0209237718354243</v>
      </c>
      <c r="I404" s="52" t="n">
        <f aca="false">IF(AND(ISNUMBER($G404),$G404&gt;=MA_SHORT),AVERAGE(INDEX($C$5:$C404,401-MA_SHORT):$C404),"")</f>
        <v>985161893.7</v>
      </c>
      <c r="J404" s="52" t="n">
        <f aca="false">IF(AND(ISNUMBER($G404),$G404&gt;=MA_MED),AVERAGE(INDEX($C$5:$C404,401-MA_MED):$C404),"")</f>
        <v>953686898.82</v>
      </c>
      <c r="K404" s="52" t="n">
        <f aca="false">IF(AND(ISNUMBER($G404),$G404&gt;=MA_LONG2),AVERAGE(INDEX($C$5:$C404,401-MA_LONG2):$C404),"")</f>
        <v>918033577.505</v>
      </c>
      <c r="L404" s="53" t="n">
        <f aca="false">IF(AND(ISNUMBER($G404),$G404&gt;=21),STDEV(INDEX($H$344:$H404,62-20):$H404)*SQRT(245),"")</f>
        <v>0.256400756552531</v>
      </c>
      <c r="M404" s="52" t="n">
        <f aca="false">IF(AND(ISNUMBER($G404),$G404&gt;=60),MAX(INDEX($D$204:$D404,202-60):$D404),"")</f>
        <v>1040912630</v>
      </c>
      <c r="N404" s="52" t="n">
        <f aca="false">IF(AND(ISNUMBER($G404),$G404&gt;=60),MIN(INDEX($E$204:$E404,202-60):$E404),"")</f>
        <v>879348159</v>
      </c>
      <c r="O404" s="53" t="n">
        <f aca="false">IF(OR(NOT(ISNUMBER($C404)),NOT(ISNUMBER($M404)),$M404=0),"",$C404/$M404-1)</f>
        <v>-0.00606598269443615</v>
      </c>
      <c r="P404" s="54"/>
      <c r="Q404" s="53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1023711867</v>
      </c>
      <c r="D405" s="49" t="n">
        <v>1026333162</v>
      </c>
      <c r="E405" s="49" t="n">
        <v>1020450939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-0.0105225411544972</v>
      </c>
      <c r="I405" s="52" t="n">
        <f aca="false">IF(AND(ISNUMBER($G405),$G405&gt;=MA_SHORT),AVERAGE(INDEX($C$5:$C405,402-MA_SHORT):$C405),"")</f>
        <v>986854342.75</v>
      </c>
      <c r="J405" s="52" t="n">
        <f aca="false">IF(AND(ISNUMBER($G405),$G405&gt;=MA_MED),AVERAGE(INDEX($C$5:$C405,402-MA_MED):$C405),"")</f>
        <v>955253999.98</v>
      </c>
      <c r="K405" s="52" t="n">
        <f aca="false">IF(AND(ISNUMBER($G405),$G405&gt;=MA_LONG2),AVERAGE(INDEX($C$5:$C405,402-MA_LONG2):$C405),"")</f>
        <v>918684122.49</v>
      </c>
      <c r="L405" s="53" t="n">
        <f aca="false">IF(AND(ISNUMBER($G405),$G405&gt;=21),STDEV(INDEX($H$345:$H405,62-20):$H405)*SQRT(245),"")</f>
        <v>0.259696524243755</v>
      </c>
      <c r="M405" s="52" t="n">
        <f aca="false">IF(AND(ISNUMBER($G405),$G405&gt;=60),MAX(INDEX($D$205:$D405,202-60):$D405),"")</f>
        <v>1040912630</v>
      </c>
      <c r="N405" s="52" t="n">
        <f aca="false">IF(AND(ISNUMBER($G405),$G405&gt;=60),MIN(INDEX($E$205:$E405,202-60):$E405),"")</f>
        <v>879348159</v>
      </c>
      <c r="O405" s="53" t="n">
        <f aca="false">IF(OR(NOT(ISNUMBER($C405)),NOT(ISNUMBER($M405)),$M405=0),"",$C405/$M405-1)</f>
        <v>-0.0165246942963887</v>
      </c>
      <c r="P405" s="54"/>
      <c r="Q405" s="53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1034494526</v>
      </c>
      <c r="D406" s="49" t="n">
        <v>1036619867</v>
      </c>
      <c r="E406" s="49" t="n">
        <v>1033593860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0.0105329041770306</v>
      </c>
      <c r="I406" s="52" t="n">
        <f aca="false">IF(AND(ISNUMBER($G406),$G406&gt;=MA_SHORT),AVERAGE(INDEX($C$6:$C406,402-MA_SHORT):$C406),"")</f>
        <v>990268308.65</v>
      </c>
      <c r="J406" s="52" t="n">
        <f aca="false">IF(AND(ISNUMBER($G406),$G406&gt;=MA_MED),AVERAGE(INDEX($C$6:$C406,402-MA_MED):$C406),"")</f>
        <v>956992485.38</v>
      </c>
      <c r="K406" s="52" t="n">
        <f aca="false">IF(AND(ISNUMBER($G406),$G406&gt;=MA_LONG2),AVERAGE(INDEX($C$6:$C406,402-MA_LONG2):$C406),"")</f>
        <v>919351340.925</v>
      </c>
      <c r="L406" s="53" t="n">
        <f aca="false">IF(AND(ISNUMBER($G406),$G406&gt;=21),STDEV(INDEX($H$346:$H406,62-20):$H406)*SQRT(245),"")</f>
        <v>0.243186104656384</v>
      </c>
      <c r="M406" s="52" t="n">
        <f aca="false">IF(AND(ISNUMBER($G406),$G406&gt;=60),MAX(INDEX($D$206:$D406,202-60):$D406),"")</f>
        <v>1040912630</v>
      </c>
      <c r="N406" s="52" t="n">
        <f aca="false">IF(AND(ISNUMBER($G406),$G406&gt;=60),MIN(INDEX($E$206:$E406,202-60):$E406),"")</f>
        <v>879348159</v>
      </c>
      <c r="O406" s="53" t="n">
        <f aca="false">IF(OR(NOT(ISNUMBER($C406)),NOT(ISNUMBER($M406)),$M406=0),"",$C406/$M406-1)</f>
        <v>-0.00616584314093682</v>
      </c>
      <c r="P406" s="54"/>
      <c r="Q406" s="53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1048012897</v>
      </c>
      <c r="D407" s="49" t="n">
        <v>1048594816</v>
      </c>
      <c r="E407" s="49" t="n">
        <v>1044864527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0.0130676099875273</v>
      </c>
      <c r="I407" s="52" t="n">
        <f aca="false">IF(AND(ISNUMBER($G407),$G407&gt;=MA_SHORT),AVERAGE(INDEX($C$7:$C407,402-MA_SHORT):$C407),"")</f>
        <v>994668753</v>
      </c>
      <c r="J407" s="52" t="n">
        <f aca="false">IF(AND(ISNUMBER($G407),$G407&gt;=MA_MED),AVERAGE(INDEX($C$7:$C407,402-MA_MED):$C407),"")</f>
        <v>958940160.02</v>
      </c>
      <c r="K407" s="52" t="n">
        <f aca="false">IF(AND(ISNUMBER($G407),$G407&gt;=MA_LONG2),AVERAGE(INDEX($C$7:$C407,402-MA_LONG2):$C407),"")</f>
        <v>920106135.175</v>
      </c>
      <c r="L407" s="53" t="n">
        <f aca="false">IF(AND(ISNUMBER($G407),$G407&gt;=21),STDEV(INDEX($H$347:$H407,62-20):$H407)*SQRT(245),"")</f>
        <v>0.242458728066545</v>
      </c>
      <c r="M407" s="52" t="n">
        <f aca="false">IF(AND(ISNUMBER($G407),$G407&gt;=60),MAX(INDEX($D$207:$D407,202-60):$D407),"")</f>
        <v>1048594816</v>
      </c>
      <c r="N407" s="52" t="n">
        <f aca="false">IF(AND(ISNUMBER($G407),$G407&gt;=60),MIN(INDEX($E$207:$E407,202-60):$E407),"")</f>
        <v>879348159</v>
      </c>
      <c r="O407" s="53" t="n">
        <f aca="false">IF(OR(NOT(ISNUMBER($C407)),NOT(ISNUMBER($M407)),$M407=0),"",$C407/$M407-1)</f>
        <v>-0.000554951246297231</v>
      </c>
      <c r="P407" s="54"/>
      <c r="Q407" s="53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1053418520</v>
      </c>
      <c r="D408" s="49" t="n">
        <v>1055786620</v>
      </c>
      <c r="E408" s="49" t="n">
        <v>1050992854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0.00515797373818017</v>
      </c>
      <c r="I408" s="52" t="n">
        <f aca="false">IF(AND(ISNUMBER($G408),$G408&gt;=MA_SHORT),AVERAGE(INDEX($C$8:$C408,402-MA_SHORT):$C408),"")</f>
        <v>999824253.4</v>
      </c>
      <c r="J408" s="52" t="n">
        <f aca="false">IF(AND(ISNUMBER($G408),$G408&gt;=MA_MED),AVERAGE(INDEX($C$8:$C408,402-MA_MED):$C408),"")</f>
        <v>961219174.72</v>
      </c>
      <c r="K408" s="52" t="n">
        <f aca="false">IF(AND(ISNUMBER($G408),$G408&gt;=MA_LONG2),AVERAGE(INDEX($C$8:$C408,402-MA_LONG2):$C408),"")</f>
        <v>920775697.035</v>
      </c>
      <c r="L408" s="53" t="n">
        <f aca="false">IF(AND(ISNUMBER($G408),$G408&gt;=21),STDEV(INDEX($H$348:$H408,62-20):$H408)*SQRT(245),"")</f>
        <v>0.236409662840427</v>
      </c>
      <c r="M408" s="52" t="n">
        <f aca="false">IF(AND(ISNUMBER($G408),$G408&gt;=60),MAX(INDEX($D$208:$D408,202-60):$D408),"")</f>
        <v>1055786620</v>
      </c>
      <c r="N408" s="52" t="n">
        <f aca="false">IF(AND(ISNUMBER($G408),$G408&gt;=60),MIN(INDEX($E$208:$E408,202-60):$E408),"")</f>
        <v>879348159</v>
      </c>
      <c r="O408" s="53" t="n">
        <f aca="false">IF(OR(NOT(ISNUMBER($C408)),NOT(ISNUMBER($M408)),$M408=0),"",$C408/$M408-1)</f>
        <v>-0.00224297216420488</v>
      </c>
      <c r="P408" s="54"/>
      <c r="Q408" s="53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1057579381</v>
      </c>
      <c r="D409" s="49" t="n">
        <v>1058874089</v>
      </c>
      <c r="E409" s="49" t="n">
        <v>1053811851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0.00394986505458439</v>
      </c>
      <c r="I409" s="52" t="n">
        <f aca="false">IF(AND(ISNUMBER($G409),$G409&gt;=MA_SHORT),AVERAGE(INDEX($C$9:$C409,402-MA_SHORT):$C409),"")</f>
        <v>1004060775.45</v>
      </c>
      <c r="J409" s="52" t="n">
        <f aca="false">IF(AND(ISNUMBER($G409),$G409&gt;=MA_MED),AVERAGE(INDEX($C$9:$C409,402-MA_MED):$C409),"")</f>
        <v>963823901.08</v>
      </c>
      <c r="K409" s="52" t="n">
        <f aca="false">IF(AND(ISNUMBER($G409),$G409&gt;=MA_LONG2),AVERAGE(INDEX($C$9:$C409,402-MA_LONG2):$C409),"")</f>
        <v>921506132.57</v>
      </c>
      <c r="L409" s="53" t="n">
        <f aca="false">IF(AND(ISNUMBER($G409),$G409&gt;=21),STDEV(INDEX($H$349:$H409,62-20):$H409)*SQRT(245),"")</f>
        <v>0.226433923275259</v>
      </c>
      <c r="M409" s="52" t="n">
        <f aca="false">IF(AND(ISNUMBER($G409),$G409&gt;=60),MAX(INDEX($D$209:$D409,202-60):$D409),"")</f>
        <v>1058874089</v>
      </c>
      <c r="N409" s="52" t="n">
        <f aca="false">IF(AND(ISNUMBER($G409),$G409&gt;=60),MIN(INDEX($E$209:$E409,202-60):$E409),"")</f>
        <v>879348159</v>
      </c>
      <c r="O409" s="53" t="n">
        <f aca="false">IF(OR(NOT(ISNUMBER($C409)),NOT(ISNUMBER($M409)),$M409=0),"",$C409/$M409-1)</f>
        <v>-0.00122272139194823</v>
      </c>
      <c r="P409" s="54"/>
      <c r="Q409" s="53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1072466183</v>
      </c>
      <c r="D410" s="49" t="n">
        <v>1076233737</v>
      </c>
      <c r="E410" s="49" t="n">
        <v>1071978171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0.0140762975030051</v>
      </c>
      <c r="I410" s="52" t="n">
        <f aca="false">IF(AND(ISNUMBER($G410),$G410&gt;=MA_SHORT),AVERAGE(INDEX($C$10:$C410,402-MA_SHORT):$C410),"")</f>
        <v>1008774104.2</v>
      </c>
      <c r="J410" s="52" t="n">
        <f aca="false">IF(AND(ISNUMBER($G410),$G410&gt;=MA_MED),AVERAGE(INDEX($C$10:$C410,402-MA_MED):$C410),"")</f>
        <v>966817760.64</v>
      </c>
      <c r="K410" s="52" t="n">
        <f aca="false">IF(AND(ISNUMBER($G410),$G410&gt;=MA_LONG2),AVERAGE(INDEX($C$10:$C410,402-MA_LONG2):$C410),"")</f>
        <v>922443552.02</v>
      </c>
      <c r="L410" s="53" t="n">
        <f aca="false">IF(AND(ISNUMBER($G410),$G410&gt;=21),STDEV(INDEX($H$350:$H410,62-20):$H410)*SQRT(245),"")</f>
        <v>0.229002833657079</v>
      </c>
      <c r="M410" s="52" t="n">
        <f aca="false">IF(AND(ISNUMBER($G410),$G410&gt;=60),MAX(INDEX($D$210:$D410,202-60):$D410),"")</f>
        <v>1076233737</v>
      </c>
      <c r="N410" s="52" t="n">
        <f aca="false">IF(AND(ISNUMBER($G410),$G410&gt;=60),MIN(INDEX($E$210:$E410,202-60):$E410),"")</f>
        <v>879348159</v>
      </c>
      <c r="O410" s="53" t="n">
        <f aca="false">IF(OR(NOT(ISNUMBER($C410)),NOT(ISNUMBER($M410)),$M410=0),"",$C410/$M410-1)</f>
        <v>-0.0035006837924465</v>
      </c>
      <c r="P410" s="54"/>
      <c r="Q410" s="53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1068445493</v>
      </c>
      <c r="D411" s="49" t="n">
        <v>1068598613</v>
      </c>
      <c r="E411" s="49" t="n">
        <v>1066836436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-0.00374901331504263</v>
      </c>
      <c r="I411" s="52" t="n">
        <f aca="false">IF(AND(ISNUMBER($G411),$G411&gt;=MA_SHORT),AVERAGE(INDEX($C$11:$C411,402-MA_SHORT):$C411),"")</f>
        <v>1013344473.55</v>
      </c>
      <c r="J411" s="52" t="n">
        <f aca="false">IF(AND(ISNUMBER($G411),$G411&gt;=MA_MED),AVERAGE(INDEX($C$11:$C411,402-MA_MED):$C411),"")</f>
        <v>969449324.56</v>
      </c>
      <c r="K411" s="52" t="n">
        <f aca="false">IF(AND(ISNUMBER($G411),$G411&gt;=MA_LONG2),AVERAGE(INDEX($C$11:$C411,402-MA_LONG2):$C411),"")</f>
        <v>923305641.05</v>
      </c>
      <c r="L411" s="53" t="n">
        <f aca="false">IF(AND(ISNUMBER($G411),$G411&gt;=21),STDEV(INDEX($H$351:$H411,62-20):$H411)*SQRT(245),"")</f>
        <v>0.230027098773516</v>
      </c>
      <c r="M411" s="52" t="n">
        <f aca="false">IF(AND(ISNUMBER($G411),$G411&gt;=60),MAX(INDEX($D$211:$D411,202-60):$D411),"")</f>
        <v>1076233737</v>
      </c>
      <c r="N411" s="52" t="n">
        <f aca="false">IF(AND(ISNUMBER($G411),$G411&gt;=60),MIN(INDEX($E$211:$E411,202-60):$E411),"")</f>
        <v>879348159</v>
      </c>
      <c r="O411" s="53" t="n">
        <f aca="false">IF(OR(NOT(ISNUMBER($C411)),NOT(ISNUMBER($M411)),$M411=0),"",$C411/$M411-1)</f>
        <v>-0.00723657299733949</v>
      </c>
      <c r="P411" s="54"/>
      <c r="Q411" s="53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1083301800</v>
      </c>
      <c r="D412" s="49" t="n">
        <v>1083782634</v>
      </c>
      <c r="E412" s="49" t="n">
        <v>1078731010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0.0139045998109704</v>
      </c>
      <c r="I412" s="52" t="n">
        <f aca="false">IF(AND(ISNUMBER($G412),$G412&gt;=MA_SHORT),AVERAGE(INDEX($C$12:$C412,402-MA_SHORT):$C412),"")</f>
        <v>1018865937.8</v>
      </c>
      <c r="J412" s="52" t="n">
        <f aca="false">IF(AND(ISNUMBER($G412),$G412&gt;=MA_MED),AVERAGE(INDEX($C$12:$C412,402-MA_MED):$C412),"")</f>
        <v>972588206.22</v>
      </c>
      <c r="K412" s="52" t="n">
        <f aca="false">IF(AND(ISNUMBER($G412),$G412&gt;=MA_LONG2),AVERAGE(INDEX($C$12:$C412,402-MA_LONG2):$C412),"")</f>
        <v>924128712.485</v>
      </c>
      <c r="L412" s="53" t="n">
        <f aca="false">IF(AND(ISNUMBER($G412),$G412&gt;=21),STDEV(INDEX($H$352:$H412,62-20):$H412)*SQRT(245),"")</f>
        <v>0.229804583523593</v>
      </c>
      <c r="M412" s="52" t="n">
        <f aca="false">IF(AND(ISNUMBER($G412),$G412&gt;=60),MAX(INDEX($D$212:$D412,202-60):$D412),"")</f>
        <v>1083782634</v>
      </c>
      <c r="N412" s="52" t="n">
        <f aca="false">IF(AND(ISNUMBER($G412),$G412&gt;=60),MIN(INDEX($E$212:$E412,202-60):$E412),"")</f>
        <v>879348159</v>
      </c>
      <c r="O412" s="53" t="n">
        <f aca="false">IF(OR(NOT(ISNUMBER($C412)),NOT(ISNUMBER($M412)),$M412=0),"",$C412/$M412-1)</f>
        <v>-0.000443662764945119</v>
      </c>
      <c r="P412" s="54"/>
      <c r="Q412" s="53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1066596317</v>
      </c>
      <c r="D413" s="49" t="n">
        <v>1069751385</v>
      </c>
      <c r="E413" s="49" t="n">
        <v>1065697165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-0.0154208947128123</v>
      </c>
      <c r="I413" s="52" t="n">
        <f aca="false">IF(AND(ISNUMBER($G413),$G413&gt;=MA_SHORT),AVERAGE(INDEX($C$13:$C413,402-MA_SHORT):$C413),"")</f>
        <v>1025123361.05</v>
      </c>
      <c r="J413" s="52" t="n">
        <f aca="false">IF(AND(ISNUMBER($G413),$G413&gt;=MA_MED),AVERAGE(INDEX($C$13:$C413,402-MA_MED):$C413),"")</f>
        <v>975194812.8</v>
      </c>
      <c r="K413" s="52" t="n">
        <f aca="false">IF(AND(ISNUMBER($G413),$G413&gt;=MA_LONG2),AVERAGE(INDEX($C$13:$C413,402-MA_LONG2):$C413),"")</f>
        <v>924897638.215</v>
      </c>
      <c r="L413" s="53" t="n">
        <f aca="false">IF(AND(ISNUMBER($G413),$G413&gt;=21),STDEV(INDEX($H$353:$H413,62-20):$H413)*SQRT(245),"")</f>
        <v>0.199619254644269</v>
      </c>
      <c r="M413" s="52" t="n">
        <f aca="false">IF(AND(ISNUMBER($G413),$G413&gt;=60),MAX(INDEX($D$213:$D413,202-60):$D413),"")</f>
        <v>1083782634</v>
      </c>
      <c r="N413" s="52" t="n">
        <f aca="false">IF(AND(ISNUMBER($G413),$G413&gt;=60),MIN(INDEX($E$213:$E413,202-60):$E413),"")</f>
        <v>879348159</v>
      </c>
      <c r="O413" s="53" t="n">
        <f aca="false">IF(OR(NOT(ISNUMBER($C413)),NOT(ISNUMBER($M413)),$M413=0),"",$C413/$M413-1)</f>
        <v>-0.0158577158009712</v>
      </c>
      <c r="P413" s="54"/>
      <c r="Q413" s="53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1084838389</v>
      </c>
      <c r="D414" s="49" t="n">
        <v>1086883873</v>
      </c>
      <c r="E414" s="49" t="n">
        <v>1079183858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0.0171030704956017</v>
      </c>
      <c r="I414" s="52" t="n">
        <f aca="false">IF(AND(ISNUMBER($G414),$G414&gt;=MA_SHORT),AVERAGE(INDEX($C$14:$C414,402-MA_SHORT):$C414),"")</f>
        <v>1031299822</v>
      </c>
      <c r="J414" s="52" t="n">
        <f aca="false">IF(AND(ISNUMBER($G414),$G414&gt;=MA_MED),AVERAGE(INDEX($C$14:$C414,402-MA_MED):$C414),"")</f>
        <v>978128786.96</v>
      </c>
      <c r="K414" s="52" t="n">
        <f aca="false">IF(AND(ISNUMBER($G414),$G414&gt;=MA_LONG2),AVERAGE(INDEX($C$14:$C414,402-MA_LONG2):$C414),"")</f>
        <v>925648767.59</v>
      </c>
      <c r="L414" s="53" t="n">
        <f aca="false">IF(AND(ISNUMBER($G414),$G414&gt;=21),STDEV(INDEX($H$354:$H414,62-20):$H414)*SQRT(245),"")</f>
        <v>0.196273109331642</v>
      </c>
      <c r="M414" s="52" t="n">
        <f aca="false">IF(AND(ISNUMBER($G414),$G414&gt;=60),MAX(INDEX($D$214:$D414,202-60):$D414),"")</f>
        <v>1086883873</v>
      </c>
      <c r="N414" s="52" t="n">
        <f aca="false">IF(AND(ISNUMBER($G414),$G414&gt;=60),MIN(INDEX($E$214:$E414,202-60):$E414),"")</f>
        <v>879348159</v>
      </c>
      <c r="O414" s="53" t="n">
        <f aca="false">IF(OR(NOT(ISNUMBER($C414)),NOT(ISNUMBER($M414)),$M414=0),"",$C414/$M414-1)</f>
        <v>-0.00188197106499899</v>
      </c>
      <c r="P414" s="54"/>
      <c r="Q414" s="53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1065883289</v>
      </c>
      <c r="D415" s="49" t="n">
        <v>1067393159</v>
      </c>
      <c r="E415" s="49" t="n">
        <v>1060523213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-0.0174727408176187</v>
      </c>
      <c r="I415" s="52" t="n">
        <f aca="false">IF(AND(ISNUMBER($G415),$G415&gt;=MA_SHORT),AVERAGE(INDEX($C$15:$C415,402-MA_SHORT):$C415),"")</f>
        <v>1035689461.55</v>
      </c>
      <c r="J415" s="52" t="n">
        <f aca="false">IF(AND(ISNUMBER($G415),$G415&gt;=MA_MED),AVERAGE(INDEX($C$15:$C415,402-MA_MED):$C415),"")</f>
        <v>980465880.1</v>
      </c>
      <c r="K415" s="52" t="n">
        <f aca="false">IF(AND(ISNUMBER($G415),$G415&gt;=MA_LONG2),AVERAGE(INDEX($C$15:$C415,402-MA_LONG2):$C415),"")</f>
        <v>926270337.515</v>
      </c>
      <c r="L415" s="53" t="n">
        <f aca="false">IF(AND(ISNUMBER($G415),$G415&gt;=21),STDEV(INDEX($H$355:$H415,62-20):$H415)*SQRT(245),"")</f>
        <v>0.208020238227951</v>
      </c>
      <c r="M415" s="52" t="n">
        <f aca="false">IF(AND(ISNUMBER($G415),$G415&gt;=60),MAX(INDEX($D$215:$D415,202-60):$D415),"")</f>
        <v>1086883873</v>
      </c>
      <c r="N415" s="52" t="n">
        <f aca="false">IF(AND(ISNUMBER($G415),$G415&gt;=60),MIN(INDEX($E$215:$E415,202-60):$E415),"")</f>
        <v>879348159</v>
      </c>
      <c r="O415" s="53" t="n">
        <f aca="false">IF(OR(NOT(ISNUMBER($C415)),NOT(ISNUMBER($M415)),$M415=0),"",$C415/$M415-1)</f>
        <v>-0.0193218286899727</v>
      </c>
      <c r="P415" s="54"/>
      <c r="Q415" s="53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1049369733</v>
      </c>
      <c r="D416" s="49" t="n">
        <v>1052421223</v>
      </c>
      <c r="E416" s="49" t="n">
        <v>1049149090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-0.0154928369460533</v>
      </c>
      <c r="I416" s="52" t="n">
        <f aca="false">IF(AND(ISNUMBER($G416),$G416&gt;=MA_SHORT),AVERAGE(INDEX($C$16:$C416,402-MA_SHORT):$C416),"")</f>
        <v>1039766565.75</v>
      </c>
      <c r="J416" s="52" t="n">
        <f aca="false">IF(AND(ISNUMBER($G416),$G416&gt;=MA_MED),AVERAGE(INDEX($C$16:$C416,402-MA_MED):$C416),"")</f>
        <v>982680129.86</v>
      </c>
      <c r="K416" s="52" t="n">
        <f aca="false">IF(AND(ISNUMBER($G416),$G416&gt;=MA_LONG2),AVERAGE(INDEX($C$16:$C416,402-MA_LONG2):$C416),"")</f>
        <v>926875749.32</v>
      </c>
      <c r="L416" s="53" t="n">
        <f aca="false">IF(AND(ISNUMBER($G416),$G416&gt;=21),STDEV(INDEX($H$356:$H416,62-20):$H416)*SQRT(245),"")</f>
        <v>0.21330245202678</v>
      </c>
      <c r="M416" s="52" t="n">
        <f aca="false">IF(AND(ISNUMBER($G416),$G416&gt;=60),MAX(INDEX($D$216:$D416,202-60):$D416),"")</f>
        <v>1086883873</v>
      </c>
      <c r="N416" s="52" t="n">
        <f aca="false">IF(AND(ISNUMBER($G416),$G416&gt;=60),MIN(INDEX($E$216:$E416,202-60):$E416),"")</f>
        <v>879348159</v>
      </c>
      <c r="O416" s="53" t="n">
        <f aca="false">IF(OR(NOT(ISNUMBER($C416)),NOT(ISNUMBER($M416)),$M416=0),"",$C416/$M416-1)</f>
        <v>-0.0345153156946326</v>
      </c>
      <c r="P416" s="54"/>
      <c r="Q416" s="53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1064497734</v>
      </c>
      <c r="D417" s="49" t="n">
        <v>1065815958</v>
      </c>
      <c r="E417" s="49" t="n">
        <v>1061360581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0.0144162734299103</v>
      </c>
      <c r="I417" s="52" t="n">
        <f aca="false">IF(AND(ISNUMBER($G417),$G417&gt;=MA_SHORT),AVERAGE(INDEX($C$17:$C417,402-MA_SHORT):$C417),"")</f>
        <v>1043505511</v>
      </c>
      <c r="J417" s="52" t="n">
        <f aca="false">IF(AND(ISNUMBER($G417),$G417&gt;=MA_MED),AVERAGE(INDEX($C$17:$C417,402-MA_MED):$C417),"")</f>
        <v>985526668.18</v>
      </c>
      <c r="K417" s="52" t="n">
        <f aca="false">IF(AND(ISNUMBER($G417),$G417&gt;=MA_LONG2),AVERAGE(INDEX($C$17:$C417,402-MA_LONG2):$C417),"")</f>
        <v>927574330.575</v>
      </c>
      <c r="L417" s="53" t="n">
        <f aca="false">IF(AND(ISNUMBER($G417),$G417&gt;=21),STDEV(INDEX($H$357:$H417,62-20):$H417)*SQRT(245),"")</f>
        <v>0.205944936999244</v>
      </c>
      <c r="M417" s="52" t="n">
        <f aca="false">IF(AND(ISNUMBER($G417),$G417&gt;=60),MAX(INDEX($D$217:$D417,202-60):$D417),"")</f>
        <v>1086883873</v>
      </c>
      <c r="N417" s="52" t="n">
        <f aca="false">IF(AND(ISNUMBER($G417),$G417&gt;=60),MIN(INDEX($E$217:$E417,202-60):$E417),"")</f>
        <v>879348159</v>
      </c>
      <c r="O417" s="53" t="n">
        <f aca="false">IF(OR(NOT(ISNUMBER($C417)),NOT(ISNUMBER($M417)),$M417=0),"",$C417/$M417-1)</f>
        <v>-0.0205966244932958</v>
      </c>
      <c r="P417" s="54"/>
      <c r="Q417" s="53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1076792294</v>
      </c>
      <c r="D418" s="49" t="n">
        <v>1086211384</v>
      </c>
      <c r="E418" s="49" t="n">
        <v>1071710114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0.0115496347313033</v>
      </c>
      <c r="I418" s="52" t="n">
        <f aca="false">IF(AND(ISNUMBER($G418),$G418&gt;=MA_SHORT),AVERAGE(INDEX($C$18:$C418,402-MA_SHORT):$C418),"")</f>
        <v>1047133533.05</v>
      </c>
      <c r="J418" s="52" t="n">
        <f aca="false">IF(AND(ISNUMBER($G418),$G418&gt;=MA_MED),AVERAGE(INDEX($C$18:$C418,402-MA_MED):$C418),"")</f>
        <v>988559179.22</v>
      </c>
      <c r="K418" s="52" t="n">
        <f aca="false">IF(AND(ISNUMBER($G418),$G418&gt;=MA_LONG2),AVERAGE(INDEX($C$18:$C418,402-MA_LONG2):$C418),"")</f>
        <v>928347038.59</v>
      </c>
      <c r="L418" s="53" t="n">
        <f aca="false">IF(AND(ISNUMBER($G418),$G418&gt;=21),STDEV(INDEX($H$358:$H418,62-20):$H418)*SQRT(245),"")</f>
        <v>0.204093281934881</v>
      </c>
      <c r="M418" s="52" t="n">
        <f aca="false">IF(AND(ISNUMBER($G418),$G418&gt;=60),MAX(INDEX($D$218:$D418,202-60):$D418),"")</f>
        <v>1086883873</v>
      </c>
      <c r="N418" s="52" t="n">
        <f aca="false">IF(AND(ISNUMBER($G418),$G418&gt;=60),MIN(INDEX($E$218:$E418,202-60):$E418),"")</f>
        <v>879348159</v>
      </c>
      <c r="O418" s="53" t="n">
        <f aca="false">IF(OR(NOT(ISNUMBER($C418)),NOT(ISNUMBER($M418)),$M418=0),"",$C418/$M418-1)</f>
        <v>-0.00928487325158789</v>
      </c>
      <c r="P418" s="54"/>
      <c r="Q418" s="53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1081776661</v>
      </c>
      <c r="D419" s="49" t="n">
        <v>1085223966</v>
      </c>
      <c r="E419" s="49" t="n">
        <v>1079632803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0.004628902925637</v>
      </c>
      <c r="I419" s="52" t="n">
        <f aca="false">IF(AND(ISNUMBER($G419),$G419&gt;=MA_SHORT),AVERAGE(INDEX($C$19:$C419,402-MA_SHORT):$C419),"")</f>
        <v>1050586068.2</v>
      </c>
      <c r="J419" s="52" t="n">
        <f aca="false">IF(AND(ISNUMBER($G419),$G419&gt;=MA_MED),AVERAGE(INDEX($C$19:$C419,402-MA_MED):$C419),"")</f>
        <v>991526144.34</v>
      </c>
      <c r="K419" s="52" t="n">
        <f aca="false">IF(AND(ISNUMBER($G419),$G419&gt;=MA_LONG2),AVERAGE(INDEX($C$19:$C419,402-MA_LONG2):$C419),"")</f>
        <v>929149303.64</v>
      </c>
      <c r="L419" s="53" t="n">
        <f aca="false">IF(AND(ISNUMBER($G419),$G419&gt;=21),STDEV(INDEX($H$359:$H419,62-20):$H419)*SQRT(245),"")</f>
        <v>0.20335056515133</v>
      </c>
      <c r="M419" s="52" t="n">
        <f aca="false">IF(AND(ISNUMBER($G419),$G419&gt;=60),MAX(INDEX($D$219:$D419,202-60):$D419),"")</f>
        <v>1086883873</v>
      </c>
      <c r="N419" s="52" t="n">
        <f aca="false">IF(AND(ISNUMBER($G419),$G419&gt;=60),MIN(INDEX($E$219:$E419,202-60):$E419),"")</f>
        <v>879348159</v>
      </c>
      <c r="O419" s="53" t="n">
        <f aca="false">IF(OR(NOT(ISNUMBER($C419)),NOT(ISNUMBER($M419)),$M419=0),"",$C419/$M419-1)</f>
        <v>-0.00469894910290936</v>
      </c>
      <c r="P419" s="54"/>
      <c r="Q419" s="53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1089195678</v>
      </c>
      <c r="D420" s="49" t="n">
        <v>1092379935</v>
      </c>
      <c r="E420" s="49" t="n">
        <v>1083208390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0.00685817809485911</v>
      </c>
      <c r="I420" s="52" t="n">
        <f aca="false">IF(AND(ISNUMBER($G420),$G420&gt;=MA_SHORT),AVERAGE(INDEX($C$20:$C420,402-MA_SHORT):$C420),"")</f>
        <v>1054674566.9</v>
      </c>
      <c r="J420" s="52" t="n">
        <f aca="false">IF(AND(ISNUMBER($G420),$G420&gt;=MA_MED),AVERAGE(INDEX($C$20:$C420,402-MA_MED):$C420),"")</f>
        <v>994604446.54</v>
      </c>
      <c r="K420" s="52" t="n">
        <f aca="false">IF(AND(ISNUMBER($G420),$G420&gt;=MA_LONG2),AVERAGE(INDEX($C$20:$C420,402-MA_LONG2):$C420),"")</f>
        <v>929963228.96</v>
      </c>
      <c r="L420" s="53" t="n">
        <f aca="false">IF(AND(ISNUMBER($G420),$G420&gt;=21),STDEV(INDEX($H$360:$H420,62-20):$H420)*SQRT(245),"")</f>
        <v>0.201135055855485</v>
      </c>
      <c r="M420" s="52" t="n">
        <f aca="false">IF(AND(ISNUMBER($G420),$G420&gt;=60),MAX(INDEX($D$220:$D420,202-60):$D420),"")</f>
        <v>1092379935</v>
      </c>
      <c r="N420" s="52" t="n">
        <f aca="false">IF(AND(ISNUMBER($G420),$G420&gt;=60),MIN(INDEX($E$220:$E420,202-60):$E420),"")</f>
        <v>879348159</v>
      </c>
      <c r="O420" s="53" t="n">
        <f aca="false">IF(OR(NOT(ISNUMBER($C420)),NOT(ISNUMBER($M420)),$M420=0),"",$C420/$M420-1)</f>
        <v>-0.0029149720696765</v>
      </c>
      <c r="P420" s="54"/>
      <c r="Q420" s="53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1091280978</v>
      </c>
      <c r="D421" s="49" t="n">
        <v>1091430053</v>
      </c>
      <c r="E421" s="49" t="n">
        <v>1087319124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0.00191453201855252</v>
      </c>
      <c r="I421" s="52" t="n">
        <f aca="false">IF(AND(ISNUMBER($G421),$G421&gt;=MA_SHORT),AVERAGE(INDEX($C$21:$C421,402-MA_SHORT):$C421),"")</f>
        <v>1058123714.05</v>
      </c>
      <c r="J421" s="52" t="n">
        <f aca="false">IF(AND(ISNUMBER($G421),$G421&gt;=MA_MED),AVERAGE(INDEX($C$21:$C421,402-MA_MED):$C421),"")</f>
        <v>997377181.1</v>
      </c>
      <c r="K421" s="52" t="n">
        <f aca="false">IF(AND(ISNUMBER($G421),$G421&gt;=MA_LONG2),AVERAGE(INDEX($C$21:$C421,402-MA_LONG2):$C421),"")</f>
        <v>930881466.82</v>
      </c>
      <c r="L421" s="53" t="n">
        <f aca="false">IF(AND(ISNUMBER($G421),$G421&gt;=21),STDEV(INDEX($H$361:$H421,62-20):$H421)*SQRT(245),"")</f>
        <v>0.197249588607491</v>
      </c>
      <c r="M421" s="52" t="n">
        <f aca="false">IF(AND(ISNUMBER($G421),$G421&gt;=60),MAX(INDEX($D$221:$D421,202-60):$D421),"")</f>
        <v>1092379935</v>
      </c>
      <c r="N421" s="52" t="n">
        <f aca="false">IF(AND(ISNUMBER($G421),$G421&gt;=60),MIN(INDEX($E$221:$E421,202-60):$E421),"")</f>
        <v>879348159</v>
      </c>
      <c r="O421" s="53" t="n">
        <f aca="false">IF(OR(NOT(ISNUMBER($C421)),NOT(ISNUMBER($M421)),$M421=0),"",$C421/$M421-1)</f>
        <v>-0.00100602085848456</v>
      </c>
      <c r="P421" s="54"/>
      <c r="Q421" s="53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1091865375</v>
      </c>
      <c r="D422" s="49" t="n">
        <v>1096586438</v>
      </c>
      <c r="E422" s="49" t="n">
        <v>1090598627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0.000535514694914863</v>
      </c>
      <c r="I422" s="52" t="n">
        <f aca="false">IF(AND(ISNUMBER($G422),$G422&gt;=MA_SHORT),AVERAGE(INDEX($C$22:$C422,402-MA_SHORT):$C422),"")</f>
        <v>1062576001.25</v>
      </c>
      <c r="J422" s="52" t="n">
        <f aca="false">IF(AND(ISNUMBER($G422),$G422&gt;=MA_MED),AVERAGE(INDEX($C$22:$C422,402-MA_MED):$C422),"")</f>
        <v>1000632098.6</v>
      </c>
      <c r="K422" s="52" t="n">
        <f aca="false">IF(AND(ISNUMBER($G422),$G422&gt;=MA_LONG2),AVERAGE(INDEX($C$22:$C422,402-MA_LONG2):$C422),"")</f>
        <v>931773342.55</v>
      </c>
      <c r="L422" s="53" t="n">
        <f aca="false">IF(AND(ISNUMBER($G422),$G422&gt;=21),STDEV(INDEX($H$362:$H422,62-20):$H422)*SQRT(245),"")</f>
        <v>0.179700080756612</v>
      </c>
      <c r="M422" s="52" t="n">
        <f aca="false">IF(AND(ISNUMBER($G422),$G422&gt;=60),MAX(INDEX($D$222:$D422,202-60):$D422),"")</f>
        <v>1096586438</v>
      </c>
      <c r="N422" s="52" t="n">
        <f aca="false">IF(AND(ISNUMBER($G422),$G422&gt;=60),MIN(INDEX($E$222:$E422,202-60):$E422),"")</f>
        <v>879348159</v>
      </c>
      <c r="O422" s="53" t="n">
        <f aca="false">IF(OR(NOT(ISNUMBER($C422)),NOT(ISNUMBER($M422)),$M422=0),"",$C422/$M422-1)</f>
        <v>-0.00430523562612217</v>
      </c>
      <c r="P422" s="54"/>
      <c r="Q422" s="53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1114155075</v>
      </c>
      <c r="D423" s="49" t="n">
        <v>1118874110</v>
      </c>
      <c r="E423" s="49" t="n">
        <v>1108124861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0.0204143299259765</v>
      </c>
      <c r="I423" s="52" t="n">
        <f aca="false">IF(AND(ISNUMBER($G423),$G423&gt;=MA_SHORT),AVERAGE(INDEX($C$23:$C423,402-MA_SHORT):$C423),"")</f>
        <v>1067614033.1</v>
      </c>
      <c r="J423" s="52" t="n">
        <f aca="false">IF(AND(ISNUMBER($G423),$G423&gt;=MA_MED),AVERAGE(INDEX($C$23:$C423,402-MA_MED):$C423),"")</f>
        <v>1004985165.02</v>
      </c>
      <c r="K423" s="52" t="n">
        <f aca="false">IF(AND(ISNUMBER($G423),$G423&gt;=MA_LONG2),AVERAGE(INDEX($C$23:$C423,402-MA_LONG2):$C423),"")</f>
        <v>932790864.74</v>
      </c>
      <c r="L423" s="53" t="n">
        <f aca="false">IF(AND(ISNUMBER($G423),$G423&gt;=21),STDEV(INDEX($H$363:$H423,62-20):$H423)*SQRT(245),"")</f>
        <v>0.187265503879949</v>
      </c>
      <c r="M423" s="52" t="n">
        <f aca="false">IF(AND(ISNUMBER($G423),$G423&gt;=60),MAX(INDEX($D$223:$D423,202-60):$D423),"")</f>
        <v>1118874110</v>
      </c>
      <c r="N423" s="52" t="n">
        <f aca="false">IF(AND(ISNUMBER($G423),$G423&gt;=60),MIN(INDEX($E$223:$E423,202-60):$E423),"")</f>
        <v>879348159</v>
      </c>
      <c r="O423" s="53" t="n">
        <f aca="false">IF(OR(NOT(ISNUMBER($C423)),NOT(ISNUMBER($M423)),$M423=0),"",$C423/$M423-1)</f>
        <v>-0.00421766395148782</v>
      </c>
      <c r="P423" s="54"/>
      <c r="Q423" s="53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1111495347</v>
      </c>
      <c r="D424" s="49" t="n">
        <v>1113554488</v>
      </c>
      <c r="E424" s="49" t="n">
        <v>1110480544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-0.00238721526265095</v>
      </c>
      <c r="I424" s="52" t="n">
        <f aca="false">IF(AND(ISNUMBER($G424),$G424&gt;=MA_SHORT),AVERAGE(INDEX($C$24:$C424,402-MA_SHORT):$C424),"")</f>
        <v>1071458876.85</v>
      </c>
      <c r="J424" s="52" t="n">
        <f aca="false">IF(AND(ISNUMBER($G424),$G424&gt;=MA_MED),AVERAGE(INDEX($C$24:$C424,402-MA_MED):$C424),"")</f>
        <v>1009158503.12</v>
      </c>
      <c r="K424" s="52" t="n">
        <f aca="false">IF(AND(ISNUMBER($G424),$G424&gt;=MA_LONG2),AVERAGE(INDEX($C$24:$C424,402-MA_LONG2):$C424),"")</f>
        <v>933850388.84</v>
      </c>
      <c r="L424" s="53" t="n">
        <f aca="false">IF(AND(ISNUMBER($G424),$G424&gt;=21),STDEV(INDEX($H$364:$H424,62-20):$H424)*SQRT(245),"")</f>
        <v>0.17900578660342</v>
      </c>
      <c r="M424" s="52" t="n">
        <f aca="false">IF(AND(ISNUMBER($G424),$G424&gt;=60),MAX(INDEX($D$224:$D424,202-60):$D424),"")</f>
        <v>1118874110</v>
      </c>
      <c r="N424" s="52" t="n">
        <f aca="false">IF(AND(ISNUMBER($G424),$G424&gt;=60),MIN(INDEX($E$224:$E424,202-60):$E424),"")</f>
        <v>879348159</v>
      </c>
      <c r="O424" s="53" t="n">
        <f aca="false">IF(OR(NOT(ISNUMBER($C424)),NOT(ISNUMBER($M424)),$M424=0),"",$C424/$M424-1)</f>
        <v>-0.006594810742381</v>
      </c>
      <c r="P424" s="54"/>
      <c r="Q424" s="53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1118014343</v>
      </c>
      <c r="D425" s="49" t="n">
        <v>1125689793</v>
      </c>
      <c r="E425" s="49" t="n">
        <v>1114260164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0.0058650681872805</v>
      </c>
      <c r="I425" s="52" t="n">
        <f aca="false">IF(AND(ISNUMBER($G425),$G425&gt;=MA_SHORT),AVERAGE(INDEX($C$25:$C425,402-MA_SHORT):$C425),"")</f>
        <v>1076174000.65</v>
      </c>
      <c r="J425" s="52" t="n">
        <f aca="false">IF(AND(ISNUMBER($G425),$G425&gt;=MA_MED),AVERAGE(INDEX($C$25:$C425,402-MA_MED):$C425),"")</f>
        <v>1013857304.84</v>
      </c>
      <c r="K425" s="52" t="n">
        <f aca="false">IF(AND(ISNUMBER($G425),$G425&gt;=MA_LONG2),AVERAGE(INDEX($C$25:$C425,402-MA_LONG2):$C425),"")</f>
        <v>934898018.365</v>
      </c>
      <c r="L425" s="53" t="n">
        <f aca="false">IF(AND(ISNUMBER($G425),$G425&gt;=21),STDEV(INDEX($H$365:$H425,62-20):$H425)*SQRT(245),"")</f>
        <v>0.171294433599815</v>
      </c>
      <c r="M425" s="52" t="n">
        <f aca="false">IF(AND(ISNUMBER($G425),$G425&gt;=60),MAX(INDEX($D$225:$D425,202-60):$D425),"")</f>
        <v>1125689793</v>
      </c>
      <c r="N425" s="52" t="n">
        <f aca="false">IF(AND(ISNUMBER($G425),$G425&gt;=60),MIN(INDEX($E$225:$E425,202-60):$E425),"")</f>
        <v>879348159</v>
      </c>
      <c r="O425" s="53" t="n">
        <f aca="false">IF(OR(NOT(ISNUMBER($C425)),NOT(ISNUMBER($M425)),$M425=0),"",$C425/$M425-1)</f>
        <v>-0.0068184414993625</v>
      </c>
      <c r="P425" s="54"/>
      <c r="Q425" s="53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1109277800</v>
      </c>
      <c r="D426" s="49" t="n">
        <v>1113092832</v>
      </c>
      <c r="E426" s="49" t="n">
        <v>1104431418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-0.00781433892570371</v>
      </c>
      <c r="I426" s="52" t="n">
        <f aca="false">IF(AND(ISNUMBER($G426),$G426&gt;=MA_SHORT),AVERAGE(INDEX($C$26:$C426,402-MA_SHORT):$C426),"")</f>
        <v>1079913164.35</v>
      </c>
      <c r="J426" s="52" t="n">
        <f aca="false">IF(AND(ISNUMBER($G426),$G426&gt;=MA_MED),AVERAGE(INDEX($C$26:$C426,402-MA_MED):$C426),"")</f>
        <v>1018119504.34</v>
      </c>
      <c r="K426" s="52" t="n">
        <f aca="false">IF(AND(ISNUMBER($G426),$G426&gt;=MA_LONG2),AVERAGE(INDEX($C$26:$C426,402-MA_LONG2):$C426),"")</f>
        <v>936004866.01</v>
      </c>
      <c r="L426" s="53" t="n">
        <f aca="false">IF(AND(ISNUMBER($G426),$G426&gt;=21),STDEV(INDEX($H$366:$H426,62-20):$H426)*SQRT(245),"")</f>
        <v>0.174922460563113</v>
      </c>
      <c r="M426" s="52" t="n">
        <f aca="false">IF(AND(ISNUMBER($G426),$G426&gt;=60),MAX(INDEX($D$226:$D426,202-60):$D426),"")</f>
        <v>1125689793</v>
      </c>
      <c r="N426" s="52" t="n">
        <f aca="false">IF(AND(ISNUMBER($G426),$G426&gt;=60),MIN(INDEX($E$226:$E426,202-60):$E426),"")</f>
        <v>879348159</v>
      </c>
      <c r="O426" s="53" t="n">
        <f aca="false">IF(OR(NOT(ISNUMBER($C426)),NOT(ISNUMBER($M426)),$M426=0),"",$C426/$M426-1)</f>
        <v>-0.0145794988122452</v>
      </c>
      <c r="P426" s="54"/>
      <c r="Q426" s="53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1143312458</v>
      </c>
      <c r="D427" s="49" t="n">
        <v>1147107872</v>
      </c>
      <c r="E427" s="49" t="n">
        <v>1132310241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0.0306818165837268</v>
      </c>
      <c r="I427" s="52" t="n">
        <f aca="false">IF(AND(ISNUMBER($G427),$G427&gt;=MA_SHORT),AVERAGE(INDEX($C$27:$C427,402-MA_SHORT):$C427),"")</f>
        <v>1084678142.4</v>
      </c>
      <c r="J427" s="52" t="n">
        <f aca="false">IF(AND(ISNUMBER($G427),$G427&gt;=MA_MED),AVERAGE(INDEX($C$27:$C427,402-MA_MED):$C427),"")</f>
        <v>1022708338.46</v>
      </c>
      <c r="K427" s="52" t="n">
        <f aca="false">IF(AND(ISNUMBER($G427),$G427&gt;=MA_LONG2),AVERAGE(INDEX($C$27:$C427,402-MA_LONG2):$C427),"")</f>
        <v>937313183.585</v>
      </c>
      <c r="L427" s="53" t="n">
        <f aca="false">IF(AND(ISNUMBER($G427),$G427&gt;=21),STDEV(INDEX($H$367:$H427,62-20):$H427)*SQRT(245),"")</f>
        <v>0.196773105747126</v>
      </c>
      <c r="M427" s="52" t="n">
        <f aca="false">IF(AND(ISNUMBER($G427),$G427&gt;=60),MAX(INDEX($D$227:$D427,202-60):$D427),"")</f>
        <v>1147107872</v>
      </c>
      <c r="N427" s="52" t="n">
        <f aca="false">IF(AND(ISNUMBER($G427),$G427&gt;=60),MIN(INDEX($E$227:$E427,202-60):$E427),"")</f>
        <v>879348159</v>
      </c>
      <c r="O427" s="53" t="n">
        <f aca="false">IF(OR(NOT(ISNUMBER($C427)),NOT(ISNUMBER($M427)),$M427=0),"",$C427/$M427-1)</f>
        <v>-0.00330868098166093</v>
      </c>
      <c r="P427" s="54"/>
      <c r="Q427" s="53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1123920280</v>
      </c>
      <c r="D428" s="49" t="n">
        <v>1124647575</v>
      </c>
      <c r="E428" s="49" t="n">
        <v>1123129067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-0.0169613983161898</v>
      </c>
      <c r="I428" s="52" t="n">
        <f aca="false">IF(AND(ISNUMBER($G428),$G428&gt;=MA_SHORT),AVERAGE(INDEX($C$28:$C428,402-MA_SHORT):$C428),"")</f>
        <v>1088203230.4</v>
      </c>
      <c r="J428" s="52" t="n">
        <f aca="false">IF(AND(ISNUMBER($G428),$G428&gt;=MA_MED),AVERAGE(INDEX($C$28:$C428,402-MA_MED):$C428),"")</f>
        <v>1026892715.84</v>
      </c>
      <c r="K428" s="52" t="n">
        <f aca="false">IF(AND(ISNUMBER($G428),$G428&gt;=MA_LONG2),AVERAGE(INDEX($C$28:$C428,402-MA_LONG2):$C428),"")</f>
        <v>938626421.86</v>
      </c>
      <c r="L428" s="53" t="n">
        <f aca="false">IF(AND(ISNUMBER($G428),$G428&gt;=21),STDEV(INDEX($H$368:$H428,62-20):$H428)*SQRT(245),"")</f>
        <v>0.210478729289498</v>
      </c>
      <c r="M428" s="52" t="n">
        <f aca="false">IF(AND(ISNUMBER($G428),$G428&gt;=60),MAX(INDEX($D$228:$D428,202-60):$D428),"")</f>
        <v>1147107872</v>
      </c>
      <c r="N428" s="52" t="n">
        <f aca="false">IF(AND(ISNUMBER($G428),$G428&gt;=60),MIN(INDEX($E$228:$E428,202-60):$E428),"")</f>
        <v>879348159</v>
      </c>
      <c r="O428" s="53" t="n">
        <f aca="false">IF(OR(NOT(ISNUMBER($C428)),NOT(ISNUMBER($M428)),$M428=0),"",$C428/$M428-1)</f>
        <v>-0.0202139594418196</v>
      </c>
      <c r="P428" s="54"/>
      <c r="Q428" s="53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1130186660</v>
      </c>
      <c r="D429" s="49" t="n">
        <v>1133180024</v>
      </c>
      <c r="E429" s="49" t="n">
        <v>1125153146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0.00557546661583497</v>
      </c>
      <c r="I429" s="52" t="n">
        <f aca="false">IF(AND(ISNUMBER($G429),$G429&gt;=MA_SHORT),AVERAGE(INDEX($C$29:$C429,402-MA_SHORT):$C429),"")</f>
        <v>1091833594.35</v>
      </c>
      <c r="J429" s="52" t="n">
        <f aca="false">IF(AND(ISNUMBER($G429),$G429&gt;=MA_MED),AVERAGE(INDEX($C$29:$C429,402-MA_MED):$C429),"")</f>
        <v>1030999867.5</v>
      </c>
      <c r="K429" s="52" t="n">
        <f aca="false">IF(AND(ISNUMBER($G429),$G429&gt;=MA_LONG2),AVERAGE(INDEX($C$29:$C429,402-MA_LONG2):$C429),"")</f>
        <v>939919062.39</v>
      </c>
      <c r="L429" s="53" t="n">
        <f aca="false">IF(AND(ISNUMBER($G429),$G429&gt;=21),STDEV(INDEX($H$369:$H429,62-20):$H429)*SQRT(245),"")</f>
        <v>0.210617318123367</v>
      </c>
      <c r="M429" s="52" t="n">
        <f aca="false">IF(AND(ISNUMBER($G429),$G429&gt;=60),MAX(INDEX($D$229:$D429,202-60):$D429),"")</f>
        <v>1147107872</v>
      </c>
      <c r="N429" s="52" t="n">
        <f aca="false">IF(AND(ISNUMBER($G429),$G429&gt;=60),MIN(INDEX($E$229:$E429,202-60):$E429),"")</f>
        <v>879348159</v>
      </c>
      <c r="O429" s="53" t="n">
        <f aca="false">IF(OR(NOT(ISNUMBER($C429)),NOT(ISNUMBER($M429)),$M429=0),"",$C429/$M429-1)</f>
        <v>-0.0147511950820263</v>
      </c>
      <c r="P429" s="54"/>
      <c r="Q429" s="53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1128940848</v>
      </c>
      <c r="D430" s="49" t="n">
        <v>1133756952</v>
      </c>
      <c r="E430" s="49" t="n">
        <v>1128138078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-0.00110230641016418</v>
      </c>
      <c r="I430" s="52" t="n">
        <f aca="false">IF(AND(ISNUMBER($G430),$G430&gt;=MA_SHORT),AVERAGE(INDEX($C$30:$C430,402-MA_SHORT):$C430),"")</f>
        <v>1094657327.6</v>
      </c>
      <c r="J430" s="52" t="n">
        <f aca="false">IF(AND(ISNUMBER($G430),$G430&gt;=MA_MED),AVERAGE(INDEX($C$30:$C430,402-MA_MED):$C430),"")</f>
        <v>1034993605.88</v>
      </c>
      <c r="K430" s="52" t="n">
        <f aca="false">IF(AND(ISNUMBER($G430),$G430&gt;=MA_LONG2),AVERAGE(INDEX($C$30:$C430,402-MA_LONG2):$C430),"")</f>
        <v>941278819.725</v>
      </c>
      <c r="L430" s="53" t="n">
        <f aca="false">IF(AND(ISNUMBER($G430),$G430&gt;=21),STDEV(INDEX($H$370:$H430,62-20):$H430)*SQRT(245),"")</f>
        <v>0.20738158913882</v>
      </c>
      <c r="M430" s="52" t="n">
        <f aca="false">IF(AND(ISNUMBER($G430),$G430&gt;=60),MAX(INDEX($D$230:$D430,202-60):$D430),"")</f>
        <v>1147107872</v>
      </c>
      <c r="N430" s="52" t="n">
        <f aca="false">IF(AND(ISNUMBER($G430),$G430&gt;=60),MIN(INDEX($E$230:$E430,202-60):$E430),"")</f>
        <v>879348159</v>
      </c>
      <c r="O430" s="53" t="n">
        <f aca="false">IF(OR(NOT(ISNUMBER($C430)),NOT(ISNUMBER($M430)),$M430=0),"",$C430/$M430-1)</f>
        <v>-0.0158372411552939</v>
      </c>
      <c r="P430" s="54"/>
      <c r="Q430" s="53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1136530567</v>
      </c>
      <c r="D431" s="49" t="n">
        <v>1138831227</v>
      </c>
      <c r="E431" s="49" t="n">
        <v>1129651771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0.00672286684767021</v>
      </c>
      <c r="I431" s="52" t="n">
        <f aca="false">IF(AND(ISNUMBER($G431),$G431&gt;=MA_SHORT),AVERAGE(INDEX($C$31:$C431,402-MA_SHORT):$C431),"")</f>
        <v>1098061581.3</v>
      </c>
      <c r="J431" s="52" t="n">
        <f aca="false">IF(AND(ISNUMBER($G431),$G431&gt;=MA_MED),AVERAGE(INDEX($C$31:$C431,402-MA_MED):$C431),"")</f>
        <v>1038822011.92</v>
      </c>
      <c r="K431" s="52" t="n">
        <f aca="false">IF(AND(ISNUMBER($G431),$G431&gt;=MA_LONG2),AVERAGE(INDEX($C$31:$C431,402-MA_LONG2):$C431),"")</f>
        <v>942621860.435</v>
      </c>
      <c r="L431" s="53" t="n">
        <f aca="false">IF(AND(ISNUMBER($G431),$G431&gt;=21),STDEV(INDEX($H$371:$H431,62-20):$H431)*SQRT(245),"")</f>
        <v>0.206450204974692</v>
      </c>
      <c r="M431" s="52" t="n">
        <f aca="false">IF(AND(ISNUMBER($G431),$G431&gt;=60),MAX(INDEX($D$231:$D431,202-60):$D431),"")</f>
        <v>1147107872</v>
      </c>
      <c r="N431" s="52" t="n">
        <f aca="false">IF(AND(ISNUMBER($G431),$G431&gt;=60),MIN(INDEX($E$231:$E431,202-60):$E431),"")</f>
        <v>879348159</v>
      </c>
      <c r="O431" s="53" t="n">
        <f aca="false">IF(OR(NOT(ISNUMBER($C431)),NOT(ISNUMBER($M431)),$M431=0),"",$C431/$M431-1)</f>
        <v>-0.00922084597114503</v>
      </c>
      <c r="P431" s="54"/>
      <c r="Q431" s="53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1122094972</v>
      </c>
      <c r="D432" s="49" t="n">
        <v>1129469932</v>
      </c>
      <c r="E432" s="49" t="n">
        <v>1113208042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-0.0127014577690633</v>
      </c>
      <c r="I432" s="52" t="n">
        <f aca="false">IF(AND(ISNUMBER($G432),$G432&gt;=MA_SHORT),AVERAGE(INDEX($C$32:$C432,402-MA_SHORT):$C432),"")</f>
        <v>1100001239.9</v>
      </c>
      <c r="J432" s="52" t="n">
        <f aca="false">IF(AND(ISNUMBER($G432),$G432&gt;=MA_MED),AVERAGE(INDEX($C$32:$C432,402-MA_MED):$C432),"")</f>
        <v>1042138756.3</v>
      </c>
      <c r="K432" s="52" t="n">
        <f aca="false">IF(AND(ISNUMBER($G432),$G432&gt;=MA_LONG2),AVERAGE(INDEX($C$32:$C432,402-MA_LONG2):$C432),"")</f>
        <v>943843766.745</v>
      </c>
      <c r="L432" s="53" t="n">
        <f aca="false">IF(AND(ISNUMBER($G432),$G432&gt;=21),STDEV(INDEX($H$372:$H432,62-20):$H432)*SQRT(245),"")</f>
        <v>0.209598900577665</v>
      </c>
      <c r="M432" s="52" t="n">
        <f aca="false">IF(AND(ISNUMBER($G432),$G432&gt;=60),MAX(INDEX($D$232:$D432,202-60):$D432),"")</f>
        <v>1147107872</v>
      </c>
      <c r="N432" s="52" t="n">
        <f aca="false">IF(AND(ISNUMBER($G432),$G432&gt;=60),MIN(INDEX($E$232:$E432,202-60):$E432),"")</f>
        <v>879348159</v>
      </c>
      <c r="O432" s="53" t="n">
        <f aca="false">IF(OR(NOT(ISNUMBER($C432)),NOT(ISNUMBER($M432)),$M432=0),"",$C432/$M432-1)</f>
        <v>-0.0218051855545108</v>
      </c>
      <c r="P432" s="54"/>
      <c r="Q432" s="53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1106814028</v>
      </c>
      <c r="D433" s="49" t="n">
        <v>1111961328</v>
      </c>
      <c r="E433" s="49" t="n">
        <v>1098777700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-0.0136182269605607</v>
      </c>
      <c r="I433" s="52" t="n">
        <f aca="false">IF(AND(ISNUMBER($G433),$G433&gt;=MA_SHORT),AVERAGE(INDEX($C$33:$C433,402-MA_SHORT):$C433),"")</f>
        <v>1102012125.45</v>
      </c>
      <c r="J433" s="52" t="n">
        <f aca="false">IF(AND(ISNUMBER($G433),$G433&gt;=MA_MED),AVERAGE(INDEX($C$33:$C433,402-MA_MED):$C433),"")</f>
        <v>1044671859.66</v>
      </c>
      <c r="K433" s="52" t="n">
        <f aca="false">IF(AND(ISNUMBER($G433),$G433&gt;=MA_LONG2),AVERAGE(INDEX($C$33:$C433,402-MA_LONG2):$C433),"")</f>
        <v>944973778.01</v>
      </c>
      <c r="L433" s="53" t="n">
        <f aca="false">IF(AND(ISNUMBER($G433),$G433&gt;=21),STDEV(INDEX($H$373:$H433,62-20):$H433)*SQRT(245),"")</f>
        <v>0.207771001304876</v>
      </c>
      <c r="M433" s="52" t="n">
        <f aca="false">IF(AND(ISNUMBER($G433),$G433&gt;=60),MAX(INDEX($D$233:$D433,202-60):$D433),"")</f>
        <v>1147107872</v>
      </c>
      <c r="N433" s="52" t="n">
        <f aca="false">IF(AND(ISNUMBER($G433),$G433&gt;=60),MIN(INDEX($E$233:$E433,202-60):$E433),"")</f>
        <v>879348159</v>
      </c>
      <c r="O433" s="53" t="n">
        <f aca="false">IF(OR(NOT(ISNUMBER($C433)),NOT(ISNUMBER($M433)),$M433=0),"",$C433/$M433-1)</f>
        <v>-0.035126464549273</v>
      </c>
      <c r="P433" s="54"/>
      <c r="Q433" s="53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1096577074</v>
      </c>
      <c r="D434" s="49" t="n">
        <v>1097650152</v>
      </c>
      <c r="E434" s="49" t="n">
        <v>1096505916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-0.00924902805803618</v>
      </c>
      <c r="I434" s="52" t="n">
        <f aca="false">IF(AND(ISNUMBER($G434),$G434&gt;=MA_SHORT),AVERAGE(INDEX($C$34:$C434,402-MA_SHORT):$C434),"")</f>
        <v>1102599059.7</v>
      </c>
      <c r="J434" s="52" t="n">
        <f aca="false">IF(AND(ISNUMBER($G434),$G434&gt;=MA_MED),AVERAGE(INDEX($C$34:$C434,402-MA_MED):$C434),"")</f>
        <v>1046961688.82</v>
      </c>
      <c r="K434" s="52" t="n">
        <f aca="false">IF(AND(ISNUMBER($G434),$G434&gt;=MA_LONG2),AVERAGE(INDEX($C$34:$C434,402-MA_LONG2):$C434),"")</f>
        <v>946080942.195</v>
      </c>
      <c r="L434" s="53" t="n">
        <f aca="false">IF(AND(ISNUMBER($G434),$G434&gt;=21),STDEV(INDEX($H$374:$H434,62-20):$H434)*SQRT(245),"")</f>
        <v>0.203390721369038</v>
      </c>
      <c r="M434" s="52" t="n">
        <f aca="false">IF(AND(ISNUMBER($G434),$G434&gt;=60),MAX(INDEX($D$234:$D434,202-60):$D434),"")</f>
        <v>1147107872</v>
      </c>
      <c r="N434" s="52" t="n">
        <f aca="false">IF(AND(ISNUMBER($G434),$G434&gt;=60),MIN(INDEX($E$234:$E434,202-60):$E434),"")</f>
        <v>879348159</v>
      </c>
      <c r="O434" s="53" t="n">
        <f aca="false">IF(OR(NOT(ISNUMBER($C434)),NOT(ISNUMBER($M434)),$M434=0),"",$C434/$M434-1)</f>
        <v>-0.0440506069511133</v>
      </c>
      <c r="P434" s="54"/>
      <c r="Q434" s="53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1071536774</v>
      </c>
      <c r="D435" s="49" t="n">
        <v>1074501039</v>
      </c>
      <c r="E435" s="49" t="n">
        <v>1064743806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-0.0228349658165478</v>
      </c>
      <c r="I435" s="52" t="n">
        <f aca="false">IF(AND(ISNUMBER($G435),$G435&gt;=MA_SHORT),AVERAGE(INDEX($C$35:$C435,402-MA_SHORT):$C435),"")</f>
        <v>1102881733.95</v>
      </c>
      <c r="J435" s="52" t="n">
        <f aca="false">IF(AND(ISNUMBER($G435),$G435&gt;=MA_MED),AVERAGE(INDEX($C$35:$C435,402-MA_MED):$C435),"")</f>
        <v>1048595166.58</v>
      </c>
      <c r="K435" s="52" t="n">
        <f aca="false">IF(AND(ISNUMBER($G435),$G435&gt;=MA_LONG2),AVERAGE(INDEX($C$35:$C435,402-MA_LONG2):$C435),"")</f>
        <v>947083945.635</v>
      </c>
      <c r="L435" s="53" t="n">
        <f aca="false">IF(AND(ISNUMBER($G435),$G435&gt;=21),STDEV(INDEX($H$375:$H435,62-20):$H435)*SQRT(245),"")</f>
        <v>0.210289767015312</v>
      </c>
      <c r="M435" s="52" t="n">
        <f aca="false">IF(AND(ISNUMBER($G435),$G435&gt;=60),MAX(INDEX($D$235:$D435,202-60):$D435),"")</f>
        <v>1147107872</v>
      </c>
      <c r="N435" s="52" t="n">
        <f aca="false">IF(AND(ISNUMBER($G435),$G435&gt;=60),MIN(INDEX($E$235:$E435,202-60):$E435),"")</f>
        <v>891520257</v>
      </c>
      <c r="O435" s="53" t="n">
        <f aca="false">IF(OR(NOT(ISNUMBER($C435)),NOT(ISNUMBER($M435)),$M435=0),"",$C435/$M435-1)</f>
        <v>-0.0658796786637342</v>
      </c>
      <c r="P435" s="54"/>
      <c r="Q435" s="53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1086361728</v>
      </c>
      <c r="D436" s="49" t="n">
        <v>1090231726</v>
      </c>
      <c r="E436" s="49" t="n">
        <v>1085012236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0.0138352265267192</v>
      </c>
      <c r="I436" s="52" t="n">
        <f aca="false">IF(AND(ISNUMBER($G436),$G436&gt;=MA_SHORT),AVERAGE(INDEX($C$36:$C436,402-MA_SHORT):$C436),"")</f>
        <v>1104731333.7</v>
      </c>
      <c r="J436" s="52" t="n">
        <f aca="false">IF(AND(ISNUMBER($G436),$G436&gt;=MA_MED),AVERAGE(INDEX($C$36:$C436,402-MA_MED):$C436),"")</f>
        <v>1050998096.98</v>
      </c>
      <c r="K436" s="52" t="n">
        <f aca="false">IF(AND(ISNUMBER($G436),$G436&gt;=MA_LONG2),AVERAGE(INDEX($C$36:$C436,402-MA_LONG2):$C436),"")</f>
        <v>948182738.12</v>
      </c>
      <c r="L436" s="53" t="n">
        <f aca="false">IF(AND(ISNUMBER($G436),$G436&gt;=21),STDEV(INDEX($H$376:$H436,62-20):$H436)*SQRT(245),"")</f>
        <v>0.2068226268566</v>
      </c>
      <c r="M436" s="52" t="n">
        <f aca="false">IF(AND(ISNUMBER($G436),$G436&gt;=60),MAX(INDEX($D$236:$D436,202-60):$D436),"")</f>
        <v>1147107872</v>
      </c>
      <c r="N436" s="52" t="n">
        <f aca="false">IF(AND(ISNUMBER($G436),$G436&gt;=60),MIN(INDEX($E$236:$E436,202-60):$E436),"")</f>
        <v>910601825</v>
      </c>
      <c r="O436" s="53" t="n">
        <f aca="false">IF(OR(NOT(ISNUMBER($C436)),NOT(ISNUMBER($M436)),$M436=0),"",$C436/$M436-1)</f>
        <v>-0.0529559124148352</v>
      </c>
      <c r="P436" s="54"/>
      <c r="Q436" s="53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1080899044</v>
      </c>
      <c r="D437" s="49" t="n">
        <v>1083309959</v>
      </c>
      <c r="E437" s="49" t="n">
        <v>1069956686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-0.00502842088339839</v>
      </c>
      <c r="I437" s="52" t="n">
        <f aca="false">IF(AND(ISNUMBER($G437),$G437&gt;=MA_SHORT),AVERAGE(INDEX($C$37:$C437,402-MA_SHORT):$C437),"")</f>
        <v>1105551399.2</v>
      </c>
      <c r="J437" s="52" t="n">
        <f aca="false">IF(AND(ISNUMBER($G437),$G437&gt;=MA_MED),AVERAGE(INDEX($C$37:$C437,402-MA_MED):$C437),"")</f>
        <v>1053415997.66</v>
      </c>
      <c r="K437" s="52" t="n">
        <f aca="false">IF(AND(ISNUMBER($G437),$G437&gt;=MA_LONG2),AVERAGE(INDEX($C$37:$C437,402-MA_LONG2):$C437),"")</f>
        <v>949251001.615</v>
      </c>
      <c r="L437" s="53" t="n">
        <f aca="false">IF(AND(ISNUMBER($G437),$G437&gt;=21),STDEV(INDEX($H$377:$H437,62-20):$H437)*SQRT(245),"")</f>
        <v>0.202703872119125</v>
      </c>
      <c r="M437" s="52" t="n">
        <f aca="false">IF(AND(ISNUMBER($G437),$G437&gt;=60),MAX(INDEX($D$237:$D437,202-60):$D437),"")</f>
        <v>1147107872</v>
      </c>
      <c r="N437" s="52" t="n">
        <f aca="false">IF(AND(ISNUMBER($G437),$G437&gt;=60),MIN(INDEX($E$237:$E437,202-60):$E437),"")</f>
        <v>910601825</v>
      </c>
      <c r="O437" s="53" t="n">
        <f aca="false">IF(OR(NOT(ISNUMBER($C437)),NOT(ISNUMBER($M437)),$M437=0),"",$C437/$M437-1)</f>
        <v>-0.0577180486823474</v>
      </c>
      <c r="P437" s="54"/>
      <c r="Q437" s="53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1081726399</v>
      </c>
      <c r="D438" s="49" t="n">
        <v>1087949488</v>
      </c>
      <c r="E438" s="49" t="n">
        <v>1077735382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0.000765432261775612</v>
      </c>
      <c r="I438" s="52" t="n">
        <f aca="false">IF(AND(ISNUMBER($G438),$G438&gt;=MA_SHORT),AVERAGE(INDEX($C$38:$C438,402-MA_SHORT):$C438),"")</f>
        <v>1105798104.45</v>
      </c>
      <c r="J438" s="52" t="n">
        <f aca="false">IF(AND(ISNUMBER($G438),$G438&gt;=MA_MED),AVERAGE(INDEX($C$38:$C438,402-MA_MED):$C438),"")</f>
        <v>1056044355.4</v>
      </c>
      <c r="K438" s="52" t="n">
        <f aca="false">IF(AND(ISNUMBER($G438),$G438&gt;=MA_LONG2),AVERAGE(INDEX($C$38:$C438,402-MA_LONG2):$C438),"")</f>
        <v>950258872.345</v>
      </c>
      <c r="L438" s="53" t="n">
        <f aca="false">IF(AND(ISNUMBER($G438),$G438&gt;=21),STDEV(INDEX($H$378:$H438,62-20):$H438)*SQRT(245),"")</f>
        <v>0.198836972152661</v>
      </c>
      <c r="M438" s="52" t="n">
        <f aca="false">IF(AND(ISNUMBER($G438),$G438&gt;=60),MAX(INDEX($D$238:$D438,202-60):$D438),"")</f>
        <v>1147107872</v>
      </c>
      <c r="N438" s="52" t="n">
        <f aca="false">IF(AND(ISNUMBER($G438),$G438&gt;=60),MIN(INDEX($E$238:$E438,202-60):$E438),"")</f>
        <v>921301978</v>
      </c>
      <c r="O438" s="53" t="n">
        <f aca="false">IF(OR(NOT(ISNUMBER($C438)),NOT(ISNUMBER($M438)),$M438=0),"",$C438/$M438-1)</f>
        <v>-0.05699679567712</v>
      </c>
      <c r="P438" s="54"/>
      <c r="Q438" s="53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1088504029</v>
      </c>
      <c r="D439" s="49" t="n">
        <v>1092280616</v>
      </c>
      <c r="E439" s="49" t="n">
        <v>1084752436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0.00626556771311626</v>
      </c>
      <c r="I439" s="52" t="n">
        <f aca="false">IF(AND(ISNUMBER($G439),$G439&gt;=MA_SHORT),AVERAGE(INDEX($C$39:$C439,402-MA_SHORT):$C439),"")</f>
        <v>1106134472.85</v>
      </c>
      <c r="J439" s="52" t="n">
        <f aca="false">IF(AND(ISNUMBER($G439),$G439&gt;=MA_MED),AVERAGE(INDEX($C$39:$C439,402-MA_MED):$C439),"")</f>
        <v>1058357457.18</v>
      </c>
      <c r="K439" s="52" t="n">
        <f aca="false">IF(AND(ISNUMBER($G439),$G439&gt;=MA_LONG2),AVERAGE(INDEX($C$39:$C439,402-MA_LONG2):$C439),"")</f>
        <v>951302217.065</v>
      </c>
      <c r="L439" s="53" t="n">
        <f aca="false">IF(AND(ISNUMBER($G439),$G439&gt;=21),STDEV(INDEX($H$379:$H439,62-20):$H439)*SQRT(245),"")</f>
        <v>0.19937768605139</v>
      </c>
      <c r="M439" s="52" t="n">
        <f aca="false">IF(AND(ISNUMBER($G439),$G439&gt;=60),MAX(INDEX($D$239:$D439,202-60):$D439),"")</f>
        <v>1147107872</v>
      </c>
      <c r="N439" s="52" t="n">
        <f aca="false">IF(AND(ISNUMBER($G439),$G439&gt;=60),MIN(INDEX($E$239:$E439,202-60):$E439),"")</f>
        <v>921301978</v>
      </c>
      <c r="O439" s="53" t="n">
        <f aca="false">IF(OR(NOT(ISNUMBER($C439)),NOT(ISNUMBER($M439)),$M439=0),"",$C439/$M439-1)</f>
        <v>-0.0510883452467494</v>
      </c>
      <c r="P439" s="54"/>
      <c r="Q439" s="53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1082758881</v>
      </c>
      <c r="D440" s="49" t="n">
        <v>1091463213</v>
      </c>
      <c r="E440" s="49" t="n">
        <v>1082281235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-0.00527802180509884</v>
      </c>
      <c r="I440" s="52" t="n">
        <f aca="false">IF(AND(ISNUMBER($G440),$G440&gt;=MA_SHORT),AVERAGE(INDEX($C$40:$C440,402-MA_SHORT):$C440),"")</f>
        <v>1105812633</v>
      </c>
      <c r="J440" s="52" t="n">
        <f aca="false">IF(AND(ISNUMBER($G440),$G440&gt;=MA_MED),AVERAGE(INDEX($C$40:$C440,402-MA_MED):$C440),"")</f>
        <v>1060448642.64</v>
      </c>
      <c r="K440" s="52" t="n">
        <f aca="false">IF(AND(ISNUMBER($G440),$G440&gt;=MA_LONG2),AVERAGE(INDEX($C$40:$C440,402-MA_LONG2):$C440),"")</f>
        <v>952268959.585</v>
      </c>
      <c r="L440" s="53" t="n">
        <f aca="false">IF(AND(ISNUMBER($G440),$G440&gt;=21),STDEV(INDEX($H$380:$H440,62-20):$H440)*SQRT(245),"")</f>
        <v>0.198822256426507</v>
      </c>
      <c r="M440" s="52" t="n">
        <f aca="false">IF(AND(ISNUMBER($G440),$G440&gt;=60),MAX(INDEX($D$240:$D440,202-60):$D440),"")</f>
        <v>1147107872</v>
      </c>
      <c r="N440" s="52" t="n">
        <f aca="false">IF(AND(ISNUMBER($G440),$G440&gt;=60),MIN(INDEX($E$240:$E440,202-60):$E440),"")</f>
        <v>935902491</v>
      </c>
      <c r="O440" s="53" t="n">
        <f aca="false">IF(OR(NOT(ISNUMBER($C440)),NOT(ISNUMBER($M440)),$M440=0),"",$C440/$M440-1)</f>
        <v>-0.0560967216516495</v>
      </c>
      <c r="P440" s="54"/>
      <c r="Q440" s="53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1097952779</v>
      </c>
      <c r="D441" s="49" t="n">
        <v>1102622836</v>
      </c>
      <c r="E441" s="49" t="n">
        <v>1094348656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0.0140325775817858</v>
      </c>
      <c r="I441" s="52" t="n">
        <f aca="false">IF(AND(ISNUMBER($G441),$G441&gt;=MA_SHORT),AVERAGE(INDEX($C$41:$C441,402-MA_SHORT):$C441),"")</f>
        <v>1106146223.05</v>
      </c>
      <c r="J441" s="52" t="n">
        <f aca="false">IF(AND(ISNUMBER($G441),$G441&gt;=MA_MED),AVERAGE(INDEX($C$41:$C441,402-MA_MED):$C441),"")</f>
        <v>1062866936.1</v>
      </c>
      <c r="K441" s="52" t="n">
        <f aca="false">IF(AND(ISNUMBER($G441),$G441&gt;=MA_LONG2),AVERAGE(INDEX($C$41:$C441,402-MA_LONG2):$C441),"")</f>
        <v>953283496.625</v>
      </c>
      <c r="L441" s="53" t="n">
        <f aca="false">IF(AND(ISNUMBER($G441),$G441&gt;=21),STDEV(INDEX($H$381:$H441,62-20):$H441)*SQRT(245),"")</f>
        <v>0.204929838157388</v>
      </c>
      <c r="M441" s="52" t="n">
        <f aca="false">IF(AND(ISNUMBER($G441),$G441&gt;=60),MAX(INDEX($D$241:$D441,202-60):$D441),"")</f>
        <v>1147107872</v>
      </c>
      <c r="N441" s="52" t="n">
        <f aca="false">IF(AND(ISNUMBER($G441),$G441&gt;=60),MIN(INDEX($E$241:$E441,202-60):$E441),"")</f>
        <v>935902491</v>
      </c>
      <c r="O441" s="53" t="n">
        <f aca="false">IF(OR(NOT(ISNUMBER($C441)),NOT(ISNUMBER($M441)),$M441=0),"",$C441/$M441-1)</f>
        <v>-0.0428513256685245</v>
      </c>
      <c r="P441" s="54"/>
      <c r="Q441" s="53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1097508085</v>
      </c>
      <c r="D442" s="49" t="n">
        <v>1097994430</v>
      </c>
      <c r="E442" s="49" t="n">
        <v>1093599735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-0.000405021061474997</v>
      </c>
      <c r="I442" s="52" t="n">
        <f aca="false">IF(AND(ISNUMBER($G442),$G442&gt;=MA_SHORT),AVERAGE(INDEX($C$42:$C442,402-MA_SHORT):$C442),"")</f>
        <v>1106428358.55</v>
      </c>
      <c r="J442" s="52" t="n">
        <f aca="false">IF(AND(ISNUMBER($G442),$G442&gt;=MA_MED),AVERAGE(INDEX($C$42:$C442,402-MA_MED):$C442),"")</f>
        <v>1065359647.5</v>
      </c>
      <c r="K442" s="52" t="n">
        <f aca="false">IF(AND(ISNUMBER($G442),$G442&gt;=MA_LONG2),AVERAGE(INDEX($C$42:$C442,402-MA_LONG2):$C442),"")</f>
        <v>954320529.66</v>
      </c>
      <c r="L442" s="53" t="n">
        <f aca="false">IF(AND(ISNUMBER($G442),$G442&gt;=21),STDEV(INDEX($H$382:$H442,62-20):$H442)*SQRT(245),"")</f>
        <v>0.204947423885041</v>
      </c>
      <c r="M442" s="52" t="n">
        <f aca="false">IF(AND(ISNUMBER($G442),$G442&gt;=60),MAX(INDEX($D$242:$D442,202-60):$D442),"")</f>
        <v>1147107872</v>
      </c>
      <c r="N442" s="52" t="n">
        <f aca="false">IF(AND(ISNUMBER($G442),$G442&gt;=60),MIN(INDEX($E$242:$E442,202-60):$E442),"")</f>
        <v>935902491</v>
      </c>
      <c r="O442" s="53" t="n">
        <f aca="false">IF(OR(NOT(ISNUMBER($C442)),NOT(ISNUMBER($M442)),$M442=0),"",$C442/$M442-1)</f>
        <v>-0.0432389910405915</v>
      </c>
      <c r="P442" s="54"/>
      <c r="Q442" s="53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1059992052</v>
      </c>
      <c r="D443" s="49" t="n">
        <v>1063088398</v>
      </c>
      <c r="E443" s="49" t="n">
        <v>1058038452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-0.034182921759524</v>
      </c>
      <c r="I443" s="52" t="n">
        <f aca="false">IF(AND(ISNUMBER($G443),$G443&gt;=MA_SHORT),AVERAGE(INDEX($C$43:$C443,402-MA_SHORT):$C443),"")</f>
        <v>1103720207.4</v>
      </c>
      <c r="J443" s="52" t="n">
        <f aca="false">IF(AND(ISNUMBER($G443),$G443&gt;=MA_MED),AVERAGE(INDEX($C$43:$C443,402-MA_MED):$C443),"")</f>
        <v>1067730531.5</v>
      </c>
      <c r="K443" s="52" t="n">
        <f aca="false">IF(AND(ISNUMBER($G443),$G443&gt;=MA_LONG2),AVERAGE(INDEX($C$43:$C443,402-MA_LONG2):$C443),"")</f>
        <v>955157973.835</v>
      </c>
      <c r="L443" s="53" t="n">
        <f aca="false">IF(AND(ISNUMBER($G443),$G443&gt;=21),STDEV(INDEX($H$383:$H443,62-20):$H443)*SQRT(245),"")</f>
        <v>0.224169759639757</v>
      </c>
      <c r="M443" s="52" t="n">
        <f aca="false">IF(AND(ISNUMBER($G443),$G443&gt;=60),MAX(INDEX($D$243:$D443,202-60):$D443),"")</f>
        <v>1147107872</v>
      </c>
      <c r="N443" s="52" t="n">
        <f aca="false">IF(AND(ISNUMBER($G443),$G443&gt;=60),MIN(INDEX($E$243:$E443,202-60):$E443),"")</f>
        <v>935902491</v>
      </c>
      <c r="O443" s="53" t="n">
        <f aca="false">IF(OR(NOT(ISNUMBER($C443)),NOT(ISNUMBER($M443)),$M443=0),"",$C443/$M443-1)</f>
        <v>-0.0759438777524142</v>
      </c>
      <c r="P443" s="54"/>
      <c r="Q443" s="53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1069095452</v>
      </c>
      <c r="D444" s="49" t="n">
        <v>1071832461</v>
      </c>
      <c r="E444" s="49" t="n">
        <v>1067006279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0.00858817760267505</v>
      </c>
      <c r="I444" s="52" t="n">
        <f aca="false">IF(AND(ISNUMBER($G444),$G444&gt;=MA_SHORT),AVERAGE(INDEX($C$44:$C444,402-MA_SHORT):$C444),"")</f>
        <v>1101600212.65</v>
      </c>
      <c r="J444" s="52" t="n">
        <f aca="false">IF(AND(ISNUMBER($G444),$G444&gt;=MA_MED),AVERAGE(INDEX($C$44:$C444,402-MA_MED):$C444),"")</f>
        <v>1069886257.14</v>
      </c>
      <c r="K444" s="52" t="n">
        <f aca="false">IF(AND(ISNUMBER($G444),$G444&gt;=MA_LONG2),AVERAGE(INDEX($C$44:$C444,402-MA_LONG2):$C444),"")</f>
        <v>956146089.26</v>
      </c>
      <c r="L444" s="53" t="n">
        <f aca="false">IF(AND(ISNUMBER($G444),$G444&gt;=21),STDEV(INDEX($H$384:$H444,62-20):$H444)*SQRT(245),"")</f>
        <v>0.227439592646916</v>
      </c>
      <c r="M444" s="52" t="n">
        <f aca="false">IF(AND(ISNUMBER($G444),$G444&gt;=60),MAX(INDEX($D$244:$D444,202-60):$D444),"")</f>
        <v>1147107872</v>
      </c>
      <c r="N444" s="52" t="n">
        <f aca="false">IF(AND(ISNUMBER($G444),$G444&gt;=60),MIN(INDEX($E$244:$E444,202-60):$E444),"")</f>
        <v>935902491</v>
      </c>
      <c r="O444" s="53" t="n">
        <f aca="false">IF(OR(NOT(ISNUMBER($C444)),NOT(ISNUMBER($M444)),$M444=0),"",$C444/$M444-1)</f>
        <v>-0.0680079196597127</v>
      </c>
      <c r="P444" s="54"/>
      <c r="Q444" s="53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1058992834</v>
      </c>
      <c r="D445" s="49" t="n">
        <v>1064868182</v>
      </c>
      <c r="E445" s="49" t="n">
        <v>1057994536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-0.00944968756634468</v>
      </c>
      <c r="I445" s="52" t="n">
        <f aca="false">IF(AND(ISNUMBER($G445),$G445&gt;=MA_SHORT),AVERAGE(INDEX($C$45:$C445,402-MA_SHORT):$C445),"")</f>
        <v>1098649137.2</v>
      </c>
      <c r="J445" s="52" t="n">
        <f aca="false">IF(AND(ISNUMBER($G445),$G445&gt;=MA_MED),AVERAGE(INDEX($C$45:$C445,402-MA_MED):$C445),"")</f>
        <v>1071504303.86</v>
      </c>
      <c r="K445" s="52" t="n">
        <f aca="false">IF(AND(ISNUMBER($G445),$G445&gt;=MA_LONG2),AVERAGE(INDEX($C$45:$C445,402-MA_LONG2):$C445),"")</f>
        <v>957002476.86</v>
      </c>
      <c r="L445" s="53" t="n">
        <f aca="false">IF(AND(ISNUMBER($G445),$G445&gt;=21),STDEV(INDEX($H$385:$H445,62-20):$H445)*SQRT(245),"")</f>
        <v>0.227063532449463</v>
      </c>
      <c r="M445" s="52" t="n">
        <f aca="false">IF(AND(ISNUMBER($G445),$G445&gt;=60),MAX(INDEX($D$245:$D445,202-60):$D445),"")</f>
        <v>1147107872</v>
      </c>
      <c r="N445" s="52" t="n">
        <f aca="false">IF(AND(ISNUMBER($G445),$G445&gt;=60),MIN(INDEX($E$245:$E445,202-60):$E445),"")</f>
        <v>935902491</v>
      </c>
      <c r="O445" s="53" t="n">
        <f aca="false">IF(OR(NOT(ISNUMBER($C445)),NOT(ISNUMBER($M445)),$M445=0),"",$C445/$M445-1)</f>
        <v>-0.076814953633236</v>
      </c>
      <c r="P445" s="54"/>
      <c r="Q445" s="53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1059955281</v>
      </c>
      <c r="D446" s="49" t="n">
        <v>1060495034</v>
      </c>
      <c r="E446" s="49" t="n">
        <v>1050477568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0.000908832401032012</v>
      </c>
      <c r="I446" s="52" t="n">
        <f aca="false">IF(AND(ISNUMBER($G446),$G446&gt;=MA_SHORT),AVERAGE(INDEX($C$46:$C446,402-MA_SHORT):$C446),"")</f>
        <v>1096183011.25</v>
      </c>
      <c r="J446" s="52" t="n">
        <f aca="false">IF(AND(ISNUMBER($G446),$G446&gt;=MA_MED),AVERAGE(INDEX($C$46:$C446,402-MA_MED):$C446),"")</f>
        <v>1073346856.5</v>
      </c>
      <c r="K446" s="52" t="n">
        <f aca="false">IF(AND(ISNUMBER($G446),$G446&gt;=MA_LONG2),AVERAGE(INDEX($C$46:$C446,402-MA_LONG2):$C446),"")</f>
        <v>957848990.07</v>
      </c>
      <c r="L446" s="53" t="n">
        <f aca="false">IF(AND(ISNUMBER($G446),$G446&gt;=21),STDEV(INDEX($H$386:$H446,62-20):$H446)*SQRT(245),"")</f>
        <v>0.226536380196529</v>
      </c>
      <c r="M446" s="52" t="n">
        <f aca="false">IF(AND(ISNUMBER($G446),$G446&gt;=60),MAX(INDEX($D$246:$D446,202-60):$D446),"")</f>
        <v>1147107872</v>
      </c>
      <c r="N446" s="52" t="n">
        <f aca="false">IF(AND(ISNUMBER($G446),$G446&gt;=60),MIN(INDEX($E$246:$E446,202-60):$E446),"")</f>
        <v>935902491</v>
      </c>
      <c r="O446" s="53" t="n">
        <f aca="false">IF(OR(NOT(ISNUMBER($C446)),NOT(ISNUMBER($M446)),$M446=0),"",$C446/$M446-1)</f>
        <v>-0.0759759331509495</v>
      </c>
      <c r="P446" s="54"/>
      <c r="Q446" s="53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1055644491</v>
      </c>
      <c r="D447" s="49" t="n">
        <v>1060099261</v>
      </c>
      <c r="E447" s="49" t="n">
        <v>1051484008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-0.00406695459447404</v>
      </c>
      <c r="I447" s="52" t="n">
        <f aca="false">IF(AND(ISNUMBER($G447),$G447&gt;=MA_SHORT),AVERAGE(INDEX($C$47:$C447,402-MA_SHORT):$C447),"")</f>
        <v>1091799612.9</v>
      </c>
      <c r="J447" s="52" t="n">
        <f aca="false">IF(AND(ISNUMBER($G447),$G447&gt;=MA_MED),AVERAGE(INDEX($C$47:$C447,402-MA_MED):$C447),"")</f>
        <v>1074665369.74</v>
      </c>
      <c r="K447" s="52" t="n">
        <f aca="false">IF(AND(ISNUMBER($G447),$G447&gt;=MA_LONG2),AVERAGE(INDEX($C$47:$C447,402-MA_LONG2):$C447),"")</f>
        <v>958593977.54</v>
      </c>
      <c r="L447" s="53" t="n">
        <f aca="false">IF(AND(ISNUMBER($G447),$G447&gt;=21),STDEV(INDEX($H$387:$H447,62-20):$H447)*SQRT(245),"")</f>
        <v>0.191490202020845</v>
      </c>
      <c r="M447" s="52" t="n">
        <f aca="false">IF(AND(ISNUMBER($G447),$G447&gt;=60),MAX(INDEX($D$247:$D447,202-60):$D447),"")</f>
        <v>1147107872</v>
      </c>
      <c r="N447" s="52" t="n">
        <f aca="false">IF(AND(ISNUMBER($G447),$G447&gt;=60),MIN(INDEX($E$247:$E447,202-60):$E447),"")</f>
        <v>935902491</v>
      </c>
      <c r="O447" s="53" t="n">
        <f aca="false">IF(OR(NOT(ISNUMBER($C447)),NOT(ISNUMBER($M447)),$M447=0),"",$C447/$M447-1)</f>
        <v>-0.0797338970750259</v>
      </c>
      <c r="P447" s="54"/>
      <c r="Q447" s="53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1066550736</v>
      </c>
      <c r="D448" s="49" t="n">
        <v>1069464156</v>
      </c>
      <c r="E448" s="49" t="n">
        <v>1064145908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0.0103313616401945</v>
      </c>
      <c r="I448" s="52" t="n">
        <f aca="false">IF(AND(ISNUMBER($G448),$G448&gt;=MA_SHORT),AVERAGE(INDEX($C$48:$C448,402-MA_SHORT):$C448),"")</f>
        <v>1088931135.7</v>
      </c>
      <c r="J448" s="52" t="n">
        <f aca="false">IF(AND(ISNUMBER($G448),$G448&gt;=MA_MED),AVERAGE(INDEX($C$48:$C448,402-MA_MED):$C448),"")</f>
        <v>1075911747.4</v>
      </c>
      <c r="K448" s="52" t="n">
        <f aca="false">IF(AND(ISNUMBER($G448),$G448&gt;=MA_LONG2),AVERAGE(INDEX($C$48:$C448,402-MA_LONG2):$C448),"")</f>
        <v>959404022.21</v>
      </c>
      <c r="L448" s="53" t="n">
        <f aca="false">IF(AND(ISNUMBER($G448),$G448&gt;=21),STDEV(INDEX($H$388:$H448,62-20):$H448)*SQRT(245),"")</f>
        <v>0.191328173237527</v>
      </c>
      <c r="M448" s="52" t="n">
        <f aca="false">IF(AND(ISNUMBER($G448),$G448&gt;=60),MAX(INDEX($D$248:$D448,202-60):$D448),"")</f>
        <v>1147107872</v>
      </c>
      <c r="N448" s="52" t="n">
        <f aca="false">IF(AND(ISNUMBER($G448),$G448&gt;=60),MIN(INDEX($E$248:$E448,202-60):$E448),"")</f>
        <v>935902491</v>
      </c>
      <c r="O448" s="53" t="n">
        <f aca="false">IF(OR(NOT(ISNUMBER($C448)),NOT(ISNUMBER($M448)),$M448=0),"",$C448/$M448-1)</f>
        <v>-0.0702262951604956</v>
      </c>
      <c r="P448" s="54"/>
      <c r="Q448" s="53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1083784118</v>
      </c>
      <c r="D449" s="49" t="n">
        <v>1084928060</v>
      </c>
      <c r="E449" s="49" t="n">
        <v>1080311371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0.0161580517628559</v>
      </c>
      <c r="I449" s="52" t="n">
        <f aca="false">IF(AND(ISNUMBER($G449),$G449&gt;=MA_SHORT),AVERAGE(INDEX($C$49:$C449,402-MA_SHORT):$C449),"")</f>
        <v>1086611008.6</v>
      </c>
      <c r="J449" s="52" t="n">
        <f aca="false">IF(AND(ISNUMBER($G449),$G449&gt;=MA_MED),AVERAGE(INDEX($C$49:$C449,402-MA_MED):$C449),"")</f>
        <v>1077332910.6</v>
      </c>
      <c r="K449" s="52" t="n">
        <f aca="false">IF(AND(ISNUMBER($G449),$G449&gt;=MA_LONG2),AVERAGE(INDEX($C$49:$C449,402-MA_LONG2):$C449),"")</f>
        <v>960350811.36</v>
      </c>
      <c r="L449" s="53" t="n">
        <f aca="false">IF(AND(ISNUMBER($G449),$G449&gt;=21),STDEV(INDEX($H$389:$H449,62-20):$H449)*SQRT(245),"")</f>
        <v>0.200485603181615</v>
      </c>
      <c r="M449" s="52" t="n">
        <f aca="false">IF(AND(ISNUMBER($G449),$G449&gt;=60),MAX(INDEX($D$249:$D449,202-60):$D449),"")</f>
        <v>1147107872</v>
      </c>
      <c r="N449" s="52" t="n">
        <f aca="false">IF(AND(ISNUMBER($G449),$G449&gt;=60),MIN(INDEX($E$249:$E449,202-60):$E449),"")</f>
        <v>935902491</v>
      </c>
      <c r="O449" s="53" t="n">
        <f aca="false">IF(OR(NOT(ISNUMBER($C449)),NOT(ISNUMBER($M449)),$M449=0),"",$C449/$M449-1)</f>
        <v>-0.0552029635099567</v>
      </c>
      <c r="P449" s="54"/>
      <c r="Q449" s="53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1087107387</v>
      </c>
      <c r="D450" s="49" t="n">
        <v>1087395636</v>
      </c>
      <c r="E450" s="49" t="n">
        <v>1085524297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0.00306635698457436</v>
      </c>
      <c r="I450" s="52" t="n">
        <f aca="false">IF(AND(ISNUMBER($G450),$G450&gt;=MA_SHORT),AVERAGE(INDEX($C$50:$C450,402-MA_SHORT):$C450),"")</f>
        <v>1084519335.55</v>
      </c>
      <c r="J450" s="52" t="n">
        <f aca="false">IF(AND(ISNUMBER($G450),$G450&gt;=MA_MED),AVERAGE(INDEX($C$50:$C450,402-MA_MED):$C450),"")</f>
        <v>1078926544.26</v>
      </c>
      <c r="K450" s="52" t="n">
        <f aca="false">IF(AND(ISNUMBER($G450),$G450&gt;=MA_LONG2),AVERAGE(INDEX($C$50:$C450,402-MA_LONG2):$C450),"")</f>
        <v>961255438.07</v>
      </c>
      <c r="L450" s="53" t="n">
        <f aca="false">IF(AND(ISNUMBER($G450),$G450&gt;=21),STDEV(INDEX($H$390:$H450,62-20):$H450)*SQRT(245),"")</f>
        <v>0.201259842105847</v>
      </c>
      <c r="M450" s="52" t="n">
        <f aca="false">IF(AND(ISNUMBER($G450),$G450&gt;=60),MAX(INDEX($D$250:$D450,202-60):$D450),"")</f>
        <v>1147107872</v>
      </c>
      <c r="N450" s="52" t="n">
        <f aca="false">IF(AND(ISNUMBER($G450),$G450&gt;=60),MIN(INDEX($E$250:$E450,202-60):$E450),"")</f>
        <v>935902491</v>
      </c>
      <c r="O450" s="53" t="n">
        <f aca="false">IF(OR(NOT(ISNUMBER($C450)),NOT(ISNUMBER($M450)),$M450=0),"",$C450/$M450-1)</f>
        <v>-0.0523058785181103</v>
      </c>
      <c r="P450" s="54"/>
      <c r="Q450" s="53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1095334470</v>
      </c>
      <c r="D451" s="49" t="n">
        <v>1095731634</v>
      </c>
      <c r="E451" s="49" t="n">
        <v>1094203456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0.00756786597017212</v>
      </c>
      <c r="I451" s="52" t="n">
        <f aca="false">IF(AND(ISNUMBER($G451),$G451&gt;=MA_SHORT),AVERAGE(INDEX($C$51:$C451,402-MA_SHORT):$C451),"")</f>
        <v>1082459530.7</v>
      </c>
      <c r="J451" s="52" t="n">
        <f aca="false">IF(AND(ISNUMBER($G451),$G451&gt;=MA_MED),AVERAGE(INDEX($C$51:$C451,402-MA_MED):$C451),"")</f>
        <v>1080387272.96</v>
      </c>
      <c r="K451" s="52" t="n">
        <f aca="false">IF(AND(ISNUMBER($G451),$G451&gt;=MA_LONG2),AVERAGE(INDEX($C$51:$C451,402-MA_LONG2):$C451),"")</f>
        <v>962247137.825</v>
      </c>
      <c r="L451" s="53" t="n">
        <f aca="false">IF(AND(ISNUMBER($G451),$G451&gt;=21),STDEV(INDEX($H$391:$H451,62-20):$H451)*SQRT(245),"")</f>
        <v>0.201742793362101</v>
      </c>
      <c r="M451" s="52" t="n">
        <f aca="false">IF(AND(ISNUMBER($G451),$G451&gt;=60),MAX(INDEX($D$251:$D451,202-60):$D451),"")</f>
        <v>1147107872</v>
      </c>
      <c r="N451" s="52" t="n">
        <f aca="false">IF(AND(ISNUMBER($G451),$G451&gt;=60),MIN(INDEX($E$251:$E451,202-60):$E451),"")</f>
        <v>935902491</v>
      </c>
      <c r="O451" s="53" t="n">
        <f aca="false">IF(OR(NOT(ISNUMBER($C451)),NOT(ISNUMBER($M451)),$M451=0),"",$C451/$M451-1)</f>
        <v>-0.0451338564260153</v>
      </c>
      <c r="P451" s="54"/>
      <c r="Q451" s="53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1095914551</v>
      </c>
      <c r="D452" s="49" t="n">
        <v>1096927906</v>
      </c>
      <c r="E452" s="49" t="n">
        <v>1091184879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0.000529592572759974</v>
      </c>
      <c r="I452" s="52" t="n">
        <f aca="false">IF(AND(ISNUMBER($G452),$G452&gt;=MA_SHORT),AVERAGE(INDEX($C$52:$C452,402-MA_SHORT):$C452),"")</f>
        <v>1081150509.65</v>
      </c>
      <c r="J452" s="52" t="n">
        <f aca="false">IF(AND(ISNUMBER($G452),$G452&gt;=MA_MED),AVERAGE(INDEX($C$52:$C452,402-MA_MED):$C452),"")</f>
        <v>1082249171.36</v>
      </c>
      <c r="K452" s="52" t="n">
        <f aca="false">IF(AND(ISNUMBER($G452),$G452&gt;=MA_LONG2),AVERAGE(INDEX($C$52:$C452,402-MA_LONG2):$C452),"")</f>
        <v>963274068.695</v>
      </c>
      <c r="L452" s="53" t="n">
        <f aca="false">IF(AND(ISNUMBER($G452),$G452&gt;=21),STDEV(INDEX($H$392:$H452,62-20):$H452)*SQRT(245),"")</f>
        <v>0.197769586006561</v>
      </c>
      <c r="M452" s="52" t="n">
        <f aca="false">IF(AND(ISNUMBER($G452),$G452&gt;=60),MAX(INDEX($D$252:$D452,202-60):$D452),"")</f>
        <v>1147107872</v>
      </c>
      <c r="N452" s="52" t="n">
        <f aca="false">IF(AND(ISNUMBER($G452),$G452&gt;=60),MIN(INDEX($E$252:$E452,202-60):$E452),"")</f>
        <v>935902491</v>
      </c>
      <c r="O452" s="53" t="n">
        <f aca="false">IF(OR(NOT(ISNUMBER($C452)),NOT(ISNUMBER($M452)),$M452=0),"",$C452/$M452-1)</f>
        <v>-0.0446281664083986</v>
      </c>
      <c r="P452" s="54"/>
      <c r="Q452" s="53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1086547037</v>
      </c>
      <c r="D453" s="49" t="n">
        <v>1088485398</v>
      </c>
      <c r="E453" s="49" t="n">
        <v>1078711746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-0.00854766823878039</v>
      </c>
      <c r="I453" s="52" t="n">
        <f aca="false">IF(AND(ISNUMBER($G453),$G453&gt;=MA_SHORT),AVERAGE(INDEX($C$53:$C453,402-MA_SHORT):$C453),"")</f>
        <v>1080137160.1</v>
      </c>
      <c r="J453" s="52" t="n">
        <f aca="false">IF(AND(ISNUMBER($G453),$G453&gt;=MA_MED),AVERAGE(INDEX($C$53:$C453,402-MA_MED):$C453),"")</f>
        <v>1083712223.34</v>
      </c>
      <c r="K453" s="52" t="n">
        <f aca="false">IF(AND(ISNUMBER($G453),$G453&gt;=MA_LONG2),AVERAGE(INDEX($C$53:$C453,402-MA_LONG2):$C453),"")</f>
        <v>964231215.02</v>
      </c>
      <c r="L453" s="53" t="n">
        <f aca="false">IF(AND(ISNUMBER($G453),$G453&gt;=21),STDEV(INDEX($H$393:$H453,62-20):$H453)*SQRT(245),"")</f>
        <v>0.194399619040393</v>
      </c>
      <c r="M453" s="52" t="n">
        <f aca="false">IF(AND(ISNUMBER($G453),$G453&gt;=60),MAX(INDEX($D$253:$D453,202-60):$D453),"")</f>
        <v>1147107872</v>
      </c>
      <c r="N453" s="52" t="n">
        <f aca="false">IF(AND(ISNUMBER($G453),$G453&gt;=60),MIN(INDEX($E$253:$E453,202-60):$E453),"")</f>
        <v>958074068</v>
      </c>
      <c r="O453" s="53" t="n">
        <f aca="false">IF(OR(NOT(ISNUMBER($C453)),NOT(ISNUMBER($M453)),$M453=0),"",$C453/$M453-1)</f>
        <v>-0.052794367886615</v>
      </c>
      <c r="P453" s="54"/>
      <c r="Q453" s="53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1084448576</v>
      </c>
      <c r="D454" s="49" t="n">
        <v>1088255601</v>
      </c>
      <c r="E454" s="49" t="n">
        <v>1081849035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-0.0019313116952524</v>
      </c>
      <c r="I454" s="52" t="n">
        <f aca="false">IF(AND(ISNUMBER($G454),$G454&gt;=MA_SHORT),AVERAGE(INDEX($C$54:$C454,402-MA_SHORT):$C454),"")</f>
        <v>1079530735.2</v>
      </c>
      <c r="J454" s="52" t="n">
        <f aca="false">IF(AND(ISNUMBER($G454),$G454&gt;=MA_MED),AVERAGE(INDEX($C$54:$C454,402-MA_MED):$C454),"")</f>
        <v>1084709225.42</v>
      </c>
      <c r="K454" s="52" t="n">
        <f aca="false">IF(AND(ISNUMBER($G454),$G454&gt;=MA_LONG2),AVERAGE(INDEX($C$54:$C454,402-MA_LONG2):$C454),"")</f>
        <v>965215225.52</v>
      </c>
      <c r="L454" s="53" t="n">
        <f aca="false">IF(AND(ISNUMBER($G454),$G454&gt;=21),STDEV(INDEX($H$394:$H454,62-20):$H454)*SQRT(245),"")</f>
        <v>0.191994952603663</v>
      </c>
      <c r="M454" s="52" t="n">
        <f aca="false">IF(AND(ISNUMBER($G454),$G454&gt;=60),MAX(INDEX($D$254:$D454,202-60):$D454),"")</f>
        <v>1147107872</v>
      </c>
      <c r="N454" s="52" t="n">
        <f aca="false">IF(AND(ISNUMBER($G454),$G454&gt;=60),MIN(INDEX($E$254:$E454,202-60):$E454),"")</f>
        <v>963190855</v>
      </c>
      <c r="O454" s="53" t="n">
        <f aca="false">IF(OR(NOT(ISNUMBER($C454)),NOT(ISNUMBER($M454)),$M454=0),"",$C454/$M454-1)</f>
        <v>-0.0546237172017245</v>
      </c>
      <c r="P454" s="54"/>
      <c r="Q454" s="53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1092576905</v>
      </c>
      <c r="D455" s="49" t="n">
        <v>1093832966</v>
      </c>
      <c r="E455" s="49" t="n">
        <v>1088309154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0.00749535679227997</v>
      </c>
      <c r="I455" s="52" t="n">
        <f aca="false">IF(AND(ISNUMBER($G455),$G455&gt;=MA_SHORT),AVERAGE(INDEX($C$55:$C455,402-MA_SHORT):$C455),"")</f>
        <v>1080582741.75</v>
      </c>
      <c r="J455" s="52" t="n">
        <f aca="false">IF(AND(ISNUMBER($G455),$G455&gt;=MA_MED),AVERAGE(INDEX($C$55:$C455,402-MA_MED):$C455),"")</f>
        <v>1086086526.18</v>
      </c>
      <c r="K455" s="52" t="n">
        <f aca="false">IF(AND(ISNUMBER($G455),$G455&gt;=MA_LONG2),AVERAGE(INDEX($C$55:$C455,402-MA_LONG2):$C455),"")</f>
        <v>966203916.78</v>
      </c>
      <c r="L455" s="53" t="n">
        <f aca="false">IF(AND(ISNUMBER($G455),$G455&gt;=21),STDEV(INDEX($H$395:$H455,62-20):$H455)*SQRT(245),"")</f>
        <v>0.175065795150509</v>
      </c>
      <c r="M455" s="52" t="n">
        <f aca="false">IF(AND(ISNUMBER($G455),$G455&gt;=60),MAX(INDEX($D$255:$D455,202-60):$D455),"")</f>
        <v>1147107872</v>
      </c>
      <c r="N455" s="52" t="n">
        <f aca="false">IF(AND(ISNUMBER($G455),$G455&gt;=60),MIN(INDEX($E$255:$E455,202-60):$E455),"")</f>
        <v>963190855</v>
      </c>
      <c r="O455" s="53" t="n">
        <f aca="false">IF(OR(NOT(ISNUMBER($C455)),NOT(ISNUMBER($M455)),$M455=0),"",$C455/$M455-1)</f>
        <v>-0.047537784659192</v>
      </c>
      <c r="P455" s="54"/>
      <c r="Q455" s="53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1079520717</v>
      </c>
      <c r="D456" s="49" t="n">
        <v>1084383975</v>
      </c>
      <c r="E456" s="49" t="n">
        <v>1077342989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-0.0119499029681577</v>
      </c>
      <c r="I456" s="52" t="n">
        <f aca="false">IF(AND(ISNUMBER($G456),$G456&gt;=MA_SHORT),AVERAGE(INDEX($C$56:$C456,402-MA_SHORT):$C456),"")</f>
        <v>1080240691.2</v>
      </c>
      <c r="J456" s="52" t="n">
        <f aca="false">IF(AND(ISNUMBER($G456),$G456&gt;=MA_MED),AVERAGE(INDEX($C$56:$C456,402-MA_MED):$C456),"")</f>
        <v>1086987050</v>
      </c>
      <c r="K456" s="52" t="n">
        <f aca="false">IF(AND(ISNUMBER($G456),$G456&gt;=MA_LONG2),AVERAGE(INDEX($C$56:$C456,402-MA_LONG2):$C456),"")</f>
        <v>967081549.805</v>
      </c>
      <c r="L456" s="53" t="n">
        <f aca="false">IF(AND(ISNUMBER($G456),$G456&gt;=21),STDEV(INDEX($H$396:$H456,62-20):$H456)*SQRT(245),"")</f>
        <v>0.174009343643284</v>
      </c>
      <c r="M456" s="52" t="n">
        <f aca="false">IF(AND(ISNUMBER($G456),$G456&gt;=60),MAX(INDEX($D$256:$D456,202-60):$D456),"")</f>
        <v>1147107872</v>
      </c>
      <c r="N456" s="52" t="n">
        <f aca="false">IF(AND(ISNUMBER($G456),$G456&gt;=60),MIN(INDEX($E$256:$E456,202-60):$E456),"")</f>
        <v>988002082</v>
      </c>
      <c r="O456" s="53" t="n">
        <f aca="false">IF(OR(NOT(ISNUMBER($C456)),NOT(ISNUMBER($M456)),$M456=0),"",$C456/$M456-1)</f>
        <v>-0.0589196157133511</v>
      </c>
      <c r="P456" s="54"/>
      <c r="Q456" s="53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1075340926</v>
      </c>
      <c r="D457" s="49" t="n">
        <v>1076355202</v>
      </c>
      <c r="E457" s="49" t="n">
        <v>1075319717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-0.00387189512362085</v>
      </c>
      <c r="I457" s="52" t="n">
        <f aca="false">IF(AND(ISNUMBER($G457),$G457&gt;=MA_SHORT),AVERAGE(INDEX($C$57:$C457,402-MA_SHORT):$C457),"")</f>
        <v>1079962785.3</v>
      </c>
      <c r="J457" s="52" t="n">
        <f aca="false">IF(AND(ISNUMBER($G457),$G457&gt;=MA_MED),AVERAGE(INDEX($C$57:$C457,402-MA_MED):$C457),"")</f>
        <v>1087533610.58</v>
      </c>
      <c r="K457" s="52" t="n">
        <f aca="false">IF(AND(ISNUMBER($G457),$G457&gt;=MA_LONG2),AVERAGE(INDEX($C$57:$C457,402-MA_LONG2):$C457),"")</f>
        <v>967880125.185</v>
      </c>
      <c r="L457" s="53" t="n">
        <f aca="false">IF(AND(ISNUMBER($G457),$G457&gt;=21),STDEV(INDEX($H$397:$H457,62-20):$H457)*SQRT(245),"")</f>
        <v>0.173647083369193</v>
      </c>
      <c r="M457" s="52" t="n">
        <f aca="false">IF(AND(ISNUMBER($G457),$G457&gt;=60),MAX(INDEX($D$257:$D457,202-60):$D457),"")</f>
        <v>1147107872</v>
      </c>
      <c r="N457" s="52" t="n">
        <f aca="false">IF(AND(ISNUMBER($G457),$G457&gt;=60),MIN(INDEX($E$257:$E457,202-60):$E457),"")</f>
        <v>996045355</v>
      </c>
      <c r="O457" s="53" t="n">
        <f aca="false">IF(OR(NOT(ISNUMBER($C457)),NOT(ISNUMBER($M457)),$M457=0),"",$C457/$M457-1)</f>
        <v>-0.0625633802642058</v>
      </c>
      <c r="P457" s="54"/>
      <c r="Q457" s="53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1089367677</v>
      </c>
      <c r="D458" s="49" t="n">
        <v>1089697744</v>
      </c>
      <c r="E458" s="49" t="n">
        <v>1087553526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0.0130440036837209</v>
      </c>
      <c r="I458" s="52" t="n">
        <f aca="false">IF(AND(ISNUMBER($G458),$G458&gt;=MA_SHORT),AVERAGE(INDEX($C$58:$C458,402-MA_SHORT):$C458),"")</f>
        <v>1080344849.2</v>
      </c>
      <c r="J458" s="52" t="n">
        <f aca="false">IF(AND(ISNUMBER($G458),$G458&gt;=MA_MED),AVERAGE(INDEX($C$58:$C458,402-MA_MED):$C458),"")</f>
        <v>1088252593.72</v>
      </c>
      <c r="K458" s="52" t="n">
        <f aca="false">IF(AND(ISNUMBER($G458),$G458&gt;=MA_LONG2),AVERAGE(INDEX($C$58:$C458,402-MA_LONG2):$C458),"")</f>
        <v>968737102.85</v>
      </c>
      <c r="L458" s="53" t="n">
        <f aca="false">IF(AND(ISNUMBER($G458),$G458&gt;=21),STDEV(INDEX($H$398:$H458,62-20):$H458)*SQRT(245),"")</f>
        <v>0.179737207129897</v>
      </c>
      <c r="M458" s="52" t="n">
        <f aca="false">IF(AND(ISNUMBER($G458),$G458&gt;=60),MAX(INDEX($D$258:$D458,202-60):$D458),"")</f>
        <v>1147107872</v>
      </c>
      <c r="N458" s="52" t="n">
        <f aca="false">IF(AND(ISNUMBER($G458),$G458&gt;=60),MIN(INDEX($E$258:$E458,202-60):$E458),"")</f>
        <v>999265875</v>
      </c>
      <c r="O458" s="53" t="n">
        <f aca="false">IF(OR(NOT(ISNUMBER($C458)),NOT(ISNUMBER($M458)),$M458=0),"",$C458/$M458-1)</f>
        <v>-0.0503354535431172</v>
      </c>
      <c r="P458" s="54"/>
      <c r="Q458" s="53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1086909650</v>
      </c>
      <c r="D459" s="49" t="n">
        <v>1091332837</v>
      </c>
      <c r="E459" s="49" t="n">
        <v>1086668411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-0.0022563795969871</v>
      </c>
      <c r="I459" s="52" t="n">
        <f aca="false">IF(AND(ISNUMBER($G459),$G459&gt;=MA_SHORT),AVERAGE(INDEX($C$59:$C459,402-MA_SHORT):$C459),"")</f>
        <v>1080265130.25</v>
      </c>
      <c r="J459" s="52" t="n">
        <f aca="false">IF(AND(ISNUMBER($G459),$G459&gt;=MA_MED),AVERAGE(INDEX($C$59:$C459,402-MA_MED):$C459),"")</f>
        <v>1088839199.1</v>
      </c>
      <c r="K459" s="52" t="n">
        <f aca="false">IF(AND(ISNUMBER($G459),$G459&gt;=MA_LONG2),AVERAGE(INDEX($C$59:$C459,402-MA_LONG2):$C459),"")</f>
        <v>969604590.08</v>
      </c>
      <c r="L459" s="53" t="n">
        <f aca="false">IF(AND(ISNUMBER($G459),$G459&gt;=21),STDEV(INDEX($H$399:$H459,62-20):$H459)*SQRT(245),"")</f>
        <v>0.178631836356038</v>
      </c>
      <c r="M459" s="52" t="n">
        <f aca="false">IF(AND(ISNUMBER($G459),$G459&gt;=60),MAX(INDEX($D$259:$D459,202-60):$D459),"")</f>
        <v>1147107872</v>
      </c>
      <c r="N459" s="52" t="n">
        <f aca="false">IF(AND(ISNUMBER($G459),$G459&gt;=60),MIN(INDEX($E$259:$E459,202-60):$E459),"")</f>
        <v>999265875</v>
      </c>
      <c r="O459" s="53" t="n">
        <f aca="false">IF(OR(NOT(ISNUMBER($C459)),NOT(ISNUMBER($M459)),$M459=0),"",$C459/$M459-1)</f>
        <v>-0.0524782572497244</v>
      </c>
      <c r="P459" s="54"/>
      <c r="Q459" s="53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1073814974</v>
      </c>
      <c r="D460" s="49" t="n">
        <v>1076815725</v>
      </c>
      <c r="E460" s="49" t="n">
        <v>1072662775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-0.0120476214375316</v>
      </c>
      <c r="I460" s="52" t="n">
        <f aca="false">IF(AND(ISNUMBER($G460),$G460&gt;=MA_SHORT),AVERAGE(INDEX($C$60:$C460,402-MA_SHORT):$C460),"")</f>
        <v>1079817934.9</v>
      </c>
      <c r="J460" s="52" t="n">
        <f aca="false">IF(AND(ISNUMBER($G460),$G460&gt;=MA_MED),AVERAGE(INDEX($C$60:$C460,402-MA_MED):$C460),"")</f>
        <v>1088866174.92</v>
      </c>
      <c r="K460" s="52" t="n">
        <f aca="false">IF(AND(ISNUMBER($G460),$G460&gt;=MA_LONG2),AVERAGE(INDEX($C$60:$C460,402-MA_LONG2):$C460),"")</f>
        <v>970476833.465</v>
      </c>
      <c r="L460" s="53" t="n">
        <f aca="false">IF(AND(ISNUMBER($G460),$G460&gt;=21),STDEV(INDEX($H$400:$H460,62-20):$H460)*SQRT(245),"")</f>
        <v>0.182730075637476</v>
      </c>
      <c r="M460" s="52" t="n">
        <f aca="false">IF(AND(ISNUMBER($G460),$G460&gt;=60),MAX(INDEX($D$260:$D460,202-60):$D460),"")</f>
        <v>1147107872</v>
      </c>
      <c r="N460" s="52" t="n">
        <f aca="false">IF(AND(ISNUMBER($G460),$G460&gt;=60),MIN(INDEX($E$260:$E460,202-60):$E460),"")</f>
        <v>999265875</v>
      </c>
      <c r="O460" s="53" t="n">
        <f aca="false">IF(OR(NOT(ISNUMBER($C460)),NOT(ISNUMBER($M460)),$M460=0),"",$C460/$M460-1)</f>
        <v>-0.06389364051021</v>
      </c>
      <c r="P460" s="54"/>
      <c r="Q460" s="53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1060188034</v>
      </c>
      <c r="D461" s="49" t="n">
        <v>1060533534</v>
      </c>
      <c r="E461" s="49" t="n">
        <v>1059614455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-0.012690212308401</v>
      </c>
      <c r="I461" s="52" t="n">
        <f aca="false">IF(AND(ISNUMBER($G461),$G461&gt;=MA_SHORT),AVERAGE(INDEX($C$61:$C461,402-MA_SHORT):$C461),"")</f>
        <v>1077929697.65</v>
      </c>
      <c r="J461" s="52" t="n">
        <f aca="false">IF(AND(ISNUMBER($G461),$G461&gt;=MA_MED),AVERAGE(INDEX($C$61:$C461,402-MA_MED):$C461),"")</f>
        <v>1088701025.74</v>
      </c>
      <c r="K461" s="52" t="n">
        <f aca="false">IF(AND(ISNUMBER($G461),$G461&gt;=MA_LONG2),AVERAGE(INDEX($C$61:$C461,402-MA_LONG2):$C461),"")</f>
        <v>971296848.115</v>
      </c>
      <c r="L461" s="53" t="n">
        <f aca="false">IF(AND(ISNUMBER($G461),$G461&gt;=21),STDEV(INDEX($H$401:$H461,62-20):$H461)*SQRT(245),"")</f>
        <v>0.17951753559762</v>
      </c>
      <c r="M461" s="52" t="n">
        <f aca="false">IF(AND(ISNUMBER($G461),$G461&gt;=60),MAX(INDEX($D$261:$D461,202-60):$D461),"")</f>
        <v>1147107872</v>
      </c>
      <c r="N461" s="52" t="n">
        <f aca="false">IF(AND(ISNUMBER($G461),$G461&gt;=60),MIN(INDEX($E$261:$E461,202-60):$E461),"")</f>
        <v>999265875</v>
      </c>
      <c r="O461" s="53" t="n">
        <f aca="false">IF(OR(NOT(ISNUMBER($C461)),NOT(ISNUMBER($M461)),$M461=0),"",$C461/$M461-1)</f>
        <v>-0.0757730289553797</v>
      </c>
      <c r="P461" s="54"/>
      <c r="Q461" s="53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1054084898</v>
      </c>
      <c r="D462" s="49" t="n">
        <v>1058529735</v>
      </c>
      <c r="E462" s="49" t="n">
        <v>1052766551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-0.00575665429553418</v>
      </c>
      <c r="I462" s="52" t="n">
        <f aca="false">IF(AND(ISNUMBER($G462),$G462&gt;=MA_SHORT),AVERAGE(INDEX($C$62:$C462,402-MA_SHORT):$C462),"")</f>
        <v>1075758538.3</v>
      </c>
      <c r="J462" s="52" t="n">
        <f aca="false">IF(AND(ISNUMBER($G462),$G462&gt;=MA_MED),AVERAGE(INDEX($C$62:$C462,402-MA_MED):$C462),"")</f>
        <v>1088116687.7</v>
      </c>
      <c r="K462" s="52" t="n">
        <f aca="false">IF(AND(ISNUMBER($G462),$G462&gt;=MA_LONG2),AVERAGE(INDEX($C$62:$C462,402-MA_LONG2):$C462),"")</f>
        <v>972146441.97</v>
      </c>
      <c r="L462" s="53" t="n">
        <f aca="false">IF(AND(ISNUMBER($G462),$G462&gt;=21),STDEV(INDEX($H$402:$H462,62-20):$H462)*SQRT(245),"")</f>
        <v>0.180001830960723</v>
      </c>
      <c r="M462" s="52" t="n">
        <f aca="false">IF(AND(ISNUMBER($G462),$G462&gt;=60),MAX(INDEX($D$262:$D462,202-60):$D462),"")</f>
        <v>1147107872</v>
      </c>
      <c r="N462" s="52" t="n">
        <f aca="false">IF(AND(ISNUMBER($G462),$G462&gt;=60),MIN(INDEX($E$262:$E462,202-60):$E462),"")</f>
        <v>1011342573</v>
      </c>
      <c r="O462" s="53" t="n">
        <f aca="false">IF(OR(NOT(ISNUMBER($C462)),NOT(ISNUMBER($M462)),$M462=0),"",$C462/$M462-1)</f>
        <v>-0.0810934841182922</v>
      </c>
      <c r="P462" s="54"/>
      <c r="Q462" s="53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1047954232</v>
      </c>
      <c r="D463" s="49" t="n">
        <v>1050103782</v>
      </c>
      <c r="E463" s="49" t="n">
        <v>1036231886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-0.00581610267980526</v>
      </c>
      <c r="I463" s="52" t="n">
        <f aca="false">IF(AND(ISNUMBER($G463),$G463&gt;=MA_SHORT),AVERAGE(INDEX($C$63:$C463,402-MA_SHORT):$C463),"")</f>
        <v>1075156647.3</v>
      </c>
      <c r="J463" s="52" t="n">
        <f aca="false">IF(AND(ISNUMBER($G463),$G463&gt;=MA_MED),AVERAGE(INDEX($C$63:$C463,402-MA_MED):$C463),"")</f>
        <v>1087743846</v>
      </c>
      <c r="K463" s="52" t="n">
        <f aca="false">IF(AND(ISNUMBER($G463),$G463&gt;=MA_LONG2),AVERAGE(INDEX($C$63:$C463,402-MA_LONG2):$C463),"")</f>
        <v>973049925.55</v>
      </c>
      <c r="L463" s="53" t="n">
        <f aca="false">IF(AND(ISNUMBER($G463),$G463&gt;=21),STDEV(INDEX($H$403:$H463,62-20):$H463)*SQRT(245),"")</f>
        <v>0.136673738396219</v>
      </c>
      <c r="M463" s="52" t="n">
        <f aca="false">IF(AND(ISNUMBER($G463),$G463&gt;=60),MAX(INDEX($D$263:$D463,202-60):$D463),"")</f>
        <v>1147107872</v>
      </c>
      <c r="N463" s="52" t="n">
        <f aca="false">IF(AND(ISNUMBER($G463),$G463&gt;=60),MIN(INDEX($E$263:$E463,202-60):$E463),"")</f>
        <v>1020450939</v>
      </c>
      <c r="O463" s="53" t="n">
        <f aca="false">IF(OR(NOT(ISNUMBER($C463)),NOT(ISNUMBER($M463)),$M463=0),"",$C463/$M463-1)</f>
        <v>-0.0864379387678023</v>
      </c>
      <c r="P463" s="54"/>
      <c r="Q463" s="53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1038409215</v>
      </c>
      <c r="D464" s="49" t="n">
        <v>1047263163</v>
      </c>
      <c r="E464" s="49" t="n">
        <v>1031729920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-0.00910823842161834</v>
      </c>
      <c r="I464" s="52" t="n">
        <f aca="false">IF(AND(ISNUMBER($G464),$G464&gt;=MA_SHORT),AVERAGE(INDEX($C$64:$C464,402-MA_SHORT):$C464),"")</f>
        <v>1073622335.45</v>
      </c>
      <c r="J464" s="52" t="n">
        <f aca="false">IF(AND(ISNUMBER($G464),$G464&gt;=MA_MED),AVERAGE(INDEX($C$64:$C464,402-MA_MED):$C464),"")</f>
        <v>1086815262.52</v>
      </c>
      <c r="K464" s="52" t="n">
        <f aca="false">IF(AND(ISNUMBER($G464),$G464&gt;=MA_LONG2),AVERAGE(INDEX($C$64:$C464,402-MA_LONG2):$C464),"")</f>
        <v>973817990.41</v>
      </c>
      <c r="L464" s="53" t="n">
        <f aca="false">IF(AND(ISNUMBER($G464),$G464&gt;=21),STDEV(INDEX($H$404:$H464,62-20):$H464)*SQRT(245),"")</f>
        <v>0.135471143970255</v>
      </c>
      <c r="M464" s="52" t="n">
        <f aca="false">IF(AND(ISNUMBER($G464),$G464&gt;=60),MAX(INDEX($D$264:$D464,202-60):$D464),"")</f>
        <v>1147107872</v>
      </c>
      <c r="N464" s="52" t="n">
        <f aca="false">IF(AND(ISNUMBER($G464),$G464&gt;=60),MIN(INDEX($E$264:$E464,202-60):$E464),"")</f>
        <v>1020450939</v>
      </c>
      <c r="O464" s="53" t="n">
        <f aca="false">IF(OR(NOT(ISNUMBER($C464)),NOT(ISNUMBER($M464)),$M464=0),"",$C464/$M464-1)</f>
        <v>-0.0947588798344503</v>
      </c>
      <c r="P464" s="54"/>
      <c r="Q464" s="53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1053742387</v>
      </c>
      <c r="D465" s="49" t="n">
        <v>1054695796</v>
      </c>
      <c r="E465" s="49" t="n">
        <v>1049430216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0.0147660207348987</v>
      </c>
      <c r="I465" s="52" t="n">
        <f aca="false">IF(AND(ISNUMBER($G465),$G465&gt;=MA_SHORT),AVERAGE(INDEX($C$65:$C465,402-MA_SHORT):$C465),"")</f>
        <v>1073359813.1</v>
      </c>
      <c r="J465" s="52" t="n">
        <f aca="false">IF(AND(ISNUMBER($G465),$G465&gt;=MA_MED),AVERAGE(INDEX($C$65:$C465,402-MA_MED):$C465),"")</f>
        <v>1086572444.48</v>
      </c>
      <c r="K465" s="52" t="n">
        <f aca="false">IF(AND(ISNUMBER($G465),$G465&gt;=MA_LONG2),AVERAGE(INDEX($C$65:$C465,402-MA_LONG2):$C465),"")</f>
        <v>974637499.775</v>
      </c>
      <c r="L465" s="53" t="n">
        <f aca="false">IF(AND(ISNUMBER($G465),$G465&gt;=21),STDEV(INDEX($H$405:$H465,62-20):$H465)*SQRT(245),"")</f>
        <v>0.143251316196065</v>
      </c>
      <c r="M465" s="52" t="n">
        <f aca="false">IF(AND(ISNUMBER($G465),$G465&gt;=60),MAX(INDEX($D$265:$D465,202-60):$D465),"")</f>
        <v>1147107872</v>
      </c>
      <c r="N465" s="52" t="n">
        <f aca="false">IF(AND(ISNUMBER($G465),$G465&gt;=60),MIN(INDEX($E$265:$E465,202-60):$E465),"")</f>
        <v>1031729920</v>
      </c>
      <c r="O465" s="53" t="n">
        <f aca="false">IF(OR(NOT(ISNUMBER($C465)),NOT(ISNUMBER($M465)),$M465=0),"",$C465/$M465-1)</f>
        <v>-0.0813920706840028</v>
      </c>
      <c r="P465" s="54"/>
      <c r="Q465" s="53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1062516930</v>
      </c>
      <c r="D466" s="49" t="n">
        <v>1062705847</v>
      </c>
      <c r="E466" s="49" t="n">
        <v>1062472175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0.00832702860609147</v>
      </c>
      <c r="I466" s="52" t="n">
        <f aca="false">IF(AND(ISNUMBER($G466),$G466&gt;=MA_SHORT),AVERAGE(INDEX($C$66:$C466,402-MA_SHORT):$C466),"")</f>
        <v>1073487895.55</v>
      </c>
      <c r="J466" s="52" t="n">
        <f aca="false">IF(AND(ISNUMBER($G466),$G466&gt;=MA_MED),AVERAGE(INDEX($C$66:$C466,402-MA_MED):$C466),"")</f>
        <v>1086835388.42</v>
      </c>
      <c r="K466" s="52" t="n">
        <f aca="false">IF(AND(ISNUMBER($G466),$G466&gt;=MA_LONG2),AVERAGE(INDEX($C$66:$C466,402-MA_LONG2):$C466),"")</f>
        <v>975541675.075</v>
      </c>
      <c r="L466" s="53" t="n">
        <f aca="false">IF(AND(ISNUMBER($G466),$G466&gt;=21),STDEV(INDEX($H$406:$H466,62-20):$H466)*SQRT(245),"")</f>
        <v>0.146317680469869</v>
      </c>
      <c r="M466" s="52" t="n">
        <f aca="false">IF(AND(ISNUMBER($G466),$G466&gt;=60),MAX(INDEX($D$266:$D466,202-60):$D466),"")</f>
        <v>1147107872</v>
      </c>
      <c r="N466" s="52" t="n">
        <f aca="false">IF(AND(ISNUMBER($G466),$G466&gt;=60),MIN(INDEX($E$266:$E466,202-60):$E466),"")</f>
        <v>1031729920</v>
      </c>
      <c r="O466" s="53" t="n">
        <f aca="false">IF(OR(NOT(ISNUMBER($C466)),NOT(ISNUMBER($M466)),$M466=0),"",$C466/$M466-1)</f>
        <v>-0.0737427961788061</v>
      </c>
      <c r="P466" s="54"/>
      <c r="Q466" s="53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1063897093</v>
      </c>
      <c r="D467" s="49" t="n">
        <v>1071299867</v>
      </c>
      <c r="E467" s="49" t="n">
        <v>1059572645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0.00129895624345489</v>
      </c>
      <c r="I467" s="52" t="n">
        <f aca="false">IF(AND(ISNUMBER($G467),$G467&gt;=MA_SHORT),AVERAGE(INDEX($C$67:$C467,402-MA_SHORT):$C467),"")</f>
        <v>1073900525.65</v>
      </c>
      <c r="J467" s="52" t="n">
        <f aca="false">IF(AND(ISNUMBER($G467),$G467&gt;=MA_MED),AVERAGE(INDEX($C$67:$C467,402-MA_MED):$C467),"")</f>
        <v>1086823375.6</v>
      </c>
      <c r="K467" s="52" t="n">
        <f aca="false">IF(AND(ISNUMBER($G467),$G467&gt;=MA_LONG2),AVERAGE(INDEX($C$67:$C467,402-MA_LONG2):$C467),"")</f>
        <v>976491060.57</v>
      </c>
      <c r="L467" s="53" t="n">
        <f aca="false">IF(AND(ISNUMBER($G467),$G467&gt;=21),STDEV(INDEX($H$407:$H467,62-20):$H467)*SQRT(245),"")</f>
        <v>0.145520924515392</v>
      </c>
      <c r="M467" s="52" t="n">
        <f aca="false">IF(AND(ISNUMBER($G467),$G467&gt;=60),MAX(INDEX($D$267:$D467,202-60):$D467),"")</f>
        <v>1147107872</v>
      </c>
      <c r="N467" s="52" t="n">
        <f aca="false">IF(AND(ISNUMBER($G467),$G467&gt;=60),MIN(INDEX($E$267:$E467,202-60):$E467),"")</f>
        <v>1031729920</v>
      </c>
      <c r="O467" s="53" t="n">
        <f aca="false">IF(OR(NOT(ISNUMBER($C467)),NOT(ISNUMBER($M467)),$M467=0),"",$C467/$M467-1)</f>
        <v>-0.0725396286008575</v>
      </c>
      <c r="P467" s="54"/>
      <c r="Q467" s="53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1077338351</v>
      </c>
      <c r="D468" s="49" t="n">
        <v>1078515625</v>
      </c>
      <c r="E468" s="49" t="n">
        <v>1075753032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0.0126339832004785</v>
      </c>
      <c r="I468" s="52" t="n">
        <f aca="false">IF(AND(ISNUMBER($G468),$G468&gt;=MA_SHORT),AVERAGE(INDEX($C$68:$C468,402-MA_SHORT):$C468),"")</f>
        <v>1074439906.4</v>
      </c>
      <c r="J468" s="52" t="n">
        <f aca="false">IF(AND(ISNUMBER($G468),$G468&gt;=MA_MED),AVERAGE(INDEX($C$68:$C468,402-MA_MED):$C468),"")</f>
        <v>1086834296.74</v>
      </c>
      <c r="K468" s="52" t="n">
        <f aca="false">IF(AND(ISNUMBER($G468),$G468&gt;=MA_LONG2),AVERAGE(INDEX($C$68:$C468,402-MA_LONG2):$C468),"")</f>
        <v>977390034.085</v>
      </c>
      <c r="L468" s="53" t="n">
        <f aca="false">IF(AND(ISNUMBER($G468),$G468&gt;=21),STDEV(INDEX($H$408:$H468,62-20):$H468)*SQRT(245),"")</f>
        <v>0.147747218999164</v>
      </c>
      <c r="M468" s="52" t="n">
        <f aca="false">IF(AND(ISNUMBER($G468),$G468&gt;=60),MAX(INDEX($D$268:$D468,202-60):$D468),"")</f>
        <v>1147107872</v>
      </c>
      <c r="N468" s="52" t="n">
        <f aca="false">IF(AND(ISNUMBER($G468),$G468&gt;=60),MIN(INDEX($E$268:$E468,202-60):$E468),"")</f>
        <v>1031729920</v>
      </c>
      <c r="O468" s="53" t="n">
        <f aca="false">IF(OR(NOT(ISNUMBER($C468)),NOT(ISNUMBER($M468)),$M468=0),"",$C468/$M468-1)</f>
        <v>-0.0608221098494911</v>
      </c>
      <c r="P468" s="54"/>
      <c r="Q468" s="53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1066631741</v>
      </c>
      <c r="D469" s="49" t="n">
        <v>1067111283</v>
      </c>
      <c r="E469" s="49" t="n">
        <v>1063810288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-0.00993801992666643</v>
      </c>
      <c r="I469" s="52" t="n">
        <f aca="false">IF(AND(ISNUMBER($G469),$G469&gt;=MA_SHORT),AVERAGE(INDEX($C$69:$C469,402-MA_SHORT):$C469),"")</f>
        <v>1073582287.55</v>
      </c>
      <c r="J469" s="52" t="n">
        <f aca="false">IF(AND(ISNUMBER($G469),$G469&gt;=MA_MED),AVERAGE(INDEX($C$69:$C469,402-MA_MED):$C469),"")</f>
        <v>1086531398.34</v>
      </c>
      <c r="K469" s="52" t="n">
        <f aca="false">IF(AND(ISNUMBER($G469),$G469&gt;=MA_LONG2),AVERAGE(INDEX($C$69:$C469,402-MA_LONG2):$C469),"")</f>
        <v>978195134.965</v>
      </c>
      <c r="L469" s="53" t="n">
        <f aca="false">IF(AND(ISNUMBER($G469),$G469&gt;=21),STDEV(INDEX($H$409:$H469,62-20):$H469)*SQRT(245),"")</f>
        <v>0.140229396937492</v>
      </c>
      <c r="M469" s="52" t="n">
        <f aca="false">IF(AND(ISNUMBER($G469),$G469&gt;=60),MAX(INDEX($D$269:$D469,202-60):$D469),"")</f>
        <v>1147107872</v>
      </c>
      <c r="N469" s="52" t="n">
        <f aca="false">IF(AND(ISNUMBER($G469),$G469&gt;=60),MIN(INDEX($E$269:$E469,202-60):$E469),"")</f>
        <v>1031729920</v>
      </c>
      <c r="O469" s="53" t="n">
        <f aca="false">IF(OR(NOT(ISNUMBER($C469)),NOT(ISNUMBER($M469)),$M469=0),"",$C469/$M469-1)</f>
        <v>-0.0701556784364915</v>
      </c>
      <c r="P469" s="54"/>
      <c r="Q469" s="53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1053321412</v>
      </c>
      <c r="D470" s="49" t="n">
        <v>1054542382</v>
      </c>
      <c r="E470" s="49" t="n">
        <v>1043932283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-0.0124788420298848</v>
      </c>
      <c r="I470" s="52" t="n">
        <f aca="false">IF(AND(ISNUMBER($G470),$G470&gt;=MA_SHORT),AVERAGE(INDEX($C$70:$C470,402-MA_SHORT):$C470),"")</f>
        <v>1071892988.8</v>
      </c>
      <c r="J470" s="52" t="n">
        <f aca="false">IF(AND(ISNUMBER($G470),$G470&gt;=MA_MED),AVERAGE(INDEX($C$70:$C470,402-MA_MED):$C470),"")</f>
        <v>1085813913.02</v>
      </c>
      <c r="K470" s="52" t="n">
        <f aca="false">IF(AND(ISNUMBER($G470),$G470&gt;=MA_LONG2),AVERAGE(INDEX($C$70:$C470,402-MA_LONG2):$C470),"")</f>
        <v>978937504.845</v>
      </c>
      <c r="L470" s="53" t="n">
        <f aca="false">IF(AND(ISNUMBER($G470),$G470&gt;=21),STDEV(INDEX($H$410:$H470,62-20):$H470)*SQRT(245),"")</f>
        <v>0.145226868653237</v>
      </c>
      <c r="M470" s="52" t="n">
        <f aca="false">IF(AND(ISNUMBER($G470),$G470&gt;=60),MAX(INDEX($D$270:$D470,202-60):$D470),"")</f>
        <v>1147107872</v>
      </c>
      <c r="N470" s="52" t="n">
        <f aca="false">IF(AND(ISNUMBER($G470),$G470&gt;=60),MIN(INDEX($E$270:$E470,202-60):$E470),"")</f>
        <v>1031729920</v>
      </c>
      <c r="O470" s="53" t="n">
        <f aca="false">IF(OR(NOT(ISNUMBER($C470)),NOT(ISNUMBER($M470)),$M470=0),"",$C470/$M470-1)</f>
        <v>-0.0817590588376679</v>
      </c>
      <c r="P470" s="54"/>
      <c r="Q470" s="53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1078892985</v>
      </c>
      <c r="D471" s="49" t="n">
        <v>1079190243</v>
      </c>
      <c r="E471" s="49" t="n">
        <v>1077045502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0.0242770845714091</v>
      </c>
      <c r="I471" s="52" t="n">
        <f aca="false">IF(AND(ISNUMBER($G471),$G471&gt;=MA_SHORT),AVERAGE(INDEX($C$71:$C471,402-MA_SHORT):$C471),"")</f>
        <v>1071070914.55</v>
      </c>
      <c r="J471" s="52" t="n">
        <f aca="false">IF(AND(ISNUMBER($G471),$G471&gt;=MA_MED),AVERAGE(INDEX($C$71:$C471,402-MA_MED):$C471),"")</f>
        <v>1085566153.16</v>
      </c>
      <c r="K471" s="52" t="n">
        <f aca="false">IF(AND(ISNUMBER($G471),$G471&gt;=MA_LONG2),AVERAGE(INDEX($C$71:$C471,402-MA_LONG2):$C471),"")</f>
        <v>979878266.005</v>
      </c>
      <c r="L471" s="53" t="n">
        <f aca="false">IF(AND(ISNUMBER($G471),$G471&gt;=21),STDEV(INDEX($H$411:$H471,62-20):$H471)*SQRT(245),"")</f>
        <v>0.168624703885662</v>
      </c>
      <c r="M471" s="52" t="n">
        <f aca="false">IF(AND(ISNUMBER($G471),$G471&gt;=60),MAX(INDEX($D$271:$D471,202-60):$D471),"")</f>
        <v>1147107872</v>
      </c>
      <c r="N471" s="52" t="n">
        <f aca="false">IF(AND(ISNUMBER($G471),$G471&gt;=60),MIN(INDEX($E$271:$E471,202-60):$E471),"")</f>
        <v>1031729920</v>
      </c>
      <c r="O471" s="53" t="n">
        <f aca="false">IF(OR(NOT(ISNUMBER($C471)),NOT(ISNUMBER($M471)),$M471=0),"",$C471/$M471-1)</f>
        <v>-0.0594668458521397</v>
      </c>
      <c r="P471" s="54"/>
      <c r="Q471" s="53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1109302489</v>
      </c>
      <c r="D472" s="49" t="n">
        <v>1113145365</v>
      </c>
      <c r="E472" s="49" t="n">
        <v>1106235828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0.0281858390246184</v>
      </c>
      <c r="I472" s="52" t="n">
        <f aca="false">IF(AND(ISNUMBER($G472),$G472&gt;=MA_SHORT),AVERAGE(INDEX($C$72:$C472,402-MA_SHORT):$C472),"")</f>
        <v>1071740311.45</v>
      </c>
      <c r="J472" s="52" t="n">
        <f aca="false">IF(AND(ISNUMBER($G472),$G472&gt;=MA_MED),AVERAGE(INDEX($C$72:$C472,402-MA_MED):$C472),"")</f>
        <v>1085914895.44</v>
      </c>
      <c r="K472" s="52" t="n">
        <f aca="false">IF(AND(ISNUMBER($G472),$G472&gt;=MA_LONG2),AVERAGE(INDEX($C$72:$C472,402-MA_LONG2):$C472),"")</f>
        <v>980985875.855</v>
      </c>
      <c r="L472" s="53" t="n">
        <f aca="false">IF(AND(ISNUMBER($G472),$G472&gt;=21),STDEV(INDEX($H$412:$H472,62-20):$H472)*SQRT(245),"")</f>
        <v>0.196676537969164</v>
      </c>
      <c r="M472" s="52" t="n">
        <f aca="false">IF(AND(ISNUMBER($G472),$G472&gt;=60),MAX(INDEX($D$272:$D472,202-60):$D472),"")</f>
        <v>1147107872</v>
      </c>
      <c r="N472" s="52" t="n">
        <f aca="false">IF(AND(ISNUMBER($G472),$G472&gt;=60),MIN(INDEX($E$272:$E472,202-60):$E472),"")</f>
        <v>1031729920</v>
      </c>
      <c r="O472" s="53" t="n">
        <f aca="false">IF(OR(NOT(ISNUMBER($C472)),NOT(ISNUMBER($M472)),$M472=0),"",$C472/$M472-1)</f>
        <v>-0.0329571297720115</v>
      </c>
      <c r="P472" s="54"/>
      <c r="Q472" s="53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1116319711</v>
      </c>
      <c r="D473" s="49" t="n">
        <v>1124918764</v>
      </c>
      <c r="E473" s="49" t="n">
        <v>1109196782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0.00632579667816824</v>
      </c>
      <c r="I473" s="52" t="n">
        <f aca="false">IF(AND(ISNUMBER($G473),$G473&gt;=MA_SHORT),AVERAGE(INDEX($C$73:$C473,402-MA_SHORT):$C473),"")</f>
        <v>1073228945.15</v>
      </c>
      <c r="J473" s="52" t="n">
        <f aca="false">IF(AND(ISNUMBER($G473),$G473&gt;=MA_MED),AVERAGE(INDEX($C$73:$C473,402-MA_MED):$C473),"")</f>
        <v>1085958188.16</v>
      </c>
      <c r="K473" s="52" t="n">
        <f aca="false">IF(AND(ISNUMBER($G473),$G473&gt;=MA_LONG2),AVERAGE(INDEX($C$73:$C473,402-MA_LONG2):$C473),"")</f>
        <v>982201227.465</v>
      </c>
      <c r="L473" s="53" t="n">
        <f aca="false">IF(AND(ISNUMBER($G473),$G473&gt;=21),STDEV(INDEX($H$413:$H473,62-20):$H473)*SQRT(245),"")</f>
        <v>0.194554330400697</v>
      </c>
      <c r="M473" s="52" t="n">
        <f aca="false">IF(AND(ISNUMBER($G473),$G473&gt;=60),MAX(INDEX($D$273:$D473,202-60):$D473),"")</f>
        <v>1147107872</v>
      </c>
      <c r="N473" s="52" t="n">
        <f aca="false">IF(AND(ISNUMBER($G473),$G473&gt;=60),MIN(INDEX($E$273:$E473,202-60):$E473),"")</f>
        <v>1031729920</v>
      </c>
      <c r="O473" s="53" t="n">
        <f aca="false">IF(OR(NOT(ISNUMBER($C473)),NOT(ISNUMBER($M473)),$M473=0),"",$C473/$M473-1)</f>
        <v>-0.026839813195877</v>
      </c>
      <c r="P473" s="54"/>
      <c r="Q473" s="53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1088540871</v>
      </c>
      <c r="D474" s="49" t="n">
        <v>1096915809</v>
      </c>
      <c r="E474" s="49" t="n">
        <v>1083254253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-0.0248843048512649</v>
      </c>
      <c r="I474" s="52" t="n">
        <f aca="false">IF(AND(ISNUMBER($G474),$G474&gt;=MA_SHORT),AVERAGE(INDEX($C$74:$C474,402-MA_SHORT):$C474),"")</f>
        <v>1073433559.9</v>
      </c>
      <c r="J474" s="52" t="n">
        <f aca="false">IF(AND(ISNUMBER($G474),$G474&gt;=MA_MED),AVERAGE(INDEX($C$74:$C474,402-MA_MED):$C474),"")</f>
        <v>1085499098.64</v>
      </c>
      <c r="K474" s="52" t="n">
        <f aca="false">IF(AND(ISNUMBER($G474),$G474&gt;=MA_LONG2),AVERAGE(INDEX($C$74:$C474,402-MA_LONG2):$C474),"")</f>
        <v>983313086.52</v>
      </c>
      <c r="L474" s="53" t="n">
        <f aca="false">IF(AND(ISNUMBER($G474),$G474&gt;=21),STDEV(INDEX($H$414:$H474,62-20):$H474)*SQRT(245),"")</f>
        <v>0.215156206660956</v>
      </c>
      <c r="M474" s="52" t="n">
        <f aca="false">IF(AND(ISNUMBER($G474),$G474&gt;=60),MAX(INDEX($D$274:$D474,202-60):$D474),"")</f>
        <v>1147107872</v>
      </c>
      <c r="N474" s="52" t="n">
        <f aca="false">IF(AND(ISNUMBER($G474),$G474&gt;=60),MIN(INDEX($E$274:$E474,202-60):$E474),"")</f>
        <v>1031729920</v>
      </c>
      <c r="O474" s="53" t="n">
        <f aca="false">IF(OR(NOT(ISNUMBER($C474)),NOT(ISNUMBER($M474)),$M474=0),"",$C474/$M474-1)</f>
        <v>-0.0510562279534248</v>
      </c>
      <c r="P474" s="54"/>
      <c r="Q474" s="53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1106074221</v>
      </c>
      <c r="D475" s="49" t="n">
        <v>1110099960</v>
      </c>
      <c r="E475" s="49" t="n">
        <v>1102889218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0.0161072041180161</v>
      </c>
      <c r="I475" s="52" t="n">
        <f aca="false">IF(AND(ISNUMBER($G475),$G475&gt;=MA_SHORT),AVERAGE(INDEX($C$75:$C475,402-MA_SHORT):$C475),"")</f>
        <v>1074108425.7</v>
      </c>
      <c r="J475" s="52" t="n">
        <f aca="false">IF(AND(ISNUMBER($G475),$G475&gt;=MA_MED),AVERAGE(INDEX($C$75:$C475,402-MA_MED):$C475),"")</f>
        <v>1085260296.2</v>
      </c>
      <c r="K475" s="52" t="n">
        <f aca="false">IF(AND(ISNUMBER($G475),$G475&gt;=MA_LONG2),AVERAGE(INDEX($C$75:$C475,402-MA_LONG2):$C475),"")</f>
        <v>984462155.77</v>
      </c>
      <c r="L475" s="53" t="n">
        <f aca="false">IF(AND(ISNUMBER($G475),$G475&gt;=21),STDEV(INDEX($H$415:$H475,62-20):$H475)*SQRT(245),"")</f>
        <v>0.22091556242041</v>
      </c>
      <c r="M475" s="52" t="n">
        <f aca="false">IF(AND(ISNUMBER($G475),$G475&gt;=60),MAX(INDEX($D$275:$D475,202-60):$D475),"")</f>
        <v>1147107872</v>
      </c>
      <c r="N475" s="52" t="n">
        <f aca="false">IF(AND(ISNUMBER($G475),$G475&gt;=60),MIN(INDEX($E$275:$E475,202-60):$E475),"")</f>
        <v>1031729920</v>
      </c>
      <c r="O475" s="53" t="n">
        <f aca="false">IF(OR(NOT(ISNUMBER($C475)),NOT(ISNUMBER($M475)),$M475=0),"",$C475/$M475-1)</f>
        <v>-0.0357713969205504</v>
      </c>
      <c r="P475" s="54"/>
      <c r="Q475" s="53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1123668208</v>
      </c>
      <c r="D476" s="49" t="n">
        <v>1128219809</v>
      </c>
      <c r="E476" s="49" t="n">
        <v>1116801365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0.0159066965543173</v>
      </c>
      <c r="I476" s="52" t="n">
        <f aca="false">IF(AND(ISNUMBER($G476),$G476&gt;=MA_SHORT),AVERAGE(INDEX($C$76:$C476,402-MA_SHORT):$C476),"")</f>
        <v>1076315800.25</v>
      </c>
      <c r="J476" s="52" t="n">
        <f aca="false">IF(AND(ISNUMBER($G476),$G476&gt;=MA_MED),AVERAGE(INDEX($C$76:$C476,402-MA_MED):$C476),"")</f>
        <v>1085548104.36</v>
      </c>
      <c r="K476" s="52" t="n">
        <f aca="false">IF(AND(ISNUMBER($G476),$G476&gt;=MA_LONG2),AVERAGE(INDEX($C$76:$C476,402-MA_LONG2):$C476),"")</f>
        <v>985668894.575</v>
      </c>
      <c r="L476" s="53" t="n">
        <f aca="false">IF(AND(ISNUMBER($G476),$G476&gt;=21),STDEV(INDEX($H$416:$H476,62-20):$H476)*SQRT(245),"")</f>
        <v>0.221846253405431</v>
      </c>
      <c r="M476" s="52" t="n">
        <f aca="false">IF(AND(ISNUMBER($G476),$G476&gt;=60),MAX(INDEX($D$276:$D476,202-60):$D476),"")</f>
        <v>1147107872</v>
      </c>
      <c r="N476" s="52" t="n">
        <f aca="false">IF(AND(ISNUMBER($G476),$G476&gt;=60),MIN(INDEX($E$276:$E476,202-60):$E476),"")</f>
        <v>1031729920</v>
      </c>
      <c r="O476" s="53" t="n">
        <f aca="false">IF(OR(NOT(ISNUMBER($C476)),NOT(ISNUMBER($M476)),$M476=0),"",$C476/$M476-1)</f>
        <v>-0.0204337051223723</v>
      </c>
      <c r="P476" s="54"/>
      <c r="Q476" s="53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1096955474</v>
      </c>
      <c r="D477" s="49" t="n">
        <v>1099831923</v>
      </c>
      <c r="E477" s="49" t="n">
        <v>1091232889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-0.0237727950384443</v>
      </c>
      <c r="I477" s="52" t="n">
        <f aca="false">IF(AND(ISNUMBER($G477),$G477&gt;=MA_SHORT),AVERAGE(INDEX($C$77:$C477,402-MA_SHORT):$C477),"")</f>
        <v>1077396527.65</v>
      </c>
      <c r="J477" s="52" t="n">
        <f aca="false">IF(AND(ISNUMBER($G477),$G477&gt;=MA_MED),AVERAGE(INDEX($C$77:$C477,402-MA_MED):$C477),"")</f>
        <v>1084620964.68</v>
      </c>
      <c r="K477" s="52" t="n">
        <f aca="false">IF(AND(ISNUMBER($G477),$G477&gt;=MA_LONG2),AVERAGE(INDEX($C$77:$C477,402-MA_LONG2):$C477),"")</f>
        <v>986664634.91</v>
      </c>
      <c r="L477" s="53" t="n">
        <f aca="false">IF(AND(ISNUMBER($G477),$G477&gt;=21),STDEV(INDEX($H$417:$H477,62-20):$H477)*SQRT(245),"")</f>
        <v>0.239024944569586</v>
      </c>
      <c r="M477" s="52" t="n">
        <f aca="false">IF(AND(ISNUMBER($G477),$G477&gt;=60),MAX(INDEX($D$277:$D477,202-60):$D477),"")</f>
        <v>1147107872</v>
      </c>
      <c r="N477" s="52" t="n">
        <f aca="false">IF(AND(ISNUMBER($G477),$G477&gt;=60),MIN(INDEX($E$277:$E477,202-60):$E477),"")</f>
        <v>1031729920</v>
      </c>
      <c r="O477" s="53" t="n">
        <f aca="false">IF(OR(NOT(ISNUMBER($C477)),NOT(ISNUMBER($M477)),$M477=0),"",$C477/$M477-1)</f>
        <v>-0.0437207338770664</v>
      </c>
      <c r="P477" s="54"/>
      <c r="Q477" s="53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1082930284</v>
      </c>
      <c r="D478" s="49" t="n">
        <v>1084066898</v>
      </c>
      <c r="E478" s="49" t="n">
        <v>1079185181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-0.0127855599725099</v>
      </c>
      <c r="I478" s="52" t="n">
        <f aca="false">IF(AND(ISNUMBER($G478),$G478&gt;=MA_SHORT),AVERAGE(INDEX($C$78:$C478,402-MA_SHORT):$C478),"")</f>
        <v>1077074658</v>
      </c>
      <c r="J478" s="52" t="n">
        <f aca="false">IF(AND(ISNUMBER($G478),$G478&gt;=MA_MED),AVERAGE(INDEX($C$78:$C478,402-MA_MED):$C478),"")</f>
        <v>1083801164.76</v>
      </c>
      <c r="K478" s="52" t="n">
        <f aca="false">IF(AND(ISNUMBER($G478),$G478&gt;=MA_LONG2),AVERAGE(INDEX($C$78:$C478,402-MA_LONG2):$C478),"")</f>
        <v>987639262.715</v>
      </c>
      <c r="L478" s="53" t="n">
        <f aca="false">IF(AND(ISNUMBER($G478),$G478&gt;=21),STDEV(INDEX($H$418:$H478,62-20):$H478)*SQRT(245),"")</f>
        <v>0.239486020722922</v>
      </c>
      <c r="M478" s="52" t="n">
        <f aca="false">IF(AND(ISNUMBER($G478),$G478&gt;=60),MAX(INDEX($D$278:$D478,202-60):$D478),"")</f>
        <v>1147107872</v>
      </c>
      <c r="N478" s="52" t="n">
        <f aca="false">IF(AND(ISNUMBER($G478),$G478&gt;=60),MIN(INDEX($E$278:$E478,202-60):$E478),"")</f>
        <v>1031729920</v>
      </c>
      <c r="O478" s="53" t="n">
        <f aca="false">IF(OR(NOT(ISNUMBER($C478)),NOT(ISNUMBER($M478)),$M478=0),"",$C478/$M478-1)</f>
        <v>-0.0559472997845489</v>
      </c>
      <c r="P478" s="54"/>
      <c r="Q478" s="53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1094835937</v>
      </c>
      <c r="D479" s="49" t="n">
        <v>1096859282</v>
      </c>
      <c r="E479" s="49" t="n">
        <v>1092805437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0.0109939237787535</v>
      </c>
      <c r="I479" s="52" t="n">
        <f aca="false">IF(AND(ISNUMBER($G479),$G479&gt;=MA_SHORT),AVERAGE(INDEX($C$79:$C479,402-MA_SHORT):$C479),"")</f>
        <v>1077470972.35</v>
      </c>
      <c r="J479" s="52" t="n">
        <f aca="false">IF(AND(ISNUMBER($G479),$G479&gt;=MA_MED),AVERAGE(INDEX($C$79:$C479,402-MA_MED):$C479),"")</f>
        <v>1083094150.3</v>
      </c>
      <c r="K479" s="52" t="n">
        <f aca="false">IF(AND(ISNUMBER($G479),$G479&gt;=MA_LONG2),AVERAGE(INDEX($C$79:$C479,402-MA_LONG2):$C479),"")</f>
        <v>988618473.505</v>
      </c>
      <c r="L479" s="53" t="n">
        <f aca="false">IF(AND(ISNUMBER($G479),$G479&gt;=21),STDEV(INDEX($H$419:$H479,62-20):$H479)*SQRT(245),"")</f>
        <v>0.242480039163168</v>
      </c>
      <c r="M479" s="52" t="n">
        <f aca="false">IF(AND(ISNUMBER($G479),$G479&gt;=60),MAX(INDEX($D$279:$D479,202-60):$D479),"")</f>
        <v>1147107872</v>
      </c>
      <c r="N479" s="52" t="n">
        <f aca="false">IF(AND(ISNUMBER($G479),$G479&gt;=60),MIN(INDEX($E$279:$E479,202-60):$E479),"")</f>
        <v>1031729920</v>
      </c>
      <c r="O479" s="53" t="n">
        <f aca="false">IF(OR(NOT(ISNUMBER($C479)),NOT(ISNUMBER($M479)),$M479=0),"",$C479/$M479-1)</f>
        <v>-0.0455684563552538</v>
      </c>
      <c r="P479" s="54"/>
      <c r="Q479" s="53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1105863567</v>
      </c>
      <c r="D480" s="49" t="n">
        <v>1106472363</v>
      </c>
      <c r="E480" s="49" t="n">
        <v>1103715923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0.0100724041176592</v>
      </c>
      <c r="I480" s="52" t="n">
        <f aca="false">IF(AND(ISNUMBER($G480),$G480&gt;=MA_SHORT),AVERAGE(INDEX($C$80:$C480,402-MA_SHORT):$C480),"")</f>
        <v>1079073402</v>
      </c>
      <c r="J480" s="52" t="n">
        <f aca="false">IF(AND(ISNUMBER($G480),$G480&gt;=MA_MED),AVERAGE(INDEX($C$80:$C480,402-MA_MED):$C480),"")</f>
        <v>1082632604.68</v>
      </c>
      <c r="K480" s="52" t="n">
        <f aca="false">IF(AND(ISNUMBER($G480),$G480&gt;=MA_LONG2),AVERAGE(INDEX($C$80:$C480,402-MA_LONG2):$C480),"")</f>
        <v>989610824.635</v>
      </c>
      <c r="L480" s="53" t="n">
        <f aca="false">IF(AND(ISNUMBER($G480),$G480&gt;=21),STDEV(INDEX($H$420:$H480,62-20):$H480)*SQRT(245),"")</f>
        <v>0.240094725038317</v>
      </c>
      <c r="M480" s="52" t="n">
        <f aca="false">IF(AND(ISNUMBER($G480),$G480&gt;=60),MAX(INDEX($D$280:$D480,202-60):$D480),"")</f>
        <v>1147107872</v>
      </c>
      <c r="N480" s="52" t="n">
        <f aca="false">IF(AND(ISNUMBER($G480),$G480&gt;=60),MIN(INDEX($E$280:$E480,202-60):$E480),"")</f>
        <v>1031729920</v>
      </c>
      <c r="O480" s="53" t="n">
        <f aca="false">IF(OR(NOT(ISNUMBER($C480)),NOT(ISNUMBER($M480)),$M480=0),"",$C480/$M480-1)</f>
        <v>-0.0359550361450226</v>
      </c>
      <c r="P480" s="54"/>
      <c r="Q480" s="53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1135070212</v>
      </c>
      <c r="D481" s="49" t="n">
        <v>1140135164</v>
      </c>
      <c r="E481" s="49" t="n">
        <v>1134623222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0.026410712742108</v>
      </c>
      <c r="I481" s="52" t="n">
        <f aca="false">IF(AND(ISNUMBER($G481),$G481&gt;=MA_SHORT),AVERAGE(INDEX($C$81:$C481,402-MA_SHORT):$C481),"")</f>
        <v>1082817510.9</v>
      </c>
      <c r="J481" s="52" t="n">
        <f aca="false">IF(AND(ISNUMBER($G481),$G481&gt;=MA_MED),AVERAGE(INDEX($C$81:$C481,402-MA_MED):$C481),"")</f>
        <v>1082603397.58</v>
      </c>
      <c r="K481" s="52" t="n">
        <f aca="false">IF(AND(ISNUMBER($G481),$G481&gt;=MA_LONG2),AVERAGE(INDEX($C$81:$C481,402-MA_LONG2):$C481),"")</f>
        <v>990808865.04</v>
      </c>
      <c r="L481" s="53" t="n">
        <f aca="false">IF(AND(ISNUMBER($G481),$G481&gt;=21),STDEV(INDEX($H$421:$H481,62-20):$H481)*SQRT(245),"")</f>
        <v>0.24895998958523</v>
      </c>
      <c r="M481" s="52" t="n">
        <f aca="false">IF(AND(ISNUMBER($G481),$G481&gt;=60),MAX(INDEX($D$281:$D481,202-60):$D481),"")</f>
        <v>1147107872</v>
      </c>
      <c r="N481" s="52" t="n">
        <f aca="false">IF(AND(ISNUMBER($G481),$G481&gt;=60),MIN(INDEX($E$281:$E481,202-60):$E481),"")</f>
        <v>1031729920</v>
      </c>
      <c r="O481" s="53" t="n">
        <f aca="false">IF(OR(NOT(ISNUMBER($C481)),NOT(ISNUMBER($M481)),$M481=0),"",$C481/$M481-1)</f>
        <v>-0.0104939215341728</v>
      </c>
      <c r="P481" s="54"/>
      <c r="Q481" s="53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1125304862</v>
      </c>
      <c r="D482" s="49" t="n">
        <v>1126558909</v>
      </c>
      <c r="E482" s="49" t="n">
        <v>1120487576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-0.00860330039213464</v>
      </c>
      <c r="I482" s="52" t="n">
        <f aca="false">IF(AND(ISNUMBER($G482),$G482&gt;=MA_SHORT),AVERAGE(INDEX($C$82:$C482,402-MA_SHORT):$C482),"")</f>
        <v>1086378509.1</v>
      </c>
      <c r="J482" s="52" t="n">
        <f aca="false">IF(AND(ISNUMBER($G482),$G482&gt;=MA_MED),AVERAGE(INDEX($C$82:$C482,402-MA_MED):$C482),"")</f>
        <v>1082667595.38</v>
      </c>
      <c r="K482" s="52" t="n">
        <f aca="false">IF(AND(ISNUMBER($G482),$G482&gt;=MA_LONG2),AVERAGE(INDEX($C$82:$C482,402-MA_LONG2):$C482),"")</f>
        <v>991916920.62</v>
      </c>
      <c r="L482" s="53" t="n">
        <f aca="false">IF(AND(ISNUMBER($G482),$G482&gt;=21),STDEV(INDEX($H$422:$H482,62-20):$H482)*SQRT(245),"")</f>
        <v>0.250524878961671</v>
      </c>
      <c r="M482" s="52" t="n">
        <f aca="false">IF(AND(ISNUMBER($G482),$G482&gt;=60),MAX(INDEX($D$282:$D482,202-60):$D482),"")</f>
        <v>1147107872</v>
      </c>
      <c r="N482" s="52" t="n">
        <f aca="false">IF(AND(ISNUMBER($G482),$G482&gt;=60),MIN(INDEX($E$282:$E482,202-60):$E482),"")</f>
        <v>1031729920</v>
      </c>
      <c r="O482" s="53" t="n">
        <f aca="false">IF(OR(NOT(ISNUMBER($C482)),NOT(ISNUMBER($M482)),$M482=0),"",$C482/$M482-1)</f>
        <v>-0.0190069395670576</v>
      </c>
      <c r="P482" s="54"/>
      <c r="Q482" s="53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1101822550</v>
      </c>
      <c r="D483" s="49" t="n">
        <v>1108649777</v>
      </c>
      <c r="E483" s="49" t="n">
        <v>1099967329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-0.0208675113677772</v>
      </c>
      <c r="I483" s="52" t="n">
        <f aca="false">IF(AND(ISNUMBER($G483),$G483&gt;=MA_SHORT),AVERAGE(INDEX($C$83:$C483,402-MA_SHORT):$C483),"")</f>
        <v>1089071925</v>
      </c>
      <c r="J483" s="52" t="n">
        <f aca="false">IF(AND(ISNUMBER($G483),$G483&gt;=MA_MED),AVERAGE(INDEX($C$83:$C483,402-MA_MED):$C483),"")</f>
        <v>1082567765.82</v>
      </c>
      <c r="K483" s="52" t="n">
        <f aca="false">IF(AND(ISNUMBER($G483),$G483&gt;=MA_LONG2),AVERAGE(INDEX($C$83:$C483,402-MA_LONG2):$C483),"")</f>
        <v>992888665.74</v>
      </c>
      <c r="L483" s="53" t="n">
        <f aca="false">IF(AND(ISNUMBER($G483),$G483&gt;=21),STDEV(INDEX($H$423:$H483,62-20):$H483)*SQRT(245),"")</f>
        <v>0.262894852195198</v>
      </c>
      <c r="M483" s="52" t="n">
        <f aca="false">IF(AND(ISNUMBER($G483),$G483&gt;=60),MAX(INDEX($D$283:$D483,202-60):$D483),"")</f>
        <v>1147107872</v>
      </c>
      <c r="N483" s="52" t="n">
        <f aca="false">IF(AND(ISNUMBER($G483),$G483&gt;=60),MIN(INDEX($E$283:$E483,202-60):$E483),"")</f>
        <v>1031729920</v>
      </c>
      <c r="O483" s="53" t="n">
        <f aca="false">IF(OR(NOT(ISNUMBER($C483)),NOT(ISNUMBER($M483)),$M483=0),"",$C483/$M483-1)</f>
        <v>-0.0394778234073526</v>
      </c>
      <c r="P483" s="54"/>
      <c r="Q483" s="53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1103589081</v>
      </c>
      <c r="D484" s="49" t="n">
        <v>1104001566</v>
      </c>
      <c r="E484" s="49" t="n">
        <v>1102742704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0.00160328085497974</v>
      </c>
      <c r="I484" s="52" t="n">
        <f aca="false">IF(AND(ISNUMBER($G484),$G484&gt;=MA_SHORT),AVERAGE(INDEX($C$84:$C484,402-MA_SHORT):$C484),"")</f>
        <v>1092330918.3</v>
      </c>
      <c r="J484" s="52" t="n">
        <f aca="false">IF(AND(ISNUMBER($G484),$G484&gt;=MA_MED),AVERAGE(INDEX($C$84:$C484,402-MA_MED):$C484),"")</f>
        <v>1082708005.96</v>
      </c>
      <c r="K484" s="52" t="n">
        <f aca="false">IF(AND(ISNUMBER($G484),$G484&gt;=MA_LONG2),AVERAGE(INDEX($C$84:$C484,402-MA_LONG2):$C484),"")</f>
        <v>993795017.765</v>
      </c>
      <c r="L484" s="53" t="n">
        <f aca="false">IF(AND(ISNUMBER($G484),$G484&gt;=21),STDEV(INDEX($H$424:$H484,62-20):$H484)*SQRT(245),"")</f>
        <v>0.259370227891697</v>
      </c>
      <c r="M484" s="52" t="n">
        <f aca="false">IF(AND(ISNUMBER($G484),$G484&gt;=60),MAX(INDEX($D$284:$D484,202-60):$D484),"")</f>
        <v>1147107872</v>
      </c>
      <c r="N484" s="52" t="n">
        <f aca="false">IF(AND(ISNUMBER($G484),$G484&gt;=60),MIN(INDEX($E$284:$E484,202-60):$E484),"")</f>
        <v>1031729920</v>
      </c>
      <c r="O484" s="53" t="n">
        <f aca="false">IF(OR(NOT(ISNUMBER($C484)),NOT(ISNUMBER($M484)),$M484=0),"",$C484/$M484-1)</f>
        <v>-0.0379378365908381</v>
      </c>
      <c r="P484" s="54"/>
      <c r="Q484" s="53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1111814064</v>
      </c>
      <c r="D485" s="49" t="n">
        <v>1113582969</v>
      </c>
      <c r="E485" s="49" t="n">
        <v>1106851293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0.00745293981392692</v>
      </c>
      <c r="I485" s="52" t="n">
        <f aca="false">IF(AND(ISNUMBER($G485),$G485&gt;=MA_SHORT),AVERAGE(INDEX($C$85:$C485,402-MA_SHORT):$C485),"")</f>
        <v>1095234502.15</v>
      </c>
      <c r="J485" s="52" t="n">
        <f aca="false">IF(AND(ISNUMBER($G485),$G485&gt;=MA_MED),AVERAGE(INDEX($C$85:$C485,402-MA_MED):$C485),"")</f>
        <v>1083513551.76</v>
      </c>
      <c r="K485" s="52" t="n">
        <f aca="false">IF(AND(ISNUMBER($G485),$G485&gt;=MA_LONG2),AVERAGE(INDEX($C$85:$C485,402-MA_LONG2):$C485),"")</f>
        <v>994608801.225</v>
      </c>
      <c r="L485" s="53" t="n">
        <f aca="false">IF(AND(ISNUMBER($G485),$G485&gt;=21),STDEV(INDEX($H$425:$H485,62-20):$H485)*SQRT(245),"")</f>
        <v>0.256403447743613</v>
      </c>
      <c r="M485" s="52" t="n">
        <f aca="false">IF(AND(ISNUMBER($G485),$G485&gt;=60),MAX(INDEX($D$285:$D485,202-60):$D485),"")</f>
        <v>1147107872</v>
      </c>
      <c r="N485" s="52" t="n">
        <f aca="false">IF(AND(ISNUMBER($G485),$G485&gt;=60),MIN(INDEX($E$285:$E485,202-60):$E485),"")</f>
        <v>1031729920</v>
      </c>
      <c r="O485" s="53" t="n">
        <f aca="false">IF(OR(NOT(ISNUMBER($C485)),NOT(ISNUMBER($M485)),$M485=0),"",$C485/$M485-1)</f>
        <v>-0.0307676451896932</v>
      </c>
      <c r="P485" s="54"/>
      <c r="Q485" s="53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1110394815</v>
      </c>
      <c r="D486" s="49" t="n">
        <v>1116916171</v>
      </c>
      <c r="E486" s="49" t="n">
        <v>1105271574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-0.00127651650213345</v>
      </c>
      <c r="I486" s="52" t="n">
        <f aca="false">IF(AND(ISNUMBER($G486),$G486&gt;=MA_SHORT),AVERAGE(INDEX($C$86:$C486,402-MA_SHORT):$C486),"")</f>
        <v>1097628396.4</v>
      </c>
      <c r="J486" s="52" t="n">
        <f aca="false">IF(AND(ISNUMBER($G486),$G486&gt;=MA_MED),AVERAGE(INDEX($C$86:$C486,402-MA_MED):$C486),"")</f>
        <v>1083994213.5</v>
      </c>
      <c r="K486" s="52" t="n">
        <f aca="false">IF(AND(ISNUMBER($G486),$G486&gt;=MA_LONG2),AVERAGE(INDEX($C$86:$C486,402-MA_LONG2):$C486),"")</f>
        <v>995468899.515</v>
      </c>
      <c r="L486" s="53" t="n">
        <f aca="false">IF(AND(ISNUMBER($G486),$G486&gt;=21),STDEV(INDEX($H$426:$H486,62-20):$H486)*SQRT(245),"")</f>
        <v>0.255943213952699</v>
      </c>
      <c r="M486" s="52" t="n">
        <f aca="false">IF(AND(ISNUMBER($G486),$G486&gt;=60),MAX(INDEX($D$286:$D486,202-60):$D486),"")</f>
        <v>1147107872</v>
      </c>
      <c r="N486" s="52" t="n">
        <f aca="false">IF(AND(ISNUMBER($G486),$G486&gt;=60),MIN(INDEX($E$286:$E486,202-60):$E486),"")</f>
        <v>1031729920</v>
      </c>
      <c r="O486" s="53" t="n">
        <f aca="false">IF(OR(NOT(ISNUMBER($C486)),NOT(ISNUMBER($M486)),$M486=0),"",$C486/$M486-1)</f>
        <v>-0.0320048862850102</v>
      </c>
      <c r="P486" s="54"/>
      <c r="Q486" s="53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1118032549</v>
      </c>
      <c r="D487" s="49" t="n">
        <v>1122179400</v>
      </c>
      <c r="E487" s="49" t="n">
        <v>1110393149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0.00687839487074693</v>
      </c>
      <c r="I487" s="52" t="n">
        <f aca="false">IF(AND(ISNUMBER($G487),$G487&gt;=MA_SHORT),AVERAGE(INDEX($C$87:$C487,402-MA_SHORT):$C487),"")</f>
        <v>1100335169.2</v>
      </c>
      <c r="J487" s="52" t="n">
        <f aca="false">IF(AND(ISNUMBER($G487),$G487&gt;=MA_MED),AVERAGE(INDEX($C$87:$C487,402-MA_MED):$C487),"")</f>
        <v>1084736883.6</v>
      </c>
      <c r="K487" s="52" t="n">
        <f aca="false">IF(AND(ISNUMBER($G487),$G487&gt;=MA_LONG2),AVERAGE(INDEX($C$87:$C487,402-MA_LONG2):$C487),"")</f>
        <v>996332932.735</v>
      </c>
      <c r="L487" s="53" t="n">
        <f aca="false">IF(AND(ISNUMBER($G487),$G487&gt;=21),STDEV(INDEX($H$427:$H487,62-20):$H487)*SQRT(245),"")</f>
        <v>0.25639709314583</v>
      </c>
      <c r="M487" s="52" t="n">
        <f aca="false">IF(AND(ISNUMBER($G487),$G487&gt;=60),MAX(INDEX($D$287:$D487,202-60):$D487),"")</f>
        <v>1140135164</v>
      </c>
      <c r="N487" s="52" t="n">
        <f aca="false">IF(AND(ISNUMBER($G487),$G487&gt;=60),MIN(INDEX($E$287:$E487,202-60):$E487),"")</f>
        <v>1031729920</v>
      </c>
      <c r="O487" s="53" t="n">
        <f aca="false">IF(OR(NOT(ISNUMBER($C487)),NOT(ISNUMBER($M487)),$M487=0),"",$C487/$M487-1)</f>
        <v>-0.01938596027725</v>
      </c>
      <c r="P487" s="54"/>
      <c r="Q487" s="53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1125370835</v>
      </c>
      <c r="D488" s="49" t="n">
        <v>1125522468</v>
      </c>
      <c r="E488" s="49" t="n">
        <v>1121536724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0.00656357098598215</v>
      </c>
      <c r="I488" s="52" t="n">
        <f aca="false">IF(AND(ISNUMBER($G488),$G488&gt;=MA_SHORT),AVERAGE(INDEX($C$88:$C488,402-MA_SHORT):$C488),"")</f>
        <v>1102736793.4</v>
      </c>
      <c r="J488" s="52" t="n">
        <f aca="false">IF(AND(ISNUMBER($G488),$G488&gt;=MA_MED),AVERAGE(INDEX($C$88:$C488,402-MA_MED):$C488),"")</f>
        <v>1085609772.32</v>
      </c>
      <c r="K488" s="52" t="n">
        <f aca="false">IF(AND(ISNUMBER($G488),$G488&gt;=MA_LONG2),AVERAGE(INDEX($C$88:$C488,402-MA_LONG2):$C488),"")</f>
        <v>997291326.245</v>
      </c>
      <c r="L488" s="53" t="n">
        <f aca="false">IF(AND(ISNUMBER($G488),$G488&gt;=21),STDEV(INDEX($H$428:$H488,62-20):$H488)*SQRT(245),"")</f>
        <v>0.254208424036871</v>
      </c>
      <c r="M488" s="52" t="n">
        <f aca="false">IF(AND(ISNUMBER($G488),$G488&gt;=60),MAX(INDEX($D$288:$D488,202-60):$D488),"")</f>
        <v>1140135164</v>
      </c>
      <c r="N488" s="52" t="n">
        <f aca="false">IF(AND(ISNUMBER($G488),$G488&gt;=60),MIN(INDEX($E$288:$E488,202-60):$E488),"")</f>
        <v>1031729920</v>
      </c>
      <c r="O488" s="53" t="n">
        <f aca="false">IF(OR(NOT(ISNUMBER($C488)),NOT(ISNUMBER($M488)),$M488=0),"",$C488/$M488-1)</f>
        <v>-0.0129496304176792</v>
      </c>
      <c r="P488" s="54"/>
      <c r="Q488" s="53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1147221635</v>
      </c>
      <c r="D489" s="49" t="n">
        <v>1154098116</v>
      </c>
      <c r="E489" s="49" t="n">
        <v>1145247751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0.0194165330399734</v>
      </c>
      <c r="I489" s="52" t="n">
        <f aca="false">IF(AND(ISNUMBER($G489),$G489&gt;=MA_SHORT),AVERAGE(INDEX($C$89:$C489,402-MA_SHORT):$C489),"")</f>
        <v>1106766288.1</v>
      </c>
      <c r="J489" s="52" t="n">
        <f aca="false">IF(AND(ISNUMBER($G489),$G489&gt;=MA_MED),AVERAGE(INDEX($C$89:$C489,402-MA_MED):$C489),"")</f>
        <v>1086784124.44</v>
      </c>
      <c r="K489" s="52" t="n">
        <f aca="false">IF(AND(ISNUMBER($G489),$G489&gt;=MA_LONG2),AVERAGE(INDEX($C$89:$C489,402-MA_LONG2):$C489),"")</f>
        <v>998323321.38</v>
      </c>
      <c r="L489" s="53" t="n">
        <f aca="false">IF(AND(ISNUMBER($G489),$G489&gt;=21),STDEV(INDEX($H$429:$H489,62-20):$H489)*SQRT(245),"")</f>
        <v>0.256722609354977</v>
      </c>
      <c r="M489" s="52" t="n">
        <f aca="false">IF(AND(ISNUMBER($G489),$G489&gt;=60),MAX(INDEX($D$289:$D489,202-60):$D489),"")</f>
        <v>1154098116</v>
      </c>
      <c r="N489" s="52" t="n">
        <f aca="false">IF(AND(ISNUMBER($G489),$G489&gt;=60),MIN(INDEX($E$289:$E489,202-60):$E489),"")</f>
        <v>1031729920</v>
      </c>
      <c r="O489" s="53" t="n">
        <f aca="false">IF(OR(NOT(ISNUMBER($C489)),NOT(ISNUMBER($M489)),$M489=0),"",$C489/$M489-1)</f>
        <v>-0.0059583157659362</v>
      </c>
      <c r="P489" s="54"/>
      <c r="Q489" s="53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1136157790</v>
      </c>
      <c r="D490" s="49" t="n">
        <v>1137332537</v>
      </c>
      <c r="E490" s="49" t="n">
        <v>1134377546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-0.00964403447638951</v>
      </c>
      <c r="I490" s="52" t="n">
        <f aca="false">IF(AND(ISNUMBER($G490),$G490&gt;=MA_SHORT),AVERAGE(INDEX($C$90:$C490,402-MA_SHORT):$C490),"")</f>
        <v>1110908107</v>
      </c>
      <c r="J490" s="52" t="n">
        <f aca="false">IF(AND(ISNUMBER($G490),$G490&gt;=MA_MED),AVERAGE(INDEX($C$90:$C490,402-MA_MED):$C490),"")</f>
        <v>1087852102.62</v>
      </c>
      <c r="K490" s="52" t="n">
        <f aca="false">IF(AND(ISNUMBER($G490),$G490&gt;=MA_LONG2),AVERAGE(INDEX($C$90:$C490,402-MA_LONG2):$C490),"")</f>
        <v>999348118.685</v>
      </c>
      <c r="L490" s="53" t="n">
        <f aca="false">IF(AND(ISNUMBER($G490),$G490&gt;=21),STDEV(INDEX($H$430:$H490,62-20):$H490)*SQRT(245),"")</f>
        <v>0.254590962811206</v>
      </c>
      <c r="M490" s="52" t="n">
        <f aca="false">IF(AND(ISNUMBER($G490),$G490&gt;=60),MAX(INDEX($D$290:$D490,202-60):$D490),"")</f>
        <v>1154098116</v>
      </c>
      <c r="N490" s="52" t="n">
        <f aca="false">IF(AND(ISNUMBER($G490),$G490&gt;=60),MIN(INDEX($E$290:$E490,202-60):$E490),"")</f>
        <v>1031729920</v>
      </c>
      <c r="O490" s="53" t="n">
        <f aca="false">IF(OR(NOT(ISNUMBER($C490)),NOT(ISNUMBER($M490)),$M490=0),"",$C490/$M490-1)</f>
        <v>-0.0155448880396578</v>
      </c>
      <c r="P490" s="54"/>
      <c r="Q490" s="53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1139489688</v>
      </c>
      <c r="D491" s="49" t="n">
        <v>1140737872</v>
      </c>
      <c r="E491" s="49" t="n">
        <v>1139079858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0.002932601465506</v>
      </c>
      <c r="I491" s="52" t="n">
        <f aca="false">IF(AND(ISNUMBER($G491),$G491&gt;=MA_SHORT),AVERAGE(INDEX($C$91:$C491,402-MA_SHORT):$C491),"")</f>
        <v>1113937942.15</v>
      </c>
      <c r="J491" s="52" t="n">
        <f aca="false">IF(AND(ISNUMBER($G491),$G491&gt;=MA_MED),AVERAGE(INDEX($C$91:$C491,402-MA_MED):$C491),"")</f>
        <v>1088682840.8</v>
      </c>
      <c r="K491" s="52" t="n">
        <f aca="false">IF(AND(ISNUMBER($G491),$G491&gt;=MA_LONG2),AVERAGE(INDEX($C$91:$C491,402-MA_LONG2):$C491),"")</f>
        <v>1000435183.95</v>
      </c>
      <c r="L491" s="53" t="n">
        <f aca="false">IF(AND(ISNUMBER($G491),$G491&gt;=21),STDEV(INDEX($H$431:$H491,62-20):$H491)*SQRT(245),"")</f>
        <v>0.243291154770563</v>
      </c>
      <c r="M491" s="52" t="n">
        <f aca="false">IF(AND(ISNUMBER($G491),$G491&gt;=60),MAX(INDEX($D$291:$D491,202-60):$D491),"")</f>
        <v>1154098116</v>
      </c>
      <c r="N491" s="52" t="n">
        <f aca="false">IF(AND(ISNUMBER($G491),$G491&gt;=60),MIN(INDEX($E$291:$E491,202-60):$E491),"")</f>
        <v>1031729920</v>
      </c>
      <c r="O491" s="53" t="n">
        <f aca="false">IF(OR(NOT(ISNUMBER($C491)),NOT(ISNUMBER($M491)),$M491=0),"",$C491/$M491-1)</f>
        <v>-0.0126578735355981</v>
      </c>
      <c r="P491" s="54"/>
      <c r="Q491" s="53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1143503253</v>
      </c>
      <c r="D492" s="49" t="n">
        <v>1158035379</v>
      </c>
      <c r="E492" s="49" t="n">
        <v>1139510861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0.00352224775903376</v>
      </c>
      <c r="I492" s="52" t="n">
        <f aca="false">IF(AND(ISNUMBER($G492),$G492&gt;=MA_SHORT),AVERAGE(INDEX($C$92:$C492,402-MA_SHORT):$C492),"")</f>
        <v>1115647980.35</v>
      </c>
      <c r="J492" s="52" t="n">
        <f aca="false">IF(AND(ISNUMBER($G492),$G492&gt;=MA_MED),AVERAGE(INDEX($C$92:$C492,402-MA_MED):$C492),"")</f>
        <v>1089602744.16</v>
      </c>
      <c r="K492" s="52" t="n">
        <f aca="false">IF(AND(ISNUMBER($G492),$G492&gt;=MA_LONG2),AVERAGE(INDEX($C$92:$C492,402-MA_LONG2):$C492),"")</f>
        <v>1001469075.095</v>
      </c>
      <c r="L492" s="53" t="n">
        <f aca="false">IF(AND(ISNUMBER($G492),$G492&gt;=21),STDEV(INDEX($H$432:$H492,62-20):$H492)*SQRT(245),"")</f>
        <v>0.224783310777226</v>
      </c>
      <c r="M492" s="52" t="n">
        <f aca="false">IF(AND(ISNUMBER($G492),$G492&gt;=60),MAX(INDEX($D$292:$D492,202-60):$D492),"")</f>
        <v>1158035379</v>
      </c>
      <c r="N492" s="52" t="n">
        <f aca="false">IF(AND(ISNUMBER($G492),$G492&gt;=60),MIN(INDEX($E$292:$E492,202-60):$E492),"")</f>
        <v>1031729920</v>
      </c>
      <c r="O492" s="53" t="n">
        <f aca="false">IF(OR(NOT(ISNUMBER($C492)),NOT(ISNUMBER($M492)),$M492=0),"",$C492/$M492-1)</f>
        <v>-0.0125489482130925</v>
      </c>
      <c r="P492" s="54"/>
      <c r="Q492" s="53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1154769417</v>
      </c>
      <c r="D493" s="49" t="n">
        <v>1156277976</v>
      </c>
      <c r="E493" s="49" t="n">
        <v>1153947530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0.00985232352460996</v>
      </c>
      <c r="I493" s="52" t="n">
        <f aca="false">IF(AND(ISNUMBER($G493),$G493&gt;=MA_SHORT),AVERAGE(INDEX($C$93:$C493,402-MA_SHORT):$C493),"")</f>
        <v>1117570465.65</v>
      </c>
      <c r="J493" s="52" t="n">
        <f aca="false">IF(AND(ISNUMBER($G493),$G493&gt;=MA_MED),AVERAGE(INDEX($C$93:$C493,402-MA_MED):$C493),"")</f>
        <v>1091498291.46</v>
      </c>
      <c r="K493" s="52" t="n">
        <f aca="false">IF(AND(ISNUMBER($G493),$G493&gt;=MA_LONG2),AVERAGE(INDEX($C$93:$C493,402-MA_LONG2):$C493),"")</f>
        <v>1002570684.705</v>
      </c>
      <c r="L493" s="53" t="n">
        <f aca="false">IF(AND(ISNUMBER($G493),$G493&gt;=21),STDEV(INDEX($H$433:$H493,62-20):$H493)*SQRT(245),"")</f>
        <v>0.226070959986967</v>
      </c>
      <c r="M493" s="52" t="n">
        <f aca="false">IF(AND(ISNUMBER($G493),$G493&gt;=60),MAX(INDEX($D$293:$D493,202-60):$D493),"")</f>
        <v>1158035379</v>
      </c>
      <c r="N493" s="52" t="n">
        <f aca="false">IF(AND(ISNUMBER($G493),$G493&gt;=60),MIN(INDEX($E$293:$E493,202-60):$E493),"")</f>
        <v>1031729920</v>
      </c>
      <c r="O493" s="53" t="n">
        <f aca="false">IF(OR(NOT(ISNUMBER($C493)),NOT(ISNUMBER($M493)),$M493=0),"",$C493/$M493-1)</f>
        <v>-0.0028202609861715</v>
      </c>
      <c r="P493" s="54"/>
      <c r="Q493" s="53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1178992713</v>
      </c>
      <c r="D494" s="49" t="n">
        <v>1180801395</v>
      </c>
      <c r="E494" s="49" t="n">
        <v>1176705952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0.0209767384236155</v>
      </c>
      <c r="I494" s="52" t="n">
        <f aca="false">IF(AND(ISNUMBER($G494),$G494&gt;=MA_SHORT),AVERAGE(INDEX($C$94:$C494,402-MA_SHORT):$C494),"")</f>
        <v>1122093057.75</v>
      </c>
      <c r="J494" s="52" t="n">
        <f aca="false">IF(AND(ISNUMBER($G494),$G494&gt;=MA_MED),AVERAGE(INDEX($C$94:$C494,402-MA_MED):$C494),"")</f>
        <v>1093696236.68</v>
      </c>
      <c r="K494" s="52" t="n">
        <f aca="false">IF(AND(ISNUMBER($G494),$G494&gt;=MA_LONG2),AVERAGE(INDEX($C$94:$C494,402-MA_LONG2):$C494),"")</f>
        <v>1003729201.135</v>
      </c>
      <c r="L494" s="53" t="n">
        <f aca="false">IF(AND(ISNUMBER($G494),$G494&gt;=21),STDEV(INDEX($H$434:$H494,62-20):$H494)*SQRT(245),"")</f>
        <v>0.212883752818173</v>
      </c>
      <c r="M494" s="52" t="n">
        <f aca="false">IF(AND(ISNUMBER($G494),$G494&gt;=60),MAX(INDEX($D$294:$D494,202-60):$D494),"")</f>
        <v>1180801395</v>
      </c>
      <c r="N494" s="52" t="n">
        <f aca="false">IF(AND(ISNUMBER($G494),$G494&gt;=60),MIN(INDEX($E$294:$E494,202-60):$E494),"")</f>
        <v>1031729920</v>
      </c>
      <c r="O494" s="53" t="n">
        <f aca="false">IF(OR(NOT(ISNUMBER($C494)),NOT(ISNUMBER($M494)),$M494=0),"",$C494/$M494-1)</f>
        <v>-0.00153174107657617</v>
      </c>
      <c r="P494" s="54"/>
      <c r="Q494" s="53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1168269171</v>
      </c>
      <c r="D495" s="49" t="n">
        <v>1177639261</v>
      </c>
      <c r="E495" s="49" t="n">
        <v>1167410769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-0.0090955116870175</v>
      </c>
      <c r="I495" s="52" t="n">
        <f aca="false">IF(AND(ISNUMBER($G495),$G495&gt;=MA_SHORT),AVERAGE(INDEX($C$95:$C495,402-MA_SHORT):$C495),"")</f>
        <v>1125202805.25</v>
      </c>
      <c r="J495" s="52" t="n">
        <f aca="false">IF(AND(ISNUMBER($G495),$G495&gt;=MA_MED),AVERAGE(INDEX($C$95:$C495,402-MA_MED):$C495),"")</f>
        <v>1095881763.42</v>
      </c>
      <c r="K495" s="52" t="n">
        <f aca="false">IF(AND(ISNUMBER($G495),$G495&gt;=MA_LONG2),AVERAGE(INDEX($C$95:$C495,402-MA_LONG2):$C495),"")</f>
        <v>1004855382.265</v>
      </c>
      <c r="L495" s="53" t="n">
        <f aca="false">IF(AND(ISNUMBER($G495),$G495&gt;=21),STDEV(INDEX($H$435:$H495,62-20):$H495)*SQRT(245),"")</f>
        <v>0.212809057678459</v>
      </c>
      <c r="M495" s="52" t="n">
        <f aca="false">IF(AND(ISNUMBER($G495),$G495&gt;=60),MAX(INDEX($D$295:$D495,202-60):$D495),"")</f>
        <v>1180801395</v>
      </c>
      <c r="N495" s="52" t="n">
        <f aca="false">IF(AND(ISNUMBER($G495),$G495&gt;=60),MIN(INDEX($E$295:$E495,202-60):$E495),"")</f>
        <v>1031729920</v>
      </c>
      <c r="O495" s="53" t="n">
        <f aca="false">IF(OR(NOT(ISNUMBER($C495)),NOT(ISNUMBER($M495)),$M495=0),"",$C495/$M495-1)</f>
        <v>-0.0106133207947302</v>
      </c>
      <c r="P495" s="54"/>
      <c r="Q495" s="53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1174042660</v>
      </c>
      <c r="D496" s="49" t="n">
        <v>1183206439</v>
      </c>
      <c r="E496" s="49" t="n">
        <v>1168015919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0.00494191676311906</v>
      </c>
      <c r="I496" s="52" t="n">
        <f aca="false">IF(AND(ISNUMBER($G496),$G496&gt;=MA_SHORT),AVERAGE(INDEX($C$96:$C496,402-MA_SHORT):$C496),"")</f>
        <v>1127721527.85</v>
      </c>
      <c r="J496" s="52" t="n">
        <f aca="false">IF(AND(ISNUMBER($G496),$G496&gt;=MA_MED),AVERAGE(INDEX($C$96:$C496,402-MA_MED):$C496),"")</f>
        <v>1098163511</v>
      </c>
      <c r="K496" s="52" t="n">
        <f aca="false">IF(AND(ISNUMBER($G496),$G496&gt;=MA_LONG2),AVERAGE(INDEX($C$96:$C496,402-MA_LONG2):$C496),"")</f>
        <v>1006067720.33</v>
      </c>
      <c r="L496" s="53" t="n">
        <f aca="false">IF(AND(ISNUMBER($G496),$G496&gt;=21),STDEV(INDEX($H$436:$H496,62-20):$H496)*SQRT(245),"")</f>
        <v>0.207513385008961</v>
      </c>
      <c r="M496" s="52" t="n">
        <f aca="false">IF(AND(ISNUMBER($G496),$G496&gt;=60),MAX(INDEX($D$296:$D496,202-60):$D496),"")</f>
        <v>1183206439</v>
      </c>
      <c r="N496" s="52" t="n">
        <f aca="false">IF(AND(ISNUMBER($G496),$G496&gt;=60),MIN(INDEX($E$296:$E496,202-60):$E496),"")</f>
        <v>1031729920</v>
      </c>
      <c r="O496" s="53" t="n">
        <f aca="false">IF(OR(NOT(ISNUMBER($C496)),NOT(ISNUMBER($M496)),$M496=0),"",$C496/$M496-1)</f>
        <v>-0.00774486910986127</v>
      </c>
      <c r="P496" s="54"/>
      <c r="Q496" s="53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1182845865</v>
      </c>
      <c r="D497" s="49" t="n">
        <v>1183787087</v>
      </c>
      <c r="E497" s="49" t="n">
        <v>1177958295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0.00749819857482859</v>
      </c>
      <c r="I497" s="52" t="n">
        <f aca="false">IF(AND(ISNUMBER($G497),$G497&gt;=MA_SHORT),AVERAGE(INDEX($C$97:$C497,402-MA_SHORT):$C497),"")</f>
        <v>1132016047.4</v>
      </c>
      <c r="J497" s="52" t="n">
        <f aca="false">IF(AND(ISNUMBER($G497),$G497&gt;=MA_MED),AVERAGE(INDEX($C$97:$C497,402-MA_MED):$C497),"")</f>
        <v>1100707538.48</v>
      </c>
      <c r="K497" s="52" t="n">
        <f aca="false">IF(AND(ISNUMBER($G497),$G497&gt;=MA_LONG2),AVERAGE(INDEX($C$97:$C497,402-MA_LONG2):$C497),"")</f>
        <v>1007365326.93</v>
      </c>
      <c r="L497" s="53" t="n">
        <f aca="false">IF(AND(ISNUMBER($G497),$G497&gt;=21),STDEV(INDEX($H$437:$H497,62-20):$H497)*SQRT(245),"")</f>
        <v>0.184475709633766</v>
      </c>
      <c r="M497" s="52" t="n">
        <f aca="false">IF(AND(ISNUMBER($G497),$G497&gt;=60),MAX(INDEX($D$297:$D497,202-60):$D497),"")</f>
        <v>1183787087</v>
      </c>
      <c r="N497" s="52" t="n">
        <f aca="false">IF(AND(ISNUMBER($G497),$G497&gt;=60),MIN(INDEX($E$297:$E497,202-60):$E497),"")</f>
        <v>1031729920</v>
      </c>
      <c r="O497" s="53" t="n">
        <f aca="false">IF(OR(NOT(ISNUMBER($C497)),NOT(ISNUMBER($M497)),$M497=0),"",$C497/$M497-1)</f>
        <v>-0.000795093991424856</v>
      </c>
      <c r="P497" s="54"/>
      <c r="Q497" s="53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1163287094</v>
      </c>
      <c r="D498" s="49" t="n">
        <v>1164635848</v>
      </c>
      <c r="E498" s="49" t="n">
        <v>1162866799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-0.0165353505293777</v>
      </c>
      <c r="I498" s="52" t="n">
        <f aca="false">IF(AND(ISNUMBER($G498),$G498&gt;=MA_SHORT),AVERAGE(INDEX($C$98:$C498,402-MA_SHORT):$C498),"")</f>
        <v>1136033887.9</v>
      </c>
      <c r="J498" s="52" t="n">
        <f aca="false">IF(AND(ISNUMBER($G498),$G498&gt;=MA_MED),AVERAGE(INDEX($C$98:$C498,402-MA_MED):$C498),"")</f>
        <v>1102642265.64</v>
      </c>
      <c r="K498" s="52" t="n">
        <f aca="false">IF(AND(ISNUMBER($G498),$G498&gt;=MA_LONG2),AVERAGE(INDEX($C$98:$C498,402-MA_LONG2):$C498),"")</f>
        <v>1008506043.045</v>
      </c>
      <c r="L498" s="53" t="n">
        <f aca="false">IF(AND(ISNUMBER($G498),$G498&gt;=21),STDEV(INDEX($H$438:$H498,62-20):$H498)*SQRT(245),"")</f>
        <v>0.189239320176491</v>
      </c>
      <c r="M498" s="52" t="n">
        <f aca="false">IF(AND(ISNUMBER($G498),$G498&gt;=60),MAX(INDEX($D$298:$D498,202-60):$D498),"")</f>
        <v>1183787087</v>
      </c>
      <c r="N498" s="52" t="n">
        <f aca="false">IF(AND(ISNUMBER($G498),$G498&gt;=60),MIN(INDEX($E$298:$E498,202-60):$E498),"")</f>
        <v>1031729920</v>
      </c>
      <c r="O498" s="53" t="n">
        <f aca="false">IF(OR(NOT(ISNUMBER($C498)),NOT(ISNUMBER($M498)),$M498=0),"",$C498/$M498-1)</f>
        <v>-0.0173172973629505</v>
      </c>
      <c r="P498" s="54"/>
      <c r="Q498" s="53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1157754908</v>
      </c>
      <c r="D499" s="49" t="n">
        <v>1158421512</v>
      </c>
      <c r="E499" s="49" t="n">
        <v>1156338649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-0.0047556497691188</v>
      </c>
      <c r="I499" s="52" t="n">
        <f aca="false">IF(AND(ISNUMBER($G499),$G499&gt;=MA_SHORT),AVERAGE(INDEX($C$99:$C499,402-MA_SHORT):$C499),"")</f>
        <v>1139179836.45</v>
      </c>
      <c r="J499" s="52" t="n">
        <f aca="false">IF(AND(ISNUMBER($G499),$G499&gt;=MA_MED),AVERAGE(INDEX($C$99:$C499,402-MA_MED):$C499),"")</f>
        <v>1104121681.44</v>
      </c>
      <c r="K499" s="52" t="n">
        <f aca="false">IF(AND(ISNUMBER($G499),$G499&gt;=MA_LONG2),AVERAGE(INDEX($C$99:$C499,402-MA_LONG2):$C499),"")</f>
        <v>1009686224.3</v>
      </c>
      <c r="L499" s="53" t="n">
        <f aca="false">IF(AND(ISNUMBER($G499),$G499&gt;=21),STDEV(INDEX($H$439:$H499,62-20):$H499)*SQRT(245),"")</f>
        <v>0.189391436899781</v>
      </c>
      <c r="M499" s="52" t="n">
        <f aca="false">IF(AND(ISNUMBER($G499),$G499&gt;=60),MAX(INDEX($D$299:$D499,202-60):$D499),"")</f>
        <v>1183787087</v>
      </c>
      <c r="N499" s="52" t="n">
        <f aca="false">IF(AND(ISNUMBER($G499),$G499&gt;=60),MIN(INDEX($E$299:$E499,202-60):$E499),"")</f>
        <v>1031729920</v>
      </c>
      <c r="O499" s="53" t="n">
        <f aca="false">IF(OR(NOT(ISNUMBER($C499)),NOT(ISNUMBER($M499)),$M499=0),"",$C499/$M499-1)</f>
        <v>-0.0219905921308635</v>
      </c>
      <c r="P499" s="54"/>
      <c r="Q499" s="53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1161100545</v>
      </c>
      <c r="D500" s="49" t="n">
        <v>1163095823</v>
      </c>
      <c r="E500" s="49" t="n">
        <v>1160266832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0.0028897627441542</v>
      </c>
      <c r="I500" s="52" t="n">
        <f aca="false">IF(AND(ISNUMBER($G500),$G500&gt;=MA_SHORT),AVERAGE(INDEX($C$100:$C500,402-MA_SHORT):$C500),"")</f>
        <v>1141941685.35</v>
      </c>
      <c r="J500" s="52" t="n">
        <f aca="false">IF(AND(ISNUMBER($G500),$G500&gt;=MA_MED),AVERAGE(INDEX($C$100:$C500,402-MA_MED):$C500),"")</f>
        <v>1105601544.6</v>
      </c>
      <c r="K500" s="52" t="n">
        <f aca="false">IF(AND(ISNUMBER($G500),$G500&gt;=MA_LONG2),AVERAGE(INDEX($C$100:$C500,402-MA_LONG2):$C500),"")</f>
        <v>1010971844.155</v>
      </c>
      <c r="L500" s="53" t="n">
        <f aca="false">IF(AND(ISNUMBER($G500),$G500&gt;=21),STDEV(INDEX($H$440:$H500,62-20):$H500)*SQRT(245),"")</f>
        <v>0.187527146849679</v>
      </c>
      <c r="M500" s="52" t="n">
        <f aca="false">IF(AND(ISNUMBER($G500),$G500&gt;=60),MAX(INDEX($D$300:$D500,202-60):$D500),"")</f>
        <v>1183787087</v>
      </c>
      <c r="N500" s="52" t="n">
        <f aca="false">IF(AND(ISNUMBER($G500),$G500&gt;=60),MIN(INDEX($E$300:$E500,202-60):$E500),"")</f>
        <v>1031729920</v>
      </c>
      <c r="O500" s="53" t="n">
        <f aca="false">IF(OR(NOT(ISNUMBER($C500)),NOT(ISNUMBER($M500)),$M500=0),"",$C500/$M500-1)</f>
        <v>-0.0191643769805711</v>
      </c>
      <c r="P500" s="54"/>
      <c r="Q500" s="53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1134483749</v>
      </c>
      <c r="D501" s="49" t="n">
        <v>1135793583</v>
      </c>
      <c r="E501" s="49" t="n">
        <v>1133109939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-0.0229237649698976</v>
      </c>
      <c r="I501" s="52" t="n">
        <f aca="false">IF(AND(ISNUMBER($G501),$G501&gt;=MA_SHORT),AVERAGE(INDEX($C$101:$C501,402-MA_SHORT):$C501),"")</f>
        <v>1141912362.2</v>
      </c>
      <c r="J501" s="52" t="n">
        <f aca="false">IF(AND(ISNUMBER($G501),$G501&gt;=MA_MED),AVERAGE(INDEX($C$101:$C501,402-MA_MED):$C501),"")</f>
        <v>1106384530.18</v>
      </c>
      <c r="K501" s="52" t="n">
        <f aca="false">IF(AND(ISNUMBER($G501),$G501&gt;=MA_LONG2),AVERAGE(INDEX($C$101:$C501,402-MA_LONG2):$C501),"")</f>
        <v>1012192041.43</v>
      </c>
      <c r="L501" s="53" t="n">
        <f aca="false">IF(AND(ISNUMBER($G501),$G501&gt;=21),STDEV(INDEX($H$441:$H501,62-20):$H501)*SQRT(245),"")</f>
        <v>0.185930126314391</v>
      </c>
      <c r="M501" s="52" t="n">
        <f aca="false">IF(AND(ISNUMBER($G501),$G501&gt;=60),MAX(INDEX($D$301:$D501,202-60):$D501),"")</f>
        <v>1183787087</v>
      </c>
      <c r="N501" s="52" t="n">
        <f aca="false">IF(AND(ISNUMBER($G501),$G501&gt;=60),MIN(INDEX($E$301:$E501,202-60):$E501),"")</f>
        <v>1031729920</v>
      </c>
      <c r="O501" s="53" t="n">
        <f aca="false">IF(OR(NOT(ISNUMBER($C501)),NOT(ISNUMBER($M501)),$M501=0),"",$C501/$M501-1)</f>
        <v>-0.0416488222767715</v>
      </c>
      <c r="P501" s="54"/>
      <c r="Q501" s="53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1149471448</v>
      </c>
      <c r="D502" s="49" t="n">
        <v>1151079575</v>
      </c>
      <c r="E502" s="49" t="n">
        <v>1143764673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0.0132110301387842</v>
      </c>
      <c r="I502" s="52" t="n">
        <f aca="false">IF(AND(ISNUMBER($G502),$G502&gt;=MA_SHORT),AVERAGE(INDEX($C$102:$C502,402-MA_SHORT):$C502),"")</f>
        <v>1143120691.5</v>
      </c>
      <c r="J502" s="52" t="n">
        <f aca="false">IF(AND(ISNUMBER($G502),$G502&gt;=MA_MED),AVERAGE(INDEX($C$102:$C502,402-MA_MED):$C502),"")</f>
        <v>1107455668.12</v>
      </c>
      <c r="K502" s="52" t="n">
        <f aca="false">IF(AND(ISNUMBER($G502),$G502&gt;=MA_LONG2),AVERAGE(INDEX($C$102:$C502,402-MA_LONG2):$C502),"")</f>
        <v>1013448845.565</v>
      </c>
      <c r="L502" s="53" t="n">
        <f aca="false">IF(AND(ISNUMBER($G502),$G502&gt;=21),STDEV(INDEX($H$442:$H502,62-20):$H502)*SQRT(245),"")</f>
        <v>0.188510089107872</v>
      </c>
      <c r="M502" s="52" t="n">
        <f aca="false">IF(AND(ISNUMBER($G502),$G502&gt;=60),MAX(INDEX($D$302:$D502,202-60):$D502),"")</f>
        <v>1183787087</v>
      </c>
      <c r="N502" s="52" t="n">
        <f aca="false">IF(AND(ISNUMBER($G502),$G502&gt;=60),MIN(INDEX($E$302:$E502,202-60):$E502),"")</f>
        <v>1031729920</v>
      </c>
      <c r="O502" s="53" t="n">
        <f aca="false">IF(OR(NOT(ISNUMBER($C502)),NOT(ISNUMBER($M502)),$M502=0),"",$C502/$M502-1)</f>
        <v>-0.0289880159843304</v>
      </c>
      <c r="P502" s="54"/>
      <c r="Q502" s="53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1156870959</v>
      </c>
      <c r="D503" s="49" t="n">
        <v>1162262187</v>
      </c>
      <c r="E503" s="49" t="n">
        <v>1148324256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0.00643731604893238</v>
      </c>
      <c r="I503" s="52" t="n">
        <f aca="false">IF(AND(ISNUMBER($G503),$G503&gt;=MA_SHORT),AVERAGE(INDEX($C$103:$C503,402-MA_SHORT):$C503),"")</f>
        <v>1145873111.95</v>
      </c>
      <c r="J503" s="52" t="n">
        <f aca="false">IF(AND(ISNUMBER($G503),$G503&gt;=MA_MED),AVERAGE(INDEX($C$103:$C503,402-MA_MED):$C503),"")</f>
        <v>1108862146.56</v>
      </c>
      <c r="K503" s="52" t="n">
        <f aca="false">IF(AND(ISNUMBER($G503),$G503&gt;=MA_LONG2),AVERAGE(INDEX($C$103:$C503,402-MA_LONG2):$C503),"")</f>
        <v>1014784391.625</v>
      </c>
      <c r="L503" s="53" t="n">
        <f aca="false">IF(AND(ISNUMBER($G503),$G503&gt;=21),STDEV(INDEX($H$443:$H503,62-20):$H503)*SQRT(245),"")</f>
        <v>0.17081419825392</v>
      </c>
      <c r="M503" s="52" t="n">
        <f aca="false">IF(AND(ISNUMBER($G503),$G503&gt;=60),MAX(INDEX($D$303:$D503,202-60):$D503),"")</f>
        <v>1183787087</v>
      </c>
      <c r="N503" s="52" t="n">
        <f aca="false">IF(AND(ISNUMBER($G503),$G503&gt;=60),MIN(INDEX($E$303:$E503,202-60):$E503),"")</f>
        <v>1031729920</v>
      </c>
      <c r="O503" s="53" t="n">
        <f aca="false">IF(OR(NOT(ISNUMBER($C503)),NOT(ISNUMBER($M503)),$M503=0),"",$C503/$M503-1)</f>
        <v>-0.0227373049559206</v>
      </c>
      <c r="P503" s="54"/>
      <c r="Q503" s="53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1156997319</v>
      </c>
      <c r="D504" s="49" t="n">
        <v>1157980418</v>
      </c>
      <c r="E504" s="49" t="n">
        <v>1156761401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0.000109225665159141</v>
      </c>
      <c r="I504" s="52" t="n">
        <f aca="false">IF(AND(ISNUMBER($G504),$G504&gt;=MA_SHORT),AVERAGE(INDEX($C$104:$C504,402-MA_SHORT):$C504),"")</f>
        <v>1148543523.85</v>
      </c>
      <c r="J504" s="52" t="n">
        <f aca="false">IF(AND(ISNUMBER($G504),$G504&gt;=MA_MED),AVERAGE(INDEX($C$104:$C504,402-MA_MED):$C504),"")</f>
        <v>1110313121.42</v>
      </c>
      <c r="K504" s="52" t="n">
        <f aca="false">IF(AND(ISNUMBER($G504),$G504&gt;=MA_LONG2),AVERAGE(INDEX($C$104:$C504,402-MA_LONG2):$C504),"")</f>
        <v>1016175136.725</v>
      </c>
      <c r="L504" s="53" t="n">
        <f aca="false">IF(AND(ISNUMBER($G504),$G504&gt;=21),STDEV(INDEX($H$444:$H504,62-20):$H504)*SQRT(245),"")</f>
        <v>0.17099497711346</v>
      </c>
      <c r="M504" s="52" t="n">
        <f aca="false">IF(AND(ISNUMBER($G504),$G504&gt;=60),MAX(INDEX($D$304:$D504,202-60):$D504),"")</f>
        <v>1183787087</v>
      </c>
      <c r="N504" s="52" t="n">
        <f aca="false">IF(AND(ISNUMBER($G504),$G504&gt;=60),MIN(INDEX($E$304:$E504,202-60):$E504),"")</f>
        <v>1031729920</v>
      </c>
      <c r="O504" s="53" t="n">
        <f aca="false">IF(OR(NOT(ISNUMBER($C504)),NOT(ISNUMBER($M504)),$M504=0),"",$C504/$M504-1)</f>
        <v>-0.0226305627880193</v>
      </c>
      <c r="P504" s="54"/>
      <c r="Q504" s="53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  <c r="P505" s="54"/>
      <c r="Q505" s="53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  <c r="P506" s="54"/>
      <c r="Q506" s="53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  <c r="P507" s="54"/>
      <c r="Q507" s="53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  <c r="P508" s="54"/>
      <c r="Q508" s="53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  <c r="P509" s="54"/>
      <c r="Q509" s="53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  <c r="P510" s="54"/>
      <c r="Q510" s="53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  <c r="P511" s="54"/>
      <c r="Q511" s="53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  <c r="P512" s="54"/>
      <c r="Q512" s="53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  <c r="P513" s="54"/>
      <c r="Q513" s="53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  <c r="P514" s="54"/>
      <c r="Q514" s="53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  <c r="P515" s="54"/>
      <c r="Q515" s="53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  <c r="P516" s="54"/>
      <c r="Q516" s="53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  <c r="P517" s="54"/>
      <c r="Q517" s="53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  <c r="P518" s="54"/>
      <c r="Q518" s="53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  <c r="P519" s="54"/>
      <c r="Q519" s="53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  <c r="P520" s="54"/>
      <c r="Q520" s="53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  <c r="P521" s="54"/>
      <c r="Q521" s="53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  <c r="P522" s="54"/>
      <c r="Q522" s="53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  <c r="P523" s="54"/>
      <c r="Q523" s="53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  <c r="P524" s="54"/>
      <c r="Q524" s="53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  <c r="P525" s="54"/>
      <c r="Q525" s="53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  <c r="P526" s="54"/>
      <c r="Q526" s="53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  <c r="P527" s="54"/>
      <c r="Q527" s="53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  <c r="P528" s="54"/>
      <c r="Q528" s="53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  <c r="P529" s="54"/>
      <c r="Q529" s="53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  <c r="P530" s="54"/>
      <c r="Q530" s="53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  <c r="P531" s="54"/>
      <c r="Q531" s="53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  <c r="P532" s="54"/>
      <c r="Q532" s="53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  <c r="P533" s="54"/>
      <c r="Q533" s="53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  <c r="P534" s="54"/>
      <c r="Q534" s="53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  <c r="P535" s="54"/>
      <c r="Q535" s="53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  <c r="P536" s="54"/>
      <c r="Q536" s="53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  <c r="P537" s="54"/>
      <c r="Q537" s="53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  <c r="P538" s="54"/>
      <c r="Q538" s="53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  <c r="P539" s="54"/>
      <c r="Q539" s="53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  <c r="P540" s="54"/>
      <c r="Q540" s="53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  <c r="P541" s="54"/>
      <c r="Q541" s="53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  <c r="P542" s="54"/>
      <c r="Q542" s="53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  <c r="P543" s="54"/>
      <c r="Q543" s="53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  <c r="P544" s="54"/>
      <c r="Q544" s="53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  <c r="P545" s="54"/>
      <c r="Q545" s="53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  <c r="P546" s="54"/>
      <c r="Q546" s="53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  <c r="P547" s="54"/>
      <c r="Q547" s="53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  <c r="P548" s="54"/>
      <c r="Q548" s="53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  <c r="P549" s="54"/>
      <c r="Q549" s="53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  <c r="P550" s="54"/>
      <c r="Q550" s="53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  <c r="P551" s="54"/>
      <c r="Q551" s="53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  <c r="P552" s="54"/>
      <c r="Q552" s="53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  <c r="P553" s="54"/>
      <c r="Q553" s="53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  <c r="P554" s="54"/>
      <c r="Q554" s="53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  <c r="P555" s="54"/>
      <c r="Q555" s="53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  <c r="P556" s="54"/>
      <c r="Q556" s="53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  <c r="P557" s="54"/>
      <c r="Q557" s="53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  <c r="P558" s="54"/>
      <c r="Q558" s="53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  <c r="P559" s="54"/>
      <c r="Q559" s="53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  <c r="P560" s="54"/>
      <c r="Q560" s="53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  <c r="P561" s="54"/>
      <c r="Q561" s="53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  <c r="P562" s="54"/>
      <c r="Q562" s="53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  <c r="P563" s="54"/>
      <c r="Q563" s="53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  <c r="P564" s="54"/>
      <c r="Q564" s="53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  <c r="P565" s="54"/>
      <c r="Q565" s="53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  <c r="P566" s="54"/>
      <c r="Q566" s="53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  <c r="P567" s="54"/>
      <c r="Q567" s="53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  <c r="P568" s="54"/>
      <c r="Q568" s="53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  <c r="P569" s="54"/>
      <c r="Q569" s="53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  <c r="P570" s="54"/>
      <c r="Q570" s="53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  <c r="P571" s="54"/>
      <c r="Q571" s="53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  <c r="P572" s="54"/>
      <c r="Q572" s="53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  <c r="P573" s="54"/>
      <c r="Q573" s="53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  <c r="P574" s="54"/>
      <c r="Q574" s="53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  <c r="P575" s="54"/>
      <c r="Q575" s="53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  <c r="P576" s="54"/>
      <c r="Q576" s="53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  <c r="P577" s="54"/>
      <c r="Q577" s="53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  <c r="P578" s="54"/>
      <c r="Q578" s="53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  <c r="P579" s="54"/>
      <c r="Q579" s="53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  <c r="P580" s="54"/>
      <c r="Q580" s="53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  <c r="P581" s="54"/>
      <c r="Q581" s="53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  <c r="P582" s="54"/>
      <c r="Q582" s="53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  <c r="P583" s="54"/>
      <c r="Q583" s="53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  <c r="P584" s="54"/>
      <c r="Q584" s="53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  <c r="P585" s="54"/>
      <c r="Q585" s="53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  <c r="P586" s="54"/>
      <c r="Q586" s="53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  <c r="P587" s="54"/>
      <c r="Q587" s="53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  <c r="P588" s="54"/>
      <c r="Q588" s="53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  <c r="P589" s="54"/>
      <c r="Q589" s="53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  <c r="P590" s="54"/>
      <c r="Q590" s="53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  <c r="P591" s="54"/>
      <c r="Q591" s="53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  <c r="P592" s="54"/>
      <c r="Q592" s="53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  <c r="P593" s="54"/>
      <c r="Q593" s="53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  <c r="P594" s="54"/>
      <c r="Q594" s="53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  <c r="P595" s="54"/>
      <c r="Q595" s="53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  <c r="P596" s="54"/>
      <c r="Q596" s="53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  <c r="P597" s="54"/>
      <c r="Q597" s="53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  <c r="P598" s="54"/>
      <c r="Q598" s="53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  <c r="P599" s="54"/>
      <c r="Q599" s="53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  <c r="P600" s="54"/>
      <c r="Q600" s="53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  <c r="P601" s="54"/>
      <c r="Q601" s="53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  <c r="P602" s="54"/>
      <c r="Q602" s="53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  <c r="P603" s="54"/>
      <c r="Q603" s="53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  <c r="P604" s="54"/>
      <c r="Q604" s="53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  <c r="P605" s="54"/>
      <c r="Q605" s="53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  <c r="P606" s="54"/>
      <c r="Q606" s="53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  <c r="P607" s="54"/>
      <c r="Q607" s="53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  <c r="P608" s="54"/>
      <c r="Q608" s="53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  <c r="P609" s="54"/>
      <c r="Q609" s="53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  <c r="P610" s="54"/>
      <c r="Q610" s="53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  <c r="P611" s="54"/>
      <c r="Q611" s="53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  <c r="P612" s="54"/>
      <c r="Q612" s="53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  <c r="P613" s="54"/>
      <c r="Q613" s="53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  <c r="P614" s="54"/>
      <c r="Q614" s="53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  <c r="P615" s="54"/>
      <c r="Q615" s="53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  <c r="P616" s="54"/>
      <c r="Q616" s="53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  <c r="P617" s="54"/>
      <c r="Q617" s="53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  <c r="P618" s="54"/>
      <c r="Q618" s="53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  <c r="P619" s="54"/>
      <c r="Q619" s="53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  <c r="P620" s="54"/>
      <c r="Q620" s="53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  <c r="P621" s="54"/>
      <c r="Q621" s="53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  <c r="P622" s="54"/>
      <c r="Q622" s="53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  <c r="P623" s="54"/>
      <c r="Q623" s="53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  <c r="P624" s="54"/>
      <c r="Q624" s="53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  <c r="P625" s="54"/>
      <c r="Q625" s="53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  <c r="P626" s="54"/>
      <c r="Q626" s="53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  <c r="P627" s="54"/>
      <c r="Q627" s="53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  <c r="P628" s="54"/>
      <c r="Q628" s="53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  <c r="P629" s="54"/>
      <c r="Q629" s="53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  <c r="P630" s="54"/>
      <c r="Q630" s="53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  <c r="P631" s="54"/>
      <c r="Q631" s="53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  <c r="P632" s="54"/>
      <c r="Q632" s="53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  <c r="P633" s="54"/>
      <c r="Q633" s="53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  <c r="P634" s="54"/>
      <c r="Q634" s="53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  <c r="P635" s="54"/>
      <c r="Q635" s="53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  <c r="P636" s="54"/>
      <c r="Q636" s="53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  <c r="P637" s="54"/>
      <c r="Q637" s="53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  <c r="P638" s="54"/>
      <c r="Q638" s="53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  <c r="P639" s="54"/>
      <c r="Q639" s="53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  <c r="P640" s="54"/>
      <c r="Q640" s="53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  <c r="P641" s="54"/>
      <c r="Q641" s="53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  <c r="P642" s="54"/>
      <c r="Q642" s="53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  <c r="P643" s="54"/>
      <c r="Q643" s="53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  <c r="P644" s="54"/>
      <c r="Q644" s="53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  <c r="P645" s="54"/>
      <c r="Q645" s="53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  <c r="P646" s="54"/>
      <c r="Q646" s="53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  <c r="P647" s="54"/>
      <c r="Q647" s="53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  <c r="P648" s="54"/>
      <c r="Q648" s="53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  <c r="P649" s="54"/>
      <c r="Q649" s="53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  <c r="P650" s="54"/>
      <c r="Q650" s="53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  <c r="P651" s="54"/>
      <c r="Q651" s="53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  <c r="P652" s="54"/>
      <c r="Q652" s="53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  <c r="P653" s="54"/>
      <c r="Q653" s="53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  <c r="P654" s="54"/>
      <c r="Q654" s="53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  <c r="P655" s="54"/>
      <c r="Q655" s="53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  <c r="P656" s="54"/>
      <c r="Q656" s="53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  <c r="P657" s="54"/>
      <c r="Q657" s="53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  <c r="P658" s="54"/>
      <c r="Q658" s="53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  <c r="P659" s="54"/>
      <c r="Q659" s="53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  <c r="P660" s="54"/>
      <c r="Q660" s="53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  <c r="P661" s="54"/>
      <c r="Q661" s="53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  <c r="P662" s="54"/>
      <c r="Q662" s="53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  <c r="P663" s="54"/>
      <c r="Q663" s="53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  <c r="P664" s="54"/>
      <c r="Q664" s="53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  <c r="P665" s="54"/>
      <c r="Q665" s="53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  <c r="P666" s="54"/>
      <c r="Q666" s="53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  <c r="P667" s="54"/>
      <c r="Q667" s="53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  <c r="P668" s="54"/>
      <c r="Q668" s="53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  <c r="P669" s="54"/>
      <c r="Q669" s="53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  <c r="P670" s="54"/>
      <c r="Q670" s="53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  <c r="P671" s="54"/>
      <c r="Q671" s="53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  <c r="P672" s="54"/>
      <c r="Q672" s="53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  <c r="P673" s="54"/>
      <c r="Q673" s="53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  <c r="P674" s="54"/>
      <c r="Q674" s="53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  <c r="P675" s="54"/>
      <c r="Q675" s="53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  <c r="P676" s="54"/>
      <c r="Q676" s="53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  <c r="P677" s="54"/>
      <c r="Q677" s="53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  <c r="P678" s="54"/>
      <c r="Q678" s="53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  <c r="P679" s="54"/>
      <c r="Q679" s="53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  <c r="P680" s="54"/>
      <c r="Q680" s="53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  <c r="P681" s="54"/>
      <c r="Q681" s="53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  <c r="P682" s="54"/>
      <c r="Q682" s="53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  <c r="P683" s="54"/>
      <c r="Q683" s="53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  <c r="P684" s="54"/>
      <c r="Q684" s="53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  <c r="P685" s="54"/>
      <c r="Q685" s="53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  <c r="P686" s="54"/>
      <c r="Q686" s="53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  <c r="P687" s="54"/>
      <c r="Q687" s="53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  <c r="P688" s="54"/>
      <c r="Q688" s="53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  <c r="P689" s="54"/>
      <c r="Q689" s="53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  <c r="P690" s="54"/>
      <c r="Q690" s="53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  <c r="P691" s="54"/>
      <c r="Q691" s="53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  <c r="P692" s="54"/>
      <c r="Q692" s="53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  <c r="P693" s="54"/>
      <c r="Q693" s="53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  <c r="P694" s="54"/>
      <c r="Q694" s="53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  <c r="P695" s="54"/>
      <c r="Q695" s="53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  <c r="P696" s="54"/>
      <c r="Q696" s="53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  <c r="P697" s="54"/>
      <c r="Q697" s="53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  <c r="P698" s="54"/>
      <c r="Q698" s="53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  <c r="P699" s="54"/>
      <c r="Q699" s="53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  <c r="P700" s="54"/>
      <c r="Q700" s="53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  <c r="P701" s="54"/>
      <c r="Q701" s="53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  <c r="P702" s="54"/>
      <c r="Q702" s="53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  <c r="P703" s="54"/>
      <c r="Q703" s="53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  <c r="P704" s="54"/>
      <c r="Q704" s="53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  <c r="P705" s="54"/>
      <c r="Q705" s="53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  <c r="P706" s="54"/>
      <c r="Q706" s="53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  <c r="P707" s="54"/>
      <c r="Q707" s="53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  <c r="P708" s="54"/>
      <c r="Q708" s="53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  <c r="P709" s="54"/>
      <c r="Q709" s="53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  <c r="P710" s="54"/>
      <c r="Q710" s="53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  <c r="P711" s="54"/>
      <c r="Q711" s="53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  <c r="P712" s="54"/>
      <c r="Q712" s="53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  <c r="P713" s="54"/>
      <c r="Q713" s="53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  <c r="P714" s="54"/>
      <c r="Q714" s="53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  <c r="P715" s="54"/>
      <c r="Q715" s="53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  <c r="P716" s="54"/>
      <c r="Q716" s="53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  <c r="P717" s="54"/>
      <c r="Q717" s="53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  <c r="P718" s="54"/>
      <c r="Q718" s="53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  <c r="P719" s="54"/>
      <c r="Q719" s="53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  <c r="P720" s="54"/>
      <c r="Q720" s="53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  <c r="P721" s="54"/>
      <c r="Q721" s="53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  <c r="P722" s="54"/>
      <c r="Q722" s="53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  <c r="P723" s="54"/>
      <c r="Q723" s="53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  <c r="P724" s="54"/>
      <c r="Q724" s="53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  <c r="P725" s="54"/>
      <c r="Q725" s="53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  <c r="P726" s="54"/>
      <c r="Q726" s="53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  <c r="P727" s="54"/>
      <c r="Q727" s="53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  <c r="P728" s="54"/>
      <c r="Q728" s="53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  <c r="P729" s="54"/>
      <c r="Q729" s="53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  <c r="P730" s="54"/>
      <c r="Q730" s="53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  <c r="P731" s="54"/>
      <c r="Q731" s="53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  <c r="P732" s="54"/>
      <c r="Q732" s="53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  <c r="P733" s="54"/>
      <c r="Q733" s="53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  <c r="P734" s="54"/>
      <c r="Q734" s="53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  <c r="P735" s="54"/>
      <c r="Q735" s="53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  <c r="P736" s="54"/>
      <c r="Q736" s="53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  <c r="P737" s="54"/>
      <c r="Q737" s="53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  <c r="P738" s="54"/>
      <c r="Q738" s="53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  <c r="P739" s="54"/>
      <c r="Q739" s="53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  <c r="P740" s="54"/>
      <c r="Q740" s="53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  <c r="P741" s="54"/>
      <c r="Q741" s="53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  <c r="P742" s="54"/>
      <c r="Q742" s="53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  <c r="P743" s="54"/>
      <c r="Q743" s="53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  <c r="P744" s="54"/>
      <c r="Q744" s="53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  <c r="P745" s="54"/>
      <c r="Q745" s="53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  <c r="P746" s="54"/>
      <c r="Q746" s="53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  <c r="P747" s="54"/>
      <c r="Q747" s="53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  <c r="P748" s="54"/>
      <c r="Q748" s="53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  <c r="P749" s="54"/>
      <c r="Q749" s="53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  <c r="P750" s="54"/>
      <c r="Q750" s="53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  <c r="P751" s="54"/>
      <c r="Q751" s="53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  <c r="P752" s="54"/>
      <c r="Q752" s="53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  <c r="P753" s="54"/>
      <c r="Q753" s="53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  <c r="P754" s="54"/>
      <c r="Q754" s="53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  <c r="P755" s="54"/>
      <c r="Q755" s="53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  <c r="P756" s="54"/>
      <c r="Q756" s="53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  <c r="P757" s="54"/>
      <c r="Q757" s="53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  <c r="P758" s="54"/>
      <c r="Q758" s="53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  <c r="P759" s="54"/>
      <c r="Q759" s="53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  <c r="P760" s="54"/>
      <c r="Q760" s="53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  <c r="P761" s="54"/>
      <c r="Q761" s="53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  <c r="P762" s="54"/>
      <c r="Q762" s="53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  <c r="P763" s="54"/>
      <c r="Q763" s="53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  <c r="P764" s="54"/>
      <c r="Q764" s="53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  <c r="P765" s="54"/>
      <c r="Q765" s="53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  <c r="P766" s="54"/>
      <c r="Q766" s="53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  <c r="P767" s="54"/>
      <c r="Q767" s="53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  <c r="P768" s="54"/>
      <c r="Q768" s="53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  <c r="P769" s="54"/>
      <c r="Q769" s="53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  <c r="P770" s="54"/>
      <c r="Q770" s="53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  <c r="P771" s="54"/>
      <c r="Q771" s="53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  <c r="P772" s="54"/>
      <c r="Q772" s="53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  <c r="P773" s="54"/>
      <c r="Q773" s="53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  <c r="P774" s="54"/>
      <c r="Q774" s="53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  <c r="P775" s="54"/>
      <c r="Q775" s="53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  <c r="P776" s="54"/>
      <c r="Q776" s="53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  <c r="P777" s="54"/>
      <c r="Q777" s="53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  <c r="P778" s="54"/>
      <c r="Q778" s="53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  <c r="P779" s="54"/>
      <c r="Q779" s="53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  <c r="P780" s="54"/>
      <c r="Q780" s="53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  <c r="P781" s="54"/>
      <c r="Q781" s="53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  <c r="P782" s="54"/>
      <c r="Q782" s="53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  <c r="P783" s="54"/>
      <c r="Q783" s="53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  <c r="P784" s="54"/>
      <c r="Q784" s="53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  <c r="P785" s="54"/>
      <c r="Q785" s="53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  <c r="P786" s="54"/>
      <c r="Q786" s="53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  <c r="P787" s="54"/>
      <c r="Q787" s="53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  <c r="P788" s="54"/>
      <c r="Q788" s="53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  <c r="P789" s="54"/>
      <c r="Q789" s="53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  <c r="P790" s="54"/>
      <c r="Q790" s="53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  <c r="P791" s="54"/>
      <c r="Q791" s="53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  <c r="P792" s="54"/>
      <c r="Q792" s="53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  <c r="P793" s="54"/>
      <c r="Q793" s="53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  <c r="P794" s="54"/>
      <c r="Q794" s="53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  <c r="P795" s="54"/>
      <c r="Q795" s="53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  <c r="P796" s="54"/>
      <c r="Q796" s="53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  <c r="P797" s="54"/>
      <c r="Q797" s="53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  <c r="P798" s="54"/>
      <c r="Q798" s="53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  <c r="P799" s="54"/>
      <c r="Q799" s="53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  <c r="P800" s="54"/>
      <c r="Q800" s="53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  <c r="P801" s="54"/>
      <c r="Q801" s="53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  <c r="P802" s="54"/>
      <c r="Q802" s="53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  <c r="P803" s="54"/>
      <c r="Q803" s="53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  <c r="P804" s="54"/>
      <c r="Q804" s="53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  <c r="P805" s="54"/>
      <c r="Q805" s="53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  <c r="P806" s="54"/>
      <c r="Q806" s="53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  <c r="P807" s="54"/>
      <c r="Q807" s="53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  <c r="P808" s="54"/>
      <c r="Q808" s="53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  <c r="P809" s="54"/>
      <c r="Q809" s="53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  <c r="P810" s="54"/>
      <c r="Q810" s="53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  <c r="P811" s="54"/>
      <c r="Q811" s="53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  <c r="P812" s="54"/>
      <c r="Q812" s="53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  <c r="P813" s="54"/>
      <c r="Q813" s="53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  <c r="P814" s="54"/>
      <c r="Q814" s="53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  <c r="P815" s="54"/>
      <c r="Q815" s="53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  <c r="P816" s="54"/>
      <c r="Q816" s="53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  <c r="P817" s="54"/>
      <c r="Q817" s="53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  <c r="P818" s="54"/>
      <c r="Q818" s="53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  <c r="P819" s="54"/>
      <c r="Q819" s="53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  <c r="P820" s="54"/>
      <c r="Q820" s="53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  <c r="P821" s="54"/>
      <c r="Q821" s="53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  <c r="P822" s="54"/>
      <c r="Q822" s="53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  <c r="P823" s="54"/>
      <c r="Q823" s="53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  <c r="P824" s="54"/>
      <c r="Q824" s="53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  <c r="P825" s="54"/>
      <c r="Q825" s="53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  <c r="P826" s="54"/>
      <c r="Q826" s="53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  <c r="P827" s="54"/>
      <c r="Q827" s="53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  <c r="P828" s="54"/>
      <c r="Q828" s="53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  <c r="P829" s="54"/>
      <c r="Q829" s="53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  <c r="P830" s="54"/>
      <c r="Q830" s="53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  <c r="P831" s="54"/>
      <c r="Q831" s="53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  <c r="P832" s="54"/>
      <c r="Q832" s="53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  <c r="P833" s="54"/>
      <c r="Q833" s="53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  <c r="P834" s="54"/>
      <c r="Q834" s="53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  <c r="P835" s="54"/>
      <c r="Q835" s="53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  <c r="P836" s="54"/>
      <c r="Q836" s="53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  <c r="P837" s="54"/>
      <c r="Q837" s="53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  <c r="P838" s="54"/>
      <c r="Q838" s="53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  <c r="P839" s="54"/>
      <c r="Q839" s="53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  <c r="P840" s="54"/>
      <c r="Q840" s="53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  <c r="P841" s="54"/>
      <c r="Q841" s="53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  <c r="P842" s="54"/>
      <c r="Q842" s="53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  <c r="P843" s="54"/>
      <c r="Q843" s="53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  <c r="P844" s="54"/>
      <c r="Q844" s="53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  <c r="P845" s="54"/>
      <c r="Q845" s="53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  <c r="P846" s="54"/>
      <c r="Q846" s="53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  <c r="P847" s="54"/>
      <c r="Q847" s="53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  <c r="P848" s="54"/>
      <c r="Q848" s="53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  <c r="P849" s="54"/>
      <c r="Q849" s="53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  <c r="P850" s="54"/>
      <c r="Q850" s="53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  <c r="P851" s="54"/>
      <c r="Q851" s="53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  <c r="P852" s="54"/>
      <c r="Q852" s="53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  <c r="P853" s="54"/>
      <c r="Q853" s="53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  <c r="P854" s="54"/>
      <c r="Q854" s="53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  <c r="P855" s="54"/>
      <c r="Q855" s="53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  <c r="P856" s="54"/>
      <c r="Q856" s="53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  <c r="P857" s="54"/>
      <c r="Q857" s="53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  <c r="P858" s="54"/>
      <c r="Q858" s="53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  <c r="P859" s="54"/>
      <c r="Q859" s="53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  <c r="P860" s="54"/>
      <c r="Q860" s="53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  <c r="P861" s="54"/>
      <c r="Q861" s="53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  <c r="P862" s="54"/>
      <c r="Q862" s="53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  <c r="P863" s="54"/>
      <c r="Q863" s="53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  <c r="P864" s="54"/>
      <c r="Q864" s="53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  <c r="P865" s="54"/>
      <c r="Q865" s="53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  <c r="P866" s="54"/>
      <c r="Q866" s="53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  <c r="P867" s="54"/>
      <c r="Q867" s="53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  <c r="P868" s="54"/>
      <c r="Q868" s="53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  <c r="P869" s="54"/>
      <c r="Q869" s="53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  <c r="P870" s="54"/>
      <c r="Q870" s="53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  <c r="P871" s="54"/>
      <c r="Q871" s="53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  <c r="P872" s="54"/>
      <c r="Q872" s="53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  <c r="P873" s="54"/>
      <c r="Q873" s="53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  <c r="P874" s="54"/>
      <c r="Q874" s="53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  <c r="P875" s="54"/>
      <c r="Q875" s="53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  <c r="P876" s="54"/>
      <c r="Q876" s="53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  <c r="P877" s="54"/>
      <c r="Q877" s="53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  <c r="P878" s="54"/>
      <c r="Q878" s="53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  <c r="P879" s="54"/>
      <c r="Q879" s="53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  <c r="P880" s="54"/>
      <c r="Q880" s="53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  <c r="P881" s="54"/>
      <c r="Q881" s="53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  <c r="P882" s="54"/>
      <c r="Q882" s="53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  <c r="P883" s="54"/>
      <c r="Q883" s="53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  <c r="P884" s="54"/>
      <c r="Q884" s="53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  <c r="P885" s="54"/>
      <c r="Q885" s="53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  <c r="P886" s="54"/>
      <c r="Q886" s="53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  <c r="P887" s="54"/>
      <c r="Q887" s="53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  <c r="P888" s="54"/>
      <c r="Q888" s="53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  <c r="P889" s="54"/>
      <c r="Q889" s="53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  <c r="P890" s="54"/>
      <c r="Q890" s="53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  <c r="P891" s="54"/>
      <c r="Q891" s="53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  <c r="P892" s="54"/>
      <c r="Q892" s="53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  <c r="P893" s="54"/>
      <c r="Q893" s="53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  <c r="P894" s="54"/>
      <c r="Q894" s="53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  <c r="P895" s="54"/>
      <c r="Q895" s="53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  <c r="P896" s="54"/>
      <c r="Q896" s="53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  <c r="P897" s="54"/>
      <c r="Q897" s="53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  <c r="P898" s="54"/>
      <c r="Q898" s="53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  <c r="P899" s="54"/>
      <c r="Q899" s="53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  <c r="P900" s="54"/>
      <c r="Q900" s="53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  <c r="P901" s="54"/>
      <c r="Q901" s="53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  <c r="P902" s="54"/>
      <c r="Q902" s="53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  <c r="P903" s="54"/>
      <c r="Q903" s="53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  <c r="P904" s="54"/>
      <c r="Q904" s="53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  <c r="P905" s="54"/>
      <c r="Q905" s="53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  <c r="P906" s="54"/>
      <c r="Q906" s="53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  <c r="P907" s="54"/>
      <c r="Q907" s="53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  <c r="P908" s="54"/>
      <c r="Q908" s="53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  <c r="P909" s="54"/>
      <c r="Q909" s="53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  <c r="P910" s="54"/>
      <c r="Q910" s="53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  <c r="P911" s="54"/>
      <c r="Q911" s="53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  <c r="P912" s="54"/>
      <c r="Q912" s="53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  <c r="P913" s="54"/>
      <c r="Q913" s="53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  <c r="P914" s="54"/>
      <c r="Q914" s="53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  <c r="P915" s="54"/>
      <c r="Q915" s="53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  <c r="P916" s="54"/>
      <c r="Q916" s="53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  <c r="P917" s="54"/>
      <c r="Q917" s="53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  <c r="P918" s="54"/>
      <c r="Q918" s="53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  <c r="P919" s="54"/>
      <c r="Q919" s="53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  <c r="P920" s="54"/>
      <c r="Q920" s="53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  <c r="P921" s="54"/>
      <c r="Q921" s="53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  <c r="P922" s="54"/>
      <c r="Q922" s="53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  <c r="P923" s="54"/>
      <c r="Q923" s="53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  <c r="P924" s="54"/>
      <c r="Q924" s="53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  <c r="P925" s="54"/>
      <c r="Q925" s="53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  <c r="P926" s="54"/>
      <c r="Q926" s="53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  <c r="P927" s="54"/>
      <c r="Q927" s="53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  <c r="P928" s="54"/>
      <c r="Q928" s="53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  <c r="P929" s="54"/>
      <c r="Q929" s="53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  <c r="P930" s="54"/>
      <c r="Q930" s="53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  <c r="P931" s="54"/>
      <c r="Q931" s="53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  <c r="P932" s="54"/>
      <c r="Q932" s="53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  <c r="P933" s="54"/>
      <c r="Q933" s="53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  <c r="P934" s="54"/>
      <c r="Q934" s="53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  <c r="P935" s="54"/>
      <c r="Q935" s="53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  <c r="P936" s="54"/>
      <c r="Q936" s="53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  <c r="P937" s="54"/>
      <c r="Q937" s="53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  <c r="P938" s="54"/>
      <c r="Q938" s="53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  <c r="P939" s="54"/>
      <c r="Q939" s="53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  <c r="P940" s="54"/>
      <c r="Q940" s="53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  <c r="P941" s="54"/>
      <c r="Q941" s="53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  <c r="P942" s="54"/>
      <c r="Q942" s="53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  <c r="P943" s="54"/>
      <c r="Q943" s="53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  <c r="P944" s="54"/>
      <c r="Q944" s="53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  <c r="P945" s="54"/>
      <c r="Q945" s="53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  <c r="P946" s="54"/>
      <c r="Q946" s="53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  <c r="P947" s="54"/>
      <c r="Q947" s="53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  <c r="P948" s="54"/>
      <c r="Q948" s="53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  <c r="P949" s="54"/>
      <c r="Q949" s="53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  <c r="P950" s="54"/>
      <c r="Q950" s="53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  <c r="P951" s="54"/>
      <c r="Q951" s="53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  <c r="P952" s="54"/>
      <c r="Q952" s="53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  <c r="P953" s="54"/>
      <c r="Q953" s="53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  <c r="P954" s="54"/>
      <c r="Q954" s="53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  <c r="P955" s="54"/>
      <c r="Q955" s="53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  <c r="P956" s="54"/>
      <c r="Q956" s="53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  <c r="P957" s="54"/>
      <c r="Q957" s="53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  <c r="P958" s="54"/>
      <c r="Q958" s="53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  <c r="P959" s="54"/>
      <c r="Q959" s="53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  <c r="P960" s="54"/>
      <c r="Q960" s="53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  <c r="P961" s="54"/>
      <c r="Q961" s="53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  <c r="P962" s="54"/>
      <c r="Q962" s="53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  <c r="P963" s="54"/>
      <c r="Q963" s="53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  <c r="P964" s="54"/>
      <c r="Q964" s="53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  <c r="P965" s="54"/>
      <c r="Q965" s="53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  <c r="P966" s="54"/>
      <c r="Q966" s="53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  <c r="P967" s="54"/>
      <c r="Q967" s="53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  <c r="P968" s="54"/>
      <c r="Q968" s="53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  <c r="P969" s="54"/>
      <c r="Q969" s="53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  <c r="P970" s="54"/>
      <c r="Q970" s="53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  <c r="P971" s="54"/>
      <c r="Q971" s="53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  <c r="P972" s="54"/>
      <c r="Q972" s="53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  <c r="P973" s="54"/>
      <c r="Q973" s="53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  <c r="P974" s="54"/>
      <c r="Q974" s="53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  <c r="P975" s="54"/>
      <c r="Q975" s="53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  <c r="P976" s="54"/>
      <c r="Q976" s="53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  <c r="P977" s="54"/>
      <c r="Q977" s="53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  <c r="P978" s="54"/>
      <c r="Q978" s="53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  <c r="P979" s="54"/>
      <c r="Q979" s="53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  <c r="P980" s="54"/>
      <c r="Q980" s="53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  <c r="P981" s="54"/>
      <c r="Q981" s="53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  <c r="P982" s="54"/>
      <c r="Q982" s="53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  <c r="P983" s="54"/>
      <c r="Q983" s="53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  <c r="P984" s="54"/>
      <c r="Q984" s="53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  <c r="P985" s="54"/>
      <c r="Q985" s="53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  <c r="P986" s="54"/>
      <c r="Q986" s="53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  <c r="P987" s="54"/>
      <c r="Q987" s="53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  <c r="P988" s="54"/>
      <c r="Q988" s="53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  <c r="P989" s="54"/>
      <c r="Q989" s="53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  <c r="P990" s="54"/>
      <c r="Q990" s="53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  <c r="P991" s="54"/>
      <c r="Q991" s="53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  <c r="P992" s="54"/>
      <c r="Q992" s="53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  <c r="P993" s="54"/>
      <c r="Q993" s="53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  <c r="P994" s="54"/>
      <c r="Q994" s="53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  <c r="P995" s="54"/>
      <c r="Q995" s="53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  <c r="P996" s="54"/>
      <c r="Q996" s="53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  <c r="P997" s="54"/>
      <c r="Q997" s="53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  <c r="P998" s="54"/>
      <c r="Q998" s="53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  <c r="P999" s="54"/>
      <c r="Q999" s="53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  <c r="P1000" s="54"/>
      <c r="Q1000" s="53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  <c r="P1001" s="54"/>
      <c r="Q1001" s="53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  <c r="P1002" s="54"/>
      <c r="Q1002" s="53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  <c r="P1003" s="54"/>
      <c r="Q1003" s="53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  <c r="P1004" s="54"/>
      <c r="Q1004" s="53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  <c r="P1005" s="54"/>
      <c r="Q1005" s="53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  <c r="P1006" s="54"/>
      <c r="Q1006" s="53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  <c r="P1007" s="54"/>
      <c r="Q1007" s="53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  <c r="P1008" s="54"/>
      <c r="Q1008" s="53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  <c r="P1009" s="54"/>
      <c r="Q1009" s="53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  <c r="P1010" s="54"/>
      <c r="Q1010" s="53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  <c r="P1011" s="54"/>
      <c r="Q1011" s="53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  <c r="P1012" s="54"/>
      <c r="Q1012" s="53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  <c r="P1013" s="54"/>
      <c r="Q1013" s="53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  <c r="P1014" s="54"/>
      <c r="Q1014" s="53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  <c r="P1015" s="54"/>
      <c r="Q1015" s="53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  <c r="P1016" s="54"/>
      <c r="Q1016" s="53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  <c r="P1017" s="54"/>
      <c r="Q1017" s="53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  <c r="P1018" s="54"/>
      <c r="Q1018" s="53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  <c r="P1019" s="54"/>
      <c r="Q1019" s="53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  <c r="P1020" s="54"/>
      <c r="Q1020" s="53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  <c r="P1021" s="54"/>
      <c r="Q1021" s="53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  <c r="P1022" s="54"/>
      <c r="Q1022" s="53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  <c r="P1023" s="54"/>
      <c r="Q1023" s="53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  <c r="P1024" s="54"/>
      <c r="Q1024" s="53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  <c r="P1025" s="54"/>
      <c r="Q1025" s="53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  <c r="P1026" s="54"/>
      <c r="Q1026" s="53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  <c r="P1027" s="54"/>
      <c r="Q1027" s="53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  <c r="P1028" s="54"/>
      <c r="Q1028" s="53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  <c r="P1029" s="54"/>
      <c r="Q1029" s="53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  <c r="P1030" s="54"/>
      <c r="Q1030" s="53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  <c r="P1031" s="54"/>
      <c r="Q1031" s="53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  <c r="P1032" s="54"/>
      <c r="Q1032" s="53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  <c r="P1033" s="54"/>
      <c r="Q1033" s="53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  <c r="P1034" s="54"/>
      <c r="Q1034" s="53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  <c r="P1035" s="54"/>
      <c r="Q1035" s="53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  <c r="P1036" s="54"/>
      <c r="Q1036" s="53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  <c r="P1037" s="54"/>
      <c r="Q1037" s="53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  <c r="P1038" s="54"/>
      <c r="Q1038" s="53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  <c r="P1039" s="54"/>
      <c r="Q1039" s="53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  <c r="P1040" s="54"/>
      <c r="Q1040" s="53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  <c r="P1041" s="54"/>
      <c r="Q1041" s="53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  <c r="P1042" s="54"/>
      <c r="Q1042" s="53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  <c r="P1043" s="54"/>
      <c r="Q1043" s="53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  <c r="P1044" s="54"/>
      <c r="Q1044" s="53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  <c r="P1045" s="54"/>
      <c r="Q1045" s="53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  <c r="P1046" s="54"/>
      <c r="Q1046" s="53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  <c r="P1047" s="54"/>
      <c r="Q1047" s="53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  <c r="P1048" s="54"/>
      <c r="Q1048" s="53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  <c r="P1049" s="54"/>
      <c r="Q1049" s="53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  <c r="P1050" s="54"/>
      <c r="Q1050" s="53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  <c r="P1051" s="54"/>
      <c r="Q1051" s="53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  <c r="P1052" s="54"/>
      <c r="Q1052" s="53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  <c r="P1053" s="54"/>
      <c r="Q1053" s="53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  <c r="P1054" s="54"/>
      <c r="Q1054" s="53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  <c r="P1055" s="54"/>
      <c r="Q1055" s="53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  <c r="P1056" s="54"/>
      <c r="Q1056" s="53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  <c r="P1057" s="54"/>
      <c r="Q1057" s="53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  <c r="P1058" s="54"/>
      <c r="Q1058" s="53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  <c r="P1059" s="54"/>
      <c r="Q1059" s="53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  <c r="P1060" s="54"/>
      <c r="Q1060" s="53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  <c r="P1061" s="54"/>
      <c r="Q1061" s="53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  <c r="P1062" s="54"/>
      <c r="Q1062" s="53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  <c r="P1063" s="54"/>
      <c r="Q1063" s="53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  <c r="P1064" s="54"/>
      <c r="Q1064" s="53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  <c r="P1065" s="54"/>
      <c r="Q1065" s="53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  <c r="P1066" s="54"/>
      <c r="Q1066" s="53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  <c r="P1067" s="54"/>
      <c r="Q1067" s="53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  <c r="P1068" s="54"/>
      <c r="Q1068" s="53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  <c r="P1069" s="54"/>
      <c r="Q1069" s="53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  <c r="P1070" s="54"/>
      <c r="Q1070" s="53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  <c r="P1071" s="54"/>
      <c r="Q1071" s="53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  <c r="P1072" s="54"/>
      <c r="Q1072" s="53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  <c r="P1073" s="54"/>
      <c r="Q1073" s="53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  <c r="P1074" s="54"/>
      <c r="Q1074" s="53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  <c r="P1075" s="54"/>
      <c r="Q1075" s="53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  <c r="P1076" s="54"/>
      <c r="Q1076" s="53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  <c r="P1077" s="54"/>
      <c r="Q1077" s="53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  <c r="P1078" s="54"/>
      <c r="Q1078" s="53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  <c r="P1079" s="54"/>
      <c r="Q1079" s="53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  <c r="P1080" s="54"/>
      <c r="Q1080" s="53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  <c r="P1081" s="54"/>
      <c r="Q1081" s="53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  <c r="P1082" s="54"/>
      <c r="Q1082" s="53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  <c r="P1083" s="54"/>
      <c r="Q1083" s="53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  <c r="P1084" s="54"/>
      <c r="Q1084" s="53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  <c r="P1085" s="54"/>
      <c r="Q1085" s="53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  <c r="P1086" s="54"/>
      <c r="Q1086" s="53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  <c r="P1087" s="54"/>
      <c r="Q1087" s="53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  <c r="P1088" s="54"/>
      <c r="Q1088" s="53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  <c r="P1089" s="54"/>
      <c r="Q1089" s="53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  <c r="P1090" s="54"/>
      <c r="Q1090" s="53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  <c r="P1091" s="54"/>
      <c r="Q1091" s="53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  <c r="P1092" s="54"/>
      <c r="Q1092" s="53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  <c r="P1093" s="54"/>
      <c r="Q1093" s="53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  <c r="P1094" s="54"/>
      <c r="Q1094" s="53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  <c r="P1095" s="54"/>
      <c r="Q1095" s="53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  <c r="P1096" s="54"/>
      <c r="Q1096" s="53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  <c r="P1097" s="54"/>
      <c r="Q1097" s="53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  <c r="P1098" s="54"/>
      <c r="Q1098" s="53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  <c r="P1099" s="54"/>
      <c r="Q1099" s="53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  <c r="P1100" s="54"/>
      <c r="Q1100" s="53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  <c r="P1101" s="54"/>
      <c r="Q1101" s="53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  <c r="P1102" s="54"/>
      <c r="Q1102" s="53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  <c r="P1103" s="54"/>
      <c r="Q1103" s="53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  <c r="P1104" s="54"/>
      <c r="Q1104" s="53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  <c r="P1105" s="54"/>
      <c r="Q1105" s="53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  <c r="P1106" s="54"/>
      <c r="Q1106" s="53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  <c r="P1107" s="54"/>
      <c r="Q1107" s="53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  <c r="P1108" s="54"/>
      <c r="Q1108" s="53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  <c r="P1109" s="54"/>
      <c r="Q1109" s="53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  <c r="P1110" s="54"/>
      <c r="Q1110" s="53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  <c r="P1111" s="54"/>
      <c r="Q1111" s="53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  <c r="P1112" s="54"/>
      <c r="Q1112" s="53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  <c r="P1113" s="54"/>
      <c r="Q1113" s="53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  <c r="P1114" s="54"/>
      <c r="Q1114" s="53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  <c r="P1115" s="54"/>
      <c r="Q1115" s="53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  <c r="P1116" s="54"/>
      <c r="Q1116" s="53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  <c r="P1117" s="54"/>
      <c r="Q1117" s="53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  <c r="P1118" s="54"/>
      <c r="Q1118" s="53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  <c r="P1119" s="54"/>
      <c r="Q1119" s="53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  <c r="P1120" s="54"/>
      <c r="Q1120" s="53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  <c r="P1121" s="54"/>
      <c r="Q1121" s="53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  <c r="P1122" s="54"/>
      <c r="Q1122" s="53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  <c r="P1123" s="54"/>
      <c r="Q1123" s="53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  <c r="P1124" s="54"/>
      <c r="Q1124" s="53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  <c r="P1125" s="54"/>
      <c r="Q1125" s="53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  <c r="P1126" s="54"/>
      <c r="Q1126" s="53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  <c r="P1127" s="54"/>
      <c r="Q1127" s="53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  <c r="P1128" s="54"/>
      <c r="Q1128" s="53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  <c r="P1129" s="54"/>
      <c r="Q1129" s="53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  <c r="P1130" s="54"/>
      <c r="Q1130" s="53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  <c r="P1131" s="54"/>
      <c r="Q1131" s="53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  <c r="P1132" s="54"/>
      <c r="Q1132" s="53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  <c r="P1133" s="54"/>
      <c r="Q1133" s="53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  <c r="P1134" s="54"/>
      <c r="Q1134" s="53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  <c r="P1135" s="54"/>
      <c r="Q1135" s="53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  <c r="P1136" s="54"/>
      <c r="Q1136" s="53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  <c r="P1137" s="54"/>
      <c r="Q1137" s="53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  <c r="P1138" s="54"/>
      <c r="Q1138" s="53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  <c r="P1139" s="54"/>
      <c r="Q1139" s="53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  <c r="P1140" s="54"/>
      <c r="Q1140" s="53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  <c r="P1141" s="54"/>
      <c r="Q1141" s="53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  <c r="P1142" s="54"/>
      <c r="Q1142" s="53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  <c r="P1143" s="54"/>
      <c r="Q1143" s="53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  <c r="P1144" s="54"/>
      <c r="Q1144" s="53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  <c r="P1145" s="54"/>
      <c r="Q1145" s="53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  <c r="P1146" s="54"/>
      <c r="Q1146" s="53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  <c r="P1147" s="54"/>
      <c r="Q1147" s="53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  <c r="P1148" s="54"/>
      <c r="Q1148" s="53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  <c r="P1149" s="54"/>
      <c r="Q1149" s="53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  <c r="P1150" s="54"/>
      <c r="Q1150" s="53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  <c r="P1151" s="54"/>
      <c r="Q1151" s="53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  <c r="P1152" s="54"/>
      <c r="Q1152" s="53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  <c r="P1153" s="54"/>
      <c r="Q1153" s="53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  <c r="P1154" s="54"/>
      <c r="Q1154" s="53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  <c r="P1155" s="54"/>
      <c r="Q1155" s="53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  <c r="P1156" s="54"/>
      <c r="Q1156" s="53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  <c r="P1157" s="54"/>
      <c r="Q1157" s="53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  <c r="P1158" s="54"/>
      <c r="Q1158" s="53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  <c r="P1159" s="54"/>
      <c r="Q1159" s="53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  <c r="P1160" s="54"/>
      <c r="Q1160" s="53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  <c r="P1161" s="54"/>
      <c r="Q1161" s="53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  <c r="P1162" s="54"/>
      <c r="Q1162" s="53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  <c r="P1163" s="54"/>
      <c r="Q1163" s="53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  <c r="P1164" s="54"/>
      <c r="Q1164" s="53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  <c r="P1165" s="54"/>
      <c r="Q1165" s="53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  <c r="P1166" s="54"/>
      <c r="Q1166" s="53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  <c r="P1167" s="54"/>
      <c r="Q1167" s="53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  <c r="P1168" s="54"/>
      <c r="Q1168" s="53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  <c r="P1169" s="54"/>
      <c r="Q1169" s="53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  <c r="P1170" s="54"/>
      <c r="Q1170" s="53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  <c r="P1171" s="54"/>
      <c r="Q1171" s="53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  <c r="P1172" s="54"/>
      <c r="Q1172" s="53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  <c r="P1173" s="54"/>
      <c r="Q1173" s="53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  <c r="P1174" s="54"/>
      <c r="Q1174" s="53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  <c r="P1175" s="54"/>
      <c r="Q1175" s="53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  <c r="P1176" s="54"/>
      <c r="Q1176" s="53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  <c r="P1177" s="54"/>
      <c r="Q1177" s="53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  <c r="P1178" s="54"/>
      <c r="Q1178" s="53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  <c r="P1179" s="54"/>
      <c r="Q1179" s="53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  <c r="P1180" s="54"/>
      <c r="Q1180" s="53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  <c r="P1181" s="54"/>
      <c r="Q1181" s="53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  <c r="P1182" s="54"/>
      <c r="Q1182" s="53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  <c r="P1183" s="54"/>
      <c r="Q1183" s="53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  <c r="P1184" s="54"/>
      <c r="Q1184" s="53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  <c r="P1185" s="54"/>
      <c r="Q1185" s="53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  <c r="P1186" s="54"/>
      <c r="Q1186" s="53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  <c r="P1187" s="54"/>
      <c r="Q1187" s="53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  <c r="P1188" s="54"/>
      <c r="Q1188" s="53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  <c r="P1189" s="54"/>
      <c r="Q1189" s="53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  <c r="P1190" s="54"/>
      <c r="Q1190" s="53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  <c r="P1191" s="54"/>
      <c r="Q1191" s="53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  <c r="P1192" s="54"/>
      <c r="Q1192" s="53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  <c r="P1193" s="54"/>
      <c r="Q1193" s="53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  <c r="P1194" s="54"/>
      <c r="Q1194" s="53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  <c r="P1195" s="54"/>
      <c r="Q1195" s="53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  <c r="P1196" s="54"/>
      <c r="Q1196" s="53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  <c r="P1197" s="54"/>
      <c r="Q1197" s="53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  <c r="P1198" s="54"/>
      <c r="Q1198" s="53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  <c r="P1199" s="54"/>
      <c r="Q1199" s="53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  <c r="P1200" s="54"/>
      <c r="Q1200" s="53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  <c r="P1201" s="54"/>
      <c r="Q1201" s="53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  <c r="P1202" s="54"/>
      <c r="Q1202" s="53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  <c r="P1203" s="54"/>
      <c r="Q1203" s="53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  <c r="P1204" s="54"/>
      <c r="Q1204" s="53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9" t="s">
        <v>654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  <c r="P3" s="20" t="s">
        <v>655</v>
      </c>
      <c r="Q3" s="20" t="s">
        <v>142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  <c r="P4" s="21" t="s">
        <v>151</v>
      </c>
      <c r="Q4" s="21" t="s">
        <v>152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77531609</v>
      </c>
      <c r="D5" s="49" t="n">
        <v>77684320</v>
      </c>
      <c r="E5" s="49" t="n">
        <v>77185908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  <c r="P5" s="54"/>
      <c r="Q5" s="53" t="str">
        <f aca="false">IF(NOT(ISNUMBER($P5)),"",IFERROR(PERCENTRANK($P$5:$P$1204,$P5),""))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79529731</v>
      </c>
      <c r="D6" s="49" t="n">
        <v>79959462</v>
      </c>
      <c r="E6" s="49" t="n">
        <v>79300680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0.0257717081558311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  <c r="P6" s="54"/>
      <c r="Q6" s="53" t="str">
        <f aca="false">IF(NOT(ISNUMBER($P6)),"",IFERROR(PERCENTRANK($P$5:$P$1204,$P6),""))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78640334</v>
      </c>
      <c r="D7" s="49" t="n">
        <v>78741587</v>
      </c>
      <c r="E7" s="49" t="n">
        <v>78592835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-0.0111832014118092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  <c r="P7" s="54"/>
      <c r="Q7" s="53" t="str">
        <f aca="false">IF(NOT(ISNUMBER($P7)),"",IFERROR(PERCENTRANK($P$5:$P$1204,$P7),""))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77380022</v>
      </c>
      <c r="D8" s="49" t="n">
        <v>77468797</v>
      </c>
      <c r="E8" s="49" t="n">
        <v>76933124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-0.0160262798476925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  <c r="P8" s="54"/>
      <c r="Q8" s="53" t="str">
        <f aca="false">IF(NOT(ISNUMBER($P8)),"",IFERROR(PERCENTRANK($P$5:$P$1204,$P8),""))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78025527</v>
      </c>
      <c r="D9" s="49" t="n">
        <v>78309825</v>
      </c>
      <c r="E9" s="49" t="n">
        <v>77925618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0.00834201106843824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  <c r="P9" s="54"/>
      <c r="Q9" s="53" t="str">
        <f aca="false">IF(NOT(ISNUMBER($P9)),"",IFERROR(PERCENTRANK($P$5:$P$1204,$P9),""))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78573859</v>
      </c>
      <c r="D10" s="49" t="n">
        <v>78605791</v>
      </c>
      <c r="E10" s="49" t="n">
        <v>78386241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0.00702759751946314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  <c r="P10" s="54"/>
      <c r="Q10" s="53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77842492</v>
      </c>
      <c r="D11" s="49" t="n">
        <v>78200588</v>
      </c>
      <c r="E11" s="49" t="n">
        <v>77334786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-0.00930801935030323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  <c r="P11" s="54"/>
      <c r="Q11" s="53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78559850</v>
      </c>
      <c r="D12" s="49" t="n">
        <v>79177408</v>
      </c>
      <c r="E12" s="49" t="n">
        <v>78429910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0.0092155066155899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  <c r="P12" s="54"/>
      <c r="Q12" s="53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79016135</v>
      </c>
      <c r="D13" s="49" t="n">
        <v>79201465</v>
      </c>
      <c r="E13" s="49" t="n">
        <v>78939804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0.00580811954197968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  <c r="P13" s="54"/>
      <c r="Q13" s="53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77438026</v>
      </c>
      <c r="D14" s="49" t="n">
        <v>77764144</v>
      </c>
      <c r="E14" s="49" t="n">
        <v>77111892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-0.0199719842029732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  <c r="P14" s="54"/>
      <c r="Q14" s="53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79093783</v>
      </c>
      <c r="D15" s="49" t="n">
        <v>79584577</v>
      </c>
      <c r="E15" s="49" t="n">
        <v>78762073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0.0213817046421096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  <c r="P15" s="54"/>
      <c r="Q15" s="53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76498479</v>
      </c>
      <c r="D16" s="49" t="n">
        <v>76751097</v>
      </c>
      <c r="E16" s="49" t="n">
        <v>76410159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-0.0328129961870708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  <c r="P16" s="54"/>
      <c r="Q16" s="53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75574324</v>
      </c>
      <c r="D17" s="49" t="n">
        <v>75857422</v>
      </c>
      <c r="E17" s="49" t="n">
        <v>75312654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-0.0120806977090355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  <c r="P17" s="54"/>
      <c r="Q17" s="53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77512983</v>
      </c>
      <c r="D18" s="49" t="n">
        <v>77662671</v>
      </c>
      <c r="E18" s="49" t="n">
        <v>77297208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0.0256523498642212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  <c r="P18" s="54"/>
      <c r="Q18" s="53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78492714</v>
      </c>
      <c r="D19" s="49" t="n">
        <v>78862574</v>
      </c>
      <c r="E19" s="49" t="n">
        <v>78105985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0.0126395729087088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  <c r="P19" s="54"/>
      <c r="Q19" s="53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79392461</v>
      </c>
      <c r="D20" s="49" t="n">
        <v>79710455</v>
      </c>
      <c r="E20" s="49" t="n">
        <v>79378995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0.0114628091468465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  <c r="P20" s="54"/>
      <c r="Q20" s="53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80014514</v>
      </c>
      <c r="D21" s="49" t="n">
        <v>80037901</v>
      </c>
      <c r="E21" s="49" t="n">
        <v>79515427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0.00783516460083034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  <c r="P21" s="54"/>
      <c r="Q21" s="53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80520234</v>
      </c>
      <c r="D22" s="49" t="n">
        <v>80995280</v>
      </c>
      <c r="E22" s="49" t="n">
        <v>80280678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0.00632035332989722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  <c r="P22" s="54"/>
      <c r="Q22" s="53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78502708</v>
      </c>
      <c r="D23" s="49" t="n">
        <v>78662792</v>
      </c>
      <c r="E23" s="49" t="n">
        <v>78347315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-0.0250561368214604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  <c r="P23" s="54"/>
      <c r="Q23" s="53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77829040</v>
      </c>
      <c r="D24" s="49" t="n">
        <v>77902874</v>
      </c>
      <c r="E24" s="49" t="n">
        <v>77741135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-0.00858146192867637</v>
      </c>
      <c r="I24" s="52" t="n">
        <f aca="false">IF(AND(ISNUMBER($G24),$G24&gt;=MA_SHORT),AVERAGE(INDEX($C$5:$C24,21-MA_SHORT):$C24),"")</f>
        <v>78298441.25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  <c r="P24" s="54"/>
      <c r="Q24" s="53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79852484</v>
      </c>
      <c r="D25" s="49" t="n">
        <v>80009152</v>
      </c>
      <c r="E25" s="49" t="n">
        <v>79476632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0.0259985732831858</v>
      </c>
      <c r="I25" s="52" t="n">
        <f aca="false">IF(AND(ISNUMBER($G25),$G25&gt;=MA_SHORT),AVERAGE(INDEX($C$5:$C25,22-MA_SHORT):$C25),"")</f>
        <v>78414485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0.274050497967643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  <c r="P25" s="54"/>
      <c r="Q25" s="53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78696544</v>
      </c>
      <c r="D26" s="49" t="n">
        <v>79054302</v>
      </c>
      <c r="E26" s="49" t="n">
        <v>78403111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-0.014475942914938</v>
      </c>
      <c r="I26" s="52" t="n">
        <f aca="false">IF(AND(ISNUMBER($G26),$G26&gt;=MA_SHORT),AVERAGE(INDEX($C$5:$C26,23-MA_SHORT):$C26),"")</f>
        <v>78372825.65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0.264348784234616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  <c r="P26" s="54"/>
      <c r="Q26" s="53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80258884</v>
      </c>
      <c r="D27" s="49" t="n">
        <v>80742806</v>
      </c>
      <c r="E27" s="49" t="n">
        <v>79959802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0.0198527142437157</v>
      </c>
      <c r="I27" s="52" t="n">
        <f aca="false">IF(AND(ISNUMBER($G27),$G27&gt;=MA_SHORT),AVERAGE(INDEX($C$5:$C27,24-MA_SHORT):$C27),"")</f>
        <v>78453753.15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0.270261844118684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  <c r="P27" s="54"/>
      <c r="Q27" s="53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78892323</v>
      </c>
      <c r="D28" s="49" t="n">
        <v>79146702</v>
      </c>
      <c r="E28" s="49" t="n">
        <v>78684409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-0.0170269125596114</v>
      </c>
      <c r="I28" s="52" t="n">
        <f aca="false">IF(AND(ISNUMBER($G28),$G28&gt;=MA_SHORT),AVERAGE(INDEX($C$5:$C28,25-MA_SHORT):$C28),"")</f>
        <v>78529368.2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0.271103790199737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  <c r="P28" s="54"/>
      <c r="Q28" s="53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80481681</v>
      </c>
      <c r="D29" s="49" t="n">
        <v>81151699</v>
      </c>
      <c r="E29" s="49" t="n">
        <v>80463799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0.020145914577772</v>
      </c>
      <c r="I29" s="52" t="n">
        <f aca="false">IF(AND(ISNUMBER($G29),$G29&gt;=MA_SHORT),AVERAGE(INDEX($C$5:$C29,26-MA_SHORT):$C29),"")</f>
        <v>78652175.9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0.278218056829483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  <c r="P29" s="54"/>
      <c r="Q29" s="53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81674760</v>
      </c>
      <c r="D30" s="49" t="n">
        <v>81726037</v>
      </c>
      <c r="E30" s="49" t="n">
        <v>81184282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0.0148242306221213</v>
      </c>
      <c r="I30" s="52" t="n">
        <f aca="false">IF(AND(ISNUMBER($G30),$G30&gt;=MA_SHORT),AVERAGE(INDEX($C$5:$C30,27-MA_SHORT):$C30),"")</f>
        <v>78807220.95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0.281462068284765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  <c r="P30" s="54"/>
      <c r="Q30" s="53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80765580</v>
      </c>
      <c r="D31" s="49" t="n">
        <v>80953720</v>
      </c>
      <c r="E31" s="49" t="n">
        <v>80511319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-0.0111317131510396</v>
      </c>
      <c r="I31" s="52" t="n">
        <f aca="false">IF(AND(ISNUMBER($G31),$G31&gt;=MA_SHORT),AVERAGE(INDEX($C$5:$C31,28-MA_SHORT):$C31),"")</f>
        <v>78953375.35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0.282484980559759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  <c r="P31" s="54"/>
      <c r="Q31" s="53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80667847</v>
      </c>
      <c r="D32" s="49" t="n">
        <v>80785421</v>
      </c>
      <c r="E32" s="49" t="n">
        <v>80190906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-0.00121008231476827</v>
      </c>
      <c r="I32" s="52" t="n">
        <f aca="false">IF(AND(ISNUMBER($G32),$G32&gt;=MA_SHORT),AVERAGE(INDEX($C$5:$C32,29-MA_SHORT):$C32),"")</f>
        <v>79058775.2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0.281405765071822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  <c r="P32" s="54"/>
      <c r="Q32" s="53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80363116</v>
      </c>
      <c r="D33" s="49" t="n">
        <v>81039339</v>
      </c>
      <c r="E33" s="49" t="n">
        <v>80028254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-0.00377760175005037</v>
      </c>
      <c r="I33" s="52" t="n">
        <f aca="false">IF(AND(ISNUMBER($G33),$G33&gt;=MA_SHORT),AVERAGE(INDEX($C$5:$C33,30-MA_SHORT):$C33),"")</f>
        <v>79126124.25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0.281504040274848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  <c r="P33" s="54"/>
      <c r="Q33" s="53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82547059</v>
      </c>
      <c r="D34" s="49" t="n">
        <v>83047230</v>
      </c>
      <c r="E34" s="49" t="n">
        <v>82076258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0.0271759372794853</v>
      </c>
      <c r="I34" s="52" t="n">
        <f aca="false">IF(AND(ISNUMBER($G34),$G34&gt;=MA_SHORT),AVERAGE(INDEX($C$5:$C34,31-MA_SHORT):$C34),"")</f>
        <v>79381575.9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0.284562569227097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  <c r="P34" s="54"/>
      <c r="Q34" s="53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82633642</v>
      </c>
      <c r="D35" s="49" t="n">
        <v>83170039</v>
      </c>
      <c r="E35" s="49" t="n">
        <v>82589618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0.00104889260803342</v>
      </c>
      <c r="I35" s="52" t="n">
        <f aca="false">IF(AND(ISNUMBER($G35),$G35&gt;=MA_SHORT),AVERAGE(INDEX($C$5:$C35,32-MA_SHORT):$C35),"")</f>
        <v>79558568.85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0.276746309972041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  <c r="P35" s="54"/>
      <c r="Q35" s="53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83335424</v>
      </c>
      <c r="D36" s="49" t="n">
        <v>83541849</v>
      </c>
      <c r="E36" s="49" t="n">
        <v>83294669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0.00849269114872131</v>
      </c>
      <c r="I36" s="52" t="n">
        <f aca="false">IF(AND(ISNUMBER($G36),$G36&gt;=MA_SHORT),AVERAGE(INDEX($C$5:$C36,33-MA_SHORT):$C36),"")</f>
        <v>79900416.1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0.245034737147964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  <c r="P36" s="54"/>
      <c r="Q36" s="53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83212592</v>
      </c>
      <c r="D37" s="49" t="n">
        <v>83317698</v>
      </c>
      <c r="E37" s="49" t="n">
        <v>83178014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-0.00147394702161707</v>
      </c>
      <c r="I37" s="52" t="n">
        <f aca="false">IF(AND(ISNUMBER($G37),$G37&gt;=MA_SHORT),AVERAGE(INDEX($C$5:$C37,34-MA_SHORT):$C37),"")</f>
        <v>80282329.5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0.238559276690136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  <c r="P37" s="54"/>
      <c r="Q37" s="53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84682668</v>
      </c>
      <c r="D38" s="49" t="n">
        <v>84852533</v>
      </c>
      <c r="E38" s="49" t="n">
        <v>84432213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0.0176665089341286</v>
      </c>
      <c r="I38" s="52" t="n">
        <f aca="false">IF(AND(ISNUMBER($G38),$G38&gt;=MA_SHORT),AVERAGE(INDEX($C$5:$C38,35-MA_SHORT):$C38),"")</f>
        <v>80640813.75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0.231138839354537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  <c r="P38" s="54"/>
      <c r="Q38" s="53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84982804</v>
      </c>
      <c r="D39" s="49" t="n">
        <v>85488513</v>
      </c>
      <c r="E39" s="49" t="n">
        <v>84116884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0.00354424355170302</v>
      </c>
      <c r="I39" s="52" t="n">
        <f aca="false">IF(AND(ISNUMBER($G39),$G39&gt;=MA_SHORT),AVERAGE(INDEX($C$5:$C39,36-MA_SHORT):$C39),"")</f>
        <v>80965318.25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0.229211370069438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  <c r="P39" s="54"/>
      <c r="Q39" s="53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87653085</v>
      </c>
      <c r="D40" s="49" t="n">
        <v>88103867</v>
      </c>
      <c r="E40" s="49" t="n">
        <v>87331007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0.0314214273278157</v>
      </c>
      <c r="I40" s="52" t="n">
        <f aca="false">IF(AND(ISNUMBER($G40),$G40&gt;=MA_SHORT),AVERAGE(INDEX($C$5:$C40,37-MA_SHORT):$C40),"")</f>
        <v>81378349.45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0.247420312787907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  <c r="P40" s="54"/>
      <c r="Q40" s="53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86466800</v>
      </c>
      <c r="D41" s="49" t="n">
        <v>86598424</v>
      </c>
      <c r="E41" s="49" t="n">
        <v>85746850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-0.0135338647806863</v>
      </c>
      <c r="I41" s="52" t="n">
        <f aca="false">IF(AND(ISNUMBER($G41),$G41&gt;=MA_SHORT),AVERAGE(INDEX($C$5:$C41,38-MA_SHORT):$C41),"")</f>
        <v>81700963.75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0.255523067164991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  <c r="P41" s="54"/>
      <c r="Q41" s="53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86108722</v>
      </c>
      <c r="D42" s="49" t="n">
        <v>86145758</v>
      </c>
      <c r="E42" s="49" t="n">
        <v>86032451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-0.00414121952009328</v>
      </c>
      <c r="I42" s="52" t="n">
        <f aca="false">IF(AND(ISNUMBER($G42),$G42&gt;=MA_SHORT),AVERAGE(INDEX($C$5:$C42,39-MA_SHORT):$C42),"")</f>
        <v>81980388.15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0.256923577493758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  <c r="P42" s="54"/>
      <c r="Q42" s="53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83928431</v>
      </c>
      <c r="D43" s="49" t="n">
        <v>84355246</v>
      </c>
      <c r="E43" s="49" t="n">
        <v>83668448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-0.0253202108840961</v>
      </c>
      <c r="I43" s="52" t="n">
        <f aca="false">IF(AND(ISNUMBER($G43),$G43&gt;=MA_SHORT),AVERAGE(INDEX($C$5:$C43,40-MA_SHORT):$C43),"")</f>
        <v>82251674.3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0.257303273815432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  <c r="P43" s="54"/>
      <c r="Q43" s="53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83004457</v>
      </c>
      <c r="D44" s="49" t="n">
        <v>83126586</v>
      </c>
      <c r="E44" s="49" t="n">
        <v>82837022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-0.0110090703351764</v>
      </c>
      <c r="I44" s="52" t="n">
        <f aca="false">IF(AND(ISNUMBER($G44),$G44&gt;=MA_SHORT),AVERAGE(INDEX($C$5:$C44,41-MA_SHORT):$C44),"")</f>
        <v>82510445.15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0.258905344740404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  <c r="P44" s="54"/>
      <c r="Q44" s="53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82815405</v>
      </c>
      <c r="D45" s="49" t="n">
        <v>83389405</v>
      </c>
      <c r="E45" s="49" t="n">
        <v>82459335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-0.00227761263470472</v>
      </c>
      <c r="I45" s="52" t="n">
        <f aca="false">IF(AND(ISNUMBER($G45),$G45&gt;=MA_SHORT),AVERAGE(INDEX($C$5:$C45,42-MA_SHORT):$C45),"")</f>
        <v>82658591.2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0.245587002473356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  <c r="P45" s="54"/>
      <c r="Q45" s="53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83449840</v>
      </c>
      <c r="D46" s="49" t="n">
        <v>83706767</v>
      </c>
      <c r="E46" s="49" t="n">
        <v>83274687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0.00766083315054722</v>
      </c>
      <c r="I46" s="52" t="n">
        <f aca="false">IF(AND(ISNUMBER($G46),$G46&gt;=MA_SHORT),AVERAGE(INDEX($C$5:$C46,43-MA_SHORT):$C46),"")</f>
        <v>82896256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0.238630037252987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  <c r="P46" s="54"/>
      <c r="Q46" s="53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82505480</v>
      </c>
      <c r="D47" s="49" t="n">
        <v>83183212</v>
      </c>
      <c r="E47" s="49" t="n">
        <v>82270174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-0.0113164986295959</v>
      </c>
      <c r="I47" s="52" t="n">
        <f aca="false">IF(AND(ISNUMBER($G47),$G47&gt;=MA_SHORT),AVERAGE(INDEX($C$5:$C47,44-MA_SHORT):$C47),"")</f>
        <v>83008585.8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0.235236035359211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  <c r="P47" s="54"/>
      <c r="Q47" s="53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82068378</v>
      </c>
      <c r="D48" s="49" t="n">
        <v>82441080</v>
      </c>
      <c r="E48" s="49" t="n">
        <v>81543306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-0.00529785415465733</v>
      </c>
      <c r="I48" s="52" t="n">
        <f aca="false">IF(AND(ISNUMBER($G48),$G48&gt;=MA_SHORT),AVERAGE(INDEX($C$5:$C48,45-MA_SHORT):$C48),"")</f>
        <v>83167388.55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0.226761326067563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  <c r="P48" s="54"/>
      <c r="Q48" s="53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80611859</v>
      </c>
      <c r="D49" s="49" t="n">
        <v>81004219</v>
      </c>
      <c r="E49" s="49" t="n">
        <v>80434442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-0.0177476274723012</v>
      </c>
      <c r="I49" s="52" t="n">
        <f aca="false">IF(AND(ISNUMBER($G49),$G49&gt;=MA_SHORT),AVERAGE(INDEX($C$5:$C49,46-MA_SHORT):$C49),"")</f>
        <v>83173897.45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0.226606273575609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  <c r="P49" s="54"/>
      <c r="Q49" s="53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80062025</v>
      </c>
      <c r="D50" s="49" t="n">
        <v>80294236</v>
      </c>
      <c r="E50" s="49" t="n">
        <v>79919949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-0.00682075822119421</v>
      </c>
      <c r="I50" s="52" t="n">
        <f aca="false">IF(AND(ISNUMBER($G50),$G50&gt;=MA_SHORT),AVERAGE(INDEX($C$5:$C50,47-MA_SHORT):$C50),"")</f>
        <v>83093260.7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0.221167193020825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  <c r="P50" s="54"/>
      <c r="Q50" s="53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80603398</v>
      </c>
      <c r="D51" s="49" t="n">
        <v>81076054</v>
      </c>
      <c r="E51" s="49" t="n">
        <v>80577290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0.00676191989897834</v>
      </c>
      <c r="I51" s="52" t="n">
        <f aca="false">IF(AND(ISNUMBER($G51),$G51&gt;=MA_SHORT),AVERAGE(INDEX($C$5:$C51,48-MA_SHORT):$C51),"")</f>
        <v>83085151.6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0.219355083819336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  <c r="P51" s="54"/>
      <c r="Q51" s="53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81906998</v>
      </c>
      <c r="D52" s="49" t="n">
        <v>82105104</v>
      </c>
      <c r="E52" s="49" t="n">
        <v>81773914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0.0161730154354038</v>
      </c>
      <c r="I52" s="52" t="n">
        <f aca="false">IF(AND(ISNUMBER($G52),$G52&gt;=MA_SHORT),AVERAGE(INDEX($C$5:$C52,49-MA_SHORT):$C52),"")</f>
        <v>83147109.15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0.226449176115904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  <c r="P52" s="54"/>
      <c r="Q52" s="53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82477637</v>
      </c>
      <c r="D53" s="49" t="n">
        <v>82818582</v>
      </c>
      <c r="E53" s="49" t="n">
        <v>82130805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0.00696691386491777</v>
      </c>
      <c r="I53" s="52" t="n">
        <f aca="false">IF(AND(ISNUMBER($G53),$G53&gt;=MA_SHORT),AVERAGE(INDEX($C$5:$C53,50-MA_SHORT):$C53),"")</f>
        <v>83252835.2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0.226733242311044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  <c r="P53" s="54"/>
      <c r="Q53" s="53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83100495</v>
      </c>
      <c r="D54" s="49" t="n">
        <v>83678437</v>
      </c>
      <c r="E54" s="49" t="n">
        <v>82871587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0.00755184099175876</v>
      </c>
      <c r="I54" s="52" t="n">
        <f aca="false">IF(AND(ISNUMBER($G54),$G54&gt;=MA_SHORT),AVERAGE(INDEX($C$5:$C54,51-MA_SHORT):$C54),"")</f>
        <v>83280507</v>
      </c>
      <c r="J54" s="52" t="n">
        <f aca="false">IF(AND(ISNUMBER($G54),$G54&gt;=MA_MED),AVERAGE(INDEX($C$5:$C54,51-MA_MED):$C54),"")</f>
        <v>80715584.86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0.207556643743938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  <c r="P54" s="54"/>
      <c r="Q54" s="53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85078305</v>
      </c>
      <c r="D55" s="49" t="n">
        <v>85291231</v>
      </c>
      <c r="E55" s="49" t="n">
        <v>84966559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0.0238002192405713</v>
      </c>
      <c r="I55" s="52" t="n">
        <f aca="false">IF(AND(ISNUMBER($G55),$G55&gt;=MA_SHORT),AVERAGE(INDEX($C$5:$C55,52-MA_SHORT):$C55),"")</f>
        <v>83402740.15</v>
      </c>
      <c r="J55" s="52" t="n">
        <f aca="false">IF(AND(ISNUMBER($G55),$G55&gt;=MA_MED),AVERAGE(INDEX($C$5:$C55,52-MA_MED):$C55),"")</f>
        <v>80866518.78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0.223139234077056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  <c r="P55" s="54"/>
      <c r="Q55" s="53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83457439</v>
      </c>
      <c r="D56" s="49" t="n">
        <v>84013366</v>
      </c>
      <c r="E56" s="49" t="n">
        <v>83362926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-0.0190514608865328</v>
      </c>
      <c r="I56" s="52" t="n">
        <f aca="false">IF(AND(ISNUMBER($G56),$G56&gt;=MA_SHORT),AVERAGE(INDEX($C$5:$C56,53-MA_SHORT):$C56),"")</f>
        <v>83408840.9</v>
      </c>
      <c r="J56" s="52" t="n">
        <f aca="false">IF(AND(ISNUMBER($G56),$G56&gt;=MA_MED),AVERAGE(INDEX($C$5:$C56,53-MA_MED):$C56),"")</f>
        <v>80945072.94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0.232716140586156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  <c r="P56" s="54"/>
      <c r="Q56" s="53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84190033</v>
      </c>
      <c r="D57" s="49" t="n">
        <v>84761763</v>
      </c>
      <c r="E57" s="49" t="n">
        <v>84048529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0.00877805512340246</v>
      </c>
      <c r="I57" s="52" t="n">
        <f aca="false">IF(AND(ISNUMBER($G57),$G57&gt;=MA_SHORT),AVERAGE(INDEX($C$5:$C57,54-MA_SHORT):$C57),"")</f>
        <v>83457712.95</v>
      </c>
      <c r="J57" s="52" t="n">
        <f aca="false">IF(AND(ISNUMBER($G57),$G57&gt;=MA_MED),AVERAGE(INDEX($C$5:$C57,54-MA_MED):$C57),"")</f>
        <v>81056066.92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0.234536987345048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  <c r="P57" s="54"/>
      <c r="Q57" s="53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85205321</v>
      </c>
      <c r="D58" s="49" t="n">
        <v>85526933</v>
      </c>
      <c r="E58" s="49" t="n">
        <v>84600115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0.0120594797723859</v>
      </c>
      <c r="I58" s="52" t="n">
        <f aca="false">IF(AND(ISNUMBER($G58),$G58&gt;=MA_SHORT),AVERAGE(INDEX($C$5:$C58,55-MA_SHORT):$C58),"")</f>
        <v>83483845.6</v>
      </c>
      <c r="J58" s="52" t="n">
        <f aca="false">IF(AND(ISNUMBER($G58),$G58&gt;=MA_MED),AVERAGE(INDEX($C$5:$C58,55-MA_MED):$C58),"")</f>
        <v>81212572.9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0.230082472821871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  <c r="P58" s="54"/>
      <c r="Q58" s="53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85678274</v>
      </c>
      <c r="D59" s="49" t="n">
        <v>86363381</v>
      </c>
      <c r="E59" s="49" t="n">
        <v>85484683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0.00555074488833851</v>
      </c>
      <c r="I59" s="52" t="n">
        <f aca="false">IF(AND(ISNUMBER($G59),$G59&gt;=MA_SHORT),AVERAGE(INDEX($C$5:$C59,56-MA_SHORT):$C59),"")</f>
        <v>83518619.1</v>
      </c>
      <c r="J59" s="52" t="n">
        <f aca="false">IF(AND(ISNUMBER($G59),$G59&gt;=MA_MED),AVERAGE(INDEX($C$5:$C59,56-MA_MED):$C59),"")</f>
        <v>81365627.84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0.230541634614623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  <c r="P59" s="54"/>
      <c r="Q59" s="53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85700656</v>
      </c>
      <c r="D60" s="49" t="n">
        <v>85937378</v>
      </c>
      <c r="E60" s="49" t="n">
        <v>85351603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0.0002612330869316</v>
      </c>
      <c r="I60" s="52" t="n">
        <f aca="false">IF(AND(ISNUMBER($G60),$G60&gt;=MA_SHORT),AVERAGE(INDEX($C$5:$C60,57-MA_SHORT):$C60),"")</f>
        <v>83420997.65</v>
      </c>
      <c r="J60" s="52" t="n">
        <f aca="false">IF(AND(ISNUMBER($G60),$G60&gt;=MA_MED),AVERAGE(INDEX($C$5:$C60,57-MA_MED):$C60),"")</f>
        <v>81508163.78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0.200507934280098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  <c r="P60" s="54"/>
      <c r="Q60" s="53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87823234</v>
      </c>
      <c r="D61" s="49" t="n">
        <v>87933862</v>
      </c>
      <c r="E61" s="49" t="n">
        <v>87813113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0.024767348338617</v>
      </c>
      <c r="I61" s="52" t="n">
        <f aca="false">IF(AND(ISNUMBER($G61),$G61&gt;=MA_SHORT),AVERAGE(INDEX($C$5:$C61,58-MA_SHORT):$C61),"")</f>
        <v>83488819.35</v>
      </c>
      <c r="J61" s="52" t="n">
        <f aca="false">IF(AND(ISNUMBER($G61),$G61&gt;=MA_MED),AVERAGE(INDEX($C$5:$C61,58-MA_MED):$C61),"")</f>
        <v>81707778.62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0.214103793340868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  <c r="P61" s="54"/>
      <c r="Q61" s="53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88151091</v>
      </c>
      <c r="D62" s="49" t="n">
        <v>88209405</v>
      </c>
      <c r="E62" s="49" t="n">
        <v>87585866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0.0037331465156476</v>
      </c>
      <c r="I62" s="52" t="n">
        <f aca="false">IF(AND(ISNUMBER($G62),$G62&gt;=MA_SHORT),AVERAGE(INDEX($C$5:$C62,59-MA_SHORT):$C62),"")</f>
        <v>83590937.8</v>
      </c>
      <c r="J62" s="52" t="n">
        <f aca="false">IF(AND(ISNUMBER($G62),$G62&gt;=MA_MED),AVERAGE(INDEX($C$5:$C62,59-MA_MED):$C62),"")</f>
        <v>81899603.44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0.213501431179537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  <c r="P62" s="54"/>
      <c r="Q62" s="53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87676229</v>
      </c>
      <c r="D63" s="49" t="n">
        <v>87824291</v>
      </c>
      <c r="E63" s="49" t="n">
        <v>87216855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-0.00538691007238923</v>
      </c>
      <c r="I63" s="52" t="n">
        <f aca="false">IF(AND(ISNUMBER($G63),$G63&gt;=MA_SHORT),AVERAGE(INDEX($C$5:$C63,60-MA_SHORT):$C63),"")</f>
        <v>83778327.7</v>
      </c>
      <c r="J63" s="52" t="n">
        <f aca="false">IF(AND(ISNUMBER($G63),$G63&gt;=MA_MED),AVERAGE(INDEX($C$5:$C63,60-MA_MED):$C63),"")</f>
        <v>82072805.32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0.19179560360621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  <c r="P63" s="54"/>
      <c r="Q63" s="53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87499977</v>
      </c>
      <c r="D64" s="49" t="n">
        <v>87650623</v>
      </c>
      <c r="E64" s="49" t="n">
        <v>87123055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-0.00201025981626102</v>
      </c>
      <c r="I64" s="52" t="n">
        <f aca="false">IF(AND(ISNUMBER($G64),$G64&gt;=MA_SHORT),AVERAGE(INDEX($C$5:$C64,61-MA_SHORT):$C64),"")</f>
        <v>84003103.7</v>
      </c>
      <c r="J64" s="52" t="n">
        <f aca="false">IF(AND(ISNUMBER($G64),$G64&gt;=MA_MED),AVERAGE(INDEX($C$5:$C64,61-MA_MED):$C64),"")</f>
        <v>82274044.34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0.186275674014337</v>
      </c>
      <c r="M64" s="52" t="n">
        <f aca="false">IF(AND(ISNUMBER($G64),$G64&gt;=60),MAX(INDEX($D$5:$D64,61-60):$D64),"")</f>
        <v>88209405</v>
      </c>
      <c r="N64" s="52" t="n">
        <f aca="false">IF(AND(ISNUMBER($G64),$G64&gt;=60),MIN(INDEX($E$5:$E64,61-60):$E64),"")</f>
        <v>75312654</v>
      </c>
      <c r="O64" s="53" t="n">
        <f aca="false">IF(OR(NOT(ISNUMBER($C64)),NOT(ISNUMBER($M64)),$M64=0),"",$C64/$M64-1)</f>
        <v>-0.00804254376276548</v>
      </c>
      <c r="P64" s="54"/>
      <c r="Q64" s="53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85924321</v>
      </c>
      <c r="D65" s="49" t="n">
        <v>86151311</v>
      </c>
      <c r="E65" s="49" t="n">
        <v>85844060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-0.0180075018762577</v>
      </c>
      <c r="I65" s="52" t="n">
        <f aca="false">IF(AND(ISNUMBER($G65),$G65&gt;=MA_SHORT),AVERAGE(INDEX($C$5:$C65,62-MA_SHORT):$C65),"")</f>
        <v>84158549.5</v>
      </c>
      <c r="J65" s="52" t="n">
        <f aca="false">IF(AND(ISNUMBER($G65),$G65&gt;=MA_MED),AVERAGE(INDEX($C$5:$C65,62-MA_MED):$C65),"")</f>
        <v>82410655.1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0.199379142851681</v>
      </c>
      <c r="M65" s="52" t="n">
        <f aca="false">IF(AND(ISNUMBER($G65),$G65&gt;=60),MAX(INDEX($D$5:$D65,62-60):$D65),"")</f>
        <v>88209405</v>
      </c>
      <c r="N65" s="52" t="n">
        <f aca="false">IF(AND(ISNUMBER($G65),$G65&gt;=60),MIN(INDEX($E$5:$E65,62-60):$E65),"")</f>
        <v>75312654</v>
      </c>
      <c r="O65" s="53" t="n">
        <f aca="false">IF(OR(NOT(ISNUMBER($C65)),NOT(ISNUMBER($M65)),$M65=0),"",$C65/$M65-1)</f>
        <v>-0.0259052195171252</v>
      </c>
      <c r="P65" s="54"/>
      <c r="Q65" s="53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86656611</v>
      </c>
      <c r="D66" s="49" t="n">
        <v>87234476</v>
      </c>
      <c r="E66" s="49" t="n">
        <v>86599994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0.00852249970063768</v>
      </c>
      <c r="I66" s="52" t="n">
        <f aca="false">IF(AND(ISNUMBER($G66),$G66&gt;=MA_SHORT),AVERAGE(INDEX($C$5:$C66,63-MA_SHORT):$C66),"")</f>
        <v>84318888.05</v>
      </c>
      <c r="J66" s="52" t="n">
        <f aca="false">IF(AND(ISNUMBER($G66),$G66&gt;=MA_MED),AVERAGE(INDEX($C$5:$C66,63-MA_MED):$C66),"")</f>
        <v>82613817.74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0.199721509788982</v>
      </c>
      <c r="M66" s="52" t="n">
        <f aca="false">IF(AND(ISNUMBER($G66),$G66&gt;=60),MAX(INDEX($D$5:$D66,63-60):$D66),"")</f>
        <v>88209405</v>
      </c>
      <c r="N66" s="52" t="n">
        <f aca="false">IF(AND(ISNUMBER($G66),$G66&gt;=60),MIN(INDEX($E$5:$E66,63-60):$E66),"")</f>
        <v>75312654</v>
      </c>
      <c r="O66" s="53" t="n">
        <f aca="false">IF(OR(NOT(ISNUMBER($C66)),NOT(ISNUMBER($M66)),$M66=0),"",$C66/$M66-1)</f>
        <v>-0.0176034970420671</v>
      </c>
      <c r="P66" s="54"/>
      <c r="Q66" s="53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87453544</v>
      </c>
      <c r="D67" s="49" t="n">
        <v>88101594</v>
      </c>
      <c r="E67" s="49" t="n">
        <v>86940503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0.0091964478047728</v>
      </c>
      <c r="I67" s="52" t="n">
        <f aca="false">IF(AND(ISNUMBER($G67),$G67&gt;=MA_SHORT),AVERAGE(INDEX($C$5:$C67,64-MA_SHORT):$C67),"")</f>
        <v>84566291.25</v>
      </c>
      <c r="J67" s="52" t="n">
        <f aca="false">IF(AND(ISNUMBER($G67),$G67&gt;=MA_MED),AVERAGE(INDEX($C$5:$C67,64-MA_MED):$C67),"")</f>
        <v>82851402.14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0.194980575267675</v>
      </c>
      <c r="M67" s="52" t="n">
        <f aca="false">IF(AND(ISNUMBER($G67),$G67&gt;=60),MAX(INDEX($D$5:$D67,64-60):$D67),"")</f>
        <v>88209405</v>
      </c>
      <c r="N67" s="52" t="n">
        <f aca="false">IF(AND(ISNUMBER($G67),$G67&gt;=60),MIN(INDEX($E$5:$E67,64-60):$E67),"")</f>
        <v>75312654</v>
      </c>
      <c r="O67" s="53" t="n">
        <f aca="false">IF(OR(NOT(ISNUMBER($C67)),NOT(ISNUMBER($M67)),$M67=0),"",$C67/$M67-1)</f>
        <v>-0.00856893887902321</v>
      </c>
      <c r="P67" s="54"/>
      <c r="Q67" s="53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88205252</v>
      </c>
      <c r="D68" s="49" t="n">
        <v>88480285</v>
      </c>
      <c r="E68" s="49" t="n">
        <v>87988718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0.00859551214985643</v>
      </c>
      <c r="I68" s="52" t="n">
        <f aca="false">IF(AND(ISNUMBER($G68),$G68&gt;=MA_SHORT),AVERAGE(INDEX($C$5:$C68,65-MA_SHORT):$C68),"")</f>
        <v>84873134.95</v>
      </c>
      <c r="J68" s="52" t="n">
        <f aca="false">IF(AND(ISNUMBER($G68),$G68&gt;=MA_MED),AVERAGE(INDEX($C$5:$C68,65-MA_MED):$C68),"")</f>
        <v>83065247.52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0.193422904842418</v>
      </c>
      <c r="M68" s="52" t="n">
        <f aca="false">IF(AND(ISNUMBER($G68),$G68&gt;=60),MAX(INDEX($D$5:$D68,65-60):$D68),"")</f>
        <v>88480285</v>
      </c>
      <c r="N68" s="52" t="n">
        <f aca="false">IF(AND(ISNUMBER($G68),$G68&gt;=60),MIN(INDEX($E$5:$E68,65-60):$E68),"")</f>
        <v>75312654</v>
      </c>
      <c r="O68" s="53" t="n">
        <f aca="false">IF(OR(NOT(ISNUMBER($C68)),NOT(ISNUMBER($M68)),$M68=0),"",$C68/$M68-1)</f>
        <v>-0.00310840996952033</v>
      </c>
      <c r="P68" s="54"/>
      <c r="Q68" s="53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90273457</v>
      </c>
      <c r="D69" s="49" t="n">
        <v>90552905</v>
      </c>
      <c r="E69" s="49" t="n">
        <v>89736010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0.0234476400566261</v>
      </c>
      <c r="I69" s="52" t="n">
        <f aca="false">IF(AND(ISNUMBER($G69),$G69&gt;=MA_SHORT),AVERAGE(INDEX($C$5:$C69,66-MA_SHORT):$C69),"")</f>
        <v>85356214.85</v>
      </c>
      <c r="J69" s="52" t="n">
        <f aca="false">IF(AND(ISNUMBER($G69),$G69&gt;=MA_MED),AVERAGE(INDEX($C$5:$C69,66-MA_MED):$C69),"")</f>
        <v>83300862.38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0.188232555041422</v>
      </c>
      <c r="M69" s="52" t="n">
        <f aca="false">IF(AND(ISNUMBER($G69),$G69&gt;=60),MAX(INDEX($D$5:$D69,66-60):$D69),"")</f>
        <v>90552905</v>
      </c>
      <c r="N69" s="52" t="n">
        <f aca="false">IF(AND(ISNUMBER($G69),$G69&gt;=60),MIN(INDEX($E$5:$E69,66-60):$E69),"")</f>
        <v>75312654</v>
      </c>
      <c r="O69" s="53" t="n">
        <f aca="false">IF(OR(NOT(ISNUMBER($C69)),NOT(ISNUMBER($M69)),$M69=0),"",$C69/$M69-1)</f>
        <v>-0.0030860191619474</v>
      </c>
      <c r="P69" s="54"/>
      <c r="Q69" s="53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90352207</v>
      </c>
      <c r="D70" s="49" t="n">
        <v>90357585</v>
      </c>
      <c r="E70" s="49" t="n">
        <v>90003501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0.000872349443757248</v>
      </c>
      <c r="I70" s="52" t="n">
        <f aca="false">IF(AND(ISNUMBER($G70),$G70&gt;=MA_SHORT),AVERAGE(INDEX($C$5:$C70,67-MA_SHORT):$C70),"")</f>
        <v>85870723.95</v>
      </c>
      <c r="J70" s="52" t="n">
        <f aca="false">IF(AND(ISNUMBER($G70),$G70&gt;=MA_MED),AVERAGE(INDEX($C$5:$C70,67-MA_MED):$C70),"")</f>
        <v>83520057.3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0.183476276423768</v>
      </c>
      <c r="M70" s="52" t="n">
        <f aca="false">IF(AND(ISNUMBER($G70),$G70&gt;=60),MAX(INDEX($D$5:$D70,67-60):$D70),"")</f>
        <v>90552905</v>
      </c>
      <c r="N70" s="52" t="n">
        <f aca="false">IF(AND(ISNUMBER($G70),$G70&gt;=60),MIN(INDEX($E$5:$E70,67-60):$E70),"")</f>
        <v>75312654</v>
      </c>
      <c r="O70" s="53" t="n">
        <f aca="false">IF(OR(NOT(ISNUMBER($C70)),NOT(ISNUMBER($M70)),$M70=0),"",$C70/$M70-1)</f>
        <v>-0.00221636180528939</v>
      </c>
      <c r="P70" s="54"/>
      <c r="Q70" s="53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90571399</v>
      </c>
      <c r="D71" s="49" t="n">
        <v>90718083</v>
      </c>
      <c r="E71" s="49" t="n">
        <v>90339910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0.00242597283760881</v>
      </c>
      <c r="I71" s="52" t="n">
        <f aca="false">IF(AND(ISNUMBER($G71),$G71&gt;=MA_SHORT),AVERAGE(INDEX($C$5:$C71,68-MA_SHORT):$C71),"")</f>
        <v>86369124</v>
      </c>
      <c r="J71" s="52" t="n">
        <f aca="false">IF(AND(ISNUMBER($G71),$G71&gt;=MA_MED),AVERAGE(INDEX($C$5:$C71,68-MA_MED):$C71),"")</f>
        <v>83731195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0.183910542420738</v>
      </c>
      <c r="M71" s="52" t="n">
        <f aca="false">IF(AND(ISNUMBER($G71),$G71&gt;=60),MAX(INDEX($D$5:$D71,68-60):$D71),"")</f>
        <v>90718083</v>
      </c>
      <c r="N71" s="52" t="n">
        <f aca="false">IF(AND(ISNUMBER($G71),$G71&gt;=60),MIN(INDEX($E$5:$E71,68-60):$E71),"")</f>
        <v>75312654</v>
      </c>
      <c r="O71" s="53" t="n">
        <f aca="false">IF(OR(NOT(ISNUMBER($C71)),NOT(ISNUMBER($M71)),$M71=0),"",$C71/$M71-1)</f>
        <v>-0.00161692129230728</v>
      </c>
      <c r="P71" s="54"/>
      <c r="Q71" s="53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91447828</v>
      </c>
      <c r="D72" s="49" t="n">
        <v>91595783</v>
      </c>
      <c r="E72" s="49" t="n">
        <v>91277721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0.0096766640426964</v>
      </c>
      <c r="I72" s="52" t="n">
        <f aca="false">IF(AND(ISNUMBER($G72),$G72&gt;=MA_SHORT),AVERAGE(INDEX($C$5:$C72,69-MA_SHORT):$C72),"")</f>
        <v>86846165.5</v>
      </c>
      <c r="J72" s="52" t="n">
        <f aca="false">IF(AND(ISNUMBER($G72),$G72&gt;=MA_MED),AVERAGE(INDEX($C$5:$C72,69-MA_MED):$C72),"")</f>
        <v>83949746.88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0.180612893216149</v>
      </c>
      <c r="M72" s="52" t="n">
        <f aca="false">IF(AND(ISNUMBER($G72),$G72&gt;=60),MAX(INDEX($D$5:$D72,69-60):$D72),"")</f>
        <v>91595783</v>
      </c>
      <c r="N72" s="52" t="n">
        <f aca="false">IF(AND(ISNUMBER($G72),$G72&gt;=60),MIN(INDEX($E$5:$E72,69-60):$E72),"")</f>
        <v>75312654</v>
      </c>
      <c r="O72" s="53" t="n">
        <f aca="false">IF(OR(NOT(ISNUMBER($C72)),NOT(ISNUMBER($M72)),$M72=0),"",$C72/$M72-1)</f>
        <v>-0.00161530362156515</v>
      </c>
      <c r="P72" s="54"/>
      <c r="Q72" s="53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91808155</v>
      </c>
      <c r="D73" s="49" t="n">
        <v>91941874</v>
      </c>
      <c r="E73" s="49" t="n">
        <v>91632035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0.00394024667267101</v>
      </c>
      <c r="I73" s="52" t="n">
        <f aca="false">IF(AND(ISNUMBER($G73),$G73&gt;=MA_SHORT),AVERAGE(INDEX($C$5:$C73,70-MA_SHORT):$C73),"")</f>
        <v>87312691.4</v>
      </c>
      <c r="J73" s="52" t="n">
        <f aca="false">IF(AND(ISNUMBER($G73),$G73&gt;=MA_MED),AVERAGE(INDEX($C$5:$C73,70-MA_MED):$C73),"")</f>
        <v>84215855.82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0.180625479797783</v>
      </c>
      <c r="M73" s="52" t="n">
        <f aca="false">IF(AND(ISNUMBER($G73),$G73&gt;=60),MAX(INDEX($D$5:$D73,70-60):$D73),"")</f>
        <v>91941874</v>
      </c>
      <c r="N73" s="52" t="n">
        <f aca="false">IF(AND(ISNUMBER($G73),$G73&gt;=60),MIN(INDEX($E$5:$E73,70-60):$E73),"")</f>
        <v>75312654</v>
      </c>
      <c r="O73" s="53" t="n">
        <f aca="false">IF(OR(NOT(ISNUMBER($C73)),NOT(ISNUMBER($M73)),$M73=0),"",$C73/$M73-1)</f>
        <v>-0.00145438627887873</v>
      </c>
      <c r="P73" s="54"/>
      <c r="Q73" s="53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91023649</v>
      </c>
      <c r="D74" s="49" t="n">
        <v>91282435</v>
      </c>
      <c r="E74" s="49" t="n">
        <v>90843193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-0.00854505789817905</v>
      </c>
      <c r="I74" s="52" t="n">
        <f aca="false">IF(AND(ISNUMBER($G74),$G74&gt;=MA_SHORT),AVERAGE(INDEX($C$5:$C74,71-MA_SHORT):$C74),"")</f>
        <v>87708849.1</v>
      </c>
      <c r="J74" s="52" t="n">
        <f aca="false">IF(AND(ISNUMBER($G74),$G74&gt;=MA_MED),AVERAGE(INDEX($C$5:$C74,71-MA_MED):$C74),"")</f>
        <v>84479748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0.186872632920031</v>
      </c>
      <c r="M74" s="52" t="n">
        <f aca="false">IF(AND(ISNUMBER($G74),$G74&gt;=60),MAX(INDEX($D$5:$D74,71-60):$D74),"")</f>
        <v>91941874</v>
      </c>
      <c r="N74" s="52" t="n">
        <f aca="false">IF(AND(ISNUMBER($G74),$G74&gt;=60),MIN(INDEX($E$5:$E74,71-60):$E74),"")</f>
        <v>75312654</v>
      </c>
      <c r="O74" s="53" t="n">
        <f aca="false">IF(OR(NOT(ISNUMBER($C74)),NOT(ISNUMBER($M74)),$M74=0),"",$C74/$M74-1)</f>
        <v>-0.00998701636209853</v>
      </c>
      <c r="P74" s="54"/>
      <c r="Q74" s="53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91509430</v>
      </c>
      <c r="D75" s="49" t="n">
        <v>91715584</v>
      </c>
      <c r="E75" s="49" t="n">
        <v>90701798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0.00533686580725856</v>
      </c>
      <c r="I75" s="52" t="n">
        <f aca="false">IF(AND(ISNUMBER($G75),$G75&gt;=MA_SHORT),AVERAGE(INDEX($C$5:$C75,72-MA_SHORT):$C75),"")</f>
        <v>88030405.35</v>
      </c>
      <c r="J75" s="52" t="n">
        <f aca="false">IF(AND(ISNUMBER($G75),$G75&gt;=MA_MED),AVERAGE(INDEX($C$5:$C75,72-MA_MED):$C75),"")</f>
        <v>84712886.92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0.173118118120055</v>
      </c>
      <c r="M75" s="52" t="n">
        <f aca="false">IF(AND(ISNUMBER($G75),$G75&gt;=60),MAX(INDEX($D$5:$D75,72-60):$D75),"")</f>
        <v>91941874</v>
      </c>
      <c r="N75" s="52" t="n">
        <f aca="false">IF(AND(ISNUMBER($G75),$G75&gt;=60),MIN(INDEX($E$5:$E75,72-60):$E75),"")</f>
        <v>75312654</v>
      </c>
      <c r="O75" s="53" t="n">
        <f aca="false">IF(OR(NOT(ISNUMBER($C75)),NOT(ISNUMBER($M75)),$M75=0),"",$C75/$M75-1)</f>
        <v>-0.00470344992097937</v>
      </c>
      <c r="P75" s="54"/>
      <c r="Q75" s="53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89746883</v>
      </c>
      <c r="D76" s="49" t="n">
        <v>90144566</v>
      </c>
      <c r="E76" s="49" t="n">
        <v>89365735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-0.0192608237205717</v>
      </c>
      <c r="I76" s="52" t="n">
        <f aca="false">IF(AND(ISNUMBER($G76),$G76&gt;=MA_SHORT),AVERAGE(INDEX($C$5:$C76,73-MA_SHORT):$C76),"")</f>
        <v>88344877.55</v>
      </c>
      <c r="J76" s="52" t="n">
        <f aca="false">IF(AND(ISNUMBER($G76),$G76&gt;=MA_MED),AVERAGE(INDEX($C$5:$C76,73-MA_MED):$C76),"")</f>
        <v>84933893.7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0.173474225891284</v>
      </c>
      <c r="M76" s="52" t="n">
        <f aca="false">IF(AND(ISNUMBER($G76),$G76&gt;=60),MAX(INDEX($D$5:$D76,73-60):$D76),"")</f>
        <v>91941874</v>
      </c>
      <c r="N76" s="52" t="n">
        <f aca="false">IF(AND(ISNUMBER($G76),$G76&gt;=60),MIN(INDEX($E$5:$E76,73-60):$E76),"")</f>
        <v>75312654</v>
      </c>
      <c r="O76" s="53" t="n">
        <f aca="false">IF(OR(NOT(ISNUMBER($C76)),NOT(ISNUMBER($M76)),$M76=0),"",$C76/$M76-1)</f>
        <v>-0.0238736813217446</v>
      </c>
      <c r="P76" s="54"/>
      <c r="Q76" s="53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91884757</v>
      </c>
      <c r="D77" s="49" t="n">
        <v>92378638</v>
      </c>
      <c r="E77" s="49" t="n">
        <v>91597332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0.0238211504236865</v>
      </c>
      <c r="I77" s="52" t="n">
        <f aca="false">IF(AND(ISNUMBER($G77),$G77&gt;=MA_SHORT),AVERAGE(INDEX($C$5:$C77,74-MA_SHORT):$C77),"")</f>
        <v>88729613.75</v>
      </c>
      <c r="J77" s="52" t="n">
        <f aca="false">IF(AND(ISNUMBER($G77),$G77&gt;=MA_MED),AVERAGE(INDEX($C$5:$C77,74-MA_MED):$C77),"")</f>
        <v>85166411.16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0.186645025811112</v>
      </c>
      <c r="M77" s="52" t="n">
        <f aca="false">IF(AND(ISNUMBER($G77),$G77&gt;=60),MAX(INDEX($D$5:$D77,74-60):$D77),"")</f>
        <v>92378638</v>
      </c>
      <c r="N77" s="52" t="n">
        <f aca="false">IF(AND(ISNUMBER($G77),$G77&gt;=60),MIN(INDEX($E$5:$E77,74-60):$E77),"")</f>
        <v>77297208</v>
      </c>
      <c r="O77" s="53" t="n">
        <f aca="false">IF(OR(NOT(ISNUMBER($C77)),NOT(ISNUMBER($M77)),$M77=0),"",$C77/$M77-1)</f>
        <v>-0.00534626847388675</v>
      </c>
      <c r="P77" s="54"/>
      <c r="Q77" s="53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91751251</v>
      </c>
      <c r="D78" s="49" t="n">
        <v>92126092</v>
      </c>
      <c r="E78" s="49" t="n">
        <v>91234559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-0.00145297222693863</v>
      </c>
      <c r="I78" s="52" t="n">
        <f aca="false">IF(AND(ISNUMBER($G78),$G78&gt;=MA_SHORT),AVERAGE(INDEX($C$5:$C78,75-MA_SHORT):$C78),"")</f>
        <v>89056910.25</v>
      </c>
      <c r="J78" s="52" t="n">
        <f aca="false">IF(AND(ISNUMBER($G78),$G78&gt;=MA_MED),AVERAGE(INDEX($C$5:$C78,75-MA_MED):$C78),"")</f>
        <v>85423589.72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0.185529641309819</v>
      </c>
      <c r="M78" s="52" t="n">
        <f aca="false">IF(AND(ISNUMBER($G78),$G78&gt;=60),MAX(INDEX($D$5:$D78,75-60):$D78),"")</f>
        <v>92378638</v>
      </c>
      <c r="N78" s="52" t="n">
        <f aca="false">IF(AND(ISNUMBER($G78),$G78&gt;=60),MIN(INDEX($E$5:$E78,75-60):$E78),"")</f>
        <v>77741135</v>
      </c>
      <c r="O78" s="53" t="n">
        <f aca="false">IF(OR(NOT(ISNUMBER($C78)),NOT(ISNUMBER($M78)),$M78=0),"",$C78/$M78-1)</f>
        <v>-0.00679147272121505</v>
      </c>
      <c r="P78" s="54"/>
      <c r="Q78" s="53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91423694</v>
      </c>
      <c r="D79" s="49" t="n">
        <v>91606564</v>
      </c>
      <c r="E79" s="49" t="n">
        <v>91089684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-0.00357005486497397</v>
      </c>
      <c r="I79" s="52" t="n">
        <f aca="false">IF(AND(ISNUMBER($G79),$G79&gt;=MA_SHORT),AVERAGE(INDEX($C$5:$C79,76-MA_SHORT):$C79),"")</f>
        <v>89344181.25</v>
      </c>
      <c r="J79" s="52" t="n">
        <f aca="false">IF(AND(ISNUMBER($G79),$G79&gt;=MA_MED),AVERAGE(INDEX($C$5:$C79,76-MA_MED):$C79),"")</f>
        <v>85642429.98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0.187142823514646</v>
      </c>
      <c r="M79" s="52" t="n">
        <f aca="false">IF(AND(ISNUMBER($G79),$G79&gt;=60),MAX(INDEX($D$5:$D79,76-60):$D79),"")</f>
        <v>92378638</v>
      </c>
      <c r="N79" s="52" t="n">
        <f aca="false">IF(AND(ISNUMBER($G79),$G79&gt;=60),MIN(INDEX($E$5:$E79,76-60):$E79),"")</f>
        <v>77741135</v>
      </c>
      <c r="O79" s="53" t="n">
        <f aca="false">IF(OR(NOT(ISNUMBER($C79)),NOT(ISNUMBER($M79)),$M79=0),"",$C79/$M79-1)</f>
        <v>-0.0103372816559604</v>
      </c>
      <c r="P79" s="54"/>
      <c r="Q79" s="53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90713553</v>
      </c>
      <c r="D80" s="49" t="n">
        <v>91457089</v>
      </c>
      <c r="E80" s="49" t="n">
        <v>90571204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-0.00776758156370272</v>
      </c>
      <c r="I80" s="52" t="n">
        <f aca="false">IF(AND(ISNUMBER($G80),$G80&gt;=MA_SHORT),AVERAGE(INDEX($C$5:$C80,77-MA_SHORT):$C80),"")</f>
        <v>89594826.1</v>
      </c>
      <c r="J80" s="52" t="n">
        <f aca="false">IF(AND(ISNUMBER($G80),$G80&gt;=MA_MED),AVERAGE(INDEX($C$5:$C80,77-MA_MED):$C80),"")</f>
        <v>85823205.84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0.190905896296802</v>
      </c>
      <c r="M80" s="52" t="n">
        <f aca="false">IF(AND(ISNUMBER($G80),$G80&gt;=60),MAX(INDEX($D$5:$D80,77-60):$D80),"")</f>
        <v>92378638</v>
      </c>
      <c r="N80" s="52" t="n">
        <f aca="false">IF(AND(ISNUMBER($G80),$G80&gt;=60),MIN(INDEX($E$5:$E80,77-60):$E80),"")</f>
        <v>77741135</v>
      </c>
      <c r="O80" s="53" t="n">
        <f aca="false">IF(OR(NOT(ISNUMBER($C80)),NOT(ISNUMBER($M80)),$M80=0),"",$C80/$M80-1)</f>
        <v>-0.0180245675412535</v>
      </c>
      <c r="P80" s="54"/>
      <c r="Q80" s="53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89900140</v>
      </c>
      <c r="D81" s="49" t="n">
        <v>89927941</v>
      </c>
      <c r="E81" s="49" t="n">
        <v>89726541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-0.0089668299068828</v>
      </c>
      <c r="I81" s="52" t="n">
        <f aca="false">IF(AND(ISNUMBER($G81),$G81&gt;=MA_SHORT),AVERAGE(INDEX($C$5:$C81,78-MA_SHORT):$C81),"")</f>
        <v>89698671.4</v>
      </c>
      <c r="J81" s="52" t="n">
        <f aca="false">IF(AND(ISNUMBER($G81),$G81&gt;=MA_MED),AVERAGE(INDEX($C$5:$C81,78-MA_MED):$C81),"")</f>
        <v>86005897.04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0.177132022761853</v>
      </c>
      <c r="M81" s="52" t="n">
        <f aca="false">IF(AND(ISNUMBER($G81),$G81&gt;=60),MAX(INDEX($D$5:$D81,78-60):$D81),"")</f>
        <v>92378638</v>
      </c>
      <c r="N81" s="52" t="n">
        <f aca="false">IF(AND(ISNUMBER($G81),$G81&gt;=60),MIN(INDEX($E$5:$E81,78-60):$E81),"")</f>
        <v>77741135</v>
      </c>
      <c r="O81" s="53" t="n">
        <f aca="false">IF(OR(NOT(ISNUMBER($C81)),NOT(ISNUMBER($M81)),$M81=0),"",$C81/$M81-1)</f>
        <v>-0.0268297742168487</v>
      </c>
      <c r="P81" s="54"/>
      <c r="Q81" s="53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88655241</v>
      </c>
      <c r="D82" s="49" t="n">
        <v>88731582</v>
      </c>
      <c r="E82" s="49" t="n">
        <v>88116350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-0.0138475757657329</v>
      </c>
      <c r="I82" s="52" t="n">
        <f aca="false">IF(AND(ISNUMBER($G82),$G82&gt;=MA_SHORT),AVERAGE(INDEX($C$5:$C82,79-MA_SHORT):$C82),"")</f>
        <v>89723878.9</v>
      </c>
      <c r="J82" s="52" t="n">
        <f aca="false">IF(AND(ISNUMBER($G82),$G82&gt;=MA_MED),AVERAGE(INDEX($C$5:$C82,79-MA_MED):$C82),"")</f>
        <v>86165644.92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0.184464349789528</v>
      </c>
      <c r="M82" s="52" t="n">
        <f aca="false">IF(AND(ISNUMBER($G82),$G82&gt;=60),MAX(INDEX($D$5:$D82,79-60):$D82),"")</f>
        <v>92378638</v>
      </c>
      <c r="N82" s="52" t="n">
        <f aca="false">IF(AND(ISNUMBER($G82),$G82&gt;=60),MIN(INDEX($E$5:$E82,79-60):$E82),"")</f>
        <v>77741135</v>
      </c>
      <c r="O82" s="53" t="n">
        <f aca="false">IF(OR(NOT(ISNUMBER($C82)),NOT(ISNUMBER($M82)),$M82=0),"",$C82/$M82-1)</f>
        <v>-0.0403058226513363</v>
      </c>
      <c r="P82" s="54"/>
      <c r="Q82" s="53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89448309</v>
      </c>
      <c r="D83" s="49" t="n">
        <v>89600773</v>
      </c>
      <c r="E83" s="49" t="n">
        <v>89218255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0.00894552866874498</v>
      </c>
      <c r="I83" s="52" t="n">
        <f aca="false">IF(AND(ISNUMBER($G83),$G83&gt;=MA_SHORT),AVERAGE(INDEX($C$5:$C83,80-MA_SHORT):$C83),"")</f>
        <v>89812482.9</v>
      </c>
      <c r="J83" s="52" t="n">
        <f aca="false">IF(AND(ISNUMBER($G83),$G83&gt;=MA_MED),AVERAGE(INDEX($C$5:$C83,80-MA_MED):$C83),"")</f>
        <v>86347348.78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0.185533284465168</v>
      </c>
      <c r="M83" s="52" t="n">
        <f aca="false">IF(AND(ISNUMBER($G83),$G83&gt;=60),MAX(INDEX($D$5:$D83,80-60):$D83),"")</f>
        <v>92378638</v>
      </c>
      <c r="N83" s="52" t="n">
        <f aca="false">IF(AND(ISNUMBER($G83),$G83&gt;=60),MIN(INDEX($E$5:$E83,80-60):$E83),"")</f>
        <v>77741135</v>
      </c>
      <c r="O83" s="53" t="n">
        <f aca="false">IF(OR(NOT(ISNUMBER($C83)),NOT(ISNUMBER($M83)),$M83=0),"",$C83/$M83-1)</f>
        <v>-0.0317208508746362</v>
      </c>
      <c r="P83" s="54"/>
      <c r="Q83" s="53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87731609</v>
      </c>
      <c r="D84" s="49" t="n">
        <v>87959320</v>
      </c>
      <c r="E84" s="49" t="n">
        <v>87699257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-0.0191920900371633</v>
      </c>
      <c r="I84" s="52" t="n">
        <f aca="false">IF(AND(ISNUMBER($G84),$G84&gt;=MA_SHORT),AVERAGE(INDEX($C$5:$C84,81-MA_SHORT):$C84),"")</f>
        <v>89824064.5</v>
      </c>
      <c r="J84" s="52" t="n">
        <f aca="false">IF(AND(ISNUMBER($G84),$G84&gt;=MA_MED),AVERAGE(INDEX($C$5:$C84,81-MA_MED):$C84),"")</f>
        <v>86451039.78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0.19850144428527</v>
      </c>
      <c r="M84" s="52" t="n">
        <f aca="false">IF(AND(ISNUMBER($G84),$G84&gt;=60),MAX(INDEX($D$5:$D84,81-60):$D84),"")</f>
        <v>92378638</v>
      </c>
      <c r="N84" s="52" t="n">
        <f aca="false">IF(AND(ISNUMBER($G84),$G84&gt;=60),MIN(INDEX($E$5:$E84,81-60):$E84),"")</f>
        <v>78403111</v>
      </c>
      <c r="O84" s="53" t="n">
        <f aca="false">IF(OR(NOT(ISNUMBER($C84)),NOT(ISNUMBER($M84)),$M84=0),"",$C84/$M84-1)</f>
        <v>-0.050304151485758</v>
      </c>
      <c r="P84" s="54"/>
      <c r="Q84" s="53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87338209</v>
      </c>
      <c r="D85" s="49" t="n">
        <v>87582605</v>
      </c>
      <c r="E85" s="49" t="n">
        <v>87334862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-0.00448413068544085</v>
      </c>
      <c r="I85" s="52" t="n">
        <f aca="false">IF(AND(ISNUMBER($G85),$G85&gt;=MA_SHORT),AVERAGE(INDEX($C$5:$C85,82-MA_SHORT):$C85),"")</f>
        <v>89894758.9</v>
      </c>
      <c r="J85" s="52" t="n">
        <f aca="false">IF(AND(ISNUMBER($G85),$G85&gt;=MA_MED),AVERAGE(INDEX($C$5:$C85,82-MA_MED):$C85),"")</f>
        <v>86545131.12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0.187856571862296</v>
      </c>
      <c r="M85" s="52" t="n">
        <f aca="false">IF(AND(ISNUMBER($G85),$G85&gt;=60),MAX(INDEX($D$5:$D85,82-60):$D85),"")</f>
        <v>92378638</v>
      </c>
      <c r="N85" s="52" t="n">
        <f aca="false">IF(AND(ISNUMBER($G85),$G85&gt;=60),MIN(INDEX($E$5:$E85,82-60):$E85),"")</f>
        <v>78403111</v>
      </c>
      <c r="O85" s="53" t="n">
        <f aca="false">IF(OR(NOT(ISNUMBER($C85)),NOT(ISNUMBER($M85)),$M85=0),"",$C85/$M85-1)</f>
        <v>-0.0545627117819165</v>
      </c>
      <c r="P85" s="54"/>
      <c r="Q85" s="53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89641821</v>
      </c>
      <c r="D86" s="49" t="n">
        <v>89662205</v>
      </c>
      <c r="E86" s="49" t="n">
        <v>89485186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0.0263757641286186</v>
      </c>
      <c r="I86" s="52" t="n">
        <f aca="false">IF(AND(ISNUMBER($G86),$G86&gt;=MA_SHORT),AVERAGE(INDEX($C$5:$C86,83-MA_SHORT):$C86),"")</f>
        <v>90044019.4</v>
      </c>
      <c r="J86" s="52" t="n">
        <f aca="false">IF(AND(ISNUMBER($G86),$G86&gt;=MA_MED),AVERAGE(INDEX($C$5:$C86,83-MA_MED):$C86),"")</f>
        <v>86671259.06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0.206667109794467</v>
      </c>
      <c r="M86" s="52" t="n">
        <f aca="false">IF(AND(ISNUMBER($G86),$G86&gt;=60),MAX(INDEX($D$5:$D86,83-60):$D86),"")</f>
        <v>92378638</v>
      </c>
      <c r="N86" s="52" t="n">
        <f aca="false">IF(AND(ISNUMBER($G86),$G86&gt;=60),MIN(INDEX($E$5:$E86,83-60):$E86),"")</f>
        <v>78684409</v>
      </c>
      <c r="O86" s="53" t="n">
        <f aca="false">IF(OR(NOT(ISNUMBER($C86)),NOT(ISNUMBER($M86)),$M86=0),"",$C86/$M86-1)</f>
        <v>-0.0296260808694755</v>
      </c>
      <c r="P86" s="54"/>
      <c r="Q86" s="53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91858948</v>
      </c>
      <c r="D87" s="49" t="n">
        <v>92843681</v>
      </c>
      <c r="E87" s="49" t="n">
        <v>91731313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0.0247331767167023</v>
      </c>
      <c r="I87" s="52" t="n">
        <f aca="false">IF(AND(ISNUMBER($G87),$G87&gt;=MA_SHORT),AVERAGE(INDEX($C$5:$C87,84-MA_SHORT):$C87),"")</f>
        <v>90264289.6</v>
      </c>
      <c r="J87" s="52" t="n">
        <f aca="false">IF(AND(ISNUMBER($G87),$G87&gt;=MA_MED),AVERAGE(INDEX($C$5:$C87,84-MA_MED):$C87),"")</f>
        <v>86844186.18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0.22054712610403</v>
      </c>
      <c r="M87" s="52" t="n">
        <f aca="false">IF(AND(ISNUMBER($G87),$G87&gt;=60),MAX(INDEX($D$5:$D87,84-60):$D87),"")</f>
        <v>92843681</v>
      </c>
      <c r="N87" s="52" t="n">
        <f aca="false">IF(AND(ISNUMBER($G87),$G87&gt;=60),MIN(INDEX($E$5:$E87,84-60):$E87),"")</f>
        <v>78684409</v>
      </c>
      <c r="O87" s="53" t="n">
        <f aca="false">IF(OR(NOT(ISNUMBER($C87)),NOT(ISNUMBER($M87)),$M87=0),"",$C87/$M87-1)</f>
        <v>-0.0106063545670921</v>
      </c>
      <c r="P87" s="54"/>
      <c r="Q87" s="53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93085547</v>
      </c>
      <c r="D88" s="49" t="n">
        <v>93683881</v>
      </c>
      <c r="E88" s="49" t="n">
        <v>92913647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0.0133530704052913</v>
      </c>
      <c r="I88" s="52" t="n">
        <f aca="false">IF(AND(ISNUMBER($G88),$G88&gt;=MA_SHORT),AVERAGE(INDEX($C$5:$C88,85-MA_SHORT):$C88),"")</f>
        <v>90508304.35</v>
      </c>
      <c r="J88" s="52" t="n">
        <f aca="false">IF(AND(ISNUMBER($G88),$G88&gt;=MA_MED),AVERAGE(INDEX($C$5:$C88,85-MA_MED):$C88),"")</f>
        <v>87012243.76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0.222844218207722</v>
      </c>
      <c r="M88" s="52" t="n">
        <f aca="false">IF(AND(ISNUMBER($G88),$G88&gt;=60),MAX(INDEX($D$5:$D88,85-60):$D88),"")</f>
        <v>93683881</v>
      </c>
      <c r="N88" s="52" t="n">
        <f aca="false">IF(AND(ISNUMBER($G88),$G88&gt;=60),MIN(INDEX($E$5:$E88,85-60):$E88),"")</f>
        <v>79919949</v>
      </c>
      <c r="O88" s="53" t="n">
        <f aca="false">IF(OR(NOT(ISNUMBER($C88)),NOT(ISNUMBER($M88)),$M88=0),"",$C88/$M88-1)</f>
        <v>-0.0063867337007526</v>
      </c>
      <c r="P88" s="54"/>
      <c r="Q88" s="53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94912773</v>
      </c>
      <c r="D89" s="49" t="n">
        <v>94954825</v>
      </c>
      <c r="E89" s="49" t="n">
        <v>94823278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0.019629534969591</v>
      </c>
      <c r="I89" s="52" t="n">
        <f aca="false">IF(AND(ISNUMBER($G89),$G89&gt;=MA_SHORT),AVERAGE(INDEX($C$5:$C89,86-MA_SHORT):$C89),"")</f>
        <v>90740270.15</v>
      </c>
      <c r="J89" s="52" t="n">
        <f aca="false">IF(AND(ISNUMBER($G89),$G89&gt;=MA_MED),AVERAGE(INDEX($C$5:$C89,86-MA_MED):$C89),"")</f>
        <v>87210843.14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0.21864179467567</v>
      </c>
      <c r="M89" s="52" t="n">
        <f aca="false">IF(AND(ISNUMBER($G89),$G89&gt;=60),MAX(INDEX($D$5:$D89,86-60):$D89),"")</f>
        <v>94954825</v>
      </c>
      <c r="N89" s="52" t="n">
        <f aca="false">IF(AND(ISNUMBER($G89),$G89&gt;=60),MIN(INDEX($E$5:$E89,86-60):$E89),"")</f>
        <v>79919949</v>
      </c>
      <c r="O89" s="53" t="n">
        <f aca="false">IF(OR(NOT(ISNUMBER($C89)),NOT(ISNUMBER($M89)),$M89=0),"",$C89/$M89-1)</f>
        <v>-0.000442863224696555</v>
      </c>
      <c r="P89" s="54"/>
      <c r="Q89" s="53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97821664</v>
      </c>
      <c r="D90" s="49" t="n">
        <v>98629879</v>
      </c>
      <c r="E90" s="49" t="n">
        <v>97341265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0.0306480456534548</v>
      </c>
      <c r="I90" s="52" t="n">
        <f aca="false">IF(AND(ISNUMBER($G90),$G90&gt;=MA_SHORT),AVERAGE(INDEX($C$5:$C90,87-MA_SHORT):$C90),"")</f>
        <v>91113743</v>
      </c>
      <c r="J90" s="52" t="n">
        <f aca="false">IF(AND(ISNUMBER($G90),$G90&gt;=MA_MED),AVERAGE(INDEX($C$5:$C90,87-MA_MED):$C90),"")</f>
        <v>87414214.72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0.239452363344593</v>
      </c>
      <c r="M90" s="52" t="n">
        <f aca="false">IF(AND(ISNUMBER($G90),$G90&gt;=60),MAX(INDEX($D$5:$D90,87-60):$D90),"")</f>
        <v>98629879</v>
      </c>
      <c r="N90" s="52" t="n">
        <f aca="false">IF(AND(ISNUMBER($G90),$G90&gt;=60),MIN(INDEX($E$5:$E90,87-60):$E90),"")</f>
        <v>79919949</v>
      </c>
      <c r="O90" s="53" t="n">
        <f aca="false">IF(OR(NOT(ISNUMBER($C90)),NOT(ISNUMBER($M90)),$M90=0),"",$C90/$M90-1)</f>
        <v>-0.00819442351744137</v>
      </c>
      <c r="P90" s="54"/>
      <c r="Q90" s="53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96144571</v>
      </c>
      <c r="D91" s="49" t="n">
        <v>96317447</v>
      </c>
      <c r="E91" s="49" t="n">
        <v>95893024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-0.0171443924732255</v>
      </c>
      <c r="I91" s="52" t="n">
        <f aca="false">IF(AND(ISNUMBER($G91),$G91&gt;=MA_SHORT),AVERAGE(INDEX($C$5:$C91,88-MA_SHORT):$C91),"")</f>
        <v>91392401.6</v>
      </c>
      <c r="J91" s="52" t="n">
        <f aca="false">IF(AND(ISNUMBER($G91),$G91&gt;=MA_MED),AVERAGE(INDEX($C$5:$C91,88-MA_MED):$C91),"")</f>
        <v>87607770.14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0.250736907955161</v>
      </c>
      <c r="M91" s="52" t="n">
        <f aca="false">IF(AND(ISNUMBER($G91),$G91&gt;=60),MAX(INDEX($D$5:$D91,88-60):$D91),"")</f>
        <v>98629879</v>
      </c>
      <c r="N91" s="52" t="n">
        <f aca="false">IF(AND(ISNUMBER($G91),$G91&gt;=60),MIN(INDEX($E$5:$E91,88-60):$E91),"")</f>
        <v>79919949</v>
      </c>
      <c r="O91" s="53" t="n">
        <f aca="false">IF(OR(NOT(ISNUMBER($C91)),NOT(ISNUMBER($M91)),$M91=0),"",$C91/$M91-1)</f>
        <v>-0.0251983275777922</v>
      </c>
      <c r="P91" s="54"/>
      <c r="Q91" s="53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96429453</v>
      </c>
      <c r="D92" s="49" t="n">
        <v>96535549</v>
      </c>
      <c r="E92" s="49" t="n">
        <v>96074627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0.00296305862137558</v>
      </c>
      <c r="I92" s="52" t="n">
        <f aca="false">IF(AND(ISNUMBER($G92),$G92&gt;=MA_SHORT),AVERAGE(INDEX($C$5:$C92,89-MA_SHORT):$C92),"")</f>
        <v>91641482.85</v>
      </c>
      <c r="J92" s="52" t="n">
        <f aca="false">IF(AND(ISNUMBER($G92),$G92&gt;=MA_MED),AVERAGE(INDEX($C$5:$C92,89-MA_MED):$C92),"")</f>
        <v>87814184.76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0.249568482890846</v>
      </c>
      <c r="M92" s="52" t="n">
        <f aca="false">IF(AND(ISNUMBER($G92),$G92&gt;=60),MAX(INDEX($D$5:$D92,89-60):$D92),"")</f>
        <v>98629879</v>
      </c>
      <c r="N92" s="52" t="n">
        <f aca="false">IF(AND(ISNUMBER($G92),$G92&gt;=60),MIN(INDEX($E$5:$E92,89-60):$E92),"")</f>
        <v>79919949</v>
      </c>
      <c r="O92" s="53" t="n">
        <f aca="false">IF(OR(NOT(ISNUMBER($C92)),NOT(ISNUMBER($M92)),$M92=0),"",$C92/$M92-1)</f>
        <v>-0.0223099330781902</v>
      </c>
      <c r="P92" s="54"/>
      <c r="Q92" s="53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97125369</v>
      </c>
      <c r="D93" s="49" t="n">
        <v>97485028</v>
      </c>
      <c r="E93" s="49" t="n">
        <v>96698234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0.00721684068870543</v>
      </c>
      <c r="I93" s="52" t="n">
        <f aca="false">IF(AND(ISNUMBER($G93),$G93&gt;=MA_SHORT),AVERAGE(INDEX($C$5:$C93,90-MA_SHORT):$C93),"")</f>
        <v>91907343.55</v>
      </c>
      <c r="J93" s="52" t="n">
        <f aca="false">IF(AND(ISNUMBER($G93),$G93&gt;=MA_MED),AVERAGE(INDEX($C$5:$C93,90-MA_MED):$C93),"")</f>
        <v>88078123.52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0.250028691645665</v>
      </c>
      <c r="M93" s="52" t="n">
        <f aca="false">IF(AND(ISNUMBER($G93),$G93&gt;=60),MAX(INDEX($D$5:$D93,90-60):$D93),"")</f>
        <v>98629879</v>
      </c>
      <c r="N93" s="52" t="n">
        <f aca="false">IF(AND(ISNUMBER($G93),$G93&gt;=60),MIN(INDEX($E$5:$E93,90-60):$E93),"")</f>
        <v>79919949</v>
      </c>
      <c r="O93" s="53" t="n">
        <f aca="false">IF(OR(NOT(ISNUMBER($C93)),NOT(ISNUMBER($M93)),$M93=0),"",$C93/$M93-1)</f>
        <v>-0.0152540996222859</v>
      </c>
      <c r="P93" s="54"/>
      <c r="Q93" s="53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98070909</v>
      </c>
      <c r="D94" s="49" t="n">
        <v>98823969</v>
      </c>
      <c r="E94" s="49" t="n">
        <v>97892303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0.00973525258884722</v>
      </c>
      <c r="I94" s="52" t="n">
        <f aca="false">IF(AND(ISNUMBER($G94),$G94&gt;=MA_SHORT),AVERAGE(INDEX($C$5:$C94,91-MA_SHORT):$C94),"")</f>
        <v>92259706.55</v>
      </c>
      <c r="J94" s="52" t="n">
        <f aca="false">IF(AND(ISNUMBER($G94),$G94&gt;=MA_MED),AVERAGE(INDEX($C$5:$C94,91-MA_MED):$C94),"")</f>
        <v>88379452.56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0.247373432052057</v>
      </c>
      <c r="M94" s="52" t="n">
        <f aca="false">IF(AND(ISNUMBER($G94),$G94&gt;=60),MAX(INDEX($D$5:$D94,91-60):$D94),"")</f>
        <v>98823969</v>
      </c>
      <c r="N94" s="52" t="n">
        <f aca="false">IF(AND(ISNUMBER($G94),$G94&gt;=60),MIN(INDEX($E$5:$E94,91-60):$E94),"")</f>
        <v>79919949</v>
      </c>
      <c r="O94" s="53" t="n">
        <f aca="false">IF(OR(NOT(ISNUMBER($C94)),NOT(ISNUMBER($M94)),$M94=0),"",$C94/$M94-1)</f>
        <v>-0.00762021610364583</v>
      </c>
      <c r="P94" s="54"/>
      <c r="Q94" s="53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95559825</v>
      </c>
      <c r="D95" s="49" t="n">
        <v>96309825</v>
      </c>
      <c r="E95" s="49" t="n">
        <v>95486888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-0.0256047794968435</v>
      </c>
      <c r="I95" s="52" t="n">
        <f aca="false">IF(AND(ISNUMBER($G95),$G95&gt;=MA_SHORT),AVERAGE(INDEX($C$5:$C95,92-MA_SHORT):$C95),"")</f>
        <v>92462226.3</v>
      </c>
      <c r="J95" s="52" t="n">
        <f aca="false">IF(AND(ISNUMBER($G95),$G95&gt;=MA_MED),AVERAGE(INDEX($C$5:$C95,92-MA_MED):$C95),"")</f>
        <v>88634340.96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0.267839466777593</v>
      </c>
      <c r="M95" s="52" t="n">
        <f aca="false">IF(AND(ISNUMBER($G95),$G95&gt;=60),MAX(INDEX($D$5:$D95,92-60):$D95),"")</f>
        <v>98823969</v>
      </c>
      <c r="N95" s="52" t="n">
        <f aca="false">IF(AND(ISNUMBER($G95),$G95&gt;=60),MIN(INDEX($E$5:$E95,92-60):$E95),"")</f>
        <v>79919949</v>
      </c>
      <c r="O95" s="53" t="n">
        <f aca="false">IF(OR(NOT(ISNUMBER($C95)),NOT(ISNUMBER($M95)),$M95=0),"",$C95/$M95-1)</f>
        <v>-0.0330298816474371</v>
      </c>
      <c r="P95" s="54"/>
      <c r="Q95" s="53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93899977</v>
      </c>
      <c r="D96" s="49" t="n">
        <v>94050114</v>
      </c>
      <c r="E96" s="49" t="n">
        <v>93858714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-0.0173697262421735</v>
      </c>
      <c r="I96" s="52" t="n">
        <f aca="false">IF(AND(ISNUMBER($G96),$G96&gt;=MA_SHORT),AVERAGE(INDEX($C$5:$C96,93-MA_SHORT):$C96),"")</f>
        <v>92669881</v>
      </c>
      <c r="J96" s="52" t="n">
        <f aca="false">IF(AND(ISNUMBER($G96),$G96&gt;=MA_MED),AVERAGE(INDEX($C$5:$C96,93-MA_MED):$C96),"")</f>
        <v>88843343.7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0.265951013087536</v>
      </c>
      <c r="M96" s="52" t="n">
        <f aca="false">IF(AND(ISNUMBER($G96),$G96&gt;=60),MAX(INDEX($D$5:$D96,93-60):$D96),"")</f>
        <v>98823969</v>
      </c>
      <c r="N96" s="52" t="n">
        <f aca="false">IF(AND(ISNUMBER($G96),$G96&gt;=60),MIN(INDEX($E$5:$E96,93-60):$E96),"")</f>
        <v>79919949</v>
      </c>
      <c r="O96" s="53" t="n">
        <f aca="false">IF(OR(NOT(ISNUMBER($C96)),NOT(ISNUMBER($M96)),$M96=0),"",$C96/$M96-1)</f>
        <v>-0.0498258878875832</v>
      </c>
      <c r="P96" s="54"/>
      <c r="Q96" s="53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96019425</v>
      </c>
      <c r="D97" s="49" t="n">
        <v>96527740</v>
      </c>
      <c r="E97" s="49" t="n">
        <v>95821158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0.0225713367320632</v>
      </c>
      <c r="I97" s="52" t="n">
        <f aca="false">IF(AND(ISNUMBER($G97),$G97&gt;=MA_SHORT),AVERAGE(INDEX($C$5:$C97,94-MA_SHORT):$C97),"")</f>
        <v>92876614.4</v>
      </c>
      <c r="J97" s="52" t="n">
        <f aca="false">IF(AND(ISNUMBER($G97),$G97&gt;=MA_MED),AVERAGE(INDEX($C$5:$C97,94-MA_MED):$C97),"")</f>
        <v>89113622.6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0.264685971053803</v>
      </c>
      <c r="M97" s="52" t="n">
        <f aca="false">IF(AND(ISNUMBER($G97),$G97&gt;=60),MAX(INDEX($D$5:$D97,94-60):$D97),"")</f>
        <v>98823969</v>
      </c>
      <c r="N97" s="52" t="n">
        <f aca="false">IF(AND(ISNUMBER($G97),$G97&gt;=60),MIN(INDEX($E$5:$E97,94-60):$E97),"")</f>
        <v>79919949</v>
      </c>
      <c r="O97" s="53" t="n">
        <f aca="false">IF(OR(NOT(ISNUMBER($C97)),NOT(ISNUMBER($M97)),$M97=0),"",$C97/$M97-1)</f>
        <v>-0.0283791880490046</v>
      </c>
      <c r="P97" s="54"/>
      <c r="Q97" s="53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94310287</v>
      </c>
      <c r="D98" s="49" t="n">
        <v>94675610</v>
      </c>
      <c r="E98" s="49" t="n">
        <v>93431227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-0.0177999191309467</v>
      </c>
      <c r="I98" s="52" t="n">
        <f aca="false">IF(AND(ISNUMBER($G98),$G98&gt;=MA_SHORT),AVERAGE(INDEX($C$5:$C98,95-MA_SHORT):$C98),"")</f>
        <v>93004566.2</v>
      </c>
      <c r="J98" s="52" t="n">
        <f aca="false">IF(AND(ISNUMBER($G98),$G98&gt;=MA_MED),AVERAGE(INDEX($C$5:$C98,95-MA_MED):$C98),"")</f>
        <v>89358460.78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0.273734502381086</v>
      </c>
      <c r="M98" s="52" t="n">
        <f aca="false">IF(AND(ISNUMBER($G98),$G98&gt;=60),MAX(INDEX($D$5:$D98,95-60):$D98),"")</f>
        <v>98823969</v>
      </c>
      <c r="N98" s="52" t="n">
        <f aca="false">IF(AND(ISNUMBER($G98),$G98&gt;=60),MIN(INDEX($E$5:$E98,95-60):$E98),"")</f>
        <v>79919949</v>
      </c>
      <c r="O98" s="53" t="n">
        <f aca="false">IF(OR(NOT(ISNUMBER($C98)),NOT(ISNUMBER($M98)),$M98=0),"",$C98/$M98-1)</f>
        <v>-0.0456739599276771</v>
      </c>
      <c r="P98" s="54"/>
      <c r="Q98" s="53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96463939</v>
      </c>
      <c r="D99" s="49" t="n">
        <v>96579839</v>
      </c>
      <c r="E99" s="49" t="n">
        <v>95532579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0.0228358121739147</v>
      </c>
      <c r="I99" s="52" t="n">
        <f aca="false">IF(AND(ISNUMBER($G99),$G99&gt;=MA_SHORT),AVERAGE(INDEX($C$5:$C99,96-MA_SHORT):$C99),"")</f>
        <v>93256578.45</v>
      </c>
      <c r="J99" s="52" t="n">
        <f aca="false">IF(AND(ISNUMBER($G99),$G99&gt;=MA_MED),AVERAGE(INDEX($C$5:$C99,96-MA_MED):$C99),"")</f>
        <v>89675502.38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0.282851558200149</v>
      </c>
      <c r="M99" s="52" t="n">
        <f aca="false">IF(AND(ISNUMBER($G99),$G99&gt;=60),MAX(INDEX($D$5:$D99,96-60):$D99),"")</f>
        <v>98823969</v>
      </c>
      <c r="N99" s="52" t="n">
        <f aca="false">IF(AND(ISNUMBER($G99),$G99&gt;=60),MIN(INDEX($E$5:$E99,96-60):$E99),"")</f>
        <v>79919949</v>
      </c>
      <c r="O99" s="53" t="n">
        <f aca="false">IF(OR(NOT(ISNUMBER($C99)),NOT(ISNUMBER($M99)),$M99=0),"",$C99/$M99-1)</f>
        <v>-0.0238811497239096</v>
      </c>
      <c r="P99" s="54"/>
      <c r="Q99" s="53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96861312</v>
      </c>
      <c r="D100" s="49" t="n">
        <v>97248440</v>
      </c>
      <c r="E100" s="49" t="n">
        <v>96685857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0.00411939429510544</v>
      </c>
      <c r="I100" s="52" t="n">
        <f aca="false">IF(AND(ISNUMBER($G100),$G100&gt;=MA_SHORT),AVERAGE(INDEX($C$5:$C100,97-MA_SHORT):$C100),"")</f>
        <v>93563966.4</v>
      </c>
      <c r="J100" s="52" t="n">
        <f aca="false">IF(AND(ISNUMBER($G100),$G100&gt;=MA_MED),AVERAGE(INDEX($C$5:$C100,97-MA_MED):$C100),"")</f>
        <v>90011488.12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0.280149277064796</v>
      </c>
      <c r="M100" s="52" t="n">
        <f aca="false">IF(AND(ISNUMBER($G100),$G100&gt;=60),MAX(INDEX($D$5:$D100,97-60):$D100),"")</f>
        <v>98823969</v>
      </c>
      <c r="N100" s="52" t="n">
        <f aca="false">IF(AND(ISNUMBER($G100),$G100&gt;=60),MIN(INDEX($E$5:$E100,97-60):$E100),"")</f>
        <v>79919949</v>
      </c>
      <c r="O100" s="53" t="n">
        <f aca="false">IF(OR(NOT(ISNUMBER($C100)),NOT(ISNUMBER($M100)),$M100=0),"",$C100/$M100-1)</f>
        <v>-0.0198601313007374</v>
      </c>
      <c r="P100" s="54"/>
      <c r="Q100" s="53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96041111</v>
      </c>
      <c r="D101" s="49" t="n">
        <v>96169282</v>
      </c>
      <c r="E101" s="49" t="n">
        <v>95520065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-0.00846778742786392</v>
      </c>
      <c r="I101" s="52" t="n">
        <f aca="false">IF(AND(ISNUMBER($G101),$G101&gt;=MA_SHORT),AVERAGE(INDEX($C$5:$C101,98-MA_SHORT):$C101),"")</f>
        <v>93871014.95</v>
      </c>
      <c r="J101" s="52" t="n">
        <f aca="false">IF(AND(ISNUMBER($G101),$G101&gt;=MA_MED),AVERAGE(INDEX($C$5:$C101,98-MA_MED):$C101),"")</f>
        <v>90320242.38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0.27986969282146</v>
      </c>
      <c r="M101" s="52" t="n">
        <f aca="false">IF(AND(ISNUMBER($G101),$G101&gt;=60),MAX(INDEX($D$5:$D101,98-60):$D101),"")</f>
        <v>98823969</v>
      </c>
      <c r="N101" s="52" t="n">
        <f aca="false">IF(AND(ISNUMBER($G101),$G101&gt;=60),MIN(INDEX($E$5:$E101,98-60):$E101),"")</f>
        <v>79919949</v>
      </c>
      <c r="O101" s="53" t="n">
        <f aca="false">IF(OR(NOT(ISNUMBER($C101)),NOT(ISNUMBER($M101)),$M101=0),"",$C101/$M101-1)</f>
        <v>-0.0281597473584572</v>
      </c>
      <c r="P101" s="54"/>
      <c r="Q101" s="53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96495517</v>
      </c>
      <c r="D102" s="49" t="n">
        <v>96616871</v>
      </c>
      <c r="E102" s="49" t="n">
        <v>96385054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0.00473136967355581</v>
      </c>
      <c r="I102" s="52" t="n">
        <f aca="false">IF(AND(ISNUMBER($G102),$G102&gt;=MA_SHORT),AVERAGE(INDEX($C$5:$C102,99-MA_SHORT):$C102),"")</f>
        <v>94263028.75</v>
      </c>
      <c r="J102" s="52" t="n">
        <f aca="false">IF(AND(ISNUMBER($G102),$G102&gt;=MA_MED),AVERAGE(INDEX($C$5:$C102,99-MA_MED):$C102),"")</f>
        <v>90612012.76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0.2725110998498</v>
      </c>
      <c r="M102" s="52" t="n">
        <f aca="false">IF(AND(ISNUMBER($G102),$G102&gt;=60),MAX(INDEX($D$5:$D102,99-60):$D102),"")</f>
        <v>98823969</v>
      </c>
      <c r="N102" s="52" t="n">
        <f aca="false">IF(AND(ISNUMBER($G102),$G102&gt;=60),MIN(INDEX($E$5:$E102,99-60):$E102),"")</f>
        <v>79919949</v>
      </c>
      <c r="O102" s="53" t="n">
        <f aca="false">IF(OR(NOT(ISNUMBER($C102)),NOT(ISNUMBER($M102)),$M102=0),"",$C102/$M102-1)</f>
        <v>-0.0235616118595682</v>
      </c>
      <c r="P102" s="54"/>
      <c r="Q102" s="53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98982636</v>
      </c>
      <c r="D103" s="49" t="n">
        <v>99381454</v>
      </c>
      <c r="E103" s="49" t="n">
        <v>98658214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0.0257744512628499</v>
      </c>
      <c r="I103" s="52" t="n">
        <f aca="false">IF(AND(ISNUMBER($G103),$G103&gt;=MA_SHORT),AVERAGE(INDEX($C$5:$C103,100-MA_SHORT):$C103),"")</f>
        <v>94739745.1</v>
      </c>
      <c r="J103" s="52" t="n">
        <f aca="false">IF(AND(ISNUMBER($G103),$G103&gt;=MA_MED),AVERAGE(INDEX($C$5:$C103,100-MA_MED):$C103),"")</f>
        <v>90942112.74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0.282327638960787</v>
      </c>
      <c r="M103" s="52" t="n">
        <f aca="false">IF(AND(ISNUMBER($G103),$G103&gt;=60),MAX(INDEX($D$5:$D103,100-60):$D103),"")</f>
        <v>99381454</v>
      </c>
      <c r="N103" s="52" t="n">
        <f aca="false">IF(AND(ISNUMBER($G103),$G103&gt;=60),MIN(INDEX($E$5:$E103,100-60):$E103),"")</f>
        <v>79919949</v>
      </c>
      <c r="O103" s="53" t="n">
        <f aca="false">IF(OR(NOT(ISNUMBER($C103)),NOT(ISNUMBER($M103)),$M103=0),"",$C103/$M103-1)</f>
        <v>-0.00401300226499002</v>
      </c>
      <c r="P103" s="54"/>
      <c r="Q103" s="53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97871233</v>
      </c>
      <c r="D104" s="49" t="n">
        <v>98202185</v>
      </c>
      <c r="E104" s="49" t="n">
        <v>97579079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-0.01122826229845</v>
      </c>
      <c r="I104" s="52" t="n">
        <f aca="false">IF(AND(ISNUMBER($G104),$G104&gt;=MA_SHORT),AVERAGE(INDEX($C$5:$C104,101-MA_SHORT):$C104),"")</f>
        <v>95246726.3</v>
      </c>
      <c r="J104" s="52" t="n">
        <f aca="false">IF(AND(ISNUMBER($G104),$G104&gt;=MA_MED),AVERAGE(INDEX($C$5:$C104,101-MA_MED):$C104),"")</f>
        <v>91237527.5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0.274717477271312</v>
      </c>
      <c r="M104" s="52" t="n">
        <f aca="false">IF(AND(ISNUMBER($G104),$G104&gt;=60),MAX(INDEX($D$5:$D104,101-60):$D104),"")</f>
        <v>99381454</v>
      </c>
      <c r="N104" s="52" t="n">
        <f aca="false">IF(AND(ISNUMBER($G104),$G104&gt;=60),MIN(INDEX($E$5:$E104,101-60):$E104),"")</f>
        <v>79919949</v>
      </c>
      <c r="O104" s="53" t="n">
        <f aca="false">IF(OR(NOT(ISNUMBER($C104)),NOT(ISNUMBER($M104)),$M104=0),"",$C104/$M104-1)</f>
        <v>-0.0151962055214044</v>
      </c>
      <c r="P104" s="54"/>
      <c r="Q104" s="53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95777260</v>
      </c>
      <c r="D105" s="49" t="n">
        <v>96471688</v>
      </c>
      <c r="E105" s="49" t="n">
        <v>95060742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-0.0213951836082417</v>
      </c>
      <c r="I105" s="52" t="n">
        <f aca="false">IF(AND(ISNUMBER($G105),$G105&gt;=MA_SHORT),AVERAGE(INDEX($C$5:$C105,102-MA_SHORT):$C105),"")</f>
        <v>95668678.85</v>
      </c>
      <c r="J105" s="52" t="n">
        <f aca="false">IF(AND(ISNUMBER($G105),$G105&gt;=MA_MED),AVERAGE(INDEX($C$5:$C105,102-MA_MED):$C105),"")</f>
        <v>91451506.6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0.288762498495991</v>
      </c>
      <c r="M105" s="52" t="n">
        <f aca="false">IF(AND(ISNUMBER($G105),$G105&gt;=60),MAX(INDEX($D$5:$D105,102-60):$D105),"")</f>
        <v>99381454</v>
      </c>
      <c r="N105" s="52" t="n">
        <f aca="false">IF(AND(ISNUMBER($G105),$G105&gt;=60),MIN(INDEX($E$5:$E105,102-60):$E105),"")</f>
        <v>79919949</v>
      </c>
      <c r="O105" s="53" t="n">
        <f aca="false">IF(OR(NOT(ISNUMBER($C105)),NOT(ISNUMBER($M105)),$M105=0),"",$C105/$M105-1)</f>
        <v>-0.0362662635223671</v>
      </c>
      <c r="P105" s="54"/>
      <c r="Q105" s="53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94570472</v>
      </c>
      <c r="D106" s="49" t="n">
        <v>95019472</v>
      </c>
      <c r="E106" s="49" t="n">
        <v>94514377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-0.012599942825677</v>
      </c>
      <c r="I106" s="52" t="n">
        <f aca="false">IF(AND(ISNUMBER($G106),$G106&gt;=MA_SHORT),AVERAGE(INDEX($C$5:$C106,103-MA_SHORT):$C106),"")</f>
        <v>95915111.4</v>
      </c>
      <c r="J106" s="52" t="n">
        <f aca="false">IF(AND(ISNUMBER($G106),$G106&gt;=MA_MED),AVERAGE(INDEX($C$5:$C106,103-MA_MED):$C106),"")</f>
        <v>91673767.26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0.283353906149489</v>
      </c>
      <c r="M106" s="52" t="n">
        <f aca="false">IF(AND(ISNUMBER($G106),$G106&gt;=60),MAX(INDEX($D$5:$D106,103-60):$D106),"")</f>
        <v>99381454</v>
      </c>
      <c r="N106" s="52" t="n">
        <f aca="false">IF(AND(ISNUMBER($G106),$G106&gt;=60),MIN(INDEX($E$5:$E106,103-60):$E106),"")</f>
        <v>79919949</v>
      </c>
      <c r="O106" s="53" t="n">
        <f aca="false">IF(OR(NOT(ISNUMBER($C106)),NOT(ISNUMBER($M106)),$M106=0),"",$C106/$M106-1)</f>
        <v>-0.0484092535011613</v>
      </c>
      <c r="P106" s="54"/>
      <c r="Q106" s="53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94264674</v>
      </c>
      <c r="D107" s="49" t="n">
        <v>94552270</v>
      </c>
      <c r="E107" s="49" t="n">
        <v>93825402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-0.00323354630185202</v>
      </c>
      <c r="I107" s="52" t="n">
        <f aca="false">IF(AND(ISNUMBER($G107),$G107&gt;=MA_SHORT),AVERAGE(INDEX($C$5:$C107,104-MA_SHORT):$C107),"")</f>
        <v>96035397.7</v>
      </c>
      <c r="J107" s="52" t="n">
        <f aca="false">IF(AND(ISNUMBER($G107),$G107&gt;=MA_MED),AVERAGE(INDEX($C$5:$C107,104-MA_MED):$C107),"")</f>
        <v>91875260.08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0.272170304485343</v>
      </c>
      <c r="M107" s="52" t="n">
        <f aca="false">IF(AND(ISNUMBER($G107),$G107&gt;=60),MAX(INDEX($D$5:$D107,104-60):$D107),"")</f>
        <v>99381454</v>
      </c>
      <c r="N107" s="52" t="n">
        <f aca="false">IF(AND(ISNUMBER($G107),$G107&gt;=60),MIN(INDEX($E$5:$E107,104-60):$E107),"")</f>
        <v>79919949</v>
      </c>
      <c r="O107" s="53" t="n">
        <f aca="false">IF(OR(NOT(ISNUMBER($C107)),NOT(ISNUMBER($M107)),$M107=0),"",$C107/$M107-1)</f>
        <v>-0.0514862662403792</v>
      </c>
      <c r="P107" s="54"/>
      <c r="Q107" s="53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97599289</v>
      </c>
      <c r="D108" s="49" t="n">
        <v>97637342</v>
      </c>
      <c r="E108" s="49" t="n">
        <v>97291799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0.0353750228850311</v>
      </c>
      <c r="I108" s="52" t="n">
        <f aca="false">IF(AND(ISNUMBER($G108),$G108&gt;=MA_SHORT),AVERAGE(INDEX($C$5:$C108,105-MA_SHORT):$C108),"")</f>
        <v>96261084.8</v>
      </c>
      <c r="J108" s="52" t="n">
        <f aca="false">IF(AND(ISNUMBER($G108),$G108&gt;=MA_MED),AVERAGE(INDEX($C$5:$C108,105-MA_MED):$C108),"")</f>
        <v>92123139.44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0.294593302285594</v>
      </c>
      <c r="M108" s="52" t="n">
        <f aca="false">IF(AND(ISNUMBER($G108),$G108&gt;=60),MAX(INDEX($D$5:$D108,105-60):$D108),"")</f>
        <v>99381454</v>
      </c>
      <c r="N108" s="52" t="n">
        <f aca="false">IF(AND(ISNUMBER($G108),$G108&gt;=60),MIN(INDEX($E$5:$E108,105-60):$E108),"")</f>
        <v>79919949</v>
      </c>
      <c r="O108" s="53" t="n">
        <f aca="false">IF(OR(NOT(ISNUMBER($C108)),NOT(ISNUMBER($M108)),$M108=0),"",$C108/$M108-1)</f>
        <v>-0.0179325712018663</v>
      </c>
      <c r="P108" s="54"/>
      <c r="Q108" s="53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97142293</v>
      </c>
      <c r="D109" s="49" t="n">
        <v>97150357</v>
      </c>
      <c r="E109" s="49" t="n">
        <v>96915207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-0.00468237017587292</v>
      </c>
      <c r="I109" s="52" t="n">
        <f aca="false">IF(AND(ISNUMBER($G109),$G109&gt;=MA_SHORT),AVERAGE(INDEX($C$5:$C109,106-MA_SHORT):$C109),"")</f>
        <v>96372560.8</v>
      </c>
      <c r="J109" s="52" t="n">
        <f aca="false">IF(AND(ISNUMBER($G109),$G109&gt;=MA_MED),AVERAGE(INDEX($C$5:$C109,106-MA_MED):$C109),"")</f>
        <v>92352419.82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0.288633774571126</v>
      </c>
      <c r="M109" s="52" t="n">
        <f aca="false">IF(AND(ISNUMBER($G109),$G109&gt;=60),MAX(INDEX($D$5:$D109,106-60):$D109),"")</f>
        <v>99381454</v>
      </c>
      <c r="N109" s="52" t="n">
        <f aca="false">IF(AND(ISNUMBER($G109),$G109&gt;=60),MIN(INDEX($E$5:$E109,106-60):$E109),"")</f>
        <v>79919949</v>
      </c>
      <c r="O109" s="53" t="n">
        <f aca="false">IF(OR(NOT(ISNUMBER($C109)),NOT(ISNUMBER($M109)),$M109=0),"",$C109/$M109-1)</f>
        <v>-0.0225309744411668</v>
      </c>
      <c r="P109" s="54"/>
      <c r="Q109" s="53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97118918</v>
      </c>
      <c r="D110" s="49" t="n">
        <v>97195501</v>
      </c>
      <c r="E110" s="49" t="n">
        <v>96977792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-0.00024062639740241</v>
      </c>
      <c r="I110" s="52" t="n">
        <f aca="false">IF(AND(ISNUMBER($G110),$G110&gt;=MA_SHORT),AVERAGE(INDEX($C$5:$C110,107-MA_SHORT):$C110),"")</f>
        <v>96337423.5</v>
      </c>
      <c r="J110" s="52" t="n">
        <f aca="false">IF(AND(ISNUMBER($G110),$G110&gt;=MA_MED),AVERAGE(INDEX($C$5:$C110,107-MA_MED):$C110),"")</f>
        <v>92580785.06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0.26764955855072</v>
      </c>
      <c r="M110" s="52" t="n">
        <f aca="false">IF(AND(ISNUMBER($G110),$G110&gt;=60),MAX(INDEX($D$5:$D110,107-60):$D110),"")</f>
        <v>99381454</v>
      </c>
      <c r="N110" s="52" t="n">
        <f aca="false">IF(AND(ISNUMBER($G110),$G110&gt;=60),MIN(INDEX($E$5:$E110,107-60):$E110),"")</f>
        <v>80577290</v>
      </c>
      <c r="O110" s="53" t="n">
        <f aca="false">IF(OR(NOT(ISNUMBER($C110)),NOT(ISNUMBER($M110)),$M110=0),"",$C110/$M110-1)</f>
        <v>-0.0227661792913595</v>
      </c>
      <c r="P110" s="54"/>
      <c r="Q110" s="53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97527142</v>
      </c>
      <c r="D111" s="49" t="n">
        <v>97819427</v>
      </c>
      <c r="E111" s="49" t="n">
        <v>97361371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0.00420334172174375</v>
      </c>
      <c r="I111" s="52" t="n">
        <f aca="false">IF(AND(ISNUMBER($G111),$G111&gt;=MA_SHORT),AVERAGE(INDEX($C$5:$C111,108-MA_SHORT):$C111),"")</f>
        <v>96406552.05</v>
      </c>
      <c r="J111" s="52" t="n">
        <f aca="false">IF(AND(ISNUMBER($G111),$G111&gt;=MA_MED),AVERAGE(INDEX($C$5:$C111,108-MA_MED):$C111),"")</f>
        <v>92774863.22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0.260581018522874</v>
      </c>
      <c r="M111" s="52" t="n">
        <f aca="false">IF(AND(ISNUMBER($G111),$G111&gt;=60),MAX(INDEX($D$5:$D111,108-60):$D111),"")</f>
        <v>99381454</v>
      </c>
      <c r="N111" s="52" t="n">
        <f aca="false">IF(AND(ISNUMBER($G111),$G111&gt;=60),MIN(INDEX($E$5:$E111,108-60):$E111),"")</f>
        <v>81773914</v>
      </c>
      <c r="O111" s="53" t="n">
        <f aca="false">IF(OR(NOT(ISNUMBER($C111)),NOT(ISNUMBER($M111)),$M111=0),"",$C111/$M111-1)</f>
        <v>-0.0186585316008759</v>
      </c>
      <c r="P111" s="54"/>
      <c r="Q111" s="53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95402354</v>
      </c>
      <c r="D112" s="49" t="n">
        <v>95629503</v>
      </c>
      <c r="E112" s="49" t="n">
        <v>95336952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-0.0217866324843191</v>
      </c>
      <c r="I112" s="52" t="n">
        <f aca="false">IF(AND(ISNUMBER($G112),$G112&gt;=MA_SHORT),AVERAGE(INDEX($C$5:$C112,109-MA_SHORT):$C112),"")</f>
        <v>96355197.1</v>
      </c>
      <c r="J112" s="52" t="n">
        <f aca="false">IF(AND(ISNUMBER($G112),$G112&gt;=MA_MED),AVERAGE(INDEX($C$5:$C112,109-MA_MED):$C112),"")</f>
        <v>92919888.48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0.272129329804031</v>
      </c>
      <c r="M112" s="52" t="n">
        <f aca="false">IF(AND(ISNUMBER($G112),$G112&gt;=60),MAX(INDEX($D$5:$D112,109-60):$D112),"")</f>
        <v>99381454</v>
      </c>
      <c r="N112" s="52" t="n">
        <f aca="false">IF(AND(ISNUMBER($G112),$G112&gt;=60),MIN(INDEX($E$5:$E112,109-60):$E112),"")</f>
        <v>82130805</v>
      </c>
      <c r="O112" s="53" t="n">
        <f aca="false">IF(OR(NOT(ISNUMBER($C112)),NOT(ISNUMBER($M112)),$M112=0),"",$C112/$M112-1)</f>
        <v>-0.0400386575145097</v>
      </c>
      <c r="P112" s="54"/>
      <c r="Q112" s="53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96186932</v>
      </c>
      <c r="D113" s="49" t="n">
        <v>96207861</v>
      </c>
      <c r="E113" s="49" t="n">
        <v>96159181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0.00822388512551808</v>
      </c>
      <c r="I113" s="52" t="n">
        <f aca="false">IF(AND(ISNUMBER($G113),$G113&gt;=MA_SHORT),AVERAGE(INDEX($C$5:$C113,110-MA_SHORT):$C113),"")</f>
        <v>96308275.25</v>
      </c>
      <c r="J113" s="52" t="n">
        <f aca="false">IF(AND(ISNUMBER($G113),$G113&gt;=MA_MED),AVERAGE(INDEX($C$5:$C113,110-MA_MED):$C113),"")</f>
        <v>93090102.54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0.27251497826855</v>
      </c>
      <c r="M113" s="52" t="n">
        <f aca="false">IF(AND(ISNUMBER($G113),$G113&gt;=60),MAX(INDEX($D$5:$D113,110-60):$D113),"")</f>
        <v>99381454</v>
      </c>
      <c r="N113" s="52" t="n">
        <f aca="false">IF(AND(ISNUMBER($G113),$G113&gt;=60),MIN(INDEX($E$5:$E113,110-60):$E113),"")</f>
        <v>82871587</v>
      </c>
      <c r="O113" s="53" t="n">
        <f aca="false">IF(OR(NOT(ISNUMBER($C113)),NOT(ISNUMBER($M113)),$M113=0),"",$C113/$M113-1)</f>
        <v>-0.032144045708971</v>
      </c>
      <c r="P113" s="54"/>
      <c r="Q113" s="53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96395712</v>
      </c>
      <c r="D114" s="49" t="n">
        <v>96555065</v>
      </c>
      <c r="E114" s="49" t="n">
        <v>96389692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0.0021705651241688</v>
      </c>
      <c r="I114" s="52" t="n">
        <f aca="false">IF(AND(ISNUMBER($G114),$G114&gt;=MA_SHORT),AVERAGE(INDEX($C$5:$C114,111-MA_SHORT):$C114),"")</f>
        <v>96224515.4</v>
      </c>
      <c r="J114" s="52" t="n">
        <f aca="false">IF(AND(ISNUMBER($G114),$G114&gt;=MA_MED),AVERAGE(INDEX($C$5:$C114,111-MA_MED):$C114),"")</f>
        <v>93268017.24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0.270184122142658</v>
      </c>
      <c r="M114" s="52" t="n">
        <f aca="false">IF(AND(ISNUMBER($G114),$G114&gt;=60),MAX(INDEX($D$5:$D114,111-60):$D114),"")</f>
        <v>99381454</v>
      </c>
      <c r="N114" s="52" t="n">
        <f aca="false">IF(AND(ISNUMBER($G114),$G114&gt;=60),MIN(INDEX($E$5:$E114,111-60):$E114),"")</f>
        <v>83362926</v>
      </c>
      <c r="O114" s="53" t="n">
        <f aca="false">IF(OR(NOT(ISNUMBER($C114)),NOT(ISNUMBER($M114)),$M114=0),"",$C114/$M114-1)</f>
        <v>-0.0300432513293678</v>
      </c>
      <c r="P114" s="54"/>
      <c r="Q114" s="53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93743848</v>
      </c>
      <c r="D115" s="49" t="n">
        <v>94042193</v>
      </c>
      <c r="E115" s="49" t="n">
        <v>93636603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-0.0275101863452183</v>
      </c>
      <c r="I115" s="52" t="n">
        <f aca="false">IF(AND(ISNUMBER($G115),$G115&gt;=MA_SHORT),AVERAGE(INDEX($C$5:$C115,112-MA_SHORT):$C115),"")</f>
        <v>96133716.55</v>
      </c>
      <c r="J115" s="52" t="n">
        <f aca="false">IF(AND(ISNUMBER($G115),$G115&gt;=MA_MED),AVERAGE(INDEX($C$5:$C115,112-MA_MED):$C115),"")</f>
        <v>93424407.78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0.272519264804487</v>
      </c>
      <c r="M115" s="52" t="n">
        <f aca="false">IF(AND(ISNUMBER($G115),$G115&gt;=60),MAX(INDEX($D$5:$D115,112-60):$D115),"")</f>
        <v>99381454</v>
      </c>
      <c r="N115" s="52" t="n">
        <f aca="false">IF(AND(ISNUMBER($G115),$G115&gt;=60),MIN(INDEX($E$5:$E115,112-60):$E115),"")</f>
        <v>83362926</v>
      </c>
      <c r="O115" s="53" t="n">
        <f aca="false">IF(OR(NOT(ISNUMBER($C115)),NOT(ISNUMBER($M115)),$M115=0),"",$C115/$M115-1)</f>
        <v>-0.056726942232099</v>
      </c>
      <c r="P115" s="54"/>
      <c r="Q115" s="53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92102628</v>
      </c>
      <c r="D116" s="49" t="n">
        <v>93012513</v>
      </c>
      <c r="E116" s="49" t="n">
        <v>91519465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-0.0175074955318668</v>
      </c>
      <c r="I116" s="52" t="n">
        <f aca="false">IF(AND(ISNUMBER($G116),$G116&gt;=MA_SHORT),AVERAGE(INDEX($C$5:$C116,113-MA_SHORT):$C116),"")</f>
        <v>96043849.1</v>
      </c>
      <c r="J116" s="52" t="n">
        <f aca="false">IF(AND(ISNUMBER($G116),$G116&gt;=MA_MED),AVERAGE(INDEX($C$5:$C116,113-MA_MED):$C116),"")</f>
        <v>93533328.12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0.272627583894345</v>
      </c>
      <c r="M116" s="52" t="n">
        <f aca="false">IF(AND(ISNUMBER($G116),$G116&gt;=60),MAX(INDEX($D$5:$D116,113-60):$D116),"")</f>
        <v>99381454</v>
      </c>
      <c r="N116" s="52" t="n">
        <f aca="false">IF(AND(ISNUMBER($G116),$G116&gt;=60),MIN(INDEX($E$5:$E116,113-60):$E116),"")</f>
        <v>84048529</v>
      </c>
      <c r="O116" s="53" t="n">
        <f aca="false">IF(OR(NOT(ISNUMBER($C116)),NOT(ISNUMBER($M116)),$M116=0),"",$C116/$M116-1)</f>
        <v>-0.0732412910763008</v>
      </c>
      <c r="P116" s="54"/>
      <c r="Q116" s="53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90254149</v>
      </c>
      <c r="D117" s="49" t="n">
        <v>90916690</v>
      </c>
      <c r="E117" s="49" t="n">
        <v>90068814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-0.0200697747734191</v>
      </c>
      <c r="I117" s="52" t="n">
        <f aca="false">IF(AND(ISNUMBER($G117),$G117&gt;=MA_SHORT),AVERAGE(INDEX($C$5:$C117,114-MA_SHORT):$C117),"")</f>
        <v>95755585.3</v>
      </c>
      <c r="J117" s="52" t="n">
        <f aca="false">IF(AND(ISNUMBER($G117),$G117&gt;=MA_MED),AVERAGE(INDEX($C$5:$C117,114-MA_MED):$C117),"")</f>
        <v>93589340.22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0.266221157545723</v>
      </c>
      <c r="M117" s="52" t="n">
        <f aca="false">IF(AND(ISNUMBER($G117),$G117&gt;=60),MAX(INDEX($D$5:$D117,114-60):$D117),"")</f>
        <v>99381454</v>
      </c>
      <c r="N117" s="52" t="n">
        <f aca="false">IF(AND(ISNUMBER($G117),$G117&gt;=60),MIN(INDEX($E$5:$E117,114-60):$E117),"")</f>
        <v>84600115</v>
      </c>
      <c r="O117" s="53" t="n">
        <f aca="false">IF(OR(NOT(ISNUMBER($C117)),NOT(ISNUMBER($M117)),$M117=0),"",$C117/$M117-1)</f>
        <v>-0.0918411296337041</v>
      </c>
      <c r="P117" s="54"/>
      <c r="Q117" s="53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91119812</v>
      </c>
      <c r="D118" s="49" t="n">
        <v>91691772</v>
      </c>
      <c r="E118" s="49" t="n">
        <v>90924863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0.00959139285663202</v>
      </c>
      <c r="I118" s="52" t="n">
        <f aca="false">IF(AND(ISNUMBER($G118),$G118&gt;=MA_SHORT),AVERAGE(INDEX($C$5:$C118,115-MA_SHORT):$C118),"")</f>
        <v>95596061.55</v>
      </c>
      <c r="J118" s="52" t="n">
        <f aca="false">IF(AND(ISNUMBER($G118),$G118&gt;=MA_MED),AVERAGE(INDEX($C$5:$C118,115-MA_MED):$C118),"")</f>
        <v>93647631.42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0.26377583850457</v>
      </c>
      <c r="M118" s="52" t="n">
        <f aca="false">IF(AND(ISNUMBER($G118),$G118&gt;=60),MAX(INDEX($D$5:$D118,115-60):$D118),"")</f>
        <v>99381454</v>
      </c>
      <c r="N118" s="52" t="n">
        <f aca="false">IF(AND(ISNUMBER($G118),$G118&gt;=60),MIN(INDEX($E$5:$E118,115-60):$E118),"")</f>
        <v>85351603</v>
      </c>
      <c r="O118" s="53" t="n">
        <f aca="false">IF(OR(NOT(ISNUMBER($C118)),NOT(ISNUMBER($M118)),$M118=0),"",$C118/$M118-1)</f>
        <v>-0.0831306211317858</v>
      </c>
      <c r="P118" s="54"/>
      <c r="Q118" s="53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91711894</v>
      </c>
      <c r="D119" s="49" t="n">
        <v>92085664</v>
      </c>
      <c r="E119" s="49" t="n">
        <v>91442276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0.00649784044769541</v>
      </c>
      <c r="I119" s="52" t="n">
        <f aca="false">IF(AND(ISNUMBER($G119),$G119&gt;=MA_SHORT),AVERAGE(INDEX($C$5:$C119,116-MA_SHORT):$C119),"")</f>
        <v>95358459.3</v>
      </c>
      <c r="J119" s="52" t="n">
        <f aca="false">IF(AND(ISNUMBER($G119),$G119&gt;=MA_MED),AVERAGE(INDEX($C$5:$C119,116-MA_MED):$C119),"")</f>
        <v>93676400.16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0.250115966111127</v>
      </c>
      <c r="M119" s="52" t="n">
        <f aca="false">IF(AND(ISNUMBER($G119),$G119&gt;=60),MAX(INDEX($D$5:$D119,116-60):$D119),"")</f>
        <v>99381454</v>
      </c>
      <c r="N119" s="52" t="n">
        <f aca="false">IF(AND(ISNUMBER($G119),$G119&gt;=60),MIN(INDEX($E$5:$E119,116-60):$E119),"")</f>
        <v>85351603</v>
      </c>
      <c r="O119" s="53" t="n">
        <f aca="false">IF(OR(NOT(ISNUMBER($C119)),NOT(ISNUMBER($M119)),$M119=0),"",$C119/$M119-1)</f>
        <v>-0.0771729501965226</v>
      </c>
      <c r="P119" s="54"/>
      <c r="Q119" s="53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91555494</v>
      </c>
      <c r="D120" s="49" t="n">
        <v>91585575</v>
      </c>
      <c r="E120" s="49" t="n">
        <v>91405178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-0.00170534042182136</v>
      </c>
      <c r="I120" s="52" t="n">
        <f aca="false">IF(AND(ISNUMBER($G120),$G120&gt;=MA_SHORT),AVERAGE(INDEX($C$5:$C120,117-MA_SHORT):$C120),"")</f>
        <v>95093168.4</v>
      </c>
      <c r="J120" s="52" t="n">
        <f aca="false">IF(AND(ISNUMBER($G120),$G120&gt;=MA_MED),AVERAGE(INDEX($C$5:$C120,117-MA_MED):$C120),"")</f>
        <v>93700465.9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0.24898599662211</v>
      </c>
      <c r="M120" s="52" t="n">
        <f aca="false">IF(AND(ISNUMBER($G120),$G120&gt;=60),MAX(INDEX($D$5:$D120,117-60):$D120),"")</f>
        <v>99381454</v>
      </c>
      <c r="N120" s="52" t="n">
        <f aca="false">IF(AND(ISNUMBER($G120),$G120&gt;=60),MIN(INDEX($E$5:$E120,117-60):$E120),"")</f>
        <v>85844060</v>
      </c>
      <c r="O120" s="53" t="n">
        <f aca="false">IF(OR(NOT(ISNUMBER($C120)),NOT(ISNUMBER($M120)),$M120=0),"",$C120/$M120-1)</f>
        <v>-0.0787466844669027</v>
      </c>
      <c r="P120" s="54"/>
      <c r="Q120" s="53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90405889</v>
      </c>
      <c r="D121" s="49" t="n">
        <v>90428134</v>
      </c>
      <c r="E121" s="49" t="n">
        <v>90163073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-0.0125563737332901</v>
      </c>
      <c r="I121" s="52" t="n">
        <f aca="false">IF(AND(ISNUMBER($G121),$G121&gt;=MA_SHORT),AVERAGE(INDEX($C$5:$C121,118-MA_SHORT):$C121),"")</f>
        <v>94811407.3</v>
      </c>
      <c r="J121" s="52" t="n">
        <f aca="false">IF(AND(ISNUMBER($G121),$G121&gt;=MA_MED),AVERAGE(INDEX($C$5:$C121,118-MA_MED):$C121),"")</f>
        <v>93697155.7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0.250614676070952</v>
      </c>
      <c r="M121" s="52" t="n">
        <f aca="false">IF(AND(ISNUMBER($G121),$G121&gt;=60),MAX(INDEX($D$5:$D121,118-60):$D121),"")</f>
        <v>99381454</v>
      </c>
      <c r="N121" s="52" t="n">
        <f aca="false">IF(AND(ISNUMBER($G121),$G121&gt;=60),MIN(INDEX($E$5:$E121,118-60):$E121),"")</f>
        <v>85844060</v>
      </c>
      <c r="O121" s="53" t="n">
        <f aca="false">IF(OR(NOT(ISNUMBER($C121)),NOT(ISNUMBER($M121)),$M121=0),"",$C121/$M121-1)</f>
        <v>-0.0903142853997688</v>
      </c>
      <c r="P121" s="54"/>
      <c r="Q121" s="53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91574303</v>
      </c>
      <c r="D122" s="49" t="n">
        <v>91780735</v>
      </c>
      <c r="E122" s="49" t="n">
        <v>91276957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0.0129240917038049</v>
      </c>
      <c r="I122" s="52" t="n">
        <f aca="false">IF(AND(ISNUMBER($G122),$G122&gt;=MA_SHORT),AVERAGE(INDEX($C$5:$C122,119-MA_SHORT):$C122),"")</f>
        <v>94565346.6</v>
      </c>
      <c r="J122" s="52" t="n">
        <f aca="false">IF(AND(ISNUMBER($G122),$G122&gt;=MA_MED),AVERAGE(INDEX($C$5:$C122,119-MA_MED):$C122),"")</f>
        <v>93699685.2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0.255424734698956</v>
      </c>
      <c r="M122" s="52" t="n">
        <f aca="false">IF(AND(ISNUMBER($G122),$G122&gt;=60),MAX(INDEX($D$5:$D122,119-60):$D122),"")</f>
        <v>99381454</v>
      </c>
      <c r="N122" s="52" t="n">
        <f aca="false">IF(AND(ISNUMBER($G122),$G122&gt;=60),MIN(INDEX($E$5:$E122,119-60):$E122),"")</f>
        <v>85844060</v>
      </c>
      <c r="O122" s="53" t="n">
        <f aca="false">IF(OR(NOT(ISNUMBER($C122)),NOT(ISNUMBER($M122)),$M122=0),"",$C122/$M122-1)</f>
        <v>-0.0785574238026342</v>
      </c>
      <c r="P122" s="54"/>
      <c r="Q122" s="53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91715215</v>
      </c>
      <c r="D123" s="49" t="n">
        <v>91922212</v>
      </c>
      <c r="E123" s="49" t="n">
        <v>91385616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0.0015387722907374</v>
      </c>
      <c r="I123" s="52" t="n">
        <f aca="false">IF(AND(ISNUMBER($G123),$G123&gt;=MA_SHORT),AVERAGE(INDEX($C$5:$C123,120-MA_SHORT):$C123),"")</f>
        <v>94201975.55</v>
      </c>
      <c r="J123" s="52" t="n">
        <f aca="false">IF(AND(ISNUMBER($G123),$G123&gt;=MA_MED),AVERAGE(INDEX($C$5:$C123,120-MA_MED):$C123),"")</f>
        <v>93697826.4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0.234035160749893</v>
      </c>
      <c r="M123" s="52" t="n">
        <f aca="false">IF(AND(ISNUMBER($G123),$G123&gt;=60),MAX(INDEX($D$5:$D123,120-60):$D123),"")</f>
        <v>99381454</v>
      </c>
      <c r="N123" s="52" t="n">
        <f aca="false">IF(AND(ISNUMBER($G123),$G123&gt;=60),MIN(INDEX($E$5:$E123,120-60):$E123),"")</f>
        <v>85844060</v>
      </c>
      <c r="O123" s="53" t="n">
        <f aca="false">IF(OR(NOT(ISNUMBER($C123)),NOT(ISNUMBER($M123)),$M123=0),"",$C123/$M123-1)</f>
        <v>-0.0771395334988759</v>
      </c>
      <c r="P123" s="54"/>
      <c r="Q123" s="53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92530209</v>
      </c>
      <c r="D124" s="49" t="n">
        <v>92633822</v>
      </c>
      <c r="E124" s="49" t="n">
        <v>92122951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0.00888613737644284</v>
      </c>
      <c r="I124" s="52" t="n">
        <f aca="false">IF(AND(ISNUMBER($G124),$G124&gt;=MA_SHORT),AVERAGE(INDEX($C$5:$C124,121-MA_SHORT):$C124),"")</f>
        <v>93934924.35</v>
      </c>
      <c r="J124" s="52" t="n">
        <f aca="false">IF(AND(ISNUMBER($G124),$G124&gt;=MA_MED),AVERAGE(INDEX($C$5:$C124,121-MA_MED):$C124),"")</f>
        <v>93727957.6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0.236269391712206</v>
      </c>
      <c r="M124" s="52" t="n">
        <f aca="false">IF(AND(ISNUMBER($G124),$G124&gt;=60),MAX(INDEX($D$5:$D124,121-60):$D124),"")</f>
        <v>99381454</v>
      </c>
      <c r="N124" s="52" t="n">
        <f aca="false">IF(AND(ISNUMBER($G124),$G124&gt;=60),MIN(INDEX($E$5:$E124,121-60):$E124),"")</f>
        <v>85844060</v>
      </c>
      <c r="O124" s="53" t="n">
        <f aca="false">IF(OR(NOT(ISNUMBER($C124)),NOT(ISNUMBER($M124)),$M124=0),"",$C124/$M124-1)</f>
        <v>-0.0689388686142588</v>
      </c>
      <c r="P124" s="54"/>
      <c r="Q124" s="53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94463709</v>
      </c>
      <c r="D125" s="49" t="n">
        <v>95168615</v>
      </c>
      <c r="E125" s="49" t="n">
        <v>94117543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0.0208958784476538</v>
      </c>
      <c r="I125" s="52" t="n">
        <f aca="false">IF(AND(ISNUMBER($G125),$G125&gt;=MA_SHORT),AVERAGE(INDEX($C$5:$C125,122-MA_SHORT):$C125),"")</f>
        <v>93869246.8</v>
      </c>
      <c r="J125" s="52" t="n">
        <f aca="false">IF(AND(ISNUMBER($G125),$G125&gt;=MA_MED),AVERAGE(INDEX($C$5:$C125,122-MA_MED):$C125),"")</f>
        <v>93787043.18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0.239449073879378</v>
      </c>
      <c r="M125" s="52" t="n">
        <f aca="false">IF(AND(ISNUMBER($G125),$G125&gt;=60),MAX(INDEX($D$5:$D125,122-60):$D125),"")</f>
        <v>99381454</v>
      </c>
      <c r="N125" s="52" t="n">
        <f aca="false">IF(AND(ISNUMBER($G125),$G125&gt;=60),MIN(INDEX($E$5:$E125,122-60):$E125),"")</f>
        <v>86599994</v>
      </c>
      <c r="O125" s="53" t="n">
        <f aca="false">IF(OR(NOT(ISNUMBER($C125)),NOT(ISNUMBER($M125)),$M125=0),"",$C125/$M125-1)</f>
        <v>-0.0494835283854873</v>
      </c>
      <c r="P125" s="54"/>
      <c r="Q125" s="53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92023654</v>
      </c>
      <c r="D126" s="49" t="n">
        <v>92064836</v>
      </c>
      <c r="E126" s="49" t="n">
        <v>91686776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-0.0258306076040271</v>
      </c>
      <c r="I126" s="52" t="n">
        <f aca="false">IF(AND(ISNUMBER($G126),$G126&gt;=MA_SHORT),AVERAGE(INDEX($C$5:$C126,123-MA_SHORT):$C126),"")</f>
        <v>93741905.9</v>
      </c>
      <c r="J126" s="52" t="n">
        <f aca="false">IF(AND(ISNUMBER($G126),$G126&gt;=MA_MED),AVERAGE(INDEX($C$5:$C126,123-MA_MED):$C126),"")</f>
        <v>93832578.6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0.252154366494919</v>
      </c>
      <c r="M126" s="52" t="n">
        <f aca="false">IF(AND(ISNUMBER($G126),$G126&gt;=60),MAX(INDEX($D$5:$D126,123-60):$D126),"")</f>
        <v>99381454</v>
      </c>
      <c r="N126" s="52" t="n">
        <f aca="false">IF(AND(ISNUMBER($G126),$G126&gt;=60),MIN(INDEX($E$5:$E126,123-60):$E126),"")</f>
        <v>86940503</v>
      </c>
      <c r="O126" s="53" t="n">
        <f aca="false">IF(OR(NOT(ISNUMBER($C126)),NOT(ISNUMBER($M126)),$M126=0),"",$C126/$M126-1)</f>
        <v>-0.0740359463849261</v>
      </c>
      <c r="P126" s="54"/>
      <c r="Q126" s="53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92862307</v>
      </c>
      <c r="D127" s="49" t="n">
        <v>93060573</v>
      </c>
      <c r="E127" s="49" t="n">
        <v>92843970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0.00911345033093336</v>
      </c>
      <c r="I127" s="52" t="n">
        <f aca="false">IF(AND(ISNUMBER($G127),$G127&gt;=MA_SHORT),AVERAGE(INDEX($C$5:$C127,124-MA_SHORT):$C127),"")</f>
        <v>93671787.55</v>
      </c>
      <c r="J127" s="52" t="n">
        <f aca="false">IF(AND(ISNUMBER($G127),$G127&gt;=MA_MED),AVERAGE(INDEX($C$5:$C127,124-MA_MED):$C127),"")</f>
        <v>93852129.6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0.254587473368702</v>
      </c>
      <c r="M127" s="52" t="n">
        <f aca="false">IF(AND(ISNUMBER($G127),$G127&gt;=60),MAX(INDEX($D$5:$D127,124-60):$D127),"")</f>
        <v>99381454</v>
      </c>
      <c r="N127" s="52" t="n">
        <f aca="false">IF(AND(ISNUMBER($G127),$G127&gt;=60),MIN(INDEX($E$5:$E127,124-60):$E127),"")</f>
        <v>87334862</v>
      </c>
      <c r="O127" s="53" t="n">
        <f aca="false">IF(OR(NOT(ISNUMBER($C127)),NOT(ISNUMBER($M127)),$M127=0),"",$C127/$M127-1)</f>
        <v>-0.0655972189740753</v>
      </c>
      <c r="P127" s="54"/>
      <c r="Q127" s="53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93837880</v>
      </c>
      <c r="D128" s="49" t="n">
        <v>94284251</v>
      </c>
      <c r="E128" s="49" t="n">
        <v>93065962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0.0105055865131587</v>
      </c>
      <c r="I128" s="52" t="n">
        <f aca="false">IF(AND(ISNUMBER($G128),$G128&gt;=MA_SHORT),AVERAGE(INDEX($C$5:$C128,125-MA_SHORT):$C128),"")</f>
        <v>93483717.1</v>
      </c>
      <c r="J128" s="52" t="n">
        <f aca="false">IF(AND(ISNUMBER($G128),$G128&gt;=MA_MED),AVERAGE(INDEX($C$5:$C128,125-MA_MED):$C128),"")</f>
        <v>93893862.18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0.22204265449135</v>
      </c>
      <c r="M128" s="52" t="n">
        <f aca="false">IF(AND(ISNUMBER($G128),$G128&gt;=60),MAX(INDEX($D$5:$D128,125-60):$D128),"")</f>
        <v>99381454</v>
      </c>
      <c r="N128" s="52" t="n">
        <f aca="false">IF(AND(ISNUMBER($G128),$G128&gt;=60),MIN(INDEX($E$5:$E128,125-60):$E128),"")</f>
        <v>87334862</v>
      </c>
      <c r="O128" s="53" t="n">
        <f aca="false">IF(OR(NOT(ISNUMBER($C128)),NOT(ISNUMBER($M128)),$M128=0),"",$C128/$M128-1)</f>
        <v>-0.0557807697198715</v>
      </c>
      <c r="P128" s="54"/>
      <c r="Q128" s="53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91318212</v>
      </c>
      <c r="D129" s="49" t="n">
        <v>91393079</v>
      </c>
      <c r="E129" s="49" t="n">
        <v>90719870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-0.0268512886267251</v>
      </c>
      <c r="I129" s="52" t="n">
        <f aca="false">IF(AND(ISNUMBER($G129),$G129&gt;=MA_SHORT),AVERAGE(INDEX($C$5:$C129,126-MA_SHORT):$C129),"")</f>
        <v>93192513.05</v>
      </c>
      <c r="J129" s="52" t="n">
        <f aca="false">IF(AND(ISNUMBER($G129),$G129&gt;=MA_MED),AVERAGE(INDEX($C$5:$C129,126-MA_MED):$C129),"")</f>
        <v>93891752.54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0.238606365457813</v>
      </c>
      <c r="M129" s="52" t="n">
        <f aca="false">IF(AND(ISNUMBER($G129),$G129&gt;=60),MAX(INDEX($D$5:$D129,126-60):$D129),"")</f>
        <v>99381454</v>
      </c>
      <c r="N129" s="52" t="n">
        <f aca="false">IF(AND(ISNUMBER($G129),$G129&gt;=60),MIN(INDEX($E$5:$E129,126-60):$E129),"")</f>
        <v>87334862</v>
      </c>
      <c r="O129" s="53" t="n">
        <f aca="false">IF(OR(NOT(ISNUMBER($C129)),NOT(ISNUMBER($M129)),$M129=0),"",$C129/$M129-1)</f>
        <v>-0.0811342727990275</v>
      </c>
      <c r="P129" s="54"/>
      <c r="Q129" s="53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91063517</v>
      </c>
      <c r="D130" s="49" t="n">
        <v>91298560</v>
      </c>
      <c r="E130" s="49" t="n">
        <v>90635708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-0.00278909315482434</v>
      </c>
      <c r="I130" s="52" t="n">
        <f aca="false">IF(AND(ISNUMBER($G130),$G130&gt;=MA_SHORT),AVERAGE(INDEX($C$5:$C130,127-MA_SHORT):$C130),"")</f>
        <v>92889743</v>
      </c>
      <c r="J130" s="52" t="n">
        <f aca="false">IF(AND(ISNUMBER($G130),$G130&gt;=MA_MED),AVERAGE(INDEX($C$5:$C130,127-MA_MED):$C130),"")</f>
        <v>93898751.82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0.238396351303199</v>
      </c>
      <c r="M130" s="52" t="n">
        <f aca="false">IF(AND(ISNUMBER($G130),$G130&gt;=60),MAX(INDEX($D$5:$D130,127-60):$D130),"")</f>
        <v>99381454</v>
      </c>
      <c r="N130" s="52" t="n">
        <f aca="false">IF(AND(ISNUMBER($G130),$G130&gt;=60),MIN(INDEX($E$5:$E130,127-60):$E130),"")</f>
        <v>87334862</v>
      </c>
      <c r="O130" s="53" t="n">
        <f aca="false">IF(OR(NOT(ISNUMBER($C130)),NOT(ISNUMBER($M130)),$M130=0),"",$C130/$M130-1)</f>
        <v>-0.0836970749089664</v>
      </c>
      <c r="P130" s="54"/>
      <c r="Q130" s="53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92558955</v>
      </c>
      <c r="D131" s="49" t="n">
        <v>92786369</v>
      </c>
      <c r="E131" s="49" t="n">
        <v>92291731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0.016421922294084</v>
      </c>
      <c r="I131" s="52" t="n">
        <f aca="false">IF(AND(ISNUMBER($G131),$G131&gt;=MA_SHORT),AVERAGE(INDEX($C$5:$C131,128-MA_SHORT):$C131),"")</f>
        <v>92641333.65</v>
      </c>
      <c r="J131" s="52" t="n">
        <f aca="false">IF(AND(ISNUMBER($G131),$G131&gt;=MA_MED),AVERAGE(INDEX($C$5:$C131,128-MA_MED):$C131),"")</f>
        <v>93951928.12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0.246908707443365</v>
      </c>
      <c r="M131" s="52" t="n">
        <f aca="false">IF(AND(ISNUMBER($G131),$G131&gt;=60),MAX(INDEX($D$5:$D131,128-60):$D131),"")</f>
        <v>99381454</v>
      </c>
      <c r="N131" s="52" t="n">
        <f aca="false">IF(AND(ISNUMBER($G131),$G131&gt;=60),MIN(INDEX($E$5:$E131,128-60):$E131),"")</f>
        <v>87334862</v>
      </c>
      <c r="O131" s="53" t="n">
        <f aca="false">IF(OR(NOT(ISNUMBER($C131)),NOT(ISNUMBER($M131)),$M131=0),"",$C131/$M131-1)</f>
        <v>-0.0686496194752796</v>
      </c>
      <c r="P131" s="54"/>
      <c r="Q131" s="53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92623047</v>
      </c>
      <c r="D132" s="49" t="n">
        <v>92941713</v>
      </c>
      <c r="E132" s="49" t="n">
        <v>92394528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0.000692445155630717</v>
      </c>
      <c r="I132" s="52" t="n">
        <f aca="false">IF(AND(ISNUMBER($G132),$G132&gt;=MA_SHORT),AVERAGE(INDEX($C$5:$C132,129-MA_SHORT):$C132),"")</f>
        <v>92502368.3</v>
      </c>
      <c r="J132" s="52" t="n">
        <f aca="false">IF(AND(ISNUMBER($G132),$G132&gt;=MA_MED),AVERAGE(INDEX($C$5:$C132,129-MA_MED):$C132),"")</f>
        <v>94031284.24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0.236576227995806</v>
      </c>
      <c r="M132" s="52" t="n">
        <f aca="false">IF(AND(ISNUMBER($G132),$G132&gt;=60),MAX(INDEX($D$5:$D132,129-60):$D132),"")</f>
        <v>99381454</v>
      </c>
      <c r="N132" s="52" t="n">
        <f aca="false">IF(AND(ISNUMBER($G132),$G132&gt;=60),MIN(INDEX($E$5:$E132,129-60):$E132),"")</f>
        <v>87334862</v>
      </c>
      <c r="O132" s="53" t="n">
        <f aca="false">IF(OR(NOT(ISNUMBER($C132)),NOT(ISNUMBER($M132)),$M132=0),"",$C132/$M132-1)</f>
        <v>-0.0680047104160904</v>
      </c>
      <c r="P132" s="54"/>
      <c r="Q132" s="53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92176954</v>
      </c>
      <c r="D133" s="49" t="n">
        <v>92285365</v>
      </c>
      <c r="E133" s="49" t="n">
        <v>92110473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-0.00481622030853723</v>
      </c>
      <c r="I133" s="52" t="n">
        <f aca="false">IF(AND(ISNUMBER($G133),$G133&gt;=MA_SHORT),AVERAGE(INDEX($C$5:$C133,130-MA_SHORT):$C133),"")</f>
        <v>92301869.4</v>
      </c>
      <c r="J133" s="52" t="n">
        <f aca="false">IF(AND(ISNUMBER($G133),$G133&gt;=MA_MED),AVERAGE(INDEX($C$5:$C133,130-MA_MED):$C133),"")</f>
        <v>94085857.14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0.23414879620469</v>
      </c>
      <c r="M133" s="52" t="n">
        <f aca="false">IF(AND(ISNUMBER($G133),$G133&gt;=60),MAX(INDEX($D$5:$D133,130-60):$D133),"")</f>
        <v>99381454</v>
      </c>
      <c r="N133" s="52" t="n">
        <f aca="false">IF(AND(ISNUMBER($G133),$G133&gt;=60),MIN(INDEX($E$5:$E133,130-60):$E133),"")</f>
        <v>87334862</v>
      </c>
      <c r="O133" s="53" t="n">
        <f aca="false">IF(OR(NOT(ISNUMBER($C133)),NOT(ISNUMBER($M133)),$M133=0),"",$C133/$M133-1)</f>
        <v>-0.0724934050572454</v>
      </c>
      <c r="P133" s="54"/>
      <c r="Q133" s="53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92193363</v>
      </c>
      <c r="D134" s="49" t="n">
        <v>92452302</v>
      </c>
      <c r="E134" s="49" t="n">
        <v>92093439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0.000178016296785044</v>
      </c>
      <c r="I134" s="52" t="n">
        <f aca="false">IF(AND(ISNUMBER($G134),$G134&gt;=MA_SHORT),AVERAGE(INDEX($C$5:$C134,131-MA_SHORT):$C134),"")</f>
        <v>92091751.95</v>
      </c>
      <c r="J134" s="52" t="n">
        <f aca="false">IF(AND(ISNUMBER($G134),$G134&gt;=MA_MED),AVERAGE(INDEX($C$5:$C134,131-MA_MED):$C134),"")</f>
        <v>94175092.22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0.233792555566952</v>
      </c>
      <c r="M134" s="52" t="n">
        <f aca="false">IF(AND(ISNUMBER($G134),$G134&gt;=60),MAX(INDEX($D$5:$D134,131-60):$D134),"")</f>
        <v>99381454</v>
      </c>
      <c r="N134" s="52" t="n">
        <f aca="false">IF(AND(ISNUMBER($G134),$G134&gt;=60),MIN(INDEX($E$5:$E134,131-60):$E134),"")</f>
        <v>87334862</v>
      </c>
      <c r="O134" s="53" t="n">
        <f aca="false">IF(OR(NOT(ISNUMBER($C134)),NOT(ISNUMBER($M134)),$M134=0),"",$C134/$M134-1)</f>
        <v>-0.07232829376797</v>
      </c>
      <c r="P134" s="54"/>
      <c r="Q134" s="53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90362925</v>
      </c>
      <c r="D135" s="49" t="n">
        <v>90737733</v>
      </c>
      <c r="E135" s="49" t="n">
        <v>90007835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-0.0198543359352235</v>
      </c>
      <c r="I135" s="52" t="n">
        <f aca="false">IF(AND(ISNUMBER($G135),$G135&gt;=MA_SHORT),AVERAGE(INDEX($C$5:$C135,132-MA_SHORT):$C135),"")</f>
        <v>91922705.8</v>
      </c>
      <c r="J135" s="52" t="n">
        <f aca="false">IF(AND(ISNUMBER($G135),$G135&gt;=MA_MED),AVERAGE(INDEX($C$5:$C135,132-MA_MED):$C135),"")</f>
        <v>94235586.54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0.224418846999611</v>
      </c>
      <c r="M135" s="52" t="n">
        <f aca="false">IF(AND(ISNUMBER($G135),$G135&gt;=60),MAX(INDEX($D$5:$D135,132-60):$D135),"")</f>
        <v>99381454</v>
      </c>
      <c r="N135" s="52" t="n">
        <f aca="false">IF(AND(ISNUMBER($G135),$G135&gt;=60),MIN(INDEX($E$5:$E135,132-60):$E135),"")</f>
        <v>87334862</v>
      </c>
      <c r="O135" s="53" t="n">
        <f aca="false">IF(OR(NOT(ISNUMBER($C135)),NOT(ISNUMBER($M135)),$M135=0),"",$C135/$M135-1)</f>
        <v>-0.0907465994611026</v>
      </c>
      <c r="P135" s="54"/>
      <c r="Q135" s="53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90177359</v>
      </c>
      <c r="D136" s="49" t="n">
        <v>90357565</v>
      </c>
      <c r="E136" s="49" t="n">
        <v>89437251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-0.00205356344983298</v>
      </c>
      <c r="I136" s="52" t="n">
        <f aca="false">IF(AND(ISNUMBER($G136),$G136&gt;=MA_SHORT),AVERAGE(INDEX($C$5:$C136,133-MA_SHORT):$C136),"")</f>
        <v>91826442.35</v>
      </c>
      <c r="J136" s="52" t="n">
        <f aca="false">IF(AND(ISNUMBER($G136),$G136&gt;=MA_MED),AVERAGE(INDEX($C$5:$C136,133-MA_MED):$C136),"")</f>
        <v>94246297.3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0.216804062954545</v>
      </c>
      <c r="M136" s="52" t="n">
        <f aca="false">IF(AND(ISNUMBER($G136),$G136&gt;=60),MAX(INDEX($D$5:$D136,133-60):$D136),"")</f>
        <v>99381454</v>
      </c>
      <c r="N136" s="52" t="n">
        <f aca="false">IF(AND(ISNUMBER($G136),$G136&gt;=60),MIN(INDEX($E$5:$E136,133-60):$E136),"")</f>
        <v>87334862</v>
      </c>
      <c r="O136" s="53" t="n">
        <f aca="false">IF(OR(NOT(ISNUMBER($C136)),NOT(ISNUMBER($M136)),$M136=0),"",$C136/$M136-1)</f>
        <v>-0.0926138090110857</v>
      </c>
      <c r="P136" s="54"/>
      <c r="Q136" s="53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89963843</v>
      </c>
      <c r="D137" s="49" t="n">
        <v>90314135</v>
      </c>
      <c r="E137" s="49" t="n">
        <v>89337673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-0.00236773401181556</v>
      </c>
      <c r="I137" s="52" t="n">
        <f aca="false">IF(AND(ISNUMBER($G137),$G137&gt;=MA_SHORT),AVERAGE(INDEX($C$5:$C137,134-MA_SHORT):$C137),"")</f>
        <v>91811927.05</v>
      </c>
      <c r="J137" s="52" t="n">
        <f aca="false">IF(AND(ISNUMBER($G137),$G137&gt;=MA_MED),AVERAGE(INDEX($C$5:$C137,134-MA_MED):$C137),"")</f>
        <v>94208395.2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0.205232610942196</v>
      </c>
      <c r="M137" s="52" t="n">
        <f aca="false">IF(AND(ISNUMBER($G137),$G137&gt;=60),MAX(INDEX($D$5:$D137,134-60):$D137),"")</f>
        <v>99381454</v>
      </c>
      <c r="N137" s="52" t="n">
        <f aca="false">IF(AND(ISNUMBER($G137),$G137&gt;=60),MIN(INDEX($E$5:$E137,134-60):$E137),"")</f>
        <v>87334862</v>
      </c>
      <c r="O137" s="53" t="n">
        <f aca="false">IF(OR(NOT(ISNUMBER($C137)),NOT(ISNUMBER($M137)),$M137=0),"",$C137/$M137-1)</f>
        <v>-0.094762258157342</v>
      </c>
      <c r="P137" s="54"/>
      <c r="Q137" s="53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90949606</v>
      </c>
      <c r="D138" s="49" t="n">
        <v>91203963</v>
      </c>
      <c r="E138" s="49" t="n">
        <v>90217614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0.0109573242663723</v>
      </c>
      <c r="I138" s="52" t="n">
        <f aca="false">IF(AND(ISNUMBER($G138),$G138&gt;=MA_SHORT),AVERAGE(INDEX($C$5:$C138,135-MA_SHORT):$C138),"")</f>
        <v>91803416.75</v>
      </c>
      <c r="J138" s="52" t="n">
        <f aca="false">IF(AND(ISNUMBER($G138),$G138&gt;=MA_MED),AVERAGE(INDEX($C$5:$C138,135-MA_MED):$C138),"")</f>
        <v>94165676.38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0.206116312079101</v>
      </c>
      <c r="M138" s="52" t="n">
        <f aca="false">IF(AND(ISNUMBER($G138),$G138&gt;=60),MAX(INDEX($D$5:$D138,135-60):$D138),"")</f>
        <v>99381454</v>
      </c>
      <c r="N138" s="52" t="n">
        <f aca="false">IF(AND(ISNUMBER($G138),$G138&gt;=60),MIN(INDEX($E$5:$E138,135-60):$E138),"")</f>
        <v>87334862</v>
      </c>
      <c r="O138" s="53" t="n">
        <f aca="false">IF(OR(NOT(ISNUMBER($C138)),NOT(ISNUMBER($M138)),$M138=0),"",$C138/$M138-1)</f>
        <v>-0.0848432746818134</v>
      </c>
      <c r="P138" s="54"/>
      <c r="Q138" s="53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91737516</v>
      </c>
      <c r="D139" s="49" t="n">
        <v>92246991</v>
      </c>
      <c r="E139" s="49" t="n">
        <v>91671858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0.00866314912898036</v>
      </c>
      <c r="I139" s="52" t="n">
        <f aca="false">IF(AND(ISNUMBER($G139),$G139&gt;=MA_SHORT),AVERAGE(INDEX($C$5:$C139,136-MA_SHORT):$C139),"")</f>
        <v>91804697.85</v>
      </c>
      <c r="J139" s="52" t="n">
        <f aca="false">IF(AND(ISNUMBER($G139),$G139&gt;=MA_MED),AVERAGE(INDEX($C$5:$C139,136-MA_MED):$C139),"")</f>
        <v>94102171.24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0.207134780954664</v>
      </c>
      <c r="M139" s="52" t="n">
        <f aca="false">IF(AND(ISNUMBER($G139),$G139&gt;=60),MAX(INDEX($D$5:$D139,136-60):$D139),"")</f>
        <v>99381454</v>
      </c>
      <c r="N139" s="52" t="n">
        <f aca="false">IF(AND(ISNUMBER($G139),$G139&gt;=60),MIN(INDEX($E$5:$E139,136-60):$E139),"")</f>
        <v>87334862</v>
      </c>
      <c r="O139" s="53" t="n">
        <f aca="false">IF(OR(NOT(ISNUMBER($C139)),NOT(ISNUMBER($M139)),$M139=0),"",$C139/$M139-1)</f>
        <v>-0.0769151354939927</v>
      </c>
      <c r="P139" s="54"/>
      <c r="Q139" s="53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91590422</v>
      </c>
      <c r="D140" s="49" t="n">
        <v>91915155</v>
      </c>
      <c r="E140" s="49" t="n">
        <v>90974709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-0.00160342252999313</v>
      </c>
      <c r="I140" s="52" t="n">
        <f aca="false">IF(AND(ISNUMBER($G140),$G140&gt;=MA_SHORT),AVERAGE(INDEX($C$5:$C140,137-MA_SHORT):$C140),"")</f>
        <v>91806444.25</v>
      </c>
      <c r="J140" s="52" t="n">
        <f aca="false">IF(AND(ISNUMBER($G140),$G140&gt;=MA_MED),AVERAGE(INDEX($C$5:$C140,137-MA_MED):$C140),"")</f>
        <v>93977546.4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0.207123648654903</v>
      </c>
      <c r="M140" s="52" t="n">
        <f aca="false">IF(AND(ISNUMBER($G140),$G140&gt;=60),MAX(INDEX($D$5:$D140,137-60):$D140),"")</f>
        <v>99381454</v>
      </c>
      <c r="N140" s="52" t="n">
        <f aca="false">IF(AND(ISNUMBER($G140),$G140&gt;=60),MIN(INDEX($E$5:$E140,137-60):$E140),"")</f>
        <v>87334862</v>
      </c>
      <c r="O140" s="53" t="n">
        <f aca="false">IF(OR(NOT(ISNUMBER($C140)),NOT(ISNUMBER($M140)),$M140=0),"",$C140/$M140-1)</f>
        <v>-0.0783952305628373</v>
      </c>
      <c r="P140" s="54"/>
      <c r="Q140" s="53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91339403</v>
      </c>
      <c r="D141" s="49" t="n">
        <v>91411914</v>
      </c>
      <c r="E141" s="49" t="n">
        <v>90891577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-0.00274066866948164</v>
      </c>
      <c r="I141" s="52" t="n">
        <f aca="false">IF(AND(ISNUMBER($G141),$G141&gt;=MA_SHORT),AVERAGE(INDEX($C$5:$C141,138-MA_SHORT):$C141),"")</f>
        <v>91853119.95</v>
      </c>
      <c r="J141" s="52" t="n">
        <f aca="false">IF(AND(ISNUMBER($G141),$G141&gt;=MA_MED),AVERAGE(INDEX($C$5:$C141,138-MA_MED):$C141),"")</f>
        <v>93881443.04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0.202177957188209</v>
      </c>
      <c r="M141" s="52" t="n">
        <f aca="false">IF(AND(ISNUMBER($G141),$G141&gt;=60),MAX(INDEX($D$5:$D141,138-60):$D141),"")</f>
        <v>99381454</v>
      </c>
      <c r="N141" s="52" t="n">
        <f aca="false">IF(AND(ISNUMBER($G141),$G141&gt;=60),MIN(INDEX($E$5:$E141,138-60):$E141),"")</f>
        <v>87334862</v>
      </c>
      <c r="O141" s="53" t="n">
        <f aca="false">IF(OR(NOT(ISNUMBER($C141)),NOT(ISNUMBER($M141)),$M141=0),"",$C141/$M141-1)</f>
        <v>-0.0809210438800785</v>
      </c>
      <c r="P141" s="54"/>
      <c r="Q141" s="53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91698589</v>
      </c>
      <c r="D142" s="49" t="n">
        <v>92075037</v>
      </c>
      <c r="E142" s="49" t="n">
        <v>91625530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0.0039324320961458</v>
      </c>
      <c r="I142" s="52" t="n">
        <f aca="false">IF(AND(ISNUMBER($G142),$G142&gt;=MA_SHORT),AVERAGE(INDEX($C$5:$C142,139-MA_SHORT):$C142),"")</f>
        <v>91859334.25</v>
      </c>
      <c r="J142" s="52" t="n">
        <f aca="false">IF(AND(ISNUMBER($G142),$G142&gt;=MA_MED),AVERAGE(INDEX($C$5:$C142,139-MA_MED):$C142),"")</f>
        <v>93786825.76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0.197501881802958</v>
      </c>
      <c r="M142" s="52" t="n">
        <f aca="false">IF(AND(ISNUMBER($G142),$G142&gt;=60),MAX(INDEX($D$5:$D142,139-60):$D142),"")</f>
        <v>99381454</v>
      </c>
      <c r="N142" s="52" t="n">
        <f aca="false">IF(AND(ISNUMBER($G142),$G142&gt;=60),MIN(INDEX($E$5:$E142,139-60):$E142),"")</f>
        <v>87334862</v>
      </c>
      <c r="O142" s="53" t="n">
        <f aca="false">IF(OR(NOT(ISNUMBER($C142)),NOT(ISNUMBER($M142)),$M142=0),"",$C142/$M142-1)</f>
        <v>-0.0773068282941403</v>
      </c>
      <c r="P142" s="54"/>
      <c r="Q142" s="53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93425604</v>
      </c>
      <c r="D143" s="49" t="n">
        <v>93636664</v>
      </c>
      <c r="E143" s="49" t="n">
        <v>93043722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0.0188336049532889</v>
      </c>
      <c r="I143" s="52" t="n">
        <f aca="false">IF(AND(ISNUMBER($G143),$G143&gt;=MA_SHORT),AVERAGE(INDEX($C$5:$C143,140-MA_SHORT):$C143),"")</f>
        <v>91944853.7</v>
      </c>
      <c r="J143" s="52" t="n">
        <f aca="false">IF(AND(ISNUMBER($G143),$G143&gt;=MA_MED),AVERAGE(INDEX($C$5:$C143,140-MA_MED):$C143),"")</f>
        <v>93712830.46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0.208070299068861</v>
      </c>
      <c r="M143" s="52" t="n">
        <f aca="false">IF(AND(ISNUMBER($G143),$G143&gt;=60),MAX(INDEX($D$5:$D143,140-60):$D143),"")</f>
        <v>99381454</v>
      </c>
      <c r="N143" s="52" t="n">
        <f aca="false">IF(AND(ISNUMBER($G143),$G143&gt;=60),MIN(INDEX($E$5:$E143,140-60):$E143),"")</f>
        <v>87334862</v>
      </c>
      <c r="O143" s="53" t="n">
        <f aca="false">IF(OR(NOT(ISNUMBER($C143)),NOT(ISNUMBER($M143)),$M143=0),"",$C143/$M143-1)</f>
        <v>-0.0599291896051349</v>
      </c>
      <c r="P143" s="54"/>
      <c r="Q143" s="53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93964102</v>
      </c>
      <c r="D144" s="49" t="n">
        <v>93998378</v>
      </c>
      <c r="E144" s="49" t="n">
        <v>93688935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0.00576392313182161</v>
      </c>
      <c r="I144" s="52" t="n">
        <f aca="false">IF(AND(ISNUMBER($G144),$G144&gt;=MA_SHORT),AVERAGE(INDEX($C$5:$C144,141-MA_SHORT):$C144),"")</f>
        <v>92016548.35</v>
      </c>
      <c r="J144" s="52" t="n">
        <f aca="false">IF(AND(ISNUMBER($G144),$G144&gt;=MA_MED),AVERAGE(INDEX($C$5:$C144,141-MA_MED):$C144),"")</f>
        <v>93630694.32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0.206829320392205</v>
      </c>
      <c r="M144" s="52" t="n">
        <f aca="false">IF(AND(ISNUMBER($G144),$G144&gt;=60),MAX(INDEX($D$5:$D144,141-60):$D144),"")</f>
        <v>99381454</v>
      </c>
      <c r="N144" s="52" t="n">
        <f aca="false">IF(AND(ISNUMBER($G144),$G144&gt;=60),MIN(INDEX($E$5:$E144,141-60):$E144),"")</f>
        <v>87334862</v>
      </c>
      <c r="O144" s="53" t="n">
        <f aca="false">IF(OR(NOT(ISNUMBER($C144)),NOT(ISNUMBER($M144)),$M144=0),"",$C144/$M144-1)</f>
        <v>-0.0545106937155497</v>
      </c>
      <c r="P144" s="54"/>
      <c r="Q144" s="53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91996964</v>
      </c>
      <c r="D145" s="49" t="n">
        <v>92067032</v>
      </c>
      <c r="E145" s="49" t="n">
        <v>91821367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-0.0209349949409403</v>
      </c>
      <c r="I145" s="52" t="n">
        <f aca="false">IF(AND(ISNUMBER($G145),$G145&gt;=MA_SHORT),AVERAGE(INDEX($C$5:$C145,142-MA_SHORT):$C145),"")</f>
        <v>91893211.1</v>
      </c>
      <c r="J145" s="52" t="n">
        <f aca="false">IF(AND(ISNUMBER($G145),$G145&gt;=MA_MED),AVERAGE(INDEX($C$5:$C145,142-MA_MED):$C145),"")</f>
        <v>93559437.1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0.206375893154219</v>
      </c>
      <c r="M145" s="52" t="n">
        <f aca="false">IF(AND(ISNUMBER($G145),$G145&gt;=60),MAX(INDEX($D$5:$D145,142-60):$D145),"")</f>
        <v>99381454</v>
      </c>
      <c r="N145" s="52" t="n">
        <f aca="false">IF(AND(ISNUMBER($G145),$G145&gt;=60),MIN(INDEX($E$5:$E145,142-60):$E145),"")</f>
        <v>89337673</v>
      </c>
      <c r="O145" s="53" t="n">
        <f aca="false">IF(OR(NOT(ISNUMBER($C145)),NOT(ISNUMBER($M145)),$M145=0),"",$C145/$M145-1)</f>
        <v>-0.0743045075593279</v>
      </c>
      <c r="P145" s="54"/>
      <c r="Q145" s="53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92443613</v>
      </c>
      <c r="D146" s="49" t="n">
        <v>92966286</v>
      </c>
      <c r="E146" s="49" t="n">
        <v>92270904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0.00485504065112408</v>
      </c>
      <c r="I146" s="52" t="n">
        <f aca="false">IF(AND(ISNUMBER($G146),$G146&gt;=MA_SHORT),AVERAGE(INDEX($C$5:$C146,143-MA_SHORT):$C146),"")</f>
        <v>91914209.05</v>
      </c>
      <c r="J146" s="52" t="n">
        <f aca="false">IF(AND(ISNUMBER($G146),$G146&gt;=MA_MED),AVERAGE(INDEX($C$5:$C146,143-MA_MED):$C146),"")</f>
        <v>93530309.82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0.186184700767239</v>
      </c>
      <c r="M146" s="52" t="n">
        <f aca="false">IF(AND(ISNUMBER($G146),$G146&gt;=60),MAX(INDEX($D$5:$D146,143-60):$D146),"")</f>
        <v>99381454</v>
      </c>
      <c r="N146" s="52" t="n">
        <f aca="false">IF(AND(ISNUMBER($G146),$G146&gt;=60),MIN(INDEX($E$5:$E146,143-60):$E146),"")</f>
        <v>89337673</v>
      </c>
      <c r="O146" s="53" t="n">
        <f aca="false">IF(OR(NOT(ISNUMBER($C146)),NOT(ISNUMBER($M146)),$M146=0),"",$C146/$M146-1)</f>
        <v>-0.0698102183129661</v>
      </c>
      <c r="P146" s="54"/>
      <c r="Q146" s="53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93074405</v>
      </c>
      <c r="D147" s="49" t="n">
        <v>93595689</v>
      </c>
      <c r="E147" s="49" t="n">
        <v>93005466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0.00682353252463197</v>
      </c>
      <c r="I147" s="52" t="n">
        <f aca="false">IF(AND(ISNUMBER($G147),$G147&gt;=MA_SHORT),AVERAGE(INDEX($C$5:$C147,144-MA_SHORT):$C147),"")</f>
        <v>91924813.95</v>
      </c>
      <c r="J147" s="52" t="n">
        <f aca="false">IF(AND(ISNUMBER($G147),$G147&gt;=MA_MED),AVERAGE(INDEX($C$5:$C147,144-MA_MED):$C147),"")</f>
        <v>93471409.42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0.184954628088118</v>
      </c>
      <c r="M147" s="52" t="n">
        <f aca="false">IF(AND(ISNUMBER($G147),$G147&gt;=60),MAX(INDEX($D$5:$D147,144-60):$D147),"")</f>
        <v>99381454</v>
      </c>
      <c r="N147" s="52" t="n">
        <f aca="false">IF(AND(ISNUMBER($G147),$G147&gt;=60),MIN(INDEX($E$5:$E147,144-60):$E147),"")</f>
        <v>89337673</v>
      </c>
      <c r="O147" s="53" t="n">
        <f aca="false">IF(OR(NOT(ISNUMBER($C147)),NOT(ISNUMBER($M147)),$M147=0),"",$C147/$M147-1)</f>
        <v>-0.0634630380835443</v>
      </c>
      <c r="P147" s="54"/>
      <c r="Q147" s="53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92947900</v>
      </c>
      <c r="D148" s="49" t="n">
        <v>93219641</v>
      </c>
      <c r="E148" s="49" t="n">
        <v>92635262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-0.00135918139901081</v>
      </c>
      <c r="I148" s="52" t="n">
        <f aca="false">IF(AND(ISNUMBER($G148),$G148&gt;=MA_SHORT),AVERAGE(INDEX($C$5:$C148,145-MA_SHORT):$C148),"")</f>
        <v>91880314.95</v>
      </c>
      <c r="J148" s="52" t="n">
        <f aca="false">IF(AND(ISNUMBER($G148),$G148&gt;=MA_MED),AVERAGE(INDEX($C$5:$C148,145-MA_MED):$C148),"")</f>
        <v>93444161.68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0.181034343720237</v>
      </c>
      <c r="M148" s="52" t="n">
        <f aca="false">IF(AND(ISNUMBER($G148),$G148&gt;=60),MAX(INDEX($D$5:$D148,145-60):$D148),"")</f>
        <v>99381454</v>
      </c>
      <c r="N148" s="52" t="n">
        <f aca="false">IF(AND(ISNUMBER($G148),$G148&gt;=60),MIN(INDEX($E$5:$E148,145-60):$E148),"")</f>
        <v>89337673</v>
      </c>
      <c r="O148" s="53" t="n">
        <f aca="false">IF(OR(NOT(ISNUMBER($C148)),NOT(ISNUMBER($M148)),$M148=0),"",$C148/$M148-1)</f>
        <v>-0.0647359617016672</v>
      </c>
      <c r="P148" s="54"/>
      <c r="Q148" s="53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92555801</v>
      </c>
      <c r="D149" s="49" t="n">
        <v>92796074</v>
      </c>
      <c r="E149" s="49" t="n">
        <v>92371995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-0.00421848153643067</v>
      </c>
      <c r="I149" s="52" t="n">
        <f aca="false">IF(AND(ISNUMBER($G149),$G149&gt;=MA_SHORT),AVERAGE(INDEX($C$5:$C149,146-MA_SHORT):$C149),"")</f>
        <v>91942194.4</v>
      </c>
      <c r="J149" s="52" t="n">
        <f aca="false">IF(AND(ISNUMBER($G149),$G149&gt;=MA_MED),AVERAGE(INDEX($C$5:$C149,146-MA_MED):$C149),"")</f>
        <v>93365998.92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0.153676243076384</v>
      </c>
      <c r="M149" s="52" t="n">
        <f aca="false">IF(AND(ISNUMBER($G149),$G149&gt;=60),MAX(INDEX($D$5:$D149,146-60):$D149),"")</f>
        <v>99381454</v>
      </c>
      <c r="N149" s="52" t="n">
        <f aca="false">IF(AND(ISNUMBER($G149),$G149&gt;=60),MIN(INDEX($E$5:$E149,146-60):$E149),"")</f>
        <v>89337673</v>
      </c>
      <c r="O149" s="53" t="n">
        <f aca="false">IF(OR(NOT(ISNUMBER($C149)),NOT(ISNUMBER($M149)),$M149=0),"",$C149/$M149-1)</f>
        <v>-0.0686813557789162</v>
      </c>
      <c r="P149" s="54"/>
      <c r="Q149" s="53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93263696</v>
      </c>
      <c r="D150" s="49" t="n">
        <v>93702910</v>
      </c>
      <c r="E150" s="49" t="n">
        <v>93056946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0.00764830504789216</v>
      </c>
      <c r="I150" s="52" t="n">
        <f aca="false">IF(AND(ISNUMBER($G150),$G150&gt;=MA_SHORT),AVERAGE(INDEX($C$5:$C150,147-MA_SHORT):$C150),"")</f>
        <v>92052203.35</v>
      </c>
      <c r="J150" s="52" t="n">
        <f aca="false">IF(AND(ISNUMBER($G150),$G150&gt;=MA_MED),AVERAGE(INDEX($C$5:$C150,147-MA_MED):$C150),"")</f>
        <v>93294046.6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0.154940482638033</v>
      </c>
      <c r="M150" s="52" t="n">
        <f aca="false">IF(AND(ISNUMBER($G150),$G150&gt;=60),MAX(INDEX($D$5:$D150,147-60):$D150),"")</f>
        <v>99381454</v>
      </c>
      <c r="N150" s="52" t="n">
        <f aca="false">IF(AND(ISNUMBER($G150),$G150&gt;=60),MIN(INDEX($E$5:$E150,147-60):$E150),"")</f>
        <v>89337673</v>
      </c>
      <c r="O150" s="53" t="n">
        <f aca="false">IF(OR(NOT(ISNUMBER($C150)),NOT(ISNUMBER($M150)),$M150=0),"",$C150/$M150-1)</f>
        <v>-0.061558346691124</v>
      </c>
      <c r="P150" s="54"/>
      <c r="Q150" s="53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94624861</v>
      </c>
      <c r="D151" s="49" t="n">
        <v>94686435</v>
      </c>
      <c r="E151" s="49" t="n">
        <v>94062366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0.0145948001031397</v>
      </c>
      <c r="I151" s="52" t="n">
        <f aca="false">IF(AND(ISNUMBER($G151),$G151&gt;=MA_SHORT),AVERAGE(INDEX($C$5:$C151,148-MA_SHORT):$C151),"")</f>
        <v>92155498.65</v>
      </c>
      <c r="J151" s="52" t="n">
        <f aca="false">IF(AND(ISNUMBER($G151),$G151&gt;=MA_MED),AVERAGE(INDEX($C$5:$C151,148-MA_MED):$C151),"")</f>
        <v>93265721.6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0.152748544631823</v>
      </c>
      <c r="M151" s="52" t="n">
        <f aca="false">IF(AND(ISNUMBER($G151),$G151&gt;=60),MAX(INDEX($D$5:$D151,148-60):$D151),"")</f>
        <v>99381454</v>
      </c>
      <c r="N151" s="52" t="n">
        <f aca="false">IF(AND(ISNUMBER($G151),$G151&gt;=60),MIN(INDEX($E$5:$E151,148-60):$E151),"")</f>
        <v>89337673</v>
      </c>
      <c r="O151" s="53" t="n">
        <f aca="false">IF(OR(NOT(ISNUMBER($C151)),NOT(ISNUMBER($M151)),$M151=0),"",$C151/$M151-1)</f>
        <v>-0.047861978352621</v>
      </c>
      <c r="P151" s="54"/>
      <c r="Q151" s="53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96009778</v>
      </c>
      <c r="D152" s="49" t="n">
        <v>96125306</v>
      </c>
      <c r="E152" s="49" t="n">
        <v>95600402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0.0146358682629928</v>
      </c>
      <c r="I152" s="52" t="n">
        <f aca="false">IF(AND(ISNUMBER($G152),$G152&gt;=MA_SHORT),AVERAGE(INDEX($C$5:$C152,149-MA_SHORT):$C152),"")</f>
        <v>92324835.2</v>
      </c>
      <c r="J152" s="52" t="n">
        <f aca="false">IF(AND(ISNUMBER($G152),$G152&gt;=MA_MED),AVERAGE(INDEX($C$5:$C152,149-MA_MED):$C152),"")</f>
        <v>93256006.82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0.159841564881989</v>
      </c>
      <c r="M152" s="52" t="n">
        <f aca="false">IF(AND(ISNUMBER($G152),$G152&gt;=60),MAX(INDEX($D$5:$D152,149-60):$D152),"")</f>
        <v>99381454</v>
      </c>
      <c r="N152" s="52" t="n">
        <f aca="false">IF(AND(ISNUMBER($G152),$G152&gt;=60),MIN(INDEX($E$5:$E152,149-60):$E152),"")</f>
        <v>89337673</v>
      </c>
      <c r="O152" s="53" t="n">
        <f aca="false">IF(OR(NOT(ISNUMBER($C152)),NOT(ISNUMBER($M152)),$M152=0),"",$C152/$M152-1)</f>
        <v>-0.0339266116996034</v>
      </c>
      <c r="P152" s="54"/>
      <c r="Q152" s="53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98063369</v>
      </c>
      <c r="D153" s="49" t="n">
        <v>98087048</v>
      </c>
      <c r="E153" s="49" t="n">
        <v>97971820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0.021389394317733</v>
      </c>
      <c r="I153" s="52" t="n">
        <f aca="false">IF(AND(ISNUMBER($G153),$G153&gt;=MA_SHORT),AVERAGE(INDEX($C$5:$C153,150-MA_SHORT):$C153),"")</f>
        <v>92619155.95</v>
      </c>
      <c r="J153" s="52" t="n">
        <f aca="false">IF(AND(ISNUMBER($G153),$G153&gt;=MA_MED),AVERAGE(INDEX($C$5:$C153,150-MA_MED):$C153),"")</f>
        <v>93237621.48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0.171635400700275</v>
      </c>
      <c r="M153" s="52" t="n">
        <f aca="false">IF(AND(ISNUMBER($G153),$G153&gt;=60),MAX(INDEX($D$5:$D153,150-60):$D153),"")</f>
        <v>99381454</v>
      </c>
      <c r="N153" s="52" t="n">
        <f aca="false">IF(AND(ISNUMBER($G153),$G153&gt;=60),MIN(INDEX($E$5:$E153,150-60):$E153),"")</f>
        <v>89337673</v>
      </c>
      <c r="O153" s="53" t="n">
        <f aca="false">IF(OR(NOT(ISNUMBER($C153)),NOT(ISNUMBER($M153)),$M153=0),"",$C153/$M153-1)</f>
        <v>-0.0132628870573779</v>
      </c>
      <c r="P153" s="54"/>
      <c r="Q153" s="53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96359099</v>
      </c>
      <c r="D154" s="49" t="n">
        <v>96806798</v>
      </c>
      <c r="E154" s="49" t="n">
        <v>96332608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-0.0173792723764161</v>
      </c>
      <c r="I154" s="52" t="n">
        <f aca="false">IF(AND(ISNUMBER($G154),$G154&gt;=MA_SHORT),AVERAGE(INDEX($C$5:$C154,151-MA_SHORT):$C154),"")</f>
        <v>92827442.75</v>
      </c>
      <c r="J154" s="52" t="n">
        <f aca="false">IF(AND(ISNUMBER($G154),$G154&gt;=MA_MED),AVERAGE(INDEX($C$5:$C154,151-MA_MED):$C154),"")</f>
        <v>93207378.8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0.185967222298125</v>
      </c>
      <c r="M154" s="52" t="n">
        <f aca="false">IF(AND(ISNUMBER($G154),$G154&gt;=60),MAX(INDEX($D$5:$D154,151-60):$D154),"")</f>
        <v>99381454</v>
      </c>
      <c r="N154" s="52" t="n">
        <f aca="false">IF(AND(ISNUMBER($G154),$G154&gt;=60),MIN(INDEX($E$5:$E154,151-60):$E154),"")</f>
        <v>89337673</v>
      </c>
      <c r="O154" s="53" t="n">
        <f aca="false">IF(OR(NOT(ISNUMBER($C154)),NOT(ISNUMBER($M154)),$M154=0),"",$C154/$M154-1)</f>
        <v>-0.0304116601071263</v>
      </c>
      <c r="P154" s="54"/>
      <c r="Q154" s="53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95217153</v>
      </c>
      <c r="D155" s="49" t="n">
        <v>95503788</v>
      </c>
      <c r="E155" s="49" t="n">
        <v>94794257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-0.0118509410304884</v>
      </c>
      <c r="I155" s="52" t="n">
        <f aca="false">IF(AND(ISNUMBER($G155),$G155&gt;=MA_SHORT),AVERAGE(INDEX($C$5:$C155,152-MA_SHORT):$C155),"")</f>
        <v>93070154.15</v>
      </c>
      <c r="J155" s="52" t="n">
        <f aca="false">IF(AND(ISNUMBER($G155),$G155&gt;=MA_MED),AVERAGE(INDEX($C$5:$C155,152-MA_MED):$C155),"")</f>
        <v>93196176.66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0.175499344076748</v>
      </c>
      <c r="M155" s="52" t="n">
        <f aca="false">IF(AND(ISNUMBER($G155),$G155&gt;=60),MAX(INDEX($D$5:$D155,152-60):$D155),"")</f>
        <v>99381454</v>
      </c>
      <c r="N155" s="52" t="n">
        <f aca="false">IF(AND(ISNUMBER($G155),$G155&gt;=60),MIN(INDEX($E$5:$E155,152-60):$E155),"")</f>
        <v>89337673</v>
      </c>
      <c r="O155" s="53" t="n">
        <f aca="false">IF(OR(NOT(ISNUMBER($C155)),NOT(ISNUMBER($M155)),$M155=0),"",$C155/$M155-1)</f>
        <v>-0.0419021943470459</v>
      </c>
      <c r="P155" s="54"/>
      <c r="Q155" s="53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96365469</v>
      </c>
      <c r="D156" s="49" t="n">
        <v>96752860</v>
      </c>
      <c r="E156" s="49" t="n">
        <v>95942389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0.0120599699089932</v>
      </c>
      <c r="I156" s="52" t="n">
        <f aca="false">IF(AND(ISNUMBER($G156),$G156&gt;=MA_SHORT),AVERAGE(INDEX($C$5:$C156,153-MA_SHORT):$C156),"")</f>
        <v>93379559.65</v>
      </c>
      <c r="J156" s="52" t="n">
        <f aca="false">IF(AND(ISNUMBER($G156),$G156&gt;=MA_MED),AVERAGE(INDEX($C$5:$C156,153-MA_MED):$C156),"")</f>
        <v>93232076.6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0.177531384457764</v>
      </c>
      <c r="M156" s="52" t="n">
        <f aca="false">IF(AND(ISNUMBER($G156),$G156&gt;=60),MAX(INDEX($D$5:$D156,153-60):$D156),"")</f>
        <v>99381454</v>
      </c>
      <c r="N156" s="52" t="n">
        <f aca="false">IF(AND(ISNUMBER($G156),$G156&gt;=60),MIN(INDEX($E$5:$E156,153-60):$E156),"")</f>
        <v>89337673</v>
      </c>
      <c r="O156" s="53" t="n">
        <f aca="false">IF(OR(NOT(ISNUMBER($C156)),NOT(ISNUMBER($M156)),$M156=0),"",$C156/$M156-1)</f>
        <v>-0.0303475636409989</v>
      </c>
      <c r="P156" s="54"/>
      <c r="Q156" s="53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94999901</v>
      </c>
      <c r="D157" s="49" t="n">
        <v>95373216</v>
      </c>
      <c r="E157" s="49" t="n">
        <v>94759992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-0.0141707191815774</v>
      </c>
      <c r="I157" s="52" t="n">
        <f aca="false">IF(AND(ISNUMBER($G157),$G157&gt;=MA_SHORT),AVERAGE(INDEX($C$5:$C157,154-MA_SHORT):$C157),"")</f>
        <v>93631362.55</v>
      </c>
      <c r="J157" s="52" t="n">
        <f aca="false">IF(AND(ISNUMBER($G157),$G157&gt;=MA_MED),AVERAGE(INDEX($C$5:$C157,154-MA_MED):$C157),"")</f>
        <v>93246781.14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0.187016246784769</v>
      </c>
      <c r="M157" s="52" t="n">
        <f aca="false">IF(AND(ISNUMBER($G157),$G157&gt;=60),MAX(INDEX($D$5:$D157,154-60):$D157),"")</f>
        <v>99381454</v>
      </c>
      <c r="N157" s="52" t="n">
        <f aca="false">IF(AND(ISNUMBER($G157),$G157&gt;=60),MIN(INDEX($E$5:$E157,154-60):$E157),"")</f>
        <v>89337673</v>
      </c>
      <c r="O157" s="53" t="n">
        <f aca="false">IF(OR(NOT(ISNUMBER($C157)),NOT(ISNUMBER($M157)),$M157=0),"",$C157/$M157-1)</f>
        <v>-0.0440882360203746</v>
      </c>
      <c r="P157" s="54"/>
      <c r="Q157" s="53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96872234</v>
      </c>
      <c r="D158" s="49" t="n">
        <v>97929917</v>
      </c>
      <c r="E158" s="49" t="n">
        <v>96476597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0.0197087889596854</v>
      </c>
      <c r="I158" s="52" t="n">
        <f aca="false">IF(AND(ISNUMBER($G158),$G158&gt;=MA_SHORT),AVERAGE(INDEX($C$5:$C158,155-MA_SHORT):$C158),"")</f>
        <v>93927493.95</v>
      </c>
      <c r="J158" s="52" t="n">
        <f aca="false">IF(AND(ISNUMBER($G158),$G158&gt;=MA_MED),AVERAGE(INDEX($C$5:$C158,155-MA_MED):$C158),"")</f>
        <v>93232240.04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0.194307710200736</v>
      </c>
      <c r="M158" s="52" t="n">
        <f aca="false">IF(AND(ISNUMBER($G158),$G158&gt;=60),MAX(INDEX($D$5:$D158,155-60):$D158),"")</f>
        <v>99381454</v>
      </c>
      <c r="N158" s="52" t="n">
        <f aca="false">IF(AND(ISNUMBER($G158),$G158&gt;=60),MIN(INDEX($E$5:$E158,155-60):$E158),"")</f>
        <v>89337673</v>
      </c>
      <c r="O158" s="53" t="n">
        <f aca="false">IF(OR(NOT(ISNUMBER($C158)),NOT(ISNUMBER($M158)),$M158=0),"",$C158/$M158-1)</f>
        <v>-0.0252483728000196</v>
      </c>
      <c r="P158" s="54"/>
      <c r="Q158" s="53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97029835</v>
      </c>
      <c r="D159" s="49" t="n">
        <v>97255934</v>
      </c>
      <c r="E159" s="49" t="n">
        <v>96993062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0.00162689548379769</v>
      </c>
      <c r="I159" s="52" t="n">
        <f aca="false">IF(AND(ISNUMBER($G159),$G159&gt;=MA_SHORT),AVERAGE(INDEX($C$5:$C159,156-MA_SHORT):$C159),"")</f>
        <v>94192109.9</v>
      </c>
      <c r="J159" s="52" t="n">
        <f aca="false">IF(AND(ISNUMBER($G159),$G159&gt;=MA_MED),AVERAGE(INDEX($C$5:$C159,156-MA_MED):$C159),"")</f>
        <v>93229990.88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0.193330099934749</v>
      </c>
      <c r="M159" s="52" t="n">
        <f aca="false">IF(AND(ISNUMBER($G159),$G159&gt;=60),MAX(INDEX($D$5:$D159,156-60):$D159),"")</f>
        <v>99381454</v>
      </c>
      <c r="N159" s="52" t="n">
        <f aca="false">IF(AND(ISNUMBER($G159),$G159&gt;=60),MIN(INDEX($E$5:$E159,156-60):$E159),"")</f>
        <v>89337673</v>
      </c>
      <c r="O159" s="53" t="n">
        <f aca="false">IF(OR(NOT(ISNUMBER($C159)),NOT(ISNUMBER($M159)),$M159=0),"",$C159/$M159-1)</f>
        <v>-0.0236625537799035</v>
      </c>
      <c r="P159" s="54"/>
      <c r="Q159" s="53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96338338</v>
      </c>
      <c r="D160" s="49" t="n">
        <v>96436105</v>
      </c>
      <c r="E160" s="49" t="n">
        <v>96325752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-0.00712664305777699</v>
      </c>
      <c r="I160" s="52" t="n">
        <f aca="false">IF(AND(ISNUMBER($G160),$G160&gt;=MA_SHORT),AVERAGE(INDEX($C$5:$C160,157-MA_SHORT):$C160),"")</f>
        <v>94429505.7</v>
      </c>
      <c r="J160" s="52" t="n">
        <f aca="false">IF(AND(ISNUMBER($G160),$G160&gt;=MA_MED),AVERAGE(INDEX($C$5:$C160,157-MA_MED):$C160),"")</f>
        <v>93214379.28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0.195930994256178</v>
      </c>
      <c r="M160" s="52" t="n">
        <f aca="false">IF(AND(ISNUMBER($G160),$G160&gt;=60),MAX(INDEX($D$5:$D160,157-60):$D160),"")</f>
        <v>99381454</v>
      </c>
      <c r="N160" s="52" t="n">
        <f aca="false">IF(AND(ISNUMBER($G160),$G160&gt;=60),MIN(INDEX($E$5:$E160,157-60):$E160),"")</f>
        <v>89337673</v>
      </c>
      <c r="O160" s="53" t="n">
        <f aca="false">IF(OR(NOT(ISNUMBER($C160)),NOT(ISNUMBER($M160)),$M160=0),"",$C160/$M160-1)</f>
        <v>-0.0306205622630557</v>
      </c>
      <c r="P160" s="54"/>
      <c r="Q160" s="53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97687775</v>
      </c>
      <c r="D161" s="49" t="n">
        <v>97729349</v>
      </c>
      <c r="E161" s="49" t="n">
        <v>96836909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0.0140072688403654</v>
      </c>
      <c r="I161" s="52" t="n">
        <f aca="false">IF(AND(ISNUMBER($G161),$G161&gt;=MA_SHORT),AVERAGE(INDEX($C$5:$C161,158-MA_SHORT):$C161),"")</f>
        <v>94746924.3</v>
      </c>
      <c r="J161" s="52" t="n">
        <f aca="false">IF(AND(ISNUMBER($G161),$G161&gt;=MA_MED),AVERAGE(INDEX($C$5:$C161,158-MA_MED):$C161),"")</f>
        <v>93217591.94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0.198787009632974</v>
      </c>
      <c r="M161" s="52" t="n">
        <f aca="false">IF(AND(ISNUMBER($G161),$G161&gt;=60),MAX(INDEX($D$5:$D161,158-60):$D161),"")</f>
        <v>99381454</v>
      </c>
      <c r="N161" s="52" t="n">
        <f aca="false">IF(AND(ISNUMBER($G161),$G161&gt;=60),MIN(INDEX($E$5:$E161,158-60):$E161),"")</f>
        <v>89337673</v>
      </c>
      <c r="O161" s="53" t="n">
        <f aca="false">IF(OR(NOT(ISNUMBER($C161)),NOT(ISNUMBER($M161)),$M161=0),"",$C161/$M161-1)</f>
        <v>-0.0170422038703519</v>
      </c>
      <c r="P161" s="54"/>
      <c r="Q161" s="53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99250534</v>
      </c>
      <c r="D162" s="49" t="n">
        <v>99529356</v>
      </c>
      <c r="E162" s="49" t="n">
        <v>99120037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0.0159974879149412</v>
      </c>
      <c r="I162" s="52" t="n">
        <f aca="false">IF(AND(ISNUMBER($G162),$G162&gt;=MA_SHORT),AVERAGE(INDEX($C$5:$C162,159-MA_SHORT):$C162),"")</f>
        <v>95124521.55</v>
      </c>
      <c r="J162" s="52" t="n">
        <f aca="false">IF(AND(ISNUMBER($G162),$G162&gt;=MA_MED),AVERAGE(INDEX($C$5:$C162,159-MA_MED):$C162),"")</f>
        <v>93294555.54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0.203597786024882</v>
      </c>
      <c r="M162" s="52" t="n">
        <f aca="false">IF(AND(ISNUMBER($G162),$G162&gt;=60),MAX(INDEX($D$5:$D162,159-60):$D162),"")</f>
        <v>99529356</v>
      </c>
      <c r="N162" s="52" t="n">
        <f aca="false">IF(AND(ISNUMBER($G162),$G162&gt;=60),MIN(INDEX($E$5:$E162,159-60):$E162),"")</f>
        <v>89337673</v>
      </c>
      <c r="O162" s="53" t="n">
        <f aca="false">IF(OR(NOT(ISNUMBER($C162)),NOT(ISNUMBER($M162)),$M162=0),"",$C162/$M162-1)</f>
        <v>-0.00280140464286738</v>
      </c>
      <c r="P162" s="54"/>
      <c r="Q162" s="53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100157466</v>
      </c>
      <c r="D163" s="49" t="n">
        <v>100429140</v>
      </c>
      <c r="E163" s="49" t="n">
        <v>100071662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0.00913780473967019</v>
      </c>
      <c r="I163" s="52" t="n">
        <f aca="false">IF(AND(ISNUMBER($G163),$G163&gt;=MA_SHORT),AVERAGE(INDEX($C$5:$C163,160-MA_SHORT):$C163),"")</f>
        <v>95461114.65</v>
      </c>
      <c r="J163" s="52" t="n">
        <f aca="false">IF(AND(ISNUMBER($G163),$G163&gt;=MA_MED),AVERAGE(INDEX($C$5:$C163,160-MA_MED):$C163),"")</f>
        <v>93373966.22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0.197245625253259</v>
      </c>
      <c r="M163" s="52" t="n">
        <f aca="false">IF(AND(ISNUMBER($G163),$G163&gt;=60),MAX(INDEX($D$5:$D163,160-60):$D163),"")</f>
        <v>100429140</v>
      </c>
      <c r="N163" s="52" t="n">
        <f aca="false">IF(AND(ISNUMBER($G163),$G163&gt;=60),MIN(INDEX($E$5:$E163,160-60):$E163),"")</f>
        <v>89337673</v>
      </c>
      <c r="O163" s="53" t="n">
        <f aca="false">IF(OR(NOT(ISNUMBER($C163)),NOT(ISNUMBER($M163)),$M163=0),"",$C163/$M163-1)</f>
        <v>-0.0027051311999684</v>
      </c>
      <c r="P163" s="54"/>
      <c r="Q163" s="53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99636561</v>
      </c>
      <c r="D164" s="49" t="n">
        <v>100039762</v>
      </c>
      <c r="E164" s="49" t="n">
        <v>99479207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-0.00520086041314183</v>
      </c>
      <c r="I164" s="52" t="n">
        <f aca="false">IF(AND(ISNUMBER($G164),$G164&gt;=MA_SHORT),AVERAGE(INDEX($C$5:$C164,161-MA_SHORT):$C164),"")</f>
        <v>95744737.6</v>
      </c>
      <c r="J164" s="52" t="n">
        <f aca="false">IF(AND(ISNUMBER($G164),$G164&gt;=MA_MED),AVERAGE(INDEX($C$5:$C164,161-MA_MED):$C164),"")</f>
        <v>93438783.2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0.199387862108261</v>
      </c>
      <c r="M164" s="52" t="n">
        <f aca="false">IF(AND(ISNUMBER($G164),$G164&gt;=60),MAX(INDEX($D$5:$D164,161-60):$D164),"")</f>
        <v>100429140</v>
      </c>
      <c r="N164" s="52" t="n">
        <f aca="false">IF(AND(ISNUMBER($G164),$G164&gt;=60),MIN(INDEX($E$5:$E164,161-60):$E164),"")</f>
        <v>89337673</v>
      </c>
      <c r="O164" s="53" t="n">
        <f aca="false">IF(OR(NOT(ISNUMBER($C164)),NOT(ISNUMBER($M164)),$M164=0),"",$C164/$M164-1)</f>
        <v>-0.00789192260334004</v>
      </c>
      <c r="P164" s="54"/>
      <c r="Q164" s="53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99849927</v>
      </c>
      <c r="D165" s="49" t="n">
        <v>100281624</v>
      </c>
      <c r="E165" s="49" t="n">
        <v>99739955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0.00214144283843765</v>
      </c>
      <c r="I165" s="52" t="n">
        <f aca="false">IF(AND(ISNUMBER($G165),$G165&gt;=MA_SHORT),AVERAGE(INDEX($C$5:$C165,162-MA_SHORT):$C165),"")</f>
        <v>96137385.75</v>
      </c>
      <c r="J165" s="52" t="n">
        <f aca="false">IF(AND(ISNUMBER($G165),$G165&gt;=MA_MED),AVERAGE(INDEX($C$5:$C165,162-MA_MED):$C165),"")</f>
        <v>93560904.78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0.178961552699662</v>
      </c>
      <c r="M165" s="52" t="n">
        <f aca="false">IF(AND(ISNUMBER($G165),$G165&gt;=60),MAX(INDEX($D$5:$D165,162-60):$D165),"")</f>
        <v>100429140</v>
      </c>
      <c r="N165" s="52" t="n">
        <f aca="false">IF(AND(ISNUMBER($G165),$G165&gt;=60),MIN(INDEX($E$5:$E165,162-60):$E165),"")</f>
        <v>89337673</v>
      </c>
      <c r="O165" s="53" t="n">
        <f aca="false">IF(OR(NOT(ISNUMBER($C165)),NOT(ISNUMBER($M165)),$M165=0),"",$C165/$M165-1)</f>
        <v>-0.00576737986604281</v>
      </c>
      <c r="P165" s="54"/>
      <c r="Q165" s="53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99942668</v>
      </c>
      <c r="D166" s="49" t="n">
        <v>100474269</v>
      </c>
      <c r="E166" s="49" t="n">
        <v>99857645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0.000928803883852636</v>
      </c>
      <c r="I166" s="52" t="n">
        <f aca="false">IF(AND(ISNUMBER($G166),$G166&gt;=MA_SHORT),AVERAGE(INDEX($C$5:$C166,163-MA_SHORT):$C166),"")</f>
        <v>96512338.5</v>
      </c>
      <c r="J166" s="52" t="n">
        <f aca="false">IF(AND(ISNUMBER($G166),$G166&gt;=MA_MED),AVERAGE(INDEX($C$5:$C166,163-MA_MED):$C166),"")</f>
        <v>93717705.58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0.179293916584159</v>
      </c>
      <c r="M166" s="52" t="n">
        <f aca="false">IF(AND(ISNUMBER($G166),$G166&gt;=60),MAX(INDEX($D$5:$D166,163-60):$D166),"")</f>
        <v>100474269</v>
      </c>
      <c r="N166" s="52" t="n">
        <f aca="false">IF(AND(ISNUMBER($G166),$G166&gt;=60),MIN(INDEX($E$5:$E166,163-60):$E166),"")</f>
        <v>89337673</v>
      </c>
      <c r="O166" s="53" t="n">
        <f aca="false">IF(OR(NOT(ISNUMBER($C166)),NOT(ISNUMBER($M166)),$M166=0),"",$C166/$M166-1)</f>
        <v>-0.00529091682169891</v>
      </c>
      <c r="P166" s="54"/>
      <c r="Q166" s="53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101609090</v>
      </c>
      <c r="D167" s="49" t="n">
        <v>101619126</v>
      </c>
      <c r="E167" s="49" t="n">
        <v>101446342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0.016673779411212</v>
      </c>
      <c r="I167" s="52" t="n">
        <f aca="false">IF(AND(ISNUMBER($G167),$G167&gt;=MA_SHORT),AVERAGE(INDEX($C$5:$C167,164-MA_SHORT):$C167),"")</f>
        <v>96939072.75</v>
      </c>
      <c r="J167" s="52" t="n">
        <f aca="false">IF(AND(ISNUMBER($G167),$G167&gt;=MA_MED),AVERAGE(INDEX($C$5:$C167,164-MA_MED):$C167),"")</f>
        <v>93944804.4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0.184553128153731</v>
      </c>
      <c r="M167" s="52" t="n">
        <f aca="false">IF(AND(ISNUMBER($G167),$G167&gt;=60),MAX(INDEX($D$5:$D167,164-60):$D167),"")</f>
        <v>101619126</v>
      </c>
      <c r="N167" s="52" t="n">
        <f aca="false">IF(AND(ISNUMBER($G167),$G167&gt;=60),MIN(INDEX($E$5:$E167,164-60):$E167),"")</f>
        <v>89337673</v>
      </c>
      <c r="O167" s="53" t="n">
        <f aca="false">IF(OR(NOT(ISNUMBER($C167)),NOT(ISNUMBER($M167)),$M167=0),"",$C167/$M167-1)</f>
        <v>-9.87609360072472E-005</v>
      </c>
      <c r="P167" s="54"/>
      <c r="Q167" s="53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102582452</v>
      </c>
      <c r="D168" s="49" t="n">
        <v>103488235</v>
      </c>
      <c r="E168" s="49" t="n">
        <v>102461498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0.00957947758414135</v>
      </c>
      <c r="I168" s="52" t="n">
        <f aca="false">IF(AND(ISNUMBER($G168),$G168&gt;=MA_SHORT),AVERAGE(INDEX($C$5:$C168,165-MA_SHORT):$C168),"")</f>
        <v>97420800.35</v>
      </c>
      <c r="J168" s="52" t="n">
        <f aca="false">IF(AND(ISNUMBER($G168),$G168&gt;=MA_MED),AVERAGE(INDEX($C$5:$C168,165-MA_MED):$C168),"")</f>
        <v>94174057.2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0.184074413647351</v>
      </c>
      <c r="M168" s="52" t="n">
        <f aca="false">IF(AND(ISNUMBER($G168),$G168&gt;=60),MAX(INDEX($D$5:$D168,165-60):$D168),"")</f>
        <v>103488235</v>
      </c>
      <c r="N168" s="52" t="n">
        <f aca="false">IF(AND(ISNUMBER($G168),$G168&gt;=60),MIN(INDEX($E$5:$E168,165-60):$E168),"")</f>
        <v>89337673</v>
      </c>
      <c r="O168" s="53" t="n">
        <f aca="false">IF(OR(NOT(ISNUMBER($C168)),NOT(ISNUMBER($M168)),$M168=0),"",$C168/$M168-1)</f>
        <v>-0.00875252148227279</v>
      </c>
      <c r="P168" s="54"/>
      <c r="Q168" s="53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102348487</v>
      </c>
      <c r="D169" s="49" t="n">
        <v>102653293</v>
      </c>
      <c r="E169" s="49" t="n">
        <v>102323306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-0.00228075070773315</v>
      </c>
      <c r="I169" s="52" t="n">
        <f aca="false">IF(AND(ISNUMBER($G169),$G169&gt;=MA_SHORT),AVERAGE(INDEX($C$5:$C169,166-MA_SHORT):$C169),"")</f>
        <v>97910434.65</v>
      </c>
      <c r="J169" s="52" t="n">
        <f aca="false">IF(AND(ISNUMBER($G169),$G169&gt;=MA_MED),AVERAGE(INDEX($C$5:$C169,166-MA_MED):$C169),"")</f>
        <v>94386789.06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0.182943304542724</v>
      </c>
      <c r="M169" s="52" t="n">
        <f aca="false">IF(AND(ISNUMBER($G169),$G169&gt;=60),MAX(INDEX($D$5:$D169,166-60):$D169),"")</f>
        <v>103488235</v>
      </c>
      <c r="N169" s="52" t="n">
        <f aca="false">IF(AND(ISNUMBER($G169),$G169&gt;=60),MIN(INDEX($E$5:$E169,166-60):$E169),"")</f>
        <v>89337673</v>
      </c>
      <c r="O169" s="53" t="n">
        <f aca="false">IF(OR(NOT(ISNUMBER($C169)),NOT(ISNUMBER($M169)),$M169=0),"",$C169/$M169-1)</f>
        <v>-0.0110133098704408</v>
      </c>
      <c r="P169" s="54"/>
      <c r="Q169" s="53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100405324</v>
      </c>
      <c r="D170" s="49" t="n">
        <v>100687898</v>
      </c>
      <c r="E170" s="49" t="n">
        <v>100067333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-0.0189857520805363</v>
      </c>
      <c r="I170" s="52" t="n">
        <f aca="false">IF(AND(ISNUMBER($G170),$G170&gt;=MA_SHORT),AVERAGE(INDEX($C$5:$C170,167-MA_SHORT):$C170),"")</f>
        <v>98267516.05</v>
      </c>
      <c r="J170" s="52" t="n">
        <f aca="false">IF(AND(ISNUMBER($G170),$G170&gt;=MA_MED),AVERAGE(INDEX($C$5:$C170,167-MA_MED):$C170),"")</f>
        <v>94563785.66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0.201026984843777</v>
      </c>
      <c r="M170" s="52" t="n">
        <f aca="false">IF(AND(ISNUMBER($G170),$G170&gt;=60),MAX(INDEX($D$5:$D170,167-60):$D170),"")</f>
        <v>103488235</v>
      </c>
      <c r="N170" s="52" t="n">
        <f aca="false">IF(AND(ISNUMBER($G170),$G170&gt;=60),MIN(INDEX($E$5:$E170,167-60):$E170),"")</f>
        <v>89337673</v>
      </c>
      <c r="O170" s="53" t="n">
        <f aca="false">IF(OR(NOT(ISNUMBER($C170)),NOT(ISNUMBER($M170)),$M170=0),"",$C170/$M170-1)</f>
        <v>-0.0297899659801909</v>
      </c>
      <c r="P170" s="54"/>
      <c r="Q170" s="53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102540197</v>
      </c>
      <c r="D171" s="49" t="n">
        <v>103221099</v>
      </c>
      <c r="E171" s="49" t="n">
        <v>102526629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0.0212625477907924</v>
      </c>
      <c r="I171" s="52" t="n">
        <f aca="false">IF(AND(ISNUMBER($G171),$G171&gt;=MA_SHORT),AVERAGE(INDEX($C$5:$C171,168-MA_SHORT):$C171),"")</f>
        <v>98663282.85</v>
      </c>
      <c r="J171" s="52" t="n">
        <f aca="false">IF(AND(ISNUMBER($G171),$G171&gt;=MA_MED),AVERAGE(INDEX($C$5:$C171,168-MA_MED):$C171),"")</f>
        <v>94806471.82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0.206923006836232</v>
      </c>
      <c r="M171" s="52" t="n">
        <f aca="false">IF(AND(ISNUMBER($G171),$G171&gt;=60),MAX(INDEX($D$5:$D171,168-60):$D171),"")</f>
        <v>103488235</v>
      </c>
      <c r="N171" s="52" t="n">
        <f aca="false">IF(AND(ISNUMBER($G171),$G171&gt;=60),MIN(INDEX($E$5:$E171,168-60):$E171),"")</f>
        <v>89337673</v>
      </c>
      <c r="O171" s="53" t="n">
        <f aca="false">IF(OR(NOT(ISNUMBER($C171)),NOT(ISNUMBER($M171)),$M171=0),"",$C171/$M171-1)</f>
        <v>-0.00916082876473834</v>
      </c>
      <c r="P171" s="54"/>
      <c r="Q171" s="53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101779271</v>
      </c>
      <c r="D172" s="49" t="n">
        <v>102332591</v>
      </c>
      <c r="E172" s="49" t="n">
        <v>101588949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-0.00742075812473819</v>
      </c>
      <c r="I172" s="52" t="n">
        <f aca="false">IF(AND(ISNUMBER($G172),$G172&gt;=MA_SHORT),AVERAGE(INDEX($C$5:$C172,169-MA_SHORT):$C172),"")</f>
        <v>98951757.5</v>
      </c>
      <c r="J172" s="52" t="n">
        <f aca="false">IF(AND(ISNUMBER($G172),$G172&gt;=MA_MED),AVERAGE(INDEX($C$5:$C172,169-MA_MED):$C172),"")</f>
        <v>95010571.18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0.206852564168652</v>
      </c>
      <c r="M172" s="52" t="n">
        <f aca="false">IF(AND(ISNUMBER($G172),$G172&gt;=60),MAX(INDEX($D$5:$D172,169-60):$D172),"")</f>
        <v>103488235</v>
      </c>
      <c r="N172" s="52" t="n">
        <f aca="false">IF(AND(ISNUMBER($G172),$G172&gt;=60),MIN(INDEX($E$5:$E172,169-60):$E172),"")</f>
        <v>89337673</v>
      </c>
      <c r="O172" s="53" t="n">
        <f aca="false">IF(OR(NOT(ISNUMBER($C172)),NOT(ISNUMBER($M172)),$M172=0),"",$C172/$M172-1)</f>
        <v>-0.0165136065949912</v>
      </c>
      <c r="P172" s="54"/>
      <c r="Q172" s="53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103368725</v>
      </c>
      <c r="D173" s="49" t="n">
        <v>103515131</v>
      </c>
      <c r="E173" s="49" t="n">
        <v>103214486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0.0156166769950632</v>
      </c>
      <c r="I173" s="52" t="n">
        <f aca="false">IF(AND(ISNUMBER($G173),$G173&gt;=MA_SHORT),AVERAGE(INDEX($C$5:$C173,170-MA_SHORT):$C173),"")</f>
        <v>99217025.3</v>
      </c>
      <c r="J173" s="52" t="n">
        <f aca="false">IF(AND(ISNUMBER($G173),$G173&gt;=MA_MED),AVERAGE(INDEX($C$5:$C173,170-MA_MED):$C173),"")</f>
        <v>95243641.38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0.201144742463439</v>
      </c>
      <c r="M173" s="52" t="n">
        <f aca="false">IF(AND(ISNUMBER($G173),$G173&gt;=60),MAX(INDEX($D$5:$D173,170-60):$D173),"")</f>
        <v>103515131</v>
      </c>
      <c r="N173" s="52" t="n">
        <f aca="false">IF(AND(ISNUMBER($G173),$G173&gt;=60),MIN(INDEX($E$5:$E173,170-60):$E173),"")</f>
        <v>89337673</v>
      </c>
      <c r="O173" s="53" t="n">
        <f aca="false">IF(OR(NOT(ISNUMBER($C173)),NOT(ISNUMBER($M173)),$M173=0),"",$C173/$M173-1)</f>
        <v>-0.00141434395711681</v>
      </c>
      <c r="P173" s="54"/>
      <c r="Q173" s="53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103518431</v>
      </c>
      <c r="D174" s="49" t="n">
        <v>103819483</v>
      </c>
      <c r="E174" s="49" t="n">
        <v>103389560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0.00144827170887529</v>
      </c>
      <c r="I174" s="52" t="n">
        <f aca="false">IF(AND(ISNUMBER($G174),$G174&gt;=MA_SHORT),AVERAGE(INDEX($C$5:$C174,171-MA_SHORT):$C174),"")</f>
        <v>99574991.9</v>
      </c>
      <c r="J174" s="52" t="n">
        <f aca="false">IF(AND(ISNUMBER($G174),$G174&gt;=MA_MED),AVERAGE(INDEX($C$5:$C174,171-MA_MED):$C174),"")</f>
        <v>95463405.82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0.187200714036343</v>
      </c>
      <c r="M174" s="52" t="n">
        <f aca="false">IF(AND(ISNUMBER($G174),$G174&gt;=60),MAX(INDEX($D$5:$D174,171-60):$D174),"")</f>
        <v>103819483</v>
      </c>
      <c r="N174" s="52" t="n">
        <f aca="false">IF(AND(ISNUMBER($G174),$G174&gt;=60),MIN(INDEX($E$5:$E174,171-60):$E174),"")</f>
        <v>89337673</v>
      </c>
      <c r="O174" s="53" t="n">
        <f aca="false">IF(OR(NOT(ISNUMBER($C174)),NOT(ISNUMBER($M174)),$M174=0),"",$C174/$M174-1)</f>
        <v>-0.00289976400672309</v>
      </c>
      <c r="P174" s="54"/>
      <c r="Q174" s="53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103194231</v>
      </c>
      <c r="D175" s="49" t="n">
        <v>103450973</v>
      </c>
      <c r="E175" s="49" t="n">
        <v>103176052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-0.00313180944560487</v>
      </c>
      <c r="I175" s="52" t="n">
        <f aca="false">IF(AND(ISNUMBER($G175),$G175&gt;=MA_SHORT),AVERAGE(INDEX($C$5:$C175,172-MA_SHORT):$C175),"")</f>
        <v>99973845.8</v>
      </c>
      <c r="J175" s="52" t="n">
        <f aca="false">IF(AND(ISNUMBER($G175),$G175&gt;=MA_MED),AVERAGE(INDEX($C$5:$C175,172-MA_MED):$C175),"")</f>
        <v>95638016.26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0.180244568963933</v>
      </c>
      <c r="M175" s="52" t="n">
        <f aca="false">IF(AND(ISNUMBER($G175),$G175&gt;=60),MAX(INDEX($D$5:$D175,172-60):$D175),"")</f>
        <v>103819483</v>
      </c>
      <c r="N175" s="52" t="n">
        <f aca="false">IF(AND(ISNUMBER($G175),$G175&gt;=60),MIN(INDEX($E$5:$E175,172-60):$E175),"")</f>
        <v>89337673</v>
      </c>
      <c r="O175" s="53" t="n">
        <f aca="false">IF(OR(NOT(ISNUMBER($C175)),NOT(ISNUMBER($M175)),$M175=0),"",$C175/$M175-1)</f>
        <v>-0.00602249194402171</v>
      </c>
      <c r="P175" s="54"/>
      <c r="Q175" s="53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101362814</v>
      </c>
      <c r="D176" s="49" t="n">
        <v>101475907</v>
      </c>
      <c r="E176" s="49" t="n">
        <v>100883280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-0.017747280853326</v>
      </c>
      <c r="I176" s="52" t="n">
        <f aca="false">IF(AND(ISNUMBER($G176),$G176&gt;=MA_SHORT),AVERAGE(INDEX($C$5:$C176,173-MA_SHORT):$C176),"")</f>
        <v>100223713.05</v>
      </c>
      <c r="J176" s="52" t="n">
        <f aca="false">IF(AND(ISNUMBER($G176),$G176&gt;=MA_MED),AVERAGE(INDEX($C$5:$C176,173-MA_MED):$C176),"")</f>
        <v>95824799.46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0.192997491005433</v>
      </c>
      <c r="M176" s="52" t="n">
        <f aca="false">IF(AND(ISNUMBER($G176),$G176&gt;=60),MAX(INDEX($D$5:$D176,173-60):$D176),"")</f>
        <v>103819483</v>
      </c>
      <c r="N176" s="52" t="n">
        <f aca="false">IF(AND(ISNUMBER($G176),$G176&gt;=60),MIN(INDEX($E$5:$E176,173-60):$E176),"")</f>
        <v>89337673</v>
      </c>
      <c r="O176" s="53" t="n">
        <f aca="false">IF(OR(NOT(ISNUMBER($C176)),NOT(ISNUMBER($M176)),$M176=0),"",$C176/$M176-1)</f>
        <v>-0.0236628899413802</v>
      </c>
      <c r="P176" s="54"/>
      <c r="Q176" s="53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101622190</v>
      </c>
      <c r="D177" s="49" t="n">
        <v>101710594</v>
      </c>
      <c r="E177" s="49" t="n">
        <v>101147315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0.00255888712797581</v>
      </c>
      <c r="I177" s="52" t="n">
        <f aca="false">IF(AND(ISNUMBER($G177),$G177&gt;=MA_SHORT),AVERAGE(INDEX($C$5:$C177,174-MA_SHORT):$C177),"")</f>
        <v>100554827.5</v>
      </c>
      <c r="J177" s="52" t="n">
        <f aca="false">IF(AND(ISNUMBER($G177),$G177&gt;=MA_MED),AVERAGE(INDEX($C$5:$C177,174-MA_MED):$C177),"")</f>
        <v>95999997.12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0.182864633379055</v>
      </c>
      <c r="M177" s="52" t="n">
        <f aca="false">IF(AND(ISNUMBER($G177),$G177&gt;=60),MAX(INDEX($D$5:$D177,174-60):$D177),"")</f>
        <v>103819483</v>
      </c>
      <c r="N177" s="52" t="n">
        <f aca="false">IF(AND(ISNUMBER($G177),$G177&gt;=60),MIN(INDEX($E$5:$E177,174-60):$E177),"")</f>
        <v>89337673</v>
      </c>
      <c r="O177" s="53" t="n">
        <f aca="false">IF(OR(NOT(ISNUMBER($C177)),NOT(ISNUMBER($M177)),$M177=0),"",$C177/$M177-1)</f>
        <v>-0.0211645534778863</v>
      </c>
      <c r="P177" s="54"/>
      <c r="Q177" s="53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100136843</v>
      </c>
      <c r="D178" s="49" t="n">
        <v>100488955</v>
      </c>
      <c r="E178" s="49" t="n">
        <v>100061675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-0.0146163647919809</v>
      </c>
      <c r="I178" s="52" t="n">
        <f aca="false">IF(AND(ISNUMBER($G178),$G178&gt;=MA_SHORT),AVERAGE(INDEX($C$5:$C178,175-MA_SHORT):$C178),"")</f>
        <v>100718057.95</v>
      </c>
      <c r="J178" s="52" t="n">
        <f aca="false">IF(AND(ISNUMBER($G178),$G178&gt;=MA_MED),AVERAGE(INDEX($C$5:$C178,175-MA_MED):$C178),"")</f>
        <v>96125976.38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0.182950231758269</v>
      </c>
      <c r="M178" s="52" t="n">
        <f aca="false">IF(AND(ISNUMBER($G178),$G178&gt;=60),MAX(INDEX($D$5:$D178,175-60):$D178),"")</f>
        <v>103819483</v>
      </c>
      <c r="N178" s="52" t="n">
        <f aca="false">IF(AND(ISNUMBER($G178),$G178&gt;=60),MIN(INDEX($E$5:$E178,175-60):$E178),"")</f>
        <v>89337673</v>
      </c>
      <c r="O178" s="53" t="n">
        <f aca="false">IF(OR(NOT(ISNUMBER($C178)),NOT(ISNUMBER($M178)),$M178=0),"",$C178/$M178-1)</f>
        <v>-0.0354715694355751</v>
      </c>
      <c r="P178" s="54"/>
      <c r="Q178" s="53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98693486</v>
      </c>
      <c r="D179" s="49" t="n">
        <v>99236279</v>
      </c>
      <c r="E179" s="49" t="n">
        <v>98470082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-0.0144138456611819</v>
      </c>
      <c r="I179" s="52" t="n">
        <f aca="false">IF(AND(ISNUMBER($G179),$G179&gt;=MA_SHORT),AVERAGE(INDEX($C$5:$C179,176-MA_SHORT):$C179),"")</f>
        <v>100801240.5</v>
      </c>
      <c r="J179" s="52" t="n">
        <f aca="false">IF(AND(ISNUMBER($G179),$G179&gt;=MA_MED),AVERAGE(INDEX($C$5:$C179,176-MA_MED):$C179),"")</f>
        <v>96273481.86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0.191475125371887</v>
      </c>
      <c r="M179" s="52" t="n">
        <f aca="false">IF(AND(ISNUMBER($G179),$G179&gt;=60),MAX(INDEX($D$5:$D179,176-60):$D179),"")</f>
        <v>103819483</v>
      </c>
      <c r="N179" s="52" t="n">
        <f aca="false">IF(AND(ISNUMBER($G179),$G179&gt;=60),MIN(INDEX($E$5:$E179,176-60):$E179),"")</f>
        <v>89337673</v>
      </c>
      <c r="O179" s="53" t="n">
        <f aca="false">IF(OR(NOT(ISNUMBER($C179)),NOT(ISNUMBER($M179)),$M179=0),"",$C179/$M179-1)</f>
        <v>-0.0493741333695527</v>
      </c>
      <c r="P179" s="54"/>
      <c r="Q179" s="53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100876882</v>
      </c>
      <c r="D180" s="49" t="n">
        <v>100878136</v>
      </c>
      <c r="E180" s="49" t="n">
        <v>99884110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0.0221230000934409</v>
      </c>
      <c r="I180" s="52" t="n">
        <f aca="false">IF(AND(ISNUMBER($G180),$G180&gt;=MA_SHORT),AVERAGE(INDEX($C$5:$C180,177-MA_SHORT):$C180),"")</f>
        <v>101028167.7</v>
      </c>
      <c r="J180" s="52" t="n">
        <f aca="false">IF(AND(ISNUMBER($G180),$G180&gt;=MA_MED),AVERAGE(INDEX($C$5:$C180,177-MA_MED):$C180),"")</f>
        <v>96469749.16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0.202662750367092</v>
      </c>
      <c r="M180" s="52" t="n">
        <f aca="false">IF(AND(ISNUMBER($G180),$G180&gt;=60),MAX(INDEX($D$5:$D180,177-60):$D180),"")</f>
        <v>103819483</v>
      </c>
      <c r="N180" s="52" t="n">
        <f aca="false">IF(AND(ISNUMBER($G180),$G180&gt;=60),MIN(INDEX($E$5:$E180,177-60):$E180),"")</f>
        <v>89337673</v>
      </c>
      <c r="O180" s="53" t="n">
        <f aca="false">IF(OR(NOT(ISNUMBER($C180)),NOT(ISNUMBER($M180)),$M180=0),"",$C180/$M180-1)</f>
        <v>-0.0283434372332599</v>
      </c>
      <c r="P180" s="54"/>
      <c r="Q180" s="53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100425963</v>
      </c>
      <c r="D181" s="49" t="n">
        <v>100524855</v>
      </c>
      <c r="E181" s="49" t="n">
        <v>99824540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-0.0044699934321919</v>
      </c>
      <c r="I181" s="52" t="n">
        <f aca="false">IF(AND(ISNUMBER($G181),$G181&gt;=MA_SHORT),AVERAGE(INDEX($C$5:$C181,178-MA_SHORT):$C181),"")</f>
        <v>101165077.1</v>
      </c>
      <c r="J181" s="52" t="n">
        <f aca="false">IF(AND(ISNUMBER($G181),$G181&gt;=MA_MED),AVERAGE(INDEX($C$5:$C181,178-MA_MED):$C181),"")</f>
        <v>96627089.32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0.199287981095422</v>
      </c>
      <c r="M181" s="52" t="n">
        <f aca="false">IF(AND(ISNUMBER($G181),$G181&gt;=60),MAX(INDEX($D$5:$D181,178-60):$D181),"")</f>
        <v>103819483</v>
      </c>
      <c r="N181" s="52" t="n">
        <f aca="false">IF(AND(ISNUMBER($G181),$G181&gt;=60),MIN(INDEX($E$5:$E181,178-60):$E181),"")</f>
        <v>89337673</v>
      </c>
      <c r="O181" s="53" t="n">
        <f aca="false">IF(OR(NOT(ISNUMBER($C181)),NOT(ISNUMBER($M181)),$M181=0),"",$C181/$M181-1)</f>
        <v>-0.0326867356871735</v>
      </c>
      <c r="P181" s="54"/>
      <c r="Q181" s="53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100312429</v>
      </c>
      <c r="D182" s="49" t="n">
        <v>100890268</v>
      </c>
      <c r="E182" s="49" t="n">
        <v>99964992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-0.00113052438441641</v>
      </c>
      <c r="I182" s="52" t="n">
        <f aca="false">IF(AND(ISNUMBER($G182),$G182&gt;=MA_SHORT),AVERAGE(INDEX($C$5:$C182,179-MA_SHORT):$C182),"")</f>
        <v>101218171.85</v>
      </c>
      <c r="J182" s="52" t="n">
        <f aca="false">IF(AND(ISNUMBER($G182),$G182&gt;=MA_MED),AVERAGE(INDEX($C$5:$C182,179-MA_MED):$C182),"")</f>
        <v>96780876.96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0.19206235909901</v>
      </c>
      <c r="M182" s="52" t="n">
        <f aca="false">IF(AND(ISNUMBER($G182),$G182&gt;=60),MAX(INDEX($D$5:$D182,179-60):$D182),"")</f>
        <v>103819483</v>
      </c>
      <c r="N182" s="52" t="n">
        <f aca="false">IF(AND(ISNUMBER($G182),$G182&gt;=60),MIN(INDEX($E$5:$E182,179-60):$E182),"")</f>
        <v>89337673</v>
      </c>
      <c r="O182" s="53" t="n">
        <f aca="false">IF(OR(NOT(ISNUMBER($C182)),NOT(ISNUMBER($M182)),$M182=0),"",$C182/$M182-1)</f>
        <v>-0.0337803069198486</v>
      </c>
      <c r="P182" s="54"/>
      <c r="Q182" s="53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97948774</v>
      </c>
      <c r="D183" s="49" t="n">
        <v>98173807</v>
      </c>
      <c r="E183" s="49" t="n">
        <v>97630224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-0.0235629325654152</v>
      </c>
      <c r="I183" s="52" t="n">
        <f aca="false">IF(AND(ISNUMBER($G183),$G183&gt;=MA_SHORT),AVERAGE(INDEX($C$5:$C183,180-MA_SHORT):$C183),"")</f>
        <v>101107737.25</v>
      </c>
      <c r="J183" s="52" t="n">
        <f aca="false">IF(AND(ISNUMBER($G183),$G183&gt;=MA_MED),AVERAGE(INDEX($C$5:$C183,180-MA_MED):$C183),"")</f>
        <v>96896313.36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0.206857880728408</v>
      </c>
      <c r="M183" s="52" t="n">
        <f aca="false">IF(AND(ISNUMBER($G183),$G183&gt;=60),MAX(INDEX($D$5:$D183,180-60):$D183),"")</f>
        <v>103819483</v>
      </c>
      <c r="N183" s="52" t="n">
        <f aca="false">IF(AND(ISNUMBER($G183),$G183&gt;=60),MIN(INDEX($E$5:$E183,180-60):$E183),"")</f>
        <v>89337673</v>
      </c>
      <c r="O183" s="53" t="n">
        <f aca="false">IF(OR(NOT(ISNUMBER($C183)),NOT(ISNUMBER($M183)),$M183=0),"",$C183/$M183-1)</f>
        <v>-0.0565472763912723</v>
      </c>
      <c r="P183" s="54"/>
      <c r="Q183" s="53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96623061</v>
      </c>
      <c r="D184" s="49" t="n">
        <v>96630404</v>
      </c>
      <c r="E184" s="49" t="n">
        <v>96569593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-0.0135347584850832</v>
      </c>
      <c r="I184" s="52" t="n">
        <f aca="false">IF(AND(ISNUMBER($G184),$G184&gt;=MA_SHORT),AVERAGE(INDEX($C$5:$C184,181-MA_SHORT):$C184),"")</f>
        <v>100957062.25</v>
      </c>
      <c r="J184" s="52" t="n">
        <f aca="false">IF(AND(ISNUMBER($G184),$G184&gt;=MA_MED),AVERAGE(INDEX($C$5:$C184,181-MA_MED):$C184),"")</f>
        <v>96984907.32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0.211038199626308</v>
      </c>
      <c r="M184" s="52" t="n">
        <f aca="false">IF(AND(ISNUMBER($G184),$G184&gt;=60),MAX(INDEX($D$5:$D184,181-60):$D184),"")</f>
        <v>103819483</v>
      </c>
      <c r="N184" s="52" t="n">
        <f aca="false">IF(AND(ISNUMBER($G184),$G184&gt;=60),MIN(INDEX($E$5:$E184,181-60):$E184),"")</f>
        <v>89337673</v>
      </c>
      <c r="O184" s="53" t="n">
        <f aca="false">IF(OR(NOT(ISNUMBER($C184)),NOT(ISNUMBER($M184)),$M184=0),"",$C184/$M184-1)</f>
        <v>-0.0693166811474104</v>
      </c>
      <c r="P184" s="54"/>
      <c r="Q184" s="53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96533763</v>
      </c>
      <c r="D185" s="49" t="n">
        <v>96566358</v>
      </c>
      <c r="E185" s="49" t="n">
        <v>95842107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-0.000924189309216783</v>
      </c>
      <c r="I185" s="52" t="n">
        <f aca="false">IF(AND(ISNUMBER($G185),$G185&gt;=MA_SHORT),AVERAGE(INDEX($C$5:$C185,182-MA_SHORT):$C185),"")</f>
        <v>100791254.05</v>
      </c>
      <c r="J185" s="52" t="n">
        <f aca="false">IF(AND(ISNUMBER($G185),$G185&gt;=MA_MED),AVERAGE(INDEX($C$5:$C185,182-MA_MED):$C185),"")</f>
        <v>97108324.08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0.210638210934859</v>
      </c>
      <c r="M185" s="52" t="n">
        <f aca="false">IF(AND(ISNUMBER($G185),$G185&gt;=60),MAX(INDEX($D$5:$D185,182-60):$D185),"")</f>
        <v>103819483</v>
      </c>
      <c r="N185" s="52" t="n">
        <f aca="false">IF(AND(ISNUMBER($G185),$G185&gt;=60),MIN(INDEX($E$5:$E185,182-60):$E185),"")</f>
        <v>89337673</v>
      </c>
      <c r="O185" s="53" t="n">
        <f aca="false">IF(OR(NOT(ISNUMBER($C185)),NOT(ISNUMBER($M185)),$M185=0),"",$C185/$M185-1)</f>
        <v>-0.0701768087209604</v>
      </c>
      <c r="P185" s="54"/>
      <c r="Q185" s="53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99670232</v>
      </c>
      <c r="D186" s="49" t="n">
        <v>99702124</v>
      </c>
      <c r="E186" s="49" t="n">
        <v>99061719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0.0324909016547921</v>
      </c>
      <c r="I186" s="52" t="n">
        <f aca="false">IF(AND(ISNUMBER($G186),$G186&gt;=MA_SHORT),AVERAGE(INDEX($C$5:$C186,183-MA_SHORT):$C186),"")</f>
        <v>100777632.25</v>
      </c>
      <c r="J186" s="52" t="n">
        <f aca="false">IF(AND(ISNUMBER($G186),$G186&gt;=MA_MED),AVERAGE(INDEX($C$5:$C186,183-MA_MED):$C186),"")</f>
        <v>97298181.54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0.242138348152777</v>
      </c>
      <c r="M186" s="52" t="n">
        <f aca="false">IF(AND(ISNUMBER($G186),$G186&gt;=60),MAX(INDEX($D$5:$D186,183-60):$D186),"")</f>
        <v>103819483</v>
      </c>
      <c r="N186" s="52" t="n">
        <f aca="false">IF(AND(ISNUMBER($G186),$G186&gt;=60),MIN(INDEX($E$5:$E186,183-60):$E186),"")</f>
        <v>89337673</v>
      </c>
      <c r="O186" s="53" t="n">
        <f aca="false">IF(OR(NOT(ISNUMBER($C186)),NOT(ISNUMBER($M186)),$M186=0),"",$C186/$M186-1)</f>
        <v>-0.0399660148567683</v>
      </c>
      <c r="P186" s="54"/>
      <c r="Q186" s="53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99650582</v>
      </c>
      <c r="D187" s="49" t="n">
        <v>100001495</v>
      </c>
      <c r="E187" s="49" t="n">
        <v>98984117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-0.000197150138067315</v>
      </c>
      <c r="I187" s="52" t="n">
        <f aca="false">IF(AND(ISNUMBER($G187),$G187&gt;=MA_SHORT),AVERAGE(INDEX($C$5:$C187,184-MA_SHORT):$C187),"")</f>
        <v>100679706.85</v>
      </c>
      <c r="J187" s="52" t="n">
        <f aca="false">IF(AND(ISNUMBER($G187),$G187&gt;=MA_MED),AVERAGE(INDEX($C$5:$C187,184-MA_MED):$C187),"")</f>
        <v>97491916.32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0.23420699456506</v>
      </c>
      <c r="M187" s="52" t="n">
        <f aca="false">IF(AND(ISNUMBER($G187),$G187&gt;=60),MAX(INDEX($D$5:$D187,184-60):$D187),"")</f>
        <v>103819483</v>
      </c>
      <c r="N187" s="52" t="n">
        <f aca="false">IF(AND(ISNUMBER($G187),$G187&gt;=60),MIN(INDEX($E$5:$E187,184-60):$E187),"")</f>
        <v>89337673</v>
      </c>
      <c r="O187" s="53" t="n">
        <f aca="false">IF(OR(NOT(ISNUMBER($C187)),NOT(ISNUMBER($M187)),$M187=0),"",$C187/$M187-1)</f>
        <v>-0.0401552856894886</v>
      </c>
      <c r="P187" s="54"/>
      <c r="Q187" s="53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98131714</v>
      </c>
      <c r="D188" s="49" t="n">
        <v>98188090</v>
      </c>
      <c r="E188" s="49" t="n">
        <v>97781726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-0.0152419380751836</v>
      </c>
      <c r="I188" s="52" t="n">
        <f aca="false">IF(AND(ISNUMBER($G188),$G188&gt;=MA_SHORT),AVERAGE(INDEX($C$5:$C188,185-MA_SHORT):$C188),"")</f>
        <v>100457169.95</v>
      </c>
      <c r="J188" s="52" t="n">
        <f aca="false">IF(AND(ISNUMBER($G188),$G188&gt;=MA_MED),AVERAGE(INDEX($C$5:$C188,185-MA_MED):$C188),"")</f>
        <v>97635558.48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0.23603638338926</v>
      </c>
      <c r="M188" s="52" t="n">
        <f aca="false">IF(AND(ISNUMBER($G188),$G188&gt;=60),MAX(INDEX($D$5:$D188,185-60):$D188),"")</f>
        <v>103819483</v>
      </c>
      <c r="N188" s="52" t="n">
        <f aca="false">IF(AND(ISNUMBER($G188),$G188&gt;=60),MIN(INDEX($E$5:$E188,185-60):$E188),"")</f>
        <v>89337673</v>
      </c>
      <c r="O188" s="53" t="n">
        <f aca="false">IF(OR(NOT(ISNUMBER($C188)),NOT(ISNUMBER($M188)),$M188=0),"",$C188/$M188-1)</f>
        <v>-0.0547851793868016</v>
      </c>
      <c r="P188" s="54"/>
      <c r="Q188" s="53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100120663</v>
      </c>
      <c r="D189" s="49" t="n">
        <v>100140778</v>
      </c>
      <c r="E189" s="49" t="n">
        <v>100075931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0.0202681571423484</v>
      </c>
      <c r="I189" s="52" t="n">
        <f aca="false">IF(AND(ISNUMBER($G189),$G189&gt;=MA_SHORT),AVERAGE(INDEX($C$5:$C189,186-MA_SHORT):$C189),"")</f>
        <v>100345778.75</v>
      </c>
      <c r="J189" s="52" t="n">
        <f aca="false">IF(AND(ISNUMBER($G189),$G189&gt;=MA_MED),AVERAGE(INDEX($C$5:$C189,186-MA_MED):$C189),"")</f>
        <v>97803221.42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0.248678914912106</v>
      </c>
      <c r="M189" s="52" t="n">
        <f aca="false">IF(AND(ISNUMBER($G189),$G189&gt;=60),MAX(INDEX($D$5:$D189,186-60):$D189),"")</f>
        <v>103819483</v>
      </c>
      <c r="N189" s="52" t="n">
        <f aca="false">IF(AND(ISNUMBER($G189),$G189&gt;=60),MIN(INDEX($E$5:$E189,186-60):$E189),"")</f>
        <v>89337673</v>
      </c>
      <c r="O189" s="53" t="n">
        <f aca="false">IF(OR(NOT(ISNUMBER($C189)),NOT(ISNUMBER($M189)),$M189=0),"",$C189/$M189-1)</f>
        <v>-0.0356274168693366</v>
      </c>
      <c r="P189" s="54"/>
      <c r="Q189" s="53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102571163</v>
      </c>
      <c r="D190" s="49" t="n">
        <v>102747957</v>
      </c>
      <c r="E190" s="49" t="n">
        <v>101749368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0.0244754671670522</v>
      </c>
      <c r="I190" s="52" t="n">
        <f aca="false">IF(AND(ISNUMBER($G190),$G190&gt;=MA_SHORT),AVERAGE(INDEX($C$5:$C190,187-MA_SHORT):$C190),"")</f>
        <v>100454070.7</v>
      </c>
      <c r="J190" s="52" t="n">
        <f aca="false">IF(AND(ISNUMBER($G190),$G190&gt;=MA_MED),AVERAGE(INDEX($C$5:$C190,187-MA_MED):$C190),"")</f>
        <v>98022836.24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0.254556175857625</v>
      </c>
      <c r="M190" s="52" t="n">
        <f aca="false">IF(AND(ISNUMBER($G190),$G190&gt;=60),MAX(INDEX($D$5:$D190,187-60):$D190),"")</f>
        <v>103819483</v>
      </c>
      <c r="N190" s="52" t="n">
        <f aca="false">IF(AND(ISNUMBER($G190),$G190&gt;=60),MIN(INDEX($E$5:$E190,187-60):$E190),"")</f>
        <v>89337673</v>
      </c>
      <c r="O190" s="53" t="n">
        <f aca="false">IF(OR(NOT(ISNUMBER($C190)),NOT(ISNUMBER($M190)),$M190=0),"",$C190/$M190-1)</f>
        <v>-0.0120239473741167</v>
      </c>
      <c r="P190" s="54"/>
      <c r="Q190" s="53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103894122</v>
      </c>
      <c r="D191" s="49" t="n">
        <v>104529061</v>
      </c>
      <c r="E191" s="49" t="n">
        <v>103353591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0.0128979623639442</v>
      </c>
      <c r="I191" s="52" t="n">
        <f aca="false">IF(AND(ISNUMBER($G191),$G191&gt;=MA_SHORT),AVERAGE(INDEX($C$5:$C191,188-MA_SHORT):$C191),"")</f>
        <v>100521766.95</v>
      </c>
      <c r="J191" s="52" t="n">
        <f aca="false">IF(AND(ISNUMBER($G191),$G191&gt;=MA_MED),AVERAGE(INDEX($C$5:$C191,188-MA_MED):$C191),"")</f>
        <v>98273930.62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0.247641845236561</v>
      </c>
      <c r="M191" s="52" t="n">
        <f aca="false">IF(AND(ISNUMBER($G191),$G191&gt;=60),MAX(INDEX($D$5:$D191,188-60):$D191),"")</f>
        <v>104529061</v>
      </c>
      <c r="N191" s="52" t="n">
        <f aca="false">IF(AND(ISNUMBER($G191),$G191&gt;=60),MIN(INDEX($E$5:$E191,188-60):$E191),"")</f>
        <v>89337673</v>
      </c>
      <c r="O191" s="53" t="n">
        <f aca="false">IF(OR(NOT(ISNUMBER($C191)),NOT(ISNUMBER($M191)),$M191=0),"",$C191/$M191-1)</f>
        <v>-0.00607428206018223</v>
      </c>
      <c r="P191" s="54"/>
      <c r="Q191" s="53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105422891</v>
      </c>
      <c r="D192" s="49" t="n">
        <v>105494900</v>
      </c>
      <c r="E192" s="49" t="n">
        <v>104642299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0.0147146823186013</v>
      </c>
      <c r="I192" s="52" t="n">
        <f aca="false">IF(AND(ISNUMBER($G192),$G192&gt;=MA_SHORT),AVERAGE(INDEX($C$5:$C192,189-MA_SHORT):$C192),"")</f>
        <v>100703947.95</v>
      </c>
      <c r="J192" s="52" t="n">
        <f aca="false">IF(AND(ISNUMBER($G192),$G192&gt;=MA_MED),AVERAGE(INDEX($C$5:$C192,189-MA_MED):$C192),"")</f>
        <v>98548416.66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0.250300654877736</v>
      </c>
      <c r="M192" s="52" t="n">
        <f aca="false">IF(AND(ISNUMBER($G192),$G192&gt;=60),MAX(INDEX($D$5:$D192,189-60):$D192),"")</f>
        <v>105494900</v>
      </c>
      <c r="N192" s="52" t="n">
        <f aca="false">IF(AND(ISNUMBER($G192),$G192&gt;=60),MIN(INDEX($E$5:$E192,189-60):$E192),"")</f>
        <v>89337673</v>
      </c>
      <c r="O192" s="53" t="n">
        <f aca="false">IF(OR(NOT(ISNUMBER($C192)),NOT(ISNUMBER($M192)),$M192=0),"",$C192/$M192-1)</f>
        <v>-0.000682582759924832</v>
      </c>
      <c r="P192" s="54"/>
      <c r="Q192" s="53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106391500</v>
      </c>
      <c r="D193" s="49" t="n">
        <v>107609493</v>
      </c>
      <c r="E193" s="49" t="n">
        <v>105563417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0.00918784327400024</v>
      </c>
      <c r="I193" s="52" t="n">
        <f aca="false">IF(AND(ISNUMBER($G193),$G193&gt;=MA_SHORT),AVERAGE(INDEX($C$5:$C193,190-MA_SHORT):$C193),"")</f>
        <v>100855086.7</v>
      </c>
      <c r="J193" s="52" t="n">
        <f aca="false">IF(AND(ISNUMBER($G193),$G193&gt;=MA_MED),AVERAGE(INDEX($C$5:$C193,190-MA_MED):$C193),"")</f>
        <v>98807734.58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0.246737537191824</v>
      </c>
      <c r="M193" s="52" t="n">
        <f aca="false">IF(AND(ISNUMBER($G193),$G193&gt;=60),MAX(INDEX($D$5:$D193,190-60):$D193),"")</f>
        <v>107609493</v>
      </c>
      <c r="N193" s="52" t="n">
        <f aca="false">IF(AND(ISNUMBER($G193),$G193&gt;=60),MIN(INDEX($E$5:$E193,190-60):$E193),"")</f>
        <v>89337673</v>
      </c>
      <c r="O193" s="53" t="n">
        <f aca="false">IF(OR(NOT(ISNUMBER($C193)),NOT(ISNUMBER($M193)),$M193=0),"",$C193/$M193-1)</f>
        <v>-0.011318638960598</v>
      </c>
      <c r="P193" s="54"/>
      <c r="Q193" s="53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105103361</v>
      </c>
      <c r="D194" s="49" t="n">
        <v>105831385</v>
      </c>
      <c r="E194" s="49" t="n">
        <v>105025311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-0.0121075367863034</v>
      </c>
      <c r="I194" s="52" t="n">
        <f aca="false">IF(AND(ISNUMBER($G194),$G194&gt;=MA_SHORT),AVERAGE(INDEX($C$5:$C194,191-MA_SHORT):$C194),"")</f>
        <v>100934333.2</v>
      </c>
      <c r="J194" s="52" t="n">
        <f aca="false">IF(AND(ISNUMBER($G194),$G194&gt;=MA_MED),AVERAGE(INDEX($C$5:$C194,191-MA_MED):$C194),"")</f>
        <v>99030519.76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0.251335300604505</v>
      </c>
      <c r="M194" s="52" t="n">
        <f aca="false">IF(AND(ISNUMBER($G194),$G194&gt;=60),MAX(INDEX($D$5:$D194,191-60):$D194),"")</f>
        <v>107609493</v>
      </c>
      <c r="N194" s="52" t="n">
        <f aca="false">IF(AND(ISNUMBER($G194),$G194&gt;=60),MIN(INDEX($E$5:$E194,191-60):$E194),"")</f>
        <v>89337673</v>
      </c>
      <c r="O194" s="53" t="n">
        <f aca="false">IF(OR(NOT(ISNUMBER($C194)),NOT(ISNUMBER($M194)),$M194=0),"",$C194/$M194-1)</f>
        <v>-0.0232891349093151</v>
      </c>
      <c r="P194" s="54"/>
      <c r="Q194" s="53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104298732</v>
      </c>
      <c r="D195" s="49" t="n">
        <v>104509222</v>
      </c>
      <c r="E195" s="49" t="n">
        <v>103525498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-0.00765559723632436</v>
      </c>
      <c r="I195" s="52" t="n">
        <f aca="false">IF(AND(ISNUMBER($G195),$G195&gt;=MA_SHORT),AVERAGE(INDEX($C$5:$C195,192-MA_SHORT):$C195),"")</f>
        <v>100989558.25</v>
      </c>
      <c r="J195" s="52" t="n">
        <f aca="false">IF(AND(ISNUMBER($G195),$G195&gt;=MA_MED),AVERAGE(INDEX($C$5:$C195,192-MA_MED):$C195),"")</f>
        <v>99276555.12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0.252761533040703</v>
      </c>
      <c r="M195" s="52" t="n">
        <f aca="false">IF(AND(ISNUMBER($G195),$G195&gt;=60),MAX(INDEX($D$5:$D195,192-60):$D195),"")</f>
        <v>107609493</v>
      </c>
      <c r="N195" s="52" t="n">
        <f aca="false">IF(AND(ISNUMBER($G195),$G195&gt;=60),MIN(INDEX($E$5:$E195,192-60):$E195),"")</f>
        <v>89337673</v>
      </c>
      <c r="O195" s="53" t="n">
        <f aca="false">IF(OR(NOT(ISNUMBER($C195)),NOT(ISNUMBER($M195)),$M195=0),"",$C195/$M195-1)</f>
        <v>-0.0307664399087914</v>
      </c>
      <c r="P195" s="54"/>
      <c r="Q195" s="53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104542380</v>
      </c>
      <c r="D196" s="49" t="n">
        <v>104715779</v>
      </c>
      <c r="E196" s="49" t="n">
        <v>103607259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0.00233605908075663</v>
      </c>
      <c r="I196" s="52" t="n">
        <f aca="false">IF(AND(ISNUMBER($G196),$G196&gt;=MA_SHORT),AVERAGE(INDEX($C$5:$C196,193-MA_SHORT):$C196),"")</f>
        <v>101148536.55</v>
      </c>
      <c r="J196" s="52" t="n">
        <f aca="false">IF(AND(ISNUMBER($G196),$G196&gt;=MA_MED),AVERAGE(INDEX($C$5:$C196,193-MA_MED):$C196),"")</f>
        <v>99518530.46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0.243511142629848</v>
      </c>
      <c r="M196" s="52" t="n">
        <f aca="false">IF(AND(ISNUMBER($G196),$G196&gt;=60),MAX(INDEX($D$5:$D196,193-60):$D196),"")</f>
        <v>107609493</v>
      </c>
      <c r="N196" s="52" t="n">
        <f aca="false">IF(AND(ISNUMBER($G196),$G196&gt;=60),MIN(INDEX($E$5:$E196,193-60):$E196),"")</f>
        <v>89337673</v>
      </c>
      <c r="O196" s="53" t="n">
        <f aca="false">IF(OR(NOT(ISNUMBER($C196)),NOT(ISNUMBER($M196)),$M196=0),"",$C196/$M196-1)</f>
        <v>-0.0285022530493662</v>
      </c>
      <c r="P196" s="54"/>
      <c r="Q196" s="53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104362178</v>
      </c>
      <c r="D197" s="49" t="n">
        <v>105092611</v>
      </c>
      <c r="E197" s="49" t="n">
        <v>103716318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-0.00172372199676341</v>
      </c>
      <c r="I197" s="52" t="n">
        <f aca="false">IF(AND(ISNUMBER($G197),$G197&gt;=MA_SHORT),AVERAGE(INDEX($C$5:$C197,194-MA_SHORT):$C197),"")</f>
        <v>101285535.95</v>
      </c>
      <c r="J197" s="52" t="n">
        <f aca="false">IF(AND(ISNUMBER($G197),$G197&gt;=MA_MED),AVERAGE(INDEX($C$5:$C197,194-MA_MED):$C197),"")</f>
        <v>99744285.92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0.243768459058122</v>
      </c>
      <c r="M197" s="52" t="n">
        <f aca="false">IF(AND(ISNUMBER($G197),$G197&gt;=60),MAX(INDEX($D$5:$D197,194-60):$D197),"")</f>
        <v>107609493</v>
      </c>
      <c r="N197" s="52" t="n">
        <f aca="false">IF(AND(ISNUMBER($G197),$G197&gt;=60),MIN(INDEX($E$5:$E197,194-60):$E197),"")</f>
        <v>90217614</v>
      </c>
      <c r="O197" s="53" t="n">
        <f aca="false">IF(OR(NOT(ISNUMBER($C197)),NOT(ISNUMBER($M197)),$M197=0),"",$C197/$M197-1)</f>
        <v>-0.0301768450855912</v>
      </c>
      <c r="P197" s="54"/>
      <c r="Q197" s="53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104091921</v>
      </c>
      <c r="D198" s="49" t="n">
        <v>104376322</v>
      </c>
      <c r="E198" s="49" t="n">
        <v>103767566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-0.00258960674431308</v>
      </c>
      <c r="I198" s="52" t="n">
        <f aca="false">IF(AND(ISNUMBER($G198),$G198&gt;=MA_SHORT),AVERAGE(INDEX($C$5:$C198,195-MA_SHORT):$C198),"")</f>
        <v>101483289.85</v>
      </c>
      <c r="J198" s="52" t="n">
        <f aca="false">IF(AND(ISNUMBER($G198),$G198&gt;=MA_MED),AVERAGE(INDEX($C$5:$C198,195-MA_MED):$C198),"")</f>
        <v>99967166.34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0.237092900105344</v>
      </c>
      <c r="M198" s="52" t="n">
        <f aca="false">IF(AND(ISNUMBER($G198),$G198&gt;=60),MAX(INDEX($D$5:$D198,195-60):$D198),"")</f>
        <v>107609493</v>
      </c>
      <c r="N198" s="52" t="n">
        <f aca="false">IF(AND(ISNUMBER($G198),$G198&gt;=60),MIN(INDEX($E$5:$E198,195-60):$E198),"")</f>
        <v>90891577</v>
      </c>
      <c r="O198" s="53" t="n">
        <f aca="false">IF(OR(NOT(ISNUMBER($C198)),NOT(ISNUMBER($M198)),$M198=0),"",$C198/$M198-1)</f>
        <v>-0.0326883056683485</v>
      </c>
      <c r="P198" s="54"/>
      <c r="Q198" s="53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105921012</v>
      </c>
      <c r="D199" s="49" t="n">
        <v>105927551</v>
      </c>
      <c r="E199" s="49" t="n">
        <v>105723647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0.0175718824518571</v>
      </c>
      <c r="I199" s="52" t="n">
        <f aca="false">IF(AND(ISNUMBER($G199),$G199&gt;=MA_SHORT),AVERAGE(INDEX($C$5:$C199,196-MA_SHORT):$C199),"")</f>
        <v>101844666.15</v>
      </c>
      <c r="J199" s="52" t="n">
        <f aca="false">IF(AND(ISNUMBER($G199),$G199&gt;=MA_MED),AVERAGE(INDEX($C$5:$C199,196-MA_MED):$C199),"")</f>
        <v>100234470.56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0.234877184565086</v>
      </c>
      <c r="M199" s="52" t="n">
        <f aca="false">IF(AND(ISNUMBER($G199),$G199&gt;=60),MAX(INDEX($D$5:$D199,196-60):$D199),"")</f>
        <v>107609493</v>
      </c>
      <c r="N199" s="52" t="n">
        <f aca="false">IF(AND(ISNUMBER($G199),$G199&gt;=60),MIN(INDEX($E$5:$E199,196-60):$E199),"")</f>
        <v>90891577</v>
      </c>
      <c r="O199" s="53" t="n">
        <f aca="false">IF(OR(NOT(ISNUMBER($C199)),NOT(ISNUMBER($M199)),$M199=0),"",$C199/$M199-1)</f>
        <v>-0.0156908182812459</v>
      </c>
      <c r="P199" s="54"/>
      <c r="Q199" s="53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104386398</v>
      </c>
      <c r="D200" s="49" t="n">
        <v>104812933</v>
      </c>
      <c r="E200" s="49" t="n">
        <v>104078924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-0.0144882867999788</v>
      </c>
      <c r="I200" s="52" t="n">
        <f aca="false">IF(AND(ISNUMBER($G200),$G200&gt;=MA_SHORT),AVERAGE(INDEX($C$5:$C200,197-MA_SHORT):$C200),"")</f>
        <v>102020141.95</v>
      </c>
      <c r="J200" s="52" t="n">
        <f aca="false">IF(AND(ISNUMBER($G200),$G200&gt;=MA_MED),AVERAGE(INDEX($C$5:$C200,197-MA_MED):$C200),"")</f>
        <v>100456924.6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0.232683649707249</v>
      </c>
      <c r="M200" s="52" t="n">
        <f aca="false">IF(AND(ISNUMBER($G200),$G200&gt;=60),MAX(INDEX($D$5:$D200,197-60):$D200),"")</f>
        <v>107609493</v>
      </c>
      <c r="N200" s="52" t="n">
        <f aca="false">IF(AND(ISNUMBER($G200),$G200&gt;=60),MIN(INDEX($E$5:$E200,197-60):$E200),"")</f>
        <v>90891577</v>
      </c>
      <c r="O200" s="53" t="n">
        <f aca="false">IF(OR(NOT(ISNUMBER($C200)),NOT(ISNUMBER($M200)),$M200=0),"",$C200/$M200-1)</f>
        <v>-0.0299517720058397</v>
      </c>
      <c r="P200" s="54"/>
      <c r="Q200" s="53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106024064</v>
      </c>
      <c r="D201" s="49" t="n">
        <v>106396796</v>
      </c>
      <c r="E201" s="49" t="n">
        <v>105817693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0.0156884999518807</v>
      </c>
      <c r="I201" s="52" t="n">
        <f aca="false">IF(AND(ISNUMBER($G201),$G201&gt;=MA_SHORT),AVERAGE(INDEX($C$5:$C201,198-MA_SHORT):$C201),"")</f>
        <v>102300047</v>
      </c>
      <c r="J201" s="52" t="n">
        <f aca="false">IF(AND(ISNUMBER($G201),$G201&gt;=MA_MED),AVERAGE(INDEX($C$5:$C201,198-MA_MED):$C201),"")</f>
        <v>100684908.66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0.236329838567325</v>
      </c>
      <c r="M201" s="52" t="n">
        <f aca="false">IF(AND(ISNUMBER($G201),$G201&gt;=60),MAX(INDEX($D$5:$D201,198-60):$D201),"")</f>
        <v>107609493</v>
      </c>
      <c r="N201" s="52" t="n">
        <f aca="false">IF(AND(ISNUMBER($G201),$G201&gt;=60),MIN(INDEX($E$5:$E201,198-60):$E201),"")</f>
        <v>91625530</v>
      </c>
      <c r="O201" s="53" t="n">
        <f aca="false">IF(OR(NOT(ISNUMBER($C201)),NOT(ISNUMBER($M201)),$M201=0),"",$C201/$M201-1)</f>
        <v>-0.0147331704276313</v>
      </c>
      <c r="P201" s="54"/>
      <c r="Q201" s="53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106414940</v>
      </c>
      <c r="D202" s="49" t="n">
        <v>107337675</v>
      </c>
      <c r="E202" s="49" t="n">
        <v>105911392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0.0036866724897473</v>
      </c>
      <c r="I202" s="52" t="n">
        <f aca="false">IF(AND(ISNUMBER($G202),$G202&gt;=MA_SHORT),AVERAGE(INDEX($C$5:$C202,199-MA_SHORT):$C202),"")</f>
        <v>102605172.55</v>
      </c>
      <c r="J202" s="52" t="n">
        <f aca="false">IF(AND(ISNUMBER($G202),$G202&gt;=MA_MED),AVERAGE(INDEX($C$5:$C202,199-MA_MED):$C202),"")</f>
        <v>100893011.9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0.235891513181527</v>
      </c>
      <c r="M202" s="52" t="n">
        <f aca="false">IF(AND(ISNUMBER($G202),$G202&gt;=60),MAX(INDEX($D$5:$D202,199-60):$D202),"")</f>
        <v>107609493</v>
      </c>
      <c r="N202" s="52" t="n">
        <f aca="false">IF(AND(ISNUMBER($G202),$G202&gt;=60),MIN(INDEX($E$5:$E202,199-60):$E202),"")</f>
        <v>91821367</v>
      </c>
      <c r="O202" s="53" t="n">
        <f aca="false">IF(OR(NOT(ISNUMBER($C202)),NOT(ISNUMBER($M202)),$M202=0),"",$C202/$M202-1)</f>
        <v>-0.0111008143119864</v>
      </c>
      <c r="P202" s="54"/>
      <c r="Q202" s="53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108139696</v>
      </c>
      <c r="D203" s="49" t="n">
        <v>108469678</v>
      </c>
      <c r="E203" s="49" t="n">
        <v>107865591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0.0162078369822885</v>
      </c>
      <c r="I203" s="52" t="n">
        <f aca="false">IF(AND(ISNUMBER($G203),$G203&gt;=MA_SHORT),AVERAGE(INDEX($C$5:$C203,200-MA_SHORT):$C203),"")</f>
        <v>103114718.65</v>
      </c>
      <c r="J203" s="52" t="n">
        <f aca="false">IF(AND(ISNUMBER($G203),$G203&gt;=MA_MED),AVERAGE(INDEX($C$5:$C203,200-MA_MED):$C203),"")</f>
        <v>101094538.44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0.218425721174231</v>
      </c>
      <c r="M203" s="52" t="n">
        <f aca="false">IF(AND(ISNUMBER($G203),$G203&gt;=60),MAX(INDEX($D$5:$D203,200-60):$D203),"")</f>
        <v>108469678</v>
      </c>
      <c r="N203" s="52" t="n">
        <f aca="false">IF(AND(ISNUMBER($G203),$G203&gt;=60),MIN(INDEX($E$5:$E203,200-60):$E203),"")</f>
        <v>91821367</v>
      </c>
      <c r="O203" s="53" t="n">
        <f aca="false">IF(OR(NOT(ISNUMBER($C203)),NOT(ISNUMBER($M203)),$M203=0),"",$C203/$M203-1)</f>
        <v>-0.0030421589340387</v>
      </c>
      <c r="P203" s="54"/>
      <c r="Q203" s="53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107868861</v>
      </c>
      <c r="D204" s="49" t="n">
        <v>108125476</v>
      </c>
      <c r="E204" s="49" t="n">
        <v>107452668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-0.00250449196750102</v>
      </c>
      <c r="I204" s="52" t="n">
        <f aca="false">IF(AND(ISNUMBER($G204),$G204&gt;=MA_SHORT),AVERAGE(INDEX($C$5:$C204,201-MA_SHORT):$C204),"")</f>
        <v>103677008.65</v>
      </c>
      <c r="J204" s="52" t="n">
        <f aca="false">IF(AND(ISNUMBER($G204),$G204&gt;=MA_MED),AVERAGE(INDEX($C$5:$C204,201-MA_MED):$C204),"")</f>
        <v>101324733.68</v>
      </c>
      <c r="K204" s="52" t="n">
        <f aca="false">IF(AND(ISNUMBER($G204),$G204&gt;=MA_LONG2),AVERAGE(INDEX($C$5:$C204,201-MA_LONG2):$C204),"")</f>
        <v>91621306.21</v>
      </c>
      <c r="L204" s="53" t="n">
        <f aca="false">IF(AND(ISNUMBER($G204),$G204&gt;=21),STDEV(INDEX($H$144:$H204,62-20):$H204)*SQRT(245),"")</f>
        <v>0.209553349035573</v>
      </c>
      <c r="M204" s="52" t="n">
        <f aca="false">IF(AND(ISNUMBER($G204),$G204&gt;=60),MAX(INDEX($D$5:$D204,201-60):$D204),"")</f>
        <v>108469678</v>
      </c>
      <c r="N204" s="52" t="n">
        <f aca="false">IF(AND(ISNUMBER($G204),$G204&gt;=60),MIN(INDEX($E$5:$E204,201-60):$E204),"")</f>
        <v>91821367</v>
      </c>
      <c r="O204" s="53" t="n">
        <f aca="false">IF(OR(NOT(ISNUMBER($C204)),NOT(ISNUMBER($M204)),$M204=0),"",$C204/$M204-1)</f>
        <v>-0.00553903183892557</v>
      </c>
      <c r="P204" s="54"/>
      <c r="Q204" s="53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109400778</v>
      </c>
      <c r="D205" s="49" t="n">
        <v>109760467</v>
      </c>
      <c r="E205" s="49" t="n">
        <v>109127781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0.0142016610335767</v>
      </c>
      <c r="I205" s="52" t="n">
        <f aca="false">IF(AND(ISNUMBER($G205),$G205&gt;=MA_SHORT),AVERAGE(INDEX($C$5:$C205,202-MA_SHORT):$C205),"")</f>
        <v>104320359.4</v>
      </c>
      <c r="J205" s="52" t="n">
        <f aca="false">IF(AND(ISNUMBER($G205),$G205&gt;=MA_MED),AVERAGE(INDEX($C$5:$C205,202-MA_MED):$C205),"")</f>
        <v>101608406.18</v>
      </c>
      <c r="K205" s="52" t="n">
        <f aca="false">IF(AND(ISNUMBER($G205),$G205&gt;=MA_LONG2),AVERAGE(INDEX($C$5:$C205,202-MA_LONG2):$C205),"")</f>
        <v>91780652.055</v>
      </c>
      <c r="L205" s="53" t="n">
        <f aca="false">IF(AND(ISNUMBER($G205),$G205&gt;=21),STDEV(INDEX($H$145:$H205,62-20):$H205)*SQRT(245),"")</f>
        <v>0.210162963865005</v>
      </c>
      <c r="M205" s="52" t="n">
        <f aca="false">IF(AND(ISNUMBER($G205),$G205&gt;=60),MAX(INDEX($D$5:$D205,202-60):$D205),"")</f>
        <v>109760467</v>
      </c>
      <c r="N205" s="52" t="n">
        <f aca="false">IF(AND(ISNUMBER($G205),$G205&gt;=60),MIN(INDEX($E$5:$E205,202-60):$E205),"")</f>
        <v>92270904</v>
      </c>
      <c r="O205" s="53" t="n">
        <f aca="false">IF(OR(NOT(ISNUMBER($C205)),NOT(ISNUMBER($M205)),$M205=0),"",$C205/$M205-1)</f>
        <v>-0.00327703598418549</v>
      </c>
      <c r="P205" s="54"/>
      <c r="Q205" s="53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110236850</v>
      </c>
      <c r="D206" s="49" t="n">
        <v>110443654</v>
      </c>
      <c r="E206" s="49" t="n">
        <v>109978350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0.0076422856883156</v>
      </c>
      <c r="I206" s="52" t="n">
        <f aca="false">IF(AND(ISNUMBER($G206),$G206&gt;=MA_SHORT),AVERAGE(INDEX($C$5:$C206,203-MA_SHORT):$C206),"")</f>
        <v>104848690.3</v>
      </c>
      <c r="J206" s="52" t="n">
        <f aca="false">IF(AND(ISNUMBER($G206),$G206&gt;=MA_MED),AVERAGE(INDEX($C$5:$C206,203-MA_MED):$C206),"")</f>
        <v>101885833.8</v>
      </c>
      <c r="K206" s="52" t="n">
        <f aca="false">IF(AND(ISNUMBER($G206),$G206&gt;=MA_LONG2),AVERAGE(INDEX($C$5:$C206,203-MA_LONG2):$C206),"")</f>
        <v>91934187.65</v>
      </c>
      <c r="L206" s="53" t="n">
        <f aca="false">IF(AND(ISNUMBER($G206),$G206&gt;=21),STDEV(INDEX($H$146:$H206,62-20):$H206)*SQRT(245),"")</f>
        <v>0.187049086323818</v>
      </c>
      <c r="M206" s="52" t="n">
        <f aca="false">IF(AND(ISNUMBER($G206),$G206&gt;=60),MAX(INDEX($D$6:$D206,202-60):$D206),"")</f>
        <v>110443654</v>
      </c>
      <c r="N206" s="52" t="n">
        <f aca="false">IF(AND(ISNUMBER($G206),$G206&gt;=60),MIN(INDEX($E$6:$E206,202-60):$E206),"")</f>
        <v>92371995</v>
      </c>
      <c r="O206" s="53" t="n">
        <f aca="false">IF(OR(NOT(ISNUMBER($C206)),NOT(ISNUMBER($M206)),$M206=0),"",$C206/$M206-1)</f>
        <v>-0.00187248422621</v>
      </c>
      <c r="P206" s="54"/>
      <c r="Q206" s="53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111667599</v>
      </c>
      <c r="D207" s="49" t="n">
        <v>111982569</v>
      </c>
      <c r="E207" s="49" t="n">
        <v>111430079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0.0129788632385632</v>
      </c>
      <c r="I207" s="52" t="n">
        <f aca="false">IF(AND(ISNUMBER($G207),$G207&gt;=MA_SHORT),AVERAGE(INDEX($C$5:$C207,204-MA_SHORT):$C207),"")</f>
        <v>105449541.15</v>
      </c>
      <c r="J207" s="52" t="n">
        <f aca="false">IF(AND(ISNUMBER($G207),$G207&gt;=MA_MED),AVERAGE(INDEX($C$5:$C207,204-MA_MED):$C207),"")</f>
        <v>102219187.76</v>
      </c>
      <c r="K207" s="52" t="n">
        <f aca="false">IF(AND(ISNUMBER($G207),$G207&gt;=MA_LONG2),AVERAGE(INDEX($C$5:$C207,204-MA_LONG2):$C207),"")</f>
        <v>92099323.975</v>
      </c>
      <c r="L207" s="53" t="n">
        <f aca="false">IF(AND(ISNUMBER($G207),$G207&gt;=21),STDEV(INDEX($H$147:$H207,62-20):$H207)*SQRT(245),"")</f>
        <v>0.187903613511032</v>
      </c>
      <c r="M207" s="52" t="n">
        <f aca="false">IF(AND(ISNUMBER($G207),$G207&gt;=60),MAX(INDEX($D$7:$D207,202-60):$D207),"")</f>
        <v>111982569</v>
      </c>
      <c r="N207" s="52" t="n">
        <f aca="false">IF(AND(ISNUMBER($G207),$G207&gt;=60),MIN(INDEX($E$7:$E207,202-60):$E207),"")</f>
        <v>92371995</v>
      </c>
      <c r="O207" s="53" t="n">
        <f aca="false">IF(OR(NOT(ISNUMBER($C207)),NOT(ISNUMBER($M207)),$M207=0),"",$C207/$M207-1)</f>
        <v>-0.00281266988972184</v>
      </c>
      <c r="P207" s="54"/>
      <c r="Q207" s="53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111520039</v>
      </c>
      <c r="D208" s="49" t="n">
        <v>111641462</v>
      </c>
      <c r="E208" s="49" t="n">
        <v>111348043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-0.00132142180293493</v>
      </c>
      <c r="I208" s="52" t="n">
        <f aca="false">IF(AND(ISNUMBER($G208),$G208&gt;=MA_SHORT),AVERAGE(INDEX($C$5:$C208,205-MA_SHORT):$C208),"")</f>
        <v>106118957.4</v>
      </c>
      <c r="J208" s="52" t="n">
        <f aca="false">IF(AND(ISNUMBER($G208),$G208&gt;=MA_MED),AVERAGE(INDEX($C$5:$C208,205-MA_MED):$C208),"")</f>
        <v>102512143.86</v>
      </c>
      <c r="K208" s="52" t="n">
        <f aca="false">IF(AND(ISNUMBER($G208),$G208&gt;=MA_LONG2),AVERAGE(INDEX($C$5:$C208,205-MA_LONG2):$C208),"")</f>
        <v>92270024.06</v>
      </c>
      <c r="L208" s="53" t="n">
        <f aca="false">IF(AND(ISNUMBER($G208),$G208&gt;=21),STDEV(INDEX($H$148:$H208,62-20):$H208)*SQRT(245),"")</f>
        <v>0.173596097079637</v>
      </c>
      <c r="M208" s="52" t="n">
        <f aca="false">IF(AND(ISNUMBER($G208),$G208&gt;=60),MAX(INDEX($D$8:$D208,202-60):$D208),"")</f>
        <v>111982569</v>
      </c>
      <c r="N208" s="52" t="n">
        <f aca="false">IF(AND(ISNUMBER($G208),$G208&gt;=60),MIN(INDEX($E$8:$E208,202-60):$E208),"")</f>
        <v>92371995</v>
      </c>
      <c r="O208" s="53" t="n">
        <f aca="false">IF(OR(NOT(ISNUMBER($C208)),NOT(ISNUMBER($M208)),$M208=0),"",$C208/$M208-1)</f>
        <v>-0.0041303749693401</v>
      </c>
      <c r="P208" s="54"/>
      <c r="Q208" s="53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111046841</v>
      </c>
      <c r="D209" s="49" t="n">
        <v>111603701</v>
      </c>
      <c r="E209" s="49" t="n">
        <v>111016552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-0.00424316566101635</v>
      </c>
      <c r="I209" s="52" t="n">
        <f aca="false">IF(AND(ISNUMBER($G209),$G209&gt;=MA_SHORT),AVERAGE(INDEX($C$5:$C209,206-MA_SHORT):$C209),"")</f>
        <v>106665266.3</v>
      </c>
      <c r="J209" s="52" t="n">
        <f aca="false">IF(AND(ISNUMBER($G209),$G209&gt;=MA_MED),AVERAGE(INDEX($C$5:$C209,206-MA_MED):$C209),"")</f>
        <v>102792483.98</v>
      </c>
      <c r="K209" s="52" t="n">
        <f aca="false">IF(AND(ISNUMBER($G209),$G209&gt;=MA_LONG2),AVERAGE(INDEX($C$5:$C209,206-MA_LONG2):$C209),"")</f>
        <v>92435130.63</v>
      </c>
      <c r="L209" s="53" t="n">
        <f aca="false">IF(AND(ISNUMBER($G209),$G209&gt;=21),STDEV(INDEX($H$149:$H209,62-20):$H209)*SQRT(245),"")</f>
        <v>0.169632850417811</v>
      </c>
      <c r="M209" s="52" t="n">
        <f aca="false">IF(AND(ISNUMBER($G209),$G209&gt;=60),MAX(INDEX($D$9:$D209,202-60):$D209),"")</f>
        <v>111982569</v>
      </c>
      <c r="N209" s="52" t="n">
        <f aca="false">IF(AND(ISNUMBER($G209),$G209&gt;=60),MIN(INDEX($E$9:$E209,202-60):$E209),"")</f>
        <v>93056946</v>
      </c>
      <c r="O209" s="53" t="n">
        <f aca="false">IF(OR(NOT(ISNUMBER($C209)),NOT(ISNUMBER($M209)),$M209=0),"",$C209/$M209-1)</f>
        <v>-0.00835601476511938</v>
      </c>
      <c r="P209" s="54"/>
      <c r="Q209" s="53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109231490</v>
      </c>
      <c r="D210" s="49" t="n">
        <v>109234439</v>
      </c>
      <c r="E210" s="49" t="n">
        <v>108790925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-0.0163476149672731</v>
      </c>
      <c r="I210" s="52" t="n">
        <f aca="false">IF(AND(ISNUMBER($G210),$G210&gt;=MA_SHORT),AVERAGE(INDEX($C$5:$C210,207-MA_SHORT):$C210),"")</f>
        <v>106998282.65</v>
      </c>
      <c r="J210" s="52" t="n">
        <f aca="false">IF(AND(ISNUMBER($G210),$G210&gt;=MA_MED),AVERAGE(INDEX($C$5:$C210,207-MA_MED):$C210),"")</f>
        <v>103050347.02</v>
      </c>
      <c r="K210" s="52" t="n">
        <f aca="false">IF(AND(ISNUMBER($G210),$G210&gt;=MA_LONG2),AVERAGE(INDEX($C$5:$C210,207-MA_LONG2):$C210),"")</f>
        <v>92588418.785</v>
      </c>
      <c r="L210" s="53" t="n">
        <f aca="false">IF(AND(ISNUMBER($G210),$G210&gt;=21),STDEV(INDEX($H$150:$H210,62-20):$H210)*SQRT(245),"")</f>
        <v>0.170138819387838</v>
      </c>
      <c r="M210" s="52" t="n">
        <f aca="false">IF(AND(ISNUMBER($G210),$G210&gt;=60),MAX(INDEX($D$10:$D210,202-60):$D210),"")</f>
        <v>111982569</v>
      </c>
      <c r="N210" s="52" t="n">
        <f aca="false">IF(AND(ISNUMBER($G210),$G210&gt;=60),MIN(INDEX($E$10:$E210,202-60):$E210),"")</f>
        <v>94062366</v>
      </c>
      <c r="O210" s="53" t="n">
        <f aca="false">IF(OR(NOT(ISNUMBER($C210)),NOT(ISNUMBER($M210)),$M210=0),"",$C210/$M210-1)</f>
        <v>-0.0245670288203514</v>
      </c>
      <c r="P210" s="54"/>
      <c r="Q210" s="53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107155206</v>
      </c>
      <c r="D211" s="49" t="n">
        <v>107882864</v>
      </c>
      <c r="E211" s="49" t="n">
        <v>106919034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-0.0190081083760736</v>
      </c>
      <c r="I211" s="52" t="n">
        <f aca="false">IF(AND(ISNUMBER($G211),$G211&gt;=MA_SHORT),AVERAGE(INDEX($C$5:$C211,208-MA_SHORT):$C211),"")</f>
        <v>107161336.85</v>
      </c>
      <c r="J211" s="52" t="n">
        <f aca="false">IF(AND(ISNUMBER($G211),$G211&gt;=MA_MED),AVERAGE(INDEX($C$5:$C211,208-MA_MED):$C211),"")</f>
        <v>103239695.64</v>
      </c>
      <c r="K211" s="52" t="n">
        <f aca="false">IF(AND(ISNUMBER($G211),$G211&gt;=MA_LONG2),AVERAGE(INDEX($C$5:$C211,208-MA_LONG2):$C211),"")</f>
        <v>92734982.355</v>
      </c>
      <c r="L211" s="53" t="n">
        <f aca="false">IF(AND(ISNUMBER($G211),$G211&gt;=21),STDEV(INDEX($H$151:$H211,62-20):$H211)*SQRT(245),"")</f>
        <v>0.182875013137835</v>
      </c>
      <c r="M211" s="52" t="n">
        <f aca="false">IF(AND(ISNUMBER($G211),$G211&gt;=60),MAX(INDEX($D$11:$D211,202-60):$D211),"")</f>
        <v>111982569</v>
      </c>
      <c r="N211" s="52" t="n">
        <f aca="false">IF(AND(ISNUMBER($G211),$G211&gt;=60),MIN(INDEX($E$11:$E211,202-60):$E211),"")</f>
        <v>94759992</v>
      </c>
      <c r="O211" s="53" t="n">
        <f aca="false">IF(OR(NOT(ISNUMBER($C211)),NOT(ISNUMBER($M211)),$M211=0),"",$C211/$M211-1)</f>
        <v>-0.0431081644501298</v>
      </c>
      <c r="P211" s="54"/>
      <c r="Q211" s="53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104732930</v>
      </c>
      <c r="D212" s="49" t="n">
        <v>105320847</v>
      </c>
      <c r="E212" s="49" t="n">
        <v>103834859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-0.0226053039364228</v>
      </c>
      <c r="I212" s="52" t="n">
        <f aca="false">IF(AND(ISNUMBER($G212),$G212&gt;=MA_SHORT),AVERAGE(INDEX($C$5:$C212,209-MA_SHORT):$C212),"")</f>
        <v>107126838.8</v>
      </c>
      <c r="J212" s="52" t="n">
        <f aca="false">IF(AND(ISNUMBER($G212),$G212&gt;=MA_MED),AVERAGE(INDEX($C$5:$C212,209-MA_MED):$C212),"")</f>
        <v>103349343.56</v>
      </c>
      <c r="K212" s="52" t="n">
        <f aca="false">IF(AND(ISNUMBER($G212),$G212&gt;=MA_LONG2),AVERAGE(INDEX($C$5:$C212,209-MA_LONG2):$C212),"")</f>
        <v>92865847.755</v>
      </c>
      <c r="L212" s="53" t="n">
        <f aca="false">IF(AND(ISNUMBER($G212),$G212&gt;=21),STDEV(INDEX($H$152:$H212,62-20):$H212)*SQRT(245),"")</f>
        <v>0.194662167645824</v>
      </c>
      <c r="M212" s="52" t="n">
        <f aca="false">IF(AND(ISNUMBER($G212),$G212&gt;=60),MAX(INDEX($D$12:$D212,202-60):$D212),"")</f>
        <v>111982569</v>
      </c>
      <c r="N212" s="52" t="n">
        <f aca="false">IF(AND(ISNUMBER($G212),$G212&gt;=60),MIN(INDEX($E$12:$E212,202-60):$E212),"")</f>
        <v>94759992</v>
      </c>
      <c r="O212" s="53" t="n">
        <f aca="false">IF(OR(NOT(ISNUMBER($C212)),NOT(ISNUMBER($M212)),$M212=0),"",$C212/$M212-1)</f>
        <v>-0.0647389952270161</v>
      </c>
      <c r="P212" s="54"/>
      <c r="Q212" s="53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104830390</v>
      </c>
      <c r="D213" s="49" t="n">
        <v>104841112</v>
      </c>
      <c r="E213" s="49" t="n">
        <v>104727235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0.00093055737101988</v>
      </c>
      <c r="I213" s="52" t="n">
        <f aca="false">IF(AND(ISNUMBER($G213),$G213&gt;=MA_SHORT),AVERAGE(INDEX($C$5:$C213,210-MA_SHORT):$C213),"")</f>
        <v>107048783.3</v>
      </c>
      <c r="J213" s="52" t="n">
        <f aca="false">IF(AND(ISNUMBER($G213),$G213&gt;=MA_MED),AVERAGE(INDEX($C$5:$C213,210-MA_MED):$C213),"")</f>
        <v>103442802.04</v>
      </c>
      <c r="K213" s="52" t="n">
        <f aca="false">IF(AND(ISNUMBER($G213),$G213&gt;=MA_LONG2),AVERAGE(INDEX($C$5:$C213,210-MA_LONG2):$C213),"")</f>
        <v>92994919.03</v>
      </c>
      <c r="L213" s="53" t="n">
        <f aca="false">IF(AND(ISNUMBER($G213),$G213&gt;=21),STDEV(INDEX($H$153:$H213,62-20):$H213)*SQRT(245),"")</f>
        <v>0.191618910441538</v>
      </c>
      <c r="M213" s="52" t="n">
        <f aca="false">IF(AND(ISNUMBER($G213),$G213&gt;=60),MAX(INDEX($D$13:$D213,202-60):$D213),"")</f>
        <v>111982569</v>
      </c>
      <c r="N213" s="52" t="n">
        <f aca="false">IF(AND(ISNUMBER($G213),$G213&gt;=60),MIN(INDEX($E$13:$E213,202-60):$E213),"")</f>
        <v>94759992</v>
      </c>
      <c r="O213" s="53" t="n">
        <f aca="false">IF(OR(NOT(ISNUMBER($C213)),NOT(ISNUMBER($M213)),$M213=0),"",$C213/$M213-1)</f>
        <v>-0.0638686812051972</v>
      </c>
      <c r="P213" s="54"/>
      <c r="Q213" s="53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105109759</v>
      </c>
      <c r="D214" s="49" t="n">
        <v>105336209</v>
      </c>
      <c r="E214" s="49" t="n">
        <v>104930686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0.00266496194471855</v>
      </c>
      <c r="I214" s="52" t="n">
        <f aca="false">IF(AND(ISNUMBER($G214),$G214&gt;=MA_SHORT),AVERAGE(INDEX($C$5:$C214,211-MA_SHORT):$C214),"")</f>
        <v>107049103.2</v>
      </c>
      <c r="J214" s="52" t="n">
        <f aca="false">IF(AND(ISNUMBER($G214),$G214&gt;=MA_MED),AVERAGE(INDEX($C$5:$C214,211-MA_MED):$C214),"")</f>
        <v>103552266</v>
      </c>
      <c r="K214" s="52" t="n">
        <f aca="false">IF(AND(ISNUMBER($G214),$G214&gt;=MA_LONG2),AVERAGE(INDEX($C$5:$C214,211-MA_LONG2):$C214),"")</f>
        <v>93133277.695</v>
      </c>
      <c r="L214" s="53" t="n">
        <f aca="false">IF(AND(ISNUMBER($G214),$G214&gt;=21),STDEV(INDEX($H$154:$H214,62-20):$H214)*SQRT(245),"")</f>
        <v>0.187170314823941</v>
      </c>
      <c r="M214" s="52" t="n">
        <f aca="false">IF(AND(ISNUMBER($G214),$G214&gt;=60),MAX(INDEX($D$14:$D214,202-60):$D214),"")</f>
        <v>111982569</v>
      </c>
      <c r="N214" s="52" t="n">
        <f aca="false">IF(AND(ISNUMBER($G214),$G214&gt;=60),MIN(INDEX($E$14:$E214,202-60):$E214),"")</f>
        <v>94759992</v>
      </c>
      <c r="O214" s="53" t="n">
        <f aca="false">IF(OR(NOT(ISNUMBER($C214)),NOT(ISNUMBER($M214)),$M214=0),"",$C214/$M214-1)</f>
        <v>-0.0613739268653499</v>
      </c>
      <c r="P214" s="54"/>
      <c r="Q214" s="53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103442989</v>
      </c>
      <c r="D215" s="49" t="n">
        <v>103570613</v>
      </c>
      <c r="E215" s="49" t="n">
        <v>103389043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-0.0158574238572843</v>
      </c>
      <c r="I215" s="52" t="n">
        <f aca="false">IF(AND(ISNUMBER($G215),$G215&gt;=MA_SHORT),AVERAGE(INDEX($C$5:$C215,212-MA_SHORT):$C215),"")</f>
        <v>107006316.05</v>
      </c>
      <c r="J215" s="52" t="n">
        <f aca="false">IF(AND(ISNUMBER($G215),$G215&gt;=MA_MED),AVERAGE(INDEX($C$5:$C215,212-MA_MED):$C215),"")</f>
        <v>103624127.24</v>
      </c>
      <c r="K215" s="52" t="n">
        <f aca="false">IF(AND(ISNUMBER($G215),$G215&gt;=MA_LONG2),AVERAGE(INDEX($C$5:$C215,212-MA_LONG2):$C215),"")</f>
        <v>93255023.725</v>
      </c>
      <c r="L215" s="53" t="n">
        <f aca="false">IF(AND(ISNUMBER($G215),$G215&gt;=21),STDEV(INDEX($H$155:$H215,62-20):$H215)*SQRT(245),"")</f>
        <v>0.193626290731914</v>
      </c>
      <c r="M215" s="52" t="n">
        <f aca="false">IF(AND(ISNUMBER($G215),$G215&gt;=60),MAX(INDEX($D$15:$D215,202-60):$D215),"")</f>
        <v>111982569</v>
      </c>
      <c r="N215" s="52" t="n">
        <f aca="false">IF(AND(ISNUMBER($G215),$G215&gt;=60),MIN(INDEX($E$15:$E215,202-60):$E215),"")</f>
        <v>94759992</v>
      </c>
      <c r="O215" s="53" t="n">
        <f aca="false">IF(OR(NOT(ISNUMBER($C215)),NOT(ISNUMBER($M215)),$M215=0),"",$C215/$M215-1)</f>
        <v>-0.0762581183505444</v>
      </c>
      <c r="P215" s="54"/>
      <c r="Q215" s="53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104602549</v>
      </c>
      <c r="D216" s="49" t="n">
        <v>104800032</v>
      </c>
      <c r="E216" s="49" t="n">
        <v>104424425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0.0112096528842569</v>
      </c>
      <c r="I216" s="52" t="n">
        <f aca="false">IF(AND(ISNUMBER($G216),$G216&gt;=MA_SHORT),AVERAGE(INDEX($C$5:$C216,213-MA_SHORT):$C216),"")</f>
        <v>107009324.5</v>
      </c>
      <c r="J216" s="52" t="n">
        <f aca="false">IF(AND(ISNUMBER($G216),$G216&gt;=MA_MED),AVERAGE(INDEX($C$5:$C216,213-MA_MED):$C216),"")</f>
        <v>103717324.86</v>
      </c>
      <c r="K216" s="52" t="n">
        <f aca="false">IF(AND(ISNUMBER($G216),$G216&gt;=MA_LONG2),AVERAGE(INDEX($C$5:$C216,213-MA_LONG2):$C216),"")</f>
        <v>93395544.075</v>
      </c>
      <c r="L216" s="53" t="n">
        <f aca="false">IF(AND(ISNUMBER($G216),$G216&gt;=21),STDEV(INDEX($H$156:$H216,62-20):$H216)*SQRT(245),"")</f>
        <v>0.197655981021398</v>
      </c>
      <c r="M216" s="52" t="n">
        <f aca="false">IF(AND(ISNUMBER($G216),$G216&gt;=60),MAX(INDEX($D$16:$D216,202-60):$D216),"")</f>
        <v>111982569</v>
      </c>
      <c r="N216" s="52" t="n">
        <f aca="false">IF(AND(ISNUMBER($G216),$G216&gt;=60),MIN(INDEX($E$16:$E216,202-60):$E216),"")</f>
        <v>94759992</v>
      </c>
      <c r="O216" s="53" t="n">
        <f aca="false">IF(OR(NOT(ISNUMBER($C216)),NOT(ISNUMBER($M216)),$M216=0),"",$C216/$M216-1)</f>
        <v>-0.0659032925026037</v>
      </c>
      <c r="P216" s="54"/>
      <c r="Q216" s="53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105448169</v>
      </c>
      <c r="D217" s="49" t="n">
        <v>105861401</v>
      </c>
      <c r="E217" s="49" t="n">
        <v>105291379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0.0080841242214853</v>
      </c>
      <c r="I217" s="52" t="n">
        <f aca="false">IF(AND(ISNUMBER($G217),$G217&gt;=MA_SHORT),AVERAGE(INDEX($C$5:$C217,214-MA_SHORT):$C217),"")</f>
        <v>107063624.05</v>
      </c>
      <c r="J217" s="52" t="n">
        <f aca="false">IF(AND(ISNUMBER($G217),$G217&gt;=MA_MED),AVERAGE(INDEX($C$5:$C217,214-MA_MED):$C217),"")</f>
        <v>103794106.44</v>
      </c>
      <c r="K217" s="52" t="n">
        <f aca="false">IF(AND(ISNUMBER($G217),$G217&gt;=MA_LONG2),AVERAGE(INDEX($C$5:$C217,214-MA_LONG2):$C217),"")</f>
        <v>93544913.3</v>
      </c>
      <c r="L217" s="53" t="n">
        <f aca="false">IF(AND(ISNUMBER($G217),$G217&gt;=21),STDEV(INDEX($H$157:$H217,62-20):$H217)*SQRT(245),"")</f>
        <v>0.19945873087731</v>
      </c>
      <c r="M217" s="52" t="n">
        <f aca="false">IF(AND(ISNUMBER($G217),$G217&gt;=60),MAX(INDEX($D$17:$D217,202-60):$D217),"")</f>
        <v>111982569</v>
      </c>
      <c r="N217" s="52" t="n">
        <f aca="false">IF(AND(ISNUMBER($G217),$G217&gt;=60),MIN(INDEX($E$17:$E217,202-60):$E217),"")</f>
        <v>95842107</v>
      </c>
      <c r="O217" s="53" t="n">
        <f aca="false">IF(OR(NOT(ISNUMBER($C217)),NOT(ISNUMBER($M217)),$M217=0),"",$C217/$M217-1)</f>
        <v>-0.0583519386843143</v>
      </c>
      <c r="P217" s="54"/>
      <c r="Q217" s="53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104273112</v>
      </c>
      <c r="D218" s="49" t="n">
        <v>104555957</v>
      </c>
      <c r="E218" s="49" t="n">
        <v>103686493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-0.011143455700971</v>
      </c>
      <c r="I218" s="52" t="n">
        <f aca="false">IF(AND(ISNUMBER($G218),$G218&gt;=MA_SHORT),AVERAGE(INDEX($C$5:$C218,215-MA_SHORT):$C218),"")</f>
        <v>107072683.6</v>
      </c>
      <c r="J218" s="52" t="n">
        <f aca="false">IF(AND(ISNUMBER($G218),$G218&gt;=MA_MED),AVERAGE(INDEX($C$5:$C218,215-MA_MED):$C218),"")</f>
        <v>103827919.64</v>
      </c>
      <c r="K218" s="52" t="n">
        <f aca="false">IF(AND(ISNUMBER($G218),$G218&gt;=MA_LONG2),AVERAGE(INDEX($C$5:$C218,215-MA_LONG2):$C218),"")</f>
        <v>93678713.945</v>
      </c>
      <c r="L218" s="53" t="n">
        <f aca="false">IF(AND(ISNUMBER($G218),$G218&gt;=21),STDEV(INDEX($H$158:$H218,62-20):$H218)*SQRT(245),"")</f>
        <v>0.203427226919063</v>
      </c>
      <c r="M218" s="52" t="n">
        <f aca="false">IF(AND(ISNUMBER($G218),$G218&gt;=60),MAX(INDEX($D$18:$D218,202-60):$D218),"")</f>
        <v>111982569</v>
      </c>
      <c r="N218" s="52" t="n">
        <f aca="false">IF(AND(ISNUMBER($G218),$G218&gt;=60),MIN(INDEX($E$18:$E218,202-60):$E218),"")</f>
        <v>95842107</v>
      </c>
      <c r="O218" s="53" t="n">
        <f aca="false">IF(OR(NOT(ISNUMBER($C218)),NOT(ISNUMBER($M218)),$M218=0),"",$C218/$M218-1)</f>
        <v>-0.0688451521414909</v>
      </c>
      <c r="P218" s="54"/>
      <c r="Q218" s="53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103355676</v>
      </c>
      <c r="D219" s="49" t="n">
        <v>103518421</v>
      </c>
      <c r="E219" s="49" t="n">
        <v>102737655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-0.00879839473861677</v>
      </c>
      <c r="I219" s="52" t="n">
        <f aca="false">IF(AND(ISNUMBER($G219),$G219&gt;=MA_SHORT),AVERAGE(INDEX($C$5:$C219,216-MA_SHORT):$C219),"")</f>
        <v>106944416.8</v>
      </c>
      <c r="J219" s="52" t="n">
        <f aca="false">IF(AND(ISNUMBER($G219),$G219&gt;=MA_MED),AVERAGE(INDEX($C$5:$C219,216-MA_MED):$C219),"")</f>
        <v>103848063.42</v>
      </c>
      <c r="K219" s="52" t="n">
        <f aca="false">IF(AND(ISNUMBER($G219),$G219&gt;=MA_LONG2),AVERAGE(INDEX($C$5:$C219,216-MA_LONG2):$C219),"")</f>
        <v>93803028.755</v>
      </c>
      <c r="L219" s="53" t="n">
        <f aca="false">IF(AND(ISNUMBER($G219),$G219&gt;=21),STDEV(INDEX($H$159:$H219,62-20):$H219)*SQRT(245),"")</f>
        <v>0.195102050472191</v>
      </c>
      <c r="M219" s="52" t="n">
        <f aca="false">IF(AND(ISNUMBER($G219),$G219&gt;=60),MAX(INDEX($D$19:$D219,202-60):$D219),"")</f>
        <v>111982569</v>
      </c>
      <c r="N219" s="52" t="n">
        <f aca="false">IF(AND(ISNUMBER($G219),$G219&gt;=60),MIN(INDEX($E$19:$E219,202-60):$E219),"")</f>
        <v>95842107</v>
      </c>
      <c r="O219" s="53" t="n">
        <f aca="false">IF(OR(NOT(ISNUMBER($C219)),NOT(ISNUMBER($M219)),$M219=0),"",$C219/$M219-1)</f>
        <v>-0.0770378200557267</v>
      </c>
      <c r="P219" s="54"/>
      <c r="Q219" s="53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104401054</v>
      </c>
      <c r="D220" s="49" t="n">
        <v>104685037</v>
      </c>
      <c r="E220" s="49" t="n">
        <v>104381633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0.0101143743668224</v>
      </c>
      <c r="I220" s="52" t="n">
        <f aca="false">IF(AND(ISNUMBER($G220),$G220&gt;=MA_SHORT),AVERAGE(INDEX($C$5:$C220,217-MA_SHORT):$C220),"")</f>
        <v>106945149.6</v>
      </c>
      <c r="J220" s="52" t="n">
        <f aca="false">IF(AND(ISNUMBER($G220),$G220&gt;=MA_MED),AVERAGE(INDEX($C$5:$C220,217-MA_MED):$C220),"")</f>
        <v>103927978.02</v>
      </c>
      <c r="K220" s="52" t="n">
        <f aca="false">IF(AND(ISNUMBER($G220),$G220&gt;=MA_LONG2),AVERAGE(INDEX($C$5:$C220,217-MA_LONG2):$C220),"")</f>
        <v>93928071.72</v>
      </c>
      <c r="L220" s="53" t="n">
        <f aca="false">IF(AND(ISNUMBER($G220),$G220&gt;=21),STDEV(INDEX($H$160:$H220,62-20):$H220)*SQRT(245),"")</f>
        <v>0.192398893347361</v>
      </c>
      <c r="M220" s="52" t="n">
        <f aca="false">IF(AND(ISNUMBER($G220),$G220&gt;=60),MAX(INDEX($D$20:$D220,202-60):$D220),"")</f>
        <v>111982569</v>
      </c>
      <c r="N220" s="52" t="n">
        <f aca="false">IF(AND(ISNUMBER($G220),$G220&gt;=60),MIN(INDEX($E$20:$E220,202-60):$E220),"")</f>
        <v>95842107</v>
      </c>
      <c r="O220" s="53" t="n">
        <f aca="false">IF(OR(NOT(ISNUMBER($C220)),NOT(ISNUMBER($M220)),$M220=0),"",$C220/$M220-1)</f>
        <v>-0.0677026350413519</v>
      </c>
      <c r="P220" s="54"/>
      <c r="Q220" s="53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103254140</v>
      </c>
      <c r="D221" s="49" t="n">
        <v>103768828</v>
      </c>
      <c r="E221" s="49" t="n">
        <v>102959753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-0.0109856553747053</v>
      </c>
      <c r="I221" s="52" t="n">
        <f aca="false">IF(AND(ISNUMBER($G221),$G221&gt;=MA_SHORT),AVERAGE(INDEX($C$5:$C221,218-MA_SHORT):$C221),"")</f>
        <v>106806653.4</v>
      </c>
      <c r="J221" s="52" t="n">
        <f aca="false">IF(AND(ISNUMBER($G221),$G221&gt;=MA_MED),AVERAGE(INDEX($C$5:$C221,218-MA_MED):$C221),"")</f>
        <v>103942256.88</v>
      </c>
      <c r="K221" s="52" t="n">
        <f aca="false">IF(AND(ISNUMBER($G221),$G221&gt;=MA_LONG2),AVERAGE(INDEX($C$5:$C221,218-MA_LONG2):$C221),"")</f>
        <v>94044269.85</v>
      </c>
      <c r="L221" s="53" t="n">
        <f aca="false">IF(AND(ISNUMBER($G221),$G221&gt;=21),STDEV(INDEX($H$161:$H221,62-20):$H221)*SQRT(245),"")</f>
        <v>0.187070503585144</v>
      </c>
      <c r="M221" s="52" t="n">
        <f aca="false">IF(AND(ISNUMBER($G221),$G221&gt;=60),MAX(INDEX($D$21:$D221,202-60):$D221),"")</f>
        <v>111982569</v>
      </c>
      <c r="N221" s="52" t="n">
        <f aca="false">IF(AND(ISNUMBER($G221),$G221&gt;=60),MIN(INDEX($E$21:$E221,202-60):$E221),"")</f>
        <v>95842107</v>
      </c>
      <c r="O221" s="53" t="n">
        <f aca="false">IF(OR(NOT(ISNUMBER($C221)),NOT(ISNUMBER($M221)),$M221=0),"",$C221/$M221-1)</f>
        <v>-0.0779445325995334</v>
      </c>
      <c r="P221" s="54"/>
      <c r="Q221" s="53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103295016</v>
      </c>
      <c r="D222" s="49" t="n">
        <v>103685847</v>
      </c>
      <c r="E222" s="49" t="n">
        <v>102921864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0.000395877589024485</v>
      </c>
      <c r="I222" s="52" t="n">
        <f aca="false">IF(AND(ISNUMBER($G222),$G222&gt;=MA_SHORT),AVERAGE(INDEX($C$5:$C222,219-MA_SHORT):$C222),"")</f>
        <v>106650657.2</v>
      </c>
      <c r="J222" s="52" t="n">
        <f aca="false">IF(AND(ISNUMBER($G222),$G222&gt;=MA_MED),AVERAGE(INDEX($C$5:$C222,219-MA_MED):$C222),"")</f>
        <v>103972571.78</v>
      </c>
      <c r="K222" s="52" t="n">
        <f aca="false">IF(AND(ISNUMBER($G222),$G222&gt;=MA_LONG2),AVERAGE(INDEX($C$5:$C222,219-MA_LONG2):$C222),"")</f>
        <v>94158143.76</v>
      </c>
      <c r="L222" s="53" t="n">
        <f aca="false">IF(AND(ISNUMBER($G222),$G222&gt;=21),STDEV(INDEX($H$162:$H222,62-20):$H222)*SQRT(245),"")</f>
        <v>0.186302626580511</v>
      </c>
      <c r="M222" s="52" t="n">
        <f aca="false">IF(AND(ISNUMBER($G222),$G222&gt;=60),MAX(INDEX($D$22:$D222,202-60):$D222),"")</f>
        <v>111982569</v>
      </c>
      <c r="N222" s="52" t="n">
        <f aca="false">IF(AND(ISNUMBER($G222),$G222&gt;=60),MIN(INDEX($E$22:$E222,202-60):$E222),"")</f>
        <v>95842107</v>
      </c>
      <c r="O222" s="53" t="n">
        <f aca="false">IF(OR(NOT(ISNUMBER($C222)),NOT(ISNUMBER($M222)),$M222=0),"",$C222/$M222-1)</f>
        <v>-0.0775795115041521</v>
      </c>
      <c r="P222" s="54"/>
      <c r="Q222" s="53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104398589</v>
      </c>
      <c r="D223" s="49" t="n">
        <v>104659133</v>
      </c>
      <c r="E223" s="49" t="n">
        <v>103874277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0.0106837003636264</v>
      </c>
      <c r="I223" s="52" t="n">
        <f aca="false">IF(AND(ISNUMBER($G223),$G223&gt;=MA_SHORT),AVERAGE(INDEX($C$5:$C223,220-MA_SHORT):$C223),"")</f>
        <v>106463601.85</v>
      </c>
      <c r="J223" s="52" t="n">
        <f aca="false">IF(AND(ISNUMBER($G223),$G223&gt;=MA_MED),AVERAGE(INDEX($C$5:$C223,220-MA_MED):$C223),"")</f>
        <v>103993169.06</v>
      </c>
      <c r="K223" s="52" t="n">
        <f aca="false">IF(AND(ISNUMBER($G223),$G223&gt;=MA_LONG2),AVERAGE(INDEX($C$5:$C223,220-MA_LONG2):$C223),"")</f>
        <v>94287623.165</v>
      </c>
      <c r="L223" s="53" t="n">
        <f aca="false">IF(AND(ISNUMBER($G223),$G223&gt;=21),STDEV(INDEX($H$163:$H223,62-20):$H223)*SQRT(245),"")</f>
        <v>0.180475085196312</v>
      </c>
      <c r="M223" s="52" t="n">
        <f aca="false">IF(AND(ISNUMBER($G223),$G223&gt;=60),MAX(INDEX($D$23:$D223,202-60):$D223),"")</f>
        <v>111982569</v>
      </c>
      <c r="N223" s="52" t="n">
        <f aca="false">IF(AND(ISNUMBER($G223),$G223&gt;=60),MIN(INDEX($E$23:$E223,202-60):$E223),"")</f>
        <v>95842107</v>
      </c>
      <c r="O223" s="53" t="n">
        <f aca="false">IF(OR(NOT(ISNUMBER($C223)),NOT(ISNUMBER($M223)),$M223=0),"",$C223/$M223-1)</f>
        <v>-0.0677246473957924</v>
      </c>
      <c r="P223" s="54"/>
      <c r="Q223" s="53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103944242</v>
      </c>
      <c r="D224" s="49" t="n">
        <v>104080523</v>
      </c>
      <c r="E224" s="49" t="n">
        <v>103746354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-0.00435204157787994</v>
      </c>
      <c r="I224" s="52" t="n">
        <f aca="false">IF(AND(ISNUMBER($G224),$G224&gt;=MA_SHORT),AVERAGE(INDEX($C$5:$C224,221-MA_SHORT):$C224),"")</f>
        <v>106267370.9</v>
      </c>
      <c r="J224" s="52" t="n">
        <f aca="false">IF(AND(ISNUMBER($G224),$G224&gt;=MA_MED),AVERAGE(INDEX($C$5:$C224,221-MA_MED):$C224),"")</f>
        <v>104001685.28</v>
      </c>
      <c r="K224" s="52" t="n">
        <f aca="false">IF(AND(ISNUMBER($G224),$G224&gt;=MA_LONG2),AVERAGE(INDEX($C$5:$C224,221-MA_LONG2):$C224),"")</f>
        <v>94418199.175</v>
      </c>
      <c r="L224" s="53" t="n">
        <f aca="false">IF(AND(ISNUMBER($G224),$G224&gt;=21),STDEV(INDEX($H$164:$H224,62-20):$H224)*SQRT(245),"")</f>
        <v>0.180697592003063</v>
      </c>
      <c r="M224" s="52" t="n">
        <f aca="false">IF(AND(ISNUMBER($G224),$G224&gt;=60),MAX(INDEX($D$24:$D224,202-60):$D224),"")</f>
        <v>111982569</v>
      </c>
      <c r="N224" s="52" t="n">
        <f aca="false">IF(AND(ISNUMBER($G224),$G224&gt;=60),MIN(INDEX($E$24:$E224,202-60):$E224),"")</f>
        <v>95842107</v>
      </c>
      <c r="O224" s="53" t="n">
        <f aca="false">IF(OR(NOT(ISNUMBER($C224)),NOT(ISNUMBER($M224)),$M224=0),"",$C224/$M224-1)</f>
        <v>-0.0717819484923586</v>
      </c>
      <c r="P224" s="54"/>
      <c r="Q224" s="53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104298607</v>
      </c>
      <c r="D225" s="49" t="n">
        <v>104543952</v>
      </c>
      <c r="E225" s="49" t="n">
        <v>103966584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0.00340918355054232</v>
      </c>
      <c r="I225" s="52" t="n">
        <f aca="false">IF(AND(ISNUMBER($G225),$G225&gt;=MA_SHORT),AVERAGE(INDEX($C$5:$C225,222-MA_SHORT):$C225),"")</f>
        <v>106012262.35</v>
      </c>
      <c r="J225" s="52" t="n">
        <f aca="false">IF(AND(ISNUMBER($G225),$G225&gt;=MA_MED),AVERAGE(INDEX($C$5:$C225,222-MA_MED):$C225),"")</f>
        <v>104023772.8</v>
      </c>
      <c r="K225" s="52" t="n">
        <f aca="false">IF(AND(ISNUMBER($G225),$G225&gt;=MA_LONG2),AVERAGE(INDEX($C$5:$C225,222-MA_LONG2):$C225),"")</f>
        <v>94540429.79</v>
      </c>
      <c r="L225" s="53" t="n">
        <f aca="false">IF(AND(ISNUMBER($G225),$G225&gt;=21),STDEV(INDEX($H$165:$H225,62-20):$H225)*SQRT(245),"")</f>
        <v>0.17212808882672</v>
      </c>
      <c r="M225" s="52" t="n">
        <f aca="false">IF(AND(ISNUMBER($G225),$G225&gt;=60),MAX(INDEX($D$25:$D225,202-60):$D225),"")</f>
        <v>111982569</v>
      </c>
      <c r="N225" s="52" t="n">
        <f aca="false">IF(AND(ISNUMBER($G225),$G225&gt;=60),MIN(INDEX($E$25:$E225,202-60):$E225),"")</f>
        <v>95842107</v>
      </c>
      <c r="O225" s="53" t="n">
        <f aca="false">IF(OR(NOT(ISNUMBER($C225)),NOT(ISNUMBER($M225)),$M225=0),"",$C225/$M225-1)</f>
        <v>-0.0686174827798423</v>
      </c>
      <c r="P225" s="54"/>
      <c r="Q225" s="53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102161534</v>
      </c>
      <c r="D226" s="49" t="n">
        <v>102605917</v>
      </c>
      <c r="E226" s="49" t="n">
        <v>101674545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-0.0204899476749484</v>
      </c>
      <c r="I226" s="52" t="n">
        <f aca="false">IF(AND(ISNUMBER($G226),$G226&gt;=MA_SHORT),AVERAGE(INDEX($C$5:$C226,223-MA_SHORT):$C226),"")</f>
        <v>105608496.55</v>
      </c>
      <c r="J226" s="52" t="n">
        <f aca="false">IF(AND(ISNUMBER($G226),$G226&gt;=MA_MED),AVERAGE(INDEX($C$5:$C226,223-MA_MED):$C226),"")</f>
        <v>104039747.2</v>
      </c>
      <c r="K226" s="52" t="n">
        <f aca="false">IF(AND(ISNUMBER($G226),$G226&gt;=MA_LONG2),AVERAGE(INDEX($C$5:$C226,223-MA_LONG2):$C226),"")</f>
        <v>94657754.74</v>
      </c>
      <c r="L226" s="53" t="n">
        <f aca="false">IF(AND(ISNUMBER($G226),$G226&gt;=21),STDEV(INDEX($H$166:$H226,62-20):$H226)*SQRT(245),"")</f>
        <v>0.179136281594418</v>
      </c>
      <c r="M226" s="52" t="n">
        <f aca="false">IF(AND(ISNUMBER($G226),$G226&gt;=60),MAX(INDEX($D$26:$D226,202-60):$D226),"")</f>
        <v>111982569</v>
      </c>
      <c r="N226" s="52" t="n">
        <f aca="false">IF(AND(ISNUMBER($G226),$G226&gt;=60),MIN(INDEX($E$26:$E226,202-60):$E226),"")</f>
        <v>95842107</v>
      </c>
      <c r="O226" s="53" t="n">
        <f aca="false">IF(OR(NOT(ISNUMBER($C226)),NOT(ISNUMBER($M226)),$M226=0),"",$C226/$M226-1)</f>
        <v>-0.087701461823045</v>
      </c>
      <c r="P226" s="54"/>
      <c r="Q226" s="53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102075821</v>
      </c>
      <c r="D227" s="49" t="n">
        <v>102248041</v>
      </c>
      <c r="E227" s="49" t="n">
        <v>102017843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-0.000838994841248164</v>
      </c>
      <c r="I227" s="52" t="n">
        <f aca="false">IF(AND(ISNUMBER($G227),$G227&gt;=MA_SHORT),AVERAGE(INDEX($C$5:$C227,224-MA_SHORT):$C227),"")</f>
        <v>105128907.65</v>
      </c>
      <c r="J227" s="52" t="n">
        <f aca="false">IF(AND(ISNUMBER($G227),$G227&gt;=MA_MED),AVERAGE(INDEX($C$5:$C227,224-MA_MED):$C227),"")</f>
        <v>104048819.82</v>
      </c>
      <c r="K227" s="52" t="n">
        <f aca="false">IF(AND(ISNUMBER($G227),$G227&gt;=MA_LONG2),AVERAGE(INDEX($C$5:$C227,224-MA_LONG2):$C227),"")</f>
        <v>94766839.425</v>
      </c>
      <c r="L227" s="53" t="n">
        <f aca="false">IF(AND(ISNUMBER($G227),$G227&gt;=21),STDEV(INDEX($H$167:$H227,62-20):$H227)*SQRT(245),"")</f>
        <v>0.168739443713449</v>
      </c>
      <c r="M227" s="52" t="n">
        <f aca="false">IF(AND(ISNUMBER($G227),$G227&gt;=60),MAX(INDEX($D$27:$D227,202-60):$D227),"")</f>
        <v>111982569</v>
      </c>
      <c r="N227" s="52" t="n">
        <f aca="false">IF(AND(ISNUMBER($G227),$G227&gt;=60),MIN(INDEX($E$27:$E227,202-60):$E227),"")</f>
        <v>95842107</v>
      </c>
      <c r="O227" s="53" t="n">
        <f aca="false">IF(OR(NOT(ISNUMBER($C227)),NOT(ISNUMBER($M227)),$M227=0),"",$C227/$M227-1)</f>
        <v>-0.0884668755902537</v>
      </c>
      <c r="P227" s="54"/>
      <c r="Q227" s="53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98928227</v>
      </c>
      <c r="D228" s="49" t="n">
        <v>99177420</v>
      </c>
      <c r="E228" s="49" t="n">
        <v>98510652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-0.0308358430935373</v>
      </c>
      <c r="I228" s="52" t="n">
        <f aca="false">IF(AND(ISNUMBER($G228),$G228&gt;=MA_SHORT),AVERAGE(INDEX($C$5:$C228,225-MA_SHORT):$C228),"")</f>
        <v>104499317.05</v>
      </c>
      <c r="J228" s="52" t="n">
        <f aca="false">IF(AND(ISNUMBER($G228),$G228&gt;=MA_MED),AVERAGE(INDEX($C$5:$C228,225-MA_MED):$C228),"")</f>
        <v>104024647.5</v>
      </c>
      <c r="K228" s="52" t="n">
        <f aca="false">IF(AND(ISNUMBER($G228),$G228&gt;=MA_LONG2),AVERAGE(INDEX($C$5:$C228,225-MA_LONG2):$C228),"")</f>
        <v>94867018.945</v>
      </c>
      <c r="L228" s="53" t="n">
        <f aca="false">IF(AND(ISNUMBER($G228),$G228&gt;=21),STDEV(INDEX($H$168:$H228,62-20):$H228)*SQRT(245),"")</f>
        <v>0.191785553153195</v>
      </c>
      <c r="M228" s="52" t="n">
        <f aca="false">IF(AND(ISNUMBER($G228),$G228&gt;=60),MAX(INDEX($D$28:$D228,202-60):$D228),"")</f>
        <v>111982569</v>
      </c>
      <c r="N228" s="52" t="n">
        <f aca="false">IF(AND(ISNUMBER($G228),$G228&gt;=60),MIN(INDEX($E$28:$E228,202-60):$E228),"")</f>
        <v>95842107</v>
      </c>
      <c r="O228" s="53" t="n">
        <f aca="false">IF(OR(NOT(ISNUMBER($C228)),NOT(ISNUMBER($M228)),$M228=0),"",$C228/$M228-1)</f>
        <v>-0.116574767989114</v>
      </c>
      <c r="P228" s="54"/>
      <c r="Q228" s="53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98213861</v>
      </c>
      <c r="D229" s="49" t="n">
        <v>98368515</v>
      </c>
      <c r="E229" s="49" t="n">
        <v>97906459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-0.00722105329958056</v>
      </c>
      <c r="I229" s="52" t="n">
        <f aca="false">IF(AND(ISNUMBER($G229),$G229&gt;=MA_SHORT),AVERAGE(INDEX($C$5:$C229,226-MA_SHORT):$C229),"")</f>
        <v>103857668.05</v>
      </c>
      <c r="J229" s="52" t="n">
        <f aca="false">IF(AND(ISNUMBER($G229),$G229&gt;=MA_MED),AVERAGE(INDEX($C$5:$C229,226-MA_MED):$C229),"")</f>
        <v>104015055</v>
      </c>
      <c r="K229" s="52" t="n">
        <f aca="false">IF(AND(ISNUMBER($G229),$G229&gt;=MA_LONG2),AVERAGE(INDEX($C$5:$C229,226-MA_LONG2):$C229),"")</f>
        <v>94955679.845</v>
      </c>
      <c r="L229" s="53" t="n">
        <f aca="false">IF(AND(ISNUMBER($G229),$G229&gt;=21),STDEV(INDEX($H$169:$H229,62-20):$H229)*SQRT(245),"")</f>
        <v>0.191736891085811</v>
      </c>
      <c r="M229" s="52" t="n">
        <f aca="false">IF(AND(ISNUMBER($G229),$G229&gt;=60),MAX(INDEX($D$29:$D229,202-60):$D229),"")</f>
        <v>111982569</v>
      </c>
      <c r="N229" s="52" t="n">
        <f aca="false">IF(AND(ISNUMBER($G229),$G229&gt;=60),MIN(INDEX($E$29:$E229,202-60):$E229),"")</f>
        <v>95842107</v>
      </c>
      <c r="O229" s="53" t="n">
        <f aca="false">IF(OR(NOT(ISNUMBER($C229)),NOT(ISNUMBER($M229)),$M229=0),"",$C229/$M229-1)</f>
        <v>-0.122954028675659</v>
      </c>
      <c r="P229" s="54"/>
      <c r="Q229" s="53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99902345</v>
      </c>
      <c r="D230" s="49" t="n">
        <v>100106206</v>
      </c>
      <c r="E230" s="49" t="n">
        <v>99860159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0.0171919114349857</v>
      </c>
      <c r="I230" s="52" t="n">
        <f aca="false">IF(AND(ISNUMBER($G230),$G230&gt;=MA_SHORT),AVERAGE(INDEX($C$5:$C230,227-MA_SHORT):$C230),"")</f>
        <v>103391210.8</v>
      </c>
      <c r="J230" s="52" t="n">
        <f aca="false">IF(AND(ISNUMBER($G230),$G230&gt;=MA_MED),AVERAGE(INDEX($C$5:$C230,227-MA_MED):$C230),"")</f>
        <v>103995564.26</v>
      </c>
      <c r="K230" s="52" t="n">
        <f aca="false">IF(AND(ISNUMBER($G230),$G230&gt;=MA_LONG2),AVERAGE(INDEX($C$5:$C230,227-MA_LONG2):$C230),"")</f>
        <v>95046817.77</v>
      </c>
      <c r="L230" s="53" t="n">
        <f aca="false">IF(AND(ISNUMBER($G230),$G230&gt;=21),STDEV(INDEX($H$170:$H230,62-20):$H230)*SQRT(245),"")</f>
        <v>0.204048014550551</v>
      </c>
      <c r="M230" s="52" t="n">
        <f aca="false">IF(AND(ISNUMBER($G230),$G230&gt;=60),MAX(INDEX($D$30:$D230,202-60):$D230),"")</f>
        <v>111982569</v>
      </c>
      <c r="N230" s="52" t="n">
        <f aca="false">IF(AND(ISNUMBER($G230),$G230&gt;=60),MIN(INDEX($E$30:$E230,202-60):$E230),"")</f>
        <v>95842107</v>
      </c>
      <c r="O230" s="53" t="n">
        <f aca="false">IF(OR(NOT(ISNUMBER($C230)),NOT(ISNUMBER($M230)),$M230=0),"",$C230/$M230-1)</f>
        <v>-0.10787593201224</v>
      </c>
      <c r="P230" s="54"/>
      <c r="Q230" s="53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101597400</v>
      </c>
      <c r="D231" s="49" t="n">
        <v>101666119</v>
      </c>
      <c r="E231" s="49" t="n">
        <v>101518686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0.016967119240294</v>
      </c>
      <c r="I231" s="52" t="n">
        <f aca="false">IF(AND(ISNUMBER($G231),$G231&gt;=MA_SHORT),AVERAGE(INDEX($C$5:$C231,228-MA_SHORT):$C231),"")</f>
        <v>103113320.5</v>
      </c>
      <c r="J231" s="52" t="n">
        <f aca="false">IF(AND(ISNUMBER($G231),$G231&gt;=MA_MED),AVERAGE(INDEX($C$5:$C231,228-MA_MED):$C231),"")</f>
        <v>104018993</v>
      </c>
      <c r="K231" s="52" t="n">
        <f aca="false">IF(AND(ISNUMBER($G231),$G231&gt;=MA_LONG2),AVERAGE(INDEX($C$5:$C231,228-MA_LONG2):$C231),"")</f>
        <v>95150976.87</v>
      </c>
      <c r="L231" s="53" t="n">
        <f aca="false">IF(AND(ISNUMBER($G231),$G231&gt;=21),STDEV(INDEX($H$171:$H231,62-20):$H231)*SQRT(245),"")</f>
        <v>0.209549948554889</v>
      </c>
      <c r="M231" s="52" t="n">
        <f aca="false">IF(AND(ISNUMBER($G231),$G231&gt;=60),MAX(INDEX($D$31:$D231,202-60):$D231),"")</f>
        <v>111982569</v>
      </c>
      <c r="N231" s="52" t="n">
        <f aca="false">IF(AND(ISNUMBER($G231),$G231&gt;=60),MIN(INDEX($E$31:$E231,202-60):$E231),"")</f>
        <v>95842107</v>
      </c>
      <c r="O231" s="53" t="n">
        <f aca="false">IF(OR(NOT(ISNUMBER($C231)),NOT(ISNUMBER($M231)),$M231=0),"",$C231/$M231-1)</f>
        <v>-0.0927391565735557</v>
      </c>
      <c r="P231" s="54"/>
      <c r="Q231" s="53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104335697</v>
      </c>
      <c r="D232" s="49" t="n">
        <v>104359924</v>
      </c>
      <c r="E232" s="49" t="n">
        <v>104249318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0.026952431853571</v>
      </c>
      <c r="I232" s="52" t="n">
        <f aca="false">IF(AND(ISNUMBER($G232),$G232&gt;=MA_SHORT),AVERAGE(INDEX($C$5:$C232,229-MA_SHORT):$C232),"")</f>
        <v>103093458.85</v>
      </c>
      <c r="J232" s="52" t="n">
        <f aca="false">IF(AND(ISNUMBER($G232),$G232&gt;=MA_MED),AVERAGE(INDEX($C$5:$C232,229-MA_MED):$C232),"")</f>
        <v>104099458.36</v>
      </c>
      <c r="K232" s="52" t="n">
        <f aca="false">IF(AND(ISNUMBER($G232),$G232&gt;=MA_LONG2),AVERAGE(INDEX($C$5:$C232,229-MA_LONG2):$C232),"")</f>
        <v>95269316.12</v>
      </c>
      <c r="L232" s="53" t="n">
        <f aca="false">IF(AND(ISNUMBER($G232),$G232&gt;=21),STDEV(INDEX($H$172:$H232,62-20):$H232)*SQRT(245),"")</f>
        <v>0.219989141394999</v>
      </c>
      <c r="M232" s="52" t="n">
        <f aca="false">IF(AND(ISNUMBER($G232),$G232&gt;=60),MAX(INDEX($D$32:$D232,202-60):$D232),"")</f>
        <v>111982569</v>
      </c>
      <c r="N232" s="52" t="n">
        <f aca="false">IF(AND(ISNUMBER($G232),$G232&gt;=60),MIN(INDEX($E$32:$E232,202-60):$E232),"")</f>
        <v>95842107</v>
      </c>
      <c r="O232" s="53" t="n">
        <f aca="false">IF(OR(NOT(ISNUMBER($C232)),NOT(ISNUMBER($M232)),$M232=0),"",$C232/$M232-1)</f>
        <v>-0.068286270517691</v>
      </c>
      <c r="P232" s="54"/>
      <c r="Q232" s="53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103913971</v>
      </c>
      <c r="D233" s="49" t="n">
        <v>104310961</v>
      </c>
      <c r="E233" s="49" t="n">
        <v>103524396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-0.00404201066486387</v>
      </c>
      <c r="I233" s="52" t="n">
        <f aca="false">IF(AND(ISNUMBER($G233),$G233&gt;=MA_SHORT),AVERAGE(INDEX($C$5:$C233,230-MA_SHORT):$C233),"")</f>
        <v>103047637.9</v>
      </c>
      <c r="J233" s="52" t="n">
        <f aca="false">IF(AND(ISNUMBER($G233),$G233&gt;=MA_MED),AVERAGE(INDEX($C$5:$C233,230-MA_MED):$C233),"")</f>
        <v>104218762.3</v>
      </c>
      <c r="K233" s="52" t="n">
        <f aca="false">IF(AND(ISNUMBER($G233),$G233&gt;=MA_LONG2),AVERAGE(INDEX($C$5:$C233,230-MA_LONG2):$C233),"")</f>
        <v>95387070.395</v>
      </c>
      <c r="L233" s="53" t="n">
        <f aca="false">IF(AND(ISNUMBER($G233),$G233&gt;=21),STDEV(INDEX($H$173:$H233,62-20):$H233)*SQRT(245),"")</f>
        <v>0.220378044418653</v>
      </c>
      <c r="M233" s="52" t="n">
        <f aca="false">IF(AND(ISNUMBER($G233),$G233&gt;=60),MAX(INDEX($D$33:$D233,202-60):$D233),"")</f>
        <v>111982569</v>
      </c>
      <c r="N233" s="52" t="n">
        <f aca="false">IF(AND(ISNUMBER($G233),$G233&gt;=60),MIN(INDEX($E$33:$E233,202-60):$E233),"")</f>
        <v>95842107</v>
      </c>
      <c r="O233" s="53" t="n">
        <f aca="false">IF(OR(NOT(ISNUMBER($C233)),NOT(ISNUMBER($M233)),$M233=0),"",$C233/$M233-1)</f>
        <v>-0.0720522673488585</v>
      </c>
      <c r="P233" s="54"/>
      <c r="Q233" s="53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104576188</v>
      </c>
      <c r="D234" s="49" t="n">
        <v>104809968</v>
      </c>
      <c r="E234" s="49" t="n">
        <v>103526743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0.00637274269886201</v>
      </c>
      <c r="I234" s="52" t="n">
        <f aca="false">IF(AND(ISNUMBER($G234),$G234&gt;=MA_SHORT),AVERAGE(INDEX($C$5:$C234,231-MA_SHORT):$C234),"")</f>
        <v>103020959.35</v>
      </c>
      <c r="J234" s="52" t="n">
        <f aca="false">IF(AND(ISNUMBER($G234),$G234&gt;=MA_MED),AVERAGE(INDEX($C$5:$C234,231-MA_MED):$C234),"")</f>
        <v>104377824.84</v>
      </c>
      <c r="K234" s="52" t="n">
        <f aca="false">IF(AND(ISNUMBER($G234),$G234&gt;=MA_LONG2),AVERAGE(INDEX($C$5:$C234,231-MA_LONG2):$C234),"")</f>
        <v>95497216.04</v>
      </c>
      <c r="L234" s="53" t="n">
        <f aca="false">IF(AND(ISNUMBER($G234),$G234&gt;=21),STDEV(INDEX($H$174:$H234,62-20):$H234)*SQRT(245),"")</f>
        <v>0.221410632154014</v>
      </c>
      <c r="M234" s="52" t="n">
        <f aca="false">IF(AND(ISNUMBER($G234),$G234&gt;=60),MAX(INDEX($D$34:$D234,202-60):$D234),"")</f>
        <v>111982569</v>
      </c>
      <c r="N234" s="52" t="n">
        <f aca="false">IF(AND(ISNUMBER($G234),$G234&gt;=60),MIN(INDEX($E$34:$E234,202-60):$E234),"")</f>
        <v>95842107</v>
      </c>
      <c r="O234" s="53" t="n">
        <f aca="false">IF(OR(NOT(ISNUMBER($C234)),NOT(ISNUMBER($M234)),$M234=0),"",$C234/$M234-1)</f>
        <v>-0.0661386952106805</v>
      </c>
      <c r="P234" s="54"/>
      <c r="Q234" s="53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105633833</v>
      </c>
      <c r="D235" s="49" t="n">
        <v>105659862</v>
      </c>
      <c r="E235" s="49" t="n">
        <v>105513389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0.0101136312216696</v>
      </c>
      <c r="I235" s="52" t="n">
        <f aca="false">IF(AND(ISNUMBER($G235),$G235&gt;=MA_SHORT),AVERAGE(INDEX($C$5:$C235,232-MA_SHORT):$C235),"")</f>
        <v>103130501.55</v>
      </c>
      <c r="J235" s="52" t="n">
        <f aca="false">IF(AND(ISNUMBER($G235),$G235&gt;=MA_MED),AVERAGE(INDEX($C$5:$C235,232-MA_MED):$C235),"")</f>
        <v>104559826.24</v>
      </c>
      <c r="K235" s="52" t="n">
        <f aca="false">IF(AND(ISNUMBER($G235),$G235&gt;=MA_LONG2),AVERAGE(INDEX($C$5:$C235,232-MA_LONG2):$C235),"")</f>
        <v>95612216.995</v>
      </c>
      <c r="L235" s="53" t="n">
        <f aca="false">IF(AND(ISNUMBER($G235),$G235&gt;=21),STDEV(INDEX($H$175:$H235,62-20):$H235)*SQRT(245),"")</f>
        <v>0.216265754416223</v>
      </c>
      <c r="M235" s="52" t="n">
        <f aca="false">IF(AND(ISNUMBER($G235),$G235&gt;=60),MAX(INDEX($D$35:$D235,202-60):$D235),"")</f>
        <v>111982569</v>
      </c>
      <c r="N235" s="52" t="n">
        <f aca="false">IF(AND(ISNUMBER($G235),$G235&gt;=60),MIN(INDEX($E$35:$E235,202-60):$E235),"")</f>
        <v>95842107</v>
      </c>
      <c r="O235" s="53" t="n">
        <f aca="false">IF(OR(NOT(ISNUMBER($C235)),NOT(ISNUMBER($M235)),$M235=0),"",$C235/$M235-1)</f>
        <v>-0.0566939663618541</v>
      </c>
      <c r="P235" s="54"/>
      <c r="Q235" s="53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104895153</v>
      </c>
      <c r="D236" s="49" t="n">
        <v>104999486</v>
      </c>
      <c r="E236" s="49" t="n">
        <v>104490685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-0.00699283533524719</v>
      </c>
      <c r="I236" s="52" t="n">
        <f aca="false">IF(AND(ISNUMBER($G236),$G236&gt;=MA_SHORT),AVERAGE(INDEX($C$5:$C236,233-MA_SHORT):$C236),"")</f>
        <v>103145131.75</v>
      </c>
      <c r="J236" s="52" t="n">
        <f aca="false">IF(AND(ISNUMBER($G236),$G236&gt;=MA_MED),AVERAGE(INDEX($C$5:$C236,233-MA_MED):$C236),"")</f>
        <v>104664324.66</v>
      </c>
      <c r="K236" s="52" t="n">
        <f aca="false">IF(AND(ISNUMBER($G236),$G236&gt;=MA_LONG2),AVERAGE(INDEX($C$5:$C236,233-MA_LONG2):$C236),"")</f>
        <v>95720015.64</v>
      </c>
      <c r="L236" s="53" t="n">
        <f aca="false">IF(AND(ISNUMBER($G236),$G236&gt;=21),STDEV(INDEX($H$176:$H236,62-20):$H236)*SQRT(245),"")</f>
        <v>0.21471459196937</v>
      </c>
      <c r="M236" s="52" t="n">
        <f aca="false">IF(AND(ISNUMBER($G236),$G236&gt;=60),MAX(INDEX($D$36:$D236,202-60):$D236),"")</f>
        <v>111982569</v>
      </c>
      <c r="N236" s="52" t="n">
        <f aca="false">IF(AND(ISNUMBER($G236),$G236&gt;=60),MIN(INDEX($E$36:$E236,202-60):$E236),"")</f>
        <v>95842107</v>
      </c>
      <c r="O236" s="53" t="n">
        <f aca="false">IF(OR(NOT(ISNUMBER($C236)),NOT(ISNUMBER($M236)),$M236=0),"",$C236/$M236-1)</f>
        <v>-0.0632903501258307</v>
      </c>
      <c r="P236" s="54"/>
      <c r="Q236" s="53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103274129</v>
      </c>
      <c r="D237" s="49" t="n">
        <v>103842973</v>
      </c>
      <c r="E237" s="49" t="n">
        <v>103214584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-0.0154537550462412</v>
      </c>
      <c r="I237" s="52" t="n">
        <f aca="false">IF(AND(ISNUMBER($G237),$G237&gt;=MA_SHORT),AVERAGE(INDEX($C$5:$C237,234-MA_SHORT):$C237),"")</f>
        <v>103036429.75</v>
      </c>
      <c r="J237" s="52" t="n">
        <f aca="false">IF(AND(ISNUMBER($G237),$G237&gt;=MA_MED),AVERAGE(INDEX($C$5:$C237,234-MA_MED):$C237),"")</f>
        <v>104736795.6</v>
      </c>
      <c r="K237" s="52" t="n">
        <f aca="false">IF(AND(ISNUMBER($G237),$G237&gt;=MA_LONG2),AVERAGE(INDEX($C$5:$C237,234-MA_LONG2):$C237),"")</f>
        <v>95820323.325</v>
      </c>
      <c r="L237" s="53" t="n">
        <f aca="false">IF(AND(ISNUMBER($G237),$G237&gt;=21),STDEV(INDEX($H$177:$H237,62-20):$H237)*SQRT(245),"")</f>
        <v>0.219365221575625</v>
      </c>
      <c r="M237" s="52" t="n">
        <f aca="false">IF(AND(ISNUMBER($G237),$G237&gt;=60),MAX(INDEX($D$37:$D237,202-60):$D237),"")</f>
        <v>111982569</v>
      </c>
      <c r="N237" s="52" t="n">
        <f aca="false">IF(AND(ISNUMBER($G237),$G237&gt;=60),MIN(INDEX($E$37:$E237,202-60):$E237),"")</f>
        <v>95842107</v>
      </c>
      <c r="O237" s="53" t="n">
        <f aca="false">IF(OR(NOT(ISNUMBER($C237)),NOT(ISNUMBER($M237)),$M237=0),"",$C237/$M237-1)</f>
        <v>-0.0777660316044366</v>
      </c>
      <c r="P237" s="54"/>
      <c r="Q237" s="53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102551506</v>
      </c>
      <c r="D238" s="49" t="n">
        <v>102783080</v>
      </c>
      <c r="E238" s="49" t="n">
        <v>102446069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-0.00699713478096731</v>
      </c>
      <c r="I238" s="52" t="n">
        <f aca="false">IF(AND(ISNUMBER($G238),$G238&gt;=MA_SHORT),AVERAGE(INDEX($C$5:$C238,235-MA_SHORT):$C238),"")</f>
        <v>102950349.45</v>
      </c>
      <c r="J238" s="52" t="n">
        <f aca="false">IF(AND(ISNUMBER($G238),$G238&gt;=MA_MED),AVERAGE(INDEX($C$5:$C238,235-MA_MED):$C238),"")</f>
        <v>104825191.44</v>
      </c>
      <c r="K238" s="52" t="n">
        <f aca="false">IF(AND(ISNUMBER($G238),$G238&gt;=MA_LONG2),AVERAGE(INDEX($C$5:$C238,235-MA_LONG2):$C238),"")</f>
        <v>95909667.515</v>
      </c>
      <c r="L238" s="53" t="n">
        <f aca="false">IF(AND(ISNUMBER($G238),$G238&gt;=21),STDEV(INDEX($H$178:$H238,62-20):$H238)*SQRT(245),"")</f>
        <v>0.217350983689193</v>
      </c>
      <c r="M238" s="52" t="n">
        <f aca="false">IF(AND(ISNUMBER($G238),$G238&gt;=60),MAX(INDEX($D$38:$D238,202-60):$D238),"")</f>
        <v>111982569</v>
      </c>
      <c r="N238" s="52" t="n">
        <f aca="false">IF(AND(ISNUMBER($G238),$G238&gt;=60),MIN(INDEX($E$38:$E238,202-60):$E238),"")</f>
        <v>95842107</v>
      </c>
      <c r="O238" s="53" t="n">
        <f aca="false">IF(OR(NOT(ISNUMBER($C238)),NOT(ISNUMBER($M238)),$M238=0),"",$C238/$M238-1)</f>
        <v>-0.0842190269808867</v>
      </c>
      <c r="P238" s="54"/>
      <c r="Q238" s="53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103571484</v>
      </c>
      <c r="D239" s="49" t="n">
        <v>104339553</v>
      </c>
      <c r="E239" s="49" t="n">
        <v>103269034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0.00994600703377291</v>
      </c>
      <c r="I239" s="52" t="n">
        <f aca="false">IF(AND(ISNUMBER($G239),$G239&gt;=MA_SHORT),AVERAGE(INDEX($C$5:$C239,236-MA_SHORT):$C239),"")</f>
        <v>102961139.85</v>
      </c>
      <c r="J239" s="52" t="n">
        <f aca="false">IF(AND(ISNUMBER($G239),$G239&gt;=MA_MED),AVERAGE(INDEX($C$5:$C239,236-MA_MED):$C239),"")</f>
        <v>104894207.86</v>
      </c>
      <c r="K239" s="52" t="n">
        <f aca="false">IF(AND(ISNUMBER($G239),$G239&gt;=MA_LONG2),AVERAGE(INDEX($C$5:$C239,236-MA_LONG2):$C239),"")</f>
        <v>96002610.915</v>
      </c>
      <c r="L239" s="53" t="n">
        <f aca="false">IF(AND(ISNUMBER($G239),$G239&gt;=21),STDEV(INDEX($H$179:$H239,62-20):$H239)*SQRT(245),"")</f>
        <v>0.218289227137946</v>
      </c>
      <c r="M239" s="52" t="n">
        <f aca="false">IF(AND(ISNUMBER($G239),$G239&gt;=60),MAX(INDEX($D$39:$D239,202-60):$D239),"")</f>
        <v>111982569</v>
      </c>
      <c r="N239" s="52" t="n">
        <f aca="false">IF(AND(ISNUMBER($G239),$G239&gt;=60),MIN(INDEX($E$39:$E239,202-60):$E239),"")</f>
        <v>95842107</v>
      </c>
      <c r="O239" s="53" t="n">
        <f aca="false">IF(OR(NOT(ISNUMBER($C239)),NOT(ISNUMBER($M239)),$M239=0),"",$C239/$M239-1)</f>
        <v>-0.0751106629818432</v>
      </c>
      <c r="P239" s="54"/>
      <c r="Q239" s="53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104535665</v>
      </c>
      <c r="D240" s="49" t="n">
        <v>104643586</v>
      </c>
      <c r="E240" s="49" t="n">
        <v>104083589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0.00930932881100755</v>
      </c>
      <c r="I240" s="52" t="n">
        <f aca="false">IF(AND(ISNUMBER($G240),$G240&gt;=MA_SHORT),AVERAGE(INDEX($C$5:$C240,237-MA_SHORT):$C240),"")</f>
        <v>102967870.4</v>
      </c>
      <c r="J240" s="52" t="n">
        <f aca="false">IF(AND(ISNUMBER($G240),$G240&gt;=MA_MED),AVERAGE(INDEX($C$5:$C240,237-MA_MED):$C240),"")</f>
        <v>104933497.9</v>
      </c>
      <c r="K240" s="52" t="n">
        <f aca="false">IF(AND(ISNUMBER($G240),$G240&gt;=MA_LONG2),AVERAGE(INDEX($C$5:$C240,237-MA_LONG2):$C240),"")</f>
        <v>96087023.815</v>
      </c>
      <c r="L240" s="53" t="n">
        <f aca="false">IF(AND(ISNUMBER($G240),$G240&gt;=21),STDEV(INDEX($H$180:$H240,62-20):$H240)*SQRT(245),"")</f>
        <v>0.217835309228175</v>
      </c>
      <c r="M240" s="52" t="n">
        <f aca="false">IF(AND(ISNUMBER($G240),$G240&gt;=60),MAX(INDEX($D$40:$D240,202-60):$D240),"")</f>
        <v>111982569</v>
      </c>
      <c r="N240" s="52" t="n">
        <f aca="false">IF(AND(ISNUMBER($G240),$G240&gt;=60),MIN(INDEX($E$40:$E240,202-60):$E240),"")</f>
        <v>95842107</v>
      </c>
      <c r="O240" s="53" t="n">
        <f aca="false">IF(OR(NOT(ISNUMBER($C240)),NOT(ISNUMBER($M240)),$M240=0),"",$C240/$M240-1)</f>
        <v>-0.0665005640297465</v>
      </c>
      <c r="P240" s="54"/>
      <c r="Q240" s="53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105123037</v>
      </c>
      <c r="D241" s="49" t="n">
        <v>105865283</v>
      </c>
      <c r="E241" s="49" t="n">
        <v>105118142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0.0056188670153865</v>
      </c>
      <c r="I241" s="52" t="n">
        <f aca="false">IF(AND(ISNUMBER($G241),$G241&gt;=MA_SHORT),AVERAGE(INDEX($C$5:$C241,238-MA_SHORT):$C241),"")</f>
        <v>103061315.25</v>
      </c>
      <c r="J241" s="52" t="n">
        <f aca="false">IF(AND(ISNUMBER($G241),$G241&gt;=MA_MED),AVERAGE(INDEX($C$5:$C241,238-MA_MED):$C241),"")</f>
        <v>104958076.2</v>
      </c>
      <c r="K241" s="52" t="n">
        <f aca="false">IF(AND(ISNUMBER($G241),$G241&gt;=MA_LONG2),AVERAGE(INDEX($C$5:$C241,238-MA_LONG2):$C241),"")</f>
        <v>96180305</v>
      </c>
      <c r="L241" s="53" t="n">
        <f aca="false">IF(AND(ISNUMBER($G241),$G241&gt;=21),STDEV(INDEX($H$181:$H241,62-20):$H241)*SQRT(245),"")</f>
        <v>0.214611974468774</v>
      </c>
      <c r="M241" s="52" t="n">
        <f aca="false">IF(AND(ISNUMBER($G241),$G241&gt;=60),MAX(INDEX($D$41:$D241,202-60):$D241),"")</f>
        <v>111982569</v>
      </c>
      <c r="N241" s="52" t="n">
        <f aca="false">IF(AND(ISNUMBER($G241),$G241&gt;=60),MIN(INDEX($E$41:$E241,202-60):$E241),"")</f>
        <v>95842107</v>
      </c>
      <c r="O241" s="53" t="n">
        <f aca="false">IF(OR(NOT(ISNUMBER($C241)),NOT(ISNUMBER($M241)),$M241=0),"",$C241/$M241-1)</f>
        <v>-0.0612553548400913</v>
      </c>
      <c r="P241" s="54"/>
      <c r="Q241" s="53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104881577</v>
      </c>
      <c r="D242" s="49" t="n">
        <v>105115932</v>
      </c>
      <c r="E242" s="49" t="n">
        <v>103960736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-0.002296927551665</v>
      </c>
      <c r="I242" s="52" t="n">
        <f aca="false">IF(AND(ISNUMBER($G242),$G242&gt;=MA_SHORT),AVERAGE(INDEX($C$5:$C242,239-MA_SHORT):$C242),"")</f>
        <v>103140643.3</v>
      </c>
      <c r="J242" s="52" t="n">
        <f aca="false">IF(AND(ISNUMBER($G242),$G242&gt;=MA_MED),AVERAGE(INDEX($C$5:$C242,239-MA_MED):$C242),"")</f>
        <v>104947249.92</v>
      </c>
      <c r="K242" s="52" t="n">
        <f aca="false">IF(AND(ISNUMBER($G242),$G242&gt;=MA_LONG2),AVERAGE(INDEX($C$5:$C242,239-MA_LONG2):$C242),"")</f>
        <v>96274169.275</v>
      </c>
      <c r="L242" s="53" t="n">
        <f aca="false">IF(AND(ISNUMBER($G242),$G242&gt;=21),STDEV(INDEX($H$182:$H242,62-20):$H242)*SQRT(245),"")</f>
        <v>0.214914327364192</v>
      </c>
      <c r="M242" s="52" t="n">
        <f aca="false">IF(AND(ISNUMBER($G242),$G242&gt;=60),MAX(INDEX($D$42:$D242,202-60):$D242),"")</f>
        <v>111982569</v>
      </c>
      <c r="N242" s="52" t="n">
        <f aca="false">IF(AND(ISNUMBER($G242),$G242&gt;=60),MIN(INDEX($E$42:$E242,202-60):$E242),"")</f>
        <v>95842107</v>
      </c>
      <c r="O242" s="53" t="n">
        <f aca="false">IF(OR(NOT(ISNUMBER($C242)),NOT(ISNUMBER($M242)),$M242=0),"",$C242/$M242-1)</f>
        <v>-0.063411583279537</v>
      </c>
      <c r="P242" s="54"/>
      <c r="Q242" s="53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104792337</v>
      </c>
      <c r="D243" s="49" t="n">
        <v>105501338</v>
      </c>
      <c r="E243" s="49" t="n">
        <v>104680200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-0.000850864399188023</v>
      </c>
      <c r="I243" s="52" t="n">
        <f aca="false">IF(AND(ISNUMBER($G243),$G243&gt;=MA_SHORT),AVERAGE(INDEX($C$5:$C243,240-MA_SHORT):$C243),"")</f>
        <v>103160330.7</v>
      </c>
      <c r="J243" s="52" t="n">
        <f aca="false">IF(AND(ISNUMBER($G243),$G243&gt;=MA_MED),AVERAGE(INDEX($C$5:$C243,240-MA_MED):$C243),"")</f>
        <v>104915266.66</v>
      </c>
      <c r="K243" s="52" t="n">
        <f aca="false">IF(AND(ISNUMBER($G243),$G243&gt;=MA_LONG2),AVERAGE(INDEX($C$5:$C243,240-MA_LONG2):$C243),"")</f>
        <v>96378488.805</v>
      </c>
      <c r="L243" s="53" t="n">
        <f aca="false">IF(AND(ISNUMBER($G243),$G243&gt;=21),STDEV(INDEX($H$183:$H243,62-20):$H243)*SQRT(245),"")</f>
        <v>0.211880649443306</v>
      </c>
      <c r="M243" s="52" t="n">
        <f aca="false">IF(AND(ISNUMBER($G243),$G243&gt;=60),MAX(INDEX($D$43:$D243,202-60):$D243),"")</f>
        <v>111982569</v>
      </c>
      <c r="N243" s="52" t="n">
        <f aca="false">IF(AND(ISNUMBER($G243),$G243&gt;=60),MIN(INDEX($E$43:$E243,202-60):$E243),"")</f>
        <v>95842107</v>
      </c>
      <c r="O243" s="53" t="n">
        <f aca="false">IF(OR(NOT(ISNUMBER($C243)),NOT(ISNUMBER($M243)),$M243=0),"",$C243/$M243-1)</f>
        <v>-0.0642084930200164</v>
      </c>
      <c r="P243" s="54"/>
      <c r="Q243" s="53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105591067</v>
      </c>
      <c r="D244" s="49" t="n">
        <v>106169185</v>
      </c>
      <c r="E244" s="49" t="n">
        <v>105551709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0.00762202678999335</v>
      </c>
      <c r="I244" s="52" t="n">
        <f aca="false">IF(AND(ISNUMBER($G244),$G244&gt;=MA_SHORT),AVERAGE(INDEX($C$5:$C244,241-MA_SHORT):$C244),"")</f>
        <v>103242671.95</v>
      </c>
      <c r="J244" s="52" t="n">
        <f aca="false">IF(AND(ISNUMBER($G244),$G244&gt;=MA_MED),AVERAGE(INDEX($C$5:$C244,241-MA_MED):$C244),"")</f>
        <v>104925020.78</v>
      </c>
      <c r="K244" s="52" t="n">
        <f aca="false">IF(AND(ISNUMBER($G244),$G244&gt;=MA_LONG2),AVERAGE(INDEX($C$5:$C244,241-MA_LONG2):$C244),"")</f>
        <v>96491421.855</v>
      </c>
      <c r="L244" s="53" t="n">
        <f aca="false">IF(AND(ISNUMBER($G244),$G244&gt;=21),STDEV(INDEX($H$184:$H244,62-20):$H244)*SQRT(245),"")</f>
        <v>0.212651802713248</v>
      </c>
      <c r="M244" s="52" t="n">
        <f aca="false">IF(AND(ISNUMBER($G244),$G244&gt;=60),MAX(INDEX($D$44:$D244,202-60):$D244),"")</f>
        <v>111982569</v>
      </c>
      <c r="N244" s="52" t="n">
        <f aca="false">IF(AND(ISNUMBER($G244),$G244&gt;=60),MIN(INDEX($E$44:$E244,202-60):$E244),"")</f>
        <v>95842107</v>
      </c>
      <c r="O244" s="53" t="n">
        <f aca="false">IF(OR(NOT(ISNUMBER($C244)),NOT(ISNUMBER($M244)),$M244=0),"",$C244/$M244-1)</f>
        <v>-0.0570758650839668</v>
      </c>
      <c r="P244" s="54"/>
      <c r="Q244" s="53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107669093</v>
      </c>
      <c r="D245" s="49" t="n">
        <v>108288197</v>
      </c>
      <c r="E245" s="49" t="n">
        <v>106782675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0.0196799412965492</v>
      </c>
      <c r="I245" s="52" t="n">
        <f aca="false">IF(AND(ISNUMBER($G245),$G245&gt;=MA_SHORT),AVERAGE(INDEX($C$5:$C245,242-MA_SHORT):$C245),"")</f>
        <v>103411196.25</v>
      </c>
      <c r="J245" s="52" t="n">
        <f aca="false">IF(AND(ISNUMBER($G245),$G245&gt;=MA_MED),AVERAGE(INDEX($C$5:$C245,242-MA_MED):$C245),"")</f>
        <v>104992428</v>
      </c>
      <c r="K245" s="52" t="n">
        <f aca="false">IF(AND(ISNUMBER($G245),$G245&gt;=MA_LONG2),AVERAGE(INDEX($C$5:$C245,242-MA_LONG2):$C245),"")</f>
        <v>96615690.295</v>
      </c>
      <c r="L245" s="53" t="n">
        <f aca="false">IF(AND(ISNUMBER($G245),$G245&gt;=21),STDEV(INDEX($H$185:$H245,62-20):$H245)*SQRT(245),"")</f>
        <v>0.222547842109939</v>
      </c>
      <c r="M245" s="52" t="n">
        <f aca="false">IF(AND(ISNUMBER($G245),$G245&gt;=60),MAX(INDEX($D$45:$D245,202-60):$D245),"")</f>
        <v>111982569</v>
      </c>
      <c r="N245" s="52" t="n">
        <f aca="false">IF(AND(ISNUMBER($G245),$G245&gt;=60),MIN(INDEX($E$45:$E245,202-60):$E245),"")</f>
        <v>97781726</v>
      </c>
      <c r="O245" s="53" t="n">
        <f aca="false">IF(OR(NOT(ISNUMBER($C245)),NOT(ISNUMBER($M245)),$M245=0),"",$C245/$M245-1)</f>
        <v>-0.0385191734617197</v>
      </c>
      <c r="P245" s="54"/>
      <c r="Q245" s="53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106349500</v>
      </c>
      <c r="D246" s="49" t="n">
        <v>106707110</v>
      </c>
      <c r="E246" s="49" t="n">
        <v>106110935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-0.0122560055372622</v>
      </c>
      <c r="I246" s="52" t="n">
        <f aca="false">IF(AND(ISNUMBER($G246),$G246&gt;=MA_SHORT),AVERAGE(INDEX($C$5:$C246,243-MA_SHORT):$C246),"")</f>
        <v>103620594.55</v>
      </c>
      <c r="J246" s="52" t="n">
        <f aca="false">IF(AND(ISNUMBER($G246),$G246&gt;=MA_MED),AVERAGE(INDEX($C$5:$C246,243-MA_MED):$C246),"")</f>
        <v>105028570.4</v>
      </c>
      <c r="K246" s="52" t="n">
        <f aca="false">IF(AND(ISNUMBER($G246),$G246&gt;=MA_LONG2),AVERAGE(INDEX($C$5:$C246,243-MA_LONG2):$C246),"")</f>
        <v>96730188.595</v>
      </c>
      <c r="L246" s="53" t="n">
        <f aca="false">IF(AND(ISNUMBER($G246),$G246&gt;=21),STDEV(INDEX($H$186:$H246,62-20):$H246)*SQRT(245),"")</f>
        <v>0.213655461553225</v>
      </c>
      <c r="M246" s="52" t="n">
        <f aca="false">IF(AND(ISNUMBER($G246),$G246&gt;=60),MAX(INDEX($D$46:$D246,202-60):$D246),"")</f>
        <v>111982569</v>
      </c>
      <c r="N246" s="52" t="n">
        <f aca="false">IF(AND(ISNUMBER($G246),$G246&gt;=60),MIN(INDEX($E$46:$E246,202-60):$E246),"")</f>
        <v>97781726</v>
      </c>
      <c r="O246" s="53" t="n">
        <f aca="false">IF(OR(NOT(ISNUMBER($C246)),NOT(ISNUMBER($M246)),$M246=0),"",$C246/$M246-1)</f>
        <v>-0.0503030877957443</v>
      </c>
      <c r="P246" s="54"/>
      <c r="Q246" s="53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106022994</v>
      </c>
      <c r="D247" s="49" t="n">
        <v>106819418</v>
      </c>
      <c r="E247" s="49" t="n">
        <v>105448657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-0.003070122567572</v>
      </c>
      <c r="I247" s="52" t="n">
        <f aca="false">IF(AND(ISNUMBER($G247),$G247&gt;=MA_SHORT),AVERAGE(INDEX($C$5:$C247,244-MA_SHORT):$C247),"")</f>
        <v>103817953.2</v>
      </c>
      <c r="J247" s="52" t="n">
        <f aca="false">IF(AND(ISNUMBER($G247),$G247&gt;=MA_MED),AVERAGE(INDEX($C$5:$C247,244-MA_MED):$C247),"")</f>
        <v>105061786.72</v>
      </c>
      <c r="K247" s="52" t="n">
        <f aca="false">IF(AND(ISNUMBER($G247),$G247&gt;=MA_LONG2),AVERAGE(INDEX($C$5:$C247,244-MA_LONG2):$C247),"")</f>
        <v>96847776.165</v>
      </c>
      <c r="L247" s="53" t="n">
        <f aca="false">IF(AND(ISNUMBER($G247),$G247&gt;=21),STDEV(INDEX($H$187:$H247,62-20):$H247)*SQRT(245),"")</f>
        <v>0.214193164397986</v>
      </c>
      <c r="M247" s="52" t="n">
        <f aca="false">IF(AND(ISNUMBER($G247),$G247&gt;=60),MAX(INDEX($D$47:$D247,202-60):$D247),"")</f>
        <v>111982569</v>
      </c>
      <c r="N247" s="52" t="n">
        <f aca="false">IF(AND(ISNUMBER($G247),$G247&gt;=60),MIN(INDEX($E$47:$E247,202-60):$E247),"")</f>
        <v>97781726</v>
      </c>
      <c r="O247" s="53" t="n">
        <f aca="false">IF(OR(NOT(ISNUMBER($C247)),NOT(ISNUMBER($M247)),$M247=0),"",$C247/$M247-1)</f>
        <v>-0.0532187737182561</v>
      </c>
      <c r="P247" s="54"/>
      <c r="Q247" s="53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106148125</v>
      </c>
      <c r="D248" s="49" t="n">
        <v>106363351</v>
      </c>
      <c r="E248" s="49" t="n">
        <v>104995615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0.00118022511229965</v>
      </c>
      <c r="I248" s="52" t="n">
        <f aca="false">IF(AND(ISNUMBER($G248),$G248&gt;=MA_SHORT),AVERAGE(INDEX($C$5:$C248,245-MA_SHORT):$C248),"")</f>
        <v>104178948.1</v>
      </c>
      <c r="J248" s="52" t="n">
        <f aca="false">IF(AND(ISNUMBER($G248),$G248&gt;=MA_MED),AVERAGE(INDEX($C$5:$C248,245-MA_MED):$C248),"")</f>
        <v>105102910.8</v>
      </c>
      <c r="K248" s="52" t="n">
        <f aca="false">IF(AND(ISNUMBER($G248),$G248&gt;=MA_LONG2),AVERAGE(INDEX($C$5:$C248,245-MA_LONG2):$C248),"")</f>
        <v>96968174.9</v>
      </c>
      <c r="L248" s="53" t="n">
        <f aca="false">IF(AND(ISNUMBER($G248),$G248&gt;=21),STDEV(INDEX($H$188:$H248,62-20):$H248)*SQRT(245),"")</f>
        <v>0.17701273139747</v>
      </c>
      <c r="M248" s="52" t="n">
        <f aca="false">IF(AND(ISNUMBER($G248),$G248&gt;=60),MAX(INDEX($D$48:$D248,202-60):$D248),"")</f>
        <v>111982569</v>
      </c>
      <c r="N248" s="52" t="n">
        <f aca="false">IF(AND(ISNUMBER($G248),$G248&gt;=60),MIN(INDEX($E$48:$E248,202-60):$E248),"")</f>
        <v>97906459</v>
      </c>
      <c r="O248" s="53" t="n">
        <f aca="false">IF(OR(NOT(ISNUMBER($C248)),NOT(ISNUMBER($M248)),$M248=0),"",$C248/$M248-1)</f>
        <v>-0.0521013587391445</v>
      </c>
      <c r="P248" s="54"/>
      <c r="Q248" s="53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104721518</v>
      </c>
      <c r="D249" s="49" t="n">
        <v>104764634</v>
      </c>
      <c r="E249" s="49" t="n">
        <v>104617336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-0.0134397757850174</v>
      </c>
      <c r="I249" s="52" t="n">
        <f aca="false">IF(AND(ISNUMBER($G249),$G249&gt;=MA_SHORT),AVERAGE(INDEX($C$5:$C249,246-MA_SHORT):$C249),"")</f>
        <v>104504330.95</v>
      </c>
      <c r="J249" s="52" t="n">
        <f aca="false">IF(AND(ISNUMBER($G249),$G249&gt;=MA_MED),AVERAGE(INDEX($C$5:$C249,246-MA_MED):$C249),"")</f>
        <v>105078920.92</v>
      </c>
      <c r="K249" s="52" t="n">
        <f aca="false">IF(AND(ISNUMBER($G249),$G249&gt;=MA_LONG2),AVERAGE(INDEX($C$5:$C249,246-MA_LONG2):$C249),"")</f>
        <v>97088723.195</v>
      </c>
      <c r="L249" s="53" t="n">
        <f aca="false">IF(AND(ISNUMBER($G249),$G249&gt;=21),STDEV(INDEX($H$189:$H249,62-20):$H249)*SQRT(245),"")</f>
        <v>0.183141703517569</v>
      </c>
      <c r="M249" s="52" t="n">
        <f aca="false">IF(AND(ISNUMBER($G249),$G249&gt;=60),MAX(INDEX($D$49:$D249,202-60):$D249),"")</f>
        <v>111982569</v>
      </c>
      <c r="N249" s="52" t="n">
        <f aca="false">IF(AND(ISNUMBER($G249),$G249&gt;=60),MIN(INDEX($E$49:$E249,202-60):$E249),"")</f>
        <v>97906459</v>
      </c>
      <c r="O249" s="53" t="n">
        <f aca="false">IF(OR(NOT(ISNUMBER($C249)),NOT(ISNUMBER($M249)),$M249=0),"",$C249/$M249-1)</f>
        <v>-0.0648409039446131</v>
      </c>
      <c r="P249" s="54"/>
      <c r="Q249" s="53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104390918</v>
      </c>
      <c r="D250" s="49" t="n">
        <v>104663083</v>
      </c>
      <c r="E250" s="49" t="n">
        <v>104279962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-0.00315694430632685</v>
      </c>
      <c r="I250" s="52" t="n">
        <f aca="false">IF(AND(ISNUMBER($G250),$G250&gt;=MA_SHORT),AVERAGE(INDEX($C$5:$C250,247-MA_SHORT):$C250),"")</f>
        <v>104728759.6</v>
      </c>
      <c r="J250" s="52" t="n">
        <f aca="false">IF(AND(ISNUMBER($G250),$G250&gt;=MA_MED),AVERAGE(INDEX($C$5:$C250,247-MA_MED):$C250),"")</f>
        <v>105079011.32</v>
      </c>
      <c r="K250" s="52" t="n">
        <f aca="false">IF(AND(ISNUMBER($G250),$G250&gt;=MA_LONG2),AVERAGE(INDEX($C$5:$C250,247-MA_LONG2):$C250),"")</f>
        <v>97210367.66</v>
      </c>
      <c r="L250" s="53" t="n">
        <f aca="false">IF(AND(ISNUMBER($G250),$G250&gt;=21),STDEV(INDEX($H$190:$H250,62-20):$H250)*SQRT(245),"")</f>
        <v>0.176950127069555</v>
      </c>
      <c r="M250" s="52" t="n">
        <f aca="false">IF(AND(ISNUMBER($G250),$G250&gt;=60),MAX(INDEX($D$50:$D250,202-60):$D250),"")</f>
        <v>111982569</v>
      </c>
      <c r="N250" s="52" t="n">
        <f aca="false">IF(AND(ISNUMBER($G250),$G250&gt;=60),MIN(INDEX($E$50:$E250,202-60):$E250),"")</f>
        <v>97906459</v>
      </c>
      <c r="O250" s="53" t="n">
        <f aca="false">IF(OR(NOT(ISNUMBER($C250)),NOT(ISNUMBER($M250)),$M250=0),"",$C250/$M250-1)</f>
        <v>-0.0677931491284148</v>
      </c>
      <c r="P250" s="54"/>
      <c r="Q250" s="53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102550255</v>
      </c>
      <c r="D251" s="49" t="n">
        <v>103039510</v>
      </c>
      <c r="E251" s="49" t="n">
        <v>102300200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-0.0176324055316767</v>
      </c>
      <c r="I251" s="52" t="n">
        <f aca="false">IF(AND(ISNUMBER($G251),$G251&gt;=MA_SHORT),AVERAGE(INDEX($C$5:$C251,248-MA_SHORT):$C251),"")</f>
        <v>104776402.35</v>
      </c>
      <c r="J251" s="52" t="n">
        <f aca="false">IF(AND(ISNUMBER($G251),$G251&gt;=MA_MED),AVERAGE(INDEX($C$5:$C251,248-MA_MED):$C251),"")</f>
        <v>105009535.14</v>
      </c>
      <c r="K251" s="52" t="n">
        <f aca="false">IF(AND(ISNUMBER($G251),$G251&gt;=MA_LONG2),AVERAGE(INDEX($C$5:$C251,248-MA_LONG2):$C251),"")</f>
        <v>97320101.945</v>
      </c>
      <c r="L251" s="53" t="n">
        <f aca="false">IF(AND(ISNUMBER($G251),$G251&gt;=21),STDEV(INDEX($H$191:$H251,62-20):$H251)*SQRT(245),"")</f>
        <v>0.181254532071492</v>
      </c>
      <c r="M251" s="52" t="n">
        <f aca="false">IF(AND(ISNUMBER($G251),$G251&gt;=60),MAX(INDEX($D$51:$D251,202-60):$D251),"")</f>
        <v>111982569</v>
      </c>
      <c r="N251" s="52" t="n">
        <f aca="false">IF(AND(ISNUMBER($G251),$G251&gt;=60),MIN(INDEX($E$51:$E251,202-60):$E251),"")</f>
        <v>97906459</v>
      </c>
      <c r="O251" s="53" t="n">
        <f aca="false">IF(OR(NOT(ISNUMBER($C251)),NOT(ISNUMBER($M251)),$M251=0),"",$C251/$M251-1)</f>
        <v>-0.0842301983623898</v>
      </c>
      <c r="P251" s="54"/>
      <c r="Q251" s="53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103050593</v>
      </c>
      <c r="D252" s="49" t="n">
        <v>103692738</v>
      </c>
      <c r="E252" s="49" t="n">
        <v>102439080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0.00487895422590601</v>
      </c>
      <c r="I252" s="52" t="n">
        <f aca="false">IF(AND(ISNUMBER($G252),$G252&gt;=MA_SHORT),AVERAGE(INDEX($C$5:$C252,249-MA_SHORT):$C252),"")</f>
        <v>104712147.15</v>
      </c>
      <c r="J252" s="52" t="n">
        <f aca="false">IF(AND(ISNUMBER($G252),$G252&gt;=MA_MED),AVERAGE(INDEX($C$5:$C252,249-MA_MED):$C252),"")</f>
        <v>104942248.2</v>
      </c>
      <c r="K252" s="52" t="n">
        <f aca="false">IF(AND(ISNUMBER($G252),$G252&gt;=MA_LONG2),AVERAGE(INDEX($C$5:$C252,249-MA_LONG2):$C252),"")</f>
        <v>97425819.92</v>
      </c>
      <c r="L252" s="53" t="n">
        <f aca="false">IF(AND(ISNUMBER($G252),$G252&gt;=21),STDEV(INDEX($H$192:$H252,62-20):$H252)*SQRT(245),"")</f>
        <v>0.154210038930135</v>
      </c>
      <c r="M252" s="52" t="n">
        <f aca="false">IF(AND(ISNUMBER($G252),$G252&gt;=60),MAX(INDEX($D$52:$D252,202-60):$D252),"")</f>
        <v>111982569</v>
      </c>
      <c r="N252" s="52" t="n">
        <f aca="false">IF(AND(ISNUMBER($G252),$G252&gt;=60),MIN(INDEX($E$52:$E252,202-60):$E252),"")</f>
        <v>97906459</v>
      </c>
      <c r="O252" s="53" t="n">
        <f aca="false">IF(OR(NOT(ISNUMBER($C252)),NOT(ISNUMBER($M252)),$M252=0),"",$C252/$M252-1)</f>
        <v>-0.0797621994187328</v>
      </c>
      <c r="P252" s="54"/>
      <c r="Q252" s="53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100448611</v>
      </c>
      <c r="D253" s="49" t="n">
        <v>100929532</v>
      </c>
      <c r="E253" s="49" t="n">
        <v>100410118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-0.0252495587288857</v>
      </c>
      <c r="I253" s="52" t="n">
        <f aca="false">IF(AND(ISNUMBER($G253),$G253&gt;=MA_SHORT),AVERAGE(INDEX($C$5:$C253,250-MA_SHORT):$C253),"")</f>
        <v>104538879.15</v>
      </c>
      <c r="J253" s="52" t="n">
        <f aca="false">IF(AND(ISNUMBER($G253),$G253&gt;=MA_MED),AVERAGE(INDEX($C$5:$C253,250-MA_MED):$C253),"")</f>
        <v>104788426.5</v>
      </c>
      <c r="K253" s="52" t="n">
        <f aca="false">IF(AND(ISNUMBER($G253),$G253&gt;=MA_LONG2),AVERAGE(INDEX($C$5:$C253,250-MA_LONG2):$C253),"")</f>
        <v>97515674.79</v>
      </c>
      <c r="L253" s="53" t="n">
        <f aca="false">IF(AND(ISNUMBER($G253),$G253&gt;=21),STDEV(INDEX($H$193:$H253,62-20):$H253)*SQRT(245),"")</f>
        <v>0.176599590860335</v>
      </c>
      <c r="M253" s="52" t="n">
        <f aca="false">IF(AND(ISNUMBER($G253),$G253&gt;=60),MAX(INDEX($D$53:$D253,202-60):$D253),"")</f>
        <v>111982569</v>
      </c>
      <c r="N253" s="52" t="n">
        <f aca="false">IF(AND(ISNUMBER($G253),$G253&gt;=60),MIN(INDEX($E$53:$E253,202-60):$E253),"")</f>
        <v>97906459</v>
      </c>
      <c r="O253" s="53" t="n">
        <f aca="false">IF(OR(NOT(ISNUMBER($C253)),NOT(ISNUMBER($M253)),$M253=0),"",$C253/$M253-1)</f>
        <v>-0.10299779780905</v>
      </c>
      <c r="P253" s="54"/>
      <c r="Q253" s="53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101602666</v>
      </c>
      <c r="D254" s="49" t="n">
        <v>101850030</v>
      </c>
      <c r="E254" s="49" t="n">
        <v>101079044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0.0114890090416482</v>
      </c>
      <c r="I254" s="52" t="n">
        <f aca="false">IF(AND(ISNUMBER($G254),$G254&gt;=MA_SHORT),AVERAGE(INDEX($C$5:$C254,251-MA_SHORT):$C254),"")</f>
        <v>104390203.05</v>
      </c>
      <c r="J254" s="52" t="n">
        <f aca="false">IF(AND(ISNUMBER($G254),$G254&gt;=MA_MED),AVERAGE(INDEX($C$5:$C254,251-MA_MED):$C254),"")</f>
        <v>104663102.6</v>
      </c>
      <c r="K254" s="52" t="n">
        <f aca="false">IF(AND(ISNUMBER($G254),$G254&gt;=MA_LONG2),AVERAGE(INDEX($C$5:$C254,251-MA_LONG2):$C254),"")</f>
        <v>97608185.645</v>
      </c>
      <c r="L254" s="53" t="n">
        <f aca="false">IF(AND(ISNUMBER($G254),$G254&gt;=21),STDEV(INDEX($H$194:$H254,62-20):$H254)*SQRT(245),"")</f>
        <v>0.180456350188737</v>
      </c>
      <c r="M254" s="52" t="n">
        <f aca="false">IF(AND(ISNUMBER($G254),$G254&gt;=60),MAX(INDEX($D$54:$D254,202-60):$D254),"")</f>
        <v>111982569</v>
      </c>
      <c r="N254" s="52" t="n">
        <f aca="false">IF(AND(ISNUMBER($G254),$G254&gt;=60),MIN(INDEX($E$54:$E254,202-60):$E254),"")</f>
        <v>97906459</v>
      </c>
      <c r="O254" s="53" t="n">
        <f aca="false">IF(OR(NOT(ISNUMBER($C254)),NOT(ISNUMBER($M254)),$M254=0),"",$C254/$M254-1)</f>
        <v>-0.0926921313976999</v>
      </c>
      <c r="P254" s="54"/>
      <c r="Q254" s="53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99281930</v>
      </c>
      <c r="D255" s="49" t="n">
        <v>99575865</v>
      </c>
      <c r="E255" s="49" t="n">
        <v>98978404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-0.0228412904047223</v>
      </c>
      <c r="I255" s="52" t="n">
        <f aca="false">IF(AND(ISNUMBER($G255),$G255&gt;=MA_SHORT),AVERAGE(INDEX($C$5:$C255,252-MA_SHORT):$C255),"")</f>
        <v>104072607.9</v>
      </c>
      <c r="J255" s="52" t="n">
        <f aca="false">IF(AND(ISNUMBER($G255),$G255&gt;=MA_MED),AVERAGE(INDEX($C$5:$C255,252-MA_MED):$C255),"")</f>
        <v>104460725.64</v>
      </c>
      <c r="K255" s="52" t="n">
        <f aca="false">IF(AND(ISNUMBER($G255),$G255&gt;=MA_LONG2),AVERAGE(INDEX($C$5:$C255,252-MA_LONG2):$C255),"")</f>
        <v>97679203.77</v>
      </c>
      <c r="L255" s="53" t="n">
        <f aca="false">IF(AND(ISNUMBER($G255),$G255&gt;=21),STDEV(INDEX($H$195:$H255,62-20):$H255)*SQRT(245),"")</f>
        <v>0.190004659176319</v>
      </c>
      <c r="M255" s="52" t="n">
        <f aca="false">IF(AND(ISNUMBER($G255),$G255&gt;=60),MAX(INDEX($D$55:$D255,202-60):$D255),"")</f>
        <v>111982569</v>
      </c>
      <c r="N255" s="52" t="n">
        <f aca="false">IF(AND(ISNUMBER($G255),$G255&gt;=60),MIN(INDEX($E$55:$E255,202-60):$E255),"")</f>
        <v>97906459</v>
      </c>
      <c r="O255" s="53" t="n">
        <f aca="false">IF(OR(NOT(ISNUMBER($C255)),NOT(ISNUMBER($M255)),$M255=0),"",$C255/$M255-1)</f>
        <v>-0.113416213910935</v>
      </c>
      <c r="P255" s="54"/>
      <c r="Q255" s="53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98752826</v>
      </c>
      <c r="D256" s="49" t="n">
        <v>99307253</v>
      </c>
      <c r="E256" s="49" t="n">
        <v>98336094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-0.00532930816312693</v>
      </c>
      <c r="I256" s="52" t="n">
        <f aca="false">IF(AND(ISNUMBER($G256),$G256&gt;=MA_SHORT),AVERAGE(INDEX($C$5:$C256,253-MA_SHORT):$C256),"")</f>
        <v>103765491.55</v>
      </c>
      <c r="J256" s="52" t="n">
        <f aca="false">IF(AND(ISNUMBER($G256),$G256&gt;=MA_MED),AVERAGE(INDEX($C$5:$C256,253-MA_MED):$C256),"")</f>
        <v>104231045.16</v>
      </c>
      <c r="K256" s="52" t="n">
        <f aca="false">IF(AND(ISNUMBER($G256),$G256&gt;=MA_LONG2),AVERAGE(INDEX($C$5:$C256,253-MA_LONG2):$C256),"")</f>
        <v>97755680.705</v>
      </c>
      <c r="L256" s="53" t="n">
        <f aca="false">IF(AND(ISNUMBER($G256),$G256&gt;=21),STDEV(INDEX($H$196:$H256,62-20):$H256)*SQRT(245),"")</f>
        <v>0.189645650114671</v>
      </c>
      <c r="M256" s="52" t="n">
        <f aca="false">IF(AND(ISNUMBER($G256),$G256&gt;=60),MAX(INDEX($D$56:$D256,202-60):$D256),"")</f>
        <v>111982569</v>
      </c>
      <c r="N256" s="52" t="n">
        <f aca="false">IF(AND(ISNUMBER($G256),$G256&gt;=60),MIN(INDEX($E$56:$E256,202-60):$E256),"")</f>
        <v>97906459</v>
      </c>
      <c r="O256" s="53" t="n">
        <f aca="false">IF(OR(NOT(ISNUMBER($C256)),NOT(ISNUMBER($M256)),$M256=0),"",$C256/$M256-1)</f>
        <v>-0.118141092119435</v>
      </c>
      <c r="P256" s="54"/>
      <c r="Q256" s="53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99926722</v>
      </c>
      <c r="D257" s="49" t="n">
        <v>100040468</v>
      </c>
      <c r="E257" s="49" t="n">
        <v>99740738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0.0118872142453927</v>
      </c>
      <c r="I257" s="52" t="n">
        <f aca="false">IF(AND(ISNUMBER($G257),$G257&gt;=MA_SHORT),AVERAGE(INDEX($C$5:$C257,254-MA_SHORT):$C257),"")</f>
        <v>103598121.2</v>
      </c>
      <c r="J257" s="52" t="n">
        <f aca="false">IF(AND(ISNUMBER($G257),$G257&gt;=MA_MED),AVERAGE(INDEX($C$5:$C257,254-MA_MED):$C257),"")</f>
        <v>103996227.62</v>
      </c>
      <c r="K257" s="52" t="n">
        <f aca="false">IF(AND(ISNUMBER($G257),$G257&gt;=MA_LONG2),AVERAGE(INDEX($C$5:$C257,254-MA_LONG2):$C257),"")</f>
        <v>97834364.15</v>
      </c>
      <c r="L257" s="53" t="n">
        <f aca="false">IF(AND(ISNUMBER($G257),$G257&gt;=21),STDEV(INDEX($H$197:$H257,62-20):$H257)*SQRT(245),"")</f>
        <v>0.190527917759533</v>
      </c>
      <c r="M257" s="52" t="n">
        <f aca="false">IF(AND(ISNUMBER($G257),$G257&gt;=60),MAX(INDEX($D$57:$D257,202-60):$D257),"")</f>
        <v>111982569</v>
      </c>
      <c r="N257" s="52" t="n">
        <f aca="false">IF(AND(ISNUMBER($G257),$G257&gt;=60),MIN(INDEX($E$57:$E257,202-60):$E257),"")</f>
        <v>97906459</v>
      </c>
      <c r="O257" s="53" t="n">
        <f aca="false">IF(OR(NOT(ISNUMBER($C257)),NOT(ISNUMBER($M257)),$M257=0),"",$C257/$M257-1)</f>
        <v>-0.107658246347251</v>
      </c>
      <c r="P257" s="54"/>
      <c r="Q257" s="53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101483039</v>
      </c>
      <c r="D258" s="49" t="n">
        <v>101958257</v>
      </c>
      <c r="E258" s="49" t="n">
        <v>101009804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0.0155745827427423</v>
      </c>
      <c r="I258" s="52" t="n">
        <f aca="false">IF(AND(ISNUMBER($G258),$G258&gt;=MA_SHORT),AVERAGE(INDEX($C$5:$C258,255-MA_SHORT):$C258),"")</f>
        <v>103544697.85</v>
      </c>
      <c r="J258" s="52" t="n">
        <f aca="false">IF(AND(ISNUMBER($G258),$G258&gt;=MA_MED),AVERAGE(INDEX($C$5:$C258,255-MA_MED):$C258),"")</f>
        <v>103795487.62</v>
      </c>
      <c r="K258" s="52" t="n">
        <f aca="false">IF(AND(ISNUMBER($G258),$G258&gt;=MA_LONG2),AVERAGE(INDEX($C$5:$C258,255-MA_LONG2):$C258),"")</f>
        <v>97915752.74</v>
      </c>
      <c r="L258" s="53" t="n">
        <f aca="false">IF(AND(ISNUMBER($G258),$G258&gt;=21),STDEV(INDEX($H$198:$H258,62-20):$H258)*SQRT(245),"")</f>
        <v>0.198459085772537</v>
      </c>
      <c r="M258" s="52" t="n">
        <f aca="false">IF(AND(ISNUMBER($G258),$G258&gt;=60),MAX(INDEX($D$58:$D258,202-60):$D258),"")</f>
        <v>111982569</v>
      </c>
      <c r="N258" s="52" t="n">
        <f aca="false">IF(AND(ISNUMBER($G258),$G258&gt;=60),MIN(INDEX($E$58:$E258,202-60):$E258),"")</f>
        <v>97906459</v>
      </c>
      <c r="O258" s="53" t="n">
        <f aca="false">IF(OR(NOT(ISNUMBER($C258)),NOT(ISNUMBER($M258)),$M258=0),"",$C258/$M258-1)</f>
        <v>-0.0937603958701823</v>
      </c>
      <c r="P258" s="54"/>
      <c r="Q258" s="53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100071120</v>
      </c>
      <c r="D259" s="49" t="n">
        <v>100127505</v>
      </c>
      <c r="E259" s="49" t="n">
        <v>99852567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-0.0139128569060688</v>
      </c>
      <c r="I259" s="52" t="n">
        <f aca="false">IF(AND(ISNUMBER($G259),$G259&gt;=MA_SHORT),AVERAGE(INDEX($C$5:$C259,256-MA_SHORT):$C259),"")</f>
        <v>103369679.65</v>
      </c>
      <c r="J259" s="52" t="n">
        <f aca="false">IF(AND(ISNUMBER($G259),$G259&gt;=MA_MED),AVERAGE(INDEX($C$5:$C259,256-MA_MED):$C259),"")</f>
        <v>103575973.2</v>
      </c>
      <c r="K259" s="52" t="n">
        <f aca="false">IF(AND(ISNUMBER($G259),$G259&gt;=MA_LONG2),AVERAGE(INDEX($C$5:$C259,256-MA_LONG2):$C259),"")</f>
        <v>97987716.97</v>
      </c>
      <c r="L259" s="53" t="n">
        <f aca="false">IF(AND(ISNUMBER($G259),$G259&gt;=21),STDEV(INDEX($H$199:$H259,62-20):$H259)*SQRT(245),"")</f>
        <v>0.199911130169538</v>
      </c>
      <c r="M259" s="52" t="n">
        <f aca="false">IF(AND(ISNUMBER($G259),$G259&gt;=60),MAX(INDEX($D$59:$D259,202-60):$D259),"")</f>
        <v>111982569</v>
      </c>
      <c r="N259" s="52" t="n">
        <f aca="false">IF(AND(ISNUMBER($G259),$G259&gt;=60),MIN(INDEX($E$59:$E259,202-60):$E259),"")</f>
        <v>97906459</v>
      </c>
      <c r="O259" s="53" t="n">
        <f aca="false">IF(OR(NOT(ISNUMBER($C259)),NOT(ISNUMBER($M259)),$M259=0),"",$C259/$M259-1)</f>
        <v>-0.106368777805053</v>
      </c>
      <c r="P259" s="54"/>
      <c r="Q259" s="53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100848578</v>
      </c>
      <c r="D260" s="49" t="n">
        <v>101705254</v>
      </c>
      <c r="E260" s="49" t="n">
        <v>100399423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0.007769054648334</v>
      </c>
      <c r="I260" s="52" t="n">
        <f aca="false">IF(AND(ISNUMBER($G260),$G260&gt;=MA_SHORT),AVERAGE(INDEX($C$5:$C260,257-MA_SHORT):$C260),"")</f>
        <v>103185325.3</v>
      </c>
      <c r="J260" s="52" t="n">
        <f aca="false">IF(AND(ISNUMBER($G260),$G260&gt;=MA_MED),AVERAGE(INDEX($C$5:$C260,257-MA_MED):$C260),"")</f>
        <v>103408314.96</v>
      </c>
      <c r="K260" s="52" t="n">
        <f aca="false">IF(AND(ISNUMBER($G260),$G260&gt;=MA_LONG2),AVERAGE(INDEX($C$5:$C260,257-MA_LONG2):$C260),"")</f>
        <v>98063456.58</v>
      </c>
      <c r="L260" s="53" t="n">
        <f aca="false">IF(AND(ISNUMBER($G260),$G260&gt;=21),STDEV(INDEX($H$200:$H260,62-20):$H260)*SQRT(245),"")</f>
        <v>0.198893418386798</v>
      </c>
      <c r="M260" s="52" t="n">
        <f aca="false">IF(AND(ISNUMBER($G260),$G260&gt;=60),MAX(INDEX($D$60:$D260,202-60):$D260),"")</f>
        <v>111982569</v>
      </c>
      <c r="N260" s="52" t="n">
        <f aca="false">IF(AND(ISNUMBER($G260),$G260&gt;=60),MIN(INDEX($E$60:$E260,202-60):$E260),"")</f>
        <v>97906459</v>
      </c>
      <c r="O260" s="53" t="n">
        <f aca="false">IF(OR(NOT(ISNUMBER($C260)),NOT(ISNUMBER($M260)),$M260=0),"",$C260/$M260-1)</f>
        <v>-0.0994261080043627</v>
      </c>
      <c r="P260" s="54"/>
      <c r="Q260" s="53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101257563</v>
      </c>
      <c r="D261" s="49" t="n">
        <v>101638362</v>
      </c>
      <c r="E261" s="49" t="n">
        <v>101184234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0.00405543645841</v>
      </c>
      <c r="I261" s="52" t="n">
        <f aca="false">IF(AND(ISNUMBER($G261),$G261&gt;=MA_SHORT),AVERAGE(INDEX($C$5:$C261,258-MA_SHORT):$C261),"")</f>
        <v>102992051.6</v>
      </c>
      <c r="J261" s="52" t="n">
        <f aca="false">IF(AND(ISNUMBER($G261),$G261&gt;=MA_MED),AVERAGE(INDEX($C$5:$C261,258-MA_MED):$C261),"")</f>
        <v>103290362.1</v>
      </c>
      <c r="K261" s="52" t="n">
        <f aca="false">IF(AND(ISNUMBER($G261),$G261&gt;=MA_LONG2),AVERAGE(INDEX($C$5:$C261,258-MA_LONG2):$C261),"")</f>
        <v>98130628.225</v>
      </c>
      <c r="L261" s="53" t="n">
        <f aca="false">IF(AND(ISNUMBER($G261),$G261&gt;=21),STDEV(INDEX($H$201:$H261,62-20):$H261)*SQRT(245),"")</f>
        <v>0.198224014426771</v>
      </c>
      <c r="M261" s="52" t="n">
        <f aca="false">IF(AND(ISNUMBER($G261),$G261&gt;=60),MAX(INDEX($D$61:$D261,202-60):$D261),"")</f>
        <v>111982569</v>
      </c>
      <c r="N261" s="52" t="n">
        <f aca="false">IF(AND(ISNUMBER($G261),$G261&gt;=60),MIN(INDEX($E$61:$E261,202-60):$E261),"")</f>
        <v>97906459</v>
      </c>
      <c r="O261" s="53" t="n">
        <f aca="false">IF(OR(NOT(ISNUMBER($C261)),NOT(ISNUMBER($M261)),$M261=0),"",$C261/$M261-1)</f>
        <v>-0.0957738878092714</v>
      </c>
      <c r="P261" s="54"/>
      <c r="Q261" s="53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100142053</v>
      </c>
      <c r="D262" s="49" t="n">
        <v>100623920</v>
      </c>
      <c r="E262" s="49" t="n">
        <v>99956723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-0.011016559819833</v>
      </c>
      <c r="I262" s="52" t="n">
        <f aca="false">IF(AND(ISNUMBER($G262),$G262&gt;=MA_SHORT),AVERAGE(INDEX($C$5:$C262,259-MA_SHORT):$C262),"")</f>
        <v>102755075.4</v>
      </c>
      <c r="J262" s="52" t="n">
        <f aca="false">IF(AND(ISNUMBER($G262),$G262&gt;=MA_MED),AVERAGE(INDEX($C$5:$C262,259-MA_MED):$C262),"")</f>
        <v>103198544.56</v>
      </c>
      <c r="K262" s="52" t="n">
        <f aca="false">IF(AND(ISNUMBER($G262),$G262&gt;=MA_LONG2),AVERAGE(INDEX($C$5:$C262,259-MA_LONG2):$C262),"")</f>
        <v>98190583.035</v>
      </c>
      <c r="L262" s="53" t="n">
        <f aca="false">IF(AND(ISNUMBER($G262),$G262&gt;=21),STDEV(INDEX($H$202:$H262,62-20):$H262)*SQRT(245),"")</f>
        <v>0.20084079984217</v>
      </c>
      <c r="M262" s="52" t="n">
        <f aca="false">IF(AND(ISNUMBER($G262),$G262&gt;=60),MAX(INDEX($D$62:$D262,202-60):$D262),"")</f>
        <v>111982569</v>
      </c>
      <c r="N262" s="52" t="n">
        <f aca="false">IF(AND(ISNUMBER($G262),$G262&gt;=60),MIN(INDEX($E$62:$E262,202-60):$E262),"")</f>
        <v>97906459</v>
      </c>
      <c r="O262" s="53" t="n">
        <f aca="false">IF(OR(NOT(ISNUMBER($C262)),NOT(ISNUMBER($M262)),$M262=0),"",$C262/$M262-1)</f>
        <v>-0.105735348864876</v>
      </c>
      <c r="P262" s="54"/>
      <c r="Q262" s="53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100067196</v>
      </c>
      <c r="D263" s="49" t="n">
        <v>100460196</v>
      </c>
      <c r="E263" s="49" t="n">
        <v>99879614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-0.000747508142258657</v>
      </c>
      <c r="I263" s="52" t="n">
        <f aca="false">IF(AND(ISNUMBER($G263),$G263&gt;=MA_SHORT),AVERAGE(INDEX($C$5:$C263,260-MA_SHORT):$C263),"")</f>
        <v>102518818.35</v>
      </c>
      <c r="J263" s="52" t="n">
        <f aca="false">IF(AND(ISNUMBER($G263),$G263&gt;=MA_MED),AVERAGE(INDEX($C$5:$C263,260-MA_MED):$C263),"")</f>
        <v>103103280.68</v>
      </c>
      <c r="K263" s="52" t="n">
        <f aca="false">IF(AND(ISNUMBER($G263),$G263&gt;=MA_LONG2),AVERAGE(INDEX($C$5:$C263,260-MA_LONG2):$C263),"")</f>
        <v>98252537.87</v>
      </c>
      <c r="L263" s="53" t="n">
        <f aca="false">IF(AND(ISNUMBER($G263),$G263&gt;=21),STDEV(INDEX($H$203:$H263,62-20):$H263)*SQRT(245),"")</f>
        <v>0.200850283539791</v>
      </c>
      <c r="M263" s="52" t="n">
        <f aca="false">IF(AND(ISNUMBER($G263),$G263&gt;=60),MAX(INDEX($D$63:$D263,202-60):$D263),"")</f>
        <v>111982569</v>
      </c>
      <c r="N263" s="52" t="n">
        <f aca="false">IF(AND(ISNUMBER($G263),$G263&gt;=60),MIN(INDEX($E$63:$E263,202-60):$E263),"")</f>
        <v>97906459</v>
      </c>
      <c r="O263" s="53" t="n">
        <f aca="false">IF(OR(NOT(ISNUMBER($C263)),NOT(ISNUMBER($M263)),$M263=0),"",$C263/$M263-1)</f>
        <v>-0.106403818972933</v>
      </c>
      <c r="P263" s="54"/>
      <c r="Q263" s="53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97140192</v>
      </c>
      <c r="D264" s="49" t="n">
        <v>97869415</v>
      </c>
      <c r="E264" s="49" t="n">
        <v>96825981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-0.029250384911355</v>
      </c>
      <c r="I264" s="52" t="n">
        <f aca="false">IF(AND(ISNUMBER($G264),$G264&gt;=MA_SHORT),AVERAGE(INDEX($C$5:$C264,261-MA_SHORT):$C264),"")</f>
        <v>102096274.6</v>
      </c>
      <c r="J264" s="52" t="n">
        <f aca="false">IF(AND(ISNUMBER($G264),$G264&gt;=MA_MED),AVERAGE(INDEX($C$5:$C264,261-MA_MED):$C264),"")</f>
        <v>102943889.34</v>
      </c>
      <c r="K264" s="52" t="n">
        <f aca="false">IF(AND(ISNUMBER($G264),$G264&gt;=MA_LONG2),AVERAGE(INDEX($C$5:$C264,261-MA_LONG2):$C264),"")</f>
        <v>98300738.945</v>
      </c>
      <c r="L264" s="53" t="n">
        <f aca="false">IF(AND(ISNUMBER($G264),$G264&gt;=21),STDEV(INDEX($H$204:$H264,62-20):$H264)*SQRT(245),"")</f>
        <v>0.21824558606605</v>
      </c>
      <c r="M264" s="52" t="n">
        <f aca="false">IF(AND(ISNUMBER($G264),$G264&gt;=60),MAX(INDEX($D$64:$D264,202-60):$D264),"")</f>
        <v>111982569</v>
      </c>
      <c r="N264" s="52" t="n">
        <f aca="false">IF(AND(ISNUMBER($G264),$G264&gt;=60),MIN(INDEX($E$64:$E264,202-60):$E264),"")</f>
        <v>96825981</v>
      </c>
      <c r="O264" s="53" t="n">
        <f aca="false">IF(OR(NOT(ISNUMBER($C264)),NOT(ISNUMBER($M264)),$M264=0),"",$C264/$M264-1)</f>
        <v>-0.132541851223292</v>
      </c>
      <c r="P264" s="54"/>
      <c r="Q264" s="53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98807782</v>
      </c>
      <c r="D265" s="49" t="n">
        <v>99108989</v>
      </c>
      <c r="E265" s="49" t="n">
        <v>98338432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0.0171668386243256</v>
      </c>
      <c r="I265" s="52" t="n">
        <f aca="false">IF(AND(ISNUMBER($G265),$G265&gt;=MA_SHORT),AVERAGE(INDEX($C$5:$C265,262-MA_SHORT):$C265),"")</f>
        <v>101653209.05</v>
      </c>
      <c r="J265" s="52" t="n">
        <f aca="false">IF(AND(ISNUMBER($G265),$G265&gt;=MA_MED),AVERAGE(INDEX($C$5:$C265,262-MA_MED):$C265),"")</f>
        <v>102851185.2</v>
      </c>
      <c r="K265" s="52" t="n">
        <f aca="false">IF(AND(ISNUMBER($G265),$G265&gt;=MA_LONG2),AVERAGE(INDEX($C$5:$C265,262-MA_LONG2):$C265),"")</f>
        <v>98365156.25</v>
      </c>
      <c r="L265" s="53" t="n">
        <f aca="false">IF(AND(ISNUMBER($G265),$G265&gt;=21),STDEV(INDEX($H$205:$H265,62-20):$H265)*SQRT(245),"")</f>
        <v>0.214870354637279</v>
      </c>
      <c r="M265" s="52" t="n">
        <f aca="false">IF(AND(ISNUMBER($G265),$G265&gt;=60),MAX(INDEX($D$65:$D265,202-60):$D265),"")</f>
        <v>111982569</v>
      </c>
      <c r="N265" s="52" t="n">
        <f aca="false">IF(AND(ISNUMBER($G265),$G265&gt;=60),MIN(INDEX($E$65:$E265,202-60):$E265),"")</f>
        <v>96825981</v>
      </c>
      <c r="O265" s="53" t="n">
        <f aca="false">IF(OR(NOT(ISNUMBER($C265)),NOT(ISNUMBER($M265)),$M265=0),"",$C265/$M265-1)</f>
        <v>-0.117650337169886</v>
      </c>
      <c r="P265" s="54"/>
      <c r="Q265" s="53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99419932</v>
      </c>
      <c r="D266" s="49" t="n">
        <v>99516204</v>
      </c>
      <c r="E266" s="49" t="n">
        <v>98702966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0.00619536222359485</v>
      </c>
      <c r="I266" s="52" t="n">
        <f aca="false">IF(AND(ISNUMBER($G266),$G266&gt;=MA_SHORT),AVERAGE(INDEX($C$5:$C266,263-MA_SHORT):$C266),"")</f>
        <v>101306730.65</v>
      </c>
      <c r="J266" s="52" t="n">
        <f aca="false">IF(AND(ISNUMBER($G266),$G266&gt;=MA_MED),AVERAGE(INDEX($C$5:$C266,263-MA_MED):$C266),"")</f>
        <v>102747532.86</v>
      </c>
      <c r="K266" s="52" t="n">
        <f aca="false">IF(AND(ISNUMBER($G266),$G266&gt;=MA_LONG2),AVERAGE(INDEX($C$5:$C266,263-MA_LONG2):$C266),"")</f>
        <v>98428972.855</v>
      </c>
      <c r="L266" s="53" t="n">
        <f aca="false">IF(AND(ISNUMBER($G266),$G266&gt;=21),STDEV(INDEX($H$206:$H266,62-20):$H266)*SQRT(245),"")</f>
        <v>0.215647892642279</v>
      </c>
      <c r="M266" s="52" t="n">
        <f aca="false">IF(AND(ISNUMBER($G266),$G266&gt;=60),MAX(INDEX($D$66:$D266,202-60):$D266),"")</f>
        <v>111982569</v>
      </c>
      <c r="N266" s="52" t="n">
        <f aca="false">IF(AND(ISNUMBER($G266),$G266&gt;=60),MIN(INDEX($E$66:$E266,202-60):$E266),"")</f>
        <v>96825981</v>
      </c>
      <c r="O266" s="53" t="n">
        <f aca="false">IF(OR(NOT(ISNUMBER($C266)),NOT(ISNUMBER($M266)),$M266=0),"",$C266/$M266-1)</f>
        <v>-0.112183861400786</v>
      </c>
      <c r="P266" s="54"/>
      <c r="Q266" s="53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101044983</v>
      </c>
      <c r="D267" s="49" t="n">
        <v>101107439</v>
      </c>
      <c r="E267" s="49" t="n">
        <v>100562204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0.0163453239939855</v>
      </c>
      <c r="I267" s="52" t="n">
        <f aca="false">IF(AND(ISNUMBER($G267),$G267&gt;=MA_SHORT),AVERAGE(INDEX($C$5:$C267,264-MA_SHORT):$C267),"")</f>
        <v>101057830.1</v>
      </c>
      <c r="J267" s="52" t="n">
        <f aca="false">IF(AND(ISNUMBER($G267),$G267&gt;=MA_MED),AVERAGE(INDEX($C$5:$C267,264-MA_MED):$C267),"")</f>
        <v>102659469.14</v>
      </c>
      <c r="K267" s="52" t="n">
        <f aca="false">IF(AND(ISNUMBER($G267),$G267&gt;=MA_LONG2),AVERAGE(INDEX($C$5:$C267,264-MA_LONG2):$C267),"")</f>
        <v>98496930.05</v>
      </c>
      <c r="L267" s="53" t="n">
        <f aca="false">IF(AND(ISNUMBER($G267),$G267&gt;=21),STDEV(INDEX($H$207:$H267,62-20):$H267)*SQRT(245),"")</f>
        <v>0.226325213947131</v>
      </c>
      <c r="M267" s="52" t="n">
        <f aca="false">IF(AND(ISNUMBER($G267),$G267&gt;=60),MAX(INDEX($D$67:$D267,202-60):$D267),"")</f>
        <v>111641462</v>
      </c>
      <c r="N267" s="52" t="n">
        <f aca="false">IF(AND(ISNUMBER($G267),$G267&gt;=60),MIN(INDEX($E$67:$E267,202-60):$E267),"")</f>
        <v>96825981</v>
      </c>
      <c r="O267" s="53" t="n">
        <f aca="false">IF(OR(NOT(ISNUMBER($C267)),NOT(ISNUMBER($M267)),$M267=0),"",$C267/$M267-1)</f>
        <v>-0.0949152654414361</v>
      </c>
      <c r="P267" s="54"/>
      <c r="Q267" s="53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100742303</v>
      </c>
      <c r="D268" s="49" t="n">
        <v>101287133</v>
      </c>
      <c r="E268" s="49" t="n">
        <v>100534808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-0.00299549755973538</v>
      </c>
      <c r="I268" s="52" t="n">
        <f aca="false">IF(AND(ISNUMBER($G268),$G268&gt;=MA_SHORT),AVERAGE(INDEX($C$5:$C268,265-MA_SHORT):$C268),"")</f>
        <v>100787539</v>
      </c>
      <c r="J268" s="52" t="n">
        <f aca="false">IF(AND(ISNUMBER($G268),$G268&gt;=MA_MED),AVERAGE(INDEX($C$5:$C268,265-MA_MED):$C268),"")</f>
        <v>102588852.96</v>
      </c>
      <c r="K268" s="52" t="n">
        <f aca="false">IF(AND(ISNUMBER($G268),$G268&gt;=MA_LONG2),AVERAGE(INDEX($C$5:$C268,265-MA_LONG2):$C268),"")</f>
        <v>98559615.305</v>
      </c>
      <c r="L268" s="53" t="n">
        <f aca="false">IF(AND(ISNUMBER($G268),$G268&gt;=21),STDEV(INDEX($H$208:$H268,62-20):$H268)*SQRT(245),"")</f>
        <v>0.225968429058285</v>
      </c>
      <c r="M268" s="52" t="n">
        <f aca="false">IF(AND(ISNUMBER($G268),$G268&gt;=60),MAX(INDEX($D$68:$D268,202-60):$D268),"")</f>
        <v>111603701</v>
      </c>
      <c r="N268" s="52" t="n">
        <f aca="false">IF(AND(ISNUMBER($G268),$G268&gt;=60),MIN(INDEX($E$68:$E268,202-60):$E268),"")</f>
        <v>96825981</v>
      </c>
      <c r="O268" s="53" t="n">
        <f aca="false">IF(OR(NOT(ISNUMBER($C268)),NOT(ISNUMBER($M268)),$M268=0),"",$C268/$M268-1)</f>
        <v>-0.0973211273701398</v>
      </c>
      <c r="P268" s="54"/>
      <c r="Q268" s="53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101377616</v>
      </c>
      <c r="D269" s="49" t="n">
        <v>101970951</v>
      </c>
      <c r="E269" s="49" t="n">
        <v>101140023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0.00630631801220583</v>
      </c>
      <c r="I269" s="52" t="n">
        <f aca="false">IF(AND(ISNUMBER($G269),$G269&gt;=MA_SHORT),AVERAGE(INDEX($C$5:$C269,266-MA_SHORT):$C269),"")</f>
        <v>100620343.9</v>
      </c>
      <c r="J269" s="52" t="n">
        <f aca="false">IF(AND(ISNUMBER($G269),$G269&gt;=MA_MED),AVERAGE(INDEX($C$5:$C269,266-MA_MED):$C269),"")</f>
        <v>102549291.76</v>
      </c>
      <c r="K269" s="52" t="n">
        <f aca="false">IF(AND(ISNUMBER($G269),$G269&gt;=MA_LONG2),AVERAGE(INDEX($C$5:$C269,266-MA_LONG2):$C269),"")</f>
        <v>98615136.1</v>
      </c>
      <c r="L269" s="53" t="n">
        <f aca="false">IF(AND(ISNUMBER($G269),$G269&gt;=21),STDEV(INDEX($H$209:$H269,62-20):$H269)*SQRT(245),"")</f>
        <v>0.224215243218711</v>
      </c>
      <c r="M269" s="52" t="n">
        <f aca="false">IF(AND(ISNUMBER($G269),$G269&gt;=60),MAX(INDEX($D$69:$D269,202-60):$D269),"")</f>
        <v>109234439</v>
      </c>
      <c r="N269" s="52" t="n">
        <f aca="false">IF(AND(ISNUMBER($G269),$G269&gt;=60),MIN(INDEX($E$69:$E269,202-60):$E269),"")</f>
        <v>96825981</v>
      </c>
      <c r="O269" s="53" t="n">
        <f aca="false">IF(OR(NOT(ISNUMBER($C269)),NOT(ISNUMBER($M269)),$M269=0),"",$C269/$M269-1)</f>
        <v>-0.0719262447990419</v>
      </c>
      <c r="P269" s="54"/>
      <c r="Q269" s="53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101918668</v>
      </c>
      <c r="D270" s="49" t="n">
        <v>102016903</v>
      </c>
      <c r="E270" s="49" t="n">
        <v>101446374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0.00533699667981935</v>
      </c>
      <c r="I270" s="52" t="n">
        <f aca="false">IF(AND(ISNUMBER($G270),$G270&gt;=MA_SHORT),AVERAGE(INDEX($C$5:$C270,267-MA_SHORT):$C270),"")</f>
        <v>100496731.4</v>
      </c>
      <c r="J270" s="52" t="n">
        <f aca="false">IF(AND(ISNUMBER($G270),$G270&gt;=MA_MED),AVERAGE(INDEX($C$5:$C270,267-MA_MED):$C270),"")</f>
        <v>102499644.04</v>
      </c>
      <c r="K270" s="52" t="n">
        <f aca="false">IF(AND(ISNUMBER($G270),$G270&gt;=MA_LONG2),AVERAGE(INDEX($C$5:$C270,267-MA_LONG2):$C270),"")</f>
        <v>98672968.405</v>
      </c>
      <c r="L270" s="53" t="n">
        <f aca="false">IF(AND(ISNUMBER($G270),$G270&gt;=21),STDEV(INDEX($H$210:$H270,62-20):$H270)*SQRT(245),"")</f>
        <v>0.225385004385294</v>
      </c>
      <c r="M270" s="52" t="n">
        <f aca="false">IF(AND(ISNUMBER($G270),$G270&gt;=60),MAX(INDEX($D$70:$D270,202-60):$D270),"")</f>
        <v>108288197</v>
      </c>
      <c r="N270" s="52" t="n">
        <f aca="false">IF(AND(ISNUMBER($G270),$G270&gt;=60),MIN(INDEX($E$70:$E270,202-60):$E270),"")</f>
        <v>96825981</v>
      </c>
      <c r="O270" s="53" t="n">
        <f aca="false">IF(OR(NOT(ISNUMBER($C270)),NOT(ISNUMBER($M270)),$M270=0),"",$C270/$M270-1)</f>
        <v>-0.0588201593198564</v>
      </c>
      <c r="P270" s="54"/>
      <c r="Q270" s="53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103172606</v>
      </c>
      <c r="D271" s="49" t="n">
        <v>103273986</v>
      </c>
      <c r="E271" s="49" t="n">
        <v>103011363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0.012303320133658</v>
      </c>
      <c r="I271" s="52" t="n">
        <f aca="false">IF(AND(ISNUMBER($G271),$G271&gt;=MA_SHORT),AVERAGE(INDEX($C$5:$C271,268-MA_SHORT):$C271),"")</f>
        <v>100527848.95</v>
      </c>
      <c r="J271" s="52" t="n">
        <f aca="false">IF(AND(ISNUMBER($G271),$G271&gt;=MA_MED),AVERAGE(INDEX($C$5:$C271,268-MA_MED):$C271),"")</f>
        <v>102498013.36</v>
      </c>
      <c r="K271" s="52" t="n">
        <f aca="false">IF(AND(ISNUMBER($G271),$G271&gt;=MA_LONG2),AVERAGE(INDEX($C$5:$C271,268-MA_LONG2):$C271),"")</f>
        <v>98735974.44</v>
      </c>
      <c r="L271" s="53" t="n">
        <f aca="false">IF(AND(ISNUMBER($G271),$G271&gt;=21),STDEV(INDEX($H$211:$H271,62-20):$H271)*SQRT(245),"")</f>
        <v>0.221385647519419</v>
      </c>
      <c r="M271" s="52" t="n">
        <f aca="false">IF(AND(ISNUMBER($G271),$G271&gt;=60),MAX(INDEX($D$71:$D271,202-60):$D271),"")</f>
        <v>108288197</v>
      </c>
      <c r="N271" s="52" t="n">
        <f aca="false">IF(AND(ISNUMBER($G271),$G271&gt;=60),MIN(INDEX($E$71:$E271,202-60):$E271),"")</f>
        <v>96825981</v>
      </c>
      <c r="O271" s="53" t="n">
        <f aca="false">IF(OR(NOT(ISNUMBER($C271)),NOT(ISNUMBER($M271)),$M271=0),"",$C271/$M271-1)</f>
        <v>-0.0472405224366235</v>
      </c>
      <c r="P271" s="54"/>
      <c r="Q271" s="53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104673510</v>
      </c>
      <c r="D272" s="49" t="n">
        <v>105398929</v>
      </c>
      <c r="E272" s="49" t="n">
        <v>104618822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0.0145475049840265</v>
      </c>
      <c r="I272" s="52" t="n">
        <f aca="false">IF(AND(ISNUMBER($G272),$G272&gt;=MA_SHORT),AVERAGE(INDEX($C$5:$C272,269-MA_SHORT):$C272),"")</f>
        <v>100608994.8</v>
      </c>
      <c r="J272" s="52" t="n">
        <f aca="false">IF(AND(ISNUMBER($G272),$G272&gt;=MA_MED),AVERAGE(INDEX($C$5:$C272,269-MA_MED):$C272),"")</f>
        <v>102525583.24</v>
      </c>
      <c r="K272" s="52" t="n">
        <f aca="false">IF(AND(ISNUMBER($G272),$G272&gt;=MA_LONG2),AVERAGE(INDEX($C$5:$C272,269-MA_LONG2):$C272),"")</f>
        <v>98802102.85</v>
      </c>
      <c r="L272" s="53" t="n">
        <f aca="false">IF(AND(ISNUMBER($G272),$G272&gt;=21),STDEV(INDEX($H$212:$H272,62-20):$H272)*SQRT(245),"")</f>
        <v>0.226437606162631</v>
      </c>
      <c r="M272" s="52" t="n">
        <f aca="false">IF(AND(ISNUMBER($G272),$G272&gt;=60),MAX(INDEX($D$72:$D272,202-60):$D272),"")</f>
        <v>108288197</v>
      </c>
      <c r="N272" s="52" t="n">
        <f aca="false">IF(AND(ISNUMBER($G272),$G272&gt;=60),MIN(INDEX($E$72:$E272,202-60):$E272),"")</f>
        <v>96825981</v>
      </c>
      <c r="O272" s="53" t="n">
        <f aca="false">IF(OR(NOT(ISNUMBER($C272)),NOT(ISNUMBER($M272)),$M272=0),"",$C272/$M272-1)</f>
        <v>-0.0333802491881917</v>
      </c>
      <c r="P272" s="54"/>
      <c r="Q272" s="53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104191671</v>
      </c>
      <c r="D273" s="49" t="n">
        <v>104806853</v>
      </c>
      <c r="E273" s="49" t="n">
        <v>104128330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-0.00460325635397152</v>
      </c>
      <c r="I273" s="52" t="n">
        <f aca="false">IF(AND(ISNUMBER($G273),$G273&gt;=MA_SHORT),AVERAGE(INDEX($C$5:$C273,270-MA_SHORT):$C273),"")</f>
        <v>100796147.8</v>
      </c>
      <c r="J273" s="52" t="n">
        <f aca="false">IF(AND(ISNUMBER($G273),$G273&gt;=MA_MED),AVERAGE(INDEX($C$5:$C273,270-MA_MED):$C273),"")</f>
        <v>102521444.88</v>
      </c>
      <c r="K273" s="52" t="n">
        <f aca="false">IF(AND(ISNUMBER($G273),$G273&gt;=MA_LONG2),AVERAGE(INDEX($C$5:$C273,270-MA_LONG2):$C273),"")</f>
        <v>98864020.43</v>
      </c>
      <c r="L273" s="53" t="n">
        <f aca="false">IF(AND(ISNUMBER($G273),$G273&gt;=21),STDEV(INDEX($H$213:$H273,62-20):$H273)*SQRT(245),"")</f>
        <v>0.20635410318477</v>
      </c>
      <c r="M273" s="52" t="n">
        <f aca="false">IF(AND(ISNUMBER($G273),$G273&gt;=60),MAX(INDEX($D$73:$D273,202-60):$D273),"")</f>
        <v>108288197</v>
      </c>
      <c r="N273" s="52" t="n">
        <f aca="false">IF(AND(ISNUMBER($G273),$G273&gt;=60),MIN(INDEX($E$73:$E273,202-60):$E273),"")</f>
        <v>96825981</v>
      </c>
      <c r="O273" s="53" t="n">
        <f aca="false">IF(OR(NOT(ISNUMBER($C273)),NOT(ISNUMBER($M273)),$M273=0),"",$C273/$M273-1)</f>
        <v>-0.0378298476979906</v>
      </c>
      <c r="P273" s="54"/>
      <c r="Q273" s="53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103868843</v>
      </c>
      <c r="D274" s="49" t="n">
        <v>103879263</v>
      </c>
      <c r="E274" s="49" t="n">
        <v>103397491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-0.00309840505389336</v>
      </c>
      <c r="I274" s="52" t="n">
        <f aca="false">IF(AND(ISNUMBER($G274),$G274&gt;=MA_SHORT),AVERAGE(INDEX($C$5:$C274,271-MA_SHORT):$C274),"")</f>
        <v>100909456.65</v>
      </c>
      <c r="J274" s="52" t="n">
        <f aca="false">IF(AND(ISNUMBER($G274),$G274&gt;=MA_MED),AVERAGE(INDEX($C$5:$C274,271-MA_MED):$C274),"")</f>
        <v>102519936.9</v>
      </c>
      <c r="K274" s="52" t="n">
        <f aca="false">IF(AND(ISNUMBER($G274),$G274&gt;=MA_LONG2),AVERAGE(INDEX($C$5:$C274,271-MA_LONG2):$C274),"")</f>
        <v>98928246.4</v>
      </c>
      <c r="L274" s="53" t="n">
        <f aca="false">IF(AND(ISNUMBER($G274),$G274&gt;=21),STDEV(INDEX($H$214:$H274,62-20):$H274)*SQRT(245),"")</f>
        <v>0.20392791989566</v>
      </c>
      <c r="M274" s="52" t="n">
        <f aca="false">IF(AND(ISNUMBER($G274),$G274&gt;=60),MAX(INDEX($D$74:$D274,202-60):$D274),"")</f>
        <v>108288197</v>
      </c>
      <c r="N274" s="52" t="n">
        <f aca="false">IF(AND(ISNUMBER($G274),$G274&gt;=60),MIN(INDEX($E$74:$E274,202-60):$E274),"")</f>
        <v>96825981</v>
      </c>
      <c r="O274" s="53" t="n">
        <f aca="false">IF(OR(NOT(ISNUMBER($C274)),NOT(ISNUMBER($M274)),$M274=0),"",$C274/$M274-1)</f>
        <v>-0.0408110405605885</v>
      </c>
      <c r="P274" s="54"/>
      <c r="Q274" s="53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105620183</v>
      </c>
      <c r="D275" s="49" t="n">
        <v>106096386</v>
      </c>
      <c r="E275" s="49" t="n">
        <v>105504370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0.0168610716112434</v>
      </c>
      <c r="I275" s="52" t="n">
        <f aca="false">IF(AND(ISNUMBER($G275),$G275&gt;=MA_SHORT),AVERAGE(INDEX($C$5:$C275,272-MA_SHORT):$C275),"")</f>
        <v>101226369.3</v>
      </c>
      <c r="J275" s="52" t="n">
        <f aca="false">IF(AND(ISNUMBER($G275),$G275&gt;=MA_MED),AVERAGE(INDEX($C$5:$C275,272-MA_MED):$C275),"")</f>
        <v>102546368.42</v>
      </c>
      <c r="K275" s="52" t="n">
        <f aca="false">IF(AND(ISNUMBER($G275),$G275&gt;=MA_LONG2),AVERAGE(INDEX($C$5:$C275,272-MA_LONG2):$C275),"")</f>
        <v>98998800.165</v>
      </c>
      <c r="L275" s="53" t="n">
        <f aca="false">IF(AND(ISNUMBER($G275),$G275&gt;=21),STDEV(INDEX($H$215:$H275,62-20):$H275)*SQRT(245),"")</f>
        <v>0.190514486097163</v>
      </c>
      <c r="M275" s="52" t="n">
        <f aca="false">IF(AND(ISNUMBER($G275),$G275&gt;=60),MAX(INDEX($D$75:$D275,202-60):$D275),"")</f>
        <v>108288197</v>
      </c>
      <c r="N275" s="52" t="n">
        <f aca="false">IF(AND(ISNUMBER($G275),$G275&gt;=60),MIN(INDEX($E$75:$E275,202-60):$E275),"")</f>
        <v>96825981</v>
      </c>
      <c r="O275" s="53" t="n">
        <f aca="false">IF(OR(NOT(ISNUMBER($C275)),NOT(ISNUMBER($M275)),$M275=0),"",$C275/$M275-1)</f>
        <v>-0.0246380868267665</v>
      </c>
      <c r="P275" s="54"/>
      <c r="Q275" s="53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106136647</v>
      </c>
      <c r="D276" s="49" t="n">
        <v>106480625</v>
      </c>
      <c r="E276" s="49" t="n">
        <v>105903941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0.00488982299907592</v>
      </c>
      <c r="I276" s="52" t="n">
        <f aca="false">IF(AND(ISNUMBER($G276),$G276&gt;=MA_SHORT),AVERAGE(INDEX($C$5:$C276,273-MA_SHORT):$C276),"")</f>
        <v>101595560.35</v>
      </c>
      <c r="J276" s="52" t="n">
        <f aca="false">IF(AND(ISNUMBER($G276),$G276&gt;=MA_MED),AVERAGE(INDEX($C$5:$C276,273-MA_MED):$C276),"")</f>
        <v>102625870.68</v>
      </c>
      <c r="K276" s="52" t="n">
        <f aca="false">IF(AND(ISNUMBER($G276),$G276&gt;=MA_LONG2),AVERAGE(INDEX($C$5:$C276,273-MA_LONG2):$C276),"")</f>
        <v>99080748.985</v>
      </c>
      <c r="L276" s="53" t="n">
        <f aca="false">IF(AND(ISNUMBER($G276),$G276&gt;=21),STDEV(INDEX($H$216:$H276,62-20):$H276)*SQRT(245),"")</f>
        <v>0.187976457594893</v>
      </c>
      <c r="M276" s="52" t="n">
        <f aca="false">IF(AND(ISNUMBER($G276),$G276&gt;=60),MAX(INDEX($D$76:$D276,202-60):$D276),"")</f>
        <v>108288197</v>
      </c>
      <c r="N276" s="52" t="n">
        <f aca="false">IF(AND(ISNUMBER($G276),$G276&gt;=60),MIN(INDEX($E$76:$E276,202-60):$E276),"")</f>
        <v>96825981</v>
      </c>
      <c r="O276" s="53" t="n">
        <f aca="false">IF(OR(NOT(ISNUMBER($C276)),NOT(ISNUMBER($M276)),$M276=0),"",$C276/$M276-1)</f>
        <v>-0.0198687397113094</v>
      </c>
      <c r="P276" s="54"/>
      <c r="Q276" s="53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106834971</v>
      </c>
      <c r="D277" s="49" t="n">
        <v>107459803</v>
      </c>
      <c r="E277" s="49" t="n">
        <v>106531701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0.00657948050686019</v>
      </c>
      <c r="I277" s="52" t="n">
        <f aca="false">IF(AND(ISNUMBER($G277),$G277&gt;=MA_SHORT),AVERAGE(INDEX($C$5:$C277,274-MA_SHORT):$C277),"")</f>
        <v>101940972.8</v>
      </c>
      <c r="J277" s="52" t="n">
        <f aca="false">IF(AND(ISNUMBER($G277),$G277&gt;=MA_MED),AVERAGE(INDEX($C$5:$C277,274-MA_MED):$C277),"")</f>
        <v>102721053.68</v>
      </c>
      <c r="K277" s="52" t="n">
        <f aca="false">IF(AND(ISNUMBER($G277),$G277&gt;=MA_LONG2),AVERAGE(INDEX($C$5:$C277,274-MA_LONG2):$C277),"")</f>
        <v>99155500.055</v>
      </c>
      <c r="L277" s="53" t="n">
        <f aca="false">IF(AND(ISNUMBER($G277),$G277&gt;=21),STDEV(INDEX($H$217:$H277,62-20):$H277)*SQRT(245),"")</f>
        <v>0.185894919127941</v>
      </c>
      <c r="M277" s="52" t="n">
        <f aca="false">IF(AND(ISNUMBER($G277),$G277&gt;=60),MAX(INDEX($D$77:$D277,202-60):$D277),"")</f>
        <v>108288197</v>
      </c>
      <c r="N277" s="52" t="n">
        <f aca="false">IF(AND(ISNUMBER($G277),$G277&gt;=60),MIN(INDEX($E$77:$E277,202-60):$E277),"")</f>
        <v>96825981</v>
      </c>
      <c r="O277" s="53" t="n">
        <f aca="false">IF(OR(NOT(ISNUMBER($C277)),NOT(ISNUMBER($M277)),$M277=0),"",$C277/$M277-1)</f>
        <v>-0.0134199851900757</v>
      </c>
      <c r="P277" s="54"/>
      <c r="Q277" s="53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105795051</v>
      </c>
      <c r="D278" s="49" t="n">
        <v>106199580</v>
      </c>
      <c r="E278" s="49" t="n">
        <v>105434619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-0.0097338913491164</v>
      </c>
      <c r="I278" s="52" t="n">
        <f aca="false">IF(AND(ISNUMBER($G278),$G278&gt;=MA_SHORT),AVERAGE(INDEX($C$5:$C278,275-MA_SHORT):$C278),"")</f>
        <v>102156573.4</v>
      </c>
      <c r="J278" s="52" t="n">
        <f aca="false">IF(AND(ISNUMBER($G278),$G278&gt;=MA_MED),AVERAGE(INDEX($C$5:$C278,275-MA_MED):$C278),"")</f>
        <v>102858390.16</v>
      </c>
      <c r="K278" s="52" t="n">
        <f aca="false">IF(AND(ISNUMBER($G278),$G278&gt;=MA_LONG2),AVERAGE(INDEX($C$5:$C278,275-MA_LONG2):$C278),"")</f>
        <v>99225719.055</v>
      </c>
      <c r="L278" s="53" t="n">
        <f aca="false">IF(AND(ISNUMBER($G278),$G278&gt;=21),STDEV(INDEX($H$218:$H278,62-20):$H278)*SQRT(245),"")</f>
        <v>0.18565297929537</v>
      </c>
      <c r="M278" s="52" t="n">
        <f aca="false">IF(AND(ISNUMBER($G278),$G278&gt;=60),MAX(INDEX($D$78:$D278,202-60):$D278),"")</f>
        <v>108288197</v>
      </c>
      <c r="N278" s="52" t="n">
        <f aca="false">IF(AND(ISNUMBER($G278),$G278&gt;=60),MIN(INDEX($E$78:$E278,202-60):$E278),"")</f>
        <v>96825981</v>
      </c>
      <c r="O278" s="53" t="n">
        <f aca="false">IF(OR(NOT(ISNUMBER($C278)),NOT(ISNUMBER($M278)),$M278=0),"",$C278/$M278-1)</f>
        <v>-0.0230232478614452</v>
      </c>
      <c r="P278" s="54"/>
      <c r="Q278" s="53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105669189</v>
      </c>
      <c r="D279" s="49" t="n">
        <v>105776030</v>
      </c>
      <c r="E279" s="49" t="n">
        <v>105325516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-0.00118967757764021</v>
      </c>
      <c r="I279" s="52" t="n">
        <f aca="false">IF(AND(ISNUMBER($G279),$G279&gt;=MA_SHORT),AVERAGE(INDEX($C$5:$C279,276-MA_SHORT):$C279),"")</f>
        <v>102436476.85</v>
      </c>
      <c r="J279" s="52" t="n">
        <f aca="false">IF(AND(ISNUMBER($G279),$G279&gt;=MA_MED),AVERAGE(INDEX($C$5:$C279,276-MA_MED):$C279),"")</f>
        <v>103007496.72</v>
      </c>
      <c r="K279" s="52" t="n">
        <f aca="false">IF(AND(ISNUMBER($G279),$G279&gt;=MA_LONG2),AVERAGE(INDEX($C$5:$C279,276-MA_LONG2):$C279),"")</f>
        <v>99296946.53</v>
      </c>
      <c r="L279" s="53" t="n">
        <f aca="false">IF(AND(ISNUMBER($G279),$G279&gt;=21),STDEV(INDEX($H$219:$H279,62-20):$H279)*SQRT(245),"")</f>
        <v>0.176577092569779</v>
      </c>
      <c r="M279" s="52" t="n">
        <f aca="false">IF(AND(ISNUMBER($G279),$G279&gt;=60),MAX(INDEX($D$79:$D279,202-60):$D279),"")</f>
        <v>108288197</v>
      </c>
      <c r="N279" s="52" t="n">
        <f aca="false">IF(AND(ISNUMBER($G279),$G279&gt;=60),MIN(INDEX($E$79:$E279,202-60):$E279),"")</f>
        <v>96825981</v>
      </c>
      <c r="O279" s="53" t="n">
        <f aca="false">IF(OR(NOT(ISNUMBER($C279)),NOT(ISNUMBER($M279)),$M279=0),"",$C279/$M279-1)</f>
        <v>-0.0241855351973401</v>
      </c>
      <c r="P279" s="54"/>
      <c r="Q279" s="53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106545727</v>
      </c>
      <c r="D280" s="49" t="n">
        <v>106766458</v>
      </c>
      <c r="E280" s="49" t="n">
        <v>106497017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0.0082951142929657</v>
      </c>
      <c r="I280" s="52" t="n">
        <f aca="false">IF(AND(ISNUMBER($G280),$G280&gt;=MA_SHORT),AVERAGE(INDEX($C$5:$C280,277-MA_SHORT):$C280),"")</f>
        <v>102721334.3</v>
      </c>
      <c r="J280" s="52" t="n">
        <f aca="false">IF(AND(ISNUMBER($G280),$G280&gt;=MA_MED),AVERAGE(INDEX($C$5:$C280,277-MA_MED):$C280),"")</f>
        <v>103140364.36</v>
      </c>
      <c r="K280" s="52" t="n">
        <f aca="false">IF(AND(ISNUMBER($G280),$G280&gt;=MA_LONG2),AVERAGE(INDEX($C$5:$C280,277-MA_LONG2):$C280),"")</f>
        <v>99376107.4</v>
      </c>
      <c r="L280" s="53" t="n">
        <f aca="false">IF(AND(ISNUMBER($G280),$G280&gt;=21),STDEV(INDEX($H$220:$H280,62-20):$H280)*SQRT(245),"")</f>
        <v>0.176778004476903</v>
      </c>
      <c r="M280" s="52" t="n">
        <f aca="false">IF(AND(ISNUMBER($G280),$G280&gt;=60),MAX(INDEX($D$80:$D280,202-60):$D280),"")</f>
        <v>108288197</v>
      </c>
      <c r="N280" s="52" t="n">
        <f aca="false">IF(AND(ISNUMBER($G280),$G280&gt;=60),MIN(INDEX($E$80:$E280,202-60):$E280),"")</f>
        <v>96825981</v>
      </c>
      <c r="O280" s="53" t="n">
        <f aca="false">IF(OR(NOT(ISNUMBER($C280)),NOT(ISNUMBER($M280)),$M280=0),"",$C280/$M280-1)</f>
        <v>-0.0160910426830728</v>
      </c>
      <c r="P280" s="54"/>
      <c r="Q280" s="53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108254541</v>
      </c>
      <c r="D281" s="49" t="n">
        <v>108433177</v>
      </c>
      <c r="E281" s="49" t="n">
        <v>108204036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0.0160383156426349</v>
      </c>
      <c r="I281" s="52" t="n">
        <f aca="false">IF(AND(ISNUMBER($G281),$G281&gt;=MA_SHORT),AVERAGE(INDEX($C$5:$C281,278-MA_SHORT):$C281),"")</f>
        <v>103071183.2</v>
      </c>
      <c r="J281" s="52" t="n">
        <f aca="false">IF(AND(ISNUMBER($G281),$G281&gt;=MA_MED),AVERAGE(INDEX($C$5:$C281,278-MA_MED):$C281),"")</f>
        <v>103273507.18</v>
      </c>
      <c r="K281" s="52" t="n">
        <f aca="false">IF(AND(ISNUMBER($G281),$G281&gt;=MA_LONG2),AVERAGE(INDEX($C$5:$C281,278-MA_LONG2):$C281),"")</f>
        <v>99467879.405</v>
      </c>
      <c r="L281" s="53" t="n">
        <f aca="false">IF(AND(ISNUMBER($G281),$G281&gt;=21),STDEV(INDEX($H$221:$H281,62-20):$H281)*SQRT(245),"")</f>
        <v>0.182739104419494</v>
      </c>
      <c r="M281" s="52" t="n">
        <f aca="false">IF(AND(ISNUMBER($G281),$G281&gt;=60),MAX(INDEX($D$81:$D281,202-60):$D281),"")</f>
        <v>108433177</v>
      </c>
      <c r="N281" s="52" t="n">
        <f aca="false">IF(AND(ISNUMBER($G281),$G281&gt;=60),MIN(INDEX($E$81:$E281,202-60):$E281),"")</f>
        <v>96825981</v>
      </c>
      <c r="O281" s="53" t="n">
        <f aca="false">IF(OR(NOT(ISNUMBER($C281)),NOT(ISNUMBER($M281)),$M281=0),"",$C281/$M281-1)</f>
        <v>-0.00164742936564521</v>
      </c>
      <c r="P281" s="54"/>
      <c r="Q281" s="53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108727898</v>
      </c>
      <c r="D282" s="49" t="n">
        <v>108815167</v>
      </c>
      <c r="E282" s="49" t="n">
        <v>108353452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0.00437262950475215</v>
      </c>
      <c r="I282" s="52" t="n">
        <f aca="false">IF(AND(ISNUMBER($G282),$G282&gt;=MA_SHORT),AVERAGE(INDEX($C$5:$C282,279-MA_SHORT):$C282),"")</f>
        <v>103500475.45</v>
      </c>
      <c r="J282" s="52" t="n">
        <f aca="false">IF(AND(ISNUMBER($G282),$G282&gt;=MA_MED),AVERAGE(INDEX($C$5:$C282,279-MA_MED):$C282),"")</f>
        <v>103361351.2</v>
      </c>
      <c r="K282" s="52" t="n">
        <f aca="false">IF(AND(ISNUMBER($G282),$G282&gt;=MA_LONG2),AVERAGE(INDEX($C$5:$C282,279-MA_LONG2):$C282),"")</f>
        <v>99568242.69</v>
      </c>
      <c r="L282" s="53" t="n">
        <f aca="false">IF(AND(ISNUMBER($G282),$G282&gt;=21),STDEV(INDEX($H$222:$H282,62-20):$H282)*SQRT(245),"")</f>
        <v>0.174838530700835</v>
      </c>
      <c r="M282" s="52" t="n">
        <f aca="false">IF(AND(ISNUMBER($G282),$G282&gt;=60),MAX(INDEX($D$82:$D282,202-60):$D282),"")</f>
        <v>108815167</v>
      </c>
      <c r="N282" s="52" t="n">
        <f aca="false">IF(AND(ISNUMBER($G282),$G282&gt;=60),MIN(INDEX($E$82:$E282,202-60):$E282),"")</f>
        <v>96825981</v>
      </c>
      <c r="O282" s="53" t="n">
        <f aca="false">IF(OR(NOT(ISNUMBER($C282)),NOT(ISNUMBER($M282)),$M282=0),"",$C282/$M282-1)</f>
        <v>-0.000801992979526434</v>
      </c>
      <c r="P282" s="54"/>
      <c r="Q282" s="53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109669647</v>
      </c>
      <c r="D283" s="49" t="n">
        <v>109769067</v>
      </c>
      <c r="E283" s="49" t="n">
        <v>109214952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0.00866152125924491</v>
      </c>
      <c r="I283" s="52" t="n">
        <f aca="false">IF(AND(ISNUMBER($G283),$G283&gt;=MA_SHORT),AVERAGE(INDEX($C$5:$C283,280-MA_SHORT):$C283),"")</f>
        <v>103980598</v>
      </c>
      <c r="J283" s="52" t="n">
        <f aca="false">IF(AND(ISNUMBER($G283),$G283&gt;=MA_MED),AVERAGE(INDEX($C$5:$C283,280-MA_MED):$C283),"")</f>
        <v>103476464.72</v>
      </c>
      <c r="K283" s="52" t="n">
        <f aca="false">IF(AND(ISNUMBER($G283),$G283&gt;=MA_LONG2),AVERAGE(INDEX($C$5:$C283,280-MA_LONG2):$C283),"")</f>
        <v>99669349.38</v>
      </c>
      <c r="L283" s="53" t="n">
        <f aca="false">IF(AND(ISNUMBER($G283),$G283&gt;=21),STDEV(INDEX($H$223:$H283,62-20):$H283)*SQRT(245),"")</f>
        <v>0.174519588631673</v>
      </c>
      <c r="M283" s="52" t="n">
        <f aca="false">IF(AND(ISNUMBER($G283),$G283&gt;=60),MAX(INDEX($D$83:$D283,202-60):$D283),"")</f>
        <v>109769067</v>
      </c>
      <c r="N283" s="52" t="n">
        <f aca="false">IF(AND(ISNUMBER($G283),$G283&gt;=60),MIN(INDEX($E$83:$E283,202-60):$E283),"")</f>
        <v>96825981</v>
      </c>
      <c r="O283" s="53" t="n">
        <f aca="false">IF(OR(NOT(ISNUMBER($C283)),NOT(ISNUMBER($M283)),$M283=0),"",$C283/$M283-1)</f>
        <v>-0.000905719641399516</v>
      </c>
      <c r="P283" s="54"/>
      <c r="Q283" s="53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108958902</v>
      </c>
      <c r="D284" s="49" t="n">
        <v>109150188</v>
      </c>
      <c r="E284" s="49" t="n">
        <v>108435651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-0.00648078132320418</v>
      </c>
      <c r="I284" s="52" t="n">
        <f aca="false">IF(AND(ISNUMBER($G284),$G284&gt;=MA_SHORT),AVERAGE(INDEX($C$5:$C284,281-MA_SHORT):$C284),"")</f>
        <v>104571533.5</v>
      </c>
      <c r="J284" s="52" t="n">
        <f aca="false">IF(AND(ISNUMBER($G284),$G284&gt;=MA_MED),AVERAGE(INDEX($C$5:$C284,281-MA_MED):$C284),"")</f>
        <v>103564119</v>
      </c>
      <c r="K284" s="52" t="n">
        <f aca="false">IF(AND(ISNUMBER($G284),$G284&gt;=MA_LONG2),AVERAGE(INDEX($C$5:$C284,281-MA_LONG2):$C284),"")</f>
        <v>99775485.845</v>
      </c>
      <c r="L284" s="53" t="n">
        <f aca="false">IF(AND(ISNUMBER($G284),$G284&gt;=21),STDEV(INDEX($H$224:$H284,62-20):$H284)*SQRT(245),"")</f>
        <v>0.130001808171089</v>
      </c>
      <c r="M284" s="52" t="n">
        <f aca="false">IF(AND(ISNUMBER($G284),$G284&gt;=60),MAX(INDEX($D$84:$D284,202-60):$D284),"")</f>
        <v>109769067</v>
      </c>
      <c r="N284" s="52" t="n">
        <f aca="false">IF(AND(ISNUMBER($G284),$G284&gt;=60),MIN(INDEX($E$84:$E284,202-60):$E284),"")</f>
        <v>96825981</v>
      </c>
      <c r="O284" s="53" t="n">
        <f aca="false">IF(OR(NOT(ISNUMBER($C284)),NOT(ISNUMBER($M284)),$M284=0),"",$C284/$M284-1)</f>
        <v>-0.00738063119366772</v>
      </c>
      <c r="P284" s="54"/>
      <c r="Q284" s="53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112534917</v>
      </c>
      <c r="D285" s="49" t="n">
        <v>112822300</v>
      </c>
      <c r="E285" s="49" t="n">
        <v>112238355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0.0328198516537914</v>
      </c>
      <c r="I285" s="52" t="n">
        <f aca="false">IF(AND(ISNUMBER($G285),$G285&gt;=MA_SHORT),AVERAGE(INDEX($C$5:$C285,282-MA_SHORT):$C285),"")</f>
        <v>105257890.25</v>
      </c>
      <c r="J285" s="52" t="n">
        <f aca="false">IF(AND(ISNUMBER($G285),$G285&gt;=MA_MED),AVERAGE(INDEX($C$5:$C285,282-MA_MED):$C285),"")</f>
        <v>103702140.68</v>
      </c>
      <c r="K285" s="52" t="n">
        <f aca="false">IF(AND(ISNUMBER($G285),$G285&gt;=MA_LONG2),AVERAGE(INDEX($C$5:$C285,282-MA_LONG2):$C285),"")</f>
        <v>99901469.385</v>
      </c>
      <c r="L285" s="53" t="n">
        <f aca="false">IF(AND(ISNUMBER($G285),$G285&gt;=21),STDEV(INDEX($H$225:$H285,62-20):$H285)*SQRT(245),"")</f>
        <v>0.156507508559097</v>
      </c>
      <c r="M285" s="52" t="n">
        <f aca="false">IF(AND(ISNUMBER($G285),$G285&gt;=60),MAX(INDEX($D$85:$D285,202-60):$D285),"")</f>
        <v>112822300</v>
      </c>
      <c r="N285" s="52" t="n">
        <f aca="false">IF(AND(ISNUMBER($G285),$G285&gt;=60),MIN(INDEX($E$85:$E285,202-60):$E285),"")</f>
        <v>96825981</v>
      </c>
      <c r="O285" s="53" t="n">
        <f aca="false">IF(OR(NOT(ISNUMBER($C285)),NOT(ISNUMBER($M285)),$M285=0),"",$C285/$M285-1)</f>
        <v>-0.00254721805884117</v>
      </c>
      <c r="P285" s="54"/>
      <c r="Q285" s="53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111721442</v>
      </c>
      <c r="D286" s="49" t="n">
        <v>111799612</v>
      </c>
      <c r="E286" s="49" t="n">
        <v>111466027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-0.00722864531014844</v>
      </c>
      <c r="I286" s="52" t="n">
        <f aca="false">IF(AND(ISNUMBER($G286),$G286&gt;=MA_SHORT),AVERAGE(INDEX($C$5:$C286,283-MA_SHORT):$C286),"")</f>
        <v>105872965.75</v>
      </c>
      <c r="J286" s="52" t="n">
        <f aca="false">IF(AND(ISNUMBER($G286),$G286&gt;=MA_MED),AVERAGE(INDEX($C$5:$C286,283-MA_MED):$C286),"")</f>
        <v>103838666.46</v>
      </c>
      <c r="K286" s="52" t="n">
        <f aca="false">IF(AND(ISNUMBER($G286),$G286&gt;=MA_LONG2),AVERAGE(INDEX($C$5:$C286,283-MA_LONG2):$C286),"")</f>
        <v>100011867.49</v>
      </c>
      <c r="L286" s="53" t="n">
        <f aca="false">IF(AND(ISNUMBER($G286),$G286&gt;=21),STDEV(INDEX($H$226:$H286,62-20):$H286)*SQRT(245),"")</f>
        <v>0.163806846034623</v>
      </c>
      <c r="M286" s="52" t="n">
        <f aca="false">IF(AND(ISNUMBER($G286),$G286&gt;=60),MAX(INDEX($D$86:$D286,202-60):$D286),"")</f>
        <v>112822300</v>
      </c>
      <c r="N286" s="52" t="n">
        <f aca="false">IF(AND(ISNUMBER($G286),$G286&gt;=60),MIN(INDEX($E$86:$E286,202-60):$E286),"")</f>
        <v>96825981</v>
      </c>
      <c r="O286" s="53" t="n">
        <f aca="false">IF(OR(NOT(ISNUMBER($C286)),NOT(ISNUMBER($M286)),$M286=0),"",$C286/$M286-1)</f>
        <v>-0.00975745043311471</v>
      </c>
      <c r="P286" s="54"/>
      <c r="Q286" s="53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112078614</v>
      </c>
      <c r="D287" s="49" t="n">
        <v>112690496</v>
      </c>
      <c r="E287" s="49" t="n">
        <v>111594388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0.00319698702062943</v>
      </c>
      <c r="I287" s="52" t="n">
        <f aca="false">IF(AND(ISNUMBER($G287),$G287&gt;=MA_SHORT),AVERAGE(INDEX($C$5:$C287,284-MA_SHORT):$C287),"")</f>
        <v>106424647.3</v>
      </c>
      <c r="J287" s="52" t="n">
        <f aca="false">IF(AND(ISNUMBER($G287),$G287&gt;=MA_MED),AVERAGE(INDEX($C$5:$C287,284-MA_MED):$C287),"")</f>
        <v>104014756.16</v>
      </c>
      <c r="K287" s="52" t="n">
        <f aca="false">IF(AND(ISNUMBER($G287),$G287&gt;=MA_LONG2),AVERAGE(INDEX($C$5:$C287,284-MA_LONG2):$C287),"")</f>
        <v>100112965.82</v>
      </c>
      <c r="L287" s="53" t="n">
        <f aca="false">IF(AND(ISNUMBER($G287),$G287&gt;=21),STDEV(INDEX($H$227:$H287,62-20):$H287)*SQRT(245),"")</f>
        <v>0.1594020583199</v>
      </c>
      <c r="M287" s="52" t="n">
        <f aca="false">IF(AND(ISNUMBER($G287),$G287&gt;=60),MAX(INDEX($D$87:$D287,202-60):$D287),"")</f>
        <v>112822300</v>
      </c>
      <c r="N287" s="52" t="n">
        <f aca="false">IF(AND(ISNUMBER($G287),$G287&gt;=60),MIN(INDEX($E$87:$E287,202-60):$E287),"")</f>
        <v>96825981</v>
      </c>
      <c r="O287" s="53" t="n">
        <f aca="false">IF(OR(NOT(ISNUMBER($C287)),NOT(ISNUMBER($M287)),$M287=0),"",$C287/$M287-1)</f>
        <v>-0.00659165785487448</v>
      </c>
      <c r="P287" s="54"/>
      <c r="Q287" s="53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113085634</v>
      </c>
      <c r="D288" s="49" t="n">
        <v>113786173</v>
      </c>
      <c r="E288" s="49" t="n">
        <v>112868304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0.00898494337197997</v>
      </c>
      <c r="I288" s="52" t="n">
        <f aca="false">IF(AND(ISNUMBER($G288),$G288&gt;=MA_SHORT),AVERAGE(INDEX($C$5:$C288,285-MA_SHORT):$C288),"")</f>
        <v>107041813.85</v>
      </c>
      <c r="J288" s="52" t="n">
        <f aca="false">IF(AND(ISNUMBER($G288),$G288&gt;=MA_MED),AVERAGE(INDEX($C$5:$C288,285-MA_MED):$C288),"")</f>
        <v>104225438.72</v>
      </c>
      <c r="K288" s="52" t="n">
        <f aca="false">IF(AND(ISNUMBER($G288),$G288&gt;=MA_LONG2),AVERAGE(INDEX($C$5:$C288,285-MA_LONG2):$C288),"")</f>
        <v>100212966.255</v>
      </c>
      <c r="L288" s="53" t="n">
        <f aca="false">IF(AND(ISNUMBER($G288),$G288&gt;=21),STDEV(INDEX($H$228:$H288,62-20):$H288)*SQRT(245),"")</f>
        <v>0.156912516559889</v>
      </c>
      <c r="M288" s="52" t="n">
        <f aca="false">IF(AND(ISNUMBER($G288),$G288&gt;=60),MAX(INDEX($D$88:$D288,202-60):$D288),"")</f>
        <v>113786173</v>
      </c>
      <c r="N288" s="52" t="n">
        <f aca="false">IF(AND(ISNUMBER($G288),$G288&gt;=60),MIN(INDEX($E$88:$E288,202-60):$E288),"")</f>
        <v>96825981</v>
      </c>
      <c r="O288" s="53" t="n">
        <f aca="false">IF(OR(NOT(ISNUMBER($C288)),NOT(ISNUMBER($M288)),$M288=0),"",$C288/$M288-1)</f>
        <v>-0.00615662678100615</v>
      </c>
      <c r="P288" s="54"/>
      <c r="Q288" s="53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115476535</v>
      </c>
      <c r="D289" s="49" t="n">
        <v>115794113</v>
      </c>
      <c r="E289" s="49" t="n">
        <v>115473628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0.0211423937367676</v>
      </c>
      <c r="I289" s="52" t="n">
        <f aca="false">IF(AND(ISNUMBER($G289),$G289&gt;=MA_SHORT),AVERAGE(INDEX($C$5:$C289,286-MA_SHORT):$C289),"")</f>
        <v>107746759.8</v>
      </c>
      <c r="J289" s="52" t="n">
        <f aca="false">IF(AND(ISNUMBER($G289),$G289&gt;=MA_MED),AVERAGE(INDEX($C$5:$C289,286-MA_MED):$C289),"")</f>
        <v>104463539.74</v>
      </c>
      <c r="K289" s="52" t="n">
        <f aca="false">IF(AND(ISNUMBER($G289),$G289&gt;=MA_LONG2),AVERAGE(INDEX($C$5:$C289,286-MA_LONG2):$C289),"")</f>
        <v>100315785.065</v>
      </c>
      <c r="L289" s="53" t="n">
        <f aca="false">IF(AND(ISNUMBER($G289),$G289&gt;=21),STDEV(INDEX($H$229:$H289,62-20):$H289)*SQRT(245),"")</f>
        <v>0.165816651729994</v>
      </c>
      <c r="M289" s="52" t="n">
        <f aca="false">IF(AND(ISNUMBER($G289),$G289&gt;=60),MAX(INDEX($D$89:$D289,202-60):$D289),"")</f>
        <v>115794113</v>
      </c>
      <c r="N289" s="52" t="n">
        <f aca="false">IF(AND(ISNUMBER($G289),$G289&gt;=60),MIN(INDEX($E$89:$E289,202-60):$E289),"")</f>
        <v>96825981</v>
      </c>
      <c r="O289" s="53" t="n">
        <f aca="false">IF(OR(NOT(ISNUMBER($C289)),NOT(ISNUMBER($M289)),$M289=0),"",$C289/$M289-1)</f>
        <v>-0.00274260920328484</v>
      </c>
      <c r="P289" s="54"/>
      <c r="Q289" s="53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116020990</v>
      </c>
      <c r="D290" s="49" t="n">
        <v>116101769</v>
      </c>
      <c r="E290" s="49" t="n">
        <v>115772333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0.00471485397444593</v>
      </c>
      <c r="I290" s="52" t="n">
        <f aca="false">IF(AND(ISNUMBER($G290),$G290&gt;=MA_SHORT),AVERAGE(INDEX($C$5:$C290,287-MA_SHORT):$C290),"")</f>
        <v>108451875.9</v>
      </c>
      <c r="J290" s="52" t="n">
        <f aca="false">IF(AND(ISNUMBER($G290),$G290&gt;=MA_MED),AVERAGE(INDEX($C$5:$C290,287-MA_MED):$C290),"")</f>
        <v>104693246.24</v>
      </c>
      <c r="K290" s="52" t="n">
        <f aca="false">IF(AND(ISNUMBER($G290),$G290&gt;=MA_LONG2),AVERAGE(INDEX($C$5:$C290,287-MA_LONG2):$C290),"")</f>
        <v>100406781.695</v>
      </c>
      <c r="L290" s="53" t="n">
        <f aca="false">IF(AND(ISNUMBER($G290),$G290&gt;=21),STDEV(INDEX($H$230:$H290,62-20):$H290)*SQRT(245),"")</f>
        <v>0.16589130055995</v>
      </c>
      <c r="M290" s="52" t="n">
        <f aca="false">IF(AND(ISNUMBER($G290),$G290&gt;=60),MAX(INDEX($D$90:$D290,202-60):$D290),"")</f>
        <v>116101769</v>
      </c>
      <c r="N290" s="52" t="n">
        <f aca="false">IF(AND(ISNUMBER($G290),$G290&gt;=60),MIN(INDEX($E$90:$E290,202-60):$E290),"")</f>
        <v>96825981</v>
      </c>
      <c r="O290" s="53" t="n">
        <f aca="false">IF(OR(NOT(ISNUMBER($C290)),NOT(ISNUMBER($M290)),$M290=0),"",$C290/$M290-1)</f>
        <v>-0.000695760285960856</v>
      </c>
      <c r="P290" s="54"/>
      <c r="Q290" s="53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115768088</v>
      </c>
      <c r="D291" s="49" t="n">
        <v>115931028</v>
      </c>
      <c r="E291" s="49" t="n">
        <v>115269829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-0.00217979522498468</v>
      </c>
      <c r="I291" s="52" t="n">
        <f aca="false">IF(AND(ISNUMBER($G291),$G291&gt;=MA_SHORT),AVERAGE(INDEX($C$5:$C291,288-MA_SHORT):$C291),"")</f>
        <v>109081650</v>
      </c>
      <c r="J291" s="52" t="n">
        <f aca="false">IF(AND(ISNUMBER($G291),$G291&gt;=MA_MED),AVERAGE(INDEX($C$5:$C291,288-MA_MED):$C291),"")</f>
        <v>104906147.26</v>
      </c>
      <c r="K291" s="52" t="n">
        <f aca="false">IF(AND(ISNUMBER($G291),$G291&gt;=MA_LONG2),AVERAGE(INDEX($C$5:$C291,288-MA_LONG2):$C291),"")</f>
        <v>100504899.28</v>
      </c>
      <c r="L291" s="53" t="n">
        <f aca="false">IF(AND(ISNUMBER($G291),$G291&gt;=21),STDEV(INDEX($H$231:$H291,62-20):$H291)*SQRT(245),"")</f>
        <v>0.167158379541846</v>
      </c>
      <c r="M291" s="52" t="n">
        <f aca="false">IF(AND(ISNUMBER($G291),$G291&gt;=60),MAX(INDEX($D$91:$D291,202-60):$D291),"")</f>
        <v>116101769</v>
      </c>
      <c r="N291" s="52" t="n">
        <f aca="false">IF(AND(ISNUMBER($G291),$G291&gt;=60),MIN(INDEX($E$91:$E291,202-60):$E291),"")</f>
        <v>96825981</v>
      </c>
      <c r="O291" s="53" t="n">
        <f aca="false">IF(OR(NOT(ISNUMBER($C291)),NOT(ISNUMBER($M291)),$M291=0),"",$C291/$M291-1)</f>
        <v>-0.00287403889599647</v>
      </c>
      <c r="P291" s="54"/>
      <c r="Q291" s="53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114990830</v>
      </c>
      <c r="D292" s="49" t="n">
        <v>115800187</v>
      </c>
      <c r="E292" s="49" t="n">
        <v>114777123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-0.00671392275218363</v>
      </c>
      <c r="I292" s="52" t="n">
        <f aca="false">IF(AND(ISNUMBER($G292),$G292&gt;=MA_SHORT),AVERAGE(INDEX($C$5:$C292,289-MA_SHORT):$C292),"")</f>
        <v>109597516</v>
      </c>
      <c r="J292" s="52" t="n">
        <f aca="false">IF(AND(ISNUMBER($G292),$G292&gt;=MA_MED),AVERAGE(INDEX($C$5:$C292,289-MA_MED):$C292),"")</f>
        <v>105108332.32</v>
      </c>
      <c r="K292" s="52" t="n">
        <f aca="false">IF(AND(ISNUMBER($G292),$G292&gt;=MA_LONG2),AVERAGE(INDEX($C$5:$C292,289-MA_LONG2):$C292),"")</f>
        <v>100597706.165</v>
      </c>
      <c r="L292" s="53" t="n">
        <f aca="false">IF(AND(ISNUMBER($G292),$G292&gt;=21),STDEV(INDEX($H$232:$H292,62-20):$H292)*SQRT(245),"")</f>
        <v>0.169408533465441</v>
      </c>
      <c r="M292" s="52" t="n">
        <f aca="false">IF(AND(ISNUMBER($G292),$G292&gt;=60),MAX(INDEX($D$92:$D292,202-60):$D292),"")</f>
        <v>116101769</v>
      </c>
      <c r="N292" s="52" t="n">
        <f aca="false">IF(AND(ISNUMBER($G292),$G292&gt;=60),MIN(INDEX($E$92:$E292,202-60):$E292),"")</f>
        <v>96825981</v>
      </c>
      <c r="O292" s="53" t="n">
        <f aca="false">IF(OR(NOT(ISNUMBER($C292)),NOT(ISNUMBER($M292)),$M292=0),"",$C292/$M292-1)</f>
        <v>-0.0095686655730457</v>
      </c>
      <c r="P292" s="54"/>
      <c r="Q292" s="53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114765639</v>
      </c>
      <c r="D293" s="49" t="n">
        <v>115073905</v>
      </c>
      <c r="E293" s="49" t="n">
        <v>114290567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-0.0019583387649259</v>
      </c>
      <c r="I293" s="52" t="n">
        <f aca="false">IF(AND(ISNUMBER($G293),$G293&gt;=MA_SHORT),AVERAGE(INDEX($C$5:$C293,290-MA_SHORT):$C293),"")</f>
        <v>110126214.4</v>
      </c>
      <c r="J293" s="52" t="n">
        <f aca="false">IF(AND(ISNUMBER($G293),$G293&gt;=MA_MED),AVERAGE(INDEX($C$5:$C293,290-MA_MED):$C293),"")</f>
        <v>105307798.36</v>
      </c>
      <c r="K293" s="52" t="n">
        <f aca="false">IF(AND(ISNUMBER($G293),$G293&gt;=MA_LONG2),AVERAGE(INDEX($C$5:$C293,290-MA_LONG2):$C293),"")</f>
        <v>100685907.515</v>
      </c>
      <c r="L293" s="53" t="n">
        <f aca="false">IF(AND(ISNUMBER($G293),$G293&gt;=21),STDEV(INDEX($H$233:$H293,62-20):$H293)*SQRT(245),"")</f>
        <v>0.167767193335268</v>
      </c>
      <c r="M293" s="52" t="n">
        <f aca="false">IF(AND(ISNUMBER($G293),$G293&gt;=60),MAX(INDEX($D$93:$D293,202-60):$D293),"")</f>
        <v>116101769</v>
      </c>
      <c r="N293" s="52" t="n">
        <f aca="false">IF(AND(ISNUMBER($G293),$G293&gt;=60),MIN(INDEX($E$93:$E293,202-60):$E293),"")</f>
        <v>96825981</v>
      </c>
      <c r="O293" s="53" t="n">
        <f aca="false">IF(OR(NOT(ISNUMBER($C293)),NOT(ISNUMBER($M293)),$M293=0),"",$C293/$M293-1)</f>
        <v>-0.0115082656492512</v>
      </c>
      <c r="P293" s="54"/>
      <c r="Q293" s="53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114943106</v>
      </c>
      <c r="D294" s="49" t="n">
        <v>115193410</v>
      </c>
      <c r="E294" s="49" t="n">
        <v>114728143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0.00154634262960895</v>
      </c>
      <c r="I294" s="52" t="n">
        <f aca="false">IF(AND(ISNUMBER($G294),$G294&gt;=MA_SHORT),AVERAGE(INDEX($C$5:$C294,291-MA_SHORT):$C294),"")</f>
        <v>110679927.55</v>
      </c>
      <c r="J294" s="52" t="n">
        <f aca="false">IF(AND(ISNUMBER($G294),$G294&gt;=MA_MED),AVERAGE(INDEX($C$5:$C294,291-MA_MED):$C294),"")</f>
        <v>105494839.14</v>
      </c>
      <c r="K294" s="52" t="n">
        <f aca="false">IF(AND(ISNUMBER($G294),$G294&gt;=MA_LONG2),AVERAGE(INDEX($C$5:$C294,291-MA_LONG2):$C294),"")</f>
        <v>100770268.5</v>
      </c>
      <c r="L294" s="53" t="n">
        <f aca="false">IF(AND(ISNUMBER($G294),$G294&gt;=21),STDEV(INDEX($H$234:$H294,62-20):$H294)*SQRT(245),"")</f>
        <v>0.165686974640829</v>
      </c>
      <c r="M294" s="52" t="n">
        <f aca="false">IF(AND(ISNUMBER($G294),$G294&gt;=60),MAX(INDEX($D$94:$D294,202-60):$D294),"")</f>
        <v>116101769</v>
      </c>
      <c r="N294" s="52" t="n">
        <f aca="false">IF(AND(ISNUMBER($G294),$G294&gt;=60),MIN(INDEX($E$94:$E294,202-60):$E294),"")</f>
        <v>96825981</v>
      </c>
      <c r="O294" s="53" t="n">
        <f aca="false">IF(OR(NOT(ISNUMBER($C294)),NOT(ISNUMBER($M294)),$M294=0),"",$C294/$M294-1)</f>
        <v>-0.00997971874140868</v>
      </c>
      <c r="P294" s="54"/>
      <c r="Q294" s="53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115413350</v>
      </c>
      <c r="D295" s="49" t="n">
        <v>116042451</v>
      </c>
      <c r="E295" s="49" t="n">
        <v>114961407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0.00409110225366627</v>
      </c>
      <c r="I295" s="52" t="n">
        <f aca="false">IF(AND(ISNUMBER($G295),$G295&gt;=MA_SHORT),AVERAGE(INDEX($C$5:$C295,292-MA_SHORT):$C295),"")</f>
        <v>111169585.9</v>
      </c>
      <c r="J295" s="52" t="n">
        <f aca="false">IF(AND(ISNUMBER($G295),$G295&gt;=MA_MED),AVERAGE(INDEX($C$5:$C295,292-MA_MED):$C295),"")</f>
        <v>105649724.28</v>
      </c>
      <c r="K295" s="52" t="n">
        <f aca="false">IF(AND(ISNUMBER($G295),$G295&gt;=MA_LONG2),AVERAGE(INDEX($C$5:$C295,292-MA_LONG2):$C295),"")</f>
        <v>100869536.125</v>
      </c>
      <c r="L295" s="53" t="n">
        <f aca="false">IF(AND(ISNUMBER($G295),$G295&gt;=21),STDEV(INDEX($H$235:$H295,62-20):$H295)*SQRT(245),"")</f>
        <v>0.159958447349882</v>
      </c>
      <c r="M295" s="52" t="n">
        <f aca="false">IF(AND(ISNUMBER($G295),$G295&gt;=60),MAX(INDEX($D$95:$D295,202-60):$D295),"")</f>
        <v>116101769</v>
      </c>
      <c r="N295" s="52" t="n">
        <f aca="false">IF(AND(ISNUMBER($G295),$G295&gt;=60),MIN(INDEX($E$95:$E295,202-60):$E295),"")</f>
        <v>96825981</v>
      </c>
      <c r="O295" s="53" t="n">
        <f aca="false">IF(OR(NOT(ISNUMBER($C295)),NOT(ISNUMBER($M295)),$M295=0),"",$C295/$M295-1)</f>
        <v>-0.00592944453757638</v>
      </c>
      <c r="P295" s="54"/>
      <c r="Q295" s="53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116122240</v>
      </c>
      <c r="D296" s="49" t="n">
        <v>116638452</v>
      </c>
      <c r="E296" s="49" t="n">
        <v>116113213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0.00614218372484632</v>
      </c>
      <c r="I296" s="52" t="n">
        <f aca="false">IF(AND(ISNUMBER($G296),$G296&gt;=MA_SHORT),AVERAGE(INDEX($C$5:$C296,293-MA_SHORT):$C296),"")</f>
        <v>111668865.55</v>
      </c>
      <c r="J296" s="52" t="n">
        <f aca="false">IF(AND(ISNUMBER($G296),$G296&gt;=MA_MED),AVERAGE(INDEX($C$5:$C296,293-MA_MED):$C296),"")</f>
        <v>105845179.08</v>
      </c>
      <c r="K296" s="52" t="n">
        <f aca="false">IF(AND(ISNUMBER($G296),$G296&gt;=MA_LONG2),AVERAGE(INDEX($C$5:$C296,293-MA_LONG2):$C296),"")</f>
        <v>100980647.44</v>
      </c>
      <c r="L296" s="53" t="n">
        <f aca="false">IF(AND(ISNUMBER($G296),$G296&gt;=21),STDEV(INDEX($H$236:$H296,62-20):$H296)*SQRT(245),"")</f>
        <v>0.160058593122565</v>
      </c>
      <c r="M296" s="52" t="n">
        <f aca="false">IF(AND(ISNUMBER($G296),$G296&gt;=60),MAX(INDEX($D$96:$D296,202-60):$D296),"")</f>
        <v>116638452</v>
      </c>
      <c r="N296" s="52" t="n">
        <f aca="false">IF(AND(ISNUMBER($G296),$G296&gt;=60),MIN(INDEX($E$96:$E296,202-60):$E296),"")</f>
        <v>96825981</v>
      </c>
      <c r="O296" s="53" t="n">
        <f aca="false">IF(OR(NOT(ISNUMBER($C296)),NOT(ISNUMBER($M296)),$M296=0),"",$C296/$M296-1)</f>
        <v>-0.00442574460779022</v>
      </c>
      <c r="P296" s="54"/>
      <c r="Q296" s="53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115246004</v>
      </c>
      <c r="D297" s="49" t="n">
        <v>116023818</v>
      </c>
      <c r="E297" s="49" t="n">
        <v>114979279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-0.00754580690141704</v>
      </c>
      <c r="I297" s="52" t="n">
        <f aca="false">IF(AND(ISNUMBER($G297),$G297&gt;=MA_SHORT),AVERAGE(INDEX($C$5:$C297,294-MA_SHORT):$C297),"")</f>
        <v>112089417.2</v>
      </c>
      <c r="J297" s="52" t="n">
        <f aca="false">IF(AND(ISNUMBER($G297),$G297&gt;=MA_MED),AVERAGE(INDEX($C$5:$C297,294-MA_MED):$C297),"")</f>
        <v>106029639.28</v>
      </c>
      <c r="K297" s="52" t="n">
        <f aca="false">IF(AND(ISNUMBER($G297),$G297&gt;=MA_LONG2),AVERAGE(INDEX($C$5:$C297,294-MA_LONG2):$C297),"")</f>
        <v>101076780.335</v>
      </c>
      <c r="L297" s="53" t="n">
        <f aca="false">IF(AND(ISNUMBER($G297),$G297&gt;=21),STDEV(INDEX($H$237:$H297,62-20):$H297)*SQRT(245),"")</f>
        <v>0.165304101426881</v>
      </c>
      <c r="M297" s="52" t="n">
        <f aca="false">IF(AND(ISNUMBER($G297),$G297&gt;=60),MAX(INDEX($D$97:$D297,202-60):$D297),"")</f>
        <v>116638452</v>
      </c>
      <c r="N297" s="52" t="n">
        <f aca="false">IF(AND(ISNUMBER($G297),$G297&gt;=60),MIN(INDEX($E$97:$E297,202-60):$E297),"")</f>
        <v>96825981</v>
      </c>
      <c r="O297" s="53" t="n">
        <f aca="false">IF(OR(NOT(ISNUMBER($C297)),NOT(ISNUMBER($M297)),$M297=0),"",$C297/$M297-1)</f>
        <v>-0.0119381556950019</v>
      </c>
      <c r="P297" s="54"/>
      <c r="Q297" s="53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115139816</v>
      </c>
      <c r="D298" s="49" t="n">
        <v>115614272</v>
      </c>
      <c r="E298" s="49" t="n">
        <v>114179253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-0.00092140288005127</v>
      </c>
      <c r="I298" s="52" t="n">
        <f aca="false">IF(AND(ISNUMBER($G298),$G298&gt;=MA_SHORT),AVERAGE(INDEX($C$5:$C298,295-MA_SHORT):$C298),"")</f>
        <v>112556655.45</v>
      </c>
      <c r="J298" s="52" t="n">
        <f aca="false">IF(AND(ISNUMBER($G298),$G298&gt;=MA_MED),AVERAGE(INDEX($C$5:$C298,295-MA_MED):$C298),"")</f>
        <v>106209473.1</v>
      </c>
      <c r="K298" s="52" t="n">
        <f aca="false">IF(AND(ISNUMBER($G298),$G298&gt;=MA_LONG2),AVERAGE(INDEX($C$5:$C298,295-MA_LONG2):$C298),"")</f>
        <v>101180927.98</v>
      </c>
      <c r="L298" s="53" t="n">
        <f aca="false">IF(AND(ISNUMBER($G298),$G298&gt;=21),STDEV(INDEX($H$238:$H298,62-20):$H298)*SQRT(245),"")</f>
        <v>0.15871312727872</v>
      </c>
      <c r="M298" s="52" t="n">
        <f aca="false">IF(AND(ISNUMBER($G298),$G298&gt;=60),MAX(INDEX($D$98:$D298,202-60):$D298),"")</f>
        <v>116638452</v>
      </c>
      <c r="N298" s="52" t="n">
        <f aca="false">IF(AND(ISNUMBER($G298),$G298&gt;=60),MIN(INDEX($E$98:$E298,202-60):$E298),"")</f>
        <v>96825981</v>
      </c>
      <c r="O298" s="53" t="n">
        <f aca="false">IF(OR(NOT(ISNUMBER($C298)),NOT(ISNUMBER($M298)),$M298=0),"",$C298/$M298-1)</f>
        <v>-0.0128485587240132</v>
      </c>
      <c r="P298" s="54"/>
      <c r="Q298" s="53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113546576</v>
      </c>
      <c r="D299" s="49" t="n">
        <v>113654757</v>
      </c>
      <c r="E299" s="49" t="n">
        <v>113423313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-0.0138374374334591</v>
      </c>
      <c r="I299" s="52" t="n">
        <f aca="false">IF(AND(ISNUMBER($G299),$G299&gt;=MA_SHORT),AVERAGE(INDEX($C$5:$C299,296-MA_SHORT):$C299),"")</f>
        <v>112950524.8</v>
      </c>
      <c r="J299" s="52" t="n">
        <f aca="false">IF(AND(ISNUMBER($G299),$G299&gt;=MA_MED),AVERAGE(INDEX($C$5:$C299,296-MA_MED):$C299),"")</f>
        <v>106385974.26</v>
      </c>
      <c r="K299" s="52" t="n">
        <f aca="false">IF(AND(ISNUMBER($G299),$G299&gt;=MA_LONG2),AVERAGE(INDEX($C$5:$C299,296-MA_LONG2):$C299),"")</f>
        <v>101266341.165</v>
      </c>
      <c r="L299" s="53" t="n">
        <f aca="false">IF(AND(ISNUMBER($G299),$G299&gt;=21),STDEV(INDEX($H$239:$H299,62-20):$H299)*SQRT(245),"")</f>
        <v>0.170107602597701</v>
      </c>
      <c r="M299" s="52" t="n">
        <f aca="false">IF(AND(ISNUMBER($G299),$G299&gt;=60),MAX(INDEX($D$99:$D299,202-60):$D299),"")</f>
        <v>116638452</v>
      </c>
      <c r="N299" s="52" t="n">
        <f aca="false">IF(AND(ISNUMBER($G299),$G299&gt;=60),MIN(INDEX($E$99:$E299,202-60):$E299),"")</f>
        <v>96825981</v>
      </c>
      <c r="O299" s="53" t="n">
        <f aca="false">IF(OR(NOT(ISNUMBER($C299)),NOT(ISNUMBER($M299)),$M299=0),"",$C299/$M299-1)</f>
        <v>-0.0265082050300187</v>
      </c>
      <c r="P299" s="54"/>
      <c r="Q299" s="53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115691579</v>
      </c>
      <c r="D300" s="49" t="n">
        <v>116129415</v>
      </c>
      <c r="E300" s="49" t="n">
        <v>115281514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0.0188909527311507</v>
      </c>
      <c r="I300" s="52" t="n">
        <f aca="false">IF(AND(ISNUMBER($G300),$G300&gt;=MA_SHORT),AVERAGE(INDEX($C$5:$C300,297-MA_SHORT):$C300),"")</f>
        <v>113407817.4</v>
      </c>
      <c r="J300" s="52" t="n">
        <f aca="false">IF(AND(ISNUMBER($G300),$G300&gt;=MA_MED),AVERAGE(INDEX($C$5:$C300,297-MA_MED):$C300),"")</f>
        <v>106611987.48</v>
      </c>
      <c r="K300" s="52" t="n">
        <f aca="false">IF(AND(ISNUMBER($G300),$G300&gt;=MA_LONG2),AVERAGE(INDEX($C$5:$C300,297-MA_LONG2):$C300),"")</f>
        <v>101360492.5</v>
      </c>
      <c r="L300" s="53" t="n">
        <f aca="false">IF(AND(ISNUMBER($G300),$G300&gt;=21),STDEV(INDEX($H$240:$H300,62-20):$H300)*SQRT(245),"")</f>
        <v>0.177705769832246</v>
      </c>
      <c r="M300" s="52" t="n">
        <f aca="false">IF(AND(ISNUMBER($G300),$G300&gt;=60),MAX(INDEX($D$100:$D300,202-60):$D300),"")</f>
        <v>116638452</v>
      </c>
      <c r="N300" s="52" t="n">
        <f aca="false">IF(AND(ISNUMBER($G300),$G300&gt;=60),MIN(INDEX($E$100:$E300,202-60):$E300),"")</f>
        <v>96825981</v>
      </c>
      <c r="O300" s="53" t="n">
        <f aca="false">IF(OR(NOT(ISNUMBER($C300)),NOT(ISNUMBER($M300)),$M300=0),"",$C300/$M300-1)</f>
        <v>-0.00811801754707786</v>
      </c>
      <c r="P300" s="54"/>
      <c r="Q300" s="53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112667739</v>
      </c>
      <c r="D301" s="49" t="n">
        <v>112995057</v>
      </c>
      <c r="E301" s="49" t="n">
        <v>112505366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-0.0261370795189856</v>
      </c>
      <c r="I301" s="52" t="n">
        <f aca="false">IF(AND(ISNUMBER($G301),$G301&gt;=MA_SHORT),AVERAGE(INDEX($C$5:$C301,298-MA_SHORT):$C301),"")</f>
        <v>113628477.3</v>
      </c>
      <c r="J301" s="52" t="n">
        <f aca="false">IF(AND(ISNUMBER($G301),$G301&gt;=MA_MED),AVERAGE(INDEX($C$5:$C301,298-MA_MED):$C301),"")</f>
        <v>106814337.16</v>
      </c>
      <c r="K301" s="52" t="n">
        <f aca="false">IF(AND(ISNUMBER($G301),$G301&gt;=MA_LONG2),AVERAGE(INDEX($C$5:$C301,298-MA_LONG2):$C301),"")</f>
        <v>101443625.64</v>
      </c>
      <c r="L301" s="53" t="n">
        <f aca="false">IF(AND(ISNUMBER($G301),$G301&gt;=21),STDEV(INDEX($H$241:$H301,62-20):$H301)*SQRT(245),"")</f>
        <v>0.201192755697358</v>
      </c>
      <c r="M301" s="52" t="n">
        <f aca="false">IF(AND(ISNUMBER($G301),$G301&gt;=60),MAX(INDEX($D$101:$D301,202-60):$D301),"")</f>
        <v>116638452</v>
      </c>
      <c r="N301" s="52" t="n">
        <f aca="false">IF(AND(ISNUMBER($G301),$G301&gt;=60),MIN(INDEX($E$101:$E301,202-60):$E301),"")</f>
        <v>96825981</v>
      </c>
      <c r="O301" s="53" t="n">
        <f aca="false">IF(OR(NOT(ISNUMBER($C301)),NOT(ISNUMBER($M301)),$M301=0),"",$C301/$M301-1)</f>
        <v>-0.0340429157958989</v>
      </c>
      <c r="P301" s="54"/>
      <c r="Q301" s="53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109575392</v>
      </c>
      <c r="D302" s="49" t="n">
        <v>109709851</v>
      </c>
      <c r="E302" s="49" t="n">
        <v>109438036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-0.027446605633934</v>
      </c>
      <c r="I302" s="52" t="n">
        <f aca="false">IF(AND(ISNUMBER($G302),$G302&gt;=MA_SHORT),AVERAGE(INDEX($C$5:$C302,299-MA_SHORT):$C302),"")</f>
        <v>113670852</v>
      </c>
      <c r="J302" s="52" t="n">
        <f aca="false">IF(AND(ISNUMBER($G302),$G302&gt;=MA_MED),AVERAGE(INDEX($C$5:$C302,299-MA_MED):$C302),"")</f>
        <v>106944833.14</v>
      </c>
      <c r="K302" s="52" t="n">
        <f aca="false">IF(AND(ISNUMBER($G302),$G302&gt;=MA_LONG2),AVERAGE(INDEX($C$5:$C302,299-MA_LONG2):$C302),"")</f>
        <v>101509025.015</v>
      </c>
      <c r="L302" s="53" t="n">
        <f aca="false">IF(AND(ISNUMBER($G302),$G302&gt;=21),STDEV(INDEX($H$242:$H302,62-20):$H302)*SQRT(245),"")</f>
        <v>0.225827926074836</v>
      </c>
      <c r="M302" s="52" t="n">
        <f aca="false">IF(AND(ISNUMBER($G302),$G302&gt;=60),MAX(INDEX($D$102:$D302,202-60):$D302),"")</f>
        <v>116638452</v>
      </c>
      <c r="N302" s="52" t="n">
        <f aca="false">IF(AND(ISNUMBER($G302),$G302&gt;=60),MIN(INDEX($E$102:$E302,202-60):$E302),"")</f>
        <v>96825981</v>
      </c>
      <c r="O302" s="53" t="n">
        <f aca="false">IF(OR(NOT(ISNUMBER($C302)),NOT(ISNUMBER($M302)),$M302=0),"",$C302/$M302-1)</f>
        <v>-0.0605551589453537</v>
      </c>
      <c r="P302" s="54"/>
      <c r="Q302" s="53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108817306</v>
      </c>
      <c r="D303" s="49" t="n">
        <v>109046166</v>
      </c>
      <c r="E303" s="49" t="n">
        <v>108533086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-0.00691839642243763</v>
      </c>
      <c r="I303" s="52" t="n">
        <f aca="false">IF(AND(ISNUMBER($G303),$G303&gt;=MA_SHORT),AVERAGE(INDEX($C$5:$C303,300-MA_SHORT):$C303),"")</f>
        <v>113628234.95</v>
      </c>
      <c r="J303" s="52" t="n">
        <f aca="false">IF(AND(ISNUMBER($G303),$G303&gt;=MA_MED),AVERAGE(INDEX($C$5:$C303,300-MA_MED):$C303),"")</f>
        <v>107112207.04</v>
      </c>
      <c r="K303" s="52" t="n">
        <f aca="false">IF(AND(ISNUMBER($G303),$G303&gt;=MA_LONG2),AVERAGE(INDEX($C$5:$C303,300-MA_LONG2):$C303),"")</f>
        <v>101558198.365</v>
      </c>
      <c r="L303" s="53" t="n">
        <f aca="false">IF(AND(ISNUMBER($G303),$G303&gt;=21),STDEV(INDEX($H$243:$H303,62-20):$H303)*SQRT(245),"")</f>
        <v>0.225138319342433</v>
      </c>
      <c r="M303" s="52" t="n">
        <f aca="false">IF(AND(ISNUMBER($G303),$G303&gt;=60),MAX(INDEX($D$103:$D303,202-60):$D303),"")</f>
        <v>116638452</v>
      </c>
      <c r="N303" s="52" t="n">
        <f aca="false">IF(AND(ISNUMBER($G303),$G303&gt;=60),MIN(INDEX($E$103:$E303,202-60):$E303),"")</f>
        <v>96825981</v>
      </c>
      <c r="O303" s="53" t="n">
        <f aca="false">IF(OR(NOT(ISNUMBER($C303)),NOT(ISNUMBER($M303)),$M303=0),"",$C303/$M303-1)</f>
        <v>-0.0670546107727836</v>
      </c>
      <c r="P303" s="54"/>
      <c r="Q303" s="53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110341426</v>
      </c>
      <c r="D304" s="49" t="n">
        <v>110917448</v>
      </c>
      <c r="E304" s="49" t="n">
        <v>110262865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0.014006228016709</v>
      </c>
      <c r="I304" s="52" t="n">
        <f aca="false">IF(AND(ISNUMBER($G304),$G304&gt;=MA_SHORT),AVERAGE(INDEX($C$5:$C304,301-MA_SHORT):$C304),"")</f>
        <v>113697361.15</v>
      </c>
      <c r="J304" s="52" t="n">
        <f aca="false">IF(AND(ISNUMBER($G304),$G304&gt;=MA_MED),AVERAGE(INDEX($C$5:$C304,301-MA_MED):$C304),"")</f>
        <v>107286982.24</v>
      </c>
      <c r="K304" s="52" t="n">
        <f aca="false">IF(AND(ISNUMBER($G304),$G304&gt;=MA_LONG2),AVERAGE(INDEX($C$5:$C304,301-MA_LONG2):$C304),"")</f>
        <v>101620549.33</v>
      </c>
      <c r="L304" s="53" t="n">
        <f aca="false">IF(AND(ISNUMBER($G304),$G304&gt;=21),STDEV(INDEX($H$244:$H304,62-20):$H304)*SQRT(245),"")</f>
        <v>0.229257340776838</v>
      </c>
      <c r="M304" s="52" t="n">
        <f aca="false">IF(AND(ISNUMBER($G304),$G304&gt;=60),MAX(INDEX($D$104:$D304,202-60):$D304),"")</f>
        <v>116638452</v>
      </c>
      <c r="N304" s="52" t="n">
        <f aca="false">IF(AND(ISNUMBER($G304),$G304&gt;=60),MIN(INDEX($E$104:$E304,202-60):$E304),"")</f>
        <v>96825981</v>
      </c>
      <c r="O304" s="53" t="n">
        <f aca="false">IF(OR(NOT(ISNUMBER($C304)),NOT(ISNUMBER($M304)),$M304=0),"",$C304/$M304-1)</f>
        <v>-0.0539875649241298</v>
      </c>
      <c r="P304" s="54"/>
      <c r="Q304" s="53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109806932</v>
      </c>
      <c r="D305" s="49" t="n">
        <v>109886071</v>
      </c>
      <c r="E305" s="49" t="n">
        <v>109687788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-0.0048440012004195</v>
      </c>
      <c r="I305" s="52" t="n">
        <f aca="false">IF(AND(ISNUMBER($G305),$G305&gt;=MA_SHORT),AVERAGE(INDEX($C$5:$C305,302-MA_SHORT):$C305),"")</f>
        <v>113560961.9</v>
      </c>
      <c r="J305" s="52" t="n">
        <f aca="false">IF(AND(ISNUMBER($G305),$G305&gt;=MA_MED),AVERAGE(INDEX($C$5:$C305,302-MA_MED):$C305),"")</f>
        <v>107497482.28</v>
      </c>
      <c r="K305" s="52" t="n">
        <f aca="false">IF(AND(ISNUMBER($G305),$G305&gt;=MA_LONG2),AVERAGE(INDEX($C$5:$C305,302-MA_LONG2):$C305),"")</f>
        <v>101690697.69</v>
      </c>
      <c r="L305" s="53" t="n">
        <f aca="false">IF(AND(ISNUMBER($G305),$G305&gt;=21),STDEV(INDEX($H$245:$H305,62-20):$H305)*SQRT(245),"")</f>
        <v>0.196898056569928</v>
      </c>
      <c r="M305" s="52" t="n">
        <f aca="false">IF(AND(ISNUMBER($G305),$G305&gt;=60),MAX(INDEX($D$105:$D305,202-60):$D305),"")</f>
        <v>116638452</v>
      </c>
      <c r="N305" s="52" t="n">
        <f aca="false">IF(AND(ISNUMBER($G305),$G305&gt;=60),MIN(INDEX($E$105:$E305,202-60):$E305),"")</f>
        <v>96825981</v>
      </c>
      <c r="O305" s="53" t="n">
        <f aca="false">IF(OR(NOT(ISNUMBER($C305)),NOT(ISNUMBER($M305)),$M305=0),"",$C305/$M305-1)</f>
        <v>-0.0585700502952491</v>
      </c>
      <c r="P305" s="54"/>
      <c r="Q305" s="53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109865860</v>
      </c>
      <c r="D306" s="49" t="n">
        <v>111094211</v>
      </c>
      <c r="E306" s="49" t="n">
        <v>109436162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0.000536651001231903</v>
      </c>
      <c r="I306" s="52" t="n">
        <f aca="false">IF(AND(ISNUMBER($G306),$G306&gt;=MA_SHORT),AVERAGE(INDEX($C$5:$C306,303-MA_SHORT):$C306),"")</f>
        <v>113468182.8</v>
      </c>
      <c r="J306" s="52" t="n">
        <f aca="false">IF(AND(ISNUMBER($G306),$G306&gt;=MA_MED),AVERAGE(INDEX($C$5:$C306,303-MA_MED):$C306),"")</f>
        <v>107719742.96</v>
      </c>
      <c r="K306" s="52" t="n">
        <f aca="false">IF(AND(ISNUMBER($G306),$G306&gt;=MA_LONG2),AVERAGE(INDEX($C$5:$C306,303-MA_LONG2):$C306),"")</f>
        <v>101767174.63</v>
      </c>
      <c r="L306" s="53" t="n">
        <f aca="false">IF(AND(ISNUMBER($G306),$G306&gt;=21),STDEV(INDEX($H$246:$H306,62-20):$H306)*SQRT(245),"")</f>
        <v>0.19567918908436</v>
      </c>
      <c r="M306" s="52" t="n">
        <f aca="false">IF(AND(ISNUMBER($G306),$G306&gt;=60),MAX(INDEX($D$106:$D306,202-60):$D306),"")</f>
        <v>116638452</v>
      </c>
      <c r="N306" s="52" t="n">
        <f aca="false">IF(AND(ISNUMBER($G306),$G306&gt;=60),MIN(INDEX($E$106:$E306,202-60):$E306),"")</f>
        <v>96825981</v>
      </c>
      <c r="O306" s="53" t="n">
        <f aca="false">IF(OR(NOT(ISNUMBER($C306)),NOT(ISNUMBER($M306)),$M306=0),"",$C306/$M306-1)</f>
        <v>-0.0580648309701504</v>
      </c>
      <c r="P306" s="54"/>
      <c r="Q306" s="53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109465179</v>
      </c>
      <c r="D307" s="49" t="n">
        <v>109724843</v>
      </c>
      <c r="E307" s="49" t="n">
        <v>109347334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-0.00364700189849698</v>
      </c>
      <c r="I307" s="52" t="n">
        <f aca="false">IF(AND(ISNUMBER($G307),$G307&gt;=MA_SHORT),AVERAGE(INDEX($C$5:$C307,304-MA_SHORT):$C307),"")</f>
        <v>113337511.05</v>
      </c>
      <c r="J307" s="52" t="n">
        <f aca="false">IF(AND(ISNUMBER($G307),$G307&gt;=MA_MED),AVERAGE(INDEX($C$5:$C307,304-MA_MED):$C307),"")</f>
        <v>107910512.1</v>
      </c>
      <c r="K307" s="52" t="n">
        <f aca="false">IF(AND(ISNUMBER($G307),$G307&gt;=MA_LONG2),AVERAGE(INDEX($C$5:$C307,304-MA_LONG2):$C307),"")</f>
        <v>101843177.155</v>
      </c>
      <c r="L307" s="53" t="n">
        <f aca="false">IF(AND(ISNUMBER($G307),$G307&gt;=21),STDEV(INDEX($H$247:$H307,62-20):$H307)*SQRT(245),"")</f>
        <v>0.195359348788057</v>
      </c>
      <c r="M307" s="52" t="n">
        <f aca="false">IF(AND(ISNUMBER($G307),$G307&gt;=60),MAX(INDEX($D$107:$D307,202-60):$D307),"")</f>
        <v>116638452</v>
      </c>
      <c r="N307" s="52" t="n">
        <f aca="false">IF(AND(ISNUMBER($G307),$G307&gt;=60),MIN(INDEX($E$107:$E307,202-60):$E307),"")</f>
        <v>96825981</v>
      </c>
      <c r="O307" s="53" t="n">
        <f aca="false">IF(OR(NOT(ISNUMBER($C307)),NOT(ISNUMBER($M307)),$M307=0),"",$C307/$M307-1)</f>
        <v>-0.0615000703198633</v>
      </c>
      <c r="P307" s="54"/>
      <c r="Q307" s="53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108339688</v>
      </c>
      <c r="D308" s="49" t="n">
        <v>108872985</v>
      </c>
      <c r="E308" s="49" t="n">
        <v>107688009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-0.0102817262099393</v>
      </c>
      <c r="I308" s="52" t="n">
        <f aca="false">IF(AND(ISNUMBER($G308),$G308&gt;=MA_SHORT),AVERAGE(INDEX($C$5:$C308,305-MA_SHORT):$C308),"")</f>
        <v>113100213.75</v>
      </c>
      <c r="J308" s="52" t="n">
        <f aca="false">IF(AND(ISNUMBER($G308),$G308&gt;=MA_MED),AVERAGE(INDEX($C$5:$C308,305-MA_MED):$C308),"")</f>
        <v>108047645.08</v>
      </c>
      <c r="K308" s="52" t="n">
        <f aca="false">IF(AND(ISNUMBER($G308),$G308&gt;=MA_LONG2),AVERAGE(INDEX($C$5:$C308,305-MA_LONG2):$C308),"")</f>
        <v>101896879.15</v>
      </c>
      <c r="L308" s="53" t="n">
        <f aca="false">IF(AND(ISNUMBER($G308),$G308&gt;=21),STDEV(INDEX($H$248:$H308,62-20):$H308)*SQRT(245),"")</f>
        <v>0.194162852100116</v>
      </c>
      <c r="M308" s="52" t="n">
        <f aca="false">IF(AND(ISNUMBER($G308),$G308&gt;=60),MAX(INDEX($D$108:$D308,202-60):$D308),"")</f>
        <v>116638452</v>
      </c>
      <c r="N308" s="52" t="n">
        <f aca="false">IF(AND(ISNUMBER($G308),$G308&gt;=60),MIN(INDEX($E$108:$E308,202-60):$E308),"")</f>
        <v>96825981</v>
      </c>
      <c r="O308" s="53" t="n">
        <f aca="false">IF(OR(NOT(ISNUMBER($C308)),NOT(ISNUMBER($M308)),$M308=0),"",$C308/$M308-1)</f>
        <v>-0.0711494696448818</v>
      </c>
      <c r="P308" s="54"/>
      <c r="Q308" s="53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108389293</v>
      </c>
      <c r="D309" s="49" t="n">
        <v>108484099</v>
      </c>
      <c r="E309" s="49" t="n">
        <v>107984532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0.000457865450009365</v>
      </c>
      <c r="I309" s="52" t="n">
        <f aca="false">IF(AND(ISNUMBER($G309),$G309&gt;=MA_SHORT),AVERAGE(INDEX($C$5:$C309,306-MA_SHORT):$C309),"")</f>
        <v>112745851.65</v>
      </c>
      <c r="J309" s="52" t="n">
        <f aca="false">IF(AND(ISNUMBER($G309),$G309&gt;=MA_MED),AVERAGE(INDEX($C$5:$C309,306-MA_MED):$C309),"")</f>
        <v>108214008.54</v>
      </c>
      <c r="K309" s="52" t="n">
        <f aca="false">IF(AND(ISNUMBER($G309),$G309&gt;=MA_LONG2),AVERAGE(INDEX($C$5:$C309,306-MA_LONG2):$C309),"")</f>
        <v>101953114.15</v>
      </c>
      <c r="L309" s="53" t="n">
        <f aca="false">IF(AND(ISNUMBER($G309),$G309&gt;=21),STDEV(INDEX($H$249:$H309,62-20):$H309)*SQRT(245),"")</f>
        <v>0.17481111586887</v>
      </c>
      <c r="M309" s="52" t="n">
        <f aca="false">IF(AND(ISNUMBER($G309),$G309&gt;=60),MAX(INDEX($D$109:$D309,202-60):$D309),"")</f>
        <v>116638452</v>
      </c>
      <c r="N309" s="52" t="n">
        <f aca="false">IF(AND(ISNUMBER($G309),$G309&gt;=60),MIN(INDEX($E$109:$E309,202-60):$E309),"")</f>
        <v>96825981</v>
      </c>
      <c r="O309" s="53" t="n">
        <f aca="false">IF(OR(NOT(ISNUMBER($C309)),NOT(ISNUMBER($M309)),$M309=0),"",$C309/$M309-1)</f>
        <v>-0.0707241810788093</v>
      </c>
      <c r="P309" s="54"/>
      <c r="Q309" s="53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107985722</v>
      </c>
      <c r="D310" s="49" t="n">
        <v>108114297</v>
      </c>
      <c r="E310" s="49" t="n">
        <v>107577473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-0.00372334747123038</v>
      </c>
      <c r="I310" s="52" t="n">
        <f aca="false">IF(AND(ISNUMBER($G310),$G310&gt;=MA_SHORT),AVERAGE(INDEX($C$5:$C310,307-MA_SHORT):$C310),"")</f>
        <v>112344088.25</v>
      </c>
      <c r="J310" s="52" t="n">
        <f aca="false">IF(AND(ISNUMBER($G310),$G310&gt;=MA_MED),AVERAGE(INDEX($C$5:$C310,307-MA_MED):$C310),"")</f>
        <v>108356751.42</v>
      </c>
      <c r="K310" s="52" t="n">
        <f aca="false">IF(AND(ISNUMBER($G310),$G310&gt;=MA_LONG2),AVERAGE(INDEX($C$5:$C310,307-MA_LONG2):$C310),"")</f>
        <v>102007448.17</v>
      </c>
      <c r="L310" s="53" t="n">
        <f aca="false">IF(AND(ISNUMBER($G310),$G310&gt;=21),STDEV(INDEX($H$250:$H310,62-20):$H310)*SQRT(245),"")</f>
        <v>0.172423981424372</v>
      </c>
      <c r="M310" s="52" t="n">
        <f aca="false">IF(AND(ISNUMBER($G310),$G310&gt;=60),MAX(INDEX($D$110:$D310,202-60):$D310),"")</f>
        <v>116638452</v>
      </c>
      <c r="N310" s="52" t="n">
        <f aca="false">IF(AND(ISNUMBER($G310),$G310&gt;=60),MIN(INDEX($E$110:$E310,202-60):$E310),"")</f>
        <v>96825981</v>
      </c>
      <c r="O310" s="53" t="n">
        <f aca="false">IF(OR(NOT(ISNUMBER($C310)),NOT(ISNUMBER($M310)),$M310=0),"",$C310/$M310-1)</f>
        <v>-0.074184197849265</v>
      </c>
      <c r="P310" s="54"/>
      <c r="Q310" s="53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108496212</v>
      </c>
      <c r="D311" s="49" t="n">
        <v>108936185</v>
      </c>
      <c r="E311" s="49" t="n">
        <v>107849869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0.00472738423696417</v>
      </c>
      <c r="I311" s="52" t="n">
        <f aca="false">IF(AND(ISNUMBER($G311),$G311&gt;=MA_SHORT),AVERAGE(INDEX($C$5:$C311,308-MA_SHORT):$C311),"")</f>
        <v>111980494.45</v>
      </c>
      <c r="J311" s="52" t="n">
        <f aca="false">IF(AND(ISNUMBER($G311),$G311&gt;=MA_MED),AVERAGE(INDEX($C$5:$C311,308-MA_MED):$C311),"")</f>
        <v>108501524.4</v>
      </c>
      <c r="K311" s="52" t="n">
        <f aca="false">IF(AND(ISNUMBER($G311),$G311&gt;=MA_LONG2),AVERAGE(INDEX($C$5:$C311,308-MA_LONG2):$C311),"")</f>
        <v>102062293.52</v>
      </c>
      <c r="L311" s="53" t="n">
        <f aca="false">IF(AND(ISNUMBER($G311),$G311&gt;=21),STDEV(INDEX($H$251:$H311,62-20):$H311)*SQRT(245),"")</f>
        <v>0.174796865749886</v>
      </c>
      <c r="M311" s="52" t="n">
        <f aca="false">IF(AND(ISNUMBER($G311),$G311&gt;=60),MAX(INDEX($D$111:$D311,202-60):$D311),"")</f>
        <v>116638452</v>
      </c>
      <c r="N311" s="52" t="n">
        <f aca="false">IF(AND(ISNUMBER($G311),$G311&gt;=60),MIN(INDEX($E$111:$E311,202-60):$E311),"")</f>
        <v>96825981</v>
      </c>
      <c r="O311" s="53" t="n">
        <f aca="false">IF(OR(NOT(ISNUMBER($C311)),NOT(ISNUMBER($M311)),$M311=0),"",$C311/$M311-1)</f>
        <v>-0.0698075108198453</v>
      </c>
      <c r="P311" s="54"/>
      <c r="Q311" s="53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105288911</v>
      </c>
      <c r="D312" s="49" t="n">
        <v>105622918</v>
      </c>
      <c r="E312" s="49" t="n">
        <v>104784645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-0.029561409941206</v>
      </c>
      <c r="I312" s="52" t="n">
        <f aca="false">IF(AND(ISNUMBER($G312),$G312&gt;=MA_SHORT),AVERAGE(INDEX($C$5:$C312,309-MA_SHORT):$C312),"")</f>
        <v>111495398.5</v>
      </c>
      <c r="J312" s="52" t="n">
        <f aca="false">IF(AND(ISNUMBER($G312),$G312&gt;=MA_MED),AVERAGE(INDEX($C$5:$C312,309-MA_MED):$C312),"")</f>
        <v>108604461.56</v>
      </c>
      <c r="K312" s="52" t="n">
        <f aca="false">IF(AND(ISNUMBER($G312),$G312&gt;=MA_LONG2),AVERAGE(INDEX($C$5:$C312,309-MA_LONG2):$C312),"")</f>
        <v>102111726.305</v>
      </c>
      <c r="L312" s="53" t="n">
        <f aca="false">IF(AND(ISNUMBER($G312),$G312&gt;=21),STDEV(INDEX($H$252:$H312,62-20):$H312)*SQRT(245),"")</f>
        <v>0.197563937146138</v>
      </c>
      <c r="M312" s="52" t="n">
        <f aca="false">IF(AND(ISNUMBER($G312),$G312&gt;=60),MAX(INDEX($D$112:$D312,202-60):$D312),"")</f>
        <v>116638452</v>
      </c>
      <c r="N312" s="52" t="n">
        <f aca="false">IF(AND(ISNUMBER($G312),$G312&gt;=60),MIN(INDEX($E$112:$E312,202-60):$E312),"")</f>
        <v>96825981</v>
      </c>
      <c r="O312" s="53" t="n">
        <f aca="false">IF(OR(NOT(ISNUMBER($C312)),NOT(ISNUMBER($M312)),$M312=0),"",$C312/$M312-1)</f>
        <v>-0.0973053123167307</v>
      </c>
      <c r="P312" s="54"/>
      <c r="Q312" s="53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103992092</v>
      </c>
      <c r="D313" s="49" t="n">
        <v>104206386</v>
      </c>
      <c r="E313" s="49" t="n">
        <v>103805471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-0.012316767147492</v>
      </c>
      <c r="I313" s="52" t="n">
        <f aca="false">IF(AND(ISNUMBER($G313),$G313&gt;=MA_SHORT),AVERAGE(INDEX($C$5:$C313,310-MA_SHORT):$C313),"")</f>
        <v>110956721.15</v>
      </c>
      <c r="J313" s="52" t="n">
        <f aca="false">IF(AND(ISNUMBER($G313),$G313&gt;=MA_MED),AVERAGE(INDEX($C$5:$C313,310-MA_MED):$C313),"")</f>
        <v>108682959.48</v>
      </c>
      <c r="K313" s="52" t="n">
        <f aca="false">IF(AND(ISNUMBER($G313),$G313&gt;=MA_LONG2),AVERAGE(INDEX($C$5:$C313,310-MA_LONG2):$C313),"")</f>
        <v>102150752.105</v>
      </c>
      <c r="L313" s="53" t="n">
        <f aca="false">IF(AND(ISNUMBER($G313),$G313&gt;=21),STDEV(INDEX($H$253:$H313,62-20):$H313)*SQRT(245),"")</f>
        <v>0.199285446171025</v>
      </c>
      <c r="M313" s="52" t="n">
        <f aca="false">IF(AND(ISNUMBER($G313),$G313&gt;=60),MAX(INDEX($D$113:$D313,202-60):$D313),"")</f>
        <v>116638452</v>
      </c>
      <c r="N313" s="52" t="n">
        <f aca="false">IF(AND(ISNUMBER($G313),$G313&gt;=60),MIN(INDEX($E$113:$E313,202-60):$E313),"")</f>
        <v>96825981</v>
      </c>
      <c r="O313" s="53" t="n">
        <f aca="false">IF(OR(NOT(ISNUMBER($C313)),NOT(ISNUMBER($M313)),$M313=0),"",$C313/$M313-1)</f>
        <v>-0.108423592590203</v>
      </c>
      <c r="P313" s="54"/>
      <c r="Q313" s="53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104918873</v>
      </c>
      <c r="D314" s="49" t="n">
        <v>105613545</v>
      </c>
      <c r="E314" s="49" t="n">
        <v>104709584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0.00891203342654179</v>
      </c>
      <c r="I314" s="52" t="n">
        <f aca="false">IF(AND(ISNUMBER($G314),$G314&gt;=MA_SHORT),AVERAGE(INDEX($C$5:$C314,311-MA_SHORT):$C314),"")</f>
        <v>110455509.5</v>
      </c>
      <c r="J314" s="52" t="n">
        <f aca="false">IF(AND(ISNUMBER($G314),$G314&gt;=MA_MED),AVERAGE(INDEX($C$5:$C314,311-MA_MED):$C314),"")</f>
        <v>108838533.1</v>
      </c>
      <c r="K314" s="52" t="n">
        <f aca="false">IF(AND(ISNUMBER($G314),$G314&gt;=MA_LONG2),AVERAGE(INDEX($C$5:$C314,311-MA_LONG2):$C314),"")</f>
        <v>102193367.91</v>
      </c>
      <c r="L314" s="53" t="n">
        <f aca="false">IF(AND(ISNUMBER($G314),$G314&gt;=21),STDEV(INDEX($H$254:$H314,62-20):$H314)*SQRT(245),"")</f>
        <v>0.203941798503597</v>
      </c>
      <c r="M314" s="52" t="n">
        <f aca="false">IF(AND(ISNUMBER($G314),$G314&gt;=60),MAX(INDEX($D$114:$D314,202-60):$D314),"")</f>
        <v>116638452</v>
      </c>
      <c r="N314" s="52" t="n">
        <f aca="false">IF(AND(ISNUMBER($G314),$G314&gt;=60),MIN(INDEX($E$114:$E314,202-60):$E314),"")</f>
        <v>96825981</v>
      </c>
      <c r="O314" s="53" t="n">
        <f aca="false">IF(OR(NOT(ISNUMBER($C314)),NOT(ISNUMBER($M314)),$M314=0),"",$C314/$M314-1)</f>
        <v>-0.100477833845051</v>
      </c>
      <c r="P314" s="54"/>
      <c r="Q314" s="53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105689783</v>
      </c>
      <c r="D315" s="49" t="n">
        <v>105852020</v>
      </c>
      <c r="E315" s="49" t="n">
        <v>104998148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0.00734767709523521</v>
      </c>
      <c r="I315" s="52" t="n">
        <f aca="false">IF(AND(ISNUMBER($G315),$G315&gt;=MA_SHORT),AVERAGE(INDEX($C$5:$C315,312-MA_SHORT):$C315),"")</f>
        <v>109969331.15</v>
      </c>
      <c r="J315" s="52" t="n">
        <f aca="false">IF(AND(ISNUMBER($G315),$G315&gt;=MA_MED),AVERAGE(INDEX($C$5:$C315,312-MA_MED):$C315),"")</f>
        <v>108976173.12</v>
      </c>
      <c r="K315" s="52" t="n">
        <f aca="false">IF(AND(ISNUMBER($G315),$G315&gt;=MA_LONG2),AVERAGE(INDEX($C$5:$C315,312-MA_LONG2):$C315),"")</f>
        <v>102253097.585</v>
      </c>
      <c r="L315" s="53" t="n">
        <f aca="false">IF(AND(ISNUMBER($G315),$G315&gt;=21),STDEV(INDEX($H$255:$H315,62-20):$H315)*SQRT(245),"")</f>
        <v>0.206012739081641</v>
      </c>
      <c r="M315" s="52" t="n">
        <f aca="false">IF(AND(ISNUMBER($G315),$G315&gt;=60),MAX(INDEX($D$115:$D315,202-60):$D315),"")</f>
        <v>116638452</v>
      </c>
      <c r="N315" s="52" t="n">
        <f aca="false">IF(AND(ISNUMBER($G315),$G315&gt;=60),MIN(INDEX($E$115:$E315,202-60):$E315),"")</f>
        <v>96825981</v>
      </c>
      <c r="O315" s="53" t="n">
        <f aca="false">IF(OR(NOT(ISNUMBER($C315)),NOT(ISNUMBER($M315)),$M315=0),"",$C315/$M315-1)</f>
        <v>-0.0938684354281383</v>
      </c>
      <c r="P315" s="54"/>
      <c r="Q315" s="53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106907373</v>
      </c>
      <c r="D316" s="49" t="n">
        <v>107547068</v>
      </c>
      <c r="E316" s="49" t="n">
        <v>106585552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0.0115204134727005</v>
      </c>
      <c r="I316" s="52" t="n">
        <f aca="false">IF(AND(ISNUMBER($G316),$G316&gt;=MA_SHORT),AVERAGE(INDEX($C$5:$C316,313-MA_SHORT):$C316),"")</f>
        <v>109508587.8</v>
      </c>
      <c r="J316" s="52" t="n">
        <f aca="false">IF(AND(ISNUMBER($G316),$G316&gt;=MA_MED),AVERAGE(INDEX($C$5:$C316,313-MA_MED):$C316),"")</f>
        <v>109125921.94</v>
      </c>
      <c r="K316" s="52" t="n">
        <f aca="false">IF(AND(ISNUMBER($G316),$G316&gt;=MA_LONG2),AVERAGE(INDEX($C$5:$C316,313-MA_LONG2):$C316),"")</f>
        <v>102327121.31</v>
      </c>
      <c r="L316" s="53" t="n">
        <f aca="false">IF(AND(ISNUMBER($G316),$G316&gt;=21),STDEV(INDEX($H$256:$H316,62-20):$H316)*SQRT(245),"")</f>
        <v>0.210345056309279</v>
      </c>
      <c r="M316" s="52" t="n">
        <f aca="false">IF(AND(ISNUMBER($G316),$G316&gt;=60),MAX(INDEX($D$116:$D316,202-60):$D316),"")</f>
        <v>116638452</v>
      </c>
      <c r="N316" s="52" t="n">
        <f aca="false">IF(AND(ISNUMBER($G316),$G316&gt;=60),MIN(INDEX($E$116:$E316,202-60):$E316),"")</f>
        <v>96825981</v>
      </c>
      <c r="O316" s="53" t="n">
        <f aca="false">IF(OR(NOT(ISNUMBER($C316)),NOT(ISNUMBER($M316)),$M316=0),"",$C316/$M316-1)</f>
        <v>-0.0834294251436053</v>
      </c>
      <c r="P316" s="54"/>
      <c r="Q316" s="53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106575401</v>
      </c>
      <c r="D317" s="49" t="n">
        <v>106988409</v>
      </c>
      <c r="E317" s="49" t="n">
        <v>105370908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-0.00310523016967224</v>
      </c>
      <c r="I317" s="52" t="n">
        <f aca="false">IF(AND(ISNUMBER($G317),$G317&gt;=MA_SHORT),AVERAGE(INDEX($C$5:$C317,314-MA_SHORT):$C317),"")</f>
        <v>109075057.65</v>
      </c>
      <c r="J317" s="52" t="n">
        <f aca="false">IF(AND(ISNUMBER($G317),$G317&gt;=MA_MED),AVERAGE(INDEX($C$5:$C317,314-MA_MED):$C317),"")</f>
        <v>109236530.3</v>
      </c>
      <c r="K317" s="52" t="n">
        <f aca="false">IF(AND(ISNUMBER($G317),$G317&gt;=MA_LONG2),AVERAGE(INDEX($C$5:$C317,314-MA_LONG2):$C317),"")</f>
        <v>102408727.57</v>
      </c>
      <c r="L317" s="53" t="n">
        <f aca="false">IF(AND(ISNUMBER($G317),$G317&gt;=21),STDEV(INDEX($H$257:$H317,62-20):$H317)*SQRT(245),"")</f>
        <v>0.209964299882546</v>
      </c>
      <c r="M317" s="52" t="n">
        <f aca="false">IF(AND(ISNUMBER($G317),$G317&gt;=60),MAX(INDEX($D$117:$D317,202-60):$D317),"")</f>
        <v>116638452</v>
      </c>
      <c r="N317" s="52" t="n">
        <f aca="false">IF(AND(ISNUMBER($G317),$G317&gt;=60),MIN(INDEX($E$117:$E317,202-60):$E317),"")</f>
        <v>96825981</v>
      </c>
      <c r="O317" s="53" t="n">
        <f aca="false">IF(OR(NOT(ISNUMBER($C317)),NOT(ISNUMBER($M317)),$M317=0),"",$C317/$M317-1)</f>
        <v>-0.0862755877452832</v>
      </c>
      <c r="P317" s="54"/>
      <c r="Q317" s="53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107940386</v>
      </c>
      <c r="D318" s="49" t="n">
        <v>108278626</v>
      </c>
      <c r="E318" s="49" t="n">
        <v>107929457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0.0128076928371117</v>
      </c>
      <c r="I318" s="52" t="n">
        <f aca="false">IF(AND(ISNUMBER($G318),$G318&gt;=MA_SHORT),AVERAGE(INDEX($C$5:$C318,315-MA_SHORT):$C318),"")</f>
        <v>108715086.15</v>
      </c>
      <c r="J318" s="52" t="n">
        <f aca="false">IF(AND(ISNUMBER($G318),$G318&gt;=MA_MED),AVERAGE(INDEX($C$5:$C318,315-MA_MED):$C318),"")</f>
        <v>109380491.96</v>
      </c>
      <c r="K318" s="52" t="n">
        <f aca="false">IF(AND(ISNUMBER($G318),$G318&gt;=MA_LONG2),AVERAGE(INDEX($C$5:$C318,315-MA_LONG2):$C318),"")</f>
        <v>102492830.44</v>
      </c>
      <c r="L318" s="53" t="n">
        <f aca="false">IF(AND(ISNUMBER($G318),$G318&gt;=21),STDEV(INDEX($H$258:$H318,62-20):$H318)*SQRT(245),"")</f>
        <v>0.217759592803194</v>
      </c>
      <c r="M318" s="52" t="n">
        <f aca="false">IF(AND(ISNUMBER($G318),$G318&gt;=60),MAX(INDEX($D$118:$D318,202-60):$D318),"")</f>
        <v>116638452</v>
      </c>
      <c r="N318" s="52" t="n">
        <f aca="false">IF(AND(ISNUMBER($G318),$G318&gt;=60),MIN(INDEX($E$118:$E318,202-60):$E318),"")</f>
        <v>96825981</v>
      </c>
      <c r="O318" s="53" t="n">
        <f aca="false">IF(OR(NOT(ISNUMBER($C318)),NOT(ISNUMBER($M318)),$M318=0),"",$C318/$M318-1)</f>
        <v>-0.0745728861353544</v>
      </c>
      <c r="P318" s="54"/>
      <c r="Q318" s="53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107028148</v>
      </c>
      <c r="D319" s="49" t="n">
        <v>107252611</v>
      </c>
      <c r="E319" s="49" t="n">
        <v>106653838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-0.00845131311648262</v>
      </c>
      <c r="I319" s="52" t="n">
        <f aca="false">IF(AND(ISNUMBER($G319),$G319&gt;=MA_SHORT),AVERAGE(INDEX($C$5:$C319,316-MA_SHORT):$C319),"")</f>
        <v>108389164.75</v>
      </c>
      <c r="J319" s="52" t="n">
        <f aca="false">IF(AND(ISNUMBER($G319),$G319&gt;=MA_MED),AVERAGE(INDEX($C$5:$C319,316-MA_MED):$C319),"")</f>
        <v>109493502.6</v>
      </c>
      <c r="K319" s="52" t="n">
        <f aca="false">IF(AND(ISNUMBER($G319),$G319&gt;=MA_LONG2),AVERAGE(INDEX($C$5:$C319,316-MA_LONG2):$C319),"")</f>
        <v>102569411.71</v>
      </c>
      <c r="L319" s="53" t="n">
        <f aca="false">IF(AND(ISNUMBER($G319),$G319&gt;=21),STDEV(INDEX($H$259:$H319,62-20):$H319)*SQRT(245),"")</f>
        <v>0.215145023191655</v>
      </c>
      <c r="M319" s="52" t="n">
        <f aca="false">IF(AND(ISNUMBER($G319),$G319&gt;=60),MAX(INDEX($D$119:$D319,202-60):$D319),"")</f>
        <v>116638452</v>
      </c>
      <c r="N319" s="52" t="n">
        <f aca="false">IF(AND(ISNUMBER($G319),$G319&gt;=60),MIN(INDEX($E$119:$E319,202-60):$E319),"")</f>
        <v>96825981</v>
      </c>
      <c r="O319" s="53" t="n">
        <f aca="false">IF(OR(NOT(ISNUMBER($C319)),NOT(ISNUMBER($M319)),$M319=0),"",$C319/$M319-1)</f>
        <v>-0.0823939604411074</v>
      </c>
      <c r="P319" s="54"/>
      <c r="Q319" s="53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109410919</v>
      </c>
      <c r="D320" s="49" t="n">
        <v>109744273</v>
      </c>
      <c r="E320" s="49" t="n">
        <v>108986909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0.0222630312167973</v>
      </c>
      <c r="I320" s="52" t="n">
        <f aca="false">IF(AND(ISNUMBER($G320),$G320&gt;=MA_SHORT),AVERAGE(INDEX($C$5:$C320,317-MA_SHORT):$C320),"")</f>
        <v>108075131.75</v>
      </c>
      <c r="J320" s="52" t="n">
        <f aca="false">IF(AND(ISNUMBER($G320),$G320&gt;=MA_MED),AVERAGE(INDEX($C$5:$C320,317-MA_MED):$C320),"")</f>
        <v>109643347.62</v>
      </c>
      <c r="K320" s="52" t="n">
        <f aca="false">IF(AND(ISNUMBER($G320),$G320&gt;=MA_LONG2),AVERAGE(INDEX($C$5:$C320,317-MA_LONG2):$C320),"")</f>
        <v>102658688.835</v>
      </c>
      <c r="L320" s="53" t="n">
        <f aca="false">IF(AND(ISNUMBER($G320),$G320&gt;=21),STDEV(INDEX($H$260:$H320,62-20):$H320)*SQRT(245),"")</f>
        <v>0.219814331488651</v>
      </c>
      <c r="M320" s="52" t="n">
        <f aca="false">IF(AND(ISNUMBER($G320),$G320&gt;=60),MAX(INDEX($D$120:$D320,202-60):$D320),"")</f>
        <v>116638452</v>
      </c>
      <c r="N320" s="52" t="n">
        <f aca="false">IF(AND(ISNUMBER($G320),$G320&gt;=60),MIN(INDEX($E$120:$E320,202-60):$E320),"")</f>
        <v>96825981</v>
      </c>
      <c r="O320" s="53" t="n">
        <f aca="false">IF(OR(NOT(ISNUMBER($C320)),NOT(ISNUMBER($M320)),$M320=0),"",$C320/$M320-1)</f>
        <v>-0.061965268537686</v>
      </c>
      <c r="P320" s="54"/>
      <c r="Q320" s="53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109045303</v>
      </c>
      <c r="D321" s="49" t="n">
        <v>109444981</v>
      </c>
      <c r="E321" s="49" t="n">
        <v>108250934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-0.00334167744263258</v>
      </c>
      <c r="I321" s="52" t="n">
        <f aca="false">IF(AND(ISNUMBER($G321),$G321&gt;=MA_SHORT),AVERAGE(INDEX($C$5:$C321,318-MA_SHORT):$C321),"")</f>
        <v>107894009.95</v>
      </c>
      <c r="J321" s="52" t="n">
        <f aca="false">IF(AND(ISNUMBER($G321),$G321&gt;=MA_MED),AVERAGE(INDEX($C$5:$C321,318-MA_MED):$C321),"")</f>
        <v>109760801.56</v>
      </c>
      <c r="K321" s="52" t="n">
        <f aca="false">IF(AND(ISNUMBER($G321),$G321&gt;=MA_LONG2),AVERAGE(INDEX($C$5:$C321,318-MA_LONG2):$C321),"")</f>
        <v>102751885.905</v>
      </c>
      <c r="L321" s="53" t="n">
        <f aca="false">IF(AND(ISNUMBER($G321),$G321&gt;=21),STDEV(INDEX($H$261:$H321,62-20):$H321)*SQRT(245),"")</f>
        <v>0.202240683682907</v>
      </c>
      <c r="M321" s="52" t="n">
        <f aca="false">IF(AND(ISNUMBER($G321),$G321&gt;=60),MAX(INDEX($D$121:$D321,202-60):$D321),"")</f>
        <v>116638452</v>
      </c>
      <c r="N321" s="52" t="n">
        <f aca="false">IF(AND(ISNUMBER($G321),$G321&gt;=60),MIN(INDEX($E$121:$E321,202-60):$E321),"")</f>
        <v>96825981</v>
      </c>
      <c r="O321" s="53" t="n">
        <f aca="false">IF(OR(NOT(ISNUMBER($C321)),NOT(ISNUMBER($M321)),$M321=0),"",$C321/$M321-1)</f>
        <v>-0.0650998780402196</v>
      </c>
      <c r="P321" s="54"/>
      <c r="Q321" s="53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109639922</v>
      </c>
      <c r="D322" s="49" t="n">
        <v>109697041</v>
      </c>
      <c r="E322" s="49" t="n">
        <v>109074411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0.00545295380581412</v>
      </c>
      <c r="I322" s="52" t="n">
        <f aca="false">IF(AND(ISNUMBER($G322),$G322&gt;=MA_SHORT),AVERAGE(INDEX($C$5:$C322,319-MA_SHORT):$C322),"")</f>
        <v>107897236.45</v>
      </c>
      <c r="J322" s="52" t="n">
        <f aca="false">IF(AND(ISNUMBER($G322),$G322&gt;=MA_MED),AVERAGE(INDEX($C$5:$C322,319-MA_MED):$C322),"")</f>
        <v>109860129.8</v>
      </c>
      <c r="K322" s="52" t="n">
        <f aca="false">IF(AND(ISNUMBER($G322),$G322&gt;=MA_LONG2),AVERAGE(INDEX($C$5:$C322,319-MA_LONG2):$C322),"")</f>
        <v>102842214</v>
      </c>
      <c r="L322" s="53" t="n">
        <f aca="false">IF(AND(ISNUMBER($G322),$G322&gt;=21),STDEV(INDEX($H$262:$H322,62-20):$H322)*SQRT(245),"")</f>
        <v>0.179417527335313</v>
      </c>
      <c r="M322" s="52" t="n">
        <f aca="false">IF(AND(ISNUMBER($G322),$G322&gt;=60),MAX(INDEX($D$122:$D322,202-60):$D322),"")</f>
        <v>116638452</v>
      </c>
      <c r="N322" s="52" t="n">
        <f aca="false">IF(AND(ISNUMBER($G322),$G322&gt;=60),MIN(INDEX($E$122:$E322,202-60):$E322),"")</f>
        <v>96825981</v>
      </c>
      <c r="O322" s="53" t="n">
        <f aca="false">IF(OR(NOT(ISNUMBER($C322)),NOT(ISNUMBER($M322)),$M322=0),"",$C322/$M322-1)</f>
        <v>-0.0600019108621229</v>
      </c>
      <c r="P322" s="54"/>
      <c r="Q322" s="53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109867155</v>
      </c>
      <c r="D323" s="49" t="n">
        <v>110010964</v>
      </c>
      <c r="E323" s="49" t="n">
        <v>109762231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0.00207253886955527</v>
      </c>
      <c r="I323" s="52" t="n">
        <f aca="false">IF(AND(ISNUMBER($G323),$G323&gt;=MA_SHORT),AVERAGE(INDEX($C$5:$C323,320-MA_SHORT):$C323),"")</f>
        <v>107949728.9</v>
      </c>
      <c r="J323" s="52" t="n">
        <f aca="false">IF(AND(ISNUMBER($G323),$G323&gt;=MA_MED),AVERAGE(INDEX($C$5:$C323,320-MA_MED):$C323),"")</f>
        <v>109973639.48</v>
      </c>
      <c r="K323" s="52" t="n">
        <f aca="false">IF(AND(ISNUMBER($G323),$G323&gt;=MA_LONG2),AVERAGE(INDEX($C$5:$C323,320-MA_LONG2):$C323),"")</f>
        <v>102932973.7</v>
      </c>
      <c r="L323" s="53" t="n">
        <f aca="false">IF(AND(ISNUMBER($G323),$G323&gt;=21),STDEV(INDEX($H$263:$H323,62-20):$H323)*SQRT(245),"")</f>
        <v>0.177638334860494</v>
      </c>
      <c r="M323" s="52" t="n">
        <f aca="false">IF(AND(ISNUMBER($G323),$G323&gt;=60),MAX(INDEX($D$123:$D323,202-60):$D323),"")</f>
        <v>116638452</v>
      </c>
      <c r="N323" s="52" t="n">
        <f aca="false">IF(AND(ISNUMBER($G323),$G323&gt;=60),MIN(INDEX($E$123:$E323,202-60):$E323),"")</f>
        <v>96825981</v>
      </c>
      <c r="O323" s="53" t="n">
        <f aca="false">IF(OR(NOT(ISNUMBER($C323)),NOT(ISNUMBER($M323)),$M323=0),"",$C323/$M323-1)</f>
        <v>-0.058053728285077</v>
      </c>
      <c r="P323" s="54"/>
      <c r="Q323" s="53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112366392</v>
      </c>
      <c r="D324" s="49" t="n">
        <v>113351464</v>
      </c>
      <c r="E324" s="49" t="n">
        <v>111905277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0.0227478084783392</v>
      </c>
      <c r="I324" s="52" t="n">
        <f aca="false">IF(AND(ISNUMBER($G324),$G324&gt;=MA_SHORT),AVERAGE(INDEX($C$5:$C324,321-MA_SHORT):$C324),"")</f>
        <v>108050977.2</v>
      </c>
      <c r="J324" s="52" t="n">
        <f aca="false">IF(AND(ISNUMBER($G324),$G324&gt;=MA_MED),AVERAGE(INDEX($C$5:$C324,321-MA_MED):$C324),"")</f>
        <v>110143590.46</v>
      </c>
      <c r="K324" s="52" t="n">
        <f aca="false">IF(AND(ISNUMBER($G324),$G324&gt;=MA_LONG2),AVERAGE(INDEX($C$5:$C324,321-MA_LONG2):$C324),"")</f>
        <v>103032154.615</v>
      </c>
      <c r="L324" s="53" t="n">
        <f aca="false">IF(AND(ISNUMBER($G324),$G324&gt;=21),STDEV(INDEX($H$264:$H324,62-20):$H324)*SQRT(245),"")</f>
        <v>0.18848591615435</v>
      </c>
      <c r="M324" s="52" t="n">
        <f aca="false">IF(AND(ISNUMBER($G324),$G324&gt;=60),MAX(INDEX($D$124:$D324,202-60):$D324),"")</f>
        <v>116638452</v>
      </c>
      <c r="N324" s="52" t="n">
        <f aca="false">IF(AND(ISNUMBER($G324),$G324&gt;=60),MIN(INDEX($E$124:$E324,202-60):$E324),"")</f>
        <v>98338432</v>
      </c>
      <c r="O324" s="53" t="n">
        <f aca="false">IF(OR(NOT(ISNUMBER($C324)),NOT(ISNUMBER($M324)),$M324=0),"",$C324/$M324-1)</f>
        <v>-0.0366265148992204</v>
      </c>
      <c r="P324" s="54"/>
      <c r="Q324" s="53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110578912</v>
      </c>
      <c r="D325" s="49" t="n">
        <v>110832230</v>
      </c>
      <c r="E325" s="49" t="n">
        <v>110207047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-0.0159076034051178</v>
      </c>
      <c r="I325" s="52" t="n">
        <f aca="false">IF(AND(ISNUMBER($G325),$G325&gt;=MA_SHORT),AVERAGE(INDEX($C$5:$C325,322-MA_SHORT):$C325),"")</f>
        <v>108089576.2</v>
      </c>
      <c r="J325" s="52" t="n">
        <f aca="false">IF(AND(ISNUMBER($G325),$G325&gt;=MA_MED),AVERAGE(INDEX($C$5:$C325,322-MA_MED):$C325),"")</f>
        <v>110242765.04</v>
      </c>
      <c r="K325" s="52" t="n">
        <f aca="false">IF(AND(ISNUMBER($G325),$G325&gt;=MA_LONG2),AVERAGE(INDEX($C$5:$C325,322-MA_LONG2):$C325),"")</f>
        <v>103112730.63</v>
      </c>
      <c r="L325" s="53" t="n">
        <f aca="false">IF(AND(ISNUMBER($G325),$G325&gt;=21),STDEV(INDEX($H$265:$H325,62-20):$H325)*SQRT(245),"")</f>
        <v>0.196691977614687</v>
      </c>
      <c r="M325" s="52" t="n">
        <f aca="false">IF(AND(ISNUMBER($G325),$G325&gt;=60),MAX(INDEX($D$125:$D325,202-60):$D325),"")</f>
        <v>116638452</v>
      </c>
      <c r="N325" s="52" t="n">
        <f aca="false">IF(AND(ISNUMBER($G325),$G325&gt;=60),MIN(INDEX($E$125:$E325,202-60):$E325),"")</f>
        <v>98702966</v>
      </c>
      <c r="O325" s="53" t="n">
        <f aca="false">IF(OR(NOT(ISNUMBER($C325)),NOT(ISNUMBER($M325)),$M325=0),"",$C325/$M325-1)</f>
        <v>-0.0519514782312097</v>
      </c>
      <c r="P325" s="54"/>
      <c r="Q325" s="53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111664838</v>
      </c>
      <c r="D326" s="49" t="n">
        <v>112424167</v>
      </c>
      <c r="E326" s="49" t="n">
        <v>111505104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0.00982037153702509</v>
      </c>
      <c r="I326" s="52" t="n">
        <f aca="false">IF(AND(ISNUMBER($G326),$G326&gt;=MA_SHORT),AVERAGE(INDEX($C$5:$C326,323-MA_SHORT):$C326),"")</f>
        <v>108179525.1</v>
      </c>
      <c r="J326" s="52" t="n">
        <f aca="false">IF(AND(ISNUMBER($G326),$G326&gt;=MA_MED),AVERAGE(INDEX($C$5:$C326,323-MA_MED):$C326),"")</f>
        <v>110353328.86</v>
      </c>
      <c r="K326" s="52" t="n">
        <f aca="false">IF(AND(ISNUMBER($G326),$G326&gt;=MA_LONG2),AVERAGE(INDEX($C$5:$C326,323-MA_LONG2):$C326),"")</f>
        <v>103210936.55</v>
      </c>
      <c r="L326" s="53" t="n">
        <f aca="false">IF(AND(ISNUMBER($G326),$G326&gt;=21),STDEV(INDEX($H$266:$H326,62-20):$H326)*SQRT(245),"")</f>
        <v>0.199424529272011</v>
      </c>
      <c r="M326" s="52" t="n">
        <f aca="false">IF(AND(ISNUMBER($G326),$G326&gt;=60),MAX(INDEX($D$126:$D326,202-60):$D326),"")</f>
        <v>116638452</v>
      </c>
      <c r="N326" s="52" t="n">
        <f aca="false">IF(AND(ISNUMBER($G326),$G326&gt;=60),MIN(INDEX($E$126:$E326,202-60):$E326),"")</f>
        <v>100534808</v>
      </c>
      <c r="O326" s="53" t="n">
        <f aca="false">IF(OR(NOT(ISNUMBER($C326)),NOT(ISNUMBER($M326)),$M326=0),"",$C326/$M326-1)</f>
        <v>-0.0426412895123128</v>
      </c>
      <c r="P326" s="54"/>
      <c r="Q326" s="53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111080484</v>
      </c>
      <c r="D327" s="49" t="n">
        <v>111222169</v>
      </c>
      <c r="E327" s="49" t="n">
        <v>110777041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-0.00523310659350085</v>
      </c>
      <c r="I327" s="52" t="n">
        <f aca="false">IF(AND(ISNUMBER($G327),$G327&gt;=MA_SHORT),AVERAGE(INDEX($C$5:$C327,324-MA_SHORT):$C327),"")</f>
        <v>108260290.35</v>
      </c>
      <c r="J327" s="52" t="n">
        <f aca="false">IF(AND(ISNUMBER($G327),$G327&gt;=MA_MED),AVERAGE(INDEX($C$5:$C327,324-MA_MED):$C327),"")</f>
        <v>110438239.12</v>
      </c>
      <c r="K327" s="52" t="n">
        <f aca="false">IF(AND(ISNUMBER($G327),$G327&gt;=MA_LONG2),AVERAGE(INDEX($C$5:$C327,324-MA_LONG2):$C327),"")</f>
        <v>103302027.435</v>
      </c>
      <c r="L327" s="53" t="n">
        <f aca="false">IF(AND(ISNUMBER($G327),$G327&gt;=21),STDEV(INDEX($H$267:$H327,62-20):$H327)*SQRT(245),"")</f>
        <v>0.199966329230311</v>
      </c>
      <c r="M327" s="52" t="n">
        <f aca="false">IF(AND(ISNUMBER($G327),$G327&gt;=60),MAX(INDEX($D$127:$D327,202-60):$D327),"")</f>
        <v>116638452</v>
      </c>
      <c r="N327" s="52" t="n">
        <f aca="false">IF(AND(ISNUMBER($G327),$G327&gt;=60),MIN(INDEX($E$127:$E327,202-60):$E327),"")</f>
        <v>100534808</v>
      </c>
      <c r="O327" s="53" t="n">
        <f aca="false">IF(OR(NOT(ISNUMBER($C327)),NOT(ISNUMBER($M327)),$M327=0),"",$C327/$M327-1)</f>
        <v>-0.0476512496925113</v>
      </c>
      <c r="P327" s="54"/>
      <c r="Q327" s="53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111717222</v>
      </c>
      <c r="D328" s="49" t="n">
        <v>111909361</v>
      </c>
      <c r="E328" s="49" t="n">
        <v>111607443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0.00573222205261548</v>
      </c>
      <c r="I328" s="52" t="n">
        <f aca="false">IF(AND(ISNUMBER($G328),$G328&gt;=MA_SHORT),AVERAGE(INDEX($C$5:$C328,325-MA_SHORT):$C328),"")</f>
        <v>108429167.05</v>
      </c>
      <c r="J328" s="52" t="n">
        <f aca="false">IF(AND(ISNUMBER($G328),$G328&gt;=MA_MED),AVERAGE(INDEX($C$5:$C328,325-MA_MED):$C328),"")</f>
        <v>110556682.54</v>
      </c>
      <c r="K328" s="52" t="n">
        <f aca="false">IF(AND(ISNUMBER($G328),$G328&gt;=MA_LONG2),AVERAGE(INDEX($C$5:$C328,325-MA_LONG2):$C328),"")</f>
        <v>103391424.145</v>
      </c>
      <c r="L328" s="53" t="n">
        <f aca="false">IF(AND(ISNUMBER($G328),$G328&gt;=21),STDEV(INDEX($H$268:$H328,62-20):$H328)*SQRT(245),"")</f>
        <v>0.196334051614243</v>
      </c>
      <c r="M328" s="52" t="n">
        <f aca="false">IF(AND(ISNUMBER($G328),$G328&gt;=60),MAX(INDEX($D$128:$D328,202-60):$D328),"")</f>
        <v>116638452</v>
      </c>
      <c r="N328" s="52" t="n">
        <f aca="false">IF(AND(ISNUMBER($G328),$G328&gt;=60),MIN(INDEX($E$128:$E328,202-60):$E328),"")</f>
        <v>101140023</v>
      </c>
      <c r="O328" s="53" t="n">
        <f aca="false">IF(OR(NOT(ISNUMBER($C328)),NOT(ISNUMBER($M328)),$M328=0),"",$C328/$M328-1)</f>
        <v>-0.042192175184218</v>
      </c>
      <c r="P328" s="54"/>
      <c r="Q328" s="53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112574337</v>
      </c>
      <c r="D329" s="49" t="n">
        <v>112920595</v>
      </c>
      <c r="E329" s="49" t="n">
        <v>112525749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0.00767218325568453</v>
      </c>
      <c r="I329" s="52" t="n">
        <f aca="false">IF(AND(ISNUMBER($G329),$G329&gt;=MA_SHORT),AVERAGE(INDEX($C$5:$C329,326-MA_SHORT):$C329),"")</f>
        <v>108638419.25</v>
      </c>
      <c r="J329" s="52" t="n">
        <f aca="false">IF(AND(ISNUMBER($G329),$G329&gt;=MA_MED),AVERAGE(INDEX($C$5:$C329,326-MA_MED):$C329),"")</f>
        <v>110694785.5</v>
      </c>
      <c r="K329" s="52" t="n">
        <f aca="false">IF(AND(ISNUMBER($G329),$G329&gt;=MA_LONG2),AVERAGE(INDEX($C$5:$C329,326-MA_LONG2):$C329),"")</f>
        <v>103497704.77</v>
      </c>
      <c r="L329" s="53" t="n">
        <f aca="false">IF(AND(ISNUMBER($G329),$G329&gt;=21),STDEV(INDEX($H$269:$H329,62-20):$H329)*SQRT(245),"")</f>
        <v>0.197408381340544</v>
      </c>
      <c r="M329" s="52" t="n">
        <f aca="false">IF(AND(ISNUMBER($G329),$G329&gt;=60),MAX(INDEX($D$129:$D329,202-60):$D329),"")</f>
        <v>116638452</v>
      </c>
      <c r="N329" s="52" t="n">
        <f aca="false">IF(AND(ISNUMBER($G329),$G329&gt;=60),MIN(INDEX($E$129:$E329,202-60):$E329),"")</f>
        <v>101446374</v>
      </c>
      <c r="O329" s="53" t="n">
        <f aca="false">IF(OR(NOT(ISNUMBER($C329)),NOT(ISNUMBER($M329)),$M329=0),"",$C329/$M329-1)</f>
        <v>-0.0348436980285026</v>
      </c>
      <c r="P329" s="54"/>
      <c r="Q329" s="53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114669408</v>
      </c>
      <c r="D330" s="49" t="n">
        <v>114724477</v>
      </c>
      <c r="E330" s="49" t="n">
        <v>114363511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0.0186105559742271</v>
      </c>
      <c r="I330" s="52" t="n">
        <f aca="false">IF(AND(ISNUMBER($G330),$G330&gt;=MA_SHORT),AVERAGE(INDEX($C$5:$C330,327-MA_SHORT):$C330),"")</f>
        <v>108972603.55</v>
      </c>
      <c r="J330" s="52" t="n">
        <f aca="false">IF(AND(ISNUMBER($G330),$G330&gt;=MA_MED),AVERAGE(INDEX($C$5:$C330,327-MA_MED):$C330),"")</f>
        <v>110857259.12</v>
      </c>
      <c r="K330" s="52" t="n">
        <f aca="false">IF(AND(ISNUMBER($G330),$G330&gt;=MA_LONG2),AVERAGE(INDEX($C$5:$C330,327-MA_LONG2):$C330),"")</f>
        <v>103615734.225</v>
      </c>
      <c r="L330" s="53" t="n">
        <f aca="false">IF(AND(ISNUMBER($G330),$G330&gt;=21),STDEV(INDEX($H$270:$H330,62-20):$H330)*SQRT(245),"")</f>
        <v>0.204450786446792</v>
      </c>
      <c r="M330" s="52" t="n">
        <f aca="false">IF(AND(ISNUMBER($G330),$G330&gt;=60),MAX(INDEX($D$130:$D330,202-60):$D330),"")</f>
        <v>116638452</v>
      </c>
      <c r="N330" s="52" t="n">
        <f aca="false">IF(AND(ISNUMBER($G330),$G330&gt;=60),MIN(INDEX($E$130:$E330,202-60):$E330),"")</f>
        <v>103011363</v>
      </c>
      <c r="O330" s="53" t="n">
        <f aca="false">IF(OR(NOT(ISNUMBER($C330)),NOT(ISNUMBER($M330)),$M330=0),"",$C330/$M330-1)</f>
        <v>-0.0168816026467841</v>
      </c>
      <c r="P330" s="54"/>
      <c r="Q330" s="53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114788412</v>
      </c>
      <c r="D331" s="49" t="n">
        <v>115428679</v>
      </c>
      <c r="E331" s="49" t="n">
        <v>114771689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0.00103780077071636</v>
      </c>
      <c r="I331" s="52" t="n">
        <f aca="false">IF(AND(ISNUMBER($G331),$G331&gt;=MA_SHORT),AVERAGE(INDEX($C$5:$C331,328-MA_SHORT):$C331),"")</f>
        <v>109287213.55</v>
      </c>
      <c r="J331" s="52" t="n">
        <f aca="false">IF(AND(ISNUMBER($G331),$G331&gt;=MA_MED),AVERAGE(INDEX($C$5:$C331,328-MA_MED):$C331),"")</f>
        <v>110987936.54</v>
      </c>
      <c r="K331" s="52" t="n">
        <f aca="false">IF(AND(ISNUMBER($G331),$G331&gt;=MA_LONG2),AVERAGE(INDEX($C$5:$C331,328-MA_LONG2):$C331),"")</f>
        <v>103726881.51</v>
      </c>
      <c r="L331" s="53" t="n">
        <f aca="false">IF(AND(ISNUMBER($G331),$G331&gt;=21),STDEV(INDEX($H$271:$H331,62-20):$H331)*SQRT(245),"")</f>
        <v>0.20447723273179</v>
      </c>
      <c r="M331" s="52" t="n">
        <f aca="false">IF(AND(ISNUMBER($G331),$G331&gt;=60),MAX(INDEX($D$131:$D331,202-60):$D331),"")</f>
        <v>116638452</v>
      </c>
      <c r="N331" s="52" t="n">
        <f aca="false">IF(AND(ISNUMBER($G331),$G331&gt;=60),MIN(INDEX($E$131:$E331,202-60):$E331),"")</f>
        <v>103397491</v>
      </c>
      <c r="O331" s="53" t="n">
        <f aca="false">IF(OR(NOT(ISNUMBER($C331)),NOT(ISNUMBER($M331)),$M331=0),"",$C331/$M331-1)</f>
        <v>-0.0158613216163054</v>
      </c>
      <c r="P331" s="54"/>
      <c r="Q331" s="53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114057206</v>
      </c>
      <c r="D332" s="49" t="n">
        <v>114366191</v>
      </c>
      <c r="E332" s="49" t="n">
        <v>113737359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-0.00637003323994068</v>
      </c>
      <c r="I332" s="52" t="n">
        <f aca="false">IF(AND(ISNUMBER($G332),$G332&gt;=MA_SHORT),AVERAGE(INDEX($C$5:$C332,329-MA_SHORT):$C332),"")</f>
        <v>109725628.3</v>
      </c>
      <c r="J332" s="52" t="n">
        <f aca="false">IF(AND(ISNUMBER($G332),$G332&gt;=MA_MED),AVERAGE(INDEX($C$5:$C332,329-MA_MED):$C332),"")</f>
        <v>111094522.7</v>
      </c>
      <c r="K332" s="52" t="n">
        <f aca="false">IF(AND(ISNUMBER($G332),$G332&gt;=MA_LONG2),AVERAGE(INDEX($C$5:$C332,329-MA_LONG2):$C332),"")</f>
        <v>103834052.305</v>
      </c>
      <c r="L332" s="53" t="n">
        <f aca="false">IF(AND(ISNUMBER($G332),$G332&gt;=21),STDEV(INDEX($H$272:$H332,62-20):$H332)*SQRT(245),"")</f>
        <v>0.170241374274373</v>
      </c>
      <c r="M332" s="52" t="n">
        <f aca="false">IF(AND(ISNUMBER($G332),$G332&gt;=60),MAX(INDEX($D$132:$D332,202-60):$D332),"")</f>
        <v>116638452</v>
      </c>
      <c r="N332" s="52" t="n">
        <f aca="false">IF(AND(ISNUMBER($G332),$G332&gt;=60),MIN(INDEX($E$132:$E332,202-60):$E332),"")</f>
        <v>103397491</v>
      </c>
      <c r="O332" s="53" t="n">
        <f aca="false">IF(OR(NOT(ISNUMBER($C332)),NOT(ISNUMBER($M332)),$M332=0),"",$C332/$M332-1)</f>
        <v>-0.0221303177103208</v>
      </c>
      <c r="P332" s="54"/>
      <c r="Q332" s="53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113145612</v>
      </c>
      <c r="D333" s="49" t="n">
        <v>113199652</v>
      </c>
      <c r="E333" s="49" t="n">
        <v>112803089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-0.00799242794006372</v>
      </c>
      <c r="I333" s="52" t="n">
        <f aca="false">IF(AND(ISNUMBER($G333),$G333&gt;=MA_SHORT),AVERAGE(INDEX($C$5:$C333,330-MA_SHORT):$C333),"")</f>
        <v>110183304.3</v>
      </c>
      <c r="J333" s="52" t="n">
        <f aca="false">IF(AND(ISNUMBER($G333),$G333&gt;=MA_MED),AVERAGE(INDEX($C$5:$C333,330-MA_MED):$C333),"")</f>
        <v>111164042</v>
      </c>
      <c r="K333" s="52" t="n">
        <f aca="false">IF(AND(ISNUMBER($G333),$G333&gt;=MA_LONG2),AVERAGE(INDEX($C$5:$C333,330-MA_LONG2):$C333),"")</f>
        <v>103938895.595</v>
      </c>
      <c r="L333" s="53" t="n">
        <f aca="false">IF(AND(ISNUMBER($G333),$G333&gt;=21),STDEV(INDEX($H$273:$H333,62-20):$H333)*SQRT(245),"")</f>
        <v>0.165482396413077</v>
      </c>
      <c r="M333" s="52" t="n">
        <f aca="false">IF(AND(ISNUMBER($G333),$G333&gt;=60),MAX(INDEX($D$133:$D333,202-60):$D333),"")</f>
        <v>116638452</v>
      </c>
      <c r="N333" s="52" t="n">
        <f aca="false">IF(AND(ISNUMBER($G333),$G333&gt;=60),MIN(INDEX($E$133:$E333,202-60):$E333),"")</f>
        <v>103397491</v>
      </c>
      <c r="O333" s="53" t="n">
        <f aca="false">IF(OR(NOT(ISNUMBER($C333)),NOT(ISNUMBER($M333)),$M333=0),"",$C333/$M333-1)</f>
        <v>-0.029945870680794</v>
      </c>
      <c r="P333" s="54"/>
      <c r="Q333" s="53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110789160</v>
      </c>
      <c r="D334" s="49" t="n">
        <v>111196937</v>
      </c>
      <c r="E334" s="49" t="n">
        <v>110688654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-0.0208267201736467</v>
      </c>
      <c r="I334" s="52" t="n">
        <f aca="false">IF(AND(ISNUMBER($G334),$G334&gt;=MA_SHORT),AVERAGE(INDEX($C$5:$C334,331-MA_SHORT):$C334),"")</f>
        <v>110476818.65</v>
      </c>
      <c r="J334" s="52" t="n">
        <f aca="false">IF(AND(ISNUMBER($G334),$G334&gt;=MA_MED),AVERAGE(INDEX($C$5:$C334,331-MA_MED):$C334),"")</f>
        <v>111200647.16</v>
      </c>
      <c r="K334" s="52" t="n">
        <f aca="false">IF(AND(ISNUMBER($G334),$G334&gt;=MA_LONG2),AVERAGE(INDEX($C$5:$C334,331-MA_LONG2):$C334),"")</f>
        <v>104031874.58</v>
      </c>
      <c r="L334" s="53" t="n">
        <f aca="false">IF(AND(ISNUMBER($G334),$G334&gt;=21),STDEV(INDEX($H$274:$H334,62-20):$H334)*SQRT(245),"")</f>
        <v>0.186186902531069</v>
      </c>
      <c r="M334" s="52" t="n">
        <f aca="false">IF(AND(ISNUMBER($G334),$G334&gt;=60),MAX(INDEX($D$134:$D334,202-60):$D334),"")</f>
        <v>116638452</v>
      </c>
      <c r="N334" s="52" t="n">
        <f aca="false">IF(AND(ISNUMBER($G334),$G334&gt;=60),MIN(INDEX($E$134:$E334,202-60):$E334),"")</f>
        <v>103805471</v>
      </c>
      <c r="O334" s="53" t="n">
        <f aca="false">IF(OR(NOT(ISNUMBER($C334)),NOT(ISNUMBER($M334)),$M334=0),"",$C334/$M334-1)</f>
        <v>-0.0501489165854155</v>
      </c>
      <c r="P334" s="54"/>
      <c r="Q334" s="53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110890722</v>
      </c>
      <c r="D335" s="49" t="n">
        <v>111416842</v>
      </c>
      <c r="E335" s="49" t="n">
        <v>110736660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0.00091671423449724</v>
      </c>
      <c r="I335" s="52" t="n">
        <f aca="false">IF(AND(ISNUMBER($G335),$G335&gt;=MA_SHORT),AVERAGE(INDEX($C$5:$C335,332-MA_SHORT):$C335),"")</f>
        <v>110736865.6</v>
      </c>
      <c r="J335" s="52" t="n">
        <f aca="false">IF(AND(ISNUMBER($G335),$G335&gt;=MA_MED),AVERAGE(INDEX($C$5:$C335,332-MA_MED):$C335),"")</f>
        <v>111167763.26</v>
      </c>
      <c r="K335" s="52" t="n">
        <f aca="false">IF(AND(ISNUMBER($G335),$G335&gt;=MA_LONG2),AVERAGE(INDEX($C$5:$C335,332-MA_LONG2):$C335),"")</f>
        <v>104134513.565</v>
      </c>
      <c r="L335" s="53" t="n">
        <f aca="false">IF(AND(ISNUMBER($G335),$G335&gt;=21),STDEV(INDEX($H$275:$H335,62-20):$H335)*SQRT(245),"")</f>
        <v>0.185517565833931</v>
      </c>
      <c r="M335" s="52" t="n">
        <f aca="false">IF(AND(ISNUMBER($G335),$G335&gt;=60),MAX(INDEX($D$135:$D335,202-60):$D335),"")</f>
        <v>116638452</v>
      </c>
      <c r="N335" s="52" t="n">
        <f aca="false">IF(AND(ISNUMBER($G335),$G335&gt;=60),MIN(INDEX($E$135:$E335,202-60):$E335),"")</f>
        <v>103805471</v>
      </c>
      <c r="O335" s="53" t="n">
        <f aca="false">IF(OR(NOT(ISNUMBER($C335)),NOT(ISNUMBER($M335)),$M335=0),"",$C335/$M335-1)</f>
        <v>-0.0492781745765968</v>
      </c>
      <c r="P335" s="54"/>
      <c r="Q335" s="53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112456300</v>
      </c>
      <c r="D336" s="49" t="n">
        <v>113139430</v>
      </c>
      <c r="E336" s="49" t="n">
        <v>111904851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0.0141182054888236</v>
      </c>
      <c r="I336" s="52" t="n">
        <f aca="false">IF(AND(ISNUMBER($G336),$G336&gt;=MA_SHORT),AVERAGE(INDEX($C$5:$C336,333-MA_SHORT):$C336),"")</f>
        <v>111014311.95</v>
      </c>
      <c r="J336" s="52" t="n">
        <f aca="false">IF(AND(ISNUMBER($G336),$G336&gt;=MA_MED),AVERAGE(INDEX($C$5:$C336,333-MA_MED):$C336),"")</f>
        <v>111182460.42</v>
      </c>
      <c r="K336" s="52" t="n">
        <f aca="false">IF(AND(ISNUMBER($G336),$G336&gt;=MA_LONG2),AVERAGE(INDEX($C$5:$C336,333-MA_LONG2):$C336),"")</f>
        <v>104245908.27</v>
      </c>
      <c r="L336" s="53" t="n">
        <f aca="false">IF(AND(ISNUMBER($G336),$G336&gt;=21),STDEV(INDEX($H$276:$H336,62-20):$H336)*SQRT(245),"")</f>
        <v>0.18736511855273</v>
      </c>
      <c r="M336" s="52" t="n">
        <f aca="false">IF(AND(ISNUMBER($G336),$G336&gt;=60),MAX(INDEX($D$136:$D336,202-60):$D336),"")</f>
        <v>116638452</v>
      </c>
      <c r="N336" s="52" t="n">
        <f aca="false">IF(AND(ISNUMBER($G336),$G336&gt;=60),MIN(INDEX($E$136:$E336,202-60):$E336),"")</f>
        <v>103805471</v>
      </c>
      <c r="O336" s="53" t="n">
        <f aca="false">IF(OR(NOT(ISNUMBER($C336)),NOT(ISNUMBER($M336)),$M336=0),"",$C336/$M336-1)</f>
        <v>-0.0358556884825597</v>
      </c>
      <c r="P336" s="54"/>
      <c r="Q336" s="53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112882655</v>
      </c>
      <c r="D337" s="49" t="n">
        <v>113013984</v>
      </c>
      <c r="E337" s="49" t="n">
        <v>112798779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0.003791294929675</v>
      </c>
      <c r="I337" s="52" t="n">
        <f aca="false">IF(AND(ISNUMBER($G337),$G337&gt;=MA_SHORT),AVERAGE(INDEX($C$5:$C337,334-MA_SHORT):$C337),"")</f>
        <v>111329674.65</v>
      </c>
      <c r="J337" s="52" t="n">
        <f aca="false">IF(AND(ISNUMBER($G337),$G337&gt;=MA_MED),AVERAGE(INDEX($C$5:$C337,334-MA_MED):$C337),"")</f>
        <v>111198541.24</v>
      </c>
      <c r="K337" s="52" t="n">
        <f aca="false">IF(AND(ISNUMBER($G337),$G337&gt;=MA_LONG2),AVERAGE(INDEX($C$5:$C337,334-MA_LONG2):$C337),"")</f>
        <v>104360502.33</v>
      </c>
      <c r="L337" s="53" t="n">
        <f aca="false">IF(AND(ISNUMBER($G337),$G337&gt;=21),STDEV(INDEX($H$277:$H337,62-20):$H337)*SQRT(245),"")</f>
        <v>0.186207922279249</v>
      </c>
      <c r="M337" s="52" t="n">
        <f aca="false">IF(AND(ISNUMBER($G337),$G337&gt;=60),MAX(INDEX($D$137:$D337,202-60):$D337),"")</f>
        <v>116638452</v>
      </c>
      <c r="N337" s="52" t="n">
        <f aca="false">IF(AND(ISNUMBER($G337),$G337&gt;=60),MIN(INDEX($E$137:$E337,202-60):$E337),"")</f>
        <v>103805471</v>
      </c>
      <c r="O337" s="53" t="n">
        <f aca="false">IF(OR(NOT(ISNUMBER($C337)),NOT(ISNUMBER($M337)),$M337=0),"",$C337/$M337-1)</f>
        <v>-0.0322003330428288</v>
      </c>
      <c r="P337" s="54"/>
      <c r="Q337" s="53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111554149</v>
      </c>
      <c r="D338" s="49" t="n">
        <v>111920288</v>
      </c>
      <c r="E338" s="49" t="n">
        <v>111225244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-0.0117689117074719</v>
      </c>
      <c r="I338" s="52" t="n">
        <f aca="false">IF(AND(ISNUMBER($G338),$G338&gt;=MA_SHORT),AVERAGE(INDEX($C$5:$C338,335-MA_SHORT):$C338),"")</f>
        <v>111510362.8</v>
      </c>
      <c r="J338" s="52" t="n">
        <f aca="false">IF(AND(ISNUMBER($G338),$G338&gt;=MA_MED),AVERAGE(INDEX($C$5:$C338,335-MA_MED):$C338),"")</f>
        <v>111167911.54</v>
      </c>
      <c r="K338" s="52" t="n">
        <f aca="false">IF(AND(ISNUMBER($G338),$G338&gt;=MA_LONG2),AVERAGE(INDEX($C$5:$C338,335-MA_LONG2):$C338),"")</f>
        <v>104463525.045</v>
      </c>
      <c r="L338" s="53" t="n">
        <f aca="false">IF(AND(ISNUMBER($G338),$G338&gt;=21),STDEV(INDEX($H$278:$H338,62-20):$H338)*SQRT(245),"")</f>
        <v>0.18926702493236</v>
      </c>
      <c r="M338" s="52" t="n">
        <f aca="false">IF(AND(ISNUMBER($G338),$G338&gt;=60),MAX(INDEX($D$138:$D338,202-60):$D338),"")</f>
        <v>116638452</v>
      </c>
      <c r="N338" s="52" t="n">
        <f aca="false">IF(AND(ISNUMBER($G338),$G338&gt;=60),MIN(INDEX($E$138:$E338,202-60):$E338),"")</f>
        <v>103805471</v>
      </c>
      <c r="O338" s="53" t="n">
        <f aca="false">IF(OR(NOT(ISNUMBER($C338)),NOT(ISNUMBER($M338)),$M338=0),"",$C338/$M338-1)</f>
        <v>-0.0435902818737683</v>
      </c>
      <c r="P338" s="54"/>
      <c r="Q338" s="53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112665165</v>
      </c>
      <c r="D339" s="49" t="n">
        <v>112987535</v>
      </c>
      <c r="E339" s="49" t="n">
        <v>112480567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0.00995943234706576</v>
      </c>
      <c r="I339" s="52" t="n">
        <f aca="false">IF(AND(ISNUMBER($G339),$G339&gt;=MA_SHORT),AVERAGE(INDEX($C$5:$C339,336-MA_SHORT):$C339),"")</f>
        <v>111792213.65</v>
      </c>
      <c r="J339" s="52" t="n">
        <f aca="false">IF(AND(ISNUMBER($G339),$G339&gt;=MA_MED),AVERAGE(INDEX($C$5:$C339,336-MA_MED):$C339),"")</f>
        <v>111111684.14</v>
      </c>
      <c r="K339" s="52" t="n">
        <f aca="false">IF(AND(ISNUMBER($G339),$G339&gt;=MA_LONG2),AVERAGE(INDEX($C$5:$C339,336-MA_LONG2):$C339),"")</f>
        <v>104568163.29</v>
      </c>
      <c r="L339" s="53" t="n">
        <f aca="false">IF(AND(ISNUMBER($G339),$G339&gt;=21),STDEV(INDEX($H$279:$H339,62-20):$H339)*SQRT(245),"")</f>
        <v>0.187473117848601</v>
      </c>
      <c r="M339" s="52" t="n">
        <f aca="false">IF(AND(ISNUMBER($G339),$G339&gt;=60),MAX(INDEX($D$139:$D339,202-60):$D339),"")</f>
        <v>116638452</v>
      </c>
      <c r="N339" s="52" t="n">
        <f aca="false">IF(AND(ISNUMBER($G339),$G339&gt;=60),MIN(INDEX($E$139:$E339,202-60):$E339),"")</f>
        <v>103805471</v>
      </c>
      <c r="O339" s="53" t="n">
        <f aca="false">IF(OR(NOT(ISNUMBER($C339)),NOT(ISNUMBER($M339)),$M339=0),"",$C339/$M339-1)</f>
        <v>-0.0340649839900139</v>
      </c>
      <c r="P339" s="54"/>
      <c r="Q339" s="53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114474888</v>
      </c>
      <c r="D340" s="49" t="n">
        <v>115416475</v>
      </c>
      <c r="E340" s="49" t="n">
        <v>114069012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0.0160628442695663</v>
      </c>
      <c r="I340" s="52" t="n">
        <f aca="false">IF(AND(ISNUMBER($G340),$G340&gt;=MA_SHORT),AVERAGE(INDEX($C$5:$C340,337-MA_SHORT):$C340),"")</f>
        <v>112045412.1</v>
      </c>
      <c r="J340" s="52" t="n">
        <f aca="false">IF(AND(ISNUMBER($G340),$G340&gt;=MA_MED),AVERAGE(INDEX($C$5:$C340,337-MA_MED):$C340),"")</f>
        <v>111080762.1</v>
      </c>
      <c r="K340" s="52" t="n">
        <f aca="false">IF(AND(ISNUMBER($G340),$G340&gt;=MA_LONG2),AVERAGE(INDEX($C$5:$C340,337-MA_LONG2):$C340),"")</f>
        <v>104682585.62</v>
      </c>
      <c r="L340" s="53" t="n">
        <f aca="false">IF(AND(ISNUMBER($G340),$G340&gt;=21),STDEV(INDEX($H$280:$H340,62-20):$H340)*SQRT(245),"")</f>
        <v>0.180219342970438</v>
      </c>
      <c r="M340" s="52" t="n">
        <f aca="false">IF(AND(ISNUMBER($G340),$G340&gt;=60),MAX(INDEX($D$140:$D340,202-60):$D340),"")</f>
        <v>116638452</v>
      </c>
      <c r="N340" s="52" t="n">
        <f aca="false">IF(AND(ISNUMBER($G340),$G340&gt;=60),MIN(INDEX($E$140:$E340,202-60):$E340),"")</f>
        <v>103805471</v>
      </c>
      <c r="O340" s="53" t="n">
        <f aca="false">IF(OR(NOT(ISNUMBER($C340)),NOT(ISNUMBER($M340)),$M340=0),"",$C340/$M340-1)</f>
        <v>-0.0185493202533243</v>
      </c>
      <c r="P340" s="54"/>
      <c r="Q340" s="53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118083708</v>
      </c>
      <c r="D341" s="49" t="n">
        <v>118819941</v>
      </c>
      <c r="E341" s="49" t="n">
        <v>117393108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0.0315249926254568</v>
      </c>
      <c r="I341" s="52" t="n">
        <f aca="false">IF(AND(ISNUMBER($G341),$G341&gt;=MA_SHORT),AVERAGE(INDEX($C$5:$C341,338-MA_SHORT):$C341),"")</f>
        <v>112497332.35</v>
      </c>
      <c r="J341" s="52" t="n">
        <f aca="false">IF(AND(ISNUMBER($G341),$G341&gt;=MA_MED),AVERAGE(INDEX($C$5:$C341,338-MA_MED):$C341),"")</f>
        <v>111127074.5</v>
      </c>
      <c r="K341" s="52" t="n">
        <f aca="false">IF(AND(ISNUMBER($G341),$G341&gt;=MA_LONG2),AVERAGE(INDEX($C$5:$C341,338-MA_LONG2):$C341),"")</f>
        <v>104816307.145</v>
      </c>
      <c r="L341" s="53" t="n">
        <f aca="false">IF(AND(ISNUMBER($G341),$G341&gt;=21),STDEV(INDEX($H$281:$H341,62-20):$H341)*SQRT(245),"")</f>
        <v>0.205604630278809</v>
      </c>
      <c r="M341" s="52" t="n">
        <f aca="false">IF(AND(ISNUMBER($G341),$G341&gt;=60),MAX(INDEX($D$141:$D341,202-60):$D341),"")</f>
        <v>118819941</v>
      </c>
      <c r="N341" s="52" t="n">
        <f aca="false">IF(AND(ISNUMBER($G341),$G341&gt;=60),MIN(INDEX($E$141:$E341,202-60):$E341),"")</f>
        <v>103805471</v>
      </c>
      <c r="O341" s="53" t="n">
        <f aca="false">IF(OR(NOT(ISNUMBER($C341)),NOT(ISNUMBER($M341)),$M341=0),"",$C341/$M341-1)</f>
        <v>-0.00619620741942639</v>
      </c>
      <c r="P341" s="54"/>
      <c r="Q341" s="53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119221226</v>
      </c>
      <c r="D342" s="49" t="n">
        <v>119853304</v>
      </c>
      <c r="E342" s="49" t="n">
        <v>119170264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0.00963314939263249</v>
      </c>
      <c r="I342" s="52" t="n">
        <f aca="false">IF(AND(ISNUMBER($G342),$G342&gt;=MA_SHORT),AVERAGE(INDEX($C$5:$C342,339-MA_SHORT):$C342),"")</f>
        <v>112976397.55</v>
      </c>
      <c r="J342" s="52" t="n">
        <f aca="false">IF(AND(ISNUMBER($G342),$G342&gt;=MA_MED),AVERAGE(INDEX($C$5:$C342,339-MA_MED):$C342),"")</f>
        <v>111211682.42</v>
      </c>
      <c r="K342" s="52" t="n">
        <f aca="false">IF(AND(ISNUMBER($G342),$G342&gt;=MA_LONG2),AVERAGE(INDEX($C$5:$C342,339-MA_LONG2):$C342),"")</f>
        <v>104953920.33</v>
      </c>
      <c r="L342" s="53" t="n">
        <f aca="false">IF(AND(ISNUMBER($G342),$G342&gt;=21),STDEV(INDEX($H$282:$H342,62-20):$H342)*SQRT(245),"")</f>
        <v>0.206485584243308</v>
      </c>
      <c r="M342" s="52" t="n">
        <f aca="false">IF(AND(ISNUMBER($G342),$G342&gt;=60),MAX(INDEX($D$142:$D342,202-60):$D342),"")</f>
        <v>119853304</v>
      </c>
      <c r="N342" s="52" t="n">
        <f aca="false">IF(AND(ISNUMBER($G342),$G342&gt;=60),MIN(INDEX($E$142:$E342,202-60):$E342),"")</f>
        <v>103805471</v>
      </c>
      <c r="O342" s="53" t="n">
        <f aca="false">IF(OR(NOT(ISNUMBER($C342)),NOT(ISNUMBER($M342)),$M342=0),"",$C342/$M342-1)</f>
        <v>-0.00527376366695742</v>
      </c>
      <c r="P342" s="54"/>
      <c r="Q342" s="53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120038409</v>
      </c>
      <c r="D343" s="49" t="n">
        <v>120378820</v>
      </c>
      <c r="E343" s="49" t="n">
        <v>119671968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0.00685434152472153</v>
      </c>
      <c r="I343" s="52" t="n">
        <f aca="false">IF(AND(ISNUMBER($G343),$G343&gt;=MA_SHORT),AVERAGE(INDEX($C$5:$C343,340-MA_SHORT):$C343),"")</f>
        <v>113484960.25</v>
      </c>
      <c r="J343" s="52" t="n">
        <f aca="false">IF(AND(ISNUMBER($G343),$G343&gt;=MA_MED),AVERAGE(INDEX($C$5:$C343,340-MA_MED):$C343),"")</f>
        <v>111317137.82</v>
      </c>
      <c r="K343" s="52" t="n">
        <f aca="false">IF(AND(ISNUMBER($G343),$G343&gt;=MA_LONG2),AVERAGE(INDEX($C$5:$C343,340-MA_LONG2):$C343),"")</f>
        <v>105086984.355</v>
      </c>
      <c r="L343" s="53" t="n">
        <f aca="false">IF(AND(ISNUMBER($G343),$G343&gt;=21),STDEV(INDEX($H$283:$H343,62-20):$H343)*SQRT(245),"")</f>
        <v>0.206504643953265</v>
      </c>
      <c r="M343" s="52" t="n">
        <f aca="false">IF(AND(ISNUMBER($G343),$G343&gt;=60),MAX(INDEX($D$143:$D343,202-60):$D343),"")</f>
        <v>120378820</v>
      </c>
      <c r="N343" s="52" t="n">
        <f aca="false">IF(AND(ISNUMBER($G343),$G343&gt;=60),MIN(INDEX($E$143:$E343,202-60):$E343),"")</f>
        <v>103805471</v>
      </c>
      <c r="O343" s="53" t="n">
        <f aca="false">IF(OR(NOT(ISNUMBER($C343)),NOT(ISNUMBER($M343)),$M343=0),"",$C343/$M343-1)</f>
        <v>-0.00282783134109477</v>
      </c>
      <c r="P343" s="54"/>
      <c r="Q343" s="53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120181731</v>
      </c>
      <c r="D344" s="49" t="n">
        <v>121258632</v>
      </c>
      <c r="E344" s="49" t="n">
        <v>119940382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0.00119396784074333</v>
      </c>
      <c r="I344" s="52" t="n">
        <f aca="false">IF(AND(ISNUMBER($G344),$G344&gt;=MA_SHORT),AVERAGE(INDEX($C$5:$C344,341-MA_SHORT):$C344),"")</f>
        <v>113875727.2</v>
      </c>
      <c r="J344" s="52" t="n">
        <f aca="false">IF(AND(ISNUMBER($G344),$G344&gt;=MA_MED),AVERAGE(INDEX($C$5:$C344,341-MA_MED):$C344),"")</f>
        <v>111421910.32</v>
      </c>
      <c r="K344" s="52" t="n">
        <f aca="false">IF(AND(ISNUMBER($G344),$G344&gt;=MA_LONG2),AVERAGE(INDEX($C$5:$C344,341-MA_LONG2):$C344),"")</f>
        <v>105218072.5</v>
      </c>
      <c r="L344" s="53" t="n">
        <f aca="false">IF(AND(ISNUMBER($G344),$G344&gt;=21),STDEV(INDEX($H$284:$H344,62-20):$H344)*SQRT(245),"")</f>
        <v>0.195454617216798</v>
      </c>
      <c r="M344" s="52" t="n">
        <f aca="false">IF(AND(ISNUMBER($G344),$G344&gt;=60),MAX(INDEX($D$144:$D344,202-60):$D344),"")</f>
        <v>121258632</v>
      </c>
      <c r="N344" s="52" t="n">
        <f aca="false">IF(AND(ISNUMBER($G344),$G344&gt;=60),MIN(INDEX($E$144:$E344,202-60):$E344),"")</f>
        <v>103805471</v>
      </c>
      <c r="O344" s="53" t="n">
        <f aca="false">IF(OR(NOT(ISNUMBER($C344)),NOT(ISNUMBER($M344)),$M344=0),"",$C344/$M344-1)</f>
        <v>-0.00888102547619041</v>
      </c>
      <c r="P344" s="54"/>
      <c r="Q344" s="53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119472197</v>
      </c>
      <c r="D345" s="49" t="n">
        <v>119530609</v>
      </c>
      <c r="E345" s="49" t="n">
        <v>119449741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-0.00590384240679642</v>
      </c>
      <c r="I345" s="52" t="n">
        <f aca="false">IF(AND(ISNUMBER($G345),$G345&gt;=MA_SHORT),AVERAGE(INDEX($C$5:$C345,342-MA_SHORT):$C345),"")</f>
        <v>114320391.45</v>
      </c>
      <c r="J345" s="52" t="n">
        <f aca="false">IF(AND(ISNUMBER($G345),$G345&gt;=MA_MED),AVERAGE(INDEX($C$5:$C345,342-MA_MED):$C345),"")</f>
        <v>111503087.26</v>
      </c>
      <c r="K345" s="52" t="n">
        <f aca="false">IF(AND(ISNUMBER($G345),$G345&gt;=MA_LONG2),AVERAGE(INDEX($C$5:$C345,342-MA_LONG2):$C345),"")</f>
        <v>105355448.665</v>
      </c>
      <c r="L345" s="53" t="n">
        <f aca="false">IF(AND(ISNUMBER($G345),$G345&gt;=21),STDEV(INDEX($H$285:$H345,62-20):$H345)*SQRT(245),"")</f>
        <v>0.185570821262115</v>
      </c>
      <c r="M345" s="52" t="n">
        <f aca="false">IF(AND(ISNUMBER($G345),$G345&gt;=60),MAX(INDEX($D$145:$D345,202-60):$D345),"")</f>
        <v>121258632</v>
      </c>
      <c r="N345" s="52" t="n">
        <f aca="false">IF(AND(ISNUMBER($G345),$G345&gt;=60),MIN(INDEX($E$145:$E345,202-60):$E345),"")</f>
        <v>103805471</v>
      </c>
      <c r="O345" s="53" t="n">
        <f aca="false">IF(OR(NOT(ISNUMBER($C345)),NOT(ISNUMBER($M345)),$M345=0),"",$C345/$M345-1)</f>
        <v>-0.0147324357081646</v>
      </c>
      <c r="P345" s="54"/>
      <c r="Q345" s="53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118237304</v>
      </c>
      <c r="D346" s="49" t="n">
        <v>118642541</v>
      </c>
      <c r="E346" s="49" t="n">
        <v>117848272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-0.0103362374762389</v>
      </c>
      <c r="I346" s="52" t="n">
        <f aca="false">IF(AND(ISNUMBER($G346),$G346&gt;=MA_SHORT),AVERAGE(INDEX($C$5:$C346,343-MA_SHORT):$C346),"")</f>
        <v>114649014.75</v>
      </c>
      <c r="J346" s="52" t="n">
        <f aca="false">IF(AND(ISNUMBER($G346),$G346&gt;=MA_MED),AVERAGE(INDEX($C$5:$C346,343-MA_MED):$C346),"")</f>
        <v>111545388.54</v>
      </c>
      <c r="K346" s="52" t="n">
        <f aca="false">IF(AND(ISNUMBER($G346),$G346&gt;=MA_LONG2),AVERAGE(INDEX($C$5:$C346,343-MA_LONG2):$C346),"")</f>
        <v>105484417.12</v>
      </c>
      <c r="L346" s="53" t="n">
        <f aca="false">IF(AND(ISNUMBER($G346),$G346&gt;=21),STDEV(INDEX($H$286:$H346,62-20):$H346)*SQRT(245),"")</f>
        <v>0.190676803551381</v>
      </c>
      <c r="M346" s="52" t="n">
        <f aca="false">IF(AND(ISNUMBER($G346),$G346&gt;=60),MAX(INDEX($D$146:$D346,202-60):$D346),"")</f>
        <v>121258632</v>
      </c>
      <c r="N346" s="52" t="n">
        <f aca="false">IF(AND(ISNUMBER($G346),$G346&gt;=60),MIN(INDEX($E$146:$E346,202-60):$E346),"")</f>
        <v>103805471</v>
      </c>
      <c r="O346" s="53" t="n">
        <f aca="false">IF(OR(NOT(ISNUMBER($C346)),NOT(ISNUMBER($M346)),$M346=0),"",$C346/$M346-1)</f>
        <v>-0.0249163952303206</v>
      </c>
      <c r="P346" s="54"/>
      <c r="Q346" s="53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118185681</v>
      </c>
      <c r="D347" s="49" t="n">
        <v>118349352</v>
      </c>
      <c r="E347" s="49" t="n">
        <v>118139298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-0.000436605015960101</v>
      </c>
      <c r="I347" s="52" t="n">
        <f aca="false">IF(AND(ISNUMBER($G347),$G347&gt;=MA_SHORT),AVERAGE(INDEX($C$5:$C347,344-MA_SHORT):$C347),"")</f>
        <v>115004274.6</v>
      </c>
      <c r="J347" s="52" t="n">
        <f aca="false">IF(AND(ISNUMBER($G347),$G347&gt;=MA_MED),AVERAGE(INDEX($C$5:$C347,344-MA_MED):$C347),"")</f>
        <v>111604182.08</v>
      </c>
      <c r="K347" s="52" t="n">
        <f aca="false">IF(AND(ISNUMBER($G347),$G347&gt;=MA_LONG2),AVERAGE(INDEX($C$5:$C347,344-MA_LONG2):$C347),"")</f>
        <v>105609973.5</v>
      </c>
      <c r="L347" s="53" t="n">
        <f aca="false">IF(AND(ISNUMBER($G347),$G347&gt;=21),STDEV(INDEX($H$287:$H347,62-20):$H347)*SQRT(245),"")</f>
        <v>0.188757064206999</v>
      </c>
      <c r="M347" s="52" t="n">
        <f aca="false">IF(AND(ISNUMBER($G347),$G347&gt;=60),MAX(INDEX($D$147:$D347,202-60):$D347),"")</f>
        <v>121258632</v>
      </c>
      <c r="N347" s="52" t="n">
        <f aca="false">IF(AND(ISNUMBER($G347),$G347&gt;=60),MIN(INDEX($E$147:$E347,202-60):$E347),"")</f>
        <v>103805471</v>
      </c>
      <c r="O347" s="53" t="n">
        <f aca="false">IF(OR(NOT(ISNUMBER($C347)),NOT(ISNUMBER($M347)),$M347=0),"",$C347/$M347-1)</f>
        <v>-0.0253421216231435</v>
      </c>
      <c r="P347" s="54"/>
      <c r="Q347" s="53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119679867</v>
      </c>
      <c r="D348" s="49" t="n">
        <v>119903436</v>
      </c>
      <c r="E348" s="49" t="n">
        <v>118914503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0.0126426990762105</v>
      </c>
      <c r="I348" s="52" t="n">
        <f aca="false">IF(AND(ISNUMBER($G348),$G348&gt;=MA_SHORT),AVERAGE(INDEX($C$5:$C348,345-MA_SHORT):$C348),"")</f>
        <v>115402406.85</v>
      </c>
      <c r="J348" s="52" t="n">
        <f aca="false">IF(AND(ISNUMBER($G348),$G348&gt;=MA_MED),AVERAGE(INDEX($C$5:$C348,345-MA_MED):$C348),"")</f>
        <v>111694983.1</v>
      </c>
      <c r="K348" s="52" t="n">
        <f aca="false">IF(AND(ISNUMBER($G348),$G348&gt;=MA_LONG2),AVERAGE(INDEX($C$5:$C348,345-MA_LONG2):$C348),"")</f>
        <v>105743633.335</v>
      </c>
      <c r="L348" s="53" t="n">
        <f aca="false">IF(AND(ISNUMBER($G348),$G348&gt;=21),STDEV(INDEX($H$288:$H348,62-20):$H348)*SQRT(245),"")</f>
        <v>0.191494666788072</v>
      </c>
      <c r="M348" s="52" t="n">
        <f aca="false">IF(AND(ISNUMBER($G348),$G348&gt;=60),MAX(INDEX($D$148:$D348,202-60):$D348),"")</f>
        <v>121258632</v>
      </c>
      <c r="N348" s="52" t="n">
        <f aca="false">IF(AND(ISNUMBER($G348),$G348&gt;=60),MIN(INDEX($E$148:$E348,202-60):$E348),"")</f>
        <v>103805471</v>
      </c>
      <c r="O348" s="53" t="n">
        <f aca="false">IF(OR(NOT(ISNUMBER($C348)),NOT(ISNUMBER($M348)),$M348=0),"",$C348/$M348-1)</f>
        <v>-0.0130198153645672</v>
      </c>
      <c r="P348" s="54"/>
      <c r="Q348" s="53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121084205</v>
      </c>
      <c r="D349" s="49" t="n">
        <v>121661794</v>
      </c>
      <c r="E349" s="49" t="n">
        <v>120395238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0.0117341206604116</v>
      </c>
      <c r="I349" s="52" t="n">
        <f aca="false">IF(AND(ISNUMBER($G349),$G349&gt;=MA_SHORT),AVERAGE(INDEX($C$5:$C349,346-MA_SHORT):$C349),"")</f>
        <v>115827900.25</v>
      </c>
      <c r="J349" s="52" t="n">
        <f aca="false">IF(AND(ISNUMBER($G349),$G349&gt;=MA_MED),AVERAGE(INDEX($C$5:$C349,346-MA_MED):$C349),"")</f>
        <v>111845735.68</v>
      </c>
      <c r="K349" s="52" t="n">
        <f aca="false">IF(AND(ISNUMBER($G349),$G349&gt;=MA_LONG2),AVERAGE(INDEX($C$5:$C349,346-MA_LONG2):$C349),"")</f>
        <v>105886275.355</v>
      </c>
      <c r="L349" s="53" t="n">
        <f aca="false">IF(AND(ISNUMBER($G349),$G349&gt;=21),STDEV(INDEX($H$289:$H349,62-20):$H349)*SQRT(245),"")</f>
        <v>0.193151169030474</v>
      </c>
      <c r="M349" s="52" t="n">
        <f aca="false">IF(AND(ISNUMBER($G349),$G349&gt;=60),MAX(INDEX($D$149:$D349,202-60):$D349),"")</f>
        <v>121661794</v>
      </c>
      <c r="N349" s="52" t="n">
        <f aca="false">IF(AND(ISNUMBER($G349),$G349&gt;=60),MIN(INDEX($E$149:$E349,202-60):$E349),"")</f>
        <v>103805471</v>
      </c>
      <c r="O349" s="53" t="n">
        <f aca="false">IF(OR(NOT(ISNUMBER($C349)),NOT(ISNUMBER($M349)),$M349=0),"",$C349/$M349-1)</f>
        <v>-0.00474749698331756</v>
      </c>
      <c r="P349" s="54"/>
      <c r="Q349" s="53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121942300</v>
      </c>
      <c r="D350" s="49" t="n">
        <v>122501686</v>
      </c>
      <c r="E350" s="49" t="n">
        <v>121780936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0.00708676247244644</v>
      </c>
      <c r="I350" s="52" t="n">
        <f aca="false">IF(AND(ISNUMBER($G350),$G350&gt;=MA_SHORT),AVERAGE(INDEX($C$5:$C350,347-MA_SHORT):$C350),"")</f>
        <v>116191544.85</v>
      </c>
      <c r="J350" s="52" t="n">
        <f aca="false">IF(AND(ISNUMBER($G350),$G350&gt;=MA_MED),AVERAGE(INDEX($C$5:$C350,347-MA_MED):$C350),"")</f>
        <v>111970750.1</v>
      </c>
      <c r="K350" s="52" t="n">
        <f aca="false">IF(AND(ISNUMBER($G350),$G350&gt;=MA_LONG2),AVERAGE(INDEX($C$5:$C350,347-MA_LONG2):$C350),"")</f>
        <v>106029668.375</v>
      </c>
      <c r="L350" s="53" t="n">
        <f aca="false">IF(AND(ISNUMBER($G350),$G350&gt;=21),STDEV(INDEX($H$290:$H350,62-20):$H350)*SQRT(245),"")</f>
        <v>0.185767215938223</v>
      </c>
      <c r="M350" s="52" t="n">
        <f aca="false">IF(AND(ISNUMBER($G350),$G350&gt;=60),MAX(INDEX($D$150:$D350,202-60):$D350),"")</f>
        <v>122501686</v>
      </c>
      <c r="N350" s="52" t="n">
        <f aca="false">IF(AND(ISNUMBER($G350),$G350&gt;=60),MIN(INDEX($E$150:$E350,202-60):$E350),"")</f>
        <v>103805471</v>
      </c>
      <c r="O350" s="53" t="n">
        <f aca="false">IF(OR(NOT(ISNUMBER($C350)),NOT(ISNUMBER($M350)),$M350=0),"",$C350/$M350-1)</f>
        <v>-0.00456635347859624</v>
      </c>
      <c r="P350" s="54"/>
      <c r="Q350" s="53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119911987</v>
      </c>
      <c r="D351" s="49" t="n">
        <v>120056216</v>
      </c>
      <c r="E351" s="49" t="n">
        <v>119806240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-0.0166497843652285</v>
      </c>
      <c r="I351" s="52" t="n">
        <f aca="false">IF(AND(ISNUMBER($G351),$G351&gt;=MA_SHORT),AVERAGE(INDEX($C$5:$C351,348-MA_SHORT):$C351),"")</f>
        <v>116447723.6</v>
      </c>
      <c r="J351" s="52" t="n">
        <f aca="false">IF(AND(ISNUMBER($G351),$G351&gt;=MA_MED),AVERAGE(INDEX($C$5:$C351,348-MA_MED):$C351),"")</f>
        <v>112115635.06</v>
      </c>
      <c r="K351" s="52" t="n">
        <f aca="false">IF(AND(ISNUMBER($G351),$G351&gt;=MA_LONG2),AVERAGE(INDEX($C$5:$C351,348-MA_LONG2):$C351),"")</f>
        <v>106156104.005</v>
      </c>
      <c r="L351" s="53" t="n">
        <f aca="false">IF(AND(ISNUMBER($G351),$G351&gt;=21),STDEV(INDEX($H$291:$H351,62-20):$H351)*SQRT(245),"")</f>
        <v>0.198251297548615</v>
      </c>
      <c r="M351" s="52" t="n">
        <f aca="false">IF(AND(ISNUMBER($G351),$G351&gt;=60),MAX(INDEX($D$151:$D351,202-60):$D351),"")</f>
        <v>122501686</v>
      </c>
      <c r="N351" s="52" t="n">
        <f aca="false">IF(AND(ISNUMBER($G351),$G351&gt;=60),MIN(INDEX($E$151:$E351,202-60):$E351),"")</f>
        <v>103805471</v>
      </c>
      <c r="O351" s="53" t="n">
        <f aca="false">IF(OR(NOT(ISNUMBER($C351)),NOT(ISNUMBER($M351)),$M351=0),"",$C351/$M351-1)</f>
        <v>-0.0211401090430706</v>
      </c>
      <c r="P351" s="54"/>
      <c r="Q351" s="53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123132474</v>
      </c>
      <c r="D352" s="49" t="n">
        <v>123440385</v>
      </c>
      <c r="E352" s="49" t="n">
        <v>122689102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0.0268570897753533</v>
      </c>
      <c r="I352" s="52" t="n">
        <f aca="false">IF(AND(ISNUMBER($G352),$G352&gt;=MA_SHORT),AVERAGE(INDEX($C$5:$C352,349-MA_SHORT):$C352),"")</f>
        <v>116901487</v>
      </c>
      <c r="J352" s="52" t="n">
        <f aca="false">IF(AND(ISNUMBER($G352),$G352&gt;=MA_MED),AVERAGE(INDEX($C$5:$C352,349-MA_MED):$C352),"")</f>
        <v>112386776.7</v>
      </c>
      <c r="K352" s="52" t="n">
        <f aca="false">IF(AND(ISNUMBER($G352),$G352&gt;=MA_LONG2),AVERAGE(INDEX($C$5:$C352,349-MA_LONG2):$C352),"")</f>
        <v>106291717.485</v>
      </c>
      <c r="L352" s="53" t="n">
        <f aca="false">IF(AND(ISNUMBER($G352),$G352&gt;=21),STDEV(INDEX($H$292:$H352,62-20):$H352)*SQRT(245),"")</f>
        <v>0.213146594625814</v>
      </c>
      <c r="M352" s="52" t="n">
        <f aca="false">IF(AND(ISNUMBER($G352),$G352&gt;=60),MAX(INDEX($D$152:$D352,202-60):$D352),"")</f>
        <v>123440385</v>
      </c>
      <c r="N352" s="52" t="n">
        <f aca="false">IF(AND(ISNUMBER($G352),$G352&gt;=60),MIN(INDEX($E$152:$E352,202-60):$E352),"")</f>
        <v>103805471</v>
      </c>
      <c r="O352" s="53" t="n">
        <f aca="false">IF(OR(NOT(ISNUMBER($C352)),NOT(ISNUMBER($M352)),$M352=0),"",$C352/$M352-1)</f>
        <v>-0.00249441056101696</v>
      </c>
      <c r="P352" s="54"/>
      <c r="Q352" s="53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124648510</v>
      </c>
      <c r="D353" s="49" t="n">
        <v>125063278</v>
      </c>
      <c r="E353" s="49" t="n">
        <v>124035785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0.0123122353571812</v>
      </c>
      <c r="I353" s="52" t="n">
        <f aca="false">IF(AND(ISNUMBER($G353),$G353&gt;=MA_SHORT),AVERAGE(INDEX($C$5:$C353,350-MA_SHORT):$C353),"")</f>
        <v>117476631.9</v>
      </c>
      <c r="J353" s="52" t="n">
        <f aca="false">IF(AND(ISNUMBER($G353),$G353&gt;=MA_MED),AVERAGE(INDEX($C$5:$C353,350-MA_MED):$C353),"")</f>
        <v>112703400.78</v>
      </c>
      <c r="K353" s="52" t="n">
        <f aca="false">IF(AND(ISNUMBER($G353),$G353&gt;=MA_LONG2),AVERAGE(INDEX($C$5:$C353,350-MA_LONG2):$C353),"")</f>
        <v>106424643.19</v>
      </c>
      <c r="L353" s="53" t="n">
        <f aca="false">IF(AND(ISNUMBER($G353),$G353&gt;=21),STDEV(INDEX($H$293:$H353,62-20):$H353)*SQRT(245),"")</f>
        <v>0.210338753795517</v>
      </c>
      <c r="M353" s="52" t="n">
        <f aca="false">IF(AND(ISNUMBER($G353),$G353&gt;=60),MAX(INDEX($D$153:$D353,202-60):$D353),"")</f>
        <v>125063278</v>
      </c>
      <c r="N353" s="52" t="n">
        <f aca="false">IF(AND(ISNUMBER($G353),$G353&gt;=60),MIN(INDEX($E$153:$E353,202-60):$E353),"")</f>
        <v>103805471</v>
      </c>
      <c r="O353" s="53" t="n">
        <f aca="false">IF(OR(NOT(ISNUMBER($C353)),NOT(ISNUMBER($M353)),$M353=0),"",$C353/$M353-1)</f>
        <v>-0.00331646512575823</v>
      </c>
      <c r="P353" s="54"/>
      <c r="Q353" s="53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124798264</v>
      </c>
      <c r="D354" s="49" t="n">
        <v>125130778</v>
      </c>
      <c r="E354" s="49" t="n">
        <v>123615945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0.00120141026956522</v>
      </c>
      <c r="I354" s="52" t="n">
        <f aca="false">IF(AND(ISNUMBER($G354),$G354&gt;=MA_SHORT),AVERAGE(INDEX($C$5:$C354,351-MA_SHORT):$C354),"")</f>
        <v>118177087.1</v>
      </c>
      <c r="J354" s="52" t="n">
        <f aca="false">IF(AND(ISNUMBER($G354),$G354&gt;=MA_MED),AVERAGE(INDEX($C$5:$C354,351-MA_MED):$C354),"")</f>
        <v>112992537.54</v>
      </c>
      <c r="K354" s="52" t="n">
        <f aca="false">IF(AND(ISNUMBER($G354),$G354&gt;=MA_LONG2),AVERAGE(INDEX($C$5:$C354,351-MA_LONG2):$C354),"")</f>
        <v>106566839.015</v>
      </c>
      <c r="L354" s="53" t="n">
        <f aca="false">IF(AND(ISNUMBER($G354),$G354&gt;=21),STDEV(INDEX($H$294:$H354,62-20):$H354)*SQRT(245),"")</f>
        <v>0.1885460684782</v>
      </c>
      <c r="M354" s="52" t="n">
        <f aca="false">IF(AND(ISNUMBER($G354),$G354&gt;=60),MAX(INDEX($D$154:$D354,202-60):$D354),"")</f>
        <v>125130778</v>
      </c>
      <c r="N354" s="52" t="n">
        <f aca="false">IF(AND(ISNUMBER($G354),$G354&gt;=60),MIN(INDEX($E$154:$E354,202-60):$E354),"")</f>
        <v>103805471</v>
      </c>
      <c r="O354" s="53" t="n">
        <f aca="false">IF(OR(NOT(ISNUMBER($C354)),NOT(ISNUMBER($M354)),$M354=0),"",$C354/$M354-1)</f>
        <v>-0.00265733183565753</v>
      </c>
      <c r="P354" s="54"/>
      <c r="Q354" s="53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123794217</v>
      </c>
      <c r="D355" s="49" t="n">
        <v>123911881</v>
      </c>
      <c r="E355" s="49" t="n">
        <v>123655204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-0.00804536031046077</v>
      </c>
      <c r="I355" s="52" t="n">
        <f aca="false">IF(AND(ISNUMBER($G355),$G355&gt;=MA_SHORT),AVERAGE(INDEX($C$5:$C355,352-MA_SHORT):$C355),"")</f>
        <v>118822261.85</v>
      </c>
      <c r="J355" s="52" t="n">
        <f aca="false">IF(AND(ISNUMBER($G355),$G355&gt;=MA_MED),AVERAGE(INDEX($C$5:$C355,352-MA_MED):$C355),"")</f>
        <v>113272283.24</v>
      </c>
      <c r="K355" s="52" t="n">
        <f aca="false">IF(AND(ISNUMBER($G355),$G355&gt;=MA_LONG2),AVERAGE(INDEX($C$5:$C355,352-MA_LONG2):$C355),"")</f>
        <v>106709724.335</v>
      </c>
      <c r="L355" s="53" t="n">
        <f aca="false">IF(AND(ISNUMBER($G355),$G355&gt;=21),STDEV(INDEX($H$295:$H355,62-20):$H355)*SQRT(245),"")</f>
        <v>0.194210156486466</v>
      </c>
      <c r="M355" s="52" t="n">
        <f aca="false">IF(AND(ISNUMBER($G355),$G355&gt;=60),MAX(INDEX($D$155:$D355,202-60):$D355),"")</f>
        <v>125130778</v>
      </c>
      <c r="N355" s="52" t="n">
        <f aca="false">IF(AND(ISNUMBER($G355),$G355&gt;=60),MIN(INDEX($E$155:$E355,202-60):$E355),"")</f>
        <v>103805471</v>
      </c>
      <c r="O355" s="53" t="n">
        <f aca="false">IF(OR(NOT(ISNUMBER($C355)),NOT(ISNUMBER($M355)),$M355=0),"",$C355/$M355-1)</f>
        <v>-0.010681312954036</v>
      </c>
      <c r="P355" s="54"/>
      <c r="Q355" s="53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123149191</v>
      </c>
      <c r="D356" s="49" t="n">
        <v>123682503</v>
      </c>
      <c r="E356" s="49" t="n">
        <v>123071564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-0.00521046956498783</v>
      </c>
      <c r="I356" s="52" t="n">
        <f aca="false">IF(AND(ISNUMBER($G356),$G356&gt;=MA_SHORT),AVERAGE(INDEX($C$5:$C356,353-MA_SHORT):$C356),"")</f>
        <v>119356906.4</v>
      </c>
      <c r="J356" s="52" t="n">
        <f aca="false">IF(AND(ISNUMBER($G356),$G356&gt;=MA_MED),AVERAGE(INDEX($C$5:$C356,353-MA_MED):$C356),"")</f>
        <v>113537949.86</v>
      </c>
      <c r="K356" s="52" t="n">
        <f aca="false">IF(AND(ISNUMBER($G356),$G356&gt;=MA_LONG2),AVERAGE(INDEX($C$5:$C356,353-MA_LONG2):$C356),"")</f>
        <v>106843642.945</v>
      </c>
      <c r="L356" s="53" t="n">
        <f aca="false">IF(AND(ISNUMBER($G356),$G356&gt;=21),STDEV(INDEX($H$296:$H356,62-20):$H356)*SQRT(245),"")</f>
        <v>0.195048302605432</v>
      </c>
      <c r="M356" s="52" t="n">
        <f aca="false">IF(AND(ISNUMBER($G356),$G356&gt;=60),MAX(INDEX($D$156:$D356,202-60):$D356),"")</f>
        <v>125130778</v>
      </c>
      <c r="N356" s="52" t="n">
        <f aca="false">IF(AND(ISNUMBER($G356),$G356&gt;=60),MIN(INDEX($E$156:$E356,202-60):$E356),"")</f>
        <v>103805471</v>
      </c>
      <c r="O356" s="53" t="n">
        <f aca="false">IF(OR(NOT(ISNUMBER($C356)),NOT(ISNUMBER($M356)),$M356=0),"",$C356/$M356-1)</f>
        <v>-0.0158361278629627</v>
      </c>
      <c r="P356" s="54"/>
      <c r="Q356" s="53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125728050</v>
      </c>
      <c r="D357" s="49" t="n">
        <v>126011789</v>
      </c>
      <c r="E357" s="49" t="n">
        <v>124802264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0.0209409333432</v>
      </c>
      <c r="I357" s="52" t="n">
        <f aca="false">IF(AND(ISNUMBER($G357),$G357&gt;=MA_SHORT),AVERAGE(INDEX($C$5:$C357,354-MA_SHORT):$C357),"")</f>
        <v>119999176.15</v>
      </c>
      <c r="J357" s="52" t="n">
        <f aca="false">IF(AND(ISNUMBER($G357),$G357&gt;=MA_MED),AVERAGE(INDEX($C$5:$C357,354-MA_MED):$C357),"")</f>
        <v>113863207.28</v>
      </c>
      <c r="K357" s="52" t="n">
        <f aca="false">IF(AND(ISNUMBER($G357),$G357&gt;=MA_LONG2),AVERAGE(INDEX($C$5:$C357,354-MA_LONG2):$C357),"")</f>
        <v>106997283.69</v>
      </c>
      <c r="L357" s="53" t="n">
        <f aca="false">IF(AND(ISNUMBER($G357),$G357&gt;=21),STDEV(INDEX($H$297:$H357,62-20):$H357)*SQRT(245),"")</f>
        <v>0.203169605585661</v>
      </c>
      <c r="M357" s="52" t="n">
        <f aca="false">IF(AND(ISNUMBER($G357),$G357&gt;=60),MAX(INDEX($D$157:$D357,202-60):$D357),"")</f>
        <v>126011789</v>
      </c>
      <c r="N357" s="52" t="n">
        <f aca="false">IF(AND(ISNUMBER($G357),$G357&gt;=60),MIN(INDEX($E$157:$E357,202-60):$E357),"")</f>
        <v>103805471</v>
      </c>
      <c r="O357" s="53" t="n">
        <f aca="false">IF(OR(NOT(ISNUMBER($C357)),NOT(ISNUMBER($M357)),$M357=0),"",$C357/$M357-1)</f>
        <v>-0.00225168614977767</v>
      </c>
      <c r="P357" s="54"/>
      <c r="Q357" s="53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122147001</v>
      </c>
      <c r="D358" s="49" t="n">
        <v>122735153</v>
      </c>
      <c r="E358" s="49" t="n">
        <v>121720276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-0.0284824985355296</v>
      </c>
      <c r="I358" s="52" t="n">
        <f aca="false">IF(AND(ISNUMBER($G358),$G358&gt;=MA_SHORT),AVERAGE(INDEX($C$5:$C358,355-MA_SHORT):$C358),"")</f>
        <v>120528818.75</v>
      </c>
      <c r="J358" s="52" t="n">
        <f aca="false">IF(AND(ISNUMBER($G358),$G358&gt;=MA_MED),AVERAGE(INDEX($C$5:$C358,355-MA_MED):$C358),"")</f>
        <v>114139353.54</v>
      </c>
      <c r="K358" s="52" t="n">
        <f aca="false">IF(AND(ISNUMBER($G358),$G358&gt;=MA_LONG2),AVERAGE(INDEX($C$5:$C358,355-MA_LONG2):$C358),"")</f>
        <v>107123657.525</v>
      </c>
      <c r="L358" s="53" t="n">
        <f aca="false">IF(AND(ISNUMBER($G358),$G358&gt;=21),STDEV(INDEX($H$298:$H358,62-20):$H358)*SQRT(245),"")</f>
        <v>0.228332800054024</v>
      </c>
      <c r="M358" s="52" t="n">
        <f aca="false">IF(AND(ISNUMBER($G358),$G358&gt;=60),MAX(INDEX($D$158:$D358,202-60):$D358),"")</f>
        <v>126011789</v>
      </c>
      <c r="N358" s="52" t="n">
        <f aca="false">IF(AND(ISNUMBER($G358),$G358&gt;=60),MIN(INDEX($E$158:$E358,202-60):$E358),"")</f>
        <v>103805471</v>
      </c>
      <c r="O358" s="53" t="n">
        <f aca="false">IF(OR(NOT(ISNUMBER($C358)),NOT(ISNUMBER($M358)),$M358=0),"",$C358/$M358-1)</f>
        <v>-0.0306700510378438</v>
      </c>
      <c r="P358" s="54"/>
      <c r="Q358" s="53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121139905</v>
      </c>
      <c r="D359" s="49" t="n">
        <v>121975697</v>
      </c>
      <c r="E359" s="49" t="n">
        <v>120471044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-0.00824495068855602</v>
      </c>
      <c r="I359" s="52" t="n">
        <f aca="false">IF(AND(ISNUMBER($G359),$G359&gt;=MA_SHORT),AVERAGE(INDEX($C$5:$C359,356-MA_SHORT):$C359),"")</f>
        <v>120952555.75</v>
      </c>
      <c r="J359" s="52" t="n">
        <f aca="false">IF(AND(ISNUMBER($G359),$G359&gt;=MA_MED),AVERAGE(INDEX($C$5:$C359,356-MA_MED):$C359),"")</f>
        <v>114394365.78</v>
      </c>
      <c r="K359" s="52" t="n">
        <f aca="false">IF(AND(ISNUMBER($G359),$G359&gt;=MA_LONG2),AVERAGE(INDEX($C$5:$C359,356-MA_LONG2):$C359),"")</f>
        <v>107244207.875</v>
      </c>
      <c r="L359" s="53" t="n">
        <f aca="false">IF(AND(ISNUMBER($G359),$G359&gt;=21),STDEV(INDEX($H$299:$H359,62-20):$H359)*SQRT(245),"")</f>
        <v>0.231735634965712</v>
      </c>
      <c r="M359" s="52" t="n">
        <f aca="false">IF(AND(ISNUMBER($G359),$G359&gt;=60),MAX(INDEX($D$159:$D359,202-60):$D359),"")</f>
        <v>126011789</v>
      </c>
      <c r="N359" s="52" t="n">
        <f aca="false">IF(AND(ISNUMBER($G359),$G359&gt;=60),MIN(INDEX($E$159:$E359,202-60):$E359),"")</f>
        <v>103805471</v>
      </c>
      <c r="O359" s="53" t="n">
        <f aca="false">IF(OR(NOT(ISNUMBER($C359)),NOT(ISNUMBER($M359)),$M359=0),"",$C359/$M359-1)</f>
        <v>-0.0386621286679773</v>
      </c>
      <c r="P359" s="54"/>
      <c r="Q359" s="53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118890490</v>
      </c>
      <c r="D360" s="49" t="n">
        <v>119874331</v>
      </c>
      <c r="E360" s="49" t="n">
        <v>118356160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-0.0185687367015849</v>
      </c>
      <c r="I360" s="52" t="n">
        <f aca="false">IF(AND(ISNUMBER($G360),$G360&gt;=MA_SHORT),AVERAGE(INDEX($C$5:$C360,357-MA_SHORT):$C360),"")</f>
        <v>121173335.85</v>
      </c>
      <c r="J360" s="52" t="n">
        <f aca="false">IF(AND(ISNUMBER($G360),$G360&gt;=MA_MED),AVERAGE(INDEX($C$5:$C360,357-MA_MED):$C360),"")</f>
        <v>114612461.14</v>
      </c>
      <c r="K360" s="52" t="n">
        <f aca="false">IF(AND(ISNUMBER($G360),$G360&gt;=MA_LONG2),AVERAGE(INDEX($C$5:$C360,357-MA_LONG2):$C360),"")</f>
        <v>107356968.635</v>
      </c>
      <c r="L360" s="53" t="n">
        <f aca="false">IF(AND(ISNUMBER($G360),$G360&gt;=21),STDEV(INDEX($H$300:$H360,62-20):$H360)*SQRT(245),"")</f>
        <v>0.23955079065138</v>
      </c>
      <c r="M360" s="52" t="n">
        <f aca="false">IF(AND(ISNUMBER($G360),$G360&gt;=60),MAX(INDEX($D$160:$D360,202-60):$D360),"")</f>
        <v>126011789</v>
      </c>
      <c r="N360" s="52" t="n">
        <f aca="false">IF(AND(ISNUMBER($G360),$G360&gt;=60),MIN(INDEX($E$160:$E360,202-60):$E360),"")</f>
        <v>103805471</v>
      </c>
      <c r="O360" s="53" t="n">
        <f aca="false">IF(OR(NOT(ISNUMBER($C360)),NOT(ISNUMBER($M360)),$M360=0),"",$C360/$M360-1)</f>
        <v>-0.0565129584820037</v>
      </c>
      <c r="P360" s="54"/>
      <c r="Q360" s="53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120286178</v>
      </c>
      <c r="D361" s="49" t="n">
        <v>121010731</v>
      </c>
      <c r="E361" s="49" t="n">
        <v>120053649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0.0117392736795012</v>
      </c>
      <c r="I361" s="52" t="n">
        <f aca="false">IF(AND(ISNUMBER($G361),$G361&gt;=MA_SHORT),AVERAGE(INDEX($C$5:$C361,358-MA_SHORT):$C361),"")</f>
        <v>121283459.35</v>
      </c>
      <c r="J361" s="52" t="n">
        <f aca="false">IF(AND(ISNUMBER($G361),$G361&gt;=MA_MED),AVERAGE(INDEX($C$5:$C361,358-MA_MED):$C361),"")</f>
        <v>114848260.46</v>
      </c>
      <c r="K361" s="52" t="n">
        <f aca="false">IF(AND(ISNUMBER($G361),$G361&gt;=MA_LONG2),AVERAGE(INDEX($C$5:$C361,358-MA_LONG2):$C361),"")</f>
        <v>107469960.65</v>
      </c>
      <c r="L361" s="53" t="n">
        <f aca="false">IF(AND(ISNUMBER($G361),$G361&gt;=21),STDEV(INDEX($H$301:$H361,62-20):$H361)*SQRT(245),"")</f>
        <v>0.217065105296995</v>
      </c>
      <c r="M361" s="52" t="n">
        <f aca="false">IF(AND(ISNUMBER($G361),$G361&gt;=60),MAX(INDEX($D$161:$D361,202-60):$D361),"")</f>
        <v>126011789</v>
      </c>
      <c r="N361" s="52" t="n">
        <f aca="false">IF(AND(ISNUMBER($G361),$G361&gt;=60),MIN(INDEX($E$161:$E361,202-60):$E361),"")</f>
        <v>103805471</v>
      </c>
      <c r="O361" s="53" t="n">
        <f aca="false">IF(OR(NOT(ISNUMBER($C361)),NOT(ISNUMBER($M361)),$M361=0),"",$C361/$M361-1)</f>
        <v>-0.045437105888561</v>
      </c>
      <c r="P361" s="54"/>
      <c r="Q361" s="53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117168671</v>
      </c>
      <c r="D362" s="49" t="n">
        <v>117680690</v>
      </c>
      <c r="E362" s="49" t="n">
        <v>116559069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-0.0259174167126667</v>
      </c>
      <c r="I362" s="52" t="n">
        <f aca="false">IF(AND(ISNUMBER($G362),$G362&gt;=MA_SHORT),AVERAGE(INDEX($C$5:$C362,359-MA_SHORT):$C362),"")</f>
        <v>121180831.6</v>
      </c>
      <c r="J362" s="52" t="n">
        <f aca="false">IF(AND(ISNUMBER($G362),$G362&gt;=MA_MED),AVERAGE(INDEX($C$5:$C362,359-MA_MED):$C362),"")</f>
        <v>115085855.66</v>
      </c>
      <c r="K362" s="52" t="n">
        <f aca="false">IF(AND(ISNUMBER($G362),$G362&gt;=MA_LONG2),AVERAGE(INDEX($C$5:$C362,359-MA_LONG2):$C362),"")</f>
        <v>107559551.335</v>
      </c>
      <c r="L362" s="53" t="n">
        <f aca="false">IF(AND(ISNUMBER($G362),$G362&gt;=21),STDEV(INDEX($H$302:$H362,62-20):$H362)*SQRT(245),"")</f>
        <v>0.233877648610522</v>
      </c>
      <c r="M362" s="52" t="n">
        <f aca="false">IF(AND(ISNUMBER($G362),$G362&gt;=60),MAX(INDEX($D$162:$D362,202-60):$D362),"")</f>
        <v>126011789</v>
      </c>
      <c r="N362" s="52" t="n">
        <f aca="false">IF(AND(ISNUMBER($G362),$G362&gt;=60),MIN(INDEX($E$162:$E362,202-60):$E362),"")</f>
        <v>103805471</v>
      </c>
      <c r="O362" s="53" t="n">
        <f aca="false">IF(OR(NOT(ISNUMBER($C362)),NOT(ISNUMBER($M362)),$M362=0),"",$C362/$M362-1)</f>
        <v>-0.0701769101936962</v>
      </c>
      <c r="P362" s="54"/>
      <c r="Q362" s="53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118777528</v>
      </c>
      <c r="D363" s="49" t="n">
        <v>118793624</v>
      </c>
      <c r="E363" s="49" t="n">
        <v>118727291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0.0137311193023604</v>
      </c>
      <c r="I363" s="52" t="n">
        <f aca="false">IF(AND(ISNUMBER($G363),$G363&gt;=MA_SHORT),AVERAGE(INDEX($C$5:$C363,360-MA_SHORT):$C363),"")</f>
        <v>121117787.55</v>
      </c>
      <c r="J363" s="52" t="n">
        <f aca="false">IF(AND(ISNUMBER($G363),$G363&gt;=MA_MED),AVERAGE(INDEX($C$5:$C363,360-MA_MED):$C363),"")</f>
        <v>115381564.38</v>
      </c>
      <c r="K363" s="52" t="n">
        <f aca="false">IF(AND(ISNUMBER($G363),$G363&gt;=MA_LONG2),AVERAGE(INDEX($C$5:$C363,360-MA_LONG2):$C363),"")</f>
        <v>107652651.645</v>
      </c>
      <c r="L363" s="53" t="n">
        <f aca="false">IF(AND(ISNUMBER($G363),$G363&gt;=21),STDEV(INDEX($H$303:$H363,62-20):$H363)*SQRT(245),"")</f>
        <v>0.23796794537712</v>
      </c>
      <c r="M363" s="52" t="n">
        <f aca="false">IF(AND(ISNUMBER($G363),$G363&gt;=60),MAX(INDEX($D$163:$D363,202-60):$D363),"")</f>
        <v>126011789</v>
      </c>
      <c r="N363" s="52" t="n">
        <f aca="false">IF(AND(ISNUMBER($G363),$G363&gt;=60),MIN(INDEX($E$163:$E363,202-60):$E363),"")</f>
        <v>103805471</v>
      </c>
      <c r="O363" s="53" t="n">
        <f aca="false">IF(OR(NOT(ISNUMBER($C363)),NOT(ISNUMBER($M363)),$M363=0),"",$C363/$M363-1)</f>
        <v>-0.0574093984174766</v>
      </c>
      <c r="P363" s="54"/>
      <c r="Q363" s="53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120022736</v>
      </c>
      <c r="D364" s="49" t="n">
        <v>120520320</v>
      </c>
      <c r="E364" s="49" t="n">
        <v>119731135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0.010483531868082</v>
      </c>
      <c r="I364" s="52" t="n">
        <f aca="false">IF(AND(ISNUMBER($G364),$G364&gt;=MA_SHORT),AVERAGE(INDEX($C$5:$C364,361-MA_SHORT):$C364),"")</f>
        <v>121109837.8</v>
      </c>
      <c r="J364" s="52" t="n">
        <f aca="false">IF(AND(ISNUMBER($G364),$G364&gt;=MA_MED),AVERAGE(INDEX($C$5:$C364,361-MA_MED):$C364),"")</f>
        <v>115683641.64</v>
      </c>
      <c r="K364" s="52" t="n">
        <f aca="false">IF(AND(ISNUMBER($G364),$G364&gt;=MA_LONG2),AVERAGE(INDEX($C$5:$C364,361-MA_LONG2):$C364),"")</f>
        <v>107754582.52</v>
      </c>
      <c r="L364" s="53" t="n">
        <f aca="false">IF(AND(ISNUMBER($G364),$G364&gt;=21),STDEV(INDEX($H$304:$H364,62-20):$H364)*SQRT(245),"")</f>
        <v>0.240981344718538</v>
      </c>
      <c r="M364" s="52" t="n">
        <f aca="false">IF(AND(ISNUMBER($G364),$G364&gt;=60),MAX(INDEX($D$164:$D364,202-60):$D364),"")</f>
        <v>126011789</v>
      </c>
      <c r="N364" s="52" t="n">
        <f aca="false">IF(AND(ISNUMBER($G364),$G364&gt;=60),MIN(INDEX($E$164:$E364,202-60):$E364),"")</f>
        <v>103805471</v>
      </c>
      <c r="O364" s="53" t="n">
        <f aca="false">IF(OR(NOT(ISNUMBER($C364)),NOT(ISNUMBER($M364)),$M364=0),"",$C364/$M364-1)</f>
        <v>-0.0475277198072317</v>
      </c>
      <c r="P364" s="54"/>
      <c r="Q364" s="53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120465022</v>
      </c>
      <c r="D365" s="49" t="n">
        <v>120588084</v>
      </c>
      <c r="E365" s="49" t="n">
        <v>119838628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0.00368501847849889</v>
      </c>
      <c r="I365" s="52" t="n">
        <f aca="false">IF(AND(ISNUMBER($G365),$G365&gt;=MA_SHORT),AVERAGE(INDEX($C$5:$C365,362-MA_SHORT):$C365),"")</f>
        <v>121159479.05</v>
      </c>
      <c r="J365" s="52" t="n">
        <f aca="false">IF(AND(ISNUMBER($G365),$G365&gt;=MA_MED),AVERAGE(INDEX($C$5:$C365,362-MA_MED):$C365),"")</f>
        <v>115979146.42</v>
      </c>
      <c r="K365" s="52" t="n">
        <f aca="false">IF(AND(ISNUMBER($G365),$G365&gt;=MA_LONG2),AVERAGE(INDEX($C$5:$C365,362-MA_LONG2):$C365),"")</f>
        <v>107857657.995</v>
      </c>
      <c r="L365" s="53" t="n">
        <f aca="false">IF(AND(ISNUMBER($G365),$G365&gt;=21),STDEV(INDEX($H$305:$H365,62-20):$H365)*SQRT(245),"")</f>
        <v>0.240264103596912</v>
      </c>
      <c r="M365" s="52" t="n">
        <f aca="false">IF(AND(ISNUMBER($G365),$G365&gt;=60),MAX(INDEX($D$165:$D365,202-60):$D365),"")</f>
        <v>126011789</v>
      </c>
      <c r="N365" s="52" t="n">
        <f aca="false">IF(AND(ISNUMBER($G365),$G365&gt;=60),MIN(INDEX($E$165:$E365,202-60):$E365),"")</f>
        <v>103805471</v>
      </c>
      <c r="O365" s="53" t="n">
        <f aca="false">IF(OR(NOT(ISNUMBER($C365)),NOT(ISNUMBER($M365)),$M365=0),"",$C365/$M365-1)</f>
        <v>-0.0440178418544633</v>
      </c>
      <c r="P365" s="54"/>
      <c r="Q365" s="53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118773595</v>
      </c>
      <c r="D366" s="49" t="n">
        <v>118838985</v>
      </c>
      <c r="E366" s="49" t="n">
        <v>118651593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-0.0140408142705524</v>
      </c>
      <c r="I366" s="52" t="n">
        <f aca="false">IF(AND(ISNUMBER($G366),$G366&gt;=MA_SHORT),AVERAGE(INDEX($C$5:$C366,363-MA_SHORT):$C366),"")</f>
        <v>121186293.6</v>
      </c>
      <c r="J366" s="52" t="n">
        <f aca="false">IF(AND(ISNUMBER($G366),$G366&gt;=MA_MED),AVERAGE(INDEX($C$5:$C366,363-MA_MED):$C366),"")</f>
        <v>116216470.86</v>
      </c>
      <c r="K366" s="52" t="n">
        <f aca="false">IF(AND(ISNUMBER($G366),$G366&gt;=MA_LONG2),AVERAGE(INDEX($C$5:$C366,363-MA_LONG2):$C366),"")</f>
        <v>107951812.63</v>
      </c>
      <c r="L366" s="53" t="n">
        <f aca="false">IF(AND(ISNUMBER($G366),$G366&gt;=21),STDEV(INDEX($H$306:$H366,62-20):$H366)*SQRT(245),"")</f>
        <v>0.242760654876912</v>
      </c>
      <c r="M366" s="52" t="n">
        <f aca="false">IF(AND(ISNUMBER($G366),$G366&gt;=60),MAX(INDEX($D$166:$D366,202-60):$D366),"")</f>
        <v>126011789</v>
      </c>
      <c r="N366" s="52" t="n">
        <f aca="false">IF(AND(ISNUMBER($G366),$G366&gt;=60),MIN(INDEX($E$166:$E366,202-60):$E366),"")</f>
        <v>103805471</v>
      </c>
      <c r="O366" s="53" t="n">
        <f aca="false">IF(OR(NOT(ISNUMBER($C366)),NOT(ISNUMBER($M366)),$M366=0),"",$C366/$M366-1)</f>
        <v>-0.0574406097829466</v>
      </c>
      <c r="P366" s="54"/>
      <c r="Q366" s="53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119868786</v>
      </c>
      <c r="D367" s="49" t="n">
        <v>120197059</v>
      </c>
      <c r="E367" s="49" t="n">
        <v>119083294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0.00922082892245535</v>
      </c>
      <c r="I367" s="52" t="n">
        <f aca="false">IF(AND(ISNUMBER($G367),$G367&gt;=MA_SHORT),AVERAGE(INDEX($C$5:$C367,364-MA_SHORT):$C367),"")</f>
        <v>121270448.85</v>
      </c>
      <c r="J367" s="52" t="n">
        <f aca="false">IF(AND(ISNUMBER($G367),$G367&gt;=MA_MED),AVERAGE(INDEX($C$5:$C367,364-MA_MED):$C367),"")</f>
        <v>116482338.56</v>
      </c>
      <c r="K367" s="52" t="n">
        <f aca="false">IF(AND(ISNUMBER($G367),$G367&gt;=MA_LONG2),AVERAGE(INDEX($C$5:$C367,364-MA_LONG2):$C367),"")</f>
        <v>108043111.11</v>
      </c>
      <c r="L367" s="53" t="n">
        <f aca="false">IF(AND(ISNUMBER($G367),$G367&gt;=21),STDEV(INDEX($H$307:$H367,62-20):$H367)*SQRT(245),"")</f>
        <v>0.24470718097966</v>
      </c>
      <c r="M367" s="52" t="n">
        <f aca="false">IF(AND(ISNUMBER($G367),$G367&gt;=60),MAX(INDEX($D$167:$D367,202-60):$D367),"")</f>
        <v>126011789</v>
      </c>
      <c r="N367" s="52" t="n">
        <f aca="false">IF(AND(ISNUMBER($G367),$G367&gt;=60),MIN(INDEX($E$167:$E367,202-60):$E367),"")</f>
        <v>103805471</v>
      </c>
      <c r="O367" s="53" t="n">
        <f aca="false">IF(OR(NOT(ISNUMBER($C367)),NOT(ISNUMBER($M367)),$M367=0),"",$C367/$M367-1)</f>
        <v>-0.0487494308965013</v>
      </c>
      <c r="P367" s="54"/>
      <c r="Q367" s="53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122160230</v>
      </c>
      <c r="D368" s="49" t="n">
        <v>122574606</v>
      </c>
      <c r="E368" s="49" t="n">
        <v>121581165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0.0191162693513889</v>
      </c>
      <c r="I368" s="52" t="n">
        <f aca="false">IF(AND(ISNUMBER($G368),$G368&gt;=MA_SHORT),AVERAGE(INDEX($C$5:$C368,365-MA_SHORT):$C368),"")</f>
        <v>121394467</v>
      </c>
      <c r="J368" s="52" t="n">
        <f aca="false">IF(AND(ISNUMBER($G368),$G368&gt;=MA_MED),AVERAGE(INDEX($C$5:$C368,365-MA_MED):$C368),"")</f>
        <v>116766735.44</v>
      </c>
      <c r="K368" s="52" t="n">
        <f aca="false">IF(AND(ISNUMBER($G368),$G368&gt;=MA_LONG2),AVERAGE(INDEX($C$5:$C368,365-MA_LONG2):$C368),"")</f>
        <v>108141000</v>
      </c>
      <c r="L368" s="53" t="n">
        <f aca="false">IF(AND(ISNUMBER($G368),$G368&gt;=21),STDEV(INDEX($H$308:$H368,62-20):$H368)*SQRT(245),"")</f>
        <v>0.249736140374916</v>
      </c>
      <c r="M368" s="52" t="n">
        <f aca="false">IF(AND(ISNUMBER($G368),$G368&gt;=60),MAX(INDEX($D$168:$D368,202-60):$D368),"")</f>
        <v>126011789</v>
      </c>
      <c r="N368" s="52" t="n">
        <f aca="false">IF(AND(ISNUMBER($G368),$G368&gt;=60),MIN(INDEX($E$168:$E368,202-60):$E368),"")</f>
        <v>103805471</v>
      </c>
      <c r="O368" s="53" t="n">
        <f aca="false">IF(OR(NOT(ISNUMBER($C368)),NOT(ISNUMBER($M368)),$M368=0),"",$C368/$M368-1)</f>
        <v>-0.0305650687968568</v>
      </c>
      <c r="P368" s="54"/>
      <c r="Q368" s="53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120827435</v>
      </c>
      <c r="D369" s="49" t="n">
        <v>121316284</v>
      </c>
      <c r="E369" s="49" t="n">
        <v>120519068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-0.0109102201264684</v>
      </c>
      <c r="I369" s="52" t="n">
        <f aca="false">IF(AND(ISNUMBER($G369),$G369&gt;=MA_SHORT),AVERAGE(INDEX($C$5:$C369,366-MA_SHORT):$C369),"")</f>
        <v>121381628.5</v>
      </c>
      <c r="J369" s="52" t="n">
        <f aca="false">IF(AND(ISNUMBER($G369),$G369&gt;=MA_MED),AVERAGE(INDEX($C$5:$C369,366-MA_MED):$C369),"")</f>
        <v>117042721.18</v>
      </c>
      <c r="K369" s="52" t="n">
        <f aca="false">IF(AND(ISNUMBER($G369),$G369&gt;=MA_LONG2),AVERAGE(INDEX($C$5:$C369,366-MA_LONG2):$C369),"")</f>
        <v>108233394.74</v>
      </c>
      <c r="L369" s="53" t="n">
        <f aca="false">IF(AND(ISNUMBER($G369),$G369&gt;=21),STDEV(INDEX($H$309:$H369,62-20):$H369)*SQRT(245),"")</f>
        <v>0.249934089440243</v>
      </c>
      <c r="M369" s="52" t="n">
        <f aca="false">IF(AND(ISNUMBER($G369),$G369&gt;=60),MAX(INDEX($D$169:$D369,202-60):$D369),"")</f>
        <v>126011789</v>
      </c>
      <c r="N369" s="52" t="n">
        <f aca="false">IF(AND(ISNUMBER($G369),$G369&gt;=60),MIN(INDEX($E$169:$E369,202-60):$E369),"")</f>
        <v>103805471</v>
      </c>
      <c r="O369" s="53" t="n">
        <f aca="false">IF(OR(NOT(ISNUMBER($C369)),NOT(ISNUMBER($M369)),$M369=0),"",$C369/$M369-1)</f>
        <v>-0.0411418172945708</v>
      </c>
      <c r="P369" s="54"/>
      <c r="Q369" s="53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121254925</v>
      </c>
      <c r="D370" s="49" t="n">
        <v>121805512</v>
      </c>
      <c r="E370" s="49" t="n">
        <v>121037578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0.00353802098008615</v>
      </c>
      <c r="I370" s="52" t="n">
        <f aca="false">IF(AND(ISNUMBER($G370),$G370&gt;=MA_SHORT),AVERAGE(INDEX($C$5:$C370,367-MA_SHORT):$C370),"")</f>
        <v>121347259.75</v>
      </c>
      <c r="J370" s="52" t="n">
        <f aca="false">IF(AND(ISNUMBER($G370),$G370&gt;=MA_MED),AVERAGE(INDEX($C$5:$C370,367-MA_MED):$C370),"")</f>
        <v>117279601.3</v>
      </c>
      <c r="K370" s="52" t="n">
        <f aca="false">IF(AND(ISNUMBER($G370),$G370&gt;=MA_LONG2),AVERAGE(INDEX($C$5:$C370,367-MA_LONG2):$C370),"")</f>
        <v>108337642.745</v>
      </c>
      <c r="L370" s="53" t="n">
        <f aca="false">IF(AND(ISNUMBER($G370),$G370&gt;=21),STDEV(INDEX($H$310:$H370,62-20):$H370)*SQRT(245),"")</f>
        <v>0.24894603958786</v>
      </c>
      <c r="M370" s="52" t="n">
        <f aca="false">IF(AND(ISNUMBER($G370),$G370&gt;=60),MAX(INDEX($D$170:$D370,202-60):$D370),"")</f>
        <v>126011789</v>
      </c>
      <c r="N370" s="52" t="n">
        <f aca="false">IF(AND(ISNUMBER($G370),$G370&gt;=60),MIN(INDEX($E$170:$E370,202-60):$E370),"")</f>
        <v>103805471</v>
      </c>
      <c r="O370" s="53" t="n">
        <f aca="false">IF(OR(NOT(ISNUMBER($C370)),NOT(ISNUMBER($M370)),$M370=0),"",$C370/$M370-1)</f>
        <v>-0.0377493569272316</v>
      </c>
      <c r="P370" s="54"/>
      <c r="Q370" s="53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122073060</v>
      </c>
      <c r="D371" s="49" t="n">
        <v>122568156</v>
      </c>
      <c r="E371" s="49" t="n">
        <v>121192953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0.0067472310918506</v>
      </c>
      <c r="I371" s="52" t="n">
        <f aca="false">IF(AND(ISNUMBER($G371),$G371&gt;=MA_SHORT),AVERAGE(INDEX($C$5:$C371,368-MA_SHORT):$C371),"")</f>
        <v>121455313.4</v>
      </c>
      <c r="J371" s="52" t="n">
        <f aca="false">IF(AND(ISNUMBER($G371),$G371&gt;=MA_MED),AVERAGE(INDEX($C$5:$C371,368-MA_MED):$C371),"")</f>
        <v>117540156.44</v>
      </c>
      <c r="K371" s="52" t="n">
        <f aca="false">IF(AND(ISNUMBER($G371),$G371&gt;=MA_LONG2),AVERAGE(INDEX($C$5:$C371,368-MA_LONG2):$C371),"")</f>
        <v>108435307.06</v>
      </c>
      <c r="L371" s="53" t="n">
        <f aca="false">IF(AND(ISNUMBER($G371),$G371&gt;=21),STDEV(INDEX($H$311:$H371,62-20):$H371)*SQRT(245),"")</f>
        <v>0.242345809019272</v>
      </c>
      <c r="M371" s="52" t="n">
        <f aca="false">IF(AND(ISNUMBER($G371),$G371&gt;=60),MAX(INDEX($D$171:$D371,202-60):$D371),"")</f>
        <v>126011789</v>
      </c>
      <c r="N371" s="52" t="n">
        <f aca="false">IF(AND(ISNUMBER($G371),$G371&gt;=60),MIN(INDEX($E$171:$E371,202-60):$E371),"")</f>
        <v>103805471</v>
      </c>
      <c r="O371" s="53" t="n">
        <f aca="false">IF(OR(NOT(ISNUMBER($C371)),NOT(ISNUMBER($M371)),$M371=0),"",$C371/$M371-1)</f>
        <v>-0.0312568294701379</v>
      </c>
      <c r="P371" s="54"/>
      <c r="Q371" s="53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120104490</v>
      </c>
      <c r="D372" s="49" t="n">
        <v>120177790</v>
      </c>
      <c r="E372" s="49" t="n">
        <v>119886198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-0.0161261624800755</v>
      </c>
      <c r="I372" s="52" t="n">
        <f aca="false">IF(AND(ISNUMBER($G372),$G372&gt;=MA_SHORT),AVERAGE(INDEX($C$5:$C372,369-MA_SHORT):$C372),"")</f>
        <v>121303914.2</v>
      </c>
      <c r="J372" s="52" t="n">
        <f aca="false">IF(AND(ISNUMBER($G372),$G372&gt;=MA_MED),AVERAGE(INDEX($C$5:$C372,369-MA_MED):$C372),"")</f>
        <v>117749447.8</v>
      </c>
      <c r="K372" s="52" t="n">
        <f aca="false">IF(AND(ISNUMBER($G372),$G372&gt;=MA_LONG2),AVERAGE(INDEX($C$5:$C372,369-MA_LONG2):$C372),"")</f>
        <v>108526933.155</v>
      </c>
      <c r="L372" s="53" t="n">
        <f aca="false">IF(AND(ISNUMBER($G372),$G372&gt;=21),STDEV(INDEX($H$312:$H372,62-20):$H372)*SQRT(245),"")</f>
        <v>0.229585647274774</v>
      </c>
      <c r="M372" s="52" t="n">
        <f aca="false">IF(AND(ISNUMBER($G372),$G372&gt;=60),MAX(INDEX($D$172:$D372,202-60):$D372),"")</f>
        <v>126011789</v>
      </c>
      <c r="N372" s="52" t="n">
        <f aca="false">IF(AND(ISNUMBER($G372),$G372&gt;=60),MIN(INDEX($E$172:$E372,202-60):$E372),"")</f>
        <v>103805471</v>
      </c>
      <c r="O372" s="53" t="n">
        <f aca="false">IF(OR(NOT(ISNUMBER($C372)),NOT(ISNUMBER($M372)),$M372=0),"",$C372/$M372-1)</f>
        <v>-0.0468789392395659</v>
      </c>
      <c r="P372" s="54"/>
      <c r="Q372" s="53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117242633</v>
      </c>
      <c r="D373" s="49" t="n">
        <v>117426586</v>
      </c>
      <c r="E373" s="49" t="n">
        <v>116207966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-0.0238280600500448</v>
      </c>
      <c r="I373" s="52" t="n">
        <f aca="false">IF(AND(ISNUMBER($G373),$G373&gt;=MA_SHORT),AVERAGE(INDEX($C$5:$C373,370-MA_SHORT):$C373),"")</f>
        <v>120933620.35</v>
      </c>
      <c r="J373" s="52" t="n">
        <f aca="false">IF(AND(ISNUMBER($G373),$G373&gt;=MA_MED),AVERAGE(INDEX($C$5:$C373,370-MA_MED):$C373),"")</f>
        <v>117896957.36</v>
      </c>
      <c r="K373" s="52" t="n">
        <f aca="false">IF(AND(ISNUMBER($G373),$G373&gt;=MA_LONG2),AVERAGE(INDEX($C$5:$C373,370-MA_LONG2):$C373),"")</f>
        <v>108596302.695</v>
      </c>
      <c r="L373" s="53" t="n">
        <f aca="false">IF(AND(ISNUMBER($G373),$G373&gt;=21),STDEV(INDEX($H$313:$H373,62-20):$H373)*SQRT(245),"")</f>
        <v>0.23700233570283</v>
      </c>
      <c r="M373" s="52" t="n">
        <f aca="false">IF(AND(ISNUMBER($G373),$G373&gt;=60),MAX(INDEX($D$173:$D373,202-60):$D373),"")</f>
        <v>126011789</v>
      </c>
      <c r="N373" s="52" t="n">
        <f aca="false">IF(AND(ISNUMBER($G373),$G373&gt;=60),MIN(INDEX($E$173:$E373,202-60):$E373),"")</f>
        <v>104709584</v>
      </c>
      <c r="O373" s="53" t="n">
        <f aca="false">IF(OR(NOT(ISNUMBER($C373)),NOT(ISNUMBER($M373)),$M373=0),"",$C373/$M373-1)</f>
        <v>-0.0695899651103279</v>
      </c>
      <c r="P373" s="54"/>
      <c r="Q373" s="53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117995702</v>
      </c>
      <c r="D374" s="49" t="n">
        <v>118529489</v>
      </c>
      <c r="E374" s="49" t="n">
        <v>117978374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0.00642316690380018</v>
      </c>
      <c r="I374" s="52" t="n">
        <f aca="false">IF(AND(ISNUMBER($G374),$G374&gt;=MA_SHORT),AVERAGE(INDEX($C$5:$C374,371-MA_SHORT):$C374),"")</f>
        <v>120593492.25</v>
      </c>
      <c r="J374" s="52" t="n">
        <f aca="false">IF(AND(ISNUMBER($G374),$G374&gt;=MA_MED),AVERAGE(INDEX($C$5:$C374,371-MA_MED):$C374),"")</f>
        <v>118009543.56</v>
      </c>
      <c r="K374" s="52" t="n">
        <f aca="false">IF(AND(ISNUMBER($G374),$G374&gt;=MA_LONG2),AVERAGE(INDEX($C$5:$C374,371-MA_LONG2):$C374),"")</f>
        <v>108668689.05</v>
      </c>
      <c r="L374" s="53" t="n">
        <f aca="false">IF(AND(ISNUMBER($G374),$G374&gt;=21),STDEV(INDEX($H$314:$H374,62-20):$H374)*SQRT(245),"")</f>
        <v>0.238878599078439</v>
      </c>
      <c r="M374" s="52" t="n">
        <f aca="false">IF(AND(ISNUMBER($G374),$G374&gt;=60),MAX(INDEX($D$174:$D374,202-60):$D374),"")</f>
        <v>126011789</v>
      </c>
      <c r="N374" s="52" t="n">
        <f aca="false">IF(AND(ISNUMBER($G374),$G374&gt;=60),MIN(INDEX($E$174:$E374,202-60):$E374),"")</f>
        <v>104998148</v>
      </c>
      <c r="O374" s="53" t="n">
        <f aca="false">IF(OR(NOT(ISNUMBER($C374)),NOT(ISNUMBER($M374)),$M374=0),"",$C374/$M374-1)</f>
        <v>-0.0636137861672609</v>
      </c>
      <c r="P374" s="54"/>
      <c r="Q374" s="53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116312085</v>
      </c>
      <c r="D375" s="49" t="n">
        <v>116845457</v>
      </c>
      <c r="E375" s="49" t="n">
        <v>115714819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-0.0142684603884978</v>
      </c>
      <c r="I375" s="52" t="n">
        <f aca="false">IF(AND(ISNUMBER($G375),$G375&gt;=MA_SHORT),AVERAGE(INDEX($C$5:$C375,372-MA_SHORT):$C375),"")</f>
        <v>120219385.65</v>
      </c>
      <c r="J375" s="52" t="n">
        <f aca="false">IF(AND(ISNUMBER($G375),$G375&gt;=MA_MED),AVERAGE(INDEX($C$5:$C375,372-MA_MED):$C375),"")</f>
        <v>118124207.02</v>
      </c>
      <c r="K375" s="52" t="n">
        <f aca="false">IF(AND(ISNUMBER($G375),$G375&gt;=MA_LONG2),AVERAGE(INDEX($C$5:$C375,372-MA_LONG2):$C375),"")</f>
        <v>108734278.32</v>
      </c>
      <c r="L375" s="53" t="n">
        <f aca="false">IF(AND(ISNUMBER($G375),$G375&gt;=21),STDEV(INDEX($H$315:$H375,62-20):$H375)*SQRT(245),"")</f>
        <v>0.241655295285163</v>
      </c>
      <c r="M375" s="52" t="n">
        <f aca="false">IF(AND(ISNUMBER($G375),$G375&gt;=60),MAX(INDEX($D$175:$D375,202-60):$D375),"")</f>
        <v>126011789</v>
      </c>
      <c r="N375" s="52" t="n">
        <f aca="false">IF(AND(ISNUMBER($G375),$G375&gt;=60),MIN(INDEX($E$175:$E375,202-60):$E375),"")</f>
        <v>105370908</v>
      </c>
      <c r="O375" s="53" t="n">
        <f aca="false">IF(OR(NOT(ISNUMBER($C375)),NOT(ISNUMBER($M375)),$M375=0),"",$C375/$M375-1)</f>
        <v>-0.0769745757676689</v>
      </c>
      <c r="P375" s="54"/>
      <c r="Q375" s="53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113585066</v>
      </c>
      <c r="D376" s="49" t="n">
        <v>113880190</v>
      </c>
      <c r="E376" s="49" t="n">
        <v>113323535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-0.0234457064371256</v>
      </c>
      <c r="I376" s="52" t="n">
        <f aca="false">IF(AND(ISNUMBER($G376),$G376&gt;=MA_SHORT),AVERAGE(INDEX($C$5:$C376,373-MA_SHORT):$C376),"")</f>
        <v>119741179.4</v>
      </c>
      <c r="J376" s="52" t="n">
        <f aca="false">IF(AND(ISNUMBER($G376),$G376&gt;=MA_MED),AVERAGE(INDEX($C$5:$C376,373-MA_MED):$C376),"")</f>
        <v>118162611.58</v>
      </c>
      <c r="K376" s="52" t="n">
        <f aca="false">IF(AND(ISNUMBER($G376),$G376&gt;=MA_LONG2),AVERAGE(INDEX($C$5:$C376,373-MA_LONG2):$C376),"")</f>
        <v>108795389.58</v>
      </c>
      <c r="L376" s="53" t="n">
        <f aca="false">IF(AND(ISNUMBER($G376),$G376&gt;=21),STDEV(INDEX($H$316:$H376,62-20):$H376)*SQRT(245),"")</f>
        <v>0.25201365341816</v>
      </c>
      <c r="M376" s="52" t="n">
        <f aca="false">IF(AND(ISNUMBER($G376),$G376&gt;=60),MAX(INDEX($D$176:$D376,202-60):$D376),"")</f>
        <v>126011789</v>
      </c>
      <c r="N376" s="52" t="n">
        <f aca="false">IF(AND(ISNUMBER($G376),$G376&gt;=60),MIN(INDEX($E$176:$E376,202-60):$E376),"")</f>
        <v>105370908</v>
      </c>
      <c r="O376" s="53" t="n">
        <f aca="false">IF(OR(NOT(ISNUMBER($C376)),NOT(ISNUMBER($M376)),$M376=0),"",$C376/$M376-1)</f>
        <v>-0.0986155588982234</v>
      </c>
      <c r="P376" s="54"/>
      <c r="Q376" s="53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112417330</v>
      </c>
      <c r="D377" s="49" t="n">
        <v>112676560</v>
      </c>
      <c r="E377" s="49" t="n">
        <v>112342300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-0.0102807177133656</v>
      </c>
      <c r="I377" s="52" t="n">
        <f aca="false">IF(AND(ISNUMBER($G377),$G377&gt;=MA_SHORT),AVERAGE(INDEX($C$5:$C377,374-MA_SHORT):$C377),"")</f>
        <v>119075643.4</v>
      </c>
      <c r="J377" s="52" t="n">
        <f aca="false">IF(AND(ISNUMBER($G377),$G377&gt;=MA_MED),AVERAGE(INDEX($C$5:$C377,374-MA_MED):$C377),"")</f>
        <v>118189348.5</v>
      </c>
      <c r="K377" s="52" t="n">
        <f aca="false">IF(AND(ISNUMBER($G377),$G377&gt;=MA_LONG2),AVERAGE(INDEX($C$5:$C377,374-MA_LONG2):$C377),"")</f>
        <v>108849365.28</v>
      </c>
      <c r="L377" s="53" t="n">
        <f aca="false">IF(AND(ISNUMBER($G377),$G377&gt;=21),STDEV(INDEX($H$317:$H377,62-20):$H377)*SQRT(245),"")</f>
        <v>0.235461352043125</v>
      </c>
      <c r="M377" s="52" t="n">
        <f aca="false">IF(AND(ISNUMBER($G377),$G377&gt;=60),MAX(INDEX($D$177:$D377,202-60):$D377),"")</f>
        <v>126011789</v>
      </c>
      <c r="N377" s="52" t="n">
        <f aca="false">IF(AND(ISNUMBER($G377),$G377&gt;=60),MIN(INDEX($E$177:$E377,202-60):$E377),"")</f>
        <v>106653838</v>
      </c>
      <c r="O377" s="53" t="n">
        <f aca="false">IF(OR(NOT(ISNUMBER($C377)),NOT(ISNUMBER($M377)),$M377=0),"",$C377/$M377-1)</f>
        <v>-0.107882437888411</v>
      </c>
      <c r="P377" s="54"/>
      <c r="Q377" s="53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113739355</v>
      </c>
      <c r="D378" s="49" t="n">
        <v>114513564</v>
      </c>
      <c r="E378" s="49" t="n">
        <v>112965063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0.0117599750856918</v>
      </c>
      <c r="I378" s="52" t="n">
        <f aca="false">IF(AND(ISNUMBER($G378),$G378&gt;=MA_SHORT),AVERAGE(INDEX($C$5:$C378,375-MA_SHORT):$C378),"")</f>
        <v>118655261.1</v>
      </c>
      <c r="J378" s="52" t="n">
        <f aca="false">IF(AND(ISNUMBER($G378),$G378&gt;=MA_MED),AVERAGE(INDEX($C$5:$C378,375-MA_MED):$C378),"")</f>
        <v>118229791.16</v>
      </c>
      <c r="K378" s="52" t="n">
        <f aca="false">IF(AND(ISNUMBER($G378),$G378&gt;=MA_LONG2),AVERAGE(INDEX($C$5:$C378,375-MA_LONG2):$C378),"")</f>
        <v>108917377.84</v>
      </c>
      <c r="L378" s="53" t="n">
        <f aca="false">IF(AND(ISNUMBER($G378),$G378&gt;=21),STDEV(INDEX($H$318:$H378,62-20):$H378)*SQRT(245),"")</f>
        <v>0.22671303431652</v>
      </c>
      <c r="M378" s="52" t="n">
        <f aca="false">IF(AND(ISNUMBER($G378),$G378&gt;=60),MAX(INDEX($D$178:$D378,202-60):$D378),"")</f>
        <v>126011789</v>
      </c>
      <c r="N378" s="52" t="n">
        <f aca="false">IF(AND(ISNUMBER($G378),$G378&gt;=60),MIN(INDEX($E$178:$E378,202-60):$E378),"")</f>
        <v>106653838</v>
      </c>
      <c r="O378" s="53" t="n">
        <f aca="false">IF(OR(NOT(ISNUMBER($C378)),NOT(ISNUMBER($M378)),$M378=0),"",$C378/$M378-1)</f>
        <v>-0.0973911575844701</v>
      </c>
      <c r="P378" s="54"/>
      <c r="Q378" s="53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115723991</v>
      </c>
      <c r="D379" s="49" t="n">
        <v>116196947</v>
      </c>
      <c r="E379" s="49" t="n">
        <v>115638496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0.0174489823685038</v>
      </c>
      <c r="I379" s="52" t="n">
        <f aca="false">IF(AND(ISNUMBER($G379),$G379&gt;=MA_SHORT),AVERAGE(INDEX($C$5:$C379,376-MA_SHORT):$C379),"")</f>
        <v>118384465.4</v>
      </c>
      <c r="J379" s="52" t="n">
        <f aca="false">IF(AND(ISNUMBER($G379),$G379&gt;=MA_MED),AVERAGE(INDEX($C$5:$C379,376-MA_MED):$C379),"")</f>
        <v>118292784.24</v>
      </c>
      <c r="K379" s="52" t="n">
        <f aca="false">IF(AND(ISNUMBER($G379),$G379&gt;=MA_LONG2),AVERAGE(INDEX($C$5:$C379,376-MA_LONG2):$C379),"")</f>
        <v>109002530.365</v>
      </c>
      <c r="L379" s="53" t="n">
        <f aca="false">IF(AND(ISNUMBER($G379),$G379&gt;=21),STDEV(INDEX($H$319:$H379,62-20):$H379)*SQRT(245),"")</f>
        <v>0.237307563175307</v>
      </c>
      <c r="M379" s="52" t="n">
        <f aca="false">IF(AND(ISNUMBER($G379),$G379&gt;=60),MAX(INDEX($D$179:$D379,202-60):$D379),"")</f>
        <v>126011789</v>
      </c>
      <c r="N379" s="52" t="n">
        <f aca="false">IF(AND(ISNUMBER($G379),$G379&gt;=60),MIN(INDEX($E$179:$E379,202-60):$E379),"")</f>
        <v>108250934</v>
      </c>
      <c r="O379" s="53" t="n">
        <f aca="false">IF(OR(NOT(ISNUMBER($C379)),NOT(ISNUMBER($M379)),$M379=0),"",$C379/$M379-1)</f>
        <v>-0.0816415518075059</v>
      </c>
      <c r="P379" s="54"/>
      <c r="Q379" s="53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114700579</v>
      </c>
      <c r="D380" s="49" t="n">
        <v>114906009</v>
      </c>
      <c r="E380" s="49" t="n">
        <v>114468242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-0.00884355950012128</v>
      </c>
      <c r="I380" s="52" t="n">
        <f aca="false">IF(AND(ISNUMBER($G380),$G380&gt;=MA_SHORT),AVERAGE(INDEX($C$5:$C380,377-MA_SHORT):$C380),"")</f>
        <v>118174969.85</v>
      </c>
      <c r="J380" s="52" t="n">
        <f aca="false">IF(AND(ISNUMBER($G380),$G380&gt;=MA_MED),AVERAGE(INDEX($C$5:$C380,377-MA_MED):$C380),"")</f>
        <v>118293407.66</v>
      </c>
      <c r="K380" s="52" t="n">
        <f aca="false">IF(AND(ISNUMBER($G380),$G380&gt;=MA_LONG2),AVERAGE(INDEX($C$5:$C380,377-MA_LONG2):$C380),"")</f>
        <v>109071648.85</v>
      </c>
      <c r="L380" s="53" t="n">
        <f aca="false">IF(AND(ISNUMBER($G380),$G380&gt;=21),STDEV(INDEX($H$320:$H380,62-20):$H380)*SQRT(245),"")</f>
        <v>0.231001551111615</v>
      </c>
      <c r="M380" s="52" t="n">
        <f aca="false">IF(AND(ISNUMBER($G380),$G380&gt;=60),MAX(INDEX($D$180:$D380,202-60):$D380),"")</f>
        <v>126011789</v>
      </c>
      <c r="N380" s="52" t="n">
        <f aca="false">IF(AND(ISNUMBER($G380),$G380&gt;=60),MIN(INDEX($E$180:$E380,202-60):$E380),"")</f>
        <v>108250934</v>
      </c>
      <c r="O380" s="53" t="n">
        <f aca="false">IF(OR(NOT(ISNUMBER($C380)),NOT(ISNUMBER($M380)),$M380=0),"",$C380/$M380-1)</f>
        <v>-0.0897631093865352</v>
      </c>
      <c r="P380" s="54"/>
      <c r="Q380" s="53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115747354</v>
      </c>
      <c r="D381" s="49" t="n">
        <v>116382306</v>
      </c>
      <c r="E381" s="49" t="n">
        <v>115692709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0.00912615271105133</v>
      </c>
      <c r="I381" s="52" t="n">
        <f aca="false">IF(AND(ISNUMBER($G381),$G381&gt;=MA_SHORT),AVERAGE(INDEX($C$5:$C381,378-MA_SHORT):$C381),"")</f>
        <v>117948028.65</v>
      </c>
      <c r="J381" s="52" t="n">
        <f aca="false">IF(AND(ISNUMBER($G381),$G381&gt;=MA_MED),AVERAGE(INDEX($C$5:$C381,378-MA_MED):$C381),"")</f>
        <v>118312586.5</v>
      </c>
      <c r="K381" s="52" t="n">
        <f aca="false">IF(AND(ISNUMBER($G381),$G381&gt;=MA_LONG2),AVERAGE(INDEX($C$5:$C381,378-MA_LONG2):$C381),"")</f>
        <v>109148255.805</v>
      </c>
      <c r="L381" s="53" t="n">
        <f aca="false">IF(AND(ISNUMBER($G381),$G381&gt;=21),STDEV(INDEX($H$321:$H381,62-20):$H381)*SQRT(245),"")</f>
        <v>0.22921706086528</v>
      </c>
      <c r="M381" s="52" t="n">
        <f aca="false">IF(AND(ISNUMBER($G381),$G381&gt;=60),MAX(INDEX($D$181:$D381,202-60):$D381),"")</f>
        <v>126011789</v>
      </c>
      <c r="N381" s="52" t="n">
        <f aca="false">IF(AND(ISNUMBER($G381),$G381&gt;=60),MIN(INDEX($E$181:$E381,202-60):$E381),"")</f>
        <v>109074411</v>
      </c>
      <c r="O381" s="53" t="n">
        <f aca="false">IF(OR(NOT(ISNUMBER($C381)),NOT(ISNUMBER($M381)),$M381=0),"",$C381/$M381-1)</f>
        <v>-0.0814561485195643</v>
      </c>
      <c r="P381" s="54"/>
      <c r="Q381" s="53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115605522</v>
      </c>
      <c r="D382" s="49" t="n">
        <v>115713317</v>
      </c>
      <c r="E382" s="49" t="n">
        <v>114790088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-0.00122535846478189</v>
      </c>
      <c r="I382" s="52" t="n">
        <f aca="false">IF(AND(ISNUMBER($G382),$G382&gt;=MA_SHORT),AVERAGE(INDEX($C$5:$C382,379-MA_SHORT):$C382),"")</f>
        <v>117869871.2</v>
      </c>
      <c r="J382" s="52" t="n">
        <f aca="false">IF(AND(ISNUMBER($G382),$G382&gt;=MA_MED),AVERAGE(INDEX($C$5:$C382,379-MA_MED):$C382),"")</f>
        <v>118343552.82</v>
      </c>
      <c r="K382" s="52" t="n">
        <f aca="false">IF(AND(ISNUMBER($G382),$G382&gt;=MA_LONG2),AVERAGE(INDEX($C$5:$C382,379-MA_LONG2):$C382),"")</f>
        <v>109224721.27</v>
      </c>
      <c r="L382" s="53" t="n">
        <f aca="false">IF(AND(ISNUMBER($G382),$G382&gt;=21),STDEV(INDEX($H$322:$H382,62-20):$H382)*SQRT(245),"")</f>
        <v>0.211337475803333</v>
      </c>
      <c r="M382" s="52" t="n">
        <f aca="false">IF(AND(ISNUMBER($G382),$G382&gt;=60),MAX(INDEX($D$182:$D382,202-60):$D382),"")</f>
        <v>126011789</v>
      </c>
      <c r="N382" s="52" t="n">
        <f aca="false">IF(AND(ISNUMBER($G382),$G382&gt;=60),MIN(INDEX($E$182:$E382,202-60):$E382),"")</f>
        <v>109762231</v>
      </c>
      <c r="O382" s="53" t="n">
        <f aca="false">IF(OR(NOT(ISNUMBER($C382)),NOT(ISNUMBER($M382)),$M382=0),"",$C382/$M382-1)</f>
        <v>-0.0825816940032492</v>
      </c>
      <c r="P382" s="54"/>
      <c r="Q382" s="53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113203241</v>
      </c>
      <c r="D383" s="49" t="n">
        <v>113309387</v>
      </c>
      <c r="E383" s="49" t="n">
        <v>112954421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-0.020779984886881</v>
      </c>
      <c r="I383" s="52" t="n">
        <f aca="false">IF(AND(ISNUMBER($G383),$G383&gt;=MA_SHORT),AVERAGE(INDEX($C$5:$C383,380-MA_SHORT):$C383),"")</f>
        <v>117591156.85</v>
      </c>
      <c r="J383" s="52" t="n">
        <f aca="false">IF(AND(ISNUMBER($G383),$G383&gt;=MA_MED),AVERAGE(INDEX($C$5:$C383,380-MA_MED):$C383),"")</f>
        <v>118344705.4</v>
      </c>
      <c r="K383" s="52" t="n">
        <f aca="false">IF(AND(ISNUMBER($G383),$G383&gt;=MA_LONG2),AVERAGE(INDEX($C$5:$C383,380-MA_LONG2):$C383),"")</f>
        <v>109300993.605</v>
      </c>
      <c r="L383" s="53" t="n">
        <f aca="false">IF(AND(ISNUMBER($G383),$G383&gt;=21),STDEV(INDEX($H$323:$H383,62-20):$H383)*SQRT(245),"")</f>
        <v>0.215667104792428</v>
      </c>
      <c r="M383" s="52" t="n">
        <f aca="false">IF(AND(ISNUMBER($G383),$G383&gt;=60),MAX(INDEX($D$183:$D383,202-60):$D383),"")</f>
        <v>126011789</v>
      </c>
      <c r="N383" s="52" t="n">
        <f aca="false">IF(AND(ISNUMBER($G383),$G383&gt;=60),MIN(INDEX($E$183:$E383,202-60):$E383),"")</f>
        <v>110207047</v>
      </c>
      <c r="O383" s="53" t="n">
        <f aca="false">IF(OR(NOT(ISNUMBER($C383)),NOT(ISNUMBER($M383)),$M383=0),"",$C383/$M383-1)</f>
        <v>-0.10164563253681</v>
      </c>
      <c r="P383" s="54"/>
      <c r="Q383" s="53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111372876</v>
      </c>
      <c r="D384" s="49" t="n">
        <v>111606711</v>
      </c>
      <c r="E384" s="49" t="n">
        <v>110851270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-0.0161688391942771</v>
      </c>
      <c r="I384" s="52" t="n">
        <f aca="false">IF(AND(ISNUMBER($G384),$G384&gt;=MA_SHORT),AVERAGE(INDEX($C$5:$C384,381-MA_SHORT):$C384),"")</f>
        <v>117158663.85</v>
      </c>
      <c r="J384" s="52" t="n">
        <f aca="false">IF(AND(ISNUMBER($G384),$G384&gt;=MA_MED),AVERAGE(INDEX($C$5:$C384,381-MA_MED):$C384),"")</f>
        <v>118356379.72</v>
      </c>
      <c r="K384" s="52" t="n">
        <f aca="false">IF(AND(ISNUMBER($G384),$G384&gt;=MA_LONG2),AVERAGE(INDEX($C$5:$C384,381-MA_LONG2):$C384),"")</f>
        <v>109374742.68</v>
      </c>
      <c r="L384" s="53" t="n">
        <f aca="false">IF(AND(ISNUMBER($G384),$G384&gt;=21),STDEV(INDEX($H$324:$H384,62-20):$H384)*SQRT(245),"")</f>
        <v>0.215454023881215</v>
      </c>
      <c r="M384" s="52" t="n">
        <f aca="false">IF(AND(ISNUMBER($G384),$G384&gt;=60),MAX(INDEX($D$184:$D384,202-60):$D384),"")</f>
        <v>126011789</v>
      </c>
      <c r="N384" s="52" t="n">
        <f aca="false">IF(AND(ISNUMBER($G384),$G384&gt;=60),MIN(INDEX($E$184:$E384,202-60):$E384),"")</f>
        <v>110207047</v>
      </c>
      <c r="O384" s="53" t="n">
        <f aca="false">IF(OR(NOT(ISNUMBER($C384)),NOT(ISNUMBER($M384)),$M384=0),"",$C384/$M384-1)</f>
        <v>-0.116170979843799</v>
      </c>
      <c r="P384" s="54"/>
      <c r="Q384" s="53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111949716</v>
      </c>
      <c r="D385" s="49" t="n">
        <v>112090335</v>
      </c>
      <c r="E385" s="49" t="n">
        <v>111754651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0.00517935803327907</v>
      </c>
      <c r="I385" s="52" t="n">
        <f aca="false">IF(AND(ISNUMBER($G385),$G385&gt;=MA_SHORT),AVERAGE(INDEX($C$5:$C385,382-MA_SHORT):$C385),"")</f>
        <v>116732898.55</v>
      </c>
      <c r="J385" s="52" t="n">
        <f aca="false">IF(AND(ISNUMBER($G385),$G385&gt;=MA_MED),AVERAGE(INDEX($C$5:$C385,382-MA_MED):$C385),"")</f>
        <v>118377559.6</v>
      </c>
      <c r="K385" s="52" t="n">
        <f aca="false">IF(AND(ISNUMBER($G385),$G385&gt;=MA_LONG2),AVERAGE(INDEX($C$5:$C385,382-MA_LONG2):$C385),"")</f>
        <v>109451822.445</v>
      </c>
      <c r="L385" s="53" t="n">
        <f aca="false">IF(AND(ISNUMBER($G385),$G385&gt;=21),STDEV(INDEX($H$325:$H385,62-20):$H385)*SQRT(245),"")</f>
        <v>0.216171656760218</v>
      </c>
      <c r="M385" s="52" t="n">
        <f aca="false">IF(AND(ISNUMBER($G385),$G385&gt;=60),MAX(INDEX($D$185:$D385,202-60):$D385),"")</f>
        <v>126011789</v>
      </c>
      <c r="N385" s="52" t="n">
        <f aca="false">IF(AND(ISNUMBER($G385),$G385&gt;=60),MIN(INDEX($E$185:$E385,202-60):$E385),"")</f>
        <v>110688654</v>
      </c>
      <c r="O385" s="53" t="n">
        <f aca="false">IF(OR(NOT(ISNUMBER($C385)),NOT(ISNUMBER($M385)),$M385=0),"",$C385/$M385-1)</f>
        <v>-0.111593312908207</v>
      </c>
      <c r="P385" s="54"/>
      <c r="Q385" s="53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110879547</v>
      </c>
      <c r="D386" s="49" t="n">
        <v>110962558</v>
      </c>
      <c r="E386" s="49" t="n">
        <v>110668692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-0.00955937217384273</v>
      </c>
      <c r="I386" s="52" t="n">
        <f aca="false">IF(AND(ISNUMBER($G386),$G386&gt;=MA_SHORT),AVERAGE(INDEX($C$5:$C386,383-MA_SHORT):$C386),"")</f>
        <v>116338196.15</v>
      </c>
      <c r="J386" s="52" t="n">
        <f aca="false">IF(AND(ISNUMBER($G386),$G386&gt;=MA_MED),AVERAGE(INDEX($C$5:$C386,383-MA_MED):$C386),"")</f>
        <v>118346024.54</v>
      </c>
      <c r="K386" s="52" t="n">
        <f aca="false">IF(AND(ISNUMBER($G386),$G386&gt;=MA_LONG2),AVERAGE(INDEX($C$5:$C386,383-MA_LONG2):$C386),"")</f>
        <v>109507869.02</v>
      </c>
      <c r="L386" s="53" t="n">
        <f aca="false">IF(AND(ISNUMBER($G386),$G386&gt;=21),STDEV(INDEX($H$326:$H386,62-20):$H386)*SQRT(245),"")</f>
        <v>0.213929447172862</v>
      </c>
      <c r="M386" s="52" t="n">
        <f aca="false">IF(AND(ISNUMBER($G386),$G386&gt;=60),MAX(INDEX($D$186:$D386,202-60):$D386),"")</f>
        <v>126011789</v>
      </c>
      <c r="N386" s="52" t="n">
        <f aca="false">IF(AND(ISNUMBER($G386),$G386&gt;=60),MIN(INDEX($E$186:$E386,202-60):$E386),"")</f>
        <v>110668692</v>
      </c>
      <c r="O386" s="53" t="n">
        <f aca="false">IF(OR(NOT(ISNUMBER($C386)),NOT(ISNUMBER($M386)),$M386=0),"",$C386/$M386-1)</f>
        <v>-0.120085923071849</v>
      </c>
      <c r="P386" s="54"/>
      <c r="Q386" s="53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106048178</v>
      </c>
      <c r="D387" s="49" t="n">
        <v>106458769</v>
      </c>
      <c r="E387" s="49" t="n">
        <v>105630677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-0.0435731307596341</v>
      </c>
      <c r="I387" s="52" t="n">
        <f aca="false">IF(AND(ISNUMBER($G387),$G387&gt;=MA_SHORT),AVERAGE(INDEX($C$5:$C387,384-MA_SHORT):$C387),"")</f>
        <v>115647165.75</v>
      </c>
      <c r="J387" s="52" t="n">
        <f aca="false">IF(AND(ISNUMBER($G387),$G387&gt;=MA_MED),AVERAGE(INDEX($C$5:$C387,384-MA_MED):$C387),"")</f>
        <v>118209335</v>
      </c>
      <c r="K387" s="52" t="n">
        <f aca="false">IF(AND(ISNUMBER($G387),$G387&gt;=MA_LONG2),AVERAGE(INDEX($C$5:$C387,384-MA_LONG2):$C387),"")</f>
        <v>109539857</v>
      </c>
      <c r="L387" s="53" t="n">
        <f aca="false">IF(AND(ISNUMBER($G387),$G387&gt;=21),STDEV(INDEX($H$327:$H387,62-20):$H387)*SQRT(245),"")</f>
        <v>0.250603081544001</v>
      </c>
      <c r="M387" s="52" t="n">
        <f aca="false">IF(AND(ISNUMBER($G387),$G387&gt;=60),MAX(INDEX($D$187:$D387,202-60):$D387),"")</f>
        <v>126011789</v>
      </c>
      <c r="N387" s="52" t="n">
        <f aca="false">IF(AND(ISNUMBER($G387),$G387&gt;=60),MIN(INDEX($E$187:$E387,202-60):$E387),"")</f>
        <v>105630677</v>
      </c>
      <c r="O387" s="53" t="n">
        <f aca="false">IF(OR(NOT(ISNUMBER($C387)),NOT(ISNUMBER($M387)),$M387=0),"",$C387/$M387-1)</f>
        <v>-0.158426534203082</v>
      </c>
      <c r="P387" s="54"/>
      <c r="Q387" s="53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105339215</v>
      </c>
      <c r="D388" s="49" t="n">
        <v>105498032</v>
      </c>
      <c r="E388" s="49" t="n">
        <v>104967024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-0.00668529166055076</v>
      </c>
      <c r="I388" s="52" t="n">
        <f aca="false">IF(AND(ISNUMBER($G388),$G388&gt;=MA_SHORT),AVERAGE(INDEX($C$5:$C388,385-MA_SHORT):$C388),"")</f>
        <v>114806115</v>
      </c>
      <c r="J388" s="52" t="n">
        <f aca="false">IF(AND(ISNUMBER($G388),$G388&gt;=MA_MED),AVERAGE(INDEX($C$5:$C388,385-MA_MED):$C388),"")</f>
        <v>118085036.32</v>
      </c>
      <c r="K388" s="52" t="n">
        <f aca="false">IF(AND(ISNUMBER($G388),$G388&gt;=MA_LONG2),AVERAGE(INDEX($C$5:$C388,385-MA_LONG2):$C388),"")</f>
        <v>109575894.505</v>
      </c>
      <c r="L388" s="53" t="n">
        <f aca="false">IF(AND(ISNUMBER($G388),$G388&gt;=21),STDEV(INDEX($H$328:$H388,62-20):$H388)*SQRT(245),"")</f>
        <v>0.232927806488403</v>
      </c>
      <c r="M388" s="52" t="n">
        <f aca="false">IF(AND(ISNUMBER($G388),$G388&gt;=60),MAX(INDEX($D$188:$D388,202-60):$D388),"")</f>
        <v>126011789</v>
      </c>
      <c r="N388" s="52" t="n">
        <f aca="false">IF(AND(ISNUMBER($G388),$G388&gt;=60),MIN(INDEX($E$188:$E388,202-60):$E388),"")</f>
        <v>104967024</v>
      </c>
      <c r="O388" s="53" t="n">
        <f aca="false">IF(OR(NOT(ISNUMBER($C388)),NOT(ISNUMBER($M388)),$M388=0),"",$C388/$M388-1)</f>
        <v>-0.164052698275715</v>
      </c>
      <c r="P388" s="54"/>
      <c r="Q388" s="53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103760867</v>
      </c>
      <c r="D389" s="49" t="n">
        <v>104540952</v>
      </c>
      <c r="E389" s="49" t="n">
        <v>103495939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-0.0149834797990474</v>
      </c>
      <c r="I389" s="52" t="n">
        <f aca="false">IF(AND(ISNUMBER($G389),$G389&gt;=MA_SHORT),AVERAGE(INDEX($C$5:$C389,386-MA_SHORT):$C389),"")</f>
        <v>113952786.6</v>
      </c>
      <c r="J389" s="52" t="n">
        <f aca="false">IF(AND(ISNUMBER($G389),$G389&gt;=MA_MED),AVERAGE(INDEX($C$5:$C389,386-MA_MED):$C389),"")</f>
        <v>117906950.36</v>
      </c>
      <c r="K389" s="52" t="n">
        <f aca="false">IF(AND(ISNUMBER($G389),$G389&gt;=MA_LONG2),AVERAGE(INDEX($C$5:$C389,386-MA_LONG2):$C389),"")</f>
        <v>109594095.525</v>
      </c>
      <c r="L389" s="53" t="n">
        <f aca="false">IF(AND(ISNUMBER($G389),$G389&gt;=21),STDEV(INDEX($H$329:$H389,62-20):$H389)*SQRT(245),"")</f>
        <v>0.234180753259906</v>
      </c>
      <c r="M389" s="52" t="n">
        <f aca="false">IF(AND(ISNUMBER($G389),$G389&gt;=60),MAX(INDEX($D$189:$D389,202-60):$D389),"")</f>
        <v>126011789</v>
      </c>
      <c r="N389" s="52" t="n">
        <f aca="false">IF(AND(ISNUMBER($G389),$G389&gt;=60),MIN(INDEX($E$189:$E389,202-60):$E389),"")</f>
        <v>103495939</v>
      </c>
      <c r="O389" s="53" t="n">
        <f aca="false">IF(OR(NOT(ISNUMBER($C389)),NOT(ISNUMBER($M389)),$M389=0),"",$C389/$M389-1)</f>
        <v>-0.176578097784168</v>
      </c>
      <c r="P389" s="54"/>
      <c r="Q389" s="53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104736584</v>
      </c>
      <c r="D390" s="49" t="n">
        <v>104978346</v>
      </c>
      <c r="E390" s="49" t="n">
        <v>104488193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0.00940351626013292</v>
      </c>
      <c r="I390" s="52" t="n">
        <f aca="false">IF(AND(ISNUMBER($G390),$G390&gt;=MA_SHORT),AVERAGE(INDEX($C$5:$C390,387-MA_SHORT):$C390),"")</f>
        <v>113126869.55</v>
      </c>
      <c r="J390" s="52" t="n">
        <f aca="false">IF(AND(ISNUMBER($G390),$G390&gt;=MA_MED),AVERAGE(INDEX($C$5:$C390,387-MA_MED):$C390),"")</f>
        <v>117712184.28</v>
      </c>
      <c r="K390" s="52" t="n">
        <f aca="false">IF(AND(ISNUMBER($G390),$G390&gt;=MA_LONG2),AVERAGE(INDEX($C$5:$C390,387-MA_LONG2):$C390),"")</f>
        <v>109604922.63</v>
      </c>
      <c r="L390" s="53" t="n">
        <f aca="false">IF(AND(ISNUMBER($G390),$G390&gt;=21),STDEV(INDEX($H$330:$H390,62-20):$H390)*SQRT(245),"")</f>
        <v>0.238596594320168</v>
      </c>
      <c r="M390" s="52" t="n">
        <f aca="false">IF(AND(ISNUMBER($G390),$G390&gt;=60),MAX(INDEX($D$190:$D390,202-60):$D390),"")</f>
        <v>126011789</v>
      </c>
      <c r="N390" s="52" t="n">
        <f aca="false">IF(AND(ISNUMBER($G390),$G390&gt;=60),MIN(INDEX($E$190:$E390,202-60):$E390),"")</f>
        <v>103495939</v>
      </c>
      <c r="O390" s="53" t="n">
        <f aca="false">IF(OR(NOT(ISNUMBER($C390)),NOT(ISNUMBER($M390)),$M390=0),"",$C390/$M390-1)</f>
        <v>-0.168835036537732</v>
      </c>
      <c r="P390" s="54"/>
      <c r="Q390" s="53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107293977</v>
      </c>
      <c r="D391" s="49" t="n">
        <v>107446422</v>
      </c>
      <c r="E391" s="49" t="n">
        <v>107209676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0.0244173802727803</v>
      </c>
      <c r="I391" s="52" t="n">
        <f aca="false">IF(AND(ISNUMBER($G391),$G391&gt;=MA_SHORT),AVERAGE(INDEX($C$5:$C391,388-MA_SHORT):$C391),"")</f>
        <v>112387915.4</v>
      </c>
      <c r="J391" s="52" t="n">
        <f aca="false">IF(AND(ISNUMBER($G391),$G391&gt;=MA_MED),AVERAGE(INDEX($C$5:$C391,388-MA_MED):$C391),"")</f>
        <v>117496389.66</v>
      </c>
      <c r="K391" s="52" t="n">
        <f aca="false">IF(AND(ISNUMBER($G391),$G391&gt;=MA_LONG2),AVERAGE(INDEX($C$5:$C391,388-MA_LONG2):$C391),"")</f>
        <v>109621921.905</v>
      </c>
      <c r="L391" s="53" t="n">
        <f aca="false">IF(AND(ISNUMBER($G391),$G391&gt;=21),STDEV(INDEX($H$331:$H391,62-20):$H391)*SQRT(245),"")</f>
        <v>0.259039983661077</v>
      </c>
      <c r="M391" s="52" t="n">
        <f aca="false">IF(AND(ISNUMBER($G391),$G391&gt;=60),MAX(INDEX($D$191:$D391,202-60):$D391),"")</f>
        <v>126011789</v>
      </c>
      <c r="N391" s="52" t="n">
        <f aca="false">IF(AND(ISNUMBER($G391),$G391&gt;=60),MIN(INDEX($E$191:$E391,202-60):$E391),"")</f>
        <v>103495939</v>
      </c>
      <c r="O391" s="53" t="n">
        <f aca="false">IF(OR(NOT(ISNUMBER($C391)),NOT(ISNUMBER($M391)),$M391=0),"",$C391/$M391-1)</f>
        <v>-0.148540165555462</v>
      </c>
      <c r="P391" s="54"/>
      <c r="Q391" s="53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107354324</v>
      </c>
      <c r="D392" s="49" t="n">
        <v>107909357</v>
      </c>
      <c r="E392" s="49" t="n">
        <v>106927418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0.000562445364477471</v>
      </c>
      <c r="I392" s="52" t="n">
        <f aca="false">IF(AND(ISNUMBER($G392),$G392&gt;=MA_SHORT),AVERAGE(INDEX($C$5:$C392,389-MA_SHORT):$C392),"")</f>
        <v>111750407.1</v>
      </c>
      <c r="J392" s="52" t="n">
        <f aca="false">IF(AND(ISNUMBER($G392),$G392&gt;=MA_MED),AVERAGE(INDEX($C$5:$C392,389-MA_MED):$C392),"")</f>
        <v>117259051.62</v>
      </c>
      <c r="K392" s="52" t="n">
        <f aca="false">IF(AND(ISNUMBER($G392),$G392&gt;=MA_LONG2),AVERAGE(INDEX($C$5:$C392,389-MA_LONG2):$C392),"")</f>
        <v>109631579.07</v>
      </c>
      <c r="L392" s="53" t="n">
        <f aca="false">IF(AND(ISNUMBER($G392),$G392&gt;=21),STDEV(INDEX($H$332:$H392,62-20):$H392)*SQRT(245),"")</f>
        <v>0.257457911920944</v>
      </c>
      <c r="M392" s="52" t="n">
        <f aca="false">IF(AND(ISNUMBER($G392),$G392&gt;=60),MAX(INDEX($D$192:$D392,202-60):$D392),"")</f>
        <v>126011789</v>
      </c>
      <c r="N392" s="52" t="n">
        <f aca="false">IF(AND(ISNUMBER($G392),$G392&gt;=60),MIN(INDEX($E$192:$E392,202-60):$E392),"")</f>
        <v>103495939</v>
      </c>
      <c r="O392" s="53" t="n">
        <f aca="false">IF(OR(NOT(ISNUMBER($C392)),NOT(ISNUMBER($M392)),$M392=0),"",$C392/$M392-1)</f>
        <v>-0.14806126591854</v>
      </c>
      <c r="P392" s="54"/>
      <c r="Q392" s="53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108325121</v>
      </c>
      <c r="D393" s="49" t="n">
        <v>108573819</v>
      </c>
      <c r="E393" s="49" t="n">
        <v>108134911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0.00904292406517326</v>
      </c>
      <c r="I393" s="52" t="n">
        <f aca="false">IF(AND(ISNUMBER($G393),$G393&gt;=MA_SHORT),AVERAGE(INDEX($C$5:$C393,390-MA_SHORT):$C393),"")</f>
        <v>111304531.5</v>
      </c>
      <c r="J393" s="52" t="n">
        <f aca="false">IF(AND(ISNUMBER($G393),$G393&gt;=MA_MED),AVERAGE(INDEX($C$5:$C393,390-MA_MED):$C393),"")</f>
        <v>117024785.86</v>
      </c>
      <c r="K393" s="52" t="n">
        <f aca="false">IF(AND(ISNUMBER($G393),$G393&gt;=MA_LONG2),AVERAGE(INDEX($C$5:$C393,390-MA_LONG2):$C393),"")</f>
        <v>109641247.175</v>
      </c>
      <c r="L393" s="53" t="n">
        <f aca="false">IF(AND(ISNUMBER($G393),$G393&gt;=21),STDEV(INDEX($H$333:$H393,62-20):$H393)*SQRT(245),"")</f>
        <v>0.252892819885254</v>
      </c>
      <c r="M393" s="52" t="n">
        <f aca="false">IF(AND(ISNUMBER($G393),$G393&gt;=60),MAX(INDEX($D$193:$D393,202-60):$D393),"")</f>
        <v>126011789</v>
      </c>
      <c r="N393" s="52" t="n">
        <f aca="false">IF(AND(ISNUMBER($G393),$G393&gt;=60),MIN(INDEX($E$193:$E393,202-60):$E393),"")</f>
        <v>103495939</v>
      </c>
      <c r="O393" s="53" t="n">
        <f aca="false">IF(OR(NOT(ISNUMBER($C393)),NOT(ISNUMBER($M393)),$M393=0),"",$C393/$M393-1)</f>
        <v>-0.140357248638062</v>
      </c>
      <c r="P393" s="54"/>
      <c r="Q393" s="53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109726213</v>
      </c>
      <c r="D394" s="49" t="n">
        <v>110126632</v>
      </c>
      <c r="E394" s="49" t="n">
        <v>109455385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0.0129341374102874</v>
      </c>
      <c r="I394" s="52" t="n">
        <f aca="false">IF(AND(ISNUMBER($G394),$G394&gt;=MA_SHORT),AVERAGE(INDEX($C$5:$C394,391-MA_SHORT):$C394),"")</f>
        <v>110891057.05</v>
      </c>
      <c r="J394" s="52" t="n">
        <f aca="false">IF(AND(ISNUMBER($G394),$G394&gt;=MA_MED),AVERAGE(INDEX($C$5:$C394,391-MA_MED):$C394),"")</f>
        <v>116815675.5</v>
      </c>
      <c r="K394" s="52" t="n">
        <f aca="false">IF(AND(ISNUMBER($G394),$G394&gt;=MA_LONG2),AVERAGE(INDEX($C$5:$C394,391-MA_LONG2):$C394),"")</f>
        <v>109664361.435</v>
      </c>
      <c r="L394" s="53" t="n">
        <f aca="false">IF(AND(ISNUMBER($G394),$G394&gt;=21),STDEV(INDEX($H$334:$H394,62-20):$H394)*SQRT(245),"")</f>
        <v>0.257282889904392</v>
      </c>
      <c r="M394" s="52" t="n">
        <f aca="false">IF(AND(ISNUMBER($G394),$G394&gt;=60),MAX(INDEX($D$194:$D394,202-60):$D394),"")</f>
        <v>126011789</v>
      </c>
      <c r="N394" s="52" t="n">
        <f aca="false">IF(AND(ISNUMBER($G394),$G394&gt;=60),MIN(INDEX($E$194:$E394,202-60):$E394),"")</f>
        <v>103495939</v>
      </c>
      <c r="O394" s="53" t="n">
        <f aca="false">IF(OR(NOT(ISNUMBER($C394)),NOT(ISNUMBER($M394)),$M394=0),"",$C394/$M394-1)</f>
        <v>-0.129238511168189</v>
      </c>
      <c r="P394" s="54"/>
      <c r="Q394" s="53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112613626</v>
      </c>
      <c r="D395" s="49" t="n">
        <v>112673076</v>
      </c>
      <c r="E395" s="49" t="n">
        <v>112180005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0.0263147056756621</v>
      </c>
      <c r="I395" s="52" t="n">
        <f aca="false">IF(AND(ISNUMBER($G395),$G395&gt;=MA_SHORT),AVERAGE(INDEX($C$5:$C395,392-MA_SHORT):$C395),"")</f>
        <v>110706134.1</v>
      </c>
      <c r="J395" s="52" t="n">
        <f aca="false">IF(AND(ISNUMBER($G395),$G395&gt;=MA_MED),AVERAGE(INDEX($C$5:$C395,392-MA_MED):$C395),"")</f>
        <v>116678504.08</v>
      </c>
      <c r="K395" s="52" t="n">
        <f aca="false">IF(AND(ISNUMBER($G395),$G395&gt;=MA_LONG2),AVERAGE(INDEX($C$5:$C395,392-MA_LONG2):$C395),"")</f>
        <v>109705935.905</v>
      </c>
      <c r="L395" s="53" t="n">
        <f aca="false">IF(AND(ISNUMBER($G395),$G395&gt;=21),STDEV(INDEX($H$335:$H395,62-20):$H395)*SQRT(245),"")</f>
        <v>0.274037394819065</v>
      </c>
      <c r="M395" s="52" t="n">
        <f aca="false">IF(AND(ISNUMBER($G395),$G395&gt;=60),MAX(INDEX($D$195:$D395,202-60):$D395),"")</f>
        <v>126011789</v>
      </c>
      <c r="N395" s="52" t="n">
        <f aca="false">IF(AND(ISNUMBER($G395),$G395&gt;=60),MIN(INDEX($E$195:$E395,202-60):$E395),"")</f>
        <v>103495939</v>
      </c>
      <c r="O395" s="53" t="n">
        <f aca="false">IF(OR(NOT(ISNUMBER($C395)),NOT(ISNUMBER($M395)),$M395=0),"",$C395/$M395-1)</f>
        <v>-0.106324678875879</v>
      </c>
      <c r="P395" s="54"/>
      <c r="Q395" s="53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113376575</v>
      </c>
      <c r="D396" s="49" t="n">
        <v>113687852</v>
      </c>
      <c r="E396" s="49" t="n">
        <v>112956559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0.00677492615325259</v>
      </c>
      <c r="I396" s="52" t="n">
        <f aca="false">IF(AND(ISNUMBER($G396),$G396&gt;=MA_SHORT),AVERAGE(INDEX($C$5:$C396,393-MA_SHORT):$C396),"")</f>
        <v>110695709.55</v>
      </c>
      <c r="J396" s="52" t="n">
        <f aca="false">IF(AND(ISNUMBER($G396),$G396&gt;=MA_MED),AVERAGE(INDEX($C$5:$C396,393-MA_MED):$C396),"")</f>
        <v>116581289.5</v>
      </c>
      <c r="K396" s="52" t="n">
        <f aca="false">IF(AND(ISNUMBER($G396),$G396&gt;=MA_LONG2),AVERAGE(INDEX($C$5:$C396,393-MA_LONG2):$C396),"")</f>
        <v>109750106.88</v>
      </c>
      <c r="L396" s="53" t="n">
        <f aca="false">IF(AND(ISNUMBER($G396),$G396&gt;=21),STDEV(INDEX($H$336:$H396,62-20):$H396)*SQRT(245),"")</f>
        <v>0.262973831890973</v>
      </c>
      <c r="M396" s="52" t="n">
        <f aca="false">IF(AND(ISNUMBER($G396),$G396&gt;=60),MAX(INDEX($D$196:$D396,202-60):$D396),"")</f>
        <v>126011789</v>
      </c>
      <c r="N396" s="52" t="n">
        <f aca="false">IF(AND(ISNUMBER($G396),$G396&gt;=60),MIN(INDEX($E$196:$E396,202-60):$E396),"")</f>
        <v>103495939</v>
      </c>
      <c r="O396" s="53" t="n">
        <f aca="false">IF(OR(NOT(ISNUMBER($C396)),NOT(ISNUMBER($M396)),$M396=0),"",$C396/$M396-1)</f>
        <v>-0.100270094570279</v>
      </c>
      <c r="P396" s="54"/>
      <c r="Q396" s="53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111394309</v>
      </c>
      <c r="D397" s="49" t="n">
        <v>111589588</v>
      </c>
      <c r="E397" s="49" t="n">
        <v>111110861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-0.0174839114693666</v>
      </c>
      <c r="I397" s="52" t="n">
        <f aca="false">IF(AND(ISNUMBER($G397),$G397&gt;=MA_SHORT),AVERAGE(INDEX($C$5:$C397,394-MA_SHORT):$C397),"")</f>
        <v>110644558.5</v>
      </c>
      <c r="J397" s="52" t="n">
        <f aca="false">IF(AND(ISNUMBER($G397),$G397&gt;=MA_MED),AVERAGE(INDEX($C$5:$C397,394-MA_MED):$C397),"")</f>
        <v>116445462.06</v>
      </c>
      <c r="K397" s="52" t="n">
        <f aca="false">IF(AND(ISNUMBER($G397),$G397&gt;=MA_LONG2),AVERAGE(INDEX($C$5:$C397,394-MA_LONG2):$C397),"")</f>
        <v>109785267.535</v>
      </c>
      <c r="L397" s="53" t="n">
        <f aca="false">IF(AND(ISNUMBER($G397),$G397&gt;=21),STDEV(INDEX($H$337:$H397,62-20):$H397)*SQRT(245),"")</f>
        <v>0.267784775053664</v>
      </c>
      <c r="M397" s="52" t="n">
        <f aca="false">IF(AND(ISNUMBER($G397),$G397&gt;=60),MAX(INDEX($D$197:$D397,202-60):$D397),"")</f>
        <v>126011789</v>
      </c>
      <c r="N397" s="52" t="n">
        <f aca="false">IF(AND(ISNUMBER($G397),$G397&gt;=60),MIN(INDEX($E$197:$E397,202-60):$E397),"")</f>
        <v>103495939</v>
      </c>
      <c r="O397" s="53" t="n">
        <f aca="false">IF(OR(NOT(ISNUMBER($C397)),NOT(ISNUMBER($M397)),$M397=0),"",$C397/$M397-1)</f>
        <v>-0.116000892583153</v>
      </c>
      <c r="P397" s="54"/>
      <c r="Q397" s="53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110123519</v>
      </c>
      <c r="D398" s="49" t="n">
        <v>110324077</v>
      </c>
      <c r="E398" s="49" t="n">
        <v>109916612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-0.0114080334211688</v>
      </c>
      <c r="I398" s="52" t="n">
        <f aca="false">IF(AND(ISNUMBER($G398),$G398&gt;=MA_SHORT),AVERAGE(INDEX($C$5:$C398,395-MA_SHORT):$C398),"")</f>
        <v>110463766.7</v>
      </c>
      <c r="J398" s="52" t="n">
        <f aca="false">IF(AND(ISNUMBER($G398),$G398&gt;=MA_MED),AVERAGE(INDEX($C$5:$C398,395-MA_MED):$C398),"")</f>
        <v>116254335.1</v>
      </c>
      <c r="K398" s="52" t="n">
        <f aca="false">IF(AND(ISNUMBER($G398),$G398&gt;=MA_LONG2),AVERAGE(INDEX($C$5:$C398,395-MA_LONG2):$C398),"")</f>
        <v>109815425.525</v>
      </c>
      <c r="L398" s="53" t="n">
        <f aca="false">IF(AND(ISNUMBER($G398),$G398&gt;=21),STDEV(INDEX($H$338:$H398,62-20):$H398)*SQRT(245),"")</f>
        <v>0.266586047160145</v>
      </c>
      <c r="M398" s="52" t="n">
        <f aca="false">IF(AND(ISNUMBER($G398),$G398&gt;=60),MAX(INDEX($D$198:$D398,202-60):$D398),"")</f>
        <v>126011789</v>
      </c>
      <c r="N398" s="52" t="n">
        <f aca="false">IF(AND(ISNUMBER($G398),$G398&gt;=60),MIN(INDEX($E$198:$E398,202-60):$E398),"")</f>
        <v>103495939</v>
      </c>
      <c r="O398" s="53" t="n">
        <f aca="false">IF(OR(NOT(ISNUMBER($C398)),NOT(ISNUMBER($M398)),$M398=0),"",$C398/$M398-1)</f>
        <v>-0.126085583944848</v>
      </c>
      <c r="P398" s="54"/>
      <c r="Q398" s="53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109824679</v>
      </c>
      <c r="D399" s="49" t="n">
        <v>110015950</v>
      </c>
      <c r="E399" s="49" t="n">
        <v>109468582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-0.00271368008136386</v>
      </c>
      <c r="I399" s="52" t="n">
        <f aca="false">IF(AND(ISNUMBER($G399),$G399&gt;=MA_SHORT),AVERAGE(INDEX($C$5:$C399,396-MA_SHORT):$C399),"")</f>
        <v>110168801.1</v>
      </c>
      <c r="J399" s="52" t="n">
        <f aca="false">IF(AND(ISNUMBER($G399),$G399&gt;=MA_MED),AVERAGE(INDEX($C$5:$C399,396-MA_MED):$C399),"")</f>
        <v>116029144.58</v>
      </c>
      <c r="K399" s="52" t="n">
        <f aca="false">IF(AND(ISNUMBER($G399),$G399&gt;=MA_LONG2),AVERAGE(INDEX($C$5:$C399,396-MA_LONG2):$C399),"")</f>
        <v>109834943.86</v>
      </c>
      <c r="L399" s="53" t="n">
        <f aca="false">IF(AND(ISNUMBER($G399),$G399&gt;=21),STDEV(INDEX($H$339:$H399,62-20):$H399)*SQRT(245),"")</f>
        <v>0.257308774427195</v>
      </c>
      <c r="M399" s="52" t="n">
        <f aca="false">IF(AND(ISNUMBER($G399),$G399&gt;=60),MAX(INDEX($D$199:$D399,202-60):$D399),"")</f>
        <v>126011789</v>
      </c>
      <c r="N399" s="52" t="n">
        <f aca="false">IF(AND(ISNUMBER($G399),$G399&gt;=60),MIN(INDEX($E$199:$E399,202-60):$E399),"")</f>
        <v>103495939</v>
      </c>
      <c r="O399" s="53" t="n">
        <f aca="false">IF(OR(NOT(ISNUMBER($C399)),NOT(ISNUMBER($M399)),$M399=0),"",$C399/$M399-1)</f>
        <v>-0.128457108088514</v>
      </c>
      <c r="P399" s="54"/>
      <c r="Q399" s="53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107573386</v>
      </c>
      <c r="D400" s="49" t="n">
        <v>107872443</v>
      </c>
      <c r="E400" s="49" t="n">
        <v>107396014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-0.0204989718203501</v>
      </c>
      <c r="I400" s="52" t="n">
        <f aca="false">IF(AND(ISNUMBER($G400),$G400&gt;=MA_SHORT),AVERAGE(INDEX($C$5:$C400,397-MA_SHORT):$C400),"")</f>
        <v>109812441.45</v>
      </c>
      <c r="J400" s="52" t="n">
        <f aca="false">IF(AND(ISNUMBER($G400),$G400&gt;=MA_MED),AVERAGE(INDEX($C$5:$C400,397-MA_MED):$C400),"")</f>
        <v>115741766.3</v>
      </c>
      <c r="K400" s="52" t="n">
        <f aca="false">IF(AND(ISNUMBER($G400),$G400&gt;=MA_LONG2),AVERAGE(INDEX($C$5:$C400,397-MA_LONG2):$C400),"")</f>
        <v>109850878.8</v>
      </c>
      <c r="L400" s="53" t="n">
        <f aca="false">IF(AND(ISNUMBER($G400),$G400&gt;=21),STDEV(INDEX($H$340:$H400,62-20):$H400)*SQRT(245),"")</f>
        <v>0.2641660759252</v>
      </c>
      <c r="M400" s="52" t="n">
        <f aca="false">IF(AND(ISNUMBER($G400),$G400&gt;=60),MAX(INDEX($D$200:$D400,202-60):$D400),"")</f>
        <v>126011789</v>
      </c>
      <c r="N400" s="52" t="n">
        <f aca="false">IF(AND(ISNUMBER($G400),$G400&gt;=60),MIN(INDEX($E$200:$E400,202-60):$E400),"")</f>
        <v>103495939</v>
      </c>
      <c r="O400" s="53" t="n">
        <f aca="false">IF(OR(NOT(ISNUMBER($C400)),NOT(ISNUMBER($M400)),$M400=0),"",$C400/$M400-1)</f>
        <v>-0.146322841270034</v>
      </c>
      <c r="P400" s="54"/>
      <c r="Q400" s="53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107446823</v>
      </c>
      <c r="D401" s="49" t="n">
        <v>107553251</v>
      </c>
      <c r="E401" s="49" t="n">
        <v>107242679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-0.00117652706404536</v>
      </c>
      <c r="I401" s="52" t="n">
        <f aca="false">IF(AND(ISNUMBER($G401),$G401&gt;=MA_SHORT),AVERAGE(INDEX($C$5:$C401,398-MA_SHORT):$C401),"")</f>
        <v>109397414.9</v>
      </c>
      <c r="J401" s="52" t="n">
        <f aca="false">IF(AND(ISNUMBER($G401),$G401&gt;=MA_MED),AVERAGE(INDEX($C$5:$C401,398-MA_MED):$C401),"")</f>
        <v>115492463.02</v>
      </c>
      <c r="K401" s="52" t="n">
        <f aca="false">IF(AND(ISNUMBER($G401),$G401&gt;=MA_LONG2),AVERAGE(INDEX($C$5:$C401,398-MA_LONG2):$C401),"")</f>
        <v>109857992.595</v>
      </c>
      <c r="L401" s="53" t="n">
        <f aca="false">IF(AND(ISNUMBER($G401),$G401&gt;=21),STDEV(INDEX($H$341:$H401,62-20):$H401)*SQRT(245),"")</f>
        <v>0.260469712707457</v>
      </c>
      <c r="M401" s="52" t="n">
        <f aca="false">IF(AND(ISNUMBER($G401),$G401&gt;=60),MAX(INDEX($D$201:$D401,202-60):$D401),"")</f>
        <v>126011789</v>
      </c>
      <c r="N401" s="52" t="n">
        <f aca="false">IF(AND(ISNUMBER($G401),$G401&gt;=60),MIN(INDEX($E$201:$E401,202-60):$E401),"")</f>
        <v>103495939</v>
      </c>
      <c r="O401" s="53" t="n">
        <f aca="false">IF(OR(NOT(ISNUMBER($C401)),NOT(ISNUMBER($M401)),$M401=0),"",$C401/$M401-1)</f>
        <v>-0.147327215551237</v>
      </c>
      <c r="P401" s="54"/>
      <c r="Q401" s="53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106835496</v>
      </c>
      <c r="D402" s="49" t="n">
        <v>106884817</v>
      </c>
      <c r="E402" s="49" t="n">
        <v>106490409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-0.00568957725255403</v>
      </c>
      <c r="I402" s="52" t="n">
        <f aca="false">IF(AND(ISNUMBER($G402),$G402&gt;=MA_SHORT),AVERAGE(INDEX($C$5:$C402,399-MA_SHORT):$C402),"")</f>
        <v>108958913.6</v>
      </c>
      <c r="J402" s="52" t="n">
        <f aca="false">IF(AND(ISNUMBER($G402),$G402&gt;=MA_MED),AVERAGE(INDEX($C$5:$C402,399-MA_MED):$C402),"")</f>
        <v>115166523.46</v>
      </c>
      <c r="K402" s="52" t="n">
        <f aca="false">IF(AND(ISNUMBER($G402),$G402&gt;=MA_LONG2),AVERAGE(INDEX($C$5:$C402,399-MA_LONG2):$C402),"")</f>
        <v>109860095.375</v>
      </c>
      <c r="L402" s="53" t="n">
        <f aca="false">IF(AND(ISNUMBER($G402),$G402&gt;=21),STDEV(INDEX($H$342:$H402,62-20):$H402)*SQRT(245),"")</f>
        <v>0.260417661659472</v>
      </c>
      <c r="M402" s="52" t="n">
        <f aca="false">IF(AND(ISNUMBER($G402),$G402&gt;=60),MAX(INDEX($D$202:$D402,202-60):$D402),"")</f>
        <v>126011789</v>
      </c>
      <c r="N402" s="52" t="n">
        <f aca="false">IF(AND(ISNUMBER($G402),$G402&gt;=60),MIN(INDEX($E$202:$E402,202-60):$E402),"")</f>
        <v>103495939</v>
      </c>
      <c r="O402" s="53" t="n">
        <f aca="false">IF(OR(NOT(ISNUMBER($C402)),NOT(ISNUMBER($M402)),$M402=0),"",$C402/$M402-1)</f>
        <v>-0.152178563229509</v>
      </c>
      <c r="P402" s="54"/>
      <c r="Q402" s="53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107238703</v>
      </c>
      <c r="D403" s="49" t="n">
        <v>107579857</v>
      </c>
      <c r="E403" s="49" t="n">
        <v>106716790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0.00377409208639801</v>
      </c>
      <c r="I403" s="52" t="n">
        <f aca="false">IF(AND(ISNUMBER($G403),$G403&gt;=MA_SHORT),AVERAGE(INDEX($C$5:$C403,400-MA_SHORT):$C403),"")</f>
        <v>108660686.7</v>
      </c>
      <c r="J403" s="52" t="n">
        <f aca="false">IF(AND(ISNUMBER($G403),$G403&gt;=MA_MED),AVERAGE(INDEX($C$5:$C403,400-MA_MED):$C403),"")</f>
        <v>114818327.32</v>
      </c>
      <c r="K403" s="52" t="n">
        <f aca="false">IF(AND(ISNUMBER($G403),$G403&gt;=MA_LONG2),AVERAGE(INDEX($C$5:$C403,400-MA_LONG2):$C403),"")</f>
        <v>109855590.41</v>
      </c>
      <c r="L403" s="53" t="n">
        <f aca="false">IF(AND(ISNUMBER($G403),$G403&gt;=21),STDEV(INDEX($H$343:$H403,62-20):$H403)*SQRT(245),"")</f>
        <v>0.253876861203842</v>
      </c>
      <c r="M403" s="52" t="n">
        <f aca="false">IF(AND(ISNUMBER($G403),$G403&gt;=60),MAX(INDEX($D$203:$D403,202-60):$D403),"")</f>
        <v>126011789</v>
      </c>
      <c r="N403" s="52" t="n">
        <f aca="false">IF(AND(ISNUMBER($G403),$G403&gt;=60),MIN(INDEX($E$203:$E403,202-60):$E403),"")</f>
        <v>103495939</v>
      </c>
      <c r="O403" s="53" t="n">
        <f aca="false">IF(OR(NOT(ISNUMBER($C403)),NOT(ISNUMBER($M403)),$M403=0),"",$C403/$M403-1)</f>
        <v>-0.148978807054315</v>
      </c>
      <c r="P403" s="54"/>
      <c r="Q403" s="53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106629818</v>
      </c>
      <c r="D404" s="49" t="n">
        <v>106848914</v>
      </c>
      <c r="E404" s="49" t="n">
        <v>106421609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-0.00567784748385103</v>
      </c>
      <c r="I404" s="52" t="n">
        <f aca="false">IF(AND(ISNUMBER($G404),$G404&gt;=MA_SHORT),AVERAGE(INDEX($C$5:$C404,401-MA_SHORT):$C404),"")</f>
        <v>108423533.8</v>
      </c>
      <c r="J404" s="52" t="n">
        <f aca="false">IF(AND(ISNUMBER($G404),$G404&gt;=MA_MED),AVERAGE(INDEX($C$5:$C404,401-MA_MED):$C404),"")</f>
        <v>114454958.4</v>
      </c>
      <c r="K404" s="52" t="n">
        <f aca="false">IF(AND(ISNUMBER($G404),$G404&gt;=MA_LONG2),AVERAGE(INDEX($C$5:$C404,401-MA_LONG2):$C404),"")</f>
        <v>109849395.195</v>
      </c>
      <c r="L404" s="53" t="n">
        <f aca="false">IF(AND(ISNUMBER($G404),$G404&gt;=21),STDEV(INDEX($H$344:$H404,62-20):$H404)*SQRT(245),"")</f>
        <v>0.24924746999673</v>
      </c>
      <c r="M404" s="52" t="n">
        <f aca="false">IF(AND(ISNUMBER($G404),$G404&gt;=60),MAX(INDEX($D$204:$D404,202-60):$D404),"")</f>
        <v>126011789</v>
      </c>
      <c r="N404" s="52" t="n">
        <f aca="false">IF(AND(ISNUMBER($G404),$G404&gt;=60),MIN(INDEX($E$204:$E404,202-60):$E404),"")</f>
        <v>103495939</v>
      </c>
      <c r="O404" s="53" t="n">
        <f aca="false">IF(OR(NOT(ISNUMBER($C404)),NOT(ISNUMBER($M404)),$M404=0),"",$C404/$M404-1)</f>
        <v>-0.153810775593385</v>
      </c>
      <c r="P404" s="54"/>
      <c r="Q404" s="53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108356263</v>
      </c>
      <c r="D405" s="49" t="n">
        <v>108369433</v>
      </c>
      <c r="E405" s="49" t="n">
        <v>108176531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0.0161910151623816</v>
      </c>
      <c r="I405" s="52" t="n">
        <f aca="false">IF(AND(ISNUMBER($G405),$G405&gt;=MA_SHORT),AVERAGE(INDEX($C$5:$C405,402-MA_SHORT):$C405),"")</f>
        <v>108243861.15</v>
      </c>
      <c r="J405" s="52" t="n">
        <f aca="false">IF(AND(ISNUMBER($G405),$G405&gt;=MA_MED),AVERAGE(INDEX($C$5:$C405,402-MA_MED):$C405),"")</f>
        <v>114146199.32</v>
      </c>
      <c r="K405" s="52" t="n">
        <f aca="false">IF(AND(ISNUMBER($G405),$G405&gt;=MA_LONG2),AVERAGE(INDEX($C$5:$C405,402-MA_LONG2):$C405),"")</f>
        <v>109844172.62</v>
      </c>
      <c r="L405" s="53" t="n">
        <f aca="false">IF(AND(ISNUMBER($G405),$G405&gt;=21),STDEV(INDEX($H$345:$H405,62-20):$H405)*SQRT(245),"")</f>
        <v>0.256248669494014</v>
      </c>
      <c r="M405" s="52" t="n">
        <f aca="false">IF(AND(ISNUMBER($G405),$G405&gt;=60),MAX(INDEX($D$205:$D405,202-60):$D405),"")</f>
        <v>126011789</v>
      </c>
      <c r="N405" s="52" t="n">
        <f aca="false">IF(AND(ISNUMBER($G405),$G405&gt;=60),MIN(INDEX($E$205:$E405,202-60):$E405),"")</f>
        <v>103495939</v>
      </c>
      <c r="O405" s="53" t="n">
        <f aca="false">IF(OR(NOT(ISNUMBER($C405)),NOT(ISNUMBER($M405)),$M405=0),"",$C405/$M405-1)</f>
        <v>-0.140110113030774</v>
      </c>
      <c r="P405" s="54"/>
      <c r="Q405" s="53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108170444</v>
      </c>
      <c r="D406" s="49" t="n">
        <v>108284780</v>
      </c>
      <c r="E406" s="49" t="n">
        <v>107769035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-0.0017148893368536</v>
      </c>
      <c r="I406" s="52" t="n">
        <f aca="false">IF(AND(ISNUMBER($G406),$G406&gt;=MA_SHORT),AVERAGE(INDEX($C$6:$C406,402-MA_SHORT):$C406),"")</f>
        <v>108108406</v>
      </c>
      <c r="J406" s="52" t="n">
        <f aca="false">IF(AND(ISNUMBER($G406),$G406&gt;=MA_MED),AVERAGE(INDEX($C$6:$C406,402-MA_MED):$C406),"")</f>
        <v>113846624.38</v>
      </c>
      <c r="K406" s="52" t="n">
        <f aca="false">IF(AND(ISNUMBER($G406),$G406&gt;=MA_LONG2),AVERAGE(INDEX($C$6:$C406,402-MA_LONG2):$C406),"")</f>
        <v>109833840.59</v>
      </c>
      <c r="L406" s="53" t="n">
        <f aca="false">IF(AND(ISNUMBER($G406),$G406&gt;=21),STDEV(INDEX($H$346:$H406,62-20):$H406)*SQRT(245),"")</f>
        <v>0.254533090908157</v>
      </c>
      <c r="M406" s="52" t="n">
        <f aca="false">IF(AND(ISNUMBER($G406),$G406&gt;=60),MAX(INDEX($D$206:$D406,202-60):$D406),"")</f>
        <v>126011789</v>
      </c>
      <c r="N406" s="52" t="n">
        <f aca="false">IF(AND(ISNUMBER($G406),$G406&gt;=60),MIN(INDEX($E$206:$E406,202-60):$E406),"")</f>
        <v>103495939</v>
      </c>
      <c r="O406" s="53" t="n">
        <f aca="false">IF(OR(NOT(ISNUMBER($C406)),NOT(ISNUMBER($M406)),$M406=0),"",$C406/$M406-1)</f>
        <v>-0.141584729028805</v>
      </c>
      <c r="P406" s="54"/>
      <c r="Q406" s="53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109030220</v>
      </c>
      <c r="D407" s="49" t="n">
        <v>109054633</v>
      </c>
      <c r="E407" s="49" t="n">
        <v>108953402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0.00794834492867569</v>
      </c>
      <c r="I407" s="52" t="n">
        <f aca="false">IF(AND(ISNUMBER($G407),$G407&gt;=MA_SHORT),AVERAGE(INDEX($C$7:$C407,402-MA_SHORT):$C407),"")</f>
        <v>108257508.1</v>
      </c>
      <c r="J407" s="52" t="n">
        <f aca="false">IF(AND(ISNUMBER($G407),$G407&gt;=MA_MED),AVERAGE(INDEX($C$7:$C407,402-MA_MED):$C407),"")</f>
        <v>113512667.78</v>
      </c>
      <c r="K407" s="52" t="n">
        <f aca="false">IF(AND(ISNUMBER($G407),$G407&gt;=MA_LONG2),AVERAGE(INDEX($C$7:$C407,402-MA_LONG2):$C407),"")</f>
        <v>109820653.695</v>
      </c>
      <c r="L407" s="53" t="n">
        <f aca="false">IF(AND(ISNUMBER($G407),$G407&gt;=21),STDEV(INDEX($H$347:$H407,62-20):$H407)*SQRT(245),"")</f>
        <v>0.202193837261786</v>
      </c>
      <c r="M407" s="52" t="n">
        <f aca="false">IF(AND(ISNUMBER($G407),$G407&gt;=60),MAX(INDEX($D$207:$D407,202-60):$D407),"")</f>
        <v>126011789</v>
      </c>
      <c r="N407" s="52" t="n">
        <f aca="false">IF(AND(ISNUMBER($G407),$G407&gt;=60),MIN(INDEX($E$207:$E407,202-60):$E407),"")</f>
        <v>103495939</v>
      </c>
      <c r="O407" s="53" t="n">
        <f aca="false">IF(OR(NOT(ISNUMBER($C407)),NOT(ISNUMBER($M407)),$M407=0),"",$C407/$M407-1)</f>
        <v>-0.134761748363084</v>
      </c>
      <c r="P407" s="54"/>
      <c r="Q407" s="53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109688557</v>
      </c>
      <c r="D408" s="49" t="n">
        <v>109905138</v>
      </c>
      <c r="E408" s="49" t="n">
        <v>109094431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0.0060381149373081</v>
      </c>
      <c r="I408" s="52" t="n">
        <f aca="false">IF(AND(ISNUMBER($G408),$G408&gt;=MA_SHORT),AVERAGE(INDEX($C$8:$C408,402-MA_SHORT):$C408),"")</f>
        <v>108474975.2</v>
      </c>
      <c r="J408" s="52" t="n">
        <f aca="false">IF(AND(ISNUMBER($G408),$G408&gt;=MA_MED),AVERAGE(INDEX($C$8:$C408,402-MA_MED):$C408),"")</f>
        <v>113263498.9</v>
      </c>
      <c r="K408" s="52" t="n">
        <f aca="false">IF(AND(ISNUMBER($G408),$G408&gt;=MA_LONG2),AVERAGE(INDEX($C$8:$C408,402-MA_LONG2):$C408),"")</f>
        <v>109811496.285</v>
      </c>
      <c r="L408" s="53" t="n">
        <f aca="false">IF(AND(ISNUMBER($G408),$G408&gt;=21),STDEV(INDEX($H$348:$H408,62-20):$H408)*SQRT(245),"")</f>
        <v>0.200475863796968</v>
      </c>
      <c r="M408" s="52" t="n">
        <f aca="false">IF(AND(ISNUMBER($G408),$G408&gt;=60),MAX(INDEX($D$208:$D408,202-60):$D408),"")</f>
        <v>126011789</v>
      </c>
      <c r="N408" s="52" t="n">
        <f aca="false">IF(AND(ISNUMBER($G408),$G408&gt;=60),MIN(INDEX($E$208:$E408,202-60):$E408),"")</f>
        <v>103495939</v>
      </c>
      <c r="O408" s="53" t="n">
        <f aca="false">IF(OR(NOT(ISNUMBER($C408)),NOT(ISNUMBER($M408)),$M408=0),"",$C408/$M408-1)</f>
        <v>-0.129537340351544</v>
      </c>
      <c r="P408" s="54"/>
      <c r="Q408" s="53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111135870</v>
      </c>
      <c r="D409" s="49" t="n">
        <v>112337836</v>
      </c>
      <c r="E409" s="49" t="n">
        <v>110646989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0.013194749202508</v>
      </c>
      <c r="I409" s="52" t="n">
        <f aca="false">IF(AND(ISNUMBER($G409),$G409&gt;=MA_SHORT),AVERAGE(INDEX($C$9:$C409,402-MA_SHORT):$C409),"")</f>
        <v>108843725.35</v>
      </c>
      <c r="J409" s="52" t="n">
        <f aca="false">IF(AND(ISNUMBER($G409),$G409&gt;=MA_MED),AVERAGE(INDEX($C$9:$C409,402-MA_MED):$C409),"")</f>
        <v>113063418.2</v>
      </c>
      <c r="K409" s="52" t="n">
        <f aca="false">IF(AND(ISNUMBER($G409),$G409&gt;=MA_LONG2),AVERAGE(INDEX($C$9:$C409,402-MA_LONG2):$C409),"")</f>
        <v>109811941.43</v>
      </c>
      <c r="L409" s="53" t="n">
        <f aca="false">IF(AND(ISNUMBER($G409),$G409&gt;=21),STDEV(INDEX($H$349:$H409,62-20):$H409)*SQRT(245),"")</f>
        <v>0.19365083394538</v>
      </c>
      <c r="M409" s="52" t="n">
        <f aca="false">IF(AND(ISNUMBER($G409),$G409&gt;=60),MAX(INDEX($D$209:$D409,202-60):$D409),"")</f>
        <v>126011789</v>
      </c>
      <c r="N409" s="52" t="n">
        <f aca="false">IF(AND(ISNUMBER($G409),$G409&gt;=60),MIN(INDEX($E$209:$E409,202-60):$E409),"")</f>
        <v>103495939</v>
      </c>
      <c r="O409" s="53" t="n">
        <f aca="false">IF(OR(NOT(ISNUMBER($C409)),NOT(ISNUMBER($M409)),$M409=0),"",$C409/$M409-1)</f>
        <v>-0.118051803867335</v>
      </c>
      <c r="P409" s="54"/>
      <c r="Q409" s="53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109863791</v>
      </c>
      <c r="D410" s="49" t="n">
        <v>110268296</v>
      </c>
      <c r="E410" s="49" t="n">
        <v>109521031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-0.0114461604520665</v>
      </c>
      <c r="I410" s="52" t="n">
        <f aca="false">IF(AND(ISNUMBER($G410),$G410&gt;=MA_SHORT),AVERAGE(INDEX($C$10:$C410,402-MA_SHORT):$C410),"")</f>
        <v>109100085.7</v>
      </c>
      <c r="J410" s="52" t="n">
        <f aca="false">IF(AND(ISNUMBER($G410),$G410&gt;=MA_MED),AVERAGE(INDEX($C$10:$C410,402-MA_MED):$C410),"")</f>
        <v>112882884.22</v>
      </c>
      <c r="K410" s="52" t="n">
        <f aca="false">IF(AND(ISNUMBER($G410),$G410&gt;=MA_LONG2),AVERAGE(INDEX($C$10:$C410,402-MA_LONG2):$C410),"")</f>
        <v>109815102.935</v>
      </c>
      <c r="L410" s="53" t="n">
        <f aca="false">IF(AND(ISNUMBER($G410),$G410&gt;=21),STDEV(INDEX($H$350:$H410,62-20):$H410)*SQRT(245),"")</f>
        <v>0.199142560148836</v>
      </c>
      <c r="M410" s="52" t="n">
        <f aca="false">IF(AND(ISNUMBER($G410),$G410&gt;=60),MAX(INDEX($D$210:$D410,202-60):$D410),"")</f>
        <v>126011789</v>
      </c>
      <c r="N410" s="52" t="n">
        <f aca="false">IF(AND(ISNUMBER($G410),$G410&gt;=60),MIN(INDEX($E$210:$E410,202-60):$E410),"")</f>
        <v>103495939</v>
      </c>
      <c r="O410" s="53" t="n">
        <f aca="false">IF(OR(NOT(ISNUMBER($C410)),NOT(ISNUMBER($M410)),$M410=0),"",$C410/$M410-1)</f>
        <v>-0.12814672443068</v>
      </c>
      <c r="P410" s="54"/>
      <c r="Q410" s="53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109276522</v>
      </c>
      <c r="D411" s="49" t="n">
        <v>109547041</v>
      </c>
      <c r="E411" s="49" t="n">
        <v>109104149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-0.0053454281401959</v>
      </c>
      <c r="I411" s="52" t="n">
        <f aca="false">IF(AND(ISNUMBER($G411),$G411&gt;=MA_SHORT),AVERAGE(INDEX($C$11:$C411,402-MA_SHORT):$C411),"")</f>
        <v>109199212.95</v>
      </c>
      <c r="J411" s="52" t="n">
        <f aca="false">IF(AND(ISNUMBER($G411),$G411&gt;=MA_MED),AVERAGE(INDEX($C$11:$C411,402-MA_MED):$C411),"")</f>
        <v>112662691.1</v>
      </c>
      <c r="K411" s="52" t="n">
        <f aca="false">IF(AND(ISNUMBER($G411),$G411&gt;=MA_LONG2),AVERAGE(INDEX($C$11:$C411,402-MA_LONG2):$C411),"")</f>
        <v>109825709.515</v>
      </c>
      <c r="L411" s="53" t="n">
        <f aca="false">IF(AND(ISNUMBER($G411),$G411&gt;=21),STDEV(INDEX($H$351:$H411,62-20):$H411)*SQRT(245),"")</f>
        <v>0.183473106605953</v>
      </c>
      <c r="M411" s="52" t="n">
        <f aca="false">IF(AND(ISNUMBER($G411),$G411&gt;=60),MAX(INDEX($D$211:$D411,202-60):$D411),"")</f>
        <v>126011789</v>
      </c>
      <c r="N411" s="52" t="n">
        <f aca="false">IF(AND(ISNUMBER($G411),$G411&gt;=60),MIN(INDEX($E$211:$E411,202-60):$E411),"")</f>
        <v>103495939</v>
      </c>
      <c r="O411" s="53" t="n">
        <f aca="false">IF(OR(NOT(ISNUMBER($C411)),NOT(ISNUMBER($M411)),$M411=0),"",$C411/$M411-1)</f>
        <v>-0.13280715346403</v>
      </c>
      <c r="P411" s="54"/>
      <c r="Q411" s="53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110214257</v>
      </c>
      <c r="D412" s="49" t="n">
        <v>110752144</v>
      </c>
      <c r="E412" s="49" t="n">
        <v>110031290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0.00858130349353536</v>
      </c>
      <c r="I412" s="52" t="n">
        <f aca="false">IF(AND(ISNUMBER($G412),$G412&gt;=MA_SHORT),AVERAGE(INDEX($C$12:$C412,402-MA_SHORT):$C412),"")</f>
        <v>109342209.6</v>
      </c>
      <c r="J412" s="52" t="n">
        <f aca="false">IF(AND(ISNUMBER($G412),$G412&gt;=MA_MED),AVERAGE(INDEX($C$12:$C412,402-MA_MED):$C412),"")</f>
        <v>112523602.82</v>
      </c>
      <c r="K412" s="52" t="n">
        <f aca="false">IF(AND(ISNUMBER($G412),$G412&gt;=MA_LONG2),AVERAGE(INDEX($C$12:$C412,402-MA_LONG2):$C412),"")</f>
        <v>109853116.15</v>
      </c>
      <c r="L412" s="53" t="n">
        <f aca="false">IF(AND(ISNUMBER($G412),$G412&gt;=21),STDEV(INDEX($H$352:$H412,62-20):$H412)*SQRT(245),"")</f>
        <v>0.185373997574053</v>
      </c>
      <c r="M412" s="52" t="n">
        <f aca="false">IF(AND(ISNUMBER($G412),$G412&gt;=60),MAX(INDEX($D$212:$D412,202-60):$D412),"")</f>
        <v>126011789</v>
      </c>
      <c r="N412" s="52" t="n">
        <f aca="false">IF(AND(ISNUMBER($G412),$G412&gt;=60),MIN(INDEX($E$212:$E412,202-60):$E412),"")</f>
        <v>103495939</v>
      </c>
      <c r="O412" s="53" t="n">
        <f aca="false">IF(OR(NOT(ISNUMBER($C412)),NOT(ISNUMBER($M412)),$M412=0),"",$C412/$M412-1)</f>
        <v>-0.125365508460482</v>
      </c>
      <c r="P412" s="54"/>
      <c r="Q412" s="53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111199941</v>
      </c>
      <c r="D413" s="49" t="n">
        <v>111837339</v>
      </c>
      <c r="E413" s="49" t="n">
        <v>110912258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0.00894334387247198</v>
      </c>
      <c r="I413" s="52" t="n">
        <f aca="false">IF(AND(ISNUMBER($G413),$G413&gt;=MA_SHORT),AVERAGE(INDEX($C$13:$C413,402-MA_SHORT):$C413),"")</f>
        <v>109485950.6</v>
      </c>
      <c r="J413" s="52" t="n">
        <f aca="false">IF(AND(ISNUMBER($G413),$G413&gt;=MA_MED),AVERAGE(INDEX($C$13:$C413,402-MA_MED):$C413),"")</f>
        <v>112372051.08</v>
      </c>
      <c r="K413" s="52" t="n">
        <f aca="false">IF(AND(ISNUMBER($G413),$G413&gt;=MA_LONG2),AVERAGE(INDEX($C$13:$C413,402-MA_LONG2):$C413),"")</f>
        <v>109884963.905</v>
      </c>
      <c r="L413" s="53" t="n">
        <f aca="false">IF(AND(ISNUMBER($G413),$G413&gt;=21),STDEV(INDEX($H$353:$H413,62-20):$H413)*SQRT(245),"")</f>
        <v>0.185321251292139</v>
      </c>
      <c r="M413" s="52" t="n">
        <f aca="false">IF(AND(ISNUMBER($G413),$G413&gt;=60),MAX(INDEX($D$213:$D413,202-60):$D413),"")</f>
        <v>126011789</v>
      </c>
      <c r="N413" s="52" t="n">
        <f aca="false">IF(AND(ISNUMBER($G413),$G413&gt;=60),MIN(INDEX($E$213:$E413,202-60):$E413),"")</f>
        <v>103495939</v>
      </c>
      <c r="O413" s="53" t="n">
        <f aca="false">IF(OR(NOT(ISNUMBER($C413)),NOT(ISNUMBER($M413)),$M413=0),"",$C413/$M413-1)</f>
        <v>-0.11754335143992</v>
      </c>
      <c r="P413" s="54"/>
      <c r="Q413" s="53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110168486</v>
      </c>
      <c r="D414" s="49" t="n">
        <v>110342543</v>
      </c>
      <c r="E414" s="49" t="n">
        <v>109976518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-0.00927567938188023</v>
      </c>
      <c r="I414" s="52" t="n">
        <f aca="false">IF(AND(ISNUMBER($G414),$G414&gt;=MA_SHORT),AVERAGE(INDEX($C$14:$C414,402-MA_SHORT):$C414),"")</f>
        <v>109508064.25</v>
      </c>
      <c r="J414" s="52" t="n">
        <f aca="false">IF(AND(ISNUMBER($G414),$G414&gt;=MA_MED),AVERAGE(INDEX($C$14:$C414,402-MA_MED):$C414),"")</f>
        <v>112174966.08</v>
      </c>
      <c r="K414" s="52" t="n">
        <f aca="false">IF(AND(ISNUMBER($G414),$G414&gt;=MA_LONG2),AVERAGE(INDEX($C$14:$C414,402-MA_LONG2):$C414),"")</f>
        <v>109910257.54</v>
      </c>
      <c r="L414" s="53" t="n">
        <f aca="false">IF(AND(ISNUMBER($G414),$G414&gt;=21),STDEV(INDEX($H$354:$H414,62-20):$H414)*SQRT(245),"")</f>
        <v>0.183757712991702</v>
      </c>
      <c r="M414" s="52" t="n">
        <f aca="false">IF(AND(ISNUMBER($G414),$G414&gt;=60),MAX(INDEX($D$214:$D414,202-60):$D414),"")</f>
        <v>126011789</v>
      </c>
      <c r="N414" s="52" t="n">
        <f aca="false">IF(AND(ISNUMBER($G414),$G414&gt;=60),MIN(INDEX($E$214:$E414,202-60):$E414),"")</f>
        <v>103495939</v>
      </c>
      <c r="O414" s="53" t="n">
        <f aca="false">IF(OR(NOT(ISNUMBER($C414)),NOT(ISNUMBER($M414)),$M414=0),"",$C414/$M414-1)</f>
        <v>-0.125728736380372</v>
      </c>
      <c r="P414" s="54"/>
      <c r="Q414" s="53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108244016</v>
      </c>
      <c r="D415" s="49" t="n">
        <v>108306140</v>
      </c>
      <c r="E415" s="49" t="n">
        <v>107915419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-0.0174684255895102</v>
      </c>
      <c r="I415" s="52" t="n">
        <f aca="false">IF(AND(ISNUMBER($G415),$G415&gt;=MA_SHORT),AVERAGE(INDEX($C$15:$C415,402-MA_SHORT):$C415),"")</f>
        <v>109289583.75</v>
      </c>
      <c r="J415" s="52" t="n">
        <f aca="false">IF(AND(ISNUMBER($G415),$G415&gt;=MA_MED),AVERAGE(INDEX($C$15:$C415,402-MA_MED):$C415),"")</f>
        <v>111930545.96</v>
      </c>
      <c r="K415" s="52" t="n">
        <f aca="false">IF(AND(ISNUMBER($G415),$G415&gt;=MA_LONG2),AVERAGE(INDEX($C$15:$C415,402-MA_LONG2):$C415),"")</f>
        <v>109934262.675</v>
      </c>
      <c r="L415" s="53" t="n">
        <f aca="false">IF(AND(ISNUMBER($G415),$G415&gt;=21),STDEV(INDEX($H$355:$H415,62-20):$H415)*SQRT(245),"")</f>
        <v>0.166845766059111</v>
      </c>
      <c r="M415" s="52" t="n">
        <f aca="false">IF(AND(ISNUMBER($G415),$G415&gt;=60),MAX(INDEX($D$215:$D415,202-60):$D415),"")</f>
        <v>126011789</v>
      </c>
      <c r="N415" s="52" t="n">
        <f aca="false">IF(AND(ISNUMBER($G415),$G415&gt;=60),MIN(INDEX($E$215:$E415,202-60):$E415),"")</f>
        <v>103495939</v>
      </c>
      <c r="O415" s="53" t="n">
        <f aca="false">IF(OR(NOT(ISNUMBER($C415)),NOT(ISNUMBER($M415)),$M415=0),"",$C415/$M415-1)</f>
        <v>-0.141000878893958</v>
      </c>
      <c r="P415" s="54"/>
      <c r="Q415" s="53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108507879</v>
      </c>
      <c r="D416" s="49" t="n">
        <v>109041167</v>
      </c>
      <c r="E416" s="49" t="n">
        <v>108058355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0.00243766824024716</v>
      </c>
      <c r="I416" s="52" t="n">
        <f aca="false">IF(AND(ISNUMBER($G416),$G416&gt;=MA_SHORT),AVERAGE(INDEX($C$16:$C416,402-MA_SHORT):$C416),"")</f>
        <v>109046148.95</v>
      </c>
      <c r="J416" s="52" t="n">
        <f aca="false">IF(AND(ISNUMBER($G416),$G416&gt;=MA_MED),AVERAGE(INDEX($C$16:$C416,402-MA_MED):$C416),"")</f>
        <v>111725231.64</v>
      </c>
      <c r="K416" s="52" t="n">
        <f aca="false">IF(AND(ISNUMBER($G416),$G416&gt;=MA_LONG2),AVERAGE(INDEX($C$16:$C416,402-MA_LONG2):$C416),"")</f>
        <v>109953789.325</v>
      </c>
      <c r="L416" s="53" t="n">
        <f aca="false">IF(AND(ISNUMBER($G416),$G416&gt;=21),STDEV(INDEX($H$356:$H416,62-20):$H416)*SQRT(245),"")</f>
        <v>0.164605833242651</v>
      </c>
      <c r="M416" s="52" t="n">
        <f aca="false">IF(AND(ISNUMBER($G416),$G416&gt;=60),MAX(INDEX($D$216:$D416,202-60):$D416),"")</f>
        <v>126011789</v>
      </c>
      <c r="N416" s="52" t="n">
        <f aca="false">IF(AND(ISNUMBER($G416),$G416&gt;=60),MIN(INDEX($E$216:$E416,202-60):$E416),"")</f>
        <v>103495939</v>
      </c>
      <c r="O416" s="53" t="n">
        <f aca="false">IF(OR(NOT(ISNUMBER($C416)),NOT(ISNUMBER($M416)),$M416=0),"",$C416/$M416-1)</f>
        <v>-0.138906924018038</v>
      </c>
      <c r="P416" s="54"/>
      <c r="Q416" s="53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105046121</v>
      </c>
      <c r="D417" s="49" t="n">
        <v>105676739</v>
      </c>
      <c r="E417" s="49" t="n">
        <v>104582873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-0.0319032869493283</v>
      </c>
      <c r="I417" s="52" t="n">
        <f aca="false">IF(AND(ISNUMBER($G417),$G417&gt;=MA_SHORT),AVERAGE(INDEX($C$17:$C417,402-MA_SHORT):$C417),"")</f>
        <v>108728739.55</v>
      </c>
      <c r="J417" s="52" t="n">
        <f aca="false">IF(AND(ISNUMBER($G417),$G417&gt;=MA_MED),AVERAGE(INDEX($C$17:$C417,402-MA_MED):$C417),"")</f>
        <v>111428778.34</v>
      </c>
      <c r="K417" s="52" t="n">
        <f aca="false">IF(AND(ISNUMBER($G417),$G417&gt;=MA_LONG2),AVERAGE(INDEX($C$17:$C417,402-MA_LONG2):$C417),"")</f>
        <v>109951779.085</v>
      </c>
      <c r="L417" s="53" t="n">
        <f aca="false">IF(AND(ISNUMBER($G417),$G417&gt;=21),STDEV(INDEX($H$357:$H417,62-20):$H417)*SQRT(245),"")</f>
        <v>0.188011086174256</v>
      </c>
      <c r="M417" s="52" t="n">
        <f aca="false">IF(AND(ISNUMBER($G417),$G417&gt;=60),MAX(INDEX($D$217:$D417,202-60):$D417),"")</f>
        <v>122735153</v>
      </c>
      <c r="N417" s="52" t="n">
        <f aca="false">IF(AND(ISNUMBER($G417),$G417&gt;=60),MIN(INDEX($E$217:$E417,202-60):$E417),"")</f>
        <v>103495939</v>
      </c>
      <c r="O417" s="53" t="n">
        <f aca="false">IF(OR(NOT(ISNUMBER($C417)),NOT(ISNUMBER($M417)),$M417=0),"",$C417/$M417-1)</f>
        <v>-0.144123599210407</v>
      </c>
      <c r="P417" s="54"/>
      <c r="Q417" s="53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103025284</v>
      </c>
      <c r="D418" s="49" t="n">
        <v>103523343</v>
      </c>
      <c r="E418" s="49" t="n">
        <v>102971144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-0.0192376165893836</v>
      </c>
      <c r="I418" s="52" t="n">
        <f aca="false">IF(AND(ISNUMBER($G418),$G418&gt;=MA_SHORT),AVERAGE(INDEX($C$18:$C418,402-MA_SHORT):$C418),"")</f>
        <v>108373827.8</v>
      </c>
      <c r="J418" s="52" t="n">
        <f aca="false">IF(AND(ISNUMBER($G418),$G418&gt;=MA_MED),AVERAGE(INDEX($C$18:$C418,402-MA_MED):$C418),"")</f>
        <v>111046079.42</v>
      </c>
      <c r="K418" s="52" t="n">
        <f aca="false">IF(AND(ISNUMBER($G418),$G418&gt;=MA_LONG2),AVERAGE(INDEX($C$18:$C418,402-MA_LONG2):$C418),"")</f>
        <v>109945539.945</v>
      </c>
      <c r="L418" s="53" t="n">
        <f aca="false">IF(AND(ISNUMBER($G418),$G418&gt;=21),STDEV(INDEX($H$358:$H418,62-20):$H418)*SQRT(245),"")</f>
        <v>0.194486629065031</v>
      </c>
      <c r="M418" s="52" t="n">
        <f aca="false">IF(AND(ISNUMBER($G418),$G418&gt;=60),MAX(INDEX($D$218:$D418,202-60):$D418),"")</f>
        <v>122574606</v>
      </c>
      <c r="N418" s="52" t="n">
        <f aca="false">IF(AND(ISNUMBER($G418),$G418&gt;=60),MIN(INDEX($E$218:$E418,202-60):$E418),"")</f>
        <v>102971144</v>
      </c>
      <c r="O418" s="53" t="n">
        <f aca="false">IF(OR(NOT(ISNUMBER($C418)),NOT(ISNUMBER($M418)),$M418=0),"",$C418/$M418-1)</f>
        <v>-0.159489168580317</v>
      </c>
      <c r="P418" s="54"/>
      <c r="Q418" s="53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102637475</v>
      </c>
      <c r="D419" s="49" t="n">
        <v>102763904</v>
      </c>
      <c r="E419" s="49" t="n">
        <v>102348335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-0.00376421189967313</v>
      </c>
      <c r="I419" s="52" t="n">
        <f aca="false">IF(AND(ISNUMBER($G419),$G419&gt;=MA_SHORT),AVERAGE(INDEX($C$19:$C419,402-MA_SHORT):$C419),"")</f>
        <v>108014467.6</v>
      </c>
      <c r="J419" s="52" t="n">
        <f aca="false">IF(AND(ISNUMBER($G419),$G419&gt;=MA_MED),AVERAGE(INDEX($C$19:$C419,402-MA_MED):$C419),"")</f>
        <v>110682280.22</v>
      </c>
      <c r="K419" s="52" t="n">
        <f aca="false">IF(AND(ISNUMBER($G419),$G419&gt;=MA_LONG2),AVERAGE(INDEX($C$19:$C419,402-MA_LONG2):$C419),"")</f>
        <v>109941948.94</v>
      </c>
      <c r="L419" s="53" t="n">
        <f aca="false">IF(AND(ISNUMBER($G419),$G419&gt;=21),STDEV(INDEX($H$359:$H419,62-20):$H419)*SQRT(245),"")</f>
        <v>0.194483892414037</v>
      </c>
      <c r="M419" s="52" t="n">
        <f aca="false">IF(AND(ISNUMBER($G419),$G419&gt;=60),MAX(INDEX($D$219:$D419,202-60):$D419),"")</f>
        <v>122574606</v>
      </c>
      <c r="N419" s="52" t="n">
        <f aca="false">IF(AND(ISNUMBER($G419),$G419&gt;=60),MIN(INDEX($E$219:$E419,202-60):$E419),"")</f>
        <v>102348335</v>
      </c>
      <c r="O419" s="53" t="n">
        <f aca="false">IF(OR(NOT(ISNUMBER($C419)),NOT(ISNUMBER($M419)),$M419=0),"",$C419/$M419-1)</f>
        <v>-0.162653029453752</v>
      </c>
      <c r="P419" s="54"/>
      <c r="Q419" s="53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102311044</v>
      </c>
      <c r="D420" s="49" t="n">
        <v>102612580</v>
      </c>
      <c r="E420" s="49" t="n">
        <v>101900733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-0.00318042703213417</v>
      </c>
      <c r="I420" s="52" t="n">
        <f aca="false">IF(AND(ISNUMBER($G420),$G420&gt;=MA_SHORT),AVERAGE(INDEX($C$20:$C420,402-MA_SHORT):$C420),"")</f>
        <v>107751350.5</v>
      </c>
      <c r="J420" s="52" t="n">
        <f aca="false">IF(AND(ISNUMBER($G420),$G420&gt;=MA_MED),AVERAGE(INDEX($C$20:$C420,402-MA_MED):$C420),"")</f>
        <v>110303402.6</v>
      </c>
      <c r="K420" s="52" t="n">
        <f aca="false">IF(AND(ISNUMBER($G420),$G420&gt;=MA_LONG2),AVERAGE(INDEX($C$20:$C420,402-MA_LONG2):$C420),"")</f>
        <v>109931498.89</v>
      </c>
      <c r="L420" s="53" t="n">
        <f aca="false">IF(AND(ISNUMBER($G420),$G420&gt;=21),STDEV(INDEX($H$360:$H420,62-20):$H420)*SQRT(245),"")</f>
        <v>0.183898010661265</v>
      </c>
      <c r="M420" s="52" t="n">
        <f aca="false">IF(AND(ISNUMBER($G420),$G420&gt;=60),MAX(INDEX($D$220:$D420,202-60):$D420),"")</f>
        <v>122574606</v>
      </c>
      <c r="N420" s="52" t="n">
        <f aca="false">IF(AND(ISNUMBER($G420),$G420&gt;=60),MIN(INDEX($E$220:$E420,202-60):$E420),"")</f>
        <v>101900733</v>
      </c>
      <c r="O420" s="53" t="n">
        <f aca="false">IF(OR(NOT(ISNUMBER($C420)),NOT(ISNUMBER($M420)),$M420=0),"",$C420/$M420-1)</f>
        <v>-0.165316150394153</v>
      </c>
      <c r="P420" s="54"/>
      <c r="Q420" s="53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103180902</v>
      </c>
      <c r="D421" s="49" t="n">
        <v>103711957</v>
      </c>
      <c r="E421" s="49" t="n">
        <v>103080920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0.00850209289233717</v>
      </c>
      <c r="I421" s="52" t="n">
        <f aca="false">IF(AND(ISNUMBER($G421),$G421&gt;=MA_SHORT),AVERAGE(INDEX($C$21:$C421,402-MA_SHORT):$C421),"")</f>
        <v>107538054.45</v>
      </c>
      <c r="J421" s="52" t="n">
        <f aca="false">IF(AND(ISNUMBER($G421),$G421&gt;=MA_MED),AVERAGE(INDEX($C$21:$C421,402-MA_MED):$C421),"")</f>
        <v>109925559.44</v>
      </c>
      <c r="K421" s="52" t="n">
        <f aca="false">IF(AND(ISNUMBER($G421),$G421&gt;=MA_LONG2),AVERAGE(INDEX($C$21:$C421,402-MA_LONG2):$C421),"")</f>
        <v>109931132.7</v>
      </c>
      <c r="L421" s="53" t="n">
        <f aca="false">IF(AND(ISNUMBER($G421),$G421&gt;=21),STDEV(INDEX($H$361:$H421,62-20):$H421)*SQRT(245),"")</f>
        <v>0.187832425743445</v>
      </c>
      <c r="M421" s="52" t="n">
        <f aca="false">IF(AND(ISNUMBER($G421),$G421&gt;=60),MAX(INDEX($D$221:$D421,202-60):$D421),"")</f>
        <v>122574606</v>
      </c>
      <c r="N421" s="52" t="n">
        <f aca="false">IF(AND(ISNUMBER($G421),$G421&gt;=60),MIN(INDEX($E$221:$E421,202-60):$E421),"")</f>
        <v>101900733</v>
      </c>
      <c r="O421" s="53" t="n">
        <f aca="false">IF(OR(NOT(ISNUMBER($C421)),NOT(ISNUMBER($M421)),$M421=0),"",$C421/$M421-1)</f>
        <v>-0.15821959076907</v>
      </c>
      <c r="P421" s="54"/>
      <c r="Q421" s="53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105754221</v>
      </c>
      <c r="D422" s="49" t="n">
        <v>106113270</v>
      </c>
      <c r="E422" s="49" t="n">
        <v>105746567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0.0249398769551366</v>
      </c>
      <c r="I422" s="52" t="n">
        <f aca="false">IF(AND(ISNUMBER($G422),$G422&gt;=MA_SHORT),AVERAGE(INDEX($C$22:$C422,402-MA_SHORT):$C422),"")</f>
        <v>107483990.7</v>
      </c>
      <c r="J422" s="52" t="n">
        <f aca="false">IF(AND(ISNUMBER($G422),$G422&gt;=MA_MED),AVERAGE(INDEX($C$22:$C422,402-MA_MED):$C422),"")</f>
        <v>109638554.06</v>
      </c>
      <c r="K422" s="52" t="n">
        <f aca="false">IF(AND(ISNUMBER($G422),$G422&gt;=MA_LONG2),AVERAGE(INDEX($C$22:$C422,402-MA_LONG2):$C422),"")</f>
        <v>109943428.725</v>
      </c>
      <c r="L422" s="53" t="n">
        <f aca="false">IF(AND(ISNUMBER($G422),$G422&gt;=21),STDEV(INDEX($H$362:$H422,62-20):$H422)*SQRT(245),"")</f>
        <v>0.209339989723034</v>
      </c>
      <c r="M422" s="52" t="n">
        <f aca="false">IF(AND(ISNUMBER($G422),$G422&gt;=60),MAX(INDEX($D$222:$D422,202-60):$D422),"")</f>
        <v>122574606</v>
      </c>
      <c r="N422" s="52" t="n">
        <f aca="false">IF(AND(ISNUMBER($G422),$G422&gt;=60),MIN(INDEX($E$222:$E422,202-60):$E422),"")</f>
        <v>101900733</v>
      </c>
      <c r="O422" s="53" t="n">
        <f aca="false">IF(OR(NOT(ISNUMBER($C422)),NOT(ISNUMBER($M422)),$M422=0),"",$C422/$M422-1)</f>
        <v>-0.137225690939606</v>
      </c>
      <c r="P422" s="54"/>
      <c r="Q422" s="53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105672786</v>
      </c>
      <c r="D423" s="49" t="n">
        <v>105854533</v>
      </c>
      <c r="E423" s="49" t="n">
        <v>105466808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-0.000770040185913756</v>
      </c>
      <c r="I423" s="52" t="n">
        <f aca="false">IF(AND(ISNUMBER($G423),$G423&gt;=MA_SHORT),AVERAGE(INDEX($C$23:$C423,402-MA_SHORT):$C423),"")</f>
        <v>107405694.85</v>
      </c>
      <c r="J423" s="52" t="n">
        <f aca="false">IF(AND(ISNUMBER($G423),$G423&gt;=MA_MED),AVERAGE(INDEX($C$23:$C423,402-MA_MED):$C423),"")</f>
        <v>109407157.12</v>
      </c>
      <c r="K423" s="52" t="n">
        <f aca="false">IF(AND(ISNUMBER($G423),$G423&gt;=MA_LONG2),AVERAGE(INDEX($C$23:$C423,402-MA_LONG2):$C423),"")</f>
        <v>109949799.71</v>
      </c>
      <c r="L423" s="53" t="n">
        <f aca="false">IF(AND(ISNUMBER($G423),$G423&gt;=21),STDEV(INDEX($H$363:$H423,62-20):$H423)*SQRT(245),"")</f>
        <v>0.208768539277792</v>
      </c>
      <c r="M423" s="52" t="n">
        <f aca="false">IF(AND(ISNUMBER($G423),$G423&gt;=60),MAX(INDEX($D$223:$D423,202-60):$D423),"")</f>
        <v>122574606</v>
      </c>
      <c r="N423" s="52" t="n">
        <f aca="false">IF(AND(ISNUMBER($G423),$G423&gt;=60),MIN(INDEX($E$223:$E423,202-60):$E423),"")</f>
        <v>101900733</v>
      </c>
      <c r="O423" s="53" t="n">
        <f aca="false">IF(OR(NOT(ISNUMBER($C423)),NOT(ISNUMBER($M423)),$M423=0),"",$C423/$M423-1)</f>
        <v>-0.137890061828957</v>
      </c>
      <c r="P423" s="54"/>
      <c r="Q423" s="53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105971952</v>
      </c>
      <c r="D424" s="49" t="n">
        <v>106014787</v>
      </c>
      <c r="E424" s="49" t="n">
        <v>105324627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0.0028310600233441</v>
      </c>
      <c r="I424" s="52" t="n">
        <f aca="false">IF(AND(ISNUMBER($G424),$G424&gt;=MA_SHORT),AVERAGE(INDEX($C$24:$C424,402-MA_SHORT):$C424),"")</f>
        <v>107372801.55</v>
      </c>
      <c r="J424" s="52" t="n">
        <f aca="false">IF(AND(ISNUMBER($G424),$G424&gt;=MA_MED),AVERAGE(INDEX($C$24:$C424,402-MA_MED):$C424),"")</f>
        <v>109166682.12</v>
      </c>
      <c r="K424" s="52" t="n">
        <f aca="false">IF(AND(ISNUMBER($G424),$G424&gt;=MA_LONG2),AVERAGE(INDEX($C$24:$C424,402-MA_LONG2):$C424),"")</f>
        <v>109959938.26</v>
      </c>
      <c r="L424" s="53" t="n">
        <f aca="false">IF(AND(ISNUMBER($G424),$G424&gt;=21),STDEV(INDEX($H$364:$H424,62-20):$H424)*SQRT(245),"")</f>
        <v>0.208249829986794</v>
      </c>
      <c r="M424" s="52" t="n">
        <f aca="false">IF(AND(ISNUMBER($G424),$G424&gt;=60),MAX(INDEX($D$224:$D424,202-60):$D424),"")</f>
        <v>122574606</v>
      </c>
      <c r="N424" s="52" t="n">
        <f aca="false">IF(AND(ISNUMBER($G424),$G424&gt;=60),MIN(INDEX($E$224:$E424,202-60):$E424),"")</f>
        <v>101900733</v>
      </c>
      <c r="O424" s="53" t="n">
        <f aca="false">IF(OR(NOT(ISNUMBER($C424)),NOT(ISNUMBER($M424)),$M424=0),"",$C424/$M424-1)</f>
        <v>-0.135449376847273</v>
      </c>
      <c r="P424" s="54"/>
      <c r="Q424" s="53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105843181</v>
      </c>
      <c r="D425" s="49" t="n">
        <v>106290695</v>
      </c>
      <c r="E425" s="49" t="n">
        <v>105510017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-0.00121514228595132</v>
      </c>
      <c r="I425" s="52" t="n">
        <f aca="false">IF(AND(ISNUMBER($G425),$G425&gt;=MA_SHORT),AVERAGE(INDEX($C$25:$C425,402-MA_SHORT):$C425),"")</f>
        <v>107247147.45</v>
      </c>
      <c r="J425" s="52" t="n">
        <f aca="false">IF(AND(ISNUMBER($G425),$G425&gt;=MA_MED),AVERAGE(INDEX($C$25:$C425,402-MA_MED):$C425),"")</f>
        <v>108957304.04</v>
      </c>
      <c r="K425" s="52" t="n">
        <f aca="false">IF(AND(ISNUMBER($G425),$G425&gt;=MA_LONG2),AVERAGE(INDEX($C$25:$C425,402-MA_LONG2):$C425),"")</f>
        <v>109967661.13</v>
      </c>
      <c r="L425" s="53" t="n">
        <f aca="false">IF(AND(ISNUMBER($G425),$G425&gt;=21),STDEV(INDEX($H$365:$H425,62-20):$H425)*SQRT(245),"")</f>
        <v>0.19927463703746</v>
      </c>
      <c r="M425" s="52" t="n">
        <f aca="false">IF(AND(ISNUMBER($G425),$G425&gt;=60),MAX(INDEX($D$225:$D425,202-60):$D425),"")</f>
        <v>122574606</v>
      </c>
      <c r="N425" s="52" t="n">
        <f aca="false">IF(AND(ISNUMBER($G425),$G425&gt;=60),MIN(INDEX($E$225:$E425,202-60):$E425),"")</f>
        <v>101900733</v>
      </c>
      <c r="O425" s="53" t="n">
        <f aca="false">IF(OR(NOT(ISNUMBER($C425)),NOT(ISNUMBER($M425)),$M425=0),"",$C425/$M425-1)</f>
        <v>-0.136499928867811</v>
      </c>
      <c r="P425" s="54"/>
      <c r="Q425" s="53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106620705</v>
      </c>
      <c r="D426" s="49" t="n">
        <v>107028418</v>
      </c>
      <c r="E426" s="49" t="n">
        <v>105611013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0.00734599992794993</v>
      </c>
      <c r="I426" s="52" t="n">
        <f aca="false">IF(AND(ISNUMBER($G426),$G426&gt;=MA_SHORT),AVERAGE(INDEX($C$26:$C426,402-MA_SHORT):$C426),"")</f>
        <v>107169660.5</v>
      </c>
      <c r="J426" s="52" t="n">
        <f aca="false">IF(AND(ISNUMBER($G426),$G426&gt;=MA_MED),AVERAGE(INDEX($C$26:$C426,402-MA_MED):$C426),"")</f>
        <v>108818016.82</v>
      </c>
      <c r="K426" s="52" t="n">
        <f aca="false">IF(AND(ISNUMBER($G426),$G426&gt;=MA_LONG2),AVERAGE(INDEX($C$26:$C426,402-MA_LONG2):$C426),"")</f>
        <v>109989956.985</v>
      </c>
      <c r="L426" s="53" t="n">
        <f aca="false">IF(AND(ISNUMBER($G426),$G426&gt;=21),STDEV(INDEX($H$366:$H426,62-20):$H426)*SQRT(245),"")</f>
        <v>0.201423198791741</v>
      </c>
      <c r="M426" s="52" t="n">
        <f aca="false">IF(AND(ISNUMBER($G426),$G426&gt;=60),MAX(INDEX($D$226:$D426,202-60):$D426),"")</f>
        <v>122574606</v>
      </c>
      <c r="N426" s="52" t="n">
        <f aca="false">IF(AND(ISNUMBER($G426),$G426&gt;=60),MIN(INDEX($E$226:$E426,202-60):$E426),"")</f>
        <v>101900733</v>
      </c>
      <c r="O426" s="53" t="n">
        <f aca="false">IF(OR(NOT(ISNUMBER($C426)),NOT(ISNUMBER($M426)),$M426=0),"",$C426/$M426-1)</f>
        <v>-0.13015665740749</v>
      </c>
      <c r="P426" s="54"/>
      <c r="Q426" s="53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107587394</v>
      </c>
      <c r="D427" s="49" t="n">
        <v>107949040</v>
      </c>
      <c r="E427" s="49" t="n">
        <v>107057889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0.0090666160948758</v>
      </c>
      <c r="I427" s="52" t="n">
        <f aca="false">IF(AND(ISNUMBER($G427),$G427&gt;=MA_SHORT),AVERAGE(INDEX($C$27:$C427,402-MA_SHORT):$C427),"")</f>
        <v>107097519.2</v>
      </c>
      <c r="J427" s="52" t="n">
        <f aca="false">IF(AND(ISNUMBER($G427),$G427&gt;=MA_MED),AVERAGE(INDEX($C$27:$C427,402-MA_MED):$C427),"")</f>
        <v>108721418.1</v>
      </c>
      <c r="K427" s="52" t="n">
        <f aca="false">IF(AND(ISNUMBER($G427),$G427&gt;=MA_LONG2),AVERAGE(INDEX($C$27:$C427,402-MA_LONG2):$C427),"")</f>
        <v>110017514.85</v>
      </c>
      <c r="L427" s="53" t="n">
        <f aca="false">IF(AND(ISNUMBER($G427),$G427&gt;=21),STDEV(INDEX($H$367:$H427,62-20):$H427)*SQRT(245),"")</f>
        <v>0.202075163999753</v>
      </c>
      <c r="M427" s="52" t="n">
        <f aca="false">IF(AND(ISNUMBER($G427),$G427&gt;=60),MAX(INDEX($D$227:$D427,202-60):$D427),"")</f>
        <v>122574606</v>
      </c>
      <c r="N427" s="52" t="n">
        <f aca="false">IF(AND(ISNUMBER($G427),$G427&gt;=60),MIN(INDEX($E$227:$E427,202-60):$E427),"")</f>
        <v>101900733</v>
      </c>
      <c r="O427" s="53" t="n">
        <f aca="false">IF(OR(NOT(ISNUMBER($C427)),NOT(ISNUMBER($M427)),$M427=0),"",$C427/$M427-1)</f>
        <v>-0.12227012175752</v>
      </c>
      <c r="P427" s="54"/>
      <c r="Q427" s="53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108015098</v>
      </c>
      <c r="D428" s="49" t="n">
        <v>108193146</v>
      </c>
      <c r="E428" s="49" t="n">
        <v>108000276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0.00397540998158208</v>
      </c>
      <c r="I428" s="52" t="n">
        <f aca="false">IF(AND(ISNUMBER($G428),$G428&gt;=MA_SHORT),AVERAGE(INDEX($C$28:$C428,402-MA_SHORT):$C428),"")</f>
        <v>107013846.25</v>
      </c>
      <c r="J428" s="52" t="n">
        <f aca="false">IF(AND(ISNUMBER($G428),$G428&gt;=MA_MED),AVERAGE(INDEX($C$28:$C428,402-MA_MED):$C428),"")</f>
        <v>108606932.96</v>
      </c>
      <c r="K428" s="52" t="n">
        <f aca="false">IF(AND(ISNUMBER($G428),$G428&gt;=MA_LONG2),AVERAGE(INDEX($C$28:$C428,402-MA_LONG2):$C428),"")</f>
        <v>110062949.205</v>
      </c>
      <c r="L428" s="53" t="n">
        <f aca="false">IF(AND(ISNUMBER($G428),$G428&gt;=21),STDEV(INDEX($H$368:$H428,62-20):$H428)*SQRT(245),"")</f>
        <v>0.20133082432201</v>
      </c>
      <c r="M428" s="52" t="n">
        <f aca="false">IF(AND(ISNUMBER($G428),$G428&gt;=60),MAX(INDEX($D$228:$D428,202-60):$D428),"")</f>
        <v>122568156</v>
      </c>
      <c r="N428" s="52" t="n">
        <f aca="false">IF(AND(ISNUMBER($G428),$G428&gt;=60),MIN(INDEX($E$228:$E428,202-60):$E428),"")</f>
        <v>101900733</v>
      </c>
      <c r="O428" s="53" t="n">
        <f aca="false">IF(OR(NOT(ISNUMBER($C428)),NOT(ISNUMBER($M428)),$M428=0),"",$C428/$M428-1)</f>
        <v>-0.118734412550026</v>
      </c>
      <c r="P428" s="54"/>
      <c r="Q428" s="53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106943652</v>
      </c>
      <c r="D429" s="49" t="n">
        <v>107300960</v>
      </c>
      <c r="E429" s="49" t="n">
        <v>106775020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-0.00991940959957283</v>
      </c>
      <c r="I429" s="52" t="n">
        <f aca="false">IF(AND(ISNUMBER($G429),$G429&gt;=MA_SHORT),AVERAGE(INDEX($C$29:$C429,402-MA_SHORT):$C429),"")</f>
        <v>106804235.35</v>
      </c>
      <c r="J429" s="52" t="n">
        <f aca="false">IF(AND(ISNUMBER($G429),$G429&gt;=MA_MED),AVERAGE(INDEX($C$29:$C429,402-MA_MED):$C429),"")</f>
        <v>108431326.18</v>
      </c>
      <c r="K429" s="52" t="n">
        <f aca="false">IF(AND(ISNUMBER($G429),$G429&gt;=MA_LONG2),AVERAGE(INDEX($C$29:$C429,402-MA_LONG2):$C429),"")</f>
        <v>110106598.16</v>
      </c>
      <c r="L429" s="53" t="n">
        <f aca="false">IF(AND(ISNUMBER($G429),$G429&gt;=21),STDEV(INDEX($H$369:$H429,62-20):$H429)*SQRT(245),"")</f>
        <v>0.196983403118388</v>
      </c>
      <c r="M429" s="52" t="n">
        <f aca="false">IF(AND(ISNUMBER($G429),$G429&gt;=60),MAX(INDEX($D$229:$D429,202-60):$D429),"")</f>
        <v>122568156</v>
      </c>
      <c r="N429" s="52" t="n">
        <f aca="false">IF(AND(ISNUMBER($G429),$G429&gt;=60),MIN(INDEX($E$229:$E429,202-60):$E429),"")</f>
        <v>101900733</v>
      </c>
      <c r="O429" s="53" t="n">
        <f aca="false">IF(OR(NOT(ISNUMBER($C429)),NOT(ISNUMBER($M429)),$M429=0),"",$C429/$M429-1)</f>
        <v>-0.127476046877951</v>
      </c>
      <c r="P429" s="54"/>
      <c r="Q429" s="53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105362536</v>
      </c>
      <c r="D430" s="49" t="n">
        <v>105643610</v>
      </c>
      <c r="E430" s="49" t="n">
        <v>104803968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-0.0147845708504513</v>
      </c>
      <c r="I430" s="52" t="n">
        <f aca="false">IF(AND(ISNUMBER($G430),$G430&gt;=MA_SHORT),AVERAGE(INDEX($C$30:$C430,402-MA_SHORT):$C430),"")</f>
        <v>106579172.6</v>
      </c>
      <c r="J430" s="52" t="n">
        <f aca="false">IF(AND(ISNUMBER($G430),$G430&gt;=MA_MED),AVERAGE(INDEX($C$30:$C430,402-MA_MED):$C430),"")</f>
        <v>108244565.32</v>
      </c>
      <c r="K430" s="52" t="n">
        <f aca="false">IF(AND(ISNUMBER($G430),$G430&gt;=MA_LONG2),AVERAGE(INDEX($C$30:$C430,402-MA_LONG2):$C430),"")</f>
        <v>110133899.115</v>
      </c>
      <c r="L430" s="53" t="n">
        <f aca="false">IF(AND(ISNUMBER($G430),$G430&gt;=21),STDEV(INDEX($H$370:$H430,62-20):$H430)*SQRT(245),"")</f>
        <v>0.199413130523338</v>
      </c>
      <c r="M430" s="52" t="n">
        <f aca="false">IF(AND(ISNUMBER($G430),$G430&gt;=60),MAX(INDEX($D$230:$D430,202-60):$D430),"")</f>
        <v>122568156</v>
      </c>
      <c r="N430" s="52" t="n">
        <f aca="false">IF(AND(ISNUMBER($G430),$G430&gt;=60),MIN(INDEX($E$230:$E430,202-60):$E430),"")</f>
        <v>101900733</v>
      </c>
      <c r="O430" s="53" t="n">
        <f aca="false">IF(OR(NOT(ISNUMBER($C430)),NOT(ISNUMBER($M430)),$M430=0),"",$C430/$M430-1)</f>
        <v>-0.1403759390816</v>
      </c>
      <c r="P430" s="54"/>
      <c r="Q430" s="53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102684541</v>
      </c>
      <c r="D431" s="49" t="n">
        <v>102702384</v>
      </c>
      <c r="E431" s="49" t="n">
        <v>101906107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-0.0254169565546524</v>
      </c>
      <c r="I431" s="52" t="n">
        <f aca="false">IF(AND(ISNUMBER($G431),$G431&gt;=MA_SHORT),AVERAGE(INDEX($C$31:$C431,402-MA_SHORT):$C431),"")</f>
        <v>106249573.55</v>
      </c>
      <c r="J431" s="52" t="n">
        <f aca="false">IF(AND(ISNUMBER($G431),$G431&gt;=MA_MED),AVERAGE(INDEX($C$31:$C431,402-MA_MED):$C431),"")</f>
        <v>107983309.06</v>
      </c>
      <c r="K431" s="52" t="n">
        <f aca="false">IF(AND(ISNUMBER($G431),$G431&gt;=MA_LONG2),AVERAGE(INDEX($C$31:$C431,402-MA_LONG2):$C431),"")</f>
        <v>110139334.82</v>
      </c>
      <c r="L431" s="53" t="n">
        <f aca="false">IF(AND(ISNUMBER($G431),$G431&gt;=21),STDEV(INDEX($H$371:$H431,62-20):$H431)*SQRT(245),"")</f>
        <v>0.215467357244164</v>
      </c>
      <c r="M431" s="52" t="n">
        <f aca="false">IF(AND(ISNUMBER($G431),$G431&gt;=60),MAX(INDEX($D$231:$D431,202-60):$D431),"")</f>
        <v>120177790</v>
      </c>
      <c r="N431" s="52" t="n">
        <f aca="false">IF(AND(ISNUMBER($G431),$G431&gt;=60),MIN(INDEX($E$231:$E431,202-60):$E431),"")</f>
        <v>101900733</v>
      </c>
      <c r="O431" s="53" t="n">
        <f aca="false">IF(OR(NOT(ISNUMBER($C431)),NOT(ISNUMBER($M431)),$M431=0),"",$C431/$M431-1)</f>
        <v>-0.145561413635581</v>
      </c>
      <c r="P431" s="54"/>
      <c r="Q431" s="53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101700695</v>
      </c>
      <c r="D432" s="49" t="n">
        <v>101887761</v>
      </c>
      <c r="E432" s="49" t="n">
        <v>101418631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-0.00958124748300715</v>
      </c>
      <c r="I432" s="52" t="n">
        <f aca="false">IF(AND(ISNUMBER($G432),$G432&gt;=MA_SHORT),AVERAGE(INDEX($C$32:$C432,402-MA_SHORT):$C432),"")</f>
        <v>105823895.45</v>
      </c>
      <c r="J432" s="52" t="n">
        <f aca="false">IF(AND(ISNUMBER($G432),$G432&gt;=MA_MED),AVERAGE(INDEX($C$32:$C432,402-MA_MED):$C432),"")</f>
        <v>107705212.52</v>
      </c>
      <c r="K432" s="52" t="n">
        <f aca="false">IF(AND(ISNUMBER($G432),$G432&gt;=MA_LONG2),AVERAGE(INDEX($C$32:$C432,402-MA_LONG2):$C432),"")</f>
        <v>110126159.81</v>
      </c>
      <c r="L432" s="53" t="n">
        <f aca="false">IF(AND(ISNUMBER($G432),$G432&gt;=21),STDEV(INDEX($H$372:$H432,62-20):$H432)*SQRT(245),"")</f>
        <v>0.212214894235486</v>
      </c>
      <c r="M432" s="52" t="n">
        <f aca="false">IF(AND(ISNUMBER($G432),$G432&gt;=60),MAX(INDEX($D$232:$D432,202-60):$D432),"")</f>
        <v>118529489</v>
      </c>
      <c r="N432" s="52" t="n">
        <f aca="false">IF(AND(ISNUMBER($G432),$G432&gt;=60),MIN(INDEX($E$232:$E432,202-60):$E432),"")</f>
        <v>101418631</v>
      </c>
      <c r="O432" s="53" t="n">
        <f aca="false">IF(OR(NOT(ISNUMBER($C432)),NOT(ISNUMBER($M432)),$M432=0),"",$C432/$M432-1)</f>
        <v>-0.141979807235987</v>
      </c>
      <c r="P432" s="54"/>
      <c r="Q432" s="53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104033260</v>
      </c>
      <c r="D433" s="49" t="n">
        <v>104438219</v>
      </c>
      <c r="E433" s="49" t="n">
        <v>103203424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0.0229355856417697</v>
      </c>
      <c r="I433" s="52" t="n">
        <f aca="false">IF(AND(ISNUMBER($G433),$G433&gt;=MA_SHORT),AVERAGE(INDEX($C$33:$C433,402-MA_SHORT):$C433),"")</f>
        <v>105465561.4</v>
      </c>
      <c r="J433" s="52" t="n">
        <f aca="false">IF(AND(ISNUMBER($G433),$G433&gt;=MA_MED),AVERAGE(INDEX($C$33:$C433,402-MA_MED):$C433),"")</f>
        <v>107521812.9</v>
      </c>
      <c r="K433" s="52" t="n">
        <f aca="false">IF(AND(ISNUMBER($G433),$G433&gt;=MA_LONG2),AVERAGE(INDEX($C$33:$C433,402-MA_LONG2):$C433),"")</f>
        <v>110126756.255</v>
      </c>
      <c r="L433" s="53" t="n">
        <f aca="false">IF(AND(ISNUMBER($G433),$G433&gt;=21),STDEV(INDEX($H$373:$H433,62-20):$H433)*SQRT(245),"")</f>
        <v>0.228203031704641</v>
      </c>
      <c r="M433" s="52" t="n">
        <f aca="false">IF(AND(ISNUMBER($G433),$G433&gt;=60),MAX(INDEX($D$233:$D433,202-60):$D433),"")</f>
        <v>118529489</v>
      </c>
      <c r="N433" s="52" t="n">
        <f aca="false">IF(AND(ISNUMBER($G433),$G433&gt;=60),MIN(INDEX($E$233:$E433,202-60):$E433),"")</f>
        <v>101418631</v>
      </c>
      <c r="O433" s="53" t="n">
        <f aca="false">IF(OR(NOT(ISNUMBER($C433)),NOT(ISNUMBER($M433)),$M433=0),"",$C433/$M433-1)</f>
        <v>-0.12230061162248</v>
      </c>
      <c r="P433" s="54"/>
      <c r="Q433" s="53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104504429</v>
      </c>
      <c r="D434" s="49" t="n">
        <v>104661696</v>
      </c>
      <c r="E434" s="49" t="n">
        <v>104202263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0.00452902273753608</v>
      </c>
      <c r="I434" s="52" t="n">
        <f aca="false">IF(AND(ISNUMBER($G434),$G434&gt;=MA_SHORT),AVERAGE(INDEX($C$34:$C434,402-MA_SHORT):$C434),"")</f>
        <v>105182358.55</v>
      </c>
      <c r="J434" s="52" t="n">
        <f aca="false">IF(AND(ISNUMBER($G434),$G434&gt;=MA_MED),AVERAGE(INDEX($C$34:$C434,402-MA_MED):$C434),"")</f>
        <v>107384443.96</v>
      </c>
      <c r="K434" s="52" t="n">
        <f aca="false">IF(AND(ISNUMBER($G434),$G434&gt;=MA_LONG2),AVERAGE(INDEX($C$34:$C434,402-MA_LONG2):$C434),"")</f>
        <v>110126397.46</v>
      </c>
      <c r="L434" s="53" t="n">
        <f aca="false">IF(AND(ISNUMBER($G434),$G434&gt;=21),STDEV(INDEX($H$374:$H434,62-20):$H434)*SQRT(245),"")</f>
        <v>0.228597150424836</v>
      </c>
      <c r="M434" s="52" t="n">
        <f aca="false">IF(AND(ISNUMBER($G434),$G434&gt;=60),MAX(INDEX($D$234:$D434,202-60):$D434),"")</f>
        <v>116845457</v>
      </c>
      <c r="N434" s="52" t="n">
        <f aca="false">IF(AND(ISNUMBER($G434),$G434&gt;=60),MIN(INDEX($E$234:$E434,202-60):$E434),"")</f>
        <v>101418631</v>
      </c>
      <c r="O434" s="53" t="n">
        <f aca="false">IF(OR(NOT(ISNUMBER($C434)),NOT(ISNUMBER($M434)),$M434=0),"",$C434/$M434-1)</f>
        <v>-0.105618381038126</v>
      </c>
      <c r="P434" s="54"/>
      <c r="Q434" s="53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104257401</v>
      </c>
      <c r="D435" s="49" t="n">
        <v>104482935</v>
      </c>
      <c r="E435" s="49" t="n">
        <v>103903893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-0.00236380412164161</v>
      </c>
      <c r="I435" s="52" t="n">
        <f aca="false">IF(AND(ISNUMBER($G435),$G435&gt;=MA_SHORT),AVERAGE(INDEX($C$35:$C435,402-MA_SHORT):$C435),"")</f>
        <v>104983027.8</v>
      </c>
      <c r="J435" s="52" t="n">
        <f aca="false">IF(AND(ISNUMBER($G435),$G435&gt;=MA_MED),AVERAGE(INDEX($C$35:$C435,402-MA_MED):$C435),"")</f>
        <v>107230597.66</v>
      </c>
      <c r="K435" s="52" t="n">
        <f aca="false">IF(AND(ISNUMBER($G435),$G435&gt;=MA_LONG2),AVERAGE(INDEX($C$35:$C435,402-MA_LONG2):$C435),"")</f>
        <v>110119515.3</v>
      </c>
      <c r="L435" s="53" t="n">
        <f aca="false">IF(AND(ISNUMBER($G435),$G435&gt;=21),STDEV(INDEX($H$375:$H435,62-20):$H435)*SQRT(245),"")</f>
        <v>0.221887113313969</v>
      </c>
      <c r="M435" s="52" t="n">
        <f aca="false">IF(AND(ISNUMBER($G435),$G435&gt;=60),MAX(INDEX($D$235:$D435,202-60):$D435),"")</f>
        <v>116382306</v>
      </c>
      <c r="N435" s="52" t="n">
        <f aca="false">IF(AND(ISNUMBER($G435),$G435&gt;=60),MIN(INDEX($E$235:$E435,202-60):$E435),"")</f>
        <v>101418631</v>
      </c>
      <c r="O435" s="53" t="n">
        <f aca="false">IF(OR(NOT(ISNUMBER($C435)),NOT(ISNUMBER($M435)),$M435=0),"",$C435/$M435-1)</f>
        <v>-0.104181687205957</v>
      </c>
      <c r="P435" s="54"/>
      <c r="Q435" s="53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105379934</v>
      </c>
      <c r="D436" s="49" t="n">
        <v>105611396</v>
      </c>
      <c r="E436" s="49" t="n">
        <v>105360565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0.0107669382627331</v>
      </c>
      <c r="I436" s="52" t="n">
        <f aca="false">IF(AND(ISNUMBER($G436),$G436&gt;=MA_SHORT),AVERAGE(INDEX($C$36:$C436,402-MA_SHORT):$C436),"")</f>
        <v>104826630.55</v>
      </c>
      <c r="J436" s="52" t="n">
        <f aca="false">IF(AND(ISNUMBER($G436),$G436&gt;=MA_MED),AVERAGE(INDEX($C$36:$C436,402-MA_MED):$C436),"")</f>
        <v>107120605.4</v>
      </c>
      <c r="K436" s="52" t="n">
        <f aca="false">IF(AND(ISNUMBER($G436),$G436&gt;=MA_LONG2),AVERAGE(INDEX($C$36:$C436,402-MA_LONG2):$C436),"")</f>
        <v>110121939.205</v>
      </c>
      <c r="L436" s="53" t="n">
        <f aca="false">IF(AND(ISNUMBER($G436),$G436&gt;=21),STDEV(INDEX($H$376:$H436,62-20):$H436)*SQRT(245),"")</f>
        <v>0.225808451879068</v>
      </c>
      <c r="M436" s="52" t="n">
        <f aca="false">IF(AND(ISNUMBER($G436),$G436&gt;=60),MAX(INDEX($D$236:$D436,202-60):$D436),"")</f>
        <v>116382306</v>
      </c>
      <c r="N436" s="52" t="n">
        <f aca="false">IF(AND(ISNUMBER($G436),$G436&gt;=60),MIN(INDEX($E$236:$E436,202-60):$E436),"")</f>
        <v>101418631</v>
      </c>
      <c r="O436" s="53" t="n">
        <f aca="false">IF(OR(NOT(ISNUMBER($C436)),NOT(ISNUMBER($M436)),$M436=0),"",$C436/$M436-1)</f>
        <v>-0.0945364667374781</v>
      </c>
      <c r="P436" s="54"/>
      <c r="Q436" s="53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105586043</v>
      </c>
      <c r="D437" s="49" t="n">
        <v>106179762</v>
      </c>
      <c r="E437" s="49" t="n">
        <v>105444282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0.00195586571538375</v>
      </c>
      <c r="I437" s="52" t="n">
        <f aca="false">IF(AND(ISNUMBER($G437),$G437&gt;=MA_SHORT),AVERAGE(INDEX($C$37:$C437,402-MA_SHORT):$C437),"")</f>
        <v>104853626.65</v>
      </c>
      <c r="J437" s="52" t="n">
        <f aca="false">IF(AND(ISNUMBER($G437),$G437&gt;=MA_MED),AVERAGE(INDEX($C$37:$C437,402-MA_MED):$C437),"")</f>
        <v>107111362.7</v>
      </c>
      <c r="K437" s="52" t="n">
        <f aca="false">IF(AND(ISNUMBER($G437),$G437&gt;=MA_LONG2),AVERAGE(INDEX($C$37:$C437,402-MA_LONG2):$C437),"")</f>
        <v>110133498.775</v>
      </c>
      <c r="L437" s="53" t="n">
        <f aca="false">IF(AND(ISNUMBER($G437),$G437&gt;=21),STDEV(INDEX($H$377:$H437,62-20):$H437)*SQRT(245),"")</f>
        <v>0.195868845881915</v>
      </c>
      <c r="M437" s="52" t="n">
        <f aca="false">IF(AND(ISNUMBER($G437),$G437&gt;=60),MAX(INDEX($D$237:$D437,202-60):$D437),"")</f>
        <v>116382306</v>
      </c>
      <c r="N437" s="52" t="n">
        <f aca="false">IF(AND(ISNUMBER($G437),$G437&gt;=60),MIN(INDEX($E$237:$E437,202-60):$E437),"")</f>
        <v>101418631</v>
      </c>
      <c r="O437" s="53" t="n">
        <f aca="false">IF(OR(NOT(ISNUMBER($C437)),NOT(ISNUMBER($M437)),$M437=0),"",$C437/$M437-1)</f>
        <v>-0.0927655016562398</v>
      </c>
      <c r="P437" s="54"/>
      <c r="Q437" s="53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105132660</v>
      </c>
      <c r="D438" s="49" t="n">
        <v>105438770</v>
      </c>
      <c r="E438" s="49" t="n">
        <v>105111317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-0.00429396714866948</v>
      </c>
      <c r="I438" s="52" t="n">
        <f aca="false">IF(AND(ISNUMBER($G438),$G438&gt;=MA_SHORT),AVERAGE(INDEX($C$38:$C438,402-MA_SHORT):$C438),"")</f>
        <v>104958995.45</v>
      </c>
      <c r="J438" s="52" t="n">
        <f aca="false">IF(AND(ISNUMBER($G438),$G438&gt;=MA_MED),AVERAGE(INDEX($C$38:$C438,402-MA_MED):$C438),"")</f>
        <v>107107231.6</v>
      </c>
      <c r="K438" s="52" t="n">
        <f aca="false">IF(AND(ISNUMBER($G438),$G438&gt;=MA_LONG2),AVERAGE(INDEX($C$38:$C438,402-MA_LONG2):$C438),"")</f>
        <v>110146404.545</v>
      </c>
      <c r="L438" s="53" t="n">
        <f aca="false">IF(AND(ISNUMBER($G438),$G438&gt;=21),STDEV(INDEX($H$378:$H438,62-20):$H438)*SQRT(245),"")</f>
        <v>0.183190484682949</v>
      </c>
      <c r="M438" s="52" t="n">
        <f aca="false">IF(AND(ISNUMBER($G438),$G438&gt;=60),MAX(INDEX($D$238:$D438,202-60):$D438),"")</f>
        <v>116382306</v>
      </c>
      <c r="N438" s="52" t="n">
        <f aca="false">IF(AND(ISNUMBER($G438),$G438&gt;=60),MIN(INDEX($E$238:$E438,202-60):$E438),"")</f>
        <v>101418631</v>
      </c>
      <c r="O438" s="53" t="n">
        <f aca="false">IF(OR(NOT(ISNUMBER($C438)),NOT(ISNUMBER($M438)),$M438=0),"",$C438/$M438-1)</f>
        <v>-0.0966611367882675</v>
      </c>
      <c r="P438" s="54"/>
      <c r="Q438" s="53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105854909</v>
      </c>
      <c r="D439" s="49" t="n">
        <v>106179038</v>
      </c>
      <c r="E439" s="49" t="n">
        <v>105546155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0.00686988229918284</v>
      </c>
      <c r="I439" s="52" t="n">
        <f aca="false">IF(AND(ISNUMBER($G439),$G439&gt;=MA_SHORT),AVERAGE(INDEX($C$39:$C439,402-MA_SHORT):$C439),"")</f>
        <v>105119867.15</v>
      </c>
      <c r="J439" s="52" t="n">
        <f aca="false">IF(AND(ISNUMBER($G439),$G439&gt;=MA_MED),AVERAGE(INDEX($C$39:$C439,402-MA_MED):$C439),"")</f>
        <v>107149112.44</v>
      </c>
      <c r="K439" s="52" t="n">
        <f aca="false">IF(AND(ISNUMBER($G439),$G439&gt;=MA_LONG2),AVERAGE(INDEX($C$39:$C439,402-MA_LONG2):$C439),"")</f>
        <v>110157821.67</v>
      </c>
      <c r="L439" s="53" t="n">
        <f aca="false">IF(AND(ISNUMBER($G439),$G439&gt;=21),STDEV(INDEX($H$379:$H439,62-20):$H439)*SQRT(245),"")</f>
        <v>0.183346897137271</v>
      </c>
      <c r="M439" s="52" t="n">
        <f aca="false">IF(AND(ISNUMBER($G439),$G439&gt;=60),MAX(INDEX($D$239:$D439,202-60):$D439),"")</f>
        <v>116382306</v>
      </c>
      <c r="N439" s="52" t="n">
        <f aca="false">IF(AND(ISNUMBER($G439),$G439&gt;=60),MIN(INDEX($E$239:$E439,202-60):$E439),"")</f>
        <v>101418631</v>
      </c>
      <c r="O439" s="53" t="n">
        <f aca="false">IF(OR(NOT(ISNUMBER($C439)),NOT(ISNUMBER($M439)),$M439=0),"",$C439/$M439-1)</f>
        <v>-0.0904553051217253</v>
      </c>
      <c r="P439" s="54"/>
      <c r="Q439" s="53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106826542</v>
      </c>
      <c r="D440" s="49" t="n">
        <v>107145207</v>
      </c>
      <c r="E440" s="49" t="n">
        <v>106752744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0.00917891299684559</v>
      </c>
      <c r="I440" s="52" t="n">
        <f aca="false">IF(AND(ISNUMBER($G440),$G440&gt;=MA_SHORT),AVERAGE(INDEX($C$40:$C440,402-MA_SHORT):$C440),"")</f>
        <v>105345642.05</v>
      </c>
      <c r="J440" s="52" t="n">
        <f aca="false">IF(AND(ISNUMBER($G440),$G440&gt;=MA_MED),AVERAGE(INDEX($C$40:$C440,402-MA_MED):$C440),"")</f>
        <v>107190911.6</v>
      </c>
      <c r="K440" s="52" t="n">
        <f aca="false">IF(AND(ISNUMBER($G440),$G440&gt;=MA_LONG2),AVERAGE(INDEX($C$40:$C440,402-MA_LONG2):$C440),"")</f>
        <v>110169276.055</v>
      </c>
      <c r="L440" s="53" t="n">
        <f aca="false">IF(AND(ISNUMBER($G440),$G440&gt;=21),STDEV(INDEX($H$380:$H440,62-20):$H440)*SQRT(245),"")</f>
        <v>0.184283809715133</v>
      </c>
      <c r="M440" s="52" t="n">
        <f aca="false">IF(AND(ISNUMBER($G440),$G440&gt;=60),MAX(INDEX($D$240:$D440,202-60):$D440),"")</f>
        <v>116382306</v>
      </c>
      <c r="N440" s="52" t="n">
        <f aca="false">IF(AND(ISNUMBER($G440),$G440&gt;=60),MIN(INDEX($E$240:$E440,202-60):$E440),"")</f>
        <v>101418631</v>
      </c>
      <c r="O440" s="53" t="n">
        <f aca="false">IF(OR(NOT(ISNUMBER($C440)),NOT(ISNUMBER($M440)),$M440=0),"",$C440/$M440-1)</f>
        <v>-0.0821066735006952</v>
      </c>
      <c r="P440" s="54"/>
      <c r="Q440" s="53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107259051</v>
      </c>
      <c r="D441" s="49" t="n">
        <v>107491698</v>
      </c>
      <c r="E441" s="49" t="n">
        <v>106834820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0.00404870355159481</v>
      </c>
      <c r="I441" s="52" t="n">
        <f aca="false">IF(AND(ISNUMBER($G441),$G441&gt;=MA_SHORT),AVERAGE(INDEX($C$41:$C441,402-MA_SHORT):$C441),"")</f>
        <v>105549549.5</v>
      </c>
      <c r="J441" s="52" t="n">
        <f aca="false">IF(AND(ISNUMBER($G441),$G441&gt;=MA_MED),AVERAGE(INDEX($C$41:$C441,402-MA_MED):$C441),"")</f>
        <v>107190213.08</v>
      </c>
      <c r="K441" s="52" t="n">
        <f aca="false">IF(AND(ISNUMBER($G441),$G441&gt;=MA_LONG2),AVERAGE(INDEX($C$41:$C441,402-MA_LONG2):$C441),"")</f>
        <v>110179956.125</v>
      </c>
      <c r="L441" s="53" t="n">
        <f aca="false">IF(AND(ISNUMBER($G441),$G441&gt;=21),STDEV(INDEX($H$381:$H441,62-20):$H441)*SQRT(245),"")</f>
        <v>0.182983180821686</v>
      </c>
      <c r="M441" s="52" t="n">
        <f aca="false">IF(AND(ISNUMBER($G441),$G441&gt;=60),MAX(INDEX($D$241:$D441,202-60):$D441),"")</f>
        <v>115713317</v>
      </c>
      <c r="N441" s="52" t="n">
        <f aca="false">IF(AND(ISNUMBER($G441),$G441&gt;=60),MIN(INDEX($E$241:$E441,202-60):$E441),"")</f>
        <v>101418631</v>
      </c>
      <c r="O441" s="53" t="n">
        <f aca="false">IF(OR(NOT(ISNUMBER($C441)),NOT(ISNUMBER($M441)),$M441=0),"",$C441/$M441-1)</f>
        <v>-0.0730621696723118</v>
      </c>
      <c r="P441" s="54"/>
      <c r="Q441" s="53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106603531</v>
      </c>
      <c r="D442" s="49" t="n">
        <v>106630548</v>
      </c>
      <c r="E442" s="49" t="n">
        <v>106353367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-0.00611155882779535</v>
      </c>
      <c r="I442" s="52" t="n">
        <f aca="false">IF(AND(ISNUMBER($G442),$G442&gt;=MA_SHORT),AVERAGE(INDEX($C$42:$C442,402-MA_SHORT):$C442),"")</f>
        <v>105592015</v>
      </c>
      <c r="J442" s="52" t="n">
        <f aca="false">IF(AND(ISNUMBER($G442),$G442&gt;=MA_MED),AVERAGE(INDEX($C$42:$C442,402-MA_MED):$C442),"")</f>
        <v>107175197.22</v>
      </c>
      <c r="K442" s="52" t="n">
        <f aca="false">IF(AND(ISNUMBER($G442),$G442&gt;=MA_LONG2),AVERAGE(INDEX($C$42:$C442,402-MA_LONG2):$C442),"")</f>
        <v>110188565.895</v>
      </c>
      <c r="L442" s="53" t="n">
        <f aca="false">IF(AND(ISNUMBER($G442),$G442&gt;=21),STDEV(INDEX($H$382:$H442,62-20):$H442)*SQRT(245),"")</f>
        <v>0.164097190733033</v>
      </c>
      <c r="M442" s="52" t="n">
        <f aca="false">IF(AND(ISNUMBER($G442),$G442&gt;=60),MAX(INDEX($D$242:$D442,202-60):$D442),"")</f>
        <v>113687852</v>
      </c>
      <c r="N442" s="52" t="n">
        <f aca="false">IF(AND(ISNUMBER($G442),$G442&gt;=60),MIN(INDEX($E$242:$E442,202-60):$E442),"")</f>
        <v>101418631</v>
      </c>
      <c r="O442" s="53" t="n">
        <f aca="false">IF(OR(NOT(ISNUMBER($C442)),NOT(ISNUMBER($M442)),$M442=0),"",$C442/$M442-1)</f>
        <v>-0.0623137905710454</v>
      </c>
      <c r="P442" s="54"/>
      <c r="Q442" s="53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107933874</v>
      </c>
      <c r="D443" s="49" t="n">
        <v>108026583</v>
      </c>
      <c r="E443" s="49" t="n">
        <v>107647986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0.0124793521145186</v>
      </c>
      <c r="I443" s="52" t="n">
        <f aca="false">IF(AND(ISNUMBER($G443),$G443&gt;=MA_SHORT),AVERAGE(INDEX($C$43:$C443,402-MA_SHORT):$C443),"")</f>
        <v>105705069.4</v>
      </c>
      <c r="J443" s="52" t="n">
        <f aca="false">IF(AND(ISNUMBER($G443),$G443&gt;=MA_MED),AVERAGE(INDEX($C$43:$C443,402-MA_MED):$C443),"")</f>
        <v>107167372.28</v>
      </c>
      <c r="K443" s="52" t="n">
        <f aca="false">IF(AND(ISNUMBER($G443),$G443&gt;=MA_LONG2),AVERAGE(INDEX($C$43:$C443,402-MA_LONG2):$C443),"")</f>
        <v>110204273.58</v>
      </c>
      <c r="L443" s="53" t="n">
        <f aca="false">IF(AND(ISNUMBER($G443),$G443&gt;=21),STDEV(INDEX($H$383:$H443,62-20):$H443)*SQRT(245),"")</f>
        <v>0.169294541544981</v>
      </c>
      <c r="M443" s="52" t="n">
        <f aca="false">IF(AND(ISNUMBER($G443),$G443&gt;=60),MAX(INDEX($D$243:$D443,202-60):$D443),"")</f>
        <v>113687852</v>
      </c>
      <c r="N443" s="52" t="n">
        <f aca="false">IF(AND(ISNUMBER($G443),$G443&gt;=60),MIN(INDEX($E$243:$E443,202-60):$E443),"")</f>
        <v>101418631</v>
      </c>
      <c r="O443" s="53" t="n">
        <f aca="false">IF(OR(NOT(ISNUMBER($C443)),NOT(ISNUMBER($M443)),$M443=0),"",$C443/$M443-1)</f>
        <v>-0.0506120741906532</v>
      </c>
      <c r="P443" s="54"/>
      <c r="Q443" s="53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107680935</v>
      </c>
      <c r="D444" s="49" t="n">
        <v>107696692</v>
      </c>
      <c r="E444" s="49" t="n">
        <v>106835119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-0.00234346262786789</v>
      </c>
      <c r="I444" s="52" t="n">
        <f aca="false">IF(AND(ISNUMBER($G444),$G444&gt;=MA_SHORT),AVERAGE(INDEX($C$44:$C444,402-MA_SHORT):$C444),"")</f>
        <v>105790518.55</v>
      </c>
      <c r="J444" s="52" t="n">
        <f aca="false">IF(AND(ISNUMBER($G444),$G444&gt;=MA_MED),AVERAGE(INDEX($C$44:$C444,402-MA_MED):$C444),"")</f>
        <v>107126466.72</v>
      </c>
      <c r="K444" s="52" t="n">
        <f aca="false">IF(AND(ISNUMBER($G444),$G444&gt;=MA_LONG2),AVERAGE(INDEX($C$44:$C444,402-MA_LONG2):$C444),"")</f>
        <v>110214722.92</v>
      </c>
      <c r="L444" s="53" t="n">
        <f aca="false">IF(AND(ISNUMBER($G444),$G444&gt;=21),STDEV(INDEX($H$384:$H444,62-20):$H444)*SQRT(245),"")</f>
        <v>0.16958660535763</v>
      </c>
      <c r="M444" s="52" t="n">
        <f aca="false">IF(AND(ISNUMBER($G444),$G444&gt;=60),MAX(INDEX($D$244:$D444,202-60):$D444),"")</f>
        <v>113687852</v>
      </c>
      <c r="N444" s="52" t="n">
        <f aca="false">IF(AND(ISNUMBER($G444),$G444&gt;=60),MIN(INDEX($E$244:$E444,202-60):$E444),"")</f>
        <v>101418631</v>
      </c>
      <c r="O444" s="53" t="n">
        <f aca="false">IF(OR(NOT(ISNUMBER($C444)),NOT(ISNUMBER($M444)),$M444=0),"",$C444/$M444-1)</f>
        <v>-0.0528369293141364</v>
      </c>
      <c r="P444" s="54"/>
      <c r="Q444" s="53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105839281</v>
      </c>
      <c r="D445" s="49" t="n">
        <v>106111741</v>
      </c>
      <c r="E445" s="49" t="n">
        <v>105485613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-0.0171028789822451</v>
      </c>
      <c r="I445" s="52" t="n">
        <f aca="false">IF(AND(ISNUMBER($G445),$G445&gt;=MA_SHORT),AVERAGE(INDEX($C$45:$C445,402-MA_SHORT):$C445),"")</f>
        <v>105790323.55</v>
      </c>
      <c r="J445" s="52" t="n">
        <f aca="false">IF(AND(ISNUMBER($G445),$G445&gt;=MA_MED),AVERAGE(INDEX($C$45:$C445,402-MA_MED):$C445),"")</f>
        <v>106990979.82</v>
      </c>
      <c r="K445" s="52" t="n">
        <f aca="false">IF(AND(ISNUMBER($G445),$G445&gt;=MA_LONG2),AVERAGE(INDEX($C$45:$C445,402-MA_LONG2):$C445),"")</f>
        <v>110205573.86</v>
      </c>
      <c r="L445" s="53" t="n">
        <f aca="false">IF(AND(ISNUMBER($G445),$G445&gt;=21),STDEV(INDEX($H$385:$H445,62-20):$H445)*SQRT(245),"")</f>
        <v>0.180832603969809</v>
      </c>
      <c r="M445" s="52" t="n">
        <f aca="false">IF(AND(ISNUMBER($G445),$G445&gt;=60),MAX(INDEX($D$245:$D445,202-60):$D445),"")</f>
        <v>113687852</v>
      </c>
      <c r="N445" s="52" t="n">
        <f aca="false">IF(AND(ISNUMBER($G445),$G445&gt;=60),MIN(INDEX($E$245:$E445,202-60):$E445),"")</f>
        <v>101418631</v>
      </c>
      <c r="O445" s="53" t="n">
        <f aca="false">IF(OR(NOT(ISNUMBER($C445)),NOT(ISNUMBER($M445)),$M445=0),"",$C445/$M445-1)</f>
        <v>-0.0690361446885284</v>
      </c>
      <c r="P445" s="54"/>
      <c r="Q445" s="53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104143256</v>
      </c>
      <c r="D446" s="49" t="n">
        <v>104234302</v>
      </c>
      <c r="E446" s="49" t="n">
        <v>103377747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-0.0160245325173741</v>
      </c>
      <c r="I446" s="52" t="n">
        <f aca="false">IF(AND(ISNUMBER($G446),$G446&gt;=MA_SHORT),AVERAGE(INDEX($C$46:$C446,402-MA_SHORT):$C446),"")</f>
        <v>105666451.1</v>
      </c>
      <c r="J446" s="52" t="n">
        <f aca="false">IF(AND(ISNUMBER($G446),$G446&gt;=MA_MED),AVERAGE(INDEX($C$46:$C446,402-MA_MED):$C446),"")</f>
        <v>106806313.44</v>
      </c>
      <c r="K446" s="52" t="n">
        <f aca="false">IF(AND(ISNUMBER($G446),$G446&gt;=MA_LONG2),AVERAGE(INDEX($C$46:$C446,402-MA_LONG2):$C446),"")</f>
        <v>110194542.64</v>
      </c>
      <c r="L446" s="53" t="n">
        <f aca="false">IF(AND(ISNUMBER($G446),$G446&gt;=21),STDEV(INDEX($H$386:$H446,62-20):$H446)*SQRT(245),"")</f>
        <v>0.187085068908011</v>
      </c>
      <c r="M446" s="52" t="n">
        <f aca="false">IF(AND(ISNUMBER($G446),$G446&gt;=60),MAX(INDEX($D$246:$D446,202-60):$D446),"")</f>
        <v>113687852</v>
      </c>
      <c r="N446" s="52" t="n">
        <f aca="false">IF(AND(ISNUMBER($G446),$G446&gt;=60),MIN(INDEX($E$246:$E446,202-60):$E446),"")</f>
        <v>101418631</v>
      </c>
      <c r="O446" s="53" t="n">
        <f aca="false">IF(OR(NOT(ISNUMBER($C446)),NOT(ISNUMBER($M446)),$M446=0),"",$C446/$M446-1)</f>
        <v>-0.0839544052604671</v>
      </c>
      <c r="P446" s="54"/>
      <c r="Q446" s="53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105216766</v>
      </c>
      <c r="D447" s="49" t="n">
        <v>105242724</v>
      </c>
      <c r="E447" s="49" t="n">
        <v>104571917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0.0103080126475017</v>
      </c>
      <c r="I447" s="52" t="n">
        <f aca="false">IF(AND(ISNUMBER($G447),$G447&gt;=MA_SHORT),AVERAGE(INDEX($C$47:$C447,402-MA_SHORT):$C447),"")</f>
        <v>105547919.7</v>
      </c>
      <c r="J447" s="52" t="n">
        <f aca="false">IF(AND(ISNUMBER($G447),$G447&gt;=MA_MED),AVERAGE(INDEX($C$47:$C447,402-MA_MED):$C447),"")</f>
        <v>106682762.58</v>
      </c>
      <c r="K447" s="52" t="n">
        <f aca="false">IF(AND(ISNUMBER($G447),$G447&gt;=MA_LONG2),AVERAGE(INDEX($C$47:$C447,402-MA_LONG2):$C447),"")</f>
        <v>110190511.5</v>
      </c>
      <c r="L447" s="53" t="n">
        <f aca="false">IF(AND(ISNUMBER($G447),$G447&gt;=21),STDEV(INDEX($H$387:$H447,62-20):$H447)*SQRT(245),"")</f>
        <v>0.188003730722826</v>
      </c>
      <c r="M447" s="52" t="n">
        <f aca="false">IF(AND(ISNUMBER($G447),$G447&gt;=60),MAX(INDEX($D$247:$D447,202-60):$D447),"")</f>
        <v>113687852</v>
      </c>
      <c r="N447" s="52" t="n">
        <f aca="false">IF(AND(ISNUMBER($G447),$G447&gt;=60),MIN(INDEX($E$247:$E447,202-60):$E447),"")</f>
        <v>101418631</v>
      </c>
      <c r="O447" s="53" t="n">
        <f aca="false">IF(OR(NOT(ISNUMBER($C447)),NOT(ISNUMBER($M447)),$M447=0),"",$C447/$M447-1)</f>
        <v>-0.0745117956842039</v>
      </c>
      <c r="P447" s="54"/>
      <c r="Q447" s="53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104099687</v>
      </c>
      <c r="D448" s="49" t="n">
        <v>104819129</v>
      </c>
      <c r="E448" s="49" t="n">
        <v>103600327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-0.0106169296250751</v>
      </c>
      <c r="I448" s="52" t="n">
        <f aca="false">IF(AND(ISNUMBER($G448),$G448&gt;=MA_SHORT),AVERAGE(INDEX($C$48:$C448,402-MA_SHORT):$C448),"")</f>
        <v>105352149.15</v>
      </c>
      <c r="J448" s="52" t="n">
        <f aca="false">IF(AND(ISNUMBER($G448),$G448&gt;=MA_MED),AVERAGE(INDEX($C$48:$C448,402-MA_MED):$C448),"")</f>
        <v>106562285.94</v>
      </c>
      <c r="K448" s="52" t="n">
        <f aca="false">IF(AND(ISNUMBER($G448),$G448&gt;=MA_LONG2),AVERAGE(INDEX($C$48:$C448,402-MA_LONG2):$C448),"")</f>
        <v>110180269.31</v>
      </c>
      <c r="L448" s="53" t="n">
        <f aca="false">IF(AND(ISNUMBER($G448),$G448&gt;=21),STDEV(INDEX($H$388:$H448,62-20):$H448)*SQRT(245),"")</f>
        <v>0.189906946641092</v>
      </c>
      <c r="M448" s="52" t="n">
        <f aca="false">IF(AND(ISNUMBER($G448),$G448&gt;=60),MAX(INDEX($D$248:$D448,202-60):$D448),"")</f>
        <v>113687852</v>
      </c>
      <c r="N448" s="52" t="n">
        <f aca="false">IF(AND(ISNUMBER($G448),$G448&gt;=60),MIN(INDEX($E$248:$E448,202-60):$E448),"")</f>
        <v>101418631</v>
      </c>
      <c r="O448" s="53" t="n">
        <f aca="false">IF(OR(NOT(ISNUMBER($C448)),NOT(ISNUMBER($M448)),$M448=0),"",$C448/$M448-1)</f>
        <v>-0.0843376388182617</v>
      </c>
      <c r="P448" s="54"/>
      <c r="Q448" s="53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104190241</v>
      </c>
      <c r="D449" s="49" t="n">
        <v>104606501</v>
      </c>
      <c r="E449" s="49" t="n">
        <v>103890289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0.000869877735559355</v>
      </c>
      <c r="I449" s="52" t="n">
        <f aca="false">IF(AND(ISNUMBER($G449),$G449&gt;=MA_SHORT),AVERAGE(INDEX($C$49:$C449,402-MA_SHORT):$C449),"")</f>
        <v>105214478.6</v>
      </c>
      <c r="J449" s="52" t="n">
        <f aca="false">IF(AND(ISNUMBER($G449),$G449&gt;=MA_MED),AVERAGE(INDEX($C$49:$C449,402-MA_MED):$C449),"")</f>
        <v>106449597.18</v>
      </c>
      <c r="K449" s="52" t="n">
        <f aca="false">IF(AND(ISNUMBER($G449),$G449&gt;=MA_LONG2),AVERAGE(INDEX($C$49:$C449,402-MA_LONG2):$C449),"")</f>
        <v>110177612.925</v>
      </c>
      <c r="L449" s="53" t="n">
        <f aca="false">IF(AND(ISNUMBER($G449),$G449&gt;=21),STDEV(INDEX($H$389:$H449,62-20):$H449)*SQRT(245),"")</f>
        <v>0.187681359310621</v>
      </c>
      <c r="M449" s="52" t="n">
        <f aca="false">IF(AND(ISNUMBER($G449),$G449&gt;=60),MAX(INDEX($D$249:$D449,202-60):$D449),"")</f>
        <v>113687852</v>
      </c>
      <c r="N449" s="52" t="n">
        <f aca="false">IF(AND(ISNUMBER($G449),$G449&gt;=60),MIN(INDEX($E$249:$E449,202-60):$E449),"")</f>
        <v>101418631</v>
      </c>
      <c r="O449" s="53" t="n">
        <f aca="false">IF(OR(NOT(ISNUMBER($C449)),NOT(ISNUMBER($M449)),$M449=0),"",$C449/$M449-1)</f>
        <v>-0.08354112451698</v>
      </c>
      <c r="P449" s="54"/>
      <c r="Q449" s="53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105073566</v>
      </c>
      <c r="D450" s="49" t="n">
        <v>105204441</v>
      </c>
      <c r="E450" s="49" t="n">
        <v>104768304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0.00847800131300214</v>
      </c>
      <c r="I450" s="52" t="n">
        <f aca="false">IF(AND(ISNUMBER($G450),$G450&gt;=MA_SHORT),AVERAGE(INDEX($C$50:$C450,402-MA_SHORT):$C450),"")</f>
        <v>105200030.1</v>
      </c>
      <c r="J450" s="52" t="n">
        <f aca="false">IF(AND(ISNUMBER($G450),$G450&gt;=MA_MED),AVERAGE(INDEX($C$50:$C450,402-MA_MED):$C450),"")</f>
        <v>106399600.78</v>
      </c>
      <c r="K450" s="52" t="n">
        <f aca="false">IF(AND(ISNUMBER($G450),$G450&gt;=MA_LONG2),AVERAGE(INDEX($C$50:$C450,402-MA_LONG2):$C450),"")</f>
        <v>110181026.165</v>
      </c>
      <c r="L450" s="53" t="n">
        <f aca="false">IF(AND(ISNUMBER($G450),$G450&gt;=21),STDEV(INDEX($H$390:$H450,62-20):$H450)*SQRT(245),"")</f>
        <v>0.183642293891583</v>
      </c>
      <c r="M450" s="52" t="n">
        <f aca="false">IF(AND(ISNUMBER($G450),$G450&gt;=60),MAX(INDEX($D$250:$D450,202-60):$D450),"")</f>
        <v>113687852</v>
      </c>
      <c r="N450" s="52" t="n">
        <f aca="false">IF(AND(ISNUMBER($G450),$G450&gt;=60),MIN(INDEX($E$250:$E450,202-60):$E450),"")</f>
        <v>101418631</v>
      </c>
      <c r="O450" s="53" t="n">
        <f aca="false">IF(OR(NOT(ISNUMBER($C450)),NOT(ISNUMBER($M450)),$M450=0),"",$C450/$M450-1)</f>
        <v>-0.0757713849673226</v>
      </c>
      <c r="P450" s="54"/>
      <c r="Q450" s="53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103538837</v>
      </c>
      <c r="D451" s="49" t="n">
        <v>103811339</v>
      </c>
      <c r="E451" s="49" t="n">
        <v>103052076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-0.0146062331224202</v>
      </c>
      <c r="I451" s="52" t="n">
        <f aca="false">IF(AND(ISNUMBER($G451),$G451&gt;=MA_SHORT),AVERAGE(INDEX($C$51:$C451,402-MA_SHORT):$C451),"")</f>
        <v>105242744.9</v>
      </c>
      <c r="J451" s="52" t="n">
        <f aca="false">IF(AND(ISNUMBER($G451),$G451&gt;=MA_MED),AVERAGE(INDEX($C$51:$C451,402-MA_MED):$C451),"")</f>
        <v>106321441.06</v>
      </c>
      <c r="K451" s="52" t="n">
        <f aca="false">IF(AND(ISNUMBER($G451),$G451&gt;=MA_LONG2),AVERAGE(INDEX($C$51:$C451,402-MA_LONG2):$C451),"")</f>
        <v>110185969.075</v>
      </c>
      <c r="L451" s="53" t="n">
        <f aca="false">IF(AND(ISNUMBER($G451),$G451&gt;=21),STDEV(INDEX($H$391:$H451,62-20):$H451)*SQRT(245),"")</f>
        <v>0.167600290035489</v>
      </c>
      <c r="M451" s="52" t="n">
        <f aca="false">IF(AND(ISNUMBER($G451),$G451&gt;=60),MAX(INDEX($D$251:$D451,202-60):$D451),"")</f>
        <v>113687852</v>
      </c>
      <c r="N451" s="52" t="n">
        <f aca="false">IF(AND(ISNUMBER($G451),$G451&gt;=60),MIN(INDEX($E$251:$E451,202-60):$E451),"")</f>
        <v>101418631</v>
      </c>
      <c r="O451" s="53" t="n">
        <f aca="false">IF(OR(NOT(ISNUMBER($C451)),NOT(ISNUMBER($M451)),$M451=0),"",$C451/$M451-1)</f>
        <v>-0.0892708835769014</v>
      </c>
      <c r="P451" s="54"/>
      <c r="Q451" s="53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103513161</v>
      </c>
      <c r="D452" s="49" t="n">
        <v>103879970</v>
      </c>
      <c r="E452" s="49" t="n">
        <v>103043238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-0.000247984241893651</v>
      </c>
      <c r="I452" s="52" t="n">
        <f aca="false">IF(AND(ISNUMBER($G452),$G452&gt;=MA_SHORT),AVERAGE(INDEX($C$52:$C452,402-MA_SHORT):$C452),"")</f>
        <v>105333368.2</v>
      </c>
      <c r="J452" s="52" t="n">
        <f aca="false">IF(AND(ISNUMBER($G452),$G452&gt;=MA_MED),AVERAGE(INDEX($C$52:$C452,402-MA_MED):$C452),"")</f>
        <v>106254994.36</v>
      </c>
      <c r="K452" s="52" t="n">
        <f aca="false">IF(AND(ISNUMBER($G452),$G452&gt;=MA_LONG2),AVERAGE(INDEX($C$52:$C452,402-MA_LONG2):$C452),"")</f>
        <v>110188281.915</v>
      </c>
      <c r="L452" s="53" t="n">
        <f aca="false">IF(AND(ISNUMBER($G452),$G452&gt;=21),STDEV(INDEX($H$392:$H452,62-20):$H452)*SQRT(245),"")</f>
        <v>0.163517313880892</v>
      </c>
      <c r="M452" s="52" t="n">
        <f aca="false">IF(AND(ISNUMBER($G452),$G452&gt;=60),MAX(INDEX($D$252:$D452,202-60):$D452),"")</f>
        <v>113687852</v>
      </c>
      <c r="N452" s="52" t="n">
        <f aca="false">IF(AND(ISNUMBER($G452),$G452&gt;=60),MIN(INDEX($E$252:$E452,202-60):$E452),"")</f>
        <v>101418631</v>
      </c>
      <c r="O452" s="53" t="n">
        <f aca="false">IF(OR(NOT(ISNUMBER($C452)),NOT(ISNUMBER($M452)),$M452=0),"",$C452/$M452-1)</f>
        <v>-0.0894967300464081</v>
      </c>
      <c r="P452" s="54"/>
      <c r="Q452" s="53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103017966</v>
      </c>
      <c r="D453" s="49" t="n">
        <v>104051633</v>
      </c>
      <c r="E453" s="49" t="n">
        <v>102760958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-0.00478388443765132</v>
      </c>
      <c r="I453" s="52" t="n">
        <f aca="false">IF(AND(ISNUMBER($G453),$G453&gt;=MA_SHORT),AVERAGE(INDEX($C$53:$C453,402-MA_SHORT):$C453),"")</f>
        <v>105282603.5</v>
      </c>
      <c r="J453" s="52" t="n">
        <f aca="false">IF(AND(ISNUMBER($G453),$G453&gt;=MA_MED),AVERAGE(INDEX($C$53:$C453,402-MA_MED):$C453),"")</f>
        <v>106170579.62</v>
      </c>
      <c r="K453" s="52" t="n">
        <f aca="false">IF(AND(ISNUMBER($G453),$G453&gt;=MA_LONG2),AVERAGE(INDEX($C$53:$C453,402-MA_LONG2):$C453),"")</f>
        <v>110201128.69</v>
      </c>
      <c r="L453" s="53" t="n">
        <f aca="false">IF(AND(ISNUMBER($G453),$G453&gt;=21),STDEV(INDEX($H$393:$H453,62-20):$H453)*SQRT(245),"")</f>
        <v>0.142909679523329</v>
      </c>
      <c r="M453" s="52" t="n">
        <f aca="false">IF(AND(ISNUMBER($G453),$G453&gt;=60),MAX(INDEX($D$253:$D453,202-60):$D453),"")</f>
        <v>113687852</v>
      </c>
      <c r="N453" s="52" t="n">
        <f aca="false">IF(AND(ISNUMBER($G453),$G453&gt;=60),MIN(INDEX($E$253:$E453,202-60):$E453),"")</f>
        <v>101418631</v>
      </c>
      <c r="O453" s="53" t="n">
        <f aca="false">IF(OR(NOT(ISNUMBER($C453)),NOT(ISNUMBER($M453)),$M453=0),"",$C453/$M453-1)</f>
        <v>-0.0938524724699698</v>
      </c>
      <c r="P453" s="54"/>
      <c r="Q453" s="53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106698363</v>
      </c>
      <c r="D454" s="49" t="n">
        <v>106871276</v>
      </c>
      <c r="E454" s="49" t="n">
        <v>106640211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0.0357257781618403</v>
      </c>
      <c r="I454" s="52" t="n">
        <f aca="false">IF(AND(ISNUMBER($G454),$G454&gt;=MA_SHORT),AVERAGE(INDEX($C$54:$C454,402-MA_SHORT):$C454),"")</f>
        <v>105392300.2</v>
      </c>
      <c r="J454" s="52" t="n">
        <f aca="false">IF(AND(ISNUMBER($G454),$G454&gt;=MA_MED),AVERAGE(INDEX($C$54:$C454,402-MA_MED):$C454),"")</f>
        <v>106171950.52</v>
      </c>
      <c r="K454" s="52" t="n">
        <f aca="false">IF(AND(ISNUMBER($G454),$G454&gt;=MA_LONG2),AVERAGE(INDEX($C$54:$C454,402-MA_LONG2):$C454),"")</f>
        <v>110226607.175</v>
      </c>
      <c r="L454" s="53" t="n">
        <f aca="false">IF(AND(ISNUMBER($G454),$G454&gt;=21),STDEV(INDEX($H$394:$H454,62-20):$H454)*SQRT(245),"")</f>
        <v>0.190661028676763</v>
      </c>
      <c r="M454" s="52" t="n">
        <f aca="false">IF(AND(ISNUMBER($G454),$G454&gt;=60),MAX(INDEX($D$254:$D454,202-60):$D454),"")</f>
        <v>113687852</v>
      </c>
      <c r="N454" s="52" t="n">
        <f aca="false">IF(AND(ISNUMBER($G454),$G454&gt;=60),MIN(INDEX($E$254:$E454,202-60):$E454),"")</f>
        <v>101418631</v>
      </c>
      <c r="O454" s="53" t="n">
        <f aca="false">IF(OR(NOT(ISNUMBER($C454)),NOT(ISNUMBER($M454)),$M454=0),"",$C454/$M454-1)</f>
        <v>-0.0614796469195319</v>
      </c>
      <c r="P454" s="54"/>
      <c r="Q454" s="53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105684204</v>
      </c>
      <c r="D455" s="49" t="n">
        <v>105906452</v>
      </c>
      <c r="E455" s="49" t="n">
        <v>105569974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-0.00950491620944549</v>
      </c>
      <c r="I455" s="52" t="n">
        <f aca="false">IF(AND(ISNUMBER($G455),$G455&gt;=MA_SHORT),AVERAGE(INDEX($C$55:$C455,402-MA_SHORT):$C455),"")</f>
        <v>105463640.35</v>
      </c>
      <c r="J455" s="52" t="n">
        <f aca="false">IF(AND(ISNUMBER($G455),$G455&gt;=MA_MED),AVERAGE(INDEX($C$55:$C455,402-MA_MED):$C455),"")</f>
        <v>106118509.34</v>
      </c>
      <c r="K455" s="52" t="n">
        <f aca="false">IF(AND(ISNUMBER($G455),$G455&gt;=MA_LONG2),AVERAGE(INDEX($C$55:$C455,402-MA_LONG2):$C455),"")</f>
        <v>110258618.545</v>
      </c>
      <c r="L455" s="53" t="n">
        <f aca="false">IF(AND(ISNUMBER($G455),$G455&gt;=21),STDEV(INDEX($H$395:$H455,62-20):$H455)*SQRT(245),"")</f>
        <v>0.193948316218699</v>
      </c>
      <c r="M455" s="52" t="n">
        <f aca="false">IF(AND(ISNUMBER($G455),$G455&gt;=60),MAX(INDEX($D$255:$D455,202-60):$D455),"")</f>
        <v>113687852</v>
      </c>
      <c r="N455" s="52" t="n">
        <f aca="false">IF(AND(ISNUMBER($G455),$G455&gt;=60),MIN(INDEX($E$255:$E455,202-60):$E455),"")</f>
        <v>101418631</v>
      </c>
      <c r="O455" s="53" t="n">
        <f aca="false">IF(OR(NOT(ISNUMBER($C455)),NOT(ISNUMBER($M455)),$M455=0),"",$C455/$M455-1)</f>
        <v>-0.070400204236421</v>
      </c>
      <c r="P455" s="54"/>
      <c r="Q455" s="53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107556346</v>
      </c>
      <c r="D456" s="49" t="n">
        <v>108155785</v>
      </c>
      <c r="E456" s="49" t="n">
        <v>107359434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0.0177144921297794</v>
      </c>
      <c r="I456" s="52" t="n">
        <f aca="false">IF(AND(ISNUMBER($G456),$G456&gt;=MA_SHORT),AVERAGE(INDEX($C$56:$C456,402-MA_SHORT):$C456),"")</f>
        <v>105572460.95</v>
      </c>
      <c r="J456" s="52" t="n">
        <f aca="false">IF(AND(ISNUMBER($G456),$G456&gt;=MA_MED),AVERAGE(INDEX($C$56:$C456,402-MA_MED):$C456),"")</f>
        <v>106106227.38</v>
      </c>
      <c r="K456" s="52" t="n">
        <f aca="false">IF(AND(ISNUMBER($G456),$G456&gt;=MA_LONG2),AVERAGE(INDEX($C$56:$C456,402-MA_LONG2):$C456),"")</f>
        <v>110302636.145</v>
      </c>
      <c r="L456" s="53" t="n">
        <f aca="false">IF(AND(ISNUMBER($G456),$G456&gt;=21),STDEV(INDEX($H$396:$H456,62-20):$H456)*SQRT(245),"")</f>
        <v>0.200004020159786</v>
      </c>
      <c r="M456" s="52" t="n">
        <f aca="false">IF(AND(ISNUMBER($G456),$G456&gt;=60),MAX(INDEX($D$256:$D456,202-60):$D456),"")</f>
        <v>112337836</v>
      </c>
      <c r="N456" s="52" t="n">
        <f aca="false">IF(AND(ISNUMBER($G456),$G456&gt;=60),MIN(INDEX($E$256:$E456,202-60):$E456),"")</f>
        <v>101418631</v>
      </c>
      <c r="O456" s="53" t="n">
        <f aca="false">IF(OR(NOT(ISNUMBER($C456)),NOT(ISNUMBER($M456)),$M456=0),"",$C456/$M456-1)</f>
        <v>-0.0425634868024341</v>
      </c>
      <c r="P456" s="54"/>
      <c r="Q456" s="53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106812204</v>
      </c>
      <c r="D457" s="49" t="n">
        <v>106904817</v>
      </c>
      <c r="E457" s="49" t="n">
        <v>106494052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-0.00691862477366045</v>
      </c>
      <c r="I457" s="52" t="n">
        <f aca="false">IF(AND(ISNUMBER($G457),$G457&gt;=MA_SHORT),AVERAGE(INDEX($C$57:$C457,402-MA_SHORT):$C457),"")</f>
        <v>105633769</v>
      </c>
      <c r="J457" s="52" t="n">
        <f aca="false">IF(AND(ISNUMBER($G457),$G457&gt;=MA_MED),AVERAGE(INDEX($C$57:$C457,402-MA_MED):$C457),"")</f>
        <v>106061867.06</v>
      </c>
      <c r="K457" s="52" t="n">
        <f aca="false">IF(AND(ISNUMBER($G457),$G457&gt;=MA_LONG2),AVERAGE(INDEX($C$57:$C457,402-MA_LONG2):$C457),"")</f>
        <v>110337063.555</v>
      </c>
      <c r="L457" s="53" t="n">
        <f aca="false">IF(AND(ISNUMBER($G457),$G457&gt;=21),STDEV(INDEX($H$397:$H457,62-20):$H457)*SQRT(245),"")</f>
        <v>0.201916839517477</v>
      </c>
      <c r="M457" s="52" t="n">
        <f aca="false">IF(AND(ISNUMBER($G457),$G457&gt;=60),MAX(INDEX($D$257:$D457,202-60):$D457),"")</f>
        <v>112337836</v>
      </c>
      <c r="N457" s="52" t="n">
        <f aca="false">IF(AND(ISNUMBER($G457),$G457&gt;=60),MIN(INDEX($E$257:$E457,202-60):$E457),"")</f>
        <v>101418631</v>
      </c>
      <c r="O457" s="53" t="n">
        <f aca="false">IF(OR(NOT(ISNUMBER($C457)),NOT(ISNUMBER($M457)),$M457=0),"",$C457/$M457-1)</f>
        <v>-0.0491876307818498</v>
      </c>
      <c r="P457" s="54"/>
      <c r="Q457" s="53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105752832</v>
      </c>
      <c r="D458" s="49" t="n">
        <v>106419819</v>
      </c>
      <c r="E458" s="49" t="n">
        <v>105683749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-0.00991808014747075</v>
      </c>
      <c r="I458" s="52" t="n">
        <f aca="false">IF(AND(ISNUMBER($G458),$G458&gt;=MA_SHORT),AVERAGE(INDEX($C$58:$C458,402-MA_SHORT):$C458),"")</f>
        <v>105664777.6</v>
      </c>
      <c r="J458" s="52" t="n">
        <f aca="false">IF(AND(ISNUMBER($G458),$G458&gt;=MA_MED),AVERAGE(INDEX($C$58:$C458,402-MA_MED):$C458),"")</f>
        <v>105983152.56</v>
      </c>
      <c r="K458" s="52" t="n">
        <f aca="false">IF(AND(ISNUMBER($G458),$G458&gt;=MA_LONG2),AVERAGE(INDEX($C$58:$C458,402-MA_LONG2):$C458),"")</f>
        <v>110358412.52</v>
      </c>
      <c r="L458" s="53" t="n">
        <f aca="false">IF(AND(ISNUMBER($G458),$G458&gt;=21),STDEV(INDEX($H$398:$H458,62-20):$H458)*SQRT(245),"")</f>
        <v>0.204635844748794</v>
      </c>
      <c r="M458" s="52" t="n">
        <f aca="false">IF(AND(ISNUMBER($G458),$G458&gt;=60),MAX(INDEX($D$258:$D458,202-60):$D458),"")</f>
        <v>112337836</v>
      </c>
      <c r="N458" s="52" t="n">
        <f aca="false">IF(AND(ISNUMBER($G458),$G458&gt;=60),MIN(INDEX($E$258:$E458,202-60):$E458),"")</f>
        <v>101418631</v>
      </c>
      <c r="O458" s="53" t="n">
        <f aca="false">IF(OR(NOT(ISNUMBER($C458)),NOT(ISNUMBER($M458)),$M458=0),"",$C458/$M458-1)</f>
        <v>-0.0586178640649621</v>
      </c>
      <c r="P458" s="54"/>
      <c r="Q458" s="53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108434214</v>
      </c>
      <c r="D459" s="49" t="n">
        <v>108579120</v>
      </c>
      <c r="E459" s="49" t="n">
        <v>108291165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0.0253551791407345</v>
      </c>
      <c r="I459" s="52" t="n">
        <f aca="false">IF(AND(ISNUMBER($G459),$G459&gt;=MA_SHORT),AVERAGE(INDEX($C$59:$C459,402-MA_SHORT):$C459),"")</f>
        <v>105793742.85</v>
      </c>
      <c r="J459" s="52" t="n">
        <f aca="false">IF(AND(ISNUMBER($G459),$G459&gt;=MA_MED),AVERAGE(INDEX($C$59:$C459,402-MA_MED):$C459),"")</f>
        <v>105929119.44</v>
      </c>
      <c r="K459" s="52" t="n">
        <f aca="false">IF(AND(ISNUMBER($G459),$G459&gt;=MA_LONG2),AVERAGE(INDEX($C$59:$C459,402-MA_LONG2):$C459),"")</f>
        <v>110400227.99</v>
      </c>
      <c r="L459" s="53" t="n">
        <f aca="false">IF(AND(ISNUMBER($G459),$G459&gt;=21),STDEV(INDEX($H$399:$H459,62-20):$H459)*SQRT(245),"")</f>
        <v>0.221716382797062</v>
      </c>
      <c r="M459" s="52" t="n">
        <f aca="false">IF(AND(ISNUMBER($G459),$G459&gt;=60),MAX(INDEX($D$259:$D459,202-60):$D459),"")</f>
        <v>112337836</v>
      </c>
      <c r="N459" s="52" t="n">
        <f aca="false">IF(AND(ISNUMBER($G459),$G459&gt;=60),MIN(INDEX($E$259:$E459,202-60):$E459),"")</f>
        <v>101418631</v>
      </c>
      <c r="O459" s="53" t="n">
        <f aca="false">IF(OR(NOT(ISNUMBER($C459)),NOT(ISNUMBER($M459)),$M459=0),"",$C459/$M459-1)</f>
        <v>-0.0347489513684419</v>
      </c>
      <c r="P459" s="54"/>
      <c r="Q459" s="53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106433311</v>
      </c>
      <c r="D460" s="49" t="n">
        <v>106579659</v>
      </c>
      <c r="E460" s="49" t="n">
        <v>106207860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-0.0184526905871241</v>
      </c>
      <c r="I460" s="52" t="n">
        <f aca="false">IF(AND(ISNUMBER($G460),$G460&gt;=MA_SHORT),AVERAGE(INDEX($C$60:$C460,402-MA_SHORT):$C460),"")</f>
        <v>105774081.3</v>
      </c>
      <c r="J460" s="52" t="n">
        <f aca="false">IF(AND(ISNUMBER($G460),$G460&gt;=MA_MED),AVERAGE(INDEX($C$60:$C460,402-MA_MED):$C460),"")</f>
        <v>105860509.84</v>
      </c>
      <c r="K460" s="52" t="n">
        <f aca="false">IF(AND(ISNUMBER($G460),$G460&gt;=MA_LONG2),AVERAGE(INDEX($C$60:$C460,402-MA_LONG2):$C460),"")</f>
        <v>110428151.655</v>
      </c>
      <c r="L460" s="53" t="n">
        <f aca="false">IF(AND(ISNUMBER($G460),$G460&gt;=21),STDEV(INDEX($H$400:$H460,62-20):$H460)*SQRT(245),"")</f>
        <v>0.229990886281834</v>
      </c>
      <c r="M460" s="52" t="n">
        <f aca="false">IF(AND(ISNUMBER($G460),$G460&gt;=60),MAX(INDEX($D$260:$D460,202-60):$D460),"")</f>
        <v>112337836</v>
      </c>
      <c r="N460" s="52" t="n">
        <f aca="false">IF(AND(ISNUMBER($G460),$G460&gt;=60),MIN(INDEX($E$260:$E460,202-60):$E460),"")</f>
        <v>101418631</v>
      </c>
      <c r="O460" s="53" t="n">
        <f aca="false">IF(OR(NOT(ISNUMBER($C460)),NOT(ISNUMBER($M460)),$M460=0),"",$C460/$M460-1)</f>
        <v>-0.0525604303077371</v>
      </c>
      <c r="P460" s="54"/>
      <c r="Q460" s="53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107651105</v>
      </c>
      <c r="D461" s="49" t="n">
        <v>108298515</v>
      </c>
      <c r="E461" s="49" t="n">
        <v>107320985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0.0114418501929345</v>
      </c>
      <c r="I461" s="52" t="n">
        <f aca="false">IF(AND(ISNUMBER($G461),$G461&gt;=MA_SHORT),AVERAGE(INDEX($C$61:$C461,402-MA_SHORT):$C461),"")</f>
        <v>105793684</v>
      </c>
      <c r="J461" s="52" t="n">
        <f aca="false">IF(AND(ISNUMBER($G461),$G461&gt;=MA_MED),AVERAGE(INDEX($C$61:$C461,402-MA_MED):$C461),"")</f>
        <v>105828001.5</v>
      </c>
      <c r="K461" s="52" t="n">
        <f aca="false">IF(AND(ISNUMBER($G461),$G461&gt;=MA_LONG2),AVERAGE(INDEX($C$61:$C461,402-MA_LONG2):$C461),"")</f>
        <v>110460119.365</v>
      </c>
      <c r="L461" s="53" t="n">
        <f aca="false">IF(AND(ISNUMBER($G461),$G461&gt;=21),STDEV(INDEX($H$401:$H461,62-20):$H461)*SQRT(245),"")</f>
        <v>0.233137461451817</v>
      </c>
      <c r="M461" s="52" t="n">
        <f aca="false">IF(AND(ISNUMBER($G461),$G461&gt;=60),MAX(INDEX($D$261:$D461,202-60):$D461),"")</f>
        <v>112337836</v>
      </c>
      <c r="N461" s="52" t="n">
        <f aca="false">IF(AND(ISNUMBER($G461),$G461&gt;=60),MIN(INDEX($E$261:$E461,202-60):$E461),"")</f>
        <v>101418631</v>
      </c>
      <c r="O461" s="53" t="n">
        <f aca="false">IF(OR(NOT(ISNUMBER($C461)),NOT(ISNUMBER($M461)),$M461=0),"",$C461/$M461-1)</f>
        <v>-0.0417199686844599</v>
      </c>
      <c r="P461" s="54"/>
      <c r="Q461" s="53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107303114</v>
      </c>
      <c r="D462" s="49" t="n">
        <v>108047571</v>
      </c>
      <c r="E462" s="49" t="n">
        <v>106675609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-0.00323258177424191</v>
      </c>
      <c r="I462" s="52" t="n">
        <f aca="false">IF(AND(ISNUMBER($G462),$G462&gt;=MA_SHORT),AVERAGE(INDEX($C$62:$C462,402-MA_SHORT):$C462),"")</f>
        <v>105828663.15</v>
      </c>
      <c r="J462" s="52" t="n">
        <f aca="false">IF(AND(ISNUMBER($G462),$G462&gt;=MA_MED),AVERAGE(INDEX($C$62:$C462,402-MA_MED):$C462),"")</f>
        <v>105769778.64</v>
      </c>
      <c r="K462" s="52" t="n">
        <f aca="false">IF(AND(ISNUMBER($G462),$G462&gt;=MA_LONG2),AVERAGE(INDEX($C$62:$C462,402-MA_LONG2):$C462),"")</f>
        <v>110495924.67</v>
      </c>
      <c r="L462" s="53" t="n">
        <f aca="false">IF(AND(ISNUMBER($G462),$G462&gt;=21),STDEV(INDEX($H$402:$H462,62-20):$H462)*SQRT(245),"")</f>
        <v>0.23233495557382</v>
      </c>
      <c r="M462" s="52" t="n">
        <f aca="false">IF(AND(ISNUMBER($G462),$G462&gt;=60),MAX(INDEX($D$262:$D462,202-60):$D462),"")</f>
        <v>112337836</v>
      </c>
      <c r="N462" s="52" t="n">
        <f aca="false">IF(AND(ISNUMBER($G462),$G462&gt;=60),MIN(INDEX($E$262:$E462,202-60):$E462),"")</f>
        <v>101418631</v>
      </c>
      <c r="O462" s="53" t="n">
        <f aca="false">IF(OR(NOT(ISNUMBER($C462)),NOT(ISNUMBER($M462)),$M462=0),"",$C462/$M462-1)</f>
        <v>-0.0448176872483105</v>
      </c>
      <c r="P462" s="54"/>
      <c r="Q462" s="53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108303136</v>
      </c>
      <c r="D463" s="49" t="n">
        <v>108536544</v>
      </c>
      <c r="E463" s="49" t="n">
        <v>107990975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0.00931959905655666</v>
      </c>
      <c r="I463" s="52" t="n">
        <f aca="false">IF(AND(ISNUMBER($G463),$G463&gt;=MA_SHORT),AVERAGE(INDEX($C$63:$C463,402-MA_SHORT):$C463),"")</f>
        <v>105847126.25</v>
      </c>
      <c r="J463" s="52" t="n">
        <f aca="false">IF(AND(ISNUMBER($G463),$G463&gt;=MA_MED),AVERAGE(INDEX($C$63:$C463,402-MA_MED):$C463),"")</f>
        <v>105711842.54</v>
      </c>
      <c r="K463" s="52" t="n">
        <f aca="false">IF(AND(ISNUMBER($G463),$G463&gt;=MA_LONG2),AVERAGE(INDEX($C$63:$C463,402-MA_LONG2):$C463),"")</f>
        <v>110537104.37</v>
      </c>
      <c r="L463" s="53" t="n">
        <f aca="false">IF(AND(ISNUMBER($G463),$G463&gt;=21),STDEV(INDEX($H$403:$H463,62-20):$H463)*SQRT(245),"")</f>
        <v>0.230477839428346</v>
      </c>
      <c r="M463" s="52" t="n">
        <f aca="false">IF(AND(ISNUMBER($G463),$G463&gt;=60),MAX(INDEX($D$263:$D463,202-60):$D463),"")</f>
        <v>112337836</v>
      </c>
      <c r="N463" s="52" t="n">
        <f aca="false">IF(AND(ISNUMBER($G463),$G463&gt;=60),MIN(INDEX($E$263:$E463,202-60):$E463),"")</f>
        <v>101418631</v>
      </c>
      <c r="O463" s="53" t="n">
        <f aca="false">IF(OR(NOT(ISNUMBER($C463)),NOT(ISNUMBER($M463)),$M463=0),"",$C463/$M463-1)</f>
        <v>-0.0359157710675502</v>
      </c>
      <c r="P463" s="54"/>
      <c r="Q463" s="53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107946234</v>
      </c>
      <c r="D464" s="49" t="n">
        <v>107974857</v>
      </c>
      <c r="E464" s="49" t="n">
        <v>107658602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-0.00329539857460826</v>
      </c>
      <c r="I464" s="52" t="n">
        <f aca="false">IF(AND(ISNUMBER($G464),$G464&gt;=MA_SHORT),AVERAGE(INDEX($C$64:$C464,402-MA_SHORT):$C464),"")</f>
        <v>105860391.2</v>
      </c>
      <c r="J464" s="52" t="n">
        <f aca="false">IF(AND(ISNUMBER($G464),$G464&gt;=MA_MED),AVERAGE(INDEX($C$64:$C464,402-MA_MED):$C464),"")</f>
        <v>105667397.5</v>
      </c>
      <c r="K464" s="52" t="n">
        <f aca="false">IF(AND(ISNUMBER($G464),$G464&gt;=MA_LONG2),AVERAGE(INDEX($C$64:$C464,402-MA_LONG2):$C464),"")</f>
        <v>110591134.58</v>
      </c>
      <c r="L464" s="53" t="n">
        <f aca="false">IF(AND(ISNUMBER($G464),$G464&gt;=21),STDEV(INDEX($H$404:$H464,62-20):$H464)*SQRT(245),"")</f>
        <v>0.230641213042306</v>
      </c>
      <c r="M464" s="52" t="n">
        <f aca="false">IF(AND(ISNUMBER($G464),$G464&gt;=60),MAX(INDEX($D$264:$D464,202-60):$D464),"")</f>
        <v>112337836</v>
      </c>
      <c r="N464" s="52" t="n">
        <f aca="false">IF(AND(ISNUMBER($G464),$G464&gt;=60),MIN(INDEX($E$264:$E464,202-60):$E464),"")</f>
        <v>101418631</v>
      </c>
      <c r="O464" s="53" t="n">
        <f aca="false">IF(OR(NOT(ISNUMBER($C464)),NOT(ISNUMBER($M464)),$M464=0),"",$C464/$M464-1)</f>
        <v>-0.0390928128613765</v>
      </c>
      <c r="P464" s="54"/>
      <c r="Q464" s="53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108645216</v>
      </c>
      <c r="D465" s="49" t="n">
        <v>108874466</v>
      </c>
      <c r="E465" s="49" t="n">
        <v>108203293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0.00647527916536661</v>
      </c>
      <c r="I465" s="52" t="n">
        <f aca="false">IF(AND(ISNUMBER($G465),$G465&gt;=MA_SHORT),AVERAGE(INDEX($C$65:$C465,402-MA_SHORT):$C465),"")</f>
        <v>106000687.95</v>
      </c>
      <c r="J465" s="52" t="n">
        <f aca="false">IF(AND(ISNUMBER($G465),$G465&gt;=MA_MED),AVERAGE(INDEX($C$65:$C465,402-MA_MED):$C465),"")</f>
        <v>105675421.5</v>
      </c>
      <c r="K465" s="52" t="n">
        <f aca="false">IF(AND(ISNUMBER($G465),$G465&gt;=MA_LONG2),AVERAGE(INDEX($C$65:$C465,402-MA_LONG2):$C465),"")</f>
        <v>110640321.75</v>
      </c>
      <c r="L465" s="53" t="n">
        <f aca="false">IF(AND(ISNUMBER($G465),$G465&gt;=21),STDEV(INDEX($H$405:$H465,62-20):$H465)*SQRT(245),"")</f>
        <v>0.222415663570476</v>
      </c>
      <c r="M465" s="52" t="n">
        <f aca="false">IF(AND(ISNUMBER($G465),$G465&gt;=60),MAX(INDEX($D$265:$D465,202-60):$D465),"")</f>
        <v>112337836</v>
      </c>
      <c r="N465" s="52" t="n">
        <f aca="false">IF(AND(ISNUMBER($G465),$G465&gt;=60),MIN(INDEX($E$265:$E465,202-60):$E465),"")</f>
        <v>101418631</v>
      </c>
      <c r="O465" s="53" t="n">
        <f aca="false">IF(OR(NOT(ISNUMBER($C465)),NOT(ISNUMBER($M465)),$M465=0),"",$C465/$M465-1)</f>
        <v>-0.0328706705726466</v>
      </c>
      <c r="P465" s="54"/>
      <c r="Q465" s="53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109007641</v>
      </c>
      <c r="D466" s="49" t="n">
        <v>110081599</v>
      </c>
      <c r="E466" s="49" t="n">
        <v>108835809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0.00333585788075563</v>
      </c>
      <c r="I466" s="52" t="n">
        <f aca="false">IF(AND(ISNUMBER($G466),$G466&gt;=MA_SHORT),AVERAGE(INDEX($C$66:$C466,402-MA_SHORT):$C466),"")</f>
        <v>106243907.2</v>
      </c>
      <c r="J466" s="52" t="n">
        <f aca="false">IF(AND(ISNUMBER($G466),$G466&gt;=MA_MED),AVERAGE(INDEX($C$66:$C466,402-MA_MED):$C466),"")</f>
        <v>105685416.74</v>
      </c>
      <c r="K466" s="52" t="n">
        <f aca="false">IF(AND(ISNUMBER($G466),$G466&gt;=MA_LONG2),AVERAGE(INDEX($C$66:$C466,402-MA_LONG2):$C466),"")</f>
        <v>110688260.295</v>
      </c>
      <c r="L466" s="53" t="n">
        <f aca="false">IF(AND(ISNUMBER($G466),$G466&gt;=21),STDEV(INDEX($H$406:$H466,62-20):$H466)*SQRT(245),"")</f>
        <v>0.212974666301143</v>
      </c>
      <c r="M466" s="52" t="n">
        <f aca="false">IF(AND(ISNUMBER($G466),$G466&gt;=60),MAX(INDEX($D$266:$D466,202-60):$D466),"")</f>
        <v>112337836</v>
      </c>
      <c r="N466" s="52" t="n">
        <f aca="false">IF(AND(ISNUMBER($G466),$G466&gt;=60),MIN(INDEX($E$266:$E466,202-60):$E466),"")</f>
        <v>101418631</v>
      </c>
      <c r="O466" s="53" t="n">
        <f aca="false">IF(OR(NOT(ISNUMBER($C466)),NOT(ISNUMBER($M466)),$M466=0),"",$C466/$M466-1)</f>
        <v>-0.0296444645773665</v>
      </c>
      <c r="P466" s="54"/>
      <c r="Q466" s="53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106015877</v>
      </c>
      <c r="D467" s="49" t="n">
        <v>106130288</v>
      </c>
      <c r="E467" s="49" t="n">
        <v>105660948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-0.0274454521954107</v>
      </c>
      <c r="I467" s="52" t="n">
        <f aca="false">IF(AND(ISNUMBER($G467),$G467&gt;=MA_SHORT),AVERAGE(INDEX($C$67:$C467,402-MA_SHORT):$C467),"")</f>
        <v>106283862.75</v>
      </c>
      <c r="J467" s="52" t="n">
        <f aca="false">IF(AND(ISNUMBER($G467),$G467&gt;=MA_MED),AVERAGE(INDEX($C$67:$C467,402-MA_MED):$C467),"")</f>
        <v>105704811.86</v>
      </c>
      <c r="K467" s="52" t="n">
        <f aca="false">IF(AND(ISNUMBER($G467),$G467&gt;=MA_LONG2),AVERAGE(INDEX($C$67:$C467,402-MA_LONG2):$C467),"")</f>
        <v>110713114.765</v>
      </c>
      <c r="L467" s="53" t="n">
        <f aca="false">IF(AND(ISNUMBER($G467),$G467&gt;=21),STDEV(INDEX($H$407:$H467,62-20):$H467)*SQRT(245),"")</f>
        <v>0.234716669980206</v>
      </c>
      <c r="M467" s="52" t="n">
        <f aca="false">IF(AND(ISNUMBER($G467),$G467&gt;=60),MAX(INDEX($D$267:$D467,202-60):$D467),"")</f>
        <v>112337836</v>
      </c>
      <c r="N467" s="52" t="n">
        <f aca="false">IF(AND(ISNUMBER($G467),$G467&gt;=60),MIN(INDEX($E$267:$E467,202-60):$E467),"")</f>
        <v>101418631</v>
      </c>
      <c r="O467" s="53" t="n">
        <f aca="false">IF(OR(NOT(ISNUMBER($C467)),NOT(ISNUMBER($M467)),$M467=0),"",$C467/$M467-1)</f>
        <v>-0.0562763110373605</v>
      </c>
      <c r="P467" s="54"/>
      <c r="Q467" s="53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106754595</v>
      </c>
      <c r="D468" s="49" t="n">
        <v>107092577</v>
      </c>
      <c r="E468" s="49" t="n">
        <v>106586879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0.00696799404866488</v>
      </c>
      <c r="I468" s="52" t="n">
        <f aca="false">IF(AND(ISNUMBER($G468),$G468&gt;=MA_SHORT),AVERAGE(INDEX($C$68:$C468,402-MA_SHORT):$C468),"")</f>
        <v>106416608.15</v>
      </c>
      <c r="J468" s="52" t="n">
        <f aca="false">IF(AND(ISNUMBER($G468),$G468&gt;=MA_MED),AVERAGE(INDEX($C$68:$C468,402-MA_MED):$C468),"")</f>
        <v>105779398.08</v>
      </c>
      <c r="K468" s="52" t="n">
        <f aca="false">IF(AND(ISNUMBER($G468),$G468&gt;=MA_LONG2),AVERAGE(INDEX($C$68:$C468,402-MA_LONG2):$C468),"")</f>
        <v>110743176.225</v>
      </c>
      <c r="L468" s="53" t="n">
        <f aca="false">IF(AND(ISNUMBER($G468),$G468&gt;=21),STDEV(INDEX($H$408:$H468,62-20):$H468)*SQRT(245),"")</f>
        <v>0.2320459905573</v>
      </c>
      <c r="M468" s="52" t="n">
        <f aca="false">IF(AND(ISNUMBER($G468),$G468&gt;=60),MAX(INDEX($D$268:$D468,202-60):$D468),"")</f>
        <v>112337836</v>
      </c>
      <c r="N468" s="52" t="n">
        <f aca="false">IF(AND(ISNUMBER($G468),$G468&gt;=60),MIN(INDEX($E$268:$E468,202-60):$E468),"")</f>
        <v>101418631</v>
      </c>
      <c r="O468" s="53" t="n">
        <f aca="false">IF(OR(NOT(ISNUMBER($C468)),NOT(ISNUMBER($M468)),$M468=0),"",$C468/$M468-1)</f>
        <v>-0.0497004499890847</v>
      </c>
      <c r="P468" s="54"/>
      <c r="Q468" s="53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107422792</v>
      </c>
      <c r="D469" s="49" t="n">
        <v>107441534</v>
      </c>
      <c r="E469" s="49" t="n">
        <v>107134664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0.00625918725090946</v>
      </c>
      <c r="I469" s="52" t="n">
        <f aca="false">IF(AND(ISNUMBER($G469),$G469&gt;=MA_SHORT),AVERAGE(INDEX($C$69:$C469,402-MA_SHORT):$C469),"")</f>
        <v>106578235.7</v>
      </c>
      <c r="J469" s="52" t="n">
        <f aca="false">IF(AND(ISNUMBER($G469),$G469&gt;=MA_MED),AVERAGE(INDEX($C$69:$C469,402-MA_MED):$C469),"")</f>
        <v>105875104.42</v>
      </c>
      <c r="K469" s="52" t="n">
        <f aca="false">IF(AND(ISNUMBER($G469),$G469&gt;=MA_LONG2),AVERAGE(INDEX($C$69:$C469,402-MA_LONG2):$C469),"")</f>
        <v>110773402.105</v>
      </c>
      <c r="L469" s="53" t="n">
        <f aca="false">IF(AND(ISNUMBER($G469),$G469&gt;=21),STDEV(INDEX($H$409:$H469,62-20):$H469)*SQRT(245),"")</f>
        <v>0.232663867948492</v>
      </c>
      <c r="M469" s="52" t="n">
        <f aca="false">IF(AND(ISNUMBER($G469),$G469&gt;=60),MAX(INDEX($D$269:$D469,202-60):$D469),"")</f>
        <v>111837339</v>
      </c>
      <c r="N469" s="52" t="n">
        <f aca="false">IF(AND(ISNUMBER($G469),$G469&gt;=60),MIN(INDEX($E$269:$E469,202-60):$E469),"")</f>
        <v>101418631</v>
      </c>
      <c r="O469" s="53" t="n">
        <f aca="false">IF(OR(NOT(ISNUMBER($C469)),NOT(ISNUMBER($M469)),$M469=0),"",$C469/$M469-1)</f>
        <v>-0.0394729259429179</v>
      </c>
      <c r="P469" s="54"/>
      <c r="Q469" s="53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105670694</v>
      </c>
      <c r="D470" s="49" t="n">
        <v>106188081</v>
      </c>
      <c r="E470" s="49" t="n">
        <v>105062617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-0.0163103003317955</v>
      </c>
      <c r="I470" s="52" t="n">
        <f aca="false">IF(AND(ISNUMBER($G470),$G470&gt;=MA_SHORT),AVERAGE(INDEX($C$70:$C470,402-MA_SHORT):$C470),"")</f>
        <v>106608092.1</v>
      </c>
      <c r="J470" s="52" t="n">
        <f aca="false">IF(AND(ISNUMBER($G470),$G470&gt;=MA_MED),AVERAGE(INDEX($C$70:$C470,402-MA_MED):$C470),"")</f>
        <v>105942297.42</v>
      </c>
      <c r="K470" s="52" t="n">
        <f aca="false">IF(AND(ISNUMBER($G470),$G470&gt;=MA_LONG2),AVERAGE(INDEX($C$70:$C470,402-MA_LONG2):$C470),"")</f>
        <v>110792162.235</v>
      </c>
      <c r="L470" s="53" t="n">
        <f aca="false">IF(AND(ISNUMBER($G470),$G470&gt;=21),STDEV(INDEX($H$410:$H470,62-20):$H470)*SQRT(245),"")</f>
        <v>0.239340742906889</v>
      </c>
      <c r="M470" s="52" t="n">
        <f aca="false">IF(AND(ISNUMBER($G470),$G470&gt;=60),MAX(INDEX($D$270:$D470,202-60):$D470),"")</f>
        <v>111837339</v>
      </c>
      <c r="N470" s="52" t="n">
        <f aca="false">IF(AND(ISNUMBER($G470),$G470&gt;=60),MIN(INDEX($E$270:$E470,202-60):$E470),"")</f>
        <v>101418631</v>
      </c>
      <c r="O470" s="53" t="n">
        <f aca="false">IF(OR(NOT(ISNUMBER($C470)),NOT(ISNUMBER($M470)),$M470=0),"",$C470/$M470-1)</f>
        <v>-0.0551394109976097</v>
      </c>
      <c r="P470" s="54"/>
      <c r="Q470" s="53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107377614</v>
      </c>
      <c r="D471" s="49" t="n">
        <v>108033741</v>
      </c>
      <c r="E471" s="49" t="n">
        <v>107371341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0.016153201378615</v>
      </c>
      <c r="I471" s="52" t="n">
        <f aca="false">IF(AND(ISNUMBER($G471),$G471&gt;=MA_SHORT),AVERAGE(INDEX($C$71:$C471,402-MA_SHORT):$C471),"")</f>
        <v>106800030.95</v>
      </c>
      <c r="J471" s="52" t="n">
        <f aca="false">IF(AND(ISNUMBER($G471),$G471&gt;=MA_MED),AVERAGE(INDEX($C$71:$C471,402-MA_MED):$C471),"")</f>
        <v>106026231.66</v>
      </c>
      <c r="K471" s="52" t="n">
        <f aca="false">IF(AND(ISNUMBER($G471),$G471&gt;=MA_LONG2),AVERAGE(INDEX($C$71:$C471,402-MA_LONG2):$C471),"")</f>
        <v>110813187.275</v>
      </c>
      <c r="L471" s="53" t="n">
        <f aca="false">IF(AND(ISNUMBER($G471),$G471&gt;=21),STDEV(INDEX($H$411:$H471,62-20):$H471)*SQRT(245),"")</f>
        <v>0.238694466173321</v>
      </c>
      <c r="M471" s="52" t="n">
        <f aca="false">IF(AND(ISNUMBER($G471),$G471&gt;=60),MAX(INDEX($D$271:$D471,202-60):$D471),"")</f>
        <v>111837339</v>
      </c>
      <c r="N471" s="52" t="n">
        <f aca="false">IF(AND(ISNUMBER($G471),$G471&gt;=60),MIN(INDEX($E$271:$E471,202-60):$E471),"")</f>
        <v>101418631</v>
      </c>
      <c r="O471" s="53" t="n">
        <f aca="false">IF(OR(NOT(ISNUMBER($C471)),NOT(ISNUMBER($M471)),$M471=0),"",$C471/$M471-1)</f>
        <v>-0.0398768876287373</v>
      </c>
      <c r="P471" s="54"/>
      <c r="Q471" s="53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106304210</v>
      </c>
      <c r="D472" s="49" t="n">
        <v>106908703</v>
      </c>
      <c r="E472" s="49" t="n">
        <v>106132957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-0.00999653428693248</v>
      </c>
      <c r="I472" s="52" t="n">
        <f aca="false">IF(AND(ISNUMBER($G472),$G472&gt;=MA_SHORT),AVERAGE(INDEX($C$72:$C472,402-MA_SHORT):$C472),"")</f>
        <v>106939583.4</v>
      </c>
      <c r="J472" s="52" t="n">
        <f aca="false">IF(AND(ISNUMBER($G472),$G472&gt;=MA_MED),AVERAGE(INDEX($C$72:$C472,402-MA_MED):$C472),"")</f>
        <v>106037231.44</v>
      </c>
      <c r="K472" s="52" t="n">
        <f aca="false">IF(AND(ISNUMBER($G472),$G472&gt;=MA_LONG2),AVERAGE(INDEX($C$72:$C472,402-MA_LONG2):$C472),"")</f>
        <v>110821340.775</v>
      </c>
      <c r="L472" s="53" t="n">
        <f aca="false">IF(AND(ISNUMBER($G472),$G472&gt;=21),STDEV(INDEX($H$412:$H472,62-20):$H472)*SQRT(245),"")</f>
        <v>0.242254553036103</v>
      </c>
      <c r="M472" s="52" t="n">
        <f aca="false">IF(AND(ISNUMBER($G472),$G472&gt;=60),MAX(INDEX($D$272:$D472,202-60):$D472),"")</f>
        <v>111837339</v>
      </c>
      <c r="N472" s="52" t="n">
        <f aca="false">IF(AND(ISNUMBER($G472),$G472&gt;=60),MIN(INDEX($E$272:$E472,202-60):$E472),"")</f>
        <v>101418631</v>
      </c>
      <c r="O472" s="53" t="n">
        <f aca="false">IF(OR(NOT(ISNUMBER($C472)),NOT(ISNUMBER($M472)),$M472=0),"",$C472/$M472-1)</f>
        <v>-0.049474791241233</v>
      </c>
      <c r="P472" s="54"/>
      <c r="Q472" s="53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105821872</v>
      </c>
      <c r="D473" s="49" t="n">
        <v>105874664</v>
      </c>
      <c r="E473" s="49" t="n">
        <v>105585355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-0.00453733676210943</v>
      </c>
      <c r="I473" s="52" t="n">
        <f aca="false">IF(AND(ISNUMBER($G473),$G473&gt;=MA_SHORT),AVERAGE(INDEX($C$73:$C473,402-MA_SHORT):$C473),"")</f>
        <v>107079778.7</v>
      </c>
      <c r="J473" s="52" t="n">
        <f aca="false">IF(AND(ISNUMBER($G473),$G473&gt;=MA_MED),AVERAGE(INDEX($C$73:$C473,402-MA_MED):$C473),"")</f>
        <v>106040213.16</v>
      </c>
      <c r="K473" s="52" t="n">
        <f aca="false">IF(AND(ISNUMBER($G473),$G473&gt;=MA_LONG2),AVERAGE(INDEX($C$73:$C473,402-MA_LONG2):$C473),"")</f>
        <v>110829491.78</v>
      </c>
      <c r="L473" s="53" t="n">
        <f aca="false">IF(AND(ISNUMBER($G473),$G473&gt;=21),STDEV(INDEX($H$413:$H473,62-20):$H473)*SQRT(245),"")</f>
        <v>0.242174339997156</v>
      </c>
      <c r="M473" s="52" t="n">
        <f aca="false">IF(AND(ISNUMBER($G473),$G473&gt;=60),MAX(INDEX($D$273:$D473,202-60):$D473),"")</f>
        <v>110342543</v>
      </c>
      <c r="N473" s="52" t="n">
        <f aca="false">IF(AND(ISNUMBER($G473),$G473&gt;=60),MIN(INDEX($E$273:$E473,202-60):$E473),"")</f>
        <v>101418631</v>
      </c>
      <c r="O473" s="53" t="n">
        <f aca="false">IF(OR(NOT(ISNUMBER($C473)),NOT(ISNUMBER($M473)),$M473=0),"",$C473/$M473-1)</f>
        <v>-0.0409694291711221</v>
      </c>
      <c r="P473" s="54"/>
      <c r="Q473" s="53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107077894</v>
      </c>
      <c r="D474" s="49" t="n">
        <v>107127570</v>
      </c>
      <c r="E474" s="49" t="n">
        <v>106920610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0.0118692097981408</v>
      </c>
      <c r="I474" s="52" t="n">
        <f aca="false">IF(AND(ISNUMBER($G474),$G474&gt;=MA_SHORT),AVERAGE(INDEX($C$74:$C474,402-MA_SHORT):$C474),"")</f>
        <v>107098755.25</v>
      </c>
      <c r="J474" s="52" t="n">
        <f aca="false">IF(AND(ISNUMBER($G474),$G474&gt;=MA_MED),AVERAGE(INDEX($C$74:$C474,402-MA_MED):$C474),"")</f>
        <v>106062332</v>
      </c>
      <c r="K474" s="52" t="n">
        <f aca="false">IF(AND(ISNUMBER($G474),$G474&gt;=MA_LONG2),AVERAGE(INDEX($C$74:$C474,402-MA_LONG2):$C474),"")</f>
        <v>110845537.035</v>
      </c>
      <c r="L474" s="53" t="n">
        <f aca="false">IF(AND(ISNUMBER($G474),$G474&gt;=21),STDEV(INDEX($H$414:$H474,62-20):$H474)*SQRT(245),"")</f>
        <v>0.211036510195297</v>
      </c>
      <c r="M474" s="52" t="n">
        <f aca="false">IF(AND(ISNUMBER($G474),$G474&gt;=60),MAX(INDEX($D$274:$D474,202-60):$D474),"")</f>
        <v>110081599</v>
      </c>
      <c r="N474" s="52" t="n">
        <f aca="false">IF(AND(ISNUMBER($G474),$G474&gt;=60),MIN(INDEX($E$274:$E474,202-60):$E474),"")</f>
        <v>101418631</v>
      </c>
      <c r="O474" s="53" t="n">
        <f aca="false">IF(OR(NOT(ISNUMBER($C474)),NOT(ISNUMBER($M474)),$M474=0),"",$C474/$M474-1)</f>
        <v>-0.0272861679634577</v>
      </c>
      <c r="P474" s="54"/>
      <c r="Q474" s="53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106271056</v>
      </c>
      <c r="D475" s="49" t="n">
        <v>106421941</v>
      </c>
      <c r="E475" s="49" t="n">
        <v>105992127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-0.00753505667565702</v>
      </c>
      <c r="I475" s="52" t="n">
        <f aca="false">IF(AND(ISNUMBER($G475),$G475&gt;=MA_SHORT),AVERAGE(INDEX($C$75:$C475,402-MA_SHORT):$C475),"")</f>
        <v>107128097.85</v>
      </c>
      <c r="J475" s="52" t="n">
        <f aca="false">IF(AND(ISNUMBER($G475),$G475&gt;=MA_MED),AVERAGE(INDEX($C$75:$C475,402-MA_MED):$C475),"")</f>
        <v>106070889.5</v>
      </c>
      <c r="K475" s="52" t="n">
        <f aca="false">IF(AND(ISNUMBER($G475),$G475&gt;=MA_LONG2),AVERAGE(INDEX($C$75:$C475,402-MA_LONG2):$C475),"")</f>
        <v>110848791.4</v>
      </c>
      <c r="L475" s="53" t="n">
        <f aca="false">IF(AND(ISNUMBER($G475),$G475&gt;=21),STDEV(INDEX($H$415:$H475,62-20):$H475)*SQRT(245),"")</f>
        <v>0.209970631463725</v>
      </c>
      <c r="M475" s="52" t="n">
        <f aca="false">IF(AND(ISNUMBER($G475),$G475&gt;=60),MAX(INDEX($D$275:$D475,202-60):$D475),"")</f>
        <v>110081599</v>
      </c>
      <c r="N475" s="52" t="n">
        <f aca="false">IF(AND(ISNUMBER($G475),$G475&gt;=60),MIN(INDEX($E$275:$E475,202-60):$E475),"")</f>
        <v>101418631</v>
      </c>
      <c r="O475" s="53" t="n">
        <f aca="false">IF(OR(NOT(ISNUMBER($C475)),NOT(ISNUMBER($M475)),$M475=0),"",$C475/$M475-1)</f>
        <v>-0.0346156218170487</v>
      </c>
      <c r="P475" s="54"/>
      <c r="Q475" s="53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105491783</v>
      </c>
      <c r="D476" s="49" t="n">
        <v>105856422</v>
      </c>
      <c r="E476" s="49" t="n">
        <v>104802997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-0.00733288093043882</v>
      </c>
      <c r="I476" s="52" t="n">
        <f aca="false">IF(AND(ISNUMBER($G476),$G476&gt;=MA_SHORT),AVERAGE(INDEX($C$76:$C476,402-MA_SHORT):$C476),"")</f>
        <v>107024869.7</v>
      </c>
      <c r="J476" s="52" t="n">
        <f aca="false">IF(AND(ISNUMBER($G476),$G476&gt;=MA_MED),AVERAGE(INDEX($C$76:$C476,402-MA_MED):$C476),"")</f>
        <v>106048311.06</v>
      </c>
      <c r="K476" s="52" t="n">
        <f aca="false">IF(AND(ISNUMBER($G476),$G476&gt;=MA_LONG2),AVERAGE(INDEX($C$76:$C476,402-MA_LONG2):$C476),"")</f>
        <v>110845567.08</v>
      </c>
      <c r="L476" s="53" t="n">
        <f aca="false">IF(AND(ISNUMBER($G476),$G476&gt;=21),STDEV(INDEX($H$416:$H476,62-20):$H476)*SQRT(245),"")</f>
        <v>0.201405771808344</v>
      </c>
      <c r="M476" s="52" t="n">
        <f aca="false">IF(AND(ISNUMBER($G476),$G476&gt;=60),MAX(INDEX($D$276:$D476,202-60):$D476),"")</f>
        <v>110081599</v>
      </c>
      <c r="N476" s="52" t="n">
        <f aca="false">IF(AND(ISNUMBER($G476),$G476&gt;=60),MIN(INDEX($E$276:$E476,202-60):$E476),"")</f>
        <v>101418631</v>
      </c>
      <c r="O476" s="53" t="n">
        <f aca="false">IF(OR(NOT(ISNUMBER($C476)),NOT(ISNUMBER($M476)),$M476=0),"",$C476/$M476-1)</f>
        <v>-0.04169467051437</v>
      </c>
      <c r="P476" s="54"/>
      <c r="Q476" s="53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104392866</v>
      </c>
      <c r="D477" s="49" t="n">
        <v>104482681</v>
      </c>
      <c r="E477" s="49" t="n">
        <v>104235640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-0.0104170862293607</v>
      </c>
      <c r="I477" s="52" t="n">
        <f aca="false">IF(AND(ISNUMBER($G477),$G477&gt;=MA_SHORT),AVERAGE(INDEX($C$77:$C477,402-MA_SHORT):$C477),"")</f>
        <v>106903902.8</v>
      </c>
      <c r="J477" s="52" t="n">
        <f aca="false">IF(AND(ISNUMBER($G477),$G477&gt;=MA_MED),AVERAGE(INDEX($C$77:$C477,402-MA_MED):$C477),"")</f>
        <v>105984420.5</v>
      </c>
      <c r="K477" s="52" t="n">
        <f aca="false">IF(AND(ISNUMBER($G477),$G477&gt;=MA_LONG2),AVERAGE(INDEX($C$77:$C477,402-MA_LONG2):$C477),"")</f>
        <v>110833356.555</v>
      </c>
      <c r="L477" s="53" t="n">
        <f aca="false">IF(AND(ISNUMBER($G477),$G477&gt;=21),STDEV(INDEX($H$417:$H477,62-20):$H477)*SQRT(245),"")</f>
        <v>0.203121022895427</v>
      </c>
      <c r="M477" s="52" t="n">
        <f aca="false">IF(AND(ISNUMBER($G477),$G477&gt;=60),MAX(INDEX($D$277:$D477,202-60):$D477),"")</f>
        <v>110081599</v>
      </c>
      <c r="N477" s="52" t="n">
        <f aca="false">IF(AND(ISNUMBER($G477),$G477&gt;=60),MIN(INDEX($E$277:$E477,202-60):$E477),"")</f>
        <v>101418631</v>
      </c>
      <c r="O477" s="53" t="n">
        <f aca="false">IF(OR(NOT(ISNUMBER($C477)),NOT(ISNUMBER($M477)),$M477=0),"",$C477/$M477-1)</f>
        <v>-0.0516774197656776</v>
      </c>
      <c r="P477" s="54"/>
      <c r="Q477" s="53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103499226</v>
      </c>
      <c r="D478" s="49" t="n">
        <v>103509530</v>
      </c>
      <c r="E478" s="49" t="n">
        <v>102477955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-0.00856035507253916</v>
      </c>
      <c r="I478" s="52" t="n">
        <f aca="false">IF(AND(ISNUMBER($G478),$G478&gt;=MA_SHORT),AVERAGE(INDEX($C$78:$C478,402-MA_SHORT):$C478),"")</f>
        <v>106791222.5</v>
      </c>
      <c r="J478" s="52" t="n">
        <f aca="false">IF(AND(ISNUMBER($G478),$G478&gt;=MA_MED),AVERAGE(INDEX($C$78:$C478,402-MA_MED):$C478),"")</f>
        <v>105894103.06</v>
      </c>
      <c r="K478" s="52" t="n">
        <f aca="false">IF(AND(ISNUMBER($G478),$G478&gt;=MA_LONG2),AVERAGE(INDEX($C$78:$C478,402-MA_LONG2):$C478),"")</f>
        <v>110821877.43</v>
      </c>
      <c r="L478" s="53" t="n">
        <f aca="false">IF(AND(ISNUMBER($G478),$G478&gt;=21),STDEV(INDEX($H$418:$H478,62-20):$H478)*SQRT(245),"")</f>
        <v>0.202412287517496</v>
      </c>
      <c r="M478" s="52" t="n">
        <f aca="false">IF(AND(ISNUMBER($G478),$G478&gt;=60),MAX(INDEX($D$278:$D478,202-60):$D478),"")</f>
        <v>110081599</v>
      </c>
      <c r="N478" s="52" t="n">
        <f aca="false">IF(AND(ISNUMBER($G478),$G478&gt;=60),MIN(INDEX($E$278:$E478,202-60):$E478),"")</f>
        <v>101418631</v>
      </c>
      <c r="O478" s="53" t="n">
        <f aca="false">IF(OR(NOT(ISNUMBER($C478)),NOT(ISNUMBER($M478)),$M478=0),"",$C478/$M478-1)</f>
        <v>-0.0597953977757899</v>
      </c>
      <c r="P478" s="54"/>
      <c r="Q478" s="53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104430690</v>
      </c>
      <c r="D479" s="49" t="n">
        <v>104914287</v>
      </c>
      <c r="E479" s="49" t="n">
        <v>103989939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0.00899971947616307</v>
      </c>
      <c r="I479" s="52" t="n">
        <f aca="false">IF(AND(ISNUMBER($G479),$G479&gt;=MA_SHORT),AVERAGE(INDEX($C$79:$C479,402-MA_SHORT):$C479),"")</f>
        <v>106591046.3</v>
      </c>
      <c r="J479" s="52" t="n">
        <f aca="false">IF(AND(ISNUMBER($G479),$G479&gt;=MA_MED),AVERAGE(INDEX($C$79:$C479,402-MA_MED):$C479),"")</f>
        <v>105843843.82</v>
      </c>
      <c r="K479" s="52" t="n">
        <f aca="false">IF(AND(ISNUMBER($G479),$G479&gt;=MA_LONG2),AVERAGE(INDEX($C$79:$C479,402-MA_LONG2):$C479),"")</f>
        <v>110815684.935</v>
      </c>
      <c r="L479" s="53" t="n">
        <f aca="false">IF(AND(ISNUMBER($G479),$G479&gt;=21),STDEV(INDEX($H$419:$H479,62-20):$H479)*SQRT(245),"")</f>
        <v>0.182022918460067</v>
      </c>
      <c r="M479" s="52" t="n">
        <f aca="false">IF(AND(ISNUMBER($G479),$G479&gt;=60),MAX(INDEX($D$279:$D479,202-60):$D479),"")</f>
        <v>110081599</v>
      </c>
      <c r="N479" s="52" t="n">
        <f aca="false">IF(AND(ISNUMBER($G479),$G479&gt;=60),MIN(INDEX($E$279:$E479,202-60):$E479),"")</f>
        <v>101418631</v>
      </c>
      <c r="O479" s="53" t="n">
        <f aca="false">IF(OR(NOT(ISNUMBER($C479)),NOT(ISNUMBER($M479)),$M479=0),"",$C479/$M479-1)</f>
        <v>-0.0513338201055746</v>
      </c>
      <c r="P479" s="54"/>
      <c r="Q479" s="53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103606609</v>
      </c>
      <c r="D480" s="49" t="n">
        <v>103650931</v>
      </c>
      <c r="E480" s="49" t="n">
        <v>103550717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-0.00789117643482007</v>
      </c>
      <c r="I480" s="52" t="n">
        <f aca="false">IF(AND(ISNUMBER($G480),$G480&gt;=MA_SHORT),AVERAGE(INDEX($C$80:$C480,402-MA_SHORT):$C480),"")</f>
        <v>106449711.2</v>
      </c>
      <c r="J480" s="52" t="n">
        <f aca="false">IF(AND(ISNUMBER($G480),$G480&gt;=MA_MED),AVERAGE(INDEX($C$80:$C480,402-MA_MED):$C480),"")</f>
        <v>105808725.28</v>
      </c>
      <c r="K480" s="52" t="n">
        <f aca="false">IF(AND(ISNUMBER($G480),$G480&gt;=MA_LONG2),AVERAGE(INDEX($C$80:$C480,402-MA_LONG2):$C480),"")</f>
        <v>110800989.345</v>
      </c>
      <c r="L480" s="53" t="n">
        <f aca="false">IF(AND(ISNUMBER($G480),$G480&gt;=21),STDEV(INDEX($H$420:$H480,62-20):$H480)*SQRT(245),"")</f>
        <v>0.173109750265136</v>
      </c>
      <c r="M480" s="52" t="n">
        <f aca="false">IF(AND(ISNUMBER($G480),$G480&gt;=60),MAX(INDEX($D$280:$D480,202-60):$D480),"")</f>
        <v>110081599</v>
      </c>
      <c r="N480" s="52" t="n">
        <f aca="false">IF(AND(ISNUMBER($G480),$G480&gt;=60),MIN(INDEX($E$280:$E480,202-60):$E480),"")</f>
        <v>101418631</v>
      </c>
      <c r="O480" s="53" t="n">
        <f aca="false">IF(OR(NOT(ISNUMBER($C480)),NOT(ISNUMBER($M480)),$M480=0),"",$C480/$M480-1)</f>
        <v>-0.0588199123088683</v>
      </c>
      <c r="P480" s="54"/>
      <c r="Q480" s="53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102872431</v>
      </c>
      <c r="D481" s="49" t="n">
        <v>103111058</v>
      </c>
      <c r="E481" s="49" t="n">
        <v>102742463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-0.00708620817809025</v>
      </c>
      <c r="I481" s="52" t="n">
        <f aca="false">IF(AND(ISNUMBER($G481),$G481&gt;=MA_SHORT),AVERAGE(INDEX($C$81:$C481,402-MA_SHORT):$C481),"")</f>
        <v>106210777.5</v>
      </c>
      <c r="J481" s="52" t="n">
        <f aca="false">IF(AND(ISNUMBER($G481),$G481&gt;=MA_MED),AVERAGE(INDEX($C$81:$C481,402-MA_MED):$C481),"")</f>
        <v>105812483.08</v>
      </c>
      <c r="K481" s="52" t="n">
        <f aca="false">IF(AND(ISNUMBER($G481),$G481&gt;=MA_LONG2),AVERAGE(INDEX($C$81:$C481,402-MA_LONG2):$C481),"")</f>
        <v>110774078.795</v>
      </c>
      <c r="L481" s="53" t="n">
        <f aca="false">IF(AND(ISNUMBER($G481),$G481&gt;=21),STDEV(INDEX($H$421:$H481,62-20):$H481)*SQRT(245),"")</f>
        <v>0.167601455783732</v>
      </c>
      <c r="M481" s="52" t="n">
        <f aca="false">IF(AND(ISNUMBER($G481),$G481&gt;=60),MAX(INDEX($D$281:$D481,202-60):$D481),"")</f>
        <v>110081599</v>
      </c>
      <c r="N481" s="52" t="n">
        <f aca="false">IF(AND(ISNUMBER($G481),$G481&gt;=60),MIN(INDEX($E$281:$E481,202-60):$E481),"")</f>
        <v>101418631</v>
      </c>
      <c r="O481" s="53" t="n">
        <f aca="false">IF(OR(NOT(ISNUMBER($C481)),NOT(ISNUMBER($M481)),$M481=0),"",$C481/$M481-1)</f>
        <v>-0.0654893103433208</v>
      </c>
      <c r="P481" s="54"/>
      <c r="Q481" s="53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103078399</v>
      </c>
      <c r="D482" s="49" t="n">
        <v>103295513</v>
      </c>
      <c r="E482" s="49" t="n">
        <v>102933042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0.00200216907482242</v>
      </c>
      <c r="I482" s="52" t="n">
        <f aca="false">IF(AND(ISNUMBER($G482),$G482&gt;=MA_SHORT),AVERAGE(INDEX($C$82:$C482,402-MA_SHORT):$C482),"")</f>
        <v>105999541.75</v>
      </c>
      <c r="J482" s="52" t="n">
        <f aca="false">IF(AND(ISNUMBER($G482),$G482&gt;=MA_MED),AVERAGE(INDEX($C$82:$C482,402-MA_MED):$C482),"")</f>
        <v>105840037.16</v>
      </c>
      <c r="K482" s="52" t="n">
        <f aca="false">IF(AND(ISNUMBER($G482),$G482&gt;=MA_LONG2),AVERAGE(INDEX($C$82:$C482,402-MA_LONG2):$C482),"")</f>
        <v>110745831.3</v>
      </c>
      <c r="L482" s="53" t="n">
        <f aca="false">IF(AND(ISNUMBER($G482),$G482&gt;=21),STDEV(INDEX($H$422:$H482,62-20):$H482)*SQRT(245),"")</f>
        <v>0.168191221978774</v>
      </c>
      <c r="M482" s="52" t="n">
        <f aca="false">IF(AND(ISNUMBER($G482),$G482&gt;=60),MAX(INDEX($D$282:$D482,202-60):$D482),"")</f>
        <v>110081599</v>
      </c>
      <c r="N482" s="52" t="n">
        <f aca="false">IF(AND(ISNUMBER($G482),$G482&gt;=60),MIN(INDEX($E$282:$E482,202-60):$E482),"")</f>
        <v>101418631</v>
      </c>
      <c r="O482" s="53" t="n">
        <f aca="false">IF(OR(NOT(ISNUMBER($C482)),NOT(ISNUMBER($M482)),$M482=0),"",$C482/$M482-1)</f>
        <v>-0.0636182619403993</v>
      </c>
      <c r="P482" s="54"/>
      <c r="Q482" s="53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100707956</v>
      </c>
      <c r="D483" s="49" t="n">
        <v>101109546</v>
      </c>
      <c r="E483" s="49" t="n">
        <v>100392280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-0.0229965057955547</v>
      </c>
      <c r="I483" s="52" t="n">
        <f aca="false">IF(AND(ISNUMBER($G483),$G483&gt;=MA_SHORT),AVERAGE(INDEX($C$83:$C483,402-MA_SHORT):$C483),"")</f>
        <v>105619782.75</v>
      </c>
      <c r="J483" s="52" t="n">
        <f aca="false">IF(AND(ISNUMBER($G483),$G483&gt;=MA_MED),AVERAGE(INDEX($C$83:$C483,402-MA_MED):$C483),"")</f>
        <v>105773531.08</v>
      </c>
      <c r="K483" s="52" t="n">
        <f aca="false">IF(AND(ISNUMBER($G483),$G483&gt;=MA_LONG2),AVERAGE(INDEX($C$83:$C483,402-MA_LONG2):$C483),"")</f>
        <v>110701022.845</v>
      </c>
      <c r="L483" s="53" t="n">
        <f aca="false">IF(AND(ISNUMBER($G483),$G483&gt;=21),STDEV(INDEX($H$423:$H483,62-20):$H483)*SQRT(245),"")</f>
        <v>0.178011278467003</v>
      </c>
      <c r="M483" s="52" t="n">
        <f aca="false">IF(AND(ISNUMBER($G483),$G483&gt;=60),MAX(INDEX($D$283:$D483,202-60):$D483),"")</f>
        <v>110081599</v>
      </c>
      <c r="N483" s="52" t="n">
        <f aca="false">IF(AND(ISNUMBER($G483),$G483&gt;=60),MIN(INDEX($E$283:$E483,202-60):$E483),"")</f>
        <v>100392280</v>
      </c>
      <c r="O483" s="53" t="n">
        <f aca="false">IF(OR(NOT(ISNUMBER($C483)),NOT(ISNUMBER($M483)),$M483=0),"",$C483/$M483-1)</f>
        <v>-0.0851517700065385</v>
      </c>
      <c r="P483" s="54"/>
      <c r="Q483" s="53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101221975</v>
      </c>
      <c r="D484" s="49" t="n">
        <v>101776671</v>
      </c>
      <c r="E484" s="49" t="n">
        <v>100892918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0.00510405553261362</v>
      </c>
      <c r="I484" s="52" t="n">
        <f aca="false">IF(AND(ISNUMBER($G484),$G484&gt;=MA_SHORT),AVERAGE(INDEX($C$84:$C484,402-MA_SHORT):$C484),"")</f>
        <v>105283569.8</v>
      </c>
      <c r="J484" s="52" t="n">
        <f aca="false">IF(AND(ISNUMBER($G484),$G484&gt;=MA_MED),AVERAGE(INDEX($C$84:$C484,402-MA_MED):$C484),"")</f>
        <v>105707882</v>
      </c>
      <c r="K484" s="52" t="n">
        <f aca="false">IF(AND(ISNUMBER($G484),$G484&gt;=MA_LONG2),AVERAGE(INDEX($C$84:$C484,402-MA_LONG2):$C484),"")</f>
        <v>110662338.21</v>
      </c>
      <c r="L484" s="53" t="n">
        <f aca="false">IF(AND(ISNUMBER($G484),$G484&gt;=21),STDEV(INDEX($H$424:$H484,62-20):$H484)*SQRT(245),"")</f>
        <v>0.180585477452196</v>
      </c>
      <c r="M484" s="52" t="n">
        <f aca="false">IF(AND(ISNUMBER($G484),$G484&gt;=60),MAX(INDEX($D$284:$D484,202-60):$D484),"")</f>
        <v>110081599</v>
      </c>
      <c r="N484" s="52" t="n">
        <f aca="false">IF(AND(ISNUMBER($G484),$G484&gt;=60),MIN(INDEX($E$284:$E484,202-60):$E484),"")</f>
        <v>100392280</v>
      </c>
      <c r="O484" s="53" t="n">
        <f aca="false">IF(OR(NOT(ISNUMBER($C484)),NOT(ISNUMBER($M484)),$M484=0),"",$C484/$M484-1)</f>
        <v>-0.0804823338367386</v>
      </c>
      <c r="P484" s="54"/>
      <c r="Q484" s="53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101034659</v>
      </c>
      <c r="D485" s="49" t="n">
        <v>101104690</v>
      </c>
      <c r="E485" s="49" t="n">
        <v>100868849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-0.00185054678097318</v>
      </c>
      <c r="I485" s="52" t="n">
        <f aca="false">IF(AND(ISNUMBER($G485),$G485&gt;=MA_SHORT),AVERAGE(INDEX($C$85:$C485,402-MA_SHORT):$C485),"")</f>
        <v>104903041.95</v>
      </c>
      <c r="J485" s="52" t="n">
        <f aca="false">IF(AND(ISNUMBER($G485),$G485&gt;=MA_MED),AVERAGE(INDEX($C$85:$C485,402-MA_MED):$C485),"")</f>
        <v>105643427.16</v>
      </c>
      <c r="K485" s="52" t="n">
        <f aca="false">IF(AND(ISNUMBER($G485),$G485&gt;=MA_LONG2),AVERAGE(INDEX($C$85:$C485,402-MA_LONG2):$C485),"")</f>
        <v>110604836.92</v>
      </c>
      <c r="L485" s="53" t="n">
        <f aca="false">IF(AND(ISNUMBER($G485),$G485&gt;=21),STDEV(INDEX($H$425:$H485,62-20):$H485)*SQRT(245),"")</f>
        <v>0.177184001085612</v>
      </c>
      <c r="M485" s="52" t="n">
        <f aca="false">IF(AND(ISNUMBER($G485),$G485&gt;=60),MAX(INDEX($D$285:$D485,202-60):$D485),"")</f>
        <v>110081599</v>
      </c>
      <c r="N485" s="52" t="n">
        <f aca="false">IF(AND(ISNUMBER($G485),$G485&gt;=60),MIN(INDEX($E$285:$E485,202-60):$E485),"")</f>
        <v>100392280</v>
      </c>
      <c r="O485" s="53" t="n">
        <f aca="false">IF(OR(NOT(ISNUMBER($C485)),NOT(ISNUMBER($M485)),$M485=0),"",$C485/$M485-1)</f>
        <v>-0.0821839442939051</v>
      </c>
      <c r="P485" s="54"/>
      <c r="Q485" s="53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101027277</v>
      </c>
      <c r="D486" s="49" t="n">
        <v>101082731</v>
      </c>
      <c r="E486" s="49" t="n">
        <v>100496849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-7.30640363718615E-005</v>
      </c>
      <c r="I486" s="52" t="n">
        <f aca="false">IF(AND(ISNUMBER($G486),$G486&gt;=MA_SHORT),AVERAGE(INDEX($C$86:$C486,402-MA_SHORT):$C486),"")</f>
        <v>104504023.75</v>
      </c>
      <c r="J486" s="52" t="n">
        <f aca="false">IF(AND(ISNUMBER($G486),$G486&gt;=MA_MED),AVERAGE(INDEX($C$86:$C486,402-MA_MED):$C486),"")</f>
        <v>105556374.02</v>
      </c>
      <c r="K486" s="52" t="n">
        <f aca="false">IF(AND(ISNUMBER($G486),$G486&gt;=MA_LONG2),AVERAGE(INDEX($C$86:$C486,402-MA_LONG2):$C486),"")</f>
        <v>110551366.095</v>
      </c>
      <c r="L486" s="53" t="n">
        <f aca="false">IF(AND(ISNUMBER($G486),$G486&gt;=21),STDEV(INDEX($H$426:$H486,62-20):$H486)*SQRT(245),"")</f>
        <v>0.175869214961768</v>
      </c>
      <c r="M486" s="52" t="n">
        <f aca="false">IF(AND(ISNUMBER($G486),$G486&gt;=60),MAX(INDEX($D$286:$D486,202-60):$D486),"")</f>
        <v>110081599</v>
      </c>
      <c r="N486" s="52" t="n">
        <f aca="false">IF(AND(ISNUMBER($G486),$G486&gt;=60),MIN(INDEX($E$286:$E486,202-60):$E486),"")</f>
        <v>100392280</v>
      </c>
      <c r="O486" s="53" t="n">
        <f aca="false">IF(OR(NOT(ISNUMBER($C486)),NOT(ISNUMBER($M486)),$M486=0),"",$C486/$M486-1)</f>
        <v>-0.0822510036395819</v>
      </c>
      <c r="P486" s="54"/>
      <c r="Q486" s="53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101347831</v>
      </c>
      <c r="D487" s="49" t="n">
        <v>101444069</v>
      </c>
      <c r="E487" s="49" t="n">
        <v>101184108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0.00317294506512344</v>
      </c>
      <c r="I487" s="52" t="n">
        <f aca="false">IF(AND(ISNUMBER($G487),$G487&gt;=MA_SHORT),AVERAGE(INDEX($C$87:$C487,402-MA_SHORT):$C487),"")</f>
        <v>104270621.45</v>
      </c>
      <c r="J487" s="52" t="n">
        <f aca="false">IF(AND(ISNUMBER($G487),$G487&gt;=MA_MED),AVERAGE(INDEX($C$87:$C487,402-MA_MED):$C487),"")</f>
        <v>105471609.78</v>
      </c>
      <c r="K487" s="52" t="n">
        <f aca="false">IF(AND(ISNUMBER($G487),$G487&gt;=MA_LONG2),AVERAGE(INDEX($C$87:$C487,402-MA_LONG2):$C487),"")</f>
        <v>110497712.18</v>
      </c>
      <c r="L487" s="53" t="n">
        <f aca="false">IF(AND(ISNUMBER($G487),$G487&gt;=21),STDEV(INDEX($H$427:$H487,62-20):$H487)*SQRT(245),"")</f>
        <v>0.153917958254588</v>
      </c>
      <c r="M487" s="52" t="n">
        <f aca="false">IF(AND(ISNUMBER($G487),$G487&gt;=60),MAX(INDEX($D$287:$D487,202-60):$D487),"")</f>
        <v>110081599</v>
      </c>
      <c r="N487" s="52" t="n">
        <f aca="false">IF(AND(ISNUMBER($G487),$G487&gt;=60),MIN(INDEX($E$287:$E487,202-60):$E487),"")</f>
        <v>100392280</v>
      </c>
      <c r="O487" s="53" t="n">
        <f aca="false">IF(OR(NOT(ISNUMBER($C487)),NOT(ISNUMBER($M487)),$M487=0),"",$C487/$M487-1)</f>
        <v>-0.0793390364905583</v>
      </c>
      <c r="P487" s="54"/>
      <c r="Q487" s="53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101168050</v>
      </c>
      <c r="D488" s="49" t="n">
        <v>101298104</v>
      </c>
      <c r="E488" s="49" t="n">
        <v>100475644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-0.00177390081490747</v>
      </c>
      <c r="I488" s="52" t="n">
        <f aca="false">IF(AND(ISNUMBER($G488),$G488&gt;=MA_SHORT),AVERAGE(INDEX($C$88:$C488,402-MA_SHORT):$C488),"")</f>
        <v>103991294.2</v>
      </c>
      <c r="J488" s="52" t="n">
        <f aca="false">IF(AND(ISNUMBER($G488),$G488&gt;=MA_MED),AVERAGE(INDEX($C$88:$C488,402-MA_MED):$C488),"")</f>
        <v>105392317.58</v>
      </c>
      <c r="K488" s="52" t="n">
        <f aca="false">IF(AND(ISNUMBER($G488),$G488&gt;=MA_LONG2),AVERAGE(INDEX($C$88:$C488,402-MA_LONG2):$C488),"")</f>
        <v>110438124.26</v>
      </c>
      <c r="L488" s="53" t="n">
        <f aca="false">IF(AND(ISNUMBER($G488),$G488&gt;=21),STDEV(INDEX($H$428:$H488,62-20):$H488)*SQRT(245),"")</f>
        <v>0.15019759539615</v>
      </c>
      <c r="M488" s="52" t="n">
        <f aca="false">IF(AND(ISNUMBER($G488),$G488&gt;=60),MAX(INDEX($D$288:$D488,202-60):$D488),"")</f>
        <v>110081599</v>
      </c>
      <c r="N488" s="52" t="n">
        <f aca="false">IF(AND(ISNUMBER($G488),$G488&gt;=60),MIN(INDEX($E$288:$E488,202-60):$E488),"")</f>
        <v>100392280</v>
      </c>
      <c r="O488" s="53" t="n">
        <f aca="false">IF(OR(NOT(ISNUMBER($C488)),NOT(ISNUMBER($M488)),$M488=0),"",$C488/$M488-1)</f>
        <v>-0.0809721977239811</v>
      </c>
      <c r="P488" s="54"/>
      <c r="Q488" s="53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101354306</v>
      </c>
      <c r="D489" s="49" t="n">
        <v>101399949</v>
      </c>
      <c r="E489" s="49" t="n">
        <v>100653511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0.00184105555064074</v>
      </c>
      <c r="I489" s="52" t="n">
        <f aca="false">IF(AND(ISNUMBER($G489),$G489&gt;=MA_SHORT),AVERAGE(INDEX($C$89:$C489,402-MA_SHORT):$C489),"")</f>
        <v>103687869.9</v>
      </c>
      <c r="J489" s="52" t="n">
        <f aca="false">IF(AND(ISNUMBER($G489),$G489&gt;=MA_MED),AVERAGE(INDEX($C$89:$C489,402-MA_MED):$C489),"")</f>
        <v>105302305.52</v>
      </c>
      <c r="K489" s="52" t="n">
        <f aca="false">IF(AND(ISNUMBER($G489),$G489&gt;=MA_LONG2),AVERAGE(INDEX($C$89:$C489,402-MA_LONG2):$C489),"")</f>
        <v>110367513.115</v>
      </c>
      <c r="L489" s="53" t="n">
        <f aca="false">IF(AND(ISNUMBER($G489),$G489&gt;=21),STDEV(INDEX($H$429:$H489,62-20):$H489)*SQRT(245),"")</f>
        <v>0.147595558041167</v>
      </c>
      <c r="M489" s="52" t="n">
        <f aca="false">IF(AND(ISNUMBER($G489),$G489&gt;=60),MAX(INDEX($D$289:$D489,202-60):$D489),"")</f>
        <v>110081599</v>
      </c>
      <c r="N489" s="52" t="n">
        <f aca="false">IF(AND(ISNUMBER($G489),$G489&gt;=60),MIN(INDEX($E$289:$E489,202-60):$E489),"")</f>
        <v>100392280</v>
      </c>
      <c r="O489" s="53" t="n">
        <f aca="false">IF(OR(NOT(ISNUMBER($C489)),NOT(ISNUMBER($M489)),$M489=0),"",$C489/$M489-1)</f>
        <v>-0.0792802164874077</v>
      </c>
      <c r="P489" s="54"/>
      <c r="Q489" s="53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103294555</v>
      </c>
      <c r="D490" s="49" t="n">
        <v>103795679</v>
      </c>
      <c r="E490" s="49" t="n">
        <v>103191152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0.0191432320596225</v>
      </c>
      <c r="I490" s="52" t="n">
        <f aca="false">IF(AND(ISNUMBER($G490),$G490&gt;=MA_SHORT),AVERAGE(INDEX($C$90:$C490,402-MA_SHORT):$C490),"")</f>
        <v>103569062.95</v>
      </c>
      <c r="J490" s="52" t="n">
        <f aca="false">IF(AND(ISNUMBER($G490),$G490&gt;=MA_MED),AVERAGE(INDEX($C$90:$C490,402-MA_MED):$C490),"")</f>
        <v>105231665.78</v>
      </c>
      <c r="K490" s="52" t="n">
        <f aca="false">IF(AND(ISNUMBER($G490),$G490&gt;=MA_LONG2),AVERAGE(INDEX($C$90:$C490,402-MA_LONG2):$C490),"")</f>
        <v>110303880.94</v>
      </c>
      <c r="L490" s="53" t="n">
        <f aca="false">IF(AND(ISNUMBER($G490),$G490&gt;=21),STDEV(INDEX($H$430:$H490,62-20):$H490)*SQRT(245),"")</f>
        <v>0.15774976152546</v>
      </c>
      <c r="M490" s="52" t="n">
        <f aca="false">IF(AND(ISNUMBER($G490),$G490&gt;=60),MAX(INDEX($D$290:$D490,202-60):$D490),"")</f>
        <v>110081599</v>
      </c>
      <c r="N490" s="52" t="n">
        <f aca="false">IF(AND(ISNUMBER($G490),$G490&gt;=60),MIN(INDEX($E$290:$E490,202-60):$E490),"")</f>
        <v>100392280</v>
      </c>
      <c r="O490" s="53" t="n">
        <f aca="false">IF(OR(NOT(ISNUMBER($C490)),NOT(ISNUMBER($M490)),$M490=0),"",$C490/$M490-1)</f>
        <v>-0.0616546640097406</v>
      </c>
      <c r="P490" s="54"/>
      <c r="Q490" s="53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104327611</v>
      </c>
      <c r="D491" s="49" t="n">
        <v>104451257</v>
      </c>
      <c r="E491" s="49" t="n">
        <v>103841835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0.0100010692722381</v>
      </c>
      <c r="I491" s="52" t="n">
        <f aca="false">IF(AND(ISNUMBER($G491),$G491&gt;=MA_SHORT),AVERAGE(INDEX($C$91:$C491,402-MA_SHORT):$C491),"")</f>
        <v>103416562.8</v>
      </c>
      <c r="J491" s="52" t="n">
        <f aca="false">IF(AND(ISNUMBER($G491),$G491&gt;=MA_MED),AVERAGE(INDEX($C$91:$C491,402-MA_MED):$C491),"")</f>
        <v>105173036.98</v>
      </c>
      <c r="K491" s="52" t="n">
        <f aca="false">IF(AND(ISNUMBER($G491),$G491&gt;=MA_LONG2),AVERAGE(INDEX($C$91:$C491,402-MA_LONG2):$C491),"")</f>
        <v>110246678.555</v>
      </c>
      <c r="L491" s="53" t="n">
        <f aca="false">IF(AND(ISNUMBER($G491),$G491&gt;=21),STDEV(INDEX($H$431:$H491,62-20):$H491)*SQRT(245),"")</f>
        <v>0.150376529814586</v>
      </c>
      <c r="M491" s="52" t="n">
        <f aca="false">IF(AND(ISNUMBER($G491),$G491&gt;=60),MAX(INDEX($D$291:$D491,202-60):$D491),"")</f>
        <v>110081599</v>
      </c>
      <c r="N491" s="52" t="n">
        <f aca="false">IF(AND(ISNUMBER($G491),$G491&gt;=60),MIN(INDEX($E$291:$E491,202-60):$E491),"")</f>
        <v>100392280</v>
      </c>
      <c r="O491" s="53" t="n">
        <f aca="false">IF(OR(NOT(ISNUMBER($C491)),NOT(ISNUMBER($M491)),$M491=0),"",$C491/$M491-1)</f>
        <v>-0.0522702073032206</v>
      </c>
      <c r="P491" s="54"/>
      <c r="Q491" s="53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104543182</v>
      </c>
      <c r="D492" s="49" t="n">
        <v>104697305</v>
      </c>
      <c r="E492" s="49" t="n">
        <v>103846110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0.00206628904787243</v>
      </c>
      <c r="I492" s="52" t="n">
        <f aca="false">IF(AND(ISNUMBER($G492),$G492&gt;=MA_SHORT),AVERAGE(INDEX($C$92:$C492,402-MA_SHORT):$C492),"")</f>
        <v>103328511.4</v>
      </c>
      <c r="J492" s="52" t="n">
        <f aca="false">IF(AND(ISNUMBER($G492),$G492&gt;=MA_MED),AVERAGE(INDEX($C$92:$C492,402-MA_MED):$C492),"")</f>
        <v>105131830</v>
      </c>
      <c r="K492" s="52" t="n">
        <f aca="false">IF(AND(ISNUMBER($G492),$G492&gt;=MA_LONG2),AVERAGE(INDEX($C$92:$C492,402-MA_LONG2):$C492),"")</f>
        <v>110194440.315</v>
      </c>
      <c r="L492" s="53" t="n">
        <f aca="false">IF(AND(ISNUMBER($G492),$G492&gt;=21),STDEV(INDEX($H$432:$H492,62-20):$H492)*SQRT(245),"")</f>
        <v>0.147377074413763</v>
      </c>
      <c r="M492" s="52" t="n">
        <f aca="false">IF(AND(ISNUMBER($G492),$G492&gt;=60),MAX(INDEX($D$292:$D492,202-60):$D492),"")</f>
        <v>110081599</v>
      </c>
      <c r="N492" s="52" t="n">
        <f aca="false">IF(AND(ISNUMBER($G492),$G492&gt;=60),MIN(INDEX($E$292:$E492,202-60):$E492),"")</f>
        <v>100392280</v>
      </c>
      <c r="O492" s="53" t="n">
        <f aca="false">IF(OR(NOT(ISNUMBER($C492)),NOT(ISNUMBER($M492)),$M492=0),"",$C492/$M492-1)</f>
        <v>-0.0503119236122288</v>
      </c>
      <c r="P492" s="54"/>
      <c r="Q492" s="53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104941636</v>
      </c>
      <c r="D493" s="49" t="n">
        <v>105277813</v>
      </c>
      <c r="E493" s="49" t="n">
        <v>104565207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0.00381138197993636</v>
      </c>
      <c r="I493" s="52" t="n">
        <f aca="false">IF(AND(ISNUMBER($G493),$G493&gt;=MA_SHORT),AVERAGE(INDEX($C$93:$C493,402-MA_SHORT):$C493),"")</f>
        <v>103284499.6</v>
      </c>
      <c r="J493" s="52" t="n">
        <f aca="false">IF(AND(ISNUMBER($G493),$G493&gt;=MA_MED),AVERAGE(INDEX($C$93:$C493,402-MA_MED):$C493),"")</f>
        <v>105071985.24</v>
      </c>
      <c r="K493" s="52" t="n">
        <f aca="false">IF(AND(ISNUMBER($G493),$G493&gt;=MA_LONG2),AVERAGE(INDEX($C$93:$C493,402-MA_LONG2):$C493),"")</f>
        <v>110145320.3</v>
      </c>
      <c r="L493" s="53" t="n">
        <f aca="false">IF(AND(ISNUMBER($G493),$G493&gt;=21),STDEV(INDEX($H$433:$H493,62-20):$H493)*SQRT(245),"")</f>
        <v>0.147538436952415</v>
      </c>
      <c r="M493" s="52" t="n">
        <f aca="false">IF(AND(ISNUMBER($G493),$G493&gt;=60),MAX(INDEX($D$293:$D493,202-60):$D493),"")</f>
        <v>110081599</v>
      </c>
      <c r="N493" s="52" t="n">
        <f aca="false">IF(AND(ISNUMBER($G493),$G493&gt;=60),MIN(INDEX($E$293:$E493,202-60):$E493),"")</f>
        <v>100392280</v>
      </c>
      <c r="O493" s="53" t="n">
        <f aca="false">IF(OR(NOT(ISNUMBER($C493)),NOT(ISNUMBER($M493)),$M493=0),"",$C493/$M493-1)</f>
        <v>-0.046692299591324</v>
      </c>
      <c r="P493" s="54"/>
      <c r="Q493" s="53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104799622</v>
      </c>
      <c r="D494" s="49" t="n">
        <v>105063323</v>
      </c>
      <c r="E494" s="49" t="n">
        <v>104582422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-0.0013532664956738</v>
      </c>
      <c r="I494" s="52" t="n">
        <f aca="false">IF(AND(ISNUMBER($G494),$G494&gt;=MA_SHORT),AVERAGE(INDEX($C$94:$C494,402-MA_SHORT):$C494),"")</f>
        <v>103170586</v>
      </c>
      <c r="J494" s="52" t="n">
        <f aca="false">IF(AND(ISNUMBER($G494),$G494&gt;=MA_MED),AVERAGE(INDEX($C$94:$C494,402-MA_MED):$C494),"")</f>
        <v>105014358.98</v>
      </c>
      <c r="K494" s="52" t="n">
        <f aca="false">IF(AND(ISNUMBER($G494),$G494&gt;=MA_LONG2),AVERAGE(INDEX($C$94:$C494,402-MA_LONG2):$C494),"")</f>
        <v>110094602.88</v>
      </c>
      <c r="L494" s="53" t="n">
        <f aca="false">IF(AND(ISNUMBER($G494),$G494&gt;=21),STDEV(INDEX($H$434:$H494,62-20):$H494)*SQRT(245),"")</f>
        <v>0.140477488700494</v>
      </c>
      <c r="M494" s="52" t="n">
        <f aca="false">IF(AND(ISNUMBER($G494),$G494&gt;=60),MAX(INDEX($D$294:$D494,202-60):$D494),"")</f>
        <v>110081599</v>
      </c>
      <c r="N494" s="52" t="n">
        <f aca="false">IF(AND(ISNUMBER($G494),$G494&gt;=60),MIN(INDEX($E$294:$E494,202-60):$E494),"")</f>
        <v>100392280</v>
      </c>
      <c r="O494" s="53" t="n">
        <f aca="false">IF(OR(NOT(ISNUMBER($C494)),NOT(ISNUMBER($M494)),$M494=0),"",$C494/$M494-1)</f>
        <v>-0.047982378962355</v>
      </c>
      <c r="P494" s="54"/>
      <c r="Q494" s="53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105676198</v>
      </c>
      <c r="D495" s="49" t="n">
        <v>106135782</v>
      </c>
      <c r="E495" s="49" t="n">
        <v>105385485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0.00836430497812302</v>
      </c>
      <c r="I495" s="52" t="n">
        <f aca="false">IF(AND(ISNUMBER($G495),$G495&gt;=MA_SHORT),AVERAGE(INDEX($C$95:$C495,402-MA_SHORT):$C495),"")</f>
        <v>103140843.1</v>
      </c>
      <c r="J495" s="52" t="n">
        <f aca="false">IF(AND(ISNUMBER($G495),$G495&gt;=MA_MED),AVERAGE(INDEX($C$95:$C495,402-MA_MED):$C495),"")</f>
        <v>105011097.32</v>
      </c>
      <c r="K495" s="52" t="n">
        <f aca="false">IF(AND(ISNUMBER($G495),$G495&gt;=MA_LONG2),AVERAGE(INDEX($C$95:$C495,402-MA_LONG2):$C495),"")</f>
        <v>110045917.12</v>
      </c>
      <c r="L495" s="53" t="n">
        <f aca="false">IF(AND(ISNUMBER($G495),$G495&gt;=21),STDEV(INDEX($H$435:$H495,62-20):$H495)*SQRT(245),"")</f>
        <v>0.142006750034087</v>
      </c>
      <c r="M495" s="52" t="n">
        <f aca="false">IF(AND(ISNUMBER($G495),$G495&gt;=60),MAX(INDEX($D$295:$D495,202-60):$D495),"")</f>
        <v>110081599</v>
      </c>
      <c r="N495" s="52" t="n">
        <f aca="false">IF(AND(ISNUMBER($G495),$G495&gt;=60),MIN(INDEX($E$295:$E495,202-60):$E495),"")</f>
        <v>100392280</v>
      </c>
      <c r="O495" s="53" t="n">
        <f aca="false">IF(OR(NOT(ISNUMBER($C495)),NOT(ISNUMBER($M495)),$M495=0),"",$C495/$M495-1)</f>
        <v>-0.0400194132354491</v>
      </c>
      <c r="P495" s="54"/>
      <c r="Q495" s="53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105403211</v>
      </c>
      <c r="D496" s="49" t="n">
        <v>105498934</v>
      </c>
      <c r="E496" s="49" t="n">
        <v>105074585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-0.00258324017296685</v>
      </c>
      <c r="I496" s="52" t="n">
        <f aca="false">IF(AND(ISNUMBER($G496),$G496&gt;=MA_SHORT),AVERAGE(INDEX($C$96:$C496,402-MA_SHORT):$C496),"")</f>
        <v>103136414.5</v>
      </c>
      <c r="J496" s="52" t="n">
        <f aca="false">IF(AND(ISNUMBER($G496),$G496&gt;=MA_MED),AVERAGE(INDEX($C$96:$C496,402-MA_MED):$C496),"")</f>
        <v>105036296.42</v>
      </c>
      <c r="K496" s="52" t="n">
        <f aca="false">IF(AND(ISNUMBER($G496),$G496&gt;=MA_LONG2),AVERAGE(INDEX($C$96:$C496,402-MA_LONG2):$C496),"")</f>
        <v>109992321.975</v>
      </c>
      <c r="L496" s="53" t="n">
        <f aca="false">IF(AND(ISNUMBER($G496),$G496&gt;=21),STDEV(INDEX($H$436:$H496,62-20):$H496)*SQRT(245),"")</f>
        <v>0.13990578926332</v>
      </c>
      <c r="M496" s="52" t="n">
        <f aca="false">IF(AND(ISNUMBER($G496),$G496&gt;=60),MAX(INDEX($D$296:$D496,202-60):$D496),"")</f>
        <v>110081599</v>
      </c>
      <c r="N496" s="52" t="n">
        <f aca="false">IF(AND(ISNUMBER($G496),$G496&gt;=60),MIN(INDEX($E$296:$E496,202-60):$E496),"")</f>
        <v>100392280</v>
      </c>
      <c r="O496" s="53" t="n">
        <f aca="false">IF(OR(NOT(ISNUMBER($C496)),NOT(ISNUMBER($M496)),$M496=0),"",$C496/$M496-1)</f>
        <v>-0.0424992736524475</v>
      </c>
      <c r="P496" s="54"/>
      <c r="Q496" s="53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104549277</v>
      </c>
      <c r="D497" s="49" t="n">
        <v>105333414</v>
      </c>
      <c r="E497" s="49" t="n">
        <v>103639791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-0.00810159379300124</v>
      </c>
      <c r="I497" s="52" t="n">
        <f aca="false">IF(AND(ISNUMBER($G497),$G497&gt;=MA_SHORT),AVERAGE(INDEX($C$97:$C497,402-MA_SHORT):$C497),"")</f>
        <v>103144235.05</v>
      </c>
      <c r="J497" s="52" t="n">
        <f aca="false">IF(AND(ISNUMBER($G497),$G497&gt;=MA_MED),AVERAGE(INDEX($C$97:$C497,402-MA_MED):$C497),"")</f>
        <v>105022946.64</v>
      </c>
      <c r="K497" s="52" t="n">
        <f aca="false">IF(AND(ISNUMBER($G497),$G497&gt;=MA_LONG2),AVERAGE(INDEX($C$97:$C497,402-MA_LONG2):$C497),"")</f>
        <v>109938838.34</v>
      </c>
      <c r="L497" s="53" t="n">
        <f aca="false">IF(AND(ISNUMBER($G497),$G497&gt;=21),STDEV(INDEX($H$437:$H497,62-20):$H497)*SQRT(245),"")</f>
        <v>0.137903897012192</v>
      </c>
      <c r="M497" s="52" t="n">
        <f aca="false">IF(AND(ISNUMBER($G497),$G497&gt;=60),MAX(INDEX($D$297:$D497,202-60):$D497),"")</f>
        <v>110081599</v>
      </c>
      <c r="N497" s="52" t="n">
        <f aca="false">IF(AND(ISNUMBER($G497),$G497&gt;=60),MIN(INDEX($E$297:$E497,202-60):$E497),"")</f>
        <v>100392280</v>
      </c>
      <c r="O497" s="53" t="n">
        <f aca="false">IF(OR(NOT(ISNUMBER($C497)),NOT(ISNUMBER($M497)),$M497=0),"",$C497/$M497-1)</f>
        <v>-0.0502565555938191</v>
      </c>
      <c r="P497" s="54"/>
      <c r="Q497" s="53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104506434</v>
      </c>
      <c r="D498" s="49" t="n">
        <v>104892471</v>
      </c>
      <c r="E498" s="49" t="n">
        <v>104181443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-0.000409787625791025</v>
      </c>
      <c r="I498" s="52" t="n">
        <f aca="false">IF(AND(ISNUMBER($G498),$G498&gt;=MA_SHORT),AVERAGE(INDEX($C$98:$C498,402-MA_SHORT):$C498),"")</f>
        <v>103194595.45</v>
      </c>
      <c r="J498" s="52" t="n">
        <f aca="false">IF(AND(ISNUMBER($G498),$G498&gt;=MA_MED),AVERAGE(INDEX($C$98:$C498,402-MA_MED):$C498),"")</f>
        <v>105031081.58</v>
      </c>
      <c r="K498" s="52" t="n">
        <f aca="false">IF(AND(ISNUMBER($G498),$G498&gt;=MA_LONG2),AVERAGE(INDEX($C$98:$C498,402-MA_LONG2):$C498),"")</f>
        <v>109885671.43</v>
      </c>
      <c r="L498" s="53" t="n">
        <f aca="false">IF(AND(ISNUMBER($G498),$G498&gt;=21),STDEV(INDEX($H$438:$H498,62-20):$H498)*SQRT(245),"")</f>
        <v>0.134195353635729</v>
      </c>
      <c r="M498" s="52" t="n">
        <f aca="false">IF(AND(ISNUMBER($G498),$G498&gt;=60),MAX(INDEX($D$298:$D498,202-60):$D498),"")</f>
        <v>110081599</v>
      </c>
      <c r="N498" s="52" t="n">
        <f aca="false">IF(AND(ISNUMBER($G498),$G498&gt;=60),MIN(INDEX($E$298:$E498,202-60):$E498),"")</f>
        <v>100392280</v>
      </c>
      <c r="O498" s="53" t="n">
        <f aca="false">IF(OR(NOT(ISNUMBER($C498)),NOT(ISNUMBER($M498)),$M498=0),"",$C498/$M498-1)</f>
        <v>-0.0506457487050129</v>
      </c>
      <c r="P498" s="54"/>
      <c r="Q498" s="53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104937078</v>
      </c>
      <c r="D499" s="49" t="n">
        <v>105320154</v>
      </c>
      <c r="E499" s="49" t="n">
        <v>104835416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0.0041207415038198</v>
      </c>
      <c r="I499" s="52" t="n">
        <f aca="false">IF(AND(ISNUMBER($G499),$G499&gt;=MA_SHORT),AVERAGE(INDEX($C$99:$C499,402-MA_SHORT):$C499),"")</f>
        <v>103219914.85</v>
      </c>
      <c r="J499" s="52" t="n">
        <f aca="false">IF(AND(ISNUMBER($G499),$G499&gt;=MA_MED),AVERAGE(INDEX($C$99:$C499,402-MA_MED):$C499),"")</f>
        <v>105046018.32</v>
      </c>
      <c r="K499" s="52" t="n">
        <f aca="false">IF(AND(ISNUMBER($G499),$G499&gt;=MA_LONG2),AVERAGE(INDEX($C$99:$C499,402-MA_LONG2):$C499),"")</f>
        <v>109842623.94</v>
      </c>
      <c r="L499" s="53" t="n">
        <f aca="false">IF(AND(ISNUMBER($G499),$G499&gt;=21),STDEV(INDEX($H$439:$H499,62-20):$H499)*SQRT(245),"")</f>
        <v>0.131274306071968</v>
      </c>
      <c r="M499" s="52" t="n">
        <f aca="false">IF(AND(ISNUMBER($G499),$G499&gt;=60),MAX(INDEX($D$299:$D499,202-60):$D499),"")</f>
        <v>110081599</v>
      </c>
      <c r="N499" s="52" t="n">
        <f aca="false">IF(AND(ISNUMBER($G499),$G499&gt;=60),MIN(INDEX($E$299:$E499,202-60):$E499),"")</f>
        <v>100392280</v>
      </c>
      <c r="O499" s="53" t="n">
        <f aca="false">IF(OR(NOT(ISNUMBER($C499)),NOT(ISNUMBER($M499)),$M499=0),"",$C499/$M499-1)</f>
        <v>-0.046733705239874</v>
      </c>
      <c r="P499" s="54"/>
      <c r="Q499" s="53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105990679</v>
      </c>
      <c r="D500" s="49" t="n">
        <v>106130301</v>
      </c>
      <c r="E500" s="49" t="n">
        <v>105857164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0.0100403119667578</v>
      </c>
      <c r="I500" s="52" t="n">
        <f aca="false">IF(AND(ISNUMBER($G500),$G500&gt;=MA_SHORT),AVERAGE(INDEX($C$100:$C500,402-MA_SHORT):$C500),"")</f>
        <v>103339118.35</v>
      </c>
      <c r="J500" s="52" t="n">
        <f aca="false">IF(AND(ISNUMBER($G500),$G500&gt;=MA_MED),AVERAGE(INDEX($C$100:$C500,402-MA_MED):$C500),"")</f>
        <v>105064360.58</v>
      </c>
      <c r="K500" s="52" t="n">
        <f aca="false">IF(AND(ISNUMBER($G500),$G500&gt;=MA_LONG2),AVERAGE(INDEX($C$100:$C500,402-MA_LONG2):$C500),"")</f>
        <v>109794119.44</v>
      </c>
      <c r="L500" s="53" t="n">
        <f aca="false">IF(AND(ISNUMBER($G500),$G500&gt;=21),STDEV(INDEX($H$440:$H500,62-20):$H500)*SQRT(245),"")</f>
        <v>0.131890890451714</v>
      </c>
      <c r="M500" s="52" t="n">
        <f aca="false">IF(AND(ISNUMBER($G500),$G500&gt;=60),MAX(INDEX($D$300:$D500,202-60):$D500),"")</f>
        <v>110081599</v>
      </c>
      <c r="N500" s="52" t="n">
        <f aca="false">IF(AND(ISNUMBER($G500),$G500&gt;=60),MIN(INDEX($E$300:$E500,202-60):$E500),"")</f>
        <v>100392280</v>
      </c>
      <c r="O500" s="53" t="n">
        <f aca="false">IF(OR(NOT(ISNUMBER($C500)),NOT(ISNUMBER($M500)),$M500=0),"",$C500/$M500-1)</f>
        <v>-0.037162614253087</v>
      </c>
      <c r="P500" s="54"/>
      <c r="Q500" s="53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104116215</v>
      </c>
      <c r="D501" s="49" t="n">
        <v>104305504</v>
      </c>
      <c r="E501" s="49" t="n">
        <v>103215144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-0.017685177769264</v>
      </c>
      <c r="I501" s="52" t="n">
        <f aca="false">IF(AND(ISNUMBER($G501),$G501&gt;=MA_SHORT),AVERAGE(INDEX($C$101:$C501,402-MA_SHORT):$C501),"")</f>
        <v>103401307.55</v>
      </c>
      <c r="J501" s="52" t="n">
        <f aca="false">IF(AND(ISNUMBER($G501),$G501&gt;=MA_MED),AVERAGE(INDEX($C$101:$C501,402-MA_MED):$C501),"")</f>
        <v>105075908.14</v>
      </c>
      <c r="K501" s="52" t="n">
        <f aca="false">IF(AND(ISNUMBER($G501),$G501&gt;=MA_LONG2),AVERAGE(INDEX($C$101:$C501,402-MA_LONG2):$C501),"")</f>
        <v>109751361.82</v>
      </c>
      <c r="L501" s="53" t="n">
        <f aca="false">IF(AND(ISNUMBER($G501),$G501&gt;=21),STDEV(INDEX($H$441:$H501,62-20):$H501)*SQRT(245),"")</f>
        <v>0.145012605167883</v>
      </c>
      <c r="M501" s="52" t="n">
        <f aca="false">IF(AND(ISNUMBER($G501),$G501&gt;=60),MAX(INDEX($D$301:$D501,202-60):$D501),"")</f>
        <v>110081599</v>
      </c>
      <c r="N501" s="52" t="n">
        <f aca="false">IF(AND(ISNUMBER($G501),$G501&gt;=60),MIN(INDEX($E$301:$E501,202-60):$E501),"")</f>
        <v>100392280</v>
      </c>
      <c r="O501" s="53" t="n">
        <f aca="false">IF(OR(NOT(ISNUMBER($C501)),NOT(ISNUMBER($M501)),$M501=0),"",$C501/$M501-1)</f>
        <v>-0.0541905645829145</v>
      </c>
      <c r="P501" s="54"/>
      <c r="Q501" s="53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106218754</v>
      </c>
      <c r="D502" s="49" t="n">
        <v>106446454</v>
      </c>
      <c r="E502" s="49" t="n">
        <v>106209061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0.0201941551563318</v>
      </c>
      <c r="I502" s="52" t="n">
        <f aca="false">IF(AND(ISNUMBER($G502),$G502&gt;=MA_SHORT),AVERAGE(INDEX($C$102:$C502,402-MA_SHORT):$C502),"")</f>
        <v>103558325.3</v>
      </c>
      <c r="J502" s="52" t="n">
        <f aca="false">IF(AND(ISNUMBER($G502),$G502&gt;=MA_MED),AVERAGE(INDEX($C$102:$C502,402-MA_MED):$C502),"")</f>
        <v>105130020</v>
      </c>
      <c r="K502" s="52" t="n">
        <f aca="false">IF(AND(ISNUMBER($G502),$G502&gt;=MA_LONG2),AVERAGE(INDEX($C$102:$C502,402-MA_LONG2):$C502),"")</f>
        <v>109734578.63</v>
      </c>
      <c r="L502" s="53" t="n">
        <f aca="false">IF(AND(ISNUMBER($G502),$G502&gt;=21),STDEV(INDEX($H$442:$H502,62-20):$H502)*SQRT(245),"")</f>
        <v>0.160377371367453</v>
      </c>
      <c r="M502" s="52" t="n">
        <f aca="false">IF(AND(ISNUMBER($G502),$G502&gt;=60),MAX(INDEX($D$302:$D502,202-60):$D502),"")</f>
        <v>110081599</v>
      </c>
      <c r="N502" s="52" t="n">
        <f aca="false">IF(AND(ISNUMBER($G502),$G502&gt;=60),MIN(INDEX($E$302:$E502,202-60):$E502),"")</f>
        <v>100392280</v>
      </c>
      <c r="O502" s="53" t="n">
        <f aca="false">IF(OR(NOT(ISNUMBER($C502)),NOT(ISNUMBER($M502)),$M502=0),"",$C502/$M502-1)</f>
        <v>-0.0350907420957793</v>
      </c>
      <c r="P502" s="54"/>
      <c r="Q502" s="53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107386629</v>
      </c>
      <c r="D503" s="49" t="n">
        <v>107417430</v>
      </c>
      <c r="E503" s="49" t="n">
        <v>107158870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0.010994998114928</v>
      </c>
      <c r="I503" s="52" t="n">
        <f aca="false">IF(AND(ISNUMBER($G503),$G503&gt;=MA_SHORT),AVERAGE(INDEX($C$103:$C503,402-MA_SHORT):$C503),"")</f>
        <v>103892258.95</v>
      </c>
      <c r="J503" s="52" t="n">
        <f aca="false">IF(AND(ISNUMBER($G503),$G503&gt;=MA_MED),AVERAGE(INDEX($C$103:$C503,402-MA_MED):$C503),"")</f>
        <v>105217393.26</v>
      </c>
      <c r="K503" s="52" t="n">
        <f aca="false">IF(AND(ISNUMBER($G503),$G503&gt;=MA_LONG2),AVERAGE(INDEX($C$103:$C503,402-MA_LONG2):$C503),"")</f>
        <v>109727425.245</v>
      </c>
      <c r="L503" s="53" t="n">
        <f aca="false">IF(AND(ISNUMBER($G503),$G503&gt;=21),STDEV(INDEX($H$443:$H503,62-20):$H503)*SQRT(245),"")</f>
        <v>0.135481994150388</v>
      </c>
      <c r="M503" s="52" t="n">
        <f aca="false">IF(AND(ISNUMBER($G503),$G503&gt;=60),MAX(INDEX($D$303:$D503,202-60):$D503),"")</f>
        <v>110081599</v>
      </c>
      <c r="N503" s="52" t="n">
        <f aca="false">IF(AND(ISNUMBER($G503),$G503&gt;=60),MIN(INDEX($E$303:$E503,202-60):$E503),"")</f>
        <v>100392280</v>
      </c>
      <c r="O503" s="53" t="n">
        <f aca="false">IF(OR(NOT(ISNUMBER($C503)),NOT(ISNUMBER($M503)),$M503=0),"",$C503/$M503-1)</f>
        <v>-0.0244815666240459</v>
      </c>
      <c r="P503" s="54"/>
      <c r="Q503" s="53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107465892</v>
      </c>
      <c r="D504" s="49" t="n">
        <v>107622593</v>
      </c>
      <c r="E504" s="49" t="n">
        <v>107047808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0.000738108652241998</v>
      </c>
      <c r="I504" s="52" t="n">
        <f aca="false">IF(AND(ISNUMBER($G504),$G504&gt;=MA_SHORT),AVERAGE(INDEX($C$104:$C504,402-MA_SHORT):$C504),"")</f>
        <v>104204454.8</v>
      </c>
      <c r="J504" s="52" t="n">
        <f aca="false">IF(AND(ISNUMBER($G504),$G504&gt;=MA_MED),AVERAGE(INDEX($C$104:$C504,402-MA_MED):$C504),"")</f>
        <v>105232743.84</v>
      </c>
      <c r="K504" s="52" t="n">
        <f aca="false">IF(AND(ISNUMBER($G504),$G504&gt;=MA_LONG2),AVERAGE(INDEX($C$104:$C504,402-MA_LONG2):$C504),"")</f>
        <v>109713047.575</v>
      </c>
      <c r="L504" s="53" t="n">
        <f aca="false">IF(AND(ISNUMBER($G504),$G504&gt;=21),STDEV(INDEX($H$444:$H504,62-20):$H504)*SQRT(245),"")</f>
        <v>0.135573783102082</v>
      </c>
      <c r="M504" s="52" t="n">
        <f aca="false">IF(AND(ISNUMBER($G504),$G504&gt;=60),MAX(INDEX($D$304:$D504,202-60):$D504),"")</f>
        <v>110081599</v>
      </c>
      <c r="N504" s="52" t="n">
        <f aca="false">IF(AND(ISNUMBER($G504),$G504&gt;=60),MIN(INDEX($E$304:$E504,202-60):$E504),"")</f>
        <v>100392280</v>
      </c>
      <c r="O504" s="53" t="n">
        <f aca="false">IF(OR(NOT(ISNUMBER($C504)),NOT(ISNUMBER($M504)),$M504=0),"",$C504/$M504-1)</f>
        <v>-0.0237615280279495</v>
      </c>
      <c r="P504" s="54"/>
      <c r="Q504" s="53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  <c r="P505" s="54"/>
      <c r="Q505" s="53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  <c r="P506" s="54"/>
      <c r="Q506" s="53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  <c r="P507" s="54"/>
      <c r="Q507" s="53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  <c r="P508" s="54"/>
      <c r="Q508" s="53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  <c r="P509" s="54"/>
      <c r="Q509" s="53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  <c r="P510" s="54"/>
      <c r="Q510" s="53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  <c r="P511" s="54"/>
      <c r="Q511" s="53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  <c r="P512" s="54"/>
      <c r="Q512" s="53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  <c r="P513" s="54"/>
      <c r="Q513" s="53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  <c r="P514" s="54"/>
      <c r="Q514" s="53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  <c r="P515" s="54"/>
      <c r="Q515" s="53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  <c r="P516" s="54"/>
      <c r="Q516" s="53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  <c r="P517" s="54"/>
      <c r="Q517" s="53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  <c r="P518" s="54"/>
      <c r="Q518" s="53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  <c r="P519" s="54"/>
      <c r="Q519" s="53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  <c r="P520" s="54"/>
      <c r="Q520" s="53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  <c r="P521" s="54"/>
      <c r="Q521" s="53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  <c r="P522" s="54"/>
      <c r="Q522" s="53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  <c r="P523" s="54"/>
      <c r="Q523" s="53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  <c r="P524" s="54"/>
      <c r="Q524" s="53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  <c r="P525" s="54"/>
      <c r="Q525" s="53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  <c r="P526" s="54"/>
      <c r="Q526" s="53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  <c r="P527" s="54"/>
      <c r="Q527" s="53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  <c r="P528" s="54"/>
      <c r="Q528" s="53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  <c r="P529" s="54"/>
      <c r="Q529" s="53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  <c r="P530" s="54"/>
      <c r="Q530" s="53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  <c r="P531" s="54"/>
      <c r="Q531" s="53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  <c r="P532" s="54"/>
      <c r="Q532" s="53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  <c r="P533" s="54"/>
      <c r="Q533" s="53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  <c r="P534" s="54"/>
      <c r="Q534" s="53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  <c r="P535" s="54"/>
      <c r="Q535" s="53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  <c r="P536" s="54"/>
      <c r="Q536" s="53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  <c r="P537" s="54"/>
      <c r="Q537" s="53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  <c r="P538" s="54"/>
      <c r="Q538" s="53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  <c r="P539" s="54"/>
      <c r="Q539" s="53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  <c r="P540" s="54"/>
      <c r="Q540" s="53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  <c r="P541" s="54"/>
      <c r="Q541" s="53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  <c r="P542" s="54"/>
      <c r="Q542" s="53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  <c r="P543" s="54"/>
      <c r="Q543" s="53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  <c r="P544" s="54"/>
      <c r="Q544" s="53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  <c r="P545" s="54"/>
      <c r="Q545" s="53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  <c r="P546" s="54"/>
      <c r="Q546" s="53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  <c r="P547" s="54"/>
      <c r="Q547" s="53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  <c r="P548" s="54"/>
      <c r="Q548" s="53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  <c r="P549" s="54"/>
      <c r="Q549" s="53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  <c r="P550" s="54"/>
      <c r="Q550" s="53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  <c r="P551" s="54"/>
      <c r="Q551" s="53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  <c r="P552" s="54"/>
      <c r="Q552" s="53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  <c r="P553" s="54"/>
      <c r="Q553" s="53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  <c r="P554" s="54"/>
      <c r="Q554" s="53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  <c r="P555" s="54"/>
      <c r="Q555" s="53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  <c r="P556" s="54"/>
      <c r="Q556" s="53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  <c r="P557" s="54"/>
      <c r="Q557" s="53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  <c r="P558" s="54"/>
      <c r="Q558" s="53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  <c r="P559" s="54"/>
      <c r="Q559" s="53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  <c r="P560" s="54"/>
      <c r="Q560" s="53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  <c r="P561" s="54"/>
      <c r="Q561" s="53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  <c r="P562" s="54"/>
      <c r="Q562" s="53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  <c r="P563" s="54"/>
      <c r="Q563" s="53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  <c r="P564" s="54"/>
      <c r="Q564" s="53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  <c r="P565" s="54"/>
      <c r="Q565" s="53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  <c r="P566" s="54"/>
      <c r="Q566" s="53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  <c r="P567" s="54"/>
      <c r="Q567" s="53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  <c r="P568" s="54"/>
      <c r="Q568" s="53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  <c r="P569" s="54"/>
      <c r="Q569" s="53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  <c r="P570" s="54"/>
      <c r="Q570" s="53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  <c r="P571" s="54"/>
      <c r="Q571" s="53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  <c r="P572" s="54"/>
      <c r="Q572" s="53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  <c r="P573" s="54"/>
      <c r="Q573" s="53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  <c r="P574" s="54"/>
      <c r="Q574" s="53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  <c r="P575" s="54"/>
      <c r="Q575" s="53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  <c r="P576" s="54"/>
      <c r="Q576" s="53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  <c r="P577" s="54"/>
      <c r="Q577" s="53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  <c r="P578" s="54"/>
      <c r="Q578" s="53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  <c r="P579" s="54"/>
      <c r="Q579" s="53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  <c r="P580" s="54"/>
      <c r="Q580" s="53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  <c r="P581" s="54"/>
      <c r="Q581" s="53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  <c r="P582" s="54"/>
      <c r="Q582" s="53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  <c r="P583" s="54"/>
      <c r="Q583" s="53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  <c r="P584" s="54"/>
      <c r="Q584" s="53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  <c r="P585" s="54"/>
      <c r="Q585" s="53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  <c r="P586" s="54"/>
      <c r="Q586" s="53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  <c r="P587" s="54"/>
      <c r="Q587" s="53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  <c r="P588" s="54"/>
      <c r="Q588" s="53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  <c r="P589" s="54"/>
      <c r="Q589" s="53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  <c r="P590" s="54"/>
      <c r="Q590" s="53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  <c r="P591" s="54"/>
      <c r="Q591" s="53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  <c r="P592" s="54"/>
      <c r="Q592" s="53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  <c r="P593" s="54"/>
      <c r="Q593" s="53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  <c r="P594" s="54"/>
      <c r="Q594" s="53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  <c r="P595" s="54"/>
      <c r="Q595" s="53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  <c r="P596" s="54"/>
      <c r="Q596" s="53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  <c r="P597" s="54"/>
      <c r="Q597" s="53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  <c r="P598" s="54"/>
      <c r="Q598" s="53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  <c r="P599" s="54"/>
      <c r="Q599" s="53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  <c r="P600" s="54"/>
      <c r="Q600" s="53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  <c r="P601" s="54"/>
      <c r="Q601" s="53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  <c r="P602" s="54"/>
      <c r="Q602" s="53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  <c r="P603" s="54"/>
      <c r="Q603" s="53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  <c r="P604" s="54"/>
      <c r="Q604" s="53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  <c r="P605" s="54"/>
      <c r="Q605" s="53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  <c r="P606" s="54"/>
      <c r="Q606" s="53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  <c r="P607" s="54"/>
      <c r="Q607" s="53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  <c r="P608" s="54"/>
      <c r="Q608" s="53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  <c r="P609" s="54"/>
      <c r="Q609" s="53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  <c r="P610" s="54"/>
      <c r="Q610" s="53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  <c r="P611" s="54"/>
      <c r="Q611" s="53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  <c r="P612" s="54"/>
      <c r="Q612" s="53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  <c r="P613" s="54"/>
      <c r="Q613" s="53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  <c r="P614" s="54"/>
      <c r="Q614" s="53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  <c r="P615" s="54"/>
      <c r="Q615" s="53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  <c r="P616" s="54"/>
      <c r="Q616" s="53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  <c r="P617" s="54"/>
      <c r="Q617" s="53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  <c r="P618" s="54"/>
      <c r="Q618" s="53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  <c r="P619" s="54"/>
      <c r="Q619" s="53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  <c r="P620" s="54"/>
      <c r="Q620" s="53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  <c r="P621" s="54"/>
      <c r="Q621" s="53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  <c r="P622" s="54"/>
      <c r="Q622" s="53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  <c r="P623" s="54"/>
      <c r="Q623" s="53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  <c r="P624" s="54"/>
      <c r="Q624" s="53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  <c r="P625" s="54"/>
      <c r="Q625" s="53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  <c r="P626" s="54"/>
      <c r="Q626" s="53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  <c r="P627" s="54"/>
      <c r="Q627" s="53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  <c r="P628" s="54"/>
      <c r="Q628" s="53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  <c r="P629" s="54"/>
      <c r="Q629" s="53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  <c r="P630" s="54"/>
      <c r="Q630" s="53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  <c r="P631" s="54"/>
      <c r="Q631" s="53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  <c r="P632" s="54"/>
      <c r="Q632" s="53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  <c r="P633" s="54"/>
      <c r="Q633" s="53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  <c r="P634" s="54"/>
      <c r="Q634" s="53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  <c r="P635" s="54"/>
      <c r="Q635" s="53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  <c r="P636" s="54"/>
      <c r="Q636" s="53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  <c r="P637" s="54"/>
      <c r="Q637" s="53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  <c r="P638" s="54"/>
      <c r="Q638" s="53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  <c r="P639" s="54"/>
      <c r="Q639" s="53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  <c r="P640" s="54"/>
      <c r="Q640" s="53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  <c r="P641" s="54"/>
      <c r="Q641" s="53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  <c r="P642" s="54"/>
      <c r="Q642" s="53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  <c r="P643" s="54"/>
      <c r="Q643" s="53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  <c r="P644" s="54"/>
      <c r="Q644" s="53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  <c r="P645" s="54"/>
      <c r="Q645" s="53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  <c r="P646" s="54"/>
      <c r="Q646" s="53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  <c r="P647" s="54"/>
      <c r="Q647" s="53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  <c r="P648" s="54"/>
      <c r="Q648" s="53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  <c r="P649" s="54"/>
      <c r="Q649" s="53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  <c r="P650" s="54"/>
      <c r="Q650" s="53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  <c r="P651" s="54"/>
      <c r="Q651" s="53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  <c r="P652" s="54"/>
      <c r="Q652" s="53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  <c r="P653" s="54"/>
      <c r="Q653" s="53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  <c r="P654" s="54"/>
      <c r="Q654" s="53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  <c r="P655" s="54"/>
      <c r="Q655" s="53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  <c r="P656" s="54"/>
      <c r="Q656" s="53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  <c r="P657" s="54"/>
      <c r="Q657" s="53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  <c r="P658" s="54"/>
      <c r="Q658" s="53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  <c r="P659" s="54"/>
      <c r="Q659" s="53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  <c r="P660" s="54"/>
      <c r="Q660" s="53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  <c r="P661" s="54"/>
      <c r="Q661" s="53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  <c r="P662" s="54"/>
      <c r="Q662" s="53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  <c r="P663" s="54"/>
      <c r="Q663" s="53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  <c r="P664" s="54"/>
      <c r="Q664" s="53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  <c r="P665" s="54"/>
      <c r="Q665" s="53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  <c r="P666" s="54"/>
      <c r="Q666" s="53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  <c r="P667" s="54"/>
      <c r="Q667" s="53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  <c r="P668" s="54"/>
      <c r="Q668" s="53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  <c r="P669" s="54"/>
      <c r="Q669" s="53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  <c r="P670" s="54"/>
      <c r="Q670" s="53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  <c r="P671" s="54"/>
      <c r="Q671" s="53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  <c r="P672" s="54"/>
      <c r="Q672" s="53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  <c r="P673" s="54"/>
      <c r="Q673" s="53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  <c r="P674" s="54"/>
      <c r="Q674" s="53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  <c r="P675" s="54"/>
      <c r="Q675" s="53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  <c r="P676" s="54"/>
      <c r="Q676" s="53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  <c r="P677" s="54"/>
      <c r="Q677" s="53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  <c r="P678" s="54"/>
      <c r="Q678" s="53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  <c r="P679" s="54"/>
      <c r="Q679" s="53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  <c r="P680" s="54"/>
      <c r="Q680" s="53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  <c r="P681" s="54"/>
      <c r="Q681" s="53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  <c r="P682" s="54"/>
      <c r="Q682" s="53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  <c r="P683" s="54"/>
      <c r="Q683" s="53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  <c r="P684" s="54"/>
      <c r="Q684" s="53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  <c r="P685" s="54"/>
      <c r="Q685" s="53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  <c r="P686" s="54"/>
      <c r="Q686" s="53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  <c r="P687" s="54"/>
      <c r="Q687" s="53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  <c r="P688" s="54"/>
      <c r="Q688" s="53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  <c r="P689" s="54"/>
      <c r="Q689" s="53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  <c r="P690" s="54"/>
      <c r="Q690" s="53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  <c r="P691" s="54"/>
      <c r="Q691" s="53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  <c r="P692" s="54"/>
      <c r="Q692" s="53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  <c r="P693" s="54"/>
      <c r="Q693" s="53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  <c r="P694" s="54"/>
      <c r="Q694" s="53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  <c r="P695" s="54"/>
      <c r="Q695" s="53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  <c r="P696" s="54"/>
      <c r="Q696" s="53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  <c r="P697" s="54"/>
      <c r="Q697" s="53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  <c r="P698" s="54"/>
      <c r="Q698" s="53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  <c r="P699" s="54"/>
      <c r="Q699" s="53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  <c r="P700" s="54"/>
      <c r="Q700" s="53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  <c r="P701" s="54"/>
      <c r="Q701" s="53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  <c r="P702" s="54"/>
      <c r="Q702" s="53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  <c r="P703" s="54"/>
      <c r="Q703" s="53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  <c r="P704" s="54"/>
      <c r="Q704" s="53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  <c r="P705" s="54"/>
      <c r="Q705" s="53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  <c r="P706" s="54"/>
      <c r="Q706" s="53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  <c r="P707" s="54"/>
      <c r="Q707" s="53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  <c r="P708" s="54"/>
      <c r="Q708" s="53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  <c r="P709" s="54"/>
      <c r="Q709" s="53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  <c r="P710" s="54"/>
      <c r="Q710" s="53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  <c r="P711" s="54"/>
      <c r="Q711" s="53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  <c r="P712" s="54"/>
      <c r="Q712" s="53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  <c r="P713" s="54"/>
      <c r="Q713" s="53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  <c r="P714" s="54"/>
      <c r="Q714" s="53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  <c r="P715" s="54"/>
      <c r="Q715" s="53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  <c r="P716" s="54"/>
      <c r="Q716" s="53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  <c r="P717" s="54"/>
      <c r="Q717" s="53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  <c r="P718" s="54"/>
      <c r="Q718" s="53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  <c r="P719" s="54"/>
      <c r="Q719" s="53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  <c r="P720" s="54"/>
      <c r="Q720" s="53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  <c r="P721" s="54"/>
      <c r="Q721" s="53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  <c r="P722" s="54"/>
      <c r="Q722" s="53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  <c r="P723" s="54"/>
      <c r="Q723" s="53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  <c r="P724" s="54"/>
      <c r="Q724" s="53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  <c r="P725" s="54"/>
      <c r="Q725" s="53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  <c r="P726" s="54"/>
      <c r="Q726" s="53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  <c r="P727" s="54"/>
      <c r="Q727" s="53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  <c r="P728" s="54"/>
      <c r="Q728" s="53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  <c r="P729" s="54"/>
      <c r="Q729" s="53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  <c r="P730" s="54"/>
      <c r="Q730" s="53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  <c r="P731" s="54"/>
      <c r="Q731" s="53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  <c r="P732" s="54"/>
      <c r="Q732" s="53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  <c r="P733" s="54"/>
      <c r="Q733" s="53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  <c r="P734" s="54"/>
      <c r="Q734" s="53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  <c r="P735" s="54"/>
      <c r="Q735" s="53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  <c r="P736" s="54"/>
      <c r="Q736" s="53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  <c r="P737" s="54"/>
      <c r="Q737" s="53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  <c r="P738" s="54"/>
      <c r="Q738" s="53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  <c r="P739" s="54"/>
      <c r="Q739" s="53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  <c r="P740" s="54"/>
      <c r="Q740" s="53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  <c r="P741" s="54"/>
      <c r="Q741" s="53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  <c r="P742" s="54"/>
      <c r="Q742" s="53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  <c r="P743" s="54"/>
      <c r="Q743" s="53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  <c r="P744" s="54"/>
      <c r="Q744" s="53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  <c r="P745" s="54"/>
      <c r="Q745" s="53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  <c r="P746" s="54"/>
      <c r="Q746" s="53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  <c r="P747" s="54"/>
      <c r="Q747" s="53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  <c r="P748" s="54"/>
      <c r="Q748" s="53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  <c r="P749" s="54"/>
      <c r="Q749" s="53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  <c r="P750" s="54"/>
      <c r="Q750" s="53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  <c r="P751" s="54"/>
      <c r="Q751" s="53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  <c r="P752" s="54"/>
      <c r="Q752" s="53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  <c r="P753" s="54"/>
      <c r="Q753" s="53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  <c r="P754" s="54"/>
      <c r="Q754" s="53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  <c r="P755" s="54"/>
      <c r="Q755" s="53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  <c r="P756" s="54"/>
      <c r="Q756" s="53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  <c r="P757" s="54"/>
      <c r="Q757" s="53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  <c r="P758" s="54"/>
      <c r="Q758" s="53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  <c r="P759" s="54"/>
      <c r="Q759" s="53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  <c r="P760" s="54"/>
      <c r="Q760" s="53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  <c r="P761" s="54"/>
      <c r="Q761" s="53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  <c r="P762" s="54"/>
      <c r="Q762" s="53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  <c r="P763" s="54"/>
      <c r="Q763" s="53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  <c r="P764" s="54"/>
      <c r="Q764" s="53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  <c r="P765" s="54"/>
      <c r="Q765" s="53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  <c r="P766" s="54"/>
      <c r="Q766" s="53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  <c r="P767" s="54"/>
      <c r="Q767" s="53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  <c r="P768" s="54"/>
      <c r="Q768" s="53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  <c r="P769" s="54"/>
      <c r="Q769" s="53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  <c r="P770" s="54"/>
      <c r="Q770" s="53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  <c r="P771" s="54"/>
      <c r="Q771" s="53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  <c r="P772" s="54"/>
      <c r="Q772" s="53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  <c r="P773" s="54"/>
      <c r="Q773" s="53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  <c r="P774" s="54"/>
      <c r="Q774" s="53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  <c r="P775" s="54"/>
      <c r="Q775" s="53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  <c r="P776" s="54"/>
      <c r="Q776" s="53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  <c r="P777" s="54"/>
      <c r="Q777" s="53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  <c r="P778" s="54"/>
      <c r="Q778" s="53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  <c r="P779" s="54"/>
      <c r="Q779" s="53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  <c r="P780" s="54"/>
      <c r="Q780" s="53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  <c r="P781" s="54"/>
      <c r="Q781" s="53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  <c r="P782" s="54"/>
      <c r="Q782" s="53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  <c r="P783" s="54"/>
      <c r="Q783" s="53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  <c r="P784" s="54"/>
      <c r="Q784" s="53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  <c r="P785" s="54"/>
      <c r="Q785" s="53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  <c r="P786" s="54"/>
      <c r="Q786" s="53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  <c r="P787" s="54"/>
      <c r="Q787" s="53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  <c r="P788" s="54"/>
      <c r="Q788" s="53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  <c r="P789" s="54"/>
      <c r="Q789" s="53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  <c r="P790" s="54"/>
      <c r="Q790" s="53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  <c r="P791" s="54"/>
      <c r="Q791" s="53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  <c r="P792" s="54"/>
      <c r="Q792" s="53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  <c r="P793" s="54"/>
      <c r="Q793" s="53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  <c r="P794" s="54"/>
      <c r="Q794" s="53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  <c r="P795" s="54"/>
      <c r="Q795" s="53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  <c r="P796" s="54"/>
      <c r="Q796" s="53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  <c r="P797" s="54"/>
      <c r="Q797" s="53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  <c r="P798" s="54"/>
      <c r="Q798" s="53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  <c r="P799" s="54"/>
      <c r="Q799" s="53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  <c r="P800" s="54"/>
      <c r="Q800" s="53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  <c r="P801" s="54"/>
      <c r="Q801" s="53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  <c r="P802" s="54"/>
      <c r="Q802" s="53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  <c r="P803" s="54"/>
      <c r="Q803" s="53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  <c r="P804" s="54"/>
      <c r="Q804" s="53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  <c r="P805" s="54"/>
      <c r="Q805" s="53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  <c r="P806" s="54"/>
      <c r="Q806" s="53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  <c r="P807" s="54"/>
      <c r="Q807" s="53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  <c r="P808" s="54"/>
      <c r="Q808" s="53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  <c r="P809" s="54"/>
      <c r="Q809" s="53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  <c r="P810" s="54"/>
      <c r="Q810" s="53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  <c r="P811" s="54"/>
      <c r="Q811" s="53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  <c r="P812" s="54"/>
      <c r="Q812" s="53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  <c r="P813" s="54"/>
      <c r="Q813" s="53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  <c r="P814" s="54"/>
      <c r="Q814" s="53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  <c r="P815" s="54"/>
      <c r="Q815" s="53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  <c r="P816" s="54"/>
      <c r="Q816" s="53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  <c r="P817" s="54"/>
      <c r="Q817" s="53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  <c r="P818" s="54"/>
      <c r="Q818" s="53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  <c r="P819" s="54"/>
      <c r="Q819" s="53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  <c r="P820" s="54"/>
      <c r="Q820" s="53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  <c r="P821" s="54"/>
      <c r="Q821" s="53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  <c r="P822" s="54"/>
      <c r="Q822" s="53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  <c r="P823" s="54"/>
      <c r="Q823" s="53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  <c r="P824" s="54"/>
      <c r="Q824" s="53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  <c r="P825" s="54"/>
      <c r="Q825" s="53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  <c r="P826" s="54"/>
      <c r="Q826" s="53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  <c r="P827" s="54"/>
      <c r="Q827" s="53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  <c r="P828" s="54"/>
      <c r="Q828" s="53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  <c r="P829" s="54"/>
      <c r="Q829" s="53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  <c r="P830" s="54"/>
      <c r="Q830" s="53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  <c r="P831" s="54"/>
      <c r="Q831" s="53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  <c r="P832" s="54"/>
      <c r="Q832" s="53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  <c r="P833" s="54"/>
      <c r="Q833" s="53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  <c r="P834" s="54"/>
      <c r="Q834" s="53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  <c r="P835" s="54"/>
      <c r="Q835" s="53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  <c r="P836" s="54"/>
      <c r="Q836" s="53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  <c r="P837" s="54"/>
      <c r="Q837" s="53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  <c r="P838" s="54"/>
      <c r="Q838" s="53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  <c r="P839" s="54"/>
      <c r="Q839" s="53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  <c r="P840" s="54"/>
      <c r="Q840" s="53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  <c r="P841" s="54"/>
      <c r="Q841" s="53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  <c r="P842" s="54"/>
      <c r="Q842" s="53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  <c r="P843" s="54"/>
      <c r="Q843" s="53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  <c r="P844" s="54"/>
      <c r="Q844" s="53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  <c r="P845" s="54"/>
      <c r="Q845" s="53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  <c r="P846" s="54"/>
      <c r="Q846" s="53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  <c r="P847" s="54"/>
      <c r="Q847" s="53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  <c r="P848" s="54"/>
      <c r="Q848" s="53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  <c r="P849" s="54"/>
      <c r="Q849" s="53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  <c r="P850" s="54"/>
      <c r="Q850" s="53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  <c r="P851" s="54"/>
      <c r="Q851" s="53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  <c r="P852" s="54"/>
      <c r="Q852" s="53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  <c r="P853" s="54"/>
      <c r="Q853" s="53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  <c r="P854" s="54"/>
      <c r="Q854" s="53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  <c r="P855" s="54"/>
      <c r="Q855" s="53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  <c r="P856" s="54"/>
      <c r="Q856" s="53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  <c r="P857" s="54"/>
      <c r="Q857" s="53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  <c r="P858" s="54"/>
      <c r="Q858" s="53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  <c r="P859" s="54"/>
      <c r="Q859" s="53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  <c r="P860" s="54"/>
      <c r="Q860" s="53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  <c r="P861" s="54"/>
      <c r="Q861" s="53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  <c r="P862" s="54"/>
      <c r="Q862" s="53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  <c r="P863" s="54"/>
      <c r="Q863" s="53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  <c r="P864" s="54"/>
      <c r="Q864" s="53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  <c r="P865" s="54"/>
      <c r="Q865" s="53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  <c r="P866" s="54"/>
      <c r="Q866" s="53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  <c r="P867" s="54"/>
      <c r="Q867" s="53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  <c r="P868" s="54"/>
      <c r="Q868" s="53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  <c r="P869" s="54"/>
      <c r="Q869" s="53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  <c r="P870" s="54"/>
      <c r="Q870" s="53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  <c r="P871" s="54"/>
      <c r="Q871" s="53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  <c r="P872" s="54"/>
      <c r="Q872" s="53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  <c r="P873" s="54"/>
      <c r="Q873" s="53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  <c r="P874" s="54"/>
      <c r="Q874" s="53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  <c r="P875" s="54"/>
      <c r="Q875" s="53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  <c r="P876" s="54"/>
      <c r="Q876" s="53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  <c r="P877" s="54"/>
      <c r="Q877" s="53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  <c r="P878" s="54"/>
      <c r="Q878" s="53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  <c r="P879" s="54"/>
      <c r="Q879" s="53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  <c r="P880" s="54"/>
      <c r="Q880" s="53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  <c r="P881" s="54"/>
      <c r="Q881" s="53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  <c r="P882" s="54"/>
      <c r="Q882" s="53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  <c r="P883" s="54"/>
      <c r="Q883" s="53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  <c r="P884" s="54"/>
      <c r="Q884" s="53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  <c r="P885" s="54"/>
      <c r="Q885" s="53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  <c r="P886" s="54"/>
      <c r="Q886" s="53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  <c r="P887" s="54"/>
      <c r="Q887" s="53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  <c r="P888" s="54"/>
      <c r="Q888" s="53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  <c r="P889" s="54"/>
      <c r="Q889" s="53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  <c r="P890" s="54"/>
      <c r="Q890" s="53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  <c r="P891" s="54"/>
      <c r="Q891" s="53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  <c r="P892" s="54"/>
      <c r="Q892" s="53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  <c r="P893" s="54"/>
      <c r="Q893" s="53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  <c r="P894" s="54"/>
      <c r="Q894" s="53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  <c r="P895" s="54"/>
      <c r="Q895" s="53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  <c r="P896" s="54"/>
      <c r="Q896" s="53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  <c r="P897" s="54"/>
      <c r="Q897" s="53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  <c r="P898" s="54"/>
      <c r="Q898" s="53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  <c r="P899" s="54"/>
      <c r="Q899" s="53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  <c r="P900" s="54"/>
      <c r="Q900" s="53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  <c r="P901" s="54"/>
      <c r="Q901" s="53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  <c r="P902" s="54"/>
      <c r="Q902" s="53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  <c r="P903" s="54"/>
      <c r="Q903" s="53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  <c r="P904" s="54"/>
      <c r="Q904" s="53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  <c r="P905" s="54"/>
      <c r="Q905" s="53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  <c r="P906" s="54"/>
      <c r="Q906" s="53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  <c r="P907" s="54"/>
      <c r="Q907" s="53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  <c r="P908" s="54"/>
      <c r="Q908" s="53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  <c r="P909" s="54"/>
      <c r="Q909" s="53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  <c r="P910" s="54"/>
      <c r="Q910" s="53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  <c r="P911" s="54"/>
      <c r="Q911" s="53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  <c r="P912" s="54"/>
      <c r="Q912" s="53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  <c r="P913" s="54"/>
      <c r="Q913" s="53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  <c r="P914" s="54"/>
      <c r="Q914" s="53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  <c r="P915" s="54"/>
      <c r="Q915" s="53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  <c r="P916" s="54"/>
      <c r="Q916" s="53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  <c r="P917" s="54"/>
      <c r="Q917" s="53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  <c r="P918" s="54"/>
      <c r="Q918" s="53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  <c r="P919" s="54"/>
      <c r="Q919" s="53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  <c r="P920" s="54"/>
      <c r="Q920" s="53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  <c r="P921" s="54"/>
      <c r="Q921" s="53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  <c r="P922" s="54"/>
      <c r="Q922" s="53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  <c r="P923" s="54"/>
      <c r="Q923" s="53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  <c r="P924" s="54"/>
      <c r="Q924" s="53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  <c r="P925" s="54"/>
      <c r="Q925" s="53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  <c r="P926" s="54"/>
      <c r="Q926" s="53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  <c r="P927" s="54"/>
      <c r="Q927" s="53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  <c r="P928" s="54"/>
      <c r="Q928" s="53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  <c r="P929" s="54"/>
      <c r="Q929" s="53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  <c r="P930" s="54"/>
      <c r="Q930" s="53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  <c r="P931" s="54"/>
      <c r="Q931" s="53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  <c r="P932" s="54"/>
      <c r="Q932" s="53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  <c r="P933" s="54"/>
      <c r="Q933" s="53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  <c r="P934" s="54"/>
      <c r="Q934" s="53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  <c r="P935" s="54"/>
      <c r="Q935" s="53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  <c r="P936" s="54"/>
      <c r="Q936" s="53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  <c r="P937" s="54"/>
      <c r="Q937" s="53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  <c r="P938" s="54"/>
      <c r="Q938" s="53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  <c r="P939" s="54"/>
      <c r="Q939" s="53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  <c r="P940" s="54"/>
      <c r="Q940" s="53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  <c r="P941" s="54"/>
      <c r="Q941" s="53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  <c r="P942" s="54"/>
      <c r="Q942" s="53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  <c r="P943" s="54"/>
      <c r="Q943" s="53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  <c r="P944" s="54"/>
      <c r="Q944" s="53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  <c r="P945" s="54"/>
      <c r="Q945" s="53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  <c r="P946" s="54"/>
      <c r="Q946" s="53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  <c r="P947" s="54"/>
      <c r="Q947" s="53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  <c r="P948" s="54"/>
      <c r="Q948" s="53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  <c r="P949" s="54"/>
      <c r="Q949" s="53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  <c r="P950" s="54"/>
      <c r="Q950" s="53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  <c r="P951" s="54"/>
      <c r="Q951" s="53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  <c r="P952" s="54"/>
      <c r="Q952" s="53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  <c r="P953" s="54"/>
      <c r="Q953" s="53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  <c r="P954" s="54"/>
      <c r="Q954" s="53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  <c r="P955" s="54"/>
      <c r="Q955" s="53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  <c r="P956" s="54"/>
      <c r="Q956" s="53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  <c r="P957" s="54"/>
      <c r="Q957" s="53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  <c r="P958" s="54"/>
      <c r="Q958" s="53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  <c r="P959" s="54"/>
      <c r="Q959" s="53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  <c r="P960" s="54"/>
      <c r="Q960" s="53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  <c r="P961" s="54"/>
      <c r="Q961" s="53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  <c r="P962" s="54"/>
      <c r="Q962" s="53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  <c r="P963" s="54"/>
      <c r="Q963" s="53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  <c r="P964" s="54"/>
      <c r="Q964" s="53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  <c r="P965" s="54"/>
      <c r="Q965" s="53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  <c r="P966" s="54"/>
      <c r="Q966" s="53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  <c r="P967" s="54"/>
      <c r="Q967" s="53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  <c r="P968" s="54"/>
      <c r="Q968" s="53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  <c r="P969" s="54"/>
      <c r="Q969" s="53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  <c r="P970" s="54"/>
      <c r="Q970" s="53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  <c r="P971" s="54"/>
      <c r="Q971" s="53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  <c r="P972" s="54"/>
      <c r="Q972" s="53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  <c r="P973" s="54"/>
      <c r="Q973" s="53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  <c r="P974" s="54"/>
      <c r="Q974" s="53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  <c r="P975" s="54"/>
      <c r="Q975" s="53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  <c r="P976" s="54"/>
      <c r="Q976" s="53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  <c r="P977" s="54"/>
      <c r="Q977" s="53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  <c r="P978" s="54"/>
      <c r="Q978" s="53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  <c r="P979" s="54"/>
      <c r="Q979" s="53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  <c r="P980" s="54"/>
      <c r="Q980" s="53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  <c r="P981" s="54"/>
      <c r="Q981" s="53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  <c r="P982" s="54"/>
      <c r="Q982" s="53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  <c r="P983" s="54"/>
      <c r="Q983" s="53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  <c r="P984" s="54"/>
      <c r="Q984" s="53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  <c r="P985" s="54"/>
      <c r="Q985" s="53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  <c r="P986" s="54"/>
      <c r="Q986" s="53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  <c r="P987" s="54"/>
      <c r="Q987" s="53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  <c r="P988" s="54"/>
      <c r="Q988" s="53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  <c r="P989" s="54"/>
      <c r="Q989" s="53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  <c r="P990" s="54"/>
      <c r="Q990" s="53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  <c r="P991" s="54"/>
      <c r="Q991" s="53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  <c r="P992" s="54"/>
      <c r="Q992" s="53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  <c r="P993" s="54"/>
      <c r="Q993" s="53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  <c r="P994" s="54"/>
      <c r="Q994" s="53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  <c r="P995" s="54"/>
      <c r="Q995" s="53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  <c r="P996" s="54"/>
      <c r="Q996" s="53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  <c r="P997" s="54"/>
      <c r="Q997" s="53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  <c r="P998" s="54"/>
      <c r="Q998" s="53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  <c r="P999" s="54"/>
      <c r="Q999" s="53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  <c r="P1000" s="54"/>
      <c r="Q1000" s="53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  <c r="P1001" s="54"/>
      <c r="Q1001" s="53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  <c r="P1002" s="54"/>
      <c r="Q1002" s="53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  <c r="P1003" s="54"/>
      <c r="Q1003" s="53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  <c r="P1004" s="54"/>
      <c r="Q1004" s="53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  <c r="P1005" s="54"/>
      <c r="Q1005" s="53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  <c r="P1006" s="54"/>
      <c r="Q1006" s="53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  <c r="P1007" s="54"/>
      <c r="Q1007" s="53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  <c r="P1008" s="54"/>
      <c r="Q1008" s="53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  <c r="P1009" s="54"/>
      <c r="Q1009" s="53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  <c r="P1010" s="54"/>
      <c r="Q1010" s="53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  <c r="P1011" s="54"/>
      <c r="Q1011" s="53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  <c r="P1012" s="54"/>
      <c r="Q1012" s="53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  <c r="P1013" s="54"/>
      <c r="Q1013" s="53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  <c r="P1014" s="54"/>
      <c r="Q1014" s="53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  <c r="P1015" s="54"/>
      <c r="Q1015" s="53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  <c r="P1016" s="54"/>
      <c r="Q1016" s="53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  <c r="P1017" s="54"/>
      <c r="Q1017" s="53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  <c r="P1018" s="54"/>
      <c r="Q1018" s="53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  <c r="P1019" s="54"/>
      <c r="Q1019" s="53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  <c r="P1020" s="54"/>
      <c r="Q1020" s="53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  <c r="P1021" s="54"/>
      <c r="Q1021" s="53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  <c r="P1022" s="54"/>
      <c r="Q1022" s="53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  <c r="P1023" s="54"/>
      <c r="Q1023" s="53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  <c r="P1024" s="54"/>
      <c r="Q1024" s="53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  <c r="P1025" s="54"/>
      <c r="Q1025" s="53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  <c r="P1026" s="54"/>
      <c r="Q1026" s="53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  <c r="P1027" s="54"/>
      <c r="Q1027" s="53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  <c r="P1028" s="54"/>
      <c r="Q1028" s="53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  <c r="P1029" s="54"/>
      <c r="Q1029" s="53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  <c r="P1030" s="54"/>
      <c r="Q1030" s="53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  <c r="P1031" s="54"/>
      <c r="Q1031" s="53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  <c r="P1032" s="54"/>
      <c r="Q1032" s="53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  <c r="P1033" s="54"/>
      <c r="Q1033" s="53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  <c r="P1034" s="54"/>
      <c r="Q1034" s="53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  <c r="P1035" s="54"/>
      <c r="Q1035" s="53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  <c r="P1036" s="54"/>
      <c r="Q1036" s="53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  <c r="P1037" s="54"/>
      <c r="Q1037" s="53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  <c r="P1038" s="54"/>
      <c r="Q1038" s="53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  <c r="P1039" s="54"/>
      <c r="Q1039" s="53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  <c r="P1040" s="54"/>
      <c r="Q1040" s="53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  <c r="P1041" s="54"/>
      <c r="Q1041" s="53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  <c r="P1042" s="54"/>
      <c r="Q1042" s="53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  <c r="P1043" s="54"/>
      <c r="Q1043" s="53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  <c r="P1044" s="54"/>
      <c r="Q1044" s="53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  <c r="P1045" s="54"/>
      <c r="Q1045" s="53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  <c r="P1046" s="54"/>
      <c r="Q1046" s="53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  <c r="P1047" s="54"/>
      <c r="Q1047" s="53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  <c r="P1048" s="54"/>
      <c r="Q1048" s="53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  <c r="P1049" s="54"/>
      <c r="Q1049" s="53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  <c r="P1050" s="54"/>
      <c r="Q1050" s="53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  <c r="P1051" s="54"/>
      <c r="Q1051" s="53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  <c r="P1052" s="54"/>
      <c r="Q1052" s="53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  <c r="P1053" s="54"/>
      <c r="Q1053" s="53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  <c r="P1054" s="54"/>
      <c r="Q1054" s="53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  <c r="P1055" s="54"/>
      <c r="Q1055" s="53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  <c r="P1056" s="54"/>
      <c r="Q1056" s="53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  <c r="P1057" s="54"/>
      <c r="Q1057" s="53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  <c r="P1058" s="54"/>
      <c r="Q1058" s="53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  <c r="P1059" s="54"/>
      <c r="Q1059" s="53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  <c r="P1060" s="54"/>
      <c r="Q1060" s="53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  <c r="P1061" s="54"/>
      <c r="Q1061" s="53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  <c r="P1062" s="54"/>
      <c r="Q1062" s="53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  <c r="P1063" s="54"/>
      <c r="Q1063" s="53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  <c r="P1064" s="54"/>
      <c r="Q1064" s="53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  <c r="P1065" s="54"/>
      <c r="Q1065" s="53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  <c r="P1066" s="54"/>
      <c r="Q1066" s="53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  <c r="P1067" s="54"/>
      <c r="Q1067" s="53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  <c r="P1068" s="54"/>
      <c r="Q1068" s="53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  <c r="P1069" s="54"/>
      <c r="Q1069" s="53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  <c r="P1070" s="54"/>
      <c r="Q1070" s="53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  <c r="P1071" s="54"/>
      <c r="Q1071" s="53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  <c r="P1072" s="54"/>
      <c r="Q1072" s="53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  <c r="P1073" s="54"/>
      <c r="Q1073" s="53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  <c r="P1074" s="54"/>
      <c r="Q1074" s="53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  <c r="P1075" s="54"/>
      <c r="Q1075" s="53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  <c r="P1076" s="54"/>
      <c r="Q1076" s="53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  <c r="P1077" s="54"/>
      <c r="Q1077" s="53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  <c r="P1078" s="54"/>
      <c r="Q1078" s="53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  <c r="P1079" s="54"/>
      <c r="Q1079" s="53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  <c r="P1080" s="54"/>
      <c r="Q1080" s="53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  <c r="P1081" s="54"/>
      <c r="Q1081" s="53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  <c r="P1082" s="54"/>
      <c r="Q1082" s="53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  <c r="P1083" s="54"/>
      <c r="Q1083" s="53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  <c r="P1084" s="54"/>
      <c r="Q1084" s="53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  <c r="P1085" s="54"/>
      <c r="Q1085" s="53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  <c r="P1086" s="54"/>
      <c r="Q1086" s="53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  <c r="P1087" s="54"/>
      <c r="Q1087" s="53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  <c r="P1088" s="54"/>
      <c r="Q1088" s="53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  <c r="P1089" s="54"/>
      <c r="Q1089" s="53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  <c r="P1090" s="54"/>
      <c r="Q1090" s="53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  <c r="P1091" s="54"/>
      <c r="Q1091" s="53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  <c r="P1092" s="54"/>
      <c r="Q1092" s="53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  <c r="P1093" s="54"/>
      <c r="Q1093" s="53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  <c r="P1094" s="54"/>
      <c r="Q1094" s="53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  <c r="P1095" s="54"/>
      <c r="Q1095" s="53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  <c r="P1096" s="54"/>
      <c r="Q1096" s="53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  <c r="P1097" s="54"/>
      <c r="Q1097" s="53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  <c r="P1098" s="54"/>
      <c r="Q1098" s="53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  <c r="P1099" s="54"/>
      <c r="Q1099" s="53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  <c r="P1100" s="54"/>
      <c r="Q1100" s="53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  <c r="P1101" s="54"/>
      <c r="Q1101" s="53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  <c r="P1102" s="54"/>
      <c r="Q1102" s="53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  <c r="P1103" s="54"/>
      <c r="Q1103" s="53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  <c r="P1104" s="54"/>
      <c r="Q1104" s="53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  <c r="P1105" s="54"/>
      <c r="Q1105" s="53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  <c r="P1106" s="54"/>
      <c r="Q1106" s="53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  <c r="P1107" s="54"/>
      <c r="Q1107" s="53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  <c r="P1108" s="54"/>
      <c r="Q1108" s="53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  <c r="P1109" s="54"/>
      <c r="Q1109" s="53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  <c r="P1110" s="54"/>
      <c r="Q1110" s="53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  <c r="P1111" s="54"/>
      <c r="Q1111" s="53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  <c r="P1112" s="54"/>
      <c r="Q1112" s="53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  <c r="P1113" s="54"/>
      <c r="Q1113" s="53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  <c r="P1114" s="54"/>
      <c r="Q1114" s="53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  <c r="P1115" s="54"/>
      <c r="Q1115" s="53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  <c r="P1116" s="54"/>
      <c r="Q1116" s="53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  <c r="P1117" s="54"/>
      <c r="Q1117" s="53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  <c r="P1118" s="54"/>
      <c r="Q1118" s="53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  <c r="P1119" s="54"/>
      <c r="Q1119" s="53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  <c r="P1120" s="54"/>
      <c r="Q1120" s="53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  <c r="P1121" s="54"/>
      <c r="Q1121" s="53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  <c r="P1122" s="54"/>
      <c r="Q1122" s="53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  <c r="P1123" s="54"/>
      <c r="Q1123" s="53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  <c r="P1124" s="54"/>
      <c r="Q1124" s="53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  <c r="P1125" s="54"/>
      <c r="Q1125" s="53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  <c r="P1126" s="54"/>
      <c r="Q1126" s="53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  <c r="P1127" s="54"/>
      <c r="Q1127" s="53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  <c r="P1128" s="54"/>
      <c r="Q1128" s="53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  <c r="P1129" s="54"/>
      <c r="Q1129" s="53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  <c r="P1130" s="54"/>
      <c r="Q1130" s="53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  <c r="P1131" s="54"/>
      <c r="Q1131" s="53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  <c r="P1132" s="54"/>
      <c r="Q1132" s="53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  <c r="P1133" s="54"/>
      <c r="Q1133" s="53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  <c r="P1134" s="54"/>
      <c r="Q1134" s="53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  <c r="P1135" s="54"/>
      <c r="Q1135" s="53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  <c r="P1136" s="54"/>
      <c r="Q1136" s="53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  <c r="P1137" s="54"/>
      <c r="Q1137" s="53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  <c r="P1138" s="54"/>
      <c r="Q1138" s="53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  <c r="P1139" s="54"/>
      <c r="Q1139" s="53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  <c r="P1140" s="54"/>
      <c r="Q1140" s="53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  <c r="P1141" s="54"/>
      <c r="Q1141" s="53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  <c r="P1142" s="54"/>
      <c r="Q1142" s="53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  <c r="P1143" s="54"/>
      <c r="Q1143" s="53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  <c r="P1144" s="54"/>
      <c r="Q1144" s="53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  <c r="P1145" s="54"/>
      <c r="Q1145" s="53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  <c r="P1146" s="54"/>
      <c r="Q1146" s="53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  <c r="P1147" s="54"/>
      <c r="Q1147" s="53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  <c r="P1148" s="54"/>
      <c r="Q1148" s="53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  <c r="P1149" s="54"/>
      <c r="Q1149" s="53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  <c r="P1150" s="54"/>
      <c r="Q1150" s="53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  <c r="P1151" s="54"/>
      <c r="Q1151" s="53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  <c r="P1152" s="54"/>
      <c r="Q1152" s="53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  <c r="P1153" s="54"/>
      <c r="Q1153" s="53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  <c r="P1154" s="54"/>
      <c r="Q1154" s="53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  <c r="P1155" s="54"/>
      <c r="Q1155" s="53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  <c r="P1156" s="54"/>
      <c r="Q1156" s="53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  <c r="P1157" s="54"/>
      <c r="Q1157" s="53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  <c r="P1158" s="54"/>
      <c r="Q1158" s="53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  <c r="P1159" s="54"/>
      <c r="Q1159" s="53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  <c r="P1160" s="54"/>
      <c r="Q1160" s="53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  <c r="P1161" s="54"/>
      <c r="Q1161" s="53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  <c r="P1162" s="54"/>
      <c r="Q1162" s="53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  <c r="P1163" s="54"/>
      <c r="Q1163" s="53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  <c r="P1164" s="54"/>
      <c r="Q1164" s="53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  <c r="P1165" s="54"/>
      <c r="Q1165" s="53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  <c r="P1166" s="54"/>
      <c r="Q1166" s="53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  <c r="P1167" s="54"/>
      <c r="Q1167" s="53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  <c r="P1168" s="54"/>
      <c r="Q1168" s="53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  <c r="P1169" s="54"/>
      <c r="Q1169" s="53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  <c r="P1170" s="54"/>
      <c r="Q1170" s="53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  <c r="P1171" s="54"/>
      <c r="Q1171" s="53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  <c r="P1172" s="54"/>
      <c r="Q1172" s="53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  <c r="P1173" s="54"/>
      <c r="Q1173" s="53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  <c r="P1174" s="54"/>
      <c r="Q1174" s="53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  <c r="P1175" s="54"/>
      <c r="Q1175" s="53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  <c r="P1176" s="54"/>
      <c r="Q1176" s="53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  <c r="P1177" s="54"/>
      <c r="Q1177" s="53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  <c r="P1178" s="54"/>
      <c r="Q1178" s="53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  <c r="P1179" s="54"/>
      <c r="Q1179" s="53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  <c r="P1180" s="54"/>
      <c r="Q1180" s="53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  <c r="P1181" s="54"/>
      <c r="Q1181" s="53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  <c r="P1182" s="54"/>
      <c r="Q1182" s="53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  <c r="P1183" s="54"/>
      <c r="Q1183" s="53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  <c r="P1184" s="54"/>
      <c r="Q1184" s="53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  <c r="P1185" s="54"/>
      <c r="Q1185" s="53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  <c r="P1186" s="54"/>
      <c r="Q1186" s="53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  <c r="P1187" s="54"/>
      <c r="Q1187" s="53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  <c r="P1188" s="54"/>
      <c r="Q1188" s="53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  <c r="P1189" s="54"/>
      <c r="Q1189" s="53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  <c r="P1190" s="54"/>
      <c r="Q1190" s="53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  <c r="P1191" s="54"/>
      <c r="Q1191" s="53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  <c r="P1192" s="54"/>
      <c r="Q1192" s="53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  <c r="P1193" s="54"/>
      <c r="Q1193" s="53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  <c r="P1194" s="54"/>
      <c r="Q1194" s="53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  <c r="P1195" s="54"/>
      <c r="Q1195" s="53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  <c r="P1196" s="54"/>
      <c r="Q1196" s="53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  <c r="P1197" s="54"/>
      <c r="Q1197" s="53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  <c r="P1198" s="54"/>
      <c r="Q1198" s="53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  <c r="P1199" s="54"/>
      <c r="Q1199" s="53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  <c r="P1200" s="54"/>
      <c r="Q1200" s="53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  <c r="P1201" s="54"/>
      <c r="Q1201" s="53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  <c r="P1202" s="54"/>
      <c r="Q1202" s="53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  <c r="P1203" s="54"/>
      <c r="Q1203" s="53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  <c r="P1204" s="54"/>
      <c r="Q1204" s="53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656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9" t="s">
        <v>654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3367</v>
      </c>
      <c r="D5" s="49" t="n">
        <v>3372</v>
      </c>
      <c r="E5" s="49" t="n">
        <v>3358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3409</v>
      </c>
      <c r="D6" s="49" t="n">
        <v>3420</v>
      </c>
      <c r="E6" s="49" t="n">
        <v>3387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0.0124740124740124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3362</v>
      </c>
      <c r="D7" s="49" t="n">
        <v>3366</v>
      </c>
      <c r="E7" s="49" t="n">
        <v>3348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-0.0137870343209152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3371</v>
      </c>
      <c r="D8" s="49" t="n">
        <v>3389</v>
      </c>
      <c r="E8" s="49" t="n">
        <v>3352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0.00267697798929212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3303</v>
      </c>
      <c r="D9" s="49" t="n">
        <v>3310</v>
      </c>
      <c r="E9" s="49" t="n">
        <v>3296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-0.0201720557698013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3317</v>
      </c>
      <c r="D10" s="49" t="n">
        <v>3331</v>
      </c>
      <c r="E10" s="49" t="n">
        <v>3297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0.00423857099606417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3306</v>
      </c>
      <c r="D11" s="49" t="n">
        <v>3310</v>
      </c>
      <c r="E11" s="49" t="n">
        <v>3291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-0.00331624962315347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3305</v>
      </c>
      <c r="D12" s="49" t="n">
        <v>3308</v>
      </c>
      <c r="E12" s="49" t="n">
        <v>3288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-0.000302480338778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3252</v>
      </c>
      <c r="D13" s="49" t="n">
        <v>3253</v>
      </c>
      <c r="E13" s="49" t="n">
        <v>3249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-0.0160363086232981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3264</v>
      </c>
      <c r="D14" s="49" t="n">
        <v>3293</v>
      </c>
      <c r="E14" s="49" t="n">
        <v>3253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0.00369003690036895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3286</v>
      </c>
      <c r="D15" s="49" t="n">
        <v>3295</v>
      </c>
      <c r="E15" s="49" t="n">
        <v>3274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0.00674019607843146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3256</v>
      </c>
      <c r="D16" s="49" t="n">
        <v>3276</v>
      </c>
      <c r="E16" s="49" t="n">
        <v>3240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-0.00912964090079127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3174</v>
      </c>
      <c r="D17" s="49" t="n">
        <v>3189</v>
      </c>
      <c r="E17" s="49" t="n">
        <v>3171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-0.0251842751842751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3160</v>
      </c>
      <c r="D18" s="49" t="n">
        <v>3176</v>
      </c>
      <c r="E18" s="49" t="n">
        <v>3145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-0.00441083805923126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3193</v>
      </c>
      <c r="D19" s="49" t="n">
        <v>3199</v>
      </c>
      <c r="E19" s="49" t="n">
        <v>3173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0.0104430379746836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3184</v>
      </c>
      <c r="D20" s="49" t="n">
        <v>3196</v>
      </c>
      <c r="E20" s="49" t="n">
        <v>3162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-0.00281866583150647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3189</v>
      </c>
      <c r="D21" s="49" t="n">
        <v>3193</v>
      </c>
      <c r="E21" s="49" t="n">
        <v>3179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0.00157035175879394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3170</v>
      </c>
      <c r="D22" s="49" t="n">
        <v>3177</v>
      </c>
      <c r="E22" s="49" t="n">
        <v>3155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-0.00595798055816865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3225</v>
      </c>
      <c r="D23" s="49" t="n">
        <v>3228</v>
      </c>
      <c r="E23" s="49" t="n">
        <v>3213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0.0173501577287065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3260</v>
      </c>
      <c r="D24" s="49" t="n">
        <v>3265</v>
      </c>
      <c r="E24" s="49" t="n">
        <v>3228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0.0108527131782945</v>
      </c>
      <c r="I24" s="52" t="n">
        <f aca="false">IF(AND(ISNUMBER($G24),$G24&gt;=MA_SHORT),AVERAGE(INDEX($C$5:$C24,21-MA_SHORT):$C24),"")</f>
        <v>3267.65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3260</v>
      </c>
      <c r="D25" s="49" t="n">
        <v>3263</v>
      </c>
      <c r="E25" s="49" t="n">
        <v>3242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</v>
      </c>
      <c r="I25" s="52" t="n">
        <f aca="false">IF(AND(ISNUMBER($G25),$G25&gt;=MA_SHORT),AVERAGE(INDEX($C$5:$C25,22-MA_SHORT):$C25),"")</f>
        <v>3262.3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0.174725581080531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3251</v>
      </c>
      <c r="D26" s="49" t="n">
        <v>3257</v>
      </c>
      <c r="E26" s="49" t="n">
        <v>3247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-0.002760736196319</v>
      </c>
      <c r="I26" s="52" t="n">
        <f aca="false">IF(AND(ISNUMBER($G26),$G26&gt;=MA_SHORT),AVERAGE(INDEX($C$5:$C26,23-MA_SHORT):$C26),"")</f>
        <v>3254.4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0.166915194391652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3307</v>
      </c>
      <c r="D27" s="49" t="n">
        <v>3317</v>
      </c>
      <c r="E27" s="49" t="n">
        <v>3294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0.0172254690864349</v>
      </c>
      <c r="I27" s="52" t="n">
        <f aca="false">IF(AND(ISNUMBER($G27),$G27&gt;=MA_SHORT),AVERAGE(INDEX($C$5:$C27,24-MA_SHORT):$C27),"")</f>
        <v>3251.65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0.174550022530133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3374</v>
      </c>
      <c r="D28" s="49" t="n">
        <v>3387</v>
      </c>
      <c r="E28" s="49" t="n">
        <v>3364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0.0202600544299969</v>
      </c>
      <c r="I28" s="52" t="n">
        <f aca="false">IF(AND(ISNUMBER($G28),$G28&gt;=MA_SHORT),AVERAGE(INDEX($C$5:$C28,25-MA_SHORT):$C28),"")</f>
        <v>3251.8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0.189250650889539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3366</v>
      </c>
      <c r="D29" s="49" t="n">
        <v>3367</v>
      </c>
      <c r="E29" s="49" t="n">
        <v>3337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-0.00237107291049199</v>
      </c>
      <c r="I29" s="52" t="n">
        <f aca="false">IF(AND(ISNUMBER($G29),$G29&gt;=MA_SHORT),AVERAGE(INDEX($C$5:$C29,26-MA_SHORT):$C29),"")</f>
        <v>3254.95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0.174311832256557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3371</v>
      </c>
      <c r="D30" s="49" t="n">
        <v>3377</v>
      </c>
      <c r="E30" s="49" t="n">
        <v>3370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0.00148544266191331</v>
      </c>
      <c r="I30" s="52" t="n">
        <f aca="false">IF(AND(ISNUMBER($G30),$G30&gt;=MA_SHORT),AVERAGE(INDEX($C$5:$C30,27-MA_SHORT):$C30),"")</f>
        <v>3257.65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0.173918988466002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3361</v>
      </c>
      <c r="D31" s="49" t="n">
        <v>3401</v>
      </c>
      <c r="E31" s="49" t="n">
        <v>3338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-0.00296647878967671</v>
      </c>
      <c r="I31" s="52" t="n">
        <f aca="false">IF(AND(ISNUMBER($G31),$G31&gt;=MA_SHORT),AVERAGE(INDEX($C$5:$C31,28-MA_SHORT):$C31),"")</f>
        <v>3260.4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0.173814796454761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3312</v>
      </c>
      <c r="D32" s="49" t="n">
        <v>3323</v>
      </c>
      <c r="E32" s="49" t="n">
        <v>3294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-0.0145789943469206</v>
      </c>
      <c r="I32" s="52" t="n">
        <f aca="false">IF(AND(ISNUMBER($G32),$G32&gt;=MA_SHORT),AVERAGE(INDEX($C$5:$C32,29-MA_SHORT):$C32),"")</f>
        <v>3260.75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0.182058200837092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3214</v>
      </c>
      <c r="D33" s="49" t="n">
        <v>3214</v>
      </c>
      <c r="E33" s="49" t="n">
        <v>3207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-0.0295893719806764</v>
      </c>
      <c r="I33" s="52" t="n">
        <f aca="false">IF(AND(ISNUMBER($G33),$G33&gt;=MA_SHORT),AVERAGE(INDEX($C$5:$C33,30-MA_SHORT):$C33),"")</f>
        <v>3258.85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0.202632454374036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3140</v>
      </c>
      <c r="D34" s="49" t="n">
        <v>3147</v>
      </c>
      <c r="E34" s="49" t="n">
        <v>3130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-0.0230242688238954</v>
      </c>
      <c r="I34" s="52" t="n">
        <f aca="false">IF(AND(ISNUMBER($G34),$G34&gt;=MA_SHORT),AVERAGE(INDEX($C$5:$C34,31-MA_SHORT):$C34),"")</f>
        <v>3252.65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0.216587788205753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3138</v>
      </c>
      <c r="D35" s="49" t="n">
        <v>3144</v>
      </c>
      <c r="E35" s="49" t="n">
        <v>3130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-0.000636942675159236</v>
      </c>
      <c r="I35" s="52" t="n">
        <f aca="false">IF(AND(ISNUMBER($G35),$G35&gt;=MA_SHORT),AVERAGE(INDEX($C$5:$C35,32-MA_SHORT):$C35),"")</f>
        <v>3245.25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0.214345329566261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3233</v>
      </c>
      <c r="D36" s="49" t="n">
        <v>3250</v>
      </c>
      <c r="E36" s="49" t="n">
        <v>3222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0.0302740599107711</v>
      </c>
      <c r="I36" s="52" t="n">
        <f aca="false">IF(AND(ISNUMBER($G36),$G36&gt;=MA_SHORT),AVERAGE(INDEX($C$5:$C36,33-MA_SHORT):$C36),"")</f>
        <v>3244.1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0.240695440195044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3207</v>
      </c>
      <c r="D37" s="49" t="n">
        <v>3212</v>
      </c>
      <c r="E37" s="49" t="n">
        <v>3183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-0.00804206619239101</v>
      </c>
      <c r="I37" s="52" t="n">
        <f aca="false">IF(AND(ISNUMBER($G37),$G37&gt;=MA_SHORT),AVERAGE(INDEX($C$5:$C37,34-MA_SHORT):$C37),"")</f>
        <v>3245.75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0.224738273946678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3163</v>
      </c>
      <c r="D38" s="49" t="n">
        <v>3168</v>
      </c>
      <c r="E38" s="49" t="n">
        <v>3152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-0.0137199875272841</v>
      </c>
      <c r="I38" s="52" t="n">
        <f aca="false">IF(AND(ISNUMBER($G38),$G38&gt;=MA_SHORT),AVERAGE(INDEX($C$5:$C38,35-MA_SHORT):$C38),"")</f>
        <v>3245.9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0.229729231803903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3176</v>
      </c>
      <c r="D39" s="49" t="n">
        <v>3183</v>
      </c>
      <c r="E39" s="49" t="n">
        <v>3166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0.00411002213088829</v>
      </c>
      <c r="I39" s="52" t="n">
        <f aca="false">IF(AND(ISNUMBER($G39),$G39&gt;=MA_SHORT),AVERAGE(INDEX($C$5:$C39,36-MA_SHORT):$C39),"")</f>
        <v>3245.05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0.227124804367473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3121</v>
      </c>
      <c r="D40" s="49" t="n">
        <v>3139</v>
      </c>
      <c r="E40" s="49" t="n">
        <v>3117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-0.0173173803526449</v>
      </c>
      <c r="I40" s="52" t="n">
        <f aca="false">IF(AND(ISNUMBER($G40),$G40&gt;=MA_SHORT),AVERAGE(INDEX($C$5:$C40,37-MA_SHORT):$C40),"")</f>
        <v>3241.9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0.234845289588892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3152</v>
      </c>
      <c r="D41" s="49" t="n">
        <v>3154</v>
      </c>
      <c r="E41" s="49" t="n">
        <v>3149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0.00993271387375838</v>
      </c>
      <c r="I41" s="52" t="n">
        <f aca="false">IF(AND(ISNUMBER($G41),$G41&gt;=MA_SHORT),AVERAGE(INDEX($C$5:$C41,38-MA_SHORT):$C41),"")</f>
        <v>3240.05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0.237781290920433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3181</v>
      </c>
      <c r="D42" s="49" t="n">
        <v>3210</v>
      </c>
      <c r="E42" s="49" t="n">
        <v>3156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0.00920050761421321</v>
      </c>
      <c r="I42" s="52" t="n">
        <f aca="false">IF(AND(ISNUMBER($G42),$G42&gt;=MA_SHORT),AVERAGE(INDEX($C$5:$C42,39-MA_SHORT):$C42),"")</f>
        <v>3240.6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0.239187772237051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3191</v>
      </c>
      <c r="D43" s="49" t="n">
        <v>3205</v>
      </c>
      <c r="E43" s="49" t="n">
        <v>3189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0.00314366551398937</v>
      </c>
      <c r="I43" s="52" t="n">
        <f aca="false">IF(AND(ISNUMBER($G43),$G43&gt;=MA_SHORT),AVERAGE(INDEX($C$5:$C43,40-MA_SHORT):$C43),"")</f>
        <v>3238.9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0.231150483236912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3198</v>
      </c>
      <c r="D44" s="49" t="n">
        <v>3215</v>
      </c>
      <c r="E44" s="49" t="n">
        <v>3193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0.00219366969602008</v>
      </c>
      <c r="I44" s="52" t="n">
        <f aca="false">IF(AND(ISNUMBER($G44),$G44&gt;=MA_SHORT),AVERAGE(INDEX($C$5:$C44,41-MA_SHORT):$C44),"")</f>
        <v>3235.8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0.227662767054924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3109</v>
      </c>
      <c r="D45" s="49" t="n">
        <v>3111</v>
      </c>
      <c r="E45" s="49" t="n">
        <v>3089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-0.0278298936835523</v>
      </c>
      <c r="I45" s="52" t="n">
        <f aca="false">IF(AND(ISNUMBER($G45),$G45&gt;=MA_SHORT),AVERAGE(INDEX($C$5:$C45,42-MA_SHORT):$C45),"")</f>
        <v>3228.25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0.246376573940731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3035</v>
      </c>
      <c r="D46" s="49" t="n">
        <v>3044</v>
      </c>
      <c r="E46" s="49" t="n">
        <v>3031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-0.0238018655516243</v>
      </c>
      <c r="I46" s="52" t="n">
        <f aca="false">IF(AND(ISNUMBER($G46),$G46&gt;=MA_SHORT),AVERAGE(INDEX($C$5:$C46,43-MA_SHORT):$C46),"")</f>
        <v>3217.45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0.257685232897741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3084</v>
      </c>
      <c r="D47" s="49" t="n">
        <v>3099</v>
      </c>
      <c r="E47" s="49" t="n">
        <v>3083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0.0161449752883032</v>
      </c>
      <c r="I47" s="52" t="n">
        <f aca="false">IF(AND(ISNUMBER($G47),$G47&gt;=MA_SHORT),AVERAGE(INDEX($C$5:$C47,44-MA_SHORT):$C47),"")</f>
        <v>3206.3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0.256600774660127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3090</v>
      </c>
      <c r="D48" s="49" t="n">
        <v>3092</v>
      </c>
      <c r="E48" s="49" t="n">
        <v>3084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0.00194552529182879</v>
      </c>
      <c r="I48" s="52" t="n">
        <f aca="false">IF(AND(ISNUMBER($G48),$G48&gt;=MA_SHORT),AVERAGE(INDEX($C$5:$C48,45-MA_SHORT):$C48),"")</f>
        <v>3192.1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0.242483362570258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3074</v>
      </c>
      <c r="D49" s="49" t="n">
        <v>3080</v>
      </c>
      <c r="E49" s="49" t="n">
        <v>3072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-0.00517799352750814</v>
      </c>
      <c r="I49" s="52" t="n">
        <f aca="false">IF(AND(ISNUMBER($G49),$G49&gt;=MA_SHORT),AVERAGE(INDEX($C$5:$C49,46-MA_SHORT):$C49),"")</f>
        <v>3177.5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0.242398560691823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3080</v>
      </c>
      <c r="D50" s="49" t="n">
        <v>3088</v>
      </c>
      <c r="E50" s="49" t="n">
        <v>3072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0.00195185426154842</v>
      </c>
      <c r="I50" s="52" t="n">
        <f aca="false">IF(AND(ISNUMBER($G50),$G50&gt;=MA_SHORT),AVERAGE(INDEX($C$5:$C50,47-MA_SHORT):$C50),"")</f>
        <v>3162.95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0.242550352198616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3081</v>
      </c>
      <c r="D51" s="49" t="n">
        <v>3088</v>
      </c>
      <c r="E51" s="49" t="n">
        <v>3064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0.000324675324675283</v>
      </c>
      <c r="I51" s="52" t="n">
        <f aca="false">IF(AND(ISNUMBER($G51),$G51&gt;=MA_SHORT),AVERAGE(INDEX($C$5:$C51,48-MA_SHORT):$C51),"")</f>
        <v>3148.95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0.243072285859135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3056</v>
      </c>
      <c r="D52" s="49" t="n">
        <v>3057</v>
      </c>
      <c r="E52" s="49" t="n">
        <v>3052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-0.00811424862057775</v>
      </c>
      <c r="I52" s="52" t="n">
        <f aca="false">IF(AND(ISNUMBER($G52),$G52&gt;=MA_SHORT),AVERAGE(INDEX($C$5:$C52,49-MA_SHORT):$C52),"")</f>
        <v>3136.15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0.240561494722916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3051</v>
      </c>
      <c r="D53" s="49" t="n">
        <v>3070</v>
      </c>
      <c r="E53" s="49" t="n">
        <v>3049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-0.00163612565445026</v>
      </c>
      <c r="I53" s="52" t="n">
        <f aca="false">IF(AND(ISNUMBER($G53),$G53&gt;=MA_SHORT),AVERAGE(INDEX($C$5:$C53,50-MA_SHORT):$C53),"")</f>
        <v>3128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0.221186565754076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3111</v>
      </c>
      <c r="D54" s="49" t="n">
        <v>3128</v>
      </c>
      <c r="E54" s="49" t="n">
        <v>3102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0.0196656833824975</v>
      </c>
      <c r="I54" s="52" t="n">
        <f aca="false">IF(AND(ISNUMBER($G54),$G54&gt;=MA_SHORT),AVERAGE(INDEX($C$5:$C54,51-MA_SHORT):$C54),"")</f>
        <v>3126.55</v>
      </c>
      <c r="J54" s="52" t="n">
        <f aca="false">IF(AND(ISNUMBER($G54),$G54&gt;=MA_MED),AVERAGE(INDEX($C$5:$C54,51-MA_MED):$C54),"")</f>
        <v>3216.8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0.220582005383268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3132</v>
      </c>
      <c r="D55" s="49" t="n">
        <v>3139</v>
      </c>
      <c r="E55" s="49" t="n">
        <v>3130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0.00675024108003863</v>
      </c>
      <c r="I55" s="52" t="n">
        <f aca="false">IF(AND(ISNUMBER($G55),$G55&gt;=MA_SHORT),AVERAGE(INDEX($C$5:$C55,52-MA_SHORT):$C55),"")</f>
        <v>3126.25</v>
      </c>
      <c r="J55" s="52" t="n">
        <f aca="false">IF(AND(ISNUMBER($G55),$G55&gt;=MA_MED),AVERAGE(INDEX($C$5:$C55,52-MA_MED):$C55),"")</f>
        <v>3212.1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0.221977364874186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3089</v>
      </c>
      <c r="D56" s="49" t="n">
        <v>3095</v>
      </c>
      <c r="E56" s="49" t="n">
        <v>3081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-0.0137292464878672</v>
      </c>
      <c r="I56" s="52" t="n">
        <f aca="false">IF(AND(ISNUMBER($G56),$G56&gt;=MA_SHORT),AVERAGE(INDEX($C$5:$C56,53-MA_SHORT):$C56),"")</f>
        <v>3119.05</v>
      </c>
      <c r="J56" s="52" t="n">
        <f aca="false">IF(AND(ISNUMBER($G56),$G56&gt;=MA_MED),AVERAGE(INDEX($C$5:$C56,53-MA_MED):$C56),"")</f>
        <v>3205.7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0.196564825637427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3075</v>
      </c>
      <c r="D57" s="49" t="n">
        <v>3084</v>
      </c>
      <c r="E57" s="49" t="n">
        <v>3062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-0.00453221107154422</v>
      </c>
      <c r="I57" s="52" t="n">
        <f aca="false">IF(AND(ISNUMBER($G57),$G57&gt;=MA_SHORT),AVERAGE(INDEX($C$5:$C57,54-MA_SHORT):$C57),"")</f>
        <v>3112.45</v>
      </c>
      <c r="J57" s="52" t="n">
        <f aca="false">IF(AND(ISNUMBER($G57),$G57&gt;=MA_MED),AVERAGE(INDEX($C$5:$C57,54-MA_MED):$C57),"")</f>
        <v>3199.96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0.195601265745045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3083</v>
      </c>
      <c r="D58" s="49" t="n">
        <v>3100</v>
      </c>
      <c r="E58" s="49" t="n">
        <v>3072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0.00260162601626024</v>
      </c>
      <c r="I58" s="52" t="n">
        <f aca="false">IF(AND(ISNUMBER($G58),$G58&gt;=MA_SHORT),AVERAGE(INDEX($C$5:$C58,55-MA_SHORT):$C58),"")</f>
        <v>3108.45</v>
      </c>
      <c r="J58" s="52" t="n">
        <f aca="false">IF(AND(ISNUMBER($G58),$G58&gt;=MA_MED),AVERAGE(INDEX($C$5:$C58,55-MA_MED):$C58),"")</f>
        <v>3194.2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0.191312247621697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3012</v>
      </c>
      <c r="D59" s="49" t="n">
        <v>3019</v>
      </c>
      <c r="E59" s="49" t="n">
        <v>2997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-0.0230295167045086</v>
      </c>
      <c r="I59" s="52" t="n">
        <f aca="false">IF(AND(ISNUMBER($G59),$G59&gt;=MA_SHORT),AVERAGE(INDEX($C$5:$C59,56-MA_SHORT):$C59),"")</f>
        <v>3100.25</v>
      </c>
      <c r="J59" s="52" t="n">
        <f aca="false">IF(AND(ISNUMBER($G59),$G59&gt;=MA_MED),AVERAGE(INDEX($C$5:$C59,56-MA_MED):$C59),"")</f>
        <v>3188.38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0.204696179810012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2974</v>
      </c>
      <c r="D60" s="49" t="n">
        <v>2990</v>
      </c>
      <c r="E60" s="49" t="n">
        <v>2973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-0.0126162018592297</v>
      </c>
      <c r="I60" s="52" t="n">
        <f aca="false">IF(AND(ISNUMBER($G60),$G60&gt;=MA_SHORT),AVERAGE(INDEX($C$5:$C60,57-MA_SHORT):$C60),"")</f>
        <v>3092.9</v>
      </c>
      <c r="J60" s="52" t="n">
        <f aca="false">IF(AND(ISNUMBER($G60),$G60&gt;=MA_MED),AVERAGE(INDEX($C$5:$C60,57-MA_MED):$C60),"")</f>
        <v>3181.52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0.200954604304498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2997</v>
      </c>
      <c r="D61" s="49" t="n">
        <v>3024</v>
      </c>
      <c r="E61" s="49" t="n">
        <v>2983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0.00773369199731011</v>
      </c>
      <c r="I61" s="52" t="n">
        <f aca="false">IF(AND(ISNUMBER($G61),$G61&gt;=MA_SHORT),AVERAGE(INDEX($C$5:$C61,58-MA_SHORT):$C61),"")</f>
        <v>3085.15</v>
      </c>
      <c r="J61" s="52" t="n">
        <f aca="false">IF(AND(ISNUMBER($G61),$G61&gt;=MA_MED),AVERAGE(INDEX($C$5:$C61,58-MA_MED):$C61),"")</f>
        <v>3175.34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0.199365286483314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2945</v>
      </c>
      <c r="D62" s="49" t="n">
        <v>2947</v>
      </c>
      <c r="E62" s="49" t="n">
        <v>2943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-0.0173506840173507</v>
      </c>
      <c r="I62" s="52" t="n">
        <f aca="false">IF(AND(ISNUMBER($G62),$G62&gt;=MA_SHORT),AVERAGE(INDEX($C$5:$C62,59-MA_SHORT):$C62),"")</f>
        <v>3073.35</v>
      </c>
      <c r="J62" s="52" t="n">
        <f aca="false">IF(AND(ISNUMBER($G62),$G62&gt;=MA_MED),AVERAGE(INDEX($C$5:$C62,59-MA_MED):$C62),"")</f>
        <v>3168.14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0.201025444567991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3009</v>
      </c>
      <c r="D63" s="49" t="n">
        <v>3024</v>
      </c>
      <c r="E63" s="49" t="n">
        <v>3001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0.0217317487266553</v>
      </c>
      <c r="I63" s="52" t="n">
        <f aca="false">IF(AND(ISNUMBER($G63),$G63&gt;=MA_SHORT),AVERAGE(INDEX($C$5:$C63,60-MA_SHORT):$C63),"")</f>
        <v>3064.25</v>
      </c>
      <c r="J63" s="52" t="n">
        <f aca="false">IF(AND(ISNUMBER($G63),$G63&gt;=MA_MED),AVERAGE(INDEX($C$5:$C63,60-MA_MED):$C63),"")</f>
        <v>3163.28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0.218991233437544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2931</v>
      </c>
      <c r="D64" s="49" t="n">
        <v>2938</v>
      </c>
      <c r="E64" s="49" t="n">
        <v>2926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-0.0259222333000997</v>
      </c>
      <c r="I64" s="52" t="n">
        <f aca="false">IF(AND(ISNUMBER($G64),$G64&gt;=MA_SHORT),AVERAGE(INDEX($C$5:$C64,61-MA_SHORT):$C64),"")</f>
        <v>3050.9</v>
      </c>
      <c r="J64" s="52" t="n">
        <f aca="false">IF(AND(ISNUMBER($G64),$G64&gt;=MA_MED),AVERAGE(INDEX($C$5:$C64,61-MA_MED):$C64),"")</f>
        <v>3156.62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0.232361530415973</v>
      </c>
      <c r="M64" s="52" t="n">
        <f aca="false">IF(AND(ISNUMBER($G64),$G64&gt;=60),MAX(INDEX($D$5:$D64,61-60):$D64),"")</f>
        <v>3420</v>
      </c>
      <c r="N64" s="52" t="n">
        <f aca="false">IF(AND(ISNUMBER($G64),$G64&gt;=60),MIN(INDEX($E$5:$E64,61-60):$E64),"")</f>
        <v>2926</v>
      </c>
      <c r="O64" s="53" t="n">
        <f aca="false">IF(OR(NOT(ISNUMBER($C64)),NOT(ISNUMBER($M64)),$M64=0),"",$C64/$M64-1)</f>
        <v>-0.142982456140351</v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2986</v>
      </c>
      <c r="D65" s="49" t="n">
        <v>2987</v>
      </c>
      <c r="E65" s="49" t="n">
        <v>2984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0.0187649266461958</v>
      </c>
      <c r="I65" s="52" t="n">
        <f aca="false">IF(AND(ISNUMBER($G65),$G65&gt;=MA_SHORT),AVERAGE(INDEX($C$5:$C65,62-MA_SHORT):$C65),"")</f>
        <v>3044.75</v>
      </c>
      <c r="J65" s="52" t="n">
        <f aca="false">IF(AND(ISNUMBER($G65),$G65&gt;=MA_MED),AVERAGE(INDEX($C$5:$C65,62-MA_MED):$C65),"")</f>
        <v>3150.62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0.228573975284994</v>
      </c>
      <c r="M65" s="52" t="n">
        <f aca="false">IF(AND(ISNUMBER($G65),$G65&gt;=60),MAX(INDEX($D$5:$D65,62-60):$D65),"")</f>
        <v>3420</v>
      </c>
      <c r="N65" s="52" t="n">
        <f aca="false">IF(AND(ISNUMBER($G65),$G65&gt;=60),MIN(INDEX($E$5:$E65,62-60):$E65),"")</f>
        <v>2926</v>
      </c>
      <c r="O65" s="53" t="n">
        <f aca="false">IF(OR(NOT(ISNUMBER($C65)),NOT(ISNUMBER($M65)),$M65=0),"",$C65/$M65-1)</f>
        <v>-0.126900584795322</v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2942</v>
      </c>
      <c r="D66" s="49" t="n">
        <v>2942</v>
      </c>
      <c r="E66" s="49" t="n">
        <v>2928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-0.014735432016075</v>
      </c>
      <c r="I66" s="52" t="n">
        <f aca="false">IF(AND(ISNUMBER($G66),$G66&gt;=MA_SHORT),AVERAGE(INDEX($C$5:$C66,63-MA_SHORT):$C66),"")</f>
        <v>3040.1</v>
      </c>
      <c r="J66" s="52" t="n">
        <f aca="false">IF(AND(ISNUMBER($G66),$G66&gt;=MA_MED),AVERAGE(INDEX($C$5:$C66,63-MA_MED):$C66),"")</f>
        <v>3144.34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0.219397825110176</v>
      </c>
      <c r="M66" s="52" t="n">
        <f aca="false">IF(AND(ISNUMBER($G66),$G66&gt;=60),MAX(INDEX($D$5:$D66,63-60):$D66),"")</f>
        <v>3401</v>
      </c>
      <c r="N66" s="52" t="n">
        <f aca="false">IF(AND(ISNUMBER($G66),$G66&gt;=60),MIN(INDEX($E$5:$E66,63-60):$E66),"")</f>
        <v>2926</v>
      </c>
      <c r="O66" s="53" t="n">
        <f aca="false">IF(OR(NOT(ISNUMBER($C66)),NOT(ISNUMBER($M66)),$M66=0),"",$C66/$M66-1)</f>
        <v>-0.134960305792414</v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2913</v>
      </c>
      <c r="D67" s="49" t="n">
        <v>2916</v>
      </c>
      <c r="E67" s="49" t="n">
        <v>2906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-0.00985723997280763</v>
      </c>
      <c r="I67" s="52" t="n">
        <f aca="false">IF(AND(ISNUMBER($G67),$G67&gt;=MA_SHORT),AVERAGE(INDEX($C$5:$C67,64-MA_SHORT):$C67),"")</f>
        <v>3031.55</v>
      </c>
      <c r="J67" s="52" t="n">
        <f aca="false">IF(AND(ISNUMBER($G67),$G67&gt;=MA_MED),AVERAGE(INDEX($C$5:$C67,64-MA_MED):$C67),"")</f>
        <v>3139.12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0.211213733775098</v>
      </c>
      <c r="M67" s="52" t="n">
        <f aca="false">IF(AND(ISNUMBER($G67),$G67&gt;=60),MAX(INDEX($D$5:$D67,64-60):$D67),"")</f>
        <v>3401</v>
      </c>
      <c r="N67" s="52" t="n">
        <f aca="false">IF(AND(ISNUMBER($G67),$G67&gt;=60),MIN(INDEX($E$5:$E67,64-60):$E67),"")</f>
        <v>2906</v>
      </c>
      <c r="O67" s="53" t="n">
        <f aca="false">IF(OR(NOT(ISNUMBER($C67)),NOT(ISNUMBER($M67)),$M67=0),"",$C67/$M67-1)</f>
        <v>-0.143487209644222</v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2950</v>
      </c>
      <c r="D68" s="49" t="n">
        <v>2951</v>
      </c>
      <c r="E68" s="49" t="n">
        <v>2944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0.0127016821146584</v>
      </c>
      <c r="I68" s="52" t="n">
        <f aca="false">IF(AND(ISNUMBER($G68),$G68&gt;=MA_SHORT),AVERAGE(INDEX($C$5:$C68,65-MA_SHORT):$C68),"")</f>
        <v>3024.55</v>
      </c>
      <c r="J68" s="52" t="n">
        <f aca="false">IF(AND(ISNUMBER($G68),$G68&gt;=MA_MED),AVERAGE(INDEX($C$5:$C68,65-MA_MED):$C68),"")</f>
        <v>3134.92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0.217564308397705</v>
      </c>
      <c r="M68" s="52" t="n">
        <f aca="false">IF(AND(ISNUMBER($G68),$G68&gt;=60),MAX(INDEX($D$5:$D68,65-60):$D68),"")</f>
        <v>3401</v>
      </c>
      <c r="N68" s="52" t="n">
        <f aca="false">IF(AND(ISNUMBER($G68),$G68&gt;=60),MIN(INDEX($E$5:$E68,65-60):$E68),"")</f>
        <v>2906</v>
      </c>
      <c r="O68" s="53" t="n">
        <f aca="false">IF(OR(NOT(ISNUMBER($C68)),NOT(ISNUMBER($M68)),$M68=0),"",$C68/$M68-1)</f>
        <v>-0.132608056453984</v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2965</v>
      </c>
      <c r="D69" s="49" t="n">
        <v>2976</v>
      </c>
      <c r="E69" s="49" t="n">
        <v>2951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0.0050847457627119</v>
      </c>
      <c r="I69" s="52" t="n">
        <f aca="false">IF(AND(ISNUMBER($G69),$G69&gt;=MA_SHORT),AVERAGE(INDEX($C$5:$C69,66-MA_SHORT):$C69),"")</f>
        <v>3019.1</v>
      </c>
      <c r="J69" s="52" t="n">
        <f aca="false">IF(AND(ISNUMBER($G69),$G69&gt;=MA_MED),AVERAGE(INDEX($C$5:$C69,66-MA_MED):$C69),"")</f>
        <v>3130.36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0.218729384320271</v>
      </c>
      <c r="M69" s="52" t="n">
        <f aca="false">IF(AND(ISNUMBER($G69),$G69&gt;=60),MAX(INDEX($D$5:$D69,66-60):$D69),"")</f>
        <v>3401</v>
      </c>
      <c r="N69" s="52" t="n">
        <f aca="false">IF(AND(ISNUMBER($G69),$G69&gt;=60),MIN(INDEX($E$5:$E69,66-60):$E69),"")</f>
        <v>2906</v>
      </c>
      <c r="O69" s="53" t="n">
        <f aca="false">IF(OR(NOT(ISNUMBER($C69)),NOT(ISNUMBER($M69)),$M69=0),"",$C69/$M69-1)</f>
        <v>-0.128197588944428</v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3018</v>
      </c>
      <c r="D70" s="49" t="n">
        <v>3023</v>
      </c>
      <c r="E70" s="49" t="n">
        <v>3006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0.0178752107925801</v>
      </c>
      <c r="I70" s="52" t="n">
        <f aca="false">IF(AND(ISNUMBER($G70),$G70&gt;=MA_SHORT),AVERAGE(INDEX($C$5:$C70,67-MA_SHORT):$C70),"")</f>
        <v>3016</v>
      </c>
      <c r="J70" s="52" t="n">
        <f aca="false">IF(AND(ISNUMBER($G70),$G70&gt;=MA_MED),AVERAGE(INDEX($C$5:$C70,67-MA_MED):$C70),"")</f>
        <v>3127.04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0.229025286399082</v>
      </c>
      <c r="M70" s="52" t="n">
        <f aca="false">IF(AND(ISNUMBER($G70),$G70&gt;=60),MAX(INDEX($D$5:$D70,67-60):$D70),"")</f>
        <v>3401</v>
      </c>
      <c r="N70" s="52" t="n">
        <f aca="false">IF(AND(ISNUMBER($G70),$G70&gt;=60),MIN(INDEX($E$5:$E70,67-60):$E70),"")</f>
        <v>2906</v>
      </c>
      <c r="O70" s="53" t="n">
        <f aca="false">IF(OR(NOT(ISNUMBER($C70)),NOT(ISNUMBER($M70)),$M70=0),"",$C70/$M70-1)</f>
        <v>-0.11261393707733</v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2995</v>
      </c>
      <c r="D71" s="49" t="n">
        <v>3015</v>
      </c>
      <c r="E71" s="49" t="n">
        <v>2994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-0.00762094102054345</v>
      </c>
      <c r="I71" s="52" t="n">
        <f aca="false">IF(AND(ISNUMBER($G71),$G71&gt;=MA_SHORT),AVERAGE(INDEX($C$5:$C71,68-MA_SHORT):$C71),"")</f>
        <v>3011.7</v>
      </c>
      <c r="J71" s="52" t="n">
        <f aca="false">IF(AND(ISNUMBER($G71),$G71&gt;=MA_MED),AVERAGE(INDEX($C$5:$C71,68-MA_MED):$C71),"")</f>
        <v>3123.16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0.230156569695307</v>
      </c>
      <c r="M71" s="52" t="n">
        <f aca="false">IF(AND(ISNUMBER($G71),$G71&gt;=60),MAX(INDEX($D$5:$D71,68-60):$D71),"")</f>
        <v>3401</v>
      </c>
      <c r="N71" s="52" t="n">
        <f aca="false">IF(AND(ISNUMBER($G71),$G71&gt;=60),MIN(INDEX($E$5:$E71,68-60):$E71),"")</f>
        <v>2906</v>
      </c>
      <c r="O71" s="53" t="n">
        <f aca="false">IF(OR(NOT(ISNUMBER($C71)),NOT(ISNUMBER($M71)),$M71=0),"",$C71/$M71-1)</f>
        <v>-0.119376653925316</v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3041</v>
      </c>
      <c r="D72" s="49" t="n">
        <v>3069</v>
      </c>
      <c r="E72" s="49" t="n">
        <v>3013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0.0153589315525877</v>
      </c>
      <c r="I72" s="52" t="n">
        <f aca="false">IF(AND(ISNUMBER($G72),$G72&gt;=MA_SHORT),AVERAGE(INDEX($C$5:$C72,69-MA_SHORT):$C72),"")</f>
        <v>3010.95</v>
      </c>
      <c r="J72" s="52" t="n">
        <f aca="false">IF(AND(ISNUMBER($G72),$G72&gt;=MA_MED),AVERAGE(INDEX($C$5:$C72,69-MA_MED):$C72),"")</f>
        <v>3120.58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0.235804357163546</v>
      </c>
      <c r="M72" s="52" t="n">
        <f aca="false">IF(AND(ISNUMBER($G72),$G72&gt;=60),MAX(INDEX($D$5:$D72,69-60):$D72),"")</f>
        <v>3401</v>
      </c>
      <c r="N72" s="52" t="n">
        <f aca="false">IF(AND(ISNUMBER($G72),$G72&gt;=60),MIN(INDEX($E$5:$E72,69-60):$E72),"")</f>
        <v>2906</v>
      </c>
      <c r="O72" s="53" t="n">
        <f aca="false">IF(OR(NOT(ISNUMBER($C72)),NOT(ISNUMBER($M72)),$M72=0),"",$C72/$M72-1)</f>
        <v>-0.105851220229344</v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3048</v>
      </c>
      <c r="D73" s="49" t="n">
        <v>3064</v>
      </c>
      <c r="E73" s="49" t="n">
        <v>3044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0.00230187438342644</v>
      </c>
      <c r="I73" s="52" t="n">
        <f aca="false">IF(AND(ISNUMBER($G73),$G73&gt;=MA_SHORT),AVERAGE(INDEX($C$5:$C73,70-MA_SHORT):$C73),"")</f>
        <v>3010.8</v>
      </c>
      <c r="J73" s="52" t="n">
        <f aca="false">IF(AND(ISNUMBER($G73),$G73&gt;=MA_MED),AVERAGE(INDEX($C$5:$C73,70-MA_MED):$C73),"")</f>
        <v>3117.04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0.235884558012901</v>
      </c>
      <c r="M73" s="52" t="n">
        <f aca="false">IF(AND(ISNUMBER($G73),$G73&gt;=60),MAX(INDEX($D$5:$D73,70-60):$D73),"")</f>
        <v>3401</v>
      </c>
      <c r="N73" s="52" t="n">
        <f aca="false">IF(AND(ISNUMBER($G73),$G73&gt;=60),MIN(INDEX($E$5:$E73,70-60):$E73),"")</f>
        <v>2906</v>
      </c>
      <c r="O73" s="53" t="n">
        <f aca="false">IF(OR(NOT(ISNUMBER($C73)),NOT(ISNUMBER($M73)),$M73=0),"",$C73/$M73-1)</f>
        <v>-0.103793002058218</v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3048</v>
      </c>
      <c r="D74" s="49" t="n">
        <v>3059</v>
      </c>
      <c r="E74" s="49" t="n">
        <v>3025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0</v>
      </c>
      <c r="I74" s="52" t="n">
        <f aca="false">IF(AND(ISNUMBER($G74),$G74&gt;=MA_SHORT),AVERAGE(INDEX($C$5:$C74,71-MA_SHORT):$C74),"")</f>
        <v>3007.65</v>
      </c>
      <c r="J74" s="52" t="n">
        <f aca="false">IF(AND(ISNUMBER($G74),$G74&gt;=MA_MED),AVERAGE(INDEX($C$5:$C74,71-MA_MED):$C74),"")</f>
        <v>3112.8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0.22457764557961</v>
      </c>
      <c r="M74" s="52" t="n">
        <f aca="false">IF(AND(ISNUMBER($G74),$G74&gt;=60),MAX(INDEX($D$5:$D74,71-60):$D74),"")</f>
        <v>3401</v>
      </c>
      <c r="N74" s="52" t="n">
        <f aca="false">IF(AND(ISNUMBER($G74),$G74&gt;=60),MIN(INDEX($E$5:$E74,71-60):$E74),"")</f>
        <v>2906</v>
      </c>
      <c r="O74" s="53" t="n">
        <f aca="false">IF(OR(NOT(ISNUMBER($C74)),NOT(ISNUMBER($M74)),$M74=0),"",$C74/$M74-1)</f>
        <v>-0.103793002058218</v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3057</v>
      </c>
      <c r="D75" s="49" t="n">
        <v>3066</v>
      </c>
      <c r="E75" s="49" t="n">
        <v>3045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0.00295275590551181</v>
      </c>
      <c r="I75" s="52" t="n">
        <f aca="false">IF(AND(ISNUMBER($G75),$G75&gt;=MA_SHORT),AVERAGE(INDEX($C$5:$C75,72-MA_SHORT):$C75),"")</f>
        <v>3003.9</v>
      </c>
      <c r="J75" s="52" t="n">
        <f aca="false">IF(AND(ISNUMBER($G75),$G75&gt;=MA_MED),AVERAGE(INDEX($C$5:$C75,72-MA_MED):$C75),"")</f>
        <v>3108.74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0.223293870787706</v>
      </c>
      <c r="M75" s="52" t="n">
        <f aca="false">IF(AND(ISNUMBER($G75),$G75&gt;=60),MAX(INDEX($D$5:$D75,72-60):$D75),"")</f>
        <v>3401</v>
      </c>
      <c r="N75" s="52" t="n">
        <f aca="false">IF(AND(ISNUMBER($G75),$G75&gt;=60),MIN(INDEX($E$5:$E75,72-60):$E75),"")</f>
        <v>2906</v>
      </c>
      <c r="O75" s="53" t="n">
        <f aca="false">IF(OR(NOT(ISNUMBER($C75)),NOT(ISNUMBER($M75)),$M75=0),"",$C75/$M75-1)</f>
        <v>-0.101146721552485</v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3145</v>
      </c>
      <c r="D76" s="49" t="n">
        <v>3162</v>
      </c>
      <c r="E76" s="49" t="n">
        <v>3134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0.0287863918874713</v>
      </c>
      <c r="I76" s="52" t="n">
        <f aca="false">IF(AND(ISNUMBER($G76),$G76&gt;=MA_SHORT),AVERAGE(INDEX($C$5:$C76,73-MA_SHORT):$C76),"")</f>
        <v>3006.7</v>
      </c>
      <c r="J76" s="52" t="n">
        <f aca="false">IF(AND(ISNUMBER($G76),$G76&gt;=MA_MED),AVERAGE(INDEX($C$5:$C76,73-MA_MED):$C76),"")</f>
        <v>3106.62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0.241187265030509</v>
      </c>
      <c r="M76" s="52" t="n">
        <f aca="false">IF(AND(ISNUMBER($G76),$G76&gt;=60),MAX(INDEX($D$5:$D76,73-60):$D76),"")</f>
        <v>3401</v>
      </c>
      <c r="N76" s="52" t="n">
        <f aca="false">IF(AND(ISNUMBER($G76),$G76&gt;=60),MIN(INDEX($E$5:$E76,73-60):$E76),"")</f>
        <v>2906</v>
      </c>
      <c r="O76" s="53" t="n">
        <f aca="false">IF(OR(NOT(ISNUMBER($C76)),NOT(ISNUMBER($M76)),$M76=0),"",$C76/$M76-1)</f>
        <v>-0.075271978829756</v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3174</v>
      </c>
      <c r="D77" s="49" t="n">
        <v>3180</v>
      </c>
      <c r="E77" s="49" t="n">
        <v>3146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0.00922098569157392</v>
      </c>
      <c r="I77" s="52" t="n">
        <f aca="false">IF(AND(ISNUMBER($G77),$G77&gt;=MA_SHORT),AVERAGE(INDEX($C$5:$C77,74-MA_SHORT):$C77),"")</f>
        <v>3011.65</v>
      </c>
      <c r="J77" s="52" t="n">
        <f aca="false">IF(AND(ISNUMBER($G77),$G77&gt;=MA_MED),AVERAGE(INDEX($C$5:$C77,74-MA_MED):$C77),"")</f>
        <v>3103.96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0.241913453145903</v>
      </c>
      <c r="M77" s="52" t="n">
        <f aca="false">IF(AND(ISNUMBER($G77),$G77&gt;=60),MAX(INDEX($D$5:$D77,74-60):$D77),"")</f>
        <v>3401</v>
      </c>
      <c r="N77" s="52" t="n">
        <f aca="false">IF(AND(ISNUMBER($G77),$G77&gt;=60),MIN(INDEX($E$5:$E77,74-60):$E77),"")</f>
        <v>2906</v>
      </c>
      <c r="O77" s="53" t="n">
        <f aca="false">IF(OR(NOT(ISNUMBER($C77)),NOT(ISNUMBER($M77)),$M77=0),"",$C77/$M77-1)</f>
        <v>-0.0667450749779477</v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3177</v>
      </c>
      <c r="D78" s="49" t="n">
        <v>3181</v>
      </c>
      <c r="E78" s="49" t="n">
        <v>3168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0.000945179584120881</v>
      </c>
      <c r="I78" s="52" t="n">
        <f aca="false">IF(AND(ISNUMBER($G78),$G78&gt;=MA_SHORT),AVERAGE(INDEX($C$5:$C78,75-MA_SHORT):$C78),"")</f>
        <v>3016.35</v>
      </c>
      <c r="J78" s="52" t="n">
        <f aca="false">IF(AND(ISNUMBER($G78),$G78&gt;=MA_MED),AVERAGE(INDEX($C$5:$C78,75-MA_MED):$C78),"")</f>
        <v>3100.02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0.241903237537231</v>
      </c>
      <c r="M78" s="52" t="n">
        <f aca="false">IF(AND(ISNUMBER($G78),$G78&gt;=60),MAX(INDEX($D$5:$D78,75-60):$D78),"")</f>
        <v>3401</v>
      </c>
      <c r="N78" s="52" t="n">
        <f aca="false">IF(AND(ISNUMBER($G78),$G78&gt;=60),MIN(INDEX($E$5:$E78,75-60):$E78),"")</f>
        <v>2906</v>
      </c>
      <c r="O78" s="53" t="n">
        <f aca="false">IF(OR(NOT(ISNUMBER($C78)),NOT(ISNUMBER($M78)),$M78=0),"",$C78/$M78-1)</f>
        <v>-0.0658629814760364</v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3238</v>
      </c>
      <c r="D79" s="49" t="n">
        <v>3255</v>
      </c>
      <c r="E79" s="49" t="n">
        <v>3231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0.0192005036197671</v>
      </c>
      <c r="I79" s="52" t="n">
        <f aca="false">IF(AND(ISNUMBER($G79),$G79&gt;=MA_SHORT),AVERAGE(INDEX($C$5:$C79,76-MA_SHORT):$C79),"")</f>
        <v>3027.65</v>
      </c>
      <c r="J79" s="52" t="n">
        <f aca="false">IF(AND(ISNUMBER($G79),$G79&gt;=MA_MED),AVERAGE(INDEX($C$5:$C79,76-MA_MED):$C79),"")</f>
        <v>3097.46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0.231348243275745</v>
      </c>
      <c r="M79" s="52" t="n">
        <f aca="false">IF(AND(ISNUMBER($G79),$G79&gt;=60),MAX(INDEX($D$5:$D79,76-60):$D79),"")</f>
        <v>3401</v>
      </c>
      <c r="N79" s="52" t="n">
        <f aca="false">IF(AND(ISNUMBER($G79),$G79&gt;=60),MIN(INDEX($E$5:$E79,76-60):$E79),"")</f>
        <v>2906</v>
      </c>
      <c r="O79" s="53" t="n">
        <f aca="false">IF(OR(NOT(ISNUMBER($C79)),NOT(ISNUMBER($M79)),$M79=0),"",$C79/$M79-1)</f>
        <v>-0.0479270802705086</v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3239</v>
      </c>
      <c r="D80" s="49" t="n">
        <v>3245</v>
      </c>
      <c r="E80" s="49" t="n">
        <v>3229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0.000308832612723853</v>
      </c>
      <c r="I80" s="52" t="n">
        <f aca="false">IF(AND(ISNUMBER($G80),$G80&gt;=MA_SHORT),AVERAGE(INDEX($C$5:$C80,77-MA_SHORT):$C80),"")</f>
        <v>3040.9</v>
      </c>
      <c r="J80" s="52" t="n">
        <f aca="false">IF(AND(ISNUMBER($G80),$G80&gt;=MA_MED),AVERAGE(INDEX($C$5:$C80,77-MA_MED):$C80),"")</f>
        <v>3094.82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0.22387610468469</v>
      </c>
      <c r="M80" s="52" t="n">
        <f aca="false">IF(AND(ISNUMBER($G80),$G80&gt;=60),MAX(INDEX($D$5:$D80,77-60):$D80),"")</f>
        <v>3401</v>
      </c>
      <c r="N80" s="52" t="n">
        <f aca="false">IF(AND(ISNUMBER($G80),$G80&gt;=60),MIN(INDEX($E$5:$E80,77-60):$E80),"")</f>
        <v>2906</v>
      </c>
      <c r="O80" s="53" t="n">
        <f aca="false">IF(OR(NOT(ISNUMBER($C80)),NOT(ISNUMBER($M80)),$M80=0),"",$C80/$M80-1)</f>
        <v>-0.047633049103205</v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3243</v>
      </c>
      <c r="D81" s="49" t="n">
        <v>3253</v>
      </c>
      <c r="E81" s="49" t="n">
        <v>3232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0.00123494905835142</v>
      </c>
      <c r="I81" s="52" t="n">
        <f aca="false">IF(AND(ISNUMBER($G81),$G81&gt;=MA_SHORT),AVERAGE(INDEX($C$5:$C81,78-MA_SHORT):$C81),"")</f>
        <v>3053.2</v>
      </c>
      <c r="J81" s="52" t="n">
        <f aca="false">IF(AND(ISNUMBER($G81),$G81&gt;=MA_MED),AVERAGE(INDEX($C$5:$C81,78-MA_MED):$C81),"")</f>
        <v>3092.46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0.223773990503541</v>
      </c>
      <c r="M81" s="52" t="n">
        <f aca="false">IF(AND(ISNUMBER($G81),$G81&gt;=60),MAX(INDEX($D$5:$D81,78-60):$D81),"")</f>
        <v>3401</v>
      </c>
      <c r="N81" s="52" t="n">
        <f aca="false">IF(AND(ISNUMBER($G81),$G81&gt;=60),MIN(INDEX($E$5:$E81,78-60):$E81),"")</f>
        <v>2906</v>
      </c>
      <c r="O81" s="53" t="n">
        <f aca="false">IF(OR(NOT(ISNUMBER($C81)),NOT(ISNUMBER($M81)),$M81=0),"",$C81/$M81-1)</f>
        <v>-0.04645692443399</v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3300</v>
      </c>
      <c r="D82" s="49" t="n">
        <v>3310</v>
      </c>
      <c r="E82" s="49" t="n">
        <v>3292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0.0175763182238669</v>
      </c>
      <c r="I82" s="52" t="n">
        <f aca="false">IF(AND(ISNUMBER($G82),$G82&gt;=MA_SHORT),AVERAGE(INDEX($C$5:$C82,79-MA_SHORT):$C82),"")</f>
        <v>3070.95</v>
      </c>
      <c r="J82" s="52" t="n">
        <f aca="false">IF(AND(ISNUMBER($G82),$G82&gt;=MA_MED),AVERAGE(INDEX($C$5:$C82,79-MA_MED):$C82),"")</f>
        <v>3092.22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0.213875374674046</v>
      </c>
      <c r="M82" s="52" t="n">
        <f aca="false">IF(AND(ISNUMBER($G82),$G82&gt;=60),MAX(INDEX($D$5:$D82,79-60):$D82),"")</f>
        <v>3401</v>
      </c>
      <c r="N82" s="52" t="n">
        <f aca="false">IF(AND(ISNUMBER($G82),$G82&gt;=60),MIN(INDEX($E$5:$E82,79-60):$E82),"")</f>
        <v>2906</v>
      </c>
      <c r="O82" s="53" t="n">
        <f aca="false">IF(OR(NOT(ISNUMBER($C82)),NOT(ISNUMBER($M82)),$M82=0),"",$C82/$M82-1)</f>
        <v>-0.0296971478976772</v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3259</v>
      </c>
      <c r="D83" s="49" t="n">
        <v>3264</v>
      </c>
      <c r="E83" s="49" t="n">
        <v>3240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-0.0124242424242424</v>
      </c>
      <c r="I83" s="52" t="n">
        <f aca="false">IF(AND(ISNUMBER($G83),$G83&gt;=MA_SHORT),AVERAGE(INDEX($C$5:$C83,80-MA_SHORT):$C83),"")</f>
        <v>3083.45</v>
      </c>
      <c r="J83" s="52" t="n">
        <f aca="false">IF(AND(ISNUMBER($G83),$G83&gt;=MA_MED),AVERAGE(INDEX($C$5:$C83,80-MA_MED):$C83),"")</f>
        <v>3093.12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0.214467234437923</v>
      </c>
      <c r="M83" s="52" t="n">
        <f aca="false">IF(AND(ISNUMBER($G83),$G83&gt;=60),MAX(INDEX($D$5:$D83,80-60):$D83),"")</f>
        <v>3401</v>
      </c>
      <c r="N83" s="52" t="n">
        <f aca="false">IF(AND(ISNUMBER($G83),$G83&gt;=60),MIN(INDEX($E$5:$E83,80-60):$E83),"")</f>
        <v>2906</v>
      </c>
      <c r="O83" s="53" t="n">
        <f aca="false">IF(OR(NOT(ISNUMBER($C83)),NOT(ISNUMBER($M83)),$M83=0),"",$C83/$M83-1)</f>
        <v>-0.0417524257571302</v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3273</v>
      </c>
      <c r="D84" s="49" t="n">
        <v>3288</v>
      </c>
      <c r="E84" s="49" t="n">
        <v>3261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0.00429579625652043</v>
      </c>
      <c r="I84" s="52" t="n">
        <f aca="false">IF(AND(ISNUMBER($G84),$G84&gt;=MA_SHORT),AVERAGE(INDEX($C$5:$C84,81-MA_SHORT):$C84),"")</f>
        <v>3100.55</v>
      </c>
      <c r="J84" s="52" t="n">
        <f aca="false">IF(AND(ISNUMBER($G84),$G84&gt;=MA_MED),AVERAGE(INDEX($C$5:$C84,81-MA_MED):$C84),"")</f>
        <v>3095.78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0.183834453989103</v>
      </c>
      <c r="M84" s="52" t="n">
        <f aca="false">IF(AND(ISNUMBER($G84),$G84&gt;=60),MAX(INDEX($D$5:$D84,81-60):$D84),"")</f>
        <v>3401</v>
      </c>
      <c r="N84" s="52" t="n">
        <f aca="false">IF(AND(ISNUMBER($G84),$G84&gt;=60),MIN(INDEX($E$5:$E84,81-60):$E84),"")</f>
        <v>2906</v>
      </c>
      <c r="O84" s="53" t="n">
        <f aca="false">IF(OR(NOT(ISNUMBER($C84)),NOT(ISNUMBER($M84)),$M84=0),"",$C84/$M84-1)</f>
        <v>-0.037635989414878</v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3197</v>
      </c>
      <c r="D85" s="49" t="n">
        <v>3199</v>
      </c>
      <c r="E85" s="49" t="n">
        <v>3193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-0.0232202871982891</v>
      </c>
      <c r="I85" s="52" t="n">
        <f aca="false">IF(AND(ISNUMBER($G85),$G85&gt;=MA_SHORT),AVERAGE(INDEX($C$5:$C85,82-MA_SHORT):$C85),"")</f>
        <v>3111.1</v>
      </c>
      <c r="J85" s="52" t="n">
        <f aca="false">IF(AND(ISNUMBER($G85),$G85&gt;=MA_MED),AVERAGE(INDEX($C$5:$C85,82-MA_MED):$C85),"")</f>
        <v>3096.96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0.202811889357324</v>
      </c>
      <c r="M85" s="52" t="n">
        <f aca="false">IF(AND(ISNUMBER($G85),$G85&gt;=60),MAX(INDEX($D$5:$D85,82-60):$D85),"")</f>
        <v>3401</v>
      </c>
      <c r="N85" s="52" t="n">
        <f aca="false">IF(AND(ISNUMBER($G85),$G85&gt;=60),MIN(INDEX($E$5:$E85,82-60):$E85),"")</f>
        <v>2906</v>
      </c>
      <c r="O85" s="53" t="n">
        <f aca="false">IF(OR(NOT(ISNUMBER($C85)),NOT(ISNUMBER($M85)),$M85=0),"",$C85/$M85-1)</f>
        <v>-0.0599823581299618</v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3260</v>
      </c>
      <c r="D86" s="49" t="n">
        <v>3266</v>
      </c>
      <c r="E86" s="49" t="n">
        <v>3241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0.019705974350954</v>
      </c>
      <c r="I86" s="52" t="n">
        <f aca="false">IF(AND(ISNUMBER($G86),$G86&gt;=MA_SHORT),AVERAGE(INDEX($C$5:$C86,83-MA_SHORT):$C86),"")</f>
        <v>3127</v>
      </c>
      <c r="J86" s="52" t="n">
        <f aca="false">IF(AND(ISNUMBER($G86),$G86&gt;=MA_MED),AVERAGE(INDEX($C$5:$C86,83-MA_MED):$C86),"")</f>
        <v>3097.5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0.19866348859131</v>
      </c>
      <c r="M86" s="52" t="n">
        <f aca="false">IF(AND(ISNUMBER($G86),$G86&gt;=60),MAX(INDEX($D$5:$D86,83-60):$D86),"")</f>
        <v>3401</v>
      </c>
      <c r="N86" s="52" t="n">
        <f aca="false">IF(AND(ISNUMBER($G86),$G86&gt;=60),MIN(INDEX($E$5:$E86,83-60):$E86),"")</f>
        <v>2906</v>
      </c>
      <c r="O86" s="53" t="n">
        <f aca="false">IF(OR(NOT(ISNUMBER($C86)),NOT(ISNUMBER($M86)),$M86=0),"",$C86/$M86-1)</f>
        <v>-0.0414583945898265</v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3241</v>
      </c>
      <c r="D87" s="49" t="n">
        <v>3256</v>
      </c>
      <c r="E87" s="49" t="n">
        <v>3209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-0.00582822085889567</v>
      </c>
      <c r="I87" s="52" t="n">
        <f aca="false">IF(AND(ISNUMBER($G87),$G87&gt;=MA_SHORT),AVERAGE(INDEX($C$5:$C87,84-MA_SHORT):$C87),"")</f>
        <v>3143.4</v>
      </c>
      <c r="J87" s="52" t="n">
        <f aca="false">IF(AND(ISNUMBER($G87),$G87&gt;=MA_MED),AVERAGE(INDEX($C$5:$C87,84-MA_MED):$C87),"")</f>
        <v>3098.18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0.195190351892761</v>
      </c>
      <c r="M87" s="52" t="n">
        <f aca="false">IF(AND(ISNUMBER($G87),$G87&gt;=60),MAX(INDEX($D$5:$D87,84-60):$D87),"")</f>
        <v>3401</v>
      </c>
      <c r="N87" s="52" t="n">
        <f aca="false">IF(AND(ISNUMBER($G87),$G87&gt;=60),MIN(INDEX($E$5:$E87,84-60):$E87),"")</f>
        <v>2906</v>
      </c>
      <c r="O87" s="53" t="n">
        <f aca="false">IF(OR(NOT(ISNUMBER($C87)),NOT(ISNUMBER($M87)),$M87=0),"",$C87/$M87-1)</f>
        <v>-0.0470449867685975</v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3257</v>
      </c>
      <c r="D88" s="49" t="n">
        <v>3260</v>
      </c>
      <c r="E88" s="49" t="n">
        <v>3253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0.00493674791730947</v>
      </c>
      <c r="I88" s="52" t="n">
        <f aca="false">IF(AND(ISNUMBER($G88),$G88&gt;=MA_SHORT),AVERAGE(INDEX($C$5:$C88,85-MA_SHORT):$C88),"")</f>
        <v>3158.75</v>
      </c>
      <c r="J88" s="52" t="n">
        <f aca="false">IF(AND(ISNUMBER($G88),$G88&gt;=MA_MED),AVERAGE(INDEX($C$5:$C88,85-MA_MED):$C88),"")</f>
        <v>3100.06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0.193339752165467</v>
      </c>
      <c r="M88" s="52" t="n">
        <f aca="false">IF(AND(ISNUMBER($G88),$G88&gt;=60),MAX(INDEX($D$5:$D88,85-60):$D88),"")</f>
        <v>3401</v>
      </c>
      <c r="N88" s="52" t="n">
        <f aca="false">IF(AND(ISNUMBER($G88),$G88&gt;=60),MIN(INDEX($E$5:$E88,85-60):$E88),"")</f>
        <v>2906</v>
      </c>
      <c r="O88" s="53" t="n">
        <f aca="false">IF(OR(NOT(ISNUMBER($C88)),NOT(ISNUMBER($M88)),$M88=0),"",$C88/$M88-1)</f>
        <v>-0.0423404880917377</v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3254</v>
      </c>
      <c r="D89" s="49" t="n">
        <v>3257</v>
      </c>
      <c r="E89" s="49" t="n">
        <v>3235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-0.000921093030396114</v>
      </c>
      <c r="I89" s="52" t="n">
        <f aca="false">IF(AND(ISNUMBER($G89),$G89&gt;=MA_SHORT),AVERAGE(INDEX($C$5:$C89,86-MA_SHORT):$C89),"")</f>
        <v>3173.2</v>
      </c>
      <c r="J89" s="52" t="n">
        <f aca="false">IF(AND(ISNUMBER($G89),$G89&gt;=MA_MED),AVERAGE(INDEX($C$5:$C89,86-MA_MED):$C89),"")</f>
        <v>3101.62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0.1944591157924</v>
      </c>
      <c r="M89" s="52" t="n">
        <f aca="false">IF(AND(ISNUMBER($G89),$G89&gt;=60),MAX(INDEX($D$5:$D89,86-60):$D89),"")</f>
        <v>3401</v>
      </c>
      <c r="N89" s="52" t="n">
        <f aca="false">IF(AND(ISNUMBER($G89),$G89&gt;=60),MIN(INDEX($E$5:$E89,86-60):$E89),"")</f>
        <v>2906</v>
      </c>
      <c r="O89" s="53" t="n">
        <f aca="false">IF(OR(NOT(ISNUMBER($C89)),NOT(ISNUMBER($M89)),$M89=0),"",$C89/$M89-1)</f>
        <v>-0.0432225815936489</v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3206</v>
      </c>
      <c r="D90" s="49" t="n">
        <v>3213</v>
      </c>
      <c r="E90" s="49" t="n">
        <v>3189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-0.0147510755992625</v>
      </c>
      <c r="I90" s="52" t="n">
        <f aca="false">IF(AND(ISNUMBER($G90),$G90&gt;=MA_SHORT),AVERAGE(INDEX($C$5:$C90,87-MA_SHORT):$C90),"")</f>
        <v>3182.6</v>
      </c>
      <c r="J90" s="52" t="n">
        <f aca="false">IF(AND(ISNUMBER($G90),$G90&gt;=MA_MED),AVERAGE(INDEX($C$5:$C90,87-MA_MED):$C90),"")</f>
        <v>3103.32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0.199492332929331</v>
      </c>
      <c r="M90" s="52" t="n">
        <f aca="false">IF(AND(ISNUMBER($G90),$G90&gt;=60),MAX(INDEX($D$5:$D90,87-60):$D90),"")</f>
        <v>3401</v>
      </c>
      <c r="N90" s="52" t="n">
        <f aca="false">IF(AND(ISNUMBER($G90),$G90&gt;=60),MIN(INDEX($E$5:$E90,87-60):$E90),"")</f>
        <v>2906</v>
      </c>
      <c r="O90" s="53" t="n">
        <f aca="false">IF(OR(NOT(ISNUMBER($C90)),NOT(ISNUMBER($M90)),$M90=0),"",$C90/$M90-1)</f>
        <v>-0.0573360776242282</v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3232</v>
      </c>
      <c r="D91" s="49" t="n">
        <v>3256</v>
      </c>
      <c r="E91" s="49" t="n">
        <v>3228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0.00810979413599511</v>
      </c>
      <c r="I91" s="52" t="n">
        <f aca="false">IF(AND(ISNUMBER($G91),$G91&gt;=MA_SHORT),AVERAGE(INDEX($C$5:$C91,88-MA_SHORT):$C91),"")</f>
        <v>3194.45</v>
      </c>
      <c r="J91" s="52" t="n">
        <f aca="false">IF(AND(ISNUMBER($G91),$G91&gt;=MA_MED),AVERAGE(INDEX($C$5:$C91,88-MA_MED):$C91),"")</f>
        <v>3104.92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0.196158028807454</v>
      </c>
      <c r="M91" s="52" t="n">
        <f aca="false">IF(AND(ISNUMBER($G91),$G91&gt;=60),MAX(INDEX($D$5:$D91,88-60):$D91),"")</f>
        <v>3323</v>
      </c>
      <c r="N91" s="52" t="n">
        <f aca="false">IF(AND(ISNUMBER($G91),$G91&gt;=60),MIN(INDEX($E$5:$E91,88-60):$E91),"")</f>
        <v>2906</v>
      </c>
      <c r="O91" s="53" t="n">
        <f aca="false">IF(OR(NOT(ISNUMBER($C91)),NOT(ISNUMBER($M91)),$M91=0),"",$C91/$M91-1)</f>
        <v>-0.0273848931688233</v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3242</v>
      </c>
      <c r="D92" s="49" t="n">
        <v>3246</v>
      </c>
      <c r="E92" s="49" t="n">
        <v>3238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0.00309405940594054</v>
      </c>
      <c r="I92" s="52" t="n">
        <f aca="false">IF(AND(ISNUMBER($G92),$G92&gt;=MA_SHORT),AVERAGE(INDEX($C$5:$C92,89-MA_SHORT):$C92),"")</f>
        <v>3204.5</v>
      </c>
      <c r="J92" s="52" t="n">
        <f aca="false">IF(AND(ISNUMBER($G92),$G92&gt;=MA_MED),AVERAGE(INDEX($C$5:$C92,89-MA_MED):$C92),"")</f>
        <v>3106.14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0.191553835796506</v>
      </c>
      <c r="M92" s="52" t="n">
        <f aca="false">IF(AND(ISNUMBER($G92),$G92&gt;=60),MAX(INDEX($D$5:$D92,89-60):$D92),"")</f>
        <v>3310</v>
      </c>
      <c r="N92" s="52" t="n">
        <f aca="false">IF(AND(ISNUMBER($G92),$G92&gt;=60),MIN(INDEX($E$5:$E92,89-60):$E92),"")</f>
        <v>2906</v>
      </c>
      <c r="O92" s="53" t="n">
        <f aca="false">IF(OR(NOT(ISNUMBER($C92)),NOT(ISNUMBER($M92)),$M92=0),"",$C92/$M92-1)</f>
        <v>-0.0205438066465257</v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3321</v>
      </c>
      <c r="D93" s="49" t="n">
        <v>3340</v>
      </c>
      <c r="E93" s="49" t="n">
        <v>3314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0.0243676742751389</v>
      </c>
      <c r="I93" s="52" t="n">
        <f aca="false">IF(AND(ISNUMBER($G93),$G93&gt;=MA_SHORT),AVERAGE(INDEX($C$5:$C93,90-MA_SHORT):$C93),"")</f>
        <v>3218.15</v>
      </c>
      <c r="J93" s="52" t="n">
        <f aca="false">IF(AND(ISNUMBER($G93),$G93&gt;=MA_MED),AVERAGE(INDEX($C$5:$C93,90-MA_MED):$C93),"")</f>
        <v>3108.74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0.205189914057703</v>
      </c>
      <c r="M93" s="52" t="n">
        <f aca="false">IF(AND(ISNUMBER($G93),$G93&gt;=60),MAX(INDEX($D$5:$D93,90-60):$D93),"")</f>
        <v>3340</v>
      </c>
      <c r="N93" s="52" t="n">
        <f aca="false">IF(AND(ISNUMBER($G93),$G93&gt;=60),MIN(INDEX($E$5:$E93,90-60):$E93),"")</f>
        <v>2906</v>
      </c>
      <c r="O93" s="53" t="n">
        <f aca="false">IF(OR(NOT(ISNUMBER($C93)),NOT(ISNUMBER($M93)),$M93=0),"",$C93/$M93-1)</f>
        <v>-0.005688622754491</v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3303</v>
      </c>
      <c r="D94" s="49" t="n">
        <v>3304</v>
      </c>
      <c r="E94" s="49" t="n">
        <v>3299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-0.00542005420054204</v>
      </c>
      <c r="I94" s="52" t="n">
        <f aca="false">IF(AND(ISNUMBER($G94),$G94&gt;=MA_SHORT),AVERAGE(INDEX($C$5:$C94,91-MA_SHORT):$C94),"")</f>
        <v>3230.9</v>
      </c>
      <c r="J94" s="52" t="n">
        <f aca="false">IF(AND(ISNUMBER($G94),$G94&gt;=MA_MED),AVERAGE(INDEX($C$5:$C94,91-MA_MED):$C94),"")</f>
        <v>3110.84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0.207545041485575</v>
      </c>
      <c r="M94" s="52" t="n">
        <f aca="false">IF(AND(ISNUMBER($G94),$G94&gt;=60),MAX(INDEX($D$5:$D94,91-60):$D94),"")</f>
        <v>3340</v>
      </c>
      <c r="N94" s="52" t="n">
        <f aca="false">IF(AND(ISNUMBER($G94),$G94&gt;=60),MIN(INDEX($E$5:$E94,91-60):$E94),"")</f>
        <v>2906</v>
      </c>
      <c r="O94" s="53" t="n">
        <f aca="false">IF(OR(NOT(ISNUMBER($C94)),NOT(ISNUMBER($M94)),$M94=0),"",$C94/$M94-1)</f>
        <v>-0.0110778443113773</v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3334</v>
      </c>
      <c r="D95" s="49" t="n">
        <v>3341</v>
      </c>
      <c r="E95" s="49" t="n">
        <v>3310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0.0093854072055708</v>
      </c>
      <c r="I95" s="52" t="n">
        <f aca="false">IF(AND(ISNUMBER($G95),$G95&gt;=MA_SHORT),AVERAGE(INDEX($C$5:$C95,92-MA_SHORT):$C95),"")</f>
        <v>3244.75</v>
      </c>
      <c r="J95" s="52" t="n">
        <f aca="false">IF(AND(ISNUMBER($G95),$G95&gt;=MA_MED),AVERAGE(INDEX($C$5:$C95,92-MA_MED):$C95),"")</f>
        <v>3115.34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0.208302897268408</v>
      </c>
      <c r="M95" s="52" t="n">
        <f aca="false">IF(AND(ISNUMBER($G95),$G95&gt;=60),MAX(INDEX($D$5:$D95,92-60):$D95),"")</f>
        <v>3341</v>
      </c>
      <c r="N95" s="52" t="n">
        <f aca="false">IF(AND(ISNUMBER($G95),$G95&gt;=60),MIN(INDEX($E$5:$E95,92-60):$E95),"")</f>
        <v>2906</v>
      </c>
      <c r="O95" s="53" t="n">
        <f aca="false">IF(OR(NOT(ISNUMBER($C95)),NOT(ISNUMBER($M95)),$M95=0),"",$C95/$M95-1)</f>
        <v>-0.00209518108350792</v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3376</v>
      </c>
      <c r="D96" s="49" t="n">
        <v>3388</v>
      </c>
      <c r="E96" s="49" t="n">
        <v>3354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0.0125974805038993</v>
      </c>
      <c r="I96" s="52" t="n">
        <f aca="false">IF(AND(ISNUMBER($G96),$G96&gt;=MA_SHORT),AVERAGE(INDEX($C$5:$C96,93-MA_SHORT):$C96),"")</f>
        <v>3256.3</v>
      </c>
      <c r="J96" s="52" t="n">
        <f aca="false">IF(AND(ISNUMBER($G96),$G96&gt;=MA_MED),AVERAGE(INDEX($C$5:$C96,93-MA_MED):$C96),"")</f>
        <v>3122.16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0.19087112010248</v>
      </c>
      <c r="M96" s="52" t="n">
        <f aca="false">IF(AND(ISNUMBER($G96),$G96&gt;=60),MAX(INDEX($D$5:$D96,93-60):$D96),"")</f>
        <v>3388</v>
      </c>
      <c r="N96" s="52" t="n">
        <f aca="false">IF(AND(ISNUMBER($G96),$G96&gt;=60),MIN(INDEX($E$5:$E96,93-60):$E96),"")</f>
        <v>2906</v>
      </c>
      <c r="O96" s="53" t="n">
        <f aca="false">IF(OR(NOT(ISNUMBER($C96)),NOT(ISNUMBER($M96)),$M96=0),"",$C96/$M96-1)</f>
        <v>-0.00354191263282178</v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3361</v>
      </c>
      <c r="D97" s="49" t="n">
        <v>3369</v>
      </c>
      <c r="E97" s="49" t="n">
        <v>3358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-0.00444312796208535</v>
      </c>
      <c r="I97" s="52" t="n">
        <f aca="false">IF(AND(ISNUMBER($G97),$G97&gt;=MA_SHORT),AVERAGE(INDEX($C$5:$C97,94-MA_SHORT):$C97),"")</f>
        <v>3265.65</v>
      </c>
      <c r="J97" s="52" t="n">
        <f aca="false">IF(AND(ISNUMBER($G97),$G97&gt;=MA_MED),AVERAGE(INDEX($C$5:$C97,94-MA_MED):$C97),"")</f>
        <v>3127.7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0.191691116160427</v>
      </c>
      <c r="M97" s="52" t="n">
        <f aca="false">IF(AND(ISNUMBER($G97),$G97&gt;=60),MAX(INDEX($D$5:$D97,94-60):$D97),"")</f>
        <v>3388</v>
      </c>
      <c r="N97" s="52" t="n">
        <f aca="false">IF(AND(ISNUMBER($G97),$G97&gt;=60),MIN(INDEX($E$5:$E97,94-60):$E97),"")</f>
        <v>2906</v>
      </c>
      <c r="O97" s="53" t="n">
        <f aca="false">IF(OR(NOT(ISNUMBER($C97)),NOT(ISNUMBER($M97)),$M97=0),"",$C97/$M97-1)</f>
        <v>-0.00796930342384883</v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3423</v>
      </c>
      <c r="D98" s="49" t="n">
        <v>3428</v>
      </c>
      <c r="E98" s="49" t="n">
        <v>3405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0.0184468908063076</v>
      </c>
      <c r="I98" s="52" t="n">
        <f aca="false">IF(AND(ISNUMBER($G98),$G98&gt;=MA_SHORT),AVERAGE(INDEX($C$5:$C98,95-MA_SHORT):$C98),"")</f>
        <v>3277.95</v>
      </c>
      <c r="J98" s="52" t="n">
        <f aca="false">IF(AND(ISNUMBER($G98),$G98&gt;=MA_MED),AVERAGE(INDEX($C$5:$C98,95-MA_MED):$C98),"")</f>
        <v>3134.36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0.198993750536575</v>
      </c>
      <c r="M98" s="52" t="n">
        <f aca="false">IF(AND(ISNUMBER($G98),$G98&gt;=60),MAX(INDEX($D$5:$D98,95-60):$D98),"")</f>
        <v>3428</v>
      </c>
      <c r="N98" s="52" t="n">
        <f aca="false">IF(AND(ISNUMBER($G98),$G98&gt;=60),MIN(INDEX($E$5:$E98,95-60):$E98),"")</f>
        <v>2906</v>
      </c>
      <c r="O98" s="53" t="n">
        <f aca="false">IF(OR(NOT(ISNUMBER($C98)),NOT(ISNUMBER($M98)),$M98=0),"",$C98/$M98-1)</f>
        <v>-0.00145857642940495</v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3392</v>
      </c>
      <c r="D99" s="49" t="n">
        <v>3414</v>
      </c>
      <c r="E99" s="49" t="n">
        <v>3376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-0.00905638328951208</v>
      </c>
      <c r="I99" s="52" t="n">
        <f aca="false">IF(AND(ISNUMBER($G99),$G99&gt;=MA_SHORT),AVERAGE(INDEX($C$5:$C99,96-MA_SHORT):$C99),"")</f>
        <v>3285.65</v>
      </c>
      <c r="J99" s="52" t="n">
        <f aca="false">IF(AND(ISNUMBER($G99),$G99&gt;=MA_MED),AVERAGE(INDEX($C$5:$C99,96-MA_MED):$C99),"")</f>
        <v>3140.72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0.195361016480828</v>
      </c>
      <c r="M99" s="52" t="n">
        <f aca="false">IF(AND(ISNUMBER($G99),$G99&gt;=60),MAX(INDEX($D$5:$D99,96-60):$D99),"")</f>
        <v>3428</v>
      </c>
      <c r="N99" s="52" t="n">
        <f aca="false">IF(AND(ISNUMBER($G99),$G99&gt;=60),MIN(INDEX($E$5:$E99,96-60):$E99),"")</f>
        <v>2906</v>
      </c>
      <c r="O99" s="53" t="n">
        <f aca="false">IF(OR(NOT(ISNUMBER($C99)),NOT(ISNUMBER($M99)),$M99=0),"",$C99/$M99-1)</f>
        <v>-0.0105017502917153</v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3428</v>
      </c>
      <c r="D100" s="49" t="n">
        <v>3440</v>
      </c>
      <c r="E100" s="49" t="n">
        <v>3412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0.0106132075471699</v>
      </c>
      <c r="I100" s="52" t="n">
        <f aca="false">IF(AND(ISNUMBER($G100),$G100&gt;=MA_SHORT),AVERAGE(INDEX($C$5:$C100,97-MA_SHORT):$C100),"")</f>
        <v>3295.1</v>
      </c>
      <c r="J100" s="52" t="n">
        <f aca="false">IF(AND(ISNUMBER($G100),$G100&gt;=MA_MED),AVERAGE(INDEX($C$5:$C100,97-MA_MED):$C100),"")</f>
        <v>3147.68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0.197258657759803</v>
      </c>
      <c r="M100" s="52" t="n">
        <f aca="false">IF(AND(ISNUMBER($G100),$G100&gt;=60),MAX(INDEX($D$5:$D100,97-60):$D100),"")</f>
        <v>3440</v>
      </c>
      <c r="N100" s="52" t="n">
        <f aca="false">IF(AND(ISNUMBER($G100),$G100&gt;=60),MIN(INDEX($E$5:$E100,97-60):$E100),"")</f>
        <v>2906</v>
      </c>
      <c r="O100" s="53" t="n">
        <f aca="false">IF(OR(NOT(ISNUMBER($C100)),NOT(ISNUMBER($M100)),$M100=0),"",$C100/$M100-1)</f>
        <v>-0.00348837209302322</v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3374</v>
      </c>
      <c r="D101" s="49" t="n">
        <v>3378</v>
      </c>
      <c r="E101" s="49" t="n">
        <v>3369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-0.0157526254375729</v>
      </c>
      <c r="I101" s="52" t="n">
        <f aca="false">IF(AND(ISNUMBER($G101),$G101&gt;=MA_SHORT),AVERAGE(INDEX($C$5:$C101,98-MA_SHORT):$C101),"")</f>
        <v>3301.65</v>
      </c>
      <c r="J101" s="52" t="n">
        <f aca="false">IF(AND(ISNUMBER($G101),$G101&gt;=MA_MED),AVERAGE(INDEX($C$5:$C101,98-MA_MED):$C101),"")</f>
        <v>3153.54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0.207802988465093</v>
      </c>
      <c r="M101" s="52" t="n">
        <f aca="false">IF(AND(ISNUMBER($G101),$G101&gt;=60),MAX(INDEX($D$5:$D101,98-60):$D101),"")</f>
        <v>3440</v>
      </c>
      <c r="N101" s="52" t="n">
        <f aca="false">IF(AND(ISNUMBER($G101),$G101&gt;=60),MIN(INDEX($E$5:$E101,98-60):$E101),"")</f>
        <v>2906</v>
      </c>
      <c r="O101" s="53" t="n">
        <f aca="false">IF(OR(NOT(ISNUMBER($C101)),NOT(ISNUMBER($M101)),$M101=0),"",$C101/$M101-1)</f>
        <v>-0.0191860465116279</v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3422</v>
      </c>
      <c r="D102" s="49" t="n">
        <v>3429</v>
      </c>
      <c r="E102" s="49" t="n">
        <v>3408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0.0142264374629519</v>
      </c>
      <c r="I102" s="52" t="n">
        <f aca="false">IF(AND(ISNUMBER($G102),$G102&gt;=MA_SHORT),AVERAGE(INDEX($C$5:$C102,99-MA_SHORT):$C102),"")</f>
        <v>3307.75</v>
      </c>
      <c r="J102" s="52" t="n">
        <f aca="false">IF(AND(ISNUMBER($G102),$G102&gt;=MA_MED),AVERAGE(INDEX($C$5:$C102,99-MA_MED):$C102),"")</f>
        <v>3160.86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0.204889121651429</v>
      </c>
      <c r="M102" s="52" t="n">
        <f aca="false">IF(AND(ISNUMBER($G102),$G102&gt;=60),MAX(INDEX($D$5:$D102,99-60):$D102),"")</f>
        <v>3440</v>
      </c>
      <c r="N102" s="52" t="n">
        <f aca="false">IF(AND(ISNUMBER($G102),$G102&gt;=60),MIN(INDEX($E$5:$E102,99-60):$E102),"")</f>
        <v>2906</v>
      </c>
      <c r="O102" s="53" t="n">
        <f aca="false">IF(OR(NOT(ISNUMBER($C102)),NOT(ISNUMBER($M102)),$M102=0),"",$C102/$M102-1)</f>
        <v>-0.00523255813953494</v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3506</v>
      </c>
      <c r="D103" s="49" t="n">
        <v>3509</v>
      </c>
      <c r="E103" s="49" t="n">
        <v>3504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0.0245470485096435</v>
      </c>
      <c r="I103" s="52" t="n">
        <f aca="false">IF(AND(ISNUMBER($G103),$G103&gt;=MA_SHORT),AVERAGE(INDEX($C$5:$C103,100-MA_SHORT):$C103),"")</f>
        <v>3320.1</v>
      </c>
      <c r="J103" s="52" t="n">
        <f aca="false">IF(AND(ISNUMBER($G103),$G103&gt;=MA_MED),AVERAGE(INDEX($C$5:$C103,100-MA_MED):$C103),"")</f>
        <v>3169.96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0.212291885346417</v>
      </c>
      <c r="M103" s="52" t="n">
        <f aca="false">IF(AND(ISNUMBER($G103),$G103&gt;=60),MAX(INDEX($D$5:$D103,100-60):$D103),"")</f>
        <v>3509</v>
      </c>
      <c r="N103" s="52" t="n">
        <f aca="false">IF(AND(ISNUMBER($G103),$G103&gt;=60),MIN(INDEX($E$5:$E103,100-60):$E103),"")</f>
        <v>2906</v>
      </c>
      <c r="O103" s="53" t="n">
        <f aca="false">IF(OR(NOT(ISNUMBER($C103)),NOT(ISNUMBER($M103)),$M103=0),"",$C103/$M103-1)</f>
        <v>-0.000854944428612114</v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3519</v>
      </c>
      <c r="D104" s="49" t="n">
        <v>3540</v>
      </c>
      <c r="E104" s="49" t="n">
        <v>3507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0.00370792926411867</v>
      </c>
      <c r="I104" s="52" t="n">
        <f aca="false">IF(AND(ISNUMBER($G104),$G104&gt;=MA_SHORT),AVERAGE(INDEX($C$5:$C104,101-MA_SHORT):$C104),"")</f>
        <v>3332.4</v>
      </c>
      <c r="J104" s="52" t="n">
        <f aca="false">IF(AND(ISNUMBER($G104),$G104&gt;=MA_MED),AVERAGE(INDEX($C$5:$C104,101-MA_MED):$C104),"")</f>
        <v>3178.12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0.212282248526846</v>
      </c>
      <c r="M104" s="52" t="n">
        <f aca="false">IF(AND(ISNUMBER($G104),$G104&gt;=60),MAX(INDEX($D$5:$D104,101-60):$D104),"")</f>
        <v>3540</v>
      </c>
      <c r="N104" s="52" t="n">
        <f aca="false">IF(AND(ISNUMBER($G104),$G104&gt;=60),MIN(INDEX($E$5:$E104,101-60):$E104),"")</f>
        <v>2906</v>
      </c>
      <c r="O104" s="53" t="n">
        <f aca="false">IF(OR(NOT(ISNUMBER($C104)),NOT(ISNUMBER($M104)),$M104=0),"",$C104/$M104-1)</f>
        <v>-0.00593220338983047</v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3560</v>
      </c>
      <c r="D105" s="49" t="n">
        <v>3570</v>
      </c>
      <c r="E105" s="49" t="n">
        <v>3553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0.0116510372264849</v>
      </c>
      <c r="I105" s="52" t="n">
        <f aca="false">IF(AND(ISNUMBER($G105),$G105&gt;=MA_SHORT),AVERAGE(INDEX($C$5:$C105,102-MA_SHORT):$C105),"")</f>
        <v>3350.55</v>
      </c>
      <c r="J105" s="52" t="n">
        <f aca="false">IF(AND(ISNUMBER($G105),$G105&gt;=MA_MED),AVERAGE(INDEX($C$5:$C105,102-MA_MED):$C105),"")</f>
        <v>3186.68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0.189035846168995</v>
      </c>
      <c r="M105" s="52" t="n">
        <f aca="false">IF(AND(ISNUMBER($G105),$G105&gt;=60),MAX(INDEX($D$5:$D105,102-60):$D105),"")</f>
        <v>3570</v>
      </c>
      <c r="N105" s="52" t="n">
        <f aca="false">IF(AND(ISNUMBER($G105),$G105&gt;=60),MIN(INDEX($E$5:$E105,102-60):$E105),"")</f>
        <v>2906</v>
      </c>
      <c r="O105" s="53" t="n">
        <f aca="false">IF(OR(NOT(ISNUMBER($C105)),NOT(ISNUMBER($M105)),$M105=0),"",$C105/$M105-1)</f>
        <v>-0.00280112044817926</v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3568</v>
      </c>
      <c r="D106" s="49" t="n">
        <v>3576</v>
      </c>
      <c r="E106" s="49" t="n">
        <v>3561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0.00224719101123605</v>
      </c>
      <c r="I106" s="52" t="n">
        <f aca="false">IF(AND(ISNUMBER($G106),$G106&gt;=MA_SHORT),AVERAGE(INDEX($C$5:$C106,103-MA_SHORT):$C106),"")</f>
        <v>3365.95</v>
      </c>
      <c r="J106" s="52" t="n">
        <f aca="false">IF(AND(ISNUMBER($G106),$G106&gt;=MA_MED),AVERAGE(INDEX($C$5:$C106,103-MA_MED):$C106),"")</f>
        <v>3196.26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0.181809124188693</v>
      </c>
      <c r="M106" s="52" t="n">
        <f aca="false">IF(AND(ISNUMBER($G106),$G106&gt;=60),MAX(INDEX($D$5:$D106,103-60):$D106),"")</f>
        <v>3576</v>
      </c>
      <c r="N106" s="52" t="n">
        <f aca="false">IF(AND(ISNUMBER($G106),$G106&gt;=60),MIN(INDEX($E$5:$E106,103-60):$E106),"")</f>
        <v>2906</v>
      </c>
      <c r="O106" s="53" t="n">
        <f aca="false">IF(OR(NOT(ISNUMBER($C106)),NOT(ISNUMBER($M106)),$M106=0),"",$C106/$M106-1)</f>
        <v>-0.00223713646532442</v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3552</v>
      </c>
      <c r="D107" s="49" t="n">
        <v>3568</v>
      </c>
      <c r="E107" s="49" t="n">
        <v>3542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-0.00448430493273544</v>
      </c>
      <c r="I107" s="52" t="n">
        <f aca="false">IF(AND(ISNUMBER($G107),$G107&gt;=MA_SHORT),AVERAGE(INDEX($C$5:$C107,104-MA_SHORT):$C107),"")</f>
        <v>3381.5</v>
      </c>
      <c r="J107" s="52" t="n">
        <f aca="false">IF(AND(ISNUMBER($G107),$G107&gt;=MA_MED),AVERAGE(INDEX($C$5:$C107,104-MA_MED):$C107),"")</f>
        <v>3205.8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0.180874737854892</v>
      </c>
      <c r="M107" s="52" t="n">
        <f aca="false">IF(AND(ISNUMBER($G107),$G107&gt;=60),MAX(INDEX($D$5:$D107,104-60):$D107),"")</f>
        <v>3576</v>
      </c>
      <c r="N107" s="52" t="n">
        <f aca="false">IF(AND(ISNUMBER($G107),$G107&gt;=60),MIN(INDEX($E$5:$E107,104-60):$E107),"")</f>
        <v>2906</v>
      </c>
      <c r="O107" s="53" t="n">
        <f aca="false">IF(OR(NOT(ISNUMBER($C107)),NOT(ISNUMBER($M107)),$M107=0),"",$C107/$M107-1)</f>
        <v>-0.00671140939597315</v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3550</v>
      </c>
      <c r="D108" s="49" t="n">
        <v>3550</v>
      </c>
      <c r="E108" s="49" t="n">
        <v>3548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-0.000563063063063085</v>
      </c>
      <c r="I108" s="52" t="n">
        <f aca="false">IF(AND(ISNUMBER($G108),$G108&gt;=MA_SHORT),AVERAGE(INDEX($C$5:$C108,105-MA_SHORT):$C108),"")</f>
        <v>3396.15</v>
      </c>
      <c r="J108" s="52" t="n">
        <f aca="false">IF(AND(ISNUMBER($G108),$G108&gt;=MA_MED),AVERAGE(INDEX($C$5:$C108,105-MA_MED):$C108),"")</f>
        <v>3215.14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0.181786306886405</v>
      </c>
      <c r="M108" s="52" t="n">
        <f aca="false">IF(AND(ISNUMBER($G108),$G108&gt;=60),MAX(INDEX($D$5:$D108,105-60):$D108),"")</f>
        <v>3576</v>
      </c>
      <c r="N108" s="52" t="n">
        <f aca="false">IF(AND(ISNUMBER($G108),$G108&gt;=60),MIN(INDEX($E$5:$E108,105-60):$E108),"")</f>
        <v>2906</v>
      </c>
      <c r="O108" s="53" t="n">
        <f aca="false">IF(OR(NOT(ISNUMBER($C108)),NOT(ISNUMBER($M108)),$M108=0),"",$C108/$M108-1)</f>
        <v>-0.00727069351230425</v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3545</v>
      </c>
      <c r="D109" s="49" t="n">
        <v>3551</v>
      </c>
      <c r="E109" s="49" t="n">
        <v>3543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-0.00140845070422535</v>
      </c>
      <c r="I109" s="52" t="n">
        <f aca="false">IF(AND(ISNUMBER($G109),$G109&gt;=MA_SHORT),AVERAGE(INDEX($C$5:$C109,106-MA_SHORT):$C109),"")</f>
        <v>3410.7</v>
      </c>
      <c r="J109" s="52" t="n">
        <f aca="false">IF(AND(ISNUMBER($G109),$G109&gt;=MA_MED),AVERAGE(INDEX($C$5:$C109,106-MA_MED):$C109),"")</f>
        <v>3225.8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0.181977472025129</v>
      </c>
      <c r="M109" s="52" t="n">
        <f aca="false">IF(AND(ISNUMBER($G109),$G109&gt;=60),MAX(INDEX($D$5:$D109,106-60):$D109),"")</f>
        <v>3576</v>
      </c>
      <c r="N109" s="52" t="n">
        <f aca="false">IF(AND(ISNUMBER($G109),$G109&gt;=60),MIN(INDEX($E$5:$E109,106-60):$E109),"")</f>
        <v>2906</v>
      </c>
      <c r="O109" s="53" t="n">
        <f aca="false">IF(OR(NOT(ISNUMBER($C109)),NOT(ISNUMBER($M109)),$M109=0),"",$C109/$M109-1)</f>
        <v>-0.00866890380313201</v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3552</v>
      </c>
      <c r="D110" s="49" t="n">
        <v>3557</v>
      </c>
      <c r="E110" s="49" t="n">
        <v>3551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0.00197461212976013</v>
      </c>
      <c r="I110" s="52" t="n">
        <f aca="false">IF(AND(ISNUMBER($G110),$G110&gt;=MA_SHORT),AVERAGE(INDEX($C$5:$C110,107-MA_SHORT):$C110),"")</f>
        <v>3428</v>
      </c>
      <c r="J110" s="52" t="n">
        <f aca="false">IF(AND(ISNUMBER($G110),$G110&gt;=MA_MED),AVERAGE(INDEX($C$5:$C110,107-MA_MED):$C110),"")</f>
        <v>3237.36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0.168229169975565</v>
      </c>
      <c r="M110" s="52" t="n">
        <f aca="false">IF(AND(ISNUMBER($G110),$G110&gt;=60),MAX(INDEX($D$5:$D110,107-60):$D110),"")</f>
        <v>3576</v>
      </c>
      <c r="N110" s="52" t="n">
        <f aca="false">IF(AND(ISNUMBER($G110),$G110&gt;=60),MIN(INDEX($E$5:$E110,107-60):$E110),"")</f>
        <v>2906</v>
      </c>
      <c r="O110" s="53" t="n">
        <f aca="false">IF(OR(NOT(ISNUMBER($C110)),NOT(ISNUMBER($M110)),$M110=0),"",$C110/$M110-1)</f>
        <v>-0.00671140939597315</v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3592</v>
      </c>
      <c r="D111" s="49" t="n">
        <v>3602</v>
      </c>
      <c r="E111" s="49" t="n">
        <v>3588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0.0112612612612613</v>
      </c>
      <c r="I111" s="52" t="n">
        <f aca="false">IF(AND(ISNUMBER($G111),$G111&gt;=MA_SHORT),AVERAGE(INDEX($C$5:$C111,108-MA_SHORT):$C111),"")</f>
        <v>3446</v>
      </c>
      <c r="J111" s="52" t="n">
        <f aca="false">IF(AND(ISNUMBER($G111),$G111&gt;=MA_MED),AVERAGE(INDEX($C$5:$C111,108-MA_MED):$C111),"")</f>
        <v>3249.26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0.169292224274278</v>
      </c>
      <c r="M111" s="52" t="n">
        <f aca="false">IF(AND(ISNUMBER($G111),$G111&gt;=60),MAX(INDEX($D$5:$D111,108-60):$D111),"")</f>
        <v>3602</v>
      </c>
      <c r="N111" s="52" t="n">
        <f aca="false">IF(AND(ISNUMBER($G111),$G111&gt;=60),MIN(INDEX($E$5:$E111,108-60):$E111),"")</f>
        <v>2906</v>
      </c>
      <c r="O111" s="53" t="n">
        <f aca="false">IF(OR(NOT(ISNUMBER($C111)),NOT(ISNUMBER($M111)),$M111=0),"",$C111/$M111-1)</f>
        <v>-0.00277623542476402</v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3567</v>
      </c>
      <c r="D112" s="49" t="n">
        <v>3577</v>
      </c>
      <c r="E112" s="49" t="n">
        <v>3552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-0.0069599109131403</v>
      </c>
      <c r="I112" s="52" t="n">
        <f aca="false">IF(AND(ISNUMBER($G112),$G112&gt;=MA_SHORT),AVERAGE(INDEX($C$5:$C112,109-MA_SHORT):$C112),"")</f>
        <v>3462.25</v>
      </c>
      <c r="J112" s="52" t="n">
        <f aca="false">IF(AND(ISNUMBER($G112),$G112&gt;=MA_MED),AVERAGE(INDEX($C$5:$C112,109-MA_MED):$C112),"")</f>
        <v>3261.7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0.174593671166209</v>
      </c>
      <c r="M112" s="52" t="n">
        <f aca="false">IF(AND(ISNUMBER($G112),$G112&gt;=60),MAX(INDEX($D$5:$D112,109-60):$D112),"")</f>
        <v>3602</v>
      </c>
      <c r="N112" s="52" t="n">
        <f aca="false">IF(AND(ISNUMBER($G112),$G112&gt;=60),MIN(INDEX($E$5:$E112,109-60):$E112),"")</f>
        <v>2906</v>
      </c>
      <c r="O112" s="53" t="n">
        <f aca="false">IF(OR(NOT(ISNUMBER($C112)),NOT(ISNUMBER($M112)),$M112=0),"",$C112/$M112-1)</f>
        <v>-0.00971682398667406</v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3645</v>
      </c>
      <c r="D113" s="49" t="n">
        <v>3657</v>
      </c>
      <c r="E113" s="49" t="n">
        <v>3631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0.0218671152228764</v>
      </c>
      <c r="I113" s="52" t="n">
        <f aca="false">IF(AND(ISNUMBER($G113),$G113&gt;=MA_SHORT),AVERAGE(INDEX($C$5:$C113,110-MA_SHORT):$C113),"")</f>
        <v>3478.45</v>
      </c>
      <c r="J113" s="52" t="n">
        <f aca="false">IF(AND(ISNUMBER($G113),$G113&gt;=MA_MED),AVERAGE(INDEX($C$5:$C113,110-MA_MED):$C113),"")</f>
        <v>3274.42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0.171174442907414</v>
      </c>
      <c r="M113" s="52" t="n">
        <f aca="false">IF(AND(ISNUMBER($G113),$G113&gt;=60),MAX(INDEX($D$5:$D113,110-60):$D113),"")</f>
        <v>3657</v>
      </c>
      <c r="N113" s="52" t="n">
        <f aca="false">IF(AND(ISNUMBER($G113),$G113&gt;=60),MIN(INDEX($E$5:$E113,110-60):$E113),"")</f>
        <v>2906</v>
      </c>
      <c r="O113" s="53" t="n">
        <f aca="false">IF(OR(NOT(ISNUMBER($C113)),NOT(ISNUMBER($M113)),$M113=0),"",$C113/$M113-1)</f>
        <v>-0.00328137817883512</v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3646</v>
      </c>
      <c r="D114" s="49" t="n">
        <v>3656</v>
      </c>
      <c r="E114" s="49" t="n">
        <v>3638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0.000274348422496518</v>
      </c>
      <c r="I114" s="52" t="n">
        <f aca="false">IF(AND(ISNUMBER($G114),$G114&gt;=MA_SHORT),AVERAGE(INDEX($C$5:$C114,111-MA_SHORT):$C114),"")</f>
        <v>3495.6</v>
      </c>
      <c r="J114" s="52" t="n">
        <f aca="false">IF(AND(ISNUMBER($G114),$G114&gt;=MA_MED),AVERAGE(INDEX($C$5:$C114,111-MA_MED):$C114),"")</f>
        <v>3288.72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0.167953892759365</v>
      </c>
      <c r="M114" s="52" t="n">
        <f aca="false">IF(AND(ISNUMBER($G114),$G114&gt;=60),MAX(INDEX($D$5:$D114,111-60):$D114),"")</f>
        <v>3657</v>
      </c>
      <c r="N114" s="52" t="n">
        <f aca="false">IF(AND(ISNUMBER($G114),$G114&gt;=60),MIN(INDEX($E$5:$E114,111-60):$E114),"")</f>
        <v>2906</v>
      </c>
      <c r="O114" s="53" t="n">
        <f aca="false">IF(OR(NOT(ISNUMBER($C114)),NOT(ISNUMBER($M114)),$M114=0),"",$C114/$M114-1)</f>
        <v>-0.00300792999726551</v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3639</v>
      </c>
      <c r="D115" s="49" t="n">
        <v>3654</v>
      </c>
      <c r="E115" s="49" t="n">
        <v>3616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-0.0019199122325837</v>
      </c>
      <c r="I115" s="52" t="n">
        <f aca="false">IF(AND(ISNUMBER($G115),$G115&gt;=MA_SHORT),AVERAGE(INDEX($C$5:$C115,112-MA_SHORT):$C115),"")</f>
        <v>3510.85</v>
      </c>
      <c r="J115" s="52" t="n">
        <f aca="false">IF(AND(ISNUMBER($G115),$G115&gt;=MA_MED),AVERAGE(INDEX($C$5:$C115,112-MA_MED):$C115),"")</f>
        <v>3301.78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0.168812054586862</v>
      </c>
      <c r="M115" s="52" t="n">
        <f aca="false">IF(AND(ISNUMBER($G115),$G115&gt;=60),MAX(INDEX($D$5:$D115,112-60):$D115),"")</f>
        <v>3657</v>
      </c>
      <c r="N115" s="52" t="n">
        <f aca="false">IF(AND(ISNUMBER($G115),$G115&gt;=60),MIN(INDEX($E$5:$E115,112-60):$E115),"")</f>
        <v>2906</v>
      </c>
      <c r="O115" s="53" t="n">
        <f aca="false">IF(OR(NOT(ISNUMBER($C115)),NOT(ISNUMBER($M115)),$M115=0),"",$C115/$M115-1)</f>
        <v>-0.00492206726825262</v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3653</v>
      </c>
      <c r="D116" s="49" t="n">
        <v>3670</v>
      </c>
      <c r="E116" s="49" t="n">
        <v>3643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0.00384721077219008</v>
      </c>
      <c r="I116" s="52" t="n">
        <f aca="false">IF(AND(ISNUMBER($G116),$G116&gt;=MA_SHORT),AVERAGE(INDEX($C$5:$C116,113-MA_SHORT):$C116),"")</f>
        <v>3524.7</v>
      </c>
      <c r="J116" s="52" t="n">
        <f aca="false">IF(AND(ISNUMBER($G116),$G116&gt;=MA_MED),AVERAGE(INDEX($C$5:$C116,113-MA_MED):$C116),"")</f>
        <v>3316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0.166117138717991</v>
      </c>
      <c r="M116" s="52" t="n">
        <f aca="false">IF(AND(ISNUMBER($G116),$G116&gt;=60),MAX(INDEX($D$5:$D116,113-60):$D116),"")</f>
        <v>3670</v>
      </c>
      <c r="N116" s="52" t="n">
        <f aca="false">IF(AND(ISNUMBER($G116),$G116&gt;=60),MIN(INDEX($E$5:$E116,113-60):$E116),"")</f>
        <v>2906</v>
      </c>
      <c r="O116" s="53" t="n">
        <f aca="false">IF(OR(NOT(ISNUMBER($C116)),NOT(ISNUMBER($M116)),$M116=0),"",$C116/$M116-1)</f>
        <v>-0.00463215258855587</v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3703</v>
      </c>
      <c r="D117" s="49" t="n">
        <v>3709</v>
      </c>
      <c r="E117" s="49" t="n">
        <v>3703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0.0136873802354229</v>
      </c>
      <c r="I117" s="52" t="n">
        <f aca="false">IF(AND(ISNUMBER($G117),$G117&gt;=MA_SHORT),AVERAGE(INDEX($C$5:$C117,114-MA_SHORT):$C117),"")</f>
        <v>3541.8</v>
      </c>
      <c r="J117" s="52" t="n">
        <f aca="false">IF(AND(ISNUMBER($G117),$G117&gt;=MA_MED),AVERAGE(INDEX($C$5:$C117,114-MA_MED):$C117),"")</f>
        <v>3331.8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0.166349245774192</v>
      </c>
      <c r="M117" s="52" t="n">
        <f aca="false">IF(AND(ISNUMBER($G117),$G117&gt;=60),MAX(INDEX($D$5:$D117,114-60):$D117),"")</f>
        <v>3709</v>
      </c>
      <c r="N117" s="52" t="n">
        <f aca="false">IF(AND(ISNUMBER($G117),$G117&gt;=60),MIN(INDEX($E$5:$E117,114-60):$E117),"")</f>
        <v>2906</v>
      </c>
      <c r="O117" s="53" t="n">
        <f aca="false">IF(OR(NOT(ISNUMBER($C117)),NOT(ISNUMBER($M117)),$M117=0),"",$C117/$M117-1)</f>
        <v>-0.00161768670800755</v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3823</v>
      </c>
      <c r="D118" s="49" t="n">
        <v>3827</v>
      </c>
      <c r="E118" s="49" t="n">
        <v>3809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0.0324061571698622</v>
      </c>
      <c r="I118" s="52" t="n">
        <f aca="false">IF(AND(ISNUMBER($G118),$G118&gt;=MA_SHORT),AVERAGE(INDEX($C$5:$C118,115-MA_SHORT):$C118),"")</f>
        <v>3561.8</v>
      </c>
      <c r="J118" s="52" t="n">
        <f aca="false">IF(AND(ISNUMBER($G118),$G118&gt;=MA_MED),AVERAGE(INDEX($C$5:$C118,115-MA_MED):$C118),"")</f>
        <v>3349.26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0.186901855175154</v>
      </c>
      <c r="M118" s="52" t="n">
        <f aca="false">IF(AND(ISNUMBER($G118),$G118&gt;=60),MAX(INDEX($D$5:$D118,115-60):$D118),"")</f>
        <v>3827</v>
      </c>
      <c r="N118" s="52" t="n">
        <f aca="false">IF(AND(ISNUMBER($G118),$G118&gt;=60),MIN(INDEX($E$5:$E118,115-60):$E118),"")</f>
        <v>2906</v>
      </c>
      <c r="O118" s="53" t="n">
        <f aca="false">IF(OR(NOT(ISNUMBER($C118)),NOT(ISNUMBER($M118)),$M118=0),"",$C118/$M118-1)</f>
        <v>-0.00104520512150508</v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3817</v>
      </c>
      <c r="D119" s="49" t="n">
        <v>3824</v>
      </c>
      <c r="E119" s="49" t="n">
        <v>3809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-0.00156944807742609</v>
      </c>
      <c r="I119" s="52" t="n">
        <f aca="false">IF(AND(ISNUMBER($G119),$G119&gt;=MA_SHORT),AVERAGE(INDEX($C$5:$C119,116-MA_SHORT):$C119),"")</f>
        <v>3583.05</v>
      </c>
      <c r="J119" s="52" t="n">
        <f aca="false">IF(AND(ISNUMBER($G119),$G119&gt;=MA_MED),AVERAGE(INDEX($C$5:$C119,116-MA_MED):$C119),"")</f>
        <v>3366.3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0.181073043820219</v>
      </c>
      <c r="M119" s="52" t="n">
        <f aca="false">IF(AND(ISNUMBER($G119),$G119&gt;=60),MAX(INDEX($D$5:$D119,116-60):$D119),"")</f>
        <v>3827</v>
      </c>
      <c r="N119" s="52" t="n">
        <f aca="false">IF(AND(ISNUMBER($G119),$G119&gt;=60),MIN(INDEX($E$5:$E119,116-60):$E119),"")</f>
        <v>2906</v>
      </c>
      <c r="O119" s="53" t="n">
        <f aca="false">IF(OR(NOT(ISNUMBER($C119)),NOT(ISNUMBER($M119)),$M119=0),"",$C119/$M119-1)</f>
        <v>-0.00261301280376269</v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3787</v>
      </c>
      <c r="D120" s="49" t="n">
        <v>3789</v>
      </c>
      <c r="E120" s="49" t="n">
        <v>3774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-0.0078595755829185</v>
      </c>
      <c r="I120" s="52" t="n">
        <f aca="false">IF(AND(ISNUMBER($G120),$G120&gt;=MA_SHORT),AVERAGE(INDEX($C$5:$C120,117-MA_SHORT):$C120),"")</f>
        <v>3601</v>
      </c>
      <c r="J120" s="52" t="n">
        <f aca="false">IF(AND(ISNUMBER($G120),$G120&gt;=MA_MED),AVERAGE(INDEX($C$5:$C120,117-MA_MED):$C120),"")</f>
        <v>3381.68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0.186444830551403</v>
      </c>
      <c r="M120" s="52" t="n">
        <f aca="false">IF(AND(ISNUMBER($G120),$G120&gt;=60),MAX(INDEX($D$5:$D120,117-60):$D120),"")</f>
        <v>3827</v>
      </c>
      <c r="N120" s="52" t="n">
        <f aca="false">IF(AND(ISNUMBER($G120),$G120&gt;=60),MIN(INDEX($E$5:$E120,117-60):$E120),"")</f>
        <v>2906</v>
      </c>
      <c r="O120" s="53" t="n">
        <f aca="false">IF(OR(NOT(ISNUMBER($C120)),NOT(ISNUMBER($M120)),$M120=0),"",$C120/$M120-1)</f>
        <v>-0.010452051215051</v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3738</v>
      </c>
      <c r="D121" s="49" t="n">
        <v>3759</v>
      </c>
      <c r="E121" s="49" t="n">
        <v>3736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-0.0129390018484289</v>
      </c>
      <c r="I121" s="52" t="n">
        <f aca="false">IF(AND(ISNUMBER($G121),$G121&gt;=MA_SHORT),AVERAGE(INDEX($C$5:$C121,118-MA_SHORT):$C121),"")</f>
        <v>3619.2</v>
      </c>
      <c r="J121" s="52" t="n">
        <f aca="false">IF(AND(ISNUMBER($G121),$G121&gt;=MA_MED),AVERAGE(INDEX($C$5:$C121,118-MA_MED):$C121),"")</f>
        <v>3396.54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0.182615770436454</v>
      </c>
      <c r="M121" s="52" t="n">
        <f aca="false">IF(AND(ISNUMBER($G121),$G121&gt;=60),MAX(INDEX($D$5:$D121,118-60):$D121),"")</f>
        <v>3827</v>
      </c>
      <c r="N121" s="52" t="n">
        <f aca="false">IF(AND(ISNUMBER($G121),$G121&gt;=60),MIN(INDEX($E$5:$E121,118-60):$E121),"")</f>
        <v>2906</v>
      </c>
      <c r="O121" s="53" t="n">
        <f aca="false">IF(OR(NOT(ISNUMBER($C121)),NOT(ISNUMBER($M121)),$M121=0),"",$C121/$M121-1)</f>
        <v>-0.0232558139534884</v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3766</v>
      </c>
      <c r="D122" s="49" t="n">
        <v>3775</v>
      </c>
      <c r="E122" s="49" t="n">
        <v>3749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0.00749063670411987</v>
      </c>
      <c r="I122" s="52" t="n">
        <f aca="false">IF(AND(ISNUMBER($G122),$G122&gt;=MA_SHORT),AVERAGE(INDEX($C$5:$C122,119-MA_SHORT):$C122),"")</f>
        <v>3636.4</v>
      </c>
      <c r="J122" s="52" t="n">
        <f aca="false">IF(AND(ISNUMBER($G122),$G122&gt;=MA_MED),AVERAGE(INDEX($C$5:$C122,119-MA_MED):$C122),"")</f>
        <v>3411.04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0.179822845028222</v>
      </c>
      <c r="M122" s="52" t="n">
        <f aca="false">IF(AND(ISNUMBER($G122),$G122&gt;=60),MAX(INDEX($D$5:$D122,119-60):$D122),"")</f>
        <v>3827</v>
      </c>
      <c r="N122" s="52" t="n">
        <f aca="false">IF(AND(ISNUMBER($G122),$G122&gt;=60),MIN(INDEX($E$5:$E122,119-60):$E122),"")</f>
        <v>2906</v>
      </c>
      <c r="O122" s="53" t="n">
        <f aca="false">IF(OR(NOT(ISNUMBER($C122)),NOT(ISNUMBER($M122)),$M122=0),"",$C122/$M122-1)</f>
        <v>-0.0159393781029527</v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3764</v>
      </c>
      <c r="D123" s="49" t="n">
        <v>3772</v>
      </c>
      <c r="E123" s="49" t="n">
        <v>3740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-0.000531067445565636</v>
      </c>
      <c r="I123" s="52" t="n">
        <f aca="false">IF(AND(ISNUMBER($G123),$G123&gt;=MA_SHORT),AVERAGE(INDEX($C$5:$C123,120-MA_SHORT):$C123),"")</f>
        <v>3649.3</v>
      </c>
      <c r="J123" s="52" t="n">
        <f aca="false">IF(AND(ISNUMBER($G123),$G123&gt;=MA_MED),AVERAGE(INDEX($C$5:$C123,120-MA_MED):$C123),"")</f>
        <v>3425.36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0.165256418820576</v>
      </c>
      <c r="M123" s="52" t="n">
        <f aca="false">IF(AND(ISNUMBER($G123),$G123&gt;=60),MAX(INDEX($D$5:$D123,120-60):$D123),"")</f>
        <v>3827</v>
      </c>
      <c r="N123" s="52" t="n">
        <f aca="false">IF(AND(ISNUMBER($G123),$G123&gt;=60),MIN(INDEX($E$5:$E123,120-60):$E123),"")</f>
        <v>2906</v>
      </c>
      <c r="O123" s="53" t="n">
        <f aca="false">IF(OR(NOT(ISNUMBER($C123)),NOT(ISNUMBER($M123)),$M123=0),"",$C123/$M123-1)</f>
        <v>-0.0164619806637053</v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3865</v>
      </c>
      <c r="D124" s="49" t="n">
        <v>3878</v>
      </c>
      <c r="E124" s="49" t="n">
        <v>3855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0.0268331562167907</v>
      </c>
      <c r="I124" s="52" t="n">
        <f aca="false">IF(AND(ISNUMBER($G124),$G124&gt;=MA_SHORT),AVERAGE(INDEX($C$5:$C124,121-MA_SHORT):$C124),"")</f>
        <v>3666.6</v>
      </c>
      <c r="J124" s="52" t="n">
        <f aca="false">IF(AND(ISNUMBER($G124),$G124&gt;=MA_MED),AVERAGE(INDEX($C$5:$C124,121-MA_MED):$C124),"")</f>
        <v>3441.7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0.184172982026293</v>
      </c>
      <c r="M124" s="52" t="n">
        <f aca="false">IF(AND(ISNUMBER($G124),$G124&gt;=60),MAX(INDEX($D$5:$D124,121-60):$D124),"")</f>
        <v>3878</v>
      </c>
      <c r="N124" s="52" t="n">
        <f aca="false">IF(AND(ISNUMBER($G124),$G124&gt;=60),MIN(INDEX($E$5:$E124,121-60):$E124),"")</f>
        <v>2906</v>
      </c>
      <c r="O124" s="53" t="n">
        <f aca="false">IF(OR(NOT(ISNUMBER($C124)),NOT(ISNUMBER($M124)),$M124=0),"",$C124/$M124-1)</f>
        <v>-0.00335224342444562</v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3840</v>
      </c>
      <c r="D125" s="49" t="n">
        <v>3844</v>
      </c>
      <c r="E125" s="49" t="n">
        <v>3829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-0.00646830530401032</v>
      </c>
      <c r="I125" s="52" t="n">
        <f aca="false">IF(AND(ISNUMBER($G125),$G125&gt;=MA_SHORT),AVERAGE(INDEX($C$5:$C125,122-MA_SHORT):$C125),"")</f>
        <v>3680.6</v>
      </c>
      <c r="J125" s="52" t="n">
        <f aca="false">IF(AND(ISNUMBER($G125),$G125&gt;=MA_MED),AVERAGE(INDEX($C$5:$C125,122-MA_MED):$C125),"")</f>
        <v>3457.36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0.186343372998264</v>
      </c>
      <c r="M125" s="52" t="n">
        <f aca="false">IF(AND(ISNUMBER($G125),$G125&gt;=60),MAX(INDEX($D$5:$D125,122-60):$D125),"")</f>
        <v>3878</v>
      </c>
      <c r="N125" s="52" t="n">
        <f aca="false">IF(AND(ISNUMBER($G125),$G125&gt;=60),MIN(INDEX($E$5:$E125,122-60):$E125),"")</f>
        <v>2906</v>
      </c>
      <c r="O125" s="53" t="n">
        <f aca="false">IF(OR(NOT(ISNUMBER($C125)),NOT(ISNUMBER($M125)),$M125=0),"",$C125/$M125-1)</f>
        <v>-0.00979886539453323</v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3773</v>
      </c>
      <c r="D126" s="49" t="n">
        <v>3775</v>
      </c>
      <c r="E126" s="49" t="n">
        <v>3752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-0.0174479166666667</v>
      </c>
      <c r="I126" s="52" t="n">
        <f aca="false">IF(AND(ISNUMBER($G126),$G126&gt;=MA_SHORT),AVERAGE(INDEX($C$5:$C126,123-MA_SHORT):$C126),"")</f>
        <v>3690.85</v>
      </c>
      <c r="J126" s="52" t="n">
        <f aca="false">IF(AND(ISNUMBER($G126),$G126&gt;=MA_MED),AVERAGE(INDEX($C$5:$C126,123-MA_MED):$C126),"")</f>
        <v>3469.92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0.200734719780978</v>
      </c>
      <c r="M126" s="52" t="n">
        <f aca="false">IF(AND(ISNUMBER($G126),$G126&gt;=60),MAX(INDEX($D$5:$D126,123-60):$D126),"")</f>
        <v>3878</v>
      </c>
      <c r="N126" s="52" t="n">
        <f aca="false">IF(AND(ISNUMBER($G126),$G126&gt;=60),MIN(INDEX($E$5:$E126,123-60):$E126),"")</f>
        <v>2906</v>
      </c>
      <c r="O126" s="53" t="n">
        <f aca="false">IF(OR(NOT(ISNUMBER($C126)),NOT(ISNUMBER($M126)),$M126=0),"",$C126/$M126-1)</f>
        <v>-0.0270758122743683</v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3811</v>
      </c>
      <c r="D127" s="49" t="n">
        <v>3819</v>
      </c>
      <c r="E127" s="49" t="n">
        <v>3805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0.0100715610919693</v>
      </c>
      <c r="I127" s="52" t="n">
        <f aca="false">IF(AND(ISNUMBER($G127),$G127&gt;=MA_SHORT),AVERAGE(INDEX($C$5:$C127,124-MA_SHORT):$C127),"")</f>
        <v>3703.8</v>
      </c>
      <c r="J127" s="52" t="n">
        <f aca="false">IF(AND(ISNUMBER($G127),$G127&gt;=MA_MED),AVERAGE(INDEX($C$5:$C127,124-MA_MED):$C127),"")</f>
        <v>3482.66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0.200318370582184</v>
      </c>
      <c r="M127" s="52" t="n">
        <f aca="false">IF(AND(ISNUMBER($G127),$G127&gt;=60),MAX(INDEX($D$5:$D127,124-60):$D127),"")</f>
        <v>3878</v>
      </c>
      <c r="N127" s="52" t="n">
        <f aca="false">IF(AND(ISNUMBER($G127),$G127&gt;=60),MIN(INDEX($E$5:$E127,124-60):$E127),"")</f>
        <v>2944</v>
      </c>
      <c r="O127" s="53" t="n">
        <f aca="false">IF(OR(NOT(ISNUMBER($C127)),NOT(ISNUMBER($M127)),$M127=0),"",$C127/$M127-1)</f>
        <v>-0.0172769468798349</v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3900</v>
      </c>
      <c r="D128" s="49" t="n">
        <v>3914</v>
      </c>
      <c r="E128" s="49" t="n">
        <v>3888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0.0233534505379165</v>
      </c>
      <c r="I128" s="52" t="n">
        <f aca="false">IF(AND(ISNUMBER($G128),$G128&gt;=MA_SHORT),AVERAGE(INDEX($C$5:$C128,125-MA_SHORT):$C128),"")</f>
        <v>3721.3</v>
      </c>
      <c r="J128" s="52" t="n">
        <f aca="false">IF(AND(ISNUMBER($G128),$G128&gt;=MA_MED),AVERAGE(INDEX($C$5:$C128,125-MA_MED):$C128),"")</f>
        <v>3497.12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0.211104828231221</v>
      </c>
      <c r="M128" s="52" t="n">
        <f aca="false">IF(AND(ISNUMBER($G128),$G128&gt;=60),MAX(INDEX($D$5:$D128,125-60):$D128),"")</f>
        <v>3914</v>
      </c>
      <c r="N128" s="52" t="n">
        <f aca="false">IF(AND(ISNUMBER($G128),$G128&gt;=60),MIN(INDEX($E$5:$E128,125-60):$E128),"")</f>
        <v>2951</v>
      </c>
      <c r="O128" s="53" t="n">
        <f aca="false">IF(OR(NOT(ISNUMBER($C128)),NOT(ISNUMBER($M128)),$M128=0),"",$C128/$M128-1)</f>
        <v>-0.00357690342360761</v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3844</v>
      </c>
      <c r="D129" s="49" t="n">
        <v>3852</v>
      </c>
      <c r="E129" s="49" t="n">
        <v>3833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-0.0143589743589744</v>
      </c>
      <c r="I129" s="52" t="n">
        <f aca="false">IF(AND(ISNUMBER($G129),$G129&gt;=MA_SHORT),AVERAGE(INDEX($C$5:$C129,126-MA_SHORT):$C129),"")</f>
        <v>3736.25</v>
      </c>
      <c r="J129" s="52" t="n">
        <f aca="false">IF(AND(ISNUMBER($G129),$G129&gt;=MA_MED),AVERAGE(INDEX($C$5:$C129,126-MA_MED):$C129),"")</f>
        <v>3509.24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0.220664225515106</v>
      </c>
      <c r="M129" s="52" t="n">
        <f aca="false">IF(AND(ISNUMBER($G129),$G129&gt;=60),MAX(INDEX($D$5:$D129,126-60):$D129),"")</f>
        <v>3914</v>
      </c>
      <c r="N129" s="52" t="n">
        <f aca="false">IF(AND(ISNUMBER($G129),$G129&gt;=60),MIN(INDEX($E$5:$E129,126-60):$E129),"")</f>
        <v>2994</v>
      </c>
      <c r="O129" s="53" t="n">
        <f aca="false">IF(OR(NOT(ISNUMBER($C129)),NOT(ISNUMBER($M129)),$M129=0),"",$C129/$M129-1)</f>
        <v>-0.0178845171180378</v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3852</v>
      </c>
      <c r="D130" s="49" t="n">
        <v>3866</v>
      </c>
      <c r="E130" s="49" t="n">
        <v>3828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0.00208116545265358</v>
      </c>
      <c r="I130" s="52" t="n">
        <f aca="false">IF(AND(ISNUMBER($G130),$G130&gt;=MA_SHORT),AVERAGE(INDEX($C$5:$C130,127-MA_SHORT):$C130),"")</f>
        <v>3751.25</v>
      </c>
      <c r="J130" s="52" t="n">
        <f aca="false">IF(AND(ISNUMBER($G130),$G130&gt;=MA_MED),AVERAGE(INDEX($C$5:$C130,127-MA_MED):$C130),"")</f>
        <v>3521.5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0.220650991120098</v>
      </c>
      <c r="M130" s="52" t="n">
        <f aca="false">IF(AND(ISNUMBER($G130),$G130&gt;=60),MAX(INDEX($D$5:$D130,127-60):$D130),"")</f>
        <v>3914</v>
      </c>
      <c r="N130" s="52" t="n">
        <f aca="false">IF(AND(ISNUMBER($G130),$G130&gt;=60),MIN(INDEX($E$5:$E130,127-60):$E130),"")</f>
        <v>2994</v>
      </c>
      <c r="O130" s="53" t="n">
        <f aca="false">IF(OR(NOT(ISNUMBER($C130)),NOT(ISNUMBER($M130)),$M130=0),"",$C130/$M130-1)</f>
        <v>-0.0158405723045478</v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3817</v>
      </c>
      <c r="D131" s="49" t="n">
        <v>3827</v>
      </c>
      <c r="E131" s="49" t="n">
        <v>3815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-0.00908618899273106</v>
      </c>
      <c r="I131" s="52" t="n">
        <f aca="false">IF(AND(ISNUMBER($G131),$G131&gt;=MA_SHORT),AVERAGE(INDEX($C$5:$C131,128-MA_SHORT):$C131),"")</f>
        <v>3762.5</v>
      </c>
      <c r="J131" s="52" t="n">
        <f aca="false">IF(AND(ISNUMBER($G131),$G131&gt;=MA_MED),AVERAGE(INDEX($C$5:$C131,128-MA_MED):$C131),"")</f>
        <v>3532.98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0.22367406131483</v>
      </c>
      <c r="M131" s="52" t="n">
        <f aca="false">IF(AND(ISNUMBER($G131),$G131&gt;=60),MAX(INDEX($D$5:$D131,128-60):$D131),"")</f>
        <v>3914</v>
      </c>
      <c r="N131" s="52" t="n">
        <f aca="false">IF(AND(ISNUMBER($G131),$G131&gt;=60),MIN(INDEX($E$5:$E131,128-60):$E131),"")</f>
        <v>3013</v>
      </c>
      <c r="O131" s="53" t="n">
        <f aca="false">IF(OR(NOT(ISNUMBER($C131)),NOT(ISNUMBER($M131)),$M131=0),"",$C131/$M131-1)</f>
        <v>-0.0247828308635667</v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3816</v>
      </c>
      <c r="D132" s="49" t="n">
        <v>3817</v>
      </c>
      <c r="E132" s="49" t="n">
        <v>3807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-0.000261985852763935</v>
      </c>
      <c r="I132" s="52" t="n">
        <f aca="false">IF(AND(ISNUMBER($G132),$G132&gt;=MA_SHORT),AVERAGE(INDEX($C$5:$C132,129-MA_SHORT):$C132),"")</f>
        <v>3774.95</v>
      </c>
      <c r="J132" s="52" t="n">
        <f aca="false">IF(AND(ISNUMBER($G132),$G132&gt;=MA_MED),AVERAGE(INDEX($C$5:$C132,129-MA_MED):$C132),"")</f>
        <v>3543.3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0.220987041907911</v>
      </c>
      <c r="M132" s="52" t="n">
        <f aca="false">IF(AND(ISNUMBER($G132),$G132&gt;=60),MAX(INDEX($D$5:$D132,129-60):$D132),"")</f>
        <v>3914</v>
      </c>
      <c r="N132" s="52" t="n">
        <f aca="false">IF(AND(ISNUMBER($G132),$G132&gt;=60),MIN(INDEX($E$5:$E132,129-60):$E132),"")</f>
        <v>3025</v>
      </c>
      <c r="O132" s="53" t="n">
        <f aca="false">IF(OR(NOT(ISNUMBER($C132)),NOT(ISNUMBER($M132)),$M132=0),"",$C132/$M132-1)</f>
        <v>-0.025038323965253</v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3837</v>
      </c>
      <c r="D133" s="49" t="n">
        <v>3850</v>
      </c>
      <c r="E133" s="49" t="n">
        <v>3827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0.00550314465408808</v>
      </c>
      <c r="I133" s="52" t="n">
        <f aca="false">IF(AND(ISNUMBER($G133),$G133&gt;=MA_SHORT),AVERAGE(INDEX($C$5:$C133,130-MA_SHORT):$C133),"")</f>
        <v>3784.55</v>
      </c>
      <c r="J133" s="52" t="n">
        <f aca="false">IF(AND(ISNUMBER($G133),$G133&gt;=MA_MED),AVERAGE(INDEX($C$5:$C133,130-MA_MED):$C133),"")</f>
        <v>3554.86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0.210601822616081</v>
      </c>
      <c r="M133" s="52" t="n">
        <f aca="false">IF(AND(ISNUMBER($G133),$G133&gt;=60),MAX(INDEX($D$5:$D133,130-60):$D133),"")</f>
        <v>3914</v>
      </c>
      <c r="N133" s="52" t="n">
        <f aca="false">IF(AND(ISNUMBER($G133),$G133&gt;=60),MIN(INDEX($E$5:$E133,130-60):$E133),"")</f>
        <v>3025</v>
      </c>
      <c r="O133" s="53" t="n">
        <f aca="false">IF(OR(NOT(ISNUMBER($C133)),NOT(ISNUMBER($M133)),$M133=0),"",$C133/$M133-1)</f>
        <v>-0.0196729688298416</v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3809</v>
      </c>
      <c r="D134" s="49" t="n">
        <v>3827</v>
      </c>
      <c r="E134" s="49" t="n">
        <v>3807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-0.00729736773520984</v>
      </c>
      <c r="I134" s="52" t="n">
        <f aca="false">IF(AND(ISNUMBER($G134),$G134&gt;=MA_SHORT),AVERAGE(INDEX($C$5:$C134,131-MA_SHORT):$C134),"")</f>
        <v>3792.7</v>
      </c>
      <c r="J134" s="52" t="n">
        <f aca="false">IF(AND(ISNUMBER($G134),$G134&gt;=MA_MED),AVERAGE(INDEX($C$5:$C134,131-MA_MED):$C134),"")</f>
        <v>3565.58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0.213355007459629</v>
      </c>
      <c r="M134" s="52" t="n">
        <f aca="false">IF(AND(ISNUMBER($G134),$G134&gt;=60),MAX(INDEX($D$5:$D134,131-60):$D134),"")</f>
        <v>3914</v>
      </c>
      <c r="N134" s="52" t="n">
        <f aca="false">IF(AND(ISNUMBER($G134),$G134&gt;=60),MIN(INDEX($E$5:$E134,131-60):$E134),"")</f>
        <v>3045</v>
      </c>
      <c r="O134" s="53" t="n">
        <f aca="false">IF(OR(NOT(ISNUMBER($C134)),NOT(ISNUMBER($M134)),$M134=0),"",$C134/$M134-1)</f>
        <v>-0.0268267756770567</v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3870</v>
      </c>
      <c r="D135" s="49" t="n">
        <v>3880</v>
      </c>
      <c r="E135" s="49" t="n">
        <v>3867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0.016014702021528</v>
      </c>
      <c r="I135" s="52" t="n">
        <f aca="false">IF(AND(ISNUMBER($G135),$G135&gt;=MA_SHORT),AVERAGE(INDEX($C$5:$C135,132-MA_SHORT):$C135),"")</f>
        <v>3804.25</v>
      </c>
      <c r="J135" s="52" t="n">
        <f aca="false">IF(AND(ISNUMBER($G135),$G135&gt;=MA_MED),AVERAGE(INDEX($C$5:$C135,132-MA_MED):$C135),"")</f>
        <v>3579.04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0.217989767519867</v>
      </c>
      <c r="M135" s="52" t="n">
        <f aca="false">IF(AND(ISNUMBER($G135),$G135&gt;=60),MAX(INDEX($D$5:$D135,132-60):$D135),"")</f>
        <v>3914</v>
      </c>
      <c r="N135" s="52" t="n">
        <f aca="false">IF(AND(ISNUMBER($G135),$G135&gt;=60),MIN(INDEX($E$5:$E135,132-60):$E135),"")</f>
        <v>3134</v>
      </c>
      <c r="O135" s="53" t="n">
        <f aca="false">IF(OR(NOT(ISNUMBER($C135)),NOT(ISNUMBER($M135)),$M135=0),"",$C135/$M135-1)</f>
        <v>-0.0112416964741952</v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3944</v>
      </c>
      <c r="D136" s="49" t="n">
        <v>3957</v>
      </c>
      <c r="E136" s="49" t="n">
        <v>3939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0.0191214470284238</v>
      </c>
      <c r="I136" s="52" t="n">
        <f aca="false">IF(AND(ISNUMBER($G136),$G136&gt;=MA_SHORT),AVERAGE(INDEX($C$5:$C136,133-MA_SHORT):$C136),"")</f>
        <v>3818.8</v>
      </c>
      <c r="J136" s="52" t="n">
        <f aca="false">IF(AND(ISNUMBER($G136),$G136&gt;=MA_MED),AVERAGE(INDEX($C$5:$C136,133-MA_MED):$C136),"")</f>
        <v>3592.72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0.225039777020056</v>
      </c>
      <c r="M136" s="52" t="n">
        <f aca="false">IF(AND(ISNUMBER($G136),$G136&gt;=60),MAX(INDEX($D$5:$D136,133-60):$D136),"")</f>
        <v>3957</v>
      </c>
      <c r="N136" s="52" t="n">
        <f aca="false">IF(AND(ISNUMBER($G136),$G136&gt;=60),MIN(INDEX($E$5:$E136,133-60):$E136),"")</f>
        <v>3146</v>
      </c>
      <c r="O136" s="53" t="n">
        <f aca="false">IF(OR(NOT(ISNUMBER($C136)),NOT(ISNUMBER($M136)),$M136=0),"",$C136/$M136-1)</f>
        <v>-0.00328531715946423</v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3946</v>
      </c>
      <c r="D137" s="49" t="n">
        <v>3949</v>
      </c>
      <c r="E137" s="49" t="n">
        <v>3914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0.000507099391480637</v>
      </c>
      <c r="I137" s="52" t="n">
        <f aca="false">IF(AND(ISNUMBER($G137),$G137&gt;=MA_SHORT),AVERAGE(INDEX($C$5:$C137,134-MA_SHORT):$C137),"")</f>
        <v>3830.95</v>
      </c>
      <c r="J137" s="52" t="n">
        <f aca="false">IF(AND(ISNUMBER($G137),$G137&gt;=MA_MED),AVERAGE(INDEX($C$5:$C137,134-MA_MED):$C137),"")</f>
        <v>3606.82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0.222388720743011</v>
      </c>
      <c r="M137" s="52" t="n">
        <f aca="false">IF(AND(ISNUMBER($G137),$G137&gt;=60),MAX(INDEX($D$5:$D137,134-60):$D137),"")</f>
        <v>3957</v>
      </c>
      <c r="N137" s="52" t="n">
        <f aca="false">IF(AND(ISNUMBER($G137),$G137&gt;=60),MIN(INDEX($E$5:$E137,134-60):$E137),"")</f>
        <v>3168</v>
      </c>
      <c r="O137" s="53" t="n">
        <f aca="false">IF(OR(NOT(ISNUMBER($C137)),NOT(ISNUMBER($M137)),$M137=0),"",$C137/$M137-1)</f>
        <v>-0.0027798837503159</v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3941</v>
      </c>
      <c r="D138" s="49" t="n">
        <v>3964</v>
      </c>
      <c r="E138" s="49" t="n">
        <v>3932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-0.00126710593005575</v>
      </c>
      <c r="I138" s="52" t="n">
        <f aca="false">IF(AND(ISNUMBER($G138),$G138&gt;=MA_SHORT),AVERAGE(INDEX($C$5:$C138,135-MA_SHORT):$C138),"")</f>
        <v>3836.85</v>
      </c>
      <c r="J138" s="52" t="n">
        <f aca="false">IF(AND(ISNUMBER($G138),$G138&gt;=MA_MED),AVERAGE(INDEX($C$5:$C138,135-MA_MED):$C138),"")</f>
        <v>3620.5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0.19506831068772</v>
      </c>
      <c r="M138" s="52" t="n">
        <f aca="false">IF(AND(ISNUMBER($G138),$G138&gt;=60),MAX(INDEX($D$5:$D138,135-60):$D138),"")</f>
        <v>3964</v>
      </c>
      <c r="N138" s="52" t="n">
        <f aca="false">IF(AND(ISNUMBER($G138),$G138&gt;=60),MIN(INDEX($E$5:$E138,135-60):$E138),"")</f>
        <v>3189</v>
      </c>
      <c r="O138" s="53" t="n">
        <f aca="false">IF(OR(NOT(ISNUMBER($C138)),NOT(ISNUMBER($M138)),$M138=0),"",$C138/$M138-1)</f>
        <v>-0.00580221997981834</v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4051</v>
      </c>
      <c r="D139" s="49" t="n">
        <v>4088</v>
      </c>
      <c r="E139" s="49" t="n">
        <v>4026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0.0279116975386957</v>
      </c>
      <c r="I139" s="52" t="n">
        <f aca="false">IF(AND(ISNUMBER($G139),$G139&gt;=MA_SHORT),AVERAGE(INDEX($C$5:$C139,136-MA_SHORT):$C139),"")</f>
        <v>3848.55</v>
      </c>
      <c r="J139" s="52" t="n">
        <f aca="false">IF(AND(ISNUMBER($G139),$G139&gt;=MA_MED),AVERAGE(INDEX($C$5:$C139,136-MA_MED):$C139),"")</f>
        <v>3636.44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0.21515819201389</v>
      </c>
      <c r="M139" s="52" t="n">
        <f aca="false">IF(AND(ISNUMBER($G139),$G139&gt;=60),MAX(INDEX($D$5:$D139,136-60):$D139),"")</f>
        <v>4088</v>
      </c>
      <c r="N139" s="52" t="n">
        <f aca="false">IF(AND(ISNUMBER($G139),$G139&gt;=60),MIN(INDEX($E$5:$E139,136-60):$E139),"")</f>
        <v>3189</v>
      </c>
      <c r="O139" s="53" t="n">
        <f aca="false">IF(OR(NOT(ISNUMBER($C139)),NOT(ISNUMBER($M139)),$M139=0),"",$C139/$M139-1)</f>
        <v>-0.00905088062622306</v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4081</v>
      </c>
      <c r="D140" s="49" t="n">
        <v>4082</v>
      </c>
      <c r="E140" s="49" t="n">
        <v>4057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0.00740557886941495</v>
      </c>
      <c r="I140" s="52" t="n">
        <f aca="false">IF(AND(ISNUMBER($G140),$G140&gt;=MA_SHORT),AVERAGE(INDEX($C$5:$C140,137-MA_SHORT):$C140),"")</f>
        <v>3863.25</v>
      </c>
      <c r="J140" s="52" t="n">
        <f aca="false">IF(AND(ISNUMBER($G140),$G140&gt;=MA_MED),AVERAGE(INDEX($C$5:$C140,137-MA_MED):$C140),"")</f>
        <v>3653.94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0.211767381364293</v>
      </c>
      <c r="M140" s="52" t="n">
        <f aca="false">IF(AND(ISNUMBER($G140),$G140&gt;=60),MAX(INDEX($D$5:$D140,137-60):$D140),"")</f>
        <v>4088</v>
      </c>
      <c r="N140" s="52" t="n">
        <f aca="false">IF(AND(ISNUMBER($G140),$G140&gt;=60),MIN(INDEX($E$5:$E140,137-60):$E140),"")</f>
        <v>3189</v>
      </c>
      <c r="O140" s="53" t="n">
        <f aca="false">IF(OR(NOT(ISNUMBER($C140)),NOT(ISNUMBER($M140)),$M140=0),"",$C140/$M140-1)</f>
        <v>-0.00171232876712324</v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4178</v>
      </c>
      <c r="D141" s="49" t="n">
        <v>4183</v>
      </c>
      <c r="E141" s="49" t="n">
        <v>4177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0.0237686841460427</v>
      </c>
      <c r="I141" s="52" t="n">
        <f aca="false">IF(AND(ISNUMBER($G141),$G141&gt;=MA_SHORT),AVERAGE(INDEX($C$5:$C141,138-MA_SHORT):$C141),"")</f>
        <v>3885.25</v>
      </c>
      <c r="J141" s="52" t="n">
        <f aca="false">IF(AND(ISNUMBER($G141),$G141&gt;=MA_MED),AVERAGE(INDEX($C$5:$C141,138-MA_MED):$C141),"")</f>
        <v>3672.86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0.213249393929476</v>
      </c>
      <c r="M141" s="52" t="n">
        <f aca="false">IF(AND(ISNUMBER($G141),$G141&gt;=60),MAX(INDEX($D$5:$D141,138-60):$D141),"")</f>
        <v>4183</v>
      </c>
      <c r="N141" s="52" t="n">
        <f aca="false">IF(AND(ISNUMBER($G141),$G141&gt;=60),MIN(INDEX($E$5:$E141,138-60):$E141),"")</f>
        <v>3189</v>
      </c>
      <c r="O141" s="53" t="n">
        <f aca="false">IF(OR(NOT(ISNUMBER($C141)),NOT(ISNUMBER($M141)),$M141=0),"",$C141/$M141-1)</f>
        <v>-0.00119531436767872</v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4215</v>
      </c>
      <c r="D142" s="49" t="n">
        <v>4233</v>
      </c>
      <c r="E142" s="49" t="n">
        <v>4208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0.0088559119195788</v>
      </c>
      <c r="I142" s="52" t="n">
        <f aca="false">IF(AND(ISNUMBER($G142),$G142&gt;=MA_SHORT),AVERAGE(INDEX($C$5:$C142,139-MA_SHORT):$C142),"")</f>
        <v>3907.7</v>
      </c>
      <c r="J142" s="52" t="n">
        <f aca="false">IF(AND(ISNUMBER($G142),$G142&gt;=MA_MED),AVERAGE(INDEX($C$5:$C142,139-MA_MED):$C142),"")</f>
        <v>3692.32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0.213453370718946</v>
      </c>
      <c r="M142" s="52" t="n">
        <f aca="false">IF(AND(ISNUMBER($G142),$G142&gt;=60),MAX(INDEX($D$5:$D142,139-60):$D142),"")</f>
        <v>4233</v>
      </c>
      <c r="N142" s="52" t="n">
        <f aca="false">IF(AND(ISNUMBER($G142),$G142&gt;=60),MIN(INDEX($E$5:$E142,139-60):$E142),"")</f>
        <v>3189</v>
      </c>
      <c r="O142" s="53" t="n">
        <f aca="false">IF(OR(NOT(ISNUMBER($C142)),NOT(ISNUMBER($M142)),$M142=0),"",$C142/$M142-1)</f>
        <v>-0.00425230333097093</v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4250</v>
      </c>
      <c r="D143" s="49" t="n">
        <v>4253</v>
      </c>
      <c r="E143" s="49" t="n">
        <v>4235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0.00830367734282334</v>
      </c>
      <c r="I143" s="52" t="n">
        <f aca="false">IF(AND(ISNUMBER($G143),$G143&gt;=MA_SHORT),AVERAGE(INDEX($C$5:$C143,140-MA_SHORT):$C143),"")</f>
        <v>3932</v>
      </c>
      <c r="J143" s="52" t="n">
        <f aca="false">IF(AND(ISNUMBER($G143),$G143&gt;=MA_MED),AVERAGE(INDEX($C$5:$C143,140-MA_MED):$C143),"")</f>
        <v>3710.9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0.212345722940654</v>
      </c>
      <c r="M143" s="52" t="n">
        <f aca="false">IF(AND(ISNUMBER($G143),$G143&gt;=60),MAX(INDEX($D$5:$D143,140-60):$D143),"")</f>
        <v>4253</v>
      </c>
      <c r="N143" s="52" t="n">
        <f aca="false">IF(AND(ISNUMBER($G143),$G143&gt;=60),MIN(INDEX($E$5:$E143,140-60):$E143),"")</f>
        <v>3189</v>
      </c>
      <c r="O143" s="53" t="n">
        <f aca="false">IF(OR(NOT(ISNUMBER($C143)),NOT(ISNUMBER($M143)),$M143=0),"",$C143/$M143-1)</f>
        <v>-0.000705384434516843</v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4301</v>
      </c>
      <c r="D144" s="49" t="n">
        <v>4304</v>
      </c>
      <c r="E144" s="49" t="n">
        <v>4292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0.012</v>
      </c>
      <c r="I144" s="52" t="n">
        <f aca="false">IF(AND(ISNUMBER($G144),$G144&gt;=MA_SHORT),AVERAGE(INDEX($C$5:$C144,141-MA_SHORT):$C144),"")</f>
        <v>3953.8</v>
      </c>
      <c r="J144" s="52" t="n">
        <f aca="false">IF(AND(ISNUMBER($G144),$G144&gt;=MA_MED),AVERAGE(INDEX($C$5:$C144,141-MA_MED):$C144),"")</f>
        <v>3730.86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0.199710430927564</v>
      </c>
      <c r="M144" s="52" t="n">
        <f aca="false">IF(AND(ISNUMBER($G144),$G144&gt;=60),MAX(INDEX($D$5:$D144,141-60):$D144),"")</f>
        <v>4304</v>
      </c>
      <c r="N144" s="52" t="n">
        <f aca="false">IF(AND(ISNUMBER($G144),$G144&gt;=60),MIN(INDEX($E$5:$E144,141-60):$E144),"")</f>
        <v>3189</v>
      </c>
      <c r="O144" s="53" t="n">
        <f aca="false">IF(OR(NOT(ISNUMBER($C144)),NOT(ISNUMBER($M144)),$M144=0),"",$C144/$M144-1)</f>
        <v>-0.000697026022304814</v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4328</v>
      </c>
      <c r="D145" s="49" t="n">
        <v>4343</v>
      </c>
      <c r="E145" s="49" t="n">
        <v>4312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0.0062776098581725</v>
      </c>
      <c r="I145" s="52" t="n">
        <f aca="false">IF(AND(ISNUMBER($G145),$G145&gt;=MA_SHORT),AVERAGE(INDEX($C$5:$C145,142-MA_SHORT):$C145),"")</f>
        <v>3978.2</v>
      </c>
      <c r="J145" s="52" t="n">
        <f aca="false">IF(AND(ISNUMBER($G145),$G145&gt;=MA_MED),AVERAGE(INDEX($C$5:$C145,142-MA_MED):$C145),"")</f>
        <v>3750.74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0.194837012409039</v>
      </c>
      <c r="M145" s="52" t="n">
        <f aca="false">IF(AND(ISNUMBER($G145),$G145&gt;=60),MAX(INDEX($D$5:$D145,142-60):$D145),"")</f>
        <v>4343</v>
      </c>
      <c r="N145" s="52" t="n">
        <f aca="false">IF(AND(ISNUMBER($G145),$G145&gt;=60),MIN(INDEX($E$5:$E145,142-60):$E145),"")</f>
        <v>3189</v>
      </c>
      <c r="O145" s="53" t="n">
        <f aca="false">IF(OR(NOT(ISNUMBER($C145)),NOT(ISNUMBER($M145)),$M145=0),"",$C145/$M145-1)</f>
        <v>-0.00345383375546859</v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4329</v>
      </c>
      <c r="D146" s="49" t="n">
        <v>4344</v>
      </c>
      <c r="E146" s="49" t="n">
        <v>4324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0.000231053604436315</v>
      </c>
      <c r="I146" s="52" t="n">
        <f aca="false">IF(AND(ISNUMBER($G146),$G146&gt;=MA_SHORT),AVERAGE(INDEX($C$5:$C146,143-MA_SHORT):$C146),"")</f>
        <v>4006</v>
      </c>
      <c r="J146" s="52" t="n">
        <f aca="false">IF(AND(ISNUMBER($G146),$G146&gt;=MA_MED),AVERAGE(INDEX($C$5:$C146,143-MA_MED):$C146),"")</f>
        <v>3769.8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0.17625638600507</v>
      </c>
      <c r="M146" s="52" t="n">
        <f aca="false">IF(AND(ISNUMBER($G146),$G146&gt;=60),MAX(INDEX($D$5:$D146,143-60):$D146),"")</f>
        <v>4344</v>
      </c>
      <c r="N146" s="52" t="n">
        <f aca="false">IF(AND(ISNUMBER($G146),$G146&gt;=60),MIN(INDEX($E$5:$E146,143-60):$E146),"")</f>
        <v>3189</v>
      </c>
      <c r="O146" s="53" t="n">
        <f aca="false">IF(OR(NOT(ISNUMBER($C146)),NOT(ISNUMBER($M146)),$M146=0),"",$C146/$M146-1)</f>
        <v>-0.00345303867403313</v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4446</v>
      </c>
      <c r="D147" s="49" t="n">
        <v>4465</v>
      </c>
      <c r="E147" s="49" t="n">
        <v>4420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0.027027027027027</v>
      </c>
      <c r="I147" s="52" t="n">
        <f aca="false">IF(AND(ISNUMBER($G147),$G147&gt;=MA_SHORT),AVERAGE(INDEX($C$5:$C147,144-MA_SHORT):$C147),"")</f>
        <v>4037.75</v>
      </c>
      <c r="J147" s="52" t="n">
        <f aca="false">IF(AND(ISNUMBER($G147),$G147&gt;=MA_MED),AVERAGE(INDEX($C$5:$C147,144-MA_MED):$C147),"")</f>
        <v>3791.5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0.18960500341345</v>
      </c>
      <c r="M147" s="52" t="n">
        <f aca="false">IF(AND(ISNUMBER($G147),$G147&gt;=60),MAX(INDEX($D$5:$D147,144-60):$D147),"")</f>
        <v>4465</v>
      </c>
      <c r="N147" s="52" t="n">
        <f aca="false">IF(AND(ISNUMBER($G147),$G147&gt;=60),MIN(INDEX($E$5:$E147,144-60):$E147),"")</f>
        <v>3189</v>
      </c>
      <c r="O147" s="53" t="n">
        <f aca="false">IF(OR(NOT(ISNUMBER($C147)),NOT(ISNUMBER($M147)),$M147=0),"",$C147/$M147-1)</f>
        <v>-0.00425531914893618</v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4397</v>
      </c>
      <c r="D148" s="49" t="n">
        <v>4408</v>
      </c>
      <c r="E148" s="49" t="n">
        <v>4380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-0.01102114260009</v>
      </c>
      <c r="I148" s="52" t="n">
        <f aca="false">IF(AND(ISNUMBER($G148),$G148&gt;=MA_SHORT),AVERAGE(INDEX($C$5:$C148,145-MA_SHORT):$C148),"")</f>
        <v>4062.6</v>
      </c>
      <c r="J148" s="52" t="n">
        <f aca="false">IF(AND(ISNUMBER($G148),$G148&gt;=MA_MED),AVERAGE(INDEX($C$5:$C148,145-MA_MED):$C148),"")</f>
        <v>3810.98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0.191417486145701</v>
      </c>
      <c r="M148" s="52" t="n">
        <f aca="false">IF(AND(ISNUMBER($G148),$G148&gt;=60),MAX(INDEX($D$5:$D148,145-60):$D148),"")</f>
        <v>4465</v>
      </c>
      <c r="N148" s="52" t="n">
        <f aca="false">IF(AND(ISNUMBER($G148),$G148&gt;=60),MIN(INDEX($E$5:$E148,145-60):$E148),"")</f>
        <v>3189</v>
      </c>
      <c r="O148" s="53" t="n">
        <f aca="false">IF(OR(NOT(ISNUMBER($C148)),NOT(ISNUMBER($M148)),$M148=0),"",$C148/$M148-1)</f>
        <v>-0.0152295632698768</v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4391</v>
      </c>
      <c r="D149" s="49" t="n">
        <v>4404</v>
      </c>
      <c r="E149" s="49" t="n">
        <v>4371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-0.00136456675005681</v>
      </c>
      <c r="I149" s="52" t="n">
        <f aca="false">IF(AND(ISNUMBER($G149),$G149&gt;=MA_SHORT),AVERAGE(INDEX($C$5:$C149,146-MA_SHORT):$C149),"")</f>
        <v>4089.95</v>
      </c>
      <c r="J149" s="52" t="n">
        <f aca="false">IF(AND(ISNUMBER($G149),$G149&gt;=MA_MED),AVERAGE(INDEX($C$5:$C149,146-MA_MED):$C149),"")</f>
        <v>3830.96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0.178487231138331</v>
      </c>
      <c r="M149" s="52" t="n">
        <f aca="false">IF(AND(ISNUMBER($G149),$G149&gt;=60),MAX(INDEX($D$5:$D149,146-60):$D149),"")</f>
        <v>4465</v>
      </c>
      <c r="N149" s="52" t="n">
        <f aca="false">IF(AND(ISNUMBER($G149),$G149&gt;=60),MIN(INDEX($E$5:$E149,146-60):$E149),"")</f>
        <v>3189</v>
      </c>
      <c r="O149" s="53" t="n">
        <f aca="false">IF(OR(NOT(ISNUMBER($C149)),NOT(ISNUMBER($M149)),$M149=0),"",$C149/$M149-1)</f>
        <v>-0.0165733482642777</v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4444</v>
      </c>
      <c r="D150" s="49" t="n">
        <v>4470</v>
      </c>
      <c r="E150" s="49" t="n">
        <v>4437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0.0120701434752903</v>
      </c>
      <c r="I150" s="52" t="n">
        <f aca="false">IF(AND(ISNUMBER($G150),$G150&gt;=MA_SHORT),AVERAGE(INDEX($C$5:$C150,147-MA_SHORT):$C150),"")</f>
        <v>4119.55</v>
      </c>
      <c r="J150" s="52" t="n">
        <f aca="false">IF(AND(ISNUMBER($G150),$G150&gt;=MA_MED),AVERAGE(INDEX($C$5:$C150,147-MA_MED):$C150),"")</f>
        <v>3851.28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0.178552462091369</v>
      </c>
      <c r="M150" s="52" t="n">
        <f aca="false">IF(AND(ISNUMBER($G150),$G150&gt;=60),MAX(INDEX($D$5:$D150,147-60):$D150),"")</f>
        <v>4470</v>
      </c>
      <c r="N150" s="52" t="n">
        <f aca="false">IF(AND(ISNUMBER($G150),$G150&gt;=60),MIN(INDEX($E$5:$E150,147-60):$E150),"")</f>
        <v>3228</v>
      </c>
      <c r="O150" s="53" t="n">
        <f aca="false">IF(OR(NOT(ISNUMBER($C150)),NOT(ISNUMBER($M150)),$M150=0),"",$C150/$M150-1)</f>
        <v>-0.00581655480984344</v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4525</v>
      </c>
      <c r="D151" s="49" t="n">
        <v>4527</v>
      </c>
      <c r="E151" s="49" t="n">
        <v>4511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0.0182268226822682</v>
      </c>
      <c r="I151" s="52" t="n">
        <f aca="false">IF(AND(ISNUMBER($G151),$G151&gt;=MA_SHORT),AVERAGE(INDEX($C$5:$C151,148-MA_SHORT):$C151),"")</f>
        <v>4154.95</v>
      </c>
      <c r="J151" s="52" t="n">
        <f aca="false">IF(AND(ISNUMBER($G151),$G151&gt;=MA_MED),AVERAGE(INDEX($C$5:$C151,148-MA_MED):$C151),"")</f>
        <v>3874.3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0.171822748043502</v>
      </c>
      <c r="M151" s="52" t="n">
        <f aca="false">IF(AND(ISNUMBER($G151),$G151&gt;=60),MAX(INDEX($D$5:$D151,148-60):$D151),"")</f>
        <v>4527</v>
      </c>
      <c r="N151" s="52" t="n">
        <f aca="false">IF(AND(ISNUMBER($G151),$G151&gt;=60),MIN(INDEX($E$5:$E151,148-60):$E151),"")</f>
        <v>3238</v>
      </c>
      <c r="O151" s="53" t="n">
        <f aca="false">IF(OR(NOT(ISNUMBER($C151)),NOT(ISNUMBER($M151)),$M151=0),"",$C151/$M151-1)</f>
        <v>-0.000441793682350311</v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4391</v>
      </c>
      <c r="D152" s="49" t="n">
        <v>4407</v>
      </c>
      <c r="E152" s="49" t="n">
        <v>4388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-0.0296132596685083</v>
      </c>
      <c r="I152" s="52" t="n">
        <f aca="false">IF(AND(ISNUMBER($G152),$G152&gt;=MA_SHORT),AVERAGE(INDEX($C$5:$C152,149-MA_SHORT):$C152),"")</f>
        <v>4183.7</v>
      </c>
      <c r="J152" s="52" t="n">
        <f aca="false">IF(AND(ISNUMBER($G152),$G152&gt;=MA_MED),AVERAGE(INDEX($C$5:$C152,149-MA_MED):$C152),"")</f>
        <v>3893.68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0.216298367117443</v>
      </c>
      <c r="M152" s="52" t="n">
        <f aca="false">IF(AND(ISNUMBER($G152),$G152&gt;=60),MAX(INDEX($D$5:$D152,149-60):$D152),"")</f>
        <v>4527</v>
      </c>
      <c r="N152" s="52" t="n">
        <f aca="false">IF(AND(ISNUMBER($G152),$G152&gt;=60),MIN(INDEX($E$5:$E152,149-60):$E152),"")</f>
        <v>3299</v>
      </c>
      <c r="O152" s="53" t="n">
        <f aca="false">IF(OR(NOT(ISNUMBER($C152)),NOT(ISNUMBER($M152)),$M152=0),"",$C152/$M152-1)</f>
        <v>-0.0300419703998233</v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4441</v>
      </c>
      <c r="D153" s="49" t="n">
        <v>4464</v>
      </c>
      <c r="E153" s="49" t="n">
        <v>4408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0.0113869278068777</v>
      </c>
      <c r="I153" s="52" t="n">
        <f aca="false">IF(AND(ISNUMBER($G153),$G153&gt;=MA_SHORT),AVERAGE(INDEX($C$5:$C153,150-MA_SHORT):$C153),"")</f>
        <v>4213.9</v>
      </c>
      <c r="J153" s="52" t="n">
        <f aca="false">IF(AND(ISNUMBER($G153),$G153&gt;=MA_MED),AVERAGE(INDEX($C$5:$C153,150-MA_MED):$C153),"")</f>
        <v>3912.38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0.21670658204859</v>
      </c>
      <c r="M153" s="52" t="n">
        <f aca="false">IF(AND(ISNUMBER($G153),$G153&gt;=60),MAX(INDEX($D$5:$D153,150-60):$D153),"")</f>
        <v>4527</v>
      </c>
      <c r="N153" s="52" t="n">
        <f aca="false">IF(AND(ISNUMBER($G153),$G153&gt;=60),MIN(INDEX($E$5:$E153,150-60):$E153),"")</f>
        <v>3299</v>
      </c>
      <c r="O153" s="53" t="n">
        <f aca="false">IF(OR(NOT(ISNUMBER($C153)),NOT(ISNUMBER($M153)),$M153=0),"",$C153/$M153-1)</f>
        <v>-0.0189971283410647</v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4458</v>
      </c>
      <c r="D154" s="49" t="n">
        <v>4488</v>
      </c>
      <c r="E154" s="49" t="n">
        <v>4435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0.00382796667417251</v>
      </c>
      <c r="I154" s="52" t="n">
        <f aca="false">IF(AND(ISNUMBER($G154),$G154&gt;=MA_SHORT),AVERAGE(INDEX($C$5:$C154,151-MA_SHORT):$C154),"")</f>
        <v>4246.35</v>
      </c>
      <c r="J154" s="52" t="n">
        <f aca="false">IF(AND(ISNUMBER($G154),$G154&gt;=MA_MED),AVERAGE(INDEX($C$5:$C154,151-MA_MED):$C154),"")</f>
        <v>3931.16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0.210364511157955</v>
      </c>
      <c r="M154" s="52" t="n">
        <f aca="false">IF(AND(ISNUMBER($G154),$G154&gt;=60),MAX(INDEX($D$5:$D154,151-60):$D154),"")</f>
        <v>4527</v>
      </c>
      <c r="N154" s="52" t="n">
        <f aca="false">IF(AND(ISNUMBER($G154),$G154&gt;=60),MIN(INDEX($E$5:$E154,151-60):$E154),"")</f>
        <v>3310</v>
      </c>
      <c r="O154" s="53" t="n">
        <f aca="false">IF(OR(NOT(ISNUMBER($C154)),NOT(ISNUMBER($M154)),$M154=0),"",$C154/$M154-1)</f>
        <v>-0.0152418820410868</v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4414</v>
      </c>
      <c r="D155" s="49" t="n">
        <v>4438</v>
      </c>
      <c r="E155" s="49" t="n">
        <v>4405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-0.00986989681471517</v>
      </c>
      <c r="I155" s="52" t="n">
        <f aca="false">IF(AND(ISNUMBER($G155),$G155&gt;=MA_SHORT),AVERAGE(INDEX($C$5:$C155,152-MA_SHORT):$C155),"")</f>
        <v>4273.55</v>
      </c>
      <c r="J155" s="52" t="n">
        <f aca="false">IF(AND(ISNUMBER($G155),$G155&gt;=MA_MED),AVERAGE(INDEX($C$5:$C155,152-MA_MED):$C155),"")</f>
        <v>3948.24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0.217024558409275</v>
      </c>
      <c r="M155" s="52" t="n">
        <f aca="false">IF(AND(ISNUMBER($G155),$G155&gt;=60),MAX(INDEX($D$5:$D155,152-60):$D155),"")</f>
        <v>4527</v>
      </c>
      <c r="N155" s="52" t="n">
        <f aca="false">IF(AND(ISNUMBER($G155),$G155&gt;=60),MIN(INDEX($E$5:$E155,152-60):$E155),"")</f>
        <v>3354</v>
      </c>
      <c r="O155" s="53" t="n">
        <f aca="false">IF(OR(NOT(ISNUMBER($C155)),NOT(ISNUMBER($M155)),$M155=0),"",$C155/$M155-1)</f>
        <v>-0.0249613430527943</v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4363</v>
      </c>
      <c r="D156" s="49" t="n">
        <v>4374</v>
      </c>
      <c r="E156" s="49" t="n">
        <v>4350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-0.011554145899411</v>
      </c>
      <c r="I156" s="52" t="n">
        <f aca="false">IF(AND(ISNUMBER($G156),$G156&gt;=MA_SHORT),AVERAGE(INDEX($C$5:$C156,153-MA_SHORT):$C156),"")</f>
        <v>4294.5</v>
      </c>
      <c r="J156" s="52" t="n">
        <f aca="false">IF(AND(ISNUMBER($G156),$G156&gt;=MA_MED),AVERAGE(INDEX($C$5:$C156,153-MA_MED):$C156),"")</f>
        <v>3964.14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0.220888285496949</v>
      </c>
      <c r="M156" s="52" t="n">
        <f aca="false">IF(AND(ISNUMBER($G156),$G156&gt;=60),MAX(INDEX($D$5:$D156,153-60):$D156),"")</f>
        <v>4527</v>
      </c>
      <c r="N156" s="52" t="n">
        <f aca="false">IF(AND(ISNUMBER($G156),$G156&gt;=60),MIN(INDEX($E$5:$E156,153-60):$E156),"")</f>
        <v>3358</v>
      </c>
      <c r="O156" s="53" t="n">
        <f aca="false">IF(OR(NOT(ISNUMBER($C156)),NOT(ISNUMBER($M156)),$M156=0),"",$C156/$M156-1)</f>
        <v>-0.0362270819527281</v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4427</v>
      </c>
      <c r="D157" s="49" t="n">
        <v>4438</v>
      </c>
      <c r="E157" s="49" t="n">
        <v>4426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0.0146688058675224</v>
      </c>
      <c r="I157" s="52" t="n">
        <f aca="false">IF(AND(ISNUMBER($G157),$G157&gt;=MA_SHORT),AVERAGE(INDEX($C$5:$C157,154-MA_SHORT):$C157),"")</f>
        <v>4318.55</v>
      </c>
      <c r="J157" s="52" t="n">
        <f aca="false">IF(AND(ISNUMBER($G157),$G157&gt;=MA_MED),AVERAGE(INDEX($C$5:$C157,154-MA_MED):$C157),"")</f>
        <v>3981.64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0.222599901602022</v>
      </c>
      <c r="M157" s="52" t="n">
        <f aca="false">IF(AND(ISNUMBER($G157),$G157&gt;=60),MAX(INDEX($D$5:$D157,154-60):$D157),"")</f>
        <v>4527</v>
      </c>
      <c r="N157" s="52" t="n">
        <f aca="false">IF(AND(ISNUMBER($G157),$G157&gt;=60),MIN(INDEX($E$5:$E157,154-60):$E157),"")</f>
        <v>3369</v>
      </c>
      <c r="O157" s="53" t="n">
        <f aca="false">IF(OR(NOT(ISNUMBER($C157)),NOT(ISNUMBER($M157)),$M157=0),"",$C157/$M157-1)</f>
        <v>-0.0220896841175171</v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4492</v>
      </c>
      <c r="D158" s="49" t="n">
        <v>4507</v>
      </c>
      <c r="E158" s="49" t="n">
        <v>4483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0.0146826293200812</v>
      </c>
      <c r="I158" s="52" t="n">
        <f aca="false">IF(AND(ISNUMBER($G158),$G158&gt;=MA_SHORT),AVERAGE(INDEX($C$5:$C158,155-MA_SHORT):$C158),"")</f>
        <v>4346.1</v>
      </c>
      <c r="J158" s="52" t="n">
        <f aca="false">IF(AND(ISNUMBER($G158),$G158&gt;=MA_MED),AVERAGE(INDEX($C$5:$C158,155-MA_MED):$C158),"")</f>
        <v>4000.48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0.223011068773363</v>
      </c>
      <c r="M158" s="52" t="n">
        <f aca="false">IF(AND(ISNUMBER($G158),$G158&gt;=60),MAX(INDEX($D$5:$D158,155-60):$D158),"")</f>
        <v>4527</v>
      </c>
      <c r="N158" s="52" t="n">
        <f aca="false">IF(AND(ISNUMBER($G158),$G158&gt;=60),MIN(INDEX($E$5:$E158,155-60):$E158),"")</f>
        <v>3369</v>
      </c>
      <c r="O158" s="53" t="n">
        <f aca="false">IF(OR(NOT(ISNUMBER($C158)),NOT(ISNUMBER($M158)),$M158=0),"",$C158/$M158-1)</f>
        <v>-0.00773138944113094</v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4457</v>
      </c>
      <c r="D159" s="49" t="n">
        <v>4479</v>
      </c>
      <c r="E159" s="49" t="n">
        <v>4448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-0.00779162956366875</v>
      </c>
      <c r="I159" s="52" t="n">
        <f aca="false">IF(AND(ISNUMBER($G159),$G159&gt;=MA_SHORT),AVERAGE(INDEX($C$5:$C159,156-MA_SHORT):$C159),"")</f>
        <v>4366.4</v>
      </c>
      <c r="J159" s="52" t="n">
        <f aca="false">IF(AND(ISNUMBER($G159),$G159&gt;=MA_MED),AVERAGE(INDEX($C$5:$C159,156-MA_MED):$C159),"")</f>
        <v>4018.72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0.213968256001086</v>
      </c>
      <c r="M159" s="52" t="n">
        <f aca="false">IF(AND(ISNUMBER($G159),$G159&gt;=60),MAX(INDEX($D$5:$D159,156-60):$D159),"")</f>
        <v>4527</v>
      </c>
      <c r="N159" s="52" t="n">
        <f aca="false">IF(AND(ISNUMBER($G159),$G159&gt;=60),MIN(INDEX($E$5:$E159,156-60):$E159),"")</f>
        <v>3369</v>
      </c>
      <c r="O159" s="53" t="n">
        <f aca="false">IF(OR(NOT(ISNUMBER($C159)),NOT(ISNUMBER($M159)),$M159=0),"",$C159/$M159-1)</f>
        <v>-0.015462778882262</v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4522</v>
      </c>
      <c r="D160" s="49" t="n">
        <v>4536</v>
      </c>
      <c r="E160" s="49" t="n">
        <v>4514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0.0145838007628449</v>
      </c>
      <c r="I160" s="52" t="n">
        <f aca="false">IF(AND(ISNUMBER($G160),$G160&gt;=MA_SHORT),AVERAGE(INDEX($C$5:$C160,157-MA_SHORT):$C160),"")</f>
        <v>4388.45</v>
      </c>
      <c r="J160" s="52" t="n">
        <f aca="false">IF(AND(ISNUMBER($G160),$G160&gt;=MA_MED),AVERAGE(INDEX($C$5:$C160,157-MA_MED):$C160),"")</f>
        <v>4038.12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0.216522325735506</v>
      </c>
      <c r="M160" s="52" t="n">
        <f aca="false">IF(AND(ISNUMBER($G160),$G160&gt;=60),MAX(INDEX($D$5:$D160,157-60):$D160),"")</f>
        <v>4536</v>
      </c>
      <c r="N160" s="52" t="n">
        <f aca="false">IF(AND(ISNUMBER($G160),$G160&gt;=60),MIN(INDEX($E$5:$E160,157-60):$E160),"")</f>
        <v>3369</v>
      </c>
      <c r="O160" s="53" t="n">
        <f aca="false">IF(OR(NOT(ISNUMBER($C160)),NOT(ISNUMBER($M160)),$M160=0),"",$C160/$M160-1)</f>
        <v>-0.00308641975308643</v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4577</v>
      </c>
      <c r="D161" s="49" t="n">
        <v>4591</v>
      </c>
      <c r="E161" s="49" t="n">
        <v>4569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0.0121627598407785</v>
      </c>
      <c r="I161" s="52" t="n">
        <f aca="false">IF(AND(ISNUMBER($G161),$G161&gt;=MA_SHORT),AVERAGE(INDEX($C$5:$C161,158-MA_SHORT):$C161),"")</f>
        <v>4408.4</v>
      </c>
      <c r="J161" s="52" t="n">
        <f aca="false">IF(AND(ISNUMBER($G161),$G161&gt;=MA_MED),AVERAGE(INDEX($C$5:$C161,158-MA_MED):$C161),"")</f>
        <v>4057.82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0.2073272256029</v>
      </c>
      <c r="M161" s="52" t="n">
        <f aca="false">IF(AND(ISNUMBER($G161),$G161&gt;=60),MAX(INDEX($D$5:$D161,158-60):$D161),"")</f>
        <v>4591</v>
      </c>
      <c r="N161" s="52" t="n">
        <f aca="false">IF(AND(ISNUMBER($G161),$G161&gt;=60),MIN(INDEX($E$5:$E161,158-60):$E161),"")</f>
        <v>3408</v>
      </c>
      <c r="O161" s="53" t="n">
        <f aca="false">IF(OR(NOT(ISNUMBER($C161)),NOT(ISNUMBER($M161)),$M161=0),"",$C161/$M161-1)</f>
        <v>-0.0030494445654542</v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4632</v>
      </c>
      <c r="D162" s="49" t="n">
        <v>4687</v>
      </c>
      <c r="E162" s="49" t="n">
        <v>4622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0.0120166047629451</v>
      </c>
      <c r="I162" s="52" t="n">
        <f aca="false">IF(AND(ISNUMBER($G162),$G162&gt;=MA_SHORT),AVERAGE(INDEX($C$5:$C162,159-MA_SHORT):$C162),"")</f>
        <v>4429.25</v>
      </c>
      <c r="J162" s="52" t="n">
        <f aca="false">IF(AND(ISNUMBER($G162),$G162&gt;=MA_MED),AVERAGE(INDEX($C$5:$C162,159-MA_MED):$C162),"")</f>
        <v>4079.12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0.208445248770259</v>
      </c>
      <c r="M162" s="52" t="n">
        <f aca="false">IF(AND(ISNUMBER($G162),$G162&gt;=60),MAX(INDEX($D$5:$D162,159-60):$D162),"")</f>
        <v>4687</v>
      </c>
      <c r="N162" s="52" t="n">
        <f aca="false">IF(AND(ISNUMBER($G162),$G162&gt;=60),MIN(INDEX($E$5:$E162,159-60):$E162),"")</f>
        <v>3504</v>
      </c>
      <c r="O162" s="53" t="n">
        <f aca="false">IF(OR(NOT(ISNUMBER($C162)),NOT(ISNUMBER($M162)),$M162=0),"",$C162/$M162-1)</f>
        <v>-0.0117345850224024</v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4638</v>
      </c>
      <c r="D163" s="49" t="n">
        <v>4641</v>
      </c>
      <c r="E163" s="49" t="n">
        <v>4634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0.00129533678756477</v>
      </c>
      <c r="I163" s="52" t="n">
        <f aca="false">IF(AND(ISNUMBER($G163),$G163&gt;=MA_SHORT),AVERAGE(INDEX($C$5:$C163,160-MA_SHORT):$C163),"")</f>
        <v>4448.65</v>
      </c>
      <c r="J163" s="52" t="n">
        <f aca="false">IF(AND(ISNUMBER($G163),$G163&gt;=MA_MED),AVERAGE(INDEX($C$5:$C163,160-MA_MED):$C163),"")</f>
        <v>4098.98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0.208374934661772</v>
      </c>
      <c r="M163" s="52" t="n">
        <f aca="false">IF(AND(ISNUMBER($G163),$G163&gt;=60),MAX(INDEX($D$5:$D163,160-60):$D163),"")</f>
        <v>4687</v>
      </c>
      <c r="N163" s="52" t="n">
        <f aca="false">IF(AND(ISNUMBER($G163),$G163&gt;=60),MIN(INDEX($E$5:$E163,160-60):$E163),"")</f>
        <v>3507</v>
      </c>
      <c r="O163" s="53" t="n">
        <f aca="false">IF(OR(NOT(ISNUMBER($C163)),NOT(ISNUMBER($M163)),$M163=0),"",$C163/$M163-1)</f>
        <v>-0.0104544484745039</v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4634</v>
      </c>
      <c r="D164" s="49" t="n">
        <v>4671</v>
      </c>
      <c r="E164" s="49" t="n">
        <v>4616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-0.000862440707201428</v>
      </c>
      <c r="I164" s="52" t="n">
        <f aca="false">IF(AND(ISNUMBER($G164),$G164&gt;=MA_SHORT),AVERAGE(INDEX($C$5:$C164,161-MA_SHORT):$C164),"")</f>
        <v>4465.3</v>
      </c>
      <c r="J164" s="52" t="n">
        <f aca="false">IF(AND(ISNUMBER($G164),$G164&gt;=MA_MED),AVERAGE(INDEX($C$5:$C164,161-MA_MED):$C164),"")</f>
        <v>4118.74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0.207235030271401</v>
      </c>
      <c r="M164" s="52" t="n">
        <f aca="false">IF(AND(ISNUMBER($G164),$G164&gt;=60),MAX(INDEX($D$5:$D164,161-60):$D164),"")</f>
        <v>4687</v>
      </c>
      <c r="N164" s="52" t="n">
        <f aca="false">IF(AND(ISNUMBER($G164),$G164&gt;=60),MIN(INDEX($E$5:$E164,161-60):$E164),"")</f>
        <v>3542</v>
      </c>
      <c r="O164" s="53" t="n">
        <f aca="false">IF(OR(NOT(ISNUMBER($C164)),NOT(ISNUMBER($M164)),$M164=0),"",$C164/$M164-1)</f>
        <v>-0.0113078728397695</v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4702</v>
      </c>
      <c r="D165" s="49" t="n">
        <v>4710</v>
      </c>
      <c r="E165" s="49" t="n">
        <v>4695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0.0146741476046612</v>
      </c>
      <c r="I165" s="52" t="n">
        <f aca="false">IF(AND(ISNUMBER($G165),$G165&gt;=MA_SHORT),AVERAGE(INDEX($C$5:$C165,162-MA_SHORT):$C165),"")</f>
        <v>4484</v>
      </c>
      <c r="J165" s="52" t="n">
        <f aca="false">IF(AND(ISNUMBER($G165),$G165&gt;=MA_MED),AVERAGE(INDEX($C$5:$C165,162-MA_MED):$C165),"")</f>
        <v>4140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0.210576337685094</v>
      </c>
      <c r="M165" s="52" t="n">
        <f aca="false">IF(AND(ISNUMBER($G165),$G165&gt;=60),MAX(INDEX($D$5:$D165,162-60):$D165),"")</f>
        <v>4710</v>
      </c>
      <c r="N165" s="52" t="n">
        <f aca="false">IF(AND(ISNUMBER($G165),$G165&gt;=60),MIN(INDEX($E$5:$E165,162-60):$E165),"")</f>
        <v>3542</v>
      </c>
      <c r="O165" s="53" t="n">
        <f aca="false">IF(OR(NOT(ISNUMBER($C165)),NOT(ISNUMBER($M165)),$M165=0),"",$C165/$M165-1)</f>
        <v>-0.00169851380042463</v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4667</v>
      </c>
      <c r="D166" s="49" t="n">
        <v>4672</v>
      </c>
      <c r="E166" s="49" t="n">
        <v>4663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-0.00744364100382811</v>
      </c>
      <c r="I166" s="52" t="n">
        <f aca="false">IF(AND(ISNUMBER($G166),$G166&gt;=MA_SHORT),AVERAGE(INDEX($C$5:$C166,163-MA_SHORT):$C166),"")</f>
        <v>4500.9</v>
      </c>
      <c r="J166" s="52" t="n">
        <f aca="false">IF(AND(ISNUMBER($G166),$G166&gt;=MA_MED),AVERAGE(INDEX($C$5:$C166,163-MA_MED):$C166),"")</f>
        <v>4160.28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0.214142892419074</v>
      </c>
      <c r="M166" s="52" t="n">
        <f aca="false">IF(AND(ISNUMBER($G166),$G166&gt;=60),MAX(INDEX($D$5:$D166,163-60):$D166),"")</f>
        <v>4710</v>
      </c>
      <c r="N166" s="52" t="n">
        <f aca="false">IF(AND(ISNUMBER($G166),$G166&gt;=60),MIN(INDEX($E$5:$E166,163-60):$E166),"")</f>
        <v>3542</v>
      </c>
      <c r="O166" s="53" t="n">
        <f aca="false">IF(OR(NOT(ISNUMBER($C166)),NOT(ISNUMBER($M166)),$M166=0),"",$C166/$M166-1)</f>
        <v>-0.00912951167728238</v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4637</v>
      </c>
      <c r="D167" s="49" t="n">
        <v>4667</v>
      </c>
      <c r="E167" s="49" t="n">
        <v>4622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-0.00642811227769446</v>
      </c>
      <c r="I167" s="52" t="n">
        <f aca="false">IF(AND(ISNUMBER($G167),$G167&gt;=MA_SHORT),AVERAGE(INDEX($C$5:$C167,164-MA_SHORT):$C167),"")</f>
        <v>4510.45</v>
      </c>
      <c r="J167" s="52" t="n">
        <f aca="false">IF(AND(ISNUMBER($G167),$G167&gt;=MA_MED),AVERAGE(INDEX($C$5:$C167,164-MA_MED):$C167),"")</f>
        <v>4178.96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0.198935768242367</v>
      </c>
      <c r="M167" s="52" t="n">
        <f aca="false">IF(AND(ISNUMBER($G167),$G167&gt;=60),MAX(INDEX($D$5:$D167,164-60):$D167),"")</f>
        <v>4710</v>
      </c>
      <c r="N167" s="52" t="n">
        <f aca="false">IF(AND(ISNUMBER($G167),$G167&gt;=60),MIN(INDEX($E$5:$E167,164-60):$E167),"")</f>
        <v>3543</v>
      </c>
      <c r="O167" s="53" t="n">
        <f aca="false">IF(OR(NOT(ISNUMBER($C167)),NOT(ISNUMBER($M167)),$M167=0),"",$C167/$M167-1)</f>
        <v>-0.0154989384288747</v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4666</v>
      </c>
      <c r="D168" s="49" t="n">
        <v>4680</v>
      </c>
      <c r="E168" s="49" t="n">
        <v>4665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0.00625404356264836</v>
      </c>
      <c r="I168" s="52" t="n">
        <f aca="false">IF(AND(ISNUMBER($G168),$G168&gt;=MA_SHORT),AVERAGE(INDEX($C$5:$C168,165-MA_SHORT):$C168),"")</f>
        <v>4523.9</v>
      </c>
      <c r="J168" s="52" t="n">
        <f aca="false">IF(AND(ISNUMBER($G168),$G168&gt;=MA_MED),AVERAGE(INDEX($C$5:$C168,165-MA_MED):$C168),"")</f>
        <v>4195.82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0.193258472137421</v>
      </c>
      <c r="M168" s="52" t="n">
        <f aca="false">IF(AND(ISNUMBER($G168),$G168&gt;=60),MAX(INDEX($D$5:$D168,165-60):$D168),"")</f>
        <v>4710</v>
      </c>
      <c r="N168" s="52" t="n">
        <f aca="false">IF(AND(ISNUMBER($G168),$G168&gt;=60),MIN(INDEX($E$5:$E168,165-60):$E168),"")</f>
        <v>3543</v>
      </c>
      <c r="O168" s="53" t="n">
        <f aca="false">IF(OR(NOT(ISNUMBER($C168)),NOT(ISNUMBER($M168)),$M168=0),"",$C168/$M168-1)</f>
        <v>-0.00934182590233545</v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4705</v>
      </c>
      <c r="D169" s="49" t="n">
        <v>4737</v>
      </c>
      <c r="E169" s="49" t="n">
        <v>4673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0.00835833690527221</v>
      </c>
      <c r="I169" s="52" t="n">
        <f aca="false">IF(AND(ISNUMBER($G169),$G169&gt;=MA_SHORT),AVERAGE(INDEX($C$5:$C169,166-MA_SHORT):$C169),"")</f>
        <v>4539.6</v>
      </c>
      <c r="J169" s="52" t="n">
        <f aca="false">IF(AND(ISNUMBER($G169),$G169&gt;=MA_MED),AVERAGE(INDEX($C$5:$C169,166-MA_MED):$C169),"")</f>
        <v>4213.58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0.193393166747119</v>
      </c>
      <c r="M169" s="52" t="n">
        <f aca="false">IF(AND(ISNUMBER($G169),$G169&gt;=60),MAX(INDEX($D$5:$D169,166-60):$D169),"")</f>
        <v>4737</v>
      </c>
      <c r="N169" s="52" t="n">
        <f aca="false">IF(AND(ISNUMBER($G169),$G169&gt;=60),MIN(INDEX($E$5:$E169,166-60):$E169),"")</f>
        <v>3551</v>
      </c>
      <c r="O169" s="53" t="n">
        <f aca="false">IF(OR(NOT(ISNUMBER($C169)),NOT(ISNUMBER($M169)),$M169=0),"",$C169/$M169-1)</f>
        <v>-0.00675533037787635</v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4740</v>
      </c>
      <c r="D170" s="49" t="n">
        <v>4759</v>
      </c>
      <c r="E170" s="49" t="n">
        <v>4704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0.00743889479277371</v>
      </c>
      <c r="I170" s="52" t="n">
        <f aca="false">IF(AND(ISNUMBER($G170),$G170&gt;=MA_SHORT),AVERAGE(INDEX($C$5:$C170,167-MA_SHORT):$C170),"")</f>
        <v>4554.4</v>
      </c>
      <c r="J170" s="52" t="n">
        <f aca="false">IF(AND(ISNUMBER($G170),$G170&gt;=MA_MED),AVERAGE(INDEX($C$5:$C170,167-MA_MED):$C170),"")</f>
        <v>4232.64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0.191426010422037</v>
      </c>
      <c r="M170" s="52" t="n">
        <f aca="false">IF(AND(ISNUMBER($G170),$G170&gt;=60),MAX(INDEX($D$5:$D170,167-60):$D170),"")</f>
        <v>4759</v>
      </c>
      <c r="N170" s="52" t="n">
        <f aca="false">IF(AND(ISNUMBER($G170),$G170&gt;=60),MIN(INDEX($E$5:$E170,167-60):$E170),"")</f>
        <v>3552</v>
      </c>
      <c r="O170" s="53" t="n">
        <f aca="false">IF(OR(NOT(ISNUMBER($C170)),NOT(ISNUMBER($M170)),$M170=0),"",$C170/$M170-1)</f>
        <v>-0.00399243538558525</v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4742</v>
      </c>
      <c r="D171" s="49" t="n">
        <v>4768</v>
      </c>
      <c r="E171" s="49" t="n">
        <v>4727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0.00042194092826997</v>
      </c>
      <c r="I171" s="52" t="n">
        <f aca="false">IF(AND(ISNUMBER($G171),$G171&gt;=MA_SHORT),AVERAGE(INDEX($C$5:$C171,168-MA_SHORT):$C171),"")</f>
        <v>4565.25</v>
      </c>
      <c r="J171" s="52" t="n">
        <f aca="false">IF(AND(ISNUMBER($G171),$G171&gt;=MA_MED),AVERAGE(INDEX($C$5:$C171,168-MA_MED):$C171),"")</f>
        <v>4252.72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0.18350362533857</v>
      </c>
      <c r="M171" s="52" t="n">
        <f aca="false">IF(AND(ISNUMBER($G171),$G171&gt;=60),MAX(INDEX($D$5:$D171,168-60):$D171),"")</f>
        <v>4768</v>
      </c>
      <c r="N171" s="52" t="n">
        <f aca="false">IF(AND(ISNUMBER($G171),$G171&gt;=60),MIN(INDEX($E$5:$E171,168-60):$E171),"")</f>
        <v>3552</v>
      </c>
      <c r="O171" s="53" t="n">
        <f aca="false">IF(OR(NOT(ISNUMBER($C171)),NOT(ISNUMBER($M171)),$M171=0),"",$C171/$M171-1)</f>
        <v>-0.00545302013422822</v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4668</v>
      </c>
      <c r="D172" s="49" t="n">
        <v>4680</v>
      </c>
      <c r="E172" s="49" t="n">
        <v>4655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-0.0156052298608182</v>
      </c>
      <c r="I172" s="52" t="n">
        <f aca="false">IF(AND(ISNUMBER($G172),$G172&gt;=MA_SHORT),AVERAGE(INDEX($C$5:$C172,169-MA_SHORT):$C172),"")</f>
        <v>4579.1</v>
      </c>
      <c r="J172" s="52" t="n">
        <f aca="false">IF(AND(ISNUMBER($G172),$G172&gt;=MA_MED),AVERAGE(INDEX($C$5:$C172,169-MA_MED):$C172),"")</f>
        <v>4270.76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0.156551774198006</v>
      </c>
      <c r="M172" s="52" t="n">
        <f aca="false">IF(AND(ISNUMBER($G172),$G172&gt;=60),MAX(INDEX($D$5:$D172,169-60):$D172),"")</f>
        <v>4768</v>
      </c>
      <c r="N172" s="52" t="n">
        <f aca="false">IF(AND(ISNUMBER($G172),$G172&gt;=60),MIN(INDEX($E$5:$E172,169-60):$E172),"")</f>
        <v>3616</v>
      </c>
      <c r="O172" s="53" t="n">
        <f aca="false">IF(OR(NOT(ISNUMBER($C172)),NOT(ISNUMBER($M172)),$M172=0),"",$C172/$M172-1)</f>
        <v>-0.0209731543624161</v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4569</v>
      </c>
      <c r="D173" s="49" t="n">
        <v>4600</v>
      </c>
      <c r="E173" s="49" t="n">
        <v>4555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-0.0212082262210797</v>
      </c>
      <c r="I173" s="52" t="n">
        <f aca="false">IF(AND(ISNUMBER($G173),$G173&gt;=MA_SHORT),AVERAGE(INDEX($C$5:$C173,170-MA_SHORT):$C173),"")</f>
        <v>4585.5</v>
      </c>
      <c r="J173" s="52" t="n">
        <f aca="false">IF(AND(ISNUMBER($G173),$G173&gt;=MA_MED),AVERAGE(INDEX($C$5:$C173,170-MA_MED):$C173),"")</f>
        <v>4286.86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0.174832585003337</v>
      </c>
      <c r="M173" s="52" t="n">
        <f aca="false">IF(AND(ISNUMBER($G173),$G173&gt;=60),MAX(INDEX($D$5:$D173,170-60):$D173),"")</f>
        <v>4768</v>
      </c>
      <c r="N173" s="52" t="n">
        <f aca="false">IF(AND(ISNUMBER($G173),$G173&gt;=60),MIN(INDEX($E$5:$E173,170-60):$E173),"")</f>
        <v>3616</v>
      </c>
      <c r="O173" s="53" t="n">
        <f aca="false">IF(OR(NOT(ISNUMBER($C173)),NOT(ISNUMBER($M173)),$M173=0),"",$C173/$M173-1)</f>
        <v>-0.041736577181208</v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4593</v>
      </c>
      <c r="D174" s="49" t="n">
        <v>4600</v>
      </c>
      <c r="E174" s="49" t="n">
        <v>4577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0.00525279054497707</v>
      </c>
      <c r="I174" s="52" t="n">
        <f aca="false">IF(AND(ISNUMBER($G174),$G174&gt;=MA_SHORT),AVERAGE(INDEX($C$5:$C174,171-MA_SHORT):$C174),"")</f>
        <v>4592.25</v>
      </c>
      <c r="J174" s="52" t="n">
        <f aca="false">IF(AND(ISNUMBER($G174),$G174&gt;=MA_MED),AVERAGE(INDEX($C$5:$C174,171-MA_MED):$C174),"")</f>
        <v>4301.42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0.175150045894437</v>
      </c>
      <c r="M174" s="52" t="n">
        <f aca="false">IF(AND(ISNUMBER($G174),$G174&gt;=60),MAX(INDEX($D$5:$D174,171-60):$D174),"")</f>
        <v>4768</v>
      </c>
      <c r="N174" s="52" t="n">
        <f aca="false">IF(AND(ISNUMBER($G174),$G174&gt;=60),MIN(INDEX($E$5:$E174,171-60):$E174),"")</f>
        <v>3616</v>
      </c>
      <c r="O174" s="53" t="n">
        <f aca="false">IF(OR(NOT(ISNUMBER($C174)),NOT(ISNUMBER($M174)),$M174=0),"",$C174/$M174-1)</f>
        <v>-0.0367030201342282</v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4530</v>
      </c>
      <c r="D175" s="49" t="n">
        <v>4542</v>
      </c>
      <c r="E175" s="49" t="n">
        <v>4501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-0.0137165251469628</v>
      </c>
      <c r="I175" s="52" t="n">
        <f aca="false">IF(AND(ISNUMBER($G175),$G175&gt;=MA_SHORT),AVERAGE(INDEX($C$5:$C175,172-MA_SHORT):$C175),"")</f>
        <v>4598.05</v>
      </c>
      <c r="J175" s="52" t="n">
        <f aca="false">IF(AND(ISNUMBER($G175),$G175&gt;=MA_MED),AVERAGE(INDEX($C$5:$C175,172-MA_MED):$C175),"")</f>
        <v>4315.22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0.178862826865018</v>
      </c>
      <c r="M175" s="52" t="n">
        <f aca="false">IF(AND(ISNUMBER($G175),$G175&gt;=60),MAX(INDEX($D$5:$D175,172-60):$D175),"")</f>
        <v>4768</v>
      </c>
      <c r="N175" s="52" t="n">
        <f aca="false">IF(AND(ISNUMBER($G175),$G175&gt;=60),MIN(INDEX($E$5:$E175,172-60):$E175),"")</f>
        <v>3643</v>
      </c>
      <c r="O175" s="53" t="n">
        <f aca="false">IF(OR(NOT(ISNUMBER($C175)),NOT(ISNUMBER($M175)),$M175=0),"",$C175/$M175-1)</f>
        <v>-0.0499161073825504</v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4594</v>
      </c>
      <c r="D176" s="49" t="n">
        <v>4598</v>
      </c>
      <c r="E176" s="49" t="n">
        <v>4590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0.0141280353200883</v>
      </c>
      <c r="I176" s="52" t="n">
        <f aca="false">IF(AND(ISNUMBER($G176),$G176&gt;=MA_SHORT),AVERAGE(INDEX($C$5:$C176,173-MA_SHORT):$C176),"")</f>
        <v>4609.6</v>
      </c>
      <c r="J176" s="52" t="n">
        <f aca="false">IF(AND(ISNUMBER($G176),$G176&gt;=MA_MED),AVERAGE(INDEX($C$5:$C176,173-MA_MED):$C176),"")</f>
        <v>4331.64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0.177533848949455</v>
      </c>
      <c r="M176" s="52" t="n">
        <f aca="false">IF(AND(ISNUMBER($G176),$G176&gt;=60),MAX(INDEX($D$5:$D176,173-60):$D176),"")</f>
        <v>4768</v>
      </c>
      <c r="N176" s="52" t="n">
        <f aca="false">IF(AND(ISNUMBER($G176),$G176&gt;=60),MIN(INDEX($E$5:$E176,173-60):$E176),"")</f>
        <v>3703</v>
      </c>
      <c r="O176" s="53" t="n">
        <f aca="false">IF(OR(NOT(ISNUMBER($C176)),NOT(ISNUMBER($M176)),$M176=0),"",$C176/$M176-1)</f>
        <v>-0.0364932885906041</v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4639</v>
      </c>
      <c r="D177" s="49" t="n">
        <v>4648</v>
      </c>
      <c r="E177" s="49" t="n">
        <v>4609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0.00979538528515445</v>
      </c>
      <c r="I177" s="52" t="n">
        <f aca="false">IF(AND(ISNUMBER($G177),$G177&gt;=MA_SHORT),AVERAGE(INDEX($C$5:$C177,174-MA_SHORT):$C177),"")</f>
        <v>4620.2</v>
      </c>
      <c r="J177" s="52" t="n">
        <f aca="false">IF(AND(ISNUMBER($G177),$G177&gt;=MA_MED),AVERAGE(INDEX($C$5:$C177,174-MA_MED):$C177),"")</f>
        <v>4348.2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0.174062946413371</v>
      </c>
      <c r="M177" s="52" t="n">
        <f aca="false">IF(AND(ISNUMBER($G177),$G177&gt;=60),MAX(INDEX($D$5:$D177,174-60):$D177),"")</f>
        <v>4768</v>
      </c>
      <c r="N177" s="52" t="n">
        <f aca="false">IF(AND(ISNUMBER($G177),$G177&gt;=60),MIN(INDEX($E$5:$E177,174-60):$E177),"")</f>
        <v>3736</v>
      </c>
      <c r="O177" s="53" t="n">
        <f aca="false">IF(OR(NOT(ISNUMBER($C177)),NOT(ISNUMBER($M177)),$M177=0),"",$C177/$M177-1)</f>
        <v>-0.0270553691275168</v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4690</v>
      </c>
      <c r="D178" s="49" t="n">
        <v>4699</v>
      </c>
      <c r="E178" s="49" t="n">
        <v>4660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0.010993748652727</v>
      </c>
      <c r="I178" s="52" t="n">
        <f aca="false">IF(AND(ISNUMBER($G178),$G178&gt;=MA_SHORT),AVERAGE(INDEX($C$5:$C178,175-MA_SHORT):$C178),"")</f>
        <v>4630.1</v>
      </c>
      <c r="J178" s="52" t="n">
        <f aca="false">IF(AND(ISNUMBER($G178),$G178&gt;=MA_MED),AVERAGE(INDEX($C$5:$C178,175-MA_MED):$C178),"")</f>
        <v>4364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0.171161176886111</v>
      </c>
      <c r="M178" s="52" t="n">
        <f aca="false">IF(AND(ISNUMBER($G178),$G178&gt;=60),MAX(INDEX($D$5:$D178,175-60):$D178),"")</f>
        <v>4768</v>
      </c>
      <c r="N178" s="52" t="n">
        <f aca="false">IF(AND(ISNUMBER($G178),$G178&gt;=60),MIN(INDEX($E$5:$E178,175-60):$E178),"")</f>
        <v>3736</v>
      </c>
      <c r="O178" s="53" t="n">
        <f aca="false">IF(OR(NOT(ISNUMBER($C178)),NOT(ISNUMBER($M178)),$M178=0),"",$C178/$M178-1)</f>
        <v>-0.0163590604026845</v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4685</v>
      </c>
      <c r="D179" s="49" t="n">
        <v>4707</v>
      </c>
      <c r="E179" s="49" t="n">
        <v>4670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-0.00106609808102343</v>
      </c>
      <c r="I179" s="52" t="n">
        <f aca="false">IF(AND(ISNUMBER($G179),$G179&gt;=MA_SHORT),AVERAGE(INDEX($C$5:$C179,176-MA_SHORT):$C179),"")</f>
        <v>4641.5</v>
      </c>
      <c r="J179" s="52" t="n">
        <f aca="false">IF(AND(ISNUMBER($G179),$G179&gt;=MA_MED),AVERAGE(INDEX($C$5:$C179,176-MA_MED):$C179),"")</f>
        <v>4380.82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0.167673633185231</v>
      </c>
      <c r="M179" s="52" t="n">
        <f aca="false">IF(AND(ISNUMBER($G179),$G179&gt;=60),MAX(INDEX($D$5:$D179,176-60):$D179),"")</f>
        <v>4768</v>
      </c>
      <c r="N179" s="52" t="n">
        <f aca="false">IF(AND(ISNUMBER($G179),$G179&gt;=60),MIN(INDEX($E$5:$E179,176-60):$E179),"")</f>
        <v>3736</v>
      </c>
      <c r="O179" s="53" t="n">
        <f aca="false">IF(OR(NOT(ISNUMBER($C179)),NOT(ISNUMBER($M179)),$M179=0),"",$C179/$M179-1)</f>
        <v>-0.0174077181208053</v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4719</v>
      </c>
      <c r="D180" s="49" t="n">
        <v>4719</v>
      </c>
      <c r="E180" s="49" t="n">
        <v>4714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0.00725720384204909</v>
      </c>
      <c r="I180" s="52" t="n">
        <f aca="false">IF(AND(ISNUMBER($G180),$G180&gt;=MA_SHORT),AVERAGE(INDEX($C$5:$C180,177-MA_SHORT):$C180),"")</f>
        <v>4651.35</v>
      </c>
      <c r="J180" s="52" t="n">
        <f aca="false">IF(AND(ISNUMBER($G180),$G180&gt;=MA_MED),AVERAGE(INDEX($C$5:$C180,177-MA_MED):$C180),"")</f>
        <v>4398.16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0.162784121093919</v>
      </c>
      <c r="M180" s="52" t="n">
        <f aca="false">IF(AND(ISNUMBER($G180),$G180&gt;=60),MAX(INDEX($D$5:$D180,177-60):$D180),"")</f>
        <v>4768</v>
      </c>
      <c r="N180" s="52" t="n">
        <f aca="false">IF(AND(ISNUMBER($G180),$G180&gt;=60),MIN(INDEX($E$5:$E180,177-60):$E180),"")</f>
        <v>3736</v>
      </c>
      <c r="O180" s="53" t="n">
        <f aca="false">IF(OR(NOT(ISNUMBER($C180)),NOT(ISNUMBER($M180)),$M180=0),"",$C180/$M180-1)</f>
        <v>-0.0102768456375839</v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4724</v>
      </c>
      <c r="D181" s="49" t="n">
        <v>4727</v>
      </c>
      <c r="E181" s="49" t="n">
        <v>4716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0.0010595465140919</v>
      </c>
      <c r="I181" s="52" t="n">
        <f aca="false">IF(AND(ISNUMBER($G181),$G181&gt;=MA_SHORT),AVERAGE(INDEX($C$5:$C181,178-MA_SHORT):$C181),"")</f>
        <v>4658.7</v>
      </c>
      <c r="J181" s="52" t="n">
        <f aca="false">IF(AND(ISNUMBER($G181),$G181&gt;=MA_MED),AVERAGE(INDEX($C$5:$C181,178-MA_MED):$C181),"")</f>
        <v>4416.3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0.158593966043223</v>
      </c>
      <c r="M181" s="52" t="n">
        <f aca="false">IF(AND(ISNUMBER($G181),$G181&gt;=60),MAX(INDEX($D$5:$D181,178-60):$D181),"")</f>
        <v>4768</v>
      </c>
      <c r="N181" s="52" t="n">
        <f aca="false">IF(AND(ISNUMBER($G181),$G181&gt;=60),MIN(INDEX($E$5:$E181,178-60):$E181),"")</f>
        <v>3740</v>
      </c>
      <c r="O181" s="53" t="n">
        <f aca="false">IF(OR(NOT(ISNUMBER($C181)),NOT(ISNUMBER($M181)),$M181=0),"",$C181/$M181-1)</f>
        <v>-0.00922818791946312</v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4776</v>
      </c>
      <c r="D182" s="49" t="n">
        <v>4788</v>
      </c>
      <c r="E182" s="49" t="n">
        <v>4775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0.0110076206604572</v>
      </c>
      <c r="I182" s="52" t="n">
        <f aca="false">IF(AND(ISNUMBER($G182),$G182&gt;=MA_SHORT),AVERAGE(INDEX($C$5:$C182,179-MA_SHORT):$C182),"")</f>
        <v>4665.9</v>
      </c>
      <c r="J182" s="52" t="n">
        <f aca="false">IF(AND(ISNUMBER($G182),$G182&gt;=MA_MED),AVERAGE(INDEX($C$5:$C182,179-MA_MED):$C182),"")</f>
        <v>4435.5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0.157779168614428</v>
      </c>
      <c r="M182" s="52" t="n">
        <f aca="false">IF(AND(ISNUMBER($G182),$G182&gt;=60),MAX(INDEX($D$5:$D182,179-60):$D182),"")</f>
        <v>4788</v>
      </c>
      <c r="N182" s="52" t="n">
        <f aca="false">IF(AND(ISNUMBER($G182),$G182&gt;=60),MIN(INDEX($E$5:$E182,179-60):$E182),"")</f>
        <v>3740</v>
      </c>
      <c r="O182" s="53" t="n">
        <f aca="false">IF(OR(NOT(ISNUMBER($C182)),NOT(ISNUMBER($M182)),$M182=0),"",$C182/$M182-1)</f>
        <v>-0.00250626566416046</v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4751</v>
      </c>
      <c r="D183" s="49" t="n">
        <v>4753</v>
      </c>
      <c r="E183" s="49" t="n">
        <v>4742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-0.00523450586264662</v>
      </c>
      <c r="I183" s="52" t="n">
        <f aca="false">IF(AND(ISNUMBER($G183),$G183&gt;=MA_SHORT),AVERAGE(INDEX($C$5:$C183,180-MA_SHORT):$C183),"")</f>
        <v>4671.55</v>
      </c>
      <c r="J183" s="52" t="n">
        <f aca="false">IF(AND(ISNUMBER($G183),$G183&gt;=MA_MED),AVERAGE(INDEX($C$5:$C183,180-MA_MED):$C183),"")</f>
        <v>4453.78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0.159576271519396</v>
      </c>
      <c r="M183" s="52" t="n">
        <f aca="false">IF(AND(ISNUMBER($G183),$G183&gt;=60),MAX(INDEX($D$5:$D183,180-60):$D183),"")</f>
        <v>4788</v>
      </c>
      <c r="N183" s="52" t="n">
        <f aca="false">IF(AND(ISNUMBER($G183),$G183&gt;=60),MIN(INDEX($E$5:$E183,180-60):$E183),"")</f>
        <v>3752</v>
      </c>
      <c r="O183" s="53" t="n">
        <f aca="false">IF(OR(NOT(ISNUMBER($C183)),NOT(ISNUMBER($M183)),$M183=0),"",$C183/$M183-1)</f>
        <v>-0.00772765246449458</v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4641</v>
      </c>
      <c r="D184" s="49" t="n">
        <v>4674</v>
      </c>
      <c r="E184" s="49" t="n">
        <v>4621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-0.0231530204167544</v>
      </c>
      <c r="I184" s="52" t="n">
        <f aca="false">IF(AND(ISNUMBER($G184),$G184&gt;=MA_SHORT),AVERAGE(INDEX($C$5:$C184,181-MA_SHORT):$C184),"")</f>
        <v>4671.9</v>
      </c>
      <c r="J184" s="52" t="n">
        <f aca="false">IF(AND(ISNUMBER($G184),$G184&gt;=MA_MED),AVERAGE(INDEX($C$5:$C184,181-MA_MED):$C184),"")</f>
        <v>4470.42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0.181018829397687</v>
      </c>
      <c r="M184" s="52" t="n">
        <f aca="false">IF(AND(ISNUMBER($G184),$G184&gt;=60),MAX(INDEX($D$5:$D184,181-60):$D184),"")</f>
        <v>4788</v>
      </c>
      <c r="N184" s="52" t="n">
        <f aca="false">IF(AND(ISNUMBER($G184),$G184&gt;=60),MIN(INDEX($E$5:$E184,181-60):$E184),"")</f>
        <v>3752</v>
      </c>
      <c r="O184" s="53" t="n">
        <f aca="false">IF(OR(NOT(ISNUMBER($C184)),NOT(ISNUMBER($M184)),$M184=0),"",$C184/$M184-1)</f>
        <v>-0.0307017543859649</v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4606</v>
      </c>
      <c r="D185" s="49" t="n">
        <v>4626</v>
      </c>
      <c r="E185" s="49" t="n">
        <v>4593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-0.0075414781297134</v>
      </c>
      <c r="I185" s="52" t="n">
        <f aca="false">IF(AND(ISNUMBER($G185),$G185&gt;=MA_SHORT),AVERAGE(INDEX($C$5:$C185,182-MA_SHORT):$C185),"")</f>
        <v>4667.1</v>
      </c>
      <c r="J185" s="52" t="n">
        <f aca="false">IF(AND(ISNUMBER($G185),$G185&gt;=MA_MED),AVERAGE(INDEX($C$5:$C185,182-MA_MED):$C185),"")</f>
        <v>4485.14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0.174602915346493</v>
      </c>
      <c r="M185" s="52" t="n">
        <f aca="false">IF(AND(ISNUMBER($G185),$G185&gt;=60),MAX(INDEX($D$5:$D185,182-60):$D185),"")</f>
        <v>4788</v>
      </c>
      <c r="N185" s="52" t="n">
        <f aca="false">IF(AND(ISNUMBER($G185),$G185&gt;=60),MIN(INDEX($E$5:$E185,182-60):$E185),"")</f>
        <v>3752</v>
      </c>
      <c r="O185" s="53" t="n">
        <f aca="false">IF(OR(NOT(ISNUMBER($C185)),NOT(ISNUMBER($M185)),$M185=0),"",$C185/$M185-1)</f>
        <v>-0.0380116959064327</v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4561</v>
      </c>
      <c r="D186" s="49" t="n">
        <v>4586</v>
      </c>
      <c r="E186" s="49" t="n">
        <v>4531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-0.00976986539296565</v>
      </c>
      <c r="I186" s="52" t="n">
        <f aca="false">IF(AND(ISNUMBER($G186),$G186&gt;=MA_SHORT),AVERAGE(INDEX($C$5:$C186,183-MA_SHORT):$C186),"")</f>
        <v>4661.8</v>
      </c>
      <c r="J186" s="52" t="n">
        <f aca="false">IF(AND(ISNUMBER($G186),$G186&gt;=MA_MED),AVERAGE(INDEX($C$5:$C186,183-MA_MED):$C186),"")</f>
        <v>4497.48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0.175899818628949</v>
      </c>
      <c r="M186" s="52" t="n">
        <f aca="false">IF(AND(ISNUMBER($G186),$G186&gt;=60),MAX(INDEX($D$5:$D186,183-60):$D186),"")</f>
        <v>4788</v>
      </c>
      <c r="N186" s="52" t="n">
        <f aca="false">IF(AND(ISNUMBER($G186),$G186&gt;=60),MIN(INDEX($E$5:$E186,183-60):$E186),"")</f>
        <v>3805</v>
      </c>
      <c r="O186" s="53" t="n">
        <f aca="false">IF(OR(NOT(ISNUMBER($C186)),NOT(ISNUMBER($M186)),$M186=0),"",$C186/$M186-1)</f>
        <v>-0.0474101921470342</v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4582</v>
      </c>
      <c r="D187" s="49" t="n">
        <v>4619</v>
      </c>
      <c r="E187" s="49" t="n">
        <v>4565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0.00460425345319004</v>
      </c>
      <c r="I187" s="52" t="n">
        <f aca="false">IF(AND(ISNUMBER($G187),$G187&gt;=MA_SHORT),AVERAGE(INDEX($C$5:$C187,184-MA_SHORT):$C187),"")</f>
        <v>4659.05</v>
      </c>
      <c r="J187" s="52" t="n">
        <f aca="false">IF(AND(ISNUMBER($G187),$G187&gt;=MA_MED),AVERAGE(INDEX($C$5:$C187,184-MA_MED):$C187),"")</f>
        <v>4510.2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0.17581895482813</v>
      </c>
      <c r="M187" s="52" t="n">
        <f aca="false">IF(AND(ISNUMBER($G187),$G187&gt;=60),MAX(INDEX($D$5:$D187,184-60):$D187),"")</f>
        <v>4788</v>
      </c>
      <c r="N187" s="52" t="n">
        <f aca="false">IF(AND(ISNUMBER($G187),$G187&gt;=60),MIN(INDEX($E$5:$E187,184-60):$E187),"")</f>
        <v>3807</v>
      </c>
      <c r="O187" s="53" t="n">
        <f aca="false">IF(OR(NOT(ISNUMBER($C187)),NOT(ISNUMBER($M187)),$M187=0),"",$C187/$M187-1)</f>
        <v>-0.0430242272347535</v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4637</v>
      </c>
      <c r="D188" s="49" t="n">
        <v>4650</v>
      </c>
      <c r="E188" s="49" t="n">
        <v>4625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0.0120034919249237</v>
      </c>
      <c r="I188" s="52" t="n">
        <f aca="false">IF(AND(ISNUMBER($G188),$G188&gt;=MA_SHORT),AVERAGE(INDEX($C$5:$C188,185-MA_SHORT):$C188),"")</f>
        <v>4657.6</v>
      </c>
      <c r="J188" s="52" t="n">
        <f aca="false">IF(AND(ISNUMBER($G188),$G188&gt;=MA_MED),AVERAGE(INDEX($C$5:$C188,185-MA_MED):$C188),"")</f>
        <v>4524.12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0.179788936047161</v>
      </c>
      <c r="M188" s="52" t="n">
        <f aca="false">IF(AND(ISNUMBER($G188),$G188&gt;=60),MAX(INDEX($D$5:$D188,185-60):$D188),"")</f>
        <v>4788</v>
      </c>
      <c r="N188" s="52" t="n">
        <f aca="false">IF(AND(ISNUMBER($G188),$G188&gt;=60),MIN(INDEX($E$5:$E188,185-60):$E188),"")</f>
        <v>3807</v>
      </c>
      <c r="O188" s="53" t="n">
        <f aca="false">IF(OR(NOT(ISNUMBER($C188)),NOT(ISNUMBER($M188)),$M188=0),"",$C188/$M188-1)</f>
        <v>-0.0315371762740184</v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4758</v>
      </c>
      <c r="D189" s="49" t="n">
        <v>4760</v>
      </c>
      <c r="E189" s="49" t="n">
        <v>4745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0.0260944576234634</v>
      </c>
      <c r="I189" s="52" t="n">
        <f aca="false">IF(AND(ISNUMBER($G189),$G189&gt;=MA_SHORT),AVERAGE(INDEX($C$5:$C189,186-MA_SHORT):$C189),"")</f>
        <v>4660.25</v>
      </c>
      <c r="J189" s="52" t="n">
        <f aca="false">IF(AND(ISNUMBER($G189),$G189&gt;=MA_MED),AVERAGE(INDEX($C$5:$C189,186-MA_MED):$C189),"")</f>
        <v>4538.26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0.200285896905036</v>
      </c>
      <c r="M189" s="52" t="n">
        <f aca="false">IF(AND(ISNUMBER($G189),$G189&gt;=60),MAX(INDEX($D$5:$D189,186-60):$D189),"")</f>
        <v>4788</v>
      </c>
      <c r="N189" s="52" t="n">
        <f aca="false">IF(AND(ISNUMBER($G189),$G189&gt;=60),MIN(INDEX($E$5:$E189,186-60):$E189),"")</f>
        <v>3807</v>
      </c>
      <c r="O189" s="53" t="n">
        <f aca="false">IF(OR(NOT(ISNUMBER($C189)),NOT(ISNUMBER($M189)),$M189=0),"",$C189/$M189-1)</f>
        <v>-0.00626566416040097</v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4799</v>
      </c>
      <c r="D190" s="49" t="n">
        <v>4834</v>
      </c>
      <c r="E190" s="49" t="n">
        <v>4770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0.00861706599411516</v>
      </c>
      <c r="I190" s="52" t="n">
        <f aca="false">IF(AND(ISNUMBER($G190),$G190&gt;=MA_SHORT),AVERAGE(INDEX($C$5:$C190,187-MA_SHORT):$C190),"")</f>
        <v>4663.2</v>
      </c>
      <c r="J190" s="52" t="n">
        <f aca="false">IF(AND(ISNUMBER($G190),$G190&gt;=MA_MED),AVERAGE(INDEX($C$5:$C190,187-MA_MED):$C190),"")</f>
        <v>4552.62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0.200843426836309</v>
      </c>
      <c r="M190" s="52" t="n">
        <f aca="false">IF(AND(ISNUMBER($G190),$G190&gt;=60),MAX(INDEX($D$5:$D190,187-60):$D190),"")</f>
        <v>4834</v>
      </c>
      <c r="N190" s="52" t="n">
        <f aca="false">IF(AND(ISNUMBER($G190),$G190&gt;=60),MIN(INDEX($E$5:$E190,187-60):$E190),"")</f>
        <v>3807</v>
      </c>
      <c r="O190" s="53" t="n">
        <f aca="false">IF(OR(NOT(ISNUMBER($C190)),NOT(ISNUMBER($M190)),$M190=0),"",$C190/$M190-1)</f>
        <v>-0.00724038063715349</v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4783</v>
      </c>
      <c r="D191" s="49" t="n">
        <v>4791</v>
      </c>
      <c r="E191" s="49" t="n">
        <v>4762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-0.00333402792248383</v>
      </c>
      <c r="I191" s="52" t="n">
        <f aca="false">IF(AND(ISNUMBER($G191),$G191&gt;=MA_SHORT),AVERAGE(INDEX($C$5:$C191,188-MA_SHORT):$C191),"")</f>
        <v>4665.25</v>
      </c>
      <c r="J191" s="52" t="n">
        <f aca="false">IF(AND(ISNUMBER($G191),$G191&gt;=MA_MED),AVERAGE(INDEX($C$5:$C191,188-MA_MED):$C191),"")</f>
        <v>4564.72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0.201339372371023</v>
      </c>
      <c r="M191" s="52" t="n">
        <f aca="false">IF(AND(ISNUMBER($G191),$G191&gt;=60),MAX(INDEX($D$5:$D191,188-60):$D191),"")</f>
        <v>4834</v>
      </c>
      <c r="N191" s="52" t="n">
        <f aca="false">IF(AND(ISNUMBER($G191),$G191&gt;=60),MIN(INDEX($E$5:$E191,188-60):$E191),"")</f>
        <v>3807</v>
      </c>
      <c r="O191" s="53" t="n">
        <f aca="false">IF(OR(NOT(ISNUMBER($C191)),NOT(ISNUMBER($M191)),$M191=0),"",$C191/$M191-1)</f>
        <v>-0.0105502689284237</v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4772</v>
      </c>
      <c r="D192" s="49" t="n">
        <v>4796</v>
      </c>
      <c r="E192" s="49" t="n">
        <v>4763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-0.0022998118335773</v>
      </c>
      <c r="I192" s="52" t="n">
        <f aca="false">IF(AND(ISNUMBER($G192),$G192&gt;=MA_SHORT),AVERAGE(INDEX($C$5:$C192,189-MA_SHORT):$C192),"")</f>
        <v>4670.45</v>
      </c>
      <c r="J192" s="52" t="n">
        <f aca="false">IF(AND(ISNUMBER($G192),$G192&gt;=MA_MED),AVERAGE(INDEX($C$5:$C192,189-MA_MED):$C192),"")</f>
        <v>4575.86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0.192812601831498</v>
      </c>
      <c r="M192" s="52" t="n">
        <f aca="false">IF(AND(ISNUMBER($G192),$G192&gt;=60),MAX(INDEX($D$5:$D192,189-60):$D192),"")</f>
        <v>4834</v>
      </c>
      <c r="N192" s="52" t="n">
        <f aca="false">IF(AND(ISNUMBER($G192),$G192&gt;=60),MIN(INDEX($E$5:$E192,189-60):$E192),"")</f>
        <v>3807</v>
      </c>
      <c r="O192" s="53" t="n">
        <f aca="false">IF(OR(NOT(ISNUMBER($C192)),NOT(ISNUMBER($M192)),$M192=0),"",$C192/$M192-1)</f>
        <v>-0.0128258171286719</v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4856</v>
      </c>
      <c r="D193" s="49" t="n">
        <v>4858</v>
      </c>
      <c r="E193" s="49" t="n">
        <v>4846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0.0176026823134954</v>
      </c>
      <c r="I193" s="52" t="n">
        <f aca="false">IF(AND(ISNUMBER($G193),$G193&gt;=MA_SHORT),AVERAGE(INDEX($C$5:$C193,190-MA_SHORT):$C193),"")</f>
        <v>4684.8</v>
      </c>
      <c r="J193" s="52" t="n">
        <f aca="false">IF(AND(ISNUMBER($G193),$G193&gt;=MA_MED),AVERAGE(INDEX($C$5:$C193,190-MA_MED):$C193),"")</f>
        <v>4587.98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0.182278767235955</v>
      </c>
      <c r="M193" s="52" t="n">
        <f aca="false">IF(AND(ISNUMBER($G193),$G193&gt;=60),MAX(INDEX($D$5:$D193,190-60):$D193),"")</f>
        <v>4858</v>
      </c>
      <c r="N193" s="52" t="n">
        <f aca="false">IF(AND(ISNUMBER($G193),$G193&gt;=60),MIN(INDEX($E$5:$E193,190-60):$E193),"")</f>
        <v>3807</v>
      </c>
      <c r="O193" s="53" t="n">
        <f aca="false">IF(OR(NOT(ISNUMBER($C193)),NOT(ISNUMBER($M193)),$M193=0),"",$C193/$M193-1)</f>
        <v>-0.000411692054343327</v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4788</v>
      </c>
      <c r="D194" s="49" t="n">
        <v>4813</v>
      </c>
      <c r="E194" s="49" t="n">
        <v>4787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-0.014003294892916</v>
      </c>
      <c r="I194" s="52" t="n">
        <f aca="false">IF(AND(ISNUMBER($G194),$G194&gt;=MA_SHORT),AVERAGE(INDEX($C$5:$C194,191-MA_SHORT):$C194),"")</f>
        <v>4694.55</v>
      </c>
      <c r="J194" s="52" t="n">
        <f aca="false">IF(AND(ISNUMBER($G194),$G194&gt;=MA_MED),AVERAGE(INDEX($C$5:$C194,191-MA_MED):$C194),"")</f>
        <v>4597.72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0.191588615750218</v>
      </c>
      <c r="M194" s="52" t="n">
        <f aca="false">IF(AND(ISNUMBER($G194),$G194&gt;=60),MAX(INDEX($D$5:$D194,191-60):$D194),"")</f>
        <v>4858</v>
      </c>
      <c r="N194" s="52" t="n">
        <f aca="false">IF(AND(ISNUMBER($G194),$G194&gt;=60),MIN(INDEX($E$5:$E194,191-60):$E194),"")</f>
        <v>3867</v>
      </c>
      <c r="O194" s="53" t="n">
        <f aca="false">IF(OR(NOT(ISNUMBER($C194)),NOT(ISNUMBER($M194)),$M194=0),"",$C194/$M194-1)</f>
        <v>-0.0144092219020173</v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4874</v>
      </c>
      <c r="D195" s="49" t="n">
        <v>4889</v>
      </c>
      <c r="E195" s="49" t="n">
        <v>4855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0.0179615705931495</v>
      </c>
      <c r="I195" s="52" t="n">
        <f aca="false">IF(AND(ISNUMBER($G195),$G195&gt;=MA_SHORT),AVERAGE(INDEX($C$5:$C195,192-MA_SHORT):$C195),"")</f>
        <v>4711.75</v>
      </c>
      <c r="J195" s="52" t="n">
        <f aca="false">IF(AND(ISNUMBER($G195),$G195&gt;=MA_MED),AVERAGE(INDEX($C$5:$C195,192-MA_MED):$C195),"")</f>
        <v>4608.64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0.189828666583591</v>
      </c>
      <c r="M195" s="52" t="n">
        <f aca="false">IF(AND(ISNUMBER($G195),$G195&gt;=60),MAX(INDEX($D$5:$D195,192-60):$D195),"")</f>
        <v>4889</v>
      </c>
      <c r="N195" s="52" t="n">
        <f aca="false">IF(AND(ISNUMBER($G195),$G195&gt;=60),MIN(INDEX($E$5:$E195,192-60):$E195),"")</f>
        <v>3914</v>
      </c>
      <c r="O195" s="53" t="n">
        <f aca="false">IF(OR(NOT(ISNUMBER($C195)),NOT(ISNUMBER($M195)),$M195=0),"",$C195/$M195-1)</f>
        <v>-0.00306811208836166</v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4872</v>
      </c>
      <c r="D196" s="49" t="n">
        <v>4877</v>
      </c>
      <c r="E196" s="49" t="n">
        <v>4851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-0.000410340582683633</v>
      </c>
      <c r="I196" s="52" t="n">
        <f aca="false">IF(AND(ISNUMBER($G196),$G196&gt;=MA_SHORT),AVERAGE(INDEX($C$5:$C196,193-MA_SHORT):$C196),"")</f>
        <v>4725.65</v>
      </c>
      <c r="J196" s="52" t="n">
        <f aca="false">IF(AND(ISNUMBER($G196),$G196&gt;=MA_MED),AVERAGE(INDEX($C$5:$C196,193-MA_MED):$C196),"")</f>
        <v>4619.5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0.186354051531272</v>
      </c>
      <c r="M196" s="52" t="n">
        <f aca="false">IF(AND(ISNUMBER($G196),$G196&gt;=60),MAX(INDEX($D$5:$D196,193-60):$D196),"")</f>
        <v>4889</v>
      </c>
      <c r="N196" s="52" t="n">
        <f aca="false">IF(AND(ISNUMBER($G196),$G196&gt;=60),MIN(INDEX($E$5:$E196,193-60):$E196),"")</f>
        <v>3914</v>
      </c>
      <c r="O196" s="53" t="n">
        <f aca="false">IF(OR(NOT(ISNUMBER($C196)),NOT(ISNUMBER($M196)),$M196=0),"",$C196/$M196-1)</f>
        <v>-0.00347719370014321</v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4912</v>
      </c>
      <c r="D197" s="49" t="n">
        <v>4915</v>
      </c>
      <c r="E197" s="49" t="n">
        <v>4894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0.00821018062397383</v>
      </c>
      <c r="I197" s="52" t="n">
        <f aca="false">IF(AND(ISNUMBER($G197),$G197&gt;=MA_SHORT),AVERAGE(INDEX($C$5:$C197,194-MA_SHORT):$C197),"")</f>
        <v>4739.3</v>
      </c>
      <c r="J197" s="52" t="n">
        <f aca="false">IF(AND(ISNUMBER($G197),$G197&gt;=MA_MED),AVERAGE(INDEX($C$5:$C197,194-MA_MED):$C197),"")</f>
        <v>4628.82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0.185691104656871</v>
      </c>
      <c r="M197" s="52" t="n">
        <f aca="false">IF(AND(ISNUMBER($G197),$G197&gt;=60),MAX(INDEX($D$5:$D197,194-60):$D197),"")</f>
        <v>4915</v>
      </c>
      <c r="N197" s="52" t="n">
        <f aca="false">IF(AND(ISNUMBER($G197),$G197&gt;=60),MIN(INDEX($E$5:$E197,194-60):$E197),"")</f>
        <v>3932</v>
      </c>
      <c r="O197" s="53" t="n">
        <f aca="false">IF(OR(NOT(ISNUMBER($C197)),NOT(ISNUMBER($M197)),$M197=0),"",$C197/$M197-1)</f>
        <v>-0.000610376398779255</v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4863</v>
      </c>
      <c r="D198" s="49" t="n">
        <v>4875</v>
      </c>
      <c r="E198" s="49" t="n">
        <v>4855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-0.00997557003257332</v>
      </c>
      <c r="I198" s="52" t="n">
        <f aca="false">IF(AND(ISNUMBER($G198),$G198&gt;=MA_SHORT),AVERAGE(INDEX($C$5:$C198,195-MA_SHORT):$C198),"")</f>
        <v>4747.95</v>
      </c>
      <c r="J198" s="52" t="n">
        <f aca="false">IF(AND(ISNUMBER($G198),$G198&gt;=MA_MED),AVERAGE(INDEX($C$5:$C198,195-MA_MED):$C198),"")</f>
        <v>4638.14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0.188432665767834</v>
      </c>
      <c r="M198" s="52" t="n">
        <f aca="false">IF(AND(ISNUMBER($G198),$G198&gt;=60),MAX(INDEX($D$5:$D198,195-60):$D198),"")</f>
        <v>4915</v>
      </c>
      <c r="N198" s="52" t="n">
        <f aca="false">IF(AND(ISNUMBER($G198),$G198&gt;=60),MIN(INDEX($E$5:$E198,195-60):$E198),"")</f>
        <v>4026</v>
      </c>
      <c r="O198" s="53" t="n">
        <f aca="false">IF(OR(NOT(ISNUMBER($C198)),NOT(ISNUMBER($M198)),$M198=0),"",$C198/$M198-1)</f>
        <v>-0.0105798575788403</v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4866</v>
      </c>
      <c r="D199" s="49" t="n">
        <v>4874</v>
      </c>
      <c r="E199" s="49" t="n">
        <v>4835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0.000616903146205994</v>
      </c>
      <c r="I199" s="52" t="n">
        <f aca="false">IF(AND(ISNUMBER($G199),$G199&gt;=MA_SHORT),AVERAGE(INDEX($C$5:$C199,196-MA_SHORT):$C199),"")</f>
        <v>4757</v>
      </c>
      <c r="J199" s="52" t="n">
        <f aca="false">IF(AND(ISNUMBER($G199),$G199&gt;=MA_MED),AVERAGE(INDEX($C$5:$C199,196-MA_MED):$C199),"")</f>
        <v>4647.64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0.188185096988515</v>
      </c>
      <c r="M199" s="52" t="n">
        <f aca="false">IF(AND(ISNUMBER($G199),$G199&gt;=60),MAX(INDEX($D$5:$D199,196-60):$D199),"")</f>
        <v>4915</v>
      </c>
      <c r="N199" s="52" t="n">
        <f aca="false">IF(AND(ISNUMBER($G199),$G199&gt;=60),MIN(INDEX($E$5:$E199,196-60):$E199),"")</f>
        <v>4057</v>
      </c>
      <c r="O199" s="53" t="n">
        <f aca="false">IF(OR(NOT(ISNUMBER($C199)),NOT(ISNUMBER($M199)),$M199=0),"",$C199/$M199-1)</f>
        <v>-0.00996948118006102</v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4936</v>
      </c>
      <c r="D200" s="49" t="n">
        <v>4947</v>
      </c>
      <c r="E200" s="49" t="n">
        <v>4909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0.0143855322646937</v>
      </c>
      <c r="I200" s="52" t="n">
        <f aca="false">IF(AND(ISNUMBER($G200),$G200&gt;=MA_SHORT),AVERAGE(INDEX($C$5:$C200,197-MA_SHORT):$C200),"")</f>
        <v>4767.85</v>
      </c>
      <c r="J200" s="52" t="n">
        <f aca="false">IF(AND(ISNUMBER($G200),$G200&gt;=MA_MED),AVERAGE(INDEX($C$5:$C200,197-MA_MED):$C200),"")</f>
        <v>4657.48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0.192376889095821</v>
      </c>
      <c r="M200" s="52" t="n">
        <f aca="false">IF(AND(ISNUMBER($G200),$G200&gt;=60),MAX(INDEX($D$5:$D200,197-60):$D200),"")</f>
        <v>4947</v>
      </c>
      <c r="N200" s="52" t="n">
        <f aca="false">IF(AND(ISNUMBER($G200),$G200&gt;=60),MIN(INDEX($E$5:$E200,197-60):$E200),"")</f>
        <v>4177</v>
      </c>
      <c r="O200" s="53" t="n">
        <f aca="false">IF(OR(NOT(ISNUMBER($C200)),NOT(ISNUMBER($M200)),$M200=0),"",$C200/$M200-1)</f>
        <v>-0.00222356984030725</v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4863</v>
      </c>
      <c r="D201" s="49" t="n">
        <v>4865</v>
      </c>
      <c r="E201" s="49" t="n">
        <v>4859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-0.0147893030794165</v>
      </c>
      <c r="I201" s="52" t="n">
        <f aca="false">IF(AND(ISNUMBER($G201),$G201&gt;=MA_SHORT),AVERAGE(INDEX($C$5:$C201,198-MA_SHORT):$C201),"")</f>
        <v>4774.8</v>
      </c>
      <c r="J201" s="52" t="n">
        <f aca="false">IF(AND(ISNUMBER($G201),$G201&gt;=MA_MED),AVERAGE(INDEX($C$5:$C201,198-MA_MED):$C201),"")</f>
        <v>4664.24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0.201499210406272</v>
      </c>
      <c r="M201" s="52" t="n">
        <f aca="false">IF(AND(ISNUMBER($G201),$G201&gt;=60),MAX(INDEX($D$5:$D201,198-60):$D201),"")</f>
        <v>4947</v>
      </c>
      <c r="N201" s="52" t="n">
        <f aca="false">IF(AND(ISNUMBER($G201),$G201&gt;=60),MIN(INDEX($E$5:$E201,198-60):$E201),"")</f>
        <v>4208</v>
      </c>
      <c r="O201" s="53" t="n">
        <f aca="false">IF(OR(NOT(ISNUMBER($C201)),NOT(ISNUMBER($M201)),$M201=0),"",$C201/$M201-1)</f>
        <v>-0.0169799878714373</v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4872</v>
      </c>
      <c r="D202" s="49" t="n">
        <v>4881</v>
      </c>
      <c r="E202" s="49" t="n">
        <v>4868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0.0018507094386182</v>
      </c>
      <c r="I202" s="52" t="n">
        <f aca="false">IF(AND(ISNUMBER($G202),$G202&gt;=MA_SHORT),AVERAGE(INDEX($C$5:$C202,199-MA_SHORT):$C202),"")</f>
        <v>4779.6</v>
      </c>
      <c r="J202" s="52" t="n">
        <f aca="false">IF(AND(ISNUMBER($G202),$G202&gt;=MA_MED),AVERAGE(INDEX($C$5:$C202,199-MA_MED):$C202),"")</f>
        <v>4673.86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0.198471247093806</v>
      </c>
      <c r="M202" s="52" t="n">
        <f aca="false">IF(AND(ISNUMBER($G202),$G202&gt;=60),MAX(INDEX($D$5:$D202,199-60):$D202),"")</f>
        <v>4947</v>
      </c>
      <c r="N202" s="52" t="n">
        <f aca="false">IF(AND(ISNUMBER($G202),$G202&gt;=60),MIN(INDEX($E$5:$E202,199-60):$E202),"")</f>
        <v>4235</v>
      </c>
      <c r="O202" s="53" t="n">
        <f aca="false">IF(OR(NOT(ISNUMBER($C202)),NOT(ISNUMBER($M202)),$M202=0),"",$C202/$M202-1)</f>
        <v>-0.0151607034566403</v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4915</v>
      </c>
      <c r="D203" s="49" t="n">
        <v>4943</v>
      </c>
      <c r="E203" s="49" t="n">
        <v>4886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0.00882594417077165</v>
      </c>
      <c r="I203" s="52" t="n">
        <f aca="false">IF(AND(ISNUMBER($G203),$G203&gt;=MA_SHORT),AVERAGE(INDEX($C$5:$C203,200-MA_SHORT):$C203),"")</f>
        <v>4787.8</v>
      </c>
      <c r="J203" s="52" t="n">
        <f aca="false">IF(AND(ISNUMBER($G203),$G203&gt;=MA_MED),AVERAGE(INDEX($C$5:$C203,200-MA_MED):$C203),"")</f>
        <v>4683.34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0.198811171902302</v>
      </c>
      <c r="M203" s="52" t="n">
        <f aca="false">IF(AND(ISNUMBER($G203),$G203&gt;=60),MAX(INDEX($D$5:$D203,200-60):$D203),"")</f>
        <v>4947</v>
      </c>
      <c r="N203" s="52" t="n">
        <f aca="false">IF(AND(ISNUMBER($G203),$G203&gt;=60),MIN(INDEX($E$5:$E203,200-60):$E203),"")</f>
        <v>4292</v>
      </c>
      <c r="O203" s="53" t="n">
        <f aca="false">IF(OR(NOT(ISNUMBER($C203)),NOT(ISNUMBER($M203)),$M203=0),"",$C203/$M203-1)</f>
        <v>-0.00646856680816654</v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4896</v>
      </c>
      <c r="D204" s="49" t="n">
        <v>4900</v>
      </c>
      <c r="E204" s="49" t="n">
        <v>4870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-0.00386571719226858</v>
      </c>
      <c r="I204" s="52" t="n">
        <f aca="false">IF(AND(ISNUMBER($G204),$G204&gt;=MA_SHORT),AVERAGE(INDEX($C$5:$C204,201-MA_SHORT):$C204),"")</f>
        <v>4800.55</v>
      </c>
      <c r="J204" s="52" t="n">
        <f aca="false">IF(AND(ISNUMBER($G204),$G204&gt;=MA_MED),AVERAGE(INDEX($C$5:$C204,201-MA_MED):$C204),"")</f>
        <v>4692.1</v>
      </c>
      <c r="K204" s="52" t="n">
        <f aca="false">IF(AND(ISNUMBER($G204),$G204&gt;=MA_LONG2),AVERAGE(INDEX($C$5:$C204,201-MA_LONG2):$C204),"")</f>
        <v>3754.545</v>
      </c>
      <c r="L204" s="53" t="n">
        <f aca="false">IF(AND(ISNUMBER($G204),$G204&gt;=21),STDEV(INDEX($H$144:$H204,62-20):$H204)*SQRT(245),"")</f>
        <v>0.177998732399363</v>
      </c>
      <c r="M204" s="52" t="n">
        <f aca="false">IF(AND(ISNUMBER($G204),$G204&gt;=60),MAX(INDEX($D$5:$D204,201-60):$D204),"")</f>
        <v>4947</v>
      </c>
      <c r="N204" s="52" t="n">
        <f aca="false">IF(AND(ISNUMBER($G204),$G204&gt;=60),MIN(INDEX($E$5:$E204,201-60):$E204),"")</f>
        <v>4312</v>
      </c>
      <c r="O204" s="53" t="n">
        <f aca="false">IF(OR(NOT(ISNUMBER($C204)),NOT(ISNUMBER($M204)),$M204=0),"",$C204/$M204-1)</f>
        <v>-0.0103092783505154</v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4874</v>
      </c>
      <c r="D205" s="49" t="n">
        <v>4887</v>
      </c>
      <c r="E205" s="49" t="n">
        <v>4844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-0.00449346405228757</v>
      </c>
      <c r="I205" s="52" t="n">
        <f aca="false">IF(AND(ISNUMBER($G205),$G205&gt;=MA_SHORT),AVERAGE(INDEX($C$5:$C205,202-MA_SHORT):$C205),"")</f>
        <v>4813.95</v>
      </c>
      <c r="J205" s="52" t="n">
        <f aca="false">IF(AND(ISNUMBER($G205),$G205&gt;=MA_MED),AVERAGE(INDEX($C$5:$C205,202-MA_MED):$C205),"")</f>
        <v>4701.3</v>
      </c>
      <c r="K205" s="52" t="n">
        <f aca="false">IF(AND(ISNUMBER($G205),$G205&gt;=MA_LONG2),AVERAGE(INDEX($C$5:$C205,202-MA_LONG2):$C205),"")</f>
        <v>3762.08</v>
      </c>
      <c r="L205" s="53" t="n">
        <f aca="false">IF(AND(ISNUMBER($G205),$G205&gt;=21),STDEV(INDEX($H$145:$H205,62-20):$H205)*SQRT(245),"")</f>
        <v>0.176037576880814</v>
      </c>
      <c r="M205" s="52" t="n">
        <f aca="false">IF(AND(ISNUMBER($G205),$G205&gt;=60),MAX(INDEX($D$5:$D205,202-60):$D205),"")</f>
        <v>4947</v>
      </c>
      <c r="N205" s="52" t="n">
        <f aca="false">IF(AND(ISNUMBER($G205),$G205&gt;=60),MIN(INDEX($E$5:$E205,202-60):$E205),"")</f>
        <v>4324</v>
      </c>
      <c r="O205" s="53" t="n">
        <f aca="false">IF(OR(NOT(ISNUMBER($C205)),NOT(ISNUMBER($M205)),$M205=0),"",$C205/$M205-1)</f>
        <v>-0.0147564180311299</v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4937</v>
      </c>
      <c r="D206" s="49" t="n">
        <v>4938</v>
      </c>
      <c r="E206" s="49" t="n">
        <v>4932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0.0129257283545343</v>
      </c>
      <c r="I206" s="52" t="n">
        <f aca="false">IF(AND(ISNUMBER($G206),$G206&gt;=MA_SHORT),AVERAGE(INDEX($C$5:$C206,203-MA_SHORT):$C206),"")</f>
        <v>4832.75</v>
      </c>
      <c r="J206" s="52" t="n">
        <f aca="false">IF(AND(ISNUMBER($G206),$G206&gt;=MA_MED),AVERAGE(INDEX($C$5:$C206,203-MA_MED):$C206),"")</f>
        <v>4712.78</v>
      </c>
      <c r="K206" s="52" t="n">
        <f aca="false">IF(AND(ISNUMBER($G206),$G206&gt;=MA_LONG2),AVERAGE(INDEX($C$5:$C206,203-MA_LONG2):$C206),"")</f>
        <v>3769.72</v>
      </c>
      <c r="L206" s="53" t="n">
        <f aca="false">IF(AND(ISNUMBER($G206),$G206&gt;=21),STDEV(INDEX($H$146:$H206,62-20):$H206)*SQRT(245),"")</f>
        <v>0.172882181617637</v>
      </c>
      <c r="M206" s="52" t="n">
        <f aca="false">IF(AND(ISNUMBER($G206),$G206&gt;=60),MAX(INDEX($D$6:$D206,202-60):$D206),"")</f>
        <v>4947</v>
      </c>
      <c r="N206" s="52" t="n">
        <f aca="false">IF(AND(ISNUMBER($G206),$G206&gt;=60),MIN(INDEX($E$6:$E206,202-60):$E206),"")</f>
        <v>4350</v>
      </c>
      <c r="O206" s="53" t="n">
        <f aca="false">IF(OR(NOT(ISNUMBER($C206)),NOT(ISNUMBER($M206)),$M206=0),"",$C206/$M206-1)</f>
        <v>-0.00202142712755204</v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4987</v>
      </c>
      <c r="D207" s="49" t="n">
        <v>4999</v>
      </c>
      <c r="E207" s="49" t="n">
        <v>4945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0.0101276078590238</v>
      </c>
      <c r="I207" s="52" t="n">
        <f aca="false">IF(AND(ISNUMBER($G207),$G207&gt;=MA_SHORT),AVERAGE(INDEX($C$5:$C207,204-MA_SHORT):$C207),"")</f>
        <v>4853</v>
      </c>
      <c r="J207" s="52" t="n">
        <f aca="false">IF(AND(ISNUMBER($G207),$G207&gt;=MA_MED),AVERAGE(INDEX($C$5:$C207,204-MA_MED):$C207),"")</f>
        <v>4723.98</v>
      </c>
      <c r="K207" s="52" t="n">
        <f aca="false">IF(AND(ISNUMBER($G207),$G207&gt;=MA_LONG2),AVERAGE(INDEX($C$5:$C207,204-MA_LONG2):$C207),"")</f>
        <v>3777.845</v>
      </c>
      <c r="L207" s="53" t="n">
        <f aca="false">IF(AND(ISNUMBER($G207),$G207&gt;=21),STDEV(INDEX($H$147:$H207,62-20):$H207)*SQRT(245),"")</f>
        <v>0.174196108136742</v>
      </c>
      <c r="M207" s="52" t="n">
        <f aca="false">IF(AND(ISNUMBER($G207),$G207&gt;=60),MAX(INDEX($D$7:$D207,202-60):$D207),"")</f>
        <v>4999</v>
      </c>
      <c r="N207" s="52" t="n">
        <f aca="false">IF(AND(ISNUMBER($G207),$G207&gt;=60),MIN(INDEX($E$7:$E207,202-60):$E207),"")</f>
        <v>4350</v>
      </c>
      <c r="O207" s="53" t="n">
        <f aca="false">IF(OR(NOT(ISNUMBER($C207)),NOT(ISNUMBER($M207)),$M207=0),"",$C207/$M207-1)</f>
        <v>-0.00240048009601923</v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4884</v>
      </c>
      <c r="D208" s="49" t="n">
        <v>4889</v>
      </c>
      <c r="E208" s="49" t="n">
        <v>4869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-0.0206536996190094</v>
      </c>
      <c r="I208" s="52" t="n">
        <f aca="false">IF(AND(ISNUMBER($G208),$G208&gt;=MA_SHORT),AVERAGE(INDEX($C$5:$C208,205-MA_SHORT):$C208),"")</f>
        <v>4865.35</v>
      </c>
      <c r="J208" s="52" t="n">
        <f aca="false">IF(AND(ISNUMBER($G208),$G208&gt;=MA_MED),AVERAGE(INDEX($C$5:$C208,205-MA_MED):$C208),"")</f>
        <v>4731.82</v>
      </c>
      <c r="K208" s="52" t="n">
        <f aca="false">IF(AND(ISNUMBER($G208),$G208&gt;=MA_LONG2),AVERAGE(INDEX($C$5:$C208,205-MA_LONG2):$C208),"")</f>
        <v>3785.41</v>
      </c>
      <c r="L208" s="53" t="n">
        <f aca="false">IF(AND(ISNUMBER($G208),$G208&gt;=21),STDEV(INDEX($H$148:$H208,62-20):$H208)*SQRT(245),"")</f>
        <v>0.192153484040667</v>
      </c>
      <c r="M208" s="52" t="n">
        <f aca="false">IF(AND(ISNUMBER($G208),$G208&gt;=60),MAX(INDEX($D$8:$D208,202-60):$D208),"")</f>
        <v>4999</v>
      </c>
      <c r="N208" s="52" t="n">
        <f aca="false">IF(AND(ISNUMBER($G208),$G208&gt;=60),MIN(INDEX($E$8:$E208,202-60):$E208),"")</f>
        <v>4350</v>
      </c>
      <c r="O208" s="53" t="n">
        <f aca="false">IF(OR(NOT(ISNUMBER($C208)),NOT(ISNUMBER($M208)),$M208=0),"",$C208/$M208-1)</f>
        <v>-0.0230046009201841</v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4862</v>
      </c>
      <c r="D209" s="49" t="n">
        <v>4875</v>
      </c>
      <c r="E209" s="49" t="n">
        <v>4858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-0.00450450450450446</v>
      </c>
      <c r="I209" s="52" t="n">
        <f aca="false">IF(AND(ISNUMBER($G209),$G209&gt;=MA_SHORT),AVERAGE(INDEX($C$5:$C209,206-MA_SHORT):$C209),"")</f>
        <v>4870.55</v>
      </c>
      <c r="J209" s="52" t="n">
        <f aca="false">IF(AND(ISNUMBER($G209),$G209&gt;=MA_MED),AVERAGE(INDEX($C$5:$C209,206-MA_MED):$C209),"")</f>
        <v>4739.92</v>
      </c>
      <c r="K209" s="52" t="n">
        <f aca="false">IF(AND(ISNUMBER($G209),$G209&gt;=MA_LONG2),AVERAGE(INDEX($C$5:$C209,206-MA_LONG2):$C209),"")</f>
        <v>3793.205</v>
      </c>
      <c r="L209" s="53" t="n">
        <f aca="false">IF(AND(ISNUMBER($G209),$G209&gt;=21),STDEV(INDEX($H$149:$H209,62-20):$H209)*SQRT(245),"")</f>
        <v>0.172937429485254</v>
      </c>
      <c r="M209" s="52" t="n">
        <f aca="false">IF(AND(ISNUMBER($G209),$G209&gt;=60),MAX(INDEX($D$9:$D209,202-60):$D209),"")</f>
        <v>4999</v>
      </c>
      <c r="N209" s="52" t="n">
        <f aca="false">IF(AND(ISNUMBER($G209),$G209&gt;=60),MIN(INDEX($E$9:$E209,202-60):$E209),"")</f>
        <v>4350</v>
      </c>
      <c r="O209" s="53" t="n">
        <f aca="false">IF(OR(NOT(ISNUMBER($C209)),NOT(ISNUMBER($M209)),$M209=0),"",$C209/$M209-1)</f>
        <v>-0.0274054810962192</v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4866</v>
      </c>
      <c r="D210" s="49" t="n">
        <v>4891</v>
      </c>
      <c r="E210" s="49" t="n">
        <v>4802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0.000822706705059684</v>
      </c>
      <c r="I210" s="52" t="n">
        <f aca="false">IF(AND(ISNUMBER($G210),$G210&gt;=MA_SHORT),AVERAGE(INDEX($C$5:$C210,207-MA_SHORT):$C210),"")</f>
        <v>4873.9</v>
      </c>
      <c r="J210" s="52" t="n">
        <f aca="false">IF(AND(ISNUMBER($G210),$G210&gt;=MA_MED),AVERAGE(INDEX($C$5:$C210,207-MA_MED):$C210),"")</f>
        <v>4746.8</v>
      </c>
      <c r="K210" s="52" t="n">
        <f aca="false">IF(AND(ISNUMBER($G210),$G210&gt;=MA_LONG2),AVERAGE(INDEX($C$5:$C210,207-MA_LONG2):$C210),"")</f>
        <v>3800.95</v>
      </c>
      <c r="L210" s="53" t="n">
        <f aca="false">IF(AND(ISNUMBER($G210),$G210&gt;=21),STDEV(INDEX($H$150:$H210,62-20):$H210)*SQRT(245),"")</f>
        <v>0.170729392387825</v>
      </c>
      <c r="M210" s="52" t="n">
        <f aca="false">IF(AND(ISNUMBER($G210),$G210&gt;=60),MAX(INDEX($D$10:$D210,202-60):$D210),"")</f>
        <v>4999</v>
      </c>
      <c r="N210" s="52" t="n">
        <f aca="false">IF(AND(ISNUMBER($G210),$G210&gt;=60),MIN(INDEX($E$10:$E210,202-60):$E210),"")</f>
        <v>4350</v>
      </c>
      <c r="O210" s="53" t="n">
        <f aca="false">IF(OR(NOT(ISNUMBER($C210)),NOT(ISNUMBER($M210)),$M210=0),"",$C210/$M210-1)</f>
        <v>-0.0266053210642129</v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4885</v>
      </c>
      <c r="D211" s="49" t="n">
        <v>4904</v>
      </c>
      <c r="E211" s="49" t="n">
        <v>4864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0.00390464447184535</v>
      </c>
      <c r="I211" s="52" t="n">
        <f aca="false">IF(AND(ISNUMBER($G211),$G211&gt;=MA_SHORT),AVERAGE(INDEX($C$5:$C211,208-MA_SHORT):$C211),"")</f>
        <v>4879</v>
      </c>
      <c r="J211" s="52" t="n">
        <f aca="false">IF(AND(ISNUMBER($G211),$G211&gt;=MA_MED),AVERAGE(INDEX($C$5:$C211,208-MA_MED):$C211),"")</f>
        <v>4752.96</v>
      </c>
      <c r="K211" s="52" t="n">
        <f aca="false">IF(AND(ISNUMBER($G211),$G211&gt;=MA_LONG2),AVERAGE(INDEX($C$5:$C211,208-MA_LONG2):$C211),"")</f>
        <v>3808.845</v>
      </c>
      <c r="L211" s="53" t="n">
        <f aca="false">IF(AND(ISNUMBER($G211),$G211&gt;=21),STDEV(INDEX($H$151:$H211,62-20):$H211)*SQRT(245),"")</f>
        <v>0.170376038393299</v>
      </c>
      <c r="M211" s="52" t="n">
        <f aca="false">IF(AND(ISNUMBER($G211),$G211&gt;=60),MAX(INDEX($D$11:$D211,202-60):$D211),"")</f>
        <v>4999</v>
      </c>
      <c r="N211" s="52" t="n">
        <f aca="false">IF(AND(ISNUMBER($G211),$G211&gt;=60),MIN(INDEX($E$11:$E211,202-60):$E211),"")</f>
        <v>4350</v>
      </c>
      <c r="O211" s="53" t="n">
        <f aca="false">IF(OR(NOT(ISNUMBER($C211)),NOT(ISNUMBER($M211)),$M211=0),"",$C211/$M211-1)</f>
        <v>-0.0228045609121824</v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4960</v>
      </c>
      <c r="D212" s="49" t="n">
        <v>4994</v>
      </c>
      <c r="E212" s="49" t="n">
        <v>4940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0.0153531218014329</v>
      </c>
      <c r="I212" s="52" t="n">
        <f aca="false">IF(AND(ISNUMBER($G212),$G212&gt;=MA_SHORT),AVERAGE(INDEX($C$5:$C212,209-MA_SHORT):$C212),"")</f>
        <v>4888.4</v>
      </c>
      <c r="J212" s="52" t="n">
        <f aca="false">IF(AND(ISNUMBER($G212),$G212&gt;=MA_MED),AVERAGE(INDEX($C$5:$C212,209-MA_MED):$C212),"")</f>
        <v>4759.52</v>
      </c>
      <c r="K212" s="52" t="n">
        <f aca="false">IF(AND(ISNUMBER($G212),$G212&gt;=MA_LONG2),AVERAGE(INDEX($C$5:$C212,209-MA_LONG2):$C212),"")</f>
        <v>3817.12</v>
      </c>
      <c r="L212" s="53" t="n">
        <f aca="false">IF(AND(ISNUMBER($G212),$G212&gt;=21),STDEV(INDEX($H$152:$H212,62-20):$H212)*SQRT(245),"")</f>
        <v>0.176895977379554</v>
      </c>
      <c r="M212" s="52" t="n">
        <f aca="false">IF(AND(ISNUMBER($G212),$G212&gt;=60),MAX(INDEX($D$12:$D212,202-60):$D212),"")</f>
        <v>4999</v>
      </c>
      <c r="N212" s="52" t="n">
        <f aca="false">IF(AND(ISNUMBER($G212),$G212&gt;=60),MIN(INDEX($E$12:$E212,202-60):$E212),"")</f>
        <v>4350</v>
      </c>
      <c r="O212" s="53" t="n">
        <f aca="false">IF(OR(NOT(ISNUMBER($C212)),NOT(ISNUMBER($M212)),$M212=0),"",$C212/$M212-1)</f>
        <v>-0.00780156031206236</v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5012</v>
      </c>
      <c r="D213" s="49" t="n">
        <v>5017</v>
      </c>
      <c r="E213" s="49" t="n">
        <v>4992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0.0104838709677419</v>
      </c>
      <c r="I213" s="52" t="n">
        <f aca="false">IF(AND(ISNUMBER($G213),$G213&gt;=MA_SHORT),AVERAGE(INDEX($C$5:$C213,210-MA_SHORT):$C213),"")</f>
        <v>4896.2</v>
      </c>
      <c r="J213" s="52" t="n">
        <f aca="false">IF(AND(ISNUMBER($G213),$G213&gt;=MA_MED),AVERAGE(INDEX($C$5:$C213,210-MA_MED):$C213),"")</f>
        <v>4767</v>
      </c>
      <c r="K213" s="52" t="n">
        <f aca="false">IF(AND(ISNUMBER($G213),$G213&gt;=MA_LONG2),AVERAGE(INDEX($C$5:$C213,210-MA_LONG2):$C213),"")</f>
        <v>3825.92</v>
      </c>
      <c r="L213" s="53" t="n">
        <f aca="false">IF(AND(ISNUMBER($G213),$G213&gt;=21),STDEV(INDEX($H$153:$H213,62-20):$H213)*SQRT(245),"")</f>
        <v>0.170433232319444</v>
      </c>
      <c r="M213" s="52" t="n">
        <f aca="false">IF(AND(ISNUMBER($G213),$G213&gt;=60),MAX(INDEX($D$13:$D213,202-60):$D213),"")</f>
        <v>5017</v>
      </c>
      <c r="N213" s="52" t="n">
        <f aca="false">IF(AND(ISNUMBER($G213),$G213&gt;=60),MIN(INDEX($E$13:$E213,202-60):$E213),"")</f>
        <v>4350</v>
      </c>
      <c r="O213" s="53" t="n">
        <f aca="false">IF(OR(NOT(ISNUMBER($C213)),NOT(ISNUMBER($M213)),$M213=0),"",$C213/$M213-1)</f>
        <v>-0.000996611520829194</v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5077</v>
      </c>
      <c r="D214" s="49" t="n">
        <v>5096</v>
      </c>
      <c r="E214" s="49" t="n">
        <v>5069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0.0129688747007182</v>
      </c>
      <c r="I214" s="52" t="n">
        <f aca="false">IF(AND(ISNUMBER($G214),$G214&gt;=MA_SHORT),AVERAGE(INDEX($C$5:$C214,211-MA_SHORT):$C214),"")</f>
        <v>4910.65</v>
      </c>
      <c r="J214" s="52" t="n">
        <f aca="false">IF(AND(ISNUMBER($G214),$G214&gt;=MA_MED),AVERAGE(INDEX($C$5:$C214,211-MA_MED):$C214),"")</f>
        <v>4775.86</v>
      </c>
      <c r="K214" s="52" t="n">
        <f aca="false">IF(AND(ISNUMBER($G214),$G214&gt;=MA_LONG2),AVERAGE(INDEX($C$5:$C214,211-MA_LONG2):$C214),"")</f>
        <v>3834.985</v>
      </c>
      <c r="L214" s="53" t="n">
        <f aca="false">IF(AND(ISNUMBER($G214),$G214&gt;=21),STDEV(INDEX($H$154:$H214,62-20):$H214)*SQRT(245),"")</f>
        <v>0.164556503534354</v>
      </c>
      <c r="M214" s="52" t="n">
        <f aca="false">IF(AND(ISNUMBER($G214),$G214&gt;=60),MAX(INDEX($D$14:$D214,202-60):$D214),"")</f>
        <v>5096</v>
      </c>
      <c r="N214" s="52" t="n">
        <f aca="false">IF(AND(ISNUMBER($G214),$G214&gt;=60),MIN(INDEX($E$14:$E214,202-60):$E214),"")</f>
        <v>4350</v>
      </c>
      <c r="O214" s="53" t="n">
        <f aca="false">IF(OR(NOT(ISNUMBER($C214)),NOT(ISNUMBER($M214)),$M214=0),"",$C214/$M214-1)</f>
        <v>-0.00372841444270011</v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5123</v>
      </c>
      <c r="D215" s="49" t="n">
        <v>5159</v>
      </c>
      <c r="E215" s="49" t="n">
        <v>5091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0.00906046878077604</v>
      </c>
      <c r="I215" s="52" t="n">
        <f aca="false">IF(AND(ISNUMBER($G215),$G215&gt;=MA_SHORT),AVERAGE(INDEX($C$5:$C215,212-MA_SHORT):$C215),"")</f>
        <v>4923.1</v>
      </c>
      <c r="J215" s="52" t="n">
        <f aca="false">IF(AND(ISNUMBER($G215),$G215&gt;=MA_MED),AVERAGE(INDEX($C$5:$C215,212-MA_MED):$C215),"")</f>
        <v>4784.28</v>
      </c>
      <c r="K215" s="52" t="n">
        <f aca="false">IF(AND(ISNUMBER($G215),$G215&gt;=MA_LONG2),AVERAGE(INDEX($C$5:$C215,212-MA_LONG2):$C215),"")</f>
        <v>3844.17</v>
      </c>
      <c r="L215" s="53" t="n">
        <f aca="false">IF(AND(ISNUMBER($G215),$G215&gt;=21),STDEV(INDEX($H$155:$H215,62-20):$H215)*SQRT(245),"")</f>
        <v>0.156882048509462</v>
      </c>
      <c r="M215" s="52" t="n">
        <f aca="false">IF(AND(ISNUMBER($G215),$G215&gt;=60),MAX(INDEX($D$15:$D215,202-60):$D215),"")</f>
        <v>5159</v>
      </c>
      <c r="N215" s="52" t="n">
        <f aca="false">IF(AND(ISNUMBER($G215),$G215&gt;=60),MIN(INDEX($E$15:$E215,202-60):$E215),"")</f>
        <v>4350</v>
      </c>
      <c r="O215" s="53" t="n">
        <f aca="false">IF(OR(NOT(ISNUMBER($C215)),NOT(ISNUMBER($M215)),$M215=0),"",$C215/$M215-1)</f>
        <v>-0.00697809653033532</v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5199</v>
      </c>
      <c r="D216" s="49" t="n">
        <v>5227</v>
      </c>
      <c r="E216" s="49" t="n">
        <v>5180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0.0148350575834473</v>
      </c>
      <c r="I216" s="52" t="n">
        <f aca="false">IF(AND(ISNUMBER($G216),$G216&gt;=MA_SHORT),AVERAGE(INDEX($C$5:$C216,213-MA_SHORT):$C216),"")</f>
        <v>4939.45</v>
      </c>
      <c r="J216" s="52" t="n">
        <f aca="false">IF(AND(ISNUMBER($G216),$G216&gt;=MA_MED),AVERAGE(INDEX($C$5:$C216,213-MA_MED):$C216),"")</f>
        <v>4794.92</v>
      </c>
      <c r="K216" s="52" t="n">
        <f aca="false">IF(AND(ISNUMBER($G216),$G216&gt;=MA_LONG2),AVERAGE(INDEX($C$5:$C216,213-MA_LONG2):$C216),"")</f>
        <v>3853.885</v>
      </c>
      <c r="L216" s="53" t="n">
        <f aca="false">IF(AND(ISNUMBER($G216),$G216&gt;=21),STDEV(INDEX($H$156:$H216,62-20):$H216)*SQRT(245),"")</f>
        <v>0.162167512012406</v>
      </c>
      <c r="M216" s="52" t="n">
        <f aca="false">IF(AND(ISNUMBER($G216),$G216&gt;=60),MAX(INDEX($D$16:$D216,202-60):$D216),"")</f>
        <v>5227</v>
      </c>
      <c r="N216" s="52" t="n">
        <f aca="false">IF(AND(ISNUMBER($G216),$G216&gt;=60),MIN(INDEX($E$16:$E216,202-60):$E216),"")</f>
        <v>4426</v>
      </c>
      <c r="O216" s="53" t="n">
        <f aca="false">IF(OR(NOT(ISNUMBER($C216)),NOT(ISNUMBER($M216)),$M216=0),"",$C216/$M216-1)</f>
        <v>-0.00535680122441173</v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5143</v>
      </c>
      <c r="D217" s="49" t="n">
        <v>5175</v>
      </c>
      <c r="E217" s="49" t="n">
        <v>5140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-0.0107713021734949</v>
      </c>
      <c r="I217" s="52" t="n">
        <f aca="false">IF(AND(ISNUMBER($G217),$G217&gt;=MA_SHORT),AVERAGE(INDEX($C$5:$C217,214-MA_SHORT):$C217),"")</f>
        <v>4951</v>
      </c>
      <c r="J217" s="52" t="n">
        <f aca="false">IF(AND(ISNUMBER($G217),$G217&gt;=MA_MED),AVERAGE(INDEX($C$5:$C217,214-MA_MED):$C217),"")</f>
        <v>4805.04</v>
      </c>
      <c r="K217" s="52" t="n">
        <f aca="false">IF(AND(ISNUMBER($G217),$G217&gt;=MA_LONG2),AVERAGE(INDEX($C$5:$C217,214-MA_LONG2):$C217),"")</f>
        <v>3863.73</v>
      </c>
      <c r="L217" s="53" t="n">
        <f aca="false">IF(AND(ISNUMBER($G217),$G217&gt;=21),STDEV(INDEX($H$157:$H217,62-20):$H217)*SQRT(245),"")</f>
        <v>0.168257164414328</v>
      </c>
      <c r="M217" s="52" t="n">
        <f aca="false">IF(AND(ISNUMBER($G217),$G217&gt;=60),MAX(INDEX($D$17:$D217,202-60):$D217),"")</f>
        <v>5227</v>
      </c>
      <c r="N217" s="52" t="n">
        <f aca="false">IF(AND(ISNUMBER($G217),$G217&gt;=60),MIN(INDEX($E$17:$E217,202-60):$E217),"")</f>
        <v>4448</v>
      </c>
      <c r="O217" s="53" t="n">
        <f aca="false">IF(OR(NOT(ISNUMBER($C217)),NOT(ISNUMBER($M217)),$M217=0),"",$C217/$M217-1)</f>
        <v>-0.0160704036732351</v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5028</v>
      </c>
      <c r="D218" s="49" t="n">
        <v>5037</v>
      </c>
      <c r="E218" s="49" t="n">
        <v>5020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-0.0223604899863893</v>
      </c>
      <c r="I218" s="52" t="n">
        <f aca="false">IF(AND(ISNUMBER($G218),$G218&gt;=MA_SHORT),AVERAGE(INDEX($C$5:$C218,215-MA_SHORT):$C218),"")</f>
        <v>4959.25</v>
      </c>
      <c r="J218" s="52" t="n">
        <f aca="false">IF(AND(ISNUMBER($G218),$G218&gt;=MA_MED),AVERAGE(INDEX($C$5:$C218,215-MA_MED):$C218),"")</f>
        <v>4812.28</v>
      </c>
      <c r="K218" s="52" t="n">
        <f aca="false">IF(AND(ISNUMBER($G218),$G218&gt;=MA_LONG2),AVERAGE(INDEX($C$5:$C218,215-MA_LONG2):$C218),"")</f>
        <v>3873.07</v>
      </c>
      <c r="L218" s="53" t="n">
        <f aca="false">IF(AND(ISNUMBER($G218),$G218&gt;=21),STDEV(INDEX($H$158:$H218,62-20):$H218)*SQRT(245),"")</f>
        <v>0.184737563674871</v>
      </c>
      <c r="M218" s="52" t="n">
        <f aca="false">IF(AND(ISNUMBER($G218),$G218&gt;=60),MAX(INDEX($D$18:$D218,202-60):$D218),"")</f>
        <v>5227</v>
      </c>
      <c r="N218" s="52" t="n">
        <f aca="false">IF(AND(ISNUMBER($G218),$G218&gt;=60),MIN(INDEX($E$18:$E218,202-60):$E218),"")</f>
        <v>4448</v>
      </c>
      <c r="O218" s="53" t="n">
        <f aca="false">IF(OR(NOT(ISNUMBER($C218)),NOT(ISNUMBER($M218)),$M218=0),"",$C218/$M218-1)</f>
        <v>-0.0380715515592118</v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5046</v>
      </c>
      <c r="D219" s="49" t="n">
        <v>5082</v>
      </c>
      <c r="E219" s="49" t="n">
        <v>5020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0.00357995226730301</v>
      </c>
      <c r="I219" s="52" t="n">
        <f aca="false">IF(AND(ISNUMBER($G219),$G219&gt;=MA_SHORT),AVERAGE(INDEX($C$5:$C219,216-MA_SHORT):$C219),"")</f>
        <v>4968.25</v>
      </c>
      <c r="J219" s="52" t="n">
        <f aca="false">IF(AND(ISNUMBER($G219),$G219&gt;=MA_MED),AVERAGE(INDEX($C$5:$C219,216-MA_MED):$C219),"")</f>
        <v>4819.1</v>
      </c>
      <c r="K219" s="52" t="n">
        <f aca="false">IF(AND(ISNUMBER($G219),$G219&gt;=MA_LONG2),AVERAGE(INDEX($C$5:$C219,216-MA_LONG2):$C219),"")</f>
        <v>3882.335</v>
      </c>
      <c r="L219" s="53" t="n">
        <f aca="false">IF(AND(ISNUMBER($G219),$G219&gt;=21),STDEV(INDEX($H$159:$H219,62-20):$H219)*SQRT(245),"")</f>
        <v>0.184797163592727</v>
      </c>
      <c r="M219" s="52" t="n">
        <f aca="false">IF(AND(ISNUMBER($G219),$G219&gt;=60),MAX(INDEX($D$19:$D219,202-60):$D219),"")</f>
        <v>5227</v>
      </c>
      <c r="N219" s="52" t="n">
        <f aca="false">IF(AND(ISNUMBER($G219),$G219&gt;=60),MIN(INDEX($E$19:$E219,202-60):$E219),"")</f>
        <v>4501</v>
      </c>
      <c r="O219" s="53" t="n">
        <f aca="false">IF(OR(NOT(ISNUMBER($C219)),NOT(ISNUMBER($M219)),$M219=0),"",$C219/$M219-1)</f>
        <v>-0.0346278936292328</v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5124</v>
      </c>
      <c r="D220" s="49" t="n">
        <v>5128</v>
      </c>
      <c r="E220" s="49" t="n">
        <v>5123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0.0154577883472058</v>
      </c>
      <c r="I220" s="52" t="n">
        <f aca="false">IF(AND(ISNUMBER($G220),$G220&gt;=MA_SHORT),AVERAGE(INDEX($C$5:$C220,217-MA_SHORT):$C220),"")</f>
        <v>4977.65</v>
      </c>
      <c r="J220" s="52" t="n">
        <f aca="false">IF(AND(ISNUMBER($G220),$G220&gt;=MA_MED),AVERAGE(INDEX($C$5:$C220,217-MA_MED):$C220),"")</f>
        <v>4826.78</v>
      </c>
      <c r="K220" s="52" t="n">
        <f aca="false">IF(AND(ISNUMBER($G220),$G220&gt;=MA_LONG2),AVERAGE(INDEX($C$5:$C220,217-MA_LONG2):$C220),"")</f>
        <v>3892.035</v>
      </c>
      <c r="L220" s="53" t="n">
        <f aca="false">IF(AND(ISNUMBER($G220),$G220&gt;=21),STDEV(INDEX($H$160:$H220,62-20):$H220)*SQRT(245),"")</f>
        <v>0.185768059255827</v>
      </c>
      <c r="M220" s="52" t="n">
        <f aca="false">IF(AND(ISNUMBER($G220),$G220&gt;=60),MAX(INDEX($D$20:$D220,202-60):$D220),"")</f>
        <v>5227</v>
      </c>
      <c r="N220" s="52" t="n">
        <f aca="false">IF(AND(ISNUMBER($G220),$G220&gt;=60),MIN(INDEX($E$20:$E220,202-60):$E220),"")</f>
        <v>4501</v>
      </c>
      <c r="O220" s="53" t="n">
        <f aca="false">IF(OR(NOT(ISNUMBER($C220)),NOT(ISNUMBER($M220)),$M220=0),"",$C220/$M220-1)</f>
        <v>-0.0197053759326573</v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5118</v>
      </c>
      <c r="D221" s="49" t="n">
        <v>5151</v>
      </c>
      <c r="E221" s="49" t="n">
        <v>5114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-0.00117096018735363</v>
      </c>
      <c r="I221" s="52" t="n">
        <f aca="false">IF(AND(ISNUMBER($G221),$G221&gt;=MA_SHORT),AVERAGE(INDEX($C$5:$C221,218-MA_SHORT):$C221),"")</f>
        <v>4990.4</v>
      </c>
      <c r="J221" s="52" t="n">
        <f aca="false">IF(AND(ISNUMBER($G221),$G221&gt;=MA_MED),AVERAGE(INDEX($C$5:$C221,218-MA_MED):$C221),"")</f>
        <v>4834.3</v>
      </c>
      <c r="K221" s="52" t="n">
        <f aca="false">IF(AND(ISNUMBER($G221),$G221&gt;=MA_LONG2),AVERAGE(INDEX($C$5:$C221,218-MA_LONG2):$C221),"")</f>
        <v>3901.68</v>
      </c>
      <c r="L221" s="53" t="n">
        <f aca="false">IF(AND(ISNUMBER($G221),$G221&gt;=21),STDEV(INDEX($H$161:$H221,62-20):$H221)*SQRT(245),"")</f>
        <v>0.175803551317181</v>
      </c>
      <c r="M221" s="52" t="n">
        <f aca="false">IF(AND(ISNUMBER($G221),$G221&gt;=60),MAX(INDEX($D$21:$D221,202-60):$D221),"")</f>
        <v>5227</v>
      </c>
      <c r="N221" s="52" t="n">
        <f aca="false">IF(AND(ISNUMBER($G221),$G221&gt;=60),MIN(INDEX($E$21:$E221,202-60):$E221),"")</f>
        <v>4501</v>
      </c>
      <c r="O221" s="53" t="n">
        <f aca="false">IF(OR(NOT(ISNUMBER($C221)),NOT(ISNUMBER($M221)),$M221=0),"",$C221/$M221-1)</f>
        <v>-0.020853261909317</v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5061</v>
      </c>
      <c r="D222" s="49" t="n">
        <v>5074</v>
      </c>
      <c r="E222" s="49" t="n">
        <v>5030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-0.011137162954279</v>
      </c>
      <c r="I222" s="52" t="n">
        <f aca="false">IF(AND(ISNUMBER($G222),$G222&gt;=MA_SHORT),AVERAGE(INDEX($C$5:$C222,219-MA_SHORT):$C222),"")</f>
        <v>4999.85</v>
      </c>
      <c r="J222" s="52" t="n">
        <f aca="false">IF(AND(ISNUMBER($G222),$G222&gt;=MA_MED),AVERAGE(INDEX($C$5:$C222,219-MA_MED):$C222),"")</f>
        <v>4842.16</v>
      </c>
      <c r="K222" s="52" t="n">
        <f aca="false">IF(AND(ISNUMBER($G222),$G222&gt;=MA_LONG2),AVERAGE(INDEX($C$5:$C222,219-MA_LONG2):$C222),"")</f>
        <v>3911.135</v>
      </c>
      <c r="L222" s="53" t="n">
        <f aca="false">IF(AND(ISNUMBER($G222),$G222&gt;=21),STDEV(INDEX($H$162:$H222,62-20):$H222)*SQRT(245),"")</f>
        <v>0.18229250041183</v>
      </c>
      <c r="M222" s="52" t="n">
        <f aca="false">IF(AND(ISNUMBER($G222),$G222&gt;=60),MAX(INDEX($D$22:$D222,202-60):$D222),"")</f>
        <v>5227</v>
      </c>
      <c r="N222" s="52" t="n">
        <f aca="false">IF(AND(ISNUMBER($G222),$G222&gt;=60),MIN(INDEX($E$22:$E222,202-60):$E222),"")</f>
        <v>4501</v>
      </c>
      <c r="O222" s="53" t="n">
        <f aca="false">IF(OR(NOT(ISNUMBER($C222)),NOT(ISNUMBER($M222)),$M222=0),"",$C222/$M222-1)</f>
        <v>-0.0317581786875837</v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5069</v>
      </c>
      <c r="D223" s="49" t="n">
        <v>5079</v>
      </c>
      <c r="E223" s="49" t="n">
        <v>5053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0.00158071527366133</v>
      </c>
      <c r="I223" s="52" t="n">
        <f aca="false">IF(AND(ISNUMBER($G223),$G223&gt;=MA_SHORT),AVERAGE(INDEX($C$5:$C223,220-MA_SHORT):$C223),"")</f>
        <v>5007.55</v>
      </c>
      <c r="J223" s="52" t="n">
        <f aca="false">IF(AND(ISNUMBER($G223),$G223&gt;=MA_MED),AVERAGE(INDEX($C$5:$C223,220-MA_MED):$C223),"")</f>
        <v>4852.16</v>
      </c>
      <c r="K223" s="52" t="n">
        <f aca="false">IF(AND(ISNUMBER($G223),$G223&gt;=MA_LONG2),AVERAGE(INDEX($C$5:$C223,220-MA_LONG2):$C223),"")</f>
        <v>3920.355</v>
      </c>
      <c r="L223" s="53" t="n">
        <f aca="false">IF(AND(ISNUMBER($G223),$G223&gt;=21),STDEV(INDEX($H$163:$H223,62-20):$H223)*SQRT(245),"")</f>
        <v>0.180533802442112</v>
      </c>
      <c r="M223" s="52" t="n">
        <f aca="false">IF(AND(ISNUMBER($G223),$G223&gt;=60),MAX(INDEX($D$23:$D223,202-60):$D223),"")</f>
        <v>5227</v>
      </c>
      <c r="N223" s="52" t="n">
        <f aca="false">IF(AND(ISNUMBER($G223),$G223&gt;=60),MIN(INDEX($E$23:$E223,202-60):$E223),"")</f>
        <v>4501</v>
      </c>
      <c r="O223" s="53" t="n">
        <f aca="false">IF(OR(NOT(ISNUMBER($C223)),NOT(ISNUMBER($M223)),$M223=0),"",$C223/$M223-1)</f>
        <v>-0.0302276640520375</v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5095</v>
      </c>
      <c r="D224" s="49" t="n">
        <v>5097</v>
      </c>
      <c r="E224" s="49" t="n">
        <v>5080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0.00512921680804901</v>
      </c>
      <c r="I224" s="52" t="n">
        <f aca="false">IF(AND(ISNUMBER($G224),$G224&gt;=MA_SHORT),AVERAGE(INDEX($C$5:$C224,221-MA_SHORT):$C224),"")</f>
        <v>5017.5</v>
      </c>
      <c r="J224" s="52" t="n">
        <f aca="false">IF(AND(ISNUMBER($G224),$G224&gt;=MA_MED),AVERAGE(INDEX($C$5:$C224,221-MA_MED):$C224),"")</f>
        <v>4862.2</v>
      </c>
      <c r="K224" s="52" t="n">
        <f aca="false">IF(AND(ISNUMBER($G224),$G224&gt;=MA_LONG2),AVERAGE(INDEX($C$5:$C224,221-MA_LONG2):$C224),"")</f>
        <v>3929.53</v>
      </c>
      <c r="L224" s="53" t="n">
        <f aca="false">IF(AND(ISNUMBER($G224),$G224&gt;=21),STDEV(INDEX($H$164:$H224,62-20):$H224)*SQRT(245),"")</f>
        <v>0.179761002696661</v>
      </c>
      <c r="M224" s="52" t="n">
        <f aca="false">IF(AND(ISNUMBER($G224),$G224&gt;=60),MAX(INDEX($D$24:$D224,202-60):$D224),"")</f>
        <v>5227</v>
      </c>
      <c r="N224" s="52" t="n">
        <f aca="false">IF(AND(ISNUMBER($G224),$G224&gt;=60),MIN(INDEX($E$24:$E224,202-60):$E224),"")</f>
        <v>4501</v>
      </c>
      <c r="O224" s="53" t="n">
        <f aca="false">IF(OR(NOT(ISNUMBER($C224)),NOT(ISNUMBER($M224)),$M224=0),"",$C224/$M224-1)</f>
        <v>-0.0252534914865123</v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5148</v>
      </c>
      <c r="D225" s="49" t="n">
        <v>5174</v>
      </c>
      <c r="E225" s="49" t="n">
        <v>5132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0.0104023552502452</v>
      </c>
      <c r="I225" s="52" t="n">
        <f aca="false">IF(AND(ISNUMBER($G225),$G225&gt;=MA_SHORT),AVERAGE(INDEX($C$5:$C225,222-MA_SHORT):$C225),"")</f>
        <v>5031.2</v>
      </c>
      <c r="J225" s="52" t="n">
        <f aca="false">IF(AND(ISNUMBER($G225),$G225&gt;=MA_MED),AVERAGE(INDEX($C$5:$C225,222-MA_MED):$C225),"")</f>
        <v>4874.56</v>
      </c>
      <c r="K225" s="52" t="n">
        <f aca="false">IF(AND(ISNUMBER($G225),$G225&gt;=MA_LONG2),AVERAGE(INDEX($C$5:$C225,222-MA_LONG2):$C225),"")</f>
        <v>3938.97</v>
      </c>
      <c r="L225" s="53" t="n">
        <f aca="false">IF(AND(ISNUMBER($G225),$G225&gt;=21),STDEV(INDEX($H$165:$H225,62-20):$H225)*SQRT(245),"")</f>
        <v>0.180321252319699</v>
      </c>
      <c r="M225" s="52" t="n">
        <f aca="false">IF(AND(ISNUMBER($G225),$G225&gt;=60),MAX(INDEX($D$25:$D225,202-60):$D225),"")</f>
        <v>5227</v>
      </c>
      <c r="N225" s="52" t="n">
        <f aca="false">IF(AND(ISNUMBER($G225),$G225&gt;=60),MIN(INDEX($E$25:$E225,202-60):$E225),"")</f>
        <v>4501</v>
      </c>
      <c r="O225" s="53" t="n">
        <f aca="false">IF(OR(NOT(ISNUMBER($C225)),NOT(ISNUMBER($M225)),$M225=0),"",$C225/$M225-1)</f>
        <v>-0.0151138320260188</v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5137</v>
      </c>
      <c r="D226" s="49" t="n">
        <v>5172</v>
      </c>
      <c r="E226" s="49" t="n">
        <v>5131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-0.00213675213675213</v>
      </c>
      <c r="I226" s="52" t="n">
        <f aca="false">IF(AND(ISNUMBER($G226),$G226&gt;=MA_SHORT),AVERAGE(INDEX($C$5:$C226,223-MA_SHORT):$C226),"")</f>
        <v>5041.2</v>
      </c>
      <c r="J226" s="52" t="n">
        <f aca="false">IF(AND(ISNUMBER($G226),$G226&gt;=MA_MED),AVERAGE(INDEX($C$5:$C226,223-MA_MED):$C226),"")</f>
        <v>4885.42</v>
      </c>
      <c r="K226" s="52" t="n">
        <f aca="false">IF(AND(ISNUMBER($G226),$G226&gt;=MA_LONG2),AVERAGE(INDEX($C$5:$C226,223-MA_LONG2):$C226),"")</f>
        <v>3948.4</v>
      </c>
      <c r="L226" s="53" t="n">
        <f aca="false">IF(AND(ISNUMBER($G226),$G226&gt;=21),STDEV(INDEX($H$166:$H226,62-20):$H226)*SQRT(245),"")</f>
        <v>0.177094041563328</v>
      </c>
      <c r="M226" s="52" t="n">
        <f aca="false">IF(AND(ISNUMBER($G226),$G226&gt;=60),MAX(INDEX($D$26:$D226,202-60):$D226),"")</f>
        <v>5227</v>
      </c>
      <c r="N226" s="52" t="n">
        <f aca="false">IF(AND(ISNUMBER($G226),$G226&gt;=60),MIN(INDEX($E$26:$E226,202-60):$E226),"")</f>
        <v>4501</v>
      </c>
      <c r="O226" s="53" t="n">
        <f aca="false">IF(OR(NOT(ISNUMBER($C226)),NOT(ISNUMBER($M226)),$M226=0),"",$C226/$M226-1)</f>
        <v>-0.0172182896498948</v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5193</v>
      </c>
      <c r="D227" s="49" t="n">
        <v>5198</v>
      </c>
      <c r="E227" s="49" t="n">
        <v>5179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0.0109013042631887</v>
      </c>
      <c r="I227" s="52" t="n">
        <f aca="false">IF(AND(ISNUMBER($G227),$G227&gt;=MA_SHORT),AVERAGE(INDEX($C$5:$C227,224-MA_SHORT):$C227),"")</f>
        <v>5051.5</v>
      </c>
      <c r="J227" s="52" t="n">
        <f aca="false">IF(AND(ISNUMBER($G227),$G227&gt;=MA_MED),AVERAGE(INDEX($C$5:$C227,224-MA_MED):$C227),"")</f>
        <v>4896.5</v>
      </c>
      <c r="K227" s="52" t="n">
        <f aca="false">IF(AND(ISNUMBER($G227),$G227&gt;=MA_LONG2),AVERAGE(INDEX($C$5:$C227,224-MA_LONG2):$C227),"")</f>
        <v>3957.83</v>
      </c>
      <c r="L227" s="53" t="n">
        <f aca="false">IF(AND(ISNUMBER($G227),$G227&gt;=21),STDEV(INDEX($H$167:$H227,62-20):$H227)*SQRT(245),"")</f>
        <v>0.177569240629522</v>
      </c>
      <c r="M227" s="52" t="n">
        <f aca="false">IF(AND(ISNUMBER($G227),$G227&gt;=60),MAX(INDEX($D$27:$D227,202-60):$D227),"")</f>
        <v>5227</v>
      </c>
      <c r="N227" s="52" t="n">
        <f aca="false">IF(AND(ISNUMBER($G227),$G227&gt;=60),MIN(INDEX($E$27:$E227,202-60):$E227),"")</f>
        <v>4501</v>
      </c>
      <c r="O227" s="53" t="n">
        <f aca="false">IF(OR(NOT(ISNUMBER($C227)),NOT(ISNUMBER($M227)),$M227=0),"",$C227/$M227-1)</f>
        <v>-0.00650468720107134</v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5238</v>
      </c>
      <c r="D228" s="49" t="n">
        <v>5285</v>
      </c>
      <c r="E228" s="49" t="n">
        <v>5210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0.00866551126516457</v>
      </c>
      <c r="I228" s="52" t="n">
        <f aca="false">IF(AND(ISNUMBER($G228),$G228&gt;=MA_SHORT),AVERAGE(INDEX($C$5:$C228,225-MA_SHORT):$C228),"")</f>
        <v>5069.2</v>
      </c>
      <c r="J228" s="52" t="n">
        <f aca="false">IF(AND(ISNUMBER($G228),$G228&gt;=MA_MED),AVERAGE(INDEX($C$5:$C228,225-MA_MED):$C228),"")</f>
        <v>4907.46</v>
      </c>
      <c r="K228" s="52" t="n">
        <f aca="false">IF(AND(ISNUMBER($G228),$G228&gt;=MA_LONG2),AVERAGE(INDEX($C$5:$C228,225-MA_LONG2):$C228),"")</f>
        <v>3967.15</v>
      </c>
      <c r="L228" s="53" t="n">
        <f aca="false">IF(AND(ISNUMBER($G228),$G228&gt;=21),STDEV(INDEX($H$168:$H228,62-20):$H228)*SQRT(245),"")</f>
        <v>0.157689817633438</v>
      </c>
      <c r="M228" s="52" t="n">
        <f aca="false">IF(AND(ISNUMBER($G228),$G228&gt;=60),MAX(INDEX($D$28:$D228,202-60):$D228),"")</f>
        <v>5285</v>
      </c>
      <c r="N228" s="52" t="n">
        <f aca="false">IF(AND(ISNUMBER($G228),$G228&gt;=60),MIN(INDEX($E$28:$E228,202-60):$E228),"")</f>
        <v>4501</v>
      </c>
      <c r="O228" s="53" t="n">
        <f aca="false">IF(OR(NOT(ISNUMBER($C228)),NOT(ISNUMBER($M228)),$M228=0),"",$C228/$M228-1)</f>
        <v>-0.00889309366130553</v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5280</v>
      </c>
      <c r="D229" s="49" t="n">
        <v>5294</v>
      </c>
      <c r="E229" s="49" t="n">
        <v>5258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0.00801832760595644</v>
      </c>
      <c r="I229" s="52" t="n">
        <f aca="false">IF(AND(ISNUMBER($G229),$G229&gt;=MA_SHORT),AVERAGE(INDEX($C$5:$C229,226-MA_SHORT):$C229),"")</f>
        <v>5090.1</v>
      </c>
      <c r="J229" s="52" t="n">
        <f aca="false">IF(AND(ISNUMBER($G229),$G229&gt;=MA_MED),AVERAGE(INDEX($C$5:$C229,226-MA_MED):$C229),"")</f>
        <v>4919.36</v>
      </c>
      <c r="K229" s="52" t="n">
        <f aca="false">IF(AND(ISNUMBER($G229),$G229&gt;=MA_LONG2),AVERAGE(INDEX($C$5:$C229,226-MA_LONG2):$C229),"")</f>
        <v>3976.72</v>
      </c>
      <c r="L229" s="53" t="n">
        <f aca="false">IF(AND(ISNUMBER($G229),$G229&gt;=21),STDEV(INDEX($H$169:$H229,62-20):$H229)*SQRT(245),"")</f>
        <v>0.155514754918785</v>
      </c>
      <c r="M229" s="52" t="n">
        <f aca="false">IF(AND(ISNUMBER($G229),$G229&gt;=60),MAX(INDEX($D$29:$D229,202-60):$D229),"")</f>
        <v>5294</v>
      </c>
      <c r="N229" s="52" t="n">
        <f aca="false">IF(AND(ISNUMBER($G229),$G229&gt;=60),MIN(INDEX($E$29:$E229,202-60):$E229),"")</f>
        <v>4501</v>
      </c>
      <c r="O229" s="53" t="n">
        <f aca="false">IF(OR(NOT(ISNUMBER($C229)),NOT(ISNUMBER($M229)),$M229=0),"",$C229/$M229-1)</f>
        <v>-0.00264450321118248</v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5244</v>
      </c>
      <c r="D230" s="49" t="n">
        <v>5261</v>
      </c>
      <c r="E230" s="49" t="n">
        <v>5242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-0.00681818181818183</v>
      </c>
      <c r="I230" s="52" t="n">
        <f aca="false">IF(AND(ISNUMBER($G230),$G230&gt;=MA_SHORT),AVERAGE(INDEX($C$5:$C230,227-MA_SHORT):$C230),"")</f>
        <v>5109</v>
      </c>
      <c r="J230" s="52" t="n">
        <f aca="false">IF(AND(ISNUMBER($G230),$G230&gt;=MA_MED),AVERAGE(INDEX($C$5:$C230,227-MA_MED):$C230),"")</f>
        <v>4929.86</v>
      </c>
      <c r="K230" s="52" t="n">
        <f aca="false">IF(AND(ISNUMBER($G230),$G230&gt;=MA_LONG2),AVERAGE(INDEX($C$5:$C230,227-MA_LONG2):$C230),"")</f>
        <v>3986.085</v>
      </c>
      <c r="L230" s="53" t="n">
        <f aca="false">IF(AND(ISNUMBER($G230),$G230&gt;=21),STDEV(INDEX($H$170:$H230,62-20):$H230)*SQRT(245),"")</f>
        <v>0.1598795703495</v>
      </c>
      <c r="M230" s="52" t="n">
        <f aca="false">IF(AND(ISNUMBER($G230),$G230&gt;=60),MAX(INDEX($D$30:$D230,202-60):$D230),"")</f>
        <v>5294</v>
      </c>
      <c r="N230" s="52" t="n">
        <f aca="false">IF(AND(ISNUMBER($G230),$G230&gt;=60),MIN(INDEX($E$30:$E230,202-60):$E230),"")</f>
        <v>4501</v>
      </c>
      <c r="O230" s="53" t="n">
        <f aca="false">IF(OR(NOT(ISNUMBER($C230)),NOT(ISNUMBER($M230)),$M230=0),"",$C230/$M230-1)</f>
        <v>-0.00944465432565167</v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5167</v>
      </c>
      <c r="D231" s="49" t="n">
        <v>5168</v>
      </c>
      <c r="E231" s="49" t="n">
        <v>5164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-0.0146834477498093</v>
      </c>
      <c r="I231" s="52" t="n">
        <f aca="false">IF(AND(ISNUMBER($G231),$G231&gt;=MA_SHORT),AVERAGE(INDEX($C$5:$C231,228-MA_SHORT):$C231),"")</f>
        <v>5123.1</v>
      </c>
      <c r="J231" s="52" t="n">
        <f aca="false">IF(AND(ISNUMBER($G231),$G231&gt;=MA_MED),AVERAGE(INDEX($C$5:$C231,228-MA_MED):$C231),"")</f>
        <v>4938.72</v>
      </c>
      <c r="K231" s="52" t="n">
        <f aca="false">IF(AND(ISNUMBER($G231),$G231&gt;=MA_LONG2),AVERAGE(INDEX($C$5:$C231,228-MA_LONG2):$C231),"")</f>
        <v>3995.115</v>
      </c>
      <c r="L231" s="53" t="n">
        <f aca="false">IF(AND(ISNUMBER($G231),$G231&gt;=21),STDEV(INDEX($H$171:$H231,62-20):$H231)*SQRT(245),"")</f>
        <v>0.172460466560328</v>
      </c>
      <c r="M231" s="52" t="n">
        <f aca="false">IF(AND(ISNUMBER($G231),$G231&gt;=60),MAX(INDEX($D$31:$D231,202-60):$D231),"")</f>
        <v>5294</v>
      </c>
      <c r="N231" s="52" t="n">
        <f aca="false">IF(AND(ISNUMBER($G231),$G231&gt;=60),MIN(INDEX($E$31:$E231,202-60):$E231),"")</f>
        <v>4501</v>
      </c>
      <c r="O231" s="53" t="n">
        <f aca="false">IF(OR(NOT(ISNUMBER($C231)),NOT(ISNUMBER($M231)),$M231=0),"",$C231/$M231-1)</f>
        <v>-0.0239894219871553</v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5116</v>
      </c>
      <c r="D232" s="49" t="n">
        <v>5162</v>
      </c>
      <c r="E232" s="49" t="n">
        <v>5111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-0.00987033094639056</v>
      </c>
      <c r="I232" s="52" t="n">
        <f aca="false">IF(AND(ISNUMBER($G232),$G232&gt;=MA_SHORT),AVERAGE(INDEX($C$5:$C232,229-MA_SHORT):$C232),"")</f>
        <v>5130.9</v>
      </c>
      <c r="J232" s="52" t="n">
        <f aca="false">IF(AND(ISNUMBER($G232),$G232&gt;=MA_MED),AVERAGE(INDEX($C$5:$C232,229-MA_MED):$C232),"")</f>
        <v>4945.52</v>
      </c>
      <c r="K232" s="52" t="n">
        <f aca="false">IF(AND(ISNUMBER($G232),$G232&gt;=MA_LONG2),AVERAGE(INDEX($C$5:$C232,229-MA_LONG2):$C232),"")</f>
        <v>4004.135</v>
      </c>
      <c r="L232" s="53" t="n">
        <f aca="false">IF(AND(ISNUMBER($G232),$G232&gt;=21),STDEV(INDEX($H$172:$H232,62-20):$H232)*SQRT(245),"")</f>
        <v>0.171507190170947</v>
      </c>
      <c r="M232" s="52" t="n">
        <f aca="false">IF(AND(ISNUMBER($G232),$G232&gt;=60),MAX(INDEX($D$32:$D232,202-60):$D232),"")</f>
        <v>5294</v>
      </c>
      <c r="N232" s="52" t="n">
        <f aca="false">IF(AND(ISNUMBER($G232),$G232&gt;=60),MIN(INDEX($E$32:$E232,202-60):$E232),"")</f>
        <v>4501</v>
      </c>
      <c r="O232" s="53" t="n">
        <f aca="false">IF(OR(NOT(ISNUMBER($C232)),NOT(ISNUMBER($M232)),$M232=0),"",$C232/$M232-1)</f>
        <v>-0.03362296939932</v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5110</v>
      </c>
      <c r="D233" s="49" t="n">
        <v>5121</v>
      </c>
      <c r="E233" s="49" t="n">
        <v>5107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-0.00117279124315872</v>
      </c>
      <c r="I233" s="52" t="n">
        <f aca="false">IF(AND(ISNUMBER($G233),$G233&gt;=MA_SHORT),AVERAGE(INDEX($C$5:$C233,230-MA_SHORT):$C233),"")</f>
        <v>5135.8</v>
      </c>
      <c r="J233" s="52" t="n">
        <f aca="false">IF(AND(ISNUMBER($G233),$G233&gt;=MA_MED),AVERAGE(INDEX($C$5:$C233,230-MA_MED):$C233),"")</f>
        <v>4952.7</v>
      </c>
      <c r="K233" s="52" t="n">
        <f aca="false">IF(AND(ISNUMBER($G233),$G233&gt;=MA_LONG2),AVERAGE(INDEX($C$5:$C233,230-MA_LONG2):$C233),"")</f>
        <v>4013.615</v>
      </c>
      <c r="L233" s="53" t="n">
        <f aca="false">IF(AND(ISNUMBER($G233),$G233&gt;=21),STDEV(INDEX($H$173:$H233,62-20):$H233)*SQRT(245),"")</f>
        <v>0.168554392931804</v>
      </c>
      <c r="M233" s="52" t="n">
        <f aca="false">IF(AND(ISNUMBER($G233),$G233&gt;=60),MAX(INDEX($D$33:$D233,202-60):$D233),"")</f>
        <v>5294</v>
      </c>
      <c r="N233" s="52" t="n">
        <f aca="false">IF(AND(ISNUMBER($G233),$G233&gt;=60),MIN(INDEX($E$33:$E233,202-60):$E233),"")</f>
        <v>4501</v>
      </c>
      <c r="O233" s="53" t="n">
        <f aca="false">IF(OR(NOT(ISNUMBER($C233)),NOT(ISNUMBER($M233)),$M233=0),"",$C233/$M233-1)</f>
        <v>-0.0347563279183982</v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5176</v>
      </c>
      <c r="D234" s="49" t="n">
        <v>5198</v>
      </c>
      <c r="E234" s="49" t="n">
        <v>5173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0.0129158512720156</v>
      </c>
      <c r="I234" s="52" t="n">
        <f aca="false">IF(AND(ISNUMBER($G234),$G234&gt;=MA_SHORT),AVERAGE(INDEX($C$5:$C234,231-MA_SHORT):$C234),"")</f>
        <v>5140.75</v>
      </c>
      <c r="J234" s="52" t="n">
        <f aca="false">IF(AND(ISNUMBER($G234),$G234&gt;=MA_MED),AVERAGE(INDEX($C$5:$C234,231-MA_MED):$C234),"")</f>
        <v>4963.4</v>
      </c>
      <c r="K234" s="52" t="n">
        <f aca="false">IF(AND(ISNUMBER($G234),$G234&gt;=MA_LONG2),AVERAGE(INDEX($C$5:$C234,231-MA_LONG2):$C234),"")</f>
        <v>4023.795</v>
      </c>
      <c r="L234" s="53" t="n">
        <f aca="false">IF(AND(ISNUMBER($G234),$G234&gt;=21),STDEV(INDEX($H$174:$H234,62-20):$H234)*SQRT(245),"")</f>
        <v>0.168506034657689</v>
      </c>
      <c r="M234" s="52" t="n">
        <f aca="false">IF(AND(ISNUMBER($G234),$G234&gt;=60),MAX(INDEX($D$34:$D234,202-60):$D234),"")</f>
        <v>5294</v>
      </c>
      <c r="N234" s="52" t="n">
        <f aca="false">IF(AND(ISNUMBER($G234),$G234&gt;=60),MIN(INDEX($E$34:$E234,202-60):$E234),"")</f>
        <v>4501</v>
      </c>
      <c r="O234" s="53" t="n">
        <f aca="false">IF(OR(NOT(ISNUMBER($C234)),NOT(ISNUMBER($M234)),$M234=0),"",$C234/$M234-1)</f>
        <v>-0.022289384208538</v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5096</v>
      </c>
      <c r="D235" s="49" t="n">
        <v>5117</v>
      </c>
      <c r="E235" s="49" t="n">
        <v>5086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-0.0154559505409583</v>
      </c>
      <c r="I235" s="52" t="n">
        <f aca="false">IF(AND(ISNUMBER($G235),$G235&gt;=MA_SHORT),AVERAGE(INDEX($C$5:$C235,232-MA_SHORT):$C235),"")</f>
        <v>5139.4</v>
      </c>
      <c r="J235" s="52" t="n">
        <f aca="false">IF(AND(ISNUMBER($G235),$G235&gt;=MA_MED),AVERAGE(INDEX($C$5:$C235,232-MA_MED):$C235),"")</f>
        <v>4973.2</v>
      </c>
      <c r="K235" s="52" t="n">
        <f aca="false">IF(AND(ISNUMBER($G235),$G235&gt;=MA_LONG2),AVERAGE(INDEX($C$5:$C235,232-MA_LONG2):$C235),"")</f>
        <v>4033.585</v>
      </c>
      <c r="L235" s="53" t="n">
        <f aca="false">IF(AND(ISNUMBER($G235),$G235&gt;=21),STDEV(INDEX($H$175:$H235,62-20):$H235)*SQRT(245),"")</f>
        <v>0.175140766869343</v>
      </c>
      <c r="M235" s="52" t="n">
        <f aca="false">IF(AND(ISNUMBER($G235),$G235&gt;=60),MAX(INDEX($D$35:$D235,202-60):$D235),"")</f>
        <v>5294</v>
      </c>
      <c r="N235" s="52" t="n">
        <f aca="false">IF(AND(ISNUMBER($G235),$G235&gt;=60),MIN(INDEX($E$35:$E235,202-60):$E235),"")</f>
        <v>4531</v>
      </c>
      <c r="O235" s="53" t="n">
        <f aca="false">IF(OR(NOT(ISNUMBER($C235)),NOT(ISNUMBER($M235)),$M235=0),"",$C235/$M235-1)</f>
        <v>-0.0374008311295807</v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5103</v>
      </c>
      <c r="D236" s="49" t="n">
        <v>5125</v>
      </c>
      <c r="E236" s="49" t="n">
        <v>5094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0.00137362637362637</v>
      </c>
      <c r="I236" s="52" t="n">
        <f aca="false">IF(AND(ISNUMBER($G236),$G236&gt;=MA_SHORT),AVERAGE(INDEX($C$5:$C236,233-MA_SHORT):$C236),"")</f>
        <v>5134.6</v>
      </c>
      <c r="J236" s="52" t="n">
        <f aca="false">IF(AND(ISNUMBER($G236),$G236&gt;=MA_MED),AVERAGE(INDEX($C$5:$C236,233-MA_MED):$C236),"")</f>
        <v>4984.04</v>
      </c>
      <c r="K236" s="52" t="n">
        <f aca="false">IF(AND(ISNUMBER($G236),$G236&gt;=MA_LONG2),AVERAGE(INDEX($C$5:$C236,233-MA_LONG2):$C236),"")</f>
        <v>4042.935</v>
      </c>
      <c r="L236" s="53" t="n">
        <f aca="false">IF(AND(ISNUMBER($G236),$G236&gt;=21),STDEV(INDEX($H$176:$H236,62-20):$H236)*SQRT(245),"")</f>
        <v>0.166351761634281</v>
      </c>
      <c r="M236" s="52" t="n">
        <f aca="false">IF(AND(ISNUMBER($G236),$G236&gt;=60),MAX(INDEX($D$36:$D236,202-60):$D236),"")</f>
        <v>5294</v>
      </c>
      <c r="N236" s="52" t="n">
        <f aca="false">IF(AND(ISNUMBER($G236),$G236&gt;=60),MIN(INDEX($E$36:$E236,202-60):$E236),"")</f>
        <v>4531</v>
      </c>
      <c r="O236" s="53" t="n">
        <f aca="false">IF(OR(NOT(ISNUMBER($C236)),NOT(ISNUMBER($M236)),$M236=0),"",$C236/$M236-1)</f>
        <v>-0.0360785795239894</v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5105</v>
      </c>
      <c r="D237" s="49" t="n">
        <v>5139</v>
      </c>
      <c r="E237" s="49" t="n">
        <v>5083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0.000391926317852231</v>
      </c>
      <c r="I237" s="52" t="n">
        <f aca="false">IF(AND(ISNUMBER($G237),$G237&gt;=MA_SHORT),AVERAGE(INDEX($C$5:$C237,234-MA_SHORT):$C237),"")</f>
        <v>5132.7</v>
      </c>
      <c r="J237" s="52" t="n">
        <f aca="false">IF(AND(ISNUMBER($G237),$G237&gt;=MA_MED),AVERAGE(INDEX($C$5:$C237,234-MA_MED):$C237),"")</f>
        <v>4994.5</v>
      </c>
      <c r="K237" s="52" t="n">
        <f aca="false">IF(AND(ISNUMBER($G237),$G237&gt;=MA_LONG2),AVERAGE(INDEX($C$5:$C237,234-MA_LONG2):$C237),"")</f>
        <v>4052.425</v>
      </c>
      <c r="L237" s="53" t="n">
        <f aca="false">IF(AND(ISNUMBER($G237),$G237&gt;=21),STDEV(INDEX($H$177:$H237,62-20):$H237)*SQRT(245),"")</f>
        <v>0.162330373156468</v>
      </c>
      <c r="M237" s="52" t="n">
        <f aca="false">IF(AND(ISNUMBER($G237),$G237&gt;=60),MAX(INDEX($D$37:$D237,202-60):$D237),"")</f>
        <v>5294</v>
      </c>
      <c r="N237" s="52" t="n">
        <f aca="false">IF(AND(ISNUMBER($G237),$G237&gt;=60),MIN(INDEX($E$37:$E237,202-60):$E237),"")</f>
        <v>4531</v>
      </c>
      <c r="O237" s="53" t="n">
        <f aca="false">IF(OR(NOT(ISNUMBER($C237)),NOT(ISNUMBER($M237)),$M237=0),"",$C237/$M237-1)</f>
        <v>-0.0357007933509633</v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5173</v>
      </c>
      <c r="D238" s="49" t="n">
        <v>5180</v>
      </c>
      <c r="E238" s="49" t="n">
        <v>5149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0.0133202742409402</v>
      </c>
      <c r="I238" s="52" t="n">
        <f aca="false">IF(AND(ISNUMBER($G238),$G238&gt;=MA_SHORT),AVERAGE(INDEX($C$5:$C238,235-MA_SHORT):$C238),"")</f>
        <v>5139.95</v>
      </c>
      <c r="J238" s="52" t="n">
        <f aca="false">IF(AND(ISNUMBER($G238),$G238&gt;=MA_MED),AVERAGE(INDEX($C$5:$C238,235-MA_MED):$C238),"")</f>
        <v>5005.22</v>
      </c>
      <c r="K238" s="52" t="n">
        <f aca="false">IF(AND(ISNUMBER($G238),$G238&gt;=MA_LONG2),AVERAGE(INDEX($C$5:$C238,235-MA_LONG2):$C238),"")</f>
        <v>4062.475</v>
      </c>
      <c r="L238" s="53" t="n">
        <f aca="false">IF(AND(ISNUMBER($G238),$G238&gt;=21),STDEV(INDEX($H$178:$H238,62-20):$H238)*SQRT(245),"")</f>
        <v>0.147190189224001</v>
      </c>
      <c r="M238" s="52" t="n">
        <f aca="false">IF(AND(ISNUMBER($G238),$G238&gt;=60),MAX(INDEX($D$38:$D238,202-60):$D238),"")</f>
        <v>5294</v>
      </c>
      <c r="N238" s="52" t="n">
        <f aca="false">IF(AND(ISNUMBER($G238),$G238&gt;=60),MIN(INDEX($E$38:$E238,202-60):$E238),"")</f>
        <v>4531</v>
      </c>
      <c r="O238" s="53" t="n">
        <f aca="false">IF(OR(NOT(ISNUMBER($C238)),NOT(ISNUMBER($M238)),$M238=0),"",$C238/$M238-1)</f>
        <v>-0.0228560634680771</v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5236</v>
      </c>
      <c r="D239" s="49" t="n">
        <v>5264</v>
      </c>
      <c r="E239" s="49" t="n">
        <v>5202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0.0121786197564275</v>
      </c>
      <c r="I239" s="52" t="n">
        <f aca="false">IF(AND(ISNUMBER($G239),$G239&gt;=MA_SHORT),AVERAGE(INDEX($C$5:$C239,236-MA_SHORT):$C239),"")</f>
        <v>5149.45</v>
      </c>
      <c r="J239" s="52" t="n">
        <f aca="false">IF(AND(ISNUMBER($G239),$G239&gt;=MA_MED),AVERAGE(INDEX($C$5:$C239,236-MA_MED):$C239),"")</f>
        <v>5014.78</v>
      </c>
      <c r="K239" s="52" t="n">
        <f aca="false">IF(AND(ISNUMBER($G239),$G239&gt;=MA_LONG2),AVERAGE(INDEX($C$5:$C239,236-MA_LONG2):$C239),"")</f>
        <v>4072.775</v>
      </c>
      <c r="L239" s="53" t="n">
        <f aca="false">IF(AND(ISNUMBER($G239),$G239&gt;=21),STDEV(INDEX($H$179:$H239,62-20):$H239)*SQRT(245),"")</f>
        <v>0.151788600734995</v>
      </c>
      <c r="M239" s="52" t="n">
        <f aca="false">IF(AND(ISNUMBER($G239),$G239&gt;=60),MAX(INDEX($D$39:$D239,202-60):$D239),"")</f>
        <v>5294</v>
      </c>
      <c r="N239" s="52" t="n">
        <f aca="false">IF(AND(ISNUMBER($G239),$G239&gt;=60),MIN(INDEX($E$39:$E239,202-60):$E239),"")</f>
        <v>4531</v>
      </c>
      <c r="O239" s="53" t="n">
        <f aca="false">IF(OR(NOT(ISNUMBER($C239)),NOT(ISNUMBER($M239)),$M239=0),"",$C239/$M239-1)</f>
        <v>-0.0109557990177559</v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5254</v>
      </c>
      <c r="D240" s="49" t="n">
        <v>5293</v>
      </c>
      <c r="E240" s="49" t="n">
        <v>5234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0.00343773873185649</v>
      </c>
      <c r="I240" s="52" t="n">
        <f aca="false">IF(AND(ISNUMBER($G240),$G240&gt;=MA_SHORT),AVERAGE(INDEX($C$5:$C240,237-MA_SHORT):$C240),"")</f>
        <v>5155.95</v>
      </c>
      <c r="J240" s="52" t="n">
        <f aca="false">IF(AND(ISNUMBER($G240),$G240&gt;=MA_MED),AVERAGE(INDEX($C$5:$C240,237-MA_MED):$C240),"")</f>
        <v>5023.88</v>
      </c>
      <c r="K240" s="52" t="n">
        <f aca="false">IF(AND(ISNUMBER($G240),$G240&gt;=MA_LONG2),AVERAGE(INDEX($C$5:$C240,237-MA_LONG2):$C240),"")</f>
        <v>4083.44</v>
      </c>
      <c r="L240" s="53" t="n">
        <f aca="false">IF(AND(ISNUMBER($G240),$G240&gt;=21),STDEV(INDEX($H$180:$H240,62-20):$H240)*SQRT(245),"")</f>
        <v>0.143545058817073</v>
      </c>
      <c r="M240" s="52" t="n">
        <f aca="false">IF(AND(ISNUMBER($G240),$G240&gt;=60),MAX(INDEX($D$40:$D240,202-60):$D240),"")</f>
        <v>5294</v>
      </c>
      <c r="N240" s="52" t="n">
        <f aca="false">IF(AND(ISNUMBER($G240),$G240&gt;=60),MIN(INDEX($E$40:$E240,202-60):$E240),"")</f>
        <v>4531</v>
      </c>
      <c r="O240" s="53" t="n">
        <f aca="false">IF(OR(NOT(ISNUMBER($C240)),NOT(ISNUMBER($M240)),$M240=0),"",$C240/$M240-1)</f>
        <v>-0.00755572346052136</v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5261</v>
      </c>
      <c r="D241" s="49" t="n">
        <v>5261</v>
      </c>
      <c r="E241" s="49" t="n">
        <v>5243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0.00133231823372659</v>
      </c>
      <c r="I241" s="52" t="n">
        <f aca="false">IF(AND(ISNUMBER($G241),$G241&gt;=MA_SHORT),AVERAGE(INDEX($C$5:$C241,238-MA_SHORT):$C241),"")</f>
        <v>5163.1</v>
      </c>
      <c r="J241" s="52" t="n">
        <f aca="false">IF(AND(ISNUMBER($G241),$G241&gt;=MA_MED),AVERAGE(INDEX($C$5:$C241,238-MA_MED):$C241),"")</f>
        <v>5033.44</v>
      </c>
      <c r="K241" s="52" t="n">
        <f aca="false">IF(AND(ISNUMBER($G241),$G241&gt;=MA_LONG2),AVERAGE(INDEX($C$5:$C241,238-MA_LONG2):$C241),"")</f>
        <v>4093.985</v>
      </c>
      <c r="L241" s="53" t="n">
        <f aca="false">IF(AND(ISNUMBER($G241),$G241&gt;=21),STDEV(INDEX($H$181:$H241,62-20):$H241)*SQRT(245),"")</f>
        <v>0.143257971880323</v>
      </c>
      <c r="M241" s="52" t="n">
        <f aca="false">IF(AND(ISNUMBER($G241),$G241&gt;=60),MAX(INDEX($D$41:$D241,202-60):$D241),"")</f>
        <v>5294</v>
      </c>
      <c r="N241" s="52" t="n">
        <f aca="false">IF(AND(ISNUMBER($G241),$G241&gt;=60),MIN(INDEX($E$41:$E241,202-60):$E241),"")</f>
        <v>4531</v>
      </c>
      <c r="O241" s="53" t="n">
        <f aca="false">IF(OR(NOT(ISNUMBER($C241)),NOT(ISNUMBER($M241)),$M241=0),"",$C241/$M241-1)</f>
        <v>-0.00623347185493006</v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5445</v>
      </c>
      <c r="D242" s="49" t="n">
        <v>5461</v>
      </c>
      <c r="E242" s="49" t="n">
        <v>5422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0.0349743394791864</v>
      </c>
      <c r="I242" s="52" t="n">
        <f aca="false">IF(AND(ISNUMBER($G242),$G242&gt;=MA_SHORT),AVERAGE(INDEX($C$5:$C242,239-MA_SHORT):$C242),"")</f>
        <v>5182.3</v>
      </c>
      <c r="J242" s="52" t="n">
        <f aca="false">IF(AND(ISNUMBER($G242),$G242&gt;=MA_MED),AVERAGE(INDEX($C$5:$C242,239-MA_MED):$C242),"")</f>
        <v>5046.9</v>
      </c>
      <c r="K242" s="52" t="n">
        <f aca="false">IF(AND(ISNUMBER($G242),$G242&gt;=MA_LONG2),AVERAGE(INDEX($C$5:$C242,239-MA_LONG2):$C242),"")</f>
        <v>4105.305</v>
      </c>
      <c r="L242" s="53" t="n">
        <f aca="false">IF(AND(ISNUMBER($G242),$G242&gt;=21),STDEV(INDEX($H$182:$H242,62-20):$H242)*SQRT(245),"")</f>
        <v>0.177871828984276</v>
      </c>
      <c r="M242" s="52" t="n">
        <f aca="false">IF(AND(ISNUMBER($G242),$G242&gt;=60),MAX(INDEX($D$42:$D242,202-60):$D242),"")</f>
        <v>5461</v>
      </c>
      <c r="N242" s="52" t="n">
        <f aca="false">IF(AND(ISNUMBER($G242),$G242&gt;=60),MIN(INDEX($E$42:$E242,202-60):$E242),"")</f>
        <v>4531</v>
      </c>
      <c r="O242" s="53" t="n">
        <f aca="false">IF(OR(NOT(ISNUMBER($C242)),NOT(ISNUMBER($M242)),$M242=0),"",$C242/$M242-1)</f>
        <v>-0.00292986632484893</v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5469</v>
      </c>
      <c r="D243" s="49" t="n">
        <v>5494</v>
      </c>
      <c r="E243" s="49" t="n">
        <v>5467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0.00440771349862268</v>
      </c>
      <c r="I243" s="52" t="n">
        <f aca="false">IF(AND(ISNUMBER($G243),$G243&gt;=MA_SHORT),AVERAGE(INDEX($C$5:$C243,240-MA_SHORT):$C243),"")</f>
        <v>5202.3</v>
      </c>
      <c r="J243" s="52" t="n">
        <f aca="false">IF(AND(ISNUMBER($G243),$G243&gt;=MA_MED),AVERAGE(INDEX($C$5:$C243,240-MA_MED):$C243),"")</f>
        <v>5059.16</v>
      </c>
      <c r="K243" s="52" t="n">
        <f aca="false">IF(AND(ISNUMBER($G243),$G243&gt;=MA_LONG2),AVERAGE(INDEX($C$5:$C243,240-MA_LONG2):$C243),"")</f>
        <v>4116.695</v>
      </c>
      <c r="L243" s="53" t="n">
        <f aca="false">IF(AND(ISNUMBER($G243),$G243&gt;=21),STDEV(INDEX($H$183:$H243,62-20):$H243)*SQRT(245),"")</f>
        <v>0.177707657418512</v>
      </c>
      <c r="M243" s="52" t="n">
        <f aca="false">IF(AND(ISNUMBER($G243),$G243&gt;=60),MAX(INDEX($D$43:$D243,202-60):$D243),"")</f>
        <v>5494</v>
      </c>
      <c r="N243" s="52" t="n">
        <f aca="false">IF(AND(ISNUMBER($G243),$G243&gt;=60),MIN(INDEX($E$43:$E243,202-60):$E243),"")</f>
        <v>4531</v>
      </c>
      <c r="O243" s="53" t="n">
        <f aca="false">IF(OR(NOT(ISNUMBER($C243)),NOT(ISNUMBER($M243)),$M243=0),"",$C243/$M243-1)</f>
        <v>-0.0045504186385148</v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5412</v>
      </c>
      <c r="D244" s="49" t="n">
        <v>5437</v>
      </c>
      <c r="E244" s="49" t="n">
        <v>5397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-0.0104223806911684</v>
      </c>
      <c r="I244" s="52" t="n">
        <f aca="false">IF(AND(ISNUMBER($G244),$G244&gt;=MA_SHORT),AVERAGE(INDEX($C$5:$C244,241-MA_SHORT):$C244),"")</f>
        <v>5218.15</v>
      </c>
      <c r="J244" s="52" t="n">
        <f aca="false">IF(AND(ISNUMBER($G244),$G244&gt;=MA_MED),AVERAGE(INDEX($C$5:$C244,241-MA_MED):$C244),"")</f>
        <v>5071.64</v>
      </c>
      <c r="K244" s="52" t="n">
        <f aca="false">IF(AND(ISNUMBER($G244),$G244&gt;=MA_LONG2),AVERAGE(INDEX($C$5:$C244,241-MA_LONG2):$C244),"")</f>
        <v>4127.765</v>
      </c>
      <c r="L244" s="53" t="n">
        <f aca="false">IF(AND(ISNUMBER($G244),$G244&gt;=21),STDEV(INDEX($H$184:$H244,62-20):$H244)*SQRT(245),"")</f>
        <v>0.184488206863806</v>
      </c>
      <c r="M244" s="52" t="n">
        <f aca="false">IF(AND(ISNUMBER($G244),$G244&gt;=60),MAX(INDEX($D$44:$D244,202-60):$D244),"")</f>
        <v>5494</v>
      </c>
      <c r="N244" s="52" t="n">
        <f aca="false">IF(AND(ISNUMBER($G244),$G244&gt;=60),MIN(INDEX($E$44:$E244,202-60):$E244),"")</f>
        <v>4531</v>
      </c>
      <c r="O244" s="53" t="n">
        <f aca="false">IF(OR(NOT(ISNUMBER($C244)),NOT(ISNUMBER($M244)),$M244=0),"",$C244/$M244-1)</f>
        <v>-0.0149253731343284</v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5432</v>
      </c>
      <c r="D245" s="49" t="n">
        <v>5435</v>
      </c>
      <c r="E245" s="49" t="n">
        <v>5421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0.00369549150036952</v>
      </c>
      <c r="I245" s="52" t="n">
        <f aca="false">IF(AND(ISNUMBER($G245),$G245&gt;=MA_SHORT),AVERAGE(INDEX($C$5:$C245,242-MA_SHORT):$C245),"")</f>
        <v>5232.35</v>
      </c>
      <c r="J245" s="52" t="n">
        <f aca="false">IF(AND(ISNUMBER($G245),$G245&gt;=MA_MED),AVERAGE(INDEX($C$5:$C245,242-MA_MED):$C245),"")</f>
        <v>5082.8</v>
      </c>
      <c r="K245" s="52" t="n">
        <f aca="false">IF(AND(ISNUMBER($G245),$G245&gt;=MA_LONG2),AVERAGE(INDEX($C$5:$C245,242-MA_LONG2):$C245),"")</f>
        <v>4139.38</v>
      </c>
      <c r="L245" s="53" t="n">
        <f aca="false">IF(AND(ISNUMBER($G245),$G245&gt;=21),STDEV(INDEX($H$185:$H245,62-20):$H245)*SQRT(245),"")</f>
        <v>0.182542571808869</v>
      </c>
      <c r="M245" s="52" t="n">
        <f aca="false">IF(AND(ISNUMBER($G245),$G245&gt;=60),MAX(INDEX($D$45:$D245,202-60):$D245),"")</f>
        <v>5494</v>
      </c>
      <c r="N245" s="52" t="n">
        <f aca="false">IF(AND(ISNUMBER($G245),$G245&gt;=60),MIN(INDEX($E$45:$E245,202-60):$E245),"")</f>
        <v>4531</v>
      </c>
      <c r="O245" s="53" t="n">
        <f aca="false">IF(OR(NOT(ISNUMBER($C245)),NOT(ISNUMBER($M245)),$M245=0),"",$C245/$M245-1)</f>
        <v>-0.0112850382235166</v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5492</v>
      </c>
      <c r="D246" s="49" t="n">
        <v>5521</v>
      </c>
      <c r="E246" s="49" t="n">
        <v>5443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0.0110456553755522</v>
      </c>
      <c r="I246" s="52" t="n">
        <f aca="false">IF(AND(ISNUMBER($G246),$G246&gt;=MA_SHORT),AVERAGE(INDEX($C$5:$C246,243-MA_SHORT):$C246),"")</f>
        <v>5250.1</v>
      </c>
      <c r="J246" s="52" t="n">
        <f aca="false">IF(AND(ISNUMBER($G246),$G246&gt;=MA_MED),AVERAGE(INDEX($C$5:$C246,243-MA_MED):$C246),"")</f>
        <v>5095.2</v>
      </c>
      <c r="K246" s="52" t="n">
        <f aca="false">IF(AND(ISNUMBER($G246),$G246&gt;=MA_LONG2),AVERAGE(INDEX($C$5:$C246,243-MA_LONG2):$C246),"")</f>
        <v>4151.665</v>
      </c>
      <c r="L246" s="53" t="n">
        <f aca="false">IF(AND(ISNUMBER($G246),$G246&gt;=21),STDEV(INDEX($H$186:$H246,62-20):$H246)*SQRT(245),"")</f>
        <v>0.183815952197358</v>
      </c>
      <c r="M246" s="52" t="n">
        <f aca="false">IF(AND(ISNUMBER($G246),$G246&gt;=60),MAX(INDEX($D$46:$D246,202-60):$D246),"")</f>
        <v>5521</v>
      </c>
      <c r="N246" s="52" t="n">
        <f aca="false">IF(AND(ISNUMBER($G246),$G246&gt;=60),MIN(INDEX($E$46:$E246,202-60):$E246),"")</f>
        <v>4565</v>
      </c>
      <c r="O246" s="53" t="n">
        <f aca="false">IF(OR(NOT(ISNUMBER($C246)),NOT(ISNUMBER($M246)),$M246=0),"",$C246/$M246-1)</f>
        <v>-0.00525267161746057</v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5449</v>
      </c>
      <c r="D247" s="49" t="n">
        <v>5482</v>
      </c>
      <c r="E247" s="49" t="n">
        <v>5441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-0.00782957028404951</v>
      </c>
      <c r="I247" s="52" t="n">
        <f aca="false">IF(AND(ISNUMBER($G247),$G247&gt;=MA_SHORT),AVERAGE(INDEX($C$5:$C247,244-MA_SHORT):$C247),"")</f>
        <v>5262.9</v>
      </c>
      <c r="J247" s="52" t="n">
        <f aca="false">IF(AND(ISNUMBER($G247),$G247&gt;=MA_MED),AVERAGE(INDEX($C$5:$C247,244-MA_MED):$C247),"")</f>
        <v>5105.94</v>
      </c>
      <c r="K247" s="52" t="n">
        <f aca="false">IF(AND(ISNUMBER($G247),$G247&gt;=MA_LONG2),AVERAGE(INDEX($C$5:$C247,244-MA_LONG2):$C247),"")</f>
        <v>4163.49</v>
      </c>
      <c r="L247" s="53" t="n">
        <f aca="false">IF(AND(ISNUMBER($G247),$G247&gt;=21),STDEV(INDEX($H$187:$H247,62-20):$H247)*SQRT(245),"")</f>
        <v>0.185656346309899</v>
      </c>
      <c r="M247" s="52" t="n">
        <f aca="false">IF(AND(ISNUMBER($G247),$G247&gt;=60),MAX(INDEX($D$47:$D247,202-60):$D247),"")</f>
        <v>5521</v>
      </c>
      <c r="N247" s="52" t="n">
        <f aca="false">IF(AND(ISNUMBER($G247),$G247&gt;=60),MIN(INDEX($E$47:$E247,202-60):$E247),"")</f>
        <v>4625</v>
      </c>
      <c r="O247" s="53" t="n">
        <f aca="false">IF(OR(NOT(ISNUMBER($C247)),NOT(ISNUMBER($M247)),$M247=0),"",$C247/$M247-1)</f>
        <v>-0.0130411157399022</v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5397</v>
      </c>
      <c r="D248" s="49" t="n">
        <v>5400</v>
      </c>
      <c r="E248" s="49" t="n">
        <v>5396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-0.00954303541934298</v>
      </c>
      <c r="I248" s="52" t="n">
        <f aca="false">IF(AND(ISNUMBER($G248),$G248&gt;=MA_SHORT),AVERAGE(INDEX($C$5:$C248,245-MA_SHORT):$C248),"")</f>
        <v>5270.85</v>
      </c>
      <c r="J248" s="52" t="n">
        <f aca="false">IF(AND(ISNUMBER($G248),$G248&gt;=MA_MED),AVERAGE(INDEX($C$5:$C248,245-MA_MED):$C248),"")</f>
        <v>5116.62</v>
      </c>
      <c r="K248" s="52" t="n">
        <f aca="false">IF(AND(ISNUMBER($G248),$G248&gt;=MA_LONG2),AVERAGE(INDEX($C$5:$C248,245-MA_LONG2):$C248),"")</f>
        <v>4175.025</v>
      </c>
      <c r="L248" s="53" t="n">
        <f aca="false">IF(AND(ISNUMBER($G248),$G248&gt;=21),STDEV(INDEX($H$188:$H248,62-20):$H248)*SQRT(245),"")</f>
        <v>0.18874029011194</v>
      </c>
      <c r="M248" s="52" t="n">
        <f aca="false">IF(AND(ISNUMBER($G248),$G248&gt;=60),MAX(INDEX($D$48:$D248,202-60):$D248),"")</f>
        <v>5521</v>
      </c>
      <c r="N248" s="52" t="n">
        <f aca="false">IF(AND(ISNUMBER($G248),$G248&gt;=60),MIN(INDEX($E$48:$E248,202-60):$E248),"")</f>
        <v>4745</v>
      </c>
      <c r="O248" s="53" t="n">
        <f aca="false">IF(OR(NOT(ISNUMBER($C248)),NOT(ISNUMBER($M248)),$M248=0),"",$C248/$M248-1)</f>
        <v>-0.0224596993298316</v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5444</v>
      </c>
      <c r="D249" s="49" t="n">
        <v>5460</v>
      </c>
      <c r="E249" s="49" t="n">
        <v>5408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0.00870854178247171</v>
      </c>
      <c r="I249" s="52" t="n">
        <f aca="false">IF(AND(ISNUMBER($G249),$G249&gt;=MA_SHORT),AVERAGE(INDEX($C$5:$C249,246-MA_SHORT):$C249),"")</f>
        <v>5279.05</v>
      </c>
      <c r="J249" s="52" t="n">
        <f aca="false">IF(AND(ISNUMBER($G249),$G249&gt;=MA_MED),AVERAGE(INDEX($C$5:$C249,246-MA_MED):$C249),"")</f>
        <v>5128.18</v>
      </c>
      <c r="K249" s="52" t="n">
        <f aca="false">IF(AND(ISNUMBER($G249),$G249&gt;=MA_LONG2),AVERAGE(INDEX($C$5:$C249,246-MA_LONG2):$C249),"")</f>
        <v>4186.875</v>
      </c>
      <c r="L249" s="53" t="n">
        <f aca="false">IF(AND(ISNUMBER($G249),$G249&gt;=21),STDEV(INDEX($H$189:$H249,62-20):$H249)*SQRT(245),"")</f>
        <v>0.189059798098047</v>
      </c>
      <c r="M249" s="52" t="n">
        <f aca="false">IF(AND(ISNUMBER($G249),$G249&gt;=60),MAX(INDEX($D$49:$D249,202-60):$D249),"")</f>
        <v>5521</v>
      </c>
      <c r="N249" s="52" t="n">
        <f aca="false">IF(AND(ISNUMBER($G249),$G249&gt;=60),MIN(INDEX($E$49:$E249,202-60):$E249),"")</f>
        <v>4762</v>
      </c>
      <c r="O249" s="53" t="n">
        <f aca="false">IF(OR(NOT(ISNUMBER($C249)),NOT(ISNUMBER($M249)),$M249=0),"",$C249/$M249-1)</f>
        <v>-0.0139467487773954</v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5429</v>
      </c>
      <c r="D250" s="49" t="n">
        <v>5467</v>
      </c>
      <c r="E250" s="49" t="n">
        <v>5411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-0.00275532696546654</v>
      </c>
      <c r="I250" s="52" t="n">
        <f aca="false">IF(AND(ISNUMBER($G250),$G250&gt;=MA_SHORT),AVERAGE(INDEX($C$5:$C250,247-MA_SHORT):$C250),"")</f>
        <v>5288.3</v>
      </c>
      <c r="J250" s="52" t="n">
        <f aca="false">IF(AND(ISNUMBER($G250),$G250&gt;=MA_MED),AVERAGE(INDEX($C$5:$C250,247-MA_MED):$C250),"")</f>
        <v>5138.04</v>
      </c>
      <c r="K250" s="52" t="n">
        <f aca="false">IF(AND(ISNUMBER($G250),$G250&gt;=MA_LONG2),AVERAGE(INDEX($C$5:$C250,247-MA_LONG2):$C250),"")</f>
        <v>4198.62</v>
      </c>
      <c r="L250" s="53" t="n">
        <f aca="false">IF(AND(ISNUMBER($G250),$G250&gt;=21),STDEV(INDEX($H$190:$H250,62-20):$H250)*SQRT(245),"")</f>
        <v>0.18725340825965</v>
      </c>
      <c r="M250" s="52" t="n">
        <f aca="false">IF(AND(ISNUMBER($G250),$G250&gt;=60),MAX(INDEX($D$50:$D250,202-60):$D250),"")</f>
        <v>5521</v>
      </c>
      <c r="N250" s="52" t="n">
        <f aca="false">IF(AND(ISNUMBER($G250),$G250&gt;=60),MIN(INDEX($E$50:$E250,202-60):$E250),"")</f>
        <v>4762</v>
      </c>
      <c r="O250" s="53" t="n">
        <f aca="false">IF(OR(NOT(ISNUMBER($C250)),NOT(ISNUMBER($M250)),$M250=0),"",$C250/$M250-1)</f>
        <v>-0.0166636478898751</v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5344</v>
      </c>
      <c r="D251" s="49" t="n">
        <v>5364</v>
      </c>
      <c r="E251" s="49" t="n">
        <v>5295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-0.0156566586848407</v>
      </c>
      <c r="I251" s="52" t="n">
        <f aca="false">IF(AND(ISNUMBER($G251),$G251&gt;=MA_SHORT),AVERAGE(INDEX($C$5:$C251,248-MA_SHORT):$C251),"")</f>
        <v>5297.15</v>
      </c>
      <c r="J251" s="52" t="n">
        <f aca="false">IF(AND(ISNUMBER($G251),$G251&gt;=MA_MED),AVERAGE(INDEX($C$5:$C251,248-MA_MED):$C251),"")</f>
        <v>5147.66</v>
      </c>
      <c r="K251" s="52" t="n">
        <f aca="false">IF(AND(ISNUMBER($G251),$G251&gt;=MA_LONG2),AVERAGE(INDEX($C$5:$C251,248-MA_LONG2):$C251),"")</f>
        <v>4209.935</v>
      </c>
      <c r="L251" s="53" t="n">
        <f aca="false">IF(AND(ISNUMBER($G251),$G251&gt;=21),STDEV(INDEX($H$191:$H251,62-20):$H251)*SQRT(245),"")</f>
        <v>0.188385813188486</v>
      </c>
      <c r="M251" s="52" t="n">
        <f aca="false">IF(AND(ISNUMBER($G251),$G251&gt;=60),MAX(INDEX($D$51:$D251,202-60):$D251),"")</f>
        <v>5521</v>
      </c>
      <c r="N251" s="52" t="n">
        <f aca="false">IF(AND(ISNUMBER($G251),$G251&gt;=60),MIN(INDEX($E$51:$E251,202-60):$E251),"")</f>
        <v>4763</v>
      </c>
      <c r="O251" s="53" t="n">
        <f aca="false">IF(OR(NOT(ISNUMBER($C251)),NOT(ISNUMBER($M251)),$M251=0),"",$C251/$M251-1)</f>
        <v>-0.0320594095272596</v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5306</v>
      </c>
      <c r="D252" s="49" t="n">
        <v>5329</v>
      </c>
      <c r="E252" s="49" t="n">
        <v>5283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-0.00711077844311381</v>
      </c>
      <c r="I252" s="52" t="n">
        <f aca="false">IF(AND(ISNUMBER($G252),$G252&gt;=MA_SHORT),AVERAGE(INDEX($C$5:$C252,249-MA_SHORT):$C252),"")</f>
        <v>5306.65</v>
      </c>
      <c r="J252" s="52" t="n">
        <f aca="false">IF(AND(ISNUMBER($G252),$G252&gt;=MA_MED),AVERAGE(INDEX($C$5:$C252,249-MA_MED):$C252),"")</f>
        <v>5156.34</v>
      </c>
      <c r="K252" s="52" t="n">
        <f aca="false">IF(AND(ISNUMBER($G252),$G252&gt;=MA_LONG2),AVERAGE(INDEX($C$5:$C252,249-MA_LONG2):$C252),"")</f>
        <v>4221.185</v>
      </c>
      <c r="L252" s="53" t="n">
        <f aca="false">IF(AND(ISNUMBER($G252),$G252&gt;=21),STDEV(INDEX($H$192:$H252,62-20):$H252)*SQRT(245),"")</f>
        <v>0.186427574449068</v>
      </c>
      <c r="M252" s="52" t="n">
        <f aca="false">IF(AND(ISNUMBER($G252),$G252&gt;=60),MAX(INDEX($D$52:$D252,202-60):$D252),"")</f>
        <v>5521</v>
      </c>
      <c r="N252" s="52" t="n">
        <f aca="false">IF(AND(ISNUMBER($G252),$G252&gt;=60),MIN(INDEX($E$52:$E252,202-60):$E252),"")</f>
        <v>4787</v>
      </c>
      <c r="O252" s="53" t="n">
        <f aca="false">IF(OR(NOT(ISNUMBER($C252)),NOT(ISNUMBER($M252)),$M252=0),"",$C252/$M252-1)</f>
        <v>-0.038942220612208</v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5383</v>
      </c>
      <c r="D253" s="49" t="n">
        <v>5420</v>
      </c>
      <c r="E253" s="49" t="n">
        <v>5356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0.0145118733509235</v>
      </c>
      <c r="I253" s="52" t="n">
        <f aca="false">IF(AND(ISNUMBER($G253),$G253&gt;=MA_SHORT),AVERAGE(INDEX($C$5:$C253,250-MA_SHORT):$C253),"")</f>
        <v>5320.3</v>
      </c>
      <c r="J253" s="52" t="n">
        <f aca="false">IF(AND(ISNUMBER($G253),$G253&gt;=MA_MED),AVERAGE(INDEX($C$5:$C253,250-MA_MED):$C253),"")</f>
        <v>5165.7</v>
      </c>
      <c r="K253" s="52" t="n">
        <f aca="false">IF(AND(ISNUMBER($G253),$G253&gt;=MA_LONG2),AVERAGE(INDEX($C$5:$C253,250-MA_LONG2):$C253),"")</f>
        <v>4232.845</v>
      </c>
      <c r="L253" s="53" t="n">
        <f aca="false">IF(AND(ISNUMBER($G253),$G253&gt;=21),STDEV(INDEX($H$193:$H253,62-20):$H253)*SQRT(245),"")</f>
        <v>0.191126215605585</v>
      </c>
      <c r="M253" s="52" t="n">
        <f aca="false">IF(AND(ISNUMBER($G253),$G253&gt;=60),MAX(INDEX($D$53:$D253,202-60):$D253),"")</f>
        <v>5521</v>
      </c>
      <c r="N253" s="52" t="n">
        <f aca="false">IF(AND(ISNUMBER($G253),$G253&gt;=60),MIN(INDEX($E$53:$E253,202-60):$E253),"")</f>
        <v>4787</v>
      </c>
      <c r="O253" s="53" t="n">
        <f aca="false">IF(OR(NOT(ISNUMBER($C253)),NOT(ISNUMBER($M253)),$M253=0),"",$C253/$M253-1)</f>
        <v>-0.0249954718348125</v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5369</v>
      </c>
      <c r="D254" s="49" t="n">
        <v>5386</v>
      </c>
      <c r="E254" s="49" t="n">
        <v>5365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-0.00260078023407018</v>
      </c>
      <c r="I254" s="52" t="n">
        <f aca="false">IF(AND(ISNUMBER($G254),$G254&gt;=MA_SHORT),AVERAGE(INDEX($C$5:$C254,251-MA_SHORT):$C254),"")</f>
        <v>5329.95</v>
      </c>
      <c r="J254" s="52" t="n">
        <f aca="false">IF(AND(ISNUMBER($G254),$G254&gt;=MA_MED),AVERAGE(INDEX($C$5:$C254,251-MA_MED):$C254),"")</f>
        <v>5175.16</v>
      </c>
      <c r="K254" s="52" t="n">
        <f aca="false">IF(AND(ISNUMBER($G254),$G254&gt;=MA_LONG2),AVERAGE(INDEX($C$5:$C254,251-MA_LONG2):$C254),"")</f>
        <v>4244.135</v>
      </c>
      <c r="L254" s="53" t="n">
        <f aca="false">IF(AND(ISNUMBER($G254),$G254&gt;=21),STDEV(INDEX($H$194:$H254,62-20):$H254)*SQRT(245),"")</f>
        <v>0.188098324046335</v>
      </c>
      <c r="M254" s="52" t="n">
        <f aca="false">IF(AND(ISNUMBER($G254),$G254&gt;=60),MAX(INDEX($D$54:$D254,202-60):$D254),"")</f>
        <v>5521</v>
      </c>
      <c r="N254" s="52" t="n">
        <f aca="false">IF(AND(ISNUMBER($G254),$G254&gt;=60),MIN(INDEX($E$54:$E254,202-60):$E254),"")</f>
        <v>4802</v>
      </c>
      <c r="O254" s="53" t="n">
        <f aca="false">IF(OR(NOT(ISNUMBER($C254)),NOT(ISNUMBER($M254)),$M254=0),"",$C254/$M254-1)</f>
        <v>-0.0275312443397935</v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5251</v>
      </c>
      <c r="D255" s="49" t="n">
        <v>5309</v>
      </c>
      <c r="E255" s="49" t="n">
        <v>5223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-0.021978021978022</v>
      </c>
      <c r="I255" s="52" t="n">
        <f aca="false">IF(AND(ISNUMBER($G255),$G255&gt;=MA_SHORT),AVERAGE(INDEX($C$5:$C255,252-MA_SHORT):$C255),"")</f>
        <v>5337.7</v>
      </c>
      <c r="J255" s="52" t="n">
        <f aca="false">IF(AND(ISNUMBER($G255),$G255&gt;=MA_MED),AVERAGE(INDEX($C$5:$C255,252-MA_MED):$C255),"")</f>
        <v>5182.7</v>
      </c>
      <c r="K255" s="52" t="n">
        <f aca="false">IF(AND(ISNUMBER($G255),$G255&gt;=MA_LONG2),AVERAGE(INDEX($C$5:$C255,252-MA_LONG2):$C255),"")</f>
        <v>4254.73</v>
      </c>
      <c r="L255" s="53" t="n">
        <f aca="false">IF(AND(ISNUMBER($G255),$G255&gt;=21),STDEV(INDEX($H$195:$H255,62-20):$H255)*SQRT(245),"")</f>
        <v>0.197031413815953</v>
      </c>
      <c r="M255" s="52" t="n">
        <f aca="false">IF(AND(ISNUMBER($G255),$G255&gt;=60),MAX(INDEX($D$55:$D255,202-60):$D255),"")</f>
        <v>5521</v>
      </c>
      <c r="N255" s="52" t="n">
        <f aca="false">IF(AND(ISNUMBER($G255),$G255&gt;=60),MIN(INDEX($E$55:$E255,202-60):$E255),"")</f>
        <v>4802</v>
      </c>
      <c r="O255" s="53" t="n">
        <f aca="false">IF(OR(NOT(ISNUMBER($C255)),NOT(ISNUMBER($M255)),$M255=0),"",$C255/$M255-1)</f>
        <v>-0.0489041840246333</v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5248</v>
      </c>
      <c r="D256" s="49" t="n">
        <v>5250</v>
      </c>
      <c r="E256" s="49" t="n">
        <v>5246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-0.000571319748619348</v>
      </c>
      <c r="I256" s="52" t="n">
        <f aca="false">IF(AND(ISNUMBER($G256),$G256&gt;=MA_SHORT),AVERAGE(INDEX($C$5:$C256,253-MA_SHORT):$C256),"")</f>
        <v>5344.95</v>
      </c>
      <c r="J256" s="52" t="n">
        <f aca="false">IF(AND(ISNUMBER($G256),$G256&gt;=MA_MED),AVERAGE(INDEX($C$5:$C256,253-MA_MED):$C256),"")</f>
        <v>5188.92</v>
      </c>
      <c r="K256" s="52" t="n">
        <f aca="false">IF(AND(ISNUMBER($G256),$G256&gt;=MA_LONG2),AVERAGE(INDEX($C$5:$C256,253-MA_LONG2):$C256),"")</f>
        <v>4265.525</v>
      </c>
      <c r="L256" s="53" t="n">
        <f aca="false">IF(AND(ISNUMBER($G256),$G256&gt;=21),STDEV(INDEX($H$196:$H256,62-20):$H256)*SQRT(245),"")</f>
        <v>0.19717447100131</v>
      </c>
      <c r="M256" s="52" t="n">
        <f aca="false">IF(AND(ISNUMBER($G256),$G256&gt;=60),MAX(INDEX($D$56:$D256,202-60):$D256),"")</f>
        <v>5521</v>
      </c>
      <c r="N256" s="52" t="n">
        <f aca="false">IF(AND(ISNUMBER($G256),$G256&gt;=60),MIN(INDEX($E$56:$E256,202-60):$E256),"")</f>
        <v>4802</v>
      </c>
      <c r="O256" s="53" t="n">
        <f aca="false">IF(OR(NOT(ISNUMBER($C256)),NOT(ISNUMBER($M256)),$M256=0),"",$C256/$M256-1)</f>
        <v>-0.0494475638471291</v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5145</v>
      </c>
      <c r="D257" s="49" t="n">
        <v>5162</v>
      </c>
      <c r="E257" s="49" t="n">
        <v>5135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-0.0196265243902439</v>
      </c>
      <c r="I257" s="52" t="n">
        <f aca="false">IF(AND(ISNUMBER($G257),$G257&gt;=MA_SHORT),AVERAGE(INDEX($C$5:$C257,254-MA_SHORT):$C257),"")</f>
        <v>5346.95</v>
      </c>
      <c r="J257" s="52" t="n">
        <f aca="false">IF(AND(ISNUMBER($G257),$G257&gt;=MA_MED),AVERAGE(INDEX($C$5:$C257,254-MA_MED):$C257),"")</f>
        <v>5192.08</v>
      </c>
      <c r="K257" s="52" t="n">
        <f aca="false">IF(AND(ISNUMBER($G257),$G257&gt;=MA_LONG2),AVERAGE(INDEX($C$5:$C257,254-MA_LONG2):$C257),"")</f>
        <v>4275.875</v>
      </c>
      <c r="L257" s="53" t="n">
        <f aca="false">IF(AND(ISNUMBER($G257),$G257&gt;=21),STDEV(INDEX($H$197:$H257,62-20):$H257)*SQRT(245),"")</f>
        <v>0.210587073859699</v>
      </c>
      <c r="M257" s="52" t="n">
        <f aca="false">IF(AND(ISNUMBER($G257),$G257&gt;=60),MAX(INDEX($D$57:$D257,202-60):$D257),"")</f>
        <v>5521</v>
      </c>
      <c r="N257" s="52" t="n">
        <f aca="false">IF(AND(ISNUMBER($G257),$G257&gt;=60),MIN(INDEX($E$57:$E257,202-60):$E257),"")</f>
        <v>4802</v>
      </c>
      <c r="O257" s="53" t="n">
        <f aca="false">IF(OR(NOT(ISNUMBER($C257)),NOT(ISNUMBER($M257)),$M257=0),"",$C257/$M257-1)</f>
        <v>-0.0681036044194893</v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5162</v>
      </c>
      <c r="D258" s="49" t="n">
        <v>5168</v>
      </c>
      <c r="E258" s="49" t="n">
        <v>5159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0.00330417881438283</v>
      </c>
      <c r="I258" s="52" t="n">
        <f aca="false">IF(AND(ISNUMBER($G258),$G258&gt;=MA_SHORT),AVERAGE(INDEX($C$5:$C258,255-MA_SHORT):$C258),"")</f>
        <v>5346.4</v>
      </c>
      <c r="J258" s="52" t="n">
        <f aca="false">IF(AND(ISNUMBER($G258),$G258&gt;=MA_MED),AVERAGE(INDEX($C$5:$C258,255-MA_MED):$C258),"")</f>
        <v>5197.64</v>
      </c>
      <c r="K258" s="52" t="n">
        <f aca="false">IF(AND(ISNUMBER($G258),$G258&gt;=MA_LONG2),AVERAGE(INDEX($C$5:$C258,255-MA_LONG2):$C258),"")</f>
        <v>4286.27</v>
      </c>
      <c r="L258" s="53" t="n">
        <f aca="false">IF(AND(ISNUMBER($G258),$G258&gt;=21),STDEV(INDEX($H$198:$H258,62-20):$H258)*SQRT(245),"")</f>
        <v>0.205567595439464</v>
      </c>
      <c r="M258" s="52" t="n">
        <f aca="false">IF(AND(ISNUMBER($G258),$G258&gt;=60),MAX(INDEX($D$58:$D258,202-60):$D258),"")</f>
        <v>5521</v>
      </c>
      <c r="N258" s="52" t="n">
        <f aca="false">IF(AND(ISNUMBER($G258),$G258&gt;=60),MIN(INDEX($E$58:$E258,202-60):$E258),"")</f>
        <v>4802</v>
      </c>
      <c r="O258" s="53" t="n">
        <f aca="false">IF(OR(NOT(ISNUMBER($C258)),NOT(ISNUMBER($M258)),$M258=0),"",$C258/$M258-1)</f>
        <v>-0.0650244520920124</v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5227</v>
      </c>
      <c r="D259" s="49" t="n">
        <v>5249</v>
      </c>
      <c r="E259" s="49" t="n">
        <v>5215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0.0125920185974429</v>
      </c>
      <c r="I259" s="52" t="n">
        <f aca="false">IF(AND(ISNUMBER($G259),$G259&gt;=MA_SHORT),AVERAGE(INDEX($C$5:$C259,256-MA_SHORT):$C259),"")</f>
        <v>5345.95</v>
      </c>
      <c r="J259" s="52" t="n">
        <f aca="false">IF(AND(ISNUMBER($G259),$G259&gt;=MA_MED),AVERAGE(INDEX($C$5:$C259,256-MA_MED):$C259),"")</f>
        <v>5204.94</v>
      </c>
      <c r="K259" s="52" t="n">
        <f aca="false">IF(AND(ISNUMBER($G259),$G259&gt;=MA_LONG2),AVERAGE(INDEX($C$5:$C259,256-MA_LONG2):$C259),"")</f>
        <v>4297.345</v>
      </c>
      <c r="L259" s="53" t="n">
        <f aca="false">IF(AND(ISNUMBER($G259),$G259&gt;=21),STDEV(INDEX($H$199:$H259,62-20):$H259)*SQRT(245),"")</f>
        <v>0.205888891440879</v>
      </c>
      <c r="M259" s="52" t="n">
        <f aca="false">IF(AND(ISNUMBER($G259),$G259&gt;=60),MAX(INDEX($D$59:$D259,202-60):$D259),"")</f>
        <v>5521</v>
      </c>
      <c r="N259" s="52" t="n">
        <f aca="false">IF(AND(ISNUMBER($G259),$G259&gt;=60),MIN(INDEX($E$59:$E259,202-60):$E259),"")</f>
        <v>4802</v>
      </c>
      <c r="O259" s="53" t="n">
        <f aca="false">IF(OR(NOT(ISNUMBER($C259)),NOT(ISNUMBER($M259)),$M259=0),"",$C259/$M259-1)</f>
        <v>-0.0532512226046006</v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5111</v>
      </c>
      <c r="D260" s="49" t="n">
        <v>5136</v>
      </c>
      <c r="E260" s="49" t="n">
        <v>5107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-0.0221924622154199</v>
      </c>
      <c r="I260" s="52" t="n">
        <f aca="false">IF(AND(ISNUMBER($G260),$G260&gt;=MA_SHORT),AVERAGE(INDEX($C$5:$C260,257-MA_SHORT):$C260),"")</f>
        <v>5338.8</v>
      </c>
      <c r="J260" s="52" t="n">
        <f aca="false">IF(AND(ISNUMBER($G260),$G260&gt;=MA_MED),AVERAGE(INDEX($C$5:$C260,257-MA_MED):$C260),"")</f>
        <v>5209.84</v>
      </c>
      <c r="K260" s="52" t="n">
        <f aca="false">IF(AND(ISNUMBER($G260),$G260&gt;=MA_LONG2),AVERAGE(INDEX($C$5:$C260,257-MA_LONG2):$C260),"")</f>
        <v>4308.03</v>
      </c>
      <c r="L260" s="53" t="n">
        <f aca="false">IF(AND(ISNUMBER($G260),$G260&gt;=21),STDEV(INDEX($H$200:$H260,62-20):$H260)*SQRT(245),"")</f>
        <v>0.219458985691468</v>
      </c>
      <c r="M260" s="52" t="n">
        <f aca="false">IF(AND(ISNUMBER($G260),$G260&gt;=60),MAX(INDEX($D$60:$D260,202-60):$D260),"")</f>
        <v>5521</v>
      </c>
      <c r="N260" s="52" t="n">
        <f aca="false">IF(AND(ISNUMBER($G260),$G260&gt;=60),MIN(INDEX($E$60:$E260,202-60):$E260),"")</f>
        <v>4802</v>
      </c>
      <c r="O260" s="53" t="n">
        <f aca="false">IF(OR(NOT(ISNUMBER($C260)),NOT(ISNUMBER($M260)),$M260=0),"",$C260/$M260-1)</f>
        <v>-0.0742619090744431</v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5145</v>
      </c>
      <c r="D261" s="49" t="n">
        <v>5159</v>
      </c>
      <c r="E261" s="49" t="n">
        <v>5134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0.00665231852866377</v>
      </c>
      <c r="I261" s="52" t="n">
        <f aca="false">IF(AND(ISNUMBER($G261),$G261&gt;=MA_SHORT),AVERAGE(INDEX($C$5:$C261,258-MA_SHORT):$C261),"")</f>
        <v>5333</v>
      </c>
      <c r="J261" s="52" t="n">
        <f aca="false">IF(AND(ISNUMBER($G261),$G261&gt;=MA_MED),AVERAGE(INDEX($C$5:$C261,258-MA_MED):$C261),"")</f>
        <v>5215.04</v>
      </c>
      <c r="K261" s="52" t="n">
        <f aca="false">IF(AND(ISNUMBER($G261),$G261&gt;=MA_LONG2),AVERAGE(INDEX($C$5:$C261,258-MA_LONG2):$C261),"")</f>
        <v>4318.77</v>
      </c>
      <c r="L261" s="53" t="n">
        <f aca="false">IF(AND(ISNUMBER($G261),$G261&gt;=21),STDEV(INDEX($H$201:$H261,62-20):$H261)*SQRT(245),"")</f>
        <v>0.221061412186125</v>
      </c>
      <c r="M261" s="52" t="n">
        <f aca="false">IF(AND(ISNUMBER($G261),$G261&gt;=60),MAX(INDEX($D$61:$D261,202-60):$D261),"")</f>
        <v>5521</v>
      </c>
      <c r="N261" s="52" t="n">
        <f aca="false">IF(AND(ISNUMBER($G261),$G261&gt;=60),MIN(INDEX($E$61:$E261,202-60):$E261),"")</f>
        <v>4802</v>
      </c>
      <c r="O261" s="53" t="n">
        <f aca="false">IF(OR(NOT(ISNUMBER($C261)),NOT(ISNUMBER($M261)),$M261=0),"",$C261/$M261-1)</f>
        <v>-0.0681036044194893</v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5223</v>
      </c>
      <c r="D262" s="49" t="n">
        <v>5227</v>
      </c>
      <c r="E262" s="49" t="n">
        <v>5215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0.0151603498542274</v>
      </c>
      <c r="I262" s="52" t="n">
        <f aca="false">IF(AND(ISNUMBER($G262),$G262&gt;=MA_SHORT),AVERAGE(INDEX($C$5:$C262,259-MA_SHORT):$C262),"")</f>
        <v>5321.9</v>
      </c>
      <c r="J262" s="52" t="n">
        <f aca="false">IF(AND(ISNUMBER($G262),$G262&gt;=MA_MED),AVERAGE(INDEX($C$5:$C262,259-MA_MED):$C262),"")</f>
        <v>5220.3</v>
      </c>
      <c r="K262" s="52" t="n">
        <f aca="false">IF(AND(ISNUMBER($G262),$G262&gt;=MA_LONG2),AVERAGE(INDEX($C$5:$C262,259-MA_LONG2):$C262),"")</f>
        <v>4330.16</v>
      </c>
      <c r="L262" s="53" t="n">
        <f aca="false">IF(AND(ISNUMBER($G262),$G262&gt;=21),STDEV(INDEX($H$202:$H262,62-20):$H262)*SQRT(245),"")</f>
        <v>0.187842297672967</v>
      </c>
      <c r="M262" s="52" t="n">
        <f aca="false">IF(AND(ISNUMBER($G262),$G262&gt;=60),MAX(INDEX($D$62:$D262,202-60):$D262),"")</f>
        <v>5521</v>
      </c>
      <c r="N262" s="52" t="n">
        <f aca="false">IF(AND(ISNUMBER($G262),$G262&gt;=60),MIN(INDEX($E$62:$E262,202-60):$E262),"")</f>
        <v>4802</v>
      </c>
      <c r="O262" s="53" t="n">
        <f aca="false">IF(OR(NOT(ISNUMBER($C262)),NOT(ISNUMBER($M262)),$M262=0),"",$C262/$M262-1)</f>
        <v>-0.0539757290345951</v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5271</v>
      </c>
      <c r="D263" s="49" t="n">
        <v>5310</v>
      </c>
      <c r="E263" s="49" t="n">
        <v>5229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0.00919012062033309</v>
      </c>
      <c r="I263" s="52" t="n">
        <f aca="false">IF(AND(ISNUMBER($G263),$G263&gt;=MA_SHORT),AVERAGE(INDEX($C$5:$C263,260-MA_SHORT):$C263),"")</f>
        <v>5312</v>
      </c>
      <c r="J263" s="52" t="n">
        <f aca="false">IF(AND(ISNUMBER($G263),$G263&gt;=MA_MED),AVERAGE(INDEX($C$5:$C263,260-MA_MED):$C263),"")</f>
        <v>5225.48</v>
      </c>
      <c r="K263" s="52" t="n">
        <f aca="false">IF(AND(ISNUMBER($G263),$G263&gt;=MA_LONG2),AVERAGE(INDEX($C$5:$C263,260-MA_LONG2):$C263),"")</f>
        <v>4341.47</v>
      </c>
      <c r="L263" s="53" t="n">
        <f aca="false">IF(AND(ISNUMBER($G263),$G263&gt;=21),STDEV(INDEX($H$203:$H263,62-20):$H263)*SQRT(245),"")</f>
        <v>0.190673781661694</v>
      </c>
      <c r="M263" s="52" t="n">
        <f aca="false">IF(AND(ISNUMBER($G263),$G263&gt;=60),MAX(INDEX($D$63:$D263,202-60):$D263),"")</f>
        <v>5521</v>
      </c>
      <c r="N263" s="52" t="n">
        <f aca="false">IF(AND(ISNUMBER($G263),$G263&gt;=60),MIN(INDEX($E$63:$E263,202-60):$E263),"")</f>
        <v>4802</v>
      </c>
      <c r="O263" s="53" t="n">
        <f aca="false">IF(OR(NOT(ISNUMBER($C263)),NOT(ISNUMBER($M263)),$M263=0),"",$C263/$M263-1)</f>
        <v>-0.0452816518746604</v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5234</v>
      </c>
      <c r="D264" s="49" t="n">
        <v>5247</v>
      </c>
      <c r="E264" s="49" t="n">
        <v>5232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-0.00701954088408274</v>
      </c>
      <c r="I264" s="52" t="n">
        <f aca="false">IF(AND(ISNUMBER($G264),$G264&gt;=MA_SHORT),AVERAGE(INDEX($C$5:$C264,261-MA_SHORT):$C264),"")</f>
        <v>5303.1</v>
      </c>
      <c r="J264" s="52" t="n">
        <f aca="false">IF(AND(ISNUMBER($G264),$G264&gt;=MA_MED),AVERAGE(INDEX($C$5:$C264,261-MA_MED):$C264),"")</f>
        <v>5228.62</v>
      </c>
      <c r="K264" s="52" t="n">
        <f aca="false">IF(AND(ISNUMBER($G264),$G264&gt;=MA_LONG2),AVERAGE(INDEX($C$5:$C264,261-MA_LONG2):$C264),"")</f>
        <v>4352.985</v>
      </c>
      <c r="L264" s="53" t="n">
        <f aca="false">IF(AND(ISNUMBER($G264),$G264&gt;=21),STDEV(INDEX($H$204:$H264,62-20):$H264)*SQRT(245),"")</f>
        <v>0.189047989330672</v>
      </c>
      <c r="M264" s="52" t="n">
        <f aca="false">IF(AND(ISNUMBER($G264),$G264&gt;=60),MAX(INDEX($D$64:$D264,202-60):$D264),"")</f>
        <v>5521</v>
      </c>
      <c r="N264" s="52" t="n">
        <f aca="false">IF(AND(ISNUMBER($G264),$G264&gt;=60),MIN(INDEX($E$64:$E264,202-60):$E264),"")</f>
        <v>4802</v>
      </c>
      <c r="O264" s="53" t="n">
        <f aca="false">IF(OR(NOT(ISNUMBER($C264)),NOT(ISNUMBER($M264)),$M264=0),"",$C264/$M264-1)</f>
        <v>-0.0519833363521102</v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5269</v>
      </c>
      <c r="D265" s="49" t="n">
        <v>5294</v>
      </c>
      <c r="E265" s="49" t="n">
        <v>5262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0.00668704623614835</v>
      </c>
      <c r="I265" s="52" t="n">
        <f aca="false">IF(AND(ISNUMBER($G265),$G265&gt;=MA_SHORT),AVERAGE(INDEX($C$5:$C265,262-MA_SHORT):$C265),"")</f>
        <v>5294.95</v>
      </c>
      <c r="J265" s="52" t="n">
        <f aca="false">IF(AND(ISNUMBER($G265),$G265&gt;=MA_MED),AVERAGE(INDEX($C$5:$C265,262-MA_MED):$C265),"")</f>
        <v>5231.54</v>
      </c>
      <c r="K265" s="52" t="n">
        <f aca="false">IF(AND(ISNUMBER($G265),$G265&gt;=MA_LONG2),AVERAGE(INDEX($C$5:$C265,262-MA_LONG2):$C265),"")</f>
        <v>4364.4</v>
      </c>
      <c r="L265" s="53" t="n">
        <f aca="false">IF(AND(ISNUMBER($G265),$G265&gt;=21),STDEV(INDEX($H$205:$H265,62-20):$H265)*SQRT(245),"")</f>
        <v>0.190413795245866</v>
      </c>
      <c r="M265" s="52" t="n">
        <f aca="false">IF(AND(ISNUMBER($G265),$G265&gt;=60),MAX(INDEX($D$65:$D265,202-60):$D265),"")</f>
        <v>5521</v>
      </c>
      <c r="N265" s="52" t="n">
        <f aca="false">IF(AND(ISNUMBER($G265),$G265&gt;=60),MIN(INDEX($E$65:$E265,202-60):$E265),"")</f>
        <v>4802</v>
      </c>
      <c r="O265" s="53" t="n">
        <f aca="false">IF(OR(NOT(ISNUMBER($C265)),NOT(ISNUMBER($M265)),$M265=0),"",$C265/$M265-1)</f>
        <v>-0.0456439050896577</v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5295</v>
      </c>
      <c r="D266" s="49" t="n">
        <v>5303</v>
      </c>
      <c r="E266" s="49" t="n">
        <v>5280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0.00493452267982542</v>
      </c>
      <c r="I266" s="52" t="n">
        <f aca="false">IF(AND(ISNUMBER($G266),$G266&gt;=MA_SHORT),AVERAGE(INDEX($C$5:$C266,263-MA_SHORT):$C266),"")</f>
        <v>5285.1</v>
      </c>
      <c r="J266" s="52" t="n">
        <f aca="false">IF(AND(ISNUMBER($G266),$G266&gt;=MA_MED),AVERAGE(INDEX($C$5:$C266,263-MA_MED):$C266),"")</f>
        <v>5233.46</v>
      </c>
      <c r="K266" s="52" t="n">
        <f aca="false">IF(AND(ISNUMBER($G266),$G266&gt;=MA_LONG2),AVERAGE(INDEX($C$5:$C266,263-MA_LONG2):$C266),"")</f>
        <v>4376.165</v>
      </c>
      <c r="L266" s="53" t="n">
        <f aca="false">IF(AND(ISNUMBER($G266),$G266&gt;=21),STDEV(INDEX($H$206:$H266,62-20):$H266)*SQRT(245),"")</f>
        <v>0.186400907303532</v>
      </c>
      <c r="M266" s="52" t="n">
        <f aca="false">IF(AND(ISNUMBER($G266),$G266&gt;=60),MAX(INDEX($D$66:$D266,202-60):$D266),"")</f>
        <v>5521</v>
      </c>
      <c r="N266" s="52" t="n">
        <f aca="false">IF(AND(ISNUMBER($G266),$G266&gt;=60),MIN(INDEX($E$66:$E266,202-60):$E266),"")</f>
        <v>4802</v>
      </c>
      <c r="O266" s="53" t="n">
        <f aca="false">IF(OR(NOT(ISNUMBER($C266)),NOT(ISNUMBER($M266)),$M266=0),"",$C266/$M266-1)</f>
        <v>-0.0409346132946929</v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5348</v>
      </c>
      <c r="D267" s="49" t="n">
        <v>5351</v>
      </c>
      <c r="E267" s="49" t="n">
        <v>5343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0.0100094428706328</v>
      </c>
      <c r="I267" s="52" t="n">
        <f aca="false">IF(AND(ISNUMBER($G267),$G267&gt;=MA_SHORT),AVERAGE(INDEX($C$5:$C267,264-MA_SHORT):$C267),"")</f>
        <v>5280.05</v>
      </c>
      <c r="J267" s="52" t="n">
        <f aca="false">IF(AND(ISNUMBER($G267),$G267&gt;=MA_MED),AVERAGE(INDEX($C$5:$C267,264-MA_MED):$C267),"")</f>
        <v>5237.56</v>
      </c>
      <c r="K267" s="52" t="n">
        <f aca="false">IF(AND(ISNUMBER($G267),$G267&gt;=MA_LONG2),AVERAGE(INDEX($C$5:$C267,264-MA_LONG2):$C267),"")</f>
        <v>4388.34</v>
      </c>
      <c r="L267" s="53" t="n">
        <f aca="false">IF(AND(ISNUMBER($G267),$G267&gt;=21),STDEV(INDEX($H$207:$H267,62-20):$H267)*SQRT(245),"")</f>
        <v>0.189340834210101</v>
      </c>
      <c r="M267" s="52" t="n">
        <f aca="false">IF(AND(ISNUMBER($G267),$G267&gt;=60),MAX(INDEX($D$67:$D267,202-60):$D267),"")</f>
        <v>5521</v>
      </c>
      <c r="N267" s="52" t="n">
        <f aca="false">IF(AND(ISNUMBER($G267),$G267&gt;=60),MIN(INDEX($E$67:$E267,202-60):$E267),"")</f>
        <v>4802</v>
      </c>
      <c r="O267" s="53" t="n">
        <f aca="false">IF(OR(NOT(ISNUMBER($C267)),NOT(ISNUMBER($M267)),$M267=0),"",$C267/$M267-1)</f>
        <v>-0.0313349030972649</v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5450</v>
      </c>
      <c r="D268" s="49" t="n">
        <v>5466</v>
      </c>
      <c r="E268" s="49" t="n">
        <v>5402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0.0190725504861631</v>
      </c>
      <c r="I268" s="52" t="n">
        <f aca="false">IF(AND(ISNUMBER($G268),$G268&gt;=MA_SHORT),AVERAGE(INDEX($C$5:$C268,265-MA_SHORT):$C268),"")</f>
        <v>5282.7</v>
      </c>
      <c r="J268" s="52" t="n">
        <f aca="false">IF(AND(ISNUMBER($G268),$G268&gt;=MA_MED),AVERAGE(INDEX($C$5:$C268,265-MA_MED):$C268),"")</f>
        <v>5246</v>
      </c>
      <c r="K268" s="52" t="n">
        <f aca="false">IF(AND(ISNUMBER($G268),$G268&gt;=MA_LONG2),AVERAGE(INDEX($C$5:$C268,265-MA_LONG2):$C268),"")</f>
        <v>4400.84</v>
      </c>
      <c r="L268" s="53" t="n">
        <f aca="false">IF(AND(ISNUMBER($G268),$G268&gt;=21),STDEV(INDEX($H$208:$H268,62-20):$H268)*SQRT(245),"")</f>
        <v>0.198687719912041</v>
      </c>
      <c r="M268" s="52" t="n">
        <f aca="false">IF(AND(ISNUMBER($G268),$G268&gt;=60),MAX(INDEX($D$68:$D268,202-60):$D268),"")</f>
        <v>5521</v>
      </c>
      <c r="N268" s="52" t="n">
        <f aca="false">IF(AND(ISNUMBER($G268),$G268&gt;=60),MIN(INDEX($E$68:$E268,202-60):$E268),"")</f>
        <v>4802</v>
      </c>
      <c r="O268" s="53" t="n">
        <f aca="false">IF(OR(NOT(ISNUMBER($C268)),NOT(ISNUMBER($M268)),$M268=0),"",$C268/$M268-1)</f>
        <v>-0.0128599891324036</v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5445</v>
      </c>
      <c r="D269" s="49" t="n">
        <v>5455</v>
      </c>
      <c r="E269" s="49" t="n">
        <v>5436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-0.000917431192660523</v>
      </c>
      <c r="I269" s="52" t="n">
        <f aca="false">IF(AND(ISNUMBER($G269),$G269&gt;=MA_SHORT),AVERAGE(INDEX($C$5:$C269,266-MA_SHORT):$C269),"")</f>
        <v>5282.75</v>
      </c>
      <c r="J269" s="52" t="n">
        <f aca="false">IF(AND(ISNUMBER($G269),$G269&gt;=MA_MED),AVERAGE(INDEX($C$5:$C269,266-MA_MED):$C269),"")</f>
        <v>5253.98</v>
      </c>
      <c r="K269" s="52" t="n">
        <f aca="false">IF(AND(ISNUMBER($G269),$G269&gt;=MA_LONG2),AVERAGE(INDEX($C$5:$C269,266-MA_LONG2):$C269),"")</f>
        <v>4413.24</v>
      </c>
      <c r="L269" s="53" t="n">
        <f aca="false">IF(AND(ISNUMBER($G269),$G269&gt;=21),STDEV(INDEX($H$209:$H269,62-20):$H269)*SQRT(245),"")</f>
        <v>0.19644441003189</v>
      </c>
      <c r="M269" s="52" t="n">
        <f aca="false">IF(AND(ISNUMBER($G269),$G269&gt;=60),MAX(INDEX($D$69:$D269,202-60):$D269),"")</f>
        <v>5521</v>
      </c>
      <c r="N269" s="52" t="n">
        <f aca="false">IF(AND(ISNUMBER($G269),$G269&gt;=60),MIN(INDEX($E$69:$E269,202-60):$E269),"")</f>
        <v>4802</v>
      </c>
      <c r="O269" s="53" t="n">
        <f aca="false">IF(OR(NOT(ISNUMBER($C269)),NOT(ISNUMBER($M269)),$M269=0),"",$C269/$M269-1)</f>
        <v>-0.0137656221698967</v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5390</v>
      </c>
      <c r="D270" s="49" t="n">
        <v>5404</v>
      </c>
      <c r="E270" s="49" t="n">
        <v>5378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-0.0101010101010101</v>
      </c>
      <c r="I270" s="52" t="n">
        <f aca="false">IF(AND(ISNUMBER($G270),$G270&gt;=MA_SHORT),AVERAGE(INDEX($C$5:$C270,267-MA_SHORT):$C270),"")</f>
        <v>5280.8</v>
      </c>
      <c r="J270" s="52" t="n">
        <f aca="false">IF(AND(ISNUMBER($G270),$G270&gt;=MA_MED),AVERAGE(INDEX($C$5:$C270,267-MA_MED):$C270),"")</f>
        <v>5259.3</v>
      </c>
      <c r="K270" s="52" t="n">
        <f aca="false">IF(AND(ISNUMBER($G270),$G270&gt;=MA_LONG2),AVERAGE(INDEX($C$5:$C270,267-MA_LONG2):$C270),"")</f>
        <v>4425.1</v>
      </c>
      <c r="L270" s="53" t="n">
        <f aca="false">IF(AND(ISNUMBER($G270),$G270&gt;=21),STDEV(INDEX($H$210:$H270,62-20):$H270)*SQRT(245),"")</f>
        <v>0.199472663170088</v>
      </c>
      <c r="M270" s="52" t="n">
        <f aca="false">IF(AND(ISNUMBER($G270),$G270&gt;=60),MAX(INDEX($D$70:$D270,202-60):$D270),"")</f>
        <v>5521</v>
      </c>
      <c r="N270" s="52" t="n">
        <f aca="false">IF(AND(ISNUMBER($G270),$G270&gt;=60),MIN(INDEX($E$70:$E270,202-60):$E270),"")</f>
        <v>4864</v>
      </c>
      <c r="O270" s="53" t="n">
        <f aca="false">IF(OR(NOT(ISNUMBER($C270)),NOT(ISNUMBER($M270)),$M270=0),"",$C270/$M270-1)</f>
        <v>-0.023727585582322</v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5385</v>
      </c>
      <c r="D271" s="49" t="n">
        <v>5389</v>
      </c>
      <c r="E271" s="49" t="n">
        <v>5343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-0.000927643784786603</v>
      </c>
      <c r="I271" s="52" t="n">
        <f aca="false">IF(AND(ISNUMBER($G271),$G271&gt;=MA_SHORT),AVERAGE(INDEX($C$5:$C271,268-MA_SHORT):$C271),"")</f>
        <v>5282.85</v>
      </c>
      <c r="J271" s="52" t="n">
        <f aca="false">IF(AND(ISNUMBER($G271),$G271&gt;=MA_MED),AVERAGE(INDEX($C$5:$C271,268-MA_MED):$C271),"")</f>
        <v>5264.64</v>
      </c>
      <c r="K271" s="52" t="n">
        <f aca="false">IF(AND(ISNUMBER($G271),$G271&gt;=MA_LONG2),AVERAGE(INDEX($C$5:$C271,268-MA_LONG2):$C271),"")</f>
        <v>4437.05</v>
      </c>
      <c r="L271" s="53" t="n">
        <f aca="false">IF(AND(ISNUMBER($G271),$G271&gt;=21),STDEV(INDEX($H$211:$H271,62-20):$H271)*SQRT(245),"")</f>
        <v>0.191330000742003</v>
      </c>
      <c r="M271" s="52" t="n">
        <f aca="false">IF(AND(ISNUMBER($G271),$G271&gt;=60),MAX(INDEX($D$71:$D271,202-60):$D271),"")</f>
        <v>5521</v>
      </c>
      <c r="N271" s="52" t="n">
        <f aca="false">IF(AND(ISNUMBER($G271),$G271&gt;=60),MIN(INDEX($E$71:$E271,202-60):$E271),"")</f>
        <v>4940</v>
      </c>
      <c r="O271" s="53" t="n">
        <f aca="false">IF(OR(NOT(ISNUMBER($C271)),NOT(ISNUMBER($M271)),$M271=0),"",$C271/$M271-1)</f>
        <v>-0.0246332186198153</v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5380</v>
      </c>
      <c r="D272" s="49" t="n">
        <v>5402</v>
      </c>
      <c r="E272" s="49" t="n">
        <v>5371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-0.00092850510677811</v>
      </c>
      <c r="I272" s="52" t="n">
        <f aca="false">IF(AND(ISNUMBER($G272),$G272&gt;=MA_SHORT),AVERAGE(INDEX($C$5:$C272,269-MA_SHORT):$C272),"")</f>
        <v>5286.55</v>
      </c>
      <c r="J272" s="52" t="n">
        <f aca="false">IF(AND(ISNUMBER($G272),$G272&gt;=MA_MED),AVERAGE(INDEX($C$5:$C272,269-MA_MED):$C272),"")</f>
        <v>5271.02</v>
      </c>
      <c r="K272" s="52" t="n">
        <f aca="false">IF(AND(ISNUMBER($G272),$G272&gt;=MA_LONG2),AVERAGE(INDEX($C$5:$C272,269-MA_LONG2):$C272),"")</f>
        <v>4448.745</v>
      </c>
      <c r="L272" s="53" t="n">
        <f aca="false">IF(AND(ISNUMBER($G272),$G272&gt;=21),STDEV(INDEX($H$212:$H272,62-20):$H272)*SQRT(245),"")</f>
        <v>0.189392050610335</v>
      </c>
      <c r="M272" s="52" t="n">
        <f aca="false">IF(AND(ISNUMBER($G272),$G272&gt;=60),MAX(INDEX($D$72:$D272,202-60):$D272),"")</f>
        <v>5521</v>
      </c>
      <c r="N272" s="52" t="n">
        <f aca="false">IF(AND(ISNUMBER($G272),$G272&gt;=60),MIN(INDEX($E$72:$E272,202-60):$E272),"")</f>
        <v>4992</v>
      </c>
      <c r="O272" s="53" t="n">
        <f aca="false">IF(OR(NOT(ISNUMBER($C272)),NOT(ISNUMBER($M272)),$M272=0),"",$C272/$M272-1)</f>
        <v>-0.0255388516573084</v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5470</v>
      </c>
      <c r="D273" s="49" t="n">
        <v>5476</v>
      </c>
      <c r="E273" s="49" t="n">
        <v>5449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0.016728624535316</v>
      </c>
      <c r="I273" s="52" t="n">
        <f aca="false">IF(AND(ISNUMBER($G273),$G273&gt;=MA_SHORT),AVERAGE(INDEX($C$5:$C273,270-MA_SHORT):$C273),"")</f>
        <v>5290.9</v>
      </c>
      <c r="J273" s="52" t="n">
        <f aca="false">IF(AND(ISNUMBER($G273),$G273&gt;=MA_MED),AVERAGE(INDEX($C$5:$C273,270-MA_MED):$C273),"")</f>
        <v>5279.04</v>
      </c>
      <c r="K273" s="52" t="n">
        <f aca="false">IF(AND(ISNUMBER($G273),$G273&gt;=MA_LONG2),AVERAGE(INDEX($C$5:$C273,270-MA_LONG2):$C273),"")</f>
        <v>4460.855</v>
      </c>
      <c r="L273" s="53" t="n">
        <f aca="false">IF(AND(ISNUMBER($G273),$G273&gt;=21),STDEV(INDEX($H$213:$H273,62-20):$H273)*SQRT(245),"")</f>
        <v>0.191613093480234</v>
      </c>
      <c r="M273" s="52" t="n">
        <f aca="false">IF(AND(ISNUMBER($G273),$G273&gt;=60),MAX(INDEX($D$73:$D273,202-60):$D273),"")</f>
        <v>5521</v>
      </c>
      <c r="N273" s="52" t="n">
        <f aca="false">IF(AND(ISNUMBER($G273),$G273&gt;=60),MIN(INDEX($E$73:$E273,202-60):$E273),"")</f>
        <v>5020</v>
      </c>
      <c r="O273" s="53" t="n">
        <f aca="false">IF(OR(NOT(ISNUMBER($C273)),NOT(ISNUMBER($M273)),$M273=0),"",$C273/$M273-1)</f>
        <v>-0.00923745698243073</v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5584</v>
      </c>
      <c r="D274" s="49" t="n">
        <v>5594</v>
      </c>
      <c r="E274" s="49" t="n">
        <v>5569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0.0208409506398537</v>
      </c>
      <c r="I274" s="52" t="n">
        <f aca="false">IF(AND(ISNUMBER($G274),$G274&gt;=MA_SHORT),AVERAGE(INDEX($C$5:$C274,271-MA_SHORT):$C274),"")</f>
        <v>5301.65</v>
      </c>
      <c r="J274" s="52" t="n">
        <f aca="false">IF(AND(ISNUMBER($G274),$G274&gt;=MA_MED),AVERAGE(INDEX($C$5:$C274,271-MA_MED):$C274),"")</f>
        <v>5288.82</v>
      </c>
      <c r="K274" s="52" t="n">
        <f aca="false">IF(AND(ISNUMBER($G274),$G274&gt;=MA_LONG2),AVERAGE(INDEX($C$5:$C274,271-MA_LONG2):$C274),"")</f>
        <v>4473.535</v>
      </c>
      <c r="L274" s="53" t="n">
        <f aca="false">IF(AND(ISNUMBER($G274),$G274&gt;=21),STDEV(INDEX($H$214:$H274,62-20):$H274)*SQRT(245),"")</f>
        <v>0.203339174595741</v>
      </c>
      <c r="M274" s="52" t="n">
        <f aca="false">IF(AND(ISNUMBER($G274),$G274&gt;=60),MAX(INDEX($D$74:$D274,202-60):$D274),"")</f>
        <v>5594</v>
      </c>
      <c r="N274" s="52" t="n">
        <f aca="false">IF(AND(ISNUMBER($G274),$G274&gt;=60),MIN(INDEX($E$74:$E274,202-60):$E274),"")</f>
        <v>5020</v>
      </c>
      <c r="O274" s="53" t="n">
        <f aca="false">IF(OR(NOT(ISNUMBER($C274)),NOT(ISNUMBER($M274)),$M274=0),"",$C274/$M274-1)</f>
        <v>-0.00178762960314627</v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5597</v>
      </c>
      <c r="D275" s="49" t="n">
        <v>5665</v>
      </c>
      <c r="E275" s="49" t="n">
        <v>5578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0.00232808022922626</v>
      </c>
      <c r="I275" s="52" t="n">
        <f aca="false">IF(AND(ISNUMBER($G275),$G275&gt;=MA_SHORT),AVERAGE(INDEX($C$5:$C275,272-MA_SHORT):$C275),"")</f>
        <v>5318.95</v>
      </c>
      <c r="J275" s="52" t="n">
        <f aca="false">IF(AND(ISNUMBER($G275),$G275&gt;=MA_MED),AVERAGE(INDEX($C$5:$C275,272-MA_MED):$C275),"")</f>
        <v>5297.8</v>
      </c>
      <c r="K275" s="52" t="n">
        <f aca="false">IF(AND(ISNUMBER($G275),$G275&gt;=MA_LONG2),AVERAGE(INDEX($C$5:$C275,272-MA_LONG2):$C275),"")</f>
        <v>4486.235</v>
      </c>
      <c r="L275" s="53" t="n">
        <f aca="false">IF(AND(ISNUMBER($G275),$G275&gt;=21),STDEV(INDEX($H$215:$H275,62-20):$H275)*SQRT(245),"")</f>
        <v>0.183098399215558</v>
      </c>
      <c r="M275" s="52" t="n">
        <f aca="false">IF(AND(ISNUMBER($G275),$G275&gt;=60),MAX(INDEX($D$75:$D275,202-60):$D275),"")</f>
        <v>5665</v>
      </c>
      <c r="N275" s="52" t="n">
        <f aca="false">IF(AND(ISNUMBER($G275),$G275&gt;=60),MIN(INDEX($E$75:$E275,202-60):$E275),"")</f>
        <v>5020</v>
      </c>
      <c r="O275" s="53" t="n">
        <f aca="false">IF(OR(NOT(ISNUMBER($C275)),NOT(ISNUMBER($M275)),$M275=0),"",$C275/$M275-1)</f>
        <v>-0.0120035304501324</v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5588</v>
      </c>
      <c r="D276" s="49" t="n">
        <v>5611</v>
      </c>
      <c r="E276" s="49" t="n">
        <v>5534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-0.00160800428801144</v>
      </c>
      <c r="I276" s="52" t="n">
        <f aca="false">IF(AND(ISNUMBER($G276),$G276&gt;=MA_SHORT),AVERAGE(INDEX($C$5:$C276,273-MA_SHORT):$C276),"")</f>
        <v>5335.95</v>
      </c>
      <c r="J276" s="52" t="n">
        <f aca="false">IF(AND(ISNUMBER($G276),$G276&gt;=MA_MED),AVERAGE(INDEX($C$5:$C276,273-MA_MED):$C276),"")</f>
        <v>5306.82</v>
      </c>
      <c r="K276" s="52" t="n">
        <f aca="false">IF(AND(ISNUMBER($G276),$G276&gt;=MA_LONG2),AVERAGE(INDEX($C$5:$C276,273-MA_LONG2):$C276),"")</f>
        <v>4498.45</v>
      </c>
      <c r="L276" s="53" t="n">
        <f aca="false">IF(AND(ISNUMBER($G276),$G276&gt;=21),STDEV(INDEX($H$216:$H276,62-20):$H276)*SQRT(245),"")</f>
        <v>0.183413855976229</v>
      </c>
      <c r="M276" s="52" t="n">
        <f aca="false">IF(AND(ISNUMBER($G276),$G276&gt;=60),MAX(INDEX($D$76:$D276,202-60):$D276),"")</f>
        <v>5665</v>
      </c>
      <c r="N276" s="52" t="n">
        <f aca="false">IF(AND(ISNUMBER($G276),$G276&gt;=60),MIN(INDEX($E$76:$E276,202-60):$E276),"")</f>
        <v>5020</v>
      </c>
      <c r="O276" s="53" t="n">
        <f aca="false">IF(OR(NOT(ISNUMBER($C276)),NOT(ISNUMBER($M276)),$M276=0),"",$C276/$M276-1)</f>
        <v>-0.0135922330097087</v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5641</v>
      </c>
      <c r="D277" s="49" t="n">
        <v>5643</v>
      </c>
      <c r="E277" s="49" t="n">
        <v>5620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0.00948460987831057</v>
      </c>
      <c r="I277" s="52" t="n">
        <f aca="false">IF(AND(ISNUMBER($G277),$G277&gt;=MA_SHORT),AVERAGE(INDEX($C$5:$C277,274-MA_SHORT):$C277),"")</f>
        <v>5360.75</v>
      </c>
      <c r="J277" s="52" t="n">
        <f aca="false">IF(AND(ISNUMBER($G277),$G277&gt;=MA_MED),AVERAGE(INDEX($C$5:$C277,274-MA_MED):$C277),"")</f>
        <v>5315.78</v>
      </c>
      <c r="K277" s="52" t="n">
        <f aca="false">IF(AND(ISNUMBER($G277),$G277&gt;=MA_LONG2),AVERAGE(INDEX($C$5:$C277,274-MA_LONG2):$C277),"")</f>
        <v>4510.785</v>
      </c>
      <c r="L277" s="53" t="n">
        <f aca="false">IF(AND(ISNUMBER($G277),$G277&gt;=21),STDEV(INDEX($H$217:$H277,62-20):$H277)*SQRT(245),"")</f>
        <v>0.163945179690979</v>
      </c>
      <c r="M277" s="52" t="n">
        <f aca="false">IF(AND(ISNUMBER($G277),$G277&gt;=60),MAX(INDEX($D$77:$D277,202-60):$D277),"")</f>
        <v>5665</v>
      </c>
      <c r="N277" s="52" t="n">
        <f aca="false">IF(AND(ISNUMBER($G277),$G277&gt;=60),MIN(INDEX($E$77:$E277,202-60):$E277),"")</f>
        <v>5020</v>
      </c>
      <c r="O277" s="53" t="n">
        <f aca="false">IF(OR(NOT(ISNUMBER($C277)),NOT(ISNUMBER($M277)),$M277=0),"",$C277/$M277-1)</f>
        <v>-0.00423654015887021</v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5716</v>
      </c>
      <c r="D278" s="49" t="n">
        <v>5727</v>
      </c>
      <c r="E278" s="49" t="n">
        <v>5698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0.0132955149796135</v>
      </c>
      <c r="I278" s="52" t="n">
        <f aca="false">IF(AND(ISNUMBER($G278),$G278&gt;=MA_SHORT),AVERAGE(INDEX($C$5:$C278,275-MA_SHORT):$C278),"")</f>
        <v>5388.45</v>
      </c>
      <c r="J278" s="52" t="n">
        <f aca="false">IF(AND(ISNUMBER($G278),$G278&gt;=MA_MED),AVERAGE(INDEX($C$5:$C278,275-MA_MED):$C278),"")</f>
        <v>5325.34</v>
      </c>
      <c r="K278" s="52" t="n">
        <f aca="false">IF(AND(ISNUMBER($G278),$G278&gt;=MA_LONG2),AVERAGE(INDEX($C$5:$C278,275-MA_LONG2):$C278),"")</f>
        <v>4523.48</v>
      </c>
      <c r="L278" s="53" t="n">
        <f aca="false">IF(AND(ISNUMBER($G278),$G278&gt;=21),STDEV(INDEX($H$218:$H278,62-20):$H278)*SQRT(245),"")</f>
        <v>0.166584458176949</v>
      </c>
      <c r="M278" s="52" t="n">
        <f aca="false">IF(AND(ISNUMBER($G278),$G278&gt;=60),MAX(INDEX($D$78:$D278,202-60):$D278),"")</f>
        <v>5727</v>
      </c>
      <c r="N278" s="52" t="n">
        <f aca="false">IF(AND(ISNUMBER($G278),$G278&gt;=60),MIN(INDEX($E$78:$E278,202-60):$E278),"")</f>
        <v>5020</v>
      </c>
      <c r="O278" s="53" t="n">
        <f aca="false">IF(OR(NOT(ISNUMBER($C278)),NOT(ISNUMBER($M278)),$M278=0),"",$C278/$M278-1)</f>
        <v>-0.00192072638379603</v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5726</v>
      </c>
      <c r="D279" s="49" t="n">
        <v>5730</v>
      </c>
      <c r="E279" s="49" t="n">
        <v>5713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0.00174947515745272</v>
      </c>
      <c r="I279" s="52" t="n">
        <f aca="false">IF(AND(ISNUMBER($G279),$G279&gt;=MA_SHORT),AVERAGE(INDEX($C$5:$C279,276-MA_SHORT):$C279),"")</f>
        <v>5413.4</v>
      </c>
      <c r="J279" s="52" t="n">
        <f aca="false">IF(AND(ISNUMBER($G279),$G279&gt;=MA_MED),AVERAGE(INDEX($C$5:$C279,276-MA_MED):$C279),"")</f>
        <v>5334.26</v>
      </c>
      <c r="K279" s="52" t="n">
        <f aca="false">IF(AND(ISNUMBER($G279),$G279&gt;=MA_LONG2),AVERAGE(INDEX($C$5:$C279,276-MA_LONG2):$C279),"")</f>
        <v>4535.92</v>
      </c>
      <c r="L279" s="53" t="n">
        <f aca="false">IF(AND(ISNUMBER($G279),$G279&gt;=21),STDEV(INDEX($H$219:$H279,62-20):$H279)*SQRT(245),"")</f>
        <v>0.164661695923308</v>
      </c>
      <c r="M279" s="52" t="n">
        <f aca="false">IF(AND(ISNUMBER($G279),$G279&gt;=60),MAX(INDEX($D$79:$D279,202-60):$D279),"")</f>
        <v>5730</v>
      </c>
      <c r="N279" s="52" t="n">
        <f aca="false">IF(AND(ISNUMBER($G279),$G279&gt;=60),MIN(INDEX($E$79:$E279,202-60):$E279),"")</f>
        <v>5030</v>
      </c>
      <c r="O279" s="53" t="n">
        <f aca="false">IF(OR(NOT(ISNUMBER($C279)),NOT(ISNUMBER($M279)),$M279=0),"",$C279/$M279-1)</f>
        <v>-0.000698080279232127</v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5759</v>
      </c>
      <c r="D280" s="49" t="n">
        <v>5775</v>
      </c>
      <c r="E280" s="49" t="n">
        <v>5732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0.00576318546978705</v>
      </c>
      <c r="I280" s="52" t="n">
        <f aca="false">IF(AND(ISNUMBER($G280),$G280&gt;=MA_SHORT),AVERAGE(INDEX($C$5:$C280,277-MA_SHORT):$C280),"")</f>
        <v>5445.8</v>
      </c>
      <c r="J280" s="52" t="n">
        <f aca="false">IF(AND(ISNUMBER($G280),$G280&gt;=MA_MED),AVERAGE(INDEX($C$5:$C280,277-MA_MED):$C280),"")</f>
        <v>5344.56</v>
      </c>
      <c r="K280" s="52" t="n">
        <f aca="false">IF(AND(ISNUMBER($G280),$G280&gt;=MA_LONG2),AVERAGE(INDEX($C$5:$C280,277-MA_LONG2):$C280),"")</f>
        <v>4548.52</v>
      </c>
      <c r="L280" s="53" t="n">
        <f aca="false">IF(AND(ISNUMBER($G280),$G280&gt;=21),STDEV(INDEX($H$220:$H280,62-20):$H280)*SQRT(245),"")</f>
        <v>0.131738054233167</v>
      </c>
      <c r="M280" s="52" t="n">
        <f aca="false">IF(AND(ISNUMBER($G280),$G280&gt;=60),MAX(INDEX($D$80:$D280,202-60):$D280),"")</f>
        <v>5775</v>
      </c>
      <c r="N280" s="52" t="n">
        <f aca="false">IF(AND(ISNUMBER($G280),$G280&gt;=60),MIN(INDEX($E$80:$E280,202-60):$E280),"")</f>
        <v>5030</v>
      </c>
      <c r="O280" s="53" t="n">
        <f aca="false">IF(OR(NOT(ISNUMBER($C280)),NOT(ISNUMBER($M280)),$M280=0),"",$C280/$M280-1)</f>
        <v>-0.00277056277056276</v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5872</v>
      </c>
      <c r="D281" s="49" t="n">
        <v>5886</v>
      </c>
      <c r="E281" s="49" t="n">
        <v>5854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0.0196214620593853</v>
      </c>
      <c r="I281" s="52" t="n">
        <f aca="false">IF(AND(ISNUMBER($G281),$G281&gt;=MA_SHORT),AVERAGE(INDEX($C$5:$C281,278-MA_SHORT):$C281),"")</f>
        <v>5482.15</v>
      </c>
      <c r="J281" s="52" t="n">
        <f aca="false">IF(AND(ISNUMBER($G281),$G281&gt;=MA_MED),AVERAGE(INDEX($C$5:$C281,278-MA_MED):$C281),"")</f>
        <v>5358.66</v>
      </c>
      <c r="K281" s="52" t="n">
        <f aca="false">IF(AND(ISNUMBER($G281),$G281&gt;=MA_LONG2),AVERAGE(INDEX($C$5:$C281,278-MA_LONG2):$C281),"")</f>
        <v>4561.665</v>
      </c>
      <c r="L281" s="53" t="n">
        <f aca="false">IF(AND(ISNUMBER($G281),$G281&gt;=21),STDEV(INDEX($H$221:$H281,62-20):$H281)*SQRT(245),"")</f>
        <v>0.14009613874981</v>
      </c>
      <c r="M281" s="52" t="n">
        <f aca="false">IF(AND(ISNUMBER($G281),$G281&gt;=60),MAX(INDEX($D$81:$D281,202-60):$D281),"")</f>
        <v>5886</v>
      </c>
      <c r="N281" s="52" t="n">
        <f aca="false">IF(AND(ISNUMBER($G281),$G281&gt;=60),MIN(INDEX($E$81:$E281,202-60):$E281),"")</f>
        <v>5030</v>
      </c>
      <c r="O281" s="53" t="n">
        <f aca="false">IF(OR(NOT(ISNUMBER($C281)),NOT(ISNUMBER($M281)),$M281=0),"",$C281/$M281-1)</f>
        <v>-0.00237852531430516</v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5819</v>
      </c>
      <c r="D282" s="49" t="n">
        <v>5867</v>
      </c>
      <c r="E282" s="49" t="n">
        <v>5814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-0.00902588555858308</v>
      </c>
      <c r="I282" s="52" t="n">
        <f aca="false">IF(AND(ISNUMBER($G282),$G282&gt;=MA_SHORT),AVERAGE(INDEX($C$5:$C282,279-MA_SHORT):$C282),"")</f>
        <v>5511.95</v>
      </c>
      <c r="J282" s="52" t="n">
        <f aca="false">IF(AND(ISNUMBER($G282),$G282&gt;=MA_MED),AVERAGE(INDEX($C$5:$C282,279-MA_MED):$C282),"")</f>
        <v>5372.72</v>
      </c>
      <c r="K282" s="52" t="n">
        <f aca="false">IF(AND(ISNUMBER($G282),$G282&gt;=MA_LONG2),AVERAGE(INDEX($C$5:$C282,279-MA_LONG2):$C282),"")</f>
        <v>4574.26</v>
      </c>
      <c r="L282" s="53" t="n">
        <f aca="false">IF(AND(ISNUMBER($G282),$G282&gt;=21),STDEV(INDEX($H$222:$H282,62-20):$H282)*SQRT(245),"")</f>
        <v>0.146614706967135</v>
      </c>
      <c r="M282" s="52" t="n">
        <f aca="false">IF(AND(ISNUMBER($G282),$G282&gt;=60),MAX(INDEX($D$82:$D282,202-60):$D282),"")</f>
        <v>5886</v>
      </c>
      <c r="N282" s="52" t="n">
        <f aca="false">IF(AND(ISNUMBER($G282),$G282&gt;=60),MIN(INDEX($E$82:$E282,202-60):$E282),"")</f>
        <v>5053</v>
      </c>
      <c r="O282" s="53" t="n">
        <f aca="false">IF(OR(NOT(ISNUMBER($C282)),NOT(ISNUMBER($M282)),$M282=0),"",$C282/$M282-1)</f>
        <v>-0.0113829425756031</v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5846</v>
      </c>
      <c r="D283" s="49" t="n">
        <v>5864</v>
      </c>
      <c r="E283" s="49" t="n">
        <v>5837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0.00463997250386661</v>
      </c>
      <c r="I283" s="52" t="n">
        <f aca="false">IF(AND(ISNUMBER($G283),$G283&gt;=MA_SHORT),AVERAGE(INDEX($C$5:$C283,280-MA_SHORT):$C283),"")</f>
        <v>5540.7</v>
      </c>
      <c r="J283" s="52" t="n">
        <f aca="false">IF(AND(ISNUMBER($G283),$G283&gt;=MA_MED),AVERAGE(INDEX($C$5:$C283,280-MA_MED):$C283),"")</f>
        <v>5387.44</v>
      </c>
      <c r="K283" s="52" t="n">
        <f aca="false">IF(AND(ISNUMBER($G283),$G283&gt;=MA_LONG2),AVERAGE(INDEX($C$5:$C283,280-MA_LONG2):$C283),"")</f>
        <v>4587.195</v>
      </c>
      <c r="L283" s="53" t="n">
        <f aca="false">IF(AND(ISNUMBER($G283),$G283&gt;=21),STDEV(INDEX($H$223:$H283,62-20):$H283)*SQRT(245),"")</f>
        <v>0.145985096319539</v>
      </c>
      <c r="M283" s="52" t="n">
        <f aca="false">IF(AND(ISNUMBER($G283),$G283&gt;=60),MAX(INDEX($D$83:$D283,202-60):$D283),"")</f>
        <v>5886</v>
      </c>
      <c r="N283" s="52" t="n">
        <f aca="false">IF(AND(ISNUMBER($G283),$G283&gt;=60),MIN(INDEX($E$83:$E283,202-60):$E283),"")</f>
        <v>5080</v>
      </c>
      <c r="O283" s="53" t="n">
        <f aca="false">IF(OR(NOT(ISNUMBER($C283)),NOT(ISNUMBER($M283)),$M283=0),"",$C283/$M283-1)</f>
        <v>-0.0067957866123004</v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5801</v>
      </c>
      <c r="D284" s="49" t="n">
        <v>5801</v>
      </c>
      <c r="E284" s="49" t="n">
        <v>5791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-0.00769757098871027</v>
      </c>
      <c r="I284" s="52" t="n">
        <f aca="false">IF(AND(ISNUMBER($G284),$G284&gt;=MA_SHORT),AVERAGE(INDEX($C$5:$C284,281-MA_SHORT):$C284),"")</f>
        <v>5569.05</v>
      </c>
      <c r="J284" s="52" t="n">
        <f aca="false">IF(AND(ISNUMBER($G284),$G284&gt;=MA_MED),AVERAGE(INDEX($C$5:$C284,281-MA_MED):$C284),"")</f>
        <v>5399.94</v>
      </c>
      <c r="K284" s="52" t="n">
        <f aca="false">IF(AND(ISNUMBER($G284),$G284&gt;=MA_LONG2),AVERAGE(INDEX($C$5:$C284,281-MA_LONG2):$C284),"")</f>
        <v>4599.835</v>
      </c>
      <c r="L284" s="53" t="n">
        <f aca="false">IF(AND(ISNUMBER($G284),$G284&gt;=21),STDEV(INDEX($H$224:$H284,62-20):$H284)*SQRT(245),"")</f>
        <v>0.146736157450459</v>
      </c>
      <c r="M284" s="52" t="n">
        <f aca="false">IF(AND(ISNUMBER($G284),$G284&gt;=60),MAX(INDEX($D$84:$D284,202-60):$D284),"")</f>
        <v>5886</v>
      </c>
      <c r="N284" s="52" t="n">
        <f aca="false">IF(AND(ISNUMBER($G284),$G284&gt;=60),MIN(INDEX($E$84:$E284,202-60):$E284),"")</f>
        <v>5083</v>
      </c>
      <c r="O284" s="53" t="n">
        <f aca="false">IF(OR(NOT(ISNUMBER($C284)),NOT(ISNUMBER($M284)),$M284=0),"",$C284/$M284-1)</f>
        <v>-0.0144410465511383</v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5829</v>
      </c>
      <c r="D285" s="49" t="n">
        <v>5853</v>
      </c>
      <c r="E285" s="49" t="n">
        <v>5810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0.00482675400792965</v>
      </c>
      <c r="I285" s="52" t="n">
        <f aca="false">IF(AND(ISNUMBER($G285),$G285&gt;=MA_SHORT),AVERAGE(INDEX($C$5:$C285,282-MA_SHORT):$C285),"")</f>
        <v>5597.05</v>
      </c>
      <c r="J285" s="52" t="n">
        <f aca="false">IF(AND(ISNUMBER($G285),$G285&gt;=MA_MED),AVERAGE(INDEX($C$5:$C285,282-MA_MED):$C285),"")</f>
        <v>5414.6</v>
      </c>
      <c r="K285" s="52" t="n">
        <f aca="false">IF(AND(ISNUMBER($G285),$G285&gt;=MA_LONG2),AVERAGE(INDEX($C$5:$C285,282-MA_LONG2):$C285),"")</f>
        <v>4612.995</v>
      </c>
      <c r="L285" s="53" t="n">
        <f aca="false">IF(AND(ISNUMBER($G285),$G285&gt;=21),STDEV(INDEX($H$225:$H285,62-20):$H285)*SQRT(245),"")</f>
        <v>0.146637067084603</v>
      </c>
      <c r="M285" s="52" t="n">
        <f aca="false">IF(AND(ISNUMBER($G285),$G285&gt;=60),MAX(INDEX($D$85:$D285,202-60):$D285),"")</f>
        <v>5886</v>
      </c>
      <c r="N285" s="52" t="n">
        <f aca="false">IF(AND(ISNUMBER($G285),$G285&gt;=60),MIN(INDEX($E$85:$E285,202-60):$E285),"")</f>
        <v>5083</v>
      </c>
      <c r="O285" s="53" t="n">
        <f aca="false">IF(OR(NOT(ISNUMBER($C285)),NOT(ISNUMBER($M285)),$M285=0),"",$C285/$M285-1)</f>
        <v>-0.009683995922528</v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5827</v>
      </c>
      <c r="D286" s="49" t="n">
        <v>5835</v>
      </c>
      <c r="E286" s="49" t="n">
        <v>5822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-0.000343112026076509</v>
      </c>
      <c r="I286" s="52" t="n">
        <f aca="false">IF(AND(ISNUMBER($G286),$G286&gt;=MA_SHORT),AVERAGE(INDEX($C$5:$C286,283-MA_SHORT):$C286),"")</f>
        <v>5623.65</v>
      </c>
      <c r="J286" s="52" t="n">
        <f aca="false">IF(AND(ISNUMBER($G286),$G286&gt;=MA_MED),AVERAGE(INDEX($C$5:$C286,283-MA_MED):$C286),"")</f>
        <v>5429.08</v>
      </c>
      <c r="K286" s="52" t="n">
        <f aca="false">IF(AND(ISNUMBER($G286),$G286&gt;=MA_LONG2),AVERAGE(INDEX($C$5:$C286,283-MA_LONG2):$C286),"")</f>
        <v>4625.83</v>
      </c>
      <c r="L286" s="53" t="n">
        <f aca="false">IF(AND(ISNUMBER($G286),$G286&gt;=21),STDEV(INDEX($H$226:$H286,62-20):$H286)*SQRT(245),"")</f>
        <v>0.147874145642778</v>
      </c>
      <c r="M286" s="52" t="n">
        <f aca="false">IF(AND(ISNUMBER($G286),$G286&gt;=60),MAX(INDEX($D$86:$D286,202-60):$D286),"")</f>
        <v>5886</v>
      </c>
      <c r="N286" s="52" t="n">
        <f aca="false">IF(AND(ISNUMBER($G286),$G286&gt;=60),MIN(INDEX($E$86:$E286,202-60):$E286),"")</f>
        <v>5083</v>
      </c>
      <c r="O286" s="53" t="n">
        <f aca="false">IF(OR(NOT(ISNUMBER($C286)),NOT(ISNUMBER($M286)),$M286=0),"",$C286/$M286-1)</f>
        <v>-0.0100237852531431</v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5866</v>
      </c>
      <c r="D287" s="49" t="n">
        <v>5883</v>
      </c>
      <c r="E287" s="49" t="n">
        <v>5844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0.00669298095074655</v>
      </c>
      <c r="I287" s="52" t="n">
        <f aca="false">IF(AND(ISNUMBER($G287),$G287&gt;=MA_SHORT),AVERAGE(INDEX($C$5:$C287,284-MA_SHORT):$C287),"")</f>
        <v>5649.55</v>
      </c>
      <c r="J287" s="52" t="n">
        <f aca="false">IF(AND(ISNUMBER($G287),$G287&gt;=MA_MED),AVERAGE(INDEX($C$5:$C287,284-MA_MED):$C287),"")</f>
        <v>5444.3</v>
      </c>
      <c r="K287" s="52" t="n">
        <f aca="false">IF(AND(ISNUMBER($G287),$G287&gt;=MA_LONG2),AVERAGE(INDEX($C$5:$C287,284-MA_LONG2):$C287),"")</f>
        <v>4638.955</v>
      </c>
      <c r="L287" s="53" t="n">
        <f aca="false">IF(AND(ISNUMBER($G287),$G287&gt;=21),STDEV(INDEX($H$227:$H287,62-20):$H287)*SQRT(245),"")</f>
        <v>0.146831220351671</v>
      </c>
      <c r="M287" s="52" t="n">
        <f aca="false">IF(AND(ISNUMBER($G287),$G287&gt;=60),MAX(INDEX($D$87:$D287,202-60):$D287),"")</f>
        <v>5886</v>
      </c>
      <c r="N287" s="52" t="n">
        <f aca="false">IF(AND(ISNUMBER($G287),$G287&gt;=60),MIN(INDEX($E$87:$E287,202-60):$E287),"")</f>
        <v>5083</v>
      </c>
      <c r="O287" s="53" t="n">
        <f aca="false">IF(OR(NOT(ISNUMBER($C287)),NOT(ISNUMBER($M287)),$M287=0),"",$C287/$M287-1)</f>
        <v>-0.00339789330615015</v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5978</v>
      </c>
      <c r="D288" s="49" t="n">
        <v>5989</v>
      </c>
      <c r="E288" s="49" t="n">
        <v>5955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0.0190930787589498</v>
      </c>
      <c r="I288" s="52" t="n">
        <f aca="false">IF(AND(ISNUMBER($G288),$G288&gt;=MA_SHORT),AVERAGE(INDEX($C$5:$C288,285-MA_SHORT):$C288),"")</f>
        <v>5675.95</v>
      </c>
      <c r="J288" s="52" t="n">
        <f aca="false">IF(AND(ISNUMBER($G288),$G288&gt;=MA_MED),AVERAGE(INDEX($C$5:$C288,285-MA_MED):$C288),"")</f>
        <v>5460.4</v>
      </c>
      <c r="K288" s="52" t="n">
        <f aca="false">IF(AND(ISNUMBER($G288),$G288&gt;=MA_LONG2),AVERAGE(INDEX($C$5:$C288,285-MA_LONG2):$C288),"")</f>
        <v>4652.56</v>
      </c>
      <c r="L288" s="53" t="n">
        <f aca="false">IF(AND(ISNUMBER($G288),$G288&gt;=21),STDEV(INDEX($H$228:$H288,62-20):$H288)*SQRT(245),"")</f>
        <v>0.146857191924979</v>
      </c>
      <c r="M288" s="52" t="n">
        <f aca="false">IF(AND(ISNUMBER($G288),$G288&gt;=60),MAX(INDEX($D$88:$D288,202-60):$D288),"")</f>
        <v>5989</v>
      </c>
      <c r="N288" s="52" t="n">
        <f aca="false">IF(AND(ISNUMBER($G288),$G288&gt;=60),MIN(INDEX($E$88:$E288,202-60):$E288),"")</f>
        <v>5083</v>
      </c>
      <c r="O288" s="53" t="n">
        <f aca="false">IF(OR(NOT(ISNUMBER($C288)),NOT(ISNUMBER($M288)),$M288=0),"",$C288/$M288-1)</f>
        <v>-0.00183670061779928</v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5984</v>
      </c>
      <c r="D289" s="49" t="n">
        <v>6010</v>
      </c>
      <c r="E289" s="49" t="n">
        <v>5965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0.00100368016058883</v>
      </c>
      <c r="I289" s="52" t="n">
        <f aca="false">IF(AND(ISNUMBER($G289),$G289&gt;=MA_SHORT),AVERAGE(INDEX($C$5:$C289,286-MA_SHORT):$C289),"")</f>
        <v>5702.9</v>
      </c>
      <c r="J289" s="52" t="n">
        <f aca="false">IF(AND(ISNUMBER($G289),$G289&gt;=MA_MED),AVERAGE(INDEX($C$5:$C289,286-MA_MED):$C289),"")</f>
        <v>5475.36</v>
      </c>
      <c r="K289" s="52" t="n">
        <f aca="false">IF(AND(ISNUMBER($G289),$G289&gt;=MA_LONG2),AVERAGE(INDEX($C$5:$C289,286-MA_LONG2):$C289),"")</f>
        <v>4666.21</v>
      </c>
      <c r="L289" s="53" t="n">
        <f aca="false">IF(AND(ISNUMBER($G289),$G289&gt;=21),STDEV(INDEX($H$229:$H289,62-20):$H289)*SQRT(245),"")</f>
        <v>0.146065509687114</v>
      </c>
      <c r="M289" s="52" t="n">
        <f aca="false">IF(AND(ISNUMBER($G289),$G289&gt;=60),MAX(INDEX($D$89:$D289,202-60):$D289),"")</f>
        <v>6010</v>
      </c>
      <c r="N289" s="52" t="n">
        <f aca="false">IF(AND(ISNUMBER($G289),$G289&gt;=60),MIN(INDEX($E$89:$E289,202-60):$E289),"")</f>
        <v>5083</v>
      </c>
      <c r="O289" s="53" t="n">
        <f aca="false">IF(OR(NOT(ISNUMBER($C289)),NOT(ISNUMBER($M289)),$M289=0),"",$C289/$M289-1)</f>
        <v>-0.00432612312811975</v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5900</v>
      </c>
      <c r="D290" s="49" t="n">
        <v>5903</v>
      </c>
      <c r="E290" s="49" t="n">
        <v>5879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-0.0140374331550802</v>
      </c>
      <c r="I290" s="52" t="n">
        <f aca="false">IF(AND(ISNUMBER($G290),$G290&gt;=MA_SHORT),AVERAGE(INDEX($C$5:$C290,287-MA_SHORT):$C290),"")</f>
        <v>5728.4</v>
      </c>
      <c r="J290" s="52" t="n">
        <f aca="false">IF(AND(ISNUMBER($G290),$G290&gt;=MA_MED),AVERAGE(INDEX($C$5:$C290,287-MA_MED):$C290),"")</f>
        <v>5488.28</v>
      </c>
      <c r="K290" s="52" t="n">
        <f aca="false">IF(AND(ISNUMBER($G290),$G290&gt;=MA_LONG2),AVERAGE(INDEX($C$5:$C290,287-MA_LONG2):$C290),"")</f>
        <v>4679.68</v>
      </c>
      <c r="L290" s="53" t="n">
        <f aca="false">IF(AND(ISNUMBER($G290),$G290&gt;=21),STDEV(INDEX($H$230:$H290,62-20):$H290)*SQRT(245),"")</f>
        <v>0.151772255079442</v>
      </c>
      <c r="M290" s="52" t="n">
        <f aca="false">IF(AND(ISNUMBER($G290),$G290&gt;=60),MAX(INDEX($D$90:$D290,202-60):$D290),"")</f>
        <v>6010</v>
      </c>
      <c r="N290" s="52" t="n">
        <f aca="false">IF(AND(ISNUMBER($G290),$G290&gt;=60),MIN(INDEX($E$90:$E290,202-60):$E290),"")</f>
        <v>5083</v>
      </c>
      <c r="O290" s="53" t="n">
        <f aca="false">IF(OR(NOT(ISNUMBER($C290)),NOT(ISNUMBER($M290)),$M290=0),"",$C290/$M290-1)</f>
        <v>-0.0183028286189684</v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5884</v>
      </c>
      <c r="D291" s="49" t="n">
        <v>5935</v>
      </c>
      <c r="E291" s="49" t="n">
        <v>5875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-0.00271186440677962</v>
      </c>
      <c r="I291" s="52" t="n">
        <f aca="false">IF(AND(ISNUMBER($G291),$G291&gt;=MA_SHORT),AVERAGE(INDEX($C$5:$C291,288-MA_SHORT):$C291),"")</f>
        <v>5753.35</v>
      </c>
      <c r="J291" s="52" t="n">
        <f aca="false">IF(AND(ISNUMBER($G291),$G291&gt;=MA_MED),AVERAGE(INDEX($C$5:$C291,288-MA_MED):$C291),"")</f>
        <v>5500.74</v>
      </c>
      <c r="K291" s="52" t="n">
        <f aca="false">IF(AND(ISNUMBER($G291),$G291&gt;=MA_LONG2),AVERAGE(INDEX($C$5:$C291,288-MA_LONG2):$C291),"")</f>
        <v>4692.94</v>
      </c>
      <c r="L291" s="53" t="n">
        <f aca="false">IF(AND(ISNUMBER($G291),$G291&gt;=21),STDEV(INDEX($H$231:$H291,62-20):$H291)*SQRT(245),"")</f>
        <v>0.152731838021577</v>
      </c>
      <c r="M291" s="52" t="n">
        <f aca="false">IF(AND(ISNUMBER($G291),$G291&gt;=60),MAX(INDEX($D$91:$D291,202-60):$D291),"")</f>
        <v>6010</v>
      </c>
      <c r="N291" s="52" t="n">
        <f aca="false">IF(AND(ISNUMBER($G291),$G291&gt;=60),MIN(INDEX($E$91:$E291,202-60):$E291),"")</f>
        <v>5083</v>
      </c>
      <c r="O291" s="53" t="n">
        <f aca="false">IF(OR(NOT(ISNUMBER($C291)),NOT(ISNUMBER($M291)),$M291=0),"",$C291/$M291-1)</f>
        <v>-0.0209650582362729</v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5965</v>
      </c>
      <c r="D292" s="49" t="n">
        <v>5968</v>
      </c>
      <c r="E292" s="49" t="n">
        <v>5934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0.0137661454792659</v>
      </c>
      <c r="I292" s="52" t="n">
        <f aca="false">IF(AND(ISNUMBER($G292),$G292&gt;=MA_SHORT),AVERAGE(INDEX($C$5:$C292,289-MA_SHORT):$C292),"")</f>
        <v>5782.6</v>
      </c>
      <c r="J292" s="52" t="n">
        <f aca="false">IF(AND(ISNUMBER($G292),$G292&gt;=MA_MED),AVERAGE(INDEX($C$5:$C292,289-MA_MED):$C292),"")</f>
        <v>5511.14</v>
      </c>
      <c r="K292" s="52" t="n">
        <f aca="false">IF(AND(ISNUMBER($G292),$G292&gt;=MA_LONG2),AVERAGE(INDEX($C$5:$C292,289-MA_LONG2):$C292),"")</f>
        <v>4706.555</v>
      </c>
      <c r="L292" s="53" t="n">
        <f aca="false">IF(AND(ISNUMBER($G292),$G292&gt;=21),STDEV(INDEX($H$232:$H292,62-20):$H292)*SQRT(245),"")</f>
        <v>0.154662038359426</v>
      </c>
      <c r="M292" s="52" t="n">
        <f aca="false">IF(AND(ISNUMBER($G292),$G292&gt;=60),MAX(INDEX($D$92:$D292,202-60):$D292),"")</f>
        <v>6010</v>
      </c>
      <c r="N292" s="52" t="n">
        <f aca="false">IF(AND(ISNUMBER($G292),$G292&gt;=60),MIN(INDEX($E$92:$E292,202-60):$E292),"")</f>
        <v>5083</v>
      </c>
      <c r="O292" s="53" t="n">
        <f aca="false">IF(OR(NOT(ISNUMBER($C292)),NOT(ISNUMBER($M292)),$M292=0),"",$C292/$M292-1)</f>
        <v>-0.00748752079866888</v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5842</v>
      </c>
      <c r="D293" s="49" t="n">
        <v>5852</v>
      </c>
      <c r="E293" s="49" t="n">
        <v>5809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-0.0206202849958089</v>
      </c>
      <c r="I293" s="52" t="n">
        <f aca="false">IF(AND(ISNUMBER($G293),$G293&gt;=MA_SHORT),AVERAGE(INDEX($C$5:$C293,290-MA_SHORT):$C293),"")</f>
        <v>5801.2</v>
      </c>
      <c r="J293" s="52" t="n">
        <f aca="false">IF(AND(ISNUMBER($G293),$G293&gt;=MA_MED),AVERAGE(INDEX($C$5:$C293,290-MA_MED):$C293),"")</f>
        <v>5518.6</v>
      </c>
      <c r="K293" s="52" t="n">
        <f aca="false">IF(AND(ISNUMBER($G293),$G293&gt;=MA_LONG2),AVERAGE(INDEX($C$5:$C293,290-MA_LONG2):$C293),"")</f>
        <v>4719.16</v>
      </c>
      <c r="L293" s="53" t="n">
        <f aca="false">IF(AND(ISNUMBER($G293),$G293&gt;=21),STDEV(INDEX($H$233:$H293,62-20):$H293)*SQRT(245),"")</f>
        <v>0.17298462077554</v>
      </c>
      <c r="M293" s="52" t="n">
        <f aca="false">IF(AND(ISNUMBER($G293),$G293&gt;=60),MAX(INDEX($D$93:$D293,202-60):$D293),"")</f>
        <v>6010</v>
      </c>
      <c r="N293" s="52" t="n">
        <f aca="false">IF(AND(ISNUMBER($G293),$G293&gt;=60),MIN(INDEX($E$93:$E293,202-60):$E293),"")</f>
        <v>5083</v>
      </c>
      <c r="O293" s="53" t="n">
        <f aca="false">IF(OR(NOT(ISNUMBER($C293)),NOT(ISNUMBER($M293)),$M293=0),"",$C293/$M293-1)</f>
        <v>-0.0279534109816971</v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5751</v>
      </c>
      <c r="D294" s="49" t="n">
        <v>5776</v>
      </c>
      <c r="E294" s="49" t="n">
        <v>5739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-0.015576857240671</v>
      </c>
      <c r="I294" s="52" t="n">
        <f aca="false">IF(AND(ISNUMBER($G294),$G294&gt;=MA_SHORT),AVERAGE(INDEX($C$5:$C294,291-MA_SHORT):$C294),"")</f>
        <v>5809.55</v>
      </c>
      <c r="J294" s="52" t="n">
        <f aca="false">IF(AND(ISNUMBER($G294),$G294&gt;=MA_MED),AVERAGE(INDEX($C$5:$C294,291-MA_MED):$C294),"")</f>
        <v>5525.38</v>
      </c>
      <c r="K294" s="52" t="n">
        <f aca="false">IF(AND(ISNUMBER($G294),$G294&gt;=MA_LONG2),AVERAGE(INDEX($C$5:$C294,291-MA_LONG2):$C294),"")</f>
        <v>4731.4</v>
      </c>
      <c r="L294" s="53" t="n">
        <f aca="false">IF(AND(ISNUMBER($G294),$G294&gt;=21),STDEV(INDEX($H$234:$H294,62-20):$H294)*SQRT(245),"")</f>
        <v>0.172469679780143</v>
      </c>
      <c r="M294" s="52" t="n">
        <f aca="false">IF(AND(ISNUMBER($G294),$G294&gt;=60),MAX(INDEX($D$94:$D294,202-60):$D294),"")</f>
        <v>6010</v>
      </c>
      <c r="N294" s="52" t="n">
        <f aca="false">IF(AND(ISNUMBER($G294),$G294&gt;=60),MIN(INDEX($E$94:$E294,202-60):$E294),"")</f>
        <v>5083</v>
      </c>
      <c r="O294" s="53" t="n">
        <f aca="false">IF(OR(NOT(ISNUMBER($C294)),NOT(ISNUMBER($M294)),$M294=0),"",$C294/$M294-1)</f>
        <v>-0.0430948419301165</v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5865</v>
      </c>
      <c r="D295" s="49" t="n">
        <v>5889</v>
      </c>
      <c r="E295" s="49" t="n">
        <v>5854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0.0198226395409493</v>
      </c>
      <c r="I295" s="52" t="n">
        <f aca="false">IF(AND(ISNUMBER($G295),$G295&gt;=MA_SHORT),AVERAGE(INDEX($C$5:$C295,292-MA_SHORT):$C295),"")</f>
        <v>5822.95</v>
      </c>
      <c r="J295" s="52" t="n">
        <f aca="false">IF(AND(ISNUMBER($G295),$G295&gt;=MA_MED),AVERAGE(INDEX($C$5:$C295,292-MA_MED):$C295),"")</f>
        <v>5534.04</v>
      </c>
      <c r="K295" s="52" t="n">
        <f aca="false">IF(AND(ISNUMBER($G295),$G295&gt;=MA_LONG2),AVERAGE(INDEX($C$5:$C295,292-MA_LONG2):$C295),"")</f>
        <v>4744.055</v>
      </c>
      <c r="L295" s="53" t="n">
        <f aca="false">IF(AND(ISNUMBER($G295),$G295&gt;=21),STDEV(INDEX($H$235:$H295,62-20):$H295)*SQRT(245),"")</f>
        <v>0.183994847483212</v>
      </c>
      <c r="M295" s="52" t="n">
        <f aca="false">IF(AND(ISNUMBER($G295),$G295&gt;=60),MAX(INDEX($D$95:$D295,202-60):$D295),"")</f>
        <v>6010</v>
      </c>
      <c r="N295" s="52" t="n">
        <f aca="false">IF(AND(ISNUMBER($G295),$G295&gt;=60),MIN(INDEX($E$95:$E295,202-60):$E295),"")</f>
        <v>5083</v>
      </c>
      <c r="O295" s="53" t="n">
        <f aca="false">IF(OR(NOT(ISNUMBER($C295)),NOT(ISNUMBER($M295)),$M295=0),"",$C295/$M295-1)</f>
        <v>-0.0241264559068219</v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5881</v>
      </c>
      <c r="D296" s="49" t="n">
        <v>5900</v>
      </c>
      <c r="E296" s="49" t="n">
        <v>5850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0.00272804774083557</v>
      </c>
      <c r="I296" s="52" t="n">
        <f aca="false">IF(AND(ISNUMBER($G296),$G296&gt;=MA_SHORT),AVERAGE(INDEX($C$5:$C296,293-MA_SHORT):$C296),"")</f>
        <v>5837.6</v>
      </c>
      <c r="J296" s="52" t="n">
        <f aca="false">IF(AND(ISNUMBER($G296),$G296&gt;=MA_MED),AVERAGE(INDEX($C$5:$C296,293-MA_MED):$C296),"")</f>
        <v>5541.82</v>
      </c>
      <c r="K296" s="52" t="n">
        <f aca="false">IF(AND(ISNUMBER($G296),$G296&gt;=MA_LONG2),AVERAGE(INDEX($C$5:$C296,293-MA_LONG2):$C296),"")</f>
        <v>4756.58</v>
      </c>
      <c r="L296" s="53" t="n">
        <f aca="false">IF(AND(ISNUMBER($G296),$G296&gt;=21),STDEV(INDEX($H$236:$H296,62-20):$H296)*SQRT(245),"")</f>
        <v>0.183399708345667</v>
      </c>
      <c r="M296" s="52" t="n">
        <f aca="false">IF(AND(ISNUMBER($G296),$G296&gt;=60),MAX(INDEX($D$96:$D296,202-60):$D296),"")</f>
        <v>6010</v>
      </c>
      <c r="N296" s="52" t="n">
        <f aca="false">IF(AND(ISNUMBER($G296),$G296&gt;=60),MIN(INDEX($E$96:$E296,202-60):$E296),"")</f>
        <v>5083</v>
      </c>
      <c r="O296" s="53" t="n">
        <f aca="false">IF(OR(NOT(ISNUMBER($C296)),NOT(ISNUMBER($M296)),$M296=0),"",$C296/$M296-1)</f>
        <v>-0.0214642262895175</v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5905</v>
      </c>
      <c r="D297" s="49" t="n">
        <v>5923</v>
      </c>
      <c r="E297" s="49" t="n">
        <v>5904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0.00408093861588155</v>
      </c>
      <c r="I297" s="52" t="n">
        <f aca="false">IF(AND(ISNUMBER($G297),$G297&gt;=MA_SHORT),AVERAGE(INDEX($C$5:$C297,294-MA_SHORT):$C297),"")</f>
        <v>5850.8</v>
      </c>
      <c r="J297" s="52" t="n">
        <f aca="false">IF(AND(ISNUMBER($G297),$G297&gt;=MA_MED),AVERAGE(INDEX($C$5:$C297,294-MA_MED):$C297),"")</f>
        <v>5550.94</v>
      </c>
      <c r="K297" s="52" t="n">
        <f aca="false">IF(AND(ISNUMBER($G297),$G297&gt;=MA_LONG2),AVERAGE(INDEX($C$5:$C297,294-MA_LONG2):$C297),"")</f>
        <v>4769.3</v>
      </c>
      <c r="L297" s="53" t="n">
        <f aca="false">IF(AND(ISNUMBER($G297),$G297&gt;=21),STDEV(INDEX($H$237:$H297,62-20):$H297)*SQRT(245),"")</f>
        <v>0.181760917359061</v>
      </c>
      <c r="M297" s="52" t="n">
        <f aca="false">IF(AND(ISNUMBER($G297),$G297&gt;=60),MAX(INDEX($D$97:$D297,202-60):$D297),"")</f>
        <v>6010</v>
      </c>
      <c r="N297" s="52" t="n">
        <f aca="false">IF(AND(ISNUMBER($G297),$G297&gt;=60),MIN(INDEX($E$97:$E297,202-60):$E297),"")</f>
        <v>5107</v>
      </c>
      <c r="O297" s="53" t="n">
        <f aca="false">IF(OR(NOT(ISNUMBER($C297)),NOT(ISNUMBER($M297)),$M297=0),"",$C297/$M297-1)</f>
        <v>-0.0174708818635607</v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5827</v>
      </c>
      <c r="D298" s="49" t="n">
        <v>5865</v>
      </c>
      <c r="E298" s="49" t="n">
        <v>5823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-0.0132091447925486</v>
      </c>
      <c r="I298" s="52" t="n">
        <f aca="false">IF(AND(ISNUMBER($G298),$G298&gt;=MA_SHORT),AVERAGE(INDEX($C$5:$C298,295-MA_SHORT):$C298),"")</f>
        <v>5856.35</v>
      </c>
      <c r="J298" s="52" t="n">
        <f aca="false">IF(AND(ISNUMBER($G298),$G298&gt;=MA_MED),AVERAGE(INDEX($C$5:$C298,295-MA_MED):$C298),"")</f>
        <v>5559.54</v>
      </c>
      <c r="K298" s="52" t="n">
        <f aca="false">IF(AND(ISNUMBER($G298),$G298&gt;=MA_LONG2),AVERAGE(INDEX($C$5:$C298,295-MA_LONG2):$C298),"")</f>
        <v>4781.32</v>
      </c>
      <c r="L298" s="53" t="n">
        <f aca="false">IF(AND(ISNUMBER($G298),$G298&gt;=21),STDEV(INDEX($H$238:$H298,62-20):$H298)*SQRT(245),"")</f>
        <v>0.184833250538935</v>
      </c>
      <c r="M298" s="52" t="n">
        <f aca="false">IF(AND(ISNUMBER($G298),$G298&gt;=60),MAX(INDEX($D$98:$D298,202-60):$D298),"")</f>
        <v>6010</v>
      </c>
      <c r="N298" s="52" t="n">
        <f aca="false">IF(AND(ISNUMBER($G298),$G298&gt;=60),MIN(INDEX($E$98:$E298,202-60):$E298),"")</f>
        <v>5107</v>
      </c>
      <c r="O298" s="53" t="n">
        <f aca="false">IF(OR(NOT(ISNUMBER($C298)),NOT(ISNUMBER($M298)),$M298=0),"",$C298/$M298-1)</f>
        <v>-0.0304492512479201</v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5794</v>
      </c>
      <c r="D299" s="49" t="n">
        <v>5812</v>
      </c>
      <c r="E299" s="49" t="n">
        <v>5783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-0.0056632915737086</v>
      </c>
      <c r="I299" s="52" t="n">
        <f aca="false">IF(AND(ISNUMBER($G299),$G299&gt;=MA_SHORT),AVERAGE(INDEX($C$5:$C299,296-MA_SHORT):$C299),"")</f>
        <v>5859.75</v>
      </c>
      <c r="J299" s="52" t="n">
        <f aca="false">IF(AND(ISNUMBER($G299),$G299&gt;=MA_MED),AVERAGE(INDEX($C$5:$C299,296-MA_MED):$C299),"")</f>
        <v>5566.54</v>
      </c>
      <c r="K299" s="52" t="n">
        <f aca="false">IF(AND(ISNUMBER($G299),$G299&gt;=MA_LONG2),AVERAGE(INDEX($C$5:$C299,296-MA_LONG2):$C299),"")</f>
        <v>4793.33</v>
      </c>
      <c r="L299" s="53" t="n">
        <f aca="false">IF(AND(ISNUMBER($G299),$G299&gt;=21),STDEV(INDEX($H$239:$H299,62-20):$H299)*SQRT(245),"")</f>
        <v>0.186275578272658</v>
      </c>
      <c r="M299" s="52" t="n">
        <f aca="false">IF(AND(ISNUMBER($G299),$G299&gt;=60),MAX(INDEX($D$99:$D299,202-60):$D299),"")</f>
        <v>6010</v>
      </c>
      <c r="N299" s="52" t="n">
        <f aca="false">IF(AND(ISNUMBER($G299),$G299&gt;=60),MIN(INDEX($E$99:$E299,202-60):$E299),"")</f>
        <v>5107</v>
      </c>
      <c r="O299" s="53" t="n">
        <f aca="false">IF(OR(NOT(ISNUMBER($C299)),NOT(ISNUMBER($M299)),$M299=0),"",$C299/$M299-1)</f>
        <v>-0.0359400998336107</v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5819</v>
      </c>
      <c r="D300" s="49" t="n">
        <v>5825</v>
      </c>
      <c r="E300" s="49" t="n">
        <v>5803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0.00431480842250598</v>
      </c>
      <c r="I300" s="52" t="n">
        <f aca="false">IF(AND(ISNUMBER($G300),$G300&gt;=MA_SHORT),AVERAGE(INDEX($C$5:$C300,297-MA_SHORT):$C300),"")</f>
        <v>5862.75</v>
      </c>
      <c r="J300" s="52" t="n">
        <f aca="false">IF(AND(ISNUMBER($G300),$G300&gt;=MA_MED),AVERAGE(INDEX($C$5:$C300,297-MA_MED):$C300),"")</f>
        <v>5574.34</v>
      </c>
      <c r="K300" s="52" t="n">
        <f aca="false">IF(AND(ISNUMBER($G300),$G300&gt;=MA_LONG2),AVERAGE(INDEX($C$5:$C300,297-MA_LONG2):$C300),"")</f>
        <v>4805.285</v>
      </c>
      <c r="L300" s="53" t="n">
        <f aca="false">IF(AND(ISNUMBER($G300),$G300&gt;=21),STDEV(INDEX($H$240:$H300,62-20):$H300)*SQRT(245),"")</f>
        <v>0.18583213775562</v>
      </c>
      <c r="M300" s="52" t="n">
        <f aca="false">IF(AND(ISNUMBER($G300),$G300&gt;=60),MAX(INDEX($D$100:$D300,202-60):$D300),"")</f>
        <v>6010</v>
      </c>
      <c r="N300" s="52" t="n">
        <f aca="false">IF(AND(ISNUMBER($G300),$G300&gt;=60),MIN(INDEX($E$100:$E300,202-60):$E300),"")</f>
        <v>5107</v>
      </c>
      <c r="O300" s="53" t="n">
        <f aca="false">IF(OR(NOT(ISNUMBER($C300)),NOT(ISNUMBER($M300)),$M300=0),"",$C300/$M300-1)</f>
        <v>-0.0317803660565724</v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5853</v>
      </c>
      <c r="D301" s="49" t="n">
        <v>5893</v>
      </c>
      <c r="E301" s="49" t="n">
        <v>5829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0.00584292833820244</v>
      </c>
      <c r="I301" s="52" t="n">
        <f aca="false">IF(AND(ISNUMBER($G301),$G301&gt;=MA_SHORT),AVERAGE(INDEX($C$5:$C301,298-MA_SHORT):$C301),"")</f>
        <v>5861.8</v>
      </c>
      <c r="J301" s="52" t="n">
        <f aca="false">IF(AND(ISNUMBER($G301),$G301&gt;=MA_MED),AVERAGE(INDEX($C$5:$C301,298-MA_MED):$C301),"")</f>
        <v>5584.52</v>
      </c>
      <c r="K301" s="52" t="n">
        <f aca="false">IF(AND(ISNUMBER($G301),$G301&gt;=MA_LONG2),AVERAGE(INDEX($C$5:$C301,298-MA_LONG2):$C301),"")</f>
        <v>4817.68</v>
      </c>
      <c r="L301" s="53" t="n">
        <f aca="false">IF(AND(ISNUMBER($G301),$G301&gt;=21),STDEV(INDEX($H$241:$H301,62-20):$H301)*SQRT(245),"")</f>
        <v>0.173478740165609</v>
      </c>
      <c r="M301" s="52" t="n">
        <f aca="false">IF(AND(ISNUMBER($G301),$G301&gt;=60),MAX(INDEX($D$101:$D301,202-60):$D301),"")</f>
        <v>6010</v>
      </c>
      <c r="N301" s="52" t="n">
        <f aca="false">IF(AND(ISNUMBER($G301),$G301&gt;=60),MIN(INDEX($E$101:$E301,202-60):$E301),"")</f>
        <v>5107</v>
      </c>
      <c r="O301" s="53" t="n">
        <f aca="false">IF(OR(NOT(ISNUMBER($C301)),NOT(ISNUMBER($M301)),$M301=0),"",$C301/$M301-1)</f>
        <v>-0.0261231281198003</v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5930</v>
      </c>
      <c r="D302" s="49" t="n">
        <v>5958</v>
      </c>
      <c r="E302" s="49" t="n">
        <v>5926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0.0131556466769178</v>
      </c>
      <c r="I302" s="52" t="n">
        <f aca="false">IF(AND(ISNUMBER($G302),$G302&gt;=MA_SHORT),AVERAGE(INDEX($C$5:$C302,299-MA_SHORT):$C302),"")</f>
        <v>5867.35</v>
      </c>
      <c r="J302" s="52" t="n">
        <f aca="false">IF(AND(ISNUMBER($G302),$G302&gt;=MA_MED),AVERAGE(INDEX($C$5:$C302,299-MA_MED):$C302),"")</f>
        <v>5597</v>
      </c>
      <c r="K302" s="52" t="n">
        <f aca="false">IF(AND(ISNUMBER($G302),$G302&gt;=MA_LONG2),AVERAGE(INDEX($C$5:$C302,299-MA_LONG2):$C302),"")</f>
        <v>4830.22</v>
      </c>
      <c r="L302" s="53" t="n">
        <f aca="false">IF(AND(ISNUMBER($G302),$G302&gt;=21),STDEV(INDEX($H$242:$H302,62-20):$H302)*SQRT(245),"")</f>
        <v>0.176119763442154</v>
      </c>
      <c r="M302" s="52" t="n">
        <f aca="false">IF(AND(ISNUMBER($G302),$G302&gt;=60),MAX(INDEX($D$102:$D302,202-60):$D302),"")</f>
        <v>6010</v>
      </c>
      <c r="N302" s="52" t="n">
        <f aca="false">IF(AND(ISNUMBER($G302),$G302&gt;=60),MIN(INDEX($E$102:$E302,202-60):$E302),"")</f>
        <v>5107</v>
      </c>
      <c r="O302" s="53" t="n">
        <f aca="false">IF(OR(NOT(ISNUMBER($C302)),NOT(ISNUMBER($M302)),$M302=0),"",$C302/$M302-1)</f>
        <v>-0.0133111480865225</v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5869</v>
      </c>
      <c r="D303" s="49" t="n">
        <v>5887</v>
      </c>
      <c r="E303" s="49" t="n">
        <v>5844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-0.0102866779089376</v>
      </c>
      <c r="I303" s="52" t="n">
        <f aca="false">IF(AND(ISNUMBER($G303),$G303&gt;=MA_SHORT),AVERAGE(INDEX($C$5:$C303,300-MA_SHORT):$C303),"")</f>
        <v>5868.5</v>
      </c>
      <c r="J303" s="52" t="n">
        <f aca="false">IF(AND(ISNUMBER($G303),$G303&gt;=MA_MED),AVERAGE(INDEX($C$5:$C303,300-MA_MED):$C303),"")</f>
        <v>5606.72</v>
      </c>
      <c r="K303" s="52" t="n">
        <f aca="false">IF(AND(ISNUMBER($G303),$G303&gt;=MA_LONG2),AVERAGE(INDEX($C$5:$C303,300-MA_LONG2):$C303),"")</f>
        <v>4842.035</v>
      </c>
      <c r="L303" s="53" t="n">
        <f aca="false">IF(AND(ISNUMBER($G303),$G303&gt;=21),STDEV(INDEX($H$243:$H303,62-20):$H303)*SQRT(245),"")</f>
        <v>0.179856614702485</v>
      </c>
      <c r="M303" s="52" t="n">
        <f aca="false">IF(AND(ISNUMBER($G303),$G303&gt;=60),MAX(INDEX($D$103:$D303,202-60):$D303),"")</f>
        <v>6010</v>
      </c>
      <c r="N303" s="52" t="n">
        <f aca="false">IF(AND(ISNUMBER($G303),$G303&gt;=60),MIN(INDEX($E$103:$E303,202-60):$E303),"")</f>
        <v>5107</v>
      </c>
      <c r="O303" s="53" t="n">
        <f aca="false">IF(OR(NOT(ISNUMBER($C303)),NOT(ISNUMBER($M303)),$M303=0),"",$C303/$M303-1)</f>
        <v>-0.0234608985024959</v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5916</v>
      </c>
      <c r="D304" s="49" t="n">
        <v>5920</v>
      </c>
      <c r="E304" s="49" t="n">
        <v>5915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0.00800817856534342</v>
      </c>
      <c r="I304" s="52" t="n">
        <f aca="false">IF(AND(ISNUMBER($G304),$G304&gt;=MA_SHORT),AVERAGE(INDEX($C$5:$C304,301-MA_SHORT):$C304),"")</f>
        <v>5874.25</v>
      </c>
      <c r="J304" s="52" t="n">
        <f aca="false">IF(AND(ISNUMBER($G304),$G304&gt;=MA_MED),AVERAGE(INDEX($C$5:$C304,301-MA_MED):$C304),"")</f>
        <v>5617.66</v>
      </c>
      <c r="K304" s="52" t="n">
        <f aca="false">IF(AND(ISNUMBER($G304),$G304&gt;=MA_LONG2),AVERAGE(INDEX($C$5:$C304,301-MA_LONG2):$C304),"")</f>
        <v>4854.02</v>
      </c>
      <c r="L304" s="53" t="n">
        <f aca="false">IF(AND(ISNUMBER($G304),$G304&gt;=21),STDEV(INDEX($H$244:$H304,62-20):$H304)*SQRT(245),"")</f>
        <v>0.179296776976816</v>
      </c>
      <c r="M304" s="52" t="n">
        <f aca="false">IF(AND(ISNUMBER($G304),$G304&gt;=60),MAX(INDEX($D$104:$D304,202-60):$D304),"")</f>
        <v>6010</v>
      </c>
      <c r="N304" s="52" t="n">
        <f aca="false">IF(AND(ISNUMBER($G304),$G304&gt;=60),MIN(INDEX($E$104:$E304,202-60):$E304),"")</f>
        <v>5107</v>
      </c>
      <c r="O304" s="53" t="n">
        <f aca="false">IF(OR(NOT(ISNUMBER($C304)),NOT(ISNUMBER($M304)),$M304=0),"",$C304/$M304-1)</f>
        <v>-0.0156405990016639</v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6132</v>
      </c>
      <c r="D305" s="49" t="n">
        <v>6133</v>
      </c>
      <c r="E305" s="49" t="n">
        <v>6126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0.0365111561866125</v>
      </c>
      <c r="I305" s="52" t="n">
        <f aca="false">IF(AND(ISNUMBER($G305),$G305&gt;=MA_SHORT),AVERAGE(INDEX($C$5:$C305,302-MA_SHORT):$C305),"")</f>
        <v>5889.4</v>
      </c>
      <c r="J305" s="52" t="n">
        <f aca="false">IF(AND(ISNUMBER($G305),$G305&gt;=MA_MED),AVERAGE(INDEX($C$5:$C305,302-MA_MED):$C305),"")</f>
        <v>5635.28</v>
      </c>
      <c r="K305" s="52" t="n">
        <f aca="false">IF(AND(ISNUMBER($G305),$G305&gt;=MA_LONG2),AVERAGE(INDEX($C$5:$C305,302-MA_LONG2):$C305),"")</f>
        <v>4866.88</v>
      </c>
      <c r="L305" s="53" t="n">
        <f aca="false">IF(AND(ISNUMBER($G305),$G305&gt;=21),STDEV(INDEX($H$245:$H305,62-20):$H305)*SQRT(245),"")</f>
        <v>0.218027090948461</v>
      </c>
      <c r="M305" s="52" t="n">
        <f aca="false">IF(AND(ISNUMBER($G305),$G305&gt;=60),MAX(INDEX($D$105:$D305,202-60):$D305),"")</f>
        <v>6133</v>
      </c>
      <c r="N305" s="52" t="n">
        <f aca="false">IF(AND(ISNUMBER($G305),$G305&gt;=60),MIN(INDEX($E$105:$E305,202-60):$E305),"")</f>
        <v>5107</v>
      </c>
      <c r="O305" s="53" t="n">
        <f aca="false">IF(OR(NOT(ISNUMBER($C305)),NOT(ISNUMBER($M305)),$M305=0),"",$C305/$M305-1)</f>
        <v>-0.000163052339801073</v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6171</v>
      </c>
      <c r="D306" s="49" t="n">
        <v>6193</v>
      </c>
      <c r="E306" s="49" t="n">
        <v>6156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0.00636007827788654</v>
      </c>
      <c r="I306" s="52" t="n">
        <f aca="false">IF(AND(ISNUMBER($G306),$G306&gt;=MA_SHORT),AVERAGE(INDEX($C$5:$C306,303-MA_SHORT):$C306),"")</f>
        <v>5906.6</v>
      </c>
      <c r="J306" s="52" t="n">
        <f aca="false">IF(AND(ISNUMBER($G306),$G306&gt;=MA_MED),AVERAGE(INDEX($C$5:$C306,303-MA_MED):$C306),"")</f>
        <v>5653.74</v>
      </c>
      <c r="K306" s="52" t="n">
        <f aca="false">IF(AND(ISNUMBER($G306),$G306&gt;=MA_LONG2),AVERAGE(INDEX($C$5:$C306,303-MA_LONG2):$C306),"")</f>
        <v>4879.895</v>
      </c>
      <c r="L306" s="53" t="n">
        <f aca="false">IF(AND(ISNUMBER($G306),$G306&gt;=21),STDEV(INDEX($H$246:$H306,62-20):$H306)*SQRT(245),"")</f>
        <v>0.218111250091736</v>
      </c>
      <c r="M306" s="52" t="n">
        <f aca="false">IF(AND(ISNUMBER($G306),$G306&gt;=60),MAX(INDEX($D$106:$D306,202-60):$D306),"")</f>
        <v>6193</v>
      </c>
      <c r="N306" s="52" t="n">
        <f aca="false">IF(AND(ISNUMBER($G306),$G306&gt;=60),MIN(INDEX($E$106:$E306,202-60):$E306),"")</f>
        <v>5107</v>
      </c>
      <c r="O306" s="53" t="n">
        <f aca="false">IF(OR(NOT(ISNUMBER($C306)),NOT(ISNUMBER($M306)),$M306=0),"",$C306/$M306-1)</f>
        <v>-0.00355239786856132</v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6284</v>
      </c>
      <c r="D307" s="49" t="n">
        <v>6317</v>
      </c>
      <c r="E307" s="49" t="n">
        <v>6243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0.0183114568141307</v>
      </c>
      <c r="I307" s="52" t="n">
        <f aca="false">IF(AND(ISNUMBER($G307),$G307&gt;=MA_SHORT),AVERAGE(INDEX($C$5:$C307,304-MA_SHORT):$C307),"")</f>
        <v>5927.5</v>
      </c>
      <c r="J307" s="52" t="n">
        <f aca="false">IF(AND(ISNUMBER($G307),$G307&gt;=MA_MED),AVERAGE(INDEX($C$5:$C307,304-MA_MED):$C307),"")</f>
        <v>5676.52</v>
      </c>
      <c r="K307" s="52" t="n">
        <f aca="false">IF(AND(ISNUMBER($G307),$G307&gt;=MA_LONG2),AVERAGE(INDEX($C$5:$C307,304-MA_LONG2):$C307),"")</f>
        <v>4893.555</v>
      </c>
      <c r="L307" s="53" t="n">
        <f aca="false">IF(AND(ISNUMBER($G307),$G307&gt;=21),STDEV(INDEX($H$247:$H307,62-20):$H307)*SQRT(245),"")</f>
        <v>0.224373665843505</v>
      </c>
      <c r="M307" s="52" t="n">
        <f aca="false">IF(AND(ISNUMBER($G307),$G307&gt;=60),MAX(INDEX($D$107:$D307,202-60):$D307),"")</f>
        <v>6317</v>
      </c>
      <c r="N307" s="52" t="n">
        <f aca="false">IF(AND(ISNUMBER($G307),$G307&gt;=60),MIN(INDEX($E$107:$E307,202-60):$E307),"")</f>
        <v>5107</v>
      </c>
      <c r="O307" s="53" t="n">
        <f aca="false">IF(OR(NOT(ISNUMBER($C307)),NOT(ISNUMBER($M307)),$M307=0),"",$C307/$M307-1)</f>
        <v>-0.00522399873357604</v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6294</v>
      </c>
      <c r="D308" s="49" t="n">
        <v>6312</v>
      </c>
      <c r="E308" s="49" t="n">
        <v>6257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0.00159134309357101</v>
      </c>
      <c r="I308" s="52" t="n">
        <f aca="false">IF(AND(ISNUMBER($G308),$G308&gt;=MA_SHORT),AVERAGE(INDEX($C$5:$C308,305-MA_SHORT):$C308),"")</f>
        <v>5943.3</v>
      </c>
      <c r="J308" s="52" t="n">
        <f aca="false">IF(AND(ISNUMBER($G308),$G308&gt;=MA_MED),AVERAGE(INDEX($C$5:$C308,305-MA_MED):$C308),"")</f>
        <v>5699.16</v>
      </c>
      <c r="K308" s="52" t="n">
        <f aca="false">IF(AND(ISNUMBER($G308),$G308&gt;=MA_LONG2),AVERAGE(INDEX($C$5:$C308,305-MA_LONG2):$C308),"")</f>
        <v>4907.275</v>
      </c>
      <c r="L308" s="53" t="n">
        <f aca="false">IF(AND(ISNUMBER($G308),$G308&gt;=21),STDEV(INDEX($H$248:$H308,62-20):$H308)*SQRT(245),"")</f>
        <v>0.2169744372717</v>
      </c>
      <c r="M308" s="52" t="n">
        <f aca="false">IF(AND(ISNUMBER($G308),$G308&gt;=60),MAX(INDEX($D$108:$D308,202-60):$D308),"")</f>
        <v>6317</v>
      </c>
      <c r="N308" s="52" t="n">
        <f aca="false">IF(AND(ISNUMBER($G308),$G308&gt;=60),MIN(INDEX($E$108:$E308,202-60):$E308),"")</f>
        <v>5107</v>
      </c>
      <c r="O308" s="53" t="n">
        <f aca="false">IF(OR(NOT(ISNUMBER($C308)),NOT(ISNUMBER($M308)),$M308=0),"",$C308/$M308-1)</f>
        <v>-0.00364096881431064</v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6360</v>
      </c>
      <c r="D309" s="49" t="n">
        <v>6375</v>
      </c>
      <c r="E309" s="49" t="n">
        <v>6318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0.0104861773117255</v>
      </c>
      <c r="I309" s="52" t="n">
        <f aca="false">IF(AND(ISNUMBER($G309),$G309&gt;=MA_SHORT),AVERAGE(INDEX($C$5:$C309,306-MA_SHORT):$C309),"")</f>
        <v>5962.1</v>
      </c>
      <c r="J309" s="52" t="n">
        <f aca="false">IF(AND(ISNUMBER($G309),$G309&gt;=MA_MED),AVERAGE(INDEX($C$5:$C309,306-MA_MED):$C309),"")</f>
        <v>5721.82</v>
      </c>
      <c r="K309" s="52" t="n">
        <f aca="false">IF(AND(ISNUMBER($G309),$G309&gt;=MA_LONG2),AVERAGE(INDEX($C$5:$C309,306-MA_LONG2):$C309),"")</f>
        <v>4921.35</v>
      </c>
      <c r="L309" s="53" t="n">
        <f aca="false">IF(AND(ISNUMBER($G309),$G309&gt;=21),STDEV(INDEX($H$249:$H309,62-20):$H309)*SQRT(245),"")</f>
        <v>0.218568082529898</v>
      </c>
      <c r="M309" s="52" t="n">
        <f aca="false">IF(AND(ISNUMBER($G309),$G309&gt;=60),MAX(INDEX($D$109:$D309,202-60):$D309),"")</f>
        <v>6375</v>
      </c>
      <c r="N309" s="52" t="n">
        <f aca="false">IF(AND(ISNUMBER($G309),$G309&gt;=60),MIN(INDEX($E$109:$E309,202-60):$E309),"")</f>
        <v>5107</v>
      </c>
      <c r="O309" s="53" t="n">
        <f aca="false">IF(OR(NOT(ISNUMBER($C309)),NOT(ISNUMBER($M309)),$M309=0),"",$C309/$M309-1)</f>
        <v>-0.00235294117647056</v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6369</v>
      </c>
      <c r="D310" s="49" t="n">
        <v>6370</v>
      </c>
      <c r="E310" s="49" t="n">
        <v>6321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0.00141509433962272</v>
      </c>
      <c r="I310" s="52" t="n">
        <f aca="false">IF(AND(ISNUMBER($G310),$G310&gt;=MA_SHORT),AVERAGE(INDEX($C$5:$C310,307-MA_SHORT):$C310),"")</f>
        <v>5985.55</v>
      </c>
      <c r="J310" s="52" t="n">
        <f aca="false">IF(AND(ISNUMBER($G310),$G310&gt;=MA_MED),AVERAGE(INDEX($C$5:$C310,307-MA_MED):$C310),"")</f>
        <v>5746.98</v>
      </c>
      <c r="K310" s="52" t="n">
        <f aca="false">IF(AND(ISNUMBER($G310),$G310&gt;=MA_LONG2),AVERAGE(INDEX($C$5:$C310,307-MA_LONG2):$C310),"")</f>
        <v>4935.435</v>
      </c>
      <c r="L310" s="53" t="n">
        <f aca="false">IF(AND(ISNUMBER($G310),$G310&gt;=21),STDEV(INDEX($H$250:$H310,62-20):$H310)*SQRT(245),"")</f>
        <v>0.209404326836216</v>
      </c>
      <c r="M310" s="52" t="n">
        <f aca="false">IF(AND(ISNUMBER($G310),$G310&gt;=60),MAX(INDEX($D$110:$D310,202-60):$D310),"")</f>
        <v>6375</v>
      </c>
      <c r="N310" s="52" t="n">
        <f aca="false">IF(AND(ISNUMBER($G310),$G310&gt;=60),MIN(INDEX($E$110:$E310,202-60):$E310),"")</f>
        <v>5107</v>
      </c>
      <c r="O310" s="53" t="n">
        <f aca="false">IF(OR(NOT(ISNUMBER($C310)),NOT(ISNUMBER($M310)),$M310=0),"",$C310/$M310-1)</f>
        <v>-0.000941176470588223</v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6484</v>
      </c>
      <c r="D311" s="49" t="n">
        <v>6503</v>
      </c>
      <c r="E311" s="49" t="n">
        <v>6479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0.0180562097660544</v>
      </c>
      <c r="I311" s="52" t="n">
        <f aca="false">IF(AND(ISNUMBER($G311),$G311&gt;=MA_SHORT),AVERAGE(INDEX($C$5:$C311,308-MA_SHORT):$C311),"")</f>
        <v>6015.55</v>
      </c>
      <c r="J311" s="52" t="n">
        <f aca="false">IF(AND(ISNUMBER($G311),$G311&gt;=MA_MED),AVERAGE(INDEX($C$5:$C311,308-MA_MED):$C311),"")</f>
        <v>5773.76</v>
      </c>
      <c r="K311" s="52" t="n">
        <f aca="false">IF(AND(ISNUMBER($G311),$G311&gt;=MA_LONG2),AVERAGE(INDEX($C$5:$C311,308-MA_LONG2):$C311),"")</f>
        <v>4949.895</v>
      </c>
      <c r="L311" s="53" t="n">
        <f aca="false">IF(AND(ISNUMBER($G311),$G311&gt;=21),STDEV(INDEX($H$251:$H311,62-20):$H311)*SQRT(245),"")</f>
        <v>0.213503423087475</v>
      </c>
      <c r="M311" s="52" t="n">
        <f aca="false">IF(AND(ISNUMBER($G311),$G311&gt;=60),MAX(INDEX($D$111:$D311,202-60):$D311),"")</f>
        <v>6503</v>
      </c>
      <c r="N311" s="52" t="n">
        <f aca="false">IF(AND(ISNUMBER($G311),$G311&gt;=60),MIN(INDEX($E$111:$E311,202-60):$E311),"")</f>
        <v>5107</v>
      </c>
      <c r="O311" s="53" t="n">
        <f aca="false">IF(OR(NOT(ISNUMBER($C311)),NOT(ISNUMBER($M311)),$M311=0),"",$C311/$M311-1)</f>
        <v>-0.00292172843303096</v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6373</v>
      </c>
      <c r="D312" s="49" t="n">
        <v>6390</v>
      </c>
      <c r="E312" s="49" t="n">
        <v>6360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-0.0171190623072177</v>
      </c>
      <c r="I312" s="52" t="n">
        <f aca="false">IF(AND(ISNUMBER($G312),$G312&gt;=MA_SHORT),AVERAGE(INDEX($C$5:$C312,309-MA_SHORT):$C312),"")</f>
        <v>6035.95</v>
      </c>
      <c r="J312" s="52" t="n">
        <f aca="false">IF(AND(ISNUMBER($G312),$G312&gt;=MA_MED),AVERAGE(INDEX($C$5:$C312,309-MA_MED):$C312),"")</f>
        <v>5796.76</v>
      </c>
      <c r="K312" s="52" t="n">
        <f aca="false">IF(AND(ISNUMBER($G312),$G312&gt;=MA_LONG2),AVERAGE(INDEX($C$5:$C312,309-MA_LONG2):$C312),"")</f>
        <v>4963.925</v>
      </c>
      <c r="L312" s="53" t="n">
        <f aca="false">IF(AND(ISNUMBER($G312),$G312&gt;=21),STDEV(INDEX($H$252:$H312,62-20):$H312)*SQRT(245),"")</f>
        <v>0.224166297426772</v>
      </c>
      <c r="M312" s="52" t="n">
        <f aca="false">IF(AND(ISNUMBER($G312),$G312&gt;=60),MAX(INDEX($D$112:$D312,202-60):$D312),"")</f>
        <v>6503</v>
      </c>
      <c r="N312" s="52" t="n">
        <f aca="false">IF(AND(ISNUMBER($G312),$G312&gt;=60),MIN(INDEX($E$112:$E312,202-60):$E312),"")</f>
        <v>5107</v>
      </c>
      <c r="O312" s="53" t="n">
        <f aca="false">IF(OR(NOT(ISNUMBER($C312)),NOT(ISNUMBER($M312)),$M312=0),"",$C312/$M312-1)</f>
        <v>-0.0199907734891589</v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6342</v>
      </c>
      <c r="D313" s="49" t="n">
        <v>6356</v>
      </c>
      <c r="E313" s="49" t="n">
        <v>6332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-0.00486427114388832</v>
      </c>
      <c r="I313" s="52" t="n">
        <f aca="false">IF(AND(ISNUMBER($G313),$G313&gt;=MA_SHORT),AVERAGE(INDEX($C$5:$C313,310-MA_SHORT):$C313),"")</f>
        <v>6060.95</v>
      </c>
      <c r="J313" s="52" t="n">
        <f aca="false">IF(AND(ISNUMBER($G313),$G313&gt;=MA_MED),AVERAGE(INDEX($C$5:$C313,310-MA_MED):$C313),"")</f>
        <v>5818.18</v>
      </c>
      <c r="K313" s="52" t="n">
        <f aca="false">IF(AND(ISNUMBER($G313),$G313&gt;=MA_LONG2),AVERAGE(INDEX($C$5:$C313,310-MA_LONG2):$C313),"")</f>
        <v>4977.41</v>
      </c>
      <c r="L313" s="53" t="n">
        <f aca="false">IF(AND(ISNUMBER($G313),$G313&gt;=21),STDEV(INDEX($H$253:$H313,62-20):$H313)*SQRT(245),"")</f>
        <v>0.208631195171007</v>
      </c>
      <c r="M313" s="52" t="n">
        <f aca="false">IF(AND(ISNUMBER($G313),$G313&gt;=60),MAX(INDEX($D$113:$D313,202-60):$D313),"")</f>
        <v>6503</v>
      </c>
      <c r="N313" s="52" t="n">
        <f aca="false">IF(AND(ISNUMBER($G313),$G313&gt;=60),MIN(INDEX($E$113:$E313,202-60):$E313),"")</f>
        <v>5107</v>
      </c>
      <c r="O313" s="53" t="n">
        <f aca="false">IF(OR(NOT(ISNUMBER($C313)),NOT(ISNUMBER($M313)),$M313=0),"",$C313/$M313-1)</f>
        <v>-0.0247578040904198</v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6349</v>
      </c>
      <c r="D314" s="49" t="n">
        <v>6428</v>
      </c>
      <c r="E314" s="49" t="n">
        <v>6311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0.00110375275938179</v>
      </c>
      <c r="I314" s="52" t="n">
        <f aca="false">IF(AND(ISNUMBER($G314),$G314&gt;=MA_SHORT),AVERAGE(INDEX($C$5:$C314,311-MA_SHORT):$C314),"")</f>
        <v>6090.85</v>
      </c>
      <c r="J314" s="52" t="n">
        <f aca="false">IF(AND(ISNUMBER($G314),$G314&gt;=MA_MED),AVERAGE(INDEX($C$5:$C314,311-MA_MED):$C314),"")</f>
        <v>5840.48</v>
      </c>
      <c r="K314" s="52" t="n">
        <f aca="false">IF(AND(ISNUMBER($G314),$G314&gt;=MA_LONG2),AVERAGE(INDEX($C$5:$C314,311-MA_LONG2):$C314),"")</f>
        <v>4990.925</v>
      </c>
      <c r="L314" s="53" t="n">
        <f aca="false">IF(AND(ISNUMBER($G314),$G314&gt;=21),STDEV(INDEX($H$254:$H314,62-20):$H314)*SQRT(245),"")</f>
        <v>0.196031892705976</v>
      </c>
      <c r="M314" s="52" t="n">
        <f aca="false">IF(AND(ISNUMBER($G314),$G314&gt;=60),MAX(INDEX($D$114:$D314,202-60):$D314),"")</f>
        <v>6503</v>
      </c>
      <c r="N314" s="52" t="n">
        <f aca="false">IF(AND(ISNUMBER($G314),$G314&gt;=60),MIN(INDEX($E$114:$E314,202-60):$E314),"")</f>
        <v>5107</v>
      </c>
      <c r="O314" s="53" t="n">
        <f aca="false">IF(OR(NOT(ISNUMBER($C314)),NOT(ISNUMBER($M314)),$M314=0),"",$C314/$M314-1)</f>
        <v>-0.023681377825619</v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6169</v>
      </c>
      <c r="D315" s="49" t="n">
        <v>6180</v>
      </c>
      <c r="E315" s="49" t="n">
        <v>6133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-0.0283509214049457</v>
      </c>
      <c r="I315" s="52" t="n">
        <f aca="false">IF(AND(ISNUMBER($G315),$G315&gt;=MA_SHORT),AVERAGE(INDEX($C$5:$C315,312-MA_SHORT):$C315),"")</f>
        <v>6106.05</v>
      </c>
      <c r="J315" s="52" t="n">
        <f aca="false">IF(AND(ISNUMBER($G315),$G315&gt;=MA_MED),AVERAGE(INDEX($C$5:$C315,312-MA_MED):$C315),"")</f>
        <v>5858.48</v>
      </c>
      <c r="K315" s="52" t="n">
        <f aca="false">IF(AND(ISNUMBER($G315),$G315&gt;=MA_LONG2),AVERAGE(INDEX($C$5:$C315,312-MA_LONG2):$C315),"")</f>
        <v>5003.575</v>
      </c>
      <c r="L315" s="53" t="n">
        <f aca="false">IF(AND(ISNUMBER($G315),$G315&gt;=21),STDEV(INDEX($H$255:$H315,62-20):$H315)*SQRT(245),"")</f>
        <v>0.220186045148202</v>
      </c>
      <c r="M315" s="52" t="n">
        <f aca="false">IF(AND(ISNUMBER($G315),$G315&gt;=60),MAX(INDEX($D$115:$D315,202-60):$D315),"")</f>
        <v>6503</v>
      </c>
      <c r="N315" s="52" t="n">
        <f aca="false">IF(AND(ISNUMBER($G315),$G315&gt;=60),MIN(INDEX($E$115:$E315,202-60):$E315),"")</f>
        <v>5107</v>
      </c>
      <c r="O315" s="53" t="n">
        <f aca="false">IF(OR(NOT(ISNUMBER($C315)),NOT(ISNUMBER($M315)),$M315=0),"",$C315/$M315-1)</f>
        <v>-0.0513609103490696</v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6201</v>
      </c>
      <c r="D316" s="49" t="n">
        <v>6201</v>
      </c>
      <c r="E316" s="49" t="n">
        <v>6193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0.00518722645485492</v>
      </c>
      <c r="I316" s="52" t="n">
        <f aca="false">IF(AND(ISNUMBER($G316),$G316&gt;=MA_SHORT),AVERAGE(INDEX($C$5:$C316,313-MA_SHORT):$C316),"")</f>
        <v>6122.05</v>
      </c>
      <c r="J316" s="52" t="n">
        <f aca="false">IF(AND(ISNUMBER($G316),$G316&gt;=MA_MED),AVERAGE(INDEX($C$5:$C316,313-MA_MED):$C316),"")</f>
        <v>5876.6</v>
      </c>
      <c r="K316" s="52" t="n">
        <f aca="false">IF(AND(ISNUMBER($G316),$G316&gt;=MA_LONG2),AVERAGE(INDEX($C$5:$C316,313-MA_LONG2):$C316),"")</f>
        <v>5016.315</v>
      </c>
      <c r="L316" s="53" t="n">
        <f aca="false">IF(AND(ISNUMBER($G316),$G316&gt;=21),STDEV(INDEX($H$256:$H316,62-20):$H316)*SQRT(245),"")</f>
        <v>0.220369235238837</v>
      </c>
      <c r="M316" s="52" t="n">
        <f aca="false">IF(AND(ISNUMBER($G316),$G316&gt;=60),MAX(INDEX($D$116:$D316,202-60):$D316),"")</f>
        <v>6503</v>
      </c>
      <c r="N316" s="52" t="n">
        <f aca="false">IF(AND(ISNUMBER($G316),$G316&gt;=60),MIN(INDEX($E$116:$E316,202-60):$E316),"")</f>
        <v>5107</v>
      </c>
      <c r="O316" s="53" t="n">
        <f aca="false">IF(OR(NOT(ISNUMBER($C316)),NOT(ISNUMBER($M316)),$M316=0),"",$C316/$M316-1)</f>
        <v>-0.0464401045671229</v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6178</v>
      </c>
      <c r="D317" s="49" t="n">
        <v>6185</v>
      </c>
      <c r="E317" s="49" t="n">
        <v>6162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-0.00370907918077734</v>
      </c>
      <c r="I317" s="52" t="n">
        <f aca="false">IF(AND(ISNUMBER($G317),$G317&gt;=MA_SHORT),AVERAGE(INDEX($C$5:$C317,314-MA_SHORT):$C317),"")</f>
        <v>6135.7</v>
      </c>
      <c r="J317" s="52" t="n">
        <f aca="false">IF(AND(ISNUMBER($G317),$G317&gt;=MA_MED),AVERAGE(INDEX($C$5:$C317,314-MA_MED):$C317),"")</f>
        <v>5893.2</v>
      </c>
      <c r="K317" s="52" t="n">
        <f aca="false">IF(AND(ISNUMBER($G317),$G317&gt;=MA_LONG2),AVERAGE(INDEX($C$5:$C317,314-MA_LONG2):$C317),"")</f>
        <v>5028.69</v>
      </c>
      <c r="L317" s="53" t="n">
        <f aca="false">IF(AND(ISNUMBER($G317),$G317&gt;=21),STDEV(INDEX($H$257:$H317,62-20):$H317)*SQRT(245),"")</f>
        <v>0.221445050676428</v>
      </c>
      <c r="M317" s="52" t="n">
        <f aca="false">IF(AND(ISNUMBER($G317),$G317&gt;=60),MAX(INDEX($D$117:$D317,202-60):$D317),"")</f>
        <v>6503</v>
      </c>
      <c r="N317" s="52" t="n">
        <f aca="false">IF(AND(ISNUMBER($G317),$G317&gt;=60),MIN(INDEX($E$117:$E317,202-60):$E317),"")</f>
        <v>5107</v>
      </c>
      <c r="O317" s="53" t="n">
        <f aca="false">IF(OR(NOT(ISNUMBER($C317)),NOT(ISNUMBER($M317)),$M317=0),"",$C317/$M317-1)</f>
        <v>-0.0499769337228971</v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6215</v>
      </c>
      <c r="D318" s="49" t="n">
        <v>6246</v>
      </c>
      <c r="E318" s="49" t="n">
        <v>6187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0.00598899320168345</v>
      </c>
      <c r="I318" s="52" t="n">
        <f aca="false">IF(AND(ISNUMBER($G318),$G318&gt;=MA_SHORT),AVERAGE(INDEX($C$5:$C318,315-MA_SHORT):$C318),"")</f>
        <v>6155.1</v>
      </c>
      <c r="J318" s="52" t="n">
        <f aca="false">IF(AND(ISNUMBER($G318),$G318&gt;=MA_MED),AVERAGE(INDEX($C$5:$C318,315-MA_MED):$C318),"")</f>
        <v>5908.5</v>
      </c>
      <c r="K318" s="52" t="n">
        <f aca="false">IF(AND(ISNUMBER($G318),$G318&gt;=MA_LONG2),AVERAGE(INDEX($C$5:$C318,315-MA_LONG2):$C318),"")</f>
        <v>5040.65</v>
      </c>
      <c r="L318" s="53" t="n">
        <f aca="false">IF(AND(ISNUMBER($G318),$G318&gt;=21),STDEV(INDEX($H$258:$H318,62-20):$H318)*SQRT(245),"")</f>
        <v>0.214116516887305</v>
      </c>
      <c r="M318" s="52" t="n">
        <f aca="false">IF(AND(ISNUMBER($G318),$G318&gt;=60),MAX(INDEX($D$118:$D318,202-60):$D318),"")</f>
        <v>6503</v>
      </c>
      <c r="N318" s="52" t="n">
        <f aca="false">IF(AND(ISNUMBER($G318),$G318&gt;=60),MIN(INDEX($E$118:$E318,202-60):$E318),"")</f>
        <v>5107</v>
      </c>
      <c r="O318" s="53" t="n">
        <f aca="false">IF(OR(NOT(ISNUMBER($C318)),NOT(ISNUMBER($M318)),$M318=0),"",$C318/$M318-1)</f>
        <v>-0.0442872520375212</v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6263</v>
      </c>
      <c r="D319" s="49" t="n">
        <v>6278</v>
      </c>
      <c r="E319" s="49" t="n">
        <v>6251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0.00772325020112641</v>
      </c>
      <c r="I319" s="52" t="n">
        <f aca="false">IF(AND(ISNUMBER($G319),$G319&gt;=MA_SHORT),AVERAGE(INDEX($C$5:$C319,316-MA_SHORT):$C319),"")</f>
        <v>6178.55</v>
      </c>
      <c r="J319" s="52" t="n">
        <f aca="false">IF(AND(ISNUMBER($G319),$G319&gt;=MA_MED),AVERAGE(INDEX($C$5:$C319,316-MA_MED):$C319),"")</f>
        <v>5924.86</v>
      </c>
      <c r="K319" s="52" t="n">
        <f aca="false">IF(AND(ISNUMBER($G319),$G319&gt;=MA_LONG2),AVERAGE(INDEX($C$5:$C319,316-MA_LONG2):$C319),"")</f>
        <v>5052.88</v>
      </c>
      <c r="L319" s="53" t="n">
        <f aca="false">IF(AND(ISNUMBER($G319),$G319&gt;=21),STDEV(INDEX($H$259:$H319,62-20):$H319)*SQRT(245),"")</f>
        <v>0.21199244853373</v>
      </c>
      <c r="M319" s="52" t="n">
        <f aca="false">IF(AND(ISNUMBER($G319),$G319&gt;=60),MAX(INDEX($D$119:$D319,202-60):$D319),"")</f>
        <v>6503</v>
      </c>
      <c r="N319" s="52" t="n">
        <f aca="false">IF(AND(ISNUMBER($G319),$G319&gt;=60),MIN(INDEX($E$119:$E319,202-60):$E319),"")</f>
        <v>5107</v>
      </c>
      <c r="O319" s="53" t="n">
        <f aca="false">IF(OR(NOT(ISNUMBER($C319)),NOT(ISNUMBER($M319)),$M319=0),"",$C319/$M319-1)</f>
        <v>-0.0369060433646009</v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6312</v>
      </c>
      <c r="D320" s="49" t="n">
        <v>6325</v>
      </c>
      <c r="E320" s="49" t="n">
        <v>6291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0.00782372664857101</v>
      </c>
      <c r="I320" s="52" t="n">
        <f aca="false">IF(AND(ISNUMBER($G320),$G320&gt;=MA_SHORT),AVERAGE(INDEX($C$5:$C320,317-MA_SHORT):$C320),"")</f>
        <v>6203.2</v>
      </c>
      <c r="J320" s="52" t="n">
        <f aca="false">IF(AND(ISNUMBER($G320),$G320&gt;=MA_MED),AVERAGE(INDEX($C$5:$C320,317-MA_MED):$C320),"")</f>
        <v>5943.3</v>
      </c>
      <c r="K320" s="52" t="n">
        <f aca="false">IF(AND(ISNUMBER($G320),$G320&gt;=MA_LONG2),AVERAGE(INDEX($C$5:$C320,317-MA_LONG2):$C320),"")</f>
        <v>5065.505</v>
      </c>
      <c r="L320" s="53" t="n">
        <f aca="false">IF(AND(ISNUMBER($G320),$G320&gt;=21),STDEV(INDEX($H$260:$H320,62-20):$H320)*SQRT(245),"")</f>
        <v>0.212417873319697</v>
      </c>
      <c r="M320" s="52" t="n">
        <f aca="false">IF(AND(ISNUMBER($G320),$G320&gt;=60),MAX(INDEX($D$120:$D320,202-60):$D320),"")</f>
        <v>6503</v>
      </c>
      <c r="N320" s="52" t="n">
        <f aca="false">IF(AND(ISNUMBER($G320),$G320&gt;=60),MIN(INDEX($E$120:$E320,202-60):$E320),"")</f>
        <v>5134</v>
      </c>
      <c r="O320" s="53" t="n">
        <f aca="false">IF(OR(NOT(ISNUMBER($C320)),NOT(ISNUMBER($M320)),$M320=0),"",$C320/$M320-1)</f>
        <v>-0.0293710595109949</v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6357</v>
      </c>
      <c r="D321" s="49" t="n">
        <v>6419</v>
      </c>
      <c r="E321" s="49" t="n">
        <v>6345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0.00712927756653992</v>
      </c>
      <c r="I321" s="52" t="n">
        <f aca="false">IF(AND(ISNUMBER($G321),$G321&gt;=MA_SHORT),AVERAGE(INDEX($C$5:$C321,318-MA_SHORT):$C321),"")</f>
        <v>6228.4</v>
      </c>
      <c r="J321" s="52" t="n">
        <f aca="false">IF(AND(ISNUMBER($G321),$G321&gt;=MA_MED),AVERAGE(INDEX($C$5:$C321,318-MA_MED):$C321),"")</f>
        <v>5962.74</v>
      </c>
      <c r="K321" s="52" t="n">
        <f aca="false">IF(AND(ISNUMBER($G321),$G321&gt;=MA_LONG2),AVERAGE(INDEX($C$5:$C321,318-MA_LONG2):$C321),"")</f>
        <v>5078.6</v>
      </c>
      <c r="L321" s="53" t="n">
        <f aca="false">IF(AND(ISNUMBER($G321),$G321&gt;=21),STDEV(INDEX($H$261:$H321,62-20):$H321)*SQRT(245),"")</f>
        <v>0.21259678838554</v>
      </c>
      <c r="M321" s="52" t="n">
        <f aca="false">IF(AND(ISNUMBER($G321),$G321&gt;=60),MAX(INDEX($D$121:$D321,202-60):$D321),"")</f>
        <v>6503</v>
      </c>
      <c r="N321" s="52" t="n">
        <f aca="false">IF(AND(ISNUMBER($G321),$G321&gt;=60),MIN(INDEX($E$121:$E321,202-60):$E321),"")</f>
        <v>5215</v>
      </c>
      <c r="O321" s="53" t="n">
        <f aca="false">IF(OR(NOT(ISNUMBER($C321)),NOT(ISNUMBER($M321)),$M321=0),"",$C321/$M321-1)</f>
        <v>-0.0224511763801323</v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6481</v>
      </c>
      <c r="D322" s="49" t="n">
        <v>6503</v>
      </c>
      <c r="E322" s="49" t="n">
        <v>6415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0.0195060563158722</v>
      </c>
      <c r="I322" s="52" t="n">
        <f aca="false">IF(AND(ISNUMBER($G322),$G322&gt;=MA_SHORT),AVERAGE(INDEX($C$5:$C322,319-MA_SHORT):$C322),"")</f>
        <v>6255.95</v>
      </c>
      <c r="J322" s="52" t="n">
        <f aca="false">IF(AND(ISNUMBER($G322),$G322&gt;=MA_MED),AVERAGE(INDEX($C$5:$C322,319-MA_MED):$C322),"")</f>
        <v>5984.76</v>
      </c>
      <c r="K322" s="52" t="n">
        <f aca="false">IF(AND(ISNUMBER($G322),$G322&gt;=MA_LONG2),AVERAGE(INDEX($C$5:$C322,319-MA_LONG2):$C322),"")</f>
        <v>5092.175</v>
      </c>
      <c r="L322" s="53" t="n">
        <f aca="false">IF(AND(ISNUMBER($G322),$G322&gt;=21),STDEV(INDEX($H$262:$H322,62-20):$H322)*SQRT(245),"")</f>
        <v>0.217149343822105</v>
      </c>
      <c r="M322" s="52" t="n">
        <f aca="false">IF(AND(ISNUMBER($G322),$G322&gt;=60),MAX(INDEX($D$122:$D322,202-60):$D322),"")</f>
        <v>6503</v>
      </c>
      <c r="N322" s="52" t="n">
        <f aca="false">IF(AND(ISNUMBER($G322),$G322&gt;=60),MIN(INDEX($E$122:$E322,202-60):$E322),"")</f>
        <v>5229</v>
      </c>
      <c r="O322" s="53" t="n">
        <f aca="false">IF(OR(NOT(ISNUMBER($C322)),NOT(ISNUMBER($M322)),$M322=0),"",$C322/$M322-1)</f>
        <v>-0.00338305397508842</v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6559</v>
      </c>
      <c r="D323" s="49" t="n">
        <v>6591</v>
      </c>
      <c r="E323" s="49" t="n">
        <v>6558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0.0120351797562104</v>
      </c>
      <c r="I323" s="52" t="n">
        <f aca="false">IF(AND(ISNUMBER($G323),$G323&gt;=MA_SHORT),AVERAGE(INDEX($C$5:$C323,320-MA_SHORT):$C323),"")</f>
        <v>6290.45</v>
      </c>
      <c r="J323" s="52" t="n">
        <f aca="false">IF(AND(ISNUMBER($G323),$G323&gt;=MA_MED),AVERAGE(INDEX($C$5:$C323,320-MA_MED):$C323),"")</f>
        <v>6006.54</v>
      </c>
      <c r="K323" s="52" t="n">
        <f aca="false">IF(AND(ISNUMBER($G323),$G323&gt;=MA_LONG2),AVERAGE(INDEX($C$5:$C323,320-MA_LONG2):$C323),"")</f>
        <v>5106.15</v>
      </c>
      <c r="L323" s="53" t="n">
        <f aca="false">IF(AND(ISNUMBER($G323),$G323&gt;=21),STDEV(INDEX($H$263:$H323,62-20):$H323)*SQRT(245),"")</f>
        <v>0.211471648522584</v>
      </c>
      <c r="M323" s="52" t="n">
        <f aca="false">IF(AND(ISNUMBER($G323),$G323&gt;=60),MAX(INDEX($D$123:$D323,202-60):$D323),"")</f>
        <v>6591</v>
      </c>
      <c r="N323" s="52" t="n">
        <f aca="false">IF(AND(ISNUMBER($G323),$G323&gt;=60),MIN(INDEX($E$123:$E323,202-60):$E323),"")</f>
        <v>5232</v>
      </c>
      <c r="O323" s="53" t="n">
        <f aca="false">IF(OR(NOT(ISNUMBER($C323)),NOT(ISNUMBER($M323)),$M323=0),"",$C323/$M323-1)</f>
        <v>-0.00485510544682144</v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6489</v>
      </c>
      <c r="D324" s="49" t="n">
        <v>6525</v>
      </c>
      <c r="E324" s="49" t="n">
        <v>6477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-0.0106723585912487</v>
      </c>
      <c r="I324" s="52" t="n">
        <f aca="false">IF(AND(ISNUMBER($G324),$G324&gt;=MA_SHORT),AVERAGE(INDEX($C$5:$C324,321-MA_SHORT):$C324),"")</f>
        <v>6319.1</v>
      </c>
      <c r="J324" s="52" t="n">
        <f aca="false">IF(AND(ISNUMBER($G324),$G324&gt;=MA_MED),AVERAGE(INDEX($C$5:$C324,321-MA_MED):$C324),"")</f>
        <v>6024.64</v>
      </c>
      <c r="K324" s="52" t="n">
        <f aca="false">IF(AND(ISNUMBER($G324),$G324&gt;=MA_LONG2),AVERAGE(INDEX($C$5:$C324,321-MA_LONG2):$C324),"")</f>
        <v>5119.27</v>
      </c>
      <c r="L324" s="53" t="n">
        <f aca="false">IF(AND(ISNUMBER($G324),$G324&gt;=21),STDEV(INDEX($H$264:$H324,62-20):$H324)*SQRT(245),"")</f>
        <v>0.218777599875219</v>
      </c>
      <c r="M324" s="52" t="n">
        <f aca="false">IF(AND(ISNUMBER($G324),$G324&gt;=60),MAX(INDEX($D$124:$D324,202-60):$D324),"")</f>
        <v>6591</v>
      </c>
      <c r="N324" s="52" t="n">
        <f aca="false">IF(AND(ISNUMBER($G324),$G324&gt;=60),MIN(INDEX($E$124:$E324,202-60):$E324),"")</f>
        <v>5262</v>
      </c>
      <c r="O324" s="53" t="n">
        <f aca="false">IF(OR(NOT(ISNUMBER($C324)),NOT(ISNUMBER($M324)),$M324=0),"",$C324/$M324-1)</f>
        <v>-0.0154756486117433</v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6677</v>
      </c>
      <c r="D325" s="49" t="n">
        <v>6685</v>
      </c>
      <c r="E325" s="49" t="n">
        <v>6630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0.0289721066420097</v>
      </c>
      <c r="I325" s="52" t="n">
        <f aca="false">IF(AND(ISNUMBER($G325),$G325&gt;=MA_SHORT),AVERAGE(INDEX($C$5:$C325,322-MA_SHORT):$C325),"")</f>
        <v>6346.35</v>
      </c>
      <c r="J325" s="52" t="n">
        <f aca="false">IF(AND(ISNUMBER($G325),$G325&gt;=MA_MED),AVERAGE(INDEX($C$5:$C325,322-MA_MED):$C325),"")</f>
        <v>6046.24</v>
      </c>
      <c r="K325" s="52" t="n">
        <f aca="false">IF(AND(ISNUMBER($G325),$G325&gt;=MA_LONG2),AVERAGE(INDEX($C$5:$C325,322-MA_LONG2):$C325),"")</f>
        <v>5133.455</v>
      </c>
      <c r="L325" s="53" t="n">
        <f aca="false">IF(AND(ISNUMBER($G325),$G325&gt;=21),STDEV(INDEX($H$265:$H325,62-20):$H325)*SQRT(245),"")</f>
        <v>0.205863793115042</v>
      </c>
      <c r="M325" s="52" t="n">
        <f aca="false">IF(AND(ISNUMBER($G325),$G325&gt;=60),MAX(INDEX($D$125:$D325,202-60):$D325),"")</f>
        <v>6685</v>
      </c>
      <c r="N325" s="52" t="n">
        <f aca="false">IF(AND(ISNUMBER($G325),$G325&gt;=60),MIN(INDEX($E$125:$E325,202-60):$E325),"")</f>
        <v>5280</v>
      </c>
      <c r="O325" s="53" t="n">
        <f aca="false">IF(OR(NOT(ISNUMBER($C325)),NOT(ISNUMBER($M325)),$M325=0),"",$C325/$M325-1)</f>
        <v>-0.00119670905011215</v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6664</v>
      </c>
      <c r="D326" s="49" t="n">
        <v>6668</v>
      </c>
      <c r="E326" s="49" t="n">
        <v>6653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-0.00194698217762468</v>
      </c>
      <c r="I326" s="52" t="n">
        <f aca="false">IF(AND(ISNUMBER($G326),$G326&gt;=MA_SHORT),AVERAGE(INDEX($C$5:$C326,323-MA_SHORT):$C326),"")</f>
        <v>6371</v>
      </c>
      <c r="J326" s="52" t="n">
        <f aca="false">IF(AND(ISNUMBER($G326),$G326&gt;=MA_MED),AVERAGE(INDEX($C$5:$C326,323-MA_MED):$C326),"")</f>
        <v>6067.76</v>
      </c>
      <c r="K326" s="52" t="n">
        <f aca="false">IF(AND(ISNUMBER($G326),$G326&gt;=MA_LONG2),AVERAGE(INDEX($C$5:$C326,323-MA_LONG2):$C326),"")</f>
        <v>5147.91</v>
      </c>
      <c r="L326" s="53" t="n">
        <f aca="false">IF(AND(ISNUMBER($G326),$G326&gt;=21),STDEV(INDEX($H$266:$H326,62-20):$H326)*SQRT(245),"")</f>
        <v>0.206867918361915</v>
      </c>
      <c r="M326" s="52" t="n">
        <f aca="false">IF(AND(ISNUMBER($G326),$G326&gt;=60),MAX(INDEX($D$126:$D326,202-60):$D326),"")</f>
        <v>6685</v>
      </c>
      <c r="N326" s="52" t="n">
        <f aca="false">IF(AND(ISNUMBER($G326),$G326&gt;=60),MIN(INDEX($E$126:$E326,202-60):$E326),"")</f>
        <v>5343</v>
      </c>
      <c r="O326" s="53" t="n">
        <f aca="false">IF(OR(NOT(ISNUMBER($C326)),NOT(ISNUMBER($M326)),$M326=0),"",$C326/$M326-1)</f>
        <v>-0.00314136125654452</v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6626</v>
      </c>
      <c r="D327" s="49" t="n">
        <v>6682</v>
      </c>
      <c r="E327" s="49" t="n">
        <v>6616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-0.00570228091236491</v>
      </c>
      <c r="I327" s="52" t="n">
        <f aca="false">IF(AND(ISNUMBER($G327),$G327&gt;=MA_SHORT),AVERAGE(INDEX($C$5:$C327,324-MA_SHORT):$C327),"")</f>
        <v>6388.1</v>
      </c>
      <c r="J327" s="52" t="n">
        <f aca="false">IF(AND(ISNUMBER($G327),$G327&gt;=MA_MED),AVERAGE(INDEX($C$5:$C327,324-MA_MED):$C327),"")</f>
        <v>6087.46</v>
      </c>
      <c r="K327" s="52" t="n">
        <f aca="false">IF(AND(ISNUMBER($G327),$G327&gt;=MA_LONG2),AVERAGE(INDEX($C$5:$C327,324-MA_LONG2):$C327),"")</f>
        <v>5161.985</v>
      </c>
      <c r="L327" s="53" t="n">
        <f aca="false">IF(AND(ISNUMBER($G327),$G327&gt;=21),STDEV(INDEX($H$267:$H327,62-20):$H327)*SQRT(245),"")</f>
        <v>0.202371035026187</v>
      </c>
      <c r="M327" s="52" t="n">
        <f aca="false">IF(AND(ISNUMBER($G327),$G327&gt;=60),MAX(INDEX($D$127:$D327,202-60):$D327),"")</f>
        <v>6685</v>
      </c>
      <c r="N327" s="52" t="n">
        <f aca="false">IF(AND(ISNUMBER($G327),$G327&gt;=60),MIN(INDEX($E$127:$E327,202-60):$E327),"")</f>
        <v>5343</v>
      </c>
      <c r="O327" s="53" t="n">
        <f aca="false">IF(OR(NOT(ISNUMBER($C327)),NOT(ISNUMBER($M327)),$M327=0),"",$C327/$M327-1)</f>
        <v>-0.00882572924457736</v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6538</v>
      </c>
      <c r="D328" s="49" t="n">
        <v>6551</v>
      </c>
      <c r="E328" s="49" t="n">
        <v>6504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-0.0132810141865379</v>
      </c>
      <c r="I328" s="52" t="n">
        <f aca="false">IF(AND(ISNUMBER($G328),$G328&gt;=MA_SHORT),AVERAGE(INDEX($C$5:$C328,325-MA_SHORT):$C328),"")</f>
        <v>6400.3</v>
      </c>
      <c r="J328" s="52" t="n">
        <f aca="false">IF(AND(ISNUMBER($G328),$G328&gt;=MA_MED),AVERAGE(INDEX($C$5:$C328,325-MA_MED):$C328),"")</f>
        <v>6103.9</v>
      </c>
      <c r="K328" s="52" t="n">
        <f aca="false">IF(AND(ISNUMBER($G328),$G328&gt;=MA_LONG2),AVERAGE(INDEX($C$5:$C328,325-MA_LONG2):$C328),"")</f>
        <v>5175.175</v>
      </c>
      <c r="L328" s="53" t="n">
        <f aca="false">IF(AND(ISNUMBER($G328),$G328&gt;=21),STDEV(INDEX($H$268:$H328,62-20):$H328)*SQRT(245),"")</f>
        <v>0.21000317539919</v>
      </c>
      <c r="M328" s="52" t="n">
        <f aca="false">IF(AND(ISNUMBER($G328),$G328&gt;=60),MAX(INDEX($D$128:$D328,202-60):$D328),"")</f>
        <v>6685</v>
      </c>
      <c r="N328" s="52" t="n">
        <f aca="false">IF(AND(ISNUMBER($G328),$G328&gt;=60),MIN(INDEX($E$128:$E328,202-60):$E328),"")</f>
        <v>5343</v>
      </c>
      <c r="O328" s="53" t="n">
        <f aca="false">IF(OR(NOT(ISNUMBER($C328)),NOT(ISNUMBER($M328)),$M328=0),"",$C328/$M328-1)</f>
        <v>-0.0219895287958115</v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6515</v>
      </c>
      <c r="D329" s="49" t="n">
        <v>6527</v>
      </c>
      <c r="E329" s="49" t="n">
        <v>6482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-0.00351789538085046</v>
      </c>
      <c r="I329" s="52" t="n">
        <f aca="false">IF(AND(ISNUMBER($G329),$G329&gt;=MA_SHORT),AVERAGE(INDEX($C$5:$C329,326-MA_SHORT):$C329),"")</f>
        <v>6408.05</v>
      </c>
      <c r="J329" s="52" t="n">
        <f aca="false">IF(AND(ISNUMBER($G329),$G329&gt;=MA_MED),AVERAGE(INDEX($C$5:$C329,326-MA_MED):$C329),"")</f>
        <v>6119.68</v>
      </c>
      <c r="K329" s="52" t="n">
        <f aca="false">IF(AND(ISNUMBER($G329),$G329&gt;=MA_LONG2),AVERAGE(INDEX($C$5:$C329,326-MA_LONG2):$C329),"")</f>
        <v>5188.53</v>
      </c>
      <c r="L329" s="53" t="n">
        <f aca="false">IF(AND(ISNUMBER($G329),$G329&gt;=21),STDEV(INDEX($H$269:$H329,62-20):$H329)*SQRT(245),"")</f>
        <v>0.208410483484212</v>
      </c>
      <c r="M329" s="52" t="n">
        <f aca="false">IF(AND(ISNUMBER($G329),$G329&gt;=60),MAX(INDEX($D$129:$D329,202-60):$D329),"")</f>
        <v>6685</v>
      </c>
      <c r="N329" s="52" t="n">
        <f aca="false">IF(AND(ISNUMBER($G329),$G329&gt;=60),MIN(INDEX($E$129:$E329,202-60):$E329),"")</f>
        <v>5343</v>
      </c>
      <c r="O329" s="53" t="n">
        <f aca="false">IF(OR(NOT(ISNUMBER($C329)),NOT(ISNUMBER($M329)),$M329=0),"",$C329/$M329-1)</f>
        <v>-0.0254300673148841</v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6540</v>
      </c>
      <c r="D330" s="49" t="n">
        <v>6557</v>
      </c>
      <c r="E330" s="49" t="n">
        <v>6504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0.00383729854182646</v>
      </c>
      <c r="I330" s="52" t="n">
        <f aca="false">IF(AND(ISNUMBER($G330),$G330&gt;=MA_SHORT),AVERAGE(INDEX($C$5:$C330,327-MA_SHORT):$C330),"")</f>
        <v>6416.6</v>
      </c>
      <c r="J330" s="52" t="n">
        <f aca="false">IF(AND(ISNUMBER($G330),$G330&gt;=MA_MED),AVERAGE(INDEX($C$5:$C330,327-MA_MED):$C330),"")</f>
        <v>6135.3</v>
      </c>
      <c r="K330" s="52" t="n">
        <f aca="false">IF(AND(ISNUMBER($G330),$G330&gt;=MA_LONG2),AVERAGE(INDEX($C$5:$C330,327-MA_LONG2):$C330),"")</f>
        <v>5201.97</v>
      </c>
      <c r="L330" s="53" t="n">
        <f aca="false">IF(AND(ISNUMBER($G330),$G330&gt;=21),STDEV(INDEX($H$270:$H330,62-20):$H330)*SQRT(245),"")</f>
        <v>0.208601743517938</v>
      </c>
      <c r="M330" s="52" t="n">
        <f aca="false">IF(AND(ISNUMBER($G330),$G330&gt;=60),MAX(INDEX($D$130:$D330,202-60):$D330),"")</f>
        <v>6685</v>
      </c>
      <c r="N330" s="52" t="n">
        <f aca="false">IF(AND(ISNUMBER($G330),$G330&gt;=60),MIN(INDEX($E$130:$E330,202-60):$E330),"")</f>
        <v>5343</v>
      </c>
      <c r="O330" s="53" t="n">
        <f aca="false">IF(OR(NOT(ISNUMBER($C330)),NOT(ISNUMBER($M330)),$M330=0),"",$C330/$M330-1)</f>
        <v>-0.0216903515332835</v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6506</v>
      </c>
      <c r="D331" s="49" t="n">
        <v>6533</v>
      </c>
      <c r="E331" s="49" t="n">
        <v>6505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-0.00519877675840974</v>
      </c>
      <c r="I331" s="52" t="n">
        <f aca="false">IF(AND(ISNUMBER($G331),$G331&gt;=MA_SHORT),AVERAGE(INDEX($C$5:$C331,328-MA_SHORT):$C331),"")</f>
        <v>6417.7</v>
      </c>
      <c r="J331" s="52" t="n">
        <f aca="false">IF(AND(ISNUMBER($G331),$G331&gt;=MA_MED),AVERAGE(INDEX($C$5:$C331,328-MA_MED):$C331),"")</f>
        <v>6147.98</v>
      </c>
      <c r="K331" s="52" t="n">
        <f aca="false">IF(AND(ISNUMBER($G331),$G331&gt;=MA_LONG2),AVERAGE(INDEX($C$5:$C331,328-MA_LONG2):$C331),"")</f>
        <v>5215.415</v>
      </c>
      <c r="L331" s="53" t="n">
        <f aca="false">IF(AND(ISNUMBER($G331),$G331&gt;=21),STDEV(INDEX($H$271:$H331,62-20):$H331)*SQRT(245),"")</f>
        <v>0.200389868699913</v>
      </c>
      <c r="M331" s="52" t="n">
        <f aca="false">IF(AND(ISNUMBER($G331),$G331&gt;=60),MAX(INDEX($D$131:$D331,202-60):$D331),"")</f>
        <v>6685</v>
      </c>
      <c r="N331" s="52" t="n">
        <f aca="false">IF(AND(ISNUMBER($G331),$G331&gt;=60),MIN(INDEX($E$131:$E331,202-60):$E331),"")</f>
        <v>5371</v>
      </c>
      <c r="O331" s="53" t="n">
        <f aca="false">IF(OR(NOT(ISNUMBER($C331)),NOT(ISNUMBER($M331)),$M331=0),"",$C331/$M331-1)</f>
        <v>-0.0267763649962602</v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6320</v>
      </c>
      <c r="D332" s="49" t="n">
        <v>6326</v>
      </c>
      <c r="E332" s="49" t="n">
        <v>6291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-0.0285889947740547</v>
      </c>
      <c r="I332" s="52" t="n">
        <f aca="false">IF(AND(ISNUMBER($G332),$G332&gt;=MA_SHORT),AVERAGE(INDEX($C$5:$C332,329-MA_SHORT):$C332),"")</f>
        <v>6415.05</v>
      </c>
      <c r="J332" s="52" t="n">
        <f aca="false">IF(AND(ISNUMBER($G332),$G332&gt;=MA_MED),AVERAGE(INDEX($C$5:$C332,329-MA_MED):$C332),"")</f>
        <v>6158</v>
      </c>
      <c r="K332" s="52" t="n">
        <f aca="false">IF(AND(ISNUMBER($G332),$G332&gt;=MA_LONG2),AVERAGE(INDEX($C$5:$C332,329-MA_LONG2):$C332),"")</f>
        <v>5227.935</v>
      </c>
      <c r="L332" s="53" t="n">
        <f aca="false">IF(AND(ISNUMBER($G332),$G332&gt;=21),STDEV(INDEX($H$272:$H332,62-20):$H332)*SQRT(245),"")</f>
        <v>0.216574944104858</v>
      </c>
      <c r="M332" s="52" t="n">
        <f aca="false">IF(AND(ISNUMBER($G332),$G332&gt;=60),MAX(INDEX($D$132:$D332,202-60):$D332),"")</f>
        <v>6685</v>
      </c>
      <c r="N332" s="52" t="n">
        <f aca="false">IF(AND(ISNUMBER($G332),$G332&gt;=60),MIN(INDEX($E$132:$E332,202-60):$E332),"")</f>
        <v>5449</v>
      </c>
      <c r="O332" s="53" t="n">
        <f aca="false">IF(OR(NOT(ISNUMBER($C332)),NOT(ISNUMBER($M332)),$M332=0),"",$C332/$M332-1)</f>
        <v>-0.0545998504113687</v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6416</v>
      </c>
      <c r="D333" s="49" t="n">
        <v>6419</v>
      </c>
      <c r="E333" s="49" t="n">
        <v>6383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0.0151898734177216</v>
      </c>
      <c r="I333" s="52" t="n">
        <f aca="false">IF(AND(ISNUMBER($G333),$G333&gt;=MA_SHORT),AVERAGE(INDEX($C$5:$C333,330-MA_SHORT):$C333),"")</f>
        <v>6418.75</v>
      </c>
      <c r="J333" s="52" t="n">
        <f aca="false">IF(AND(ISNUMBER($G333),$G333&gt;=MA_MED),AVERAGE(INDEX($C$5:$C333,330-MA_MED):$C333),"")</f>
        <v>6169.4</v>
      </c>
      <c r="K333" s="52" t="n">
        <f aca="false">IF(AND(ISNUMBER($G333),$G333&gt;=MA_LONG2),AVERAGE(INDEX($C$5:$C333,330-MA_LONG2):$C333),"")</f>
        <v>5240.83</v>
      </c>
      <c r="L333" s="53" t="n">
        <f aca="false">IF(AND(ISNUMBER($G333),$G333&gt;=21),STDEV(INDEX($H$273:$H333,62-20):$H333)*SQRT(245),"")</f>
        <v>0.222450648868197</v>
      </c>
      <c r="M333" s="52" t="n">
        <f aca="false">IF(AND(ISNUMBER($G333),$G333&gt;=60),MAX(INDEX($D$133:$D333,202-60):$D333),"")</f>
        <v>6685</v>
      </c>
      <c r="N333" s="52" t="n">
        <f aca="false">IF(AND(ISNUMBER($G333),$G333&gt;=60),MIN(INDEX($E$133:$E333,202-60):$E333),"")</f>
        <v>5534</v>
      </c>
      <c r="O333" s="53" t="n">
        <f aca="false">IF(OR(NOT(ISNUMBER($C333)),NOT(ISNUMBER($M333)),$M333=0),"",$C333/$M333-1)</f>
        <v>-0.0402393418100224</v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6426</v>
      </c>
      <c r="D334" s="49" t="n">
        <v>6454</v>
      </c>
      <c r="E334" s="49" t="n">
        <v>6418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0.00155860349127179</v>
      </c>
      <c r="I334" s="52" t="n">
        <f aca="false">IF(AND(ISNUMBER($G334),$G334&gt;=MA_SHORT),AVERAGE(INDEX($C$5:$C334,331-MA_SHORT):$C334),"")</f>
        <v>6422.6</v>
      </c>
      <c r="J334" s="52" t="n">
        <f aca="false">IF(AND(ISNUMBER($G334),$G334&gt;=MA_MED),AVERAGE(INDEX($C$5:$C334,331-MA_MED):$C334),"")</f>
        <v>6181.9</v>
      </c>
      <c r="K334" s="52" t="n">
        <f aca="false">IF(AND(ISNUMBER($G334),$G334&gt;=MA_LONG2),AVERAGE(INDEX($C$5:$C334,331-MA_LONG2):$C334),"")</f>
        <v>5253.915</v>
      </c>
      <c r="L334" s="53" t="n">
        <f aca="false">IF(AND(ISNUMBER($G334),$G334&gt;=21),STDEV(INDEX($H$274:$H334,62-20):$H334)*SQRT(245),"")</f>
        <v>0.222467611844052</v>
      </c>
      <c r="M334" s="52" t="n">
        <f aca="false">IF(AND(ISNUMBER($G334),$G334&gt;=60),MAX(INDEX($D$134:$D334,202-60):$D334),"")</f>
        <v>6685</v>
      </c>
      <c r="N334" s="52" t="n">
        <f aca="false">IF(AND(ISNUMBER($G334),$G334&gt;=60),MIN(INDEX($E$134:$E334,202-60):$E334),"")</f>
        <v>5534</v>
      </c>
      <c r="O334" s="53" t="n">
        <f aca="false">IF(OR(NOT(ISNUMBER($C334)),NOT(ISNUMBER($M334)),$M334=0),"",$C334/$M334-1)</f>
        <v>-0.0387434554973822</v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6341</v>
      </c>
      <c r="D335" s="49" t="n">
        <v>6356</v>
      </c>
      <c r="E335" s="49" t="n">
        <v>6323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-0.0132275132275133</v>
      </c>
      <c r="I335" s="52" t="n">
        <f aca="false">IF(AND(ISNUMBER($G335),$G335&gt;=MA_SHORT),AVERAGE(INDEX($C$5:$C335,332-MA_SHORT):$C335),"")</f>
        <v>6431.2</v>
      </c>
      <c r="J335" s="52" t="n">
        <f aca="false">IF(AND(ISNUMBER($G335),$G335&gt;=MA_MED),AVERAGE(INDEX($C$5:$C335,332-MA_MED):$C335),"")</f>
        <v>6192.14</v>
      </c>
      <c r="K335" s="52" t="n">
        <f aca="false">IF(AND(ISNUMBER($G335),$G335&gt;=MA_LONG2),AVERAGE(INDEX($C$5:$C335,332-MA_LONG2):$C335),"")</f>
        <v>5266.27</v>
      </c>
      <c r="L335" s="53" t="n">
        <f aca="false">IF(AND(ISNUMBER($G335),$G335&gt;=21),STDEV(INDEX($H$275:$H335,62-20):$H335)*SQRT(245),"")</f>
        <v>0.202394108827861</v>
      </c>
      <c r="M335" s="52" t="n">
        <f aca="false">IF(AND(ISNUMBER($G335),$G335&gt;=60),MAX(INDEX($D$135:$D335,202-60):$D335),"")</f>
        <v>6685</v>
      </c>
      <c r="N335" s="52" t="n">
        <f aca="false">IF(AND(ISNUMBER($G335),$G335&gt;=60),MIN(INDEX($E$135:$E335,202-60):$E335),"")</f>
        <v>5534</v>
      </c>
      <c r="O335" s="53" t="n">
        <f aca="false">IF(OR(NOT(ISNUMBER($C335)),NOT(ISNUMBER($M335)),$M335=0),"",$C335/$M335-1)</f>
        <v>-0.0514584891548242</v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6480</v>
      </c>
      <c r="D336" s="49" t="n">
        <v>6511</v>
      </c>
      <c r="E336" s="49" t="n">
        <v>6435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0.0219208326762341</v>
      </c>
      <c r="I336" s="52" t="n">
        <f aca="false">IF(AND(ISNUMBER($G336),$G336&gt;=MA_SHORT),AVERAGE(INDEX($C$5:$C336,333-MA_SHORT):$C336),"")</f>
        <v>6445.15</v>
      </c>
      <c r="J336" s="52" t="n">
        <f aca="false">IF(AND(ISNUMBER($G336),$G336&gt;=MA_MED),AVERAGE(INDEX($C$5:$C336,333-MA_MED):$C336),"")</f>
        <v>6205.2</v>
      </c>
      <c r="K336" s="52" t="n">
        <f aca="false">IF(AND(ISNUMBER($G336),$G336&gt;=MA_LONG2),AVERAGE(INDEX($C$5:$C336,333-MA_LONG2):$C336),"")</f>
        <v>5278.95</v>
      </c>
      <c r="L336" s="53" t="n">
        <f aca="false">IF(AND(ISNUMBER($G336),$G336&gt;=21),STDEV(INDEX($H$276:$H336,62-20):$H336)*SQRT(245),"")</f>
        <v>0.214485530463476</v>
      </c>
      <c r="M336" s="52" t="n">
        <f aca="false">IF(AND(ISNUMBER($G336),$G336&gt;=60),MAX(INDEX($D$136:$D336,202-60):$D336),"")</f>
        <v>6685</v>
      </c>
      <c r="N336" s="52" t="n">
        <f aca="false">IF(AND(ISNUMBER($G336),$G336&gt;=60),MIN(INDEX($E$136:$E336,202-60):$E336),"")</f>
        <v>5620</v>
      </c>
      <c r="O336" s="53" t="n">
        <f aca="false">IF(OR(NOT(ISNUMBER($C336)),NOT(ISNUMBER($M336)),$M336=0),"",$C336/$M336-1)</f>
        <v>-0.0306656694091249</v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6614</v>
      </c>
      <c r="D337" s="49" t="n">
        <v>6627</v>
      </c>
      <c r="E337" s="49" t="n">
        <v>6575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0.020679012345679</v>
      </c>
      <c r="I337" s="52" t="n">
        <f aca="false">IF(AND(ISNUMBER($G337),$G337&gt;=MA_SHORT),AVERAGE(INDEX($C$5:$C337,334-MA_SHORT):$C337),"")</f>
        <v>6466.95</v>
      </c>
      <c r="J337" s="52" t="n">
        <f aca="false">IF(AND(ISNUMBER($G337),$G337&gt;=MA_MED),AVERAGE(INDEX($C$5:$C337,334-MA_MED):$C337),"")</f>
        <v>6220.16</v>
      </c>
      <c r="K337" s="52" t="n">
        <f aca="false">IF(AND(ISNUMBER($G337),$G337&gt;=MA_LONG2),AVERAGE(INDEX($C$5:$C337,334-MA_LONG2):$C337),"")</f>
        <v>5292.29</v>
      </c>
      <c r="L337" s="53" t="n">
        <f aca="false">IF(AND(ISNUMBER($G337),$G337&gt;=21),STDEV(INDEX($H$277:$H337,62-20):$H337)*SQRT(245),"")</f>
        <v>0.222521147461745</v>
      </c>
      <c r="M337" s="52" t="n">
        <f aca="false">IF(AND(ISNUMBER($G337),$G337&gt;=60),MAX(INDEX($D$137:$D337,202-60):$D337),"")</f>
        <v>6685</v>
      </c>
      <c r="N337" s="52" t="n">
        <f aca="false">IF(AND(ISNUMBER($G337),$G337&gt;=60),MIN(INDEX($E$137:$E337,202-60):$E337),"")</f>
        <v>5698</v>
      </c>
      <c r="O337" s="53" t="n">
        <f aca="false">IF(OR(NOT(ISNUMBER($C337)),NOT(ISNUMBER($M337)),$M337=0),"",$C337/$M337-1)</f>
        <v>-0.0106207928197457</v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6715</v>
      </c>
      <c r="D338" s="49" t="n">
        <v>6720</v>
      </c>
      <c r="E338" s="49" t="n">
        <v>6709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0.0152706380405201</v>
      </c>
      <c r="I338" s="52" t="n">
        <f aca="false">IF(AND(ISNUMBER($G338),$G338&gt;=MA_SHORT),AVERAGE(INDEX($C$5:$C338,335-MA_SHORT):$C338),"")</f>
        <v>6491.95</v>
      </c>
      <c r="J338" s="52" t="n">
        <f aca="false">IF(AND(ISNUMBER($G338),$G338&gt;=MA_MED),AVERAGE(INDEX($C$5:$C338,335-MA_MED):$C338),"")</f>
        <v>6234.9</v>
      </c>
      <c r="K338" s="52" t="n">
        <f aca="false">IF(AND(ISNUMBER($G338),$G338&gt;=MA_LONG2),AVERAGE(INDEX($C$5:$C338,335-MA_LONG2):$C338),"")</f>
        <v>5306.16</v>
      </c>
      <c r="L338" s="53" t="n">
        <f aca="false">IF(AND(ISNUMBER($G338),$G338&gt;=21),STDEV(INDEX($H$278:$H338,62-20):$H338)*SQRT(245),"")</f>
        <v>0.226194692903298</v>
      </c>
      <c r="M338" s="52" t="n">
        <f aca="false">IF(AND(ISNUMBER($G338),$G338&gt;=60),MAX(INDEX($D$138:$D338,202-60):$D338),"")</f>
        <v>6720</v>
      </c>
      <c r="N338" s="52" t="n">
        <f aca="false">IF(AND(ISNUMBER($G338),$G338&gt;=60),MIN(INDEX($E$138:$E338,202-60):$E338),"")</f>
        <v>5713</v>
      </c>
      <c r="O338" s="53" t="n">
        <f aca="false">IF(OR(NOT(ISNUMBER($C338)),NOT(ISNUMBER($M338)),$M338=0),"",$C338/$M338-1)</f>
        <v>-0.000744047619047672</v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6709</v>
      </c>
      <c r="D339" s="49" t="n">
        <v>6754</v>
      </c>
      <c r="E339" s="49" t="n">
        <v>6695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-0.000893521965748323</v>
      </c>
      <c r="I339" s="52" t="n">
        <f aca="false">IF(AND(ISNUMBER($G339),$G339&gt;=MA_SHORT),AVERAGE(INDEX($C$5:$C339,336-MA_SHORT):$C339),"")</f>
        <v>6514.25</v>
      </c>
      <c r="J339" s="52" t="n">
        <f aca="false">IF(AND(ISNUMBER($G339),$G339&gt;=MA_MED),AVERAGE(INDEX($C$5:$C339,336-MA_MED):$C339),"")</f>
        <v>6249.4</v>
      </c>
      <c r="K339" s="52" t="n">
        <f aca="false">IF(AND(ISNUMBER($G339),$G339&gt;=MA_LONG2),AVERAGE(INDEX($C$5:$C339,336-MA_LONG2):$C339),"")</f>
        <v>5319.45</v>
      </c>
      <c r="L339" s="53" t="n">
        <f aca="false">IF(AND(ISNUMBER($G339),$G339&gt;=21),STDEV(INDEX($H$279:$H339,62-20):$H339)*SQRT(245),"")</f>
        <v>0.226364207115449</v>
      </c>
      <c r="M339" s="52" t="n">
        <f aca="false">IF(AND(ISNUMBER($G339),$G339&gt;=60),MAX(INDEX($D$139:$D339,202-60):$D339),"")</f>
        <v>6754</v>
      </c>
      <c r="N339" s="52" t="n">
        <f aca="false">IF(AND(ISNUMBER($G339),$G339&gt;=60),MIN(INDEX($E$139:$E339,202-60):$E339),"")</f>
        <v>5732</v>
      </c>
      <c r="O339" s="53" t="n">
        <f aca="false">IF(OR(NOT(ISNUMBER($C339)),NOT(ISNUMBER($M339)),$M339=0),"",$C339/$M339-1)</f>
        <v>-0.00666271838910271</v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6770</v>
      </c>
      <c r="D340" s="49" t="n">
        <v>6829</v>
      </c>
      <c r="E340" s="49" t="n">
        <v>6766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0.00909226412282016</v>
      </c>
      <c r="I340" s="52" t="n">
        <f aca="false">IF(AND(ISNUMBER($G340),$G340&gt;=MA_SHORT),AVERAGE(INDEX($C$5:$C340,337-MA_SHORT):$C340),"")</f>
        <v>6537.15</v>
      </c>
      <c r="J340" s="52" t="n">
        <f aca="false">IF(AND(ISNUMBER($G340),$G340&gt;=MA_MED),AVERAGE(INDEX($C$5:$C340,337-MA_MED):$C340),"")</f>
        <v>6266.8</v>
      </c>
      <c r="K340" s="52" t="n">
        <f aca="false">IF(AND(ISNUMBER($G340),$G340&gt;=MA_LONG2),AVERAGE(INDEX($C$5:$C340,337-MA_LONG2):$C340),"")</f>
        <v>5332.895</v>
      </c>
      <c r="L340" s="53" t="n">
        <f aca="false">IF(AND(ISNUMBER($G340),$G340&gt;=21),STDEV(INDEX($H$280:$H340,62-20):$H340)*SQRT(245),"")</f>
        <v>0.226716686624413</v>
      </c>
      <c r="M340" s="52" t="n">
        <f aca="false">IF(AND(ISNUMBER($G340),$G340&gt;=60),MAX(INDEX($D$140:$D340,202-60):$D340),"")</f>
        <v>6829</v>
      </c>
      <c r="N340" s="52" t="n">
        <f aca="false">IF(AND(ISNUMBER($G340),$G340&gt;=60),MIN(INDEX($E$140:$E340,202-60):$E340),"")</f>
        <v>5739</v>
      </c>
      <c r="O340" s="53" t="n">
        <f aca="false">IF(OR(NOT(ISNUMBER($C340)),NOT(ISNUMBER($M340)),$M340=0),"",$C340/$M340-1)</f>
        <v>-0.00863962512812999</v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6679</v>
      </c>
      <c r="D341" s="49" t="n">
        <v>6714</v>
      </c>
      <c r="E341" s="49" t="n">
        <v>6660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-0.0134416543574594</v>
      </c>
      <c r="I341" s="52" t="n">
        <f aca="false">IF(AND(ISNUMBER($G341),$G341&gt;=MA_SHORT),AVERAGE(INDEX($C$5:$C341,338-MA_SHORT):$C341),"")</f>
        <v>6553.25</v>
      </c>
      <c r="J341" s="52" t="n">
        <f aca="false">IF(AND(ISNUMBER($G341),$G341&gt;=MA_MED),AVERAGE(INDEX($C$5:$C341,338-MA_MED):$C341),"")</f>
        <v>6282.7</v>
      </c>
      <c r="K341" s="52" t="n">
        <f aca="false">IF(AND(ISNUMBER($G341),$G341&gt;=MA_LONG2),AVERAGE(INDEX($C$5:$C341,338-MA_LONG2):$C341),"")</f>
        <v>5345.4</v>
      </c>
      <c r="L341" s="53" t="n">
        <f aca="false">IF(AND(ISNUMBER($G341),$G341&gt;=21),STDEV(INDEX($H$281:$H341,62-20):$H341)*SQRT(245),"")</f>
        <v>0.233914873941847</v>
      </c>
      <c r="M341" s="52" t="n">
        <f aca="false">IF(AND(ISNUMBER($G341),$G341&gt;=60),MAX(INDEX($D$141:$D341,202-60):$D341),"")</f>
        <v>6829</v>
      </c>
      <c r="N341" s="52" t="n">
        <f aca="false">IF(AND(ISNUMBER($G341),$G341&gt;=60),MIN(INDEX($E$141:$E341,202-60):$E341),"")</f>
        <v>5739</v>
      </c>
      <c r="O341" s="53" t="n">
        <f aca="false">IF(OR(NOT(ISNUMBER($C341)),NOT(ISNUMBER($M341)),$M341=0),"",$C341/$M341-1)</f>
        <v>-0.0219651486308391</v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6820</v>
      </c>
      <c r="D342" s="49" t="n">
        <v>6828</v>
      </c>
      <c r="E342" s="49" t="n">
        <v>6786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0.0211109447522084</v>
      </c>
      <c r="I342" s="52" t="n">
        <f aca="false">IF(AND(ISNUMBER($G342),$G342&gt;=MA_SHORT),AVERAGE(INDEX($C$5:$C342,339-MA_SHORT):$C342),"")</f>
        <v>6570.2</v>
      </c>
      <c r="J342" s="52" t="n">
        <f aca="false">IF(AND(ISNUMBER($G342),$G342&gt;=MA_MED),AVERAGE(INDEX($C$5:$C342,339-MA_MED):$C342),"")</f>
        <v>6299.8</v>
      </c>
      <c r="K342" s="52" t="n">
        <f aca="false">IF(AND(ISNUMBER($G342),$G342&gt;=MA_LONG2),AVERAGE(INDEX($C$5:$C342,339-MA_LONG2):$C342),"")</f>
        <v>5358.425</v>
      </c>
      <c r="L342" s="53" t="n">
        <f aca="false">IF(AND(ISNUMBER($G342),$G342&gt;=21),STDEV(INDEX($H$282:$H342,62-20):$H342)*SQRT(245),"")</f>
        <v>0.2354746174521</v>
      </c>
      <c r="M342" s="52" t="n">
        <f aca="false">IF(AND(ISNUMBER($G342),$G342&gt;=60),MAX(INDEX($D$142:$D342,202-60):$D342),"")</f>
        <v>6829</v>
      </c>
      <c r="N342" s="52" t="n">
        <f aca="false">IF(AND(ISNUMBER($G342),$G342&gt;=60),MIN(INDEX($E$142:$E342,202-60):$E342),"")</f>
        <v>5739</v>
      </c>
      <c r="O342" s="53" t="n">
        <f aca="false">IF(OR(NOT(ISNUMBER($C342)),NOT(ISNUMBER($M342)),$M342=0),"",$C342/$M342-1)</f>
        <v>-0.00131790891785033</v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6823</v>
      </c>
      <c r="D343" s="49" t="n">
        <v>6851</v>
      </c>
      <c r="E343" s="49" t="n">
        <v>6813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0.000439882697947258</v>
      </c>
      <c r="I343" s="52" t="n">
        <f aca="false">IF(AND(ISNUMBER($G343),$G343&gt;=MA_SHORT),AVERAGE(INDEX($C$5:$C343,340-MA_SHORT):$C343),"")</f>
        <v>6583.4</v>
      </c>
      <c r="J343" s="52" t="n">
        <f aca="false">IF(AND(ISNUMBER($G343),$G343&gt;=MA_MED),AVERAGE(INDEX($C$5:$C343,340-MA_MED):$C343),"")</f>
        <v>6319.42</v>
      </c>
      <c r="K343" s="52" t="n">
        <f aca="false">IF(AND(ISNUMBER($G343),$G343&gt;=MA_LONG2),AVERAGE(INDEX($C$5:$C343,340-MA_LONG2):$C343),"")</f>
        <v>5371.29</v>
      </c>
      <c r="L343" s="53" t="n">
        <f aca="false">IF(AND(ISNUMBER($G343),$G343&gt;=21),STDEV(INDEX($H$283:$H343,62-20):$H343)*SQRT(245),"")</f>
        <v>0.23300586651023</v>
      </c>
      <c r="M343" s="52" t="n">
        <f aca="false">IF(AND(ISNUMBER($G343),$G343&gt;=60),MAX(INDEX($D$143:$D343,202-60):$D343),"")</f>
        <v>6851</v>
      </c>
      <c r="N343" s="52" t="n">
        <f aca="false">IF(AND(ISNUMBER($G343),$G343&gt;=60),MIN(INDEX($E$143:$E343,202-60):$E343),"")</f>
        <v>5739</v>
      </c>
      <c r="O343" s="53" t="n">
        <f aca="false">IF(OR(NOT(ISNUMBER($C343)),NOT(ISNUMBER($M343)),$M343=0),"",$C343/$M343-1)</f>
        <v>-0.0040869945993286</v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6790</v>
      </c>
      <c r="D344" s="49" t="n">
        <v>6799</v>
      </c>
      <c r="E344" s="49" t="n">
        <v>6764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-0.00483658214861493</v>
      </c>
      <c r="I344" s="52" t="n">
        <f aca="false">IF(AND(ISNUMBER($G344),$G344&gt;=MA_SHORT),AVERAGE(INDEX($C$5:$C344,341-MA_SHORT):$C344),"")</f>
        <v>6598.45</v>
      </c>
      <c r="J344" s="52" t="n">
        <f aca="false">IF(AND(ISNUMBER($G344),$G344&gt;=MA_MED),AVERAGE(INDEX($C$5:$C344,341-MA_MED):$C344),"")</f>
        <v>6340.2</v>
      </c>
      <c r="K344" s="52" t="n">
        <f aca="false">IF(AND(ISNUMBER($G344),$G344&gt;=MA_LONG2),AVERAGE(INDEX($C$5:$C344,341-MA_LONG2):$C344),"")</f>
        <v>5383.735</v>
      </c>
      <c r="L344" s="53" t="n">
        <f aca="false">IF(AND(ISNUMBER($G344),$G344&gt;=21),STDEV(INDEX($H$284:$H344,62-20):$H344)*SQRT(245),"")</f>
        <v>0.229760025756343</v>
      </c>
      <c r="M344" s="52" t="n">
        <f aca="false">IF(AND(ISNUMBER($G344),$G344&gt;=60),MAX(INDEX($D$144:$D344,202-60):$D344),"")</f>
        <v>6851</v>
      </c>
      <c r="N344" s="52" t="n">
        <f aca="false">IF(AND(ISNUMBER($G344),$G344&gt;=60),MIN(INDEX($E$144:$E344,202-60):$E344),"")</f>
        <v>5739</v>
      </c>
      <c r="O344" s="53" t="n">
        <f aca="false">IF(OR(NOT(ISNUMBER($C344)),NOT(ISNUMBER($M344)),$M344=0),"",$C344/$M344-1)</f>
        <v>-0.00890380966282289</v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6728</v>
      </c>
      <c r="D345" s="49" t="n">
        <v>6746</v>
      </c>
      <c r="E345" s="49" t="n">
        <v>6728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-0.00913107511045652</v>
      </c>
      <c r="I345" s="52" t="n">
        <f aca="false">IF(AND(ISNUMBER($G345),$G345&gt;=MA_SHORT),AVERAGE(INDEX($C$5:$C345,342-MA_SHORT):$C345),"")</f>
        <v>6601</v>
      </c>
      <c r="J345" s="52" t="n">
        <f aca="false">IF(AND(ISNUMBER($G345),$G345&gt;=MA_MED),AVERAGE(INDEX($C$5:$C345,342-MA_MED):$C345),"")</f>
        <v>6357.46</v>
      </c>
      <c r="K345" s="52" t="n">
        <f aca="false">IF(AND(ISNUMBER($G345),$G345&gt;=MA_LONG2),AVERAGE(INDEX($C$5:$C345,342-MA_LONG2):$C345),"")</f>
        <v>5395.735</v>
      </c>
      <c r="L345" s="53" t="n">
        <f aca="false">IF(AND(ISNUMBER($G345),$G345&gt;=21),STDEV(INDEX($H$285:$H345,62-20):$H345)*SQRT(245),"")</f>
        <v>0.210797983605701</v>
      </c>
      <c r="M345" s="52" t="n">
        <f aca="false">IF(AND(ISNUMBER($G345),$G345&gt;=60),MAX(INDEX($D$145:$D345,202-60):$D345),"")</f>
        <v>6851</v>
      </c>
      <c r="N345" s="52" t="n">
        <f aca="false">IF(AND(ISNUMBER($G345),$G345&gt;=60),MIN(INDEX($E$145:$E345,202-60):$E345),"")</f>
        <v>5739</v>
      </c>
      <c r="O345" s="53" t="n">
        <f aca="false">IF(OR(NOT(ISNUMBER($C345)),NOT(ISNUMBER($M345)),$M345=0),"",$C345/$M345-1)</f>
        <v>-0.0179535834184791</v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6779</v>
      </c>
      <c r="D346" s="49" t="n">
        <v>6780</v>
      </c>
      <c r="E346" s="49" t="n">
        <v>6747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0.00758026159334135</v>
      </c>
      <c r="I346" s="52" t="n">
        <f aca="false">IF(AND(ISNUMBER($G346),$G346&gt;=MA_SHORT),AVERAGE(INDEX($C$5:$C346,343-MA_SHORT):$C346),"")</f>
        <v>6606.75</v>
      </c>
      <c r="J346" s="52" t="n">
        <f aca="false">IF(AND(ISNUMBER($G346),$G346&gt;=MA_MED),AVERAGE(INDEX($C$5:$C346,343-MA_MED):$C346),"")</f>
        <v>6375.42</v>
      </c>
      <c r="K346" s="52" t="n">
        <f aca="false">IF(AND(ISNUMBER($G346),$G346&gt;=MA_LONG2),AVERAGE(INDEX($C$5:$C346,343-MA_LONG2):$C346),"")</f>
        <v>5407.985</v>
      </c>
      <c r="L346" s="53" t="n">
        <f aca="false">IF(AND(ISNUMBER($G346),$G346&gt;=21),STDEV(INDEX($H$286:$H346,62-20):$H346)*SQRT(245),"")</f>
        <v>0.212025154259378</v>
      </c>
      <c r="M346" s="52" t="n">
        <f aca="false">IF(AND(ISNUMBER($G346),$G346&gt;=60),MAX(INDEX($D$146:$D346,202-60):$D346),"")</f>
        <v>6851</v>
      </c>
      <c r="N346" s="52" t="n">
        <f aca="false">IF(AND(ISNUMBER($G346),$G346&gt;=60),MIN(INDEX($E$146:$E346,202-60):$E346),"")</f>
        <v>5739</v>
      </c>
      <c r="O346" s="53" t="n">
        <f aca="false">IF(OR(NOT(ISNUMBER($C346)),NOT(ISNUMBER($M346)),$M346=0),"",$C346/$M346-1)</f>
        <v>-0.0105094146839877</v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6807</v>
      </c>
      <c r="D347" s="49" t="n">
        <v>6825</v>
      </c>
      <c r="E347" s="49" t="n">
        <v>6796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0.00413040271426457</v>
      </c>
      <c r="I347" s="52" t="n">
        <f aca="false">IF(AND(ISNUMBER($G347),$G347&gt;=MA_SHORT),AVERAGE(INDEX($C$5:$C347,344-MA_SHORT):$C347),"")</f>
        <v>6615.8</v>
      </c>
      <c r="J347" s="52" t="n">
        <f aca="false">IF(AND(ISNUMBER($G347),$G347&gt;=MA_MED),AVERAGE(INDEX($C$5:$C347,344-MA_MED):$C347),"")</f>
        <v>6393.46</v>
      </c>
      <c r="K347" s="52" t="n">
        <f aca="false">IF(AND(ISNUMBER($G347),$G347&gt;=MA_LONG2),AVERAGE(INDEX($C$5:$C347,344-MA_LONG2):$C347),"")</f>
        <v>5419.79</v>
      </c>
      <c r="L347" s="53" t="n">
        <f aca="false">IF(AND(ISNUMBER($G347),$G347&gt;=21),STDEV(INDEX($H$287:$H347,62-20):$H347)*SQRT(245),"")</f>
        <v>0.210840944899836</v>
      </c>
      <c r="M347" s="52" t="n">
        <f aca="false">IF(AND(ISNUMBER($G347),$G347&gt;=60),MAX(INDEX($D$147:$D347,202-60):$D347),"")</f>
        <v>6851</v>
      </c>
      <c r="N347" s="52" t="n">
        <f aca="false">IF(AND(ISNUMBER($G347),$G347&gt;=60),MIN(INDEX($E$147:$E347,202-60):$E347),"")</f>
        <v>5739</v>
      </c>
      <c r="O347" s="53" t="n">
        <f aca="false">IF(OR(NOT(ISNUMBER($C347)),NOT(ISNUMBER($M347)),$M347=0),"",$C347/$M347-1)</f>
        <v>-0.00642242008465921</v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6812</v>
      </c>
      <c r="D348" s="49" t="n">
        <v>6882</v>
      </c>
      <c r="E348" s="49" t="n">
        <v>6801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0.000734537975613403</v>
      </c>
      <c r="I348" s="52" t="n">
        <f aca="false">IF(AND(ISNUMBER($G348),$G348&gt;=MA_SHORT),AVERAGE(INDEX($C$5:$C348,345-MA_SHORT):$C348),"")</f>
        <v>6629.5</v>
      </c>
      <c r="J348" s="52" t="n">
        <f aca="false">IF(AND(ISNUMBER($G348),$G348&gt;=MA_MED),AVERAGE(INDEX($C$5:$C348,345-MA_MED):$C348),"")</f>
        <v>6413.16</v>
      </c>
      <c r="K348" s="52" t="n">
        <f aca="false">IF(AND(ISNUMBER($G348),$G348&gt;=MA_LONG2),AVERAGE(INDEX($C$5:$C348,345-MA_LONG2):$C348),"")</f>
        <v>5431.865</v>
      </c>
      <c r="L348" s="53" t="n">
        <f aca="false">IF(AND(ISNUMBER($G348),$G348&gt;=21),STDEV(INDEX($H$288:$H348,62-20):$H348)*SQRT(245),"")</f>
        <v>0.203816609175784</v>
      </c>
      <c r="M348" s="52" t="n">
        <f aca="false">IF(AND(ISNUMBER($G348),$G348&gt;=60),MAX(INDEX($D$148:$D348,202-60):$D348),"")</f>
        <v>6882</v>
      </c>
      <c r="N348" s="52" t="n">
        <f aca="false">IF(AND(ISNUMBER($G348),$G348&gt;=60),MIN(INDEX($E$148:$E348,202-60):$E348),"")</f>
        <v>5739</v>
      </c>
      <c r="O348" s="53" t="n">
        <f aca="false">IF(OR(NOT(ISNUMBER($C348)),NOT(ISNUMBER($M348)),$M348=0),"",$C348/$M348-1)</f>
        <v>-0.010171461784365</v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6763</v>
      </c>
      <c r="D349" s="49" t="n">
        <v>6790</v>
      </c>
      <c r="E349" s="49" t="n">
        <v>6748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-0.00719318849089845</v>
      </c>
      <c r="I349" s="52" t="n">
        <f aca="false">IF(AND(ISNUMBER($G349),$G349&gt;=MA_SHORT),AVERAGE(INDEX($C$5:$C349,346-MA_SHORT):$C349),"")</f>
        <v>6641.9</v>
      </c>
      <c r="J349" s="52" t="n">
        <f aca="false">IF(AND(ISNUMBER($G349),$G349&gt;=MA_MED),AVERAGE(INDEX($C$5:$C349,346-MA_MED):$C349),"")</f>
        <v>6432.54</v>
      </c>
      <c r="K349" s="52" t="n">
        <f aca="false">IF(AND(ISNUMBER($G349),$G349&gt;=MA_LONG2),AVERAGE(INDEX($C$5:$C349,346-MA_LONG2):$C349),"")</f>
        <v>5443.725</v>
      </c>
      <c r="L349" s="53" t="n">
        <f aca="false">IF(AND(ISNUMBER($G349),$G349&gt;=21),STDEV(INDEX($H$289:$H349,62-20):$H349)*SQRT(245),"")</f>
        <v>0.205529862232373</v>
      </c>
      <c r="M349" s="52" t="n">
        <f aca="false">IF(AND(ISNUMBER($G349),$G349&gt;=60),MAX(INDEX($D$149:$D349,202-60):$D349),"")</f>
        <v>6882</v>
      </c>
      <c r="N349" s="52" t="n">
        <f aca="false">IF(AND(ISNUMBER($G349),$G349&gt;=60),MIN(INDEX($E$149:$E349,202-60):$E349),"")</f>
        <v>5739</v>
      </c>
      <c r="O349" s="53" t="n">
        <f aca="false">IF(OR(NOT(ISNUMBER($C349)),NOT(ISNUMBER($M349)),$M349=0),"",$C349/$M349-1)</f>
        <v>-0.0172914850334205</v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6806</v>
      </c>
      <c r="D350" s="49" t="n">
        <v>6865</v>
      </c>
      <c r="E350" s="49" t="n">
        <v>6781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0.00635812509241451</v>
      </c>
      <c r="I350" s="52" t="n">
        <f aca="false">IF(AND(ISNUMBER($G350),$G350&gt;=MA_SHORT),AVERAGE(INDEX($C$5:$C350,347-MA_SHORT):$C350),"")</f>
        <v>6655.2</v>
      </c>
      <c r="J350" s="52" t="n">
        <f aca="false">IF(AND(ISNUMBER($G350),$G350&gt;=MA_MED),AVERAGE(INDEX($C$5:$C350,347-MA_MED):$C350),"")</f>
        <v>6452.28</v>
      </c>
      <c r="K350" s="52" t="n">
        <f aca="false">IF(AND(ISNUMBER($G350),$G350&gt;=MA_LONG2),AVERAGE(INDEX($C$5:$C350,347-MA_LONG2):$C350),"")</f>
        <v>5455.535</v>
      </c>
      <c r="L350" s="53" t="n">
        <f aca="false">IF(AND(ISNUMBER($G350),$G350&gt;=21),STDEV(INDEX($H$290:$H350,62-20):$H350)*SQRT(245),"")</f>
        <v>0.20601687894947</v>
      </c>
      <c r="M350" s="52" t="n">
        <f aca="false">IF(AND(ISNUMBER($G350),$G350&gt;=60),MAX(INDEX($D$150:$D350,202-60):$D350),"")</f>
        <v>6882</v>
      </c>
      <c r="N350" s="52" t="n">
        <f aca="false">IF(AND(ISNUMBER($G350),$G350&gt;=60),MIN(INDEX($E$150:$E350,202-60):$E350),"")</f>
        <v>5739</v>
      </c>
      <c r="O350" s="53" t="n">
        <f aca="false">IF(OR(NOT(ISNUMBER($C350)),NOT(ISNUMBER($M350)),$M350=0),"",$C350/$M350-1)</f>
        <v>-0.0110433013658821</v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6699</v>
      </c>
      <c r="D351" s="49" t="n">
        <v>6700</v>
      </c>
      <c r="E351" s="49" t="n">
        <v>6664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-0.0157214222744637</v>
      </c>
      <c r="I351" s="52" t="n">
        <f aca="false">IF(AND(ISNUMBER($G351),$G351&gt;=MA_SHORT),AVERAGE(INDEX($C$5:$C351,348-MA_SHORT):$C351),"")</f>
        <v>6664.85</v>
      </c>
      <c r="J351" s="52" t="n">
        <f aca="false">IF(AND(ISNUMBER($G351),$G351&gt;=MA_MED),AVERAGE(INDEX($C$5:$C351,348-MA_MED):$C351),"")</f>
        <v>6469.2</v>
      </c>
      <c r="K351" s="52" t="n">
        <f aca="false">IF(AND(ISNUMBER($G351),$G351&gt;=MA_LONG2),AVERAGE(INDEX($C$5:$C351,348-MA_LONG2):$C351),"")</f>
        <v>5466.405</v>
      </c>
      <c r="L351" s="53" t="n">
        <f aca="false">IF(AND(ISNUMBER($G351),$G351&gt;=21),STDEV(INDEX($H$291:$H351,62-20):$H351)*SQRT(245),"")</f>
        <v>0.213948574712121</v>
      </c>
      <c r="M351" s="52" t="n">
        <f aca="false">IF(AND(ISNUMBER($G351),$G351&gt;=60),MAX(INDEX($D$151:$D351,202-60):$D351),"")</f>
        <v>6882</v>
      </c>
      <c r="N351" s="52" t="n">
        <f aca="false">IF(AND(ISNUMBER($G351),$G351&gt;=60),MIN(INDEX($E$151:$E351,202-60):$E351),"")</f>
        <v>5739</v>
      </c>
      <c r="O351" s="53" t="n">
        <f aca="false">IF(OR(NOT(ISNUMBER($C351)),NOT(ISNUMBER($M351)),$M351=0),"",$C351/$M351-1)</f>
        <v>-0.0265911072362686</v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6798</v>
      </c>
      <c r="D352" s="49" t="n">
        <v>6822</v>
      </c>
      <c r="E352" s="49" t="n">
        <v>6779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0.0147783251231528</v>
      </c>
      <c r="I352" s="52" t="n">
        <f aca="false">IF(AND(ISNUMBER($G352),$G352&gt;=MA_SHORT),AVERAGE(INDEX($C$5:$C352,349-MA_SHORT):$C352),"")</f>
        <v>6688.75</v>
      </c>
      <c r="J352" s="52" t="n">
        <f aca="false">IF(AND(ISNUMBER($G352),$G352&gt;=MA_MED),AVERAGE(INDEX($C$5:$C352,349-MA_MED):$C352),"")</f>
        <v>6486.56</v>
      </c>
      <c r="K352" s="52" t="n">
        <f aca="false">IF(AND(ISNUMBER($G352),$G352&gt;=MA_LONG2),AVERAGE(INDEX($C$5:$C352,349-MA_LONG2):$C352),"")</f>
        <v>5478.44</v>
      </c>
      <c r="L352" s="53" t="n">
        <f aca="false">IF(AND(ISNUMBER($G352),$G352&gt;=21),STDEV(INDEX($H$292:$H352,62-20):$H352)*SQRT(245),"")</f>
        <v>0.18735806441998</v>
      </c>
      <c r="M352" s="52" t="n">
        <f aca="false">IF(AND(ISNUMBER($G352),$G352&gt;=60),MAX(INDEX($D$152:$D352,202-60):$D352),"")</f>
        <v>6882</v>
      </c>
      <c r="N352" s="52" t="n">
        <f aca="false">IF(AND(ISNUMBER($G352),$G352&gt;=60),MIN(INDEX($E$152:$E352,202-60):$E352),"")</f>
        <v>5739</v>
      </c>
      <c r="O352" s="53" t="n">
        <f aca="false">IF(OR(NOT(ISNUMBER($C352)),NOT(ISNUMBER($M352)),$M352=0),"",$C352/$M352-1)</f>
        <v>-0.012205754141238</v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6956</v>
      </c>
      <c r="D353" s="49" t="n">
        <v>6985</v>
      </c>
      <c r="E353" s="49" t="n">
        <v>6944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0.0232421300382466</v>
      </c>
      <c r="I353" s="52" t="n">
        <f aca="false">IF(AND(ISNUMBER($G353),$G353&gt;=MA_SHORT),AVERAGE(INDEX($C$5:$C353,350-MA_SHORT):$C353),"")</f>
        <v>6715.75</v>
      </c>
      <c r="J353" s="52" t="n">
        <f aca="false">IF(AND(ISNUMBER($G353),$G353&gt;=MA_MED),AVERAGE(INDEX($C$5:$C353,350-MA_MED):$C353),"")</f>
        <v>6508.3</v>
      </c>
      <c r="K353" s="52" t="n">
        <f aca="false">IF(AND(ISNUMBER($G353),$G353&gt;=MA_LONG2),AVERAGE(INDEX($C$5:$C353,350-MA_LONG2):$C353),"")</f>
        <v>5491.015</v>
      </c>
      <c r="L353" s="53" t="n">
        <f aca="false">IF(AND(ISNUMBER($G353),$G353&gt;=21),STDEV(INDEX($H$293:$H353,62-20):$H353)*SQRT(245),"")</f>
        <v>0.195650726219813</v>
      </c>
      <c r="M353" s="52" t="n">
        <f aca="false">IF(AND(ISNUMBER($G353),$G353&gt;=60),MAX(INDEX($D$153:$D353,202-60):$D353),"")</f>
        <v>6985</v>
      </c>
      <c r="N353" s="52" t="n">
        <f aca="false">IF(AND(ISNUMBER($G353),$G353&gt;=60),MIN(INDEX($E$153:$E353,202-60):$E353),"")</f>
        <v>5739</v>
      </c>
      <c r="O353" s="53" t="n">
        <f aca="false">IF(OR(NOT(ISNUMBER($C353)),NOT(ISNUMBER($M353)),$M353=0),"",$C353/$M353-1)</f>
        <v>-0.00415175375805299</v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6896</v>
      </c>
      <c r="D354" s="49" t="n">
        <v>6898</v>
      </c>
      <c r="E354" s="49" t="n">
        <v>6860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-0.0086256469235193</v>
      </c>
      <c r="I354" s="52" t="n">
        <f aca="false">IF(AND(ISNUMBER($G354),$G354&gt;=MA_SHORT),AVERAGE(INDEX($C$5:$C354,351-MA_SHORT):$C354),"")</f>
        <v>6739.25</v>
      </c>
      <c r="J354" s="52" t="n">
        <f aca="false">IF(AND(ISNUMBER($G354),$G354&gt;=MA_MED),AVERAGE(INDEX($C$5:$C354,351-MA_MED):$C354),"")</f>
        <v>6527.9</v>
      </c>
      <c r="K354" s="52" t="n">
        <f aca="false">IF(AND(ISNUMBER($G354),$G354&gt;=MA_LONG2),AVERAGE(INDEX($C$5:$C354,351-MA_LONG2):$C354),"")</f>
        <v>5503.205</v>
      </c>
      <c r="L354" s="53" t="n">
        <f aca="false">IF(AND(ISNUMBER($G354),$G354&gt;=21),STDEV(INDEX($H$294:$H354,62-20):$H354)*SQRT(245),"")</f>
        <v>0.200557162418472</v>
      </c>
      <c r="M354" s="52" t="n">
        <f aca="false">IF(AND(ISNUMBER($G354),$G354&gt;=60),MAX(INDEX($D$154:$D354,202-60):$D354),"")</f>
        <v>6985</v>
      </c>
      <c r="N354" s="52" t="n">
        <f aca="false">IF(AND(ISNUMBER($G354),$G354&gt;=60),MIN(INDEX($E$154:$E354,202-60):$E354),"")</f>
        <v>5783</v>
      </c>
      <c r="O354" s="53" t="n">
        <f aca="false">IF(OR(NOT(ISNUMBER($C354)),NOT(ISNUMBER($M354)),$M354=0),"",$C354/$M354-1)</f>
        <v>-0.0127415891195419</v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6945</v>
      </c>
      <c r="D355" s="49" t="n">
        <v>6953</v>
      </c>
      <c r="E355" s="49" t="n">
        <v>6907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0.00710556844547572</v>
      </c>
      <c r="I355" s="52" t="n">
        <f aca="false">IF(AND(ISNUMBER($G355),$G355&gt;=MA_SHORT),AVERAGE(INDEX($C$5:$C355,352-MA_SHORT):$C355),"")</f>
        <v>6769.45</v>
      </c>
      <c r="J355" s="52" t="n">
        <f aca="false">IF(AND(ISNUMBER($G355),$G355&gt;=MA_MED),AVERAGE(INDEX($C$5:$C355,352-MA_MED):$C355),"")</f>
        <v>6544.16</v>
      </c>
      <c r="K355" s="52" t="n">
        <f aca="false">IF(AND(ISNUMBER($G355),$G355&gt;=MA_LONG2),AVERAGE(INDEX($C$5:$C355,352-MA_LONG2):$C355),"")</f>
        <v>5515.86</v>
      </c>
      <c r="L355" s="53" t="n">
        <f aca="false">IF(AND(ISNUMBER($G355),$G355&gt;=21),STDEV(INDEX($H$295:$H355,62-20):$H355)*SQRT(245),"")</f>
        <v>0.190936502390887</v>
      </c>
      <c r="M355" s="52" t="n">
        <f aca="false">IF(AND(ISNUMBER($G355),$G355&gt;=60),MAX(INDEX($D$155:$D355,202-60):$D355),"")</f>
        <v>6985</v>
      </c>
      <c r="N355" s="52" t="n">
        <f aca="false">IF(AND(ISNUMBER($G355),$G355&gt;=60),MIN(INDEX($E$155:$E355,202-60):$E355),"")</f>
        <v>5783</v>
      </c>
      <c r="O355" s="53" t="n">
        <f aca="false">IF(OR(NOT(ISNUMBER($C355)),NOT(ISNUMBER($M355)),$M355=0),"",$C355/$M355-1)</f>
        <v>-0.00572655690765922</v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7004</v>
      </c>
      <c r="D356" s="49" t="n">
        <v>7007</v>
      </c>
      <c r="E356" s="49" t="n">
        <v>6953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0.00849532037437006</v>
      </c>
      <c r="I356" s="52" t="n">
        <f aca="false">IF(AND(ISNUMBER($G356),$G356&gt;=MA_SHORT),AVERAGE(INDEX($C$5:$C356,353-MA_SHORT):$C356),"")</f>
        <v>6795.65</v>
      </c>
      <c r="J356" s="52" t="n">
        <f aca="false">IF(AND(ISNUMBER($G356),$G356&gt;=MA_MED),AVERAGE(INDEX($C$5:$C356,353-MA_MED):$C356),"")</f>
        <v>6560.82</v>
      </c>
      <c r="K356" s="52" t="n">
        <f aca="false">IF(AND(ISNUMBER($G356),$G356&gt;=MA_LONG2),AVERAGE(INDEX($C$5:$C356,353-MA_LONG2):$C356),"")</f>
        <v>5529.065</v>
      </c>
      <c r="L356" s="53" t="n">
        <f aca="false">IF(AND(ISNUMBER($G356),$G356&gt;=21),STDEV(INDEX($H$296:$H356,62-20):$H356)*SQRT(245),"")</f>
        <v>0.180770612934785</v>
      </c>
      <c r="M356" s="52" t="n">
        <f aca="false">IF(AND(ISNUMBER($G356),$G356&gt;=60),MAX(INDEX($D$156:$D356,202-60):$D356),"")</f>
        <v>7007</v>
      </c>
      <c r="N356" s="52" t="n">
        <f aca="false">IF(AND(ISNUMBER($G356),$G356&gt;=60),MIN(INDEX($E$156:$E356,202-60):$E356),"")</f>
        <v>5783</v>
      </c>
      <c r="O356" s="53" t="n">
        <f aca="false">IF(OR(NOT(ISNUMBER($C356)),NOT(ISNUMBER($M356)),$M356=0),"",$C356/$M356-1)</f>
        <v>-0.000428143285286176</v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7113</v>
      </c>
      <c r="D357" s="49" t="n">
        <v>7126</v>
      </c>
      <c r="E357" s="49" t="n">
        <v>7097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0.0155625356938891</v>
      </c>
      <c r="I357" s="52" t="n">
        <f aca="false">IF(AND(ISNUMBER($G357),$G357&gt;=MA_SHORT),AVERAGE(INDEX($C$5:$C357,354-MA_SHORT):$C357),"")</f>
        <v>6820.6</v>
      </c>
      <c r="J357" s="52" t="n">
        <f aca="false">IF(AND(ISNUMBER($G357),$G357&gt;=MA_MED),AVERAGE(INDEX($C$5:$C357,354-MA_MED):$C357),"")</f>
        <v>6577.4</v>
      </c>
      <c r="K357" s="52" t="n">
        <f aca="false">IF(AND(ISNUMBER($G357),$G357&gt;=MA_LONG2),AVERAGE(INDEX($C$5:$C357,354-MA_LONG2):$C357),"")</f>
        <v>5542.495</v>
      </c>
      <c r="L357" s="53" t="n">
        <f aca="false">IF(AND(ISNUMBER($G357),$G357&gt;=21),STDEV(INDEX($H$297:$H357,62-20):$H357)*SQRT(245),"")</f>
        <v>0.175477734377183</v>
      </c>
      <c r="M357" s="52" t="n">
        <f aca="false">IF(AND(ISNUMBER($G357),$G357&gt;=60),MAX(INDEX($D$157:$D357,202-60):$D357),"")</f>
        <v>7126</v>
      </c>
      <c r="N357" s="52" t="n">
        <f aca="false">IF(AND(ISNUMBER($G357),$G357&gt;=60),MIN(INDEX($E$157:$E357,202-60):$E357),"")</f>
        <v>5783</v>
      </c>
      <c r="O357" s="53" t="n">
        <f aca="false">IF(OR(NOT(ISNUMBER($C357)),NOT(ISNUMBER($M357)),$M357=0),"",$C357/$M357-1)</f>
        <v>-0.00182430536065115</v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7175</v>
      </c>
      <c r="D358" s="49" t="n">
        <v>7203</v>
      </c>
      <c r="E358" s="49" t="n">
        <v>7149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0.00871643469703365</v>
      </c>
      <c r="I358" s="52" t="n">
        <f aca="false">IF(AND(ISNUMBER($G358),$G358&gt;=MA_SHORT),AVERAGE(INDEX($C$5:$C358,355-MA_SHORT):$C358),"")</f>
        <v>6843.6</v>
      </c>
      <c r="J358" s="52" t="n">
        <f aca="false">IF(AND(ISNUMBER($G358),$G358&gt;=MA_MED),AVERAGE(INDEX($C$5:$C358,355-MA_MED):$C358),"")</f>
        <v>6595.02</v>
      </c>
      <c r="K358" s="52" t="n">
        <f aca="false">IF(AND(ISNUMBER($G358),$G358&gt;=MA_LONG2),AVERAGE(INDEX($C$5:$C358,355-MA_LONG2):$C358),"")</f>
        <v>5555.91</v>
      </c>
      <c r="L358" s="53" t="n">
        <f aca="false">IF(AND(ISNUMBER($G358),$G358&gt;=21),STDEV(INDEX($H$298:$H358,62-20):$H358)*SQRT(245),"")</f>
        <v>0.171357450599545</v>
      </c>
      <c r="M358" s="52" t="n">
        <f aca="false">IF(AND(ISNUMBER($G358),$G358&gt;=60),MAX(INDEX($D$158:$D358,202-60):$D358),"")</f>
        <v>7203</v>
      </c>
      <c r="N358" s="52" t="n">
        <f aca="false">IF(AND(ISNUMBER($G358),$G358&gt;=60),MIN(INDEX($E$158:$E358,202-60):$E358),"")</f>
        <v>5783</v>
      </c>
      <c r="O358" s="53" t="n">
        <f aca="false">IF(OR(NOT(ISNUMBER($C358)),NOT(ISNUMBER($M358)),$M358=0),"",$C358/$M358-1)</f>
        <v>-0.00388726919339166</v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7151</v>
      </c>
      <c r="D359" s="49" t="n">
        <v>7168</v>
      </c>
      <c r="E359" s="49" t="n">
        <v>7133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-0.00334494773519167</v>
      </c>
      <c r="I359" s="52" t="n">
        <f aca="false">IF(AND(ISNUMBER($G359),$G359&gt;=MA_SHORT),AVERAGE(INDEX($C$5:$C359,356-MA_SHORT):$C359),"")</f>
        <v>6865.7</v>
      </c>
      <c r="J359" s="52" t="n">
        <f aca="false">IF(AND(ISNUMBER($G359),$G359&gt;=MA_MED),AVERAGE(INDEX($C$5:$C359,356-MA_MED):$C359),"")</f>
        <v>6610.84</v>
      </c>
      <c r="K359" s="52" t="n">
        <f aca="false">IF(AND(ISNUMBER($G359),$G359&gt;=MA_LONG2),AVERAGE(INDEX($C$5:$C359,356-MA_LONG2):$C359),"")</f>
        <v>5569.38</v>
      </c>
      <c r="L359" s="53" t="n">
        <f aca="false">IF(AND(ISNUMBER($G359),$G359&gt;=21),STDEV(INDEX($H$299:$H359,62-20):$H359)*SQRT(245),"")</f>
        <v>0.172356792044267</v>
      </c>
      <c r="M359" s="52" t="n">
        <f aca="false">IF(AND(ISNUMBER($G359),$G359&gt;=60),MAX(INDEX($D$159:$D359,202-60):$D359),"")</f>
        <v>7203</v>
      </c>
      <c r="N359" s="52" t="n">
        <f aca="false">IF(AND(ISNUMBER($G359),$G359&gt;=60),MIN(INDEX($E$159:$E359,202-60):$E359),"")</f>
        <v>5803</v>
      </c>
      <c r="O359" s="53" t="n">
        <f aca="false">IF(OR(NOT(ISNUMBER($C359)),NOT(ISNUMBER($M359)),$M359=0),"",$C359/$M359-1)</f>
        <v>-0.00721921421629879</v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7181</v>
      </c>
      <c r="D360" s="49" t="n">
        <v>7205</v>
      </c>
      <c r="E360" s="49" t="n">
        <v>7152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0.00419521745210449</v>
      </c>
      <c r="I360" s="52" t="n">
        <f aca="false">IF(AND(ISNUMBER($G360),$G360&gt;=MA_SHORT),AVERAGE(INDEX($C$5:$C360,357-MA_SHORT):$C360),"")</f>
        <v>6886.25</v>
      </c>
      <c r="J360" s="52" t="n">
        <f aca="false">IF(AND(ISNUMBER($G360),$G360&gt;=MA_MED),AVERAGE(INDEX($C$5:$C360,357-MA_MED):$C360),"")</f>
        <v>6627.08</v>
      </c>
      <c r="K360" s="52" t="n">
        <f aca="false">IF(AND(ISNUMBER($G360),$G360&gt;=MA_LONG2),AVERAGE(INDEX($C$5:$C360,357-MA_LONG2):$C360),"")</f>
        <v>5582.675</v>
      </c>
      <c r="L360" s="53" t="n">
        <f aca="false">IF(AND(ISNUMBER($G360),$G360&gt;=21),STDEV(INDEX($H$300:$H360,62-20):$H360)*SQRT(245),"")</f>
        <v>0.171064691948396</v>
      </c>
      <c r="M360" s="52" t="n">
        <f aca="false">IF(AND(ISNUMBER($G360),$G360&gt;=60),MAX(INDEX($D$160:$D360,202-60):$D360),"")</f>
        <v>7205</v>
      </c>
      <c r="N360" s="52" t="n">
        <f aca="false">IF(AND(ISNUMBER($G360),$G360&gt;=60),MIN(INDEX($E$160:$E360,202-60):$E360),"")</f>
        <v>5829</v>
      </c>
      <c r="O360" s="53" t="n">
        <f aca="false">IF(OR(NOT(ISNUMBER($C360)),NOT(ISNUMBER($M360)),$M360=0),"",$C360/$M360-1)</f>
        <v>-0.00333102012491326</v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7310</v>
      </c>
      <c r="D361" s="49" t="n">
        <v>7330</v>
      </c>
      <c r="E361" s="49" t="n">
        <v>7307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0.0179640718562875</v>
      </c>
      <c r="I361" s="52" t="n">
        <f aca="false">IF(AND(ISNUMBER($G361),$G361&gt;=MA_SHORT),AVERAGE(INDEX($C$5:$C361,358-MA_SHORT):$C361),"")</f>
        <v>6917.8</v>
      </c>
      <c r="J361" s="52" t="n">
        <f aca="false">IF(AND(ISNUMBER($G361),$G361&gt;=MA_MED),AVERAGE(INDEX($C$5:$C361,358-MA_MED):$C361),"")</f>
        <v>6643.6</v>
      </c>
      <c r="K361" s="52" t="n">
        <f aca="false">IF(AND(ISNUMBER($G361),$G361&gt;=MA_LONG2),AVERAGE(INDEX($C$5:$C361,358-MA_LONG2):$C361),"")</f>
        <v>5596.34</v>
      </c>
      <c r="L361" s="53" t="n">
        <f aca="false">IF(AND(ISNUMBER($G361),$G361&gt;=21),STDEV(INDEX($H$301:$H361,62-20):$H361)*SQRT(245),"")</f>
        <v>0.167399384290193</v>
      </c>
      <c r="M361" s="52" t="n">
        <f aca="false">IF(AND(ISNUMBER($G361),$G361&gt;=60),MAX(INDEX($D$161:$D361,202-60):$D361),"")</f>
        <v>7330</v>
      </c>
      <c r="N361" s="52" t="n">
        <f aca="false">IF(AND(ISNUMBER($G361),$G361&gt;=60),MIN(INDEX($E$161:$E361,202-60):$E361),"")</f>
        <v>5844</v>
      </c>
      <c r="O361" s="53" t="n">
        <f aca="false">IF(OR(NOT(ISNUMBER($C361)),NOT(ISNUMBER($M361)),$M361=0),"",$C361/$M361-1)</f>
        <v>-0.00272851296043652</v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7257</v>
      </c>
      <c r="D362" s="49" t="n">
        <v>7288</v>
      </c>
      <c r="E362" s="49" t="n">
        <v>7226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-0.00725034199726404</v>
      </c>
      <c r="I362" s="52" t="n">
        <f aca="false">IF(AND(ISNUMBER($G362),$G362&gt;=MA_SHORT),AVERAGE(INDEX($C$5:$C362,359-MA_SHORT):$C362),"")</f>
        <v>6939.65</v>
      </c>
      <c r="J362" s="52" t="n">
        <f aca="false">IF(AND(ISNUMBER($G362),$G362&gt;=MA_MED),AVERAGE(INDEX($C$5:$C362,359-MA_MED):$C362),"")</f>
        <v>6661.28</v>
      </c>
      <c r="K362" s="52" t="n">
        <f aca="false">IF(AND(ISNUMBER($G362),$G362&gt;=MA_LONG2),AVERAGE(INDEX($C$5:$C362,359-MA_LONG2):$C362),"")</f>
        <v>5609.465</v>
      </c>
      <c r="L362" s="53" t="n">
        <f aca="false">IF(AND(ISNUMBER($G362),$G362&gt;=21),STDEV(INDEX($H$302:$H362,62-20):$H362)*SQRT(245),"")</f>
        <v>0.160572282482899</v>
      </c>
      <c r="M362" s="52" t="n">
        <f aca="false">IF(AND(ISNUMBER($G362),$G362&gt;=60),MAX(INDEX($D$162:$D362,202-60):$D362),"")</f>
        <v>7330</v>
      </c>
      <c r="N362" s="52" t="n">
        <f aca="false">IF(AND(ISNUMBER($G362),$G362&gt;=60),MIN(INDEX($E$162:$E362,202-60):$E362),"")</f>
        <v>5844</v>
      </c>
      <c r="O362" s="53" t="n">
        <f aca="false">IF(OR(NOT(ISNUMBER($C362)),NOT(ISNUMBER($M362)),$M362=0),"",$C362/$M362-1)</f>
        <v>-0.00995907230559345</v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7228</v>
      </c>
      <c r="D363" s="49" t="n">
        <v>7275</v>
      </c>
      <c r="E363" s="49" t="n">
        <v>7209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-0.00399614165633178</v>
      </c>
      <c r="I363" s="52" t="n">
        <f aca="false">IF(AND(ISNUMBER($G363),$G363&gt;=MA_SHORT),AVERAGE(INDEX($C$5:$C363,360-MA_SHORT):$C363),"")</f>
        <v>6959.9</v>
      </c>
      <c r="J363" s="52" t="n">
        <f aca="false">IF(AND(ISNUMBER($G363),$G363&gt;=MA_MED),AVERAGE(INDEX($C$5:$C363,360-MA_MED):$C363),"")</f>
        <v>6679</v>
      </c>
      <c r="K363" s="52" t="n">
        <f aca="false">IF(AND(ISNUMBER($G363),$G363&gt;=MA_LONG2),AVERAGE(INDEX($C$5:$C363,360-MA_LONG2):$C363),"")</f>
        <v>5622.415</v>
      </c>
      <c r="L363" s="53" t="n">
        <f aca="false">IF(AND(ISNUMBER($G363),$G363&gt;=21),STDEV(INDEX($H$303:$H363,62-20):$H363)*SQRT(245),"")</f>
        <v>0.162282789730997</v>
      </c>
      <c r="M363" s="52" t="n">
        <f aca="false">IF(AND(ISNUMBER($G363),$G363&gt;=60),MAX(INDEX($D$163:$D363,202-60):$D363),"")</f>
        <v>7330</v>
      </c>
      <c r="N363" s="52" t="n">
        <f aca="false">IF(AND(ISNUMBER($G363),$G363&gt;=60),MIN(INDEX($E$163:$E363,202-60):$E363),"")</f>
        <v>5915</v>
      </c>
      <c r="O363" s="53" t="n">
        <f aca="false">IF(OR(NOT(ISNUMBER($C363)),NOT(ISNUMBER($M363)),$M363=0),"",$C363/$M363-1)</f>
        <v>-0.0139154160982264</v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7254</v>
      </c>
      <c r="D364" s="49" t="n">
        <v>7264</v>
      </c>
      <c r="E364" s="49" t="n">
        <v>7232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0.00359712230215825</v>
      </c>
      <c r="I364" s="52" t="n">
        <f aca="false">IF(AND(ISNUMBER($G364),$G364&gt;=MA_SHORT),AVERAGE(INDEX($C$5:$C364,361-MA_SHORT):$C364),"")</f>
        <v>6983.1</v>
      </c>
      <c r="J364" s="52" t="n">
        <f aca="false">IF(AND(ISNUMBER($G364),$G364&gt;=MA_MED),AVERAGE(INDEX($C$5:$C364,361-MA_MED):$C364),"")</f>
        <v>6697.1</v>
      </c>
      <c r="K364" s="52" t="n">
        <f aca="false">IF(AND(ISNUMBER($G364),$G364&gt;=MA_LONG2),AVERAGE(INDEX($C$5:$C364,361-MA_LONG2):$C364),"")</f>
        <v>5635.515</v>
      </c>
      <c r="L364" s="53" t="n">
        <f aca="false">IF(AND(ISNUMBER($G364),$G364&gt;=21),STDEV(INDEX($H$304:$H364,62-20):$H364)*SQRT(245),"")</f>
        <v>0.159737275930163</v>
      </c>
      <c r="M364" s="52" t="n">
        <f aca="false">IF(AND(ISNUMBER($G364),$G364&gt;=60),MAX(INDEX($D$164:$D364,202-60):$D364),"")</f>
        <v>7330</v>
      </c>
      <c r="N364" s="52" t="n">
        <f aca="false">IF(AND(ISNUMBER($G364),$G364&gt;=60),MIN(INDEX($E$164:$E364,202-60):$E364),"")</f>
        <v>6126</v>
      </c>
      <c r="O364" s="53" t="n">
        <f aca="false">IF(OR(NOT(ISNUMBER($C364)),NOT(ISNUMBER($M364)),$M364=0),"",$C364/$M364-1)</f>
        <v>-0.0103683492496589</v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7318</v>
      </c>
      <c r="D365" s="49" t="n">
        <v>7340</v>
      </c>
      <c r="E365" s="49" t="n">
        <v>7302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0.00882271850013794</v>
      </c>
      <c r="I365" s="52" t="n">
        <f aca="false">IF(AND(ISNUMBER($G365),$G365&gt;=MA_SHORT),AVERAGE(INDEX($C$5:$C365,362-MA_SHORT):$C365),"")</f>
        <v>7012.6</v>
      </c>
      <c r="J365" s="52" t="n">
        <f aca="false">IF(AND(ISNUMBER($G365),$G365&gt;=MA_MED),AVERAGE(INDEX($C$5:$C365,362-MA_MED):$C365),"")</f>
        <v>6720.08</v>
      </c>
      <c r="K365" s="52" t="n">
        <f aca="false">IF(AND(ISNUMBER($G365),$G365&gt;=MA_LONG2),AVERAGE(INDEX($C$5:$C365,362-MA_LONG2):$C365),"")</f>
        <v>5648.595</v>
      </c>
      <c r="L365" s="53" t="n">
        <f aca="false">IF(AND(ISNUMBER($G365),$G365&gt;=21),STDEV(INDEX($H$305:$H365,62-20):$H365)*SQRT(245),"")</f>
        <v>0.153886664498688</v>
      </c>
      <c r="M365" s="52" t="n">
        <f aca="false">IF(AND(ISNUMBER($G365),$G365&gt;=60),MAX(INDEX($D$165:$D365,202-60):$D365),"")</f>
        <v>7340</v>
      </c>
      <c r="N365" s="52" t="n">
        <f aca="false">IF(AND(ISNUMBER($G365),$G365&gt;=60),MIN(INDEX($E$165:$E365,202-60):$E365),"")</f>
        <v>6133</v>
      </c>
      <c r="O365" s="53" t="n">
        <f aca="false">IF(OR(NOT(ISNUMBER($C365)),NOT(ISNUMBER($M365)),$M365=0),"",$C365/$M365-1)</f>
        <v>-0.00299727520435966</v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7294</v>
      </c>
      <c r="D366" s="49" t="n">
        <v>7296</v>
      </c>
      <c r="E366" s="49" t="n">
        <v>7257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-0.00327958458595246</v>
      </c>
      <c r="I366" s="52" t="n">
        <f aca="false">IF(AND(ISNUMBER($G366),$G366&gt;=MA_SHORT),AVERAGE(INDEX($C$5:$C366,363-MA_SHORT):$C366),"")</f>
        <v>7038.35</v>
      </c>
      <c r="J366" s="52" t="n">
        <f aca="false">IF(AND(ISNUMBER($G366),$G366&gt;=MA_MED),AVERAGE(INDEX($C$5:$C366,363-MA_MED):$C366),"")</f>
        <v>6741.94</v>
      </c>
      <c r="K366" s="52" t="n">
        <f aca="false">IF(AND(ISNUMBER($G366),$G366&gt;=MA_LONG2),AVERAGE(INDEX($C$5:$C366,363-MA_LONG2):$C366),"")</f>
        <v>5661.73</v>
      </c>
      <c r="L366" s="53" t="n">
        <f aca="false">IF(AND(ISNUMBER($G366),$G366&gt;=21),STDEV(INDEX($H$306:$H366,62-20):$H366)*SQRT(245),"")</f>
        <v>0.155548175645032</v>
      </c>
      <c r="M366" s="52" t="n">
        <f aca="false">IF(AND(ISNUMBER($G366),$G366&gt;=60),MAX(INDEX($D$166:$D366,202-60):$D366),"")</f>
        <v>7340</v>
      </c>
      <c r="N366" s="52" t="n">
        <f aca="false">IF(AND(ISNUMBER($G366),$G366&gt;=60),MIN(INDEX($E$166:$E366,202-60):$E366),"")</f>
        <v>6133</v>
      </c>
      <c r="O366" s="53" t="n">
        <f aca="false">IF(OR(NOT(ISNUMBER($C366)),NOT(ISNUMBER($M366)),$M366=0),"",$C366/$M366-1)</f>
        <v>-0.00626702997275208</v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7176</v>
      </c>
      <c r="D367" s="49" t="n">
        <v>7177</v>
      </c>
      <c r="E367" s="49" t="n">
        <v>7140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-0.0161776802851659</v>
      </c>
      <c r="I367" s="52" t="n">
        <f aca="false">IF(AND(ISNUMBER($G367),$G367&gt;=MA_SHORT),AVERAGE(INDEX($C$5:$C367,364-MA_SHORT):$C367),"")</f>
        <v>7056.8</v>
      </c>
      <c r="J367" s="52" t="n">
        <f aca="false">IF(AND(ISNUMBER($G367),$G367&gt;=MA_MED),AVERAGE(INDEX($C$5:$C367,364-MA_MED):$C367),"")</f>
        <v>6761.9</v>
      </c>
      <c r="K367" s="52" t="n">
        <f aca="false">IF(AND(ISNUMBER($G367),$G367&gt;=MA_LONG2),AVERAGE(INDEX($C$5:$C367,364-MA_LONG2):$C367),"")</f>
        <v>5674.425</v>
      </c>
      <c r="L367" s="53" t="n">
        <f aca="false">IF(AND(ISNUMBER($G367),$G367&gt;=21),STDEV(INDEX($H$307:$H367,62-20):$H367)*SQRT(245),"")</f>
        <v>0.170380656167038</v>
      </c>
      <c r="M367" s="52" t="n">
        <f aca="false">IF(AND(ISNUMBER($G367),$G367&gt;=60),MAX(INDEX($D$167:$D367,202-60):$D367),"")</f>
        <v>7340</v>
      </c>
      <c r="N367" s="52" t="n">
        <f aca="false">IF(AND(ISNUMBER($G367),$G367&gt;=60),MIN(INDEX($E$167:$E367,202-60):$E367),"")</f>
        <v>6133</v>
      </c>
      <c r="O367" s="53" t="n">
        <f aca="false">IF(OR(NOT(ISNUMBER($C367)),NOT(ISNUMBER($M367)),$M367=0),"",$C367/$M367-1)</f>
        <v>-0.0223433242506812</v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7215</v>
      </c>
      <c r="D368" s="49" t="n">
        <v>7243</v>
      </c>
      <c r="E368" s="49" t="n">
        <v>7181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0.00543478260869557</v>
      </c>
      <c r="I368" s="52" t="n">
        <f aca="false">IF(AND(ISNUMBER($G368),$G368&gt;=MA_SHORT),AVERAGE(INDEX($C$5:$C368,365-MA_SHORT):$C368),"")</f>
        <v>7076.95</v>
      </c>
      <c r="J368" s="52" t="n">
        <f aca="false">IF(AND(ISNUMBER($G368),$G368&gt;=MA_MED),AVERAGE(INDEX($C$5:$C368,365-MA_MED):$C368),"")</f>
        <v>6781.9</v>
      </c>
      <c r="K368" s="52" t="n">
        <f aca="false">IF(AND(ISNUMBER($G368),$G368&gt;=MA_LONG2),AVERAGE(INDEX($C$5:$C368,365-MA_LONG2):$C368),"")</f>
        <v>5687.17</v>
      </c>
      <c r="L368" s="53" t="n">
        <f aca="false">IF(AND(ISNUMBER($G368),$G368&gt;=21),STDEV(INDEX($H$308:$H368,62-20):$H368)*SQRT(245),"")</f>
        <v>0.170475962185427</v>
      </c>
      <c r="M368" s="52" t="n">
        <f aca="false">IF(AND(ISNUMBER($G368),$G368&gt;=60),MAX(INDEX($D$168:$D368,202-60):$D368),"")</f>
        <v>7340</v>
      </c>
      <c r="N368" s="52" t="n">
        <f aca="false">IF(AND(ISNUMBER($G368),$G368&gt;=60),MIN(INDEX($E$168:$E368,202-60):$E368),"")</f>
        <v>6133</v>
      </c>
      <c r="O368" s="53" t="n">
        <f aca="false">IF(OR(NOT(ISNUMBER($C368)),NOT(ISNUMBER($M368)),$M368=0),"",$C368/$M368-1)</f>
        <v>-0.0170299727520435</v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7287</v>
      </c>
      <c r="D369" s="49" t="n">
        <v>7295</v>
      </c>
      <c r="E369" s="49" t="n">
        <v>7276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0.00997920997920998</v>
      </c>
      <c r="I369" s="52" t="n">
        <f aca="false">IF(AND(ISNUMBER($G369),$G369&gt;=MA_SHORT),AVERAGE(INDEX($C$5:$C369,366-MA_SHORT):$C369),"")</f>
        <v>7103.15</v>
      </c>
      <c r="J369" s="52" t="n">
        <f aca="false">IF(AND(ISNUMBER($G369),$G369&gt;=MA_MED),AVERAGE(INDEX($C$5:$C369,366-MA_MED):$C369),"")</f>
        <v>6802.38</v>
      </c>
      <c r="K369" s="52" t="n">
        <f aca="false">IF(AND(ISNUMBER($G369),$G369&gt;=MA_LONG2),AVERAGE(INDEX($C$5:$C369,366-MA_LONG2):$C369),"")</f>
        <v>5700.08</v>
      </c>
      <c r="L369" s="53" t="n">
        <f aca="false">IF(AND(ISNUMBER($G369),$G369&gt;=21),STDEV(INDEX($H$309:$H369,62-20):$H369)*SQRT(245),"")</f>
        <v>0.167896985374232</v>
      </c>
      <c r="M369" s="52" t="n">
        <f aca="false">IF(AND(ISNUMBER($G369),$G369&gt;=60),MAX(INDEX($D$169:$D369,202-60):$D369),"")</f>
        <v>7340</v>
      </c>
      <c r="N369" s="52" t="n">
        <f aca="false">IF(AND(ISNUMBER($G369),$G369&gt;=60),MIN(INDEX($E$169:$E369,202-60):$E369),"")</f>
        <v>6133</v>
      </c>
      <c r="O369" s="53" t="n">
        <f aca="false">IF(OR(NOT(ISNUMBER($C369)),NOT(ISNUMBER($M369)),$M369=0),"",$C369/$M369-1)</f>
        <v>-0.00722070844686651</v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7315</v>
      </c>
      <c r="D370" s="49" t="n">
        <v>7320</v>
      </c>
      <c r="E370" s="49" t="n">
        <v>7286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0.00384245917387127</v>
      </c>
      <c r="I370" s="52" t="n">
        <f aca="false">IF(AND(ISNUMBER($G370),$G370&gt;=MA_SHORT),AVERAGE(INDEX($C$5:$C370,367-MA_SHORT):$C370),"")</f>
        <v>7128.6</v>
      </c>
      <c r="J370" s="52" t="n">
        <f aca="false">IF(AND(ISNUMBER($G370),$G370&gt;=MA_MED),AVERAGE(INDEX($C$5:$C370,367-MA_MED):$C370),"")</f>
        <v>6822.44</v>
      </c>
      <c r="K370" s="52" t="n">
        <f aca="false">IF(AND(ISNUMBER($G370),$G370&gt;=MA_LONG2),AVERAGE(INDEX($C$5:$C370,367-MA_LONG2):$C370),"")</f>
        <v>5712.955</v>
      </c>
      <c r="L370" s="53" t="n">
        <f aca="false">IF(AND(ISNUMBER($G370),$G370&gt;=21),STDEV(INDEX($H$310:$H370,62-20):$H370)*SQRT(245),"")</f>
        <v>0.167632006760191</v>
      </c>
      <c r="M370" s="52" t="n">
        <f aca="false">IF(AND(ISNUMBER($G370),$G370&gt;=60),MAX(INDEX($D$170:$D370,202-60):$D370),"")</f>
        <v>7340</v>
      </c>
      <c r="N370" s="52" t="n">
        <f aca="false">IF(AND(ISNUMBER($G370),$G370&gt;=60),MIN(INDEX($E$170:$E370,202-60):$E370),"")</f>
        <v>6133</v>
      </c>
      <c r="O370" s="53" t="n">
        <f aca="false">IF(OR(NOT(ISNUMBER($C370)),NOT(ISNUMBER($M370)),$M370=0),"",$C370/$M370-1)</f>
        <v>-0.00340599455040869</v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7287</v>
      </c>
      <c r="D371" s="49" t="n">
        <v>7313</v>
      </c>
      <c r="E371" s="49" t="n">
        <v>7272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-0.00382775119617229</v>
      </c>
      <c r="I371" s="52" t="n">
        <f aca="false">IF(AND(ISNUMBER($G371),$G371&gt;=MA_SHORT),AVERAGE(INDEX($C$5:$C371,368-MA_SHORT):$C371),"")</f>
        <v>7158</v>
      </c>
      <c r="J371" s="52" t="n">
        <f aca="false">IF(AND(ISNUMBER($G371),$G371&gt;=MA_MED),AVERAGE(INDEX($C$5:$C371,368-MA_MED):$C371),"")</f>
        <v>6841.04</v>
      </c>
      <c r="K371" s="52" t="n">
        <f aca="false">IF(AND(ISNUMBER($G371),$G371&gt;=MA_LONG2),AVERAGE(INDEX($C$5:$C371,368-MA_LONG2):$C371),"")</f>
        <v>5725.68</v>
      </c>
      <c r="L371" s="53" t="n">
        <f aca="false">IF(AND(ISNUMBER($G371),$G371&gt;=21),STDEV(INDEX($H$311:$H371,62-20):$H371)*SQRT(245),"")</f>
        <v>0.15455201485657</v>
      </c>
      <c r="M371" s="52" t="n">
        <f aca="false">IF(AND(ISNUMBER($G371),$G371&gt;=60),MAX(INDEX($D$171:$D371,202-60):$D371),"")</f>
        <v>7340</v>
      </c>
      <c r="N371" s="52" t="n">
        <f aca="false">IF(AND(ISNUMBER($G371),$G371&gt;=60),MIN(INDEX($E$171:$E371,202-60):$E371),"")</f>
        <v>6133</v>
      </c>
      <c r="O371" s="53" t="n">
        <f aca="false">IF(OR(NOT(ISNUMBER($C371)),NOT(ISNUMBER($M371)),$M371=0),"",$C371/$M371-1)</f>
        <v>-0.00722070844686651</v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7176</v>
      </c>
      <c r="D372" s="49" t="n">
        <v>7176</v>
      </c>
      <c r="E372" s="49" t="n">
        <v>7142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-0.015232606010704</v>
      </c>
      <c r="I372" s="52" t="n">
        <f aca="false">IF(AND(ISNUMBER($G372),$G372&gt;=MA_SHORT),AVERAGE(INDEX($C$5:$C372,369-MA_SHORT):$C372),"")</f>
        <v>7176.9</v>
      </c>
      <c r="J372" s="52" t="n">
        <f aca="false">IF(AND(ISNUMBER($G372),$G372&gt;=MA_MED),AVERAGE(INDEX($C$5:$C372,369-MA_MED):$C372),"")</f>
        <v>6854.94</v>
      </c>
      <c r="K372" s="52" t="n">
        <f aca="false">IF(AND(ISNUMBER($G372),$G372&gt;=MA_LONG2),AVERAGE(INDEX($C$5:$C372,369-MA_LONG2):$C372),"")</f>
        <v>5738.22</v>
      </c>
      <c r="L372" s="53" t="n">
        <f aca="false">IF(AND(ISNUMBER($G372),$G372&gt;=21),STDEV(INDEX($H$312:$H372,62-20):$H372)*SQRT(245),"")</f>
        <v>0.163645476403478</v>
      </c>
      <c r="M372" s="52" t="n">
        <f aca="false">IF(AND(ISNUMBER($G372),$G372&gt;=60),MAX(INDEX($D$172:$D372,202-60):$D372),"")</f>
        <v>7340</v>
      </c>
      <c r="N372" s="52" t="n">
        <f aca="false">IF(AND(ISNUMBER($G372),$G372&gt;=60),MIN(INDEX($E$172:$E372,202-60):$E372),"")</f>
        <v>6133</v>
      </c>
      <c r="O372" s="53" t="n">
        <f aca="false">IF(OR(NOT(ISNUMBER($C372)),NOT(ISNUMBER($M372)),$M372=0),"",$C372/$M372-1)</f>
        <v>-0.0223433242506812</v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7082</v>
      </c>
      <c r="D373" s="49" t="n">
        <v>7121</v>
      </c>
      <c r="E373" s="49" t="n">
        <v>7068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-0.0130992196209587</v>
      </c>
      <c r="I373" s="52" t="n">
        <f aca="false">IF(AND(ISNUMBER($G373),$G373&gt;=MA_SHORT),AVERAGE(INDEX($C$5:$C373,370-MA_SHORT):$C373),"")</f>
        <v>7183.2</v>
      </c>
      <c r="J373" s="52" t="n">
        <f aca="false">IF(AND(ISNUMBER($G373),$G373&gt;=MA_MED),AVERAGE(INDEX($C$5:$C373,370-MA_MED):$C373),"")</f>
        <v>6865.4</v>
      </c>
      <c r="K373" s="52" t="n">
        <f aca="false">IF(AND(ISNUMBER($G373),$G373&gt;=MA_LONG2),AVERAGE(INDEX($C$5:$C373,370-MA_LONG2):$C373),"")</f>
        <v>5750.785</v>
      </c>
      <c r="L373" s="53" t="n">
        <f aca="false">IF(AND(ISNUMBER($G373),$G373&gt;=21),STDEV(INDEX($H$313:$H373,62-20):$H373)*SQRT(245),"")</f>
        <v>0.154152722551233</v>
      </c>
      <c r="M373" s="52" t="n">
        <f aca="false">IF(AND(ISNUMBER($G373),$G373&gt;=60),MAX(INDEX($D$173:$D373,202-60):$D373),"")</f>
        <v>7340</v>
      </c>
      <c r="N373" s="52" t="n">
        <f aca="false">IF(AND(ISNUMBER($G373),$G373&gt;=60),MIN(INDEX($E$173:$E373,202-60):$E373),"")</f>
        <v>6133</v>
      </c>
      <c r="O373" s="53" t="n">
        <f aca="false">IF(OR(NOT(ISNUMBER($C373)),NOT(ISNUMBER($M373)),$M373=0),"",$C373/$M373-1)</f>
        <v>-0.035149863760218</v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7051</v>
      </c>
      <c r="D374" s="49" t="n">
        <v>7113</v>
      </c>
      <c r="E374" s="49" t="n">
        <v>7032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-0.00437729454956226</v>
      </c>
      <c r="I374" s="52" t="n">
        <f aca="false">IF(AND(ISNUMBER($G374),$G374&gt;=MA_SHORT),AVERAGE(INDEX($C$5:$C374,371-MA_SHORT):$C374),"")</f>
        <v>7190.95</v>
      </c>
      <c r="J374" s="52" t="n">
        <f aca="false">IF(AND(ISNUMBER($G374),$G374&gt;=MA_MED),AVERAGE(INDEX($C$5:$C374,371-MA_MED):$C374),"")</f>
        <v>6876.64</v>
      </c>
      <c r="K374" s="52" t="n">
        <f aca="false">IF(AND(ISNUMBER($G374),$G374&gt;=MA_LONG2),AVERAGE(INDEX($C$5:$C374,371-MA_LONG2):$C374),"")</f>
        <v>5763.075</v>
      </c>
      <c r="L374" s="53" t="n">
        <f aca="false">IF(AND(ISNUMBER($G374),$G374&gt;=21),STDEV(INDEX($H$314:$H374,62-20):$H374)*SQRT(245),"")</f>
        <v>0.151445272606652</v>
      </c>
      <c r="M374" s="52" t="n">
        <f aca="false">IF(AND(ISNUMBER($G374),$G374&gt;=60),MAX(INDEX($D$174:$D374,202-60):$D374),"")</f>
        <v>7340</v>
      </c>
      <c r="N374" s="52" t="n">
        <f aca="false">IF(AND(ISNUMBER($G374),$G374&gt;=60),MIN(INDEX($E$174:$E374,202-60):$E374),"")</f>
        <v>6133</v>
      </c>
      <c r="O374" s="53" t="n">
        <f aca="false">IF(OR(NOT(ISNUMBER($C374)),NOT(ISNUMBER($M374)),$M374=0),"",$C374/$M374-1)</f>
        <v>-0.0393732970027249</v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6937</v>
      </c>
      <c r="D375" s="49" t="n">
        <v>6938</v>
      </c>
      <c r="E375" s="49" t="n">
        <v>6909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-0.0161679194440505</v>
      </c>
      <c r="I375" s="52" t="n">
        <f aca="false">IF(AND(ISNUMBER($G375),$G375&gt;=MA_SHORT),AVERAGE(INDEX($C$5:$C375,372-MA_SHORT):$C375),"")</f>
        <v>7190.55</v>
      </c>
      <c r="J375" s="52" t="n">
        <f aca="false">IF(AND(ISNUMBER($G375),$G375&gt;=MA_MED),AVERAGE(INDEX($C$5:$C375,372-MA_MED):$C375),"")</f>
        <v>6881.84</v>
      </c>
      <c r="K375" s="52" t="n">
        <f aca="false">IF(AND(ISNUMBER($G375),$G375&gt;=MA_LONG2),AVERAGE(INDEX($C$5:$C375,372-MA_LONG2):$C375),"")</f>
        <v>5775.11</v>
      </c>
      <c r="L375" s="53" t="n">
        <f aca="false">IF(AND(ISNUMBER($G375),$G375&gt;=21),STDEV(INDEX($H$315:$H375,62-20):$H375)*SQRT(245),"")</f>
        <v>0.161245921274796</v>
      </c>
      <c r="M375" s="52" t="n">
        <f aca="false">IF(AND(ISNUMBER($G375),$G375&gt;=60),MAX(INDEX($D$175:$D375,202-60):$D375),"")</f>
        <v>7340</v>
      </c>
      <c r="N375" s="52" t="n">
        <f aca="false">IF(AND(ISNUMBER($G375),$G375&gt;=60),MIN(INDEX($E$175:$E375,202-60):$E375),"")</f>
        <v>6162</v>
      </c>
      <c r="O375" s="53" t="n">
        <f aca="false">IF(OR(NOT(ISNUMBER($C375)),NOT(ISNUMBER($M375)),$M375=0),"",$C375/$M375-1)</f>
        <v>-0.0549046321525886</v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6971</v>
      </c>
      <c r="D376" s="49" t="n">
        <v>7011</v>
      </c>
      <c r="E376" s="49" t="n">
        <v>6964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0.00490125414444287</v>
      </c>
      <c r="I376" s="52" t="n">
        <f aca="false">IF(AND(ISNUMBER($G376),$G376&gt;=MA_SHORT),AVERAGE(INDEX($C$5:$C376,373-MA_SHORT):$C376),"")</f>
        <v>7188.9</v>
      </c>
      <c r="J376" s="52" t="n">
        <f aca="false">IF(AND(ISNUMBER($G376),$G376&gt;=MA_MED),AVERAGE(INDEX($C$5:$C376,373-MA_MED):$C376),"")</f>
        <v>6887.98</v>
      </c>
      <c r="K376" s="52" t="n">
        <f aca="false">IF(AND(ISNUMBER($G376),$G376&gt;=MA_LONG2),AVERAGE(INDEX($C$5:$C376,373-MA_LONG2):$C376),"")</f>
        <v>5786.995</v>
      </c>
      <c r="L376" s="53" t="n">
        <f aca="false">IF(AND(ISNUMBER($G376),$G376&gt;=21),STDEV(INDEX($H$316:$H376,62-20):$H376)*SQRT(245),"")</f>
        <v>0.15928086899044</v>
      </c>
      <c r="M376" s="52" t="n">
        <f aca="false">IF(AND(ISNUMBER($G376),$G376&gt;=60),MAX(INDEX($D$176:$D376,202-60):$D376),"")</f>
        <v>7340</v>
      </c>
      <c r="N376" s="52" t="n">
        <f aca="false">IF(AND(ISNUMBER($G376),$G376&gt;=60),MIN(INDEX($E$176:$E376,202-60):$E376),"")</f>
        <v>6162</v>
      </c>
      <c r="O376" s="53" t="n">
        <f aca="false">IF(OR(NOT(ISNUMBER($C376)),NOT(ISNUMBER($M376)),$M376=0),"",$C376/$M376-1)</f>
        <v>-0.0502724795640327</v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6900</v>
      </c>
      <c r="D377" s="49" t="n">
        <v>6934</v>
      </c>
      <c r="E377" s="49" t="n">
        <v>6874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-0.0101850523597762</v>
      </c>
      <c r="I377" s="52" t="n">
        <f aca="false">IF(AND(ISNUMBER($G377),$G377&gt;=MA_SHORT),AVERAGE(INDEX($C$5:$C377,374-MA_SHORT):$C377),"")</f>
        <v>7178.25</v>
      </c>
      <c r="J377" s="52" t="n">
        <f aca="false">IF(AND(ISNUMBER($G377),$G377&gt;=MA_MED),AVERAGE(INDEX($C$5:$C377,374-MA_MED):$C377),"")</f>
        <v>6893.46</v>
      </c>
      <c r="K377" s="52" t="n">
        <f aca="false">IF(AND(ISNUMBER($G377),$G377&gt;=MA_LONG2),AVERAGE(INDEX($C$5:$C377,374-MA_LONG2):$C377),"")</f>
        <v>5798.3</v>
      </c>
      <c r="L377" s="53" t="n">
        <f aca="false">IF(AND(ISNUMBER($G377),$G377&gt;=21),STDEV(INDEX($H$317:$H377,62-20):$H377)*SQRT(245),"")</f>
        <v>0.151767950734166</v>
      </c>
      <c r="M377" s="52" t="n">
        <f aca="false">IF(AND(ISNUMBER($G377),$G377&gt;=60),MAX(INDEX($D$177:$D377,202-60):$D377),"")</f>
        <v>7340</v>
      </c>
      <c r="N377" s="52" t="n">
        <f aca="false">IF(AND(ISNUMBER($G377),$G377&gt;=60),MIN(INDEX($E$177:$E377,202-60):$E377),"")</f>
        <v>6187</v>
      </c>
      <c r="O377" s="53" t="n">
        <f aca="false">IF(OR(NOT(ISNUMBER($C377)),NOT(ISNUMBER($M377)),$M377=0),"",$C377/$M377-1)</f>
        <v>-0.0599455040871935</v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6836</v>
      </c>
      <c r="D378" s="49" t="n">
        <v>6846</v>
      </c>
      <c r="E378" s="49" t="n">
        <v>6826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-0.00927536231884063</v>
      </c>
      <c r="I378" s="52" t="n">
        <f aca="false">IF(AND(ISNUMBER($G378),$G378&gt;=MA_SHORT),AVERAGE(INDEX($C$5:$C378,375-MA_SHORT):$C378),"")</f>
        <v>7161.3</v>
      </c>
      <c r="J378" s="52" t="n">
        <f aca="false">IF(AND(ISNUMBER($G378),$G378&gt;=MA_MED),AVERAGE(INDEX($C$5:$C378,375-MA_MED):$C378),"")</f>
        <v>6899.42</v>
      </c>
      <c r="K378" s="52" t="n">
        <f aca="false">IF(AND(ISNUMBER($G378),$G378&gt;=MA_LONG2),AVERAGE(INDEX($C$5:$C378,375-MA_LONG2):$C378),"")</f>
        <v>5809.03</v>
      </c>
      <c r="L378" s="53" t="n">
        <f aca="false">IF(AND(ISNUMBER($G378),$G378&gt;=21),STDEV(INDEX($H$318:$H378,62-20):$H378)*SQRT(245),"")</f>
        <v>0.149232773488453</v>
      </c>
      <c r="M378" s="52" t="n">
        <f aca="false">IF(AND(ISNUMBER($G378),$G378&gt;=60),MAX(INDEX($D$178:$D378,202-60):$D378),"")</f>
        <v>7340</v>
      </c>
      <c r="N378" s="52" t="n">
        <f aca="false">IF(AND(ISNUMBER($G378),$G378&gt;=60),MIN(INDEX($E$178:$E378,202-60):$E378),"")</f>
        <v>6251</v>
      </c>
      <c r="O378" s="53" t="n">
        <f aca="false">IF(OR(NOT(ISNUMBER($C378)),NOT(ISNUMBER($M378)),$M378=0),"",$C378/$M378-1)</f>
        <v>-0.0686648501362398</v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6865</v>
      </c>
      <c r="D379" s="49" t="n">
        <v>6871</v>
      </c>
      <c r="E379" s="49" t="n">
        <v>6840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0.0042422469280281</v>
      </c>
      <c r="I379" s="52" t="n">
        <f aca="false">IF(AND(ISNUMBER($G379),$G379&gt;=MA_SHORT),AVERAGE(INDEX($C$5:$C379,376-MA_SHORT):$C379),"")</f>
        <v>7147</v>
      </c>
      <c r="J379" s="52" t="n">
        <f aca="false">IF(AND(ISNUMBER($G379),$G379&gt;=MA_MED),AVERAGE(INDEX($C$5:$C379,376-MA_MED):$C379),"")</f>
        <v>6906.42</v>
      </c>
      <c r="K379" s="52" t="n">
        <f aca="false">IF(AND(ISNUMBER($G379),$G379&gt;=MA_LONG2),AVERAGE(INDEX($C$5:$C379,376-MA_LONG2):$C379),"")</f>
        <v>5819.93</v>
      </c>
      <c r="L379" s="53" t="n">
        <f aca="false">IF(AND(ISNUMBER($G379),$G379&gt;=21),STDEV(INDEX($H$319:$H379,62-20):$H379)*SQRT(245),"")</f>
        <v>0.150948946744549</v>
      </c>
      <c r="M379" s="52" t="n">
        <f aca="false">IF(AND(ISNUMBER($G379),$G379&gt;=60),MAX(INDEX($D$179:$D379,202-60):$D379),"")</f>
        <v>7340</v>
      </c>
      <c r="N379" s="52" t="n">
        <f aca="false">IF(AND(ISNUMBER($G379),$G379&gt;=60),MIN(INDEX($E$179:$E379,202-60):$E379),"")</f>
        <v>6291</v>
      </c>
      <c r="O379" s="53" t="n">
        <f aca="false">IF(OR(NOT(ISNUMBER($C379)),NOT(ISNUMBER($M379)),$M379=0),"",$C379/$M379-1)</f>
        <v>-0.0647138964577657</v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6838</v>
      </c>
      <c r="D380" s="49" t="n">
        <v>6880</v>
      </c>
      <c r="E380" s="49" t="n">
        <v>6766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-0.00393299344501097</v>
      </c>
      <c r="I380" s="52" t="n">
        <f aca="false">IF(AND(ISNUMBER($G380),$G380&gt;=MA_SHORT),AVERAGE(INDEX($C$5:$C380,377-MA_SHORT):$C380),"")</f>
        <v>7129.85</v>
      </c>
      <c r="J380" s="52" t="n">
        <f aca="false">IF(AND(ISNUMBER($G380),$G380&gt;=MA_MED),AVERAGE(INDEX($C$5:$C380,377-MA_MED):$C380),"")</f>
        <v>6912.38</v>
      </c>
      <c r="K380" s="52" t="n">
        <f aca="false">IF(AND(ISNUMBER($G380),$G380&gt;=MA_LONG2),AVERAGE(INDEX($C$5:$C380,377-MA_LONG2):$C380),"")</f>
        <v>5830.525</v>
      </c>
      <c r="L380" s="53" t="n">
        <f aca="false">IF(AND(ISNUMBER($G380),$G380&gt;=21),STDEV(INDEX($H$320:$H380,62-20):$H380)*SQRT(245),"")</f>
        <v>0.149323186026221</v>
      </c>
      <c r="M380" s="52" t="n">
        <f aca="false">IF(AND(ISNUMBER($G380),$G380&gt;=60),MAX(INDEX($D$180:$D380,202-60):$D380),"")</f>
        <v>7340</v>
      </c>
      <c r="N380" s="52" t="n">
        <f aca="false">IF(AND(ISNUMBER($G380),$G380&gt;=60),MIN(INDEX($E$180:$E380,202-60):$E380),"")</f>
        <v>6291</v>
      </c>
      <c r="O380" s="53" t="n">
        <f aca="false">IF(OR(NOT(ISNUMBER($C380)),NOT(ISNUMBER($M380)),$M380=0),"",$C380/$M380-1)</f>
        <v>-0.068392370572207</v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6817</v>
      </c>
      <c r="D381" s="49" t="n">
        <v>6856</v>
      </c>
      <c r="E381" s="49" t="n">
        <v>6815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-0.00307107341327872</v>
      </c>
      <c r="I381" s="52" t="n">
        <f aca="false">IF(AND(ISNUMBER($G381),$G381&gt;=MA_SHORT),AVERAGE(INDEX($C$5:$C381,378-MA_SHORT):$C381),"")</f>
        <v>7105.2</v>
      </c>
      <c r="J381" s="52" t="n">
        <f aca="false">IF(AND(ISNUMBER($G381),$G381&gt;=MA_MED),AVERAGE(INDEX($C$5:$C381,378-MA_MED):$C381),"")</f>
        <v>6918.6</v>
      </c>
      <c r="K381" s="52" t="n">
        <f aca="false">IF(AND(ISNUMBER($G381),$G381&gt;=MA_LONG2),AVERAGE(INDEX($C$5:$C381,378-MA_LONG2):$C381),"")</f>
        <v>5840.99</v>
      </c>
      <c r="L381" s="53" t="n">
        <f aca="false">IF(AND(ISNUMBER($G381),$G381&gt;=21),STDEV(INDEX($H$321:$H381,62-20):$H381)*SQRT(245),"")</f>
        <v>0.129112589045589</v>
      </c>
      <c r="M381" s="52" t="n">
        <f aca="false">IF(AND(ISNUMBER($G381),$G381&gt;=60),MAX(INDEX($D$181:$D381,202-60):$D381),"")</f>
        <v>7340</v>
      </c>
      <c r="N381" s="52" t="n">
        <f aca="false">IF(AND(ISNUMBER($G381),$G381&gt;=60),MIN(INDEX($E$181:$E381,202-60):$E381),"")</f>
        <v>6291</v>
      </c>
      <c r="O381" s="53" t="n">
        <f aca="false">IF(OR(NOT(ISNUMBER($C381)),NOT(ISNUMBER($M381)),$M381=0),"",$C381/$M381-1)</f>
        <v>-0.0712534059945504</v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6838</v>
      </c>
      <c r="D382" s="49" t="n">
        <v>6877</v>
      </c>
      <c r="E382" s="49" t="n">
        <v>6811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0.0030805339592197</v>
      </c>
      <c r="I382" s="52" t="n">
        <f aca="false">IF(AND(ISNUMBER($G382),$G382&gt;=MA_SHORT),AVERAGE(INDEX($C$5:$C382,379-MA_SHORT):$C382),"")</f>
        <v>7084.25</v>
      </c>
      <c r="J382" s="52" t="n">
        <f aca="false">IF(AND(ISNUMBER($G382),$G382&gt;=MA_MED),AVERAGE(INDEX($C$5:$C382,379-MA_MED):$C382),"")</f>
        <v>6928.96</v>
      </c>
      <c r="K382" s="52" t="n">
        <f aca="false">IF(AND(ISNUMBER($G382),$G382&gt;=MA_LONG2),AVERAGE(INDEX($C$5:$C382,379-MA_LONG2):$C382),"")</f>
        <v>5851.3</v>
      </c>
      <c r="L382" s="53" t="n">
        <f aca="false">IF(AND(ISNUMBER($G382),$G382&gt;=21),STDEV(INDEX($H$322:$H382,62-20):$H382)*SQRT(245),"")</f>
        <v>0.130252287794192</v>
      </c>
      <c r="M382" s="52" t="n">
        <f aca="false">IF(AND(ISNUMBER($G382),$G382&gt;=60),MAX(INDEX($D$182:$D382,202-60):$D382),"")</f>
        <v>7340</v>
      </c>
      <c r="N382" s="52" t="n">
        <f aca="false">IF(AND(ISNUMBER($G382),$G382&gt;=60),MIN(INDEX($E$182:$E382,202-60):$E382),"")</f>
        <v>6291</v>
      </c>
      <c r="O382" s="53" t="n">
        <f aca="false">IF(OR(NOT(ISNUMBER($C382)),NOT(ISNUMBER($M382)),$M382=0),"",$C382/$M382-1)</f>
        <v>-0.068392370572207</v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6870</v>
      </c>
      <c r="D383" s="49" t="n">
        <v>6888</v>
      </c>
      <c r="E383" s="49" t="n">
        <v>6868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0.00467973091547247</v>
      </c>
      <c r="I383" s="52" t="n">
        <f aca="false">IF(AND(ISNUMBER($G383),$G383&gt;=MA_SHORT),AVERAGE(INDEX($C$5:$C383,380-MA_SHORT):$C383),"")</f>
        <v>7066.35</v>
      </c>
      <c r="J383" s="52" t="n">
        <f aca="false">IF(AND(ISNUMBER($G383),$G383&gt;=MA_MED),AVERAGE(INDEX($C$5:$C383,380-MA_MED):$C383),"")</f>
        <v>6938.04</v>
      </c>
      <c r="K383" s="52" t="n">
        <f aca="false">IF(AND(ISNUMBER($G383),$G383&gt;=MA_LONG2),AVERAGE(INDEX($C$5:$C383,380-MA_LONG2):$C383),"")</f>
        <v>5861.895</v>
      </c>
      <c r="L383" s="53" t="n">
        <f aca="false">IF(AND(ISNUMBER($G383),$G383&gt;=21),STDEV(INDEX($H$323:$H383,62-20):$H383)*SQRT(245),"")</f>
        <v>0.132855368714825</v>
      </c>
      <c r="M383" s="52" t="n">
        <f aca="false">IF(AND(ISNUMBER($G383),$G383&gt;=60),MAX(INDEX($D$183:$D383,202-60):$D383),"")</f>
        <v>7340</v>
      </c>
      <c r="N383" s="52" t="n">
        <f aca="false">IF(AND(ISNUMBER($G383),$G383&gt;=60),MIN(INDEX($E$183:$E383,202-60):$E383),"")</f>
        <v>6291</v>
      </c>
      <c r="O383" s="53" t="n">
        <f aca="false">IF(OR(NOT(ISNUMBER($C383)),NOT(ISNUMBER($M383)),$M383=0),"",$C383/$M383-1)</f>
        <v>-0.0640326975476839</v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6781</v>
      </c>
      <c r="D384" s="49" t="n">
        <v>6806</v>
      </c>
      <c r="E384" s="49" t="n">
        <v>6744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-0.0129548762736535</v>
      </c>
      <c r="I384" s="52" t="n">
        <f aca="false">IF(AND(ISNUMBER($G384),$G384&gt;=MA_SHORT),AVERAGE(INDEX($C$5:$C384,381-MA_SHORT):$C384),"")</f>
        <v>7042.7</v>
      </c>
      <c r="J384" s="52" t="n">
        <f aca="false">IF(AND(ISNUMBER($G384),$G384&gt;=MA_MED),AVERAGE(INDEX($C$5:$C384,381-MA_MED):$C384),"")</f>
        <v>6945.14</v>
      </c>
      <c r="K384" s="52" t="n">
        <f aca="false">IF(AND(ISNUMBER($G384),$G384&gt;=MA_LONG2),AVERAGE(INDEX($C$5:$C384,381-MA_LONG2):$C384),"")</f>
        <v>5872.595</v>
      </c>
      <c r="L384" s="53" t="n">
        <f aca="false">IF(AND(ISNUMBER($G384),$G384&gt;=21),STDEV(INDEX($H$324:$H384,62-20):$H384)*SQRT(245),"")</f>
        <v>0.135657696804737</v>
      </c>
      <c r="M384" s="52" t="n">
        <f aca="false">IF(AND(ISNUMBER($G384),$G384&gt;=60),MAX(INDEX($D$184:$D384,202-60):$D384),"")</f>
        <v>7340</v>
      </c>
      <c r="N384" s="52" t="n">
        <f aca="false">IF(AND(ISNUMBER($G384),$G384&gt;=60),MIN(INDEX($E$184:$E384,202-60):$E384),"")</f>
        <v>6291</v>
      </c>
      <c r="O384" s="53" t="n">
        <f aca="false">IF(OR(NOT(ISNUMBER($C384)),NOT(ISNUMBER($M384)),$M384=0),"",$C384/$M384-1)</f>
        <v>-0.076158038147139</v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6644</v>
      </c>
      <c r="D385" s="49" t="n">
        <v>6691</v>
      </c>
      <c r="E385" s="49" t="n">
        <v>6618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-0.0202035098068132</v>
      </c>
      <c r="I385" s="52" t="n">
        <f aca="false">IF(AND(ISNUMBER($G385),$G385&gt;=MA_SHORT),AVERAGE(INDEX($C$5:$C385,382-MA_SHORT):$C385),"")</f>
        <v>7009</v>
      </c>
      <c r="J385" s="52" t="n">
        <f aca="false">IF(AND(ISNUMBER($G385),$G385&gt;=MA_MED),AVERAGE(INDEX($C$5:$C385,382-MA_MED):$C385),"")</f>
        <v>6951.2</v>
      </c>
      <c r="K385" s="52" t="n">
        <f aca="false">IF(AND(ISNUMBER($G385),$G385&gt;=MA_LONG2),AVERAGE(INDEX($C$5:$C385,382-MA_LONG2):$C385),"")</f>
        <v>5882.785</v>
      </c>
      <c r="L385" s="53" t="n">
        <f aca="false">IF(AND(ISNUMBER($G385),$G385&gt;=21),STDEV(INDEX($H$325:$H385,62-20):$H385)*SQRT(245),"")</f>
        <v>0.14009563468533</v>
      </c>
      <c r="M385" s="52" t="n">
        <f aca="false">IF(AND(ISNUMBER($G385),$G385&gt;=60),MAX(INDEX($D$185:$D385,202-60):$D385),"")</f>
        <v>7340</v>
      </c>
      <c r="N385" s="52" t="n">
        <f aca="false">IF(AND(ISNUMBER($G385),$G385&gt;=60),MIN(INDEX($E$185:$E385,202-60):$E385),"")</f>
        <v>6291</v>
      </c>
      <c r="O385" s="53" t="n">
        <f aca="false">IF(OR(NOT(ISNUMBER($C385)),NOT(ISNUMBER($M385)),$M385=0),"",$C385/$M385-1)</f>
        <v>-0.0948228882833787</v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6731</v>
      </c>
      <c r="D386" s="49" t="n">
        <v>6751</v>
      </c>
      <c r="E386" s="49" t="n">
        <v>6720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0.013094521372667</v>
      </c>
      <c r="I386" s="52" t="n">
        <f aca="false">IF(AND(ISNUMBER($G386),$G386&gt;=MA_SHORT),AVERAGE(INDEX($C$5:$C386,383-MA_SHORT):$C386),"")</f>
        <v>6980.85</v>
      </c>
      <c r="J386" s="52" t="n">
        <f aca="false">IF(AND(ISNUMBER($G386),$G386&gt;=MA_MED),AVERAGE(INDEX($C$5:$C386,383-MA_MED):$C386),"")</f>
        <v>6956.22</v>
      </c>
      <c r="K386" s="52" t="n">
        <f aca="false">IF(AND(ISNUMBER($G386),$G386&gt;=MA_LONG2),AVERAGE(INDEX($C$5:$C386,383-MA_LONG2):$C386),"")</f>
        <v>5893.635</v>
      </c>
      <c r="L386" s="53" t="n">
        <f aca="false">IF(AND(ISNUMBER($G386),$G386&gt;=21),STDEV(INDEX($H$326:$H386,62-20):$H386)*SQRT(245),"")</f>
        <v>0.153444671664367</v>
      </c>
      <c r="M386" s="52" t="n">
        <f aca="false">IF(AND(ISNUMBER($G386),$G386&gt;=60),MAX(INDEX($D$186:$D386,202-60):$D386),"")</f>
        <v>7340</v>
      </c>
      <c r="N386" s="52" t="n">
        <f aca="false">IF(AND(ISNUMBER($G386),$G386&gt;=60),MIN(INDEX($E$186:$E386,202-60):$E386),"")</f>
        <v>6291</v>
      </c>
      <c r="O386" s="53" t="n">
        <f aca="false">IF(OR(NOT(ISNUMBER($C386)),NOT(ISNUMBER($M386)),$M386=0),"",$C386/$M386-1)</f>
        <v>-0.0829700272479564</v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6797</v>
      </c>
      <c r="D387" s="49" t="n">
        <v>6799</v>
      </c>
      <c r="E387" s="49" t="n">
        <v>6757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0.00980537810132232</v>
      </c>
      <c r="I387" s="52" t="n">
        <f aca="false">IF(AND(ISNUMBER($G387),$G387&gt;=MA_SHORT),AVERAGE(INDEX($C$5:$C387,384-MA_SHORT):$C387),"")</f>
        <v>6961.9</v>
      </c>
      <c r="J387" s="52" t="n">
        <f aca="false">IF(AND(ISNUMBER($G387),$G387&gt;=MA_MED),AVERAGE(INDEX($C$5:$C387,384-MA_MED):$C387),"")</f>
        <v>6959.88</v>
      </c>
      <c r="K387" s="52" t="n">
        <f aca="false">IF(AND(ISNUMBER($G387),$G387&gt;=MA_LONG2),AVERAGE(INDEX($C$5:$C387,384-MA_LONG2):$C387),"")</f>
        <v>5904.71</v>
      </c>
      <c r="L387" s="53" t="n">
        <f aca="false">IF(AND(ISNUMBER($G387),$G387&gt;=21),STDEV(INDEX($H$327:$H387,62-20):$H387)*SQRT(245),"")</f>
        <v>0.153721293992875</v>
      </c>
      <c r="M387" s="52" t="n">
        <f aca="false">IF(AND(ISNUMBER($G387),$G387&gt;=60),MAX(INDEX($D$187:$D387,202-60):$D387),"")</f>
        <v>7340</v>
      </c>
      <c r="N387" s="52" t="n">
        <f aca="false">IF(AND(ISNUMBER($G387),$G387&gt;=60),MIN(INDEX($E$187:$E387,202-60):$E387),"")</f>
        <v>6291</v>
      </c>
      <c r="O387" s="53" t="n">
        <f aca="false">IF(OR(NOT(ISNUMBER($C387)),NOT(ISNUMBER($M387)),$M387=0),"",$C387/$M387-1)</f>
        <v>-0.0739782016348773</v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6846</v>
      </c>
      <c r="D388" s="49" t="n">
        <v>6846</v>
      </c>
      <c r="E388" s="49" t="n">
        <v>6818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0.00720906282183309</v>
      </c>
      <c r="I388" s="52" t="n">
        <f aca="false">IF(AND(ISNUMBER($G388),$G388&gt;=MA_SHORT),AVERAGE(INDEX($C$5:$C388,385-MA_SHORT):$C388),"")</f>
        <v>6943.45</v>
      </c>
      <c r="J388" s="52" t="n">
        <f aca="false">IF(AND(ISNUMBER($G388),$G388&gt;=MA_MED),AVERAGE(INDEX($C$5:$C388,385-MA_MED):$C388),"")</f>
        <v>6962.5</v>
      </c>
      <c r="K388" s="52" t="n">
        <f aca="false">IF(AND(ISNUMBER($G388),$G388&gt;=MA_LONG2),AVERAGE(INDEX($C$5:$C388,385-MA_LONG2):$C388),"")</f>
        <v>5915.755</v>
      </c>
      <c r="L388" s="53" t="n">
        <f aca="false">IF(AND(ISNUMBER($G388),$G388&gt;=21),STDEV(INDEX($H$328:$H388,62-20):$H388)*SQRT(245),"")</f>
        <v>0.155046295268928</v>
      </c>
      <c r="M388" s="52" t="n">
        <f aca="false">IF(AND(ISNUMBER($G388),$G388&gt;=60),MAX(INDEX($D$188:$D388,202-60):$D388),"")</f>
        <v>7340</v>
      </c>
      <c r="N388" s="52" t="n">
        <f aca="false">IF(AND(ISNUMBER($G388),$G388&gt;=60),MIN(INDEX($E$188:$E388,202-60):$E388),"")</f>
        <v>6291</v>
      </c>
      <c r="O388" s="53" t="n">
        <f aca="false">IF(OR(NOT(ISNUMBER($C388)),NOT(ISNUMBER($M388)),$M388=0),"",$C388/$M388-1)</f>
        <v>-0.0673024523160763</v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6767</v>
      </c>
      <c r="D389" s="49" t="n">
        <v>6771</v>
      </c>
      <c r="E389" s="49" t="n">
        <v>6748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-0.011539585159217</v>
      </c>
      <c r="I389" s="52" t="n">
        <f aca="false">IF(AND(ISNUMBER($G389),$G389&gt;=MA_SHORT),AVERAGE(INDEX($C$5:$C389,386-MA_SHORT):$C389),"")</f>
        <v>6917.45</v>
      </c>
      <c r="J389" s="52" t="n">
        <f aca="false">IF(AND(ISNUMBER($G389),$G389&gt;=MA_MED),AVERAGE(INDEX($C$5:$C389,386-MA_MED):$C389),"")</f>
        <v>6963.66</v>
      </c>
      <c r="K389" s="52" t="n">
        <f aca="false">IF(AND(ISNUMBER($G389),$G389&gt;=MA_LONG2),AVERAGE(INDEX($C$5:$C389,386-MA_LONG2):$C389),"")</f>
        <v>5925.8</v>
      </c>
      <c r="L389" s="53" t="n">
        <f aca="false">IF(AND(ISNUMBER($G389),$G389&gt;=21),STDEV(INDEX($H$329:$H389,62-20):$H389)*SQRT(245),"")</f>
        <v>0.150814268357231</v>
      </c>
      <c r="M389" s="52" t="n">
        <f aca="false">IF(AND(ISNUMBER($G389),$G389&gt;=60),MAX(INDEX($D$189:$D389,202-60):$D389),"")</f>
        <v>7340</v>
      </c>
      <c r="N389" s="52" t="n">
        <f aca="false">IF(AND(ISNUMBER($G389),$G389&gt;=60),MIN(INDEX($E$189:$E389,202-60):$E389),"")</f>
        <v>6291</v>
      </c>
      <c r="O389" s="53" t="n">
        <f aca="false">IF(OR(NOT(ISNUMBER($C389)),NOT(ISNUMBER($M389)),$M389=0),"",$C389/$M389-1)</f>
        <v>-0.0780653950953678</v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6807</v>
      </c>
      <c r="D390" s="49" t="n">
        <v>6810</v>
      </c>
      <c r="E390" s="49" t="n">
        <v>6806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0.00591103886508049</v>
      </c>
      <c r="I390" s="52" t="n">
        <f aca="false">IF(AND(ISNUMBER($G390),$G390&gt;=MA_SHORT),AVERAGE(INDEX($C$5:$C390,387-MA_SHORT):$C390),"")</f>
        <v>6892.05</v>
      </c>
      <c r="J390" s="52" t="n">
        <f aca="false">IF(AND(ISNUMBER($G390),$G390&gt;=MA_MED),AVERAGE(INDEX($C$5:$C390,387-MA_MED):$C390),"")</f>
        <v>6964.4</v>
      </c>
      <c r="K390" s="52" t="n">
        <f aca="false">IF(AND(ISNUMBER($G390),$G390&gt;=MA_LONG2),AVERAGE(INDEX($C$5:$C390,387-MA_LONG2):$C390),"")</f>
        <v>5935.84</v>
      </c>
      <c r="L390" s="53" t="n">
        <f aca="false">IF(AND(ISNUMBER($G390),$G390&gt;=21),STDEV(INDEX($H$330:$H390,62-20):$H390)*SQRT(245),"")</f>
        <v>0.152305936502072</v>
      </c>
      <c r="M390" s="52" t="n">
        <f aca="false">IF(AND(ISNUMBER($G390),$G390&gt;=60),MAX(INDEX($D$190:$D390,202-60):$D390),"")</f>
        <v>7340</v>
      </c>
      <c r="N390" s="52" t="n">
        <f aca="false">IF(AND(ISNUMBER($G390),$G390&gt;=60),MIN(INDEX($E$190:$E390,202-60):$E390),"")</f>
        <v>6291</v>
      </c>
      <c r="O390" s="53" t="n">
        <f aca="false">IF(OR(NOT(ISNUMBER($C390)),NOT(ISNUMBER($M390)),$M390=0),"",$C390/$M390-1)</f>
        <v>-0.0726158038147139</v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6785</v>
      </c>
      <c r="D391" s="49" t="n">
        <v>6820</v>
      </c>
      <c r="E391" s="49" t="n">
        <v>6771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-0.00323196709269868</v>
      </c>
      <c r="I391" s="52" t="n">
        <f aca="false">IF(AND(ISNUMBER($G391),$G391&gt;=MA_SHORT),AVERAGE(INDEX($C$5:$C391,388-MA_SHORT):$C391),"")</f>
        <v>6866.95</v>
      </c>
      <c r="J391" s="52" t="n">
        <f aca="false">IF(AND(ISNUMBER($G391),$G391&gt;=MA_MED),AVERAGE(INDEX($C$5:$C391,388-MA_MED):$C391),"")</f>
        <v>6966.52</v>
      </c>
      <c r="K391" s="52" t="n">
        <f aca="false">IF(AND(ISNUMBER($G391),$G391&gt;=MA_LONG2),AVERAGE(INDEX($C$5:$C391,388-MA_LONG2):$C391),"")</f>
        <v>5945.85</v>
      </c>
      <c r="L391" s="53" t="n">
        <f aca="false">IF(AND(ISNUMBER($G391),$G391&gt;=21),STDEV(INDEX($H$331:$H391,62-20):$H391)*SQRT(245),"")</f>
        <v>0.152306058573397</v>
      </c>
      <c r="M391" s="52" t="n">
        <f aca="false">IF(AND(ISNUMBER($G391),$G391&gt;=60),MAX(INDEX($D$191:$D391,202-60):$D391),"")</f>
        <v>7340</v>
      </c>
      <c r="N391" s="52" t="n">
        <f aca="false">IF(AND(ISNUMBER($G391),$G391&gt;=60),MIN(INDEX($E$191:$E391,202-60):$E391),"")</f>
        <v>6291</v>
      </c>
      <c r="O391" s="53" t="n">
        <f aca="false">IF(OR(NOT(ISNUMBER($C391)),NOT(ISNUMBER($M391)),$M391=0),"",$C391/$M391-1)</f>
        <v>-0.0756130790190736</v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6681</v>
      </c>
      <c r="D392" s="49" t="n">
        <v>6709</v>
      </c>
      <c r="E392" s="49" t="n">
        <v>6630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-0.0153279292557111</v>
      </c>
      <c r="I392" s="52" t="n">
        <f aca="false">IF(AND(ISNUMBER($G392),$G392&gt;=MA_SHORT),AVERAGE(INDEX($C$5:$C392,389-MA_SHORT):$C392),"")</f>
        <v>6842.2</v>
      </c>
      <c r="J392" s="52" t="n">
        <f aca="false">IF(AND(ISNUMBER($G392),$G392&gt;=MA_MED),AVERAGE(INDEX($C$5:$C392,389-MA_MED):$C392),"")</f>
        <v>6963.74</v>
      </c>
      <c r="K392" s="52" t="n">
        <f aca="false">IF(AND(ISNUMBER($G392),$G392&gt;=MA_LONG2),AVERAGE(INDEX($C$5:$C392,389-MA_LONG2):$C392),"")</f>
        <v>5955.395</v>
      </c>
      <c r="L392" s="53" t="n">
        <f aca="false">IF(AND(ISNUMBER($G392),$G392&gt;=21),STDEV(INDEX($H$332:$H392,62-20):$H392)*SQRT(245),"")</f>
        <v>0.152400940752584</v>
      </c>
      <c r="M392" s="52" t="n">
        <f aca="false">IF(AND(ISNUMBER($G392),$G392&gt;=60),MAX(INDEX($D$192:$D392,202-60):$D392),"")</f>
        <v>7340</v>
      </c>
      <c r="N392" s="52" t="n">
        <f aca="false">IF(AND(ISNUMBER($G392),$G392&gt;=60),MIN(INDEX($E$192:$E392,202-60):$E392),"")</f>
        <v>6323</v>
      </c>
      <c r="O392" s="53" t="n">
        <f aca="false">IF(OR(NOT(ISNUMBER($C392)),NOT(ISNUMBER($M392)),$M392=0),"",$C392/$M392-1)</f>
        <v>-0.0897820163487738</v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6626</v>
      </c>
      <c r="D393" s="49" t="n">
        <v>6646</v>
      </c>
      <c r="E393" s="49" t="n">
        <v>6618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-0.0082323005538093</v>
      </c>
      <c r="I393" s="52" t="n">
        <f aca="false">IF(AND(ISNUMBER($G393),$G393&gt;=MA_SHORT),AVERAGE(INDEX($C$5:$C393,390-MA_SHORT):$C393),"")</f>
        <v>6819.4</v>
      </c>
      <c r="J393" s="52" t="n">
        <f aca="false">IF(AND(ISNUMBER($G393),$G393&gt;=MA_MED),AVERAGE(INDEX($C$5:$C393,390-MA_MED):$C393),"")</f>
        <v>6959.8</v>
      </c>
      <c r="K393" s="52" t="n">
        <f aca="false">IF(AND(ISNUMBER($G393),$G393&gt;=MA_LONG2),AVERAGE(INDEX($C$5:$C393,390-MA_LONG2):$C393),"")</f>
        <v>5964.245</v>
      </c>
      <c r="L393" s="53" t="n">
        <f aca="false">IF(AND(ISNUMBER($G393),$G393&gt;=21),STDEV(INDEX($H$333:$H393,62-20):$H393)*SQRT(245),"")</f>
        <v>0.14937919130036</v>
      </c>
      <c r="M393" s="52" t="n">
        <f aca="false">IF(AND(ISNUMBER($G393),$G393&gt;=60),MAX(INDEX($D$193:$D393,202-60):$D393),"")</f>
        <v>7340</v>
      </c>
      <c r="N393" s="52" t="n">
        <f aca="false">IF(AND(ISNUMBER($G393),$G393&gt;=60),MIN(INDEX($E$193:$E393,202-60):$E393),"")</f>
        <v>6323</v>
      </c>
      <c r="O393" s="53" t="n">
        <f aca="false">IF(OR(NOT(ISNUMBER($C393)),NOT(ISNUMBER($M393)),$M393=0),"",$C393/$M393-1)</f>
        <v>-0.0972752043596731</v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6576</v>
      </c>
      <c r="D394" s="49" t="n">
        <v>6595</v>
      </c>
      <c r="E394" s="49" t="n">
        <v>6537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-0.00754603078780558</v>
      </c>
      <c r="I394" s="52" t="n">
        <f aca="false">IF(AND(ISNUMBER($G394),$G394&gt;=MA_SHORT),AVERAGE(INDEX($C$5:$C394,391-MA_SHORT):$C394),"")</f>
        <v>6795.65</v>
      </c>
      <c r="J394" s="52" t="n">
        <f aca="false">IF(AND(ISNUMBER($G394),$G394&gt;=MA_MED),AVERAGE(INDEX($C$5:$C394,391-MA_MED):$C394),"")</f>
        <v>6955.52</v>
      </c>
      <c r="K394" s="52" t="n">
        <f aca="false">IF(AND(ISNUMBER($G394),$G394&gt;=MA_LONG2),AVERAGE(INDEX($C$5:$C394,391-MA_LONG2):$C394),"")</f>
        <v>5973.185</v>
      </c>
      <c r="L394" s="53" t="n">
        <f aca="false">IF(AND(ISNUMBER($G394),$G394&gt;=21),STDEV(INDEX($H$334:$H394,62-20):$H394)*SQRT(245),"")</f>
        <v>0.150089680897243</v>
      </c>
      <c r="M394" s="52" t="n">
        <f aca="false">IF(AND(ISNUMBER($G394),$G394&gt;=60),MAX(INDEX($D$194:$D394,202-60):$D394),"")</f>
        <v>7340</v>
      </c>
      <c r="N394" s="52" t="n">
        <f aca="false">IF(AND(ISNUMBER($G394),$G394&gt;=60),MIN(INDEX($E$194:$E394,202-60):$E394),"")</f>
        <v>6323</v>
      </c>
      <c r="O394" s="53" t="n">
        <f aca="false">IF(OR(NOT(ISNUMBER($C394)),NOT(ISNUMBER($M394)),$M394=0),"",$C394/$M394-1)</f>
        <v>-0.10408719346049</v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6446</v>
      </c>
      <c r="D395" s="49" t="n">
        <v>6473</v>
      </c>
      <c r="E395" s="49" t="n">
        <v>6434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-0.0197688564476886</v>
      </c>
      <c r="I395" s="52" t="n">
        <f aca="false">IF(AND(ISNUMBER($G395),$G395&gt;=MA_SHORT),AVERAGE(INDEX($C$5:$C395,392-MA_SHORT):$C395),"")</f>
        <v>6771.1</v>
      </c>
      <c r="J395" s="52" t="n">
        <f aca="false">IF(AND(ISNUMBER($G395),$G395&gt;=MA_MED),AVERAGE(INDEX($C$5:$C395,392-MA_MED):$C395),"")</f>
        <v>6949.88</v>
      </c>
      <c r="K395" s="52" t="n">
        <f aca="false">IF(AND(ISNUMBER($G395),$G395&gt;=MA_LONG2),AVERAGE(INDEX($C$5:$C395,392-MA_LONG2):$C395),"")</f>
        <v>5981.045</v>
      </c>
      <c r="L395" s="53" t="n">
        <f aca="false">IF(AND(ISNUMBER($G395),$G395&gt;=21),STDEV(INDEX($H$335:$H395,62-20):$H395)*SQRT(245),"")</f>
        <v>0.15449273617141</v>
      </c>
      <c r="M395" s="52" t="n">
        <f aca="false">IF(AND(ISNUMBER($G395),$G395&gt;=60),MAX(INDEX($D$195:$D395,202-60):$D395),"")</f>
        <v>7340</v>
      </c>
      <c r="N395" s="52" t="n">
        <f aca="false">IF(AND(ISNUMBER($G395),$G395&gt;=60),MIN(INDEX($E$195:$E395,202-60):$E395),"")</f>
        <v>6434</v>
      </c>
      <c r="O395" s="53" t="n">
        <f aca="false">IF(OR(NOT(ISNUMBER($C395)),NOT(ISNUMBER($M395)),$M395=0),"",$C395/$M395-1)</f>
        <v>-0.121798365122616</v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6314</v>
      </c>
      <c r="D396" s="49" t="n">
        <v>6342</v>
      </c>
      <c r="E396" s="49" t="n">
        <v>6308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-0.0204778156996587</v>
      </c>
      <c r="I396" s="52" t="n">
        <f aca="false">IF(AND(ISNUMBER($G396),$G396&gt;=MA_SHORT),AVERAGE(INDEX($C$5:$C396,393-MA_SHORT):$C396),"")</f>
        <v>6738.25</v>
      </c>
      <c r="J396" s="52" t="n">
        <f aca="false">IF(AND(ISNUMBER($G396),$G396&gt;=MA_MED),AVERAGE(INDEX($C$5:$C396,393-MA_MED):$C396),"")</f>
        <v>6940.58</v>
      </c>
      <c r="K396" s="52" t="n">
        <f aca="false">IF(AND(ISNUMBER($G396),$G396&gt;=MA_LONG2),AVERAGE(INDEX($C$5:$C396,393-MA_LONG2):$C396),"")</f>
        <v>5988.255</v>
      </c>
      <c r="L396" s="53" t="n">
        <f aca="false">IF(AND(ISNUMBER($G396),$G396&gt;=21),STDEV(INDEX($H$336:$H396,62-20):$H396)*SQRT(245),"")</f>
        <v>0.161810693124298</v>
      </c>
      <c r="M396" s="52" t="n">
        <f aca="false">IF(AND(ISNUMBER($G396),$G396&gt;=60),MAX(INDEX($D$196:$D396,202-60):$D396),"")</f>
        <v>7340</v>
      </c>
      <c r="N396" s="52" t="n">
        <f aca="false">IF(AND(ISNUMBER($G396),$G396&gt;=60),MIN(INDEX($E$196:$E396,202-60):$E396),"")</f>
        <v>6308</v>
      </c>
      <c r="O396" s="53" t="n">
        <f aca="false">IF(OR(NOT(ISNUMBER($C396)),NOT(ISNUMBER($M396)),$M396=0),"",$C396/$M396-1)</f>
        <v>-0.139782016348774</v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6396</v>
      </c>
      <c r="D397" s="49" t="n">
        <v>6407</v>
      </c>
      <c r="E397" s="49" t="n">
        <v>6349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0.0129870129870129</v>
      </c>
      <c r="I397" s="52" t="n">
        <f aca="false">IF(AND(ISNUMBER($G397),$G397&gt;=MA_SHORT),AVERAGE(INDEX($C$5:$C397,394-MA_SHORT):$C397),"")</f>
        <v>6713.05</v>
      </c>
      <c r="J397" s="52" t="n">
        <f aca="false">IF(AND(ISNUMBER($G397),$G397&gt;=MA_MED),AVERAGE(INDEX($C$5:$C397,394-MA_MED):$C397),"")</f>
        <v>6932.36</v>
      </c>
      <c r="K397" s="52" t="n">
        <f aca="false">IF(AND(ISNUMBER($G397),$G397&gt;=MA_LONG2),AVERAGE(INDEX($C$5:$C397,394-MA_LONG2):$C397),"")</f>
        <v>5995.675</v>
      </c>
      <c r="L397" s="53" t="n">
        <f aca="false">IF(AND(ISNUMBER($G397),$G397&gt;=21),STDEV(INDEX($H$337:$H397,62-20):$H397)*SQRT(245),"")</f>
        <v>0.17202827490432</v>
      </c>
      <c r="M397" s="52" t="n">
        <f aca="false">IF(AND(ISNUMBER($G397),$G397&gt;=60),MAX(INDEX($D$197:$D397,202-60):$D397),"")</f>
        <v>7340</v>
      </c>
      <c r="N397" s="52" t="n">
        <f aca="false">IF(AND(ISNUMBER($G397),$G397&gt;=60),MIN(INDEX($E$197:$E397,202-60):$E397),"")</f>
        <v>6308</v>
      </c>
      <c r="O397" s="53" t="n">
        <f aca="false">IF(OR(NOT(ISNUMBER($C397)),NOT(ISNUMBER($M397)),$M397=0),"",$C397/$M397-1)</f>
        <v>-0.128610354223433</v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6427</v>
      </c>
      <c r="D398" s="49" t="n">
        <v>6443</v>
      </c>
      <c r="E398" s="49" t="n">
        <v>6414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0.00484677923702304</v>
      </c>
      <c r="I398" s="52" t="n">
        <f aca="false">IF(AND(ISNUMBER($G398),$G398&gt;=MA_SHORT),AVERAGE(INDEX($C$5:$C398,395-MA_SHORT):$C398),"")</f>
        <v>6692.6</v>
      </c>
      <c r="J398" s="52" t="n">
        <f aca="false">IF(AND(ISNUMBER($G398),$G398&gt;=MA_MED),AVERAGE(INDEX($C$5:$C398,395-MA_MED):$C398),"")</f>
        <v>6924.66</v>
      </c>
      <c r="K398" s="52" t="n">
        <f aca="false">IF(AND(ISNUMBER($G398),$G398&gt;=MA_LONG2),AVERAGE(INDEX($C$5:$C398,395-MA_LONG2):$C398),"")</f>
        <v>6003.495</v>
      </c>
      <c r="L398" s="53" t="n">
        <f aca="false">IF(AND(ISNUMBER($G398),$G398&gt;=21),STDEV(INDEX($H$338:$H398,62-20):$H398)*SQRT(245),"")</f>
        <v>0.173252155319997</v>
      </c>
      <c r="M398" s="52" t="n">
        <f aca="false">IF(AND(ISNUMBER($G398),$G398&gt;=60),MAX(INDEX($D$198:$D398,202-60):$D398),"")</f>
        <v>7340</v>
      </c>
      <c r="N398" s="52" t="n">
        <f aca="false">IF(AND(ISNUMBER($G398),$G398&gt;=60),MIN(INDEX($E$198:$E398,202-60):$E398),"")</f>
        <v>6308</v>
      </c>
      <c r="O398" s="53" t="n">
        <f aca="false">IF(OR(NOT(ISNUMBER($C398)),NOT(ISNUMBER($M398)),$M398=0),"",$C398/$M398-1)</f>
        <v>-0.124386920980926</v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6356</v>
      </c>
      <c r="D399" s="49" t="n">
        <v>6370</v>
      </c>
      <c r="E399" s="49" t="n">
        <v>6329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-0.0110471448576319</v>
      </c>
      <c r="I399" s="52" t="n">
        <f aca="false">IF(AND(ISNUMBER($G399),$G399&gt;=MA_SHORT),AVERAGE(INDEX($C$5:$C399,396-MA_SHORT):$C399),"")</f>
        <v>6667.15</v>
      </c>
      <c r="J399" s="52" t="n">
        <f aca="false">IF(AND(ISNUMBER($G399),$G399&gt;=MA_MED),AVERAGE(INDEX($C$5:$C399,396-MA_MED):$C399),"")</f>
        <v>6916.52</v>
      </c>
      <c r="K399" s="52" t="n">
        <f aca="false">IF(AND(ISNUMBER($G399),$G399&gt;=MA_LONG2),AVERAGE(INDEX($C$5:$C399,396-MA_LONG2):$C399),"")</f>
        <v>6010.945</v>
      </c>
      <c r="L399" s="53" t="n">
        <f aca="false">IF(AND(ISNUMBER($G399),$G399&gt;=21),STDEV(INDEX($H$339:$H399,62-20):$H399)*SQRT(245),"")</f>
        <v>0.173250656098692</v>
      </c>
      <c r="M399" s="52" t="n">
        <f aca="false">IF(AND(ISNUMBER($G399),$G399&gt;=60),MAX(INDEX($D$199:$D399,202-60):$D399),"")</f>
        <v>7340</v>
      </c>
      <c r="N399" s="52" t="n">
        <f aca="false">IF(AND(ISNUMBER($G399),$G399&gt;=60),MIN(INDEX($E$199:$E399,202-60):$E399),"")</f>
        <v>6308</v>
      </c>
      <c r="O399" s="53" t="n">
        <f aca="false">IF(OR(NOT(ISNUMBER($C399)),NOT(ISNUMBER($M399)),$M399=0),"",$C399/$M399-1)</f>
        <v>-0.134059945504087</v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6304</v>
      </c>
      <c r="D400" s="49" t="n">
        <v>6331</v>
      </c>
      <c r="E400" s="49" t="n">
        <v>6296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-0.00818124606670867</v>
      </c>
      <c r="I400" s="52" t="n">
        <f aca="false">IF(AND(ISNUMBER($G400),$G400&gt;=MA_SHORT),AVERAGE(INDEX($C$5:$C400,397-MA_SHORT):$C400),"")</f>
        <v>6640.45</v>
      </c>
      <c r="J400" s="52" t="n">
        <f aca="false">IF(AND(ISNUMBER($G400),$G400&gt;=MA_MED),AVERAGE(INDEX($C$5:$C400,397-MA_MED):$C400),"")</f>
        <v>6906.48</v>
      </c>
      <c r="K400" s="52" t="n">
        <f aca="false">IF(AND(ISNUMBER($G400),$G400&gt;=MA_LONG2),AVERAGE(INDEX($C$5:$C400,397-MA_LONG2):$C400),"")</f>
        <v>6017.785</v>
      </c>
      <c r="L400" s="53" t="n">
        <f aca="false">IF(AND(ISNUMBER($G400),$G400&gt;=21),STDEV(INDEX($H$340:$H400,62-20):$H400)*SQRT(245),"")</f>
        <v>0.173933832396075</v>
      </c>
      <c r="M400" s="52" t="n">
        <f aca="false">IF(AND(ISNUMBER($G400),$G400&gt;=60),MAX(INDEX($D$200:$D400,202-60):$D400),"")</f>
        <v>7340</v>
      </c>
      <c r="N400" s="52" t="n">
        <f aca="false">IF(AND(ISNUMBER($G400),$G400&gt;=60),MIN(INDEX($E$200:$E400,202-60):$E400),"")</f>
        <v>6296</v>
      </c>
      <c r="O400" s="53" t="n">
        <f aca="false">IF(OR(NOT(ISNUMBER($C400)),NOT(ISNUMBER($M400)),$M400=0),"",$C400/$M400-1)</f>
        <v>-0.141144414168937</v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6334</v>
      </c>
      <c r="D401" s="49" t="n">
        <v>6386</v>
      </c>
      <c r="E401" s="49" t="n">
        <v>6313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0.00475888324873086</v>
      </c>
      <c r="I401" s="52" t="n">
        <f aca="false">IF(AND(ISNUMBER($G401),$G401&gt;=MA_SHORT),AVERAGE(INDEX($C$5:$C401,398-MA_SHORT):$C401),"")</f>
        <v>6616.3</v>
      </c>
      <c r="J401" s="52" t="n">
        <f aca="false">IF(AND(ISNUMBER($G401),$G401&gt;=MA_MED),AVERAGE(INDEX($C$5:$C401,398-MA_MED):$C401),"")</f>
        <v>6899.18</v>
      </c>
      <c r="K401" s="52" t="n">
        <f aca="false">IF(AND(ISNUMBER($G401),$G401&gt;=MA_LONG2),AVERAGE(INDEX($C$5:$C401,398-MA_LONG2):$C401),"")</f>
        <v>6025.14</v>
      </c>
      <c r="L401" s="53" t="n">
        <f aca="false">IF(AND(ISNUMBER($G401),$G401&gt;=21),STDEV(INDEX($H$341:$H401,62-20):$H401)*SQRT(245),"")</f>
        <v>0.176610481135704</v>
      </c>
      <c r="M401" s="52" t="n">
        <f aca="false">IF(AND(ISNUMBER($G401),$G401&gt;=60),MAX(INDEX($D$201:$D401,202-60):$D401),"")</f>
        <v>7340</v>
      </c>
      <c r="N401" s="52" t="n">
        <f aca="false">IF(AND(ISNUMBER($G401),$G401&gt;=60),MIN(INDEX($E$201:$E401,202-60):$E401),"")</f>
        <v>6296</v>
      </c>
      <c r="O401" s="53" t="n">
        <f aca="false">IF(OR(NOT(ISNUMBER($C401)),NOT(ISNUMBER($M401)),$M401=0),"",$C401/$M401-1)</f>
        <v>-0.137057220708447</v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6354</v>
      </c>
      <c r="D402" s="49" t="n">
        <v>6378</v>
      </c>
      <c r="E402" s="49" t="n">
        <v>6346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0.00315756236185671</v>
      </c>
      <c r="I402" s="52" t="n">
        <f aca="false">IF(AND(ISNUMBER($G402),$G402&gt;=MA_SHORT),AVERAGE(INDEX($C$5:$C402,399-MA_SHORT):$C402),"")</f>
        <v>6592.1</v>
      </c>
      <c r="J402" s="52" t="n">
        <f aca="false">IF(AND(ISNUMBER($G402),$G402&gt;=MA_MED),AVERAGE(INDEX($C$5:$C402,399-MA_MED):$C402),"")</f>
        <v>6890.3</v>
      </c>
      <c r="K402" s="52" t="n">
        <f aca="false">IF(AND(ISNUMBER($G402),$G402&gt;=MA_LONG2),AVERAGE(INDEX($C$5:$C402,399-MA_LONG2):$C402),"")</f>
        <v>6032.55</v>
      </c>
      <c r="L402" s="53" t="n">
        <f aca="false">IF(AND(ISNUMBER($G402),$G402&gt;=21),STDEV(INDEX($H$342:$H402,62-20):$H402)*SQRT(245),"")</f>
        <v>0.17664829321874</v>
      </c>
      <c r="M402" s="52" t="n">
        <f aca="false">IF(AND(ISNUMBER($G402),$G402&gt;=60),MAX(INDEX($D$202:$D402,202-60):$D402),"")</f>
        <v>7340</v>
      </c>
      <c r="N402" s="52" t="n">
        <f aca="false">IF(AND(ISNUMBER($G402),$G402&gt;=60),MIN(INDEX($E$202:$E402,202-60):$E402),"")</f>
        <v>6296</v>
      </c>
      <c r="O402" s="53" t="n">
        <f aca="false">IF(OR(NOT(ISNUMBER($C402)),NOT(ISNUMBER($M402)),$M402=0),"",$C402/$M402-1)</f>
        <v>-0.13433242506812</v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6265</v>
      </c>
      <c r="D403" s="49" t="n">
        <v>6310</v>
      </c>
      <c r="E403" s="49" t="n">
        <v>6258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-0.0140069247717973</v>
      </c>
      <c r="I403" s="52" t="n">
        <f aca="false">IF(AND(ISNUMBER($G403),$G403&gt;=MA_SHORT),AVERAGE(INDEX($C$5:$C403,400-MA_SHORT):$C403),"")</f>
        <v>6561.85</v>
      </c>
      <c r="J403" s="52" t="n">
        <f aca="false">IF(AND(ISNUMBER($G403),$G403&gt;=MA_MED),AVERAGE(INDEX($C$5:$C403,400-MA_MED):$C403),"")</f>
        <v>6876.48</v>
      </c>
      <c r="K403" s="52" t="n">
        <f aca="false">IF(AND(ISNUMBER($G403),$G403&gt;=MA_LONG2),AVERAGE(INDEX($C$5:$C403,400-MA_LONG2):$C403),"")</f>
        <v>6039.3</v>
      </c>
      <c r="L403" s="53" t="n">
        <f aca="false">IF(AND(ISNUMBER($G403),$G403&gt;=21),STDEV(INDEX($H$343:$H403,62-20):$H403)*SQRT(245),"")</f>
        <v>0.177455836258978</v>
      </c>
      <c r="M403" s="52" t="n">
        <f aca="false">IF(AND(ISNUMBER($G403),$G403&gt;=60),MAX(INDEX($D$203:$D403,202-60):$D403),"")</f>
        <v>7340</v>
      </c>
      <c r="N403" s="52" t="n">
        <f aca="false">IF(AND(ISNUMBER($G403),$G403&gt;=60),MIN(INDEX($E$203:$E403,202-60):$E403),"")</f>
        <v>6258</v>
      </c>
      <c r="O403" s="53" t="n">
        <f aca="false">IF(OR(NOT(ISNUMBER($C403)),NOT(ISNUMBER($M403)),$M403=0),"",$C403/$M403-1)</f>
        <v>-0.146457765667575</v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6336</v>
      </c>
      <c r="D404" s="49" t="n">
        <v>6373</v>
      </c>
      <c r="E404" s="49" t="n">
        <v>6306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0.0113328012769354</v>
      </c>
      <c r="I404" s="52" t="n">
        <f aca="false">IF(AND(ISNUMBER($G404),$G404&gt;=MA_SHORT),AVERAGE(INDEX($C$5:$C404,401-MA_SHORT):$C404),"")</f>
        <v>6539.6</v>
      </c>
      <c r="J404" s="52" t="n">
        <f aca="false">IF(AND(ISNUMBER($G404),$G404&gt;=MA_MED),AVERAGE(INDEX($C$5:$C404,401-MA_MED):$C404),"")</f>
        <v>6865.28</v>
      </c>
      <c r="K404" s="52" t="n">
        <f aca="false">IF(AND(ISNUMBER($G404),$G404&gt;=MA_LONG2),AVERAGE(INDEX($C$5:$C404,401-MA_LONG2):$C404),"")</f>
        <v>6046.5</v>
      </c>
      <c r="L404" s="53" t="n">
        <f aca="false">IF(AND(ISNUMBER($G404),$G404&gt;=21),STDEV(INDEX($H$344:$H404,62-20):$H404)*SQRT(245),"")</f>
        <v>0.182877871512505</v>
      </c>
      <c r="M404" s="52" t="n">
        <f aca="false">IF(AND(ISNUMBER($G404),$G404&gt;=60),MAX(INDEX($D$204:$D404,202-60):$D404),"")</f>
        <v>7340</v>
      </c>
      <c r="N404" s="52" t="n">
        <f aca="false">IF(AND(ISNUMBER($G404),$G404&gt;=60),MIN(INDEX($E$204:$E404,202-60):$E404),"")</f>
        <v>6258</v>
      </c>
      <c r="O404" s="53" t="n">
        <f aca="false">IF(OR(NOT(ISNUMBER($C404)),NOT(ISNUMBER($M404)),$M404=0),"",$C404/$M404-1)</f>
        <v>-0.136784741144414</v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6404</v>
      </c>
      <c r="D405" s="49" t="n">
        <v>6434</v>
      </c>
      <c r="E405" s="49" t="n">
        <v>6389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0.0107323232323233</v>
      </c>
      <c r="I405" s="52" t="n">
        <f aca="false">IF(AND(ISNUMBER($G405),$G405&gt;=MA_SHORT),AVERAGE(INDEX($C$5:$C405,402-MA_SHORT):$C405),"")</f>
        <v>6527.6</v>
      </c>
      <c r="J405" s="52" t="n">
        <f aca="false">IF(AND(ISNUMBER($G405),$G405&gt;=MA_MED),AVERAGE(INDEX($C$5:$C405,402-MA_MED):$C405),"")</f>
        <v>6854.46</v>
      </c>
      <c r="K405" s="52" t="n">
        <f aca="false">IF(AND(ISNUMBER($G405),$G405&gt;=MA_LONG2),AVERAGE(INDEX($C$5:$C405,402-MA_LONG2):$C405),"")</f>
        <v>6054.15</v>
      </c>
      <c r="L405" s="53" t="n">
        <f aca="false">IF(AND(ISNUMBER($G405),$G405&gt;=21),STDEV(INDEX($H$345:$H405,62-20):$H405)*SQRT(245),"")</f>
        <v>0.178045790019381</v>
      </c>
      <c r="M405" s="52" t="n">
        <f aca="false">IF(AND(ISNUMBER($G405),$G405&gt;=60),MAX(INDEX($D$205:$D405,202-60):$D405),"")</f>
        <v>7340</v>
      </c>
      <c r="N405" s="52" t="n">
        <f aca="false">IF(AND(ISNUMBER($G405),$G405&gt;=60),MIN(INDEX($E$205:$E405,202-60):$E405),"")</f>
        <v>6258</v>
      </c>
      <c r="O405" s="53" t="n">
        <f aca="false">IF(OR(NOT(ISNUMBER($C405)),NOT(ISNUMBER($M405)),$M405=0),"",$C405/$M405-1)</f>
        <v>-0.127520435967302</v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6419</v>
      </c>
      <c r="D406" s="49" t="n">
        <v>6440</v>
      </c>
      <c r="E406" s="49" t="n">
        <v>6406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0.00234228607120546</v>
      </c>
      <c r="I406" s="52" t="n">
        <f aca="false">IF(AND(ISNUMBER($G406),$G406&gt;=MA_SHORT),AVERAGE(INDEX($C$6:$C406,402-MA_SHORT):$C406),"")</f>
        <v>6512</v>
      </c>
      <c r="J406" s="52" t="n">
        <f aca="false">IF(AND(ISNUMBER($G406),$G406&gt;=MA_MED),AVERAGE(INDEX($C$6:$C406,402-MA_MED):$C406),"")</f>
        <v>6842.76</v>
      </c>
      <c r="K406" s="52" t="n">
        <f aca="false">IF(AND(ISNUMBER($G406),$G406&gt;=MA_LONG2),AVERAGE(INDEX($C$6:$C406,402-MA_LONG2):$C406),"")</f>
        <v>6061.56</v>
      </c>
      <c r="L406" s="53" t="n">
        <f aca="false">IF(AND(ISNUMBER($G406),$G406&gt;=21),STDEV(INDEX($H$346:$H406,62-20):$H406)*SQRT(245),"")</f>
        <v>0.170273185209868</v>
      </c>
      <c r="M406" s="52" t="n">
        <f aca="false">IF(AND(ISNUMBER($G406),$G406&gt;=60),MAX(INDEX($D$206:$D406,202-60):$D406),"")</f>
        <v>7340</v>
      </c>
      <c r="N406" s="52" t="n">
        <f aca="false">IF(AND(ISNUMBER($G406),$G406&gt;=60),MIN(INDEX($E$206:$E406,202-60):$E406),"")</f>
        <v>6258</v>
      </c>
      <c r="O406" s="53" t="n">
        <f aca="false">IF(OR(NOT(ISNUMBER($C406)),NOT(ISNUMBER($M406)),$M406=0),"",$C406/$M406-1)</f>
        <v>-0.125476839237057</v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6459</v>
      </c>
      <c r="D407" s="49" t="n">
        <v>6480</v>
      </c>
      <c r="E407" s="49" t="n">
        <v>6442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0.00623150023368124</v>
      </c>
      <c r="I407" s="52" t="n">
        <f aca="false">IF(AND(ISNUMBER($G407),$G407&gt;=MA_SHORT),AVERAGE(INDEX($C$7:$C407,402-MA_SHORT):$C407),"")</f>
        <v>6495.1</v>
      </c>
      <c r="J407" s="52" t="n">
        <f aca="false">IF(AND(ISNUMBER($G407),$G407&gt;=MA_MED),AVERAGE(INDEX($C$7:$C407,402-MA_MED):$C407),"")</f>
        <v>6829.68</v>
      </c>
      <c r="K407" s="52" t="n">
        <f aca="false">IF(AND(ISNUMBER($G407),$G407&gt;=MA_LONG2),AVERAGE(INDEX($C$7:$C407,402-MA_LONG2):$C407),"")</f>
        <v>6068.92</v>
      </c>
      <c r="L407" s="53" t="n">
        <f aca="false">IF(AND(ISNUMBER($G407),$G407&gt;=21),STDEV(INDEX($H$347:$H407,62-20):$H407)*SQRT(245),"")</f>
        <v>0.167428830493117</v>
      </c>
      <c r="M407" s="52" t="n">
        <f aca="false">IF(AND(ISNUMBER($G407),$G407&gt;=60),MAX(INDEX($D$207:$D407,202-60):$D407),"")</f>
        <v>7340</v>
      </c>
      <c r="N407" s="52" t="n">
        <f aca="false">IF(AND(ISNUMBER($G407),$G407&gt;=60),MIN(INDEX($E$207:$E407,202-60):$E407),"")</f>
        <v>6258</v>
      </c>
      <c r="O407" s="53" t="n">
        <f aca="false">IF(OR(NOT(ISNUMBER($C407)),NOT(ISNUMBER($M407)),$M407=0),"",$C407/$M407-1)</f>
        <v>-0.120027247956403</v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6440</v>
      </c>
      <c r="D408" s="49" t="n">
        <v>6479</v>
      </c>
      <c r="E408" s="49" t="n">
        <v>6418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-0.00294163183155283</v>
      </c>
      <c r="I408" s="52" t="n">
        <f aca="false">IF(AND(ISNUMBER($G408),$G408&gt;=MA_SHORT),AVERAGE(INDEX($C$8:$C408,402-MA_SHORT):$C408),"")</f>
        <v>6474.8</v>
      </c>
      <c r="J408" s="52" t="n">
        <f aca="false">IF(AND(ISNUMBER($G408),$G408&gt;=MA_MED),AVERAGE(INDEX($C$8:$C408,402-MA_MED):$C408),"")</f>
        <v>6814.98</v>
      </c>
      <c r="K408" s="52" t="n">
        <f aca="false">IF(AND(ISNUMBER($G408),$G408&gt;=MA_LONG2),AVERAGE(INDEX($C$8:$C408,402-MA_LONG2):$C408),"")</f>
        <v>6076.7</v>
      </c>
      <c r="L408" s="53" t="n">
        <f aca="false">IF(AND(ISNUMBER($G408),$G408&gt;=21),STDEV(INDEX($H$348:$H408,62-20):$H408)*SQRT(245),"")</f>
        <v>0.163569309250539</v>
      </c>
      <c r="M408" s="52" t="n">
        <f aca="false">IF(AND(ISNUMBER($G408),$G408&gt;=60),MAX(INDEX($D$208:$D408,202-60):$D408),"")</f>
        <v>7340</v>
      </c>
      <c r="N408" s="52" t="n">
        <f aca="false">IF(AND(ISNUMBER($G408),$G408&gt;=60),MIN(INDEX($E$208:$E408,202-60):$E408),"")</f>
        <v>6258</v>
      </c>
      <c r="O408" s="53" t="n">
        <f aca="false">IF(OR(NOT(ISNUMBER($C408)),NOT(ISNUMBER($M408)),$M408=0),"",$C408/$M408-1)</f>
        <v>-0.122615803814714</v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6490</v>
      </c>
      <c r="D409" s="49" t="n">
        <v>6507</v>
      </c>
      <c r="E409" s="49" t="n">
        <v>6482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0.0077639751552796</v>
      </c>
      <c r="I409" s="52" t="n">
        <f aca="false">IF(AND(ISNUMBER($G409),$G409&gt;=MA_SHORT),AVERAGE(INDEX($C$9:$C409,402-MA_SHORT):$C409),"")</f>
        <v>6460.95</v>
      </c>
      <c r="J409" s="52" t="n">
        <f aca="false">IF(AND(ISNUMBER($G409),$G409&gt;=MA_MED),AVERAGE(INDEX($C$9:$C409,402-MA_MED):$C409),"")</f>
        <v>6801.76</v>
      </c>
      <c r="K409" s="52" t="n">
        <f aca="false">IF(AND(ISNUMBER($G409),$G409&gt;=MA_LONG2),AVERAGE(INDEX($C$9:$C409,402-MA_LONG2):$C409),"")</f>
        <v>6084.84</v>
      </c>
      <c r="L409" s="53" t="n">
        <f aca="false">IF(AND(ISNUMBER($G409),$G409&gt;=21),STDEV(INDEX($H$349:$H409,62-20):$H409)*SQRT(245),"")</f>
        <v>0.164524727094967</v>
      </c>
      <c r="M409" s="52" t="n">
        <f aca="false">IF(AND(ISNUMBER($G409),$G409&gt;=60),MAX(INDEX($D$209:$D409,202-60):$D409),"")</f>
        <v>7340</v>
      </c>
      <c r="N409" s="52" t="n">
        <f aca="false">IF(AND(ISNUMBER($G409),$G409&gt;=60),MIN(INDEX($E$209:$E409,202-60):$E409),"")</f>
        <v>6258</v>
      </c>
      <c r="O409" s="53" t="n">
        <f aca="false">IF(OR(NOT(ISNUMBER($C409)),NOT(ISNUMBER($M409)),$M409=0),"",$C409/$M409-1)</f>
        <v>-0.115803814713896</v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6419</v>
      </c>
      <c r="D410" s="49" t="n">
        <v>6429</v>
      </c>
      <c r="E410" s="49" t="n">
        <v>6387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-0.010939907550077</v>
      </c>
      <c r="I410" s="52" t="n">
        <f aca="false">IF(AND(ISNUMBER($G410),$G410&gt;=MA_SHORT),AVERAGE(INDEX($C$10:$C410,402-MA_SHORT):$C410),"")</f>
        <v>6441.55</v>
      </c>
      <c r="J410" s="52" t="n">
        <f aca="false">IF(AND(ISNUMBER($G410),$G410&gt;=MA_MED),AVERAGE(INDEX($C$10:$C410,402-MA_MED):$C410),"")</f>
        <v>6786.52</v>
      </c>
      <c r="K410" s="52" t="n">
        <f aca="false">IF(AND(ISNUMBER($G410),$G410&gt;=MA_LONG2),AVERAGE(INDEX($C$10:$C410,402-MA_LONG2):$C410),"")</f>
        <v>6092.605</v>
      </c>
      <c r="L410" s="53" t="n">
        <f aca="false">IF(AND(ISNUMBER($G410),$G410&gt;=21),STDEV(INDEX($H$350:$H410,62-20):$H410)*SQRT(245),"")</f>
        <v>0.164601675057096</v>
      </c>
      <c r="M410" s="52" t="n">
        <f aca="false">IF(AND(ISNUMBER($G410),$G410&gt;=60),MAX(INDEX($D$210:$D410,202-60):$D410),"")</f>
        <v>7340</v>
      </c>
      <c r="N410" s="52" t="n">
        <f aca="false">IF(AND(ISNUMBER($G410),$G410&gt;=60),MIN(INDEX($E$210:$E410,202-60):$E410),"")</f>
        <v>6258</v>
      </c>
      <c r="O410" s="53" t="n">
        <f aca="false">IF(OR(NOT(ISNUMBER($C410)),NOT(ISNUMBER($M410)),$M410=0),"",$C410/$M410-1)</f>
        <v>-0.125476839237057</v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6432</v>
      </c>
      <c r="D411" s="49" t="n">
        <v>6446</v>
      </c>
      <c r="E411" s="49" t="n">
        <v>6428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0.00202523757594641</v>
      </c>
      <c r="I411" s="52" t="n">
        <f aca="false">IF(AND(ISNUMBER($G411),$G411&gt;=MA_SHORT),AVERAGE(INDEX($C$11:$C411,402-MA_SHORT):$C411),"")</f>
        <v>6423.9</v>
      </c>
      <c r="J411" s="52" t="n">
        <f aca="false">IF(AND(ISNUMBER($G411),$G411&gt;=MA_MED),AVERAGE(INDEX($C$11:$C411,402-MA_MED):$C411),"")</f>
        <v>6768.96</v>
      </c>
      <c r="K411" s="52" t="n">
        <f aca="false">IF(AND(ISNUMBER($G411),$G411&gt;=MA_LONG2),AVERAGE(INDEX($C$11:$C411,402-MA_LONG2):$C411),"")</f>
        <v>6100.34</v>
      </c>
      <c r="L411" s="53" t="n">
        <f aca="false">IF(AND(ISNUMBER($G411),$G411&gt;=21),STDEV(INDEX($H$351:$H411,62-20):$H411)*SQRT(245),"")</f>
        <v>0.165481755105749</v>
      </c>
      <c r="M411" s="52" t="n">
        <f aca="false">IF(AND(ISNUMBER($G411),$G411&gt;=60),MAX(INDEX($D$211:$D411,202-60):$D411),"")</f>
        <v>7340</v>
      </c>
      <c r="N411" s="52" t="n">
        <f aca="false">IF(AND(ISNUMBER($G411),$G411&gt;=60),MIN(INDEX($E$211:$E411,202-60):$E411),"")</f>
        <v>6258</v>
      </c>
      <c r="O411" s="53" t="n">
        <f aca="false">IF(OR(NOT(ISNUMBER($C411)),NOT(ISNUMBER($M411)),$M411=0),"",$C411/$M411-1)</f>
        <v>-0.123705722070845</v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6529</v>
      </c>
      <c r="D412" s="49" t="n">
        <v>6529</v>
      </c>
      <c r="E412" s="49" t="n">
        <v>6514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0.0150808457711442</v>
      </c>
      <c r="I412" s="52" t="n">
        <f aca="false">IF(AND(ISNUMBER($G412),$G412&gt;=MA_SHORT),AVERAGE(INDEX($C$12:$C412,402-MA_SHORT):$C412),"")</f>
        <v>6416.3</v>
      </c>
      <c r="J412" s="52" t="n">
        <f aca="false">IF(AND(ISNUMBER($G412),$G412&gt;=MA_MED),AVERAGE(INDEX($C$12:$C412,402-MA_MED):$C412),"")</f>
        <v>6754.4</v>
      </c>
      <c r="K412" s="52" t="n">
        <f aca="false">IF(AND(ISNUMBER($G412),$G412&gt;=MA_LONG2),AVERAGE(INDEX($C$12:$C412,402-MA_LONG2):$C412),"")</f>
        <v>6108.185</v>
      </c>
      <c r="L412" s="53" t="n">
        <f aca="false">IF(AND(ISNUMBER($G412),$G412&gt;=21),STDEV(INDEX($H$352:$H412,62-20):$H412)*SQRT(245),"")</f>
        <v>0.16953335412552</v>
      </c>
      <c r="M412" s="52" t="n">
        <f aca="false">IF(AND(ISNUMBER($G412),$G412&gt;=60),MAX(INDEX($D$212:$D412,202-60):$D412),"")</f>
        <v>7340</v>
      </c>
      <c r="N412" s="52" t="n">
        <f aca="false">IF(AND(ISNUMBER($G412),$G412&gt;=60),MIN(INDEX($E$212:$E412,202-60):$E412),"")</f>
        <v>6258</v>
      </c>
      <c r="O412" s="53" t="n">
        <f aca="false">IF(OR(NOT(ISNUMBER($C412)),NOT(ISNUMBER($M412)),$M412=0),"",$C412/$M412-1)</f>
        <v>-0.110490463215259</v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6514</v>
      </c>
      <c r="D413" s="49" t="n">
        <v>6560</v>
      </c>
      <c r="E413" s="49" t="n">
        <v>6505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-0.00229744218103845</v>
      </c>
      <c r="I413" s="52" t="n">
        <f aca="false">IF(AND(ISNUMBER($G413),$G413&gt;=MA_SHORT),AVERAGE(INDEX($C$13:$C413,402-MA_SHORT):$C413),"")</f>
        <v>6410.7</v>
      </c>
      <c r="J413" s="52" t="n">
        <f aca="false">IF(AND(ISNUMBER($G413),$G413&gt;=MA_MED),AVERAGE(INDEX($C$13:$C413,402-MA_MED):$C413),"")</f>
        <v>6740.12</v>
      </c>
      <c r="K413" s="52" t="n">
        <f aca="false">IF(AND(ISNUMBER($G413),$G413&gt;=MA_LONG2),AVERAGE(INDEX($C$13:$C413,402-MA_LONG2):$C413),"")</f>
        <v>6115.695</v>
      </c>
      <c r="L413" s="53" t="n">
        <f aca="false">IF(AND(ISNUMBER($G413),$G413&gt;=21),STDEV(INDEX($H$353:$H413,62-20):$H413)*SQRT(245),"")</f>
        <v>0.167572338551354</v>
      </c>
      <c r="M413" s="52" t="n">
        <f aca="false">IF(AND(ISNUMBER($G413),$G413&gt;=60),MAX(INDEX($D$213:$D413,202-60):$D413),"")</f>
        <v>7340</v>
      </c>
      <c r="N413" s="52" t="n">
        <f aca="false">IF(AND(ISNUMBER($G413),$G413&gt;=60),MIN(INDEX($E$213:$E413,202-60):$E413),"")</f>
        <v>6258</v>
      </c>
      <c r="O413" s="53" t="n">
        <f aca="false">IF(OR(NOT(ISNUMBER($C413)),NOT(ISNUMBER($M413)),$M413=0),"",$C413/$M413-1)</f>
        <v>-0.112534059945504</v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6622</v>
      </c>
      <c r="D414" s="49" t="n">
        <v>6661</v>
      </c>
      <c r="E414" s="49" t="n">
        <v>6609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0.0165796745471292</v>
      </c>
      <c r="I414" s="52" t="n">
        <f aca="false">IF(AND(ISNUMBER($G414),$G414&gt;=MA_SHORT),AVERAGE(INDEX($C$14:$C414,402-MA_SHORT):$C414),"")</f>
        <v>6413</v>
      </c>
      <c r="J414" s="52" t="n">
        <f aca="false">IF(AND(ISNUMBER($G414),$G414&gt;=MA_MED),AVERAGE(INDEX($C$14:$C414,402-MA_MED):$C414),"")</f>
        <v>6727.48</v>
      </c>
      <c r="K414" s="52" t="n">
        <f aca="false">IF(AND(ISNUMBER($G414),$G414&gt;=MA_LONG2),AVERAGE(INDEX($C$14:$C414,402-MA_LONG2):$C414),"")</f>
        <v>6123.42</v>
      </c>
      <c r="L414" s="53" t="n">
        <f aca="false">IF(AND(ISNUMBER($G414),$G414&gt;=21),STDEV(INDEX($H$354:$H414,62-20):$H414)*SQRT(245),"")</f>
        <v>0.176101291984158</v>
      </c>
      <c r="M414" s="52" t="n">
        <f aca="false">IF(AND(ISNUMBER($G414),$G414&gt;=60),MAX(INDEX($D$214:$D414,202-60):$D414),"")</f>
        <v>7340</v>
      </c>
      <c r="N414" s="52" t="n">
        <f aca="false">IF(AND(ISNUMBER($G414),$G414&gt;=60),MIN(INDEX($E$214:$E414,202-60):$E414),"")</f>
        <v>6258</v>
      </c>
      <c r="O414" s="53" t="n">
        <f aca="false">IF(OR(NOT(ISNUMBER($C414)),NOT(ISNUMBER($M414)),$M414=0),"",$C414/$M414-1)</f>
        <v>-0.0978201634877384</v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6726</v>
      </c>
      <c r="D415" s="49" t="n">
        <v>6728</v>
      </c>
      <c r="E415" s="49" t="n">
        <v>6688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0.0157052250075507</v>
      </c>
      <c r="I415" s="52" t="n">
        <f aca="false">IF(AND(ISNUMBER($G415),$G415&gt;=MA_SHORT),AVERAGE(INDEX($C$15:$C415,402-MA_SHORT):$C415),"")</f>
        <v>6427</v>
      </c>
      <c r="J415" s="52" t="n">
        <f aca="false">IF(AND(ISNUMBER($G415),$G415&gt;=MA_MED),AVERAGE(INDEX($C$15:$C415,402-MA_MED):$C415),"")</f>
        <v>6715.64</v>
      </c>
      <c r="K415" s="52" t="n">
        <f aca="false">IF(AND(ISNUMBER($G415),$G415&gt;=MA_LONG2),AVERAGE(INDEX($C$15:$C415,402-MA_LONG2):$C415),"")</f>
        <v>6131.435</v>
      </c>
      <c r="L415" s="53" t="n">
        <f aca="false">IF(AND(ISNUMBER($G415),$G415&gt;=21),STDEV(INDEX($H$355:$H415,62-20):$H415)*SQRT(245),"")</f>
        <v>0.16723461792783</v>
      </c>
      <c r="M415" s="52" t="n">
        <f aca="false">IF(AND(ISNUMBER($G415),$G415&gt;=60),MAX(INDEX($D$215:$D415,202-60):$D415),"")</f>
        <v>7340</v>
      </c>
      <c r="N415" s="52" t="n">
        <f aca="false">IF(AND(ISNUMBER($G415),$G415&gt;=60),MIN(INDEX($E$215:$E415,202-60):$E415),"")</f>
        <v>6258</v>
      </c>
      <c r="O415" s="53" t="n">
        <f aca="false">IF(OR(NOT(ISNUMBER($C415)),NOT(ISNUMBER($M415)),$M415=0),"",$C415/$M415-1)</f>
        <v>-0.0836512261580381</v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6567</v>
      </c>
      <c r="D416" s="49" t="n">
        <v>6574</v>
      </c>
      <c r="E416" s="49" t="n">
        <v>6556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-0.0236396074933095</v>
      </c>
      <c r="I416" s="52" t="n">
        <f aca="false">IF(AND(ISNUMBER($G416),$G416&gt;=MA_SHORT),AVERAGE(INDEX($C$16:$C416,402-MA_SHORT):$C416),"")</f>
        <v>6439.65</v>
      </c>
      <c r="J416" s="52" t="n">
        <f aca="false">IF(AND(ISNUMBER($G416),$G416&gt;=MA_MED),AVERAGE(INDEX($C$16:$C416,402-MA_MED):$C416),"")</f>
        <v>6701.1</v>
      </c>
      <c r="K416" s="52" t="n">
        <f aca="false">IF(AND(ISNUMBER($G416),$G416&gt;=MA_LONG2),AVERAGE(INDEX($C$16:$C416,402-MA_LONG2):$C416),"")</f>
        <v>6138.275</v>
      </c>
      <c r="L416" s="53" t="n">
        <f aca="false">IF(AND(ISNUMBER($G416),$G416&gt;=21),STDEV(INDEX($H$356:$H416,62-20):$H416)*SQRT(245),"")</f>
        <v>0.17302494475278</v>
      </c>
      <c r="M416" s="52" t="n">
        <f aca="false">IF(AND(ISNUMBER($G416),$G416&gt;=60),MAX(INDEX($D$216:$D416,202-60):$D416),"")</f>
        <v>7340</v>
      </c>
      <c r="N416" s="52" t="n">
        <f aca="false">IF(AND(ISNUMBER($G416),$G416&gt;=60),MIN(INDEX($E$216:$E416,202-60):$E416),"")</f>
        <v>6258</v>
      </c>
      <c r="O416" s="53" t="n">
        <f aca="false">IF(OR(NOT(ISNUMBER($C416)),NOT(ISNUMBER($M416)),$M416=0),"",$C416/$M416-1)</f>
        <v>-0.105313351498638</v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6480</v>
      </c>
      <c r="D417" s="49" t="n">
        <v>6497</v>
      </c>
      <c r="E417" s="49" t="n">
        <v>6463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-0.0132480584741891</v>
      </c>
      <c r="I417" s="52" t="n">
        <f aca="false">IF(AND(ISNUMBER($G417),$G417&gt;=MA_SHORT),AVERAGE(INDEX($C$17:$C417,402-MA_SHORT):$C417),"")</f>
        <v>6443.85</v>
      </c>
      <c r="J417" s="52" t="n">
        <f aca="false">IF(AND(ISNUMBER($G417),$G417&gt;=MA_MED),AVERAGE(INDEX($C$17:$C417,402-MA_MED):$C417),"")</f>
        <v>6687.18</v>
      </c>
      <c r="K417" s="52" t="n">
        <f aca="false">IF(AND(ISNUMBER($G417),$G417&gt;=MA_LONG2),AVERAGE(INDEX($C$17:$C417,402-MA_LONG2):$C417),"")</f>
        <v>6144.96</v>
      </c>
      <c r="L417" s="53" t="n">
        <f aca="false">IF(AND(ISNUMBER($G417),$G417&gt;=21),STDEV(INDEX($H$357:$H417,62-20):$H417)*SQRT(245),"")</f>
        <v>0.175931644482933</v>
      </c>
      <c r="M417" s="52" t="n">
        <f aca="false">IF(AND(ISNUMBER($G417),$G417&gt;=60),MAX(INDEX($D$217:$D417,202-60):$D417),"")</f>
        <v>7340</v>
      </c>
      <c r="N417" s="52" t="n">
        <f aca="false">IF(AND(ISNUMBER($G417),$G417&gt;=60),MIN(INDEX($E$217:$E417,202-60):$E417),"")</f>
        <v>6258</v>
      </c>
      <c r="O417" s="53" t="n">
        <f aca="false">IF(OR(NOT(ISNUMBER($C417)),NOT(ISNUMBER($M417)),$M417=0),"",$C417/$M417-1)</f>
        <v>-0.11716621253406</v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6391</v>
      </c>
      <c r="D418" s="49" t="n">
        <v>6412</v>
      </c>
      <c r="E418" s="49" t="n">
        <v>6375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-0.0137345679012346</v>
      </c>
      <c r="I418" s="52" t="n">
        <f aca="false">IF(AND(ISNUMBER($G418),$G418&gt;=MA_SHORT),AVERAGE(INDEX($C$18:$C418,402-MA_SHORT):$C418),"")</f>
        <v>6442.05</v>
      </c>
      <c r="J418" s="52" t="n">
        <f aca="false">IF(AND(ISNUMBER($G418),$G418&gt;=MA_MED),AVERAGE(INDEX($C$18:$C418,402-MA_MED):$C418),"")</f>
        <v>6670.7</v>
      </c>
      <c r="K418" s="52" t="n">
        <f aca="false">IF(AND(ISNUMBER($G418),$G418&gt;=MA_LONG2),AVERAGE(INDEX($C$18:$C418,402-MA_LONG2):$C418),"")</f>
        <v>6151.775</v>
      </c>
      <c r="L418" s="53" t="n">
        <f aca="false">IF(AND(ISNUMBER($G418),$G418&gt;=21),STDEV(INDEX($H$358:$H418,62-20):$H418)*SQRT(245),"")</f>
        <v>0.182209826638546</v>
      </c>
      <c r="M418" s="52" t="n">
        <f aca="false">IF(AND(ISNUMBER($G418),$G418&gt;=60),MAX(INDEX($D$218:$D418,202-60):$D418),"")</f>
        <v>7340</v>
      </c>
      <c r="N418" s="52" t="n">
        <f aca="false">IF(AND(ISNUMBER($G418),$G418&gt;=60),MIN(INDEX($E$218:$E418,202-60):$E418),"")</f>
        <v>6258</v>
      </c>
      <c r="O418" s="53" t="n">
        <f aca="false">IF(OR(NOT(ISNUMBER($C418)),NOT(ISNUMBER($M418)),$M418=0),"",$C418/$M418-1)</f>
        <v>-0.129291553133515</v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6408</v>
      </c>
      <c r="D419" s="49" t="n">
        <v>6439</v>
      </c>
      <c r="E419" s="49" t="n">
        <v>6379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0.00265999061179789</v>
      </c>
      <c r="I419" s="52" t="n">
        <f aca="false">IF(AND(ISNUMBER($G419),$G419&gt;=MA_SHORT),AVERAGE(INDEX($C$19:$C419,402-MA_SHORT):$C419),"")</f>
        <v>6444.65</v>
      </c>
      <c r="J419" s="52" t="n">
        <f aca="false">IF(AND(ISNUMBER($G419),$G419&gt;=MA_MED),AVERAGE(INDEX($C$19:$C419,402-MA_MED):$C419),"")</f>
        <v>6653.12</v>
      </c>
      <c r="K419" s="52" t="n">
        <f aca="false">IF(AND(ISNUMBER($G419),$G419&gt;=MA_LONG2),AVERAGE(INDEX($C$19:$C419,402-MA_LONG2):$C419),"")</f>
        <v>6158.585</v>
      </c>
      <c r="L419" s="53" t="n">
        <f aca="false">IF(AND(ISNUMBER($G419),$G419&gt;=21),STDEV(INDEX($H$359:$H419,62-20):$H419)*SQRT(245),"")</f>
        <v>0.177970001132941</v>
      </c>
      <c r="M419" s="52" t="n">
        <f aca="false">IF(AND(ISNUMBER($G419),$G419&gt;=60),MAX(INDEX($D$219:$D419,202-60):$D419),"")</f>
        <v>7340</v>
      </c>
      <c r="N419" s="52" t="n">
        <f aca="false">IF(AND(ISNUMBER($G419),$G419&gt;=60),MIN(INDEX($E$219:$E419,202-60):$E419),"")</f>
        <v>6258</v>
      </c>
      <c r="O419" s="53" t="n">
        <f aca="false">IF(OR(NOT(ISNUMBER($C419)),NOT(ISNUMBER($M419)),$M419=0),"",$C419/$M419-1)</f>
        <v>-0.126975476839237</v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6485</v>
      </c>
      <c r="D420" s="49" t="n">
        <v>6530</v>
      </c>
      <c r="E420" s="49" t="n">
        <v>6470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0.012016229712859</v>
      </c>
      <c r="I420" s="52" t="n">
        <f aca="false">IF(AND(ISNUMBER($G420),$G420&gt;=MA_SHORT),AVERAGE(INDEX($C$20:$C420,402-MA_SHORT):$C420),"")</f>
        <v>6453.7</v>
      </c>
      <c r="J420" s="52" t="n">
        <f aca="false">IF(AND(ISNUMBER($G420),$G420&gt;=MA_MED),AVERAGE(INDEX($C$20:$C420,402-MA_MED):$C420),"")</f>
        <v>6636.52</v>
      </c>
      <c r="K420" s="52" t="n">
        <f aca="false">IF(AND(ISNUMBER($G420),$G420&gt;=MA_LONG2),AVERAGE(INDEX($C$20:$C420,402-MA_LONG2):$C420),"")</f>
        <v>6165.39</v>
      </c>
      <c r="L420" s="53" t="n">
        <f aca="false">IF(AND(ISNUMBER($G420),$G420&gt;=21),STDEV(INDEX($H$360:$H420,62-20):$H420)*SQRT(245),"")</f>
        <v>0.179345416463542</v>
      </c>
      <c r="M420" s="52" t="n">
        <f aca="false">IF(AND(ISNUMBER($G420),$G420&gt;=60),MAX(INDEX($D$220:$D420,202-60):$D420),"")</f>
        <v>7340</v>
      </c>
      <c r="N420" s="52" t="n">
        <f aca="false">IF(AND(ISNUMBER($G420),$G420&gt;=60),MIN(INDEX($E$220:$E420,202-60):$E420),"")</f>
        <v>6258</v>
      </c>
      <c r="O420" s="53" t="n">
        <f aca="false">IF(OR(NOT(ISNUMBER($C420)),NOT(ISNUMBER($M420)),$M420=0),"",$C420/$M420-1)</f>
        <v>-0.116485013623978</v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6538</v>
      </c>
      <c r="D421" s="49" t="n">
        <v>6553</v>
      </c>
      <c r="E421" s="49" t="n">
        <v>6527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0.00817270624518129</v>
      </c>
      <c r="I421" s="52" t="n">
        <f aca="false">IF(AND(ISNUMBER($G421),$G421&gt;=MA_SHORT),AVERAGE(INDEX($C$21:$C421,402-MA_SHORT):$C421),"")</f>
        <v>6463.9</v>
      </c>
      <c r="J421" s="52" t="n">
        <f aca="false">IF(AND(ISNUMBER($G421),$G421&gt;=MA_MED),AVERAGE(INDEX($C$21:$C421,402-MA_MED):$C421),"")</f>
        <v>6621.54</v>
      </c>
      <c r="K421" s="52" t="n">
        <f aca="false">IF(AND(ISNUMBER($G421),$G421&gt;=MA_LONG2),AVERAGE(INDEX($C$21:$C421,402-MA_LONG2):$C421),"")</f>
        <v>6172.49</v>
      </c>
      <c r="L421" s="53" t="n">
        <f aca="false">IF(AND(ISNUMBER($G421),$G421&gt;=21),STDEV(INDEX($H$361:$H421,62-20):$H421)*SQRT(245),"")</f>
        <v>0.180544488925659</v>
      </c>
      <c r="M421" s="52" t="n">
        <f aca="false">IF(AND(ISNUMBER($G421),$G421&gt;=60),MAX(INDEX($D$221:$D421,202-60):$D421),"")</f>
        <v>7340</v>
      </c>
      <c r="N421" s="52" t="n">
        <f aca="false">IF(AND(ISNUMBER($G421),$G421&gt;=60),MIN(INDEX($E$221:$E421,202-60):$E421),"")</f>
        <v>6258</v>
      </c>
      <c r="O421" s="53" t="n">
        <f aca="false">IF(OR(NOT(ISNUMBER($C421)),NOT(ISNUMBER($M421)),$M421=0),"",$C421/$M421-1)</f>
        <v>-0.109264305177112</v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6506</v>
      </c>
      <c r="D422" s="49" t="n">
        <v>6520</v>
      </c>
      <c r="E422" s="49" t="n">
        <v>6488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-0.00489446313857445</v>
      </c>
      <c r="I422" s="52" t="n">
        <f aca="false">IF(AND(ISNUMBER($G422),$G422&gt;=MA_SHORT),AVERAGE(INDEX($C$22:$C422,402-MA_SHORT):$C422),"")</f>
        <v>6471.5</v>
      </c>
      <c r="J422" s="52" t="n">
        <f aca="false">IF(AND(ISNUMBER($G422),$G422&gt;=MA_MED),AVERAGE(INDEX($C$22:$C422,402-MA_MED):$C422),"")</f>
        <v>6608.14</v>
      </c>
      <c r="K422" s="52" t="n">
        <f aca="false">IF(AND(ISNUMBER($G422),$G422&gt;=MA_LONG2),AVERAGE(INDEX($C$22:$C422,402-MA_LONG2):$C422),"")</f>
        <v>6179.715</v>
      </c>
      <c r="L422" s="53" t="n">
        <f aca="false">IF(AND(ISNUMBER($G422),$G422&gt;=21),STDEV(INDEX($H$362:$H422,62-20):$H422)*SQRT(245),"")</f>
        <v>0.181871947263839</v>
      </c>
      <c r="M422" s="52" t="n">
        <f aca="false">IF(AND(ISNUMBER($G422),$G422&gt;=60),MAX(INDEX($D$222:$D422,202-60):$D422),"")</f>
        <v>7340</v>
      </c>
      <c r="N422" s="52" t="n">
        <f aca="false">IF(AND(ISNUMBER($G422),$G422&gt;=60),MIN(INDEX($E$222:$E422,202-60):$E422),"")</f>
        <v>6258</v>
      </c>
      <c r="O422" s="53" t="n">
        <f aca="false">IF(OR(NOT(ISNUMBER($C422)),NOT(ISNUMBER($M422)),$M422=0),"",$C422/$M422-1)</f>
        <v>-0.113623978201635</v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6348</v>
      </c>
      <c r="D423" s="49" t="n">
        <v>6357</v>
      </c>
      <c r="E423" s="49" t="n">
        <v>6332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-0.0242852751306486</v>
      </c>
      <c r="I423" s="52" t="n">
        <f aca="false">IF(AND(ISNUMBER($G423),$G423&gt;=MA_SHORT),AVERAGE(INDEX($C$23:$C423,402-MA_SHORT):$C423),"")</f>
        <v>6475.65</v>
      </c>
      <c r="J423" s="52" t="n">
        <f aca="false">IF(AND(ISNUMBER($G423),$G423&gt;=MA_MED),AVERAGE(INDEX($C$23:$C423,402-MA_MED):$C423),"")</f>
        <v>6593.46</v>
      </c>
      <c r="K423" s="52" t="n">
        <f aca="false">IF(AND(ISNUMBER($G423),$G423&gt;=MA_LONG2),AVERAGE(INDEX($C$23:$C423,402-MA_LONG2):$C423),"")</f>
        <v>6186.11</v>
      </c>
      <c r="L423" s="53" t="n">
        <f aca="false">IF(AND(ISNUMBER($G423),$G423&gt;=21),STDEV(INDEX($H$363:$H423,62-20):$H423)*SQRT(245),"")</f>
        <v>0.195997347066869</v>
      </c>
      <c r="M423" s="52" t="n">
        <f aca="false">IF(AND(ISNUMBER($G423),$G423&gt;=60),MAX(INDEX($D$223:$D423,202-60):$D423),"")</f>
        <v>7340</v>
      </c>
      <c r="N423" s="52" t="n">
        <f aca="false">IF(AND(ISNUMBER($G423),$G423&gt;=60),MIN(INDEX($E$223:$E423,202-60):$E423),"")</f>
        <v>6258</v>
      </c>
      <c r="O423" s="53" t="n">
        <f aca="false">IF(OR(NOT(ISNUMBER($C423)),NOT(ISNUMBER($M423)),$M423=0),"",$C423/$M423-1)</f>
        <v>-0.135149863760218</v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6416</v>
      </c>
      <c r="D424" s="49" t="n">
        <v>6425</v>
      </c>
      <c r="E424" s="49" t="n">
        <v>6394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0.0107120352867045</v>
      </c>
      <c r="I424" s="52" t="n">
        <f aca="false">IF(AND(ISNUMBER($G424),$G424&gt;=MA_SHORT),AVERAGE(INDEX($C$24:$C424,402-MA_SHORT):$C424),"")</f>
        <v>6479.65</v>
      </c>
      <c r="J424" s="52" t="n">
        <f aca="false">IF(AND(ISNUMBER($G424),$G424&gt;=MA_MED),AVERAGE(INDEX($C$24:$C424,402-MA_MED):$C424),"")</f>
        <v>6580.76</v>
      </c>
      <c r="K424" s="52" t="n">
        <f aca="false">IF(AND(ISNUMBER($G424),$G424&gt;=MA_LONG2),AVERAGE(INDEX($C$24:$C424,402-MA_LONG2):$C424),"")</f>
        <v>6192.715</v>
      </c>
      <c r="L424" s="53" t="n">
        <f aca="false">IF(AND(ISNUMBER($G424),$G424&gt;=21),STDEV(INDEX($H$364:$H424,62-20):$H424)*SQRT(245),"")</f>
        <v>0.195576040037839</v>
      </c>
      <c r="M424" s="52" t="n">
        <f aca="false">IF(AND(ISNUMBER($G424),$G424&gt;=60),MAX(INDEX($D$224:$D424,202-60):$D424),"")</f>
        <v>7340</v>
      </c>
      <c r="N424" s="52" t="n">
        <f aca="false">IF(AND(ISNUMBER($G424),$G424&gt;=60),MIN(INDEX($E$224:$E424,202-60):$E424),"")</f>
        <v>6258</v>
      </c>
      <c r="O424" s="53" t="n">
        <f aca="false">IF(OR(NOT(ISNUMBER($C424)),NOT(ISNUMBER($M424)),$M424=0),"",$C424/$M424-1)</f>
        <v>-0.125885558583106</v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6473</v>
      </c>
      <c r="D425" s="49" t="n">
        <v>6488</v>
      </c>
      <c r="E425" s="49" t="n">
        <v>6454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0.00888403990024944</v>
      </c>
      <c r="I425" s="52" t="n">
        <f aca="false">IF(AND(ISNUMBER($G425),$G425&gt;=MA_SHORT),AVERAGE(INDEX($C$25:$C425,402-MA_SHORT):$C425),"")</f>
        <v>6483.1</v>
      </c>
      <c r="J425" s="52" t="n">
        <f aca="false">IF(AND(ISNUMBER($G425),$G425&gt;=MA_MED),AVERAGE(INDEX($C$25:$C425,402-MA_MED):$C425),"")</f>
        <v>6571.48</v>
      </c>
      <c r="K425" s="52" t="n">
        <f aca="false">IF(AND(ISNUMBER($G425),$G425&gt;=MA_LONG2),AVERAGE(INDEX($C$25:$C425,402-MA_LONG2):$C425),"")</f>
        <v>6199.34</v>
      </c>
      <c r="L425" s="53" t="n">
        <f aca="false">IF(AND(ISNUMBER($G425),$G425&gt;=21),STDEV(INDEX($H$365:$H425,62-20):$H425)*SQRT(245),"")</f>
        <v>0.194457527278885</v>
      </c>
      <c r="M425" s="52" t="n">
        <f aca="false">IF(AND(ISNUMBER($G425),$G425&gt;=60),MAX(INDEX($D$225:$D425,202-60):$D425),"")</f>
        <v>7320</v>
      </c>
      <c r="N425" s="52" t="n">
        <f aca="false">IF(AND(ISNUMBER($G425),$G425&gt;=60),MIN(INDEX($E$225:$E425,202-60):$E425),"")</f>
        <v>6258</v>
      </c>
      <c r="O425" s="53" t="n">
        <f aca="false">IF(OR(NOT(ISNUMBER($C425)),NOT(ISNUMBER($M425)),$M425=0),"",$C425/$M425-1)</f>
        <v>-0.115710382513661</v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6653</v>
      </c>
      <c r="D426" s="49" t="n">
        <v>6683</v>
      </c>
      <c r="E426" s="49" t="n">
        <v>6639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0.0278078170863587</v>
      </c>
      <c r="I426" s="52" t="n">
        <f aca="false">IF(AND(ISNUMBER($G426),$G426&gt;=MA_SHORT),AVERAGE(INDEX($C$26:$C426,402-MA_SHORT):$C426),"")</f>
        <v>6494.8</v>
      </c>
      <c r="J426" s="52" t="n">
        <f aca="false">IF(AND(ISNUMBER($G426),$G426&gt;=MA_MED),AVERAGE(INDEX($C$26:$C426,402-MA_MED):$C426),"")</f>
        <v>6565.12</v>
      </c>
      <c r="K426" s="52" t="n">
        <f aca="false">IF(AND(ISNUMBER($G426),$G426&gt;=MA_LONG2),AVERAGE(INDEX($C$26:$C426,402-MA_LONG2):$C426),"")</f>
        <v>6206.92</v>
      </c>
      <c r="L426" s="53" t="n">
        <f aca="false">IF(AND(ISNUMBER($G426),$G426&gt;=21),STDEV(INDEX($H$366:$H426,62-20):$H426)*SQRT(245),"")</f>
        <v>0.21655409319351</v>
      </c>
      <c r="M426" s="52" t="n">
        <f aca="false">IF(AND(ISNUMBER($G426),$G426&gt;=60),MAX(INDEX($D$226:$D426,202-60):$D426),"")</f>
        <v>7320</v>
      </c>
      <c r="N426" s="52" t="n">
        <f aca="false">IF(AND(ISNUMBER($G426),$G426&gt;=60),MIN(INDEX($E$226:$E426,202-60):$E426),"")</f>
        <v>6258</v>
      </c>
      <c r="O426" s="53" t="n">
        <f aca="false">IF(OR(NOT(ISNUMBER($C426)),NOT(ISNUMBER($M426)),$M426=0),"",$C426/$M426-1)</f>
        <v>-0.091120218579235</v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6695</v>
      </c>
      <c r="D427" s="49" t="n">
        <v>6748</v>
      </c>
      <c r="E427" s="49" t="n">
        <v>6660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0.00631294153013684</v>
      </c>
      <c r="I427" s="52" t="n">
        <f aca="false">IF(AND(ISNUMBER($G427),$G427&gt;=MA_SHORT),AVERAGE(INDEX($C$27:$C427,402-MA_SHORT):$C427),"")</f>
        <v>6506.6</v>
      </c>
      <c r="J427" s="52" t="n">
        <f aca="false">IF(AND(ISNUMBER($G427),$G427&gt;=MA_MED),AVERAGE(INDEX($C$27:$C427,402-MA_MED):$C427),"")</f>
        <v>6561.02</v>
      </c>
      <c r="K427" s="52" t="n">
        <f aca="false">IF(AND(ISNUMBER($G427),$G427&gt;=MA_LONG2),AVERAGE(INDEX($C$27:$C427,402-MA_LONG2):$C427),"")</f>
        <v>6214.43</v>
      </c>
      <c r="L427" s="53" t="n">
        <f aca="false">IF(AND(ISNUMBER($G427),$G427&gt;=21),STDEV(INDEX($H$367:$H427,62-20):$H427)*SQRT(245),"")</f>
        <v>0.216575367904258</v>
      </c>
      <c r="M427" s="52" t="n">
        <f aca="false">IF(AND(ISNUMBER($G427),$G427&gt;=60),MAX(INDEX($D$227:$D427,202-60):$D427),"")</f>
        <v>7320</v>
      </c>
      <c r="N427" s="52" t="n">
        <f aca="false">IF(AND(ISNUMBER($G427),$G427&gt;=60),MIN(INDEX($E$227:$E427,202-60):$E427),"")</f>
        <v>6258</v>
      </c>
      <c r="O427" s="53" t="n">
        <f aca="false">IF(OR(NOT(ISNUMBER($C427)),NOT(ISNUMBER($M427)),$M427=0),"",$C427/$M427-1)</f>
        <v>-0.0853825136612022</v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6812</v>
      </c>
      <c r="D428" s="49" t="n">
        <v>6821</v>
      </c>
      <c r="E428" s="49" t="n">
        <v>6763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0.0174757281553397</v>
      </c>
      <c r="I428" s="52" t="n">
        <f aca="false">IF(AND(ISNUMBER($G428),$G428&gt;=MA_SHORT),AVERAGE(INDEX($C$28:$C428,402-MA_SHORT):$C428),"")</f>
        <v>6525.2</v>
      </c>
      <c r="J428" s="52" t="n">
        <f aca="false">IF(AND(ISNUMBER($G428),$G428&gt;=MA_MED),AVERAGE(INDEX($C$28:$C428,402-MA_MED):$C428),"")</f>
        <v>6560.54</v>
      </c>
      <c r="K428" s="52" t="n">
        <f aca="false">IF(AND(ISNUMBER($G428),$G428&gt;=MA_LONG2),AVERAGE(INDEX($C$28:$C428,402-MA_LONG2):$C428),"")</f>
        <v>6222.3</v>
      </c>
      <c r="L428" s="53" t="n">
        <f aca="false">IF(AND(ISNUMBER($G428),$G428&gt;=21),STDEV(INDEX($H$368:$H428,62-20):$H428)*SQRT(245),"")</f>
        <v>0.222416289798015</v>
      </c>
      <c r="M428" s="52" t="n">
        <f aca="false">IF(AND(ISNUMBER($G428),$G428&gt;=60),MAX(INDEX($D$228:$D428,202-60):$D428),"")</f>
        <v>7320</v>
      </c>
      <c r="N428" s="52" t="n">
        <f aca="false">IF(AND(ISNUMBER($G428),$G428&gt;=60),MIN(INDEX($E$228:$E428,202-60):$E428),"")</f>
        <v>6258</v>
      </c>
      <c r="O428" s="53" t="n">
        <f aca="false">IF(OR(NOT(ISNUMBER($C428)),NOT(ISNUMBER($M428)),$M428=0),"",$C428/$M428-1)</f>
        <v>-0.0693989071038251</v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6718</v>
      </c>
      <c r="D429" s="49" t="n">
        <v>6724</v>
      </c>
      <c r="E429" s="49" t="n">
        <v>6690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-0.0137991779213154</v>
      </c>
      <c r="I429" s="52" t="n">
        <f aca="false">IF(AND(ISNUMBER($G429),$G429&gt;=MA_SHORT),AVERAGE(INDEX($C$29:$C429,402-MA_SHORT):$C429),"")</f>
        <v>6536.6</v>
      </c>
      <c r="J429" s="52" t="n">
        <f aca="false">IF(AND(ISNUMBER($G429),$G429&gt;=MA_MED),AVERAGE(INDEX($C$29:$C429,402-MA_MED):$C429),"")</f>
        <v>6557.6</v>
      </c>
      <c r="K429" s="52" t="n">
        <f aca="false">IF(AND(ISNUMBER($G429),$G429&gt;=MA_LONG2),AVERAGE(INDEX($C$29:$C429,402-MA_LONG2):$C429),"")</f>
        <v>6229.49</v>
      </c>
      <c r="L429" s="53" t="n">
        <f aca="false">IF(AND(ISNUMBER($G429),$G429&gt;=21),STDEV(INDEX($H$369:$H429,62-20):$H429)*SQRT(245),"")</f>
        <v>0.229051051019324</v>
      </c>
      <c r="M429" s="52" t="n">
        <f aca="false">IF(AND(ISNUMBER($G429),$G429&gt;=60),MAX(INDEX($D$229:$D429,202-60):$D429),"")</f>
        <v>7320</v>
      </c>
      <c r="N429" s="52" t="n">
        <f aca="false">IF(AND(ISNUMBER($G429),$G429&gt;=60),MIN(INDEX($E$229:$E429,202-60):$E429),"")</f>
        <v>6258</v>
      </c>
      <c r="O429" s="53" t="n">
        <f aca="false">IF(OR(NOT(ISNUMBER($C429)),NOT(ISNUMBER($M429)),$M429=0),"",$C429/$M429-1)</f>
        <v>-0.08224043715847</v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6809</v>
      </c>
      <c r="D430" s="49" t="n">
        <v>6838</v>
      </c>
      <c r="E430" s="49" t="n">
        <v>6802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0.0135456981244417</v>
      </c>
      <c r="I430" s="52" t="n">
        <f aca="false">IF(AND(ISNUMBER($G430),$G430&gt;=MA_SHORT),AVERAGE(INDEX($C$30:$C430,402-MA_SHORT):$C430),"")</f>
        <v>6556.1</v>
      </c>
      <c r="J430" s="52" t="n">
        <f aca="false">IF(AND(ISNUMBER($G430),$G430&gt;=MA_MED),AVERAGE(INDEX($C$30:$C430,402-MA_MED):$C430),"")</f>
        <v>6557.02</v>
      </c>
      <c r="K430" s="52" t="n">
        <f aca="false">IF(AND(ISNUMBER($G430),$G430&gt;=MA_LONG2),AVERAGE(INDEX($C$30:$C430,402-MA_LONG2):$C430),"")</f>
        <v>6237.315</v>
      </c>
      <c r="L430" s="53" t="n">
        <f aca="false">IF(AND(ISNUMBER($G430),$G430&gt;=21),STDEV(INDEX($H$370:$H430,62-20):$H430)*SQRT(245),"")</f>
        <v>0.227475656621095</v>
      </c>
      <c r="M430" s="52" t="n">
        <f aca="false">IF(AND(ISNUMBER($G430),$G430&gt;=60),MAX(INDEX($D$230:$D430,202-60):$D430),"")</f>
        <v>7313</v>
      </c>
      <c r="N430" s="52" t="n">
        <f aca="false">IF(AND(ISNUMBER($G430),$G430&gt;=60),MIN(INDEX($E$230:$E430,202-60):$E430),"")</f>
        <v>6258</v>
      </c>
      <c r="O430" s="53" t="n">
        <f aca="false">IF(OR(NOT(ISNUMBER($C430)),NOT(ISNUMBER($M430)),$M430=0),"",$C430/$M430-1)</f>
        <v>-0.0689183645562697</v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6665</v>
      </c>
      <c r="D431" s="49" t="n">
        <v>6673</v>
      </c>
      <c r="E431" s="49" t="n">
        <v>6631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-0.0211484799530034</v>
      </c>
      <c r="I431" s="52" t="n">
        <f aca="false">IF(AND(ISNUMBER($G431),$G431&gt;=MA_SHORT),AVERAGE(INDEX($C$31:$C431,402-MA_SHORT):$C431),"")</f>
        <v>6567.75</v>
      </c>
      <c r="J431" s="52" t="n">
        <f aca="false">IF(AND(ISNUMBER($G431),$G431&gt;=MA_MED),AVERAGE(INDEX($C$31:$C431,402-MA_MED):$C431),"")</f>
        <v>6553.98</v>
      </c>
      <c r="K431" s="52" t="n">
        <f aca="false">IF(AND(ISNUMBER($G431),$G431&gt;=MA_LONG2),AVERAGE(INDEX($C$31:$C431,402-MA_LONG2):$C431),"")</f>
        <v>6244.805</v>
      </c>
      <c r="L431" s="53" t="n">
        <f aca="false">IF(AND(ISNUMBER($G431),$G431&gt;=21),STDEV(INDEX($H$371:$H431,62-20):$H431)*SQRT(245),"")</f>
        <v>0.242772524650676</v>
      </c>
      <c r="M431" s="52" t="n">
        <f aca="false">IF(AND(ISNUMBER($G431),$G431&gt;=60),MAX(INDEX($D$231:$D431,202-60):$D431),"")</f>
        <v>7176</v>
      </c>
      <c r="N431" s="52" t="n">
        <f aca="false">IF(AND(ISNUMBER($G431),$G431&gt;=60),MIN(INDEX($E$231:$E431,202-60):$E431),"")</f>
        <v>6258</v>
      </c>
      <c r="O431" s="53" t="n">
        <f aca="false">IF(OR(NOT(ISNUMBER($C431)),NOT(ISNUMBER($M431)),$M431=0),"",$C431/$M431-1)</f>
        <v>-0.0712095875139354</v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6739</v>
      </c>
      <c r="D432" s="49" t="n">
        <v>6788</v>
      </c>
      <c r="E432" s="49" t="n">
        <v>6702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0.0111027756939235</v>
      </c>
      <c r="I432" s="52" t="n">
        <f aca="false">IF(AND(ISNUMBER($G432),$G432&gt;=MA_SHORT),AVERAGE(INDEX($C$32:$C432,402-MA_SHORT):$C432),"")</f>
        <v>6578.25</v>
      </c>
      <c r="J432" s="52" t="n">
        <f aca="false">IF(AND(ISNUMBER($G432),$G432&gt;=MA_MED),AVERAGE(INDEX($C$32:$C432,402-MA_MED):$C432),"")</f>
        <v>6552</v>
      </c>
      <c r="K432" s="52" t="n">
        <f aca="false">IF(AND(ISNUMBER($G432),$G432&gt;=MA_LONG2),AVERAGE(INDEX($C$32:$C432,402-MA_LONG2):$C432),"")</f>
        <v>6252.92</v>
      </c>
      <c r="L432" s="53" t="n">
        <f aca="false">IF(AND(ISNUMBER($G432),$G432&gt;=21),STDEV(INDEX($H$372:$H432,62-20):$H432)*SQRT(245),"")</f>
        <v>0.240373914672145</v>
      </c>
      <c r="M432" s="52" t="n">
        <f aca="false">IF(AND(ISNUMBER($G432),$G432&gt;=60),MAX(INDEX($D$232:$D432,202-60):$D432),"")</f>
        <v>7121</v>
      </c>
      <c r="N432" s="52" t="n">
        <f aca="false">IF(AND(ISNUMBER($G432),$G432&gt;=60),MIN(INDEX($E$232:$E432,202-60):$E432),"")</f>
        <v>6258</v>
      </c>
      <c r="O432" s="53" t="n">
        <f aca="false">IF(OR(NOT(ISNUMBER($C432)),NOT(ISNUMBER($M432)),$M432=0),"",$C432/$M432-1)</f>
        <v>-0.0536441511023733</v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6735</v>
      </c>
      <c r="D433" s="49" t="n">
        <v>6745</v>
      </c>
      <c r="E433" s="49" t="n">
        <v>6690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-0.000593559875352478</v>
      </c>
      <c r="I433" s="52" t="n">
        <f aca="false">IF(AND(ISNUMBER($G433),$G433&gt;=MA_SHORT),AVERAGE(INDEX($C$33:$C433,402-MA_SHORT):$C433),"")</f>
        <v>6589.3</v>
      </c>
      <c r="J433" s="52" t="n">
        <f aca="false">IF(AND(ISNUMBER($G433),$G433&gt;=MA_MED),AVERAGE(INDEX($C$33:$C433,402-MA_MED):$C433),"")</f>
        <v>6549.3</v>
      </c>
      <c r="K433" s="52" t="n">
        <f aca="false">IF(AND(ISNUMBER($G433),$G433&gt;=MA_LONG2),AVERAGE(INDEX($C$33:$C433,402-MA_LONG2):$C433),"")</f>
        <v>6261.045</v>
      </c>
      <c r="L433" s="53" t="n">
        <f aca="false">IF(AND(ISNUMBER($G433),$G433&gt;=21),STDEV(INDEX($H$373:$H433,62-20):$H433)*SQRT(245),"")</f>
        <v>0.240082663631224</v>
      </c>
      <c r="M433" s="52" t="n">
        <f aca="false">IF(AND(ISNUMBER($G433),$G433&gt;=60),MAX(INDEX($D$233:$D433,202-60):$D433),"")</f>
        <v>7113</v>
      </c>
      <c r="N433" s="52" t="n">
        <f aca="false">IF(AND(ISNUMBER($G433),$G433&gt;=60),MIN(INDEX($E$233:$E433,202-60):$E433),"")</f>
        <v>6258</v>
      </c>
      <c r="O433" s="53" t="n">
        <f aca="false">IF(OR(NOT(ISNUMBER($C433)),NOT(ISNUMBER($M433)),$M433=0),"",$C433/$M433-1)</f>
        <v>-0.0531421341206242</v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6721</v>
      </c>
      <c r="D434" s="49" t="n">
        <v>6741</v>
      </c>
      <c r="E434" s="49" t="n">
        <v>6707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-0.0020786933927246</v>
      </c>
      <c r="I434" s="52" t="n">
        <f aca="false">IF(AND(ISNUMBER($G434),$G434&gt;=MA_SHORT),AVERAGE(INDEX($C$34:$C434,402-MA_SHORT):$C434),"")</f>
        <v>6594.25</v>
      </c>
      <c r="J434" s="52" t="n">
        <f aca="false">IF(AND(ISNUMBER($G434),$G434&gt;=MA_MED),AVERAGE(INDEX($C$34:$C434,402-MA_MED):$C434),"")</f>
        <v>6548.1</v>
      </c>
      <c r="K434" s="52" t="n">
        <f aca="false">IF(AND(ISNUMBER($G434),$G434&gt;=MA_LONG2),AVERAGE(INDEX($C$34:$C434,402-MA_LONG2):$C434),"")</f>
        <v>6268.77</v>
      </c>
      <c r="L434" s="53" t="n">
        <f aca="false">IF(AND(ISNUMBER($G434),$G434&gt;=21),STDEV(INDEX($H$374:$H434,62-20):$H434)*SQRT(245),"")</f>
        <v>0.234059072799232</v>
      </c>
      <c r="M434" s="52" t="n">
        <f aca="false">IF(AND(ISNUMBER($G434),$G434&gt;=60),MAX(INDEX($D$234:$D434,202-60):$D434),"")</f>
        <v>7011</v>
      </c>
      <c r="N434" s="52" t="n">
        <f aca="false">IF(AND(ISNUMBER($G434),$G434&gt;=60),MIN(INDEX($E$234:$E434,202-60):$E434),"")</f>
        <v>6258</v>
      </c>
      <c r="O434" s="53" t="n">
        <f aca="false">IF(OR(NOT(ISNUMBER($C434)),NOT(ISNUMBER($M434)),$M434=0),"",$C434/$M434-1)</f>
        <v>-0.0413635715304521</v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6894</v>
      </c>
      <c r="D435" s="49" t="n">
        <v>6896</v>
      </c>
      <c r="E435" s="49" t="n">
        <v>6893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0.0257402172295789</v>
      </c>
      <c r="I435" s="52" t="n">
        <f aca="false">IF(AND(ISNUMBER($G435),$G435&gt;=MA_SHORT),AVERAGE(INDEX($C$35:$C435,402-MA_SHORT):$C435),"")</f>
        <v>6602.65</v>
      </c>
      <c r="J435" s="52" t="n">
        <f aca="false">IF(AND(ISNUMBER($G435),$G435&gt;=MA_MED),AVERAGE(INDEX($C$35:$C435,402-MA_MED):$C435),"")</f>
        <v>6553.1</v>
      </c>
      <c r="K435" s="52" t="n">
        <f aca="false">IF(AND(ISNUMBER($G435),$G435&gt;=MA_LONG2),AVERAGE(INDEX($C$35:$C435,402-MA_LONG2):$C435),"")</f>
        <v>6277.76</v>
      </c>
      <c r="L435" s="53" t="n">
        <f aca="false">IF(AND(ISNUMBER($G435),$G435&gt;=21),STDEV(INDEX($H$375:$H435,62-20):$H435)*SQRT(245),"")</f>
        <v>0.244667270501316</v>
      </c>
      <c r="M435" s="52" t="n">
        <f aca="false">IF(AND(ISNUMBER($G435),$G435&gt;=60),MAX(INDEX($D$235:$D435,202-60):$D435),"")</f>
        <v>7011</v>
      </c>
      <c r="N435" s="52" t="n">
        <f aca="false">IF(AND(ISNUMBER($G435),$G435&gt;=60),MIN(INDEX($E$235:$E435,202-60):$E435),"")</f>
        <v>6258</v>
      </c>
      <c r="O435" s="53" t="n">
        <f aca="false">IF(OR(NOT(ISNUMBER($C435)),NOT(ISNUMBER($M435)),$M435=0),"",$C435/$M435-1)</f>
        <v>-0.0166880616174583</v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7104</v>
      </c>
      <c r="D436" s="49" t="n">
        <v>7122</v>
      </c>
      <c r="E436" s="49" t="n">
        <v>7097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0.0304612706701479</v>
      </c>
      <c r="I436" s="52" t="n">
        <f aca="false">IF(AND(ISNUMBER($G436),$G436&gt;=MA_SHORT),AVERAGE(INDEX($C$36:$C436,402-MA_SHORT):$C436),"")</f>
        <v>6629.5</v>
      </c>
      <c r="J436" s="52" t="n">
        <f aca="false">IF(AND(ISNUMBER($G436),$G436&gt;=MA_MED),AVERAGE(INDEX($C$36:$C436,402-MA_MED):$C436),"")</f>
        <v>6560.56</v>
      </c>
      <c r="K436" s="52" t="n">
        <f aca="false">IF(AND(ISNUMBER($G436),$G436&gt;=MA_LONG2),AVERAGE(INDEX($C$36:$C436,402-MA_LONG2):$C436),"")</f>
        <v>6287.765</v>
      </c>
      <c r="L436" s="53" t="n">
        <f aca="false">IF(AND(ISNUMBER($G436),$G436&gt;=21),STDEV(INDEX($H$376:$H436,62-20):$H436)*SQRT(245),"")</f>
        <v>0.246677424160063</v>
      </c>
      <c r="M436" s="52" t="n">
        <f aca="false">IF(AND(ISNUMBER($G436),$G436&gt;=60),MAX(INDEX($D$236:$D436,202-60):$D436),"")</f>
        <v>7122</v>
      </c>
      <c r="N436" s="52" t="n">
        <f aca="false">IF(AND(ISNUMBER($G436),$G436&gt;=60),MIN(INDEX($E$236:$E436,202-60):$E436),"")</f>
        <v>6258</v>
      </c>
      <c r="O436" s="53" t="n">
        <f aca="false">IF(OR(NOT(ISNUMBER($C436)),NOT(ISNUMBER($M436)),$M436=0),"",$C436/$M436-1)</f>
        <v>-0.0025273799494524</v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7204</v>
      </c>
      <c r="D437" s="49" t="n">
        <v>7246</v>
      </c>
      <c r="E437" s="49" t="n">
        <v>7194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0.0140765765765767</v>
      </c>
      <c r="I437" s="52" t="n">
        <f aca="false">IF(AND(ISNUMBER($G437),$G437&gt;=MA_SHORT),AVERAGE(INDEX($C$37:$C437,402-MA_SHORT):$C437),"")</f>
        <v>6665.7</v>
      </c>
      <c r="J437" s="52" t="n">
        <f aca="false">IF(AND(ISNUMBER($G437),$G437&gt;=MA_MED),AVERAGE(INDEX($C$37:$C437,402-MA_MED):$C437),"")</f>
        <v>6568.7</v>
      </c>
      <c r="K437" s="52" t="n">
        <f aca="false">IF(AND(ISNUMBER($G437),$G437&gt;=MA_LONG2),AVERAGE(INDEX($C$37:$C437,402-MA_LONG2):$C437),"")</f>
        <v>6298.26</v>
      </c>
      <c r="L437" s="53" t="n">
        <f aca="false">IF(AND(ISNUMBER($G437),$G437&gt;=21),STDEV(INDEX($H$377:$H437,62-20):$H437)*SQRT(245),"")</f>
        <v>0.240421418561466</v>
      </c>
      <c r="M437" s="52" t="n">
        <f aca="false">IF(AND(ISNUMBER($G437),$G437&gt;=60),MAX(INDEX($D$237:$D437,202-60):$D437),"")</f>
        <v>7246</v>
      </c>
      <c r="N437" s="52" t="n">
        <f aca="false">IF(AND(ISNUMBER($G437),$G437&gt;=60),MIN(INDEX($E$237:$E437,202-60):$E437),"")</f>
        <v>6258</v>
      </c>
      <c r="O437" s="53" t="n">
        <f aca="false">IF(OR(NOT(ISNUMBER($C437)),NOT(ISNUMBER($M437)),$M437=0),"",$C437/$M437-1)</f>
        <v>-0.00579630140767318</v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7175</v>
      </c>
      <c r="D438" s="49" t="n">
        <v>7236</v>
      </c>
      <c r="E438" s="49" t="n">
        <v>7168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-0.00402554136590783</v>
      </c>
      <c r="I438" s="52" t="n">
        <f aca="false">IF(AND(ISNUMBER($G438),$G438&gt;=MA_SHORT),AVERAGE(INDEX($C$38:$C438,402-MA_SHORT):$C438),"")</f>
        <v>6704.9</v>
      </c>
      <c r="J438" s="52" t="n">
        <f aca="false">IF(AND(ISNUMBER($G438),$G438&gt;=MA_MED),AVERAGE(INDEX($C$38:$C438,402-MA_MED):$C438),"")</f>
        <v>6575.28</v>
      </c>
      <c r="K438" s="52" t="n">
        <f aca="false">IF(AND(ISNUMBER($G438),$G438&gt;=MA_LONG2),AVERAGE(INDEX($C$38:$C438,402-MA_LONG2):$C438),"")</f>
        <v>6308.27</v>
      </c>
      <c r="L438" s="53" t="n">
        <f aca="false">IF(AND(ISNUMBER($G438),$G438&gt;=21),STDEV(INDEX($H$378:$H438,62-20):$H438)*SQRT(245),"")</f>
        <v>0.232724426120549</v>
      </c>
      <c r="M438" s="52" t="n">
        <f aca="false">IF(AND(ISNUMBER($G438),$G438&gt;=60),MAX(INDEX($D$238:$D438,202-60):$D438),"")</f>
        <v>7246</v>
      </c>
      <c r="N438" s="52" t="n">
        <f aca="false">IF(AND(ISNUMBER($G438),$G438&gt;=60),MIN(INDEX($E$238:$E438,202-60):$E438),"")</f>
        <v>6258</v>
      </c>
      <c r="O438" s="53" t="n">
        <f aca="false">IF(OR(NOT(ISNUMBER($C438)),NOT(ISNUMBER($M438)),$M438=0),"",$C438/$M438-1)</f>
        <v>-0.00979850952249517</v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7431</v>
      </c>
      <c r="D439" s="49" t="n">
        <v>7478</v>
      </c>
      <c r="E439" s="49" t="n">
        <v>7406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0.0356794425087108</v>
      </c>
      <c r="I439" s="52" t="n">
        <f aca="false">IF(AND(ISNUMBER($G439),$G439&gt;=MA_SHORT),AVERAGE(INDEX($C$39:$C439,402-MA_SHORT):$C439),"")</f>
        <v>6756.05</v>
      </c>
      <c r="J439" s="52" t="n">
        <f aca="false">IF(AND(ISNUMBER($G439),$G439&gt;=MA_MED),AVERAGE(INDEX($C$39:$C439,402-MA_MED):$C439),"")</f>
        <v>6588.56</v>
      </c>
      <c r="K439" s="52" t="n">
        <f aca="false">IF(AND(ISNUMBER($G439),$G439&gt;=MA_LONG2),AVERAGE(INDEX($C$39:$C439,402-MA_LONG2):$C439),"")</f>
        <v>6319.245</v>
      </c>
      <c r="L439" s="53" t="n">
        <f aca="false">IF(AND(ISNUMBER($G439),$G439&gt;=21),STDEV(INDEX($H$379:$H439,62-20):$H439)*SQRT(245),"")</f>
        <v>0.254463188878316</v>
      </c>
      <c r="M439" s="52" t="n">
        <f aca="false">IF(AND(ISNUMBER($G439),$G439&gt;=60),MAX(INDEX($D$239:$D439,202-60):$D439),"")</f>
        <v>7478</v>
      </c>
      <c r="N439" s="52" t="n">
        <f aca="false">IF(AND(ISNUMBER($G439),$G439&gt;=60),MIN(INDEX($E$239:$E439,202-60):$E439),"")</f>
        <v>6258</v>
      </c>
      <c r="O439" s="53" t="n">
        <f aca="false">IF(OR(NOT(ISNUMBER($C439)),NOT(ISNUMBER($M439)),$M439=0),"",$C439/$M439-1)</f>
        <v>-0.00628510296870821</v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7587</v>
      </c>
      <c r="D440" s="49" t="n">
        <v>7596</v>
      </c>
      <c r="E440" s="49" t="n">
        <v>7537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0.0209931368591036</v>
      </c>
      <c r="I440" s="52" t="n">
        <f aca="false">IF(AND(ISNUMBER($G440),$G440&gt;=MA_SHORT),AVERAGE(INDEX($C$40:$C440,402-MA_SHORT):$C440),"")</f>
        <v>6811.15</v>
      </c>
      <c r="J440" s="52" t="n">
        <f aca="false">IF(AND(ISNUMBER($G440),$G440&gt;=MA_MED),AVERAGE(INDEX($C$40:$C440,402-MA_MED):$C440),"")</f>
        <v>6604.16</v>
      </c>
      <c r="K440" s="52" t="n">
        <f aca="false">IF(AND(ISNUMBER($G440),$G440&gt;=MA_LONG2),AVERAGE(INDEX($C$40:$C440,402-MA_LONG2):$C440),"")</f>
        <v>6330.91</v>
      </c>
      <c r="L440" s="53" t="n">
        <f aca="false">IF(AND(ISNUMBER($G440),$G440&gt;=21),STDEV(INDEX($H$380:$H440,62-20):$H440)*SQRT(245),"")</f>
        <v>0.258400418032117</v>
      </c>
      <c r="M440" s="52" t="n">
        <f aca="false">IF(AND(ISNUMBER($G440),$G440&gt;=60),MAX(INDEX($D$240:$D440,202-60):$D440),"")</f>
        <v>7596</v>
      </c>
      <c r="N440" s="52" t="n">
        <f aca="false">IF(AND(ISNUMBER($G440),$G440&gt;=60),MIN(INDEX($E$240:$E440,202-60):$E440),"")</f>
        <v>6258</v>
      </c>
      <c r="O440" s="53" t="n">
        <f aca="false">IF(OR(NOT(ISNUMBER($C440)),NOT(ISNUMBER($M440)),$M440=0),"",$C440/$M440-1)</f>
        <v>-0.00118483412322279</v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7517</v>
      </c>
      <c r="D441" s="49" t="n">
        <v>7539</v>
      </c>
      <c r="E441" s="49" t="n">
        <v>7409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-0.00922630815869252</v>
      </c>
      <c r="I441" s="52" t="n">
        <f aca="false">IF(AND(ISNUMBER($G441),$G441&gt;=MA_SHORT),AVERAGE(INDEX($C$41:$C441,402-MA_SHORT):$C441),"")</f>
        <v>6860.1</v>
      </c>
      <c r="J441" s="52" t="n">
        <f aca="false">IF(AND(ISNUMBER($G441),$G441&gt;=MA_MED),AVERAGE(INDEX($C$41:$C441,402-MA_MED):$C441),"")</f>
        <v>6618.8</v>
      </c>
      <c r="K441" s="52" t="n">
        <f aca="false">IF(AND(ISNUMBER($G441),$G441&gt;=MA_LONG2),AVERAGE(INDEX($C$41:$C441,402-MA_LONG2):$C441),"")</f>
        <v>6342.19</v>
      </c>
      <c r="L441" s="53" t="n">
        <f aca="false">IF(AND(ISNUMBER($G441),$G441&gt;=21),STDEV(INDEX($H$381:$H441,62-20):$H441)*SQRT(245),"")</f>
        <v>0.265339016255708</v>
      </c>
      <c r="M441" s="52" t="n">
        <f aca="false">IF(AND(ISNUMBER($G441),$G441&gt;=60),MAX(INDEX($D$241:$D441,202-60):$D441),"")</f>
        <v>7596</v>
      </c>
      <c r="N441" s="52" t="n">
        <f aca="false">IF(AND(ISNUMBER($G441),$G441&gt;=60),MIN(INDEX($E$241:$E441,202-60):$E441),"")</f>
        <v>6258</v>
      </c>
      <c r="O441" s="53" t="n">
        <f aca="false">IF(OR(NOT(ISNUMBER($C441)),NOT(ISNUMBER($M441)),$M441=0),"",$C441/$M441-1)</f>
        <v>-0.0104002106371774</v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7427</v>
      </c>
      <c r="D442" s="49" t="n">
        <v>7455</v>
      </c>
      <c r="E442" s="49" t="n">
        <v>7409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-0.0119728615139019</v>
      </c>
      <c r="I442" s="52" t="n">
        <f aca="false">IF(AND(ISNUMBER($G442),$G442&gt;=MA_SHORT),AVERAGE(INDEX($C$42:$C442,402-MA_SHORT):$C442),"")</f>
        <v>6906.15</v>
      </c>
      <c r="J442" s="52" t="n">
        <f aca="false">IF(AND(ISNUMBER($G442),$G442&gt;=MA_MED),AVERAGE(INDEX($C$42:$C442,402-MA_MED):$C442),"")</f>
        <v>6633.72</v>
      </c>
      <c r="K442" s="52" t="n">
        <f aca="false">IF(AND(ISNUMBER($G442),$G442&gt;=MA_LONG2),AVERAGE(INDEX($C$42:$C442,402-MA_LONG2):$C442),"")</f>
        <v>6352.1</v>
      </c>
      <c r="L442" s="53" t="n">
        <f aca="false">IF(AND(ISNUMBER($G442),$G442&gt;=21),STDEV(INDEX($H$382:$H442,62-20):$H442)*SQRT(245),"")</f>
        <v>0.270582496426117</v>
      </c>
      <c r="M442" s="52" t="n">
        <f aca="false">IF(AND(ISNUMBER($G442),$G442&gt;=60),MAX(INDEX($D$242:$D442,202-60):$D442),"")</f>
        <v>7596</v>
      </c>
      <c r="N442" s="52" t="n">
        <f aca="false">IF(AND(ISNUMBER($G442),$G442&gt;=60),MIN(INDEX($E$242:$E442,202-60):$E442),"")</f>
        <v>6258</v>
      </c>
      <c r="O442" s="53" t="n">
        <f aca="false">IF(OR(NOT(ISNUMBER($C442)),NOT(ISNUMBER($M442)),$M442=0),"",$C442/$M442-1)</f>
        <v>-0.022248551869405</v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7488</v>
      </c>
      <c r="D443" s="49" t="n">
        <v>7516</v>
      </c>
      <c r="E443" s="49" t="n">
        <v>7451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0.00821327588528353</v>
      </c>
      <c r="I443" s="52" t="n">
        <f aca="false">IF(AND(ISNUMBER($G443),$G443&gt;=MA_SHORT),AVERAGE(INDEX($C$43:$C443,402-MA_SHORT):$C443),"")</f>
        <v>6963.15</v>
      </c>
      <c r="J443" s="52" t="n">
        <f aca="false">IF(AND(ISNUMBER($G443),$G443&gt;=MA_MED),AVERAGE(INDEX($C$43:$C443,402-MA_MED):$C443),"")</f>
        <v>6650.96</v>
      </c>
      <c r="K443" s="52" t="n">
        <f aca="false">IF(AND(ISNUMBER($G443),$G443&gt;=MA_LONG2),AVERAGE(INDEX($C$43:$C443,402-MA_LONG2):$C443),"")</f>
        <v>6362.195</v>
      </c>
      <c r="L443" s="53" t="n">
        <f aca="false">IF(AND(ISNUMBER($G443),$G443&gt;=21),STDEV(INDEX($H$383:$H443,62-20):$H443)*SQRT(245),"")</f>
        <v>0.245181080742765</v>
      </c>
      <c r="M443" s="52" t="n">
        <f aca="false">IF(AND(ISNUMBER($G443),$G443&gt;=60),MAX(INDEX($D$243:$D443,202-60):$D443),"")</f>
        <v>7596</v>
      </c>
      <c r="N443" s="52" t="n">
        <f aca="false">IF(AND(ISNUMBER($G443),$G443&gt;=60),MIN(INDEX($E$243:$E443,202-60):$E443),"")</f>
        <v>6258</v>
      </c>
      <c r="O443" s="53" t="n">
        <f aca="false">IF(OR(NOT(ISNUMBER($C443)),NOT(ISNUMBER($M443)),$M443=0),"",$C443/$M443-1)</f>
        <v>-0.014218009478673</v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7450</v>
      </c>
      <c r="D444" s="49" t="n">
        <v>7533</v>
      </c>
      <c r="E444" s="49" t="n">
        <v>7433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-0.00507478632478631</v>
      </c>
      <c r="I444" s="52" t="n">
        <f aca="false">IF(AND(ISNUMBER($G444),$G444&gt;=MA_SHORT),AVERAGE(INDEX($C$44:$C444,402-MA_SHORT):$C444),"")</f>
        <v>7014.85</v>
      </c>
      <c r="J444" s="52" t="n">
        <f aca="false">IF(AND(ISNUMBER($G444),$G444&gt;=MA_MED),AVERAGE(INDEX($C$44:$C444,402-MA_MED):$C444),"")</f>
        <v>6668.44</v>
      </c>
      <c r="K444" s="52" t="n">
        <f aca="false">IF(AND(ISNUMBER($G444),$G444&gt;=MA_LONG2),AVERAGE(INDEX($C$44:$C444,402-MA_LONG2):$C444),"")</f>
        <v>6372.385</v>
      </c>
      <c r="L444" s="53" t="n">
        <f aca="false">IF(AND(ISNUMBER($G444),$G444&gt;=21),STDEV(INDEX($H$384:$H444,62-20):$H444)*SQRT(245),"")</f>
        <v>0.249456828377183</v>
      </c>
      <c r="M444" s="52" t="n">
        <f aca="false">IF(AND(ISNUMBER($G444),$G444&gt;=60),MAX(INDEX($D$244:$D444,202-60):$D444),"")</f>
        <v>7596</v>
      </c>
      <c r="N444" s="52" t="n">
        <f aca="false">IF(AND(ISNUMBER($G444),$G444&gt;=60),MIN(INDEX($E$244:$E444,202-60):$E444),"")</f>
        <v>6258</v>
      </c>
      <c r="O444" s="53" t="n">
        <f aca="false">IF(OR(NOT(ISNUMBER($C444)),NOT(ISNUMBER($M444)),$M444=0),"",$C444/$M444-1)</f>
        <v>-0.0192206424433913</v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7431</v>
      </c>
      <c r="D445" s="49" t="n">
        <v>7485</v>
      </c>
      <c r="E445" s="49" t="n">
        <v>7388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-0.0025503355704698</v>
      </c>
      <c r="I445" s="52" t="n">
        <f aca="false">IF(AND(ISNUMBER($G445),$G445&gt;=MA_SHORT),AVERAGE(INDEX($C$45:$C445,402-MA_SHORT):$C445),"")</f>
        <v>7062.75</v>
      </c>
      <c r="J445" s="52" t="n">
        <f aca="false">IF(AND(ISNUMBER($G445),$G445&gt;=MA_MED),AVERAGE(INDEX($C$45:$C445,402-MA_MED):$C445),"")</f>
        <v>6688.14</v>
      </c>
      <c r="K445" s="52" t="n">
        <f aca="false">IF(AND(ISNUMBER($G445),$G445&gt;=MA_LONG2),AVERAGE(INDEX($C$45:$C445,402-MA_LONG2):$C445),"")</f>
        <v>6382.38</v>
      </c>
      <c r="L445" s="53" t="n">
        <f aca="false">IF(AND(ISNUMBER($G445),$G445&gt;=21),STDEV(INDEX($H$385:$H445,62-20):$H445)*SQRT(245),"")</f>
        <v>0.251907117570185</v>
      </c>
      <c r="M445" s="52" t="n">
        <f aca="false">IF(AND(ISNUMBER($G445),$G445&gt;=60),MAX(INDEX($D$245:$D445,202-60):$D445),"")</f>
        <v>7596</v>
      </c>
      <c r="N445" s="52" t="n">
        <f aca="false">IF(AND(ISNUMBER($G445),$G445&gt;=60),MIN(INDEX($E$245:$E445,202-60):$E445),"")</f>
        <v>6258</v>
      </c>
      <c r="O445" s="53" t="n">
        <f aca="false">IF(OR(NOT(ISNUMBER($C445)),NOT(ISNUMBER($M445)),$M445=0),"",$C445/$M445-1)</f>
        <v>-0.0217219589257504</v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7488</v>
      </c>
      <c r="D446" s="49" t="n">
        <v>7510</v>
      </c>
      <c r="E446" s="49" t="n">
        <v>7423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0.00767056923698029</v>
      </c>
      <c r="I446" s="52" t="n">
        <f aca="false">IF(AND(ISNUMBER($G446),$G446&gt;=MA_SHORT),AVERAGE(INDEX($C$46:$C446,402-MA_SHORT):$C446),"")</f>
        <v>7104.5</v>
      </c>
      <c r="J446" s="52" t="n">
        <f aca="false">IF(AND(ISNUMBER($G446),$G446&gt;=MA_MED),AVERAGE(INDEX($C$46:$C446,402-MA_MED):$C446),"")</f>
        <v>6711.62</v>
      </c>
      <c r="K446" s="52" t="n">
        <f aca="false">IF(AND(ISNUMBER($G446),$G446&gt;=MA_LONG2),AVERAGE(INDEX($C$46:$C446,402-MA_LONG2):$C446),"")</f>
        <v>6392.36</v>
      </c>
      <c r="L446" s="53" t="n">
        <f aca="false">IF(AND(ISNUMBER($G446),$G446&gt;=21),STDEV(INDEX($H$386:$H446,62-20):$H446)*SQRT(245),"")</f>
        <v>0.240089484960802</v>
      </c>
      <c r="M446" s="52" t="n">
        <f aca="false">IF(AND(ISNUMBER($G446),$G446&gt;=60),MAX(INDEX($D$246:$D446,202-60):$D446),"")</f>
        <v>7596</v>
      </c>
      <c r="N446" s="52" t="n">
        <f aca="false">IF(AND(ISNUMBER($G446),$G446&gt;=60),MIN(INDEX($E$246:$E446,202-60):$E446),"")</f>
        <v>6258</v>
      </c>
      <c r="O446" s="53" t="n">
        <f aca="false">IF(OR(NOT(ISNUMBER($C446)),NOT(ISNUMBER($M446)),$M446=0),"",$C446/$M446-1)</f>
        <v>-0.014218009478673</v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7470</v>
      </c>
      <c r="D447" s="49" t="n">
        <v>7472</v>
      </c>
      <c r="E447" s="49" t="n">
        <v>7450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-0.00240384615384615</v>
      </c>
      <c r="I447" s="52" t="n">
        <f aca="false">IF(AND(ISNUMBER($G447),$G447&gt;=MA_SHORT),AVERAGE(INDEX($C$47:$C447,402-MA_SHORT):$C447),"")</f>
        <v>7143.25</v>
      </c>
      <c r="J447" s="52" t="n">
        <f aca="false">IF(AND(ISNUMBER($G447),$G447&gt;=MA_MED),AVERAGE(INDEX($C$47:$C447,402-MA_MED):$C447),"")</f>
        <v>6733.1</v>
      </c>
      <c r="K447" s="52" t="n">
        <f aca="false">IF(AND(ISNUMBER($G447),$G447&gt;=MA_LONG2),AVERAGE(INDEX($C$47:$C447,402-MA_LONG2):$C447),"")</f>
        <v>6402.465</v>
      </c>
      <c r="L447" s="53" t="n">
        <f aca="false">IF(AND(ISNUMBER($G447),$G447&gt;=21),STDEV(INDEX($H$387:$H447,62-20):$H447)*SQRT(245),"")</f>
        <v>0.241893382779815</v>
      </c>
      <c r="M447" s="52" t="n">
        <f aca="false">IF(AND(ISNUMBER($G447),$G447&gt;=60),MAX(INDEX($D$247:$D447,202-60):$D447),"")</f>
        <v>7596</v>
      </c>
      <c r="N447" s="52" t="n">
        <f aca="false">IF(AND(ISNUMBER($G447),$G447&gt;=60),MIN(INDEX($E$247:$E447,202-60):$E447),"")</f>
        <v>6258</v>
      </c>
      <c r="O447" s="53" t="n">
        <f aca="false">IF(OR(NOT(ISNUMBER($C447)),NOT(ISNUMBER($M447)),$M447=0),"",$C447/$M447-1)</f>
        <v>-0.0165876777251185</v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7576</v>
      </c>
      <c r="D448" s="49" t="n">
        <v>7599</v>
      </c>
      <c r="E448" s="49" t="n">
        <v>7567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0.014190093708166</v>
      </c>
      <c r="I448" s="52" t="n">
        <f aca="false">IF(AND(ISNUMBER($G448),$G448&gt;=MA_SHORT),AVERAGE(INDEX($C$48:$C448,402-MA_SHORT):$C448),"")</f>
        <v>7181.45</v>
      </c>
      <c r="J448" s="52" t="n">
        <f aca="false">IF(AND(ISNUMBER($G448),$G448&gt;=MA_MED),AVERAGE(INDEX($C$48:$C448,402-MA_MED):$C448),"")</f>
        <v>6756.08</v>
      </c>
      <c r="K448" s="52" t="n">
        <f aca="false">IF(AND(ISNUMBER($G448),$G448&gt;=MA_LONG2),AVERAGE(INDEX($C$48:$C448,402-MA_LONG2):$C448),"")</f>
        <v>6413.36</v>
      </c>
      <c r="L448" s="53" t="n">
        <f aca="false">IF(AND(ISNUMBER($G448),$G448&gt;=21),STDEV(INDEX($H$388:$H448,62-20):$H448)*SQRT(245),"")</f>
        <v>0.240080664581129</v>
      </c>
      <c r="M448" s="52" t="n">
        <f aca="false">IF(AND(ISNUMBER($G448),$G448&gt;=60),MAX(INDEX($D$248:$D448,202-60):$D448),"")</f>
        <v>7599</v>
      </c>
      <c r="N448" s="52" t="n">
        <f aca="false">IF(AND(ISNUMBER($G448),$G448&gt;=60),MIN(INDEX($E$248:$E448,202-60):$E448),"")</f>
        <v>6258</v>
      </c>
      <c r="O448" s="53" t="n">
        <f aca="false">IF(OR(NOT(ISNUMBER($C448)),NOT(ISNUMBER($M448)),$M448=0),"",$C448/$M448-1)</f>
        <v>-0.00302671404132127</v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7570</v>
      </c>
      <c r="D449" s="49" t="n">
        <v>7573</v>
      </c>
      <c r="E449" s="49" t="n">
        <v>7517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-0.000791974656811023</v>
      </c>
      <c r="I449" s="52" t="n">
        <f aca="false">IF(AND(ISNUMBER($G449),$G449&gt;=MA_SHORT),AVERAGE(INDEX($C$49:$C449,402-MA_SHORT):$C449),"")</f>
        <v>7224.05</v>
      </c>
      <c r="J449" s="52" t="n">
        <f aca="false">IF(AND(ISNUMBER($G449),$G449&gt;=MA_MED),AVERAGE(INDEX($C$49:$C449,402-MA_MED):$C449),"")</f>
        <v>6780.36</v>
      </c>
      <c r="K449" s="52" t="n">
        <f aca="false">IF(AND(ISNUMBER($G449),$G449&gt;=MA_LONG2),AVERAGE(INDEX($C$49:$C449,402-MA_LONG2):$C449),"")</f>
        <v>6423.99</v>
      </c>
      <c r="L449" s="53" t="n">
        <f aca="false">IF(AND(ISNUMBER($G449),$G449&gt;=21),STDEV(INDEX($H$389:$H449,62-20):$H449)*SQRT(245),"")</f>
        <v>0.230775903760873</v>
      </c>
      <c r="M449" s="52" t="n">
        <f aca="false">IF(AND(ISNUMBER($G449),$G449&gt;=60),MAX(INDEX($D$249:$D449,202-60):$D449),"")</f>
        <v>7599</v>
      </c>
      <c r="N449" s="52" t="n">
        <f aca="false">IF(AND(ISNUMBER($G449),$G449&gt;=60),MIN(INDEX($E$249:$E449,202-60):$E449),"")</f>
        <v>6258</v>
      </c>
      <c r="O449" s="53" t="n">
        <f aca="false">IF(OR(NOT(ISNUMBER($C449)),NOT(ISNUMBER($M449)),$M449=0),"",$C449/$M449-1)</f>
        <v>-0.00381629161731811</v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7681</v>
      </c>
      <c r="D450" s="49" t="n">
        <v>7697</v>
      </c>
      <c r="E450" s="49" t="n">
        <v>7592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0.014663143989432</v>
      </c>
      <c r="I450" s="52" t="n">
        <f aca="false">IF(AND(ISNUMBER($G450),$G450&gt;=MA_SHORT),AVERAGE(INDEX($C$50:$C450,402-MA_SHORT):$C450),"")</f>
        <v>7267.65</v>
      </c>
      <c r="J450" s="52" t="n">
        <f aca="false">IF(AND(ISNUMBER($G450),$G450&gt;=MA_MED),AVERAGE(INDEX($C$50:$C450,402-MA_MED):$C450),"")</f>
        <v>6807.9</v>
      </c>
      <c r="K450" s="52" t="n">
        <f aca="false">IF(AND(ISNUMBER($G450),$G450&gt;=MA_LONG2),AVERAGE(INDEX($C$50:$C450,402-MA_LONG2):$C450),"")</f>
        <v>6435.25</v>
      </c>
      <c r="L450" s="53" t="n">
        <f aca="false">IF(AND(ISNUMBER($G450),$G450&gt;=21),STDEV(INDEX($H$390:$H450,62-20):$H450)*SQRT(245),"")</f>
        <v>0.231274005002253</v>
      </c>
      <c r="M450" s="52" t="n">
        <f aca="false">IF(AND(ISNUMBER($G450),$G450&gt;=60),MAX(INDEX($D$250:$D450,202-60):$D450),"")</f>
        <v>7697</v>
      </c>
      <c r="N450" s="52" t="n">
        <f aca="false">IF(AND(ISNUMBER($G450),$G450&gt;=60),MIN(INDEX($E$250:$E450,202-60):$E450),"")</f>
        <v>6258</v>
      </c>
      <c r="O450" s="53" t="n">
        <f aca="false">IF(OR(NOT(ISNUMBER($C450)),NOT(ISNUMBER($M450)),$M450=0),"",$C450/$M450-1)</f>
        <v>-0.00207873197349617</v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7642</v>
      </c>
      <c r="D451" s="49" t="n">
        <v>7713</v>
      </c>
      <c r="E451" s="49" t="n">
        <v>7631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-0.00507746387189167</v>
      </c>
      <c r="I451" s="52" t="n">
        <f aca="false">IF(AND(ISNUMBER($G451),$G451&gt;=MA_SHORT),AVERAGE(INDEX($C$51:$C451,402-MA_SHORT):$C451),"")</f>
        <v>7316.5</v>
      </c>
      <c r="J451" s="52" t="n">
        <f aca="false">IF(AND(ISNUMBER($G451),$G451&gt;=MA_MED),AVERAGE(INDEX($C$51:$C451,402-MA_MED):$C451),"")</f>
        <v>6834.06</v>
      </c>
      <c r="K451" s="52" t="n">
        <f aca="false">IF(AND(ISNUMBER($G451),$G451&gt;=MA_LONG2),AVERAGE(INDEX($C$51:$C451,402-MA_LONG2):$C451),"")</f>
        <v>6446.74</v>
      </c>
      <c r="L451" s="53" t="n">
        <f aca="false">IF(AND(ISNUMBER($G451),$G451&gt;=21),STDEV(INDEX($H$391:$H451,62-20):$H451)*SQRT(245),"")</f>
        <v>0.212929394122418</v>
      </c>
      <c r="M451" s="52" t="n">
        <f aca="false">IF(AND(ISNUMBER($G451),$G451&gt;=60),MAX(INDEX($D$251:$D451,202-60):$D451),"")</f>
        <v>7713</v>
      </c>
      <c r="N451" s="52" t="n">
        <f aca="false">IF(AND(ISNUMBER($G451),$G451&gt;=60),MIN(INDEX($E$251:$E451,202-60):$E451),"")</f>
        <v>6258</v>
      </c>
      <c r="O451" s="53" t="n">
        <f aca="false">IF(OR(NOT(ISNUMBER($C451)),NOT(ISNUMBER($M451)),$M451=0),"",$C451/$M451-1)</f>
        <v>-0.00920523791002204</v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7868</v>
      </c>
      <c r="D452" s="49" t="n">
        <v>7893</v>
      </c>
      <c r="E452" s="49" t="n">
        <v>7860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0.0295734101020675</v>
      </c>
      <c r="I452" s="52" t="n">
        <f aca="false">IF(AND(ISNUMBER($G452),$G452&gt;=MA_SHORT),AVERAGE(INDEX($C$52:$C452,402-MA_SHORT):$C452),"")</f>
        <v>7372.95</v>
      </c>
      <c r="J452" s="52" t="n">
        <f aca="false">IF(AND(ISNUMBER($G452),$G452&gt;=MA_MED),AVERAGE(INDEX($C$52:$C452,402-MA_MED):$C452),"")</f>
        <v>6864.34</v>
      </c>
      <c r="K452" s="52" t="n">
        <f aca="false">IF(AND(ISNUMBER($G452),$G452&gt;=MA_LONG2),AVERAGE(INDEX($C$52:$C452,402-MA_LONG2):$C452),"")</f>
        <v>6459.55</v>
      </c>
      <c r="L452" s="53" t="n">
        <f aca="false">IF(AND(ISNUMBER($G452),$G452&gt;=21),STDEV(INDEX($H$392:$H452,62-20):$H452)*SQRT(245),"")</f>
        <v>0.226928341317651</v>
      </c>
      <c r="M452" s="52" t="n">
        <f aca="false">IF(AND(ISNUMBER($G452),$G452&gt;=60),MAX(INDEX($D$252:$D452,202-60):$D452),"")</f>
        <v>7893</v>
      </c>
      <c r="N452" s="52" t="n">
        <f aca="false">IF(AND(ISNUMBER($G452),$G452&gt;=60),MIN(INDEX($E$252:$E452,202-60):$E452),"")</f>
        <v>6258</v>
      </c>
      <c r="O452" s="53" t="n">
        <f aca="false">IF(OR(NOT(ISNUMBER($C452)),NOT(ISNUMBER($M452)),$M452=0),"",$C452/$M452-1)</f>
        <v>-0.00316736348663371</v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7775</v>
      </c>
      <c r="D453" s="49" t="n">
        <v>7831</v>
      </c>
      <c r="E453" s="49" t="n">
        <v>7751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-0.0118200305033045</v>
      </c>
      <c r="I453" s="52" t="n">
        <f aca="false">IF(AND(ISNUMBER($G453),$G453&gt;=MA_SHORT),AVERAGE(INDEX($C$53:$C453,402-MA_SHORT):$C453),"")</f>
        <v>7424.95</v>
      </c>
      <c r="J453" s="52" t="n">
        <f aca="false">IF(AND(ISNUMBER($G453),$G453&gt;=MA_MED),AVERAGE(INDEX($C$53:$C453,402-MA_MED):$C453),"")</f>
        <v>6894.54</v>
      </c>
      <c r="K453" s="52" t="n">
        <f aca="false">IF(AND(ISNUMBER($G453),$G453&gt;=MA_LONG2),AVERAGE(INDEX($C$53:$C453,402-MA_LONG2):$C453),"")</f>
        <v>6471.51</v>
      </c>
      <c r="L453" s="53" t="n">
        <f aca="false">IF(AND(ISNUMBER($G453),$G453&gt;=21),STDEV(INDEX($H$393:$H453,62-20):$H453)*SQRT(245),"")</f>
        <v>0.235566862007234</v>
      </c>
      <c r="M453" s="52" t="n">
        <f aca="false">IF(AND(ISNUMBER($G453),$G453&gt;=60),MAX(INDEX($D$253:$D453,202-60):$D453),"")</f>
        <v>7893</v>
      </c>
      <c r="N453" s="52" t="n">
        <f aca="false">IF(AND(ISNUMBER($G453),$G453&gt;=60),MIN(INDEX($E$253:$E453,202-60):$E453),"")</f>
        <v>6258</v>
      </c>
      <c r="O453" s="53" t="n">
        <f aca="false">IF(OR(NOT(ISNUMBER($C453)),NOT(ISNUMBER($M453)),$M453=0),"",$C453/$M453-1)</f>
        <v>-0.0149499556569112</v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7646</v>
      </c>
      <c r="D454" s="49" t="n">
        <v>7670</v>
      </c>
      <c r="E454" s="49" t="n">
        <v>7623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-0.0165916398713827</v>
      </c>
      <c r="I454" s="52" t="n">
        <f aca="false">IF(AND(ISNUMBER($G454),$G454&gt;=MA_SHORT),AVERAGE(INDEX($C$54:$C454,402-MA_SHORT):$C454),"")</f>
        <v>7471.2</v>
      </c>
      <c r="J454" s="52" t="n">
        <f aca="false">IF(AND(ISNUMBER($G454),$G454&gt;=MA_MED),AVERAGE(INDEX($C$54:$C454,402-MA_MED):$C454),"")</f>
        <v>6920.74</v>
      </c>
      <c r="K454" s="52" t="n">
        <f aca="false">IF(AND(ISNUMBER($G454),$G454&gt;=MA_LONG2),AVERAGE(INDEX($C$54:$C454,402-MA_LONG2):$C454),"")</f>
        <v>6482.895</v>
      </c>
      <c r="L454" s="53" t="n">
        <f aca="false">IF(AND(ISNUMBER($G454),$G454&gt;=21),STDEV(INDEX($H$394:$H454,62-20):$H454)*SQRT(245),"")</f>
        <v>0.248166592333812</v>
      </c>
      <c r="M454" s="52" t="n">
        <f aca="false">IF(AND(ISNUMBER($G454),$G454&gt;=60),MAX(INDEX($D$254:$D454,202-60):$D454),"")</f>
        <v>7893</v>
      </c>
      <c r="N454" s="52" t="n">
        <f aca="false">IF(AND(ISNUMBER($G454),$G454&gt;=60),MIN(INDEX($E$254:$E454,202-60):$E454),"")</f>
        <v>6258</v>
      </c>
      <c r="O454" s="53" t="n">
        <f aca="false">IF(OR(NOT(ISNUMBER($C454)),NOT(ISNUMBER($M454)),$M454=0),"",$C454/$M454-1)</f>
        <v>-0.0312935512479412</v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7724</v>
      </c>
      <c r="D455" s="49" t="n">
        <v>7728</v>
      </c>
      <c r="E455" s="49" t="n">
        <v>7721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0.0102014125032697</v>
      </c>
      <c r="I455" s="52" t="n">
        <f aca="false">IF(AND(ISNUMBER($G455),$G455&gt;=MA_SHORT),AVERAGE(INDEX($C$55:$C455,402-MA_SHORT):$C455),"")</f>
        <v>7512.7</v>
      </c>
      <c r="J455" s="52" t="n">
        <f aca="false">IF(AND(ISNUMBER($G455),$G455&gt;=MA_MED),AVERAGE(INDEX($C$55:$C455,402-MA_MED):$C455),"")</f>
        <v>6947.14</v>
      </c>
      <c r="K455" s="52" t="n">
        <f aca="false">IF(AND(ISNUMBER($G455),$G455&gt;=MA_LONG2),AVERAGE(INDEX($C$55:$C455,402-MA_LONG2):$C455),"")</f>
        <v>6495.26</v>
      </c>
      <c r="L455" s="53" t="n">
        <f aca="false">IF(AND(ISNUMBER($G455),$G455&gt;=21),STDEV(INDEX($H$395:$H455,62-20):$H455)*SQRT(245),"")</f>
        <v>0.238471773682965</v>
      </c>
      <c r="M455" s="52" t="n">
        <f aca="false">IF(AND(ISNUMBER($G455),$G455&gt;=60),MAX(INDEX($D$255:$D455,202-60):$D455),"")</f>
        <v>7893</v>
      </c>
      <c r="N455" s="52" t="n">
        <f aca="false">IF(AND(ISNUMBER($G455),$G455&gt;=60),MIN(INDEX($E$255:$E455,202-60):$E455),"")</f>
        <v>6258</v>
      </c>
      <c r="O455" s="53" t="n">
        <f aca="false">IF(OR(NOT(ISNUMBER($C455)),NOT(ISNUMBER($M455)),$M455=0),"",$C455/$M455-1)</f>
        <v>-0.021411377169644</v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7706</v>
      </c>
      <c r="D456" s="49" t="n">
        <v>7717</v>
      </c>
      <c r="E456" s="49" t="n">
        <v>7706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-0.00233039875712071</v>
      </c>
      <c r="I456" s="52" t="n">
        <f aca="false">IF(AND(ISNUMBER($G456),$G456&gt;=MA_SHORT),AVERAGE(INDEX($C$56:$C456,402-MA_SHORT):$C456),"")</f>
        <v>7542.8</v>
      </c>
      <c r="J456" s="52" t="n">
        <f aca="false">IF(AND(ISNUMBER($G456),$G456&gt;=MA_MED),AVERAGE(INDEX($C$56:$C456,402-MA_MED):$C456),"")</f>
        <v>6972.88</v>
      </c>
      <c r="K456" s="52" t="n">
        <f aca="false">IF(AND(ISNUMBER($G456),$G456&gt;=MA_LONG2),AVERAGE(INDEX($C$56:$C456,402-MA_LONG2):$C456),"")</f>
        <v>6507.55</v>
      </c>
      <c r="L456" s="53" t="n">
        <f aca="false">IF(AND(ISNUMBER($G456),$G456&gt;=21),STDEV(INDEX($H$396:$H456,62-20):$H456)*SQRT(245),"")</f>
        <v>0.221796128341828</v>
      </c>
      <c r="M456" s="52" t="n">
        <f aca="false">IF(AND(ISNUMBER($G456),$G456&gt;=60),MAX(INDEX($D$256:$D456,202-60):$D456),"")</f>
        <v>7893</v>
      </c>
      <c r="N456" s="52" t="n">
        <f aca="false">IF(AND(ISNUMBER($G456),$G456&gt;=60),MIN(INDEX($E$256:$E456,202-60):$E456),"")</f>
        <v>6258</v>
      </c>
      <c r="O456" s="53" t="n">
        <f aca="false">IF(OR(NOT(ISNUMBER($C456)),NOT(ISNUMBER($M456)),$M456=0),"",$C456/$M456-1)</f>
        <v>-0.0236918788800202</v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7541</v>
      </c>
      <c r="D457" s="49" t="n">
        <v>7553</v>
      </c>
      <c r="E457" s="49" t="n">
        <v>7516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-0.0214118868414223</v>
      </c>
      <c r="I457" s="52" t="n">
        <f aca="false">IF(AND(ISNUMBER($G457),$G457&gt;=MA_SHORT),AVERAGE(INDEX($C$57:$C457,402-MA_SHORT):$C457),"")</f>
        <v>7559.65</v>
      </c>
      <c r="J457" s="52" t="n">
        <f aca="false">IF(AND(ISNUMBER($G457),$G457&gt;=MA_MED),AVERAGE(INDEX($C$57:$C457,402-MA_MED):$C457),"")</f>
        <v>6994.52</v>
      </c>
      <c r="K457" s="52" t="n">
        <f aca="false">IF(AND(ISNUMBER($G457),$G457&gt;=MA_LONG2),AVERAGE(INDEX($C$57:$C457,402-MA_LONG2):$C457),"")</f>
        <v>6519.53</v>
      </c>
      <c r="L457" s="53" t="n">
        <f aca="false">IF(AND(ISNUMBER($G457),$G457&gt;=21),STDEV(INDEX($H$397:$H457,62-20):$H457)*SQRT(245),"")</f>
        <v>0.235700190550061</v>
      </c>
      <c r="M457" s="52" t="n">
        <f aca="false">IF(AND(ISNUMBER($G457),$G457&gt;=60),MAX(INDEX($D$257:$D457,202-60):$D457),"")</f>
        <v>7893</v>
      </c>
      <c r="N457" s="52" t="n">
        <f aca="false">IF(AND(ISNUMBER($G457),$G457&gt;=60),MIN(INDEX($E$257:$E457,202-60):$E457),"")</f>
        <v>6258</v>
      </c>
      <c r="O457" s="53" t="n">
        <f aca="false">IF(OR(NOT(ISNUMBER($C457)),NOT(ISNUMBER($M457)),$M457=0),"",$C457/$M457-1)</f>
        <v>-0.0445964778918029</v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7445</v>
      </c>
      <c r="D458" s="49" t="n">
        <v>7488</v>
      </c>
      <c r="E458" s="49" t="n">
        <v>7395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-0.0127304071078106</v>
      </c>
      <c r="I458" s="52" t="n">
        <f aca="false">IF(AND(ISNUMBER($G458),$G458&gt;=MA_SHORT),AVERAGE(INDEX($C$58:$C458,402-MA_SHORT):$C458),"")</f>
        <v>7573.15</v>
      </c>
      <c r="J458" s="52" t="n">
        <f aca="false">IF(AND(ISNUMBER($G458),$G458&gt;=MA_MED),AVERAGE(INDEX($C$58:$C458,402-MA_MED):$C458),"")</f>
        <v>7014.62</v>
      </c>
      <c r="K458" s="52" t="n">
        <f aca="false">IF(AND(ISNUMBER($G458),$G458&gt;=MA_LONG2),AVERAGE(INDEX($C$58:$C458,402-MA_LONG2):$C458),"")</f>
        <v>6530.945</v>
      </c>
      <c r="L458" s="53" t="n">
        <f aca="false">IF(AND(ISNUMBER($G458),$G458&gt;=21),STDEV(INDEX($H$398:$H458,62-20):$H458)*SQRT(245),"")</f>
        <v>0.240674625472766</v>
      </c>
      <c r="M458" s="52" t="n">
        <f aca="false">IF(AND(ISNUMBER($G458),$G458&gt;=60),MAX(INDEX($D$258:$D458,202-60):$D458),"")</f>
        <v>7893</v>
      </c>
      <c r="N458" s="52" t="n">
        <f aca="false">IF(AND(ISNUMBER($G458),$G458&gt;=60),MIN(INDEX($E$258:$E458,202-60):$E458),"")</f>
        <v>6258</v>
      </c>
      <c r="O458" s="53" t="n">
        <f aca="false">IF(OR(NOT(ISNUMBER($C458)),NOT(ISNUMBER($M458)),$M458=0),"",$C458/$M458-1)</f>
        <v>-0.0567591536804764</v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7278</v>
      </c>
      <c r="D459" s="49" t="n">
        <v>7280</v>
      </c>
      <c r="E459" s="49" t="n">
        <v>7257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-0.0224311618535931</v>
      </c>
      <c r="I459" s="52" t="n">
        <f aca="false">IF(AND(ISNUMBER($G459),$G459&gt;=MA_SHORT),AVERAGE(INDEX($C$59:$C459,402-MA_SHORT):$C459),"")</f>
        <v>7565.5</v>
      </c>
      <c r="J459" s="52" t="n">
        <f aca="false">IF(AND(ISNUMBER($G459),$G459&gt;=MA_MED),AVERAGE(INDEX($C$59:$C459,402-MA_MED):$C459),"")</f>
        <v>7030.38</v>
      </c>
      <c r="K459" s="52" t="n">
        <f aca="false">IF(AND(ISNUMBER($G459),$G459&gt;=MA_LONG2),AVERAGE(INDEX($C$59:$C459,402-MA_LONG2):$C459),"")</f>
        <v>6541.2</v>
      </c>
      <c r="L459" s="53" t="n">
        <f aca="false">IF(AND(ISNUMBER($G459),$G459&gt;=21),STDEV(INDEX($H$399:$H459,62-20):$H459)*SQRT(245),"")</f>
        <v>0.220810813334609</v>
      </c>
      <c r="M459" s="52" t="n">
        <f aca="false">IF(AND(ISNUMBER($G459),$G459&gt;=60),MAX(INDEX($D$259:$D459,202-60):$D459),"")</f>
        <v>7893</v>
      </c>
      <c r="N459" s="52" t="n">
        <f aca="false">IF(AND(ISNUMBER($G459),$G459&gt;=60),MIN(INDEX($E$259:$E459,202-60):$E459),"")</f>
        <v>6258</v>
      </c>
      <c r="O459" s="53" t="n">
        <f aca="false">IF(OR(NOT(ISNUMBER($C459)),NOT(ISNUMBER($M459)),$M459=0),"",$C459/$M459-1)</f>
        <v>-0.0779171417711897</v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7271</v>
      </c>
      <c r="D460" s="49" t="n">
        <v>7313</v>
      </c>
      <c r="E460" s="49" t="n">
        <v>7230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-0.000961802693047575</v>
      </c>
      <c r="I460" s="52" t="n">
        <f aca="false">IF(AND(ISNUMBER($G460),$G460&gt;=MA_SHORT),AVERAGE(INDEX($C$60:$C460,402-MA_SHORT):$C460),"")</f>
        <v>7549.7</v>
      </c>
      <c r="J460" s="52" t="n">
        <f aca="false">IF(AND(ISNUMBER($G460),$G460&gt;=MA_MED),AVERAGE(INDEX($C$60:$C460,402-MA_MED):$C460),"")</f>
        <v>7047.42</v>
      </c>
      <c r="K460" s="52" t="n">
        <f aca="false">IF(AND(ISNUMBER($G460),$G460&gt;=MA_LONG2),AVERAGE(INDEX($C$60:$C460,402-MA_LONG2):$C460),"")</f>
        <v>6552</v>
      </c>
      <c r="L460" s="53" t="n">
        <f aca="false">IF(AND(ISNUMBER($G460),$G460&gt;=21),STDEV(INDEX($H$400:$H460,62-20):$H460)*SQRT(245),"")</f>
        <v>0.205524724403965</v>
      </c>
      <c r="M460" s="52" t="n">
        <f aca="false">IF(AND(ISNUMBER($G460),$G460&gt;=60),MAX(INDEX($D$260:$D460,202-60):$D460),"")</f>
        <v>7893</v>
      </c>
      <c r="N460" s="52" t="n">
        <f aca="false">IF(AND(ISNUMBER($G460),$G460&gt;=60),MIN(INDEX($E$260:$E460,202-60):$E460),"")</f>
        <v>6258</v>
      </c>
      <c r="O460" s="53" t="n">
        <f aca="false">IF(OR(NOT(ISNUMBER($C460)),NOT(ISNUMBER($M460)),$M460=0),"",$C460/$M460-1)</f>
        <v>-0.0788040035474471</v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7099</v>
      </c>
      <c r="D461" s="49" t="n">
        <v>7127</v>
      </c>
      <c r="E461" s="49" t="n">
        <v>7047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-0.0236556182093247</v>
      </c>
      <c r="I461" s="52" t="n">
        <f aca="false">IF(AND(ISNUMBER($G461),$G461&gt;=MA_SHORT),AVERAGE(INDEX($C$61:$C461,402-MA_SHORT):$C461),"")</f>
        <v>7528.8</v>
      </c>
      <c r="J461" s="52" t="n">
        <f aca="false">IF(AND(ISNUMBER($G461),$G461&gt;=MA_MED),AVERAGE(INDEX($C$61:$C461,402-MA_MED):$C461),"")</f>
        <v>7060.76</v>
      </c>
      <c r="K461" s="52" t="n">
        <f aca="false">IF(AND(ISNUMBER($G461),$G461&gt;=MA_LONG2),AVERAGE(INDEX($C$61:$C461,402-MA_LONG2):$C461),"")</f>
        <v>6561.77</v>
      </c>
      <c r="L461" s="53" t="n">
        <f aca="false">IF(AND(ISNUMBER($G461),$G461&gt;=21),STDEV(INDEX($H$401:$H461,62-20):$H461)*SQRT(245),"")</f>
        <v>0.217862230013093</v>
      </c>
      <c r="M461" s="52" t="n">
        <f aca="false">IF(AND(ISNUMBER($G461),$G461&gt;=60),MAX(INDEX($D$261:$D461,202-60):$D461),"")</f>
        <v>7893</v>
      </c>
      <c r="N461" s="52" t="n">
        <f aca="false">IF(AND(ISNUMBER($G461),$G461&gt;=60),MIN(INDEX($E$261:$E461,202-60):$E461),"")</f>
        <v>6258</v>
      </c>
      <c r="O461" s="53" t="n">
        <f aca="false">IF(OR(NOT(ISNUMBER($C461)),NOT(ISNUMBER($M461)),$M461=0),"",$C461/$M461-1)</f>
        <v>-0.100595464335487</v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7125</v>
      </c>
      <c r="D462" s="49" t="n">
        <v>7145</v>
      </c>
      <c r="E462" s="49" t="n">
        <v>7090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0.00366248767432031</v>
      </c>
      <c r="I462" s="52" t="n">
        <f aca="false">IF(AND(ISNUMBER($G462),$G462&gt;=MA_SHORT),AVERAGE(INDEX($C$62:$C462,402-MA_SHORT):$C462),"")</f>
        <v>7513.7</v>
      </c>
      <c r="J462" s="52" t="n">
        <f aca="false">IF(AND(ISNUMBER($G462),$G462&gt;=MA_MED),AVERAGE(INDEX($C$62:$C462,402-MA_MED):$C462),"")</f>
        <v>7072.68</v>
      </c>
      <c r="K462" s="52" t="n">
        <f aca="false">IF(AND(ISNUMBER($G462),$G462&gt;=MA_LONG2),AVERAGE(INDEX($C$62:$C462,402-MA_LONG2):$C462),"")</f>
        <v>6571.28</v>
      </c>
      <c r="L462" s="53" t="n">
        <f aca="false">IF(AND(ISNUMBER($G462),$G462&gt;=21),STDEV(INDEX($H$402:$H462,62-20):$H462)*SQRT(245),"")</f>
        <v>0.216207353392223</v>
      </c>
      <c r="M462" s="52" t="n">
        <f aca="false">IF(AND(ISNUMBER($G462),$G462&gt;=60),MAX(INDEX($D$262:$D462,202-60):$D462),"")</f>
        <v>7893</v>
      </c>
      <c r="N462" s="52" t="n">
        <f aca="false">IF(AND(ISNUMBER($G462),$G462&gt;=60),MIN(INDEX($E$262:$E462,202-60):$E462),"")</f>
        <v>6258</v>
      </c>
      <c r="O462" s="53" t="n">
        <f aca="false">IF(OR(NOT(ISNUMBER($C462)),NOT(ISNUMBER($M462)),$M462=0),"",$C462/$M462-1)</f>
        <v>-0.0973014063093881</v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7183</v>
      </c>
      <c r="D463" s="49" t="n">
        <v>7204</v>
      </c>
      <c r="E463" s="49" t="n">
        <v>7158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0.00814035087719289</v>
      </c>
      <c r="I463" s="52" t="n">
        <f aca="false">IF(AND(ISNUMBER($G463),$G463&gt;=MA_SHORT),AVERAGE(INDEX($C$63:$C463,402-MA_SHORT):$C463),"")</f>
        <v>7498.45</v>
      </c>
      <c r="J463" s="52" t="n">
        <f aca="false">IF(AND(ISNUMBER($G463),$G463&gt;=MA_MED),AVERAGE(INDEX($C$63:$C463,402-MA_MED):$C463),"")</f>
        <v>7086.06</v>
      </c>
      <c r="K463" s="52" t="n">
        <f aca="false">IF(AND(ISNUMBER($G463),$G463&gt;=MA_LONG2),AVERAGE(INDEX($C$63:$C463,402-MA_LONG2):$C463),"")</f>
        <v>6580.84</v>
      </c>
      <c r="L463" s="53" t="n">
        <f aca="false">IF(AND(ISNUMBER($G463),$G463&gt;=21),STDEV(INDEX($H$403:$H463,62-20):$H463)*SQRT(245),"")</f>
        <v>0.216163153616991</v>
      </c>
      <c r="M463" s="52" t="n">
        <f aca="false">IF(AND(ISNUMBER($G463),$G463&gt;=60),MAX(INDEX($D$263:$D463,202-60):$D463),"")</f>
        <v>7893</v>
      </c>
      <c r="N463" s="52" t="n">
        <f aca="false">IF(AND(ISNUMBER($G463),$G463&gt;=60),MIN(INDEX($E$263:$E463,202-60):$E463),"")</f>
        <v>6306</v>
      </c>
      <c r="O463" s="53" t="n">
        <f aca="false">IF(OR(NOT(ISNUMBER($C463)),NOT(ISNUMBER($M463)),$M463=0),"",$C463/$M463-1)</f>
        <v>-0.0899531230203978</v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7142</v>
      </c>
      <c r="D464" s="49" t="n">
        <v>7165</v>
      </c>
      <c r="E464" s="49" t="n">
        <v>7128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-0.00570792148127519</v>
      </c>
      <c r="I464" s="52" t="n">
        <f aca="false">IF(AND(ISNUMBER($G464),$G464&gt;=MA_SHORT),AVERAGE(INDEX($C$64:$C464,402-MA_SHORT):$C464),"")</f>
        <v>7483.05</v>
      </c>
      <c r="J464" s="52" t="n">
        <f aca="false">IF(AND(ISNUMBER($G464),$G464&gt;=MA_MED),AVERAGE(INDEX($C$64:$C464,402-MA_MED):$C464),"")</f>
        <v>7096.46</v>
      </c>
      <c r="K464" s="52" t="n">
        <f aca="false">IF(AND(ISNUMBER($G464),$G464&gt;=MA_LONG2),AVERAGE(INDEX($C$64:$C464,402-MA_LONG2):$C464),"")</f>
        <v>6590.38</v>
      </c>
      <c r="L464" s="53" t="n">
        <f aca="false">IF(AND(ISNUMBER($G464),$G464&gt;=21),STDEV(INDEX($H$404:$H464,62-20):$H464)*SQRT(245),"")</f>
        <v>0.216291113637968</v>
      </c>
      <c r="M464" s="52" t="n">
        <f aca="false">IF(AND(ISNUMBER($G464),$G464&gt;=60),MAX(INDEX($D$264:$D464,202-60):$D464),"")</f>
        <v>7893</v>
      </c>
      <c r="N464" s="52" t="n">
        <f aca="false">IF(AND(ISNUMBER($G464),$G464&gt;=60),MIN(INDEX($E$264:$E464,202-60):$E464),"")</f>
        <v>6332</v>
      </c>
      <c r="O464" s="53" t="n">
        <f aca="false">IF(OR(NOT(ISNUMBER($C464)),NOT(ISNUMBER($M464)),$M464=0),"",$C464/$M464-1)</f>
        <v>-0.0951475991384772</v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7047</v>
      </c>
      <c r="D465" s="49" t="n">
        <v>7076</v>
      </c>
      <c r="E465" s="49" t="n">
        <v>7024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-0.013301596191543</v>
      </c>
      <c r="I465" s="52" t="n">
        <f aca="false">IF(AND(ISNUMBER($G465),$G465&gt;=MA_SHORT),AVERAGE(INDEX($C$65:$C465,402-MA_SHORT):$C465),"")</f>
        <v>7463.85</v>
      </c>
      <c r="J465" s="52" t="n">
        <f aca="false">IF(AND(ISNUMBER($G465),$G465&gt;=MA_MED),AVERAGE(INDEX($C$65:$C465,402-MA_MED):$C465),"")</f>
        <v>7102.88</v>
      </c>
      <c r="K465" s="52" t="n">
        <f aca="false">IF(AND(ISNUMBER($G465),$G465&gt;=MA_LONG2),AVERAGE(INDEX($C$65:$C465,402-MA_LONG2):$C465),"")</f>
        <v>6599.27</v>
      </c>
      <c r="L465" s="53" t="n">
        <f aca="false">IF(AND(ISNUMBER($G465),$G465&gt;=21),STDEV(INDEX($H$405:$H465,62-20):$H465)*SQRT(245),"")</f>
        <v>0.219875821722084</v>
      </c>
      <c r="M465" s="52" t="n">
        <f aca="false">IF(AND(ISNUMBER($G465),$G465&gt;=60),MAX(INDEX($D$265:$D465,202-60):$D465),"")</f>
        <v>7893</v>
      </c>
      <c r="N465" s="52" t="n">
        <f aca="false">IF(AND(ISNUMBER($G465),$G465&gt;=60),MIN(INDEX($E$265:$E465,202-60):$E465),"")</f>
        <v>6332</v>
      </c>
      <c r="O465" s="53" t="n">
        <f aca="false">IF(OR(NOT(ISNUMBER($C465)),NOT(ISNUMBER($M465)),$M465=0),"",$C465/$M465-1)</f>
        <v>-0.107183580387685</v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7212</v>
      </c>
      <c r="D466" s="49" t="n">
        <v>7223</v>
      </c>
      <c r="E466" s="49" t="n">
        <v>7199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0.0234142188165176</v>
      </c>
      <c r="I466" s="52" t="n">
        <f aca="false">IF(AND(ISNUMBER($G466),$G466&gt;=MA_SHORT),AVERAGE(INDEX($C$66:$C466,402-MA_SHORT):$C466),"")</f>
        <v>7450.05</v>
      </c>
      <c r="J466" s="52" t="n">
        <f aca="false">IF(AND(ISNUMBER($G466),$G466&gt;=MA_MED),AVERAGE(INDEX($C$66:$C466,402-MA_MED):$C466),"")</f>
        <v>7115.78</v>
      </c>
      <c r="K466" s="52" t="n">
        <f aca="false">IF(AND(ISNUMBER($G466),$G466&gt;=MA_LONG2),AVERAGE(INDEX($C$66:$C466,402-MA_LONG2):$C466),"")</f>
        <v>6608.855</v>
      </c>
      <c r="L466" s="53" t="n">
        <f aca="false">IF(AND(ISNUMBER($G466),$G466&gt;=21),STDEV(INDEX($H$406:$H466,62-20):$H466)*SQRT(245),"")</f>
        <v>0.235656047268974</v>
      </c>
      <c r="M466" s="52" t="n">
        <f aca="false">IF(AND(ISNUMBER($G466),$G466&gt;=60),MAX(INDEX($D$266:$D466,202-60):$D466),"")</f>
        <v>7893</v>
      </c>
      <c r="N466" s="52" t="n">
        <f aca="false">IF(AND(ISNUMBER($G466),$G466&gt;=60),MIN(INDEX($E$266:$E466,202-60):$E466),"")</f>
        <v>6332</v>
      </c>
      <c r="O466" s="53" t="n">
        <f aca="false">IF(OR(NOT(ISNUMBER($C466)),NOT(ISNUMBER($M466)),$M466=0),"",$C466/$M466-1)</f>
        <v>-0.0862789813759027</v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7247</v>
      </c>
      <c r="D467" s="49" t="n">
        <v>7275</v>
      </c>
      <c r="E467" s="49" t="n">
        <v>7247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0.00485302273987798</v>
      </c>
      <c r="I467" s="52" t="n">
        <f aca="false">IF(AND(ISNUMBER($G467),$G467&gt;=MA_SHORT),AVERAGE(INDEX($C$67:$C467,402-MA_SHORT):$C467),"")</f>
        <v>7438.9</v>
      </c>
      <c r="J467" s="52" t="n">
        <f aca="false">IF(AND(ISNUMBER($G467),$G467&gt;=MA_MED),AVERAGE(INDEX($C$67:$C467,402-MA_MED):$C467),"")</f>
        <v>7131.12</v>
      </c>
      <c r="K467" s="52" t="n">
        <f aca="false">IF(AND(ISNUMBER($G467),$G467&gt;=MA_LONG2),AVERAGE(INDEX($C$67:$C467,402-MA_LONG2):$C467),"")</f>
        <v>6618.35</v>
      </c>
      <c r="L467" s="53" t="n">
        <f aca="false">IF(AND(ISNUMBER($G467),$G467&gt;=21),STDEV(INDEX($H$407:$H467,62-20):$H467)*SQRT(245),"")</f>
        <v>0.236769897252934</v>
      </c>
      <c r="M467" s="52" t="n">
        <f aca="false">IF(AND(ISNUMBER($G467),$G467&gt;=60),MAX(INDEX($D$267:$D467,202-60):$D467),"")</f>
        <v>7893</v>
      </c>
      <c r="N467" s="52" t="n">
        <f aca="false">IF(AND(ISNUMBER($G467),$G467&gt;=60),MIN(INDEX($E$267:$E467,202-60):$E467),"")</f>
        <v>6332</v>
      </c>
      <c r="O467" s="53" t="n">
        <f aca="false">IF(OR(NOT(ISNUMBER($C467)),NOT(ISNUMBER($M467)),$M467=0),"",$C467/$M467-1)</f>
        <v>-0.0818446724946155</v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7254</v>
      </c>
      <c r="D468" s="49" t="n">
        <v>7268</v>
      </c>
      <c r="E468" s="49" t="n">
        <v>7211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0.000965916931144006</v>
      </c>
      <c r="I468" s="52" t="n">
        <f aca="false">IF(AND(ISNUMBER($G468),$G468&gt;=MA_SHORT),AVERAGE(INDEX($C$68:$C468,402-MA_SHORT):$C468),"")</f>
        <v>7422.8</v>
      </c>
      <c r="J468" s="52" t="n">
        <f aca="false">IF(AND(ISNUMBER($G468),$G468&gt;=MA_MED),AVERAGE(INDEX($C$68:$C468,402-MA_MED):$C468),"")</f>
        <v>7148.38</v>
      </c>
      <c r="K468" s="52" t="n">
        <f aca="false">IF(AND(ISNUMBER($G468),$G468&gt;=MA_LONG2),AVERAGE(INDEX($C$68:$C468,402-MA_LONG2):$C468),"")</f>
        <v>6627.37</v>
      </c>
      <c r="L468" s="53" t="n">
        <f aca="false">IF(AND(ISNUMBER($G468),$G468&gt;=21),STDEV(INDEX($H$408:$H468,62-20):$H468)*SQRT(245),"")</f>
        <v>0.229963896411408</v>
      </c>
      <c r="M468" s="52" t="n">
        <f aca="false">IF(AND(ISNUMBER($G468),$G468&gt;=60),MAX(INDEX($D$268:$D468,202-60):$D468),"")</f>
        <v>7893</v>
      </c>
      <c r="N468" s="52" t="n">
        <f aca="false">IF(AND(ISNUMBER($G468),$G468&gt;=60),MIN(INDEX($E$268:$E468,202-60):$E468),"")</f>
        <v>6332</v>
      </c>
      <c r="O468" s="53" t="n">
        <f aca="false">IF(OR(NOT(ISNUMBER($C468)),NOT(ISNUMBER($M468)),$M468=0),"",$C468/$M468-1)</f>
        <v>-0.0809578107183581</v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7248</v>
      </c>
      <c r="D469" s="49" t="n">
        <v>7253</v>
      </c>
      <c r="E469" s="49" t="n">
        <v>7202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-0.000827129859387932</v>
      </c>
      <c r="I469" s="52" t="n">
        <f aca="false">IF(AND(ISNUMBER($G469),$G469&gt;=MA_SHORT),AVERAGE(INDEX($C$69:$C469,402-MA_SHORT):$C469),"")</f>
        <v>7406.7</v>
      </c>
      <c r="J469" s="52" t="n">
        <f aca="false">IF(AND(ISNUMBER($G469),$G469&gt;=MA_MED),AVERAGE(INDEX($C$69:$C469,402-MA_MED):$C469),"")</f>
        <v>7165.18</v>
      </c>
      <c r="K469" s="52" t="n">
        <f aca="false">IF(AND(ISNUMBER($G469),$G469&gt;=MA_LONG2),AVERAGE(INDEX($C$69:$C469,402-MA_LONG2):$C469),"")</f>
        <v>6636.385</v>
      </c>
      <c r="L469" s="53" t="n">
        <f aca="false">IF(AND(ISNUMBER($G469),$G469&gt;=21),STDEV(INDEX($H$409:$H469,62-20):$H469)*SQRT(245),"")</f>
        <v>0.229961416120744</v>
      </c>
      <c r="M469" s="52" t="n">
        <f aca="false">IF(AND(ISNUMBER($G469),$G469&gt;=60),MAX(INDEX($D$269:$D469,202-60):$D469),"")</f>
        <v>7893</v>
      </c>
      <c r="N469" s="52" t="n">
        <f aca="false">IF(AND(ISNUMBER($G469),$G469&gt;=60),MIN(INDEX($E$269:$E469,202-60):$E469),"")</f>
        <v>6332</v>
      </c>
      <c r="O469" s="53" t="n">
        <f aca="false">IF(OR(NOT(ISNUMBER($C469)),NOT(ISNUMBER($M469)),$M469=0),"",$C469/$M469-1)</f>
        <v>-0.0817179779551501</v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7273</v>
      </c>
      <c r="D470" s="49" t="n">
        <v>7277</v>
      </c>
      <c r="E470" s="49" t="n">
        <v>7251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0.00344922737306841</v>
      </c>
      <c r="I470" s="52" t="n">
        <f aca="false">IF(AND(ISNUMBER($G470),$G470&gt;=MA_SHORT),AVERAGE(INDEX($C$70:$C470,402-MA_SHORT):$C470),"")</f>
        <v>7386.3</v>
      </c>
      <c r="J470" s="52" t="n">
        <f aca="false">IF(AND(ISNUMBER($G470),$G470&gt;=MA_MED),AVERAGE(INDEX($C$70:$C470,402-MA_MED):$C470),"")</f>
        <v>7180.94</v>
      </c>
      <c r="K470" s="52" t="n">
        <f aca="false">IF(AND(ISNUMBER($G470),$G470&gt;=MA_LONG2),AVERAGE(INDEX($C$70:$C470,402-MA_LONG2):$C470),"")</f>
        <v>6645.8</v>
      </c>
      <c r="L470" s="53" t="n">
        <f aca="false">IF(AND(ISNUMBER($G470),$G470&gt;=21),STDEV(INDEX($H$410:$H470,62-20):$H470)*SQRT(245),"")</f>
        <v>0.222674338360092</v>
      </c>
      <c r="M470" s="52" t="n">
        <f aca="false">IF(AND(ISNUMBER($G470),$G470&gt;=60),MAX(INDEX($D$270:$D470,202-60):$D470),"")</f>
        <v>7893</v>
      </c>
      <c r="N470" s="52" t="n">
        <f aca="false">IF(AND(ISNUMBER($G470),$G470&gt;=60),MIN(INDEX($E$270:$E470,202-60):$E470),"")</f>
        <v>6332</v>
      </c>
      <c r="O470" s="53" t="n">
        <f aca="false">IF(OR(NOT(ISNUMBER($C470)),NOT(ISNUMBER($M470)),$M470=0),"",$C470/$M470-1)</f>
        <v>-0.0785506144685164</v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7289</v>
      </c>
      <c r="D471" s="49" t="n">
        <v>7298</v>
      </c>
      <c r="E471" s="49" t="n">
        <v>7267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0.00219991750309356</v>
      </c>
      <c r="I471" s="52" t="n">
        <f aca="false">IF(AND(ISNUMBER($G471),$G471&gt;=MA_SHORT),AVERAGE(INDEX($C$71:$C471,402-MA_SHORT):$C471),"")</f>
        <v>7368.65</v>
      </c>
      <c r="J471" s="52" t="n">
        <f aca="false">IF(AND(ISNUMBER($G471),$G471&gt;=MA_MED),AVERAGE(INDEX($C$71:$C471,402-MA_MED):$C471),"")</f>
        <v>7195.96</v>
      </c>
      <c r="K471" s="52" t="n">
        <f aca="false">IF(AND(ISNUMBER($G471),$G471&gt;=MA_LONG2),AVERAGE(INDEX($C$71:$C471,402-MA_LONG2):$C471),"")</f>
        <v>6655.32</v>
      </c>
      <c r="L471" s="53" t="n">
        <f aca="false">IF(AND(ISNUMBER($G471),$G471&gt;=21),STDEV(INDEX($H$411:$H471,62-20):$H471)*SQRT(245),"")</f>
        <v>0.223098997930116</v>
      </c>
      <c r="M471" s="52" t="n">
        <f aca="false">IF(AND(ISNUMBER($G471),$G471&gt;=60),MAX(INDEX($D$271:$D471,202-60):$D471),"")</f>
        <v>7893</v>
      </c>
      <c r="N471" s="52" t="n">
        <f aca="false">IF(AND(ISNUMBER($G471),$G471&gt;=60),MIN(INDEX($E$271:$E471,202-60):$E471),"")</f>
        <v>6332</v>
      </c>
      <c r="O471" s="53" t="n">
        <f aca="false">IF(OR(NOT(ISNUMBER($C471)),NOT(ISNUMBER($M471)),$M471=0),"",$C471/$M471-1)</f>
        <v>-0.0765235018370708</v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7176</v>
      </c>
      <c r="D472" s="49" t="n">
        <v>7179</v>
      </c>
      <c r="E472" s="49" t="n">
        <v>7146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-0.0155028124571271</v>
      </c>
      <c r="I472" s="52" t="n">
        <f aca="false">IF(AND(ISNUMBER($G472),$G472&gt;=MA_SHORT),AVERAGE(INDEX($C$72:$C472,402-MA_SHORT):$C472),"")</f>
        <v>7334.05</v>
      </c>
      <c r="J472" s="52" t="n">
        <f aca="false">IF(AND(ISNUMBER($G472),$G472&gt;=MA_MED),AVERAGE(INDEX($C$72:$C472,402-MA_MED):$C472),"")</f>
        <v>7209.36</v>
      </c>
      <c r="K472" s="52" t="n">
        <f aca="false">IF(AND(ISNUMBER($G472),$G472&gt;=MA_LONG2),AVERAGE(INDEX($C$72:$C472,402-MA_LONG2):$C472),"")</f>
        <v>6664.3</v>
      </c>
      <c r="L472" s="53" t="n">
        <f aca="false">IF(AND(ISNUMBER($G472),$G472&gt;=21),STDEV(INDEX($H$412:$H472,62-20):$H472)*SQRT(245),"")</f>
        <v>0.194038812984328</v>
      </c>
      <c r="M472" s="52" t="n">
        <f aca="false">IF(AND(ISNUMBER($G472),$G472&gt;=60),MAX(INDEX($D$272:$D472,202-60):$D472),"")</f>
        <v>7893</v>
      </c>
      <c r="N472" s="52" t="n">
        <f aca="false">IF(AND(ISNUMBER($G472),$G472&gt;=60),MIN(INDEX($E$272:$E472,202-60):$E472),"")</f>
        <v>6332</v>
      </c>
      <c r="O472" s="53" t="n">
        <f aca="false">IF(OR(NOT(ISNUMBER($C472)),NOT(ISNUMBER($M472)),$M472=0),"",$C472/$M472-1)</f>
        <v>-0.0908399847966552</v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7290</v>
      </c>
      <c r="D473" s="49" t="n">
        <v>7338</v>
      </c>
      <c r="E473" s="49" t="n">
        <v>7255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0.015886287625418</v>
      </c>
      <c r="I473" s="52" t="n">
        <f aca="false">IF(AND(ISNUMBER($G473),$G473&gt;=MA_SHORT),AVERAGE(INDEX($C$73:$C473,402-MA_SHORT):$C473),"")</f>
        <v>7309.8</v>
      </c>
      <c r="J473" s="52" t="n">
        <f aca="false">IF(AND(ISNUMBER($G473),$G473&gt;=MA_MED),AVERAGE(INDEX($C$73:$C473,402-MA_MED):$C473),"")</f>
        <v>7228.2</v>
      </c>
      <c r="K473" s="52" t="n">
        <f aca="false">IF(AND(ISNUMBER($G473),$G473&gt;=MA_LONG2),AVERAGE(INDEX($C$73:$C473,402-MA_LONG2):$C473),"")</f>
        <v>6673.4</v>
      </c>
      <c r="L473" s="53" t="n">
        <f aca="false">IF(AND(ISNUMBER($G473),$G473&gt;=21),STDEV(INDEX($H$413:$H473,62-20):$H473)*SQRT(245),"")</f>
        <v>0.204543505178412</v>
      </c>
      <c r="M473" s="52" t="n">
        <f aca="false">IF(AND(ISNUMBER($G473),$G473&gt;=60),MAX(INDEX($D$273:$D473,202-60):$D473),"")</f>
        <v>7893</v>
      </c>
      <c r="N473" s="52" t="n">
        <f aca="false">IF(AND(ISNUMBER($G473),$G473&gt;=60),MIN(INDEX($E$273:$E473,202-60):$E473),"")</f>
        <v>6332</v>
      </c>
      <c r="O473" s="53" t="n">
        <f aca="false">IF(OR(NOT(ISNUMBER($C473)),NOT(ISNUMBER($M473)),$M473=0),"",$C473/$M473-1)</f>
        <v>-0.0763968072976055</v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7286</v>
      </c>
      <c r="D474" s="49" t="n">
        <v>7293</v>
      </c>
      <c r="E474" s="49" t="n">
        <v>7266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-0.000548696844993146</v>
      </c>
      <c r="I474" s="52" t="n">
        <f aca="false">IF(AND(ISNUMBER($G474),$G474&gt;=MA_SHORT),AVERAGE(INDEX($C$74:$C474,402-MA_SHORT):$C474),"")</f>
        <v>7291.8</v>
      </c>
      <c r="J474" s="52" t="n">
        <f aca="false">IF(AND(ISNUMBER($G474),$G474&gt;=MA_MED),AVERAGE(INDEX($C$74:$C474,402-MA_MED):$C474),"")</f>
        <v>7245.6</v>
      </c>
      <c r="K474" s="52" t="n">
        <f aca="false">IF(AND(ISNUMBER($G474),$G474&gt;=MA_LONG2),AVERAGE(INDEX($C$74:$C474,402-MA_LONG2):$C474),"")</f>
        <v>6681.91</v>
      </c>
      <c r="L474" s="53" t="n">
        <f aca="false">IF(AND(ISNUMBER($G474),$G474&gt;=21),STDEV(INDEX($H$414:$H474,62-20):$H474)*SQRT(245),"")</f>
        <v>0.198552111251602</v>
      </c>
      <c r="M474" s="52" t="n">
        <f aca="false">IF(AND(ISNUMBER($G474),$G474&gt;=60),MAX(INDEX($D$274:$D474,202-60):$D474),"")</f>
        <v>7893</v>
      </c>
      <c r="N474" s="52" t="n">
        <f aca="false">IF(AND(ISNUMBER($G474),$G474&gt;=60),MIN(INDEX($E$274:$E474,202-60):$E474),"")</f>
        <v>6332</v>
      </c>
      <c r="O474" s="53" t="n">
        <f aca="false">IF(OR(NOT(ISNUMBER($C474)),NOT(ISNUMBER($M474)),$M474=0),"",$C474/$M474-1)</f>
        <v>-0.0769035854554668</v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7096</v>
      </c>
      <c r="D475" s="49" t="n">
        <v>7107</v>
      </c>
      <c r="E475" s="49" t="n">
        <v>7077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-0.0260774087290695</v>
      </c>
      <c r="I475" s="52" t="n">
        <f aca="false">IF(AND(ISNUMBER($G475),$G475&gt;=MA_SHORT),AVERAGE(INDEX($C$75:$C475,402-MA_SHORT):$C475),"")</f>
        <v>7260.4</v>
      </c>
      <c r="J475" s="52" t="n">
        <f aca="false">IF(AND(ISNUMBER($G475),$G475&gt;=MA_MED),AVERAGE(INDEX($C$75:$C475,402-MA_MED):$C475),"")</f>
        <v>7258.06</v>
      </c>
      <c r="K475" s="52" t="n">
        <f aca="false">IF(AND(ISNUMBER($G475),$G475&gt;=MA_LONG2),AVERAGE(INDEX($C$75:$C475,402-MA_LONG2):$C475),"")</f>
        <v>6689.405</v>
      </c>
      <c r="L475" s="53" t="n">
        <f aca="false">IF(AND(ISNUMBER($G475),$G475&gt;=21),STDEV(INDEX($H$415:$H475,62-20):$H475)*SQRT(245),"")</f>
        <v>0.209331234178159</v>
      </c>
      <c r="M475" s="52" t="n">
        <f aca="false">IF(AND(ISNUMBER($G475),$G475&gt;=60),MAX(INDEX($D$275:$D475,202-60):$D475),"")</f>
        <v>7893</v>
      </c>
      <c r="N475" s="52" t="n">
        <f aca="false">IF(AND(ISNUMBER($G475),$G475&gt;=60),MIN(INDEX($E$275:$E475,202-60):$E475),"")</f>
        <v>6332</v>
      </c>
      <c r="O475" s="53" t="n">
        <f aca="false">IF(OR(NOT(ISNUMBER($C475)),NOT(ISNUMBER($M475)),$M475=0),"",$C475/$M475-1)</f>
        <v>-0.100975547953883</v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7209</v>
      </c>
      <c r="D476" s="49" t="n">
        <v>7229</v>
      </c>
      <c r="E476" s="49" t="n">
        <v>7204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0.0159244644870349</v>
      </c>
      <c r="I476" s="52" t="n">
        <f aca="false">IF(AND(ISNUMBER($G476),$G476&gt;=MA_SHORT),AVERAGE(INDEX($C$76:$C476,402-MA_SHORT):$C476),"")</f>
        <v>7235.55</v>
      </c>
      <c r="J476" s="52" t="n">
        <f aca="false">IF(AND(ISNUMBER($G476),$G476&gt;=MA_MED),AVERAGE(INDEX($C$76:$C476,402-MA_MED):$C476),"")</f>
        <v>7269.18</v>
      </c>
      <c r="K476" s="52" t="n">
        <f aca="false">IF(AND(ISNUMBER($G476),$G476&gt;=MA_LONG2),AVERAGE(INDEX($C$76:$C476,402-MA_LONG2):$C476),"")</f>
        <v>6697.51</v>
      </c>
      <c r="L476" s="53" t="n">
        <f aca="false">IF(AND(ISNUMBER($G476),$G476&gt;=21),STDEV(INDEX($H$416:$H476,62-20):$H476)*SQRT(245),"")</f>
        <v>0.22080852057335</v>
      </c>
      <c r="M476" s="52" t="n">
        <f aca="false">IF(AND(ISNUMBER($G476),$G476&gt;=60),MAX(INDEX($D$276:$D476,202-60):$D476),"")</f>
        <v>7893</v>
      </c>
      <c r="N476" s="52" t="n">
        <f aca="false">IF(AND(ISNUMBER($G476),$G476&gt;=60),MIN(INDEX($E$276:$E476,202-60):$E476),"")</f>
        <v>6332</v>
      </c>
      <c r="O476" s="53" t="n">
        <f aca="false">IF(OR(NOT(ISNUMBER($C476)),NOT(ISNUMBER($M476)),$M476=0),"",$C476/$M476-1)</f>
        <v>-0.0866590649942988</v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7285</v>
      </c>
      <c r="D477" s="49" t="n">
        <v>7292</v>
      </c>
      <c r="E477" s="49" t="n">
        <v>7264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0.010542377583576</v>
      </c>
      <c r="I477" s="52" t="n">
        <f aca="false">IF(AND(ISNUMBER($G477),$G477&gt;=MA_SHORT),AVERAGE(INDEX($C$77:$C477,402-MA_SHORT):$C477),"")</f>
        <v>7222.75</v>
      </c>
      <c r="J477" s="52" t="n">
        <f aca="false">IF(AND(ISNUMBER($G477),$G477&gt;=MA_MED),AVERAGE(INDEX($C$77:$C477,402-MA_MED):$C477),"")</f>
        <v>7280.98</v>
      </c>
      <c r="K477" s="52" t="n">
        <f aca="false">IF(AND(ISNUMBER($G477),$G477&gt;=MA_LONG2),AVERAGE(INDEX($C$77:$C477,402-MA_LONG2):$C477),"")</f>
        <v>6705.73</v>
      </c>
      <c r="L477" s="53" t="n">
        <f aca="false">IF(AND(ISNUMBER($G477),$G477&gt;=21),STDEV(INDEX($H$417:$H477,62-20):$H477)*SQRT(245),"")</f>
        <v>0.215136400106132</v>
      </c>
      <c r="M477" s="52" t="n">
        <f aca="false">IF(AND(ISNUMBER($G477),$G477&gt;=60),MAX(INDEX($D$277:$D477,202-60):$D477),"")</f>
        <v>7893</v>
      </c>
      <c r="N477" s="52" t="n">
        <f aca="false">IF(AND(ISNUMBER($G477),$G477&gt;=60),MIN(INDEX($E$277:$E477,202-60):$E477),"")</f>
        <v>6332</v>
      </c>
      <c r="O477" s="53" t="n">
        <f aca="false">IF(OR(NOT(ISNUMBER($C477)),NOT(ISNUMBER($M477)),$M477=0),"",$C477/$M477-1)</f>
        <v>-0.0770302799949322</v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7195</v>
      </c>
      <c r="D478" s="49" t="n">
        <v>7220</v>
      </c>
      <c r="E478" s="49" t="n">
        <v>7148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-0.0123541523678792</v>
      </c>
      <c r="I478" s="52" t="n">
        <f aca="false">IF(AND(ISNUMBER($G478),$G478&gt;=MA_SHORT),AVERAGE(INDEX($C$78:$C478,402-MA_SHORT):$C478),"")</f>
        <v>7210.25</v>
      </c>
      <c r="J478" s="52" t="n">
        <f aca="false">IF(AND(ISNUMBER($G478),$G478&gt;=MA_MED),AVERAGE(INDEX($C$78:$C478,402-MA_MED):$C478),"")</f>
        <v>7288.64</v>
      </c>
      <c r="K478" s="52" t="n">
        <f aca="false">IF(AND(ISNUMBER($G478),$G478&gt;=MA_LONG2),AVERAGE(INDEX($C$78:$C478,402-MA_LONG2):$C478),"")</f>
        <v>6713.125</v>
      </c>
      <c r="L478" s="53" t="n">
        <f aca="false">IF(AND(ISNUMBER($G478),$G478&gt;=21),STDEV(INDEX($H$418:$H478,62-20):$H478)*SQRT(245),"")</f>
        <v>0.214890075618922</v>
      </c>
      <c r="M478" s="52" t="n">
        <f aca="false">IF(AND(ISNUMBER($G478),$G478&gt;=60),MAX(INDEX($D$278:$D478,202-60):$D478),"")</f>
        <v>7893</v>
      </c>
      <c r="N478" s="52" t="n">
        <f aca="false">IF(AND(ISNUMBER($G478),$G478&gt;=60),MIN(INDEX($E$278:$E478,202-60):$E478),"")</f>
        <v>6332</v>
      </c>
      <c r="O478" s="53" t="n">
        <f aca="false">IF(OR(NOT(ISNUMBER($C478)),NOT(ISNUMBER($M478)),$M478=0),"",$C478/$M478-1)</f>
        <v>-0.0884327885468136</v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7030</v>
      </c>
      <c r="D479" s="49" t="n">
        <v>7042</v>
      </c>
      <c r="E479" s="49" t="n">
        <v>7024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-0.0229325920778318</v>
      </c>
      <c r="I479" s="52" t="n">
        <f aca="false">IF(AND(ISNUMBER($G479),$G479&gt;=MA_SHORT),AVERAGE(INDEX($C$79:$C479,402-MA_SHORT):$C479),"")</f>
        <v>7197.85</v>
      </c>
      <c r="J479" s="52" t="n">
        <f aca="false">IF(AND(ISNUMBER($G479),$G479&gt;=MA_MED),AVERAGE(INDEX($C$79:$C479,402-MA_MED):$C479),"")</f>
        <v>7294.88</v>
      </c>
      <c r="K479" s="52" t="n">
        <f aca="false">IF(AND(ISNUMBER($G479),$G479&gt;=MA_LONG2),AVERAGE(INDEX($C$79:$C479,402-MA_LONG2):$C479),"")</f>
        <v>6719.645</v>
      </c>
      <c r="L479" s="53" t="n">
        <f aca="false">IF(AND(ISNUMBER($G479),$G479&gt;=21),STDEV(INDEX($H$419:$H479,62-20):$H479)*SQRT(245),"")</f>
        <v>0.215522601961512</v>
      </c>
      <c r="M479" s="52" t="n">
        <f aca="false">IF(AND(ISNUMBER($G479),$G479&gt;=60),MAX(INDEX($D$279:$D479,202-60):$D479),"")</f>
        <v>7893</v>
      </c>
      <c r="N479" s="52" t="n">
        <f aca="false">IF(AND(ISNUMBER($G479),$G479&gt;=60),MIN(INDEX($E$279:$E479,202-60):$E479),"")</f>
        <v>6332</v>
      </c>
      <c r="O479" s="53" t="n">
        <f aca="false">IF(OR(NOT(ISNUMBER($C479)),NOT(ISNUMBER($M479)),$M479=0),"",$C479/$M479-1)</f>
        <v>-0.109337387558596</v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7127</v>
      </c>
      <c r="D480" s="49" t="n">
        <v>7148</v>
      </c>
      <c r="E480" s="49" t="n">
        <v>7106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0.0137980085348506</v>
      </c>
      <c r="I480" s="52" t="n">
        <f aca="false">IF(AND(ISNUMBER($G480),$G480&gt;=MA_SHORT),AVERAGE(INDEX($C$80:$C480,402-MA_SHORT):$C480),"")</f>
        <v>7190.65</v>
      </c>
      <c r="J480" s="52" t="n">
        <f aca="false">IF(AND(ISNUMBER($G480),$G480&gt;=MA_MED),AVERAGE(INDEX($C$80:$C480,402-MA_MED):$C480),"")</f>
        <v>7301.24</v>
      </c>
      <c r="K480" s="52" t="n">
        <f aca="false">IF(AND(ISNUMBER($G480),$G480&gt;=MA_LONG2),AVERAGE(INDEX($C$80:$C480,402-MA_LONG2):$C480),"")</f>
        <v>6726.485</v>
      </c>
      <c r="L480" s="53" t="n">
        <f aca="false">IF(AND(ISNUMBER($G480),$G480&gt;=21),STDEV(INDEX($H$420:$H480,62-20):$H480)*SQRT(245),"")</f>
        <v>0.222210333527659</v>
      </c>
      <c r="M480" s="52" t="n">
        <f aca="false">IF(AND(ISNUMBER($G480),$G480&gt;=60),MAX(INDEX($D$280:$D480,202-60):$D480),"")</f>
        <v>7893</v>
      </c>
      <c r="N480" s="52" t="n">
        <f aca="false">IF(AND(ISNUMBER($G480),$G480&gt;=60),MIN(INDEX($E$280:$E480,202-60):$E480),"")</f>
        <v>6332</v>
      </c>
      <c r="O480" s="53" t="n">
        <f aca="false">IF(OR(NOT(ISNUMBER($C480)),NOT(ISNUMBER($M480)),$M480=0),"",$C480/$M480-1)</f>
        <v>-0.0970480172304574</v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7084</v>
      </c>
      <c r="D481" s="49" t="n">
        <v>7126</v>
      </c>
      <c r="E481" s="49" t="n">
        <v>7047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-0.00603339413497961</v>
      </c>
      <c r="I481" s="52" t="n">
        <f aca="false">IF(AND(ISNUMBER($G481),$G481&gt;=MA_SHORT),AVERAGE(INDEX($C$81:$C481,402-MA_SHORT):$C481),"")</f>
        <v>7189.9</v>
      </c>
      <c r="J481" s="52" t="n">
        <f aca="false">IF(AND(ISNUMBER($G481),$G481&gt;=MA_MED),AVERAGE(INDEX($C$81:$C481,402-MA_MED):$C481),"")</f>
        <v>7309.62</v>
      </c>
      <c r="K481" s="52" t="n">
        <f aca="false">IF(AND(ISNUMBER($G481),$G481&gt;=MA_LONG2),AVERAGE(INDEX($C$81:$C481,402-MA_LONG2):$C481),"")</f>
        <v>6732.545</v>
      </c>
      <c r="L481" s="53" t="n">
        <f aca="false">IF(AND(ISNUMBER($G481),$G481&gt;=21),STDEV(INDEX($H$421:$H481,62-20):$H481)*SQRT(245),"")</f>
        <v>0.206981911837475</v>
      </c>
      <c r="M481" s="52" t="n">
        <f aca="false">IF(AND(ISNUMBER($G481),$G481&gt;=60),MAX(INDEX($D$281:$D481,202-60):$D481),"")</f>
        <v>7893</v>
      </c>
      <c r="N481" s="52" t="n">
        <f aca="false">IF(AND(ISNUMBER($G481),$G481&gt;=60),MIN(INDEX($E$281:$E481,202-60):$E481),"")</f>
        <v>6332</v>
      </c>
      <c r="O481" s="53" t="n">
        <f aca="false">IF(OR(NOT(ISNUMBER($C481)),NOT(ISNUMBER($M481)),$M481=0),"",$C481/$M481-1)</f>
        <v>-0.102495882427467</v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7040</v>
      </c>
      <c r="D482" s="49" t="n">
        <v>7052</v>
      </c>
      <c r="E482" s="49" t="n">
        <v>7015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-0.00621118012422361</v>
      </c>
      <c r="I482" s="52" t="n">
        <f aca="false">IF(AND(ISNUMBER($G482),$G482&gt;=MA_SHORT),AVERAGE(INDEX($C$82:$C482,402-MA_SHORT):$C482),"")</f>
        <v>7185.65</v>
      </c>
      <c r="J482" s="52" t="n">
        <f aca="false">IF(AND(ISNUMBER($G482),$G482&gt;=MA_MED),AVERAGE(INDEX($C$82:$C482,402-MA_MED):$C482),"")</f>
        <v>7315.64</v>
      </c>
      <c r="K482" s="52" t="n">
        <f aca="false">IF(AND(ISNUMBER($G482),$G482&gt;=MA_LONG2),AVERAGE(INDEX($C$82:$C482,402-MA_LONG2):$C482),"")</f>
        <v>6738.65</v>
      </c>
      <c r="L482" s="53" t="n">
        <f aca="false">IF(AND(ISNUMBER($G482),$G482&gt;=21),STDEV(INDEX($H$422:$H482,62-20):$H482)*SQRT(245),"")</f>
        <v>0.207599205668751</v>
      </c>
      <c r="M482" s="52" t="n">
        <f aca="false">IF(AND(ISNUMBER($G482),$G482&gt;=60),MAX(INDEX($D$282:$D482,202-60):$D482),"")</f>
        <v>7893</v>
      </c>
      <c r="N482" s="52" t="n">
        <f aca="false">IF(AND(ISNUMBER($G482),$G482&gt;=60),MIN(INDEX($E$282:$E482,202-60):$E482),"")</f>
        <v>6332</v>
      </c>
      <c r="O482" s="53" t="n">
        <f aca="false">IF(OR(NOT(ISNUMBER($C482)),NOT(ISNUMBER($M482)),$M482=0),"",$C482/$M482-1)</f>
        <v>-0.108070442163943</v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7037</v>
      </c>
      <c r="D483" s="49" t="n">
        <v>7057</v>
      </c>
      <c r="E483" s="49" t="n">
        <v>6998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-0.000426136363636309</v>
      </c>
      <c r="I483" s="52" t="n">
        <f aca="false">IF(AND(ISNUMBER($G483),$G483&gt;=MA_SHORT),AVERAGE(INDEX($C$83:$C483,402-MA_SHORT):$C483),"")</f>
        <v>7178.35</v>
      </c>
      <c r="J483" s="52" t="n">
        <f aca="false">IF(AND(ISNUMBER($G483),$G483&gt;=MA_MED),AVERAGE(INDEX($C$83:$C483,402-MA_MED):$C483),"")</f>
        <v>7321.68</v>
      </c>
      <c r="K483" s="52" t="n">
        <f aca="false">IF(AND(ISNUMBER($G483),$G483&gt;=MA_LONG2),AVERAGE(INDEX($C$83:$C483,402-MA_LONG2):$C483),"")</f>
        <v>6744.605</v>
      </c>
      <c r="L483" s="53" t="n">
        <f aca="false">IF(AND(ISNUMBER($G483),$G483&gt;=21),STDEV(INDEX($H$423:$H483,62-20):$H483)*SQRT(245),"")</f>
        <v>0.205143736526519</v>
      </c>
      <c r="M483" s="52" t="n">
        <f aca="false">IF(AND(ISNUMBER($G483),$G483&gt;=60),MAX(INDEX($D$283:$D483,202-60):$D483),"")</f>
        <v>7893</v>
      </c>
      <c r="N483" s="52" t="n">
        <f aca="false">IF(AND(ISNUMBER($G483),$G483&gt;=60),MIN(INDEX($E$283:$E483,202-60):$E483),"")</f>
        <v>6394</v>
      </c>
      <c r="O483" s="53" t="n">
        <f aca="false">IF(OR(NOT(ISNUMBER($C483)),NOT(ISNUMBER($M483)),$M483=0),"",$C483/$M483-1)</f>
        <v>-0.108450525782339</v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7193</v>
      </c>
      <c r="D484" s="49" t="n">
        <v>7193</v>
      </c>
      <c r="E484" s="49" t="n">
        <v>7175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0.0221685377291458</v>
      </c>
      <c r="I484" s="52" t="n">
        <f aca="false">IF(AND(ISNUMBER($G484),$G484&gt;=MA_SHORT),AVERAGE(INDEX($C$84:$C484,402-MA_SHORT):$C484),"")</f>
        <v>7180.9</v>
      </c>
      <c r="J484" s="52" t="n">
        <f aca="false">IF(AND(ISNUMBER($G484),$G484&gt;=MA_MED),AVERAGE(INDEX($C$84:$C484,402-MA_MED):$C484),"")</f>
        <v>7331.12</v>
      </c>
      <c r="K484" s="52" t="n">
        <f aca="false">IF(AND(ISNUMBER($G484),$G484&gt;=MA_LONG2),AVERAGE(INDEX($C$84:$C484,402-MA_LONG2):$C484),"")</f>
        <v>6751.565</v>
      </c>
      <c r="L484" s="53" t="n">
        <f aca="false">IF(AND(ISNUMBER($G484),$G484&gt;=21),STDEV(INDEX($H$424:$H484,62-20):$H484)*SQRT(245),"")</f>
        <v>0.219496834309741</v>
      </c>
      <c r="M484" s="52" t="n">
        <f aca="false">IF(AND(ISNUMBER($G484),$G484&gt;=60),MAX(INDEX($D$284:$D484,202-60):$D484),"")</f>
        <v>7893</v>
      </c>
      <c r="N484" s="52" t="n">
        <f aca="false">IF(AND(ISNUMBER($G484),$G484&gt;=60),MIN(INDEX($E$284:$E484,202-60):$E484),"")</f>
        <v>6454</v>
      </c>
      <c r="O484" s="53" t="n">
        <f aca="false">IF(OR(NOT(ISNUMBER($C484)),NOT(ISNUMBER($M484)),$M484=0),"",$C484/$M484-1)</f>
        <v>-0.0886861776257444</v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7146</v>
      </c>
      <c r="D485" s="49" t="n">
        <v>7153</v>
      </c>
      <c r="E485" s="49" t="n">
        <v>7145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-0.00653413040455997</v>
      </c>
      <c r="I485" s="52" t="n">
        <f aca="false">IF(AND(ISNUMBER($G485),$G485&gt;=MA_SHORT),AVERAGE(INDEX($C$85:$C485,402-MA_SHORT):$C485),"")</f>
        <v>7185.85</v>
      </c>
      <c r="J485" s="52" t="n">
        <f aca="false">IF(AND(ISNUMBER($G485),$G485&gt;=MA_MED),AVERAGE(INDEX($C$85:$C485,402-MA_MED):$C485),"")</f>
        <v>7336.16</v>
      </c>
      <c r="K485" s="52" t="n">
        <f aca="false">IF(AND(ISNUMBER($G485),$G485&gt;=MA_LONG2),AVERAGE(INDEX($C$85:$C485,402-MA_LONG2):$C485),"")</f>
        <v>6758.15</v>
      </c>
      <c r="L485" s="53" t="n">
        <f aca="false">IF(AND(ISNUMBER($G485),$G485&gt;=21),STDEV(INDEX($H$425:$H485,62-20):$H485)*SQRT(245),"")</f>
        <v>0.215267159500852</v>
      </c>
      <c r="M485" s="52" t="n">
        <f aca="false">IF(AND(ISNUMBER($G485),$G485&gt;=60),MAX(INDEX($D$285:$D485,202-60):$D485),"")</f>
        <v>7893</v>
      </c>
      <c r="N485" s="52" t="n">
        <f aca="false">IF(AND(ISNUMBER($G485),$G485&gt;=60),MIN(INDEX($E$285:$E485,202-60):$E485),"")</f>
        <v>6631</v>
      </c>
      <c r="O485" s="53" t="n">
        <f aca="false">IF(OR(NOT(ISNUMBER($C485)),NOT(ISNUMBER($M485)),$M485=0),"",$C485/$M485-1)</f>
        <v>-0.0946408209806158</v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7220</v>
      </c>
      <c r="D486" s="49" t="n">
        <v>7273</v>
      </c>
      <c r="E486" s="49" t="n">
        <v>7214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0.0103554436048139</v>
      </c>
      <c r="I486" s="52" t="n">
        <f aca="false">IF(AND(ISNUMBER($G486),$G486&gt;=MA_SHORT),AVERAGE(INDEX($C$86:$C486,402-MA_SHORT):$C486),"")</f>
        <v>7186.25</v>
      </c>
      <c r="J486" s="52" t="n">
        <f aca="false">IF(AND(ISNUMBER($G486),$G486&gt;=MA_MED),AVERAGE(INDEX($C$86:$C486,402-MA_MED):$C486),"")</f>
        <v>7338.48</v>
      </c>
      <c r="K486" s="52" t="n">
        <f aca="false">IF(AND(ISNUMBER($G486),$G486&gt;=MA_LONG2),AVERAGE(INDEX($C$86:$C486,402-MA_LONG2):$C486),"")</f>
        <v>6765.115</v>
      </c>
      <c r="L486" s="53" t="n">
        <f aca="false">IF(AND(ISNUMBER($G486),$G486&gt;=21),STDEV(INDEX($H$426:$H486,62-20):$H486)*SQRT(245),"")</f>
        <v>0.202011962498703</v>
      </c>
      <c r="M486" s="52" t="n">
        <f aca="false">IF(AND(ISNUMBER($G486),$G486&gt;=60),MAX(INDEX($D$286:$D486,202-60):$D486),"")</f>
        <v>7893</v>
      </c>
      <c r="N486" s="52" t="n">
        <f aca="false">IF(AND(ISNUMBER($G486),$G486&gt;=60),MIN(INDEX($E$286:$E486,202-60):$E486),"")</f>
        <v>6631</v>
      </c>
      <c r="O486" s="53" t="n">
        <f aca="false">IF(OR(NOT(ISNUMBER($C486)),NOT(ISNUMBER($M486)),$M486=0),"",$C486/$M486-1)</f>
        <v>-0.0852654250601799</v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7208</v>
      </c>
      <c r="D487" s="49" t="n">
        <v>7226</v>
      </c>
      <c r="E487" s="49" t="n">
        <v>7194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-0.00166204986149587</v>
      </c>
      <c r="I487" s="52" t="n">
        <f aca="false">IF(AND(ISNUMBER($G487),$G487&gt;=MA_SHORT),AVERAGE(INDEX($C$87:$C487,402-MA_SHORT):$C487),"")</f>
        <v>7184.3</v>
      </c>
      <c r="J487" s="52" t="n">
        <f aca="false">IF(AND(ISNUMBER($G487),$G487&gt;=MA_MED),AVERAGE(INDEX($C$87:$C487,402-MA_MED):$C487),"")</f>
        <v>7338.56</v>
      </c>
      <c r="K487" s="52" t="n">
        <f aca="false">IF(AND(ISNUMBER($G487),$G487&gt;=MA_LONG2),AVERAGE(INDEX($C$87:$C487,402-MA_LONG2):$C487),"")</f>
        <v>6771.825</v>
      </c>
      <c r="L487" s="53" t="n">
        <f aca="false">IF(AND(ISNUMBER($G487),$G487&gt;=21),STDEV(INDEX($H$427:$H487,62-20):$H487)*SQRT(245),"")</f>
        <v>0.201335634729903</v>
      </c>
      <c r="M487" s="52" t="n">
        <f aca="false">IF(AND(ISNUMBER($G487),$G487&gt;=60),MAX(INDEX($D$287:$D487,202-60):$D487),"")</f>
        <v>7893</v>
      </c>
      <c r="N487" s="52" t="n">
        <f aca="false">IF(AND(ISNUMBER($G487),$G487&gt;=60),MIN(INDEX($E$287:$E487,202-60):$E487),"")</f>
        <v>6631</v>
      </c>
      <c r="O487" s="53" t="n">
        <f aca="false">IF(OR(NOT(ISNUMBER($C487)),NOT(ISNUMBER($M487)),$M487=0),"",$C487/$M487-1)</f>
        <v>-0.0867857595337641</v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7226</v>
      </c>
      <c r="D488" s="49" t="n">
        <v>7249</v>
      </c>
      <c r="E488" s="49" t="n">
        <v>7185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0.00249722530521646</v>
      </c>
      <c r="I488" s="52" t="n">
        <f aca="false">IF(AND(ISNUMBER($G488),$G488&gt;=MA_SHORT),AVERAGE(INDEX($C$88:$C488,402-MA_SHORT):$C488),"")</f>
        <v>7182.9</v>
      </c>
      <c r="J488" s="52" t="n">
        <f aca="false">IF(AND(ISNUMBER($G488),$G488&gt;=MA_MED),AVERAGE(INDEX($C$88:$C488,402-MA_MED):$C488),"")</f>
        <v>7339.58</v>
      </c>
      <c r="K488" s="52" t="n">
        <f aca="false">IF(AND(ISNUMBER($G488),$G488&gt;=MA_LONG2),AVERAGE(INDEX($C$88:$C488,402-MA_LONG2):$C488),"")</f>
        <v>6778.065</v>
      </c>
      <c r="L488" s="53" t="n">
        <f aca="false">IF(AND(ISNUMBER($G488),$G488&gt;=21),STDEV(INDEX($H$428:$H488,62-20):$H488)*SQRT(245),"")</f>
        <v>0.201520347514426</v>
      </c>
      <c r="M488" s="52" t="n">
        <f aca="false">IF(AND(ISNUMBER($G488),$G488&gt;=60),MAX(INDEX($D$288:$D488,202-60):$D488),"")</f>
        <v>7893</v>
      </c>
      <c r="N488" s="52" t="n">
        <f aca="false">IF(AND(ISNUMBER($G488),$G488&gt;=60),MIN(INDEX($E$288:$E488,202-60):$E488),"")</f>
        <v>6631</v>
      </c>
      <c r="O488" s="53" t="n">
        <f aca="false">IF(OR(NOT(ISNUMBER($C488)),NOT(ISNUMBER($M488)),$M488=0),"",$C488/$M488-1)</f>
        <v>-0.0845052578233878</v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7275</v>
      </c>
      <c r="D489" s="49" t="n">
        <v>7305</v>
      </c>
      <c r="E489" s="49" t="n">
        <v>7243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0.0067810683642402</v>
      </c>
      <c r="I489" s="52" t="n">
        <f aca="false">IF(AND(ISNUMBER($G489),$G489&gt;=MA_SHORT),AVERAGE(INDEX($C$89:$C489,402-MA_SHORT):$C489),"")</f>
        <v>7184.25</v>
      </c>
      <c r="J489" s="52" t="n">
        <f aca="false">IF(AND(ISNUMBER($G489),$G489&gt;=MA_MED),AVERAGE(INDEX($C$89:$C489,402-MA_MED):$C489),"")</f>
        <v>7336.46</v>
      </c>
      <c r="K489" s="52" t="n">
        <f aca="false">IF(AND(ISNUMBER($G489),$G489&gt;=MA_LONG2),AVERAGE(INDEX($C$89:$C489,402-MA_LONG2):$C489),"")</f>
        <v>6784.52</v>
      </c>
      <c r="L489" s="53" t="n">
        <f aca="false">IF(AND(ISNUMBER($G489),$G489&gt;=21),STDEV(INDEX($H$429:$H489,62-20):$H489)*SQRT(245),"")</f>
        <v>0.202927804772163</v>
      </c>
      <c r="M489" s="52" t="n">
        <f aca="false">IF(AND(ISNUMBER($G489),$G489&gt;=60),MAX(INDEX($D$289:$D489,202-60):$D489),"")</f>
        <v>7893</v>
      </c>
      <c r="N489" s="52" t="n">
        <f aca="false">IF(AND(ISNUMBER($G489),$G489&gt;=60),MIN(INDEX($E$289:$E489,202-60):$E489),"")</f>
        <v>6631</v>
      </c>
      <c r="O489" s="53" t="n">
        <f aca="false">IF(OR(NOT(ISNUMBER($C489)),NOT(ISNUMBER($M489)),$M489=0),"",$C489/$M489-1)</f>
        <v>-0.0782972253895857</v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7226</v>
      </c>
      <c r="D490" s="49" t="n">
        <v>7261</v>
      </c>
      <c r="E490" s="49" t="n">
        <v>7169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-0.00673539518900346</v>
      </c>
      <c r="I490" s="52" t="n">
        <f aca="false">IF(AND(ISNUMBER($G490),$G490&gt;=MA_SHORT),AVERAGE(INDEX($C$90:$C490,402-MA_SHORT):$C490),"")</f>
        <v>7181.9</v>
      </c>
      <c r="J490" s="52" t="n">
        <f aca="false">IF(AND(ISNUMBER($G490),$G490&gt;=MA_MED),AVERAGE(INDEX($C$90:$C490,402-MA_MED):$C490),"")</f>
        <v>7329.24</v>
      </c>
      <c r="K490" s="52" t="n">
        <f aca="false">IF(AND(ISNUMBER($G490),$G490&gt;=MA_LONG2),AVERAGE(INDEX($C$90:$C490,402-MA_LONG2):$C490),"")</f>
        <v>6791.15</v>
      </c>
      <c r="L490" s="53" t="n">
        <f aca="false">IF(AND(ISNUMBER($G490),$G490&gt;=21),STDEV(INDEX($H$430:$H490,62-20):$H490)*SQRT(245),"")</f>
        <v>0.203995711085312</v>
      </c>
      <c r="M490" s="52" t="n">
        <f aca="false">IF(AND(ISNUMBER($G490),$G490&gt;=60),MAX(INDEX($D$290:$D490,202-60):$D490),"")</f>
        <v>7893</v>
      </c>
      <c r="N490" s="52" t="n">
        <f aca="false">IF(AND(ISNUMBER($G490),$G490&gt;=60),MIN(INDEX($E$290:$E490,202-60):$E490),"")</f>
        <v>6631</v>
      </c>
      <c r="O490" s="53" t="n">
        <f aca="false">IF(OR(NOT(ISNUMBER($C490)),NOT(ISNUMBER($M490)),$M490=0),"",$C490/$M490-1)</f>
        <v>-0.0845052578233878</v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7216</v>
      </c>
      <c r="D491" s="49" t="n">
        <v>7260</v>
      </c>
      <c r="E491" s="49" t="n">
        <v>7196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-0.00138389150290619</v>
      </c>
      <c r="I491" s="52" t="n">
        <f aca="false">IF(AND(ISNUMBER($G491),$G491&gt;=MA_SHORT),AVERAGE(INDEX($C$91:$C491,402-MA_SHORT):$C491),"")</f>
        <v>7178.25</v>
      </c>
      <c r="J491" s="52" t="n">
        <f aca="false">IF(AND(ISNUMBER($G491),$G491&gt;=MA_MED),AVERAGE(INDEX($C$91:$C491,402-MA_MED):$C491),"")</f>
        <v>7323.22</v>
      </c>
      <c r="K491" s="52" t="n">
        <f aca="false">IF(AND(ISNUMBER($G491),$G491&gt;=MA_LONG2),AVERAGE(INDEX($C$91:$C491,402-MA_LONG2):$C491),"")</f>
        <v>6797.81</v>
      </c>
      <c r="L491" s="53" t="n">
        <f aca="false">IF(AND(ISNUMBER($G491),$G491&gt;=21),STDEV(INDEX($H$431:$H491,62-20):$H491)*SQRT(245),"")</f>
        <v>0.203827815620729</v>
      </c>
      <c r="M491" s="52" t="n">
        <f aca="false">IF(AND(ISNUMBER($G491),$G491&gt;=60),MAX(INDEX($D$291:$D491,202-60):$D491),"")</f>
        <v>7893</v>
      </c>
      <c r="N491" s="52" t="n">
        <f aca="false">IF(AND(ISNUMBER($G491),$G491&gt;=60),MIN(INDEX($E$291:$E491,202-60):$E491),"")</f>
        <v>6690</v>
      </c>
      <c r="O491" s="53" t="n">
        <f aca="false">IF(OR(NOT(ISNUMBER($C491)),NOT(ISNUMBER($M491)),$M491=0),"",$C491/$M491-1)</f>
        <v>-0.0857722032180414</v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7346</v>
      </c>
      <c r="D492" s="49" t="n">
        <v>7353</v>
      </c>
      <c r="E492" s="49" t="n">
        <v>7319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0.0180155210643016</v>
      </c>
      <c r="I492" s="52" t="n">
        <f aca="false">IF(AND(ISNUMBER($G492),$G492&gt;=MA_SHORT),AVERAGE(INDEX($C$92:$C492,402-MA_SHORT):$C492),"")</f>
        <v>7186.75</v>
      </c>
      <c r="J492" s="52" t="n">
        <f aca="false">IF(AND(ISNUMBER($G492),$G492&gt;=MA_MED),AVERAGE(INDEX($C$92:$C492,402-MA_MED):$C492),"")</f>
        <v>7321.6</v>
      </c>
      <c r="K492" s="52" t="n">
        <f aca="false">IF(AND(ISNUMBER($G492),$G492&gt;=MA_LONG2),AVERAGE(INDEX($C$92:$C492,402-MA_LONG2):$C492),"")</f>
        <v>6804.715</v>
      </c>
      <c r="L492" s="53" t="n">
        <f aca="false">IF(AND(ISNUMBER($G492),$G492&gt;=21),STDEV(INDEX($H$432:$H492,62-20):$H492)*SQRT(245),"")</f>
        <v>0.205603010358762</v>
      </c>
      <c r="M492" s="52" t="n">
        <f aca="false">IF(AND(ISNUMBER($G492),$G492&gt;=60),MAX(INDEX($D$292:$D492,202-60):$D492),"")</f>
        <v>7893</v>
      </c>
      <c r="N492" s="52" t="n">
        <f aca="false">IF(AND(ISNUMBER($G492),$G492&gt;=60),MIN(INDEX($E$292:$E492,202-60):$E492),"")</f>
        <v>6690</v>
      </c>
      <c r="O492" s="53" t="n">
        <f aca="false">IF(OR(NOT(ISNUMBER($C492)),NOT(ISNUMBER($M492)),$M492=0),"",$C492/$M492-1)</f>
        <v>-0.069301913087546</v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7468</v>
      </c>
      <c r="D493" s="49" t="n">
        <v>7544</v>
      </c>
      <c r="E493" s="49" t="n">
        <v>7449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0.0166076776476993</v>
      </c>
      <c r="I493" s="52" t="n">
        <f aca="false">IF(AND(ISNUMBER($G493),$G493&gt;=MA_SHORT),AVERAGE(INDEX($C$93:$C493,402-MA_SHORT):$C493),"")</f>
        <v>7195.65</v>
      </c>
      <c r="J493" s="52" t="n">
        <f aca="false">IF(AND(ISNUMBER($G493),$G493&gt;=MA_MED),AVERAGE(INDEX($C$93:$C493,402-MA_MED):$C493),"")</f>
        <v>7321.2</v>
      </c>
      <c r="K493" s="52" t="n">
        <f aca="false">IF(AND(ISNUMBER($G493),$G493&gt;=MA_LONG2),AVERAGE(INDEX($C$93:$C493,402-MA_LONG2):$C493),"")</f>
        <v>6812.845</v>
      </c>
      <c r="L493" s="53" t="n">
        <f aca="false">IF(AND(ISNUMBER($G493),$G493&gt;=21),STDEV(INDEX($H$433:$H493,62-20):$H493)*SQRT(245),"")</f>
        <v>0.206279434787324</v>
      </c>
      <c r="M493" s="52" t="n">
        <f aca="false">IF(AND(ISNUMBER($G493),$G493&gt;=60),MAX(INDEX($D$293:$D493,202-60):$D493),"")</f>
        <v>7893</v>
      </c>
      <c r="N493" s="52" t="n">
        <f aca="false">IF(AND(ISNUMBER($G493),$G493&gt;=60),MIN(INDEX($E$293:$E493,202-60):$E493),"")</f>
        <v>6707</v>
      </c>
      <c r="O493" s="53" t="n">
        <f aca="false">IF(OR(NOT(ISNUMBER($C493)),NOT(ISNUMBER($M493)),$M493=0),"",$C493/$M493-1)</f>
        <v>-0.0538451792727733</v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7456</v>
      </c>
      <c r="D494" s="49" t="n">
        <v>7486</v>
      </c>
      <c r="E494" s="49" t="n">
        <v>7454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-0.001606855918586</v>
      </c>
      <c r="I494" s="52" t="n">
        <f aca="false">IF(AND(ISNUMBER($G494),$G494&gt;=MA_SHORT),AVERAGE(INDEX($C$94:$C494,402-MA_SHORT):$C494),"")</f>
        <v>7204.15</v>
      </c>
      <c r="J494" s="52" t="n">
        <f aca="false">IF(AND(ISNUMBER($G494),$G494&gt;=MA_MED),AVERAGE(INDEX($C$94:$C494,402-MA_MED):$C494),"")</f>
        <v>7321.32</v>
      </c>
      <c r="K494" s="52" t="n">
        <f aca="false">IF(AND(ISNUMBER($G494),$G494&gt;=MA_LONG2),AVERAGE(INDEX($C$94:$C494,402-MA_LONG2):$C494),"")</f>
        <v>6821.37</v>
      </c>
      <c r="L494" s="53" t="n">
        <f aca="false">IF(AND(ISNUMBER($G494),$G494&gt;=21),STDEV(INDEX($H$434:$H494,62-20):$H494)*SQRT(245),"")</f>
        <v>0.206434218442299</v>
      </c>
      <c r="M494" s="52" t="n">
        <f aca="false">IF(AND(ISNUMBER($G494),$G494&gt;=60),MAX(INDEX($D$294:$D494,202-60):$D494),"")</f>
        <v>7893</v>
      </c>
      <c r="N494" s="52" t="n">
        <f aca="false">IF(AND(ISNUMBER($G494),$G494&gt;=60),MIN(INDEX($E$294:$E494,202-60):$E494),"")</f>
        <v>6893</v>
      </c>
      <c r="O494" s="53" t="n">
        <f aca="false">IF(OR(NOT(ISNUMBER($C494)),NOT(ISNUMBER($M494)),$M494=0),"",$C494/$M494-1)</f>
        <v>-0.0553655137463576</v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7716</v>
      </c>
      <c r="D495" s="49" t="n">
        <v>7721</v>
      </c>
      <c r="E495" s="49" t="n">
        <v>7712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0.0348712446351931</v>
      </c>
      <c r="I495" s="52" t="n">
        <f aca="false">IF(AND(ISNUMBER($G495),$G495&gt;=MA_SHORT),AVERAGE(INDEX($C$95:$C495,402-MA_SHORT):$C495),"")</f>
        <v>7235.15</v>
      </c>
      <c r="J495" s="52" t="n">
        <f aca="false">IF(AND(ISNUMBER($G495),$G495&gt;=MA_MED),AVERAGE(INDEX($C$95:$C495,402-MA_MED):$C495),"")</f>
        <v>7327.02</v>
      </c>
      <c r="K495" s="52" t="n">
        <f aca="false">IF(AND(ISNUMBER($G495),$G495&gt;=MA_LONG2),AVERAGE(INDEX($C$95:$C495,402-MA_LONG2):$C495),"")</f>
        <v>6830.625</v>
      </c>
      <c r="L495" s="53" t="n">
        <f aca="false">IF(AND(ISNUMBER($G495),$G495&gt;=21),STDEV(INDEX($H$435:$H495,62-20):$H495)*SQRT(245),"")</f>
        <v>0.212573428959053</v>
      </c>
      <c r="M495" s="52" t="n">
        <f aca="false">IF(AND(ISNUMBER($G495),$G495&gt;=60),MAX(INDEX($D$295:$D495,202-60):$D495),"")</f>
        <v>7893</v>
      </c>
      <c r="N495" s="52" t="n">
        <f aca="false">IF(AND(ISNUMBER($G495),$G495&gt;=60),MIN(INDEX($E$295:$E495,202-60):$E495),"")</f>
        <v>6998</v>
      </c>
      <c r="O495" s="53" t="n">
        <f aca="false">IF(OR(NOT(ISNUMBER($C495)),NOT(ISNUMBER($M495)),$M495=0),"",$C495/$M495-1)</f>
        <v>-0.0224249334853668</v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7686</v>
      </c>
      <c r="D496" s="49" t="n">
        <v>7690</v>
      </c>
      <c r="E496" s="49" t="n">
        <v>7684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-0.00388802488335926</v>
      </c>
      <c r="I496" s="52" t="n">
        <f aca="false">IF(AND(ISNUMBER($G496),$G496&gt;=MA_SHORT),AVERAGE(INDEX($C$96:$C496,402-MA_SHORT):$C496),"")</f>
        <v>7259</v>
      </c>
      <c r="J496" s="52" t="n">
        <f aca="false">IF(AND(ISNUMBER($G496),$G496&gt;=MA_MED),AVERAGE(INDEX($C$96:$C496,402-MA_MED):$C496),"")</f>
        <v>7330.98</v>
      </c>
      <c r="K496" s="52" t="n">
        <f aca="false">IF(AND(ISNUMBER($G496),$G496&gt;=MA_LONG2),AVERAGE(INDEX($C$96:$C496,402-MA_LONG2):$C496),"")</f>
        <v>6839.65</v>
      </c>
      <c r="L496" s="53" t="n">
        <f aca="false">IF(AND(ISNUMBER($G496),$G496&gt;=21),STDEV(INDEX($H$436:$H496,62-20):$H496)*SQRT(245),"")</f>
        <v>0.209876918388251</v>
      </c>
      <c r="M496" s="52" t="n">
        <f aca="false">IF(AND(ISNUMBER($G496),$G496&gt;=60),MAX(INDEX($D$296:$D496,202-60):$D496),"")</f>
        <v>7893</v>
      </c>
      <c r="N496" s="52" t="n">
        <f aca="false">IF(AND(ISNUMBER($G496),$G496&gt;=60),MIN(INDEX($E$296:$E496,202-60):$E496),"")</f>
        <v>6998</v>
      </c>
      <c r="O496" s="53" t="n">
        <f aca="false">IF(OR(NOT(ISNUMBER($C496)),NOT(ISNUMBER($M496)),$M496=0),"",$C496/$M496-1)</f>
        <v>-0.0262257696693272</v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7647</v>
      </c>
      <c r="D497" s="49" t="n">
        <v>7664</v>
      </c>
      <c r="E497" s="49" t="n">
        <v>7637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-0.00507416081186574</v>
      </c>
      <c r="I497" s="52" t="n">
        <f aca="false">IF(AND(ISNUMBER($G497),$G497&gt;=MA_SHORT),AVERAGE(INDEX($C$97:$C497,402-MA_SHORT):$C497),"")</f>
        <v>7277.1</v>
      </c>
      <c r="J497" s="52" t="n">
        <f aca="false">IF(AND(ISNUMBER($G497),$G497&gt;=MA_MED),AVERAGE(INDEX($C$97:$C497,402-MA_MED):$C497),"")</f>
        <v>7334.52</v>
      </c>
      <c r="K497" s="52" t="n">
        <f aca="false">IF(AND(ISNUMBER($G497),$G497&gt;=MA_LONG2),AVERAGE(INDEX($C$97:$C497,402-MA_LONG2):$C497),"")</f>
        <v>6848.36</v>
      </c>
      <c r="L497" s="53" t="n">
        <f aca="false">IF(AND(ISNUMBER($G497),$G497&gt;=21),STDEV(INDEX($H$437:$H497,62-20):$H497)*SQRT(245),"")</f>
        <v>0.210038952246273</v>
      </c>
      <c r="M497" s="52" t="n">
        <f aca="false">IF(AND(ISNUMBER($G497),$G497&gt;=60),MAX(INDEX($D$297:$D497,202-60):$D497),"")</f>
        <v>7893</v>
      </c>
      <c r="N497" s="52" t="n">
        <f aca="false">IF(AND(ISNUMBER($G497),$G497&gt;=60),MIN(INDEX($E$297:$E497,202-60):$E497),"")</f>
        <v>6998</v>
      </c>
      <c r="O497" s="53" t="n">
        <f aca="false">IF(OR(NOT(ISNUMBER($C497)),NOT(ISNUMBER($M497)),$M497=0),"",$C497/$M497-1)</f>
        <v>-0.0311668567084759</v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7707</v>
      </c>
      <c r="D498" s="49" t="n">
        <v>7758</v>
      </c>
      <c r="E498" s="49" t="n">
        <v>7703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0.00784621420164777</v>
      </c>
      <c r="I498" s="52" t="n">
        <f aca="false">IF(AND(ISNUMBER($G498),$G498&gt;=MA_SHORT),AVERAGE(INDEX($C$98:$C498,402-MA_SHORT):$C498),"")</f>
        <v>7302.7</v>
      </c>
      <c r="J498" s="52" t="n">
        <f aca="false">IF(AND(ISNUMBER($G498),$G498&gt;=MA_MED),AVERAGE(INDEX($C$98:$C498,402-MA_MED):$C498),"")</f>
        <v>7337.14</v>
      </c>
      <c r="K498" s="52" t="n">
        <f aca="false">IF(AND(ISNUMBER($G498),$G498&gt;=MA_LONG2),AVERAGE(INDEX($C$98:$C498,402-MA_LONG2):$C498),"")</f>
        <v>6857.76</v>
      </c>
      <c r="L498" s="53" t="n">
        <f aca="false">IF(AND(ISNUMBER($G498),$G498&gt;=21),STDEV(INDEX($H$438:$H498,62-20):$H498)*SQRT(245),"")</f>
        <v>0.203396354266398</v>
      </c>
      <c r="M498" s="52" t="n">
        <f aca="false">IF(AND(ISNUMBER($G498),$G498&gt;=60),MAX(INDEX($D$298:$D498,202-60):$D498),"")</f>
        <v>7893</v>
      </c>
      <c r="N498" s="52" t="n">
        <f aca="false">IF(AND(ISNUMBER($G498),$G498&gt;=60),MIN(INDEX($E$298:$E498,202-60):$E498),"")</f>
        <v>6998</v>
      </c>
      <c r="O498" s="53" t="n">
        <f aca="false">IF(OR(NOT(ISNUMBER($C498)),NOT(ISNUMBER($M498)),$M498=0),"",$C498/$M498-1)</f>
        <v>-0.0235651843405549</v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7768</v>
      </c>
      <c r="D499" s="49" t="n">
        <v>7775</v>
      </c>
      <c r="E499" s="49" t="n">
        <v>7753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0.00791488257428319</v>
      </c>
      <c r="I499" s="52" t="n">
        <f aca="false">IF(AND(ISNUMBER($G499),$G499&gt;=MA_SHORT),AVERAGE(INDEX($C$99:$C499,402-MA_SHORT):$C499),"")</f>
        <v>7339.6</v>
      </c>
      <c r="J499" s="52" t="n">
        <f aca="false">IF(AND(ISNUMBER($G499),$G499&gt;=MA_MED),AVERAGE(INDEX($C$99:$C499,402-MA_MED):$C499),"")</f>
        <v>7341.1</v>
      </c>
      <c r="K499" s="52" t="n">
        <f aca="false">IF(AND(ISNUMBER($G499),$G499&gt;=MA_LONG2),AVERAGE(INDEX($C$99:$C499,402-MA_LONG2):$C499),"")</f>
        <v>6867.63</v>
      </c>
      <c r="L499" s="53" t="n">
        <f aca="false">IF(AND(ISNUMBER($G499),$G499&gt;=21),STDEV(INDEX($H$439:$H499,62-20):$H499)*SQRT(245),"")</f>
        <v>0.178831084750344</v>
      </c>
      <c r="M499" s="52" t="n">
        <f aca="false">IF(AND(ISNUMBER($G499),$G499&gt;=60),MAX(INDEX($D$299:$D499,202-60):$D499),"")</f>
        <v>7893</v>
      </c>
      <c r="N499" s="52" t="n">
        <f aca="false">IF(AND(ISNUMBER($G499),$G499&gt;=60),MIN(INDEX($E$299:$E499,202-60):$E499),"")</f>
        <v>6998</v>
      </c>
      <c r="O499" s="53" t="n">
        <f aca="false">IF(OR(NOT(ISNUMBER($C499)),NOT(ISNUMBER($M499)),$M499=0),"",$C499/$M499-1)</f>
        <v>-0.0158368174331687</v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7815</v>
      </c>
      <c r="D500" s="49" t="n">
        <v>7846</v>
      </c>
      <c r="E500" s="49" t="n">
        <v>7814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0.00605046343975291</v>
      </c>
      <c r="I500" s="52" t="n">
        <f aca="false">IF(AND(ISNUMBER($G500),$G500&gt;=MA_SHORT),AVERAGE(INDEX($C$100:$C500,402-MA_SHORT):$C500),"")</f>
        <v>7374</v>
      </c>
      <c r="J500" s="52" t="n">
        <f aca="false">IF(AND(ISNUMBER($G500),$G500&gt;=MA_MED),AVERAGE(INDEX($C$100:$C500,402-MA_MED):$C500),"")</f>
        <v>7343.78</v>
      </c>
      <c r="K500" s="52" t="n">
        <f aca="false">IF(AND(ISNUMBER($G500),$G500&gt;=MA_LONG2),AVERAGE(INDEX($C$100:$C500,402-MA_LONG2):$C500),"")</f>
        <v>6877.61</v>
      </c>
      <c r="L500" s="53" t="n">
        <f aca="false">IF(AND(ISNUMBER($G500),$G500&gt;=21),STDEV(INDEX($H$440:$H500,62-20):$H500)*SQRT(245),"")</f>
        <v>0.175985689053258</v>
      </c>
      <c r="M500" s="52" t="n">
        <f aca="false">IF(AND(ISNUMBER($G500),$G500&gt;=60),MAX(INDEX($D$300:$D500,202-60):$D500),"")</f>
        <v>7893</v>
      </c>
      <c r="N500" s="52" t="n">
        <f aca="false">IF(AND(ISNUMBER($G500),$G500&gt;=60),MIN(INDEX($E$300:$E500,202-60):$E500),"")</f>
        <v>6998</v>
      </c>
      <c r="O500" s="53" t="n">
        <f aca="false">IF(OR(NOT(ISNUMBER($C500)),NOT(ISNUMBER($M500)),$M500=0),"",$C500/$M500-1)</f>
        <v>-0.00988217407829728</v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7893</v>
      </c>
      <c r="D501" s="49" t="n">
        <v>7929</v>
      </c>
      <c r="E501" s="49" t="n">
        <v>7869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0.00998080614203456</v>
      </c>
      <c r="I501" s="52" t="n">
        <f aca="false">IF(AND(ISNUMBER($G501),$G501&gt;=MA_SHORT),AVERAGE(INDEX($C$101:$C501,402-MA_SHORT):$C501),"")</f>
        <v>7414.45</v>
      </c>
      <c r="J501" s="52" t="n">
        <f aca="false">IF(AND(ISNUMBER($G501),$G501&gt;=MA_MED),AVERAGE(INDEX($C$101:$C501,402-MA_MED):$C501),"")</f>
        <v>7348.8</v>
      </c>
      <c r="K501" s="52" t="n">
        <f aca="false">IF(AND(ISNUMBER($G501),$G501&gt;=MA_LONG2),AVERAGE(INDEX($C$101:$C501,402-MA_LONG2):$C501),"")</f>
        <v>6887.81</v>
      </c>
      <c r="L501" s="53" t="n">
        <f aca="false">IF(AND(ISNUMBER($G501),$G501&gt;=21),STDEV(INDEX($H$441:$H501,62-20):$H501)*SQRT(245),"")</f>
        <v>0.172304651350698</v>
      </c>
      <c r="M501" s="52" t="n">
        <f aca="false">IF(AND(ISNUMBER($G501),$G501&gt;=60),MAX(INDEX($D$301:$D501,202-60):$D501),"")</f>
        <v>7929</v>
      </c>
      <c r="N501" s="52" t="n">
        <f aca="false">IF(AND(ISNUMBER($G501),$G501&gt;=60),MIN(INDEX($E$301:$E501,202-60):$E501),"")</f>
        <v>6998</v>
      </c>
      <c r="O501" s="53" t="n">
        <f aca="false">IF(OR(NOT(ISNUMBER($C501)),NOT(ISNUMBER($M501)),$M501=0),"",$C501/$M501-1)</f>
        <v>-0.00454029511918275</v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7951</v>
      </c>
      <c r="D502" s="49" t="n">
        <v>7981</v>
      </c>
      <c r="E502" s="49" t="n">
        <v>7946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0.00734828328899018</v>
      </c>
      <c r="I502" s="52" t="n">
        <f aca="false">IF(AND(ISNUMBER($G502),$G502&gt;=MA_SHORT),AVERAGE(INDEX($C$102:$C502,402-MA_SHORT):$C502),"")</f>
        <v>7460</v>
      </c>
      <c r="J502" s="52" t="n">
        <f aca="false">IF(AND(ISNUMBER($G502),$G502&gt;=MA_MED),AVERAGE(INDEX($C$102:$C502,402-MA_MED):$C502),"")</f>
        <v>7350.46</v>
      </c>
      <c r="K502" s="52" t="n">
        <f aca="false">IF(AND(ISNUMBER($G502),$G502&gt;=MA_LONG2),AVERAGE(INDEX($C$102:$C502,402-MA_LONG2):$C502),"")</f>
        <v>6897.915</v>
      </c>
      <c r="L502" s="53" t="n">
        <f aca="false">IF(AND(ISNUMBER($G502),$G502&gt;=21),STDEV(INDEX($H$442:$H502,62-20):$H502)*SQRT(245),"")</f>
        <v>0.166893478694459</v>
      </c>
      <c r="M502" s="52" t="n">
        <f aca="false">IF(AND(ISNUMBER($G502),$G502&gt;=60),MAX(INDEX($D$302:$D502,202-60):$D502),"")</f>
        <v>7981</v>
      </c>
      <c r="N502" s="52" t="n">
        <f aca="false">IF(AND(ISNUMBER($G502),$G502&gt;=60),MIN(INDEX($E$302:$E502,202-60):$E502),"")</f>
        <v>6998</v>
      </c>
      <c r="O502" s="53" t="n">
        <f aca="false">IF(OR(NOT(ISNUMBER($C502)),NOT(ISNUMBER($M502)),$M502=0),"",$C502/$M502-1)</f>
        <v>-0.00375892745270012</v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8016</v>
      </c>
      <c r="D503" s="49" t="n">
        <v>8053</v>
      </c>
      <c r="E503" s="49" t="n">
        <v>7966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0.00817507231794745</v>
      </c>
      <c r="I503" s="52" t="n">
        <f aca="false">IF(AND(ISNUMBER($G503),$G503&gt;=MA_SHORT),AVERAGE(INDEX($C$103:$C503,402-MA_SHORT):$C503),"")</f>
        <v>7508.95</v>
      </c>
      <c r="J503" s="52" t="n">
        <f aca="false">IF(AND(ISNUMBER($G503),$G503&gt;=MA_MED),AVERAGE(INDEX($C$103:$C503,402-MA_MED):$C503),"")</f>
        <v>7355.28</v>
      </c>
      <c r="K503" s="52" t="n">
        <f aca="false">IF(AND(ISNUMBER($G503),$G503&gt;=MA_LONG2),AVERAGE(INDEX($C$103:$C503,402-MA_LONG2):$C503),"")</f>
        <v>6908.65</v>
      </c>
      <c r="L503" s="53" t="n">
        <f aca="false">IF(AND(ISNUMBER($G503),$G503&gt;=21),STDEV(INDEX($H$443:$H503,62-20):$H503)*SQRT(245),"")</f>
        <v>0.165225814020819</v>
      </c>
      <c r="M503" s="52" t="n">
        <f aca="false">IF(AND(ISNUMBER($G503),$G503&gt;=60),MAX(INDEX($D$303:$D503,202-60):$D503),"")</f>
        <v>8053</v>
      </c>
      <c r="N503" s="52" t="n">
        <f aca="false">IF(AND(ISNUMBER($G503),$G503&gt;=60),MIN(INDEX($E$303:$E503,202-60):$E503),"")</f>
        <v>6998</v>
      </c>
      <c r="O503" s="53" t="n">
        <f aca="false">IF(OR(NOT(ISNUMBER($C503)),NOT(ISNUMBER($M503)),$M503=0),"",$C503/$M503-1)</f>
        <v>-0.00459456103315536</v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7916</v>
      </c>
      <c r="D504" s="49" t="n">
        <v>7929</v>
      </c>
      <c r="E504" s="49" t="n">
        <v>7865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-0.0124750499001997</v>
      </c>
      <c r="I504" s="52" t="n">
        <f aca="false">IF(AND(ISNUMBER($G504),$G504&gt;=MA_SHORT),AVERAGE(INDEX($C$104:$C504,402-MA_SHORT):$C504),"")</f>
        <v>7545.1</v>
      </c>
      <c r="J504" s="52" t="n">
        <f aca="false">IF(AND(ISNUMBER($G504),$G504&gt;=MA_MED),AVERAGE(INDEX($C$104:$C504,402-MA_MED):$C504),"")</f>
        <v>7360.68</v>
      </c>
      <c r="K504" s="52" t="n">
        <f aca="false">IF(AND(ISNUMBER($G504),$G504&gt;=MA_LONG2),AVERAGE(INDEX($C$104:$C504,402-MA_LONG2):$C504),"")</f>
        <v>6918.65</v>
      </c>
      <c r="L504" s="53" t="n">
        <f aca="false">IF(AND(ISNUMBER($G504),$G504&gt;=21),STDEV(INDEX($H$444:$H504,62-20):$H504)*SQRT(245),"")</f>
        <v>0.16757101669043</v>
      </c>
      <c r="M504" s="52" t="n">
        <f aca="false">IF(AND(ISNUMBER($G504),$G504&gt;=60),MAX(INDEX($D$304:$D504,202-60):$D504),"")</f>
        <v>8053</v>
      </c>
      <c r="N504" s="52" t="n">
        <f aca="false">IF(AND(ISNUMBER($G504),$G504&gt;=60),MIN(INDEX($E$304:$E504,202-60):$E504),"")</f>
        <v>6998</v>
      </c>
      <c r="O504" s="53" t="n">
        <f aca="false">IF(OR(NOT(ISNUMBER($C504)),NOT(ISNUMBER($M504)),$M504=0),"",$C504/$M504-1)</f>
        <v>-0.0170122935551968</v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</row>
  </sheetData>
  <autoFilter ref="A4:O12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657</v>
      </c>
      <c r="B1" s="1"/>
      <c r="C1" s="1"/>
      <c r="D1" s="1"/>
      <c r="E1" s="1"/>
    </row>
    <row r="2" customFormat="false" ht="18" hidden="false" customHeight="true" outlineLevel="0" collapsed="false">
      <c r="A2" s="19" t="s">
        <v>658</v>
      </c>
      <c r="B2" s="19"/>
      <c r="C2" s="19"/>
      <c r="D2" s="19"/>
      <c r="E2" s="19"/>
    </row>
    <row r="4" customFormat="false" ht="19.5" hidden="false" customHeight="true" outlineLevel="0" collapsed="false">
      <c r="B4" s="39" t="s">
        <v>659</v>
      </c>
      <c r="C4" s="39"/>
      <c r="D4" s="39"/>
    </row>
    <row r="5" customFormat="false" ht="15" hidden="false" customHeight="false" outlineLevel="0" collapsed="false">
      <c r="B5" s="4" t="s">
        <v>660</v>
      </c>
      <c r="C5" s="58" t="n">
        <v>20</v>
      </c>
      <c r="D5" s="44" t="s">
        <v>661</v>
      </c>
    </row>
    <row r="6" customFormat="false" ht="15" hidden="false" customHeight="false" outlineLevel="0" collapsed="false">
      <c r="B6" s="4" t="s">
        <v>662</v>
      </c>
      <c r="C6" s="58" t="n">
        <v>50</v>
      </c>
      <c r="D6" s="44" t="s">
        <v>663</v>
      </c>
    </row>
    <row r="7" customFormat="false" ht="15" hidden="false" customHeight="false" outlineLevel="0" collapsed="false">
      <c r="B7" s="4" t="s">
        <v>664</v>
      </c>
      <c r="C7" s="58" t="n">
        <v>100</v>
      </c>
      <c r="D7" s="44"/>
    </row>
    <row r="8" customFormat="false" ht="15" hidden="false" customHeight="false" outlineLevel="0" collapsed="false">
      <c r="B8" s="4" t="s">
        <v>665</v>
      </c>
      <c r="C8" s="58" t="n">
        <v>200</v>
      </c>
      <c r="D8" s="44" t="s">
        <v>666</v>
      </c>
    </row>
    <row r="9" customFormat="false" ht="15" hidden="false" customHeight="false" outlineLevel="0" collapsed="false">
      <c r="B9" s="4" t="s">
        <v>667</v>
      </c>
      <c r="C9" s="58" t="n">
        <v>14</v>
      </c>
      <c r="D9" s="44" t="s">
        <v>668</v>
      </c>
    </row>
    <row r="10" customFormat="false" ht="15" hidden="false" customHeight="false" outlineLevel="0" collapsed="false">
      <c r="B10" s="4" t="s">
        <v>669</v>
      </c>
      <c r="C10" s="59" t="n">
        <v>2</v>
      </c>
      <c r="D10" s="44" t="s">
        <v>670</v>
      </c>
    </row>
    <row r="12" customFormat="false" ht="19.5" hidden="false" customHeight="true" outlineLevel="0" collapsed="false">
      <c r="B12" s="39" t="s">
        <v>671</v>
      </c>
      <c r="C12" s="39"/>
      <c r="D12" s="39"/>
    </row>
    <row r="13" customFormat="false" ht="15" hidden="false" customHeight="false" outlineLevel="0" collapsed="false">
      <c r="B13" s="4" t="s">
        <v>672</v>
      </c>
      <c r="C13" s="59" t="n">
        <v>2</v>
      </c>
      <c r="D13" s="44" t="s">
        <v>673</v>
      </c>
    </row>
    <row r="14" customFormat="false" ht="15" hidden="false" customHeight="false" outlineLevel="0" collapsed="false">
      <c r="B14" s="4" t="s">
        <v>674</v>
      </c>
      <c r="C14" s="59" t="n">
        <v>1.3</v>
      </c>
      <c r="D14" s="44"/>
    </row>
    <row r="15" customFormat="false" ht="15" hidden="false" customHeight="false" outlineLevel="0" collapsed="false">
      <c r="B15" s="4" t="s">
        <v>675</v>
      </c>
      <c r="C15" s="59" t="n">
        <v>0.6</v>
      </c>
      <c r="D15" s="44" t="s">
        <v>676</v>
      </c>
    </row>
    <row r="17" customFormat="false" ht="19.5" hidden="false" customHeight="true" outlineLevel="0" collapsed="false">
      <c r="B17" s="39" t="s">
        <v>677</v>
      </c>
      <c r="C17" s="39"/>
      <c r="D17" s="39"/>
    </row>
    <row r="18" customFormat="false" ht="15" hidden="false" customHeight="false" outlineLevel="0" collapsed="false">
      <c r="B18" s="4" t="s">
        <v>678</v>
      </c>
      <c r="C18" s="43" t="n">
        <v>5</v>
      </c>
      <c r="D18" s="44"/>
    </row>
    <row r="19" customFormat="false" ht="15" hidden="false" customHeight="false" outlineLevel="0" collapsed="false">
      <c r="B19" s="4" t="s">
        <v>679</v>
      </c>
      <c r="C19" s="43" t="n">
        <v>2</v>
      </c>
      <c r="D19" s="44"/>
    </row>
    <row r="20" customFormat="false" ht="15" hidden="false" customHeight="false" outlineLevel="0" collapsed="false">
      <c r="B20" s="4" t="s">
        <v>680</v>
      </c>
      <c r="C20" s="43" t="n">
        <v>-2</v>
      </c>
      <c r="D20" s="44"/>
    </row>
    <row r="21" customFormat="false" ht="15" hidden="false" customHeight="false" outlineLevel="0" collapsed="false">
      <c r="B21" s="4" t="s">
        <v>681</v>
      </c>
      <c r="C21" s="43" t="n">
        <v>-5</v>
      </c>
      <c r="D21" s="44"/>
    </row>
    <row r="23" customFormat="false" ht="19.5" hidden="false" customHeight="true" outlineLevel="0" collapsed="false">
      <c r="B23" s="39" t="s">
        <v>682</v>
      </c>
      <c r="C23" s="39"/>
      <c r="D23" s="39"/>
    </row>
    <row r="24" customFormat="false" ht="15" hidden="false" customHeight="false" outlineLevel="0" collapsed="false">
      <c r="B24" s="4" t="s">
        <v>683</v>
      </c>
      <c r="C24" s="43" t="n">
        <v>0.35</v>
      </c>
      <c r="D24" s="44" t="s">
        <v>684</v>
      </c>
    </row>
    <row r="25" customFormat="false" ht="15" hidden="false" customHeight="false" outlineLevel="0" collapsed="false">
      <c r="B25" s="4" t="s">
        <v>685</v>
      </c>
      <c r="C25" s="43" t="n">
        <v>0.25</v>
      </c>
      <c r="D25" s="44" t="s">
        <v>686</v>
      </c>
    </row>
    <row r="26" customFormat="false" ht="15" hidden="false" customHeight="false" outlineLevel="0" collapsed="false">
      <c r="B26" s="4" t="s">
        <v>687</v>
      </c>
      <c r="C26" s="43" t="n">
        <v>0.15</v>
      </c>
      <c r="D26" s="44" t="s">
        <v>688</v>
      </c>
    </row>
    <row r="27" customFormat="false" ht="15" hidden="false" customHeight="false" outlineLevel="0" collapsed="false">
      <c r="B27" s="4" t="s">
        <v>689</v>
      </c>
      <c r="C27" s="43" t="n">
        <v>0.25</v>
      </c>
      <c r="D27" s="44" t="s">
        <v>690</v>
      </c>
    </row>
    <row r="28" customFormat="false" ht="15" hidden="false" customHeight="false" outlineLevel="0" collapsed="false">
      <c r="B28" s="4" t="s">
        <v>691</v>
      </c>
      <c r="C28" s="60" t="n">
        <f aca="false">SUM(C24:C27)</f>
        <v>1</v>
      </c>
      <c r="D28" s="40" t="str">
        <f aca="false">IF(ROUND(C28,6)=1,"✔ وزن‌ها معتبر است","✘ خطا: جمع باید ۱۰۰٪ باشد")</f>
        <v>✔ وزن‌ها معتبر است</v>
      </c>
    </row>
    <row r="30" customFormat="false" ht="19.5" hidden="false" customHeight="true" outlineLevel="0" collapsed="false">
      <c r="B30" s="39" t="s">
        <v>692</v>
      </c>
      <c r="C30" s="39"/>
      <c r="D30" s="39"/>
    </row>
    <row r="31" customFormat="false" ht="15" hidden="false" customHeight="false" outlineLevel="0" collapsed="false">
      <c r="B31" s="4" t="s">
        <v>693</v>
      </c>
      <c r="C31" s="58" t="n">
        <v>20</v>
      </c>
      <c r="D31" s="44" t="s">
        <v>694</v>
      </c>
    </row>
    <row r="32" customFormat="false" ht="15" hidden="false" customHeight="false" outlineLevel="0" collapsed="false">
      <c r="B32" s="4" t="s">
        <v>695</v>
      </c>
      <c r="C32" s="58" t="n">
        <v>60</v>
      </c>
      <c r="D32" s="44" t="s">
        <v>696</v>
      </c>
    </row>
    <row r="33" customFormat="false" ht="15" hidden="false" customHeight="false" outlineLevel="0" collapsed="false">
      <c r="B33" s="4" t="s">
        <v>697</v>
      </c>
      <c r="C33" s="61" t="n">
        <v>0.07</v>
      </c>
      <c r="D33" s="44" t="s">
        <v>698</v>
      </c>
    </row>
    <row r="34" customFormat="false" ht="15" hidden="false" customHeight="false" outlineLevel="0" collapsed="false">
      <c r="B34" s="4" t="s">
        <v>699</v>
      </c>
      <c r="C34" s="58" t="n">
        <v>50</v>
      </c>
      <c r="D34" s="44" t="s">
        <v>700</v>
      </c>
    </row>
    <row r="36" customFormat="false" ht="15" hidden="false" customHeight="true" outlineLevel="0" collapsed="false">
      <c r="B36" s="18" t="s">
        <v>701</v>
      </c>
      <c r="C36" s="18"/>
      <c r="D36" s="18"/>
    </row>
  </sheetData>
  <mergeCells count="3">
    <mergeCell ref="A1:E1"/>
    <mergeCell ref="A2:E2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702</v>
      </c>
      <c r="B1" s="1"/>
    </row>
    <row r="2" customFormat="false" ht="30" hidden="false" customHeight="true" outlineLevel="0" collapsed="false">
      <c r="A2" s="62" t="s">
        <v>703</v>
      </c>
      <c r="B2" s="62"/>
    </row>
    <row r="3" customFormat="false" ht="33.75" hidden="false" customHeight="true" outlineLevel="0" collapsed="false">
      <c r="A3" s="63" t="s">
        <v>704</v>
      </c>
      <c r="B3" s="63"/>
    </row>
    <row r="4" customFormat="false" ht="24" hidden="false" customHeight="true" outlineLevel="0" collapsed="false">
      <c r="A4" s="64" t="s">
        <v>705</v>
      </c>
      <c r="B4" s="64"/>
    </row>
    <row r="5" customFormat="false" ht="30" hidden="false" customHeight="true" outlineLevel="0" collapsed="false">
      <c r="A5" s="62" t="s">
        <v>706</v>
      </c>
      <c r="B5" s="62"/>
    </row>
    <row r="6" customFormat="false" ht="18" hidden="false" customHeight="true" outlineLevel="0" collapsed="false">
      <c r="A6" s="65" t="s">
        <v>707</v>
      </c>
      <c r="B6" s="65"/>
    </row>
    <row r="7" customFormat="false" ht="18" hidden="false" customHeight="true" outlineLevel="0" collapsed="false">
      <c r="A7" s="65" t="s">
        <v>708</v>
      </c>
      <c r="B7" s="65"/>
    </row>
    <row r="8" customFormat="false" ht="18" hidden="false" customHeight="true" outlineLevel="0" collapsed="false">
      <c r="A8" s="65" t="s">
        <v>709</v>
      </c>
      <c r="B8" s="65"/>
    </row>
    <row r="9" customFormat="false" ht="30" hidden="false" customHeight="true" outlineLevel="0" collapsed="false">
      <c r="A9" s="62" t="s">
        <v>710</v>
      </c>
      <c r="B9" s="62"/>
    </row>
    <row r="10" customFormat="false" ht="24" hidden="false" customHeight="true" outlineLevel="0" collapsed="false">
      <c r="A10" s="64" t="s">
        <v>711</v>
      </c>
      <c r="B10" s="64"/>
    </row>
    <row r="11" customFormat="false" ht="18" hidden="false" customHeight="true" outlineLevel="0" collapsed="false">
      <c r="A11" s="65" t="s">
        <v>712</v>
      </c>
      <c r="B11" s="65"/>
    </row>
    <row r="12" customFormat="false" ht="18" hidden="false" customHeight="true" outlineLevel="0" collapsed="false">
      <c r="A12" s="65" t="s">
        <v>713</v>
      </c>
      <c r="B12" s="65"/>
    </row>
    <row r="13" customFormat="false" ht="18" hidden="false" customHeight="true" outlineLevel="0" collapsed="false">
      <c r="A13" s="65" t="s">
        <v>714</v>
      </c>
      <c r="B13" s="65"/>
    </row>
    <row r="14" customFormat="false" ht="18" hidden="false" customHeight="true" outlineLevel="0" collapsed="false">
      <c r="A14" s="65" t="s">
        <v>715</v>
      </c>
      <c r="B14" s="65"/>
    </row>
    <row r="15" customFormat="false" ht="18" hidden="false" customHeight="true" outlineLevel="0" collapsed="false">
      <c r="A15" s="65" t="s">
        <v>716</v>
      </c>
      <c r="B15" s="65"/>
    </row>
    <row r="16" customFormat="false" ht="18" hidden="false" customHeight="true" outlineLevel="0" collapsed="false">
      <c r="A16" s="65" t="s">
        <v>717</v>
      </c>
      <c r="B16" s="65"/>
    </row>
    <row r="17" customFormat="false" ht="30" hidden="false" customHeight="true" outlineLevel="0" collapsed="false">
      <c r="A17" s="1" t="s">
        <v>718</v>
      </c>
      <c r="B17" s="1"/>
    </row>
    <row r="18" customFormat="false" ht="33.75" hidden="false" customHeight="true" outlineLevel="0" collapsed="false">
      <c r="A18" s="63" t="s">
        <v>719</v>
      </c>
      <c r="B18" s="63"/>
    </row>
    <row r="19" customFormat="false" ht="24" hidden="false" customHeight="true" outlineLevel="0" collapsed="false">
      <c r="A19" s="64" t="s">
        <v>720</v>
      </c>
      <c r="B19" s="64"/>
    </row>
    <row r="20" customFormat="false" ht="30" hidden="false" customHeight="true" outlineLevel="0" collapsed="false">
      <c r="A20" s="62" t="s">
        <v>721</v>
      </c>
      <c r="B20" s="62"/>
    </row>
    <row r="21" customFormat="false" ht="30" hidden="false" customHeight="true" outlineLevel="0" collapsed="false">
      <c r="A21" s="66" t="s">
        <v>722</v>
      </c>
      <c r="B21" s="67" t="s">
        <v>723</v>
      </c>
    </row>
    <row r="22" customFormat="false" ht="30" hidden="false" customHeight="true" outlineLevel="0" collapsed="false">
      <c r="A22" s="66" t="s">
        <v>724</v>
      </c>
      <c r="B22" s="67" t="s">
        <v>725</v>
      </c>
    </row>
    <row r="23" customFormat="false" ht="30" hidden="false" customHeight="true" outlineLevel="0" collapsed="false">
      <c r="A23" s="62" t="s">
        <v>726</v>
      </c>
      <c r="B23" s="62"/>
    </row>
  </sheetData>
  <mergeCells count="21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2026-09-06T19:13:31Z</dcterms:created>
  <dc:creator>openpyxl</dc:creator>
  <dc:description/>
  <dc:language>en-US</dc:language>
  <cp:lastModifiedBy/>
  <dcterms:modified xsi:type="dcterms:W3CDTF">2026-09-06T19:13:36Z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